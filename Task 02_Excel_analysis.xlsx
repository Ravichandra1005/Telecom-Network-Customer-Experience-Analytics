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8fd9bf6313eb9a6/Documents/Pictures/pics/work/course task/task 2 files/"/>
    </mc:Choice>
  </mc:AlternateContent>
  <xr:revisionPtr revIDLastSave="0" documentId="8_{0F48B3AC-59D0-4BF4-97EB-2AA2DDB953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network_usage" sheetId="2" r:id="rId2"/>
    <sheet name="network_issues" sheetId="3" r:id="rId3"/>
    <sheet name="billing" sheetId="4" r:id="rId4"/>
    <sheet name="Threshold Analysis" sheetId="5" r:id="rId5"/>
    <sheet name="City-wise Network Issues" sheetId="6" r:id="rId6"/>
  </sheets>
  <definedNames>
    <definedName name="_xlnm._FilterDatabase" localSheetId="0" hidden="1">customers!$A$1:$G$501</definedName>
  </definedNames>
  <calcPr calcId="191029"/>
  <pivotCaches>
    <pivotCache cacheId="13" r:id="rId7"/>
    <pivotCache cacheId="1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G2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</calcChain>
</file>

<file path=xl/sharedStrings.xml><?xml version="1.0" encoding="utf-8"?>
<sst xmlns="http://schemas.openxmlformats.org/spreadsheetml/2006/main" count="18069" uniqueCount="71">
  <si>
    <t>customer_id</t>
  </si>
  <si>
    <t>customer_type</t>
  </si>
  <si>
    <t>age</t>
  </si>
  <si>
    <t>city</t>
  </si>
  <si>
    <t>signup_date</t>
  </si>
  <si>
    <t>Prepaid</t>
  </si>
  <si>
    <t>Postpaid</t>
  </si>
  <si>
    <t>usage_id</t>
  </si>
  <si>
    <t>usage_date</t>
  </si>
  <si>
    <t>data_used_gb</t>
  </si>
  <si>
    <t>call_minutes</t>
  </si>
  <si>
    <t>network_type</t>
  </si>
  <si>
    <t>4G</t>
  </si>
  <si>
    <t>5G</t>
  </si>
  <si>
    <t>issue_id</t>
  </si>
  <si>
    <t>issue_date</t>
  </si>
  <si>
    <t>issue_type</t>
  </si>
  <si>
    <t>resolution_time_hrs</t>
  </si>
  <si>
    <t>resolved</t>
  </si>
  <si>
    <t>No Signal</t>
  </si>
  <si>
    <t>Yes</t>
  </si>
  <si>
    <t>Slow Internet</t>
  </si>
  <si>
    <t>Call Drop</t>
  </si>
  <si>
    <t>No</t>
  </si>
  <si>
    <t>bill_id</t>
  </si>
  <si>
    <t>bill_month</t>
  </si>
  <si>
    <t>bill_amount</t>
  </si>
  <si>
    <t>payment_status</t>
  </si>
  <si>
    <t>Delayed</t>
  </si>
  <si>
    <t>Failed</t>
  </si>
  <si>
    <t>Paid</t>
  </si>
  <si>
    <t>Row Labels</t>
  </si>
  <si>
    <t>Grand Total</t>
  </si>
  <si>
    <t>Column Labels</t>
  </si>
  <si>
    <t>kolkata</t>
  </si>
  <si>
    <t>chennai</t>
  </si>
  <si>
    <t>mumbai</t>
  </si>
  <si>
    <t>delhi</t>
  </si>
  <si>
    <t>bangalore</t>
  </si>
  <si>
    <t>hyderabad</t>
  </si>
  <si>
    <t>signup_month</t>
  </si>
  <si>
    <t>signup_year</t>
  </si>
  <si>
    <t>usage_month</t>
  </si>
  <si>
    <t>usage_year</t>
  </si>
  <si>
    <t>issue_month</t>
  </si>
  <si>
    <t>issue_year</t>
  </si>
  <si>
    <t>bill_date</t>
  </si>
  <si>
    <t>bill_year</t>
  </si>
  <si>
    <t>Count of data_used_gb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</si>
  <si>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</si>
  <si>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</si>
  <si>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</si>
  <si>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</si>
  <si>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</si>
  <si>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</si>
  <si>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</si>
  <si>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</si>
  <si>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</si>
  <si>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</si>
  <si>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</si>
  <si>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</si>
  <si>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</si>
  <si>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</si>
  <si>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</si>
  <si>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</si>
  <si>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</si>
  <si>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18-19</t>
  </si>
  <si>
    <t>19-20</t>
  </si>
  <si>
    <t>20-21</t>
  </si>
  <si>
    <t>usage_category</t>
  </si>
  <si>
    <t>Count of issue_id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</si>
</sst>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166" fontId="2" fillId="0" borderId="2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6" fontId="2" fillId="0" borderId="1" xfId="0" applyNumberFormat="1" applyFont="1" applyBorder="1" applyAlignment="1">
      <alignment horizontal="center" vertical="top"/>
    </xf>
    <xf numFmtId="0" fontId="2" fillId="0" borderId="2" xfId="0" applyNumberFormat="1" applyFont="1" applyBorder="1" applyAlignment="1">
      <alignment horizontal="center" vertical="top"/>
    </xf>
    <xf numFmtId="0" fontId="0" fillId="0" borderId="0" xfId="0" applyNumberFormat="1"/>
    <xf numFmtId="0" fontId="2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166" formatCode="[$-14009]yyyy/mm/dd;@"/>
    </dxf>
    <dxf>
      <numFmt numFmtId="166" formatCode="[$-14009]yyyy/mm/dd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66" formatCode="[$-14009]yyyy/mm/dd;@"/>
    </dxf>
    <dxf>
      <numFmt numFmtId="0" formatCode="General"/>
    </dxf>
    <dxf>
      <numFmt numFmtId="166" formatCode="[$-14009]yyyy/mm/dd;@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14009]yyyy/mm/dd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14009]yyyy/mm/dd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6" formatCode="[$-14009]yyyy/mm/dd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Chandra" refreshedDate="46144.594680208334" createdVersion="8" refreshedVersion="8" minRefreshableVersion="3" recordCount="6000" xr:uid="{D31A0299-DD48-497D-84B0-4D9191C4C04A}">
  <cacheSource type="worksheet">
    <worksheetSource name="Table3"/>
  </cacheSource>
  <cacheFields count="8">
    <cacheField name="usage_id" numFmtId="0">
      <sharedItems containsSemiMixedTypes="0" containsString="0" containsNumber="1" containsInteger="1" minValue="10001" maxValue="16000"/>
    </cacheField>
    <cacheField name="customer_id" numFmtId="0">
      <sharedItems containsSemiMixedTypes="0" containsString="0" containsNumber="1" containsInteger="1" minValue="1" maxValue="500"/>
    </cacheField>
    <cacheField name="usage_date" numFmtId="166">
      <sharedItems containsSemiMixedTypes="0" containsNonDate="0" containsDate="1" containsString="0" minDate="2022-01-01T00:00:00" maxDate="2024-06-19T00:00:00"/>
    </cacheField>
    <cacheField name="usage_month" numFmtId="166">
      <sharedItems/>
    </cacheField>
    <cacheField name="usage_year" numFmtId="0">
      <sharedItems containsSemiMixedTypes="0" containsString="0" containsNumber="1" containsInteger="1" minValue="2022" maxValue="2024"/>
    </cacheField>
    <cacheField name="data_used_gb" numFmtId="2">
      <sharedItems containsSemiMixedTypes="0" containsString="0" containsNumber="1" minValue="0" maxValue="20.07" count="932">
        <n v="2.0099999999999998"/>
        <n v="2.5"/>
        <n v="0.74"/>
        <n v="7.42"/>
        <n v="0.47"/>
        <n v="8.43"/>
        <n v="0.04"/>
        <n v="1.64"/>
        <n v="1.01"/>
        <n v="1.49"/>
        <n v="2.11"/>
        <n v="1.43"/>
        <n v="1.34"/>
        <n v="3.3"/>
        <n v="2.89"/>
        <n v="4.4800000000000004"/>
        <n v="0.72"/>
        <n v="2.35"/>
        <n v="2.2000000000000002"/>
        <n v="1.1499999999999999"/>
        <n v="1.66"/>
        <n v="0.94"/>
        <n v="0.38"/>
        <n v="0.6"/>
        <n v="0.28000000000000003"/>
        <n v="2.87"/>
        <n v="2.7"/>
        <n v="7.52"/>
        <n v="3.27"/>
        <n v="0.13"/>
        <n v="5.39"/>
        <n v="4.96"/>
        <n v="1.46"/>
        <n v="9.33"/>
        <n v="1.9"/>
        <n v="5.89"/>
        <n v="0.22"/>
        <n v="0.53"/>
        <n v="1.45"/>
        <n v="4.24"/>
        <n v="11.11"/>
        <n v="1.23"/>
        <n v="0.12"/>
        <n v="4.04"/>
        <n v="2.3199999999999998"/>
        <n v="0.55000000000000004"/>
        <n v="1.71"/>
        <n v="3.39"/>
        <n v="3.68"/>
        <n v="1.73"/>
        <n v="0.91"/>
        <n v="9.1"/>
        <n v="2.72"/>
        <n v="1.31"/>
        <n v="0.82"/>
        <n v="3.28"/>
        <n v="0.69"/>
        <n v="1.89"/>
        <n v="0.86"/>
        <n v="2.48"/>
        <n v="0.31"/>
        <n v="2.66"/>
        <n v="0.83"/>
        <n v="0"/>
        <n v="0.34"/>
        <n v="6.78"/>
        <n v="5.05"/>
        <n v="0.67"/>
        <n v="3.77"/>
        <n v="2.34"/>
        <n v="8.84"/>
        <n v="1.17"/>
        <n v="2.86"/>
        <n v="0.16"/>
        <n v="1.26"/>
        <n v="8.3000000000000007"/>
        <n v="1.94"/>
        <n v="0.85"/>
        <n v="0.32"/>
        <n v="3.04"/>
        <n v="2.59"/>
        <n v="7.54"/>
        <n v="0.06"/>
        <n v="6.35"/>
        <n v="0.97"/>
        <n v="0.73"/>
        <n v="1.91"/>
        <n v="4.34"/>
        <n v="0.27"/>
        <n v="7.16"/>
        <n v="3.96"/>
        <n v="0.5"/>
        <n v="3.11"/>
        <n v="1.22"/>
        <n v="1.29"/>
        <n v="3.82"/>
        <n v="8.23"/>
        <n v="1.36"/>
        <n v="1.18"/>
        <n v="1.1299999999999999"/>
        <n v="0.54"/>
        <n v="4.2300000000000004"/>
        <n v="4.0599999999999996"/>
        <n v="1.67"/>
        <n v="0.89"/>
        <n v="2.54"/>
        <n v="0.1"/>
        <n v="0.25"/>
        <n v="0.02"/>
        <n v="0.41"/>
        <n v="0.18"/>
        <n v="13.68"/>
        <n v="0.4"/>
        <n v="6.88"/>
        <n v="1.84"/>
        <n v="5.17"/>
        <n v="1.02"/>
        <n v="0.57999999999999996"/>
        <n v="1.19"/>
        <n v="0.95"/>
        <n v="2.83"/>
        <n v="2.15"/>
        <n v="0.17"/>
        <n v="6.91"/>
        <n v="2.73"/>
        <n v="0.15"/>
        <n v="0.43"/>
        <n v="0.48"/>
        <n v="3.58"/>
        <n v="2.04"/>
        <n v="1.77"/>
        <n v="2.0699999999999998"/>
        <n v="0.87"/>
        <n v="3.31"/>
        <n v="5.13"/>
        <n v="0.26"/>
        <n v="5.7"/>
        <n v="1.08"/>
        <n v="2"/>
        <n v="1.1100000000000001"/>
        <n v="2.2200000000000002"/>
        <n v="1.86"/>
        <n v="0.56999999999999995"/>
        <n v="1.5"/>
        <n v="3.99"/>
        <n v="2.23"/>
        <n v="1.99"/>
        <n v="3.03"/>
        <n v="3.93"/>
        <n v="3.1"/>
        <n v="1.33"/>
        <n v="2.77"/>
        <n v="0.61"/>
        <n v="6.11"/>
        <n v="4"/>
        <n v="6.36"/>
        <n v="9.6"/>
        <n v="0.03"/>
        <n v="2.44"/>
        <n v="4.91"/>
        <n v="9.91"/>
        <n v="2.38"/>
        <n v="3.94"/>
        <n v="0.51"/>
        <n v="3.55"/>
        <n v="2.68"/>
        <n v="1.1399999999999999"/>
        <n v="2.36"/>
        <n v="2.98"/>
        <n v="1.05"/>
        <n v="0.28999999999999998"/>
        <n v="1.78"/>
        <n v="1.37"/>
        <n v="1.27"/>
        <n v="7.0000000000000007E-2"/>
        <n v="1"/>
        <n v="4.7"/>
        <n v="0.05"/>
        <n v="0.19"/>
        <n v="1.79"/>
        <n v="8.7200000000000006"/>
        <n v="2.95"/>
        <n v="0.52"/>
        <n v="3.69"/>
        <n v="4.5999999999999996"/>
        <n v="2.4"/>
        <n v="4.41"/>
        <n v="3.88"/>
        <n v="0.75"/>
        <n v="3.08"/>
        <n v="0.56000000000000005"/>
        <n v="0.49"/>
        <n v="1.03"/>
        <n v="1.62"/>
        <n v="0.79"/>
        <n v="5.04"/>
        <n v="3.43"/>
        <n v="4.88"/>
        <n v="0.35"/>
        <n v="4.3600000000000003"/>
        <n v="5.84"/>
        <n v="4.99"/>
        <n v="1.56"/>
        <n v="3.41"/>
        <n v="2.42"/>
        <n v="1.41"/>
        <n v="3.85"/>
        <n v="1.55"/>
        <n v="7.07"/>
        <n v="3.84"/>
        <n v="4.3099999999999996"/>
        <n v="2.02"/>
        <n v="1.58"/>
        <n v="8.61"/>
        <n v="3.5"/>
        <n v="4.17"/>
        <n v="0.08"/>
        <n v="2.6"/>
        <n v="4.43"/>
        <n v="4.78"/>
        <n v="4.1900000000000004"/>
        <n v="0.36"/>
        <n v="0.66"/>
        <n v="1.51"/>
        <n v="1.82"/>
        <n v="3.61"/>
        <n v="1.48"/>
        <n v="3.9"/>
        <n v="2.41"/>
        <n v="0.3"/>
        <n v="0.42"/>
        <n v="1.44"/>
        <n v="3.4"/>
        <n v="2.17"/>
        <n v="0.64"/>
        <n v="2.14"/>
        <n v="1.38"/>
        <n v="1.81"/>
        <n v="4.79"/>
        <n v="1.69"/>
        <n v="9.2799999999999994"/>
        <n v="2.2599999999999998"/>
        <n v="0.24"/>
        <n v="2.33"/>
        <n v="0.23"/>
        <n v="8"/>
        <n v="3.14"/>
        <n v="4.8899999999999997"/>
        <n v="7.86"/>
        <n v="6.7"/>
        <n v="2.19"/>
        <n v="1.93"/>
        <n v="1.52"/>
        <n v="0.59"/>
        <n v="0.01"/>
        <n v="9.86"/>
        <n v="3.73"/>
        <n v="2.12"/>
        <n v="0.65"/>
        <n v="0.93"/>
        <n v="10.65"/>
        <n v="0.92"/>
        <n v="8.14"/>
        <n v="0.71"/>
        <n v="2.56"/>
        <n v="2.65"/>
        <n v="1.35"/>
        <n v="2.92"/>
        <n v="2.08"/>
        <n v="2.8"/>
        <n v="2.97"/>
        <n v="7.25"/>
        <n v="2.57"/>
        <n v="1.2"/>
        <n v="8.19"/>
        <n v="5.79"/>
        <n v="4.07"/>
        <n v="13.57"/>
        <n v="0.62"/>
        <n v="1.47"/>
        <n v="5.16"/>
        <n v="3.05"/>
        <n v="2.63"/>
        <n v="7.82"/>
        <n v="6.57"/>
        <n v="6.73"/>
        <n v="3.19"/>
        <n v="3.63"/>
        <n v="1.8"/>
        <n v="4.16"/>
        <n v="6.97"/>
        <n v="9.5399999999999991"/>
        <n v="12.91"/>
        <n v="2.0299999999999998"/>
        <n v="8.9600000000000009"/>
        <n v="2.27"/>
        <n v="6.19"/>
        <n v="2.64"/>
        <n v="3.12"/>
        <n v="2.91"/>
        <n v="0.96"/>
        <n v="7.8"/>
        <n v="6.42"/>
        <n v="1.53"/>
        <n v="4.68"/>
        <n v="1.39"/>
        <n v="3.8"/>
        <n v="2.85"/>
        <n v="2.52"/>
        <n v="6.01"/>
        <n v="3.87"/>
        <n v="1.95"/>
        <n v="0.98"/>
        <n v="0.37"/>
        <n v="5.46"/>
        <n v="1.59"/>
        <n v="5.26"/>
        <n v="4.08"/>
        <n v="2.69"/>
        <n v="6.15"/>
        <n v="2.61"/>
        <n v="1.3"/>
        <n v="2.25"/>
        <n v="3.7"/>
        <n v="4.4000000000000004"/>
        <n v="5.69"/>
        <n v="2.67"/>
        <n v="5.34"/>
        <n v="6.28"/>
        <n v="5.75"/>
        <n v="0.8"/>
        <n v="1.25"/>
        <n v="0.78"/>
        <n v="4.93"/>
        <n v="1.06"/>
        <n v="3.66"/>
        <n v="5.41"/>
        <n v="0.63"/>
        <n v="3.6"/>
        <n v="2.78"/>
        <n v="5.94"/>
        <n v="3.37"/>
        <n v="1.96"/>
        <n v="1.07"/>
        <n v="3.13"/>
        <n v="4.9400000000000004"/>
        <n v="5.25"/>
        <n v="6.05"/>
        <n v="12.46"/>
        <n v="7.51"/>
        <n v="7.94"/>
        <n v="0.44"/>
        <n v="13.81"/>
        <n v="1.75"/>
        <n v="4.72"/>
        <n v="0.81"/>
        <n v="2.9"/>
        <n v="0.09"/>
        <n v="1.32"/>
        <n v="4.1399999999999997"/>
        <n v="4.03"/>
        <n v="4.3899999999999997"/>
        <n v="0.77"/>
        <n v="1.92"/>
        <n v="3.17"/>
        <n v="1.1599999999999999"/>
        <n v="5.31"/>
        <n v="1.42"/>
        <n v="1.72"/>
        <n v="2.0499999999999998"/>
        <n v="3.07"/>
        <n v="7.35"/>
        <n v="0.39"/>
        <n v="3.09"/>
        <n v="4.13"/>
        <n v="1.4"/>
        <n v="1.83"/>
        <n v="2.13"/>
        <n v="0.68"/>
        <n v="0.76"/>
        <n v="1.76"/>
        <n v="3.21"/>
        <n v="4.0999999999999996"/>
        <n v="5.5"/>
        <n v="4.66"/>
        <n v="2.94"/>
        <n v="5.37"/>
        <n v="5.0199999999999996"/>
        <n v="3.22"/>
        <n v="1.1000000000000001"/>
        <n v="0.84"/>
        <n v="10.050000000000001"/>
        <n v="1.24"/>
        <n v="0.21"/>
        <n v="2.29"/>
        <n v="0.14000000000000001"/>
        <n v="0.33"/>
        <n v="7.92"/>
        <n v="4.82"/>
        <n v="0.99"/>
        <n v="1.85"/>
        <n v="5.72"/>
        <n v="0.45"/>
        <n v="7.38"/>
        <n v="9.09"/>
        <n v="3.71"/>
        <n v="2.09"/>
        <n v="1.6"/>
        <n v="3.29"/>
        <n v="2.76"/>
        <n v="5.65"/>
        <n v="3.15"/>
        <n v="12.08"/>
        <n v="3.65"/>
        <n v="4.67"/>
        <n v="2.21"/>
        <n v="12.34"/>
        <n v="5.27"/>
        <n v="0.9"/>
        <n v="7.19"/>
        <n v="0.11"/>
        <n v="6.32"/>
        <n v="4.8"/>
        <n v="5.22"/>
        <n v="6.76"/>
        <n v="2.93"/>
        <n v="2.4300000000000002"/>
        <n v="4.25"/>
        <n v="2.39"/>
        <n v="2.62"/>
        <n v="6.23"/>
        <n v="6.46"/>
        <n v="3.23"/>
        <n v="2.99"/>
        <n v="4.46"/>
        <n v="9.84"/>
        <n v="1.7"/>
        <n v="2.16"/>
        <n v="0.2"/>
        <n v="7.18"/>
        <n v="6.09"/>
        <n v="3.79"/>
        <n v="3.52"/>
        <n v="2.46"/>
        <n v="10.75"/>
        <n v="3.75"/>
        <n v="5.15"/>
        <n v="1.65"/>
        <n v="4.42"/>
        <n v="1.87"/>
        <n v="9.7899999999999991"/>
        <n v="2.75"/>
        <n v="2.58"/>
        <n v="5.6"/>
        <n v="4.9800000000000004"/>
        <n v="6.62"/>
        <n v="6.68"/>
        <n v="1.04"/>
        <n v="4.7699999999999996"/>
        <n v="2.71"/>
        <n v="2.2400000000000002"/>
        <n v="3.33"/>
        <n v="3.51"/>
        <n v="7.14"/>
        <n v="4.26"/>
        <n v="0.88"/>
        <n v="9.51"/>
        <n v="6.72"/>
        <n v="6.12"/>
        <n v="2.4900000000000002"/>
        <n v="14.51"/>
        <n v="3.18"/>
        <n v="7.65"/>
        <n v="4.2699999999999996"/>
        <n v="1.98"/>
        <n v="4.9000000000000004"/>
        <n v="6.39"/>
        <n v="5.44"/>
        <n v="3.48"/>
        <n v="3.38"/>
        <n v="3.83"/>
        <n v="9.77"/>
        <n v="2.37"/>
        <n v="5.14"/>
        <n v="6.89"/>
        <n v="3.16"/>
        <n v="7.17"/>
        <n v="1.88"/>
        <n v="1.61"/>
        <n v="2.31"/>
        <n v="10.67"/>
        <n v="6.94"/>
        <n v="4.95"/>
        <n v="5.64"/>
        <n v="8.16"/>
        <n v="2.2999999999999998"/>
        <n v="0.7"/>
        <n v="8.15"/>
        <n v="0.46"/>
        <n v="6.74"/>
        <n v="1.28"/>
        <n v="5.99"/>
        <n v="3.67"/>
        <n v="8.0500000000000007"/>
        <n v="4.29"/>
        <n v="4.8099999999999996"/>
        <n v="4.83"/>
        <n v="2.82"/>
        <n v="3.26"/>
        <n v="7.69"/>
        <n v="4.21"/>
        <n v="5.86"/>
        <n v="6.79"/>
        <n v="4.1500000000000004"/>
        <n v="4.54"/>
        <n v="3.36"/>
        <n v="8.0399999999999991"/>
        <n v="2.84"/>
        <n v="7.28"/>
        <n v="6.75"/>
        <n v="1.74"/>
        <n v="3.92"/>
        <n v="7.12"/>
        <n v="6.04"/>
        <n v="4.6900000000000004"/>
        <n v="5.74"/>
        <n v="6.56"/>
        <n v="5.53"/>
        <n v="1.21"/>
        <n v="3.34"/>
        <n v="6.58"/>
        <n v="3.32"/>
        <n v="3"/>
        <n v="6.16"/>
        <n v="1.68"/>
        <n v="2.5099999999999998"/>
        <n v="3.2"/>
        <n v="7.43"/>
        <n v="5.81"/>
        <n v="5.21"/>
        <n v="3.45"/>
        <n v="4.09"/>
        <n v="5.4"/>
        <n v="7.13"/>
        <n v="1.54"/>
        <n v="4.6399999999999997"/>
        <n v="3.59"/>
        <n v="16.13"/>
        <n v="3.49"/>
        <n v="4.8499999999999996"/>
        <n v="5.23"/>
        <n v="4.51"/>
        <n v="2.1800000000000002"/>
        <n v="7.45"/>
        <n v="16.46"/>
        <n v="3.25"/>
        <n v="2.2799999999999998"/>
        <n v="6.45"/>
        <n v="7.44"/>
        <n v="4.6500000000000004"/>
        <n v="4.33"/>
        <n v="3.02"/>
        <n v="8.81"/>
        <n v="2.88"/>
        <n v="7.73"/>
        <n v="6.5"/>
        <n v="6"/>
        <n v="1.1200000000000001"/>
        <n v="6.26"/>
        <n v="4.22"/>
        <n v="9.64"/>
        <n v="7.81"/>
        <n v="6.61"/>
        <n v="1.97"/>
        <n v="7"/>
        <n v="5.54"/>
        <n v="11.25"/>
        <n v="6.77"/>
        <n v="3.72"/>
        <n v="7.72"/>
        <n v="7.31"/>
        <n v="4.38"/>
        <n v="4.47"/>
        <n v="4.3499999999999996"/>
        <n v="7.2"/>
        <n v="3.91"/>
        <n v="4.2"/>
        <n v="3.01"/>
        <n v="10.14"/>
        <n v="4.92"/>
        <n v="6.98"/>
        <n v="2.79"/>
        <n v="3.81"/>
        <n v="3.06"/>
        <n v="7.39"/>
        <n v="8.5399999999999991"/>
        <n v="4.0199999999999996"/>
        <n v="1.0900000000000001"/>
        <n v="8.4700000000000006"/>
        <n v="4.3"/>
        <n v="11.97"/>
        <n v="6.48"/>
        <n v="7.37"/>
        <n v="10.68"/>
        <n v="3.95"/>
        <n v="13.33"/>
        <n v="6.95"/>
        <n v="6.66"/>
        <n v="2.4500000000000002"/>
        <n v="10.74"/>
        <n v="7.87"/>
        <n v="2.5299999999999998"/>
        <n v="13.52"/>
        <n v="5.52"/>
        <n v="11.95"/>
        <n v="4.71"/>
        <n v="9.02"/>
        <n v="4.97"/>
        <n v="2.06"/>
        <n v="4.7300000000000004"/>
        <n v="5.55"/>
        <n v="4.18"/>
        <n v="4.4400000000000004"/>
        <n v="5.97"/>
        <n v="5.0999999999999996"/>
        <n v="19.03"/>
        <n v="5.19"/>
        <n v="3.46"/>
        <n v="3.53"/>
        <n v="5.1100000000000003"/>
        <n v="4.87"/>
        <n v="7.33"/>
        <n v="3.56"/>
        <n v="5.43"/>
        <n v="6.08"/>
        <n v="5.58"/>
        <n v="10.48"/>
        <n v="6.38"/>
        <n v="3.54"/>
        <n v="10.53"/>
        <n v="5.85"/>
        <n v="5.61"/>
        <n v="4.12"/>
        <n v="10.18"/>
        <n v="8.9499999999999993"/>
        <n v="9.9600000000000009"/>
        <n v="12.59"/>
        <n v="3.78"/>
        <n v="5.49"/>
        <n v="3.97"/>
        <n v="4.49"/>
        <n v="6.18"/>
        <n v="2.5499999999999998"/>
        <n v="9.32"/>
        <n v="5.92"/>
        <n v="8.3800000000000008"/>
        <n v="4.45"/>
        <n v="8.5299999999999994"/>
        <n v="10.36"/>
        <n v="6.84"/>
        <n v="9.69"/>
        <n v="6.49"/>
        <n v="9.57"/>
        <n v="5.18"/>
        <n v="15.43"/>
        <n v="9.3699999999999992"/>
        <n v="7.67"/>
        <n v="7.79"/>
        <n v="2.96"/>
        <n v="3.86"/>
        <n v="5.3"/>
        <n v="5.47"/>
        <n v="7.91"/>
        <n v="5.0599999999999996"/>
        <n v="5.87"/>
        <n v="14.99"/>
        <n v="5.07"/>
        <n v="5.59"/>
        <n v="3.42"/>
        <n v="9.0299999999999994"/>
        <n v="4.37"/>
        <n v="4.59"/>
        <n v="4.5599999999999996"/>
        <n v="4.55"/>
        <n v="5.96"/>
        <n v="12.7"/>
        <n v="7.62"/>
        <n v="4.5"/>
        <n v="5.83"/>
        <n v="9.1300000000000008"/>
        <n v="6.06"/>
        <n v="6.92"/>
        <n v="2.4700000000000002"/>
        <n v="3.98"/>
        <n v="5.57"/>
        <n v="1.63"/>
        <n v="3.35"/>
        <n v="3.64"/>
        <n v="5.01"/>
        <n v="3.47"/>
        <n v="8.8800000000000008"/>
        <n v="4.75"/>
        <n v="6.6"/>
        <n v="5.91"/>
        <n v="5.78"/>
        <n v="9.3800000000000008"/>
        <n v="5.8"/>
        <n v="11.72"/>
        <n v="5.12"/>
        <n v="5.08"/>
        <n v="8.01"/>
        <n v="5.62"/>
        <n v="7.26"/>
        <n v="12.26"/>
        <n v="6.9"/>
        <n v="2.1"/>
        <n v="6.82"/>
        <n v="5.2"/>
        <n v="4.01"/>
        <n v="7.76"/>
        <n v="5.36"/>
        <n v="8.59"/>
        <n v="7.04"/>
        <n v="8.99"/>
        <n v="3.74"/>
        <n v="5.24"/>
        <n v="7.99"/>
        <n v="6.22"/>
        <n v="4.28"/>
        <n v="10.73"/>
        <n v="5.51"/>
        <n v="6.47"/>
        <n v="8.48"/>
        <n v="7.47"/>
        <n v="8.73"/>
        <n v="6.03"/>
        <n v="4.84"/>
        <n v="4.62"/>
        <n v="20.07"/>
        <n v="7.32"/>
        <n v="6.93"/>
        <n v="6.53"/>
        <n v="8.06"/>
        <n v="6.69"/>
        <n v="7.64"/>
        <n v="5.93"/>
        <n v="4.05"/>
        <n v="11.1"/>
        <n v="13.9"/>
        <n v="5.88"/>
        <n v="7.63"/>
        <n v="11.35"/>
        <n v="3.89"/>
        <n v="6.59"/>
        <n v="4.76"/>
        <n v="5.76"/>
        <n v="4.63"/>
        <n v="7.05"/>
        <n v="9.43"/>
        <n v="5.9"/>
        <n v="11.56"/>
        <n v="7.08"/>
        <n v="4.53"/>
        <n v="3.62"/>
        <n v="6.17"/>
        <n v="7.15"/>
        <n v="5.68"/>
        <n v="3.24"/>
        <n v="5.63"/>
        <n v="8.44"/>
        <n v="5.29"/>
        <n v="7.36"/>
        <n v="7.71"/>
        <n v="7.57"/>
        <n v="7.24"/>
        <n v="6.37"/>
        <n v="6.24"/>
        <n v="1.57"/>
        <n v="11.49"/>
        <n v="5.33"/>
        <n v="4.57"/>
        <n v="7.11"/>
        <n v="9.7100000000000009"/>
        <n v="5.66"/>
        <n v="10.66"/>
        <n v="5.09"/>
        <n v="16.36"/>
        <n v="18.29"/>
        <n v="8.89"/>
        <n v="7.49"/>
        <n v="8.75"/>
        <n v="6.25"/>
        <n v="3.57"/>
        <n v="10.7"/>
        <n v="7.5"/>
        <n v="16.71"/>
        <n v="16.45"/>
        <n v="6.55"/>
        <n v="7.46"/>
        <n v="14.31"/>
        <n v="5"/>
        <n v="10.49"/>
        <n v="10.82"/>
        <n v="12.07"/>
        <n v="12.47"/>
        <n v="13.15"/>
        <n v="8.42"/>
        <n v="6.87"/>
        <n v="6.3"/>
        <n v="5.45"/>
        <n v="9.08"/>
        <n v="5.32"/>
        <n v="10.84"/>
        <n v="2.81"/>
        <n v="9.2100000000000009"/>
        <n v="11.32"/>
        <n v="15.28"/>
        <n v="12.54"/>
        <n v="7.7"/>
        <n v="6.13"/>
        <n v="9.5"/>
        <n v="9.15"/>
        <n v="10.220000000000001"/>
        <n v="7.61"/>
        <n v="6.67"/>
        <n v="9.4600000000000009"/>
        <n v="9.1199999999999992"/>
        <n v="6.41"/>
        <n v="11.29"/>
        <n v="8.1"/>
        <n v="11.05"/>
        <n v="7.09"/>
        <n v="5.71"/>
        <n v="9.4499999999999993"/>
        <n v="8.65"/>
        <n v="8.77"/>
        <n v="10.01"/>
        <n v="6.44"/>
        <n v="6.65"/>
        <n v="11.48"/>
        <n v="11.14"/>
        <n v="7.22"/>
        <n v="7.97"/>
        <n v="8.7100000000000009"/>
        <n v="10.61"/>
        <n v="5.35"/>
        <n v="7.84"/>
        <n v="6.07"/>
        <n v="7.96"/>
        <n v="7.06"/>
        <n v="16.61"/>
        <n v="8.86"/>
        <n v="8.94"/>
        <n v="9.5299999999999994"/>
        <n v="7.75"/>
        <n v="15.95"/>
        <n v="11.54"/>
        <n v="3.76"/>
        <n v="12.13"/>
        <n v="4.58"/>
        <n v="4.1100000000000003"/>
        <n v="10.11"/>
        <n v="2.74"/>
        <n v="11.41"/>
        <n v="7.29"/>
        <n v="8.5500000000000007"/>
        <n v="4.32"/>
        <n v="5.03"/>
        <n v="12.05"/>
        <n v="4.5199999999999996"/>
        <n v="3.44"/>
        <n v="6.52"/>
        <n v="10.34"/>
        <n v="7.78"/>
        <n v="7.95"/>
        <n v="7.68"/>
        <n v="9.59"/>
        <n v="8.58"/>
        <n v="4.74"/>
        <n v="7.01"/>
        <n v="9.0500000000000007"/>
        <n v="15.8"/>
        <n v="10.08"/>
        <n v="6.34"/>
        <n v="5.98"/>
        <n v="9.85"/>
        <n v="7.66"/>
        <n v="9.9499999999999993"/>
        <n v="16.91"/>
        <n v="7.23"/>
        <n v="8.67"/>
        <n v="15.13"/>
        <n v="13.27"/>
        <n v="5.42"/>
        <n v="4.6100000000000003"/>
        <n v="7.98"/>
        <n v="13.8"/>
        <n v="6.21"/>
        <n v="10.029999999999999"/>
        <n v="9.23"/>
        <n v="5.28"/>
        <n v="8.8699999999999992"/>
        <n v="8.11"/>
        <n v="14.86"/>
        <n v="8.76"/>
        <n v="11.07"/>
        <n v="8.0299999999999994"/>
        <n v="6.1"/>
        <n v="5.48"/>
        <n v="11.66"/>
        <n v="11.92"/>
        <n v="8.66"/>
        <n v="7.21"/>
        <n v="6.33"/>
        <n v="10.31"/>
        <n v="7.34"/>
        <n v="7.3"/>
        <n v="11.63"/>
        <n v="8.3699999999999992"/>
        <n v="8.4499999999999993"/>
        <n v="12.37"/>
        <n v="8.24"/>
        <n v="10.5"/>
        <n v="8.25"/>
        <n v="9.82"/>
        <n v="15.18"/>
        <n v="8.83"/>
        <n v="8.26"/>
        <n v="8.31"/>
        <n v="6.2"/>
        <n v="9.99"/>
        <n v="8.41"/>
      </sharedItems>
      <fieldGroup base="5">
        <rangePr startNum="0" endNum="20.07"/>
        <groupItems count="23">
          <s v="&lt;0"/>
          <s v="0-1"/>
          <s v="1-2"/>
          <s v="2-3"/>
          <s v="3-4"/>
          <s v="4-5"/>
          <s v="5-6"/>
          <s v="6-7"/>
          <s v="7-8"/>
          <s v="8-9"/>
          <s v="9-10"/>
          <s v="10-11"/>
          <s v="11-12"/>
          <s v="12-13"/>
          <s v="13-14"/>
          <s v="14-15"/>
          <s v="15-16"/>
          <s v="16-17"/>
          <s v="17-18"/>
          <s v="18-19"/>
          <s v="19-20"/>
          <s v="20-21"/>
          <s v="&gt;21"/>
        </groupItems>
      </fieldGroup>
    </cacheField>
    <cacheField name="call_minutes" numFmtId="0">
      <sharedItems containsSemiMixedTypes="0" containsString="0" containsNumber="1" containsInteger="1" minValue="0" maxValue="299"/>
    </cacheField>
    <cacheField name="network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Chandra" refreshedDate="46144.821069791666" createdVersion="8" refreshedVersion="8" minRefreshableVersion="3" recordCount="3000" xr:uid="{F3F40915-2E4C-4C9D-814A-6941A92764FE}">
  <cacheSource type="worksheet">
    <worksheetSource name="Table4"/>
  </cacheSource>
  <cacheFields count="9">
    <cacheField name="issue_id" numFmtId="0">
      <sharedItems containsSemiMixedTypes="0" containsString="0" containsNumber="1" containsInteger="1" minValue="20001" maxValue="23000"/>
    </cacheField>
    <cacheField name="customer_id" numFmtId="0">
      <sharedItems containsSemiMixedTypes="0" containsString="0" containsNumber="1" containsInteger="1" minValue="1" maxValue="500"/>
    </cacheField>
    <cacheField name="issue_date" numFmtId="166">
      <sharedItems containsSemiMixedTypes="0" containsNonDate="0" containsDate="1" containsString="0" minDate="2022-01-01T00:00:00" maxDate="2024-06-19T00:00:00"/>
    </cacheField>
    <cacheField name="issue_month" numFmtId="166">
      <sharedItems/>
    </cacheField>
    <cacheField name="issue_year" numFmtId="0">
      <sharedItems containsSemiMixedTypes="0" containsString="0" containsNumber="1" containsInteger="1" minValue="2022" maxValue="2024"/>
    </cacheField>
    <cacheField name="issue_type" numFmtId="0">
      <sharedItems count="3">
        <s v="No Signal"/>
        <s v="Slow Internet"/>
        <s v="Call Drop"/>
      </sharedItems>
    </cacheField>
    <cacheField name="resolution_time_hrs" numFmtId="0">
      <sharedItems containsSemiMixedTypes="0" containsString="0" containsNumber="1" containsInteger="1" minValue="1" maxValue="71"/>
    </cacheField>
    <cacheField name="resolved" numFmtId="0">
      <sharedItems/>
    </cacheField>
    <cacheField name="city" numFmtId="0">
      <sharedItems count="6">
        <s v="bangalore"/>
        <s v="mumbai"/>
        <s v="hyderabad"/>
        <s v="kolkata"/>
        <s v="delhi"/>
        <s v="chenna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0">
  <r>
    <n v="10001"/>
    <n v="288"/>
    <d v="2023-09-20T00:00:00"/>
    <s v="September"/>
    <n v="2023"/>
    <x v="0"/>
    <n v="49"/>
    <s v="4G"/>
  </r>
  <r>
    <n v="10002"/>
    <n v="167"/>
    <d v="2023-10-25T00:00:00"/>
    <s v="October"/>
    <n v="2023"/>
    <x v="1"/>
    <n v="134"/>
    <s v="5G"/>
  </r>
  <r>
    <n v="10003"/>
    <n v="109"/>
    <d v="2024-04-29T00:00:00"/>
    <s v="April"/>
    <n v="2024"/>
    <x v="2"/>
    <n v="117"/>
    <s v="4G"/>
  </r>
  <r>
    <n v="10004"/>
    <n v="494"/>
    <d v="2022-02-19T00:00:00"/>
    <s v="February"/>
    <n v="2022"/>
    <x v="3"/>
    <n v="59"/>
    <s v="4G"/>
  </r>
  <r>
    <n v="10005"/>
    <n v="36"/>
    <d v="2023-05-17T00:00:00"/>
    <s v="May"/>
    <n v="2023"/>
    <x v="4"/>
    <n v="124"/>
    <s v="5G"/>
  </r>
  <r>
    <n v="10006"/>
    <n v="232"/>
    <d v="2023-12-19T00:00:00"/>
    <s v="December"/>
    <n v="2023"/>
    <x v="5"/>
    <n v="115"/>
    <s v="5G"/>
  </r>
  <r>
    <n v="10007"/>
    <n v="229"/>
    <d v="2023-05-13T00:00:00"/>
    <s v="May"/>
    <n v="2023"/>
    <x v="6"/>
    <n v="172"/>
    <s v="5G"/>
  </r>
  <r>
    <n v="10008"/>
    <n v="353"/>
    <d v="2022-12-01T00:00:00"/>
    <s v="December"/>
    <n v="2022"/>
    <x v="7"/>
    <n v="186"/>
    <s v="4G"/>
  </r>
  <r>
    <n v="10009"/>
    <n v="164"/>
    <d v="2022-03-20T00:00:00"/>
    <s v="March"/>
    <n v="2022"/>
    <x v="8"/>
    <n v="87"/>
    <s v="5G"/>
  </r>
  <r>
    <n v="10010"/>
    <n v="387"/>
    <d v="2023-08-05T00:00:00"/>
    <s v="August"/>
    <n v="2023"/>
    <x v="9"/>
    <n v="202"/>
    <s v="4G"/>
  </r>
  <r>
    <n v="10011"/>
    <n v="73"/>
    <d v="2022-01-27T00:00:00"/>
    <s v="January"/>
    <n v="2022"/>
    <x v="10"/>
    <n v="181"/>
    <s v="5G"/>
  </r>
  <r>
    <n v="10012"/>
    <n v="136"/>
    <d v="2022-09-28T00:00:00"/>
    <s v="September"/>
    <n v="2022"/>
    <x v="11"/>
    <n v="167"/>
    <s v="4G"/>
  </r>
  <r>
    <n v="10013"/>
    <n v="353"/>
    <d v="2023-07-16T00:00:00"/>
    <s v="July"/>
    <n v="2023"/>
    <x v="12"/>
    <n v="180"/>
    <s v="4G"/>
  </r>
  <r>
    <n v="10014"/>
    <n v="379"/>
    <d v="2024-03-14T00:00:00"/>
    <s v="March"/>
    <n v="2024"/>
    <x v="13"/>
    <n v="299"/>
    <s v="4G"/>
  </r>
  <r>
    <n v="10015"/>
    <n v="70"/>
    <d v="2022-09-04T00:00:00"/>
    <s v="September"/>
    <n v="2022"/>
    <x v="14"/>
    <n v="129"/>
    <s v="4G"/>
  </r>
  <r>
    <n v="10016"/>
    <n v="425"/>
    <d v="2024-02-15T00:00:00"/>
    <s v="February"/>
    <n v="2024"/>
    <x v="15"/>
    <n v="148"/>
    <s v="5G"/>
  </r>
  <r>
    <n v="10017"/>
    <n v="487"/>
    <d v="2023-08-14T00:00:00"/>
    <s v="August"/>
    <n v="2023"/>
    <x v="16"/>
    <n v="208"/>
    <s v="4G"/>
  </r>
  <r>
    <n v="10018"/>
    <n v="196"/>
    <d v="2023-01-22T00:00:00"/>
    <s v="January"/>
    <n v="2023"/>
    <x v="17"/>
    <n v="110"/>
    <s v="4G"/>
  </r>
  <r>
    <n v="10019"/>
    <n v="269"/>
    <d v="2023-12-03T00:00:00"/>
    <s v="December"/>
    <n v="2023"/>
    <x v="18"/>
    <n v="136"/>
    <s v="4G"/>
  </r>
  <r>
    <n v="10020"/>
    <n v="49"/>
    <d v="2023-07-13T00:00:00"/>
    <s v="July"/>
    <n v="2023"/>
    <x v="19"/>
    <n v="210"/>
    <s v="4G"/>
  </r>
  <r>
    <n v="10021"/>
    <n v="316"/>
    <d v="2022-12-27T00:00:00"/>
    <s v="December"/>
    <n v="2022"/>
    <x v="20"/>
    <n v="145"/>
    <s v="5G"/>
  </r>
  <r>
    <n v="10022"/>
    <n v="130"/>
    <d v="2024-05-15T00:00:00"/>
    <s v="May"/>
    <n v="2024"/>
    <x v="21"/>
    <n v="83"/>
    <s v="5G"/>
  </r>
  <r>
    <n v="10023"/>
    <n v="444"/>
    <d v="2023-05-03T00:00:00"/>
    <s v="May"/>
    <n v="2023"/>
    <x v="22"/>
    <n v="29"/>
    <s v="5G"/>
  </r>
  <r>
    <n v="10024"/>
    <n v="5"/>
    <d v="2022-12-18T00:00:00"/>
    <s v="December"/>
    <n v="2022"/>
    <x v="23"/>
    <n v="64"/>
    <s v="4G"/>
  </r>
  <r>
    <n v="10025"/>
    <n v="428"/>
    <d v="2023-12-02T00:00:00"/>
    <s v="December"/>
    <n v="2023"/>
    <x v="24"/>
    <n v="23"/>
    <s v="4G"/>
  </r>
  <r>
    <n v="10026"/>
    <n v="27"/>
    <d v="2022-09-13T00:00:00"/>
    <s v="September"/>
    <n v="2022"/>
    <x v="25"/>
    <n v="210"/>
    <s v="4G"/>
  </r>
  <r>
    <n v="10027"/>
    <n v="160"/>
    <d v="2022-08-10T00:00:00"/>
    <s v="August"/>
    <n v="2022"/>
    <x v="26"/>
    <n v="221"/>
    <s v="4G"/>
  </r>
  <r>
    <n v="10028"/>
    <n v="149"/>
    <d v="2024-06-02T00:00:00"/>
    <s v="June"/>
    <n v="2024"/>
    <x v="27"/>
    <n v="89"/>
    <s v="4G"/>
  </r>
  <r>
    <n v="10029"/>
    <n v="264"/>
    <d v="2024-01-23T00:00:00"/>
    <s v="January"/>
    <n v="2024"/>
    <x v="28"/>
    <n v="105"/>
    <s v="5G"/>
  </r>
  <r>
    <n v="10030"/>
    <n v="230"/>
    <d v="2024-02-20T00:00:00"/>
    <s v="February"/>
    <n v="2024"/>
    <x v="29"/>
    <n v="171"/>
    <s v="4G"/>
  </r>
  <r>
    <n v="10031"/>
    <n v="200"/>
    <d v="2022-01-01T00:00:00"/>
    <s v="January"/>
    <n v="2022"/>
    <x v="30"/>
    <n v="229"/>
    <s v="4G"/>
  </r>
  <r>
    <n v="10032"/>
    <n v="50"/>
    <d v="2023-06-30T00:00:00"/>
    <s v="June"/>
    <n v="2023"/>
    <x v="31"/>
    <n v="76"/>
    <s v="4G"/>
  </r>
  <r>
    <n v="10033"/>
    <n v="67"/>
    <d v="2023-03-22T00:00:00"/>
    <s v="March"/>
    <n v="2023"/>
    <x v="32"/>
    <n v="67"/>
    <s v="4G"/>
  </r>
  <r>
    <n v="10034"/>
    <n v="300"/>
    <d v="2022-03-20T00:00:00"/>
    <s v="March"/>
    <n v="2022"/>
    <x v="18"/>
    <n v="91"/>
    <s v="5G"/>
  </r>
  <r>
    <n v="10035"/>
    <n v="381"/>
    <d v="2022-08-24T00:00:00"/>
    <s v="August"/>
    <n v="2022"/>
    <x v="33"/>
    <n v="87"/>
    <s v="4G"/>
  </r>
  <r>
    <n v="10036"/>
    <n v="58"/>
    <d v="2022-11-30T00:00:00"/>
    <s v="November"/>
    <n v="2022"/>
    <x v="34"/>
    <n v="49"/>
    <s v="4G"/>
  </r>
  <r>
    <n v="10037"/>
    <n v="259"/>
    <d v="2024-06-07T00:00:00"/>
    <s v="June"/>
    <n v="2024"/>
    <x v="35"/>
    <n v="102"/>
    <s v="4G"/>
  </r>
  <r>
    <n v="10038"/>
    <n v="342"/>
    <d v="2022-12-15T00:00:00"/>
    <s v="December"/>
    <n v="2022"/>
    <x v="36"/>
    <n v="45"/>
    <s v="5G"/>
  </r>
  <r>
    <n v="10039"/>
    <n v="326"/>
    <d v="2022-04-08T00:00:00"/>
    <s v="April"/>
    <n v="2022"/>
    <x v="37"/>
    <n v="178"/>
    <s v="5G"/>
  </r>
  <r>
    <n v="10040"/>
    <n v="130"/>
    <d v="2022-03-23T00:00:00"/>
    <s v="March"/>
    <n v="2022"/>
    <x v="38"/>
    <n v="266"/>
    <s v="4G"/>
  </r>
  <r>
    <n v="10041"/>
    <n v="215"/>
    <d v="2023-05-17T00:00:00"/>
    <s v="May"/>
    <n v="2023"/>
    <x v="18"/>
    <n v="267"/>
    <s v="4G"/>
  </r>
  <r>
    <n v="10042"/>
    <n v="172"/>
    <d v="2023-04-22T00:00:00"/>
    <s v="April"/>
    <n v="2023"/>
    <x v="39"/>
    <n v="7"/>
    <s v="4G"/>
  </r>
  <r>
    <n v="10043"/>
    <n v="258"/>
    <d v="2023-12-05T00:00:00"/>
    <s v="December"/>
    <n v="2023"/>
    <x v="40"/>
    <n v="264"/>
    <s v="4G"/>
  </r>
  <r>
    <n v="10044"/>
    <n v="102"/>
    <d v="2024-02-04T00:00:00"/>
    <s v="February"/>
    <n v="2024"/>
    <x v="41"/>
    <n v="77"/>
    <s v="5G"/>
  </r>
  <r>
    <n v="10045"/>
    <n v="209"/>
    <d v="2023-07-04T00:00:00"/>
    <s v="July"/>
    <n v="2023"/>
    <x v="42"/>
    <n v="239"/>
    <s v="5G"/>
  </r>
  <r>
    <n v="10046"/>
    <n v="291"/>
    <d v="2022-01-14T00:00:00"/>
    <s v="January"/>
    <n v="2022"/>
    <x v="43"/>
    <n v="257"/>
    <s v="5G"/>
  </r>
  <r>
    <n v="10047"/>
    <n v="354"/>
    <d v="2023-01-27T00:00:00"/>
    <s v="January"/>
    <n v="2023"/>
    <x v="44"/>
    <n v="195"/>
    <s v="4G"/>
  </r>
  <r>
    <n v="10048"/>
    <n v="471"/>
    <d v="2022-12-13T00:00:00"/>
    <s v="December"/>
    <n v="2022"/>
    <x v="45"/>
    <n v="130"/>
    <s v="5G"/>
  </r>
  <r>
    <n v="10049"/>
    <n v="286"/>
    <d v="2022-11-06T00:00:00"/>
    <s v="November"/>
    <n v="2022"/>
    <x v="46"/>
    <n v="260"/>
    <s v="4G"/>
  </r>
  <r>
    <n v="10050"/>
    <n v="116"/>
    <d v="2023-01-21T00:00:00"/>
    <s v="January"/>
    <n v="2023"/>
    <x v="47"/>
    <n v="241"/>
    <s v="5G"/>
  </r>
  <r>
    <n v="10051"/>
    <n v="264"/>
    <d v="2022-07-28T00:00:00"/>
    <s v="July"/>
    <n v="2022"/>
    <x v="48"/>
    <n v="170"/>
    <s v="4G"/>
  </r>
  <r>
    <n v="10052"/>
    <n v="150"/>
    <d v="2022-12-23T00:00:00"/>
    <s v="December"/>
    <n v="2022"/>
    <x v="49"/>
    <n v="146"/>
    <s v="4G"/>
  </r>
  <r>
    <n v="10053"/>
    <n v="300"/>
    <d v="2023-08-24T00:00:00"/>
    <s v="August"/>
    <n v="2023"/>
    <x v="50"/>
    <n v="269"/>
    <s v="4G"/>
  </r>
  <r>
    <n v="10054"/>
    <n v="442"/>
    <d v="2023-07-22T00:00:00"/>
    <s v="July"/>
    <n v="2023"/>
    <x v="51"/>
    <n v="148"/>
    <s v="4G"/>
  </r>
  <r>
    <n v="10055"/>
    <n v="36"/>
    <d v="2022-04-04T00:00:00"/>
    <s v="April"/>
    <n v="2022"/>
    <x v="52"/>
    <n v="298"/>
    <s v="4G"/>
  </r>
  <r>
    <n v="10056"/>
    <n v="453"/>
    <d v="2022-04-03T00:00:00"/>
    <s v="April"/>
    <n v="2022"/>
    <x v="53"/>
    <n v="27"/>
    <s v="5G"/>
  </r>
  <r>
    <n v="10057"/>
    <n v="333"/>
    <d v="2022-12-06T00:00:00"/>
    <s v="December"/>
    <n v="2022"/>
    <x v="54"/>
    <n v="148"/>
    <s v="4G"/>
  </r>
  <r>
    <n v="10058"/>
    <n v="477"/>
    <d v="2023-08-20T00:00:00"/>
    <s v="August"/>
    <n v="2023"/>
    <x v="55"/>
    <n v="279"/>
    <s v="4G"/>
  </r>
  <r>
    <n v="10059"/>
    <n v="287"/>
    <d v="2023-03-21T00:00:00"/>
    <s v="March"/>
    <n v="2023"/>
    <x v="56"/>
    <n v="181"/>
    <s v="4G"/>
  </r>
  <r>
    <n v="10060"/>
    <n v="303"/>
    <d v="2024-01-27T00:00:00"/>
    <s v="January"/>
    <n v="2024"/>
    <x v="4"/>
    <n v="165"/>
    <s v="4G"/>
  </r>
  <r>
    <n v="10061"/>
    <n v="311"/>
    <d v="2022-01-22T00:00:00"/>
    <s v="January"/>
    <n v="2022"/>
    <x v="57"/>
    <n v="16"/>
    <s v="5G"/>
  </r>
  <r>
    <n v="10062"/>
    <n v="208"/>
    <d v="2022-10-18T00:00:00"/>
    <s v="October"/>
    <n v="2022"/>
    <x v="58"/>
    <n v="149"/>
    <s v="4G"/>
  </r>
  <r>
    <n v="10063"/>
    <n v="106"/>
    <d v="2023-04-30T00:00:00"/>
    <s v="April"/>
    <n v="2023"/>
    <x v="59"/>
    <n v="44"/>
    <s v="4G"/>
  </r>
  <r>
    <n v="10064"/>
    <n v="446"/>
    <d v="2024-02-23T00:00:00"/>
    <s v="February"/>
    <n v="2024"/>
    <x v="60"/>
    <n v="188"/>
    <s v="5G"/>
  </r>
  <r>
    <n v="10065"/>
    <n v="158"/>
    <d v="2022-11-02T00:00:00"/>
    <s v="November"/>
    <n v="2022"/>
    <x v="61"/>
    <n v="138"/>
    <s v="5G"/>
  </r>
  <r>
    <n v="10066"/>
    <n v="121"/>
    <d v="2023-09-26T00:00:00"/>
    <s v="September"/>
    <n v="2023"/>
    <x v="62"/>
    <n v="60"/>
    <s v="4G"/>
  </r>
  <r>
    <n v="10067"/>
    <n v="55"/>
    <d v="2022-05-08T00:00:00"/>
    <s v="May"/>
    <n v="2022"/>
    <x v="63"/>
    <n v="293"/>
    <s v="5G"/>
  </r>
  <r>
    <n v="10068"/>
    <n v="400"/>
    <d v="2023-09-17T00:00:00"/>
    <s v="September"/>
    <n v="2023"/>
    <x v="64"/>
    <n v="32"/>
    <s v="4G"/>
  </r>
  <r>
    <n v="10069"/>
    <n v="12"/>
    <d v="2022-09-30T00:00:00"/>
    <s v="September"/>
    <n v="2022"/>
    <x v="65"/>
    <n v="298"/>
    <s v="5G"/>
  </r>
  <r>
    <n v="10070"/>
    <n v="145"/>
    <d v="2024-04-27T00:00:00"/>
    <s v="April"/>
    <n v="2024"/>
    <x v="66"/>
    <n v="111"/>
    <s v="4G"/>
  </r>
  <r>
    <n v="10071"/>
    <n v="400"/>
    <d v="2023-03-18T00:00:00"/>
    <s v="March"/>
    <n v="2023"/>
    <x v="67"/>
    <n v="290"/>
    <s v="5G"/>
  </r>
  <r>
    <n v="10072"/>
    <n v="396"/>
    <d v="2023-05-18T00:00:00"/>
    <s v="May"/>
    <n v="2023"/>
    <x v="68"/>
    <n v="36"/>
    <s v="4G"/>
  </r>
  <r>
    <n v="10073"/>
    <n v="136"/>
    <d v="2022-05-10T00:00:00"/>
    <s v="May"/>
    <n v="2022"/>
    <x v="69"/>
    <n v="99"/>
    <s v="4G"/>
  </r>
  <r>
    <n v="10074"/>
    <n v="468"/>
    <d v="2022-05-12T00:00:00"/>
    <s v="May"/>
    <n v="2022"/>
    <x v="70"/>
    <n v="22"/>
    <s v="4G"/>
  </r>
  <r>
    <n v="10075"/>
    <n v="3"/>
    <d v="2023-08-20T00:00:00"/>
    <s v="August"/>
    <n v="2023"/>
    <x v="71"/>
    <n v="217"/>
    <s v="4G"/>
  </r>
  <r>
    <n v="10076"/>
    <n v="144"/>
    <d v="2023-04-27T00:00:00"/>
    <s v="April"/>
    <n v="2023"/>
    <x v="72"/>
    <n v="88"/>
    <s v="5G"/>
  </r>
  <r>
    <n v="10077"/>
    <n v="30"/>
    <d v="2024-05-11T00:00:00"/>
    <s v="May"/>
    <n v="2024"/>
    <x v="73"/>
    <n v="208"/>
    <s v="4G"/>
  </r>
  <r>
    <n v="10078"/>
    <n v="237"/>
    <d v="2023-01-25T00:00:00"/>
    <s v="January"/>
    <n v="2023"/>
    <x v="74"/>
    <n v="270"/>
    <s v="4G"/>
  </r>
  <r>
    <n v="10079"/>
    <n v="279"/>
    <d v="2023-08-16T00:00:00"/>
    <s v="August"/>
    <n v="2023"/>
    <x v="75"/>
    <n v="236"/>
    <s v="4G"/>
  </r>
  <r>
    <n v="10080"/>
    <n v="348"/>
    <d v="2022-11-21T00:00:00"/>
    <s v="November"/>
    <n v="2022"/>
    <x v="76"/>
    <n v="208"/>
    <s v="4G"/>
  </r>
  <r>
    <n v="10081"/>
    <n v="115"/>
    <d v="2022-03-10T00:00:00"/>
    <s v="March"/>
    <n v="2022"/>
    <x v="77"/>
    <n v="277"/>
    <s v="5G"/>
  </r>
  <r>
    <n v="10082"/>
    <n v="104"/>
    <d v="2023-10-22T00:00:00"/>
    <s v="October"/>
    <n v="2023"/>
    <x v="78"/>
    <n v="205"/>
    <s v="4G"/>
  </r>
  <r>
    <n v="10083"/>
    <n v="118"/>
    <d v="2023-03-24T00:00:00"/>
    <s v="March"/>
    <n v="2023"/>
    <x v="79"/>
    <n v="77"/>
    <s v="4G"/>
  </r>
  <r>
    <n v="10084"/>
    <n v="5"/>
    <d v="2023-06-12T00:00:00"/>
    <s v="June"/>
    <n v="2023"/>
    <x v="80"/>
    <n v="97"/>
    <s v="5G"/>
  </r>
  <r>
    <n v="10085"/>
    <n v="468"/>
    <d v="2024-03-29T00:00:00"/>
    <s v="March"/>
    <n v="2024"/>
    <x v="71"/>
    <n v="93"/>
    <s v="5G"/>
  </r>
  <r>
    <n v="10086"/>
    <n v="360"/>
    <d v="2023-09-09T00:00:00"/>
    <s v="September"/>
    <n v="2023"/>
    <x v="81"/>
    <n v="79"/>
    <s v="4G"/>
  </r>
  <r>
    <n v="10087"/>
    <n v="248"/>
    <d v="2022-06-14T00:00:00"/>
    <s v="June"/>
    <n v="2022"/>
    <x v="82"/>
    <n v="37"/>
    <s v="4G"/>
  </r>
  <r>
    <n v="10088"/>
    <n v="364"/>
    <d v="2023-05-03T00:00:00"/>
    <s v="May"/>
    <n v="2023"/>
    <x v="50"/>
    <n v="227"/>
    <s v="5G"/>
  </r>
  <r>
    <n v="10089"/>
    <n v="321"/>
    <d v="2023-12-14T00:00:00"/>
    <s v="December"/>
    <n v="2023"/>
    <x v="83"/>
    <n v="133"/>
    <s v="5G"/>
  </r>
  <r>
    <n v="10090"/>
    <n v="121"/>
    <d v="2023-12-10T00:00:00"/>
    <s v="December"/>
    <n v="2023"/>
    <x v="84"/>
    <n v="195"/>
    <s v="5G"/>
  </r>
  <r>
    <n v="10091"/>
    <n v="286"/>
    <d v="2023-03-02T00:00:00"/>
    <s v="March"/>
    <n v="2023"/>
    <x v="85"/>
    <n v="281"/>
    <s v="5G"/>
  </r>
  <r>
    <n v="10092"/>
    <n v="149"/>
    <d v="2023-11-28T00:00:00"/>
    <s v="November"/>
    <n v="2023"/>
    <x v="86"/>
    <n v="100"/>
    <s v="5G"/>
  </r>
  <r>
    <n v="10093"/>
    <n v="84"/>
    <d v="2024-04-13T00:00:00"/>
    <s v="April"/>
    <n v="2024"/>
    <x v="87"/>
    <n v="74"/>
    <s v="5G"/>
  </r>
  <r>
    <n v="10094"/>
    <n v="454"/>
    <d v="2022-09-22T00:00:00"/>
    <s v="September"/>
    <n v="2022"/>
    <x v="88"/>
    <n v="293"/>
    <s v="5G"/>
  </r>
  <r>
    <n v="10095"/>
    <n v="406"/>
    <d v="2024-05-24T00:00:00"/>
    <s v="May"/>
    <n v="2024"/>
    <x v="89"/>
    <n v="207"/>
    <s v="4G"/>
  </r>
  <r>
    <n v="10096"/>
    <n v="466"/>
    <d v="2023-09-04T00:00:00"/>
    <s v="September"/>
    <n v="2023"/>
    <x v="90"/>
    <n v="82"/>
    <s v="4G"/>
  </r>
  <r>
    <n v="10097"/>
    <n v="456"/>
    <d v="2022-12-08T00:00:00"/>
    <s v="December"/>
    <n v="2022"/>
    <x v="91"/>
    <n v="142"/>
    <s v="4G"/>
  </r>
  <r>
    <n v="10098"/>
    <n v="231"/>
    <d v="2024-04-11T00:00:00"/>
    <s v="April"/>
    <n v="2024"/>
    <x v="92"/>
    <n v="55"/>
    <s v="4G"/>
  </r>
  <r>
    <n v="10099"/>
    <n v="288"/>
    <d v="2023-12-27T00:00:00"/>
    <s v="December"/>
    <n v="2023"/>
    <x v="93"/>
    <n v="286"/>
    <s v="5G"/>
  </r>
  <r>
    <n v="10100"/>
    <n v="161"/>
    <d v="2022-10-05T00:00:00"/>
    <s v="October"/>
    <n v="2022"/>
    <x v="94"/>
    <n v="210"/>
    <s v="5G"/>
  </r>
  <r>
    <n v="10101"/>
    <n v="272"/>
    <d v="2023-11-05T00:00:00"/>
    <s v="November"/>
    <n v="2023"/>
    <x v="95"/>
    <n v="178"/>
    <s v="5G"/>
  </r>
  <r>
    <n v="10102"/>
    <n v="460"/>
    <d v="2023-03-15T00:00:00"/>
    <s v="March"/>
    <n v="2023"/>
    <x v="96"/>
    <n v="57"/>
    <s v="5G"/>
  </r>
  <r>
    <n v="10103"/>
    <n v="38"/>
    <d v="2022-06-06T00:00:00"/>
    <s v="June"/>
    <n v="2022"/>
    <x v="64"/>
    <n v="72"/>
    <s v="4G"/>
  </r>
  <r>
    <n v="10104"/>
    <n v="500"/>
    <d v="2023-02-26T00:00:00"/>
    <s v="February"/>
    <n v="2023"/>
    <x v="97"/>
    <n v="214"/>
    <s v="5G"/>
  </r>
  <r>
    <n v="10105"/>
    <n v="226"/>
    <d v="2022-09-08T00:00:00"/>
    <s v="September"/>
    <n v="2022"/>
    <x v="7"/>
    <n v="265"/>
    <s v="4G"/>
  </r>
  <r>
    <n v="10106"/>
    <n v="142"/>
    <d v="2024-05-27T00:00:00"/>
    <s v="May"/>
    <n v="2024"/>
    <x v="98"/>
    <n v="72"/>
    <s v="4G"/>
  </r>
  <r>
    <n v="10107"/>
    <n v="292"/>
    <d v="2023-09-01T00:00:00"/>
    <s v="September"/>
    <n v="2023"/>
    <x v="99"/>
    <n v="270"/>
    <s v="4G"/>
  </r>
  <r>
    <n v="10108"/>
    <n v="481"/>
    <d v="2023-06-14T00:00:00"/>
    <s v="June"/>
    <n v="2023"/>
    <x v="29"/>
    <n v="233"/>
    <s v="5G"/>
  </r>
  <r>
    <n v="10109"/>
    <n v="151"/>
    <d v="2022-11-23T00:00:00"/>
    <s v="November"/>
    <n v="2022"/>
    <x v="14"/>
    <n v="18"/>
    <s v="4G"/>
  </r>
  <r>
    <n v="10110"/>
    <n v="114"/>
    <d v="2024-06-13T00:00:00"/>
    <s v="June"/>
    <n v="2024"/>
    <x v="11"/>
    <n v="112"/>
    <s v="5G"/>
  </r>
  <r>
    <n v="10111"/>
    <n v="237"/>
    <d v="2022-04-07T00:00:00"/>
    <s v="April"/>
    <n v="2022"/>
    <x v="100"/>
    <n v="62"/>
    <s v="4G"/>
  </r>
  <r>
    <n v="10112"/>
    <n v="66"/>
    <d v="2023-05-28T00:00:00"/>
    <s v="May"/>
    <n v="2023"/>
    <x v="101"/>
    <n v="183"/>
    <s v="4G"/>
  </r>
  <r>
    <n v="10113"/>
    <n v="361"/>
    <d v="2022-08-04T00:00:00"/>
    <s v="August"/>
    <n v="2022"/>
    <x v="102"/>
    <n v="276"/>
    <s v="4G"/>
  </r>
  <r>
    <n v="10114"/>
    <n v="341"/>
    <d v="2022-05-12T00:00:00"/>
    <s v="May"/>
    <n v="2022"/>
    <x v="103"/>
    <n v="161"/>
    <s v="4G"/>
  </r>
  <r>
    <n v="10115"/>
    <n v="258"/>
    <d v="2022-09-17T00:00:00"/>
    <s v="September"/>
    <n v="2022"/>
    <x v="104"/>
    <n v="242"/>
    <s v="5G"/>
  </r>
  <r>
    <n v="10116"/>
    <n v="475"/>
    <d v="2022-05-05T00:00:00"/>
    <s v="May"/>
    <n v="2022"/>
    <x v="105"/>
    <n v="144"/>
    <s v="4G"/>
  </r>
  <r>
    <n v="10117"/>
    <n v="249"/>
    <d v="2022-03-23T00:00:00"/>
    <s v="March"/>
    <n v="2022"/>
    <x v="77"/>
    <n v="145"/>
    <s v="5G"/>
  </r>
  <r>
    <n v="10118"/>
    <n v="457"/>
    <d v="2022-10-10T00:00:00"/>
    <s v="October"/>
    <n v="2022"/>
    <x v="67"/>
    <n v="80"/>
    <s v="5G"/>
  </r>
  <r>
    <n v="10119"/>
    <n v="449"/>
    <d v="2023-11-14T00:00:00"/>
    <s v="November"/>
    <n v="2023"/>
    <x v="55"/>
    <n v="42"/>
    <s v="5G"/>
  </r>
  <r>
    <n v="10120"/>
    <n v="331"/>
    <d v="2022-02-28T00:00:00"/>
    <s v="February"/>
    <n v="2022"/>
    <x v="106"/>
    <n v="292"/>
    <s v="4G"/>
  </r>
  <r>
    <n v="10121"/>
    <n v="323"/>
    <d v="2023-06-28T00:00:00"/>
    <s v="June"/>
    <n v="2023"/>
    <x v="107"/>
    <n v="175"/>
    <s v="5G"/>
  </r>
  <r>
    <n v="10122"/>
    <n v="180"/>
    <d v="2022-06-10T00:00:00"/>
    <s v="June"/>
    <n v="2022"/>
    <x v="108"/>
    <n v="68"/>
    <s v="4G"/>
  </r>
  <r>
    <n v="10123"/>
    <n v="190"/>
    <d v="2022-10-11T00:00:00"/>
    <s v="October"/>
    <n v="2022"/>
    <x v="109"/>
    <n v="55"/>
    <s v="4G"/>
  </r>
  <r>
    <n v="10124"/>
    <n v="407"/>
    <d v="2022-04-16T00:00:00"/>
    <s v="April"/>
    <n v="2022"/>
    <x v="110"/>
    <n v="118"/>
    <s v="4G"/>
  </r>
  <r>
    <n v="10125"/>
    <n v="154"/>
    <d v="2022-04-15T00:00:00"/>
    <s v="April"/>
    <n v="2022"/>
    <x v="111"/>
    <n v="203"/>
    <s v="5G"/>
  </r>
  <r>
    <n v="10126"/>
    <n v="196"/>
    <d v="2023-03-15T00:00:00"/>
    <s v="March"/>
    <n v="2023"/>
    <x v="77"/>
    <n v="54"/>
    <s v="4G"/>
  </r>
  <r>
    <n v="10127"/>
    <n v="466"/>
    <d v="2022-08-16T00:00:00"/>
    <s v="August"/>
    <n v="2022"/>
    <x v="112"/>
    <n v="37"/>
    <s v="4G"/>
  </r>
  <r>
    <n v="10128"/>
    <n v="311"/>
    <d v="2023-12-01T00:00:00"/>
    <s v="December"/>
    <n v="2023"/>
    <x v="56"/>
    <n v="242"/>
    <s v="4G"/>
  </r>
  <r>
    <n v="10129"/>
    <n v="262"/>
    <d v="2023-08-05T00:00:00"/>
    <s v="August"/>
    <n v="2023"/>
    <x v="113"/>
    <n v="200"/>
    <s v="4G"/>
  </r>
  <r>
    <n v="10130"/>
    <n v="419"/>
    <d v="2022-11-14T00:00:00"/>
    <s v="November"/>
    <n v="2022"/>
    <x v="114"/>
    <n v="235"/>
    <s v="4G"/>
  </r>
  <r>
    <n v="10131"/>
    <n v="406"/>
    <d v="2023-04-09T00:00:00"/>
    <s v="April"/>
    <n v="2023"/>
    <x v="99"/>
    <n v="14"/>
    <s v="5G"/>
  </r>
  <r>
    <n v="10132"/>
    <n v="427"/>
    <d v="2024-03-12T00:00:00"/>
    <s v="March"/>
    <n v="2024"/>
    <x v="115"/>
    <n v="143"/>
    <s v="4G"/>
  </r>
  <r>
    <n v="10133"/>
    <n v="143"/>
    <d v="2023-08-22T00:00:00"/>
    <s v="August"/>
    <n v="2023"/>
    <x v="74"/>
    <n v="76"/>
    <s v="5G"/>
  </r>
  <r>
    <n v="10134"/>
    <n v="342"/>
    <d v="2024-05-31T00:00:00"/>
    <s v="May"/>
    <n v="2024"/>
    <x v="116"/>
    <n v="262"/>
    <s v="4G"/>
  </r>
  <r>
    <n v="10135"/>
    <n v="316"/>
    <d v="2024-05-23T00:00:00"/>
    <s v="May"/>
    <n v="2024"/>
    <x v="117"/>
    <n v="184"/>
    <s v="5G"/>
  </r>
  <r>
    <n v="10136"/>
    <n v="101"/>
    <d v="2023-04-17T00:00:00"/>
    <s v="April"/>
    <n v="2023"/>
    <x v="118"/>
    <n v="54"/>
    <s v="4G"/>
  </r>
  <r>
    <n v="10137"/>
    <n v="244"/>
    <d v="2022-02-25T00:00:00"/>
    <s v="February"/>
    <n v="2022"/>
    <x v="119"/>
    <n v="3"/>
    <s v="4G"/>
  </r>
  <r>
    <n v="10138"/>
    <n v="490"/>
    <d v="2023-09-17T00:00:00"/>
    <s v="September"/>
    <n v="2023"/>
    <x v="120"/>
    <n v="298"/>
    <s v="4G"/>
  </r>
  <r>
    <n v="10139"/>
    <n v="12"/>
    <d v="2022-01-13T00:00:00"/>
    <s v="January"/>
    <n v="2022"/>
    <x v="77"/>
    <n v="39"/>
    <s v="4G"/>
  </r>
  <r>
    <n v="10140"/>
    <n v="239"/>
    <d v="2023-03-16T00:00:00"/>
    <s v="March"/>
    <n v="2023"/>
    <x v="121"/>
    <n v="229"/>
    <s v="5G"/>
  </r>
  <r>
    <n v="10141"/>
    <n v="49"/>
    <d v="2022-01-18T00:00:00"/>
    <s v="January"/>
    <n v="2022"/>
    <x v="122"/>
    <n v="285"/>
    <s v="4G"/>
  </r>
  <r>
    <n v="10142"/>
    <n v="42"/>
    <d v="2023-11-25T00:00:00"/>
    <s v="November"/>
    <n v="2023"/>
    <x v="37"/>
    <n v="137"/>
    <s v="5G"/>
  </r>
  <r>
    <n v="10143"/>
    <n v="166"/>
    <d v="2022-04-23T00:00:00"/>
    <s v="April"/>
    <n v="2022"/>
    <x v="53"/>
    <n v="102"/>
    <s v="5G"/>
  </r>
  <r>
    <n v="10144"/>
    <n v="82"/>
    <d v="2022-08-17T00:00:00"/>
    <s v="August"/>
    <n v="2022"/>
    <x v="123"/>
    <n v="6"/>
    <s v="4G"/>
  </r>
  <r>
    <n v="10145"/>
    <n v="429"/>
    <d v="2022-06-20T00:00:00"/>
    <s v="June"/>
    <n v="2022"/>
    <x v="98"/>
    <n v="163"/>
    <s v="4G"/>
  </r>
  <r>
    <n v="10146"/>
    <n v="291"/>
    <d v="2022-10-22T00:00:00"/>
    <s v="October"/>
    <n v="2022"/>
    <x v="124"/>
    <n v="275"/>
    <s v="4G"/>
  </r>
  <r>
    <n v="10147"/>
    <n v="158"/>
    <d v="2022-07-08T00:00:00"/>
    <s v="July"/>
    <n v="2022"/>
    <x v="2"/>
    <n v="48"/>
    <s v="4G"/>
  </r>
  <r>
    <n v="10148"/>
    <n v="216"/>
    <d v="2023-03-02T00:00:00"/>
    <s v="March"/>
    <n v="2023"/>
    <x v="64"/>
    <n v="95"/>
    <s v="4G"/>
  </r>
  <r>
    <n v="10149"/>
    <n v="490"/>
    <d v="2022-03-20T00:00:00"/>
    <s v="March"/>
    <n v="2022"/>
    <x v="125"/>
    <n v="58"/>
    <s v="5G"/>
  </r>
  <r>
    <n v="10150"/>
    <n v="158"/>
    <d v="2023-10-20T00:00:00"/>
    <s v="October"/>
    <n v="2023"/>
    <x v="50"/>
    <n v="230"/>
    <s v="4G"/>
  </r>
  <r>
    <n v="10151"/>
    <n v="462"/>
    <d v="2022-07-01T00:00:00"/>
    <s v="July"/>
    <n v="2022"/>
    <x v="126"/>
    <n v="176"/>
    <s v="4G"/>
  </r>
  <r>
    <n v="10152"/>
    <n v="134"/>
    <d v="2023-05-14T00:00:00"/>
    <s v="May"/>
    <n v="2023"/>
    <x v="127"/>
    <n v="89"/>
    <s v="4G"/>
  </r>
  <r>
    <n v="10153"/>
    <n v="67"/>
    <d v="2024-03-08T00:00:00"/>
    <s v="March"/>
    <n v="2024"/>
    <x v="128"/>
    <n v="281"/>
    <s v="4G"/>
  </r>
  <r>
    <n v="10154"/>
    <n v="336"/>
    <d v="2024-02-01T00:00:00"/>
    <s v="February"/>
    <n v="2024"/>
    <x v="6"/>
    <n v="35"/>
    <s v="5G"/>
  </r>
  <r>
    <n v="10155"/>
    <n v="7"/>
    <d v="2024-05-15T00:00:00"/>
    <s v="May"/>
    <n v="2024"/>
    <x v="129"/>
    <n v="170"/>
    <s v="5G"/>
  </r>
  <r>
    <n v="10156"/>
    <n v="436"/>
    <d v="2024-04-05T00:00:00"/>
    <s v="April"/>
    <n v="2024"/>
    <x v="118"/>
    <n v="125"/>
    <s v="5G"/>
  </r>
  <r>
    <n v="10157"/>
    <n v="14"/>
    <d v="2023-12-09T00:00:00"/>
    <s v="December"/>
    <n v="2023"/>
    <x v="130"/>
    <n v="298"/>
    <s v="5G"/>
  </r>
  <r>
    <n v="10158"/>
    <n v="73"/>
    <d v="2024-04-14T00:00:00"/>
    <s v="April"/>
    <n v="2024"/>
    <x v="131"/>
    <n v="203"/>
    <s v="4G"/>
  </r>
  <r>
    <n v="10159"/>
    <n v="399"/>
    <d v="2022-03-12T00:00:00"/>
    <s v="March"/>
    <n v="2022"/>
    <x v="21"/>
    <n v="288"/>
    <s v="4G"/>
  </r>
  <r>
    <n v="10160"/>
    <n v="405"/>
    <d v="2022-09-05T00:00:00"/>
    <s v="September"/>
    <n v="2022"/>
    <x v="132"/>
    <n v="96"/>
    <s v="4G"/>
  </r>
  <r>
    <n v="10161"/>
    <n v="163"/>
    <d v="2022-05-26T00:00:00"/>
    <s v="May"/>
    <n v="2022"/>
    <x v="133"/>
    <n v="237"/>
    <s v="5G"/>
  </r>
  <r>
    <n v="10162"/>
    <n v="66"/>
    <d v="2023-09-10T00:00:00"/>
    <s v="September"/>
    <n v="2023"/>
    <x v="134"/>
    <n v="172"/>
    <s v="5G"/>
  </r>
  <r>
    <n v="10163"/>
    <n v="347"/>
    <d v="2024-02-14T00:00:00"/>
    <s v="February"/>
    <n v="2024"/>
    <x v="37"/>
    <n v="87"/>
    <s v="4G"/>
  </r>
  <r>
    <n v="10164"/>
    <n v="130"/>
    <d v="2022-10-23T00:00:00"/>
    <s v="October"/>
    <n v="2022"/>
    <x v="135"/>
    <n v="16"/>
    <s v="4G"/>
  </r>
  <r>
    <n v="10165"/>
    <n v="419"/>
    <d v="2023-08-05T00:00:00"/>
    <s v="August"/>
    <n v="2023"/>
    <x v="136"/>
    <n v="139"/>
    <s v="4G"/>
  </r>
  <r>
    <n v="10166"/>
    <n v="466"/>
    <d v="2023-04-15T00:00:00"/>
    <s v="April"/>
    <n v="2023"/>
    <x v="137"/>
    <n v="253"/>
    <s v="5G"/>
  </r>
  <r>
    <n v="10167"/>
    <n v="206"/>
    <d v="2023-05-21T00:00:00"/>
    <s v="May"/>
    <n v="2023"/>
    <x v="138"/>
    <n v="277"/>
    <s v="4G"/>
  </r>
  <r>
    <n v="10168"/>
    <n v="276"/>
    <d v="2022-07-12T00:00:00"/>
    <s v="July"/>
    <n v="2022"/>
    <x v="139"/>
    <n v="150"/>
    <s v="5G"/>
  </r>
  <r>
    <n v="10169"/>
    <n v="466"/>
    <d v="2022-03-09T00:00:00"/>
    <s v="March"/>
    <n v="2022"/>
    <x v="64"/>
    <n v="139"/>
    <s v="4G"/>
  </r>
  <r>
    <n v="10170"/>
    <n v="256"/>
    <d v="2023-05-09T00:00:00"/>
    <s v="May"/>
    <n v="2023"/>
    <x v="140"/>
    <n v="113"/>
    <s v="4G"/>
  </r>
  <r>
    <n v="10171"/>
    <n v="266"/>
    <d v="2024-03-27T00:00:00"/>
    <s v="March"/>
    <n v="2024"/>
    <x v="141"/>
    <n v="67"/>
    <s v="5G"/>
  </r>
  <r>
    <n v="10172"/>
    <n v="25"/>
    <d v="2022-02-21T00:00:00"/>
    <s v="February"/>
    <n v="2022"/>
    <x v="142"/>
    <n v="178"/>
    <s v="4G"/>
  </r>
  <r>
    <n v="10173"/>
    <n v="450"/>
    <d v="2024-05-31T00:00:00"/>
    <s v="May"/>
    <n v="2024"/>
    <x v="143"/>
    <n v="124"/>
    <s v="5G"/>
  </r>
  <r>
    <n v="10174"/>
    <n v="281"/>
    <d v="2022-12-29T00:00:00"/>
    <s v="December"/>
    <n v="2022"/>
    <x v="144"/>
    <n v="232"/>
    <s v="5G"/>
  </r>
  <r>
    <n v="10175"/>
    <n v="253"/>
    <d v="2024-03-07T00:00:00"/>
    <s v="March"/>
    <n v="2024"/>
    <x v="145"/>
    <n v="146"/>
    <s v="4G"/>
  </r>
  <r>
    <n v="10176"/>
    <n v="310"/>
    <d v="2023-04-19T00:00:00"/>
    <s v="April"/>
    <n v="2023"/>
    <x v="107"/>
    <n v="110"/>
    <s v="5G"/>
  </r>
  <r>
    <n v="10177"/>
    <n v="289"/>
    <d v="2024-04-25T00:00:00"/>
    <s v="April"/>
    <n v="2024"/>
    <x v="146"/>
    <n v="237"/>
    <s v="4G"/>
  </r>
  <r>
    <n v="10178"/>
    <n v="164"/>
    <d v="2023-06-05T00:00:00"/>
    <s v="June"/>
    <n v="2023"/>
    <x v="147"/>
    <n v="2"/>
    <s v="4G"/>
  </r>
  <r>
    <n v="10179"/>
    <n v="95"/>
    <d v="2024-02-02T00:00:00"/>
    <s v="February"/>
    <n v="2024"/>
    <x v="148"/>
    <n v="210"/>
    <s v="5G"/>
  </r>
  <r>
    <n v="10180"/>
    <n v="270"/>
    <d v="2023-03-07T00:00:00"/>
    <s v="March"/>
    <n v="2023"/>
    <x v="59"/>
    <n v="24"/>
    <s v="4G"/>
  </r>
  <r>
    <n v="10181"/>
    <n v="321"/>
    <d v="2024-04-23T00:00:00"/>
    <s v="April"/>
    <n v="2024"/>
    <x v="109"/>
    <n v="183"/>
    <s v="4G"/>
  </r>
  <r>
    <n v="10182"/>
    <n v="110"/>
    <d v="2022-10-25T00:00:00"/>
    <s v="October"/>
    <n v="2022"/>
    <x v="149"/>
    <n v="60"/>
    <s v="5G"/>
  </r>
  <r>
    <n v="10183"/>
    <n v="336"/>
    <d v="2023-03-11T00:00:00"/>
    <s v="March"/>
    <n v="2023"/>
    <x v="120"/>
    <n v="122"/>
    <s v="4G"/>
  </r>
  <r>
    <n v="10184"/>
    <n v="310"/>
    <d v="2023-11-27T00:00:00"/>
    <s v="November"/>
    <n v="2023"/>
    <x v="82"/>
    <n v="54"/>
    <s v="5G"/>
  </r>
  <r>
    <n v="10185"/>
    <n v="238"/>
    <d v="2023-11-22T00:00:00"/>
    <s v="November"/>
    <n v="2023"/>
    <x v="150"/>
    <n v="162"/>
    <s v="5G"/>
  </r>
  <r>
    <n v="10186"/>
    <n v="381"/>
    <d v="2022-07-17T00:00:00"/>
    <s v="July"/>
    <n v="2022"/>
    <x v="8"/>
    <n v="186"/>
    <s v="4G"/>
  </r>
  <r>
    <n v="10187"/>
    <n v="436"/>
    <d v="2022-05-08T00:00:00"/>
    <s v="May"/>
    <n v="2022"/>
    <x v="151"/>
    <n v="38"/>
    <s v="4G"/>
  </r>
  <r>
    <n v="10188"/>
    <n v="387"/>
    <d v="2023-06-16T00:00:00"/>
    <s v="June"/>
    <n v="2023"/>
    <x v="152"/>
    <n v="184"/>
    <s v="4G"/>
  </r>
  <r>
    <n v="10189"/>
    <n v="483"/>
    <d v="2023-02-15T00:00:00"/>
    <s v="February"/>
    <n v="2023"/>
    <x v="145"/>
    <n v="82"/>
    <s v="4G"/>
  </r>
  <r>
    <n v="10190"/>
    <n v="425"/>
    <d v="2024-04-19T00:00:00"/>
    <s v="April"/>
    <n v="2024"/>
    <x v="153"/>
    <n v="194"/>
    <s v="5G"/>
  </r>
  <r>
    <n v="10191"/>
    <n v="390"/>
    <d v="2022-03-06T00:00:00"/>
    <s v="March"/>
    <n v="2022"/>
    <x v="154"/>
    <n v="33"/>
    <s v="5G"/>
  </r>
  <r>
    <n v="10192"/>
    <n v="25"/>
    <d v="2023-11-25T00:00:00"/>
    <s v="November"/>
    <n v="2023"/>
    <x v="155"/>
    <n v="112"/>
    <s v="4G"/>
  </r>
  <r>
    <n v="10193"/>
    <n v="141"/>
    <d v="2022-08-29T00:00:00"/>
    <s v="August"/>
    <n v="2022"/>
    <x v="156"/>
    <n v="229"/>
    <s v="4G"/>
  </r>
  <r>
    <n v="10194"/>
    <n v="117"/>
    <d v="2023-01-04T00:00:00"/>
    <s v="January"/>
    <n v="2023"/>
    <x v="157"/>
    <n v="282"/>
    <s v="5G"/>
  </r>
  <r>
    <n v="10195"/>
    <n v="482"/>
    <d v="2023-06-20T00:00:00"/>
    <s v="June"/>
    <n v="2023"/>
    <x v="158"/>
    <n v="286"/>
    <s v="4G"/>
  </r>
  <r>
    <n v="10196"/>
    <n v="392"/>
    <d v="2023-01-19T00:00:00"/>
    <s v="January"/>
    <n v="2023"/>
    <x v="150"/>
    <n v="154"/>
    <s v="5G"/>
  </r>
  <r>
    <n v="10197"/>
    <n v="405"/>
    <d v="2023-03-07T00:00:00"/>
    <s v="March"/>
    <n v="2023"/>
    <x v="159"/>
    <n v="164"/>
    <s v="5G"/>
  </r>
  <r>
    <n v="10198"/>
    <n v="482"/>
    <d v="2022-03-24T00:00:00"/>
    <s v="March"/>
    <n v="2022"/>
    <x v="85"/>
    <n v="181"/>
    <s v="4G"/>
  </r>
  <r>
    <n v="10199"/>
    <n v="452"/>
    <d v="2024-04-10T00:00:00"/>
    <s v="April"/>
    <n v="2024"/>
    <x v="160"/>
    <n v="238"/>
    <s v="4G"/>
  </r>
  <r>
    <n v="10200"/>
    <n v="25"/>
    <d v="2023-11-28T00:00:00"/>
    <s v="November"/>
    <n v="2023"/>
    <x v="161"/>
    <n v="136"/>
    <s v="5G"/>
  </r>
  <r>
    <n v="10201"/>
    <n v="79"/>
    <d v="2024-04-07T00:00:00"/>
    <s v="April"/>
    <n v="2024"/>
    <x v="162"/>
    <n v="265"/>
    <s v="4G"/>
  </r>
  <r>
    <n v="10202"/>
    <n v="68"/>
    <d v="2023-09-03T00:00:00"/>
    <s v="September"/>
    <n v="2023"/>
    <x v="36"/>
    <n v="186"/>
    <s v="4G"/>
  </r>
  <r>
    <n v="10203"/>
    <n v="173"/>
    <d v="2023-07-28T00:00:00"/>
    <s v="July"/>
    <n v="2023"/>
    <x v="163"/>
    <n v="39"/>
    <s v="5G"/>
  </r>
  <r>
    <n v="10204"/>
    <n v="444"/>
    <d v="2022-10-13T00:00:00"/>
    <s v="October"/>
    <n v="2022"/>
    <x v="164"/>
    <n v="166"/>
    <s v="5G"/>
  </r>
  <r>
    <n v="10205"/>
    <n v="12"/>
    <d v="2023-06-18T00:00:00"/>
    <s v="June"/>
    <n v="2023"/>
    <x v="82"/>
    <n v="259"/>
    <s v="4G"/>
  </r>
  <r>
    <n v="10206"/>
    <n v="288"/>
    <d v="2023-04-04T00:00:00"/>
    <s v="April"/>
    <n v="2023"/>
    <x v="39"/>
    <n v="142"/>
    <s v="4G"/>
  </r>
  <r>
    <n v="10207"/>
    <n v="128"/>
    <d v="2022-07-31T00:00:00"/>
    <s v="July"/>
    <n v="2022"/>
    <x v="6"/>
    <n v="203"/>
    <s v="4G"/>
  </r>
  <r>
    <n v="10208"/>
    <n v="96"/>
    <d v="2022-05-06T00:00:00"/>
    <s v="May"/>
    <n v="2022"/>
    <x v="165"/>
    <n v="175"/>
    <s v="4G"/>
  </r>
  <r>
    <n v="10209"/>
    <n v="92"/>
    <d v="2023-02-17T00:00:00"/>
    <s v="February"/>
    <n v="2023"/>
    <x v="166"/>
    <n v="261"/>
    <s v="4G"/>
  </r>
  <r>
    <n v="10210"/>
    <n v="141"/>
    <d v="2023-05-14T00:00:00"/>
    <s v="May"/>
    <n v="2023"/>
    <x v="167"/>
    <n v="251"/>
    <s v="4G"/>
  </r>
  <r>
    <n v="10211"/>
    <n v="31"/>
    <d v="2023-03-01T00:00:00"/>
    <s v="March"/>
    <n v="2023"/>
    <x v="168"/>
    <n v="199"/>
    <s v="4G"/>
  </r>
  <r>
    <n v="10212"/>
    <n v="334"/>
    <d v="2023-07-08T00:00:00"/>
    <s v="July"/>
    <n v="2023"/>
    <x v="169"/>
    <n v="198"/>
    <s v="4G"/>
  </r>
  <r>
    <n v="10213"/>
    <n v="20"/>
    <d v="2023-09-02T00:00:00"/>
    <s v="September"/>
    <n v="2023"/>
    <x v="170"/>
    <n v="195"/>
    <s v="4G"/>
  </r>
  <r>
    <n v="10214"/>
    <n v="146"/>
    <d v="2023-06-27T00:00:00"/>
    <s v="June"/>
    <n v="2023"/>
    <x v="110"/>
    <n v="76"/>
    <s v="4G"/>
  </r>
  <r>
    <n v="10215"/>
    <n v="477"/>
    <d v="2022-06-07T00:00:00"/>
    <s v="June"/>
    <n v="2022"/>
    <x v="140"/>
    <n v="18"/>
    <s v="4G"/>
  </r>
  <r>
    <n v="10216"/>
    <n v="316"/>
    <d v="2022-04-22T00:00:00"/>
    <s v="April"/>
    <n v="2022"/>
    <x v="114"/>
    <n v="61"/>
    <s v="4G"/>
  </r>
  <r>
    <n v="10217"/>
    <n v="447"/>
    <d v="2023-02-06T00:00:00"/>
    <s v="February"/>
    <n v="2023"/>
    <x v="47"/>
    <n v="280"/>
    <s v="5G"/>
  </r>
  <r>
    <n v="10218"/>
    <n v="390"/>
    <d v="2024-01-29T00:00:00"/>
    <s v="January"/>
    <n v="2024"/>
    <x v="171"/>
    <n v="249"/>
    <s v="4G"/>
  </r>
  <r>
    <n v="10219"/>
    <n v="160"/>
    <d v="2022-05-02T00:00:00"/>
    <s v="May"/>
    <n v="2022"/>
    <x v="172"/>
    <n v="226"/>
    <s v="4G"/>
  </r>
  <r>
    <n v="10220"/>
    <n v="349"/>
    <d v="2022-09-30T00:00:00"/>
    <s v="September"/>
    <n v="2022"/>
    <x v="173"/>
    <n v="126"/>
    <s v="5G"/>
  </r>
  <r>
    <n v="10221"/>
    <n v="43"/>
    <d v="2022-10-21T00:00:00"/>
    <s v="October"/>
    <n v="2022"/>
    <x v="174"/>
    <n v="57"/>
    <s v="4G"/>
  </r>
  <r>
    <n v="10222"/>
    <n v="254"/>
    <d v="2023-02-02T00:00:00"/>
    <s v="February"/>
    <n v="2023"/>
    <x v="116"/>
    <n v="203"/>
    <s v="5G"/>
  </r>
  <r>
    <n v="10223"/>
    <n v="130"/>
    <d v="2023-04-16T00:00:00"/>
    <s v="April"/>
    <n v="2023"/>
    <x v="33"/>
    <n v="242"/>
    <s v="4G"/>
  </r>
  <r>
    <n v="10224"/>
    <n v="60"/>
    <d v="2022-07-26T00:00:00"/>
    <s v="July"/>
    <n v="2022"/>
    <x v="115"/>
    <n v="251"/>
    <s v="4G"/>
  </r>
  <r>
    <n v="10225"/>
    <n v="151"/>
    <d v="2022-04-20T00:00:00"/>
    <s v="April"/>
    <n v="2022"/>
    <x v="175"/>
    <n v="198"/>
    <s v="4G"/>
  </r>
  <r>
    <n v="10226"/>
    <n v="467"/>
    <d v="2023-03-16T00:00:00"/>
    <s v="March"/>
    <n v="2023"/>
    <x v="140"/>
    <n v="239"/>
    <s v="4G"/>
  </r>
  <r>
    <n v="10227"/>
    <n v="287"/>
    <d v="2022-10-05T00:00:00"/>
    <s v="October"/>
    <n v="2022"/>
    <x v="176"/>
    <n v="138"/>
    <s v="4G"/>
  </r>
  <r>
    <n v="10228"/>
    <n v="499"/>
    <d v="2023-07-22T00:00:00"/>
    <s v="July"/>
    <n v="2023"/>
    <x v="32"/>
    <n v="121"/>
    <s v="4G"/>
  </r>
  <r>
    <n v="10229"/>
    <n v="5"/>
    <d v="2024-06-05T00:00:00"/>
    <s v="June"/>
    <n v="2024"/>
    <x v="177"/>
    <n v="48"/>
    <s v="4G"/>
  </r>
  <r>
    <n v="10230"/>
    <n v="467"/>
    <d v="2023-07-23T00:00:00"/>
    <s v="July"/>
    <n v="2023"/>
    <x v="178"/>
    <n v="114"/>
    <s v="5G"/>
  </r>
  <r>
    <n v="10231"/>
    <n v="418"/>
    <d v="2023-04-27T00:00:00"/>
    <s v="April"/>
    <n v="2023"/>
    <x v="179"/>
    <n v="250"/>
    <s v="4G"/>
  </r>
  <r>
    <n v="10232"/>
    <n v="266"/>
    <d v="2024-03-13T00:00:00"/>
    <s v="March"/>
    <n v="2024"/>
    <x v="180"/>
    <n v="6"/>
    <s v="4G"/>
  </r>
  <r>
    <n v="10233"/>
    <n v="345"/>
    <d v="2022-04-24T00:00:00"/>
    <s v="April"/>
    <n v="2022"/>
    <x v="181"/>
    <n v="218"/>
    <s v="4G"/>
  </r>
  <r>
    <n v="10234"/>
    <n v="130"/>
    <d v="2024-06-11T00:00:00"/>
    <s v="June"/>
    <n v="2024"/>
    <x v="110"/>
    <n v="76"/>
    <s v="4G"/>
  </r>
  <r>
    <n v="10235"/>
    <n v="382"/>
    <d v="2024-06-15T00:00:00"/>
    <s v="June"/>
    <n v="2024"/>
    <x v="182"/>
    <n v="178"/>
    <s v="5G"/>
  </r>
  <r>
    <n v="10236"/>
    <n v="267"/>
    <d v="2024-03-30T00:00:00"/>
    <s v="March"/>
    <n v="2024"/>
    <x v="183"/>
    <n v="144"/>
    <s v="4G"/>
  </r>
  <r>
    <n v="10237"/>
    <n v="178"/>
    <d v="2024-05-02T00:00:00"/>
    <s v="May"/>
    <n v="2024"/>
    <x v="184"/>
    <n v="153"/>
    <s v="4G"/>
  </r>
  <r>
    <n v="10238"/>
    <n v="253"/>
    <d v="2023-04-22T00:00:00"/>
    <s v="April"/>
    <n v="2023"/>
    <x v="185"/>
    <n v="120"/>
    <s v="5G"/>
  </r>
  <r>
    <n v="10239"/>
    <n v="415"/>
    <d v="2023-12-11T00:00:00"/>
    <s v="December"/>
    <n v="2023"/>
    <x v="80"/>
    <n v="123"/>
    <s v="5G"/>
  </r>
  <r>
    <n v="10240"/>
    <n v="56"/>
    <d v="2022-11-17T00:00:00"/>
    <s v="November"/>
    <n v="2022"/>
    <x v="174"/>
    <n v="149"/>
    <s v="4G"/>
  </r>
  <r>
    <n v="10241"/>
    <n v="463"/>
    <d v="2022-06-28T00:00:00"/>
    <s v="June"/>
    <n v="2022"/>
    <x v="186"/>
    <n v="267"/>
    <s v="4G"/>
  </r>
  <r>
    <n v="10242"/>
    <n v="457"/>
    <d v="2024-06-15T00:00:00"/>
    <s v="June"/>
    <n v="2024"/>
    <x v="187"/>
    <n v="0"/>
    <s v="4G"/>
  </r>
  <r>
    <n v="10243"/>
    <n v="471"/>
    <d v="2022-08-07T00:00:00"/>
    <s v="August"/>
    <n v="2022"/>
    <x v="188"/>
    <n v="160"/>
    <s v="4G"/>
  </r>
  <r>
    <n v="10244"/>
    <n v="83"/>
    <d v="2024-02-28T00:00:00"/>
    <s v="February"/>
    <n v="2024"/>
    <x v="189"/>
    <n v="243"/>
    <s v="4G"/>
  </r>
  <r>
    <n v="10245"/>
    <n v="393"/>
    <d v="2023-06-12T00:00:00"/>
    <s v="June"/>
    <n v="2023"/>
    <x v="23"/>
    <n v="250"/>
    <s v="4G"/>
  </r>
  <r>
    <n v="10246"/>
    <n v="99"/>
    <d v="2023-05-07T00:00:00"/>
    <s v="May"/>
    <n v="2023"/>
    <x v="106"/>
    <n v="63"/>
    <s v="5G"/>
  </r>
  <r>
    <n v="10247"/>
    <n v="149"/>
    <d v="2024-06-09T00:00:00"/>
    <s v="June"/>
    <n v="2024"/>
    <x v="190"/>
    <n v="298"/>
    <s v="4G"/>
  </r>
  <r>
    <n v="10248"/>
    <n v="329"/>
    <d v="2022-03-02T00:00:00"/>
    <s v="March"/>
    <n v="2022"/>
    <x v="191"/>
    <n v="247"/>
    <s v="4G"/>
  </r>
  <r>
    <n v="10249"/>
    <n v="156"/>
    <d v="2022-02-23T00:00:00"/>
    <s v="February"/>
    <n v="2022"/>
    <x v="192"/>
    <n v="296"/>
    <s v="4G"/>
  </r>
  <r>
    <n v="10250"/>
    <n v="190"/>
    <d v="2023-11-11T00:00:00"/>
    <s v="November"/>
    <n v="2023"/>
    <x v="97"/>
    <n v="114"/>
    <s v="4G"/>
  </r>
  <r>
    <n v="10251"/>
    <n v="494"/>
    <d v="2023-06-22T00:00:00"/>
    <s v="June"/>
    <n v="2023"/>
    <x v="171"/>
    <n v="294"/>
    <s v="4G"/>
  </r>
  <r>
    <n v="10252"/>
    <n v="371"/>
    <d v="2024-04-27T00:00:00"/>
    <s v="April"/>
    <n v="2024"/>
    <x v="193"/>
    <n v="0"/>
    <s v="4G"/>
  </r>
  <r>
    <n v="10253"/>
    <n v="263"/>
    <d v="2022-03-06T00:00:00"/>
    <s v="March"/>
    <n v="2022"/>
    <x v="194"/>
    <n v="40"/>
    <s v="4G"/>
  </r>
  <r>
    <n v="10254"/>
    <n v="80"/>
    <d v="2023-09-04T00:00:00"/>
    <s v="September"/>
    <n v="2023"/>
    <x v="174"/>
    <n v="172"/>
    <s v="4G"/>
  </r>
  <r>
    <n v="10255"/>
    <n v="400"/>
    <d v="2023-08-09T00:00:00"/>
    <s v="August"/>
    <n v="2023"/>
    <x v="44"/>
    <n v="87"/>
    <s v="4G"/>
  </r>
  <r>
    <n v="10256"/>
    <n v="252"/>
    <d v="2023-12-05T00:00:00"/>
    <s v="December"/>
    <n v="2023"/>
    <x v="74"/>
    <n v="97"/>
    <s v="4G"/>
  </r>
  <r>
    <n v="10257"/>
    <n v="97"/>
    <d v="2022-06-20T00:00:00"/>
    <s v="June"/>
    <n v="2022"/>
    <x v="104"/>
    <n v="87"/>
    <s v="4G"/>
  </r>
  <r>
    <n v="10258"/>
    <n v="260"/>
    <d v="2022-09-30T00:00:00"/>
    <s v="September"/>
    <n v="2022"/>
    <x v="195"/>
    <n v="250"/>
    <s v="4G"/>
  </r>
  <r>
    <n v="10259"/>
    <n v="260"/>
    <d v="2024-06-07T00:00:00"/>
    <s v="June"/>
    <n v="2024"/>
    <x v="196"/>
    <n v="140"/>
    <s v="4G"/>
  </r>
  <r>
    <n v="10260"/>
    <n v="103"/>
    <d v="2023-11-30T00:00:00"/>
    <s v="November"/>
    <n v="2023"/>
    <x v="197"/>
    <n v="70"/>
    <s v="4G"/>
  </r>
  <r>
    <n v="10261"/>
    <n v="40"/>
    <d v="2023-06-19T00:00:00"/>
    <s v="June"/>
    <n v="2023"/>
    <x v="46"/>
    <n v="136"/>
    <s v="5G"/>
  </r>
  <r>
    <n v="10262"/>
    <n v="273"/>
    <d v="2023-01-26T00:00:00"/>
    <s v="January"/>
    <n v="2023"/>
    <x v="198"/>
    <n v="98"/>
    <s v="5G"/>
  </r>
  <r>
    <n v="10263"/>
    <n v="101"/>
    <d v="2023-11-24T00:00:00"/>
    <s v="November"/>
    <n v="2023"/>
    <x v="168"/>
    <n v="150"/>
    <s v="4G"/>
  </r>
  <r>
    <n v="10264"/>
    <n v="359"/>
    <d v="2022-11-23T00:00:00"/>
    <s v="November"/>
    <n v="2022"/>
    <x v="117"/>
    <n v="174"/>
    <s v="5G"/>
  </r>
  <r>
    <n v="10265"/>
    <n v="380"/>
    <d v="2022-04-18T00:00:00"/>
    <s v="April"/>
    <n v="2022"/>
    <x v="32"/>
    <n v="166"/>
    <s v="4G"/>
  </r>
  <r>
    <n v="10266"/>
    <n v="308"/>
    <d v="2024-04-26T00:00:00"/>
    <s v="April"/>
    <n v="2024"/>
    <x v="122"/>
    <n v="256"/>
    <s v="5G"/>
  </r>
  <r>
    <n v="10267"/>
    <n v="221"/>
    <d v="2022-06-11T00:00:00"/>
    <s v="June"/>
    <n v="2022"/>
    <x v="199"/>
    <n v="223"/>
    <s v="4G"/>
  </r>
  <r>
    <n v="10268"/>
    <n v="308"/>
    <d v="2024-03-24T00:00:00"/>
    <s v="March"/>
    <n v="2024"/>
    <x v="64"/>
    <n v="64"/>
    <s v="4G"/>
  </r>
  <r>
    <n v="10269"/>
    <n v="420"/>
    <d v="2023-03-28T00:00:00"/>
    <s v="March"/>
    <n v="2023"/>
    <x v="200"/>
    <n v="68"/>
    <s v="4G"/>
  </r>
  <r>
    <n v="10270"/>
    <n v="124"/>
    <d v="2022-07-25T00:00:00"/>
    <s v="July"/>
    <n v="2022"/>
    <x v="201"/>
    <n v="66"/>
    <s v="4G"/>
  </r>
  <r>
    <n v="10271"/>
    <n v="422"/>
    <d v="2023-08-13T00:00:00"/>
    <s v="August"/>
    <n v="2023"/>
    <x v="202"/>
    <n v="49"/>
    <s v="5G"/>
  </r>
  <r>
    <n v="10272"/>
    <n v="231"/>
    <d v="2022-01-16T00:00:00"/>
    <s v="January"/>
    <n v="2022"/>
    <x v="203"/>
    <n v="90"/>
    <s v="4G"/>
  </r>
  <r>
    <n v="10273"/>
    <n v="178"/>
    <d v="2022-11-23T00:00:00"/>
    <s v="November"/>
    <n v="2022"/>
    <x v="204"/>
    <n v="114"/>
    <s v="4G"/>
  </r>
  <r>
    <n v="10274"/>
    <n v="63"/>
    <d v="2023-08-31T00:00:00"/>
    <s v="August"/>
    <n v="2023"/>
    <x v="102"/>
    <n v="56"/>
    <s v="4G"/>
  </r>
  <r>
    <n v="10275"/>
    <n v="485"/>
    <d v="2023-10-21T00:00:00"/>
    <s v="October"/>
    <n v="2023"/>
    <x v="205"/>
    <n v="17"/>
    <s v="4G"/>
  </r>
  <r>
    <n v="10276"/>
    <n v="116"/>
    <d v="2022-01-02T00:00:00"/>
    <s v="January"/>
    <n v="2022"/>
    <x v="206"/>
    <n v="271"/>
    <s v="4G"/>
  </r>
  <r>
    <n v="10277"/>
    <n v="191"/>
    <d v="2022-01-10T00:00:00"/>
    <s v="January"/>
    <n v="2022"/>
    <x v="207"/>
    <n v="129"/>
    <s v="4G"/>
  </r>
  <r>
    <n v="10278"/>
    <n v="62"/>
    <d v="2023-03-10T00:00:00"/>
    <s v="March"/>
    <n v="2023"/>
    <x v="208"/>
    <n v="268"/>
    <s v="4G"/>
  </r>
  <r>
    <n v="10279"/>
    <n v="256"/>
    <d v="2022-05-05T00:00:00"/>
    <s v="May"/>
    <n v="2022"/>
    <x v="103"/>
    <n v="79"/>
    <s v="5G"/>
  </r>
  <r>
    <n v="10280"/>
    <n v="483"/>
    <d v="2022-03-22T00:00:00"/>
    <s v="March"/>
    <n v="2022"/>
    <x v="207"/>
    <n v="298"/>
    <s v="4G"/>
  </r>
  <r>
    <n v="10281"/>
    <n v="7"/>
    <d v="2023-04-30T00:00:00"/>
    <s v="April"/>
    <n v="2023"/>
    <x v="209"/>
    <n v="201"/>
    <s v="4G"/>
  </r>
  <r>
    <n v="10282"/>
    <n v="155"/>
    <d v="2023-10-14T00:00:00"/>
    <s v="October"/>
    <n v="2023"/>
    <x v="210"/>
    <n v="224"/>
    <s v="4G"/>
  </r>
  <r>
    <n v="10283"/>
    <n v="92"/>
    <d v="2024-04-17T00:00:00"/>
    <s v="April"/>
    <n v="2024"/>
    <x v="211"/>
    <n v="158"/>
    <s v="5G"/>
  </r>
  <r>
    <n v="10284"/>
    <n v="470"/>
    <d v="2022-05-30T00:00:00"/>
    <s v="May"/>
    <n v="2022"/>
    <x v="91"/>
    <n v="203"/>
    <s v="4G"/>
  </r>
  <r>
    <n v="10285"/>
    <n v="14"/>
    <d v="2024-03-10T00:00:00"/>
    <s v="March"/>
    <n v="2024"/>
    <x v="212"/>
    <n v="136"/>
    <s v="4G"/>
  </r>
  <r>
    <n v="10286"/>
    <n v="455"/>
    <d v="2024-05-22T00:00:00"/>
    <s v="May"/>
    <n v="2024"/>
    <x v="213"/>
    <n v="72"/>
    <s v="5G"/>
  </r>
  <r>
    <n v="10287"/>
    <n v="229"/>
    <d v="2022-12-06T00:00:00"/>
    <s v="December"/>
    <n v="2022"/>
    <x v="214"/>
    <n v="47"/>
    <s v="4G"/>
  </r>
  <r>
    <n v="10288"/>
    <n v="86"/>
    <d v="2022-05-09T00:00:00"/>
    <s v="May"/>
    <n v="2022"/>
    <x v="215"/>
    <n v="17"/>
    <s v="4G"/>
  </r>
  <r>
    <n v="10289"/>
    <n v="133"/>
    <d v="2023-03-14T00:00:00"/>
    <s v="March"/>
    <n v="2023"/>
    <x v="216"/>
    <n v="266"/>
    <s v="4G"/>
  </r>
  <r>
    <n v="10290"/>
    <n v="183"/>
    <d v="2024-01-21T00:00:00"/>
    <s v="January"/>
    <n v="2024"/>
    <x v="212"/>
    <n v="18"/>
    <s v="5G"/>
  </r>
  <r>
    <n v="10291"/>
    <n v="386"/>
    <d v="2023-05-16T00:00:00"/>
    <s v="May"/>
    <n v="2023"/>
    <x v="217"/>
    <n v="99"/>
    <s v="5G"/>
  </r>
  <r>
    <n v="10292"/>
    <n v="62"/>
    <d v="2022-02-27T00:00:00"/>
    <s v="February"/>
    <n v="2022"/>
    <x v="218"/>
    <n v="115"/>
    <s v="5G"/>
  </r>
  <r>
    <n v="10293"/>
    <n v="219"/>
    <d v="2022-07-17T00:00:00"/>
    <s v="July"/>
    <n v="2022"/>
    <x v="29"/>
    <n v="73"/>
    <s v="4G"/>
  </r>
  <r>
    <n v="10294"/>
    <n v="405"/>
    <d v="2022-07-30T00:00:00"/>
    <s v="July"/>
    <n v="2022"/>
    <x v="219"/>
    <n v="279"/>
    <s v="4G"/>
  </r>
  <r>
    <n v="10295"/>
    <n v="246"/>
    <d v="2022-02-14T00:00:00"/>
    <s v="February"/>
    <n v="2022"/>
    <x v="146"/>
    <n v="268"/>
    <s v="4G"/>
  </r>
  <r>
    <n v="10296"/>
    <n v="230"/>
    <d v="2022-04-07T00:00:00"/>
    <s v="April"/>
    <n v="2022"/>
    <x v="45"/>
    <n v="124"/>
    <s v="5G"/>
  </r>
  <r>
    <n v="10297"/>
    <n v="79"/>
    <d v="2022-10-06T00:00:00"/>
    <s v="October"/>
    <n v="2022"/>
    <x v="119"/>
    <n v="115"/>
    <s v="5G"/>
  </r>
  <r>
    <n v="10298"/>
    <n v="149"/>
    <d v="2023-06-19T00:00:00"/>
    <s v="June"/>
    <n v="2023"/>
    <x v="62"/>
    <n v="173"/>
    <s v="4G"/>
  </r>
  <r>
    <n v="10299"/>
    <n v="138"/>
    <d v="2023-02-14T00:00:00"/>
    <s v="February"/>
    <n v="2023"/>
    <x v="57"/>
    <n v="180"/>
    <s v="4G"/>
  </r>
  <r>
    <n v="10300"/>
    <n v="471"/>
    <d v="2023-04-06T00:00:00"/>
    <s v="April"/>
    <n v="2023"/>
    <x v="29"/>
    <n v="225"/>
    <s v="4G"/>
  </r>
  <r>
    <n v="10301"/>
    <n v="314"/>
    <d v="2023-01-26T00:00:00"/>
    <s v="January"/>
    <n v="2023"/>
    <x v="126"/>
    <n v="156"/>
    <s v="4G"/>
  </r>
  <r>
    <n v="10302"/>
    <n v="376"/>
    <d v="2024-04-26T00:00:00"/>
    <s v="April"/>
    <n v="2024"/>
    <x v="220"/>
    <n v="163"/>
    <s v="4G"/>
  </r>
  <r>
    <n v="10303"/>
    <n v="423"/>
    <d v="2022-02-13T00:00:00"/>
    <s v="February"/>
    <n v="2022"/>
    <x v="221"/>
    <n v="70"/>
    <s v="4G"/>
  </r>
  <r>
    <n v="10304"/>
    <n v="389"/>
    <d v="2022-01-27T00:00:00"/>
    <s v="January"/>
    <n v="2022"/>
    <x v="222"/>
    <n v="221"/>
    <s v="4G"/>
  </r>
  <r>
    <n v="10305"/>
    <n v="65"/>
    <d v="2024-03-04T00:00:00"/>
    <s v="March"/>
    <n v="2024"/>
    <x v="223"/>
    <n v="125"/>
    <s v="4G"/>
  </r>
  <r>
    <n v="10306"/>
    <n v="13"/>
    <d v="2022-04-07T00:00:00"/>
    <s v="April"/>
    <n v="2022"/>
    <x v="224"/>
    <n v="144"/>
    <s v="5G"/>
  </r>
  <r>
    <n v="10307"/>
    <n v="213"/>
    <d v="2023-07-02T00:00:00"/>
    <s v="July"/>
    <n v="2023"/>
    <x v="225"/>
    <n v="175"/>
    <s v="5G"/>
  </r>
  <r>
    <n v="10308"/>
    <n v="474"/>
    <d v="2023-09-13T00:00:00"/>
    <s v="September"/>
    <n v="2023"/>
    <x v="226"/>
    <n v="151"/>
    <s v="5G"/>
  </r>
  <r>
    <n v="10309"/>
    <n v="242"/>
    <d v="2023-07-21T00:00:00"/>
    <s v="July"/>
    <n v="2023"/>
    <x v="227"/>
    <n v="181"/>
    <s v="5G"/>
  </r>
  <r>
    <n v="10310"/>
    <n v="493"/>
    <d v="2023-12-05T00:00:00"/>
    <s v="December"/>
    <n v="2023"/>
    <x v="228"/>
    <n v="84"/>
    <s v="4G"/>
  </r>
  <r>
    <n v="10311"/>
    <n v="213"/>
    <d v="2022-08-07T00:00:00"/>
    <s v="August"/>
    <n v="2022"/>
    <x v="229"/>
    <n v="120"/>
    <s v="4G"/>
  </r>
  <r>
    <n v="10312"/>
    <n v="181"/>
    <d v="2022-07-04T00:00:00"/>
    <s v="July"/>
    <n v="2022"/>
    <x v="230"/>
    <n v="128"/>
    <s v="5G"/>
  </r>
  <r>
    <n v="10313"/>
    <n v="338"/>
    <d v="2022-03-10T00:00:00"/>
    <s v="March"/>
    <n v="2022"/>
    <x v="231"/>
    <n v="5"/>
    <s v="4G"/>
  </r>
  <r>
    <n v="10314"/>
    <n v="485"/>
    <d v="2024-04-08T00:00:00"/>
    <s v="April"/>
    <n v="2024"/>
    <x v="74"/>
    <n v="182"/>
    <s v="4G"/>
  </r>
  <r>
    <n v="10315"/>
    <n v="173"/>
    <d v="2022-05-10T00:00:00"/>
    <s v="May"/>
    <n v="2022"/>
    <x v="232"/>
    <n v="37"/>
    <s v="4G"/>
  </r>
  <r>
    <n v="10316"/>
    <n v="160"/>
    <d v="2023-07-21T00:00:00"/>
    <s v="July"/>
    <n v="2023"/>
    <x v="233"/>
    <n v="115"/>
    <s v="5G"/>
  </r>
  <r>
    <n v="10317"/>
    <n v="164"/>
    <d v="2024-06-08T00:00:00"/>
    <s v="June"/>
    <n v="2024"/>
    <x v="41"/>
    <n v="101"/>
    <s v="4G"/>
  </r>
  <r>
    <n v="10318"/>
    <n v="465"/>
    <d v="2023-09-01T00:00:00"/>
    <s v="September"/>
    <n v="2023"/>
    <x v="4"/>
    <n v="7"/>
    <s v="4G"/>
  </r>
  <r>
    <n v="10319"/>
    <n v="483"/>
    <d v="2024-04-27T00:00:00"/>
    <s v="April"/>
    <n v="2024"/>
    <x v="234"/>
    <n v="217"/>
    <s v="4G"/>
  </r>
  <r>
    <n v="10320"/>
    <n v="497"/>
    <d v="2023-08-22T00:00:00"/>
    <s v="August"/>
    <n v="2023"/>
    <x v="235"/>
    <n v="206"/>
    <s v="5G"/>
  </r>
  <r>
    <n v="10321"/>
    <n v="188"/>
    <d v="2024-03-16T00:00:00"/>
    <s v="March"/>
    <n v="2024"/>
    <x v="236"/>
    <n v="77"/>
    <s v="4G"/>
  </r>
  <r>
    <n v="10322"/>
    <n v="395"/>
    <d v="2023-09-23T00:00:00"/>
    <s v="September"/>
    <n v="2023"/>
    <x v="237"/>
    <n v="54"/>
    <s v="4G"/>
  </r>
  <r>
    <n v="10323"/>
    <n v="191"/>
    <d v="2023-12-21T00:00:00"/>
    <s v="December"/>
    <n v="2023"/>
    <x v="4"/>
    <n v="227"/>
    <s v="4G"/>
  </r>
  <r>
    <n v="10324"/>
    <n v="405"/>
    <d v="2022-11-30T00:00:00"/>
    <s v="November"/>
    <n v="2022"/>
    <x v="52"/>
    <n v="87"/>
    <s v="5G"/>
  </r>
  <r>
    <n v="10325"/>
    <n v="308"/>
    <d v="2022-06-03T00:00:00"/>
    <s v="June"/>
    <n v="2022"/>
    <x v="238"/>
    <n v="9"/>
    <s v="5G"/>
  </r>
  <r>
    <n v="10326"/>
    <n v="256"/>
    <d v="2023-07-01T00:00:00"/>
    <s v="July"/>
    <n v="2023"/>
    <x v="188"/>
    <n v="289"/>
    <s v="4G"/>
  </r>
  <r>
    <n v="10327"/>
    <n v="183"/>
    <d v="2022-03-20T00:00:00"/>
    <s v="March"/>
    <n v="2022"/>
    <x v="239"/>
    <n v="163"/>
    <s v="4G"/>
  </r>
  <r>
    <n v="10328"/>
    <n v="117"/>
    <d v="2023-08-02T00:00:00"/>
    <s v="August"/>
    <n v="2023"/>
    <x v="240"/>
    <n v="238"/>
    <s v="5G"/>
  </r>
  <r>
    <n v="10329"/>
    <n v="282"/>
    <d v="2024-05-04T00:00:00"/>
    <s v="May"/>
    <n v="2024"/>
    <x v="8"/>
    <n v="143"/>
    <s v="4G"/>
  </r>
  <r>
    <n v="10330"/>
    <n v="196"/>
    <d v="2023-02-17T00:00:00"/>
    <s v="February"/>
    <n v="2023"/>
    <x v="241"/>
    <n v="17"/>
    <s v="5G"/>
  </r>
  <r>
    <n v="10331"/>
    <n v="34"/>
    <d v="2023-06-30T00:00:00"/>
    <s v="June"/>
    <n v="2023"/>
    <x v="242"/>
    <n v="70"/>
    <s v="4G"/>
  </r>
  <r>
    <n v="10332"/>
    <n v="52"/>
    <d v="2023-09-01T00:00:00"/>
    <s v="September"/>
    <n v="2023"/>
    <x v="243"/>
    <n v="174"/>
    <s v="4G"/>
  </r>
  <r>
    <n v="10333"/>
    <n v="112"/>
    <d v="2022-06-18T00:00:00"/>
    <s v="June"/>
    <n v="2022"/>
    <x v="244"/>
    <n v="287"/>
    <s v="5G"/>
  </r>
  <r>
    <n v="10334"/>
    <n v="252"/>
    <d v="2023-11-12T00:00:00"/>
    <s v="November"/>
    <n v="2023"/>
    <x v="245"/>
    <n v="298"/>
    <s v="4G"/>
  </r>
  <r>
    <n v="10335"/>
    <n v="82"/>
    <d v="2023-10-25T00:00:00"/>
    <s v="October"/>
    <n v="2023"/>
    <x v="246"/>
    <n v="247"/>
    <s v="4G"/>
  </r>
  <r>
    <n v="10336"/>
    <n v="232"/>
    <d v="2023-08-06T00:00:00"/>
    <s v="August"/>
    <n v="2023"/>
    <x v="187"/>
    <n v="192"/>
    <s v="4G"/>
  </r>
  <r>
    <n v="10337"/>
    <n v="227"/>
    <d v="2023-05-30T00:00:00"/>
    <s v="May"/>
    <n v="2023"/>
    <x v="79"/>
    <n v="267"/>
    <s v="5G"/>
  </r>
  <r>
    <n v="10338"/>
    <n v="233"/>
    <d v="2022-11-10T00:00:00"/>
    <s v="November"/>
    <n v="2022"/>
    <x v="145"/>
    <n v="203"/>
    <s v="4G"/>
  </r>
  <r>
    <n v="10339"/>
    <n v="221"/>
    <d v="2022-02-01T00:00:00"/>
    <s v="February"/>
    <n v="2022"/>
    <x v="9"/>
    <n v="122"/>
    <s v="4G"/>
  </r>
  <r>
    <n v="10340"/>
    <n v="436"/>
    <d v="2022-10-14T00:00:00"/>
    <s v="October"/>
    <n v="2022"/>
    <x v="247"/>
    <n v="57"/>
    <s v="5G"/>
  </r>
  <r>
    <n v="10341"/>
    <n v="413"/>
    <d v="2023-08-17T00:00:00"/>
    <s v="August"/>
    <n v="2023"/>
    <x v="248"/>
    <n v="200"/>
    <s v="4G"/>
  </r>
  <r>
    <n v="10342"/>
    <n v="422"/>
    <d v="2022-02-12T00:00:00"/>
    <s v="February"/>
    <n v="2022"/>
    <x v="49"/>
    <n v="111"/>
    <s v="4G"/>
  </r>
  <r>
    <n v="10343"/>
    <n v="42"/>
    <d v="2023-09-09T00:00:00"/>
    <s v="September"/>
    <n v="2023"/>
    <x v="249"/>
    <n v="127"/>
    <s v="4G"/>
  </r>
  <r>
    <n v="10344"/>
    <n v="21"/>
    <d v="2022-01-01T00:00:00"/>
    <s v="January"/>
    <n v="2022"/>
    <x v="250"/>
    <n v="35"/>
    <s v="5G"/>
  </r>
  <r>
    <n v="10345"/>
    <n v="42"/>
    <d v="2023-07-27T00:00:00"/>
    <s v="July"/>
    <n v="2023"/>
    <x v="251"/>
    <n v="233"/>
    <s v="4G"/>
  </r>
  <r>
    <n v="10346"/>
    <n v="397"/>
    <d v="2022-09-27T00:00:00"/>
    <s v="September"/>
    <n v="2022"/>
    <x v="252"/>
    <n v="46"/>
    <s v="4G"/>
  </r>
  <r>
    <n v="10347"/>
    <n v="113"/>
    <d v="2022-06-29T00:00:00"/>
    <s v="June"/>
    <n v="2022"/>
    <x v="253"/>
    <n v="114"/>
    <s v="4G"/>
  </r>
  <r>
    <n v="10348"/>
    <n v="105"/>
    <d v="2024-01-06T00:00:00"/>
    <s v="January"/>
    <n v="2024"/>
    <x v="254"/>
    <n v="254"/>
    <s v="5G"/>
  </r>
  <r>
    <n v="10349"/>
    <n v="192"/>
    <d v="2023-06-02T00:00:00"/>
    <s v="June"/>
    <n v="2023"/>
    <x v="56"/>
    <n v="222"/>
    <s v="5G"/>
  </r>
  <r>
    <n v="10350"/>
    <n v="17"/>
    <d v="2022-04-13T00:00:00"/>
    <s v="April"/>
    <n v="2022"/>
    <x v="171"/>
    <n v="123"/>
    <s v="4G"/>
  </r>
  <r>
    <n v="10351"/>
    <n v="120"/>
    <d v="2022-01-10T00:00:00"/>
    <s v="January"/>
    <n v="2022"/>
    <x v="118"/>
    <n v="159"/>
    <s v="4G"/>
  </r>
  <r>
    <n v="10352"/>
    <n v="393"/>
    <d v="2023-08-06T00:00:00"/>
    <s v="August"/>
    <n v="2023"/>
    <x v="9"/>
    <n v="95"/>
    <s v="5G"/>
  </r>
  <r>
    <n v="10353"/>
    <n v="425"/>
    <d v="2022-03-31T00:00:00"/>
    <s v="March"/>
    <n v="2022"/>
    <x v="255"/>
    <n v="106"/>
    <s v="4G"/>
  </r>
  <r>
    <n v="10354"/>
    <n v="129"/>
    <d v="2022-08-14T00:00:00"/>
    <s v="August"/>
    <n v="2022"/>
    <x v="137"/>
    <n v="119"/>
    <s v="5G"/>
  </r>
  <r>
    <n v="10355"/>
    <n v="130"/>
    <d v="2023-11-01T00:00:00"/>
    <s v="November"/>
    <n v="2023"/>
    <x v="143"/>
    <n v="100"/>
    <s v="4G"/>
  </r>
  <r>
    <n v="10356"/>
    <n v="60"/>
    <d v="2024-01-10T00:00:00"/>
    <s v="January"/>
    <n v="2024"/>
    <x v="221"/>
    <n v="102"/>
    <s v="4G"/>
  </r>
  <r>
    <n v="10357"/>
    <n v="48"/>
    <d v="2022-05-06T00:00:00"/>
    <s v="May"/>
    <n v="2022"/>
    <x v="42"/>
    <n v="165"/>
    <s v="4G"/>
  </r>
  <r>
    <n v="10358"/>
    <n v="29"/>
    <d v="2022-07-28T00:00:00"/>
    <s v="July"/>
    <n v="2022"/>
    <x v="256"/>
    <n v="185"/>
    <s v="5G"/>
  </r>
  <r>
    <n v="10359"/>
    <n v="97"/>
    <d v="2022-04-07T00:00:00"/>
    <s v="April"/>
    <n v="2022"/>
    <x v="10"/>
    <n v="31"/>
    <s v="4G"/>
  </r>
  <r>
    <n v="10360"/>
    <n v="10"/>
    <d v="2022-03-15T00:00:00"/>
    <s v="March"/>
    <n v="2022"/>
    <x v="128"/>
    <n v="65"/>
    <s v="4G"/>
  </r>
  <r>
    <n v="10361"/>
    <n v="242"/>
    <d v="2023-09-19T00:00:00"/>
    <s v="September"/>
    <n v="2023"/>
    <x v="109"/>
    <n v="178"/>
    <s v="4G"/>
  </r>
  <r>
    <n v="10362"/>
    <n v="314"/>
    <d v="2022-07-10T00:00:00"/>
    <s v="July"/>
    <n v="2022"/>
    <x v="257"/>
    <n v="266"/>
    <s v="4G"/>
  </r>
  <r>
    <n v="10363"/>
    <n v="444"/>
    <d v="2023-11-13T00:00:00"/>
    <s v="November"/>
    <n v="2023"/>
    <x v="85"/>
    <n v="36"/>
    <s v="4G"/>
  </r>
  <r>
    <n v="10364"/>
    <n v="232"/>
    <d v="2024-03-29T00:00:00"/>
    <s v="March"/>
    <n v="2024"/>
    <x v="258"/>
    <n v="200"/>
    <s v="4G"/>
  </r>
  <r>
    <n v="10365"/>
    <n v="277"/>
    <d v="2023-12-17T00:00:00"/>
    <s v="December"/>
    <n v="2023"/>
    <x v="157"/>
    <n v="48"/>
    <s v="5G"/>
  </r>
  <r>
    <n v="10366"/>
    <n v="284"/>
    <d v="2022-02-25T00:00:00"/>
    <s v="February"/>
    <n v="2022"/>
    <x v="198"/>
    <n v="274"/>
    <s v="4G"/>
  </r>
  <r>
    <n v="10367"/>
    <n v="203"/>
    <d v="2023-12-21T00:00:00"/>
    <s v="December"/>
    <n v="2023"/>
    <x v="259"/>
    <n v="167"/>
    <s v="5G"/>
  </r>
  <r>
    <n v="10368"/>
    <n v="247"/>
    <d v="2023-07-07T00:00:00"/>
    <s v="July"/>
    <n v="2023"/>
    <x v="60"/>
    <n v="262"/>
    <s v="4G"/>
  </r>
  <r>
    <n v="10369"/>
    <n v="290"/>
    <d v="2022-02-01T00:00:00"/>
    <s v="February"/>
    <n v="2022"/>
    <x v="260"/>
    <n v="132"/>
    <s v="4G"/>
  </r>
  <r>
    <n v="10370"/>
    <n v="264"/>
    <d v="2023-06-11T00:00:00"/>
    <s v="June"/>
    <n v="2023"/>
    <x v="261"/>
    <n v="297"/>
    <s v="4G"/>
  </r>
  <r>
    <n v="10371"/>
    <n v="443"/>
    <d v="2023-07-28T00:00:00"/>
    <s v="July"/>
    <n v="2023"/>
    <x v="198"/>
    <n v="175"/>
    <s v="5G"/>
  </r>
  <r>
    <n v="10372"/>
    <n v="214"/>
    <d v="2023-10-29T00:00:00"/>
    <s v="October"/>
    <n v="2023"/>
    <x v="45"/>
    <n v="10"/>
    <s v="5G"/>
  </r>
  <r>
    <n v="10373"/>
    <n v="200"/>
    <d v="2022-10-11T00:00:00"/>
    <s v="October"/>
    <n v="2022"/>
    <x v="140"/>
    <n v="200"/>
    <s v="4G"/>
  </r>
  <r>
    <n v="10374"/>
    <n v="433"/>
    <d v="2023-12-22T00:00:00"/>
    <s v="December"/>
    <n v="2023"/>
    <x v="122"/>
    <n v="296"/>
    <s v="5G"/>
  </r>
  <r>
    <n v="10375"/>
    <n v="79"/>
    <d v="2024-04-11T00:00:00"/>
    <s v="April"/>
    <n v="2024"/>
    <x v="31"/>
    <n v="2"/>
    <s v="4G"/>
  </r>
  <r>
    <n v="10376"/>
    <n v="401"/>
    <d v="2023-05-09T00:00:00"/>
    <s v="May"/>
    <n v="2023"/>
    <x v="262"/>
    <n v="213"/>
    <s v="4G"/>
  </r>
  <r>
    <n v="10377"/>
    <n v="444"/>
    <d v="2022-07-06T00:00:00"/>
    <s v="July"/>
    <n v="2022"/>
    <x v="263"/>
    <n v="295"/>
    <s v="4G"/>
  </r>
  <r>
    <n v="10378"/>
    <n v="343"/>
    <d v="2023-05-13T00:00:00"/>
    <s v="May"/>
    <n v="2023"/>
    <x v="143"/>
    <n v="31"/>
    <s v="4G"/>
  </r>
  <r>
    <n v="10379"/>
    <n v="344"/>
    <d v="2023-03-18T00:00:00"/>
    <s v="March"/>
    <n v="2023"/>
    <x v="82"/>
    <n v="47"/>
    <s v="4G"/>
  </r>
  <r>
    <n v="10380"/>
    <n v="173"/>
    <d v="2022-05-10T00:00:00"/>
    <s v="May"/>
    <n v="2022"/>
    <x v="264"/>
    <n v="251"/>
    <s v="5G"/>
  </r>
  <r>
    <n v="10381"/>
    <n v="467"/>
    <d v="2023-10-01T00:00:00"/>
    <s v="October"/>
    <n v="2023"/>
    <x v="12"/>
    <n v="198"/>
    <s v="4G"/>
  </r>
  <r>
    <n v="10382"/>
    <n v="69"/>
    <d v="2022-10-19T00:00:00"/>
    <s v="October"/>
    <n v="2022"/>
    <x v="194"/>
    <n v="88"/>
    <s v="5G"/>
  </r>
  <r>
    <n v="10383"/>
    <n v="416"/>
    <d v="2022-04-24T00:00:00"/>
    <s v="April"/>
    <n v="2022"/>
    <x v="117"/>
    <n v="108"/>
    <s v="4G"/>
  </r>
  <r>
    <n v="10384"/>
    <n v="428"/>
    <d v="2022-07-18T00:00:00"/>
    <s v="July"/>
    <n v="2022"/>
    <x v="265"/>
    <n v="290"/>
    <s v="4G"/>
  </r>
  <r>
    <n v="10385"/>
    <n v="449"/>
    <d v="2022-01-13T00:00:00"/>
    <s v="January"/>
    <n v="2022"/>
    <x v="266"/>
    <n v="107"/>
    <s v="5G"/>
  </r>
  <r>
    <n v="10386"/>
    <n v="87"/>
    <d v="2022-09-28T00:00:00"/>
    <s v="September"/>
    <n v="2022"/>
    <x v="91"/>
    <n v="39"/>
    <s v="5G"/>
  </r>
  <r>
    <n v="10387"/>
    <n v="101"/>
    <d v="2023-08-24T00:00:00"/>
    <s v="August"/>
    <n v="2023"/>
    <x v="267"/>
    <n v="51"/>
    <s v="5G"/>
  </r>
  <r>
    <n v="10388"/>
    <n v="8"/>
    <d v="2022-08-03T00:00:00"/>
    <s v="August"/>
    <n v="2022"/>
    <x v="268"/>
    <n v="111"/>
    <s v="4G"/>
  </r>
  <r>
    <n v="10389"/>
    <n v="333"/>
    <d v="2023-03-20T00:00:00"/>
    <s v="March"/>
    <n v="2023"/>
    <x v="247"/>
    <n v="294"/>
    <s v="5G"/>
  </r>
  <r>
    <n v="10390"/>
    <n v="200"/>
    <d v="2024-02-29T00:00:00"/>
    <s v="February"/>
    <n v="2024"/>
    <x v="60"/>
    <n v="67"/>
    <s v="5G"/>
  </r>
  <r>
    <n v="10391"/>
    <n v="87"/>
    <d v="2023-05-27T00:00:00"/>
    <s v="May"/>
    <n v="2023"/>
    <x v="206"/>
    <n v="188"/>
    <s v="4G"/>
  </r>
  <r>
    <n v="10392"/>
    <n v="43"/>
    <d v="2023-03-23T00:00:00"/>
    <s v="March"/>
    <n v="2023"/>
    <x v="269"/>
    <n v="208"/>
    <s v="4G"/>
  </r>
  <r>
    <n v="10393"/>
    <n v="385"/>
    <d v="2023-12-16T00:00:00"/>
    <s v="December"/>
    <n v="2023"/>
    <x v="60"/>
    <n v="64"/>
    <s v="4G"/>
  </r>
  <r>
    <n v="10394"/>
    <n v="109"/>
    <d v="2022-03-15T00:00:00"/>
    <s v="March"/>
    <n v="2022"/>
    <x v="270"/>
    <n v="61"/>
    <s v="4G"/>
  </r>
  <r>
    <n v="10395"/>
    <n v="435"/>
    <d v="2023-06-21T00:00:00"/>
    <s v="June"/>
    <n v="2023"/>
    <x v="32"/>
    <n v="257"/>
    <s v="4G"/>
  </r>
  <r>
    <n v="10396"/>
    <n v="408"/>
    <d v="2022-04-11T00:00:00"/>
    <s v="April"/>
    <n v="2022"/>
    <x v="271"/>
    <n v="133"/>
    <s v="5G"/>
  </r>
  <r>
    <n v="10397"/>
    <n v="483"/>
    <d v="2022-06-25T00:00:00"/>
    <s v="June"/>
    <n v="2022"/>
    <x v="22"/>
    <n v="121"/>
    <s v="4G"/>
  </r>
  <r>
    <n v="10398"/>
    <n v="152"/>
    <d v="2023-03-03T00:00:00"/>
    <s v="March"/>
    <n v="2023"/>
    <x v="272"/>
    <n v="170"/>
    <s v="5G"/>
  </r>
  <r>
    <n v="10399"/>
    <n v="17"/>
    <d v="2022-04-27T00:00:00"/>
    <s v="April"/>
    <n v="2022"/>
    <x v="273"/>
    <n v="209"/>
    <s v="4G"/>
  </r>
  <r>
    <n v="10400"/>
    <n v="133"/>
    <d v="2022-06-15T00:00:00"/>
    <s v="June"/>
    <n v="2022"/>
    <x v="248"/>
    <n v="295"/>
    <s v="4G"/>
  </r>
  <r>
    <n v="10401"/>
    <n v="148"/>
    <d v="2022-02-10T00:00:00"/>
    <s v="February"/>
    <n v="2022"/>
    <x v="175"/>
    <n v="88"/>
    <s v="4G"/>
  </r>
  <r>
    <n v="10402"/>
    <n v="277"/>
    <d v="2023-03-05T00:00:00"/>
    <s v="March"/>
    <n v="2023"/>
    <x v="274"/>
    <n v="166"/>
    <s v="4G"/>
  </r>
  <r>
    <n v="10403"/>
    <n v="232"/>
    <d v="2022-12-10T00:00:00"/>
    <s v="December"/>
    <n v="2022"/>
    <x v="275"/>
    <n v="27"/>
    <s v="5G"/>
  </r>
  <r>
    <n v="10404"/>
    <n v="314"/>
    <d v="2023-02-28T00:00:00"/>
    <s v="February"/>
    <n v="2023"/>
    <x v="194"/>
    <n v="237"/>
    <s v="5G"/>
  </r>
  <r>
    <n v="10405"/>
    <n v="415"/>
    <d v="2023-01-01T00:00:00"/>
    <s v="January"/>
    <n v="2023"/>
    <x v="276"/>
    <n v="62"/>
    <s v="4G"/>
  </r>
  <r>
    <n v="10406"/>
    <n v="366"/>
    <d v="2022-04-30T00:00:00"/>
    <s v="April"/>
    <n v="2022"/>
    <x v="277"/>
    <n v="254"/>
    <s v="5G"/>
  </r>
  <r>
    <n v="10407"/>
    <n v="228"/>
    <d v="2023-09-01T00:00:00"/>
    <s v="September"/>
    <n v="2023"/>
    <x v="85"/>
    <n v="40"/>
    <s v="4G"/>
  </r>
  <r>
    <n v="10408"/>
    <n v="139"/>
    <d v="2023-10-19T00:00:00"/>
    <s v="October"/>
    <n v="2023"/>
    <x v="231"/>
    <n v="28"/>
    <s v="4G"/>
  </r>
  <r>
    <n v="10409"/>
    <n v="436"/>
    <d v="2023-12-29T00:00:00"/>
    <s v="December"/>
    <n v="2023"/>
    <x v="114"/>
    <n v="278"/>
    <s v="4G"/>
  </r>
  <r>
    <n v="10410"/>
    <n v="399"/>
    <d v="2022-08-17T00:00:00"/>
    <s v="August"/>
    <n v="2022"/>
    <x v="132"/>
    <n v="79"/>
    <s v="4G"/>
  </r>
  <r>
    <n v="10411"/>
    <n v="211"/>
    <d v="2024-04-04T00:00:00"/>
    <s v="April"/>
    <n v="2024"/>
    <x v="6"/>
    <n v="50"/>
    <s v="4G"/>
  </r>
  <r>
    <n v="10412"/>
    <n v="391"/>
    <d v="2022-05-10T00:00:00"/>
    <s v="May"/>
    <n v="2022"/>
    <x v="278"/>
    <n v="111"/>
    <s v="4G"/>
  </r>
  <r>
    <n v="10413"/>
    <n v="499"/>
    <d v="2022-12-18T00:00:00"/>
    <s v="December"/>
    <n v="2022"/>
    <x v="62"/>
    <n v="89"/>
    <s v="4G"/>
  </r>
  <r>
    <n v="10414"/>
    <n v="28"/>
    <d v="2024-06-07T00:00:00"/>
    <s v="June"/>
    <n v="2024"/>
    <x v="279"/>
    <n v="228"/>
    <s v="5G"/>
  </r>
  <r>
    <n v="10415"/>
    <n v="51"/>
    <d v="2022-11-14T00:00:00"/>
    <s v="November"/>
    <n v="2022"/>
    <x v="4"/>
    <n v="149"/>
    <s v="4G"/>
  </r>
  <r>
    <n v="10416"/>
    <n v="491"/>
    <d v="2023-10-11T00:00:00"/>
    <s v="October"/>
    <n v="2023"/>
    <x v="280"/>
    <n v="242"/>
    <s v="4G"/>
  </r>
  <r>
    <n v="10417"/>
    <n v="442"/>
    <d v="2024-04-15T00:00:00"/>
    <s v="April"/>
    <n v="2024"/>
    <x v="281"/>
    <n v="137"/>
    <s v="4G"/>
  </r>
  <r>
    <n v="10418"/>
    <n v="261"/>
    <d v="2022-12-03T00:00:00"/>
    <s v="December"/>
    <n v="2022"/>
    <x v="36"/>
    <n v="134"/>
    <s v="5G"/>
  </r>
  <r>
    <n v="10419"/>
    <n v="261"/>
    <d v="2022-09-30T00:00:00"/>
    <s v="September"/>
    <n v="2022"/>
    <x v="282"/>
    <n v="88"/>
    <s v="5G"/>
  </r>
  <r>
    <n v="10420"/>
    <n v="350"/>
    <d v="2022-04-27T00:00:00"/>
    <s v="April"/>
    <n v="2022"/>
    <x v="265"/>
    <n v="14"/>
    <s v="5G"/>
  </r>
  <r>
    <n v="10421"/>
    <n v="352"/>
    <d v="2024-03-28T00:00:00"/>
    <s v="March"/>
    <n v="2024"/>
    <x v="283"/>
    <n v="173"/>
    <s v="4G"/>
  </r>
  <r>
    <n v="10422"/>
    <n v="8"/>
    <d v="2023-01-03T00:00:00"/>
    <s v="January"/>
    <n v="2023"/>
    <x v="254"/>
    <n v="89"/>
    <s v="4G"/>
  </r>
  <r>
    <n v="10423"/>
    <n v="320"/>
    <d v="2022-04-04T00:00:00"/>
    <s v="April"/>
    <n v="2022"/>
    <x v="263"/>
    <n v="212"/>
    <s v="5G"/>
  </r>
  <r>
    <n v="10424"/>
    <n v="138"/>
    <d v="2022-06-17T00:00:00"/>
    <s v="June"/>
    <n v="2022"/>
    <x v="284"/>
    <n v="60"/>
    <s v="4G"/>
  </r>
  <r>
    <n v="10425"/>
    <n v="38"/>
    <d v="2023-12-16T00:00:00"/>
    <s v="December"/>
    <n v="2023"/>
    <x v="285"/>
    <n v="219"/>
    <s v="4G"/>
  </r>
  <r>
    <n v="10426"/>
    <n v="111"/>
    <d v="2022-12-07T00:00:00"/>
    <s v="December"/>
    <n v="2022"/>
    <x v="286"/>
    <n v="60"/>
    <s v="4G"/>
  </r>
  <r>
    <n v="10427"/>
    <n v="480"/>
    <d v="2023-10-23T00:00:00"/>
    <s v="October"/>
    <n v="2023"/>
    <x v="287"/>
    <n v="165"/>
    <s v="4G"/>
  </r>
  <r>
    <n v="10428"/>
    <n v="368"/>
    <d v="2023-11-26T00:00:00"/>
    <s v="November"/>
    <n v="2023"/>
    <x v="242"/>
    <n v="11"/>
    <s v="4G"/>
  </r>
  <r>
    <n v="10429"/>
    <n v="220"/>
    <d v="2022-06-01T00:00:00"/>
    <s v="June"/>
    <n v="2022"/>
    <x v="288"/>
    <n v="215"/>
    <s v="4G"/>
  </r>
  <r>
    <n v="10430"/>
    <n v="337"/>
    <d v="2023-08-09T00:00:00"/>
    <s v="August"/>
    <n v="2023"/>
    <x v="222"/>
    <n v="76"/>
    <s v="4G"/>
  </r>
  <r>
    <n v="10431"/>
    <n v="223"/>
    <d v="2024-05-26T00:00:00"/>
    <s v="May"/>
    <n v="2024"/>
    <x v="91"/>
    <n v="231"/>
    <s v="4G"/>
  </r>
  <r>
    <n v="10432"/>
    <n v="136"/>
    <d v="2022-10-01T00:00:00"/>
    <s v="October"/>
    <n v="2022"/>
    <x v="289"/>
    <n v="111"/>
    <s v="5G"/>
  </r>
  <r>
    <n v="10433"/>
    <n v="256"/>
    <d v="2023-07-08T00:00:00"/>
    <s v="July"/>
    <n v="2023"/>
    <x v="221"/>
    <n v="65"/>
    <s v="4G"/>
  </r>
  <r>
    <n v="10434"/>
    <n v="360"/>
    <d v="2023-05-11T00:00:00"/>
    <s v="May"/>
    <n v="2023"/>
    <x v="212"/>
    <n v="181"/>
    <s v="4G"/>
  </r>
  <r>
    <n v="10435"/>
    <n v="409"/>
    <d v="2023-12-25T00:00:00"/>
    <s v="December"/>
    <n v="2023"/>
    <x v="290"/>
    <n v="203"/>
    <s v="4G"/>
  </r>
  <r>
    <n v="10436"/>
    <n v="329"/>
    <d v="2022-04-11T00:00:00"/>
    <s v="April"/>
    <n v="2022"/>
    <x v="163"/>
    <n v="205"/>
    <s v="4G"/>
  </r>
  <r>
    <n v="10437"/>
    <n v="450"/>
    <d v="2023-07-11T00:00:00"/>
    <s v="July"/>
    <n v="2023"/>
    <x v="291"/>
    <n v="285"/>
    <s v="4G"/>
  </r>
  <r>
    <n v="10438"/>
    <n v="463"/>
    <d v="2022-03-23T00:00:00"/>
    <s v="March"/>
    <n v="2022"/>
    <x v="292"/>
    <n v="104"/>
    <s v="4G"/>
  </r>
  <r>
    <n v="10439"/>
    <n v="434"/>
    <d v="2023-06-13T00:00:00"/>
    <s v="June"/>
    <n v="2023"/>
    <x v="293"/>
    <n v="241"/>
    <s v="4G"/>
  </r>
  <r>
    <n v="10440"/>
    <n v="451"/>
    <d v="2022-03-14T00:00:00"/>
    <s v="March"/>
    <n v="2022"/>
    <x v="4"/>
    <n v="234"/>
    <s v="4G"/>
  </r>
  <r>
    <n v="10441"/>
    <n v="49"/>
    <d v="2022-01-14T00:00:00"/>
    <s v="January"/>
    <n v="2022"/>
    <x v="119"/>
    <n v="175"/>
    <s v="5G"/>
  </r>
  <r>
    <n v="10442"/>
    <n v="292"/>
    <d v="2023-03-09T00:00:00"/>
    <s v="March"/>
    <n v="2023"/>
    <x v="236"/>
    <n v="210"/>
    <s v="4G"/>
  </r>
  <r>
    <n v="10443"/>
    <n v="382"/>
    <d v="2022-06-06T00:00:00"/>
    <s v="June"/>
    <n v="2022"/>
    <x v="259"/>
    <n v="30"/>
    <s v="4G"/>
  </r>
  <r>
    <n v="10444"/>
    <n v="324"/>
    <d v="2024-01-05T00:00:00"/>
    <s v="January"/>
    <n v="2024"/>
    <x v="54"/>
    <n v="234"/>
    <s v="4G"/>
  </r>
  <r>
    <n v="10445"/>
    <n v="78"/>
    <d v="2022-05-12T00:00:00"/>
    <s v="May"/>
    <n v="2022"/>
    <x v="294"/>
    <n v="241"/>
    <s v="5G"/>
  </r>
  <r>
    <n v="10446"/>
    <n v="105"/>
    <d v="2022-12-04T00:00:00"/>
    <s v="December"/>
    <n v="2022"/>
    <x v="230"/>
    <n v="152"/>
    <s v="4G"/>
  </r>
  <r>
    <n v="10447"/>
    <n v="169"/>
    <d v="2023-02-08T00:00:00"/>
    <s v="February"/>
    <n v="2023"/>
    <x v="13"/>
    <n v="195"/>
    <s v="5G"/>
  </r>
  <r>
    <n v="10448"/>
    <n v="217"/>
    <d v="2023-01-11T00:00:00"/>
    <s v="January"/>
    <n v="2023"/>
    <x v="63"/>
    <n v="268"/>
    <s v="4G"/>
  </r>
  <r>
    <n v="10449"/>
    <n v="378"/>
    <d v="2024-06-06T00:00:00"/>
    <s v="June"/>
    <n v="2024"/>
    <x v="295"/>
    <n v="169"/>
    <s v="4G"/>
  </r>
  <r>
    <n v="10450"/>
    <n v="119"/>
    <d v="2023-07-13T00:00:00"/>
    <s v="July"/>
    <n v="2023"/>
    <x v="296"/>
    <n v="231"/>
    <s v="4G"/>
  </r>
  <r>
    <n v="10451"/>
    <n v="190"/>
    <d v="2022-04-17T00:00:00"/>
    <s v="April"/>
    <n v="2022"/>
    <x v="77"/>
    <n v="183"/>
    <s v="4G"/>
  </r>
  <r>
    <n v="10452"/>
    <n v="255"/>
    <d v="2023-09-12T00:00:00"/>
    <s v="September"/>
    <n v="2023"/>
    <x v="163"/>
    <n v="274"/>
    <s v="4G"/>
  </r>
  <r>
    <n v="10453"/>
    <n v="370"/>
    <d v="2022-09-22T00:00:00"/>
    <s v="September"/>
    <n v="2022"/>
    <x v="297"/>
    <n v="31"/>
    <s v="4G"/>
  </r>
  <r>
    <n v="10454"/>
    <n v="266"/>
    <d v="2022-07-24T00:00:00"/>
    <s v="July"/>
    <n v="2022"/>
    <x v="298"/>
    <n v="176"/>
    <s v="4G"/>
  </r>
  <r>
    <n v="10455"/>
    <n v="149"/>
    <d v="2022-03-20T00:00:00"/>
    <s v="March"/>
    <n v="2022"/>
    <x v="299"/>
    <n v="64"/>
    <s v="4G"/>
  </r>
  <r>
    <n v="10456"/>
    <n v="164"/>
    <d v="2022-06-04T00:00:00"/>
    <s v="June"/>
    <n v="2022"/>
    <x v="300"/>
    <n v="197"/>
    <s v="4G"/>
  </r>
  <r>
    <n v="10457"/>
    <n v="140"/>
    <d v="2024-02-22T00:00:00"/>
    <s v="February"/>
    <n v="2024"/>
    <x v="85"/>
    <n v="26"/>
    <s v="5G"/>
  </r>
  <r>
    <n v="10458"/>
    <n v="347"/>
    <d v="2022-09-04T00:00:00"/>
    <s v="September"/>
    <n v="2022"/>
    <x v="301"/>
    <n v="150"/>
    <s v="5G"/>
  </r>
  <r>
    <n v="10459"/>
    <n v="488"/>
    <d v="2023-06-15T00:00:00"/>
    <s v="June"/>
    <n v="2023"/>
    <x v="302"/>
    <n v="267"/>
    <s v="4G"/>
  </r>
  <r>
    <n v="10460"/>
    <n v="258"/>
    <d v="2024-05-07T00:00:00"/>
    <s v="May"/>
    <n v="2024"/>
    <x v="303"/>
    <n v="84"/>
    <s v="5G"/>
  </r>
  <r>
    <n v="10461"/>
    <n v="374"/>
    <d v="2023-06-22T00:00:00"/>
    <s v="June"/>
    <n v="2023"/>
    <x v="304"/>
    <n v="65"/>
    <s v="4G"/>
  </r>
  <r>
    <n v="10462"/>
    <n v="269"/>
    <d v="2023-12-30T00:00:00"/>
    <s v="December"/>
    <n v="2023"/>
    <x v="223"/>
    <n v="132"/>
    <s v="4G"/>
  </r>
  <r>
    <n v="10463"/>
    <n v="181"/>
    <d v="2022-06-03T00:00:00"/>
    <s v="June"/>
    <n v="2022"/>
    <x v="236"/>
    <n v="81"/>
    <s v="4G"/>
  </r>
  <r>
    <n v="10464"/>
    <n v="160"/>
    <d v="2022-06-03T00:00:00"/>
    <s v="June"/>
    <n v="2022"/>
    <x v="126"/>
    <n v="97"/>
    <s v="4G"/>
  </r>
  <r>
    <n v="10465"/>
    <n v="351"/>
    <d v="2023-11-17T00:00:00"/>
    <s v="November"/>
    <n v="2023"/>
    <x v="305"/>
    <n v="72"/>
    <s v="4G"/>
  </r>
  <r>
    <n v="10466"/>
    <n v="400"/>
    <d v="2022-04-02T00:00:00"/>
    <s v="April"/>
    <n v="2022"/>
    <x v="251"/>
    <n v="29"/>
    <s v="4G"/>
  </r>
  <r>
    <n v="10467"/>
    <n v="288"/>
    <d v="2023-03-09T00:00:00"/>
    <s v="March"/>
    <n v="2023"/>
    <x v="82"/>
    <n v="124"/>
    <s v="4G"/>
  </r>
  <r>
    <n v="10468"/>
    <n v="288"/>
    <d v="2022-12-04T00:00:00"/>
    <s v="December"/>
    <n v="2022"/>
    <x v="279"/>
    <n v="209"/>
    <s v="4G"/>
  </r>
  <r>
    <n v="10469"/>
    <n v="380"/>
    <d v="2023-04-25T00:00:00"/>
    <s v="April"/>
    <n v="2023"/>
    <x v="306"/>
    <n v="271"/>
    <s v="5G"/>
  </r>
  <r>
    <n v="10470"/>
    <n v="226"/>
    <d v="2023-11-24T00:00:00"/>
    <s v="November"/>
    <n v="2023"/>
    <x v="307"/>
    <n v="212"/>
    <s v="5G"/>
  </r>
  <r>
    <n v="10471"/>
    <n v="11"/>
    <d v="2022-05-11T00:00:00"/>
    <s v="May"/>
    <n v="2022"/>
    <x v="308"/>
    <n v="132"/>
    <s v="4G"/>
  </r>
  <r>
    <n v="10472"/>
    <n v="10"/>
    <d v="2023-03-26T00:00:00"/>
    <s v="March"/>
    <n v="2023"/>
    <x v="309"/>
    <n v="156"/>
    <s v="4G"/>
  </r>
  <r>
    <n v="10473"/>
    <n v="271"/>
    <d v="2024-03-20T00:00:00"/>
    <s v="March"/>
    <n v="2024"/>
    <x v="177"/>
    <n v="46"/>
    <s v="4G"/>
  </r>
  <r>
    <n v="10474"/>
    <n v="273"/>
    <d v="2024-02-26T00:00:00"/>
    <s v="February"/>
    <n v="2024"/>
    <x v="129"/>
    <n v="21"/>
    <s v="4G"/>
  </r>
  <r>
    <n v="10475"/>
    <n v="424"/>
    <d v="2022-09-30T00:00:00"/>
    <s v="September"/>
    <n v="2022"/>
    <x v="310"/>
    <n v="82"/>
    <s v="4G"/>
  </r>
  <r>
    <n v="10476"/>
    <n v="402"/>
    <d v="2023-08-11T00:00:00"/>
    <s v="August"/>
    <n v="2023"/>
    <x v="311"/>
    <n v="233"/>
    <s v="4G"/>
  </r>
  <r>
    <n v="10477"/>
    <n v="183"/>
    <d v="2022-06-26T00:00:00"/>
    <s v="June"/>
    <n v="2022"/>
    <x v="312"/>
    <n v="59"/>
    <s v="4G"/>
  </r>
  <r>
    <n v="10478"/>
    <n v="457"/>
    <d v="2023-11-27T00:00:00"/>
    <s v="November"/>
    <n v="2023"/>
    <x v="313"/>
    <n v="187"/>
    <s v="4G"/>
  </r>
  <r>
    <n v="10479"/>
    <n v="153"/>
    <d v="2024-04-10T00:00:00"/>
    <s v="April"/>
    <n v="2024"/>
    <x v="314"/>
    <n v="57"/>
    <s v="5G"/>
  </r>
  <r>
    <n v="10480"/>
    <n v="488"/>
    <d v="2023-10-05T00:00:00"/>
    <s v="October"/>
    <n v="2023"/>
    <x v="315"/>
    <n v="258"/>
    <s v="5G"/>
  </r>
  <r>
    <n v="10481"/>
    <n v="315"/>
    <d v="2024-05-24T00:00:00"/>
    <s v="May"/>
    <n v="2024"/>
    <x v="316"/>
    <n v="161"/>
    <s v="4G"/>
  </r>
  <r>
    <n v="10482"/>
    <n v="334"/>
    <d v="2022-02-18T00:00:00"/>
    <s v="February"/>
    <n v="2022"/>
    <x v="18"/>
    <n v="1"/>
    <s v="4G"/>
  </r>
  <r>
    <n v="10483"/>
    <n v="124"/>
    <d v="2023-07-21T00:00:00"/>
    <s v="July"/>
    <n v="2023"/>
    <x v="269"/>
    <n v="270"/>
    <s v="5G"/>
  </r>
  <r>
    <n v="10484"/>
    <n v="473"/>
    <d v="2023-10-28T00:00:00"/>
    <s v="October"/>
    <n v="2023"/>
    <x v="317"/>
    <n v="142"/>
    <s v="4G"/>
  </r>
  <r>
    <n v="10485"/>
    <n v="114"/>
    <d v="2022-12-21T00:00:00"/>
    <s v="December"/>
    <n v="2022"/>
    <x v="318"/>
    <n v="187"/>
    <s v="4G"/>
  </r>
  <r>
    <n v="10486"/>
    <n v="278"/>
    <d v="2023-12-13T00:00:00"/>
    <s v="December"/>
    <n v="2023"/>
    <x v="173"/>
    <n v="223"/>
    <s v="4G"/>
  </r>
  <r>
    <n v="10487"/>
    <n v="500"/>
    <d v="2022-11-04T00:00:00"/>
    <s v="November"/>
    <n v="2022"/>
    <x v="288"/>
    <n v="179"/>
    <s v="4G"/>
  </r>
  <r>
    <n v="10488"/>
    <n v="414"/>
    <d v="2024-05-17T00:00:00"/>
    <s v="May"/>
    <n v="2024"/>
    <x v="102"/>
    <n v="22"/>
    <s v="5G"/>
  </r>
  <r>
    <n v="10489"/>
    <n v="468"/>
    <d v="2024-06-03T00:00:00"/>
    <s v="June"/>
    <n v="2024"/>
    <x v="71"/>
    <n v="36"/>
    <s v="4G"/>
  </r>
  <r>
    <n v="10490"/>
    <n v="213"/>
    <d v="2023-09-22T00:00:00"/>
    <s v="September"/>
    <n v="2023"/>
    <x v="41"/>
    <n v="106"/>
    <s v="4G"/>
  </r>
  <r>
    <n v="10491"/>
    <n v="172"/>
    <d v="2024-02-14T00:00:00"/>
    <s v="February"/>
    <n v="2024"/>
    <x v="107"/>
    <n v="296"/>
    <s v="4G"/>
  </r>
  <r>
    <n v="10492"/>
    <n v="288"/>
    <d v="2022-02-15T00:00:00"/>
    <s v="February"/>
    <n v="2022"/>
    <x v="319"/>
    <n v="228"/>
    <s v="4G"/>
  </r>
  <r>
    <n v="10493"/>
    <n v="435"/>
    <d v="2022-10-29T00:00:00"/>
    <s v="October"/>
    <n v="2022"/>
    <x v="242"/>
    <n v="96"/>
    <s v="4G"/>
  </r>
  <r>
    <n v="10494"/>
    <n v="174"/>
    <d v="2024-05-17T00:00:00"/>
    <s v="May"/>
    <n v="2024"/>
    <x v="320"/>
    <n v="280"/>
    <s v="5G"/>
  </r>
  <r>
    <n v="10495"/>
    <n v="113"/>
    <d v="2023-02-12T00:00:00"/>
    <s v="February"/>
    <n v="2023"/>
    <x v="150"/>
    <n v="109"/>
    <s v="4G"/>
  </r>
  <r>
    <n v="10496"/>
    <n v="376"/>
    <d v="2022-07-08T00:00:00"/>
    <s v="July"/>
    <n v="2022"/>
    <x v="321"/>
    <n v="36"/>
    <s v="4G"/>
  </r>
  <r>
    <n v="10497"/>
    <n v="405"/>
    <d v="2024-04-01T00:00:00"/>
    <s v="April"/>
    <n v="2024"/>
    <x v="307"/>
    <n v="39"/>
    <s v="4G"/>
  </r>
  <r>
    <n v="10498"/>
    <n v="483"/>
    <d v="2024-04-09T00:00:00"/>
    <s v="April"/>
    <n v="2024"/>
    <x v="122"/>
    <n v="84"/>
    <s v="4G"/>
  </r>
  <r>
    <n v="10499"/>
    <n v="122"/>
    <d v="2022-05-09T00:00:00"/>
    <s v="May"/>
    <n v="2022"/>
    <x v="322"/>
    <n v="187"/>
    <s v="4G"/>
  </r>
  <r>
    <n v="10500"/>
    <n v="32"/>
    <d v="2023-07-15T00:00:00"/>
    <s v="July"/>
    <n v="2023"/>
    <x v="323"/>
    <n v="239"/>
    <s v="4G"/>
  </r>
  <r>
    <n v="10501"/>
    <n v="222"/>
    <d v="2023-06-21T00:00:00"/>
    <s v="June"/>
    <n v="2023"/>
    <x v="324"/>
    <n v="18"/>
    <s v="4G"/>
  </r>
  <r>
    <n v="10502"/>
    <n v="119"/>
    <d v="2022-09-23T00:00:00"/>
    <s v="September"/>
    <n v="2022"/>
    <x v="4"/>
    <n v="260"/>
    <s v="4G"/>
  </r>
  <r>
    <n v="10503"/>
    <n v="39"/>
    <d v="2022-04-28T00:00:00"/>
    <s v="April"/>
    <n v="2022"/>
    <x v="325"/>
    <n v="157"/>
    <s v="4G"/>
  </r>
  <r>
    <n v="10504"/>
    <n v="497"/>
    <d v="2023-04-09T00:00:00"/>
    <s v="April"/>
    <n v="2023"/>
    <x v="326"/>
    <n v="111"/>
    <s v="5G"/>
  </r>
  <r>
    <n v="10505"/>
    <n v="268"/>
    <d v="2022-05-24T00:00:00"/>
    <s v="May"/>
    <n v="2022"/>
    <x v="327"/>
    <n v="143"/>
    <s v="4G"/>
  </r>
  <r>
    <n v="10506"/>
    <n v="233"/>
    <d v="2023-03-18T00:00:00"/>
    <s v="March"/>
    <n v="2023"/>
    <x v="20"/>
    <n v="255"/>
    <s v="4G"/>
  </r>
  <r>
    <n v="10507"/>
    <n v="431"/>
    <d v="2022-07-19T00:00:00"/>
    <s v="July"/>
    <n v="2022"/>
    <x v="311"/>
    <n v="17"/>
    <s v="4G"/>
  </r>
  <r>
    <n v="10508"/>
    <n v="18"/>
    <d v="2022-06-06T00:00:00"/>
    <s v="June"/>
    <n v="2022"/>
    <x v="328"/>
    <n v="183"/>
    <s v="4G"/>
  </r>
  <r>
    <n v="10509"/>
    <n v="149"/>
    <d v="2023-05-02T00:00:00"/>
    <s v="May"/>
    <n v="2023"/>
    <x v="329"/>
    <n v="286"/>
    <s v="4G"/>
  </r>
  <r>
    <n v="10510"/>
    <n v="397"/>
    <d v="2024-05-09T00:00:00"/>
    <s v="May"/>
    <n v="2024"/>
    <x v="9"/>
    <n v="130"/>
    <s v="4G"/>
  </r>
  <r>
    <n v="10511"/>
    <n v="149"/>
    <d v="2022-05-14T00:00:00"/>
    <s v="May"/>
    <n v="2022"/>
    <x v="330"/>
    <n v="280"/>
    <s v="4G"/>
  </r>
  <r>
    <n v="10512"/>
    <n v="126"/>
    <d v="2022-05-28T00:00:00"/>
    <s v="May"/>
    <n v="2022"/>
    <x v="331"/>
    <n v="244"/>
    <s v="4G"/>
  </r>
  <r>
    <n v="10513"/>
    <n v="392"/>
    <d v="2022-12-02T00:00:00"/>
    <s v="December"/>
    <n v="2022"/>
    <x v="41"/>
    <n v="7"/>
    <s v="4G"/>
  </r>
  <r>
    <n v="10514"/>
    <n v="302"/>
    <d v="2022-03-12T00:00:00"/>
    <s v="March"/>
    <n v="2022"/>
    <x v="77"/>
    <n v="192"/>
    <s v="4G"/>
  </r>
  <r>
    <n v="10515"/>
    <n v="360"/>
    <d v="2022-08-21T00:00:00"/>
    <s v="August"/>
    <n v="2022"/>
    <x v="332"/>
    <n v="6"/>
    <s v="4G"/>
  </r>
  <r>
    <n v="10516"/>
    <n v="238"/>
    <d v="2022-11-30T00:00:00"/>
    <s v="November"/>
    <n v="2022"/>
    <x v="333"/>
    <n v="135"/>
    <s v="4G"/>
  </r>
  <r>
    <n v="10517"/>
    <n v="135"/>
    <d v="2024-03-21T00:00:00"/>
    <s v="March"/>
    <n v="2024"/>
    <x v="110"/>
    <n v="18"/>
    <s v="5G"/>
  </r>
  <r>
    <n v="10518"/>
    <n v="151"/>
    <d v="2023-10-28T00:00:00"/>
    <s v="October"/>
    <n v="2023"/>
    <x v="120"/>
    <n v="138"/>
    <s v="5G"/>
  </r>
  <r>
    <n v="10519"/>
    <n v="236"/>
    <d v="2022-03-31T00:00:00"/>
    <s v="March"/>
    <n v="2022"/>
    <x v="4"/>
    <n v="176"/>
    <s v="4G"/>
  </r>
  <r>
    <n v="10520"/>
    <n v="224"/>
    <d v="2022-11-30T00:00:00"/>
    <s v="November"/>
    <n v="2022"/>
    <x v="334"/>
    <n v="10"/>
    <s v="4G"/>
  </r>
  <r>
    <n v="10521"/>
    <n v="203"/>
    <d v="2022-07-18T00:00:00"/>
    <s v="July"/>
    <n v="2022"/>
    <x v="73"/>
    <n v="40"/>
    <s v="4G"/>
  </r>
  <r>
    <n v="10522"/>
    <n v="256"/>
    <d v="2022-06-10T00:00:00"/>
    <s v="June"/>
    <n v="2022"/>
    <x v="194"/>
    <n v="113"/>
    <s v="4G"/>
  </r>
  <r>
    <n v="10523"/>
    <n v="86"/>
    <d v="2023-06-22T00:00:00"/>
    <s v="June"/>
    <n v="2023"/>
    <x v="335"/>
    <n v="179"/>
    <s v="4G"/>
  </r>
  <r>
    <n v="10524"/>
    <n v="150"/>
    <d v="2022-05-01T00:00:00"/>
    <s v="May"/>
    <n v="2022"/>
    <x v="336"/>
    <n v="193"/>
    <s v="4G"/>
  </r>
  <r>
    <n v="10525"/>
    <n v="235"/>
    <d v="2022-10-28T00:00:00"/>
    <s v="October"/>
    <n v="2022"/>
    <x v="337"/>
    <n v="195"/>
    <s v="5G"/>
  </r>
  <r>
    <n v="10526"/>
    <n v="345"/>
    <d v="2023-12-25T00:00:00"/>
    <s v="December"/>
    <n v="2023"/>
    <x v="202"/>
    <n v="224"/>
    <s v="4G"/>
  </r>
  <r>
    <n v="10527"/>
    <n v="22"/>
    <d v="2023-07-29T00:00:00"/>
    <s v="July"/>
    <n v="2023"/>
    <x v="315"/>
    <n v="260"/>
    <s v="4G"/>
  </r>
  <r>
    <n v="10528"/>
    <n v="348"/>
    <d v="2023-03-12T00:00:00"/>
    <s v="March"/>
    <n v="2023"/>
    <x v="115"/>
    <n v="115"/>
    <s v="5G"/>
  </r>
  <r>
    <n v="10529"/>
    <n v="285"/>
    <d v="2022-03-09T00:00:00"/>
    <s v="March"/>
    <n v="2022"/>
    <x v="338"/>
    <n v="149"/>
    <s v="4G"/>
  </r>
  <r>
    <n v="10530"/>
    <n v="269"/>
    <d v="2024-02-04T00:00:00"/>
    <s v="February"/>
    <n v="2024"/>
    <x v="288"/>
    <n v="117"/>
    <s v="4G"/>
  </r>
  <r>
    <n v="10531"/>
    <n v="466"/>
    <d v="2023-04-04T00:00:00"/>
    <s v="April"/>
    <n v="2023"/>
    <x v="339"/>
    <n v="164"/>
    <s v="4G"/>
  </r>
  <r>
    <n v="10532"/>
    <n v="258"/>
    <d v="2023-05-29T00:00:00"/>
    <s v="May"/>
    <n v="2023"/>
    <x v="176"/>
    <n v="251"/>
    <s v="4G"/>
  </r>
  <r>
    <n v="10533"/>
    <n v="29"/>
    <d v="2023-02-02T00:00:00"/>
    <s v="February"/>
    <n v="2023"/>
    <x v="108"/>
    <n v="266"/>
    <s v="4G"/>
  </r>
  <r>
    <n v="10534"/>
    <n v="213"/>
    <d v="2023-09-12T00:00:00"/>
    <s v="September"/>
    <n v="2023"/>
    <x v="94"/>
    <n v="43"/>
    <s v="4G"/>
  </r>
  <r>
    <n v="10535"/>
    <n v="463"/>
    <d v="2022-10-13T00:00:00"/>
    <s v="October"/>
    <n v="2022"/>
    <x v="340"/>
    <n v="180"/>
    <s v="4G"/>
  </r>
  <r>
    <n v="10536"/>
    <n v="436"/>
    <d v="2023-07-15T00:00:00"/>
    <s v="July"/>
    <n v="2023"/>
    <x v="341"/>
    <n v="76"/>
    <s v="4G"/>
  </r>
  <r>
    <n v="10537"/>
    <n v="283"/>
    <d v="2022-05-20T00:00:00"/>
    <s v="May"/>
    <n v="2022"/>
    <x v="342"/>
    <n v="115"/>
    <s v="4G"/>
  </r>
  <r>
    <n v="10538"/>
    <n v="50"/>
    <d v="2023-12-31T00:00:00"/>
    <s v="December"/>
    <n v="2023"/>
    <x v="57"/>
    <n v="66"/>
    <s v="5G"/>
  </r>
  <r>
    <n v="10539"/>
    <n v="95"/>
    <d v="2023-07-10T00:00:00"/>
    <s v="July"/>
    <n v="2023"/>
    <x v="343"/>
    <n v="12"/>
    <s v="4G"/>
  </r>
  <r>
    <n v="10540"/>
    <n v="463"/>
    <d v="2024-02-20T00:00:00"/>
    <s v="February"/>
    <n v="2024"/>
    <x v="114"/>
    <n v="91"/>
    <s v="4G"/>
  </r>
  <r>
    <n v="10541"/>
    <n v="499"/>
    <d v="2023-08-13T00:00:00"/>
    <s v="August"/>
    <n v="2023"/>
    <x v="61"/>
    <n v="245"/>
    <s v="4G"/>
  </r>
  <r>
    <n v="10542"/>
    <n v="407"/>
    <d v="2023-12-29T00:00:00"/>
    <s v="December"/>
    <n v="2023"/>
    <x v="266"/>
    <n v="266"/>
    <s v="4G"/>
  </r>
  <r>
    <n v="10543"/>
    <n v="88"/>
    <d v="2024-06-12T00:00:00"/>
    <s v="June"/>
    <n v="2024"/>
    <x v="344"/>
    <n v="138"/>
    <s v="4G"/>
  </r>
  <r>
    <n v="10544"/>
    <n v="44"/>
    <d v="2023-09-02T00:00:00"/>
    <s v="September"/>
    <n v="2023"/>
    <x v="345"/>
    <n v="243"/>
    <s v="5G"/>
  </r>
  <r>
    <n v="10545"/>
    <n v="461"/>
    <d v="2024-01-18T00:00:00"/>
    <s v="January"/>
    <n v="2024"/>
    <x v="230"/>
    <n v="272"/>
    <s v="4G"/>
  </r>
  <r>
    <n v="10546"/>
    <n v="278"/>
    <d v="2022-10-09T00:00:00"/>
    <s v="October"/>
    <n v="2022"/>
    <x v="143"/>
    <n v="190"/>
    <s v="5G"/>
  </r>
  <r>
    <n v="10547"/>
    <n v="171"/>
    <d v="2023-10-23T00:00:00"/>
    <s v="October"/>
    <n v="2023"/>
    <x v="53"/>
    <n v="96"/>
    <s v="5G"/>
  </r>
  <r>
    <n v="10548"/>
    <n v="421"/>
    <d v="2024-03-26T00:00:00"/>
    <s v="March"/>
    <n v="2024"/>
    <x v="299"/>
    <n v="204"/>
    <s v="5G"/>
  </r>
  <r>
    <n v="10549"/>
    <n v="189"/>
    <d v="2023-08-01T00:00:00"/>
    <s v="August"/>
    <n v="2023"/>
    <x v="16"/>
    <n v="136"/>
    <s v="4G"/>
  </r>
  <r>
    <n v="10550"/>
    <n v="353"/>
    <d v="2024-01-16T00:00:00"/>
    <s v="January"/>
    <n v="2024"/>
    <x v="264"/>
    <n v="76"/>
    <s v="5G"/>
  </r>
  <r>
    <n v="10551"/>
    <n v="184"/>
    <d v="2023-04-02T00:00:00"/>
    <s v="April"/>
    <n v="2023"/>
    <x v="346"/>
    <n v="36"/>
    <s v="4G"/>
  </r>
  <r>
    <n v="10552"/>
    <n v="3"/>
    <d v="2022-03-28T00:00:00"/>
    <s v="March"/>
    <n v="2022"/>
    <x v="266"/>
    <n v="285"/>
    <s v="4G"/>
  </r>
  <r>
    <n v="10553"/>
    <n v="191"/>
    <d v="2022-03-20T00:00:00"/>
    <s v="March"/>
    <n v="2022"/>
    <x v="347"/>
    <n v="134"/>
    <s v="4G"/>
  </r>
  <r>
    <n v="10554"/>
    <n v="118"/>
    <d v="2022-07-24T00:00:00"/>
    <s v="July"/>
    <n v="2022"/>
    <x v="348"/>
    <n v="141"/>
    <s v="5G"/>
  </r>
  <r>
    <n v="10555"/>
    <n v="19"/>
    <d v="2024-03-01T00:00:00"/>
    <s v="March"/>
    <n v="2024"/>
    <x v="24"/>
    <n v="253"/>
    <s v="4G"/>
  </r>
  <r>
    <n v="10556"/>
    <n v="23"/>
    <d v="2022-12-03T00:00:00"/>
    <s v="December"/>
    <n v="2022"/>
    <x v="222"/>
    <n v="47"/>
    <s v="4G"/>
  </r>
  <r>
    <n v="10557"/>
    <n v="413"/>
    <d v="2022-09-11T00:00:00"/>
    <s v="September"/>
    <n v="2022"/>
    <x v="349"/>
    <n v="254"/>
    <s v="4G"/>
  </r>
  <r>
    <n v="10558"/>
    <n v="30"/>
    <d v="2022-10-31T00:00:00"/>
    <s v="October"/>
    <n v="2022"/>
    <x v="350"/>
    <n v="133"/>
    <s v="4G"/>
  </r>
  <r>
    <n v="10559"/>
    <n v="295"/>
    <d v="2023-01-15T00:00:00"/>
    <s v="January"/>
    <n v="2023"/>
    <x v="135"/>
    <n v="289"/>
    <s v="4G"/>
  </r>
  <r>
    <n v="10560"/>
    <n v="108"/>
    <d v="2022-05-10T00:00:00"/>
    <s v="May"/>
    <n v="2022"/>
    <x v="6"/>
    <n v="207"/>
    <s v="5G"/>
  </r>
  <r>
    <n v="10561"/>
    <n v="367"/>
    <d v="2023-08-19T00:00:00"/>
    <s v="August"/>
    <n v="2023"/>
    <x v="351"/>
    <n v="100"/>
    <s v="5G"/>
  </r>
  <r>
    <n v="10562"/>
    <n v="281"/>
    <d v="2022-10-03T00:00:00"/>
    <s v="October"/>
    <n v="2022"/>
    <x v="352"/>
    <n v="45"/>
    <s v="5G"/>
  </r>
  <r>
    <n v="10563"/>
    <n v="128"/>
    <d v="2023-11-30T00:00:00"/>
    <s v="November"/>
    <n v="2023"/>
    <x v="91"/>
    <n v="69"/>
    <s v="4G"/>
  </r>
  <r>
    <n v="10564"/>
    <n v="229"/>
    <d v="2023-07-12T00:00:00"/>
    <s v="July"/>
    <n v="2023"/>
    <x v="353"/>
    <n v="135"/>
    <s v="4G"/>
  </r>
  <r>
    <n v="10565"/>
    <n v="111"/>
    <d v="2024-06-17T00:00:00"/>
    <s v="June"/>
    <n v="2024"/>
    <x v="354"/>
    <n v="279"/>
    <s v="4G"/>
  </r>
  <r>
    <n v="10566"/>
    <n v="136"/>
    <d v="2022-07-02T00:00:00"/>
    <s v="July"/>
    <n v="2022"/>
    <x v="177"/>
    <n v="66"/>
    <s v="4G"/>
  </r>
  <r>
    <n v="10567"/>
    <n v="362"/>
    <d v="2022-09-25T00:00:00"/>
    <s v="September"/>
    <n v="2022"/>
    <x v="44"/>
    <n v="3"/>
    <s v="4G"/>
  </r>
  <r>
    <n v="10568"/>
    <n v="186"/>
    <d v="2024-03-18T00:00:00"/>
    <s v="March"/>
    <n v="2024"/>
    <x v="355"/>
    <n v="223"/>
    <s v="5G"/>
  </r>
  <r>
    <n v="10569"/>
    <n v="144"/>
    <d v="2022-11-18T00:00:00"/>
    <s v="November"/>
    <n v="2022"/>
    <x v="31"/>
    <n v="0"/>
    <s v="4G"/>
  </r>
  <r>
    <n v="10570"/>
    <n v="72"/>
    <d v="2023-05-27T00:00:00"/>
    <s v="May"/>
    <n v="2023"/>
    <x v="62"/>
    <n v="289"/>
    <s v="5G"/>
  </r>
  <r>
    <n v="10571"/>
    <n v="129"/>
    <d v="2023-09-04T00:00:00"/>
    <s v="September"/>
    <n v="2023"/>
    <x v="356"/>
    <n v="108"/>
    <s v="5G"/>
  </r>
  <r>
    <n v="10572"/>
    <n v="364"/>
    <d v="2022-03-19T00:00:00"/>
    <s v="March"/>
    <n v="2022"/>
    <x v="269"/>
    <n v="264"/>
    <s v="4G"/>
  </r>
  <r>
    <n v="10573"/>
    <n v="261"/>
    <d v="2024-02-23T00:00:00"/>
    <s v="February"/>
    <n v="2024"/>
    <x v="337"/>
    <n v="62"/>
    <s v="5G"/>
  </r>
  <r>
    <n v="10574"/>
    <n v="3"/>
    <d v="2022-12-05T00:00:00"/>
    <s v="December"/>
    <n v="2022"/>
    <x v="357"/>
    <n v="265"/>
    <s v="5G"/>
  </r>
  <r>
    <n v="10575"/>
    <n v="449"/>
    <d v="2023-11-05T00:00:00"/>
    <s v="November"/>
    <n v="2023"/>
    <x v="358"/>
    <n v="137"/>
    <s v="4G"/>
  </r>
  <r>
    <n v="10576"/>
    <n v="388"/>
    <d v="2023-07-10T00:00:00"/>
    <s v="July"/>
    <n v="2023"/>
    <x v="77"/>
    <n v="43"/>
    <s v="4G"/>
  </r>
  <r>
    <n v="10577"/>
    <n v="104"/>
    <d v="2023-05-24T00:00:00"/>
    <s v="May"/>
    <n v="2023"/>
    <x v="359"/>
    <n v="261"/>
    <s v="4G"/>
  </r>
  <r>
    <n v="10578"/>
    <n v="483"/>
    <d v="2022-08-26T00:00:00"/>
    <s v="August"/>
    <n v="2022"/>
    <x v="360"/>
    <n v="215"/>
    <s v="4G"/>
  </r>
  <r>
    <n v="10579"/>
    <n v="224"/>
    <d v="2022-05-14T00:00:00"/>
    <s v="May"/>
    <n v="2022"/>
    <x v="303"/>
    <n v="120"/>
    <s v="4G"/>
  </r>
  <r>
    <n v="10580"/>
    <n v="320"/>
    <d v="2022-07-11T00:00:00"/>
    <s v="July"/>
    <n v="2022"/>
    <x v="243"/>
    <n v="151"/>
    <s v="4G"/>
  </r>
  <r>
    <n v="10581"/>
    <n v="362"/>
    <d v="2022-12-22T00:00:00"/>
    <s v="December"/>
    <n v="2022"/>
    <x v="44"/>
    <n v="212"/>
    <s v="4G"/>
  </r>
  <r>
    <n v="10582"/>
    <n v="354"/>
    <d v="2022-10-05T00:00:00"/>
    <s v="October"/>
    <n v="2022"/>
    <x v="361"/>
    <n v="233"/>
    <s v="4G"/>
  </r>
  <r>
    <n v="10583"/>
    <n v="491"/>
    <d v="2022-01-18T00:00:00"/>
    <s v="January"/>
    <n v="2022"/>
    <x v="236"/>
    <n v="110"/>
    <s v="4G"/>
  </r>
  <r>
    <n v="10584"/>
    <n v="473"/>
    <d v="2023-06-08T00:00:00"/>
    <s v="June"/>
    <n v="2023"/>
    <x v="355"/>
    <n v="221"/>
    <s v="4G"/>
  </r>
  <r>
    <n v="10585"/>
    <n v="10"/>
    <d v="2022-06-29T00:00:00"/>
    <s v="June"/>
    <n v="2022"/>
    <x v="362"/>
    <n v="225"/>
    <s v="4G"/>
  </r>
  <r>
    <n v="10586"/>
    <n v="405"/>
    <d v="2022-05-03T00:00:00"/>
    <s v="May"/>
    <n v="2022"/>
    <x v="363"/>
    <n v="209"/>
    <s v="4G"/>
  </r>
  <r>
    <n v="10587"/>
    <n v="384"/>
    <d v="2022-09-03T00:00:00"/>
    <s v="September"/>
    <n v="2022"/>
    <x v="9"/>
    <n v="70"/>
    <s v="4G"/>
  </r>
  <r>
    <n v="10588"/>
    <n v="302"/>
    <d v="2024-01-04T00:00:00"/>
    <s v="January"/>
    <n v="2024"/>
    <x v="38"/>
    <n v="88"/>
    <s v="5G"/>
  </r>
  <r>
    <n v="10589"/>
    <n v="231"/>
    <d v="2023-01-08T00:00:00"/>
    <s v="January"/>
    <n v="2023"/>
    <x v="242"/>
    <n v="261"/>
    <s v="4G"/>
  </r>
  <r>
    <n v="10590"/>
    <n v="219"/>
    <d v="2022-02-20T00:00:00"/>
    <s v="February"/>
    <n v="2022"/>
    <x v="364"/>
    <n v="187"/>
    <s v="4G"/>
  </r>
  <r>
    <n v="10591"/>
    <n v="411"/>
    <d v="2022-03-12T00:00:00"/>
    <s v="March"/>
    <n v="2022"/>
    <x v="23"/>
    <n v="111"/>
    <s v="4G"/>
  </r>
  <r>
    <n v="10592"/>
    <n v="66"/>
    <d v="2023-04-25T00:00:00"/>
    <s v="April"/>
    <n v="2023"/>
    <x v="45"/>
    <n v="238"/>
    <s v="4G"/>
  </r>
  <r>
    <n v="10593"/>
    <n v="425"/>
    <d v="2023-07-14T00:00:00"/>
    <s v="July"/>
    <n v="2023"/>
    <x v="150"/>
    <n v="255"/>
    <s v="4G"/>
  </r>
  <r>
    <n v="10594"/>
    <n v="112"/>
    <d v="2022-01-19T00:00:00"/>
    <s v="January"/>
    <n v="2022"/>
    <x v="258"/>
    <n v="149"/>
    <s v="4G"/>
  </r>
  <r>
    <n v="10595"/>
    <n v="13"/>
    <d v="2024-02-13T00:00:00"/>
    <s v="February"/>
    <n v="2024"/>
    <x v="250"/>
    <n v="126"/>
    <s v="5G"/>
  </r>
  <r>
    <n v="10596"/>
    <n v="393"/>
    <d v="2022-03-25T00:00:00"/>
    <s v="March"/>
    <n v="2022"/>
    <x v="365"/>
    <n v="273"/>
    <s v="5G"/>
  </r>
  <r>
    <n v="10597"/>
    <n v="500"/>
    <d v="2022-06-04T00:00:00"/>
    <s v="June"/>
    <n v="2022"/>
    <x v="9"/>
    <n v="138"/>
    <s v="4G"/>
  </r>
  <r>
    <n v="10598"/>
    <n v="420"/>
    <d v="2023-07-19T00:00:00"/>
    <s v="July"/>
    <n v="2023"/>
    <x v="251"/>
    <n v="102"/>
    <s v="5G"/>
  </r>
  <r>
    <n v="10599"/>
    <n v="86"/>
    <d v="2023-09-11T00:00:00"/>
    <s v="September"/>
    <n v="2023"/>
    <x v="142"/>
    <n v="241"/>
    <s v="4G"/>
  </r>
  <r>
    <n v="10600"/>
    <n v="234"/>
    <d v="2022-12-23T00:00:00"/>
    <s v="December"/>
    <n v="2022"/>
    <x v="230"/>
    <n v="116"/>
    <s v="5G"/>
  </r>
  <r>
    <n v="10601"/>
    <n v="90"/>
    <d v="2024-03-26T00:00:00"/>
    <s v="March"/>
    <n v="2024"/>
    <x v="366"/>
    <n v="213"/>
    <s v="4G"/>
  </r>
  <r>
    <n v="10602"/>
    <n v="314"/>
    <d v="2023-10-09T00:00:00"/>
    <s v="October"/>
    <n v="2023"/>
    <x v="367"/>
    <n v="16"/>
    <s v="4G"/>
  </r>
  <r>
    <n v="10603"/>
    <n v="54"/>
    <d v="2023-03-19T00:00:00"/>
    <s v="March"/>
    <n v="2023"/>
    <x v="150"/>
    <n v="178"/>
    <s v="4G"/>
  </r>
  <r>
    <n v="10604"/>
    <n v="12"/>
    <d v="2022-03-10T00:00:00"/>
    <s v="March"/>
    <n v="2022"/>
    <x v="357"/>
    <n v="223"/>
    <s v="4G"/>
  </r>
  <r>
    <n v="10605"/>
    <n v="209"/>
    <d v="2023-06-07T00:00:00"/>
    <s v="June"/>
    <n v="2023"/>
    <x v="368"/>
    <n v="269"/>
    <s v="5G"/>
  </r>
  <r>
    <n v="10606"/>
    <n v="462"/>
    <d v="2022-05-23T00:00:00"/>
    <s v="May"/>
    <n v="2022"/>
    <x v="211"/>
    <n v="133"/>
    <s v="4G"/>
  </r>
  <r>
    <n v="10607"/>
    <n v="14"/>
    <d v="2022-07-11T00:00:00"/>
    <s v="July"/>
    <n v="2022"/>
    <x v="369"/>
    <n v="113"/>
    <s v="4G"/>
  </r>
  <r>
    <n v="10608"/>
    <n v="121"/>
    <d v="2023-01-22T00:00:00"/>
    <s v="January"/>
    <n v="2023"/>
    <x v="370"/>
    <n v="131"/>
    <s v="4G"/>
  </r>
  <r>
    <n v="10609"/>
    <n v="418"/>
    <d v="2023-01-13T00:00:00"/>
    <s v="January"/>
    <n v="2023"/>
    <x v="191"/>
    <n v="138"/>
    <s v="4G"/>
  </r>
  <r>
    <n v="10610"/>
    <n v="437"/>
    <d v="2023-08-04T00:00:00"/>
    <s v="August"/>
    <n v="2023"/>
    <x v="85"/>
    <n v="231"/>
    <s v="4G"/>
  </r>
  <r>
    <n v="10611"/>
    <n v="377"/>
    <d v="2023-06-19T00:00:00"/>
    <s v="June"/>
    <n v="2023"/>
    <x v="289"/>
    <n v="91"/>
    <s v="5G"/>
  </r>
  <r>
    <n v="10612"/>
    <n v="20"/>
    <d v="2023-11-24T00:00:00"/>
    <s v="November"/>
    <n v="2023"/>
    <x v="371"/>
    <n v="266"/>
    <s v="5G"/>
  </r>
  <r>
    <n v="10613"/>
    <n v="75"/>
    <d v="2022-10-20T00:00:00"/>
    <s v="October"/>
    <n v="2022"/>
    <x v="313"/>
    <n v="98"/>
    <s v="4G"/>
  </r>
  <r>
    <n v="10614"/>
    <n v="400"/>
    <d v="2022-01-09T00:00:00"/>
    <s v="January"/>
    <n v="2022"/>
    <x v="368"/>
    <n v="206"/>
    <s v="4G"/>
  </r>
  <r>
    <n v="10615"/>
    <n v="243"/>
    <d v="2022-09-28T00:00:00"/>
    <s v="September"/>
    <n v="2022"/>
    <x v="23"/>
    <n v="7"/>
    <s v="4G"/>
  </r>
  <r>
    <n v="10616"/>
    <n v="223"/>
    <d v="2023-01-22T00:00:00"/>
    <s v="January"/>
    <n v="2023"/>
    <x v="125"/>
    <n v="92"/>
    <s v="5G"/>
  </r>
  <r>
    <n v="10617"/>
    <n v="70"/>
    <d v="2022-04-03T00:00:00"/>
    <s v="April"/>
    <n v="2022"/>
    <x v="312"/>
    <n v="157"/>
    <s v="5G"/>
  </r>
  <r>
    <n v="10618"/>
    <n v="312"/>
    <d v="2023-06-13T00:00:00"/>
    <s v="June"/>
    <n v="2023"/>
    <x v="372"/>
    <n v="98"/>
    <s v="4G"/>
  </r>
  <r>
    <n v="10619"/>
    <n v="211"/>
    <d v="2022-06-03T00:00:00"/>
    <s v="June"/>
    <n v="2022"/>
    <x v="373"/>
    <n v="224"/>
    <s v="5G"/>
  </r>
  <r>
    <n v="10620"/>
    <n v="101"/>
    <d v="2023-02-09T00:00:00"/>
    <s v="February"/>
    <n v="2023"/>
    <x v="86"/>
    <n v="207"/>
    <s v="4G"/>
  </r>
  <r>
    <n v="10621"/>
    <n v="186"/>
    <d v="2024-04-19T00:00:00"/>
    <s v="April"/>
    <n v="2024"/>
    <x v="372"/>
    <n v="72"/>
    <s v="4G"/>
  </r>
  <r>
    <n v="10622"/>
    <n v="132"/>
    <d v="2022-05-29T00:00:00"/>
    <s v="May"/>
    <n v="2022"/>
    <x v="108"/>
    <n v="58"/>
    <s v="5G"/>
  </r>
  <r>
    <n v="10623"/>
    <n v="111"/>
    <d v="2024-06-07T00:00:00"/>
    <s v="June"/>
    <n v="2024"/>
    <x v="374"/>
    <n v="286"/>
    <s v="4G"/>
  </r>
  <r>
    <n v="10624"/>
    <n v="381"/>
    <d v="2022-09-24T00:00:00"/>
    <s v="September"/>
    <n v="2022"/>
    <x v="127"/>
    <n v="63"/>
    <s v="4G"/>
  </r>
  <r>
    <n v="10625"/>
    <n v="132"/>
    <d v="2023-02-26T00:00:00"/>
    <s v="February"/>
    <n v="2023"/>
    <x v="243"/>
    <n v="255"/>
    <s v="4G"/>
  </r>
  <r>
    <n v="10626"/>
    <n v="20"/>
    <d v="2024-04-19T00:00:00"/>
    <s v="April"/>
    <n v="2024"/>
    <x v="192"/>
    <n v="47"/>
    <s v="4G"/>
  </r>
  <r>
    <n v="10627"/>
    <n v="394"/>
    <d v="2023-09-10T00:00:00"/>
    <s v="September"/>
    <n v="2023"/>
    <x v="18"/>
    <n v="278"/>
    <s v="4G"/>
  </r>
  <r>
    <n v="10628"/>
    <n v="24"/>
    <d v="2023-04-17T00:00:00"/>
    <s v="April"/>
    <n v="2023"/>
    <x v="119"/>
    <n v="197"/>
    <s v="5G"/>
  </r>
  <r>
    <n v="10629"/>
    <n v="227"/>
    <d v="2024-06-11T00:00:00"/>
    <s v="June"/>
    <n v="2024"/>
    <x v="244"/>
    <n v="157"/>
    <s v="4G"/>
  </r>
  <r>
    <n v="10630"/>
    <n v="154"/>
    <d v="2023-07-01T00:00:00"/>
    <s v="July"/>
    <n v="2023"/>
    <x v="337"/>
    <n v="6"/>
    <s v="5G"/>
  </r>
  <r>
    <n v="10631"/>
    <n v="293"/>
    <d v="2023-09-23T00:00:00"/>
    <s v="September"/>
    <n v="2023"/>
    <x v="182"/>
    <n v="247"/>
    <s v="4G"/>
  </r>
  <r>
    <n v="10632"/>
    <n v="230"/>
    <d v="2023-06-10T00:00:00"/>
    <s v="June"/>
    <n v="2023"/>
    <x v="375"/>
    <n v="231"/>
    <s v="4G"/>
  </r>
  <r>
    <n v="10633"/>
    <n v="469"/>
    <d v="2023-05-18T00:00:00"/>
    <s v="May"/>
    <n v="2023"/>
    <x v="165"/>
    <n v="105"/>
    <s v="5G"/>
  </r>
  <r>
    <n v="10634"/>
    <n v="310"/>
    <d v="2022-01-14T00:00:00"/>
    <s v="January"/>
    <n v="2022"/>
    <x v="362"/>
    <n v="97"/>
    <s v="4G"/>
  </r>
  <r>
    <n v="10635"/>
    <n v="488"/>
    <d v="2024-02-17T00:00:00"/>
    <s v="February"/>
    <n v="2024"/>
    <x v="157"/>
    <n v="267"/>
    <s v="4G"/>
  </r>
  <r>
    <n v="10636"/>
    <n v="359"/>
    <d v="2023-10-14T00:00:00"/>
    <s v="October"/>
    <n v="2023"/>
    <x v="376"/>
    <n v="59"/>
    <s v="4G"/>
  </r>
  <r>
    <n v="10637"/>
    <n v="405"/>
    <d v="2024-03-16T00:00:00"/>
    <s v="March"/>
    <n v="2024"/>
    <x v="243"/>
    <n v="139"/>
    <s v="4G"/>
  </r>
  <r>
    <n v="10638"/>
    <n v="202"/>
    <d v="2022-12-30T00:00:00"/>
    <s v="December"/>
    <n v="2022"/>
    <x v="96"/>
    <n v="189"/>
    <s v="4G"/>
  </r>
  <r>
    <n v="10639"/>
    <n v="38"/>
    <d v="2022-04-29T00:00:00"/>
    <s v="April"/>
    <n v="2022"/>
    <x v="145"/>
    <n v="124"/>
    <s v="5G"/>
  </r>
  <r>
    <n v="10640"/>
    <n v="430"/>
    <d v="2022-08-26T00:00:00"/>
    <s v="August"/>
    <n v="2022"/>
    <x v="315"/>
    <n v="162"/>
    <s v="5G"/>
  </r>
  <r>
    <n v="10641"/>
    <n v="260"/>
    <d v="2023-06-30T00:00:00"/>
    <s v="June"/>
    <n v="2023"/>
    <x v="377"/>
    <n v="59"/>
    <s v="4G"/>
  </r>
  <r>
    <n v="10642"/>
    <n v="188"/>
    <d v="2022-06-18T00:00:00"/>
    <s v="June"/>
    <n v="2022"/>
    <x v="284"/>
    <n v="30"/>
    <s v="5G"/>
  </r>
  <r>
    <n v="10643"/>
    <n v="57"/>
    <d v="2023-06-06T00:00:00"/>
    <s v="June"/>
    <n v="2023"/>
    <x v="186"/>
    <n v="75"/>
    <s v="5G"/>
  </r>
  <r>
    <n v="10644"/>
    <n v="429"/>
    <d v="2023-09-26T00:00:00"/>
    <s v="September"/>
    <n v="2023"/>
    <x v="312"/>
    <n v="242"/>
    <s v="5G"/>
  </r>
  <r>
    <n v="10645"/>
    <n v="20"/>
    <d v="2023-10-19T00:00:00"/>
    <s v="October"/>
    <n v="2023"/>
    <x v="378"/>
    <n v="257"/>
    <s v="4G"/>
  </r>
  <r>
    <n v="10646"/>
    <n v="273"/>
    <d v="2024-01-05T00:00:00"/>
    <s v="January"/>
    <n v="2024"/>
    <x v="379"/>
    <n v="189"/>
    <s v="4G"/>
  </r>
  <r>
    <n v="10647"/>
    <n v="119"/>
    <d v="2024-06-01T00:00:00"/>
    <s v="June"/>
    <n v="2024"/>
    <x v="380"/>
    <n v="295"/>
    <s v="4G"/>
  </r>
  <r>
    <n v="10648"/>
    <n v="71"/>
    <d v="2024-02-08T00:00:00"/>
    <s v="February"/>
    <n v="2024"/>
    <x v="203"/>
    <n v="176"/>
    <s v="4G"/>
  </r>
  <r>
    <n v="10649"/>
    <n v="4"/>
    <d v="2024-02-19T00:00:00"/>
    <s v="February"/>
    <n v="2024"/>
    <x v="353"/>
    <n v="287"/>
    <s v="4G"/>
  </r>
  <r>
    <n v="10650"/>
    <n v="221"/>
    <d v="2024-05-20T00:00:00"/>
    <s v="May"/>
    <n v="2024"/>
    <x v="110"/>
    <n v="293"/>
    <s v="4G"/>
  </r>
  <r>
    <n v="10651"/>
    <n v="14"/>
    <d v="2023-05-31T00:00:00"/>
    <s v="May"/>
    <n v="2023"/>
    <x v="381"/>
    <n v="206"/>
    <s v="4G"/>
  </r>
  <r>
    <n v="10652"/>
    <n v="3"/>
    <d v="2023-02-01T00:00:00"/>
    <s v="February"/>
    <n v="2023"/>
    <x v="382"/>
    <n v="214"/>
    <s v="4G"/>
  </r>
  <r>
    <n v="10653"/>
    <n v="216"/>
    <d v="2024-05-15T00:00:00"/>
    <s v="May"/>
    <n v="2024"/>
    <x v="77"/>
    <n v="140"/>
    <s v="4G"/>
  </r>
  <r>
    <n v="10654"/>
    <n v="229"/>
    <d v="2022-04-16T00:00:00"/>
    <s v="April"/>
    <n v="2022"/>
    <x v="124"/>
    <n v="84"/>
    <s v="4G"/>
  </r>
  <r>
    <n v="10655"/>
    <n v="336"/>
    <d v="2022-03-26T00:00:00"/>
    <s v="March"/>
    <n v="2022"/>
    <x v="305"/>
    <n v="181"/>
    <s v="5G"/>
  </r>
  <r>
    <n v="10656"/>
    <n v="186"/>
    <d v="2022-08-02T00:00:00"/>
    <s v="August"/>
    <n v="2022"/>
    <x v="383"/>
    <n v="127"/>
    <s v="4G"/>
  </r>
  <r>
    <n v="10657"/>
    <n v="55"/>
    <d v="2022-05-01T00:00:00"/>
    <s v="May"/>
    <n v="2022"/>
    <x v="384"/>
    <n v="268"/>
    <s v="5G"/>
  </r>
  <r>
    <n v="10658"/>
    <n v="500"/>
    <d v="2022-05-12T00:00:00"/>
    <s v="May"/>
    <n v="2022"/>
    <x v="141"/>
    <n v="38"/>
    <s v="5G"/>
  </r>
  <r>
    <n v="10659"/>
    <n v="388"/>
    <d v="2024-04-29T00:00:00"/>
    <s v="April"/>
    <n v="2024"/>
    <x v="385"/>
    <n v="22"/>
    <s v="5G"/>
  </r>
  <r>
    <n v="10660"/>
    <n v="376"/>
    <d v="2022-07-16T00:00:00"/>
    <s v="July"/>
    <n v="2022"/>
    <x v="386"/>
    <n v="241"/>
    <s v="5G"/>
  </r>
  <r>
    <n v="10661"/>
    <n v="254"/>
    <d v="2022-01-19T00:00:00"/>
    <s v="January"/>
    <n v="2022"/>
    <x v="46"/>
    <n v="106"/>
    <s v="5G"/>
  </r>
  <r>
    <n v="10662"/>
    <n v="24"/>
    <d v="2023-10-04T00:00:00"/>
    <s v="October"/>
    <n v="2023"/>
    <x v="21"/>
    <n v="141"/>
    <s v="4G"/>
  </r>
  <r>
    <n v="10663"/>
    <n v="162"/>
    <d v="2022-01-12T00:00:00"/>
    <s v="January"/>
    <n v="2022"/>
    <x v="214"/>
    <n v="144"/>
    <s v="5G"/>
  </r>
  <r>
    <n v="10664"/>
    <n v="158"/>
    <d v="2022-03-22T00:00:00"/>
    <s v="March"/>
    <n v="2022"/>
    <x v="278"/>
    <n v="279"/>
    <s v="5G"/>
  </r>
  <r>
    <n v="10665"/>
    <n v="82"/>
    <d v="2022-11-26T00:00:00"/>
    <s v="November"/>
    <n v="2022"/>
    <x v="41"/>
    <n v="244"/>
    <s v="5G"/>
  </r>
  <r>
    <n v="10666"/>
    <n v="403"/>
    <d v="2024-05-15T00:00:00"/>
    <s v="May"/>
    <n v="2024"/>
    <x v="387"/>
    <n v="190"/>
    <s v="4G"/>
  </r>
  <r>
    <n v="10667"/>
    <n v="159"/>
    <d v="2024-02-13T00:00:00"/>
    <s v="February"/>
    <n v="2024"/>
    <x v="388"/>
    <n v="289"/>
    <s v="4G"/>
  </r>
  <r>
    <n v="10668"/>
    <n v="188"/>
    <d v="2023-01-27T00:00:00"/>
    <s v="January"/>
    <n v="2023"/>
    <x v="94"/>
    <n v="178"/>
    <s v="4G"/>
  </r>
  <r>
    <n v="10669"/>
    <n v="60"/>
    <d v="2023-09-29T00:00:00"/>
    <s v="September"/>
    <n v="2023"/>
    <x v="23"/>
    <n v="111"/>
    <s v="4G"/>
  </r>
  <r>
    <n v="10670"/>
    <n v="403"/>
    <d v="2022-11-03T00:00:00"/>
    <s v="November"/>
    <n v="2022"/>
    <x v="389"/>
    <n v="213"/>
    <s v="5G"/>
  </r>
  <r>
    <n v="10671"/>
    <n v="305"/>
    <d v="2022-09-24T00:00:00"/>
    <s v="September"/>
    <n v="2022"/>
    <x v="390"/>
    <n v="137"/>
    <s v="4G"/>
  </r>
  <r>
    <n v="10672"/>
    <n v="319"/>
    <d v="2023-03-23T00:00:00"/>
    <s v="March"/>
    <n v="2023"/>
    <x v="127"/>
    <n v="199"/>
    <s v="4G"/>
  </r>
  <r>
    <n v="10673"/>
    <n v="366"/>
    <d v="2023-03-17T00:00:00"/>
    <s v="March"/>
    <n v="2023"/>
    <x v="232"/>
    <n v="6"/>
    <s v="4G"/>
  </r>
  <r>
    <n v="10674"/>
    <n v="211"/>
    <d v="2024-06-13T00:00:00"/>
    <s v="June"/>
    <n v="2024"/>
    <x v="85"/>
    <n v="12"/>
    <s v="4G"/>
  </r>
  <r>
    <n v="10675"/>
    <n v="406"/>
    <d v="2023-10-14T00:00:00"/>
    <s v="October"/>
    <n v="2023"/>
    <x v="223"/>
    <n v="79"/>
    <s v="4G"/>
  </r>
  <r>
    <n v="10676"/>
    <n v="152"/>
    <d v="2024-04-20T00:00:00"/>
    <s v="April"/>
    <n v="2024"/>
    <x v="93"/>
    <n v="285"/>
    <s v="4G"/>
  </r>
  <r>
    <n v="10677"/>
    <n v="109"/>
    <d v="2022-01-02T00:00:00"/>
    <s v="January"/>
    <n v="2022"/>
    <x v="391"/>
    <n v="158"/>
    <s v="4G"/>
  </r>
  <r>
    <n v="10678"/>
    <n v="76"/>
    <d v="2023-06-04T00:00:00"/>
    <s v="June"/>
    <n v="2023"/>
    <x v="392"/>
    <n v="271"/>
    <s v="4G"/>
  </r>
  <r>
    <n v="10679"/>
    <n v="30"/>
    <d v="2024-02-01T00:00:00"/>
    <s v="February"/>
    <n v="2024"/>
    <x v="393"/>
    <n v="200"/>
    <s v="4G"/>
  </r>
  <r>
    <n v="10680"/>
    <n v="314"/>
    <d v="2023-10-13T00:00:00"/>
    <s v="October"/>
    <n v="2023"/>
    <x v="242"/>
    <n v="149"/>
    <s v="5G"/>
  </r>
  <r>
    <n v="10681"/>
    <n v="486"/>
    <d v="2023-09-28T00:00:00"/>
    <s v="September"/>
    <n v="2023"/>
    <x v="145"/>
    <n v="295"/>
    <s v="5G"/>
  </r>
  <r>
    <n v="10682"/>
    <n v="117"/>
    <d v="2022-11-05T00:00:00"/>
    <s v="November"/>
    <n v="2022"/>
    <x v="394"/>
    <n v="292"/>
    <s v="5G"/>
  </r>
  <r>
    <n v="10683"/>
    <n v="415"/>
    <d v="2024-01-10T00:00:00"/>
    <s v="January"/>
    <n v="2024"/>
    <x v="97"/>
    <n v="271"/>
    <s v="4G"/>
  </r>
  <r>
    <n v="10684"/>
    <n v="356"/>
    <d v="2023-06-06T00:00:00"/>
    <s v="June"/>
    <n v="2023"/>
    <x v="205"/>
    <n v="42"/>
    <s v="4G"/>
  </r>
  <r>
    <n v="10685"/>
    <n v="192"/>
    <d v="2023-04-14T00:00:00"/>
    <s v="April"/>
    <n v="2023"/>
    <x v="395"/>
    <n v="14"/>
    <s v="4G"/>
  </r>
  <r>
    <n v="10686"/>
    <n v="19"/>
    <d v="2022-07-31T00:00:00"/>
    <s v="July"/>
    <n v="2022"/>
    <x v="224"/>
    <n v="247"/>
    <s v="5G"/>
  </r>
  <r>
    <n v="10687"/>
    <n v="432"/>
    <d v="2022-04-22T00:00:00"/>
    <s v="April"/>
    <n v="2022"/>
    <x v="380"/>
    <n v="171"/>
    <s v="5G"/>
  </r>
  <r>
    <n v="10688"/>
    <n v="173"/>
    <d v="2022-01-08T00:00:00"/>
    <s v="January"/>
    <n v="2022"/>
    <x v="112"/>
    <n v="217"/>
    <s v="4G"/>
  </r>
  <r>
    <n v="10689"/>
    <n v="228"/>
    <d v="2024-03-14T00:00:00"/>
    <s v="March"/>
    <n v="2024"/>
    <x v="88"/>
    <n v="136"/>
    <s v="5G"/>
  </r>
  <r>
    <n v="10690"/>
    <n v="350"/>
    <d v="2023-04-22T00:00:00"/>
    <s v="April"/>
    <n v="2023"/>
    <x v="396"/>
    <n v="226"/>
    <s v="4G"/>
  </r>
  <r>
    <n v="10691"/>
    <n v="183"/>
    <d v="2024-05-23T00:00:00"/>
    <s v="May"/>
    <n v="2024"/>
    <x v="88"/>
    <n v="43"/>
    <s v="4G"/>
  </r>
  <r>
    <n v="10692"/>
    <n v="113"/>
    <d v="2023-04-05T00:00:00"/>
    <s v="April"/>
    <n v="2023"/>
    <x v="17"/>
    <n v="19"/>
    <s v="4G"/>
  </r>
  <r>
    <n v="10693"/>
    <n v="183"/>
    <d v="2022-09-10T00:00:00"/>
    <s v="September"/>
    <n v="2022"/>
    <x v="45"/>
    <n v="118"/>
    <s v="4G"/>
  </r>
  <r>
    <n v="10694"/>
    <n v="481"/>
    <d v="2023-06-10T00:00:00"/>
    <s v="June"/>
    <n v="2023"/>
    <x v="16"/>
    <n v="233"/>
    <s v="4G"/>
  </r>
  <r>
    <n v="10695"/>
    <n v="146"/>
    <d v="2024-01-22T00:00:00"/>
    <s v="January"/>
    <n v="2024"/>
    <x v="127"/>
    <n v="261"/>
    <s v="5G"/>
  </r>
  <r>
    <n v="10696"/>
    <n v="319"/>
    <d v="2023-03-14T00:00:00"/>
    <s v="March"/>
    <n v="2023"/>
    <x v="397"/>
    <n v="82"/>
    <s v="4G"/>
  </r>
  <r>
    <n v="10697"/>
    <n v="116"/>
    <d v="2024-01-24T00:00:00"/>
    <s v="January"/>
    <n v="2024"/>
    <x v="398"/>
    <n v="30"/>
    <s v="4G"/>
  </r>
  <r>
    <n v="10698"/>
    <n v="113"/>
    <d v="2024-05-03T00:00:00"/>
    <s v="May"/>
    <n v="2024"/>
    <x v="222"/>
    <n v="273"/>
    <s v="5G"/>
  </r>
  <r>
    <n v="10699"/>
    <n v="251"/>
    <d v="2023-10-23T00:00:00"/>
    <s v="October"/>
    <n v="2023"/>
    <x v="399"/>
    <n v="233"/>
    <s v="4G"/>
  </r>
  <r>
    <n v="10700"/>
    <n v="476"/>
    <d v="2022-08-24T00:00:00"/>
    <s v="August"/>
    <n v="2022"/>
    <x v="253"/>
    <n v="27"/>
    <s v="4G"/>
  </r>
  <r>
    <n v="10701"/>
    <n v="251"/>
    <d v="2022-11-02T00:00:00"/>
    <s v="November"/>
    <n v="2022"/>
    <x v="239"/>
    <n v="251"/>
    <s v="4G"/>
  </r>
  <r>
    <n v="10702"/>
    <n v="303"/>
    <d v="2023-04-23T00:00:00"/>
    <s v="April"/>
    <n v="2023"/>
    <x v="177"/>
    <n v="252"/>
    <s v="4G"/>
  </r>
  <r>
    <n v="10703"/>
    <n v="459"/>
    <d v="2023-11-10T00:00:00"/>
    <s v="November"/>
    <n v="2023"/>
    <x v="339"/>
    <n v="238"/>
    <s v="4G"/>
  </r>
  <r>
    <n v="10704"/>
    <n v="313"/>
    <d v="2022-01-20T00:00:00"/>
    <s v="January"/>
    <n v="2022"/>
    <x v="400"/>
    <n v="174"/>
    <s v="4G"/>
  </r>
  <r>
    <n v="10705"/>
    <n v="118"/>
    <d v="2022-08-04T00:00:00"/>
    <s v="August"/>
    <n v="2022"/>
    <x v="401"/>
    <n v="193"/>
    <s v="4G"/>
  </r>
  <r>
    <n v="10706"/>
    <n v="301"/>
    <d v="2024-05-04T00:00:00"/>
    <s v="May"/>
    <n v="2024"/>
    <x v="402"/>
    <n v="179"/>
    <s v="4G"/>
  </r>
  <r>
    <n v="10707"/>
    <n v="161"/>
    <d v="2022-05-15T00:00:00"/>
    <s v="May"/>
    <n v="2022"/>
    <x v="317"/>
    <n v="294"/>
    <s v="5G"/>
  </r>
  <r>
    <n v="10708"/>
    <n v="401"/>
    <d v="2022-05-09T00:00:00"/>
    <s v="May"/>
    <n v="2022"/>
    <x v="148"/>
    <n v="214"/>
    <s v="5G"/>
  </r>
  <r>
    <n v="10709"/>
    <n v="198"/>
    <d v="2023-02-14T00:00:00"/>
    <s v="February"/>
    <n v="2023"/>
    <x v="64"/>
    <n v="202"/>
    <s v="5G"/>
  </r>
  <r>
    <n v="10710"/>
    <n v="260"/>
    <d v="2023-02-26T00:00:00"/>
    <s v="February"/>
    <n v="2023"/>
    <x v="173"/>
    <n v="249"/>
    <s v="4G"/>
  </r>
  <r>
    <n v="10711"/>
    <n v="148"/>
    <d v="2022-10-21T00:00:00"/>
    <s v="October"/>
    <n v="2022"/>
    <x v="4"/>
    <n v="256"/>
    <s v="4G"/>
  </r>
  <r>
    <n v="10712"/>
    <n v="240"/>
    <d v="2022-09-03T00:00:00"/>
    <s v="September"/>
    <n v="2022"/>
    <x v="85"/>
    <n v="74"/>
    <s v="5G"/>
  </r>
  <r>
    <n v="10713"/>
    <n v="47"/>
    <d v="2023-12-02T00:00:00"/>
    <s v="December"/>
    <n v="2023"/>
    <x v="379"/>
    <n v="201"/>
    <s v="4G"/>
  </r>
  <r>
    <n v="10714"/>
    <n v="475"/>
    <d v="2023-07-10T00:00:00"/>
    <s v="July"/>
    <n v="2023"/>
    <x v="293"/>
    <n v="141"/>
    <s v="4G"/>
  </r>
  <r>
    <n v="10715"/>
    <n v="399"/>
    <d v="2022-03-27T00:00:00"/>
    <s v="March"/>
    <n v="2022"/>
    <x v="150"/>
    <n v="205"/>
    <s v="5G"/>
  </r>
  <r>
    <n v="10716"/>
    <n v="198"/>
    <d v="2023-07-10T00:00:00"/>
    <s v="July"/>
    <n v="2023"/>
    <x v="403"/>
    <n v="198"/>
    <s v="4G"/>
  </r>
  <r>
    <n v="10717"/>
    <n v="47"/>
    <d v="2024-04-21T00:00:00"/>
    <s v="April"/>
    <n v="2024"/>
    <x v="64"/>
    <n v="170"/>
    <s v="4G"/>
  </r>
  <r>
    <n v="10718"/>
    <n v="78"/>
    <d v="2023-01-10T00:00:00"/>
    <s v="January"/>
    <n v="2023"/>
    <x v="404"/>
    <n v="227"/>
    <s v="5G"/>
  </r>
  <r>
    <n v="10719"/>
    <n v="124"/>
    <d v="2023-03-22T00:00:00"/>
    <s v="March"/>
    <n v="2023"/>
    <x v="222"/>
    <n v="178"/>
    <s v="5G"/>
  </r>
  <r>
    <n v="10720"/>
    <n v="75"/>
    <d v="2023-01-13T00:00:00"/>
    <s v="January"/>
    <n v="2023"/>
    <x v="405"/>
    <n v="274"/>
    <s v="4G"/>
  </r>
  <r>
    <n v="10721"/>
    <n v="359"/>
    <d v="2023-01-25T00:00:00"/>
    <s v="January"/>
    <n v="2023"/>
    <x v="192"/>
    <n v="61"/>
    <s v="4G"/>
  </r>
  <r>
    <n v="10722"/>
    <n v="137"/>
    <d v="2023-10-19T00:00:00"/>
    <s v="October"/>
    <n v="2023"/>
    <x v="372"/>
    <n v="203"/>
    <s v="4G"/>
  </r>
  <r>
    <n v="10723"/>
    <n v="90"/>
    <d v="2022-02-20T00:00:00"/>
    <s v="February"/>
    <n v="2022"/>
    <x v="197"/>
    <n v="132"/>
    <s v="5G"/>
  </r>
  <r>
    <n v="10724"/>
    <n v="400"/>
    <d v="2022-08-30T00:00:00"/>
    <s v="August"/>
    <n v="2022"/>
    <x v="261"/>
    <n v="71"/>
    <s v="4G"/>
  </r>
  <r>
    <n v="10725"/>
    <n v="325"/>
    <d v="2022-10-21T00:00:00"/>
    <s v="October"/>
    <n v="2022"/>
    <x v="318"/>
    <n v="77"/>
    <s v="4G"/>
  </r>
  <r>
    <n v="10726"/>
    <n v="500"/>
    <d v="2023-07-17T00:00:00"/>
    <s v="July"/>
    <n v="2023"/>
    <x v="406"/>
    <n v="188"/>
    <s v="5G"/>
  </r>
  <r>
    <n v="10727"/>
    <n v="61"/>
    <d v="2022-09-23T00:00:00"/>
    <s v="September"/>
    <n v="2022"/>
    <x v="407"/>
    <n v="70"/>
    <s v="4G"/>
  </r>
  <r>
    <n v="10728"/>
    <n v="138"/>
    <d v="2022-04-30T00:00:00"/>
    <s v="April"/>
    <n v="2022"/>
    <x v="46"/>
    <n v="262"/>
    <s v="5G"/>
  </r>
  <r>
    <n v="10729"/>
    <n v="50"/>
    <d v="2023-12-13T00:00:00"/>
    <s v="December"/>
    <n v="2023"/>
    <x v="408"/>
    <n v="45"/>
    <s v="5G"/>
  </r>
  <r>
    <n v="10730"/>
    <n v="259"/>
    <d v="2022-09-05T00:00:00"/>
    <s v="September"/>
    <n v="2022"/>
    <x v="244"/>
    <n v="223"/>
    <s v="4G"/>
  </r>
  <r>
    <n v="10731"/>
    <n v="461"/>
    <d v="2022-03-11T00:00:00"/>
    <s v="March"/>
    <n v="2022"/>
    <x v="409"/>
    <n v="249"/>
    <s v="5G"/>
  </r>
  <r>
    <n v="10732"/>
    <n v="107"/>
    <d v="2024-05-02T00:00:00"/>
    <s v="May"/>
    <n v="2024"/>
    <x v="410"/>
    <n v="75"/>
    <s v="4G"/>
  </r>
  <r>
    <n v="10733"/>
    <n v="113"/>
    <d v="2022-02-26T00:00:00"/>
    <s v="February"/>
    <n v="2022"/>
    <x v="125"/>
    <n v="73"/>
    <s v="5G"/>
  </r>
  <r>
    <n v="10734"/>
    <n v="350"/>
    <d v="2023-01-17T00:00:00"/>
    <s v="January"/>
    <n v="2023"/>
    <x v="22"/>
    <n v="141"/>
    <s v="5G"/>
  </r>
  <r>
    <n v="10735"/>
    <n v="254"/>
    <d v="2022-02-08T00:00:00"/>
    <s v="February"/>
    <n v="2022"/>
    <x v="411"/>
    <n v="72"/>
    <s v="4G"/>
  </r>
  <r>
    <n v="10736"/>
    <n v="118"/>
    <d v="2024-03-11T00:00:00"/>
    <s v="March"/>
    <n v="2024"/>
    <x v="231"/>
    <n v="101"/>
    <s v="5G"/>
  </r>
  <r>
    <n v="10737"/>
    <n v="493"/>
    <d v="2023-03-19T00:00:00"/>
    <s v="March"/>
    <n v="2023"/>
    <x v="94"/>
    <n v="93"/>
    <s v="5G"/>
  </r>
  <r>
    <n v="10738"/>
    <n v="198"/>
    <d v="2022-01-18T00:00:00"/>
    <s v="January"/>
    <n v="2022"/>
    <x v="313"/>
    <n v="68"/>
    <s v="4G"/>
  </r>
  <r>
    <n v="10739"/>
    <n v="337"/>
    <d v="2024-01-02T00:00:00"/>
    <s v="January"/>
    <n v="2024"/>
    <x v="130"/>
    <n v="64"/>
    <s v="4G"/>
  </r>
  <r>
    <n v="10740"/>
    <n v="365"/>
    <d v="2024-04-04T00:00:00"/>
    <s v="April"/>
    <n v="2024"/>
    <x v="64"/>
    <n v="192"/>
    <s v="4G"/>
  </r>
  <r>
    <n v="10741"/>
    <n v="51"/>
    <d v="2024-01-26T00:00:00"/>
    <s v="January"/>
    <n v="2024"/>
    <x v="193"/>
    <n v="61"/>
    <s v="4G"/>
  </r>
  <r>
    <n v="10742"/>
    <n v="245"/>
    <d v="2022-12-18T00:00:00"/>
    <s v="December"/>
    <n v="2022"/>
    <x v="225"/>
    <n v="19"/>
    <s v="5G"/>
  </r>
  <r>
    <n v="10743"/>
    <n v="403"/>
    <d v="2024-03-26T00:00:00"/>
    <s v="March"/>
    <n v="2024"/>
    <x v="188"/>
    <n v="240"/>
    <s v="5G"/>
  </r>
  <r>
    <n v="10744"/>
    <n v="426"/>
    <d v="2022-10-25T00:00:00"/>
    <s v="October"/>
    <n v="2022"/>
    <x v="7"/>
    <n v="202"/>
    <s v="4G"/>
  </r>
  <r>
    <n v="10745"/>
    <n v="35"/>
    <d v="2022-10-10T00:00:00"/>
    <s v="October"/>
    <n v="2022"/>
    <x v="412"/>
    <n v="299"/>
    <s v="4G"/>
  </r>
  <r>
    <n v="10746"/>
    <n v="302"/>
    <d v="2023-08-09T00:00:00"/>
    <s v="August"/>
    <n v="2023"/>
    <x v="356"/>
    <n v="194"/>
    <s v="4G"/>
  </r>
  <r>
    <n v="10747"/>
    <n v="410"/>
    <d v="2022-04-20T00:00:00"/>
    <s v="April"/>
    <n v="2022"/>
    <x v="184"/>
    <n v="61"/>
    <s v="4G"/>
  </r>
  <r>
    <n v="10748"/>
    <n v="499"/>
    <d v="2022-06-29T00:00:00"/>
    <s v="June"/>
    <n v="2022"/>
    <x v="12"/>
    <n v="106"/>
    <s v="4G"/>
  </r>
  <r>
    <n v="10749"/>
    <n v="69"/>
    <d v="2023-06-28T00:00:00"/>
    <s v="June"/>
    <n v="2023"/>
    <x v="413"/>
    <n v="124"/>
    <s v="4G"/>
  </r>
  <r>
    <n v="10750"/>
    <n v="349"/>
    <d v="2024-01-16T00:00:00"/>
    <s v="January"/>
    <n v="2024"/>
    <x v="106"/>
    <n v="266"/>
    <s v="4G"/>
  </r>
  <r>
    <n v="10751"/>
    <n v="320"/>
    <d v="2024-03-04T00:00:00"/>
    <s v="March"/>
    <n v="2024"/>
    <x v="396"/>
    <n v="201"/>
    <s v="5G"/>
  </r>
  <r>
    <n v="10752"/>
    <n v="421"/>
    <d v="2022-01-25T00:00:00"/>
    <s v="January"/>
    <n v="2022"/>
    <x v="142"/>
    <n v="161"/>
    <s v="4G"/>
  </r>
  <r>
    <n v="10753"/>
    <n v="468"/>
    <d v="2024-04-22T00:00:00"/>
    <s v="April"/>
    <n v="2024"/>
    <x v="94"/>
    <n v="111"/>
    <s v="4G"/>
  </r>
  <r>
    <n v="10754"/>
    <n v="49"/>
    <d v="2024-03-01T00:00:00"/>
    <s v="March"/>
    <n v="2024"/>
    <x v="414"/>
    <n v="31"/>
    <s v="4G"/>
  </r>
  <r>
    <n v="10755"/>
    <n v="405"/>
    <d v="2024-01-08T00:00:00"/>
    <s v="January"/>
    <n v="2024"/>
    <x v="334"/>
    <n v="97"/>
    <s v="5G"/>
  </r>
  <r>
    <n v="10756"/>
    <n v="74"/>
    <d v="2022-02-26T00:00:00"/>
    <s v="February"/>
    <n v="2022"/>
    <x v="61"/>
    <n v="246"/>
    <s v="5G"/>
  </r>
  <r>
    <n v="10757"/>
    <n v="192"/>
    <d v="2022-06-29T00:00:00"/>
    <s v="June"/>
    <n v="2022"/>
    <x v="373"/>
    <n v="260"/>
    <s v="5G"/>
  </r>
  <r>
    <n v="10758"/>
    <n v="261"/>
    <d v="2022-08-20T00:00:00"/>
    <s v="August"/>
    <n v="2022"/>
    <x v="415"/>
    <n v="190"/>
    <s v="4G"/>
  </r>
  <r>
    <n v="10759"/>
    <n v="356"/>
    <d v="2024-06-12T00:00:00"/>
    <s v="June"/>
    <n v="2024"/>
    <x v="389"/>
    <n v="28"/>
    <s v="4G"/>
  </r>
  <r>
    <n v="10760"/>
    <n v="70"/>
    <d v="2022-12-09T00:00:00"/>
    <s v="December"/>
    <n v="2022"/>
    <x v="121"/>
    <n v="47"/>
    <s v="4G"/>
  </r>
  <r>
    <n v="10761"/>
    <n v="90"/>
    <d v="2023-04-22T00:00:00"/>
    <s v="April"/>
    <n v="2023"/>
    <x v="169"/>
    <n v="249"/>
    <s v="4G"/>
  </r>
  <r>
    <n v="10762"/>
    <n v="260"/>
    <d v="2024-03-09T00:00:00"/>
    <s v="March"/>
    <n v="2024"/>
    <x v="36"/>
    <n v="225"/>
    <s v="4G"/>
  </r>
  <r>
    <n v="10763"/>
    <n v="126"/>
    <d v="2023-07-30T00:00:00"/>
    <s v="July"/>
    <n v="2023"/>
    <x v="416"/>
    <n v="271"/>
    <s v="5G"/>
  </r>
  <r>
    <n v="10764"/>
    <n v="231"/>
    <d v="2023-03-31T00:00:00"/>
    <s v="March"/>
    <n v="2023"/>
    <x v="64"/>
    <n v="152"/>
    <s v="4G"/>
  </r>
  <r>
    <n v="10765"/>
    <n v="295"/>
    <d v="2022-08-20T00:00:00"/>
    <s v="August"/>
    <n v="2022"/>
    <x v="178"/>
    <n v="284"/>
    <s v="4G"/>
  </r>
  <r>
    <n v="10766"/>
    <n v="498"/>
    <d v="2022-10-16T00:00:00"/>
    <s v="October"/>
    <n v="2022"/>
    <x v="417"/>
    <n v="179"/>
    <s v="5G"/>
  </r>
  <r>
    <n v="10767"/>
    <n v="419"/>
    <d v="2022-08-01T00:00:00"/>
    <s v="August"/>
    <n v="2022"/>
    <x v="418"/>
    <n v="152"/>
    <s v="4G"/>
  </r>
  <r>
    <n v="10768"/>
    <n v="129"/>
    <d v="2022-09-15T00:00:00"/>
    <s v="September"/>
    <n v="2022"/>
    <x v="282"/>
    <n v="233"/>
    <s v="4G"/>
  </r>
  <r>
    <n v="10769"/>
    <n v="280"/>
    <d v="2023-06-14T00:00:00"/>
    <s v="June"/>
    <n v="2023"/>
    <x v="175"/>
    <n v="22"/>
    <s v="4G"/>
  </r>
  <r>
    <n v="10770"/>
    <n v="313"/>
    <d v="2023-11-18T00:00:00"/>
    <s v="November"/>
    <n v="2023"/>
    <x v="392"/>
    <n v="93"/>
    <s v="4G"/>
  </r>
  <r>
    <n v="10771"/>
    <n v="100"/>
    <d v="2022-08-17T00:00:00"/>
    <s v="August"/>
    <n v="2022"/>
    <x v="379"/>
    <n v="244"/>
    <s v="5G"/>
  </r>
  <r>
    <n v="10772"/>
    <n v="326"/>
    <d v="2022-08-14T00:00:00"/>
    <s v="August"/>
    <n v="2022"/>
    <x v="169"/>
    <n v="289"/>
    <s v="4G"/>
  </r>
  <r>
    <n v="10773"/>
    <n v="297"/>
    <d v="2023-08-19T00:00:00"/>
    <s v="August"/>
    <n v="2023"/>
    <x v="358"/>
    <n v="159"/>
    <s v="5G"/>
  </r>
  <r>
    <n v="10774"/>
    <n v="182"/>
    <d v="2024-03-13T00:00:00"/>
    <s v="March"/>
    <n v="2024"/>
    <x v="286"/>
    <n v="284"/>
    <s v="5G"/>
  </r>
  <r>
    <n v="10775"/>
    <n v="174"/>
    <d v="2023-03-11T00:00:00"/>
    <s v="March"/>
    <n v="2023"/>
    <x v="179"/>
    <n v="8"/>
    <s v="5G"/>
  </r>
  <r>
    <n v="10776"/>
    <n v="316"/>
    <d v="2024-05-31T00:00:00"/>
    <s v="May"/>
    <n v="2024"/>
    <x v="419"/>
    <n v="184"/>
    <s v="4G"/>
  </r>
  <r>
    <n v="10777"/>
    <n v="364"/>
    <d v="2024-01-28T00:00:00"/>
    <s v="January"/>
    <n v="2024"/>
    <x v="420"/>
    <n v="294"/>
    <s v="4G"/>
  </r>
  <r>
    <n v="10778"/>
    <n v="188"/>
    <d v="2023-02-06T00:00:00"/>
    <s v="February"/>
    <n v="2023"/>
    <x v="353"/>
    <n v="134"/>
    <s v="4G"/>
  </r>
  <r>
    <n v="10779"/>
    <n v="57"/>
    <d v="2023-09-14T00:00:00"/>
    <s v="September"/>
    <n v="2023"/>
    <x v="250"/>
    <n v="109"/>
    <s v="4G"/>
  </r>
  <r>
    <n v="10780"/>
    <n v="31"/>
    <d v="2024-02-05T00:00:00"/>
    <s v="February"/>
    <n v="2024"/>
    <x v="421"/>
    <n v="68"/>
    <s v="5G"/>
  </r>
  <r>
    <n v="10781"/>
    <n v="84"/>
    <d v="2022-03-29T00:00:00"/>
    <s v="March"/>
    <n v="2022"/>
    <x v="29"/>
    <n v="135"/>
    <s v="4G"/>
  </r>
  <r>
    <n v="10782"/>
    <n v="152"/>
    <d v="2023-08-07T00:00:00"/>
    <s v="August"/>
    <n v="2023"/>
    <x v="377"/>
    <n v="95"/>
    <s v="5G"/>
  </r>
  <r>
    <n v="10783"/>
    <n v="473"/>
    <d v="2024-06-11T00:00:00"/>
    <s v="June"/>
    <n v="2024"/>
    <x v="422"/>
    <n v="118"/>
    <s v="4G"/>
  </r>
  <r>
    <n v="10784"/>
    <n v="36"/>
    <d v="2023-06-26T00:00:00"/>
    <s v="June"/>
    <n v="2023"/>
    <x v="56"/>
    <n v="273"/>
    <s v="4G"/>
  </r>
  <r>
    <n v="10785"/>
    <n v="213"/>
    <d v="2023-11-15T00:00:00"/>
    <s v="November"/>
    <n v="2023"/>
    <x v="423"/>
    <n v="176"/>
    <s v="5G"/>
  </r>
  <r>
    <n v="10786"/>
    <n v="414"/>
    <d v="2022-11-05T00:00:00"/>
    <s v="November"/>
    <n v="2022"/>
    <x v="177"/>
    <n v="236"/>
    <s v="4G"/>
  </r>
  <r>
    <n v="10787"/>
    <n v="408"/>
    <d v="2022-12-09T00:00:00"/>
    <s v="December"/>
    <n v="2022"/>
    <x v="13"/>
    <n v="271"/>
    <s v="5G"/>
  </r>
  <r>
    <n v="10788"/>
    <n v="364"/>
    <d v="2023-03-12T00:00:00"/>
    <s v="March"/>
    <n v="2023"/>
    <x v="424"/>
    <n v="276"/>
    <s v="4G"/>
  </r>
  <r>
    <n v="10789"/>
    <n v="106"/>
    <d v="2022-06-26T00:00:00"/>
    <s v="June"/>
    <n v="2022"/>
    <x v="165"/>
    <n v="137"/>
    <s v="5G"/>
  </r>
  <r>
    <n v="10790"/>
    <n v="414"/>
    <d v="2022-05-19T00:00:00"/>
    <s v="May"/>
    <n v="2022"/>
    <x v="38"/>
    <n v="131"/>
    <s v="4G"/>
  </r>
  <r>
    <n v="10791"/>
    <n v="342"/>
    <d v="2022-07-13T00:00:00"/>
    <s v="July"/>
    <n v="2022"/>
    <x v="420"/>
    <n v="43"/>
    <s v="5G"/>
  </r>
  <r>
    <n v="10792"/>
    <n v="220"/>
    <d v="2022-07-05T00:00:00"/>
    <s v="July"/>
    <n v="2022"/>
    <x v="421"/>
    <n v="122"/>
    <s v="4G"/>
  </r>
  <r>
    <n v="10793"/>
    <n v="391"/>
    <d v="2022-08-06T00:00:00"/>
    <s v="August"/>
    <n v="2022"/>
    <x v="315"/>
    <n v="135"/>
    <s v="4G"/>
  </r>
  <r>
    <n v="10794"/>
    <n v="163"/>
    <d v="2022-06-13T00:00:00"/>
    <s v="June"/>
    <n v="2022"/>
    <x v="174"/>
    <n v="125"/>
    <s v="5G"/>
  </r>
  <r>
    <n v="10795"/>
    <n v="439"/>
    <d v="2022-06-10T00:00:00"/>
    <s v="June"/>
    <n v="2022"/>
    <x v="425"/>
    <n v="274"/>
    <s v="5G"/>
  </r>
  <r>
    <n v="10796"/>
    <n v="220"/>
    <d v="2023-06-09T00:00:00"/>
    <s v="June"/>
    <n v="2023"/>
    <x v="7"/>
    <n v="63"/>
    <s v="4G"/>
  </r>
  <r>
    <n v="10797"/>
    <n v="270"/>
    <d v="2024-03-18T00:00:00"/>
    <s v="March"/>
    <n v="2024"/>
    <x v="396"/>
    <n v="295"/>
    <s v="4G"/>
  </r>
  <r>
    <n v="10798"/>
    <n v="120"/>
    <d v="2023-08-24T00:00:00"/>
    <s v="August"/>
    <n v="2023"/>
    <x v="23"/>
    <n v="231"/>
    <s v="4G"/>
  </r>
  <r>
    <n v="10799"/>
    <n v="394"/>
    <d v="2024-04-15T00:00:00"/>
    <s v="April"/>
    <n v="2024"/>
    <x v="122"/>
    <n v="50"/>
    <s v="4G"/>
  </r>
  <r>
    <n v="10800"/>
    <n v="336"/>
    <d v="2022-02-11T00:00:00"/>
    <s v="February"/>
    <n v="2022"/>
    <x v="235"/>
    <n v="136"/>
    <s v="5G"/>
  </r>
  <r>
    <n v="10801"/>
    <n v="400"/>
    <d v="2022-07-29T00:00:00"/>
    <s v="July"/>
    <n v="2022"/>
    <x v="426"/>
    <n v="157"/>
    <s v="4G"/>
  </r>
  <r>
    <n v="10802"/>
    <n v="182"/>
    <d v="2024-01-11T00:00:00"/>
    <s v="January"/>
    <n v="2024"/>
    <x v="380"/>
    <n v="55"/>
    <s v="4G"/>
  </r>
  <r>
    <n v="10803"/>
    <n v="479"/>
    <d v="2024-05-11T00:00:00"/>
    <s v="May"/>
    <n v="2024"/>
    <x v="427"/>
    <n v="80"/>
    <s v="4G"/>
  </r>
  <r>
    <n v="10804"/>
    <n v="106"/>
    <d v="2022-10-02T00:00:00"/>
    <s v="October"/>
    <n v="2022"/>
    <x v="333"/>
    <n v="231"/>
    <s v="4G"/>
  </r>
  <r>
    <n v="10805"/>
    <n v="217"/>
    <d v="2022-10-06T00:00:00"/>
    <s v="October"/>
    <n v="2022"/>
    <x v="428"/>
    <n v="127"/>
    <s v="5G"/>
  </r>
  <r>
    <n v="10806"/>
    <n v="205"/>
    <d v="2022-09-08T00:00:00"/>
    <s v="September"/>
    <n v="2022"/>
    <x v="157"/>
    <n v="125"/>
    <s v="5G"/>
  </r>
  <r>
    <n v="10807"/>
    <n v="70"/>
    <d v="2022-11-06T00:00:00"/>
    <s v="November"/>
    <n v="2022"/>
    <x v="270"/>
    <n v="79"/>
    <s v="4G"/>
  </r>
  <r>
    <n v="10808"/>
    <n v="44"/>
    <d v="2023-12-21T00:00:00"/>
    <s v="December"/>
    <n v="2023"/>
    <x v="266"/>
    <n v="174"/>
    <s v="5G"/>
  </r>
  <r>
    <n v="10809"/>
    <n v="329"/>
    <d v="2024-04-12T00:00:00"/>
    <s v="April"/>
    <n v="2024"/>
    <x v="268"/>
    <n v="144"/>
    <s v="4G"/>
  </r>
  <r>
    <n v="10810"/>
    <n v="301"/>
    <d v="2022-05-20T00:00:00"/>
    <s v="May"/>
    <n v="2022"/>
    <x v="429"/>
    <n v="125"/>
    <s v="4G"/>
  </r>
  <r>
    <n v="10811"/>
    <n v="228"/>
    <d v="2024-03-02T00:00:00"/>
    <s v="March"/>
    <n v="2024"/>
    <x v="137"/>
    <n v="181"/>
    <s v="4G"/>
  </r>
  <r>
    <n v="10812"/>
    <n v="184"/>
    <d v="2023-06-30T00:00:00"/>
    <s v="June"/>
    <n v="2023"/>
    <x v="430"/>
    <n v="218"/>
    <s v="4G"/>
  </r>
  <r>
    <n v="10813"/>
    <n v="107"/>
    <d v="2024-03-31T00:00:00"/>
    <s v="March"/>
    <n v="2024"/>
    <x v="221"/>
    <n v="277"/>
    <s v="4G"/>
  </r>
  <r>
    <n v="10814"/>
    <n v="84"/>
    <d v="2023-06-14T00:00:00"/>
    <s v="June"/>
    <n v="2023"/>
    <x v="339"/>
    <n v="82"/>
    <s v="4G"/>
  </r>
  <r>
    <n v="10815"/>
    <n v="338"/>
    <d v="2022-02-26T00:00:00"/>
    <s v="February"/>
    <n v="2022"/>
    <x v="254"/>
    <n v="140"/>
    <s v="5G"/>
  </r>
  <r>
    <n v="10816"/>
    <n v="250"/>
    <d v="2022-04-22T00:00:00"/>
    <s v="April"/>
    <n v="2022"/>
    <x v="431"/>
    <n v="94"/>
    <s v="5G"/>
  </r>
  <r>
    <n v="10817"/>
    <n v="363"/>
    <d v="2022-01-05T00:00:00"/>
    <s v="January"/>
    <n v="2022"/>
    <x v="229"/>
    <n v="193"/>
    <s v="5G"/>
  </r>
  <r>
    <n v="10818"/>
    <n v="441"/>
    <d v="2023-02-14T00:00:00"/>
    <s v="February"/>
    <n v="2023"/>
    <x v="107"/>
    <n v="109"/>
    <s v="4G"/>
  </r>
  <r>
    <n v="10819"/>
    <n v="21"/>
    <d v="2023-02-18T00:00:00"/>
    <s v="February"/>
    <n v="2023"/>
    <x v="8"/>
    <n v="51"/>
    <s v="4G"/>
  </r>
  <r>
    <n v="10820"/>
    <n v="196"/>
    <d v="2022-07-01T00:00:00"/>
    <s v="July"/>
    <n v="2022"/>
    <x v="71"/>
    <n v="102"/>
    <s v="4G"/>
  </r>
  <r>
    <n v="10821"/>
    <n v="178"/>
    <d v="2022-01-13T00:00:00"/>
    <s v="January"/>
    <n v="2022"/>
    <x v="23"/>
    <n v="100"/>
    <s v="4G"/>
  </r>
  <r>
    <n v="10822"/>
    <n v="417"/>
    <d v="2022-12-05T00:00:00"/>
    <s v="December"/>
    <n v="2022"/>
    <x v="18"/>
    <n v="141"/>
    <s v="4G"/>
  </r>
  <r>
    <n v="10823"/>
    <n v="475"/>
    <d v="2024-03-07T00:00:00"/>
    <s v="March"/>
    <n v="2024"/>
    <x v="32"/>
    <n v="200"/>
    <s v="4G"/>
  </r>
  <r>
    <n v="10824"/>
    <n v="7"/>
    <d v="2022-09-16T00:00:00"/>
    <s v="September"/>
    <n v="2022"/>
    <x v="357"/>
    <n v="198"/>
    <s v="4G"/>
  </r>
  <r>
    <n v="10825"/>
    <n v="70"/>
    <d v="2022-03-31T00:00:00"/>
    <s v="March"/>
    <n v="2022"/>
    <x v="300"/>
    <n v="283"/>
    <s v="4G"/>
  </r>
  <r>
    <n v="10826"/>
    <n v="127"/>
    <d v="2023-09-08T00:00:00"/>
    <s v="September"/>
    <n v="2023"/>
    <x v="289"/>
    <n v="216"/>
    <s v="4G"/>
  </r>
  <r>
    <n v="10827"/>
    <n v="399"/>
    <d v="2024-06-09T00:00:00"/>
    <s v="June"/>
    <n v="2024"/>
    <x v="425"/>
    <n v="45"/>
    <s v="4G"/>
  </r>
  <r>
    <n v="10828"/>
    <n v="466"/>
    <d v="2023-11-29T00:00:00"/>
    <s v="November"/>
    <n v="2023"/>
    <x v="432"/>
    <n v="27"/>
    <s v="4G"/>
  </r>
  <r>
    <n v="10829"/>
    <n v="160"/>
    <d v="2022-09-07T00:00:00"/>
    <s v="September"/>
    <n v="2022"/>
    <x v="433"/>
    <n v="1"/>
    <s v="4G"/>
  </r>
  <r>
    <n v="10830"/>
    <n v="248"/>
    <d v="2022-09-12T00:00:00"/>
    <s v="September"/>
    <n v="2022"/>
    <x v="259"/>
    <n v="16"/>
    <s v="5G"/>
  </r>
  <r>
    <n v="10831"/>
    <n v="203"/>
    <d v="2023-08-11T00:00:00"/>
    <s v="August"/>
    <n v="2023"/>
    <x v="135"/>
    <n v="76"/>
    <s v="4G"/>
  </r>
  <r>
    <n v="10832"/>
    <n v="148"/>
    <d v="2024-06-16T00:00:00"/>
    <s v="June"/>
    <n v="2024"/>
    <x v="330"/>
    <n v="164"/>
    <s v="5G"/>
  </r>
  <r>
    <n v="10833"/>
    <n v="472"/>
    <d v="2022-04-18T00:00:00"/>
    <s v="April"/>
    <n v="2022"/>
    <x v="434"/>
    <n v="96"/>
    <s v="4G"/>
  </r>
  <r>
    <n v="10834"/>
    <n v="143"/>
    <d v="2023-10-30T00:00:00"/>
    <s v="October"/>
    <n v="2023"/>
    <x v="435"/>
    <n v="104"/>
    <s v="4G"/>
  </r>
  <r>
    <n v="10835"/>
    <n v="432"/>
    <d v="2023-08-17T00:00:00"/>
    <s v="August"/>
    <n v="2023"/>
    <x v="436"/>
    <n v="23"/>
    <s v="5G"/>
  </r>
  <r>
    <n v="10836"/>
    <n v="199"/>
    <d v="2023-08-12T00:00:00"/>
    <s v="August"/>
    <n v="2023"/>
    <x v="108"/>
    <n v="199"/>
    <s v="4G"/>
  </r>
  <r>
    <n v="10837"/>
    <n v="405"/>
    <d v="2023-04-30T00:00:00"/>
    <s v="April"/>
    <n v="2023"/>
    <x v="22"/>
    <n v="34"/>
    <s v="4G"/>
  </r>
  <r>
    <n v="10838"/>
    <n v="426"/>
    <d v="2022-09-15T00:00:00"/>
    <s v="September"/>
    <n v="2022"/>
    <x v="84"/>
    <n v="1"/>
    <s v="5G"/>
  </r>
  <r>
    <n v="10839"/>
    <n v="154"/>
    <d v="2023-10-01T00:00:00"/>
    <s v="October"/>
    <n v="2023"/>
    <x v="437"/>
    <n v="288"/>
    <s v="4G"/>
  </r>
  <r>
    <n v="10840"/>
    <n v="492"/>
    <d v="2022-10-09T00:00:00"/>
    <s v="October"/>
    <n v="2022"/>
    <x v="438"/>
    <n v="137"/>
    <s v="4G"/>
  </r>
  <r>
    <n v="10841"/>
    <n v="376"/>
    <d v="2022-03-29T00:00:00"/>
    <s v="March"/>
    <n v="2022"/>
    <x v="439"/>
    <n v="61"/>
    <s v="5G"/>
  </r>
  <r>
    <n v="10842"/>
    <n v="384"/>
    <d v="2022-07-23T00:00:00"/>
    <s v="July"/>
    <n v="2022"/>
    <x v="166"/>
    <n v="298"/>
    <s v="5G"/>
  </r>
  <r>
    <n v="10843"/>
    <n v="142"/>
    <d v="2022-01-16T00:00:00"/>
    <s v="January"/>
    <n v="2022"/>
    <x v="440"/>
    <n v="196"/>
    <s v="4G"/>
  </r>
  <r>
    <n v="10844"/>
    <n v="313"/>
    <d v="2022-05-31T00:00:00"/>
    <s v="May"/>
    <n v="2022"/>
    <x v="441"/>
    <n v="58"/>
    <s v="4G"/>
  </r>
  <r>
    <n v="10845"/>
    <n v="165"/>
    <d v="2022-09-11T00:00:00"/>
    <s v="September"/>
    <n v="2022"/>
    <x v="442"/>
    <n v="264"/>
    <s v="5G"/>
  </r>
  <r>
    <n v="10846"/>
    <n v="314"/>
    <d v="2022-07-07T00:00:00"/>
    <s v="July"/>
    <n v="2022"/>
    <x v="243"/>
    <n v="187"/>
    <s v="4G"/>
  </r>
  <r>
    <n v="10847"/>
    <n v="21"/>
    <d v="2022-11-25T00:00:00"/>
    <s v="November"/>
    <n v="2022"/>
    <x v="443"/>
    <n v="62"/>
    <s v="4G"/>
  </r>
  <r>
    <n v="10848"/>
    <n v="82"/>
    <d v="2023-06-28T00:00:00"/>
    <s v="June"/>
    <n v="2023"/>
    <x v="105"/>
    <n v="278"/>
    <s v="4G"/>
  </r>
  <r>
    <n v="10849"/>
    <n v="69"/>
    <d v="2024-02-22T00:00:00"/>
    <s v="February"/>
    <n v="2024"/>
    <x v="59"/>
    <n v="29"/>
    <s v="5G"/>
  </r>
  <r>
    <n v="10850"/>
    <n v="131"/>
    <d v="2023-02-01T00:00:00"/>
    <s v="February"/>
    <n v="2023"/>
    <x v="211"/>
    <n v="170"/>
    <s v="4G"/>
  </r>
  <r>
    <n v="10851"/>
    <n v="87"/>
    <d v="2023-06-01T00:00:00"/>
    <s v="June"/>
    <n v="2023"/>
    <x v="444"/>
    <n v="20"/>
    <s v="5G"/>
  </r>
  <r>
    <n v="10852"/>
    <n v="218"/>
    <d v="2023-04-04T00:00:00"/>
    <s v="April"/>
    <n v="2023"/>
    <x v="408"/>
    <n v="298"/>
    <s v="4G"/>
  </r>
  <r>
    <n v="10853"/>
    <n v="421"/>
    <d v="2022-11-26T00:00:00"/>
    <s v="November"/>
    <n v="2022"/>
    <x v="445"/>
    <n v="200"/>
    <s v="4G"/>
  </r>
  <r>
    <n v="10854"/>
    <n v="472"/>
    <d v="2024-03-30T00:00:00"/>
    <s v="March"/>
    <n v="2024"/>
    <x v="446"/>
    <n v="134"/>
    <s v="5G"/>
  </r>
  <r>
    <n v="10855"/>
    <n v="305"/>
    <d v="2024-04-24T00:00:00"/>
    <s v="April"/>
    <n v="2024"/>
    <x v="152"/>
    <n v="271"/>
    <s v="5G"/>
  </r>
  <r>
    <n v="10856"/>
    <n v="403"/>
    <d v="2022-06-18T00:00:00"/>
    <s v="June"/>
    <n v="2022"/>
    <x v="36"/>
    <n v="22"/>
    <s v="4G"/>
  </r>
  <r>
    <n v="10857"/>
    <n v="371"/>
    <d v="2023-11-24T00:00:00"/>
    <s v="November"/>
    <n v="2023"/>
    <x v="447"/>
    <n v="86"/>
    <s v="4G"/>
  </r>
  <r>
    <n v="10858"/>
    <n v="345"/>
    <d v="2023-01-01T00:00:00"/>
    <s v="January"/>
    <n v="2023"/>
    <x v="288"/>
    <n v="30"/>
    <s v="5G"/>
  </r>
  <r>
    <n v="10859"/>
    <n v="341"/>
    <d v="2022-06-27T00:00:00"/>
    <s v="June"/>
    <n v="2022"/>
    <x v="448"/>
    <n v="120"/>
    <s v="4G"/>
  </r>
  <r>
    <n v="10860"/>
    <n v="384"/>
    <d v="2023-10-17T00:00:00"/>
    <s v="October"/>
    <n v="2023"/>
    <x v="279"/>
    <n v="68"/>
    <s v="4G"/>
  </r>
  <r>
    <n v="10861"/>
    <n v="396"/>
    <d v="2022-12-28T00:00:00"/>
    <s v="December"/>
    <n v="2022"/>
    <x v="10"/>
    <n v="133"/>
    <s v="4G"/>
  </r>
  <r>
    <n v="10862"/>
    <n v="445"/>
    <d v="2024-01-30T00:00:00"/>
    <s v="January"/>
    <n v="2024"/>
    <x v="449"/>
    <n v="145"/>
    <s v="5G"/>
  </r>
  <r>
    <n v="10863"/>
    <n v="425"/>
    <d v="2023-10-01T00:00:00"/>
    <s v="October"/>
    <n v="2023"/>
    <x v="106"/>
    <n v="262"/>
    <s v="5G"/>
  </r>
  <r>
    <n v="10864"/>
    <n v="161"/>
    <d v="2024-02-14T00:00:00"/>
    <s v="February"/>
    <n v="2024"/>
    <x v="428"/>
    <n v="292"/>
    <s v="5G"/>
  </r>
  <r>
    <n v="10865"/>
    <n v="178"/>
    <d v="2022-02-09T00:00:00"/>
    <s v="February"/>
    <n v="2022"/>
    <x v="324"/>
    <n v="85"/>
    <s v="4G"/>
  </r>
  <r>
    <n v="10866"/>
    <n v="117"/>
    <d v="2023-02-20T00:00:00"/>
    <s v="February"/>
    <n v="2023"/>
    <x v="126"/>
    <n v="15"/>
    <s v="4G"/>
  </r>
  <r>
    <n v="10867"/>
    <n v="196"/>
    <d v="2022-12-21T00:00:00"/>
    <s v="December"/>
    <n v="2022"/>
    <x v="241"/>
    <n v="215"/>
    <s v="4G"/>
  </r>
  <r>
    <n v="10868"/>
    <n v="383"/>
    <d v="2022-09-12T00:00:00"/>
    <s v="September"/>
    <n v="2022"/>
    <x v="322"/>
    <n v="115"/>
    <s v="4G"/>
  </r>
  <r>
    <n v="10869"/>
    <n v="490"/>
    <d v="2022-05-23T00:00:00"/>
    <s v="May"/>
    <n v="2022"/>
    <x v="402"/>
    <n v="117"/>
    <s v="4G"/>
  </r>
  <r>
    <n v="10870"/>
    <n v="327"/>
    <d v="2024-01-22T00:00:00"/>
    <s v="January"/>
    <n v="2024"/>
    <x v="396"/>
    <n v="269"/>
    <s v="4G"/>
  </r>
  <r>
    <n v="10871"/>
    <n v="86"/>
    <d v="2024-01-10T00:00:00"/>
    <s v="January"/>
    <n v="2024"/>
    <x v="450"/>
    <n v="161"/>
    <s v="4G"/>
  </r>
  <r>
    <n v="10872"/>
    <n v="289"/>
    <d v="2024-05-02T00:00:00"/>
    <s v="May"/>
    <n v="2024"/>
    <x v="331"/>
    <n v="187"/>
    <s v="4G"/>
  </r>
  <r>
    <n v="10873"/>
    <n v="81"/>
    <d v="2023-12-11T00:00:00"/>
    <s v="December"/>
    <n v="2023"/>
    <x v="258"/>
    <n v="103"/>
    <s v="4G"/>
  </r>
  <r>
    <n v="10874"/>
    <n v="152"/>
    <d v="2023-07-31T00:00:00"/>
    <s v="July"/>
    <n v="2023"/>
    <x v="4"/>
    <n v="140"/>
    <s v="5G"/>
  </r>
  <r>
    <n v="10875"/>
    <n v="61"/>
    <d v="2024-06-18T00:00:00"/>
    <s v="June"/>
    <n v="2024"/>
    <x v="451"/>
    <n v="166"/>
    <s v="4G"/>
  </r>
  <r>
    <n v="10876"/>
    <n v="61"/>
    <d v="2022-01-11T00:00:00"/>
    <s v="January"/>
    <n v="2022"/>
    <x v="17"/>
    <n v="299"/>
    <s v="4G"/>
  </r>
  <r>
    <n v="10877"/>
    <n v="354"/>
    <d v="2023-09-12T00:00:00"/>
    <s v="September"/>
    <n v="2023"/>
    <x v="452"/>
    <n v="27"/>
    <s v="4G"/>
  </r>
  <r>
    <n v="10878"/>
    <n v="28"/>
    <d v="2022-01-26T00:00:00"/>
    <s v="January"/>
    <n v="2022"/>
    <x v="244"/>
    <n v="271"/>
    <s v="5G"/>
  </r>
  <r>
    <n v="10879"/>
    <n v="442"/>
    <d v="2023-02-25T00:00:00"/>
    <s v="February"/>
    <n v="2023"/>
    <x v="453"/>
    <n v="49"/>
    <s v="4G"/>
  </r>
  <r>
    <n v="10880"/>
    <n v="43"/>
    <d v="2023-10-25T00:00:00"/>
    <s v="October"/>
    <n v="2023"/>
    <x v="41"/>
    <n v="155"/>
    <s v="4G"/>
  </r>
  <r>
    <n v="10881"/>
    <n v="169"/>
    <d v="2022-08-09T00:00:00"/>
    <s v="August"/>
    <n v="2022"/>
    <x v="21"/>
    <n v="120"/>
    <s v="4G"/>
  </r>
  <r>
    <n v="10882"/>
    <n v="423"/>
    <d v="2024-05-02T00:00:00"/>
    <s v="May"/>
    <n v="2024"/>
    <x v="207"/>
    <n v="139"/>
    <s v="4G"/>
  </r>
  <r>
    <n v="10883"/>
    <n v="86"/>
    <d v="2023-05-11T00:00:00"/>
    <s v="May"/>
    <n v="2023"/>
    <x v="392"/>
    <n v="15"/>
    <s v="5G"/>
  </r>
  <r>
    <n v="10884"/>
    <n v="177"/>
    <d v="2022-08-25T00:00:00"/>
    <s v="August"/>
    <n v="2022"/>
    <x v="454"/>
    <n v="48"/>
    <s v="4G"/>
  </r>
  <r>
    <n v="10885"/>
    <n v="17"/>
    <d v="2022-08-25T00:00:00"/>
    <s v="August"/>
    <n v="2022"/>
    <x v="455"/>
    <n v="163"/>
    <s v="4G"/>
  </r>
  <r>
    <n v="10886"/>
    <n v="98"/>
    <d v="2022-08-07T00:00:00"/>
    <s v="August"/>
    <n v="2022"/>
    <x v="418"/>
    <n v="61"/>
    <s v="4G"/>
  </r>
  <r>
    <n v="10887"/>
    <n v="454"/>
    <d v="2023-05-02T00:00:00"/>
    <s v="May"/>
    <n v="2023"/>
    <x v="201"/>
    <n v="153"/>
    <s v="4G"/>
  </r>
  <r>
    <n v="10888"/>
    <n v="494"/>
    <d v="2023-04-06T00:00:00"/>
    <s v="April"/>
    <n v="2023"/>
    <x v="306"/>
    <n v="149"/>
    <s v="4G"/>
  </r>
  <r>
    <n v="10889"/>
    <n v="198"/>
    <d v="2023-10-25T00:00:00"/>
    <s v="October"/>
    <n v="2023"/>
    <x v="456"/>
    <n v="72"/>
    <s v="4G"/>
  </r>
  <r>
    <n v="10890"/>
    <n v="98"/>
    <d v="2023-09-27T00:00:00"/>
    <s v="September"/>
    <n v="2023"/>
    <x v="263"/>
    <n v="68"/>
    <s v="5G"/>
  </r>
  <r>
    <n v="10891"/>
    <n v="65"/>
    <d v="2022-05-24T00:00:00"/>
    <s v="May"/>
    <n v="2022"/>
    <x v="121"/>
    <n v="176"/>
    <s v="5G"/>
  </r>
  <r>
    <n v="10892"/>
    <n v="330"/>
    <d v="2022-07-08T00:00:00"/>
    <s v="July"/>
    <n v="2022"/>
    <x v="330"/>
    <n v="1"/>
    <s v="5G"/>
  </r>
  <r>
    <n v="10893"/>
    <n v="341"/>
    <d v="2022-09-12T00:00:00"/>
    <s v="September"/>
    <n v="2022"/>
    <x v="87"/>
    <n v="118"/>
    <s v="4G"/>
  </r>
  <r>
    <n v="10894"/>
    <n v="5"/>
    <d v="2022-03-09T00:00:00"/>
    <s v="March"/>
    <n v="2022"/>
    <x v="254"/>
    <n v="6"/>
    <s v="4G"/>
  </r>
  <r>
    <n v="10895"/>
    <n v="2"/>
    <d v="2023-09-08T00:00:00"/>
    <s v="September"/>
    <n v="2023"/>
    <x v="268"/>
    <n v="254"/>
    <s v="4G"/>
  </r>
  <r>
    <n v="10896"/>
    <n v="22"/>
    <d v="2022-12-02T00:00:00"/>
    <s v="December"/>
    <n v="2022"/>
    <x v="457"/>
    <n v="74"/>
    <s v="4G"/>
  </r>
  <r>
    <n v="10897"/>
    <n v="112"/>
    <d v="2023-11-02T00:00:00"/>
    <s v="November"/>
    <n v="2023"/>
    <x v="84"/>
    <n v="194"/>
    <s v="4G"/>
  </r>
  <r>
    <n v="10898"/>
    <n v="57"/>
    <d v="2024-03-31T00:00:00"/>
    <s v="March"/>
    <n v="2024"/>
    <x v="80"/>
    <n v="186"/>
    <s v="5G"/>
  </r>
  <r>
    <n v="10899"/>
    <n v="66"/>
    <d v="2024-05-23T00:00:00"/>
    <s v="May"/>
    <n v="2024"/>
    <x v="458"/>
    <n v="2"/>
    <s v="4G"/>
  </r>
  <r>
    <n v="10900"/>
    <n v="330"/>
    <d v="2023-02-13T00:00:00"/>
    <s v="February"/>
    <n v="2023"/>
    <x v="17"/>
    <n v="183"/>
    <s v="5G"/>
  </r>
  <r>
    <n v="10901"/>
    <n v="98"/>
    <d v="2022-10-27T00:00:00"/>
    <s v="October"/>
    <n v="2022"/>
    <x v="422"/>
    <n v="272"/>
    <s v="4G"/>
  </r>
  <r>
    <n v="10902"/>
    <n v="144"/>
    <d v="2023-08-25T00:00:00"/>
    <s v="August"/>
    <n v="2023"/>
    <x v="362"/>
    <n v="51"/>
    <s v="4G"/>
  </r>
  <r>
    <n v="10903"/>
    <n v="368"/>
    <d v="2022-12-23T00:00:00"/>
    <s v="December"/>
    <n v="2022"/>
    <x v="376"/>
    <n v="262"/>
    <s v="4G"/>
  </r>
  <r>
    <n v="10904"/>
    <n v="435"/>
    <d v="2022-09-13T00:00:00"/>
    <s v="September"/>
    <n v="2022"/>
    <x v="143"/>
    <n v="132"/>
    <s v="4G"/>
  </r>
  <r>
    <n v="10905"/>
    <n v="125"/>
    <d v="2022-12-19T00:00:00"/>
    <s v="December"/>
    <n v="2022"/>
    <x v="157"/>
    <n v="224"/>
    <s v="4G"/>
  </r>
  <r>
    <n v="10906"/>
    <n v="167"/>
    <d v="2024-01-02T00:00:00"/>
    <s v="January"/>
    <n v="2024"/>
    <x v="293"/>
    <n v="60"/>
    <s v="5G"/>
  </r>
  <r>
    <n v="10907"/>
    <n v="86"/>
    <d v="2023-06-05T00:00:00"/>
    <s v="June"/>
    <n v="2023"/>
    <x v="459"/>
    <n v="15"/>
    <s v="5G"/>
  </r>
  <r>
    <n v="10908"/>
    <n v="76"/>
    <d v="2023-06-08T00:00:00"/>
    <s v="June"/>
    <n v="2023"/>
    <x v="460"/>
    <n v="228"/>
    <s v="4G"/>
  </r>
  <r>
    <n v="10909"/>
    <n v="344"/>
    <d v="2024-04-16T00:00:00"/>
    <s v="April"/>
    <n v="2024"/>
    <x v="461"/>
    <n v="194"/>
    <s v="4G"/>
  </r>
  <r>
    <n v="10910"/>
    <n v="495"/>
    <d v="2024-01-26T00:00:00"/>
    <s v="January"/>
    <n v="2024"/>
    <x v="257"/>
    <n v="250"/>
    <s v="5G"/>
  </r>
  <r>
    <n v="10911"/>
    <n v="424"/>
    <d v="2023-11-25T00:00:00"/>
    <s v="November"/>
    <n v="2023"/>
    <x v="122"/>
    <n v="47"/>
    <s v="5G"/>
  </r>
  <r>
    <n v="10912"/>
    <n v="294"/>
    <d v="2022-10-11T00:00:00"/>
    <s v="October"/>
    <n v="2022"/>
    <x v="60"/>
    <n v="234"/>
    <s v="4G"/>
  </r>
  <r>
    <n v="10913"/>
    <n v="444"/>
    <d v="2022-11-08T00:00:00"/>
    <s v="November"/>
    <n v="2022"/>
    <x v="295"/>
    <n v="120"/>
    <s v="5G"/>
  </r>
  <r>
    <n v="10914"/>
    <n v="59"/>
    <d v="2022-04-09T00:00:00"/>
    <s v="April"/>
    <n v="2022"/>
    <x v="330"/>
    <n v="49"/>
    <s v="4G"/>
  </r>
  <r>
    <n v="10915"/>
    <n v="138"/>
    <d v="2022-07-16T00:00:00"/>
    <s v="July"/>
    <n v="2022"/>
    <x v="393"/>
    <n v="40"/>
    <s v="4G"/>
  </r>
  <r>
    <n v="10916"/>
    <n v="99"/>
    <d v="2023-04-27T00:00:00"/>
    <s v="April"/>
    <n v="2023"/>
    <x v="375"/>
    <n v="21"/>
    <s v="4G"/>
  </r>
  <r>
    <n v="10917"/>
    <n v="192"/>
    <d v="2024-05-27T00:00:00"/>
    <s v="May"/>
    <n v="2024"/>
    <x v="211"/>
    <n v="181"/>
    <s v="4G"/>
  </r>
  <r>
    <n v="10918"/>
    <n v="243"/>
    <d v="2022-08-14T00:00:00"/>
    <s v="August"/>
    <n v="2022"/>
    <x v="175"/>
    <n v="4"/>
    <s v="4G"/>
  </r>
  <r>
    <n v="10919"/>
    <n v="319"/>
    <d v="2024-04-24T00:00:00"/>
    <s v="April"/>
    <n v="2024"/>
    <x v="286"/>
    <n v="144"/>
    <s v="4G"/>
  </r>
  <r>
    <n v="10920"/>
    <n v="49"/>
    <d v="2023-09-07T00:00:00"/>
    <s v="September"/>
    <n v="2023"/>
    <x v="452"/>
    <n v="77"/>
    <s v="4G"/>
  </r>
  <r>
    <n v="10921"/>
    <n v="448"/>
    <d v="2023-09-10T00:00:00"/>
    <s v="September"/>
    <n v="2023"/>
    <x v="8"/>
    <n v="230"/>
    <s v="5G"/>
  </r>
  <r>
    <n v="10922"/>
    <n v="32"/>
    <d v="2022-12-31T00:00:00"/>
    <s v="December"/>
    <n v="2022"/>
    <x v="462"/>
    <n v="296"/>
    <s v="5G"/>
  </r>
  <r>
    <n v="10923"/>
    <n v="391"/>
    <d v="2023-01-03T00:00:00"/>
    <s v="January"/>
    <n v="2023"/>
    <x v="429"/>
    <n v="208"/>
    <s v="4G"/>
  </r>
  <r>
    <n v="10924"/>
    <n v="277"/>
    <d v="2023-07-24T00:00:00"/>
    <s v="July"/>
    <n v="2023"/>
    <x v="105"/>
    <n v="162"/>
    <s v="4G"/>
  </r>
  <r>
    <n v="10925"/>
    <n v="20"/>
    <d v="2023-08-13T00:00:00"/>
    <s v="August"/>
    <n v="2023"/>
    <x v="211"/>
    <n v="167"/>
    <s v="4G"/>
  </r>
  <r>
    <n v="10926"/>
    <n v="154"/>
    <d v="2022-03-16T00:00:00"/>
    <s v="March"/>
    <n v="2022"/>
    <x v="157"/>
    <n v="277"/>
    <s v="4G"/>
  </r>
  <r>
    <n v="10927"/>
    <n v="383"/>
    <d v="2022-02-11T00:00:00"/>
    <s v="February"/>
    <n v="2022"/>
    <x v="168"/>
    <n v="236"/>
    <s v="4G"/>
  </r>
  <r>
    <n v="10928"/>
    <n v="68"/>
    <d v="2023-02-26T00:00:00"/>
    <s v="February"/>
    <n v="2023"/>
    <x v="98"/>
    <n v="175"/>
    <s v="4G"/>
  </r>
  <r>
    <n v="10929"/>
    <n v="366"/>
    <d v="2024-04-15T00:00:00"/>
    <s v="April"/>
    <n v="2024"/>
    <x v="463"/>
    <n v="52"/>
    <s v="4G"/>
  </r>
  <r>
    <n v="10930"/>
    <n v="372"/>
    <d v="2022-06-30T00:00:00"/>
    <s v="June"/>
    <n v="2022"/>
    <x v="464"/>
    <n v="9"/>
    <s v="4G"/>
  </r>
  <r>
    <n v="10931"/>
    <n v="214"/>
    <d v="2023-06-29T00:00:00"/>
    <s v="June"/>
    <n v="2023"/>
    <x v="415"/>
    <n v="145"/>
    <s v="4G"/>
  </r>
  <r>
    <n v="10932"/>
    <n v="143"/>
    <d v="2022-03-12T00:00:00"/>
    <s v="March"/>
    <n v="2022"/>
    <x v="85"/>
    <n v="226"/>
    <s v="5G"/>
  </r>
  <r>
    <n v="10933"/>
    <n v="376"/>
    <d v="2023-07-22T00:00:00"/>
    <s v="July"/>
    <n v="2023"/>
    <x v="142"/>
    <n v="235"/>
    <s v="4G"/>
  </r>
  <r>
    <n v="10934"/>
    <n v="232"/>
    <d v="2022-04-15T00:00:00"/>
    <s v="April"/>
    <n v="2022"/>
    <x v="457"/>
    <n v="241"/>
    <s v="4G"/>
  </r>
  <r>
    <n v="10935"/>
    <n v="213"/>
    <d v="2022-07-19T00:00:00"/>
    <s v="July"/>
    <n v="2022"/>
    <x v="193"/>
    <n v="70"/>
    <s v="4G"/>
  </r>
  <r>
    <n v="10936"/>
    <n v="79"/>
    <d v="2022-04-11T00:00:00"/>
    <s v="April"/>
    <n v="2022"/>
    <x v="465"/>
    <n v="157"/>
    <s v="4G"/>
  </r>
  <r>
    <n v="10937"/>
    <n v="214"/>
    <d v="2024-02-07T00:00:00"/>
    <s v="February"/>
    <n v="2024"/>
    <x v="237"/>
    <n v="18"/>
    <s v="4G"/>
  </r>
  <r>
    <n v="10938"/>
    <n v="116"/>
    <d v="2022-11-03T00:00:00"/>
    <s v="November"/>
    <n v="2022"/>
    <x v="402"/>
    <n v="54"/>
    <s v="5G"/>
  </r>
  <r>
    <n v="10939"/>
    <n v="92"/>
    <d v="2023-08-09T00:00:00"/>
    <s v="August"/>
    <n v="2023"/>
    <x v="466"/>
    <n v="214"/>
    <s v="4G"/>
  </r>
  <r>
    <n v="10940"/>
    <n v="270"/>
    <d v="2023-11-14T00:00:00"/>
    <s v="November"/>
    <n v="2023"/>
    <x v="170"/>
    <n v="208"/>
    <s v="5G"/>
  </r>
  <r>
    <n v="10941"/>
    <n v="411"/>
    <d v="2023-01-12T00:00:00"/>
    <s v="January"/>
    <n v="2023"/>
    <x v="467"/>
    <n v="20"/>
    <s v="4G"/>
  </r>
  <r>
    <n v="10942"/>
    <n v="381"/>
    <d v="2023-10-17T00:00:00"/>
    <s v="October"/>
    <n v="2023"/>
    <x v="468"/>
    <n v="281"/>
    <s v="4G"/>
  </r>
  <r>
    <n v="10943"/>
    <n v="489"/>
    <d v="2023-11-09T00:00:00"/>
    <s v="November"/>
    <n v="2023"/>
    <x v="141"/>
    <n v="248"/>
    <s v="4G"/>
  </r>
  <r>
    <n v="10944"/>
    <n v="168"/>
    <d v="2023-02-03T00:00:00"/>
    <s v="February"/>
    <n v="2023"/>
    <x v="432"/>
    <n v="27"/>
    <s v="4G"/>
  </r>
  <r>
    <n v="10945"/>
    <n v="58"/>
    <d v="2024-02-12T00:00:00"/>
    <s v="February"/>
    <n v="2024"/>
    <x v="11"/>
    <n v="295"/>
    <s v="4G"/>
  </r>
  <r>
    <n v="10946"/>
    <n v="284"/>
    <d v="2022-08-09T00:00:00"/>
    <s v="August"/>
    <n v="2022"/>
    <x v="469"/>
    <n v="210"/>
    <s v="5G"/>
  </r>
  <r>
    <n v="10947"/>
    <n v="26"/>
    <d v="2023-08-18T00:00:00"/>
    <s v="August"/>
    <n v="2023"/>
    <x v="457"/>
    <n v="284"/>
    <s v="4G"/>
  </r>
  <r>
    <n v="10948"/>
    <n v="369"/>
    <d v="2022-07-01T00:00:00"/>
    <s v="July"/>
    <n v="2022"/>
    <x v="418"/>
    <n v="19"/>
    <s v="4G"/>
  </r>
  <r>
    <n v="10949"/>
    <n v="447"/>
    <d v="2022-11-03T00:00:00"/>
    <s v="November"/>
    <n v="2022"/>
    <x v="437"/>
    <n v="19"/>
    <s v="5G"/>
  </r>
  <r>
    <n v="10950"/>
    <n v="66"/>
    <d v="2023-06-06T00:00:00"/>
    <s v="June"/>
    <n v="2023"/>
    <x v="368"/>
    <n v="119"/>
    <s v="4G"/>
  </r>
  <r>
    <n v="10951"/>
    <n v="409"/>
    <d v="2023-01-31T00:00:00"/>
    <s v="January"/>
    <n v="2023"/>
    <x v="233"/>
    <n v="96"/>
    <s v="4G"/>
  </r>
  <r>
    <n v="10952"/>
    <n v="248"/>
    <d v="2022-01-04T00:00:00"/>
    <s v="January"/>
    <n v="2022"/>
    <x v="390"/>
    <n v="119"/>
    <s v="4G"/>
  </r>
  <r>
    <n v="10953"/>
    <n v="254"/>
    <d v="2024-05-12T00:00:00"/>
    <s v="May"/>
    <n v="2024"/>
    <x v="166"/>
    <n v="24"/>
    <s v="4G"/>
  </r>
  <r>
    <n v="10954"/>
    <n v="387"/>
    <d v="2024-04-27T00:00:00"/>
    <s v="April"/>
    <n v="2024"/>
    <x v="36"/>
    <n v="152"/>
    <s v="4G"/>
  </r>
  <r>
    <n v="10955"/>
    <n v="456"/>
    <d v="2024-03-14T00:00:00"/>
    <s v="March"/>
    <n v="2024"/>
    <x v="29"/>
    <n v="244"/>
    <s v="4G"/>
  </r>
  <r>
    <n v="10956"/>
    <n v="44"/>
    <d v="2022-10-08T00:00:00"/>
    <s v="October"/>
    <n v="2022"/>
    <x v="85"/>
    <n v="259"/>
    <s v="4G"/>
  </r>
  <r>
    <n v="10957"/>
    <n v="97"/>
    <d v="2022-08-03T00:00:00"/>
    <s v="August"/>
    <n v="2022"/>
    <x v="178"/>
    <n v="3"/>
    <s v="4G"/>
  </r>
  <r>
    <n v="10958"/>
    <n v="42"/>
    <d v="2023-09-02T00:00:00"/>
    <s v="September"/>
    <n v="2023"/>
    <x v="88"/>
    <n v="142"/>
    <s v="4G"/>
  </r>
  <r>
    <n v="10959"/>
    <n v="500"/>
    <d v="2023-02-24T00:00:00"/>
    <s v="February"/>
    <n v="2023"/>
    <x v="220"/>
    <n v="281"/>
    <s v="4G"/>
  </r>
  <r>
    <n v="10960"/>
    <n v="227"/>
    <d v="2022-04-11T00:00:00"/>
    <s v="April"/>
    <n v="2022"/>
    <x v="106"/>
    <n v="219"/>
    <s v="4G"/>
  </r>
  <r>
    <n v="10961"/>
    <n v="262"/>
    <d v="2023-06-05T00:00:00"/>
    <s v="June"/>
    <n v="2023"/>
    <x v="318"/>
    <n v="159"/>
    <s v="5G"/>
  </r>
  <r>
    <n v="10962"/>
    <n v="167"/>
    <d v="2023-07-27T00:00:00"/>
    <s v="July"/>
    <n v="2023"/>
    <x v="330"/>
    <n v="75"/>
    <s v="4G"/>
  </r>
  <r>
    <n v="10963"/>
    <n v="436"/>
    <d v="2022-11-05T00:00:00"/>
    <s v="November"/>
    <n v="2022"/>
    <x v="134"/>
    <n v="98"/>
    <s v="5G"/>
  </r>
  <r>
    <n v="10964"/>
    <n v="279"/>
    <d v="2023-10-20T00:00:00"/>
    <s v="October"/>
    <n v="2023"/>
    <x v="20"/>
    <n v="179"/>
    <s v="4G"/>
  </r>
  <r>
    <n v="10965"/>
    <n v="89"/>
    <d v="2023-05-25T00:00:00"/>
    <s v="May"/>
    <n v="2023"/>
    <x v="50"/>
    <n v="126"/>
    <s v="4G"/>
  </r>
  <r>
    <n v="10966"/>
    <n v="379"/>
    <d v="2022-03-04T00:00:00"/>
    <s v="March"/>
    <n v="2022"/>
    <x v="224"/>
    <n v="31"/>
    <s v="4G"/>
  </r>
  <r>
    <n v="10967"/>
    <n v="178"/>
    <d v="2023-09-25T00:00:00"/>
    <s v="September"/>
    <n v="2023"/>
    <x v="273"/>
    <n v="264"/>
    <s v="5G"/>
  </r>
  <r>
    <n v="10968"/>
    <n v="427"/>
    <d v="2022-08-14T00:00:00"/>
    <s v="August"/>
    <n v="2022"/>
    <x v="268"/>
    <n v="12"/>
    <s v="4G"/>
  </r>
  <r>
    <n v="10969"/>
    <n v="403"/>
    <d v="2022-04-15T00:00:00"/>
    <s v="April"/>
    <n v="2022"/>
    <x v="229"/>
    <n v="201"/>
    <s v="5G"/>
  </r>
  <r>
    <n v="10970"/>
    <n v="197"/>
    <d v="2024-02-11T00:00:00"/>
    <s v="February"/>
    <n v="2024"/>
    <x v="470"/>
    <n v="17"/>
    <s v="5G"/>
  </r>
  <r>
    <n v="10971"/>
    <n v="307"/>
    <d v="2024-05-10T00:00:00"/>
    <s v="May"/>
    <n v="2024"/>
    <x v="305"/>
    <n v="92"/>
    <s v="4G"/>
  </r>
  <r>
    <n v="10972"/>
    <n v="267"/>
    <d v="2023-03-01T00:00:00"/>
    <s v="March"/>
    <n v="2023"/>
    <x v="343"/>
    <n v="279"/>
    <s v="4G"/>
  </r>
  <r>
    <n v="10973"/>
    <n v="268"/>
    <d v="2022-09-12T00:00:00"/>
    <s v="September"/>
    <n v="2022"/>
    <x v="149"/>
    <n v="59"/>
    <s v="4G"/>
  </r>
  <r>
    <n v="10974"/>
    <n v="74"/>
    <d v="2023-03-05T00:00:00"/>
    <s v="March"/>
    <n v="2023"/>
    <x v="99"/>
    <n v="213"/>
    <s v="4G"/>
  </r>
  <r>
    <n v="10975"/>
    <n v="8"/>
    <d v="2023-03-10T00:00:00"/>
    <s v="March"/>
    <n v="2023"/>
    <x v="15"/>
    <n v="99"/>
    <s v="4G"/>
  </r>
  <r>
    <n v="10976"/>
    <n v="408"/>
    <d v="2022-07-26T00:00:00"/>
    <s v="July"/>
    <n v="2022"/>
    <x v="223"/>
    <n v="0"/>
    <s v="5G"/>
  </r>
  <r>
    <n v="10977"/>
    <n v="476"/>
    <d v="2022-01-28T00:00:00"/>
    <s v="January"/>
    <n v="2022"/>
    <x v="471"/>
    <n v="42"/>
    <s v="4G"/>
  </r>
  <r>
    <n v="10978"/>
    <n v="297"/>
    <d v="2023-11-13T00:00:00"/>
    <s v="November"/>
    <n v="2023"/>
    <x v="24"/>
    <n v="167"/>
    <s v="4G"/>
  </r>
  <r>
    <n v="10979"/>
    <n v="164"/>
    <d v="2022-12-02T00:00:00"/>
    <s v="December"/>
    <n v="2022"/>
    <x v="304"/>
    <n v="191"/>
    <s v="4G"/>
  </r>
  <r>
    <n v="10980"/>
    <n v="485"/>
    <d v="2023-08-11T00:00:00"/>
    <s v="August"/>
    <n v="2023"/>
    <x v="461"/>
    <n v="33"/>
    <s v="5G"/>
  </r>
  <r>
    <n v="10981"/>
    <n v="85"/>
    <d v="2023-09-20T00:00:00"/>
    <s v="September"/>
    <n v="2023"/>
    <x v="253"/>
    <n v="33"/>
    <s v="4G"/>
  </r>
  <r>
    <n v="10982"/>
    <n v="72"/>
    <d v="2022-03-10T00:00:00"/>
    <s v="March"/>
    <n v="2022"/>
    <x v="372"/>
    <n v="175"/>
    <s v="5G"/>
  </r>
  <r>
    <n v="10983"/>
    <n v="55"/>
    <d v="2024-05-15T00:00:00"/>
    <s v="May"/>
    <n v="2024"/>
    <x v="119"/>
    <n v="195"/>
    <s v="5G"/>
  </r>
  <r>
    <n v="10984"/>
    <n v="393"/>
    <d v="2024-01-16T00:00:00"/>
    <s v="January"/>
    <n v="2024"/>
    <x v="33"/>
    <n v="157"/>
    <s v="4G"/>
  </r>
  <r>
    <n v="10985"/>
    <n v="47"/>
    <d v="2023-05-28T00:00:00"/>
    <s v="May"/>
    <n v="2023"/>
    <x v="2"/>
    <n v="244"/>
    <s v="4G"/>
  </r>
  <r>
    <n v="10986"/>
    <n v="399"/>
    <d v="2022-06-16T00:00:00"/>
    <s v="June"/>
    <n v="2022"/>
    <x v="252"/>
    <n v="70"/>
    <s v="4G"/>
  </r>
  <r>
    <n v="10987"/>
    <n v="432"/>
    <d v="2024-05-13T00:00:00"/>
    <s v="May"/>
    <n v="2024"/>
    <x v="216"/>
    <n v="113"/>
    <s v="4G"/>
  </r>
  <r>
    <n v="10988"/>
    <n v="238"/>
    <d v="2023-12-31T00:00:00"/>
    <s v="December"/>
    <n v="2023"/>
    <x v="173"/>
    <n v="284"/>
    <s v="5G"/>
  </r>
  <r>
    <n v="10989"/>
    <n v="104"/>
    <d v="2024-02-24T00:00:00"/>
    <s v="February"/>
    <n v="2024"/>
    <x v="257"/>
    <n v="142"/>
    <s v="4G"/>
  </r>
  <r>
    <n v="10990"/>
    <n v="210"/>
    <d v="2023-01-03T00:00:00"/>
    <s v="January"/>
    <n v="2023"/>
    <x v="472"/>
    <n v="96"/>
    <s v="4G"/>
  </r>
  <r>
    <n v="10991"/>
    <n v="42"/>
    <d v="2022-09-08T00:00:00"/>
    <s v="September"/>
    <n v="2022"/>
    <x v="224"/>
    <n v="211"/>
    <s v="4G"/>
  </r>
  <r>
    <n v="10992"/>
    <n v="316"/>
    <d v="2024-05-08T00:00:00"/>
    <s v="May"/>
    <n v="2024"/>
    <x v="473"/>
    <n v="184"/>
    <s v="4G"/>
  </r>
  <r>
    <n v="10993"/>
    <n v="468"/>
    <d v="2024-05-05T00:00:00"/>
    <s v="May"/>
    <n v="2024"/>
    <x v="474"/>
    <n v="204"/>
    <s v="4G"/>
  </r>
  <r>
    <n v="10994"/>
    <n v="454"/>
    <d v="2023-11-17T00:00:00"/>
    <s v="November"/>
    <n v="2023"/>
    <x v="106"/>
    <n v="215"/>
    <s v="4G"/>
  </r>
  <r>
    <n v="10995"/>
    <n v="268"/>
    <d v="2022-06-19T00:00:00"/>
    <s v="June"/>
    <n v="2022"/>
    <x v="119"/>
    <n v="245"/>
    <s v="5G"/>
  </r>
  <r>
    <n v="10996"/>
    <n v="386"/>
    <d v="2024-01-28T00:00:00"/>
    <s v="January"/>
    <n v="2024"/>
    <x v="235"/>
    <n v="238"/>
    <s v="4G"/>
  </r>
  <r>
    <n v="10997"/>
    <n v="263"/>
    <d v="2022-03-31T00:00:00"/>
    <s v="March"/>
    <n v="2022"/>
    <x v="27"/>
    <n v="292"/>
    <s v="4G"/>
  </r>
  <r>
    <n v="10998"/>
    <n v="336"/>
    <d v="2023-07-15T00:00:00"/>
    <s v="July"/>
    <n v="2023"/>
    <x v="475"/>
    <n v="7"/>
    <s v="5G"/>
  </r>
  <r>
    <n v="10999"/>
    <n v="387"/>
    <d v="2023-03-22T00:00:00"/>
    <s v="March"/>
    <n v="2023"/>
    <x v="258"/>
    <n v="77"/>
    <s v="5G"/>
  </r>
  <r>
    <n v="11000"/>
    <n v="365"/>
    <d v="2022-10-21T00:00:00"/>
    <s v="October"/>
    <n v="2022"/>
    <x v="278"/>
    <n v="276"/>
    <s v="4G"/>
  </r>
  <r>
    <n v="11001"/>
    <n v="259"/>
    <d v="2022-05-30T00:00:00"/>
    <s v="May"/>
    <n v="2022"/>
    <x v="190"/>
    <n v="201"/>
    <s v="4G"/>
  </r>
  <r>
    <n v="11002"/>
    <n v="283"/>
    <d v="2022-05-12T00:00:00"/>
    <s v="May"/>
    <n v="2022"/>
    <x v="476"/>
    <n v="213"/>
    <s v="4G"/>
  </r>
  <r>
    <n v="11003"/>
    <n v="114"/>
    <d v="2023-03-09T00:00:00"/>
    <s v="March"/>
    <n v="2023"/>
    <x v="238"/>
    <n v="93"/>
    <s v="4G"/>
  </r>
  <r>
    <n v="11004"/>
    <n v="363"/>
    <d v="2022-02-28T00:00:00"/>
    <s v="February"/>
    <n v="2022"/>
    <x v="256"/>
    <n v="74"/>
    <s v="5G"/>
  </r>
  <r>
    <n v="11005"/>
    <n v="40"/>
    <d v="2024-04-15T00:00:00"/>
    <s v="April"/>
    <n v="2024"/>
    <x v="331"/>
    <n v="156"/>
    <s v="4G"/>
  </r>
  <r>
    <n v="11006"/>
    <n v="486"/>
    <d v="2022-07-18T00:00:00"/>
    <s v="July"/>
    <n v="2022"/>
    <x v="353"/>
    <n v="152"/>
    <s v="5G"/>
  </r>
  <r>
    <n v="11007"/>
    <n v="417"/>
    <d v="2022-08-03T00:00:00"/>
    <s v="August"/>
    <n v="2022"/>
    <x v="202"/>
    <n v="141"/>
    <s v="4G"/>
  </r>
  <r>
    <n v="11008"/>
    <n v="220"/>
    <d v="2024-06-16T00:00:00"/>
    <s v="June"/>
    <n v="2024"/>
    <x v="85"/>
    <n v="77"/>
    <s v="4G"/>
  </r>
  <r>
    <n v="11009"/>
    <n v="129"/>
    <d v="2023-07-15T00:00:00"/>
    <s v="July"/>
    <n v="2023"/>
    <x v="380"/>
    <n v="181"/>
    <s v="4G"/>
  </r>
  <r>
    <n v="11010"/>
    <n v="8"/>
    <d v="2023-04-17T00:00:00"/>
    <s v="April"/>
    <n v="2023"/>
    <x v="216"/>
    <n v="194"/>
    <s v="4G"/>
  </r>
  <r>
    <n v="11011"/>
    <n v="101"/>
    <d v="2024-01-14T00:00:00"/>
    <s v="January"/>
    <n v="2024"/>
    <x v="198"/>
    <n v="157"/>
    <s v="4G"/>
  </r>
  <r>
    <n v="11012"/>
    <n v="416"/>
    <d v="2022-09-04T00:00:00"/>
    <s v="September"/>
    <n v="2022"/>
    <x v="477"/>
    <n v="145"/>
    <s v="4G"/>
  </r>
  <r>
    <n v="11013"/>
    <n v="380"/>
    <d v="2023-01-17T00:00:00"/>
    <s v="January"/>
    <n v="2023"/>
    <x v="478"/>
    <n v="53"/>
    <s v="4G"/>
  </r>
  <r>
    <n v="11014"/>
    <n v="176"/>
    <d v="2022-08-27T00:00:00"/>
    <s v="August"/>
    <n v="2022"/>
    <x v="172"/>
    <n v="276"/>
    <s v="5G"/>
  </r>
  <r>
    <n v="11015"/>
    <n v="107"/>
    <d v="2023-01-02T00:00:00"/>
    <s v="January"/>
    <n v="2023"/>
    <x v="224"/>
    <n v="82"/>
    <s v="4G"/>
  </r>
  <r>
    <n v="11016"/>
    <n v="101"/>
    <d v="2022-06-17T00:00:00"/>
    <s v="June"/>
    <n v="2022"/>
    <x v="365"/>
    <n v="155"/>
    <s v="5G"/>
  </r>
  <r>
    <n v="11017"/>
    <n v="260"/>
    <d v="2023-07-14T00:00:00"/>
    <s v="July"/>
    <n v="2023"/>
    <x v="479"/>
    <n v="3"/>
    <s v="4G"/>
  </r>
  <r>
    <n v="11018"/>
    <n v="478"/>
    <d v="2022-02-20T00:00:00"/>
    <s v="February"/>
    <n v="2022"/>
    <x v="480"/>
    <n v="270"/>
    <s v="5G"/>
  </r>
  <r>
    <n v="11019"/>
    <n v="454"/>
    <d v="2024-03-21T00:00:00"/>
    <s v="March"/>
    <n v="2024"/>
    <x v="338"/>
    <n v="63"/>
    <s v="5G"/>
  </r>
  <r>
    <n v="11020"/>
    <n v="366"/>
    <d v="2023-09-02T00:00:00"/>
    <s v="September"/>
    <n v="2023"/>
    <x v="381"/>
    <n v="111"/>
    <s v="4G"/>
  </r>
  <r>
    <n v="11021"/>
    <n v="246"/>
    <d v="2023-12-29T00:00:00"/>
    <s v="December"/>
    <n v="2023"/>
    <x v="142"/>
    <n v="238"/>
    <s v="5G"/>
  </r>
  <r>
    <n v="11022"/>
    <n v="275"/>
    <d v="2023-11-20T00:00:00"/>
    <s v="November"/>
    <n v="2023"/>
    <x v="192"/>
    <n v="143"/>
    <s v="4G"/>
  </r>
  <r>
    <n v="11023"/>
    <n v="32"/>
    <d v="2023-01-15T00:00:00"/>
    <s v="January"/>
    <n v="2023"/>
    <x v="315"/>
    <n v="19"/>
    <s v="5G"/>
  </r>
  <r>
    <n v="11024"/>
    <n v="137"/>
    <d v="2023-04-19T00:00:00"/>
    <s v="April"/>
    <n v="2023"/>
    <x v="175"/>
    <n v="63"/>
    <s v="4G"/>
  </r>
  <r>
    <n v="11025"/>
    <n v="12"/>
    <d v="2022-03-21T00:00:00"/>
    <s v="March"/>
    <n v="2022"/>
    <x v="442"/>
    <n v="288"/>
    <s v="4G"/>
  </r>
  <r>
    <n v="11026"/>
    <n v="395"/>
    <d v="2023-11-28T00:00:00"/>
    <s v="November"/>
    <n v="2023"/>
    <x v="175"/>
    <n v="80"/>
    <s v="4G"/>
  </r>
  <r>
    <n v="11027"/>
    <n v="302"/>
    <d v="2023-01-02T00:00:00"/>
    <s v="January"/>
    <n v="2023"/>
    <x v="313"/>
    <n v="196"/>
    <s v="4G"/>
  </r>
  <r>
    <n v="11028"/>
    <n v="375"/>
    <d v="2023-04-06T00:00:00"/>
    <s v="April"/>
    <n v="2023"/>
    <x v="173"/>
    <n v="68"/>
    <s v="4G"/>
  </r>
  <r>
    <n v="11029"/>
    <n v="16"/>
    <d v="2023-06-23T00:00:00"/>
    <s v="June"/>
    <n v="2023"/>
    <x v="481"/>
    <n v="185"/>
    <s v="5G"/>
  </r>
  <r>
    <n v="11030"/>
    <n v="129"/>
    <d v="2023-03-28T00:00:00"/>
    <s v="March"/>
    <n v="2023"/>
    <x v="234"/>
    <n v="166"/>
    <s v="5G"/>
  </r>
  <r>
    <n v="11031"/>
    <n v="63"/>
    <d v="2023-04-09T00:00:00"/>
    <s v="April"/>
    <n v="2023"/>
    <x v="482"/>
    <n v="204"/>
    <s v="4G"/>
  </r>
  <r>
    <n v="11032"/>
    <n v="109"/>
    <d v="2023-04-23T00:00:00"/>
    <s v="April"/>
    <n v="2023"/>
    <x v="367"/>
    <n v="163"/>
    <s v="5G"/>
  </r>
  <r>
    <n v="11033"/>
    <n v="375"/>
    <d v="2023-02-24T00:00:00"/>
    <s v="February"/>
    <n v="2023"/>
    <x v="110"/>
    <n v="93"/>
    <s v="5G"/>
  </r>
  <r>
    <n v="11034"/>
    <n v="21"/>
    <d v="2023-12-08T00:00:00"/>
    <s v="December"/>
    <n v="2023"/>
    <x v="103"/>
    <n v="248"/>
    <s v="4G"/>
  </r>
  <r>
    <n v="11035"/>
    <n v="158"/>
    <d v="2022-08-02T00:00:00"/>
    <s v="August"/>
    <n v="2022"/>
    <x v="147"/>
    <n v="67"/>
    <s v="4G"/>
  </r>
  <r>
    <n v="11036"/>
    <n v="269"/>
    <d v="2023-01-04T00:00:00"/>
    <s v="January"/>
    <n v="2023"/>
    <x v="288"/>
    <n v="20"/>
    <s v="4G"/>
  </r>
  <r>
    <n v="11037"/>
    <n v="162"/>
    <d v="2024-05-03T00:00:00"/>
    <s v="May"/>
    <n v="2024"/>
    <x v="483"/>
    <n v="84"/>
    <s v="5G"/>
  </r>
  <r>
    <n v="11038"/>
    <n v="260"/>
    <d v="2022-04-24T00:00:00"/>
    <s v="April"/>
    <n v="2022"/>
    <x v="77"/>
    <n v="23"/>
    <s v="5G"/>
  </r>
  <r>
    <n v="11039"/>
    <n v="412"/>
    <d v="2024-01-24T00:00:00"/>
    <s v="January"/>
    <n v="2024"/>
    <x v="244"/>
    <n v="110"/>
    <s v="4G"/>
  </r>
  <r>
    <n v="11040"/>
    <n v="102"/>
    <d v="2023-05-18T00:00:00"/>
    <s v="May"/>
    <n v="2023"/>
    <x v="484"/>
    <n v="82"/>
    <s v="4G"/>
  </r>
  <r>
    <n v="11041"/>
    <n v="223"/>
    <d v="2023-09-28T00:00:00"/>
    <s v="September"/>
    <n v="2023"/>
    <x v="118"/>
    <n v="77"/>
    <s v="5G"/>
  </r>
  <r>
    <n v="11042"/>
    <n v="59"/>
    <d v="2024-03-27T00:00:00"/>
    <s v="March"/>
    <n v="2024"/>
    <x v="121"/>
    <n v="139"/>
    <s v="5G"/>
  </r>
  <r>
    <n v="11043"/>
    <n v="247"/>
    <d v="2023-08-11T00:00:00"/>
    <s v="August"/>
    <n v="2023"/>
    <x v="148"/>
    <n v="270"/>
    <s v="5G"/>
  </r>
  <r>
    <n v="11044"/>
    <n v="128"/>
    <d v="2022-11-07T00:00:00"/>
    <s v="November"/>
    <n v="2022"/>
    <x v="312"/>
    <n v="168"/>
    <s v="4G"/>
  </r>
  <r>
    <n v="11045"/>
    <n v="283"/>
    <d v="2023-04-14T00:00:00"/>
    <s v="April"/>
    <n v="2023"/>
    <x v="411"/>
    <n v="196"/>
    <s v="4G"/>
  </r>
  <r>
    <n v="11046"/>
    <n v="325"/>
    <d v="2024-04-03T00:00:00"/>
    <s v="April"/>
    <n v="2024"/>
    <x v="221"/>
    <n v="261"/>
    <s v="4G"/>
  </r>
  <r>
    <n v="11047"/>
    <n v="25"/>
    <d v="2023-12-09T00:00:00"/>
    <s v="December"/>
    <n v="2023"/>
    <x v="58"/>
    <n v="214"/>
    <s v="4G"/>
  </r>
  <r>
    <n v="11048"/>
    <n v="131"/>
    <d v="2024-05-12T00:00:00"/>
    <s v="May"/>
    <n v="2024"/>
    <x v="372"/>
    <n v="66"/>
    <s v="5G"/>
  </r>
  <r>
    <n v="11049"/>
    <n v="353"/>
    <d v="2022-02-13T00:00:00"/>
    <s v="February"/>
    <n v="2022"/>
    <x v="215"/>
    <n v="228"/>
    <s v="4G"/>
  </r>
  <r>
    <n v="11050"/>
    <n v="196"/>
    <d v="2023-02-19T00:00:00"/>
    <s v="February"/>
    <n v="2023"/>
    <x v="337"/>
    <n v="160"/>
    <s v="5G"/>
  </r>
  <r>
    <n v="11051"/>
    <n v="281"/>
    <d v="2023-11-29T00:00:00"/>
    <s v="November"/>
    <n v="2023"/>
    <x v="485"/>
    <n v="121"/>
    <s v="4G"/>
  </r>
  <r>
    <n v="11052"/>
    <n v="404"/>
    <d v="2024-05-04T00:00:00"/>
    <s v="May"/>
    <n v="2024"/>
    <x v="486"/>
    <n v="148"/>
    <s v="5G"/>
  </r>
  <r>
    <n v="11053"/>
    <n v="418"/>
    <d v="2022-09-03T00:00:00"/>
    <s v="September"/>
    <n v="2022"/>
    <x v="487"/>
    <n v="192"/>
    <s v="4G"/>
  </r>
  <r>
    <n v="11054"/>
    <n v="154"/>
    <d v="2022-03-25T00:00:00"/>
    <s v="March"/>
    <n v="2022"/>
    <x v="76"/>
    <n v="230"/>
    <s v="4G"/>
  </r>
  <r>
    <n v="11055"/>
    <n v="382"/>
    <d v="2022-07-26T00:00:00"/>
    <s v="July"/>
    <n v="2022"/>
    <x v="207"/>
    <n v="110"/>
    <s v="4G"/>
  </r>
  <r>
    <n v="11056"/>
    <n v="133"/>
    <d v="2022-05-31T00:00:00"/>
    <s v="May"/>
    <n v="2022"/>
    <x v="399"/>
    <n v="144"/>
    <s v="4G"/>
  </r>
  <r>
    <n v="11057"/>
    <n v="227"/>
    <d v="2023-10-30T00:00:00"/>
    <s v="October"/>
    <n v="2023"/>
    <x v="488"/>
    <n v="220"/>
    <s v="5G"/>
  </r>
  <r>
    <n v="11058"/>
    <n v="189"/>
    <d v="2023-06-12T00:00:00"/>
    <s v="June"/>
    <n v="2023"/>
    <x v="489"/>
    <n v="63"/>
    <s v="4G"/>
  </r>
  <r>
    <n v="11059"/>
    <n v="476"/>
    <d v="2022-06-14T00:00:00"/>
    <s v="June"/>
    <n v="2022"/>
    <x v="490"/>
    <n v="125"/>
    <s v="4G"/>
  </r>
  <r>
    <n v="11060"/>
    <n v="477"/>
    <d v="2022-05-25T00:00:00"/>
    <s v="May"/>
    <n v="2022"/>
    <x v="491"/>
    <n v="217"/>
    <s v="5G"/>
  </r>
  <r>
    <n v="11061"/>
    <n v="265"/>
    <d v="2022-02-06T00:00:00"/>
    <s v="February"/>
    <n v="2022"/>
    <x v="492"/>
    <n v="283"/>
    <s v="5G"/>
  </r>
  <r>
    <n v="11062"/>
    <n v="372"/>
    <d v="2022-11-29T00:00:00"/>
    <s v="November"/>
    <n v="2022"/>
    <x v="383"/>
    <n v="235"/>
    <s v="4G"/>
  </r>
  <r>
    <n v="11063"/>
    <n v="486"/>
    <d v="2023-02-07T00:00:00"/>
    <s v="February"/>
    <n v="2023"/>
    <x v="212"/>
    <n v="12"/>
    <s v="5G"/>
  </r>
  <r>
    <n v="11064"/>
    <n v="434"/>
    <d v="2023-02-18T00:00:00"/>
    <s v="February"/>
    <n v="2023"/>
    <x v="165"/>
    <n v="152"/>
    <s v="4G"/>
  </r>
  <r>
    <n v="11065"/>
    <n v="134"/>
    <d v="2022-02-14T00:00:00"/>
    <s v="February"/>
    <n v="2022"/>
    <x v="493"/>
    <n v="238"/>
    <s v="4G"/>
  </r>
  <r>
    <n v="11066"/>
    <n v="211"/>
    <d v="2023-02-06T00:00:00"/>
    <s v="February"/>
    <n v="2023"/>
    <x v="331"/>
    <n v="189"/>
    <s v="4G"/>
  </r>
  <r>
    <n v="11067"/>
    <n v="60"/>
    <d v="2022-07-25T00:00:00"/>
    <s v="July"/>
    <n v="2022"/>
    <x v="494"/>
    <n v="150"/>
    <s v="4G"/>
  </r>
  <r>
    <n v="11068"/>
    <n v="428"/>
    <d v="2022-03-03T00:00:00"/>
    <s v="March"/>
    <n v="2022"/>
    <x v="12"/>
    <n v="85"/>
    <s v="4G"/>
  </r>
  <r>
    <n v="11069"/>
    <n v="377"/>
    <d v="2023-02-24T00:00:00"/>
    <s v="February"/>
    <n v="2023"/>
    <x v="495"/>
    <n v="20"/>
    <s v="4G"/>
  </r>
  <r>
    <n v="11070"/>
    <n v="395"/>
    <d v="2024-05-17T00:00:00"/>
    <s v="May"/>
    <n v="2024"/>
    <x v="373"/>
    <n v="181"/>
    <s v="4G"/>
  </r>
  <r>
    <n v="11071"/>
    <n v="450"/>
    <d v="2023-04-13T00:00:00"/>
    <s v="April"/>
    <n v="2023"/>
    <x v="27"/>
    <n v="157"/>
    <s v="5G"/>
  </r>
  <r>
    <n v="11072"/>
    <n v="431"/>
    <d v="2024-03-30T00:00:00"/>
    <s v="March"/>
    <n v="2024"/>
    <x v="496"/>
    <n v="75"/>
    <s v="4G"/>
  </r>
  <r>
    <n v="11073"/>
    <n v="364"/>
    <d v="2022-01-19T00:00:00"/>
    <s v="January"/>
    <n v="2022"/>
    <x v="196"/>
    <n v="202"/>
    <s v="5G"/>
  </r>
  <r>
    <n v="11074"/>
    <n v="364"/>
    <d v="2022-12-31T00:00:00"/>
    <s v="December"/>
    <n v="2022"/>
    <x v="114"/>
    <n v="228"/>
    <s v="5G"/>
  </r>
  <r>
    <n v="11075"/>
    <n v="457"/>
    <d v="2022-10-27T00:00:00"/>
    <s v="October"/>
    <n v="2022"/>
    <x v="332"/>
    <n v="151"/>
    <s v="4G"/>
  </r>
  <r>
    <n v="11076"/>
    <n v="213"/>
    <d v="2022-01-07T00:00:00"/>
    <s v="January"/>
    <n v="2022"/>
    <x v="445"/>
    <n v="262"/>
    <s v="4G"/>
  </r>
  <r>
    <n v="11077"/>
    <n v="216"/>
    <d v="2024-01-31T00:00:00"/>
    <s v="January"/>
    <n v="2024"/>
    <x v="0"/>
    <n v="71"/>
    <s v="4G"/>
  </r>
  <r>
    <n v="11078"/>
    <n v="226"/>
    <d v="2023-03-04T00:00:00"/>
    <s v="March"/>
    <n v="2023"/>
    <x v="26"/>
    <n v="224"/>
    <s v="5G"/>
  </r>
  <r>
    <n v="11079"/>
    <n v="470"/>
    <d v="2022-04-27T00:00:00"/>
    <s v="April"/>
    <n v="2022"/>
    <x v="84"/>
    <n v="130"/>
    <s v="4G"/>
  </r>
  <r>
    <n v="11080"/>
    <n v="131"/>
    <d v="2023-08-03T00:00:00"/>
    <s v="August"/>
    <n v="2023"/>
    <x v="7"/>
    <n v="27"/>
    <s v="4G"/>
  </r>
  <r>
    <n v="11081"/>
    <n v="76"/>
    <d v="2023-05-22T00:00:00"/>
    <s v="May"/>
    <n v="2023"/>
    <x v="185"/>
    <n v="298"/>
    <s v="5G"/>
  </r>
  <r>
    <n v="11082"/>
    <n v="476"/>
    <d v="2023-06-30T00:00:00"/>
    <s v="June"/>
    <n v="2023"/>
    <x v="321"/>
    <n v="96"/>
    <s v="4G"/>
  </r>
  <r>
    <n v="11083"/>
    <n v="286"/>
    <d v="2023-12-07T00:00:00"/>
    <s v="December"/>
    <n v="2023"/>
    <x v="45"/>
    <n v="45"/>
    <s v="4G"/>
  </r>
  <r>
    <n v="11084"/>
    <n v="474"/>
    <d v="2022-11-21T00:00:00"/>
    <s v="November"/>
    <n v="2022"/>
    <x v="497"/>
    <n v="0"/>
    <s v="4G"/>
  </r>
  <r>
    <n v="11085"/>
    <n v="496"/>
    <d v="2022-02-24T00:00:00"/>
    <s v="February"/>
    <n v="2022"/>
    <x v="179"/>
    <n v="165"/>
    <s v="5G"/>
  </r>
  <r>
    <n v="11086"/>
    <n v="277"/>
    <d v="2024-02-17T00:00:00"/>
    <s v="February"/>
    <n v="2024"/>
    <x v="133"/>
    <n v="244"/>
    <s v="5G"/>
  </r>
  <r>
    <n v="11087"/>
    <n v="156"/>
    <d v="2022-02-11T00:00:00"/>
    <s v="February"/>
    <n v="2022"/>
    <x v="358"/>
    <n v="218"/>
    <s v="4G"/>
  </r>
  <r>
    <n v="11088"/>
    <n v="248"/>
    <d v="2022-10-24T00:00:00"/>
    <s v="October"/>
    <n v="2022"/>
    <x v="389"/>
    <n v="101"/>
    <s v="4G"/>
  </r>
  <r>
    <n v="11089"/>
    <n v="218"/>
    <d v="2022-08-19T00:00:00"/>
    <s v="August"/>
    <n v="2022"/>
    <x v="53"/>
    <n v="290"/>
    <s v="5G"/>
  </r>
  <r>
    <n v="11090"/>
    <n v="190"/>
    <d v="2023-03-29T00:00:00"/>
    <s v="March"/>
    <n v="2023"/>
    <x v="358"/>
    <n v="203"/>
    <s v="5G"/>
  </r>
  <r>
    <n v="11091"/>
    <n v="417"/>
    <d v="2024-06-08T00:00:00"/>
    <s v="June"/>
    <n v="2024"/>
    <x v="342"/>
    <n v="201"/>
    <s v="5G"/>
  </r>
  <r>
    <n v="11092"/>
    <n v="469"/>
    <d v="2023-01-29T00:00:00"/>
    <s v="January"/>
    <n v="2023"/>
    <x v="342"/>
    <n v="53"/>
    <s v="4G"/>
  </r>
  <r>
    <n v="11093"/>
    <n v="163"/>
    <d v="2023-06-06T00:00:00"/>
    <s v="June"/>
    <n v="2023"/>
    <x v="368"/>
    <n v="279"/>
    <s v="5G"/>
  </r>
  <r>
    <n v="11094"/>
    <n v="180"/>
    <d v="2022-12-24T00:00:00"/>
    <s v="December"/>
    <n v="2022"/>
    <x v="221"/>
    <n v="277"/>
    <s v="4G"/>
  </r>
  <r>
    <n v="11095"/>
    <n v="34"/>
    <d v="2023-03-20T00:00:00"/>
    <s v="March"/>
    <n v="2023"/>
    <x v="46"/>
    <n v="15"/>
    <s v="4G"/>
  </r>
  <r>
    <n v="11096"/>
    <n v="41"/>
    <d v="2022-05-08T00:00:00"/>
    <s v="May"/>
    <n v="2022"/>
    <x v="498"/>
    <n v="12"/>
    <s v="5G"/>
  </r>
  <r>
    <n v="11097"/>
    <n v="307"/>
    <d v="2023-11-22T00:00:00"/>
    <s v="November"/>
    <n v="2023"/>
    <x v="64"/>
    <n v="86"/>
    <s v="4G"/>
  </r>
  <r>
    <n v="11098"/>
    <n v="431"/>
    <d v="2023-02-09T00:00:00"/>
    <s v="February"/>
    <n v="2023"/>
    <x v="499"/>
    <n v="77"/>
    <s v="5G"/>
  </r>
  <r>
    <n v="11099"/>
    <n v="338"/>
    <d v="2023-01-27T00:00:00"/>
    <s v="January"/>
    <n v="2023"/>
    <x v="44"/>
    <n v="66"/>
    <s v="4G"/>
  </r>
  <r>
    <n v="11100"/>
    <n v="314"/>
    <d v="2022-07-12T00:00:00"/>
    <s v="July"/>
    <n v="2022"/>
    <x v="318"/>
    <n v="210"/>
    <s v="5G"/>
  </r>
  <r>
    <n v="11101"/>
    <n v="75"/>
    <d v="2023-08-27T00:00:00"/>
    <s v="August"/>
    <n v="2023"/>
    <x v="500"/>
    <n v="213"/>
    <s v="4G"/>
  </r>
  <r>
    <n v="11102"/>
    <n v="441"/>
    <d v="2024-05-30T00:00:00"/>
    <s v="May"/>
    <n v="2024"/>
    <x v="501"/>
    <n v="184"/>
    <s v="4G"/>
  </r>
  <r>
    <n v="11103"/>
    <n v="279"/>
    <d v="2024-01-13T00:00:00"/>
    <s v="January"/>
    <n v="2024"/>
    <x v="105"/>
    <n v="32"/>
    <s v="4G"/>
  </r>
  <r>
    <n v="11104"/>
    <n v="176"/>
    <d v="2022-03-19T00:00:00"/>
    <s v="March"/>
    <n v="2022"/>
    <x v="502"/>
    <n v="114"/>
    <s v="4G"/>
  </r>
  <r>
    <n v="11105"/>
    <n v="384"/>
    <d v="2022-03-26T00:00:00"/>
    <s v="March"/>
    <n v="2022"/>
    <x v="19"/>
    <n v="274"/>
    <s v="5G"/>
  </r>
  <r>
    <n v="11106"/>
    <n v="150"/>
    <d v="2022-01-30T00:00:00"/>
    <s v="January"/>
    <n v="2022"/>
    <x v="503"/>
    <n v="197"/>
    <s v="4G"/>
  </r>
  <r>
    <n v="11107"/>
    <n v="273"/>
    <d v="2023-12-26T00:00:00"/>
    <s v="December"/>
    <n v="2023"/>
    <x v="504"/>
    <n v="142"/>
    <s v="4G"/>
  </r>
  <r>
    <n v="11108"/>
    <n v="325"/>
    <d v="2022-02-18T00:00:00"/>
    <s v="February"/>
    <n v="2022"/>
    <x v="505"/>
    <n v="227"/>
    <s v="4G"/>
  </r>
  <r>
    <n v="11109"/>
    <n v="108"/>
    <d v="2024-02-16T00:00:00"/>
    <s v="February"/>
    <n v="2024"/>
    <x v="4"/>
    <n v="119"/>
    <s v="5G"/>
  </r>
  <r>
    <n v="11110"/>
    <n v="139"/>
    <d v="2022-05-25T00:00:00"/>
    <s v="May"/>
    <n v="2022"/>
    <x v="194"/>
    <n v="23"/>
    <s v="4G"/>
  </r>
  <r>
    <n v="11111"/>
    <n v="350"/>
    <d v="2022-03-10T00:00:00"/>
    <s v="March"/>
    <n v="2022"/>
    <x v="390"/>
    <n v="26"/>
    <s v="4G"/>
  </r>
  <r>
    <n v="11112"/>
    <n v="271"/>
    <d v="2022-02-27T00:00:00"/>
    <s v="February"/>
    <n v="2022"/>
    <x v="194"/>
    <n v="74"/>
    <s v="4G"/>
  </r>
  <r>
    <n v="11113"/>
    <n v="347"/>
    <d v="2023-11-28T00:00:00"/>
    <s v="November"/>
    <n v="2023"/>
    <x v="506"/>
    <n v="240"/>
    <s v="5G"/>
  </r>
  <r>
    <n v="11114"/>
    <n v="419"/>
    <d v="2023-07-28T00:00:00"/>
    <s v="July"/>
    <n v="2023"/>
    <x v="216"/>
    <n v="22"/>
    <s v="4G"/>
  </r>
  <r>
    <n v="11115"/>
    <n v="289"/>
    <d v="2023-04-24T00:00:00"/>
    <s v="April"/>
    <n v="2023"/>
    <x v="438"/>
    <n v="160"/>
    <s v="4G"/>
  </r>
  <r>
    <n v="11116"/>
    <n v="212"/>
    <d v="2024-03-30T00:00:00"/>
    <s v="March"/>
    <n v="2024"/>
    <x v="330"/>
    <n v="40"/>
    <s v="5G"/>
  </r>
  <r>
    <n v="11117"/>
    <n v="381"/>
    <d v="2023-03-21T00:00:00"/>
    <s v="March"/>
    <n v="2023"/>
    <x v="190"/>
    <n v="237"/>
    <s v="4G"/>
  </r>
  <r>
    <n v="11118"/>
    <n v="272"/>
    <d v="2022-10-23T00:00:00"/>
    <s v="October"/>
    <n v="2022"/>
    <x v="222"/>
    <n v="238"/>
    <s v="4G"/>
  </r>
  <r>
    <n v="11119"/>
    <n v="418"/>
    <d v="2023-11-09T00:00:00"/>
    <s v="November"/>
    <n v="2023"/>
    <x v="154"/>
    <n v="55"/>
    <s v="5G"/>
  </r>
  <r>
    <n v="11120"/>
    <n v="66"/>
    <d v="2022-06-20T00:00:00"/>
    <s v="June"/>
    <n v="2022"/>
    <x v="131"/>
    <n v="97"/>
    <s v="4G"/>
  </r>
  <r>
    <n v="11121"/>
    <n v="483"/>
    <d v="2023-07-29T00:00:00"/>
    <s v="July"/>
    <n v="2023"/>
    <x v="254"/>
    <n v="145"/>
    <s v="4G"/>
  </r>
  <r>
    <n v="11122"/>
    <n v="424"/>
    <d v="2022-05-27T00:00:00"/>
    <s v="May"/>
    <n v="2022"/>
    <x v="375"/>
    <n v="261"/>
    <s v="4G"/>
  </r>
  <r>
    <n v="11123"/>
    <n v="248"/>
    <d v="2023-04-29T00:00:00"/>
    <s v="April"/>
    <n v="2023"/>
    <x v="53"/>
    <n v="39"/>
    <s v="5G"/>
  </r>
  <r>
    <n v="11124"/>
    <n v="156"/>
    <d v="2022-11-02T00:00:00"/>
    <s v="November"/>
    <n v="2022"/>
    <x v="229"/>
    <n v="192"/>
    <s v="4G"/>
  </r>
  <r>
    <n v="11125"/>
    <n v="47"/>
    <d v="2023-11-04T00:00:00"/>
    <s v="November"/>
    <n v="2023"/>
    <x v="507"/>
    <n v="238"/>
    <s v="4G"/>
  </r>
  <r>
    <n v="11126"/>
    <n v="423"/>
    <d v="2023-10-15T00:00:00"/>
    <s v="October"/>
    <n v="2023"/>
    <x v="147"/>
    <n v="41"/>
    <s v="4G"/>
  </r>
  <r>
    <n v="11127"/>
    <n v="454"/>
    <d v="2024-04-25T00:00:00"/>
    <s v="April"/>
    <n v="2024"/>
    <x v="286"/>
    <n v="221"/>
    <s v="5G"/>
  </r>
  <r>
    <n v="11128"/>
    <n v="201"/>
    <d v="2023-09-01T00:00:00"/>
    <s v="September"/>
    <n v="2023"/>
    <x v="508"/>
    <n v="195"/>
    <s v="4G"/>
  </r>
  <r>
    <n v="11129"/>
    <n v="148"/>
    <d v="2023-03-22T00:00:00"/>
    <s v="March"/>
    <n v="2023"/>
    <x v="63"/>
    <n v="287"/>
    <s v="4G"/>
  </r>
  <r>
    <n v="11130"/>
    <n v="124"/>
    <d v="2022-08-09T00:00:00"/>
    <s v="August"/>
    <n v="2022"/>
    <x v="509"/>
    <n v="9"/>
    <s v="4G"/>
  </r>
  <r>
    <n v="11131"/>
    <n v="1"/>
    <d v="2023-07-09T00:00:00"/>
    <s v="July"/>
    <n v="2023"/>
    <x v="510"/>
    <n v="234"/>
    <s v="4G"/>
  </r>
  <r>
    <n v="11132"/>
    <n v="456"/>
    <d v="2024-03-14T00:00:00"/>
    <s v="March"/>
    <n v="2024"/>
    <x v="511"/>
    <n v="264"/>
    <s v="5G"/>
  </r>
  <r>
    <n v="11133"/>
    <n v="247"/>
    <d v="2023-01-13T00:00:00"/>
    <s v="January"/>
    <n v="2023"/>
    <x v="6"/>
    <n v="68"/>
    <s v="4G"/>
  </r>
  <r>
    <n v="11134"/>
    <n v="343"/>
    <d v="2023-09-12T00:00:00"/>
    <s v="September"/>
    <n v="2023"/>
    <x v="512"/>
    <n v="138"/>
    <s v="5G"/>
  </r>
  <r>
    <n v="11135"/>
    <n v="128"/>
    <d v="2022-09-23T00:00:00"/>
    <s v="September"/>
    <n v="2022"/>
    <x v="513"/>
    <n v="218"/>
    <s v="4G"/>
  </r>
  <r>
    <n v="11136"/>
    <n v="191"/>
    <d v="2022-04-05T00:00:00"/>
    <s v="April"/>
    <n v="2022"/>
    <x v="514"/>
    <n v="195"/>
    <s v="5G"/>
  </r>
  <r>
    <n v="11137"/>
    <n v="67"/>
    <d v="2022-09-19T00:00:00"/>
    <s v="September"/>
    <n v="2022"/>
    <x v="242"/>
    <n v="73"/>
    <s v="4G"/>
  </r>
  <r>
    <n v="11138"/>
    <n v="4"/>
    <d v="2024-04-04T00:00:00"/>
    <s v="April"/>
    <n v="2024"/>
    <x v="515"/>
    <n v="102"/>
    <s v="4G"/>
  </r>
  <r>
    <n v="11139"/>
    <n v="442"/>
    <d v="2024-06-15T00:00:00"/>
    <s v="June"/>
    <n v="2024"/>
    <x v="516"/>
    <n v="224"/>
    <s v="5G"/>
  </r>
  <r>
    <n v="11140"/>
    <n v="409"/>
    <d v="2022-03-12T00:00:00"/>
    <s v="March"/>
    <n v="2022"/>
    <x v="517"/>
    <n v="122"/>
    <s v="5G"/>
  </r>
  <r>
    <n v="11141"/>
    <n v="303"/>
    <d v="2022-08-07T00:00:00"/>
    <s v="August"/>
    <n v="2022"/>
    <x v="10"/>
    <n v="101"/>
    <s v="4G"/>
  </r>
  <r>
    <n v="11142"/>
    <n v="294"/>
    <d v="2023-06-17T00:00:00"/>
    <s v="June"/>
    <n v="2023"/>
    <x v="518"/>
    <n v="263"/>
    <s v="4G"/>
  </r>
  <r>
    <n v="11143"/>
    <n v="143"/>
    <d v="2022-04-02T00:00:00"/>
    <s v="April"/>
    <n v="2022"/>
    <x v="32"/>
    <n v="160"/>
    <s v="4G"/>
  </r>
  <r>
    <n v="11144"/>
    <n v="191"/>
    <d v="2022-05-07T00:00:00"/>
    <s v="May"/>
    <n v="2022"/>
    <x v="394"/>
    <n v="232"/>
    <s v="5G"/>
  </r>
  <r>
    <n v="11145"/>
    <n v="21"/>
    <d v="2022-03-21T00:00:00"/>
    <s v="March"/>
    <n v="2022"/>
    <x v="193"/>
    <n v="274"/>
    <s v="4G"/>
  </r>
  <r>
    <n v="11146"/>
    <n v="227"/>
    <d v="2024-04-03T00:00:00"/>
    <s v="April"/>
    <n v="2024"/>
    <x v="519"/>
    <n v="257"/>
    <s v="4G"/>
  </r>
  <r>
    <n v="11147"/>
    <n v="313"/>
    <d v="2022-08-26T00:00:00"/>
    <s v="August"/>
    <n v="2022"/>
    <x v="438"/>
    <n v="138"/>
    <s v="4G"/>
  </r>
  <r>
    <n v="11148"/>
    <n v="117"/>
    <d v="2023-01-07T00:00:00"/>
    <s v="January"/>
    <n v="2023"/>
    <x v="520"/>
    <n v="226"/>
    <s v="5G"/>
  </r>
  <r>
    <n v="11149"/>
    <n v="437"/>
    <d v="2023-05-01T00:00:00"/>
    <s v="May"/>
    <n v="2023"/>
    <x v="356"/>
    <n v="272"/>
    <s v="4G"/>
  </r>
  <r>
    <n v="11150"/>
    <n v="302"/>
    <d v="2023-11-25T00:00:00"/>
    <s v="November"/>
    <n v="2023"/>
    <x v="521"/>
    <n v="85"/>
    <s v="4G"/>
  </r>
  <r>
    <n v="11151"/>
    <n v="500"/>
    <d v="2022-01-25T00:00:00"/>
    <s v="January"/>
    <n v="2022"/>
    <x v="250"/>
    <n v="290"/>
    <s v="4G"/>
  </r>
  <r>
    <n v="11152"/>
    <n v="142"/>
    <d v="2022-06-05T00:00:00"/>
    <s v="June"/>
    <n v="2022"/>
    <x v="501"/>
    <n v="216"/>
    <s v="4G"/>
  </r>
  <r>
    <n v="11153"/>
    <n v="484"/>
    <d v="2023-06-01T00:00:00"/>
    <s v="June"/>
    <n v="2023"/>
    <x v="522"/>
    <n v="65"/>
    <s v="4G"/>
  </r>
  <r>
    <n v="11154"/>
    <n v="460"/>
    <d v="2023-09-24T00:00:00"/>
    <s v="September"/>
    <n v="2023"/>
    <x v="122"/>
    <n v="256"/>
    <s v="5G"/>
  </r>
  <r>
    <n v="11155"/>
    <n v="401"/>
    <d v="2024-02-28T00:00:00"/>
    <s v="February"/>
    <n v="2024"/>
    <x v="94"/>
    <n v="134"/>
    <s v="5G"/>
  </r>
  <r>
    <n v="11156"/>
    <n v="39"/>
    <d v="2023-06-14T00:00:00"/>
    <s v="June"/>
    <n v="2023"/>
    <x v="82"/>
    <n v="54"/>
    <s v="4G"/>
  </r>
  <r>
    <n v="11157"/>
    <n v="393"/>
    <d v="2023-12-11T00:00:00"/>
    <s v="December"/>
    <n v="2023"/>
    <x v="175"/>
    <n v="242"/>
    <s v="5G"/>
  </r>
  <r>
    <n v="11158"/>
    <n v="355"/>
    <d v="2022-02-26T00:00:00"/>
    <s v="February"/>
    <n v="2022"/>
    <x v="363"/>
    <n v="251"/>
    <s v="4G"/>
  </r>
  <r>
    <n v="11159"/>
    <n v="252"/>
    <d v="2023-08-28T00:00:00"/>
    <s v="August"/>
    <n v="2023"/>
    <x v="523"/>
    <n v="20"/>
    <s v="4G"/>
  </r>
  <r>
    <n v="11160"/>
    <n v="333"/>
    <d v="2022-01-19T00:00:00"/>
    <s v="January"/>
    <n v="2022"/>
    <x v="524"/>
    <n v="162"/>
    <s v="5G"/>
  </r>
  <r>
    <n v="11161"/>
    <n v="207"/>
    <d v="2023-01-19T00:00:00"/>
    <s v="January"/>
    <n v="2023"/>
    <x v="64"/>
    <n v="263"/>
    <s v="4G"/>
  </r>
  <r>
    <n v="11162"/>
    <n v="210"/>
    <d v="2024-05-14T00:00:00"/>
    <s v="May"/>
    <n v="2024"/>
    <x v="242"/>
    <n v="67"/>
    <s v="4G"/>
  </r>
  <r>
    <n v="11163"/>
    <n v="115"/>
    <d v="2022-07-12T00:00:00"/>
    <s v="July"/>
    <n v="2022"/>
    <x v="140"/>
    <n v="106"/>
    <s v="5G"/>
  </r>
  <r>
    <n v="11164"/>
    <n v="225"/>
    <d v="2022-08-25T00:00:00"/>
    <s v="August"/>
    <n v="2022"/>
    <x v="34"/>
    <n v="66"/>
    <s v="4G"/>
  </r>
  <r>
    <n v="11165"/>
    <n v="134"/>
    <d v="2023-01-22T00:00:00"/>
    <s v="January"/>
    <n v="2023"/>
    <x v="362"/>
    <n v="198"/>
    <s v="5G"/>
  </r>
  <r>
    <n v="11166"/>
    <n v="251"/>
    <d v="2023-03-02T00:00:00"/>
    <s v="March"/>
    <n v="2023"/>
    <x v="525"/>
    <n v="191"/>
    <s v="5G"/>
  </r>
  <r>
    <n v="11167"/>
    <n v="219"/>
    <d v="2022-10-04T00:00:00"/>
    <s v="October"/>
    <n v="2022"/>
    <x v="526"/>
    <n v="1"/>
    <s v="4G"/>
  </r>
  <r>
    <n v="11168"/>
    <n v="407"/>
    <d v="2022-08-15T00:00:00"/>
    <s v="August"/>
    <n v="2022"/>
    <x v="94"/>
    <n v="256"/>
    <s v="4G"/>
  </r>
  <r>
    <n v="11169"/>
    <n v="443"/>
    <d v="2024-01-15T00:00:00"/>
    <s v="January"/>
    <n v="2024"/>
    <x v="527"/>
    <n v="0"/>
    <s v="4G"/>
  </r>
  <r>
    <n v="11170"/>
    <n v="91"/>
    <d v="2023-07-06T00:00:00"/>
    <s v="July"/>
    <n v="2023"/>
    <x v="528"/>
    <n v="114"/>
    <s v="4G"/>
  </r>
  <r>
    <n v="11171"/>
    <n v="354"/>
    <d v="2022-11-19T00:00:00"/>
    <s v="November"/>
    <n v="2022"/>
    <x v="529"/>
    <n v="87"/>
    <s v="4G"/>
  </r>
  <r>
    <n v="11172"/>
    <n v="376"/>
    <d v="2022-06-02T00:00:00"/>
    <s v="June"/>
    <n v="2022"/>
    <x v="193"/>
    <n v="196"/>
    <s v="5G"/>
  </r>
  <r>
    <n v="11173"/>
    <n v="46"/>
    <d v="2023-10-01T00:00:00"/>
    <s v="October"/>
    <n v="2023"/>
    <x v="396"/>
    <n v="91"/>
    <s v="4G"/>
  </r>
  <r>
    <n v="11174"/>
    <n v="38"/>
    <d v="2022-08-25T00:00:00"/>
    <s v="August"/>
    <n v="2022"/>
    <x v="530"/>
    <n v="273"/>
    <s v="4G"/>
  </r>
  <r>
    <n v="11175"/>
    <n v="142"/>
    <d v="2022-02-24T00:00:00"/>
    <s v="February"/>
    <n v="2022"/>
    <x v="223"/>
    <n v="159"/>
    <s v="4G"/>
  </r>
  <r>
    <n v="11176"/>
    <n v="100"/>
    <d v="2023-03-12T00:00:00"/>
    <s v="March"/>
    <n v="2023"/>
    <x v="531"/>
    <n v="172"/>
    <s v="4G"/>
  </r>
  <r>
    <n v="11177"/>
    <n v="328"/>
    <d v="2023-11-15T00:00:00"/>
    <s v="November"/>
    <n v="2023"/>
    <x v="166"/>
    <n v="32"/>
    <s v="5G"/>
  </r>
  <r>
    <n v="11178"/>
    <n v="190"/>
    <d v="2022-04-19T00:00:00"/>
    <s v="April"/>
    <n v="2022"/>
    <x v="177"/>
    <n v="72"/>
    <s v="4G"/>
  </r>
  <r>
    <n v="11179"/>
    <n v="35"/>
    <d v="2024-05-15T00:00:00"/>
    <s v="May"/>
    <n v="2024"/>
    <x v="135"/>
    <n v="195"/>
    <s v="5G"/>
  </r>
  <r>
    <n v="11180"/>
    <n v="147"/>
    <d v="2022-07-03T00:00:00"/>
    <s v="July"/>
    <n v="2022"/>
    <x v="46"/>
    <n v="283"/>
    <s v="4G"/>
  </r>
  <r>
    <n v="11181"/>
    <n v="30"/>
    <d v="2023-01-03T00:00:00"/>
    <s v="January"/>
    <n v="2023"/>
    <x v="425"/>
    <n v="86"/>
    <s v="4G"/>
  </r>
  <r>
    <n v="11182"/>
    <n v="334"/>
    <d v="2022-07-17T00:00:00"/>
    <s v="July"/>
    <n v="2022"/>
    <x v="116"/>
    <n v="223"/>
    <s v="4G"/>
  </r>
  <r>
    <n v="11183"/>
    <n v="84"/>
    <d v="2023-01-06T00:00:00"/>
    <s v="January"/>
    <n v="2023"/>
    <x v="270"/>
    <n v="43"/>
    <s v="4G"/>
  </r>
  <r>
    <n v="11184"/>
    <n v="369"/>
    <d v="2023-01-08T00:00:00"/>
    <s v="January"/>
    <n v="2023"/>
    <x v="532"/>
    <n v="137"/>
    <s v="4G"/>
  </r>
  <r>
    <n v="11185"/>
    <n v="281"/>
    <d v="2023-05-12T00:00:00"/>
    <s v="May"/>
    <n v="2023"/>
    <x v="79"/>
    <n v="269"/>
    <s v="4G"/>
  </r>
  <r>
    <n v="11186"/>
    <n v="424"/>
    <d v="2023-08-22T00:00:00"/>
    <s v="August"/>
    <n v="2023"/>
    <x v="436"/>
    <n v="35"/>
    <s v="5G"/>
  </r>
  <r>
    <n v="11187"/>
    <n v="344"/>
    <d v="2022-07-20T00:00:00"/>
    <s v="July"/>
    <n v="2022"/>
    <x v="533"/>
    <n v="33"/>
    <s v="4G"/>
  </r>
  <r>
    <n v="11188"/>
    <n v="270"/>
    <d v="2024-04-28T00:00:00"/>
    <s v="April"/>
    <n v="2024"/>
    <x v="534"/>
    <n v="87"/>
    <s v="5G"/>
  </r>
  <r>
    <n v="11189"/>
    <n v="154"/>
    <d v="2023-05-24T00:00:00"/>
    <s v="May"/>
    <n v="2023"/>
    <x v="143"/>
    <n v="145"/>
    <s v="4G"/>
  </r>
  <r>
    <n v="11190"/>
    <n v="102"/>
    <d v="2022-11-18T00:00:00"/>
    <s v="November"/>
    <n v="2022"/>
    <x v="190"/>
    <n v="15"/>
    <s v="4G"/>
  </r>
  <r>
    <n v="11191"/>
    <n v="215"/>
    <d v="2022-10-02T00:00:00"/>
    <s v="October"/>
    <n v="2022"/>
    <x v="261"/>
    <n v="232"/>
    <s v="4G"/>
  </r>
  <r>
    <n v="11192"/>
    <n v="150"/>
    <d v="2022-07-30T00:00:00"/>
    <s v="July"/>
    <n v="2022"/>
    <x v="420"/>
    <n v="40"/>
    <s v="4G"/>
  </r>
  <r>
    <n v="11193"/>
    <n v="432"/>
    <d v="2023-05-19T00:00:00"/>
    <s v="May"/>
    <n v="2023"/>
    <x v="535"/>
    <n v="254"/>
    <s v="5G"/>
  </r>
  <r>
    <n v="11194"/>
    <n v="83"/>
    <d v="2022-04-28T00:00:00"/>
    <s v="April"/>
    <n v="2022"/>
    <x v="263"/>
    <n v="280"/>
    <s v="4G"/>
  </r>
  <r>
    <n v="11195"/>
    <n v="110"/>
    <d v="2023-12-04T00:00:00"/>
    <s v="December"/>
    <n v="2023"/>
    <x v="50"/>
    <n v="125"/>
    <s v="4G"/>
  </r>
  <r>
    <n v="11196"/>
    <n v="435"/>
    <d v="2023-07-08T00:00:00"/>
    <s v="July"/>
    <n v="2023"/>
    <x v="48"/>
    <n v="7"/>
    <s v="4G"/>
  </r>
  <r>
    <n v="11197"/>
    <n v="387"/>
    <d v="2022-02-11T00:00:00"/>
    <s v="February"/>
    <n v="2022"/>
    <x v="399"/>
    <n v="175"/>
    <s v="4G"/>
  </r>
  <r>
    <n v="11198"/>
    <n v="426"/>
    <d v="2022-11-11T00:00:00"/>
    <s v="November"/>
    <n v="2022"/>
    <x v="56"/>
    <n v="227"/>
    <s v="5G"/>
  </r>
  <r>
    <n v="11199"/>
    <n v="275"/>
    <d v="2024-02-27T00:00:00"/>
    <s v="February"/>
    <n v="2024"/>
    <x v="498"/>
    <n v="17"/>
    <s v="4G"/>
  </r>
  <r>
    <n v="11200"/>
    <n v="201"/>
    <d v="2022-11-25T00:00:00"/>
    <s v="November"/>
    <n v="2022"/>
    <x v="256"/>
    <n v="55"/>
    <s v="5G"/>
  </r>
  <r>
    <n v="11201"/>
    <n v="284"/>
    <d v="2022-01-17T00:00:00"/>
    <s v="January"/>
    <n v="2022"/>
    <x v="198"/>
    <n v="34"/>
    <s v="4G"/>
  </r>
  <r>
    <n v="11202"/>
    <n v="468"/>
    <d v="2022-10-10T00:00:00"/>
    <s v="October"/>
    <n v="2022"/>
    <x v="223"/>
    <n v="117"/>
    <s v="5G"/>
  </r>
  <r>
    <n v="11203"/>
    <n v="173"/>
    <d v="2022-09-15T00:00:00"/>
    <s v="September"/>
    <n v="2022"/>
    <x v="130"/>
    <n v="281"/>
    <s v="5G"/>
  </r>
  <r>
    <n v="11204"/>
    <n v="327"/>
    <d v="2023-07-29T00:00:00"/>
    <s v="July"/>
    <n v="2023"/>
    <x v="299"/>
    <n v="253"/>
    <s v="4G"/>
  </r>
  <r>
    <n v="11205"/>
    <n v="206"/>
    <d v="2023-07-28T00:00:00"/>
    <s v="July"/>
    <n v="2023"/>
    <x v="535"/>
    <n v="212"/>
    <s v="4G"/>
  </r>
  <r>
    <n v="11206"/>
    <n v="63"/>
    <d v="2023-09-04T00:00:00"/>
    <s v="September"/>
    <n v="2023"/>
    <x v="289"/>
    <n v="60"/>
    <s v="5G"/>
  </r>
  <r>
    <n v="11207"/>
    <n v="73"/>
    <d v="2022-01-19T00:00:00"/>
    <s v="January"/>
    <n v="2022"/>
    <x v="420"/>
    <n v="87"/>
    <s v="4G"/>
  </r>
  <r>
    <n v="11208"/>
    <n v="251"/>
    <d v="2023-06-13T00:00:00"/>
    <s v="June"/>
    <n v="2023"/>
    <x v="465"/>
    <n v="270"/>
    <s v="5G"/>
  </r>
  <r>
    <n v="11209"/>
    <n v="124"/>
    <d v="2024-04-16T00:00:00"/>
    <s v="April"/>
    <n v="2024"/>
    <x v="54"/>
    <n v="31"/>
    <s v="4G"/>
  </r>
  <r>
    <n v="11210"/>
    <n v="375"/>
    <d v="2023-02-27T00:00:00"/>
    <s v="February"/>
    <n v="2023"/>
    <x v="372"/>
    <n v="132"/>
    <s v="4G"/>
  </r>
  <r>
    <n v="11211"/>
    <n v="121"/>
    <d v="2023-04-11T00:00:00"/>
    <s v="April"/>
    <n v="2023"/>
    <x v="77"/>
    <n v="63"/>
    <s v="5G"/>
  </r>
  <r>
    <n v="11212"/>
    <n v="275"/>
    <d v="2023-01-08T00:00:00"/>
    <s v="January"/>
    <n v="2023"/>
    <x v="259"/>
    <n v="198"/>
    <s v="4G"/>
  </r>
  <r>
    <n v="11213"/>
    <n v="431"/>
    <d v="2024-01-28T00:00:00"/>
    <s v="January"/>
    <n v="2024"/>
    <x v="114"/>
    <n v="255"/>
    <s v="4G"/>
  </r>
  <r>
    <n v="11214"/>
    <n v="500"/>
    <d v="2024-02-02T00:00:00"/>
    <s v="February"/>
    <n v="2024"/>
    <x v="52"/>
    <n v="154"/>
    <s v="4G"/>
  </r>
  <r>
    <n v="11215"/>
    <n v="398"/>
    <d v="2022-03-22T00:00:00"/>
    <s v="March"/>
    <n v="2022"/>
    <x v="273"/>
    <n v="230"/>
    <s v="4G"/>
  </r>
  <r>
    <n v="11216"/>
    <n v="120"/>
    <d v="2023-07-05T00:00:00"/>
    <s v="July"/>
    <n v="2023"/>
    <x v="471"/>
    <n v="34"/>
    <s v="5G"/>
  </r>
  <r>
    <n v="11217"/>
    <n v="422"/>
    <d v="2023-07-02T00:00:00"/>
    <s v="July"/>
    <n v="2023"/>
    <x v="116"/>
    <n v="25"/>
    <s v="5G"/>
  </r>
  <r>
    <n v="11218"/>
    <n v="437"/>
    <d v="2023-02-28T00:00:00"/>
    <s v="February"/>
    <n v="2023"/>
    <x v="58"/>
    <n v="22"/>
    <s v="5G"/>
  </r>
  <r>
    <n v="11219"/>
    <n v="317"/>
    <d v="2023-03-05T00:00:00"/>
    <s v="March"/>
    <n v="2023"/>
    <x v="311"/>
    <n v="140"/>
    <s v="4G"/>
  </r>
  <r>
    <n v="11220"/>
    <n v="164"/>
    <d v="2023-01-23T00:00:00"/>
    <s v="January"/>
    <n v="2023"/>
    <x v="82"/>
    <n v="284"/>
    <s v="4G"/>
  </r>
  <r>
    <n v="11221"/>
    <n v="424"/>
    <d v="2023-12-10T00:00:00"/>
    <s v="December"/>
    <n v="2023"/>
    <x v="393"/>
    <n v="155"/>
    <s v="5G"/>
  </r>
  <r>
    <n v="11222"/>
    <n v="465"/>
    <d v="2023-11-01T00:00:00"/>
    <s v="November"/>
    <n v="2023"/>
    <x v="266"/>
    <n v="112"/>
    <s v="4G"/>
  </r>
  <r>
    <n v="11223"/>
    <n v="286"/>
    <d v="2022-07-23T00:00:00"/>
    <s v="July"/>
    <n v="2022"/>
    <x v="89"/>
    <n v="138"/>
    <s v="4G"/>
  </r>
  <r>
    <n v="11224"/>
    <n v="265"/>
    <d v="2022-07-15T00:00:00"/>
    <s v="July"/>
    <n v="2022"/>
    <x v="536"/>
    <n v="208"/>
    <s v="5G"/>
  </r>
  <r>
    <n v="11225"/>
    <n v="320"/>
    <d v="2023-12-29T00:00:00"/>
    <s v="December"/>
    <n v="2023"/>
    <x v="244"/>
    <n v="85"/>
    <s v="4G"/>
  </r>
  <r>
    <n v="11226"/>
    <n v="161"/>
    <d v="2022-10-12T00:00:00"/>
    <s v="October"/>
    <n v="2022"/>
    <x v="304"/>
    <n v="284"/>
    <s v="4G"/>
  </r>
  <r>
    <n v="11227"/>
    <n v="376"/>
    <d v="2022-07-15T00:00:00"/>
    <s v="July"/>
    <n v="2022"/>
    <x v="408"/>
    <n v="59"/>
    <s v="4G"/>
  </r>
  <r>
    <n v="11228"/>
    <n v="308"/>
    <d v="2022-11-03T00:00:00"/>
    <s v="November"/>
    <n v="2022"/>
    <x v="167"/>
    <n v="53"/>
    <s v="4G"/>
  </r>
  <r>
    <n v="11229"/>
    <n v="89"/>
    <d v="2023-10-26T00:00:00"/>
    <s v="October"/>
    <n v="2023"/>
    <x v="504"/>
    <n v="92"/>
    <s v="4G"/>
  </r>
  <r>
    <n v="11230"/>
    <n v="142"/>
    <d v="2022-01-14T00:00:00"/>
    <s v="January"/>
    <n v="2022"/>
    <x v="94"/>
    <n v="264"/>
    <s v="5G"/>
  </r>
  <r>
    <n v="11231"/>
    <n v="203"/>
    <d v="2024-04-16T00:00:00"/>
    <s v="April"/>
    <n v="2024"/>
    <x v="337"/>
    <n v="212"/>
    <s v="4G"/>
  </r>
  <r>
    <n v="11232"/>
    <n v="309"/>
    <d v="2022-05-26T00:00:00"/>
    <s v="May"/>
    <n v="2022"/>
    <x v="179"/>
    <n v="9"/>
    <s v="4G"/>
  </r>
  <r>
    <n v="11233"/>
    <n v="227"/>
    <d v="2022-02-26T00:00:00"/>
    <s v="February"/>
    <n v="2022"/>
    <x v="146"/>
    <n v="202"/>
    <s v="5G"/>
  </r>
  <r>
    <n v="11234"/>
    <n v="489"/>
    <d v="2023-12-24T00:00:00"/>
    <s v="December"/>
    <n v="2023"/>
    <x v="251"/>
    <n v="195"/>
    <s v="4G"/>
  </r>
  <r>
    <n v="11235"/>
    <n v="443"/>
    <d v="2024-02-19T00:00:00"/>
    <s v="February"/>
    <n v="2024"/>
    <x v="268"/>
    <n v="57"/>
    <s v="4G"/>
  </r>
  <r>
    <n v="11236"/>
    <n v="334"/>
    <d v="2022-07-29T00:00:00"/>
    <s v="July"/>
    <n v="2022"/>
    <x v="537"/>
    <n v="255"/>
    <s v="4G"/>
  </r>
  <r>
    <n v="11237"/>
    <n v="222"/>
    <d v="2023-06-13T00:00:00"/>
    <s v="June"/>
    <n v="2023"/>
    <x v="538"/>
    <n v="222"/>
    <s v="5G"/>
  </r>
  <r>
    <n v="11238"/>
    <n v="41"/>
    <d v="2024-03-08T00:00:00"/>
    <s v="March"/>
    <n v="2024"/>
    <x v="539"/>
    <n v="179"/>
    <s v="4G"/>
  </r>
  <r>
    <n v="11239"/>
    <n v="196"/>
    <d v="2022-12-10T00:00:00"/>
    <s v="December"/>
    <n v="2022"/>
    <x v="43"/>
    <n v="34"/>
    <s v="4G"/>
  </r>
  <r>
    <n v="11240"/>
    <n v="68"/>
    <d v="2023-12-16T00:00:00"/>
    <s v="December"/>
    <n v="2023"/>
    <x v="439"/>
    <n v="102"/>
    <s v="4G"/>
  </r>
  <r>
    <n v="11241"/>
    <n v="476"/>
    <d v="2023-09-03T00:00:00"/>
    <s v="September"/>
    <n v="2023"/>
    <x v="135"/>
    <n v="160"/>
    <s v="4G"/>
  </r>
  <r>
    <n v="11242"/>
    <n v="264"/>
    <d v="2022-10-06T00:00:00"/>
    <s v="October"/>
    <n v="2022"/>
    <x v="362"/>
    <n v="199"/>
    <s v="4G"/>
  </r>
  <r>
    <n v="11243"/>
    <n v="2"/>
    <d v="2022-07-28T00:00:00"/>
    <s v="July"/>
    <n v="2022"/>
    <x v="46"/>
    <n v="159"/>
    <s v="4G"/>
  </r>
  <r>
    <n v="11244"/>
    <n v="361"/>
    <d v="2023-10-03T00:00:00"/>
    <s v="October"/>
    <n v="2023"/>
    <x v="524"/>
    <n v="182"/>
    <s v="4G"/>
  </r>
  <r>
    <n v="11245"/>
    <n v="125"/>
    <d v="2022-12-01T00:00:00"/>
    <s v="December"/>
    <n v="2022"/>
    <x v="380"/>
    <n v="135"/>
    <s v="4G"/>
  </r>
  <r>
    <n v="11246"/>
    <n v="110"/>
    <d v="2022-10-15T00:00:00"/>
    <s v="October"/>
    <n v="2022"/>
    <x v="540"/>
    <n v="225"/>
    <s v="4G"/>
  </r>
  <r>
    <n v="11247"/>
    <n v="86"/>
    <d v="2022-09-09T00:00:00"/>
    <s v="September"/>
    <n v="2022"/>
    <x v="313"/>
    <n v="242"/>
    <s v="4G"/>
  </r>
  <r>
    <n v="11248"/>
    <n v="425"/>
    <d v="2022-09-22T00:00:00"/>
    <s v="September"/>
    <n v="2022"/>
    <x v="85"/>
    <n v="105"/>
    <s v="4G"/>
  </r>
  <r>
    <n v="11249"/>
    <n v="120"/>
    <d v="2022-09-28T00:00:00"/>
    <s v="September"/>
    <n v="2022"/>
    <x v="408"/>
    <n v="70"/>
    <s v="5G"/>
  </r>
  <r>
    <n v="11250"/>
    <n v="127"/>
    <d v="2023-12-01T00:00:00"/>
    <s v="December"/>
    <n v="2023"/>
    <x v="402"/>
    <n v="76"/>
    <s v="5G"/>
  </r>
  <r>
    <n v="11251"/>
    <n v="255"/>
    <d v="2023-02-23T00:00:00"/>
    <s v="February"/>
    <n v="2023"/>
    <x v="137"/>
    <n v="53"/>
    <s v="5G"/>
  </r>
  <r>
    <n v="11252"/>
    <n v="183"/>
    <d v="2023-12-27T00:00:00"/>
    <s v="December"/>
    <n v="2023"/>
    <x v="362"/>
    <n v="276"/>
    <s v="4G"/>
  </r>
  <r>
    <n v="11253"/>
    <n v="16"/>
    <d v="2024-03-05T00:00:00"/>
    <s v="March"/>
    <n v="2024"/>
    <x v="137"/>
    <n v="110"/>
    <s v="4G"/>
  </r>
  <r>
    <n v="11254"/>
    <n v="477"/>
    <d v="2022-07-30T00:00:00"/>
    <s v="July"/>
    <n v="2022"/>
    <x v="189"/>
    <n v="223"/>
    <s v="4G"/>
  </r>
  <r>
    <n v="11255"/>
    <n v="62"/>
    <d v="2022-12-31T00:00:00"/>
    <s v="December"/>
    <n v="2022"/>
    <x v="19"/>
    <n v="74"/>
    <s v="4G"/>
  </r>
  <r>
    <n v="11256"/>
    <n v="369"/>
    <d v="2022-03-17T00:00:00"/>
    <s v="March"/>
    <n v="2022"/>
    <x v="293"/>
    <n v="13"/>
    <s v="4G"/>
  </r>
  <r>
    <n v="11257"/>
    <n v="432"/>
    <d v="2023-10-22T00:00:00"/>
    <s v="October"/>
    <n v="2023"/>
    <x v="135"/>
    <n v="257"/>
    <s v="4G"/>
  </r>
  <r>
    <n v="11258"/>
    <n v="158"/>
    <d v="2022-11-17T00:00:00"/>
    <s v="November"/>
    <n v="2022"/>
    <x v="541"/>
    <n v="188"/>
    <s v="4G"/>
  </r>
  <r>
    <n v="11259"/>
    <n v="268"/>
    <d v="2023-12-26T00:00:00"/>
    <s v="December"/>
    <n v="2023"/>
    <x v="19"/>
    <n v="238"/>
    <s v="4G"/>
  </r>
  <r>
    <n v="11260"/>
    <n v="35"/>
    <d v="2023-03-09T00:00:00"/>
    <s v="March"/>
    <n v="2023"/>
    <x v="320"/>
    <n v="90"/>
    <s v="4G"/>
  </r>
  <r>
    <n v="11261"/>
    <n v="267"/>
    <d v="2022-04-19T00:00:00"/>
    <s v="April"/>
    <n v="2022"/>
    <x v="432"/>
    <n v="183"/>
    <s v="4G"/>
  </r>
  <r>
    <n v="11262"/>
    <n v="64"/>
    <d v="2023-10-03T00:00:00"/>
    <s v="October"/>
    <n v="2023"/>
    <x v="253"/>
    <n v="16"/>
    <s v="4G"/>
  </r>
  <r>
    <n v="11263"/>
    <n v="494"/>
    <d v="2023-06-06T00:00:00"/>
    <s v="June"/>
    <n v="2023"/>
    <x v="542"/>
    <n v="11"/>
    <s v="4G"/>
  </r>
  <r>
    <n v="11264"/>
    <n v="50"/>
    <d v="2022-02-16T00:00:00"/>
    <s v="February"/>
    <n v="2022"/>
    <x v="428"/>
    <n v="165"/>
    <s v="5G"/>
  </r>
  <r>
    <n v="11265"/>
    <n v="469"/>
    <d v="2023-01-14T00:00:00"/>
    <s v="January"/>
    <n v="2023"/>
    <x v="375"/>
    <n v="145"/>
    <s v="4G"/>
  </r>
  <r>
    <n v="11266"/>
    <n v="255"/>
    <d v="2024-04-06T00:00:00"/>
    <s v="April"/>
    <n v="2024"/>
    <x v="91"/>
    <n v="281"/>
    <s v="4G"/>
  </r>
  <r>
    <n v="11267"/>
    <n v="149"/>
    <d v="2022-04-06T00:00:00"/>
    <s v="April"/>
    <n v="2022"/>
    <x v="543"/>
    <n v="36"/>
    <s v="5G"/>
  </r>
  <r>
    <n v="11268"/>
    <n v="325"/>
    <d v="2022-04-13T00:00:00"/>
    <s v="April"/>
    <n v="2022"/>
    <x v="442"/>
    <n v="69"/>
    <s v="4G"/>
  </r>
  <r>
    <n v="11269"/>
    <n v="304"/>
    <d v="2024-06-10T00:00:00"/>
    <s v="June"/>
    <n v="2024"/>
    <x v="117"/>
    <n v="168"/>
    <s v="4G"/>
  </r>
  <r>
    <n v="11270"/>
    <n v="276"/>
    <d v="2024-05-03T00:00:00"/>
    <s v="May"/>
    <n v="2024"/>
    <x v="192"/>
    <n v="169"/>
    <s v="4G"/>
  </r>
  <r>
    <n v="11271"/>
    <n v="357"/>
    <d v="2022-05-26T00:00:00"/>
    <s v="May"/>
    <n v="2022"/>
    <x v="513"/>
    <n v="252"/>
    <s v="4G"/>
  </r>
  <r>
    <n v="11272"/>
    <n v="451"/>
    <d v="2024-05-29T00:00:00"/>
    <s v="May"/>
    <n v="2024"/>
    <x v="270"/>
    <n v="296"/>
    <s v="4G"/>
  </r>
  <r>
    <n v="11273"/>
    <n v="172"/>
    <d v="2022-01-27T00:00:00"/>
    <s v="January"/>
    <n v="2022"/>
    <x v="287"/>
    <n v="141"/>
    <s v="4G"/>
  </r>
  <r>
    <n v="11274"/>
    <n v="417"/>
    <d v="2024-01-02T00:00:00"/>
    <s v="January"/>
    <n v="2024"/>
    <x v="38"/>
    <n v="272"/>
    <s v="4G"/>
  </r>
  <r>
    <n v="11275"/>
    <n v="201"/>
    <d v="2023-06-14T00:00:00"/>
    <s v="June"/>
    <n v="2023"/>
    <x v="411"/>
    <n v="224"/>
    <s v="5G"/>
  </r>
  <r>
    <n v="11276"/>
    <n v="445"/>
    <d v="2023-11-10T00:00:00"/>
    <s v="November"/>
    <n v="2023"/>
    <x v="93"/>
    <n v="182"/>
    <s v="4G"/>
  </r>
  <r>
    <n v="11277"/>
    <n v="393"/>
    <d v="2022-03-23T00:00:00"/>
    <s v="March"/>
    <n v="2022"/>
    <x v="253"/>
    <n v="220"/>
    <s v="4G"/>
  </r>
  <r>
    <n v="11278"/>
    <n v="324"/>
    <d v="2023-03-04T00:00:00"/>
    <s v="March"/>
    <n v="2023"/>
    <x v="1"/>
    <n v="52"/>
    <s v="4G"/>
  </r>
  <r>
    <n v="11279"/>
    <n v="35"/>
    <d v="2023-08-07T00:00:00"/>
    <s v="August"/>
    <n v="2023"/>
    <x v="33"/>
    <n v="117"/>
    <s v="4G"/>
  </r>
  <r>
    <n v="11280"/>
    <n v="465"/>
    <d v="2024-04-01T00:00:00"/>
    <s v="April"/>
    <n v="2024"/>
    <x v="259"/>
    <n v="158"/>
    <s v="5G"/>
  </r>
  <r>
    <n v="11281"/>
    <n v="482"/>
    <d v="2023-04-24T00:00:00"/>
    <s v="April"/>
    <n v="2023"/>
    <x v="544"/>
    <n v="135"/>
    <s v="4G"/>
  </r>
  <r>
    <n v="11282"/>
    <n v="216"/>
    <d v="2024-02-05T00:00:00"/>
    <s v="February"/>
    <n v="2024"/>
    <x v="269"/>
    <n v="76"/>
    <s v="5G"/>
  </r>
  <r>
    <n v="11283"/>
    <n v="480"/>
    <d v="2022-06-11T00:00:00"/>
    <s v="June"/>
    <n v="2022"/>
    <x v="311"/>
    <n v="44"/>
    <s v="4G"/>
  </r>
  <r>
    <n v="11284"/>
    <n v="65"/>
    <d v="2024-04-18T00:00:00"/>
    <s v="April"/>
    <n v="2024"/>
    <x v="545"/>
    <n v="17"/>
    <s v="5G"/>
  </r>
  <r>
    <n v="11285"/>
    <n v="8"/>
    <d v="2023-02-06T00:00:00"/>
    <s v="February"/>
    <n v="2023"/>
    <x v="546"/>
    <n v="204"/>
    <s v="4G"/>
  </r>
  <r>
    <n v="11286"/>
    <n v="301"/>
    <d v="2023-05-23T00:00:00"/>
    <s v="May"/>
    <n v="2023"/>
    <x v="125"/>
    <n v="82"/>
    <s v="4G"/>
  </r>
  <r>
    <n v="11287"/>
    <n v="343"/>
    <d v="2022-02-07T00:00:00"/>
    <s v="February"/>
    <n v="2022"/>
    <x v="547"/>
    <n v="49"/>
    <s v="5G"/>
  </r>
  <r>
    <n v="11288"/>
    <n v="431"/>
    <d v="2023-05-26T00:00:00"/>
    <s v="May"/>
    <n v="2023"/>
    <x v="548"/>
    <n v="280"/>
    <s v="5G"/>
  </r>
  <r>
    <n v="11289"/>
    <n v="424"/>
    <d v="2023-01-28T00:00:00"/>
    <s v="January"/>
    <n v="2023"/>
    <x v="201"/>
    <n v="165"/>
    <s v="4G"/>
  </r>
  <r>
    <n v="11290"/>
    <n v="332"/>
    <d v="2023-12-14T00:00:00"/>
    <s v="December"/>
    <n v="2023"/>
    <x v="282"/>
    <n v="242"/>
    <s v="5G"/>
  </r>
  <r>
    <n v="11291"/>
    <n v="438"/>
    <d v="2023-05-09T00:00:00"/>
    <s v="May"/>
    <n v="2023"/>
    <x v="549"/>
    <n v="163"/>
    <s v="4G"/>
  </r>
  <r>
    <n v="11292"/>
    <n v="76"/>
    <d v="2022-07-19T00:00:00"/>
    <s v="July"/>
    <n v="2022"/>
    <x v="229"/>
    <n v="55"/>
    <s v="4G"/>
  </r>
  <r>
    <n v="11293"/>
    <n v="174"/>
    <d v="2022-09-12T00:00:00"/>
    <s v="September"/>
    <n v="2022"/>
    <x v="343"/>
    <n v="38"/>
    <s v="4G"/>
  </r>
  <r>
    <n v="11294"/>
    <n v="47"/>
    <d v="2022-06-28T00:00:00"/>
    <s v="June"/>
    <n v="2022"/>
    <x v="550"/>
    <n v="127"/>
    <s v="5G"/>
  </r>
  <r>
    <n v="11295"/>
    <n v="15"/>
    <d v="2023-07-01T00:00:00"/>
    <s v="July"/>
    <n v="2023"/>
    <x v="190"/>
    <n v="121"/>
    <s v="5G"/>
  </r>
  <r>
    <n v="11296"/>
    <n v="361"/>
    <d v="2023-08-17T00:00:00"/>
    <s v="August"/>
    <n v="2023"/>
    <x v="438"/>
    <n v="246"/>
    <s v="4G"/>
  </r>
  <r>
    <n v="11297"/>
    <n v="147"/>
    <d v="2023-01-24T00:00:00"/>
    <s v="January"/>
    <n v="2023"/>
    <x v="187"/>
    <n v="185"/>
    <s v="4G"/>
  </r>
  <r>
    <n v="11298"/>
    <n v="26"/>
    <d v="2023-02-02T00:00:00"/>
    <s v="February"/>
    <n v="2023"/>
    <x v="551"/>
    <n v="207"/>
    <s v="4G"/>
  </r>
  <r>
    <n v="11299"/>
    <n v="308"/>
    <d v="2024-01-02T00:00:00"/>
    <s v="January"/>
    <n v="2024"/>
    <x v="351"/>
    <n v="238"/>
    <s v="4G"/>
  </r>
  <r>
    <n v="11300"/>
    <n v="93"/>
    <d v="2022-06-07T00:00:00"/>
    <s v="June"/>
    <n v="2022"/>
    <x v="398"/>
    <n v="214"/>
    <s v="4G"/>
  </r>
  <r>
    <n v="11301"/>
    <n v="406"/>
    <d v="2022-01-04T00:00:00"/>
    <s v="January"/>
    <n v="2022"/>
    <x v="356"/>
    <n v="291"/>
    <s v="4G"/>
  </r>
  <r>
    <n v="11302"/>
    <n v="232"/>
    <d v="2022-06-16T00:00:00"/>
    <s v="June"/>
    <n v="2022"/>
    <x v="114"/>
    <n v="223"/>
    <s v="4G"/>
  </r>
  <r>
    <n v="11303"/>
    <n v="21"/>
    <d v="2023-04-13T00:00:00"/>
    <s v="April"/>
    <n v="2023"/>
    <x v="218"/>
    <n v="87"/>
    <s v="4G"/>
  </r>
  <r>
    <n v="11304"/>
    <n v="307"/>
    <d v="2023-02-13T00:00:00"/>
    <s v="February"/>
    <n v="2023"/>
    <x v="97"/>
    <n v="24"/>
    <s v="4G"/>
  </r>
  <r>
    <n v="11305"/>
    <n v="38"/>
    <d v="2023-02-16T00:00:00"/>
    <s v="February"/>
    <n v="2023"/>
    <x v="100"/>
    <n v="219"/>
    <s v="5G"/>
  </r>
  <r>
    <n v="11306"/>
    <n v="276"/>
    <d v="2022-07-23T00:00:00"/>
    <s v="July"/>
    <n v="2022"/>
    <x v="390"/>
    <n v="274"/>
    <s v="4G"/>
  </r>
  <r>
    <n v="11307"/>
    <n v="157"/>
    <d v="2022-07-13T00:00:00"/>
    <s v="July"/>
    <n v="2022"/>
    <x v="380"/>
    <n v="134"/>
    <s v="4G"/>
  </r>
  <r>
    <n v="11308"/>
    <n v="179"/>
    <d v="2022-08-23T00:00:00"/>
    <s v="August"/>
    <n v="2022"/>
    <x v="57"/>
    <n v="232"/>
    <s v="4G"/>
  </r>
  <r>
    <n v="11309"/>
    <n v="132"/>
    <d v="2023-12-19T00:00:00"/>
    <s v="December"/>
    <n v="2023"/>
    <x v="541"/>
    <n v="65"/>
    <s v="4G"/>
  </r>
  <r>
    <n v="11310"/>
    <n v="311"/>
    <d v="2022-05-30T00:00:00"/>
    <s v="May"/>
    <n v="2022"/>
    <x v="521"/>
    <n v="79"/>
    <s v="4G"/>
  </r>
  <r>
    <n v="11311"/>
    <n v="455"/>
    <d v="2022-06-08T00:00:00"/>
    <s v="June"/>
    <n v="2022"/>
    <x v="552"/>
    <n v="254"/>
    <s v="4G"/>
  </r>
  <r>
    <n v="11312"/>
    <n v="348"/>
    <d v="2022-10-06T00:00:00"/>
    <s v="October"/>
    <n v="2022"/>
    <x v="441"/>
    <n v="124"/>
    <s v="5G"/>
  </r>
  <r>
    <n v="11313"/>
    <n v="28"/>
    <d v="2024-03-26T00:00:00"/>
    <s v="March"/>
    <n v="2024"/>
    <x v="37"/>
    <n v="145"/>
    <s v="4G"/>
  </r>
  <r>
    <n v="11314"/>
    <n v="260"/>
    <d v="2023-02-08T00:00:00"/>
    <s v="February"/>
    <n v="2023"/>
    <x v="29"/>
    <n v="102"/>
    <s v="4G"/>
  </r>
  <r>
    <n v="11315"/>
    <n v="406"/>
    <d v="2024-06-11T00:00:00"/>
    <s v="June"/>
    <n v="2024"/>
    <x v="115"/>
    <n v="276"/>
    <s v="4G"/>
  </r>
  <r>
    <n v="11316"/>
    <n v="76"/>
    <d v="2023-11-09T00:00:00"/>
    <s v="November"/>
    <n v="2023"/>
    <x v="438"/>
    <n v="123"/>
    <s v="4G"/>
  </r>
  <r>
    <n v="11317"/>
    <n v="429"/>
    <d v="2022-11-07T00:00:00"/>
    <s v="November"/>
    <n v="2022"/>
    <x v="263"/>
    <n v="266"/>
    <s v="5G"/>
  </r>
  <r>
    <n v="11318"/>
    <n v="67"/>
    <d v="2022-03-09T00:00:00"/>
    <s v="March"/>
    <n v="2022"/>
    <x v="270"/>
    <n v="277"/>
    <s v="5G"/>
  </r>
  <r>
    <n v="11319"/>
    <n v="342"/>
    <d v="2023-04-08T00:00:00"/>
    <s v="April"/>
    <n v="2023"/>
    <x v="358"/>
    <n v="110"/>
    <s v="4G"/>
  </r>
  <r>
    <n v="11320"/>
    <n v="492"/>
    <d v="2022-03-29T00:00:00"/>
    <s v="March"/>
    <n v="2022"/>
    <x v="550"/>
    <n v="88"/>
    <s v="4G"/>
  </r>
  <r>
    <n v="11321"/>
    <n v="194"/>
    <d v="2022-08-05T00:00:00"/>
    <s v="August"/>
    <n v="2022"/>
    <x v="465"/>
    <n v="157"/>
    <s v="5G"/>
  </r>
  <r>
    <n v="11322"/>
    <n v="472"/>
    <d v="2022-01-01T00:00:00"/>
    <s v="January"/>
    <n v="2022"/>
    <x v="157"/>
    <n v="215"/>
    <s v="4G"/>
  </r>
  <r>
    <n v="11323"/>
    <n v="162"/>
    <d v="2022-05-15T00:00:00"/>
    <s v="May"/>
    <n v="2022"/>
    <x v="104"/>
    <n v="35"/>
    <s v="5G"/>
  </r>
  <r>
    <n v="11324"/>
    <n v="347"/>
    <d v="2023-11-28T00:00:00"/>
    <s v="November"/>
    <n v="2023"/>
    <x v="437"/>
    <n v="86"/>
    <s v="5G"/>
  </r>
  <r>
    <n v="11325"/>
    <n v="439"/>
    <d v="2022-12-17T00:00:00"/>
    <s v="December"/>
    <n v="2022"/>
    <x v="98"/>
    <n v="117"/>
    <s v="4G"/>
  </r>
  <r>
    <n v="11326"/>
    <n v="361"/>
    <d v="2022-05-20T00:00:00"/>
    <s v="May"/>
    <n v="2022"/>
    <x v="86"/>
    <n v="181"/>
    <s v="5G"/>
  </r>
  <r>
    <n v="11327"/>
    <n v="257"/>
    <d v="2023-09-10T00:00:00"/>
    <s v="September"/>
    <n v="2023"/>
    <x v="550"/>
    <n v="67"/>
    <s v="5G"/>
  </r>
  <r>
    <n v="11328"/>
    <n v="72"/>
    <d v="2022-05-13T00:00:00"/>
    <s v="May"/>
    <n v="2022"/>
    <x v="440"/>
    <n v="158"/>
    <s v="5G"/>
  </r>
  <r>
    <n v="11329"/>
    <n v="87"/>
    <d v="2023-09-12T00:00:00"/>
    <s v="September"/>
    <n v="2023"/>
    <x v="362"/>
    <n v="284"/>
    <s v="4G"/>
  </r>
  <r>
    <n v="11330"/>
    <n v="422"/>
    <d v="2022-06-27T00:00:00"/>
    <s v="June"/>
    <n v="2022"/>
    <x v="207"/>
    <n v="163"/>
    <s v="4G"/>
  </r>
  <r>
    <n v="11331"/>
    <n v="262"/>
    <d v="2024-03-20T00:00:00"/>
    <s v="March"/>
    <n v="2024"/>
    <x v="146"/>
    <n v="72"/>
    <s v="4G"/>
  </r>
  <r>
    <n v="11332"/>
    <n v="214"/>
    <d v="2022-12-24T00:00:00"/>
    <s v="December"/>
    <n v="2022"/>
    <x v="553"/>
    <n v="118"/>
    <s v="4G"/>
  </r>
  <r>
    <n v="11333"/>
    <n v="153"/>
    <d v="2023-01-15T00:00:00"/>
    <s v="January"/>
    <n v="2023"/>
    <x v="554"/>
    <n v="194"/>
    <s v="4G"/>
  </r>
  <r>
    <n v="11334"/>
    <n v="210"/>
    <d v="2024-05-20T00:00:00"/>
    <s v="May"/>
    <n v="2024"/>
    <x v="67"/>
    <n v="88"/>
    <s v="4G"/>
  </r>
  <r>
    <n v="11335"/>
    <n v="401"/>
    <d v="2023-10-20T00:00:00"/>
    <s v="October"/>
    <n v="2023"/>
    <x v="555"/>
    <n v="75"/>
    <s v="4G"/>
  </r>
  <r>
    <n v="11336"/>
    <n v="61"/>
    <d v="2023-03-26T00:00:00"/>
    <s v="March"/>
    <n v="2023"/>
    <x v="118"/>
    <n v="220"/>
    <s v="4G"/>
  </r>
  <r>
    <n v="11337"/>
    <n v="268"/>
    <d v="2023-08-09T00:00:00"/>
    <s v="August"/>
    <n v="2023"/>
    <x v="108"/>
    <n v="138"/>
    <s v="4G"/>
  </r>
  <r>
    <n v="11338"/>
    <n v="262"/>
    <d v="2023-04-08T00:00:00"/>
    <s v="April"/>
    <n v="2023"/>
    <x v="108"/>
    <n v="240"/>
    <s v="4G"/>
  </r>
  <r>
    <n v="11339"/>
    <n v="218"/>
    <d v="2022-04-18T00:00:00"/>
    <s v="April"/>
    <n v="2022"/>
    <x v="544"/>
    <n v="153"/>
    <s v="5G"/>
  </r>
  <r>
    <n v="11340"/>
    <n v="283"/>
    <d v="2022-05-02T00:00:00"/>
    <s v="May"/>
    <n v="2022"/>
    <x v="534"/>
    <n v="52"/>
    <s v="4G"/>
  </r>
  <r>
    <n v="11341"/>
    <n v="136"/>
    <d v="2022-01-17T00:00:00"/>
    <s v="January"/>
    <n v="2022"/>
    <x v="82"/>
    <n v="141"/>
    <s v="4G"/>
  </r>
  <r>
    <n v="11342"/>
    <n v="467"/>
    <d v="2022-07-15T00:00:00"/>
    <s v="July"/>
    <n v="2022"/>
    <x v="356"/>
    <n v="30"/>
    <s v="5G"/>
  </r>
  <r>
    <n v="11343"/>
    <n v="380"/>
    <d v="2022-11-23T00:00:00"/>
    <s v="November"/>
    <n v="2022"/>
    <x v="132"/>
    <n v="222"/>
    <s v="4G"/>
  </r>
  <r>
    <n v="11344"/>
    <n v="362"/>
    <d v="2022-11-14T00:00:00"/>
    <s v="November"/>
    <n v="2022"/>
    <x v="369"/>
    <n v="291"/>
    <s v="4G"/>
  </r>
  <r>
    <n v="11345"/>
    <n v="449"/>
    <d v="2024-03-19T00:00:00"/>
    <s v="March"/>
    <n v="2024"/>
    <x v="104"/>
    <n v="265"/>
    <s v="5G"/>
  </r>
  <r>
    <n v="11346"/>
    <n v="441"/>
    <d v="2023-04-24T00:00:00"/>
    <s v="April"/>
    <n v="2023"/>
    <x v="498"/>
    <n v="281"/>
    <s v="5G"/>
  </r>
  <r>
    <n v="11347"/>
    <n v="93"/>
    <d v="2022-09-09T00:00:00"/>
    <s v="September"/>
    <n v="2022"/>
    <x v="53"/>
    <n v="275"/>
    <s v="4G"/>
  </r>
  <r>
    <n v="11348"/>
    <n v="109"/>
    <d v="2023-05-18T00:00:00"/>
    <s v="May"/>
    <n v="2023"/>
    <x v="222"/>
    <n v="43"/>
    <s v="5G"/>
  </r>
  <r>
    <n v="11349"/>
    <n v="241"/>
    <d v="2022-04-29T00:00:00"/>
    <s v="April"/>
    <n v="2022"/>
    <x v="86"/>
    <n v="61"/>
    <s v="5G"/>
  </r>
  <r>
    <n v="11350"/>
    <n v="355"/>
    <d v="2023-11-05T00:00:00"/>
    <s v="November"/>
    <n v="2023"/>
    <x v="45"/>
    <n v="200"/>
    <s v="4G"/>
  </r>
  <r>
    <n v="11351"/>
    <n v="424"/>
    <d v="2023-12-11T00:00:00"/>
    <s v="December"/>
    <n v="2023"/>
    <x v="171"/>
    <n v="8"/>
    <s v="4G"/>
  </r>
  <r>
    <n v="11352"/>
    <n v="142"/>
    <d v="2023-05-13T00:00:00"/>
    <s v="May"/>
    <n v="2023"/>
    <x v="126"/>
    <n v="70"/>
    <s v="4G"/>
  </r>
  <r>
    <n v="11353"/>
    <n v="291"/>
    <d v="2023-05-01T00:00:00"/>
    <s v="May"/>
    <n v="2023"/>
    <x v="339"/>
    <n v="89"/>
    <s v="4G"/>
  </r>
  <r>
    <n v="11354"/>
    <n v="432"/>
    <d v="2022-02-14T00:00:00"/>
    <s v="February"/>
    <n v="2022"/>
    <x v="462"/>
    <n v="23"/>
    <s v="4G"/>
  </r>
  <r>
    <n v="11355"/>
    <n v="237"/>
    <d v="2022-11-10T00:00:00"/>
    <s v="November"/>
    <n v="2022"/>
    <x v="170"/>
    <n v="139"/>
    <s v="5G"/>
  </r>
  <r>
    <n v="11356"/>
    <n v="340"/>
    <d v="2022-06-28T00:00:00"/>
    <s v="June"/>
    <n v="2022"/>
    <x v="212"/>
    <n v="77"/>
    <s v="4G"/>
  </r>
  <r>
    <n v="11357"/>
    <n v="312"/>
    <d v="2024-06-12T00:00:00"/>
    <s v="June"/>
    <n v="2024"/>
    <x v="110"/>
    <n v="213"/>
    <s v="4G"/>
  </r>
  <r>
    <n v="11358"/>
    <n v="177"/>
    <d v="2023-02-22T00:00:00"/>
    <s v="February"/>
    <n v="2023"/>
    <x v="556"/>
    <n v="15"/>
    <s v="4G"/>
  </r>
  <r>
    <n v="11359"/>
    <n v="141"/>
    <d v="2023-07-10T00:00:00"/>
    <s v="July"/>
    <n v="2023"/>
    <x v="362"/>
    <n v="28"/>
    <s v="4G"/>
  </r>
  <r>
    <n v="11360"/>
    <n v="189"/>
    <d v="2024-02-22T00:00:00"/>
    <s v="February"/>
    <n v="2024"/>
    <x v="449"/>
    <n v="290"/>
    <s v="4G"/>
  </r>
  <r>
    <n v="11361"/>
    <n v="486"/>
    <d v="2022-03-19T00:00:00"/>
    <s v="March"/>
    <n v="2022"/>
    <x v="224"/>
    <n v="42"/>
    <s v="4G"/>
  </r>
  <r>
    <n v="11362"/>
    <n v="49"/>
    <d v="2022-11-22T00:00:00"/>
    <s v="November"/>
    <n v="2022"/>
    <x v="557"/>
    <n v="52"/>
    <s v="4G"/>
  </r>
  <r>
    <n v="11363"/>
    <n v="302"/>
    <d v="2023-11-21T00:00:00"/>
    <s v="November"/>
    <n v="2023"/>
    <x v="146"/>
    <n v="275"/>
    <s v="5G"/>
  </r>
  <r>
    <n v="11364"/>
    <n v="369"/>
    <d v="2022-12-23T00:00:00"/>
    <s v="December"/>
    <n v="2022"/>
    <x v="250"/>
    <n v="231"/>
    <s v="4G"/>
  </r>
  <r>
    <n v="11365"/>
    <n v="190"/>
    <d v="2023-02-20T00:00:00"/>
    <s v="February"/>
    <n v="2023"/>
    <x v="500"/>
    <n v="211"/>
    <s v="4G"/>
  </r>
  <r>
    <n v="11366"/>
    <n v="136"/>
    <d v="2023-05-30T00:00:00"/>
    <s v="May"/>
    <n v="2023"/>
    <x v="558"/>
    <n v="7"/>
    <s v="4G"/>
  </r>
  <r>
    <n v="11367"/>
    <n v="43"/>
    <d v="2022-08-02T00:00:00"/>
    <s v="August"/>
    <n v="2022"/>
    <x v="445"/>
    <n v="121"/>
    <s v="4G"/>
  </r>
  <r>
    <n v="11368"/>
    <n v="404"/>
    <d v="2024-05-03T00:00:00"/>
    <s v="May"/>
    <n v="2024"/>
    <x v="390"/>
    <n v="41"/>
    <s v="4G"/>
  </r>
  <r>
    <n v="11369"/>
    <n v="380"/>
    <d v="2022-03-15T00:00:00"/>
    <s v="March"/>
    <n v="2022"/>
    <x v="559"/>
    <n v="232"/>
    <s v="4G"/>
  </r>
  <r>
    <n v="11370"/>
    <n v="353"/>
    <d v="2023-07-17T00:00:00"/>
    <s v="July"/>
    <n v="2023"/>
    <x v="367"/>
    <n v="69"/>
    <s v="5G"/>
  </r>
  <r>
    <n v="11371"/>
    <n v="90"/>
    <d v="2023-08-02T00:00:00"/>
    <s v="August"/>
    <n v="2023"/>
    <x v="186"/>
    <n v="15"/>
    <s v="4G"/>
  </r>
  <r>
    <n v="11372"/>
    <n v="295"/>
    <d v="2023-05-24T00:00:00"/>
    <s v="May"/>
    <n v="2023"/>
    <x v="560"/>
    <n v="68"/>
    <s v="4G"/>
  </r>
  <r>
    <n v="11373"/>
    <n v="341"/>
    <d v="2022-11-28T00:00:00"/>
    <s v="November"/>
    <n v="2022"/>
    <x v="182"/>
    <n v="52"/>
    <s v="4G"/>
  </r>
  <r>
    <n v="11374"/>
    <n v="245"/>
    <d v="2022-04-03T00:00:00"/>
    <s v="April"/>
    <n v="2022"/>
    <x v="561"/>
    <n v="172"/>
    <s v="5G"/>
  </r>
  <r>
    <n v="11375"/>
    <n v="433"/>
    <d v="2023-11-19T00:00:00"/>
    <s v="November"/>
    <n v="2023"/>
    <x v="58"/>
    <n v="261"/>
    <s v="4G"/>
  </r>
  <r>
    <n v="11376"/>
    <n v="192"/>
    <d v="2023-10-19T00:00:00"/>
    <s v="October"/>
    <n v="2023"/>
    <x v="465"/>
    <n v="288"/>
    <s v="5G"/>
  </r>
  <r>
    <n v="11377"/>
    <n v="318"/>
    <d v="2023-06-03T00:00:00"/>
    <s v="June"/>
    <n v="2023"/>
    <x v="465"/>
    <n v="14"/>
    <s v="4G"/>
  </r>
  <r>
    <n v="11378"/>
    <n v="106"/>
    <d v="2022-09-26T00:00:00"/>
    <s v="September"/>
    <n v="2022"/>
    <x v="432"/>
    <n v="269"/>
    <s v="4G"/>
  </r>
  <r>
    <n v="11379"/>
    <n v="363"/>
    <d v="2023-01-11T00:00:00"/>
    <s v="January"/>
    <n v="2023"/>
    <x v="258"/>
    <n v="166"/>
    <s v="5G"/>
  </r>
  <r>
    <n v="11380"/>
    <n v="310"/>
    <d v="2024-04-13T00:00:00"/>
    <s v="April"/>
    <n v="2024"/>
    <x v="63"/>
    <n v="62"/>
    <s v="5G"/>
  </r>
  <r>
    <n v="11381"/>
    <n v="382"/>
    <d v="2022-01-04T00:00:00"/>
    <s v="January"/>
    <n v="2022"/>
    <x v="246"/>
    <n v="260"/>
    <s v="4G"/>
  </r>
  <r>
    <n v="11382"/>
    <n v="233"/>
    <d v="2022-05-18T00:00:00"/>
    <s v="May"/>
    <n v="2022"/>
    <x v="4"/>
    <n v="120"/>
    <s v="4G"/>
  </r>
  <r>
    <n v="11383"/>
    <n v="265"/>
    <d v="2022-08-19T00:00:00"/>
    <s v="August"/>
    <n v="2022"/>
    <x v="24"/>
    <n v="239"/>
    <s v="4G"/>
  </r>
  <r>
    <n v="11384"/>
    <n v="344"/>
    <d v="2023-08-23T00:00:00"/>
    <s v="August"/>
    <n v="2023"/>
    <x v="378"/>
    <n v="106"/>
    <s v="4G"/>
  </r>
  <r>
    <n v="11385"/>
    <n v="37"/>
    <d v="2023-06-13T00:00:00"/>
    <s v="June"/>
    <n v="2023"/>
    <x v="118"/>
    <n v="179"/>
    <s v="5G"/>
  </r>
  <r>
    <n v="11386"/>
    <n v="305"/>
    <d v="2022-02-21T00:00:00"/>
    <s v="February"/>
    <n v="2022"/>
    <x v="193"/>
    <n v="15"/>
    <s v="4G"/>
  </r>
  <r>
    <n v="11387"/>
    <n v="41"/>
    <d v="2023-10-08T00:00:00"/>
    <s v="October"/>
    <n v="2023"/>
    <x v="420"/>
    <n v="214"/>
    <s v="4G"/>
  </r>
  <r>
    <n v="11388"/>
    <n v="17"/>
    <d v="2023-12-24T00:00:00"/>
    <s v="December"/>
    <n v="2023"/>
    <x v="562"/>
    <n v="76"/>
    <s v="5G"/>
  </r>
  <r>
    <n v="11389"/>
    <n v="344"/>
    <d v="2022-11-21T00:00:00"/>
    <s v="November"/>
    <n v="2022"/>
    <x v="411"/>
    <n v="224"/>
    <s v="4G"/>
  </r>
  <r>
    <n v="11390"/>
    <n v="277"/>
    <d v="2024-01-01T00:00:00"/>
    <s v="January"/>
    <n v="2024"/>
    <x v="312"/>
    <n v="92"/>
    <s v="4G"/>
  </r>
  <r>
    <n v="11391"/>
    <n v="307"/>
    <d v="2023-12-18T00:00:00"/>
    <s v="December"/>
    <n v="2023"/>
    <x v="300"/>
    <n v="180"/>
    <s v="5G"/>
  </r>
  <r>
    <n v="11392"/>
    <n v="59"/>
    <d v="2023-12-24T00:00:00"/>
    <s v="December"/>
    <n v="2023"/>
    <x v="9"/>
    <n v="173"/>
    <s v="4G"/>
  </r>
  <r>
    <n v="11393"/>
    <n v="423"/>
    <d v="2022-10-04T00:00:00"/>
    <s v="October"/>
    <n v="2022"/>
    <x v="443"/>
    <n v="218"/>
    <s v="4G"/>
  </r>
  <r>
    <n v="11394"/>
    <n v="183"/>
    <d v="2023-06-20T00:00:00"/>
    <s v="June"/>
    <n v="2023"/>
    <x v="112"/>
    <n v="142"/>
    <s v="4G"/>
  </r>
  <r>
    <n v="11395"/>
    <n v="41"/>
    <d v="2023-05-01T00:00:00"/>
    <s v="May"/>
    <n v="2023"/>
    <x v="182"/>
    <n v="281"/>
    <s v="4G"/>
  </r>
  <r>
    <n v="11396"/>
    <n v="39"/>
    <d v="2023-05-31T00:00:00"/>
    <s v="May"/>
    <n v="2023"/>
    <x v="159"/>
    <n v="258"/>
    <s v="4G"/>
  </r>
  <r>
    <n v="11397"/>
    <n v="397"/>
    <d v="2022-06-01T00:00:00"/>
    <s v="June"/>
    <n v="2022"/>
    <x v="2"/>
    <n v="46"/>
    <s v="4G"/>
  </r>
  <r>
    <n v="11398"/>
    <n v="192"/>
    <d v="2023-04-28T00:00:00"/>
    <s v="April"/>
    <n v="2023"/>
    <x v="273"/>
    <n v="4"/>
    <s v="5G"/>
  </r>
  <r>
    <n v="11399"/>
    <n v="267"/>
    <d v="2022-09-16T00:00:00"/>
    <s v="September"/>
    <n v="2022"/>
    <x v="134"/>
    <n v="61"/>
    <s v="5G"/>
  </r>
  <r>
    <n v="11400"/>
    <n v="494"/>
    <d v="2022-11-20T00:00:00"/>
    <s v="November"/>
    <n v="2022"/>
    <x v="52"/>
    <n v="83"/>
    <s v="5G"/>
  </r>
  <r>
    <n v="11401"/>
    <n v="147"/>
    <d v="2024-05-18T00:00:00"/>
    <s v="May"/>
    <n v="2024"/>
    <x v="169"/>
    <n v="132"/>
    <s v="4G"/>
  </r>
  <r>
    <n v="11402"/>
    <n v="395"/>
    <d v="2022-06-17T00:00:00"/>
    <s v="June"/>
    <n v="2022"/>
    <x v="563"/>
    <n v="62"/>
    <s v="5G"/>
  </r>
  <r>
    <n v="11403"/>
    <n v="333"/>
    <d v="2023-11-19T00:00:00"/>
    <s v="November"/>
    <n v="2023"/>
    <x v="177"/>
    <n v="280"/>
    <s v="4G"/>
  </r>
  <r>
    <n v="11404"/>
    <n v="127"/>
    <d v="2022-11-06T00:00:00"/>
    <s v="November"/>
    <n v="2022"/>
    <x v="461"/>
    <n v="43"/>
    <s v="4G"/>
  </r>
  <r>
    <n v="11405"/>
    <n v="46"/>
    <d v="2024-03-13T00:00:00"/>
    <s v="March"/>
    <n v="2024"/>
    <x v="103"/>
    <n v="152"/>
    <s v="5G"/>
  </r>
  <r>
    <n v="11406"/>
    <n v="45"/>
    <d v="2023-04-24T00:00:00"/>
    <s v="April"/>
    <n v="2023"/>
    <x v="220"/>
    <n v="269"/>
    <s v="4G"/>
  </r>
  <r>
    <n v="11407"/>
    <n v="1"/>
    <d v="2022-02-25T00:00:00"/>
    <s v="February"/>
    <n v="2022"/>
    <x v="564"/>
    <n v="170"/>
    <s v="4G"/>
  </r>
  <r>
    <n v="11408"/>
    <n v="168"/>
    <d v="2023-09-12T00:00:00"/>
    <s v="September"/>
    <n v="2023"/>
    <x v="565"/>
    <n v="155"/>
    <s v="5G"/>
  </r>
  <r>
    <n v="11409"/>
    <n v="108"/>
    <d v="2023-04-18T00:00:00"/>
    <s v="April"/>
    <n v="2023"/>
    <x v="566"/>
    <n v="274"/>
    <s v="4G"/>
  </r>
  <r>
    <n v="11410"/>
    <n v="19"/>
    <d v="2022-10-23T00:00:00"/>
    <s v="October"/>
    <n v="2022"/>
    <x v="179"/>
    <n v="19"/>
    <s v="4G"/>
  </r>
  <r>
    <n v="11411"/>
    <n v="332"/>
    <d v="2023-04-06T00:00:00"/>
    <s v="April"/>
    <n v="2023"/>
    <x v="567"/>
    <n v="213"/>
    <s v="4G"/>
  </r>
  <r>
    <n v="11412"/>
    <n v="72"/>
    <d v="2022-11-20T00:00:00"/>
    <s v="November"/>
    <n v="2022"/>
    <x v="202"/>
    <n v="78"/>
    <s v="5G"/>
  </r>
  <r>
    <n v="11413"/>
    <n v="456"/>
    <d v="2024-03-24T00:00:00"/>
    <s v="March"/>
    <n v="2024"/>
    <x v="425"/>
    <n v="138"/>
    <s v="4G"/>
  </r>
  <r>
    <n v="11414"/>
    <n v="445"/>
    <d v="2024-04-25T00:00:00"/>
    <s v="April"/>
    <n v="2024"/>
    <x v="30"/>
    <n v="97"/>
    <s v="4G"/>
  </r>
  <r>
    <n v="11415"/>
    <n v="109"/>
    <d v="2022-05-21T00:00:00"/>
    <s v="May"/>
    <n v="2022"/>
    <x v="117"/>
    <n v="151"/>
    <s v="4G"/>
  </r>
  <r>
    <n v="11416"/>
    <n v="268"/>
    <d v="2023-10-29T00:00:00"/>
    <s v="October"/>
    <n v="2023"/>
    <x v="568"/>
    <n v="197"/>
    <s v="4G"/>
  </r>
  <r>
    <n v="11417"/>
    <n v="445"/>
    <d v="2022-09-19T00:00:00"/>
    <s v="September"/>
    <n v="2022"/>
    <x v="569"/>
    <n v="272"/>
    <s v="5G"/>
  </r>
  <r>
    <n v="11418"/>
    <n v="240"/>
    <d v="2024-02-24T00:00:00"/>
    <s v="February"/>
    <n v="2024"/>
    <x v="570"/>
    <n v="155"/>
    <s v="4G"/>
  </r>
  <r>
    <n v="11419"/>
    <n v="417"/>
    <d v="2023-02-24T00:00:00"/>
    <s v="February"/>
    <n v="2023"/>
    <x v="366"/>
    <n v="49"/>
    <s v="4G"/>
  </r>
  <r>
    <n v="11420"/>
    <n v="301"/>
    <d v="2024-01-14T00:00:00"/>
    <s v="January"/>
    <n v="2024"/>
    <x v="54"/>
    <n v="227"/>
    <s v="4G"/>
  </r>
  <r>
    <n v="11421"/>
    <n v="90"/>
    <d v="2022-08-29T00:00:00"/>
    <s v="August"/>
    <n v="2022"/>
    <x v="24"/>
    <n v="9"/>
    <s v="5G"/>
  </r>
  <r>
    <n v="11422"/>
    <n v="103"/>
    <d v="2022-12-21T00:00:00"/>
    <s v="December"/>
    <n v="2022"/>
    <x v="229"/>
    <n v="148"/>
    <s v="4G"/>
  </r>
  <r>
    <n v="11423"/>
    <n v="476"/>
    <d v="2024-04-28T00:00:00"/>
    <s v="April"/>
    <n v="2024"/>
    <x v="58"/>
    <n v="57"/>
    <s v="4G"/>
  </r>
  <r>
    <n v="11424"/>
    <n v="250"/>
    <d v="2024-02-09T00:00:00"/>
    <s v="February"/>
    <n v="2024"/>
    <x v="161"/>
    <n v="161"/>
    <s v="4G"/>
  </r>
  <r>
    <n v="11425"/>
    <n v="453"/>
    <d v="2024-01-31T00:00:00"/>
    <s v="January"/>
    <n v="2024"/>
    <x v="317"/>
    <n v="106"/>
    <s v="4G"/>
  </r>
  <r>
    <n v="11426"/>
    <n v="8"/>
    <d v="2023-08-12T00:00:00"/>
    <s v="August"/>
    <n v="2023"/>
    <x v="525"/>
    <n v="288"/>
    <s v="5G"/>
  </r>
  <r>
    <n v="11427"/>
    <n v="153"/>
    <d v="2022-06-29T00:00:00"/>
    <s v="June"/>
    <n v="2022"/>
    <x v="158"/>
    <n v="185"/>
    <s v="5G"/>
  </r>
  <r>
    <n v="11428"/>
    <n v="347"/>
    <d v="2022-03-07T00:00:00"/>
    <s v="March"/>
    <n v="2022"/>
    <x v="254"/>
    <n v="45"/>
    <s v="5G"/>
  </r>
  <r>
    <n v="11429"/>
    <n v="174"/>
    <d v="2024-03-30T00:00:00"/>
    <s v="March"/>
    <n v="2024"/>
    <x v="182"/>
    <n v="128"/>
    <s v="5G"/>
  </r>
  <r>
    <n v="11430"/>
    <n v="343"/>
    <d v="2022-12-14T00:00:00"/>
    <s v="December"/>
    <n v="2022"/>
    <x v="135"/>
    <n v="86"/>
    <s v="5G"/>
  </r>
  <r>
    <n v="11431"/>
    <n v="158"/>
    <d v="2022-06-20T00:00:00"/>
    <s v="June"/>
    <n v="2022"/>
    <x v="99"/>
    <n v="248"/>
    <s v="4G"/>
  </r>
  <r>
    <n v="11432"/>
    <n v="493"/>
    <d v="2023-04-19T00:00:00"/>
    <s v="April"/>
    <n v="2023"/>
    <x v="520"/>
    <n v="256"/>
    <s v="5G"/>
  </r>
  <r>
    <n v="11433"/>
    <n v="431"/>
    <d v="2023-06-18T00:00:00"/>
    <s v="June"/>
    <n v="2023"/>
    <x v="420"/>
    <n v="276"/>
    <s v="4G"/>
  </r>
  <r>
    <n v="11434"/>
    <n v="215"/>
    <d v="2023-01-02T00:00:00"/>
    <s v="January"/>
    <n v="2023"/>
    <x v="343"/>
    <n v="277"/>
    <s v="4G"/>
  </r>
  <r>
    <n v="11435"/>
    <n v="177"/>
    <d v="2022-04-17T00:00:00"/>
    <s v="April"/>
    <n v="2022"/>
    <x v="191"/>
    <n v="3"/>
    <s v="4G"/>
  </r>
  <r>
    <n v="11436"/>
    <n v="175"/>
    <d v="2023-03-15T00:00:00"/>
    <s v="March"/>
    <n v="2023"/>
    <x v="217"/>
    <n v="64"/>
    <s v="5G"/>
  </r>
  <r>
    <n v="11437"/>
    <n v="340"/>
    <d v="2024-04-14T00:00:00"/>
    <s v="April"/>
    <n v="2024"/>
    <x v="202"/>
    <n v="201"/>
    <s v="4G"/>
  </r>
  <r>
    <n v="11438"/>
    <n v="338"/>
    <d v="2022-08-15T00:00:00"/>
    <s v="August"/>
    <n v="2022"/>
    <x v="46"/>
    <n v="62"/>
    <s v="5G"/>
  </r>
  <r>
    <n v="11439"/>
    <n v="146"/>
    <d v="2023-03-20T00:00:00"/>
    <s v="March"/>
    <n v="2023"/>
    <x v="375"/>
    <n v="142"/>
    <s v="4G"/>
  </r>
  <r>
    <n v="11440"/>
    <n v="450"/>
    <d v="2023-03-18T00:00:00"/>
    <s v="March"/>
    <n v="2023"/>
    <x v="571"/>
    <n v="243"/>
    <s v="4G"/>
  </r>
  <r>
    <n v="11441"/>
    <n v="324"/>
    <d v="2023-01-31T00:00:00"/>
    <s v="January"/>
    <n v="2023"/>
    <x v="23"/>
    <n v="291"/>
    <s v="4G"/>
  </r>
  <r>
    <n v="11442"/>
    <n v="478"/>
    <d v="2023-12-29T00:00:00"/>
    <s v="December"/>
    <n v="2023"/>
    <x v="224"/>
    <n v="284"/>
    <s v="4G"/>
  </r>
  <r>
    <n v="11443"/>
    <n v="161"/>
    <d v="2023-08-04T00:00:00"/>
    <s v="August"/>
    <n v="2023"/>
    <x v="461"/>
    <n v="179"/>
    <s v="4G"/>
  </r>
  <r>
    <n v="11444"/>
    <n v="127"/>
    <d v="2022-03-25T00:00:00"/>
    <s v="March"/>
    <n v="2022"/>
    <x v="293"/>
    <n v="173"/>
    <s v="4G"/>
  </r>
  <r>
    <n v="11445"/>
    <n v="420"/>
    <d v="2023-09-07T00:00:00"/>
    <s v="September"/>
    <n v="2023"/>
    <x v="572"/>
    <n v="110"/>
    <s v="5G"/>
  </r>
  <r>
    <n v="11446"/>
    <n v="82"/>
    <d v="2023-07-05T00:00:00"/>
    <s v="July"/>
    <n v="2023"/>
    <x v="118"/>
    <n v="174"/>
    <s v="4G"/>
  </r>
  <r>
    <n v="11447"/>
    <n v="485"/>
    <d v="2022-01-13T00:00:00"/>
    <s v="January"/>
    <n v="2022"/>
    <x v="202"/>
    <n v="152"/>
    <s v="4G"/>
  </r>
  <r>
    <n v="11448"/>
    <n v="147"/>
    <d v="2024-03-19T00:00:00"/>
    <s v="March"/>
    <n v="2024"/>
    <x v="244"/>
    <n v="216"/>
    <s v="4G"/>
  </r>
  <r>
    <n v="11449"/>
    <n v="239"/>
    <d v="2024-04-04T00:00:00"/>
    <s v="April"/>
    <n v="2024"/>
    <x v="17"/>
    <n v="296"/>
    <s v="4G"/>
  </r>
  <r>
    <n v="11450"/>
    <n v="412"/>
    <d v="2023-11-24T00:00:00"/>
    <s v="November"/>
    <n v="2023"/>
    <x v="77"/>
    <n v="239"/>
    <s v="4G"/>
  </r>
  <r>
    <n v="11451"/>
    <n v="424"/>
    <d v="2023-05-08T00:00:00"/>
    <s v="May"/>
    <n v="2023"/>
    <x v="351"/>
    <n v="225"/>
    <s v="4G"/>
  </r>
  <r>
    <n v="11452"/>
    <n v="84"/>
    <d v="2022-09-25T00:00:00"/>
    <s v="September"/>
    <n v="2022"/>
    <x v="573"/>
    <n v="185"/>
    <s v="4G"/>
  </r>
  <r>
    <n v="11453"/>
    <n v="113"/>
    <d v="2023-06-09T00:00:00"/>
    <s v="June"/>
    <n v="2023"/>
    <x v="34"/>
    <n v="47"/>
    <s v="4G"/>
  </r>
  <r>
    <n v="11454"/>
    <n v="225"/>
    <d v="2022-04-30T00:00:00"/>
    <s v="April"/>
    <n v="2022"/>
    <x v="438"/>
    <n v="207"/>
    <s v="5G"/>
  </r>
  <r>
    <n v="11455"/>
    <n v="332"/>
    <d v="2022-12-19T00:00:00"/>
    <s v="December"/>
    <n v="2022"/>
    <x v="532"/>
    <n v="156"/>
    <s v="5G"/>
  </r>
  <r>
    <n v="11456"/>
    <n v="378"/>
    <d v="2022-02-26T00:00:00"/>
    <s v="February"/>
    <n v="2022"/>
    <x v="158"/>
    <n v="224"/>
    <s v="4G"/>
  </r>
  <r>
    <n v="11457"/>
    <n v="243"/>
    <d v="2022-02-09T00:00:00"/>
    <s v="February"/>
    <n v="2022"/>
    <x v="182"/>
    <n v="143"/>
    <s v="4G"/>
  </r>
  <r>
    <n v="11458"/>
    <n v="143"/>
    <d v="2024-06-04T00:00:00"/>
    <s v="June"/>
    <n v="2024"/>
    <x v="212"/>
    <n v="110"/>
    <s v="4G"/>
  </r>
  <r>
    <n v="11459"/>
    <n v="41"/>
    <d v="2022-12-02T00:00:00"/>
    <s v="December"/>
    <n v="2022"/>
    <x v="286"/>
    <n v="131"/>
    <s v="4G"/>
  </r>
  <r>
    <n v="11460"/>
    <n v="423"/>
    <d v="2023-10-02T00:00:00"/>
    <s v="October"/>
    <n v="2023"/>
    <x v="487"/>
    <n v="112"/>
    <s v="5G"/>
  </r>
  <r>
    <n v="11461"/>
    <n v="258"/>
    <d v="2022-06-22T00:00:00"/>
    <s v="June"/>
    <n v="2022"/>
    <x v="74"/>
    <n v="88"/>
    <s v="4G"/>
  </r>
  <r>
    <n v="11462"/>
    <n v="447"/>
    <d v="2023-07-01T00:00:00"/>
    <s v="July"/>
    <n v="2023"/>
    <x v="84"/>
    <n v="160"/>
    <s v="4G"/>
  </r>
  <r>
    <n v="11463"/>
    <n v="285"/>
    <d v="2022-09-16T00:00:00"/>
    <s v="September"/>
    <n v="2022"/>
    <x v="167"/>
    <n v="74"/>
    <s v="4G"/>
  </r>
  <r>
    <n v="11464"/>
    <n v="105"/>
    <d v="2024-06-06T00:00:00"/>
    <s v="June"/>
    <n v="2024"/>
    <x v="574"/>
    <n v="280"/>
    <s v="5G"/>
  </r>
  <r>
    <n v="11465"/>
    <n v="202"/>
    <d v="2023-06-01T00:00:00"/>
    <s v="June"/>
    <n v="2023"/>
    <x v="339"/>
    <n v="6"/>
    <s v="5G"/>
  </r>
  <r>
    <n v="11466"/>
    <n v="450"/>
    <d v="2023-12-31T00:00:00"/>
    <s v="December"/>
    <n v="2023"/>
    <x v="178"/>
    <n v="112"/>
    <s v="5G"/>
  </r>
  <r>
    <n v="11467"/>
    <n v="307"/>
    <d v="2023-06-07T00:00:00"/>
    <s v="June"/>
    <n v="2023"/>
    <x v="544"/>
    <n v="35"/>
    <s v="4G"/>
  </r>
  <r>
    <n v="11468"/>
    <n v="331"/>
    <d v="2024-06-12T00:00:00"/>
    <s v="June"/>
    <n v="2024"/>
    <x v="575"/>
    <n v="265"/>
    <s v="4G"/>
  </r>
  <r>
    <n v="11469"/>
    <n v="461"/>
    <d v="2024-04-18T00:00:00"/>
    <s v="April"/>
    <n v="2024"/>
    <x v="107"/>
    <n v="112"/>
    <s v="4G"/>
  </r>
  <r>
    <n v="11470"/>
    <n v="266"/>
    <d v="2022-04-27T00:00:00"/>
    <s v="April"/>
    <n v="2022"/>
    <x v="576"/>
    <n v="291"/>
    <s v="4G"/>
  </r>
  <r>
    <n v="11471"/>
    <n v="398"/>
    <d v="2022-07-03T00:00:00"/>
    <s v="July"/>
    <n v="2022"/>
    <x v="558"/>
    <n v="222"/>
    <s v="4G"/>
  </r>
  <r>
    <n v="11472"/>
    <n v="210"/>
    <d v="2024-05-23T00:00:00"/>
    <s v="May"/>
    <n v="2024"/>
    <x v="438"/>
    <n v="210"/>
    <s v="4G"/>
  </r>
  <r>
    <n v="11473"/>
    <n v="51"/>
    <d v="2022-04-26T00:00:00"/>
    <s v="April"/>
    <n v="2022"/>
    <x v="577"/>
    <n v="17"/>
    <s v="4G"/>
  </r>
  <r>
    <n v="11474"/>
    <n v="118"/>
    <d v="2022-06-11T00:00:00"/>
    <s v="June"/>
    <n v="2022"/>
    <x v="99"/>
    <n v="240"/>
    <s v="5G"/>
  </r>
  <r>
    <n v="11475"/>
    <n v="201"/>
    <d v="2023-08-02T00:00:00"/>
    <s v="August"/>
    <n v="2023"/>
    <x v="384"/>
    <n v="133"/>
    <s v="4G"/>
  </r>
  <r>
    <n v="11476"/>
    <n v="377"/>
    <d v="2023-12-13T00:00:00"/>
    <s v="December"/>
    <n v="2023"/>
    <x v="266"/>
    <n v="219"/>
    <s v="4G"/>
  </r>
  <r>
    <n v="11477"/>
    <n v="39"/>
    <d v="2023-06-27T00:00:00"/>
    <s v="June"/>
    <n v="2023"/>
    <x v="38"/>
    <n v="101"/>
    <s v="4G"/>
  </r>
  <r>
    <n v="11478"/>
    <n v="28"/>
    <d v="2023-08-10T00:00:00"/>
    <s v="August"/>
    <n v="2023"/>
    <x v="535"/>
    <n v="139"/>
    <s v="4G"/>
  </r>
  <r>
    <n v="11479"/>
    <n v="259"/>
    <d v="2022-08-25T00:00:00"/>
    <s v="August"/>
    <n v="2022"/>
    <x v="578"/>
    <n v="168"/>
    <s v="4G"/>
  </r>
  <r>
    <n v="11480"/>
    <n v="84"/>
    <d v="2024-04-18T00:00:00"/>
    <s v="April"/>
    <n v="2024"/>
    <x v="357"/>
    <n v="190"/>
    <s v="4G"/>
  </r>
  <r>
    <n v="11481"/>
    <n v="454"/>
    <d v="2022-03-07T00:00:00"/>
    <s v="March"/>
    <n v="2022"/>
    <x v="322"/>
    <n v="24"/>
    <s v="4G"/>
  </r>
  <r>
    <n v="11482"/>
    <n v="155"/>
    <d v="2022-03-11T00:00:00"/>
    <s v="March"/>
    <n v="2022"/>
    <x v="182"/>
    <n v="32"/>
    <s v="4G"/>
  </r>
  <r>
    <n v="11483"/>
    <n v="117"/>
    <d v="2024-03-19T00:00:00"/>
    <s v="March"/>
    <n v="2024"/>
    <x v="334"/>
    <n v="5"/>
    <s v="4G"/>
  </r>
  <r>
    <n v="11484"/>
    <n v="2"/>
    <d v="2023-03-23T00:00:00"/>
    <s v="March"/>
    <n v="2023"/>
    <x v="343"/>
    <n v="193"/>
    <s v="4G"/>
  </r>
  <r>
    <n v="11485"/>
    <n v="93"/>
    <d v="2023-02-20T00:00:00"/>
    <s v="February"/>
    <n v="2023"/>
    <x v="212"/>
    <n v="229"/>
    <s v="4G"/>
  </r>
  <r>
    <n v="11486"/>
    <n v="166"/>
    <d v="2023-06-16T00:00:00"/>
    <s v="June"/>
    <n v="2023"/>
    <x v="116"/>
    <n v="136"/>
    <s v="4G"/>
  </r>
  <r>
    <n v="11487"/>
    <n v="387"/>
    <d v="2023-03-17T00:00:00"/>
    <s v="March"/>
    <n v="2023"/>
    <x v="24"/>
    <n v="215"/>
    <s v="4G"/>
  </r>
  <r>
    <n v="11488"/>
    <n v="400"/>
    <d v="2024-01-08T00:00:00"/>
    <s v="January"/>
    <n v="2024"/>
    <x v="372"/>
    <n v="182"/>
    <s v="5G"/>
  </r>
  <r>
    <n v="11489"/>
    <n v="350"/>
    <d v="2023-04-09T00:00:00"/>
    <s v="April"/>
    <n v="2023"/>
    <x v="357"/>
    <n v="167"/>
    <s v="4G"/>
  </r>
  <r>
    <n v="11490"/>
    <n v="296"/>
    <d v="2023-01-31T00:00:00"/>
    <s v="January"/>
    <n v="2023"/>
    <x v="315"/>
    <n v="281"/>
    <s v="4G"/>
  </r>
  <r>
    <n v="11491"/>
    <n v="258"/>
    <d v="2023-12-12T00:00:00"/>
    <s v="December"/>
    <n v="2023"/>
    <x v="579"/>
    <n v="37"/>
    <s v="5G"/>
  </r>
  <r>
    <n v="11492"/>
    <n v="81"/>
    <d v="2023-07-05T00:00:00"/>
    <s v="July"/>
    <n v="2023"/>
    <x v="60"/>
    <n v="162"/>
    <s v="5G"/>
  </r>
  <r>
    <n v="11493"/>
    <n v="425"/>
    <d v="2023-10-19T00:00:00"/>
    <s v="October"/>
    <n v="2023"/>
    <x v="580"/>
    <n v="141"/>
    <s v="5G"/>
  </r>
  <r>
    <n v="11494"/>
    <n v="268"/>
    <d v="2023-07-11T00:00:00"/>
    <s v="July"/>
    <n v="2023"/>
    <x v="13"/>
    <n v="247"/>
    <s v="4G"/>
  </r>
  <r>
    <n v="11495"/>
    <n v="419"/>
    <d v="2023-01-30T00:00:00"/>
    <s v="January"/>
    <n v="2023"/>
    <x v="105"/>
    <n v="102"/>
    <s v="4G"/>
  </r>
  <r>
    <n v="11496"/>
    <n v="235"/>
    <d v="2022-11-22T00:00:00"/>
    <s v="November"/>
    <n v="2022"/>
    <x v="80"/>
    <n v="198"/>
    <s v="4G"/>
  </r>
  <r>
    <n v="11497"/>
    <n v="321"/>
    <d v="2024-06-11T00:00:00"/>
    <s v="June"/>
    <n v="2024"/>
    <x v="581"/>
    <n v="199"/>
    <s v="4G"/>
  </r>
  <r>
    <n v="11498"/>
    <n v="311"/>
    <d v="2022-04-01T00:00:00"/>
    <s v="April"/>
    <n v="2022"/>
    <x v="24"/>
    <n v="41"/>
    <s v="5G"/>
  </r>
  <r>
    <n v="11499"/>
    <n v="301"/>
    <d v="2024-01-20T00:00:00"/>
    <s v="January"/>
    <n v="2024"/>
    <x v="380"/>
    <n v="146"/>
    <s v="4G"/>
  </r>
  <r>
    <n v="11500"/>
    <n v="463"/>
    <d v="2022-03-11T00:00:00"/>
    <s v="March"/>
    <n v="2022"/>
    <x v="433"/>
    <n v="65"/>
    <s v="5G"/>
  </r>
  <r>
    <n v="11501"/>
    <n v="474"/>
    <d v="2022-06-15T00:00:00"/>
    <s v="June"/>
    <n v="2022"/>
    <x v="415"/>
    <n v="192"/>
    <s v="4G"/>
  </r>
  <r>
    <n v="11502"/>
    <n v="357"/>
    <d v="2023-10-04T00:00:00"/>
    <s v="October"/>
    <n v="2023"/>
    <x v="582"/>
    <n v="297"/>
    <s v="4G"/>
  </r>
  <r>
    <n v="11503"/>
    <n v="213"/>
    <d v="2022-08-02T00:00:00"/>
    <s v="August"/>
    <n v="2022"/>
    <x v="178"/>
    <n v="37"/>
    <s v="5G"/>
  </r>
  <r>
    <n v="11504"/>
    <n v="62"/>
    <d v="2024-05-01T00:00:00"/>
    <s v="May"/>
    <n v="2024"/>
    <x v="425"/>
    <n v="140"/>
    <s v="5G"/>
  </r>
  <r>
    <n v="11505"/>
    <n v="49"/>
    <d v="2023-08-24T00:00:00"/>
    <s v="August"/>
    <n v="2023"/>
    <x v="86"/>
    <n v="105"/>
    <s v="5G"/>
  </r>
  <r>
    <n v="11506"/>
    <n v="127"/>
    <d v="2022-12-01T00:00:00"/>
    <s v="December"/>
    <n v="2022"/>
    <x v="118"/>
    <n v="151"/>
    <s v="5G"/>
  </r>
  <r>
    <n v="11507"/>
    <n v="223"/>
    <d v="2024-02-03T00:00:00"/>
    <s v="February"/>
    <n v="2024"/>
    <x v="457"/>
    <n v="37"/>
    <s v="4G"/>
  </r>
  <r>
    <n v="11508"/>
    <n v="409"/>
    <d v="2023-01-04T00:00:00"/>
    <s v="January"/>
    <n v="2023"/>
    <x v="204"/>
    <n v="96"/>
    <s v="4G"/>
  </r>
  <r>
    <n v="11509"/>
    <n v="279"/>
    <d v="2024-05-10T00:00:00"/>
    <s v="May"/>
    <n v="2024"/>
    <x v="575"/>
    <n v="107"/>
    <s v="5G"/>
  </r>
  <r>
    <n v="11510"/>
    <n v="408"/>
    <d v="2023-08-07T00:00:00"/>
    <s v="August"/>
    <n v="2023"/>
    <x v="46"/>
    <n v="118"/>
    <s v="4G"/>
  </r>
  <r>
    <n v="11511"/>
    <n v="294"/>
    <d v="2023-11-08T00:00:00"/>
    <s v="November"/>
    <n v="2023"/>
    <x v="583"/>
    <n v="150"/>
    <s v="4G"/>
  </r>
  <r>
    <n v="11512"/>
    <n v="284"/>
    <d v="2022-02-18T00:00:00"/>
    <s v="February"/>
    <n v="2022"/>
    <x v="94"/>
    <n v="73"/>
    <s v="4G"/>
  </r>
  <r>
    <n v="11513"/>
    <n v="277"/>
    <d v="2022-02-21T00:00:00"/>
    <s v="February"/>
    <n v="2022"/>
    <x v="88"/>
    <n v="56"/>
    <s v="4G"/>
  </r>
  <r>
    <n v="11514"/>
    <n v="438"/>
    <d v="2022-10-16T00:00:00"/>
    <s v="October"/>
    <n v="2022"/>
    <x v="73"/>
    <n v="251"/>
    <s v="4G"/>
  </r>
  <r>
    <n v="11515"/>
    <n v="107"/>
    <d v="2024-02-29T00:00:00"/>
    <s v="February"/>
    <n v="2024"/>
    <x v="29"/>
    <n v="291"/>
    <s v="5G"/>
  </r>
  <r>
    <n v="11516"/>
    <n v="146"/>
    <d v="2023-09-18T00:00:00"/>
    <s v="September"/>
    <n v="2023"/>
    <x v="273"/>
    <n v="254"/>
    <s v="4G"/>
  </r>
  <r>
    <n v="11517"/>
    <n v="420"/>
    <d v="2022-08-27T00:00:00"/>
    <s v="August"/>
    <n v="2022"/>
    <x v="192"/>
    <n v="253"/>
    <s v="4G"/>
  </r>
  <r>
    <n v="11518"/>
    <n v="99"/>
    <d v="2022-05-13T00:00:00"/>
    <s v="May"/>
    <n v="2022"/>
    <x v="485"/>
    <n v="258"/>
    <s v="5G"/>
  </r>
  <r>
    <n v="11519"/>
    <n v="429"/>
    <d v="2024-02-25T00:00:00"/>
    <s v="February"/>
    <n v="2024"/>
    <x v="47"/>
    <n v="269"/>
    <s v="4G"/>
  </r>
  <r>
    <n v="11520"/>
    <n v="375"/>
    <d v="2022-06-15T00:00:00"/>
    <s v="June"/>
    <n v="2022"/>
    <x v="29"/>
    <n v="33"/>
    <s v="5G"/>
  </r>
  <r>
    <n v="11521"/>
    <n v="73"/>
    <d v="2023-01-09T00:00:00"/>
    <s v="January"/>
    <n v="2023"/>
    <x v="278"/>
    <n v="237"/>
    <s v="4G"/>
  </r>
  <r>
    <n v="11522"/>
    <n v="437"/>
    <d v="2023-01-08T00:00:00"/>
    <s v="January"/>
    <n v="2023"/>
    <x v="330"/>
    <n v="178"/>
    <s v="5G"/>
  </r>
  <r>
    <n v="11523"/>
    <n v="486"/>
    <d v="2024-03-15T00:00:00"/>
    <s v="March"/>
    <n v="2024"/>
    <x v="474"/>
    <n v="103"/>
    <s v="4G"/>
  </r>
  <r>
    <n v="11524"/>
    <n v="122"/>
    <d v="2023-04-23T00:00:00"/>
    <s v="April"/>
    <n v="2023"/>
    <x v="372"/>
    <n v="28"/>
    <s v="4G"/>
  </r>
  <r>
    <n v="11525"/>
    <n v="30"/>
    <d v="2024-01-25T00:00:00"/>
    <s v="January"/>
    <n v="2024"/>
    <x v="221"/>
    <n v="226"/>
    <s v="5G"/>
  </r>
  <r>
    <n v="11526"/>
    <n v="188"/>
    <d v="2023-04-24T00:00:00"/>
    <s v="April"/>
    <n v="2023"/>
    <x v="584"/>
    <n v="231"/>
    <s v="5G"/>
  </r>
  <r>
    <n v="11527"/>
    <n v="364"/>
    <d v="2024-04-11T00:00:00"/>
    <s v="April"/>
    <n v="2024"/>
    <x v="317"/>
    <n v="116"/>
    <s v="4G"/>
  </r>
  <r>
    <n v="11528"/>
    <n v="354"/>
    <d v="2023-10-12T00:00:00"/>
    <s v="October"/>
    <n v="2023"/>
    <x v="91"/>
    <n v="206"/>
    <s v="5G"/>
  </r>
  <r>
    <n v="11529"/>
    <n v="288"/>
    <d v="2023-08-14T00:00:00"/>
    <s v="August"/>
    <n v="2023"/>
    <x v="321"/>
    <n v="184"/>
    <s v="4G"/>
  </r>
  <r>
    <n v="11530"/>
    <n v="451"/>
    <d v="2023-11-13T00:00:00"/>
    <s v="November"/>
    <n v="2023"/>
    <x v="389"/>
    <n v="137"/>
    <s v="5G"/>
  </r>
  <r>
    <n v="11531"/>
    <n v="195"/>
    <d v="2023-09-27T00:00:00"/>
    <s v="September"/>
    <n v="2023"/>
    <x v="585"/>
    <n v="163"/>
    <s v="4G"/>
  </r>
  <r>
    <n v="11532"/>
    <n v="156"/>
    <d v="2023-11-19T00:00:00"/>
    <s v="November"/>
    <n v="2023"/>
    <x v="171"/>
    <n v="74"/>
    <s v="4G"/>
  </r>
  <r>
    <n v="11533"/>
    <n v="172"/>
    <d v="2022-10-27T00:00:00"/>
    <s v="October"/>
    <n v="2022"/>
    <x v="64"/>
    <n v="232"/>
    <s v="4G"/>
  </r>
  <r>
    <n v="11534"/>
    <n v="335"/>
    <d v="2022-03-23T00:00:00"/>
    <s v="March"/>
    <n v="2022"/>
    <x v="515"/>
    <n v="283"/>
    <s v="4G"/>
  </r>
  <r>
    <n v="11535"/>
    <n v="41"/>
    <d v="2022-03-28T00:00:00"/>
    <s v="March"/>
    <n v="2022"/>
    <x v="74"/>
    <n v="254"/>
    <s v="4G"/>
  </r>
  <r>
    <n v="11536"/>
    <n v="63"/>
    <d v="2022-08-13T00:00:00"/>
    <s v="August"/>
    <n v="2022"/>
    <x v="379"/>
    <n v="8"/>
    <s v="4G"/>
  </r>
  <r>
    <n v="11537"/>
    <n v="23"/>
    <d v="2022-01-16T00:00:00"/>
    <s v="January"/>
    <n v="2022"/>
    <x v="98"/>
    <n v="202"/>
    <s v="4G"/>
  </r>
  <r>
    <n v="11538"/>
    <n v="360"/>
    <d v="2024-04-01T00:00:00"/>
    <s v="April"/>
    <n v="2024"/>
    <x v="368"/>
    <n v="90"/>
    <s v="4G"/>
  </r>
  <r>
    <n v="11539"/>
    <n v="75"/>
    <d v="2022-12-24T00:00:00"/>
    <s v="December"/>
    <n v="2022"/>
    <x v="169"/>
    <n v="149"/>
    <s v="4G"/>
  </r>
  <r>
    <n v="11540"/>
    <n v="48"/>
    <d v="2022-06-12T00:00:00"/>
    <s v="June"/>
    <n v="2022"/>
    <x v="56"/>
    <n v="175"/>
    <s v="5G"/>
  </r>
  <r>
    <n v="11541"/>
    <n v="160"/>
    <d v="2023-09-02T00:00:00"/>
    <s v="September"/>
    <n v="2023"/>
    <x v="173"/>
    <n v="32"/>
    <s v="4G"/>
  </r>
  <r>
    <n v="11542"/>
    <n v="313"/>
    <d v="2023-10-30T00:00:00"/>
    <s v="October"/>
    <n v="2023"/>
    <x v="177"/>
    <n v="183"/>
    <s v="5G"/>
  </r>
  <r>
    <n v="11543"/>
    <n v="118"/>
    <d v="2023-05-29T00:00:00"/>
    <s v="May"/>
    <n v="2023"/>
    <x v="323"/>
    <n v="156"/>
    <s v="5G"/>
  </r>
  <r>
    <n v="11544"/>
    <n v="100"/>
    <d v="2022-12-16T00:00:00"/>
    <s v="December"/>
    <n v="2022"/>
    <x v="4"/>
    <n v="52"/>
    <s v="4G"/>
  </r>
  <r>
    <n v="11545"/>
    <n v="380"/>
    <d v="2023-11-12T00:00:00"/>
    <s v="November"/>
    <n v="2023"/>
    <x v="420"/>
    <n v="295"/>
    <s v="5G"/>
  </r>
  <r>
    <n v="11546"/>
    <n v="417"/>
    <d v="2023-04-09T00:00:00"/>
    <s v="April"/>
    <n v="2023"/>
    <x v="265"/>
    <n v="201"/>
    <s v="4G"/>
  </r>
  <r>
    <n v="11547"/>
    <n v="408"/>
    <d v="2024-04-06T00:00:00"/>
    <s v="April"/>
    <n v="2024"/>
    <x v="578"/>
    <n v="273"/>
    <s v="4G"/>
  </r>
  <r>
    <n v="11548"/>
    <n v="167"/>
    <d v="2024-04-16T00:00:00"/>
    <s v="April"/>
    <n v="2024"/>
    <x v="586"/>
    <n v="174"/>
    <s v="4G"/>
  </r>
  <r>
    <n v="11549"/>
    <n v="290"/>
    <d v="2023-01-10T00:00:00"/>
    <s v="January"/>
    <n v="2023"/>
    <x v="436"/>
    <n v="243"/>
    <s v="4G"/>
  </r>
  <r>
    <n v="11550"/>
    <n v="440"/>
    <d v="2022-04-02T00:00:00"/>
    <s v="April"/>
    <n v="2022"/>
    <x v="142"/>
    <n v="268"/>
    <s v="5G"/>
  </r>
  <r>
    <n v="11551"/>
    <n v="156"/>
    <d v="2022-06-30T00:00:00"/>
    <s v="June"/>
    <n v="2022"/>
    <x v="529"/>
    <n v="73"/>
    <s v="4G"/>
  </r>
  <r>
    <n v="11552"/>
    <n v="421"/>
    <d v="2024-01-13T00:00:00"/>
    <s v="January"/>
    <n v="2024"/>
    <x v="587"/>
    <n v="95"/>
    <s v="4G"/>
  </r>
  <r>
    <n v="11553"/>
    <n v="7"/>
    <d v="2022-10-28T00:00:00"/>
    <s v="October"/>
    <n v="2022"/>
    <x v="263"/>
    <n v="172"/>
    <s v="5G"/>
  </r>
  <r>
    <n v="11554"/>
    <n v="196"/>
    <d v="2023-10-22T00:00:00"/>
    <s v="October"/>
    <n v="2023"/>
    <x v="200"/>
    <n v="154"/>
    <s v="4G"/>
  </r>
  <r>
    <n v="11555"/>
    <n v="421"/>
    <d v="2024-03-02T00:00:00"/>
    <s v="March"/>
    <n v="2024"/>
    <x v="24"/>
    <n v="182"/>
    <s v="4G"/>
  </r>
  <r>
    <n v="11556"/>
    <n v="56"/>
    <d v="2022-07-08T00:00:00"/>
    <s v="July"/>
    <n v="2022"/>
    <x v="588"/>
    <n v="288"/>
    <s v="4G"/>
  </r>
  <r>
    <n v="11557"/>
    <n v="321"/>
    <d v="2024-05-08T00:00:00"/>
    <s v="May"/>
    <n v="2024"/>
    <x v="589"/>
    <n v="257"/>
    <s v="5G"/>
  </r>
  <r>
    <n v="11558"/>
    <n v="193"/>
    <d v="2024-05-11T00:00:00"/>
    <s v="May"/>
    <n v="2024"/>
    <x v="299"/>
    <n v="74"/>
    <s v="5G"/>
  </r>
  <r>
    <n v="11559"/>
    <n v="47"/>
    <d v="2022-11-10T00:00:00"/>
    <s v="November"/>
    <n v="2022"/>
    <x v="590"/>
    <n v="173"/>
    <s v="4G"/>
  </r>
  <r>
    <n v="11560"/>
    <n v="148"/>
    <d v="2023-05-08T00:00:00"/>
    <s v="May"/>
    <n v="2023"/>
    <x v="536"/>
    <n v="230"/>
    <s v="4G"/>
  </r>
  <r>
    <n v="11561"/>
    <n v="275"/>
    <d v="2022-05-08T00:00:00"/>
    <s v="May"/>
    <n v="2022"/>
    <x v="37"/>
    <n v="246"/>
    <s v="4G"/>
  </r>
  <r>
    <n v="11562"/>
    <n v="157"/>
    <d v="2023-06-03T00:00:00"/>
    <s v="June"/>
    <n v="2023"/>
    <x v="32"/>
    <n v="160"/>
    <s v="4G"/>
  </r>
  <r>
    <n v="11563"/>
    <n v="202"/>
    <d v="2023-03-02T00:00:00"/>
    <s v="March"/>
    <n v="2023"/>
    <x v="178"/>
    <n v="185"/>
    <s v="5G"/>
  </r>
  <r>
    <n v="11564"/>
    <n v="444"/>
    <d v="2023-07-13T00:00:00"/>
    <s v="July"/>
    <n v="2023"/>
    <x v="41"/>
    <n v="142"/>
    <s v="4G"/>
  </r>
  <r>
    <n v="11565"/>
    <n v="402"/>
    <d v="2023-07-19T00:00:00"/>
    <s v="July"/>
    <n v="2023"/>
    <x v="479"/>
    <n v="281"/>
    <s v="4G"/>
  </r>
  <r>
    <n v="11566"/>
    <n v="476"/>
    <d v="2022-07-06T00:00:00"/>
    <s v="July"/>
    <n v="2022"/>
    <x v="93"/>
    <n v="127"/>
    <s v="5G"/>
  </r>
  <r>
    <n v="11567"/>
    <n v="419"/>
    <d v="2023-07-04T00:00:00"/>
    <s v="July"/>
    <n v="2023"/>
    <x v="175"/>
    <n v="165"/>
    <s v="5G"/>
  </r>
  <r>
    <n v="11568"/>
    <n v="427"/>
    <d v="2023-03-29T00:00:00"/>
    <s v="March"/>
    <n v="2023"/>
    <x v="241"/>
    <n v="26"/>
    <s v="4G"/>
  </r>
  <r>
    <n v="11569"/>
    <n v="495"/>
    <d v="2023-04-16T00:00:00"/>
    <s v="April"/>
    <n v="2023"/>
    <x v="483"/>
    <n v="245"/>
    <s v="4G"/>
  </r>
  <r>
    <n v="11570"/>
    <n v="479"/>
    <d v="2024-01-08T00:00:00"/>
    <s v="January"/>
    <n v="2024"/>
    <x v="42"/>
    <n v="134"/>
    <s v="4G"/>
  </r>
  <r>
    <n v="11571"/>
    <n v="475"/>
    <d v="2023-07-19T00:00:00"/>
    <s v="July"/>
    <n v="2023"/>
    <x v="93"/>
    <n v="201"/>
    <s v="4G"/>
  </r>
  <r>
    <n v="11572"/>
    <n v="126"/>
    <d v="2022-08-12T00:00:00"/>
    <s v="August"/>
    <n v="2022"/>
    <x v="126"/>
    <n v="20"/>
    <s v="4G"/>
  </r>
  <r>
    <n v="11573"/>
    <n v="395"/>
    <d v="2022-06-03T00:00:00"/>
    <s v="June"/>
    <n v="2022"/>
    <x v="270"/>
    <n v="78"/>
    <s v="4G"/>
  </r>
  <r>
    <n v="11574"/>
    <n v="305"/>
    <d v="2023-07-14T00:00:00"/>
    <s v="July"/>
    <n v="2023"/>
    <x v="24"/>
    <n v="157"/>
    <s v="5G"/>
  </r>
  <r>
    <n v="11575"/>
    <n v="369"/>
    <d v="2022-12-17T00:00:00"/>
    <s v="December"/>
    <n v="2022"/>
    <x v="124"/>
    <n v="93"/>
    <s v="5G"/>
  </r>
  <r>
    <n v="11576"/>
    <n v="294"/>
    <d v="2022-05-27T00:00:00"/>
    <s v="May"/>
    <n v="2022"/>
    <x v="390"/>
    <n v="7"/>
    <s v="4G"/>
  </r>
  <r>
    <n v="11577"/>
    <n v="64"/>
    <d v="2023-07-30T00:00:00"/>
    <s v="July"/>
    <n v="2023"/>
    <x v="45"/>
    <n v="258"/>
    <s v="4G"/>
  </r>
  <r>
    <n v="11578"/>
    <n v="325"/>
    <d v="2022-12-15T00:00:00"/>
    <s v="December"/>
    <n v="2022"/>
    <x v="484"/>
    <n v="54"/>
    <s v="5G"/>
  </r>
  <r>
    <n v="11579"/>
    <n v="392"/>
    <d v="2022-07-01T00:00:00"/>
    <s v="July"/>
    <n v="2022"/>
    <x v="177"/>
    <n v="35"/>
    <s v="5G"/>
  </r>
  <r>
    <n v="11580"/>
    <n v="418"/>
    <d v="2023-09-29T00:00:00"/>
    <s v="September"/>
    <n v="2023"/>
    <x v="231"/>
    <n v="5"/>
    <s v="5G"/>
  </r>
  <r>
    <n v="11581"/>
    <n v="176"/>
    <d v="2022-06-28T00:00:00"/>
    <s v="June"/>
    <n v="2022"/>
    <x v="177"/>
    <n v="41"/>
    <s v="4G"/>
  </r>
  <r>
    <n v="11582"/>
    <n v="116"/>
    <d v="2022-02-08T00:00:00"/>
    <s v="February"/>
    <n v="2022"/>
    <x v="447"/>
    <n v="49"/>
    <s v="4G"/>
  </r>
  <r>
    <n v="11583"/>
    <n v="440"/>
    <d v="2024-02-11T00:00:00"/>
    <s v="February"/>
    <n v="2024"/>
    <x v="520"/>
    <n v="111"/>
    <s v="5G"/>
  </r>
  <r>
    <n v="11584"/>
    <n v="204"/>
    <d v="2024-06-12T00:00:00"/>
    <s v="June"/>
    <n v="2024"/>
    <x v="84"/>
    <n v="145"/>
    <s v="4G"/>
  </r>
  <r>
    <n v="11585"/>
    <n v="486"/>
    <d v="2022-01-03T00:00:00"/>
    <s v="January"/>
    <n v="2022"/>
    <x v="198"/>
    <n v="229"/>
    <s v="4G"/>
  </r>
  <r>
    <n v="11586"/>
    <n v="321"/>
    <d v="2022-03-05T00:00:00"/>
    <s v="March"/>
    <n v="2022"/>
    <x v="98"/>
    <n v="210"/>
    <s v="4G"/>
  </r>
  <r>
    <n v="11587"/>
    <n v="31"/>
    <d v="2022-01-29T00:00:00"/>
    <s v="January"/>
    <n v="2022"/>
    <x v="591"/>
    <n v="29"/>
    <s v="5G"/>
  </r>
  <r>
    <n v="11588"/>
    <n v="388"/>
    <d v="2023-01-07T00:00:00"/>
    <s v="January"/>
    <n v="2023"/>
    <x v="592"/>
    <n v="294"/>
    <s v="4G"/>
  </r>
  <r>
    <n v="11589"/>
    <n v="113"/>
    <d v="2023-06-07T00:00:00"/>
    <s v="June"/>
    <n v="2023"/>
    <x v="57"/>
    <n v="115"/>
    <s v="5G"/>
  </r>
  <r>
    <n v="11590"/>
    <n v="365"/>
    <d v="2022-04-07T00:00:00"/>
    <s v="April"/>
    <n v="2022"/>
    <x v="145"/>
    <n v="225"/>
    <s v="4G"/>
  </r>
  <r>
    <n v="11591"/>
    <n v="434"/>
    <d v="2024-05-19T00:00:00"/>
    <s v="May"/>
    <n v="2024"/>
    <x v="190"/>
    <n v="58"/>
    <s v="5G"/>
  </r>
  <r>
    <n v="11592"/>
    <n v="325"/>
    <d v="2023-03-18T00:00:00"/>
    <s v="March"/>
    <n v="2023"/>
    <x v="77"/>
    <n v="75"/>
    <s v="4G"/>
  </r>
  <r>
    <n v="11593"/>
    <n v="414"/>
    <d v="2022-07-22T00:00:00"/>
    <s v="July"/>
    <n v="2022"/>
    <x v="351"/>
    <n v="215"/>
    <s v="4G"/>
  </r>
  <r>
    <n v="11594"/>
    <n v="376"/>
    <d v="2023-02-15T00:00:00"/>
    <s v="February"/>
    <n v="2023"/>
    <x v="16"/>
    <n v="131"/>
    <s v="5G"/>
  </r>
  <r>
    <n v="11595"/>
    <n v="344"/>
    <d v="2022-01-21T00:00:00"/>
    <s v="January"/>
    <n v="2022"/>
    <x v="234"/>
    <n v="80"/>
    <s v="5G"/>
  </r>
  <r>
    <n v="11596"/>
    <n v="443"/>
    <d v="2023-07-05T00:00:00"/>
    <s v="July"/>
    <n v="2023"/>
    <x v="376"/>
    <n v="66"/>
    <s v="5G"/>
  </r>
  <r>
    <n v="11597"/>
    <n v="67"/>
    <d v="2024-01-05T00:00:00"/>
    <s v="January"/>
    <n v="2024"/>
    <x v="131"/>
    <n v="229"/>
    <s v="4G"/>
  </r>
  <r>
    <n v="11598"/>
    <n v="75"/>
    <d v="2022-04-12T00:00:00"/>
    <s v="April"/>
    <n v="2022"/>
    <x v="271"/>
    <n v="276"/>
    <s v="4G"/>
  </r>
  <r>
    <n v="11599"/>
    <n v="45"/>
    <d v="2022-02-15T00:00:00"/>
    <s v="February"/>
    <n v="2022"/>
    <x v="100"/>
    <n v="71"/>
    <s v="4G"/>
  </r>
  <r>
    <n v="11600"/>
    <n v="260"/>
    <d v="2022-03-07T00:00:00"/>
    <s v="March"/>
    <n v="2022"/>
    <x v="272"/>
    <n v="208"/>
    <s v="4G"/>
  </r>
  <r>
    <n v="11601"/>
    <n v="154"/>
    <d v="2023-08-26T00:00:00"/>
    <s v="August"/>
    <n v="2023"/>
    <x v="427"/>
    <n v="271"/>
    <s v="5G"/>
  </r>
  <r>
    <n v="11602"/>
    <n v="155"/>
    <d v="2022-06-13T00:00:00"/>
    <s v="June"/>
    <n v="2022"/>
    <x v="369"/>
    <n v="143"/>
    <s v="4G"/>
  </r>
  <r>
    <n v="11603"/>
    <n v="430"/>
    <d v="2022-04-21T00:00:00"/>
    <s v="April"/>
    <n v="2022"/>
    <x v="2"/>
    <n v="250"/>
    <s v="4G"/>
  </r>
  <r>
    <n v="11604"/>
    <n v="363"/>
    <d v="2022-12-04T00:00:00"/>
    <s v="December"/>
    <n v="2022"/>
    <x v="379"/>
    <n v="283"/>
    <s v="4G"/>
  </r>
  <r>
    <n v="11605"/>
    <n v="448"/>
    <d v="2022-05-03T00:00:00"/>
    <s v="May"/>
    <n v="2022"/>
    <x v="106"/>
    <n v="178"/>
    <s v="4G"/>
  </r>
  <r>
    <n v="11606"/>
    <n v="475"/>
    <d v="2023-12-06T00:00:00"/>
    <s v="December"/>
    <n v="2023"/>
    <x v="50"/>
    <n v="79"/>
    <s v="5G"/>
  </r>
  <r>
    <n v="11607"/>
    <n v="234"/>
    <d v="2023-03-23T00:00:00"/>
    <s v="March"/>
    <n v="2023"/>
    <x v="203"/>
    <n v="56"/>
    <s v="4G"/>
  </r>
  <r>
    <n v="11608"/>
    <n v="51"/>
    <d v="2023-09-03T00:00:00"/>
    <s v="September"/>
    <n v="2023"/>
    <x v="42"/>
    <n v="173"/>
    <s v="4G"/>
  </r>
  <r>
    <n v="11609"/>
    <n v="306"/>
    <d v="2022-10-18T00:00:00"/>
    <s v="October"/>
    <n v="2022"/>
    <x v="278"/>
    <n v="237"/>
    <s v="5G"/>
  </r>
  <r>
    <n v="11610"/>
    <n v="262"/>
    <d v="2023-11-02T00:00:00"/>
    <s v="November"/>
    <n v="2023"/>
    <x v="593"/>
    <n v="165"/>
    <s v="4G"/>
  </r>
  <r>
    <n v="11611"/>
    <n v="315"/>
    <d v="2023-02-16T00:00:00"/>
    <s v="February"/>
    <n v="2023"/>
    <x v="95"/>
    <n v="83"/>
    <s v="4G"/>
  </r>
  <r>
    <n v="11612"/>
    <n v="125"/>
    <d v="2023-09-07T00:00:00"/>
    <s v="September"/>
    <n v="2023"/>
    <x v="252"/>
    <n v="47"/>
    <s v="4G"/>
  </r>
  <r>
    <n v="11613"/>
    <n v="399"/>
    <d v="2024-06-15T00:00:00"/>
    <s v="June"/>
    <n v="2024"/>
    <x v="433"/>
    <n v="126"/>
    <s v="4G"/>
  </r>
  <r>
    <n v="11614"/>
    <n v="245"/>
    <d v="2022-10-08T00:00:00"/>
    <s v="October"/>
    <n v="2022"/>
    <x v="41"/>
    <n v="168"/>
    <s v="4G"/>
  </r>
  <r>
    <n v="11615"/>
    <n v="30"/>
    <d v="2022-02-12T00:00:00"/>
    <s v="February"/>
    <n v="2022"/>
    <x v="351"/>
    <n v="66"/>
    <s v="4G"/>
  </r>
  <r>
    <n v="11616"/>
    <n v="426"/>
    <d v="2023-05-01T00:00:00"/>
    <s v="May"/>
    <n v="2023"/>
    <x v="173"/>
    <n v="193"/>
    <s v="4G"/>
  </r>
  <r>
    <n v="11617"/>
    <n v="485"/>
    <d v="2023-08-19T00:00:00"/>
    <s v="August"/>
    <n v="2023"/>
    <x v="233"/>
    <n v="154"/>
    <s v="4G"/>
  </r>
  <r>
    <n v="11618"/>
    <n v="122"/>
    <d v="2023-12-04T00:00:00"/>
    <s v="December"/>
    <n v="2023"/>
    <x v="594"/>
    <n v="159"/>
    <s v="4G"/>
  </r>
  <r>
    <n v="11619"/>
    <n v="125"/>
    <d v="2022-02-20T00:00:00"/>
    <s v="February"/>
    <n v="2022"/>
    <x v="110"/>
    <n v="183"/>
    <s v="4G"/>
  </r>
  <r>
    <n v="11620"/>
    <n v="37"/>
    <d v="2024-06-16T00:00:00"/>
    <s v="June"/>
    <n v="2024"/>
    <x v="130"/>
    <n v="265"/>
    <s v="5G"/>
  </r>
  <r>
    <n v="11621"/>
    <n v="170"/>
    <d v="2022-07-29T00:00:00"/>
    <s v="July"/>
    <n v="2022"/>
    <x v="175"/>
    <n v="167"/>
    <s v="4G"/>
  </r>
  <r>
    <n v="11622"/>
    <n v="124"/>
    <d v="2022-05-06T00:00:00"/>
    <s v="May"/>
    <n v="2022"/>
    <x v="130"/>
    <n v="144"/>
    <s v="5G"/>
  </r>
  <r>
    <n v="11623"/>
    <n v="357"/>
    <d v="2023-05-07T00:00:00"/>
    <s v="May"/>
    <n v="2023"/>
    <x v="82"/>
    <n v="185"/>
    <s v="4G"/>
  </r>
  <r>
    <n v="11624"/>
    <n v="35"/>
    <d v="2023-05-24T00:00:00"/>
    <s v="May"/>
    <n v="2023"/>
    <x v="21"/>
    <n v="261"/>
    <s v="4G"/>
  </r>
  <r>
    <n v="11625"/>
    <n v="87"/>
    <d v="2023-08-04T00:00:00"/>
    <s v="August"/>
    <n v="2023"/>
    <x v="504"/>
    <n v="273"/>
    <s v="4G"/>
  </r>
  <r>
    <n v="11626"/>
    <n v="134"/>
    <d v="2024-02-16T00:00:00"/>
    <s v="February"/>
    <n v="2024"/>
    <x v="211"/>
    <n v="222"/>
    <s v="5G"/>
  </r>
  <r>
    <n v="11627"/>
    <n v="196"/>
    <d v="2022-09-15T00:00:00"/>
    <s v="September"/>
    <n v="2022"/>
    <x v="143"/>
    <n v="41"/>
    <s v="4G"/>
  </r>
  <r>
    <n v="11628"/>
    <n v="274"/>
    <d v="2022-07-07T00:00:00"/>
    <s v="July"/>
    <n v="2022"/>
    <x v="390"/>
    <n v="3"/>
    <s v="4G"/>
  </r>
  <r>
    <n v="11629"/>
    <n v="201"/>
    <d v="2022-08-18T00:00:00"/>
    <s v="August"/>
    <n v="2022"/>
    <x v="465"/>
    <n v="275"/>
    <s v="5G"/>
  </r>
  <r>
    <n v="11630"/>
    <n v="369"/>
    <d v="2022-07-08T00:00:00"/>
    <s v="July"/>
    <n v="2022"/>
    <x v="528"/>
    <n v="283"/>
    <s v="5G"/>
  </r>
  <r>
    <n v="11631"/>
    <n v="285"/>
    <d v="2023-02-19T00:00:00"/>
    <s v="February"/>
    <n v="2023"/>
    <x v="551"/>
    <n v="192"/>
    <s v="4G"/>
  </r>
  <r>
    <n v="11632"/>
    <n v="77"/>
    <d v="2022-01-10T00:00:00"/>
    <s v="January"/>
    <n v="2022"/>
    <x v="595"/>
    <n v="103"/>
    <s v="5G"/>
  </r>
  <r>
    <n v="11633"/>
    <n v="59"/>
    <d v="2022-04-24T00:00:00"/>
    <s v="April"/>
    <n v="2022"/>
    <x v="231"/>
    <n v="246"/>
    <s v="5G"/>
  </r>
  <r>
    <n v="11634"/>
    <n v="431"/>
    <d v="2022-03-17T00:00:00"/>
    <s v="March"/>
    <n v="2022"/>
    <x v="331"/>
    <n v="299"/>
    <s v="4G"/>
  </r>
  <r>
    <n v="11635"/>
    <n v="126"/>
    <d v="2023-11-07T00:00:00"/>
    <s v="November"/>
    <n v="2023"/>
    <x v="524"/>
    <n v="22"/>
    <s v="4G"/>
  </r>
  <r>
    <n v="11636"/>
    <n v="500"/>
    <d v="2023-05-17T00:00:00"/>
    <s v="May"/>
    <n v="2023"/>
    <x v="305"/>
    <n v="12"/>
    <s v="4G"/>
  </r>
  <r>
    <n v="11637"/>
    <n v="401"/>
    <d v="2022-03-26T00:00:00"/>
    <s v="March"/>
    <n v="2022"/>
    <x v="0"/>
    <n v="143"/>
    <s v="4G"/>
  </r>
  <r>
    <n v="11638"/>
    <n v="109"/>
    <d v="2022-02-18T00:00:00"/>
    <s v="February"/>
    <n v="2022"/>
    <x v="222"/>
    <n v="217"/>
    <s v="5G"/>
  </r>
  <r>
    <n v="11639"/>
    <n v="224"/>
    <d v="2023-05-10T00:00:00"/>
    <s v="May"/>
    <n v="2023"/>
    <x v="232"/>
    <n v="182"/>
    <s v="4G"/>
  </r>
  <r>
    <n v="11640"/>
    <n v="496"/>
    <d v="2024-04-17T00:00:00"/>
    <s v="April"/>
    <n v="2024"/>
    <x v="34"/>
    <n v="241"/>
    <s v="4G"/>
  </r>
  <r>
    <n v="11641"/>
    <n v="278"/>
    <d v="2023-11-20T00:00:00"/>
    <s v="November"/>
    <n v="2023"/>
    <x v="359"/>
    <n v="192"/>
    <s v="5G"/>
  </r>
  <r>
    <n v="11642"/>
    <n v="68"/>
    <d v="2023-01-22T00:00:00"/>
    <s v="January"/>
    <n v="2023"/>
    <x v="441"/>
    <n v="271"/>
    <s v="4G"/>
  </r>
  <r>
    <n v="11643"/>
    <n v="69"/>
    <d v="2023-01-24T00:00:00"/>
    <s v="January"/>
    <n v="2023"/>
    <x v="152"/>
    <n v="164"/>
    <s v="5G"/>
  </r>
  <r>
    <n v="11644"/>
    <n v="165"/>
    <d v="2022-08-06T00:00:00"/>
    <s v="August"/>
    <n v="2022"/>
    <x v="246"/>
    <n v="179"/>
    <s v="5G"/>
  </r>
  <r>
    <n v="11645"/>
    <n v="489"/>
    <d v="2023-12-02T00:00:00"/>
    <s v="December"/>
    <n v="2023"/>
    <x v="596"/>
    <n v="116"/>
    <s v="5G"/>
  </r>
  <r>
    <n v="11646"/>
    <n v="305"/>
    <d v="2022-12-12T00:00:00"/>
    <s v="December"/>
    <n v="2022"/>
    <x v="334"/>
    <n v="265"/>
    <s v="5G"/>
  </r>
  <r>
    <n v="11647"/>
    <n v="397"/>
    <d v="2022-08-18T00:00:00"/>
    <s v="August"/>
    <n v="2022"/>
    <x v="4"/>
    <n v="37"/>
    <s v="4G"/>
  </r>
  <r>
    <n v="11648"/>
    <n v="162"/>
    <d v="2022-09-12T00:00:00"/>
    <s v="September"/>
    <n v="2022"/>
    <x v="254"/>
    <n v="43"/>
    <s v="4G"/>
  </r>
  <r>
    <n v="11649"/>
    <n v="365"/>
    <d v="2022-08-24T00:00:00"/>
    <s v="August"/>
    <n v="2022"/>
    <x v="143"/>
    <n v="73"/>
    <s v="4G"/>
  </r>
  <r>
    <n v="11650"/>
    <n v="342"/>
    <d v="2022-01-26T00:00:00"/>
    <s v="January"/>
    <n v="2022"/>
    <x v="597"/>
    <n v="225"/>
    <s v="4G"/>
  </r>
  <r>
    <n v="11651"/>
    <n v="309"/>
    <d v="2023-08-07T00:00:00"/>
    <s v="August"/>
    <n v="2023"/>
    <x v="211"/>
    <n v="12"/>
    <s v="4G"/>
  </r>
  <r>
    <n v="11652"/>
    <n v="379"/>
    <d v="2022-09-18T00:00:00"/>
    <s v="September"/>
    <n v="2022"/>
    <x v="182"/>
    <n v="11"/>
    <s v="4G"/>
  </r>
  <r>
    <n v="11653"/>
    <n v="343"/>
    <d v="2024-02-05T00:00:00"/>
    <s v="February"/>
    <n v="2024"/>
    <x v="159"/>
    <n v="49"/>
    <s v="5G"/>
  </r>
  <r>
    <n v="11654"/>
    <n v="435"/>
    <d v="2022-09-28T00:00:00"/>
    <s v="September"/>
    <n v="2022"/>
    <x v="188"/>
    <n v="248"/>
    <s v="5G"/>
  </r>
  <r>
    <n v="11655"/>
    <n v="387"/>
    <d v="2022-05-03T00:00:00"/>
    <s v="May"/>
    <n v="2022"/>
    <x v="234"/>
    <n v="118"/>
    <s v="4G"/>
  </r>
  <r>
    <n v="11656"/>
    <n v="42"/>
    <d v="2023-10-18T00:00:00"/>
    <s v="October"/>
    <n v="2023"/>
    <x v="7"/>
    <n v="56"/>
    <s v="4G"/>
  </r>
  <r>
    <n v="11657"/>
    <n v="354"/>
    <d v="2022-09-14T00:00:00"/>
    <s v="September"/>
    <n v="2022"/>
    <x v="49"/>
    <n v="181"/>
    <s v="4G"/>
  </r>
  <r>
    <n v="11658"/>
    <n v="416"/>
    <d v="2023-10-18T00:00:00"/>
    <s v="October"/>
    <n v="2023"/>
    <x v="152"/>
    <n v="263"/>
    <s v="5G"/>
  </r>
  <r>
    <n v="11659"/>
    <n v="109"/>
    <d v="2023-02-25T00:00:00"/>
    <s v="February"/>
    <n v="2023"/>
    <x v="194"/>
    <n v="105"/>
    <s v="4G"/>
  </r>
  <r>
    <n v="11660"/>
    <n v="51"/>
    <d v="2022-09-16T00:00:00"/>
    <s v="September"/>
    <n v="2022"/>
    <x v="498"/>
    <n v="190"/>
    <s v="4G"/>
  </r>
  <r>
    <n v="11661"/>
    <n v="250"/>
    <d v="2022-02-16T00:00:00"/>
    <s v="February"/>
    <n v="2022"/>
    <x v="364"/>
    <n v="136"/>
    <s v="4G"/>
  </r>
  <r>
    <n v="11662"/>
    <n v="497"/>
    <d v="2024-05-12T00:00:00"/>
    <s v="May"/>
    <n v="2024"/>
    <x v="48"/>
    <n v="187"/>
    <s v="4G"/>
  </r>
  <r>
    <n v="11663"/>
    <n v="341"/>
    <d v="2023-06-09T00:00:00"/>
    <s v="June"/>
    <n v="2023"/>
    <x v="207"/>
    <n v="119"/>
    <s v="5G"/>
  </r>
  <r>
    <n v="11664"/>
    <n v="430"/>
    <d v="2024-06-06T00:00:00"/>
    <s v="June"/>
    <n v="2024"/>
    <x v="344"/>
    <n v="241"/>
    <s v="4G"/>
  </r>
  <r>
    <n v="11665"/>
    <n v="383"/>
    <d v="2022-07-27T00:00:00"/>
    <s v="July"/>
    <n v="2022"/>
    <x v="461"/>
    <n v="71"/>
    <s v="4G"/>
  </r>
  <r>
    <n v="11666"/>
    <n v="492"/>
    <d v="2022-11-07T00:00:00"/>
    <s v="November"/>
    <n v="2022"/>
    <x v="313"/>
    <n v="242"/>
    <s v="5G"/>
  </r>
  <r>
    <n v="11667"/>
    <n v="21"/>
    <d v="2024-01-17T00:00:00"/>
    <s v="January"/>
    <n v="2024"/>
    <x v="598"/>
    <n v="130"/>
    <s v="5G"/>
  </r>
  <r>
    <n v="11668"/>
    <n v="300"/>
    <d v="2022-05-29T00:00:00"/>
    <s v="May"/>
    <n v="2022"/>
    <x v="599"/>
    <n v="268"/>
    <s v="5G"/>
  </r>
  <r>
    <n v="11669"/>
    <n v="139"/>
    <d v="2024-04-13T00:00:00"/>
    <s v="April"/>
    <n v="2024"/>
    <x v="142"/>
    <n v="51"/>
    <s v="4G"/>
  </r>
  <r>
    <n v="11670"/>
    <n v="359"/>
    <d v="2023-03-14T00:00:00"/>
    <s v="March"/>
    <n v="2023"/>
    <x v="163"/>
    <n v="61"/>
    <s v="4G"/>
  </r>
  <r>
    <n v="11671"/>
    <n v="324"/>
    <d v="2022-06-04T00:00:00"/>
    <s v="June"/>
    <n v="2022"/>
    <x v="64"/>
    <n v="118"/>
    <s v="4G"/>
  </r>
  <r>
    <n v="11672"/>
    <n v="499"/>
    <d v="2023-11-09T00:00:00"/>
    <s v="November"/>
    <n v="2023"/>
    <x v="313"/>
    <n v="263"/>
    <s v="4G"/>
  </r>
  <r>
    <n v="11673"/>
    <n v="385"/>
    <d v="2022-03-31T00:00:00"/>
    <s v="March"/>
    <n v="2022"/>
    <x v="540"/>
    <n v="238"/>
    <s v="4G"/>
  </r>
  <r>
    <n v="11674"/>
    <n v="92"/>
    <d v="2023-11-29T00:00:00"/>
    <s v="November"/>
    <n v="2023"/>
    <x v="315"/>
    <n v="254"/>
    <s v="4G"/>
  </r>
  <r>
    <n v="11675"/>
    <n v="447"/>
    <d v="2024-04-09T00:00:00"/>
    <s v="April"/>
    <n v="2024"/>
    <x v="95"/>
    <n v="172"/>
    <s v="4G"/>
  </r>
  <r>
    <n v="11676"/>
    <n v="280"/>
    <d v="2022-12-24T00:00:00"/>
    <s v="December"/>
    <n v="2022"/>
    <x v="196"/>
    <n v="236"/>
    <s v="5G"/>
  </r>
  <r>
    <n v="11677"/>
    <n v="125"/>
    <d v="2022-06-23T00:00:00"/>
    <s v="June"/>
    <n v="2022"/>
    <x v="44"/>
    <n v="94"/>
    <s v="4G"/>
  </r>
  <r>
    <n v="11678"/>
    <n v="483"/>
    <d v="2022-08-05T00:00:00"/>
    <s v="August"/>
    <n v="2022"/>
    <x v="356"/>
    <n v="56"/>
    <s v="5G"/>
  </r>
  <r>
    <n v="11679"/>
    <n v="397"/>
    <d v="2023-04-01T00:00:00"/>
    <s v="April"/>
    <n v="2023"/>
    <x v="177"/>
    <n v="66"/>
    <s v="4G"/>
  </r>
  <r>
    <n v="11680"/>
    <n v="111"/>
    <d v="2024-02-15T00:00:00"/>
    <s v="February"/>
    <n v="2024"/>
    <x v="259"/>
    <n v="45"/>
    <s v="4G"/>
  </r>
  <r>
    <n v="11681"/>
    <n v="354"/>
    <d v="2023-09-01T00:00:00"/>
    <s v="September"/>
    <n v="2023"/>
    <x v="105"/>
    <n v="93"/>
    <s v="4G"/>
  </r>
  <r>
    <n v="11682"/>
    <n v="139"/>
    <d v="2023-09-21T00:00:00"/>
    <s v="September"/>
    <n v="2023"/>
    <x v="108"/>
    <n v="137"/>
    <s v="5G"/>
  </r>
  <r>
    <n v="11683"/>
    <n v="484"/>
    <d v="2022-07-18T00:00:00"/>
    <s v="July"/>
    <n v="2022"/>
    <x v="216"/>
    <n v="92"/>
    <s v="4G"/>
  </r>
  <r>
    <n v="11684"/>
    <n v="435"/>
    <d v="2024-04-11T00:00:00"/>
    <s v="April"/>
    <n v="2024"/>
    <x v="458"/>
    <n v="231"/>
    <s v="5G"/>
  </r>
  <r>
    <n v="11685"/>
    <n v="273"/>
    <d v="2023-05-01T00:00:00"/>
    <s v="May"/>
    <n v="2023"/>
    <x v="563"/>
    <n v="48"/>
    <s v="4G"/>
  </r>
  <r>
    <n v="11686"/>
    <n v="99"/>
    <d v="2023-06-17T00:00:00"/>
    <s v="June"/>
    <n v="2023"/>
    <x v="362"/>
    <n v="22"/>
    <s v="5G"/>
  </r>
  <r>
    <n v="11687"/>
    <n v="252"/>
    <d v="2022-07-19T00:00:00"/>
    <s v="July"/>
    <n v="2022"/>
    <x v="299"/>
    <n v="61"/>
    <s v="4G"/>
  </r>
  <r>
    <n v="11688"/>
    <n v="338"/>
    <d v="2023-01-06T00:00:00"/>
    <s v="January"/>
    <n v="2023"/>
    <x v="148"/>
    <n v="266"/>
    <s v="5G"/>
  </r>
  <r>
    <n v="11689"/>
    <n v="104"/>
    <d v="2024-05-02T00:00:00"/>
    <s v="May"/>
    <n v="2024"/>
    <x v="261"/>
    <n v="117"/>
    <s v="4G"/>
  </r>
  <r>
    <n v="11690"/>
    <n v="214"/>
    <d v="2023-03-24T00:00:00"/>
    <s v="March"/>
    <n v="2023"/>
    <x v="357"/>
    <n v="87"/>
    <s v="5G"/>
  </r>
  <r>
    <n v="11691"/>
    <n v="249"/>
    <d v="2022-09-05T00:00:00"/>
    <s v="September"/>
    <n v="2022"/>
    <x v="519"/>
    <n v="88"/>
    <s v="4G"/>
  </r>
  <r>
    <n v="11692"/>
    <n v="152"/>
    <d v="2024-02-27T00:00:00"/>
    <s v="February"/>
    <n v="2024"/>
    <x v="334"/>
    <n v="54"/>
    <s v="4G"/>
  </r>
  <r>
    <n v="11693"/>
    <n v="250"/>
    <d v="2022-09-21T00:00:00"/>
    <s v="September"/>
    <n v="2022"/>
    <x v="24"/>
    <n v="152"/>
    <s v="5G"/>
  </r>
  <r>
    <n v="11694"/>
    <n v="275"/>
    <d v="2022-02-27T00:00:00"/>
    <s v="February"/>
    <n v="2022"/>
    <x v="239"/>
    <n v="238"/>
    <s v="4G"/>
  </r>
  <r>
    <n v="11695"/>
    <n v="165"/>
    <d v="2022-10-29T00:00:00"/>
    <s v="October"/>
    <n v="2022"/>
    <x v="335"/>
    <n v="264"/>
    <s v="4G"/>
  </r>
  <r>
    <n v="11696"/>
    <n v="487"/>
    <d v="2022-01-31T00:00:00"/>
    <s v="January"/>
    <n v="2022"/>
    <x v="337"/>
    <n v="267"/>
    <s v="5G"/>
  </r>
  <r>
    <n v="11697"/>
    <n v="341"/>
    <d v="2023-05-13T00:00:00"/>
    <s v="May"/>
    <n v="2023"/>
    <x v="194"/>
    <n v="112"/>
    <s v="4G"/>
  </r>
  <r>
    <n v="11698"/>
    <n v="8"/>
    <d v="2022-09-06T00:00:00"/>
    <s v="September"/>
    <n v="2022"/>
    <x v="496"/>
    <n v="165"/>
    <s v="4G"/>
  </r>
  <r>
    <n v="11699"/>
    <n v="284"/>
    <d v="2023-08-28T00:00:00"/>
    <s v="August"/>
    <n v="2023"/>
    <x v="600"/>
    <n v="155"/>
    <s v="4G"/>
  </r>
  <r>
    <n v="11700"/>
    <n v="5"/>
    <d v="2024-02-16T00:00:00"/>
    <s v="February"/>
    <n v="2024"/>
    <x v="45"/>
    <n v="7"/>
    <s v="5G"/>
  </r>
  <r>
    <n v="11701"/>
    <n v="145"/>
    <d v="2022-09-28T00:00:00"/>
    <s v="September"/>
    <n v="2022"/>
    <x v="235"/>
    <n v="201"/>
    <s v="4G"/>
  </r>
  <r>
    <n v="11702"/>
    <n v="101"/>
    <d v="2023-08-29T00:00:00"/>
    <s v="August"/>
    <n v="2023"/>
    <x v="601"/>
    <n v="216"/>
    <s v="4G"/>
  </r>
  <r>
    <n v="11703"/>
    <n v="164"/>
    <d v="2023-10-28T00:00:00"/>
    <s v="October"/>
    <n v="2023"/>
    <x v="112"/>
    <n v="291"/>
    <s v="5G"/>
  </r>
  <r>
    <n v="11704"/>
    <n v="374"/>
    <d v="2023-01-29T00:00:00"/>
    <s v="January"/>
    <n v="2023"/>
    <x v="70"/>
    <n v="49"/>
    <s v="5G"/>
  </r>
  <r>
    <n v="11705"/>
    <n v="147"/>
    <d v="2024-03-07T00:00:00"/>
    <s v="March"/>
    <n v="2024"/>
    <x v="602"/>
    <n v="106"/>
    <s v="5G"/>
  </r>
  <r>
    <n v="11706"/>
    <n v="64"/>
    <d v="2023-05-17T00:00:00"/>
    <s v="May"/>
    <n v="2023"/>
    <x v="542"/>
    <n v="8"/>
    <s v="5G"/>
  </r>
  <r>
    <n v="11707"/>
    <n v="91"/>
    <d v="2023-08-15T00:00:00"/>
    <s v="August"/>
    <n v="2023"/>
    <x v="23"/>
    <n v="232"/>
    <s v="4G"/>
  </r>
  <r>
    <n v="11708"/>
    <n v="117"/>
    <d v="2024-03-14T00:00:00"/>
    <s v="March"/>
    <n v="2024"/>
    <x v="535"/>
    <n v="187"/>
    <s v="4G"/>
  </r>
  <r>
    <n v="11709"/>
    <n v="354"/>
    <d v="2022-03-25T00:00:00"/>
    <s v="March"/>
    <n v="2022"/>
    <x v="128"/>
    <n v="109"/>
    <s v="4G"/>
  </r>
  <r>
    <n v="11710"/>
    <n v="267"/>
    <d v="2022-12-31T00:00:00"/>
    <s v="December"/>
    <n v="2022"/>
    <x v="603"/>
    <n v="144"/>
    <s v="5G"/>
  </r>
  <r>
    <n v="11711"/>
    <n v="310"/>
    <d v="2024-06-04T00:00:00"/>
    <s v="June"/>
    <n v="2024"/>
    <x v="91"/>
    <n v="227"/>
    <s v="5G"/>
  </r>
  <r>
    <n v="11712"/>
    <n v="173"/>
    <d v="2023-07-03T00:00:00"/>
    <s v="July"/>
    <n v="2023"/>
    <x v="287"/>
    <n v="113"/>
    <s v="5G"/>
  </r>
  <r>
    <n v="11713"/>
    <n v="47"/>
    <d v="2022-12-08T00:00:00"/>
    <s v="December"/>
    <n v="2022"/>
    <x v="192"/>
    <n v="62"/>
    <s v="4G"/>
  </r>
  <r>
    <n v="11714"/>
    <n v="140"/>
    <d v="2024-04-18T00:00:00"/>
    <s v="April"/>
    <n v="2024"/>
    <x v="127"/>
    <n v="274"/>
    <s v="4G"/>
  </r>
  <r>
    <n v="11715"/>
    <n v="246"/>
    <d v="2023-02-11T00:00:00"/>
    <s v="February"/>
    <n v="2023"/>
    <x v="172"/>
    <n v="123"/>
    <s v="4G"/>
  </r>
  <r>
    <n v="11716"/>
    <n v="149"/>
    <d v="2023-03-01T00:00:00"/>
    <s v="March"/>
    <n v="2023"/>
    <x v="604"/>
    <n v="85"/>
    <s v="4G"/>
  </r>
  <r>
    <n v="11717"/>
    <n v="246"/>
    <d v="2024-01-14T00:00:00"/>
    <s v="January"/>
    <n v="2024"/>
    <x v="202"/>
    <n v="69"/>
    <s v="5G"/>
  </r>
  <r>
    <n v="11718"/>
    <n v="395"/>
    <d v="2022-04-03T00:00:00"/>
    <s v="April"/>
    <n v="2022"/>
    <x v="251"/>
    <n v="46"/>
    <s v="4G"/>
  </r>
  <r>
    <n v="11719"/>
    <n v="487"/>
    <d v="2024-04-27T00:00:00"/>
    <s v="April"/>
    <n v="2024"/>
    <x v="605"/>
    <n v="198"/>
    <s v="4G"/>
  </r>
  <r>
    <n v="11720"/>
    <n v="476"/>
    <d v="2023-09-06T00:00:00"/>
    <s v="September"/>
    <n v="2023"/>
    <x v="173"/>
    <n v="200"/>
    <s v="5G"/>
  </r>
  <r>
    <n v="11721"/>
    <n v="5"/>
    <d v="2023-02-16T00:00:00"/>
    <s v="February"/>
    <n v="2023"/>
    <x v="428"/>
    <n v="275"/>
    <s v="4G"/>
  </r>
  <r>
    <n v="11722"/>
    <n v="465"/>
    <d v="2023-03-08T00:00:00"/>
    <s v="March"/>
    <n v="2023"/>
    <x v="166"/>
    <n v="36"/>
    <s v="4G"/>
  </r>
  <r>
    <n v="11723"/>
    <n v="184"/>
    <d v="2023-11-09T00:00:00"/>
    <s v="November"/>
    <n v="2023"/>
    <x v="331"/>
    <n v="202"/>
    <s v="4G"/>
  </r>
  <r>
    <n v="11724"/>
    <n v="20"/>
    <d v="2022-06-08T00:00:00"/>
    <s v="June"/>
    <n v="2022"/>
    <x v="270"/>
    <n v="129"/>
    <s v="5G"/>
  </r>
  <r>
    <n v="11725"/>
    <n v="425"/>
    <d v="2022-01-14T00:00:00"/>
    <s v="January"/>
    <n v="2022"/>
    <x v="606"/>
    <n v="291"/>
    <s v="5G"/>
  </r>
  <r>
    <n v="11726"/>
    <n v="46"/>
    <d v="2023-01-08T00:00:00"/>
    <s v="January"/>
    <n v="2023"/>
    <x v="311"/>
    <n v="63"/>
    <s v="4G"/>
  </r>
  <r>
    <n v="11727"/>
    <n v="12"/>
    <d v="2022-08-13T00:00:00"/>
    <s v="August"/>
    <n v="2022"/>
    <x v="335"/>
    <n v="262"/>
    <s v="4G"/>
  </r>
  <r>
    <n v="11728"/>
    <n v="70"/>
    <d v="2023-05-20T00:00:00"/>
    <s v="May"/>
    <n v="2023"/>
    <x v="244"/>
    <n v="119"/>
    <s v="4G"/>
  </r>
  <r>
    <n v="11729"/>
    <n v="17"/>
    <d v="2022-03-14T00:00:00"/>
    <s v="March"/>
    <n v="2022"/>
    <x v="253"/>
    <n v="277"/>
    <s v="4G"/>
  </r>
  <r>
    <n v="11730"/>
    <n v="371"/>
    <d v="2022-09-06T00:00:00"/>
    <s v="September"/>
    <n v="2022"/>
    <x v="520"/>
    <n v="201"/>
    <s v="4G"/>
  </r>
  <r>
    <n v="11731"/>
    <n v="147"/>
    <d v="2023-05-26T00:00:00"/>
    <s v="May"/>
    <n v="2023"/>
    <x v="177"/>
    <n v="45"/>
    <s v="4G"/>
  </r>
  <r>
    <n v="11732"/>
    <n v="154"/>
    <d v="2023-08-26T00:00:00"/>
    <s v="August"/>
    <n v="2023"/>
    <x v="85"/>
    <n v="167"/>
    <s v="4G"/>
  </r>
  <r>
    <n v="11733"/>
    <n v="304"/>
    <d v="2022-08-04T00:00:00"/>
    <s v="August"/>
    <n v="2022"/>
    <x v="224"/>
    <n v="109"/>
    <s v="5G"/>
  </r>
  <r>
    <n v="11734"/>
    <n v="108"/>
    <d v="2023-08-25T00:00:00"/>
    <s v="August"/>
    <n v="2023"/>
    <x v="6"/>
    <n v="45"/>
    <s v="4G"/>
  </r>
  <r>
    <n v="11735"/>
    <n v="236"/>
    <d v="2023-06-25T00:00:00"/>
    <s v="June"/>
    <n v="2023"/>
    <x v="362"/>
    <n v="211"/>
    <s v="4G"/>
  </r>
  <r>
    <n v="11736"/>
    <n v="308"/>
    <d v="2024-03-27T00:00:00"/>
    <s v="March"/>
    <n v="2024"/>
    <x v="288"/>
    <n v="27"/>
    <s v="4G"/>
  </r>
  <r>
    <n v="11737"/>
    <n v="352"/>
    <d v="2022-08-08T00:00:00"/>
    <s v="August"/>
    <n v="2022"/>
    <x v="377"/>
    <n v="86"/>
    <s v="4G"/>
  </r>
  <r>
    <n v="11738"/>
    <n v="70"/>
    <d v="2024-04-19T00:00:00"/>
    <s v="April"/>
    <n v="2024"/>
    <x v="565"/>
    <n v="290"/>
    <s v="4G"/>
  </r>
  <r>
    <n v="11739"/>
    <n v="183"/>
    <d v="2023-12-28T00:00:00"/>
    <s v="December"/>
    <n v="2023"/>
    <x v="80"/>
    <n v="156"/>
    <s v="4G"/>
  </r>
  <r>
    <n v="11740"/>
    <n v="250"/>
    <d v="2022-08-09T00:00:00"/>
    <s v="August"/>
    <n v="2022"/>
    <x v="12"/>
    <n v="264"/>
    <s v="5G"/>
  </r>
  <r>
    <n v="11741"/>
    <n v="228"/>
    <d v="2023-01-24T00:00:00"/>
    <s v="January"/>
    <n v="2023"/>
    <x v="607"/>
    <n v="264"/>
    <s v="5G"/>
  </r>
  <r>
    <n v="11742"/>
    <n v="102"/>
    <d v="2023-07-08T00:00:00"/>
    <s v="July"/>
    <n v="2023"/>
    <x v="209"/>
    <n v="21"/>
    <s v="5G"/>
  </r>
  <r>
    <n v="11743"/>
    <n v="75"/>
    <d v="2023-10-09T00:00:00"/>
    <s v="October"/>
    <n v="2023"/>
    <x v="190"/>
    <n v="255"/>
    <s v="4G"/>
  </r>
  <r>
    <n v="11744"/>
    <n v="417"/>
    <d v="2022-02-11T00:00:00"/>
    <s v="February"/>
    <n v="2022"/>
    <x v="198"/>
    <n v="190"/>
    <s v="5G"/>
  </r>
  <r>
    <n v="11745"/>
    <n v="446"/>
    <d v="2023-11-07T00:00:00"/>
    <s v="November"/>
    <n v="2023"/>
    <x v="507"/>
    <n v="231"/>
    <s v="4G"/>
  </r>
  <r>
    <n v="11746"/>
    <n v="216"/>
    <d v="2024-05-22T00:00:00"/>
    <s v="May"/>
    <n v="2024"/>
    <x v="369"/>
    <n v="185"/>
    <s v="5G"/>
  </r>
  <r>
    <n v="11747"/>
    <n v="407"/>
    <d v="2022-10-10T00:00:00"/>
    <s v="October"/>
    <n v="2022"/>
    <x v="227"/>
    <n v="182"/>
    <s v="4G"/>
  </r>
  <r>
    <n v="11748"/>
    <n v="399"/>
    <d v="2022-02-27T00:00:00"/>
    <s v="February"/>
    <n v="2022"/>
    <x v="515"/>
    <n v="201"/>
    <s v="4G"/>
  </r>
  <r>
    <n v="11749"/>
    <n v="411"/>
    <d v="2024-03-24T00:00:00"/>
    <s v="March"/>
    <n v="2024"/>
    <x v="608"/>
    <n v="64"/>
    <s v="4G"/>
  </r>
  <r>
    <n v="11750"/>
    <n v="203"/>
    <d v="2024-04-13T00:00:00"/>
    <s v="April"/>
    <n v="2024"/>
    <x v="609"/>
    <n v="42"/>
    <s v="5G"/>
  </r>
  <r>
    <n v="11751"/>
    <n v="192"/>
    <d v="2023-06-21T00:00:00"/>
    <s v="June"/>
    <n v="2023"/>
    <x v="86"/>
    <n v="220"/>
    <s v="5G"/>
  </r>
  <r>
    <n v="11752"/>
    <n v="249"/>
    <d v="2022-03-14T00:00:00"/>
    <s v="March"/>
    <n v="2022"/>
    <x v="229"/>
    <n v="16"/>
    <s v="5G"/>
  </r>
  <r>
    <n v="11753"/>
    <n v="499"/>
    <d v="2024-06-03T00:00:00"/>
    <s v="June"/>
    <n v="2024"/>
    <x v="324"/>
    <n v="284"/>
    <s v="4G"/>
  </r>
  <r>
    <n v="11754"/>
    <n v="242"/>
    <d v="2022-05-09T00:00:00"/>
    <s v="May"/>
    <n v="2022"/>
    <x v="85"/>
    <n v="182"/>
    <s v="4G"/>
  </r>
  <r>
    <n v="11755"/>
    <n v="465"/>
    <d v="2023-08-22T00:00:00"/>
    <s v="August"/>
    <n v="2023"/>
    <x v="445"/>
    <n v="43"/>
    <s v="5G"/>
  </r>
  <r>
    <n v="11756"/>
    <n v="179"/>
    <d v="2024-04-21T00:00:00"/>
    <s v="April"/>
    <n v="2024"/>
    <x v="610"/>
    <n v="187"/>
    <s v="4G"/>
  </r>
  <r>
    <n v="11757"/>
    <n v="437"/>
    <d v="2023-03-02T00:00:00"/>
    <s v="March"/>
    <n v="2023"/>
    <x v="168"/>
    <n v="262"/>
    <s v="5G"/>
  </r>
  <r>
    <n v="11758"/>
    <n v="462"/>
    <d v="2023-10-27T00:00:00"/>
    <s v="October"/>
    <n v="2023"/>
    <x v="295"/>
    <n v="173"/>
    <s v="4G"/>
  </r>
  <r>
    <n v="11759"/>
    <n v="219"/>
    <d v="2023-11-25T00:00:00"/>
    <s v="November"/>
    <n v="2023"/>
    <x v="544"/>
    <n v="53"/>
    <s v="4G"/>
  </r>
  <r>
    <n v="11760"/>
    <n v="82"/>
    <d v="2022-05-05T00:00:00"/>
    <s v="May"/>
    <n v="2022"/>
    <x v="99"/>
    <n v="219"/>
    <s v="5G"/>
  </r>
  <r>
    <n v="11761"/>
    <n v="92"/>
    <d v="2022-03-08T00:00:00"/>
    <s v="March"/>
    <n v="2022"/>
    <x v="597"/>
    <n v="45"/>
    <s v="4G"/>
  </r>
  <r>
    <n v="11762"/>
    <n v="435"/>
    <d v="2022-01-06T00:00:00"/>
    <s v="January"/>
    <n v="2022"/>
    <x v="611"/>
    <n v="259"/>
    <s v="5G"/>
  </r>
  <r>
    <n v="11763"/>
    <n v="175"/>
    <d v="2023-09-29T00:00:00"/>
    <s v="September"/>
    <n v="2023"/>
    <x v="478"/>
    <n v="194"/>
    <s v="4G"/>
  </r>
  <r>
    <n v="11764"/>
    <n v="239"/>
    <d v="2022-11-10T00:00:00"/>
    <s v="November"/>
    <n v="2022"/>
    <x v="517"/>
    <n v="60"/>
    <s v="5G"/>
  </r>
  <r>
    <n v="11765"/>
    <n v="260"/>
    <d v="2022-11-22T00:00:00"/>
    <s v="November"/>
    <n v="2022"/>
    <x v="45"/>
    <n v="165"/>
    <s v="4G"/>
  </r>
  <r>
    <n v="11766"/>
    <n v="391"/>
    <d v="2023-07-19T00:00:00"/>
    <s v="July"/>
    <n v="2023"/>
    <x v="436"/>
    <n v="159"/>
    <s v="5G"/>
  </r>
  <r>
    <n v="11767"/>
    <n v="365"/>
    <d v="2023-08-01T00:00:00"/>
    <s v="August"/>
    <n v="2023"/>
    <x v="521"/>
    <n v="150"/>
    <s v="4G"/>
  </r>
  <r>
    <n v="11768"/>
    <n v="163"/>
    <d v="2024-04-05T00:00:00"/>
    <s v="April"/>
    <n v="2024"/>
    <x v="488"/>
    <n v="110"/>
    <s v="4G"/>
  </r>
  <r>
    <n v="11769"/>
    <n v="48"/>
    <d v="2023-05-21T00:00:00"/>
    <s v="May"/>
    <n v="2023"/>
    <x v="363"/>
    <n v="36"/>
    <s v="4G"/>
  </r>
  <r>
    <n v="11770"/>
    <n v="329"/>
    <d v="2022-03-23T00:00:00"/>
    <s v="March"/>
    <n v="2022"/>
    <x v="183"/>
    <n v="2"/>
    <s v="5G"/>
  </r>
  <r>
    <n v="11771"/>
    <n v="328"/>
    <d v="2023-08-22T00:00:00"/>
    <s v="August"/>
    <n v="2023"/>
    <x v="459"/>
    <n v="12"/>
    <s v="4G"/>
  </r>
  <r>
    <n v="11772"/>
    <n v="116"/>
    <d v="2022-01-02T00:00:00"/>
    <s v="January"/>
    <n v="2022"/>
    <x v="358"/>
    <n v="161"/>
    <s v="4G"/>
  </r>
  <r>
    <n v="11773"/>
    <n v="429"/>
    <d v="2022-07-23T00:00:00"/>
    <s v="July"/>
    <n v="2022"/>
    <x v="493"/>
    <n v="263"/>
    <s v="5G"/>
  </r>
  <r>
    <n v="11774"/>
    <n v="337"/>
    <d v="2023-10-24T00:00:00"/>
    <s v="October"/>
    <n v="2023"/>
    <x v="351"/>
    <n v="82"/>
    <s v="4G"/>
  </r>
  <r>
    <n v="11775"/>
    <n v="337"/>
    <d v="2024-03-15T00:00:00"/>
    <s v="March"/>
    <n v="2024"/>
    <x v="612"/>
    <n v="264"/>
    <s v="4G"/>
  </r>
  <r>
    <n v="11776"/>
    <n v="369"/>
    <d v="2023-02-08T00:00:00"/>
    <s v="February"/>
    <n v="2023"/>
    <x v="78"/>
    <n v="218"/>
    <s v="4G"/>
  </r>
  <r>
    <n v="11777"/>
    <n v="225"/>
    <d v="2022-04-13T00:00:00"/>
    <s v="April"/>
    <n v="2022"/>
    <x v="6"/>
    <n v="145"/>
    <s v="5G"/>
  </r>
  <r>
    <n v="11778"/>
    <n v="352"/>
    <d v="2023-06-20T00:00:00"/>
    <s v="June"/>
    <n v="2023"/>
    <x v="613"/>
    <n v="297"/>
    <s v="4G"/>
  </r>
  <r>
    <n v="11779"/>
    <n v="328"/>
    <d v="2023-01-03T00:00:00"/>
    <s v="January"/>
    <n v="2023"/>
    <x v="496"/>
    <n v="296"/>
    <s v="4G"/>
  </r>
  <r>
    <n v="11780"/>
    <n v="147"/>
    <d v="2022-07-31T00:00:00"/>
    <s v="July"/>
    <n v="2022"/>
    <x v="28"/>
    <n v="160"/>
    <s v="5G"/>
  </r>
  <r>
    <n v="11781"/>
    <n v="63"/>
    <d v="2023-07-31T00:00:00"/>
    <s v="July"/>
    <n v="2023"/>
    <x v="215"/>
    <n v="228"/>
    <s v="5G"/>
  </r>
  <r>
    <n v="11782"/>
    <n v="294"/>
    <d v="2022-07-28T00:00:00"/>
    <s v="July"/>
    <n v="2022"/>
    <x v="475"/>
    <n v="233"/>
    <s v="4G"/>
  </r>
  <r>
    <n v="11783"/>
    <n v="323"/>
    <d v="2024-02-02T00:00:00"/>
    <s v="February"/>
    <n v="2024"/>
    <x v="614"/>
    <n v="88"/>
    <s v="5G"/>
  </r>
  <r>
    <n v="11784"/>
    <n v="443"/>
    <d v="2024-06-15T00:00:00"/>
    <s v="June"/>
    <n v="2024"/>
    <x v="132"/>
    <n v="214"/>
    <s v="5G"/>
  </r>
  <r>
    <n v="11785"/>
    <n v="325"/>
    <d v="2022-04-27T00:00:00"/>
    <s v="April"/>
    <n v="2022"/>
    <x v="149"/>
    <n v="96"/>
    <s v="4G"/>
  </r>
  <r>
    <n v="11786"/>
    <n v="13"/>
    <d v="2023-09-20T00:00:00"/>
    <s v="September"/>
    <n v="2023"/>
    <x v="60"/>
    <n v="212"/>
    <s v="5G"/>
  </r>
  <r>
    <n v="11787"/>
    <n v="431"/>
    <d v="2024-01-19T00:00:00"/>
    <s v="January"/>
    <n v="2024"/>
    <x v="53"/>
    <n v="99"/>
    <s v="4G"/>
  </r>
  <r>
    <n v="11788"/>
    <n v="494"/>
    <d v="2023-04-23T00:00:00"/>
    <s v="April"/>
    <n v="2023"/>
    <x v="615"/>
    <n v="144"/>
    <s v="4G"/>
  </r>
  <r>
    <n v="11789"/>
    <n v="189"/>
    <d v="2022-04-15T00:00:00"/>
    <s v="April"/>
    <n v="2022"/>
    <x v="19"/>
    <n v="9"/>
    <s v="4G"/>
  </r>
  <r>
    <n v="11790"/>
    <n v="287"/>
    <d v="2023-05-10T00:00:00"/>
    <s v="May"/>
    <n v="2023"/>
    <x v="460"/>
    <n v="43"/>
    <s v="4G"/>
  </r>
  <r>
    <n v="11791"/>
    <n v="208"/>
    <d v="2024-02-10T00:00:00"/>
    <s v="February"/>
    <n v="2024"/>
    <x v="353"/>
    <n v="250"/>
    <s v="4G"/>
  </r>
  <r>
    <n v="11792"/>
    <n v="114"/>
    <d v="2022-02-15T00:00:00"/>
    <s v="February"/>
    <n v="2022"/>
    <x v="217"/>
    <n v="226"/>
    <s v="5G"/>
  </r>
  <r>
    <n v="11793"/>
    <n v="480"/>
    <d v="2024-04-02T00:00:00"/>
    <s v="April"/>
    <n v="2024"/>
    <x v="616"/>
    <n v="248"/>
    <s v="4G"/>
  </r>
  <r>
    <n v="11794"/>
    <n v="22"/>
    <d v="2022-11-27T00:00:00"/>
    <s v="November"/>
    <n v="2022"/>
    <x v="395"/>
    <n v="168"/>
    <s v="4G"/>
  </r>
  <r>
    <n v="11795"/>
    <n v="349"/>
    <d v="2022-08-04T00:00:00"/>
    <s v="August"/>
    <n v="2022"/>
    <x v="377"/>
    <n v="129"/>
    <s v="4G"/>
  </r>
  <r>
    <n v="11796"/>
    <n v="214"/>
    <d v="2023-05-07T00:00:00"/>
    <s v="May"/>
    <n v="2023"/>
    <x v="617"/>
    <n v="18"/>
    <s v="5G"/>
  </r>
  <r>
    <n v="11797"/>
    <n v="171"/>
    <d v="2024-03-23T00:00:00"/>
    <s v="March"/>
    <n v="2024"/>
    <x v="7"/>
    <n v="234"/>
    <s v="4G"/>
  </r>
  <r>
    <n v="11798"/>
    <n v="323"/>
    <d v="2024-04-24T00:00:00"/>
    <s v="April"/>
    <n v="2024"/>
    <x v="438"/>
    <n v="0"/>
    <s v="4G"/>
  </r>
  <r>
    <n v="11799"/>
    <n v="54"/>
    <d v="2023-03-25T00:00:00"/>
    <s v="March"/>
    <n v="2023"/>
    <x v="618"/>
    <n v="129"/>
    <s v="4G"/>
  </r>
  <r>
    <n v="11800"/>
    <n v="394"/>
    <d v="2023-06-20T00:00:00"/>
    <s v="June"/>
    <n v="2023"/>
    <x v="8"/>
    <n v="26"/>
    <s v="5G"/>
  </r>
  <r>
    <n v="11801"/>
    <n v="298"/>
    <d v="2023-05-26T00:00:00"/>
    <s v="May"/>
    <n v="2023"/>
    <x v="230"/>
    <n v="1"/>
    <s v="4G"/>
  </r>
  <r>
    <n v="11802"/>
    <n v="320"/>
    <d v="2023-04-03T00:00:00"/>
    <s v="April"/>
    <n v="2023"/>
    <x v="619"/>
    <n v="249"/>
    <s v="5G"/>
  </r>
  <r>
    <n v="11803"/>
    <n v="126"/>
    <d v="2023-07-01T00:00:00"/>
    <s v="July"/>
    <n v="2023"/>
    <x v="114"/>
    <n v="221"/>
    <s v="4G"/>
  </r>
  <r>
    <n v="11804"/>
    <n v="277"/>
    <d v="2023-06-20T00:00:00"/>
    <s v="June"/>
    <n v="2023"/>
    <x v="577"/>
    <n v="137"/>
    <s v="4G"/>
  </r>
  <r>
    <n v="11805"/>
    <n v="464"/>
    <d v="2023-06-24T00:00:00"/>
    <s v="June"/>
    <n v="2023"/>
    <x v="382"/>
    <n v="274"/>
    <s v="4G"/>
  </r>
  <r>
    <n v="11806"/>
    <n v="204"/>
    <d v="2023-04-29T00:00:00"/>
    <s v="April"/>
    <n v="2023"/>
    <x v="181"/>
    <n v="140"/>
    <s v="5G"/>
  </r>
  <r>
    <n v="11807"/>
    <n v="194"/>
    <d v="2022-01-16T00:00:00"/>
    <s v="January"/>
    <n v="2022"/>
    <x v="254"/>
    <n v="255"/>
    <s v="4G"/>
  </r>
  <r>
    <n v="11808"/>
    <n v="169"/>
    <d v="2023-07-25T00:00:00"/>
    <s v="July"/>
    <n v="2023"/>
    <x v="375"/>
    <n v="94"/>
    <s v="4G"/>
  </r>
  <r>
    <n v="11809"/>
    <n v="152"/>
    <d v="2022-08-31T00:00:00"/>
    <s v="August"/>
    <n v="2022"/>
    <x v="45"/>
    <n v="172"/>
    <s v="4G"/>
  </r>
  <r>
    <n v="11810"/>
    <n v="35"/>
    <d v="2022-07-26T00:00:00"/>
    <s v="July"/>
    <n v="2022"/>
    <x v="523"/>
    <n v="56"/>
    <s v="4G"/>
  </r>
  <r>
    <n v="11811"/>
    <n v="184"/>
    <d v="2022-09-28T00:00:00"/>
    <s v="September"/>
    <n v="2022"/>
    <x v="127"/>
    <n v="101"/>
    <s v="4G"/>
  </r>
  <r>
    <n v="11812"/>
    <n v="286"/>
    <d v="2024-01-31T00:00:00"/>
    <s v="January"/>
    <n v="2024"/>
    <x v="390"/>
    <n v="168"/>
    <s v="5G"/>
  </r>
  <r>
    <n v="11813"/>
    <n v="57"/>
    <d v="2024-02-18T00:00:00"/>
    <s v="February"/>
    <n v="2024"/>
    <x v="224"/>
    <n v="69"/>
    <s v="4G"/>
  </r>
  <r>
    <n v="11814"/>
    <n v="222"/>
    <d v="2023-12-06T00:00:00"/>
    <s v="December"/>
    <n v="2023"/>
    <x v="379"/>
    <n v="48"/>
    <s v="4G"/>
  </r>
  <r>
    <n v="11815"/>
    <n v="303"/>
    <d v="2024-04-26T00:00:00"/>
    <s v="April"/>
    <n v="2024"/>
    <x v="253"/>
    <n v="4"/>
    <s v="4G"/>
  </r>
  <r>
    <n v="11816"/>
    <n v="163"/>
    <d v="2023-12-31T00:00:00"/>
    <s v="December"/>
    <n v="2023"/>
    <x v="394"/>
    <n v="201"/>
    <s v="4G"/>
  </r>
  <r>
    <n v="11817"/>
    <n v="19"/>
    <d v="2022-04-25T00:00:00"/>
    <s v="April"/>
    <n v="2022"/>
    <x v="244"/>
    <n v="201"/>
    <s v="4G"/>
  </r>
  <r>
    <n v="11818"/>
    <n v="370"/>
    <d v="2023-08-03T00:00:00"/>
    <s v="August"/>
    <n v="2023"/>
    <x v="125"/>
    <n v="178"/>
    <s v="4G"/>
  </r>
  <r>
    <n v="11819"/>
    <n v="264"/>
    <d v="2022-10-26T00:00:00"/>
    <s v="October"/>
    <n v="2022"/>
    <x v="365"/>
    <n v="56"/>
    <s v="5G"/>
  </r>
  <r>
    <n v="11820"/>
    <n v="282"/>
    <d v="2024-04-16T00:00:00"/>
    <s v="April"/>
    <n v="2024"/>
    <x v="286"/>
    <n v="185"/>
    <s v="4G"/>
  </r>
  <r>
    <n v="11821"/>
    <n v="113"/>
    <d v="2023-04-28T00:00:00"/>
    <s v="April"/>
    <n v="2023"/>
    <x v="211"/>
    <n v="91"/>
    <s v="5G"/>
  </r>
  <r>
    <n v="11822"/>
    <n v="488"/>
    <d v="2023-02-01T00:00:00"/>
    <s v="February"/>
    <n v="2023"/>
    <x v="172"/>
    <n v="291"/>
    <s v="4G"/>
  </r>
  <r>
    <n v="11823"/>
    <n v="327"/>
    <d v="2023-01-29T00:00:00"/>
    <s v="January"/>
    <n v="2023"/>
    <x v="406"/>
    <n v="226"/>
    <s v="4G"/>
  </r>
  <r>
    <n v="11824"/>
    <n v="30"/>
    <d v="2022-03-16T00:00:00"/>
    <s v="March"/>
    <n v="2022"/>
    <x v="166"/>
    <n v="111"/>
    <s v="5G"/>
  </r>
  <r>
    <n v="11825"/>
    <n v="135"/>
    <d v="2023-04-27T00:00:00"/>
    <s v="April"/>
    <n v="2023"/>
    <x v="113"/>
    <n v="147"/>
    <s v="5G"/>
  </r>
  <r>
    <n v="11826"/>
    <n v="67"/>
    <d v="2022-04-13T00:00:00"/>
    <s v="April"/>
    <n v="2022"/>
    <x v="395"/>
    <n v="268"/>
    <s v="4G"/>
  </r>
  <r>
    <n v="11827"/>
    <n v="65"/>
    <d v="2022-10-24T00:00:00"/>
    <s v="October"/>
    <n v="2022"/>
    <x v="269"/>
    <n v="202"/>
    <s v="4G"/>
  </r>
  <r>
    <n v="11828"/>
    <n v="292"/>
    <d v="2022-06-27T00:00:00"/>
    <s v="June"/>
    <n v="2022"/>
    <x v="620"/>
    <n v="55"/>
    <s v="4G"/>
  </r>
  <r>
    <n v="11829"/>
    <n v="25"/>
    <d v="2022-08-03T00:00:00"/>
    <s v="August"/>
    <n v="2022"/>
    <x v="276"/>
    <n v="184"/>
    <s v="4G"/>
  </r>
  <r>
    <n v="11830"/>
    <n v="37"/>
    <d v="2022-11-11T00:00:00"/>
    <s v="November"/>
    <n v="2022"/>
    <x v="163"/>
    <n v="53"/>
    <s v="4G"/>
  </r>
  <r>
    <n v="11831"/>
    <n v="1"/>
    <d v="2022-02-08T00:00:00"/>
    <s v="February"/>
    <n v="2022"/>
    <x v="465"/>
    <n v="36"/>
    <s v="5G"/>
  </r>
  <r>
    <n v="11832"/>
    <n v="399"/>
    <d v="2022-09-16T00:00:00"/>
    <s v="September"/>
    <n v="2022"/>
    <x v="485"/>
    <n v="210"/>
    <s v="4G"/>
  </r>
  <r>
    <n v="11833"/>
    <n v="37"/>
    <d v="2023-12-17T00:00:00"/>
    <s v="December"/>
    <n v="2023"/>
    <x v="36"/>
    <n v="292"/>
    <s v="4G"/>
  </r>
  <r>
    <n v="11834"/>
    <n v="141"/>
    <d v="2022-01-07T00:00:00"/>
    <s v="January"/>
    <n v="2022"/>
    <x v="621"/>
    <n v="269"/>
    <s v="4G"/>
  </r>
  <r>
    <n v="11835"/>
    <n v="232"/>
    <d v="2022-02-18T00:00:00"/>
    <s v="February"/>
    <n v="2022"/>
    <x v="364"/>
    <n v="219"/>
    <s v="4G"/>
  </r>
  <r>
    <n v="11836"/>
    <n v="136"/>
    <d v="2023-06-22T00:00:00"/>
    <s v="June"/>
    <n v="2023"/>
    <x v="28"/>
    <n v="227"/>
    <s v="4G"/>
  </r>
  <r>
    <n v="11837"/>
    <n v="389"/>
    <d v="2022-06-10T00:00:00"/>
    <s v="June"/>
    <n v="2022"/>
    <x v="135"/>
    <n v="210"/>
    <s v="4G"/>
  </r>
  <r>
    <n v="11838"/>
    <n v="188"/>
    <d v="2024-05-18T00:00:00"/>
    <s v="May"/>
    <n v="2024"/>
    <x v="485"/>
    <n v="297"/>
    <s v="5G"/>
  </r>
  <r>
    <n v="11839"/>
    <n v="128"/>
    <d v="2022-06-25T00:00:00"/>
    <s v="June"/>
    <n v="2022"/>
    <x v="307"/>
    <n v="0"/>
    <s v="4G"/>
  </r>
  <r>
    <n v="11840"/>
    <n v="201"/>
    <d v="2023-08-14T00:00:00"/>
    <s v="August"/>
    <n v="2023"/>
    <x v="622"/>
    <n v="22"/>
    <s v="5G"/>
  </r>
  <r>
    <n v="11841"/>
    <n v="127"/>
    <d v="2022-01-02T00:00:00"/>
    <s v="January"/>
    <n v="2022"/>
    <x v="420"/>
    <n v="283"/>
    <s v="4G"/>
  </r>
  <r>
    <n v="11842"/>
    <n v="257"/>
    <d v="2024-06-13T00:00:00"/>
    <s v="June"/>
    <n v="2024"/>
    <x v="82"/>
    <n v="187"/>
    <s v="5G"/>
  </r>
  <r>
    <n v="11843"/>
    <n v="164"/>
    <d v="2023-03-31T00:00:00"/>
    <s v="March"/>
    <n v="2023"/>
    <x v="71"/>
    <n v="17"/>
    <s v="5G"/>
  </r>
  <r>
    <n v="11844"/>
    <n v="35"/>
    <d v="2023-10-06T00:00:00"/>
    <s v="October"/>
    <n v="2023"/>
    <x v="112"/>
    <n v="48"/>
    <s v="5G"/>
  </r>
  <r>
    <n v="11845"/>
    <n v="194"/>
    <d v="2022-10-03T00:00:00"/>
    <s v="October"/>
    <n v="2022"/>
    <x v="129"/>
    <n v="46"/>
    <s v="5G"/>
  </r>
  <r>
    <n v="11846"/>
    <n v="191"/>
    <d v="2023-05-13T00:00:00"/>
    <s v="May"/>
    <n v="2023"/>
    <x v="430"/>
    <n v="114"/>
    <s v="4G"/>
  </r>
  <r>
    <n v="11847"/>
    <n v="104"/>
    <d v="2023-09-21T00:00:00"/>
    <s v="September"/>
    <n v="2023"/>
    <x v="392"/>
    <n v="38"/>
    <s v="5G"/>
  </r>
  <r>
    <n v="11848"/>
    <n v="23"/>
    <d v="2023-11-07T00:00:00"/>
    <s v="November"/>
    <n v="2023"/>
    <x v="384"/>
    <n v="216"/>
    <s v="5G"/>
  </r>
  <r>
    <n v="11849"/>
    <n v="265"/>
    <d v="2024-03-10T00:00:00"/>
    <s v="March"/>
    <n v="2024"/>
    <x v="63"/>
    <n v="209"/>
    <s v="4G"/>
  </r>
  <r>
    <n v="11850"/>
    <n v="290"/>
    <d v="2022-01-28T00:00:00"/>
    <s v="January"/>
    <n v="2022"/>
    <x v="498"/>
    <n v="261"/>
    <s v="4G"/>
  </r>
  <r>
    <n v="11851"/>
    <n v="430"/>
    <d v="2022-11-29T00:00:00"/>
    <s v="November"/>
    <n v="2022"/>
    <x v="216"/>
    <n v="210"/>
    <s v="4G"/>
  </r>
  <r>
    <n v="11852"/>
    <n v="462"/>
    <d v="2022-01-01T00:00:00"/>
    <s v="January"/>
    <n v="2022"/>
    <x v="399"/>
    <n v="52"/>
    <s v="4G"/>
  </r>
  <r>
    <n v="11853"/>
    <n v="384"/>
    <d v="2022-07-07T00:00:00"/>
    <s v="July"/>
    <n v="2022"/>
    <x v="623"/>
    <n v="280"/>
    <s v="4G"/>
  </r>
  <r>
    <n v="11854"/>
    <n v="260"/>
    <d v="2022-02-25T00:00:00"/>
    <s v="February"/>
    <n v="2022"/>
    <x v="107"/>
    <n v="132"/>
    <s v="4G"/>
  </r>
  <r>
    <n v="11855"/>
    <n v="414"/>
    <d v="2023-07-01T00:00:00"/>
    <s v="July"/>
    <n v="2023"/>
    <x v="243"/>
    <n v="263"/>
    <s v="4G"/>
  </r>
  <r>
    <n v="11856"/>
    <n v="479"/>
    <d v="2022-04-22T00:00:00"/>
    <s v="April"/>
    <n v="2022"/>
    <x v="143"/>
    <n v="294"/>
    <s v="5G"/>
  </r>
  <r>
    <n v="11857"/>
    <n v="358"/>
    <d v="2024-03-08T00:00:00"/>
    <s v="March"/>
    <n v="2024"/>
    <x v="290"/>
    <n v="110"/>
    <s v="4G"/>
  </r>
  <r>
    <n v="11858"/>
    <n v="75"/>
    <d v="2022-11-06T00:00:00"/>
    <s v="November"/>
    <n v="2022"/>
    <x v="396"/>
    <n v="42"/>
    <s v="5G"/>
  </r>
  <r>
    <n v="11859"/>
    <n v="355"/>
    <d v="2022-02-05T00:00:00"/>
    <s v="February"/>
    <n v="2022"/>
    <x v="23"/>
    <n v="237"/>
    <s v="4G"/>
  </r>
  <r>
    <n v="11860"/>
    <n v="72"/>
    <d v="2023-03-15T00:00:00"/>
    <s v="March"/>
    <n v="2023"/>
    <x v="174"/>
    <n v="246"/>
    <s v="4G"/>
  </r>
  <r>
    <n v="11861"/>
    <n v="259"/>
    <d v="2023-12-30T00:00:00"/>
    <s v="December"/>
    <n v="2023"/>
    <x v="367"/>
    <n v="3"/>
    <s v="4G"/>
  </r>
  <r>
    <n v="11862"/>
    <n v="398"/>
    <d v="2023-08-15T00:00:00"/>
    <s v="August"/>
    <n v="2023"/>
    <x v="355"/>
    <n v="172"/>
    <s v="4G"/>
  </r>
  <r>
    <n v="11863"/>
    <n v="188"/>
    <d v="2024-04-05T00:00:00"/>
    <s v="April"/>
    <n v="2024"/>
    <x v="624"/>
    <n v="192"/>
    <s v="4G"/>
  </r>
  <r>
    <n v="11864"/>
    <n v="461"/>
    <d v="2023-08-18T00:00:00"/>
    <s v="August"/>
    <n v="2023"/>
    <x v="44"/>
    <n v="2"/>
    <s v="4G"/>
  </r>
  <r>
    <n v="11865"/>
    <n v="173"/>
    <d v="2023-07-31T00:00:00"/>
    <s v="July"/>
    <n v="2023"/>
    <x v="161"/>
    <n v="277"/>
    <s v="4G"/>
  </r>
  <r>
    <n v="11866"/>
    <n v="480"/>
    <d v="2022-11-21T00:00:00"/>
    <s v="November"/>
    <n v="2022"/>
    <x v="34"/>
    <n v="55"/>
    <s v="4G"/>
  </r>
  <r>
    <n v="11867"/>
    <n v="290"/>
    <d v="2023-10-02T00:00:00"/>
    <s v="October"/>
    <n v="2023"/>
    <x v="242"/>
    <n v="273"/>
    <s v="4G"/>
  </r>
  <r>
    <n v="11868"/>
    <n v="45"/>
    <d v="2022-11-03T00:00:00"/>
    <s v="November"/>
    <n v="2022"/>
    <x v="279"/>
    <n v="175"/>
    <s v="4G"/>
  </r>
  <r>
    <n v="11869"/>
    <n v="61"/>
    <d v="2023-06-18T00:00:00"/>
    <s v="June"/>
    <n v="2023"/>
    <x v="625"/>
    <n v="115"/>
    <s v="4G"/>
  </r>
  <r>
    <n v="11870"/>
    <n v="83"/>
    <d v="2023-12-29T00:00:00"/>
    <s v="December"/>
    <n v="2023"/>
    <x v="551"/>
    <n v="83"/>
    <s v="4G"/>
  </r>
  <r>
    <n v="11871"/>
    <n v="123"/>
    <d v="2023-09-11T00:00:00"/>
    <s v="September"/>
    <n v="2023"/>
    <x v="453"/>
    <n v="158"/>
    <s v="4G"/>
  </r>
  <r>
    <n v="11872"/>
    <n v="358"/>
    <d v="2022-04-19T00:00:00"/>
    <s v="April"/>
    <n v="2022"/>
    <x v="560"/>
    <n v="285"/>
    <s v="4G"/>
  </r>
  <r>
    <n v="11873"/>
    <n v="16"/>
    <d v="2023-01-07T00:00:00"/>
    <s v="January"/>
    <n v="2023"/>
    <x v="88"/>
    <n v="79"/>
    <s v="4G"/>
  </r>
  <r>
    <n v="11874"/>
    <n v="66"/>
    <d v="2022-12-23T00:00:00"/>
    <s v="December"/>
    <n v="2022"/>
    <x v="258"/>
    <n v="65"/>
    <s v="4G"/>
  </r>
  <r>
    <n v="11875"/>
    <n v="424"/>
    <d v="2022-06-30T00:00:00"/>
    <s v="June"/>
    <n v="2022"/>
    <x v="254"/>
    <n v="208"/>
    <s v="4G"/>
  </r>
  <r>
    <n v="11876"/>
    <n v="145"/>
    <d v="2022-12-22T00:00:00"/>
    <s v="December"/>
    <n v="2022"/>
    <x v="418"/>
    <n v="9"/>
    <s v="4G"/>
  </r>
  <r>
    <n v="11877"/>
    <n v="375"/>
    <d v="2023-11-07T00:00:00"/>
    <s v="November"/>
    <n v="2023"/>
    <x v="170"/>
    <n v="198"/>
    <s v="4G"/>
  </r>
  <r>
    <n v="11878"/>
    <n v="162"/>
    <d v="2022-03-09T00:00:00"/>
    <s v="March"/>
    <n v="2022"/>
    <x v="407"/>
    <n v="58"/>
    <s v="4G"/>
  </r>
  <r>
    <n v="11879"/>
    <n v="234"/>
    <d v="2022-10-19T00:00:00"/>
    <s v="October"/>
    <n v="2022"/>
    <x v="120"/>
    <n v="233"/>
    <s v="4G"/>
  </r>
  <r>
    <n v="11880"/>
    <n v="380"/>
    <d v="2023-11-23T00:00:00"/>
    <s v="November"/>
    <n v="2023"/>
    <x v="626"/>
    <n v="243"/>
    <s v="5G"/>
  </r>
  <r>
    <n v="11881"/>
    <n v="144"/>
    <d v="2022-06-30T00:00:00"/>
    <s v="June"/>
    <n v="2022"/>
    <x v="627"/>
    <n v="53"/>
    <s v="5G"/>
  </r>
  <r>
    <n v="11882"/>
    <n v="358"/>
    <d v="2023-04-11T00:00:00"/>
    <s v="April"/>
    <n v="2023"/>
    <x v="590"/>
    <n v="8"/>
    <s v="4G"/>
  </r>
  <r>
    <n v="11883"/>
    <n v="188"/>
    <d v="2023-03-10T00:00:00"/>
    <s v="March"/>
    <n v="2023"/>
    <x v="395"/>
    <n v="100"/>
    <s v="5G"/>
  </r>
  <r>
    <n v="11884"/>
    <n v="322"/>
    <d v="2023-04-09T00:00:00"/>
    <s v="April"/>
    <n v="2023"/>
    <x v="157"/>
    <n v="294"/>
    <s v="4G"/>
  </r>
  <r>
    <n v="11885"/>
    <n v="450"/>
    <d v="2023-11-12T00:00:00"/>
    <s v="November"/>
    <n v="2023"/>
    <x v="459"/>
    <n v="202"/>
    <s v="4G"/>
  </r>
  <r>
    <n v="11886"/>
    <n v="474"/>
    <d v="2023-06-18T00:00:00"/>
    <s v="June"/>
    <n v="2023"/>
    <x v="77"/>
    <n v="152"/>
    <s v="5G"/>
  </r>
  <r>
    <n v="11887"/>
    <n v="13"/>
    <d v="2022-03-07T00:00:00"/>
    <s v="March"/>
    <n v="2022"/>
    <x v="85"/>
    <n v="109"/>
    <s v="5G"/>
  </r>
  <r>
    <n v="11888"/>
    <n v="184"/>
    <d v="2022-01-21T00:00:00"/>
    <s v="January"/>
    <n v="2022"/>
    <x v="175"/>
    <n v="265"/>
    <s v="4G"/>
  </r>
  <r>
    <n v="11889"/>
    <n v="111"/>
    <d v="2023-09-04T00:00:00"/>
    <s v="September"/>
    <n v="2023"/>
    <x v="194"/>
    <n v="151"/>
    <s v="4G"/>
  </r>
  <r>
    <n v="11890"/>
    <n v="415"/>
    <d v="2023-01-19T00:00:00"/>
    <s v="January"/>
    <n v="2023"/>
    <x v="179"/>
    <n v="82"/>
    <s v="4G"/>
  </r>
  <r>
    <n v="11891"/>
    <n v="290"/>
    <d v="2024-03-22T00:00:00"/>
    <s v="March"/>
    <n v="2024"/>
    <x v="38"/>
    <n v="133"/>
    <s v="4G"/>
  </r>
  <r>
    <n v="11892"/>
    <n v="295"/>
    <d v="2023-09-07T00:00:00"/>
    <s v="September"/>
    <n v="2023"/>
    <x v="288"/>
    <n v="159"/>
    <s v="4G"/>
  </r>
  <r>
    <n v="11893"/>
    <n v="451"/>
    <d v="2023-07-13T00:00:00"/>
    <s v="July"/>
    <n v="2023"/>
    <x v="591"/>
    <n v="38"/>
    <s v="4G"/>
  </r>
  <r>
    <n v="11894"/>
    <n v="392"/>
    <d v="2022-02-08T00:00:00"/>
    <s v="February"/>
    <n v="2022"/>
    <x v="93"/>
    <n v="175"/>
    <s v="5G"/>
  </r>
  <r>
    <n v="11895"/>
    <n v="215"/>
    <d v="2022-10-12T00:00:00"/>
    <s v="October"/>
    <n v="2022"/>
    <x v="16"/>
    <n v="12"/>
    <s v="4G"/>
  </r>
  <r>
    <n v="11896"/>
    <n v="462"/>
    <d v="2024-04-01T00:00:00"/>
    <s v="April"/>
    <n v="2024"/>
    <x v="402"/>
    <n v="66"/>
    <s v="5G"/>
  </r>
  <r>
    <n v="11897"/>
    <n v="120"/>
    <d v="2023-08-25T00:00:00"/>
    <s v="August"/>
    <n v="2023"/>
    <x v="343"/>
    <n v="247"/>
    <s v="4G"/>
  </r>
  <r>
    <n v="11898"/>
    <n v="382"/>
    <d v="2023-08-20T00:00:00"/>
    <s v="August"/>
    <n v="2023"/>
    <x v="47"/>
    <n v="40"/>
    <s v="4G"/>
  </r>
  <r>
    <n v="11899"/>
    <n v="55"/>
    <d v="2024-02-24T00:00:00"/>
    <s v="February"/>
    <n v="2024"/>
    <x v="628"/>
    <n v="183"/>
    <s v="4G"/>
  </r>
  <r>
    <n v="11900"/>
    <n v="27"/>
    <d v="2022-12-02T00:00:00"/>
    <s v="December"/>
    <n v="2022"/>
    <x v="451"/>
    <n v="34"/>
    <s v="4G"/>
  </r>
  <r>
    <n v="11901"/>
    <n v="118"/>
    <d v="2022-07-07T00:00:00"/>
    <s v="July"/>
    <n v="2022"/>
    <x v="67"/>
    <n v="289"/>
    <s v="4G"/>
  </r>
  <r>
    <n v="11902"/>
    <n v="221"/>
    <d v="2023-11-02T00:00:00"/>
    <s v="November"/>
    <n v="2023"/>
    <x v="140"/>
    <n v="75"/>
    <s v="4G"/>
  </r>
  <r>
    <n v="11903"/>
    <n v="231"/>
    <d v="2022-08-31T00:00:00"/>
    <s v="August"/>
    <n v="2022"/>
    <x v="10"/>
    <n v="69"/>
    <s v="4G"/>
  </r>
  <r>
    <n v="11904"/>
    <n v="53"/>
    <d v="2022-03-14T00:00:00"/>
    <s v="March"/>
    <n v="2022"/>
    <x v="20"/>
    <n v="233"/>
    <s v="4G"/>
  </r>
  <r>
    <n v="11905"/>
    <n v="295"/>
    <d v="2023-04-24T00:00:00"/>
    <s v="April"/>
    <n v="2023"/>
    <x v="138"/>
    <n v="10"/>
    <s v="4G"/>
  </r>
  <r>
    <n v="11906"/>
    <n v="321"/>
    <d v="2023-07-15T00:00:00"/>
    <s v="July"/>
    <n v="2023"/>
    <x v="239"/>
    <n v="282"/>
    <s v="4G"/>
  </r>
  <r>
    <n v="11907"/>
    <n v="401"/>
    <d v="2022-04-11T00:00:00"/>
    <s v="April"/>
    <n v="2022"/>
    <x v="268"/>
    <n v="23"/>
    <s v="4G"/>
  </r>
  <r>
    <n v="11908"/>
    <n v="233"/>
    <d v="2023-05-29T00:00:00"/>
    <s v="May"/>
    <n v="2023"/>
    <x v="246"/>
    <n v="273"/>
    <s v="4G"/>
  </r>
  <r>
    <n v="11909"/>
    <n v="158"/>
    <d v="2024-01-26T00:00:00"/>
    <s v="January"/>
    <n v="2024"/>
    <x v="170"/>
    <n v="26"/>
    <s v="4G"/>
  </r>
  <r>
    <n v="11910"/>
    <n v="437"/>
    <d v="2022-06-25T00:00:00"/>
    <s v="June"/>
    <n v="2022"/>
    <x v="627"/>
    <n v="53"/>
    <s v="5G"/>
  </r>
  <r>
    <n v="11911"/>
    <n v="269"/>
    <d v="2022-08-26T00:00:00"/>
    <s v="August"/>
    <n v="2022"/>
    <x v="313"/>
    <n v="54"/>
    <s v="4G"/>
  </r>
  <r>
    <n v="11912"/>
    <n v="21"/>
    <d v="2022-02-28T00:00:00"/>
    <s v="February"/>
    <n v="2022"/>
    <x v="122"/>
    <n v="232"/>
    <s v="4G"/>
  </r>
  <r>
    <n v="11913"/>
    <n v="403"/>
    <d v="2024-05-14T00:00:00"/>
    <s v="May"/>
    <n v="2024"/>
    <x v="33"/>
    <n v="276"/>
    <s v="4G"/>
  </r>
  <r>
    <n v="11914"/>
    <n v="53"/>
    <d v="2022-04-09T00:00:00"/>
    <s v="April"/>
    <n v="2022"/>
    <x v="610"/>
    <n v="119"/>
    <s v="4G"/>
  </r>
  <r>
    <n v="11915"/>
    <n v="275"/>
    <d v="2024-05-20T00:00:00"/>
    <s v="May"/>
    <n v="2024"/>
    <x v="73"/>
    <n v="224"/>
    <s v="4G"/>
  </r>
  <r>
    <n v="11916"/>
    <n v="313"/>
    <d v="2023-05-10T00:00:00"/>
    <s v="May"/>
    <n v="2023"/>
    <x v="32"/>
    <n v="57"/>
    <s v="4G"/>
  </r>
  <r>
    <n v="11917"/>
    <n v="281"/>
    <d v="2023-05-29T00:00:00"/>
    <s v="May"/>
    <n v="2023"/>
    <x v="182"/>
    <n v="254"/>
    <s v="5G"/>
  </r>
  <r>
    <n v="11918"/>
    <n v="214"/>
    <d v="2024-01-25T00:00:00"/>
    <s v="January"/>
    <n v="2024"/>
    <x v="20"/>
    <n v="175"/>
    <s v="4G"/>
  </r>
  <r>
    <n v="11919"/>
    <n v="31"/>
    <d v="2022-10-24T00:00:00"/>
    <s v="October"/>
    <n v="2022"/>
    <x v="218"/>
    <n v="53"/>
    <s v="4G"/>
  </r>
  <r>
    <n v="11920"/>
    <n v="337"/>
    <d v="2022-07-30T00:00:00"/>
    <s v="July"/>
    <n v="2022"/>
    <x v="27"/>
    <n v="145"/>
    <s v="4G"/>
  </r>
  <r>
    <n v="11921"/>
    <n v="183"/>
    <d v="2022-05-03T00:00:00"/>
    <s v="May"/>
    <n v="2022"/>
    <x v="535"/>
    <n v="258"/>
    <s v="4G"/>
  </r>
  <r>
    <n v="11922"/>
    <n v="23"/>
    <d v="2022-08-17T00:00:00"/>
    <s v="August"/>
    <n v="2022"/>
    <x v="597"/>
    <n v="151"/>
    <s v="4G"/>
  </r>
  <r>
    <n v="11923"/>
    <n v="32"/>
    <d v="2023-08-17T00:00:00"/>
    <s v="August"/>
    <n v="2023"/>
    <x v="489"/>
    <n v="261"/>
    <s v="5G"/>
  </r>
  <r>
    <n v="11924"/>
    <n v="446"/>
    <d v="2023-10-18T00:00:00"/>
    <s v="October"/>
    <n v="2023"/>
    <x v="259"/>
    <n v="18"/>
    <s v="5G"/>
  </r>
  <r>
    <n v="11925"/>
    <n v="74"/>
    <d v="2023-01-23T00:00:00"/>
    <s v="January"/>
    <n v="2023"/>
    <x v="309"/>
    <n v="170"/>
    <s v="5G"/>
  </r>
  <r>
    <n v="11926"/>
    <n v="10"/>
    <d v="2022-05-20T00:00:00"/>
    <s v="May"/>
    <n v="2022"/>
    <x v="629"/>
    <n v="196"/>
    <s v="4G"/>
  </r>
  <r>
    <n v="11927"/>
    <n v="484"/>
    <d v="2023-06-25T00:00:00"/>
    <s v="June"/>
    <n v="2023"/>
    <x v="129"/>
    <n v="72"/>
    <s v="5G"/>
  </r>
  <r>
    <n v="11928"/>
    <n v="456"/>
    <d v="2023-01-26T00:00:00"/>
    <s v="January"/>
    <n v="2023"/>
    <x v="312"/>
    <n v="84"/>
    <s v="4G"/>
  </r>
  <r>
    <n v="11929"/>
    <n v="54"/>
    <d v="2022-09-27T00:00:00"/>
    <s v="September"/>
    <n v="2022"/>
    <x v="132"/>
    <n v="283"/>
    <s v="5G"/>
  </r>
  <r>
    <n v="11930"/>
    <n v="52"/>
    <d v="2024-01-29T00:00:00"/>
    <s v="January"/>
    <n v="2024"/>
    <x v="216"/>
    <n v="131"/>
    <s v="5G"/>
  </r>
  <r>
    <n v="11931"/>
    <n v="148"/>
    <d v="2022-01-12T00:00:00"/>
    <s v="January"/>
    <n v="2022"/>
    <x v="101"/>
    <n v="119"/>
    <s v="4G"/>
  </r>
  <r>
    <n v="11932"/>
    <n v="160"/>
    <d v="2024-05-16T00:00:00"/>
    <s v="May"/>
    <n v="2024"/>
    <x v="143"/>
    <n v="215"/>
    <s v="4G"/>
  </r>
  <r>
    <n v="11933"/>
    <n v="370"/>
    <d v="2023-01-24T00:00:00"/>
    <s v="January"/>
    <n v="2023"/>
    <x v="312"/>
    <n v="135"/>
    <s v="4G"/>
  </r>
  <r>
    <n v="11934"/>
    <n v="14"/>
    <d v="2022-12-03T00:00:00"/>
    <s v="December"/>
    <n v="2022"/>
    <x v="315"/>
    <n v="115"/>
    <s v="5G"/>
  </r>
  <r>
    <n v="11935"/>
    <n v="178"/>
    <d v="2023-05-21T00:00:00"/>
    <s v="May"/>
    <n v="2023"/>
    <x v="473"/>
    <n v="60"/>
    <s v="4G"/>
  </r>
  <r>
    <n v="11936"/>
    <n v="412"/>
    <d v="2022-04-16T00:00:00"/>
    <s v="April"/>
    <n v="2022"/>
    <x v="396"/>
    <n v="16"/>
    <s v="5G"/>
  </r>
  <r>
    <n v="11937"/>
    <n v="366"/>
    <d v="2022-02-01T00:00:00"/>
    <s v="February"/>
    <n v="2022"/>
    <x v="630"/>
    <n v="33"/>
    <s v="4G"/>
  </r>
  <r>
    <n v="11938"/>
    <n v="500"/>
    <d v="2022-03-15T00:00:00"/>
    <s v="March"/>
    <n v="2022"/>
    <x v="325"/>
    <n v="19"/>
    <s v="4G"/>
  </r>
  <r>
    <n v="11939"/>
    <n v="53"/>
    <d v="2022-06-20T00:00:00"/>
    <s v="June"/>
    <n v="2022"/>
    <x v="631"/>
    <n v="207"/>
    <s v="4G"/>
  </r>
  <r>
    <n v="11940"/>
    <n v="408"/>
    <d v="2024-04-28T00:00:00"/>
    <s v="April"/>
    <n v="2024"/>
    <x v="173"/>
    <n v="161"/>
    <s v="5G"/>
  </r>
  <r>
    <n v="11941"/>
    <n v="335"/>
    <d v="2022-03-10T00:00:00"/>
    <s v="March"/>
    <n v="2022"/>
    <x v="152"/>
    <n v="298"/>
    <s v="4G"/>
  </r>
  <r>
    <n v="11942"/>
    <n v="22"/>
    <d v="2024-03-23T00:00:00"/>
    <s v="March"/>
    <n v="2024"/>
    <x v="71"/>
    <n v="9"/>
    <s v="4G"/>
  </r>
  <r>
    <n v="11943"/>
    <n v="30"/>
    <d v="2022-12-28T00:00:00"/>
    <s v="December"/>
    <n v="2022"/>
    <x v="8"/>
    <n v="93"/>
    <s v="4G"/>
  </r>
  <r>
    <n v="11944"/>
    <n v="191"/>
    <d v="2023-10-11T00:00:00"/>
    <s v="October"/>
    <n v="2023"/>
    <x v="127"/>
    <n v="106"/>
    <s v="4G"/>
  </r>
  <r>
    <n v="11945"/>
    <n v="260"/>
    <d v="2023-03-09T00:00:00"/>
    <s v="March"/>
    <n v="2023"/>
    <x v="69"/>
    <n v="104"/>
    <s v="4G"/>
  </r>
  <r>
    <n v="11946"/>
    <n v="205"/>
    <d v="2022-04-10T00:00:00"/>
    <s v="April"/>
    <n v="2022"/>
    <x v="193"/>
    <n v="70"/>
    <s v="4G"/>
  </r>
  <r>
    <n v="11947"/>
    <n v="59"/>
    <d v="2023-10-20T00:00:00"/>
    <s v="October"/>
    <n v="2023"/>
    <x v="387"/>
    <n v="83"/>
    <s v="5G"/>
  </r>
  <r>
    <n v="11948"/>
    <n v="471"/>
    <d v="2022-01-09T00:00:00"/>
    <s v="January"/>
    <n v="2022"/>
    <x v="216"/>
    <n v="208"/>
    <s v="5G"/>
  </r>
  <r>
    <n v="11949"/>
    <n v="264"/>
    <d v="2023-07-28T00:00:00"/>
    <s v="July"/>
    <n v="2023"/>
    <x v="452"/>
    <n v="258"/>
    <s v="4G"/>
  </r>
  <r>
    <n v="11950"/>
    <n v="466"/>
    <d v="2023-11-28T00:00:00"/>
    <s v="November"/>
    <n v="2023"/>
    <x v="338"/>
    <n v="238"/>
    <s v="5G"/>
  </r>
  <r>
    <n v="11951"/>
    <n v="12"/>
    <d v="2022-01-29T00:00:00"/>
    <s v="January"/>
    <n v="2022"/>
    <x v="632"/>
    <n v="231"/>
    <s v="5G"/>
  </r>
  <r>
    <n v="11952"/>
    <n v="119"/>
    <d v="2024-06-11T00:00:00"/>
    <s v="June"/>
    <n v="2024"/>
    <x v="633"/>
    <n v="281"/>
    <s v="4G"/>
  </r>
  <r>
    <n v="11953"/>
    <n v="415"/>
    <d v="2022-04-24T00:00:00"/>
    <s v="April"/>
    <n v="2022"/>
    <x v="508"/>
    <n v="205"/>
    <s v="4G"/>
  </r>
  <r>
    <n v="11954"/>
    <n v="462"/>
    <d v="2023-04-07T00:00:00"/>
    <s v="April"/>
    <n v="2023"/>
    <x v="284"/>
    <n v="263"/>
    <s v="4G"/>
  </r>
  <r>
    <n v="11955"/>
    <n v="290"/>
    <d v="2022-05-23T00:00:00"/>
    <s v="May"/>
    <n v="2022"/>
    <x v="8"/>
    <n v="184"/>
    <s v="4G"/>
  </r>
  <r>
    <n v="11956"/>
    <n v="338"/>
    <d v="2023-01-25T00:00:00"/>
    <s v="January"/>
    <n v="2023"/>
    <x v="353"/>
    <n v="113"/>
    <s v="4G"/>
  </r>
  <r>
    <n v="11957"/>
    <n v="248"/>
    <d v="2023-09-24T00:00:00"/>
    <s v="September"/>
    <n v="2023"/>
    <x v="6"/>
    <n v="78"/>
    <s v="5G"/>
  </r>
  <r>
    <n v="11958"/>
    <n v="354"/>
    <d v="2023-11-13T00:00:00"/>
    <s v="November"/>
    <n v="2023"/>
    <x v="108"/>
    <n v="49"/>
    <s v="5G"/>
  </r>
  <r>
    <n v="11959"/>
    <n v="127"/>
    <d v="2022-06-06T00:00:00"/>
    <s v="June"/>
    <n v="2022"/>
    <x v="56"/>
    <n v="94"/>
    <s v="4G"/>
  </r>
  <r>
    <n v="11960"/>
    <n v="75"/>
    <d v="2022-12-01T00:00:00"/>
    <s v="December"/>
    <n v="2022"/>
    <x v="88"/>
    <n v="257"/>
    <s v="4G"/>
  </r>
  <r>
    <n v="11961"/>
    <n v="361"/>
    <d v="2024-05-10T00:00:00"/>
    <s v="May"/>
    <n v="2024"/>
    <x v="188"/>
    <n v="61"/>
    <s v="4G"/>
  </r>
  <r>
    <n v="11962"/>
    <n v="204"/>
    <d v="2022-09-17T00:00:00"/>
    <s v="September"/>
    <n v="2022"/>
    <x v="191"/>
    <n v="141"/>
    <s v="5G"/>
  </r>
  <r>
    <n v="11963"/>
    <n v="49"/>
    <d v="2022-03-23T00:00:00"/>
    <s v="March"/>
    <n v="2022"/>
    <x v="174"/>
    <n v="221"/>
    <s v="4G"/>
  </r>
  <r>
    <n v="11964"/>
    <n v="79"/>
    <d v="2024-01-24T00:00:00"/>
    <s v="January"/>
    <n v="2024"/>
    <x v="566"/>
    <n v="110"/>
    <s v="4G"/>
  </r>
  <r>
    <n v="11965"/>
    <n v="441"/>
    <d v="2023-03-17T00:00:00"/>
    <s v="March"/>
    <n v="2023"/>
    <x v="108"/>
    <n v="103"/>
    <s v="4G"/>
  </r>
  <r>
    <n v="11966"/>
    <n v="479"/>
    <d v="2022-06-21T00:00:00"/>
    <s v="June"/>
    <n v="2022"/>
    <x v="461"/>
    <n v="14"/>
    <s v="4G"/>
  </r>
  <r>
    <n v="11967"/>
    <n v="241"/>
    <d v="2022-08-19T00:00:00"/>
    <s v="August"/>
    <n v="2022"/>
    <x v="109"/>
    <n v="269"/>
    <s v="4G"/>
  </r>
  <r>
    <n v="11968"/>
    <n v="349"/>
    <d v="2023-12-21T00:00:00"/>
    <s v="December"/>
    <n v="2023"/>
    <x v="634"/>
    <n v="158"/>
    <s v="5G"/>
  </r>
  <r>
    <n v="11969"/>
    <n v="154"/>
    <d v="2022-03-16T00:00:00"/>
    <s v="March"/>
    <n v="2022"/>
    <x v="635"/>
    <n v="156"/>
    <s v="4G"/>
  </r>
  <r>
    <n v="11970"/>
    <n v="274"/>
    <d v="2022-09-27T00:00:00"/>
    <s v="September"/>
    <n v="2022"/>
    <x v="265"/>
    <n v="26"/>
    <s v="5G"/>
  </r>
  <r>
    <n v="11971"/>
    <n v="96"/>
    <d v="2024-06-17T00:00:00"/>
    <s v="June"/>
    <n v="2024"/>
    <x v="591"/>
    <n v="84"/>
    <s v="4G"/>
  </r>
  <r>
    <n v="11972"/>
    <n v="214"/>
    <d v="2023-09-18T00:00:00"/>
    <s v="September"/>
    <n v="2023"/>
    <x v="254"/>
    <n v="8"/>
    <s v="4G"/>
  </r>
  <r>
    <n v="11973"/>
    <n v="294"/>
    <d v="2022-03-03T00:00:00"/>
    <s v="March"/>
    <n v="2022"/>
    <x v="636"/>
    <n v="275"/>
    <s v="4G"/>
  </r>
  <r>
    <n v="11974"/>
    <n v="209"/>
    <d v="2024-05-23T00:00:00"/>
    <s v="May"/>
    <n v="2024"/>
    <x v="316"/>
    <n v="226"/>
    <s v="5G"/>
  </r>
  <r>
    <n v="11975"/>
    <n v="343"/>
    <d v="2022-11-16T00:00:00"/>
    <s v="November"/>
    <n v="2022"/>
    <x v="493"/>
    <n v="185"/>
    <s v="5G"/>
  </r>
  <r>
    <n v="11976"/>
    <n v="88"/>
    <d v="2022-04-12T00:00:00"/>
    <s v="April"/>
    <n v="2022"/>
    <x v="318"/>
    <n v="78"/>
    <s v="4G"/>
  </r>
  <r>
    <n v="11977"/>
    <n v="306"/>
    <d v="2023-03-05T00:00:00"/>
    <s v="March"/>
    <n v="2023"/>
    <x v="334"/>
    <n v="215"/>
    <s v="5G"/>
  </r>
  <r>
    <n v="11978"/>
    <n v="264"/>
    <d v="2024-05-23T00:00:00"/>
    <s v="May"/>
    <n v="2024"/>
    <x v="453"/>
    <n v="56"/>
    <s v="4G"/>
  </r>
  <r>
    <n v="11979"/>
    <n v="425"/>
    <d v="2023-12-23T00:00:00"/>
    <s v="December"/>
    <n v="2023"/>
    <x v="58"/>
    <n v="143"/>
    <s v="4G"/>
  </r>
  <r>
    <n v="11980"/>
    <n v="390"/>
    <d v="2022-09-12T00:00:00"/>
    <s v="September"/>
    <n v="2022"/>
    <x v="131"/>
    <n v="66"/>
    <s v="4G"/>
  </r>
  <r>
    <n v="11981"/>
    <n v="325"/>
    <d v="2023-06-16T00:00:00"/>
    <s v="June"/>
    <n v="2023"/>
    <x v="135"/>
    <n v="274"/>
    <s v="5G"/>
  </r>
  <r>
    <n v="11982"/>
    <n v="428"/>
    <d v="2023-07-24T00:00:00"/>
    <s v="July"/>
    <n v="2023"/>
    <x v="637"/>
    <n v="104"/>
    <s v="4G"/>
  </r>
  <r>
    <n v="11983"/>
    <n v="377"/>
    <d v="2022-04-22T00:00:00"/>
    <s v="April"/>
    <n v="2022"/>
    <x v="22"/>
    <n v="187"/>
    <s v="4G"/>
  </r>
  <r>
    <n v="11984"/>
    <n v="320"/>
    <d v="2022-11-09T00:00:00"/>
    <s v="November"/>
    <n v="2022"/>
    <x v="234"/>
    <n v="163"/>
    <s v="4G"/>
  </r>
  <r>
    <n v="11985"/>
    <n v="157"/>
    <d v="2023-04-06T00:00:00"/>
    <s v="April"/>
    <n v="2023"/>
    <x v="129"/>
    <n v="266"/>
    <s v="4G"/>
  </r>
  <r>
    <n v="11986"/>
    <n v="156"/>
    <d v="2023-12-09T00:00:00"/>
    <s v="December"/>
    <n v="2023"/>
    <x v="225"/>
    <n v="50"/>
    <s v="4G"/>
  </r>
  <r>
    <n v="11987"/>
    <n v="139"/>
    <d v="2024-06-05T00:00:00"/>
    <s v="June"/>
    <n v="2024"/>
    <x v="228"/>
    <n v="125"/>
    <s v="4G"/>
  </r>
  <r>
    <n v="11988"/>
    <n v="121"/>
    <d v="2023-04-07T00:00:00"/>
    <s v="April"/>
    <n v="2023"/>
    <x v="222"/>
    <n v="79"/>
    <s v="4G"/>
  </r>
  <r>
    <n v="11989"/>
    <n v="65"/>
    <d v="2024-05-14T00:00:00"/>
    <s v="May"/>
    <n v="2024"/>
    <x v="63"/>
    <n v="182"/>
    <s v="5G"/>
  </r>
  <r>
    <n v="11990"/>
    <n v="107"/>
    <d v="2022-04-02T00:00:00"/>
    <s v="April"/>
    <n v="2022"/>
    <x v="638"/>
    <n v="16"/>
    <s v="4G"/>
  </r>
  <r>
    <n v="11991"/>
    <n v="147"/>
    <d v="2022-02-21T00:00:00"/>
    <s v="February"/>
    <n v="2022"/>
    <x v="639"/>
    <n v="169"/>
    <s v="4G"/>
  </r>
  <r>
    <n v="11992"/>
    <n v="137"/>
    <d v="2024-03-15T00:00:00"/>
    <s v="March"/>
    <n v="2024"/>
    <x v="513"/>
    <n v="279"/>
    <s v="4G"/>
  </r>
  <r>
    <n v="11993"/>
    <n v="411"/>
    <d v="2023-06-04T00:00:00"/>
    <s v="June"/>
    <n v="2023"/>
    <x v="544"/>
    <n v="213"/>
    <s v="4G"/>
  </r>
  <r>
    <n v="11994"/>
    <n v="162"/>
    <d v="2024-03-22T00:00:00"/>
    <s v="March"/>
    <n v="2024"/>
    <x v="640"/>
    <n v="197"/>
    <s v="5G"/>
  </r>
  <r>
    <n v="11995"/>
    <n v="428"/>
    <d v="2022-04-08T00:00:00"/>
    <s v="April"/>
    <n v="2022"/>
    <x v="358"/>
    <n v="6"/>
    <s v="4G"/>
  </r>
  <r>
    <n v="11996"/>
    <n v="452"/>
    <d v="2022-08-24T00:00:00"/>
    <s v="August"/>
    <n v="2022"/>
    <x v="141"/>
    <n v="10"/>
    <s v="5G"/>
  </r>
  <r>
    <n v="11997"/>
    <n v="100"/>
    <d v="2023-01-09T00:00:00"/>
    <s v="January"/>
    <n v="2023"/>
    <x v="193"/>
    <n v="11"/>
    <s v="5G"/>
  </r>
  <r>
    <n v="11998"/>
    <n v="338"/>
    <d v="2023-08-04T00:00:00"/>
    <s v="August"/>
    <n v="2023"/>
    <x v="226"/>
    <n v="109"/>
    <s v="5G"/>
  </r>
  <r>
    <n v="11999"/>
    <n v="399"/>
    <d v="2023-07-11T00:00:00"/>
    <s v="July"/>
    <n v="2023"/>
    <x v="256"/>
    <n v="132"/>
    <s v="4G"/>
  </r>
  <r>
    <n v="12000"/>
    <n v="307"/>
    <d v="2023-10-11T00:00:00"/>
    <s v="October"/>
    <n v="2023"/>
    <x v="449"/>
    <n v="127"/>
    <s v="4G"/>
  </r>
  <r>
    <n v="12001"/>
    <n v="141"/>
    <d v="2022-08-22T00:00:00"/>
    <s v="August"/>
    <n v="2022"/>
    <x v="119"/>
    <n v="147"/>
    <s v="4G"/>
  </r>
  <r>
    <n v="12002"/>
    <n v="83"/>
    <d v="2022-02-01T00:00:00"/>
    <s v="February"/>
    <n v="2022"/>
    <x v="188"/>
    <n v="53"/>
    <s v="5G"/>
  </r>
  <r>
    <n v="12003"/>
    <n v="177"/>
    <d v="2022-10-16T00:00:00"/>
    <s v="October"/>
    <n v="2022"/>
    <x v="106"/>
    <n v="78"/>
    <s v="4G"/>
  </r>
  <r>
    <n v="12004"/>
    <n v="198"/>
    <d v="2023-09-30T00:00:00"/>
    <s v="September"/>
    <n v="2023"/>
    <x v="250"/>
    <n v="96"/>
    <s v="4G"/>
  </r>
  <r>
    <n v="12005"/>
    <n v="112"/>
    <d v="2023-08-02T00:00:00"/>
    <s v="August"/>
    <n v="2023"/>
    <x v="258"/>
    <n v="248"/>
    <s v="4G"/>
  </r>
  <r>
    <n v="12006"/>
    <n v="56"/>
    <d v="2023-06-26T00:00:00"/>
    <s v="June"/>
    <n v="2023"/>
    <x v="112"/>
    <n v="126"/>
    <s v="4G"/>
  </r>
  <r>
    <n v="12007"/>
    <n v="460"/>
    <d v="2022-04-24T00:00:00"/>
    <s v="April"/>
    <n v="2022"/>
    <x v="265"/>
    <n v="29"/>
    <s v="5G"/>
  </r>
  <r>
    <n v="12008"/>
    <n v="179"/>
    <d v="2022-07-23T00:00:00"/>
    <s v="July"/>
    <n v="2022"/>
    <x v="72"/>
    <n v="23"/>
    <s v="4G"/>
  </r>
  <r>
    <n v="12009"/>
    <n v="421"/>
    <d v="2022-01-29T00:00:00"/>
    <s v="January"/>
    <n v="2022"/>
    <x v="548"/>
    <n v="200"/>
    <s v="4G"/>
  </r>
  <r>
    <n v="12010"/>
    <n v="401"/>
    <d v="2023-10-05T00:00:00"/>
    <s v="October"/>
    <n v="2023"/>
    <x v="353"/>
    <n v="130"/>
    <s v="4G"/>
  </r>
  <r>
    <n v="12011"/>
    <n v="186"/>
    <d v="2023-04-19T00:00:00"/>
    <s v="April"/>
    <n v="2023"/>
    <x v="641"/>
    <n v="121"/>
    <s v="4G"/>
  </r>
  <r>
    <n v="12012"/>
    <n v="471"/>
    <d v="2023-11-28T00:00:00"/>
    <s v="November"/>
    <n v="2023"/>
    <x v="484"/>
    <n v="149"/>
    <s v="5G"/>
  </r>
  <r>
    <n v="12013"/>
    <n v="218"/>
    <d v="2022-09-10T00:00:00"/>
    <s v="September"/>
    <n v="2022"/>
    <x v="642"/>
    <n v="13"/>
    <s v="5G"/>
  </r>
  <r>
    <n v="12014"/>
    <n v="413"/>
    <d v="2024-03-08T00:00:00"/>
    <s v="March"/>
    <n v="2024"/>
    <x v="308"/>
    <n v="28"/>
    <s v="4G"/>
  </r>
  <r>
    <n v="12015"/>
    <n v="417"/>
    <d v="2023-01-21T00:00:00"/>
    <s v="January"/>
    <n v="2023"/>
    <x v="50"/>
    <n v="49"/>
    <s v="4G"/>
  </r>
  <r>
    <n v="12016"/>
    <n v="316"/>
    <d v="2022-03-03T00:00:00"/>
    <s v="March"/>
    <n v="2022"/>
    <x v="643"/>
    <n v="239"/>
    <s v="4G"/>
  </r>
  <r>
    <n v="12017"/>
    <n v="475"/>
    <d v="2023-05-30T00:00:00"/>
    <s v="May"/>
    <n v="2023"/>
    <x v="330"/>
    <n v="282"/>
    <s v="5G"/>
  </r>
  <r>
    <n v="12018"/>
    <n v="217"/>
    <d v="2023-03-06T00:00:00"/>
    <s v="March"/>
    <n v="2023"/>
    <x v="142"/>
    <n v="155"/>
    <s v="5G"/>
  </r>
  <r>
    <n v="12019"/>
    <n v="120"/>
    <d v="2023-08-03T00:00:00"/>
    <s v="August"/>
    <n v="2023"/>
    <x v="32"/>
    <n v="136"/>
    <s v="5G"/>
  </r>
  <r>
    <n v="12020"/>
    <n v="439"/>
    <d v="2023-06-21T00:00:00"/>
    <s v="June"/>
    <n v="2023"/>
    <x v="125"/>
    <n v="153"/>
    <s v="4G"/>
  </r>
  <r>
    <n v="12021"/>
    <n v="394"/>
    <d v="2023-11-22T00:00:00"/>
    <s v="November"/>
    <n v="2023"/>
    <x v="156"/>
    <n v="80"/>
    <s v="5G"/>
  </r>
  <r>
    <n v="12022"/>
    <n v="175"/>
    <d v="2022-05-21T00:00:00"/>
    <s v="May"/>
    <n v="2022"/>
    <x v="140"/>
    <n v="86"/>
    <s v="5G"/>
  </r>
  <r>
    <n v="12023"/>
    <n v="23"/>
    <d v="2024-01-13T00:00:00"/>
    <s v="January"/>
    <n v="2024"/>
    <x v="129"/>
    <n v="263"/>
    <s v="4G"/>
  </r>
  <r>
    <n v="12024"/>
    <n v="213"/>
    <d v="2022-10-27T00:00:00"/>
    <s v="October"/>
    <n v="2022"/>
    <x v="326"/>
    <n v="257"/>
    <s v="4G"/>
  </r>
  <r>
    <n v="12025"/>
    <n v="405"/>
    <d v="2023-11-06T00:00:00"/>
    <s v="November"/>
    <n v="2023"/>
    <x v="368"/>
    <n v="184"/>
    <s v="5G"/>
  </r>
  <r>
    <n v="12026"/>
    <n v="235"/>
    <d v="2022-11-07T00:00:00"/>
    <s v="November"/>
    <n v="2022"/>
    <x v="216"/>
    <n v="179"/>
    <s v="4G"/>
  </r>
  <r>
    <n v="12027"/>
    <n v="13"/>
    <d v="2023-04-16T00:00:00"/>
    <s v="April"/>
    <n v="2023"/>
    <x v="482"/>
    <n v="185"/>
    <s v="4G"/>
  </r>
  <r>
    <n v="12028"/>
    <n v="101"/>
    <d v="2023-01-28T00:00:00"/>
    <s v="January"/>
    <n v="2023"/>
    <x v="411"/>
    <n v="122"/>
    <s v="4G"/>
  </r>
  <r>
    <n v="12029"/>
    <n v="417"/>
    <d v="2023-10-04T00:00:00"/>
    <s v="October"/>
    <n v="2023"/>
    <x v="266"/>
    <n v="95"/>
    <s v="4G"/>
  </r>
  <r>
    <n v="12030"/>
    <n v="24"/>
    <d v="2023-03-21T00:00:00"/>
    <s v="March"/>
    <n v="2023"/>
    <x v="638"/>
    <n v="92"/>
    <s v="4G"/>
  </r>
  <r>
    <n v="12031"/>
    <n v="364"/>
    <d v="2024-01-28T00:00:00"/>
    <s v="January"/>
    <n v="2024"/>
    <x v="234"/>
    <n v="2"/>
    <s v="4G"/>
  </r>
  <r>
    <n v="12032"/>
    <n v="11"/>
    <d v="2024-03-19T00:00:00"/>
    <s v="March"/>
    <n v="2024"/>
    <x v="337"/>
    <n v="1"/>
    <s v="5G"/>
  </r>
  <r>
    <n v="12033"/>
    <n v="273"/>
    <d v="2022-06-21T00:00:00"/>
    <s v="June"/>
    <n v="2022"/>
    <x v="351"/>
    <n v="147"/>
    <s v="5G"/>
  </r>
  <r>
    <n v="12034"/>
    <n v="452"/>
    <d v="2023-07-30T00:00:00"/>
    <s v="July"/>
    <n v="2023"/>
    <x v="365"/>
    <n v="284"/>
    <s v="5G"/>
  </r>
  <r>
    <n v="12035"/>
    <n v="431"/>
    <d v="2022-01-31T00:00:00"/>
    <s v="January"/>
    <n v="2022"/>
    <x v="524"/>
    <n v="144"/>
    <s v="4G"/>
  </r>
  <r>
    <n v="12036"/>
    <n v="281"/>
    <d v="2022-02-16T00:00:00"/>
    <s v="February"/>
    <n v="2022"/>
    <x v="324"/>
    <n v="261"/>
    <s v="4G"/>
  </r>
  <r>
    <n v="12037"/>
    <n v="94"/>
    <d v="2022-05-10T00:00:00"/>
    <s v="May"/>
    <n v="2022"/>
    <x v="528"/>
    <n v="61"/>
    <s v="4G"/>
  </r>
  <r>
    <n v="12038"/>
    <n v="201"/>
    <d v="2022-12-18T00:00:00"/>
    <s v="December"/>
    <n v="2022"/>
    <x v="140"/>
    <n v="225"/>
    <s v="4G"/>
  </r>
  <r>
    <n v="12039"/>
    <n v="21"/>
    <d v="2024-04-24T00:00:00"/>
    <s v="April"/>
    <n v="2024"/>
    <x v="286"/>
    <n v="30"/>
    <s v="4G"/>
  </r>
  <r>
    <n v="12040"/>
    <n v="340"/>
    <d v="2023-09-14T00:00:00"/>
    <s v="September"/>
    <n v="2023"/>
    <x v="56"/>
    <n v="189"/>
    <s v="5G"/>
  </r>
  <r>
    <n v="12041"/>
    <n v="467"/>
    <d v="2023-08-04T00:00:00"/>
    <s v="August"/>
    <n v="2023"/>
    <x v="498"/>
    <n v="267"/>
    <s v="4G"/>
  </r>
  <r>
    <n v="12042"/>
    <n v="211"/>
    <d v="2022-02-27T00:00:00"/>
    <s v="February"/>
    <n v="2022"/>
    <x v="644"/>
    <n v="11"/>
    <s v="4G"/>
  </r>
  <r>
    <n v="12043"/>
    <n v="140"/>
    <d v="2022-04-16T00:00:00"/>
    <s v="April"/>
    <n v="2022"/>
    <x v="185"/>
    <n v="190"/>
    <s v="4G"/>
  </r>
  <r>
    <n v="12044"/>
    <n v="293"/>
    <d v="2024-03-22T00:00:00"/>
    <s v="March"/>
    <n v="2024"/>
    <x v="645"/>
    <n v="24"/>
    <s v="4G"/>
  </r>
  <r>
    <n v="12045"/>
    <n v="298"/>
    <d v="2022-11-26T00:00:00"/>
    <s v="November"/>
    <n v="2022"/>
    <x v="192"/>
    <n v="90"/>
    <s v="5G"/>
  </r>
  <r>
    <n v="12046"/>
    <n v="401"/>
    <d v="2024-02-07T00:00:00"/>
    <s v="February"/>
    <n v="2024"/>
    <x v="79"/>
    <n v="87"/>
    <s v="5G"/>
  </r>
  <r>
    <n v="12047"/>
    <n v="101"/>
    <d v="2024-04-03T00:00:00"/>
    <s v="April"/>
    <n v="2024"/>
    <x v="337"/>
    <n v="273"/>
    <s v="4G"/>
  </r>
  <r>
    <n v="12048"/>
    <n v="304"/>
    <d v="2023-11-14T00:00:00"/>
    <s v="November"/>
    <n v="2023"/>
    <x v="379"/>
    <n v="110"/>
    <s v="4G"/>
  </r>
  <r>
    <n v="12049"/>
    <n v="359"/>
    <d v="2023-01-18T00:00:00"/>
    <s v="January"/>
    <n v="2023"/>
    <x v="179"/>
    <n v="79"/>
    <s v="4G"/>
  </r>
  <r>
    <n v="12050"/>
    <n v="28"/>
    <d v="2022-06-11T00:00:00"/>
    <s v="June"/>
    <n v="2022"/>
    <x v="300"/>
    <n v="139"/>
    <s v="5G"/>
  </r>
  <r>
    <n v="12051"/>
    <n v="41"/>
    <d v="2022-10-13T00:00:00"/>
    <s v="October"/>
    <n v="2022"/>
    <x v="498"/>
    <n v="213"/>
    <s v="4G"/>
  </r>
  <r>
    <n v="12052"/>
    <n v="355"/>
    <d v="2022-03-12T00:00:00"/>
    <s v="March"/>
    <n v="2022"/>
    <x v="379"/>
    <n v="17"/>
    <s v="4G"/>
  </r>
  <r>
    <n v="12053"/>
    <n v="303"/>
    <d v="2024-02-06T00:00:00"/>
    <s v="February"/>
    <n v="2024"/>
    <x v="357"/>
    <n v="53"/>
    <s v="4G"/>
  </r>
  <r>
    <n v="12054"/>
    <n v="496"/>
    <d v="2023-03-30T00:00:00"/>
    <s v="March"/>
    <n v="2023"/>
    <x v="281"/>
    <n v="96"/>
    <s v="4G"/>
  </r>
  <r>
    <n v="12055"/>
    <n v="146"/>
    <d v="2024-06-04T00:00:00"/>
    <s v="June"/>
    <n v="2024"/>
    <x v="239"/>
    <n v="282"/>
    <s v="4G"/>
  </r>
  <r>
    <n v="12056"/>
    <n v="256"/>
    <d v="2023-07-21T00:00:00"/>
    <s v="July"/>
    <n v="2023"/>
    <x v="107"/>
    <n v="233"/>
    <s v="4G"/>
  </r>
  <r>
    <n v="12057"/>
    <n v="462"/>
    <d v="2024-04-14T00:00:00"/>
    <s v="April"/>
    <n v="2024"/>
    <x v="4"/>
    <n v="239"/>
    <s v="4G"/>
  </r>
  <r>
    <n v="12058"/>
    <n v="227"/>
    <d v="2023-02-01T00:00:00"/>
    <s v="February"/>
    <n v="2023"/>
    <x v="88"/>
    <n v="53"/>
    <s v="4G"/>
  </r>
  <r>
    <n v="12059"/>
    <n v="236"/>
    <d v="2023-05-30T00:00:00"/>
    <s v="May"/>
    <n v="2023"/>
    <x v="482"/>
    <n v="86"/>
    <s v="5G"/>
  </r>
  <r>
    <n v="12060"/>
    <n v="361"/>
    <d v="2022-01-26T00:00:00"/>
    <s v="January"/>
    <n v="2022"/>
    <x v="107"/>
    <n v="260"/>
    <s v="4G"/>
  </r>
  <r>
    <n v="12061"/>
    <n v="380"/>
    <d v="2022-11-09T00:00:00"/>
    <s v="November"/>
    <n v="2022"/>
    <x v="462"/>
    <n v="235"/>
    <s v="4G"/>
  </r>
  <r>
    <n v="12062"/>
    <n v="455"/>
    <d v="2022-05-06T00:00:00"/>
    <s v="May"/>
    <n v="2022"/>
    <x v="177"/>
    <n v="122"/>
    <s v="5G"/>
  </r>
  <r>
    <n v="12063"/>
    <n v="489"/>
    <d v="2023-02-12T00:00:00"/>
    <s v="February"/>
    <n v="2023"/>
    <x v="16"/>
    <n v="53"/>
    <s v="5G"/>
  </r>
  <r>
    <n v="12064"/>
    <n v="13"/>
    <d v="2023-07-19T00:00:00"/>
    <s v="July"/>
    <n v="2023"/>
    <x v="527"/>
    <n v="215"/>
    <s v="4G"/>
  </r>
  <r>
    <n v="12065"/>
    <n v="210"/>
    <d v="2022-07-17T00:00:00"/>
    <s v="July"/>
    <n v="2022"/>
    <x v="364"/>
    <n v="196"/>
    <s v="4G"/>
  </r>
  <r>
    <n v="12066"/>
    <n v="229"/>
    <d v="2024-03-21T00:00:00"/>
    <s v="March"/>
    <n v="2024"/>
    <x v="178"/>
    <n v="38"/>
    <s v="4G"/>
  </r>
  <r>
    <n v="12067"/>
    <n v="397"/>
    <d v="2022-07-07T00:00:00"/>
    <s v="July"/>
    <n v="2022"/>
    <x v="599"/>
    <n v="227"/>
    <s v="5G"/>
  </r>
  <r>
    <n v="12068"/>
    <n v="100"/>
    <d v="2023-11-29T00:00:00"/>
    <s v="November"/>
    <n v="2023"/>
    <x v="436"/>
    <n v="236"/>
    <s v="5G"/>
  </r>
  <r>
    <n v="12069"/>
    <n v="31"/>
    <d v="2024-03-27T00:00:00"/>
    <s v="March"/>
    <n v="2024"/>
    <x v="524"/>
    <n v="131"/>
    <s v="4G"/>
  </r>
  <r>
    <n v="12070"/>
    <n v="386"/>
    <d v="2024-03-20T00:00:00"/>
    <s v="March"/>
    <n v="2024"/>
    <x v="495"/>
    <n v="167"/>
    <s v="4G"/>
  </r>
  <r>
    <n v="12071"/>
    <n v="16"/>
    <d v="2023-12-17T00:00:00"/>
    <s v="December"/>
    <n v="2023"/>
    <x v="72"/>
    <n v="36"/>
    <s v="4G"/>
  </r>
  <r>
    <n v="12072"/>
    <n v="137"/>
    <d v="2023-04-29T00:00:00"/>
    <s v="April"/>
    <n v="2023"/>
    <x v="646"/>
    <n v="66"/>
    <s v="4G"/>
  </r>
  <r>
    <n v="12073"/>
    <n v="329"/>
    <d v="2023-03-26T00:00:00"/>
    <s v="March"/>
    <n v="2023"/>
    <x v="222"/>
    <n v="110"/>
    <s v="4G"/>
  </r>
  <r>
    <n v="12074"/>
    <n v="166"/>
    <d v="2023-06-07T00:00:00"/>
    <s v="June"/>
    <n v="2023"/>
    <x v="608"/>
    <n v="218"/>
    <s v="4G"/>
  </r>
  <r>
    <n v="12075"/>
    <n v="459"/>
    <d v="2024-05-20T00:00:00"/>
    <s v="May"/>
    <n v="2024"/>
    <x v="544"/>
    <n v="208"/>
    <s v="4G"/>
  </r>
  <r>
    <n v="12076"/>
    <n v="310"/>
    <d v="2022-12-20T00:00:00"/>
    <s v="December"/>
    <n v="2022"/>
    <x v="106"/>
    <n v="86"/>
    <s v="4G"/>
  </r>
  <r>
    <n v="12077"/>
    <n v="440"/>
    <d v="2023-10-20T00:00:00"/>
    <s v="October"/>
    <n v="2023"/>
    <x v="6"/>
    <n v="178"/>
    <s v="4G"/>
  </r>
  <r>
    <n v="12078"/>
    <n v="470"/>
    <d v="2023-08-20T00:00:00"/>
    <s v="August"/>
    <n v="2023"/>
    <x v="78"/>
    <n v="12"/>
    <s v="4G"/>
  </r>
  <r>
    <n v="12079"/>
    <n v="481"/>
    <d v="2022-04-10T00:00:00"/>
    <s v="April"/>
    <n v="2022"/>
    <x v="429"/>
    <n v="299"/>
    <s v="4G"/>
  </r>
  <r>
    <n v="12080"/>
    <n v="100"/>
    <d v="2023-09-08T00:00:00"/>
    <s v="September"/>
    <n v="2023"/>
    <x v="406"/>
    <n v="124"/>
    <s v="4G"/>
  </r>
  <r>
    <n v="12081"/>
    <n v="109"/>
    <d v="2023-07-12T00:00:00"/>
    <s v="July"/>
    <n v="2023"/>
    <x v="211"/>
    <n v="232"/>
    <s v="5G"/>
  </r>
  <r>
    <n v="12082"/>
    <n v="343"/>
    <d v="2023-07-10T00:00:00"/>
    <s v="July"/>
    <n v="2023"/>
    <x v="216"/>
    <n v="250"/>
    <s v="4G"/>
  </r>
  <r>
    <n v="12083"/>
    <n v="173"/>
    <d v="2022-10-05T00:00:00"/>
    <s v="October"/>
    <n v="2022"/>
    <x v="212"/>
    <n v="125"/>
    <s v="5G"/>
  </r>
  <r>
    <n v="12084"/>
    <n v="237"/>
    <d v="2023-11-24T00:00:00"/>
    <s v="November"/>
    <n v="2023"/>
    <x v="431"/>
    <n v="234"/>
    <s v="4G"/>
  </r>
  <r>
    <n v="12085"/>
    <n v="162"/>
    <d v="2023-11-30T00:00:00"/>
    <s v="November"/>
    <n v="2023"/>
    <x v="173"/>
    <n v="137"/>
    <s v="5G"/>
  </r>
  <r>
    <n v="12086"/>
    <n v="393"/>
    <d v="2023-09-18T00:00:00"/>
    <s v="September"/>
    <n v="2023"/>
    <x v="608"/>
    <n v="48"/>
    <s v="5G"/>
  </r>
  <r>
    <n v="12087"/>
    <n v="216"/>
    <d v="2023-05-06T00:00:00"/>
    <s v="May"/>
    <n v="2023"/>
    <x v="647"/>
    <n v="185"/>
    <s v="4G"/>
  </r>
  <r>
    <n v="12088"/>
    <n v="264"/>
    <d v="2022-09-12T00:00:00"/>
    <s v="September"/>
    <n v="2022"/>
    <x v="480"/>
    <n v="204"/>
    <s v="4G"/>
  </r>
  <r>
    <n v="12089"/>
    <n v="263"/>
    <d v="2023-01-16T00:00:00"/>
    <s v="January"/>
    <n v="2023"/>
    <x v="376"/>
    <n v="77"/>
    <s v="4G"/>
  </r>
  <r>
    <n v="12090"/>
    <n v="292"/>
    <d v="2024-06-10T00:00:00"/>
    <s v="June"/>
    <n v="2024"/>
    <x v="197"/>
    <n v="193"/>
    <s v="5G"/>
  </r>
  <r>
    <n v="12091"/>
    <n v="274"/>
    <d v="2023-06-26T00:00:00"/>
    <s v="June"/>
    <n v="2023"/>
    <x v="392"/>
    <n v="102"/>
    <s v="4G"/>
  </r>
  <r>
    <n v="12092"/>
    <n v="3"/>
    <d v="2022-09-21T00:00:00"/>
    <s v="September"/>
    <n v="2022"/>
    <x v="648"/>
    <n v="104"/>
    <s v="4G"/>
  </r>
  <r>
    <n v="12093"/>
    <n v="28"/>
    <d v="2023-09-02T00:00:00"/>
    <s v="September"/>
    <n v="2023"/>
    <x v="56"/>
    <n v="286"/>
    <s v="4G"/>
  </r>
  <r>
    <n v="12094"/>
    <n v="326"/>
    <d v="2024-04-04T00:00:00"/>
    <s v="April"/>
    <n v="2024"/>
    <x v="54"/>
    <n v="210"/>
    <s v="5G"/>
  </r>
  <r>
    <n v="12095"/>
    <n v="492"/>
    <d v="2024-05-28T00:00:00"/>
    <s v="May"/>
    <n v="2024"/>
    <x v="395"/>
    <n v="249"/>
    <s v="4G"/>
  </r>
  <r>
    <n v="12096"/>
    <n v="428"/>
    <d v="2022-11-25T00:00:00"/>
    <s v="November"/>
    <n v="2022"/>
    <x v="649"/>
    <n v="292"/>
    <s v="4G"/>
  </r>
  <r>
    <n v="12097"/>
    <n v="149"/>
    <d v="2022-04-25T00:00:00"/>
    <s v="April"/>
    <n v="2022"/>
    <x v="266"/>
    <n v="200"/>
    <s v="4G"/>
  </r>
  <r>
    <n v="12098"/>
    <n v="28"/>
    <d v="2022-10-03T00:00:00"/>
    <s v="October"/>
    <n v="2022"/>
    <x v="258"/>
    <n v="23"/>
    <s v="4G"/>
  </r>
  <r>
    <n v="12099"/>
    <n v="488"/>
    <d v="2023-05-03T00:00:00"/>
    <s v="May"/>
    <n v="2023"/>
    <x v="222"/>
    <n v="299"/>
    <s v="4G"/>
  </r>
  <r>
    <n v="12100"/>
    <n v="310"/>
    <d v="2022-10-08T00:00:00"/>
    <s v="October"/>
    <n v="2022"/>
    <x v="275"/>
    <n v="82"/>
    <s v="4G"/>
  </r>
  <r>
    <n v="12101"/>
    <n v="438"/>
    <d v="2022-10-02T00:00:00"/>
    <s v="October"/>
    <n v="2022"/>
    <x v="650"/>
    <n v="296"/>
    <s v="5G"/>
  </r>
  <r>
    <n v="12102"/>
    <n v="65"/>
    <d v="2024-02-12T00:00:00"/>
    <s v="February"/>
    <n v="2024"/>
    <x v="211"/>
    <n v="178"/>
    <s v="5G"/>
  </r>
  <r>
    <n v="12103"/>
    <n v="356"/>
    <d v="2024-04-22T00:00:00"/>
    <s v="April"/>
    <n v="2024"/>
    <x v="428"/>
    <n v="297"/>
    <s v="5G"/>
  </r>
  <r>
    <n v="12104"/>
    <n v="21"/>
    <d v="2023-12-20T00:00:00"/>
    <s v="December"/>
    <n v="2023"/>
    <x v="488"/>
    <n v="205"/>
    <s v="4G"/>
  </r>
  <r>
    <n v="12105"/>
    <n v="252"/>
    <d v="2024-06-14T00:00:00"/>
    <s v="June"/>
    <n v="2024"/>
    <x v="392"/>
    <n v="39"/>
    <s v="5G"/>
  </r>
  <r>
    <n v="12106"/>
    <n v="235"/>
    <d v="2022-11-24T00:00:00"/>
    <s v="November"/>
    <n v="2022"/>
    <x v="651"/>
    <n v="112"/>
    <s v="4G"/>
  </r>
  <r>
    <n v="12107"/>
    <n v="227"/>
    <d v="2022-07-30T00:00:00"/>
    <s v="July"/>
    <n v="2022"/>
    <x v="64"/>
    <n v="3"/>
    <s v="4G"/>
  </r>
  <r>
    <n v="12108"/>
    <n v="13"/>
    <d v="2023-12-28T00:00:00"/>
    <s v="December"/>
    <n v="2023"/>
    <x v="97"/>
    <n v="107"/>
    <s v="5G"/>
  </r>
  <r>
    <n v="12109"/>
    <n v="313"/>
    <d v="2023-07-06T00:00:00"/>
    <s v="July"/>
    <n v="2023"/>
    <x v="334"/>
    <n v="113"/>
    <s v="5G"/>
  </r>
  <r>
    <n v="12110"/>
    <n v="49"/>
    <d v="2022-01-26T00:00:00"/>
    <s v="January"/>
    <n v="2022"/>
    <x v="368"/>
    <n v="166"/>
    <s v="4G"/>
  </r>
  <r>
    <n v="12111"/>
    <n v="118"/>
    <d v="2022-01-27T00:00:00"/>
    <s v="January"/>
    <n v="2022"/>
    <x v="303"/>
    <n v="260"/>
    <s v="5G"/>
  </r>
  <r>
    <n v="12112"/>
    <n v="54"/>
    <d v="2023-12-03T00:00:00"/>
    <s v="December"/>
    <n v="2023"/>
    <x v="376"/>
    <n v="105"/>
    <s v="5G"/>
  </r>
  <r>
    <n v="12113"/>
    <n v="138"/>
    <d v="2022-03-24T00:00:00"/>
    <s v="March"/>
    <n v="2022"/>
    <x v="22"/>
    <n v="223"/>
    <s v="4G"/>
  </r>
  <r>
    <n v="12114"/>
    <n v="53"/>
    <d v="2024-06-14T00:00:00"/>
    <s v="June"/>
    <n v="2024"/>
    <x v="288"/>
    <n v="261"/>
    <s v="4G"/>
  </r>
  <r>
    <n v="12115"/>
    <n v="44"/>
    <d v="2023-11-13T00:00:00"/>
    <s v="November"/>
    <n v="2023"/>
    <x v="56"/>
    <n v="250"/>
    <s v="5G"/>
  </r>
  <r>
    <n v="12116"/>
    <n v="303"/>
    <d v="2023-02-17T00:00:00"/>
    <s v="February"/>
    <n v="2023"/>
    <x v="163"/>
    <n v="13"/>
    <s v="4G"/>
  </r>
  <r>
    <n v="12117"/>
    <n v="53"/>
    <d v="2022-06-16T00:00:00"/>
    <s v="June"/>
    <n v="2022"/>
    <x v="122"/>
    <n v="197"/>
    <s v="4G"/>
  </r>
  <r>
    <n v="12118"/>
    <n v="74"/>
    <d v="2023-12-01T00:00:00"/>
    <s v="December"/>
    <n v="2023"/>
    <x v="338"/>
    <n v="125"/>
    <s v="5G"/>
  </r>
  <r>
    <n v="12119"/>
    <n v="46"/>
    <d v="2022-06-18T00:00:00"/>
    <s v="June"/>
    <n v="2022"/>
    <x v="305"/>
    <n v="205"/>
    <s v="4G"/>
  </r>
  <r>
    <n v="12120"/>
    <n v="13"/>
    <d v="2024-03-11T00:00:00"/>
    <s v="March"/>
    <n v="2024"/>
    <x v="443"/>
    <n v="139"/>
    <s v="4G"/>
  </r>
  <r>
    <n v="12121"/>
    <n v="165"/>
    <d v="2022-08-17T00:00:00"/>
    <s v="August"/>
    <n v="2022"/>
    <x v="555"/>
    <n v="61"/>
    <s v="4G"/>
  </r>
  <r>
    <n v="12122"/>
    <n v="102"/>
    <d v="2023-09-01T00:00:00"/>
    <s v="September"/>
    <n v="2023"/>
    <x v="517"/>
    <n v="282"/>
    <s v="4G"/>
  </r>
  <r>
    <n v="12123"/>
    <n v="280"/>
    <d v="2023-01-02T00:00:00"/>
    <s v="January"/>
    <n v="2023"/>
    <x v="315"/>
    <n v="53"/>
    <s v="5G"/>
  </r>
  <r>
    <n v="12124"/>
    <n v="258"/>
    <d v="2023-06-12T00:00:00"/>
    <s v="June"/>
    <n v="2023"/>
    <x v="41"/>
    <n v="11"/>
    <s v="4G"/>
  </r>
  <r>
    <n v="12125"/>
    <n v="470"/>
    <d v="2024-03-01T00:00:00"/>
    <s v="March"/>
    <n v="2024"/>
    <x v="98"/>
    <n v="135"/>
    <s v="4G"/>
  </r>
  <r>
    <n v="12126"/>
    <n v="337"/>
    <d v="2023-10-09T00:00:00"/>
    <s v="October"/>
    <n v="2023"/>
    <x v="652"/>
    <n v="143"/>
    <s v="5G"/>
  </r>
  <r>
    <n v="12127"/>
    <n v="356"/>
    <d v="2023-06-22T00:00:00"/>
    <s v="June"/>
    <n v="2023"/>
    <x v="46"/>
    <n v="281"/>
    <s v="5G"/>
  </r>
  <r>
    <n v="12128"/>
    <n v="398"/>
    <d v="2024-05-13T00:00:00"/>
    <s v="May"/>
    <n v="2024"/>
    <x v="619"/>
    <n v="135"/>
    <s v="4G"/>
  </r>
  <r>
    <n v="12129"/>
    <n v="138"/>
    <d v="2023-06-08T00:00:00"/>
    <s v="June"/>
    <n v="2023"/>
    <x v="626"/>
    <n v="220"/>
    <s v="5G"/>
  </r>
  <r>
    <n v="12130"/>
    <n v="163"/>
    <d v="2022-03-13T00:00:00"/>
    <s v="March"/>
    <n v="2022"/>
    <x v="4"/>
    <n v="208"/>
    <s v="4G"/>
  </r>
  <r>
    <n v="12131"/>
    <n v="409"/>
    <d v="2023-10-07T00:00:00"/>
    <s v="October"/>
    <n v="2023"/>
    <x v="313"/>
    <n v="122"/>
    <s v="4G"/>
  </r>
  <r>
    <n v="12132"/>
    <n v="387"/>
    <d v="2022-04-16T00:00:00"/>
    <s v="April"/>
    <n v="2022"/>
    <x v="469"/>
    <n v="115"/>
    <s v="4G"/>
  </r>
  <r>
    <n v="12133"/>
    <n v="111"/>
    <d v="2024-01-02T00:00:00"/>
    <s v="January"/>
    <n v="2024"/>
    <x v="418"/>
    <n v="156"/>
    <s v="4G"/>
  </r>
  <r>
    <n v="12134"/>
    <n v="102"/>
    <d v="2024-06-03T00:00:00"/>
    <s v="June"/>
    <n v="2024"/>
    <x v="177"/>
    <n v="269"/>
    <s v="4G"/>
  </r>
  <r>
    <n v="12135"/>
    <n v="17"/>
    <d v="2023-11-20T00:00:00"/>
    <s v="November"/>
    <n v="2023"/>
    <x v="648"/>
    <n v="16"/>
    <s v="4G"/>
  </r>
  <r>
    <n v="12136"/>
    <n v="268"/>
    <d v="2022-10-09T00:00:00"/>
    <s v="October"/>
    <n v="2022"/>
    <x v="234"/>
    <n v="268"/>
    <s v="4G"/>
  </r>
  <r>
    <n v="12137"/>
    <n v="182"/>
    <d v="2022-05-13T00:00:00"/>
    <s v="May"/>
    <n v="2022"/>
    <x v="455"/>
    <n v="218"/>
    <s v="4G"/>
  </r>
  <r>
    <n v="12138"/>
    <n v="372"/>
    <d v="2023-06-18T00:00:00"/>
    <s v="June"/>
    <n v="2023"/>
    <x v="485"/>
    <n v="237"/>
    <s v="4G"/>
  </r>
  <r>
    <n v="12139"/>
    <n v="24"/>
    <d v="2022-09-26T00:00:00"/>
    <s v="September"/>
    <n v="2022"/>
    <x v="338"/>
    <n v="32"/>
    <s v="4G"/>
  </r>
  <r>
    <n v="12140"/>
    <n v="29"/>
    <d v="2023-02-16T00:00:00"/>
    <s v="February"/>
    <n v="2023"/>
    <x v="190"/>
    <n v="284"/>
    <s v="4G"/>
  </r>
  <r>
    <n v="12141"/>
    <n v="171"/>
    <d v="2023-11-04T00:00:00"/>
    <s v="November"/>
    <n v="2023"/>
    <x v="67"/>
    <n v="36"/>
    <s v="4G"/>
  </r>
  <r>
    <n v="12142"/>
    <n v="409"/>
    <d v="2023-09-11T00:00:00"/>
    <s v="September"/>
    <n v="2023"/>
    <x v="114"/>
    <n v="102"/>
    <s v="4G"/>
  </r>
  <r>
    <n v="12143"/>
    <n v="228"/>
    <d v="2024-03-01T00:00:00"/>
    <s v="March"/>
    <n v="2024"/>
    <x v="4"/>
    <n v="210"/>
    <s v="4G"/>
  </r>
  <r>
    <n v="12144"/>
    <n v="378"/>
    <d v="2024-05-14T00:00:00"/>
    <s v="May"/>
    <n v="2024"/>
    <x v="50"/>
    <n v="279"/>
    <s v="4G"/>
  </r>
  <r>
    <n v="12145"/>
    <n v="188"/>
    <d v="2024-01-17T00:00:00"/>
    <s v="January"/>
    <n v="2024"/>
    <x v="84"/>
    <n v="141"/>
    <s v="4G"/>
  </r>
  <r>
    <n v="12146"/>
    <n v="346"/>
    <d v="2022-01-18T00:00:00"/>
    <s v="January"/>
    <n v="2022"/>
    <x v="126"/>
    <n v="238"/>
    <s v="5G"/>
  </r>
  <r>
    <n v="12147"/>
    <n v="230"/>
    <d v="2024-01-24T00:00:00"/>
    <s v="January"/>
    <n v="2024"/>
    <x v="142"/>
    <n v="228"/>
    <s v="5G"/>
  </r>
  <r>
    <n v="12148"/>
    <n v="321"/>
    <d v="2022-04-27T00:00:00"/>
    <s v="April"/>
    <n v="2022"/>
    <x v="187"/>
    <n v="132"/>
    <s v="5G"/>
  </r>
  <r>
    <n v="12149"/>
    <n v="340"/>
    <d v="2024-03-08T00:00:00"/>
    <s v="March"/>
    <n v="2024"/>
    <x v="498"/>
    <n v="124"/>
    <s v="4G"/>
  </r>
  <r>
    <n v="12150"/>
    <n v="119"/>
    <d v="2024-03-04T00:00:00"/>
    <s v="March"/>
    <n v="2024"/>
    <x v="174"/>
    <n v="52"/>
    <s v="4G"/>
  </r>
  <r>
    <n v="12151"/>
    <n v="156"/>
    <d v="2022-05-24T00:00:00"/>
    <s v="May"/>
    <n v="2022"/>
    <x v="59"/>
    <n v="87"/>
    <s v="4G"/>
  </r>
  <r>
    <n v="12152"/>
    <n v="272"/>
    <d v="2023-12-18T00:00:00"/>
    <s v="December"/>
    <n v="2023"/>
    <x v="653"/>
    <n v="97"/>
    <s v="5G"/>
  </r>
  <r>
    <n v="12153"/>
    <n v="175"/>
    <d v="2023-07-05T00:00:00"/>
    <s v="July"/>
    <n v="2023"/>
    <x v="8"/>
    <n v="94"/>
    <s v="4G"/>
  </r>
  <r>
    <n v="12154"/>
    <n v="465"/>
    <d v="2023-10-28T00:00:00"/>
    <s v="October"/>
    <n v="2023"/>
    <x v="78"/>
    <n v="187"/>
    <s v="4G"/>
  </r>
  <r>
    <n v="12155"/>
    <n v="104"/>
    <d v="2023-11-19T00:00:00"/>
    <s v="November"/>
    <n v="2023"/>
    <x v="10"/>
    <n v="255"/>
    <s v="4G"/>
  </r>
  <r>
    <n v="12156"/>
    <n v="92"/>
    <d v="2024-01-23T00:00:00"/>
    <s v="January"/>
    <n v="2024"/>
    <x v="654"/>
    <n v="72"/>
    <s v="5G"/>
  </r>
  <r>
    <n v="12157"/>
    <n v="186"/>
    <d v="2023-02-26T00:00:00"/>
    <s v="February"/>
    <n v="2023"/>
    <x v="480"/>
    <n v="281"/>
    <s v="4G"/>
  </r>
  <r>
    <n v="12158"/>
    <n v="460"/>
    <d v="2024-06-16T00:00:00"/>
    <s v="June"/>
    <n v="2024"/>
    <x v="158"/>
    <n v="17"/>
    <s v="4G"/>
  </r>
  <r>
    <n v="12159"/>
    <n v="283"/>
    <d v="2023-01-04T00:00:00"/>
    <s v="January"/>
    <n v="2023"/>
    <x v="119"/>
    <n v="163"/>
    <s v="5G"/>
  </r>
  <r>
    <n v="12160"/>
    <n v="181"/>
    <d v="2023-10-08T00:00:00"/>
    <s v="October"/>
    <n v="2023"/>
    <x v="311"/>
    <n v="145"/>
    <s v="4G"/>
  </r>
  <r>
    <n v="12161"/>
    <n v="170"/>
    <d v="2023-07-12T00:00:00"/>
    <s v="July"/>
    <n v="2023"/>
    <x v="242"/>
    <n v="252"/>
    <s v="4G"/>
  </r>
  <r>
    <n v="12162"/>
    <n v="187"/>
    <d v="2022-02-19T00:00:00"/>
    <s v="February"/>
    <n v="2022"/>
    <x v="517"/>
    <n v="159"/>
    <s v="4G"/>
  </r>
  <r>
    <n v="12163"/>
    <n v="175"/>
    <d v="2023-11-09T00:00:00"/>
    <s v="November"/>
    <n v="2023"/>
    <x v="432"/>
    <n v="48"/>
    <s v="4G"/>
  </r>
  <r>
    <n v="12164"/>
    <n v="222"/>
    <d v="2022-04-16T00:00:00"/>
    <s v="April"/>
    <n v="2022"/>
    <x v="655"/>
    <n v="175"/>
    <s v="4G"/>
  </r>
  <r>
    <n v="12165"/>
    <n v="233"/>
    <d v="2022-08-04T00:00:00"/>
    <s v="August"/>
    <n v="2022"/>
    <x v="188"/>
    <n v="64"/>
    <s v="4G"/>
  </r>
  <r>
    <n v="12166"/>
    <n v="162"/>
    <d v="2023-10-20T00:00:00"/>
    <s v="October"/>
    <n v="2023"/>
    <x v="177"/>
    <n v="288"/>
    <s v="4G"/>
  </r>
  <r>
    <n v="12167"/>
    <n v="421"/>
    <d v="2023-03-01T00:00:00"/>
    <s v="March"/>
    <n v="2023"/>
    <x v="573"/>
    <n v="49"/>
    <s v="5G"/>
  </r>
  <r>
    <n v="12168"/>
    <n v="134"/>
    <d v="2022-03-13T00:00:00"/>
    <s v="March"/>
    <n v="2022"/>
    <x v="370"/>
    <n v="3"/>
    <s v="4G"/>
  </r>
  <r>
    <n v="12169"/>
    <n v="391"/>
    <d v="2024-04-21T00:00:00"/>
    <s v="April"/>
    <n v="2024"/>
    <x v="585"/>
    <n v="118"/>
    <s v="4G"/>
  </r>
  <r>
    <n v="12170"/>
    <n v="480"/>
    <d v="2024-02-24T00:00:00"/>
    <s v="February"/>
    <n v="2024"/>
    <x v="100"/>
    <n v="163"/>
    <s v="4G"/>
  </r>
  <r>
    <n v="12171"/>
    <n v="224"/>
    <d v="2024-01-29T00:00:00"/>
    <s v="January"/>
    <n v="2024"/>
    <x v="379"/>
    <n v="222"/>
    <s v="5G"/>
  </r>
  <r>
    <n v="12172"/>
    <n v="153"/>
    <d v="2023-03-22T00:00:00"/>
    <s v="March"/>
    <n v="2023"/>
    <x v="288"/>
    <n v="155"/>
    <s v="4G"/>
  </r>
  <r>
    <n v="12173"/>
    <n v="33"/>
    <d v="2022-07-05T00:00:00"/>
    <s v="July"/>
    <n v="2022"/>
    <x v="175"/>
    <n v="261"/>
    <s v="4G"/>
  </r>
  <r>
    <n v="12174"/>
    <n v="55"/>
    <d v="2022-03-11T00:00:00"/>
    <s v="March"/>
    <n v="2022"/>
    <x v="589"/>
    <n v="172"/>
    <s v="4G"/>
  </r>
  <r>
    <n v="12175"/>
    <n v="442"/>
    <d v="2022-05-30T00:00:00"/>
    <s v="May"/>
    <n v="2022"/>
    <x v="407"/>
    <n v="22"/>
    <s v="4G"/>
  </r>
  <r>
    <n v="12176"/>
    <n v="7"/>
    <d v="2022-09-03T00:00:00"/>
    <s v="September"/>
    <n v="2022"/>
    <x v="596"/>
    <n v="60"/>
    <s v="4G"/>
  </r>
  <r>
    <n v="12177"/>
    <n v="244"/>
    <d v="2024-02-13T00:00:00"/>
    <s v="February"/>
    <n v="2024"/>
    <x v="233"/>
    <n v="133"/>
    <s v="5G"/>
  </r>
  <r>
    <n v="12178"/>
    <n v="313"/>
    <d v="2023-06-22T00:00:00"/>
    <s v="June"/>
    <n v="2023"/>
    <x v="405"/>
    <n v="23"/>
    <s v="4G"/>
  </r>
  <r>
    <n v="12179"/>
    <n v="126"/>
    <d v="2023-10-14T00:00:00"/>
    <s v="October"/>
    <n v="2023"/>
    <x v="8"/>
    <n v="292"/>
    <s v="5G"/>
  </r>
  <r>
    <n v="12180"/>
    <n v="12"/>
    <d v="2022-04-09T00:00:00"/>
    <s v="April"/>
    <n v="2022"/>
    <x v="656"/>
    <n v="44"/>
    <s v="4G"/>
  </r>
  <r>
    <n v="12181"/>
    <n v="16"/>
    <d v="2022-10-05T00:00:00"/>
    <s v="October"/>
    <n v="2022"/>
    <x v="330"/>
    <n v="178"/>
    <s v="5G"/>
  </r>
  <r>
    <n v="12182"/>
    <n v="208"/>
    <d v="2023-07-17T00:00:00"/>
    <s v="July"/>
    <n v="2023"/>
    <x v="573"/>
    <n v="62"/>
    <s v="4G"/>
  </r>
  <r>
    <n v="12183"/>
    <n v="43"/>
    <d v="2023-10-25T00:00:00"/>
    <s v="October"/>
    <n v="2023"/>
    <x v="23"/>
    <n v="28"/>
    <s v="4G"/>
  </r>
  <r>
    <n v="12184"/>
    <n v="373"/>
    <d v="2023-03-31T00:00:00"/>
    <s v="March"/>
    <n v="2023"/>
    <x v="488"/>
    <n v="95"/>
    <s v="4G"/>
  </r>
  <r>
    <n v="12185"/>
    <n v="484"/>
    <d v="2022-04-14T00:00:00"/>
    <s v="April"/>
    <n v="2022"/>
    <x v="300"/>
    <n v="265"/>
    <s v="4G"/>
  </r>
  <r>
    <n v="12186"/>
    <n v="461"/>
    <d v="2023-08-24T00:00:00"/>
    <s v="August"/>
    <n v="2023"/>
    <x v="332"/>
    <n v="290"/>
    <s v="5G"/>
  </r>
  <r>
    <n v="12187"/>
    <n v="135"/>
    <d v="2023-10-15T00:00:00"/>
    <s v="October"/>
    <n v="2023"/>
    <x v="657"/>
    <n v="54"/>
    <s v="4G"/>
  </r>
  <r>
    <n v="12188"/>
    <n v="228"/>
    <d v="2023-12-26T00:00:00"/>
    <s v="December"/>
    <n v="2023"/>
    <x v="351"/>
    <n v="152"/>
    <s v="4G"/>
  </r>
  <r>
    <n v="12189"/>
    <n v="111"/>
    <d v="2022-08-21T00:00:00"/>
    <s v="August"/>
    <n v="2022"/>
    <x v="310"/>
    <n v="218"/>
    <s v="4G"/>
  </r>
  <r>
    <n v="12190"/>
    <n v="307"/>
    <d v="2023-01-29T00:00:00"/>
    <s v="January"/>
    <n v="2023"/>
    <x v="658"/>
    <n v="172"/>
    <s v="5G"/>
  </r>
  <r>
    <n v="12191"/>
    <n v="457"/>
    <d v="2023-05-16T00:00:00"/>
    <s v="May"/>
    <n v="2023"/>
    <x v="177"/>
    <n v="95"/>
    <s v="4G"/>
  </r>
  <r>
    <n v="12192"/>
    <n v="160"/>
    <d v="2023-11-26T00:00:00"/>
    <s v="November"/>
    <n v="2023"/>
    <x v="532"/>
    <n v="122"/>
    <s v="5G"/>
  </r>
  <r>
    <n v="12193"/>
    <n v="331"/>
    <d v="2022-09-08T00:00:00"/>
    <s v="September"/>
    <n v="2022"/>
    <x v="85"/>
    <n v="11"/>
    <s v="5G"/>
  </r>
  <r>
    <n v="12194"/>
    <n v="264"/>
    <d v="2023-06-05T00:00:00"/>
    <s v="June"/>
    <n v="2023"/>
    <x v="106"/>
    <n v="3"/>
    <s v="5G"/>
  </r>
  <r>
    <n v="12195"/>
    <n v="225"/>
    <d v="2022-03-20T00:00:00"/>
    <s v="March"/>
    <n v="2022"/>
    <x v="94"/>
    <n v="66"/>
    <s v="4G"/>
  </r>
  <r>
    <n v="12196"/>
    <n v="471"/>
    <d v="2022-02-21T00:00:00"/>
    <s v="February"/>
    <n v="2022"/>
    <x v="659"/>
    <n v="144"/>
    <s v="4G"/>
  </r>
  <r>
    <n v="12197"/>
    <n v="217"/>
    <d v="2024-06-16T00:00:00"/>
    <s v="June"/>
    <n v="2024"/>
    <x v="157"/>
    <n v="64"/>
    <s v="4G"/>
  </r>
  <r>
    <n v="12198"/>
    <n v="456"/>
    <d v="2024-02-20T00:00:00"/>
    <s v="February"/>
    <n v="2024"/>
    <x v="140"/>
    <n v="81"/>
    <s v="5G"/>
  </r>
  <r>
    <n v="12199"/>
    <n v="45"/>
    <d v="2022-08-14T00:00:00"/>
    <s v="August"/>
    <n v="2022"/>
    <x v="520"/>
    <n v="104"/>
    <s v="5G"/>
  </r>
  <r>
    <n v="12200"/>
    <n v="214"/>
    <d v="2022-02-20T00:00:00"/>
    <s v="February"/>
    <n v="2022"/>
    <x v="115"/>
    <n v="180"/>
    <s v="4G"/>
  </r>
  <r>
    <n v="12201"/>
    <n v="59"/>
    <d v="2022-07-05T00:00:00"/>
    <s v="July"/>
    <n v="2022"/>
    <x v="36"/>
    <n v="104"/>
    <s v="5G"/>
  </r>
  <r>
    <n v="12202"/>
    <n v="132"/>
    <d v="2022-02-03T00:00:00"/>
    <s v="February"/>
    <n v="2022"/>
    <x v="72"/>
    <n v="225"/>
    <s v="4G"/>
  </r>
  <r>
    <n v="12203"/>
    <n v="104"/>
    <d v="2024-03-13T00:00:00"/>
    <s v="March"/>
    <n v="2024"/>
    <x v="307"/>
    <n v="27"/>
    <s v="4G"/>
  </r>
  <r>
    <n v="12204"/>
    <n v="195"/>
    <d v="2024-01-12T00:00:00"/>
    <s v="January"/>
    <n v="2024"/>
    <x v="409"/>
    <n v="15"/>
    <s v="4G"/>
  </r>
  <r>
    <n v="12205"/>
    <n v="413"/>
    <d v="2022-05-11T00:00:00"/>
    <s v="May"/>
    <n v="2022"/>
    <x v="543"/>
    <n v="276"/>
    <s v="5G"/>
  </r>
  <r>
    <n v="12206"/>
    <n v="489"/>
    <d v="2023-09-24T00:00:00"/>
    <s v="September"/>
    <n v="2023"/>
    <x v="560"/>
    <n v="297"/>
    <s v="5G"/>
  </r>
  <r>
    <n v="12207"/>
    <n v="157"/>
    <d v="2023-03-19T00:00:00"/>
    <s v="March"/>
    <n v="2023"/>
    <x v="420"/>
    <n v="53"/>
    <s v="5G"/>
  </r>
  <r>
    <n v="12208"/>
    <n v="98"/>
    <d v="2024-04-17T00:00:00"/>
    <s v="April"/>
    <n v="2024"/>
    <x v="315"/>
    <n v="287"/>
    <s v="5G"/>
  </r>
  <r>
    <n v="12209"/>
    <n v="226"/>
    <d v="2024-01-29T00:00:00"/>
    <s v="January"/>
    <n v="2024"/>
    <x v="173"/>
    <n v="113"/>
    <s v="4G"/>
  </r>
  <r>
    <n v="12210"/>
    <n v="412"/>
    <d v="2023-03-08T00:00:00"/>
    <s v="March"/>
    <n v="2023"/>
    <x v="259"/>
    <n v="37"/>
    <s v="5G"/>
  </r>
  <r>
    <n v="12211"/>
    <n v="205"/>
    <d v="2023-12-05T00:00:00"/>
    <s v="December"/>
    <n v="2023"/>
    <x v="143"/>
    <n v="229"/>
    <s v="4G"/>
  </r>
  <r>
    <n v="12212"/>
    <n v="79"/>
    <d v="2023-05-12T00:00:00"/>
    <s v="May"/>
    <n v="2023"/>
    <x v="528"/>
    <n v="165"/>
    <s v="5G"/>
  </r>
  <r>
    <n v="12213"/>
    <n v="124"/>
    <d v="2023-02-07T00:00:00"/>
    <s v="February"/>
    <n v="2023"/>
    <x v="367"/>
    <n v="181"/>
    <s v="5G"/>
  </r>
  <r>
    <n v="12214"/>
    <n v="471"/>
    <d v="2022-11-19T00:00:00"/>
    <s v="November"/>
    <n v="2022"/>
    <x v="660"/>
    <n v="204"/>
    <s v="4G"/>
  </r>
  <r>
    <n v="12215"/>
    <n v="428"/>
    <d v="2022-07-29T00:00:00"/>
    <s v="July"/>
    <n v="2022"/>
    <x v="244"/>
    <n v="244"/>
    <s v="4G"/>
  </r>
  <r>
    <n v="12216"/>
    <n v="218"/>
    <d v="2023-09-07T00:00:00"/>
    <s v="September"/>
    <n v="2023"/>
    <x v="476"/>
    <n v="120"/>
    <s v="4G"/>
  </r>
  <r>
    <n v="12217"/>
    <n v="4"/>
    <d v="2022-11-25T00:00:00"/>
    <s v="November"/>
    <n v="2022"/>
    <x v="7"/>
    <n v="258"/>
    <s v="5G"/>
  </r>
  <r>
    <n v="12218"/>
    <n v="90"/>
    <d v="2023-01-07T00:00:00"/>
    <s v="January"/>
    <n v="2023"/>
    <x v="158"/>
    <n v="209"/>
    <s v="4G"/>
  </r>
  <r>
    <n v="12219"/>
    <n v="104"/>
    <d v="2023-04-05T00:00:00"/>
    <s v="April"/>
    <n v="2023"/>
    <x v="218"/>
    <n v="295"/>
    <s v="4G"/>
  </r>
  <r>
    <n v="12220"/>
    <n v="393"/>
    <d v="2022-05-13T00:00:00"/>
    <s v="May"/>
    <n v="2022"/>
    <x v="567"/>
    <n v="193"/>
    <s v="5G"/>
  </r>
  <r>
    <n v="12221"/>
    <n v="119"/>
    <d v="2024-04-14T00:00:00"/>
    <s v="April"/>
    <n v="2024"/>
    <x v="205"/>
    <n v="67"/>
    <s v="4G"/>
  </r>
  <r>
    <n v="12222"/>
    <n v="133"/>
    <d v="2023-10-13T00:00:00"/>
    <s v="October"/>
    <n v="2023"/>
    <x v="358"/>
    <n v="113"/>
    <s v="4G"/>
  </r>
  <r>
    <n v="12223"/>
    <n v="312"/>
    <d v="2022-05-01T00:00:00"/>
    <s v="May"/>
    <n v="2022"/>
    <x v="71"/>
    <n v="219"/>
    <s v="4G"/>
  </r>
  <r>
    <n v="12224"/>
    <n v="96"/>
    <d v="2023-08-29T00:00:00"/>
    <s v="August"/>
    <n v="2023"/>
    <x v="661"/>
    <n v="219"/>
    <s v="4G"/>
  </r>
  <r>
    <n v="12225"/>
    <n v="468"/>
    <d v="2023-03-28T00:00:00"/>
    <s v="March"/>
    <n v="2023"/>
    <x v="186"/>
    <n v="217"/>
    <s v="5G"/>
  </r>
  <r>
    <n v="12226"/>
    <n v="434"/>
    <d v="2022-05-09T00:00:00"/>
    <s v="May"/>
    <n v="2022"/>
    <x v="170"/>
    <n v="236"/>
    <s v="4G"/>
  </r>
  <r>
    <n v="12227"/>
    <n v="331"/>
    <d v="2022-04-01T00:00:00"/>
    <s v="April"/>
    <n v="2022"/>
    <x v="170"/>
    <n v="297"/>
    <s v="4G"/>
  </r>
  <r>
    <n v="12228"/>
    <n v="143"/>
    <d v="2023-08-27T00:00:00"/>
    <s v="August"/>
    <n v="2023"/>
    <x v="375"/>
    <n v="93"/>
    <s v="4G"/>
  </r>
  <r>
    <n v="12229"/>
    <n v="288"/>
    <d v="2023-07-29T00:00:00"/>
    <s v="July"/>
    <n v="2023"/>
    <x v="135"/>
    <n v="252"/>
    <s v="4G"/>
  </r>
  <r>
    <n v="12230"/>
    <n v="28"/>
    <d v="2022-01-29T00:00:00"/>
    <s v="January"/>
    <n v="2022"/>
    <x v="228"/>
    <n v="214"/>
    <s v="5G"/>
  </r>
  <r>
    <n v="12231"/>
    <n v="278"/>
    <d v="2023-12-23T00:00:00"/>
    <s v="December"/>
    <n v="2023"/>
    <x v="372"/>
    <n v="257"/>
    <s v="5G"/>
  </r>
  <r>
    <n v="12232"/>
    <n v="233"/>
    <d v="2023-06-08T00:00:00"/>
    <s v="June"/>
    <n v="2023"/>
    <x v="400"/>
    <n v="239"/>
    <s v="4G"/>
  </r>
  <r>
    <n v="12233"/>
    <n v="17"/>
    <d v="2022-11-29T00:00:00"/>
    <s v="November"/>
    <n v="2022"/>
    <x v="108"/>
    <n v="213"/>
    <s v="4G"/>
  </r>
  <r>
    <n v="12234"/>
    <n v="59"/>
    <d v="2022-10-24T00:00:00"/>
    <s v="October"/>
    <n v="2022"/>
    <x v="119"/>
    <n v="97"/>
    <s v="4G"/>
  </r>
  <r>
    <n v="12235"/>
    <n v="90"/>
    <d v="2022-05-10T00:00:00"/>
    <s v="May"/>
    <n v="2022"/>
    <x v="120"/>
    <n v="15"/>
    <s v="4G"/>
  </r>
  <r>
    <n v="12236"/>
    <n v="492"/>
    <d v="2022-10-20T00:00:00"/>
    <s v="October"/>
    <n v="2022"/>
    <x v="447"/>
    <n v="153"/>
    <s v="4G"/>
  </r>
  <r>
    <n v="12237"/>
    <n v="199"/>
    <d v="2022-06-22T00:00:00"/>
    <s v="June"/>
    <n v="2022"/>
    <x v="662"/>
    <n v="15"/>
    <s v="5G"/>
  </r>
  <r>
    <n v="12238"/>
    <n v="362"/>
    <d v="2023-12-21T00:00:00"/>
    <s v="December"/>
    <n v="2023"/>
    <x v="663"/>
    <n v="197"/>
    <s v="4G"/>
  </r>
  <r>
    <n v="12239"/>
    <n v="441"/>
    <d v="2022-01-24T00:00:00"/>
    <s v="January"/>
    <n v="2022"/>
    <x v="139"/>
    <n v="107"/>
    <s v="4G"/>
  </r>
  <r>
    <n v="12240"/>
    <n v="26"/>
    <d v="2022-04-09T00:00:00"/>
    <s v="April"/>
    <n v="2022"/>
    <x v="42"/>
    <n v="22"/>
    <s v="4G"/>
  </r>
  <r>
    <n v="12241"/>
    <n v="25"/>
    <d v="2023-02-10T00:00:00"/>
    <s v="February"/>
    <n v="2023"/>
    <x v="414"/>
    <n v="41"/>
    <s v="4G"/>
  </r>
  <r>
    <n v="12242"/>
    <n v="394"/>
    <d v="2022-12-22T00:00:00"/>
    <s v="December"/>
    <n v="2022"/>
    <x v="347"/>
    <n v="36"/>
    <s v="5G"/>
  </r>
  <r>
    <n v="12243"/>
    <n v="301"/>
    <d v="2022-05-19T00:00:00"/>
    <s v="May"/>
    <n v="2022"/>
    <x v="599"/>
    <n v="164"/>
    <s v="4G"/>
  </r>
  <r>
    <n v="12244"/>
    <n v="339"/>
    <d v="2023-05-18T00:00:00"/>
    <s v="May"/>
    <n v="2023"/>
    <x v="64"/>
    <n v="115"/>
    <s v="4G"/>
  </r>
  <r>
    <n v="12245"/>
    <n v="267"/>
    <d v="2024-04-05T00:00:00"/>
    <s v="April"/>
    <n v="2024"/>
    <x v="664"/>
    <n v="149"/>
    <s v="4G"/>
  </r>
  <r>
    <n v="12246"/>
    <n v="461"/>
    <d v="2022-06-23T00:00:00"/>
    <s v="June"/>
    <n v="2022"/>
    <x v="188"/>
    <n v="5"/>
    <s v="5G"/>
  </r>
  <r>
    <n v="12247"/>
    <n v="181"/>
    <d v="2022-01-29T00:00:00"/>
    <s v="January"/>
    <n v="2022"/>
    <x v="388"/>
    <n v="31"/>
    <s v="4G"/>
  </r>
  <r>
    <n v="12248"/>
    <n v="456"/>
    <d v="2023-05-11T00:00:00"/>
    <s v="May"/>
    <n v="2023"/>
    <x v="623"/>
    <n v="144"/>
    <s v="5G"/>
  </r>
  <r>
    <n v="12249"/>
    <n v="360"/>
    <d v="2023-10-17T00:00:00"/>
    <s v="October"/>
    <n v="2023"/>
    <x v="67"/>
    <n v="293"/>
    <s v="4G"/>
  </r>
  <r>
    <n v="12250"/>
    <n v="68"/>
    <d v="2024-04-07T00:00:00"/>
    <s v="April"/>
    <n v="2024"/>
    <x v="623"/>
    <n v="292"/>
    <s v="5G"/>
  </r>
  <r>
    <n v="12251"/>
    <n v="495"/>
    <d v="2022-12-17T00:00:00"/>
    <s v="December"/>
    <n v="2022"/>
    <x v="259"/>
    <n v="176"/>
    <s v="5G"/>
  </r>
  <r>
    <n v="12252"/>
    <n v="351"/>
    <d v="2023-07-08T00:00:00"/>
    <s v="July"/>
    <n v="2023"/>
    <x v="665"/>
    <n v="176"/>
    <s v="4G"/>
  </r>
  <r>
    <n v="12253"/>
    <n v="412"/>
    <d v="2022-10-26T00:00:00"/>
    <s v="October"/>
    <n v="2022"/>
    <x v="62"/>
    <n v="60"/>
    <s v="5G"/>
  </r>
  <r>
    <n v="12254"/>
    <n v="459"/>
    <d v="2023-12-21T00:00:00"/>
    <s v="December"/>
    <n v="2023"/>
    <x v="666"/>
    <n v="76"/>
    <s v="4G"/>
  </r>
  <r>
    <n v="12255"/>
    <n v="491"/>
    <d v="2024-04-21T00:00:00"/>
    <s v="April"/>
    <n v="2024"/>
    <x v="395"/>
    <n v="85"/>
    <s v="4G"/>
  </r>
  <r>
    <n v="12256"/>
    <n v="321"/>
    <d v="2022-07-11T00:00:00"/>
    <s v="July"/>
    <n v="2022"/>
    <x v="373"/>
    <n v="190"/>
    <s v="4G"/>
  </r>
  <r>
    <n v="12257"/>
    <n v="49"/>
    <d v="2023-11-03T00:00:00"/>
    <s v="November"/>
    <n v="2023"/>
    <x v="34"/>
    <n v="6"/>
    <s v="4G"/>
  </r>
  <r>
    <n v="12258"/>
    <n v="175"/>
    <d v="2022-03-05T00:00:00"/>
    <s v="March"/>
    <n v="2022"/>
    <x v="193"/>
    <n v="84"/>
    <s v="4G"/>
  </r>
  <r>
    <n v="12259"/>
    <n v="52"/>
    <d v="2024-01-25T00:00:00"/>
    <s v="January"/>
    <n v="2024"/>
    <x v="337"/>
    <n v="261"/>
    <s v="5G"/>
  </r>
  <r>
    <n v="12260"/>
    <n v="102"/>
    <d v="2024-02-09T00:00:00"/>
    <s v="February"/>
    <n v="2024"/>
    <x v="593"/>
    <n v="258"/>
    <s v="5G"/>
  </r>
  <r>
    <n v="12261"/>
    <n v="216"/>
    <d v="2023-10-26T00:00:00"/>
    <s v="October"/>
    <n v="2023"/>
    <x v="37"/>
    <n v="46"/>
    <s v="4G"/>
  </r>
  <r>
    <n v="12262"/>
    <n v="438"/>
    <d v="2022-08-03T00:00:00"/>
    <s v="August"/>
    <n v="2022"/>
    <x v="0"/>
    <n v="93"/>
    <s v="5G"/>
  </r>
  <r>
    <n v="12263"/>
    <n v="188"/>
    <d v="2024-04-13T00:00:00"/>
    <s v="April"/>
    <n v="2024"/>
    <x v="85"/>
    <n v="223"/>
    <s v="4G"/>
  </r>
  <r>
    <n v="12264"/>
    <n v="57"/>
    <d v="2022-06-15T00:00:00"/>
    <s v="June"/>
    <n v="2022"/>
    <x v="667"/>
    <n v="278"/>
    <s v="4G"/>
  </r>
  <r>
    <n v="12265"/>
    <n v="47"/>
    <d v="2023-06-27T00:00:00"/>
    <s v="June"/>
    <n v="2023"/>
    <x v="174"/>
    <n v="2"/>
    <s v="5G"/>
  </r>
  <r>
    <n v="12266"/>
    <n v="159"/>
    <d v="2024-06-01T00:00:00"/>
    <s v="June"/>
    <n v="2024"/>
    <x v="190"/>
    <n v="128"/>
    <s v="4G"/>
  </r>
  <r>
    <n v="12267"/>
    <n v="489"/>
    <d v="2022-08-20T00:00:00"/>
    <s v="August"/>
    <n v="2022"/>
    <x v="56"/>
    <n v="248"/>
    <s v="4G"/>
  </r>
  <r>
    <n v="12268"/>
    <n v="174"/>
    <d v="2024-03-04T00:00:00"/>
    <s v="March"/>
    <n v="2024"/>
    <x v="12"/>
    <n v="228"/>
    <s v="5G"/>
  </r>
  <r>
    <n v="12269"/>
    <n v="242"/>
    <d v="2023-06-25T00:00:00"/>
    <s v="June"/>
    <n v="2023"/>
    <x v="222"/>
    <n v="130"/>
    <s v="4G"/>
  </r>
  <r>
    <n v="12270"/>
    <n v="282"/>
    <d v="2022-07-14T00:00:00"/>
    <s v="July"/>
    <n v="2022"/>
    <x v="239"/>
    <n v="227"/>
    <s v="4G"/>
  </r>
  <r>
    <n v="12271"/>
    <n v="241"/>
    <d v="2023-05-21T00:00:00"/>
    <s v="May"/>
    <n v="2023"/>
    <x v="446"/>
    <n v="176"/>
    <s v="4G"/>
  </r>
  <r>
    <n v="12272"/>
    <n v="370"/>
    <d v="2022-11-30T00:00:00"/>
    <s v="November"/>
    <n v="2022"/>
    <x v="92"/>
    <n v="30"/>
    <s v="4G"/>
  </r>
  <r>
    <n v="12273"/>
    <n v="5"/>
    <d v="2024-02-07T00:00:00"/>
    <s v="February"/>
    <n v="2024"/>
    <x v="233"/>
    <n v="65"/>
    <s v="5G"/>
  </r>
  <r>
    <n v="12274"/>
    <n v="84"/>
    <d v="2024-03-03T00:00:00"/>
    <s v="March"/>
    <n v="2024"/>
    <x v="244"/>
    <n v="205"/>
    <s v="4G"/>
  </r>
  <r>
    <n v="12275"/>
    <n v="308"/>
    <d v="2022-10-31T00:00:00"/>
    <s v="October"/>
    <n v="2022"/>
    <x v="668"/>
    <n v="100"/>
    <s v="4G"/>
  </r>
  <r>
    <n v="12276"/>
    <n v="361"/>
    <d v="2024-04-12T00:00:00"/>
    <s v="April"/>
    <n v="2024"/>
    <x v="498"/>
    <n v="30"/>
    <s v="4G"/>
  </r>
  <r>
    <n v="12277"/>
    <n v="459"/>
    <d v="2023-03-13T00:00:00"/>
    <s v="March"/>
    <n v="2023"/>
    <x v="669"/>
    <n v="190"/>
    <s v="4G"/>
  </r>
  <r>
    <n v="12278"/>
    <n v="248"/>
    <d v="2022-11-19T00:00:00"/>
    <s v="November"/>
    <n v="2022"/>
    <x v="16"/>
    <n v="65"/>
    <s v="4G"/>
  </r>
  <r>
    <n v="12279"/>
    <n v="54"/>
    <d v="2023-05-17T00:00:00"/>
    <s v="May"/>
    <n v="2023"/>
    <x v="266"/>
    <n v="234"/>
    <s v="4G"/>
  </r>
  <r>
    <n v="12280"/>
    <n v="161"/>
    <d v="2024-05-07T00:00:00"/>
    <s v="May"/>
    <n v="2024"/>
    <x v="137"/>
    <n v="277"/>
    <s v="4G"/>
  </r>
  <r>
    <n v="12281"/>
    <n v="434"/>
    <d v="2023-01-28T00:00:00"/>
    <s v="January"/>
    <n v="2023"/>
    <x v="247"/>
    <n v="201"/>
    <s v="4G"/>
  </r>
  <r>
    <n v="12282"/>
    <n v="422"/>
    <d v="2024-03-16T00:00:00"/>
    <s v="March"/>
    <n v="2024"/>
    <x v="64"/>
    <n v="224"/>
    <s v="4G"/>
  </r>
  <r>
    <n v="12283"/>
    <n v="411"/>
    <d v="2023-08-22T00:00:00"/>
    <s v="August"/>
    <n v="2023"/>
    <x v="268"/>
    <n v="82"/>
    <s v="5G"/>
  </r>
  <r>
    <n v="12284"/>
    <n v="226"/>
    <d v="2022-05-29T00:00:00"/>
    <s v="May"/>
    <n v="2022"/>
    <x v="22"/>
    <n v="45"/>
    <s v="5G"/>
  </r>
  <r>
    <n v="12285"/>
    <n v="15"/>
    <d v="2024-01-31T00:00:00"/>
    <s v="January"/>
    <n v="2024"/>
    <x v="281"/>
    <n v="88"/>
    <s v="5G"/>
  </r>
  <r>
    <n v="12286"/>
    <n v="224"/>
    <d v="2024-04-12T00:00:00"/>
    <s v="April"/>
    <n v="2024"/>
    <x v="35"/>
    <n v="185"/>
    <s v="4G"/>
  </r>
  <r>
    <n v="12287"/>
    <n v="61"/>
    <d v="2023-02-09T00:00:00"/>
    <s v="February"/>
    <n v="2023"/>
    <x v="11"/>
    <n v="188"/>
    <s v="4G"/>
  </r>
  <r>
    <n v="12288"/>
    <n v="122"/>
    <d v="2022-10-10T00:00:00"/>
    <s v="October"/>
    <n v="2022"/>
    <x v="103"/>
    <n v="245"/>
    <s v="5G"/>
  </r>
  <r>
    <n v="12289"/>
    <n v="277"/>
    <d v="2022-12-28T00:00:00"/>
    <s v="December"/>
    <n v="2022"/>
    <x v="526"/>
    <n v="45"/>
    <s v="4G"/>
  </r>
  <r>
    <n v="12290"/>
    <n v="46"/>
    <d v="2023-01-14T00:00:00"/>
    <s v="January"/>
    <n v="2023"/>
    <x v="114"/>
    <n v="256"/>
    <s v="4G"/>
  </r>
  <r>
    <n v="12291"/>
    <n v="453"/>
    <d v="2022-07-17T00:00:00"/>
    <s v="July"/>
    <n v="2022"/>
    <x v="103"/>
    <n v="60"/>
    <s v="5G"/>
  </r>
  <r>
    <n v="12292"/>
    <n v="390"/>
    <d v="2023-07-10T00:00:00"/>
    <s v="July"/>
    <n v="2023"/>
    <x v="437"/>
    <n v="104"/>
    <s v="5G"/>
  </r>
  <r>
    <n v="12293"/>
    <n v="294"/>
    <d v="2022-12-22T00:00:00"/>
    <s v="December"/>
    <n v="2022"/>
    <x v="267"/>
    <n v="13"/>
    <s v="5G"/>
  </r>
  <r>
    <n v="12294"/>
    <n v="62"/>
    <d v="2023-06-24T00:00:00"/>
    <s v="June"/>
    <n v="2023"/>
    <x v="24"/>
    <n v="76"/>
    <s v="5G"/>
  </r>
  <r>
    <n v="12295"/>
    <n v="86"/>
    <d v="2023-03-05T00:00:00"/>
    <s v="March"/>
    <n v="2023"/>
    <x v="599"/>
    <n v="229"/>
    <s v="4G"/>
  </r>
  <r>
    <n v="12296"/>
    <n v="446"/>
    <d v="2022-01-17T00:00:00"/>
    <s v="January"/>
    <n v="2022"/>
    <x v="11"/>
    <n v="166"/>
    <s v="4G"/>
  </r>
  <r>
    <n v="12297"/>
    <n v="210"/>
    <d v="2023-10-01T00:00:00"/>
    <s v="October"/>
    <n v="2023"/>
    <x v="178"/>
    <n v="65"/>
    <s v="5G"/>
  </r>
  <r>
    <n v="12298"/>
    <n v="78"/>
    <d v="2023-01-14T00:00:00"/>
    <s v="January"/>
    <n v="2023"/>
    <x v="669"/>
    <n v="31"/>
    <s v="4G"/>
  </r>
  <r>
    <n v="12299"/>
    <n v="202"/>
    <d v="2023-11-11T00:00:00"/>
    <s v="November"/>
    <n v="2023"/>
    <x v="98"/>
    <n v="95"/>
    <s v="5G"/>
  </r>
  <r>
    <n v="12300"/>
    <n v="302"/>
    <d v="2023-05-21T00:00:00"/>
    <s v="May"/>
    <n v="2023"/>
    <x v="135"/>
    <n v="57"/>
    <s v="4G"/>
  </r>
  <r>
    <n v="12301"/>
    <n v="397"/>
    <d v="2024-01-26T00:00:00"/>
    <s v="January"/>
    <n v="2024"/>
    <x v="535"/>
    <n v="103"/>
    <s v="4G"/>
  </r>
  <r>
    <n v="12302"/>
    <n v="223"/>
    <d v="2024-06-17T00:00:00"/>
    <s v="June"/>
    <n v="2024"/>
    <x v="670"/>
    <n v="133"/>
    <s v="5G"/>
  </r>
  <r>
    <n v="12303"/>
    <n v="222"/>
    <d v="2022-03-17T00:00:00"/>
    <s v="March"/>
    <n v="2022"/>
    <x v="671"/>
    <n v="216"/>
    <s v="4G"/>
  </r>
  <r>
    <n v="12304"/>
    <n v="3"/>
    <d v="2022-08-19T00:00:00"/>
    <s v="August"/>
    <n v="2022"/>
    <x v="672"/>
    <n v="66"/>
    <s v="5G"/>
  </r>
  <r>
    <n v="12305"/>
    <n v="478"/>
    <d v="2023-12-17T00:00:00"/>
    <s v="December"/>
    <n v="2023"/>
    <x v="673"/>
    <n v="177"/>
    <s v="4G"/>
  </r>
  <r>
    <n v="12306"/>
    <n v="6"/>
    <d v="2022-09-05T00:00:00"/>
    <s v="September"/>
    <n v="2022"/>
    <x v="254"/>
    <n v="246"/>
    <s v="5G"/>
  </r>
  <r>
    <n v="12307"/>
    <n v="93"/>
    <d v="2022-10-29T00:00:00"/>
    <s v="October"/>
    <n v="2022"/>
    <x v="273"/>
    <n v="293"/>
    <s v="4G"/>
  </r>
  <r>
    <n v="12308"/>
    <n v="8"/>
    <d v="2023-12-27T00:00:00"/>
    <s v="December"/>
    <n v="2023"/>
    <x v="473"/>
    <n v="234"/>
    <s v="4G"/>
  </r>
  <r>
    <n v="12309"/>
    <n v="428"/>
    <d v="2022-08-03T00:00:00"/>
    <s v="August"/>
    <n v="2022"/>
    <x v="166"/>
    <n v="130"/>
    <s v="4G"/>
  </r>
  <r>
    <n v="12310"/>
    <n v="493"/>
    <d v="2022-06-07T00:00:00"/>
    <s v="June"/>
    <n v="2022"/>
    <x v="495"/>
    <n v="111"/>
    <s v="4G"/>
  </r>
  <r>
    <n v="12311"/>
    <n v="235"/>
    <d v="2022-03-10T00:00:00"/>
    <s v="March"/>
    <n v="2022"/>
    <x v="243"/>
    <n v="53"/>
    <s v="5G"/>
  </r>
  <r>
    <n v="12312"/>
    <n v="108"/>
    <d v="2023-01-28T00:00:00"/>
    <s v="January"/>
    <n v="2023"/>
    <x v="166"/>
    <n v="289"/>
    <s v="4G"/>
  </r>
  <r>
    <n v="12313"/>
    <n v="161"/>
    <d v="2022-03-26T00:00:00"/>
    <s v="March"/>
    <n v="2022"/>
    <x v="674"/>
    <n v="238"/>
    <s v="4G"/>
  </r>
  <r>
    <n v="12314"/>
    <n v="209"/>
    <d v="2022-09-24T00:00:00"/>
    <s v="September"/>
    <n v="2022"/>
    <x v="353"/>
    <n v="239"/>
    <s v="4G"/>
  </r>
  <r>
    <n v="12315"/>
    <n v="240"/>
    <d v="2022-03-10T00:00:00"/>
    <s v="March"/>
    <n v="2022"/>
    <x v="202"/>
    <n v="294"/>
    <s v="4G"/>
  </r>
  <r>
    <n v="12316"/>
    <n v="331"/>
    <d v="2023-09-03T00:00:00"/>
    <s v="September"/>
    <n v="2023"/>
    <x v="675"/>
    <n v="111"/>
    <s v="4G"/>
  </r>
  <r>
    <n v="12317"/>
    <n v="333"/>
    <d v="2022-12-13T00:00:00"/>
    <s v="December"/>
    <n v="2022"/>
    <x v="436"/>
    <n v="87"/>
    <s v="4G"/>
  </r>
  <r>
    <n v="12318"/>
    <n v="50"/>
    <d v="2023-12-29T00:00:00"/>
    <s v="December"/>
    <n v="2023"/>
    <x v="191"/>
    <n v="227"/>
    <s v="4G"/>
  </r>
  <r>
    <n v="12319"/>
    <n v="11"/>
    <d v="2023-11-04T00:00:00"/>
    <s v="November"/>
    <n v="2023"/>
    <x v="288"/>
    <n v="289"/>
    <s v="5G"/>
  </r>
  <r>
    <n v="12320"/>
    <n v="351"/>
    <d v="2023-02-27T00:00:00"/>
    <s v="February"/>
    <n v="2023"/>
    <x v="510"/>
    <n v="207"/>
    <s v="4G"/>
  </r>
  <r>
    <n v="12321"/>
    <n v="156"/>
    <d v="2023-08-29T00:00:00"/>
    <s v="August"/>
    <n v="2023"/>
    <x v="445"/>
    <n v="273"/>
    <s v="5G"/>
  </r>
  <r>
    <n v="12322"/>
    <n v="492"/>
    <d v="2022-06-23T00:00:00"/>
    <s v="June"/>
    <n v="2022"/>
    <x v="187"/>
    <n v="69"/>
    <s v="4G"/>
  </r>
  <r>
    <n v="12323"/>
    <n v="70"/>
    <d v="2023-11-08T00:00:00"/>
    <s v="November"/>
    <n v="2023"/>
    <x v="189"/>
    <n v="219"/>
    <s v="4G"/>
  </r>
  <r>
    <n v="12324"/>
    <n v="169"/>
    <d v="2022-04-25T00:00:00"/>
    <s v="April"/>
    <n v="2022"/>
    <x v="85"/>
    <n v="230"/>
    <s v="4G"/>
  </r>
  <r>
    <n v="12325"/>
    <n v="272"/>
    <d v="2022-08-08T00:00:00"/>
    <s v="August"/>
    <n v="2022"/>
    <x v="492"/>
    <n v="289"/>
    <s v="4G"/>
  </r>
  <r>
    <n v="12326"/>
    <n v="68"/>
    <d v="2022-01-31T00:00:00"/>
    <s v="January"/>
    <n v="2022"/>
    <x v="453"/>
    <n v="254"/>
    <s v="4G"/>
  </r>
  <r>
    <n v="12327"/>
    <n v="355"/>
    <d v="2023-06-07T00:00:00"/>
    <s v="June"/>
    <n v="2023"/>
    <x v="100"/>
    <n v="141"/>
    <s v="5G"/>
  </r>
  <r>
    <n v="12328"/>
    <n v="252"/>
    <d v="2022-12-09T00:00:00"/>
    <s v="December"/>
    <n v="2022"/>
    <x v="198"/>
    <n v="68"/>
    <s v="4G"/>
  </r>
  <r>
    <n v="12329"/>
    <n v="48"/>
    <d v="2023-01-12T00:00:00"/>
    <s v="January"/>
    <n v="2023"/>
    <x v="240"/>
    <n v="88"/>
    <s v="5G"/>
  </r>
  <r>
    <n v="12330"/>
    <n v="184"/>
    <d v="2022-05-10T00:00:00"/>
    <s v="May"/>
    <n v="2022"/>
    <x v="676"/>
    <n v="135"/>
    <s v="4G"/>
  </r>
  <r>
    <n v="12331"/>
    <n v="320"/>
    <d v="2023-09-09T00:00:00"/>
    <s v="September"/>
    <n v="2023"/>
    <x v="677"/>
    <n v="142"/>
    <s v="4G"/>
  </r>
  <r>
    <n v="12332"/>
    <n v="187"/>
    <d v="2023-06-23T00:00:00"/>
    <s v="June"/>
    <n v="2023"/>
    <x v="477"/>
    <n v="186"/>
    <s v="4G"/>
  </r>
  <r>
    <n v="12333"/>
    <n v="90"/>
    <d v="2024-01-09T00:00:00"/>
    <s v="January"/>
    <n v="2024"/>
    <x v="311"/>
    <n v="10"/>
    <s v="5G"/>
  </r>
  <r>
    <n v="12334"/>
    <n v="446"/>
    <d v="2022-01-02T00:00:00"/>
    <s v="January"/>
    <n v="2022"/>
    <x v="217"/>
    <n v="147"/>
    <s v="4G"/>
  </r>
  <r>
    <n v="12335"/>
    <n v="332"/>
    <d v="2024-05-20T00:00:00"/>
    <s v="May"/>
    <n v="2024"/>
    <x v="573"/>
    <n v="291"/>
    <s v="5G"/>
  </r>
  <r>
    <n v="12336"/>
    <n v="139"/>
    <d v="2022-04-11T00:00:00"/>
    <s v="April"/>
    <n v="2022"/>
    <x v="29"/>
    <n v="37"/>
    <s v="4G"/>
  </r>
  <r>
    <n v="12337"/>
    <n v="357"/>
    <d v="2023-06-17T00:00:00"/>
    <s v="June"/>
    <n v="2023"/>
    <x v="678"/>
    <n v="207"/>
    <s v="4G"/>
  </r>
  <r>
    <n v="12338"/>
    <n v="89"/>
    <d v="2022-02-27T00:00:00"/>
    <s v="February"/>
    <n v="2022"/>
    <x v="380"/>
    <n v="209"/>
    <s v="4G"/>
  </r>
  <r>
    <n v="12339"/>
    <n v="274"/>
    <d v="2023-01-24T00:00:00"/>
    <s v="January"/>
    <n v="2023"/>
    <x v="320"/>
    <n v="0"/>
    <s v="5G"/>
  </r>
  <r>
    <n v="12340"/>
    <n v="19"/>
    <d v="2023-11-23T00:00:00"/>
    <s v="November"/>
    <n v="2023"/>
    <x v="353"/>
    <n v="64"/>
    <s v="5G"/>
  </r>
  <r>
    <n v="12341"/>
    <n v="471"/>
    <d v="2022-12-07T00:00:00"/>
    <s v="December"/>
    <n v="2022"/>
    <x v="239"/>
    <n v="0"/>
    <s v="4G"/>
  </r>
  <r>
    <n v="12342"/>
    <n v="311"/>
    <d v="2024-05-10T00:00:00"/>
    <s v="May"/>
    <n v="2024"/>
    <x v="4"/>
    <n v="242"/>
    <s v="5G"/>
  </r>
  <r>
    <n v="12343"/>
    <n v="358"/>
    <d v="2022-01-20T00:00:00"/>
    <s v="January"/>
    <n v="2022"/>
    <x v="54"/>
    <n v="24"/>
    <s v="4G"/>
  </r>
  <r>
    <n v="12344"/>
    <n v="374"/>
    <d v="2022-09-12T00:00:00"/>
    <s v="September"/>
    <n v="2022"/>
    <x v="126"/>
    <n v="49"/>
    <s v="5G"/>
  </r>
  <r>
    <n v="12345"/>
    <n v="466"/>
    <d v="2022-11-13T00:00:00"/>
    <s v="November"/>
    <n v="2022"/>
    <x v="100"/>
    <n v="240"/>
    <s v="5G"/>
  </r>
  <r>
    <n v="12346"/>
    <n v="154"/>
    <d v="2022-02-07T00:00:00"/>
    <s v="February"/>
    <n v="2022"/>
    <x v="679"/>
    <n v="31"/>
    <s v="5G"/>
  </r>
  <r>
    <n v="12347"/>
    <n v="390"/>
    <d v="2023-10-22T00:00:00"/>
    <s v="October"/>
    <n v="2023"/>
    <x v="230"/>
    <n v="32"/>
    <s v="5G"/>
  </r>
  <r>
    <n v="12348"/>
    <n v="260"/>
    <d v="2023-06-21T00:00:00"/>
    <s v="June"/>
    <n v="2023"/>
    <x v="332"/>
    <n v="199"/>
    <s v="4G"/>
  </r>
  <r>
    <n v="12349"/>
    <n v="108"/>
    <d v="2023-01-21T00:00:00"/>
    <s v="January"/>
    <n v="2023"/>
    <x v="145"/>
    <n v="233"/>
    <s v="4G"/>
  </r>
  <r>
    <n v="12350"/>
    <n v="371"/>
    <d v="2023-09-25T00:00:00"/>
    <s v="September"/>
    <n v="2023"/>
    <x v="167"/>
    <n v="25"/>
    <s v="4G"/>
  </r>
  <r>
    <n v="12351"/>
    <n v="285"/>
    <d v="2022-01-26T00:00:00"/>
    <s v="January"/>
    <n v="2022"/>
    <x v="230"/>
    <n v="41"/>
    <s v="4G"/>
  </r>
  <r>
    <n v="12352"/>
    <n v="59"/>
    <d v="2023-03-30T00:00:00"/>
    <s v="March"/>
    <n v="2023"/>
    <x v="604"/>
    <n v="60"/>
    <s v="4G"/>
  </r>
  <r>
    <n v="12353"/>
    <n v="125"/>
    <d v="2023-11-12T00:00:00"/>
    <s v="November"/>
    <n v="2023"/>
    <x v="206"/>
    <n v="40"/>
    <s v="4G"/>
  </r>
  <r>
    <n v="12354"/>
    <n v="354"/>
    <d v="2022-11-19T00:00:00"/>
    <s v="November"/>
    <n v="2022"/>
    <x v="378"/>
    <n v="129"/>
    <s v="4G"/>
  </r>
  <r>
    <n v="12355"/>
    <n v="273"/>
    <d v="2024-01-07T00:00:00"/>
    <s v="January"/>
    <n v="2024"/>
    <x v="77"/>
    <n v="197"/>
    <s v="4G"/>
  </r>
  <r>
    <n v="12356"/>
    <n v="107"/>
    <d v="2023-05-28T00:00:00"/>
    <s v="May"/>
    <n v="2023"/>
    <x v="606"/>
    <n v="286"/>
    <s v="4G"/>
  </r>
  <r>
    <n v="12357"/>
    <n v="299"/>
    <d v="2024-03-29T00:00:00"/>
    <s v="March"/>
    <n v="2024"/>
    <x v="680"/>
    <n v="150"/>
    <s v="4G"/>
  </r>
  <r>
    <n v="12358"/>
    <n v="245"/>
    <d v="2024-02-12T00:00:00"/>
    <s v="February"/>
    <n v="2024"/>
    <x v="433"/>
    <n v="203"/>
    <s v="5G"/>
  </r>
  <r>
    <n v="12359"/>
    <n v="336"/>
    <d v="2022-01-13T00:00:00"/>
    <s v="January"/>
    <n v="2022"/>
    <x v="393"/>
    <n v="181"/>
    <s v="4G"/>
  </r>
  <r>
    <n v="12360"/>
    <n v="450"/>
    <d v="2023-07-14T00:00:00"/>
    <s v="July"/>
    <n v="2023"/>
    <x v="266"/>
    <n v="206"/>
    <s v="5G"/>
  </r>
  <r>
    <n v="12361"/>
    <n v="418"/>
    <d v="2024-04-04T00:00:00"/>
    <s v="April"/>
    <n v="2024"/>
    <x v="369"/>
    <n v="146"/>
    <s v="4G"/>
  </r>
  <r>
    <n v="12362"/>
    <n v="247"/>
    <d v="2023-01-06T00:00:00"/>
    <s v="January"/>
    <n v="2023"/>
    <x v="182"/>
    <n v="203"/>
    <s v="4G"/>
  </r>
  <r>
    <n v="12363"/>
    <n v="8"/>
    <d v="2022-10-18T00:00:00"/>
    <s v="October"/>
    <n v="2022"/>
    <x v="9"/>
    <n v="47"/>
    <s v="4G"/>
  </r>
  <r>
    <n v="12364"/>
    <n v="141"/>
    <d v="2022-11-28T00:00:00"/>
    <s v="November"/>
    <n v="2022"/>
    <x v="495"/>
    <n v="257"/>
    <s v="4G"/>
  </r>
  <r>
    <n v="12365"/>
    <n v="362"/>
    <d v="2023-08-29T00:00:00"/>
    <s v="August"/>
    <n v="2023"/>
    <x v="399"/>
    <n v="138"/>
    <s v="4G"/>
  </r>
  <r>
    <n v="12366"/>
    <n v="8"/>
    <d v="2022-09-18T00:00:00"/>
    <s v="September"/>
    <n v="2022"/>
    <x v="306"/>
    <n v="171"/>
    <s v="4G"/>
  </r>
  <r>
    <n v="12367"/>
    <n v="478"/>
    <d v="2024-02-29T00:00:00"/>
    <s v="February"/>
    <n v="2024"/>
    <x v="681"/>
    <n v="100"/>
    <s v="4G"/>
  </r>
  <r>
    <n v="12368"/>
    <n v="352"/>
    <d v="2024-05-20T00:00:00"/>
    <s v="May"/>
    <n v="2024"/>
    <x v="312"/>
    <n v="186"/>
    <s v="4G"/>
  </r>
  <r>
    <n v="12369"/>
    <n v="484"/>
    <d v="2022-07-24T00:00:00"/>
    <s v="July"/>
    <n v="2022"/>
    <x v="682"/>
    <n v="293"/>
    <s v="5G"/>
  </r>
  <r>
    <n v="12370"/>
    <n v="495"/>
    <d v="2023-11-28T00:00:00"/>
    <s v="November"/>
    <n v="2023"/>
    <x v="88"/>
    <n v="20"/>
    <s v="4G"/>
  </r>
  <r>
    <n v="12371"/>
    <n v="94"/>
    <d v="2023-11-18T00:00:00"/>
    <s v="November"/>
    <n v="2023"/>
    <x v="683"/>
    <n v="297"/>
    <s v="4G"/>
  </r>
  <r>
    <n v="12372"/>
    <n v="321"/>
    <d v="2023-01-22T00:00:00"/>
    <s v="January"/>
    <n v="2023"/>
    <x v="109"/>
    <n v="9"/>
    <s v="4G"/>
  </r>
  <r>
    <n v="12373"/>
    <n v="427"/>
    <d v="2024-06-10T00:00:00"/>
    <s v="June"/>
    <n v="2024"/>
    <x v="36"/>
    <n v="186"/>
    <s v="4G"/>
  </r>
  <r>
    <n v="12374"/>
    <n v="39"/>
    <d v="2024-03-31T00:00:00"/>
    <s v="March"/>
    <n v="2024"/>
    <x v="272"/>
    <n v="132"/>
    <s v="5G"/>
  </r>
  <r>
    <n v="12375"/>
    <n v="81"/>
    <d v="2023-04-13T00:00:00"/>
    <s v="April"/>
    <n v="2023"/>
    <x v="407"/>
    <n v="32"/>
    <s v="4G"/>
  </r>
  <r>
    <n v="12376"/>
    <n v="187"/>
    <d v="2023-02-19T00:00:00"/>
    <s v="February"/>
    <n v="2023"/>
    <x v="684"/>
    <n v="68"/>
    <s v="4G"/>
  </r>
  <r>
    <n v="12377"/>
    <n v="84"/>
    <d v="2022-03-10T00:00:00"/>
    <s v="March"/>
    <n v="2022"/>
    <x v="99"/>
    <n v="79"/>
    <s v="4G"/>
  </r>
  <r>
    <n v="12378"/>
    <n v="88"/>
    <d v="2023-04-17T00:00:00"/>
    <s v="April"/>
    <n v="2023"/>
    <x v="77"/>
    <n v="190"/>
    <s v="4G"/>
  </r>
  <r>
    <n v="12379"/>
    <n v="242"/>
    <d v="2022-04-14T00:00:00"/>
    <s v="April"/>
    <n v="2022"/>
    <x v="520"/>
    <n v="100"/>
    <s v="4G"/>
  </r>
  <r>
    <n v="12380"/>
    <n v="342"/>
    <d v="2024-01-28T00:00:00"/>
    <s v="January"/>
    <n v="2024"/>
    <x v="252"/>
    <n v="284"/>
    <s v="5G"/>
  </r>
  <r>
    <n v="12381"/>
    <n v="93"/>
    <d v="2022-06-10T00:00:00"/>
    <s v="June"/>
    <n v="2022"/>
    <x v="334"/>
    <n v="220"/>
    <s v="4G"/>
  </r>
  <r>
    <n v="12382"/>
    <n v="86"/>
    <d v="2022-07-19T00:00:00"/>
    <s v="July"/>
    <n v="2022"/>
    <x v="668"/>
    <n v="52"/>
    <s v="4G"/>
  </r>
  <r>
    <n v="12383"/>
    <n v="44"/>
    <d v="2022-08-04T00:00:00"/>
    <s v="August"/>
    <n v="2022"/>
    <x v="632"/>
    <n v="159"/>
    <s v="4G"/>
  </r>
  <r>
    <n v="12384"/>
    <n v="137"/>
    <d v="2022-07-31T00:00:00"/>
    <s v="July"/>
    <n v="2022"/>
    <x v="238"/>
    <n v="41"/>
    <s v="4G"/>
  </r>
  <r>
    <n v="12385"/>
    <n v="421"/>
    <d v="2023-05-23T00:00:00"/>
    <s v="May"/>
    <n v="2023"/>
    <x v="616"/>
    <n v="46"/>
    <s v="4G"/>
  </r>
  <r>
    <n v="12386"/>
    <n v="74"/>
    <d v="2022-01-16T00:00:00"/>
    <s v="January"/>
    <n v="2022"/>
    <x v="332"/>
    <n v="158"/>
    <s v="4G"/>
  </r>
  <r>
    <n v="12387"/>
    <n v="36"/>
    <d v="2023-05-13T00:00:00"/>
    <s v="May"/>
    <n v="2023"/>
    <x v="411"/>
    <n v="183"/>
    <s v="4G"/>
  </r>
  <r>
    <n v="12388"/>
    <n v="101"/>
    <d v="2024-06-02T00:00:00"/>
    <s v="June"/>
    <n v="2024"/>
    <x v="331"/>
    <n v="245"/>
    <s v="4G"/>
  </r>
  <r>
    <n v="12389"/>
    <n v="476"/>
    <d v="2022-11-28T00:00:00"/>
    <s v="November"/>
    <n v="2022"/>
    <x v="120"/>
    <n v="10"/>
    <s v="4G"/>
  </r>
  <r>
    <n v="12390"/>
    <n v="156"/>
    <d v="2023-12-18T00:00:00"/>
    <s v="December"/>
    <n v="2023"/>
    <x v="193"/>
    <n v="153"/>
    <s v="4G"/>
  </r>
  <r>
    <n v="12391"/>
    <n v="426"/>
    <d v="2024-05-26T00:00:00"/>
    <s v="May"/>
    <n v="2024"/>
    <x v="685"/>
    <n v="219"/>
    <s v="4G"/>
  </r>
  <r>
    <n v="12392"/>
    <n v="255"/>
    <d v="2023-07-05T00:00:00"/>
    <s v="July"/>
    <n v="2023"/>
    <x v="508"/>
    <n v="154"/>
    <s v="4G"/>
  </r>
  <r>
    <n v="12393"/>
    <n v="171"/>
    <d v="2023-08-24T00:00:00"/>
    <s v="August"/>
    <n v="2023"/>
    <x v="686"/>
    <n v="282"/>
    <s v="4G"/>
  </r>
  <r>
    <n v="12394"/>
    <n v="469"/>
    <d v="2022-09-13T00:00:00"/>
    <s v="September"/>
    <n v="2022"/>
    <x v="687"/>
    <n v="186"/>
    <s v="4G"/>
  </r>
  <r>
    <n v="12395"/>
    <n v="216"/>
    <d v="2024-02-05T00:00:00"/>
    <s v="February"/>
    <n v="2024"/>
    <x v="688"/>
    <n v="61"/>
    <s v="5G"/>
  </r>
  <r>
    <n v="12396"/>
    <n v="170"/>
    <d v="2023-12-29T00:00:00"/>
    <s v="December"/>
    <n v="2023"/>
    <x v="510"/>
    <n v="147"/>
    <s v="5G"/>
  </r>
  <r>
    <n v="12397"/>
    <n v="252"/>
    <d v="2024-05-29T00:00:00"/>
    <s v="May"/>
    <n v="2024"/>
    <x v="544"/>
    <n v="143"/>
    <s v="5G"/>
  </r>
  <r>
    <n v="12398"/>
    <n v="360"/>
    <d v="2024-03-25T00:00:00"/>
    <s v="March"/>
    <n v="2024"/>
    <x v="85"/>
    <n v="102"/>
    <s v="5G"/>
  </r>
  <r>
    <n v="12399"/>
    <n v="322"/>
    <d v="2022-06-21T00:00:00"/>
    <s v="June"/>
    <n v="2022"/>
    <x v="365"/>
    <n v="299"/>
    <s v="5G"/>
  </r>
  <r>
    <n v="12400"/>
    <n v="55"/>
    <d v="2023-10-11T00:00:00"/>
    <s v="October"/>
    <n v="2023"/>
    <x v="177"/>
    <n v="92"/>
    <s v="5G"/>
  </r>
  <r>
    <n v="12401"/>
    <n v="456"/>
    <d v="2023-05-13T00:00:00"/>
    <s v="May"/>
    <n v="2023"/>
    <x v="141"/>
    <n v="285"/>
    <s v="5G"/>
  </r>
  <r>
    <n v="12402"/>
    <n v="432"/>
    <d v="2023-04-16T00:00:00"/>
    <s v="April"/>
    <n v="2023"/>
    <x v="380"/>
    <n v="118"/>
    <s v="5G"/>
  </r>
  <r>
    <n v="12403"/>
    <n v="91"/>
    <d v="2023-01-19T00:00:00"/>
    <s v="January"/>
    <n v="2023"/>
    <x v="141"/>
    <n v="28"/>
    <s v="4G"/>
  </r>
  <r>
    <n v="12404"/>
    <n v="278"/>
    <d v="2023-11-21T00:00:00"/>
    <s v="November"/>
    <n v="2023"/>
    <x v="689"/>
    <n v="29"/>
    <s v="4G"/>
  </r>
  <r>
    <n v="12405"/>
    <n v="101"/>
    <d v="2023-08-12T00:00:00"/>
    <s v="August"/>
    <n v="2023"/>
    <x v="690"/>
    <n v="287"/>
    <s v="5G"/>
  </r>
  <r>
    <n v="12406"/>
    <n v="155"/>
    <d v="2023-12-01T00:00:00"/>
    <s v="December"/>
    <n v="2023"/>
    <x v="351"/>
    <n v="137"/>
    <s v="4G"/>
  </r>
  <r>
    <n v="12407"/>
    <n v="377"/>
    <d v="2023-05-22T00:00:00"/>
    <s v="May"/>
    <n v="2023"/>
    <x v="19"/>
    <n v="50"/>
    <s v="5G"/>
  </r>
  <r>
    <n v="12408"/>
    <n v="349"/>
    <d v="2023-06-11T00:00:00"/>
    <s v="June"/>
    <n v="2023"/>
    <x v="236"/>
    <n v="291"/>
    <s v="4G"/>
  </r>
  <r>
    <n v="12409"/>
    <n v="451"/>
    <d v="2024-03-14T00:00:00"/>
    <s v="March"/>
    <n v="2024"/>
    <x v="567"/>
    <n v="233"/>
    <s v="4G"/>
  </r>
  <r>
    <n v="12410"/>
    <n v="364"/>
    <d v="2024-04-10T00:00:00"/>
    <s v="April"/>
    <n v="2024"/>
    <x v="154"/>
    <n v="54"/>
    <s v="5G"/>
  </r>
  <r>
    <n v="12411"/>
    <n v="141"/>
    <d v="2022-11-21T00:00:00"/>
    <s v="November"/>
    <n v="2022"/>
    <x v="141"/>
    <n v="291"/>
    <s v="5G"/>
  </r>
  <r>
    <n v="12412"/>
    <n v="173"/>
    <d v="2022-08-02T00:00:00"/>
    <s v="August"/>
    <n v="2022"/>
    <x v="257"/>
    <n v="239"/>
    <s v="4G"/>
  </r>
  <r>
    <n v="12413"/>
    <n v="10"/>
    <d v="2022-07-27T00:00:00"/>
    <s v="July"/>
    <n v="2022"/>
    <x v="238"/>
    <n v="35"/>
    <s v="5G"/>
  </r>
  <r>
    <n v="12414"/>
    <n v="228"/>
    <d v="2022-06-18T00:00:00"/>
    <s v="June"/>
    <n v="2022"/>
    <x v="382"/>
    <n v="88"/>
    <s v="5G"/>
  </r>
  <r>
    <n v="12415"/>
    <n v="265"/>
    <d v="2022-11-26T00:00:00"/>
    <s v="November"/>
    <n v="2022"/>
    <x v="198"/>
    <n v="211"/>
    <s v="4G"/>
  </r>
  <r>
    <n v="12416"/>
    <n v="438"/>
    <d v="2022-10-07T00:00:00"/>
    <s v="October"/>
    <n v="2022"/>
    <x v="344"/>
    <n v="244"/>
    <s v="4G"/>
  </r>
  <r>
    <n v="12417"/>
    <n v="248"/>
    <d v="2022-11-01T00:00:00"/>
    <s v="November"/>
    <n v="2022"/>
    <x v="11"/>
    <n v="86"/>
    <s v="4G"/>
  </r>
  <r>
    <n v="12418"/>
    <n v="247"/>
    <d v="2022-05-26T00:00:00"/>
    <s v="May"/>
    <n v="2022"/>
    <x v="132"/>
    <n v="239"/>
    <s v="4G"/>
  </r>
  <r>
    <n v="12419"/>
    <n v="155"/>
    <d v="2024-02-14T00:00:00"/>
    <s v="February"/>
    <n v="2024"/>
    <x v="29"/>
    <n v="187"/>
    <s v="4G"/>
  </r>
  <r>
    <n v="12420"/>
    <n v="34"/>
    <d v="2023-05-31T00:00:00"/>
    <s v="May"/>
    <n v="2023"/>
    <x v="103"/>
    <n v="56"/>
    <s v="4G"/>
  </r>
  <r>
    <n v="12421"/>
    <n v="499"/>
    <d v="2022-03-31T00:00:00"/>
    <s v="March"/>
    <n v="2022"/>
    <x v="389"/>
    <n v="112"/>
    <s v="4G"/>
  </r>
  <r>
    <n v="12422"/>
    <n v="129"/>
    <d v="2023-03-29T00:00:00"/>
    <s v="March"/>
    <n v="2023"/>
    <x v="16"/>
    <n v="222"/>
    <s v="5G"/>
  </r>
  <r>
    <n v="12423"/>
    <n v="160"/>
    <d v="2022-03-01T00:00:00"/>
    <s v="March"/>
    <n v="2022"/>
    <x v="270"/>
    <n v="69"/>
    <s v="4G"/>
  </r>
  <r>
    <n v="12424"/>
    <n v="89"/>
    <d v="2022-11-07T00:00:00"/>
    <s v="November"/>
    <n v="2022"/>
    <x v="502"/>
    <n v="226"/>
    <s v="4G"/>
  </r>
  <r>
    <n v="12425"/>
    <n v="93"/>
    <d v="2023-06-12T00:00:00"/>
    <s v="June"/>
    <n v="2023"/>
    <x v="496"/>
    <n v="255"/>
    <s v="4G"/>
  </r>
  <r>
    <n v="12426"/>
    <n v="327"/>
    <d v="2022-08-15T00:00:00"/>
    <s v="August"/>
    <n v="2022"/>
    <x v="29"/>
    <n v="179"/>
    <s v="5G"/>
  </r>
  <r>
    <n v="12427"/>
    <n v="241"/>
    <d v="2023-04-19T00:00:00"/>
    <s v="April"/>
    <n v="2023"/>
    <x v="354"/>
    <n v="183"/>
    <s v="5G"/>
  </r>
  <r>
    <n v="12428"/>
    <n v="323"/>
    <d v="2023-06-25T00:00:00"/>
    <s v="June"/>
    <n v="2023"/>
    <x v="157"/>
    <n v="190"/>
    <s v="4G"/>
  </r>
  <r>
    <n v="12429"/>
    <n v="468"/>
    <d v="2023-10-25T00:00:00"/>
    <s v="October"/>
    <n v="2023"/>
    <x v="691"/>
    <n v="231"/>
    <s v="5G"/>
  </r>
  <r>
    <n v="12430"/>
    <n v="404"/>
    <d v="2024-01-27T00:00:00"/>
    <s v="January"/>
    <n v="2024"/>
    <x v="692"/>
    <n v="275"/>
    <s v="5G"/>
  </r>
  <r>
    <n v="12431"/>
    <n v="117"/>
    <d v="2024-02-21T00:00:00"/>
    <s v="February"/>
    <n v="2024"/>
    <x v="84"/>
    <n v="232"/>
    <s v="5G"/>
  </r>
  <r>
    <n v="12432"/>
    <n v="94"/>
    <d v="2022-03-20T00:00:00"/>
    <s v="March"/>
    <n v="2022"/>
    <x v="263"/>
    <n v="53"/>
    <s v="5G"/>
  </r>
  <r>
    <n v="12433"/>
    <n v="163"/>
    <d v="2023-03-09T00:00:00"/>
    <s v="March"/>
    <n v="2023"/>
    <x v="108"/>
    <n v="256"/>
    <s v="4G"/>
  </r>
  <r>
    <n v="12434"/>
    <n v="99"/>
    <d v="2024-03-11T00:00:00"/>
    <s v="March"/>
    <n v="2024"/>
    <x v="67"/>
    <n v="89"/>
    <s v="4G"/>
  </r>
  <r>
    <n v="12435"/>
    <n v="113"/>
    <d v="2022-06-02T00:00:00"/>
    <s v="June"/>
    <n v="2022"/>
    <x v="313"/>
    <n v="225"/>
    <s v="4G"/>
  </r>
  <r>
    <n v="12436"/>
    <n v="359"/>
    <d v="2024-02-28T00:00:00"/>
    <s v="February"/>
    <n v="2024"/>
    <x v="482"/>
    <n v="246"/>
    <s v="4G"/>
  </r>
  <r>
    <n v="12437"/>
    <n v="91"/>
    <d v="2023-02-05T00:00:00"/>
    <s v="February"/>
    <n v="2023"/>
    <x v="498"/>
    <n v="150"/>
    <s v="4G"/>
  </r>
  <r>
    <n v="12438"/>
    <n v="346"/>
    <d v="2022-10-06T00:00:00"/>
    <s v="October"/>
    <n v="2022"/>
    <x v="487"/>
    <n v="112"/>
    <s v="5G"/>
  </r>
  <r>
    <n v="12439"/>
    <n v="206"/>
    <d v="2022-02-26T00:00:00"/>
    <s v="February"/>
    <n v="2022"/>
    <x v="145"/>
    <n v="268"/>
    <s v="4G"/>
  </r>
  <r>
    <n v="12440"/>
    <n v="17"/>
    <d v="2022-07-05T00:00:00"/>
    <s v="July"/>
    <n v="2022"/>
    <x v="465"/>
    <n v="156"/>
    <s v="5G"/>
  </r>
  <r>
    <n v="12441"/>
    <n v="274"/>
    <d v="2023-02-02T00:00:00"/>
    <s v="February"/>
    <n v="2023"/>
    <x v="357"/>
    <n v="298"/>
    <s v="4G"/>
  </r>
  <r>
    <n v="12442"/>
    <n v="173"/>
    <d v="2023-08-28T00:00:00"/>
    <s v="August"/>
    <n v="2023"/>
    <x v="357"/>
    <n v="158"/>
    <s v="4G"/>
  </r>
  <r>
    <n v="12443"/>
    <n v="116"/>
    <d v="2024-02-27T00:00:00"/>
    <s v="February"/>
    <n v="2024"/>
    <x v="174"/>
    <n v="224"/>
    <s v="4G"/>
  </r>
  <r>
    <n v="12444"/>
    <n v="349"/>
    <d v="2022-06-07T00:00:00"/>
    <s v="June"/>
    <n v="2022"/>
    <x v="515"/>
    <n v="13"/>
    <s v="4G"/>
  </r>
  <r>
    <n v="12445"/>
    <n v="468"/>
    <d v="2024-02-26T00:00:00"/>
    <s v="February"/>
    <n v="2024"/>
    <x v="300"/>
    <n v="108"/>
    <s v="5G"/>
  </r>
  <r>
    <n v="12446"/>
    <n v="181"/>
    <d v="2023-11-24T00:00:00"/>
    <s v="November"/>
    <n v="2023"/>
    <x v="693"/>
    <n v="95"/>
    <s v="5G"/>
  </r>
  <r>
    <n v="12447"/>
    <n v="91"/>
    <d v="2022-12-25T00:00:00"/>
    <s v="December"/>
    <n v="2022"/>
    <x v="205"/>
    <n v="194"/>
    <s v="4G"/>
  </r>
  <r>
    <n v="12448"/>
    <n v="82"/>
    <d v="2023-03-16T00:00:00"/>
    <s v="March"/>
    <n v="2023"/>
    <x v="223"/>
    <n v="57"/>
    <s v="5G"/>
  </r>
  <r>
    <n v="12449"/>
    <n v="324"/>
    <d v="2023-08-12T00:00:00"/>
    <s v="August"/>
    <n v="2023"/>
    <x v="288"/>
    <n v="293"/>
    <s v="5G"/>
  </r>
  <r>
    <n v="12450"/>
    <n v="449"/>
    <d v="2023-04-11T00:00:00"/>
    <s v="April"/>
    <n v="2023"/>
    <x v="298"/>
    <n v="153"/>
    <s v="4G"/>
  </r>
  <r>
    <n v="12451"/>
    <n v="114"/>
    <d v="2023-10-25T00:00:00"/>
    <s v="October"/>
    <n v="2023"/>
    <x v="330"/>
    <n v="63"/>
    <s v="4G"/>
  </r>
  <r>
    <n v="12452"/>
    <n v="257"/>
    <d v="2023-03-22T00:00:00"/>
    <s v="March"/>
    <n v="2023"/>
    <x v="78"/>
    <n v="157"/>
    <s v="4G"/>
  </r>
  <r>
    <n v="12453"/>
    <n v="58"/>
    <d v="2024-01-20T00:00:00"/>
    <s v="January"/>
    <n v="2024"/>
    <x v="293"/>
    <n v="264"/>
    <s v="4G"/>
  </r>
  <r>
    <n v="12454"/>
    <n v="154"/>
    <d v="2024-03-11T00:00:00"/>
    <s v="March"/>
    <n v="2024"/>
    <x v="399"/>
    <n v="120"/>
    <s v="5G"/>
  </r>
  <r>
    <n v="12455"/>
    <n v="365"/>
    <d v="2024-01-13T00:00:00"/>
    <s v="January"/>
    <n v="2024"/>
    <x v="32"/>
    <n v="287"/>
    <s v="4G"/>
  </r>
  <r>
    <n v="12456"/>
    <n v="404"/>
    <d v="2023-05-03T00:00:00"/>
    <s v="May"/>
    <n v="2023"/>
    <x v="217"/>
    <n v="10"/>
    <s v="4G"/>
  </r>
  <r>
    <n v="12457"/>
    <n v="116"/>
    <d v="2023-06-14T00:00:00"/>
    <s v="June"/>
    <n v="2023"/>
    <x v="436"/>
    <n v="213"/>
    <s v="4G"/>
  </r>
  <r>
    <n v="12458"/>
    <n v="343"/>
    <d v="2022-03-14T00:00:00"/>
    <s v="March"/>
    <n v="2022"/>
    <x v="204"/>
    <n v="161"/>
    <s v="5G"/>
  </r>
  <r>
    <n v="12459"/>
    <n v="266"/>
    <d v="2023-12-02T00:00:00"/>
    <s v="December"/>
    <n v="2023"/>
    <x v="342"/>
    <n v="104"/>
    <s v="5G"/>
  </r>
  <r>
    <n v="12460"/>
    <n v="315"/>
    <d v="2022-01-17T00:00:00"/>
    <s v="January"/>
    <n v="2022"/>
    <x v="341"/>
    <n v="146"/>
    <s v="4G"/>
  </r>
  <r>
    <n v="12461"/>
    <n v="203"/>
    <d v="2023-06-15T00:00:00"/>
    <s v="June"/>
    <n v="2023"/>
    <x v="593"/>
    <n v="181"/>
    <s v="4G"/>
  </r>
  <r>
    <n v="12462"/>
    <n v="41"/>
    <d v="2024-01-01T00:00:00"/>
    <s v="January"/>
    <n v="2024"/>
    <x v="86"/>
    <n v="36"/>
    <s v="4G"/>
  </r>
  <r>
    <n v="12463"/>
    <n v="105"/>
    <d v="2022-11-22T00:00:00"/>
    <s v="November"/>
    <n v="2022"/>
    <x v="517"/>
    <n v="81"/>
    <s v="5G"/>
  </r>
  <r>
    <n v="12464"/>
    <n v="389"/>
    <d v="2023-09-24T00:00:00"/>
    <s v="September"/>
    <n v="2023"/>
    <x v="115"/>
    <n v="11"/>
    <s v="4G"/>
  </r>
  <r>
    <n v="12465"/>
    <n v="378"/>
    <d v="2023-09-05T00:00:00"/>
    <s v="September"/>
    <n v="2023"/>
    <x v="367"/>
    <n v="3"/>
    <s v="5G"/>
  </r>
  <r>
    <n v="12466"/>
    <n v="193"/>
    <d v="2023-06-30T00:00:00"/>
    <s v="June"/>
    <n v="2023"/>
    <x v="150"/>
    <n v="42"/>
    <s v="5G"/>
  </r>
  <r>
    <n v="12467"/>
    <n v="401"/>
    <d v="2023-08-19T00:00:00"/>
    <s v="August"/>
    <n v="2023"/>
    <x v="225"/>
    <n v="50"/>
    <s v="4G"/>
  </r>
  <r>
    <n v="12468"/>
    <n v="278"/>
    <d v="2023-12-09T00:00:00"/>
    <s v="December"/>
    <n v="2023"/>
    <x v="552"/>
    <n v="260"/>
    <s v="4G"/>
  </r>
  <r>
    <n v="12469"/>
    <n v="354"/>
    <d v="2024-04-21T00:00:00"/>
    <s v="April"/>
    <n v="2024"/>
    <x v="110"/>
    <n v="133"/>
    <s v="4G"/>
  </r>
  <r>
    <n v="12470"/>
    <n v="237"/>
    <d v="2022-07-21T00:00:00"/>
    <s v="July"/>
    <n v="2022"/>
    <x v="694"/>
    <n v="86"/>
    <s v="4G"/>
  </r>
  <r>
    <n v="12471"/>
    <n v="425"/>
    <d v="2022-12-10T00:00:00"/>
    <s v="December"/>
    <n v="2022"/>
    <x v="216"/>
    <n v="55"/>
    <s v="4G"/>
  </r>
  <r>
    <n v="12472"/>
    <n v="221"/>
    <d v="2024-05-02T00:00:00"/>
    <s v="May"/>
    <n v="2024"/>
    <x v="540"/>
    <n v="216"/>
    <s v="4G"/>
  </r>
  <r>
    <n v="12473"/>
    <n v="68"/>
    <d v="2023-06-07T00:00:00"/>
    <s v="June"/>
    <n v="2023"/>
    <x v="632"/>
    <n v="67"/>
    <s v="4G"/>
  </r>
  <r>
    <n v="12474"/>
    <n v="197"/>
    <d v="2024-05-08T00:00:00"/>
    <s v="May"/>
    <n v="2024"/>
    <x v="472"/>
    <n v="43"/>
    <s v="4G"/>
  </r>
  <r>
    <n v="12475"/>
    <n v="256"/>
    <d v="2023-02-04T00:00:00"/>
    <s v="February"/>
    <n v="2023"/>
    <x v="395"/>
    <n v="142"/>
    <s v="5G"/>
  </r>
  <r>
    <n v="12476"/>
    <n v="139"/>
    <d v="2022-08-06T00:00:00"/>
    <s v="August"/>
    <n v="2022"/>
    <x v="295"/>
    <n v="41"/>
    <s v="4G"/>
  </r>
  <r>
    <n v="12477"/>
    <n v="312"/>
    <d v="2023-03-21T00:00:00"/>
    <s v="March"/>
    <n v="2023"/>
    <x v="375"/>
    <n v="138"/>
    <s v="4G"/>
  </r>
  <r>
    <n v="12478"/>
    <n v="435"/>
    <d v="2024-02-04T00:00:00"/>
    <s v="February"/>
    <n v="2024"/>
    <x v="175"/>
    <n v="72"/>
    <s v="5G"/>
  </r>
  <r>
    <n v="12479"/>
    <n v="149"/>
    <d v="2022-08-10T00:00:00"/>
    <s v="August"/>
    <n v="2022"/>
    <x v="242"/>
    <n v="266"/>
    <s v="4G"/>
  </r>
  <r>
    <n v="12480"/>
    <n v="99"/>
    <d v="2023-01-18T00:00:00"/>
    <s v="January"/>
    <n v="2023"/>
    <x v="131"/>
    <n v="193"/>
    <s v="5G"/>
  </r>
  <r>
    <n v="12481"/>
    <n v="76"/>
    <d v="2024-05-30T00:00:00"/>
    <s v="May"/>
    <n v="2024"/>
    <x v="695"/>
    <n v="154"/>
    <s v="5G"/>
  </r>
  <r>
    <n v="12482"/>
    <n v="282"/>
    <d v="2023-08-15T00:00:00"/>
    <s v="August"/>
    <n v="2023"/>
    <x v="24"/>
    <n v="245"/>
    <s v="4G"/>
  </r>
  <r>
    <n v="12483"/>
    <n v="371"/>
    <d v="2022-01-07T00:00:00"/>
    <s v="January"/>
    <n v="2022"/>
    <x v="482"/>
    <n v="217"/>
    <s v="4G"/>
  </r>
  <r>
    <n v="12484"/>
    <n v="403"/>
    <d v="2022-09-29T00:00:00"/>
    <s v="September"/>
    <n v="2022"/>
    <x v="696"/>
    <n v="252"/>
    <s v="4G"/>
  </r>
  <r>
    <n v="12485"/>
    <n v="109"/>
    <d v="2024-01-09T00:00:00"/>
    <s v="January"/>
    <n v="2024"/>
    <x v="697"/>
    <n v="276"/>
    <s v="4G"/>
  </r>
  <r>
    <n v="12486"/>
    <n v="188"/>
    <d v="2022-01-16T00:00:00"/>
    <s v="January"/>
    <n v="2022"/>
    <x v="35"/>
    <n v="276"/>
    <s v="4G"/>
  </r>
  <r>
    <n v="12487"/>
    <n v="199"/>
    <d v="2023-02-28T00:00:00"/>
    <s v="February"/>
    <n v="2023"/>
    <x v="358"/>
    <n v="71"/>
    <s v="5G"/>
  </r>
  <r>
    <n v="12488"/>
    <n v="303"/>
    <d v="2023-06-08T00:00:00"/>
    <s v="June"/>
    <n v="2023"/>
    <x v="472"/>
    <n v="128"/>
    <s v="4G"/>
  </r>
  <r>
    <n v="12489"/>
    <n v="327"/>
    <d v="2024-03-13T00:00:00"/>
    <s v="March"/>
    <n v="2024"/>
    <x v="698"/>
    <n v="185"/>
    <s v="4G"/>
  </r>
  <r>
    <n v="12490"/>
    <n v="154"/>
    <d v="2024-01-23T00:00:00"/>
    <s v="January"/>
    <n v="2024"/>
    <x v="465"/>
    <n v="12"/>
    <s v="5G"/>
  </r>
  <r>
    <n v="12491"/>
    <n v="40"/>
    <d v="2022-01-21T00:00:00"/>
    <s v="January"/>
    <n v="2022"/>
    <x v="126"/>
    <n v="219"/>
    <s v="5G"/>
  </r>
  <r>
    <n v="12492"/>
    <n v="133"/>
    <d v="2023-11-21T00:00:00"/>
    <s v="November"/>
    <n v="2023"/>
    <x v="11"/>
    <n v="5"/>
    <s v="4G"/>
  </r>
  <r>
    <n v="12493"/>
    <n v="405"/>
    <d v="2022-08-16T00:00:00"/>
    <s v="August"/>
    <n v="2022"/>
    <x v="500"/>
    <n v="238"/>
    <s v="4G"/>
  </r>
  <r>
    <n v="12494"/>
    <n v="462"/>
    <d v="2024-02-24T00:00:00"/>
    <s v="February"/>
    <n v="2024"/>
    <x v="235"/>
    <n v="111"/>
    <s v="4G"/>
  </r>
  <r>
    <n v="12495"/>
    <n v="132"/>
    <d v="2022-10-15T00:00:00"/>
    <s v="October"/>
    <n v="2022"/>
    <x v="250"/>
    <n v="227"/>
    <s v="5G"/>
  </r>
  <r>
    <n v="12496"/>
    <n v="279"/>
    <d v="2024-03-19T00:00:00"/>
    <s v="March"/>
    <n v="2024"/>
    <x v="699"/>
    <n v="16"/>
    <s v="4G"/>
  </r>
  <r>
    <n v="12497"/>
    <n v="362"/>
    <d v="2022-05-14T00:00:00"/>
    <s v="May"/>
    <n v="2022"/>
    <x v="171"/>
    <n v="72"/>
    <s v="5G"/>
  </r>
  <r>
    <n v="12498"/>
    <n v="84"/>
    <d v="2022-10-10T00:00:00"/>
    <s v="October"/>
    <n v="2022"/>
    <x v="24"/>
    <n v="11"/>
    <s v="4G"/>
  </r>
  <r>
    <n v="12499"/>
    <n v="399"/>
    <d v="2023-02-08T00:00:00"/>
    <s v="February"/>
    <n v="2023"/>
    <x v="197"/>
    <n v="85"/>
    <s v="5G"/>
  </r>
  <r>
    <n v="12500"/>
    <n v="242"/>
    <d v="2023-10-27T00:00:00"/>
    <s v="October"/>
    <n v="2023"/>
    <x v="259"/>
    <n v="179"/>
    <s v="4G"/>
  </r>
  <r>
    <n v="12501"/>
    <n v="116"/>
    <d v="2022-03-07T00:00:00"/>
    <s v="March"/>
    <n v="2022"/>
    <x v="700"/>
    <n v="121"/>
    <s v="5G"/>
  </r>
  <r>
    <n v="12502"/>
    <n v="109"/>
    <d v="2023-10-11T00:00:00"/>
    <s v="October"/>
    <n v="2023"/>
    <x v="60"/>
    <n v="203"/>
    <s v="5G"/>
  </r>
  <r>
    <n v="12503"/>
    <n v="221"/>
    <d v="2023-08-27T00:00:00"/>
    <s v="August"/>
    <n v="2023"/>
    <x v="350"/>
    <n v="69"/>
    <s v="4G"/>
  </r>
  <r>
    <n v="12504"/>
    <n v="392"/>
    <d v="2023-03-13T00:00:00"/>
    <s v="March"/>
    <n v="2023"/>
    <x v="242"/>
    <n v="107"/>
    <s v="5G"/>
  </r>
  <r>
    <n v="12505"/>
    <n v="41"/>
    <d v="2024-04-08T00:00:00"/>
    <s v="April"/>
    <n v="2024"/>
    <x v="222"/>
    <n v="200"/>
    <s v="5G"/>
  </r>
  <r>
    <n v="12506"/>
    <n v="368"/>
    <d v="2022-09-16T00:00:00"/>
    <s v="September"/>
    <n v="2022"/>
    <x v="42"/>
    <n v="51"/>
    <s v="5G"/>
  </r>
  <r>
    <n v="12507"/>
    <n v="147"/>
    <d v="2022-04-13T00:00:00"/>
    <s v="April"/>
    <n v="2022"/>
    <x v="281"/>
    <n v="36"/>
    <s v="4G"/>
  </r>
  <r>
    <n v="12508"/>
    <n v="112"/>
    <d v="2023-07-21T00:00:00"/>
    <s v="July"/>
    <n v="2023"/>
    <x v="701"/>
    <n v="116"/>
    <s v="4G"/>
  </r>
  <r>
    <n v="12509"/>
    <n v="103"/>
    <d v="2024-02-08T00:00:00"/>
    <s v="February"/>
    <n v="2024"/>
    <x v="367"/>
    <n v="258"/>
    <s v="5G"/>
  </r>
  <r>
    <n v="12510"/>
    <n v="46"/>
    <d v="2022-04-11T00:00:00"/>
    <s v="April"/>
    <n v="2022"/>
    <x v="702"/>
    <n v="263"/>
    <s v="5G"/>
  </r>
  <r>
    <n v="12511"/>
    <n v="412"/>
    <d v="2022-07-17T00:00:00"/>
    <s v="July"/>
    <n v="2022"/>
    <x v="145"/>
    <n v="63"/>
    <s v="4G"/>
  </r>
  <r>
    <n v="12512"/>
    <n v="494"/>
    <d v="2024-03-23T00:00:00"/>
    <s v="March"/>
    <n v="2024"/>
    <x v="469"/>
    <n v="41"/>
    <s v="5G"/>
  </r>
  <r>
    <n v="12513"/>
    <n v="475"/>
    <d v="2022-08-14T00:00:00"/>
    <s v="August"/>
    <n v="2022"/>
    <x v="414"/>
    <n v="42"/>
    <s v="4G"/>
  </r>
  <r>
    <n v="12514"/>
    <n v="324"/>
    <d v="2023-04-08T00:00:00"/>
    <s v="April"/>
    <n v="2023"/>
    <x v="465"/>
    <n v="124"/>
    <s v="5G"/>
  </r>
  <r>
    <n v="12515"/>
    <n v="378"/>
    <d v="2022-08-25T00:00:00"/>
    <s v="August"/>
    <n v="2022"/>
    <x v="597"/>
    <n v="269"/>
    <s v="4G"/>
  </r>
  <r>
    <n v="12516"/>
    <n v="271"/>
    <d v="2022-01-26T00:00:00"/>
    <s v="January"/>
    <n v="2022"/>
    <x v="703"/>
    <n v="232"/>
    <s v="4G"/>
  </r>
  <r>
    <n v="12517"/>
    <n v="483"/>
    <d v="2022-05-01T00:00:00"/>
    <s v="May"/>
    <n v="2022"/>
    <x v="704"/>
    <n v="131"/>
    <s v="4G"/>
  </r>
  <r>
    <n v="12518"/>
    <n v="421"/>
    <d v="2023-05-21T00:00:00"/>
    <s v="May"/>
    <n v="2023"/>
    <x v="705"/>
    <n v="1"/>
    <s v="4G"/>
  </r>
  <r>
    <n v="12519"/>
    <n v="385"/>
    <d v="2022-07-01T00:00:00"/>
    <s v="July"/>
    <n v="2022"/>
    <x v="706"/>
    <n v="114"/>
    <s v="4G"/>
  </r>
  <r>
    <n v="12520"/>
    <n v="195"/>
    <d v="2023-12-12T00:00:00"/>
    <s v="December"/>
    <n v="2023"/>
    <x v="64"/>
    <n v="0"/>
    <s v="4G"/>
  </r>
  <r>
    <n v="12521"/>
    <n v="367"/>
    <d v="2024-03-24T00:00:00"/>
    <s v="March"/>
    <n v="2024"/>
    <x v="87"/>
    <n v="64"/>
    <s v="4G"/>
  </r>
  <r>
    <n v="12522"/>
    <n v="280"/>
    <d v="2024-02-06T00:00:00"/>
    <s v="February"/>
    <n v="2024"/>
    <x v="358"/>
    <n v="124"/>
    <s v="4G"/>
  </r>
  <r>
    <n v="12523"/>
    <n v="283"/>
    <d v="2023-09-26T00:00:00"/>
    <s v="September"/>
    <n v="2023"/>
    <x v="707"/>
    <n v="255"/>
    <s v="5G"/>
  </r>
  <r>
    <n v="12524"/>
    <n v="40"/>
    <d v="2023-06-27T00:00:00"/>
    <s v="June"/>
    <n v="2023"/>
    <x v="407"/>
    <n v="142"/>
    <s v="4G"/>
  </r>
  <r>
    <n v="12525"/>
    <n v="447"/>
    <d v="2022-11-11T00:00:00"/>
    <s v="November"/>
    <n v="2022"/>
    <x v="211"/>
    <n v="245"/>
    <s v="4G"/>
  </r>
  <r>
    <n v="12526"/>
    <n v="189"/>
    <d v="2024-03-07T00:00:00"/>
    <s v="March"/>
    <n v="2024"/>
    <x v="57"/>
    <n v="115"/>
    <s v="4G"/>
  </r>
  <r>
    <n v="12527"/>
    <n v="164"/>
    <d v="2023-09-10T00:00:00"/>
    <s v="September"/>
    <n v="2023"/>
    <x v="84"/>
    <n v="89"/>
    <s v="5G"/>
  </r>
  <r>
    <n v="12528"/>
    <n v="482"/>
    <d v="2024-01-06T00:00:00"/>
    <s v="January"/>
    <n v="2024"/>
    <x v="178"/>
    <n v="295"/>
    <s v="5G"/>
  </r>
  <r>
    <n v="12529"/>
    <n v="477"/>
    <d v="2022-09-30T00:00:00"/>
    <s v="September"/>
    <n v="2022"/>
    <x v="410"/>
    <n v="41"/>
    <s v="4G"/>
  </r>
  <r>
    <n v="12530"/>
    <n v="24"/>
    <d v="2022-08-20T00:00:00"/>
    <s v="August"/>
    <n v="2022"/>
    <x v="102"/>
    <n v="34"/>
    <s v="5G"/>
  </r>
  <r>
    <n v="12531"/>
    <n v="24"/>
    <d v="2023-02-24T00:00:00"/>
    <s v="February"/>
    <n v="2023"/>
    <x v="22"/>
    <n v="40"/>
    <s v="5G"/>
  </r>
  <r>
    <n v="12532"/>
    <n v="490"/>
    <d v="2024-02-07T00:00:00"/>
    <s v="February"/>
    <n v="2024"/>
    <x v="445"/>
    <n v="123"/>
    <s v="4G"/>
  </r>
  <r>
    <n v="12533"/>
    <n v="4"/>
    <d v="2023-03-18T00:00:00"/>
    <s v="March"/>
    <n v="2023"/>
    <x v="443"/>
    <n v="56"/>
    <s v="5G"/>
  </r>
  <r>
    <n v="12534"/>
    <n v="323"/>
    <d v="2023-05-11T00:00:00"/>
    <s v="May"/>
    <n v="2023"/>
    <x v="358"/>
    <n v="293"/>
    <s v="4G"/>
  </r>
  <r>
    <n v="12535"/>
    <n v="290"/>
    <d v="2022-01-24T00:00:00"/>
    <s v="January"/>
    <n v="2022"/>
    <x v="85"/>
    <n v="234"/>
    <s v="4G"/>
  </r>
  <r>
    <n v="12536"/>
    <n v="441"/>
    <d v="2022-04-19T00:00:00"/>
    <s v="April"/>
    <n v="2022"/>
    <x v="159"/>
    <n v="95"/>
    <s v="4G"/>
  </r>
  <r>
    <n v="12537"/>
    <n v="433"/>
    <d v="2023-12-04T00:00:00"/>
    <s v="December"/>
    <n v="2023"/>
    <x v="587"/>
    <n v="131"/>
    <s v="4G"/>
  </r>
  <r>
    <n v="12538"/>
    <n v="471"/>
    <d v="2023-05-17T00:00:00"/>
    <s v="May"/>
    <n v="2023"/>
    <x v="474"/>
    <n v="175"/>
    <s v="4G"/>
  </r>
  <r>
    <n v="12539"/>
    <n v="181"/>
    <d v="2024-05-08T00:00:00"/>
    <s v="May"/>
    <n v="2024"/>
    <x v="17"/>
    <n v="51"/>
    <s v="4G"/>
  </r>
  <r>
    <n v="12540"/>
    <n v="248"/>
    <d v="2022-01-25T00:00:00"/>
    <s v="January"/>
    <n v="2022"/>
    <x v="242"/>
    <n v="37"/>
    <s v="4G"/>
  </r>
  <r>
    <n v="12541"/>
    <n v="116"/>
    <d v="2022-07-06T00:00:00"/>
    <s v="July"/>
    <n v="2022"/>
    <x v="488"/>
    <n v="4"/>
    <s v="4G"/>
  </r>
  <r>
    <n v="12542"/>
    <n v="279"/>
    <d v="2022-10-15T00:00:00"/>
    <s v="October"/>
    <n v="2022"/>
    <x v="100"/>
    <n v="212"/>
    <s v="4G"/>
  </r>
  <r>
    <n v="12543"/>
    <n v="365"/>
    <d v="2023-09-20T00:00:00"/>
    <s v="September"/>
    <n v="2023"/>
    <x v="117"/>
    <n v="119"/>
    <s v="4G"/>
  </r>
  <r>
    <n v="12544"/>
    <n v="69"/>
    <d v="2022-12-04T00:00:00"/>
    <s v="December"/>
    <n v="2022"/>
    <x v="459"/>
    <n v="208"/>
    <s v="4G"/>
  </r>
  <r>
    <n v="12545"/>
    <n v="351"/>
    <d v="2024-05-27T00:00:00"/>
    <s v="May"/>
    <n v="2024"/>
    <x v="690"/>
    <n v="216"/>
    <s v="5G"/>
  </r>
  <r>
    <n v="12546"/>
    <n v="254"/>
    <d v="2022-02-06T00:00:00"/>
    <s v="February"/>
    <n v="2022"/>
    <x v="94"/>
    <n v="23"/>
    <s v="4G"/>
  </r>
  <r>
    <n v="12547"/>
    <n v="181"/>
    <d v="2024-03-04T00:00:00"/>
    <s v="March"/>
    <n v="2024"/>
    <x v="117"/>
    <n v="204"/>
    <s v="4G"/>
  </r>
  <r>
    <n v="12548"/>
    <n v="318"/>
    <d v="2022-05-17T00:00:00"/>
    <s v="May"/>
    <n v="2022"/>
    <x v="429"/>
    <n v="225"/>
    <s v="4G"/>
  </r>
  <r>
    <n v="12549"/>
    <n v="169"/>
    <d v="2023-05-23T00:00:00"/>
    <s v="May"/>
    <n v="2023"/>
    <x v="708"/>
    <n v="217"/>
    <s v="4G"/>
  </r>
  <r>
    <n v="12550"/>
    <n v="313"/>
    <d v="2022-08-15T00:00:00"/>
    <s v="August"/>
    <n v="2022"/>
    <x v="540"/>
    <n v="210"/>
    <s v="4G"/>
  </r>
  <r>
    <n v="12551"/>
    <n v="249"/>
    <d v="2022-11-16T00:00:00"/>
    <s v="November"/>
    <n v="2022"/>
    <x v="709"/>
    <n v="25"/>
    <s v="4G"/>
  </r>
  <r>
    <n v="12552"/>
    <n v="188"/>
    <d v="2024-04-19T00:00:00"/>
    <s v="April"/>
    <n v="2024"/>
    <x v="363"/>
    <n v="251"/>
    <s v="5G"/>
  </r>
  <r>
    <n v="12553"/>
    <n v="54"/>
    <d v="2022-07-01T00:00:00"/>
    <s v="July"/>
    <n v="2022"/>
    <x v="478"/>
    <n v="2"/>
    <s v="4G"/>
  </r>
  <r>
    <n v="12554"/>
    <n v="326"/>
    <d v="2024-05-23T00:00:00"/>
    <s v="May"/>
    <n v="2024"/>
    <x v="22"/>
    <n v="1"/>
    <s v="4G"/>
  </r>
  <r>
    <n v="12555"/>
    <n v="357"/>
    <d v="2022-03-27T00:00:00"/>
    <s v="March"/>
    <n v="2022"/>
    <x v="343"/>
    <n v="91"/>
    <s v="4G"/>
  </r>
  <r>
    <n v="12556"/>
    <n v="313"/>
    <d v="2023-04-12T00:00:00"/>
    <s v="April"/>
    <n v="2023"/>
    <x v="41"/>
    <n v="1"/>
    <s v="5G"/>
  </r>
  <r>
    <n v="12557"/>
    <n v="138"/>
    <d v="2022-02-22T00:00:00"/>
    <s v="February"/>
    <n v="2022"/>
    <x v="179"/>
    <n v="149"/>
    <s v="5G"/>
  </r>
  <r>
    <n v="12558"/>
    <n v="168"/>
    <d v="2024-05-09T00:00:00"/>
    <s v="May"/>
    <n v="2024"/>
    <x v="455"/>
    <n v="70"/>
    <s v="4G"/>
  </r>
  <r>
    <n v="12559"/>
    <n v="391"/>
    <d v="2024-05-16T00:00:00"/>
    <s v="May"/>
    <n v="2024"/>
    <x v="663"/>
    <n v="3"/>
    <s v="4G"/>
  </r>
  <r>
    <n v="12560"/>
    <n v="103"/>
    <d v="2022-08-23T00:00:00"/>
    <s v="August"/>
    <n v="2022"/>
    <x v="221"/>
    <n v="37"/>
    <s v="5G"/>
  </r>
  <r>
    <n v="12561"/>
    <n v="422"/>
    <d v="2024-02-18T00:00:00"/>
    <s v="February"/>
    <n v="2024"/>
    <x v="4"/>
    <n v="69"/>
    <s v="4G"/>
  </r>
  <r>
    <n v="12562"/>
    <n v="85"/>
    <d v="2024-03-09T00:00:00"/>
    <s v="March"/>
    <n v="2024"/>
    <x v="139"/>
    <n v="200"/>
    <s v="4G"/>
  </r>
  <r>
    <n v="12563"/>
    <n v="317"/>
    <d v="2023-03-09T00:00:00"/>
    <s v="March"/>
    <n v="2023"/>
    <x v="58"/>
    <n v="251"/>
    <s v="4G"/>
  </r>
  <r>
    <n v="12564"/>
    <n v="212"/>
    <d v="2023-05-11T00:00:00"/>
    <s v="May"/>
    <n v="2023"/>
    <x v="161"/>
    <n v="286"/>
    <s v="4G"/>
  </r>
  <r>
    <n v="12565"/>
    <n v="3"/>
    <d v="2022-04-10T00:00:00"/>
    <s v="April"/>
    <n v="2022"/>
    <x v="688"/>
    <n v="291"/>
    <s v="5G"/>
  </r>
  <r>
    <n v="12566"/>
    <n v="384"/>
    <d v="2023-08-22T00:00:00"/>
    <s v="August"/>
    <n v="2023"/>
    <x v="274"/>
    <n v="153"/>
    <s v="5G"/>
  </r>
  <r>
    <n v="12567"/>
    <n v="179"/>
    <d v="2023-02-07T00:00:00"/>
    <s v="February"/>
    <n v="2023"/>
    <x v="265"/>
    <n v="132"/>
    <s v="5G"/>
  </r>
  <r>
    <n v="12568"/>
    <n v="342"/>
    <d v="2023-01-31T00:00:00"/>
    <s v="January"/>
    <n v="2023"/>
    <x v="683"/>
    <n v="73"/>
    <s v="4G"/>
  </r>
  <r>
    <n v="12569"/>
    <n v="303"/>
    <d v="2023-06-11T00:00:00"/>
    <s v="June"/>
    <n v="2023"/>
    <x v="141"/>
    <n v="273"/>
    <s v="4G"/>
  </r>
  <r>
    <n v="12570"/>
    <n v="452"/>
    <d v="2023-02-19T00:00:00"/>
    <s v="February"/>
    <n v="2023"/>
    <x v="117"/>
    <n v="270"/>
    <s v="4G"/>
  </r>
  <r>
    <n v="12571"/>
    <n v="476"/>
    <d v="2023-09-05T00:00:00"/>
    <s v="September"/>
    <n v="2023"/>
    <x v="141"/>
    <n v="184"/>
    <s v="5G"/>
  </r>
  <r>
    <n v="12572"/>
    <n v="332"/>
    <d v="2023-11-08T00:00:00"/>
    <s v="November"/>
    <n v="2023"/>
    <x v="211"/>
    <n v="4"/>
    <s v="5G"/>
  </r>
  <r>
    <n v="12573"/>
    <n v="38"/>
    <d v="2023-04-08T00:00:00"/>
    <s v="April"/>
    <n v="2023"/>
    <x v="47"/>
    <n v="292"/>
    <s v="4G"/>
  </r>
  <r>
    <n v="12574"/>
    <n v="499"/>
    <d v="2023-06-25T00:00:00"/>
    <s v="June"/>
    <n v="2023"/>
    <x v="278"/>
    <n v="85"/>
    <s v="4G"/>
  </r>
  <r>
    <n v="12575"/>
    <n v="420"/>
    <d v="2023-09-18T00:00:00"/>
    <s v="September"/>
    <n v="2023"/>
    <x v="19"/>
    <n v="213"/>
    <s v="4G"/>
  </r>
  <r>
    <n v="12576"/>
    <n v="239"/>
    <d v="2023-09-11T00:00:00"/>
    <s v="September"/>
    <n v="2023"/>
    <x v="99"/>
    <n v="14"/>
    <s v="5G"/>
  </r>
  <r>
    <n v="12577"/>
    <n v="169"/>
    <d v="2022-12-30T00:00:00"/>
    <s v="December"/>
    <n v="2022"/>
    <x v="710"/>
    <n v="272"/>
    <s v="4G"/>
  </r>
  <r>
    <n v="12578"/>
    <n v="453"/>
    <d v="2022-05-10T00:00:00"/>
    <s v="May"/>
    <n v="2022"/>
    <x v="279"/>
    <n v="50"/>
    <s v="4G"/>
  </r>
  <r>
    <n v="12579"/>
    <n v="397"/>
    <d v="2022-03-25T00:00:00"/>
    <s v="March"/>
    <n v="2022"/>
    <x v="442"/>
    <n v="252"/>
    <s v="4G"/>
  </r>
  <r>
    <n v="12580"/>
    <n v="343"/>
    <d v="2022-09-28T00:00:00"/>
    <s v="September"/>
    <n v="2022"/>
    <x v="699"/>
    <n v="44"/>
    <s v="4G"/>
  </r>
  <r>
    <n v="12581"/>
    <n v="314"/>
    <d v="2022-09-01T00:00:00"/>
    <s v="September"/>
    <n v="2022"/>
    <x v="362"/>
    <n v="190"/>
    <s v="5G"/>
  </r>
  <r>
    <n v="12582"/>
    <n v="306"/>
    <d v="2023-01-23T00:00:00"/>
    <s v="January"/>
    <n v="2023"/>
    <x v="257"/>
    <n v="121"/>
    <s v="5G"/>
  </r>
  <r>
    <n v="12583"/>
    <n v="30"/>
    <d v="2022-08-02T00:00:00"/>
    <s v="August"/>
    <n v="2022"/>
    <x v="711"/>
    <n v="186"/>
    <s v="5G"/>
  </r>
  <r>
    <n v="12584"/>
    <n v="190"/>
    <d v="2024-03-28T00:00:00"/>
    <s v="March"/>
    <n v="2024"/>
    <x v="488"/>
    <n v="213"/>
    <s v="5G"/>
  </r>
  <r>
    <n v="12585"/>
    <n v="357"/>
    <d v="2022-06-15T00:00:00"/>
    <s v="June"/>
    <n v="2022"/>
    <x v="712"/>
    <n v="148"/>
    <s v="4G"/>
  </r>
  <r>
    <n v="12586"/>
    <n v="25"/>
    <d v="2024-03-01T00:00:00"/>
    <s v="March"/>
    <n v="2024"/>
    <x v="23"/>
    <n v="169"/>
    <s v="4G"/>
  </r>
  <r>
    <n v="12587"/>
    <n v="112"/>
    <d v="2022-02-28T00:00:00"/>
    <s v="February"/>
    <n v="2022"/>
    <x v="178"/>
    <n v="208"/>
    <s v="4G"/>
  </r>
  <r>
    <n v="12588"/>
    <n v="411"/>
    <d v="2023-08-25T00:00:00"/>
    <s v="August"/>
    <n v="2023"/>
    <x v="620"/>
    <n v="81"/>
    <s v="5G"/>
  </r>
  <r>
    <n v="12589"/>
    <n v="435"/>
    <d v="2024-06-01T00:00:00"/>
    <s v="June"/>
    <n v="2024"/>
    <x v="176"/>
    <n v="195"/>
    <s v="4G"/>
  </r>
  <r>
    <n v="12590"/>
    <n v="206"/>
    <d v="2024-04-22T00:00:00"/>
    <s v="April"/>
    <n v="2024"/>
    <x v="713"/>
    <n v="245"/>
    <s v="4G"/>
  </r>
  <r>
    <n v="12591"/>
    <n v="185"/>
    <d v="2023-05-19T00:00:00"/>
    <s v="May"/>
    <n v="2023"/>
    <x v="517"/>
    <n v="39"/>
    <s v="4G"/>
  </r>
  <r>
    <n v="12592"/>
    <n v="382"/>
    <d v="2023-12-07T00:00:00"/>
    <s v="December"/>
    <n v="2023"/>
    <x v="714"/>
    <n v="167"/>
    <s v="4G"/>
  </r>
  <r>
    <n v="12593"/>
    <n v="496"/>
    <d v="2022-05-03T00:00:00"/>
    <s v="May"/>
    <n v="2022"/>
    <x v="361"/>
    <n v="42"/>
    <s v="5G"/>
  </r>
  <r>
    <n v="12594"/>
    <n v="379"/>
    <d v="2023-10-10T00:00:00"/>
    <s v="October"/>
    <n v="2023"/>
    <x v="559"/>
    <n v="210"/>
    <s v="5G"/>
  </r>
  <r>
    <n v="12595"/>
    <n v="47"/>
    <d v="2023-02-17T00:00:00"/>
    <s v="February"/>
    <n v="2023"/>
    <x v="715"/>
    <n v="178"/>
    <s v="4G"/>
  </r>
  <r>
    <n v="12596"/>
    <n v="374"/>
    <d v="2022-05-19T00:00:00"/>
    <s v="May"/>
    <n v="2022"/>
    <x v="273"/>
    <n v="22"/>
    <s v="4G"/>
  </r>
  <r>
    <n v="12597"/>
    <n v="228"/>
    <d v="2022-08-17T00:00:00"/>
    <s v="August"/>
    <n v="2022"/>
    <x v="716"/>
    <n v="94"/>
    <s v="5G"/>
  </r>
  <r>
    <n v="12598"/>
    <n v="39"/>
    <d v="2022-10-01T00:00:00"/>
    <s v="October"/>
    <n v="2022"/>
    <x v="205"/>
    <n v="159"/>
    <s v="5G"/>
  </r>
  <r>
    <n v="12599"/>
    <n v="16"/>
    <d v="2023-03-15T00:00:00"/>
    <s v="March"/>
    <n v="2023"/>
    <x v="251"/>
    <n v="243"/>
    <s v="4G"/>
  </r>
  <r>
    <n v="12600"/>
    <n v="22"/>
    <d v="2023-07-16T00:00:00"/>
    <s v="July"/>
    <n v="2023"/>
    <x v="226"/>
    <n v="16"/>
    <s v="4G"/>
  </r>
  <r>
    <n v="12601"/>
    <n v="213"/>
    <d v="2022-04-28T00:00:00"/>
    <s v="April"/>
    <n v="2022"/>
    <x v="268"/>
    <n v="111"/>
    <s v="4G"/>
  </r>
  <r>
    <n v="12602"/>
    <n v="310"/>
    <d v="2023-12-15T00:00:00"/>
    <s v="December"/>
    <n v="2023"/>
    <x v="315"/>
    <n v="102"/>
    <s v="4G"/>
  </r>
  <r>
    <n v="12603"/>
    <n v="149"/>
    <d v="2023-04-28T00:00:00"/>
    <s v="April"/>
    <n v="2023"/>
    <x v="42"/>
    <n v="85"/>
    <s v="5G"/>
  </r>
  <r>
    <n v="12604"/>
    <n v="456"/>
    <d v="2023-01-30T00:00:00"/>
    <s v="January"/>
    <n v="2023"/>
    <x v="327"/>
    <n v="34"/>
    <s v="4G"/>
  </r>
  <r>
    <n v="12605"/>
    <n v="241"/>
    <d v="2023-12-04T00:00:00"/>
    <s v="December"/>
    <n v="2023"/>
    <x v="279"/>
    <n v="29"/>
    <s v="4G"/>
  </r>
  <r>
    <n v="12606"/>
    <n v="272"/>
    <d v="2024-05-25T00:00:00"/>
    <s v="May"/>
    <n v="2024"/>
    <x v="140"/>
    <n v="191"/>
    <s v="4G"/>
  </r>
  <r>
    <n v="12607"/>
    <n v="59"/>
    <d v="2023-04-05T00:00:00"/>
    <s v="April"/>
    <n v="2023"/>
    <x v="313"/>
    <n v="178"/>
    <s v="4G"/>
  </r>
  <r>
    <n v="12608"/>
    <n v="287"/>
    <d v="2024-04-14T00:00:00"/>
    <s v="April"/>
    <n v="2024"/>
    <x v="254"/>
    <n v="103"/>
    <s v="4G"/>
  </r>
  <r>
    <n v="12609"/>
    <n v="426"/>
    <d v="2023-11-24T00:00:00"/>
    <s v="November"/>
    <n v="2023"/>
    <x v="496"/>
    <n v="164"/>
    <s v="4G"/>
  </r>
  <r>
    <n v="12610"/>
    <n v="202"/>
    <d v="2022-03-19T00:00:00"/>
    <s v="March"/>
    <n v="2022"/>
    <x v="281"/>
    <n v="121"/>
    <s v="4G"/>
  </r>
  <r>
    <n v="12611"/>
    <n v="32"/>
    <d v="2023-02-16T00:00:00"/>
    <s v="February"/>
    <n v="2023"/>
    <x v="135"/>
    <n v="133"/>
    <s v="4G"/>
  </r>
  <r>
    <n v="12612"/>
    <n v="443"/>
    <d v="2022-03-16T00:00:00"/>
    <s v="March"/>
    <n v="2022"/>
    <x v="501"/>
    <n v="289"/>
    <s v="4G"/>
  </r>
  <r>
    <n v="12613"/>
    <n v="162"/>
    <d v="2022-10-22T00:00:00"/>
    <s v="October"/>
    <n v="2022"/>
    <x v="152"/>
    <n v="223"/>
    <s v="4G"/>
  </r>
  <r>
    <n v="12614"/>
    <n v="255"/>
    <d v="2024-03-03T00:00:00"/>
    <s v="March"/>
    <n v="2024"/>
    <x v="142"/>
    <n v="24"/>
    <s v="4G"/>
  </r>
  <r>
    <n v="12615"/>
    <n v="254"/>
    <d v="2022-01-21T00:00:00"/>
    <s v="January"/>
    <n v="2022"/>
    <x v="91"/>
    <n v="12"/>
    <s v="4G"/>
  </r>
  <r>
    <n v="12616"/>
    <n v="9"/>
    <d v="2022-06-20T00:00:00"/>
    <s v="June"/>
    <n v="2022"/>
    <x v="6"/>
    <n v="229"/>
    <s v="4G"/>
  </r>
  <r>
    <n v="12617"/>
    <n v="465"/>
    <d v="2022-01-15T00:00:00"/>
    <s v="January"/>
    <n v="2022"/>
    <x v="183"/>
    <n v="101"/>
    <s v="4G"/>
  </r>
  <r>
    <n v="12618"/>
    <n v="139"/>
    <d v="2022-07-30T00:00:00"/>
    <s v="July"/>
    <n v="2022"/>
    <x v="717"/>
    <n v="202"/>
    <s v="5G"/>
  </r>
  <r>
    <n v="12619"/>
    <n v="480"/>
    <d v="2023-07-14T00:00:00"/>
    <s v="July"/>
    <n v="2023"/>
    <x v="161"/>
    <n v="266"/>
    <s v="5G"/>
  </r>
  <r>
    <n v="12620"/>
    <n v="10"/>
    <d v="2022-03-27T00:00:00"/>
    <s v="March"/>
    <n v="2022"/>
    <x v="182"/>
    <n v="221"/>
    <s v="4G"/>
  </r>
  <r>
    <n v="12621"/>
    <n v="214"/>
    <d v="2022-05-29T00:00:00"/>
    <s v="May"/>
    <n v="2022"/>
    <x v="390"/>
    <n v="103"/>
    <s v="5G"/>
  </r>
  <r>
    <n v="12622"/>
    <n v="273"/>
    <d v="2023-12-01T00:00:00"/>
    <s v="December"/>
    <n v="2023"/>
    <x v="193"/>
    <n v="110"/>
    <s v="4G"/>
  </r>
  <r>
    <n v="12623"/>
    <n v="324"/>
    <d v="2023-01-07T00:00:00"/>
    <s v="January"/>
    <n v="2023"/>
    <x v="579"/>
    <n v="68"/>
    <s v="4G"/>
  </r>
  <r>
    <n v="12624"/>
    <n v="48"/>
    <d v="2023-04-25T00:00:00"/>
    <s v="April"/>
    <n v="2023"/>
    <x v="263"/>
    <n v="257"/>
    <s v="4G"/>
  </r>
  <r>
    <n v="12625"/>
    <n v="436"/>
    <d v="2024-03-28T00:00:00"/>
    <s v="March"/>
    <n v="2024"/>
    <x v="408"/>
    <n v="167"/>
    <s v="4G"/>
  </r>
  <r>
    <n v="12626"/>
    <n v="111"/>
    <d v="2022-05-31T00:00:00"/>
    <s v="May"/>
    <n v="2022"/>
    <x v="38"/>
    <n v="292"/>
    <s v="4G"/>
  </r>
  <r>
    <n v="12627"/>
    <n v="153"/>
    <d v="2022-05-21T00:00:00"/>
    <s v="May"/>
    <n v="2022"/>
    <x v="465"/>
    <n v="48"/>
    <s v="4G"/>
  </r>
  <r>
    <n v="12628"/>
    <n v="123"/>
    <d v="2022-03-10T00:00:00"/>
    <s v="March"/>
    <n v="2022"/>
    <x v="252"/>
    <n v="249"/>
    <s v="5G"/>
  </r>
  <r>
    <n v="12629"/>
    <n v="405"/>
    <d v="2022-09-17T00:00:00"/>
    <s v="September"/>
    <n v="2022"/>
    <x v="110"/>
    <n v="74"/>
    <s v="4G"/>
  </r>
  <r>
    <n v="12630"/>
    <n v="357"/>
    <d v="2024-04-25T00:00:00"/>
    <s v="April"/>
    <n v="2024"/>
    <x v="718"/>
    <n v="200"/>
    <s v="4G"/>
  </r>
  <r>
    <n v="12631"/>
    <n v="102"/>
    <d v="2023-06-05T00:00:00"/>
    <s v="June"/>
    <n v="2023"/>
    <x v="496"/>
    <n v="33"/>
    <s v="4G"/>
  </r>
  <r>
    <n v="12632"/>
    <n v="241"/>
    <d v="2023-09-25T00:00:00"/>
    <s v="September"/>
    <n v="2023"/>
    <x v="432"/>
    <n v="110"/>
    <s v="4G"/>
  </r>
  <r>
    <n v="12633"/>
    <n v="321"/>
    <d v="2023-01-06T00:00:00"/>
    <s v="January"/>
    <n v="2023"/>
    <x v="110"/>
    <n v="236"/>
    <s v="5G"/>
  </r>
  <r>
    <n v="12634"/>
    <n v="191"/>
    <d v="2023-02-23T00:00:00"/>
    <s v="February"/>
    <n v="2023"/>
    <x v="719"/>
    <n v="31"/>
    <s v="5G"/>
  </r>
  <r>
    <n v="12635"/>
    <n v="217"/>
    <d v="2022-04-11T00:00:00"/>
    <s v="April"/>
    <n v="2022"/>
    <x v="100"/>
    <n v="208"/>
    <s v="5G"/>
  </r>
  <r>
    <n v="12636"/>
    <n v="51"/>
    <d v="2023-10-23T00:00:00"/>
    <s v="October"/>
    <n v="2023"/>
    <x v="720"/>
    <n v="131"/>
    <s v="4G"/>
  </r>
  <r>
    <n v="12637"/>
    <n v="292"/>
    <d v="2023-10-20T00:00:00"/>
    <s v="October"/>
    <n v="2023"/>
    <x v="359"/>
    <n v="105"/>
    <s v="4G"/>
  </r>
  <r>
    <n v="12638"/>
    <n v="81"/>
    <d v="2024-05-14T00:00:00"/>
    <s v="May"/>
    <n v="2024"/>
    <x v="721"/>
    <n v="32"/>
    <s v="4G"/>
  </r>
  <r>
    <n v="12639"/>
    <n v="489"/>
    <d v="2022-08-31T00:00:00"/>
    <s v="August"/>
    <n v="2022"/>
    <x v="193"/>
    <n v="42"/>
    <s v="4G"/>
  </r>
  <r>
    <n v="12640"/>
    <n v="383"/>
    <d v="2024-01-23T00:00:00"/>
    <s v="January"/>
    <n v="2024"/>
    <x v="555"/>
    <n v="106"/>
    <s v="4G"/>
  </r>
  <r>
    <n v="12641"/>
    <n v="88"/>
    <d v="2023-05-27T00:00:00"/>
    <s v="May"/>
    <n v="2023"/>
    <x v="365"/>
    <n v="264"/>
    <s v="5G"/>
  </r>
  <r>
    <n v="12642"/>
    <n v="194"/>
    <d v="2024-04-28T00:00:00"/>
    <s v="April"/>
    <n v="2024"/>
    <x v="163"/>
    <n v="225"/>
    <s v="4G"/>
  </r>
  <r>
    <n v="12643"/>
    <n v="104"/>
    <d v="2023-07-09T00:00:00"/>
    <s v="July"/>
    <n v="2023"/>
    <x v="32"/>
    <n v="178"/>
    <s v="4G"/>
  </r>
  <r>
    <n v="12644"/>
    <n v="271"/>
    <d v="2022-04-05T00:00:00"/>
    <s v="April"/>
    <n v="2022"/>
    <x v="402"/>
    <n v="221"/>
    <s v="5G"/>
  </r>
  <r>
    <n v="12645"/>
    <n v="96"/>
    <d v="2022-08-14T00:00:00"/>
    <s v="August"/>
    <n v="2022"/>
    <x v="391"/>
    <n v="124"/>
    <s v="5G"/>
  </r>
  <r>
    <n v="12646"/>
    <n v="423"/>
    <d v="2023-06-02T00:00:00"/>
    <s v="June"/>
    <n v="2023"/>
    <x v="107"/>
    <n v="275"/>
    <s v="4G"/>
  </r>
  <r>
    <n v="12647"/>
    <n v="379"/>
    <d v="2022-08-02T00:00:00"/>
    <s v="August"/>
    <n v="2022"/>
    <x v="140"/>
    <n v="166"/>
    <s v="4G"/>
  </r>
  <r>
    <n v="12648"/>
    <n v="198"/>
    <d v="2023-12-19T00:00:00"/>
    <s v="December"/>
    <n v="2023"/>
    <x v="443"/>
    <n v="150"/>
    <s v="4G"/>
  </r>
  <r>
    <n v="12649"/>
    <n v="1"/>
    <d v="2022-03-08T00:00:00"/>
    <s v="March"/>
    <n v="2022"/>
    <x v="251"/>
    <n v="40"/>
    <s v="4G"/>
  </r>
  <r>
    <n v="12650"/>
    <n v="495"/>
    <d v="2023-01-31T00:00:00"/>
    <s v="January"/>
    <n v="2023"/>
    <x v="459"/>
    <n v="299"/>
    <s v="4G"/>
  </r>
  <r>
    <n v="12651"/>
    <n v="407"/>
    <d v="2023-09-04T00:00:00"/>
    <s v="September"/>
    <n v="2023"/>
    <x v="60"/>
    <n v="34"/>
    <s v="4G"/>
  </r>
  <r>
    <n v="12652"/>
    <n v="378"/>
    <d v="2022-01-12T00:00:00"/>
    <s v="January"/>
    <n v="2022"/>
    <x v="211"/>
    <n v="230"/>
    <s v="4G"/>
  </r>
  <r>
    <n v="12653"/>
    <n v="167"/>
    <d v="2022-08-25T00:00:00"/>
    <s v="August"/>
    <n v="2022"/>
    <x v="77"/>
    <n v="214"/>
    <s v="4G"/>
  </r>
  <r>
    <n v="12654"/>
    <n v="126"/>
    <d v="2024-04-13T00:00:00"/>
    <s v="April"/>
    <n v="2024"/>
    <x v="722"/>
    <n v="100"/>
    <s v="5G"/>
  </r>
  <r>
    <n v="12655"/>
    <n v="313"/>
    <d v="2024-02-09T00:00:00"/>
    <s v="February"/>
    <n v="2024"/>
    <x v="546"/>
    <n v="56"/>
    <s v="5G"/>
  </r>
  <r>
    <n v="12656"/>
    <n v="81"/>
    <d v="2023-02-03T00:00:00"/>
    <s v="February"/>
    <n v="2023"/>
    <x v="723"/>
    <n v="214"/>
    <s v="4G"/>
  </r>
  <r>
    <n v="12657"/>
    <n v="418"/>
    <d v="2023-02-11T00:00:00"/>
    <s v="February"/>
    <n v="2023"/>
    <x v="106"/>
    <n v="155"/>
    <s v="5G"/>
  </r>
  <r>
    <n v="12658"/>
    <n v="251"/>
    <d v="2024-04-28T00:00:00"/>
    <s v="April"/>
    <n v="2024"/>
    <x v="390"/>
    <n v="63"/>
    <s v="4G"/>
  </r>
  <r>
    <n v="12659"/>
    <n v="169"/>
    <d v="2023-04-25T00:00:00"/>
    <s v="April"/>
    <n v="2023"/>
    <x v="100"/>
    <n v="61"/>
    <s v="4G"/>
  </r>
  <r>
    <n v="12660"/>
    <n v="477"/>
    <d v="2023-10-09T00:00:00"/>
    <s v="October"/>
    <n v="2023"/>
    <x v="157"/>
    <n v="61"/>
    <s v="4G"/>
  </r>
  <r>
    <n v="12661"/>
    <n v="73"/>
    <d v="2022-08-10T00:00:00"/>
    <s v="August"/>
    <n v="2022"/>
    <x v="56"/>
    <n v="93"/>
    <s v="4G"/>
  </r>
  <r>
    <n v="12662"/>
    <n v="141"/>
    <d v="2022-06-05T00:00:00"/>
    <s v="June"/>
    <n v="2022"/>
    <x v="517"/>
    <n v="25"/>
    <s v="4G"/>
  </r>
  <r>
    <n v="12663"/>
    <n v="70"/>
    <d v="2023-10-16T00:00:00"/>
    <s v="October"/>
    <n v="2023"/>
    <x v="222"/>
    <n v="120"/>
    <s v="5G"/>
  </r>
  <r>
    <n v="12664"/>
    <n v="262"/>
    <d v="2023-03-04T00:00:00"/>
    <s v="March"/>
    <n v="2023"/>
    <x v="171"/>
    <n v="49"/>
    <s v="4G"/>
  </r>
  <r>
    <n v="12665"/>
    <n v="340"/>
    <d v="2022-06-07T00:00:00"/>
    <s v="June"/>
    <n v="2022"/>
    <x v="671"/>
    <n v="251"/>
    <s v="5G"/>
  </r>
  <r>
    <n v="12666"/>
    <n v="308"/>
    <d v="2023-02-20T00:00:00"/>
    <s v="February"/>
    <n v="2023"/>
    <x v="668"/>
    <n v="35"/>
    <s v="4G"/>
  </r>
  <r>
    <n v="12667"/>
    <n v="245"/>
    <d v="2022-11-22T00:00:00"/>
    <s v="November"/>
    <n v="2022"/>
    <x v="331"/>
    <n v="288"/>
    <s v="4G"/>
  </r>
  <r>
    <n v="12668"/>
    <n v="3"/>
    <d v="2023-01-06T00:00:00"/>
    <s v="January"/>
    <n v="2023"/>
    <x v="365"/>
    <n v="99"/>
    <s v="4G"/>
  </r>
  <r>
    <n v="12669"/>
    <n v="337"/>
    <d v="2022-12-10T00:00:00"/>
    <s v="December"/>
    <n v="2022"/>
    <x v="252"/>
    <n v="135"/>
    <s v="4G"/>
  </r>
  <r>
    <n v="12670"/>
    <n v="63"/>
    <d v="2022-09-19T00:00:00"/>
    <s v="September"/>
    <n v="2022"/>
    <x v="191"/>
    <n v="193"/>
    <s v="4G"/>
  </r>
  <r>
    <n v="12671"/>
    <n v="49"/>
    <d v="2022-10-10T00:00:00"/>
    <s v="October"/>
    <n v="2022"/>
    <x v="535"/>
    <n v="220"/>
    <s v="4G"/>
  </r>
  <r>
    <n v="12672"/>
    <n v="76"/>
    <d v="2024-04-29T00:00:00"/>
    <s v="April"/>
    <n v="2024"/>
    <x v="99"/>
    <n v="278"/>
    <s v="4G"/>
  </r>
  <r>
    <n v="12673"/>
    <n v="368"/>
    <d v="2024-05-05T00:00:00"/>
    <s v="May"/>
    <n v="2024"/>
    <x v="219"/>
    <n v="54"/>
    <s v="4G"/>
  </r>
  <r>
    <n v="12674"/>
    <n v="175"/>
    <d v="2022-08-17T00:00:00"/>
    <s v="August"/>
    <n v="2022"/>
    <x v="628"/>
    <n v="109"/>
    <s v="4G"/>
  </r>
  <r>
    <n v="12675"/>
    <n v="109"/>
    <d v="2024-06-06T00:00:00"/>
    <s v="June"/>
    <n v="2024"/>
    <x v="167"/>
    <n v="148"/>
    <s v="4G"/>
  </r>
  <r>
    <n v="12676"/>
    <n v="183"/>
    <d v="2022-10-07T00:00:00"/>
    <s v="October"/>
    <n v="2022"/>
    <x v="99"/>
    <n v="264"/>
    <s v="4G"/>
  </r>
  <r>
    <n v="12677"/>
    <n v="192"/>
    <d v="2024-05-19T00:00:00"/>
    <s v="May"/>
    <n v="2024"/>
    <x v="253"/>
    <n v="161"/>
    <s v="5G"/>
  </r>
  <r>
    <n v="12678"/>
    <n v="65"/>
    <d v="2022-10-17T00:00:00"/>
    <s v="October"/>
    <n v="2022"/>
    <x v="724"/>
    <n v="186"/>
    <s v="5G"/>
  </r>
  <r>
    <n v="12679"/>
    <n v="337"/>
    <d v="2023-11-11T00:00:00"/>
    <s v="November"/>
    <n v="2023"/>
    <x v="103"/>
    <n v="128"/>
    <s v="4G"/>
  </r>
  <r>
    <n v="12680"/>
    <n v="451"/>
    <d v="2022-02-16T00:00:00"/>
    <s v="February"/>
    <n v="2022"/>
    <x v="234"/>
    <n v="107"/>
    <s v="4G"/>
  </r>
  <r>
    <n v="12681"/>
    <n v="474"/>
    <d v="2023-12-16T00:00:00"/>
    <s v="December"/>
    <n v="2023"/>
    <x v="100"/>
    <n v="67"/>
    <s v="4G"/>
  </r>
  <r>
    <n v="12682"/>
    <n v="271"/>
    <d v="2022-08-02T00:00:00"/>
    <s v="August"/>
    <n v="2022"/>
    <x v="402"/>
    <n v="65"/>
    <s v="5G"/>
  </r>
  <r>
    <n v="12683"/>
    <n v="100"/>
    <d v="2024-01-28T00:00:00"/>
    <s v="January"/>
    <n v="2024"/>
    <x v="445"/>
    <n v="143"/>
    <s v="4G"/>
  </r>
  <r>
    <n v="12684"/>
    <n v="32"/>
    <d v="2022-01-24T00:00:00"/>
    <s v="January"/>
    <n v="2022"/>
    <x v="258"/>
    <n v="52"/>
    <s v="4G"/>
  </r>
  <r>
    <n v="12685"/>
    <n v="352"/>
    <d v="2022-11-17T00:00:00"/>
    <s v="November"/>
    <n v="2022"/>
    <x v="449"/>
    <n v="127"/>
    <s v="4G"/>
  </r>
  <r>
    <n v="12686"/>
    <n v="128"/>
    <d v="2022-10-01T00:00:00"/>
    <s v="October"/>
    <n v="2022"/>
    <x v="143"/>
    <n v="206"/>
    <s v="4G"/>
  </r>
  <r>
    <n v="12687"/>
    <n v="452"/>
    <d v="2023-07-10T00:00:00"/>
    <s v="July"/>
    <n v="2023"/>
    <x v="233"/>
    <n v="215"/>
    <s v="5G"/>
  </r>
  <r>
    <n v="12688"/>
    <n v="402"/>
    <d v="2024-04-23T00:00:00"/>
    <s v="April"/>
    <n v="2024"/>
    <x v="725"/>
    <n v="67"/>
    <s v="5G"/>
  </r>
  <r>
    <n v="12689"/>
    <n v="369"/>
    <d v="2022-11-09T00:00:00"/>
    <s v="November"/>
    <n v="2022"/>
    <x v="673"/>
    <n v="61"/>
    <s v="4G"/>
  </r>
  <r>
    <n v="12690"/>
    <n v="339"/>
    <d v="2022-12-29T00:00:00"/>
    <s v="December"/>
    <n v="2022"/>
    <x v="143"/>
    <n v="209"/>
    <s v="5G"/>
  </r>
  <r>
    <n v="12691"/>
    <n v="43"/>
    <d v="2023-10-30T00:00:00"/>
    <s v="October"/>
    <n v="2023"/>
    <x v="6"/>
    <n v="51"/>
    <s v="4G"/>
  </r>
  <r>
    <n v="12692"/>
    <n v="372"/>
    <d v="2023-01-15T00:00:00"/>
    <s v="January"/>
    <n v="2023"/>
    <x v="305"/>
    <n v="115"/>
    <s v="5G"/>
  </r>
  <r>
    <n v="12693"/>
    <n v="419"/>
    <d v="2023-12-12T00:00:00"/>
    <s v="December"/>
    <n v="2023"/>
    <x v="243"/>
    <n v="64"/>
    <s v="5G"/>
  </r>
  <r>
    <n v="12694"/>
    <n v="488"/>
    <d v="2023-11-05T00:00:00"/>
    <s v="November"/>
    <n v="2023"/>
    <x v="129"/>
    <n v="129"/>
    <s v="4G"/>
  </r>
  <r>
    <n v="12695"/>
    <n v="78"/>
    <d v="2023-04-15T00:00:00"/>
    <s v="April"/>
    <n v="2023"/>
    <x v="282"/>
    <n v="176"/>
    <s v="5G"/>
  </r>
  <r>
    <n v="12696"/>
    <n v="314"/>
    <d v="2024-01-16T00:00:00"/>
    <s v="January"/>
    <n v="2024"/>
    <x v="230"/>
    <n v="277"/>
    <s v="4G"/>
  </r>
  <r>
    <n v="12697"/>
    <n v="289"/>
    <d v="2023-11-06T00:00:00"/>
    <s v="November"/>
    <n v="2023"/>
    <x v="217"/>
    <n v="162"/>
    <s v="4G"/>
  </r>
  <r>
    <n v="12698"/>
    <n v="270"/>
    <d v="2022-04-26T00:00:00"/>
    <s v="April"/>
    <n v="2022"/>
    <x v="91"/>
    <n v="151"/>
    <s v="4G"/>
  </r>
  <r>
    <n v="12699"/>
    <n v="162"/>
    <d v="2023-08-28T00:00:00"/>
    <s v="August"/>
    <n v="2023"/>
    <x v="699"/>
    <n v="235"/>
    <s v="4G"/>
  </r>
  <r>
    <n v="12700"/>
    <n v="189"/>
    <d v="2022-02-11T00:00:00"/>
    <s v="February"/>
    <n v="2022"/>
    <x v="457"/>
    <n v="157"/>
    <s v="4G"/>
  </r>
  <r>
    <n v="12701"/>
    <n v="247"/>
    <d v="2024-03-06T00:00:00"/>
    <s v="March"/>
    <n v="2024"/>
    <x v="373"/>
    <n v="105"/>
    <s v="4G"/>
  </r>
  <r>
    <n v="12702"/>
    <n v="388"/>
    <d v="2023-01-14T00:00:00"/>
    <s v="January"/>
    <n v="2023"/>
    <x v="42"/>
    <n v="254"/>
    <s v="5G"/>
  </r>
  <r>
    <n v="12703"/>
    <n v="216"/>
    <d v="2023-12-23T00:00:00"/>
    <s v="December"/>
    <n v="2023"/>
    <x v="53"/>
    <n v="112"/>
    <s v="4G"/>
  </r>
  <r>
    <n v="12704"/>
    <n v="315"/>
    <d v="2022-07-25T00:00:00"/>
    <s v="July"/>
    <n v="2022"/>
    <x v="281"/>
    <n v="29"/>
    <s v="4G"/>
  </r>
  <r>
    <n v="12705"/>
    <n v="413"/>
    <d v="2023-04-11T00:00:00"/>
    <s v="April"/>
    <n v="2023"/>
    <x v="234"/>
    <n v="11"/>
    <s v="4G"/>
  </r>
  <r>
    <n v="12706"/>
    <n v="339"/>
    <d v="2024-01-02T00:00:00"/>
    <s v="January"/>
    <n v="2024"/>
    <x v="649"/>
    <n v="176"/>
    <s v="4G"/>
  </r>
  <r>
    <n v="12707"/>
    <n v="390"/>
    <d v="2022-10-07T00:00:00"/>
    <s v="October"/>
    <n v="2022"/>
    <x v="469"/>
    <n v="45"/>
    <s v="4G"/>
  </r>
  <r>
    <n v="12708"/>
    <n v="377"/>
    <d v="2023-10-10T00:00:00"/>
    <s v="October"/>
    <n v="2023"/>
    <x v="415"/>
    <n v="170"/>
    <s v="4G"/>
  </r>
  <r>
    <n v="12709"/>
    <n v="481"/>
    <d v="2023-09-10T00:00:00"/>
    <s v="September"/>
    <n v="2023"/>
    <x v="597"/>
    <n v="129"/>
    <s v="5G"/>
  </r>
  <r>
    <n v="12710"/>
    <n v="433"/>
    <d v="2022-04-28T00:00:00"/>
    <s v="April"/>
    <n v="2022"/>
    <x v="447"/>
    <n v="244"/>
    <s v="4G"/>
  </r>
  <r>
    <n v="12711"/>
    <n v="168"/>
    <d v="2022-08-25T00:00:00"/>
    <s v="August"/>
    <n v="2022"/>
    <x v="295"/>
    <n v="202"/>
    <s v="4G"/>
  </r>
  <r>
    <n v="12712"/>
    <n v="339"/>
    <d v="2022-11-05T00:00:00"/>
    <s v="November"/>
    <n v="2022"/>
    <x v="407"/>
    <n v="225"/>
    <s v="5G"/>
  </r>
  <r>
    <n v="12713"/>
    <n v="193"/>
    <d v="2023-04-01T00:00:00"/>
    <s v="April"/>
    <n v="2023"/>
    <x v="532"/>
    <n v="79"/>
    <s v="4G"/>
  </r>
  <r>
    <n v="12714"/>
    <n v="453"/>
    <d v="2024-06-18T00:00:00"/>
    <s v="June"/>
    <n v="2024"/>
    <x v="367"/>
    <n v="34"/>
    <s v="4G"/>
  </r>
  <r>
    <n v="12715"/>
    <n v="283"/>
    <d v="2023-04-20T00:00:00"/>
    <s v="April"/>
    <n v="2023"/>
    <x v="190"/>
    <n v="51"/>
    <s v="4G"/>
  </r>
  <r>
    <n v="12716"/>
    <n v="336"/>
    <d v="2022-04-10T00:00:00"/>
    <s v="April"/>
    <n v="2022"/>
    <x v="23"/>
    <n v="160"/>
    <s v="5G"/>
  </r>
  <r>
    <n v="12717"/>
    <n v="390"/>
    <d v="2022-09-18T00:00:00"/>
    <s v="September"/>
    <n v="2022"/>
    <x v="254"/>
    <n v="83"/>
    <s v="5G"/>
  </r>
  <r>
    <n v="12718"/>
    <n v="488"/>
    <d v="2022-11-01T00:00:00"/>
    <s v="November"/>
    <n v="2022"/>
    <x v="418"/>
    <n v="25"/>
    <s v="5G"/>
  </r>
  <r>
    <n v="12719"/>
    <n v="13"/>
    <d v="2022-12-20T00:00:00"/>
    <s v="December"/>
    <n v="2022"/>
    <x v="540"/>
    <n v="224"/>
    <s v="4G"/>
  </r>
  <r>
    <n v="12720"/>
    <n v="240"/>
    <d v="2022-10-13T00:00:00"/>
    <s v="October"/>
    <n v="2022"/>
    <x v="604"/>
    <n v="153"/>
    <s v="4G"/>
  </r>
  <r>
    <n v="12721"/>
    <n v="320"/>
    <d v="2022-11-24T00:00:00"/>
    <s v="November"/>
    <n v="2022"/>
    <x v="142"/>
    <n v="292"/>
    <s v="5G"/>
  </r>
  <r>
    <n v="12722"/>
    <n v="446"/>
    <d v="2022-04-13T00:00:00"/>
    <s v="April"/>
    <n v="2022"/>
    <x v="726"/>
    <n v="94"/>
    <s v="4G"/>
  </r>
  <r>
    <n v="12723"/>
    <n v="483"/>
    <d v="2022-03-04T00:00:00"/>
    <s v="March"/>
    <n v="2022"/>
    <x v="520"/>
    <n v="224"/>
    <s v="4G"/>
  </r>
  <r>
    <n v="12724"/>
    <n v="147"/>
    <d v="2023-11-18T00:00:00"/>
    <s v="November"/>
    <n v="2023"/>
    <x v="727"/>
    <n v="266"/>
    <s v="5G"/>
  </r>
  <r>
    <n v="12725"/>
    <n v="204"/>
    <d v="2022-10-09T00:00:00"/>
    <s v="October"/>
    <n v="2022"/>
    <x v="370"/>
    <n v="40"/>
    <s v="4G"/>
  </r>
  <r>
    <n v="12726"/>
    <n v="80"/>
    <d v="2023-03-17T00:00:00"/>
    <s v="March"/>
    <n v="2023"/>
    <x v="536"/>
    <n v="132"/>
    <s v="4G"/>
  </r>
  <r>
    <n v="12727"/>
    <n v="379"/>
    <d v="2022-10-20T00:00:00"/>
    <s v="October"/>
    <n v="2022"/>
    <x v="36"/>
    <n v="65"/>
    <s v="5G"/>
  </r>
  <r>
    <n v="12728"/>
    <n v="43"/>
    <d v="2024-01-08T00:00:00"/>
    <s v="January"/>
    <n v="2024"/>
    <x v="278"/>
    <n v="209"/>
    <s v="4G"/>
  </r>
  <r>
    <n v="12729"/>
    <n v="458"/>
    <d v="2022-01-07T00:00:00"/>
    <s v="January"/>
    <n v="2022"/>
    <x v="108"/>
    <n v="152"/>
    <s v="4G"/>
  </r>
  <r>
    <n v="12730"/>
    <n v="89"/>
    <d v="2023-10-01T00:00:00"/>
    <s v="October"/>
    <n v="2023"/>
    <x v="411"/>
    <n v="171"/>
    <s v="5G"/>
  </r>
  <r>
    <n v="12731"/>
    <n v="148"/>
    <d v="2022-04-02T00:00:00"/>
    <s v="April"/>
    <n v="2022"/>
    <x v="334"/>
    <n v="58"/>
    <s v="5G"/>
  </r>
  <r>
    <n v="12732"/>
    <n v="95"/>
    <d v="2022-07-09T00:00:00"/>
    <s v="July"/>
    <n v="2022"/>
    <x v="669"/>
    <n v="183"/>
    <s v="4G"/>
  </r>
  <r>
    <n v="12733"/>
    <n v="452"/>
    <d v="2024-05-20T00:00:00"/>
    <s v="May"/>
    <n v="2024"/>
    <x v="192"/>
    <n v="179"/>
    <s v="4G"/>
  </r>
  <r>
    <n v="12734"/>
    <n v="428"/>
    <d v="2023-04-21T00:00:00"/>
    <s v="April"/>
    <n v="2023"/>
    <x v="728"/>
    <n v="11"/>
    <s v="5G"/>
  </r>
  <r>
    <n v="12735"/>
    <n v="151"/>
    <d v="2023-05-26T00:00:00"/>
    <s v="May"/>
    <n v="2023"/>
    <x v="198"/>
    <n v="67"/>
    <s v="4G"/>
  </r>
  <r>
    <n v="12736"/>
    <n v="2"/>
    <d v="2023-04-07T00:00:00"/>
    <s v="April"/>
    <n v="2023"/>
    <x v="127"/>
    <n v="201"/>
    <s v="4G"/>
  </r>
  <r>
    <n v="12737"/>
    <n v="376"/>
    <d v="2022-02-22T00:00:00"/>
    <s v="February"/>
    <n v="2022"/>
    <x v="457"/>
    <n v="5"/>
    <s v="4G"/>
  </r>
  <r>
    <n v="12738"/>
    <n v="22"/>
    <d v="2024-01-24T00:00:00"/>
    <s v="January"/>
    <n v="2024"/>
    <x v="53"/>
    <n v="14"/>
    <s v="5G"/>
  </r>
  <r>
    <n v="12739"/>
    <n v="371"/>
    <d v="2023-05-01T00:00:00"/>
    <s v="May"/>
    <n v="2023"/>
    <x v="343"/>
    <n v="41"/>
    <s v="5G"/>
  </r>
  <r>
    <n v="12740"/>
    <n v="313"/>
    <d v="2023-10-06T00:00:00"/>
    <s v="October"/>
    <n v="2023"/>
    <x v="225"/>
    <n v="30"/>
    <s v="4G"/>
  </r>
  <r>
    <n v="12741"/>
    <n v="485"/>
    <d v="2023-05-05T00:00:00"/>
    <s v="May"/>
    <n v="2023"/>
    <x v="107"/>
    <n v="180"/>
    <s v="5G"/>
  </r>
  <r>
    <n v="12742"/>
    <n v="328"/>
    <d v="2022-12-30T00:00:00"/>
    <s v="December"/>
    <n v="2022"/>
    <x v="137"/>
    <n v="261"/>
    <s v="5G"/>
  </r>
  <r>
    <n v="12743"/>
    <n v="7"/>
    <d v="2022-04-22T00:00:00"/>
    <s v="April"/>
    <n v="2022"/>
    <x v="514"/>
    <n v="288"/>
    <s v="4G"/>
  </r>
  <r>
    <n v="12744"/>
    <n v="206"/>
    <d v="2023-02-13T00:00:00"/>
    <s v="February"/>
    <n v="2023"/>
    <x v="122"/>
    <n v="20"/>
    <s v="4G"/>
  </r>
  <r>
    <n v="12745"/>
    <n v="440"/>
    <d v="2022-01-07T00:00:00"/>
    <s v="January"/>
    <n v="2022"/>
    <x v="543"/>
    <n v="181"/>
    <s v="4G"/>
  </r>
  <r>
    <n v="12746"/>
    <n v="375"/>
    <d v="2024-01-12T00:00:00"/>
    <s v="January"/>
    <n v="2024"/>
    <x v="729"/>
    <n v="183"/>
    <s v="5G"/>
  </r>
  <r>
    <n v="12747"/>
    <n v="451"/>
    <d v="2023-10-30T00:00:00"/>
    <s v="October"/>
    <n v="2023"/>
    <x v="244"/>
    <n v="243"/>
    <s v="4G"/>
  </r>
  <r>
    <n v="12748"/>
    <n v="114"/>
    <d v="2022-07-16T00:00:00"/>
    <s v="July"/>
    <n v="2022"/>
    <x v="58"/>
    <n v="148"/>
    <s v="4G"/>
  </r>
  <r>
    <n v="12749"/>
    <n v="272"/>
    <d v="2024-04-14T00:00:00"/>
    <s v="April"/>
    <n v="2024"/>
    <x v="365"/>
    <n v="255"/>
    <s v="4G"/>
  </r>
  <r>
    <n v="12750"/>
    <n v="83"/>
    <d v="2024-05-25T00:00:00"/>
    <s v="May"/>
    <n v="2024"/>
    <x v="724"/>
    <n v="99"/>
    <s v="4G"/>
  </r>
  <r>
    <n v="12751"/>
    <n v="179"/>
    <d v="2024-01-05T00:00:00"/>
    <s v="January"/>
    <n v="2024"/>
    <x v="295"/>
    <n v="54"/>
    <s v="5G"/>
  </r>
  <r>
    <n v="12752"/>
    <n v="210"/>
    <d v="2023-01-02T00:00:00"/>
    <s v="January"/>
    <n v="2023"/>
    <x v="452"/>
    <n v="185"/>
    <s v="4G"/>
  </r>
  <r>
    <n v="12753"/>
    <n v="500"/>
    <d v="2022-09-07T00:00:00"/>
    <s v="September"/>
    <n v="2022"/>
    <x v="638"/>
    <n v="85"/>
    <s v="5G"/>
  </r>
  <r>
    <n v="12754"/>
    <n v="464"/>
    <d v="2023-08-18T00:00:00"/>
    <s v="August"/>
    <n v="2023"/>
    <x v="60"/>
    <n v="173"/>
    <s v="4G"/>
  </r>
  <r>
    <n v="12755"/>
    <n v="328"/>
    <d v="2022-08-28T00:00:00"/>
    <s v="August"/>
    <n v="2022"/>
    <x v="15"/>
    <n v="21"/>
    <s v="4G"/>
  </r>
  <r>
    <n v="12756"/>
    <n v="124"/>
    <d v="2023-01-15T00:00:00"/>
    <s v="January"/>
    <n v="2023"/>
    <x v="593"/>
    <n v="243"/>
    <s v="5G"/>
  </r>
  <r>
    <n v="12757"/>
    <n v="481"/>
    <d v="2024-05-21T00:00:00"/>
    <s v="May"/>
    <n v="2024"/>
    <x v="121"/>
    <n v="59"/>
    <s v="4G"/>
  </r>
  <r>
    <n v="12758"/>
    <n v="113"/>
    <d v="2024-04-14T00:00:00"/>
    <s v="April"/>
    <n v="2024"/>
    <x v="730"/>
    <n v="103"/>
    <s v="4G"/>
  </r>
  <r>
    <n v="12759"/>
    <n v="12"/>
    <d v="2023-04-16T00:00:00"/>
    <s v="April"/>
    <n v="2023"/>
    <x v="587"/>
    <n v="138"/>
    <s v="5G"/>
  </r>
  <r>
    <n v="12760"/>
    <n v="126"/>
    <d v="2024-02-14T00:00:00"/>
    <s v="February"/>
    <n v="2024"/>
    <x v="190"/>
    <n v="158"/>
    <s v="4G"/>
  </r>
  <r>
    <n v="12761"/>
    <n v="53"/>
    <d v="2023-12-02T00:00:00"/>
    <s v="December"/>
    <n v="2023"/>
    <x v="375"/>
    <n v="231"/>
    <s v="4G"/>
  </r>
  <r>
    <n v="12762"/>
    <n v="331"/>
    <d v="2023-03-31T00:00:00"/>
    <s v="March"/>
    <n v="2023"/>
    <x v="436"/>
    <n v="76"/>
    <s v="4G"/>
  </r>
  <r>
    <n v="12763"/>
    <n v="389"/>
    <d v="2023-01-01T00:00:00"/>
    <s v="January"/>
    <n v="2023"/>
    <x v="395"/>
    <n v="17"/>
    <s v="4G"/>
  </r>
  <r>
    <n v="12764"/>
    <n v="283"/>
    <d v="2022-10-17T00:00:00"/>
    <s v="October"/>
    <n v="2022"/>
    <x v="564"/>
    <n v="21"/>
    <s v="5G"/>
  </r>
  <r>
    <n v="12765"/>
    <n v="140"/>
    <d v="2024-05-23T00:00:00"/>
    <s v="May"/>
    <n v="2024"/>
    <x v="64"/>
    <n v="183"/>
    <s v="5G"/>
  </r>
  <r>
    <n v="12766"/>
    <n v="401"/>
    <d v="2023-02-07T00:00:00"/>
    <s v="February"/>
    <n v="2023"/>
    <x v="433"/>
    <n v="144"/>
    <s v="4G"/>
  </r>
  <r>
    <n v="12767"/>
    <n v="390"/>
    <d v="2022-02-27T00:00:00"/>
    <s v="February"/>
    <n v="2022"/>
    <x v="380"/>
    <n v="37"/>
    <s v="5G"/>
  </r>
  <r>
    <n v="12768"/>
    <n v="97"/>
    <d v="2023-06-05T00:00:00"/>
    <s v="June"/>
    <n v="2023"/>
    <x v="82"/>
    <n v="280"/>
    <s v="5G"/>
  </r>
  <r>
    <n v="12769"/>
    <n v="5"/>
    <d v="2022-10-31T00:00:00"/>
    <s v="October"/>
    <n v="2022"/>
    <x v="731"/>
    <n v="287"/>
    <s v="4G"/>
  </r>
  <r>
    <n v="12770"/>
    <n v="57"/>
    <d v="2022-04-25T00:00:00"/>
    <s v="April"/>
    <n v="2022"/>
    <x v="458"/>
    <n v="142"/>
    <s v="4G"/>
  </r>
  <r>
    <n v="12771"/>
    <n v="412"/>
    <d v="2022-07-29T00:00:00"/>
    <s v="July"/>
    <n v="2022"/>
    <x v="141"/>
    <n v="12"/>
    <s v="4G"/>
  </r>
  <r>
    <n v="12772"/>
    <n v="334"/>
    <d v="2022-02-10T00:00:00"/>
    <s v="February"/>
    <n v="2022"/>
    <x v="258"/>
    <n v="185"/>
    <s v="5G"/>
  </r>
  <r>
    <n v="12773"/>
    <n v="69"/>
    <d v="2024-03-26T00:00:00"/>
    <s v="March"/>
    <n v="2024"/>
    <x v="78"/>
    <n v="266"/>
    <s v="5G"/>
  </r>
  <r>
    <n v="12774"/>
    <n v="118"/>
    <d v="2022-06-22T00:00:00"/>
    <s v="June"/>
    <n v="2022"/>
    <x v="99"/>
    <n v="268"/>
    <s v="4G"/>
  </r>
  <r>
    <n v="12775"/>
    <n v="376"/>
    <d v="2022-08-22T00:00:00"/>
    <s v="August"/>
    <n v="2022"/>
    <x v="2"/>
    <n v="96"/>
    <s v="5G"/>
  </r>
  <r>
    <n v="12776"/>
    <n v="59"/>
    <d v="2024-03-03T00:00:00"/>
    <s v="March"/>
    <n v="2024"/>
    <x v="130"/>
    <n v="293"/>
    <s v="4G"/>
  </r>
  <r>
    <n v="12777"/>
    <n v="33"/>
    <d v="2024-06-02T00:00:00"/>
    <s v="June"/>
    <n v="2024"/>
    <x v="732"/>
    <n v="0"/>
    <s v="4G"/>
  </r>
  <r>
    <n v="12778"/>
    <n v="318"/>
    <d v="2023-08-13T00:00:00"/>
    <s v="August"/>
    <n v="2023"/>
    <x v="235"/>
    <n v="294"/>
    <s v="5G"/>
  </r>
  <r>
    <n v="12779"/>
    <n v="50"/>
    <d v="2023-09-12T00:00:00"/>
    <s v="September"/>
    <n v="2023"/>
    <x v="613"/>
    <n v="26"/>
    <s v="4G"/>
  </r>
  <r>
    <n v="12780"/>
    <n v="368"/>
    <d v="2024-03-03T00:00:00"/>
    <s v="March"/>
    <n v="2024"/>
    <x v="282"/>
    <n v="35"/>
    <s v="4G"/>
  </r>
  <r>
    <n v="12781"/>
    <n v="489"/>
    <d v="2023-02-07T00:00:00"/>
    <s v="February"/>
    <n v="2023"/>
    <x v="488"/>
    <n v="159"/>
    <s v="4G"/>
  </r>
  <r>
    <n v="12782"/>
    <n v="19"/>
    <d v="2022-02-08T00:00:00"/>
    <s v="February"/>
    <n v="2022"/>
    <x v="398"/>
    <n v="30"/>
    <s v="4G"/>
  </r>
  <r>
    <n v="12783"/>
    <n v="214"/>
    <d v="2022-04-29T00:00:00"/>
    <s v="April"/>
    <n v="2022"/>
    <x v="315"/>
    <n v="126"/>
    <s v="4G"/>
  </r>
  <r>
    <n v="12784"/>
    <n v="197"/>
    <d v="2022-12-01T00:00:00"/>
    <s v="December"/>
    <n v="2022"/>
    <x v="676"/>
    <n v="261"/>
    <s v="4G"/>
  </r>
  <r>
    <n v="12785"/>
    <n v="379"/>
    <d v="2022-12-02T00:00:00"/>
    <s v="December"/>
    <n v="2022"/>
    <x v="58"/>
    <n v="209"/>
    <s v="5G"/>
  </r>
  <r>
    <n v="12786"/>
    <n v="450"/>
    <d v="2023-06-23T00:00:00"/>
    <s v="June"/>
    <n v="2023"/>
    <x v="64"/>
    <n v="149"/>
    <s v="5G"/>
  </r>
  <r>
    <n v="12787"/>
    <n v="478"/>
    <d v="2023-09-08T00:00:00"/>
    <s v="September"/>
    <n v="2023"/>
    <x v="506"/>
    <n v="30"/>
    <s v="4G"/>
  </r>
  <r>
    <n v="12788"/>
    <n v="47"/>
    <d v="2022-03-15T00:00:00"/>
    <s v="March"/>
    <n v="2022"/>
    <x v="415"/>
    <n v="99"/>
    <s v="4G"/>
  </r>
  <r>
    <n v="12789"/>
    <n v="167"/>
    <d v="2022-07-10T00:00:00"/>
    <s v="July"/>
    <n v="2022"/>
    <x v="383"/>
    <n v="218"/>
    <s v="5G"/>
  </r>
  <r>
    <n v="12790"/>
    <n v="452"/>
    <d v="2022-11-20T00:00:00"/>
    <s v="November"/>
    <n v="2022"/>
    <x v="491"/>
    <n v="252"/>
    <s v="4G"/>
  </r>
  <r>
    <n v="12791"/>
    <n v="289"/>
    <d v="2022-05-27T00:00:00"/>
    <s v="May"/>
    <n v="2022"/>
    <x v="395"/>
    <n v="170"/>
    <s v="4G"/>
  </r>
  <r>
    <n v="12792"/>
    <n v="141"/>
    <d v="2024-02-06T00:00:00"/>
    <s v="February"/>
    <n v="2024"/>
    <x v="520"/>
    <n v="256"/>
    <s v="4G"/>
  </r>
  <r>
    <n v="12793"/>
    <n v="84"/>
    <d v="2022-10-11T00:00:00"/>
    <s v="October"/>
    <n v="2022"/>
    <x v="71"/>
    <n v="56"/>
    <s v="4G"/>
  </r>
  <r>
    <n v="12794"/>
    <n v="182"/>
    <d v="2022-08-01T00:00:00"/>
    <s v="August"/>
    <n v="2022"/>
    <x v="443"/>
    <n v="8"/>
    <s v="4G"/>
  </r>
  <r>
    <n v="12795"/>
    <n v="391"/>
    <d v="2023-09-27T00:00:00"/>
    <s v="September"/>
    <n v="2023"/>
    <x v="162"/>
    <n v="4"/>
    <s v="4G"/>
  </r>
  <r>
    <n v="12796"/>
    <n v="79"/>
    <d v="2023-12-19T00:00:00"/>
    <s v="December"/>
    <n v="2023"/>
    <x v="54"/>
    <n v="113"/>
    <s v="4G"/>
  </r>
  <r>
    <n v="12797"/>
    <n v="215"/>
    <d v="2024-01-22T00:00:00"/>
    <s v="January"/>
    <n v="2024"/>
    <x v="293"/>
    <n v="264"/>
    <s v="5G"/>
  </r>
  <r>
    <n v="12798"/>
    <n v="14"/>
    <d v="2023-01-29T00:00:00"/>
    <s v="January"/>
    <n v="2023"/>
    <x v="189"/>
    <n v="172"/>
    <s v="5G"/>
  </r>
  <r>
    <n v="12799"/>
    <n v="215"/>
    <d v="2022-12-05T00:00:00"/>
    <s v="December"/>
    <n v="2022"/>
    <x v="221"/>
    <n v="219"/>
    <s v="4G"/>
  </r>
  <r>
    <n v="12800"/>
    <n v="403"/>
    <d v="2024-03-08T00:00:00"/>
    <s v="March"/>
    <n v="2024"/>
    <x v="510"/>
    <n v="204"/>
    <s v="5G"/>
  </r>
  <r>
    <n v="12801"/>
    <n v="128"/>
    <d v="2022-01-22T00:00:00"/>
    <s v="January"/>
    <n v="2022"/>
    <x v="243"/>
    <n v="23"/>
    <s v="4G"/>
  </r>
  <r>
    <n v="12802"/>
    <n v="310"/>
    <d v="2024-02-10T00:00:00"/>
    <s v="February"/>
    <n v="2024"/>
    <x v="733"/>
    <n v="169"/>
    <s v="4G"/>
  </r>
  <r>
    <n v="12803"/>
    <n v="477"/>
    <d v="2024-05-18T00:00:00"/>
    <s v="May"/>
    <n v="2024"/>
    <x v="457"/>
    <n v="102"/>
    <s v="5G"/>
  </r>
  <r>
    <n v="12804"/>
    <n v="248"/>
    <d v="2022-04-15T00:00:00"/>
    <s v="April"/>
    <n v="2022"/>
    <x v="170"/>
    <n v="59"/>
    <s v="4G"/>
  </r>
  <r>
    <n v="12805"/>
    <n v="404"/>
    <d v="2023-04-11T00:00:00"/>
    <s v="April"/>
    <n v="2023"/>
    <x v="130"/>
    <n v="85"/>
    <s v="4G"/>
  </r>
  <r>
    <n v="12806"/>
    <n v="29"/>
    <d v="2023-04-04T00:00:00"/>
    <s v="April"/>
    <n v="2023"/>
    <x v="36"/>
    <n v="254"/>
    <s v="4G"/>
  </r>
  <r>
    <n v="12807"/>
    <n v="280"/>
    <d v="2023-03-08T00:00:00"/>
    <s v="March"/>
    <n v="2023"/>
    <x v="734"/>
    <n v="164"/>
    <s v="5G"/>
  </r>
  <r>
    <n v="12808"/>
    <n v="338"/>
    <d v="2024-02-09T00:00:00"/>
    <s v="February"/>
    <n v="2024"/>
    <x v="106"/>
    <n v="166"/>
    <s v="4G"/>
  </r>
  <r>
    <n v="12809"/>
    <n v="319"/>
    <d v="2023-12-17T00:00:00"/>
    <s v="December"/>
    <n v="2023"/>
    <x v="214"/>
    <n v="83"/>
    <s v="5G"/>
  </r>
  <r>
    <n v="12810"/>
    <n v="202"/>
    <d v="2024-04-01T00:00:00"/>
    <s v="April"/>
    <n v="2024"/>
    <x v="141"/>
    <n v="201"/>
    <s v="5G"/>
  </r>
  <r>
    <n v="12811"/>
    <n v="361"/>
    <d v="2024-02-13T00:00:00"/>
    <s v="February"/>
    <n v="2024"/>
    <x v="19"/>
    <n v="89"/>
    <s v="5G"/>
  </r>
  <r>
    <n v="12812"/>
    <n v="57"/>
    <d v="2023-09-11T00:00:00"/>
    <s v="September"/>
    <n v="2023"/>
    <x v="122"/>
    <n v="88"/>
    <s v="4G"/>
  </r>
  <r>
    <n v="12813"/>
    <n v="392"/>
    <d v="2024-02-02T00:00:00"/>
    <s v="February"/>
    <n v="2024"/>
    <x v="426"/>
    <n v="119"/>
    <s v="4G"/>
  </r>
  <r>
    <n v="12814"/>
    <n v="218"/>
    <d v="2022-08-09T00:00:00"/>
    <s v="August"/>
    <n v="2022"/>
    <x v="18"/>
    <n v="155"/>
    <s v="4G"/>
  </r>
  <r>
    <n v="12815"/>
    <n v="62"/>
    <d v="2023-01-14T00:00:00"/>
    <s v="January"/>
    <n v="2023"/>
    <x v="54"/>
    <n v="187"/>
    <s v="4G"/>
  </r>
  <r>
    <n v="12816"/>
    <n v="157"/>
    <d v="2022-08-10T00:00:00"/>
    <s v="August"/>
    <n v="2022"/>
    <x v="735"/>
    <n v="187"/>
    <s v="5G"/>
  </r>
  <r>
    <n v="12817"/>
    <n v="202"/>
    <d v="2022-09-15T00:00:00"/>
    <s v="September"/>
    <n v="2022"/>
    <x v="50"/>
    <n v="261"/>
    <s v="4G"/>
  </r>
  <r>
    <n v="12818"/>
    <n v="17"/>
    <d v="2023-12-14T00:00:00"/>
    <s v="December"/>
    <n v="2023"/>
    <x v="9"/>
    <n v="51"/>
    <s v="5G"/>
  </r>
  <r>
    <n v="12819"/>
    <n v="322"/>
    <d v="2023-01-02T00:00:00"/>
    <s v="January"/>
    <n v="2023"/>
    <x v="342"/>
    <n v="139"/>
    <s v="4G"/>
  </r>
  <r>
    <n v="12820"/>
    <n v="6"/>
    <d v="2024-02-09T00:00:00"/>
    <s v="February"/>
    <n v="2024"/>
    <x v="135"/>
    <n v="18"/>
    <s v="5G"/>
  </r>
  <r>
    <n v="12821"/>
    <n v="58"/>
    <d v="2022-12-15T00:00:00"/>
    <s v="December"/>
    <n v="2022"/>
    <x v="285"/>
    <n v="74"/>
    <s v="4G"/>
  </r>
  <r>
    <n v="12822"/>
    <n v="325"/>
    <d v="2022-08-13T00:00:00"/>
    <s v="August"/>
    <n v="2022"/>
    <x v="71"/>
    <n v="229"/>
    <s v="4G"/>
  </r>
  <r>
    <n v="12823"/>
    <n v="412"/>
    <d v="2023-12-15T00:00:00"/>
    <s v="December"/>
    <n v="2023"/>
    <x v="393"/>
    <n v="129"/>
    <s v="5G"/>
  </r>
  <r>
    <n v="12824"/>
    <n v="318"/>
    <d v="2024-01-08T00:00:00"/>
    <s v="January"/>
    <n v="2024"/>
    <x v="93"/>
    <n v="54"/>
    <s v="4G"/>
  </r>
  <r>
    <n v="12825"/>
    <n v="169"/>
    <d v="2022-08-24T00:00:00"/>
    <s v="August"/>
    <n v="2022"/>
    <x v="394"/>
    <n v="270"/>
    <s v="4G"/>
  </r>
  <r>
    <n v="12826"/>
    <n v="453"/>
    <d v="2022-07-02T00:00:00"/>
    <s v="July"/>
    <n v="2022"/>
    <x v="288"/>
    <n v="99"/>
    <s v="4G"/>
  </r>
  <r>
    <n v="12827"/>
    <n v="82"/>
    <d v="2023-12-13T00:00:00"/>
    <s v="December"/>
    <n v="2023"/>
    <x v="668"/>
    <n v="68"/>
    <s v="4G"/>
  </r>
  <r>
    <n v="12828"/>
    <n v="474"/>
    <d v="2024-05-18T00:00:00"/>
    <s v="May"/>
    <n v="2024"/>
    <x v="395"/>
    <n v="298"/>
    <s v="5G"/>
  </r>
  <r>
    <n v="12829"/>
    <n v="468"/>
    <d v="2024-01-28T00:00:00"/>
    <s v="January"/>
    <n v="2024"/>
    <x v="390"/>
    <n v="16"/>
    <s v="5G"/>
  </r>
  <r>
    <n v="12830"/>
    <n v="425"/>
    <d v="2023-03-20T00:00:00"/>
    <s v="March"/>
    <n v="2023"/>
    <x v="728"/>
    <n v="115"/>
    <s v="4G"/>
  </r>
  <r>
    <n v="12831"/>
    <n v="433"/>
    <d v="2024-05-14T00:00:00"/>
    <s v="May"/>
    <n v="2024"/>
    <x v="393"/>
    <n v="151"/>
    <s v="4G"/>
  </r>
  <r>
    <n v="12832"/>
    <n v="219"/>
    <d v="2023-09-15T00:00:00"/>
    <s v="September"/>
    <n v="2023"/>
    <x v="736"/>
    <n v="115"/>
    <s v="4G"/>
  </r>
  <r>
    <n v="12833"/>
    <n v="177"/>
    <d v="2022-01-06T00:00:00"/>
    <s v="January"/>
    <n v="2022"/>
    <x v="242"/>
    <n v="29"/>
    <s v="5G"/>
  </r>
  <r>
    <n v="12834"/>
    <n v="204"/>
    <d v="2022-08-24T00:00:00"/>
    <s v="August"/>
    <n v="2022"/>
    <x v="687"/>
    <n v="50"/>
    <s v="5G"/>
  </r>
  <r>
    <n v="12835"/>
    <n v="71"/>
    <d v="2022-05-07T00:00:00"/>
    <s v="May"/>
    <n v="2022"/>
    <x v="567"/>
    <n v="59"/>
    <s v="5G"/>
  </r>
  <r>
    <n v="12836"/>
    <n v="387"/>
    <d v="2022-04-14T00:00:00"/>
    <s v="April"/>
    <n v="2022"/>
    <x v="482"/>
    <n v="228"/>
    <s v="4G"/>
  </r>
  <r>
    <n v="12837"/>
    <n v="266"/>
    <d v="2024-01-19T00:00:00"/>
    <s v="January"/>
    <n v="2024"/>
    <x v="109"/>
    <n v="258"/>
    <s v="4G"/>
  </r>
  <r>
    <n v="12838"/>
    <n v="98"/>
    <d v="2023-04-25T00:00:00"/>
    <s v="April"/>
    <n v="2023"/>
    <x v="122"/>
    <n v="4"/>
    <s v="4G"/>
  </r>
  <r>
    <n v="12839"/>
    <n v="345"/>
    <d v="2022-06-04T00:00:00"/>
    <s v="June"/>
    <n v="2022"/>
    <x v="152"/>
    <n v="27"/>
    <s v="4G"/>
  </r>
  <r>
    <n v="12840"/>
    <n v="291"/>
    <d v="2022-09-14T00:00:00"/>
    <s v="September"/>
    <n v="2022"/>
    <x v="64"/>
    <n v="253"/>
    <s v="5G"/>
  </r>
  <r>
    <n v="12841"/>
    <n v="208"/>
    <d v="2022-08-23T00:00:00"/>
    <s v="August"/>
    <n v="2022"/>
    <x v="21"/>
    <n v="230"/>
    <s v="4G"/>
  </r>
  <r>
    <n v="12842"/>
    <n v="2"/>
    <d v="2023-05-15T00:00:00"/>
    <s v="May"/>
    <n v="2023"/>
    <x v="237"/>
    <n v="199"/>
    <s v="5G"/>
  </r>
  <r>
    <n v="12843"/>
    <n v="124"/>
    <d v="2022-10-16T00:00:00"/>
    <s v="October"/>
    <n v="2022"/>
    <x v="140"/>
    <n v="270"/>
    <s v="4G"/>
  </r>
  <r>
    <n v="12844"/>
    <n v="280"/>
    <d v="2023-05-25T00:00:00"/>
    <s v="May"/>
    <n v="2023"/>
    <x v="227"/>
    <n v="45"/>
    <s v="5G"/>
  </r>
  <r>
    <n v="12845"/>
    <n v="74"/>
    <d v="2023-07-06T00:00:00"/>
    <s v="July"/>
    <n v="2023"/>
    <x v="326"/>
    <n v="27"/>
    <s v="4G"/>
  </r>
  <r>
    <n v="12846"/>
    <n v="166"/>
    <d v="2024-03-10T00:00:00"/>
    <s v="March"/>
    <n v="2024"/>
    <x v="17"/>
    <n v="6"/>
    <s v="4G"/>
  </r>
  <r>
    <n v="12847"/>
    <n v="22"/>
    <d v="2023-12-10T00:00:00"/>
    <s v="December"/>
    <n v="2023"/>
    <x v="150"/>
    <n v="231"/>
    <s v="4G"/>
  </r>
  <r>
    <n v="12848"/>
    <n v="154"/>
    <d v="2024-02-24T00:00:00"/>
    <s v="February"/>
    <n v="2024"/>
    <x v="488"/>
    <n v="198"/>
    <s v="5G"/>
  </r>
  <r>
    <n v="12849"/>
    <n v="427"/>
    <d v="2024-06-12T00:00:00"/>
    <s v="June"/>
    <n v="2024"/>
    <x v="12"/>
    <n v="93"/>
    <s v="4G"/>
  </r>
  <r>
    <n v="12850"/>
    <n v="439"/>
    <d v="2024-02-15T00:00:00"/>
    <s v="February"/>
    <n v="2024"/>
    <x v="737"/>
    <n v="81"/>
    <s v="5G"/>
  </r>
  <r>
    <n v="12851"/>
    <n v="295"/>
    <d v="2023-07-23T00:00:00"/>
    <s v="July"/>
    <n v="2023"/>
    <x v="258"/>
    <n v="87"/>
    <s v="4G"/>
  </r>
  <r>
    <n v="12852"/>
    <n v="219"/>
    <d v="2022-10-25T00:00:00"/>
    <s v="October"/>
    <n v="2022"/>
    <x v="254"/>
    <n v="185"/>
    <s v="4G"/>
  </r>
  <r>
    <n v="12853"/>
    <n v="157"/>
    <d v="2023-09-02T00:00:00"/>
    <s v="September"/>
    <n v="2023"/>
    <x v="282"/>
    <n v="242"/>
    <s v="5G"/>
  </r>
  <r>
    <n v="12854"/>
    <n v="495"/>
    <d v="2022-05-17T00:00:00"/>
    <s v="May"/>
    <n v="2022"/>
    <x v="142"/>
    <n v="67"/>
    <s v="4G"/>
  </r>
  <r>
    <n v="12855"/>
    <n v="230"/>
    <d v="2023-01-11T00:00:00"/>
    <s v="January"/>
    <n v="2023"/>
    <x v="613"/>
    <n v="186"/>
    <s v="4G"/>
  </r>
  <r>
    <n v="12856"/>
    <n v="20"/>
    <d v="2022-03-28T00:00:00"/>
    <s v="March"/>
    <n v="2022"/>
    <x v="475"/>
    <n v="238"/>
    <s v="4G"/>
  </r>
  <r>
    <n v="12857"/>
    <n v="475"/>
    <d v="2023-02-23T00:00:00"/>
    <s v="February"/>
    <n v="2023"/>
    <x v="438"/>
    <n v="217"/>
    <s v="5G"/>
  </r>
  <r>
    <n v="12858"/>
    <n v="41"/>
    <d v="2024-01-24T00:00:00"/>
    <s v="January"/>
    <n v="2024"/>
    <x v="24"/>
    <n v="107"/>
    <s v="4G"/>
  </r>
  <r>
    <n v="12859"/>
    <n v="438"/>
    <d v="2022-07-18T00:00:00"/>
    <s v="July"/>
    <n v="2022"/>
    <x v="46"/>
    <n v="37"/>
    <s v="4G"/>
  </r>
  <r>
    <n v="12860"/>
    <n v="148"/>
    <d v="2023-04-08T00:00:00"/>
    <s v="April"/>
    <n v="2023"/>
    <x v="17"/>
    <n v="275"/>
    <s v="4G"/>
  </r>
  <r>
    <n v="12861"/>
    <n v="108"/>
    <d v="2023-03-13T00:00:00"/>
    <s v="March"/>
    <n v="2023"/>
    <x v="330"/>
    <n v="9"/>
    <s v="4G"/>
  </r>
  <r>
    <n v="12862"/>
    <n v="403"/>
    <d v="2022-11-06T00:00:00"/>
    <s v="November"/>
    <n v="2022"/>
    <x v="411"/>
    <n v="25"/>
    <s v="4G"/>
  </r>
  <r>
    <n v="12863"/>
    <n v="84"/>
    <d v="2023-08-19T00:00:00"/>
    <s v="August"/>
    <n v="2023"/>
    <x v="241"/>
    <n v="47"/>
    <s v="4G"/>
  </r>
  <r>
    <n v="12864"/>
    <n v="483"/>
    <d v="2024-01-24T00:00:00"/>
    <s v="January"/>
    <n v="2024"/>
    <x v="312"/>
    <n v="13"/>
    <s v="5G"/>
  </r>
  <r>
    <n v="12865"/>
    <n v="367"/>
    <d v="2022-10-08T00:00:00"/>
    <s v="October"/>
    <n v="2022"/>
    <x v="82"/>
    <n v="99"/>
    <s v="4G"/>
  </r>
  <r>
    <n v="12866"/>
    <n v="322"/>
    <d v="2022-11-19T00:00:00"/>
    <s v="November"/>
    <n v="2022"/>
    <x v="699"/>
    <n v="186"/>
    <s v="5G"/>
  </r>
  <r>
    <n v="12867"/>
    <n v="414"/>
    <d v="2024-02-03T00:00:00"/>
    <s v="February"/>
    <n v="2024"/>
    <x v="23"/>
    <n v="11"/>
    <s v="5G"/>
  </r>
  <r>
    <n v="12868"/>
    <n v="309"/>
    <d v="2023-12-03T00:00:00"/>
    <s v="December"/>
    <n v="2023"/>
    <x v="687"/>
    <n v="278"/>
    <s v="5G"/>
  </r>
  <r>
    <n v="12869"/>
    <n v="290"/>
    <d v="2022-06-01T00:00:00"/>
    <s v="June"/>
    <n v="2022"/>
    <x v="97"/>
    <n v="166"/>
    <s v="4G"/>
  </r>
  <r>
    <n v="12870"/>
    <n v="406"/>
    <d v="2022-10-29T00:00:00"/>
    <s v="October"/>
    <n v="2022"/>
    <x v="121"/>
    <n v="121"/>
    <s v="4G"/>
  </r>
  <r>
    <n v="12871"/>
    <n v="323"/>
    <d v="2022-10-05T00:00:00"/>
    <s v="October"/>
    <n v="2022"/>
    <x v="280"/>
    <n v="94"/>
    <s v="5G"/>
  </r>
  <r>
    <n v="12872"/>
    <n v="134"/>
    <d v="2023-10-13T00:00:00"/>
    <s v="October"/>
    <n v="2023"/>
    <x v="454"/>
    <n v="24"/>
    <s v="4G"/>
  </r>
  <r>
    <n v="12873"/>
    <n v="207"/>
    <d v="2023-11-19T00:00:00"/>
    <s v="November"/>
    <n v="2023"/>
    <x v="365"/>
    <n v="16"/>
    <s v="4G"/>
  </r>
  <r>
    <n v="12874"/>
    <n v="283"/>
    <d v="2022-01-08T00:00:00"/>
    <s v="January"/>
    <n v="2022"/>
    <x v="253"/>
    <n v="28"/>
    <s v="5G"/>
  </r>
  <r>
    <n v="12875"/>
    <n v="266"/>
    <d v="2024-03-17T00:00:00"/>
    <s v="March"/>
    <n v="2024"/>
    <x v="256"/>
    <n v="71"/>
    <s v="4G"/>
  </r>
  <r>
    <n v="12876"/>
    <n v="73"/>
    <d v="2022-08-23T00:00:00"/>
    <s v="August"/>
    <n v="2022"/>
    <x v="367"/>
    <n v="269"/>
    <s v="4G"/>
  </r>
  <r>
    <n v="12877"/>
    <n v="481"/>
    <d v="2023-11-06T00:00:00"/>
    <s v="November"/>
    <n v="2023"/>
    <x v="37"/>
    <n v="249"/>
    <s v="4G"/>
  </r>
  <r>
    <n v="12878"/>
    <n v="352"/>
    <d v="2023-07-15T00:00:00"/>
    <s v="July"/>
    <n v="2023"/>
    <x v="674"/>
    <n v="294"/>
    <s v="5G"/>
  </r>
  <r>
    <n v="12879"/>
    <n v="48"/>
    <d v="2022-10-29T00:00:00"/>
    <s v="October"/>
    <n v="2022"/>
    <x v="45"/>
    <n v="143"/>
    <s v="4G"/>
  </r>
  <r>
    <n v="12880"/>
    <n v="326"/>
    <d v="2022-02-07T00:00:00"/>
    <s v="February"/>
    <n v="2022"/>
    <x v="174"/>
    <n v="273"/>
    <s v="5G"/>
  </r>
  <r>
    <n v="12881"/>
    <n v="233"/>
    <d v="2022-05-16T00:00:00"/>
    <s v="May"/>
    <n v="2022"/>
    <x v="177"/>
    <n v="222"/>
    <s v="4G"/>
  </r>
  <r>
    <n v="12882"/>
    <n v="443"/>
    <d v="2024-04-01T00:00:00"/>
    <s v="April"/>
    <n v="2024"/>
    <x v="426"/>
    <n v="74"/>
    <s v="4G"/>
  </r>
  <r>
    <n v="12883"/>
    <n v="100"/>
    <d v="2023-02-25T00:00:00"/>
    <s v="February"/>
    <n v="2023"/>
    <x v="459"/>
    <n v="101"/>
    <s v="4G"/>
  </r>
  <r>
    <n v="12884"/>
    <n v="59"/>
    <d v="2022-08-07T00:00:00"/>
    <s v="August"/>
    <n v="2022"/>
    <x v="259"/>
    <n v="19"/>
    <s v="4G"/>
  </r>
  <r>
    <n v="12885"/>
    <n v="258"/>
    <d v="2022-12-14T00:00:00"/>
    <s v="December"/>
    <n v="2022"/>
    <x v="300"/>
    <n v="116"/>
    <s v="4G"/>
  </r>
  <r>
    <n v="12886"/>
    <n v="413"/>
    <d v="2024-03-18T00:00:00"/>
    <s v="March"/>
    <n v="2024"/>
    <x v="457"/>
    <n v="173"/>
    <s v="4G"/>
  </r>
  <r>
    <n v="12887"/>
    <n v="452"/>
    <d v="2023-06-30T00:00:00"/>
    <s v="June"/>
    <n v="2023"/>
    <x v="307"/>
    <n v="172"/>
    <s v="5G"/>
  </r>
  <r>
    <n v="12888"/>
    <n v="65"/>
    <d v="2024-05-13T00:00:00"/>
    <s v="May"/>
    <n v="2024"/>
    <x v="125"/>
    <n v="3"/>
    <s v="4G"/>
  </r>
  <r>
    <n v="12889"/>
    <n v="83"/>
    <d v="2022-03-20T00:00:00"/>
    <s v="March"/>
    <n v="2022"/>
    <x v="455"/>
    <n v="147"/>
    <s v="4G"/>
  </r>
  <r>
    <n v="12890"/>
    <n v="154"/>
    <d v="2024-01-18T00:00:00"/>
    <s v="January"/>
    <n v="2024"/>
    <x v="337"/>
    <n v="113"/>
    <s v="4G"/>
  </r>
  <r>
    <n v="12891"/>
    <n v="473"/>
    <d v="2024-06-13T00:00:00"/>
    <s v="June"/>
    <n v="2024"/>
    <x v="738"/>
    <n v="166"/>
    <s v="5G"/>
  </r>
  <r>
    <n v="12892"/>
    <n v="266"/>
    <d v="2022-09-30T00:00:00"/>
    <s v="September"/>
    <n v="2022"/>
    <x v="4"/>
    <n v="299"/>
    <s v="4G"/>
  </r>
  <r>
    <n v="12893"/>
    <n v="309"/>
    <d v="2022-06-10T00:00:00"/>
    <s v="June"/>
    <n v="2022"/>
    <x v="183"/>
    <n v="117"/>
    <s v="4G"/>
  </r>
  <r>
    <n v="12894"/>
    <n v="79"/>
    <d v="2023-11-18T00:00:00"/>
    <s v="November"/>
    <n v="2023"/>
    <x v="337"/>
    <n v="99"/>
    <s v="5G"/>
  </r>
  <r>
    <n v="12895"/>
    <n v="315"/>
    <d v="2024-05-27T00:00:00"/>
    <s v="May"/>
    <n v="2024"/>
    <x v="393"/>
    <n v="273"/>
    <s v="4G"/>
  </r>
  <r>
    <n v="12896"/>
    <n v="150"/>
    <d v="2022-11-04T00:00:00"/>
    <s v="November"/>
    <n v="2022"/>
    <x v="717"/>
    <n v="174"/>
    <s v="4G"/>
  </r>
  <r>
    <n v="12897"/>
    <n v="435"/>
    <d v="2023-01-09T00:00:00"/>
    <s v="January"/>
    <n v="2023"/>
    <x v="247"/>
    <n v="158"/>
    <s v="4G"/>
  </r>
  <r>
    <n v="12898"/>
    <n v="48"/>
    <d v="2024-01-03T00:00:00"/>
    <s v="January"/>
    <n v="2024"/>
    <x v="94"/>
    <n v="226"/>
    <s v="5G"/>
  </r>
  <r>
    <n v="12899"/>
    <n v="405"/>
    <d v="2022-01-09T00:00:00"/>
    <s v="January"/>
    <n v="2022"/>
    <x v="147"/>
    <n v="37"/>
    <s v="4G"/>
  </r>
  <r>
    <n v="12900"/>
    <n v="379"/>
    <d v="2024-03-11T00:00:00"/>
    <s v="March"/>
    <n v="2024"/>
    <x v="129"/>
    <n v="197"/>
    <s v="4G"/>
  </r>
  <r>
    <n v="12901"/>
    <n v="248"/>
    <d v="2023-03-20T00:00:00"/>
    <s v="March"/>
    <n v="2023"/>
    <x v="238"/>
    <n v="135"/>
    <s v="5G"/>
  </r>
  <r>
    <n v="12902"/>
    <n v="278"/>
    <d v="2022-04-23T00:00:00"/>
    <s v="April"/>
    <n v="2022"/>
    <x v="119"/>
    <n v="103"/>
    <s v="4G"/>
  </r>
  <r>
    <n v="12903"/>
    <n v="356"/>
    <d v="2022-07-24T00:00:00"/>
    <s v="July"/>
    <n v="2022"/>
    <x v="400"/>
    <n v="192"/>
    <s v="5G"/>
  </r>
  <r>
    <n v="12904"/>
    <n v="98"/>
    <d v="2023-02-09T00:00:00"/>
    <s v="February"/>
    <n v="2023"/>
    <x v="20"/>
    <n v="249"/>
    <s v="4G"/>
  </r>
  <r>
    <n v="12905"/>
    <n v="414"/>
    <d v="2023-11-29T00:00:00"/>
    <s v="November"/>
    <n v="2023"/>
    <x v="597"/>
    <n v="12"/>
    <s v="4G"/>
  </r>
  <r>
    <n v="12906"/>
    <n v="25"/>
    <d v="2024-05-02T00:00:00"/>
    <s v="May"/>
    <n v="2024"/>
    <x v="620"/>
    <n v="54"/>
    <s v="4G"/>
  </r>
  <r>
    <n v="12907"/>
    <n v="493"/>
    <d v="2022-07-16T00:00:00"/>
    <s v="July"/>
    <n v="2022"/>
    <x v="402"/>
    <n v="84"/>
    <s v="4G"/>
  </r>
  <r>
    <n v="12908"/>
    <n v="284"/>
    <d v="2024-02-17T00:00:00"/>
    <s v="February"/>
    <n v="2024"/>
    <x v="112"/>
    <n v="108"/>
    <s v="4G"/>
  </r>
  <r>
    <n v="12909"/>
    <n v="449"/>
    <d v="2024-02-13T00:00:00"/>
    <s v="February"/>
    <n v="2024"/>
    <x v="121"/>
    <n v="42"/>
    <s v="4G"/>
  </r>
  <r>
    <n v="12910"/>
    <n v="369"/>
    <d v="2024-01-30T00:00:00"/>
    <s v="January"/>
    <n v="2024"/>
    <x v="165"/>
    <n v="70"/>
    <s v="4G"/>
  </r>
  <r>
    <n v="12911"/>
    <n v="301"/>
    <d v="2022-04-25T00:00:00"/>
    <s v="April"/>
    <n v="2022"/>
    <x v="100"/>
    <n v="267"/>
    <s v="5G"/>
  </r>
  <r>
    <n v="12912"/>
    <n v="68"/>
    <d v="2022-05-01T00:00:00"/>
    <s v="May"/>
    <n v="2022"/>
    <x v="392"/>
    <n v="58"/>
    <s v="4G"/>
  </r>
  <r>
    <n v="12913"/>
    <n v="7"/>
    <d v="2023-10-15T00:00:00"/>
    <s v="October"/>
    <n v="2023"/>
    <x v="739"/>
    <n v="43"/>
    <s v="5G"/>
  </r>
  <r>
    <n v="12914"/>
    <n v="305"/>
    <d v="2022-03-06T00:00:00"/>
    <s v="March"/>
    <n v="2022"/>
    <x v="263"/>
    <n v="271"/>
    <s v="5G"/>
  </r>
  <r>
    <n v="12915"/>
    <n v="137"/>
    <d v="2022-10-03T00:00:00"/>
    <s v="October"/>
    <n v="2022"/>
    <x v="409"/>
    <n v="13"/>
    <s v="5G"/>
  </r>
  <r>
    <n v="12916"/>
    <n v="164"/>
    <d v="2024-04-04T00:00:00"/>
    <s v="April"/>
    <n v="2024"/>
    <x v="341"/>
    <n v="111"/>
    <s v="5G"/>
  </r>
  <r>
    <n v="12917"/>
    <n v="83"/>
    <d v="2022-08-27T00:00:00"/>
    <s v="August"/>
    <n v="2022"/>
    <x v="9"/>
    <n v="227"/>
    <s v="4G"/>
  </r>
  <r>
    <n v="12918"/>
    <n v="385"/>
    <d v="2022-10-29T00:00:00"/>
    <s v="October"/>
    <n v="2022"/>
    <x v="740"/>
    <n v="168"/>
    <s v="5G"/>
  </r>
  <r>
    <n v="12919"/>
    <n v="138"/>
    <d v="2023-01-27T00:00:00"/>
    <s v="January"/>
    <n v="2023"/>
    <x v="529"/>
    <n v="290"/>
    <s v="5G"/>
  </r>
  <r>
    <n v="12920"/>
    <n v="420"/>
    <d v="2023-06-06T00:00:00"/>
    <s v="June"/>
    <n v="2023"/>
    <x v="303"/>
    <n v="245"/>
    <s v="5G"/>
  </r>
  <r>
    <n v="12921"/>
    <n v="73"/>
    <d v="2023-01-04T00:00:00"/>
    <s v="January"/>
    <n v="2023"/>
    <x v="10"/>
    <n v="265"/>
    <s v="4G"/>
  </r>
  <r>
    <n v="12922"/>
    <n v="237"/>
    <d v="2022-08-21T00:00:00"/>
    <s v="August"/>
    <n v="2022"/>
    <x v="181"/>
    <n v="242"/>
    <s v="5G"/>
  </r>
  <r>
    <n v="12923"/>
    <n v="46"/>
    <d v="2022-07-14T00:00:00"/>
    <s v="July"/>
    <n v="2022"/>
    <x v="460"/>
    <n v="157"/>
    <s v="5G"/>
  </r>
  <r>
    <n v="12924"/>
    <n v="106"/>
    <d v="2022-01-12T00:00:00"/>
    <s v="January"/>
    <n v="2022"/>
    <x v="417"/>
    <n v="299"/>
    <s v="5G"/>
  </r>
  <r>
    <n v="12925"/>
    <n v="416"/>
    <d v="2023-11-20T00:00:00"/>
    <s v="November"/>
    <n v="2023"/>
    <x v="389"/>
    <n v="17"/>
    <s v="4G"/>
  </r>
  <r>
    <n v="12926"/>
    <n v="288"/>
    <d v="2022-06-26T00:00:00"/>
    <s v="June"/>
    <n v="2022"/>
    <x v="104"/>
    <n v="82"/>
    <s v="4G"/>
  </r>
  <r>
    <n v="12927"/>
    <n v="262"/>
    <d v="2022-08-05T00:00:00"/>
    <s v="August"/>
    <n v="2022"/>
    <x v="23"/>
    <n v="230"/>
    <s v="5G"/>
  </r>
  <r>
    <n v="12928"/>
    <n v="176"/>
    <d v="2022-01-11T00:00:00"/>
    <s v="January"/>
    <n v="2022"/>
    <x v="106"/>
    <n v="252"/>
    <s v="4G"/>
  </r>
  <r>
    <n v="12929"/>
    <n v="166"/>
    <d v="2023-03-22T00:00:00"/>
    <s v="March"/>
    <n v="2023"/>
    <x v="420"/>
    <n v="166"/>
    <s v="4G"/>
  </r>
  <r>
    <n v="12930"/>
    <n v="145"/>
    <d v="2023-09-22T00:00:00"/>
    <s v="September"/>
    <n v="2023"/>
    <x v="624"/>
    <n v="41"/>
    <s v="5G"/>
  </r>
  <r>
    <n v="12931"/>
    <n v="330"/>
    <d v="2022-06-13T00:00:00"/>
    <s v="June"/>
    <n v="2022"/>
    <x v="517"/>
    <n v="248"/>
    <s v="4G"/>
  </r>
  <r>
    <n v="12932"/>
    <n v="370"/>
    <d v="2023-07-05T00:00:00"/>
    <s v="July"/>
    <n v="2023"/>
    <x v="26"/>
    <n v="247"/>
    <s v="4G"/>
  </r>
  <r>
    <n v="12933"/>
    <n v="283"/>
    <d v="2022-02-22T00:00:00"/>
    <s v="February"/>
    <n v="2022"/>
    <x v="161"/>
    <n v="285"/>
    <s v="4G"/>
  </r>
  <r>
    <n v="12934"/>
    <n v="54"/>
    <d v="2022-08-06T00:00:00"/>
    <s v="August"/>
    <n v="2022"/>
    <x v="619"/>
    <n v="19"/>
    <s v="4G"/>
  </r>
  <r>
    <n v="12935"/>
    <n v="178"/>
    <d v="2023-12-19T00:00:00"/>
    <s v="December"/>
    <n v="2023"/>
    <x v="7"/>
    <n v="41"/>
    <s v="4G"/>
  </r>
  <r>
    <n v="12936"/>
    <n v="419"/>
    <d v="2024-04-03T00:00:00"/>
    <s v="April"/>
    <n v="2024"/>
    <x v="629"/>
    <n v="86"/>
    <s v="4G"/>
  </r>
  <r>
    <n v="12937"/>
    <n v="244"/>
    <d v="2022-12-26T00:00:00"/>
    <s v="December"/>
    <n v="2022"/>
    <x v="139"/>
    <n v="260"/>
    <s v="4G"/>
  </r>
  <r>
    <n v="12938"/>
    <n v="341"/>
    <d v="2023-01-20T00:00:00"/>
    <s v="January"/>
    <n v="2023"/>
    <x v="741"/>
    <n v="296"/>
    <s v="4G"/>
  </r>
  <r>
    <n v="12939"/>
    <n v="127"/>
    <d v="2022-02-25T00:00:00"/>
    <s v="February"/>
    <n v="2022"/>
    <x v="532"/>
    <n v="239"/>
    <s v="5G"/>
  </r>
  <r>
    <n v="12940"/>
    <n v="409"/>
    <d v="2022-04-28T00:00:00"/>
    <s v="April"/>
    <n v="2022"/>
    <x v="2"/>
    <n v="166"/>
    <s v="4G"/>
  </r>
  <r>
    <n v="12941"/>
    <n v="412"/>
    <d v="2024-06-18T00:00:00"/>
    <s v="June"/>
    <n v="2024"/>
    <x v="268"/>
    <n v="218"/>
    <s v="4G"/>
  </r>
  <r>
    <n v="12942"/>
    <n v="367"/>
    <d v="2022-09-10T00:00:00"/>
    <s v="September"/>
    <n v="2022"/>
    <x v="34"/>
    <n v="132"/>
    <s v="4G"/>
  </r>
  <r>
    <n v="12943"/>
    <n v="271"/>
    <d v="2024-03-08T00:00:00"/>
    <s v="March"/>
    <n v="2024"/>
    <x v="313"/>
    <n v="206"/>
    <s v="5G"/>
  </r>
  <r>
    <n v="12944"/>
    <n v="132"/>
    <d v="2024-02-19T00:00:00"/>
    <s v="February"/>
    <n v="2024"/>
    <x v="460"/>
    <n v="50"/>
    <s v="5G"/>
  </r>
  <r>
    <n v="12945"/>
    <n v="93"/>
    <d v="2024-03-13T00:00:00"/>
    <s v="March"/>
    <n v="2024"/>
    <x v="119"/>
    <n v="105"/>
    <s v="4G"/>
  </r>
  <r>
    <n v="12946"/>
    <n v="379"/>
    <d v="2024-04-24T00:00:00"/>
    <s v="April"/>
    <n v="2024"/>
    <x v="29"/>
    <n v="183"/>
    <s v="4G"/>
  </r>
  <r>
    <n v="12947"/>
    <n v="73"/>
    <d v="2022-06-29T00:00:00"/>
    <s v="June"/>
    <n v="2022"/>
    <x v="3"/>
    <n v="200"/>
    <s v="4G"/>
  </r>
  <r>
    <n v="12948"/>
    <n v="411"/>
    <d v="2023-02-19T00:00:00"/>
    <s v="February"/>
    <n v="2023"/>
    <x v="264"/>
    <n v="10"/>
    <s v="5G"/>
  </r>
  <r>
    <n v="12949"/>
    <n v="410"/>
    <d v="2024-05-19T00:00:00"/>
    <s v="May"/>
    <n v="2024"/>
    <x v="725"/>
    <n v="253"/>
    <s v="4G"/>
  </r>
  <r>
    <n v="12950"/>
    <n v="403"/>
    <d v="2022-08-23T00:00:00"/>
    <s v="August"/>
    <n v="2022"/>
    <x v="507"/>
    <n v="149"/>
    <s v="4G"/>
  </r>
  <r>
    <n v="12951"/>
    <n v="248"/>
    <d v="2024-05-04T00:00:00"/>
    <s v="May"/>
    <n v="2024"/>
    <x v="389"/>
    <n v="95"/>
    <s v="5G"/>
  </r>
  <r>
    <n v="12952"/>
    <n v="348"/>
    <d v="2023-12-09T00:00:00"/>
    <s v="December"/>
    <n v="2023"/>
    <x v="288"/>
    <n v="105"/>
    <s v="5G"/>
  </r>
  <r>
    <n v="12953"/>
    <n v="273"/>
    <d v="2024-03-30T00:00:00"/>
    <s v="March"/>
    <n v="2024"/>
    <x v="507"/>
    <n v="142"/>
    <s v="4G"/>
  </r>
  <r>
    <n v="12954"/>
    <n v="43"/>
    <d v="2022-03-21T00:00:00"/>
    <s v="March"/>
    <n v="2022"/>
    <x v="742"/>
    <n v="165"/>
    <s v="5G"/>
  </r>
  <r>
    <n v="12955"/>
    <n v="377"/>
    <d v="2023-10-09T00:00:00"/>
    <s v="October"/>
    <n v="2023"/>
    <x v="85"/>
    <n v="0"/>
    <s v="4G"/>
  </r>
  <r>
    <n v="12956"/>
    <n v="41"/>
    <d v="2022-01-22T00:00:00"/>
    <s v="January"/>
    <n v="2022"/>
    <x v="717"/>
    <n v="45"/>
    <s v="5G"/>
  </r>
  <r>
    <n v="12957"/>
    <n v="170"/>
    <d v="2023-04-22T00:00:00"/>
    <s v="April"/>
    <n v="2023"/>
    <x v="557"/>
    <n v="241"/>
    <s v="4G"/>
  </r>
  <r>
    <n v="12958"/>
    <n v="434"/>
    <d v="2024-04-22T00:00:00"/>
    <s v="April"/>
    <n v="2024"/>
    <x v="151"/>
    <n v="277"/>
    <s v="4G"/>
  </r>
  <r>
    <n v="12959"/>
    <n v="212"/>
    <d v="2023-03-16T00:00:00"/>
    <s v="March"/>
    <n v="2023"/>
    <x v="743"/>
    <n v="2"/>
    <s v="4G"/>
  </r>
  <r>
    <n v="12960"/>
    <n v="493"/>
    <d v="2024-01-07T00:00:00"/>
    <s v="January"/>
    <n v="2024"/>
    <x v="173"/>
    <n v="141"/>
    <s v="4G"/>
  </r>
  <r>
    <n v="12961"/>
    <n v="168"/>
    <d v="2023-07-24T00:00:00"/>
    <s v="July"/>
    <n v="2023"/>
    <x v="744"/>
    <n v="60"/>
    <s v="4G"/>
  </r>
  <r>
    <n v="12962"/>
    <n v="39"/>
    <d v="2022-04-03T00:00:00"/>
    <s v="April"/>
    <n v="2022"/>
    <x v="147"/>
    <n v="293"/>
    <s v="4G"/>
  </r>
  <r>
    <n v="12963"/>
    <n v="369"/>
    <d v="2022-07-11T00:00:00"/>
    <s v="July"/>
    <n v="2022"/>
    <x v="420"/>
    <n v="224"/>
    <s v="4G"/>
  </r>
  <r>
    <n v="12964"/>
    <n v="245"/>
    <d v="2022-04-13T00:00:00"/>
    <s v="April"/>
    <n v="2022"/>
    <x v="745"/>
    <n v="169"/>
    <s v="4G"/>
  </r>
  <r>
    <n v="12965"/>
    <n v="151"/>
    <d v="2023-01-31T00:00:00"/>
    <s v="January"/>
    <n v="2023"/>
    <x v="20"/>
    <n v="133"/>
    <s v="5G"/>
  </r>
  <r>
    <n v="12966"/>
    <n v="111"/>
    <d v="2022-01-07T00:00:00"/>
    <s v="January"/>
    <n v="2022"/>
    <x v="544"/>
    <n v="40"/>
    <s v="4G"/>
  </r>
  <r>
    <n v="12967"/>
    <n v="480"/>
    <d v="2023-10-02T00:00:00"/>
    <s v="October"/>
    <n v="2023"/>
    <x v="406"/>
    <n v="230"/>
    <s v="4G"/>
  </r>
  <r>
    <n v="12968"/>
    <n v="436"/>
    <d v="2023-07-21T00:00:00"/>
    <s v="July"/>
    <n v="2023"/>
    <x v="112"/>
    <n v="225"/>
    <s v="4G"/>
  </r>
  <r>
    <n v="12969"/>
    <n v="47"/>
    <d v="2022-08-19T00:00:00"/>
    <s v="August"/>
    <n v="2022"/>
    <x v="212"/>
    <n v="138"/>
    <s v="4G"/>
  </r>
  <r>
    <n v="12970"/>
    <n v="63"/>
    <d v="2024-05-23T00:00:00"/>
    <s v="May"/>
    <n v="2024"/>
    <x v="656"/>
    <n v="109"/>
    <s v="4G"/>
  </r>
  <r>
    <n v="12971"/>
    <n v="225"/>
    <d v="2023-07-28T00:00:00"/>
    <s v="July"/>
    <n v="2023"/>
    <x v="6"/>
    <n v="296"/>
    <s v="4G"/>
  </r>
  <r>
    <n v="12972"/>
    <n v="366"/>
    <d v="2022-08-28T00:00:00"/>
    <s v="August"/>
    <n v="2022"/>
    <x v="330"/>
    <n v="56"/>
    <s v="4G"/>
  </r>
  <r>
    <n v="12973"/>
    <n v="69"/>
    <d v="2022-03-31T00:00:00"/>
    <s v="March"/>
    <n v="2022"/>
    <x v="254"/>
    <n v="122"/>
    <s v="4G"/>
  </r>
  <r>
    <n v="12974"/>
    <n v="299"/>
    <d v="2022-08-20T00:00:00"/>
    <s v="August"/>
    <n v="2022"/>
    <x v="12"/>
    <n v="239"/>
    <s v="5G"/>
  </r>
  <r>
    <n v="12975"/>
    <n v="432"/>
    <d v="2023-04-02T00:00:00"/>
    <s v="April"/>
    <n v="2023"/>
    <x v="508"/>
    <n v="85"/>
    <s v="4G"/>
  </r>
  <r>
    <n v="12976"/>
    <n v="290"/>
    <d v="2022-08-21T00:00:00"/>
    <s v="August"/>
    <n v="2022"/>
    <x v="718"/>
    <n v="175"/>
    <s v="4G"/>
  </r>
  <r>
    <n v="12977"/>
    <n v="296"/>
    <d v="2022-12-20T00:00:00"/>
    <s v="December"/>
    <n v="2022"/>
    <x v="712"/>
    <n v="62"/>
    <s v="4G"/>
  </r>
  <r>
    <n v="12978"/>
    <n v="203"/>
    <d v="2022-11-29T00:00:00"/>
    <s v="November"/>
    <n v="2022"/>
    <x v="69"/>
    <n v="38"/>
    <s v="5G"/>
  </r>
  <r>
    <n v="12979"/>
    <n v="61"/>
    <d v="2023-03-15T00:00:00"/>
    <s v="March"/>
    <n v="2023"/>
    <x v="85"/>
    <n v="137"/>
    <s v="4G"/>
  </r>
  <r>
    <n v="12980"/>
    <n v="434"/>
    <d v="2023-01-10T00:00:00"/>
    <s v="January"/>
    <n v="2023"/>
    <x v="557"/>
    <n v="240"/>
    <s v="5G"/>
  </r>
  <r>
    <n v="12981"/>
    <n v="451"/>
    <d v="2022-10-19T00:00:00"/>
    <s v="October"/>
    <n v="2022"/>
    <x v="256"/>
    <n v="225"/>
    <s v="4G"/>
  </r>
  <r>
    <n v="12982"/>
    <n v="318"/>
    <d v="2022-12-11T00:00:00"/>
    <s v="December"/>
    <n v="2022"/>
    <x v="235"/>
    <n v="205"/>
    <s v="4G"/>
  </r>
  <r>
    <n v="12983"/>
    <n v="314"/>
    <d v="2023-10-26T00:00:00"/>
    <s v="October"/>
    <n v="2023"/>
    <x v="270"/>
    <n v="163"/>
    <s v="5G"/>
  </r>
  <r>
    <n v="12984"/>
    <n v="161"/>
    <d v="2023-03-04T00:00:00"/>
    <s v="March"/>
    <n v="2023"/>
    <x v="557"/>
    <n v="26"/>
    <s v="5G"/>
  </r>
  <r>
    <n v="12985"/>
    <n v="331"/>
    <d v="2023-10-19T00:00:00"/>
    <s v="October"/>
    <n v="2023"/>
    <x v="298"/>
    <n v="182"/>
    <s v="4G"/>
  </r>
  <r>
    <n v="12986"/>
    <n v="16"/>
    <d v="2022-05-10T00:00:00"/>
    <s v="May"/>
    <n v="2022"/>
    <x v="19"/>
    <n v="197"/>
    <s v="4G"/>
  </r>
  <r>
    <n v="12987"/>
    <n v="338"/>
    <d v="2022-05-21T00:00:00"/>
    <s v="May"/>
    <n v="2022"/>
    <x v="298"/>
    <n v="106"/>
    <s v="4G"/>
  </r>
  <r>
    <n v="12988"/>
    <n v="94"/>
    <d v="2023-02-19T00:00:00"/>
    <s v="February"/>
    <n v="2023"/>
    <x v="106"/>
    <n v="188"/>
    <s v="5G"/>
  </r>
  <r>
    <n v="12989"/>
    <n v="304"/>
    <d v="2022-04-03T00:00:00"/>
    <s v="April"/>
    <n v="2022"/>
    <x v="93"/>
    <n v="35"/>
    <s v="4G"/>
  </r>
  <r>
    <n v="12990"/>
    <n v="138"/>
    <d v="2023-09-18T00:00:00"/>
    <s v="September"/>
    <n v="2023"/>
    <x v="321"/>
    <n v="84"/>
    <s v="4G"/>
  </r>
  <r>
    <n v="12991"/>
    <n v="338"/>
    <d v="2022-10-11T00:00:00"/>
    <s v="October"/>
    <n v="2022"/>
    <x v="498"/>
    <n v="154"/>
    <s v="4G"/>
  </r>
  <r>
    <n v="12992"/>
    <n v="38"/>
    <d v="2023-10-17T00:00:00"/>
    <s v="October"/>
    <n v="2023"/>
    <x v="82"/>
    <n v="168"/>
    <s v="4G"/>
  </r>
  <r>
    <n v="12993"/>
    <n v="127"/>
    <d v="2022-08-11T00:00:00"/>
    <s v="August"/>
    <n v="2022"/>
    <x v="221"/>
    <n v="283"/>
    <s v="4G"/>
  </r>
  <r>
    <n v="12994"/>
    <n v="275"/>
    <d v="2024-01-14T00:00:00"/>
    <s v="January"/>
    <n v="2024"/>
    <x v="61"/>
    <n v="271"/>
    <s v="4G"/>
  </r>
  <r>
    <n v="12995"/>
    <n v="164"/>
    <d v="2023-04-08T00:00:00"/>
    <s v="April"/>
    <n v="2023"/>
    <x v="746"/>
    <n v="34"/>
    <s v="4G"/>
  </r>
  <r>
    <n v="12996"/>
    <n v="443"/>
    <d v="2023-06-29T00:00:00"/>
    <s v="June"/>
    <n v="2023"/>
    <x v="747"/>
    <n v="183"/>
    <s v="4G"/>
  </r>
  <r>
    <n v="12997"/>
    <n v="319"/>
    <d v="2022-10-03T00:00:00"/>
    <s v="October"/>
    <n v="2022"/>
    <x v="334"/>
    <n v="98"/>
    <s v="4G"/>
  </r>
  <r>
    <n v="12998"/>
    <n v="77"/>
    <d v="2023-11-13T00:00:00"/>
    <s v="November"/>
    <n v="2023"/>
    <x v="394"/>
    <n v="236"/>
    <s v="4G"/>
  </r>
  <r>
    <n v="12999"/>
    <n v="174"/>
    <d v="2022-05-20T00:00:00"/>
    <s v="May"/>
    <n v="2022"/>
    <x v="691"/>
    <n v="121"/>
    <s v="4G"/>
  </r>
  <r>
    <n v="13000"/>
    <n v="387"/>
    <d v="2022-12-23T00:00:00"/>
    <s v="December"/>
    <n v="2022"/>
    <x v="498"/>
    <n v="22"/>
    <s v="4G"/>
  </r>
  <r>
    <n v="13001"/>
    <n v="458"/>
    <d v="2023-12-14T00:00:00"/>
    <s v="December"/>
    <n v="2023"/>
    <x v="485"/>
    <n v="62"/>
    <s v="4G"/>
  </r>
  <r>
    <n v="13002"/>
    <n v="358"/>
    <d v="2022-01-23T00:00:00"/>
    <s v="January"/>
    <n v="2022"/>
    <x v="442"/>
    <n v="149"/>
    <s v="4G"/>
  </r>
  <r>
    <n v="13003"/>
    <n v="321"/>
    <d v="2024-01-06T00:00:00"/>
    <s v="January"/>
    <n v="2024"/>
    <x v="244"/>
    <n v="194"/>
    <s v="5G"/>
  </r>
  <r>
    <n v="13004"/>
    <n v="376"/>
    <d v="2024-05-29T00:00:00"/>
    <s v="May"/>
    <n v="2024"/>
    <x v="345"/>
    <n v="79"/>
    <s v="4G"/>
  </r>
  <r>
    <n v="13005"/>
    <n v="91"/>
    <d v="2022-09-27T00:00:00"/>
    <s v="September"/>
    <n v="2022"/>
    <x v="220"/>
    <n v="152"/>
    <s v="4G"/>
  </r>
  <r>
    <n v="13006"/>
    <n v="238"/>
    <d v="2024-05-08T00:00:00"/>
    <s v="May"/>
    <n v="2024"/>
    <x v="216"/>
    <n v="16"/>
    <s v="4G"/>
  </r>
  <r>
    <n v="13007"/>
    <n v="264"/>
    <d v="2023-10-27T00:00:00"/>
    <s v="October"/>
    <n v="2023"/>
    <x v="242"/>
    <n v="38"/>
    <s v="4G"/>
  </r>
  <r>
    <n v="13008"/>
    <n v="179"/>
    <d v="2022-11-29T00:00:00"/>
    <s v="November"/>
    <n v="2022"/>
    <x v="29"/>
    <n v="201"/>
    <s v="4G"/>
  </r>
  <r>
    <n v="13009"/>
    <n v="494"/>
    <d v="2022-03-26T00:00:00"/>
    <s v="March"/>
    <n v="2022"/>
    <x v="116"/>
    <n v="279"/>
    <s v="4G"/>
  </r>
  <r>
    <n v="13010"/>
    <n v="490"/>
    <d v="2023-09-13T00:00:00"/>
    <s v="September"/>
    <n v="2023"/>
    <x v="171"/>
    <n v="87"/>
    <s v="4G"/>
  </r>
  <r>
    <n v="13011"/>
    <n v="209"/>
    <d v="2022-01-31T00:00:00"/>
    <s v="January"/>
    <n v="2022"/>
    <x v="34"/>
    <n v="299"/>
    <s v="4G"/>
  </r>
  <r>
    <n v="13012"/>
    <n v="73"/>
    <d v="2024-01-11T00:00:00"/>
    <s v="January"/>
    <n v="2024"/>
    <x v="332"/>
    <n v="291"/>
    <s v="4G"/>
  </r>
  <r>
    <n v="13013"/>
    <n v="390"/>
    <d v="2022-08-28T00:00:00"/>
    <s v="August"/>
    <n v="2022"/>
    <x v="690"/>
    <n v="69"/>
    <s v="5G"/>
  </r>
  <r>
    <n v="13014"/>
    <n v="107"/>
    <d v="2024-06-08T00:00:00"/>
    <s v="June"/>
    <n v="2024"/>
    <x v="19"/>
    <n v="123"/>
    <s v="5G"/>
  </r>
  <r>
    <n v="13015"/>
    <n v="345"/>
    <d v="2022-12-29T00:00:00"/>
    <s v="December"/>
    <n v="2022"/>
    <x v="42"/>
    <n v="79"/>
    <s v="5G"/>
  </r>
  <r>
    <n v="13016"/>
    <n v="295"/>
    <d v="2024-04-01T00:00:00"/>
    <s v="April"/>
    <n v="2024"/>
    <x v="104"/>
    <n v="44"/>
    <s v="4G"/>
  </r>
  <r>
    <n v="13017"/>
    <n v="369"/>
    <d v="2023-01-24T00:00:00"/>
    <s v="January"/>
    <n v="2023"/>
    <x v="57"/>
    <n v="232"/>
    <s v="5G"/>
  </r>
  <r>
    <n v="13018"/>
    <n v="444"/>
    <d v="2023-10-15T00:00:00"/>
    <s v="October"/>
    <n v="2023"/>
    <x v="53"/>
    <n v="153"/>
    <s v="5G"/>
  </r>
  <r>
    <n v="13019"/>
    <n v="284"/>
    <d v="2023-10-30T00:00:00"/>
    <s v="October"/>
    <n v="2023"/>
    <x v="330"/>
    <n v="179"/>
    <s v="5G"/>
  </r>
  <r>
    <n v="13020"/>
    <n v="353"/>
    <d v="2022-10-26T00:00:00"/>
    <s v="October"/>
    <n v="2022"/>
    <x v="198"/>
    <n v="30"/>
    <s v="4G"/>
  </r>
  <r>
    <n v="13021"/>
    <n v="182"/>
    <d v="2024-05-06T00:00:00"/>
    <s v="May"/>
    <n v="2024"/>
    <x v="728"/>
    <n v="84"/>
    <s v="5G"/>
  </r>
  <r>
    <n v="13022"/>
    <n v="37"/>
    <d v="2023-01-06T00:00:00"/>
    <s v="January"/>
    <n v="2023"/>
    <x v="748"/>
    <n v="44"/>
    <s v="4G"/>
  </r>
  <r>
    <n v="13023"/>
    <n v="137"/>
    <d v="2022-04-09T00:00:00"/>
    <s v="April"/>
    <n v="2022"/>
    <x v="175"/>
    <n v="242"/>
    <s v="4G"/>
  </r>
  <r>
    <n v="13024"/>
    <n v="338"/>
    <d v="2022-02-16T00:00:00"/>
    <s v="February"/>
    <n v="2022"/>
    <x v="273"/>
    <n v="39"/>
    <s v="4G"/>
  </r>
  <r>
    <n v="13025"/>
    <n v="56"/>
    <d v="2024-04-18T00:00:00"/>
    <s v="April"/>
    <n v="2024"/>
    <x v="228"/>
    <n v="181"/>
    <s v="5G"/>
  </r>
  <r>
    <n v="13026"/>
    <n v="187"/>
    <d v="2023-02-26T00:00:00"/>
    <s v="February"/>
    <n v="2023"/>
    <x v="364"/>
    <n v="296"/>
    <s v="5G"/>
  </r>
  <r>
    <n v="13027"/>
    <n v="341"/>
    <d v="2023-04-25T00:00:00"/>
    <s v="April"/>
    <n v="2023"/>
    <x v="392"/>
    <n v="80"/>
    <s v="4G"/>
  </r>
  <r>
    <n v="13028"/>
    <n v="258"/>
    <d v="2023-08-02T00:00:00"/>
    <s v="August"/>
    <n v="2023"/>
    <x v="749"/>
    <n v="37"/>
    <s v="4G"/>
  </r>
  <r>
    <n v="13029"/>
    <n v="445"/>
    <d v="2022-03-03T00:00:00"/>
    <s v="March"/>
    <n v="2022"/>
    <x v="369"/>
    <n v="56"/>
    <s v="4G"/>
  </r>
  <r>
    <n v="13030"/>
    <n v="58"/>
    <d v="2022-04-19T00:00:00"/>
    <s v="April"/>
    <n v="2022"/>
    <x v="143"/>
    <n v="29"/>
    <s v="4G"/>
  </r>
  <r>
    <n v="13031"/>
    <n v="363"/>
    <d v="2023-11-10T00:00:00"/>
    <s v="November"/>
    <n v="2023"/>
    <x v="217"/>
    <n v="265"/>
    <s v="4G"/>
  </r>
  <r>
    <n v="13032"/>
    <n v="123"/>
    <d v="2023-07-03T00:00:00"/>
    <s v="July"/>
    <n v="2023"/>
    <x v="750"/>
    <n v="226"/>
    <s v="4G"/>
  </r>
  <r>
    <n v="13033"/>
    <n v="188"/>
    <d v="2022-04-29T00:00:00"/>
    <s v="April"/>
    <n v="2022"/>
    <x v="90"/>
    <n v="291"/>
    <s v="5G"/>
  </r>
  <r>
    <n v="13034"/>
    <n v="230"/>
    <d v="2023-08-21T00:00:00"/>
    <s v="August"/>
    <n v="2023"/>
    <x v="106"/>
    <n v="53"/>
    <s v="4G"/>
  </r>
  <r>
    <n v="13035"/>
    <n v="168"/>
    <d v="2023-01-17T00:00:00"/>
    <s v="January"/>
    <n v="2023"/>
    <x v="8"/>
    <n v="96"/>
    <s v="4G"/>
  </r>
  <r>
    <n v="13036"/>
    <n v="420"/>
    <d v="2023-01-27T00:00:00"/>
    <s v="January"/>
    <n v="2023"/>
    <x v="315"/>
    <n v="3"/>
    <s v="5G"/>
  </r>
  <r>
    <n v="13037"/>
    <n v="114"/>
    <d v="2022-02-21T00:00:00"/>
    <s v="February"/>
    <n v="2022"/>
    <x v="21"/>
    <n v="90"/>
    <s v="5G"/>
  </r>
  <r>
    <n v="13038"/>
    <n v="252"/>
    <d v="2023-08-26T00:00:00"/>
    <s v="August"/>
    <n v="2023"/>
    <x v="587"/>
    <n v="88"/>
    <s v="5G"/>
  </r>
  <r>
    <n v="13039"/>
    <n v="107"/>
    <d v="2022-10-16T00:00:00"/>
    <s v="October"/>
    <n v="2022"/>
    <x v="581"/>
    <n v="91"/>
    <s v="4G"/>
  </r>
  <r>
    <n v="13040"/>
    <n v="37"/>
    <d v="2022-12-03T00:00:00"/>
    <s v="December"/>
    <n v="2022"/>
    <x v="408"/>
    <n v="149"/>
    <s v="5G"/>
  </r>
  <r>
    <n v="13041"/>
    <n v="335"/>
    <d v="2024-03-20T00:00:00"/>
    <s v="March"/>
    <n v="2024"/>
    <x v="751"/>
    <n v="233"/>
    <s v="4G"/>
  </r>
  <r>
    <n v="13042"/>
    <n v="92"/>
    <d v="2022-07-23T00:00:00"/>
    <s v="July"/>
    <n v="2022"/>
    <x v="330"/>
    <n v="58"/>
    <s v="5G"/>
  </r>
  <r>
    <n v="13043"/>
    <n v="18"/>
    <d v="2024-05-29T00:00:00"/>
    <s v="May"/>
    <n v="2024"/>
    <x v="717"/>
    <n v="184"/>
    <s v="5G"/>
  </r>
  <r>
    <n v="13044"/>
    <n v="354"/>
    <d v="2022-08-26T00:00:00"/>
    <s v="August"/>
    <n v="2022"/>
    <x v="697"/>
    <n v="43"/>
    <s v="5G"/>
  </r>
  <r>
    <n v="13045"/>
    <n v="63"/>
    <d v="2023-01-17T00:00:00"/>
    <s v="January"/>
    <n v="2023"/>
    <x v="567"/>
    <n v="179"/>
    <s v="4G"/>
  </r>
  <r>
    <n v="13046"/>
    <n v="150"/>
    <d v="2023-10-29T00:00:00"/>
    <s v="October"/>
    <n v="2023"/>
    <x v="133"/>
    <n v="75"/>
    <s v="4G"/>
  </r>
  <r>
    <n v="13047"/>
    <n v="139"/>
    <d v="2024-01-22T00:00:00"/>
    <s v="January"/>
    <n v="2024"/>
    <x v="88"/>
    <n v="143"/>
    <s v="5G"/>
  </r>
  <r>
    <n v="13048"/>
    <n v="186"/>
    <d v="2022-05-16T00:00:00"/>
    <s v="May"/>
    <n v="2022"/>
    <x v="752"/>
    <n v="100"/>
    <s v="5G"/>
  </r>
  <r>
    <n v="13049"/>
    <n v="185"/>
    <d v="2023-02-11T00:00:00"/>
    <s v="February"/>
    <n v="2023"/>
    <x v="34"/>
    <n v="271"/>
    <s v="4G"/>
  </r>
  <r>
    <n v="13050"/>
    <n v="205"/>
    <d v="2023-05-23T00:00:00"/>
    <s v="May"/>
    <n v="2023"/>
    <x v="58"/>
    <n v="54"/>
    <s v="5G"/>
  </r>
  <r>
    <n v="13051"/>
    <n v="260"/>
    <d v="2022-12-28T00:00:00"/>
    <s v="December"/>
    <n v="2022"/>
    <x v="326"/>
    <n v="188"/>
    <s v="4G"/>
  </r>
  <r>
    <n v="13052"/>
    <n v="214"/>
    <d v="2023-01-16T00:00:00"/>
    <s v="January"/>
    <n v="2023"/>
    <x v="272"/>
    <n v="76"/>
    <s v="4G"/>
  </r>
  <r>
    <n v="13053"/>
    <n v="256"/>
    <d v="2024-05-30T00:00:00"/>
    <s v="May"/>
    <n v="2024"/>
    <x v="253"/>
    <n v="295"/>
    <s v="4G"/>
  </r>
  <r>
    <n v="13054"/>
    <n v="135"/>
    <d v="2023-07-30T00:00:00"/>
    <s v="July"/>
    <n v="2023"/>
    <x v="216"/>
    <n v="218"/>
    <s v="4G"/>
  </r>
  <r>
    <n v="13055"/>
    <n v="61"/>
    <d v="2023-09-27T00:00:00"/>
    <s v="September"/>
    <n v="2023"/>
    <x v="367"/>
    <n v="276"/>
    <s v="4G"/>
  </r>
  <r>
    <n v="13056"/>
    <n v="363"/>
    <d v="2022-09-11T00:00:00"/>
    <s v="September"/>
    <n v="2022"/>
    <x v="10"/>
    <n v="65"/>
    <s v="5G"/>
  </r>
  <r>
    <n v="13057"/>
    <n v="310"/>
    <d v="2023-04-22T00:00:00"/>
    <s v="April"/>
    <n v="2023"/>
    <x v="550"/>
    <n v="135"/>
    <s v="4G"/>
  </r>
  <r>
    <n v="13058"/>
    <n v="88"/>
    <d v="2022-04-24T00:00:00"/>
    <s v="April"/>
    <n v="2022"/>
    <x v="753"/>
    <n v="233"/>
    <s v="4G"/>
  </r>
  <r>
    <n v="13059"/>
    <n v="324"/>
    <d v="2022-01-20T00:00:00"/>
    <s v="January"/>
    <n v="2022"/>
    <x v="487"/>
    <n v="198"/>
    <s v="5G"/>
  </r>
  <r>
    <n v="13060"/>
    <n v="476"/>
    <d v="2023-06-12T00:00:00"/>
    <s v="June"/>
    <n v="2023"/>
    <x v="214"/>
    <n v="265"/>
    <s v="5G"/>
  </r>
  <r>
    <n v="13061"/>
    <n v="207"/>
    <d v="2022-05-25T00:00:00"/>
    <s v="May"/>
    <n v="2022"/>
    <x v="38"/>
    <n v="42"/>
    <s v="4G"/>
  </r>
  <r>
    <n v="13062"/>
    <n v="129"/>
    <d v="2022-07-27T00:00:00"/>
    <s v="July"/>
    <n v="2022"/>
    <x v="196"/>
    <n v="227"/>
    <s v="4G"/>
  </r>
  <r>
    <n v="13063"/>
    <n v="311"/>
    <d v="2023-06-15T00:00:00"/>
    <s v="June"/>
    <n v="2023"/>
    <x v="142"/>
    <n v="226"/>
    <s v="4G"/>
  </r>
  <r>
    <n v="13064"/>
    <n v="3"/>
    <d v="2023-01-11T00:00:00"/>
    <s v="January"/>
    <n v="2023"/>
    <x v="365"/>
    <n v="62"/>
    <s v="5G"/>
  </r>
  <r>
    <n v="13065"/>
    <n v="462"/>
    <d v="2023-05-19T00:00:00"/>
    <s v="May"/>
    <n v="2023"/>
    <x v="535"/>
    <n v="170"/>
    <s v="4G"/>
  </r>
  <r>
    <n v="13066"/>
    <n v="422"/>
    <d v="2022-06-15T00:00:00"/>
    <s v="June"/>
    <n v="2022"/>
    <x v="177"/>
    <n v="249"/>
    <s v="4G"/>
  </r>
  <r>
    <n v="13067"/>
    <n v="242"/>
    <d v="2023-07-04T00:00:00"/>
    <s v="July"/>
    <n v="2023"/>
    <x v="536"/>
    <n v="249"/>
    <s v="5G"/>
  </r>
  <r>
    <n v="13068"/>
    <n v="121"/>
    <d v="2022-06-30T00:00:00"/>
    <s v="June"/>
    <n v="2022"/>
    <x v="551"/>
    <n v="237"/>
    <s v="4G"/>
  </r>
  <r>
    <n v="13069"/>
    <n v="385"/>
    <d v="2024-05-10T00:00:00"/>
    <s v="May"/>
    <n v="2024"/>
    <x v="173"/>
    <n v="55"/>
    <s v="4G"/>
  </r>
  <r>
    <n v="13070"/>
    <n v="102"/>
    <d v="2023-09-09T00:00:00"/>
    <s v="September"/>
    <n v="2023"/>
    <x v="9"/>
    <n v="170"/>
    <s v="5G"/>
  </r>
  <r>
    <n v="13071"/>
    <n v="38"/>
    <d v="2023-09-04T00:00:00"/>
    <s v="September"/>
    <n v="2023"/>
    <x v="754"/>
    <n v="33"/>
    <s v="4G"/>
  </r>
  <r>
    <n v="13072"/>
    <n v="341"/>
    <d v="2023-08-25T00:00:00"/>
    <s v="August"/>
    <n v="2023"/>
    <x v="724"/>
    <n v="129"/>
    <s v="4G"/>
  </r>
  <r>
    <n v="13073"/>
    <n v="496"/>
    <d v="2024-03-22T00:00:00"/>
    <s v="March"/>
    <n v="2024"/>
    <x v="77"/>
    <n v="129"/>
    <s v="5G"/>
  </r>
  <r>
    <n v="13074"/>
    <n v="413"/>
    <d v="2023-03-20T00:00:00"/>
    <s v="March"/>
    <n v="2023"/>
    <x v="312"/>
    <n v="150"/>
    <s v="5G"/>
  </r>
  <r>
    <n v="13075"/>
    <n v="133"/>
    <d v="2022-11-28T00:00:00"/>
    <s v="November"/>
    <n v="2022"/>
    <x v="517"/>
    <n v="142"/>
    <s v="4G"/>
  </r>
  <r>
    <n v="13076"/>
    <n v="497"/>
    <d v="2023-05-18T00:00:00"/>
    <s v="May"/>
    <n v="2023"/>
    <x v="131"/>
    <n v="117"/>
    <s v="4G"/>
  </r>
  <r>
    <n v="13077"/>
    <n v="202"/>
    <d v="2022-03-20T00:00:00"/>
    <s v="March"/>
    <n v="2022"/>
    <x v="351"/>
    <n v="203"/>
    <s v="5G"/>
  </r>
  <r>
    <n v="13078"/>
    <n v="348"/>
    <d v="2023-08-08T00:00:00"/>
    <s v="August"/>
    <n v="2023"/>
    <x v="259"/>
    <n v="234"/>
    <s v="4G"/>
  </r>
  <r>
    <n v="13079"/>
    <n v="21"/>
    <d v="2023-11-19T00:00:00"/>
    <s v="November"/>
    <n v="2023"/>
    <x v="755"/>
    <n v="16"/>
    <s v="4G"/>
  </r>
  <r>
    <n v="13080"/>
    <n v="242"/>
    <d v="2023-01-31T00:00:00"/>
    <s v="January"/>
    <n v="2023"/>
    <x v="299"/>
    <n v="81"/>
    <s v="4G"/>
  </r>
  <r>
    <n v="13081"/>
    <n v="455"/>
    <d v="2023-08-31T00:00:00"/>
    <s v="August"/>
    <n v="2023"/>
    <x v="490"/>
    <n v="13"/>
    <s v="4G"/>
  </r>
  <r>
    <n v="13082"/>
    <n v="451"/>
    <d v="2024-05-06T00:00:00"/>
    <s v="May"/>
    <n v="2024"/>
    <x v="697"/>
    <n v="80"/>
    <s v="5G"/>
  </r>
  <r>
    <n v="13083"/>
    <n v="109"/>
    <d v="2022-04-13T00:00:00"/>
    <s v="April"/>
    <n v="2022"/>
    <x v="522"/>
    <n v="206"/>
    <s v="4G"/>
  </r>
  <r>
    <n v="13084"/>
    <n v="303"/>
    <d v="2023-02-06T00:00:00"/>
    <s v="February"/>
    <n v="2023"/>
    <x v="152"/>
    <n v="203"/>
    <s v="5G"/>
  </r>
  <r>
    <n v="13085"/>
    <n v="84"/>
    <d v="2022-08-12T00:00:00"/>
    <s v="August"/>
    <n v="2022"/>
    <x v="183"/>
    <n v="271"/>
    <s v="5G"/>
  </r>
  <r>
    <n v="13086"/>
    <n v="83"/>
    <d v="2023-06-02T00:00:00"/>
    <s v="June"/>
    <n v="2023"/>
    <x v="177"/>
    <n v="31"/>
    <s v="5G"/>
  </r>
  <r>
    <n v="13087"/>
    <n v="291"/>
    <d v="2023-09-26T00:00:00"/>
    <s v="September"/>
    <n v="2023"/>
    <x v="339"/>
    <n v="22"/>
    <s v="5G"/>
  </r>
  <r>
    <n v="13088"/>
    <n v="452"/>
    <d v="2022-08-24T00:00:00"/>
    <s v="August"/>
    <n v="2022"/>
    <x v="212"/>
    <n v="101"/>
    <s v="5G"/>
  </r>
  <r>
    <n v="13089"/>
    <n v="69"/>
    <d v="2023-03-03T00:00:00"/>
    <s v="March"/>
    <n v="2023"/>
    <x v="334"/>
    <n v="161"/>
    <s v="4G"/>
  </r>
  <r>
    <n v="13090"/>
    <n v="129"/>
    <d v="2022-04-26T00:00:00"/>
    <s v="April"/>
    <n v="2022"/>
    <x v="31"/>
    <n v="97"/>
    <s v="4G"/>
  </r>
  <r>
    <n v="13091"/>
    <n v="196"/>
    <d v="2022-06-12T00:00:00"/>
    <s v="June"/>
    <n v="2022"/>
    <x v="505"/>
    <n v="143"/>
    <s v="5G"/>
  </r>
  <r>
    <n v="13092"/>
    <n v="140"/>
    <d v="2022-08-14T00:00:00"/>
    <s v="August"/>
    <n v="2022"/>
    <x v="82"/>
    <n v="103"/>
    <s v="4G"/>
  </r>
  <r>
    <n v="13093"/>
    <n v="444"/>
    <d v="2022-08-18T00:00:00"/>
    <s v="August"/>
    <n v="2022"/>
    <x v="17"/>
    <n v="170"/>
    <s v="4G"/>
  </r>
  <r>
    <n v="13094"/>
    <n v="283"/>
    <d v="2022-07-01T00:00:00"/>
    <s v="July"/>
    <n v="2022"/>
    <x v="19"/>
    <n v="63"/>
    <s v="4G"/>
  </r>
  <r>
    <n v="13095"/>
    <n v="312"/>
    <d v="2022-09-06T00:00:00"/>
    <s v="September"/>
    <n v="2022"/>
    <x v="12"/>
    <n v="243"/>
    <s v="4G"/>
  </r>
  <r>
    <n v="13096"/>
    <n v="234"/>
    <d v="2022-11-14T00:00:00"/>
    <s v="November"/>
    <n v="2022"/>
    <x v="434"/>
    <n v="70"/>
    <s v="5G"/>
  </r>
  <r>
    <n v="13097"/>
    <n v="23"/>
    <d v="2022-07-29T00:00:00"/>
    <s v="July"/>
    <n v="2022"/>
    <x v="259"/>
    <n v="273"/>
    <s v="5G"/>
  </r>
  <r>
    <n v="13098"/>
    <n v="153"/>
    <d v="2023-10-18T00:00:00"/>
    <s v="October"/>
    <n v="2023"/>
    <x v="89"/>
    <n v="124"/>
    <s v="4G"/>
  </r>
  <r>
    <n v="13099"/>
    <n v="277"/>
    <d v="2023-01-27T00:00:00"/>
    <s v="January"/>
    <n v="2023"/>
    <x v="91"/>
    <n v="106"/>
    <s v="5G"/>
  </r>
  <r>
    <n v="13100"/>
    <n v="61"/>
    <d v="2024-05-06T00:00:00"/>
    <s v="May"/>
    <n v="2024"/>
    <x v="52"/>
    <n v="147"/>
    <s v="4G"/>
  </r>
  <r>
    <n v="13101"/>
    <n v="319"/>
    <d v="2022-04-06T00:00:00"/>
    <s v="April"/>
    <n v="2022"/>
    <x v="591"/>
    <n v="191"/>
    <s v="5G"/>
  </r>
  <r>
    <n v="13102"/>
    <n v="378"/>
    <d v="2024-06-12T00:00:00"/>
    <s v="June"/>
    <n v="2024"/>
    <x v="85"/>
    <n v="225"/>
    <s v="4G"/>
  </r>
  <r>
    <n v="13103"/>
    <n v="52"/>
    <d v="2024-05-07T00:00:00"/>
    <s v="May"/>
    <n v="2024"/>
    <x v="312"/>
    <n v="241"/>
    <s v="5G"/>
  </r>
  <r>
    <n v="13104"/>
    <n v="344"/>
    <d v="2024-01-26T00:00:00"/>
    <s v="January"/>
    <n v="2024"/>
    <x v="687"/>
    <n v="283"/>
    <s v="4G"/>
  </r>
  <r>
    <n v="13105"/>
    <n v="153"/>
    <d v="2022-03-27T00:00:00"/>
    <s v="March"/>
    <n v="2022"/>
    <x v="546"/>
    <n v="162"/>
    <s v="4G"/>
  </r>
  <r>
    <n v="13106"/>
    <n v="237"/>
    <d v="2023-02-19T00:00:00"/>
    <s v="February"/>
    <n v="2023"/>
    <x v="175"/>
    <n v="7"/>
    <s v="5G"/>
  </r>
  <r>
    <n v="13107"/>
    <n v="311"/>
    <d v="2023-01-29T00:00:00"/>
    <s v="January"/>
    <n v="2023"/>
    <x v="86"/>
    <n v="151"/>
    <s v="4G"/>
  </r>
  <r>
    <n v="13108"/>
    <n v="302"/>
    <d v="2023-11-27T00:00:00"/>
    <s v="November"/>
    <n v="2023"/>
    <x v="73"/>
    <n v="94"/>
    <s v="5G"/>
  </r>
  <r>
    <n v="13109"/>
    <n v="32"/>
    <d v="2023-09-25T00:00:00"/>
    <s v="September"/>
    <n v="2023"/>
    <x v="253"/>
    <n v="213"/>
    <s v="4G"/>
  </r>
  <r>
    <n v="13110"/>
    <n v="55"/>
    <d v="2024-04-23T00:00:00"/>
    <s v="April"/>
    <n v="2024"/>
    <x v="20"/>
    <n v="63"/>
    <s v="4G"/>
  </r>
  <r>
    <n v="13111"/>
    <n v="352"/>
    <d v="2023-05-16T00:00:00"/>
    <s v="May"/>
    <n v="2023"/>
    <x v="36"/>
    <n v="64"/>
    <s v="4G"/>
  </r>
  <r>
    <n v="13112"/>
    <n v="389"/>
    <d v="2023-08-27T00:00:00"/>
    <s v="August"/>
    <n v="2023"/>
    <x v="756"/>
    <n v="269"/>
    <s v="4G"/>
  </r>
  <r>
    <n v="13113"/>
    <n v="36"/>
    <d v="2023-08-05T00:00:00"/>
    <s v="August"/>
    <n v="2023"/>
    <x v="485"/>
    <n v="24"/>
    <s v="4G"/>
  </r>
  <r>
    <n v="13114"/>
    <n v="110"/>
    <d v="2022-05-13T00:00:00"/>
    <s v="May"/>
    <n v="2022"/>
    <x v="419"/>
    <n v="99"/>
    <s v="5G"/>
  </r>
  <r>
    <n v="13115"/>
    <n v="490"/>
    <d v="2024-03-01T00:00:00"/>
    <s v="March"/>
    <n v="2024"/>
    <x v="668"/>
    <n v="104"/>
    <s v="4G"/>
  </r>
  <r>
    <n v="13116"/>
    <n v="177"/>
    <d v="2023-10-11T00:00:00"/>
    <s v="October"/>
    <n v="2023"/>
    <x v="757"/>
    <n v="130"/>
    <s v="5G"/>
  </r>
  <r>
    <n v="13117"/>
    <n v="362"/>
    <d v="2022-11-10T00:00:00"/>
    <s v="November"/>
    <n v="2022"/>
    <x v="211"/>
    <n v="18"/>
    <s v="4G"/>
  </r>
  <r>
    <n v="13118"/>
    <n v="314"/>
    <d v="2023-11-30T00:00:00"/>
    <s v="November"/>
    <n v="2023"/>
    <x v="394"/>
    <n v="224"/>
    <s v="4G"/>
  </r>
  <r>
    <n v="13119"/>
    <n v="295"/>
    <d v="2022-08-09T00:00:00"/>
    <s v="August"/>
    <n v="2022"/>
    <x v="758"/>
    <n v="105"/>
    <s v="4G"/>
  </r>
  <r>
    <n v="13120"/>
    <n v="336"/>
    <d v="2023-03-14T00:00:00"/>
    <s v="March"/>
    <n v="2023"/>
    <x v="272"/>
    <n v="53"/>
    <s v="4G"/>
  </r>
  <r>
    <n v="13121"/>
    <n v="97"/>
    <d v="2022-02-15T00:00:00"/>
    <s v="February"/>
    <n v="2022"/>
    <x v="216"/>
    <n v="225"/>
    <s v="5G"/>
  </r>
  <r>
    <n v="13122"/>
    <n v="369"/>
    <d v="2024-02-29T00:00:00"/>
    <s v="February"/>
    <n v="2024"/>
    <x v="388"/>
    <n v="14"/>
    <s v="4G"/>
  </r>
  <r>
    <n v="13123"/>
    <n v="213"/>
    <d v="2022-07-11T00:00:00"/>
    <s v="July"/>
    <n v="2022"/>
    <x v="759"/>
    <n v="47"/>
    <s v="4G"/>
  </r>
  <r>
    <n v="13124"/>
    <n v="317"/>
    <d v="2023-06-04T00:00:00"/>
    <s v="June"/>
    <n v="2023"/>
    <x v="649"/>
    <n v="138"/>
    <s v="4G"/>
  </r>
  <r>
    <n v="13125"/>
    <n v="137"/>
    <d v="2023-01-14T00:00:00"/>
    <s v="January"/>
    <n v="2023"/>
    <x v="250"/>
    <n v="33"/>
    <s v="4G"/>
  </r>
  <r>
    <n v="13126"/>
    <n v="6"/>
    <d v="2024-02-27T00:00:00"/>
    <s v="February"/>
    <n v="2024"/>
    <x v="339"/>
    <n v="209"/>
    <s v="4G"/>
  </r>
  <r>
    <n v="13127"/>
    <n v="499"/>
    <d v="2023-11-22T00:00:00"/>
    <s v="November"/>
    <n v="2023"/>
    <x v="760"/>
    <n v="18"/>
    <s v="4G"/>
  </r>
  <r>
    <n v="13128"/>
    <n v="109"/>
    <d v="2022-11-30T00:00:00"/>
    <s v="November"/>
    <n v="2022"/>
    <x v="242"/>
    <n v="195"/>
    <s v="4G"/>
  </r>
  <r>
    <n v="13129"/>
    <n v="35"/>
    <d v="2022-02-08T00:00:00"/>
    <s v="February"/>
    <n v="2022"/>
    <x v="451"/>
    <n v="114"/>
    <s v="5G"/>
  </r>
  <r>
    <n v="13130"/>
    <n v="39"/>
    <d v="2022-10-20T00:00:00"/>
    <s v="October"/>
    <n v="2022"/>
    <x v="62"/>
    <n v="74"/>
    <s v="5G"/>
  </r>
  <r>
    <n v="13131"/>
    <n v="150"/>
    <d v="2023-11-21T00:00:00"/>
    <s v="November"/>
    <n v="2023"/>
    <x v="652"/>
    <n v="149"/>
    <s v="4G"/>
  </r>
  <r>
    <n v="13132"/>
    <n v="425"/>
    <d v="2022-06-11T00:00:00"/>
    <s v="June"/>
    <n v="2022"/>
    <x v="69"/>
    <n v="35"/>
    <s v="4G"/>
  </r>
  <r>
    <n v="13133"/>
    <n v="118"/>
    <d v="2022-11-27T00:00:00"/>
    <s v="November"/>
    <n v="2022"/>
    <x v="230"/>
    <n v="241"/>
    <s v="5G"/>
  </r>
  <r>
    <n v="13134"/>
    <n v="261"/>
    <d v="2024-06-04T00:00:00"/>
    <s v="June"/>
    <n v="2024"/>
    <x v="117"/>
    <n v="150"/>
    <s v="5G"/>
  </r>
  <r>
    <n v="13135"/>
    <n v="426"/>
    <d v="2022-04-14T00:00:00"/>
    <s v="April"/>
    <n v="2022"/>
    <x v="426"/>
    <n v="62"/>
    <s v="5G"/>
  </r>
  <r>
    <n v="13136"/>
    <n v="87"/>
    <d v="2022-06-10T00:00:00"/>
    <s v="June"/>
    <n v="2022"/>
    <x v="64"/>
    <n v="153"/>
    <s v="5G"/>
  </r>
  <r>
    <n v="13137"/>
    <n v="465"/>
    <d v="2024-03-09T00:00:00"/>
    <s v="March"/>
    <n v="2024"/>
    <x v="362"/>
    <n v="187"/>
    <s v="4G"/>
  </r>
  <r>
    <n v="13138"/>
    <n v="76"/>
    <d v="2023-09-27T00:00:00"/>
    <s v="September"/>
    <n v="2023"/>
    <x v="551"/>
    <n v="222"/>
    <s v="5G"/>
  </r>
  <r>
    <n v="13139"/>
    <n v="471"/>
    <d v="2022-02-23T00:00:00"/>
    <s v="February"/>
    <n v="2022"/>
    <x v="399"/>
    <n v="92"/>
    <s v="5G"/>
  </r>
  <r>
    <n v="13140"/>
    <n v="464"/>
    <d v="2022-02-03T00:00:00"/>
    <s v="February"/>
    <n v="2022"/>
    <x v="103"/>
    <n v="4"/>
    <s v="4G"/>
  </r>
  <r>
    <n v="13141"/>
    <n v="451"/>
    <d v="2022-08-30T00:00:00"/>
    <s v="August"/>
    <n v="2022"/>
    <x v="761"/>
    <n v="165"/>
    <s v="4G"/>
  </r>
  <r>
    <n v="13142"/>
    <n v="414"/>
    <d v="2024-06-08T00:00:00"/>
    <s v="June"/>
    <n v="2024"/>
    <x v="234"/>
    <n v="24"/>
    <s v="4G"/>
  </r>
  <r>
    <n v="13143"/>
    <n v="313"/>
    <d v="2022-04-23T00:00:00"/>
    <s v="April"/>
    <n v="2022"/>
    <x v="41"/>
    <n v="97"/>
    <s v="4G"/>
  </r>
  <r>
    <n v="13144"/>
    <n v="383"/>
    <d v="2022-11-14T00:00:00"/>
    <s v="November"/>
    <n v="2022"/>
    <x v="243"/>
    <n v="267"/>
    <s v="4G"/>
  </r>
  <r>
    <n v="13145"/>
    <n v="214"/>
    <d v="2022-01-23T00:00:00"/>
    <s v="January"/>
    <n v="2022"/>
    <x v="442"/>
    <n v="149"/>
    <s v="4G"/>
  </r>
  <r>
    <n v="13146"/>
    <n v="457"/>
    <d v="2023-07-12T00:00:00"/>
    <s v="July"/>
    <n v="2023"/>
    <x v="706"/>
    <n v="251"/>
    <s v="4G"/>
  </r>
  <r>
    <n v="13147"/>
    <n v="285"/>
    <d v="2024-04-03T00:00:00"/>
    <s v="April"/>
    <n v="2024"/>
    <x v="651"/>
    <n v="83"/>
    <s v="4G"/>
  </r>
  <r>
    <n v="13148"/>
    <n v="239"/>
    <d v="2023-10-09T00:00:00"/>
    <s v="October"/>
    <n v="2023"/>
    <x v="445"/>
    <n v="284"/>
    <s v="4G"/>
  </r>
  <r>
    <n v="13149"/>
    <n v="165"/>
    <d v="2022-04-28T00:00:00"/>
    <s v="April"/>
    <n v="2022"/>
    <x v="258"/>
    <n v="171"/>
    <s v="5G"/>
  </r>
  <r>
    <n v="13150"/>
    <n v="87"/>
    <d v="2023-12-02T00:00:00"/>
    <s v="December"/>
    <n v="2023"/>
    <x v="82"/>
    <n v="220"/>
    <s v="4G"/>
  </r>
  <r>
    <n v="13151"/>
    <n v="141"/>
    <d v="2023-10-05T00:00:00"/>
    <s v="October"/>
    <n v="2023"/>
    <x v="528"/>
    <n v="108"/>
    <s v="5G"/>
  </r>
  <r>
    <n v="13152"/>
    <n v="160"/>
    <d v="2022-07-31T00:00:00"/>
    <s v="July"/>
    <n v="2022"/>
    <x v="22"/>
    <n v="26"/>
    <s v="5G"/>
  </r>
  <r>
    <n v="13153"/>
    <n v="46"/>
    <d v="2023-02-22T00:00:00"/>
    <s v="February"/>
    <n v="2023"/>
    <x v="149"/>
    <n v="245"/>
    <s v="5G"/>
  </r>
  <r>
    <n v="13154"/>
    <n v="372"/>
    <d v="2022-04-23T00:00:00"/>
    <s v="April"/>
    <n v="2022"/>
    <x v="459"/>
    <n v="54"/>
    <s v="5G"/>
  </r>
  <r>
    <n v="13155"/>
    <n v="495"/>
    <d v="2022-02-13T00:00:00"/>
    <s v="February"/>
    <n v="2022"/>
    <x v="420"/>
    <n v="132"/>
    <s v="4G"/>
  </r>
  <r>
    <n v="13156"/>
    <n v="112"/>
    <d v="2022-05-08T00:00:00"/>
    <s v="May"/>
    <n v="2022"/>
    <x v="762"/>
    <n v="51"/>
    <s v="4G"/>
  </r>
  <r>
    <n v="13157"/>
    <n v="407"/>
    <d v="2024-05-25T00:00:00"/>
    <s v="May"/>
    <n v="2024"/>
    <x v="16"/>
    <n v="252"/>
    <s v="4G"/>
  </r>
  <r>
    <n v="13158"/>
    <n v="45"/>
    <d v="2022-06-07T00:00:00"/>
    <s v="June"/>
    <n v="2022"/>
    <x v="367"/>
    <n v="268"/>
    <s v="5G"/>
  </r>
  <r>
    <n v="13159"/>
    <n v="401"/>
    <d v="2024-02-24T00:00:00"/>
    <s v="February"/>
    <n v="2024"/>
    <x v="409"/>
    <n v="297"/>
    <s v="4G"/>
  </r>
  <r>
    <n v="13160"/>
    <n v="247"/>
    <d v="2024-04-06T00:00:00"/>
    <s v="April"/>
    <n v="2024"/>
    <x v="375"/>
    <n v="78"/>
    <s v="4G"/>
  </r>
  <r>
    <n v="13161"/>
    <n v="104"/>
    <d v="2023-01-29T00:00:00"/>
    <s v="January"/>
    <n v="2023"/>
    <x v="32"/>
    <n v="17"/>
    <s v="5G"/>
  </r>
  <r>
    <n v="13162"/>
    <n v="85"/>
    <d v="2024-05-16T00:00:00"/>
    <s v="May"/>
    <n v="2024"/>
    <x v="122"/>
    <n v="257"/>
    <s v="5G"/>
  </r>
  <r>
    <n v="13163"/>
    <n v="450"/>
    <d v="2024-05-01T00:00:00"/>
    <s v="May"/>
    <n v="2024"/>
    <x v="500"/>
    <n v="106"/>
    <s v="5G"/>
  </r>
  <r>
    <n v="13164"/>
    <n v="485"/>
    <d v="2023-05-27T00:00:00"/>
    <s v="May"/>
    <n v="2023"/>
    <x v="763"/>
    <n v="46"/>
    <s v="4G"/>
  </r>
  <r>
    <n v="13165"/>
    <n v="134"/>
    <d v="2022-02-14T00:00:00"/>
    <s v="February"/>
    <n v="2022"/>
    <x v="764"/>
    <n v="245"/>
    <s v="4G"/>
  </r>
  <r>
    <n v="13166"/>
    <n v="108"/>
    <d v="2022-04-18T00:00:00"/>
    <s v="April"/>
    <n v="2022"/>
    <x v="150"/>
    <n v="88"/>
    <s v="4G"/>
  </r>
  <r>
    <n v="13167"/>
    <n v="18"/>
    <d v="2022-08-07T00:00:00"/>
    <s v="August"/>
    <n v="2022"/>
    <x v="236"/>
    <n v="202"/>
    <s v="4G"/>
  </r>
  <r>
    <n v="13168"/>
    <n v="94"/>
    <d v="2023-03-19T00:00:00"/>
    <s v="March"/>
    <n v="2023"/>
    <x v="147"/>
    <n v="239"/>
    <s v="5G"/>
  </r>
  <r>
    <n v="13169"/>
    <n v="150"/>
    <d v="2024-04-09T00:00:00"/>
    <s v="April"/>
    <n v="2024"/>
    <x v="765"/>
    <n v="267"/>
    <s v="4G"/>
  </r>
  <r>
    <n v="13170"/>
    <n v="246"/>
    <d v="2022-11-11T00:00:00"/>
    <s v="November"/>
    <n v="2022"/>
    <x v="332"/>
    <n v="12"/>
    <s v="4G"/>
  </r>
  <r>
    <n v="13171"/>
    <n v="289"/>
    <d v="2022-06-26T00:00:00"/>
    <s v="June"/>
    <n v="2022"/>
    <x v="38"/>
    <n v="136"/>
    <s v="5G"/>
  </r>
  <r>
    <n v="13172"/>
    <n v="414"/>
    <d v="2022-08-16T00:00:00"/>
    <s v="August"/>
    <n v="2022"/>
    <x v="649"/>
    <n v="172"/>
    <s v="4G"/>
  </r>
  <r>
    <n v="13173"/>
    <n v="209"/>
    <d v="2023-12-04T00:00:00"/>
    <s v="December"/>
    <n v="2023"/>
    <x v="17"/>
    <n v="229"/>
    <s v="5G"/>
  </r>
  <r>
    <n v="13174"/>
    <n v="126"/>
    <d v="2023-11-03T00:00:00"/>
    <s v="November"/>
    <n v="2023"/>
    <x v="170"/>
    <n v="197"/>
    <s v="5G"/>
  </r>
  <r>
    <n v="13175"/>
    <n v="235"/>
    <d v="2022-09-24T00:00:00"/>
    <s v="September"/>
    <n v="2022"/>
    <x v="692"/>
    <n v="242"/>
    <s v="5G"/>
  </r>
  <r>
    <n v="13176"/>
    <n v="416"/>
    <d v="2024-05-19T00:00:00"/>
    <s v="May"/>
    <n v="2024"/>
    <x v="182"/>
    <n v="42"/>
    <s v="4G"/>
  </r>
  <r>
    <n v="13177"/>
    <n v="426"/>
    <d v="2024-04-17T00:00:00"/>
    <s v="April"/>
    <n v="2024"/>
    <x v="171"/>
    <n v="278"/>
    <s v="4G"/>
  </r>
  <r>
    <n v="13178"/>
    <n v="499"/>
    <d v="2023-01-14T00:00:00"/>
    <s v="January"/>
    <n v="2023"/>
    <x v="487"/>
    <n v="78"/>
    <s v="5G"/>
  </r>
  <r>
    <n v="13179"/>
    <n v="462"/>
    <d v="2023-05-04T00:00:00"/>
    <s v="May"/>
    <n v="2023"/>
    <x v="423"/>
    <n v="278"/>
    <s v="5G"/>
  </r>
  <r>
    <n v="13180"/>
    <n v="122"/>
    <d v="2023-12-03T00:00:00"/>
    <s v="December"/>
    <n v="2023"/>
    <x v="207"/>
    <n v="231"/>
    <s v="4G"/>
  </r>
  <r>
    <n v="13181"/>
    <n v="138"/>
    <d v="2023-11-18T00:00:00"/>
    <s v="November"/>
    <n v="2023"/>
    <x v="54"/>
    <n v="100"/>
    <s v="4G"/>
  </r>
  <r>
    <n v="13182"/>
    <n v="495"/>
    <d v="2022-10-17T00:00:00"/>
    <s v="October"/>
    <n v="2022"/>
    <x v="222"/>
    <n v="161"/>
    <s v="4G"/>
  </r>
  <r>
    <n v="13183"/>
    <n v="115"/>
    <d v="2022-12-23T00:00:00"/>
    <s v="December"/>
    <n v="2022"/>
    <x v="663"/>
    <n v="143"/>
    <s v="5G"/>
  </r>
  <r>
    <n v="13184"/>
    <n v="420"/>
    <d v="2023-10-19T00:00:00"/>
    <s v="October"/>
    <n v="2023"/>
    <x v="4"/>
    <n v="108"/>
    <s v="4G"/>
  </r>
  <r>
    <n v="13185"/>
    <n v="162"/>
    <d v="2024-01-14T00:00:00"/>
    <s v="January"/>
    <n v="2024"/>
    <x v="305"/>
    <n v="232"/>
    <s v="4G"/>
  </r>
  <r>
    <n v="13186"/>
    <n v="201"/>
    <d v="2024-05-21T00:00:00"/>
    <s v="May"/>
    <n v="2024"/>
    <x v="182"/>
    <n v="110"/>
    <s v="4G"/>
  </r>
  <r>
    <n v="13187"/>
    <n v="234"/>
    <d v="2022-07-23T00:00:00"/>
    <s v="July"/>
    <n v="2022"/>
    <x v="405"/>
    <n v="231"/>
    <s v="4G"/>
  </r>
  <r>
    <n v="13188"/>
    <n v="28"/>
    <d v="2022-08-01T00:00:00"/>
    <s v="August"/>
    <n v="2022"/>
    <x v="488"/>
    <n v="237"/>
    <s v="5G"/>
  </r>
  <r>
    <n v="13189"/>
    <n v="11"/>
    <d v="2023-07-06T00:00:00"/>
    <s v="July"/>
    <n v="2023"/>
    <x v="137"/>
    <n v="196"/>
    <s v="4G"/>
  </r>
  <r>
    <n v="13190"/>
    <n v="206"/>
    <d v="2024-02-26T00:00:00"/>
    <s v="February"/>
    <n v="2024"/>
    <x v="567"/>
    <n v="272"/>
    <s v="4G"/>
  </r>
  <r>
    <n v="13191"/>
    <n v="167"/>
    <d v="2022-11-19T00:00:00"/>
    <s v="November"/>
    <n v="2022"/>
    <x v="219"/>
    <n v="85"/>
    <s v="4G"/>
  </r>
  <r>
    <n v="13192"/>
    <n v="247"/>
    <d v="2023-08-17T00:00:00"/>
    <s v="August"/>
    <n v="2023"/>
    <x v="211"/>
    <n v="294"/>
    <s v="4G"/>
  </r>
  <r>
    <n v="13193"/>
    <n v="47"/>
    <d v="2022-06-30T00:00:00"/>
    <s v="June"/>
    <n v="2022"/>
    <x v="485"/>
    <n v="40"/>
    <s v="4G"/>
  </r>
  <r>
    <n v="13194"/>
    <n v="246"/>
    <d v="2023-05-14T00:00:00"/>
    <s v="May"/>
    <n v="2023"/>
    <x v="766"/>
    <n v="47"/>
    <s v="4G"/>
  </r>
  <r>
    <n v="13195"/>
    <n v="127"/>
    <d v="2022-11-16T00:00:00"/>
    <s v="November"/>
    <n v="2022"/>
    <x v="706"/>
    <n v="76"/>
    <s v="4G"/>
  </r>
  <r>
    <n v="13196"/>
    <n v="147"/>
    <d v="2022-03-24T00:00:00"/>
    <s v="March"/>
    <n v="2022"/>
    <x v="175"/>
    <n v="177"/>
    <s v="5G"/>
  </r>
  <r>
    <n v="13197"/>
    <n v="118"/>
    <d v="2022-10-30T00:00:00"/>
    <s v="October"/>
    <n v="2022"/>
    <x v="686"/>
    <n v="256"/>
    <s v="4G"/>
  </r>
  <r>
    <n v="13198"/>
    <n v="399"/>
    <d v="2022-09-19T00:00:00"/>
    <s v="September"/>
    <n v="2022"/>
    <x v="82"/>
    <n v="116"/>
    <s v="5G"/>
  </r>
  <r>
    <n v="13199"/>
    <n v="382"/>
    <d v="2024-02-23T00:00:00"/>
    <s v="February"/>
    <n v="2024"/>
    <x v="98"/>
    <n v="18"/>
    <s v="4G"/>
  </r>
  <r>
    <n v="13200"/>
    <n v="412"/>
    <d v="2022-07-19T00:00:00"/>
    <s v="July"/>
    <n v="2022"/>
    <x v="410"/>
    <n v="58"/>
    <s v="4G"/>
  </r>
  <r>
    <n v="13201"/>
    <n v="152"/>
    <d v="2022-08-28T00:00:00"/>
    <s v="August"/>
    <n v="2022"/>
    <x v="330"/>
    <n v="195"/>
    <s v="4G"/>
  </r>
  <r>
    <n v="13202"/>
    <n v="72"/>
    <d v="2023-11-23T00:00:00"/>
    <s v="November"/>
    <n v="2023"/>
    <x v="330"/>
    <n v="106"/>
    <s v="4G"/>
  </r>
  <r>
    <n v="13203"/>
    <n v="363"/>
    <d v="2023-11-14T00:00:00"/>
    <s v="November"/>
    <n v="2023"/>
    <x v="418"/>
    <n v="283"/>
    <s v="4G"/>
  </r>
  <r>
    <n v="13204"/>
    <n v="137"/>
    <d v="2022-10-22T00:00:00"/>
    <s v="October"/>
    <n v="2022"/>
    <x v="482"/>
    <n v="33"/>
    <s v="4G"/>
  </r>
  <r>
    <n v="13205"/>
    <n v="175"/>
    <d v="2023-05-27T00:00:00"/>
    <s v="May"/>
    <n v="2023"/>
    <x v="231"/>
    <n v="294"/>
    <s v="4G"/>
  </r>
  <r>
    <n v="13206"/>
    <n v="289"/>
    <d v="2023-11-20T00:00:00"/>
    <s v="November"/>
    <n v="2023"/>
    <x v="767"/>
    <n v="250"/>
    <s v="4G"/>
  </r>
  <r>
    <n v="13207"/>
    <n v="446"/>
    <d v="2024-05-30T00:00:00"/>
    <s v="May"/>
    <n v="2024"/>
    <x v="768"/>
    <n v="125"/>
    <s v="4G"/>
  </r>
  <r>
    <n v="13208"/>
    <n v="481"/>
    <d v="2023-01-31T00:00:00"/>
    <s v="January"/>
    <n v="2023"/>
    <x v="269"/>
    <n v="105"/>
    <s v="4G"/>
  </r>
  <r>
    <n v="13209"/>
    <n v="19"/>
    <d v="2024-01-19T00:00:00"/>
    <s v="January"/>
    <n v="2024"/>
    <x v="142"/>
    <n v="179"/>
    <s v="4G"/>
  </r>
  <r>
    <n v="13210"/>
    <n v="195"/>
    <d v="2022-05-18T00:00:00"/>
    <s v="May"/>
    <n v="2022"/>
    <x v="519"/>
    <n v="109"/>
    <s v="5G"/>
  </r>
  <r>
    <n v="13211"/>
    <n v="330"/>
    <d v="2024-04-18T00:00:00"/>
    <s v="April"/>
    <n v="2024"/>
    <x v="362"/>
    <n v="227"/>
    <s v="4G"/>
  </r>
  <r>
    <n v="13212"/>
    <n v="424"/>
    <d v="2024-05-27T00:00:00"/>
    <s v="May"/>
    <n v="2024"/>
    <x v="109"/>
    <n v="120"/>
    <s v="5G"/>
  </r>
  <r>
    <n v="13213"/>
    <n v="175"/>
    <d v="2024-04-02T00:00:00"/>
    <s v="April"/>
    <n v="2024"/>
    <x v="242"/>
    <n v="106"/>
    <s v="4G"/>
  </r>
  <r>
    <n v="13214"/>
    <n v="490"/>
    <d v="2022-05-09T00:00:00"/>
    <s v="May"/>
    <n v="2022"/>
    <x v="131"/>
    <n v="130"/>
    <s v="5G"/>
  </r>
  <r>
    <n v="13215"/>
    <n v="449"/>
    <d v="2022-02-18T00:00:00"/>
    <s v="February"/>
    <n v="2022"/>
    <x v="229"/>
    <n v="22"/>
    <s v="4G"/>
  </r>
  <r>
    <n v="13216"/>
    <n v="413"/>
    <d v="2023-11-07T00:00:00"/>
    <s v="November"/>
    <n v="2023"/>
    <x v="313"/>
    <n v="144"/>
    <s v="5G"/>
  </r>
  <r>
    <n v="13217"/>
    <n v="434"/>
    <d v="2024-02-28T00:00:00"/>
    <s v="February"/>
    <n v="2024"/>
    <x v="104"/>
    <n v="153"/>
    <s v="4G"/>
  </r>
  <r>
    <n v="13218"/>
    <n v="354"/>
    <d v="2022-10-20T00:00:00"/>
    <s v="October"/>
    <n v="2022"/>
    <x v="62"/>
    <n v="106"/>
    <s v="4G"/>
  </r>
  <r>
    <n v="13219"/>
    <n v="499"/>
    <d v="2023-09-20T00:00:00"/>
    <s v="September"/>
    <n v="2023"/>
    <x v="44"/>
    <n v="145"/>
    <s v="4G"/>
  </r>
  <r>
    <n v="13220"/>
    <n v="141"/>
    <d v="2023-06-20T00:00:00"/>
    <s v="June"/>
    <n v="2023"/>
    <x v="39"/>
    <n v="251"/>
    <s v="4G"/>
  </r>
  <r>
    <n v="13221"/>
    <n v="246"/>
    <d v="2022-11-07T00:00:00"/>
    <s v="November"/>
    <n v="2022"/>
    <x v="128"/>
    <n v="69"/>
    <s v="5G"/>
  </r>
  <r>
    <n v="13222"/>
    <n v="385"/>
    <d v="2023-06-21T00:00:00"/>
    <s v="June"/>
    <n v="2023"/>
    <x v="379"/>
    <n v="30"/>
    <s v="4G"/>
  </r>
  <r>
    <n v="13223"/>
    <n v="418"/>
    <d v="2023-10-01T00:00:00"/>
    <s v="October"/>
    <n v="2023"/>
    <x v="496"/>
    <n v="92"/>
    <s v="4G"/>
  </r>
  <r>
    <n v="13224"/>
    <n v="93"/>
    <d v="2022-08-22T00:00:00"/>
    <s v="August"/>
    <n v="2022"/>
    <x v="769"/>
    <n v="136"/>
    <s v="4G"/>
  </r>
  <r>
    <n v="13225"/>
    <n v="432"/>
    <d v="2022-07-28T00:00:00"/>
    <s v="July"/>
    <n v="2022"/>
    <x v="108"/>
    <n v="162"/>
    <s v="4G"/>
  </r>
  <r>
    <n v="13226"/>
    <n v="239"/>
    <d v="2023-08-28T00:00:00"/>
    <s v="August"/>
    <n v="2023"/>
    <x v="770"/>
    <n v="80"/>
    <s v="4G"/>
  </r>
  <r>
    <n v="13227"/>
    <n v="205"/>
    <d v="2022-04-04T00:00:00"/>
    <s v="April"/>
    <n v="2022"/>
    <x v="190"/>
    <n v="75"/>
    <s v="4G"/>
  </r>
  <r>
    <n v="13228"/>
    <n v="48"/>
    <d v="2022-11-23T00:00:00"/>
    <s v="November"/>
    <n v="2022"/>
    <x v="771"/>
    <n v="62"/>
    <s v="4G"/>
  </r>
  <r>
    <n v="13229"/>
    <n v="433"/>
    <d v="2022-08-13T00:00:00"/>
    <s v="August"/>
    <n v="2022"/>
    <x v="169"/>
    <n v="99"/>
    <s v="4G"/>
  </r>
  <r>
    <n v="13230"/>
    <n v="245"/>
    <d v="2024-06-08T00:00:00"/>
    <s v="June"/>
    <n v="2024"/>
    <x v="38"/>
    <n v="47"/>
    <s v="4G"/>
  </r>
  <r>
    <n v="13231"/>
    <n v="320"/>
    <d v="2024-03-02T00:00:00"/>
    <s v="March"/>
    <n v="2024"/>
    <x v="370"/>
    <n v="73"/>
    <s v="4G"/>
  </r>
  <r>
    <n v="13232"/>
    <n v="317"/>
    <d v="2022-01-11T00:00:00"/>
    <s v="January"/>
    <n v="2022"/>
    <x v="415"/>
    <n v="191"/>
    <s v="4G"/>
  </r>
  <r>
    <n v="13233"/>
    <n v="413"/>
    <d v="2022-11-25T00:00:00"/>
    <s v="November"/>
    <n v="2022"/>
    <x v="300"/>
    <n v="29"/>
    <s v="4G"/>
  </r>
  <r>
    <n v="13234"/>
    <n v="295"/>
    <d v="2022-01-12T00:00:00"/>
    <s v="January"/>
    <n v="2022"/>
    <x v="211"/>
    <n v="156"/>
    <s v="4G"/>
  </r>
  <r>
    <n v="13235"/>
    <n v="128"/>
    <d v="2022-02-04T00:00:00"/>
    <s v="February"/>
    <n v="2022"/>
    <x v="55"/>
    <n v="265"/>
    <s v="5G"/>
  </r>
  <r>
    <n v="13236"/>
    <n v="344"/>
    <d v="2023-03-23T00:00:00"/>
    <s v="March"/>
    <n v="2023"/>
    <x v="420"/>
    <n v="255"/>
    <s v="5G"/>
  </r>
  <r>
    <n v="13237"/>
    <n v="282"/>
    <d v="2023-03-28T00:00:00"/>
    <s v="March"/>
    <n v="2023"/>
    <x v="157"/>
    <n v="38"/>
    <s v="5G"/>
  </r>
  <r>
    <n v="13238"/>
    <n v="17"/>
    <d v="2024-01-10T00:00:00"/>
    <s v="January"/>
    <n v="2024"/>
    <x v="303"/>
    <n v="54"/>
    <s v="4G"/>
  </r>
  <r>
    <n v="13239"/>
    <n v="71"/>
    <d v="2022-08-08T00:00:00"/>
    <s v="August"/>
    <n v="2022"/>
    <x v="198"/>
    <n v="27"/>
    <s v="5G"/>
  </r>
  <r>
    <n v="13240"/>
    <n v="269"/>
    <d v="2023-03-17T00:00:00"/>
    <s v="March"/>
    <n v="2023"/>
    <x v="124"/>
    <n v="117"/>
    <s v="4G"/>
  </r>
  <r>
    <n v="13241"/>
    <n v="325"/>
    <d v="2023-10-15T00:00:00"/>
    <s v="October"/>
    <n v="2023"/>
    <x v="23"/>
    <n v="208"/>
    <s v="4G"/>
  </r>
  <r>
    <n v="13242"/>
    <n v="282"/>
    <d v="2023-06-19T00:00:00"/>
    <s v="June"/>
    <n v="2023"/>
    <x v="367"/>
    <n v="74"/>
    <s v="4G"/>
  </r>
  <r>
    <n v="13243"/>
    <n v="305"/>
    <d v="2023-08-18T00:00:00"/>
    <s v="August"/>
    <n v="2023"/>
    <x v="45"/>
    <n v="64"/>
    <s v="5G"/>
  </r>
  <r>
    <n v="13244"/>
    <n v="451"/>
    <d v="2022-08-17T00:00:00"/>
    <s v="August"/>
    <n v="2022"/>
    <x v="146"/>
    <n v="99"/>
    <s v="5G"/>
  </r>
  <r>
    <n v="13245"/>
    <n v="7"/>
    <d v="2022-12-10T00:00:00"/>
    <s v="December"/>
    <n v="2022"/>
    <x v="60"/>
    <n v="45"/>
    <s v="4G"/>
  </r>
  <r>
    <n v="13246"/>
    <n v="314"/>
    <d v="2022-03-21T00:00:00"/>
    <s v="March"/>
    <n v="2022"/>
    <x v="82"/>
    <n v="155"/>
    <s v="4G"/>
  </r>
  <r>
    <n v="13247"/>
    <n v="305"/>
    <d v="2022-12-19T00:00:00"/>
    <s v="December"/>
    <n v="2022"/>
    <x v="29"/>
    <n v="239"/>
    <s v="4G"/>
  </r>
  <r>
    <n v="13248"/>
    <n v="103"/>
    <d v="2023-01-31T00:00:00"/>
    <s v="January"/>
    <n v="2023"/>
    <x v="772"/>
    <n v="258"/>
    <s v="5G"/>
  </r>
  <r>
    <n v="13249"/>
    <n v="309"/>
    <d v="2022-10-17T00:00:00"/>
    <s v="October"/>
    <n v="2022"/>
    <x v="22"/>
    <n v="135"/>
    <s v="5G"/>
  </r>
  <r>
    <n v="13250"/>
    <n v="193"/>
    <d v="2023-03-31T00:00:00"/>
    <s v="March"/>
    <n v="2023"/>
    <x v="189"/>
    <n v="197"/>
    <s v="4G"/>
  </r>
  <r>
    <n v="13251"/>
    <n v="241"/>
    <d v="2024-04-22T00:00:00"/>
    <s v="April"/>
    <n v="2024"/>
    <x v="110"/>
    <n v="186"/>
    <s v="4G"/>
  </r>
  <r>
    <n v="13252"/>
    <n v="62"/>
    <d v="2023-11-02T00:00:00"/>
    <s v="November"/>
    <n v="2023"/>
    <x v="170"/>
    <n v="115"/>
    <s v="4G"/>
  </r>
  <r>
    <n v="13253"/>
    <n v="17"/>
    <d v="2022-05-08T00:00:00"/>
    <s v="May"/>
    <n v="2022"/>
    <x v="171"/>
    <n v="57"/>
    <s v="5G"/>
  </r>
  <r>
    <n v="13254"/>
    <n v="171"/>
    <d v="2023-12-03T00:00:00"/>
    <s v="December"/>
    <n v="2023"/>
    <x v="202"/>
    <n v="69"/>
    <s v="5G"/>
  </r>
  <r>
    <n v="13255"/>
    <n v="25"/>
    <d v="2023-06-27T00:00:00"/>
    <s v="June"/>
    <n v="2023"/>
    <x v="773"/>
    <n v="92"/>
    <s v="4G"/>
  </r>
  <r>
    <n v="13256"/>
    <n v="251"/>
    <d v="2024-06-16T00:00:00"/>
    <s v="June"/>
    <n v="2024"/>
    <x v="774"/>
    <n v="228"/>
    <s v="4G"/>
  </r>
  <r>
    <n v="13257"/>
    <n v="253"/>
    <d v="2022-12-25T00:00:00"/>
    <s v="December"/>
    <n v="2022"/>
    <x v="647"/>
    <n v="136"/>
    <s v="5G"/>
  </r>
  <r>
    <n v="13258"/>
    <n v="387"/>
    <d v="2023-06-11T00:00:00"/>
    <s v="June"/>
    <n v="2023"/>
    <x v="495"/>
    <n v="104"/>
    <s v="4G"/>
  </r>
  <r>
    <n v="13259"/>
    <n v="207"/>
    <d v="2022-11-09T00:00:00"/>
    <s v="November"/>
    <n v="2022"/>
    <x v="252"/>
    <n v="16"/>
    <s v="5G"/>
  </r>
  <r>
    <n v="13260"/>
    <n v="29"/>
    <d v="2022-03-16T00:00:00"/>
    <s v="March"/>
    <n v="2022"/>
    <x v="389"/>
    <n v="53"/>
    <s v="4G"/>
  </r>
  <r>
    <n v="13261"/>
    <n v="117"/>
    <d v="2023-06-30T00:00:00"/>
    <s v="June"/>
    <n v="2023"/>
    <x v="371"/>
    <n v="111"/>
    <s v="5G"/>
  </r>
  <r>
    <n v="13262"/>
    <n v="491"/>
    <d v="2024-05-20T00:00:00"/>
    <s v="May"/>
    <n v="2024"/>
    <x v="489"/>
    <n v="171"/>
    <s v="5G"/>
  </r>
  <r>
    <n v="13263"/>
    <n v="416"/>
    <d v="2022-07-15T00:00:00"/>
    <s v="July"/>
    <n v="2022"/>
    <x v="437"/>
    <n v="143"/>
    <s v="4G"/>
  </r>
  <r>
    <n v="13264"/>
    <n v="282"/>
    <d v="2024-04-22T00:00:00"/>
    <s v="April"/>
    <n v="2024"/>
    <x v="222"/>
    <n v="84"/>
    <s v="5G"/>
  </r>
  <r>
    <n v="13265"/>
    <n v="380"/>
    <d v="2022-01-29T00:00:00"/>
    <s v="January"/>
    <n v="2022"/>
    <x v="42"/>
    <n v="11"/>
    <s v="4G"/>
  </r>
  <r>
    <n v="13266"/>
    <n v="144"/>
    <d v="2023-12-07T00:00:00"/>
    <s v="December"/>
    <n v="2023"/>
    <x v="712"/>
    <n v="251"/>
    <s v="5G"/>
  </r>
  <r>
    <n v="13267"/>
    <n v="25"/>
    <d v="2022-01-16T00:00:00"/>
    <s v="January"/>
    <n v="2022"/>
    <x v="21"/>
    <n v="215"/>
    <s v="5G"/>
  </r>
  <r>
    <n v="13268"/>
    <n v="310"/>
    <d v="2023-02-27T00:00:00"/>
    <s v="February"/>
    <n v="2023"/>
    <x v="32"/>
    <n v="125"/>
    <s v="4G"/>
  </r>
  <r>
    <n v="13269"/>
    <n v="156"/>
    <d v="2023-08-12T00:00:00"/>
    <s v="August"/>
    <n v="2023"/>
    <x v="229"/>
    <n v="97"/>
    <s v="4G"/>
  </r>
  <r>
    <n v="13270"/>
    <n v="73"/>
    <d v="2024-03-15T00:00:00"/>
    <s v="March"/>
    <n v="2024"/>
    <x v="762"/>
    <n v="27"/>
    <s v="4G"/>
  </r>
  <r>
    <n v="13271"/>
    <n v="120"/>
    <d v="2023-08-16T00:00:00"/>
    <s v="August"/>
    <n v="2023"/>
    <x v="174"/>
    <n v="265"/>
    <s v="5G"/>
  </r>
  <r>
    <n v="13272"/>
    <n v="312"/>
    <d v="2023-02-09T00:00:00"/>
    <s v="February"/>
    <n v="2023"/>
    <x v="650"/>
    <n v="51"/>
    <s v="5G"/>
  </r>
  <r>
    <n v="13273"/>
    <n v="321"/>
    <d v="2023-09-28T00:00:00"/>
    <s v="September"/>
    <n v="2023"/>
    <x v="22"/>
    <n v="142"/>
    <s v="4G"/>
  </r>
  <r>
    <n v="13274"/>
    <n v="93"/>
    <d v="2023-06-15T00:00:00"/>
    <s v="June"/>
    <n v="2023"/>
    <x v="477"/>
    <n v="131"/>
    <s v="5G"/>
  </r>
  <r>
    <n v="13275"/>
    <n v="86"/>
    <d v="2023-09-06T00:00:00"/>
    <s v="September"/>
    <n v="2023"/>
    <x v="28"/>
    <n v="206"/>
    <s v="4G"/>
  </r>
  <r>
    <n v="13276"/>
    <n v="336"/>
    <d v="2022-03-18T00:00:00"/>
    <s v="March"/>
    <n v="2022"/>
    <x v="402"/>
    <n v="61"/>
    <s v="4G"/>
  </r>
  <r>
    <n v="13277"/>
    <n v="425"/>
    <d v="2022-08-17T00:00:00"/>
    <s v="August"/>
    <n v="2022"/>
    <x v="406"/>
    <n v="131"/>
    <s v="4G"/>
  </r>
  <r>
    <n v="13278"/>
    <n v="499"/>
    <d v="2022-10-24T00:00:00"/>
    <s v="October"/>
    <n v="2022"/>
    <x v="21"/>
    <n v="40"/>
    <s v="4G"/>
  </r>
  <r>
    <n v="13279"/>
    <n v="364"/>
    <d v="2023-05-25T00:00:00"/>
    <s v="May"/>
    <n v="2023"/>
    <x v="191"/>
    <n v="200"/>
    <s v="4G"/>
  </r>
  <r>
    <n v="13280"/>
    <n v="435"/>
    <d v="2023-12-16T00:00:00"/>
    <s v="December"/>
    <n v="2023"/>
    <x v="475"/>
    <n v="98"/>
    <s v="4G"/>
  </r>
  <r>
    <n v="13281"/>
    <n v="118"/>
    <d v="2023-07-27T00:00:00"/>
    <s v="July"/>
    <n v="2023"/>
    <x v="94"/>
    <n v="283"/>
    <s v="4G"/>
  </r>
  <r>
    <n v="13282"/>
    <n v="233"/>
    <d v="2023-06-22T00:00:00"/>
    <s v="June"/>
    <n v="2023"/>
    <x v="173"/>
    <n v="46"/>
    <s v="5G"/>
  </r>
  <r>
    <n v="13283"/>
    <n v="199"/>
    <d v="2023-08-06T00:00:00"/>
    <s v="August"/>
    <n v="2023"/>
    <x v="4"/>
    <n v="136"/>
    <s v="4G"/>
  </r>
  <r>
    <n v="13284"/>
    <n v="206"/>
    <d v="2023-09-07T00:00:00"/>
    <s v="September"/>
    <n v="2023"/>
    <x v="528"/>
    <n v="129"/>
    <s v="4G"/>
  </r>
  <r>
    <n v="13285"/>
    <n v="413"/>
    <d v="2022-11-22T00:00:00"/>
    <s v="November"/>
    <n v="2022"/>
    <x v="134"/>
    <n v="194"/>
    <s v="4G"/>
  </r>
  <r>
    <n v="13286"/>
    <n v="339"/>
    <d v="2022-12-29T00:00:00"/>
    <s v="December"/>
    <n v="2022"/>
    <x v="99"/>
    <n v="116"/>
    <s v="5G"/>
  </r>
  <r>
    <n v="13287"/>
    <n v="147"/>
    <d v="2023-10-31T00:00:00"/>
    <s v="October"/>
    <n v="2023"/>
    <x v="773"/>
    <n v="68"/>
    <s v="5G"/>
  </r>
  <r>
    <n v="13288"/>
    <n v="450"/>
    <d v="2024-05-24T00:00:00"/>
    <s v="May"/>
    <n v="2024"/>
    <x v="580"/>
    <n v="27"/>
    <s v="5G"/>
  </r>
  <r>
    <n v="13289"/>
    <n v="425"/>
    <d v="2022-12-25T00:00:00"/>
    <s v="December"/>
    <n v="2022"/>
    <x v="372"/>
    <n v="13"/>
    <s v="5G"/>
  </r>
  <r>
    <n v="13290"/>
    <n v="429"/>
    <d v="2023-12-07T00:00:00"/>
    <s v="December"/>
    <n v="2023"/>
    <x v="191"/>
    <n v="45"/>
    <s v="4G"/>
  </r>
  <r>
    <n v="13291"/>
    <n v="271"/>
    <d v="2024-02-26T00:00:00"/>
    <s v="February"/>
    <n v="2024"/>
    <x v="31"/>
    <n v="15"/>
    <s v="4G"/>
  </r>
  <r>
    <n v="13292"/>
    <n v="387"/>
    <d v="2022-11-20T00:00:00"/>
    <s v="November"/>
    <n v="2022"/>
    <x v="331"/>
    <n v="208"/>
    <s v="5G"/>
  </r>
  <r>
    <n v="13293"/>
    <n v="139"/>
    <d v="2023-11-29T00:00:00"/>
    <s v="November"/>
    <n v="2023"/>
    <x v="254"/>
    <n v="157"/>
    <s v="5G"/>
  </r>
  <r>
    <n v="13294"/>
    <n v="181"/>
    <d v="2022-11-22T00:00:00"/>
    <s v="November"/>
    <n v="2022"/>
    <x v="330"/>
    <n v="226"/>
    <s v="4G"/>
  </r>
  <r>
    <n v="13295"/>
    <n v="430"/>
    <d v="2023-09-17T00:00:00"/>
    <s v="September"/>
    <n v="2023"/>
    <x v="556"/>
    <n v="240"/>
    <s v="5G"/>
  </r>
  <r>
    <n v="13296"/>
    <n v="30"/>
    <d v="2024-04-04T00:00:00"/>
    <s v="April"/>
    <n v="2024"/>
    <x v="718"/>
    <n v="57"/>
    <s v="5G"/>
  </r>
  <r>
    <n v="13297"/>
    <n v="57"/>
    <d v="2022-06-14T00:00:00"/>
    <s v="June"/>
    <n v="2022"/>
    <x v="221"/>
    <n v="129"/>
    <s v="5G"/>
  </r>
  <r>
    <n v="13298"/>
    <n v="232"/>
    <d v="2023-07-27T00:00:00"/>
    <s v="July"/>
    <n v="2023"/>
    <x v="170"/>
    <n v="216"/>
    <s v="5G"/>
  </r>
  <r>
    <n v="13299"/>
    <n v="146"/>
    <d v="2023-08-27T00:00:00"/>
    <s v="August"/>
    <n v="2023"/>
    <x v="637"/>
    <n v="13"/>
    <s v="4G"/>
  </r>
  <r>
    <n v="13300"/>
    <n v="435"/>
    <d v="2024-03-08T00:00:00"/>
    <s v="March"/>
    <n v="2024"/>
    <x v="478"/>
    <n v="242"/>
    <s v="4G"/>
  </r>
  <r>
    <n v="13301"/>
    <n v="384"/>
    <d v="2023-03-31T00:00:00"/>
    <s v="March"/>
    <n v="2023"/>
    <x v="145"/>
    <n v="144"/>
    <s v="4G"/>
  </r>
  <r>
    <n v="13302"/>
    <n v="48"/>
    <d v="2022-06-02T00:00:00"/>
    <s v="June"/>
    <n v="2022"/>
    <x v="502"/>
    <n v="102"/>
    <s v="4G"/>
  </r>
  <r>
    <n v="13303"/>
    <n v="194"/>
    <d v="2024-01-07T00:00:00"/>
    <s v="January"/>
    <n v="2024"/>
    <x v="375"/>
    <n v="216"/>
    <s v="5G"/>
  </r>
  <r>
    <n v="13304"/>
    <n v="224"/>
    <d v="2022-05-07T00:00:00"/>
    <s v="May"/>
    <n v="2022"/>
    <x v="164"/>
    <n v="63"/>
    <s v="4G"/>
  </r>
  <r>
    <n v="13305"/>
    <n v="136"/>
    <d v="2022-07-12T00:00:00"/>
    <s v="July"/>
    <n v="2022"/>
    <x v="365"/>
    <n v="157"/>
    <s v="4G"/>
  </r>
  <r>
    <n v="13306"/>
    <n v="22"/>
    <d v="2023-09-19T00:00:00"/>
    <s v="September"/>
    <n v="2023"/>
    <x v="496"/>
    <n v="161"/>
    <s v="4G"/>
  </r>
  <r>
    <n v="13307"/>
    <n v="6"/>
    <d v="2024-02-13T00:00:00"/>
    <s v="February"/>
    <n v="2024"/>
    <x v="508"/>
    <n v="17"/>
    <s v="5G"/>
  </r>
  <r>
    <n v="13308"/>
    <n v="204"/>
    <d v="2023-06-14T00:00:00"/>
    <s v="June"/>
    <n v="2023"/>
    <x v="97"/>
    <n v="215"/>
    <s v="4G"/>
  </r>
  <r>
    <n v="13309"/>
    <n v="239"/>
    <d v="2022-01-10T00:00:00"/>
    <s v="January"/>
    <n v="2022"/>
    <x v="645"/>
    <n v="48"/>
    <s v="4G"/>
  </r>
  <r>
    <n v="13310"/>
    <n v="185"/>
    <d v="2022-04-02T00:00:00"/>
    <s v="April"/>
    <n v="2022"/>
    <x v="343"/>
    <n v="55"/>
    <s v="4G"/>
  </r>
  <r>
    <n v="13311"/>
    <n v="360"/>
    <d v="2022-05-19T00:00:00"/>
    <s v="May"/>
    <n v="2022"/>
    <x v="775"/>
    <n v="57"/>
    <s v="4G"/>
  </r>
  <r>
    <n v="13312"/>
    <n v="292"/>
    <d v="2023-04-26T00:00:00"/>
    <s v="April"/>
    <n v="2023"/>
    <x v="424"/>
    <n v="154"/>
    <s v="5G"/>
  </r>
  <r>
    <n v="13313"/>
    <n v="335"/>
    <d v="2023-03-25T00:00:00"/>
    <s v="March"/>
    <n v="2023"/>
    <x v="56"/>
    <n v="54"/>
    <s v="5G"/>
  </r>
  <r>
    <n v="13314"/>
    <n v="220"/>
    <d v="2022-11-29T00:00:00"/>
    <s v="November"/>
    <n v="2022"/>
    <x v="154"/>
    <n v="18"/>
    <s v="4G"/>
  </r>
  <r>
    <n v="13315"/>
    <n v="116"/>
    <d v="2024-05-18T00:00:00"/>
    <s v="May"/>
    <n v="2024"/>
    <x v="367"/>
    <n v="150"/>
    <s v="5G"/>
  </r>
  <r>
    <n v="13316"/>
    <n v="313"/>
    <d v="2022-12-06T00:00:00"/>
    <s v="December"/>
    <n v="2022"/>
    <x v="776"/>
    <n v="107"/>
    <s v="4G"/>
  </r>
  <r>
    <n v="13317"/>
    <n v="49"/>
    <d v="2022-02-21T00:00:00"/>
    <s v="February"/>
    <n v="2022"/>
    <x v="143"/>
    <n v="46"/>
    <s v="5G"/>
  </r>
  <r>
    <n v="13318"/>
    <n v="173"/>
    <d v="2023-12-08T00:00:00"/>
    <s v="December"/>
    <n v="2023"/>
    <x v="203"/>
    <n v="206"/>
    <s v="4G"/>
  </r>
  <r>
    <n v="13319"/>
    <n v="82"/>
    <d v="2023-04-11T00:00:00"/>
    <s v="April"/>
    <n v="2023"/>
    <x v="777"/>
    <n v="127"/>
    <s v="5G"/>
  </r>
  <r>
    <n v="13320"/>
    <n v="322"/>
    <d v="2023-12-19T00:00:00"/>
    <s v="December"/>
    <n v="2023"/>
    <x v="258"/>
    <n v="184"/>
    <s v="4G"/>
  </r>
  <r>
    <n v="13321"/>
    <n v="333"/>
    <d v="2024-03-09T00:00:00"/>
    <s v="March"/>
    <n v="2024"/>
    <x v="190"/>
    <n v="57"/>
    <s v="4G"/>
  </r>
  <r>
    <n v="13322"/>
    <n v="45"/>
    <d v="2023-04-20T00:00:00"/>
    <s v="April"/>
    <n v="2023"/>
    <x v="305"/>
    <n v="142"/>
    <s v="4G"/>
  </r>
  <r>
    <n v="13323"/>
    <n v="335"/>
    <d v="2023-02-05T00:00:00"/>
    <s v="February"/>
    <n v="2023"/>
    <x v="442"/>
    <n v="96"/>
    <s v="4G"/>
  </r>
  <r>
    <n v="13324"/>
    <n v="20"/>
    <d v="2023-03-15T00:00:00"/>
    <s v="March"/>
    <n v="2023"/>
    <x v="44"/>
    <n v="46"/>
    <s v="5G"/>
  </r>
  <r>
    <n v="13325"/>
    <n v="448"/>
    <d v="2024-05-27T00:00:00"/>
    <s v="May"/>
    <n v="2024"/>
    <x v="267"/>
    <n v="190"/>
    <s v="4G"/>
  </r>
  <r>
    <n v="13326"/>
    <n v="221"/>
    <d v="2023-08-28T00:00:00"/>
    <s v="August"/>
    <n v="2023"/>
    <x v="62"/>
    <n v="139"/>
    <s v="4G"/>
  </r>
  <r>
    <n v="13327"/>
    <n v="123"/>
    <d v="2024-03-31T00:00:00"/>
    <s v="March"/>
    <n v="2024"/>
    <x v="7"/>
    <n v="102"/>
    <s v="5G"/>
  </r>
  <r>
    <n v="13328"/>
    <n v="234"/>
    <d v="2023-10-19T00:00:00"/>
    <s v="October"/>
    <n v="2023"/>
    <x v="420"/>
    <n v="230"/>
    <s v="4G"/>
  </r>
  <r>
    <n v="13329"/>
    <n v="221"/>
    <d v="2023-08-21T00:00:00"/>
    <s v="August"/>
    <n v="2023"/>
    <x v="427"/>
    <n v="48"/>
    <s v="5G"/>
  </r>
  <r>
    <n v="13330"/>
    <n v="323"/>
    <d v="2023-05-24T00:00:00"/>
    <s v="May"/>
    <n v="2023"/>
    <x v="778"/>
    <n v="111"/>
    <s v="4G"/>
  </r>
  <r>
    <n v="13331"/>
    <n v="339"/>
    <d v="2022-06-02T00:00:00"/>
    <s v="June"/>
    <n v="2022"/>
    <x v="53"/>
    <n v="86"/>
    <s v="4G"/>
  </r>
  <r>
    <n v="13332"/>
    <n v="3"/>
    <d v="2023-05-29T00:00:00"/>
    <s v="May"/>
    <n v="2023"/>
    <x v="157"/>
    <n v="281"/>
    <s v="5G"/>
  </r>
  <r>
    <n v="13333"/>
    <n v="182"/>
    <d v="2023-05-18T00:00:00"/>
    <s v="May"/>
    <n v="2023"/>
    <x v="4"/>
    <n v="251"/>
    <s v="4G"/>
  </r>
  <r>
    <n v="13334"/>
    <n v="206"/>
    <d v="2024-05-03T00:00:00"/>
    <s v="May"/>
    <n v="2024"/>
    <x v="297"/>
    <n v="73"/>
    <s v="4G"/>
  </r>
  <r>
    <n v="13335"/>
    <n v="320"/>
    <d v="2024-02-11T00:00:00"/>
    <s v="February"/>
    <n v="2024"/>
    <x v="482"/>
    <n v="46"/>
    <s v="5G"/>
  </r>
  <r>
    <n v="13336"/>
    <n v="40"/>
    <d v="2023-11-07T00:00:00"/>
    <s v="November"/>
    <n v="2023"/>
    <x v="187"/>
    <n v="75"/>
    <s v="4G"/>
  </r>
  <r>
    <n v="13337"/>
    <n v="59"/>
    <d v="2022-01-06T00:00:00"/>
    <s v="January"/>
    <n v="2022"/>
    <x v="85"/>
    <n v="95"/>
    <s v="5G"/>
  </r>
  <r>
    <n v="13338"/>
    <n v="439"/>
    <d v="2023-05-15T00:00:00"/>
    <s v="May"/>
    <n v="2023"/>
    <x v="225"/>
    <n v="30"/>
    <s v="5G"/>
  </r>
  <r>
    <n v="13339"/>
    <n v="62"/>
    <d v="2023-10-23T00:00:00"/>
    <s v="October"/>
    <n v="2023"/>
    <x v="299"/>
    <n v="21"/>
    <s v="4G"/>
  </r>
  <r>
    <n v="13340"/>
    <n v="132"/>
    <d v="2023-12-18T00:00:00"/>
    <s v="December"/>
    <n v="2023"/>
    <x v="84"/>
    <n v="16"/>
    <s v="5G"/>
  </r>
  <r>
    <n v="13341"/>
    <n v="60"/>
    <d v="2022-04-28T00:00:00"/>
    <s v="April"/>
    <n v="2022"/>
    <x v="573"/>
    <n v="211"/>
    <s v="4G"/>
  </r>
  <r>
    <n v="13342"/>
    <n v="372"/>
    <d v="2023-04-30T00:00:00"/>
    <s v="April"/>
    <n v="2023"/>
    <x v="112"/>
    <n v="147"/>
    <s v="4G"/>
  </r>
  <r>
    <n v="13343"/>
    <n v="331"/>
    <d v="2023-08-24T00:00:00"/>
    <s v="August"/>
    <n v="2023"/>
    <x v="223"/>
    <n v="234"/>
    <s v="5G"/>
  </r>
  <r>
    <n v="13344"/>
    <n v="122"/>
    <d v="2023-10-28T00:00:00"/>
    <s v="October"/>
    <n v="2023"/>
    <x v="779"/>
    <n v="86"/>
    <s v="5G"/>
  </r>
  <r>
    <n v="13345"/>
    <n v="479"/>
    <d v="2023-11-10T00:00:00"/>
    <s v="November"/>
    <n v="2023"/>
    <x v="172"/>
    <n v="37"/>
    <s v="5G"/>
  </r>
  <r>
    <n v="13346"/>
    <n v="107"/>
    <d v="2023-04-13T00:00:00"/>
    <s v="April"/>
    <n v="2023"/>
    <x v="780"/>
    <n v="52"/>
    <s v="5G"/>
  </r>
  <r>
    <n v="13347"/>
    <n v="96"/>
    <d v="2022-06-10T00:00:00"/>
    <s v="June"/>
    <n v="2022"/>
    <x v="145"/>
    <n v="27"/>
    <s v="4G"/>
  </r>
  <r>
    <n v="13348"/>
    <n v="347"/>
    <d v="2022-09-27T00:00:00"/>
    <s v="September"/>
    <n v="2022"/>
    <x v="37"/>
    <n v="76"/>
    <s v="4G"/>
  </r>
  <r>
    <n v="13349"/>
    <n v="414"/>
    <d v="2022-02-25T00:00:00"/>
    <s v="February"/>
    <n v="2022"/>
    <x v="552"/>
    <n v="199"/>
    <s v="4G"/>
  </r>
  <r>
    <n v="13350"/>
    <n v="235"/>
    <d v="2022-08-16T00:00:00"/>
    <s v="August"/>
    <n v="2022"/>
    <x v="380"/>
    <n v="172"/>
    <s v="4G"/>
  </r>
  <r>
    <n v="13351"/>
    <n v="386"/>
    <d v="2024-04-28T00:00:00"/>
    <s v="April"/>
    <n v="2024"/>
    <x v="173"/>
    <n v="273"/>
    <s v="4G"/>
  </r>
  <r>
    <n v="13352"/>
    <n v="62"/>
    <d v="2022-05-29T00:00:00"/>
    <s v="May"/>
    <n v="2022"/>
    <x v="78"/>
    <n v="49"/>
    <s v="5G"/>
  </r>
  <r>
    <n v="13353"/>
    <n v="256"/>
    <d v="2022-02-15T00:00:00"/>
    <s v="February"/>
    <n v="2022"/>
    <x v="266"/>
    <n v="176"/>
    <s v="4G"/>
  </r>
  <r>
    <n v="13354"/>
    <n v="49"/>
    <d v="2022-05-24T00:00:00"/>
    <s v="May"/>
    <n v="2022"/>
    <x v="178"/>
    <n v="226"/>
    <s v="5G"/>
  </r>
  <r>
    <n v="13355"/>
    <n v="393"/>
    <d v="2024-01-20T00:00:00"/>
    <s v="January"/>
    <n v="2024"/>
    <x v="135"/>
    <n v="126"/>
    <s v="5G"/>
  </r>
  <r>
    <n v="13356"/>
    <n v="348"/>
    <d v="2024-02-23T00:00:00"/>
    <s v="February"/>
    <n v="2024"/>
    <x v="12"/>
    <n v="20"/>
    <s v="4G"/>
  </r>
  <r>
    <n v="13357"/>
    <n v="159"/>
    <d v="2023-09-24T00:00:00"/>
    <s v="September"/>
    <n v="2023"/>
    <x v="50"/>
    <n v="198"/>
    <s v="4G"/>
  </r>
  <r>
    <n v="13358"/>
    <n v="124"/>
    <d v="2022-12-06T00:00:00"/>
    <s v="December"/>
    <n v="2022"/>
    <x v="661"/>
    <n v="188"/>
    <s v="4G"/>
  </r>
  <r>
    <n v="13359"/>
    <n v="482"/>
    <d v="2023-02-17T00:00:00"/>
    <s v="February"/>
    <n v="2023"/>
    <x v="98"/>
    <n v="151"/>
    <s v="4G"/>
  </r>
  <r>
    <n v="13360"/>
    <n v="317"/>
    <d v="2024-01-02T00:00:00"/>
    <s v="January"/>
    <n v="2024"/>
    <x v="164"/>
    <n v="159"/>
    <s v="5G"/>
  </r>
  <r>
    <n v="13361"/>
    <n v="207"/>
    <d v="2023-06-04T00:00:00"/>
    <s v="June"/>
    <n v="2023"/>
    <x v="57"/>
    <n v="95"/>
    <s v="4G"/>
  </r>
  <r>
    <n v="13362"/>
    <n v="48"/>
    <d v="2022-12-10T00:00:00"/>
    <s v="December"/>
    <n v="2022"/>
    <x v="79"/>
    <n v="74"/>
    <s v="5G"/>
  </r>
  <r>
    <n v="13363"/>
    <n v="409"/>
    <d v="2023-01-22T00:00:00"/>
    <s v="January"/>
    <n v="2023"/>
    <x v="188"/>
    <n v="81"/>
    <s v="5G"/>
  </r>
  <r>
    <n v="13364"/>
    <n v="420"/>
    <d v="2023-04-18T00:00:00"/>
    <s v="April"/>
    <n v="2023"/>
    <x v="781"/>
    <n v="127"/>
    <s v="4G"/>
  </r>
  <r>
    <n v="13365"/>
    <n v="136"/>
    <d v="2022-10-02T00:00:00"/>
    <s v="October"/>
    <n v="2022"/>
    <x v="57"/>
    <n v="132"/>
    <s v="5G"/>
  </r>
  <r>
    <n v="13366"/>
    <n v="201"/>
    <d v="2022-12-19T00:00:00"/>
    <s v="December"/>
    <n v="2022"/>
    <x v="656"/>
    <n v="138"/>
    <s v="4G"/>
  </r>
  <r>
    <n v="13367"/>
    <n v="250"/>
    <d v="2022-03-07T00:00:00"/>
    <s v="March"/>
    <n v="2022"/>
    <x v="166"/>
    <n v="245"/>
    <s v="4G"/>
  </r>
  <r>
    <n v="13368"/>
    <n v="314"/>
    <d v="2022-03-20T00:00:00"/>
    <s v="March"/>
    <n v="2022"/>
    <x v="135"/>
    <n v="290"/>
    <s v="4G"/>
  </r>
  <r>
    <n v="13369"/>
    <n v="357"/>
    <d v="2023-08-21T00:00:00"/>
    <s v="August"/>
    <n v="2023"/>
    <x v="269"/>
    <n v="111"/>
    <s v="4G"/>
  </r>
  <r>
    <n v="13370"/>
    <n v="368"/>
    <d v="2023-09-28T00:00:00"/>
    <s v="September"/>
    <n v="2023"/>
    <x v="108"/>
    <n v="202"/>
    <s v="4G"/>
  </r>
  <r>
    <n v="13371"/>
    <n v="429"/>
    <d v="2022-07-21T00:00:00"/>
    <s v="July"/>
    <n v="2022"/>
    <x v="488"/>
    <n v="169"/>
    <s v="5G"/>
  </r>
  <r>
    <n v="13372"/>
    <n v="318"/>
    <d v="2023-10-24T00:00:00"/>
    <s v="October"/>
    <n v="2023"/>
    <x v="100"/>
    <n v="86"/>
    <s v="4G"/>
  </r>
  <r>
    <n v="13373"/>
    <n v="295"/>
    <d v="2023-07-12T00:00:00"/>
    <s v="July"/>
    <n v="2023"/>
    <x v="692"/>
    <n v="118"/>
    <s v="4G"/>
  </r>
  <r>
    <n v="13374"/>
    <n v="480"/>
    <d v="2022-04-23T00:00:00"/>
    <s v="April"/>
    <n v="2022"/>
    <x v="782"/>
    <n v="97"/>
    <s v="4G"/>
  </r>
  <r>
    <n v="13375"/>
    <n v="314"/>
    <d v="2022-04-01T00:00:00"/>
    <s v="April"/>
    <n v="2022"/>
    <x v="202"/>
    <n v="239"/>
    <s v="4G"/>
  </r>
  <r>
    <n v="13376"/>
    <n v="500"/>
    <d v="2022-05-21T00:00:00"/>
    <s v="May"/>
    <n v="2022"/>
    <x v="427"/>
    <n v="137"/>
    <s v="4G"/>
  </r>
  <r>
    <n v="13377"/>
    <n v="209"/>
    <d v="2022-10-16T00:00:00"/>
    <s v="October"/>
    <n v="2022"/>
    <x v="130"/>
    <n v="81"/>
    <s v="4G"/>
  </r>
  <r>
    <n v="13378"/>
    <n v="355"/>
    <d v="2023-12-31T00:00:00"/>
    <s v="December"/>
    <n v="2023"/>
    <x v="46"/>
    <n v="235"/>
    <s v="4G"/>
  </r>
  <r>
    <n v="13379"/>
    <n v="485"/>
    <d v="2023-08-12T00:00:00"/>
    <s v="August"/>
    <n v="2023"/>
    <x v="607"/>
    <n v="135"/>
    <s v="4G"/>
  </r>
  <r>
    <n v="13380"/>
    <n v="211"/>
    <d v="2023-02-15T00:00:00"/>
    <s v="February"/>
    <n v="2023"/>
    <x v="613"/>
    <n v="281"/>
    <s v="4G"/>
  </r>
  <r>
    <n v="13381"/>
    <n v="192"/>
    <d v="2023-01-12T00:00:00"/>
    <s v="January"/>
    <n v="2023"/>
    <x v="206"/>
    <n v="2"/>
    <s v="5G"/>
  </r>
  <r>
    <n v="13382"/>
    <n v="44"/>
    <d v="2023-01-19T00:00:00"/>
    <s v="January"/>
    <n v="2023"/>
    <x v="465"/>
    <n v="58"/>
    <s v="4G"/>
  </r>
  <r>
    <n v="13383"/>
    <n v="29"/>
    <d v="2024-04-25T00:00:00"/>
    <s v="April"/>
    <n v="2024"/>
    <x v="573"/>
    <n v="115"/>
    <s v="5G"/>
  </r>
  <r>
    <n v="13384"/>
    <n v="59"/>
    <d v="2022-06-01T00:00:00"/>
    <s v="June"/>
    <n v="2022"/>
    <x v="337"/>
    <n v="130"/>
    <s v="4G"/>
  </r>
  <r>
    <n v="13385"/>
    <n v="71"/>
    <d v="2024-04-14T00:00:00"/>
    <s v="April"/>
    <n v="2024"/>
    <x v="279"/>
    <n v="200"/>
    <s v="4G"/>
  </r>
  <r>
    <n v="13386"/>
    <n v="92"/>
    <d v="2024-01-21T00:00:00"/>
    <s v="January"/>
    <n v="2024"/>
    <x v="20"/>
    <n v="291"/>
    <s v="4G"/>
  </r>
  <r>
    <n v="13387"/>
    <n v="265"/>
    <d v="2023-09-19T00:00:00"/>
    <s v="September"/>
    <n v="2023"/>
    <x v="656"/>
    <n v="97"/>
    <s v="4G"/>
  </r>
  <r>
    <n v="13388"/>
    <n v="383"/>
    <d v="2022-11-15T00:00:00"/>
    <s v="November"/>
    <n v="2022"/>
    <x v="783"/>
    <n v="215"/>
    <s v="4G"/>
  </r>
  <r>
    <n v="13389"/>
    <n v="220"/>
    <d v="2023-01-04T00:00:00"/>
    <s v="January"/>
    <n v="2023"/>
    <x v="12"/>
    <n v="123"/>
    <s v="5G"/>
  </r>
  <r>
    <n v="13390"/>
    <n v="390"/>
    <d v="2023-08-29T00:00:00"/>
    <s v="August"/>
    <n v="2023"/>
    <x v="6"/>
    <n v="72"/>
    <s v="4G"/>
  </r>
  <r>
    <n v="13391"/>
    <n v="413"/>
    <d v="2023-07-14T00:00:00"/>
    <s v="July"/>
    <n v="2023"/>
    <x v="492"/>
    <n v="129"/>
    <s v="5G"/>
  </r>
  <r>
    <n v="13392"/>
    <n v="442"/>
    <d v="2023-12-04T00:00:00"/>
    <s v="December"/>
    <n v="2023"/>
    <x v="127"/>
    <n v="26"/>
    <s v="4G"/>
  </r>
  <r>
    <n v="13393"/>
    <n v="401"/>
    <d v="2023-04-07T00:00:00"/>
    <s v="April"/>
    <n v="2023"/>
    <x v="426"/>
    <n v="164"/>
    <s v="4G"/>
  </r>
  <r>
    <n v="13394"/>
    <n v="400"/>
    <d v="2022-01-12T00:00:00"/>
    <s v="January"/>
    <n v="2022"/>
    <x v="82"/>
    <n v="67"/>
    <s v="4G"/>
  </r>
  <r>
    <n v="13395"/>
    <n v="215"/>
    <d v="2022-06-05T00:00:00"/>
    <s v="June"/>
    <n v="2022"/>
    <x v="500"/>
    <n v="13"/>
    <s v="4G"/>
  </r>
  <r>
    <n v="13396"/>
    <n v="479"/>
    <d v="2023-11-15T00:00:00"/>
    <s v="November"/>
    <n v="2023"/>
    <x v="784"/>
    <n v="97"/>
    <s v="5G"/>
  </r>
  <r>
    <n v="13397"/>
    <n v="387"/>
    <d v="2023-04-22T00:00:00"/>
    <s v="April"/>
    <n v="2023"/>
    <x v="88"/>
    <n v="278"/>
    <s v="5G"/>
  </r>
  <r>
    <n v="13398"/>
    <n v="277"/>
    <d v="2023-02-05T00:00:00"/>
    <s v="February"/>
    <n v="2023"/>
    <x v="236"/>
    <n v="246"/>
    <s v="5G"/>
  </r>
  <r>
    <n v="13399"/>
    <n v="64"/>
    <d v="2024-03-18T00:00:00"/>
    <s v="March"/>
    <n v="2024"/>
    <x v="261"/>
    <n v="111"/>
    <s v="4G"/>
  </r>
  <r>
    <n v="13400"/>
    <n v="346"/>
    <d v="2022-06-26T00:00:00"/>
    <s v="June"/>
    <n v="2022"/>
    <x v="35"/>
    <n v="206"/>
    <s v="4G"/>
  </r>
  <r>
    <n v="13401"/>
    <n v="292"/>
    <d v="2022-12-07T00:00:00"/>
    <s v="December"/>
    <n v="2022"/>
    <x v="785"/>
    <n v="232"/>
    <s v="5G"/>
  </r>
  <r>
    <n v="13402"/>
    <n v="490"/>
    <d v="2022-02-26T00:00:00"/>
    <s v="February"/>
    <n v="2022"/>
    <x v="378"/>
    <n v="60"/>
    <s v="4G"/>
  </r>
  <r>
    <n v="13403"/>
    <n v="485"/>
    <d v="2024-05-04T00:00:00"/>
    <s v="May"/>
    <n v="2024"/>
    <x v="393"/>
    <n v="84"/>
    <s v="5G"/>
  </r>
  <r>
    <n v="13404"/>
    <n v="245"/>
    <d v="2024-05-01T00:00:00"/>
    <s v="May"/>
    <n v="2024"/>
    <x v="692"/>
    <n v="182"/>
    <s v="4G"/>
  </r>
  <r>
    <n v="13405"/>
    <n v="470"/>
    <d v="2023-03-24T00:00:00"/>
    <s v="March"/>
    <n v="2023"/>
    <x v="192"/>
    <n v="238"/>
    <s v="5G"/>
  </r>
  <r>
    <n v="13406"/>
    <n v="62"/>
    <d v="2022-07-22T00:00:00"/>
    <s v="July"/>
    <n v="2022"/>
    <x v="591"/>
    <n v="249"/>
    <s v="5G"/>
  </r>
  <r>
    <n v="13407"/>
    <n v="426"/>
    <d v="2023-11-28T00:00:00"/>
    <s v="November"/>
    <n v="2023"/>
    <x v="216"/>
    <n v="70"/>
    <s v="5G"/>
  </r>
  <r>
    <n v="13408"/>
    <n v="332"/>
    <d v="2023-09-25T00:00:00"/>
    <s v="September"/>
    <n v="2023"/>
    <x v="221"/>
    <n v="227"/>
    <s v="4G"/>
  </r>
  <r>
    <n v="13409"/>
    <n v="170"/>
    <d v="2024-01-08T00:00:00"/>
    <s v="January"/>
    <n v="2024"/>
    <x v="356"/>
    <n v="84"/>
    <s v="4G"/>
  </r>
  <r>
    <n v="13410"/>
    <n v="445"/>
    <d v="2022-07-21T00:00:00"/>
    <s v="July"/>
    <n v="2022"/>
    <x v="23"/>
    <n v="270"/>
    <s v="4G"/>
  </r>
  <r>
    <n v="13411"/>
    <n v="269"/>
    <d v="2022-11-26T00:00:00"/>
    <s v="November"/>
    <n v="2022"/>
    <x v="630"/>
    <n v="289"/>
    <s v="5G"/>
  </r>
  <r>
    <n v="13412"/>
    <n v="267"/>
    <d v="2022-12-29T00:00:00"/>
    <s v="December"/>
    <n v="2022"/>
    <x v="125"/>
    <n v="235"/>
    <s v="5G"/>
  </r>
  <r>
    <n v="13413"/>
    <n v="54"/>
    <d v="2024-06-10T00:00:00"/>
    <s v="June"/>
    <n v="2024"/>
    <x v="152"/>
    <n v="290"/>
    <s v="4G"/>
  </r>
  <r>
    <n v="13414"/>
    <n v="16"/>
    <d v="2023-03-30T00:00:00"/>
    <s v="March"/>
    <n v="2023"/>
    <x v="786"/>
    <n v="38"/>
    <s v="4G"/>
  </r>
  <r>
    <n v="13415"/>
    <n v="8"/>
    <d v="2022-12-22T00:00:00"/>
    <s v="December"/>
    <n v="2022"/>
    <x v="367"/>
    <n v="205"/>
    <s v="4G"/>
  </r>
  <r>
    <n v="13416"/>
    <n v="104"/>
    <d v="2022-08-04T00:00:00"/>
    <s v="August"/>
    <n v="2022"/>
    <x v="147"/>
    <n v="182"/>
    <s v="5G"/>
  </r>
  <r>
    <n v="13417"/>
    <n v="59"/>
    <d v="2023-07-09T00:00:00"/>
    <s v="July"/>
    <n v="2023"/>
    <x v="91"/>
    <n v="186"/>
    <s v="4G"/>
  </r>
  <r>
    <n v="13418"/>
    <n v="313"/>
    <d v="2024-06-05T00:00:00"/>
    <s v="June"/>
    <n v="2024"/>
    <x v="17"/>
    <n v="132"/>
    <s v="4G"/>
  </r>
  <r>
    <n v="13419"/>
    <n v="40"/>
    <d v="2022-01-23T00:00:00"/>
    <s v="January"/>
    <n v="2022"/>
    <x v="767"/>
    <n v="29"/>
    <s v="4G"/>
  </r>
  <r>
    <n v="13420"/>
    <n v="237"/>
    <d v="2022-06-04T00:00:00"/>
    <s v="June"/>
    <n v="2022"/>
    <x v="21"/>
    <n v="254"/>
    <s v="4G"/>
  </r>
  <r>
    <n v="13421"/>
    <n v="443"/>
    <d v="2022-07-05T00:00:00"/>
    <s v="July"/>
    <n v="2022"/>
    <x v="186"/>
    <n v="142"/>
    <s v="5G"/>
  </r>
  <r>
    <n v="13422"/>
    <n v="386"/>
    <d v="2022-09-06T00:00:00"/>
    <s v="September"/>
    <n v="2022"/>
    <x v="489"/>
    <n v="102"/>
    <s v="4G"/>
  </r>
  <r>
    <n v="13423"/>
    <n v="94"/>
    <d v="2024-01-19T00:00:00"/>
    <s v="January"/>
    <n v="2024"/>
    <x v="41"/>
    <n v="73"/>
    <s v="4G"/>
  </r>
  <r>
    <n v="13424"/>
    <n v="222"/>
    <d v="2024-03-15T00:00:00"/>
    <s v="March"/>
    <n v="2024"/>
    <x v="129"/>
    <n v="54"/>
    <s v="4G"/>
  </r>
  <r>
    <n v="13425"/>
    <n v="204"/>
    <d v="2022-05-14T00:00:00"/>
    <s v="May"/>
    <n v="2022"/>
    <x v="121"/>
    <n v="235"/>
    <s v="4G"/>
  </r>
  <r>
    <n v="13426"/>
    <n v="138"/>
    <d v="2022-11-17T00:00:00"/>
    <s v="November"/>
    <n v="2022"/>
    <x v="402"/>
    <n v="59"/>
    <s v="4G"/>
  </r>
  <r>
    <n v="13427"/>
    <n v="300"/>
    <d v="2023-01-25T00:00:00"/>
    <s v="January"/>
    <n v="2023"/>
    <x v="94"/>
    <n v="23"/>
    <s v="4G"/>
  </r>
  <r>
    <n v="13428"/>
    <n v="395"/>
    <d v="2023-03-10T00:00:00"/>
    <s v="March"/>
    <n v="2023"/>
    <x v="169"/>
    <n v="21"/>
    <s v="4G"/>
  </r>
  <r>
    <n v="13429"/>
    <n v="207"/>
    <d v="2022-01-22T00:00:00"/>
    <s v="January"/>
    <n v="2022"/>
    <x v="500"/>
    <n v="31"/>
    <s v="4G"/>
  </r>
  <r>
    <n v="13430"/>
    <n v="336"/>
    <d v="2024-05-22T00:00:00"/>
    <s v="May"/>
    <n v="2024"/>
    <x v="128"/>
    <n v="2"/>
    <s v="5G"/>
  </r>
  <r>
    <n v="13431"/>
    <n v="81"/>
    <d v="2023-08-23T00:00:00"/>
    <s v="August"/>
    <n v="2023"/>
    <x v="447"/>
    <n v="69"/>
    <s v="5G"/>
  </r>
  <r>
    <n v="13432"/>
    <n v="218"/>
    <d v="2023-10-27T00:00:00"/>
    <s v="October"/>
    <n v="2023"/>
    <x v="757"/>
    <n v="159"/>
    <s v="5G"/>
  </r>
  <r>
    <n v="13433"/>
    <n v="2"/>
    <d v="2022-05-05T00:00:00"/>
    <s v="May"/>
    <n v="2022"/>
    <x v="132"/>
    <n v="87"/>
    <s v="5G"/>
  </r>
  <r>
    <n v="13434"/>
    <n v="178"/>
    <d v="2022-03-20T00:00:00"/>
    <s v="March"/>
    <n v="2022"/>
    <x v="12"/>
    <n v="58"/>
    <s v="4G"/>
  </r>
  <r>
    <n v="13435"/>
    <n v="396"/>
    <d v="2024-05-07T00:00:00"/>
    <s v="May"/>
    <n v="2024"/>
    <x v="310"/>
    <n v="251"/>
    <s v="4G"/>
  </r>
  <r>
    <n v="13436"/>
    <n v="371"/>
    <d v="2022-02-20T00:00:00"/>
    <s v="February"/>
    <n v="2022"/>
    <x v="573"/>
    <n v="218"/>
    <s v="5G"/>
  </r>
  <r>
    <n v="13437"/>
    <n v="346"/>
    <d v="2023-12-29T00:00:00"/>
    <s v="December"/>
    <n v="2023"/>
    <x v="474"/>
    <n v="200"/>
    <s v="4G"/>
  </r>
  <r>
    <n v="13438"/>
    <n v="279"/>
    <d v="2022-06-25T00:00:00"/>
    <s v="June"/>
    <n v="2022"/>
    <x v="395"/>
    <n v="76"/>
    <s v="4G"/>
  </r>
  <r>
    <n v="13439"/>
    <n v="146"/>
    <d v="2024-05-19T00:00:00"/>
    <s v="May"/>
    <n v="2024"/>
    <x v="173"/>
    <n v="254"/>
    <s v="4G"/>
  </r>
  <r>
    <n v="13440"/>
    <n v="318"/>
    <d v="2022-09-10T00:00:00"/>
    <s v="September"/>
    <n v="2022"/>
    <x v="194"/>
    <n v="246"/>
    <s v="4G"/>
  </r>
  <r>
    <n v="13441"/>
    <n v="224"/>
    <d v="2022-09-03T00:00:00"/>
    <s v="September"/>
    <n v="2022"/>
    <x v="787"/>
    <n v="269"/>
    <s v="4G"/>
  </r>
  <r>
    <n v="13442"/>
    <n v="369"/>
    <d v="2024-01-09T00:00:00"/>
    <s v="January"/>
    <n v="2024"/>
    <x v="261"/>
    <n v="138"/>
    <s v="4G"/>
  </r>
  <r>
    <n v="13443"/>
    <n v="384"/>
    <d v="2022-04-16T00:00:00"/>
    <s v="April"/>
    <n v="2022"/>
    <x v="542"/>
    <n v="77"/>
    <s v="4G"/>
  </r>
  <r>
    <n v="13444"/>
    <n v="62"/>
    <d v="2022-07-12T00:00:00"/>
    <s v="July"/>
    <n v="2022"/>
    <x v="507"/>
    <n v="79"/>
    <s v="5G"/>
  </r>
  <r>
    <n v="13445"/>
    <n v="294"/>
    <d v="2022-11-12T00:00:00"/>
    <s v="November"/>
    <n v="2022"/>
    <x v="457"/>
    <n v="9"/>
    <s v="4G"/>
  </r>
  <r>
    <n v="13446"/>
    <n v="239"/>
    <d v="2022-10-29T00:00:00"/>
    <s v="October"/>
    <n v="2022"/>
    <x v="342"/>
    <n v="123"/>
    <s v="5G"/>
  </r>
  <r>
    <n v="13447"/>
    <n v="195"/>
    <d v="2023-07-02T00:00:00"/>
    <s v="July"/>
    <n v="2023"/>
    <x v="681"/>
    <n v="185"/>
    <s v="4G"/>
  </r>
  <r>
    <n v="13448"/>
    <n v="166"/>
    <d v="2023-12-17T00:00:00"/>
    <s v="December"/>
    <n v="2023"/>
    <x v="386"/>
    <n v="33"/>
    <s v="4G"/>
  </r>
  <r>
    <n v="13449"/>
    <n v="451"/>
    <d v="2024-02-18T00:00:00"/>
    <s v="February"/>
    <n v="2024"/>
    <x v="351"/>
    <n v="120"/>
    <s v="4G"/>
  </r>
  <r>
    <n v="13450"/>
    <n v="222"/>
    <d v="2022-09-25T00:00:00"/>
    <s v="September"/>
    <n v="2022"/>
    <x v="457"/>
    <n v="79"/>
    <s v="4G"/>
  </r>
  <r>
    <n v="13451"/>
    <n v="61"/>
    <d v="2022-06-19T00:00:00"/>
    <s v="June"/>
    <n v="2022"/>
    <x v="116"/>
    <n v="205"/>
    <s v="4G"/>
  </r>
  <r>
    <n v="13452"/>
    <n v="129"/>
    <d v="2023-07-05T00:00:00"/>
    <s v="July"/>
    <n v="2023"/>
    <x v="420"/>
    <n v="52"/>
    <s v="4G"/>
  </r>
  <r>
    <n v="13453"/>
    <n v="478"/>
    <d v="2023-03-31T00:00:00"/>
    <s v="March"/>
    <n v="2023"/>
    <x v="556"/>
    <n v="155"/>
    <s v="5G"/>
  </r>
  <r>
    <n v="13454"/>
    <n v="173"/>
    <d v="2023-10-13T00:00:00"/>
    <s v="October"/>
    <n v="2023"/>
    <x v="398"/>
    <n v="273"/>
    <s v="5G"/>
  </r>
  <r>
    <n v="13455"/>
    <n v="480"/>
    <d v="2022-10-19T00:00:00"/>
    <s v="October"/>
    <n v="2022"/>
    <x v="273"/>
    <n v="134"/>
    <s v="4G"/>
  </r>
  <r>
    <n v="13456"/>
    <n v="156"/>
    <d v="2023-07-18T00:00:00"/>
    <s v="July"/>
    <n v="2023"/>
    <x v="341"/>
    <n v="97"/>
    <s v="4G"/>
  </r>
  <r>
    <n v="13457"/>
    <n v="405"/>
    <d v="2024-03-09T00:00:00"/>
    <s v="March"/>
    <n v="2024"/>
    <x v="692"/>
    <n v="240"/>
    <s v="4G"/>
  </r>
  <r>
    <n v="13458"/>
    <n v="378"/>
    <d v="2024-03-11T00:00:00"/>
    <s v="March"/>
    <n v="2024"/>
    <x v="98"/>
    <n v="44"/>
    <s v="4G"/>
  </r>
  <r>
    <n v="13459"/>
    <n v="110"/>
    <d v="2022-05-21T00:00:00"/>
    <s v="May"/>
    <n v="2022"/>
    <x v="22"/>
    <n v="198"/>
    <s v="4G"/>
  </r>
  <r>
    <n v="13460"/>
    <n v="269"/>
    <d v="2022-05-26T00:00:00"/>
    <s v="May"/>
    <n v="2022"/>
    <x v="373"/>
    <n v="290"/>
    <s v="5G"/>
  </r>
  <r>
    <n v="13461"/>
    <n v="411"/>
    <d v="2023-03-01T00:00:00"/>
    <s v="March"/>
    <n v="2023"/>
    <x v="398"/>
    <n v="113"/>
    <s v="4G"/>
  </r>
  <r>
    <n v="13462"/>
    <n v="356"/>
    <d v="2022-11-10T00:00:00"/>
    <s v="November"/>
    <n v="2022"/>
    <x v="14"/>
    <n v="276"/>
    <s v="5G"/>
  </r>
  <r>
    <n v="13463"/>
    <n v="391"/>
    <d v="2022-07-03T00:00:00"/>
    <s v="July"/>
    <n v="2022"/>
    <x v="177"/>
    <n v="240"/>
    <s v="4G"/>
  </r>
  <r>
    <n v="13464"/>
    <n v="278"/>
    <d v="2023-10-26T00:00:00"/>
    <s v="October"/>
    <n v="2023"/>
    <x v="152"/>
    <n v="155"/>
    <s v="5G"/>
  </r>
  <r>
    <n v="13465"/>
    <n v="74"/>
    <d v="2023-12-14T00:00:00"/>
    <s v="December"/>
    <n v="2023"/>
    <x v="110"/>
    <n v="43"/>
    <s v="4G"/>
  </r>
  <r>
    <n v="13466"/>
    <n v="487"/>
    <d v="2022-05-08T00:00:00"/>
    <s v="May"/>
    <n v="2022"/>
    <x v="10"/>
    <n v="79"/>
    <s v="5G"/>
  </r>
  <r>
    <n v="13467"/>
    <n v="437"/>
    <d v="2022-10-14T00:00:00"/>
    <s v="October"/>
    <n v="2022"/>
    <x v="628"/>
    <n v="137"/>
    <s v="5G"/>
  </r>
  <r>
    <n v="13468"/>
    <n v="463"/>
    <d v="2024-04-02T00:00:00"/>
    <s v="April"/>
    <n v="2024"/>
    <x v="170"/>
    <n v="150"/>
    <s v="4G"/>
  </r>
  <r>
    <n v="13469"/>
    <n v="207"/>
    <d v="2022-09-10T00:00:00"/>
    <s v="September"/>
    <n v="2022"/>
    <x v="682"/>
    <n v="241"/>
    <s v="4G"/>
  </r>
  <r>
    <n v="13470"/>
    <n v="388"/>
    <d v="2024-02-17T00:00:00"/>
    <s v="February"/>
    <n v="2024"/>
    <x v="293"/>
    <n v="142"/>
    <s v="5G"/>
  </r>
  <r>
    <n v="13471"/>
    <n v="480"/>
    <d v="2023-12-01T00:00:00"/>
    <s v="December"/>
    <n v="2023"/>
    <x v="425"/>
    <n v="298"/>
    <s v="5G"/>
  </r>
  <r>
    <n v="13472"/>
    <n v="279"/>
    <d v="2023-01-21T00:00:00"/>
    <s v="January"/>
    <n v="2023"/>
    <x v="788"/>
    <n v="49"/>
    <s v="4G"/>
  </r>
  <r>
    <n v="13473"/>
    <n v="375"/>
    <d v="2022-08-18T00:00:00"/>
    <s v="August"/>
    <n v="2022"/>
    <x v="36"/>
    <n v="261"/>
    <s v="4G"/>
  </r>
  <r>
    <n v="13474"/>
    <n v="326"/>
    <d v="2022-09-28T00:00:00"/>
    <s v="September"/>
    <n v="2022"/>
    <x v="275"/>
    <n v="160"/>
    <s v="4G"/>
  </r>
  <r>
    <n v="13475"/>
    <n v="472"/>
    <d v="2024-02-10T00:00:00"/>
    <s v="February"/>
    <n v="2024"/>
    <x v="64"/>
    <n v="61"/>
    <s v="4G"/>
  </r>
  <r>
    <n v="13476"/>
    <n v="340"/>
    <d v="2024-03-21T00:00:00"/>
    <s v="March"/>
    <n v="2024"/>
    <x v="331"/>
    <n v="54"/>
    <s v="4G"/>
  </r>
  <r>
    <n v="13477"/>
    <n v="357"/>
    <d v="2023-02-19T00:00:00"/>
    <s v="February"/>
    <n v="2023"/>
    <x v="458"/>
    <n v="30"/>
    <s v="4G"/>
  </r>
  <r>
    <n v="13478"/>
    <n v="340"/>
    <d v="2022-07-17T00:00:00"/>
    <s v="July"/>
    <n v="2022"/>
    <x v="654"/>
    <n v="289"/>
    <s v="4G"/>
  </r>
  <r>
    <n v="13479"/>
    <n v="204"/>
    <d v="2022-11-19T00:00:00"/>
    <s v="November"/>
    <n v="2022"/>
    <x v="380"/>
    <n v="168"/>
    <s v="5G"/>
  </r>
  <r>
    <n v="13480"/>
    <n v="161"/>
    <d v="2022-02-25T00:00:00"/>
    <s v="February"/>
    <n v="2022"/>
    <x v="322"/>
    <n v="265"/>
    <s v="5G"/>
  </r>
  <r>
    <n v="13481"/>
    <n v="28"/>
    <d v="2024-04-10T00:00:00"/>
    <s v="April"/>
    <n v="2024"/>
    <x v="189"/>
    <n v="184"/>
    <s v="4G"/>
  </r>
  <r>
    <n v="13482"/>
    <n v="392"/>
    <d v="2022-07-22T00:00:00"/>
    <s v="July"/>
    <n v="2022"/>
    <x v="582"/>
    <n v="2"/>
    <s v="5G"/>
  </r>
  <r>
    <n v="13483"/>
    <n v="257"/>
    <d v="2024-02-22T00:00:00"/>
    <s v="February"/>
    <n v="2024"/>
    <x v="78"/>
    <n v="160"/>
    <s v="4G"/>
  </r>
  <r>
    <n v="13484"/>
    <n v="165"/>
    <d v="2023-09-13T00:00:00"/>
    <s v="September"/>
    <n v="2023"/>
    <x v="513"/>
    <n v="259"/>
    <s v="4G"/>
  </r>
  <r>
    <n v="13485"/>
    <n v="63"/>
    <d v="2023-09-20T00:00:00"/>
    <s v="September"/>
    <n v="2023"/>
    <x v="7"/>
    <n v="47"/>
    <s v="5G"/>
  </r>
  <r>
    <n v="13486"/>
    <n v="22"/>
    <d v="2023-08-27T00:00:00"/>
    <s v="August"/>
    <n v="2023"/>
    <x v="143"/>
    <n v="253"/>
    <s v="4G"/>
  </r>
  <r>
    <n v="13487"/>
    <n v="70"/>
    <d v="2022-05-18T00:00:00"/>
    <s v="May"/>
    <n v="2022"/>
    <x v="236"/>
    <n v="73"/>
    <s v="4G"/>
  </r>
  <r>
    <n v="13488"/>
    <n v="381"/>
    <d v="2023-02-26T00:00:00"/>
    <s v="February"/>
    <n v="2023"/>
    <x v="171"/>
    <n v="165"/>
    <s v="4G"/>
  </r>
  <r>
    <n v="13489"/>
    <n v="405"/>
    <d v="2024-03-25T00:00:00"/>
    <s v="March"/>
    <n v="2024"/>
    <x v="271"/>
    <n v="259"/>
    <s v="4G"/>
  </r>
  <r>
    <n v="13490"/>
    <n v="96"/>
    <d v="2022-02-26T00:00:00"/>
    <s v="February"/>
    <n v="2022"/>
    <x v="146"/>
    <n v="3"/>
    <s v="5G"/>
  </r>
  <r>
    <n v="13491"/>
    <n v="163"/>
    <d v="2023-07-16T00:00:00"/>
    <s v="July"/>
    <n v="2023"/>
    <x v="472"/>
    <n v="118"/>
    <s v="5G"/>
  </r>
  <r>
    <n v="13492"/>
    <n v="79"/>
    <d v="2022-03-12T00:00:00"/>
    <s v="March"/>
    <n v="2022"/>
    <x v="91"/>
    <n v="272"/>
    <s v="5G"/>
  </r>
  <r>
    <n v="13493"/>
    <n v="5"/>
    <d v="2023-08-17T00:00:00"/>
    <s v="August"/>
    <n v="2023"/>
    <x v="388"/>
    <n v="225"/>
    <s v="5G"/>
  </r>
  <r>
    <n v="13494"/>
    <n v="316"/>
    <d v="2023-01-07T00:00:00"/>
    <s v="January"/>
    <n v="2023"/>
    <x v="621"/>
    <n v="69"/>
    <s v="5G"/>
  </r>
  <r>
    <n v="13495"/>
    <n v="120"/>
    <d v="2023-09-09T00:00:00"/>
    <s v="September"/>
    <n v="2023"/>
    <x v="517"/>
    <n v="181"/>
    <s v="5G"/>
  </r>
  <r>
    <n v="13496"/>
    <n v="302"/>
    <d v="2023-08-23T00:00:00"/>
    <s v="August"/>
    <n v="2023"/>
    <x v="243"/>
    <n v="263"/>
    <s v="4G"/>
  </r>
  <r>
    <n v="13497"/>
    <n v="178"/>
    <d v="2023-05-29T00:00:00"/>
    <s v="May"/>
    <n v="2023"/>
    <x v="268"/>
    <n v="180"/>
    <s v="5G"/>
  </r>
  <r>
    <n v="13498"/>
    <n v="176"/>
    <d v="2024-05-21T00:00:00"/>
    <s v="May"/>
    <n v="2024"/>
    <x v="333"/>
    <n v="4"/>
    <s v="4G"/>
  </r>
  <r>
    <n v="13499"/>
    <n v="390"/>
    <d v="2022-03-25T00:00:00"/>
    <s v="March"/>
    <n v="2022"/>
    <x v="210"/>
    <n v="196"/>
    <s v="5G"/>
  </r>
  <r>
    <n v="13500"/>
    <n v="217"/>
    <d v="2022-02-12T00:00:00"/>
    <s v="February"/>
    <n v="2022"/>
    <x v="396"/>
    <n v="46"/>
    <s v="4G"/>
  </r>
  <r>
    <n v="13501"/>
    <n v="56"/>
    <d v="2023-10-28T00:00:00"/>
    <s v="October"/>
    <n v="2023"/>
    <x v="354"/>
    <n v="39"/>
    <s v="5G"/>
  </r>
  <r>
    <n v="13502"/>
    <n v="366"/>
    <d v="2024-04-18T00:00:00"/>
    <s v="April"/>
    <n v="2024"/>
    <x v="12"/>
    <n v="121"/>
    <s v="5G"/>
  </r>
  <r>
    <n v="13503"/>
    <n v="187"/>
    <d v="2023-08-29T00:00:00"/>
    <s v="August"/>
    <n v="2023"/>
    <x v="85"/>
    <n v="134"/>
    <s v="5G"/>
  </r>
  <r>
    <n v="13504"/>
    <n v="232"/>
    <d v="2024-03-20T00:00:00"/>
    <s v="March"/>
    <n v="2024"/>
    <x v="624"/>
    <n v="139"/>
    <s v="5G"/>
  </r>
  <r>
    <n v="13505"/>
    <n v="255"/>
    <d v="2022-05-13T00:00:00"/>
    <s v="May"/>
    <n v="2022"/>
    <x v="205"/>
    <n v="152"/>
    <s v="4G"/>
  </r>
  <r>
    <n v="13506"/>
    <n v="413"/>
    <d v="2023-01-30T00:00:00"/>
    <s v="January"/>
    <n v="2023"/>
    <x v="374"/>
    <n v="27"/>
    <s v="4G"/>
  </r>
  <r>
    <n v="13507"/>
    <n v="455"/>
    <d v="2022-03-06T00:00:00"/>
    <s v="March"/>
    <n v="2022"/>
    <x v="379"/>
    <n v="76"/>
    <s v="4G"/>
  </r>
  <r>
    <n v="13508"/>
    <n v="104"/>
    <d v="2022-10-17T00:00:00"/>
    <s v="October"/>
    <n v="2022"/>
    <x v="254"/>
    <n v="174"/>
    <s v="4G"/>
  </r>
  <r>
    <n v="13509"/>
    <n v="77"/>
    <d v="2023-01-11T00:00:00"/>
    <s v="January"/>
    <n v="2023"/>
    <x v="46"/>
    <n v="48"/>
    <s v="4G"/>
  </r>
  <r>
    <n v="13510"/>
    <n v="230"/>
    <d v="2024-02-08T00:00:00"/>
    <s v="February"/>
    <n v="2024"/>
    <x v="135"/>
    <n v="273"/>
    <s v="4G"/>
  </r>
  <r>
    <n v="13511"/>
    <n v="402"/>
    <d v="2023-04-12T00:00:00"/>
    <s v="April"/>
    <n v="2023"/>
    <x v="462"/>
    <n v="26"/>
    <s v="4G"/>
  </r>
  <r>
    <n v="13512"/>
    <n v="258"/>
    <d v="2024-06-16T00:00:00"/>
    <s v="June"/>
    <n v="2024"/>
    <x v="355"/>
    <n v="220"/>
    <s v="5G"/>
  </r>
  <r>
    <n v="13513"/>
    <n v="264"/>
    <d v="2022-08-01T00:00:00"/>
    <s v="August"/>
    <n v="2022"/>
    <x v="279"/>
    <n v="121"/>
    <s v="5G"/>
  </r>
  <r>
    <n v="13514"/>
    <n v="331"/>
    <d v="2022-05-28T00:00:00"/>
    <s v="May"/>
    <n v="2022"/>
    <x v="244"/>
    <n v="68"/>
    <s v="4G"/>
  </r>
  <r>
    <n v="13515"/>
    <n v="481"/>
    <d v="2023-07-27T00:00:00"/>
    <s v="July"/>
    <n v="2023"/>
    <x v="390"/>
    <n v="70"/>
    <s v="4G"/>
  </r>
  <r>
    <n v="13516"/>
    <n v="182"/>
    <d v="2023-04-16T00:00:00"/>
    <s v="April"/>
    <n v="2023"/>
    <x v="306"/>
    <n v="149"/>
    <s v="4G"/>
  </r>
  <r>
    <n v="13517"/>
    <n v="381"/>
    <d v="2022-05-29T00:00:00"/>
    <s v="May"/>
    <n v="2022"/>
    <x v="109"/>
    <n v="186"/>
    <s v="4G"/>
  </r>
  <r>
    <n v="13518"/>
    <n v="256"/>
    <d v="2022-03-29T00:00:00"/>
    <s v="March"/>
    <n v="2022"/>
    <x v="217"/>
    <n v="245"/>
    <s v="4G"/>
  </r>
  <r>
    <n v="13519"/>
    <n v="38"/>
    <d v="2022-11-20T00:00:00"/>
    <s v="November"/>
    <n v="2022"/>
    <x v="776"/>
    <n v="195"/>
    <s v="4G"/>
  </r>
  <r>
    <n v="13520"/>
    <n v="176"/>
    <d v="2024-06-13T00:00:00"/>
    <s v="June"/>
    <n v="2024"/>
    <x v="307"/>
    <n v="31"/>
    <s v="4G"/>
  </r>
  <r>
    <n v="13521"/>
    <n v="27"/>
    <d v="2023-01-31T00:00:00"/>
    <s v="January"/>
    <n v="2023"/>
    <x v="215"/>
    <n v="108"/>
    <s v="4G"/>
  </r>
  <r>
    <n v="13522"/>
    <n v="276"/>
    <d v="2024-02-29T00:00:00"/>
    <s v="February"/>
    <n v="2024"/>
    <x v="170"/>
    <n v="0"/>
    <s v="4G"/>
  </r>
  <r>
    <n v="13523"/>
    <n v="140"/>
    <d v="2023-02-08T00:00:00"/>
    <s v="February"/>
    <n v="2023"/>
    <x v="16"/>
    <n v="181"/>
    <s v="4G"/>
  </r>
  <r>
    <n v="13524"/>
    <n v="299"/>
    <d v="2022-03-23T00:00:00"/>
    <s v="March"/>
    <n v="2022"/>
    <x v="711"/>
    <n v="173"/>
    <s v="5G"/>
  </r>
  <r>
    <n v="13525"/>
    <n v="445"/>
    <d v="2023-10-03T00:00:00"/>
    <s v="October"/>
    <n v="2023"/>
    <x v="246"/>
    <n v="168"/>
    <s v="5G"/>
  </r>
  <r>
    <n v="13526"/>
    <n v="287"/>
    <d v="2022-10-13T00:00:00"/>
    <s v="October"/>
    <n v="2022"/>
    <x v="652"/>
    <n v="247"/>
    <s v="4G"/>
  </r>
  <r>
    <n v="13527"/>
    <n v="91"/>
    <d v="2023-01-17T00:00:00"/>
    <s v="January"/>
    <n v="2023"/>
    <x v="52"/>
    <n v="107"/>
    <s v="4G"/>
  </r>
  <r>
    <n v="13528"/>
    <n v="480"/>
    <d v="2024-05-14T00:00:00"/>
    <s v="May"/>
    <n v="2024"/>
    <x v="12"/>
    <n v="296"/>
    <s v="4G"/>
  </r>
  <r>
    <n v="13529"/>
    <n v="61"/>
    <d v="2024-03-02T00:00:00"/>
    <s v="March"/>
    <n v="2024"/>
    <x v="420"/>
    <n v="263"/>
    <s v="4G"/>
  </r>
  <r>
    <n v="13530"/>
    <n v="458"/>
    <d v="2022-09-27T00:00:00"/>
    <s v="September"/>
    <n v="2022"/>
    <x v="209"/>
    <n v="29"/>
    <s v="4G"/>
  </r>
  <r>
    <n v="13531"/>
    <n v="451"/>
    <d v="2022-10-19T00:00:00"/>
    <s v="October"/>
    <n v="2022"/>
    <x v="517"/>
    <n v="224"/>
    <s v="4G"/>
  </r>
  <r>
    <n v="13532"/>
    <n v="365"/>
    <d v="2023-03-29T00:00:00"/>
    <s v="March"/>
    <n v="2023"/>
    <x v="407"/>
    <n v="88"/>
    <s v="4G"/>
  </r>
  <r>
    <n v="13533"/>
    <n v="347"/>
    <d v="2023-12-16T00:00:00"/>
    <s v="December"/>
    <n v="2023"/>
    <x v="329"/>
    <n v="233"/>
    <s v="4G"/>
  </r>
  <r>
    <n v="13534"/>
    <n v="163"/>
    <d v="2022-01-24T00:00:00"/>
    <s v="January"/>
    <n v="2022"/>
    <x v="116"/>
    <n v="167"/>
    <s v="5G"/>
  </r>
  <r>
    <n v="13535"/>
    <n v="351"/>
    <d v="2024-05-12T00:00:00"/>
    <s v="May"/>
    <n v="2024"/>
    <x v="132"/>
    <n v="230"/>
    <s v="4G"/>
  </r>
  <r>
    <n v="13536"/>
    <n v="143"/>
    <d v="2022-11-07T00:00:00"/>
    <s v="November"/>
    <n v="2022"/>
    <x v="446"/>
    <n v="125"/>
    <s v="4G"/>
  </r>
  <r>
    <n v="13537"/>
    <n v="400"/>
    <d v="2023-04-06T00:00:00"/>
    <s v="April"/>
    <n v="2023"/>
    <x v="144"/>
    <n v="60"/>
    <s v="4G"/>
  </r>
  <r>
    <n v="13538"/>
    <n v="253"/>
    <d v="2022-07-27T00:00:00"/>
    <s v="July"/>
    <n v="2022"/>
    <x v="237"/>
    <n v="119"/>
    <s v="4G"/>
  </r>
  <r>
    <n v="13539"/>
    <n v="269"/>
    <d v="2024-03-02T00:00:00"/>
    <s v="March"/>
    <n v="2024"/>
    <x v="198"/>
    <n v="189"/>
    <s v="5G"/>
  </r>
  <r>
    <n v="13540"/>
    <n v="369"/>
    <d v="2023-12-18T00:00:00"/>
    <s v="December"/>
    <n v="2023"/>
    <x v="152"/>
    <n v="120"/>
    <s v="4G"/>
  </r>
  <r>
    <n v="13541"/>
    <n v="291"/>
    <d v="2023-10-26T00:00:00"/>
    <s v="October"/>
    <n v="2023"/>
    <x v="326"/>
    <n v="47"/>
    <s v="4G"/>
  </r>
  <r>
    <n v="13542"/>
    <n v="500"/>
    <d v="2023-03-14T00:00:00"/>
    <s v="March"/>
    <n v="2023"/>
    <x v="93"/>
    <n v="201"/>
    <s v="4G"/>
  </r>
  <r>
    <n v="13543"/>
    <n v="459"/>
    <d v="2023-06-22T00:00:00"/>
    <s v="June"/>
    <n v="2023"/>
    <x v="762"/>
    <n v="58"/>
    <s v="4G"/>
  </r>
  <r>
    <n v="13544"/>
    <n v="187"/>
    <d v="2023-12-07T00:00:00"/>
    <s v="December"/>
    <n v="2023"/>
    <x v="789"/>
    <n v="184"/>
    <s v="4G"/>
  </r>
  <r>
    <n v="13545"/>
    <n v="405"/>
    <d v="2022-12-02T00:00:00"/>
    <s v="December"/>
    <n v="2022"/>
    <x v="382"/>
    <n v="222"/>
    <s v="4G"/>
  </r>
  <r>
    <n v="13546"/>
    <n v="499"/>
    <d v="2023-02-26T00:00:00"/>
    <s v="February"/>
    <n v="2023"/>
    <x v="118"/>
    <n v="10"/>
    <s v="5G"/>
  </r>
  <r>
    <n v="13547"/>
    <n v="438"/>
    <d v="2024-01-20T00:00:00"/>
    <s v="January"/>
    <n v="2024"/>
    <x v="752"/>
    <n v="280"/>
    <s v="4G"/>
  </r>
  <r>
    <n v="13548"/>
    <n v="459"/>
    <d v="2022-11-17T00:00:00"/>
    <s v="November"/>
    <n v="2022"/>
    <x v="137"/>
    <n v="188"/>
    <s v="4G"/>
  </r>
  <r>
    <n v="13549"/>
    <n v="414"/>
    <d v="2023-05-12T00:00:00"/>
    <s v="May"/>
    <n v="2023"/>
    <x v="498"/>
    <n v="236"/>
    <s v="4G"/>
  </r>
  <r>
    <n v="13550"/>
    <n v="304"/>
    <d v="2023-08-10T00:00:00"/>
    <s v="August"/>
    <n v="2023"/>
    <x v="216"/>
    <n v="33"/>
    <s v="5G"/>
  </r>
  <r>
    <n v="13551"/>
    <n v="291"/>
    <d v="2022-06-12T00:00:00"/>
    <s v="June"/>
    <n v="2022"/>
    <x v="93"/>
    <n v="134"/>
    <s v="5G"/>
  </r>
  <r>
    <n v="13552"/>
    <n v="86"/>
    <d v="2024-03-21T00:00:00"/>
    <s v="March"/>
    <n v="2024"/>
    <x v="640"/>
    <n v="61"/>
    <s v="5G"/>
  </r>
  <r>
    <n v="13553"/>
    <n v="166"/>
    <d v="2023-06-25T00:00:00"/>
    <s v="June"/>
    <n v="2023"/>
    <x v="378"/>
    <n v="226"/>
    <s v="5G"/>
  </r>
  <r>
    <n v="13554"/>
    <n v="415"/>
    <d v="2022-06-14T00:00:00"/>
    <s v="June"/>
    <n v="2022"/>
    <x v="117"/>
    <n v="92"/>
    <s v="5G"/>
  </r>
  <r>
    <n v="13555"/>
    <n v="462"/>
    <d v="2024-04-28T00:00:00"/>
    <s v="April"/>
    <n v="2024"/>
    <x v="790"/>
    <n v="115"/>
    <s v="4G"/>
  </r>
  <r>
    <n v="13556"/>
    <n v="408"/>
    <d v="2023-11-29T00:00:00"/>
    <s v="November"/>
    <n v="2023"/>
    <x v="82"/>
    <n v="132"/>
    <s v="5G"/>
  </r>
  <r>
    <n v="13557"/>
    <n v="114"/>
    <d v="2023-07-20T00:00:00"/>
    <s v="July"/>
    <n v="2023"/>
    <x v="206"/>
    <n v="292"/>
    <s v="5G"/>
  </r>
  <r>
    <n v="13558"/>
    <n v="433"/>
    <d v="2022-10-22T00:00:00"/>
    <s v="October"/>
    <n v="2022"/>
    <x v="84"/>
    <n v="192"/>
    <s v="4G"/>
  </r>
  <r>
    <n v="13559"/>
    <n v="480"/>
    <d v="2022-02-11T00:00:00"/>
    <s v="February"/>
    <n v="2022"/>
    <x v="106"/>
    <n v="29"/>
    <s v="4G"/>
  </r>
  <r>
    <n v="13560"/>
    <n v="356"/>
    <d v="2022-10-12T00:00:00"/>
    <s v="October"/>
    <n v="2022"/>
    <x v="791"/>
    <n v="297"/>
    <s v="5G"/>
  </r>
  <r>
    <n v="13561"/>
    <n v="416"/>
    <d v="2023-01-22T00:00:00"/>
    <s v="January"/>
    <n v="2023"/>
    <x v="22"/>
    <n v="60"/>
    <s v="5G"/>
  </r>
  <r>
    <n v="13562"/>
    <n v="183"/>
    <d v="2022-05-18T00:00:00"/>
    <s v="May"/>
    <n v="2022"/>
    <x v="0"/>
    <n v="27"/>
    <s v="5G"/>
  </r>
  <r>
    <n v="13563"/>
    <n v="207"/>
    <d v="2022-07-06T00:00:00"/>
    <s v="July"/>
    <n v="2022"/>
    <x v="330"/>
    <n v="76"/>
    <s v="5G"/>
  </r>
  <r>
    <n v="13564"/>
    <n v="256"/>
    <d v="2023-12-17T00:00:00"/>
    <s v="December"/>
    <n v="2023"/>
    <x v="122"/>
    <n v="120"/>
    <s v="5G"/>
  </r>
  <r>
    <n v="13565"/>
    <n v="235"/>
    <d v="2023-03-07T00:00:00"/>
    <s v="March"/>
    <n v="2023"/>
    <x v="29"/>
    <n v="2"/>
    <s v="4G"/>
  </r>
  <r>
    <n v="13566"/>
    <n v="442"/>
    <d v="2023-07-08T00:00:00"/>
    <s v="July"/>
    <n v="2023"/>
    <x v="60"/>
    <n v="36"/>
    <s v="4G"/>
  </r>
  <r>
    <n v="13567"/>
    <n v="355"/>
    <d v="2024-05-11T00:00:00"/>
    <s v="May"/>
    <n v="2024"/>
    <x v="178"/>
    <n v="146"/>
    <s v="4G"/>
  </r>
  <r>
    <n v="13568"/>
    <n v="3"/>
    <d v="2023-02-20T00:00:00"/>
    <s v="February"/>
    <n v="2023"/>
    <x v="792"/>
    <n v="91"/>
    <s v="4G"/>
  </r>
  <r>
    <n v="13569"/>
    <n v="208"/>
    <d v="2024-03-10T00:00:00"/>
    <s v="March"/>
    <n v="2024"/>
    <x v="20"/>
    <n v="272"/>
    <s v="4G"/>
  </r>
  <r>
    <n v="13570"/>
    <n v="197"/>
    <d v="2023-03-02T00:00:00"/>
    <s v="March"/>
    <n v="2023"/>
    <x v="169"/>
    <n v="86"/>
    <s v="4G"/>
  </r>
  <r>
    <n v="13571"/>
    <n v="341"/>
    <d v="2023-02-20T00:00:00"/>
    <s v="February"/>
    <n v="2023"/>
    <x v="266"/>
    <n v="39"/>
    <s v="4G"/>
  </r>
  <r>
    <n v="13572"/>
    <n v="125"/>
    <d v="2022-01-26T00:00:00"/>
    <s v="January"/>
    <n v="2022"/>
    <x v="572"/>
    <n v="177"/>
    <s v="5G"/>
  </r>
  <r>
    <n v="13573"/>
    <n v="138"/>
    <d v="2023-01-06T00:00:00"/>
    <s v="January"/>
    <n v="2023"/>
    <x v="523"/>
    <n v="284"/>
    <s v="4G"/>
  </r>
  <r>
    <n v="13574"/>
    <n v="339"/>
    <d v="2023-01-20T00:00:00"/>
    <s v="January"/>
    <n v="2023"/>
    <x v="246"/>
    <n v="41"/>
    <s v="5G"/>
  </r>
  <r>
    <n v="13575"/>
    <n v="25"/>
    <d v="2022-02-25T00:00:00"/>
    <s v="February"/>
    <n v="2022"/>
    <x v="542"/>
    <n v="284"/>
    <s v="5G"/>
  </r>
  <r>
    <n v="13576"/>
    <n v="68"/>
    <d v="2022-09-10T00:00:00"/>
    <s v="September"/>
    <n v="2022"/>
    <x v="300"/>
    <n v="65"/>
    <s v="4G"/>
  </r>
  <r>
    <n v="13577"/>
    <n v="61"/>
    <d v="2023-09-26T00:00:00"/>
    <s v="September"/>
    <n v="2023"/>
    <x v="273"/>
    <n v="123"/>
    <s v="4G"/>
  </r>
  <r>
    <n v="13578"/>
    <n v="29"/>
    <d v="2022-04-16T00:00:00"/>
    <s v="April"/>
    <n v="2022"/>
    <x v="161"/>
    <n v="144"/>
    <s v="5G"/>
  </r>
  <r>
    <n v="13579"/>
    <n v="383"/>
    <d v="2022-05-10T00:00:00"/>
    <s v="May"/>
    <n v="2022"/>
    <x v="158"/>
    <n v="119"/>
    <s v="5G"/>
  </r>
  <r>
    <n v="13580"/>
    <n v="19"/>
    <d v="2024-04-28T00:00:00"/>
    <s v="April"/>
    <n v="2024"/>
    <x v="7"/>
    <n v="108"/>
    <s v="4G"/>
  </r>
  <r>
    <n v="13581"/>
    <n v="171"/>
    <d v="2023-11-01T00:00:00"/>
    <s v="November"/>
    <n v="2023"/>
    <x v="500"/>
    <n v="91"/>
    <s v="4G"/>
  </r>
  <r>
    <n v="13582"/>
    <n v="450"/>
    <d v="2023-01-11T00:00:00"/>
    <s v="January"/>
    <n v="2023"/>
    <x v="793"/>
    <n v="59"/>
    <s v="4G"/>
  </r>
  <r>
    <n v="13583"/>
    <n v="74"/>
    <d v="2024-01-13T00:00:00"/>
    <s v="January"/>
    <n v="2024"/>
    <x v="599"/>
    <n v="226"/>
    <s v="4G"/>
  </r>
  <r>
    <n v="13584"/>
    <n v="61"/>
    <d v="2022-11-04T00:00:00"/>
    <s v="November"/>
    <n v="2022"/>
    <x v="11"/>
    <n v="239"/>
    <s v="4G"/>
  </r>
  <r>
    <n v="13585"/>
    <n v="427"/>
    <d v="2022-04-01T00:00:00"/>
    <s v="April"/>
    <n v="2022"/>
    <x v="555"/>
    <n v="211"/>
    <s v="4G"/>
  </r>
  <r>
    <n v="13586"/>
    <n v="153"/>
    <d v="2023-01-28T00:00:00"/>
    <s v="January"/>
    <n v="2023"/>
    <x v="194"/>
    <n v="97"/>
    <s v="4G"/>
  </r>
  <r>
    <n v="13587"/>
    <n v="276"/>
    <d v="2023-06-18T00:00:00"/>
    <s v="June"/>
    <n v="2023"/>
    <x v="135"/>
    <n v="13"/>
    <s v="5G"/>
  </r>
  <r>
    <n v="13588"/>
    <n v="48"/>
    <d v="2024-03-12T00:00:00"/>
    <s v="March"/>
    <n v="2024"/>
    <x v="597"/>
    <n v="217"/>
    <s v="4G"/>
  </r>
  <r>
    <n v="13589"/>
    <n v="211"/>
    <d v="2022-04-20T00:00:00"/>
    <s v="April"/>
    <n v="2022"/>
    <x v="94"/>
    <n v="169"/>
    <s v="5G"/>
  </r>
  <r>
    <n v="13590"/>
    <n v="343"/>
    <d v="2023-07-15T00:00:00"/>
    <s v="July"/>
    <n v="2023"/>
    <x v="6"/>
    <n v="279"/>
    <s v="5G"/>
  </r>
  <r>
    <n v="13591"/>
    <n v="408"/>
    <d v="2023-10-03T00:00:00"/>
    <s v="October"/>
    <n v="2023"/>
    <x v="569"/>
    <n v="209"/>
    <s v="5G"/>
  </r>
  <r>
    <n v="13592"/>
    <n v="139"/>
    <d v="2023-08-08T00:00:00"/>
    <s v="August"/>
    <n v="2023"/>
    <x v="139"/>
    <n v="255"/>
    <s v="4G"/>
  </r>
  <r>
    <n v="13593"/>
    <n v="110"/>
    <d v="2022-12-06T00:00:00"/>
    <s v="December"/>
    <n v="2022"/>
    <x v="233"/>
    <n v="170"/>
    <s v="4G"/>
  </r>
  <r>
    <n v="13594"/>
    <n v="482"/>
    <d v="2023-07-19T00:00:00"/>
    <s v="July"/>
    <n v="2023"/>
    <x v="178"/>
    <n v="72"/>
    <s v="5G"/>
  </r>
  <r>
    <n v="13595"/>
    <n v="183"/>
    <d v="2022-12-22T00:00:00"/>
    <s v="December"/>
    <n v="2022"/>
    <x v="127"/>
    <n v="146"/>
    <s v="5G"/>
  </r>
  <r>
    <n v="13596"/>
    <n v="28"/>
    <d v="2024-06-10T00:00:00"/>
    <s v="June"/>
    <n v="2024"/>
    <x v="730"/>
    <n v="105"/>
    <s v="4G"/>
  </r>
  <r>
    <n v="13597"/>
    <n v="197"/>
    <d v="2022-06-17T00:00:00"/>
    <s v="June"/>
    <n v="2022"/>
    <x v="17"/>
    <n v="93"/>
    <s v="4G"/>
  </r>
  <r>
    <n v="13598"/>
    <n v="191"/>
    <d v="2023-07-11T00:00:00"/>
    <s v="July"/>
    <n v="2023"/>
    <x v="794"/>
    <n v="62"/>
    <s v="5G"/>
  </r>
  <r>
    <n v="13599"/>
    <n v="315"/>
    <d v="2023-03-28T00:00:00"/>
    <s v="March"/>
    <n v="2023"/>
    <x v="795"/>
    <n v="153"/>
    <s v="4G"/>
  </r>
  <r>
    <n v="13600"/>
    <n v="389"/>
    <d v="2022-04-15T00:00:00"/>
    <s v="April"/>
    <n v="2022"/>
    <x v="365"/>
    <n v="254"/>
    <s v="4G"/>
  </r>
  <r>
    <n v="13601"/>
    <n v="51"/>
    <d v="2022-05-30T00:00:00"/>
    <s v="May"/>
    <n v="2022"/>
    <x v="104"/>
    <n v="34"/>
    <s v="5G"/>
  </r>
  <r>
    <n v="13602"/>
    <n v="149"/>
    <d v="2022-05-26T00:00:00"/>
    <s v="May"/>
    <n v="2022"/>
    <x v="247"/>
    <n v="295"/>
    <s v="4G"/>
  </r>
  <r>
    <n v="13603"/>
    <n v="268"/>
    <d v="2023-12-17T00:00:00"/>
    <s v="December"/>
    <n v="2023"/>
    <x v="796"/>
    <n v="252"/>
    <s v="4G"/>
  </r>
  <r>
    <n v="13604"/>
    <n v="50"/>
    <d v="2024-05-23T00:00:00"/>
    <s v="May"/>
    <n v="2024"/>
    <x v="59"/>
    <n v="156"/>
    <s v="5G"/>
  </r>
  <r>
    <n v="13605"/>
    <n v="388"/>
    <d v="2022-10-26T00:00:00"/>
    <s v="October"/>
    <n v="2022"/>
    <x v="90"/>
    <n v="133"/>
    <s v="4G"/>
  </r>
  <r>
    <n v="13606"/>
    <n v="246"/>
    <d v="2022-06-16T00:00:00"/>
    <s v="June"/>
    <n v="2022"/>
    <x v="592"/>
    <n v="128"/>
    <s v="4G"/>
  </r>
  <r>
    <n v="13607"/>
    <n v="113"/>
    <d v="2023-12-14T00:00:00"/>
    <s v="December"/>
    <n v="2023"/>
    <x v="389"/>
    <n v="279"/>
    <s v="4G"/>
  </r>
  <r>
    <n v="13608"/>
    <n v="170"/>
    <d v="2023-10-08T00:00:00"/>
    <s v="October"/>
    <n v="2023"/>
    <x v="377"/>
    <n v="251"/>
    <s v="4G"/>
  </r>
  <r>
    <n v="13609"/>
    <n v="468"/>
    <d v="2023-12-24T00:00:00"/>
    <s v="December"/>
    <n v="2023"/>
    <x v="15"/>
    <n v="134"/>
    <s v="5G"/>
  </r>
  <r>
    <n v="13610"/>
    <n v="166"/>
    <d v="2022-02-17T00:00:00"/>
    <s v="February"/>
    <n v="2022"/>
    <x v="299"/>
    <n v="10"/>
    <s v="4G"/>
  </r>
  <r>
    <n v="13611"/>
    <n v="409"/>
    <d v="2023-09-30T00:00:00"/>
    <s v="September"/>
    <n v="2023"/>
    <x v="177"/>
    <n v="291"/>
    <s v="4G"/>
  </r>
  <r>
    <n v="13612"/>
    <n v="14"/>
    <d v="2022-08-27T00:00:00"/>
    <s v="August"/>
    <n v="2022"/>
    <x v="192"/>
    <n v="147"/>
    <s v="4G"/>
  </r>
  <r>
    <n v="13613"/>
    <n v="203"/>
    <d v="2022-01-07T00:00:00"/>
    <s v="January"/>
    <n v="2022"/>
    <x v="372"/>
    <n v="79"/>
    <s v="4G"/>
  </r>
  <r>
    <n v="13614"/>
    <n v="288"/>
    <d v="2023-04-09T00:00:00"/>
    <s v="April"/>
    <n v="2023"/>
    <x v="222"/>
    <n v="190"/>
    <s v="4G"/>
  </r>
  <r>
    <n v="13615"/>
    <n v="395"/>
    <d v="2023-03-29T00:00:00"/>
    <s v="March"/>
    <n v="2023"/>
    <x v="759"/>
    <n v="29"/>
    <s v="4G"/>
  </r>
  <r>
    <n v="13616"/>
    <n v="189"/>
    <d v="2024-02-23T00:00:00"/>
    <s v="February"/>
    <n v="2024"/>
    <x v="357"/>
    <n v="228"/>
    <s v="4G"/>
  </r>
  <r>
    <n v="13617"/>
    <n v="402"/>
    <d v="2024-06-15T00:00:00"/>
    <s v="June"/>
    <n v="2024"/>
    <x v="278"/>
    <n v="83"/>
    <s v="4G"/>
  </r>
  <r>
    <n v="13618"/>
    <n v="155"/>
    <d v="2023-01-06T00:00:00"/>
    <s v="January"/>
    <n v="2023"/>
    <x v="259"/>
    <n v="149"/>
    <s v="4G"/>
  </r>
  <r>
    <n v="13619"/>
    <n v="55"/>
    <d v="2023-07-03T00:00:00"/>
    <s v="July"/>
    <n v="2023"/>
    <x v="185"/>
    <n v="188"/>
    <s v="5G"/>
  </r>
  <r>
    <n v="13620"/>
    <n v="182"/>
    <d v="2023-05-02T00:00:00"/>
    <s v="May"/>
    <n v="2023"/>
    <x v="86"/>
    <n v="20"/>
    <s v="4G"/>
  </r>
  <r>
    <n v="13621"/>
    <n v="210"/>
    <d v="2022-07-30T00:00:00"/>
    <s v="July"/>
    <n v="2022"/>
    <x v="278"/>
    <n v="36"/>
    <s v="4G"/>
  </r>
  <r>
    <n v="13622"/>
    <n v="376"/>
    <d v="2022-06-14T00:00:00"/>
    <s v="June"/>
    <n v="2022"/>
    <x v="402"/>
    <n v="245"/>
    <s v="4G"/>
  </r>
  <r>
    <n v="13623"/>
    <n v="471"/>
    <d v="2022-05-05T00:00:00"/>
    <s v="May"/>
    <n v="2022"/>
    <x v="378"/>
    <n v="282"/>
    <s v="5G"/>
  </r>
  <r>
    <n v="13624"/>
    <n v="75"/>
    <d v="2022-12-03T00:00:00"/>
    <s v="December"/>
    <n v="2022"/>
    <x v="353"/>
    <n v="101"/>
    <s v="4G"/>
  </r>
  <r>
    <n v="13625"/>
    <n v="277"/>
    <d v="2022-07-11T00:00:00"/>
    <s v="July"/>
    <n v="2022"/>
    <x v="194"/>
    <n v="293"/>
    <s v="5G"/>
  </r>
  <r>
    <n v="13626"/>
    <n v="428"/>
    <d v="2023-12-31T00:00:00"/>
    <s v="December"/>
    <n v="2023"/>
    <x v="602"/>
    <n v="231"/>
    <s v="4G"/>
  </r>
  <r>
    <n v="13627"/>
    <n v="133"/>
    <d v="2022-08-02T00:00:00"/>
    <s v="August"/>
    <n v="2022"/>
    <x v="202"/>
    <n v="287"/>
    <s v="5G"/>
  </r>
  <r>
    <n v="13628"/>
    <n v="343"/>
    <d v="2023-07-28T00:00:00"/>
    <s v="July"/>
    <n v="2023"/>
    <x v="125"/>
    <n v="244"/>
    <s v="4G"/>
  </r>
  <r>
    <n v="13629"/>
    <n v="425"/>
    <d v="2022-11-24T00:00:00"/>
    <s v="November"/>
    <n v="2022"/>
    <x v="28"/>
    <n v="176"/>
    <s v="5G"/>
  </r>
  <r>
    <n v="13630"/>
    <n v="59"/>
    <d v="2023-01-16T00:00:00"/>
    <s v="January"/>
    <n v="2023"/>
    <x v="175"/>
    <n v="212"/>
    <s v="5G"/>
  </r>
  <r>
    <n v="13631"/>
    <n v="345"/>
    <d v="2023-11-04T00:00:00"/>
    <s v="November"/>
    <n v="2023"/>
    <x v="265"/>
    <n v="101"/>
    <s v="4G"/>
  </r>
  <r>
    <n v="13632"/>
    <n v="489"/>
    <d v="2023-08-01T00:00:00"/>
    <s v="August"/>
    <n v="2023"/>
    <x v="54"/>
    <n v="285"/>
    <s v="4G"/>
  </r>
  <r>
    <n v="13633"/>
    <n v="182"/>
    <d v="2024-03-08T00:00:00"/>
    <s v="March"/>
    <n v="2024"/>
    <x v="10"/>
    <n v="21"/>
    <s v="4G"/>
  </r>
  <r>
    <n v="13634"/>
    <n v="458"/>
    <d v="2022-08-27T00:00:00"/>
    <s v="August"/>
    <n v="2022"/>
    <x v="323"/>
    <n v="18"/>
    <s v="4G"/>
  </r>
  <r>
    <n v="13635"/>
    <n v="406"/>
    <d v="2023-06-16T00:00:00"/>
    <s v="June"/>
    <n v="2023"/>
    <x v="530"/>
    <n v="286"/>
    <s v="5G"/>
  </r>
  <r>
    <n v="13636"/>
    <n v="339"/>
    <d v="2023-12-01T00:00:00"/>
    <s v="December"/>
    <n v="2023"/>
    <x v="379"/>
    <n v="275"/>
    <s v="4G"/>
  </r>
  <r>
    <n v="13637"/>
    <n v="321"/>
    <d v="2022-03-23T00:00:00"/>
    <s v="March"/>
    <n v="2022"/>
    <x v="116"/>
    <n v="146"/>
    <s v="4G"/>
  </r>
  <r>
    <n v="13638"/>
    <n v="64"/>
    <d v="2022-12-29T00:00:00"/>
    <s v="December"/>
    <n v="2022"/>
    <x v="202"/>
    <n v="39"/>
    <s v="4G"/>
  </r>
  <r>
    <n v="13639"/>
    <n v="327"/>
    <d v="2023-05-20T00:00:00"/>
    <s v="May"/>
    <n v="2023"/>
    <x v="797"/>
    <n v="166"/>
    <s v="4G"/>
  </r>
  <r>
    <n v="13640"/>
    <n v="260"/>
    <d v="2022-07-21T00:00:00"/>
    <s v="July"/>
    <n v="2022"/>
    <x v="275"/>
    <n v="90"/>
    <s v="5G"/>
  </r>
  <r>
    <n v="13641"/>
    <n v="193"/>
    <d v="2023-05-19T00:00:00"/>
    <s v="May"/>
    <n v="2023"/>
    <x v="242"/>
    <n v="71"/>
    <s v="5G"/>
  </r>
  <r>
    <n v="13642"/>
    <n v="143"/>
    <d v="2023-10-06T00:00:00"/>
    <s v="October"/>
    <n v="2023"/>
    <x v="198"/>
    <n v="282"/>
    <s v="4G"/>
  </r>
  <r>
    <n v="13643"/>
    <n v="104"/>
    <d v="2022-02-06T00:00:00"/>
    <s v="February"/>
    <n v="2022"/>
    <x v="46"/>
    <n v="139"/>
    <s v="5G"/>
  </r>
  <r>
    <n v="13644"/>
    <n v="460"/>
    <d v="2023-10-06T00:00:00"/>
    <s v="October"/>
    <n v="2023"/>
    <x v="24"/>
    <n v="238"/>
    <s v="5G"/>
  </r>
  <r>
    <n v="13645"/>
    <n v="406"/>
    <d v="2023-08-12T00:00:00"/>
    <s v="August"/>
    <n v="2023"/>
    <x v="334"/>
    <n v="77"/>
    <s v="4G"/>
  </r>
  <r>
    <n v="13646"/>
    <n v="214"/>
    <d v="2023-08-24T00:00:00"/>
    <s v="August"/>
    <n v="2023"/>
    <x v="112"/>
    <n v="198"/>
    <s v="5G"/>
  </r>
  <r>
    <n v="13647"/>
    <n v="242"/>
    <d v="2023-02-06T00:00:00"/>
    <s v="February"/>
    <n v="2023"/>
    <x v="611"/>
    <n v="16"/>
    <s v="4G"/>
  </r>
  <r>
    <n v="13648"/>
    <n v="431"/>
    <d v="2024-02-04T00:00:00"/>
    <s v="February"/>
    <n v="2024"/>
    <x v="798"/>
    <n v="217"/>
    <s v="4G"/>
  </r>
  <r>
    <n v="13649"/>
    <n v="209"/>
    <d v="2024-05-05T00:00:00"/>
    <s v="May"/>
    <n v="2024"/>
    <x v="799"/>
    <n v="228"/>
    <s v="4G"/>
  </r>
  <r>
    <n v="13650"/>
    <n v="93"/>
    <d v="2023-12-07T00:00:00"/>
    <s v="December"/>
    <n v="2023"/>
    <x v="98"/>
    <n v="137"/>
    <s v="5G"/>
  </r>
  <r>
    <n v="13651"/>
    <n v="430"/>
    <d v="2022-06-25T00:00:00"/>
    <s v="June"/>
    <n v="2022"/>
    <x v="556"/>
    <n v="146"/>
    <s v="4G"/>
  </r>
  <r>
    <n v="13652"/>
    <n v="142"/>
    <d v="2023-06-29T00:00:00"/>
    <s v="June"/>
    <n v="2023"/>
    <x v="549"/>
    <n v="209"/>
    <s v="4G"/>
  </r>
  <r>
    <n v="13653"/>
    <n v="434"/>
    <d v="2023-07-24T00:00:00"/>
    <s v="July"/>
    <n v="2023"/>
    <x v="60"/>
    <n v="157"/>
    <s v="4G"/>
  </r>
  <r>
    <n v="13654"/>
    <n v="404"/>
    <d v="2023-04-12T00:00:00"/>
    <s v="April"/>
    <n v="2023"/>
    <x v="267"/>
    <n v="152"/>
    <s v="4G"/>
  </r>
  <r>
    <n v="13655"/>
    <n v="434"/>
    <d v="2022-07-20T00:00:00"/>
    <s v="July"/>
    <n v="2022"/>
    <x v="53"/>
    <n v="162"/>
    <s v="5G"/>
  </r>
  <r>
    <n v="13656"/>
    <n v="112"/>
    <d v="2023-06-24T00:00:00"/>
    <s v="June"/>
    <n v="2023"/>
    <x v="117"/>
    <n v="100"/>
    <s v="4G"/>
  </r>
  <r>
    <n v="13657"/>
    <n v="417"/>
    <d v="2023-07-01T00:00:00"/>
    <s v="July"/>
    <n v="2023"/>
    <x v="94"/>
    <n v="154"/>
    <s v="4G"/>
  </r>
  <r>
    <n v="13658"/>
    <n v="375"/>
    <d v="2023-09-29T00:00:00"/>
    <s v="September"/>
    <n v="2023"/>
    <x v="438"/>
    <n v="9"/>
    <s v="4G"/>
  </r>
  <r>
    <n v="13659"/>
    <n v="59"/>
    <d v="2023-01-29T00:00:00"/>
    <s v="January"/>
    <n v="2023"/>
    <x v="270"/>
    <n v="182"/>
    <s v="4G"/>
  </r>
  <r>
    <n v="13660"/>
    <n v="43"/>
    <d v="2024-04-12T00:00:00"/>
    <s v="April"/>
    <n v="2024"/>
    <x v="85"/>
    <n v="133"/>
    <s v="4G"/>
  </r>
  <r>
    <n v="13661"/>
    <n v="207"/>
    <d v="2022-02-11T00:00:00"/>
    <s v="February"/>
    <n v="2022"/>
    <x v="259"/>
    <n v="5"/>
    <s v="4G"/>
  </r>
  <r>
    <n v="13662"/>
    <n v="268"/>
    <d v="2023-08-20T00:00:00"/>
    <s v="August"/>
    <n v="2023"/>
    <x v="78"/>
    <n v="257"/>
    <s v="4G"/>
  </r>
  <r>
    <n v="13663"/>
    <n v="296"/>
    <d v="2023-01-28T00:00:00"/>
    <s v="January"/>
    <n v="2023"/>
    <x v="800"/>
    <n v="210"/>
    <s v="4G"/>
  </r>
  <r>
    <n v="13664"/>
    <n v="118"/>
    <d v="2023-12-01T00:00:00"/>
    <s v="December"/>
    <n v="2023"/>
    <x v="436"/>
    <n v="50"/>
    <s v="4G"/>
  </r>
  <r>
    <n v="13665"/>
    <n v="20"/>
    <d v="2023-09-15T00:00:00"/>
    <s v="September"/>
    <n v="2023"/>
    <x v="257"/>
    <n v="146"/>
    <s v="4G"/>
  </r>
  <r>
    <n v="13666"/>
    <n v="222"/>
    <d v="2024-02-22T00:00:00"/>
    <s v="February"/>
    <n v="2024"/>
    <x v="10"/>
    <n v="127"/>
    <s v="5G"/>
  </r>
  <r>
    <n v="13667"/>
    <n v="166"/>
    <d v="2023-03-17T00:00:00"/>
    <s v="March"/>
    <n v="2023"/>
    <x v="358"/>
    <n v="257"/>
    <s v="4G"/>
  </r>
  <r>
    <n v="13668"/>
    <n v="131"/>
    <d v="2024-04-16T00:00:00"/>
    <s v="April"/>
    <n v="2024"/>
    <x v="37"/>
    <n v="50"/>
    <s v="5G"/>
  </r>
  <r>
    <n v="13669"/>
    <n v="156"/>
    <d v="2023-09-09T00:00:00"/>
    <s v="September"/>
    <n v="2023"/>
    <x v="678"/>
    <n v="153"/>
    <s v="4G"/>
  </r>
  <r>
    <n v="13670"/>
    <n v="184"/>
    <d v="2023-05-21T00:00:00"/>
    <s v="May"/>
    <n v="2023"/>
    <x v="64"/>
    <n v="69"/>
    <s v="4G"/>
  </r>
  <r>
    <n v="13671"/>
    <n v="90"/>
    <d v="2022-11-16T00:00:00"/>
    <s v="November"/>
    <n v="2022"/>
    <x v="88"/>
    <n v="275"/>
    <s v="4G"/>
  </r>
  <r>
    <n v="13672"/>
    <n v="94"/>
    <d v="2023-07-07T00:00:00"/>
    <s v="July"/>
    <n v="2023"/>
    <x v="149"/>
    <n v="278"/>
    <s v="4G"/>
  </r>
  <r>
    <n v="13673"/>
    <n v="13"/>
    <d v="2022-08-03T00:00:00"/>
    <s v="August"/>
    <n v="2022"/>
    <x v="253"/>
    <n v="133"/>
    <s v="4G"/>
  </r>
  <r>
    <n v="13674"/>
    <n v="461"/>
    <d v="2022-03-12T00:00:00"/>
    <s v="March"/>
    <n v="2022"/>
    <x v="261"/>
    <n v="219"/>
    <s v="5G"/>
  </r>
  <r>
    <n v="13675"/>
    <n v="322"/>
    <d v="2023-07-22T00:00:00"/>
    <s v="July"/>
    <n v="2023"/>
    <x v="488"/>
    <n v="162"/>
    <s v="4G"/>
  </r>
  <r>
    <n v="13676"/>
    <n v="293"/>
    <d v="2022-08-24T00:00:00"/>
    <s v="August"/>
    <n v="2022"/>
    <x v="9"/>
    <n v="135"/>
    <s v="4G"/>
  </r>
  <r>
    <n v="13677"/>
    <n v="433"/>
    <d v="2022-10-08T00:00:00"/>
    <s v="October"/>
    <n v="2022"/>
    <x v="189"/>
    <n v="56"/>
    <s v="4G"/>
  </r>
  <r>
    <n v="13678"/>
    <n v="230"/>
    <d v="2023-09-09T00:00:00"/>
    <s v="September"/>
    <n v="2023"/>
    <x v="158"/>
    <n v="176"/>
    <s v="5G"/>
  </r>
  <r>
    <n v="13679"/>
    <n v="322"/>
    <d v="2024-06-05T00:00:00"/>
    <s v="June"/>
    <n v="2024"/>
    <x v="452"/>
    <n v="114"/>
    <s v="5G"/>
  </r>
  <r>
    <n v="13680"/>
    <n v="292"/>
    <d v="2022-06-11T00:00:00"/>
    <s v="June"/>
    <n v="2022"/>
    <x v="344"/>
    <n v="148"/>
    <s v="4G"/>
  </r>
  <r>
    <n v="13681"/>
    <n v="438"/>
    <d v="2022-07-10T00:00:00"/>
    <s v="July"/>
    <n v="2022"/>
    <x v="132"/>
    <n v="240"/>
    <s v="4G"/>
  </r>
  <r>
    <n v="13682"/>
    <n v="26"/>
    <d v="2022-01-09T00:00:00"/>
    <s v="January"/>
    <n v="2022"/>
    <x v="84"/>
    <n v="122"/>
    <s v="4G"/>
  </r>
  <r>
    <n v="13683"/>
    <n v="75"/>
    <d v="2022-03-01T00:00:00"/>
    <s v="March"/>
    <n v="2022"/>
    <x v="231"/>
    <n v="291"/>
    <s v="5G"/>
  </r>
  <r>
    <n v="13684"/>
    <n v="456"/>
    <d v="2024-06-11T00:00:00"/>
    <s v="June"/>
    <n v="2024"/>
    <x v="261"/>
    <n v="68"/>
    <s v="5G"/>
  </r>
  <r>
    <n v="13685"/>
    <n v="364"/>
    <d v="2024-03-27T00:00:00"/>
    <s v="March"/>
    <n v="2024"/>
    <x v="801"/>
    <n v="62"/>
    <s v="5G"/>
  </r>
  <r>
    <n v="13686"/>
    <n v="424"/>
    <d v="2022-08-13T00:00:00"/>
    <s v="August"/>
    <n v="2022"/>
    <x v="510"/>
    <n v="220"/>
    <s v="4G"/>
  </r>
  <r>
    <n v="13687"/>
    <n v="299"/>
    <d v="2024-03-29T00:00:00"/>
    <s v="March"/>
    <n v="2024"/>
    <x v="402"/>
    <n v="15"/>
    <s v="4G"/>
  </r>
  <r>
    <n v="13688"/>
    <n v="150"/>
    <d v="2023-12-01T00:00:00"/>
    <s v="December"/>
    <n v="2023"/>
    <x v="254"/>
    <n v="77"/>
    <s v="5G"/>
  </r>
  <r>
    <n v="13689"/>
    <n v="148"/>
    <d v="2023-08-05T00:00:00"/>
    <s v="August"/>
    <n v="2023"/>
    <x v="420"/>
    <n v="121"/>
    <s v="5G"/>
  </r>
  <r>
    <n v="13690"/>
    <n v="8"/>
    <d v="2024-03-15T00:00:00"/>
    <s v="March"/>
    <n v="2024"/>
    <x v="496"/>
    <n v="257"/>
    <s v="5G"/>
  </r>
  <r>
    <n v="13691"/>
    <n v="29"/>
    <d v="2022-10-14T00:00:00"/>
    <s v="October"/>
    <n v="2022"/>
    <x v="229"/>
    <n v="216"/>
    <s v="4G"/>
  </r>
  <r>
    <n v="13692"/>
    <n v="296"/>
    <d v="2022-06-18T00:00:00"/>
    <s v="June"/>
    <n v="2022"/>
    <x v="86"/>
    <n v="113"/>
    <s v="4G"/>
  </r>
  <r>
    <n v="13693"/>
    <n v="474"/>
    <d v="2022-03-03T00:00:00"/>
    <s v="March"/>
    <n v="2022"/>
    <x v="197"/>
    <n v="145"/>
    <s v="4G"/>
  </r>
  <r>
    <n v="13694"/>
    <n v="414"/>
    <d v="2022-12-15T00:00:00"/>
    <s v="December"/>
    <n v="2022"/>
    <x v="529"/>
    <n v="236"/>
    <s v="5G"/>
  </r>
  <r>
    <n v="13695"/>
    <n v="209"/>
    <d v="2023-03-18T00:00:00"/>
    <s v="March"/>
    <n v="2023"/>
    <x v="152"/>
    <n v="85"/>
    <s v="4G"/>
  </r>
  <r>
    <n v="13696"/>
    <n v="128"/>
    <d v="2022-01-14T00:00:00"/>
    <s v="January"/>
    <n v="2022"/>
    <x v="173"/>
    <n v="166"/>
    <s v="4G"/>
  </r>
  <r>
    <n v="13697"/>
    <n v="340"/>
    <d v="2022-06-13T00:00:00"/>
    <s v="June"/>
    <n v="2022"/>
    <x v="130"/>
    <n v="128"/>
    <s v="4G"/>
  </r>
  <r>
    <n v="13698"/>
    <n v="116"/>
    <d v="2023-02-24T00:00:00"/>
    <s v="February"/>
    <n v="2023"/>
    <x v="513"/>
    <n v="164"/>
    <s v="4G"/>
  </r>
  <r>
    <n v="13699"/>
    <n v="439"/>
    <d v="2024-01-27T00:00:00"/>
    <s v="January"/>
    <n v="2024"/>
    <x v="780"/>
    <n v="276"/>
    <s v="4G"/>
  </r>
  <r>
    <n v="13700"/>
    <n v="144"/>
    <d v="2024-04-26T00:00:00"/>
    <s v="April"/>
    <n v="2024"/>
    <x v="309"/>
    <n v="256"/>
    <s v="4G"/>
  </r>
  <r>
    <n v="13701"/>
    <n v="430"/>
    <d v="2023-06-04T00:00:00"/>
    <s v="June"/>
    <n v="2023"/>
    <x v="171"/>
    <n v="131"/>
    <s v="4G"/>
  </r>
  <r>
    <n v="13702"/>
    <n v="318"/>
    <d v="2023-10-28T00:00:00"/>
    <s v="October"/>
    <n v="2023"/>
    <x v="668"/>
    <n v="57"/>
    <s v="5G"/>
  </r>
  <r>
    <n v="13703"/>
    <n v="235"/>
    <d v="2023-07-02T00:00:00"/>
    <s v="July"/>
    <n v="2023"/>
    <x v="229"/>
    <n v="256"/>
    <s v="5G"/>
  </r>
  <r>
    <n v="13704"/>
    <n v="7"/>
    <d v="2023-07-14T00:00:00"/>
    <s v="July"/>
    <n v="2023"/>
    <x v="268"/>
    <n v="140"/>
    <s v="4G"/>
  </r>
  <r>
    <n v="13705"/>
    <n v="464"/>
    <d v="2023-08-20T00:00:00"/>
    <s v="August"/>
    <n v="2023"/>
    <x v="263"/>
    <n v="173"/>
    <s v="5G"/>
  </r>
  <r>
    <n v="13706"/>
    <n v="45"/>
    <d v="2022-01-28T00:00:00"/>
    <s v="January"/>
    <n v="2022"/>
    <x v="205"/>
    <n v="174"/>
    <s v="4G"/>
  </r>
  <r>
    <n v="13707"/>
    <n v="443"/>
    <d v="2023-12-09T00:00:00"/>
    <s v="December"/>
    <n v="2023"/>
    <x v="535"/>
    <n v="208"/>
    <s v="5G"/>
  </r>
  <r>
    <n v="13708"/>
    <n v="239"/>
    <d v="2023-03-22T00:00:00"/>
    <s v="March"/>
    <n v="2023"/>
    <x v="2"/>
    <n v="203"/>
    <s v="5G"/>
  </r>
  <r>
    <n v="13709"/>
    <n v="440"/>
    <d v="2022-07-27T00:00:00"/>
    <s v="July"/>
    <n v="2022"/>
    <x v="29"/>
    <n v="6"/>
    <s v="4G"/>
  </r>
  <r>
    <n v="13710"/>
    <n v="432"/>
    <d v="2023-04-15T00:00:00"/>
    <s v="April"/>
    <n v="2023"/>
    <x v="157"/>
    <n v="50"/>
    <s v="4G"/>
  </r>
  <r>
    <n v="13711"/>
    <n v="155"/>
    <d v="2023-12-17T00:00:00"/>
    <s v="December"/>
    <n v="2023"/>
    <x v="82"/>
    <n v="258"/>
    <s v="4G"/>
  </r>
  <r>
    <n v="13712"/>
    <n v="181"/>
    <d v="2024-03-29T00:00:00"/>
    <s v="March"/>
    <n v="2024"/>
    <x v="108"/>
    <n v="177"/>
    <s v="5G"/>
  </r>
  <r>
    <n v="13713"/>
    <n v="215"/>
    <d v="2022-04-14T00:00:00"/>
    <s v="April"/>
    <n v="2022"/>
    <x v="170"/>
    <n v="30"/>
    <s v="4G"/>
  </r>
  <r>
    <n v="13714"/>
    <n v="88"/>
    <d v="2024-01-12T00:00:00"/>
    <s v="January"/>
    <n v="2024"/>
    <x v="378"/>
    <n v="153"/>
    <s v="4G"/>
  </r>
  <r>
    <n v="13715"/>
    <n v="256"/>
    <d v="2023-03-02T00:00:00"/>
    <s v="March"/>
    <n v="2023"/>
    <x v="337"/>
    <n v="54"/>
    <s v="4G"/>
  </r>
  <r>
    <n v="13716"/>
    <n v="73"/>
    <d v="2022-04-11T00:00:00"/>
    <s v="April"/>
    <n v="2022"/>
    <x v="802"/>
    <n v="155"/>
    <s v="5G"/>
  </r>
  <r>
    <n v="13717"/>
    <n v="419"/>
    <d v="2023-06-25T00:00:00"/>
    <s v="June"/>
    <n v="2023"/>
    <x v="50"/>
    <n v="43"/>
    <s v="5G"/>
  </r>
  <r>
    <n v="13718"/>
    <n v="179"/>
    <d v="2023-10-01T00:00:00"/>
    <s v="October"/>
    <n v="2023"/>
    <x v="64"/>
    <n v="80"/>
    <s v="4G"/>
  </r>
  <r>
    <n v="13719"/>
    <n v="212"/>
    <d v="2024-04-29T00:00:00"/>
    <s v="April"/>
    <n v="2024"/>
    <x v="573"/>
    <n v="165"/>
    <s v="5G"/>
  </r>
  <r>
    <n v="13720"/>
    <n v="293"/>
    <d v="2023-06-06T00:00:00"/>
    <s v="June"/>
    <n v="2023"/>
    <x v="197"/>
    <n v="29"/>
    <s v="5G"/>
  </r>
  <r>
    <n v="13721"/>
    <n v="234"/>
    <d v="2022-04-16T00:00:00"/>
    <s v="April"/>
    <n v="2022"/>
    <x v="120"/>
    <n v="135"/>
    <s v="5G"/>
  </r>
  <r>
    <n v="13722"/>
    <n v="465"/>
    <d v="2023-11-10T00:00:00"/>
    <s v="November"/>
    <n v="2023"/>
    <x v="465"/>
    <n v="13"/>
    <s v="4G"/>
  </r>
  <r>
    <n v="13723"/>
    <n v="239"/>
    <d v="2024-02-08T00:00:00"/>
    <s v="February"/>
    <n v="2024"/>
    <x v="618"/>
    <n v="105"/>
    <s v="4G"/>
  </r>
  <r>
    <n v="13724"/>
    <n v="223"/>
    <d v="2024-03-17T00:00:00"/>
    <s v="March"/>
    <n v="2024"/>
    <x v="246"/>
    <n v="74"/>
    <s v="4G"/>
  </r>
  <r>
    <n v="13725"/>
    <n v="119"/>
    <d v="2022-10-04T00:00:00"/>
    <s v="October"/>
    <n v="2022"/>
    <x v="508"/>
    <n v="78"/>
    <s v="4G"/>
  </r>
  <r>
    <n v="13726"/>
    <n v="313"/>
    <d v="2022-03-06T00:00:00"/>
    <s v="March"/>
    <n v="2022"/>
    <x v="451"/>
    <n v="193"/>
    <s v="4G"/>
  </r>
  <r>
    <n v="13727"/>
    <n v="264"/>
    <d v="2024-02-22T00:00:00"/>
    <s v="February"/>
    <n v="2024"/>
    <x v="708"/>
    <n v="95"/>
    <s v="4G"/>
  </r>
  <r>
    <n v="13728"/>
    <n v="207"/>
    <d v="2024-06-18T00:00:00"/>
    <s v="June"/>
    <n v="2024"/>
    <x v="624"/>
    <n v="39"/>
    <s v="4G"/>
  </r>
  <r>
    <n v="13729"/>
    <n v="95"/>
    <d v="2022-07-07T00:00:00"/>
    <s v="July"/>
    <n v="2022"/>
    <x v="437"/>
    <n v="255"/>
    <s v="4G"/>
  </r>
  <r>
    <n v="13730"/>
    <n v="373"/>
    <d v="2022-11-13T00:00:00"/>
    <s v="November"/>
    <n v="2022"/>
    <x v="375"/>
    <n v="106"/>
    <s v="4G"/>
  </r>
  <r>
    <n v="13731"/>
    <n v="222"/>
    <d v="2022-05-18T00:00:00"/>
    <s v="May"/>
    <n v="2022"/>
    <x v="272"/>
    <n v="16"/>
    <s v="4G"/>
  </r>
  <r>
    <n v="13732"/>
    <n v="366"/>
    <d v="2022-12-09T00:00:00"/>
    <s v="December"/>
    <n v="2022"/>
    <x v="464"/>
    <n v="14"/>
    <s v="5G"/>
  </r>
  <r>
    <n v="13733"/>
    <n v="276"/>
    <d v="2022-04-15T00:00:00"/>
    <s v="April"/>
    <n v="2022"/>
    <x v="254"/>
    <n v="271"/>
    <s v="5G"/>
  </r>
  <r>
    <n v="13734"/>
    <n v="380"/>
    <d v="2023-06-30T00:00:00"/>
    <s v="June"/>
    <n v="2023"/>
    <x v="803"/>
    <n v="12"/>
    <s v="4G"/>
  </r>
  <r>
    <n v="13735"/>
    <n v="231"/>
    <d v="2023-01-15T00:00:00"/>
    <s v="January"/>
    <n v="2023"/>
    <x v="91"/>
    <n v="246"/>
    <s v="5G"/>
  </r>
  <r>
    <n v="13736"/>
    <n v="309"/>
    <d v="2022-04-20T00:00:00"/>
    <s v="April"/>
    <n v="2022"/>
    <x v="315"/>
    <n v="213"/>
    <s v="4G"/>
  </r>
  <r>
    <n v="13737"/>
    <n v="119"/>
    <d v="2023-06-29T00:00:00"/>
    <s v="June"/>
    <n v="2023"/>
    <x v="483"/>
    <n v="150"/>
    <s v="5G"/>
  </r>
  <r>
    <n v="13738"/>
    <n v="268"/>
    <d v="2022-12-20T00:00:00"/>
    <s v="December"/>
    <n v="2022"/>
    <x v="234"/>
    <n v="291"/>
    <s v="4G"/>
  </r>
  <r>
    <n v="13739"/>
    <n v="433"/>
    <d v="2024-01-13T00:00:00"/>
    <s v="January"/>
    <n v="2024"/>
    <x v="193"/>
    <n v="42"/>
    <s v="4G"/>
  </r>
  <r>
    <n v="13740"/>
    <n v="273"/>
    <d v="2022-11-13T00:00:00"/>
    <s v="November"/>
    <n v="2022"/>
    <x v="221"/>
    <n v="113"/>
    <s v="4G"/>
  </r>
  <r>
    <n v="13741"/>
    <n v="64"/>
    <d v="2022-09-23T00:00:00"/>
    <s v="September"/>
    <n v="2022"/>
    <x v="74"/>
    <n v="80"/>
    <s v="4G"/>
  </r>
  <r>
    <n v="13742"/>
    <n v="298"/>
    <d v="2023-11-25T00:00:00"/>
    <s v="November"/>
    <n v="2023"/>
    <x v="191"/>
    <n v="140"/>
    <s v="4G"/>
  </r>
  <r>
    <n v="13743"/>
    <n v="350"/>
    <d v="2024-05-01T00:00:00"/>
    <s v="May"/>
    <n v="2024"/>
    <x v="99"/>
    <n v="29"/>
    <s v="4G"/>
  </r>
  <r>
    <n v="13744"/>
    <n v="413"/>
    <d v="2022-03-06T00:00:00"/>
    <s v="March"/>
    <n v="2022"/>
    <x v="71"/>
    <n v="29"/>
    <s v="4G"/>
  </r>
  <r>
    <n v="13745"/>
    <n v="403"/>
    <d v="2022-11-29T00:00:00"/>
    <s v="November"/>
    <n v="2022"/>
    <x v="804"/>
    <n v="265"/>
    <s v="5G"/>
  </r>
  <r>
    <n v="13746"/>
    <n v="494"/>
    <d v="2023-05-28T00:00:00"/>
    <s v="May"/>
    <n v="2023"/>
    <x v="805"/>
    <n v="98"/>
    <s v="4G"/>
  </r>
  <r>
    <n v="13747"/>
    <n v="11"/>
    <d v="2022-05-13T00:00:00"/>
    <s v="May"/>
    <n v="2022"/>
    <x v="229"/>
    <n v="93"/>
    <s v="4G"/>
  </r>
  <r>
    <n v="13748"/>
    <n v="98"/>
    <d v="2023-08-15T00:00:00"/>
    <s v="August"/>
    <n v="2023"/>
    <x v="767"/>
    <n v="210"/>
    <s v="4G"/>
  </r>
  <r>
    <n v="13749"/>
    <n v="434"/>
    <d v="2024-02-22T00:00:00"/>
    <s v="February"/>
    <n v="2024"/>
    <x v="29"/>
    <n v="294"/>
    <s v="5G"/>
  </r>
  <r>
    <n v="13750"/>
    <n v="71"/>
    <d v="2024-01-23T00:00:00"/>
    <s v="January"/>
    <n v="2024"/>
    <x v="216"/>
    <n v="36"/>
    <s v="4G"/>
  </r>
  <r>
    <n v="13751"/>
    <n v="364"/>
    <d v="2023-06-24T00:00:00"/>
    <s v="June"/>
    <n v="2023"/>
    <x v="24"/>
    <n v="88"/>
    <s v="4G"/>
  </r>
  <r>
    <n v="13752"/>
    <n v="58"/>
    <d v="2024-01-05T00:00:00"/>
    <s v="January"/>
    <n v="2024"/>
    <x v="806"/>
    <n v="254"/>
    <s v="4G"/>
  </r>
  <r>
    <n v="13753"/>
    <n v="290"/>
    <d v="2023-06-19T00:00:00"/>
    <s v="June"/>
    <n v="2023"/>
    <x v="208"/>
    <n v="213"/>
    <s v="4G"/>
  </r>
  <r>
    <n v="13754"/>
    <n v="251"/>
    <d v="2023-05-11T00:00:00"/>
    <s v="May"/>
    <n v="2023"/>
    <x v="100"/>
    <n v="13"/>
    <s v="4G"/>
  </r>
  <r>
    <n v="13755"/>
    <n v="276"/>
    <d v="2023-09-13T00:00:00"/>
    <s v="September"/>
    <n v="2023"/>
    <x v="351"/>
    <n v="191"/>
    <s v="4G"/>
  </r>
  <r>
    <n v="13756"/>
    <n v="50"/>
    <d v="2023-09-11T00:00:00"/>
    <s v="September"/>
    <n v="2023"/>
    <x v="56"/>
    <n v="294"/>
    <s v="4G"/>
  </r>
  <r>
    <n v="13757"/>
    <n v="358"/>
    <d v="2023-10-19T00:00:00"/>
    <s v="October"/>
    <n v="2023"/>
    <x v="237"/>
    <n v="181"/>
    <s v="4G"/>
  </r>
  <r>
    <n v="13758"/>
    <n v="216"/>
    <d v="2023-01-04T00:00:00"/>
    <s v="January"/>
    <n v="2023"/>
    <x v="10"/>
    <n v="129"/>
    <s v="4G"/>
  </r>
  <r>
    <n v="13759"/>
    <n v="394"/>
    <d v="2024-05-15T00:00:00"/>
    <s v="May"/>
    <n v="2024"/>
    <x v="337"/>
    <n v="223"/>
    <s v="4G"/>
  </r>
  <r>
    <n v="13760"/>
    <n v="416"/>
    <d v="2023-10-13T00:00:00"/>
    <s v="October"/>
    <n v="2023"/>
    <x v="628"/>
    <n v="42"/>
    <s v="4G"/>
  </r>
  <r>
    <n v="13761"/>
    <n v="52"/>
    <d v="2024-03-06T00:00:00"/>
    <s v="March"/>
    <n v="2024"/>
    <x v="259"/>
    <n v="180"/>
    <s v="5G"/>
  </r>
  <r>
    <n v="13762"/>
    <n v="271"/>
    <d v="2024-03-20T00:00:00"/>
    <s v="March"/>
    <n v="2024"/>
    <x v="637"/>
    <n v="168"/>
    <s v="4G"/>
  </r>
  <r>
    <n v="13763"/>
    <n v="485"/>
    <d v="2022-04-09T00:00:00"/>
    <s v="April"/>
    <n v="2022"/>
    <x v="326"/>
    <n v="263"/>
    <s v="5G"/>
  </r>
  <r>
    <n v="13764"/>
    <n v="84"/>
    <d v="2022-11-13T00:00:00"/>
    <s v="November"/>
    <n v="2022"/>
    <x v="11"/>
    <n v="95"/>
    <s v="4G"/>
  </r>
  <r>
    <n v="13765"/>
    <n v="387"/>
    <d v="2022-05-03T00:00:00"/>
    <s v="May"/>
    <n v="2022"/>
    <x v="227"/>
    <n v="202"/>
    <s v="4G"/>
  </r>
  <r>
    <n v="13766"/>
    <n v="293"/>
    <d v="2022-11-16T00:00:00"/>
    <s v="November"/>
    <n v="2022"/>
    <x v="464"/>
    <n v="67"/>
    <s v="5G"/>
  </r>
  <r>
    <n v="13767"/>
    <n v="126"/>
    <d v="2024-03-09T00:00:00"/>
    <s v="March"/>
    <n v="2024"/>
    <x v="58"/>
    <n v="91"/>
    <s v="4G"/>
  </r>
  <r>
    <n v="13768"/>
    <n v="296"/>
    <d v="2023-08-16T00:00:00"/>
    <s v="August"/>
    <n v="2023"/>
    <x v="457"/>
    <n v="265"/>
    <s v="4G"/>
  </r>
  <r>
    <n v="13769"/>
    <n v="72"/>
    <d v="2023-05-10T00:00:00"/>
    <s v="May"/>
    <n v="2023"/>
    <x v="807"/>
    <n v="177"/>
    <s v="4G"/>
  </r>
  <r>
    <n v="13770"/>
    <n v="296"/>
    <d v="2023-04-02T00:00:00"/>
    <s v="April"/>
    <n v="2023"/>
    <x v="402"/>
    <n v="150"/>
    <s v="4G"/>
  </r>
  <r>
    <n v="13771"/>
    <n v="236"/>
    <d v="2023-06-06T00:00:00"/>
    <s v="June"/>
    <n v="2023"/>
    <x v="420"/>
    <n v="46"/>
    <s v="5G"/>
  </r>
  <r>
    <n v="13772"/>
    <n v="56"/>
    <d v="2023-06-04T00:00:00"/>
    <s v="June"/>
    <n v="2023"/>
    <x v="223"/>
    <n v="2"/>
    <s v="4G"/>
  </r>
  <r>
    <n v="13773"/>
    <n v="407"/>
    <d v="2023-12-18T00:00:00"/>
    <s v="December"/>
    <n v="2023"/>
    <x v="43"/>
    <n v="102"/>
    <s v="4G"/>
  </r>
  <r>
    <n v="13774"/>
    <n v="360"/>
    <d v="2022-11-11T00:00:00"/>
    <s v="November"/>
    <n v="2022"/>
    <x v="183"/>
    <n v="272"/>
    <s v="5G"/>
  </r>
  <r>
    <n v="13775"/>
    <n v="395"/>
    <d v="2023-12-10T00:00:00"/>
    <s v="December"/>
    <n v="2023"/>
    <x v="808"/>
    <n v="21"/>
    <s v="5G"/>
  </r>
  <r>
    <n v="13776"/>
    <n v="110"/>
    <d v="2023-12-11T00:00:00"/>
    <s v="December"/>
    <n v="2023"/>
    <x v="34"/>
    <n v="115"/>
    <s v="5G"/>
  </r>
  <r>
    <n v="13777"/>
    <n v="192"/>
    <d v="2023-06-26T00:00:00"/>
    <s v="June"/>
    <n v="2023"/>
    <x v="135"/>
    <n v="103"/>
    <s v="4G"/>
  </r>
  <r>
    <n v="13778"/>
    <n v="392"/>
    <d v="2023-04-24T00:00:00"/>
    <s v="April"/>
    <n v="2023"/>
    <x v="140"/>
    <n v="258"/>
    <s v="5G"/>
  </r>
  <r>
    <n v="13779"/>
    <n v="93"/>
    <d v="2022-01-20T00:00:00"/>
    <s v="January"/>
    <n v="2022"/>
    <x v="68"/>
    <n v="297"/>
    <s v="5G"/>
  </r>
  <r>
    <n v="13780"/>
    <n v="350"/>
    <d v="2023-07-14T00:00:00"/>
    <s v="July"/>
    <n v="2023"/>
    <x v="242"/>
    <n v="129"/>
    <s v="5G"/>
  </r>
  <r>
    <n v="13781"/>
    <n v="56"/>
    <d v="2022-05-10T00:00:00"/>
    <s v="May"/>
    <n v="2022"/>
    <x v="4"/>
    <n v="294"/>
    <s v="5G"/>
  </r>
  <r>
    <n v="13782"/>
    <n v="60"/>
    <d v="2022-10-20T00:00:00"/>
    <s v="October"/>
    <n v="2022"/>
    <x v="157"/>
    <n v="47"/>
    <s v="5G"/>
  </r>
  <r>
    <n v="13783"/>
    <n v="138"/>
    <d v="2024-06-15T00:00:00"/>
    <s v="June"/>
    <n v="2024"/>
    <x v="322"/>
    <n v="26"/>
    <s v="4G"/>
  </r>
  <r>
    <n v="13784"/>
    <n v="39"/>
    <d v="2022-05-12T00:00:00"/>
    <s v="May"/>
    <n v="2022"/>
    <x v="809"/>
    <n v="14"/>
    <s v="4G"/>
  </r>
  <r>
    <n v="13785"/>
    <n v="28"/>
    <d v="2022-12-22T00:00:00"/>
    <s v="December"/>
    <n v="2022"/>
    <x v="339"/>
    <n v="262"/>
    <s v="5G"/>
  </r>
  <r>
    <n v="13786"/>
    <n v="49"/>
    <d v="2022-02-23T00:00:00"/>
    <s v="February"/>
    <n v="2022"/>
    <x v="391"/>
    <n v="297"/>
    <s v="4G"/>
  </r>
  <r>
    <n v="13787"/>
    <n v="420"/>
    <d v="2024-06-08T00:00:00"/>
    <s v="June"/>
    <n v="2024"/>
    <x v="73"/>
    <n v="264"/>
    <s v="4G"/>
  </r>
  <r>
    <n v="13788"/>
    <n v="125"/>
    <d v="2024-03-03T00:00:00"/>
    <s v="March"/>
    <n v="2024"/>
    <x v="688"/>
    <n v="133"/>
    <s v="4G"/>
  </r>
  <r>
    <n v="13789"/>
    <n v="13"/>
    <d v="2023-01-22T00:00:00"/>
    <s v="January"/>
    <n v="2023"/>
    <x v="510"/>
    <n v="75"/>
    <s v="5G"/>
  </r>
  <r>
    <n v="13790"/>
    <n v="480"/>
    <d v="2022-09-22T00:00:00"/>
    <s v="September"/>
    <n v="2022"/>
    <x v="21"/>
    <n v="29"/>
    <s v="4G"/>
  </r>
  <r>
    <n v="13791"/>
    <n v="36"/>
    <d v="2022-08-03T00:00:00"/>
    <s v="August"/>
    <n v="2022"/>
    <x v="810"/>
    <n v="125"/>
    <s v="4G"/>
  </r>
  <r>
    <n v="13792"/>
    <n v="101"/>
    <d v="2023-04-05T00:00:00"/>
    <s v="April"/>
    <n v="2023"/>
    <x v="77"/>
    <n v="83"/>
    <s v="4G"/>
  </r>
  <r>
    <n v="13793"/>
    <n v="282"/>
    <d v="2023-04-03T00:00:00"/>
    <s v="April"/>
    <n v="2023"/>
    <x v="383"/>
    <n v="53"/>
    <s v="4G"/>
  </r>
  <r>
    <n v="13794"/>
    <n v="86"/>
    <d v="2024-03-12T00:00:00"/>
    <s v="March"/>
    <n v="2024"/>
    <x v="811"/>
    <n v="282"/>
    <s v="4G"/>
  </r>
  <r>
    <n v="13795"/>
    <n v="4"/>
    <d v="2022-02-12T00:00:00"/>
    <s v="February"/>
    <n v="2022"/>
    <x v="638"/>
    <n v="262"/>
    <s v="4G"/>
  </r>
  <r>
    <n v="13796"/>
    <n v="223"/>
    <d v="2023-08-09T00:00:00"/>
    <s v="August"/>
    <n v="2023"/>
    <x v="131"/>
    <n v="221"/>
    <s v="5G"/>
  </r>
  <r>
    <n v="13797"/>
    <n v="338"/>
    <d v="2024-05-11T00:00:00"/>
    <s v="May"/>
    <n v="2024"/>
    <x v="78"/>
    <n v="1"/>
    <s v="5G"/>
  </r>
  <r>
    <n v="13798"/>
    <n v="448"/>
    <d v="2022-10-05T00:00:00"/>
    <s v="October"/>
    <n v="2022"/>
    <x v="34"/>
    <n v="145"/>
    <s v="5G"/>
  </r>
  <r>
    <n v="13799"/>
    <n v="166"/>
    <d v="2024-04-17T00:00:00"/>
    <s v="April"/>
    <n v="2024"/>
    <x v="389"/>
    <n v="17"/>
    <s v="4G"/>
  </r>
  <r>
    <n v="13800"/>
    <n v="383"/>
    <d v="2024-01-24T00:00:00"/>
    <s v="January"/>
    <n v="2024"/>
    <x v="148"/>
    <n v="15"/>
    <s v="4G"/>
  </r>
  <r>
    <n v="13801"/>
    <n v="344"/>
    <d v="2022-05-10T00:00:00"/>
    <s v="May"/>
    <n v="2022"/>
    <x v="164"/>
    <n v="158"/>
    <s v="4G"/>
  </r>
  <r>
    <n v="13802"/>
    <n v="383"/>
    <d v="2022-12-16T00:00:00"/>
    <s v="December"/>
    <n v="2022"/>
    <x v="523"/>
    <n v="297"/>
    <s v="4G"/>
  </r>
  <r>
    <n v="13803"/>
    <n v="376"/>
    <d v="2023-12-07T00:00:00"/>
    <s v="December"/>
    <n v="2023"/>
    <x v="6"/>
    <n v="208"/>
    <s v="4G"/>
  </r>
  <r>
    <n v="13804"/>
    <n v="471"/>
    <d v="2023-06-28T00:00:00"/>
    <s v="June"/>
    <n v="2023"/>
    <x v="359"/>
    <n v="204"/>
    <s v="5G"/>
  </r>
  <r>
    <n v="13805"/>
    <n v="278"/>
    <d v="2022-04-16T00:00:00"/>
    <s v="April"/>
    <n v="2022"/>
    <x v="290"/>
    <n v="112"/>
    <s v="4G"/>
  </r>
  <r>
    <n v="13806"/>
    <n v="130"/>
    <d v="2023-12-17T00:00:00"/>
    <s v="December"/>
    <n v="2023"/>
    <x v="752"/>
    <n v="177"/>
    <s v="4G"/>
  </r>
  <r>
    <n v="13807"/>
    <n v="31"/>
    <d v="2022-01-01T00:00:00"/>
    <s v="January"/>
    <n v="2022"/>
    <x v="198"/>
    <n v="208"/>
    <s v="5G"/>
  </r>
  <r>
    <n v="13808"/>
    <n v="375"/>
    <d v="2024-01-27T00:00:00"/>
    <s v="January"/>
    <n v="2024"/>
    <x v="393"/>
    <n v="123"/>
    <s v="4G"/>
  </r>
  <r>
    <n v="13809"/>
    <n v="11"/>
    <d v="2023-08-07T00:00:00"/>
    <s v="August"/>
    <n v="2023"/>
    <x v="177"/>
    <n v="14"/>
    <s v="5G"/>
  </r>
  <r>
    <n v="13810"/>
    <n v="476"/>
    <d v="2023-03-08T00:00:00"/>
    <s v="March"/>
    <n v="2023"/>
    <x v="59"/>
    <n v="297"/>
    <s v="5G"/>
  </r>
  <r>
    <n v="13811"/>
    <n v="302"/>
    <d v="2022-11-02T00:00:00"/>
    <s v="November"/>
    <n v="2022"/>
    <x v="59"/>
    <n v="44"/>
    <s v="4G"/>
  </r>
  <r>
    <n v="13812"/>
    <n v="96"/>
    <d v="2023-06-11T00:00:00"/>
    <s v="June"/>
    <n v="2023"/>
    <x v="812"/>
    <n v="93"/>
    <s v="4G"/>
  </r>
  <r>
    <n v="13813"/>
    <n v="190"/>
    <d v="2022-02-22T00:00:00"/>
    <s v="February"/>
    <n v="2022"/>
    <x v="173"/>
    <n v="106"/>
    <s v="5G"/>
  </r>
  <r>
    <n v="13814"/>
    <n v="453"/>
    <d v="2023-06-04T00:00:00"/>
    <s v="June"/>
    <n v="2023"/>
    <x v="8"/>
    <n v="277"/>
    <s v="4G"/>
  </r>
  <r>
    <n v="13815"/>
    <n v="192"/>
    <d v="2022-11-26T00:00:00"/>
    <s v="November"/>
    <n v="2022"/>
    <x v="608"/>
    <n v="127"/>
    <s v="4G"/>
  </r>
  <r>
    <n v="13816"/>
    <n v="486"/>
    <d v="2023-07-12T00:00:00"/>
    <s v="July"/>
    <n v="2023"/>
    <x v="680"/>
    <n v="37"/>
    <s v="5G"/>
  </r>
  <r>
    <n v="13817"/>
    <n v="266"/>
    <d v="2022-11-21T00:00:00"/>
    <s v="November"/>
    <n v="2022"/>
    <x v="714"/>
    <n v="96"/>
    <s v="4G"/>
  </r>
  <r>
    <n v="13818"/>
    <n v="424"/>
    <d v="2022-04-24T00:00:00"/>
    <s v="April"/>
    <n v="2022"/>
    <x v="102"/>
    <n v="197"/>
    <s v="4G"/>
  </r>
  <r>
    <n v="13819"/>
    <n v="128"/>
    <d v="2022-05-27T00:00:00"/>
    <s v="May"/>
    <n v="2022"/>
    <x v="305"/>
    <n v="191"/>
    <s v="4G"/>
  </r>
  <r>
    <n v="13820"/>
    <n v="238"/>
    <d v="2022-06-15T00:00:00"/>
    <s v="June"/>
    <n v="2022"/>
    <x v="308"/>
    <n v="6"/>
    <s v="5G"/>
  </r>
  <r>
    <n v="13821"/>
    <n v="408"/>
    <d v="2023-01-14T00:00:00"/>
    <s v="January"/>
    <n v="2023"/>
    <x v="549"/>
    <n v="43"/>
    <s v="4G"/>
  </r>
  <r>
    <n v="13822"/>
    <n v="355"/>
    <d v="2022-05-19T00:00:00"/>
    <s v="May"/>
    <n v="2022"/>
    <x v="239"/>
    <n v="6"/>
    <s v="4G"/>
  </r>
  <r>
    <n v="13823"/>
    <n v="428"/>
    <d v="2023-09-21T00:00:00"/>
    <s v="September"/>
    <n v="2023"/>
    <x v="152"/>
    <n v="193"/>
    <s v="4G"/>
  </r>
  <r>
    <n v="13824"/>
    <n v="112"/>
    <d v="2022-10-26T00:00:00"/>
    <s v="October"/>
    <n v="2022"/>
    <x v="498"/>
    <n v="0"/>
    <s v="4G"/>
  </r>
  <r>
    <n v="13825"/>
    <n v="316"/>
    <d v="2022-10-03T00:00:00"/>
    <s v="October"/>
    <n v="2022"/>
    <x v="63"/>
    <n v="61"/>
    <s v="5G"/>
  </r>
  <r>
    <n v="13826"/>
    <n v="446"/>
    <d v="2024-02-28T00:00:00"/>
    <s v="February"/>
    <n v="2024"/>
    <x v="364"/>
    <n v="88"/>
    <s v="5G"/>
  </r>
  <r>
    <n v="13827"/>
    <n v="343"/>
    <d v="2024-04-29T00:00:00"/>
    <s v="April"/>
    <n v="2024"/>
    <x v="170"/>
    <n v="17"/>
    <s v="4G"/>
  </r>
  <r>
    <n v="13828"/>
    <n v="145"/>
    <d v="2024-04-04T00:00:00"/>
    <s v="April"/>
    <n v="2024"/>
    <x v="496"/>
    <n v="107"/>
    <s v="4G"/>
  </r>
  <r>
    <n v="13829"/>
    <n v="65"/>
    <d v="2022-06-27T00:00:00"/>
    <s v="June"/>
    <n v="2022"/>
    <x v="465"/>
    <n v="134"/>
    <s v="4G"/>
  </r>
  <r>
    <n v="13830"/>
    <n v="247"/>
    <d v="2024-04-21T00:00:00"/>
    <s v="April"/>
    <n v="2024"/>
    <x v="369"/>
    <n v="66"/>
    <s v="4G"/>
  </r>
  <r>
    <n v="13831"/>
    <n v="223"/>
    <d v="2022-12-20T00:00:00"/>
    <s v="December"/>
    <n v="2022"/>
    <x v="173"/>
    <n v="92"/>
    <s v="4G"/>
  </r>
  <r>
    <n v="13832"/>
    <n v="479"/>
    <d v="2022-06-03T00:00:00"/>
    <s v="June"/>
    <n v="2022"/>
    <x v="813"/>
    <n v="137"/>
    <s v="4G"/>
  </r>
  <r>
    <n v="13833"/>
    <n v="490"/>
    <d v="2022-07-20T00:00:00"/>
    <s v="July"/>
    <n v="2022"/>
    <x v="395"/>
    <n v="188"/>
    <s v="4G"/>
  </r>
  <r>
    <n v="13834"/>
    <n v="313"/>
    <d v="2024-05-27T00:00:00"/>
    <s v="May"/>
    <n v="2024"/>
    <x v="396"/>
    <n v="58"/>
    <s v="4G"/>
  </r>
  <r>
    <n v="13835"/>
    <n v="439"/>
    <d v="2022-04-25T00:00:00"/>
    <s v="April"/>
    <n v="2022"/>
    <x v="49"/>
    <n v="186"/>
    <s v="5G"/>
  </r>
  <r>
    <n v="13836"/>
    <n v="106"/>
    <d v="2023-11-02T00:00:00"/>
    <s v="November"/>
    <n v="2023"/>
    <x v="192"/>
    <n v="234"/>
    <s v="5G"/>
  </r>
  <r>
    <n v="13837"/>
    <n v="181"/>
    <d v="2023-07-08T00:00:00"/>
    <s v="July"/>
    <n v="2023"/>
    <x v="465"/>
    <n v="68"/>
    <s v="4G"/>
  </r>
  <r>
    <n v="13838"/>
    <n v="184"/>
    <d v="2024-01-29T00:00:00"/>
    <s v="January"/>
    <n v="2024"/>
    <x v="122"/>
    <n v="97"/>
    <s v="4G"/>
  </r>
  <r>
    <n v="13839"/>
    <n v="226"/>
    <d v="2022-03-09T00:00:00"/>
    <s v="March"/>
    <n v="2022"/>
    <x v="410"/>
    <n v="7"/>
    <s v="5G"/>
  </r>
  <r>
    <n v="13840"/>
    <n v="265"/>
    <d v="2023-03-21T00:00:00"/>
    <s v="March"/>
    <n v="2023"/>
    <x v="385"/>
    <n v="133"/>
    <s v="5G"/>
  </r>
  <r>
    <n v="13841"/>
    <n v="278"/>
    <d v="2023-03-21T00:00:00"/>
    <s v="March"/>
    <n v="2023"/>
    <x v="78"/>
    <n v="55"/>
    <s v="4G"/>
  </r>
  <r>
    <n v="13842"/>
    <n v="397"/>
    <d v="2022-11-22T00:00:00"/>
    <s v="November"/>
    <n v="2022"/>
    <x v="122"/>
    <n v="113"/>
    <s v="5G"/>
  </r>
  <r>
    <n v="13843"/>
    <n v="89"/>
    <d v="2024-04-25T00:00:00"/>
    <s v="April"/>
    <n v="2024"/>
    <x v="814"/>
    <n v="87"/>
    <s v="5G"/>
  </r>
  <r>
    <n v="13844"/>
    <n v="176"/>
    <d v="2023-12-09T00:00:00"/>
    <s v="December"/>
    <n v="2023"/>
    <x v="72"/>
    <n v="137"/>
    <s v="4G"/>
  </r>
  <r>
    <n v="13845"/>
    <n v="18"/>
    <d v="2023-08-25T00:00:00"/>
    <s v="August"/>
    <n v="2023"/>
    <x v="266"/>
    <n v="107"/>
    <s v="4G"/>
  </r>
  <r>
    <n v="13846"/>
    <n v="371"/>
    <d v="2023-09-15T00:00:00"/>
    <s v="September"/>
    <n v="2023"/>
    <x v="561"/>
    <n v="22"/>
    <s v="4G"/>
  </r>
  <r>
    <n v="13847"/>
    <n v="460"/>
    <d v="2024-05-29T00:00:00"/>
    <s v="May"/>
    <n v="2024"/>
    <x v="628"/>
    <n v="143"/>
    <s v="4G"/>
  </r>
  <r>
    <n v="13848"/>
    <n v="424"/>
    <d v="2022-12-25T00:00:00"/>
    <s v="December"/>
    <n v="2022"/>
    <x v="647"/>
    <n v="143"/>
    <s v="4G"/>
  </r>
  <r>
    <n v="13849"/>
    <n v="401"/>
    <d v="2022-05-25T00:00:00"/>
    <s v="May"/>
    <n v="2022"/>
    <x v="193"/>
    <n v="55"/>
    <s v="5G"/>
  </r>
  <r>
    <n v="13850"/>
    <n v="399"/>
    <d v="2022-10-02T00:00:00"/>
    <s v="October"/>
    <n v="2022"/>
    <x v="375"/>
    <n v="107"/>
    <s v="5G"/>
  </r>
  <r>
    <n v="13851"/>
    <n v="106"/>
    <d v="2023-05-24T00:00:00"/>
    <s v="May"/>
    <n v="2023"/>
    <x v="157"/>
    <n v="5"/>
    <s v="4G"/>
  </r>
  <r>
    <n v="13852"/>
    <n v="271"/>
    <d v="2022-06-28T00:00:00"/>
    <s v="June"/>
    <n v="2022"/>
    <x v="741"/>
    <n v="29"/>
    <s v="4G"/>
  </r>
  <r>
    <n v="13853"/>
    <n v="463"/>
    <d v="2024-01-23T00:00:00"/>
    <s v="January"/>
    <n v="2024"/>
    <x v="489"/>
    <n v="126"/>
    <s v="4G"/>
  </r>
  <r>
    <n v="13854"/>
    <n v="319"/>
    <d v="2024-04-17T00:00:00"/>
    <s v="April"/>
    <n v="2024"/>
    <x v="142"/>
    <n v="120"/>
    <s v="4G"/>
  </r>
  <r>
    <n v="13855"/>
    <n v="167"/>
    <d v="2024-04-10T00:00:00"/>
    <s v="April"/>
    <n v="2024"/>
    <x v="808"/>
    <n v="98"/>
    <s v="4G"/>
  </r>
  <r>
    <n v="13856"/>
    <n v="13"/>
    <d v="2023-04-22T00:00:00"/>
    <s v="April"/>
    <n v="2023"/>
    <x v="533"/>
    <n v="165"/>
    <s v="5G"/>
  </r>
  <r>
    <n v="13857"/>
    <n v="337"/>
    <d v="2024-04-22T00:00:00"/>
    <s v="April"/>
    <n v="2024"/>
    <x v="815"/>
    <n v="240"/>
    <s v="4G"/>
  </r>
  <r>
    <n v="13858"/>
    <n v="32"/>
    <d v="2023-02-18T00:00:00"/>
    <s v="February"/>
    <n v="2023"/>
    <x v="663"/>
    <n v="49"/>
    <s v="4G"/>
  </r>
  <r>
    <n v="13859"/>
    <n v="393"/>
    <d v="2022-06-02T00:00:00"/>
    <s v="June"/>
    <n v="2022"/>
    <x v="816"/>
    <n v="267"/>
    <s v="4G"/>
  </r>
  <r>
    <n v="13860"/>
    <n v="40"/>
    <d v="2022-04-14T00:00:00"/>
    <s v="April"/>
    <n v="2022"/>
    <x v="496"/>
    <n v="72"/>
    <s v="4G"/>
  </r>
  <r>
    <n v="13861"/>
    <n v="148"/>
    <d v="2022-03-16T00:00:00"/>
    <s v="March"/>
    <n v="2022"/>
    <x v="737"/>
    <n v="299"/>
    <s v="4G"/>
  </r>
  <r>
    <n v="13862"/>
    <n v="218"/>
    <d v="2022-05-08T00:00:00"/>
    <s v="May"/>
    <n v="2022"/>
    <x v="560"/>
    <n v="51"/>
    <s v="4G"/>
  </r>
  <r>
    <n v="13863"/>
    <n v="219"/>
    <d v="2023-12-12T00:00:00"/>
    <s v="December"/>
    <n v="2023"/>
    <x v="222"/>
    <n v="264"/>
    <s v="4G"/>
  </r>
  <r>
    <n v="13864"/>
    <n v="469"/>
    <d v="2023-10-28T00:00:00"/>
    <s v="October"/>
    <n v="2023"/>
    <x v="135"/>
    <n v="226"/>
    <s v="4G"/>
  </r>
  <r>
    <n v="13865"/>
    <n v="82"/>
    <d v="2023-07-22T00:00:00"/>
    <s v="July"/>
    <n v="2023"/>
    <x v="782"/>
    <n v="192"/>
    <s v="4G"/>
  </r>
  <r>
    <n v="13866"/>
    <n v="333"/>
    <d v="2024-02-29T00:00:00"/>
    <s v="February"/>
    <n v="2024"/>
    <x v="465"/>
    <n v="238"/>
    <s v="4G"/>
  </r>
  <r>
    <n v="13867"/>
    <n v="208"/>
    <d v="2022-12-11T00:00:00"/>
    <s v="December"/>
    <n v="2022"/>
    <x v="708"/>
    <n v="9"/>
    <s v="4G"/>
  </r>
  <r>
    <n v="13868"/>
    <n v="201"/>
    <d v="2023-06-15T00:00:00"/>
    <s v="June"/>
    <n v="2023"/>
    <x v="254"/>
    <n v="227"/>
    <s v="5G"/>
  </r>
  <r>
    <n v="13869"/>
    <n v="447"/>
    <d v="2022-06-08T00:00:00"/>
    <s v="June"/>
    <n v="2022"/>
    <x v="177"/>
    <n v="292"/>
    <s v="4G"/>
  </r>
  <r>
    <n v="13870"/>
    <n v="332"/>
    <d v="2023-06-22T00:00:00"/>
    <s v="June"/>
    <n v="2023"/>
    <x v="777"/>
    <n v="51"/>
    <s v="4G"/>
  </r>
  <r>
    <n v="13871"/>
    <n v="428"/>
    <d v="2023-03-02T00:00:00"/>
    <s v="March"/>
    <n v="2023"/>
    <x v="378"/>
    <n v="239"/>
    <s v="4G"/>
  </r>
  <r>
    <n v="13872"/>
    <n v="38"/>
    <d v="2023-11-12T00:00:00"/>
    <s v="November"/>
    <n v="2023"/>
    <x v="425"/>
    <n v="98"/>
    <s v="4G"/>
  </r>
  <r>
    <n v="13873"/>
    <n v="211"/>
    <d v="2022-01-23T00:00:00"/>
    <s v="January"/>
    <n v="2022"/>
    <x v="268"/>
    <n v="80"/>
    <s v="5G"/>
  </r>
  <r>
    <n v="13874"/>
    <n v="444"/>
    <d v="2022-02-16T00:00:00"/>
    <s v="February"/>
    <n v="2022"/>
    <x v="438"/>
    <n v="12"/>
    <s v="4G"/>
  </r>
  <r>
    <n v="13875"/>
    <n v="327"/>
    <d v="2023-06-09T00:00:00"/>
    <s v="June"/>
    <n v="2023"/>
    <x v="351"/>
    <n v="127"/>
    <s v="5G"/>
  </r>
  <r>
    <n v="13876"/>
    <n v="249"/>
    <d v="2023-12-30T00:00:00"/>
    <s v="December"/>
    <n v="2023"/>
    <x v="41"/>
    <n v="10"/>
    <s v="4G"/>
  </r>
  <r>
    <n v="13877"/>
    <n v="227"/>
    <d v="2024-04-13T00:00:00"/>
    <s v="April"/>
    <n v="2024"/>
    <x v="163"/>
    <n v="80"/>
    <s v="4G"/>
  </r>
  <r>
    <n v="13878"/>
    <n v="48"/>
    <d v="2023-12-07T00:00:00"/>
    <s v="December"/>
    <n v="2023"/>
    <x v="148"/>
    <n v="260"/>
    <s v="5G"/>
  </r>
  <r>
    <n v="13879"/>
    <n v="18"/>
    <d v="2022-05-24T00:00:00"/>
    <s v="May"/>
    <n v="2022"/>
    <x v="12"/>
    <n v="5"/>
    <s v="4G"/>
  </r>
  <r>
    <n v="13880"/>
    <n v="400"/>
    <d v="2023-08-08T00:00:00"/>
    <s v="August"/>
    <n v="2023"/>
    <x v="107"/>
    <n v="221"/>
    <s v="4G"/>
  </r>
  <r>
    <n v="13881"/>
    <n v="439"/>
    <d v="2023-10-30T00:00:00"/>
    <s v="October"/>
    <n v="2023"/>
    <x v="20"/>
    <n v="297"/>
    <s v="5G"/>
  </r>
  <r>
    <n v="13882"/>
    <n v="295"/>
    <d v="2023-08-12T00:00:00"/>
    <s v="August"/>
    <n v="2023"/>
    <x v="242"/>
    <n v="80"/>
    <s v="5G"/>
  </r>
  <r>
    <n v="13883"/>
    <n v="196"/>
    <d v="2023-02-23T00:00:00"/>
    <s v="February"/>
    <n v="2023"/>
    <x v="198"/>
    <n v="2"/>
    <s v="4G"/>
  </r>
  <r>
    <n v="13884"/>
    <n v="187"/>
    <d v="2023-11-12T00:00:00"/>
    <s v="November"/>
    <n v="2023"/>
    <x v="378"/>
    <n v="59"/>
    <s v="4G"/>
  </r>
  <r>
    <n v="13885"/>
    <n v="345"/>
    <d v="2024-03-09T00:00:00"/>
    <s v="March"/>
    <n v="2024"/>
    <x v="159"/>
    <n v="220"/>
    <s v="4G"/>
  </r>
  <r>
    <n v="13886"/>
    <n v="224"/>
    <d v="2022-03-26T00:00:00"/>
    <s v="March"/>
    <n v="2022"/>
    <x v="431"/>
    <n v="48"/>
    <s v="4G"/>
  </r>
  <r>
    <n v="13887"/>
    <n v="318"/>
    <d v="2023-02-20T00:00:00"/>
    <s v="February"/>
    <n v="2023"/>
    <x v="581"/>
    <n v="227"/>
    <s v="4G"/>
  </r>
  <r>
    <n v="13888"/>
    <n v="488"/>
    <d v="2023-11-25T00:00:00"/>
    <s v="November"/>
    <n v="2023"/>
    <x v="116"/>
    <n v="289"/>
    <s v="5G"/>
  </r>
  <r>
    <n v="13889"/>
    <n v="397"/>
    <d v="2023-04-27T00:00:00"/>
    <s v="April"/>
    <n v="2023"/>
    <x v="330"/>
    <n v="292"/>
    <s v="4G"/>
  </r>
  <r>
    <n v="13890"/>
    <n v="365"/>
    <d v="2023-04-01T00:00:00"/>
    <s v="April"/>
    <n v="2023"/>
    <x v="146"/>
    <n v="297"/>
    <s v="5G"/>
  </r>
  <r>
    <n v="13891"/>
    <n v="337"/>
    <d v="2024-04-06T00:00:00"/>
    <s v="April"/>
    <n v="2024"/>
    <x v="536"/>
    <n v="192"/>
    <s v="4G"/>
  </r>
  <r>
    <n v="13892"/>
    <n v="497"/>
    <d v="2022-10-24T00:00:00"/>
    <s v="October"/>
    <n v="2022"/>
    <x v="817"/>
    <n v="256"/>
    <s v="4G"/>
  </r>
  <r>
    <n v="13893"/>
    <n v="229"/>
    <d v="2022-04-22T00:00:00"/>
    <s v="April"/>
    <n v="2022"/>
    <x v="198"/>
    <n v="102"/>
    <s v="5G"/>
  </r>
  <r>
    <n v="13894"/>
    <n v="390"/>
    <d v="2022-08-18T00:00:00"/>
    <s v="August"/>
    <n v="2022"/>
    <x v="29"/>
    <n v="145"/>
    <s v="4G"/>
  </r>
  <r>
    <n v="13895"/>
    <n v="467"/>
    <d v="2022-04-06T00:00:00"/>
    <s v="April"/>
    <n v="2022"/>
    <x v="668"/>
    <n v="289"/>
    <s v="4G"/>
  </r>
  <r>
    <n v="13896"/>
    <n v="77"/>
    <d v="2023-11-11T00:00:00"/>
    <s v="November"/>
    <n v="2023"/>
    <x v="434"/>
    <n v="256"/>
    <s v="4G"/>
  </r>
  <r>
    <n v="13897"/>
    <n v="188"/>
    <d v="2023-01-13T00:00:00"/>
    <s v="January"/>
    <n v="2023"/>
    <x v="304"/>
    <n v="277"/>
    <s v="5G"/>
  </r>
  <r>
    <n v="13898"/>
    <n v="346"/>
    <d v="2022-06-05T00:00:00"/>
    <s v="June"/>
    <n v="2022"/>
    <x v="517"/>
    <n v="188"/>
    <s v="4G"/>
  </r>
  <r>
    <n v="13899"/>
    <n v="270"/>
    <d v="2023-02-25T00:00:00"/>
    <s v="February"/>
    <n v="2023"/>
    <x v="818"/>
    <n v="177"/>
    <s v="4G"/>
  </r>
  <r>
    <n v="13900"/>
    <n v="95"/>
    <d v="2022-04-15T00:00:00"/>
    <s v="April"/>
    <n v="2022"/>
    <x v="179"/>
    <n v="15"/>
    <s v="4G"/>
  </r>
  <r>
    <n v="13901"/>
    <n v="310"/>
    <d v="2023-12-06T00:00:00"/>
    <s v="December"/>
    <n v="2023"/>
    <x v="819"/>
    <n v="85"/>
    <s v="4G"/>
  </r>
  <r>
    <n v="13902"/>
    <n v="132"/>
    <d v="2022-11-26T00:00:00"/>
    <s v="November"/>
    <n v="2022"/>
    <x v="721"/>
    <n v="247"/>
    <s v="5G"/>
  </r>
  <r>
    <n v="13903"/>
    <n v="39"/>
    <d v="2023-03-15T00:00:00"/>
    <s v="March"/>
    <n v="2023"/>
    <x v="176"/>
    <n v="216"/>
    <s v="4G"/>
  </r>
  <r>
    <n v="13904"/>
    <n v="72"/>
    <d v="2022-05-12T00:00:00"/>
    <s v="May"/>
    <n v="2022"/>
    <x v="259"/>
    <n v="41"/>
    <s v="4G"/>
  </r>
  <r>
    <n v="13905"/>
    <n v="281"/>
    <d v="2024-05-16T00:00:00"/>
    <s v="May"/>
    <n v="2024"/>
    <x v="45"/>
    <n v="193"/>
    <s v="4G"/>
  </r>
  <r>
    <n v="13906"/>
    <n v="333"/>
    <d v="2023-01-17T00:00:00"/>
    <s v="January"/>
    <n v="2023"/>
    <x v="146"/>
    <n v="162"/>
    <s v="5G"/>
  </r>
  <r>
    <n v="13907"/>
    <n v="160"/>
    <d v="2022-05-18T00:00:00"/>
    <s v="May"/>
    <n v="2022"/>
    <x v="223"/>
    <n v="275"/>
    <s v="5G"/>
  </r>
  <r>
    <n v="13908"/>
    <n v="187"/>
    <d v="2024-04-22T00:00:00"/>
    <s v="April"/>
    <n v="2024"/>
    <x v="346"/>
    <n v="129"/>
    <s v="5G"/>
  </r>
  <r>
    <n v="13909"/>
    <n v="486"/>
    <d v="2022-09-27T00:00:00"/>
    <s v="September"/>
    <n v="2022"/>
    <x v="135"/>
    <n v="262"/>
    <s v="4G"/>
  </r>
  <r>
    <n v="13910"/>
    <n v="191"/>
    <d v="2023-07-04T00:00:00"/>
    <s v="July"/>
    <n v="2023"/>
    <x v="188"/>
    <n v="176"/>
    <s v="4G"/>
  </r>
  <r>
    <n v="13911"/>
    <n v="422"/>
    <d v="2023-01-31T00:00:00"/>
    <s v="January"/>
    <n v="2023"/>
    <x v="478"/>
    <n v="264"/>
    <s v="4G"/>
  </r>
  <r>
    <n v="13912"/>
    <n v="120"/>
    <d v="2023-07-11T00:00:00"/>
    <s v="July"/>
    <n v="2023"/>
    <x v="107"/>
    <n v="26"/>
    <s v="5G"/>
  </r>
  <r>
    <n v="13913"/>
    <n v="220"/>
    <d v="2023-04-09T00:00:00"/>
    <s v="April"/>
    <n v="2023"/>
    <x v="84"/>
    <n v="84"/>
    <s v="5G"/>
  </r>
  <r>
    <n v="13914"/>
    <n v="53"/>
    <d v="2023-11-06T00:00:00"/>
    <s v="November"/>
    <n v="2023"/>
    <x v="93"/>
    <n v="195"/>
    <s v="5G"/>
  </r>
  <r>
    <n v="13915"/>
    <n v="222"/>
    <d v="2023-03-26T00:00:00"/>
    <s v="March"/>
    <n v="2023"/>
    <x v="158"/>
    <n v="242"/>
    <s v="4G"/>
  </r>
  <r>
    <n v="13916"/>
    <n v="451"/>
    <d v="2022-11-27T00:00:00"/>
    <s v="November"/>
    <n v="2022"/>
    <x v="126"/>
    <n v="176"/>
    <s v="4G"/>
  </r>
  <r>
    <n v="13917"/>
    <n v="412"/>
    <d v="2022-09-10T00:00:00"/>
    <s v="September"/>
    <n v="2022"/>
    <x v="333"/>
    <n v="129"/>
    <s v="4G"/>
  </r>
  <r>
    <n v="13918"/>
    <n v="131"/>
    <d v="2023-11-12T00:00:00"/>
    <s v="November"/>
    <n v="2023"/>
    <x v="226"/>
    <n v="144"/>
    <s v="5G"/>
  </r>
  <r>
    <n v="13919"/>
    <n v="237"/>
    <d v="2022-10-12T00:00:00"/>
    <s v="October"/>
    <n v="2022"/>
    <x v="727"/>
    <n v="82"/>
    <s v="4G"/>
  </r>
  <r>
    <n v="13920"/>
    <n v="246"/>
    <d v="2022-10-01T00:00:00"/>
    <s v="October"/>
    <n v="2022"/>
    <x v="212"/>
    <n v="87"/>
    <s v="5G"/>
  </r>
  <r>
    <n v="13921"/>
    <n v="226"/>
    <d v="2022-01-20T00:00:00"/>
    <s v="January"/>
    <n v="2022"/>
    <x v="330"/>
    <n v="19"/>
    <s v="4G"/>
  </r>
  <r>
    <n v="13922"/>
    <n v="208"/>
    <d v="2022-08-27T00:00:00"/>
    <s v="August"/>
    <n v="2022"/>
    <x v="22"/>
    <n v="229"/>
    <s v="4G"/>
  </r>
  <r>
    <n v="13923"/>
    <n v="406"/>
    <d v="2022-09-27T00:00:00"/>
    <s v="September"/>
    <n v="2022"/>
    <x v="254"/>
    <n v="125"/>
    <s v="4G"/>
  </r>
  <r>
    <n v="13924"/>
    <n v="96"/>
    <d v="2023-02-22T00:00:00"/>
    <s v="February"/>
    <n v="2023"/>
    <x v="34"/>
    <n v="50"/>
    <s v="4G"/>
  </r>
  <r>
    <n v="13925"/>
    <n v="422"/>
    <d v="2022-11-06T00:00:00"/>
    <s v="November"/>
    <n v="2022"/>
    <x v="24"/>
    <n v="87"/>
    <s v="4G"/>
  </r>
  <r>
    <n v="13926"/>
    <n v="200"/>
    <d v="2022-01-31T00:00:00"/>
    <s v="January"/>
    <n v="2022"/>
    <x v="392"/>
    <n v="169"/>
    <s v="4G"/>
  </r>
  <r>
    <n v="13927"/>
    <n v="247"/>
    <d v="2024-04-05T00:00:00"/>
    <s v="April"/>
    <n v="2024"/>
    <x v="140"/>
    <n v="62"/>
    <s v="4G"/>
  </r>
  <r>
    <n v="13928"/>
    <n v="72"/>
    <d v="2022-04-14T00:00:00"/>
    <s v="April"/>
    <n v="2022"/>
    <x v="355"/>
    <n v="88"/>
    <s v="4G"/>
  </r>
  <r>
    <n v="13929"/>
    <n v="318"/>
    <d v="2023-11-13T00:00:00"/>
    <s v="November"/>
    <n v="2023"/>
    <x v="127"/>
    <n v="188"/>
    <s v="5G"/>
  </r>
  <r>
    <n v="13930"/>
    <n v="185"/>
    <d v="2022-07-05T00:00:00"/>
    <s v="July"/>
    <n v="2022"/>
    <x v="256"/>
    <n v="189"/>
    <s v="5G"/>
  </r>
  <r>
    <n v="13931"/>
    <n v="6"/>
    <d v="2022-05-08T00:00:00"/>
    <s v="May"/>
    <n v="2022"/>
    <x v="631"/>
    <n v="88"/>
    <s v="4G"/>
  </r>
  <r>
    <n v="13932"/>
    <n v="206"/>
    <d v="2022-07-29T00:00:00"/>
    <s v="July"/>
    <n v="2022"/>
    <x v="135"/>
    <n v="25"/>
    <s v="4G"/>
  </r>
  <r>
    <n v="13933"/>
    <n v="32"/>
    <d v="2023-02-18T00:00:00"/>
    <s v="February"/>
    <n v="2023"/>
    <x v="230"/>
    <n v="175"/>
    <s v="4G"/>
  </r>
  <r>
    <n v="13934"/>
    <n v="99"/>
    <d v="2022-10-08T00:00:00"/>
    <s v="October"/>
    <n v="2022"/>
    <x v="503"/>
    <n v="263"/>
    <s v="5G"/>
  </r>
  <r>
    <n v="13935"/>
    <n v="394"/>
    <d v="2022-09-10T00:00:00"/>
    <s v="September"/>
    <n v="2022"/>
    <x v="106"/>
    <n v="41"/>
    <s v="4G"/>
  </r>
  <r>
    <n v="13936"/>
    <n v="387"/>
    <d v="2022-01-19T00:00:00"/>
    <s v="January"/>
    <n v="2022"/>
    <x v="820"/>
    <n v="118"/>
    <s v="4G"/>
  </r>
  <r>
    <n v="13937"/>
    <n v="256"/>
    <d v="2023-12-13T00:00:00"/>
    <s v="December"/>
    <n v="2023"/>
    <x v="254"/>
    <n v="168"/>
    <s v="5G"/>
  </r>
  <r>
    <n v="13938"/>
    <n v="187"/>
    <d v="2024-01-02T00:00:00"/>
    <s v="January"/>
    <n v="2024"/>
    <x v="115"/>
    <n v="107"/>
    <s v="4G"/>
  </r>
  <r>
    <n v="13939"/>
    <n v="76"/>
    <d v="2022-05-16T00:00:00"/>
    <s v="May"/>
    <n v="2022"/>
    <x v="261"/>
    <n v="146"/>
    <s v="5G"/>
  </r>
  <r>
    <n v="13940"/>
    <n v="177"/>
    <d v="2022-08-11T00:00:00"/>
    <s v="August"/>
    <n v="2022"/>
    <x v="590"/>
    <n v="175"/>
    <s v="4G"/>
  </r>
  <r>
    <n v="13941"/>
    <n v="315"/>
    <d v="2022-01-03T00:00:00"/>
    <s v="January"/>
    <n v="2022"/>
    <x v="119"/>
    <n v="188"/>
    <s v="4G"/>
  </r>
  <r>
    <n v="13942"/>
    <n v="287"/>
    <d v="2022-08-24T00:00:00"/>
    <s v="August"/>
    <n v="2022"/>
    <x v="61"/>
    <n v="159"/>
    <s v="4G"/>
  </r>
  <r>
    <n v="13943"/>
    <n v="349"/>
    <d v="2024-05-03T00:00:00"/>
    <s v="May"/>
    <n v="2024"/>
    <x v="393"/>
    <n v="73"/>
    <s v="5G"/>
  </r>
  <r>
    <n v="13944"/>
    <n v="255"/>
    <d v="2023-04-10T00:00:00"/>
    <s v="April"/>
    <n v="2023"/>
    <x v="56"/>
    <n v="17"/>
    <s v="5G"/>
  </r>
  <r>
    <n v="13945"/>
    <n v="325"/>
    <d v="2022-08-16T00:00:00"/>
    <s v="August"/>
    <n v="2022"/>
    <x v="405"/>
    <n v="139"/>
    <s v="4G"/>
  </r>
  <r>
    <n v="13946"/>
    <n v="190"/>
    <d v="2023-10-16T00:00:00"/>
    <s v="October"/>
    <n v="2023"/>
    <x v="487"/>
    <n v="114"/>
    <s v="4G"/>
  </r>
  <r>
    <n v="13947"/>
    <n v="308"/>
    <d v="2023-05-14T00:00:00"/>
    <s v="May"/>
    <n v="2023"/>
    <x v="530"/>
    <n v="224"/>
    <s v="4G"/>
  </r>
  <r>
    <n v="13948"/>
    <n v="345"/>
    <d v="2023-06-05T00:00:00"/>
    <s v="June"/>
    <n v="2023"/>
    <x v="375"/>
    <n v="45"/>
    <s v="5G"/>
  </r>
  <r>
    <n v="13949"/>
    <n v="127"/>
    <d v="2023-12-03T00:00:00"/>
    <s v="December"/>
    <n v="2023"/>
    <x v="624"/>
    <n v="37"/>
    <s v="4G"/>
  </r>
  <r>
    <n v="13950"/>
    <n v="425"/>
    <d v="2024-05-11T00:00:00"/>
    <s v="May"/>
    <n v="2024"/>
    <x v="9"/>
    <n v="205"/>
    <s v="5G"/>
  </r>
  <r>
    <n v="13951"/>
    <n v="287"/>
    <d v="2023-11-08T00:00:00"/>
    <s v="November"/>
    <n v="2023"/>
    <x v="660"/>
    <n v="8"/>
    <s v="4G"/>
  </r>
  <r>
    <n v="13952"/>
    <n v="254"/>
    <d v="2022-05-19T00:00:00"/>
    <s v="May"/>
    <n v="2022"/>
    <x v="516"/>
    <n v="252"/>
    <s v="4G"/>
  </r>
  <r>
    <n v="13953"/>
    <n v="213"/>
    <d v="2022-10-03T00:00:00"/>
    <s v="October"/>
    <n v="2022"/>
    <x v="175"/>
    <n v="107"/>
    <s v="4G"/>
  </r>
  <r>
    <n v="13954"/>
    <n v="250"/>
    <d v="2022-10-18T00:00:00"/>
    <s v="October"/>
    <n v="2022"/>
    <x v="633"/>
    <n v="97"/>
    <s v="5G"/>
  </r>
  <r>
    <n v="13955"/>
    <n v="84"/>
    <d v="2022-02-22T00:00:00"/>
    <s v="February"/>
    <n v="2022"/>
    <x v="176"/>
    <n v="274"/>
    <s v="5G"/>
  </r>
  <r>
    <n v="13956"/>
    <n v="487"/>
    <d v="2023-11-18T00:00:00"/>
    <s v="November"/>
    <n v="2023"/>
    <x v="253"/>
    <n v="70"/>
    <s v="4G"/>
  </r>
  <r>
    <n v="13957"/>
    <n v="383"/>
    <d v="2022-04-20T00:00:00"/>
    <s v="April"/>
    <n v="2022"/>
    <x v="608"/>
    <n v="38"/>
    <s v="4G"/>
  </r>
  <r>
    <n v="13958"/>
    <n v="406"/>
    <d v="2023-12-16T00:00:00"/>
    <s v="December"/>
    <n v="2023"/>
    <x v="178"/>
    <n v="297"/>
    <s v="4G"/>
  </r>
  <r>
    <n v="13959"/>
    <n v="388"/>
    <d v="2023-10-10T00:00:00"/>
    <s v="October"/>
    <n v="2023"/>
    <x v="762"/>
    <n v="89"/>
    <s v="4G"/>
  </r>
  <r>
    <n v="13960"/>
    <n v="13"/>
    <d v="2022-01-04T00:00:00"/>
    <s v="January"/>
    <n v="2022"/>
    <x v="127"/>
    <n v="218"/>
    <s v="5G"/>
  </r>
  <r>
    <n v="13961"/>
    <n v="45"/>
    <d v="2023-10-29T00:00:00"/>
    <s v="October"/>
    <n v="2023"/>
    <x v="110"/>
    <n v="106"/>
    <s v="4G"/>
  </r>
  <r>
    <n v="13962"/>
    <n v="127"/>
    <d v="2023-11-15T00:00:00"/>
    <s v="November"/>
    <n v="2023"/>
    <x v="500"/>
    <n v="95"/>
    <s v="5G"/>
  </r>
  <r>
    <n v="13963"/>
    <n v="426"/>
    <d v="2024-05-19T00:00:00"/>
    <s v="May"/>
    <n v="2024"/>
    <x v="121"/>
    <n v="31"/>
    <s v="5G"/>
  </r>
  <r>
    <n v="13964"/>
    <n v="114"/>
    <d v="2022-02-16T00:00:00"/>
    <s v="February"/>
    <n v="2022"/>
    <x v="506"/>
    <n v="125"/>
    <s v="5G"/>
  </r>
  <r>
    <n v="13965"/>
    <n v="433"/>
    <d v="2022-04-04T00:00:00"/>
    <s v="April"/>
    <n v="2022"/>
    <x v="821"/>
    <n v="146"/>
    <s v="5G"/>
  </r>
  <r>
    <n v="13966"/>
    <n v="276"/>
    <d v="2023-07-14T00:00:00"/>
    <s v="July"/>
    <n v="2023"/>
    <x v="38"/>
    <n v="279"/>
    <s v="4G"/>
  </r>
  <r>
    <n v="13967"/>
    <n v="500"/>
    <d v="2024-01-22T00:00:00"/>
    <s v="January"/>
    <n v="2024"/>
    <x v="73"/>
    <n v="23"/>
    <s v="5G"/>
  </r>
  <r>
    <n v="13968"/>
    <n v="205"/>
    <d v="2024-05-08T00:00:00"/>
    <s v="May"/>
    <n v="2024"/>
    <x v="627"/>
    <n v="208"/>
    <s v="4G"/>
  </r>
  <r>
    <n v="13969"/>
    <n v="337"/>
    <d v="2022-08-01T00:00:00"/>
    <s v="August"/>
    <n v="2022"/>
    <x v="268"/>
    <n v="119"/>
    <s v="4G"/>
  </r>
  <r>
    <n v="13970"/>
    <n v="438"/>
    <d v="2023-03-12T00:00:00"/>
    <s v="March"/>
    <n v="2023"/>
    <x v="9"/>
    <n v="273"/>
    <s v="5G"/>
  </r>
  <r>
    <n v="13971"/>
    <n v="420"/>
    <d v="2024-05-01T00:00:00"/>
    <s v="May"/>
    <n v="2024"/>
    <x v="259"/>
    <n v="139"/>
    <s v="4G"/>
  </r>
  <r>
    <n v="13972"/>
    <n v="481"/>
    <d v="2023-05-23T00:00:00"/>
    <s v="May"/>
    <n v="2023"/>
    <x v="520"/>
    <n v="296"/>
    <s v="5G"/>
  </r>
  <r>
    <n v="13973"/>
    <n v="385"/>
    <d v="2024-04-15T00:00:00"/>
    <s v="April"/>
    <n v="2024"/>
    <x v="192"/>
    <n v="81"/>
    <s v="5G"/>
  </r>
  <r>
    <n v="13974"/>
    <n v="399"/>
    <d v="2023-10-13T00:00:00"/>
    <s v="October"/>
    <n v="2023"/>
    <x v="638"/>
    <n v="207"/>
    <s v="5G"/>
  </r>
  <r>
    <n v="13975"/>
    <n v="461"/>
    <d v="2022-07-24T00:00:00"/>
    <s v="July"/>
    <n v="2022"/>
    <x v="342"/>
    <n v="32"/>
    <s v="4G"/>
  </r>
  <r>
    <n v="13976"/>
    <n v="273"/>
    <d v="2023-01-16T00:00:00"/>
    <s v="January"/>
    <n v="2023"/>
    <x v="725"/>
    <n v="23"/>
    <s v="4G"/>
  </r>
  <r>
    <n v="13977"/>
    <n v="408"/>
    <d v="2022-03-14T00:00:00"/>
    <s v="March"/>
    <n v="2022"/>
    <x v="342"/>
    <n v="60"/>
    <s v="4G"/>
  </r>
  <r>
    <n v="13978"/>
    <n v="58"/>
    <d v="2023-05-31T00:00:00"/>
    <s v="May"/>
    <n v="2023"/>
    <x v="378"/>
    <n v="188"/>
    <s v="5G"/>
  </r>
  <r>
    <n v="13979"/>
    <n v="328"/>
    <d v="2022-03-17T00:00:00"/>
    <s v="March"/>
    <n v="2022"/>
    <x v="754"/>
    <n v="83"/>
    <s v="4G"/>
  </r>
  <r>
    <n v="13980"/>
    <n v="498"/>
    <d v="2024-04-20T00:00:00"/>
    <s v="April"/>
    <n v="2024"/>
    <x v="129"/>
    <n v="224"/>
    <s v="4G"/>
  </r>
  <r>
    <n v="13981"/>
    <n v="219"/>
    <d v="2022-03-18T00:00:00"/>
    <s v="March"/>
    <n v="2022"/>
    <x v="117"/>
    <n v="167"/>
    <s v="4G"/>
  </r>
  <r>
    <n v="13982"/>
    <n v="109"/>
    <d v="2024-03-26T00:00:00"/>
    <s v="March"/>
    <n v="2024"/>
    <x v="158"/>
    <n v="185"/>
    <s v="4G"/>
  </r>
  <r>
    <n v="13983"/>
    <n v="279"/>
    <d v="2024-02-07T00:00:00"/>
    <s v="February"/>
    <n v="2024"/>
    <x v="139"/>
    <n v="71"/>
    <s v="4G"/>
  </r>
  <r>
    <n v="13984"/>
    <n v="174"/>
    <d v="2023-02-14T00:00:00"/>
    <s v="February"/>
    <n v="2023"/>
    <x v="559"/>
    <n v="73"/>
    <s v="4G"/>
  </r>
  <r>
    <n v="13985"/>
    <n v="328"/>
    <d v="2023-09-06T00:00:00"/>
    <s v="September"/>
    <n v="2023"/>
    <x v="223"/>
    <n v="152"/>
    <s v="4G"/>
  </r>
  <r>
    <n v="13986"/>
    <n v="264"/>
    <d v="2022-04-16T00:00:00"/>
    <s v="April"/>
    <n v="2022"/>
    <x v="767"/>
    <n v="95"/>
    <s v="5G"/>
  </r>
  <r>
    <n v="13987"/>
    <n v="315"/>
    <d v="2024-04-24T00:00:00"/>
    <s v="April"/>
    <n v="2024"/>
    <x v="107"/>
    <n v="52"/>
    <s v="4G"/>
  </r>
  <r>
    <n v="13988"/>
    <n v="474"/>
    <d v="2023-07-05T00:00:00"/>
    <s v="July"/>
    <n v="2023"/>
    <x v="74"/>
    <n v="173"/>
    <s v="4G"/>
  </r>
  <r>
    <n v="13989"/>
    <n v="111"/>
    <d v="2023-04-21T00:00:00"/>
    <s v="April"/>
    <n v="2023"/>
    <x v="822"/>
    <n v="109"/>
    <s v="4G"/>
  </r>
  <r>
    <n v="13990"/>
    <n v="187"/>
    <d v="2024-04-05T00:00:00"/>
    <s v="April"/>
    <n v="2024"/>
    <x v="374"/>
    <n v="50"/>
    <s v="5G"/>
  </r>
  <r>
    <n v="13991"/>
    <n v="269"/>
    <d v="2022-10-02T00:00:00"/>
    <s v="October"/>
    <n v="2022"/>
    <x v="351"/>
    <n v="252"/>
    <s v="4G"/>
  </r>
  <r>
    <n v="13992"/>
    <n v="423"/>
    <d v="2022-03-29T00:00:00"/>
    <s v="March"/>
    <n v="2022"/>
    <x v="355"/>
    <n v="72"/>
    <s v="4G"/>
  </r>
  <r>
    <n v="13993"/>
    <n v="229"/>
    <d v="2023-12-24T00:00:00"/>
    <s v="December"/>
    <n v="2023"/>
    <x v="175"/>
    <n v="211"/>
    <s v="4G"/>
  </r>
  <r>
    <n v="13994"/>
    <n v="497"/>
    <d v="2024-05-30T00:00:00"/>
    <s v="May"/>
    <n v="2024"/>
    <x v="282"/>
    <n v="211"/>
    <s v="4G"/>
  </r>
  <r>
    <n v="13995"/>
    <n v="156"/>
    <d v="2022-03-18T00:00:00"/>
    <s v="March"/>
    <n v="2022"/>
    <x v="638"/>
    <n v="250"/>
    <s v="4G"/>
  </r>
  <r>
    <n v="13996"/>
    <n v="473"/>
    <d v="2022-03-18T00:00:00"/>
    <s v="March"/>
    <n v="2022"/>
    <x v="627"/>
    <n v="167"/>
    <s v="4G"/>
  </r>
  <r>
    <n v="13997"/>
    <n v="189"/>
    <d v="2023-03-18T00:00:00"/>
    <s v="March"/>
    <n v="2023"/>
    <x v="171"/>
    <n v="262"/>
    <s v="5G"/>
  </r>
  <r>
    <n v="13998"/>
    <n v="272"/>
    <d v="2023-06-24T00:00:00"/>
    <s v="June"/>
    <n v="2023"/>
    <x v="289"/>
    <n v="229"/>
    <s v="4G"/>
  </r>
  <r>
    <n v="13999"/>
    <n v="375"/>
    <d v="2022-09-02T00:00:00"/>
    <s v="September"/>
    <n v="2022"/>
    <x v="231"/>
    <n v="238"/>
    <s v="4G"/>
  </r>
  <r>
    <n v="14000"/>
    <n v="2"/>
    <d v="2023-08-01T00:00:00"/>
    <s v="August"/>
    <n v="2023"/>
    <x v="396"/>
    <n v="274"/>
    <s v="4G"/>
  </r>
  <r>
    <n v="14001"/>
    <n v="246"/>
    <d v="2024-02-17T00:00:00"/>
    <s v="February"/>
    <n v="2024"/>
    <x v="268"/>
    <n v="142"/>
    <s v="4G"/>
  </r>
  <r>
    <n v="14002"/>
    <n v="210"/>
    <d v="2023-01-17T00:00:00"/>
    <s v="January"/>
    <n v="2023"/>
    <x v="823"/>
    <n v="69"/>
    <s v="5G"/>
  </r>
  <r>
    <n v="14003"/>
    <n v="401"/>
    <d v="2023-12-18T00:00:00"/>
    <s v="December"/>
    <n v="2023"/>
    <x v="162"/>
    <n v="173"/>
    <s v="4G"/>
  </r>
  <r>
    <n v="14004"/>
    <n v="286"/>
    <d v="2023-07-24T00:00:00"/>
    <s v="July"/>
    <n v="2023"/>
    <x v="437"/>
    <n v="108"/>
    <s v="5G"/>
  </r>
  <r>
    <n v="14005"/>
    <n v="359"/>
    <d v="2023-12-14T00:00:00"/>
    <s v="December"/>
    <n v="2023"/>
    <x v="217"/>
    <n v="202"/>
    <s v="5G"/>
  </r>
  <r>
    <n v="14006"/>
    <n v="13"/>
    <d v="2024-01-07T00:00:00"/>
    <s v="January"/>
    <n v="2024"/>
    <x v="824"/>
    <n v="184"/>
    <s v="4G"/>
  </r>
  <r>
    <n v="14007"/>
    <n v="96"/>
    <d v="2022-05-22T00:00:00"/>
    <s v="May"/>
    <n v="2022"/>
    <x v="375"/>
    <n v="290"/>
    <s v="5G"/>
  </r>
  <r>
    <n v="14008"/>
    <n v="498"/>
    <d v="2024-06-11T00:00:00"/>
    <s v="June"/>
    <n v="2024"/>
    <x v="8"/>
    <n v="91"/>
    <s v="4G"/>
  </r>
  <r>
    <n v="14009"/>
    <n v="221"/>
    <d v="2023-01-03T00:00:00"/>
    <s v="January"/>
    <n v="2023"/>
    <x v="825"/>
    <n v="258"/>
    <s v="4G"/>
  </r>
  <r>
    <n v="14010"/>
    <n v="238"/>
    <d v="2022-03-25T00:00:00"/>
    <s v="March"/>
    <n v="2022"/>
    <x v="454"/>
    <n v="205"/>
    <s v="4G"/>
  </r>
  <r>
    <n v="14011"/>
    <n v="94"/>
    <d v="2022-05-23T00:00:00"/>
    <s v="May"/>
    <n v="2022"/>
    <x v="312"/>
    <n v="51"/>
    <s v="4G"/>
  </r>
  <r>
    <n v="14012"/>
    <n v="338"/>
    <d v="2022-12-18T00:00:00"/>
    <s v="December"/>
    <n v="2022"/>
    <x v="202"/>
    <n v="180"/>
    <s v="4G"/>
  </r>
  <r>
    <n v="14013"/>
    <n v="269"/>
    <d v="2023-06-29T00:00:00"/>
    <s v="June"/>
    <n v="2023"/>
    <x v="12"/>
    <n v="2"/>
    <s v="4G"/>
  </r>
  <r>
    <n v="14014"/>
    <n v="171"/>
    <d v="2022-06-01T00:00:00"/>
    <s v="June"/>
    <n v="2022"/>
    <x v="112"/>
    <n v="83"/>
    <s v="4G"/>
  </r>
  <r>
    <n v="14015"/>
    <n v="469"/>
    <d v="2022-06-07T00:00:00"/>
    <s v="June"/>
    <n v="2022"/>
    <x v="672"/>
    <n v="213"/>
    <s v="4G"/>
  </r>
  <r>
    <n v="14016"/>
    <n v="94"/>
    <d v="2023-03-22T00:00:00"/>
    <s v="March"/>
    <n v="2023"/>
    <x v="321"/>
    <n v="33"/>
    <s v="4G"/>
  </r>
  <r>
    <n v="14017"/>
    <n v="149"/>
    <d v="2023-10-15T00:00:00"/>
    <s v="October"/>
    <n v="2023"/>
    <x v="539"/>
    <n v="49"/>
    <s v="4G"/>
  </r>
  <r>
    <n v="14018"/>
    <n v="112"/>
    <d v="2024-02-02T00:00:00"/>
    <s v="February"/>
    <n v="2024"/>
    <x v="182"/>
    <n v="288"/>
    <s v="4G"/>
  </r>
  <r>
    <n v="14019"/>
    <n v="55"/>
    <d v="2022-10-30T00:00:00"/>
    <s v="October"/>
    <n v="2022"/>
    <x v="474"/>
    <n v="258"/>
    <s v="4G"/>
  </r>
  <r>
    <n v="14020"/>
    <n v="337"/>
    <d v="2023-09-16T00:00:00"/>
    <s v="September"/>
    <n v="2023"/>
    <x v="82"/>
    <n v="257"/>
    <s v="4G"/>
  </r>
  <r>
    <n v="14021"/>
    <n v="424"/>
    <d v="2023-10-18T00:00:00"/>
    <s v="October"/>
    <n v="2023"/>
    <x v="225"/>
    <n v="271"/>
    <s v="4G"/>
  </r>
  <r>
    <n v="14022"/>
    <n v="467"/>
    <d v="2023-03-26T00:00:00"/>
    <s v="March"/>
    <n v="2023"/>
    <x v="233"/>
    <n v="181"/>
    <s v="4G"/>
  </r>
  <r>
    <n v="14023"/>
    <n v="116"/>
    <d v="2023-12-22T00:00:00"/>
    <s v="December"/>
    <n v="2023"/>
    <x v="443"/>
    <n v="32"/>
    <s v="4G"/>
  </r>
  <r>
    <n v="14024"/>
    <n v="143"/>
    <d v="2022-08-12T00:00:00"/>
    <s v="August"/>
    <n v="2022"/>
    <x v="29"/>
    <n v="264"/>
    <s v="4G"/>
  </r>
  <r>
    <n v="14025"/>
    <n v="201"/>
    <d v="2022-02-12T00:00:00"/>
    <s v="February"/>
    <n v="2022"/>
    <x v="253"/>
    <n v="39"/>
    <s v="5G"/>
  </r>
  <r>
    <n v="14026"/>
    <n v="180"/>
    <d v="2022-09-21T00:00:00"/>
    <s v="September"/>
    <n v="2022"/>
    <x v="178"/>
    <n v="209"/>
    <s v="4G"/>
  </r>
  <r>
    <n v="14027"/>
    <n v="202"/>
    <d v="2024-01-26T00:00:00"/>
    <s v="January"/>
    <n v="2024"/>
    <x v="77"/>
    <n v="271"/>
    <s v="4G"/>
  </r>
  <r>
    <n v="14028"/>
    <n v="364"/>
    <d v="2022-01-03T00:00:00"/>
    <s v="January"/>
    <n v="2022"/>
    <x v="692"/>
    <n v="135"/>
    <s v="4G"/>
  </r>
  <r>
    <n v="14029"/>
    <n v="479"/>
    <d v="2023-09-29T00:00:00"/>
    <s v="September"/>
    <n v="2023"/>
    <x v="406"/>
    <n v="86"/>
    <s v="4G"/>
  </r>
  <r>
    <n v="14030"/>
    <n v="53"/>
    <d v="2022-09-25T00:00:00"/>
    <s v="September"/>
    <n v="2022"/>
    <x v="482"/>
    <n v="59"/>
    <s v="4G"/>
  </r>
  <r>
    <n v="14031"/>
    <n v="471"/>
    <d v="2023-08-19T00:00:00"/>
    <s v="August"/>
    <n v="2023"/>
    <x v="146"/>
    <n v="163"/>
    <s v="4G"/>
  </r>
  <r>
    <n v="14032"/>
    <n v="384"/>
    <d v="2022-01-16T00:00:00"/>
    <s v="January"/>
    <n v="2022"/>
    <x v="330"/>
    <n v="2"/>
    <s v="4G"/>
  </r>
  <r>
    <n v="14033"/>
    <n v="180"/>
    <d v="2022-11-30T00:00:00"/>
    <s v="November"/>
    <n v="2022"/>
    <x v="496"/>
    <n v="14"/>
    <s v="4G"/>
  </r>
  <r>
    <n v="14034"/>
    <n v="414"/>
    <d v="2023-04-09T00:00:00"/>
    <s v="April"/>
    <n v="2023"/>
    <x v="313"/>
    <n v="101"/>
    <s v="5G"/>
  </r>
  <r>
    <n v="14035"/>
    <n v="417"/>
    <d v="2022-02-28T00:00:00"/>
    <s v="February"/>
    <n v="2022"/>
    <x v="619"/>
    <n v="254"/>
    <s v="4G"/>
  </r>
  <r>
    <n v="14036"/>
    <n v="313"/>
    <d v="2022-06-26T00:00:00"/>
    <s v="June"/>
    <n v="2022"/>
    <x v="185"/>
    <n v="224"/>
    <s v="4G"/>
  </r>
  <r>
    <n v="14037"/>
    <n v="308"/>
    <d v="2022-03-04T00:00:00"/>
    <s v="March"/>
    <n v="2022"/>
    <x v="182"/>
    <n v="209"/>
    <s v="5G"/>
  </r>
  <r>
    <n v="14038"/>
    <n v="137"/>
    <d v="2023-07-15T00:00:00"/>
    <s v="July"/>
    <n v="2023"/>
    <x v="191"/>
    <n v="22"/>
    <s v="4G"/>
  </r>
  <r>
    <n v="14039"/>
    <n v="182"/>
    <d v="2022-11-03T00:00:00"/>
    <s v="November"/>
    <n v="2022"/>
    <x v="280"/>
    <n v="234"/>
    <s v="5G"/>
  </r>
  <r>
    <n v="14040"/>
    <n v="367"/>
    <d v="2022-09-03T00:00:00"/>
    <s v="September"/>
    <n v="2022"/>
    <x v="47"/>
    <n v="130"/>
    <s v="4G"/>
  </r>
  <r>
    <n v="14041"/>
    <n v="1"/>
    <d v="2022-10-16T00:00:00"/>
    <s v="October"/>
    <n v="2022"/>
    <x v="318"/>
    <n v="157"/>
    <s v="4G"/>
  </r>
  <r>
    <n v="14042"/>
    <n v="44"/>
    <d v="2024-03-08T00:00:00"/>
    <s v="March"/>
    <n v="2024"/>
    <x v="53"/>
    <n v="172"/>
    <s v="4G"/>
  </r>
  <r>
    <n v="14043"/>
    <n v="227"/>
    <d v="2022-11-28T00:00:00"/>
    <s v="November"/>
    <n v="2022"/>
    <x v="379"/>
    <n v="16"/>
    <s v="5G"/>
  </r>
  <r>
    <n v="14044"/>
    <n v="331"/>
    <d v="2023-06-11T00:00:00"/>
    <s v="June"/>
    <n v="2023"/>
    <x v="782"/>
    <n v="184"/>
    <s v="4G"/>
  </r>
  <r>
    <n v="14045"/>
    <n v="98"/>
    <d v="2024-04-29T00:00:00"/>
    <s v="April"/>
    <n v="2024"/>
    <x v="144"/>
    <n v="183"/>
    <s v="5G"/>
  </r>
  <r>
    <n v="14046"/>
    <n v="208"/>
    <d v="2022-09-12T00:00:00"/>
    <s v="September"/>
    <n v="2022"/>
    <x v="418"/>
    <n v="142"/>
    <s v="4G"/>
  </r>
  <r>
    <n v="14047"/>
    <n v="265"/>
    <d v="2023-08-27T00:00:00"/>
    <s v="August"/>
    <n v="2023"/>
    <x v="176"/>
    <n v="43"/>
    <s v="4G"/>
  </r>
  <r>
    <n v="14048"/>
    <n v="288"/>
    <d v="2023-05-25T00:00:00"/>
    <s v="May"/>
    <n v="2023"/>
    <x v="632"/>
    <n v="11"/>
    <s v="5G"/>
  </r>
  <r>
    <n v="14049"/>
    <n v="271"/>
    <d v="2024-03-01T00:00:00"/>
    <s v="March"/>
    <n v="2024"/>
    <x v="465"/>
    <n v="7"/>
    <s v="4G"/>
  </r>
  <r>
    <n v="14050"/>
    <n v="140"/>
    <d v="2023-12-19T00:00:00"/>
    <s v="December"/>
    <n v="2023"/>
    <x v="305"/>
    <n v="79"/>
    <s v="5G"/>
  </r>
  <r>
    <n v="14051"/>
    <n v="481"/>
    <d v="2023-08-29T00:00:00"/>
    <s v="August"/>
    <n v="2023"/>
    <x v="163"/>
    <n v="296"/>
    <s v="4G"/>
  </r>
  <r>
    <n v="14052"/>
    <n v="237"/>
    <d v="2024-01-07T00:00:00"/>
    <s v="January"/>
    <n v="2024"/>
    <x v="170"/>
    <n v="161"/>
    <s v="5G"/>
  </r>
  <r>
    <n v="14053"/>
    <n v="462"/>
    <d v="2024-03-23T00:00:00"/>
    <s v="March"/>
    <n v="2024"/>
    <x v="381"/>
    <n v="215"/>
    <s v="4G"/>
  </r>
  <r>
    <n v="14054"/>
    <n v="441"/>
    <d v="2024-04-09T00:00:00"/>
    <s v="April"/>
    <n v="2024"/>
    <x v="332"/>
    <n v="247"/>
    <s v="4G"/>
  </r>
  <r>
    <n v="14055"/>
    <n v="392"/>
    <d v="2023-04-08T00:00:00"/>
    <s v="April"/>
    <n v="2023"/>
    <x v="504"/>
    <n v="28"/>
    <s v="5G"/>
  </r>
  <r>
    <n v="14056"/>
    <n v="72"/>
    <d v="2022-07-18T00:00:00"/>
    <s v="July"/>
    <n v="2022"/>
    <x v="277"/>
    <n v="271"/>
    <s v="4G"/>
  </r>
  <r>
    <n v="14057"/>
    <n v="155"/>
    <d v="2022-09-28T00:00:00"/>
    <s v="September"/>
    <n v="2022"/>
    <x v="438"/>
    <n v="132"/>
    <s v="4G"/>
  </r>
  <r>
    <n v="14058"/>
    <n v="190"/>
    <d v="2024-01-16T00:00:00"/>
    <s v="January"/>
    <n v="2024"/>
    <x v="407"/>
    <n v="4"/>
    <s v="4G"/>
  </r>
  <r>
    <n v="14059"/>
    <n v="268"/>
    <d v="2023-07-12T00:00:00"/>
    <s v="July"/>
    <n v="2023"/>
    <x v="746"/>
    <n v="243"/>
    <s v="4G"/>
  </r>
  <r>
    <n v="14060"/>
    <n v="321"/>
    <d v="2022-03-05T00:00:00"/>
    <s v="March"/>
    <n v="2022"/>
    <x v="752"/>
    <n v="29"/>
    <s v="5G"/>
  </r>
  <r>
    <n v="14061"/>
    <n v="107"/>
    <d v="2022-08-18T00:00:00"/>
    <s v="August"/>
    <n v="2022"/>
    <x v="792"/>
    <n v="116"/>
    <s v="4G"/>
  </r>
  <r>
    <n v="14062"/>
    <n v="232"/>
    <d v="2022-09-06T00:00:00"/>
    <s v="September"/>
    <n v="2022"/>
    <x v="343"/>
    <n v="177"/>
    <s v="4G"/>
  </r>
  <r>
    <n v="14063"/>
    <n v="42"/>
    <d v="2022-09-03T00:00:00"/>
    <s v="September"/>
    <n v="2022"/>
    <x v="223"/>
    <n v="260"/>
    <s v="4G"/>
  </r>
  <r>
    <n v="14064"/>
    <n v="190"/>
    <d v="2023-08-10T00:00:00"/>
    <s v="August"/>
    <n v="2023"/>
    <x v="241"/>
    <n v="234"/>
    <s v="5G"/>
  </r>
  <r>
    <n v="14065"/>
    <n v="371"/>
    <d v="2022-06-06T00:00:00"/>
    <s v="June"/>
    <n v="2022"/>
    <x v="826"/>
    <n v="140"/>
    <s v="4G"/>
  </r>
  <r>
    <n v="14066"/>
    <n v="139"/>
    <d v="2024-01-05T00:00:00"/>
    <s v="January"/>
    <n v="2024"/>
    <x v="399"/>
    <n v="49"/>
    <s v="4G"/>
  </r>
  <r>
    <n v="14067"/>
    <n v="103"/>
    <d v="2023-12-03T00:00:00"/>
    <s v="December"/>
    <n v="2023"/>
    <x v="827"/>
    <n v="269"/>
    <s v="4G"/>
  </r>
  <r>
    <n v="14068"/>
    <n v="171"/>
    <d v="2023-07-18T00:00:00"/>
    <s v="July"/>
    <n v="2023"/>
    <x v="332"/>
    <n v="107"/>
    <s v="4G"/>
  </r>
  <r>
    <n v="14069"/>
    <n v="351"/>
    <d v="2022-03-29T00:00:00"/>
    <s v="March"/>
    <n v="2022"/>
    <x v="828"/>
    <n v="45"/>
    <s v="5G"/>
  </r>
  <r>
    <n v="14070"/>
    <n v="273"/>
    <d v="2022-11-09T00:00:00"/>
    <s v="November"/>
    <n v="2022"/>
    <x v="151"/>
    <n v="81"/>
    <s v="4G"/>
  </r>
  <r>
    <n v="14071"/>
    <n v="481"/>
    <d v="2024-04-30T00:00:00"/>
    <s v="April"/>
    <n v="2024"/>
    <x v="202"/>
    <n v="125"/>
    <s v="4G"/>
  </r>
  <r>
    <n v="14072"/>
    <n v="416"/>
    <d v="2022-03-07T00:00:00"/>
    <s v="March"/>
    <n v="2022"/>
    <x v="161"/>
    <n v="83"/>
    <s v="4G"/>
  </r>
  <r>
    <n v="14073"/>
    <n v="221"/>
    <d v="2023-10-24T00:00:00"/>
    <s v="October"/>
    <n v="2023"/>
    <x v="330"/>
    <n v="289"/>
    <s v="5G"/>
  </r>
  <r>
    <n v="14074"/>
    <n v="213"/>
    <d v="2022-01-20T00:00:00"/>
    <s v="January"/>
    <n v="2022"/>
    <x v="330"/>
    <n v="70"/>
    <s v="4G"/>
  </r>
  <r>
    <n v="14075"/>
    <n v="341"/>
    <d v="2022-02-02T00:00:00"/>
    <s v="February"/>
    <n v="2022"/>
    <x v="229"/>
    <n v="174"/>
    <s v="4G"/>
  </r>
  <r>
    <n v="14076"/>
    <n v="424"/>
    <d v="2024-04-19T00:00:00"/>
    <s v="April"/>
    <n v="2024"/>
    <x v="229"/>
    <n v="90"/>
    <s v="4G"/>
  </r>
  <r>
    <n v="14077"/>
    <n v="407"/>
    <d v="2024-03-03T00:00:00"/>
    <s v="March"/>
    <n v="2024"/>
    <x v="343"/>
    <n v="248"/>
    <s v="5G"/>
  </r>
  <r>
    <n v="14078"/>
    <n v="56"/>
    <d v="2023-07-12T00:00:00"/>
    <s v="July"/>
    <n v="2023"/>
    <x v="338"/>
    <n v="131"/>
    <s v="4G"/>
  </r>
  <r>
    <n v="14079"/>
    <n v="390"/>
    <d v="2022-03-14T00:00:00"/>
    <s v="March"/>
    <n v="2022"/>
    <x v="69"/>
    <n v="168"/>
    <s v="4G"/>
  </r>
  <r>
    <n v="14080"/>
    <n v="342"/>
    <d v="2024-05-15T00:00:00"/>
    <s v="May"/>
    <n v="2024"/>
    <x v="88"/>
    <n v="59"/>
    <s v="4G"/>
  </r>
  <r>
    <n v="14081"/>
    <n v="434"/>
    <d v="2024-04-04T00:00:00"/>
    <s v="April"/>
    <n v="2024"/>
    <x v="219"/>
    <n v="240"/>
    <s v="4G"/>
  </r>
  <r>
    <n v="14082"/>
    <n v="102"/>
    <d v="2022-12-09T00:00:00"/>
    <s v="December"/>
    <n v="2022"/>
    <x v="495"/>
    <n v="189"/>
    <s v="5G"/>
  </r>
  <r>
    <n v="14083"/>
    <n v="421"/>
    <d v="2022-05-13T00:00:00"/>
    <s v="May"/>
    <n v="2022"/>
    <x v="829"/>
    <n v="280"/>
    <s v="4G"/>
  </r>
  <r>
    <n v="14084"/>
    <n v="493"/>
    <d v="2022-02-24T00:00:00"/>
    <s v="February"/>
    <n v="2022"/>
    <x v="151"/>
    <n v="231"/>
    <s v="5G"/>
  </r>
  <r>
    <n v="14085"/>
    <n v="192"/>
    <d v="2022-03-02T00:00:00"/>
    <s v="March"/>
    <n v="2022"/>
    <x v="127"/>
    <n v="288"/>
    <s v="4G"/>
  </r>
  <r>
    <n v="14086"/>
    <n v="499"/>
    <d v="2024-05-06T00:00:00"/>
    <s v="May"/>
    <n v="2024"/>
    <x v="488"/>
    <n v="274"/>
    <s v="4G"/>
  </r>
  <r>
    <n v="14087"/>
    <n v="310"/>
    <d v="2023-06-04T00:00:00"/>
    <s v="June"/>
    <n v="2023"/>
    <x v="320"/>
    <n v="14"/>
    <s v="4G"/>
  </r>
  <r>
    <n v="14088"/>
    <n v="200"/>
    <d v="2022-09-29T00:00:00"/>
    <s v="September"/>
    <n v="2022"/>
    <x v="174"/>
    <n v="40"/>
    <s v="5G"/>
  </r>
  <r>
    <n v="14089"/>
    <n v="233"/>
    <d v="2022-09-03T00:00:00"/>
    <s v="September"/>
    <n v="2022"/>
    <x v="6"/>
    <n v="207"/>
    <s v="4G"/>
  </r>
  <r>
    <n v="14090"/>
    <n v="433"/>
    <d v="2022-06-25T00:00:00"/>
    <s v="June"/>
    <n v="2022"/>
    <x v="198"/>
    <n v="59"/>
    <s v="5G"/>
  </r>
  <r>
    <n v="14091"/>
    <n v="227"/>
    <d v="2023-09-20T00:00:00"/>
    <s v="September"/>
    <n v="2023"/>
    <x v="16"/>
    <n v="239"/>
    <s v="4G"/>
  </r>
  <r>
    <n v="14092"/>
    <n v="371"/>
    <d v="2022-11-13T00:00:00"/>
    <s v="November"/>
    <n v="2022"/>
    <x v="375"/>
    <n v="95"/>
    <s v="4G"/>
  </r>
  <r>
    <n v="14093"/>
    <n v="139"/>
    <d v="2024-02-22T00:00:00"/>
    <s v="February"/>
    <n v="2024"/>
    <x v="103"/>
    <n v="277"/>
    <s v="5G"/>
  </r>
  <r>
    <n v="14094"/>
    <n v="344"/>
    <d v="2023-12-06T00:00:00"/>
    <s v="December"/>
    <n v="2023"/>
    <x v="313"/>
    <n v="159"/>
    <s v="5G"/>
  </r>
  <r>
    <n v="14095"/>
    <n v="305"/>
    <d v="2023-10-24T00:00:00"/>
    <s v="October"/>
    <n v="2023"/>
    <x v="269"/>
    <n v="281"/>
    <s v="4G"/>
  </r>
  <r>
    <n v="14096"/>
    <n v="149"/>
    <d v="2022-05-11T00:00:00"/>
    <s v="May"/>
    <n v="2022"/>
    <x v="295"/>
    <n v="208"/>
    <s v="4G"/>
  </r>
  <r>
    <n v="14097"/>
    <n v="115"/>
    <d v="2022-04-12T00:00:00"/>
    <s v="April"/>
    <n v="2022"/>
    <x v="132"/>
    <n v="132"/>
    <s v="4G"/>
  </r>
  <r>
    <n v="14098"/>
    <n v="450"/>
    <d v="2022-11-06T00:00:00"/>
    <s v="November"/>
    <n v="2022"/>
    <x v="157"/>
    <n v="96"/>
    <s v="4G"/>
  </r>
  <r>
    <n v="14099"/>
    <n v="63"/>
    <d v="2024-02-21T00:00:00"/>
    <s v="February"/>
    <n v="2024"/>
    <x v="438"/>
    <n v="218"/>
    <s v="4G"/>
  </r>
  <r>
    <n v="14100"/>
    <n v="104"/>
    <d v="2022-10-19T00:00:00"/>
    <s v="October"/>
    <n v="2022"/>
    <x v="392"/>
    <n v="70"/>
    <s v="4G"/>
  </r>
  <r>
    <n v="14101"/>
    <n v="339"/>
    <d v="2023-12-23T00:00:00"/>
    <s v="December"/>
    <n v="2023"/>
    <x v="230"/>
    <n v="273"/>
    <s v="4G"/>
  </r>
  <r>
    <n v="14102"/>
    <n v="359"/>
    <d v="2023-05-10T00:00:00"/>
    <s v="May"/>
    <n v="2023"/>
    <x v="98"/>
    <n v="133"/>
    <s v="4G"/>
  </r>
  <r>
    <n v="14103"/>
    <n v="156"/>
    <d v="2022-12-27T00:00:00"/>
    <s v="December"/>
    <n v="2022"/>
    <x v="692"/>
    <n v="65"/>
    <s v="5G"/>
  </r>
  <r>
    <n v="14104"/>
    <n v="273"/>
    <d v="2022-12-04T00:00:00"/>
    <s v="December"/>
    <n v="2022"/>
    <x v="474"/>
    <n v="126"/>
    <s v="4G"/>
  </r>
  <r>
    <n v="14105"/>
    <n v="6"/>
    <d v="2023-08-02T00:00:00"/>
    <s v="August"/>
    <n v="2023"/>
    <x v="222"/>
    <n v="204"/>
    <s v="4G"/>
  </r>
  <r>
    <n v="14106"/>
    <n v="147"/>
    <d v="2022-01-10T00:00:00"/>
    <s v="January"/>
    <n v="2022"/>
    <x v="169"/>
    <n v="297"/>
    <s v="5G"/>
  </r>
  <r>
    <n v="14107"/>
    <n v="184"/>
    <d v="2022-02-18T00:00:00"/>
    <s v="February"/>
    <n v="2022"/>
    <x v="161"/>
    <n v="116"/>
    <s v="4G"/>
  </r>
  <r>
    <n v="14108"/>
    <n v="486"/>
    <d v="2023-05-02T00:00:00"/>
    <s v="May"/>
    <n v="2023"/>
    <x v="333"/>
    <n v="266"/>
    <s v="4G"/>
  </r>
  <r>
    <n v="14109"/>
    <n v="28"/>
    <d v="2023-09-15T00:00:00"/>
    <s v="September"/>
    <n v="2023"/>
    <x v="214"/>
    <n v="281"/>
    <s v="4G"/>
  </r>
  <r>
    <n v="14110"/>
    <n v="450"/>
    <d v="2022-11-17T00:00:00"/>
    <s v="November"/>
    <n v="2022"/>
    <x v="211"/>
    <n v="148"/>
    <s v="4G"/>
  </r>
  <r>
    <n v="14111"/>
    <n v="38"/>
    <d v="2024-01-01T00:00:00"/>
    <s v="January"/>
    <n v="2024"/>
    <x v="567"/>
    <n v="193"/>
    <s v="5G"/>
  </r>
  <r>
    <n v="14112"/>
    <n v="119"/>
    <d v="2023-07-23T00:00:00"/>
    <s v="July"/>
    <n v="2023"/>
    <x v="166"/>
    <n v="167"/>
    <s v="4G"/>
  </r>
  <r>
    <n v="14113"/>
    <n v="293"/>
    <d v="2024-03-05T00:00:00"/>
    <s v="March"/>
    <n v="2024"/>
    <x v="770"/>
    <n v="178"/>
    <s v="4G"/>
  </r>
  <r>
    <n v="14114"/>
    <n v="371"/>
    <d v="2023-09-17T00:00:00"/>
    <s v="September"/>
    <n v="2023"/>
    <x v="106"/>
    <n v="147"/>
    <s v="4G"/>
  </r>
  <r>
    <n v="14115"/>
    <n v="244"/>
    <d v="2022-05-13T00:00:00"/>
    <s v="May"/>
    <n v="2022"/>
    <x v="830"/>
    <n v="56"/>
    <s v="5G"/>
  </r>
  <r>
    <n v="14116"/>
    <n v="68"/>
    <d v="2023-08-06T00:00:00"/>
    <s v="August"/>
    <n v="2023"/>
    <x v="124"/>
    <n v="4"/>
    <s v="4G"/>
  </r>
  <r>
    <n v="14117"/>
    <n v="214"/>
    <d v="2022-03-24T00:00:00"/>
    <s v="March"/>
    <n v="2022"/>
    <x v="72"/>
    <n v="13"/>
    <s v="4G"/>
  </r>
  <r>
    <n v="14118"/>
    <n v="218"/>
    <d v="2022-02-26T00:00:00"/>
    <s v="February"/>
    <n v="2022"/>
    <x v="106"/>
    <n v="279"/>
    <s v="4G"/>
  </r>
  <r>
    <n v="14119"/>
    <n v="177"/>
    <d v="2023-01-11T00:00:00"/>
    <s v="January"/>
    <n v="2023"/>
    <x v="243"/>
    <n v="215"/>
    <s v="4G"/>
  </r>
  <r>
    <n v="14120"/>
    <n v="299"/>
    <d v="2022-12-15T00:00:00"/>
    <s v="December"/>
    <n v="2022"/>
    <x v="20"/>
    <n v="174"/>
    <s v="4G"/>
  </r>
  <r>
    <n v="14121"/>
    <n v="164"/>
    <d v="2022-09-28T00:00:00"/>
    <s v="September"/>
    <n v="2022"/>
    <x v="24"/>
    <n v="2"/>
    <s v="4G"/>
  </r>
  <r>
    <n v="14122"/>
    <n v="58"/>
    <d v="2023-04-28T00:00:00"/>
    <s v="April"/>
    <n v="2023"/>
    <x v="355"/>
    <n v="136"/>
    <s v="4G"/>
  </r>
  <r>
    <n v="14123"/>
    <n v="269"/>
    <d v="2022-04-21T00:00:00"/>
    <s v="April"/>
    <n v="2022"/>
    <x v="527"/>
    <n v="99"/>
    <s v="4G"/>
  </r>
  <r>
    <n v="14124"/>
    <n v="308"/>
    <d v="2024-05-18T00:00:00"/>
    <s v="May"/>
    <n v="2024"/>
    <x v="138"/>
    <n v="82"/>
    <s v="4G"/>
  </r>
  <r>
    <n v="14125"/>
    <n v="58"/>
    <d v="2024-06-05T00:00:00"/>
    <s v="June"/>
    <n v="2024"/>
    <x v="150"/>
    <n v="279"/>
    <s v="4G"/>
  </r>
  <r>
    <n v="14126"/>
    <n v="288"/>
    <d v="2022-03-17T00:00:00"/>
    <s v="March"/>
    <n v="2022"/>
    <x v="178"/>
    <n v="131"/>
    <s v="5G"/>
  </r>
  <r>
    <n v="14127"/>
    <n v="465"/>
    <d v="2022-06-07T00:00:00"/>
    <s v="June"/>
    <n v="2022"/>
    <x v="344"/>
    <n v="0"/>
    <s v="4G"/>
  </r>
  <r>
    <n v="14128"/>
    <n v="105"/>
    <d v="2023-06-16T00:00:00"/>
    <s v="June"/>
    <n v="2023"/>
    <x v="147"/>
    <n v="115"/>
    <s v="4G"/>
  </r>
  <r>
    <n v="14129"/>
    <n v="228"/>
    <d v="2023-10-05T00:00:00"/>
    <s v="October"/>
    <n v="2023"/>
    <x v="161"/>
    <n v="201"/>
    <s v="4G"/>
  </r>
  <r>
    <n v="14130"/>
    <n v="247"/>
    <d v="2022-11-25T00:00:00"/>
    <s v="November"/>
    <n v="2022"/>
    <x v="171"/>
    <n v="139"/>
    <s v="4G"/>
  </r>
  <r>
    <n v="14131"/>
    <n v="188"/>
    <d v="2022-05-02T00:00:00"/>
    <s v="May"/>
    <n v="2022"/>
    <x v="367"/>
    <n v="145"/>
    <s v="4G"/>
  </r>
  <r>
    <n v="14132"/>
    <n v="494"/>
    <d v="2022-02-10T00:00:00"/>
    <s v="February"/>
    <n v="2022"/>
    <x v="322"/>
    <n v="265"/>
    <s v="5G"/>
  </r>
  <r>
    <n v="14133"/>
    <n v="83"/>
    <d v="2022-06-16T00:00:00"/>
    <s v="June"/>
    <n v="2022"/>
    <x v="222"/>
    <n v="201"/>
    <s v="4G"/>
  </r>
  <r>
    <n v="14134"/>
    <n v="186"/>
    <d v="2023-10-04T00:00:00"/>
    <s v="October"/>
    <n v="2023"/>
    <x v="831"/>
    <n v="151"/>
    <s v="5G"/>
  </r>
  <r>
    <n v="14135"/>
    <n v="252"/>
    <d v="2022-01-23T00:00:00"/>
    <s v="January"/>
    <n v="2022"/>
    <x v="140"/>
    <n v="221"/>
    <s v="5G"/>
  </r>
  <r>
    <n v="14136"/>
    <n v="355"/>
    <d v="2022-10-06T00:00:00"/>
    <s v="October"/>
    <n v="2022"/>
    <x v="259"/>
    <n v="78"/>
    <s v="4G"/>
  </r>
  <r>
    <n v="14137"/>
    <n v="238"/>
    <d v="2024-02-02T00:00:00"/>
    <s v="February"/>
    <n v="2024"/>
    <x v="9"/>
    <n v="199"/>
    <s v="5G"/>
  </r>
  <r>
    <n v="14138"/>
    <n v="360"/>
    <d v="2023-04-14T00:00:00"/>
    <s v="April"/>
    <n v="2023"/>
    <x v="382"/>
    <n v="249"/>
    <s v="4G"/>
  </r>
  <r>
    <n v="14139"/>
    <n v="184"/>
    <d v="2023-02-04T00:00:00"/>
    <s v="February"/>
    <n v="2023"/>
    <x v="351"/>
    <n v="98"/>
    <s v="4G"/>
  </r>
  <r>
    <n v="14140"/>
    <n v="284"/>
    <d v="2022-01-09T00:00:00"/>
    <s v="January"/>
    <n v="2022"/>
    <x v="132"/>
    <n v="212"/>
    <s v="4G"/>
  </r>
  <r>
    <n v="14141"/>
    <n v="385"/>
    <d v="2022-01-13T00:00:00"/>
    <s v="January"/>
    <n v="2022"/>
    <x v="517"/>
    <n v="142"/>
    <s v="4G"/>
  </r>
  <r>
    <n v="14142"/>
    <n v="426"/>
    <d v="2024-03-29T00:00:00"/>
    <s v="March"/>
    <n v="2024"/>
    <x v="119"/>
    <n v="189"/>
    <s v="5G"/>
  </r>
  <r>
    <n v="14143"/>
    <n v="210"/>
    <d v="2024-04-11T00:00:00"/>
    <s v="April"/>
    <n v="2024"/>
    <x v="148"/>
    <n v="51"/>
    <s v="5G"/>
  </r>
  <r>
    <n v="14144"/>
    <n v="304"/>
    <d v="2022-02-21T00:00:00"/>
    <s v="February"/>
    <n v="2022"/>
    <x v="198"/>
    <n v="111"/>
    <s v="5G"/>
  </r>
  <r>
    <n v="14145"/>
    <n v="296"/>
    <d v="2022-07-28T00:00:00"/>
    <s v="July"/>
    <n v="2022"/>
    <x v="338"/>
    <n v="134"/>
    <s v="4G"/>
  </r>
  <r>
    <n v="14146"/>
    <n v="97"/>
    <d v="2023-07-04T00:00:00"/>
    <s v="July"/>
    <n v="2023"/>
    <x v="110"/>
    <n v="111"/>
    <s v="4G"/>
  </r>
  <r>
    <n v="14147"/>
    <n v="447"/>
    <d v="2023-09-04T00:00:00"/>
    <s v="September"/>
    <n v="2023"/>
    <x v="157"/>
    <n v="12"/>
    <s v="4G"/>
  </r>
  <r>
    <n v="14148"/>
    <n v="460"/>
    <d v="2023-12-06T00:00:00"/>
    <s v="December"/>
    <n v="2023"/>
    <x v="832"/>
    <n v="272"/>
    <s v="4G"/>
  </r>
  <r>
    <n v="14149"/>
    <n v="456"/>
    <d v="2023-02-06T00:00:00"/>
    <s v="February"/>
    <n v="2023"/>
    <x v="552"/>
    <n v="232"/>
    <s v="4G"/>
  </r>
  <r>
    <n v="14150"/>
    <n v="472"/>
    <d v="2022-07-10T00:00:00"/>
    <s v="July"/>
    <n v="2022"/>
    <x v="137"/>
    <n v="43"/>
    <s v="4G"/>
  </r>
  <r>
    <n v="14151"/>
    <n v="208"/>
    <d v="2022-02-20T00:00:00"/>
    <s v="February"/>
    <n v="2022"/>
    <x v="222"/>
    <n v="72"/>
    <s v="4G"/>
  </r>
  <r>
    <n v="14152"/>
    <n v="370"/>
    <d v="2023-01-28T00:00:00"/>
    <s v="January"/>
    <n v="2023"/>
    <x v="185"/>
    <n v="260"/>
    <s v="4G"/>
  </r>
  <r>
    <n v="14153"/>
    <n v="388"/>
    <d v="2023-10-15T00:00:00"/>
    <s v="October"/>
    <n v="2023"/>
    <x v="171"/>
    <n v="230"/>
    <s v="4G"/>
  </r>
  <r>
    <n v="14154"/>
    <n v="422"/>
    <d v="2023-11-11T00:00:00"/>
    <s v="November"/>
    <n v="2023"/>
    <x v="614"/>
    <n v="32"/>
    <s v="4G"/>
  </r>
  <r>
    <n v="14155"/>
    <n v="492"/>
    <d v="2024-04-02T00:00:00"/>
    <s v="April"/>
    <n v="2024"/>
    <x v="822"/>
    <n v="67"/>
    <s v="5G"/>
  </r>
  <r>
    <n v="14156"/>
    <n v="411"/>
    <d v="2023-09-13T00:00:00"/>
    <s v="September"/>
    <n v="2023"/>
    <x v="308"/>
    <n v="15"/>
    <s v="4G"/>
  </r>
  <r>
    <n v="14157"/>
    <n v="137"/>
    <d v="2023-12-20T00:00:00"/>
    <s v="December"/>
    <n v="2023"/>
    <x v="32"/>
    <n v="149"/>
    <s v="4G"/>
  </r>
  <r>
    <n v="14158"/>
    <n v="367"/>
    <d v="2022-10-27T00:00:00"/>
    <s v="October"/>
    <n v="2022"/>
    <x v="239"/>
    <n v="291"/>
    <s v="5G"/>
  </r>
  <r>
    <n v="14159"/>
    <n v="400"/>
    <d v="2023-09-14T00:00:00"/>
    <s v="September"/>
    <n v="2023"/>
    <x v="25"/>
    <n v="101"/>
    <s v="5G"/>
  </r>
  <r>
    <n v="14160"/>
    <n v="184"/>
    <d v="2022-07-15T00:00:00"/>
    <s v="July"/>
    <n v="2022"/>
    <x v="88"/>
    <n v="185"/>
    <s v="5G"/>
  </r>
  <r>
    <n v="14161"/>
    <n v="76"/>
    <d v="2023-02-21T00:00:00"/>
    <s v="February"/>
    <n v="2023"/>
    <x v="175"/>
    <n v="24"/>
    <s v="4G"/>
  </r>
  <r>
    <n v="14162"/>
    <n v="287"/>
    <d v="2023-10-26T00:00:00"/>
    <s v="October"/>
    <n v="2023"/>
    <x v="438"/>
    <n v="71"/>
    <s v="4G"/>
  </r>
  <r>
    <n v="14163"/>
    <n v="472"/>
    <d v="2023-02-24T00:00:00"/>
    <s v="February"/>
    <n v="2023"/>
    <x v="178"/>
    <n v="80"/>
    <s v="5G"/>
  </r>
  <r>
    <n v="14164"/>
    <n v="375"/>
    <d v="2024-01-25T00:00:00"/>
    <s v="January"/>
    <n v="2024"/>
    <x v="100"/>
    <n v="60"/>
    <s v="5G"/>
  </r>
  <r>
    <n v="14165"/>
    <n v="142"/>
    <d v="2023-10-02T00:00:00"/>
    <s v="October"/>
    <n v="2023"/>
    <x v="20"/>
    <n v="17"/>
    <s v="4G"/>
  </r>
  <r>
    <n v="14166"/>
    <n v="237"/>
    <d v="2023-09-09T00:00:00"/>
    <s v="September"/>
    <n v="2023"/>
    <x v="209"/>
    <n v="241"/>
    <s v="4G"/>
  </r>
  <r>
    <n v="14167"/>
    <n v="25"/>
    <d v="2023-06-06T00:00:00"/>
    <s v="June"/>
    <n v="2023"/>
    <x v="20"/>
    <n v="57"/>
    <s v="4G"/>
  </r>
  <r>
    <n v="14168"/>
    <n v="290"/>
    <d v="2022-12-22T00:00:00"/>
    <s v="December"/>
    <n v="2022"/>
    <x v="116"/>
    <n v="56"/>
    <s v="4G"/>
  </r>
  <r>
    <n v="14169"/>
    <n v="67"/>
    <d v="2022-05-28T00:00:00"/>
    <s v="May"/>
    <n v="2022"/>
    <x v="393"/>
    <n v="96"/>
    <s v="4G"/>
  </r>
  <r>
    <n v="14170"/>
    <n v="250"/>
    <d v="2022-12-31T00:00:00"/>
    <s v="December"/>
    <n v="2022"/>
    <x v="138"/>
    <n v="214"/>
    <s v="4G"/>
  </r>
  <r>
    <n v="14171"/>
    <n v="408"/>
    <d v="2022-12-30T00:00:00"/>
    <s v="December"/>
    <n v="2022"/>
    <x v="194"/>
    <n v="11"/>
    <s v="5G"/>
  </r>
  <r>
    <n v="14172"/>
    <n v="118"/>
    <d v="2023-10-14T00:00:00"/>
    <s v="October"/>
    <n v="2023"/>
    <x v="428"/>
    <n v="10"/>
    <s v="4G"/>
  </r>
  <r>
    <n v="14173"/>
    <n v="490"/>
    <d v="2023-12-03T00:00:00"/>
    <s v="December"/>
    <n v="2023"/>
    <x v="833"/>
    <n v="162"/>
    <s v="5G"/>
  </r>
  <r>
    <n v="14174"/>
    <n v="73"/>
    <d v="2023-02-06T00:00:00"/>
    <s v="February"/>
    <n v="2023"/>
    <x v="229"/>
    <n v="282"/>
    <s v="4G"/>
  </r>
  <r>
    <n v="14175"/>
    <n v="282"/>
    <d v="2023-08-29T00:00:00"/>
    <s v="August"/>
    <n v="2023"/>
    <x v="23"/>
    <n v="216"/>
    <s v="4G"/>
  </r>
  <r>
    <n v="14176"/>
    <n v="404"/>
    <d v="2023-05-07T00:00:00"/>
    <s v="May"/>
    <n v="2023"/>
    <x v="407"/>
    <n v="240"/>
    <s v="4G"/>
  </r>
  <r>
    <n v="14177"/>
    <n v="448"/>
    <d v="2022-08-17T00:00:00"/>
    <s v="August"/>
    <n v="2022"/>
    <x v="834"/>
    <n v="44"/>
    <s v="5G"/>
  </r>
  <r>
    <n v="14178"/>
    <n v="360"/>
    <d v="2023-07-29T00:00:00"/>
    <s v="July"/>
    <n v="2023"/>
    <x v="183"/>
    <n v="80"/>
    <s v="4G"/>
  </r>
  <r>
    <n v="14179"/>
    <n v="10"/>
    <d v="2024-05-01T00:00:00"/>
    <s v="May"/>
    <n v="2024"/>
    <x v="832"/>
    <n v="254"/>
    <s v="4G"/>
  </r>
  <r>
    <n v="14180"/>
    <n v="211"/>
    <d v="2023-06-21T00:00:00"/>
    <s v="June"/>
    <n v="2023"/>
    <x v="116"/>
    <n v="66"/>
    <s v="5G"/>
  </r>
  <r>
    <n v="14181"/>
    <n v="323"/>
    <d v="2022-09-25T00:00:00"/>
    <s v="September"/>
    <n v="2022"/>
    <x v="412"/>
    <n v="101"/>
    <s v="4G"/>
  </r>
  <r>
    <n v="14182"/>
    <n v="152"/>
    <d v="2023-02-09T00:00:00"/>
    <s v="February"/>
    <n v="2023"/>
    <x v="88"/>
    <n v="90"/>
    <s v="5G"/>
  </r>
  <r>
    <n v="14183"/>
    <n v="5"/>
    <d v="2024-03-03T00:00:00"/>
    <s v="March"/>
    <n v="2024"/>
    <x v="395"/>
    <n v="41"/>
    <s v="5G"/>
  </r>
  <r>
    <n v="14184"/>
    <n v="195"/>
    <d v="2022-01-11T00:00:00"/>
    <s v="January"/>
    <n v="2022"/>
    <x v="736"/>
    <n v="275"/>
    <s v="5G"/>
  </r>
  <r>
    <n v="14185"/>
    <n v="442"/>
    <d v="2022-11-16T00:00:00"/>
    <s v="November"/>
    <n v="2022"/>
    <x v="797"/>
    <n v="273"/>
    <s v="4G"/>
  </r>
  <r>
    <n v="14186"/>
    <n v="283"/>
    <d v="2023-12-14T00:00:00"/>
    <s v="December"/>
    <n v="2023"/>
    <x v="242"/>
    <n v="76"/>
    <s v="4G"/>
  </r>
  <r>
    <n v="14187"/>
    <n v="464"/>
    <d v="2022-05-06T00:00:00"/>
    <s v="May"/>
    <n v="2022"/>
    <x v="229"/>
    <n v="233"/>
    <s v="5G"/>
  </r>
  <r>
    <n v="14188"/>
    <n v="113"/>
    <d v="2022-11-02T00:00:00"/>
    <s v="November"/>
    <n v="2022"/>
    <x v="216"/>
    <n v="201"/>
    <s v="4G"/>
  </r>
  <r>
    <n v="14189"/>
    <n v="271"/>
    <d v="2023-12-03T00:00:00"/>
    <s v="December"/>
    <n v="2023"/>
    <x v="24"/>
    <n v="220"/>
    <s v="4G"/>
  </r>
  <r>
    <n v="14190"/>
    <n v="163"/>
    <d v="2023-05-26T00:00:00"/>
    <s v="May"/>
    <n v="2023"/>
    <x v="253"/>
    <n v="261"/>
    <s v="5G"/>
  </r>
  <r>
    <n v="14191"/>
    <n v="460"/>
    <d v="2022-03-30T00:00:00"/>
    <s v="March"/>
    <n v="2022"/>
    <x v="835"/>
    <n v="38"/>
    <s v="4G"/>
  </r>
  <r>
    <n v="14192"/>
    <n v="105"/>
    <d v="2022-12-21T00:00:00"/>
    <s v="December"/>
    <n v="2022"/>
    <x v="409"/>
    <n v="10"/>
    <s v="5G"/>
  </r>
  <r>
    <n v="14193"/>
    <n v="181"/>
    <d v="2023-09-20T00:00:00"/>
    <s v="September"/>
    <n v="2023"/>
    <x v="68"/>
    <n v="111"/>
    <s v="5G"/>
  </r>
  <r>
    <n v="14194"/>
    <n v="44"/>
    <d v="2022-12-18T00:00:00"/>
    <s v="December"/>
    <n v="2022"/>
    <x v="724"/>
    <n v="107"/>
    <s v="5G"/>
  </r>
  <r>
    <n v="14195"/>
    <n v="282"/>
    <d v="2023-11-20T00:00:00"/>
    <s v="November"/>
    <n v="2023"/>
    <x v="86"/>
    <n v="93"/>
    <s v="4G"/>
  </r>
  <r>
    <n v="14196"/>
    <n v="175"/>
    <d v="2022-01-14T00:00:00"/>
    <s v="January"/>
    <n v="2022"/>
    <x v="144"/>
    <n v="83"/>
    <s v="4G"/>
  </r>
  <r>
    <n v="14197"/>
    <n v="162"/>
    <d v="2022-09-14T00:00:00"/>
    <s v="September"/>
    <n v="2022"/>
    <x v="241"/>
    <n v="57"/>
    <s v="4G"/>
  </r>
  <r>
    <n v="14198"/>
    <n v="471"/>
    <d v="2022-07-28T00:00:00"/>
    <s v="July"/>
    <n v="2022"/>
    <x v="21"/>
    <n v="292"/>
    <s v="4G"/>
  </r>
  <r>
    <n v="14199"/>
    <n v="351"/>
    <d v="2022-10-08T00:00:00"/>
    <s v="October"/>
    <n v="2022"/>
    <x v="618"/>
    <n v="15"/>
    <s v="4G"/>
  </r>
  <r>
    <n v="14200"/>
    <n v="434"/>
    <d v="2023-03-19T00:00:00"/>
    <s v="March"/>
    <n v="2023"/>
    <x v="86"/>
    <n v="92"/>
    <s v="4G"/>
  </r>
  <r>
    <n v="14201"/>
    <n v="340"/>
    <d v="2024-04-19T00:00:00"/>
    <s v="April"/>
    <n v="2024"/>
    <x v="87"/>
    <n v="164"/>
    <s v="4G"/>
  </r>
  <r>
    <n v="14202"/>
    <n v="140"/>
    <d v="2024-04-16T00:00:00"/>
    <s v="April"/>
    <n v="2024"/>
    <x v="836"/>
    <n v="214"/>
    <s v="4G"/>
  </r>
  <r>
    <n v="14203"/>
    <n v="471"/>
    <d v="2023-01-24T00:00:00"/>
    <s v="January"/>
    <n v="2023"/>
    <x v="358"/>
    <n v="143"/>
    <s v="5G"/>
  </r>
  <r>
    <n v="14204"/>
    <n v="132"/>
    <d v="2023-09-09T00:00:00"/>
    <s v="September"/>
    <n v="2023"/>
    <x v="338"/>
    <n v="273"/>
    <s v="4G"/>
  </r>
  <r>
    <n v="14205"/>
    <n v="87"/>
    <d v="2023-04-28T00:00:00"/>
    <s v="April"/>
    <n v="2023"/>
    <x v="135"/>
    <n v="137"/>
    <s v="4G"/>
  </r>
  <r>
    <n v="14206"/>
    <n v="176"/>
    <d v="2022-05-27T00:00:00"/>
    <s v="May"/>
    <n v="2022"/>
    <x v="445"/>
    <n v="203"/>
    <s v="4G"/>
  </r>
  <r>
    <n v="14207"/>
    <n v="183"/>
    <d v="2022-10-06T00:00:00"/>
    <s v="October"/>
    <n v="2022"/>
    <x v="365"/>
    <n v="209"/>
    <s v="5G"/>
  </r>
  <r>
    <n v="14208"/>
    <n v="368"/>
    <d v="2023-06-05T00:00:00"/>
    <s v="June"/>
    <n v="2023"/>
    <x v="106"/>
    <n v="18"/>
    <s v="4G"/>
  </r>
  <r>
    <n v="14209"/>
    <n v="129"/>
    <d v="2023-09-22T00:00:00"/>
    <s v="September"/>
    <n v="2023"/>
    <x v="99"/>
    <n v="293"/>
    <s v="4G"/>
  </r>
  <r>
    <n v="14210"/>
    <n v="246"/>
    <d v="2023-08-29T00:00:00"/>
    <s v="August"/>
    <n v="2023"/>
    <x v="167"/>
    <n v="292"/>
    <s v="4G"/>
  </r>
  <r>
    <n v="14211"/>
    <n v="89"/>
    <d v="2023-03-10T00:00:00"/>
    <s v="March"/>
    <n v="2023"/>
    <x v="78"/>
    <n v="161"/>
    <s v="4G"/>
  </r>
  <r>
    <n v="14212"/>
    <n v="66"/>
    <d v="2022-05-24T00:00:00"/>
    <s v="May"/>
    <n v="2022"/>
    <x v="837"/>
    <n v="129"/>
    <s v="5G"/>
  </r>
  <r>
    <n v="14213"/>
    <n v="158"/>
    <d v="2022-10-16T00:00:00"/>
    <s v="October"/>
    <n v="2022"/>
    <x v="438"/>
    <n v="43"/>
    <s v="5G"/>
  </r>
  <r>
    <n v="14214"/>
    <n v="387"/>
    <d v="2023-01-21T00:00:00"/>
    <s v="January"/>
    <n v="2023"/>
    <x v="838"/>
    <n v="82"/>
    <s v="4G"/>
  </r>
  <r>
    <n v="14215"/>
    <n v="378"/>
    <d v="2022-01-14T00:00:00"/>
    <s v="January"/>
    <n v="2022"/>
    <x v="370"/>
    <n v="123"/>
    <s v="5G"/>
  </r>
  <r>
    <n v="14216"/>
    <n v="149"/>
    <d v="2022-09-14T00:00:00"/>
    <s v="September"/>
    <n v="2022"/>
    <x v="175"/>
    <n v="26"/>
    <s v="5G"/>
  </r>
  <r>
    <n v="14217"/>
    <n v="473"/>
    <d v="2022-12-12T00:00:00"/>
    <s v="December"/>
    <n v="2022"/>
    <x v="392"/>
    <n v="6"/>
    <s v="5G"/>
  </r>
  <r>
    <n v="14218"/>
    <n v="340"/>
    <d v="2023-11-29T00:00:00"/>
    <s v="November"/>
    <n v="2023"/>
    <x v="479"/>
    <n v="198"/>
    <s v="4G"/>
  </r>
  <r>
    <n v="14219"/>
    <n v="433"/>
    <d v="2022-12-11T00:00:00"/>
    <s v="December"/>
    <n v="2022"/>
    <x v="495"/>
    <n v="111"/>
    <s v="4G"/>
  </r>
  <r>
    <n v="14220"/>
    <n v="116"/>
    <d v="2023-02-04T00:00:00"/>
    <s v="February"/>
    <n v="2023"/>
    <x v="339"/>
    <n v="88"/>
    <s v="4G"/>
  </r>
  <r>
    <n v="14221"/>
    <n v="214"/>
    <d v="2022-07-26T00:00:00"/>
    <s v="July"/>
    <n v="2022"/>
    <x v="41"/>
    <n v="127"/>
    <s v="4G"/>
  </r>
  <r>
    <n v="14222"/>
    <n v="469"/>
    <d v="2024-05-07T00:00:00"/>
    <s v="May"/>
    <n v="2024"/>
    <x v="103"/>
    <n v="229"/>
    <s v="4G"/>
  </r>
  <r>
    <n v="14223"/>
    <n v="446"/>
    <d v="2022-06-21T00:00:00"/>
    <s v="June"/>
    <n v="2022"/>
    <x v="839"/>
    <n v="17"/>
    <s v="5G"/>
  </r>
  <r>
    <n v="14224"/>
    <n v="481"/>
    <d v="2023-04-09T00:00:00"/>
    <s v="April"/>
    <n v="2023"/>
    <x v="23"/>
    <n v="288"/>
    <s v="5G"/>
  </r>
  <r>
    <n v="14225"/>
    <n v="372"/>
    <d v="2022-09-27T00:00:00"/>
    <s v="September"/>
    <n v="2022"/>
    <x v="266"/>
    <n v="160"/>
    <s v="5G"/>
  </r>
  <r>
    <n v="14226"/>
    <n v="294"/>
    <d v="2022-08-09T00:00:00"/>
    <s v="August"/>
    <n v="2022"/>
    <x v="58"/>
    <n v="280"/>
    <s v="4G"/>
  </r>
  <r>
    <n v="14227"/>
    <n v="253"/>
    <d v="2022-06-01T00:00:00"/>
    <s v="June"/>
    <n v="2022"/>
    <x v="763"/>
    <n v="165"/>
    <s v="4G"/>
  </r>
  <r>
    <n v="14228"/>
    <n v="143"/>
    <d v="2023-09-15T00:00:00"/>
    <s v="September"/>
    <n v="2023"/>
    <x v="225"/>
    <n v="259"/>
    <s v="4G"/>
  </r>
  <r>
    <n v="14229"/>
    <n v="250"/>
    <d v="2022-07-02T00:00:00"/>
    <s v="July"/>
    <n v="2022"/>
    <x v="58"/>
    <n v="189"/>
    <s v="4G"/>
  </r>
  <r>
    <n v="14230"/>
    <n v="366"/>
    <d v="2023-02-03T00:00:00"/>
    <s v="February"/>
    <n v="2023"/>
    <x v="393"/>
    <n v="265"/>
    <s v="5G"/>
  </r>
  <r>
    <n v="14231"/>
    <n v="436"/>
    <d v="2024-04-30T00:00:00"/>
    <s v="April"/>
    <n v="2024"/>
    <x v="157"/>
    <n v="290"/>
    <s v="4G"/>
  </r>
  <r>
    <n v="14232"/>
    <n v="463"/>
    <d v="2022-03-13T00:00:00"/>
    <s v="March"/>
    <n v="2022"/>
    <x v="305"/>
    <n v="278"/>
    <s v="5G"/>
  </r>
  <r>
    <n v="14233"/>
    <n v="302"/>
    <d v="2023-02-22T00:00:00"/>
    <s v="February"/>
    <n v="2023"/>
    <x v="358"/>
    <n v="216"/>
    <s v="4G"/>
  </r>
  <r>
    <n v="14234"/>
    <n v="25"/>
    <d v="2024-06-16T00:00:00"/>
    <s v="June"/>
    <n v="2024"/>
    <x v="840"/>
    <n v="206"/>
    <s v="4G"/>
  </r>
  <r>
    <n v="14235"/>
    <n v="277"/>
    <d v="2022-10-10T00:00:00"/>
    <s v="October"/>
    <n v="2022"/>
    <x v="315"/>
    <n v="152"/>
    <s v="4G"/>
  </r>
  <r>
    <n v="14236"/>
    <n v="472"/>
    <d v="2022-03-15T00:00:00"/>
    <s v="March"/>
    <n v="2022"/>
    <x v="2"/>
    <n v="180"/>
    <s v="4G"/>
  </r>
  <r>
    <n v="14237"/>
    <n v="377"/>
    <d v="2022-12-21T00:00:00"/>
    <s v="December"/>
    <n v="2022"/>
    <x v="620"/>
    <n v="211"/>
    <s v="4G"/>
  </r>
  <r>
    <n v="14238"/>
    <n v="378"/>
    <d v="2023-12-28T00:00:00"/>
    <s v="December"/>
    <n v="2023"/>
    <x v="239"/>
    <n v="272"/>
    <s v="4G"/>
  </r>
  <r>
    <n v="14239"/>
    <n v="389"/>
    <d v="2023-05-12T00:00:00"/>
    <s v="May"/>
    <n v="2023"/>
    <x v="394"/>
    <n v="202"/>
    <s v="4G"/>
  </r>
  <r>
    <n v="14240"/>
    <n v="70"/>
    <d v="2022-11-24T00:00:00"/>
    <s v="November"/>
    <n v="2022"/>
    <x v="107"/>
    <n v="204"/>
    <s v="5G"/>
  </r>
  <r>
    <n v="14241"/>
    <n v="113"/>
    <d v="2023-06-19T00:00:00"/>
    <s v="June"/>
    <n v="2023"/>
    <x v="528"/>
    <n v="152"/>
    <s v="5G"/>
  </r>
  <r>
    <n v="14242"/>
    <n v="363"/>
    <d v="2023-08-03T00:00:00"/>
    <s v="August"/>
    <n v="2023"/>
    <x v="841"/>
    <n v="169"/>
    <s v="5G"/>
  </r>
  <r>
    <n v="14243"/>
    <n v="112"/>
    <d v="2023-03-23T00:00:00"/>
    <s v="March"/>
    <n v="2023"/>
    <x v="145"/>
    <n v="240"/>
    <s v="5G"/>
  </r>
  <r>
    <n v="14244"/>
    <n v="364"/>
    <d v="2023-01-08T00:00:00"/>
    <s v="January"/>
    <n v="2023"/>
    <x v="334"/>
    <n v="286"/>
    <s v="5G"/>
  </r>
  <r>
    <n v="14245"/>
    <n v="303"/>
    <d v="2022-12-28T00:00:00"/>
    <s v="December"/>
    <n v="2022"/>
    <x v="443"/>
    <n v="244"/>
    <s v="4G"/>
  </r>
  <r>
    <n v="14246"/>
    <n v="471"/>
    <d v="2022-04-03T00:00:00"/>
    <s v="April"/>
    <n v="2022"/>
    <x v="735"/>
    <n v="79"/>
    <s v="4G"/>
  </r>
  <r>
    <n v="14247"/>
    <n v="452"/>
    <d v="2022-11-17T00:00:00"/>
    <s v="November"/>
    <n v="2022"/>
    <x v="330"/>
    <n v="91"/>
    <s v="4G"/>
  </r>
  <r>
    <n v="14248"/>
    <n v="91"/>
    <d v="2022-11-20T00:00:00"/>
    <s v="November"/>
    <n v="2022"/>
    <x v="380"/>
    <n v="148"/>
    <s v="5G"/>
  </r>
  <r>
    <n v="14249"/>
    <n v="18"/>
    <d v="2023-01-19T00:00:00"/>
    <s v="January"/>
    <n v="2023"/>
    <x v="842"/>
    <n v="29"/>
    <s v="4G"/>
  </r>
  <r>
    <n v="14250"/>
    <n v="149"/>
    <d v="2023-07-29T00:00:00"/>
    <s v="July"/>
    <n v="2023"/>
    <x v="4"/>
    <n v="122"/>
    <s v="4G"/>
  </r>
  <r>
    <n v="14251"/>
    <n v="476"/>
    <d v="2024-01-06T00:00:00"/>
    <s v="January"/>
    <n v="2024"/>
    <x v="471"/>
    <n v="28"/>
    <s v="5G"/>
  </r>
  <r>
    <n v="14252"/>
    <n v="227"/>
    <d v="2024-01-07T00:00:00"/>
    <s v="January"/>
    <n v="2024"/>
    <x v="161"/>
    <n v="258"/>
    <s v="4G"/>
  </r>
  <r>
    <n v="14253"/>
    <n v="214"/>
    <d v="2024-05-30T00:00:00"/>
    <s v="May"/>
    <n v="2024"/>
    <x v="307"/>
    <n v="185"/>
    <s v="5G"/>
  </r>
  <r>
    <n v="14254"/>
    <n v="360"/>
    <d v="2022-12-12T00:00:00"/>
    <s v="December"/>
    <n v="2022"/>
    <x v="137"/>
    <n v="74"/>
    <s v="5G"/>
  </r>
  <r>
    <n v="14255"/>
    <n v="151"/>
    <d v="2024-04-28T00:00:00"/>
    <s v="April"/>
    <n v="2024"/>
    <x v="21"/>
    <n v="44"/>
    <s v="4G"/>
  </r>
  <r>
    <n v="14256"/>
    <n v="192"/>
    <d v="2022-04-13T00:00:00"/>
    <s v="April"/>
    <n v="2022"/>
    <x v="563"/>
    <n v="68"/>
    <s v="4G"/>
  </r>
  <r>
    <n v="14257"/>
    <n v="451"/>
    <d v="2022-08-03T00:00:00"/>
    <s v="August"/>
    <n v="2022"/>
    <x v="152"/>
    <n v="209"/>
    <s v="5G"/>
  </r>
  <r>
    <n v="14258"/>
    <n v="40"/>
    <d v="2022-07-11T00:00:00"/>
    <s v="July"/>
    <n v="2022"/>
    <x v="97"/>
    <n v="238"/>
    <s v="4G"/>
  </r>
  <r>
    <n v="14259"/>
    <n v="242"/>
    <d v="2023-11-03T00:00:00"/>
    <s v="November"/>
    <n v="2023"/>
    <x v="182"/>
    <n v="191"/>
    <s v="5G"/>
  </r>
  <r>
    <n v="14260"/>
    <n v="138"/>
    <d v="2024-06-02T00:00:00"/>
    <s v="June"/>
    <n v="2024"/>
    <x v="108"/>
    <n v="102"/>
    <s v="5G"/>
  </r>
  <r>
    <n v="14261"/>
    <n v="345"/>
    <d v="2023-12-20T00:00:00"/>
    <s v="December"/>
    <n v="2023"/>
    <x v="835"/>
    <n v="240"/>
    <s v="4G"/>
  </r>
  <r>
    <n v="14262"/>
    <n v="180"/>
    <d v="2024-02-20T00:00:00"/>
    <s v="February"/>
    <n v="2024"/>
    <x v="205"/>
    <n v="252"/>
    <s v="4G"/>
  </r>
  <r>
    <n v="14263"/>
    <n v="497"/>
    <d v="2022-07-13T00:00:00"/>
    <s v="July"/>
    <n v="2022"/>
    <x v="843"/>
    <n v="219"/>
    <s v="4G"/>
  </r>
  <r>
    <n v="14264"/>
    <n v="200"/>
    <d v="2023-01-15T00:00:00"/>
    <s v="January"/>
    <n v="2023"/>
    <x v="22"/>
    <n v="216"/>
    <s v="4G"/>
  </r>
  <r>
    <n v="14265"/>
    <n v="203"/>
    <d v="2023-02-07T00:00:00"/>
    <s v="February"/>
    <n v="2023"/>
    <x v="415"/>
    <n v="201"/>
    <s v="4G"/>
  </r>
  <r>
    <n v="14266"/>
    <n v="61"/>
    <d v="2023-10-26T00:00:00"/>
    <s v="October"/>
    <n v="2023"/>
    <x v="190"/>
    <n v="28"/>
    <s v="5G"/>
  </r>
  <r>
    <n v="14267"/>
    <n v="192"/>
    <d v="2024-01-19T00:00:00"/>
    <s v="January"/>
    <n v="2024"/>
    <x v="227"/>
    <n v="211"/>
    <s v="4G"/>
  </r>
  <r>
    <n v="14268"/>
    <n v="5"/>
    <d v="2023-08-23T00:00:00"/>
    <s v="August"/>
    <n v="2023"/>
    <x v="480"/>
    <n v="153"/>
    <s v="5G"/>
  </r>
  <r>
    <n v="14269"/>
    <n v="378"/>
    <d v="2022-01-11T00:00:00"/>
    <s v="January"/>
    <n v="2022"/>
    <x v="229"/>
    <n v="230"/>
    <s v="4G"/>
  </r>
  <r>
    <n v="14270"/>
    <n v="237"/>
    <d v="2022-07-06T00:00:00"/>
    <s v="July"/>
    <n v="2022"/>
    <x v="634"/>
    <n v="101"/>
    <s v="4G"/>
  </r>
  <r>
    <n v="14271"/>
    <n v="181"/>
    <d v="2023-12-27T00:00:00"/>
    <s v="December"/>
    <n v="2023"/>
    <x v="100"/>
    <n v="176"/>
    <s v="4G"/>
  </r>
  <r>
    <n v="14272"/>
    <n v="311"/>
    <d v="2022-01-15T00:00:00"/>
    <s v="January"/>
    <n v="2022"/>
    <x v="482"/>
    <n v="180"/>
    <s v="5G"/>
  </r>
  <r>
    <n v="14273"/>
    <n v="37"/>
    <d v="2024-02-17T00:00:00"/>
    <s v="February"/>
    <n v="2024"/>
    <x v="844"/>
    <n v="231"/>
    <s v="4G"/>
  </r>
  <r>
    <n v="14274"/>
    <n v="56"/>
    <d v="2022-10-24T00:00:00"/>
    <s v="October"/>
    <n v="2022"/>
    <x v="845"/>
    <n v="11"/>
    <s v="4G"/>
  </r>
  <r>
    <n v="14275"/>
    <n v="443"/>
    <d v="2023-02-15T00:00:00"/>
    <s v="February"/>
    <n v="2023"/>
    <x v="846"/>
    <n v="185"/>
    <s v="5G"/>
  </r>
  <r>
    <n v="14276"/>
    <n v="237"/>
    <d v="2023-08-08T00:00:00"/>
    <s v="August"/>
    <n v="2023"/>
    <x v="169"/>
    <n v="248"/>
    <s v="4G"/>
  </r>
  <r>
    <n v="14277"/>
    <n v="358"/>
    <d v="2022-02-21T00:00:00"/>
    <s v="February"/>
    <n v="2022"/>
    <x v="24"/>
    <n v="265"/>
    <s v="4G"/>
  </r>
  <r>
    <n v="14278"/>
    <n v="349"/>
    <d v="2023-10-02T00:00:00"/>
    <s v="October"/>
    <n v="2023"/>
    <x v="182"/>
    <n v="134"/>
    <s v="4G"/>
  </r>
  <r>
    <n v="14279"/>
    <n v="197"/>
    <d v="2022-01-28T00:00:00"/>
    <s v="January"/>
    <n v="2022"/>
    <x v="520"/>
    <n v="244"/>
    <s v="5G"/>
  </r>
  <r>
    <n v="14280"/>
    <n v="73"/>
    <d v="2023-07-31T00:00:00"/>
    <s v="July"/>
    <n v="2023"/>
    <x v="162"/>
    <n v="30"/>
    <s v="4G"/>
  </r>
  <r>
    <n v="14281"/>
    <n v="59"/>
    <d v="2022-01-17T00:00:00"/>
    <s v="January"/>
    <n v="2022"/>
    <x v="109"/>
    <n v="258"/>
    <s v="4G"/>
  </r>
  <r>
    <n v="14282"/>
    <n v="240"/>
    <d v="2022-12-17T00:00:00"/>
    <s v="December"/>
    <n v="2022"/>
    <x v="26"/>
    <n v="103"/>
    <s v="4G"/>
  </r>
  <r>
    <n v="14283"/>
    <n v="2"/>
    <d v="2023-03-04T00:00:00"/>
    <s v="March"/>
    <n v="2023"/>
    <x v="312"/>
    <n v="0"/>
    <s v="5G"/>
  </r>
  <r>
    <n v="14284"/>
    <n v="449"/>
    <d v="2023-10-12T00:00:00"/>
    <s v="October"/>
    <n v="2023"/>
    <x v="457"/>
    <n v="206"/>
    <s v="4G"/>
  </r>
  <r>
    <n v="14285"/>
    <n v="360"/>
    <d v="2024-04-10T00:00:00"/>
    <s v="April"/>
    <n v="2024"/>
    <x v="459"/>
    <n v="134"/>
    <s v="4G"/>
  </r>
  <r>
    <n v="14286"/>
    <n v="188"/>
    <d v="2022-08-17T00:00:00"/>
    <s v="August"/>
    <n v="2022"/>
    <x v="777"/>
    <n v="270"/>
    <s v="4G"/>
  </r>
  <r>
    <n v="14287"/>
    <n v="307"/>
    <d v="2024-02-05T00:00:00"/>
    <s v="February"/>
    <n v="2024"/>
    <x v="621"/>
    <n v="88"/>
    <s v="4G"/>
  </r>
  <r>
    <n v="14288"/>
    <n v="30"/>
    <d v="2022-07-29T00:00:00"/>
    <s v="July"/>
    <n v="2022"/>
    <x v="230"/>
    <n v="194"/>
    <s v="5G"/>
  </r>
  <r>
    <n v="14289"/>
    <n v="267"/>
    <d v="2023-03-07T00:00:00"/>
    <s v="March"/>
    <n v="2023"/>
    <x v="227"/>
    <n v="121"/>
    <s v="4G"/>
  </r>
  <r>
    <n v="14290"/>
    <n v="476"/>
    <d v="2022-10-21T00:00:00"/>
    <s v="October"/>
    <n v="2022"/>
    <x v="122"/>
    <n v="115"/>
    <s v="5G"/>
  </r>
  <r>
    <n v="14291"/>
    <n v="108"/>
    <d v="2024-01-13T00:00:00"/>
    <s v="January"/>
    <n v="2024"/>
    <x v="100"/>
    <n v="195"/>
    <s v="5G"/>
  </r>
  <r>
    <n v="14292"/>
    <n v="332"/>
    <d v="2024-01-23T00:00:00"/>
    <s v="January"/>
    <n v="2024"/>
    <x v="326"/>
    <n v="35"/>
    <s v="5G"/>
  </r>
  <r>
    <n v="14293"/>
    <n v="423"/>
    <d v="2023-08-05T00:00:00"/>
    <s v="August"/>
    <n v="2023"/>
    <x v="506"/>
    <n v="66"/>
    <s v="4G"/>
  </r>
  <r>
    <n v="14294"/>
    <n v="90"/>
    <d v="2022-04-14T00:00:00"/>
    <s v="April"/>
    <n v="2022"/>
    <x v="85"/>
    <n v="132"/>
    <s v="5G"/>
  </r>
  <r>
    <n v="14295"/>
    <n v="205"/>
    <d v="2022-07-23T00:00:00"/>
    <s v="July"/>
    <n v="2022"/>
    <x v="399"/>
    <n v="280"/>
    <s v="4G"/>
  </r>
  <r>
    <n v="14296"/>
    <n v="379"/>
    <d v="2022-02-22T00:00:00"/>
    <s v="February"/>
    <n v="2022"/>
    <x v="251"/>
    <n v="10"/>
    <s v="5G"/>
  </r>
  <r>
    <n v="14297"/>
    <n v="456"/>
    <d v="2023-01-10T00:00:00"/>
    <s v="January"/>
    <n v="2023"/>
    <x v="253"/>
    <n v="217"/>
    <s v="4G"/>
  </r>
  <r>
    <n v="14298"/>
    <n v="447"/>
    <d v="2024-04-21T00:00:00"/>
    <s v="April"/>
    <n v="2024"/>
    <x v="215"/>
    <n v="155"/>
    <s v="5G"/>
  </r>
  <r>
    <n v="14299"/>
    <n v="448"/>
    <d v="2022-02-23T00:00:00"/>
    <s v="February"/>
    <n v="2022"/>
    <x v="405"/>
    <n v="239"/>
    <s v="4G"/>
  </r>
  <r>
    <n v="14300"/>
    <n v="445"/>
    <d v="2022-10-03T00:00:00"/>
    <s v="October"/>
    <n v="2022"/>
    <x v="372"/>
    <n v="59"/>
    <s v="5G"/>
  </r>
  <r>
    <n v="14301"/>
    <n v="381"/>
    <d v="2022-12-01T00:00:00"/>
    <s v="December"/>
    <n v="2022"/>
    <x v="202"/>
    <n v="137"/>
    <s v="5G"/>
  </r>
  <r>
    <n v="14302"/>
    <n v="438"/>
    <d v="2022-01-31T00:00:00"/>
    <s v="January"/>
    <n v="2022"/>
    <x v="256"/>
    <n v="49"/>
    <s v="5G"/>
  </r>
  <r>
    <n v="14303"/>
    <n v="220"/>
    <d v="2022-05-15T00:00:00"/>
    <s v="May"/>
    <n v="2022"/>
    <x v="192"/>
    <n v="166"/>
    <s v="5G"/>
  </r>
  <r>
    <n v="14304"/>
    <n v="378"/>
    <d v="2022-02-27T00:00:00"/>
    <s v="February"/>
    <n v="2022"/>
    <x v="535"/>
    <n v="164"/>
    <s v="4G"/>
  </r>
  <r>
    <n v="14305"/>
    <n v="94"/>
    <d v="2022-04-15T00:00:00"/>
    <s v="April"/>
    <n v="2022"/>
    <x v="29"/>
    <n v="188"/>
    <s v="4G"/>
  </r>
  <r>
    <n v="14306"/>
    <n v="457"/>
    <d v="2022-09-23T00:00:00"/>
    <s v="September"/>
    <n v="2022"/>
    <x v="17"/>
    <n v="91"/>
    <s v="5G"/>
  </r>
  <r>
    <n v="14307"/>
    <n v="103"/>
    <d v="2023-06-06T00:00:00"/>
    <s v="June"/>
    <n v="2023"/>
    <x v="109"/>
    <n v="293"/>
    <s v="4G"/>
  </r>
  <r>
    <n v="14308"/>
    <n v="223"/>
    <d v="2023-05-11T00:00:00"/>
    <s v="May"/>
    <n v="2023"/>
    <x v="622"/>
    <n v="288"/>
    <s v="4G"/>
  </r>
  <r>
    <n v="14309"/>
    <n v="186"/>
    <d v="2022-09-10T00:00:00"/>
    <s v="September"/>
    <n v="2022"/>
    <x v="389"/>
    <n v="74"/>
    <s v="4G"/>
  </r>
  <r>
    <n v="14310"/>
    <n v="469"/>
    <d v="2022-10-22T00:00:00"/>
    <s v="October"/>
    <n v="2022"/>
    <x v="62"/>
    <n v="44"/>
    <s v="4G"/>
  </r>
  <r>
    <n v="14311"/>
    <n v="184"/>
    <d v="2023-10-30T00:00:00"/>
    <s v="October"/>
    <n v="2023"/>
    <x v="184"/>
    <n v="52"/>
    <s v="4G"/>
  </r>
  <r>
    <n v="14312"/>
    <n v="495"/>
    <d v="2022-06-07T00:00:00"/>
    <s v="June"/>
    <n v="2022"/>
    <x v="29"/>
    <n v="174"/>
    <s v="4G"/>
  </r>
  <r>
    <n v="14313"/>
    <n v="162"/>
    <d v="2023-07-03T00:00:00"/>
    <s v="July"/>
    <n v="2023"/>
    <x v="74"/>
    <n v="160"/>
    <s v="4G"/>
  </r>
  <r>
    <n v="14314"/>
    <n v="247"/>
    <d v="2023-09-23T00:00:00"/>
    <s v="September"/>
    <n v="2023"/>
    <x v="365"/>
    <n v="66"/>
    <s v="4G"/>
  </r>
  <r>
    <n v="14315"/>
    <n v="31"/>
    <d v="2022-03-08T00:00:00"/>
    <s v="March"/>
    <n v="2022"/>
    <x v="390"/>
    <n v="269"/>
    <s v="4G"/>
  </r>
  <r>
    <n v="14316"/>
    <n v="52"/>
    <d v="2024-01-24T00:00:00"/>
    <s v="January"/>
    <n v="2024"/>
    <x v="847"/>
    <n v="123"/>
    <s v="4G"/>
  </r>
  <r>
    <n v="14317"/>
    <n v="345"/>
    <d v="2022-10-26T00:00:00"/>
    <s v="October"/>
    <n v="2022"/>
    <x v="478"/>
    <n v="181"/>
    <s v="4G"/>
  </r>
  <r>
    <n v="14318"/>
    <n v="76"/>
    <d v="2023-04-08T00:00:00"/>
    <s v="April"/>
    <n v="2023"/>
    <x v="122"/>
    <n v="181"/>
    <s v="4G"/>
  </r>
  <r>
    <n v="14319"/>
    <n v="385"/>
    <d v="2023-12-26T00:00:00"/>
    <s v="December"/>
    <n v="2023"/>
    <x v="246"/>
    <n v="35"/>
    <s v="5G"/>
  </r>
  <r>
    <n v="14320"/>
    <n v="439"/>
    <d v="2024-03-30T00:00:00"/>
    <s v="March"/>
    <n v="2024"/>
    <x v="449"/>
    <n v="211"/>
    <s v="4G"/>
  </r>
  <r>
    <n v="14321"/>
    <n v="278"/>
    <d v="2022-04-11T00:00:00"/>
    <s v="April"/>
    <n v="2022"/>
    <x v="704"/>
    <n v="133"/>
    <s v="5G"/>
  </r>
  <r>
    <n v="14322"/>
    <n v="40"/>
    <d v="2022-02-25T00:00:00"/>
    <s v="February"/>
    <n v="2022"/>
    <x v="21"/>
    <n v="177"/>
    <s v="5G"/>
  </r>
  <r>
    <n v="14323"/>
    <n v="101"/>
    <d v="2022-11-28T00:00:00"/>
    <s v="November"/>
    <n v="2022"/>
    <x v="377"/>
    <n v="165"/>
    <s v="4G"/>
  </r>
  <r>
    <n v="14324"/>
    <n v="111"/>
    <d v="2024-04-15T00:00:00"/>
    <s v="April"/>
    <n v="2024"/>
    <x v="520"/>
    <n v="45"/>
    <s v="4G"/>
  </r>
  <r>
    <n v="14325"/>
    <n v="385"/>
    <d v="2024-01-21T00:00:00"/>
    <s v="January"/>
    <n v="2024"/>
    <x v="534"/>
    <n v="155"/>
    <s v="4G"/>
  </r>
  <r>
    <n v="14326"/>
    <n v="321"/>
    <d v="2023-01-28T00:00:00"/>
    <s v="January"/>
    <n v="2023"/>
    <x v="252"/>
    <n v="235"/>
    <s v="4G"/>
  </r>
  <r>
    <n v="14327"/>
    <n v="249"/>
    <d v="2024-01-13T00:00:00"/>
    <s v="January"/>
    <n v="2024"/>
    <x v="117"/>
    <n v="59"/>
    <s v="4G"/>
  </r>
  <r>
    <n v="14328"/>
    <n v="191"/>
    <d v="2024-05-23T00:00:00"/>
    <s v="May"/>
    <n v="2024"/>
    <x v="442"/>
    <n v="4"/>
    <s v="4G"/>
  </r>
  <r>
    <n v="14329"/>
    <n v="490"/>
    <d v="2023-01-16T00:00:00"/>
    <s v="January"/>
    <n v="2023"/>
    <x v="143"/>
    <n v="180"/>
    <s v="4G"/>
  </r>
  <r>
    <n v="14330"/>
    <n v="182"/>
    <d v="2022-04-02T00:00:00"/>
    <s v="April"/>
    <n v="2022"/>
    <x v="848"/>
    <n v="144"/>
    <s v="4G"/>
  </r>
  <r>
    <n v="14331"/>
    <n v="426"/>
    <d v="2024-03-01T00:00:00"/>
    <s v="March"/>
    <n v="2024"/>
    <x v="379"/>
    <n v="264"/>
    <s v="5G"/>
  </r>
  <r>
    <n v="14332"/>
    <n v="405"/>
    <d v="2023-03-23T00:00:00"/>
    <s v="March"/>
    <n v="2023"/>
    <x v="25"/>
    <n v="222"/>
    <s v="4G"/>
  </r>
  <r>
    <n v="14333"/>
    <n v="335"/>
    <d v="2022-04-19T00:00:00"/>
    <s v="April"/>
    <n v="2022"/>
    <x v="849"/>
    <n v="236"/>
    <s v="5G"/>
  </r>
  <r>
    <n v="14334"/>
    <n v="209"/>
    <d v="2022-11-13T00:00:00"/>
    <s v="November"/>
    <n v="2022"/>
    <x v="52"/>
    <n v="12"/>
    <s v="4G"/>
  </r>
  <r>
    <n v="14335"/>
    <n v="22"/>
    <d v="2022-06-17T00:00:00"/>
    <s v="June"/>
    <n v="2022"/>
    <x v="134"/>
    <n v="267"/>
    <s v="4G"/>
  </r>
  <r>
    <n v="14336"/>
    <n v="166"/>
    <d v="2024-03-22T00:00:00"/>
    <s v="March"/>
    <n v="2024"/>
    <x v="361"/>
    <n v="265"/>
    <s v="4G"/>
  </r>
  <r>
    <n v="14337"/>
    <n v="99"/>
    <d v="2023-03-11T00:00:00"/>
    <s v="March"/>
    <n v="2023"/>
    <x v="567"/>
    <n v="15"/>
    <s v="5G"/>
  </r>
  <r>
    <n v="14338"/>
    <n v="493"/>
    <d v="2023-03-18T00:00:00"/>
    <s v="March"/>
    <n v="2023"/>
    <x v="394"/>
    <n v="91"/>
    <s v="4G"/>
  </r>
  <r>
    <n v="14339"/>
    <n v="208"/>
    <d v="2022-08-06T00:00:00"/>
    <s v="August"/>
    <n v="2022"/>
    <x v="230"/>
    <n v="247"/>
    <s v="4G"/>
  </r>
  <r>
    <n v="14340"/>
    <n v="8"/>
    <d v="2022-08-10T00:00:00"/>
    <s v="August"/>
    <n v="2022"/>
    <x v="363"/>
    <n v="18"/>
    <s v="5G"/>
  </r>
  <r>
    <n v="14341"/>
    <n v="190"/>
    <d v="2023-11-04T00:00:00"/>
    <s v="November"/>
    <n v="2023"/>
    <x v="258"/>
    <n v="102"/>
    <s v="4G"/>
  </r>
  <r>
    <n v="14342"/>
    <n v="175"/>
    <d v="2023-06-12T00:00:00"/>
    <s v="June"/>
    <n v="2023"/>
    <x v="232"/>
    <n v="94"/>
    <s v="4G"/>
  </r>
  <r>
    <n v="14343"/>
    <n v="273"/>
    <d v="2022-10-05T00:00:00"/>
    <s v="October"/>
    <n v="2022"/>
    <x v="487"/>
    <n v="282"/>
    <s v="5G"/>
  </r>
  <r>
    <n v="14344"/>
    <n v="17"/>
    <d v="2023-07-23T00:00:00"/>
    <s v="July"/>
    <n v="2023"/>
    <x v="358"/>
    <n v="212"/>
    <s v="5G"/>
  </r>
  <r>
    <n v="14345"/>
    <n v="90"/>
    <d v="2023-07-28T00:00:00"/>
    <s v="July"/>
    <n v="2023"/>
    <x v="332"/>
    <n v="36"/>
    <s v="4G"/>
  </r>
  <r>
    <n v="14346"/>
    <n v="141"/>
    <d v="2024-05-24T00:00:00"/>
    <s v="May"/>
    <n v="2024"/>
    <x v="850"/>
    <n v="60"/>
    <s v="4G"/>
  </r>
  <r>
    <n v="14347"/>
    <n v="145"/>
    <d v="2023-04-11T00:00:00"/>
    <s v="April"/>
    <n v="2023"/>
    <x v="178"/>
    <n v="290"/>
    <s v="5G"/>
  </r>
  <r>
    <n v="14348"/>
    <n v="166"/>
    <d v="2024-04-18T00:00:00"/>
    <s v="April"/>
    <n v="2024"/>
    <x v="420"/>
    <n v="243"/>
    <s v="5G"/>
  </r>
  <r>
    <n v="14349"/>
    <n v="337"/>
    <d v="2024-01-24T00:00:00"/>
    <s v="January"/>
    <n v="2024"/>
    <x v="152"/>
    <n v="5"/>
    <s v="4G"/>
  </r>
  <r>
    <n v="14350"/>
    <n v="496"/>
    <d v="2023-08-25T00:00:00"/>
    <s v="August"/>
    <n v="2023"/>
    <x v="851"/>
    <n v="164"/>
    <s v="5G"/>
  </r>
  <r>
    <n v="14351"/>
    <n v="78"/>
    <d v="2023-08-07T00:00:00"/>
    <s v="August"/>
    <n v="2023"/>
    <x v="660"/>
    <n v="12"/>
    <s v="4G"/>
  </r>
  <r>
    <n v="14352"/>
    <n v="429"/>
    <d v="2024-04-17T00:00:00"/>
    <s v="April"/>
    <n v="2024"/>
    <x v="61"/>
    <n v="24"/>
    <s v="4G"/>
  </r>
  <r>
    <n v="14353"/>
    <n v="262"/>
    <d v="2022-01-30T00:00:00"/>
    <s v="January"/>
    <n v="2022"/>
    <x v="670"/>
    <n v="223"/>
    <s v="4G"/>
  </r>
  <r>
    <n v="14354"/>
    <n v="163"/>
    <d v="2022-12-25T00:00:00"/>
    <s v="December"/>
    <n v="2022"/>
    <x v="23"/>
    <n v="122"/>
    <s v="4G"/>
  </r>
  <r>
    <n v="14355"/>
    <n v="366"/>
    <d v="2022-10-15T00:00:00"/>
    <s v="October"/>
    <n v="2022"/>
    <x v="852"/>
    <n v="128"/>
    <s v="4G"/>
  </r>
  <r>
    <n v="14356"/>
    <n v="14"/>
    <d v="2022-03-27T00:00:00"/>
    <s v="March"/>
    <n v="2022"/>
    <x v="372"/>
    <n v="121"/>
    <s v="4G"/>
  </r>
  <r>
    <n v="14357"/>
    <n v="239"/>
    <d v="2022-08-22T00:00:00"/>
    <s v="August"/>
    <n v="2022"/>
    <x v="88"/>
    <n v="34"/>
    <s v="4G"/>
  </r>
  <r>
    <n v="14358"/>
    <n v="72"/>
    <d v="2024-01-17T00:00:00"/>
    <s v="January"/>
    <n v="2024"/>
    <x v="229"/>
    <n v="82"/>
    <s v="4G"/>
  </r>
  <r>
    <n v="14359"/>
    <n v="445"/>
    <d v="2022-11-09T00:00:00"/>
    <s v="November"/>
    <n v="2022"/>
    <x v="377"/>
    <n v="181"/>
    <s v="4G"/>
  </r>
  <r>
    <n v="14360"/>
    <n v="143"/>
    <d v="2022-12-31T00:00:00"/>
    <s v="December"/>
    <n v="2022"/>
    <x v="306"/>
    <n v="75"/>
    <s v="5G"/>
  </r>
  <r>
    <n v="14361"/>
    <n v="310"/>
    <d v="2024-02-16T00:00:00"/>
    <s v="February"/>
    <n v="2024"/>
    <x v="166"/>
    <n v="103"/>
    <s v="5G"/>
  </r>
  <r>
    <n v="14362"/>
    <n v="283"/>
    <d v="2024-03-09T00:00:00"/>
    <s v="March"/>
    <n v="2024"/>
    <x v="853"/>
    <n v="231"/>
    <s v="4G"/>
  </r>
  <r>
    <n v="14363"/>
    <n v="269"/>
    <d v="2024-04-18T00:00:00"/>
    <s v="April"/>
    <n v="2024"/>
    <x v="367"/>
    <n v="42"/>
    <s v="5G"/>
  </r>
  <r>
    <n v="14364"/>
    <n v="241"/>
    <d v="2022-09-26T00:00:00"/>
    <s v="September"/>
    <n v="2022"/>
    <x v="109"/>
    <n v="92"/>
    <s v="4G"/>
  </r>
  <r>
    <n v="14365"/>
    <n v="415"/>
    <d v="2023-11-29T00:00:00"/>
    <s v="November"/>
    <n v="2023"/>
    <x v="777"/>
    <n v="143"/>
    <s v="4G"/>
  </r>
  <r>
    <n v="14366"/>
    <n v="245"/>
    <d v="2022-05-11T00:00:00"/>
    <s v="May"/>
    <n v="2022"/>
    <x v="517"/>
    <n v="253"/>
    <s v="5G"/>
  </r>
  <r>
    <n v="14367"/>
    <n v="163"/>
    <d v="2024-03-13T00:00:00"/>
    <s v="March"/>
    <n v="2024"/>
    <x v="434"/>
    <n v="77"/>
    <s v="4G"/>
  </r>
  <r>
    <n v="14368"/>
    <n v="60"/>
    <d v="2024-02-28T00:00:00"/>
    <s v="February"/>
    <n v="2024"/>
    <x v="303"/>
    <n v="262"/>
    <s v="4G"/>
  </r>
  <r>
    <n v="14369"/>
    <n v="6"/>
    <d v="2024-04-11T00:00:00"/>
    <s v="April"/>
    <n v="2024"/>
    <x v="322"/>
    <n v="69"/>
    <s v="4G"/>
  </r>
  <r>
    <n v="14370"/>
    <n v="197"/>
    <d v="2022-12-17T00:00:00"/>
    <s v="December"/>
    <n v="2022"/>
    <x v="332"/>
    <n v="148"/>
    <s v="4G"/>
  </r>
  <r>
    <n v="14371"/>
    <n v="470"/>
    <d v="2022-06-29T00:00:00"/>
    <s v="June"/>
    <n v="2022"/>
    <x v="217"/>
    <n v="291"/>
    <s v="4G"/>
  </r>
  <r>
    <n v="14372"/>
    <n v="58"/>
    <d v="2024-03-12T00:00:00"/>
    <s v="March"/>
    <n v="2024"/>
    <x v="490"/>
    <n v="213"/>
    <s v="5G"/>
  </r>
  <r>
    <n v="14373"/>
    <n v="305"/>
    <d v="2023-04-25T00:00:00"/>
    <s v="April"/>
    <n v="2023"/>
    <x v="29"/>
    <n v="146"/>
    <s v="4G"/>
  </r>
  <r>
    <n v="14374"/>
    <n v="407"/>
    <d v="2024-06-07T00:00:00"/>
    <s v="June"/>
    <n v="2024"/>
    <x v="477"/>
    <n v="24"/>
    <s v="5G"/>
  </r>
  <r>
    <n v="14375"/>
    <n v="217"/>
    <d v="2022-06-12T00:00:00"/>
    <s v="June"/>
    <n v="2022"/>
    <x v="131"/>
    <n v="108"/>
    <s v="5G"/>
  </r>
  <r>
    <n v="14376"/>
    <n v="418"/>
    <d v="2024-02-22T00:00:00"/>
    <s v="February"/>
    <n v="2024"/>
    <x v="85"/>
    <n v="180"/>
    <s v="4G"/>
  </r>
  <r>
    <n v="14377"/>
    <n v="26"/>
    <d v="2024-06-06T00:00:00"/>
    <s v="June"/>
    <n v="2024"/>
    <x v="854"/>
    <n v="250"/>
    <s v="4G"/>
  </r>
  <r>
    <n v="14378"/>
    <n v="303"/>
    <d v="2022-04-06T00:00:00"/>
    <s v="April"/>
    <n v="2022"/>
    <x v="447"/>
    <n v="202"/>
    <s v="4G"/>
  </r>
  <r>
    <n v="14379"/>
    <n v="5"/>
    <d v="2024-02-13T00:00:00"/>
    <s v="February"/>
    <n v="2024"/>
    <x v="8"/>
    <n v="169"/>
    <s v="4G"/>
  </r>
  <r>
    <n v="14380"/>
    <n v="474"/>
    <d v="2023-05-25T00:00:00"/>
    <s v="May"/>
    <n v="2023"/>
    <x v="91"/>
    <n v="174"/>
    <s v="4G"/>
  </r>
  <r>
    <n v="14381"/>
    <n v="20"/>
    <d v="2022-12-31T00:00:00"/>
    <s v="December"/>
    <n v="2022"/>
    <x v="496"/>
    <n v="169"/>
    <s v="5G"/>
  </r>
  <r>
    <n v="14382"/>
    <n v="390"/>
    <d v="2022-12-19T00:00:00"/>
    <s v="December"/>
    <n v="2022"/>
    <x v="582"/>
    <n v="1"/>
    <s v="5G"/>
  </r>
  <r>
    <n v="14383"/>
    <n v="198"/>
    <d v="2024-03-10T00:00:00"/>
    <s v="March"/>
    <n v="2024"/>
    <x v="161"/>
    <n v="133"/>
    <s v="4G"/>
  </r>
  <r>
    <n v="14384"/>
    <n v="59"/>
    <d v="2023-03-12T00:00:00"/>
    <s v="March"/>
    <n v="2023"/>
    <x v="153"/>
    <n v="126"/>
    <s v="4G"/>
  </r>
  <r>
    <n v="14385"/>
    <n v="448"/>
    <d v="2022-03-24T00:00:00"/>
    <s v="March"/>
    <n v="2022"/>
    <x v="222"/>
    <n v="45"/>
    <s v="4G"/>
  </r>
  <r>
    <n v="14386"/>
    <n v="242"/>
    <d v="2022-08-13T00:00:00"/>
    <s v="August"/>
    <n v="2022"/>
    <x v="78"/>
    <n v="193"/>
    <s v="4G"/>
  </r>
  <r>
    <n v="14387"/>
    <n v="146"/>
    <d v="2023-02-16T00:00:00"/>
    <s v="February"/>
    <n v="2023"/>
    <x v="108"/>
    <n v="208"/>
    <s v="5G"/>
  </r>
  <r>
    <n v="14388"/>
    <n v="388"/>
    <d v="2024-01-05T00:00:00"/>
    <s v="January"/>
    <n v="2024"/>
    <x v="130"/>
    <n v="295"/>
    <s v="5G"/>
  </r>
  <r>
    <n v="14389"/>
    <n v="273"/>
    <d v="2022-04-28T00:00:00"/>
    <s v="April"/>
    <n v="2022"/>
    <x v="855"/>
    <n v="57"/>
    <s v="4G"/>
  </r>
  <r>
    <n v="14390"/>
    <n v="249"/>
    <d v="2023-04-27T00:00:00"/>
    <s v="April"/>
    <n v="2023"/>
    <x v="270"/>
    <n v="77"/>
    <s v="4G"/>
  </r>
  <r>
    <n v="14391"/>
    <n v="14"/>
    <d v="2022-07-11T00:00:00"/>
    <s v="July"/>
    <n v="2022"/>
    <x v="261"/>
    <n v="201"/>
    <s v="4G"/>
  </r>
  <r>
    <n v="14392"/>
    <n v="462"/>
    <d v="2023-08-14T00:00:00"/>
    <s v="August"/>
    <n v="2023"/>
    <x v="725"/>
    <n v="288"/>
    <s v="4G"/>
  </r>
  <r>
    <n v="14393"/>
    <n v="13"/>
    <d v="2023-08-13T00:00:00"/>
    <s v="August"/>
    <n v="2023"/>
    <x v="306"/>
    <n v="61"/>
    <s v="4G"/>
  </r>
  <r>
    <n v="14394"/>
    <n v="391"/>
    <d v="2023-10-21T00:00:00"/>
    <s v="October"/>
    <n v="2023"/>
    <x v="6"/>
    <n v="267"/>
    <s v="4G"/>
  </r>
  <r>
    <n v="14395"/>
    <n v="384"/>
    <d v="2022-04-17T00:00:00"/>
    <s v="April"/>
    <n v="2022"/>
    <x v="39"/>
    <n v="125"/>
    <s v="4G"/>
  </r>
  <r>
    <n v="14396"/>
    <n v="44"/>
    <d v="2023-01-17T00:00:00"/>
    <s v="January"/>
    <n v="2023"/>
    <x v="104"/>
    <n v="48"/>
    <s v="4G"/>
  </r>
  <r>
    <n v="14397"/>
    <n v="375"/>
    <d v="2024-02-22T00:00:00"/>
    <s v="February"/>
    <n v="2024"/>
    <x v="109"/>
    <n v="87"/>
    <s v="4G"/>
  </r>
  <r>
    <n v="14398"/>
    <n v="399"/>
    <d v="2023-01-25T00:00:00"/>
    <s v="January"/>
    <n v="2023"/>
    <x v="234"/>
    <n v="260"/>
    <s v="4G"/>
  </r>
  <r>
    <n v="14399"/>
    <n v="19"/>
    <d v="2022-09-01T00:00:00"/>
    <s v="September"/>
    <n v="2022"/>
    <x v="212"/>
    <n v="178"/>
    <s v="4G"/>
  </r>
  <r>
    <n v="14400"/>
    <n v="63"/>
    <d v="2023-08-08T00:00:00"/>
    <s v="August"/>
    <n v="2023"/>
    <x v="236"/>
    <n v="68"/>
    <s v="4G"/>
  </r>
  <r>
    <n v="14401"/>
    <n v="491"/>
    <d v="2024-05-18T00:00:00"/>
    <s v="May"/>
    <n v="2024"/>
    <x v="77"/>
    <n v="59"/>
    <s v="4G"/>
  </r>
  <r>
    <n v="14402"/>
    <n v="239"/>
    <d v="2023-04-13T00:00:00"/>
    <s v="April"/>
    <n v="2023"/>
    <x v="4"/>
    <n v="248"/>
    <s v="4G"/>
  </r>
  <r>
    <n v="14403"/>
    <n v="492"/>
    <d v="2024-05-15T00:00:00"/>
    <s v="May"/>
    <n v="2024"/>
    <x v="546"/>
    <n v="168"/>
    <s v="5G"/>
  </r>
  <r>
    <n v="14404"/>
    <n v="419"/>
    <d v="2023-06-22T00:00:00"/>
    <s v="June"/>
    <n v="2023"/>
    <x v="856"/>
    <n v="268"/>
    <s v="4G"/>
  </r>
  <r>
    <n v="14405"/>
    <n v="337"/>
    <d v="2022-07-29T00:00:00"/>
    <s v="July"/>
    <n v="2022"/>
    <x v="857"/>
    <n v="111"/>
    <s v="4G"/>
  </r>
  <r>
    <n v="14406"/>
    <n v="419"/>
    <d v="2023-08-27T00:00:00"/>
    <s v="August"/>
    <n v="2023"/>
    <x v="465"/>
    <n v="99"/>
    <s v="5G"/>
  </r>
  <r>
    <n v="14407"/>
    <n v="403"/>
    <d v="2023-09-29T00:00:00"/>
    <s v="September"/>
    <n v="2023"/>
    <x v="496"/>
    <n v="214"/>
    <s v="4G"/>
  </r>
  <r>
    <n v="14408"/>
    <n v="404"/>
    <d v="2022-03-14T00:00:00"/>
    <s v="March"/>
    <n v="2022"/>
    <x v="152"/>
    <n v="112"/>
    <s v="5G"/>
  </r>
  <r>
    <n v="14409"/>
    <n v="100"/>
    <d v="2023-09-27T00:00:00"/>
    <s v="September"/>
    <n v="2023"/>
    <x v="313"/>
    <n v="96"/>
    <s v="4G"/>
  </r>
  <r>
    <n v="14410"/>
    <n v="163"/>
    <d v="2022-11-05T00:00:00"/>
    <s v="November"/>
    <n v="2022"/>
    <x v="138"/>
    <n v="117"/>
    <s v="4G"/>
  </r>
  <r>
    <n v="14411"/>
    <n v="416"/>
    <d v="2023-11-27T00:00:00"/>
    <s v="November"/>
    <n v="2023"/>
    <x v="44"/>
    <n v="35"/>
    <s v="4G"/>
  </r>
  <r>
    <n v="14412"/>
    <n v="122"/>
    <d v="2023-11-30T00:00:00"/>
    <s v="November"/>
    <n v="2023"/>
    <x v="593"/>
    <n v="289"/>
    <s v="4G"/>
  </r>
  <r>
    <n v="14413"/>
    <n v="432"/>
    <d v="2023-12-11T00:00:00"/>
    <s v="December"/>
    <n v="2023"/>
    <x v="307"/>
    <n v="123"/>
    <s v="4G"/>
  </r>
  <r>
    <n v="14414"/>
    <n v="44"/>
    <d v="2023-08-13T00:00:00"/>
    <s v="August"/>
    <n v="2023"/>
    <x v="58"/>
    <n v="39"/>
    <s v="4G"/>
  </r>
  <r>
    <n v="14415"/>
    <n v="360"/>
    <d v="2024-05-09T00:00:00"/>
    <s v="May"/>
    <n v="2024"/>
    <x v="175"/>
    <n v="140"/>
    <s v="5G"/>
  </r>
  <r>
    <n v="14416"/>
    <n v="408"/>
    <d v="2022-07-05T00:00:00"/>
    <s v="July"/>
    <n v="2022"/>
    <x v="72"/>
    <n v="25"/>
    <s v="4G"/>
  </r>
  <r>
    <n v="14417"/>
    <n v="317"/>
    <d v="2024-05-05T00:00:00"/>
    <s v="May"/>
    <n v="2024"/>
    <x v="343"/>
    <n v="141"/>
    <s v="4G"/>
  </r>
  <r>
    <n v="14418"/>
    <n v="381"/>
    <d v="2022-09-10T00:00:00"/>
    <s v="September"/>
    <n v="2022"/>
    <x v="23"/>
    <n v="56"/>
    <s v="4G"/>
  </r>
  <r>
    <n v="14419"/>
    <n v="145"/>
    <d v="2022-01-13T00:00:00"/>
    <s v="January"/>
    <n v="2022"/>
    <x v="71"/>
    <n v="149"/>
    <s v="5G"/>
  </r>
  <r>
    <n v="14420"/>
    <n v="327"/>
    <d v="2022-10-26T00:00:00"/>
    <s v="October"/>
    <n v="2022"/>
    <x v="194"/>
    <n v="204"/>
    <s v="5G"/>
  </r>
  <r>
    <n v="14421"/>
    <n v="363"/>
    <d v="2022-03-17T00:00:00"/>
    <s v="March"/>
    <n v="2022"/>
    <x v="244"/>
    <n v="75"/>
    <s v="5G"/>
  </r>
  <r>
    <n v="14422"/>
    <n v="50"/>
    <d v="2022-02-20T00:00:00"/>
    <s v="February"/>
    <n v="2022"/>
    <x v="218"/>
    <n v="284"/>
    <s v="4G"/>
  </r>
  <r>
    <n v="14423"/>
    <n v="65"/>
    <d v="2024-02-26T00:00:00"/>
    <s v="February"/>
    <n v="2024"/>
    <x v="422"/>
    <n v="209"/>
    <s v="4G"/>
  </r>
  <r>
    <n v="14424"/>
    <n v="355"/>
    <d v="2022-05-29T00:00:00"/>
    <s v="May"/>
    <n v="2022"/>
    <x v="278"/>
    <n v="257"/>
    <s v="4G"/>
  </r>
  <r>
    <n v="14425"/>
    <n v="288"/>
    <d v="2024-01-01T00:00:00"/>
    <s v="January"/>
    <n v="2024"/>
    <x v="122"/>
    <n v="258"/>
    <s v="4G"/>
  </r>
  <r>
    <n v="14426"/>
    <n v="164"/>
    <d v="2022-05-02T00:00:00"/>
    <s v="May"/>
    <n v="2022"/>
    <x v="515"/>
    <n v="183"/>
    <s v="5G"/>
  </r>
  <r>
    <n v="14427"/>
    <n v="141"/>
    <d v="2022-07-30T00:00:00"/>
    <s v="July"/>
    <n v="2022"/>
    <x v="253"/>
    <n v="10"/>
    <s v="5G"/>
  </r>
  <r>
    <n v="14428"/>
    <n v="454"/>
    <d v="2022-10-07T00:00:00"/>
    <s v="October"/>
    <n v="2022"/>
    <x v="331"/>
    <n v="159"/>
    <s v="4G"/>
  </r>
  <r>
    <n v="14429"/>
    <n v="314"/>
    <d v="2023-06-22T00:00:00"/>
    <s v="June"/>
    <n v="2023"/>
    <x v="122"/>
    <n v="259"/>
    <s v="4G"/>
  </r>
  <r>
    <n v="14430"/>
    <n v="128"/>
    <d v="2023-11-16T00:00:00"/>
    <s v="November"/>
    <n v="2023"/>
    <x v="234"/>
    <n v="87"/>
    <s v="4G"/>
  </r>
  <r>
    <n v="14431"/>
    <n v="398"/>
    <d v="2022-06-05T00:00:00"/>
    <s v="June"/>
    <n v="2022"/>
    <x v="162"/>
    <n v="183"/>
    <s v="4G"/>
  </r>
  <r>
    <n v="14432"/>
    <n v="421"/>
    <d v="2022-08-26T00:00:00"/>
    <s v="August"/>
    <n v="2022"/>
    <x v="317"/>
    <n v="15"/>
    <s v="4G"/>
  </r>
  <r>
    <n v="14433"/>
    <n v="368"/>
    <d v="2023-01-11T00:00:00"/>
    <s v="January"/>
    <n v="2023"/>
    <x v="117"/>
    <n v="243"/>
    <s v="4G"/>
  </r>
  <r>
    <n v="14434"/>
    <n v="463"/>
    <d v="2022-03-23T00:00:00"/>
    <s v="March"/>
    <n v="2022"/>
    <x v="116"/>
    <n v="85"/>
    <s v="5G"/>
  </r>
  <r>
    <n v="14435"/>
    <n v="239"/>
    <d v="2023-05-07T00:00:00"/>
    <s v="May"/>
    <n v="2023"/>
    <x v="221"/>
    <n v="198"/>
    <s v="4G"/>
  </r>
  <r>
    <n v="14436"/>
    <n v="324"/>
    <d v="2022-12-22T00:00:00"/>
    <s v="December"/>
    <n v="2022"/>
    <x v="178"/>
    <n v="9"/>
    <s v="5G"/>
  </r>
  <r>
    <n v="14437"/>
    <n v="296"/>
    <d v="2022-09-30T00:00:00"/>
    <s v="September"/>
    <n v="2022"/>
    <x v="858"/>
    <n v="163"/>
    <s v="4G"/>
  </r>
  <r>
    <n v="14438"/>
    <n v="187"/>
    <d v="2023-08-03T00:00:00"/>
    <s v="August"/>
    <n v="2023"/>
    <x v="61"/>
    <n v="23"/>
    <s v="4G"/>
  </r>
  <r>
    <n v="14439"/>
    <n v="208"/>
    <d v="2022-02-13T00:00:00"/>
    <s v="February"/>
    <n v="2022"/>
    <x v="311"/>
    <n v="63"/>
    <s v="4G"/>
  </r>
  <r>
    <n v="14440"/>
    <n v="220"/>
    <d v="2023-07-27T00:00:00"/>
    <s v="July"/>
    <n v="2023"/>
    <x v="287"/>
    <n v="237"/>
    <s v="4G"/>
  </r>
  <r>
    <n v="14441"/>
    <n v="400"/>
    <d v="2022-05-03T00:00:00"/>
    <s v="May"/>
    <n v="2022"/>
    <x v="859"/>
    <n v="237"/>
    <s v="4G"/>
  </r>
  <r>
    <n v="14442"/>
    <n v="190"/>
    <d v="2022-12-15T00:00:00"/>
    <s v="December"/>
    <n v="2022"/>
    <x v="860"/>
    <n v="21"/>
    <s v="4G"/>
  </r>
  <r>
    <n v="14443"/>
    <n v="388"/>
    <d v="2023-12-09T00:00:00"/>
    <s v="December"/>
    <n v="2023"/>
    <x v="6"/>
    <n v="179"/>
    <s v="4G"/>
  </r>
  <r>
    <n v="14444"/>
    <n v="429"/>
    <d v="2022-11-26T00:00:00"/>
    <s v="November"/>
    <n v="2022"/>
    <x v="182"/>
    <n v="46"/>
    <s v="5G"/>
  </r>
  <r>
    <n v="14445"/>
    <n v="346"/>
    <d v="2023-02-13T00:00:00"/>
    <s v="February"/>
    <n v="2023"/>
    <x v="61"/>
    <n v="278"/>
    <s v="4G"/>
  </r>
  <r>
    <n v="14446"/>
    <n v="284"/>
    <d v="2022-11-19T00:00:00"/>
    <s v="November"/>
    <n v="2022"/>
    <x v="98"/>
    <n v="223"/>
    <s v="5G"/>
  </r>
  <r>
    <n v="14447"/>
    <n v="352"/>
    <d v="2022-04-21T00:00:00"/>
    <s v="April"/>
    <n v="2022"/>
    <x v="861"/>
    <n v="217"/>
    <s v="4G"/>
  </r>
  <r>
    <n v="14448"/>
    <n v="237"/>
    <d v="2024-02-09T00:00:00"/>
    <s v="February"/>
    <n v="2024"/>
    <x v="862"/>
    <n v="236"/>
    <s v="4G"/>
  </r>
  <r>
    <n v="14449"/>
    <n v="194"/>
    <d v="2022-03-30T00:00:00"/>
    <s v="March"/>
    <n v="2022"/>
    <x v="846"/>
    <n v="203"/>
    <s v="4G"/>
  </r>
  <r>
    <n v="14450"/>
    <n v="287"/>
    <d v="2023-03-09T00:00:00"/>
    <s v="March"/>
    <n v="2023"/>
    <x v="190"/>
    <n v="18"/>
    <s v="5G"/>
  </r>
  <r>
    <n v="14451"/>
    <n v="259"/>
    <d v="2023-12-11T00:00:00"/>
    <s v="December"/>
    <n v="2023"/>
    <x v="201"/>
    <n v="179"/>
    <s v="4G"/>
  </r>
  <r>
    <n v="14452"/>
    <n v="246"/>
    <d v="2024-03-04T00:00:00"/>
    <s v="March"/>
    <n v="2024"/>
    <x v="84"/>
    <n v="161"/>
    <s v="4G"/>
  </r>
  <r>
    <n v="14453"/>
    <n v="136"/>
    <d v="2023-12-13T00:00:00"/>
    <s v="December"/>
    <n v="2023"/>
    <x v="863"/>
    <n v="284"/>
    <s v="4G"/>
  </r>
  <r>
    <n v="14454"/>
    <n v="280"/>
    <d v="2022-04-09T00:00:00"/>
    <s v="April"/>
    <n v="2022"/>
    <x v="126"/>
    <n v="60"/>
    <s v="4G"/>
  </r>
  <r>
    <n v="14455"/>
    <n v="271"/>
    <d v="2023-06-23T00:00:00"/>
    <s v="June"/>
    <n v="2023"/>
    <x v="224"/>
    <n v="84"/>
    <s v="5G"/>
  </r>
  <r>
    <n v="14456"/>
    <n v="171"/>
    <d v="2023-08-24T00:00:00"/>
    <s v="August"/>
    <n v="2023"/>
    <x v="162"/>
    <n v="34"/>
    <s v="4G"/>
  </r>
  <r>
    <n v="14457"/>
    <n v="159"/>
    <d v="2022-05-26T00:00:00"/>
    <s v="May"/>
    <n v="2022"/>
    <x v="367"/>
    <n v="4"/>
    <s v="4G"/>
  </r>
  <r>
    <n v="14458"/>
    <n v="201"/>
    <d v="2023-11-25T00:00:00"/>
    <s v="November"/>
    <n v="2023"/>
    <x v="212"/>
    <n v="75"/>
    <s v="5G"/>
  </r>
  <r>
    <n v="14459"/>
    <n v="487"/>
    <d v="2022-09-14T00:00:00"/>
    <s v="September"/>
    <n v="2022"/>
    <x v="609"/>
    <n v="252"/>
    <s v="4G"/>
  </r>
  <r>
    <n v="14460"/>
    <n v="45"/>
    <d v="2022-07-08T00:00:00"/>
    <s v="July"/>
    <n v="2022"/>
    <x v="236"/>
    <n v="6"/>
    <s v="4G"/>
  </r>
  <r>
    <n v="14461"/>
    <n v="450"/>
    <d v="2022-08-28T00:00:00"/>
    <s v="August"/>
    <n v="2022"/>
    <x v="44"/>
    <n v="168"/>
    <s v="4G"/>
  </r>
  <r>
    <n v="14462"/>
    <n v="264"/>
    <d v="2024-05-20T00:00:00"/>
    <s v="May"/>
    <n v="2024"/>
    <x v="395"/>
    <n v="129"/>
    <s v="5G"/>
  </r>
  <r>
    <n v="14463"/>
    <n v="71"/>
    <d v="2024-06-17T00:00:00"/>
    <s v="June"/>
    <n v="2024"/>
    <x v="737"/>
    <n v="137"/>
    <s v="5G"/>
  </r>
  <r>
    <n v="14464"/>
    <n v="364"/>
    <d v="2023-05-18T00:00:00"/>
    <s v="May"/>
    <n v="2023"/>
    <x v="320"/>
    <n v="299"/>
    <s v="4G"/>
  </r>
  <r>
    <n v="14465"/>
    <n v="371"/>
    <d v="2023-12-09T00:00:00"/>
    <s v="December"/>
    <n v="2023"/>
    <x v="94"/>
    <n v="90"/>
    <s v="5G"/>
  </r>
  <r>
    <n v="14466"/>
    <n v="103"/>
    <d v="2024-03-19T00:00:00"/>
    <s v="March"/>
    <n v="2024"/>
    <x v="6"/>
    <n v="162"/>
    <s v="4G"/>
  </r>
  <r>
    <n v="14467"/>
    <n v="490"/>
    <d v="2023-11-08T00:00:00"/>
    <s v="November"/>
    <n v="2023"/>
    <x v="460"/>
    <n v="252"/>
    <s v="4G"/>
  </r>
  <r>
    <n v="14468"/>
    <n v="125"/>
    <d v="2024-03-29T00:00:00"/>
    <s v="March"/>
    <n v="2024"/>
    <x v="157"/>
    <n v="200"/>
    <s v="4G"/>
  </r>
  <r>
    <n v="14469"/>
    <n v="313"/>
    <d v="2022-09-28T00:00:00"/>
    <s v="September"/>
    <n v="2022"/>
    <x v="63"/>
    <n v="19"/>
    <s v="4G"/>
  </r>
  <r>
    <n v="14470"/>
    <n v="464"/>
    <d v="2023-06-04T00:00:00"/>
    <s v="June"/>
    <n v="2023"/>
    <x v="428"/>
    <n v="228"/>
    <s v="4G"/>
  </r>
  <r>
    <n v="14471"/>
    <n v="483"/>
    <d v="2023-07-04T00:00:00"/>
    <s v="July"/>
    <n v="2023"/>
    <x v="182"/>
    <n v="162"/>
    <s v="5G"/>
  </r>
  <r>
    <n v="14472"/>
    <n v="286"/>
    <d v="2022-04-24T00:00:00"/>
    <s v="April"/>
    <n v="2022"/>
    <x v="37"/>
    <n v="164"/>
    <s v="4G"/>
  </r>
  <r>
    <n v="14473"/>
    <n v="458"/>
    <d v="2022-12-05T00:00:00"/>
    <s v="December"/>
    <n v="2022"/>
    <x v="265"/>
    <n v="231"/>
    <s v="5G"/>
  </r>
  <r>
    <n v="14474"/>
    <n v="230"/>
    <d v="2023-07-22T00:00:00"/>
    <s v="July"/>
    <n v="2023"/>
    <x v="395"/>
    <n v="237"/>
    <s v="4G"/>
  </r>
  <r>
    <n v="14475"/>
    <n v="146"/>
    <d v="2022-12-25T00:00:00"/>
    <s v="December"/>
    <n v="2022"/>
    <x v="21"/>
    <n v="119"/>
    <s v="4G"/>
  </r>
  <r>
    <n v="14476"/>
    <n v="370"/>
    <d v="2023-10-12T00:00:00"/>
    <s v="October"/>
    <n v="2023"/>
    <x v="112"/>
    <n v="106"/>
    <s v="4G"/>
  </r>
  <r>
    <n v="14477"/>
    <n v="197"/>
    <d v="2023-09-06T00:00:00"/>
    <s v="September"/>
    <n v="2023"/>
    <x v="233"/>
    <n v="249"/>
    <s v="4G"/>
  </r>
  <r>
    <n v="14478"/>
    <n v="373"/>
    <d v="2022-11-30T00:00:00"/>
    <s v="November"/>
    <n v="2022"/>
    <x v="459"/>
    <n v="283"/>
    <s v="5G"/>
  </r>
  <r>
    <n v="14479"/>
    <n v="221"/>
    <d v="2023-11-20T00:00:00"/>
    <s v="November"/>
    <n v="2023"/>
    <x v="286"/>
    <n v="197"/>
    <s v="4G"/>
  </r>
  <r>
    <n v="14480"/>
    <n v="423"/>
    <d v="2022-06-18T00:00:00"/>
    <s v="June"/>
    <n v="2022"/>
    <x v="2"/>
    <n v="219"/>
    <s v="5G"/>
  </r>
  <r>
    <n v="14481"/>
    <n v="60"/>
    <d v="2022-12-05T00:00:00"/>
    <s v="December"/>
    <n v="2022"/>
    <x v="244"/>
    <n v="150"/>
    <s v="5G"/>
  </r>
  <r>
    <n v="14482"/>
    <n v="98"/>
    <d v="2024-03-08T00:00:00"/>
    <s v="March"/>
    <n v="2024"/>
    <x v="438"/>
    <n v="285"/>
    <s v="4G"/>
  </r>
  <r>
    <n v="14483"/>
    <n v="171"/>
    <d v="2022-09-18T00:00:00"/>
    <s v="September"/>
    <n v="2022"/>
    <x v="305"/>
    <n v="264"/>
    <s v="4G"/>
  </r>
  <r>
    <n v="14484"/>
    <n v="382"/>
    <d v="2024-06-05T00:00:00"/>
    <s v="June"/>
    <n v="2024"/>
    <x v="864"/>
    <n v="219"/>
    <s v="4G"/>
  </r>
  <r>
    <n v="14485"/>
    <n v="173"/>
    <d v="2024-01-05T00:00:00"/>
    <s v="January"/>
    <n v="2024"/>
    <x v="152"/>
    <n v="215"/>
    <s v="4G"/>
  </r>
  <r>
    <n v="14486"/>
    <n v="151"/>
    <d v="2022-07-18T00:00:00"/>
    <s v="July"/>
    <n v="2022"/>
    <x v="2"/>
    <n v="155"/>
    <s v="4G"/>
  </r>
  <r>
    <n v="14487"/>
    <n v="453"/>
    <d v="2022-07-30T00:00:00"/>
    <s v="July"/>
    <n v="2022"/>
    <x v="88"/>
    <n v="215"/>
    <s v="4G"/>
  </r>
  <r>
    <n v="14488"/>
    <n v="350"/>
    <d v="2022-10-14T00:00:00"/>
    <s v="October"/>
    <n v="2022"/>
    <x v="243"/>
    <n v="113"/>
    <s v="4G"/>
  </r>
  <r>
    <n v="14489"/>
    <n v="390"/>
    <d v="2023-11-23T00:00:00"/>
    <s v="November"/>
    <n v="2023"/>
    <x v="307"/>
    <n v="160"/>
    <s v="5G"/>
  </r>
  <r>
    <n v="14490"/>
    <n v="440"/>
    <d v="2024-02-01T00:00:00"/>
    <s v="February"/>
    <n v="2024"/>
    <x v="272"/>
    <n v="97"/>
    <s v="4G"/>
  </r>
  <r>
    <n v="14491"/>
    <n v="122"/>
    <d v="2024-01-13T00:00:00"/>
    <s v="January"/>
    <n v="2024"/>
    <x v="345"/>
    <n v="156"/>
    <s v="4G"/>
  </r>
  <r>
    <n v="14492"/>
    <n v="494"/>
    <d v="2023-04-17T00:00:00"/>
    <s v="April"/>
    <n v="2023"/>
    <x v="103"/>
    <n v="161"/>
    <s v="4G"/>
  </r>
  <r>
    <n v="14493"/>
    <n v="108"/>
    <d v="2023-04-27T00:00:00"/>
    <s v="April"/>
    <n v="2023"/>
    <x v="221"/>
    <n v="41"/>
    <s v="5G"/>
  </r>
  <r>
    <n v="14494"/>
    <n v="4"/>
    <d v="2022-01-23T00:00:00"/>
    <s v="January"/>
    <n v="2022"/>
    <x v="77"/>
    <n v="179"/>
    <s v="4G"/>
  </r>
  <r>
    <n v="14495"/>
    <n v="93"/>
    <d v="2023-07-14T00:00:00"/>
    <s v="July"/>
    <n v="2023"/>
    <x v="459"/>
    <n v="50"/>
    <s v="4G"/>
  </r>
  <r>
    <n v="14496"/>
    <n v="407"/>
    <d v="2022-04-19T00:00:00"/>
    <s v="April"/>
    <n v="2022"/>
    <x v="482"/>
    <n v="251"/>
    <s v="5G"/>
  </r>
  <r>
    <n v="14497"/>
    <n v="6"/>
    <d v="2022-10-23T00:00:00"/>
    <s v="October"/>
    <n v="2022"/>
    <x v="57"/>
    <n v="119"/>
    <s v="5G"/>
  </r>
  <r>
    <n v="14498"/>
    <n v="288"/>
    <d v="2022-01-06T00:00:00"/>
    <s v="January"/>
    <n v="2022"/>
    <x v="25"/>
    <n v="74"/>
    <s v="5G"/>
  </r>
  <r>
    <n v="14499"/>
    <n v="106"/>
    <d v="2023-07-04T00:00:00"/>
    <s v="July"/>
    <n v="2023"/>
    <x v="105"/>
    <n v="161"/>
    <s v="4G"/>
  </r>
  <r>
    <n v="14500"/>
    <n v="146"/>
    <d v="2023-11-12T00:00:00"/>
    <s v="November"/>
    <n v="2023"/>
    <x v="779"/>
    <n v="148"/>
    <s v="5G"/>
  </r>
  <r>
    <n v="14501"/>
    <n v="271"/>
    <d v="2024-05-17T00:00:00"/>
    <s v="May"/>
    <n v="2024"/>
    <x v="18"/>
    <n v="122"/>
    <s v="4G"/>
  </r>
  <r>
    <n v="14502"/>
    <n v="424"/>
    <d v="2024-03-05T00:00:00"/>
    <s v="March"/>
    <n v="2024"/>
    <x v="68"/>
    <n v="140"/>
    <s v="5G"/>
  </r>
  <r>
    <n v="14503"/>
    <n v="378"/>
    <d v="2022-07-22T00:00:00"/>
    <s v="July"/>
    <n v="2022"/>
    <x v="263"/>
    <n v="181"/>
    <s v="4G"/>
  </r>
  <r>
    <n v="14504"/>
    <n v="96"/>
    <d v="2022-11-21T00:00:00"/>
    <s v="November"/>
    <n v="2022"/>
    <x v="120"/>
    <n v="276"/>
    <s v="5G"/>
  </r>
  <r>
    <n v="14505"/>
    <n v="457"/>
    <d v="2024-04-04T00:00:00"/>
    <s v="April"/>
    <n v="2024"/>
    <x v="538"/>
    <n v="256"/>
    <s v="5G"/>
  </r>
  <r>
    <n v="14506"/>
    <n v="229"/>
    <d v="2024-02-24T00:00:00"/>
    <s v="February"/>
    <n v="2024"/>
    <x v="93"/>
    <n v="244"/>
    <s v="4G"/>
  </r>
  <r>
    <n v="14507"/>
    <n v="202"/>
    <d v="2022-09-01T00:00:00"/>
    <s v="September"/>
    <n v="2022"/>
    <x v="647"/>
    <n v="85"/>
    <s v="5G"/>
  </r>
  <r>
    <n v="14508"/>
    <n v="212"/>
    <d v="2022-11-23T00:00:00"/>
    <s v="November"/>
    <n v="2022"/>
    <x v="432"/>
    <n v="70"/>
    <s v="4G"/>
  </r>
  <r>
    <n v="14509"/>
    <n v="6"/>
    <d v="2022-02-16T00:00:00"/>
    <s v="February"/>
    <n v="2022"/>
    <x v="125"/>
    <n v="268"/>
    <s v="4G"/>
  </r>
  <r>
    <n v="14510"/>
    <n v="112"/>
    <d v="2024-01-31T00:00:00"/>
    <s v="January"/>
    <n v="2024"/>
    <x v="552"/>
    <n v="179"/>
    <s v="4G"/>
  </r>
  <r>
    <n v="14511"/>
    <n v="376"/>
    <d v="2023-08-14T00:00:00"/>
    <s v="August"/>
    <n v="2023"/>
    <x v="198"/>
    <n v="278"/>
    <s v="5G"/>
  </r>
  <r>
    <n v="14512"/>
    <n v="379"/>
    <d v="2023-09-14T00:00:00"/>
    <s v="September"/>
    <n v="2023"/>
    <x v="865"/>
    <n v="148"/>
    <s v="4G"/>
  </r>
  <r>
    <n v="14513"/>
    <n v="447"/>
    <d v="2022-01-13T00:00:00"/>
    <s v="January"/>
    <n v="2022"/>
    <x v="215"/>
    <n v="5"/>
    <s v="4G"/>
  </r>
  <r>
    <n v="14514"/>
    <n v="323"/>
    <d v="2023-01-15T00:00:00"/>
    <s v="January"/>
    <n v="2023"/>
    <x v="170"/>
    <n v="147"/>
    <s v="4G"/>
  </r>
  <r>
    <n v="14515"/>
    <n v="106"/>
    <d v="2022-12-31T00:00:00"/>
    <s v="December"/>
    <n v="2022"/>
    <x v="78"/>
    <n v="167"/>
    <s v="5G"/>
  </r>
  <r>
    <n v="14516"/>
    <n v="139"/>
    <d v="2023-08-25T00:00:00"/>
    <s v="August"/>
    <n v="2023"/>
    <x v="241"/>
    <n v="8"/>
    <s v="5G"/>
  </r>
  <r>
    <n v="14517"/>
    <n v="299"/>
    <d v="2022-12-08T00:00:00"/>
    <s v="December"/>
    <n v="2022"/>
    <x v="334"/>
    <n v="177"/>
    <s v="4G"/>
  </r>
  <r>
    <n v="14518"/>
    <n v="401"/>
    <d v="2024-05-09T00:00:00"/>
    <s v="May"/>
    <n v="2024"/>
    <x v="357"/>
    <n v="283"/>
    <s v="4G"/>
  </r>
  <r>
    <n v="14519"/>
    <n v="96"/>
    <d v="2024-03-02T00:00:00"/>
    <s v="March"/>
    <n v="2024"/>
    <x v="311"/>
    <n v="115"/>
    <s v="4G"/>
  </r>
  <r>
    <n v="14520"/>
    <n v="388"/>
    <d v="2022-08-09T00:00:00"/>
    <s v="August"/>
    <n v="2022"/>
    <x v="41"/>
    <n v="95"/>
    <s v="4G"/>
  </r>
  <r>
    <n v="14521"/>
    <n v="447"/>
    <d v="2022-03-14T00:00:00"/>
    <s v="March"/>
    <n v="2022"/>
    <x v="88"/>
    <n v="55"/>
    <s v="4G"/>
  </r>
  <r>
    <n v="14522"/>
    <n v="452"/>
    <d v="2024-01-16T00:00:00"/>
    <s v="January"/>
    <n v="2024"/>
    <x v="746"/>
    <n v="206"/>
    <s v="4G"/>
  </r>
  <r>
    <n v="14523"/>
    <n v="337"/>
    <d v="2024-02-11T00:00:00"/>
    <s v="February"/>
    <n v="2024"/>
    <x v="764"/>
    <n v="104"/>
    <s v="5G"/>
  </r>
  <r>
    <n v="14524"/>
    <n v="297"/>
    <d v="2023-09-17T00:00:00"/>
    <s v="September"/>
    <n v="2023"/>
    <x v="628"/>
    <n v="34"/>
    <s v="4G"/>
  </r>
  <r>
    <n v="14525"/>
    <n v="467"/>
    <d v="2022-02-15T00:00:00"/>
    <s v="February"/>
    <n v="2022"/>
    <x v="866"/>
    <n v="208"/>
    <s v="4G"/>
  </r>
  <r>
    <n v="14526"/>
    <n v="389"/>
    <d v="2023-05-19T00:00:00"/>
    <s v="May"/>
    <n v="2023"/>
    <x v="152"/>
    <n v="280"/>
    <s v="4G"/>
  </r>
  <r>
    <n v="14527"/>
    <n v="416"/>
    <d v="2022-10-01T00:00:00"/>
    <s v="October"/>
    <n v="2022"/>
    <x v="379"/>
    <n v="146"/>
    <s v="4G"/>
  </r>
  <r>
    <n v="14528"/>
    <n v="214"/>
    <d v="2023-07-09T00:00:00"/>
    <s v="July"/>
    <n v="2023"/>
    <x v="117"/>
    <n v="286"/>
    <s v="4G"/>
  </r>
  <r>
    <n v="14529"/>
    <n v="454"/>
    <d v="2022-07-27T00:00:00"/>
    <s v="July"/>
    <n v="2022"/>
    <x v="763"/>
    <n v="80"/>
    <s v="4G"/>
  </r>
  <r>
    <n v="14530"/>
    <n v="291"/>
    <d v="2024-05-10T00:00:00"/>
    <s v="May"/>
    <n v="2024"/>
    <x v="594"/>
    <n v="49"/>
    <s v="5G"/>
  </r>
  <r>
    <n v="14531"/>
    <n v="22"/>
    <d v="2023-09-07T00:00:00"/>
    <s v="September"/>
    <n v="2023"/>
    <x v="411"/>
    <n v="86"/>
    <s v="4G"/>
  </r>
  <r>
    <n v="14532"/>
    <n v="193"/>
    <d v="2022-05-04T00:00:00"/>
    <s v="May"/>
    <n v="2022"/>
    <x v="779"/>
    <n v="190"/>
    <s v="4G"/>
  </r>
  <r>
    <n v="14533"/>
    <n v="468"/>
    <d v="2022-01-10T00:00:00"/>
    <s v="January"/>
    <n v="2022"/>
    <x v="652"/>
    <n v="0"/>
    <s v="5G"/>
  </r>
  <r>
    <n v="14534"/>
    <n v="150"/>
    <d v="2022-11-25T00:00:00"/>
    <s v="November"/>
    <n v="2022"/>
    <x v="41"/>
    <n v="137"/>
    <s v="5G"/>
  </r>
  <r>
    <n v="14535"/>
    <n v="368"/>
    <d v="2022-07-06T00:00:00"/>
    <s v="July"/>
    <n v="2022"/>
    <x v="305"/>
    <n v="135"/>
    <s v="5G"/>
  </r>
  <r>
    <n v="14536"/>
    <n v="247"/>
    <d v="2023-06-27T00:00:00"/>
    <s v="June"/>
    <n v="2023"/>
    <x v="438"/>
    <n v="153"/>
    <s v="5G"/>
  </r>
  <r>
    <n v="14537"/>
    <n v="267"/>
    <d v="2023-10-30T00:00:00"/>
    <s v="October"/>
    <n v="2023"/>
    <x v="216"/>
    <n v="161"/>
    <s v="5G"/>
  </r>
  <r>
    <n v="14538"/>
    <n v="461"/>
    <d v="2022-03-01T00:00:00"/>
    <s v="March"/>
    <n v="2022"/>
    <x v="270"/>
    <n v="18"/>
    <s v="4G"/>
  </r>
  <r>
    <n v="14539"/>
    <n v="251"/>
    <d v="2024-01-31T00:00:00"/>
    <s v="January"/>
    <n v="2024"/>
    <x v="231"/>
    <n v="242"/>
    <s v="5G"/>
  </r>
  <r>
    <n v="14540"/>
    <n v="490"/>
    <d v="2024-06-17T00:00:00"/>
    <s v="June"/>
    <n v="2024"/>
    <x v="0"/>
    <n v="128"/>
    <s v="4G"/>
  </r>
  <r>
    <n v="14541"/>
    <n v="3"/>
    <d v="2024-06-04T00:00:00"/>
    <s v="June"/>
    <n v="2024"/>
    <x v="129"/>
    <n v="175"/>
    <s v="4G"/>
  </r>
  <r>
    <n v="14542"/>
    <n v="393"/>
    <d v="2024-02-21T00:00:00"/>
    <s v="February"/>
    <n v="2024"/>
    <x v="355"/>
    <n v="279"/>
    <s v="4G"/>
  </r>
  <r>
    <n v="14543"/>
    <n v="316"/>
    <d v="2023-03-18T00:00:00"/>
    <s v="March"/>
    <n v="2023"/>
    <x v="193"/>
    <n v="83"/>
    <s v="4G"/>
  </r>
  <r>
    <n v="14544"/>
    <n v="76"/>
    <d v="2022-08-05T00:00:00"/>
    <s v="August"/>
    <n v="2022"/>
    <x v="315"/>
    <n v="221"/>
    <s v="4G"/>
  </r>
  <r>
    <n v="14545"/>
    <n v="87"/>
    <d v="2022-01-02T00:00:00"/>
    <s v="January"/>
    <n v="2022"/>
    <x v="41"/>
    <n v="144"/>
    <s v="4G"/>
  </r>
  <r>
    <n v="14546"/>
    <n v="270"/>
    <d v="2023-06-20T00:00:00"/>
    <s v="June"/>
    <n v="2023"/>
    <x v="599"/>
    <n v="105"/>
    <s v="4G"/>
  </r>
  <r>
    <n v="14547"/>
    <n v="225"/>
    <d v="2023-12-19T00:00:00"/>
    <s v="December"/>
    <n v="2023"/>
    <x v="143"/>
    <n v="10"/>
    <s v="5G"/>
  </r>
  <r>
    <n v="14548"/>
    <n v="18"/>
    <d v="2024-04-11T00:00:00"/>
    <s v="April"/>
    <n v="2024"/>
    <x v="489"/>
    <n v="165"/>
    <s v="5G"/>
  </r>
  <r>
    <n v="14549"/>
    <n v="113"/>
    <d v="2023-12-12T00:00:00"/>
    <s v="December"/>
    <n v="2023"/>
    <x v="410"/>
    <n v="195"/>
    <s v="4G"/>
  </r>
  <r>
    <n v="14550"/>
    <n v="251"/>
    <d v="2022-12-22T00:00:00"/>
    <s v="December"/>
    <n v="2022"/>
    <x v="867"/>
    <n v="230"/>
    <s v="5G"/>
  </r>
  <r>
    <n v="14551"/>
    <n v="233"/>
    <d v="2023-09-18T00:00:00"/>
    <s v="September"/>
    <n v="2023"/>
    <x v="527"/>
    <n v="146"/>
    <s v="4G"/>
  </r>
  <r>
    <n v="14552"/>
    <n v="329"/>
    <d v="2024-03-02T00:00:00"/>
    <s v="March"/>
    <n v="2024"/>
    <x v="194"/>
    <n v="237"/>
    <s v="5G"/>
  </r>
  <r>
    <n v="14553"/>
    <n v="279"/>
    <d v="2023-10-29T00:00:00"/>
    <s v="October"/>
    <n v="2023"/>
    <x v="357"/>
    <n v="12"/>
    <s v="4G"/>
  </r>
  <r>
    <n v="14554"/>
    <n v="202"/>
    <d v="2022-06-14T00:00:00"/>
    <s v="June"/>
    <n v="2022"/>
    <x v="379"/>
    <n v="218"/>
    <s v="4G"/>
  </r>
  <r>
    <n v="14555"/>
    <n v="83"/>
    <d v="2024-01-04T00:00:00"/>
    <s v="January"/>
    <n v="2024"/>
    <x v="54"/>
    <n v="256"/>
    <s v="4G"/>
  </r>
  <r>
    <n v="14556"/>
    <n v="125"/>
    <d v="2022-04-01T00:00:00"/>
    <s v="April"/>
    <n v="2022"/>
    <x v="566"/>
    <n v="1"/>
    <s v="4G"/>
  </r>
  <r>
    <n v="14557"/>
    <n v="175"/>
    <d v="2022-06-16T00:00:00"/>
    <s v="June"/>
    <n v="2022"/>
    <x v="429"/>
    <n v="209"/>
    <s v="4G"/>
  </r>
  <r>
    <n v="14558"/>
    <n v="69"/>
    <d v="2022-07-26T00:00:00"/>
    <s v="July"/>
    <n v="2022"/>
    <x v="393"/>
    <n v="224"/>
    <s v="4G"/>
  </r>
  <r>
    <n v="14559"/>
    <n v="47"/>
    <d v="2022-10-09T00:00:00"/>
    <s v="October"/>
    <n v="2022"/>
    <x v="221"/>
    <n v="193"/>
    <s v="4G"/>
  </r>
  <r>
    <n v="14560"/>
    <n v="372"/>
    <d v="2022-03-06T00:00:00"/>
    <s v="March"/>
    <n v="2022"/>
    <x v="230"/>
    <n v="195"/>
    <s v="4G"/>
  </r>
  <r>
    <n v="14561"/>
    <n v="256"/>
    <d v="2024-06-06T00:00:00"/>
    <s v="June"/>
    <n v="2024"/>
    <x v="469"/>
    <n v="259"/>
    <s v="4G"/>
  </r>
  <r>
    <n v="14562"/>
    <n v="215"/>
    <d v="2023-05-31T00:00:00"/>
    <s v="May"/>
    <n v="2023"/>
    <x v="531"/>
    <n v="56"/>
    <s v="5G"/>
  </r>
  <r>
    <n v="14563"/>
    <n v="30"/>
    <d v="2022-06-06T00:00:00"/>
    <s v="June"/>
    <n v="2022"/>
    <x v="159"/>
    <n v="112"/>
    <s v="4G"/>
  </r>
  <r>
    <n v="14564"/>
    <n v="281"/>
    <d v="2024-01-31T00:00:00"/>
    <s v="January"/>
    <n v="2024"/>
    <x v="849"/>
    <n v="212"/>
    <s v="4G"/>
  </r>
  <r>
    <n v="14565"/>
    <n v="412"/>
    <d v="2024-02-08T00:00:00"/>
    <s v="February"/>
    <n v="2024"/>
    <x v="190"/>
    <n v="278"/>
    <s v="4G"/>
  </r>
  <r>
    <n v="14566"/>
    <n v="482"/>
    <d v="2024-01-17T00:00:00"/>
    <s v="January"/>
    <n v="2024"/>
    <x v="259"/>
    <n v="243"/>
    <s v="5G"/>
  </r>
  <r>
    <n v="14567"/>
    <n v="237"/>
    <d v="2022-11-02T00:00:00"/>
    <s v="November"/>
    <n v="2022"/>
    <x v="56"/>
    <n v="116"/>
    <s v="4G"/>
  </r>
  <r>
    <n v="14568"/>
    <n v="248"/>
    <d v="2024-05-27T00:00:00"/>
    <s v="May"/>
    <n v="2024"/>
    <x v="139"/>
    <n v="86"/>
    <s v="5G"/>
  </r>
  <r>
    <n v="14569"/>
    <n v="368"/>
    <d v="2023-01-30T00:00:00"/>
    <s v="January"/>
    <n v="2023"/>
    <x v="319"/>
    <n v="262"/>
    <s v="4G"/>
  </r>
  <r>
    <n v="14570"/>
    <n v="495"/>
    <d v="2022-03-15T00:00:00"/>
    <s v="March"/>
    <n v="2022"/>
    <x v="235"/>
    <n v="299"/>
    <s v="4G"/>
  </r>
  <r>
    <n v="14571"/>
    <n v="25"/>
    <d v="2022-07-06T00:00:00"/>
    <s v="July"/>
    <n v="2022"/>
    <x v="696"/>
    <n v="112"/>
    <s v="4G"/>
  </r>
  <r>
    <n v="14572"/>
    <n v="74"/>
    <d v="2023-07-28T00:00:00"/>
    <s v="July"/>
    <n v="2023"/>
    <x v="534"/>
    <n v="163"/>
    <s v="4G"/>
  </r>
  <r>
    <n v="14573"/>
    <n v="206"/>
    <d v="2022-12-03T00:00:00"/>
    <s v="December"/>
    <n v="2022"/>
    <x v="174"/>
    <n v="3"/>
    <s v="4G"/>
  </r>
  <r>
    <n v="14574"/>
    <n v="490"/>
    <d v="2023-11-07T00:00:00"/>
    <s v="November"/>
    <n v="2023"/>
    <x v="122"/>
    <n v="117"/>
    <s v="4G"/>
  </r>
  <r>
    <n v="14575"/>
    <n v="494"/>
    <d v="2023-07-22T00:00:00"/>
    <s v="July"/>
    <n v="2023"/>
    <x v="251"/>
    <n v="22"/>
    <s v="4G"/>
  </r>
  <r>
    <n v="14576"/>
    <n v="314"/>
    <d v="2023-09-15T00:00:00"/>
    <s v="September"/>
    <n v="2023"/>
    <x v="364"/>
    <n v="232"/>
    <s v="5G"/>
  </r>
  <r>
    <n v="14577"/>
    <n v="94"/>
    <d v="2023-12-31T00:00:00"/>
    <s v="December"/>
    <n v="2023"/>
    <x v="152"/>
    <n v="89"/>
    <s v="4G"/>
  </r>
  <r>
    <n v="14578"/>
    <n v="375"/>
    <d v="2022-08-28T00:00:00"/>
    <s v="August"/>
    <n v="2022"/>
    <x v="536"/>
    <n v="254"/>
    <s v="4G"/>
  </r>
  <r>
    <n v="14579"/>
    <n v="127"/>
    <d v="2023-06-17T00:00:00"/>
    <s v="June"/>
    <n v="2023"/>
    <x v="289"/>
    <n v="91"/>
    <s v="4G"/>
  </r>
  <r>
    <n v="14580"/>
    <n v="425"/>
    <d v="2022-05-21T00:00:00"/>
    <s v="May"/>
    <n v="2022"/>
    <x v="150"/>
    <n v="154"/>
    <s v="4G"/>
  </r>
  <r>
    <n v="14581"/>
    <n v="25"/>
    <d v="2022-09-22T00:00:00"/>
    <s v="September"/>
    <n v="2022"/>
    <x v="196"/>
    <n v="114"/>
    <s v="4G"/>
  </r>
  <r>
    <n v="14582"/>
    <n v="334"/>
    <d v="2022-05-19T00:00:00"/>
    <s v="May"/>
    <n v="2022"/>
    <x v="94"/>
    <n v="206"/>
    <s v="5G"/>
  </r>
  <r>
    <n v="14583"/>
    <n v="355"/>
    <d v="2023-04-04T00:00:00"/>
    <s v="April"/>
    <n v="2023"/>
    <x v="517"/>
    <n v="80"/>
    <s v="5G"/>
  </r>
  <r>
    <n v="14584"/>
    <n v="116"/>
    <d v="2022-03-11T00:00:00"/>
    <s v="March"/>
    <n v="2022"/>
    <x v="225"/>
    <n v="102"/>
    <s v="4G"/>
  </r>
  <r>
    <n v="14585"/>
    <n v="48"/>
    <d v="2023-01-20T00:00:00"/>
    <s v="January"/>
    <n v="2023"/>
    <x v="868"/>
    <n v="79"/>
    <s v="5G"/>
  </r>
  <r>
    <n v="14586"/>
    <n v="226"/>
    <d v="2023-09-22T00:00:00"/>
    <s v="September"/>
    <n v="2023"/>
    <x v="334"/>
    <n v="102"/>
    <s v="4G"/>
  </r>
  <r>
    <n v="14587"/>
    <n v="266"/>
    <d v="2022-07-17T00:00:00"/>
    <s v="July"/>
    <n v="2022"/>
    <x v="358"/>
    <n v="239"/>
    <s v="4G"/>
  </r>
  <r>
    <n v="14588"/>
    <n v="99"/>
    <d v="2022-07-24T00:00:00"/>
    <s v="July"/>
    <n v="2022"/>
    <x v="402"/>
    <n v="264"/>
    <s v="4G"/>
  </r>
  <r>
    <n v="14589"/>
    <n v="459"/>
    <d v="2023-12-27T00:00:00"/>
    <s v="December"/>
    <n v="2023"/>
    <x v="142"/>
    <n v="32"/>
    <s v="4G"/>
  </r>
  <r>
    <n v="14590"/>
    <n v="11"/>
    <d v="2023-07-22T00:00:00"/>
    <s v="July"/>
    <n v="2023"/>
    <x v="668"/>
    <n v="34"/>
    <s v="4G"/>
  </r>
  <r>
    <n v="14591"/>
    <n v="85"/>
    <d v="2024-03-09T00:00:00"/>
    <s v="March"/>
    <n v="2024"/>
    <x v="727"/>
    <n v="248"/>
    <s v="4G"/>
  </r>
  <r>
    <n v="14592"/>
    <n v="405"/>
    <d v="2024-03-15T00:00:00"/>
    <s v="March"/>
    <n v="2024"/>
    <x v="331"/>
    <n v="49"/>
    <s v="4G"/>
  </r>
  <r>
    <n v="14593"/>
    <n v="214"/>
    <d v="2023-11-18T00:00:00"/>
    <s v="November"/>
    <n v="2023"/>
    <x v="91"/>
    <n v="279"/>
    <s v="5G"/>
  </r>
  <r>
    <n v="14594"/>
    <n v="173"/>
    <d v="2024-05-08T00:00:00"/>
    <s v="May"/>
    <n v="2024"/>
    <x v="390"/>
    <n v="241"/>
    <s v="4G"/>
  </r>
  <r>
    <n v="14595"/>
    <n v="391"/>
    <d v="2024-05-31T00:00:00"/>
    <s v="May"/>
    <n v="2024"/>
    <x v="252"/>
    <n v="151"/>
    <s v="5G"/>
  </r>
  <r>
    <n v="14596"/>
    <n v="209"/>
    <d v="2023-10-02T00:00:00"/>
    <s v="October"/>
    <n v="2023"/>
    <x v="58"/>
    <n v="146"/>
    <s v="4G"/>
  </r>
  <r>
    <n v="14597"/>
    <n v="448"/>
    <d v="2023-03-07T00:00:00"/>
    <s v="March"/>
    <n v="2023"/>
    <x v="67"/>
    <n v="38"/>
    <s v="4G"/>
  </r>
  <r>
    <n v="14598"/>
    <n v="382"/>
    <d v="2024-06-08T00:00:00"/>
    <s v="June"/>
    <n v="2024"/>
    <x v="461"/>
    <n v="188"/>
    <s v="5G"/>
  </r>
  <r>
    <n v="14599"/>
    <n v="64"/>
    <d v="2022-11-21T00:00:00"/>
    <s v="November"/>
    <n v="2022"/>
    <x v="108"/>
    <n v="24"/>
    <s v="4G"/>
  </r>
  <r>
    <n v="14600"/>
    <n v="258"/>
    <d v="2023-03-18T00:00:00"/>
    <s v="March"/>
    <n v="2023"/>
    <x v="76"/>
    <n v="243"/>
    <s v="4G"/>
  </r>
  <r>
    <n v="14601"/>
    <n v="332"/>
    <d v="2024-03-14T00:00:00"/>
    <s v="March"/>
    <n v="2024"/>
    <x v="604"/>
    <n v="222"/>
    <s v="4G"/>
  </r>
  <r>
    <n v="14602"/>
    <n v="121"/>
    <d v="2022-10-15T00:00:00"/>
    <s v="October"/>
    <n v="2022"/>
    <x v="362"/>
    <n v="229"/>
    <s v="4G"/>
  </r>
  <r>
    <n v="14603"/>
    <n v="298"/>
    <d v="2022-08-14T00:00:00"/>
    <s v="August"/>
    <n v="2022"/>
    <x v="489"/>
    <n v="152"/>
    <s v="4G"/>
  </r>
  <r>
    <n v="14604"/>
    <n v="466"/>
    <d v="2022-03-05T00:00:00"/>
    <s v="March"/>
    <n v="2022"/>
    <x v="409"/>
    <n v="287"/>
    <s v="4G"/>
  </r>
  <r>
    <n v="14605"/>
    <n v="54"/>
    <d v="2023-07-14T00:00:00"/>
    <s v="July"/>
    <n v="2023"/>
    <x v="61"/>
    <n v="107"/>
    <s v="5G"/>
  </r>
  <r>
    <n v="14606"/>
    <n v="331"/>
    <d v="2023-12-15T00:00:00"/>
    <s v="December"/>
    <n v="2023"/>
    <x v="226"/>
    <n v="32"/>
    <s v="4G"/>
  </r>
  <r>
    <n v="14607"/>
    <n v="272"/>
    <d v="2023-05-13T00:00:00"/>
    <s v="May"/>
    <n v="2023"/>
    <x v="334"/>
    <n v="110"/>
    <s v="4G"/>
  </r>
  <r>
    <n v="14608"/>
    <n v="241"/>
    <d v="2024-04-28T00:00:00"/>
    <s v="April"/>
    <n v="2024"/>
    <x v="869"/>
    <n v="120"/>
    <s v="4G"/>
  </r>
  <r>
    <n v="14609"/>
    <n v="243"/>
    <d v="2022-03-01T00:00:00"/>
    <s v="March"/>
    <n v="2022"/>
    <x v="164"/>
    <n v="15"/>
    <s v="4G"/>
  </r>
  <r>
    <n v="14610"/>
    <n v="18"/>
    <d v="2023-02-01T00:00:00"/>
    <s v="February"/>
    <n v="2023"/>
    <x v="84"/>
    <n v="226"/>
    <s v="4G"/>
  </r>
  <r>
    <n v="14611"/>
    <n v="483"/>
    <d v="2022-09-14T00:00:00"/>
    <s v="September"/>
    <n v="2022"/>
    <x v="88"/>
    <n v="10"/>
    <s v="4G"/>
  </r>
  <r>
    <n v="14612"/>
    <n v="187"/>
    <d v="2023-07-31T00:00:00"/>
    <s v="July"/>
    <n v="2023"/>
    <x v="178"/>
    <n v="202"/>
    <s v="4G"/>
  </r>
  <r>
    <n v="14613"/>
    <n v="346"/>
    <d v="2022-08-27T00:00:00"/>
    <s v="August"/>
    <n v="2022"/>
    <x v="107"/>
    <n v="201"/>
    <s v="5G"/>
  </r>
  <r>
    <n v="14614"/>
    <n v="144"/>
    <d v="2024-03-11T00:00:00"/>
    <s v="March"/>
    <n v="2024"/>
    <x v="250"/>
    <n v="97"/>
    <s v="4G"/>
  </r>
  <r>
    <n v="14615"/>
    <n v="262"/>
    <d v="2022-02-07T00:00:00"/>
    <s v="February"/>
    <n v="2022"/>
    <x v="29"/>
    <n v="115"/>
    <s v="5G"/>
  </r>
  <r>
    <n v="14616"/>
    <n v="441"/>
    <d v="2022-01-25T00:00:00"/>
    <s v="January"/>
    <n v="2022"/>
    <x v="192"/>
    <n v="280"/>
    <s v="4G"/>
  </r>
  <r>
    <n v="14617"/>
    <n v="364"/>
    <d v="2023-02-14T00:00:00"/>
    <s v="February"/>
    <n v="2023"/>
    <x v="214"/>
    <n v="231"/>
    <s v="4G"/>
  </r>
  <r>
    <n v="14618"/>
    <n v="491"/>
    <d v="2023-04-06T00:00:00"/>
    <s v="April"/>
    <n v="2023"/>
    <x v="132"/>
    <n v="110"/>
    <s v="4G"/>
  </r>
  <r>
    <n v="14619"/>
    <n v="431"/>
    <d v="2023-07-25T00:00:00"/>
    <s v="July"/>
    <n v="2023"/>
    <x v="338"/>
    <n v="11"/>
    <s v="5G"/>
  </r>
  <r>
    <n v="14620"/>
    <n v="239"/>
    <d v="2023-02-21T00:00:00"/>
    <s v="February"/>
    <n v="2023"/>
    <x v="678"/>
    <n v="20"/>
    <s v="4G"/>
  </r>
  <r>
    <n v="14621"/>
    <n v="304"/>
    <d v="2022-12-23T00:00:00"/>
    <s v="December"/>
    <n v="2022"/>
    <x v="263"/>
    <n v="126"/>
    <s v="5G"/>
  </r>
  <r>
    <n v="14622"/>
    <n v="298"/>
    <d v="2023-01-18T00:00:00"/>
    <s v="January"/>
    <n v="2023"/>
    <x v="508"/>
    <n v="284"/>
    <s v="5G"/>
  </r>
  <r>
    <n v="14623"/>
    <n v="76"/>
    <d v="2024-03-19T00:00:00"/>
    <s v="March"/>
    <n v="2024"/>
    <x v="870"/>
    <n v="120"/>
    <s v="5G"/>
  </r>
  <r>
    <n v="14624"/>
    <n v="188"/>
    <d v="2022-06-07T00:00:00"/>
    <s v="June"/>
    <n v="2022"/>
    <x v="173"/>
    <n v="123"/>
    <s v="4G"/>
  </r>
  <r>
    <n v="14625"/>
    <n v="333"/>
    <d v="2023-07-23T00:00:00"/>
    <s v="July"/>
    <n v="2023"/>
    <x v="253"/>
    <n v="32"/>
    <s v="5G"/>
  </r>
  <r>
    <n v="14626"/>
    <n v="388"/>
    <d v="2023-03-09T00:00:00"/>
    <s v="March"/>
    <n v="2023"/>
    <x v="114"/>
    <n v="169"/>
    <s v="5G"/>
  </r>
  <r>
    <n v="14627"/>
    <n v="487"/>
    <d v="2022-02-17T00:00:00"/>
    <s v="February"/>
    <n v="2022"/>
    <x v="155"/>
    <n v="76"/>
    <s v="4G"/>
  </r>
  <r>
    <n v="14628"/>
    <n v="246"/>
    <d v="2022-11-24T00:00:00"/>
    <s v="November"/>
    <n v="2022"/>
    <x v="652"/>
    <n v="296"/>
    <s v="5G"/>
  </r>
  <r>
    <n v="14629"/>
    <n v="130"/>
    <d v="2023-03-09T00:00:00"/>
    <s v="March"/>
    <n v="2023"/>
    <x v="4"/>
    <n v="62"/>
    <s v="5G"/>
  </r>
  <r>
    <n v="14630"/>
    <n v="474"/>
    <d v="2023-03-07T00:00:00"/>
    <s v="March"/>
    <n v="2023"/>
    <x v="25"/>
    <n v="269"/>
    <s v="4G"/>
  </r>
  <r>
    <n v="14631"/>
    <n v="315"/>
    <d v="2022-02-25T00:00:00"/>
    <s v="February"/>
    <n v="2022"/>
    <x v="305"/>
    <n v="215"/>
    <s v="4G"/>
  </r>
  <r>
    <n v="14632"/>
    <n v="411"/>
    <d v="2023-07-31T00:00:00"/>
    <s v="July"/>
    <n v="2023"/>
    <x v="460"/>
    <n v="189"/>
    <s v="4G"/>
  </r>
  <r>
    <n v="14633"/>
    <n v="283"/>
    <d v="2022-09-25T00:00:00"/>
    <s v="September"/>
    <n v="2022"/>
    <x v="133"/>
    <n v="74"/>
    <s v="4G"/>
  </r>
  <r>
    <n v="14634"/>
    <n v="79"/>
    <d v="2022-03-10T00:00:00"/>
    <s v="March"/>
    <n v="2022"/>
    <x v="237"/>
    <n v="173"/>
    <s v="4G"/>
  </r>
  <r>
    <n v="14635"/>
    <n v="72"/>
    <d v="2023-12-29T00:00:00"/>
    <s v="December"/>
    <n v="2023"/>
    <x v="586"/>
    <n v="66"/>
    <s v="4G"/>
  </r>
  <r>
    <n v="14636"/>
    <n v="263"/>
    <d v="2023-08-24T00:00:00"/>
    <s v="August"/>
    <n v="2023"/>
    <x v="536"/>
    <n v="92"/>
    <s v="4G"/>
  </r>
  <r>
    <n v="14637"/>
    <n v="191"/>
    <d v="2023-03-25T00:00:00"/>
    <s v="March"/>
    <n v="2023"/>
    <x v="428"/>
    <n v="52"/>
    <s v="4G"/>
  </r>
  <r>
    <n v="14638"/>
    <n v="367"/>
    <d v="2024-03-03T00:00:00"/>
    <s v="March"/>
    <n v="2024"/>
    <x v="109"/>
    <n v="93"/>
    <s v="5G"/>
  </r>
  <r>
    <n v="14639"/>
    <n v="375"/>
    <d v="2022-09-14T00:00:00"/>
    <s v="September"/>
    <n v="2022"/>
    <x v="869"/>
    <n v="112"/>
    <s v="4G"/>
  </r>
  <r>
    <n v="14640"/>
    <n v="430"/>
    <d v="2023-11-03T00:00:00"/>
    <s v="November"/>
    <n v="2023"/>
    <x v="807"/>
    <n v="228"/>
    <s v="5G"/>
  </r>
  <r>
    <n v="14641"/>
    <n v="63"/>
    <d v="2023-05-05T00:00:00"/>
    <s v="May"/>
    <n v="2023"/>
    <x v="313"/>
    <n v="249"/>
    <s v="4G"/>
  </r>
  <r>
    <n v="14642"/>
    <n v="488"/>
    <d v="2024-01-16T00:00:00"/>
    <s v="January"/>
    <n v="2024"/>
    <x v="103"/>
    <n v="208"/>
    <s v="5G"/>
  </r>
  <r>
    <n v="14643"/>
    <n v="380"/>
    <d v="2023-10-05T00:00:00"/>
    <s v="October"/>
    <n v="2023"/>
    <x v="188"/>
    <n v="181"/>
    <s v="5G"/>
  </r>
  <r>
    <n v="14644"/>
    <n v="12"/>
    <d v="2022-02-18T00:00:00"/>
    <s v="February"/>
    <n v="2022"/>
    <x v="462"/>
    <n v="266"/>
    <s v="4G"/>
  </r>
  <r>
    <n v="14645"/>
    <n v="141"/>
    <d v="2023-10-21T00:00:00"/>
    <s v="October"/>
    <n v="2023"/>
    <x v="536"/>
    <n v="280"/>
    <s v="4G"/>
  </r>
  <r>
    <n v="14646"/>
    <n v="254"/>
    <d v="2022-11-12T00:00:00"/>
    <s v="November"/>
    <n v="2022"/>
    <x v="22"/>
    <n v="154"/>
    <s v="4G"/>
  </r>
  <r>
    <n v="14647"/>
    <n v="43"/>
    <d v="2023-02-17T00:00:00"/>
    <s v="February"/>
    <n v="2023"/>
    <x v="725"/>
    <n v="82"/>
    <s v="5G"/>
  </r>
  <r>
    <n v="14648"/>
    <n v="17"/>
    <d v="2023-03-10T00:00:00"/>
    <s v="March"/>
    <n v="2023"/>
    <x v="91"/>
    <n v="185"/>
    <s v="5G"/>
  </r>
  <r>
    <n v="14649"/>
    <n v="63"/>
    <d v="2022-01-02T00:00:00"/>
    <s v="January"/>
    <n v="2022"/>
    <x v="144"/>
    <n v="138"/>
    <s v="4G"/>
  </r>
  <r>
    <n v="14650"/>
    <n v="253"/>
    <d v="2024-04-20T00:00:00"/>
    <s v="April"/>
    <n v="2024"/>
    <x v="303"/>
    <n v="54"/>
    <s v="4G"/>
  </r>
  <r>
    <n v="14651"/>
    <n v="465"/>
    <d v="2022-05-25T00:00:00"/>
    <s v="May"/>
    <n v="2022"/>
    <x v="399"/>
    <n v="18"/>
    <s v="4G"/>
  </r>
  <r>
    <n v="14652"/>
    <n v="376"/>
    <d v="2023-01-01T00:00:00"/>
    <s v="January"/>
    <n v="2023"/>
    <x v="126"/>
    <n v="266"/>
    <s v="4G"/>
  </r>
  <r>
    <n v="14653"/>
    <n v="292"/>
    <d v="2023-02-24T00:00:00"/>
    <s v="February"/>
    <n v="2023"/>
    <x v="498"/>
    <n v="141"/>
    <s v="5G"/>
  </r>
  <r>
    <n v="14654"/>
    <n v="469"/>
    <d v="2023-07-27T00:00:00"/>
    <s v="July"/>
    <n v="2023"/>
    <x v="459"/>
    <n v="163"/>
    <s v="4G"/>
  </r>
  <r>
    <n v="14655"/>
    <n v="8"/>
    <d v="2024-02-24T00:00:00"/>
    <s v="February"/>
    <n v="2024"/>
    <x v="138"/>
    <n v="251"/>
    <s v="5G"/>
  </r>
  <r>
    <n v="14656"/>
    <n v="325"/>
    <d v="2023-07-15T00:00:00"/>
    <s v="July"/>
    <n v="2023"/>
    <x v="396"/>
    <n v="231"/>
    <s v="5G"/>
  </r>
  <r>
    <n v="14657"/>
    <n v="90"/>
    <d v="2024-04-23T00:00:00"/>
    <s v="April"/>
    <n v="2024"/>
    <x v="229"/>
    <n v="296"/>
    <s v="5G"/>
  </r>
  <r>
    <n v="14658"/>
    <n v="208"/>
    <d v="2023-03-20T00:00:00"/>
    <s v="March"/>
    <n v="2023"/>
    <x v="178"/>
    <n v="59"/>
    <s v="4G"/>
  </r>
  <r>
    <n v="14659"/>
    <n v="292"/>
    <d v="2023-03-10T00:00:00"/>
    <s v="March"/>
    <n v="2023"/>
    <x v="232"/>
    <n v="21"/>
    <s v="4G"/>
  </r>
  <r>
    <n v="14660"/>
    <n v="284"/>
    <d v="2023-10-05T00:00:00"/>
    <s v="October"/>
    <n v="2023"/>
    <x v="92"/>
    <n v="125"/>
    <s v="4G"/>
  </r>
  <r>
    <n v="14661"/>
    <n v="118"/>
    <d v="2023-07-09T00:00:00"/>
    <s v="July"/>
    <n v="2023"/>
    <x v="125"/>
    <n v="102"/>
    <s v="5G"/>
  </r>
  <r>
    <n v="14662"/>
    <n v="349"/>
    <d v="2022-02-26T00:00:00"/>
    <s v="February"/>
    <n v="2022"/>
    <x v="369"/>
    <n v="220"/>
    <s v="4G"/>
  </r>
  <r>
    <n v="14663"/>
    <n v="175"/>
    <d v="2023-07-16T00:00:00"/>
    <s v="July"/>
    <n v="2023"/>
    <x v="36"/>
    <n v="109"/>
    <s v="4G"/>
  </r>
  <r>
    <n v="14664"/>
    <n v="76"/>
    <d v="2022-06-27T00:00:00"/>
    <s v="June"/>
    <n v="2022"/>
    <x v="640"/>
    <n v="57"/>
    <s v="5G"/>
  </r>
  <r>
    <n v="14665"/>
    <n v="101"/>
    <d v="2022-10-20T00:00:00"/>
    <s v="October"/>
    <n v="2022"/>
    <x v="340"/>
    <n v="64"/>
    <s v="4G"/>
  </r>
  <r>
    <n v="14666"/>
    <n v="414"/>
    <d v="2022-02-15T00:00:00"/>
    <s v="February"/>
    <n v="2022"/>
    <x v="532"/>
    <n v="57"/>
    <s v="4G"/>
  </r>
  <r>
    <n v="14667"/>
    <n v="151"/>
    <d v="2022-06-19T00:00:00"/>
    <s v="June"/>
    <n v="2022"/>
    <x v="871"/>
    <n v="157"/>
    <s v="4G"/>
  </r>
  <r>
    <n v="14668"/>
    <n v="400"/>
    <d v="2022-09-28T00:00:00"/>
    <s v="September"/>
    <n v="2022"/>
    <x v="215"/>
    <n v="75"/>
    <s v="4G"/>
  </r>
  <r>
    <n v="14669"/>
    <n v="270"/>
    <d v="2023-02-21T00:00:00"/>
    <s v="February"/>
    <n v="2023"/>
    <x v="186"/>
    <n v="18"/>
    <s v="4G"/>
  </r>
  <r>
    <n v="14670"/>
    <n v="458"/>
    <d v="2024-04-27T00:00:00"/>
    <s v="April"/>
    <n v="2024"/>
    <x v="10"/>
    <n v="189"/>
    <s v="4G"/>
  </r>
  <r>
    <n v="14671"/>
    <n v="71"/>
    <d v="2022-05-19T00:00:00"/>
    <s v="May"/>
    <n v="2022"/>
    <x v="50"/>
    <n v="249"/>
    <s v="5G"/>
  </r>
  <r>
    <n v="14672"/>
    <n v="493"/>
    <d v="2022-09-04T00:00:00"/>
    <s v="September"/>
    <n v="2022"/>
    <x v="152"/>
    <n v="78"/>
    <s v="5G"/>
  </r>
  <r>
    <n v="14673"/>
    <n v="180"/>
    <d v="2022-05-28T00:00:00"/>
    <s v="May"/>
    <n v="2022"/>
    <x v="399"/>
    <n v="83"/>
    <s v="4G"/>
  </r>
  <r>
    <n v="14674"/>
    <n v="124"/>
    <d v="2022-08-18T00:00:00"/>
    <s v="August"/>
    <n v="2022"/>
    <x v="59"/>
    <n v="171"/>
    <s v="5G"/>
  </r>
  <r>
    <n v="14675"/>
    <n v="381"/>
    <d v="2024-03-02T00:00:00"/>
    <s v="March"/>
    <n v="2024"/>
    <x v="4"/>
    <n v="211"/>
    <s v="4G"/>
  </r>
  <r>
    <n v="14676"/>
    <n v="293"/>
    <d v="2023-09-29T00:00:00"/>
    <s v="September"/>
    <n v="2023"/>
    <x v="188"/>
    <n v="148"/>
    <s v="4G"/>
  </r>
  <r>
    <n v="14677"/>
    <n v="285"/>
    <d v="2023-12-05T00:00:00"/>
    <s v="December"/>
    <n v="2023"/>
    <x v="212"/>
    <n v="9"/>
    <s v="5G"/>
  </r>
  <r>
    <n v="14678"/>
    <n v="195"/>
    <d v="2023-01-09T00:00:00"/>
    <s v="January"/>
    <n v="2023"/>
    <x v="222"/>
    <n v="29"/>
    <s v="4G"/>
  </r>
  <r>
    <n v="14679"/>
    <n v="399"/>
    <d v="2022-03-21T00:00:00"/>
    <s v="March"/>
    <n v="2022"/>
    <x v="140"/>
    <n v="279"/>
    <s v="4G"/>
  </r>
  <r>
    <n v="14680"/>
    <n v="228"/>
    <d v="2023-08-29T00:00:00"/>
    <s v="August"/>
    <n v="2023"/>
    <x v="302"/>
    <n v="54"/>
    <s v="4G"/>
  </r>
  <r>
    <n v="14681"/>
    <n v="431"/>
    <d v="2024-01-08T00:00:00"/>
    <s v="January"/>
    <n v="2024"/>
    <x v="540"/>
    <n v="126"/>
    <s v="4G"/>
  </r>
  <r>
    <n v="14682"/>
    <n v="430"/>
    <d v="2022-03-06T00:00:00"/>
    <s v="March"/>
    <n v="2022"/>
    <x v="862"/>
    <n v="179"/>
    <s v="4G"/>
  </r>
  <r>
    <n v="14683"/>
    <n v="436"/>
    <d v="2022-03-29T00:00:00"/>
    <s v="March"/>
    <n v="2022"/>
    <x v="250"/>
    <n v="231"/>
    <s v="5G"/>
  </r>
  <r>
    <n v="14684"/>
    <n v="275"/>
    <d v="2022-03-29T00:00:00"/>
    <s v="March"/>
    <n v="2022"/>
    <x v="103"/>
    <n v="92"/>
    <s v="4G"/>
  </r>
  <r>
    <n v="14685"/>
    <n v="461"/>
    <d v="2023-12-14T00:00:00"/>
    <s v="December"/>
    <n v="2023"/>
    <x v="182"/>
    <n v="7"/>
    <s v="5G"/>
  </r>
  <r>
    <n v="14686"/>
    <n v="106"/>
    <d v="2023-12-27T00:00:00"/>
    <s v="December"/>
    <n v="2023"/>
    <x v="768"/>
    <n v="246"/>
    <s v="4G"/>
  </r>
  <r>
    <n v="14687"/>
    <n v="21"/>
    <d v="2022-07-23T00:00:00"/>
    <s v="July"/>
    <n v="2022"/>
    <x v="263"/>
    <n v="195"/>
    <s v="4G"/>
  </r>
  <r>
    <n v="14688"/>
    <n v="64"/>
    <d v="2023-01-17T00:00:00"/>
    <s v="January"/>
    <n v="2023"/>
    <x v="242"/>
    <n v="162"/>
    <s v="4G"/>
  </r>
  <r>
    <n v="14689"/>
    <n v="165"/>
    <d v="2023-08-24T00:00:00"/>
    <s v="August"/>
    <n v="2023"/>
    <x v="699"/>
    <n v="39"/>
    <s v="4G"/>
  </r>
  <r>
    <n v="14690"/>
    <n v="27"/>
    <d v="2023-04-21T00:00:00"/>
    <s v="April"/>
    <n v="2023"/>
    <x v="127"/>
    <n v="253"/>
    <s v="5G"/>
  </r>
  <r>
    <n v="14691"/>
    <n v="311"/>
    <d v="2023-07-27T00:00:00"/>
    <s v="July"/>
    <n v="2023"/>
    <x v="365"/>
    <n v="84"/>
    <s v="4G"/>
  </r>
  <r>
    <n v="14692"/>
    <n v="500"/>
    <d v="2024-02-22T00:00:00"/>
    <s v="February"/>
    <n v="2024"/>
    <x v="174"/>
    <n v="271"/>
    <s v="4G"/>
  </r>
  <r>
    <n v="14693"/>
    <n v="285"/>
    <d v="2023-08-29T00:00:00"/>
    <s v="August"/>
    <n v="2023"/>
    <x v="313"/>
    <n v="77"/>
    <s v="4G"/>
  </r>
  <r>
    <n v="14694"/>
    <n v="148"/>
    <d v="2024-03-29T00:00:00"/>
    <s v="March"/>
    <n v="2024"/>
    <x v="127"/>
    <n v="212"/>
    <s v="4G"/>
  </r>
  <r>
    <n v="14695"/>
    <n v="281"/>
    <d v="2023-06-23T00:00:00"/>
    <s v="June"/>
    <n v="2023"/>
    <x v="395"/>
    <n v="254"/>
    <s v="4G"/>
  </r>
  <r>
    <n v="14696"/>
    <n v="326"/>
    <d v="2022-08-02T00:00:00"/>
    <s v="August"/>
    <n v="2022"/>
    <x v="326"/>
    <n v="90"/>
    <s v="4G"/>
  </r>
  <r>
    <n v="14697"/>
    <n v="319"/>
    <d v="2022-03-15T00:00:00"/>
    <s v="March"/>
    <n v="2022"/>
    <x v="514"/>
    <n v="192"/>
    <s v="4G"/>
  </r>
  <r>
    <n v="14698"/>
    <n v="164"/>
    <d v="2022-03-02T00:00:00"/>
    <s v="March"/>
    <n v="2022"/>
    <x v="71"/>
    <n v="252"/>
    <s v="4G"/>
  </r>
  <r>
    <n v="14699"/>
    <n v="386"/>
    <d v="2023-11-29T00:00:00"/>
    <s v="November"/>
    <n v="2023"/>
    <x v="626"/>
    <n v="277"/>
    <s v="5G"/>
  </r>
  <r>
    <n v="14700"/>
    <n v="406"/>
    <d v="2023-06-27T00:00:00"/>
    <s v="June"/>
    <n v="2023"/>
    <x v="23"/>
    <n v="142"/>
    <s v="4G"/>
  </r>
  <r>
    <n v="14701"/>
    <n v="224"/>
    <d v="2022-08-07T00:00:00"/>
    <s v="August"/>
    <n v="2022"/>
    <x v="312"/>
    <n v="243"/>
    <s v="5G"/>
  </r>
  <r>
    <n v="14702"/>
    <n v="272"/>
    <d v="2022-01-12T00:00:00"/>
    <s v="January"/>
    <n v="2022"/>
    <x v="109"/>
    <n v="211"/>
    <s v="4G"/>
  </r>
  <r>
    <n v="14703"/>
    <n v="146"/>
    <d v="2024-03-24T00:00:00"/>
    <s v="March"/>
    <n v="2024"/>
    <x v="204"/>
    <n v="194"/>
    <s v="4G"/>
  </r>
  <r>
    <n v="14704"/>
    <n v="453"/>
    <d v="2023-02-19T00:00:00"/>
    <s v="February"/>
    <n v="2023"/>
    <x v="97"/>
    <n v="269"/>
    <s v="4G"/>
  </r>
  <r>
    <n v="14705"/>
    <n v="438"/>
    <d v="2022-02-01T00:00:00"/>
    <s v="February"/>
    <n v="2022"/>
    <x v="161"/>
    <n v="18"/>
    <s v="4G"/>
  </r>
  <r>
    <n v="14706"/>
    <n v="356"/>
    <d v="2022-06-09T00:00:00"/>
    <s v="June"/>
    <n v="2022"/>
    <x v="546"/>
    <n v="39"/>
    <s v="4G"/>
  </r>
  <r>
    <n v="14707"/>
    <n v="30"/>
    <d v="2022-08-25T00:00:00"/>
    <s v="August"/>
    <n v="2022"/>
    <x v="573"/>
    <n v="97"/>
    <s v="4G"/>
  </r>
  <r>
    <n v="14708"/>
    <n v="45"/>
    <d v="2024-01-09T00:00:00"/>
    <s v="January"/>
    <n v="2024"/>
    <x v="692"/>
    <n v="3"/>
    <s v="4G"/>
  </r>
  <r>
    <n v="14709"/>
    <n v="275"/>
    <d v="2022-06-30T00:00:00"/>
    <s v="June"/>
    <n v="2022"/>
    <x v="659"/>
    <n v="32"/>
    <s v="5G"/>
  </r>
  <r>
    <n v="14710"/>
    <n v="471"/>
    <d v="2024-04-08T00:00:00"/>
    <s v="April"/>
    <n v="2024"/>
    <x v="104"/>
    <n v="298"/>
    <s v="5G"/>
  </r>
  <r>
    <n v="14711"/>
    <n v="34"/>
    <d v="2023-07-12T00:00:00"/>
    <s v="July"/>
    <n v="2023"/>
    <x v="139"/>
    <n v="164"/>
    <s v="5G"/>
  </r>
  <r>
    <n v="14712"/>
    <n v="141"/>
    <d v="2022-12-07T00:00:00"/>
    <s v="December"/>
    <n v="2022"/>
    <x v="485"/>
    <n v="26"/>
    <s v="4G"/>
  </r>
  <r>
    <n v="14713"/>
    <n v="427"/>
    <d v="2023-04-03T00:00:00"/>
    <s v="April"/>
    <n v="2023"/>
    <x v="167"/>
    <n v="172"/>
    <s v="4G"/>
  </r>
  <r>
    <n v="14714"/>
    <n v="318"/>
    <d v="2022-03-21T00:00:00"/>
    <s v="March"/>
    <n v="2022"/>
    <x v="191"/>
    <n v="112"/>
    <s v="4G"/>
  </r>
  <r>
    <n v="14715"/>
    <n v="374"/>
    <d v="2023-10-09T00:00:00"/>
    <s v="October"/>
    <n v="2023"/>
    <x v="98"/>
    <n v="94"/>
    <s v="4G"/>
  </r>
  <r>
    <n v="14716"/>
    <n v="221"/>
    <d v="2024-02-11T00:00:00"/>
    <s v="February"/>
    <n v="2024"/>
    <x v="212"/>
    <n v="232"/>
    <s v="4G"/>
  </r>
  <r>
    <n v="14717"/>
    <n v="356"/>
    <d v="2024-03-30T00:00:00"/>
    <s v="March"/>
    <n v="2024"/>
    <x v="97"/>
    <n v="133"/>
    <s v="4G"/>
  </r>
  <r>
    <n v="14718"/>
    <n v="22"/>
    <d v="2024-01-29T00:00:00"/>
    <s v="January"/>
    <n v="2024"/>
    <x v="191"/>
    <n v="123"/>
    <s v="4G"/>
  </r>
  <r>
    <n v="14719"/>
    <n v="180"/>
    <d v="2023-04-18T00:00:00"/>
    <s v="April"/>
    <n v="2023"/>
    <x v="431"/>
    <n v="115"/>
    <s v="5G"/>
  </r>
  <r>
    <n v="14720"/>
    <n v="436"/>
    <d v="2023-11-02T00:00:00"/>
    <s v="November"/>
    <n v="2023"/>
    <x v="546"/>
    <n v="12"/>
    <s v="5G"/>
  </r>
  <r>
    <n v="14721"/>
    <n v="367"/>
    <d v="2023-12-16T00:00:00"/>
    <s v="December"/>
    <n v="2023"/>
    <x v="7"/>
    <n v="164"/>
    <s v="4G"/>
  </r>
  <r>
    <n v="14722"/>
    <n v="420"/>
    <d v="2022-04-22T00:00:00"/>
    <s v="April"/>
    <n v="2022"/>
    <x v="307"/>
    <n v="207"/>
    <s v="4G"/>
  </r>
  <r>
    <n v="14723"/>
    <n v="329"/>
    <d v="2022-10-19T00:00:00"/>
    <s v="October"/>
    <n v="2022"/>
    <x v="325"/>
    <n v="84"/>
    <s v="5G"/>
  </r>
  <r>
    <n v="14724"/>
    <n v="231"/>
    <d v="2024-04-01T00:00:00"/>
    <s v="April"/>
    <n v="2024"/>
    <x v="313"/>
    <n v="247"/>
    <s v="4G"/>
  </r>
  <r>
    <n v="14725"/>
    <n v="499"/>
    <d v="2023-09-23T00:00:00"/>
    <s v="September"/>
    <n v="2023"/>
    <x v="16"/>
    <n v="55"/>
    <s v="4G"/>
  </r>
  <r>
    <n v="14726"/>
    <n v="403"/>
    <d v="2023-01-18T00:00:00"/>
    <s v="January"/>
    <n v="2023"/>
    <x v="342"/>
    <n v="171"/>
    <s v="4G"/>
  </r>
  <r>
    <n v="14727"/>
    <n v="38"/>
    <d v="2022-01-17T00:00:00"/>
    <s v="January"/>
    <n v="2022"/>
    <x v="718"/>
    <n v="140"/>
    <s v="4G"/>
  </r>
  <r>
    <n v="14728"/>
    <n v="70"/>
    <d v="2023-05-08T00:00:00"/>
    <s v="May"/>
    <n v="2023"/>
    <x v="357"/>
    <n v="131"/>
    <s v="4G"/>
  </r>
  <r>
    <n v="14729"/>
    <n v="116"/>
    <d v="2022-11-27T00:00:00"/>
    <s v="November"/>
    <n v="2022"/>
    <x v="872"/>
    <n v="200"/>
    <s v="5G"/>
  </r>
  <r>
    <n v="14730"/>
    <n v="239"/>
    <d v="2024-01-09T00:00:00"/>
    <s v="January"/>
    <n v="2024"/>
    <x v="252"/>
    <n v="288"/>
    <s v="4G"/>
  </r>
  <r>
    <n v="14731"/>
    <n v="335"/>
    <d v="2024-05-22T00:00:00"/>
    <s v="May"/>
    <n v="2024"/>
    <x v="139"/>
    <n v="178"/>
    <s v="4G"/>
  </r>
  <r>
    <n v="14732"/>
    <n v="441"/>
    <d v="2023-05-01T00:00:00"/>
    <s v="May"/>
    <n v="2023"/>
    <x v="132"/>
    <n v="28"/>
    <s v="4G"/>
  </r>
  <r>
    <n v="14733"/>
    <n v="148"/>
    <d v="2023-02-10T00:00:00"/>
    <s v="February"/>
    <n v="2023"/>
    <x v="127"/>
    <n v="35"/>
    <s v="5G"/>
  </r>
  <r>
    <n v="14734"/>
    <n v="9"/>
    <d v="2022-04-27T00:00:00"/>
    <s v="April"/>
    <n v="2022"/>
    <x v="521"/>
    <n v="108"/>
    <s v="4G"/>
  </r>
  <r>
    <n v="14735"/>
    <n v="288"/>
    <d v="2023-07-09T00:00:00"/>
    <s v="July"/>
    <n v="2023"/>
    <x v="873"/>
    <n v="145"/>
    <s v="4G"/>
  </r>
  <r>
    <n v="14736"/>
    <n v="388"/>
    <d v="2024-05-29T00:00:00"/>
    <s v="May"/>
    <n v="2024"/>
    <x v="150"/>
    <n v="275"/>
    <s v="4G"/>
  </r>
  <r>
    <n v="14737"/>
    <n v="50"/>
    <d v="2022-04-25T00:00:00"/>
    <s v="April"/>
    <n v="2022"/>
    <x v="823"/>
    <n v="145"/>
    <s v="4G"/>
  </r>
  <r>
    <n v="14738"/>
    <n v="338"/>
    <d v="2024-03-05T00:00:00"/>
    <s v="March"/>
    <n v="2024"/>
    <x v="87"/>
    <n v="167"/>
    <s v="4G"/>
  </r>
  <r>
    <n v="14739"/>
    <n v="5"/>
    <d v="2023-07-03T00:00:00"/>
    <s v="July"/>
    <n v="2023"/>
    <x v="7"/>
    <n v="256"/>
    <s v="4G"/>
  </r>
  <r>
    <n v="14740"/>
    <n v="404"/>
    <d v="2024-03-24T00:00:00"/>
    <s v="March"/>
    <n v="2024"/>
    <x v="269"/>
    <n v="274"/>
    <s v="5G"/>
  </r>
  <r>
    <n v="14741"/>
    <n v="343"/>
    <d v="2023-09-17T00:00:00"/>
    <s v="September"/>
    <n v="2023"/>
    <x v="11"/>
    <n v="86"/>
    <s v="5G"/>
  </r>
  <r>
    <n v="14742"/>
    <n v="126"/>
    <d v="2023-07-01T00:00:00"/>
    <s v="July"/>
    <n v="2023"/>
    <x v="369"/>
    <n v="153"/>
    <s v="4G"/>
  </r>
  <r>
    <n v="14743"/>
    <n v="75"/>
    <d v="2023-10-06T00:00:00"/>
    <s v="October"/>
    <n v="2023"/>
    <x v="125"/>
    <n v="284"/>
    <s v="4G"/>
  </r>
  <r>
    <n v="14744"/>
    <n v="165"/>
    <d v="2022-12-02T00:00:00"/>
    <s v="December"/>
    <n v="2022"/>
    <x v="168"/>
    <n v="97"/>
    <s v="4G"/>
  </r>
  <r>
    <n v="14745"/>
    <n v="278"/>
    <d v="2022-12-02T00:00:00"/>
    <s v="December"/>
    <n v="2022"/>
    <x v="395"/>
    <n v="210"/>
    <s v="5G"/>
  </r>
  <r>
    <n v="14746"/>
    <n v="442"/>
    <d v="2024-06-07T00:00:00"/>
    <s v="June"/>
    <n v="2024"/>
    <x v="427"/>
    <n v="47"/>
    <s v="4G"/>
  </r>
  <r>
    <n v="14747"/>
    <n v="324"/>
    <d v="2024-01-10T00:00:00"/>
    <s v="January"/>
    <n v="2024"/>
    <x v="199"/>
    <n v="273"/>
    <s v="5G"/>
  </r>
  <r>
    <n v="14748"/>
    <n v="477"/>
    <d v="2022-05-27T00:00:00"/>
    <s v="May"/>
    <n v="2022"/>
    <x v="378"/>
    <n v="193"/>
    <s v="4G"/>
  </r>
  <r>
    <n v="14749"/>
    <n v="300"/>
    <d v="2022-05-02T00:00:00"/>
    <s v="May"/>
    <n v="2022"/>
    <x v="312"/>
    <n v="251"/>
    <s v="5G"/>
  </r>
  <r>
    <n v="14750"/>
    <n v="290"/>
    <d v="2022-03-22T00:00:00"/>
    <s v="March"/>
    <n v="2022"/>
    <x v="7"/>
    <n v="282"/>
    <s v="5G"/>
  </r>
  <r>
    <n v="14751"/>
    <n v="77"/>
    <d v="2023-11-16T00:00:00"/>
    <s v="November"/>
    <n v="2023"/>
    <x v="295"/>
    <n v="261"/>
    <s v="5G"/>
  </r>
  <r>
    <n v="14752"/>
    <n v="298"/>
    <d v="2023-10-28T00:00:00"/>
    <s v="October"/>
    <n v="2023"/>
    <x v="77"/>
    <n v="261"/>
    <s v="4G"/>
  </r>
  <r>
    <n v="14753"/>
    <n v="137"/>
    <d v="2023-10-24T00:00:00"/>
    <s v="October"/>
    <n v="2023"/>
    <x v="460"/>
    <n v="30"/>
    <s v="4G"/>
  </r>
  <r>
    <n v="14754"/>
    <n v="106"/>
    <d v="2023-01-10T00:00:00"/>
    <s v="January"/>
    <n v="2023"/>
    <x v="465"/>
    <n v="104"/>
    <s v="4G"/>
  </r>
  <r>
    <n v="14755"/>
    <n v="95"/>
    <d v="2023-07-24T00:00:00"/>
    <s v="July"/>
    <n v="2023"/>
    <x v="395"/>
    <n v="168"/>
    <s v="4G"/>
  </r>
  <r>
    <n v="14756"/>
    <n v="135"/>
    <d v="2022-03-04T00:00:00"/>
    <s v="March"/>
    <n v="2022"/>
    <x v="254"/>
    <n v="235"/>
    <s v="4G"/>
  </r>
  <r>
    <n v="14757"/>
    <n v="68"/>
    <d v="2023-05-19T00:00:00"/>
    <s v="May"/>
    <n v="2023"/>
    <x v="88"/>
    <n v="273"/>
    <s v="4G"/>
  </r>
  <r>
    <n v="14758"/>
    <n v="147"/>
    <d v="2023-10-30T00:00:00"/>
    <s v="October"/>
    <n v="2023"/>
    <x v="148"/>
    <n v="229"/>
    <s v="4G"/>
  </r>
  <r>
    <n v="14759"/>
    <n v="490"/>
    <d v="2023-03-25T00:00:00"/>
    <s v="March"/>
    <n v="2023"/>
    <x v="262"/>
    <n v="22"/>
    <s v="4G"/>
  </r>
  <r>
    <n v="14760"/>
    <n v="478"/>
    <d v="2023-03-04T00:00:00"/>
    <s v="March"/>
    <n v="2023"/>
    <x v="305"/>
    <n v="163"/>
    <s v="4G"/>
  </r>
  <r>
    <n v="14761"/>
    <n v="159"/>
    <d v="2024-05-17T00:00:00"/>
    <s v="May"/>
    <n v="2024"/>
    <x v="288"/>
    <n v="280"/>
    <s v="4G"/>
  </r>
  <r>
    <n v="14762"/>
    <n v="384"/>
    <d v="2023-03-03T00:00:00"/>
    <s v="March"/>
    <n v="2023"/>
    <x v="112"/>
    <n v="6"/>
    <s v="4G"/>
  </r>
  <r>
    <n v="14763"/>
    <n v="163"/>
    <d v="2023-02-25T00:00:00"/>
    <s v="February"/>
    <n v="2023"/>
    <x v="138"/>
    <n v="209"/>
    <s v="4G"/>
  </r>
  <r>
    <n v="14764"/>
    <n v="441"/>
    <d v="2022-11-18T00:00:00"/>
    <s v="November"/>
    <n v="2022"/>
    <x v="372"/>
    <n v="252"/>
    <s v="5G"/>
  </r>
  <r>
    <n v="14765"/>
    <n v="341"/>
    <d v="2023-11-11T00:00:00"/>
    <s v="November"/>
    <n v="2023"/>
    <x v="167"/>
    <n v="132"/>
    <s v="4G"/>
  </r>
  <r>
    <n v="14766"/>
    <n v="189"/>
    <d v="2022-06-15T00:00:00"/>
    <s v="June"/>
    <n v="2022"/>
    <x v="577"/>
    <n v="273"/>
    <s v="4G"/>
  </r>
  <r>
    <n v="14767"/>
    <n v="415"/>
    <d v="2023-08-20T00:00:00"/>
    <s v="August"/>
    <n v="2023"/>
    <x v="100"/>
    <n v="105"/>
    <s v="4G"/>
  </r>
  <r>
    <n v="14768"/>
    <n v="339"/>
    <d v="2023-10-11T00:00:00"/>
    <s v="October"/>
    <n v="2023"/>
    <x v="763"/>
    <n v="231"/>
    <s v="4G"/>
  </r>
  <r>
    <n v="14769"/>
    <n v="95"/>
    <d v="2023-04-06T00:00:00"/>
    <s v="April"/>
    <n v="2023"/>
    <x v="82"/>
    <n v="32"/>
    <s v="4G"/>
  </r>
  <r>
    <n v="14770"/>
    <n v="181"/>
    <d v="2023-04-04T00:00:00"/>
    <s v="April"/>
    <n v="2023"/>
    <x v="98"/>
    <n v="78"/>
    <s v="5G"/>
  </r>
  <r>
    <n v="14771"/>
    <n v="288"/>
    <d v="2022-07-08T00:00:00"/>
    <s v="July"/>
    <n v="2022"/>
    <x v="170"/>
    <n v="34"/>
    <s v="4G"/>
  </r>
  <r>
    <n v="14772"/>
    <n v="322"/>
    <d v="2023-04-09T00:00:00"/>
    <s v="April"/>
    <n v="2023"/>
    <x v="597"/>
    <n v="109"/>
    <s v="4G"/>
  </r>
  <r>
    <n v="14773"/>
    <n v="187"/>
    <d v="2023-01-14T00:00:00"/>
    <s v="January"/>
    <n v="2023"/>
    <x v="127"/>
    <n v="62"/>
    <s v="4G"/>
  </r>
  <r>
    <n v="14774"/>
    <n v="372"/>
    <d v="2022-01-02T00:00:00"/>
    <s v="January"/>
    <n v="2022"/>
    <x v="71"/>
    <n v="296"/>
    <s v="4G"/>
  </r>
  <r>
    <n v="14775"/>
    <n v="138"/>
    <d v="2023-09-10T00:00:00"/>
    <s v="September"/>
    <n v="2023"/>
    <x v="266"/>
    <n v="177"/>
    <s v="5G"/>
  </r>
  <r>
    <n v="14776"/>
    <n v="130"/>
    <d v="2022-12-30T00:00:00"/>
    <s v="December"/>
    <n v="2022"/>
    <x v="104"/>
    <n v="231"/>
    <s v="4G"/>
  </r>
  <r>
    <n v="14777"/>
    <n v="194"/>
    <d v="2022-03-13T00:00:00"/>
    <s v="March"/>
    <n v="2022"/>
    <x v="326"/>
    <n v="103"/>
    <s v="5G"/>
  </r>
  <r>
    <n v="14778"/>
    <n v="316"/>
    <d v="2023-03-03T00:00:00"/>
    <s v="March"/>
    <n v="2023"/>
    <x v="328"/>
    <n v="293"/>
    <s v="4G"/>
  </r>
  <r>
    <n v="14779"/>
    <n v="472"/>
    <d v="2023-09-30T00:00:00"/>
    <s v="September"/>
    <n v="2023"/>
    <x v="500"/>
    <n v="34"/>
    <s v="5G"/>
  </r>
  <r>
    <n v="14780"/>
    <n v="273"/>
    <d v="2022-06-19T00:00:00"/>
    <s v="June"/>
    <n v="2022"/>
    <x v="37"/>
    <n v="193"/>
    <s v="4G"/>
  </r>
  <r>
    <n v="14781"/>
    <n v="352"/>
    <d v="2022-07-24T00:00:00"/>
    <s v="July"/>
    <n v="2022"/>
    <x v="194"/>
    <n v="173"/>
    <s v="4G"/>
  </r>
  <r>
    <n v="14782"/>
    <n v="144"/>
    <d v="2024-04-04T00:00:00"/>
    <s v="April"/>
    <n v="2024"/>
    <x v="505"/>
    <n v="101"/>
    <s v="5G"/>
  </r>
  <r>
    <n v="14783"/>
    <n v="16"/>
    <d v="2022-12-03T00:00:00"/>
    <s v="December"/>
    <n v="2022"/>
    <x v="257"/>
    <n v="292"/>
    <s v="4G"/>
  </r>
  <r>
    <n v="14784"/>
    <n v="302"/>
    <d v="2023-04-17T00:00:00"/>
    <s v="April"/>
    <n v="2023"/>
    <x v="252"/>
    <n v="84"/>
    <s v="4G"/>
  </r>
  <r>
    <n v="14785"/>
    <n v="423"/>
    <d v="2022-07-14T00:00:00"/>
    <s v="July"/>
    <n v="2022"/>
    <x v="109"/>
    <n v="200"/>
    <s v="4G"/>
  </r>
  <r>
    <n v="14786"/>
    <n v="245"/>
    <d v="2023-11-01T00:00:00"/>
    <s v="November"/>
    <n v="2023"/>
    <x v="9"/>
    <n v="172"/>
    <s v="4G"/>
  </r>
  <r>
    <n v="14787"/>
    <n v="415"/>
    <d v="2023-10-15T00:00:00"/>
    <s v="October"/>
    <n v="2023"/>
    <x v="54"/>
    <n v="28"/>
    <s v="4G"/>
  </r>
  <r>
    <n v="14788"/>
    <n v="107"/>
    <d v="2022-10-02T00:00:00"/>
    <s v="October"/>
    <n v="2022"/>
    <x v="486"/>
    <n v="296"/>
    <s v="4G"/>
  </r>
  <r>
    <n v="14789"/>
    <n v="88"/>
    <d v="2022-01-07T00:00:00"/>
    <s v="January"/>
    <n v="2022"/>
    <x v="30"/>
    <n v="55"/>
    <s v="4G"/>
  </r>
  <r>
    <n v="14790"/>
    <n v="129"/>
    <d v="2023-07-20T00:00:00"/>
    <s v="July"/>
    <n v="2023"/>
    <x v="36"/>
    <n v="15"/>
    <s v="4G"/>
  </r>
  <r>
    <n v="14791"/>
    <n v="395"/>
    <d v="2023-09-08T00:00:00"/>
    <s v="September"/>
    <n v="2023"/>
    <x v="224"/>
    <n v="139"/>
    <s v="4G"/>
  </r>
  <r>
    <n v="14792"/>
    <n v="375"/>
    <d v="2024-05-03T00:00:00"/>
    <s v="May"/>
    <n v="2024"/>
    <x v="234"/>
    <n v="65"/>
    <s v="4G"/>
  </r>
  <r>
    <n v="14793"/>
    <n v="341"/>
    <d v="2024-04-29T00:00:00"/>
    <s v="April"/>
    <n v="2024"/>
    <x v="358"/>
    <n v="146"/>
    <s v="5G"/>
  </r>
  <r>
    <n v="14794"/>
    <n v="4"/>
    <d v="2023-07-27T00:00:00"/>
    <s v="July"/>
    <n v="2023"/>
    <x v="725"/>
    <n v="157"/>
    <s v="4G"/>
  </r>
  <r>
    <n v="14795"/>
    <n v="327"/>
    <d v="2023-08-22T00:00:00"/>
    <s v="August"/>
    <n v="2023"/>
    <x v="449"/>
    <n v="68"/>
    <s v="5G"/>
  </r>
  <r>
    <n v="14796"/>
    <n v="410"/>
    <d v="2024-02-09T00:00:00"/>
    <s v="February"/>
    <n v="2024"/>
    <x v="116"/>
    <n v="22"/>
    <s v="4G"/>
  </r>
  <r>
    <n v="14797"/>
    <n v="367"/>
    <d v="2022-06-27T00:00:00"/>
    <s v="June"/>
    <n v="2022"/>
    <x v="117"/>
    <n v="189"/>
    <s v="4G"/>
  </r>
  <r>
    <n v="14798"/>
    <n v="306"/>
    <d v="2022-08-30T00:00:00"/>
    <s v="August"/>
    <n v="2022"/>
    <x v="360"/>
    <n v="247"/>
    <s v="4G"/>
  </r>
  <r>
    <n v="14799"/>
    <n v="396"/>
    <d v="2022-07-22T00:00:00"/>
    <s v="July"/>
    <n v="2022"/>
    <x v="608"/>
    <n v="144"/>
    <s v="4G"/>
  </r>
  <r>
    <n v="14800"/>
    <n v="95"/>
    <d v="2023-06-27T00:00:00"/>
    <s v="June"/>
    <n v="2023"/>
    <x v="212"/>
    <n v="176"/>
    <s v="4G"/>
  </r>
  <r>
    <n v="14801"/>
    <n v="209"/>
    <d v="2024-03-11T00:00:00"/>
    <s v="March"/>
    <n v="2024"/>
    <x v="152"/>
    <n v="194"/>
    <s v="4G"/>
  </r>
  <r>
    <n v="14802"/>
    <n v="225"/>
    <d v="2023-04-07T00:00:00"/>
    <s v="April"/>
    <n v="2023"/>
    <x v="116"/>
    <n v="12"/>
    <s v="4G"/>
  </r>
  <r>
    <n v="14803"/>
    <n v="459"/>
    <d v="2022-03-21T00:00:00"/>
    <s v="March"/>
    <n v="2022"/>
    <x v="516"/>
    <n v="165"/>
    <s v="5G"/>
  </r>
  <r>
    <n v="14804"/>
    <n v="348"/>
    <d v="2023-06-07T00:00:00"/>
    <s v="June"/>
    <n v="2023"/>
    <x v="114"/>
    <n v="149"/>
    <s v="5G"/>
  </r>
  <r>
    <n v="14805"/>
    <n v="480"/>
    <d v="2023-02-21T00:00:00"/>
    <s v="February"/>
    <n v="2023"/>
    <x v="500"/>
    <n v="44"/>
    <s v="4G"/>
  </r>
  <r>
    <n v="14806"/>
    <n v="321"/>
    <d v="2024-02-05T00:00:00"/>
    <s v="February"/>
    <n v="2024"/>
    <x v="114"/>
    <n v="173"/>
    <s v="4G"/>
  </r>
  <r>
    <n v="14807"/>
    <n v="47"/>
    <d v="2023-01-19T00:00:00"/>
    <s v="January"/>
    <n v="2023"/>
    <x v="68"/>
    <n v="166"/>
    <s v="4G"/>
  </r>
  <r>
    <n v="14808"/>
    <n v="476"/>
    <d v="2023-01-26T00:00:00"/>
    <s v="January"/>
    <n v="2023"/>
    <x v="457"/>
    <n v="196"/>
    <s v="4G"/>
  </r>
  <r>
    <n v="14809"/>
    <n v="181"/>
    <d v="2024-06-14T00:00:00"/>
    <s v="June"/>
    <n v="2024"/>
    <x v="191"/>
    <n v="205"/>
    <s v="4G"/>
  </r>
  <r>
    <n v="14810"/>
    <n v="106"/>
    <d v="2024-03-09T00:00:00"/>
    <s v="March"/>
    <n v="2024"/>
    <x v="18"/>
    <n v="81"/>
    <s v="4G"/>
  </r>
  <r>
    <n v="14811"/>
    <n v="199"/>
    <d v="2023-11-19T00:00:00"/>
    <s v="November"/>
    <n v="2023"/>
    <x v="862"/>
    <n v="67"/>
    <s v="5G"/>
  </r>
  <r>
    <n v="14812"/>
    <n v="386"/>
    <d v="2022-05-06T00:00:00"/>
    <s v="May"/>
    <n v="2022"/>
    <x v="298"/>
    <n v="96"/>
    <s v="4G"/>
  </r>
  <r>
    <n v="14813"/>
    <n v="106"/>
    <d v="2023-05-09T00:00:00"/>
    <s v="May"/>
    <n v="2023"/>
    <x v="327"/>
    <n v="166"/>
    <s v="4G"/>
  </r>
  <r>
    <n v="14814"/>
    <n v="280"/>
    <d v="2022-02-16T00:00:00"/>
    <s v="February"/>
    <n v="2022"/>
    <x v="365"/>
    <n v="76"/>
    <s v="5G"/>
  </r>
  <r>
    <n v="14815"/>
    <n v="260"/>
    <d v="2023-12-19T00:00:00"/>
    <s v="December"/>
    <n v="2023"/>
    <x v="438"/>
    <n v="236"/>
    <s v="4G"/>
  </r>
  <r>
    <n v="14816"/>
    <n v="108"/>
    <d v="2023-04-21T00:00:00"/>
    <s v="April"/>
    <n v="2023"/>
    <x v="874"/>
    <n v="195"/>
    <s v="4G"/>
  </r>
  <r>
    <n v="14817"/>
    <n v="19"/>
    <d v="2023-09-11T00:00:00"/>
    <s v="September"/>
    <n v="2023"/>
    <x v="11"/>
    <n v="290"/>
    <s v="5G"/>
  </r>
  <r>
    <n v="14818"/>
    <n v="410"/>
    <d v="2023-04-09T00:00:00"/>
    <s v="April"/>
    <n v="2023"/>
    <x v="158"/>
    <n v="135"/>
    <s v="4G"/>
  </r>
  <r>
    <n v="14819"/>
    <n v="459"/>
    <d v="2024-02-26T00:00:00"/>
    <s v="February"/>
    <n v="2024"/>
    <x v="862"/>
    <n v="295"/>
    <s v="4G"/>
  </r>
  <r>
    <n v="14820"/>
    <n v="296"/>
    <d v="2024-04-28T00:00:00"/>
    <s v="April"/>
    <n v="2024"/>
    <x v="474"/>
    <n v="35"/>
    <s v="4G"/>
  </r>
  <r>
    <n v="14821"/>
    <n v="306"/>
    <d v="2022-05-03T00:00:00"/>
    <s v="May"/>
    <n v="2022"/>
    <x v="142"/>
    <n v="247"/>
    <s v="4G"/>
  </r>
  <r>
    <n v="14822"/>
    <n v="171"/>
    <d v="2023-04-19T00:00:00"/>
    <s v="April"/>
    <n v="2023"/>
    <x v="442"/>
    <n v="253"/>
    <s v="5G"/>
  </r>
  <r>
    <n v="14823"/>
    <n v="331"/>
    <d v="2022-05-14T00:00:00"/>
    <s v="May"/>
    <n v="2022"/>
    <x v="276"/>
    <n v="213"/>
    <s v="4G"/>
  </r>
  <r>
    <n v="14824"/>
    <n v="493"/>
    <d v="2023-09-11T00:00:00"/>
    <s v="September"/>
    <n v="2023"/>
    <x v="0"/>
    <n v="251"/>
    <s v="4G"/>
  </r>
  <r>
    <n v="14825"/>
    <n v="195"/>
    <d v="2024-03-27T00:00:00"/>
    <s v="March"/>
    <n v="2024"/>
    <x v="534"/>
    <n v="69"/>
    <s v="4G"/>
  </r>
  <r>
    <n v="14826"/>
    <n v="12"/>
    <d v="2024-04-20T00:00:00"/>
    <s v="April"/>
    <n v="2024"/>
    <x v="229"/>
    <n v="233"/>
    <s v="5G"/>
  </r>
  <r>
    <n v="14827"/>
    <n v="195"/>
    <d v="2023-07-16T00:00:00"/>
    <s v="July"/>
    <n v="2023"/>
    <x v="36"/>
    <n v="15"/>
    <s v="4G"/>
  </r>
  <r>
    <n v="14828"/>
    <n v="490"/>
    <d v="2024-04-28T00:00:00"/>
    <s v="April"/>
    <n v="2024"/>
    <x v="457"/>
    <n v="173"/>
    <s v="4G"/>
  </r>
  <r>
    <n v="14829"/>
    <n v="283"/>
    <d v="2023-08-30T00:00:00"/>
    <s v="August"/>
    <n v="2023"/>
    <x v="259"/>
    <n v="186"/>
    <s v="5G"/>
  </r>
  <r>
    <n v="14830"/>
    <n v="369"/>
    <d v="2024-02-19T00:00:00"/>
    <s v="February"/>
    <n v="2024"/>
    <x v="875"/>
    <n v="293"/>
    <s v="5G"/>
  </r>
  <r>
    <n v="14831"/>
    <n v="182"/>
    <d v="2022-01-23T00:00:00"/>
    <s v="January"/>
    <n v="2022"/>
    <x v="480"/>
    <n v="224"/>
    <s v="4G"/>
  </r>
  <r>
    <n v="14832"/>
    <n v="450"/>
    <d v="2023-07-20T00:00:00"/>
    <s v="July"/>
    <n v="2023"/>
    <x v="26"/>
    <n v="273"/>
    <s v="4G"/>
  </r>
  <r>
    <n v="14833"/>
    <n v="305"/>
    <d v="2024-06-04T00:00:00"/>
    <s v="June"/>
    <n v="2024"/>
    <x v="224"/>
    <n v="11"/>
    <s v="4G"/>
  </r>
  <r>
    <n v="14834"/>
    <n v="144"/>
    <d v="2024-02-05T00:00:00"/>
    <s v="February"/>
    <n v="2024"/>
    <x v="498"/>
    <n v="218"/>
    <s v="4G"/>
  </r>
  <r>
    <n v="14835"/>
    <n v="386"/>
    <d v="2022-08-23T00:00:00"/>
    <s v="August"/>
    <n v="2022"/>
    <x v="876"/>
    <n v="0"/>
    <s v="4G"/>
  </r>
  <r>
    <n v="14836"/>
    <n v="316"/>
    <d v="2022-02-28T00:00:00"/>
    <s v="February"/>
    <n v="2022"/>
    <x v="98"/>
    <n v="110"/>
    <s v="4G"/>
  </r>
  <r>
    <n v="14837"/>
    <n v="182"/>
    <d v="2022-06-13T00:00:00"/>
    <s v="June"/>
    <n v="2022"/>
    <x v="24"/>
    <n v="276"/>
    <s v="4G"/>
  </r>
  <r>
    <n v="14838"/>
    <n v="30"/>
    <d v="2024-02-10T00:00:00"/>
    <s v="February"/>
    <n v="2024"/>
    <x v="436"/>
    <n v="128"/>
    <s v="4G"/>
  </r>
  <r>
    <n v="14839"/>
    <n v="84"/>
    <d v="2024-04-05T00:00:00"/>
    <s v="April"/>
    <n v="2024"/>
    <x v="663"/>
    <n v="92"/>
    <s v="5G"/>
  </r>
  <r>
    <n v="14840"/>
    <n v="166"/>
    <d v="2022-08-04T00:00:00"/>
    <s v="August"/>
    <n v="2022"/>
    <x v="314"/>
    <n v="38"/>
    <s v="4G"/>
  </r>
  <r>
    <n v="14841"/>
    <n v="284"/>
    <d v="2022-07-02T00:00:00"/>
    <s v="July"/>
    <n v="2022"/>
    <x v="157"/>
    <n v="158"/>
    <s v="4G"/>
  </r>
  <r>
    <n v="14842"/>
    <n v="281"/>
    <d v="2023-07-23T00:00:00"/>
    <s v="July"/>
    <n v="2023"/>
    <x v="477"/>
    <n v="185"/>
    <s v="5G"/>
  </r>
  <r>
    <n v="14843"/>
    <n v="96"/>
    <d v="2023-10-19T00:00:00"/>
    <s v="October"/>
    <n v="2023"/>
    <x v="194"/>
    <n v="255"/>
    <s v="4G"/>
  </r>
  <r>
    <n v="14844"/>
    <n v="381"/>
    <d v="2022-03-31T00:00:00"/>
    <s v="March"/>
    <n v="2022"/>
    <x v="106"/>
    <n v="238"/>
    <s v="4G"/>
  </r>
  <r>
    <n v="14845"/>
    <n v="266"/>
    <d v="2022-11-07T00:00:00"/>
    <s v="November"/>
    <n v="2022"/>
    <x v="615"/>
    <n v="103"/>
    <s v="4G"/>
  </r>
  <r>
    <n v="14846"/>
    <n v="444"/>
    <d v="2023-07-11T00:00:00"/>
    <s v="July"/>
    <n v="2023"/>
    <x v="201"/>
    <n v="28"/>
    <s v="4G"/>
  </r>
  <r>
    <n v="14847"/>
    <n v="298"/>
    <d v="2022-09-14T00:00:00"/>
    <s v="September"/>
    <n v="2022"/>
    <x v="295"/>
    <n v="88"/>
    <s v="4G"/>
  </r>
  <r>
    <n v="14848"/>
    <n v="296"/>
    <d v="2023-06-17T00:00:00"/>
    <s v="June"/>
    <n v="2023"/>
    <x v="235"/>
    <n v="50"/>
    <s v="4G"/>
  </r>
  <r>
    <n v="14849"/>
    <n v="225"/>
    <d v="2023-06-17T00:00:00"/>
    <s v="June"/>
    <n v="2023"/>
    <x v="220"/>
    <n v="146"/>
    <s v="4G"/>
  </r>
  <r>
    <n v="14850"/>
    <n v="333"/>
    <d v="2022-02-21T00:00:00"/>
    <s v="February"/>
    <n v="2022"/>
    <x v="669"/>
    <n v="35"/>
    <s v="4G"/>
  </r>
  <r>
    <n v="14851"/>
    <n v="361"/>
    <d v="2022-12-04T00:00:00"/>
    <s v="December"/>
    <n v="2022"/>
    <x v="613"/>
    <n v="283"/>
    <s v="4G"/>
  </r>
  <r>
    <n v="14852"/>
    <n v="374"/>
    <d v="2022-06-20T00:00:00"/>
    <s v="June"/>
    <n v="2022"/>
    <x v="0"/>
    <n v="100"/>
    <s v="4G"/>
  </r>
  <r>
    <n v="14853"/>
    <n v="42"/>
    <d v="2022-03-08T00:00:00"/>
    <s v="March"/>
    <n v="2022"/>
    <x v="877"/>
    <n v="106"/>
    <s v="4G"/>
  </r>
  <r>
    <n v="14854"/>
    <n v="303"/>
    <d v="2023-09-17T00:00:00"/>
    <s v="September"/>
    <n v="2023"/>
    <x v="748"/>
    <n v="290"/>
    <s v="4G"/>
  </r>
  <r>
    <n v="14855"/>
    <n v="421"/>
    <d v="2022-10-27T00:00:00"/>
    <s v="October"/>
    <n v="2022"/>
    <x v="60"/>
    <n v="104"/>
    <s v="5G"/>
  </r>
  <r>
    <n v="14856"/>
    <n v="246"/>
    <d v="2023-11-03T00:00:00"/>
    <s v="November"/>
    <n v="2023"/>
    <x v="878"/>
    <n v="220"/>
    <s v="4G"/>
  </r>
  <r>
    <n v="14857"/>
    <n v="208"/>
    <d v="2024-02-17T00:00:00"/>
    <s v="February"/>
    <n v="2024"/>
    <x v="49"/>
    <n v="75"/>
    <s v="4G"/>
  </r>
  <r>
    <n v="14858"/>
    <n v="237"/>
    <d v="2024-04-11T00:00:00"/>
    <s v="April"/>
    <n v="2024"/>
    <x v="41"/>
    <n v="226"/>
    <s v="4G"/>
  </r>
  <r>
    <n v="14859"/>
    <n v="22"/>
    <d v="2022-08-20T00:00:00"/>
    <s v="August"/>
    <n v="2022"/>
    <x v="482"/>
    <n v="83"/>
    <s v="4G"/>
  </r>
  <r>
    <n v="14860"/>
    <n v="185"/>
    <d v="2024-04-16T00:00:00"/>
    <s v="April"/>
    <n v="2024"/>
    <x v="395"/>
    <n v="75"/>
    <s v="5G"/>
  </r>
  <r>
    <n v="14861"/>
    <n v="468"/>
    <d v="2022-03-09T00:00:00"/>
    <s v="March"/>
    <n v="2022"/>
    <x v="130"/>
    <n v="248"/>
    <s v="5G"/>
  </r>
  <r>
    <n v="14862"/>
    <n v="242"/>
    <d v="2023-05-21T00:00:00"/>
    <s v="May"/>
    <n v="2023"/>
    <x v="708"/>
    <n v="254"/>
    <s v="4G"/>
  </r>
  <r>
    <n v="14863"/>
    <n v="363"/>
    <d v="2022-01-28T00:00:00"/>
    <s v="January"/>
    <n v="2022"/>
    <x v="23"/>
    <n v="49"/>
    <s v="5G"/>
  </r>
  <r>
    <n v="14864"/>
    <n v="283"/>
    <d v="2023-09-20T00:00:00"/>
    <s v="September"/>
    <n v="2023"/>
    <x v="305"/>
    <n v="209"/>
    <s v="4G"/>
  </r>
  <r>
    <n v="14865"/>
    <n v="41"/>
    <d v="2022-02-20T00:00:00"/>
    <s v="February"/>
    <n v="2022"/>
    <x v="879"/>
    <n v="157"/>
    <s v="5G"/>
  </r>
  <r>
    <n v="14866"/>
    <n v="336"/>
    <d v="2023-11-24T00:00:00"/>
    <s v="November"/>
    <n v="2023"/>
    <x v="375"/>
    <n v="232"/>
    <s v="4G"/>
  </r>
  <r>
    <n v="14867"/>
    <n v="162"/>
    <d v="2022-09-17T00:00:00"/>
    <s v="September"/>
    <n v="2022"/>
    <x v="139"/>
    <n v="76"/>
    <s v="4G"/>
  </r>
  <r>
    <n v="14868"/>
    <n v="160"/>
    <d v="2023-08-14T00:00:00"/>
    <s v="August"/>
    <n v="2023"/>
    <x v="38"/>
    <n v="222"/>
    <s v="5G"/>
  </r>
  <r>
    <n v="14869"/>
    <n v="474"/>
    <d v="2024-02-24T00:00:00"/>
    <s v="February"/>
    <n v="2024"/>
    <x v="376"/>
    <n v="120"/>
    <s v="4G"/>
  </r>
  <r>
    <n v="14870"/>
    <n v="89"/>
    <d v="2023-09-12T00:00:00"/>
    <s v="September"/>
    <n v="2023"/>
    <x v="1"/>
    <n v="106"/>
    <s v="5G"/>
  </r>
  <r>
    <n v="14871"/>
    <n v="322"/>
    <d v="2023-08-09T00:00:00"/>
    <s v="August"/>
    <n v="2023"/>
    <x v="360"/>
    <n v="240"/>
    <s v="4G"/>
  </r>
  <r>
    <n v="14872"/>
    <n v="12"/>
    <d v="2023-11-18T00:00:00"/>
    <s v="November"/>
    <n v="2023"/>
    <x v="143"/>
    <n v="27"/>
    <s v="4G"/>
  </r>
  <r>
    <n v="14873"/>
    <n v="424"/>
    <d v="2022-07-03T00:00:00"/>
    <s v="July"/>
    <n v="2022"/>
    <x v="427"/>
    <n v="191"/>
    <s v="4G"/>
  </r>
  <r>
    <n v="14874"/>
    <n v="73"/>
    <d v="2022-01-23T00:00:00"/>
    <s v="January"/>
    <n v="2022"/>
    <x v="86"/>
    <n v="248"/>
    <s v="4G"/>
  </r>
  <r>
    <n v="14875"/>
    <n v="76"/>
    <d v="2024-02-25T00:00:00"/>
    <s v="February"/>
    <n v="2024"/>
    <x v="192"/>
    <n v="212"/>
    <s v="4G"/>
  </r>
  <r>
    <n v="14876"/>
    <n v="346"/>
    <d v="2022-05-09T00:00:00"/>
    <s v="May"/>
    <n v="2022"/>
    <x v="165"/>
    <n v="20"/>
    <s v="4G"/>
  </r>
  <r>
    <n v="14877"/>
    <n v="201"/>
    <d v="2022-10-18T00:00:00"/>
    <s v="October"/>
    <n v="2022"/>
    <x v="485"/>
    <n v="154"/>
    <s v="4G"/>
  </r>
  <r>
    <n v="14878"/>
    <n v="10"/>
    <d v="2024-04-11T00:00:00"/>
    <s v="April"/>
    <n v="2024"/>
    <x v="129"/>
    <n v="26"/>
    <s v="5G"/>
  </r>
  <r>
    <n v="14879"/>
    <n v="352"/>
    <d v="2023-05-16T00:00:00"/>
    <s v="May"/>
    <n v="2023"/>
    <x v="125"/>
    <n v="76"/>
    <s v="4G"/>
  </r>
  <r>
    <n v="14880"/>
    <n v="226"/>
    <d v="2022-07-05T00:00:00"/>
    <s v="July"/>
    <n v="2022"/>
    <x v="4"/>
    <n v="56"/>
    <s v="5G"/>
  </r>
  <r>
    <n v="14881"/>
    <n v="176"/>
    <d v="2023-04-24T00:00:00"/>
    <s v="April"/>
    <n v="2023"/>
    <x v="390"/>
    <n v="118"/>
    <s v="4G"/>
  </r>
  <r>
    <n v="14882"/>
    <n v="276"/>
    <d v="2023-07-25T00:00:00"/>
    <s v="July"/>
    <n v="2023"/>
    <x v="62"/>
    <n v="164"/>
    <s v="4G"/>
  </r>
  <r>
    <n v="14883"/>
    <n v="39"/>
    <d v="2023-05-07T00:00:00"/>
    <s v="May"/>
    <n v="2023"/>
    <x v="269"/>
    <n v="63"/>
    <s v="4G"/>
  </r>
  <r>
    <n v="14884"/>
    <n v="60"/>
    <d v="2023-05-28T00:00:00"/>
    <s v="May"/>
    <n v="2023"/>
    <x v="177"/>
    <n v="47"/>
    <s v="5G"/>
  </r>
  <r>
    <n v="14885"/>
    <n v="66"/>
    <d v="2023-10-05T00:00:00"/>
    <s v="October"/>
    <n v="2023"/>
    <x v="442"/>
    <n v="149"/>
    <s v="4G"/>
  </r>
  <r>
    <n v="14886"/>
    <n v="321"/>
    <d v="2022-03-08T00:00:00"/>
    <s v="March"/>
    <n v="2022"/>
    <x v="362"/>
    <n v="157"/>
    <s v="4G"/>
  </r>
  <r>
    <n v="14887"/>
    <n v="435"/>
    <d v="2024-03-15T00:00:00"/>
    <s v="March"/>
    <n v="2024"/>
    <x v="259"/>
    <n v="155"/>
    <s v="5G"/>
  </r>
  <r>
    <n v="14888"/>
    <n v="124"/>
    <d v="2023-04-12T00:00:00"/>
    <s v="April"/>
    <n v="2023"/>
    <x v="487"/>
    <n v="150"/>
    <s v="4G"/>
  </r>
  <r>
    <n v="14889"/>
    <n v="164"/>
    <d v="2022-10-12T00:00:00"/>
    <s v="October"/>
    <n v="2022"/>
    <x v="152"/>
    <n v="224"/>
    <s v="5G"/>
  </r>
  <r>
    <n v="14890"/>
    <n v="408"/>
    <d v="2023-08-24T00:00:00"/>
    <s v="August"/>
    <n v="2023"/>
    <x v="542"/>
    <n v="259"/>
    <s v="4G"/>
  </r>
  <r>
    <n v="14891"/>
    <n v="411"/>
    <d v="2023-02-21T00:00:00"/>
    <s v="February"/>
    <n v="2023"/>
    <x v="36"/>
    <n v="255"/>
    <s v="4G"/>
  </r>
  <r>
    <n v="14892"/>
    <n v="386"/>
    <d v="2022-04-10T00:00:00"/>
    <s v="April"/>
    <n v="2022"/>
    <x v="279"/>
    <n v="60"/>
    <s v="4G"/>
  </r>
  <r>
    <n v="14893"/>
    <n v="159"/>
    <d v="2022-07-08T00:00:00"/>
    <s v="July"/>
    <n v="2022"/>
    <x v="619"/>
    <n v="259"/>
    <s v="4G"/>
  </r>
  <r>
    <n v="14894"/>
    <n v="57"/>
    <d v="2024-06-08T00:00:00"/>
    <s v="June"/>
    <n v="2024"/>
    <x v="428"/>
    <n v="161"/>
    <s v="5G"/>
  </r>
  <r>
    <n v="14895"/>
    <n v="78"/>
    <d v="2024-05-07T00:00:00"/>
    <s v="May"/>
    <n v="2024"/>
    <x v="58"/>
    <n v="30"/>
    <s v="5G"/>
  </r>
  <r>
    <n v="14896"/>
    <n v="194"/>
    <d v="2023-01-23T00:00:00"/>
    <s v="January"/>
    <n v="2023"/>
    <x v="172"/>
    <n v="70"/>
    <s v="4G"/>
  </r>
  <r>
    <n v="14897"/>
    <n v="285"/>
    <d v="2022-08-29T00:00:00"/>
    <s v="August"/>
    <n v="2022"/>
    <x v="370"/>
    <n v="1"/>
    <s v="5G"/>
  </r>
  <r>
    <n v="14898"/>
    <n v="15"/>
    <d v="2024-02-21T00:00:00"/>
    <s v="February"/>
    <n v="2024"/>
    <x v="880"/>
    <n v="49"/>
    <s v="4G"/>
  </r>
  <r>
    <n v="14899"/>
    <n v="12"/>
    <d v="2024-01-01T00:00:00"/>
    <s v="January"/>
    <n v="2024"/>
    <x v="677"/>
    <n v="134"/>
    <s v="4G"/>
  </r>
  <r>
    <n v="14900"/>
    <n v="101"/>
    <d v="2023-02-21T00:00:00"/>
    <s v="February"/>
    <n v="2023"/>
    <x v="169"/>
    <n v="145"/>
    <s v="4G"/>
  </r>
  <r>
    <n v="14901"/>
    <n v="156"/>
    <d v="2022-06-25T00:00:00"/>
    <s v="June"/>
    <n v="2022"/>
    <x v="881"/>
    <n v="178"/>
    <s v="4G"/>
  </r>
  <r>
    <n v="14902"/>
    <n v="340"/>
    <d v="2023-01-22T00:00:00"/>
    <s v="January"/>
    <n v="2023"/>
    <x v="254"/>
    <n v="263"/>
    <s v="4G"/>
  </r>
  <r>
    <n v="14903"/>
    <n v="125"/>
    <d v="2023-04-16T00:00:00"/>
    <s v="April"/>
    <n v="2023"/>
    <x v="174"/>
    <n v="203"/>
    <s v="4G"/>
  </r>
  <r>
    <n v="14904"/>
    <n v="359"/>
    <d v="2024-05-02T00:00:00"/>
    <s v="May"/>
    <n v="2024"/>
    <x v="87"/>
    <n v="298"/>
    <s v="4G"/>
  </r>
  <r>
    <n v="14905"/>
    <n v="280"/>
    <d v="2022-08-21T00:00:00"/>
    <s v="August"/>
    <n v="2022"/>
    <x v="190"/>
    <n v="186"/>
    <s v="5G"/>
  </r>
  <r>
    <n v="14906"/>
    <n v="405"/>
    <d v="2023-10-25T00:00:00"/>
    <s v="October"/>
    <n v="2023"/>
    <x v="73"/>
    <n v="29"/>
    <s v="5G"/>
  </r>
  <r>
    <n v="14907"/>
    <n v="394"/>
    <d v="2023-03-28T00:00:00"/>
    <s v="March"/>
    <n v="2023"/>
    <x v="378"/>
    <n v="58"/>
    <s v="4G"/>
  </r>
  <r>
    <n v="14908"/>
    <n v="110"/>
    <d v="2022-10-04T00:00:00"/>
    <s v="October"/>
    <n v="2022"/>
    <x v="305"/>
    <n v="8"/>
    <s v="4G"/>
  </r>
  <r>
    <n v="14909"/>
    <n v="334"/>
    <d v="2022-08-17T00:00:00"/>
    <s v="August"/>
    <n v="2022"/>
    <x v="55"/>
    <n v="166"/>
    <s v="4G"/>
  </r>
  <r>
    <n v="14910"/>
    <n v="357"/>
    <d v="2022-06-20T00:00:00"/>
    <s v="June"/>
    <n v="2022"/>
    <x v="608"/>
    <n v="278"/>
    <s v="5G"/>
  </r>
  <r>
    <n v="14911"/>
    <n v="146"/>
    <d v="2024-01-05T00:00:00"/>
    <s v="January"/>
    <n v="2024"/>
    <x v="378"/>
    <n v="190"/>
    <s v="4G"/>
  </r>
  <r>
    <n v="14912"/>
    <n v="216"/>
    <d v="2022-08-01T00:00:00"/>
    <s v="August"/>
    <n v="2022"/>
    <x v="353"/>
    <n v="241"/>
    <s v="4G"/>
  </r>
  <r>
    <n v="14913"/>
    <n v="398"/>
    <d v="2022-10-09T00:00:00"/>
    <s v="October"/>
    <n v="2022"/>
    <x v="871"/>
    <n v="277"/>
    <s v="5G"/>
  </r>
  <r>
    <n v="14914"/>
    <n v="162"/>
    <d v="2022-02-10T00:00:00"/>
    <s v="February"/>
    <n v="2022"/>
    <x v="569"/>
    <n v="153"/>
    <s v="4G"/>
  </r>
  <r>
    <n v="14915"/>
    <n v="128"/>
    <d v="2022-05-02T00:00:00"/>
    <s v="May"/>
    <n v="2022"/>
    <x v="312"/>
    <n v="159"/>
    <s v="4G"/>
  </r>
  <r>
    <n v="14916"/>
    <n v="314"/>
    <d v="2022-08-15T00:00:00"/>
    <s v="August"/>
    <n v="2022"/>
    <x v="882"/>
    <n v="264"/>
    <s v="4G"/>
  </r>
  <r>
    <n v="14917"/>
    <n v="332"/>
    <d v="2022-10-21T00:00:00"/>
    <s v="October"/>
    <n v="2022"/>
    <x v="189"/>
    <n v="234"/>
    <s v="4G"/>
  </r>
  <r>
    <n v="14918"/>
    <n v="150"/>
    <d v="2023-08-23T00:00:00"/>
    <s v="August"/>
    <n v="2023"/>
    <x v="73"/>
    <n v="198"/>
    <s v="5G"/>
  </r>
  <r>
    <n v="14919"/>
    <n v="454"/>
    <d v="2022-09-24T00:00:00"/>
    <s v="September"/>
    <n v="2022"/>
    <x v="357"/>
    <n v="32"/>
    <s v="4G"/>
  </r>
  <r>
    <n v="14920"/>
    <n v="36"/>
    <d v="2023-06-25T00:00:00"/>
    <s v="June"/>
    <n v="2023"/>
    <x v="498"/>
    <n v="88"/>
    <s v="4G"/>
  </r>
  <r>
    <n v="14921"/>
    <n v="173"/>
    <d v="2024-01-29T00:00:00"/>
    <s v="January"/>
    <n v="2024"/>
    <x v="555"/>
    <n v="94"/>
    <s v="4G"/>
  </r>
  <r>
    <n v="14922"/>
    <n v="420"/>
    <d v="2024-04-07T00:00:00"/>
    <s v="April"/>
    <n v="2024"/>
    <x v="163"/>
    <n v="220"/>
    <s v="4G"/>
  </r>
  <r>
    <n v="14923"/>
    <n v="22"/>
    <d v="2023-03-27T00:00:00"/>
    <s v="March"/>
    <n v="2023"/>
    <x v="179"/>
    <n v="68"/>
    <s v="4G"/>
  </r>
  <r>
    <n v="14924"/>
    <n v="206"/>
    <d v="2023-03-25T00:00:00"/>
    <s v="March"/>
    <n v="2023"/>
    <x v="242"/>
    <n v="293"/>
    <s v="4G"/>
  </r>
  <r>
    <n v="14925"/>
    <n v="127"/>
    <d v="2024-01-26T00:00:00"/>
    <s v="January"/>
    <n v="2024"/>
    <x v="883"/>
    <n v="236"/>
    <s v="4G"/>
  </r>
  <r>
    <n v="14926"/>
    <n v="336"/>
    <d v="2022-03-02T00:00:00"/>
    <s v="March"/>
    <n v="2022"/>
    <x v="169"/>
    <n v="159"/>
    <s v="4G"/>
  </r>
  <r>
    <n v="14927"/>
    <n v="445"/>
    <d v="2023-05-17T00:00:00"/>
    <s v="May"/>
    <n v="2023"/>
    <x v="623"/>
    <n v="275"/>
    <s v="4G"/>
  </r>
  <r>
    <n v="14928"/>
    <n v="356"/>
    <d v="2022-05-27T00:00:00"/>
    <s v="May"/>
    <n v="2022"/>
    <x v="271"/>
    <n v="289"/>
    <s v="4G"/>
  </r>
  <r>
    <n v="14929"/>
    <n v="440"/>
    <d v="2023-11-17T00:00:00"/>
    <s v="November"/>
    <n v="2023"/>
    <x v="108"/>
    <n v="41"/>
    <s v="5G"/>
  </r>
  <r>
    <n v="14930"/>
    <n v="217"/>
    <d v="2024-02-29T00:00:00"/>
    <s v="February"/>
    <n v="2024"/>
    <x v="202"/>
    <n v="65"/>
    <s v="4G"/>
  </r>
  <r>
    <n v="14931"/>
    <n v="96"/>
    <d v="2022-11-30T00:00:00"/>
    <s v="November"/>
    <n v="2022"/>
    <x v="82"/>
    <n v="20"/>
    <s v="5G"/>
  </r>
  <r>
    <n v="14932"/>
    <n v="417"/>
    <d v="2024-05-30T00:00:00"/>
    <s v="May"/>
    <n v="2024"/>
    <x v="884"/>
    <n v="69"/>
    <s v="4G"/>
  </r>
  <r>
    <n v="14933"/>
    <n v="429"/>
    <d v="2024-06-09T00:00:00"/>
    <s v="June"/>
    <n v="2024"/>
    <x v="376"/>
    <n v="260"/>
    <s v="5G"/>
  </r>
  <r>
    <n v="14934"/>
    <n v="164"/>
    <d v="2022-05-22T00:00:00"/>
    <s v="May"/>
    <n v="2022"/>
    <x v="178"/>
    <n v="245"/>
    <s v="4G"/>
  </r>
  <r>
    <n v="14935"/>
    <n v="148"/>
    <d v="2022-02-13T00:00:00"/>
    <s v="February"/>
    <n v="2022"/>
    <x v="170"/>
    <n v="234"/>
    <s v="4G"/>
  </r>
  <r>
    <n v="14936"/>
    <n v="18"/>
    <d v="2022-05-24T00:00:00"/>
    <s v="May"/>
    <n v="2022"/>
    <x v="528"/>
    <n v="271"/>
    <s v="4G"/>
  </r>
  <r>
    <n v="14937"/>
    <n v="294"/>
    <d v="2024-05-14T00:00:00"/>
    <s v="May"/>
    <n v="2024"/>
    <x v="722"/>
    <n v="98"/>
    <s v="4G"/>
  </r>
  <r>
    <n v="14938"/>
    <n v="195"/>
    <d v="2022-11-29T00:00:00"/>
    <s v="November"/>
    <n v="2022"/>
    <x v="181"/>
    <n v="34"/>
    <s v="5G"/>
  </r>
  <r>
    <n v="14939"/>
    <n v="151"/>
    <d v="2023-05-12T00:00:00"/>
    <s v="May"/>
    <n v="2023"/>
    <x v="673"/>
    <n v="170"/>
    <s v="4G"/>
  </r>
  <r>
    <n v="14940"/>
    <n v="480"/>
    <d v="2023-01-31T00:00:00"/>
    <s v="January"/>
    <n v="2023"/>
    <x v="166"/>
    <n v="109"/>
    <s v="4G"/>
  </r>
  <r>
    <n v="14941"/>
    <n v="365"/>
    <d v="2022-02-24T00:00:00"/>
    <s v="February"/>
    <n v="2022"/>
    <x v="420"/>
    <n v="294"/>
    <s v="5G"/>
  </r>
  <r>
    <n v="14942"/>
    <n v="123"/>
    <d v="2022-11-03T00:00:00"/>
    <s v="November"/>
    <n v="2022"/>
    <x v="821"/>
    <n v="9"/>
    <s v="4G"/>
  </r>
  <r>
    <n v="14943"/>
    <n v="400"/>
    <d v="2024-05-19T00:00:00"/>
    <s v="May"/>
    <n v="2024"/>
    <x v="6"/>
    <n v="201"/>
    <s v="4G"/>
  </r>
  <r>
    <n v="14944"/>
    <n v="187"/>
    <d v="2023-02-27T00:00:00"/>
    <s v="February"/>
    <n v="2023"/>
    <x v="602"/>
    <n v="256"/>
    <s v="4G"/>
  </r>
  <r>
    <n v="14945"/>
    <n v="453"/>
    <d v="2023-02-21T00:00:00"/>
    <s v="February"/>
    <n v="2023"/>
    <x v="19"/>
    <n v="261"/>
    <s v="4G"/>
  </r>
  <r>
    <n v="14946"/>
    <n v="452"/>
    <d v="2023-11-04T00:00:00"/>
    <s v="November"/>
    <n v="2023"/>
    <x v="157"/>
    <n v="180"/>
    <s v="5G"/>
  </r>
  <r>
    <n v="14947"/>
    <n v="149"/>
    <d v="2024-03-07T00:00:00"/>
    <s v="March"/>
    <n v="2024"/>
    <x v="267"/>
    <n v="65"/>
    <s v="4G"/>
  </r>
  <r>
    <n v="14948"/>
    <n v="104"/>
    <d v="2022-11-21T00:00:00"/>
    <s v="November"/>
    <n v="2022"/>
    <x v="885"/>
    <n v="293"/>
    <s v="4G"/>
  </r>
  <r>
    <n v="14949"/>
    <n v="243"/>
    <d v="2023-12-11T00:00:00"/>
    <s v="December"/>
    <n v="2023"/>
    <x v="5"/>
    <n v="160"/>
    <s v="4G"/>
  </r>
  <r>
    <n v="14950"/>
    <n v="462"/>
    <d v="2023-11-02T00:00:00"/>
    <s v="November"/>
    <n v="2023"/>
    <x v="351"/>
    <n v="66"/>
    <s v="4G"/>
  </r>
  <r>
    <n v="14951"/>
    <n v="231"/>
    <d v="2022-03-21T00:00:00"/>
    <s v="March"/>
    <n v="2022"/>
    <x v="91"/>
    <n v="99"/>
    <s v="4G"/>
  </r>
  <r>
    <n v="14952"/>
    <n v="479"/>
    <d v="2022-01-31T00:00:00"/>
    <s v="January"/>
    <n v="2022"/>
    <x v="268"/>
    <n v="76"/>
    <s v="4G"/>
  </r>
  <r>
    <n v="14953"/>
    <n v="206"/>
    <d v="2022-04-22T00:00:00"/>
    <s v="April"/>
    <n v="2022"/>
    <x v="105"/>
    <n v="34"/>
    <s v="4G"/>
  </r>
  <r>
    <n v="14954"/>
    <n v="198"/>
    <d v="2023-07-12T00:00:00"/>
    <s v="July"/>
    <n v="2023"/>
    <x v="515"/>
    <n v="44"/>
    <s v="5G"/>
  </r>
  <r>
    <n v="14955"/>
    <n v="396"/>
    <d v="2024-05-14T00:00:00"/>
    <s v="May"/>
    <n v="2024"/>
    <x v="91"/>
    <n v="149"/>
    <s v="4G"/>
  </r>
  <r>
    <n v="14956"/>
    <n v="400"/>
    <d v="2023-12-18T00:00:00"/>
    <s v="December"/>
    <n v="2023"/>
    <x v="726"/>
    <n v="67"/>
    <s v="4G"/>
  </r>
  <r>
    <n v="14957"/>
    <n v="337"/>
    <d v="2023-07-18T00:00:00"/>
    <s v="July"/>
    <n v="2023"/>
    <x v="652"/>
    <n v="253"/>
    <s v="4G"/>
  </r>
  <r>
    <n v="14958"/>
    <n v="493"/>
    <d v="2023-10-12T00:00:00"/>
    <s v="October"/>
    <n v="2023"/>
    <x v="524"/>
    <n v="16"/>
    <s v="5G"/>
  </r>
  <r>
    <n v="14959"/>
    <n v="87"/>
    <d v="2023-04-17T00:00:00"/>
    <s v="April"/>
    <n v="2023"/>
    <x v="76"/>
    <n v="260"/>
    <s v="4G"/>
  </r>
  <r>
    <n v="14960"/>
    <n v="142"/>
    <d v="2022-03-15T00:00:00"/>
    <s v="March"/>
    <n v="2022"/>
    <x v="12"/>
    <n v="212"/>
    <s v="5G"/>
  </r>
  <r>
    <n v="14961"/>
    <n v="317"/>
    <d v="2023-07-07T00:00:00"/>
    <s v="July"/>
    <n v="2023"/>
    <x v="833"/>
    <n v="255"/>
    <s v="5G"/>
  </r>
  <r>
    <n v="14962"/>
    <n v="199"/>
    <d v="2023-04-24T00:00:00"/>
    <s v="April"/>
    <n v="2023"/>
    <x v="552"/>
    <n v="215"/>
    <s v="5G"/>
  </r>
  <r>
    <n v="14963"/>
    <n v="46"/>
    <d v="2023-08-12T00:00:00"/>
    <s v="August"/>
    <n v="2023"/>
    <x v="195"/>
    <n v="285"/>
    <s v="4G"/>
  </r>
  <r>
    <n v="14964"/>
    <n v="288"/>
    <d v="2023-01-22T00:00:00"/>
    <s v="January"/>
    <n v="2023"/>
    <x v="886"/>
    <n v="6"/>
    <s v="4G"/>
  </r>
  <r>
    <n v="14965"/>
    <n v="15"/>
    <d v="2023-11-30T00:00:00"/>
    <s v="November"/>
    <n v="2023"/>
    <x v="813"/>
    <n v="198"/>
    <s v="4G"/>
  </r>
  <r>
    <n v="14966"/>
    <n v="44"/>
    <d v="2024-05-31T00:00:00"/>
    <s v="May"/>
    <n v="2024"/>
    <x v="146"/>
    <n v="90"/>
    <s v="5G"/>
  </r>
  <r>
    <n v="14967"/>
    <n v="401"/>
    <d v="2023-07-18T00:00:00"/>
    <s v="July"/>
    <n v="2023"/>
    <x v="254"/>
    <n v="146"/>
    <s v="5G"/>
  </r>
  <r>
    <n v="14968"/>
    <n v="169"/>
    <d v="2023-03-09T00:00:00"/>
    <s v="March"/>
    <n v="2023"/>
    <x v="106"/>
    <n v="149"/>
    <s v="5G"/>
  </r>
  <r>
    <n v="14969"/>
    <n v="310"/>
    <d v="2023-02-16T00:00:00"/>
    <s v="February"/>
    <n v="2023"/>
    <x v="190"/>
    <n v="51"/>
    <s v="4G"/>
  </r>
  <r>
    <n v="14970"/>
    <n v="495"/>
    <d v="2023-04-12T00:00:00"/>
    <s v="April"/>
    <n v="2023"/>
    <x v="163"/>
    <n v="242"/>
    <s v="4G"/>
  </r>
  <r>
    <n v="14971"/>
    <n v="44"/>
    <d v="2023-08-22T00:00:00"/>
    <s v="August"/>
    <n v="2023"/>
    <x v="2"/>
    <n v="218"/>
    <s v="4G"/>
  </r>
  <r>
    <n v="14972"/>
    <n v="98"/>
    <d v="2023-09-13T00:00:00"/>
    <s v="September"/>
    <n v="2023"/>
    <x v="50"/>
    <n v="5"/>
    <s v="4G"/>
  </r>
  <r>
    <n v="14973"/>
    <n v="261"/>
    <d v="2024-01-07T00:00:00"/>
    <s v="January"/>
    <n v="2024"/>
    <x v="567"/>
    <n v="108"/>
    <s v="4G"/>
  </r>
  <r>
    <n v="14974"/>
    <n v="109"/>
    <d v="2022-09-05T00:00:00"/>
    <s v="September"/>
    <n v="2022"/>
    <x v="97"/>
    <n v="65"/>
    <s v="4G"/>
  </r>
  <r>
    <n v="14975"/>
    <n v="283"/>
    <d v="2023-08-04T00:00:00"/>
    <s v="August"/>
    <n v="2023"/>
    <x v="135"/>
    <n v="9"/>
    <s v="5G"/>
  </r>
  <r>
    <n v="14976"/>
    <n v="372"/>
    <d v="2022-04-30T00:00:00"/>
    <s v="April"/>
    <n v="2022"/>
    <x v="420"/>
    <n v="201"/>
    <s v="4G"/>
  </r>
  <r>
    <n v="14977"/>
    <n v="343"/>
    <d v="2022-03-08T00:00:00"/>
    <s v="March"/>
    <n v="2022"/>
    <x v="269"/>
    <n v="281"/>
    <s v="5G"/>
  </r>
  <r>
    <n v="14978"/>
    <n v="104"/>
    <d v="2023-07-27T00:00:00"/>
    <s v="July"/>
    <n v="2023"/>
    <x v="251"/>
    <n v="213"/>
    <s v="5G"/>
  </r>
  <r>
    <n v="14979"/>
    <n v="256"/>
    <d v="2022-11-23T00:00:00"/>
    <s v="November"/>
    <n v="2022"/>
    <x v="279"/>
    <n v="67"/>
    <s v="4G"/>
  </r>
  <r>
    <n v="14980"/>
    <n v="379"/>
    <d v="2023-12-04T00:00:00"/>
    <s v="December"/>
    <n v="2023"/>
    <x v="308"/>
    <n v="246"/>
    <s v="4G"/>
  </r>
  <r>
    <n v="14981"/>
    <n v="206"/>
    <d v="2023-04-15T00:00:00"/>
    <s v="April"/>
    <n v="2023"/>
    <x v="324"/>
    <n v="49"/>
    <s v="4G"/>
  </r>
  <r>
    <n v="14982"/>
    <n v="335"/>
    <d v="2023-05-08T00:00:00"/>
    <s v="May"/>
    <n v="2023"/>
    <x v="375"/>
    <n v="16"/>
    <s v="4G"/>
  </r>
  <r>
    <n v="14983"/>
    <n v="43"/>
    <d v="2023-12-02T00:00:00"/>
    <s v="December"/>
    <n v="2023"/>
    <x v="264"/>
    <n v="10"/>
    <s v="4G"/>
  </r>
  <r>
    <n v="14984"/>
    <n v="353"/>
    <d v="2023-10-25T00:00:00"/>
    <s v="October"/>
    <n v="2023"/>
    <x v="666"/>
    <n v="123"/>
    <s v="4G"/>
  </r>
  <r>
    <n v="14985"/>
    <n v="245"/>
    <d v="2022-10-13T00:00:00"/>
    <s v="October"/>
    <n v="2022"/>
    <x v="859"/>
    <n v="224"/>
    <s v="5G"/>
  </r>
  <r>
    <n v="14986"/>
    <n v="287"/>
    <d v="2023-08-31T00:00:00"/>
    <s v="August"/>
    <n v="2023"/>
    <x v="305"/>
    <n v="243"/>
    <s v="4G"/>
  </r>
  <r>
    <n v="14987"/>
    <n v="355"/>
    <d v="2022-11-08T00:00:00"/>
    <s v="November"/>
    <n v="2022"/>
    <x v="80"/>
    <n v="28"/>
    <s v="4G"/>
  </r>
  <r>
    <n v="14988"/>
    <n v="273"/>
    <d v="2022-11-05T00:00:00"/>
    <s v="November"/>
    <n v="2022"/>
    <x v="191"/>
    <n v="284"/>
    <s v="5G"/>
  </r>
  <r>
    <n v="14989"/>
    <n v="476"/>
    <d v="2024-02-14T00:00:00"/>
    <s v="February"/>
    <n v="2024"/>
    <x v="618"/>
    <n v="58"/>
    <s v="4G"/>
  </r>
  <r>
    <n v="14990"/>
    <n v="83"/>
    <d v="2022-04-07T00:00:00"/>
    <s v="April"/>
    <n v="2022"/>
    <x v="887"/>
    <n v="142"/>
    <s v="4G"/>
  </r>
  <r>
    <n v="14991"/>
    <n v="110"/>
    <d v="2022-04-23T00:00:00"/>
    <s v="April"/>
    <n v="2022"/>
    <x v="376"/>
    <n v="299"/>
    <s v="5G"/>
  </r>
  <r>
    <n v="14992"/>
    <n v="438"/>
    <d v="2023-09-29T00:00:00"/>
    <s v="September"/>
    <n v="2023"/>
    <x v="284"/>
    <n v="225"/>
    <s v="4G"/>
  </r>
  <r>
    <n v="14993"/>
    <n v="190"/>
    <d v="2023-04-01T00:00:00"/>
    <s v="April"/>
    <n v="2023"/>
    <x v="53"/>
    <n v="163"/>
    <s v="4G"/>
  </r>
  <r>
    <n v="14994"/>
    <n v="471"/>
    <d v="2023-04-08T00:00:00"/>
    <s v="April"/>
    <n v="2023"/>
    <x v="888"/>
    <n v="83"/>
    <s v="5G"/>
  </r>
  <r>
    <n v="14995"/>
    <n v="288"/>
    <d v="2022-05-12T00:00:00"/>
    <s v="May"/>
    <n v="2022"/>
    <x v="437"/>
    <n v="116"/>
    <s v="4G"/>
  </r>
  <r>
    <n v="14996"/>
    <n v="424"/>
    <d v="2022-05-01T00:00:00"/>
    <s v="May"/>
    <n v="2022"/>
    <x v="420"/>
    <n v="203"/>
    <s v="4G"/>
  </r>
  <r>
    <n v="14997"/>
    <n v="397"/>
    <d v="2022-07-16T00:00:00"/>
    <s v="July"/>
    <n v="2022"/>
    <x v="415"/>
    <n v="293"/>
    <s v="4G"/>
  </r>
  <r>
    <n v="14998"/>
    <n v="251"/>
    <d v="2024-03-16T00:00:00"/>
    <s v="March"/>
    <n v="2024"/>
    <x v="330"/>
    <n v="144"/>
    <s v="4G"/>
  </r>
  <r>
    <n v="14999"/>
    <n v="212"/>
    <d v="2023-04-27T00:00:00"/>
    <s v="April"/>
    <n v="2023"/>
    <x v="216"/>
    <n v="26"/>
    <s v="5G"/>
  </r>
  <r>
    <n v="15000"/>
    <n v="291"/>
    <d v="2023-09-26T00:00:00"/>
    <s v="September"/>
    <n v="2023"/>
    <x v="599"/>
    <n v="16"/>
    <s v="5G"/>
  </r>
  <r>
    <n v="15001"/>
    <n v="133"/>
    <d v="2024-03-04T00:00:00"/>
    <s v="March"/>
    <n v="2024"/>
    <x v="355"/>
    <n v="62"/>
    <s v="4G"/>
  </r>
  <r>
    <n v="15002"/>
    <n v="201"/>
    <d v="2024-06-15T00:00:00"/>
    <s v="June"/>
    <n v="2024"/>
    <x v="693"/>
    <n v="266"/>
    <s v="5G"/>
  </r>
  <r>
    <n v="15003"/>
    <n v="285"/>
    <d v="2024-02-11T00:00:00"/>
    <s v="February"/>
    <n v="2024"/>
    <x v="77"/>
    <n v="63"/>
    <s v="5G"/>
  </r>
  <r>
    <n v="15004"/>
    <n v="326"/>
    <d v="2022-02-08T00:00:00"/>
    <s v="February"/>
    <n v="2022"/>
    <x v="100"/>
    <n v="38"/>
    <s v="4G"/>
  </r>
  <r>
    <n v="15005"/>
    <n v="409"/>
    <d v="2023-07-20T00:00:00"/>
    <s v="July"/>
    <n v="2023"/>
    <x v="826"/>
    <n v="129"/>
    <s v="4G"/>
  </r>
  <r>
    <n v="15006"/>
    <n v="95"/>
    <d v="2023-05-27T00:00:00"/>
    <s v="May"/>
    <n v="2023"/>
    <x v="567"/>
    <n v="114"/>
    <s v="4G"/>
  </r>
  <r>
    <n v="15007"/>
    <n v="278"/>
    <d v="2023-04-19T00:00:00"/>
    <s v="April"/>
    <n v="2023"/>
    <x v="495"/>
    <n v="44"/>
    <s v="4G"/>
  </r>
  <r>
    <n v="15008"/>
    <n v="450"/>
    <d v="2022-06-10T00:00:00"/>
    <s v="June"/>
    <n v="2022"/>
    <x v="17"/>
    <n v="215"/>
    <s v="4G"/>
  </r>
  <r>
    <n v="15009"/>
    <n v="429"/>
    <d v="2022-10-16T00:00:00"/>
    <s v="October"/>
    <n v="2022"/>
    <x v="618"/>
    <n v="87"/>
    <s v="4G"/>
  </r>
  <r>
    <n v="15010"/>
    <n v="325"/>
    <d v="2022-07-19T00:00:00"/>
    <s v="July"/>
    <n v="2022"/>
    <x v="319"/>
    <n v="176"/>
    <s v="4G"/>
  </r>
  <r>
    <n v="15011"/>
    <n v="219"/>
    <d v="2024-02-27T00:00:00"/>
    <s v="February"/>
    <n v="2024"/>
    <x v="813"/>
    <n v="264"/>
    <s v="5G"/>
  </r>
  <r>
    <n v="15012"/>
    <n v="89"/>
    <d v="2023-06-12T00:00:00"/>
    <s v="June"/>
    <n v="2023"/>
    <x v="94"/>
    <n v="104"/>
    <s v="5G"/>
  </r>
  <r>
    <n v="15013"/>
    <n v="72"/>
    <d v="2023-11-16T00:00:00"/>
    <s v="November"/>
    <n v="2023"/>
    <x v="31"/>
    <n v="170"/>
    <s v="4G"/>
  </r>
  <r>
    <n v="15014"/>
    <n v="247"/>
    <d v="2023-05-18T00:00:00"/>
    <s v="May"/>
    <n v="2023"/>
    <x v="91"/>
    <n v="107"/>
    <s v="5G"/>
  </r>
  <r>
    <n v="15015"/>
    <n v="129"/>
    <d v="2022-09-05T00:00:00"/>
    <s v="September"/>
    <n v="2022"/>
    <x v="342"/>
    <n v="160"/>
    <s v="4G"/>
  </r>
  <r>
    <n v="15016"/>
    <n v="212"/>
    <d v="2023-01-18T00:00:00"/>
    <s v="January"/>
    <n v="2023"/>
    <x v="27"/>
    <n v="282"/>
    <s v="4G"/>
  </r>
  <r>
    <n v="15017"/>
    <n v="428"/>
    <d v="2022-08-06T00:00:00"/>
    <s v="August"/>
    <n v="2022"/>
    <x v="608"/>
    <n v="39"/>
    <s v="4G"/>
  </r>
  <r>
    <n v="15018"/>
    <n v="343"/>
    <d v="2022-03-28T00:00:00"/>
    <s v="March"/>
    <n v="2022"/>
    <x v="427"/>
    <n v="25"/>
    <s v="5G"/>
  </r>
  <r>
    <n v="15019"/>
    <n v="96"/>
    <d v="2022-03-23T00:00:00"/>
    <s v="March"/>
    <n v="2022"/>
    <x v="265"/>
    <n v="82"/>
    <s v="5G"/>
  </r>
  <r>
    <n v="15020"/>
    <n v="75"/>
    <d v="2022-03-03T00:00:00"/>
    <s v="March"/>
    <n v="2022"/>
    <x v="780"/>
    <n v="172"/>
    <s v="5G"/>
  </r>
  <r>
    <n v="15021"/>
    <n v="423"/>
    <d v="2024-03-09T00:00:00"/>
    <s v="March"/>
    <n v="2024"/>
    <x v="889"/>
    <n v="172"/>
    <s v="5G"/>
  </r>
  <r>
    <n v="15022"/>
    <n v="495"/>
    <d v="2023-05-15T00:00:00"/>
    <s v="May"/>
    <n v="2023"/>
    <x v="330"/>
    <n v="281"/>
    <s v="4G"/>
  </r>
  <r>
    <n v="15023"/>
    <n v="54"/>
    <d v="2022-02-11T00:00:00"/>
    <s v="February"/>
    <n v="2022"/>
    <x v="498"/>
    <n v="69"/>
    <s v="5G"/>
  </r>
  <r>
    <n v="15024"/>
    <n v="344"/>
    <d v="2022-01-12T00:00:00"/>
    <s v="January"/>
    <n v="2022"/>
    <x v="447"/>
    <n v="5"/>
    <s v="4G"/>
  </r>
  <r>
    <n v="15025"/>
    <n v="459"/>
    <d v="2024-04-12T00:00:00"/>
    <s v="April"/>
    <n v="2024"/>
    <x v="147"/>
    <n v="283"/>
    <s v="4G"/>
  </r>
  <r>
    <n v="15026"/>
    <n v="413"/>
    <d v="2024-01-16T00:00:00"/>
    <s v="January"/>
    <n v="2024"/>
    <x v="234"/>
    <n v="194"/>
    <s v="4G"/>
  </r>
  <r>
    <n v="15027"/>
    <n v="54"/>
    <d v="2024-04-20T00:00:00"/>
    <s v="April"/>
    <n v="2024"/>
    <x v="254"/>
    <n v="12"/>
    <s v="4G"/>
  </r>
  <r>
    <n v="15028"/>
    <n v="218"/>
    <d v="2023-10-05T00:00:00"/>
    <s v="October"/>
    <n v="2023"/>
    <x v="169"/>
    <n v="62"/>
    <s v="4G"/>
  </r>
  <r>
    <n v="15029"/>
    <n v="16"/>
    <d v="2022-04-25T00:00:00"/>
    <s v="April"/>
    <n v="2022"/>
    <x v="890"/>
    <n v="12"/>
    <s v="4G"/>
  </r>
  <r>
    <n v="15030"/>
    <n v="99"/>
    <d v="2022-08-06T00:00:00"/>
    <s v="August"/>
    <n v="2022"/>
    <x v="270"/>
    <n v="248"/>
    <s v="4G"/>
  </r>
  <r>
    <n v="15031"/>
    <n v="20"/>
    <d v="2023-10-11T00:00:00"/>
    <s v="October"/>
    <n v="2023"/>
    <x v="500"/>
    <n v="204"/>
    <s v="4G"/>
  </r>
  <r>
    <n v="15032"/>
    <n v="46"/>
    <d v="2022-04-16T00:00:00"/>
    <s v="April"/>
    <n v="2022"/>
    <x v="37"/>
    <n v="252"/>
    <s v="4G"/>
  </r>
  <r>
    <n v="15033"/>
    <n v="451"/>
    <d v="2023-11-22T00:00:00"/>
    <s v="November"/>
    <n v="2023"/>
    <x v="389"/>
    <n v="39"/>
    <s v="4G"/>
  </r>
  <r>
    <n v="15034"/>
    <n v="193"/>
    <d v="2023-06-12T00:00:00"/>
    <s v="June"/>
    <n v="2023"/>
    <x v="4"/>
    <n v="164"/>
    <s v="4G"/>
  </r>
  <r>
    <n v="15035"/>
    <n v="383"/>
    <d v="2023-04-17T00:00:00"/>
    <s v="April"/>
    <n v="2023"/>
    <x v="24"/>
    <n v="30"/>
    <s v="5G"/>
  </r>
  <r>
    <n v="15036"/>
    <n v="58"/>
    <d v="2024-01-24T00:00:00"/>
    <s v="January"/>
    <n v="2024"/>
    <x v="745"/>
    <n v="16"/>
    <s v="5G"/>
  </r>
  <r>
    <n v="15037"/>
    <n v="437"/>
    <d v="2024-04-25T00:00:00"/>
    <s v="April"/>
    <n v="2024"/>
    <x v="891"/>
    <n v="136"/>
    <s v="4G"/>
  </r>
  <r>
    <n v="15038"/>
    <n v="111"/>
    <d v="2024-06-11T00:00:00"/>
    <s v="June"/>
    <n v="2024"/>
    <x v="402"/>
    <n v="164"/>
    <s v="5G"/>
  </r>
  <r>
    <n v="15039"/>
    <n v="129"/>
    <d v="2023-01-22T00:00:00"/>
    <s v="January"/>
    <n v="2023"/>
    <x v="395"/>
    <n v="280"/>
    <s v="4G"/>
  </r>
  <r>
    <n v="15040"/>
    <n v="337"/>
    <d v="2022-08-14T00:00:00"/>
    <s v="August"/>
    <n v="2022"/>
    <x v="175"/>
    <n v="222"/>
    <s v="4G"/>
  </r>
  <r>
    <n v="15041"/>
    <n v="194"/>
    <d v="2023-04-26T00:00:00"/>
    <s v="April"/>
    <n v="2023"/>
    <x v="207"/>
    <n v="121"/>
    <s v="4G"/>
  </r>
  <r>
    <n v="15042"/>
    <n v="413"/>
    <d v="2024-01-24T00:00:00"/>
    <s v="January"/>
    <n v="2024"/>
    <x v="142"/>
    <n v="77"/>
    <s v="4G"/>
  </r>
  <r>
    <n v="15043"/>
    <n v="340"/>
    <d v="2023-02-12T00:00:00"/>
    <s v="February"/>
    <n v="2023"/>
    <x v="418"/>
    <n v="87"/>
    <s v="4G"/>
  </r>
  <r>
    <n v="15044"/>
    <n v="326"/>
    <d v="2023-04-02T00:00:00"/>
    <s v="April"/>
    <n v="2023"/>
    <x v="190"/>
    <n v="112"/>
    <s v="4G"/>
  </r>
  <r>
    <n v="15045"/>
    <n v="8"/>
    <d v="2023-10-15T00:00:00"/>
    <s v="October"/>
    <n v="2023"/>
    <x v="578"/>
    <n v="99"/>
    <s v="4G"/>
  </r>
  <r>
    <n v="15046"/>
    <n v="29"/>
    <d v="2024-06-16T00:00:00"/>
    <s v="June"/>
    <n v="2024"/>
    <x v="298"/>
    <n v="238"/>
    <s v="4G"/>
  </r>
  <r>
    <n v="15047"/>
    <n v="112"/>
    <d v="2023-12-12T00:00:00"/>
    <s v="December"/>
    <n v="2023"/>
    <x v="308"/>
    <n v="110"/>
    <s v="5G"/>
  </r>
  <r>
    <n v="15048"/>
    <n v="435"/>
    <d v="2023-09-16T00:00:00"/>
    <s v="September"/>
    <n v="2023"/>
    <x v="93"/>
    <n v="89"/>
    <s v="4G"/>
  </r>
  <r>
    <n v="15049"/>
    <n v="161"/>
    <d v="2023-10-01T00:00:00"/>
    <s v="October"/>
    <n v="2023"/>
    <x v="501"/>
    <n v="138"/>
    <s v="5G"/>
  </r>
  <r>
    <n v="15050"/>
    <n v="131"/>
    <d v="2022-01-21T00:00:00"/>
    <s v="January"/>
    <n v="2022"/>
    <x v="734"/>
    <n v="134"/>
    <s v="4G"/>
  </r>
  <r>
    <n v="15051"/>
    <n v="188"/>
    <d v="2023-10-21T00:00:00"/>
    <s v="October"/>
    <n v="2023"/>
    <x v="127"/>
    <n v="11"/>
    <s v="5G"/>
  </r>
  <r>
    <n v="15052"/>
    <n v="163"/>
    <d v="2023-08-24T00:00:00"/>
    <s v="August"/>
    <n v="2023"/>
    <x v="337"/>
    <n v="243"/>
    <s v="4G"/>
  </r>
  <r>
    <n v="15053"/>
    <n v="197"/>
    <d v="2024-03-25T00:00:00"/>
    <s v="March"/>
    <n v="2024"/>
    <x v="141"/>
    <n v="181"/>
    <s v="5G"/>
  </r>
  <r>
    <n v="15054"/>
    <n v="475"/>
    <d v="2022-07-22T00:00:00"/>
    <s v="July"/>
    <n v="2022"/>
    <x v="242"/>
    <n v="194"/>
    <s v="5G"/>
  </r>
  <r>
    <n v="15055"/>
    <n v="364"/>
    <d v="2023-02-21T00:00:00"/>
    <s v="February"/>
    <n v="2023"/>
    <x v="11"/>
    <n v="121"/>
    <s v="4G"/>
  </r>
  <r>
    <n v="15056"/>
    <n v="204"/>
    <d v="2023-02-20T00:00:00"/>
    <s v="February"/>
    <n v="2023"/>
    <x v="552"/>
    <n v="52"/>
    <s v="4G"/>
  </r>
  <r>
    <n v="15057"/>
    <n v="212"/>
    <d v="2023-03-24T00:00:00"/>
    <s v="March"/>
    <n v="2023"/>
    <x v="400"/>
    <n v="172"/>
    <s v="4G"/>
  </r>
  <r>
    <n v="15058"/>
    <n v="109"/>
    <d v="2023-05-27T00:00:00"/>
    <s v="May"/>
    <n v="2023"/>
    <x v="175"/>
    <n v="178"/>
    <s v="5G"/>
  </r>
  <r>
    <n v="15059"/>
    <n v="276"/>
    <d v="2022-03-26T00:00:00"/>
    <s v="March"/>
    <n v="2022"/>
    <x v="311"/>
    <n v="292"/>
    <s v="4G"/>
  </r>
  <r>
    <n v="15060"/>
    <n v="73"/>
    <d v="2022-06-16T00:00:00"/>
    <s v="June"/>
    <n v="2022"/>
    <x v="842"/>
    <n v="58"/>
    <s v="4G"/>
  </r>
  <r>
    <n v="15061"/>
    <n v="167"/>
    <d v="2023-01-19T00:00:00"/>
    <s v="January"/>
    <n v="2023"/>
    <x v="117"/>
    <n v="53"/>
    <s v="4G"/>
  </r>
  <r>
    <n v="15062"/>
    <n v="260"/>
    <d v="2023-04-13T00:00:00"/>
    <s v="April"/>
    <n v="2023"/>
    <x v="61"/>
    <n v="256"/>
    <s v="4G"/>
  </r>
  <r>
    <n v="15063"/>
    <n v="243"/>
    <d v="2022-03-13T00:00:00"/>
    <s v="March"/>
    <n v="2022"/>
    <x v="420"/>
    <n v="244"/>
    <s v="4G"/>
  </r>
  <r>
    <n v="15064"/>
    <n v="275"/>
    <d v="2024-03-20T00:00:00"/>
    <s v="March"/>
    <n v="2024"/>
    <x v="122"/>
    <n v="148"/>
    <s v="5G"/>
  </r>
  <r>
    <n v="15065"/>
    <n v="102"/>
    <d v="2023-06-05T00:00:00"/>
    <s v="June"/>
    <n v="2023"/>
    <x v="0"/>
    <n v="283"/>
    <s v="4G"/>
  </r>
  <r>
    <n v="15066"/>
    <n v="475"/>
    <d v="2024-03-03T00:00:00"/>
    <s v="March"/>
    <n v="2024"/>
    <x v="24"/>
    <n v="15"/>
    <s v="5G"/>
  </r>
  <r>
    <n v="15067"/>
    <n v="173"/>
    <d v="2023-04-18T00:00:00"/>
    <s v="April"/>
    <n v="2023"/>
    <x v="82"/>
    <n v="175"/>
    <s v="4G"/>
  </r>
  <r>
    <n v="15068"/>
    <n v="171"/>
    <d v="2022-09-15T00:00:00"/>
    <s v="September"/>
    <n v="2022"/>
    <x v="4"/>
    <n v="27"/>
    <s v="4G"/>
  </r>
  <r>
    <n v="15069"/>
    <n v="141"/>
    <d v="2022-10-02T00:00:00"/>
    <s v="October"/>
    <n v="2022"/>
    <x v="268"/>
    <n v="128"/>
    <s v="4G"/>
  </r>
  <r>
    <n v="15070"/>
    <n v="397"/>
    <d v="2024-01-20T00:00:00"/>
    <s v="January"/>
    <n v="2024"/>
    <x v="79"/>
    <n v="222"/>
    <s v="5G"/>
  </r>
  <r>
    <n v="15071"/>
    <n v="188"/>
    <d v="2022-01-20T00:00:00"/>
    <s v="January"/>
    <n v="2022"/>
    <x v="142"/>
    <n v="243"/>
    <s v="4G"/>
  </r>
  <r>
    <n v="15072"/>
    <n v="441"/>
    <d v="2023-05-05T00:00:00"/>
    <s v="May"/>
    <n v="2023"/>
    <x v="409"/>
    <n v="237"/>
    <s v="4G"/>
  </r>
  <r>
    <n v="15073"/>
    <n v="86"/>
    <d v="2024-01-15T00:00:00"/>
    <s v="January"/>
    <n v="2024"/>
    <x v="91"/>
    <n v="231"/>
    <s v="4G"/>
  </r>
  <r>
    <n v="15074"/>
    <n v="476"/>
    <d v="2023-05-05T00:00:00"/>
    <s v="May"/>
    <n v="2023"/>
    <x v="161"/>
    <n v="91"/>
    <s v="4G"/>
  </r>
  <r>
    <n v="15075"/>
    <n v="52"/>
    <d v="2024-01-03T00:00:00"/>
    <s v="January"/>
    <n v="2024"/>
    <x v="150"/>
    <n v="2"/>
    <s v="5G"/>
  </r>
  <r>
    <n v="15076"/>
    <n v="111"/>
    <d v="2022-11-22T00:00:00"/>
    <s v="November"/>
    <n v="2022"/>
    <x v="265"/>
    <n v="80"/>
    <s v="4G"/>
  </r>
  <r>
    <n v="15077"/>
    <n v="437"/>
    <d v="2023-06-13T00:00:00"/>
    <s v="June"/>
    <n v="2023"/>
    <x v="892"/>
    <n v="43"/>
    <s v="4G"/>
  </r>
  <r>
    <n v="15078"/>
    <n v="365"/>
    <d v="2024-06-10T00:00:00"/>
    <s v="June"/>
    <n v="2024"/>
    <x v="491"/>
    <n v="154"/>
    <s v="4G"/>
  </r>
  <r>
    <n v="15079"/>
    <n v="342"/>
    <d v="2022-03-30T00:00:00"/>
    <s v="March"/>
    <n v="2022"/>
    <x v="254"/>
    <n v="23"/>
    <s v="4G"/>
  </r>
  <r>
    <n v="15080"/>
    <n v="43"/>
    <d v="2023-05-01T00:00:00"/>
    <s v="May"/>
    <n v="2023"/>
    <x v="893"/>
    <n v="98"/>
    <s v="4G"/>
  </r>
  <r>
    <n v="15081"/>
    <n v="211"/>
    <d v="2023-12-09T00:00:00"/>
    <s v="December"/>
    <n v="2023"/>
    <x v="122"/>
    <n v="170"/>
    <s v="4G"/>
  </r>
  <r>
    <n v="15082"/>
    <n v="456"/>
    <d v="2022-12-16T00:00:00"/>
    <s v="December"/>
    <n v="2022"/>
    <x v="472"/>
    <n v="147"/>
    <s v="4G"/>
  </r>
  <r>
    <n v="15083"/>
    <n v="500"/>
    <d v="2022-03-25T00:00:00"/>
    <s v="March"/>
    <n v="2022"/>
    <x v="62"/>
    <n v="122"/>
    <s v="4G"/>
  </r>
  <r>
    <n v="15084"/>
    <n v="200"/>
    <d v="2023-01-22T00:00:00"/>
    <s v="January"/>
    <n v="2023"/>
    <x v="273"/>
    <n v="111"/>
    <s v="4G"/>
  </r>
  <r>
    <n v="15085"/>
    <n v="298"/>
    <d v="2022-03-28T00:00:00"/>
    <s v="March"/>
    <n v="2022"/>
    <x v="242"/>
    <n v="129"/>
    <s v="4G"/>
  </r>
  <r>
    <n v="15086"/>
    <n v="346"/>
    <d v="2022-11-03T00:00:00"/>
    <s v="November"/>
    <n v="2022"/>
    <x v="229"/>
    <n v="67"/>
    <s v="4G"/>
  </r>
  <r>
    <n v="15087"/>
    <n v="240"/>
    <d v="2024-04-29T00:00:00"/>
    <s v="April"/>
    <n v="2024"/>
    <x v="767"/>
    <n v="216"/>
    <s v="4G"/>
  </r>
  <r>
    <n v="15088"/>
    <n v="115"/>
    <d v="2022-06-03T00:00:00"/>
    <s v="June"/>
    <n v="2022"/>
    <x v="841"/>
    <n v="95"/>
    <s v="4G"/>
  </r>
  <r>
    <n v="15089"/>
    <n v="26"/>
    <d v="2023-03-16T00:00:00"/>
    <s v="March"/>
    <n v="2023"/>
    <x v="167"/>
    <n v="144"/>
    <s v="4G"/>
  </r>
  <r>
    <n v="15090"/>
    <n v="407"/>
    <d v="2024-01-10T00:00:00"/>
    <s v="January"/>
    <n v="2024"/>
    <x v="411"/>
    <n v="32"/>
    <s v="5G"/>
  </r>
  <r>
    <n v="15091"/>
    <n v="299"/>
    <d v="2022-09-21T00:00:00"/>
    <s v="September"/>
    <n v="2022"/>
    <x v="546"/>
    <n v="285"/>
    <s v="4G"/>
  </r>
  <r>
    <n v="15092"/>
    <n v="77"/>
    <d v="2024-01-05T00:00:00"/>
    <s v="January"/>
    <n v="2024"/>
    <x v="379"/>
    <n v="4"/>
    <s v="4G"/>
  </r>
  <r>
    <n v="15093"/>
    <n v="412"/>
    <d v="2023-02-25T00:00:00"/>
    <s v="February"/>
    <n v="2023"/>
    <x v="42"/>
    <n v="117"/>
    <s v="4G"/>
  </r>
  <r>
    <n v="15094"/>
    <n v="137"/>
    <d v="2023-05-08T00:00:00"/>
    <s v="May"/>
    <n v="2023"/>
    <x v="63"/>
    <n v="139"/>
    <s v="4G"/>
  </r>
  <r>
    <n v="15095"/>
    <n v="20"/>
    <d v="2023-09-25T00:00:00"/>
    <s v="September"/>
    <n v="2023"/>
    <x v="137"/>
    <n v="229"/>
    <s v="5G"/>
  </r>
  <r>
    <n v="15096"/>
    <n v="440"/>
    <d v="2023-02-15T00:00:00"/>
    <s v="February"/>
    <n v="2023"/>
    <x v="56"/>
    <n v="159"/>
    <s v="4G"/>
  </r>
  <r>
    <n v="15097"/>
    <n v="211"/>
    <d v="2022-06-22T00:00:00"/>
    <s v="June"/>
    <n v="2022"/>
    <x v="73"/>
    <n v="293"/>
    <s v="4G"/>
  </r>
  <r>
    <n v="15098"/>
    <n v="240"/>
    <d v="2022-01-04T00:00:00"/>
    <s v="January"/>
    <n v="2022"/>
    <x v="191"/>
    <n v="248"/>
    <s v="4G"/>
  </r>
  <r>
    <n v="15099"/>
    <n v="39"/>
    <d v="2024-05-03T00:00:00"/>
    <s v="May"/>
    <n v="2024"/>
    <x v="396"/>
    <n v="272"/>
    <s v="5G"/>
  </r>
  <r>
    <n v="15100"/>
    <n v="435"/>
    <d v="2023-10-02T00:00:00"/>
    <s v="October"/>
    <n v="2023"/>
    <x v="533"/>
    <n v="185"/>
    <s v="5G"/>
  </r>
  <r>
    <n v="15101"/>
    <n v="268"/>
    <d v="2023-04-17T00:00:00"/>
    <s v="April"/>
    <n v="2023"/>
    <x v="22"/>
    <n v="39"/>
    <s v="4G"/>
  </r>
  <r>
    <n v="15102"/>
    <n v="207"/>
    <d v="2022-04-20T00:00:00"/>
    <s v="April"/>
    <n v="2022"/>
    <x v="251"/>
    <n v="223"/>
    <s v="5G"/>
  </r>
  <r>
    <n v="15103"/>
    <n v="479"/>
    <d v="2024-05-16T00:00:00"/>
    <s v="May"/>
    <n v="2024"/>
    <x v="322"/>
    <n v="151"/>
    <s v="4G"/>
  </r>
  <r>
    <n v="15104"/>
    <n v="439"/>
    <d v="2022-02-06T00:00:00"/>
    <s v="February"/>
    <n v="2022"/>
    <x v="342"/>
    <n v="139"/>
    <s v="4G"/>
  </r>
  <r>
    <n v="15105"/>
    <n v="462"/>
    <d v="2023-08-06T00:00:00"/>
    <s v="August"/>
    <n v="2023"/>
    <x v="135"/>
    <n v="127"/>
    <s v="4G"/>
  </r>
  <r>
    <n v="15106"/>
    <n v="267"/>
    <d v="2024-03-11T00:00:00"/>
    <s v="March"/>
    <n v="2024"/>
    <x v="300"/>
    <n v="146"/>
    <s v="4G"/>
  </r>
  <r>
    <n v="15107"/>
    <n v="154"/>
    <d v="2022-01-31T00:00:00"/>
    <s v="January"/>
    <n v="2022"/>
    <x v="29"/>
    <n v="284"/>
    <s v="4G"/>
  </r>
  <r>
    <n v="15108"/>
    <n v="42"/>
    <d v="2023-01-16T00:00:00"/>
    <s v="January"/>
    <n v="2023"/>
    <x v="74"/>
    <n v="217"/>
    <s v="5G"/>
  </r>
  <r>
    <n v="15109"/>
    <n v="411"/>
    <d v="2022-09-25T00:00:00"/>
    <s v="September"/>
    <n v="2022"/>
    <x v="182"/>
    <n v="219"/>
    <s v="4G"/>
  </r>
  <r>
    <n v="15110"/>
    <n v="11"/>
    <d v="2022-01-11T00:00:00"/>
    <s v="January"/>
    <n v="2022"/>
    <x v="618"/>
    <n v="144"/>
    <s v="4G"/>
  </r>
  <r>
    <n v="15111"/>
    <n v="294"/>
    <d v="2022-12-10T00:00:00"/>
    <s v="December"/>
    <n v="2022"/>
    <x v="181"/>
    <n v="276"/>
    <s v="4G"/>
  </r>
  <r>
    <n v="15112"/>
    <n v="98"/>
    <d v="2024-04-19T00:00:00"/>
    <s v="April"/>
    <n v="2024"/>
    <x v="34"/>
    <n v="241"/>
    <s v="4G"/>
  </r>
  <r>
    <n v="15113"/>
    <n v="427"/>
    <d v="2023-06-28T00:00:00"/>
    <s v="June"/>
    <n v="2023"/>
    <x v="367"/>
    <n v="59"/>
    <s v="4G"/>
  </r>
  <r>
    <n v="15114"/>
    <n v="275"/>
    <d v="2023-07-23T00:00:00"/>
    <s v="July"/>
    <n v="2023"/>
    <x v="93"/>
    <n v="97"/>
    <s v="4G"/>
  </r>
  <r>
    <n v="15115"/>
    <n v="448"/>
    <d v="2022-06-15T00:00:00"/>
    <s v="June"/>
    <n v="2022"/>
    <x v="894"/>
    <n v="180"/>
    <s v="4G"/>
  </r>
  <r>
    <n v="15116"/>
    <n v="390"/>
    <d v="2023-12-01T00:00:00"/>
    <s v="December"/>
    <n v="2023"/>
    <x v="278"/>
    <n v="113"/>
    <s v="4G"/>
  </r>
  <r>
    <n v="15117"/>
    <n v="430"/>
    <d v="2022-12-08T00:00:00"/>
    <s v="December"/>
    <n v="2022"/>
    <x v="133"/>
    <n v="102"/>
    <s v="4G"/>
  </r>
  <r>
    <n v="15118"/>
    <n v="372"/>
    <d v="2023-04-27T00:00:00"/>
    <s v="April"/>
    <n v="2023"/>
    <x v="638"/>
    <n v="56"/>
    <s v="4G"/>
  </r>
  <r>
    <n v="15119"/>
    <n v="230"/>
    <d v="2022-01-19T00:00:00"/>
    <s v="January"/>
    <n v="2022"/>
    <x v="97"/>
    <n v="284"/>
    <s v="4G"/>
  </r>
  <r>
    <n v="15120"/>
    <n v="369"/>
    <d v="2023-09-20T00:00:00"/>
    <s v="September"/>
    <n v="2023"/>
    <x v="465"/>
    <n v="128"/>
    <s v="4G"/>
  </r>
  <r>
    <n v="15121"/>
    <n v="426"/>
    <d v="2022-07-03T00:00:00"/>
    <s v="July"/>
    <n v="2022"/>
    <x v="315"/>
    <n v="85"/>
    <s v="4G"/>
  </r>
  <r>
    <n v="15122"/>
    <n v="220"/>
    <d v="2024-02-21T00:00:00"/>
    <s v="February"/>
    <n v="2024"/>
    <x v="242"/>
    <n v="199"/>
    <s v="4G"/>
  </r>
  <r>
    <n v="15123"/>
    <n v="65"/>
    <d v="2023-06-29T00:00:00"/>
    <s v="June"/>
    <n v="2023"/>
    <x v="42"/>
    <n v="70"/>
    <s v="4G"/>
  </r>
  <r>
    <n v="15124"/>
    <n v="355"/>
    <d v="2022-01-10T00:00:00"/>
    <s v="January"/>
    <n v="2022"/>
    <x v="229"/>
    <n v="97"/>
    <s v="5G"/>
  </r>
  <r>
    <n v="15125"/>
    <n v="232"/>
    <d v="2023-08-15T00:00:00"/>
    <s v="August"/>
    <n v="2023"/>
    <x v="182"/>
    <n v="299"/>
    <s v="5G"/>
  </r>
  <r>
    <n v="15126"/>
    <n v="328"/>
    <d v="2022-07-11T00:00:00"/>
    <s v="July"/>
    <n v="2022"/>
    <x v="353"/>
    <n v="175"/>
    <s v="5G"/>
  </r>
  <r>
    <n v="15127"/>
    <n v="443"/>
    <d v="2022-11-16T00:00:00"/>
    <s v="November"/>
    <n v="2022"/>
    <x v="619"/>
    <n v="232"/>
    <s v="4G"/>
  </r>
  <r>
    <n v="15128"/>
    <n v="52"/>
    <d v="2023-12-03T00:00:00"/>
    <s v="December"/>
    <n v="2023"/>
    <x v="67"/>
    <n v="74"/>
    <s v="4G"/>
  </r>
  <r>
    <n v="15129"/>
    <n v="374"/>
    <d v="2023-08-03T00:00:00"/>
    <s v="August"/>
    <n v="2023"/>
    <x v="659"/>
    <n v="142"/>
    <s v="4G"/>
  </r>
  <r>
    <n v="15130"/>
    <n v="431"/>
    <d v="2023-04-20T00:00:00"/>
    <s v="April"/>
    <n v="2023"/>
    <x v="854"/>
    <n v="22"/>
    <s v="4G"/>
  </r>
  <r>
    <n v="15131"/>
    <n v="376"/>
    <d v="2024-05-09T00:00:00"/>
    <s v="May"/>
    <n v="2024"/>
    <x v="895"/>
    <n v="180"/>
    <s v="4G"/>
  </r>
  <r>
    <n v="15132"/>
    <n v="263"/>
    <d v="2023-09-29T00:00:00"/>
    <s v="September"/>
    <n v="2023"/>
    <x v="514"/>
    <n v="44"/>
    <s v="5G"/>
  </r>
  <r>
    <n v="15133"/>
    <n v="267"/>
    <d v="2023-03-03T00:00:00"/>
    <s v="March"/>
    <n v="2023"/>
    <x v="99"/>
    <n v="91"/>
    <s v="4G"/>
  </r>
  <r>
    <n v="15134"/>
    <n v="359"/>
    <d v="2024-04-27T00:00:00"/>
    <s v="April"/>
    <n v="2024"/>
    <x v="178"/>
    <n v="268"/>
    <s v="4G"/>
  </r>
  <r>
    <n v="15135"/>
    <n v="317"/>
    <d v="2022-02-28T00:00:00"/>
    <s v="February"/>
    <n v="2022"/>
    <x v="715"/>
    <n v="33"/>
    <s v="4G"/>
  </r>
  <r>
    <n v="15136"/>
    <n v="324"/>
    <d v="2023-03-12T00:00:00"/>
    <s v="March"/>
    <n v="2023"/>
    <x v="129"/>
    <n v="165"/>
    <s v="4G"/>
  </r>
  <r>
    <n v="15137"/>
    <n v="409"/>
    <d v="2022-04-07T00:00:00"/>
    <s v="April"/>
    <n v="2022"/>
    <x v="878"/>
    <n v="69"/>
    <s v="4G"/>
  </r>
  <r>
    <n v="15138"/>
    <n v="396"/>
    <d v="2023-05-11T00:00:00"/>
    <s v="May"/>
    <n v="2023"/>
    <x v="896"/>
    <n v="195"/>
    <s v="4G"/>
  </r>
  <r>
    <n v="15139"/>
    <n v="154"/>
    <d v="2024-02-26T00:00:00"/>
    <s v="February"/>
    <n v="2024"/>
    <x v="130"/>
    <n v="132"/>
    <s v="4G"/>
  </r>
  <r>
    <n v="15140"/>
    <n v="358"/>
    <d v="2023-10-23T00:00:00"/>
    <s v="October"/>
    <n v="2023"/>
    <x v="334"/>
    <n v="246"/>
    <s v="5G"/>
  </r>
  <r>
    <n v="15141"/>
    <n v="366"/>
    <d v="2022-10-05T00:00:00"/>
    <s v="October"/>
    <n v="2022"/>
    <x v="163"/>
    <n v="167"/>
    <s v="4G"/>
  </r>
  <r>
    <n v="15142"/>
    <n v="140"/>
    <d v="2022-09-22T00:00:00"/>
    <s v="September"/>
    <n v="2022"/>
    <x v="254"/>
    <n v="276"/>
    <s v="5G"/>
  </r>
  <r>
    <n v="15143"/>
    <n v="427"/>
    <d v="2022-01-09T00:00:00"/>
    <s v="January"/>
    <n v="2022"/>
    <x v="171"/>
    <n v="155"/>
    <s v="4G"/>
  </r>
  <r>
    <n v="15144"/>
    <n v="51"/>
    <d v="2023-04-02T00:00:00"/>
    <s v="April"/>
    <n v="2023"/>
    <x v="293"/>
    <n v="22"/>
    <s v="4G"/>
  </r>
  <r>
    <n v="15145"/>
    <n v="117"/>
    <d v="2024-03-05T00:00:00"/>
    <s v="March"/>
    <n v="2024"/>
    <x v="199"/>
    <n v="199"/>
    <s v="4G"/>
  </r>
  <r>
    <n v="15146"/>
    <n v="421"/>
    <d v="2022-09-30T00:00:00"/>
    <s v="September"/>
    <n v="2022"/>
    <x v="380"/>
    <n v="274"/>
    <s v="5G"/>
  </r>
  <r>
    <n v="15147"/>
    <n v="46"/>
    <d v="2024-03-23T00:00:00"/>
    <s v="March"/>
    <n v="2024"/>
    <x v="897"/>
    <n v="49"/>
    <s v="4G"/>
  </r>
  <r>
    <n v="15148"/>
    <n v="309"/>
    <d v="2022-01-08T00:00:00"/>
    <s v="January"/>
    <n v="2022"/>
    <x v="692"/>
    <n v="185"/>
    <s v="4G"/>
  </r>
  <r>
    <n v="15149"/>
    <n v="88"/>
    <d v="2022-07-27T00:00:00"/>
    <s v="July"/>
    <n v="2022"/>
    <x v="681"/>
    <n v="19"/>
    <s v="4G"/>
  </r>
  <r>
    <n v="15150"/>
    <n v="208"/>
    <d v="2023-09-29T00:00:00"/>
    <s v="September"/>
    <n v="2023"/>
    <x v="112"/>
    <n v="115"/>
    <s v="4G"/>
  </r>
  <r>
    <n v="15151"/>
    <n v="377"/>
    <d v="2022-05-03T00:00:00"/>
    <s v="May"/>
    <n v="2022"/>
    <x v="506"/>
    <n v="91"/>
    <s v="4G"/>
  </r>
  <r>
    <n v="15152"/>
    <n v="269"/>
    <d v="2022-02-02T00:00:00"/>
    <s v="February"/>
    <n v="2022"/>
    <x v="813"/>
    <n v="52"/>
    <s v="5G"/>
  </r>
  <r>
    <n v="15153"/>
    <n v="89"/>
    <d v="2023-05-28T00:00:00"/>
    <s v="May"/>
    <n v="2023"/>
    <x v="4"/>
    <n v="122"/>
    <s v="4G"/>
  </r>
  <r>
    <n v="15154"/>
    <n v="381"/>
    <d v="2022-07-23T00:00:00"/>
    <s v="July"/>
    <n v="2022"/>
    <x v="37"/>
    <n v="264"/>
    <s v="4G"/>
  </r>
  <r>
    <n v="15155"/>
    <n v="118"/>
    <d v="2023-06-02T00:00:00"/>
    <s v="June"/>
    <n v="2023"/>
    <x v="741"/>
    <n v="3"/>
    <s v="5G"/>
  </r>
  <r>
    <n v="15156"/>
    <n v="54"/>
    <d v="2024-03-19T00:00:00"/>
    <s v="March"/>
    <n v="2024"/>
    <x v="216"/>
    <n v="168"/>
    <s v="5G"/>
  </r>
  <r>
    <n v="15157"/>
    <n v="441"/>
    <d v="2023-06-01T00:00:00"/>
    <s v="June"/>
    <n v="2023"/>
    <x v="207"/>
    <n v="280"/>
    <s v="4G"/>
  </r>
  <r>
    <n v="15158"/>
    <n v="116"/>
    <d v="2023-03-19T00:00:00"/>
    <s v="March"/>
    <n v="2023"/>
    <x v="21"/>
    <n v="289"/>
    <s v="4G"/>
  </r>
  <r>
    <n v="15159"/>
    <n v="118"/>
    <d v="2023-08-15T00:00:00"/>
    <s v="August"/>
    <n v="2023"/>
    <x v="124"/>
    <n v="72"/>
    <s v="4G"/>
  </r>
  <r>
    <n v="15160"/>
    <n v="260"/>
    <d v="2024-02-25T00:00:00"/>
    <s v="February"/>
    <n v="2024"/>
    <x v="859"/>
    <n v="136"/>
    <s v="5G"/>
  </r>
  <r>
    <n v="15161"/>
    <n v="75"/>
    <d v="2023-11-20T00:00:00"/>
    <s v="November"/>
    <n v="2023"/>
    <x v="567"/>
    <n v="255"/>
    <s v="5G"/>
  </r>
  <r>
    <n v="15162"/>
    <n v="480"/>
    <d v="2024-04-29T00:00:00"/>
    <s v="April"/>
    <n v="2024"/>
    <x v="305"/>
    <n v="140"/>
    <s v="5G"/>
  </r>
  <r>
    <n v="15163"/>
    <n v="305"/>
    <d v="2024-04-12T00:00:00"/>
    <s v="April"/>
    <n v="2024"/>
    <x v="898"/>
    <n v="207"/>
    <s v="4G"/>
  </r>
  <r>
    <n v="15164"/>
    <n v="7"/>
    <d v="2022-12-05T00:00:00"/>
    <s v="December"/>
    <n v="2022"/>
    <x v="480"/>
    <n v="259"/>
    <s v="4G"/>
  </r>
  <r>
    <n v="15165"/>
    <n v="366"/>
    <d v="2023-03-14T00:00:00"/>
    <s v="March"/>
    <n v="2023"/>
    <x v="325"/>
    <n v="262"/>
    <s v="4G"/>
  </r>
  <r>
    <n v="15166"/>
    <n v="122"/>
    <d v="2023-03-21T00:00:00"/>
    <s v="March"/>
    <n v="2023"/>
    <x v="231"/>
    <n v="270"/>
    <s v="4G"/>
  </r>
  <r>
    <n v="15167"/>
    <n v="11"/>
    <d v="2022-05-16T00:00:00"/>
    <s v="May"/>
    <n v="2022"/>
    <x v="67"/>
    <n v="37"/>
    <s v="5G"/>
  </r>
  <r>
    <n v="15168"/>
    <n v="348"/>
    <d v="2023-01-22T00:00:00"/>
    <s v="January"/>
    <n v="2023"/>
    <x v="150"/>
    <n v="202"/>
    <s v="4G"/>
  </r>
  <r>
    <n v="15169"/>
    <n v="438"/>
    <d v="2022-01-25T00:00:00"/>
    <s v="January"/>
    <n v="2022"/>
    <x v="411"/>
    <n v="223"/>
    <s v="4G"/>
  </r>
  <r>
    <n v="15170"/>
    <n v="489"/>
    <d v="2023-05-21T00:00:00"/>
    <s v="May"/>
    <n v="2023"/>
    <x v="170"/>
    <n v="51"/>
    <s v="5G"/>
  </r>
  <r>
    <n v="15171"/>
    <n v="215"/>
    <d v="2022-11-21T00:00:00"/>
    <s v="November"/>
    <n v="2022"/>
    <x v="194"/>
    <n v="80"/>
    <s v="4G"/>
  </r>
  <r>
    <n v="15172"/>
    <n v="429"/>
    <d v="2023-11-26T00:00:00"/>
    <s v="November"/>
    <n v="2023"/>
    <x v="42"/>
    <n v="210"/>
    <s v="4G"/>
  </r>
  <r>
    <n v="15173"/>
    <n v="279"/>
    <d v="2023-11-11T00:00:00"/>
    <s v="November"/>
    <n v="2023"/>
    <x v="367"/>
    <n v="6"/>
    <s v="5G"/>
  </r>
  <r>
    <n v="15174"/>
    <n v="498"/>
    <d v="2022-12-04T00:00:00"/>
    <s v="December"/>
    <n v="2022"/>
    <x v="361"/>
    <n v="44"/>
    <s v="5G"/>
  </r>
  <r>
    <n v="15175"/>
    <n v="28"/>
    <d v="2023-11-21T00:00:00"/>
    <s v="November"/>
    <n v="2023"/>
    <x v="82"/>
    <n v="276"/>
    <s v="5G"/>
  </r>
  <r>
    <n v="15176"/>
    <n v="235"/>
    <d v="2024-06-03T00:00:00"/>
    <s v="June"/>
    <n v="2024"/>
    <x v="813"/>
    <n v="258"/>
    <s v="4G"/>
  </r>
  <r>
    <n v="15177"/>
    <n v="367"/>
    <d v="2022-04-05T00:00:00"/>
    <s v="April"/>
    <n v="2022"/>
    <x v="499"/>
    <n v="141"/>
    <s v="4G"/>
  </r>
  <r>
    <n v="15178"/>
    <n v="313"/>
    <d v="2023-06-29T00:00:00"/>
    <s v="June"/>
    <n v="2023"/>
    <x v="378"/>
    <n v="257"/>
    <s v="4G"/>
  </r>
  <r>
    <n v="15179"/>
    <n v="26"/>
    <d v="2023-09-15T00:00:00"/>
    <s v="September"/>
    <n v="2023"/>
    <x v="668"/>
    <n v="284"/>
    <s v="4G"/>
  </r>
  <r>
    <n v="15180"/>
    <n v="409"/>
    <d v="2022-05-26T00:00:00"/>
    <s v="May"/>
    <n v="2022"/>
    <x v="899"/>
    <n v="36"/>
    <s v="4G"/>
  </r>
  <r>
    <n v="15181"/>
    <n v="54"/>
    <d v="2024-06-11T00:00:00"/>
    <s v="June"/>
    <n v="2024"/>
    <x v="274"/>
    <n v="44"/>
    <s v="5G"/>
  </r>
  <r>
    <n v="15182"/>
    <n v="29"/>
    <d v="2022-08-19T00:00:00"/>
    <s v="August"/>
    <n v="2022"/>
    <x v="67"/>
    <n v="119"/>
    <s v="4G"/>
  </r>
  <r>
    <n v="15183"/>
    <n v="467"/>
    <d v="2024-02-23T00:00:00"/>
    <s v="February"/>
    <n v="2024"/>
    <x v="135"/>
    <n v="45"/>
    <s v="4G"/>
  </r>
  <r>
    <n v="15184"/>
    <n v="353"/>
    <d v="2024-04-27T00:00:00"/>
    <s v="April"/>
    <n v="2024"/>
    <x v="112"/>
    <n v="139"/>
    <s v="5G"/>
  </r>
  <r>
    <n v="15185"/>
    <n v="164"/>
    <d v="2023-05-10T00:00:00"/>
    <s v="May"/>
    <n v="2023"/>
    <x v="147"/>
    <n v="52"/>
    <s v="5G"/>
  </r>
  <r>
    <n v="15186"/>
    <n v="270"/>
    <d v="2022-02-07T00:00:00"/>
    <s v="February"/>
    <n v="2022"/>
    <x v="432"/>
    <n v="287"/>
    <s v="4G"/>
  </r>
  <r>
    <n v="15187"/>
    <n v="334"/>
    <d v="2023-03-01T00:00:00"/>
    <s v="March"/>
    <n v="2023"/>
    <x v="269"/>
    <n v="273"/>
    <s v="5G"/>
  </r>
  <r>
    <n v="15188"/>
    <n v="35"/>
    <d v="2023-10-09T00:00:00"/>
    <s v="October"/>
    <n v="2023"/>
    <x v="116"/>
    <n v="268"/>
    <s v="5G"/>
  </r>
  <r>
    <n v="15189"/>
    <n v="286"/>
    <d v="2024-04-25T00:00:00"/>
    <s v="April"/>
    <n v="2024"/>
    <x v="4"/>
    <n v="278"/>
    <s v="5G"/>
  </r>
  <r>
    <n v="15190"/>
    <n v="348"/>
    <d v="2024-01-17T00:00:00"/>
    <s v="January"/>
    <n v="2024"/>
    <x v="233"/>
    <n v="61"/>
    <s v="5G"/>
  </r>
  <r>
    <n v="15191"/>
    <n v="273"/>
    <d v="2023-03-13T00:00:00"/>
    <s v="March"/>
    <n v="2023"/>
    <x v="447"/>
    <n v="53"/>
    <s v="5G"/>
  </r>
  <r>
    <n v="15192"/>
    <n v="451"/>
    <d v="2024-04-10T00:00:00"/>
    <s v="April"/>
    <n v="2024"/>
    <x v="508"/>
    <n v="68"/>
    <s v="4G"/>
  </r>
  <r>
    <n v="15193"/>
    <n v="208"/>
    <d v="2023-01-03T00:00:00"/>
    <s v="January"/>
    <n v="2023"/>
    <x v="32"/>
    <n v="241"/>
    <s v="4G"/>
  </r>
  <r>
    <n v="15194"/>
    <n v="238"/>
    <d v="2022-12-11T00:00:00"/>
    <s v="December"/>
    <n v="2022"/>
    <x v="192"/>
    <n v="269"/>
    <s v="4G"/>
  </r>
  <r>
    <n v="15195"/>
    <n v="414"/>
    <d v="2022-06-09T00:00:00"/>
    <s v="June"/>
    <n v="2022"/>
    <x v="132"/>
    <n v="251"/>
    <s v="4G"/>
  </r>
  <r>
    <n v="15196"/>
    <n v="500"/>
    <d v="2023-07-04T00:00:00"/>
    <s v="July"/>
    <n v="2023"/>
    <x v="253"/>
    <n v="283"/>
    <s v="4G"/>
  </r>
  <r>
    <n v="15197"/>
    <n v="93"/>
    <d v="2023-10-24T00:00:00"/>
    <s v="October"/>
    <n v="2023"/>
    <x v="362"/>
    <n v="70"/>
    <s v="4G"/>
  </r>
  <r>
    <n v="15198"/>
    <n v="173"/>
    <d v="2024-03-30T00:00:00"/>
    <s v="March"/>
    <n v="2024"/>
    <x v="107"/>
    <n v="99"/>
    <s v="4G"/>
  </r>
  <r>
    <n v="15199"/>
    <n v="79"/>
    <d v="2023-06-25T00:00:00"/>
    <s v="June"/>
    <n v="2023"/>
    <x v="334"/>
    <n v="60"/>
    <s v="5G"/>
  </r>
  <r>
    <n v="15200"/>
    <n v="110"/>
    <d v="2022-05-24T00:00:00"/>
    <s v="May"/>
    <n v="2022"/>
    <x v="357"/>
    <n v="102"/>
    <s v="5G"/>
  </r>
  <r>
    <n v="15201"/>
    <n v="217"/>
    <d v="2023-08-11T00:00:00"/>
    <s v="August"/>
    <n v="2023"/>
    <x v="182"/>
    <n v="118"/>
    <s v="4G"/>
  </r>
  <r>
    <n v="15202"/>
    <n v="435"/>
    <d v="2023-10-19T00:00:00"/>
    <s v="October"/>
    <n v="2023"/>
    <x v="196"/>
    <n v="16"/>
    <s v="4G"/>
  </r>
  <r>
    <n v="15203"/>
    <n v="358"/>
    <d v="2024-01-11T00:00:00"/>
    <s v="January"/>
    <n v="2024"/>
    <x v="312"/>
    <n v="190"/>
    <s v="5G"/>
  </r>
  <r>
    <n v="15204"/>
    <n v="106"/>
    <d v="2023-07-30T00:00:00"/>
    <s v="July"/>
    <n v="2023"/>
    <x v="409"/>
    <n v="211"/>
    <s v="5G"/>
  </r>
  <r>
    <n v="15205"/>
    <n v="47"/>
    <d v="2024-05-08T00:00:00"/>
    <s v="May"/>
    <n v="2024"/>
    <x v="411"/>
    <n v="77"/>
    <s v="5G"/>
  </r>
  <r>
    <n v="15206"/>
    <n v="181"/>
    <d v="2022-12-11T00:00:00"/>
    <s v="December"/>
    <n v="2022"/>
    <x v="552"/>
    <n v="45"/>
    <s v="5G"/>
  </r>
  <r>
    <n v="15207"/>
    <n v="64"/>
    <d v="2022-09-26T00:00:00"/>
    <s v="September"/>
    <n v="2022"/>
    <x v="842"/>
    <n v="92"/>
    <s v="5G"/>
  </r>
  <r>
    <n v="15208"/>
    <n v="246"/>
    <d v="2024-04-19T00:00:00"/>
    <s v="April"/>
    <n v="2024"/>
    <x v="177"/>
    <n v="12"/>
    <s v="4G"/>
  </r>
  <r>
    <n v="15209"/>
    <n v="244"/>
    <d v="2023-11-27T00:00:00"/>
    <s v="November"/>
    <n v="2023"/>
    <x v="696"/>
    <n v="227"/>
    <s v="4G"/>
  </r>
  <r>
    <n v="15210"/>
    <n v="422"/>
    <d v="2024-02-12T00:00:00"/>
    <s v="February"/>
    <n v="2024"/>
    <x v="842"/>
    <n v="16"/>
    <s v="5G"/>
  </r>
  <r>
    <n v="15211"/>
    <n v="320"/>
    <d v="2022-09-25T00:00:00"/>
    <s v="September"/>
    <n v="2022"/>
    <x v="31"/>
    <n v="61"/>
    <s v="4G"/>
  </r>
  <r>
    <n v="15212"/>
    <n v="87"/>
    <d v="2022-06-18T00:00:00"/>
    <s v="June"/>
    <n v="2022"/>
    <x v="498"/>
    <n v="42"/>
    <s v="5G"/>
  </r>
  <r>
    <n v="15213"/>
    <n v="217"/>
    <d v="2024-02-10T00:00:00"/>
    <s v="February"/>
    <n v="2024"/>
    <x v="399"/>
    <n v="67"/>
    <s v="4G"/>
  </r>
  <r>
    <n v="15214"/>
    <n v="490"/>
    <d v="2024-01-09T00:00:00"/>
    <s v="January"/>
    <n v="2024"/>
    <x v="4"/>
    <n v="211"/>
    <s v="5G"/>
  </r>
  <r>
    <n v="15215"/>
    <n v="7"/>
    <d v="2022-02-02T00:00:00"/>
    <s v="February"/>
    <n v="2022"/>
    <x v="495"/>
    <n v="202"/>
    <s v="4G"/>
  </r>
  <r>
    <n v="15216"/>
    <n v="278"/>
    <d v="2023-01-12T00:00:00"/>
    <s v="January"/>
    <n v="2023"/>
    <x v="92"/>
    <n v="213"/>
    <s v="4G"/>
  </r>
  <r>
    <n v="15217"/>
    <n v="337"/>
    <d v="2022-08-02T00:00:00"/>
    <s v="August"/>
    <n v="2022"/>
    <x v="119"/>
    <n v="108"/>
    <s v="4G"/>
  </r>
  <r>
    <n v="15218"/>
    <n v="210"/>
    <d v="2023-07-16T00:00:00"/>
    <s v="July"/>
    <n v="2023"/>
    <x v="76"/>
    <n v="283"/>
    <s v="5G"/>
  </r>
  <r>
    <n v="15219"/>
    <n v="497"/>
    <d v="2023-03-16T00:00:00"/>
    <s v="March"/>
    <n v="2023"/>
    <x v="385"/>
    <n v="93"/>
    <s v="4G"/>
  </r>
  <r>
    <n v="15220"/>
    <n v="169"/>
    <d v="2023-05-07T00:00:00"/>
    <s v="May"/>
    <n v="2023"/>
    <x v="172"/>
    <n v="224"/>
    <s v="5G"/>
  </r>
  <r>
    <n v="15221"/>
    <n v="330"/>
    <d v="2023-01-28T00:00:00"/>
    <s v="January"/>
    <n v="2023"/>
    <x v="505"/>
    <n v="224"/>
    <s v="5G"/>
  </r>
  <r>
    <n v="15222"/>
    <n v="138"/>
    <d v="2023-05-04T00:00:00"/>
    <s v="May"/>
    <n v="2023"/>
    <x v="183"/>
    <n v="238"/>
    <s v="5G"/>
  </r>
  <r>
    <n v="15223"/>
    <n v="441"/>
    <d v="2023-12-23T00:00:00"/>
    <s v="December"/>
    <n v="2023"/>
    <x v="122"/>
    <n v="117"/>
    <s v="5G"/>
  </r>
  <r>
    <n v="15224"/>
    <n v="391"/>
    <d v="2022-01-29T00:00:00"/>
    <s v="January"/>
    <n v="2022"/>
    <x v="426"/>
    <n v="90"/>
    <s v="4G"/>
  </r>
  <r>
    <n v="15225"/>
    <n v="496"/>
    <d v="2022-02-08T00:00:00"/>
    <s v="February"/>
    <n v="2022"/>
    <x v="67"/>
    <n v="288"/>
    <s v="4G"/>
  </r>
  <r>
    <n v="15226"/>
    <n v="381"/>
    <d v="2024-05-08T00:00:00"/>
    <s v="May"/>
    <n v="2024"/>
    <x v="129"/>
    <n v="280"/>
    <s v="4G"/>
  </r>
  <r>
    <n v="15227"/>
    <n v="306"/>
    <d v="2023-09-04T00:00:00"/>
    <s v="September"/>
    <n v="2023"/>
    <x v="248"/>
    <n v="18"/>
    <s v="5G"/>
  </r>
  <r>
    <n v="15228"/>
    <n v="230"/>
    <d v="2022-06-22T00:00:00"/>
    <s v="June"/>
    <n v="2022"/>
    <x v="900"/>
    <n v="174"/>
    <s v="5G"/>
  </r>
  <r>
    <n v="15229"/>
    <n v="475"/>
    <d v="2022-01-17T00:00:00"/>
    <s v="January"/>
    <n v="2022"/>
    <x v="321"/>
    <n v="105"/>
    <s v="4G"/>
  </r>
  <r>
    <n v="15230"/>
    <n v="308"/>
    <d v="2022-02-25T00:00:00"/>
    <s v="February"/>
    <n v="2022"/>
    <x v="58"/>
    <n v="288"/>
    <s v="4G"/>
  </r>
  <r>
    <n v="15231"/>
    <n v="161"/>
    <d v="2022-08-14T00:00:00"/>
    <s v="August"/>
    <n v="2022"/>
    <x v="67"/>
    <n v="247"/>
    <s v="4G"/>
  </r>
  <r>
    <n v="15232"/>
    <n v="1"/>
    <d v="2023-07-12T00:00:00"/>
    <s v="July"/>
    <n v="2023"/>
    <x v="34"/>
    <n v="141"/>
    <s v="4G"/>
  </r>
  <r>
    <n v="15233"/>
    <n v="236"/>
    <d v="2022-03-08T00:00:00"/>
    <s v="March"/>
    <n v="2022"/>
    <x v="229"/>
    <n v="297"/>
    <s v="4G"/>
  </r>
  <r>
    <n v="15234"/>
    <n v="437"/>
    <d v="2022-07-16T00:00:00"/>
    <s v="July"/>
    <n v="2022"/>
    <x v="146"/>
    <n v="192"/>
    <s v="4G"/>
  </r>
  <r>
    <n v="15235"/>
    <n v="188"/>
    <d v="2023-10-16T00:00:00"/>
    <s v="October"/>
    <n v="2023"/>
    <x v="63"/>
    <n v="290"/>
    <s v="4G"/>
  </r>
  <r>
    <n v="15236"/>
    <n v="418"/>
    <d v="2024-04-14T00:00:00"/>
    <s v="April"/>
    <n v="2024"/>
    <x v="312"/>
    <n v="207"/>
    <s v="4G"/>
  </r>
  <r>
    <n v="15237"/>
    <n v="4"/>
    <d v="2022-01-23T00:00:00"/>
    <s v="January"/>
    <n v="2022"/>
    <x v="278"/>
    <n v="247"/>
    <s v="4G"/>
  </r>
  <r>
    <n v="15238"/>
    <n v="401"/>
    <d v="2023-08-29T00:00:00"/>
    <s v="August"/>
    <n v="2023"/>
    <x v="901"/>
    <n v="141"/>
    <s v="4G"/>
  </r>
  <r>
    <n v="15239"/>
    <n v="132"/>
    <d v="2024-01-24T00:00:00"/>
    <s v="January"/>
    <n v="2024"/>
    <x v="555"/>
    <n v="221"/>
    <s v="4G"/>
  </r>
  <r>
    <n v="15240"/>
    <n v="427"/>
    <d v="2022-08-25T00:00:00"/>
    <s v="August"/>
    <n v="2022"/>
    <x v="137"/>
    <n v="224"/>
    <s v="4G"/>
  </r>
  <r>
    <n v="15241"/>
    <n v="218"/>
    <d v="2023-07-20T00:00:00"/>
    <s v="July"/>
    <n v="2023"/>
    <x v="242"/>
    <n v="183"/>
    <s v="4G"/>
  </r>
  <r>
    <n v="15242"/>
    <n v="260"/>
    <d v="2022-05-18T00:00:00"/>
    <s v="May"/>
    <n v="2022"/>
    <x v="224"/>
    <n v="187"/>
    <s v="4G"/>
  </r>
  <r>
    <n v="15243"/>
    <n v="1"/>
    <d v="2023-04-18T00:00:00"/>
    <s v="April"/>
    <n v="2023"/>
    <x v="23"/>
    <n v="112"/>
    <s v="4G"/>
  </r>
  <r>
    <n v="15244"/>
    <n v="71"/>
    <d v="2024-04-24T00:00:00"/>
    <s v="April"/>
    <n v="2024"/>
    <x v="363"/>
    <n v="180"/>
    <s v="4G"/>
  </r>
  <r>
    <n v="15245"/>
    <n v="478"/>
    <d v="2024-02-23T00:00:00"/>
    <s v="February"/>
    <n v="2024"/>
    <x v="551"/>
    <n v="198"/>
    <s v="5G"/>
  </r>
  <r>
    <n v="15246"/>
    <n v="178"/>
    <d v="2023-07-07T00:00:00"/>
    <s v="July"/>
    <n v="2023"/>
    <x v="428"/>
    <n v="69"/>
    <s v="4G"/>
  </r>
  <r>
    <n v="15247"/>
    <n v="457"/>
    <d v="2023-09-02T00:00:00"/>
    <s v="September"/>
    <n v="2023"/>
    <x v="535"/>
    <n v="85"/>
    <s v="4G"/>
  </r>
  <r>
    <n v="15248"/>
    <n v="189"/>
    <d v="2023-11-26T00:00:00"/>
    <s v="November"/>
    <n v="2023"/>
    <x v="311"/>
    <n v="38"/>
    <s v="4G"/>
  </r>
  <r>
    <n v="15249"/>
    <n v="291"/>
    <d v="2023-10-02T00:00:00"/>
    <s v="October"/>
    <n v="2023"/>
    <x v="797"/>
    <n v="130"/>
    <s v="4G"/>
  </r>
  <r>
    <n v="15250"/>
    <n v="8"/>
    <d v="2022-08-17T00:00:00"/>
    <s v="August"/>
    <n v="2022"/>
    <x v="467"/>
    <n v="9"/>
    <s v="5G"/>
  </r>
  <r>
    <n v="15251"/>
    <n v="253"/>
    <d v="2022-11-13T00:00:00"/>
    <s v="November"/>
    <n v="2022"/>
    <x v="288"/>
    <n v="2"/>
    <s v="4G"/>
  </r>
  <r>
    <n v="15252"/>
    <n v="408"/>
    <d v="2023-08-21T00:00:00"/>
    <s v="August"/>
    <n v="2023"/>
    <x v="50"/>
    <n v="149"/>
    <s v="4G"/>
  </r>
  <r>
    <n v="15253"/>
    <n v="467"/>
    <d v="2024-02-07T00:00:00"/>
    <s v="February"/>
    <n v="2024"/>
    <x v="544"/>
    <n v="66"/>
    <s v="4G"/>
  </r>
  <r>
    <n v="15254"/>
    <n v="292"/>
    <d v="2023-12-22T00:00:00"/>
    <s v="December"/>
    <n v="2023"/>
    <x v="182"/>
    <n v="192"/>
    <s v="4G"/>
  </r>
  <r>
    <n v="15255"/>
    <n v="434"/>
    <d v="2023-12-28T00:00:00"/>
    <s v="December"/>
    <n v="2023"/>
    <x v="611"/>
    <n v="96"/>
    <s v="4G"/>
  </r>
  <r>
    <n v="15256"/>
    <n v="244"/>
    <d v="2024-06-04T00:00:00"/>
    <s v="June"/>
    <n v="2024"/>
    <x v="49"/>
    <n v="18"/>
    <s v="4G"/>
  </r>
  <r>
    <n v="15257"/>
    <n v="123"/>
    <d v="2023-09-04T00:00:00"/>
    <s v="September"/>
    <n v="2023"/>
    <x v="88"/>
    <n v="97"/>
    <s v="4G"/>
  </r>
  <r>
    <n v="15258"/>
    <n v="299"/>
    <d v="2023-07-15T00:00:00"/>
    <s v="July"/>
    <n v="2023"/>
    <x v="45"/>
    <n v="56"/>
    <s v="4G"/>
  </r>
  <r>
    <n v="15259"/>
    <n v="283"/>
    <d v="2022-07-20T00:00:00"/>
    <s v="July"/>
    <n v="2022"/>
    <x v="695"/>
    <n v="106"/>
    <s v="4G"/>
  </r>
  <r>
    <n v="15260"/>
    <n v="32"/>
    <d v="2022-09-15T00:00:00"/>
    <s v="September"/>
    <n v="2022"/>
    <x v="314"/>
    <n v="87"/>
    <s v="5G"/>
  </r>
  <r>
    <n v="15261"/>
    <n v="334"/>
    <d v="2023-04-25T00:00:00"/>
    <s v="April"/>
    <n v="2023"/>
    <x v="406"/>
    <n v="140"/>
    <s v="4G"/>
  </r>
  <r>
    <n v="15262"/>
    <n v="377"/>
    <d v="2024-06-06T00:00:00"/>
    <s v="June"/>
    <n v="2024"/>
    <x v="72"/>
    <n v="143"/>
    <s v="4G"/>
  </r>
  <r>
    <n v="15263"/>
    <n v="146"/>
    <d v="2022-06-27T00:00:00"/>
    <s v="June"/>
    <n v="2022"/>
    <x v="457"/>
    <n v="51"/>
    <s v="4G"/>
  </r>
  <r>
    <n v="15264"/>
    <n v="156"/>
    <d v="2024-01-27T00:00:00"/>
    <s v="January"/>
    <n v="2024"/>
    <x v="257"/>
    <n v="211"/>
    <s v="4G"/>
  </r>
  <r>
    <n v="15265"/>
    <n v="413"/>
    <d v="2022-05-03T00:00:00"/>
    <s v="May"/>
    <n v="2022"/>
    <x v="226"/>
    <n v="40"/>
    <s v="5G"/>
  </r>
  <r>
    <n v="15266"/>
    <n v="16"/>
    <d v="2022-12-08T00:00:00"/>
    <s v="December"/>
    <n v="2022"/>
    <x v="318"/>
    <n v="90"/>
    <s v="4G"/>
  </r>
  <r>
    <n v="15267"/>
    <n v="355"/>
    <d v="2022-06-20T00:00:00"/>
    <s v="June"/>
    <n v="2022"/>
    <x v="29"/>
    <n v="38"/>
    <s v="4G"/>
  </r>
  <r>
    <n v="15268"/>
    <n v="47"/>
    <d v="2024-04-24T00:00:00"/>
    <s v="April"/>
    <n v="2024"/>
    <x v="436"/>
    <n v="12"/>
    <s v="4G"/>
  </r>
  <r>
    <n v="15269"/>
    <n v="251"/>
    <d v="2023-10-10T00:00:00"/>
    <s v="October"/>
    <n v="2023"/>
    <x v="465"/>
    <n v="95"/>
    <s v="4G"/>
  </r>
  <r>
    <n v="15270"/>
    <n v="187"/>
    <d v="2022-02-28T00:00:00"/>
    <s v="February"/>
    <n v="2022"/>
    <x v="399"/>
    <n v="108"/>
    <s v="4G"/>
  </r>
  <r>
    <n v="15271"/>
    <n v="31"/>
    <d v="2023-12-06T00:00:00"/>
    <s v="December"/>
    <n v="2023"/>
    <x v="902"/>
    <n v="103"/>
    <s v="5G"/>
  </r>
  <r>
    <n v="15272"/>
    <n v="260"/>
    <d v="2023-04-10T00:00:00"/>
    <s v="April"/>
    <n v="2023"/>
    <x v="91"/>
    <n v="230"/>
    <s v="5G"/>
  </r>
  <r>
    <n v="15273"/>
    <n v="421"/>
    <d v="2024-02-19T00:00:00"/>
    <s v="February"/>
    <n v="2024"/>
    <x v="259"/>
    <n v="42"/>
    <s v="4G"/>
  </r>
  <r>
    <n v="15274"/>
    <n v="17"/>
    <d v="2022-09-17T00:00:00"/>
    <s v="September"/>
    <n v="2022"/>
    <x v="171"/>
    <n v="208"/>
    <s v="5G"/>
  </r>
  <r>
    <n v="15275"/>
    <n v="39"/>
    <d v="2023-01-08T00:00:00"/>
    <s v="January"/>
    <n v="2023"/>
    <x v="617"/>
    <n v="87"/>
    <s v="4G"/>
  </r>
  <r>
    <n v="15276"/>
    <n v="304"/>
    <d v="2022-04-05T00:00:00"/>
    <s v="April"/>
    <n v="2022"/>
    <x v="266"/>
    <n v="92"/>
    <s v="5G"/>
  </r>
  <r>
    <n v="15277"/>
    <n v="430"/>
    <d v="2022-05-05T00:00:00"/>
    <s v="May"/>
    <n v="2022"/>
    <x v="203"/>
    <n v="173"/>
    <s v="5G"/>
  </r>
  <r>
    <n v="15278"/>
    <n v="474"/>
    <d v="2022-02-10T00:00:00"/>
    <s v="February"/>
    <n v="2022"/>
    <x v="549"/>
    <n v="125"/>
    <s v="4G"/>
  </r>
  <r>
    <n v="15279"/>
    <n v="432"/>
    <d v="2024-06-09T00:00:00"/>
    <s v="June"/>
    <n v="2024"/>
    <x v="259"/>
    <n v="108"/>
    <s v="4G"/>
  </r>
  <r>
    <n v="15280"/>
    <n v="39"/>
    <d v="2022-09-11T00:00:00"/>
    <s v="September"/>
    <n v="2022"/>
    <x v="331"/>
    <n v="46"/>
    <s v="5G"/>
  </r>
  <r>
    <n v="15281"/>
    <n v="489"/>
    <d v="2022-01-07T00:00:00"/>
    <s v="January"/>
    <n v="2022"/>
    <x v="389"/>
    <n v="213"/>
    <s v="4G"/>
  </r>
  <r>
    <n v="15282"/>
    <n v="132"/>
    <d v="2023-04-16T00:00:00"/>
    <s v="April"/>
    <n v="2023"/>
    <x v="582"/>
    <n v="91"/>
    <s v="4G"/>
  </r>
  <r>
    <n v="15283"/>
    <n v="30"/>
    <d v="2023-12-29T00:00:00"/>
    <s v="December"/>
    <n v="2023"/>
    <x v="420"/>
    <n v="180"/>
    <s v="4G"/>
  </r>
  <r>
    <n v="15284"/>
    <n v="158"/>
    <d v="2023-05-26T00:00:00"/>
    <s v="May"/>
    <n v="2023"/>
    <x v="261"/>
    <n v="40"/>
    <s v="5G"/>
  </r>
  <r>
    <n v="15285"/>
    <n v="278"/>
    <d v="2023-08-04T00:00:00"/>
    <s v="August"/>
    <n v="2023"/>
    <x v="517"/>
    <n v="258"/>
    <s v="5G"/>
  </r>
  <r>
    <n v="15286"/>
    <n v="203"/>
    <d v="2022-03-10T00:00:00"/>
    <s v="March"/>
    <n v="2022"/>
    <x v="268"/>
    <n v="120"/>
    <s v="4G"/>
  </r>
  <r>
    <n v="15287"/>
    <n v="66"/>
    <d v="2022-03-22T00:00:00"/>
    <s v="March"/>
    <n v="2022"/>
    <x v="11"/>
    <n v="76"/>
    <s v="5G"/>
  </r>
  <r>
    <n v="15288"/>
    <n v="108"/>
    <d v="2023-06-26T00:00:00"/>
    <s v="June"/>
    <n v="2023"/>
    <x v="76"/>
    <n v="94"/>
    <s v="4G"/>
  </r>
  <r>
    <n v="15289"/>
    <n v="268"/>
    <d v="2023-08-08T00:00:00"/>
    <s v="August"/>
    <n v="2023"/>
    <x v="45"/>
    <n v="268"/>
    <s v="5G"/>
  </r>
  <r>
    <n v="15290"/>
    <n v="222"/>
    <d v="2022-09-19T00:00:00"/>
    <s v="September"/>
    <n v="2022"/>
    <x v="205"/>
    <n v="17"/>
    <s v="4G"/>
  </r>
  <r>
    <n v="15291"/>
    <n v="292"/>
    <d v="2022-03-30T00:00:00"/>
    <s v="March"/>
    <n v="2022"/>
    <x v="520"/>
    <n v="292"/>
    <s v="4G"/>
  </r>
  <r>
    <n v="15292"/>
    <n v="18"/>
    <d v="2022-07-27T00:00:00"/>
    <s v="July"/>
    <n v="2022"/>
    <x v="275"/>
    <n v="170"/>
    <s v="4G"/>
  </r>
  <r>
    <n v="15293"/>
    <n v="90"/>
    <d v="2022-08-01T00:00:00"/>
    <s v="August"/>
    <n v="2022"/>
    <x v="379"/>
    <n v="161"/>
    <s v="4G"/>
  </r>
  <r>
    <n v="15294"/>
    <n v="181"/>
    <d v="2024-04-13T00:00:00"/>
    <s v="April"/>
    <n v="2024"/>
    <x v="673"/>
    <n v="51"/>
    <s v="4G"/>
  </r>
  <r>
    <n v="15295"/>
    <n v="255"/>
    <d v="2022-09-23T00:00:00"/>
    <s v="September"/>
    <n v="2022"/>
    <x v="452"/>
    <n v="35"/>
    <s v="5G"/>
  </r>
  <r>
    <n v="15296"/>
    <n v="455"/>
    <d v="2022-10-20T00:00:00"/>
    <s v="October"/>
    <n v="2022"/>
    <x v="177"/>
    <n v="186"/>
    <s v="4G"/>
  </r>
  <r>
    <n v="15297"/>
    <n v="253"/>
    <d v="2022-07-26T00:00:00"/>
    <s v="July"/>
    <n v="2022"/>
    <x v="388"/>
    <n v="247"/>
    <s v="5G"/>
  </r>
  <r>
    <n v="15298"/>
    <n v="257"/>
    <d v="2022-11-29T00:00:00"/>
    <s v="November"/>
    <n v="2022"/>
    <x v="357"/>
    <n v="51"/>
    <s v="4G"/>
  </r>
  <r>
    <n v="15299"/>
    <n v="383"/>
    <d v="2022-03-18T00:00:00"/>
    <s v="March"/>
    <n v="2022"/>
    <x v="903"/>
    <n v="18"/>
    <s v="4G"/>
  </r>
  <r>
    <n v="15300"/>
    <n v="442"/>
    <d v="2022-10-15T00:00:00"/>
    <s v="October"/>
    <n v="2022"/>
    <x v="446"/>
    <n v="91"/>
    <s v="4G"/>
  </r>
  <r>
    <n v="15301"/>
    <n v="346"/>
    <d v="2022-02-16T00:00:00"/>
    <s v="February"/>
    <n v="2022"/>
    <x v="465"/>
    <n v="138"/>
    <s v="5G"/>
  </r>
  <r>
    <n v="15302"/>
    <n v="87"/>
    <d v="2023-09-14T00:00:00"/>
    <s v="September"/>
    <n v="2023"/>
    <x v="2"/>
    <n v="219"/>
    <s v="4G"/>
  </r>
  <r>
    <n v="15303"/>
    <n v="90"/>
    <d v="2022-07-19T00:00:00"/>
    <s v="July"/>
    <n v="2022"/>
    <x v="273"/>
    <n v="98"/>
    <s v="5G"/>
  </r>
  <r>
    <n v="15304"/>
    <n v="237"/>
    <d v="2023-03-03T00:00:00"/>
    <s v="March"/>
    <n v="2023"/>
    <x v="389"/>
    <n v="235"/>
    <s v="5G"/>
  </r>
  <r>
    <n v="15305"/>
    <n v="390"/>
    <d v="2022-07-29T00:00:00"/>
    <s v="July"/>
    <n v="2022"/>
    <x v="365"/>
    <n v="206"/>
    <s v="4G"/>
  </r>
  <r>
    <n v="15306"/>
    <n v="70"/>
    <d v="2024-06-06T00:00:00"/>
    <s v="June"/>
    <n v="2024"/>
    <x v="300"/>
    <n v="143"/>
    <s v="4G"/>
  </r>
  <r>
    <n v="15307"/>
    <n v="44"/>
    <d v="2023-02-24T00:00:00"/>
    <s v="February"/>
    <n v="2023"/>
    <x v="426"/>
    <n v="198"/>
    <s v="5G"/>
  </r>
  <r>
    <n v="15308"/>
    <n v="200"/>
    <d v="2022-06-03T00:00:00"/>
    <s v="June"/>
    <n v="2022"/>
    <x v="402"/>
    <n v="286"/>
    <s v="5G"/>
  </r>
  <r>
    <n v="15309"/>
    <n v="152"/>
    <d v="2023-06-06T00:00:00"/>
    <s v="June"/>
    <n v="2023"/>
    <x v="304"/>
    <n v="263"/>
    <s v="4G"/>
  </r>
  <r>
    <n v="15310"/>
    <n v="86"/>
    <d v="2023-02-19T00:00:00"/>
    <s v="February"/>
    <n v="2023"/>
    <x v="621"/>
    <n v="216"/>
    <s v="4G"/>
  </r>
  <r>
    <n v="15311"/>
    <n v="19"/>
    <d v="2022-12-19T00:00:00"/>
    <s v="December"/>
    <n v="2022"/>
    <x v="193"/>
    <n v="188"/>
    <s v="4G"/>
  </r>
  <r>
    <n v="15312"/>
    <n v="101"/>
    <d v="2022-06-06T00:00:00"/>
    <s v="June"/>
    <n v="2022"/>
    <x v="238"/>
    <n v="43"/>
    <s v="4G"/>
  </r>
  <r>
    <n v="15313"/>
    <n v="402"/>
    <d v="2022-09-18T00:00:00"/>
    <s v="September"/>
    <n v="2022"/>
    <x v="263"/>
    <n v="290"/>
    <s v="4G"/>
  </r>
  <r>
    <n v="15314"/>
    <n v="95"/>
    <d v="2022-03-18T00:00:00"/>
    <s v="March"/>
    <n v="2022"/>
    <x v="6"/>
    <n v="188"/>
    <s v="4G"/>
  </r>
  <r>
    <n v="15315"/>
    <n v="254"/>
    <d v="2024-02-08T00:00:00"/>
    <s v="February"/>
    <n v="2024"/>
    <x v="228"/>
    <n v="193"/>
    <s v="4G"/>
  </r>
  <r>
    <n v="15316"/>
    <n v="357"/>
    <d v="2023-05-03T00:00:00"/>
    <s v="May"/>
    <n v="2023"/>
    <x v="303"/>
    <n v="269"/>
    <s v="4G"/>
  </r>
  <r>
    <n v="15317"/>
    <n v="30"/>
    <d v="2022-05-11T00:00:00"/>
    <s v="May"/>
    <n v="2022"/>
    <x v="406"/>
    <n v="259"/>
    <s v="5G"/>
  </r>
  <r>
    <n v="15318"/>
    <n v="249"/>
    <d v="2023-08-02T00:00:00"/>
    <s v="August"/>
    <n v="2023"/>
    <x v="525"/>
    <n v="238"/>
    <s v="5G"/>
  </r>
  <r>
    <n v="15319"/>
    <n v="426"/>
    <d v="2023-03-31T00:00:00"/>
    <s v="March"/>
    <n v="2023"/>
    <x v="904"/>
    <n v="111"/>
    <s v="5G"/>
  </r>
  <r>
    <n v="15320"/>
    <n v="33"/>
    <d v="2024-01-10T00:00:00"/>
    <s v="January"/>
    <n v="2024"/>
    <x v="308"/>
    <n v="68"/>
    <s v="5G"/>
  </r>
  <r>
    <n v="15321"/>
    <n v="458"/>
    <d v="2022-06-12T00:00:00"/>
    <s v="June"/>
    <n v="2022"/>
    <x v="225"/>
    <n v="48"/>
    <s v="4G"/>
  </r>
  <r>
    <n v="15322"/>
    <n v="229"/>
    <d v="2022-01-15T00:00:00"/>
    <s v="January"/>
    <n v="2022"/>
    <x v="36"/>
    <n v="150"/>
    <s v="5G"/>
  </r>
  <r>
    <n v="15323"/>
    <n v="12"/>
    <d v="2022-08-20T00:00:00"/>
    <s v="August"/>
    <n v="2022"/>
    <x v="351"/>
    <n v="238"/>
    <s v="5G"/>
  </r>
  <r>
    <n v="15324"/>
    <n v="118"/>
    <d v="2022-07-14T00:00:00"/>
    <s v="July"/>
    <n v="2022"/>
    <x v="13"/>
    <n v="114"/>
    <s v="5G"/>
  </r>
  <r>
    <n v="15325"/>
    <n v="350"/>
    <d v="2024-05-10T00:00:00"/>
    <s v="May"/>
    <n v="2024"/>
    <x v="205"/>
    <n v="74"/>
    <s v="4G"/>
  </r>
  <r>
    <n v="15326"/>
    <n v="155"/>
    <d v="2023-06-26T00:00:00"/>
    <s v="June"/>
    <n v="2023"/>
    <x v="226"/>
    <n v="97"/>
    <s v="4G"/>
  </r>
  <r>
    <n v="15327"/>
    <n v="423"/>
    <d v="2022-12-25T00:00:00"/>
    <s v="December"/>
    <n v="2022"/>
    <x v="261"/>
    <n v="110"/>
    <s v="4G"/>
  </r>
  <r>
    <n v="15328"/>
    <n v="393"/>
    <d v="2024-04-29T00:00:00"/>
    <s v="April"/>
    <n v="2024"/>
    <x v="69"/>
    <n v="284"/>
    <s v="4G"/>
  </r>
  <r>
    <n v="15329"/>
    <n v="246"/>
    <d v="2022-11-27T00:00:00"/>
    <s v="November"/>
    <n v="2022"/>
    <x v="163"/>
    <n v="255"/>
    <s v="5G"/>
  </r>
  <r>
    <n v="15330"/>
    <n v="405"/>
    <d v="2023-03-03T00:00:00"/>
    <s v="March"/>
    <n v="2023"/>
    <x v="443"/>
    <n v="116"/>
    <s v="4G"/>
  </r>
  <r>
    <n v="15331"/>
    <n v="332"/>
    <d v="2023-05-12T00:00:00"/>
    <s v="May"/>
    <n v="2023"/>
    <x v="127"/>
    <n v="175"/>
    <s v="5G"/>
  </r>
  <r>
    <n v="15332"/>
    <n v="247"/>
    <d v="2024-04-07T00:00:00"/>
    <s v="April"/>
    <n v="2024"/>
    <x v="73"/>
    <n v="227"/>
    <s v="4G"/>
  </r>
  <r>
    <n v="15333"/>
    <n v="29"/>
    <d v="2023-05-01T00:00:00"/>
    <s v="May"/>
    <n v="2023"/>
    <x v="175"/>
    <n v="105"/>
    <s v="4G"/>
  </r>
  <r>
    <n v="15334"/>
    <n v="161"/>
    <d v="2024-03-18T00:00:00"/>
    <s v="March"/>
    <n v="2024"/>
    <x v="222"/>
    <n v="238"/>
    <s v="4G"/>
  </r>
  <r>
    <n v="15335"/>
    <n v="235"/>
    <d v="2023-03-25T00:00:00"/>
    <s v="March"/>
    <n v="2023"/>
    <x v="383"/>
    <n v="99"/>
    <s v="4G"/>
  </r>
  <r>
    <n v="15336"/>
    <n v="190"/>
    <d v="2023-02-17T00:00:00"/>
    <s v="February"/>
    <n v="2023"/>
    <x v="395"/>
    <n v="175"/>
    <s v="4G"/>
  </r>
  <r>
    <n v="15337"/>
    <n v="117"/>
    <d v="2022-11-26T00:00:00"/>
    <s v="November"/>
    <n v="2022"/>
    <x v="191"/>
    <n v="248"/>
    <s v="4G"/>
  </r>
  <r>
    <n v="15338"/>
    <n v="271"/>
    <d v="2024-01-02T00:00:00"/>
    <s v="January"/>
    <n v="2024"/>
    <x v="146"/>
    <n v="75"/>
    <s v="4G"/>
  </r>
  <r>
    <n v="15339"/>
    <n v="258"/>
    <d v="2024-06-07T00:00:00"/>
    <s v="June"/>
    <n v="2024"/>
    <x v="7"/>
    <n v="2"/>
    <s v="5G"/>
  </r>
  <r>
    <n v="15340"/>
    <n v="180"/>
    <d v="2022-05-27T00:00:00"/>
    <s v="May"/>
    <n v="2022"/>
    <x v="42"/>
    <n v="80"/>
    <s v="4G"/>
  </r>
  <r>
    <n v="15341"/>
    <n v="487"/>
    <d v="2022-09-16T00:00:00"/>
    <s v="September"/>
    <n v="2022"/>
    <x v="108"/>
    <n v="287"/>
    <s v="5G"/>
  </r>
  <r>
    <n v="15342"/>
    <n v="373"/>
    <d v="2022-10-19T00:00:00"/>
    <s v="October"/>
    <n v="2022"/>
    <x v="905"/>
    <n v="7"/>
    <s v="4G"/>
  </r>
  <r>
    <n v="15343"/>
    <n v="172"/>
    <d v="2024-03-21T00:00:00"/>
    <s v="March"/>
    <n v="2024"/>
    <x v="318"/>
    <n v="86"/>
    <s v="4G"/>
  </r>
  <r>
    <n v="15344"/>
    <n v="438"/>
    <d v="2022-05-23T00:00:00"/>
    <s v="May"/>
    <n v="2022"/>
    <x v="166"/>
    <n v="285"/>
    <s v="4G"/>
  </r>
  <r>
    <n v="15345"/>
    <n v="274"/>
    <d v="2024-01-17T00:00:00"/>
    <s v="January"/>
    <n v="2024"/>
    <x v="315"/>
    <n v="73"/>
    <s v="5G"/>
  </r>
  <r>
    <n v="15346"/>
    <n v="259"/>
    <d v="2023-09-19T00:00:00"/>
    <s v="September"/>
    <n v="2023"/>
    <x v="362"/>
    <n v="122"/>
    <s v="4G"/>
  </r>
  <r>
    <n v="15347"/>
    <n v="135"/>
    <d v="2022-12-31T00:00:00"/>
    <s v="December"/>
    <n v="2022"/>
    <x v="334"/>
    <n v="293"/>
    <s v="4G"/>
  </r>
  <r>
    <n v="15348"/>
    <n v="171"/>
    <d v="2022-03-31T00:00:00"/>
    <s v="March"/>
    <n v="2022"/>
    <x v="429"/>
    <n v="142"/>
    <s v="5G"/>
  </r>
  <r>
    <n v="15349"/>
    <n v="210"/>
    <d v="2023-12-21T00:00:00"/>
    <s v="December"/>
    <n v="2023"/>
    <x v="720"/>
    <n v="157"/>
    <s v="4G"/>
  </r>
  <r>
    <n v="15350"/>
    <n v="236"/>
    <d v="2022-06-13T00:00:00"/>
    <s v="June"/>
    <n v="2022"/>
    <x v="163"/>
    <n v="108"/>
    <s v="4G"/>
  </r>
  <r>
    <n v="15351"/>
    <n v="422"/>
    <d v="2023-04-26T00:00:00"/>
    <s v="April"/>
    <n v="2023"/>
    <x v="681"/>
    <n v="194"/>
    <s v="5G"/>
  </r>
  <r>
    <n v="15352"/>
    <n v="421"/>
    <d v="2022-03-25T00:00:00"/>
    <s v="March"/>
    <n v="2022"/>
    <x v="78"/>
    <n v="35"/>
    <s v="4G"/>
  </r>
  <r>
    <n v="15353"/>
    <n v="186"/>
    <d v="2022-03-18T00:00:00"/>
    <s v="March"/>
    <n v="2022"/>
    <x v="152"/>
    <n v="89"/>
    <s v="4G"/>
  </r>
  <r>
    <n v="15354"/>
    <n v="417"/>
    <d v="2023-11-04T00:00:00"/>
    <s v="November"/>
    <n v="2023"/>
    <x v="357"/>
    <n v="295"/>
    <s v="4G"/>
  </r>
  <r>
    <n v="15355"/>
    <n v="364"/>
    <d v="2023-06-01T00:00:00"/>
    <s v="June"/>
    <n v="2023"/>
    <x v="22"/>
    <n v="200"/>
    <s v="4G"/>
  </r>
  <r>
    <n v="15356"/>
    <n v="443"/>
    <d v="2023-04-30T00:00:00"/>
    <s v="April"/>
    <n v="2023"/>
    <x v="430"/>
    <n v="45"/>
    <s v="4G"/>
  </r>
  <r>
    <n v="15357"/>
    <n v="95"/>
    <d v="2023-08-13T00:00:00"/>
    <s v="August"/>
    <n v="2023"/>
    <x v="544"/>
    <n v="106"/>
    <s v="4G"/>
  </r>
  <r>
    <n v="15358"/>
    <n v="378"/>
    <d v="2023-08-26T00:00:00"/>
    <s v="August"/>
    <n v="2023"/>
    <x v="438"/>
    <n v="169"/>
    <s v="5G"/>
  </r>
  <r>
    <n v="15359"/>
    <n v="11"/>
    <d v="2023-08-22T00:00:00"/>
    <s v="August"/>
    <n v="2023"/>
    <x v="906"/>
    <n v="145"/>
    <s v="4G"/>
  </r>
  <r>
    <n v="15360"/>
    <n v="68"/>
    <d v="2024-02-21T00:00:00"/>
    <s v="February"/>
    <n v="2024"/>
    <x v="900"/>
    <n v="177"/>
    <s v="4G"/>
  </r>
  <r>
    <n v="15361"/>
    <n v="379"/>
    <d v="2022-04-14T00:00:00"/>
    <s v="April"/>
    <n v="2022"/>
    <x v="462"/>
    <n v="60"/>
    <s v="5G"/>
  </r>
  <r>
    <n v="15362"/>
    <n v="210"/>
    <d v="2023-03-28T00:00:00"/>
    <s v="March"/>
    <n v="2023"/>
    <x v="65"/>
    <n v="2"/>
    <s v="4G"/>
  </r>
  <r>
    <n v="15363"/>
    <n v="196"/>
    <d v="2023-05-02T00:00:00"/>
    <s v="May"/>
    <n v="2023"/>
    <x v="278"/>
    <n v="81"/>
    <s v="5G"/>
  </r>
  <r>
    <n v="15364"/>
    <n v="369"/>
    <d v="2022-12-05T00:00:00"/>
    <s v="December"/>
    <n v="2022"/>
    <x v="762"/>
    <n v="262"/>
    <s v="5G"/>
  </r>
  <r>
    <n v="15365"/>
    <n v="98"/>
    <d v="2023-11-18T00:00:00"/>
    <s v="November"/>
    <n v="2023"/>
    <x v="425"/>
    <n v="286"/>
    <s v="4G"/>
  </r>
  <r>
    <n v="15366"/>
    <n v="93"/>
    <d v="2023-07-20T00:00:00"/>
    <s v="July"/>
    <n v="2023"/>
    <x v="624"/>
    <n v="94"/>
    <s v="4G"/>
  </r>
  <r>
    <n v="15367"/>
    <n v="472"/>
    <d v="2024-06-18T00:00:00"/>
    <s v="June"/>
    <n v="2024"/>
    <x v="144"/>
    <n v="63"/>
    <s v="5G"/>
  </r>
  <r>
    <n v="15368"/>
    <n v="22"/>
    <d v="2023-04-23T00:00:00"/>
    <s v="April"/>
    <n v="2023"/>
    <x v="334"/>
    <n v="245"/>
    <s v="5G"/>
  </r>
  <r>
    <n v="15369"/>
    <n v="450"/>
    <d v="2023-12-24T00:00:00"/>
    <s v="December"/>
    <n v="2023"/>
    <x v="578"/>
    <n v="76"/>
    <s v="4G"/>
  </r>
  <r>
    <n v="15370"/>
    <n v="172"/>
    <d v="2023-08-30T00:00:00"/>
    <s v="August"/>
    <n v="2023"/>
    <x v="379"/>
    <n v="258"/>
    <s v="4G"/>
  </r>
  <r>
    <n v="15371"/>
    <n v="383"/>
    <d v="2022-08-11T00:00:00"/>
    <s v="August"/>
    <n v="2022"/>
    <x v="175"/>
    <n v="92"/>
    <s v="4G"/>
  </r>
  <r>
    <n v="15372"/>
    <n v="134"/>
    <d v="2022-01-09T00:00:00"/>
    <s v="January"/>
    <n v="2022"/>
    <x v="170"/>
    <n v="290"/>
    <s v="4G"/>
  </r>
  <r>
    <n v="15373"/>
    <n v="426"/>
    <d v="2022-02-22T00:00:00"/>
    <s v="February"/>
    <n v="2022"/>
    <x v="659"/>
    <n v="270"/>
    <s v="4G"/>
  </r>
  <r>
    <n v="15374"/>
    <n v="25"/>
    <d v="2022-03-18T00:00:00"/>
    <s v="March"/>
    <n v="2022"/>
    <x v="58"/>
    <n v="20"/>
    <s v="4G"/>
  </r>
  <r>
    <n v="15375"/>
    <n v="185"/>
    <d v="2023-12-19T00:00:00"/>
    <s v="December"/>
    <n v="2023"/>
    <x v="114"/>
    <n v="61"/>
    <s v="5G"/>
  </r>
  <r>
    <n v="15376"/>
    <n v="85"/>
    <d v="2023-05-18T00:00:00"/>
    <s v="May"/>
    <n v="2023"/>
    <x v="392"/>
    <n v="259"/>
    <s v="4G"/>
  </r>
  <r>
    <n v="15377"/>
    <n v="55"/>
    <d v="2022-11-12T00:00:00"/>
    <s v="November"/>
    <n v="2022"/>
    <x v="516"/>
    <n v="236"/>
    <s v="5G"/>
  </r>
  <r>
    <n v="15378"/>
    <n v="251"/>
    <d v="2024-03-24T00:00:00"/>
    <s v="March"/>
    <n v="2024"/>
    <x v="116"/>
    <n v="140"/>
    <s v="4G"/>
  </r>
  <r>
    <n v="15379"/>
    <n v="144"/>
    <d v="2024-04-01T00:00:00"/>
    <s v="April"/>
    <n v="2024"/>
    <x v="68"/>
    <n v="166"/>
    <s v="4G"/>
  </r>
  <r>
    <n v="15380"/>
    <n v="351"/>
    <d v="2024-04-21T00:00:00"/>
    <s v="April"/>
    <n v="2024"/>
    <x v="506"/>
    <n v="66"/>
    <s v="4G"/>
  </r>
  <r>
    <n v="15381"/>
    <n v="398"/>
    <d v="2023-09-16T00:00:00"/>
    <s v="September"/>
    <n v="2023"/>
    <x v="11"/>
    <n v="57"/>
    <s v="4G"/>
  </r>
  <r>
    <n v="15382"/>
    <n v="167"/>
    <d v="2024-05-12T00:00:00"/>
    <s v="May"/>
    <n v="2024"/>
    <x v="118"/>
    <n v="211"/>
    <s v="4G"/>
  </r>
  <r>
    <n v="15383"/>
    <n v="412"/>
    <d v="2022-06-14T00:00:00"/>
    <s v="June"/>
    <n v="2022"/>
    <x v="870"/>
    <n v="129"/>
    <s v="5G"/>
  </r>
  <r>
    <n v="15384"/>
    <n v="224"/>
    <d v="2022-10-06T00:00:00"/>
    <s v="October"/>
    <n v="2022"/>
    <x v="907"/>
    <n v="24"/>
    <s v="4G"/>
  </r>
  <r>
    <n v="15385"/>
    <n v="220"/>
    <d v="2022-01-27T00:00:00"/>
    <s v="January"/>
    <n v="2022"/>
    <x v="442"/>
    <n v="10"/>
    <s v="5G"/>
  </r>
  <r>
    <n v="15386"/>
    <n v="179"/>
    <d v="2022-03-11T00:00:00"/>
    <s v="March"/>
    <n v="2022"/>
    <x v="234"/>
    <n v="256"/>
    <s v="4G"/>
  </r>
  <r>
    <n v="15387"/>
    <n v="119"/>
    <d v="2022-08-06T00:00:00"/>
    <s v="August"/>
    <n v="2022"/>
    <x v="908"/>
    <n v="80"/>
    <s v="4G"/>
  </r>
  <r>
    <n v="15388"/>
    <n v="433"/>
    <d v="2022-12-31T00:00:00"/>
    <s v="December"/>
    <n v="2022"/>
    <x v="41"/>
    <n v="285"/>
    <s v="4G"/>
  </r>
  <r>
    <n v="15389"/>
    <n v="265"/>
    <d v="2023-12-02T00:00:00"/>
    <s v="December"/>
    <n v="2023"/>
    <x v="121"/>
    <n v="18"/>
    <s v="5G"/>
  </r>
  <r>
    <n v="15390"/>
    <n v="442"/>
    <d v="2024-04-24T00:00:00"/>
    <s v="April"/>
    <n v="2024"/>
    <x v="656"/>
    <n v="109"/>
    <s v="4G"/>
  </r>
  <r>
    <n v="15391"/>
    <n v="429"/>
    <d v="2022-11-02T00:00:00"/>
    <s v="November"/>
    <n v="2022"/>
    <x v="182"/>
    <n v="33"/>
    <s v="4G"/>
  </r>
  <r>
    <n v="15392"/>
    <n v="150"/>
    <d v="2022-05-04T00:00:00"/>
    <s v="May"/>
    <n v="2022"/>
    <x v="209"/>
    <n v="287"/>
    <s v="5G"/>
  </r>
  <r>
    <n v="15393"/>
    <n v="416"/>
    <d v="2022-01-19T00:00:00"/>
    <s v="January"/>
    <n v="2022"/>
    <x v="295"/>
    <n v="254"/>
    <s v="5G"/>
  </r>
  <r>
    <n v="15394"/>
    <n v="453"/>
    <d v="2022-09-14T00:00:00"/>
    <s v="September"/>
    <n v="2022"/>
    <x v="453"/>
    <n v="125"/>
    <s v="4G"/>
  </r>
  <r>
    <n v="15395"/>
    <n v="215"/>
    <d v="2022-10-23T00:00:00"/>
    <s v="October"/>
    <n v="2022"/>
    <x v="4"/>
    <n v="208"/>
    <s v="5G"/>
  </r>
  <r>
    <n v="15396"/>
    <n v="197"/>
    <d v="2022-01-22T00:00:00"/>
    <s v="January"/>
    <n v="2022"/>
    <x v="97"/>
    <n v="133"/>
    <s v="4G"/>
  </r>
  <r>
    <n v="15397"/>
    <n v="42"/>
    <d v="2024-05-29T00:00:00"/>
    <s v="May"/>
    <n v="2024"/>
    <x v="582"/>
    <n v="85"/>
    <s v="5G"/>
  </r>
  <r>
    <n v="15398"/>
    <n v="53"/>
    <d v="2023-03-26T00:00:00"/>
    <s v="March"/>
    <n v="2023"/>
    <x v="177"/>
    <n v="74"/>
    <s v="4G"/>
  </r>
  <r>
    <n v="15399"/>
    <n v="480"/>
    <d v="2023-07-06T00:00:00"/>
    <s v="July"/>
    <n v="2023"/>
    <x v="229"/>
    <n v="134"/>
    <s v="4G"/>
  </r>
  <r>
    <n v="15400"/>
    <n v="443"/>
    <d v="2023-07-04T00:00:00"/>
    <s v="July"/>
    <n v="2023"/>
    <x v="909"/>
    <n v="172"/>
    <s v="4G"/>
  </r>
  <r>
    <n v="15401"/>
    <n v="330"/>
    <d v="2022-02-17T00:00:00"/>
    <s v="February"/>
    <n v="2022"/>
    <x v="54"/>
    <n v="212"/>
    <s v="4G"/>
  </r>
  <r>
    <n v="15402"/>
    <n v="251"/>
    <d v="2023-11-26T00:00:00"/>
    <s v="November"/>
    <n v="2023"/>
    <x v="240"/>
    <n v="18"/>
    <s v="4G"/>
  </r>
  <r>
    <n v="15403"/>
    <n v="295"/>
    <d v="2023-08-10T00:00:00"/>
    <s v="August"/>
    <n v="2023"/>
    <x v="91"/>
    <n v="118"/>
    <s v="5G"/>
  </r>
  <r>
    <n v="15404"/>
    <n v="378"/>
    <d v="2023-12-22T00:00:00"/>
    <s v="December"/>
    <n v="2023"/>
    <x v="567"/>
    <n v="284"/>
    <s v="5G"/>
  </r>
  <r>
    <n v="15405"/>
    <n v="271"/>
    <d v="2022-07-02T00:00:00"/>
    <s v="July"/>
    <n v="2022"/>
    <x v="548"/>
    <n v="226"/>
    <s v="4G"/>
  </r>
  <r>
    <n v="15406"/>
    <n v="455"/>
    <d v="2023-03-11T00:00:00"/>
    <s v="March"/>
    <n v="2023"/>
    <x v="165"/>
    <n v="211"/>
    <s v="4G"/>
  </r>
  <r>
    <n v="15407"/>
    <n v="413"/>
    <d v="2022-04-17T00:00:00"/>
    <s v="April"/>
    <n v="2022"/>
    <x v="552"/>
    <n v="188"/>
    <s v="4G"/>
  </r>
  <r>
    <n v="15408"/>
    <n v="123"/>
    <d v="2022-07-07T00:00:00"/>
    <s v="July"/>
    <n v="2022"/>
    <x v="57"/>
    <n v="150"/>
    <s v="4G"/>
  </r>
  <r>
    <n v="15409"/>
    <n v="367"/>
    <d v="2024-02-15T00:00:00"/>
    <s v="February"/>
    <n v="2024"/>
    <x v="545"/>
    <n v="222"/>
    <s v="5G"/>
  </r>
  <r>
    <n v="15410"/>
    <n v="387"/>
    <d v="2022-03-27T00:00:00"/>
    <s v="March"/>
    <n v="2022"/>
    <x v="67"/>
    <n v="127"/>
    <s v="4G"/>
  </r>
  <r>
    <n v="15411"/>
    <n v="339"/>
    <d v="2024-04-15T00:00:00"/>
    <s v="April"/>
    <n v="2024"/>
    <x v="32"/>
    <n v="247"/>
    <s v="4G"/>
  </r>
  <r>
    <n v="15412"/>
    <n v="266"/>
    <d v="2024-04-22T00:00:00"/>
    <s v="April"/>
    <n v="2024"/>
    <x v="230"/>
    <n v="50"/>
    <s v="4G"/>
  </r>
  <r>
    <n v="15413"/>
    <n v="348"/>
    <d v="2023-04-01T00:00:00"/>
    <s v="April"/>
    <n v="2023"/>
    <x v="295"/>
    <n v="190"/>
    <s v="4G"/>
  </r>
  <r>
    <n v="15414"/>
    <n v="29"/>
    <d v="2022-05-17T00:00:00"/>
    <s v="May"/>
    <n v="2022"/>
    <x v="16"/>
    <n v="236"/>
    <s v="4G"/>
  </r>
  <r>
    <n v="15415"/>
    <n v="463"/>
    <d v="2024-05-07T00:00:00"/>
    <s v="May"/>
    <n v="2024"/>
    <x v="116"/>
    <n v="21"/>
    <s v="4G"/>
  </r>
  <r>
    <n v="15416"/>
    <n v="35"/>
    <d v="2024-06-16T00:00:00"/>
    <s v="June"/>
    <n v="2024"/>
    <x v="315"/>
    <n v="109"/>
    <s v="4G"/>
  </r>
  <r>
    <n v="15417"/>
    <n v="6"/>
    <d v="2022-12-02T00:00:00"/>
    <s v="December"/>
    <n v="2022"/>
    <x v="174"/>
    <n v="32"/>
    <s v="4G"/>
  </r>
  <r>
    <n v="15418"/>
    <n v="396"/>
    <d v="2023-08-30T00:00:00"/>
    <s v="August"/>
    <n v="2023"/>
    <x v="242"/>
    <n v="126"/>
    <s v="4G"/>
  </r>
  <r>
    <n v="15419"/>
    <n v="111"/>
    <d v="2024-04-17T00:00:00"/>
    <s v="April"/>
    <n v="2024"/>
    <x v="356"/>
    <n v="43"/>
    <s v="4G"/>
  </r>
  <r>
    <n v="15420"/>
    <n v="294"/>
    <d v="2024-01-27T00:00:00"/>
    <s v="January"/>
    <n v="2024"/>
    <x v="375"/>
    <n v="6"/>
    <s v="4G"/>
  </r>
  <r>
    <n v="15421"/>
    <n v="77"/>
    <d v="2023-04-14T00:00:00"/>
    <s v="April"/>
    <n v="2023"/>
    <x v="800"/>
    <n v="127"/>
    <s v="5G"/>
  </r>
  <r>
    <n v="15422"/>
    <n v="349"/>
    <d v="2023-08-25T00:00:00"/>
    <s v="August"/>
    <n v="2023"/>
    <x v="270"/>
    <n v="90"/>
    <s v="4G"/>
  </r>
  <r>
    <n v="15423"/>
    <n v="147"/>
    <d v="2023-07-25T00:00:00"/>
    <s v="July"/>
    <n v="2023"/>
    <x v="108"/>
    <n v="129"/>
    <s v="5G"/>
  </r>
  <r>
    <n v="15424"/>
    <n v="67"/>
    <d v="2023-02-07T00:00:00"/>
    <s v="February"/>
    <n v="2023"/>
    <x v="185"/>
    <n v="16"/>
    <s v="4G"/>
  </r>
  <r>
    <n v="15425"/>
    <n v="392"/>
    <d v="2023-06-24T00:00:00"/>
    <s v="June"/>
    <n v="2023"/>
    <x v="107"/>
    <n v="185"/>
    <s v="4G"/>
  </r>
  <r>
    <n v="15426"/>
    <n v="8"/>
    <d v="2022-03-13T00:00:00"/>
    <s v="March"/>
    <n v="2022"/>
    <x v="306"/>
    <n v="109"/>
    <s v="4G"/>
  </r>
  <r>
    <n v="15427"/>
    <n v="122"/>
    <d v="2024-02-21T00:00:00"/>
    <s v="February"/>
    <n v="2024"/>
    <x v="910"/>
    <n v="285"/>
    <s v="4G"/>
  </r>
  <r>
    <n v="15428"/>
    <n v="340"/>
    <d v="2022-01-24T00:00:00"/>
    <s v="January"/>
    <n v="2022"/>
    <x v="57"/>
    <n v="162"/>
    <s v="5G"/>
  </r>
  <r>
    <n v="15429"/>
    <n v="175"/>
    <d v="2023-09-16T00:00:00"/>
    <s v="September"/>
    <n v="2023"/>
    <x v="25"/>
    <n v="74"/>
    <s v="4G"/>
  </r>
  <r>
    <n v="15430"/>
    <n v="388"/>
    <d v="2024-03-22T00:00:00"/>
    <s v="March"/>
    <n v="2024"/>
    <x v="378"/>
    <n v="198"/>
    <s v="4G"/>
  </r>
  <r>
    <n v="15431"/>
    <n v="179"/>
    <d v="2023-04-30T00:00:00"/>
    <s v="April"/>
    <n v="2023"/>
    <x v="231"/>
    <n v="286"/>
    <s v="5G"/>
  </r>
  <r>
    <n v="15432"/>
    <n v="85"/>
    <d v="2022-02-25T00:00:00"/>
    <s v="February"/>
    <n v="2022"/>
    <x v="549"/>
    <n v="181"/>
    <s v="4G"/>
  </r>
  <r>
    <n v="15433"/>
    <n v="451"/>
    <d v="2022-08-11T00:00:00"/>
    <s v="August"/>
    <n v="2022"/>
    <x v="498"/>
    <n v="96"/>
    <s v="4G"/>
  </r>
  <r>
    <n v="15434"/>
    <n v="45"/>
    <d v="2023-09-24T00:00:00"/>
    <s v="September"/>
    <n v="2023"/>
    <x v="362"/>
    <n v="50"/>
    <s v="4G"/>
  </r>
  <r>
    <n v="15435"/>
    <n v="136"/>
    <d v="2022-06-28T00:00:00"/>
    <s v="June"/>
    <n v="2022"/>
    <x v="279"/>
    <n v="33"/>
    <s v="4G"/>
  </r>
  <r>
    <n v="15436"/>
    <n v="343"/>
    <d v="2024-03-10T00:00:00"/>
    <s v="March"/>
    <n v="2024"/>
    <x v="92"/>
    <n v="20"/>
    <s v="4G"/>
  </r>
  <r>
    <n v="15437"/>
    <n v="16"/>
    <d v="2023-03-10T00:00:00"/>
    <s v="March"/>
    <n v="2023"/>
    <x v="98"/>
    <n v="183"/>
    <s v="4G"/>
  </r>
  <r>
    <n v="15438"/>
    <n v="333"/>
    <d v="2023-03-26T00:00:00"/>
    <s v="March"/>
    <n v="2023"/>
    <x v="284"/>
    <n v="292"/>
    <s v="5G"/>
  </r>
  <r>
    <n v="15439"/>
    <n v="195"/>
    <d v="2024-03-03T00:00:00"/>
    <s v="March"/>
    <n v="2024"/>
    <x v="107"/>
    <n v="63"/>
    <s v="5G"/>
  </r>
  <r>
    <n v="15440"/>
    <n v="496"/>
    <d v="2024-06-02T00:00:00"/>
    <s v="June"/>
    <n v="2024"/>
    <x v="365"/>
    <n v="123"/>
    <s v="4G"/>
  </r>
  <r>
    <n v="15441"/>
    <n v="9"/>
    <d v="2023-05-07T00:00:00"/>
    <s v="May"/>
    <n v="2023"/>
    <x v="373"/>
    <n v="100"/>
    <s v="4G"/>
  </r>
  <r>
    <n v="15442"/>
    <n v="316"/>
    <d v="2022-07-08T00:00:00"/>
    <s v="July"/>
    <n v="2022"/>
    <x v="234"/>
    <n v="118"/>
    <s v="4G"/>
  </r>
  <r>
    <n v="15443"/>
    <n v="334"/>
    <d v="2023-08-01T00:00:00"/>
    <s v="August"/>
    <n v="2023"/>
    <x v="326"/>
    <n v="77"/>
    <s v="4G"/>
  </r>
  <r>
    <n v="15444"/>
    <n v="333"/>
    <d v="2024-03-20T00:00:00"/>
    <s v="March"/>
    <n v="2024"/>
    <x v="402"/>
    <n v="180"/>
    <s v="4G"/>
  </r>
  <r>
    <n v="15445"/>
    <n v="327"/>
    <d v="2023-02-24T00:00:00"/>
    <s v="February"/>
    <n v="2023"/>
    <x v="395"/>
    <n v="198"/>
    <s v="5G"/>
  </r>
  <r>
    <n v="15446"/>
    <n v="15"/>
    <d v="2022-09-06T00:00:00"/>
    <s v="September"/>
    <n v="2022"/>
    <x v="78"/>
    <n v="189"/>
    <s v="5G"/>
  </r>
  <r>
    <n v="15447"/>
    <n v="327"/>
    <d v="2023-08-11T00:00:00"/>
    <s v="August"/>
    <n v="2023"/>
    <x v="838"/>
    <n v="102"/>
    <s v="4G"/>
  </r>
  <r>
    <n v="15448"/>
    <n v="102"/>
    <d v="2023-10-11T00:00:00"/>
    <s v="October"/>
    <n v="2023"/>
    <x v="0"/>
    <n v="274"/>
    <s v="4G"/>
  </r>
  <r>
    <n v="15449"/>
    <n v="226"/>
    <d v="2022-06-13T00:00:00"/>
    <s v="June"/>
    <n v="2022"/>
    <x v="693"/>
    <n v="129"/>
    <s v="4G"/>
  </r>
  <r>
    <n v="15450"/>
    <n v="425"/>
    <d v="2024-01-15T00:00:00"/>
    <s v="January"/>
    <n v="2024"/>
    <x v="8"/>
    <n v="240"/>
    <s v="4G"/>
  </r>
  <r>
    <n v="15451"/>
    <n v="278"/>
    <d v="2022-09-12T00:00:00"/>
    <s v="September"/>
    <n v="2022"/>
    <x v="322"/>
    <n v="133"/>
    <s v="4G"/>
  </r>
  <r>
    <n v="15452"/>
    <n v="408"/>
    <d v="2023-04-21T00:00:00"/>
    <s v="April"/>
    <n v="2023"/>
    <x v="46"/>
    <n v="156"/>
    <s v="4G"/>
  </r>
  <r>
    <n v="15453"/>
    <n v="113"/>
    <d v="2024-03-16T00:00:00"/>
    <s v="March"/>
    <n v="2024"/>
    <x v="518"/>
    <n v="157"/>
    <s v="4G"/>
  </r>
  <r>
    <n v="15454"/>
    <n v="485"/>
    <d v="2023-02-21T00:00:00"/>
    <s v="February"/>
    <n v="2023"/>
    <x v="870"/>
    <n v="189"/>
    <s v="4G"/>
  </r>
  <r>
    <n v="15455"/>
    <n v="428"/>
    <d v="2022-06-19T00:00:00"/>
    <s v="June"/>
    <n v="2022"/>
    <x v="55"/>
    <n v="99"/>
    <s v="4G"/>
  </r>
  <r>
    <n v="15456"/>
    <n v="1"/>
    <d v="2022-11-13T00:00:00"/>
    <s v="November"/>
    <n v="2022"/>
    <x v="42"/>
    <n v="51"/>
    <s v="5G"/>
  </r>
  <r>
    <n v="15457"/>
    <n v="266"/>
    <d v="2022-06-23T00:00:00"/>
    <s v="June"/>
    <n v="2022"/>
    <x v="146"/>
    <n v="48"/>
    <s v="4G"/>
  </r>
  <r>
    <n v="15458"/>
    <n v="491"/>
    <d v="2023-04-15T00:00:00"/>
    <s v="April"/>
    <n v="2023"/>
    <x v="777"/>
    <n v="99"/>
    <s v="4G"/>
  </r>
  <r>
    <n v="15459"/>
    <n v="208"/>
    <d v="2022-12-11T00:00:00"/>
    <s v="December"/>
    <n v="2022"/>
    <x v="284"/>
    <n v="250"/>
    <s v="4G"/>
  </r>
  <r>
    <n v="15460"/>
    <n v="110"/>
    <d v="2023-03-21T00:00:00"/>
    <s v="March"/>
    <n v="2023"/>
    <x v="2"/>
    <n v="53"/>
    <s v="4G"/>
  </r>
  <r>
    <n v="15461"/>
    <n v="200"/>
    <d v="2022-01-18T00:00:00"/>
    <s v="January"/>
    <n v="2022"/>
    <x v="194"/>
    <n v="136"/>
    <s v="5G"/>
  </r>
  <r>
    <n v="15462"/>
    <n v="440"/>
    <d v="2022-03-11T00:00:00"/>
    <s v="March"/>
    <n v="2022"/>
    <x v="358"/>
    <n v="161"/>
    <s v="4G"/>
  </r>
  <r>
    <n v="15463"/>
    <n v="369"/>
    <d v="2022-12-04T00:00:00"/>
    <s v="December"/>
    <n v="2022"/>
    <x v="496"/>
    <n v="291"/>
    <s v="5G"/>
  </r>
  <r>
    <n v="15464"/>
    <n v="473"/>
    <d v="2023-09-20T00:00:00"/>
    <s v="September"/>
    <n v="2023"/>
    <x v="198"/>
    <n v="80"/>
    <s v="4G"/>
  </r>
  <r>
    <n v="15465"/>
    <n v="306"/>
    <d v="2023-08-15T00:00:00"/>
    <s v="August"/>
    <n v="2023"/>
    <x v="630"/>
    <n v="219"/>
    <s v="4G"/>
  </r>
  <r>
    <n v="15466"/>
    <n v="12"/>
    <d v="2023-06-11T00:00:00"/>
    <s v="June"/>
    <n v="2023"/>
    <x v="129"/>
    <n v="84"/>
    <s v="4G"/>
  </r>
  <r>
    <n v="15467"/>
    <n v="345"/>
    <d v="2023-11-19T00:00:00"/>
    <s v="November"/>
    <n v="2023"/>
    <x v="345"/>
    <n v="82"/>
    <s v="4G"/>
  </r>
  <r>
    <n v="15468"/>
    <n v="465"/>
    <d v="2023-04-01T00:00:00"/>
    <s v="April"/>
    <n v="2023"/>
    <x v="656"/>
    <n v="66"/>
    <s v="4G"/>
  </r>
  <r>
    <n v="15469"/>
    <n v="188"/>
    <d v="2022-09-26T00:00:00"/>
    <s v="September"/>
    <n v="2022"/>
    <x v="62"/>
    <n v="233"/>
    <s v="5G"/>
  </r>
  <r>
    <n v="15470"/>
    <n v="154"/>
    <d v="2023-09-23T00:00:00"/>
    <s v="September"/>
    <n v="2023"/>
    <x v="474"/>
    <n v="197"/>
    <s v="4G"/>
  </r>
  <r>
    <n v="15471"/>
    <n v="494"/>
    <d v="2024-03-21T00:00:00"/>
    <s v="March"/>
    <n v="2024"/>
    <x v="36"/>
    <n v="258"/>
    <s v="4G"/>
  </r>
  <r>
    <n v="15472"/>
    <n v="368"/>
    <d v="2022-07-07T00:00:00"/>
    <s v="July"/>
    <n v="2022"/>
    <x v="764"/>
    <n v="176"/>
    <s v="4G"/>
  </r>
  <r>
    <n v="15473"/>
    <n v="334"/>
    <d v="2023-07-23T00:00:00"/>
    <s v="July"/>
    <n v="2023"/>
    <x v="94"/>
    <n v="297"/>
    <s v="4G"/>
  </r>
  <r>
    <n v="15474"/>
    <n v="425"/>
    <d v="2023-12-12T00:00:00"/>
    <s v="December"/>
    <n v="2023"/>
    <x v="331"/>
    <n v="279"/>
    <s v="4G"/>
  </r>
  <r>
    <n v="15475"/>
    <n v="420"/>
    <d v="2023-06-13T00:00:00"/>
    <s v="June"/>
    <n v="2023"/>
    <x v="418"/>
    <n v="299"/>
    <s v="4G"/>
  </r>
  <r>
    <n v="15476"/>
    <n v="377"/>
    <d v="2023-03-10T00:00:00"/>
    <s v="March"/>
    <n v="2023"/>
    <x v="544"/>
    <n v="128"/>
    <s v="4G"/>
  </r>
  <r>
    <n v="15477"/>
    <n v="279"/>
    <d v="2022-10-15T00:00:00"/>
    <s v="October"/>
    <n v="2022"/>
    <x v="85"/>
    <n v="179"/>
    <s v="4G"/>
  </r>
  <r>
    <n v="15478"/>
    <n v="171"/>
    <d v="2023-07-21T00:00:00"/>
    <s v="July"/>
    <n v="2023"/>
    <x v="71"/>
    <n v="291"/>
    <s v="5G"/>
  </r>
  <r>
    <n v="15479"/>
    <n v="134"/>
    <d v="2023-05-14T00:00:00"/>
    <s v="May"/>
    <n v="2023"/>
    <x v="596"/>
    <n v="206"/>
    <s v="5G"/>
  </r>
  <r>
    <n v="15480"/>
    <n v="495"/>
    <d v="2023-03-17T00:00:00"/>
    <s v="March"/>
    <n v="2023"/>
    <x v="650"/>
    <n v="293"/>
    <s v="4G"/>
  </r>
  <r>
    <n v="15481"/>
    <n v="453"/>
    <d v="2024-02-20T00:00:00"/>
    <s v="February"/>
    <n v="2024"/>
    <x v="50"/>
    <n v="174"/>
    <s v="5G"/>
  </r>
  <r>
    <n v="15482"/>
    <n v="427"/>
    <d v="2022-10-30T00:00:00"/>
    <s v="October"/>
    <n v="2022"/>
    <x v="212"/>
    <n v="28"/>
    <s v="5G"/>
  </r>
  <r>
    <n v="15483"/>
    <n v="25"/>
    <d v="2022-03-28T00:00:00"/>
    <s v="March"/>
    <n v="2022"/>
    <x v="663"/>
    <n v="178"/>
    <s v="4G"/>
  </r>
  <r>
    <n v="15484"/>
    <n v="18"/>
    <d v="2024-04-09T00:00:00"/>
    <s v="April"/>
    <n v="2024"/>
    <x v="395"/>
    <n v="40"/>
    <s v="4G"/>
  </r>
  <r>
    <n v="15485"/>
    <n v="190"/>
    <d v="2023-03-14T00:00:00"/>
    <s v="March"/>
    <n v="2023"/>
    <x v="383"/>
    <n v="191"/>
    <s v="4G"/>
  </r>
  <r>
    <n v="15486"/>
    <n v="141"/>
    <d v="2023-06-25T00:00:00"/>
    <s v="June"/>
    <n v="2023"/>
    <x v="278"/>
    <n v="236"/>
    <s v="4G"/>
  </r>
  <r>
    <n v="15487"/>
    <n v="43"/>
    <d v="2022-01-22T00:00:00"/>
    <s v="January"/>
    <n v="2022"/>
    <x v="517"/>
    <n v="224"/>
    <s v="5G"/>
  </r>
  <r>
    <n v="15488"/>
    <n v="334"/>
    <d v="2024-04-12T00:00:00"/>
    <s v="April"/>
    <n v="2024"/>
    <x v="552"/>
    <n v="113"/>
    <s v="5G"/>
  </r>
  <r>
    <n v="15489"/>
    <n v="284"/>
    <d v="2024-03-07T00:00:00"/>
    <s v="March"/>
    <n v="2024"/>
    <x v="0"/>
    <n v="277"/>
    <s v="5G"/>
  </r>
  <r>
    <n v="15490"/>
    <n v="146"/>
    <d v="2023-07-14T00:00:00"/>
    <s v="July"/>
    <n v="2023"/>
    <x v="475"/>
    <n v="16"/>
    <s v="4G"/>
  </r>
  <r>
    <n v="15491"/>
    <n v="315"/>
    <d v="2023-06-01T00:00:00"/>
    <s v="June"/>
    <n v="2023"/>
    <x v="88"/>
    <n v="85"/>
    <s v="4G"/>
  </r>
  <r>
    <n v="15492"/>
    <n v="444"/>
    <d v="2024-02-01T00:00:00"/>
    <s v="February"/>
    <n v="2024"/>
    <x v="343"/>
    <n v="180"/>
    <s v="4G"/>
  </r>
  <r>
    <n v="15493"/>
    <n v="319"/>
    <d v="2023-11-06T00:00:00"/>
    <s v="November"/>
    <n v="2023"/>
    <x v="251"/>
    <n v="144"/>
    <s v="4G"/>
  </r>
  <r>
    <n v="15494"/>
    <n v="441"/>
    <d v="2023-05-18T00:00:00"/>
    <s v="May"/>
    <n v="2023"/>
    <x v="215"/>
    <n v="224"/>
    <s v="4G"/>
  </r>
  <r>
    <n v="15495"/>
    <n v="92"/>
    <d v="2023-12-15T00:00:00"/>
    <s v="December"/>
    <n v="2023"/>
    <x v="152"/>
    <n v="53"/>
    <s v="4G"/>
  </r>
  <r>
    <n v="15496"/>
    <n v="179"/>
    <d v="2023-04-12T00:00:00"/>
    <s v="April"/>
    <n v="2023"/>
    <x v="102"/>
    <n v="67"/>
    <s v="4G"/>
  </r>
  <r>
    <n v="15497"/>
    <n v="56"/>
    <d v="2022-04-11T00:00:00"/>
    <s v="April"/>
    <n v="2022"/>
    <x v="500"/>
    <n v="106"/>
    <s v="4G"/>
  </r>
  <r>
    <n v="15498"/>
    <n v="155"/>
    <d v="2023-08-06T00:00:00"/>
    <s v="August"/>
    <n v="2023"/>
    <x v="182"/>
    <n v="76"/>
    <s v="5G"/>
  </r>
  <r>
    <n v="15499"/>
    <n v="160"/>
    <d v="2023-11-06T00:00:00"/>
    <s v="November"/>
    <n v="2023"/>
    <x v="632"/>
    <n v="26"/>
    <s v="4G"/>
  </r>
  <r>
    <n v="15500"/>
    <n v="111"/>
    <d v="2023-11-16T00:00:00"/>
    <s v="November"/>
    <n v="2023"/>
    <x v="242"/>
    <n v="154"/>
    <s v="5G"/>
  </r>
  <r>
    <n v="15501"/>
    <n v="137"/>
    <d v="2022-05-21T00:00:00"/>
    <s v="May"/>
    <n v="2022"/>
    <x v="237"/>
    <n v="71"/>
    <s v="5G"/>
  </r>
  <r>
    <n v="15502"/>
    <n v="232"/>
    <d v="2022-05-18T00:00:00"/>
    <s v="May"/>
    <n v="2022"/>
    <x v="122"/>
    <n v="179"/>
    <s v="5G"/>
  </r>
  <r>
    <n v="15503"/>
    <n v="480"/>
    <d v="2023-08-01T00:00:00"/>
    <s v="August"/>
    <n v="2023"/>
    <x v="389"/>
    <n v="46"/>
    <s v="5G"/>
  </r>
  <r>
    <n v="15504"/>
    <n v="468"/>
    <d v="2023-12-11T00:00:00"/>
    <s v="December"/>
    <n v="2023"/>
    <x v="495"/>
    <n v="241"/>
    <s v="4G"/>
  </r>
  <r>
    <n v="15505"/>
    <n v="220"/>
    <d v="2024-04-19T00:00:00"/>
    <s v="April"/>
    <n v="2024"/>
    <x v="293"/>
    <n v="276"/>
    <s v="4G"/>
  </r>
  <r>
    <n v="15506"/>
    <n v="481"/>
    <d v="2022-08-16T00:00:00"/>
    <s v="August"/>
    <n v="2022"/>
    <x v="321"/>
    <n v="104"/>
    <s v="5G"/>
  </r>
  <r>
    <n v="15507"/>
    <n v="68"/>
    <d v="2022-10-08T00:00:00"/>
    <s v="October"/>
    <n v="2022"/>
    <x v="375"/>
    <n v="94"/>
    <s v="5G"/>
  </r>
  <r>
    <n v="15508"/>
    <n v="302"/>
    <d v="2023-11-15T00:00:00"/>
    <s v="November"/>
    <n v="2023"/>
    <x v="234"/>
    <n v="218"/>
    <s v="4G"/>
  </r>
  <r>
    <n v="15509"/>
    <n v="249"/>
    <d v="2024-04-07T00:00:00"/>
    <s v="April"/>
    <n v="2024"/>
    <x v="252"/>
    <n v="169"/>
    <s v="5G"/>
  </r>
  <r>
    <n v="15510"/>
    <n v="482"/>
    <d v="2023-03-07T00:00:00"/>
    <s v="March"/>
    <n v="2023"/>
    <x v="886"/>
    <n v="282"/>
    <s v="4G"/>
  </r>
  <r>
    <n v="15511"/>
    <n v="496"/>
    <d v="2022-02-09T00:00:00"/>
    <s v="February"/>
    <n v="2022"/>
    <x v="701"/>
    <n v="127"/>
    <s v="4G"/>
  </r>
  <r>
    <n v="15512"/>
    <n v="323"/>
    <d v="2023-06-03T00:00:00"/>
    <s v="June"/>
    <n v="2023"/>
    <x v="372"/>
    <n v="199"/>
    <s v="4G"/>
  </r>
  <r>
    <n v="15513"/>
    <n v="410"/>
    <d v="2023-11-17T00:00:00"/>
    <s v="November"/>
    <n v="2023"/>
    <x v="216"/>
    <n v="34"/>
    <s v="4G"/>
  </r>
  <r>
    <n v="15514"/>
    <n v="392"/>
    <d v="2023-10-25T00:00:00"/>
    <s v="October"/>
    <n v="2023"/>
    <x v="65"/>
    <n v="143"/>
    <s v="4G"/>
  </r>
  <r>
    <n v="15515"/>
    <n v="6"/>
    <d v="2022-07-30T00:00:00"/>
    <s v="July"/>
    <n v="2022"/>
    <x v="449"/>
    <n v="291"/>
    <s v="4G"/>
  </r>
  <r>
    <n v="15516"/>
    <n v="464"/>
    <d v="2022-10-29T00:00:00"/>
    <s v="October"/>
    <n v="2022"/>
    <x v="251"/>
    <n v="65"/>
    <s v="4G"/>
  </r>
  <r>
    <n v="15517"/>
    <n v="280"/>
    <d v="2022-03-27T00:00:00"/>
    <s v="March"/>
    <n v="2022"/>
    <x v="441"/>
    <n v="218"/>
    <s v="5G"/>
  </r>
  <r>
    <n v="15518"/>
    <n v="432"/>
    <d v="2023-02-01T00:00:00"/>
    <s v="February"/>
    <n v="2023"/>
    <x v="21"/>
    <n v="55"/>
    <s v="4G"/>
  </r>
  <r>
    <n v="15519"/>
    <n v="487"/>
    <d v="2022-09-10T00:00:00"/>
    <s v="September"/>
    <n v="2022"/>
    <x v="7"/>
    <n v="144"/>
    <s v="4G"/>
  </r>
  <r>
    <n v="15520"/>
    <n v="94"/>
    <d v="2023-06-17T00:00:00"/>
    <s v="June"/>
    <n v="2023"/>
    <x v="911"/>
    <n v="212"/>
    <s v="4G"/>
  </r>
  <r>
    <n v="15521"/>
    <n v="429"/>
    <d v="2024-02-08T00:00:00"/>
    <s v="February"/>
    <n v="2024"/>
    <x v="591"/>
    <n v="93"/>
    <s v="4G"/>
  </r>
  <r>
    <n v="15522"/>
    <n v="269"/>
    <d v="2024-06-09T00:00:00"/>
    <s v="June"/>
    <n v="2024"/>
    <x v="230"/>
    <n v="105"/>
    <s v="4G"/>
  </r>
  <r>
    <n v="15523"/>
    <n v="197"/>
    <d v="2023-01-16T00:00:00"/>
    <s v="January"/>
    <n v="2023"/>
    <x v="221"/>
    <n v="83"/>
    <s v="4G"/>
  </r>
  <r>
    <n v="15524"/>
    <n v="25"/>
    <d v="2023-03-20T00:00:00"/>
    <s v="March"/>
    <n v="2023"/>
    <x v="142"/>
    <n v="135"/>
    <s v="5G"/>
  </r>
  <r>
    <n v="15525"/>
    <n v="148"/>
    <d v="2022-02-02T00:00:00"/>
    <s v="February"/>
    <n v="2022"/>
    <x v="697"/>
    <n v="145"/>
    <s v="4G"/>
  </r>
  <r>
    <n v="15526"/>
    <n v="118"/>
    <d v="2022-09-17T00:00:00"/>
    <s v="September"/>
    <n v="2022"/>
    <x v="465"/>
    <n v="248"/>
    <s v="4G"/>
  </r>
  <r>
    <n v="15527"/>
    <n v="338"/>
    <d v="2022-08-22T00:00:00"/>
    <s v="August"/>
    <n v="2022"/>
    <x v="177"/>
    <n v="17"/>
    <s v="5G"/>
  </r>
  <r>
    <n v="15528"/>
    <n v="367"/>
    <d v="2023-05-30T00:00:00"/>
    <s v="May"/>
    <n v="2023"/>
    <x v="912"/>
    <n v="124"/>
    <s v="5G"/>
  </r>
  <r>
    <n v="15529"/>
    <n v="338"/>
    <d v="2024-05-08T00:00:00"/>
    <s v="May"/>
    <n v="2024"/>
    <x v="498"/>
    <n v="1"/>
    <s v="4G"/>
  </r>
  <r>
    <n v="15530"/>
    <n v="66"/>
    <d v="2022-11-04T00:00:00"/>
    <s v="November"/>
    <n v="2022"/>
    <x v="108"/>
    <n v="199"/>
    <s v="4G"/>
  </r>
  <r>
    <n v="15531"/>
    <n v="458"/>
    <d v="2024-01-09T00:00:00"/>
    <s v="January"/>
    <n v="2024"/>
    <x v="378"/>
    <n v="137"/>
    <s v="4G"/>
  </r>
  <r>
    <n v="15532"/>
    <n v="301"/>
    <d v="2024-03-06T00:00:00"/>
    <s v="March"/>
    <n v="2024"/>
    <x v="67"/>
    <n v="202"/>
    <s v="4G"/>
  </r>
  <r>
    <n v="15533"/>
    <n v="370"/>
    <d v="2022-03-11T00:00:00"/>
    <s v="March"/>
    <n v="2022"/>
    <x v="172"/>
    <n v="281"/>
    <s v="4G"/>
  </r>
  <r>
    <n v="15534"/>
    <n v="175"/>
    <d v="2023-03-30T00:00:00"/>
    <s v="March"/>
    <n v="2023"/>
    <x v="913"/>
    <n v="29"/>
    <s v="5G"/>
  </r>
  <r>
    <n v="15535"/>
    <n v="319"/>
    <d v="2023-03-15T00:00:00"/>
    <s v="March"/>
    <n v="2023"/>
    <x v="900"/>
    <n v="55"/>
    <s v="4G"/>
  </r>
  <r>
    <n v="15536"/>
    <n v="76"/>
    <d v="2024-04-04T00:00:00"/>
    <s v="April"/>
    <n v="2024"/>
    <x v="303"/>
    <n v="118"/>
    <s v="4G"/>
  </r>
  <r>
    <n v="15537"/>
    <n v="495"/>
    <d v="2022-12-30T00:00:00"/>
    <s v="December"/>
    <n v="2022"/>
    <x v="358"/>
    <n v="131"/>
    <s v="4G"/>
  </r>
  <r>
    <n v="15538"/>
    <n v="461"/>
    <d v="2024-02-05T00:00:00"/>
    <s v="February"/>
    <n v="2024"/>
    <x v="211"/>
    <n v="230"/>
    <s v="5G"/>
  </r>
  <r>
    <n v="15539"/>
    <n v="114"/>
    <d v="2023-04-26T00:00:00"/>
    <s v="April"/>
    <n v="2023"/>
    <x v="496"/>
    <n v="151"/>
    <s v="4G"/>
  </r>
  <r>
    <n v="15540"/>
    <n v="111"/>
    <d v="2022-05-24T00:00:00"/>
    <s v="May"/>
    <n v="2022"/>
    <x v="29"/>
    <n v="20"/>
    <s v="4G"/>
  </r>
  <r>
    <n v="15541"/>
    <n v="249"/>
    <d v="2022-01-24T00:00:00"/>
    <s v="January"/>
    <n v="2022"/>
    <x v="574"/>
    <n v="67"/>
    <s v="4G"/>
  </r>
  <r>
    <n v="15542"/>
    <n v="439"/>
    <d v="2023-03-01T00:00:00"/>
    <s v="March"/>
    <n v="2023"/>
    <x v="182"/>
    <n v="125"/>
    <s v="4G"/>
  </r>
  <r>
    <n v="15543"/>
    <n v="203"/>
    <d v="2024-01-16T00:00:00"/>
    <s v="January"/>
    <n v="2024"/>
    <x v="45"/>
    <n v="42"/>
    <s v="5G"/>
  </r>
  <r>
    <n v="15544"/>
    <n v="147"/>
    <d v="2024-04-24T00:00:00"/>
    <s v="April"/>
    <n v="2024"/>
    <x v="407"/>
    <n v="181"/>
    <s v="4G"/>
  </r>
  <r>
    <n v="15545"/>
    <n v="35"/>
    <d v="2022-06-24T00:00:00"/>
    <s v="June"/>
    <n v="2022"/>
    <x v="239"/>
    <n v="99"/>
    <s v="4G"/>
  </r>
  <r>
    <n v="15546"/>
    <n v="487"/>
    <d v="2024-04-23T00:00:00"/>
    <s v="April"/>
    <n v="2024"/>
    <x v="177"/>
    <n v="239"/>
    <s v="4G"/>
  </r>
  <r>
    <n v="15547"/>
    <n v="309"/>
    <d v="2022-11-21T00:00:00"/>
    <s v="November"/>
    <n v="2022"/>
    <x v="112"/>
    <n v="199"/>
    <s v="5G"/>
  </r>
  <r>
    <n v="15548"/>
    <n v="26"/>
    <d v="2024-05-18T00:00:00"/>
    <s v="May"/>
    <n v="2024"/>
    <x v="118"/>
    <n v="115"/>
    <s v="4G"/>
  </r>
  <r>
    <n v="15549"/>
    <n v="238"/>
    <d v="2023-11-02T00:00:00"/>
    <s v="November"/>
    <n v="2023"/>
    <x v="563"/>
    <n v="114"/>
    <s v="5G"/>
  </r>
  <r>
    <n v="15550"/>
    <n v="14"/>
    <d v="2024-05-09T00:00:00"/>
    <s v="May"/>
    <n v="2024"/>
    <x v="258"/>
    <n v="141"/>
    <s v="4G"/>
  </r>
  <r>
    <n v="15551"/>
    <n v="374"/>
    <d v="2022-12-14T00:00:00"/>
    <s v="December"/>
    <n v="2022"/>
    <x v="172"/>
    <n v="118"/>
    <s v="4G"/>
  </r>
  <r>
    <n v="15552"/>
    <n v="45"/>
    <d v="2024-03-08T00:00:00"/>
    <s v="March"/>
    <n v="2024"/>
    <x v="129"/>
    <n v="92"/>
    <s v="4G"/>
  </r>
  <r>
    <n v="15553"/>
    <n v="428"/>
    <d v="2022-01-18T00:00:00"/>
    <s v="January"/>
    <n v="2022"/>
    <x v="648"/>
    <n v="8"/>
    <s v="4G"/>
  </r>
  <r>
    <n v="15554"/>
    <n v="216"/>
    <d v="2022-02-13T00:00:00"/>
    <s v="February"/>
    <n v="2022"/>
    <x v="399"/>
    <n v="72"/>
    <s v="5G"/>
  </r>
  <r>
    <n v="15555"/>
    <n v="233"/>
    <d v="2022-06-04T00:00:00"/>
    <s v="June"/>
    <n v="2022"/>
    <x v="221"/>
    <n v="25"/>
    <s v="5G"/>
  </r>
  <r>
    <n v="15556"/>
    <n v="193"/>
    <d v="2024-05-16T00:00:00"/>
    <s v="May"/>
    <n v="2024"/>
    <x v="534"/>
    <n v="238"/>
    <s v="4G"/>
  </r>
  <r>
    <n v="15557"/>
    <n v="51"/>
    <d v="2023-01-12T00:00:00"/>
    <s v="January"/>
    <n v="2023"/>
    <x v="196"/>
    <n v="144"/>
    <s v="4G"/>
  </r>
  <r>
    <n v="15558"/>
    <n v="427"/>
    <d v="2024-01-13T00:00:00"/>
    <s v="January"/>
    <n v="2024"/>
    <x v="170"/>
    <n v="67"/>
    <s v="4G"/>
  </r>
  <r>
    <n v="15559"/>
    <n v="375"/>
    <d v="2024-06-01T00:00:00"/>
    <s v="June"/>
    <n v="2024"/>
    <x v="236"/>
    <n v="187"/>
    <s v="5G"/>
  </r>
  <r>
    <n v="15560"/>
    <n v="214"/>
    <d v="2024-04-07T00:00:00"/>
    <s v="April"/>
    <n v="2024"/>
    <x v="6"/>
    <n v="130"/>
    <s v="4G"/>
  </r>
  <r>
    <n v="15561"/>
    <n v="151"/>
    <d v="2023-02-06T00:00:00"/>
    <s v="February"/>
    <n v="2023"/>
    <x v="357"/>
    <n v="220"/>
    <s v="4G"/>
  </r>
  <r>
    <n v="15562"/>
    <n v="440"/>
    <d v="2022-08-13T00:00:00"/>
    <s v="August"/>
    <n v="2022"/>
    <x v="447"/>
    <n v="280"/>
    <s v="4G"/>
  </r>
  <r>
    <n v="15563"/>
    <n v="275"/>
    <d v="2022-08-05T00:00:00"/>
    <s v="August"/>
    <n v="2022"/>
    <x v="104"/>
    <n v="276"/>
    <s v="4G"/>
  </r>
  <r>
    <n v="15564"/>
    <n v="338"/>
    <d v="2023-07-22T00:00:00"/>
    <s v="July"/>
    <n v="2023"/>
    <x v="384"/>
    <n v="139"/>
    <s v="5G"/>
  </r>
  <r>
    <n v="15565"/>
    <n v="76"/>
    <d v="2022-01-31T00:00:00"/>
    <s v="January"/>
    <n v="2022"/>
    <x v="495"/>
    <n v="53"/>
    <s v="5G"/>
  </r>
  <r>
    <n v="15566"/>
    <n v="439"/>
    <d v="2024-05-18T00:00:00"/>
    <s v="May"/>
    <n v="2024"/>
    <x v="223"/>
    <n v="0"/>
    <s v="4G"/>
  </r>
  <r>
    <n v="15567"/>
    <n v="220"/>
    <d v="2022-02-28T00:00:00"/>
    <s v="February"/>
    <n v="2022"/>
    <x v="53"/>
    <n v="127"/>
    <s v="4G"/>
  </r>
  <r>
    <n v="15568"/>
    <n v="348"/>
    <d v="2024-06-10T00:00:00"/>
    <s v="June"/>
    <n v="2024"/>
    <x v="368"/>
    <n v="0"/>
    <s v="4G"/>
  </r>
  <r>
    <n v="15569"/>
    <n v="444"/>
    <d v="2024-06-16T00:00:00"/>
    <s v="June"/>
    <n v="2024"/>
    <x v="106"/>
    <n v="172"/>
    <s v="5G"/>
  </r>
  <r>
    <n v="15570"/>
    <n v="187"/>
    <d v="2022-12-19T00:00:00"/>
    <s v="December"/>
    <n v="2022"/>
    <x v="635"/>
    <n v="265"/>
    <s v="4G"/>
  </r>
  <r>
    <n v="15571"/>
    <n v="289"/>
    <d v="2023-03-21T00:00:00"/>
    <s v="March"/>
    <n v="2023"/>
    <x v="855"/>
    <n v="295"/>
    <s v="4G"/>
  </r>
  <r>
    <n v="15572"/>
    <n v="403"/>
    <d v="2022-08-23T00:00:00"/>
    <s v="August"/>
    <n v="2022"/>
    <x v="91"/>
    <n v="255"/>
    <s v="4G"/>
  </r>
  <r>
    <n v="15573"/>
    <n v="28"/>
    <d v="2022-04-17T00:00:00"/>
    <s v="April"/>
    <n v="2022"/>
    <x v="78"/>
    <n v="173"/>
    <s v="4G"/>
  </r>
  <r>
    <n v="15574"/>
    <n v="379"/>
    <d v="2022-07-10T00:00:00"/>
    <s v="July"/>
    <n v="2022"/>
    <x v="372"/>
    <n v="44"/>
    <s v="4G"/>
  </r>
  <r>
    <n v="15575"/>
    <n v="180"/>
    <d v="2023-06-14T00:00:00"/>
    <s v="June"/>
    <n v="2023"/>
    <x v="26"/>
    <n v="140"/>
    <s v="4G"/>
  </r>
  <r>
    <n v="15576"/>
    <n v="253"/>
    <d v="2024-01-08T00:00:00"/>
    <s v="January"/>
    <n v="2024"/>
    <x v="459"/>
    <n v="26"/>
    <s v="5G"/>
  </r>
  <r>
    <n v="15577"/>
    <n v="126"/>
    <d v="2023-11-10T00:00:00"/>
    <s v="November"/>
    <n v="2023"/>
    <x v="615"/>
    <n v="232"/>
    <s v="4G"/>
  </r>
  <r>
    <n v="15578"/>
    <n v="177"/>
    <d v="2023-08-06T00:00:00"/>
    <s v="August"/>
    <n v="2023"/>
    <x v="478"/>
    <n v="208"/>
    <s v="4G"/>
  </r>
  <r>
    <n v="15579"/>
    <n v="37"/>
    <d v="2024-05-23T00:00:00"/>
    <s v="May"/>
    <n v="2024"/>
    <x v="9"/>
    <n v="49"/>
    <s v="4G"/>
  </r>
  <r>
    <n v="15580"/>
    <n v="410"/>
    <d v="2023-07-20T00:00:00"/>
    <s v="July"/>
    <n v="2023"/>
    <x v="482"/>
    <n v="60"/>
    <s v="4G"/>
  </r>
  <r>
    <n v="15581"/>
    <n v="99"/>
    <d v="2022-09-02T00:00:00"/>
    <s v="September"/>
    <n v="2022"/>
    <x v="299"/>
    <n v="242"/>
    <s v="4G"/>
  </r>
  <r>
    <n v="15582"/>
    <n v="98"/>
    <d v="2024-05-11T00:00:00"/>
    <s v="May"/>
    <n v="2024"/>
    <x v="288"/>
    <n v="268"/>
    <s v="4G"/>
  </r>
  <r>
    <n v="15583"/>
    <n v="127"/>
    <d v="2022-03-17T00:00:00"/>
    <s v="March"/>
    <n v="2022"/>
    <x v="488"/>
    <n v="139"/>
    <s v="4G"/>
  </r>
  <r>
    <n v="15584"/>
    <n v="483"/>
    <d v="2023-07-01T00:00:00"/>
    <s v="July"/>
    <n v="2023"/>
    <x v="80"/>
    <n v="156"/>
    <s v="4G"/>
  </r>
  <r>
    <n v="15585"/>
    <n v="168"/>
    <d v="2022-09-24T00:00:00"/>
    <s v="September"/>
    <n v="2022"/>
    <x v="129"/>
    <n v="84"/>
    <s v="4G"/>
  </r>
  <r>
    <n v="15586"/>
    <n v="80"/>
    <d v="2022-11-13T00:00:00"/>
    <s v="November"/>
    <n v="2022"/>
    <x v="452"/>
    <n v="83"/>
    <s v="4G"/>
  </r>
  <r>
    <n v="15587"/>
    <n v="294"/>
    <d v="2024-03-22T00:00:00"/>
    <s v="March"/>
    <n v="2024"/>
    <x v="482"/>
    <n v="275"/>
    <s v="5G"/>
  </r>
  <r>
    <n v="15588"/>
    <n v="333"/>
    <d v="2022-05-01T00:00:00"/>
    <s v="May"/>
    <n v="2022"/>
    <x v="471"/>
    <n v="30"/>
    <s v="4G"/>
  </r>
  <r>
    <n v="15589"/>
    <n v="126"/>
    <d v="2024-04-15T00:00:00"/>
    <s v="April"/>
    <n v="2024"/>
    <x v="272"/>
    <n v="7"/>
    <s v="4G"/>
  </r>
  <r>
    <n v="15590"/>
    <n v="343"/>
    <d v="2022-01-25T00:00:00"/>
    <s v="January"/>
    <n v="2022"/>
    <x v="376"/>
    <n v="279"/>
    <s v="4G"/>
  </r>
  <r>
    <n v="15591"/>
    <n v="310"/>
    <d v="2023-03-08T00:00:00"/>
    <s v="March"/>
    <n v="2023"/>
    <x v="72"/>
    <n v="202"/>
    <s v="4G"/>
  </r>
  <r>
    <n v="15592"/>
    <n v="150"/>
    <d v="2022-06-09T00:00:00"/>
    <s v="June"/>
    <n v="2022"/>
    <x v="9"/>
    <n v="32"/>
    <s v="5G"/>
  </r>
  <r>
    <n v="15593"/>
    <n v="16"/>
    <d v="2023-08-19T00:00:00"/>
    <s v="August"/>
    <n v="2023"/>
    <x v="56"/>
    <n v="297"/>
    <s v="4G"/>
  </r>
  <r>
    <n v="15594"/>
    <n v="28"/>
    <d v="2022-04-24T00:00:00"/>
    <s v="April"/>
    <n v="2022"/>
    <x v="63"/>
    <n v="142"/>
    <s v="5G"/>
  </r>
  <r>
    <n v="15595"/>
    <n v="496"/>
    <d v="2024-01-05T00:00:00"/>
    <s v="January"/>
    <n v="2024"/>
    <x v="369"/>
    <n v="36"/>
    <s v="4G"/>
  </r>
  <r>
    <n v="15596"/>
    <n v="419"/>
    <d v="2024-06-18T00:00:00"/>
    <s v="June"/>
    <n v="2024"/>
    <x v="145"/>
    <n v="146"/>
    <s v="5G"/>
  </r>
  <r>
    <n v="15597"/>
    <n v="444"/>
    <d v="2023-05-17T00:00:00"/>
    <s v="May"/>
    <n v="2023"/>
    <x v="852"/>
    <n v="227"/>
    <s v="5G"/>
  </r>
  <r>
    <n v="15598"/>
    <n v="173"/>
    <d v="2022-06-15T00:00:00"/>
    <s v="June"/>
    <n v="2022"/>
    <x v="567"/>
    <n v="33"/>
    <s v="4G"/>
  </r>
  <r>
    <n v="15599"/>
    <n v="46"/>
    <d v="2023-12-04T00:00:00"/>
    <s v="December"/>
    <n v="2023"/>
    <x v="331"/>
    <n v="236"/>
    <s v="5G"/>
  </r>
  <r>
    <n v="15600"/>
    <n v="328"/>
    <d v="2022-06-24T00:00:00"/>
    <s v="June"/>
    <n v="2022"/>
    <x v="190"/>
    <n v="211"/>
    <s v="4G"/>
  </r>
  <r>
    <n v="15601"/>
    <n v="236"/>
    <d v="2022-01-01T00:00:00"/>
    <s v="January"/>
    <n v="2022"/>
    <x v="110"/>
    <n v="139"/>
    <s v="5G"/>
  </r>
  <r>
    <n v="15602"/>
    <n v="439"/>
    <d v="2024-06-17T00:00:00"/>
    <s v="June"/>
    <n v="2024"/>
    <x v="323"/>
    <n v="189"/>
    <s v="5G"/>
  </r>
  <r>
    <n v="15603"/>
    <n v="214"/>
    <d v="2024-01-11T00:00:00"/>
    <s v="January"/>
    <n v="2024"/>
    <x v="16"/>
    <n v="95"/>
    <s v="5G"/>
  </r>
  <r>
    <n v="15604"/>
    <n v="85"/>
    <d v="2022-03-27T00:00:00"/>
    <s v="March"/>
    <n v="2022"/>
    <x v="17"/>
    <n v="193"/>
    <s v="4G"/>
  </r>
  <r>
    <n v="15605"/>
    <n v="282"/>
    <d v="2023-07-28T00:00:00"/>
    <s v="July"/>
    <n v="2023"/>
    <x v="299"/>
    <n v="295"/>
    <s v="5G"/>
  </r>
  <r>
    <n v="15606"/>
    <n v="232"/>
    <d v="2022-11-16T00:00:00"/>
    <s v="November"/>
    <n v="2022"/>
    <x v="315"/>
    <n v="151"/>
    <s v="4G"/>
  </r>
  <r>
    <n v="15607"/>
    <n v="85"/>
    <d v="2023-02-05T00:00:00"/>
    <s v="February"/>
    <n v="2023"/>
    <x v="550"/>
    <n v="222"/>
    <s v="4G"/>
  </r>
  <r>
    <n v="15608"/>
    <n v="409"/>
    <d v="2023-01-17T00:00:00"/>
    <s v="January"/>
    <n v="2023"/>
    <x v="279"/>
    <n v="195"/>
    <s v="4G"/>
  </r>
  <r>
    <n v="15609"/>
    <n v="489"/>
    <d v="2023-12-19T00:00:00"/>
    <s v="December"/>
    <n v="2023"/>
    <x v="390"/>
    <n v="87"/>
    <s v="5G"/>
  </r>
  <r>
    <n v="15610"/>
    <n v="65"/>
    <d v="2023-09-09T00:00:00"/>
    <s v="September"/>
    <n v="2023"/>
    <x v="783"/>
    <n v="298"/>
    <s v="4G"/>
  </r>
  <r>
    <n v="15611"/>
    <n v="134"/>
    <d v="2022-11-14T00:00:00"/>
    <s v="November"/>
    <n v="2022"/>
    <x v="345"/>
    <n v="16"/>
    <s v="4G"/>
  </r>
  <r>
    <n v="15612"/>
    <n v="151"/>
    <d v="2024-03-13T00:00:00"/>
    <s v="March"/>
    <n v="2024"/>
    <x v="402"/>
    <n v="210"/>
    <s v="4G"/>
  </r>
  <r>
    <n v="15613"/>
    <n v="115"/>
    <d v="2022-09-07T00:00:00"/>
    <s v="September"/>
    <n v="2022"/>
    <x v="174"/>
    <n v="231"/>
    <s v="4G"/>
  </r>
  <r>
    <n v="15614"/>
    <n v="64"/>
    <d v="2023-06-09T00:00:00"/>
    <s v="June"/>
    <n v="2023"/>
    <x v="242"/>
    <n v="182"/>
    <s v="5G"/>
  </r>
  <r>
    <n v="15615"/>
    <n v="343"/>
    <d v="2023-11-06T00:00:00"/>
    <s v="November"/>
    <n v="2023"/>
    <x v="390"/>
    <n v="161"/>
    <s v="5G"/>
  </r>
  <r>
    <n v="15616"/>
    <n v="427"/>
    <d v="2023-07-09T00:00:00"/>
    <s v="July"/>
    <n v="2023"/>
    <x v="294"/>
    <n v="69"/>
    <s v="4G"/>
  </r>
  <r>
    <n v="15617"/>
    <n v="363"/>
    <d v="2024-06-16T00:00:00"/>
    <s v="June"/>
    <n v="2024"/>
    <x v="129"/>
    <n v="59"/>
    <s v="4G"/>
  </r>
  <r>
    <n v="15618"/>
    <n v="407"/>
    <d v="2023-09-15T00:00:00"/>
    <s v="September"/>
    <n v="2023"/>
    <x v="71"/>
    <n v="178"/>
    <s v="4G"/>
  </r>
  <r>
    <n v="15619"/>
    <n v="352"/>
    <d v="2023-12-18T00:00:00"/>
    <s v="December"/>
    <n v="2023"/>
    <x v="648"/>
    <n v="76"/>
    <s v="4G"/>
  </r>
  <r>
    <n v="15620"/>
    <n v="158"/>
    <d v="2024-06-14T00:00:00"/>
    <s v="June"/>
    <n v="2024"/>
    <x v="223"/>
    <n v="34"/>
    <s v="4G"/>
  </r>
  <r>
    <n v="15621"/>
    <n v="77"/>
    <d v="2022-09-13T00:00:00"/>
    <s v="September"/>
    <n v="2022"/>
    <x v="119"/>
    <n v="15"/>
    <s v="4G"/>
  </r>
  <r>
    <n v="15622"/>
    <n v="491"/>
    <d v="2022-11-03T00:00:00"/>
    <s v="November"/>
    <n v="2022"/>
    <x v="761"/>
    <n v="293"/>
    <s v="4G"/>
  </r>
  <r>
    <n v="15623"/>
    <n v="146"/>
    <d v="2022-05-24T00:00:00"/>
    <s v="May"/>
    <n v="2022"/>
    <x v="619"/>
    <n v="170"/>
    <s v="4G"/>
  </r>
  <r>
    <n v="15624"/>
    <n v="343"/>
    <d v="2023-10-20T00:00:00"/>
    <s v="October"/>
    <n v="2023"/>
    <x v="545"/>
    <n v="31"/>
    <s v="4G"/>
  </r>
  <r>
    <n v="15625"/>
    <n v="463"/>
    <d v="2023-01-26T00:00:00"/>
    <s v="January"/>
    <n v="2023"/>
    <x v="288"/>
    <n v="262"/>
    <s v="4G"/>
  </r>
  <r>
    <n v="15626"/>
    <n v="225"/>
    <d v="2024-03-23T00:00:00"/>
    <s v="March"/>
    <n v="2024"/>
    <x v="752"/>
    <n v="214"/>
    <s v="4G"/>
  </r>
  <r>
    <n v="15627"/>
    <n v="405"/>
    <d v="2023-11-07T00:00:00"/>
    <s v="November"/>
    <n v="2023"/>
    <x v="191"/>
    <n v="45"/>
    <s v="4G"/>
  </r>
  <r>
    <n v="15628"/>
    <n v="313"/>
    <d v="2022-06-18T00:00:00"/>
    <s v="June"/>
    <n v="2022"/>
    <x v="377"/>
    <n v="188"/>
    <s v="5G"/>
  </r>
  <r>
    <n v="15629"/>
    <n v="103"/>
    <d v="2022-10-25T00:00:00"/>
    <s v="October"/>
    <n v="2022"/>
    <x v="914"/>
    <n v="273"/>
    <s v="4G"/>
  </r>
  <r>
    <n v="15630"/>
    <n v="407"/>
    <d v="2022-08-21T00:00:00"/>
    <s v="August"/>
    <n v="2022"/>
    <x v="58"/>
    <n v="70"/>
    <s v="4G"/>
  </r>
  <r>
    <n v="15631"/>
    <n v="347"/>
    <d v="2022-09-28T00:00:00"/>
    <s v="September"/>
    <n v="2022"/>
    <x v="604"/>
    <n v="295"/>
    <s v="4G"/>
  </r>
  <r>
    <n v="15632"/>
    <n v="301"/>
    <d v="2022-03-01T00:00:00"/>
    <s v="March"/>
    <n v="2022"/>
    <x v="239"/>
    <n v="87"/>
    <s v="5G"/>
  </r>
  <r>
    <n v="15633"/>
    <n v="428"/>
    <d v="2022-10-23T00:00:00"/>
    <s v="October"/>
    <n v="2022"/>
    <x v="106"/>
    <n v="260"/>
    <s v="5G"/>
  </r>
  <r>
    <n v="15634"/>
    <n v="466"/>
    <d v="2023-04-12T00:00:00"/>
    <s v="April"/>
    <n v="2023"/>
    <x v="338"/>
    <n v="181"/>
    <s v="5G"/>
  </r>
  <r>
    <n v="15635"/>
    <n v="88"/>
    <d v="2022-08-23T00:00:00"/>
    <s v="August"/>
    <n v="2022"/>
    <x v="498"/>
    <n v="21"/>
    <s v="4G"/>
  </r>
  <r>
    <n v="15636"/>
    <n v="371"/>
    <d v="2023-11-08T00:00:00"/>
    <s v="November"/>
    <n v="2023"/>
    <x v="1"/>
    <n v="73"/>
    <s v="4G"/>
  </r>
  <r>
    <n v="15637"/>
    <n v="303"/>
    <d v="2023-12-07T00:00:00"/>
    <s v="December"/>
    <n v="2023"/>
    <x v="36"/>
    <n v="89"/>
    <s v="5G"/>
  </r>
  <r>
    <n v="15638"/>
    <n v="168"/>
    <d v="2022-08-22T00:00:00"/>
    <s v="August"/>
    <n v="2022"/>
    <x v="915"/>
    <n v="165"/>
    <s v="4G"/>
  </r>
  <r>
    <n v="15639"/>
    <n v="435"/>
    <d v="2023-01-03T00:00:00"/>
    <s v="January"/>
    <n v="2023"/>
    <x v="58"/>
    <n v="233"/>
    <s v="5G"/>
  </r>
  <r>
    <n v="15640"/>
    <n v="170"/>
    <d v="2023-11-26T00:00:00"/>
    <s v="November"/>
    <n v="2023"/>
    <x v="234"/>
    <n v="128"/>
    <s v="4G"/>
  </r>
  <r>
    <n v="15641"/>
    <n v="135"/>
    <d v="2024-04-24T00:00:00"/>
    <s v="April"/>
    <n v="2024"/>
    <x v="198"/>
    <n v="291"/>
    <s v="4G"/>
  </r>
  <r>
    <n v="15642"/>
    <n v="50"/>
    <d v="2022-08-20T00:00:00"/>
    <s v="August"/>
    <n v="2022"/>
    <x v="916"/>
    <n v="94"/>
    <s v="5G"/>
  </r>
  <r>
    <n v="15643"/>
    <n v="432"/>
    <d v="2024-05-22T00:00:00"/>
    <s v="May"/>
    <n v="2024"/>
    <x v="92"/>
    <n v="27"/>
    <s v="4G"/>
  </r>
  <r>
    <n v="15644"/>
    <n v="340"/>
    <d v="2023-05-06T00:00:00"/>
    <s v="May"/>
    <n v="2023"/>
    <x v="479"/>
    <n v="34"/>
    <s v="4G"/>
  </r>
  <r>
    <n v="15645"/>
    <n v="347"/>
    <d v="2023-09-11T00:00:00"/>
    <s v="September"/>
    <n v="2023"/>
    <x v="49"/>
    <n v="230"/>
    <s v="4G"/>
  </r>
  <r>
    <n v="15646"/>
    <n v="134"/>
    <d v="2023-05-18T00:00:00"/>
    <s v="May"/>
    <n v="2023"/>
    <x v="488"/>
    <n v="124"/>
    <s v="5G"/>
  </r>
  <r>
    <n v="15647"/>
    <n v="347"/>
    <d v="2024-06-08T00:00:00"/>
    <s v="June"/>
    <n v="2024"/>
    <x v="170"/>
    <n v="78"/>
    <s v="4G"/>
  </r>
  <r>
    <n v="15648"/>
    <n v="137"/>
    <d v="2024-01-05T00:00:00"/>
    <s v="January"/>
    <n v="2024"/>
    <x v="369"/>
    <n v="60"/>
    <s v="4G"/>
  </r>
  <r>
    <n v="15649"/>
    <n v="245"/>
    <d v="2023-08-15T00:00:00"/>
    <s v="August"/>
    <n v="2023"/>
    <x v="263"/>
    <n v="216"/>
    <s v="4G"/>
  </r>
  <r>
    <n v="15650"/>
    <n v="109"/>
    <d v="2024-01-16T00:00:00"/>
    <s v="January"/>
    <n v="2024"/>
    <x v="833"/>
    <n v="281"/>
    <s v="5G"/>
  </r>
  <r>
    <n v="15651"/>
    <n v="313"/>
    <d v="2023-01-16T00:00:00"/>
    <s v="January"/>
    <n v="2023"/>
    <x v="693"/>
    <n v="162"/>
    <s v="5G"/>
  </r>
  <r>
    <n v="15652"/>
    <n v="287"/>
    <d v="2023-11-27T00:00:00"/>
    <s v="November"/>
    <n v="2023"/>
    <x v="150"/>
    <n v="56"/>
    <s v="4G"/>
  </r>
  <r>
    <n v="15653"/>
    <n v="21"/>
    <d v="2023-03-04T00:00:00"/>
    <s v="March"/>
    <n v="2023"/>
    <x v="109"/>
    <n v="190"/>
    <s v="4G"/>
  </r>
  <r>
    <n v="15654"/>
    <n v="90"/>
    <d v="2023-11-28T00:00:00"/>
    <s v="November"/>
    <n v="2023"/>
    <x v="206"/>
    <n v="131"/>
    <s v="4G"/>
  </r>
  <r>
    <n v="15655"/>
    <n v="296"/>
    <d v="2023-10-08T00:00:00"/>
    <s v="October"/>
    <n v="2023"/>
    <x v="396"/>
    <n v="41"/>
    <s v="4G"/>
  </r>
  <r>
    <n v="15656"/>
    <n v="112"/>
    <d v="2024-01-02T00:00:00"/>
    <s v="January"/>
    <n v="2024"/>
    <x v="182"/>
    <n v="172"/>
    <s v="5G"/>
  </r>
  <r>
    <n v="15657"/>
    <n v="301"/>
    <d v="2024-03-10T00:00:00"/>
    <s v="March"/>
    <n v="2024"/>
    <x v="253"/>
    <n v="166"/>
    <s v="4G"/>
  </r>
  <r>
    <n v="15658"/>
    <n v="77"/>
    <d v="2022-12-30T00:00:00"/>
    <s v="December"/>
    <n v="2022"/>
    <x v="293"/>
    <n v="249"/>
    <s v="4G"/>
  </r>
  <r>
    <n v="15659"/>
    <n v="177"/>
    <d v="2022-07-21T00:00:00"/>
    <s v="July"/>
    <n v="2022"/>
    <x v="310"/>
    <n v="192"/>
    <s v="4G"/>
  </r>
  <r>
    <n v="15660"/>
    <n v="343"/>
    <d v="2024-05-31T00:00:00"/>
    <s v="May"/>
    <n v="2024"/>
    <x v="21"/>
    <n v="277"/>
    <s v="4G"/>
  </r>
  <r>
    <n v="15661"/>
    <n v="148"/>
    <d v="2022-05-26T00:00:00"/>
    <s v="May"/>
    <n v="2022"/>
    <x v="36"/>
    <n v="237"/>
    <s v="4G"/>
  </r>
  <r>
    <n v="15662"/>
    <n v="101"/>
    <d v="2024-04-15T00:00:00"/>
    <s v="April"/>
    <n v="2024"/>
    <x v="202"/>
    <n v="229"/>
    <s v="4G"/>
  </r>
  <r>
    <n v="15663"/>
    <n v="246"/>
    <d v="2023-10-01T00:00:00"/>
    <s v="October"/>
    <n v="2023"/>
    <x v="540"/>
    <n v="164"/>
    <s v="5G"/>
  </r>
  <r>
    <n v="15664"/>
    <n v="117"/>
    <d v="2023-04-02T00:00:00"/>
    <s v="April"/>
    <n v="2023"/>
    <x v="337"/>
    <n v="242"/>
    <s v="4G"/>
  </r>
  <r>
    <n v="15665"/>
    <n v="92"/>
    <d v="2022-05-15T00:00:00"/>
    <s v="May"/>
    <n v="2022"/>
    <x v="278"/>
    <n v="89"/>
    <s v="4G"/>
  </r>
  <r>
    <n v="15666"/>
    <n v="401"/>
    <d v="2023-09-18T00:00:00"/>
    <s v="September"/>
    <n v="2023"/>
    <x v="371"/>
    <n v="178"/>
    <s v="4G"/>
  </r>
  <r>
    <n v="15667"/>
    <n v="28"/>
    <d v="2022-09-21T00:00:00"/>
    <s v="September"/>
    <n v="2022"/>
    <x v="772"/>
    <n v="57"/>
    <s v="5G"/>
  </r>
  <r>
    <n v="15668"/>
    <n v="425"/>
    <d v="2022-03-05T00:00:00"/>
    <s v="March"/>
    <n v="2022"/>
    <x v="917"/>
    <n v="262"/>
    <s v="4G"/>
  </r>
  <r>
    <n v="15669"/>
    <n v="450"/>
    <d v="2023-05-06T00:00:00"/>
    <s v="May"/>
    <n v="2023"/>
    <x v="642"/>
    <n v="135"/>
    <s v="5G"/>
  </r>
  <r>
    <n v="15670"/>
    <n v="25"/>
    <d v="2023-10-09T00:00:00"/>
    <s v="October"/>
    <n v="2023"/>
    <x v="182"/>
    <n v="237"/>
    <s v="5G"/>
  </r>
  <r>
    <n v="15671"/>
    <n v="58"/>
    <d v="2022-02-10T00:00:00"/>
    <s v="February"/>
    <n v="2022"/>
    <x v="23"/>
    <n v="242"/>
    <s v="5G"/>
  </r>
  <r>
    <n v="15672"/>
    <n v="498"/>
    <d v="2022-10-23T00:00:00"/>
    <s v="October"/>
    <n v="2022"/>
    <x v="457"/>
    <n v="150"/>
    <s v="4G"/>
  </r>
  <r>
    <n v="15673"/>
    <n v="297"/>
    <d v="2022-01-03T00:00:00"/>
    <s v="January"/>
    <n v="2022"/>
    <x v="300"/>
    <n v="246"/>
    <s v="4G"/>
  </r>
  <r>
    <n v="15674"/>
    <n v="134"/>
    <d v="2023-12-07T00:00:00"/>
    <s v="December"/>
    <n v="2023"/>
    <x v="846"/>
    <n v="218"/>
    <s v="4G"/>
  </r>
  <r>
    <n v="15675"/>
    <n v="331"/>
    <d v="2022-04-20T00:00:00"/>
    <s v="April"/>
    <n v="2022"/>
    <x v="752"/>
    <n v="8"/>
    <s v="4G"/>
  </r>
  <r>
    <n v="15676"/>
    <n v="249"/>
    <d v="2022-08-09T00:00:00"/>
    <s v="August"/>
    <n v="2022"/>
    <x v="388"/>
    <n v="293"/>
    <s v="5G"/>
  </r>
  <r>
    <n v="15677"/>
    <n v="38"/>
    <d v="2023-01-05T00:00:00"/>
    <s v="January"/>
    <n v="2023"/>
    <x v="163"/>
    <n v="12"/>
    <s v="4G"/>
  </r>
  <r>
    <n v="15678"/>
    <n v="390"/>
    <d v="2023-01-03T00:00:00"/>
    <s v="January"/>
    <n v="2023"/>
    <x v="309"/>
    <n v="262"/>
    <s v="4G"/>
  </r>
  <r>
    <n v="15679"/>
    <n v="429"/>
    <d v="2023-03-12T00:00:00"/>
    <s v="March"/>
    <n v="2023"/>
    <x v="324"/>
    <n v="224"/>
    <s v="4G"/>
  </r>
  <r>
    <n v="15680"/>
    <n v="75"/>
    <d v="2022-01-04T00:00:00"/>
    <s v="January"/>
    <n v="2022"/>
    <x v="402"/>
    <n v="230"/>
    <s v="5G"/>
  </r>
  <r>
    <n v="15681"/>
    <n v="142"/>
    <d v="2022-09-01T00:00:00"/>
    <s v="September"/>
    <n v="2022"/>
    <x v="708"/>
    <n v="177"/>
    <s v="4G"/>
  </r>
  <r>
    <n v="15682"/>
    <n v="322"/>
    <d v="2022-06-15T00:00:00"/>
    <s v="June"/>
    <n v="2022"/>
    <x v="194"/>
    <n v="246"/>
    <s v="4G"/>
  </r>
  <r>
    <n v="15683"/>
    <n v="168"/>
    <d v="2022-01-26T00:00:00"/>
    <s v="January"/>
    <n v="2022"/>
    <x v="393"/>
    <n v="66"/>
    <s v="4G"/>
  </r>
  <r>
    <n v="15684"/>
    <n v="259"/>
    <d v="2023-01-30T00:00:00"/>
    <s v="January"/>
    <n v="2023"/>
    <x v="326"/>
    <n v="296"/>
    <s v="5G"/>
  </r>
  <r>
    <n v="15685"/>
    <n v="373"/>
    <d v="2023-04-19T00:00:00"/>
    <s v="April"/>
    <n v="2023"/>
    <x v="265"/>
    <n v="156"/>
    <s v="4G"/>
  </r>
  <r>
    <n v="15686"/>
    <n v="355"/>
    <d v="2022-01-17T00:00:00"/>
    <s v="January"/>
    <n v="2022"/>
    <x v="107"/>
    <n v="164"/>
    <s v="4G"/>
  </r>
  <r>
    <n v="15687"/>
    <n v="225"/>
    <d v="2023-12-29T00:00:00"/>
    <s v="December"/>
    <n v="2023"/>
    <x v="300"/>
    <n v="183"/>
    <s v="4G"/>
  </r>
  <r>
    <n v="15688"/>
    <n v="152"/>
    <d v="2022-04-02T00:00:00"/>
    <s v="April"/>
    <n v="2022"/>
    <x v="416"/>
    <n v="207"/>
    <s v="5G"/>
  </r>
  <r>
    <n v="15689"/>
    <n v="19"/>
    <d v="2023-04-28T00:00:00"/>
    <s v="April"/>
    <n v="2023"/>
    <x v="517"/>
    <n v="15"/>
    <s v="4G"/>
  </r>
  <r>
    <n v="15690"/>
    <n v="146"/>
    <d v="2023-06-27T00:00:00"/>
    <s v="June"/>
    <n v="2023"/>
    <x v="28"/>
    <n v="299"/>
    <s v="5G"/>
  </r>
  <r>
    <n v="15691"/>
    <n v="448"/>
    <d v="2022-07-24T00:00:00"/>
    <s v="July"/>
    <n v="2022"/>
    <x v="23"/>
    <n v="240"/>
    <s v="4G"/>
  </r>
  <r>
    <n v="15692"/>
    <n v="241"/>
    <d v="2023-05-17T00:00:00"/>
    <s v="May"/>
    <n v="2023"/>
    <x v="393"/>
    <n v="229"/>
    <s v="4G"/>
  </r>
  <r>
    <n v="15693"/>
    <n v="372"/>
    <d v="2023-02-04T00:00:00"/>
    <s v="February"/>
    <n v="2023"/>
    <x v="355"/>
    <n v="17"/>
    <s v="4G"/>
  </r>
  <r>
    <n v="15694"/>
    <n v="381"/>
    <d v="2022-07-26T00:00:00"/>
    <s v="July"/>
    <n v="2022"/>
    <x v="16"/>
    <n v="146"/>
    <s v="4G"/>
  </r>
  <r>
    <n v="15695"/>
    <n v="344"/>
    <d v="2023-09-11T00:00:00"/>
    <s v="September"/>
    <n v="2023"/>
    <x v="67"/>
    <n v="243"/>
    <s v="4G"/>
  </r>
  <r>
    <n v="15696"/>
    <n v="237"/>
    <d v="2022-05-26T00:00:00"/>
    <s v="May"/>
    <n v="2022"/>
    <x v="100"/>
    <n v="50"/>
    <s v="4G"/>
  </r>
  <r>
    <n v="15697"/>
    <n v="35"/>
    <d v="2024-05-28T00:00:00"/>
    <s v="May"/>
    <n v="2024"/>
    <x v="235"/>
    <n v="258"/>
    <s v="4G"/>
  </r>
  <r>
    <n v="15698"/>
    <n v="190"/>
    <d v="2022-04-11T00:00:00"/>
    <s v="April"/>
    <n v="2022"/>
    <x v="399"/>
    <n v="237"/>
    <s v="4G"/>
  </r>
  <r>
    <n v="15699"/>
    <n v="1"/>
    <d v="2024-05-29T00:00:00"/>
    <s v="May"/>
    <n v="2024"/>
    <x v="504"/>
    <n v="245"/>
    <s v="4G"/>
  </r>
  <r>
    <n v="15700"/>
    <n v="484"/>
    <d v="2024-04-09T00:00:00"/>
    <s v="April"/>
    <n v="2024"/>
    <x v="163"/>
    <n v="48"/>
    <s v="5G"/>
  </r>
  <r>
    <n v="15701"/>
    <n v="153"/>
    <d v="2024-05-29T00:00:00"/>
    <s v="May"/>
    <n v="2024"/>
    <x v="202"/>
    <n v="283"/>
    <s v="5G"/>
  </r>
  <r>
    <n v="15702"/>
    <n v="429"/>
    <d v="2022-08-29T00:00:00"/>
    <s v="August"/>
    <n v="2022"/>
    <x v="157"/>
    <n v="37"/>
    <s v="4G"/>
  </r>
  <r>
    <n v="15703"/>
    <n v="433"/>
    <d v="2024-01-29T00:00:00"/>
    <s v="January"/>
    <n v="2024"/>
    <x v="7"/>
    <n v="283"/>
    <s v="4G"/>
  </r>
  <r>
    <n v="15704"/>
    <n v="126"/>
    <d v="2022-06-12T00:00:00"/>
    <s v="June"/>
    <n v="2022"/>
    <x v="395"/>
    <n v="31"/>
    <s v="5G"/>
  </r>
  <r>
    <n v="15705"/>
    <n v="491"/>
    <d v="2024-06-02T00:00:00"/>
    <s v="June"/>
    <n v="2024"/>
    <x v="466"/>
    <n v="242"/>
    <s v="5G"/>
  </r>
  <r>
    <n v="15706"/>
    <n v="482"/>
    <d v="2022-06-22T00:00:00"/>
    <s v="June"/>
    <n v="2022"/>
    <x v="585"/>
    <n v="40"/>
    <s v="5G"/>
  </r>
  <r>
    <n v="15707"/>
    <n v="345"/>
    <d v="2023-05-17T00:00:00"/>
    <s v="May"/>
    <n v="2023"/>
    <x v="534"/>
    <n v="291"/>
    <s v="4G"/>
  </r>
  <r>
    <n v="15708"/>
    <n v="400"/>
    <d v="2023-07-01T00:00:00"/>
    <s v="July"/>
    <n v="2023"/>
    <x v="244"/>
    <n v="102"/>
    <s v="4G"/>
  </r>
  <r>
    <n v="15709"/>
    <n v="226"/>
    <d v="2022-10-11T00:00:00"/>
    <s v="October"/>
    <n v="2022"/>
    <x v="460"/>
    <n v="291"/>
    <s v="4G"/>
  </r>
  <r>
    <n v="15710"/>
    <n v="221"/>
    <d v="2022-12-25T00:00:00"/>
    <s v="December"/>
    <n v="2022"/>
    <x v="164"/>
    <n v="106"/>
    <s v="4G"/>
  </r>
  <r>
    <n v="15711"/>
    <n v="403"/>
    <d v="2023-01-16T00:00:00"/>
    <s v="January"/>
    <n v="2023"/>
    <x v="37"/>
    <n v="245"/>
    <s v="4G"/>
  </r>
  <r>
    <n v="15712"/>
    <n v="407"/>
    <d v="2024-05-19T00:00:00"/>
    <s v="May"/>
    <n v="2024"/>
    <x v="715"/>
    <n v="86"/>
    <s v="4G"/>
  </r>
  <r>
    <n v="15713"/>
    <n v="211"/>
    <d v="2023-06-17T00:00:00"/>
    <s v="June"/>
    <n v="2023"/>
    <x v="510"/>
    <n v="65"/>
    <s v="4G"/>
  </r>
  <r>
    <n v="15714"/>
    <n v="25"/>
    <d v="2024-03-30T00:00:00"/>
    <s v="March"/>
    <n v="2024"/>
    <x v="335"/>
    <n v="137"/>
    <s v="4G"/>
  </r>
  <r>
    <n v="15715"/>
    <n v="16"/>
    <d v="2022-06-12T00:00:00"/>
    <s v="June"/>
    <n v="2022"/>
    <x v="102"/>
    <n v="199"/>
    <s v="4G"/>
  </r>
  <r>
    <n v="15716"/>
    <n v="182"/>
    <d v="2023-09-01T00:00:00"/>
    <s v="September"/>
    <n v="2023"/>
    <x v="770"/>
    <n v="92"/>
    <s v="4G"/>
  </r>
  <r>
    <n v="15717"/>
    <n v="499"/>
    <d v="2022-11-03T00:00:00"/>
    <s v="November"/>
    <n v="2022"/>
    <x v="491"/>
    <n v="277"/>
    <s v="5G"/>
  </r>
  <r>
    <n v="15718"/>
    <n v="329"/>
    <d v="2022-12-05T00:00:00"/>
    <s v="December"/>
    <n v="2022"/>
    <x v="321"/>
    <n v="19"/>
    <s v="5G"/>
  </r>
  <r>
    <n v="15719"/>
    <n v="129"/>
    <d v="2022-02-24T00:00:00"/>
    <s v="February"/>
    <n v="2022"/>
    <x v="715"/>
    <n v="288"/>
    <s v="4G"/>
  </r>
  <r>
    <n v="15720"/>
    <n v="42"/>
    <d v="2022-11-29T00:00:00"/>
    <s v="November"/>
    <n v="2022"/>
    <x v="585"/>
    <n v="89"/>
    <s v="5G"/>
  </r>
  <r>
    <n v="15721"/>
    <n v="403"/>
    <d v="2022-05-07T00:00:00"/>
    <s v="May"/>
    <n v="2022"/>
    <x v="433"/>
    <n v="49"/>
    <s v="4G"/>
  </r>
  <r>
    <n v="15722"/>
    <n v="481"/>
    <d v="2023-12-06T00:00:00"/>
    <s v="December"/>
    <n v="2023"/>
    <x v="612"/>
    <n v="9"/>
    <s v="4G"/>
  </r>
  <r>
    <n v="15723"/>
    <n v="418"/>
    <d v="2022-08-31T00:00:00"/>
    <s v="August"/>
    <n v="2022"/>
    <x v="157"/>
    <n v="78"/>
    <s v="5G"/>
  </r>
  <r>
    <n v="15724"/>
    <n v="336"/>
    <d v="2024-05-10T00:00:00"/>
    <s v="May"/>
    <n v="2024"/>
    <x v="389"/>
    <n v="36"/>
    <s v="4G"/>
  </r>
  <r>
    <n v="15725"/>
    <n v="236"/>
    <d v="2023-08-23T00:00:00"/>
    <s v="August"/>
    <n v="2023"/>
    <x v="54"/>
    <n v="58"/>
    <s v="4G"/>
  </r>
  <r>
    <n v="15726"/>
    <n v="360"/>
    <d v="2024-04-27T00:00:00"/>
    <s v="April"/>
    <n v="2024"/>
    <x v="379"/>
    <n v="87"/>
    <s v="4G"/>
  </r>
  <r>
    <n v="15727"/>
    <n v="439"/>
    <d v="2023-02-13T00:00:00"/>
    <s v="February"/>
    <n v="2023"/>
    <x v="337"/>
    <n v="103"/>
    <s v="4G"/>
  </r>
  <r>
    <n v="15728"/>
    <n v="402"/>
    <d v="2023-05-18T00:00:00"/>
    <s v="May"/>
    <n v="2023"/>
    <x v="373"/>
    <n v="276"/>
    <s v="4G"/>
  </r>
  <r>
    <n v="15729"/>
    <n v="34"/>
    <d v="2023-12-28T00:00:00"/>
    <s v="December"/>
    <n v="2023"/>
    <x v="36"/>
    <n v="103"/>
    <s v="4G"/>
  </r>
  <r>
    <n v="15730"/>
    <n v="345"/>
    <d v="2023-08-27T00:00:00"/>
    <s v="August"/>
    <n v="2023"/>
    <x v="479"/>
    <n v="253"/>
    <s v="4G"/>
  </r>
  <r>
    <n v="15731"/>
    <n v="381"/>
    <d v="2022-10-30T00:00:00"/>
    <s v="October"/>
    <n v="2022"/>
    <x v="668"/>
    <n v="229"/>
    <s v="5G"/>
  </r>
  <r>
    <n v="15732"/>
    <n v="45"/>
    <d v="2023-04-09T00:00:00"/>
    <s v="April"/>
    <n v="2023"/>
    <x v="16"/>
    <n v="36"/>
    <s v="4G"/>
  </r>
  <r>
    <n v="15733"/>
    <n v="134"/>
    <d v="2022-08-23T00:00:00"/>
    <s v="August"/>
    <n v="2022"/>
    <x v="85"/>
    <n v="141"/>
    <s v="4G"/>
  </r>
  <r>
    <n v="15734"/>
    <n v="21"/>
    <d v="2023-11-27T00:00:00"/>
    <s v="November"/>
    <n v="2023"/>
    <x v="59"/>
    <n v="42"/>
    <s v="4G"/>
  </r>
  <r>
    <n v="15735"/>
    <n v="122"/>
    <d v="2022-02-07T00:00:00"/>
    <s v="February"/>
    <n v="2022"/>
    <x v="546"/>
    <n v="115"/>
    <s v="5G"/>
  </r>
  <r>
    <n v="15736"/>
    <n v="70"/>
    <d v="2022-05-19T00:00:00"/>
    <s v="May"/>
    <n v="2022"/>
    <x v="550"/>
    <n v="83"/>
    <s v="5G"/>
  </r>
  <r>
    <n v="15737"/>
    <n v="352"/>
    <d v="2022-07-14T00:00:00"/>
    <s v="July"/>
    <n v="2022"/>
    <x v="219"/>
    <n v="258"/>
    <s v="5G"/>
  </r>
  <r>
    <n v="15738"/>
    <n v="361"/>
    <d v="2023-06-11T00:00:00"/>
    <s v="June"/>
    <n v="2023"/>
    <x v="918"/>
    <n v="86"/>
    <s v="4G"/>
  </r>
  <r>
    <n v="15739"/>
    <n v="48"/>
    <d v="2024-02-08T00:00:00"/>
    <s v="February"/>
    <n v="2024"/>
    <x v="552"/>
    <n v="290"/>
    <s v="4G"/>
  </r>
  <r>
    <n v="15740"/>
    <n v="491"/>
    <d v="2023-10-09T00:00:00"/>
    <s v="October"/>
    <n v="2023"/>
    <x v="884"/>
    <n v="95"/>
    <s v="4G"/>
  </r>
  <r>
    <n v="15741"/>
    <n v="39"/>
    <d v="2022-01-01T00:00:00"/>
    <s v="January"/>
    <n v="2022"/>
    <x v="374"/>
    <n v="254"/>
    <s v="4G"/>
  </r>
  <r>
    <n v="15742"/>
    <n v="287"/>
    <d v="2023-07-15T00:00:00"/>
    <s v="July"/>
    <n v="2023"/>
    <x v="768"/>
    <n v="135"/>
    <s v="4G"/>
  </r>
  <r>
    <n v="15743"/>
    <n v="490"/>
    <d v="2022-04-06T00:00:00"/>
    <s v="April"/>
    <n v="2022"/>
    <x v="157"/>
    <n v="247"/>
    <s v="5G"/>
  </r>
  <r>
    <n v="15744"/>
    <n v="10"/>
    <d v="2023-12-14T00:00:00"/>
    <s v="December"/>
    <n v="2023"/>
    <x v="919"/>
    <n v="91"/>
    <s v="4G"/>
  </r>
  <r>
    <n v="15745"/>
    <n v="30"/>
    <d v="2023-02-17T00:00:00"/>
    <s v="February"/>
    <n v="2023"/>
    <x v="407"/>
    <n v="246"/>
    <s v="5G"/>
  </r>
  <r>
    <n v="15746"/>
    <n v="244"/>
    <d v="2023-06-22T00:00:00"/>
    <s v="June"/>
    <n v="2023"/>
    <x v="154"/>
    <n v="257"/>
    <s v="4G"/>
  </r>
  <r>
    <n v="15747"/>
    <n v="274"/>
    <d v="2024-05-04T00:00:00"/>
    <s v="May"/>
    <n v="2024"/>
    <x v="64"/>
    <n v="186"/>
    <s v="5G"/>
  </r>
  <r>
    <n v="15748"/>
    <n v="444"/>
    <d v="2023-03-05T00:00:00"/>
    <s v="March"/>
    <n v="2023"/>
    <x v="74"/>
    <n v="123"/>
    <s v="4G"/>
  </r>
  <r>
    <n v="15749"/>
    <n v="88"/>
    <d v="2022-08-23T00:00:00"/>
    <s v="August"/>
    <n v="2022"/>
    <x v="194"/>
    <n v="259"/>
    <s v="5G"/>
  </r>
  <r>
    <n v="15750"/>
    <n v="244"/>
    <d v="2022-12-15T00:00:00"/>
    <s v="December"/>
    <n v="2022"/>
    <x v="58"/>
    <n v="168"/>
    <s v="4G"/>
  </r>
  <r>
    <n v="15751"/>
    <n v="381"/>
    <d v="2024-01-26T00:00:00"/>
    <s v="January"/>
    <n v="2024"/>
    <x v="396"/>
    <n v="110"/>
    <s v="5G"/>
  </r>
  <r>
    <n v="15752"/>
    <n v="329"/>
    <d v="2024-05-19T00:00:00"/>
    <s v="May"/>
    <n v="2024"/>
    <x v="382"/>
    <n v="289"/>
    <s v="4G"/>
  </r>
  <r>
    <n v="15753"/>
    <n v="479"/>
    <d v="2023-04-26T00:00:00"/>
    <s v="April"/>
    <n v="2023"/>
    <x v="108"/>
    <n v="86"/>
    <s v="4G"/>
  </r>
  <r>
    <n v="15754"/>
    <n v="15"/>
    <d v="2024-04-18T00:00:00"/>
    <s v="April"/>
    <n v="2024"/>
    <x v="21"/>
    <n v="12"/>
    <s v="4G"/>
  </r>
  <r>
    <n v="15755"/>
    <n v="4"/>
    <d v="2023-01-31T00:00:00"/>
    <s v="January"/>
    <n v="2023"/>
    <x v="127"/>
    <n v="262"/>
    <s v="4G"/>
  </r>
  <r>
    <n v="15756"/>
    <n v="191"/>
    <d v="2022-12-17T00:00:00"/>
    <s v="December"/>
    <n v="2022"/>
    <x v="140"/>
    <n v="287"/>
    <s v="4G"/>
  </r>
  <r>
    <n v="15757"/>
    <n v="168"/>
    <d v="2023-02-20T00:00:00"/>
    <s v="February"/>
    <n v="2023"/>
    <x v="85"/>
    <n v="22"/>
    <s v="5G"/>
  </r>
  <r>
    <n v="15758"/>
    <n v="9"/>
    <d v="2024-06-04T00:00:00"/>
    <s v="June"/>
    <n v="2024"/>
    <x v="188"/>
    <n v="199"/>
    <s v="4G"/>
  </r>
  <r>
    <n v="15759"/>
    <n v="109"/>
    <d v="2024-06-05T00:00:00"/>
    <s v="June"/>
    <n v="2024"/>
    <x v="534"/>
    <n v="241"/>
    <s v="5G"/>
  </r>
  <r>
    <n v="15760"/>
    <n v="137"/>
    <d v="2022-02-20T00:00:00"/>
    <s v="February"/>
    <n v="2022"/>
    <x v="297"/>
    <n v="238"/>
    <s v="4G"/>
  </r>
  <r>
    <n v="15761"/>
    <n v="154"/>
    <d v="2022-03-22T00:00:00"/>
    <s v="March"/>
    <n v="2022"/>
    <x v="78"/>
    <n v="164"/>
    <s v="4G"/>
  </r>
  <r>
    <n v="15762"/>
    <n v="388"/>
    <d v="2022-02-05T00:00:00"/>
    <s v="February"/>
    <n v="2022"/>
    <x v="127"/>
    <n v="225"/>
    <s v="4G"/>
  </r>
  <r>
    <n v="15763"/>
    <n v="209"/>
    <d v="2022-03-08T00:00:00"/>
    <s v="March"/>
    <n v="2022"/>
    <x v="263"/>
    <n v="175"/>
    <s v="5G"/>
  </r>
  <r>
    <n v="15764"/>
    <n v="272"/>
    <d v="2023-10-03T00:00:00"/>
    <s v="October"/>
    <n v="2023"/>
    <x v="51"/>
    <n v="28"/>
    <s v="4G"/>
  </r>
  <r>
    <n v="15765"/>
    <n v="143"/>
    <d v="2024-05-31T00:00:00"/>
    <s v="May"/>
    <n v="2024"/>
    <x v="173"/>
    <n v="164"/>
    <s v="4G"/>
  </r>
  <r>
    <n v="15766"/>
    <n v="99"/>
    <d v="2023-10-29T00:00:00"/>
    <s v="October"/>
    <n v="2023"/>
    <x v="556"/>
    <n v="22"/>
    <s v="4G"/>
  </r>
  <r>
    <n v="15767"/>
    <n v="377"/>
    <d v="2024-01-27T00:00:00"/>
    <s v="January"/>
    <n v="2024"/>
    <x v="56"/>
    <n v="293"/>
    <s v="4G"/>
  </r>
  <r>
    <n v="15768"/>
    <n v="308"/>
    <d v="2023-09-15T00:00:00"/>
    <s v="September"/>
    <n v="2023"/>
    <x v="239"/>
    <n v="43"/>
    <s v="4G"/>
  </r>
  <r>
    <n v="15769"/>
    <n v="69"/>
    <d v="2023-11-11T00:00:00"/>
    <s v="November"/>
    <n v="2023"/>
    <x v="178"/>
    <n v="260"/>
    <s v="4G"/>
  </r>
  <r>
    <n v="15770"/>
    <n v="247"/>
    <d v="2023-04-26T00:00:00"/>
    <s v="April"/>
    <n v="2023"/>
    <x v="357"/>
    <n v="179"/>
    <s v="4G"/>
  </r>
  <r>
    <n v="15771"/>
    <n v="261"/>
    <d v="2023-04-13T00:00:00"/>
    <s v="April"/>
    <n v="2023"/>
    <x v="212"/>
    <n v="295"/>
    <s v="4G"/>
  </r>
  <r>
    <n v="15772"/>
    <n v="276"/>
    <d v="2022-05-22T00:00:00"/>
    <s v="May"/>
    <n v="2022"/>
    <x v="173"/>
    <n v="138"/>
    <s v="5G"/>
  </r>
  <r>
    <n v="15773"/>
    <n v="79"/>
    <d v="2022-12-22T00:00:00"/>
    <s v="December"/>
    <n v="2022"/>
    <x v="313"/>
    <n v="247"/>
    <s v="4G"/>
  </r>
  <r>
    <n v="15774"/>
    <n v="146"/>
    <d v="2023-12-10T00:00:00"/>
    <s v="December"/>
    <n v="2023"/>
    <x v="299"/>
    <n v="240"/>
    <s v="5G"/>
  </r>
  <r>
    <n v="15775"/>
    <n v="111"/>
    <d v="2023-04-16T00:00:00"/>
    <s v="April"/>
    <n v="2023"/>
    <x v="920"/>
    <n v="105"/>
    <s v="4G"/>
  </r>
  <r>
    <n v="15776"/>
    <n v="258"/>
    <d v="2023-09-13T00:00:00"/>
    <s v="September"/>
    <n v="2023"/>
    <x v="74"/>
    <n v="172"/>
    <s v="4G"/>
  </r>
  <r>
    <n v="15777"/>
    <n v="93"/>
    <d v="2024-06-06T00:00:00"/>
    <s v="June"/>
    <n v="2024"/>
    <x v="608"/>
    <n v="48"/>
    <s v="4G"/>
  </r>
  <r>
    <n v="15778"/>
    <n v="13"/>
    <d v="2023-08-14T00:00:00"/>
    <s v="August"/>
    <n v="2023"/>
    <x v="921"/>
    <n v="122"/>
    <s v="4G"/>
  </r>
  <r>
    <n v="15779"/>
    <n v="260"/>
    <d v="2023-11-04T00:00:00"/>
    <s v="November"/>
    <n v="2023"/>
    <x v="656"/>
    <n v="34"/>
    <s v="4G"/>
  </r>
  <r>
    <n v="15780"/>
    <n v="426"/>
    <d v="2023-03-15T00:00:00"/>
    <s v="March"/>
    <n v="2023"/>
    <x v="202"/>
    <n v="105"/>
    <s v="4G"/>
  </r>
  <r>
    <n v="15781"/>
    <n v="109"/>
    <d v="2023-06-15T00:00:00"/>
    <s v="June"/>
    <n v="2023"/>
    <x v="529"/>
    <n v="195"/>
    <s v="4G"/>
  </r>
  <r>
    <n v="15782"/>
    <n v="330"/>
    <d v="2022-05-07T00:00:00"/>
    <s v="May"/>
    <n v="2022"/>
    <x v="64"/>
    <n v="108"/>
    <s v="4G"/>
  </r>
  <r>
    <n v="15783"/>
    <n v="189"/>
    <d v="2022-07-24T00:00:00"/>
    <s v="July"/>
    <n v="2022"/>
    <x v="179"/>
    <n v="124"/>
    <s v="4G"/>
  </r>
  <r>
    <n v="15784"/>
    <n v="95"/>
    <d v="2022-01-29T00:00:00"/>
    <s v="January"/>
    <n v="2022"/>
    <x v="54"/>
    <n v="294"/>
    <s v="4G"/>
  </r>
  <r>
    <n v="15785"/>
    <n v="105"/>
    <d v="2023-03-21T00:00:00"/>
    <s v="March"/>
    <n v="2023"/>
    <x v="351"/>
    <n v="36"/>
    <s v="5G"/>
  </r>
  <r>
    <n v="15786"/>
    <n v="8"/>
    <d v="2023-12-20T00:00:00"/>
    <s v="December"/>
    <n v="2023"/>
    <x v="305"/>
    <n v="187"/>
    <s v="5G"/>
  </r>
  <r>
    <n v="15787"/>
    <n v="67"/>
    <d v="2023-04-09T00:00:00"/>
    <s v="April"/>
    <n v="2023"/>
    <x v="198"/>
    <n v="22"/>
    <s v="4G"/>
  </r>
  <r>
    <n v="15788"/>
    <n v="496"/>
    <d v="2022-10-07T00:00:00"/>
    <s v="October"/>
    <n v="2022"/>
    <x v="532"/>
    <n v="260"/>
    <s v="5G"/>
  </r>
  <r>
    <n v="15789"/>
    <n v="191"/>
    <d v="2022-05-31T00:00:00"/>
    <s v="May"/>
    <n v="2022"/>
    <x v="252"/>
    <n v="193"/>
    <s v="5G"/>
  </r>
  <r>
    <n v="15790"/>
    <n v="366"/>
    <d v="2022-08-28T00:00:00"/>
    <s v="August"/>
    <n v="2022"/>
    <x v="57"/>
    <n v="151"/>
    <s v="4G"/>
  </r>
  <r>
    <n v="15791"/>
    <n v="256"/>
    <d v="2022-09-23T00:00:00"/>
    <s v="September"/>
    <n v="2022"/>
    <x v="112"/>
    <n v="17"/>
    <s v="4G"/>
  </r>
  <r>
    <n v="15792"/>
    <n v="9"/>
    <d v="2023-11-25T00:00:00"/>
    <s v="November"/>
    <n v="2023"/>
    <x v="22"/>
    <n v="26"/>
    <s v="5G"/>
  </r>
  <r>
    <n v="15793"/>
    <n v="478"/>
    <d v="2022-04-15T00:00:00"/>
    <s v="April"/>
    <n v="2022"/>
    <x v="250"/>
    <n v="23"/>
    <s v="4G"/>
  </r>
  <r>
    <n v="15794"/>
    <n v="117"/>
    <d v="2023-03-09T00:00:00"/>
    <s v="March"/>
    <n v="2023"/>
    <x v="922"/>
    <n v="28"/>
    <s v="4G"/>
  </r>
  <r>
    <n v="15795"/>
    <n v="267"/>
    <d v="2023-05-12T00:00:00"/>
    <s v="May"/>
    <n v="2023"/>
    <x v="107"/>
    <n v="138"/>
    <s v="4G"/>
  </r>
  <r>
    <n v="15796"/>
    <n v="99"/>
    <d v="2023-03-16T00:00:00"/>
    <s v="March"/>
    <n v="2023"/>
    <x v="390"/>
    <n v="145"/>
    <s v="5G"/>
  </r>
  <r>
    <n v="15797"/>
    <n v="485"/>
    <d v="2024-01-18T00:00:00"/>
    <s v="January"/>
    <n v="2024"/>
    <x v="785"/>
    <n v="122"/>
    <s v="5G"/>
  </r>
  <r>
    <n v="15798"/>
    <n v="298"/>
    <d v="2023-11-16T00:00:00"/>
    <s v="November"/>
    <n v="2023"/>
    <x v="178"/>
    <n v="127"/>
    <s v="4G"/>
  </r>
  <r>
    <n v="15799"/>
    <n v="397"/>
    <d v="2022-06-07T00:00:00"/>
    <s v="June"/>
    <n v="2022"/>
    <x v="423"/>
    <n v="116"/>
    <s v="5G"/>
  </r>
  <r>
    <n v="15800"/>
    <n v="164"/>
    <d v="2022-06-21T00:00:00"/>
    <s v="June"/>
    <n v="2022"/>
    <x v="141"/>
    <n v="131"/>
    <s v="4G"/>
  </r>
  <r>
    <n v="15801"/>
    <n v="376"/>
    <d v="2023-05-09T00:00:00"/>
    <s v="May"/>
    <n v="2023"/>
    <x v="53"/>
    <n v="288"/>
    <s v="4G"/>
  </r>
  <r>
    <n v="15802"/>
    <n v="141"/>
    <d v="2022-11-07T00:00:00"/>
    <s v="November"/>
    <n v="2022"/>
    <x v="259"/>
    <n v="205"/>
    <s v="4G"/>
  </r>
  <r>
    <n v="15803"/>
    <n v="268"/>
    <d v="2023-02-07T00:00:00"/>
    <s v="February"/>
    <n v="2023"/>
    <x v="465"/>
    <n v="235"/>
    <s v="5G"/>
  </r>
  <r>
    <n v="15804"/>
    <n v="37"/>
    <d v="2023-10-31T00:00:00"/>
    <s v="October"/>
    <n v="2023"/>
    <x v="50"/>
    <n v="41"/>
    <s v="4G"/>
  </r>
  <r>
    <n v="15805"/>
    <n v="74"/>
    <d v="2024-02-09T00:00:00"/>
    <s v="February"/>
    <n v="2024"/>
    <x v="542"/>
    <n v="159"/>
    <s v="4G"/>
  </r>
  <r>
    <n v="15806"/>
    <n v="73"/>
    <d v="2023-11-07T00:00:00"/>
    <s v="November"/>
    <n v="2023"/>
    <x v="388"/>
    <n v="251"/>
    <s v="4G"/>
  </r>
  <r>
    <n v="15807"/>
    <n v="308"/>
    <d v="2023-10-21T00:00:00"/>
    <s v="October"/>
    <n v="2023"/>
    <x v="151"/>
    <n v="178"/>
    <s v="4G"/>
  </r>
  <r>
    <n v="15808"/>
    <n v="199"/>
    <d v="2023-10-28T00:00:00"/>
    <s v="October"/>
    <n v="2023"/>
    <x v="718"/>
    <n v="124"/>
    <s v="4G"/>
  </r>
  <r>
    <n v="15809"/>
    <n v="130"/>
    <d v="2023-04-08T00:00:00"/>
    <s v="April"/>
    <n v="2023"/>
    <x v="2"/>
    <n v="259"/>
    <s v="4G"/>
  </r>
  <r>
    <n v="15810"/>
    <n v="246"/>
    <d v="2023-01-02T00:00:00"/>
    <s v="January"/>
    <n v="2023"/>
    <x v="228"/>
    <n v="275"/>
    <s v="5G"/>
  </r>
  <r>
    <n v="15811"/>
    <n v="312"/>
    <d v="2023-07-04T00:00:00"/>
    <s v="July"/>
    <n v="2023"/>
    <x v="544"/>
    <n v="212"/>
    <s v="4G"/>
  </r>
  <r>
    <n v="15812"/>
    <n v="60"/>
    <d v="2023-10-05T00:00:00"/>
    <s v="October"/>
    <n v="2023"/>
    <x v="592"/>
    <n v="189"/>
    <s v="4G"/>
  </r>
  <r>
    <n v="15813"/>
    <n v="279"/>
    <d v="2024-05-19T00:00:00"/>
    <s v="May"/>
    <n v="2024"/>
    <x v="261"/>
    <n v="57"/>
    <s v="4G"/>
  </r>
  <r>
    <n v="15814"/>
    <n v="103"/>
    <d v="2022-09-12T00:00:00"/>
    <s v="September"/>
    <n v="2022"/>
    <x v="452"/>
    <n v="202"/>
    <s v="4G"/>
  </r>
  <r>
    <n v="15815"/>
    <n v="296"/>
    <d v="2022-07-27T00:00:00"/>
    <s v="July"/>
    <n v="2022"/>
    <x v="845"/>
    <n v="79"/>
    <s v="4G"/>
  </r>
  <r>
    <n v="15816"/>
    <n v="320"/>
    <d v="2023-03-26T00:00:00"/>
    <s v="March"/>
    <n v="2023"/>
    <x v="94"/>
    <n v="227"/>
    <s v="5G"/>
  </r>
  <r>
    <n v="15817"/>
    <n v="487"/>
    <d v="2022-04-05T00:00:00"/>
    <s v="April"/>
    <n v="2022"/>
    <x v="122"/>
    <n v="94"/>
    <s v="4G"/>
  </r>
  <r>
    <n v="15818"/>
    <n v="341"/>
    <d v="2024-05-09T00:00:00"/>
    <s v="May"/>
    <n v="2024"/>
    <x v="237"/>
    <n v="3"/>
    <s v="5G"/>
  </r>
  <r>
    <n v="15819"/>
    <n v="151"/>
    <d v="2024-04-18T00:00:00"/>
    <s v="April"/>
    <n v="2024"/>
    <x v="334"/>
    <n v="164"/>
    <s v="5G"/>
  </r>
  <r>
    <n v="15820"/>
    <n v="157"/>
    <d v="2023-04-23T00:00:00"/>
    <s v="April"/>
    <n v="2023"/>
    <x v="591"/>
    <n v="299"/>
    <s v="4G"/>
  </r>
  <r>
    <n v="15821"/>
    <n v="206"/>
    <d v="2023-11-14T00:00:00"/>
    <s v="November"/>
    <n v="2023"/>
    <x v="81"/>
    <n v="41"/>
    <s v="4G"/>
  </r>
  <r>
    <n v="15822"/>
    <n v="474"/>
    <d v="2024-02-01T00:00:00"/>
    <s v="February"/>
    <n v="2024"/>
    <x v="20"/>
    <n v="284"/>
    <s v="4G"/>
  </r>
  <r>
    <n v="15823"/>
    <n v="179"/>
    <d v="2022-07-09T00:00:00"/>
    <s v="July"/>
    <n v="2022"/>
    <x v="777"/>
    <n v="228"/>
    <s v="4G"/>
  </r>
  <r>
    <n v="15824"/>
    <n v="197"/>
    <d v="2023-12-12T00:00:00"/>
    <s v="December"/>
    <n v="2023"/>
    <x v="61"/>
    <n v="242"/>
    <s v="4G"/>
  </r>
  <r>
    <n v="15825"/>
    <n v="223"/>
    <d v="2023-04-29T00:00:00"/>
    <s v="April"/>
    <n v="2023"/>
    <x v="88"/>
    <n v="211"/>
    <s v="4G"/>
  </r>
  <r>
    <n v="15826"/>
    <n v="89"/>
    <d v="2024-01-03T00:00:00"/>
    <s v="January"/>
    <n v="2024"/>
    <x v="85"/>
    <n v="299"/>
    <s v="4G"/>
  </r>
  <r>
    <n v="15827"/>
    <n v="287"/>
    <d v="2023-06-20T00:00:00"/>
    <s v="June"/>
    <n v="2023"/>
    <x v="328"/>
    <n v="54"/>
    <s v="5G"/>
  </r>
  <r>
    <n v="15828"/>
    <n v="434"/>
    <d v="2024-01-26T00:00:00"/>
    <s v="January"/>
    <n v="2024"/>
    <x v="151"/>
    <n v="172"/>
    <s v="4G"/>
  </r>
  <r>
    <n v="15829"/>
    <n v="276"/>
    <d v="2023-02-27T00:00:00"/>
    <s v="February"/>
    <n v="2023"/>
    <x v="157"/>
    <n v="276"/>
    <s v="4G"/>
  </r>
  <r>
    <n v="15830"/>
    <n v="236"/>
    <d v="2024-04-15T00:00:00"/>
    <s v="April"/>
    <n v="2024"/>
    <x v="142"/>
    <n v="228"/>
    <s v="4G"/>
  </r>
  <r>
    <n v="15831"/>
    <n v="183"/>
    <d v="2023-10-02T00:00:00"/>
    <s v="October"/>
    <n v="2023"/>
    <x v="25"/>
    <n v="29"/>
    <s v="4G"/>
  </r>
  <r>
    <n v="15832"/>
    <n v="209"/>
    <d v="2023-08-28T00:00:00"/>
    <s v="August"/>
    <n v="2023"/>
    <x v="225"/>
    <n v="22"/>
    <s v="4G"/>
  </r>
  <r>
    <n v="15833"/>
    <n v="493"/>
    <d v="2024-03-22T00:00:00"/>
    <s v="March"/>
    <n v="2024"/>
    <x v="859"/>
    <n v="4"/>
    <s v="5G"/>
  </r>
  <r>
    <n v="15834"/>
    <n v="130"/>
    <d v="2022-05-13T00:00:00"/>
    <s v="May"/>
    <n v="2022"/>
    <x v="58"/>
    <n v="62"/>
    <s v="5G"/>
  </r>
  <r>
    <n v="15835"/>
    <n v="153"/>
    <d v="2022-02-24T00:00:00"/>
    <s v="February"/>
    <n v="2022"/>
    <x v="743"/>
    <n v="220"/>
    <s v="4G"/>
  </r>
  <r>
    <n v="15836"/>
    <n v="13"/>
    <d v="2023-05-25T00:00:00"/>
    <s v="May"/>
    <n v="2023"/>
    <x v="0"/>
    <n v="81"/>
    <s v="4G"/>
  </r>
  <r>
    <n v="15837"/>
    <n v="122"/>
    <d v="2023-11-01T00:00:00"/>
    <s v="November"/>
    <n v="2023"/>
    <x v="168"/>
    <n v="241"/>
    <s v="4G"/>
  </r>
  <r>
    <n v="15838"/>
    <n v="359"/>
    <d v="2023-06-25T00:00:00"/>
    <s v="June"/>
    <n v="2023"/>
    <x v="295"/>
    <n v="252"/>
    <s v="4G"/>
  </r>
  <r>
    <n v="15839"/>
    <n v="220"/>
    <d v="2023-02-14T00:00:00"/>
    <s v="February"/>
    <n v="2023"/>
    <x v="396"/>
    <n v="51"/>
    <s v="5G"/>
  </r>
  <r>
    <n v="15840"/>
    <n v="106"/>
    <d v="2022-07-30T00:00:00"/>
    <s v="July"/>
    <n v="2022"/>
    <x v="923"/>
    <n v="38"/>
    <s v="5G"/>
  </r>
  <r>
    <n v="15841"/>
    <n v="375"/>
    <d v="2023-10-28T00:00:00"/>
    <s v="October"/>
    <n v="2023"/>
    <x v="396"/>
    <n v="258"/>
    <s v="4G"/>
  </r>
  <r>
    <n v="15842"/>
    <n v="70"/>
    <d v="2022-10-20T00:00:00"/>
    <s v="October"/>
    <n v="2022"/>
    <x v="2"/>
    <n v="270"/>
    <s v="4G"/>
  </r>
  <r>
    <n v="15843"/>
    <n v="195"/>
    <d v="2024-01-04T00:00:00"/>
    <s v="January"/>
    <n v="2024"/>
    <x v="586"/>
    <n v="71"/>
    <s v="4G"/>
  </r>
  <r>
    <n v="15844"/>
    <n v="186"/>
    <d v="2022-04-25T00:00:00"/>
    <s v="April"/>
    <n v="2022"/>
    <x v="228"/>
    <n v="69"/>
    <s v="4G"/>
  </r>
  <r>
    <n v="15845"/>
    <n v="99"/>
    <d v="2023-11-01T00:00:00"/>
    <s v="November"/>
    <n v="2023"/>
    <x v="683"/>
    <n v="219"/>
    <s v="4G"/>
  </r>
  <r>
    <n v="15846"/>
    <n v="82"/>
    <d v="2022-09-16T00:00:00"/>
    <s v="September"/>
    <n v="2022"/>
    <x v="237"/>
    <n v="3"/>
    <s v="4G"/>
  </r>
  <r>
    <n v="15847"/>
    <n v="75"/>
    <d v="2024-02-02T00:00:00"/>
    <s v="February"/>
    <n v="2024"/>
    <x v="98"/>
    <n v="289"/>
    <s v="4G"/>
  </r>
  <r>
    <n v="15848"/>
    <n v="374"/>
    <d v="2022-05-02T00:00:00"/>
    <s v="May"/>
    <n v="2022"/>
    <x v="775"/>
    <n v="291"/>
    <s v="4G"/>
  </r>
  <r>
    <n v="15849"/>
    <n v="340"/>
    <d v="2022-10-26T00:00:00"/>
    <s v="October"/>
    <n v="2022"/>
    <x v="357"/>
    <n v="230"/>
    <s v="4G"/>
  </r>
  <r>
    <n v="15850"/>
    <n v="192"/>
    <d v="2024-02-14T00:00:00"/>
    <s v="February"/>
    <n v="2024"/>
    <x v="549"/>
    <n v="79"/>
    <s v="4G"/>
  </r>
  <r>
    <n v="15851"/>
    <n v="325"/>
    <d v="2023-01-16T00:00:00"/>
    <s v="January"/>
    <n v="2023"/>
    <x v="222"/>
    <n v="65"/>
    <s v="4G"/>
  </r>
  <r>
    <n v="15852"/>
    <n v="467"/>
    <d v="2023-07-15T00:00:00"/>
    <s v="July"/>
    <n v="2023"/>
    <x v="354"/>
    <n v="135"/>
    <s v="4G"/>
  </r>
  <r>
    <n v="15853"/>
    <n v="214"/>
    <d v="2024-06-07T00:00:00"/>
    <s v="June"/>
    <n v="2024"/>
    <x v="313"/>
    <n v="190"/>
    <s v="4G"/>
  </r>
  <r>
    <n v="15854"/>
    <n v="315"/>
    <d v="2024-04-20T00:00:00"/>
    <s v="April"/>
    <n v="2024"/>
    <x v="233"/>
    <n v="58"/>
    <s v="5G"/>
  </r>
  <r>
    <n v="15855"/>
    <n v="444"/>
    <d v="2023-05-16T00:00:00"/>
    <s v="May"/>
    <n v="2023"/>
    <x v="908"/>
    <n v="265"/>
    <s v="4G"/>
  </r>
  <r>
    <n v="15856"/>
    <n v="467"/>
    <d v="2022-10-24T00:00:00"/>
    <s v="October"/>
    <n v="2022"/>
    <x v="407"/>
    <n v="6"/>
    <s v="5G"/>
  </r>
  <r>
    <n v="15857"/>
    <n v="382"/>
    <d v="2022-12-28T00:00:00"/>
    <s v="December"/>
    <n v="2022"/>
    <x v="196"/>
    <n v="201"/>
    <s v="4G"/>
  </r>
  <r>
    <n v="15858"/>
    <n v="367"/>
    <d v="2023-08-12T00:00:00"/>
    <s v="August"/>
    <n v="2023"/>
    <x v="317"/>
    <n v="236"/>
    <s v="4G"/>
  </r>
  <r>
    <n v="15859"/>
    <n v="318"/>
    <d v="2023-04-08T00:00:00"/>
    <s v="April"/>
    <n v="2023"/>
    <x v="461"/>
    <n v="267"/>
    <s v="4G"/>
  </r>
  <r>
    <n v="15860"/>
    <n v="144"/>
    <d v="2023-03-14T00:00:00"/>
    <s v="March"/>
    <n v="2023"/>
    <x v="661"/>
    <n v="78"/>
    <s v="4G"/>
  </r>
  <r>
    <n v="15861"/>
    <n v="384"/>
    <d v="2022-05-07T00:00:00"/>
    <s v="May"/>
    <n v="2022"/>
    <x v="226"/>
    <n v="45"/>
    <s v="4G"/>
  </r>
  <r>
    <n v="15862"/>
    <n v="216"/>
    <d v="2022-07-16T00:00:00"/>
    <s v="July"/>
    <n v="2022"/>
    <x v="127"/>
    <n v="242"/>
    <s v="5G"/>
  </r>
  <r>
    <n v="15863"/>
    <n v="361"/>
    <d v="2022-08-09T00:00:00"/>
    <s v="August"/>
    <n v="2022"/>
    <x v="42"/>
    <n v="287"/>
    <s v="4G"/>
  </r>
  <r>
    <n v="15864"/>
    <n v="324"/>
    <d v="2022-04-01T00:00:00"/>
    <s v="April"/>
    <n v="2022"/>
    <x v="263"/>
    <n v="159"/>
    <s v="4G"/>
  </r>
  <r>
    <n v="15865"/>
    <n v="15"/>
    <d v="2023-02-15T00:00:00"/>
    <s v="February"/>
    <n v="2023"/>
    <x v="372"/>
    <n v="114"/>
    <s v="4G"/>
  </r>
  <r>
    <n v="15866"/>
    <n v="217"/>
    <d v="2022-01-08T00:00:00"/>
    <s v="January"/>
    <n v="2022"/>
    <x v="129"/>
    <n v="113"/>
    <s v="4G"/>
  </r>
  <r>
    <n v="15867"/>
    <n v="492"/>
    <d v="2023-06-28T00:00:00"/>
    <s v="June"/>
    <n v="2023"/>
    <x v="163"/>
    <n v="125"/>
    <s v="5G"/>
  </r>
  <r>
    <n v="15868"/>
    <n v="439"/>
    <d v="2023-04-13T00:00:00"/>
    <s v="April"/>
    <n v="2023"/>
    <x v="106"/>
    <n v="89"/>
    <s v="5G"/>
  </r>
  <r>
    <n v="15869"/>
    <n v="35"/>
    <d v="2022-11-16T00:00:00"/>
    <s v="November"/>
    <n v="2022"/>
    <x v="357"/>
    <n v="60"/>
    <s v="4G"/>
  </r>
  <r>
    <n v="15870"/>
    <n v="183"/>
    <d v="2023-01-29T00:00:00"/>
    <s v="January"/>
    <n v="2023"/>
    <x v="656"/>
    <n v="101"/>
    <s v="4G"/>
  </r>
  <r>
    <n v="15871"/>
    <n v="270"/>
    <d v="2022-09-26T00:00:00"/>
    <s v="September"/>
    <n v="2022"/>
    <x v="460"/>
    <n v="113"/>
    <s v="4G"/>
  </r>
  <r>
    <n v="15872"/>
    <n v="433"/>
    <d v="2022-07-10T00:00:00"/>
    <s v="July"/>
    <n v="2022"/>
    <x v="139"/>
    <n v="173"/>
    <s v="5G"/>
  </r>
  <r>
    <n v="15873"/>
    <n v="467"/>
    <d v="2024-05-10T00:00:00"/>
    <s v="May"/>
    <n v="2024"/>
    <x v="711"/>
    <n v="91"/>
    <s v="4G"/>
  </r>
  <r>
    <n v="15874"/>
    <n v="358"/>
    <d v="2023-11-06T00:00:00"/>
    <s v="November"/>
    <n v="2023"/>
    <x v="110"/>
    <n v="182"/>
    <s v="5G"/>
  </r>
  <r>
    <n v="15875"/>
    <n v="100"/>
    <d v="2022-03-02T00:00:00"/>
    <s v="March"/>
    <n v="2022"/>
    <x v="924"/>
    <n v="204"/>
    <s v="4G"/>
  </r>
  <r>
    <n v="15876"/>
    <n v="7"/>
    <d v="2023-03-14T00:00:00"/>
    <s v="March"/>
    <n v="2023"/>
    <x v="428"/>
    <n v="194"/>
    <s v="5G"/>
  </r>
  <r>
    <n v="15877"/>
    <n v="30"/>
    <d v="2022-09-21T00:00:00"/>
    <s v="September"/>
    <n v="2022"/>
    <x v="163"/>
    <n v="24"/>
    <s v="4G"/>
  </r>
  <r>
    <n v="15878"/>
    <n v="467"/>
    <d v="2024-03-07T00:00:00"/>
    <s v="March"/>
    <n v="2024"/>
    <x v="517"/>
    <n v="233"/>
    <s v="4G"/>
  </r>
  <r>
    <n v="15879"/>
    <n v="305"/>
    <d v="2022-04-05T00:00:00"/>
    <s v="April"/>
    <n v="2022"/>
    <x v="338"/>
    <n v="15"/>
    <s v="4G"/>
  </r>
  <r>
    <n v="15880"/>
    <n v="473"/>
    <d v="2023-07-07T00:00:00"/>
    <s v="July"/>
    <n v="2023"/>
    <x v="375"/>
    <n v="140"/>
    <s v="5G"/>
  </r>
  <r>
    <n v="15881"/>
    <n v="144"/>
    <d v="2023-04-15T00:00:00"/>
    <s v="April"/>
    <n v="2023"/>
    <x v="345"/>
    <n v="107"/>
    <s v="5G"/>
  </r>
  <r>
    <n v="15882"/>
    <n v="111"/>
    <d v="2023-10-23T00:00:00"/>
    <s v="October"/>
    <n v="2023"/>
    <x v="109"/>
    <n v="299"/>
    <s v="5G"/>
  </r>
  <r>
    <n v="15883"/>
    <n v="232"/>
    <d v="2023-12-17T00:00:00"/>
    <s v="December"/>
    <n v="2023"/>
    <x v="54"/>
    <n v="79"/>
    <s v="5G"/>
  </r>
  <r>
    <n v="15884"/>
    <n v="179"/>
    <d v="2024-02-18T00:00:00"/>
    <s v="February"/>
    <n v="2024"/>
    <x v="107"/>
    <n v="75"/>
    <s v="4G"/>
  </r>
  <r>
    <n v="15885"/>
    <n v="72"/>
    <d v="2023-05-29T00:00:00"/>
    <s v="May"/>
    <n v="2023"/>
    <x v="253"/>
    <n v="275"/>
    <s v="5G"/>
  </r>
  <r>
    <n v="15886"/>
    <n v="210"/>
    <d v="2023-11-21T00:00:00"/>
    <s v="November"/>
    <n v="2023"/>
    <x v="378"/>
    <n v="267"/>
    <s v="5G"/>
  </r>
  <r>
    <n v="15887"/>
    <n v="220"/>
    <d v="2022-07-13T00:00:00"/>
    <s v="July"/>
    <n v="2022"/>
    <x v="776"/>
    <n v="111"/>
    <s v="4G"/>
  </r>
  <r>
    <n v="15888"/>
    <n v="80"/>
    <d v="2023-04-27T00:00:00"/>
    <s v="April"/>
    <n v="2023"/>
    <x v="438"/>
    <n v="74"/>
    <s v="4G"/>
  </r>
  <r>
    <n v="15889"/>
    <n v="500"/>
    <d v="2024-06-17T00:00:00"/>
    <s v="June"/>
    <n v="2024"/>
    <x v="305"/>
    <n v="213"/>
    <s v="4G"/>
  </r>
  <r>
    <n v="15890"/>
    <n v="83"/>
    <d v="2022-12-02T00:00:00"/>
    <s v="December"/>
    <n v="2022"/>
    <x v="34"/>
    <n v="33"/>
    <s v="4G"/>
  </r>
  <r>
    <n v="15891"/>
    <n v="42"/>
    <d v="2023-03-11T00:00:00"/>
    <s v="March"/>
    <n v="2023"/>
    <x v="401"/>
    <n v="140"/>
    <s v="5G"/>
  </r>
  <r>
    <n v="15892"/>
    <n v="273"/>
    <d v="2022-07-15T00:00:00"/>
    <s v="July"/>
    <n v="2022"/>
    <x v="925"/>
    <n v="165"/>
    <s v="4G"/>
  </r>
  <r>
    <n v="15893"/>
    <n v="191"/>
    <d v="2024-05-04T00:00:00"/>
    <s v="May"/>
    <n v="2024"/>
    <x v="214"/>
    <n v="230"/>
    <s v="4G"/>
  </r>
  <r>
    <n v="15894"/>
    <n v="173"/>
    <d v="2022-09-06T00:00:00"/>
    <s v="September"/>
    <n v="2022"/>
    <x v="926"/>
    <n v="291"/>
    <s v="4G"/>
  </r>
  <r>
    <n v="15895"/>
    <n v="461"/>
    <d v="2023-05-13T00:00:00"/>
    <s v="May"/>
    <n v="2023"/>
    <x v="310"/>
    <n v="27"/>
    <s v="4G"/>
  </r>
  <r>
    <n v="15896"/>
    <n v="7"/>
    <d v="2022-07-31T00:00:00"/>
    <s v="July"/>
    <n v="2022"/>
    <x v="927"/>
    <n v="294"/>
    <s v="4G"/>
  </r>
  <r>
    <n v="15897"/>
    <n v="155"/>
    <d v="2023-10-27T00:00:00"/>
    <s v="October"/>
    <n v="2023"/>
    <x v="370"/>
    <n v="90"/>
    <s v="5G"/>
  </r>
  <r>
    <n v="15898"/>
    <n v="10"/>
    <d v="2023-11-01T00:00:00"/>
    <s v="November"/>
    <n v="2023"/>
    <x v="393"/>
    <n v="114"/>
    <s v="4G"/>
  </r>
  <r>
    <n v="15899"/>
    <n v="34"/>
    <d v="2023-04-11T00:00:00"/>
    <s v="April"/>
    <n v="2023"/>
    <x v="94"/>
    <n v="158"/>
    <s v="5G"/>
  </r>
  <r>
    <n v="15900"/>
    <n v="36"/>
    <d v="2024-05-23T00:00:00"/>
    <s v="May"/>
    <n v="2024"/>
    <x v="217"/>
    <n v="257"/>
    <s v="4G"/>
  </r>
  <r>
    <n v="15901"/>
    <n v="409"/>
    <d v="2023-10-13T00:00:00"/>
    <s v="October"/>
    <n v="2023"/>
    <x v="137"/>
    <n v="89"/>
    <s v="5G"/>
  </r>
  <r>
    <n v="15902"/>
    <n v="6"/>
    <d v="2022-08-09T00:00:00"/>
    <s v="August"/>
    <n v="2022"/>
    <x v="330"/>
    <n v="244"/>
    <s v="4G"/>
  </r>
  <r>
    <n v="15903"/>
    <n v="408"/>
    <d v="2022-09-30T00:00:00"/>
    <s v="September"/>
    <n v="2022"/>
    <x v="121"/>
    <n v="297"/>
    <s v="4G"/>
  </r>
  <r>
    <n v="15904"/>
    <n v="402"/>
    <d v="2022-06-03T00:00:00"/>
    <s v="June"/>
    <n v="2022"/>
    <x v="65"/>
    <n v="30"/>
    <s v="4G"/>
  </r>
  <r>
    <n v="15905"/>
    <n v="215"/>
    <d v="2022-09-06T00:00:00"/>
    <s v="September"/>
    <n v="2022"/>
    <x v="357"/>
    <n v="227"/>
    <s v="5G"/>
  </r>
  <r>
    <n v="15906"/>
    <n v="134"/>
    <d v="2022-10-06T00:00:00"/>
    <s v="October"/>
    <n v="2022"/>
    <x v="502"/>
    <n v="127"/>
    <s v="4G"/>
  </r>
  <r>
    <n v="15907"/>
    <n v="285"/>
    <d v="2023-03-16T00:00:00"/>
    <s v="March"/>
    <n v="2023"/>
    <x v="381"/>
    <n v="269"/>
    <s v="4G"/>
  </r>
  <r>
    <n v="15908"/>
    <n v="126"/>
    <d v="2024-03-26T00:00:00"/>
    <s v="March"/>
    <n v="2024"/>
    <x v="928"/>
    <n v="269"/>
    <s v="5G"/>
  </r>
  <r>
    <n v="15909"/>
    <n v="409"/>
    <d v="2022-10-03T00:00:00"/>
    <s v="October"/>
    <n v="2022"/>
    <x v="824"/>
    <n v="208"/>
    <s v="4G"/>
  </r>
  <r>
    <n v="15910"/>
    <n v="439"/>
    <d v="2023-05-29T00:00:00"/>
    <s v="May"/>
    <n v="2023"/>
    <x v="546"/>
    <n v="177"/>
    <s v="4G"/>
  </r>
  <r>
    <n v="15911"/>
    <n v="337"/>
    <d v="2022-03-29T00:00:00"/>
    <s v="March"/>
    <n v="2022"/>
    <x v="114"/>
    <n v="190"/>
    <s v="4G"/>
  </r>
  <r>
    <n v="15912"/>
    <n v="174"/>
    <d v="2024-03-09T00:00:00"/>
    <s v="March"/>
    <n v="2024"/>
    <x v="142"/>
    <n v="67"/>
    <s v="4G"/>
  </r>
  <r>
    <n v="15913"/>
    <n v="152"/>
    <d v="2023-10-04T00:00:00"/>
    <s v="October"/>
    <n v="2023"/>
    <x v="573"/>
    <n v="266"/>
    <s v="4G"/>
  </r>
  <r>
    <n v="15914"/>
    <n v="331"/>
    <d v="2023-05-20T00:00:00"/>
    <s v="May"/>
    <n v="2023"/>
    <x v="763"/>
    <n v="269"/>
    <s v="4G"/>
  </r>
  <r>
    <n v="15915"/>
    <n v="26"/>
    <d v="2023-08-13T00:00:00"/>
    <s v="August"/>
    <n v="2023"/>
    <x v="410"/>
    <n v="127"/>
    <s v="5G"/>
  </r>
  <r>
    <n v="15916"/>
    <n v="383"/>
    <d v="2024-02-11T00:00:00"/>
    <s v="February"/>
    <n v="2024"/>
    <x v="227"/>
    <n v="263"/>
    <s v="4G"/>
  </r>
  <r>
    <n v="15917"/>
    <n v="115"/>
    <d v="2022-08-29T00:00:00"/>
    <s v="August"/>
    <n v="2022"/>
    <x v="100"/>
    <n v="220"/>
    <s v="4G"/>
  </r>
  <r>
    <n v="15918"/>
    <n v="382"/>
    <d v="2023-10-15T00:00:00"/>
    <s v="October"/>
    <n v="2023"/>
    <x v="394"/>
    <n v="241"/>
    <s v="4G"/>
  </r>
  <r>
    <n v="15919"/>
    <n v="482"/>
    <d v="2024-01-10T00:00:00"/>
    <s v="January"/>
    <n v="2024"/>
    <x v="8"/>
    <n v="243"/>
    <s v="4G"/>
  </r>
  <r>
    <n v="15920"/>
    <n v="284"/>
    <d v="2023-11-06T00:00:00"/>
    <s v="November"/>
    <n v="2023"/>
    <x v="108"/>
    <n v="18"/>
    <s v="4G"/>
  </r>
  <r>
    <n v="15921"/>
    <n v="387"/>
    <d v="2022-08-24T00:00:00"/>
    <s v="August"/>
    <n v="2022"/>
    <x v="190"/>
    <n v="154"/>
    <s v="5G"/>
  </r>
  <r>
    <n v="15922"/>
    <n v="75"/>
    <d v="2022-05-08T00:00:00"/>
    <s v="May"/>
    <n v="2022"/>
    <x v="229"/>
    <n v="228"/>
    <s v="5G"/>
  </r>
  <r>
    <n v="15923"/>
    <n v="166"/>
    <d v="2023-05-18T00:00:00"/>
    <s v="May"/>
    <n v="2023"/>
    <x v="737"/>
    <n v="57"/>
    <s v="5G"/>
  </r>
  <r>
    <n v="15924"/>
    <n v="189"/>
    <d v="2022-07-19T00:00:00"/>
    <s v="July"/>
    <n v="2022"/>
    <x v="188"/>
    <n v="280"/>
    <s v="4G"/>
  </r>
  <r>
    <n v="15925"/>
    <n v="78"/>
    <d v="2023-06-27T00:00:00"/>
    <s v="June"/>
    <n v="2023"/>
    <x v="390"/>
    <n v="44"/>
    <s v="5G"/>
  </r>
  <r>
    <n v="15926"/>
    <n v="435"/>
    <d v="2023-05-17T00:00:00"/>
    <s v="May"/>
    <n v="2023"/>
    <x v="516"/>
    <n v="101"/>
    <s v="5G"/>
  </r>
  <r>
    <n v="15927"/>
    <n v="90"/>
    <d v="2023-10-12T00:00:00"/>
    <s v="October"/>
    <n v="2023"/>
    <x v="118"/>
    <n v="47"/>
    <s v="4G"/>
  </r>
  <r>
    <n v="15928"/>
    <n v="176"/>
    <d v="2023-05-07T00:00:00"/>
    <s v="May"/>
    <n v="2023"/>
    <x v="108"/>
    <n v="49"/>
    <s v="4G"/>
  </r>
  <r>
    <n v="15929"/>
    <n v="21"/>
    <d v="2022-01-21T00:00:00"/>
    <s v="January"/>
    <n v="2022"/>
    <x v="62"/>
    <n v="80"/>
    <s v="4G"/>
  </r>
  <r>
    <n v="15930"/>
    <n v="54"/>
    <d v="2022-08-22T00:00:00"/>
    <s v="August"/>
    <n v="2022"/>
    <x v="78"/>
    <n v="299"/>
    <s v="4G"/>
  </r>
  <r>
    <n v="15931"/>
    <n v="184"/>
    <d v="2023-12-15T00:00:00"/>
    <s v="December"/>
    <n v="2023"/>
    <x v="88"/>
    <n v="58"/>
    <s v="5G"/>
  </r>
  <r>
    <n v="15932"/>
    <n v="359"/>
    <d v="2024-03-01T00:00:00"/>
    <s v="March"/>
    <n v="2024"/>
    <x v="438"/>
    <n v="160"/>
    <s v="4G"/>
  </r>
  <r>
    <n v="15933"/>
    <n v="222"/>
    <d v="2023-10-05T00:00:00"/>
    <s v="October"/>
    <n v="2023"/>
    <x v="322"/>
    <n v="102"/>
    <s v="4G"/>
  </r>
  <r>
    <n v="15934"/>
    <n v="315"/>
    <d v="2023-02-20T00:00:00"/>
    <s v="February"/>
    <n v="2023"/>
    <x v="182"/>
    <n v="273"/>
    <s v="4G"/>
  </r>
  <r>
    <n v="15935"/>
    <n v="328"/>
    <d v="2022-05-28T00:00:00"/>
    <s v="May"/>
    <n v="2022"/>
    <x v="567"/>
    <n v="182"/>
    <s v="4G"/>
  </r>
  <r>
    <n v="15936"/>
    <n v="179"/>
    <d v="2022-01-29T00:00:00"/>
    <s v="January"/>
    <n v="2022"/>
    <x v="492"/>
    <n v="115"/>
    <s v="4G"/>
  </r>
  <r>
    <n v="15937"/>
    <n v="276"/>
    <d v="2022-12-27T00:00:00"/>
    <s v="December"/>
    <n v="2022"/>
    <x v="236"/>
    <n v="266"/>
    <s v="5G"/>
  </r>
  <r>
    <n v="15938"/>
    <n v="112"/>
    <d v="2022-11-04T00:00:00"/>
    <s v="November"/>
    <n v="2022"/>
    <x v="651"/>
    <n v="163"/>
    <s v="4G"/>
  </r>
  <r>
    <n v="15939"/>
    <n v="224"/>
    <d v="2024-06-01T00:00:00"/>
    <s v="June"/>
    <n v="2024"/>
    <x v="368"/>
    <n v="142"/>
    <s v="5G"/>
  </r>
  <r>
    <n v="15940"/>
    <n v="214"/>
    <d v="2022-06-11T00:00:00"/>
    <s v="June"/>
    <n v="2022"/>
    <x v="173"/>
    <n v="93"/>
    <s v="4G"/>
  </r>
  <r>
    <n v="15941"/>
    <n v="59"/>
    <d v="2024-05-18T00:00:00"/>
    <s v="May"/>
    <n v="2024"/>
    <x v="699"/>
    <n v="249"/>
    <s v="4G"/>
  </r>
  <r>
    <n v="15942"/>
    <n v="327"/>
    <d v="2024-05-01T00:00:00"/>
    <s v="May"/>
    <n v="2024"/>
    <x v="178"/>
    <n v="239"/>
    <s v="4G"/>
  </r>
  <r>
    <n v="15943"/>
    <n v="393"/>
    <d v="2022-03-02T00:00:00"/>
    <s v="March"/>
    <n v="2022"/>
    <x v="244"/>
    <n v="58"/>
    <s v="5G"/>
  </r>
  <r>
    <n v="15944"/>
    <n v="109"/>
    <d v="2022-05-05T00:00:00"/>
    <s v="May"/>
    <n v="2022"/>
    <x v="297"/>
    <n v="14"/>
    <s v="4G"/>
  </r>
  <r>
    <n v="15945"/>
    <n v="385"/>
    <d v="2023-04-01T00:00:00"/>
    <s v="April"/>
    <n v="2023"/>
    <x v="103"/>
    <n v="284"/>
    <s v="4G"/>
  </r>
  <r>
    <n v="15946"/>
    <n v="157"/>
    <d v="2022-03-12T00:00:00"/>
    <s v="March"/>
    <n v="2022"/>
    <x v="585"/>
    <n v="202"/>
    <s v="4G"/>
  </r>
  <r>
    <n v="15947"/>
    <n v="191"/>
    <d v="2024-04-17T00:00:00"/>
    <s v="April"/>
    <n v="2024"/>
    <x v="929"/>
    <n v="236"/>
    <s v="5G"/>
  </r>
  <r>
    <n v="15948"/>
    <n v="200"/>
    <d v="2024-05-25T00:00:00"/>
    <s v="May"/>
    <n v="2024"/>
    <x v="41"/>
    <n v="295"/>
    <s v="4G"/>
  </r>
  <r>
    <n v="15949"/>
    <n v="312"/>
    <d v="2023-04-11T00:00:00"/>
    <s v="April"/>
    <n v="2023"/>
    <x v="295"/>
    <n v="286"/>
    <s v="4G"/>
  </r>
  <r>
    <n v="15950"/>
    <n v="196"/>
    <d v="2022-08-31T00:00:00"/>
    <s v="August"/>
    <n v="2022"/>
    <x v="520"/>
    <n v="72"/>
    <s v="4G"/>
  </r>
  <r>
    <n v="15951"/>
    <n v="35"/>
    <d v="2023-05-05T00:00:00"/>
    <s v="May"/>
    <n v="2023"/>
    <x v="930"/>
    <n v="213"/>
    <s v="4G"/>
  </r>
  <r>
    <n v="15952"/>
    <n v="379"/>
    <d v="2024-01-31T00:00:00"/>
    <s v="January"/>
    <n v="2024"/>
    <x v="656"/>
    <n v="10"/>
    <s v="5G"/>
  </r>
  <r>
    <n v="15953"/>
    <n v="387"/>
    <d v="2022-08-09T00:00:00"/>
    <s v="August"/>
    <n v="2022"/>
    <x v="847"/>
    <n v="224"/>
    <s v="5G"/>
  </r>
  <r>
    <n v="15954"/>
    <n v="246"/>
    <d v="2023-04-18T00:00:00"/>
    <s v="April"/>
    <n v="2023"/>
    <x v="85"/>
    <n v="202"/>
    <s v="4G"/>
  </r>
  <r>
    <n v="15955"/>
    <n v="237"/>
    <d v="2023-06-17T00:00:00"/>
    <s v="June"/>
    <n v="2023"/>
    <x v="323"/>
    <n v="230"/>
    <s v="5G"/>
  </r>
  <r>
    <n v="15956"/>
    <n v="104"/>
    <d v="2023-05-09T00:00:00"/>
    <s v="May"/>
    <n v="2023"/>
    <x v="362"/>
    <n v="50"/>
    <s v="5G"/>
  </r>
  <r>
    <n v="15957"/>
    <n v="7"/>
    <d v="2024-06-17T00:00:00"/>
    <s v="June"/>
    <n v="2024"/>
    <x v="253"/>
    <n v="56"/>
    <s v="4G"/>
  </r>
  <r>
    <n v="15958"/>
    <n v="283"/>
    <d v="2022-03-23T00:00:00"/>
    <s v="March"/>
    <n v="2022"/>
    <x v="841"/>
    <n v="131"/>
    <s v="5G"/>
  </r>
  <r>
    <n v="15959"/>
    <n v="1"/>
    <d v="2024-05-05T00:00:00"/>
    <s v="May"/>
    <n v="2024"/>
    <x v="177"/>
    <n v="279"/>
    <s v="4G"/>
  </r>
  <r>
    <n v="15960"/>
    <n v="219"/>
    <d v="2024-05-28T00:00:00"/>
    <s v="May"/>
    <n v="2024"/>
    <x v="931"/>
    <n v="296"/>
    <s v="4G"/>
  </r>
  <r>
    <n v="15961"/>
    <n v="464"/>
    <d v="2023-06-06T00:00:00"/>
    <s v="June"/>
    <n v="2023"/>
    <x v="112"/>
    <n v="224"/>
    <s v="4G"/>
  </r>
  <r>
    <n v="15962"/>
    <n v="230"/>
    <d v="2022-01-12T00:00:00"/>
    <s v="January"/>
    <n v="2022"/>
    <x v="728"/>
    <n v="173"/>
    <s v="4G"/>
  </r>
  <r>
    <n v="15963"/>
    <n v="455"/>
    <d v="2022-09-20T00:00:00"/>
    <s v="September"/>
    <n v="2022"/>
    <x v="355"/>
    <n v="291"/>
    <s v="4G"/>
  </r>
  <r>
    <n v="15964"/>
    <n v="172"/>
    <d v="2023-10-19T00:00:00"/>
    <s v="October"/>
    <n v="2023"/>
    <x v="137"/>
    <n v="265"/>
    <s v="5G"/>
  </r>
  <r>
    <n v="15965"/>
    <n v="87"/>
    <d v="2023-03-25T00:00:00"/>
    <s v="March"/>
    <n v="2023"/>
    <x v="152"/>
    <n v="246"/>
    <s v="5G"/>
  </r>
  <r>
    <n v="15966"/>
    <n v="41"/>
    <d v="2022-07-11T00:00:00"/>
    <s v="July"/>
    <n v="2022"/>
    <x v="18"/>
    <n v="77"/>
    <s v="5G"/>
  </r>
  <r>
    <n v="15967"/>
    <n v="123"/>
    <d v="2024-02-01T00:00:00"/>
    <s v="February"/>
    <n v="2024"/>
    <x v="343"/>
    <n v="134"/>
    <s v="4G"/>
  </r>
  <r>
    <n v="15968"/>
    <n v="331"/>
    <d v="2022-04-24T00:00:00"/>
    <s v="April"/>
    <n v="2022"/>
    <x v="165"/>
    <n v="139"/>
    <s v="5G"/>
  </r>
  <r>
    <n v="15969"/>
    <n v="298"/>
    <d v="2022-01-26T00:00:00"/>
    <s v="January"/>
    <n v="2022"/>
    <x v="6"/>
    <n v="252"/>
    <s v="4G"/>
  </r>
  <r>
    <n v="15970"/>
    <n v="373"/>
    <d v="2024-02-22T00:00:00"/>
    <s v="February"/>
    <n v="2024"/>
    <x v="122"/>
    <n v="175"/>
    <s v="4G"/>
  </r>
  <r>
    <n v="15971"/>
    <n v="417"/>
    <d v="2023-05-14T00:00:00"/>
    <s v="May"/>
    <n v="2023"/>
    <x v="135"/>
    <n v="59"/>
    <s v="4G"/>
  </r>
  <r>
    <n v="15972"/>
    <n v="178"/>
    <d v="2023-05-23T00:00:00"/>
    <s v="May"/>
    <n v="2023"/>
    <x v="97"/>
    <n v="253"/>
    <s v="4G"/>
  </r>
  <r>
    <n v="15973"/>
    <n v="63"/>
    <d v="2023-06-29T00:00:00"/>
    <s v="June"/>
    <n v="2023"/>
    <x v="569"/>
    <n v="7"/>
    <s v="4G"/>
  </r>
  <r>
    <n v="15974"/>
    <n v="484"/>
    <d v="2022-03-03T00:00:00"/>
    <s v="March"/>
    <n v="2022"/>
    <x v="908"/>
    <n v="106"/>
    <s v="4G"/>
  </r>
  <r>
    <n v="15975"/>
    <n v="165"/>
    <d v="2022-08-17T00:00:00"/>
    <s v="August"/>
    <n v="2022"/>
    <x v="496"/>
    <n v="170"/>
    <s v="5G"/>
  </r>
  <r>
    <n v="15976"/>
    <n v="489"/>
    <d v="2024-03-25T00:00:00"/>
    <s v="March"/>
    <n v="2024"/>
    <x v="235"/>
    <n v="57"/>
    <s v="5G"/>
  </r>
  <r>
    <n v="15977"/>
    <n v="187"/>
    <d v="2023-08-30T00:00:00"/>
    <s v="August"/>
    <n v="2023"/>
    <x v="335"/>
    <n v="289"/>
    <s v="5G"/>
  </r>
  <r>
    <n v="15978"/>
    <n v="383"/>
    <d v="2022-02-04T00:00:00"/>
    <s v="February"/>
    <n v="2022"/>
    <x v="77"/>
    <n v="83"/>
    <s v="4G"/>
  </r>
  <r>
    <n v="15979"/>
    <n v="209"/>
    <d v="2023-12-06T00:00:00"/>
    <s v="December"/>
    <n v="2023"/>
    <x v="53"/>
    <n v="116"/>
    <s v="5G"/>
  </r>
  <r>
    <n v="15980"/>
    <n v="227"/>
    <d v="2023-04-01T00:00:00"/>
    <s v="April"/>
    <n v="2023"/>
    <x v="141"/>
    <n v="199"/>
    <s v="5G"/>
  </r>
  <r>
    <n v="15981"/>
    <n v="432"/>
    <d v="2023-08-11T00:00:00"/>
    <s v="August"/>
    <n v="2023"/>
    <x v="221"/>
    <n v="21"/>
    <s v="4G"/>
  </r>
  <r>
    <n v="15982"/>
    <n v="389"/>
    <d v="2024-06-09T00:00:00"/>
    <s v="June"/>
    <n v="2024"/>
    <x v="174"/>
    <n v="218"/>
    <s v="5G"/>
  </r>
  <r>
    <n v="15983"/>
    <n v="48"/>
    <d v="2023-05-17T00:00:00"/>
    <s v="May"/>
    <n v="2023"/>
    <x v="109"/>
    <n v="225"/>
    <s v="4G"/>
  </r>
  <r>
    <n v="15984"/>
    <n v="224"/>
    <d v="2024-01-31T00:00:00"/>
    <s v="January"/>
    <n v="2024"/>
    <x v="443"/>
    <n v="270"/>
    <s v="4G"/>
  </r>
  <r>
    <n v="15985"/>
    <n v="3"/>
    <d v="2023-08-18T00:00:00"/>
    <s v="August"/>
    <n v="2023"/>
    <x v="178"/>
    <n v="101"/>
    <s v="4G"/>
  </r>
  <r>
    <n v="15986"/>
    <n v="372"/>
    <d v="2022-01-25T00:00:00"/>
    <s v="January"/>
    <n v="2022"/>
    <x v="37"/>
    <n v="144"/>
    <s v="4G"/>
  </r>
  <r>
    <n v="15987"/>
    <n v="175"/>
    <d v="2023-07-23T00:00:00"/>
    <s v="July"/>
    <n v="2023"/>
    <x v="192"/>
    <n v="146"/>
    <s v="5G"/>
  </r>
  <r>
    <n v="15988"/>
    <n v="446"/>
    <d v="2022-02-01T00:00:00"/>
    <s v="February"/>
    <n v="2022"/>
    <x v="438"/>
    <n v="260"/>
    <s v="4G"/>
  </r>
  <r>
    <n v="15989"/>
    <n v="99"/>
    <d v="2024-04-10T00:00:00"/>
    <s v="April"/>
    <n v="2024"/>
    <x v="37"/>
    <n v="278"/>
    <s v="4G"/>
  </r>
  <r>
    <n v="15990"/>
    <n v="116"/>
    <d v="2022-01-12T00:00:00"/>
    <s v="January"/>
    <n v="2022"/>
    <x v="690"/>
    <n v="13"/>
    <s v="5G"/>
  </r>
  <r>
    <n v="15991"/>
    <n v="270"/>
    <d v="2022-11-15T00:00:00"/>
    <s v="November"/>
    <n v="2022"/>
    <x v="177"/>
    <n v="265"/>
    <s v="5G"/>
  </r>
  <r>
    <n v="15992"/>
    <n v="447"/>
    <d v="2024-04-24T00:00:00"/>
    <s v="April"/>
    <n v="2024"/>
    <x v="265"/>
    <n v="286"/>
    <s v="4G"/>
  </r>
  <r>
    <n v="15993"/>
    <n v="368"/>
    <d v="2023-08-27T00:00:00"/>
    <s v="August"/>
    <n v="2023"/>
    <x v="528"/>
    <n v="140"/>
    <s v="4G"/>
  </r>
  <r>
    <n v="15994"/>
    <n v="253"/>
    <d v="2022-01-01T00:00:00"/>
    <s v="January"/>
    <n v="2022"/>
    <x v="591"/>
    <n v="292"/>
    <s v="4G"/>
  </r>
  <r>
    <n v="15995"/>
    <n v="317"/>
    <d v="2023-03-11T00:00:00"/>
    <s v="March"/>
    <n v="2023"/>
    <x v="140"/>
    <n v="30"/>
    <s v="4G"/>
  </r>
  <r>
    <n v="15996"/>
    <n v="415"/>
    <d v="2024-04-17T00:00:00"/>
    <s v="April"/>
    <n v="2024"/>
    <x v="337"/>
    <n v="170"/>
    <s v="4G"/>
  </r>
  <r>
    <n v="15997"/>
    <n v="95"/>
    <d v="2022-05-16T00:00:00"/>
    <s v="May"/>
    <n v="2022"/>
    <x v="176"/>
    <n v="204"/>
    <s v="4G"/>
  </r>
  <r>
    <n v="15998"/>
    <n v="273"/>
    <d v="2022-07-15T00:00:00"/>
    <s v="July"/>
    <n v="2022"/>
    <x v="239"/>
    <n v="290"/>
    <s v="5G"/>
  </r>
  <r>
    <n v="15999"/>
    <n v="380"/>
    <d v="2022-05-13T00:00:00"/>
    <s v="May"/>
    <n v="2022"/>
    <x v="866"/>
    <n v="110"/>
    <s v="5G"/>
  </r>
  <r>
    <n v="16000"/>
    <n v="24"/>
    <d v="2022-03-27T00:00:00"/>
    <s v="March"/>
    <n v="2022"/>
    <x v="321"/>
    <n v="67"/>
    <s v="4G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20001"/>
    <n v="17"/>
    <d v="2023-10-22T00:00:00"/>
    <s v="October"/>
    <n v="2023"/>
    <x v="0"/>
    <n v="2"/>
    <s v="Yes"/>
    <x v="0"/>
  </r>
  <r>
    <n v="20002"/>
    <n v="366"/>
    <d v="2022-09-16T00:00:00"/>
    <s v="September"/>
    <n v="2022"/>
    <x v="1"/>
    <n v="67"/>
    <s v="Yes"/>
    <x v="1"/>
  </r>
  <r>
    <n v="20003"/>
    <n v="389"/>
    <d v="2023-06-26T00:00:00"/>
    <s v="June"/>
    <n v="2023"/>
    <x v="2"/>
    <n v="15"/>
    <s v="Yes"/>
    <x v="0"/>
  </r>
  <r>
    <n v="20004"/>
    <n v="26"/>
    <d v="2023-06-14T00:00:00"/>
    <s v="June"/>
    <n v="2023"/>
    <x v="1"/>
    <n v="21"/>
    <s v="Yes"/>
    <x v="0"/>
  </r>
  <r>
    <n v="20005"/>
    <n v="213"/>
    <d v="2022-07-06T00:00:00"/>
    <s v="July"/>
    <n v="2022"/>
    <x v="0"/>
    <n v="59"/>
    <s v="Yes"/>
    <x v="2"/>
  </r>
  <r>
    <n v="20006"/>
    <n v="385"/>
    <d v="2022-07-31T00:00:00"/>
    <s v="July"/>
    <n v="2022"/>
    <x v="2"/>
    <n v="39"/>
    <s v="Yes"/>
    <x v="2"/>
  </r>
  <r>
    <n v="20007"/>
    <n v="1"/>
    <d v="2022-02-04T00:00:00"/>
    <s v="February"/>
    <n v="2022"/>
    <x v="0"/>
    <n v="20"/>
    <s v="Yes"/>
    <x v="3"/>
  </r>
  <r>
    <n v="20008"/>
    <n v="291"/>
    <d v="2022-05-27T00:00:00"/>
    <s v="May"/>
    <n v="2022"/>
    <x v="1"/>
    <n v="1"/>
    <s v="Yes"/>
    <x v="1"/>
  </r>
  <r>
    <n v="20009"/>
    <n v="265"/>
    <d v="2022-10-09T00:00:00"/>
    <s v="October"/>
    <n v="2022"/>
    <x v="1"/>
    <n v="9"/>
    <s v="Yes"/>
    <x v="4"/>
  </r>
  <r>
    <n v="20010"/>
    <n v="343"/>
    <d v="2023-07-01T00:00:00"/>
    <s v="July"/>
    <n v="2023"/>
    <x v="0"/>
    <n v="51"/>
    <s v="Yes"/>
    <x v="4"/>
  </r>
  <r>
    <n v="20011"/>
    <n v="38"/>
    <d v="2023-08-11T00:00:00"/>
    <s v="August"/>
    <n v="2023"/>
    <x v="2"/>
    <n v="38"/>
    <s v="Yes"/>
    <x v="1"/>
  </r>
  <r>
    <n v="20012"/>
    <n v="233"/>
    <d v="2023-08-07T00:00:00"/>
    <s v="August"/>
    <n v="2023"/>
    <x v="0"/>
    <n v="15"/>
    <s v="Yes"/>
    <x v="1"/>
  </r>
  <r>
    <n v="20013"/>
    <n v="260"/>
    <d v="2022-09-06T00:00:00"/>
    <s v="September"/>
    <n v="2022"/>
    <x v="1"/>
    <n v="41"/>
    <s v="Yes"/>
    <x v="0"/>
  </r>
  <r>
    <n v="20014"/>
    <n v="308"/>
    <d v="2022-02-26T00:00:00"/>
    <s v="February"/>
    <n v="2022"/>
    <x v="2"/>
    <n v="47"/>
    <s v="Yes"/>
    <x v="5"/>
  </r>
  <r>
    <n v="20015"/>
    <n v="403"/>
    <d v="2024-05-18T00:00:00"/>
    <s v="May"/>
    <n v="2024"/>
    <x v="0"/>
    <n v="26"/>
    <s v="Yes"/>
    <x v="4"/>
  </r>
  <r>
    <n v="20016"/>
    <n v="485"/>
    <d v="2022-11-01T00:00:00"/>
    <s v="November"/>
    <n v="2022"/>
    <x v="1"/>
    <n v="54"/>
    <s v="Yes"/>
    <x v="4"/>
  </r>
  <r>
    <n v="20017"/>
    <n v="261"/>
    <d v="2023-06-06T00:00:00"/>
    <s v="June"/>
    <n v="2023"/>
    <x v="2"/>
    <n v="70"/>
    <s v="Yes"/>
    <x v="1"/>
  </r>
  <r>
    <n v="20018"/>
    <n v="476"/>
    <d v="2023-12-26T00:00:00"/>
    <s v="December"/>
    <n v="2023"/>
    <x v="0"/>
    <n v="39"/>
    <s v="Yes"/>
    <x v="0"/>
  </r>
  <r>
    <n v="20019"/>
    <n v="238"/>
    <d v="2022-12-27T00:00:00"/>
    <s v="December"/>
    <n v="2022"/>
    <x v="2"/>
    <n v="17"/>
    <s v="No"/>
    <x v="1"/>
  </r>
  <r>
    <n v="20020"/>
    <n v="106"/>
    <d v="2022-08-25T00:00:00"/>
    <s v="August"/>
    <n v="2022"/>
    <x v="1"/>
    <n v="70"/>
    <s v="Yes"/>
    <x v="0"/>
  </r>
  <r>
    <n v="20021"/>
    <n v="247"/>
    <d v="2022-08-22T00:00:00"/>
    <s v="August"/>
    <n v="2022"/>
    <x v="0"/>
    <n v="9"/>
    <s v="Yes"/>
    <x v="5"/>
  </r>
  <r>
    <n v="20022"/>
    <n v="304"/>
    <d v="2022-08-11T00:00:00"/>
    <s v="August"/>
    <n v="2022"/>
    <x v="0"/>
    <n v="46"/>
    <s v="Yes"/>
    <x v="4"/>
  </r>
  <r>
    <n v="20023"/>
    <n v="343"/>
    <d v="2023-09-08T00:00:00"/>
    <s v="September"/>
    <n v="2023"/>
    <x v="1"/>
    <n v="6"/>
    <s v="No"/>
    <x v="4"/>
  </r>
  <r>
    <n v="20024"/>
    <n v="447"/>
    <d v="2022-11-23T00:00:00"/>
    <s v="November"/>
    <n v="2022"/>
    <x v="1"/>
    <n v="68"/>
    <s v="Yes"/>
    <x v="4"/>
  </r>
  <r>
    <n v="20025"/>
    <n v="38"/>
    <d v="2022-04-08T00:00:00"/>
    <s v="April"/>
    <n v="2022"/>
    <x v="1"/>
    <n v="16"/>
    <s v="Yes"/>
    <x v="1"/>
  </r>
  <r>
    <n v="20026"/>
    <n v="308"/>
    <d v="2022-08-14T00:00:00"/>
    <s v="August"/>
    <n v="2022"/>
    <x v="0"/>
    <n v="29"/>
    <s v="Yes"/>
    <x v="5"/>
  </r>
  <r>
    <n v="20027"/>
    <n v="343"/>
    <d v="2024-01-04T00:00:00"/>
    <s v="January"/>
    <n v="2024"/>
    <x v="1"/>
    <n v="41"/>
    <s v="Yes"/>
    <x v="4"/>
  </r>
  <r>
    <n v="20028"/>
    <n v="46"/>
    <d v="2024-04-15T00:00:00"/>
    <s v="April"/>
    <n v="2024"/>
    <x v="0"/>
    <n v="68"/>
    <s v="Yes"/>
    <x v="4"/>
  </r>
  <r>
    <n v="20029"/>
    <n v="210"/>
    <d v="2023-05-04T00:00:00"/>
    <s v="May"/>
    <n v="2023"/>
    <x v="0"/>
    <n v="62"/>
    <s v="Yes"/>
    <x v="3"/>
  </r>
  <r>
    <n v="20030"/>
    <n v="93"/>
    <d v="2023-04-23T00:00:00"/>
    <s v="April"/>
    <n v="2023"/>
    <x v="2"/>
    <n v="40"/>
    <s v="Yes"/>
    <x v="0"/>
  </r>
  <r>
    <n v="20031"/>
    <n v="220"/>
    <d v="2022-11-30T00:00:00"/>
    <s v="November"/>
    <n v="2022"/>
    <x v="1"/>
    <n v="62"/>
    <s v="Yes"/>
    <x v="0"/>
  </r>
  <r>
    <n v="20032"/>
    <n v="256"/>
    <d v="2024-03-02T00:00:00"/>
    <s v="March"/>
    <n v="2024"/>
    <x v="1"/>
    <n v="24"/>
    <s v="Yes"/>
    <x v="3"/>
  </r>
  <r>
    <n v="20033"/>
    <n v="137"/>
    <d v="2023-07-09T00:00:00"/>
    <s v="July"/>
    <n v="2023"/>
    <x v="2"/>
    <n v="6"/>
    <s v="Yes"/>
    <x v="4"/>
  </r>
  <r>
    <n v="20034"/>
    <n v="231"/>
    <d v="2024-05-12T00:00:00"/>
    <s v="May"/>
    <n v="2024"/>
    <x v="0"/>
    <n v="40"/>
    <s v="Yes"/>
    <x v="4"/>
  </r>
  <r>
    <n v="20035"/>
    <n v="306"/>
    <d v="2023-05-27T00:00:00"/>
    <s v="May"/>
    <n v="2023"/>
    <x v="0"/>
    <n v="70"/>
    <s v="Yes"/>
    <x v="0"/>
  </r>
  <r>
    <n v="20036"/>
    <n v="202"/>
    <d v="2023-01-17T00:00:00"/>
    <s v="January"/>
    <n v="2023"/>
    <x v="0"/>
    <n v="58"/>
    <s v="Yes"/>
    <x v="5"/>
  </r>
  <r>
    <n v="20037"/>
    <n v="66"/>
    <d v="2023-02-27T00:00:00"/>
    <s v="February"/>
    <n v="2023"/>
    <x v="1"/>
    <n v="14"/>
    <s v="Yes"/>
    <x v="2"/>
  </r>
  <r>
    <n v="20038"/>
    <n v="461"/>
    <d v="2022-12-14T00:00:00"/>
    <s v="December"/>
    <n v="2022"/>
    <x v="0"/>
    <n v="45"/>
    <s v="Yes"/>
    <x v="5"/>
  </r>
  <r>
    <n v="20039"/>
    <n v="38"/>
    <d v="2022-06-02T00:00:00"/>
    <s v="June"/>
    <n v="2022"/>
    <x v="2"/>
    <n v="6"/>
    <s v="Yes"/>
    <x v="1"/>
  </r>
  <r>
    <n v="20040"/>
    <n v="155"/>
    <d v="2024-04-30T00:00:00"/>
    <s v="April"/>
    <n v="2024"/>
    <x v="0"/>
    <n v="23"/>
    <s v="Yes"/>
    <x v="1"/>
  </r>
  <r>
    <n v="20041"/>
    <n v="105"/>
    <d v="2023-03-28T00:00:00"/>
    <s v="March"/>
    <n v="2023"/>
    <x v="1"/>
    <n v="62"/>
    <s v="Yes"/>
    <x v="3"/>
  </r>
  <r>
    <n v="20042"/>
    <n v="255"/>
    <d v="2022-10-17T00:00:00"/>
    <s v="October"/>
    <n v="2022"/>
    <x v="1"/>
    <n v="17"/>
    <s v="Yes"/>
    <x v="4"/>
  </r>
  <r>
    <n v="20043"/>
    <n v="404"/>
    <d v="2024-01-06T00:00:00"/>
    <s v="January"/>
    <n v="2024"/>
    <x v="0"/>
    <n v="70"/>
    <s v="No"/>
    <x v="2"/>
  </r>
  <r>
    <n v="20044"/>
    <n v="488"/>
    <d v="2022-04-29T00:00:00"/>
    <s v="April"/>
    <n v="2022"/>
    <x v="0"/>
    <n v="28"/>
    <s v="No"/>
    <x v="2"/>
  </r>
  <r>
    <n v="20045"/>
    <n v="446"/>
    <d v="2022-08-02T00:00:00"/>
    <s v="August"/>
    <n v="2022"/>
    <x v="1"/>
    <n v="13"/>
    <s v="Yes"/>
    <x v="3"/>
  </r>
  <r>
    <n v="20046"/>
    <n v="458"/>
    <d v="2023-07-19T00:00:00"/>
    <s v="July"/>
    <n v="2023"/>
    <x v="0"/>
    <n v="29"/>
    <s v="Yes"/>
    <x v="2"/>
  </r>
  <r>
    <n v="20047"/>
    <n v="16"/>
    <d v="2024-01-02T00:00:00"/>
    <s v="January"/>
    <n v="2024"/>
    <x v="2"/>
    <n v="45"/>
    <s v="Yes"/>
    <x v="0"/>
  </r>
  <r>
    <n v="20048"/>
    <n v="79"/>
    <d v="2023-03-15T00:00:00"/>
    <s v="March"/>
    <n v="2023"/>
    <x v="1"/>
    <n v="20"/>
    <s v="Yes"/>
    <x v="4"/>
  </r>
  <r>
    <n v="20049"/>
    <n v="13"/>
    <d v="2024-01-25T00:00:00"/>
    <s v="January"/>
    <n v="2024"/>
    <x v="0"/>
    <n v="58"/>
    <s v="Yes"/>
    <x v="3"/>
  </r>
  <r>
    <n v="20050"/>
    <n v="370"/>
    <d v="2023-07-19T00:00:00"/>
    <s v="July"/>
    <n v="2023"/>
    <x v="0"/>
    <n v="54"/>
    <s v="Yes"/>
    <x v="3"/>
  </r>
  <r>
    <n v="20051"/>
    <n v="102"/>
    <d v="2023-09-21T00:00:00"/>
    <s v="September"/>
    <n v="2023"/>
    <x v="0"/>
    <n v="64"/>
    <s v="Yes"/>
    <x v="4"/>
  </r>
  <r>
    <n v="20052"/>
    <n v="404"/>
    <d v="2023-03-23T00:00:00"/>
    <s v="March"/>
    <n v="2023"/>
    <x v="2"/>
    <n v="52"/>
    <s v="Yes"/>
    <x v="2"/>
  </r>
  <r>
    <n v="20053"/>
    <n v="152"/>
    <d v="2024-04-22T00:00:00"/>
    <s v="April"/>
    <n v="2024"/>
    <x v="1"/>
    <n v="43"/>
    <s v="Yes"/>
    <x v="0"/>
  </r>
  <r>
    <n v="20054"/>
    <n v="489"/>
    <d v="2022-02-11T00:00:00"/>
    <s v="February"/>
    <n v="2022"/>
    <x v="2"/>
    <n v="18"/>
    <s v="Yes"/>
    <x v="5"/>
  </r>
  <r>
    <n v="20055"/>
    <n v="178"/>
    <d v="2023-01-30T00:00:00"/>
    <s v="January"/>
    <n v="2023"/>
    <x v="0"/>
    <n v="54"/>
    <s v="Yes"/>
    <x v="5"/>
  </r>
  <r>
    <n v="20056"/>
    <n v="391"/>
    <d v="2022-09-04T00:00:00"/>
    <s v="September"/>
    <n v="2022"/>
    <x v="2"/>
    <n v="60"/>
    <s v="Yes"/>
    <x v="5"/>
  </r>
  <r>
    <n v="20057"/>
    <n v="87"/>
    <d v="2022-10-18T00:00:00"/>
    <s v="October"/>
    <n v="2022"/>
    <x v="0"/>
    <n v="71"/>
    <s v="No"/>
    <x v="2"/>
  </r>
  <r>
    <n v="20058"/>
    <n v="88"/>
    <d v="2022-09-05T00:00:00"/>
    <s v="September"/>
    <n v="2022"/>
    <x v="0"/>
    <n v="1"/>
    <s v="Yes"/>
    <x v="1"/>
  </r>
  <r>
    <n v="20059"/>
    <n v="29"/>
    <d v="2023-09-05T00:00:00"/>
    <s v="September"/>
    <n v="2023"/>
    <x v="1"/>
    <n v="37"/>
    <s v="Yes"/>
    <x v="3"/>
  </r>
  <r>
    <n v="20060"/>
    <n v="389"/>
    <d v="2023-08-22T00:00:00"/>
    <s v="August"/>
    <n v="2023"/>
    <x v="1"/>
    <n v="49"/>
    <s v="No"/>
    <x v="0"/>
  </r>
  <r>
    <n v="20061"/>
    <n v="363"/>
    <d v="2024-05-14T00:00:00"/>
    <s v="May"/>
    <n v="2024"/>
    <x v="0"/>
    <n v="35"/>
    <s v="Yes"/>
    <x v="4"/>
  </r>
  <r>
    <n v="20062"/>
    <n v="493"/>
    <d v="2023-03-25T00:00:00"/>
    <s v="March"/>
    <n v="2023"/>
    <x v="0"/>
    <n v="67"/>
    <s v="Yes"/>
    <x v="3"/>
  </r>
  <r>
    <n v="20063"/>
    <n v="419"/>
    <d v="2022-03-25T00:00:00"/>
    <s v="March"/>
    <n v="2022"/>
    <x v="0"/>
    <n v="35"/>
    <s v="Yes"/>
    <x v="3"/>
  </r>
  <r>
    <n v="20064"/>
    <n v="321"/>
    <d v="2024-02-12T00:00:00"/>
    <s v="February"/>
    <n v="2024"/>
    <x v="1"/>
    <n v="9"/>
    <s v="Yes"/>
    <x v="2"/>
  </r>
  <r>
    <n v="20065"/>
    <n v="100"/>
    <d v="2022-08-09T00:00:00"/>
    <s v="August"/>
    <n v="2022"/>
    <x v="1"/>
    <n v="37"/>
    <s v="Yes"/>
    <x v="1"/>
  </r>
  <r>
    <n v="20066"/>
    <n v="115"/>
    <d v="2023-10-28T00:00:00"/>
    <s v="October"/>
    <n v="2023"/>
    <x v="0"/>
    <n v="60"/>
    <s v="Yes"/>
    <x v="0"/>
  </r>
  <r>
    <n v="20067"/>
    <n v="210"/>
    <d v="2022-02-20T00:00:00"/>
    <s v="February"/>
    <n v="2022"/>
    <x v="1"/>
    <n v="56"/>
    <s v="Yes"/>
    <x v="3"/>
  </r>
  <r>
    <n v="20068"/>
    <n v="454"/>
    <d v="2023-07-04T00:00:00"/>
    <s v="July"/>
    <n v="2023"/>
    <x v="0"/>
    <n v="12"/>
    <s v="No"/>
    <x v="5"/>
  </r>
  <r>
    <n v="20069"/>
    <n v="343"/>
    <d v="2024-02-10T00:00:00"/>
    <s v="February"/>
    <n v="2024"/>
    <x v="2"/>
    <n v="71"/>
    <s v="Yes"/>
    <x v="4"/>
  </r>
  <r>
    <n v="20070"/>
    <n v="74"/>
    <d v="2022-07-06T00:00:00"/>
    <s v="July"/>
    <n v="2022"/>
    <x v="1"/>
    <n v="71"/>
    <s v="No"/>
    <x v="2"/>
  </r>
  <r>
    <n v="20071"/>
    <n v="135"/>
    <d v="2023-06-09T00:00:00"/>
    <s v="June"/>
    <n v="2023"/>
    <x v="0"/>
    <n v="4"/>
    <s v="Yes"/>
    <x v="5"/>
  </r>
  <r>
    <n v="20072"/>
    <n v="428"/>
    <d v="2022-08-11T00:00:00"/>
    <s v="August"/>
    <n v="2022"/>
    <x v="2"/>
    <n v="61"/>
    <s v="No"/>
    <x v="0"/>
  </r>
  <r>
    <n v="20073"/>
    <n v="456"/>
    <d v="2023-04-10T00:00:00"/>
    <s v="April"/>
    <n v="2023"/>
    <x v="0"/>
    <n v="45"/>
    <s v="Yes"/>
    <x v="3"/>
  </r>
  <r>
    <n v="20074"/>
    <n v="269"/>
    <d v="2023-02-23T00:00:00"/>
    <s v="February"/>
    <n v="2023"/>
    <x v="2"/>
    <n v="50"/>
    <s v="Yes"/>
    <x v="5"/>
  </r>
  <r>
    <n v="20075"/>
    <n v="350"/>
    <d v="2022-03-28T00:00:00"/>
    <s v="March"/>
    <n v="2022"/>
    <x v="1"/>
    <n v="50"/>
    <s v="Yes"/>
    <x v="4"/>
  </r>
  <r>
    <n v="20076"/>
    <n v="466"/>
    <d v="2022-09-16T00:00:00"/>
    <s v="September"/>
    <n v="2022"/>
    <x v="1"/>
    <n v="48"/>
    <s v="Yes"/>
    <x v="3"/>
  </r>
  <r>
    <n v="20077"/>
    <n v="78"/>
    <d v="2022-06-30T00:00:00"/>
    <s v="June"/>
    <n v="2022"/>
    <x v="0"/>
    <n v="23"/>
    <s v="Yes"/>
    <x v="3"/>
  </r>
  <r>
    <n v="20078"/>
    <n v="459"/>
    <d v="2022-11-07T00:00:00"/>
    <s v="November"/>
    <n v="2022"/>
    <x v="1"/>
    <n v="8"/>
    <s v="Yes"/>
    <x v="5"/>
  </r>
  <r>
    <n v="20079"/>
    <n v="380"/>
    <d v="2022-06-22T00:00:00"/>
    <s v="June"/>
    <n v="2022"/>
    <x v="1"/>
    <n v="29"/>
    <s v="Yes"/>
    <x v="4"/>
  </r>
  <r>
    <n v="20080"/>
    <n v="490"/>
    <d v="2022-11-18T00:00:00"/>
    <s v="November"/>
    <n v="2022"/>
    <x v="2"/>
    <n v="43"/>
    <s v="Yes"/>
    <x v="5"/>
  </r>
  <r>
    <n v="20081"/>
    <n v="125"/>
    <d v="2023-12-08T00:00:00"/>
    <s v="December"/>
    <n v="2023"/>
    <x v="1"/>
    <n v="53"/>
    <s v="Yes"/>
    <x v="0"/>
  </r>
  <r>
    <n v="20082"/>
    <n v="38"/>
    <d v="2022-12-06T00:00:00"/>
    <s v="December"/>
    <n v="2022"/>
    <x v="2"/>
    <n v="6"/>
    <s v="Yes"/>
    <x v="1"/>
  </r>
  <r>
    <n v="20083"/>
    <n v="269"/>
    <d v="2023-05-11T00:00:00"/>
    <s v="May"/>
    <n v="2023"/>
    <x v="2"/>
    <n v="24"/>
    <s v="Yes"/>
    <x v="5"/>
  </r>
  <r>
    <n v="20084"/>
    <n v="310"/>
    <d v="2022-09-02T00:00:00"/>
    <s v="September"/>
    <n v="2022"/>
    <x v="2"/>
    <n v="14"/>
    <s v="Yes"/>
    <x v="3"/>
  </r>
  <r>
    <n v="20085"/>
    <n v="106"/>
    <d v="2023-05-20T00:00:00"/>
    <s v="May"/>
    <n v="2023"/>
    <x v="1"/>
    <n v="52"/>
    <s v="Yes"/>
    <x v="0"/>
  </r>
  <r>
    <n v="20086"/>
    <n v="44"/>
    <d v="2022-11-25T00:00:00"/>
    <s v="November"/>
    <n v="2022"/>
    <x v="0"/>
    <n v="70"/>
    <s v="Yes"/>
    <x v="1"/>
  </r>
  <r>
    <n v="20087"/>
    <n v="225"/>
    <d v="2024-05-29T00:00:00"/>
    <s v="May"/>
    <n v="2024"/>
    <x v="0"/>
    <n v="4"/>
    <s v="Yes"/>
    <x v="2"/>
  </r>
  <r>
    <n v="20088"/>
    <n v="242"/>
    <d v="2022-07-15T00:00:00"/>
    <s v="July"/>
    <n v="2022"/>
    <x v="1"/>
    <n v="58"/>
    <s v="Yes"/>
    <x v="2"/>
  </r>
  <r>
    <n v="20089"/>
    <n v="397"/>
    <d v="2022-03-03T00:00:00"/>
    <s v="March"/>
    <n v="2022"/>
    <x v="2"/>
    <n v="37"/>
    <s v="Yes"/>
    <x v="0"/>
  </r>
  <r>
    <n v="20090"/>
    <n v="153"/>
    <d v="2022-01-25T00:00:00"/>
    <s v="January"/>
    <n v="2022"/>
    <x v="1"/>
    <n v="48"/>
    <s v="Yes"/>
    <x v="3"/>
  </r>
  <r>
    <n v="20091"/>
    <n v="24"/>
    <d v="2023-07-18T00:00:00"/>
    <s v="July"/>
    <n v="2023"/>
    <x v="0"/>
    <n v="39"/>
    <s v="Yes"/>
    <x v="3"/>
  </r>
  <r>
    <n v="20092"/>
    <n v="124"/>
    <d v="2023-07-16T00:00:00"/>
    <s v="July"/>
    <n v="2023"/>
    <x v="2"/>
    <n v="66"/>
    <s v="Yes"/>
    <x v="3"/>
  </r>
  <r>
    <n v="20093"/>
    <n v="285"/>
    <d v="2023-01-13T00:00:00"/>
    <s v="January"/>
    <n v="2023"/>
    <x v="1"/>
    <n v="13"/>
    <s v="Yes"/>
    <x v="2"/>
  </r>
  <r>
    <n v="20094"/>
    <n v="484"/>
    <d v="2024-06-15T00:00:00"/>
    <s v="June"/>
    <n v="2024"/>
    <x v="2"/>
    <n v="66"/>
    <s v="Yes"/>
    <x v="2"/>
  </r>
  <r>
    <n v="20095"/>
    <n v="454"/>
    <d v="2022-10-22T00:00:00"/>
    <s v="October"/>
    <n v="2022"/>
    <x v="2"/>
    <n v="60"/>
    <s v="Yes"/>
    <x v="5"/>
  </r>
  <r>
    <n v="20096"/>
    <n v="402"/>
    <d v="2022-02-21T00:00:00"/>
    <s v="February"/>
    <n v="2022"/>
    <x v="0"/>
    <n v="41"/>
    <s v="Yes"/>
    <x v="0"/>
  </r>
  <r>
    <n v="20097"/>
    <n v="348"/>
    <d v="2024-04-23T00:00:00"/>
    <s v="April"/>
    <n v="2024"/>
    <x v="2"/>
    <n v="32"/>
    <s v="Yes"/>
    <x v="5"/>
  </r>
  <r>
    <n v="20098"/>
    <n v="261"/>
    <d v="2022-02-09T00:00:00"/>
    <s v="February"/>
    <n v="2022"/>
    <x v="1"/>
    <n v="52"/>
    <s v="Yes"/>
    <x v="1"/>
  </r>
  <r>
    <n v="20099"/>
    <n v="146"/>
    <d v="2024-01-14T00:00:00"/>
    <s v="January"/>
    <n v="2024"/>
    <x v="2"/>
    <n v="5"/>
    <s v="Yes"/>
    <x v="1"/>
  </r>
  <r>
    <n v="20100"/>
    <n v="191"/>
    <d v="2023-07-26T00:00:00"/>
    <s v="July"/>
    <n v="2023"/>
    <x v="2"/>
    <n v="67"/>
    <s v="Yes"/>
    <x v="2"/>
  </r>
  <r>
    <n v="20101"/>
    <n v="381"/>
    <d v="2023-12-29T00:00:00"/>
    <s v="December"/>
    <n v="2023"/>
    <x v="1"/>
    <n v="66"/>
    <s v="Yes"/>
    <x v="2"/>
  </r>
  <r>
    <n v="20102"/>
    <n v="165"/>
    <d v="2023-04-02T00:00:00"/>
    <s v="April"/>
    <n v="2023"/>
    <x v="0"/>
    <n v="52"/>
    <s v="Yes"/>
    <x v="1"/>
  </r>
  <r>
    <n v="20103"/>
    <n v="71"/>
    <d v="2024-05-27T00:00:00"/>
    <s v="May"/>
    <n v="2024"/>
    <x v="0"/>
    <n v="49"/>
    <s v="Yes"/>
    <x v="2"/>
  </r>
  <r>
    <n v="20104"/>
    <n v="439"/>
    <d v="2024-05-01T00:00:00"/>
    <s v="May"/>
    <n v="2024"/>
    <x v="1"/>
    <n v="29"/>
    <s v="Yes"/>
    <x v="5"/>
  </r>
  <r>
    <n v="20105"/>
    <n v="201"/>
    <d v="2023-12-10T00:00:00"/>
    <s v="December"/>
    <n v="2023"/>
    <x v="2"/>
    <n v="38"/>
    <s v="Yes"/>
    <x v="0"/>
  </r>
  <r>
    <n v="20106"/>
    <n v="355"/>
    <d v="2024-02-27T00:00:00"/>
    <s v="February"/>
    <n v="2024"/>
    <x v="1"/>
    <n v="70"/>
    <s v="Yes"/>
    <x v="0"/>
  </r>
  <r>
    <n v="20107"/>
    <n v="12"/>
    <d v="2024-05-02T00:00:00"/>
    <s v="May"/>
    <n v="2024"/>
    <x v="1"/>
    <n v="8"/>
    <s v="Yes"/>
    <x v="3"/>
  </r>
  <r>
    <n v="20108"/>
    <n v="52"/>
    <d v="2022-01-02T00:00:00"/>
    <s v="January"/>
    <n v="2022"/>
    <x v="1"/>
    <n v="59"/>
    <s v="Yes"/>
    <x v="5"/>
  </r>
  <r>
    <n v="20109"/>
    <n v="441"/>
    <d v="2023-04-14T00:00:00"/>
    <s v="April"/>
    <n v="2023"/>
    <x v="0"/>
    <n v="55"/>
    <s v="Yes"/>
    <x v="3"/>
  </r>
  <r>
    <n v="20110"/>
    <n v="256"/>
    <d v="2022-04-16T00:00:00"/>
    <s v="April"/>
    <n v="2022"/>
    <x v="2"/>
    <n v="2"/>
    <s v="Yes"/>
    <x v="3"/>
  </r>
  <r>
    <n v="20111"/>
    <n v="302"/>
    <d v="2022-08-04T00:00:00"/>
    <s v="August"/>
    <n v="2022"/>
    <x v="1"/>
    <n v="26"/>
    <s v="Yes"/>
    <x v="3"/>
  </r>
  <r>
    <n v="20112"/>
    <n v="360"/>
    <d v="2024-02-16T00:00:00"/>
    <s v="February"/>
    <n v="2024"/>
    <x v="0"/>
    <n v="63"/>
    <s v="No"/>
    <x v="2"/>
  </r>
  <r>
    <n v="20113"/>
    <n v="300"/>
    <d v="2023-11-10T00:00:00"/>
    <s v="November"/>
    <n v="2023"/>
    <x v="0"/>
    <n v="17"/>
    <s v="Yes"/>
    <x v="1"/>
  </r>
  <r>
    <n v="20114"/>
    <n v="487"/>
    <d v="2024-01-29T00:00:00"/>
    <s v="January"/>
    <n v="2024"/>
    <x v="2"/>
    <n v="59"/>
    <s v="Yes"/>
    <x v="0"/>
  </r>
  <r>
    <n v="20115"/>
    <n v="408"/>
    <d v="2023-02-18T00:00:00"/>
    <s v="February"/>
    <n v="2023"/>
    <x v="1"/>
    <n v="16"/>
    <s v="Yes"/>
    <x v="5"/>
  </r>
  <r>
    <n v="20116"/>
    <n v="9"/>
    <d v="2022-07-29T00:00:00"/>
    <s v="July"/>
    <n v="2022"/>
    <x v="2"/>
    <n v="58"/>
    <s v="Yes"/>
    <x v="0"/>
  </r>
  <r>
    <n v="20117"/>
    <n v="140"/>
    <d v="2022-02-27T00:00:00"/>
    <s v="February"/>
    <n v="2022"/>
    <x v="1"/>
    <n v="64"/>
    <s v="No"/>
    <x v="4"/>
  </r>
  <r>
    <n v="20118"/>
    <n v="100"/>
    <d v="2022-02-12T00:00:00"/>
    <s v="February"/>
    <n v="2022"/>
    <x v="0"/>
    <n v="50"/>
    <s v="Yes"/>
    <x v="1"/>
  </r>
  <r>
    <n v="20119"/>
    <n v="485"/>
    <d v="2022-05-18T00:00:00"/>
    <s v="May"/>
    <n v="2022"/>
    <x v="0"/>
    <n v="26"/>
    <s v="Yes"/>
    <x v="4"/>
  </r>
  <r>
    <n v="20120"/>
    <n v="137"/>
    <d v="2023-09-13T00:00:00"/>
    <s v="September"/>
    <n v="2023"/>
    <x v="2"/>
    <n v="17"/>
    <s v="No"/>
    <x v="4"/>
  </r>
  <r>
    <n v="20121"/>
    <n v="359"/>
    <d v="2023-05-04T00:00:00"/>
    <s v="May"/>
    <n v="2023"/>
    <x v="1"/>
    <n v="46"/>
    <s v="Yes"/>
    <x v="1"/>
  </r>
  <r>
    <n v="20122"/>
    <n v="366"/>
    <d v="2023-07-14T00:00:00"/>
    <s v="July"/>
    <n v="2023"/>
    <x v="2"/>
    <n v="68"/>
    <s v="Yes"/>
    <x v="1"/>
  </r>
  <r>
    <n v="20123"/>
    <n v="372"/>
    <d v="2023-09-30T00:00:00"/>
    <s v="September"/>
    <n v="2023"/>
    <x v="1"/>
    <n v="50"/>
    <s v="No"/>
    <x v="5"/>
  </r>
  <r>
    <n v="20124"/>
    <n v="22"/>
    <d v="2023-04-14T00:00:00"/>
    <s v="April"/>
    <n v="2023"/>
    <x v="2"/>
    <n v="43"/>
    <s v="Yes"/>
    <x v="2"/>
  </r>
  <r>
    <n v="20125"/>
    <n v="145"/>
    <d v="2023-12-27T00:00:00"/>
    <s v="December"/>
    <n v="2023"/>
    <x v="0"/>
    <n v="48"/>
    <s v="Yes"/>
    <x v="5"/>
  </r>
  <r>
    <n v="20126"/>
    <n v="161"/>
    <d v="2023-10-02T00:00:00"/>
    <s v="October"/>
    <n v="2023"/>
    <x v="2"/>
    <n v="68"/>
    <s v="Yes"/>
    <x v="0"/>
  </r>
  <r>
    <n v="20127"/>
    <n v="249"/>
    <d v="2023-01-24T00:00:00"/>
    <s v="January"/>
    <n v="2023"/>
    <x v="1"/>
    <n v="19"/>
    <s v="Yes"/>
    <x v="0"/>
  </r>
  <r>
    <n v="20128"/>
    <n v="175"/>
    <d v="2022-07-17T00:00:00"/>
    <s v="July"/>
    <n v="2022"/>
    <x v="2"/>
    <n v="25"/>
    <s v="Yes"/>
    <x v="3"/>
  </r>
  <r>
    <n v="20129"/>
    <n v="88"/>
    <d v="2022-07-21T00:00:00"/>
    <s v="July"/>
    <n v="2022"/>
    <x v="1"/>
    <n v="18"/>
    <s v="Yes"/>
    <x v="1"/>
  </r>
  <r>
    <n v="20130"/>
    <n v="399"/>
    <d v="2022-07-11T00:00:00"/>
    <s v="July"/>
    <n v="2022"/>
    <x v="2"/>
    <n v="51"/>
    <s v="Yes"/>
    <x v="2"/>
  </r>
  <r>
    <n v="20131"/>
    <n v="477"/>
    <d v="2022-04-17T00:00:00"/>
    <s v="April"/>
    <n v="2022"/>
    <x v="1"/>
    <n v="18"/>
    <s v="Yes"/>
    <x v="4"/>
  </r>
  <r>
    <n v="20132"/>
    <n v="480"/>
    <d v="2023-12-07T00:00:00"/>
    <s v="December"/>
    <n v="2023"/>
    <x v="1"/>
    <n v="58"/>
    <s v="Yes"/>
    <x v="2"/>
  </r>
  <r>
    <n v="20133"/>
    <n v="33"/>
    <d v="2022-11-23T00:00:00"/>
    <s v="November"/>
    <n v="2022"/>
    <x v="1"/>
    <n v="64"/>
    <s v="Yes"/>
    <x v="3"/>
  </r>
  <r>
    <n v="20134"/>
    <n v="477"/>
    <d v="2024-01-20T00:00:00"/>
    <s v="January"/>
    <n v="2024"/>
    <x v="2"/>
    <n v="71"/>
    <s v="Yes"/>
    <x v="4"/>
  </r>
  <r>
    <n v="20135"/>
    <n v="271"/>
    <d v="2023-10-06T00:00:00"/>
    <s v="October"/>
    <n v="2023"/>
    <x v="2"/>
    <n v="57"/>
    <s v="Yes"/>
    <x v="3"/>
  </r>
  <r>
    <n v="20136"/>
    <n v="283"/>
    <d v="2022-12-23T00:00:00"/>
    <s v="December"/>
    <n v="2022"/>
    <x v="0"/>
    <n v="17"/>
    <s v="Yes"/>
    <x v="2"/>
  </r>
  <r>
    <n v="20137"/>
    <n v="226"/>
    <d v="2023-08-18T00:00:00"/>
    <s v="August"/>
    <n v="2023"/>
    <x v="1"/>
    <n v="59"/>
    <s v="Yes"/>
    <x v="5"/>
  </r>
  <r>
    <n v="20138"/>
    <n v="445"/>
    <d v="2023-05-16T00:00:00"/>
    <s v="May"/>
    <n v="2023"/>
    <x v="0"/>
    <n v="67"/>
    <s v="Yes"/>
    <x v="5"/>
  </r>
  <r>
    <n v="20139"/>
    <n v="452"/>
    <d v="2022-10-11T00:00:00"/>
    <s v="October"/>
    <n v="2022"/>
    <x v="0"/>
    <n v="15"/>
    <s v="No"/>
    <x v="4"/>
  </r>
  <r>
    <n v="20140"/>
    <n v="497"/>
    <d v="2023-04-13T00:00:00"/>
    <s v="April"/>
    <n v="2023"/>
    <x v="1"/>
    <n v="26"/>
    <s v="Yes"/>
    <x v="3"/>
  </r>
  <r>
    <n v="20141"/>
    <n v="112"/>
    <d v="2023-05-23T00:00:00"/>
    <s v="May"/>
    <n v="2023"/>
    <x v="0"/>
    <n v="48"/>
    <s v="Yes"/>
    <x v="5"/>
  </r>
  <r>
    <n v="20142"/>
    <n v="82"/>
    <d v="2024-01-04T00:00:00"/>
    <s v="January"/>
    <n v="2024"/>
    <x v="2"/>
    <n v="14"/>
    <s v="Yes"/>
    <x v="5"/>
  </r>
  <r>
    <n v="20143"/>
    <n v="213"/>
    <d v="2022-04-16T00:00:00"/>
    <s v="April"/>
    <n v="2022"/>
    <x v="0"/>
    <n v="9"/>
    <s v="Yes"/>
    <x v="2"/>
  </r>
  <r>
    <n v="20144"/>
    <n v="304"/>
    <d v="2022-10-21T00:00:00"/>
    <s v="October"/>
    <n v="2022"/>
    <x v="2"/>
    <n v="7"/>
    <s v="Yes"/>
    <x v="4"/>
  </r>
  <r>
    <n v="20145"/>
    <n v="8"/>
    <d v="2022-03-07T00:00:00"/>
    <s v="March"/>
    <n v="2022"/>
    <x v="1"/>
    <n v="55"/>
    <s v="Yes"/>
    <x v="1"/>
  </r>
  <r>
    <n v="20146"/>
    <n v="134"/>
    <d v="2022-07-14T00:00:00"/>
    <s v="July"/>
    <n v="2022"/>
    <x v="1"/>
    <n v="12"/>
    <s v="Yes"/>
    <x v="1"/>
  </r>
  <r>
    <n v="20147"/>
    <n v="447"/>
    <d v="2022-07-07T00:00:00"/>
    <s v="July"/>
    <n v="2022"/>
    <x v="1"/>
    <n v="17"/>
    <s v="Yes"/>
    <x v="4"/>
  </r>
  <r>
    <n v="20148"/>
    <n v="118"/>
    <d v="2022-02-16T00:00:00"/>
    <s v="February"/>
    <n v="2022"/>
    <x v="0"/>
    <n v="8"/>
    <s v="Yes"/>
    <x v="2"/>
  </r>
  <r>
    <n v="20149"/>
    <n v="84"/>
    <d v="2022-12-28T00:00:00"/>
    <s v="December"/>
    <n v="2022"/>
    <x v="1"/>
    <n v="42"/>
    <s v="Yes"/>
    <x v="4"/>
  </r>
  <r>
    <n v="20150"/>
    <n v="258"/>
    <d v="2024-05-20T00:00:00"/>
    <s v="May"/>
    <n v="2024"/>
    <x v="1"/>
    <n v="37"/>
    <s v="Yes"/>
    <x v="0"/>
  </r>
  <r>
    <n v="20151"/>
    <n v="243"/>
    <d v="2023-06-21T00:00:00"/>
    <s v="June"/>
    <n v="2023"/>
    <x v="2"/>
    <n v="20"/>
    <s v="Yes"/>
    <x v="2"/>
  </r>
  <r>
    <n v="20152"/>
    <n v="237"/>
    <d v="2023-08-01T00:00:00"/>
    <s v="August"/>
    <n v="2023"/>
    <x v="0"/>
    <n v="1"/>
    <s v="Yes"/>
    <x v="5"/>
  </r>
  <r>
    <n v="20153"/>
    <n v="150"/>
    <d v="2023-05-02T00:00:00"/>
    <s v="May"/>
    <n v="2023"/>
    <x v="0"/>
    <n v="9"/>
    <s v="Yes"/>
    <x v="0"/>
  </r>
  <r>
    <n v="20154"/>
    <n v="374"/>
    <d v="2024-04-26T00:00:00"/>
    <s v="April"/>
    <n v="2024"/>
    <x v="1"/>
    <n v="24"/>
    <s v="Yes"/>
    <x v="1"/>
  </r>
  <r>
    <n v="20155"/>
    <n v="21"/>
    <d v="2023-08-02T00:00:00"/>
    <s v="August"/>
    <n v="2023"/>
    <x v="0"/>
    <n v="34"/>
    <s v="Yes"/>
    <x v="2"/>
  </r>
  <r>
    <n v="20156"/>
    <n v="134"/>
    <d v="2023-12-10T00:00:00"/>
    <s v="December"/>
    <n v="2023"/>
    <x v="1"/>
    <n v="36"/>
    <s v="Yes"/>
    <x v="1"/>
  </r>
  <r>
    <n v="20157"/>
    <n v="379"/>
    <d v="2022-09-03T00:00:00"/>
    <s v="September"/>
    <n v="2022"/>
    <x v="2"/>
    <n v="4"/>
    <s v="Yes"/>
    <x v="3"/>
  </r>
  <r>
    <n v="20158"/>
    <n v="96"/>
    <d v="2024-03-18T00:00:00"/>
    <s v="March"/>
    <n v="2024"/>
    <x v="0"/>
    <n v="29"/>
    <s v="Yes"/>
    <x v="2"/>
  </r>
  <r>
    <n v="20159"/>
    <n v="454"/>
    <d v="2023-09-04T00:00:00"/>
    <s v="September"/>
    <n v="2023"/>
    <x v="0"/>
    <n v="16"/>
    <s v="Yes"/>
    <x v="5"/>
  </r>
  <r>
    <n v="20160"/>
    <n v="13"/>
    <d v="2022-06-27T00:00:00"/>
    <s v="June"/>
    <n v="2022"/>
    <x v="2"/>
    <n v="8"/>
    <s v="Yes"/>
    <x v="3"/>
  </r>
  <r>
    <n v="20161"/>
    <n v="1"/>
    <d v="2022-04-25T00:00:00"/>
    <s v="April"/>
    <n v="2022"/>
    <x v="0"/>
    <n v="39"/>
    <s v="Yes"/>
    <x v="3"/>
  </r>
  <r>
    <n v="20162"/>
    <n v="150"/>
    <d v="2023-11-11T00:00:00"/>
    <s v="November"/>
    <n v="2023"/>
    <x v="1"/>
    <n v="58"/>
    <s v="Yes"/>
    <x v="0"/>
  </r>
  <r>
    <n v="20163"/>
    <n v="117"/>
    <d v="2023-09-23T00:00:00"/>
    <s v="September"/>
    <n v="2023"/>
    <x v="0"/>
    <n v="12"/>
    <s v="Yes"/>
    <x v="3"/>
  </r>
  <r>
    <n v="20164"/>
    <n v="152"/>
    <d v="2022-06-14T00:00:00"/>
    <s v="June"/>
    <n v="2022"/>
    <x v="0"/>
    <n v="44"/>
    <s v="Yes"/>
    <x v="0"/>
  </r>
  <r>
    <n v="20165"/>
    <n v="64"/>
    <d v="2022-08-07T00:00:00"/>
    <s v="August"/>
    <n v="2022"/>
    <x v="2"/>
    <n v="4"/>
    <s v="Yes"/>
    <x v="0"/>
  </r>
  <r>
    <n v="20166"/>
    <n v="425"/>
    <d v="2022-07-16T00:00:00"/>
    <s v="July"/>
    <n v="2022"/>
    <x v="2"/>
    <n v="25"/>
    <s v="Yes"/>
    <x v="2"/>
  </r>
  <r>
    <n v="20167"/>
    <n v="478"/>
    <d v="2023-02-05T00:00:00"/>
    <s v="February"/>
    <n v="2023"/>
    <x v="1"/>
    <n v="70"/>
    <s v="Yes"/>
    <x v="5"/>
  </r>
  <r>
    <n v="20168"/>
    <n v="150"/>
    <d v="2024-04-09T00:00:00"/>
    <s v="April"/>
    <n v="2024"/>
    <x v="0"/>
    <n v="67"/>
    <s v="Yes"/>
    <x v="0"/>
  </r>
  <r>
    <n v="20169"/>
    <n v="317"/>
    <d v="2024-01-19T00:00:00"/>
    <s v="January"/>
    <n v="2024"/>
    <x v="0"/>
    <n v="39"/>
    <s v="Yes"/>
    <x v="4"/>
  </r>
  <r>
    <n v="20170"/>
    <n v="364"/>
    <d v="2023-11-12T00:00:00"/>
    <s v="November"/>
    <n v="2023"/>
    <x v="2"/>
    <n v="24"/>
    <s v="Yes"/>
    <x v="4"/>
  </r>
  <r>
    <n v="20171"/>
    <n v="12"/>
    <d v="2022-03-17T00:00:00"/>
    <s v="March"/>
    <n v="2022"/>
    <x v="1"/>
    <n v="6"/>
    <s v="Yes"/>
    <x v="3"/>
  </r>
  <r>
    <n v="20172"/>
    <n v="90"/>
    <d v="2023-03-02T00:00:00"/>
    <s v="March"/>
    <n v="2023"/>
    <x v="0"/>
    <n v="33"/>
    <s v="Yes"/>
    <x v="1"/>
  </r>
  <r>
    <n v="20173"/>
    <n v="388"/>
    <d v="2022-10-14T00:00:00"/>
    <s v="October"/>
    <n v="2022"/>
    <x v="1"/>
    <n v="48"/>
    <s v="Yes"/>
    <x v="5"/>
  </r>
  <r>
    <n v="20174"/>
    <n v="83"/>
    <d v="2023-06-29T00:00:00"/>
    <s v="June"/>
    <n v="2023"/>
    <x v="0"/>
    <n v="67"/>
    <s v="Yes"/>
    <x v="0"/>
  </r>
  <r>
    <n v="20175"/>
    <n v="464"/>
    <d v="2022-10-26T00:00:00"/>
    <s v="October"/>
    <n v="2022"/>
    <x v="2"/>
    <n v="2"/>
    <s v="No"/>
    <x v="4"/>
  </r>
  <r>
    <n v="20176"/>
    <n v="250"/>
    <d v="2024-05-10T00:00:00"/>
    <s v="May"/>
    <n v="2024"/>
    <x v="2"/>
    <n v="38"/>
    <s v="Yes"/>
    <x v="1"/>
  </r>
  <r>
    <n v="20177"/>
    <n v="384"/>
    <d v="2024-01-12T00:00:00"/>
    <s v="January"/>
    <n v="2024"/>
    <x v="2"/>
    <n v="40"/>
    <s v="Yes"/>
    <x v="5"/>
  </r>
  <r>
    <n v="20178"/>
    <n v="396"/>
    <d v="2023-12-08T00:00:00"/>
    <s v="December"/>
    <n v="2023"/>
    <x v="2"/>
    <n v="56"/>
    <s v="Yes"/>
    <x v="3"/>
  </r>
  <r>
    <n v="20179"/>
    <n v="33"/>
    <d v="2022-10-21T00:00:00"/>
    <s v="October"/>
    <n v="2022"/>
    <x v="2"/>
    <n v="21"/>
    <s v="Yes"/>
    <x v="3"/>
  </r>
  <r>
    <n v="20180"/>
    <n v="149"/>
    <d v="2024-03-19T00:00:00"/>
    <s v="March"/>
    <n v="2024"/>
    <x v="2"/>
    <n v="35"/>
    <s v="Yes"/>
    <x v="5"/>
  </r>
  <r>
    <n v="20181"/>
    <n v="128"/>
    <d v="2024-06-04T00:00:00"/>
    <s v="June"/>
    <n v="2024"/>
    <x v="1"/>
    <n v="67"/>
    <s v="Yes"/>
    <x v="0"/>
  </r>
  <r>
    <n v="20182"/>
    <n v="100"/>
    <d v="2023-03-23T00:00:00"/>
    <s v="March"/>
    <n v="2023"/>
    <x v="2"/>
    <n v="60"/>
    <s v="Yes"/>
    <x v="1"/>
  </r>
  <r>
    <n v="20183"/>
    <n v="457"/>
    <d v="2023-02-18T00:00:00"/>
    <s v="February"/>
    <n v="2023"/>
    <x v="1"/>
    <n v="23"/>
    <s v="Yes"/>
    <x v="4"/>
  </r>
  <r>
    <n v="20184"/>
    <n v="487"/>
    <d v="2023-03-07T00:00:00"/>
    <s v="March"/>
    <n v="2023"/>
    <x v="2"/>
    <n v="65"/>
    <s v="Yes"/>
    <x v="0"/>
  </r>
  <r>
    <n v="20185"/>
    <n v="362"/>
    <d v="2024-02-29T00:00:00"/>
    <s v="February"/>
    <n v="2024"/>
    <x v="0"/>
    <n v="63"/>
    <s v="Yes"/>
    <x v="4"/>
  </r>
  <r>
    <n v="20186"/>
    <n v="493"/>
    <d v="2022-08-18T00:00:00"/>
    <s v="August"/>
    <n v="2022"/>
    <x v="0"/>
    <n v="23"/>
    <s v="No"/>
    <x v="3"/>
  </r>
  <r>
    <n v="20187"/>
    <n v="328"/>
    <d v="2022-04-06T00:00:00"/>
    <s v="April"/>
    <n v="2022"/>
    <x v="0"/>
    <n v="42"/>
    <s v="Yes"/>
    <x v="3"/>
  </r>
  <r>
    <n v="20188"/>
    <n v="212"/>
    <d v="2024-06-13T00:00:00"/>
    <s v="June"/>
    <n v="2024"/>
    <x v="1"/>
    <n v="64"/>
    <s v="Yes"/>
    <x v="4"/>
  </r>
  <r>
    <n v="20189"/>
    <n v="74"/>
    <d v="2023-03-15T00:00:00"/>
    <s v="March"/>
    <n v="2023"/>
    <x v="2"/>
    <n v="66"/>
    <s v="Yes"/>
    <x v="2"/>
  </r>
  <r>
    <n v="20190"/>
    <n v="96"/>
    <d v="2022-06-20T00:00:00"/>
    <s v="June"/>
    <n v="2022"/>
    <x v="1"/>
    <n v="41"/>
    <s v="Yes"/>
    <x v="2"/>
  </r>
  <r>
    <n v="20191"/>
    <n v="92"/>
    <d v="2022-11-13T00:00:00"/>
    <s v="November"/>
    <n v="2022"/>
    <x v="2"/>
    <n v="20"/>
    <s v="Yes"/>
    <x v="5"/>
  </r>
  <r>
    <n v="20192"/>
    <n v="330"/>
    <d v="2024-04-21T00:00:00"/>
    <s v="April"/>
    <n v="2024"/>
    <x v="0"/>
    <n v="9"/>
    <s v="Yes"/>
    <x v="1"/>
  </r>
  <r>
    <n v="20193"/>
    <n v="328"/>
    <d v="2023-06-28T00:00:00"/>
    <s v="June"/>
    <n v="2023"/>
    <x v="1"/>
    <n v="57"/>
    <s v="Yes"/>
    <x v="3"/>
  </r>
  <r>
    <n v="20194"/>
    <n v="436"/>
    <d v="2023-05-06T00:00:00"/>
    <s v="May"/>
    <n v="2023"/>
    <x v="2"/>
    <n v="17"/>
    <s v="Yes"/>
    <x v="4"/>
  </r>
  <r>
    <n v="20195"/>
    <n v="175"/>
    <d v="2023-01-23T00:00:00"/>
    <s v="January"/>
    <n v="2023"/>
    <x v="1"/>
    <n v="18"/>
    <s v="Yes"/>
    <x v="3"/>
  </r>
  <r>
    <n v="20196"/>
    <n v="225"/>
    <d v="2023-07-11T00:00:00"/>
    <s v="July"/>
    <n v="2023"/>
    <x v="1"/>
    <n v="63"/>
    <s v="Yes"/>
    <x v="2"/>
  </r>
  <r>
    <n v="20197"/>
    <n v="315"/>
    <d v="2022-03-13T00:00:00"/>
    <s v="March"/>
    <n v="2022"/>
    <x v="0"/>
    <n v="26"/>
    <s v="Yes"/>
    <x v="3"/>
  </r>
  <r>
    <n v="20198"/>
    <n v="175"/>
    <d v="2023-06-16T00:00:00"/>
    <s v="June"/>
    <n v="2023"/>
    <x v="0"/>
    <n v="13"/>
    <s v="Yes"/>
    <x v="3"/>
  </r>
  <r>
    <n v="20199"/>
    <n v="56"/>
    <d v="2022-08-27T00:00:00"/>
    <s v="August"/>
    <n v="2022"/>
    <x v="0"/>
    <n v="17"/>
    <s v="Yes"/>
    <x v="5"/>
  </r>
  <r>
    <n v="20200"/>
    <n v="497"/>
    <d v="2023-12-12T00:00:00"/>
    <s v="December"/>
    <n v="2023"/>
    <x v="0"/>
    <n v="26"/>
    <s v="Yes"/>
    <x v="3"/>
  </r>
  <r>
    <n v="20201"/>
    <n v="269"/>
    <d v="2023-07-31T00:00:00"/>
    <s v="July"/>
    <n v="2023"/>
    <x v="0"/>
    <n v="6"/>
    <s v="Yes"/>
    <x v="5"/>
  </r>
  <r>
    <n v="20202"/>
    <n v="428"/>
    <d v="2023-12-01T00:00:00"/>
    <s v="December"/>
    <n v="2023"/>
    <x v="2"/>
    <n v="4"/>
    <s v="Yes"/>
    <x v="0"/>
  </r>
  <r>
    <n v="20203"/>
    <n v="35"/>
    <d v="2022-03-30T00:00:00"/>
    <s v="March"/>
    <n v="2022"/>
    <x v="2"/>
    <n v="7"/>
    <s v="Yes"/>
    <x v="5"/>
  </r>
  <r>
    <n v="20204"/>
    <n v="119"/>
    <d v="2023-12-14T00:00:00"/>
    <s v="December"/>
    <n v="2023"/>
    <x v="0"/>
    <n v="17"/>
    <s v="No"/>
    <x v="3"/>
  </r>
  <r>
    <n v="20205"/>
    <n v="371"/>
    <d v="2023-06-19T00:00:00"/>
    <s v="June"/>
    <n v="2023"/>
    <x v="0"/>
    <n v="50"/>
    <s v="Yes"/>
    <x v="4"/>
  </r>
  <r>
    <n v="20206"/>
    <n v="413"/>
    <d v="2024-03-18T00:00:00"/>
    <s v="March"/>
    <n v="2024"/>
    <x v="0"/>
    <n v="6"/>
    <s v="Yes"/>
    <x v="3"/>
  </r>
  <r>
    <n v="20207"/>
    <n v="56"/>
    <d v="2023-10-04T00:00:00"/>
    <s v="October"/>
    <n v="2023"/>
    <x v="1"/>
    <n v="30"/>
    <s v="Yes"/>
    <x v="5"/>
  </r>
  <r>
    <n v="20208"/>
    <n v="389"/>
    <d v="2022-06-03T00:00:00"/>
    <s v="June"/>
    <n v="2022"/>
    <x v="0"/>
    <n v="56"/>
    <s v="Yes"/>
    <x v="0"/>
  </r>
  <r>
    <n v="20209"/>
    <n v="451"/>
    <d v="2023-08-13T00:00:00"/>
    <s v="August"/>
    <n v="2023"/>
    <x v="2"/>
    <n v="39"/>
    <s v="Yes"/>
    <x v="4"/>
  </r>
  <r>
    <n v="20210"/>
    <n v="309"/>
    <d v="2022-07-09T00:00:00"/>
    <s v="July"/>
    <n v="2022"/>
    <x v="2"/>
    <n v="14"/>
    <s v="Yes"/>
    <x v="1"/>
  </r>
  <r>
    <n v="20211"/>
    <n v="357"/>
    <d v="2024-03-22T00:00:00"/>
    <s v="March"/>
    <n v="2024"/>
    <x v="1"/>
    <n v="54"/>
    <s v="No"/>
    <x v="0"/>
  </r>
  <r>
    <n v="20212"/>
    <n v="376"/>
    <d v="2023-02-19T00:00:00"/>
    <s v="February"/>
    <n v="2023"/>
    <x v="2"/>
    <n v="22"/>
    <s v="Yes"/>
    <x v="2"/>
  </r>
  <r>
    <n v="20213"/>
    <n v="316"/>
    <d v="2022-06-03T00:00:00"/>
    <s v="June"/>
    <n v="2022"/>
    <x v="0"/>
    <n v="57"/>
    <s v="Yes"/>
    <x v="2"/>
  </r>
  <r>
    <n v="20214"/>
    <n v="105"/>
    <d v="2023-09-17T00:00:00"/>
    <s v="September"/>
    <n v="2023"/>
    <x v="1"/>
    <n v="41"/>
    <s v="Yes"/>
    <x v="3"/>
  </r>
  <r>
    <n v="20215"/>
    <n v="390"/>
    <d v="2022-12-05T00:00:00"/>
    <s v="December"/>
    <n v="2022"/>
    <x v="1"/>
    <n v="10"/>
    <s v="Yes"/>
    <x v="0"/>
  </r>
  <r>
    <n v="20216"/>
    <n v="176"/>
    <d v="2023-09-21T00:00:00"/>
    <s v="September"/>
    <n v="2023"/>
    <x v="2"/>
    <n v="2"/>
    <s v="Yes"/>
    <x v="5"/>
  </r>
  <r>
    <n v="20217"/>
    <n v="106"/>
    <d v="2023-06-01T00:00:00"/>
    <s v="June"/>
    <n v="2023"/>
    <x v="0"/>
    <n v="67"/>
    <s v="No"/>
    <x v="0"/>
  </r>
  <r>
    <n v="20218"/>
    <n v="80"/>
    <d v="2024-06-07T00:00:00"/>
    <s v="June"/>
    <n v="2024"/>
    <x v="0"/>
    <n v="48"/>
    <s v="No"/>
    <x v="3"/>
  </r>
  <r>
    <n v="20219"/>
    <n v="163"/>
    <d v="2024-04-17T00:00:00"/>
    <s v="April"/>
    <n v="2024"/>
    <x v="0"/>
    <n v="42"/>
    <s v="No"/>
    <x v="2"/>
  </r>
  <r>
    <n v="20220"/>
    <n v="402"/>
    <d v="2022-02-04T00:00:00"/>
    <s v="February"/>
    <n v="2022"/>
    <x v="1"/>
    <n v="11"/>
    <s v="Yes"/>
    <x v="0"/>
  </r>
  <r>
    <n v="20221"/>
    <n v="267"/>
    <d v="2024-02-23T00:00:00"/>
    <s v="February"/>
    <n v="2024"/>
    <x v="2"/>
    <n v="12"/>
    <s v="Yes"/>
    <x v="5"/>
  </r>
  <r>
    <n v="20222"/>
    <n v="51"/>
    <d v="2023-11-02T00:00:00"/>
    <s v="November"/>
    <n v="2023"/>
    <x v="2"/>
    <n v="14"/>
    <s v="Yes"/>
    <x v="3"/>
  </r>
  <r>
    <n v="20223"/>
    <n v="377"/>
    <d v="2023-12-23T00:00:00"/>
    <s v="December"/>
    <n v="2023"/>
    <x v="2"/>
    <n v="30"/>
    <s v="Yes"/>
    <x v="1"/>
  </r>
  <r>
    <n v="20224"/>
    <n v="279"/>
    <d v="2023-06-10T00:00:00"/>
    <s v="June"/>
    <n v="2023"/>
    <x v="0"/>
    <n v="60"/>
    <s v="Yes"/>
    <x v="4"/>
  </r>
  <r>
    <n v="20225"/>
    <n v="303"/>
    <d v="2023-06-21T00:00:00"/>
    <s v="June"/>
    <n v="2023"/>
    <x v="1"/>
    <n v="30"/>
    <s v="Yes"/>
    <x v="0"/>
  </r>
  <r>
    <n v="20226"/>
    <n v="75"/>
    <d v="2024-04-26T00:00:00"/>
    <s v="April"/>
    <n v="2024"/>
    <x v="1"/>
    <n v="38"/>
    <s v="Yes"/>
    <x v="1"/>
  </r>
  <r>
    <n v="20227"/>
    <n v="443"/>
    <d v="2022-08-06T00:00:00"/>
    <s v="August"/>
    <n v="2022"/>
    <x v="2"/>
    <n v="65"/>
    <s v="No"/>
    <x v="4"/>
  </r>
  <r>
    <n v="20228"/>
    <n v="441"/>
    <d v="2022-09-11T00:00:00"/>
    <s v="September"/>
    <n v="2022"/>
    <x v="2"/>
    <n v="47"/>
    <s v="Yes"/>
    <x v="3"/>
  </r>
  <r>
    <n v="20229"/>
    <n v="349"/>
    <d v="2022-07-22T00:00:00"/>
    <s v="July"/>
    <n v="2022"/>
    <x v="1"/>
    <n v="39"/>
    <s v="Yes"/>
    <x v="3"/>
  </r>
  <r>
    <n v="20230"/>
    <n v="127"/>
    <d v="2022-04-11T00:00:00"/>
    <s v="April"/>
    <n v="2022"/>
    <x v="2"/>
    <n v="49"/>
    <s v="Yes"/>
    <x v="4"/>
  </r>
  <r>
    <n v="20231"/>
    <n v="246"/>
    <d v="2022-12-27T00:00:00"/>
    <s v="December"/>
    <n v="2022"/>
    <x v="1"/>
    <n v="58"/>
    <s v="Yes"/>
    <x v="0"/>
  </r>
  <r>
    <n v="20232"/>
    <n v="312"/>
    <d v="2024-01-11T00:00:00"/>
    <s v="January"/>
    <n v="2024"/>
    <x v="1"/>
    <n v="17"/>
    <s v="Yes"/>
    <x v="2"/>
  </r>
  <r>
    <n v="20233"/>
    <n v="234"/>
    <d v="2023-12-12T00:00:00"/>
    <s v="December"/>
    <n v="2023"/>
    <x v="2"/>
    <n v="6"/>
    <s v="Yes"/>
    <x v="2"/>
  </r>
  <r>
    <n v="20234"/>
    <n v="155"/>
    <d v="2022-06-27T00:00:00"/>
    <s v="June"/>
    <n v="2022"/>
    <x v="1"/>
    <n v="15"/>
    <s v="No"/>
    <x v="1"/>
  </r>
  <r>
    <n v="20235"/>
    <n v="73"/>
    <d v="2022-10-03T00:00:00"/>
    <s v="October"/>
    <n v="2022"/>
    <x v="1"/>
    <n v="67"/>
    <s v="Yes"/>
    <x v="3"/>
  </r>
  <r>
    <n v="20236"/>
    <n v="419"/>
    <d v="2022-11-08T00:00:00"/>
    <s v="November"/>
    <n v="2022"/>
    <x v="2"/>
    <n v="28"/>
    <s v="Yes"/>
    <x v="3"/>
  </r>
  <r>
    <n v="20237"/>
    <n v="439"/>
    <d v="2023-10-04T00:00:00"/>
    <s v="October"/>
    <n v="2023"/>
    <x v="2"/>
    <n v="44"/>
    <s v="Yes"/>
    <x v="5"/>
  </r>
  <r>
    <n v="20238"/>
    <n v="137"/>
    <d v="2023-02-14T00:00:00"/>
    <s v="February"/>
    <n v="2023"/>
    <x v="2"/>
    <n v="18"/>
    <s v="No"/>
    <x v="4"/>
  </r>
  <r>
    <n v="20239"/>
    <n v="274"/>
    <d v="2024-03-01T00:00:00"/>
    <s v="March"/>
    <n v="2024"/>
    <x v="1"/>
    <n v="32"/>
    <s v="Yes"/>
    <x v="4"/>
  </r>
  <r>
    <n v="20240"/>
    <n v="44"/>
    <d v="2022-10-15T00:00:00"/>
    <s v="October"/>
    <n v="2022"/>
    <x v="2"/>
    <n v="69"/>
    <s v="Yes"/>
    <x v="1"/>
  </r>
  <r>
    <n v="20241"/>
    <n v="247"/>
    <d v="2023-10-15T00:00:00"/>
    <s v="October"/>
    <n v="2023"/>
    <x v="2"/>
    <n v="44"/>
    <s v="Yes"/>
    <x v="5"/>
  </r>
  <r>
    <n v="20242"/>
    <n v="149"/>
    <d v="2023-06-09T00:00:00"/>
    <s v="June"/>
    <n v="2023"/>
    <x v="1"/>
    <n v="70"/>
    <s v="Yes"/>
    <x v="5"/>
  </r>
  <r>
    <n v="20243"/>
    <n v="56"/>
    <d v="2023-02-05T00:00:00"/>
    <s v="February"/>
    <n v="2023"/>
    <x v="1"/>
    <n v="63"/>
    <s v="Yes"/>
    <x v="5"/>
  </r>
  <r>
    <n v="20244"/>
    <n v="176"/>
    <d v="2022-08-05T00:00:00"/>
    <s v="August"/>
    <n v="2022"/>
    <x v="2"/>
    <n v="58"/>
    <s v="Yes"/>
    <x v="5"/>
  </r>
  <r>
    <n v="20245"/>
    <n v="356"/>
    <d v="2023-11-29T00:00:00"/>
    <s v="November"/>
    <n v="2023"/>
    <x v="2"/>
    <n v="47"/>
    <s v="No"/>
    <x v="0"/>
  </r>
  <r>
    <n v="20246"/>
    <n v="257"/>
    <d v="2023-04-15T00:00:00"/>
    <s v="April"/>
    <n v="2023"/>
    <x v="1"/>
    <n v="17"/>
    <s v="Yes"/>
    <x v="3"/>
  </r>
  <r>
    <n v="20247"/>
    <n v="411"/>
    <d v="2022-01-27T00:00:00"/>
    <s v="January"/>
    <n v="2022"/>
    <x v="1"/>
    <n v="39"/>
    <s v="Yes"/>
    <x v="2"/>
  </r>
  <r>
    <n v="20248"/>
    <n v="301"/>
    <d v="2023-12-31T00:00:00"/>
    <s v="December"/>
    <n v="2023"/>
    <x v="0"/>
    <n v="59"/>
    <s v="No"/>
    <x v="4"/>
  </r>
  <r>
    <n v="20249"/>
    <n v="63"/>
    <d v="2023-02-26T00:00:00"/>
    <s v="February"/>
    <n v="2023"/>
    <x v="1"/>
    <n v="7"/>
    <s v="Yes"/>
    <x v="3"/>
  </r>
  <r>
    <n v="20250"/>
    <n v="314"/>
    <d v="2022-01-14T00:00:00"/>
    <s v="January"/>
    <n v="2022"/>
    <x v="1"/>
    <n v="63"/>
    <s v="Yes"/>
    <x v="5"/>
  </r>
  <r>
    <n v="20251"/>
    <n v="424"/>
    <d v="2023-05-16T00:00:00"/>
    <s v="May"/>
    <n v="2023"/>
    <x v="0"/>
    <n v="57"/>
    <s v="Yes"/>
    <x v="2"/>
  </r>
  <r>
    <n v="20252"/>
    <n v="63"/>
    <d v="2023-10-16T00:00:00"/>
    <s v="October"/>
    <n v="2023"/>
    <x v="2"/>
    <n v="34"/>
    <s v="Yes"/>
    <x v="3"/>
  </r>
  <r>
    <n v="20253"/>
    <n v="294"/>
    <d v="2022-11-21T00:00:00"/>
    <s v="November"/>
    <n v="2022"/>
    <x v="0"/>
    <n v="53"/>
    <s v="Yes"/>
    <x v="2"/>
  </r>
  <r>
    <n v="20254"/>
    <n v="29"/>
    <d v="2022-11-20T00:00:00"/>
    <s v="November"/>
    <n v="2022"/>
    <x v="1"/>
    <n v="66"/>
    <s v="Yes"/>
    <x v="3"/>
  </r>
  <r>
    <n v="20255"/>
    <n v="40"/>
    <d v="2023-07-21T00:00:00"/>
    <s v="July"/>
    <n v="2023"/>
    <x v="0"/>
    <n v="48"/>
    <s v="Yes"/>
    <x v="5"/>
  </r>
  <r>
    <n v="20256"/>
    <n v="147"/>
    <d v="2023-12-04T00:00:00"/>
    <s v="December"/>
    <n v="2023"/>
    <x v="0"/>
    <n v="60"/>
    <s v="No"/>
    <x v="0"/>
  </r>
  <r>
    <n v="20257"/>
    <n v="88"/>
    <d v="2022-10-12T00:00:00"/>
    <s v="October"/>
    <n v="2022"/>
    <x v="0"/>
    <n v="43"/>
    <s v="Yes"/>
    <x v="1"/>
  </r>
  <r>
    <n v="20258"/>
    <n v="56"/>
    <d v="2022-03-30T00:00:00"/>
    <s v="March"/>
    <n v="2022"/>
    <x v="0"/>
    <n v="4"/>
    <s v="Yes"/>
    <x v="5"/>
  </r>
  <r>
    <n v="20259"/>
    <n v="300"/>
    <d v="2022-02-14T00:00:00"/>
    <s v="February"/>
    <n v="2022"/>
    <x v="0"/>
    <n v="52"/>
    <s v="Yes"/>
    <x v="1"/>
  </r>
  <r>
    <n v="20260"/>
    <n v="193"/>
    <d v="2023-10-06T00:00:00"/>
    <s v="October"/>
    <n v="2023"/>
    <x v="0"/>
    <n v="32"/>
    <s v="Yes"/>
    <x v="0"/>
  </r>
  <r>
    <n v="20261"/>
    <n v="100"/>
    <d v="2023-05-13T00:00:00"/>
    <s v="May"/>
    <n v="2023"/>
    <x v="2"/>
    <n v="51"/>
    <s v="Yes"/>
    <x v="1"/>
  </r>
  <r>
    <n v="20262"/>
    <n v="215"/>
    <d v="2023-05-13T00:00:00"/>
    <s v="May"/>
    <n v="2023"/>
    <x v="0"/>
    <n v="10"/>
    <s v="Yes"/>
    <x v="0"/>
  </r>
  <r>
    <n v="20263"/>
    <n v="141"/>
    <d v="2023-08-01T00:00:00"/>
    <s v="August"/>
    <n v="2023"/>
    <x v="0"/>
    <n v="12"/>
    <s v="Yes"/>
    <x v="2"/>
  </r>
  <r>
    <n v="20264"/>
    <n v="414"/>
    <d v="2024-03-01T00:00:00"/>
    <s v="March"/>
    <n v="2024"/>
    <x v="0"/>
    <n v="39"/>
    <s v="Yes"/>
    <x v="4"/>
  </r>
  <r>
    <n v="20265"/>
    <n v="49"/>
    <d v="2024-04-15T00:00:00"/>
    <s v="April"/>
    <n v="2024"/>
    <x v="0"/>
    <n v="68"/>
    <s v="No"/>
    <x v="5"/>
  </r>
  <r>
    <n v="20266"/>
    <n v="499"/>
    <d v="2023-10-22T00:00:00"/>
    <s v="October"/>
    <n v="2023"/>
    <x v="1"/>
    <n v="10"/>
    <s v="Yes"/>
    <x v="4"/>
  </r>
  <r>
    <n v="20267"/>
    <n v="115"/>
    <d v="2022-05-25T00:00:00"/>
    <s v="May"/>
    <n v="2022"/>
    <x v="0"/>
    <n v="10"/>
    <s v="No"/>
    <x v="0"/>
  </r>
  <r>
    <n v="20268"/>
    <n v="229"/>
    <d v="2023-06-02T00:00:00"/>
    <s v="June"/>
    <n v="2023"/>
    <x v="0"/>
    <n v="23"/>
    <s v="Yes"/>
    <x v="2"/>
  </r>
  <r>
    <n v="20269"/>
    <n v="252"/>
    <d v="2022-03-23T00:00:00"/>
    <s v="March"/>
    <n v="2022"/>
    <x v="0"/>
    <n v="13"/>
    <s v="Yes"/>
    <x v="2"/>
  </r>
  <r>
    <n v="20270"/>
    <n v="75"/>
    <d v="2023-09-27T00:00:00"/>
    <s v="September"/>
    <n v="2023"/>
    <x v="2"/>
    <n v="48"/>
    <s v="Yes"/>
    <x v="1"/>
  </r>
  <r>
    <n v="20271"/>
    <n v="191"/>
    <d v="2022-06-16T00:00:00"/>
    <s v="June"/>
    <n v="2022"/>
    <x v="0"/>
    <n v="44"/>
    <s v="Yes"/>
    <x v="2"/>
  </r>
  <r>
    <n v="20272"/>
    <n v="199"/>
    <d v="2024-01-19T00:00:00"/>
    <s v="January"/>
    <n v="2024"/>
    <x v="1"/>
    <n v="64"/>
    <s v="Yes"/>
    <x v="3"/>
  </r>
  <r>
    <n v="20273"/>
    <n v="163"/>
    <d v="2022-04-15T00:00:00"/>
    <s v="April"/>
    <n v="2022"/>
    <x v="2"/>
    <n v="40"/>
    <s v="Yes"/>
    <x v="2"/>
  </r>
  <r>
    <n v="20274"/>
    <n v="139"/>
    <d v="2024-03-12T00:00:00"/>
    <s v="March"/>
    <n v="2024"/>
    <x v="1"/>
    <n v="6"/>
    <s v="Yes"/>
    <x v="5"/>
  </r>
  <r>
    <n v="20275"/>
    <n v="49"/>
    <d v="2023-05-03T00:00:00"/>
    <s v="May"/>
    <n v="2023"/>
    <x v="2"/>
    <n v="43"/>
    <s v="Yes"/>
    <x v="5"/>
  </r>
  <r>
    <n v="20276"/>
    <n v="363"/>
    <d v="2024-01-20T00:00:00"/>
    <s v="January"/>
    <n v="2024"/>
    <x v="2"/>
    <n v="32"/>
    <s v="Yes"/>
    <x v="4"/>
  </r>
  <r>
    <n v="20277"/>
    <n v="367"/>
    <d v="2022-11-06T00:00:00"/>
    <s v="November"/>
    <n v="2022"/>
    <x v="0"/>
    <n v="49"/>
    <s v="Yes"/>
    <x v="3"/>
  </r>
  <r>
    <n v="20278"/>
    <n v="115"/>
    <d v="2022-03-23T00:00:00"/>
    <s v="March"/>
    <n v="2022"/>
    <x v="0"/>
    <n v="19"/>
    <s v="Yes"/>
    <x v="0"/>
  </r>
  <r>
    <n v="20279"/>
    <n v="168"/>
    <d v="2022-04-04T00:00:00"/>
    <s v="April"/>
    <n v="2022"/>
    <x v="2"/>
    <n v="52"/>
    <s v="Yes"/>
    <x v="4"/>
  </r>
  <r>
    <n v="20280"/>
    <n v="496"/>
    <d v="2022-11-17T00:00:00"/>
    <s v="November"/>
    <n v="2022"/>
    <x v="0"/>
    <n v="52"/>
    <s v="Yes"/>
    <x v="5"/>
  </r>
  <r>
    <n v="20281"/>
    <n v="277"/>
    <d v="2022-12-09T00:00:00"/>
    <s v="December"/>
    <n v="2022"/>
    <x v="0"/>
    <n v="34"/>
    <s v="No"/>
    <x v="5"/>
  </r>
  <r>
    <n v="20282"/>
    <n v="47"/>
    <d v="2024-03-07T00:00:00"/>
    <s v="March"/>
    <n v="2024"/>
    <x v="2"/>
    <n v="59"/>
    <s v="Yes"/>
    <x v="2"/>
  </r>
  <r>
    <n v="20283"/>
    <n v="259"/>
    <d v="2024-03-19T00:00:00"/>
    <s v="March"/>
    <n v="2024"/>
    <x v="2"/>
    <n v="5"/>
    <s v="Yes"/>
    <x v="5"/>
  </r>
  <r>
    <n v="20284"/>
    <n v="414"/>
    <d v="2022-12-27T00:00:00"/>
    <s v="December"/>
    <n v="2022"/>
    <x v="1"/>
    <n v="66"/>
    <s v="Yes"/>
    <x v="4"/>
  </r>
  <r>
    <n v="20285"/>
    <n v="216"/>
    <d v="2024-04-10T00:00:00"/>
    <s v="April"/>
    <n v="2024"/>
    <x v="2"/>
    <n v="41"/>
    <s v="Yes"/>
    <x v="5"/>
  </r>
  <r>
    <n v="20286"/>
    <n v="230"/>
    <d v="2022-03-07T00:00:00"/>
    <s v="March"/>
    <n v="2022"/>
    <x v="1"/>
    <n v="34"/>
    <s v="Yes"/>
    <x v="5"/>
  </r>
  <r>
    <n v="20287"/>
    <n v="127"/>
    <d v="2023-09-16T00:00:00"/>
    <s v="September"/>
    <n v="2023"/>
    <x v="1"/>
    <n v="54"/>
    <s v="Yes"/>
    <x v="4"/>
  </r>
  <r>
    <n v="20288"/>
    <n v="323"/>
    <d v="2024-05-17T00:00:00"/>
    <s v="May"/>
    <n v="2024"/>
    <x v="0"/>
    <n v="20"/>
    <s v="Yes"/>
    <x v="1"/>
  </r>
  <r>
    <n v="20289"/>
    <n v="318"/>
    <d v="2023-03-05T00:00:00"/>
    <s v="March"/>
    <n v="2023"/>
    <x v="0"/>
    <n v="54"/>
    <s v="No"/>
    <x v="4"/>
  </r>
  <r>
    <n v="20290"/>
    <n v="421"/>
    <d v="2023-02-05T00:00:00"/>
    <s v="February"/>
    <n v="2023"/>
    <x v="2"/>
    <n v="66"/>
    <s v="Yes"/>
    <x v="5"/>
  </r>
  <r>
    <n v="20291"/>
    <n v="225"/>
    <d v="2022-06-20T00:00:00"/>
    <s v="June"/>
    <n v="2022"/>
    <x v="2"/>
    <n v="18"/>
    <s v="Yes"/>
    <x v="2"/>
  </r>
  <r>
    <n v="20292"/>
    <n v="150"/>
    <d v="2024-01-29T00:00:00"/>
    <s v="January"/>
    <n v="2024"/>
    <x v="1"/>
    <n v="44"/>
    <s v="Yes"/>
    <x v="0"/>
  </r>
  <r>
    <n v="20293"/>
    <n v="287"/>
    <d v="2023-08-01T00:00:00"/>
    <s v="August"/>
    <n v="2023"/>
    <x v="1"/>
    <n v="48"/>
    <s v="Yes"/>
    <x v="0"/>
  </r>
  <r>
    <n v="20294"/>
    <n v="46"/>
    <d v="2022-03-09T00:00:00"/>
    <s v="March"/>
    <n v="2022"/>
    <x v="0"/>
    <n v="35"/>
    <s v="No"/>
    <x v="4"/>
  </r>
  <r>
    <n v="20295"/>
    <n v="460"/>
    <d v="2023-05-07T00:00:00"/>
    <s v="May"/>
    <n v="2023"/>
    <x v="2"/>
    <n v="39"/>
    <s v="Yes"/>
    <x v="2"/>
  </r>
  <r>
    <n v="20296"/>
    <n v="301"/>
    <d v="2022-02-03T00:00:00"/>
    <s v="February"/>
    <n v="2022"/>
    <x v="2"/>
    <n v="3"/>
    <s v="Yes"/>
    <x v="4"/>
  </r>
  <r>
    <n v="20297"/>
    <n v="14"/>
    <d v="2022-01-01T00:00:00"/>
    <s v="January"/>
    <n v="2022"/>
    <x v="2"/>
    <n v="19"/>
    <s v="Yes"/>
    <x v="1"/>
  </r>
  <r>
    <n v="20298"/>
    <n v="121"/>
    <d v="2022-05-31T00:00:00"/>
    <s v="May"/>
    <n v="2022"/>
    <x v="2"/>
    <n v="18"/>
    <s v="Yes"/>
    <x v="5"/>
  </r>
  <r>
    <n v="20299"/>
    <n v="396"/>
    <d v="2024-02-23T00:00:00"/>
    <s v="February"/>
    <n v="2024"/>
    <x v="0"/>
    <n v="5"/>
    <s v="Yes"/>
    <x v="3"/>
  </r>
  <r>
    <n v="20300"/>
    <n v="375"/>
    <d v="2022-09-15T00:00:00"/>
    <s v="September"/>
    <n v="2022"/>
    <x v="0"/>
    <n v="55"/>
    <s v="Yes"/>
    <x v="1"/>
  </r>
  <r>
    <n v="20301"/>
    <n v="191"/>
    <d v="2024-01-20T00:00:00"/>
    <s v="January"/>
    <n v="2024"/>
    <x v="1"/>
    <n v="13"/>
    <s v="Yes"/>
    <x v="2"/>
  </r>
  <r>
    <n v="20302"/>
    <n v="475"/>
    <d v="2023-09-20T00:00:00"/>
    <s v="September"/>
    <n v="2023"/>
    <x v="0"/>
    <n v="34"/>
    <s v="Yes"/>
    <x v="4"/>
  </r>
  <r>
    <n v="20303"/>
    <n v="333"/>
    <d v="2023-08-11T00:00:00"/>
    <s v="August"/>
    <n v="2023"/>
    <x v="1"/>
    <n v="18"/>
    <s v="Yes"/>
    <x v="0"/>
  </r>
  <r>
    <n v="20304"/>
    <n v="344"/>
    <d v="2024-03-05T00:00:00"/>
    <s v="March"/>
    <n v="2024"/>
    <x v="0"/>
    <n v="68"/>
    <s v="Yes"/>
    <x v="3"/>
  </r>
  <r>
    <n v="20305"/>
    <n v="166"/>
    <d v="2022-01-19T00:00:00"/>
    <s v="January"/>
    <n v="2022"/>
    <x v="0"/>
    <n v="43"/>
    <s v="Yes"/>
    <x v="4"/>
  </r>
  <r>
    <n v="20306"/>
    <n v="117"/>
    <d v="2024-03-06T00:00:00"/>
    <s v="March"/>
    <n v="2024"/>
    <x v="2"/>
    <n v="65"/>
    <s v="Yes"/>
    <x v="3"/>
  </r>
  <r>
    <n v="20307"/>
    <n v="431"/>
    <d v="2022-02-04T00:00:00"/>
    <s v="February"/>
    <n v="2022"/>
    <x v="1"/>
    <n v="41"/>
    <s v="Yes"/>
    <x v="5"/>
  </r>
  <r>
    <n v="20308"/>
    <n v="124"/>
    <d v="2023-01-06T00:00:00"/>
    <s v="January"/>
    <n v="2023"/>
    <x v="1"/>
    <n v="38"/>
    <s v="Yes"/>
    <x v="3"/>
  </r>
  <r>
    <n v="20309"/>
    <n v="54"/>
    <d v="2023-05-06T00:00:00"/>
    <s v="May"/>
    <n v="2023"/>
    <x v="1"/>
    <n v="38"/>
    <s v="Yes"/>
    <x v="0"/>
  </r>
  <r>
    <n v="20310"/>
    <n v="439"/>
    <d v="2024-04-15T00:00:00"/>
    <s v="April"/>
    <n v="2024"/>
    <x v="0"/>
    <n v="13"/>
    <s v="Yes"/>
    <x v="5"/>
  </r>
  <r>
    <n v="20311"/>
    <n v="304"/>
    <d v="2024-03-27T00:00:00"/>
    <s v="March"/>
    <n v="2024"/>
    <x v="2"/>
    <n v="22"/>
    <s v="Yes"/>
    <x v="4"/>
  </r>
  <r>
    <n v="20312"/>
    <n v="457"/>
    <d v="2022-08-29T00:00:00"/>
    <s v="August"/>
    <n v="2022"/>
    <x v="0"/>
    <n v="29"/>
    <s v="Yes"/>
    <x v="4"/>
  </r>
  <r>
    <n v="20313"/>
    <n v="456"/>
    <d v="2022-01-07T00:00:00"/>
    <s v="January"/>
    <n v="2022"/>
    <x v="2"/>
    <n v="9"/>
    <s v="Yes"/>
    <x v="3"/>
  </r>
  <r>
    <n v="20314"/>
    <n v="357"/>
    <d v="2023-07-03T00:00:00"/>
    <s v="July"/>
    <n v="2023"/>
    <x v="0"/>
    <n v="68"/>
    <s v="Yes"/>
    <x v="0"/>
  </r>
  <r>
    <n v="20315"/>
    <n v="271"/>
    <d v="2023-01-06T00:00:00"/>
    <s v="January"/>
    <n v="2023"/>
    <x v="1"/>
    <n v="17"/>
    <s v="Yes"/>
    <x v="3"/>
  </r>
  <r>
    <n v="20316"/>
    <n v="199"/>
    <d v="2023-10-27T00:00:00"/>
    <s v="October"/>
    <n v="2023"/>
    <x v="0"/>
    <n v="37"/>
    <s v="Yes"/>
    <x v="3"/>
  </r>
  <r>
    <n v="20317"/>
    <n v="216"/>
    <d v="2024-01-27T00:00:00"/>
    <s v="January"/>
    <n v="2024"/>
    <x v="1"/>
    <n v="64"/>
    <s v="Yes"/>
    <x v="5"/>
  </r>
  <r>
    <n v="20318"/>
    <n v="113"/>
    <d v="2022-09-07T00:00:00"/>
    <s v="September"/>
    <n v="2022"/>
    <x v="2"/>
    <n v="67"/>
    <s v="Yes"/>
    <x v="3"/>
  </r>
  <r>
    <n v="20319"/>
    <n v="16"/>
    <d v="2022-04-25T00:00:00"/>
    <s v="April"/>
    <n v="2022"/>
    <x v="1"/>
    <n v="4"/>
    <s v="No"/>
    <x v="0"/>
  </r>
  <r>
    <n v="20320"/>
    <n v="216"/>
    <d v="2023-07-07T00:00:00"/>
    <s v="July"/>
    <n v="2023"/>
    <x v="1"/>
    <n v="40"/>
    <s v="No"/>
    <x v="5"/>
  </r>
  <r>
    <n v="20321"/>
    <n v="427"/>
    <d v="2022-12-03T00:00:00"/>
    <s v="December"/>
    <n v="2022"/>
    <x v="1"/>
    <n v="16"/>
    <s v="Yes"/>
    <x v="4"/>
  </r>
  <r>
    <n v="20322"/>
    <n v="135"/>
    <d v="2023-07-28T00:00:00"/>
    <s v="July"/>
    <n v="2023"/>
    <x v="1"/>
    <n v="11"/>
    <s v="Yes"/>
    <x v="5"/>
  </r>
  <r>
    <n v="20323"/>
    <n v="43"/>
    <d v="2023-11-12T00:00:00"/>
    <s v="November"/>
    <n v="2023"/>
    <x v="2"/>
    <n v="26"/>
    <s v="Yes"/>
    <x v="2"/>
  </r>
  <r>
    <n v="20324"/>
    <n v="252"/>
    <d v="2022-05-22T00:00:00"/>
    <s v="May"/>
    <n v="2022"/>
    <x v="0"/>
    <n v="65"/>
    <s v="Yes"/>
    <x v="2"/>
  </r>
  <r>
    <n v="20325"/>
    <n v="284"/>
    <d v="2023-04-30T00:00:00"/>
    <s v="April"/>
    <n v="2023"/>
    <x v="0"/>
    <n v="2"/>
    <s v="Yes"/>
    <x v="5"/>
  </r>
  <r>
    <n v="20326"/>
    <n v="322"/>
    <d v="2023-03-14T00:00:00"/>
    <s v="March"/>
    <n v="2023"/>
    <x v="0"/>
    <n v="45"/>
    <s v="Yes"/>
    <x v="3"/>
  </r>
  <r>
    <n v="20327"/>
    <n v="98"/>
    <d v="2024-02-09T00:00:00"/>
    <s v="February"/>
    <n v="2024"/>
    <x v="0"/>
    <n v="43"/>
    <s v="Yes"/>
    <x v="5"/>
  </r>
  <r>
    <n v="20328"/>
    <n v="60"/>
    <d v="2022-03-29T00:00:00"/>
    <s v="March"/>
    <n v="2022"/>
    <x v="1"/>
    <n v="3"/>
    <s v="Yes"/>
    <x v="2"/>
  </r>
  <r>
    <n v="20329"/>
    <n v="230"/>
    <d v="2023-04-08T00:00:00"/>
    <s v="April"/>
    <n v="2023"/>
    <x v="2"/>
    <n v="34"/>
    <s v="Yes"/>
    <x v="5"/>
  </r>
  <r>
    <n v="20330"/>
    <n v="384"/>
    <d v="2022-02-17T00:00:00"/>
    <s v="February"/>
    <n v="2022"/>
    <x v="2"/>
    <n v="65"/>
    <s v="Yes"/>
    <x v="5"/>
  </r>
  <r>
    <n v="20331"/>
    <n v="131"/>
    <d v="2023-04-26T00:00:00"/>
    <s v="April"/>
    <n v="2023"/>
    <x v="0"/>
    <n v="64"/>
    <s v="Yes"/>
    <x v="3"/>
  </r>
  <r>
    <n v="20332"/>
    <n v="385"/>
    <d v="2024-04-02T00:00:00"/>
    <s v="April"/>
    <n v="2024"/>
    <x v="0"/>
    <n v="7"/>
    <s v="Yes"/>
    <x v="2"/>
  </r>
  <r>
    <n v="20333"/>
    <n v="159"/>
    <d v="2023-06-08T00:00:00"/>
    <s v="June"/>
    <n v="2023"/>
    <x v="2"/>
    <n v="35"/>
    <s v="Yes"/>
    <x v="4"/>
  </r>
  <r>
    <n v="20334"/>
    <n v="312"/>
    <d v="2022-07-30T00:00:00"/>
    <s v="July"/>
    <n v="2022"/>
    <x v="2"/>
    <n v="22"/>
    <s v="Yes"/>
    <x v="2"/>
  </r>
  <r>
    <n v="20335"/>
    <n v="471"/>
    <d v="2022-09-01T00:00:00"/>
    <s v="September"/>
    <n v="2022"/>
    <x v="1"/>
    <n v="48"/>
    <s v="Yes"/>
    <x v="2"/>
  </r>
  <r>
    <n v="20336"/>
    <n v="84"/>
    <d v="2022-08-27T00:00:00"/>
    <s v="August"/>
    <n v="2022"/>
    <x v="2"/>
    <n v="32"/>
    <s v="Yes"/>
    <x v="4"/>
  </r>
  <r>
    <n v="20337"/>
    <n v="208"/>
    <d v="2022-07-16T00:00:00"/>
    <s v="July"/>
    <n v="2022"/>
    <x v="2"/>
    <n v="26"/>
    <s v="Yes"/>
    <x v="2"/>
  </r>
  <r>
    <n v="20338"/>
    <n v="174"/>
    <d v="2024-02-08T00:00:00"/>
    <s v="February"/>
    <n v="2024"/>
    <x v="1"/>
    <n v="6"/>
    <s v="Yes"/>
    <x v="1"/>
  </r>
  <r>
    <n v="20339"/>
    <n v="288"/>
    <d v="2022-08-23T00:00:00"/>
    <s v="August"/>
    <n v="2022"/>
    <x v="1"/>
    <n v="46"/>
    <s v="Yes"/>
    <x v="3"/>
  </r>
  <r>
    <n v="20340"/>
    <n v="81"/>
    <d v="2022-07-06T00:00:00"/>
    <s v="July"/>
    <n v="2022"/>
    <x v="1"/>
    <n v="55"/>
    <s v="Yes"/>
    <x v="5"/>
  </r>
  <r>
    <n v="20341"/>
    <n v="18"/>
    <d v="2023-12-14T00:00:00"/>
    <s v="December"/>
    <n v="2023"/>
    <x v="2"/>
    <n v="55"/>
    <s v="Yes"/>
    <x v="4"/>
  </r>
  <r>
    <n v="20342"/>
    <n v="196"/>
    <d v="2023-09-07T00:00:00"/>
    <s v="September"/>
    <n v="2023"/>
    <x v="2"/>
    <n v="57"/>
    <s v="No"/>
    <x v="3"/>
  </r>
  <r>
    <n v="20343"/>
    <n v="291"/>
    <d v="2022-10-17T00:00:00"/>
    <s v="October"/>
    <n v="2022"/>
    <x v="2"/>
    <n v="63"/>
    <s v="Yes"/>
    <x v="1"/>
  </r>
  <r>
    <n v="20344"/>
    <n v="360"/>
    <d v="2022-08-09T00:00:00"/>
    <s v="August"/>
    <n v="2022"/>
    <x v="1"/>
    <n v="1"/>
    <s v="Yes"/>
    <x v="2"/>
  </r>
  <r>
    <n v="20345"/>
    <n v="356"/>
    <d v="2023-05-12T00:00:00"/>
    <s v="May"/>
    <n v="2023"/>
    <x v="2"/>
    <n v="21"/>
    <s v="Yes"/>
    <x v="0"/>
  </r>
  <r>
    <n v="20346"/>
    <n v="279"/>
    <d v="2023-05-11T00:00:00"/>
    <s v="May"/>
    <n v="2023"/>
    <x v="2"/>
    <n v="20"/>
    <s v="Yes"/>
    <x v="4"/>
  </r>
  <r>
    <n v="20347"/>
    <n v="463"/>
    <d v="2024-05-29T00:00:00"/>
    <s v="May"/>
    <n v="2024"/>
    <x v="1"/>
    <n v="29"/>
    <s v="Yes"/>
    <x v="4"/>
  </r>
  <r>
    <n v="20348"/>
    <n v="397"/>
    <d v="2022-10-29T00:00:00"/>
    <s v="October"/>
    <n v="2022"/>
    <x v="0"/>
    <n v="43"/>
    <s v="Yes"/>
    <x v="0"/>
  </r>
  <r>
    <n v="20349"/>
    <n v="462"/>
    <d v="2022-07-06T00:00:00"/>
    <s v="July"/>
    <n v="2022"/>
    <x v="0"/>
    <n v="45"/>
    <s v="Yes"/>
    <x v="2"/>
  </r>
  <r>
    <n v="20350"/>
    <n v="254"/>
    <d v="2023-03-26T00:00:00"/>
    <s v="March"/>
    <n v="2023"/>
    <x v="2"/>
    <n v="65"/>
    <s v="No"/>
    <x v="0"/>
  </r>
  <r>
    <n v="20351"/>
    <n v="142"/>
    <d v="2023-02-16T00:00:00"/>
    <s v="February"/>
    <n v="2023"/>
    <x v="1"/>
    <n v="3"/>
    <s v="Yes"/>
    <x v="3"/>
  </r>
  <r>
    <n v="20352"/>
    <n v="165"/>
    <d v="2023-09-03T00:00:00"/>
    <s v="September"/>
    <n v="2023"/>
    <x v="1"/>
    <n v="20"/>
    <s v="Yes"/>
    <x v="1"/>
  </r>
  <r>
    <n v="20353"/>
    <n v="5"/>
    <d v="2022-09-02T00:00:00"/>
    <s v="September"/>
    <n v="2022"/>
    <x v="2"/>
    <n v="37"/>
    <s v="Yes"/>
    <x v="4"/>
  </r>
  <r>
    <n v="20354"/>
    <n v="251"/>
    <d v="2022-11-09T00:00:00"/>
    <s v="November"/>
    <n v="2022"/>
    <x v="2"/>
    <n v="38"/>
    <s v="No"/>
    <x v="3"/>
  </r>
  <r>
    <n v="20355"/>
    <n v="150"/>
    <d v="2024-03-29T00:00:00"/>
    <s v="March"/>
    <n v="2024"/>
    <x v="0"/>
    <n v="45"/>
    <s v="Yes"/>
    <x v="0"/>
  </r>
  <r>
    <n v="20356"/>
    <n v="28"/>
    <d v="2023-05-11T00:00:00"/>
    <s v="May"/>
    <n v="2023"/>
    <x v="1"/>
    <n v="42"/>
    <s v="Yes"/>
    <x v="4"/>
  </r>
  <r>
    <n v="20357"/>
    <n v="237"/>
    <d v="2022-01-22T00:00:00"/>
    <s v="January"/>
    <n v="2022"/>
    <x v="2"/>
    <n v="46"/>
    <s v="No"/>
    <x v="5"/>
  </r>
  <r>
    <n v="20358"/>
    <n v="132"/>
    <d v="2022-03-09T00:00:00"/>
    <s v="March"/>
    <n v="2022"/>
    <x v="1"/>
    <n v="60"/>
    <s v="Yes"/>
    <x v="2"/>
  </r>
  <r>
    <n v="20359"/>
    <n v="306"/>
    <d v="2023-01-27T00:00:00"/>
    <s v="January"/>
    <n v="2023"/>
    <x v="2"/>
    <n v="13"/>
    <s v="Yes"/>
    <x v="0"/>
  </r>
  <r>
    <n v="20360"/>
    <n v="358"/>
    <d v="2022-11-12T00:00:00"/>
    <s v="November"/>
    <n v="2022"/>
    <x v="0"/>
    <n v="31"/>
    <s v="Yes"/>
    <x v="1"/>
  </r>
  <r>
    <n v="20361"/>
    <n v="285"/>
    <d v="2022-03-06T00:00:00"/>
    <s v="March"/>
    <n v="2022"/>
    <x v="2"/>
    <n v="68"/>
    <s v="Yes"/>
    <x v="2"/>
  </r>
  <r>
    <n v="20362"/>
    <n v="293"/>
    <d v="2024-03-14T00:00:00"/>
    <s v="March"/>
    <n v="2024"/>
    <x v="0"/>
    <n v="62"/>
    <s v="Yes"/>
    <x v="5"/>
  </r>
  <r>
    <n v="20363"/>
    <n v="163"/>
    <d v="2023-12-30T00:00:00"/>
    <s v="December"/>
    <n v="2023"/>
    <x v="0"/>
    <n v="49"/>
    <s v="Yes"/>
    <x v="2"/>
  </r>
  <r>
    <n v="20364"/>
    <n v="404"/>
    <d v="2023-06-25T00:00:00"/>
    <s v="June"/>
    <n v="2023"/>
    <x v="2"/>
    <n v="18"/>
    <s v="Yes"/>
    <x v="2"/>
  </r>
  <r>
    <n v="20365"/>
    <n v="419"/>
    <d v="2023-12-06T00:00:00"/>
    <s v="December"/>
    <n v="2023"/>
    <x v="2"/>
    <n v="53"/>
    <s v="No"/>
    <x v="3"/>
  </r>
  <r>
    <n v="20366"/>
    <n v="227"/>
    <d v="2023-07-22T00:00:00"/>
    <s v="July"/>
    <n v="2023"/>
    <x v="0"/>
    <n v="18"/>
    <s v="Yes"/>
    <x v="0"/>
  </r>
  <r>
    <n v="20367"/>
    <n v="468"/>
    <d v="2024-04-29T00:00:00"/>
    <s v="April"/>
    <n v="2024"/>
    <x v="1"/>
    <n v="51"/>
    <s v="Yes"/>
    <x v="1"/>
  </r>
  <r>
    <n v="20368"/>
    <n v="130"/>
    <d v="2024-06-18T00:00:00"/>
    <s v="June"/>
    <n v="2024"/>
    <x v="1"/>
    <n v="41"/>
    <s v="Yes"/>
    <x v="3"/>
  </r>
  <r>
    <n v="20369"/>
    <n v="372"/>
    <d v="2022-07-31T00:00:00"/>
    <s v="July"/>
    <n v="2022"/>
    <x v="0"/>
    <n v="67"/>
    <s v="Yes"/>
    <x v="5"/>
  </r>
  <r>
    <n v="20370"/>
    <n v="58"/>
    <d v="2024-01-20T00:00:00"/>
    <s v="January"/>
    <n v="2024"/>
    <x v="0"/>
    <n v="65"/>
    <s v="Yes"/>
    <x v="0"/>
  </r>
  <r>
    <n v="20371"/>
    <n v="146"/>
    <d v="2022-07-19T00:00:00"/>
    <s v="July"/>
    <n v="2022"/>
    <x v="2"/>
    <n v="6"/>
    <s v="No"/>
    <x v="1"/>
  </r>
  <r>
    <n v="20372"/>
    <n v="478"/>
    <d v="2022-06-27T00:00:00"/>
    <s v="June"/>
    <n v="2022"/>
    <x v="2"/>
    <n v="37"/>
    <s v="Yes"/>
    <x v="5"/>
  </r>
  <r>
    <n v="20373"/>
    <n v="362"/>
    <d v="2023-02-27T00:00:00"/>
    <s v="February"/>
    <n v="2023"/>
    <x v="0"/>
    <n v="12"/>
    <s v="Yes"/>
    <x v="4"/>
  </r>
  <r>
    <n v="20374"/>
    <n v="312"/>
    <d v="2023-10-27T00:00:00"/>
    <s v="October"/>
    <n v="2023"/>
    <x v="0"/>
    <n v="2"/>
    <s v="No"/>
    <x v="2"/>
  </r>
  <r>
    <n v="20375"/>
    <n v="122"/>
    <d v="2023-04-07T00:00:00"/>
    <s v="April"/>
    <n v="2023"/>
    <x v="1"/>
    <n v="53"/>
    <s v="Yes"/>
    <x v="2"/>
  </r>
  <r>
    <n v="20376"/>
    <n v="192"/>
    <d v="2022-02-13T00:00:00"/>
    <s v="February"/>
    <n v="2022"/>
    <x v="1"/>
    <n v="25"/>
    <s v="Yes"/>
    <x v="1"/>
  </r>
  <r>
    <n v="20377"/>
    <n v="245"/>
    <d v="2023-03-07T00:00:00"/>
    <s v="March"/>
    <n v="2023"/>
    <x v="1"/>
    <n v="28"/>
    <s v="No"/>
    <x v="4"/>
  </r>
  <r>
    <n v="20378"/>
    <n v="477"/>
    <d v="2022-06-17T00:00:00"/>
    <s v="June"/>
    <n v="2022"/>
    <x v="0"/>
    <n v="45"/>
    <s v="Yes"/>
    <x v="4"/>
  </r>
  <r>
    <n v="20379"/>
    <n v="103"/>
    <d v="2022-10-14T00:00:00"/>
    <s v="October"/>
    <n v="2022"/>
    <x v="0"/>
    <n v="37"/>
    <s v="Yes"/>
    <x v="4"/>
  </r>
  <r>
    <n v="20380"/>
    <n v="379"/>
    <d v="2023-12-10T00:00:00"/>
    <s v="December"/>
    <n v="2023"/>
    <x v="1"/>
    <n v="17"/>
    <s v="Yes"/>
    <x v="3"/>
  </r>
  <r>
    <n v="20381"/>
    <n v="436"/>
    <d v="2022-12-03T00:00:00"/>
    <s v="December"/>
    <n v="2022"/>
    <x v="1"/>
    <n v="69"/>
    <s v="Yes"/>
    <x v="4"/>
  </r>
  <r>
    <n v="20382"/>
    <n v="250"/>
    <d v="2023-08-09T00:00:00"/>
    <s v="August"/>
    <n v="2023"/>
    <x v="2"/>
    <n v="56"/>
    <s v="Yes"/>
    <x v="1"/>
  </r>
  <r>
    <n v="20383"/>
    <n v="22"/>
    <d v="2022-06-20T00:00:00"/>
    <s v="June"/>
    <n v="2022"/>
    <x v="2"/>
    <n v="58"/>
    <s v="Yes"/>
    <x v="2"/>
  </r>
  <r>
    <n v="20384"/>
    <n v="477"/>
    <d v="2024-06-10T00:00:00"/>
    <s v="June"/>
    <n v="2024"/>
    <x v="0"/>
    <n v="4"/>
    <s v="Yes"/>
    <x v="4"/>
  </r>
  <r>
    <n v="20385"/>
    <n v="60"/>
    <d v="2022-07-02T00:00:00"/>
    <s v="July"/>
    <n v="2022"/>
    <x v="2"/>
    <n v="55"/>
    <s v="Yes"/>
    <x v="2"/>
  </r>
  <r>
    <n v="20386"/>
    <n v="238"/>
    <d v="2022-01-16T00:00:00"/>
    <s v="January"/>
    <n v="2022"/>
    <x v="0"/>
    <n v="49"/>
    <s v="No"/>
    <x v="1"/>
  </r>
  <r>
    <n v="20387"/>
    <n v="394"/>
    <d v="2023-05-11T00:00:00"/>
    <s v="May"/>
    <n v="2023"/>
    <x v="0"/>
    <n v="38"/>
    <s v="Yes"/>
    <x v="4"/>
  </r>
  <r>
    <n v="20388"/>
    <n v="340"/>
    <d v="2023-08-03T00:00:00"/>
    <s v="August"/>
    <n v="2023"/>
    <x v="0"/>
    <n v="45"/>
    <s v="Yes"/>
    <x v="3"/>
  </r>
  <r>
    <n v="20389"/>
    <n v="384"/>
    <d v="2024-06-05T00:00:00"/>
    <s v="June"/>
    <n v="2024"/>
    <x v="1"/>
    <n v="30"/>
    <s v="Yes"/>
    <x v="5"/>
  </r>
  <r>
    <n v="20390"/>
    <n v="336"/>
    <d v="2024-04-16T00:00:00"/>
    <s v="April"/>
    <n v="2024"/>
    <x v="2"/>
    <n v="37"/>
    <s v="Yes"/>
    <x v="0"/>
  </r>
  <r>
    <n v="20391"/>
    <n v="134"/>
    <d v="2023-07-08T00:00:00"/>
    <s v="July"/>
    <n v="2023"/>
    <x v="2"/>
    <n v="56"/>
    <s v="Yes"/>
    <x v="1"/>
  </r>
  <r>
    <n v="20392"/>
    <n v="337"/>
    <d v="2022-04-20T00:00:00"/>
    <s v="April"/>
    <n v="2022"/>
    <x v="2"/>
    <n v="27"/>
    <s v="Yes"/>
    <x v="1"/>
  </r>
  <r>
    <n v="20393"/>
    <n v="262"/>
    <d v="2023-07-07T00:00:00"/>
    <s v="July"/>
    <n v="2023"/>
    <x v="2"/>
    <n v="32"/>
    <s v="Yes"/>
    <x v="2"/>
  </r>
  <r>
    <n v="20394"/>
    <n v="342"/>
    <d v="2022-11-02T00:00:00"/>
    <s v="November"/>
    <n v="2022"/>
    <x v="1"/>
    <n v="11"/>
    <s v="Yes"/>
    <x v="2"/>
  </r>
  <r>
    <n v="20395"/>
    <n v="338"/>
    <d v="2022-01-06T00:00:00"/>
    <s v="January"/>
    <n v="2022"/>
    <x v="2"/>
    <n v="58"/>
    <s v="Yes"/>
    <x v="4"/>
  </r>
  <r>
    <n v="20396"/>
    <n v="480"/>
    <d v="2024-04-22T00:00:00"/>
    <s v="April"/>
    <n v="2024"/>
    <x v="2"/>
    <n v="35"/>
    <s v="Yes"/>
    <x v="2"/>
  </r>
  <r>
    <n v="20397"/>
    <n v="412"/>
    <d v="2023-11-24T00:00:00"/>
    <s v="November"/>
    <n v="2023"/>
    <x v="1"/>
    <n v="17"/>
    <s v="Yes"/>
    <x v="2"/>
  </r>
  <r>
    <n v="20398"/>
    <n v="42"/>
    <d v="2022-09-30T00:00:00"/>
    <s v="September"/>
    <n v="2022"/>
    <x v="2"/>
    <n v="30"/>
    <s v="Yes"/>
    <x v="3"/>
  </r>
  <r>
    <n v="20399"/>
    <n v="74"/>
    <d v="2022-12-27T00:00:00"/>
    <s v="December"/>
    <n v="2022"/>
    <x v="2"/>
    <n v="18"/>
    <s v="Yes"/>
    <x v="2"/>
  </r>
  <r>
    <n v="20400"/>
    <n v="297"/>
    <d v="2022-07-04T00:00:00"/>
    <s v="July"/>
    <n v="2022"/>
    <x v="1"/>
    <n v="30"/>
    <s v="Yes"/>
    <x v="5"/>
  </r>
  <r>
    <n v="20401"/>
    <n v="319"/>
    <d v="2024-04-14T00:00:00"/>
    <s v="April"/>
    <n v="2024"/>
    <x v="1"/>
    <n v="16"/>
    <s v="Yes"/>
    <x v="5"/>
  </r>
  <r>
    <n v="20402"/>
    <n v="22"/>
    <d v="2023-10-18T00:00:00"/>
    <s v="October"/>
    <n v="2023"/>
    <x v="1"/>
    <n v="54"/>
    <s v="Yes"/>
    <x v="2"/>
  </r>
  <r>
    <n v="20403"/>
    <n v="220"/>
    <d v="2022-04-10T00:00:00"/>
    <s v="April"/>
    <n v="2022"/>
    <x v="1"/>
    <n v="4"/>
    <s v="Yes"/>
    <x v="0"/>
  </r>
  <r>
    <n v="20404"/>
    <n v="79"/>
    <d v="2022-03-31T00:00:00"/>
    <s v="March"/>
    <n v="2022"/>
    <x v="0"/>
    <n v="15"/>
    <s v="Yes"/>
    <x v="4"/>
  </r>
  <r>
    <n v="20405"/>
    <n v="235"/>
    <d v="2022-09-03T00:00:00"/>
    <s v="September"/>
    <n v="2022"/>
    <x v="1"/>
    <n v="27"/>
    <s v="Yes"/>
    <x v="3"/>
  </r>
  <r>
    <n v="20406"/>
    <n v="157"/>
    <d v="2022-08-27T00:00:00"/>
    <s v="August"/>
    <n v="2022"/>
    <x v="2"/>
    <n v="4"/>
    <s v="Yes"/>
    <x v="5"/>
  </r>
  <r>
    <n v="20407"/>
    <n v="327"/>
    <d v="2023-12-25T00:00:00"/>
    <s v="December"/>
    <n v="2023"/>
    <x v="2"/>
    <n v="35"/>
    <s v="Yes"/>
    <x v="4"/>
  </r>
  <r>
    <n v="20408"/>
    <n v="114"/>
    <d v="2022-03-22T00:00:00"/>
    <s v="March"/>
    <n v="2022"/>
    <x v="2"/>
    <n v="63"/>
    <s v="Yes"/>
    <x v="1"/>
  </r>
  <r>
    <n v="20409"/>
    <n v="290"/>
    <d v="2022-04-25T00:00:00"/>
    <s v="April"/>
    <n v="2022"/>
    <x v="2"/>
    <n v="66"/>
    <s v="Yes"/>
    <x v="1"/>
  </r>
  <r>
    <n v="20410"/>
    <n v="96"/>
    <d v="2022-10-03T00:00:00"/>
    <s v="October"/>
    <n v="2022"/>
    <x v="0"/>
    <n v="39"/>
    <s v="Yes"/>
    <x v="2"/>
  </r>
  <r>
    <n v="20411"/>
    <n v="130"/>
    <d v="2022-03-21T00:00:00"/>
    <s v="March"/>
    <n v="2022"/>
    <x v="0"/>
    <n v="28"/>
    <s v="Yes"/>
    <x v="3"/>
  </r>
  <r>
    <n v="20412"/>
    <n v="410"/>
    <d v="2023-07-22T00:00:00"/>
    <s v="July"/>
    <n v="2023"/>
    <x v="0"/>
    <n v="34"/>
    <s v="Yes"/>
    <x v="0"/>
  </r>
  <r>
    <n v="20413"/>
    <n v="109"/>
    <d v="2022-06-28T00:00:00"/>
    <s v="June"/>
    <n v="2022"/>
    <x v="2"/>
    <n v="33"/>
    <s v="Yes"/>
    <x v="1"/>
  </r>
  <r>
    <n v="20414"/>
    <n v="75"/>
    <d v="2022-11-05T00:00:00"/>
    <s v="November"/>
    <n v="2022"/>
    <x v="2"/>
    <n v="50"/>
    <s v="Yes"/>
    <x v="1"/>
  </r>
  <r>
    <n v="20415"/>
    <n v="473"/>
    <d v="2023-07-15T00:00:00"/>
    <s v="July"/>
    <n v="2023"/>
    <x v="1"/>
    <n v="60"/>
    <s v="Yes"/>
    <x v="4"/>
  </r>
  <r>
    <n v="20416"/>
    <n v="275"/>
    <d v="2023-05-24T00:00:00"/>
    <s v="May"/>
    <n v="2023"/>
    <x v="1"/>
    <n v="42"/>
    <s v="Yes"/>
    <x v="0"/>
  </r>
  <r>
    <n v="20417"/>
    <n v="381"/>
    <d v="2022-09-17T00:00:00"/>
    <s v="September"/>
    <n v="2022"/>
    <x v="2"/>
    <n v="28"/>
    <s v="Yes"/>
    <x v="2"/>
  </r>
  <r>
    <n v="20418"/>
    <n v="20"/>
    <d v="2024-02-25T00:00:00"/>
    <s v="February"/>
    <n v="2024"/>
    <x v="1"/>
    <n v="27"/>
    <s v="Yes"/>
    <x v="2"/>
  </r>
  <r>
    <n v="20419"/>
    <n v="161"/>
    <d v="2022-10-19T00:00:00"/>
    <s v="October"/>
    <n v="2022"/>
    <x v="1"/>
    <n v="1"/>
    <s v="Yes"/>
    <x v="0"/>
  </r>
  <r>
    <n v="20420"/>
    <n v="209"/>
    <d v="2024-06-03T00:00:00"/>
    <s v="June"/>
    <n v="2024"/>
    <x v="2"/>
    <n v="8"/>
    <s v="Yes"/>
    <x v="0"/>
  </r>
  <r>
    <n v="20421"/>
    <n v="372"/>
    <d v="2022-10-18T00:00:00"/>
    <s v="October"/>
    <n v="2022"/>
    <x v="0"/>
    <n v="46"/>
    <s v="Yes"/>
    <x v="5"/>
  </r>
  <r>
    <n v="20422"/>
    <n v="94"/>
    <d v="2023-06-26T00:00:00"/>
    <s v="June"/>
    <n v="2023"/>
    <x v="2"/>
    <n v="24"/>
    <s v="Yes"/>
    <x v="4"/>
  </r>
  <r>
    <n v="20423"/>
    <n v="82"/>
    <d v="2024-06-04T00:00:00"/>
    <s v="June"/>
    <n v="2024"/>
    <x v="2"/>
    <n v="40"/>
    <s v="Yes"/>
    <x v="5"/>
  </r>
  <r>
    <n v="20424"/>
    <n v="352"/>
    <d v="2024-02-03T00:00:00"/>
    <s v="February"/>
    <n v="2024"/>
    <x v="1"/>
    <n v="51"/>
    <s v="Yes"/>
    <x v="0"/>
  </r>
  <r>
    <n v="20425"/>
    <n v="104"/>
    <d v="2022-03-04T00:00:00"/>
    <s v="March"/>
    <n v="2022"/>
    <x v="1"/>
    <n v="24"/>
    <s v="Yes"/>
    <x v="3"/>
  </r>
  <r>
    <n v="20426"/>
    <n v="237"/>
    <d v="2023-08-17T00:00:00"/>
    <s v="August"/>
    <n v="2023"/>
    <x v="2"/>
    <n v="22"/>
    <s v="No"/>
    <x v="5"/>
  </r>
  <r>
    <n v="20427"/>
    <n v="260"/>
    <d v="2023-02-09T00:00:00"/>
    <s v="February"/>
    <n v="2023"/>
    <x v="0"/>
    <n v="68"/>
    <s v="No"/>
    <x v="0"/>
  </r>
  <r>
    <n v="20428"/>
    <n v="160"/>
    <d v="2023-04-25T00:00:00"/>
    <s v="April"/>
    <n v="2023"/>
    <x v="2"/>
    <n v="8"/>
    <s v="Yes"/>
    <x v="2"/>
  </r>
  <r>
    <n v="20429"/>
    <n v="403"/>
    <d v="2022-11-21T00:00:00"/>
    <s v="November"/>
    <n v="2022"/>
    <x v="0"/>
    <n v="58"/>
    <s v="Yes"/>
    <x v="4"/>
  </r>
  <r>
    <n v="20430"/>
    <n v="387"/>
    <d v="2023-01-16T00:00:00"/>
    <s v="January"/>
    <n v="2023"/>
    <x v="0"/>
    <n v="15"/>
    <s v="Yes"/>
    <x v="0"/>
  </r>
  <r>
    <n v="20431"/>
    <n v="486"/>
    <d v="2023-11-12T00:00:00"/>
    <s v="November"/>
    <n v="2023"/>
    <x v="2"/>
    <n v="8"/>
    <s v="No"/>
    <x v="5"/>
  </r>
  <r>
    <n v="20432"/>
    <n v="348"/>
    <d v="2022-11-06T00:00:00"/>
    <s v="November"/>
    <n v="2022"/>
    <x v="2"/>
    <n v="42"/>
    <s v="Yes"/>
    <x v="5"/>
  </r>
  <r>
    <n v="20433"/>
    <n v="61"/>
    <d v="2022-12-09T00:00:00"/>
    <s v="December"/>
    <n v="2022"/>
    <x v="2"/>
    <n v="39"/>
    <s v="Yes"/>
    <x v="2"/>
  </r>
  <r>
    <n v="20434"/>
    <n v="38"/>
    <d v="2023-11-01T00:00:00"/>
    <s v="November"/>
    <n v="2023"/>
    <x v="0"/>
    <n v="35"/>
    <s v="Yes"/>
    <x v="1"/>
  </r>
  <r>
    <n v="20435"/>
    <n v="118"/>
    <d v="2023-04-20T00:00:00"/>
    <s v="April"/>
    <n v="2023"/>
    <x v="1"/>
    <n v="41"/>
    <s v="Yes"/>
    <x v="2"/>
  </r>
  <r>
    <n v="20436"/>
    <n v="390"/>
    <d v="2022-02-25T00:00:00"/>
    <s v="February"/>
    <n v="2022"/>
    <x v="0"/>
    <n v="48"/>
    <s v="Yes"/>
    <x v="0"/>
  </r>
  <r>
    <n v="20437"/>
    <n v="312"/>
    <d v="2024-04-26T00:00:00"/>
    <s v="April"/>
    <n v="2024"/>
    <x v="0"/>
    <n v="71"/>
    <s v="No"/>
    <x v="2"/>
  </r>
  <r>
    <n v="20438"/>
    <n v="168"/>
    <d v="2023-03-01T00:00:00"/>
    <s v="March"/>
    <n v="2023"/>
    <x v="0"/>
    <n v="44"/>
    <s v="Yes"/>
    <x v="4"/>
  </r>
  <r>
    <n v="20439"/>
    <n v="377"/>
    <d v="2022-05-22T00:00:00"/>
    <s v="May"/>
    <n v="2022"/>
    <x v="1"/>
    <n v="35"/>
    <s v="Yes"/>
    <x v="1"/>
  </r>
  <r>
    <n v="20440"/>
    <n v="337"/>
    <d v="2023-10-23T00:00:00"/>
    <s v="October"/>
    <n v="2023"/>
    <x v="0"/>
    <n v="27"/>
    <s v="Yes"/>
    <x v="1"/>
  </r>
  <r>
    <n v="20441"/>
    <n v="362"/>
    <d v="2023-01-11T00:00:00"/>
    <s v="January"/>
    <n v="2023"/>
    <x v="0"/>
    <n v="65"/>
    <s v="Yes"/>
    <x v="4"/>
  </r>
  <r>
    <n v="20442"/>
    <n v="376"/>
    <d v="2022-08-14T00:00:00"/>
    <s v="August"/>
    <n v="2022"/>
    <x v="0"/>
    <n v="70"/>
    <s v="Yes"/>
    <x v="2"/>
  </r>
  <r>
    <n v="20443"/>
    <n v="69"/>
    <d v="2023-04-19T00:00:00"/>
    <s v="April"/>
    <n v="2023"/>
    <x v="1"/>
    <n v="66"/>
    <s v="Yes"/>
    <x v="1"/>
  </r>
  <r>
    <n v="20444"/>
    <n v="83"/>
    <d v="2022-01-25T00:00:00"/>
    <s v="January"/>
    <n v="2022"/>
    <x v="0"/>
    <n v="71"/>
    <s v="Yes"/>
    <x v="0"/>
  </r>
  <r>
    <n v="20445"/>
    <n v="235"/>
    <d v="2023-11-21T00:00:00"/>
    <s v="November"/>
    <n v="2023"/>
    <x v="1"/>
    <n v="63"/>
    <s v="Yes"/>
    <x v="3"/>
  </r>
  <r>
    <n v="20446"/>
    <n v="42"/>
    <d v="2022-12-31T00:00:00"/>
    <s v="December"/>
    <n v="2022"/>
    <x v="1"/>
    <n v="29"/>
    <s v="Yes"/>
    <x v="3"/>
  </r>
  <r>
    <n v="20447"/>
    <n v="99"/>
    <d v="2022-04-05T00:00:00"/>
    <s v="April"/>
    <n v="2022"/>
    <x v="2"/>
    <n v="31"/>
    <s v="No"/>
    <x v="2"/>
  </r>
  <r>
    <n v="20448"/>
    <n v="470"/>
    <d v="2023-05-23T00:00:00"/>
    <s v="May"/>
    <n v="2023"/>
    <x v="2"/>
    <n v="64"/>
    <s v="No"/>
    <x v="2"/>
  </r>
  <r>
    <n v="20449"/>
    <n v="472"/>
    <d v="2023-07-19T00:00:00"/>
    <s v="July"/>
    <n v="2023"/>
    <x v="2"/>
    <n v="53"/>
    <s v="Yes"/>
    <x v="0"/>
  </r>
  <r>
    <n v="20450"/>
    <n v="458"/>
    <d v="2024-03-26T00:00:00"/>
    <s v="March"/>
    <n v="2024"/>
    <x v="1"/>
    <n v="68"/>
    <s v="Yes"/>
    <x v="2"/>
  </r>
  <r>
    <n v="20451"/>
    <n v="130"/>
    <d v="2023-08-05T00:00:00"/>
    <s v="August"/>
    <n v="2023"/>
    <x v="2"/>
    <n v="25"/>
    <s v="Yes"/>
    <x v="3"/>
  </r>
  <r>
    <n v="20452"/>
    <n v="28"/>
    <d v="2022-06-25T00:00:00"/>
    <s v="June"/>
    <n v="2022"/>
    <x v="2"/>
    <n v="13"/>
    <s v="No"/>
    <x v="4"/>
  </r>
  <r>
    <n v="20453"/>
    <n v="233"/>
    <d v="2023-10-06T00:00:00"/>
    <s v="October"/>
    <n v="2023"/>
    <x v="2"/>
    <n v="40"/>
    <s v="Yes"/>
    <x v="1"/>
  </r>
  <r>
    <n v="20454"/>
    <n v="229"/>
    <d v="2023-02-12T00:00:00"/>
    <s v="February"/>
    <n v="2023"/>
    <x v="1"/>
    <n v="7"/>
    <s v="Yes"/>
    <x v="2"/>
  </r>
  <r>
    <n v="20455"/>
    <n v="117"/>
    <d v="2023-05-05T00:00:00"/>
    <s v="May"/>
    <n v="2023"/>
    <x v="0"/>
    <n v="32"/>
    <s v="Yes"/>
    <x v="3"/>
  </r>
  <r>
    <n v="20456"/>
    <n v="401"/>
    <d v="2024-04-30T00:00:00"/>
    <s v="April"/>
    <n v="2024"/>
    <x v="2"/>
    <n v="24"/>
    <s v="Yes"/>
    <x v="5"/>
  </r>
  <r>
    <n v="20457"/>
    <n v="326"/>
    <d v="2023-04-04T00:00:00"/>
    <s v="April"/>
    <n v="2023"/>
    <x v="2"/>
    <n v="1"/>
    <s v="Yes"/>
    <x v="0"/>
  </r>
  <r>
    <n v="20458"/>
    <n v="107"/>
    <d v="2023-02-17T00:00:00"/>
    <s v="February"/>
    <n v="2023"/>
    <x v="2"/>
    <n v="47"/>
    <s v="Yes"/>
    <x v="5"/>
  </r>
  <r>
    <n v="20459"/>
    <n v="379"/>
    <d v="2022-12-04T00:00:00"/>
    <s v="December"/>
    <n v="2022"/>
    <x v="2"/>
    <n v="51"/>
    <s v="Yes"/>
    <x v="3"/>
  </r>
  <r>
    <n v="20460"/>
    <n v="325"/>
    <d v="2024-05-21T00:00:00"/>
    <s v="May"/>
    <n v="2024"/>
    <x v="1"/>
    <n v="36"/>
    <s v="Yes"/>
    <x v="3"/>
  </r>
  <r>
    <n v="20461"/>
    <n v="295"/>
    <d v="2022-11-27T00:00:00"/>
    <s v="November"/>
    <n v="2022"/>
    <x v="0"/>
    <n v="27"/>
    <s v="Yes"/>
    <x v="4"/>
  </r>
  <r>
    <n v="20462"/>
    <n v="391"/>
    <d v="2022-08-01T00:00:00"/>
    <s v="August"/>
    <n v="2022"/>
    <x v="0"/>
    <n v="70"/>
    <s v="Yes"/>
    <x v="5"/>
  </r>
  <r>
    <n v="20463"/>
    <n v="160"/>
    <d v="2023-12-24T00:00:00"/>
    <s v="December"/>
    <n v="2023"/>
    <x v="2"/>
    <n v="42"/>
    <s v="Yes"/>
    <x v="2"/>
  </r>
  <r>
    <n v="20464"/>
    <n v="4"/>
    <d v="2022-12-11T00:00:00"/>
    <s v="December"/>
    <n v="2022"/>
    <x v="0"/>
    <n v="68"/>
    <s v="Yes"/>
    <x v="5"/>
  </r>
  <r>
    <n v="20465"/>
    <n v="149"/>
    <d v="2023-07-30T00:00:00"/>
    <s v="July"/>
    <n v="2023"/>
    <x v="2"/>
    <n v="70"/>
    <s v="Yes"/>
    <x v="5"/>
  </r>
  <r>
    <n v="20466"/>
    <n v="234"/>
    <d v="2023-07-01T00:00:00"/>
    <s v="July"/>
    <n v="2023"/>
    <x v="2"/>
    <n v="13"/>
    <s v="Yes"/>
    <x v="2"/>
  </r>
  <r>
    <n v="20467"/>
    <n v="254"/>
    <d v="2023-06-08T00:00:00"/>
    <s v="June"/>
    <n v="2023"/>
    <x v="0"/>
    <n v="25"/>
    <s v="Yes"/>
    <x v="0"/>
  </r>
  <r>
    <n v="20468"/>
    <n v="416"/>
    <d v="2022-12-12T00:00:00"/>
    <s v="December"/>
    <n v="2022"/>
    <x v="0"/>
    <n v="22"/>
    <s v="Yes"/>
    <x v="0"/>
  </r>
  <r>
    <n v="20469"/>
    <n v="248"/>
    <d v="2024-04-02T00:00:00"/>
    <s v="April"/>
    <n v="2024"/>
    <x v="1"/>
    <n v="21"/>
    <s v="No"/>
    <x v="0"/>
  </r>
  <r>
    <n v="20470"/>
    <n v="338"/>
    <d v="2022-09-05T00:00:00"/>
    <s v="September"/>
    <n v="2022"/>
    <x v="2"/>
    <n v="15"/>
    <s v="Yes"/>
    <x v="4"/>
  </r>
  <r>
    <n v="20471"/>
    <n v="353"/>
    <d v="2023-09-16T00:00:00"/>
    <s v="September"/>
    <n v="2023"/>
    <x v="0"/>
    <n v="67"/>
    <s v="Yes"/>
    <x v="4"/>
  </r>
  <r>
    <n v="20472"/>
    <n v="398"/>
    <d v="2022-11-21T00:00:00"/>
    <s v="November"/>
    <n v="2022"/>
    <x v="1"/>
    <n v="37"/>
    <s v="Yes"/>
    <x v="0"/>
  </r>
  <r>
    <n v="20473"/>
    <n v="70"/>
    <d v="2023-04-12T00:00:00"/>
    <s v="April"/>
    <n v="2023"/>
    <x v="0"/>
    <n v="45"/>
    <s v="Yes"/>
    <x v="5"/>
  </r>
  <r>
    <n v="20474"/>
    <n v="203"/>
    <d v="2022-04-01T00:00:00"/>
    <s v="April"/>
    <n v="2022"/>
    <x v="0"/>
    <n v="26"/>
    <s v="Yes"/>
    <x v="1"/>
  </r>
  <r>
    <n v="20475"/>
    <n v="302"/>
    <d v="2022-10-21T00:00:00"/>
    <s v="October"/>
    <n v="2022"/>
    <x v="2"/>
    <n v="55"/>
    <s v="No"/>
    <x v="3"/>
  </r>
  <r>
    <n v="20476"/>
    <n v="148"/>
    <d v="2023-06-25T00:00:00"/>
    <s v="June"/>
    <n v="2023"/>
    <x v="1"/>
    <n v="50"/>
    <s v="Yes"/>
    <x v="3"/>
  </r>
  <r>
    <n v="20477"/>
    <n v="221"/>
    <d v="2023-06-08T00:00:00"/>
    <s v="June"/>
    <n v="2023"/>
    <x v="2"/>
    <n v="35"/>
    <s v="Yes"/>
    <x v="0"/>
  </r>
  <r>
    <n v="20478"/>
    <n v="186"/>
    <d v="2023-10-21T00:00:00"/>
    <s v="October"/>
    <n v="2023"/>
    <x v="0"/>
    <n v="41"/>
    <s v="Yes"/>
    <x v="2"/>
  </r>
  <r>
    <n v="20479"/>
    <n v="355"/>
    <d v="2023-10-11T00:00:00"/>
    <s v="October"/>
    <n v="2023"/>
    <x v="1"/>
    <n v="11"/>
    <s v="No"/>
    <x v="0"/>
  </r>
  <r>
    <n v="20480"/>
    <n v="336"/>
    <d v="2024-04-29T00:00:00"/>
    <s v="April"/>
    <n v="2024"/>
    <x v="2"/>
    <n v="8"/>
    <s v="Yes"/>
    <x v="0"/>
  </r>
  <r>
    <n v="20481"/>
    <n v="48"/>
    <d v="2023-10-31T00:00:00"/>
    <s v="October"/>
    <n v="2023"/>
    <x v="1"/>
    <n v="54"/>
    <s v="Yes"/>
    <x v="5"/>
  </r>
  <r>
    <n v="20482"/>
    <n v="263"/>
    <d v="2022-09-16T00:00:00"/>
    <s v="September"/>
    <n v="2022"/>
    <x v="0"/>
    <n v="1"/>
    <s v="Yes"/>
    <x v="5"/>
  </r>
  <r>
    <n v="20483"/>
    <n v="296"/>
    <d v="2022-03-28T00:00:00"/>
    <s v="March"/>
    <n v="2022"/>
    <x v="1"/>
    <n v="20"/>
    <s v="Yes"/>
    <x v="2"/>
  </r>
  <r>
    <n v="20484"/>
    <n v="315"/>
    <d v="2022-06-07T00:00:00"/>
    <s v="June"/>
    <n v="2022"/>
    <x v="0"/>
    <n v="34"/>
    <s v="Yes"/>
    <x v="3"/>
  </r>
  <r>
    <n v="20485"/>
    <n v="292"/>
    <d v="2023-05-09T00:00:00"/>
    <s v="May"/>
    <n v="2023"/>
    <x v="2"/>
    <n v="57"/>
    <s v="Yes"/>
    <x v="4"/>
  </r>
  <r>
    <n v="20486"/>
    <n v="172"/>
    <d v="2022-07-05T00:00:00"/>
    <s v="July"/>
    <n v="2022"/>
    <x v="0"/>
    <n v="13"/>
    <s v="Yes"/>
    <x v="5"/>
  </r>
  <r>
    <n v="20487"/>
    <n v="364"/>
    <d v="2022-12-10T00:00:00"/>
    <s v="December"/>
    <n v="2022"/>
    <x v="0"/>
    <n v="54"/>
    <s v="Yes"/>
    <x v="4"/>
  </r>
  <r>
    <n v="20488"/>
    <n v="31"/>
    <d v="2024-03-31T00:00:00"/>
    <s v="March"/>
    <n v="2024"/>
    <x v="1"/>
    <n v="53"/>
    <s v="Yes"/>
    <x v="5"/>
  </r>
  <r>
    <n v="20489"/>
    <n v="170"/>
    <d v="2024-05-18T00:00:00"/>
    <s v="May"/>
    <n v="2024"/>
    <x v="1"/>
    <n v="52"/>
    <s v="Yes"/>
    <x v="4"/>
  </r>
  <r>
    <n v="20490"/>
    <n v="44"/>
    <d v="2024-01-11T00:00:00"/>
    <s v="January"/>
    <n v="2024"/>
    <x v="2"/>
    <n v="6"/>
    <s v="No"/>
    <x v="1"/>
  </r>
  <r>
    <n v="20491"/>
    <n v="427"/>
    <d v="2023-05-31T00:00:00"/>
    <s v="May"/>
    <n v="2023"/>
    <x v="1"/>
    <n v="36"/>
    <s v="Yes"/>
    <x v="4"/>
  </r>
  <r>
    <n v="20492"/>
    <n v="43"/>
    <d v="2023-07-23T00:00:00"/>
    <s v="July"/>
    <n v="2023"/>
    <x v="2"/>
    <n v="25"/>
    <s v="Yes"/>
    <x v="2"/>
  </r>
  <r>
    <n v="20493"/>
    <n v="431"/>
    <d v="2023-05-24T00:00:00"/>
    <s v="May"/>
    <n v="2023"/>
    <x v="0"/>
    <n v="58"/>
    <s v="Yes"/>
    <x v="5"/>
  </r>
  <r>
    <n v="20494"/>
    <n v="134"/>
    <d v="2023-06-24T00:00:00"/>
    <s v="June"/>
    <n v="2023"/>
    <x v="0"/>
    <n v="55"/>
    <s v="Yes"/>
    <x v="1"/>
  </r>
  <r>
    <n v="20495"/>
    <n v="349"/>
    <d v="2022-01-16T00:00:00"/>
    <s v="January"/>
    <n v="2022"/>
    <x v="1"/>
    <n v="3"/>
    <s v="Yes"/>
    <x v="3"/>
  </r>
  <r>
    <n v="20496"/>
    <n v="219"/>
    <d v="2023-06-09T00:00:00"/>
    <s v="June"/>
    <n v="2023"/>
    <x v="0"/>
    <n v="28"/>
    <s v="Yes"/>
    <x v="0"/>
  </r>
  <r>
    <n v="20497"/>
    <n v="491"/>
    <d v="2022-07-19T00:00:00"/>
    <s v="July"/>
    <n v="2022"/>
    <x v="0"/>
    <n v="68"/>
    <s v="Yes"/>
    <x v="2"/>
  </r>
  <r>
    <n v="20498"/>
    <n v="450"/>
    <d v="2022-07-03T00:00:00"/>
    <s v="July"/>
    <n v="2022"/>
    <x v="2"/>
    <n v="38"/>
    <s v="Yes"/>
    <x v="1"/>
  </r>
  <r>
    <n v="20499"/>
    <n v="86"/>
    <d v="2022-11-05T00:00:00"/>
    <s v="November"/>
    <n v="2022"/>
    <x v="1"/>
    <n v="34"/>
    <s v="Yes"/>
    <x v="4"/>
  </r>
  <r>
    <n v="20500"/>
    <n v="251"/>
    <d v="2024-03-26T00:00:00"/>
    <s v="March"/>
    <n v="2024"/>
    <x v="2"/>
    <n v="13"/>
    <s v="Yes"/>
    <x v="3"/>
  </r>
  <r>
    <n v="20501"/>
    <n v="265"/>
    <d v="2023-05-23T00:00:00"/>
    <s v="May"/>
    <n v="2023"/>
    <x v="0"/>
    <n v="5"/>
    <s v="Yes"/>
    <x v="4"/>
  </r>
  <r>
    <n v="20502"/>
    <n v="11"/>
    <d v="2022-10-08T00:00:00"/>
    <s v="October"/>
    <n v="2022"/>
    <x v="0"/>
    <n v="60"/>
    <s v="Yes"/>
    <x v="1"/>
  </r>
  <r>
    <n v="20503"/>
    <n v="80"/>
    <d v="2024-04-13T00:00:00"/>
    <s v="April"/>
    <n v="2024"/>
    <x v="0"/>
    <n v="17"/>
    <s v="Yes"/>
    <x v="3"/>
  </r>
  <r>
    <n v="20504"/>
    <n v="109"/>
    <d v="2022-06-07T00:00:00"/>
    <s v="June"/>
    <n v="2022"/>
    <x v="1"/>
    <n v="57"/>
    <s v="Yes"/>
    <x v="1"/>
  </r>
  <r>
    <n v="20505"/>
    <n v="461"/>
    <d v="2022-12-26T00:00:00"/>
    <s v="December"/>
    <n v="2022"/>
    <x v="0"/>
    <n v="31"/>
    <s v="Yes"/>
    <x v="5"/>
  </r>
  <r>
    <n v="20506"/>
    <n v="118"/>
    <d v="2022-09-16T00:00:00"/>
    <s v="September"/>
    <n v="2022"/>
    <x v="0"/>
    <n v="65"/>
    <s v="Yes"/>
    <x v="2"/>
  </r>
  <r>
    <n v="20507"/>
    <n v="252"/>
    <d v="2022-06-06T00:00:00"/>
    <s v="June"/>
    <n v="2022"/>
    <x v="2"/>
    <n v="66"/>
    <s v="Yes"/>
    <x v="2"/>
  </r>
  <r>
    <n v="20508"/>
    <n v="18"/>
    <d v="2023-03-01T00:00:00"/>
    <s v="March"/>
    <n v="2023"/>
    <x v="1"/>
    <n v="33"/>
    <s v="Yes"/>
    <x v="4"/>
  </r>
  <r>
    <n v="20509"/>
    <n v="256"/>
    <d v="2023-08-29T00:00:00"/>
    <s v="August"/>
    <n v="2023"/>
    <x v="0"/>
    <n v="4"/>
    <s v="Yes"/>
    <x v="3"/>
  </r>
  <r>
    <n v="20510"/>
    <n v="245"/>
    <d v="2024-02-18T00:00:00"/>
    <s v="February"/>
    <n v="2024"/>
    <x v="2"/>
    <n v="55"/>
    <s v="Yes"/>
    <x v="4"/>
  </r>
  <r>
    <n v="20511"/>
    <n v="153"/>
    <d v="2022-01-21T00:00:00"/>
    <s v="January"/>
    <n v="2022"/>
    <x v="0"/>
    <n v="24"/>
    <s v="Yes"/>
    <x v="3"/>
  </r>
  <r>
    <n v="20512"/>
    <n v="97"/>
    <d v="2023-10-01T00:00:00"/>
    <s v="October"/>
    <n v="2023"/>
    <x v="2"/>
    <n v="32"/>
    <s v="Yes"/>
    <x v="5"/>
  </r>
  <r>
    <n v="20513"/>
    <n v="500"/>
    <d v="2022-12-13T00:00:00"/>
    <s v="December"/>
    <n v="2022"/>
    <x v="0"/>
    <n v="47"/>
    <s v="Yes"/>
    <x v="1"/>
  </r>
  <r>
    <n v="20514"/>
    <n v="458"/>
    <d v="2024-05-12T00:00:00"/>
    <s v="May"/>
    <n v="2024"/>
    <x v="1"/>
    <n v="16"/>
    <s v="Yes"/>
    <x v="2"/>
  </r>
  <r>
    <n v="20515"/>
    <n v="186"/>
    <d v="2022-12-16T00:00:00"/>
    <s v="December"/>
    <n v="2022"/>
    <x v="1"/>
    <n v="21"/>
    <s v="Yes"/>
    <x v="2"/>
  </r>
  <r>
    <n v="20516"/>
    <n v="30"/>
    <d v="2023-01-20T00:00:00"/>
    <s v="January"/>
    <n v="2023"/>
    <x v="2"/>
    <n v="67"/>
    <s v="Yes"/>
    <x v="2"/>
  </r>
  <r>
    <n v="20517"/>
    <n v="115"/>
    <d v="2023-03-14T00:00:00"/>
    <s v="March"/>
    <n v="2023"/>
    <x v="0"/>
    <n v="31"/>
    <s v="Yes"/>
    <x v="0"/>
  </r>
  <r>
    <n v="20518"/>
    <n v="241"/>
    <d v="2023-04-01T00:00:00"/>
    <s v="April"/>
    <n v="2023"/>
    <x v="1"/>
    <n v="14"/>
    <s v="Yes"/>
    <x v="1"/>
  </r>
  <r>
    <n v="20519"/>
    <n v="257"/>
    <d v="2023-09-16T00:00:00"/>
    <s v="September"/>
    <n v="2023"/>
    <x v="0"/>
    <n v="6"/>
    <s v="Yes"/>
    <x v="3"/>
  </r>
  <r>
    <n v="20520"/>
    <n v="447"/>
    <d v="2024-01-16T00:00:00"/>
    <s v="January"/>
    <n v="2024"/>
    <x v="1"/>
    <n v="69"/>
    <s v="Yes"/>
    <x v="4"/>
  </r>
  <r>
    <n v="20521"/>
    <n v="353"/>
    <d v="2023-06-30T00:00:00"/>
    <s v="June"/>
    <n v="2023"/>
    <x v="2"/>
    <n v="29"/>
    <s v="Yes"/>
    <x v="4"/>
  </r>
  <r>
    <n v="20522"/>
    <n v="113"/>
    <d v="2022-03-21T00:00:00"/>
    <s v="March"/>
    <n v="2022"/>
    <x v="1"/>
    <n v="55"/>
    <s v="Yes"/>
    <x v="3"/>
  </r>
  <r>
    <n v="20523"/>
    <n v="335"/>
    <d v="2023-03-28T00:00:00"/>
    <s v="March"/>
    <n v="2023"/>
    <x v="0"/>
    <n v="37"/>
    <s v="Yes"/>
    <x v="3"/>
  </r>
  <r>
    <n v="20524"/>
    <n v="29"/>
    <d v="2023-08-18T00:00:00"/>
    <s v="August"/>
    <n v="2023"/>
    <x v="0"/>
    <n v="59"/>
    <s v="No"/>
    <x v="3"/>
  </r>
  <r>
    <n v="20525"/>
    <n v="322"/>
    <d v="2023-06-25T00:00:00"/>
    <s v="June"/>
    <n v="2023"/>
    <x v="0"/>
    <n v="36"/>
    <s v="Yes"/>
    <x v="3"/>
  </r>
  <r>
    <n v="20526"/>
    <n v="459"/>
    <d v="2023-05-04T00:00:00"/>
    <s v="May"/>
    <n v="2023"/>
    <x v="2"/>
    <n v="59"/>
    <s v="Yes"/>
    <x v="5"/>
  </r>
  <r>
    <n v="20527"/>
    <n v="437"/>
    <d v="2023-10-05T00:00:00"/>
    <s v="October"/>
    <n v="2023"/>
    <x v="2"/>
    <n v="64"/>
    <s v="Yes"/>
    <x v="2"/>
  </r>
  <r>
    <n v="20528"/>
    <n v="226"/>
    <d v="2023-06-07T00:00:00"/>
    <s v="June"/>
    <n v="2023"/>
    <x v="0"/>
    <n v="43"/>
    <s v="Yes"/>
    <x v="5"/>
  </r>
  <r>
    <n v="20529"/>
    <n v="244"/>
    <d v="2023-01-27T00:00:00"/>
    <s v="January"/>
    <n v="2023"/>
    <x v="0"/>
    <n v="42"/>
    <s v="Yes"/>
    <x v="0"/>
  </r>
  <r>
    <n v="20530"/>
    <n v="361"/>
    <d v="2023-07-28T00:00:00"/>
    <s v="July"/>
    <n v="2023"/>
    <x v="1"/>
    <n v="60"/>
    <s v="Yes"/>
    <x v="5"/>
  </r>
  <r>
    <n v="20531"/>
    <n v="19"/>
    <d v="2022-12-25T00:00:00"/>
    <s v="December"/>
    <n v="2022"/>
    <x v="1"/>
    <n v="62"/>
    <s v="Yes"/>
    <x v="3"/>
  </r>
  <r>
    <n v="20532"/>
    <n v="322"/>
    <d v="2022-02-02T00:00:00"/>
    <s v="February"/>
    <n v="2022"/>
    <x v="1"/>
    <n v="64"/>
    <s v="Yes"/>
    <x v="3"/>
  </r>
  <r>
    <n v="20533"/>
    <n v="112"/>
    <d v="2022-05-16T00:00:00"/>
    <s v="May"/>
    <n v="2022"/>
    <x v="0"/>
    <n v="58"/>
    <s v="Yes"/>
    <x v="5"/>
  </r>
  <r>
    <n v="20534"/>
    <n v="212"/>
    <d v="2023-08-23T00:00:00"/>
    <s v="August"/>
    <n v="2023"/>
    <x v="1"/>
    <n v="2"/>
    <s v="Yes"/>
    <x v="4"/>
  </r>
  <r>
    <n v="20535"/>
    <n v="233"/>
    <d v="2023-02-14T00:00:00"/>
    <s v="February"/>
    <n v="2023"/>
    <x v="0"/>
    <n v="71"/>
    <s v="Yes"/>
    <x v="1"/>
  </r>
  <r>
    <n v="20536"/>
    <n v="436"/>
    <d v="2023-06-13T00:00:00"/>
    <s v="June"/>
    <n v="2023"/>
    <x v="2"/>
    <n v="8"/>
    <s v="Yes"/>
    <x v="4"/>
  </r>
  <r>
    <n v="20537"/>
    <n v="159"/>
    <d v="2022-04-01T00:00:00"/>
    <s v="April"/>
    <n v="2022"/>
    <x v="1"/>
    <n v="56"/>
    <s v="Yes"/>
    <x v="4"/>
  </r>
  <r>
    <n v="20538"/>
    <n v="60"/>
    <d v="2023-02-17T00:00:00"/>
    <s v="February"/>
    <n v="2023"/>
    <x v="0"/>
    <n v="36"/>
    <s v="Yes"/>
    <x v="2"/>
  </r>
  <r>
    <n v="20539"/>
    <n v="373"/>
    <d v="2022-10-26T00:00:00"/>
    <s v="October"/>
    <n v="2022"/>
    <x v="0"/>
    <n v="69"/>
    <s v="Yes"/>
    <x v="0"/>
  </r>
  <r>
    <n v="20540"/>
    <n v="324"/>
    <d v="2023-05-02T00:00:00"/>
    <s v="May"/>
    <n v="2023"/>
    <x v="2"/>
    <n v="13"/>
    <s v="No"/>
    <x v="4"/>
  </r>
  <r>
    <n v="20541"/>
    <n v="93"/>
    <d v="2024-02-04T00:00:00"/>
    <s v="February"/>
    <n v="2024"/>
    <x v="2"/>
    <n v="39"/>
    <s v="Yes"/>
    <x v="0"/>
  </r>
  <r>
    <n v="20542"/>
    <n v="248"/>
    <d v="2022-03-14T00:00:00"/>
    <s v="March"/>
    <n v="2022"/>
    <x v="2"/>
    <n v="6"/>
    <s v="Yes"/>
    <x v="0"/>
  </r>
  <r>
    <n v="20543"/>
    <n v="158"/>
    <d v="2023-12-19T00:00:00"/>
    <s v="December"/>
    <n v="2023"/>
    <x v="2"/>
    <n v="19"/>
    <s v="Yes"/>
    <x v="3"/>
  </r>
  <r>
    <n v="20544"/>
    <n v="141"/>
    <d v="2022-09-18T00:00:00"/>
    <s v="September"/>
    <n v="2022"/>
    <x v="1"/>
    <n v="25"/>
    <s v="Yes"/>
    <x v="2"/>
  </r>
  <r>
    <n v="20545"/>
    <n v="399"/>
    <d v="2023-11-21T00:00:00"/>
    <s v="November"/>
    <n v="2023"/>
    <x v="2"/>
    <n v="3"/>
    <s v="Yes"/>
    <x v="2"/>
  </r>
  <r>
    <n v="20546"/>
    <n v="404"/>
    <d v="2022-11-08T00:00:00"/>
    <s v="November"/>
    <n v="2022"/>
    <x v="0"/>
    <n v="53"/>
    <s v="Yes"/>
    <x v="2"/>
  </r>
  <r>
    <n v="20547"/>
    <n v="418"/>
    <d v="2024-04-04T00:00:00"/>
    <s v="April"/>
    <n v="2024"/>
    <x v="0"/>
    <n v="28"/>
    <s v="Yes"/>
    <x v="1"/>
  </r>
  <r>
    <n v="20548"/>
    <n v="220"/>
    <d v="2024-01-02T00:00:00"/>
    <s v="January"/>
    <n v="2024"/>
    <x v="0"/>
    <n v="26"/>
    <s v="Yes"/>
    <x v="0"/>
  </r>
  <r>
    <n v="20549"/>
    <n v="404"/>
    <d v="2023-11-16T00:00:00"/>
    <s v="November"/>
    <n v="2023"/>
    <x v="0"/>
    <n v="47"/>
    <s v="Yes"/>
    <x v="2"/>
  </r>
  <r>
    <n v="20550"/>
    <n v="306"/>
    <d v="2022-06-14T00:00:00"/>
    <s v="June"/>
    <n v="2022"/>
    <x v="0"/>
    <n v="8"/>
    <s v="Yes"/>
    <x v="0"/>
  </r>
  <r>
    <n v="20551"/>
    <n v="89"/>
    <d v="2024-04-19T00:00:00"/>
    <s v="April"/>
    <n v="2024"/>
    <x v="2"/>
    <n v="57"/>
    <s v="No"/>
    <x v="4"/>
  </r>
  <r>
    <n v="20552"/>
    <n v="155"/>
    <d v="2022-12-01T00:00:00"/>
    <s v="December"/>
    <n v="2022"/>
    <x v="0"/>
    <n v="55"/>
    <s v="Yes"/>
    <x v="1"/>
  </r>
  <r>
    <n v="20553"/>
    <n v="414"/>
    <d v="2023-05-17T00:00:00"/>
    <s v="May"/>
    <n v="2023"/>
    <x v="2"/>
    <n v="1"/>
    <s v="Yes"/>
    <x v="4"/>
  </r>
  <r>
    <n v="20554"/>
    <n v="440"/>
    <d v="2024-01-02T00:00:00"/>
    <s v="January"/>
    <n v="2024"/>
    <x v="2"/>
    <n v="40"/>
    <s v="Yes"/>
    <x v="1"/>
  </r>
  <r>
    <n v="20555"/>
    <n v="233"/>
    <d v="2024-03-14T00:00:00"/>
    <s v="March"/>
    <n v="2024"/>
    <x v="2"/>
    <n v="23"/>
    <s v="Yes"/>
    <x v="1"/>
  </r>
  <r>
    <n v="20556"/>
    <n v="468"/>
    <d v="2022-06-10T00:00:00"/>
    <s v="June"/>
    <n v="2022"/>
    <x v="2"/>
    <n v="54"/>
    <s v="Yes"/>
    <x v="1"/>
  </r>
  <r>
    <n v="20557"/>
    <n v="193"/>
    <d v="2023-01-25T00:00:00"/>
    <s v="January"/>
    <n v="2023"/>
    <x v="1"/>
    <n v="42"/>
    <s v="Yes"/>
    <x v="0"/>
  </r>
  <r>
    <n v="20558"/>
    <n v="99"/>
    <d v="2024-01-30T00:00:00"/>
    <s v="January"/>
    <n v="2024"/>
    <x v="1"/>
    <n v="50"/>
    <s v="No"/>
    <x v="2"/>
  </r>
  <r>
    <n v="20559"/>
    <n v="439"/>
    <d v="2024-06-01T00:00:00"/>
    <s v="June"/>
    <n v="2024"/>
    <x v="1"/>
    <n v="4"/>
    <s v="Yes"/>
    <x v="5"/>
  </r>
  <r>
    <n v="20560"/>
    <n v="113"/>
    <d v="2022-03-12T00:00:00"/>
    <s v="March"/>
    <n v="2022"/>
    <x v="1"/>
    <n v="8"/>
    <s v="Yes"/>
    <x v="3"/>
  </r>
  <r>
    <n v="20561"/>
    <n v="107"/>
    <d v="2022-04-02T00:00:00"/>
    <s v="April"/>
    <n v="2022"/>
    <x v="1"/>
    <n v="36"/>
    <s v="Yes"/>
    <x v="5"/>
  </r>
  <r>
    <n v="20562"/>
    <n v="24"/>
    <d v="2022-12-27T00:00:00"/>
    <s v="December"/>
    <n v="2022"/>
    <x v="0"/>
    <n v="10"/>
    <s v="No"/>
    <x v="3"/>
  </r>
  <r>
    <n v="20563"/>
    <n v="281"/>
    <d v="2022-11-17T00:00:00"/>
    <s v="November"/>
    <n v="2022"/>
    <x v="1"/>
    <n v="30"/>
    <s v="Yes"/>
    <x v="3"/>
  </r>
  <r>
    <n v="20564"/>
    <n v="488"/>
    <d v="2022-09-02T00:00:00"/>
    <s v="September"/>
    <n v="2022"/>
    <x v="0"/>
    <n v="16"/>
    <s v="Yes"/>
    <x v="2"/>
  </r>
  <r>
    <n v="20565"/>
    <n v="437"/>
    <d v="2022-01-24T00:00:00"/>
    <s v="January"/>
    <n v="2022"/>
    <x v="0"/>
    <n v="30"/>
    <s v="No"/>
    <x v="2"/>
  </r>
  <r>
    <n v="20566"/>
    <n v="204"/>
    <d v="2023-07-11T00:00:00"/>
    <s v="July"/>
    <n v="2023"/>
    <x v="2"/>
    <n v="64"/>
    <s v="Yes"/>
    <x v="1"/>
  </r>
  <r>
    <n v="20567"/>
    <n v="11"/>
    <d v="2023-12-02T00:00:00"/>
    <s v="December"/>
    <n v="2023"/>
    <x v="2"/>
    <n v="11"/>
    <s v="Yes"/>
    <x v="1"/>
  </r>
  <r>
    <n v="20568"/>
    <n v="350"/>
    <d v="2023-02-07T00:00:00"/>
    <s v="February"/>
    <n v="2023"/>
    <x v="2"/>
    <n v="34"/>
    <s v="Yes"/>
    <x v="4"/>
  </r>
  <r>
    <n v="20569"/>
    <n v="316"/>
    <d v="2023-01-08T00:00:00"/>
    <s v="January"/>
    <n v="2023"/>
    <x v="1"/>
    <n v="55"/>
    <s v="Yes"/>
    <x v="2"/>
  </r>
  <r>
    <n v="20570"/>
    <n v="205"/>
    <d v="2022-10-13T00:00:00"/>
    <s v="October"/>
    <n v="2022"/>
    <x v="0"/>
    <n v="4"/>
    <s v="Yes"/>
    <x v="2"/>
  </r>
  <r>
    <n v="20571"/>
    <n v="431"/>
    <d v="2024-04-12T00:00:00"/>
    <s v="April"/>
    <n v="2024"/>
    <x v="1"/>
    <n v="49"/>
    <s v="Yes"/>
    <x v="5"/>
  </r>
  <r>
    <n v="20572"/>
    <n v="409"/>
    <d v="2023-03-17T00:00:00"/>
    <s v="March"/>
    <n v="2023"/>
    <x v="2"/>
    <n v="44"/>
    <s v="Yes"/>
    <x v="3"/>
  </r>
  <r>
    <n v="20573"/>
    <n v="500"/>
    <d v="2024-05-02T00:00:00"/>
    <s v="May"/>
    <n v="2024"/>
    <x v="2"/>
    <n v="31"/>
    <s v="Yes"/>
    <x v="1"/>
  </r>
  <r>
    <n v="20574"/>
    <n v="25"/>
    <d v="2023-08-18T00:00:00"/>
    <s v="August"/>
    <n v="2023"/>
    <x v="0"/>
    <n v="48"/>
    <s v="Yes"/>
    <x v="4"/>
  </r>
  <r>
    <n v="20575"/>
    <n v="401"/>
    <d v="2024-01-04T00:00:00"/>
    <s v="January"/>
    <n v="2024"/>
    <x v="0"/>
    <n v="26"/>
    <s v="Yes"/>
    <x v="5"/>
  </r>
  <r>
    <n v="20576"/>
    <n v="140"/>
    <d v="2024-05-31T00:00:00"/>
    <s v="May"/>
    <n v="2024"/>
    <x v="2"/>
    <n v="70"/>
    <s v="Yes"/>
    <x v="4"/>
  </r>
  <r>
    <n v="20577"/>
    <n v="123"/>
    <d v="2022-12-18T00:00:00"/>
    <s v="December"/>
    <n v="2022"/>
    <x v="1"/>
    <n v="12"/>
    <s v="Yes"/>
    <x v="0"/>
  </r>
  <r>
    <n v="20578"/>
    <n v="499"/>
    <d v="2024-05-04T00:00:00"/>
    <s v="May"/>
    <n v="2024"/>
    <x v="1"/>
    <n v="45"/>
    <s v="Yes"/>
    <x v="4"/>
  </r>
  <r>
    <n v="20579"/>
    <n v="436"/>
    <d v="2022-08-07T00:00:00"/>
    <s v="August"/>
    <n v="2022"/>
    <x v="0"/>
    <n v="8"/>
    <s v="No"/>
    <x v="4"/>
  </r>
  <r>
    <n v="20580"/>
    <n v="11"/>
    <d v="2023-04-30T00:00:00"/>
    <s v="April"/>
    <n v="2023"/>
    <x v="2"/>
    <n v="9"/>
    <s v="Yes"/>
    <x v="1"/>
  </r>
  <r>
    <n v="20581"/>
    <n v="266"/>
    <d v="2023-03-19T00:00:00"/>
    <s v="March"/>
    <n v="2023"/>
    <x v="1"/>
    <n v="1"/>
    <s v="Yes"/>
    <x v="5"/>
  </r>
  <r>
    <n v="20582"/>
    <n v="81"/>
    <d v="2022-08-06T00:00:00"/>
    <s v="August"/>
    <n v="2022"/>
    <x v="0"/>
    <n v="5"/>
    <s v="Yes"/>
    <x v="5"/>
  </r>
  <r>
    <n v="20583"/>
    <n v="444"/>
    <d v="2023-12-03T00:00:00"/>
    <s v="December"/>
    <n v="2023"/>
    <x v="0"/>
    <n v="71"/>
    <s v="Yes"/>
    <x v="5"/>
  </r>
  <r>
    <n v="20584"/>
    <n v="310"/>
    <d v="2022-03-08T00:00:00"/>
    <s v="March"/>
    <n v="2022"/>
    <x v="0"/>
    <n v="54"/>
    <s v="Yes"/>
    <x v="3"/>
  </r>
  <r>
    <n v="20585"/>
    <n v="109"/>
    <d v="2022-01-31T00:00:00"/>
    <s v="January"/>
    <n v="2022"/>
    <x v="1"/>
    <n v="24"/>
    <s v="Yes"/>
    <x v="1"/>
  </r>
  <r>
    <n v="20586"/>
    <n v="208"/>
    <d v="2022-11-18T00:00:00"/>
    <s v="November"/>
    <n v="2022"/>
    <x v="0"/>
    <n v="26"/>
    <s v="Yes"/>
    <x v="2"/>
  </r>
  <r>
    <n v="20587"/>
    <n v="319"/>
    <d v="2022-09-07T00:00:00"/>
    <s v="September"/>
    <n v="2022"/>
    <x v="1"/>
    <n v="10"/>
    <s v="Yes"/>
    <x v="5"/>
  </r>
  <r>
    <n v="20588"/>
    <n v="244"/>
    <d v="2023-07-20T00:00:00"/>
    <s v="July"/>
    <n v="2023"/>
    <x v="0"/>
    <n v="61"/>
    <s v="Yes"/>
    <x v="0"/>
  </r>
  <r>
    <n v="20589"/>
    <n v="276"/>
    <d v="2022-01-10T00:00:00"/>
    <s v="January"/>
    <n v="2022"/>
    <x v="1"/>
    <n v="40"/>
    <s v="Yes"/>
    <x v="2"/>
  </r>
  <r>
    <n v="20590"/>
    <n v="497"/>
    <d v="2023-11-09T00:00:00"/>
    <s v="November"/>
    <n v="2023"/>
    <x v="2"/>
    <n v="44"/>
    <s v="Yes"/>
    <x v="3"/>
  </r>
  <r>
    <n v="20591"/>
    <n v="261"/>
    <d v="2024-04-30T00:00:00"/>
    <s v="April"/>
    <n v="2024"/>
    <x v="1"/>
    <n v="12"/>
    <s v="Yes"/>
    <x v="1"/>
  </r>
  <r>
    <n v="20592"/>
    <n v="297"/>
    <d v="2022-10-12T00:00:00"/>
    <s v="October"/>
    <n v="2022"/>
    <x v="2"/>
    <n v="22"/>
    <s v="Yes"/>
    <x v="5"/>
  </r>
  <r>
    <n v="20593"/>
    <n v="374"/>
    <d v="2022-06-02T00:00:00"/>
    <s v="June"/>
    <n v="2022"/>
    <x v="0"/>
    <n v="27"/>
    <s v="Yes"/>
    <x v="1"/>
  </r>
  <r>
    <n v="20594"/>
    <n v="63"/>
    <d v="2023-06-28T00:00:00"/>
    <s v="June"/>
    <n v="2023"/>
    <x v="1"/>
    <n v="67"/>
    <s v="Yes"/>
    <x v="3"/>
  </r>
  <r>
    <n v="20595"/>
    <n v="184"/>
    <d v="2023-06-13T00:00:00"/>
    <s v="June"/>
    <n v="2023"/>
    <x v="0"/>
    <n v="69"/>
    <s v="Yes"/>
    <x v="4"/>
  </r>
  <r>
    <n v="20596"/>
    <n v="32"/>
    <d v="2023-01-06T00:00:00"/>
    <s v="January"/>
    <n v="2023"/>
    <x v="2"/>
    <n v="14"/>
    <s v="No"/>
    <x v="0"/>
  </r>
  <r>
    <n v="20597"/>
    <n v="283"/>
    <d v="2022-10-28T00:00:00"/>
    <s v="October"/>
    <n v="2022"/>
    <x v="0"/>
    <n v="25"/>
    <s v="Yes"/>
    <x v="2"/>
  </r>
  <r>
    <n v="20598"/>
    <n v="324"/>
    <d v="2024-03-27T00:00:00"/>
    <s v="March"/>
    <n v="2024"/>
    <x v="0"/>
    <n v="52"/>
    <s v="Yes"/>
    <x v="4"/>
  </r>
  <r>
    <n v="20599"/>
    <n v="361"/>
    <d v="2024-05-04T00:00:00"/>
    <s v="May"/>
    <n v="2024"/>
    <x v="0"/>
    <n v="59"/>
    <s v="Yes"/>
    <x v="5"/>
  </r>
  <r>
    <n v="20600"/>
    <n v="432"/>
    <d v="2022-05-26T00:00:00"/>
    <s v="May"/>
    <n v="2022"/>
    <x v="2"/>
    <n v="38"/>
    <s v="Yes"/>
    <x v="1"/>
  </r>
  <r>
    <n v="20601"/>
    <n v="7"/>
    <d v="2023-08-10T00:00:00"/>
    <s v="August"/>
    <n v="2023"/>
    <x v="2"/>
    <n v="20"/>
    <s v="No"/>
    <x v="0"/>
  </r>
  <r>
    <n v="20602"/>
    <n v="174"/>
    <d v="2024-06-09T00:00:00"/>
    <s v="June"/>
    <n v="2024"/>
    <x v="1"/>
    <n v="20"/>
    <s v="Yes"/>
    <x v="1"/>
  </r>
  <r>
    <n v="20603"/>
    <n v="462"/>
    <d v="2023-09-28T00:00:00"/>
    <s v="September"/>
    <n v="2023"/>
    <x v="1"/>
    <n v="56"/>
    <s v="Yes"/>
    <x v="2"/>
  </r>
  <r>
    <n v="20604"/>
    <n v="359"/>
    <d v="2022-02-21T00:00:00"/>
    <s v="February"/>
    <n v="2022"/>
    <x v="1"/>
    <n v="30"/>
    <s v="Yes"/>
    <x v="1"/>
  </r>
  <r>
    <n v="20605"/>
    <n v="472"/>
    <d v="2023-02-08T00:00:00"/>
    <s v="February"/>
    <n v="2023"/>
    <x v="1"/>
    <n v="41"/>
    <s v="Yes"/>
    <x v="0"/>
  </r>
  <r>
    <n v="20606"/>
    <n v="368"/>
    <d v="2023-12-03T00:00:00"/>
    <s v="December"/>
    <n v="2023"/>
    <x v="0"/>
    <n v="71"/>
    <s v="Yes"/>
    <x v="3"/>
  </r>
  <r>
    <n v="20607"/>
    <n v="146"/>
    <d v="2022-05-21T00:00:00"/>
    <s v="May"/>
    <n v="2022"/>
    <x v="2"/>
    <n v="63"/>
    <s v="Yes"/>
    <x v="1"/>
  </r>
  <r>
    <n v="20608"/>
    <n v="252"/>
    <d v="2022-03-29T00:00:00"/>
    <s v="March"/>
    <n v="2022"/>
    <x v="2"/>
    <n v="69"/>
    <s v="Yes"/>
    <x v="2"/>
  </r>
  <r>
    <n v="20609"/>
    <n v="166"/>
    <d v="2023-03-03T00:00:00"/>
    <s v="March"/>
    <n v="2023"/>
    <x v="0"/>
    <n v="29"/>
    <s v="No"/>
    <x v="4"/>
  </r>
  <r>
    <n v="20610"/>
    <n v="103"/>
    <d v="2022-03-25T00:00:00"/>
    <s v="March"/>
    <n v="2022"/>
    <x v="1"/>
    <n v="44"/>
    <s v="Yes"/>
    <x v="4"/>
  </r>
  <r>
    <n v="20611"/>
    <n v="499"/>
    <d v="2022-08-31T00:00:00"/>
    <s v="August"/>
    <n v="2022"/>
    <x v="2"/>
    <n v="57"/>
    <s v="Yes"/>
    <x v="4"/>
  </r>
  <r>
    <n v="20612"/>
    <n v="488"/>
    <d v="2022-04-16T00:00:00"/>
    <s v="April"/>
    <n v="2022"/>
    <x v="0"/>
    <n v="24"/>
    <s v="Yes"/>
    <x v="2"/>
  </r>
  <r>
    <n v="20613"/>
    <n v="193"/>
    <d v="2023-08-27T00:00:00"/>
    <s v="August"/>
    <n v="2023"/>
    <x v="0"/>
    <n v="19"/>
    <s v="Yes"/>
    <x v="0"/>
  </r>
  <r>
    <n v="20614"/>
    <n v="17"/>
    <d v="2022-12-21T00:00:00"/>
    <s v="December"/>
    <n v="2022"/>
    <x v="1"/>
    <n v="17"/>
    <s v="Yes"/>
    <x v="0"/>
  </r>
  <r>
    <n v="20615"/>
    <n v="90"/>
    <d v="2022-01-21T00:00:00"/>
    <s v="January"/>
    <n v="2022"/>
    <x v="1"/>
    <n v="69"/>
    <s v="Yes"/>
    <x v="1"/>
  </r>
  <r>
    <n v="20616"/>
    <n v="371"/>
    <d v="2022-01-06T00:00:00"/>
    <s v="January"/>
    <n v="2022"/>
    <x v="2"/>
    <n v="61"/>
    <s v="Yes"/>
    <x v="4"/>
  </r>
  <r>
    <n v="20617"/>
    <n v="86"/>
    <d v="2022-08-09T00:00:00"/>
    <s v="August"/>
    <n v="2022"/>
    <x v="2"/>
    <n v="4"/>
    <s v="No"/>
    <x v="4"/>
  </r>
  <r>
    <n v="20618"/>
    <n v="103"/>
    <d v="2024-03-31T00:00:00"/>
    <s v="March"/>
    <n v="2024"/>
    <x v="1"/>
    <n v="22"/>
    <s v="Yes"/>
    <x v="4"/>
  </r>
  <r>
    <n v="20619"/>
    <n v="82"/>
    <d v="2022-03-28T00:00:00"/>
    <s v="March"/>
    <n v="2022"/>
    <x v="2"/>
    <n v="6"/>
    <s v="Yes"/>
    <x v="5"/>
  </r>
  <r>
    <n v="20620"/>
    <n v="126"/>
    <d v="2023-11-23T00:00:00"/>
    <s v="November"/>
    <n v="2023"/>
    <x v="1"/>
    <n v="30"/>
    <s v="Yes"/>
    <x v="5"/>
  </r>
  <r>
    <n v="20621"/>
    <n v="38"/>
    <d v="2023-03-29T00:00:00"/>
    <s v="March"/>
    <n v="2023"/>
    <x v="0"/>
    <n v="11"/>
    <s v="Yes"/>
    <x v="1"/>
  </r>
  <r>
    <n v="20622"/>
    <n v="348"/>
    <d v="2022-12-08T00:00:00"/>
    <s v="December"/>
    <n v="2022"/>
    <x v="0"/>
    <n v="48"/>
    <s v="Yes"/>
    <x v="5"/>
  </r>
  <r>
    <n v="20623"/>
    <n v="213"/>
    <d v="2023-01-28T00:00:00"/>
    <s v="January"/>
    <n v="2023"/>
    <x v="0"/>
    <n v="46"/>
    <s v="Yes"/>
    <x v="2"/>
  </r>
  <r>
    <n v="20624"/>
    <n v="319"/>
    <d v="2022-12-18T00:00:00"/>
    <s v="December"/>
    <n v="2022"/>
    <x v="2"/>
    <n v="27"/>
    <s v="Yes"/>
    <x v="5"/>
  </r>
  <r>
    <n v="20625"/>
    <n v="486"/>
    <d v="2022-09-03T00:00:00"/>
    <s v="September"/>
    <n v="2022"/>
    <x v="1"/>
    <n v="19"/>
    <s v="Yes"/>
    <x v="5"/>
  </r>
  <r>
    <n v="20626"/>
    <n v="225"/>
    <d v="2023-11-17T00:00:00"/>
    <s v="November"/>
    <n v="2023"/>
    <x v="0"/>
    <n v="59"/>
    <s v="Yes"/>
    <x v="2"/>
  </r>
  <r>
    <n v="20627"/>
    <n v="222"/>
    <d v="2022-04-23T00:00:00"/>
    <s v="April"/>
    <n v="2022"/>
    <x v="0"/>
    <n v="68"/>
    <s v="Yes"/>
    <x v="0"/>
  </r>
  <r>
    <n v="20628"/>
    <n v="426"/>
    <d v="2023-08-06T00:00:00"/>
    <s v="August"/>
    <n v="2023"/>
    <x v="2"/>
    <n v="54"/>
    <s v="Yes"/>
    <x v="1"/>
  </r>
  <r>
    <n v="20629"/>
    <n v="247"/>
    <d v="2022-06-07T00:00:00"/>
    <s v="June"/>
    <n v="2022"/>
    <x v="2"/>
    <n v="17"/>
    <s v="Yes"/>
    <x v="5"/>
  </r>
  <r>
    <n v="20630"/>
    <n v="136"/>
    <d v="2024-03-21T00:00:00"/>
    <s v="March"/>
    <n v="2024"/>
    <x v="0"/>
    <n v="50"/>
    <s v="Yes"/>
    <x v="5"/>
  </r>
  <r>
    <n v="20631"/>
    <n v="286"/>
    <d v="2022-08-25T00:00:00"/>
    <s v="August"/>
    <n v="2022"/>
    <x v="2"/>
    <n v="40"/>
    <s v="Yes"/>
    <x v="5"/>
  </r>
  <r>
    <n v="20632"/>
    <n v="231"/>
    <d v="2023-11-30T00:00:00"/>
    <s v="November"/>
    <n v="2023"/>
    <x v="2"/>
    <n v="11"/>
    <s v="No"/>
    <x v="4"/>
  </r>
  <r>
    <n v="20633"/>
    <n v="320"/>
    <d v="2022-08-31T00:00:00"/>
    <s v="August"/>
    <n v="2022"/>
    <x v="2"/>
    <n v="14"/>
    <s v="No"/>
    <x v="2"/>
  </r>
  <r>
    <n v="20634"/>
    <n v="9"/>
    <d v="2022-06-15T00:00:00"/>
    <s v="June"/>
    <n v="2022"/>
    <x v="2"/>
    <n v="13"/>
    <s v="Yes"/>
    <x v="0"/>
  </r>
  <r>
    <n v="20635"/>
    <n v="225"/>
    <d v="2022-02-03T00:00:00"/>
    <s v="February"/>
    <n v="2022"/>
    <x v="1"/>
    <n v="28"/>
    <s v="Yes"/>
    <x v="2"/>
  </r>
  <r>
    <n v="20636"/>
    <n v="313"/>
    <d v="2022-09-12T00:00:00"/>
    <s v="September"/>
    <n v="2022"/>
    <x v="2"/>
    <n v="44"/>
    <s v="Yes"/>
    <x v="5"/>
  </r>
  <r>
    <n v="20637"/>
    <n v="107"/>
    <d v="2022-10-29T00:00:00"/>
    <s v="October"/>
    <n v="2022"/>
    <x v="2"/>
    <n v="63"/>
    <s v="Yes"/>
    <x v="5"/>
  </r>
  <r>
    <n v="20638"/>
    <n v="187"/>
    <d v="2022-08-08T00:00:00"/>
    <s v="August"/>
    <n v="2022"/>
    <x v="1"/>
    <n v="61"/>
    <s v="Yes"/>
    <x v="5"/>
  </r>
  <r>
    <n v="20639"/>
    <n v="221"/>
    <d v="2022-02-01T00:00:00"/>
    <s v="February"/>
    <n v="2022"/>
    <x v="2"/>
    <n v="17"/>
    <s v="No"/>
    <x v="0"/>
  </r>
  <r>
    <n v="20640"/>
    <n v="95"/>
    <d v="2024-02-08T00:00:00"/>
    <s v="February"/>
    <n v="2024"/>
    <x v="2"/>
    <n v="50"/>
    <s v="Yes"/>
    <x v="1"/>
  </r>
  <r>
    <n v="20641"/>
    <n v="195"/>
    <d v="2023-05-24T00:00:00"/>
    <s v="May"/>
    <n v="2023"/>
    <x v="0"/>
    <n v="26"/>
    <s v="Yes"/>
    <x v="2"/>
  </r>
  <r>
    <n v="20642"/>
    <n v="242"/>
    <d v="2023-04-27T00:00:00"/>
    <s v="April"/>
    <n v="2023"/>
    <x v="0"/>
    <n v="7"/>
    <s v="No"/>
    <x v="2"/>
  </r>
  <r>
    <n v="20643"/>
    <n v="230"/>
    <d v="2022-08-21T00:00:00"/>
    <s v="August"/>
    <n v="2022"/>
    <x v="0"/>
    <n v="16"/>
    <s v="Yes"/>
    <x v="5"/>
  </r>
  <r>
    <n v="20644"/>
    <n v="331"/>
    <d v="2022-08-03T00:00:00"/>
    <s v="August"/>
    <n v="2022"/>
    <x v="1"/>
    <n v="17"/>
    <s v="Yes"/>
    <x v="0"/>
  </r>
  <r>
    <n v="20645"/>
    <n v="5"/>
    <d v="2022-08-30T00:00:00"/>
    <s v="August"/>
    <n v="2022"/>
    <x v="2"/>
    <n v="35"/>
    <s v="Yes"/>
    <x v="4"/>
  </r>
  <r>
    <n v="20646"/>
    <n v="351"/>
    <d v="2022-09-02T00:00:00"/>
    <s v="September"/>
    <n v="2022"/>
    <x v="1"/>
    <n v="23"/>
    <s v="Yes"/>
    <x v="0"/>
  </r>
  <r>
    <n v="20647"/>
    <n v="468"/>
    <d v="2022-01-20T00:00:00"/>
    <s v="January"/>
    <n v="2022"/>
    <x v="1"/>
    <n v="69"/>
    <s v="Yes"/>
    <x v="1"/>
  </r>
  <r>
    <n v="20648"/>
    <n v="4"/>
    <d v="2022-07-29T00:00:00"/>
    <s v="July"/>
    <n v="2022"/>
    <x v="2"/>
    <n v="9"/>
    <s v="Yes"/>
    <x v="5"/>
  </r>
  <r>
    <n v="20649"/>
    <n v="264"/>
    <d v="2023-12-23T00:00:00"/>
    <s v="December"/>
    <n v="2023"/>
    <x v="2"/>
    <n v="18"/>
    <s v="Yes"/>
    <x v="0"/>
  </r>
  <r>
    <n v="20650"/>
    <n v="426"/>
    <d v="2023-03-02T00:00:00"/>
    <s v="March"/>
    <n v="2023"/>
    <x v="0"/>
    <n v="48"/>
    <s v="Yes"/>
    <x v="1"/>
  </r>
  <r>
    <n v="20651"/>
    <n v="253"/>
    <d v="2022-03-13T00:00:00"/>
    <s v="March"/>
    <n v="2022"/>
    <x v="2"/>
    <n v="66"/>
    <s v="Yes"/>
    <x v="4"/>
  </r>
  <r>
    <n v="20652"/>
    <n v="163"/>
    <d v="2023-11-05T00:00:00"/>
    <s v="November"/>
    <n v="2023"/>
    <x v="1"/>
    <n v="23"/>
    <s v="Yes"/>
    <x v="2"/>
  </r>
  <r>
    <n v="20653"/>
    <n v="141"/>
    <d v="2022-06-27T00:00:00"/>
    <s v="June"/>
    <n v="2022"/>
    <x v="0"/>
    <n v="10"/>
    <s v="Yes"/>
    <x v="2"/>
  </r>
  <r>
    <n v="20654"/>
    <n v="497"/>
    <d v="2023-06-07T00:00:00"/>
    <s v="June"/>
    <n v="2023"/>
    <x v="1"/>
    <n v="38"/>
    <s v="No"/>
    <x v="3"/>
  </r>
  <r>
    <n v="20655"/>
    <n v="389"/>
    <d v="2024-05-24T00:00:00"/>
    <s v="May"/>
    <n v="2024"/>
    <x v="2"/>
    <n v="59"/>
    <s v="Yes"/>
    <x v="0"/>
  </r>
  <r>
    <n v="20656"/>
    <n v="296"/>
    <d v="2022-10-26T00:00:00"/>
    <s v="October"/>
    <n v="2022"/>
    <x v="0"/>
    <n v="68"/>
    <s v="Yes"/>
    <x v="2"/>
  </r>
  <r>
    <n v="20657"/>
    <n v="19"/>
    <d v="2022-09-23T00:00:00"/>
    <s v="September"/>
    <n v="2022"/>
    <x v="2"/>
    <n v="43"/>
    <s v="Yes"/>
    <x v="3"/>
  </r>
  <r>
    <n v="20658"/>
    <n v="82"/>
    <d v="2023-06-04T00:00:00"/>
    <s v="June"/>
    <n v="2023"/>
    <x v="0"/>
    <n v="12"/>
    <s v="Yes"/>
    <x v="5"/>
  </r>
  <r>
    <n v="20659"/>
    <n v="481"/>
    <d v="2023-05-10T00:00:00"/>
    <s v="May"/>
    <n v="2023"/>
    <x v="0"/>
    <n v="53"/>
    <s v="Yes"/>
    <x v="3"/>
  </r>
  <r>
    <n v="20660"/>
    <n v="381"/>
    <d v="2022-10-02T00:00:00"/>
    <s v="October"/>
    <n v="2022"/>
    <x v="0"/>
    <n v="14"/>
    <s v="Yes"/>
    <x v="2"/>
  </r>
  <r>
    <n v="20661"/>
    <n v="4"/>
    <d v="2023-12-06T00:00:00"/>
    <s v="December"/>
    <n v="2023"/>
    <x v="2"/>
    <n v="52"/>
    <s v="Yes"/>
    <x v="5"/>
  </r>
  <r>
    <n v="20662"/>
    <n v="128"/>
    <d v="2024-04-02T00:00:00"/>
    <s v="April"/>
    <n v="2024"/>
    <x v="0"/>
    <n v="61"/>
    <s v="Yes"/>
    <x v="0"/>
  </r>
  <r>
    <n v="20663"/>
    <n v="187"/>
    <d v="2024-02-10T00:00:00"/>
    <s v="February"/>
    <n v="2024"/>
    <x v="0"/>
    <n v="41"/>
    <s v="Yes"/>
    <x v="5"/>
  </r>
  <r>
    <n v="20664"/>
    <n v="146"/>
    <d v="2022-02-22T00:00:00"/>
    <s v="February"/>
    <n v="2022"/>
    <x v="2"/>
    <n v="21"/>
    <s v="No"/>
    <x v="1"/>
  </r>
  <r>
    <n v="20665"/>
    <n v="494"/>
    <d v="2024-03-22T00:00:00"/>
    <s v="March"/>
    <n v="2024"/>
    <x v="1"/>
    <n v="48"/>
    <s v="Yes"/>
    <x v="5"/>
  </r>
  <r>
    <n v="20666"/>
    <n v="152"/>
    <d v="2023-08-31T00:00:00"/>
    <s v="August"/>
    <n v="2023"/>
    <x v="2"/>
    <n v="56"/>
    <s v="Yes"/>
    <x v="0"/>
  </r>
  <r>
    <n v="20667"/>
    <n v="363"/>
    <d v="2024-03-26T00:00:00"/>
    <s v="March"/>
    <n v="2024"/>
    <x v="2"/>
    <n v="35"/>
    <s v="Yes"/>
    <x v="4"/>
  </r>
  <r>
    <n v="20668"/>
    <n v="93"/>
    <d v="2024-04-01T00:00:00"/>
    <s v="April"/>
    <n v="2024"/>
    <x v="0"/>
    <n v="44"/>
    <s v="Yes"/>
    <x v="0"/>
  </r>
  <r>
    <n v="20669"/>
    <n v="31"/>
    <d v="2023-02-04T00:00:00"/>
    <s v="February"/>
    <n v="2023"/>
    <x v="2"/>
    <n v="39"/>
    <s v="Yes"/>
    <x v="5"/>
  </r>
  <r>
    <n v="20670"/>
    <n v="314"/>
    <d v="2023-02-18T00:00:00"/>
    <s v="February"/>
    <n v="2023"/>
    <x v="2"/>
    <n v="15"/>
    <s v="Yes"/>
    <x v="5"/>
  </r>
  <r>
    <n v="20671"/>
    <n v="28"/>
    <d v="2023-08-27T00:00:00"/>
    <s v="August"/>
    <n v="2023"/>
    <x v="2"/>
    <n v="12"/>
    <s v="No"/>
    <x v="4"/>
  </r>
  <r>
    <n v="20672"/>
    <n v="137"/>
    <d v="2023-10-18T00:00:00"/>
    <s v="October"/>
    <n v="2023"/>
    <x v="0"/>
    <n v="8"/>
    <s v="Yes"/>
    <x v="4"/>
  </r>
  <r>
    <n v="20673"/>
    <n v="429"/>
    <d v="2023-05-04T00:00:00"/>
    <s v="May"/>
    <n v="2023"/>
    <x v="2"/>
    <n v="67"/>
    <s v="No"/>
    <x v="2"/>
  </r>
  <r>
    <n v="20674"/>
    <n v="90"/>
    <d v="2023-05-17T00:00:00"/>
    <s v="May"/>
    <n v="2023"/>
    <x v="0"/>
    <n v="1"/>
    <s v="Yes"/>
    <x v="1"/>
  </r>
  <r>
    <n v="20675"/>
    <n v="49"/>
    <d v="2022-11-03T00:00:00"/>
    <s v="November"/>
    <n v="2022"/>
    <x v="2"/>
    <n v="42"/>
    <s v="Yes"/>
    <x v="5"/>
  </r>
  <r>
    <n v="20676"/>
    <n v="367"/>
    <d v="2023-02-21T00:00:00"/>
    <s v="February"/>
    <n v="2023"/>
    <x v="0"/>
    <n v="31"/>
    <s v="Yes"/>
    <x v="3"/>
  </r>
  <r>
    <n v="20677"/>
    <n v="258"/>
    <d v="2023-05-24T00:00:00"/>
    <s v="May"/>
    <n v="2023"/>
    <x v="0"/>
    <n v="30"/>
    <s v="Yes"/>
    <x v="0"/>
  </r>
  <r>
    <n v="20678"/>
    <n v="6"/>
    <d v="2023-06-14T00:00:00"/>
    <s v="June"/>
    <n v="2023"/>
    <x v="2"/>
    <n v="43"/>
    <s v="Yes"/>
    <x v="0"/>
  </r>
  <r>
    <n v="20679"/>
    <n v="29"/>
    <d v="2023-09-30T00:00:00"/>
    <s v="September"/>
    <n v="2023"/>
    <x v="1"/>
    <n v="26"/>
    <s v="Yes"/>
    <x v="3"/>
  </r>
  <r>
    <n v="20680"/>
    <n v="410"/>
    <d v="2023-10-28T00:00:00"/>
    <s v="October"/>
    <n v="2023"/>
    <x v="2"/>
    <n v="12"/>
    <s v="Yes"/>
    <x v="0"/>
  </r>
  <r>
    <n v="20681"/>
    <n v="156"/>
    <d v="2022-01-06T00:00:00"/>
    <s v="January"/>
    <n v="2022"/>
    <x v="1"/>
    <n v="59"/>
    <s v="Yes"/>
    <x v="4"/>
  </r>
  <r>
    <n v="20682"/>
    <n v="263"/>
    <d v="2023-02-26T00:00:00"/>
    <s v="February"/>
    <n v="2023"/>
    <x v="0"/>
    <n v="69"/>
    <s v="Yes"/>
    <x v="5"/>
  </r>
  <r>
    <n v="20683"/>
    <n v="34"/>
    <d v="2023-03-27T00:00:00"/>
    <s v="March"/>
    <n v="2023"/>
    <x v="1"/>
    <n v="11"/>
    <s v="Yes"/>
    <x v="2"/>
  </r>
  <r>
    <n v="20684"/>
    <n v="440"/>
    <d v="2023-03-03T00:00:00"/>
    <s v="March"/>
    <n v="2023"/>
    <x v="1"/>
    <n v="47"/>
    <s v="Yes"/>
    <x v="1"/>
  </r>
  <r>
    <n v="20685"/>
    <n v="237"/>
    <d v="2023-01-25T00:00:00"/>
    <s v="January"/>
    <n v="2023"/>
    <x v="0"/>
    <n v="23"/>
    <s v="Yes"/>
    <x v="5"/>
  </r>
  <r>
    <n v="20686"/>
    <n v="138"/>
    <d v="2022-11-30T00:00:00"/>
    <s v="November"/>
    <n v="2022"/>
    <x v="1"/>
    <n v="43"/>
    <s v="Yes"/>
    <x v="4"/>
  </r>
  <r>
    <n v="20687"/>
    <n v="368"/>
    <d v="2023-03-24T00:00:00"/>
    <s v="March"/>
    <n v="2023"/>
    <x v="2"/>
    <n v="39"/>
    <s v="Yes"/>
    <x v="3"/>
  </r>
  <r>
    <n v="20688"/>
    <n v="489"/>
    <d v="2022-12-04T00:00:00"/>
    <s v="December"/>
    <n v="2022"/>
    <x v="1"/>
    <n v="55"/>
    <s v="Yes"/>
    <x v="5"/>
  </r>
  <r>
    <n v="20689"/>
    <n v="488"/>
    <d v="2024-04-27T00:00:00"/>
    <s v="April"/>
    <n v="2024"/>
    <x v="0"/>
    <n v="18"/>
    <s v="Yes"/>
    <x v="2"/>
  </r>
  <r>
    <n v="20690"/>
    <n v="57"/>
    <d v="2022-03-29T00:00:00"/>
    <s v="March"/>
    <n v="2022"/>
    <x v="1"/>
    <n v="42"/>
    <s v="Yes"/>
    <x v="4"/>
  </r>
  <r>
    <n v="20691"/>
    <n v="175"/>
    <d v="2022-09-26T00:00:00"/>
    <s v="September"/>
    <n v="2022"/>
    <x v="0"/>
    <n v="26"/>
    <s v="Yes"/>
    <x v="3"/>
  </r>
  <r>
    <n v="20692"/>
    <n v="214"/>
    <d v="2022-03-06T00:00:00"/>
    <s v="March"/>
    <n v="2022"/>
    <x v="0"/>
    <n v="18"/>
    <s v="Yes"/>
    <x v="5"/>
  </r>
  <r>
    <n v="20693"/>
    <n v="27"/>
    <d v="2023-11-09T00:00:00"/>
    <s v="November"/>
    <n v="2023"/>
    <x v="2"/>
    <n v="41"/>
    <s v="Yes"/>
    <x v="4"/>
  </r>
  <r>
    <n v="20694"/>
    <n v="295"/>
    <d v="2022-03-05T00:00:00"/>
    <s v="March"/>
    <n v="2022"/>
    <x v="0"/>
    <n v="42"/>
    <s v="Yes"/>
    <x v="4"/>
  </r>
  <r>
    <n v="20695"/>
    <n v="406"/>
    <d v="2022-09-27T00:00:00"/>
    <s v="September"/>
    <n v="2022"/>
    <x v="1"/>
    <n v="33"/>
    <s v="Yes"/>
    <x v="2"/>
  </r>
  <r>
    <n v="20696"/>
    <n v="119"/>
    <d v="2023-10-19T00:00:00"/>
    <s v="October"/>
    <n v="2023"/>
    <x v="2"/>
    <n v="43"/>
    <s v="Yes"/>
    <x v="3"/>
  </r>
  <r>
    <n v="20697"/>
    <n v="147"/>
    <d v="2023-01-12T00:00:00"/>
    <s v="January"/>
    <n v="2023"/>
    <x v="2"/>
    <n v="14"/>
    <s v="Yes"/>
    <x v="0"/>
  </r>
  <r>
    <n v="20698"/>
    <n v="356"/>
    <d v="2024-04-24T00:00:00"/>
    <s v="April"/>
    <n v="2024"/>
    <x v="1"/>
    <n v="55"/>
    <s v="Yes"/>
    <x v="0"/>
  </r>
  <r>
    <n v="20699"/>
    <n v="265"/>
    <d v="2024-02-20T00:00:00"/>
    <s v="February"/>
    <n v="2024"/>
    <x v="1"/>
    <n v="58"/>
    <s v="Yes"/>
    <x v="4"/>
  </r>
  <r>
    <n v="20700"/>
    <n v="403"/>
    <d v="2022-11-25T00:00:00"/>
    <s v="November"/>
    <n v="2022"/>
    <x v="2"/>
    <n v="10"/>
    <s v="Yes"/>
    <x v="4"/>
  </r>
  <r>
    <n v="20701"/>
    <n v="258"/>
    <d v="2023-06-02T00:00:00"/>
    <s v="June"/>
    <n v="2023"/>
    <x v="0"/>
    <n v="28"/>
    <s v="Yes"/>
    <x v="0"/>
  </r>
  <r>
    <n v="20702"/>
    <n v="348"/>
    <d v="2023-09-25T00:00:00"/>
    <s v="September"/>
    <n v="2023"/>
    <x v="2"/>
    <n v="14"/>
    <s v="Yes"/>
    <x v="5"/>
  </r>
  <r>
    <n v="20703"/>
    <n v="189"/>
    <d v="2024-05-11T00:00:00"/>
    <s v="May"/>
    <n v="2024"/>
    <x v="2"/>
    <n v="26"/>
    <s v="Yes"/>
    <x v="4"/>
  </r>
  <r>
    <n v="20704"/>
    <n v="315"/>
    <d v="2023-02-25T00:00:00"/>
    <s v="February"/>
    <n v="2023"/>
    <x v="2"/>
    <n v="17"/>
    <s v="Yes"/>
    <x v="3"/>
  </r>
  <r>
    <n v="20705"/>
    <n v="231"/>
    <d v="2022-11-09T00:00:00"/>
    <s v="November"/>
    <n v="2022"/>
    <x v="0"/>
    <n v="34"/>
    <s v="Yes"/>
    <x v="4"/>
  </r>
  <r>
    <n v="20706"/>
    <n v="470"/>
    <d v="2022-11-05T00:00:00"/>
    <s v="November"/>
    <n v="2022"/>
    <x v="1"/>
    <n v="14"/>
    <s v="Yes"/>
    <x v="2"/>
  </r>
  <r>
    <n v="20707"/>
    <n v="499"/>
    <d v="2024-03-24T00:00:00"/>
    <s v="March"/>
    <n v="2024"/>
    <x v="1"/>
    <n v="26"/>
    <s v="Yes"/>
    <x v="4"/>
  </r>
  <r>
    <n v="20708"/>
    <n v="198"/>
    <d v="2024-04-25T00:00:00"/>
    <s v="April"/>
    <n v="2024"/>
    <x v="1"/>
    <n v="34"/>
    <s v="Yes"/>
    <x v="3"/>
  </r>
  <r>
    <n v="20709"/>
    <n v="239"/>
    <d v="2023-10-06T00:00:00"/>
    <s v="October"/>
    <n v="2023"/>
    <x v="0"/>
    <n v="24"/>
    <s v="Yes"/>
    <x v="2"/>
  </r>
  <r>
    <n v="20710"/>
    <n v="327"/>
    <d v="2024-03-12T00:00:00"/>
    <s v="March"/>
    <n v="2024"/>
    <x v="0"/>
    <n v="70"/>
    <s v="Yes"/>
    <x v="4"/>
  </r>
  <r>
    <n v="20711"/>
    <n v="70"/>
    <d v="2022-07-08T00:00:00"/>
    <s v="July"/>
    <n v="2022"/>
    <x v="1"/>
    <n v="20"/>
    <s v="Yes"/>
    <x v="5"/>
  </r>
  <r>
    <n v="20712"/>
    <n v="417"/>
    <d v="2023-12-22T00:00:00"/>
    <s v="December"/>
    <n v="2023"/>
    <x v="1"/>
    <n v="39"/>
    <s v="Yes"/>
    <x v="0"/>
  </r>
  <r>
    <n v="20713"/>
    <n v="252"/>
    <d v="2022-02-11T00:00:00"/>
    <s v="February"/>
    <n v="2022"/>
    <x v="1"/>
    <n v="45"/>
    <s v="Yes"/>
    <x v="2"/>
  </r>
  <r>
    <n v="20714"/>
    <n v="462"/>
    <d v="2023-08-13T00:00:00"/>
    <s v="August"/>
    <n v="2023"/>
    <x v="1"/>
    <n v="34"/>
    <s v="Yes"/>
    <x v="2"/>
  </r>
  <r>
    <n v="20715"/>
    <n v="193"/>
    <d v="2022-11-16T00:00:00"/>
    <s v="November"/>
    <n v="2022"/>
    <x v="0"/>
    <n v="22"/>
    <s v="Yes"/>
    <x v="0"/>
  </r>
  <r>
    <n v="20716"/>
    <n v="25"/>
    <d v="2023-10-19T00:00:00"/>
    <s v="October"/>
    <n v="2023"/>
    <x v="1"/>
    <n v="71"/>
    <s v="Yes"/>
    <x v="4"/>
  </r>
  <r>
    <n v="20717"/>
    <n v="70"/>
    <d v="2023-03-21T00:00:00"/>
    <s v="March"/>
    <n v="2023"/>
    <x v="2"/>
    <n v="33"/>
    <s v="Yes"/>
    <x v="5"/>
  </r>
  <r>
    <n v="20718"/>
    <n v="156"/>
    <d v="2023-01-09T00:00:00"/>
    <s v="January"/>
    <n v="2023"/>
    <x v="1"/>
    <n v="6"/>
    <s v="Yes"/>
    <x v="4"/>
  </r>
  <r>
    <n v="20719"/>
    <n v="146"/>
    <d v="2022-10-13T00:00:00"/>
    <s v="October"/>
    <n v="2022"/>
    <x v="0"/>
    <n v="16"/>
    <s v="Yes"/>
    <x v="1"/>
  </r>
  <r>
    <n v="20720"/>
    <n v="319"/>
    <d v="2022-06-20T00:00:00"/>
    <s v="June"/>
    <n v="2022"/>
    <x v="2"/>
    <n v="23"/>
    <s v="Yes"/>
    <x v="5"/>
  </r>
  <r>
    <n v="20721"/>
    <n v="219"/>
    <d v="2023-08-28T00:00:00"/>
    <s v="August"/>
    <n v="2023"/>
    <x v="2"/>
    <n v="18"/>
    <s v="Yes"/>
    <x v="0"/>
  </r>
  <r>
    <n v="20722"/>
    <n v="49"/>
    <d v="2022-09-20T00:00:00"/>
    <s v="September"/>
    <n v="2022"/>
    <x v="2"/>
    <n v="14"/>
    <s v="No"/>
    <x v="5"/>
  </r>
  <r>
    <n v="20723"/>
    <n v="379"/>
    <d v="2023-06-19T00:00:00"/>
    <s v="June"/>
    <n v="2023"/>
    <x v="0"/>
    <n v="50"/>
    <s v="Yes"/>
    <x v="3"/>
  </r>
  <r>
    <n v="20724"/>
    <n v="380"/>
    <d v="2024-03-14T00:00:00"/>
    <s v="March"/>
    <n v="2024"/>
    <x v="1"/>
    <n v="61"/>
    <s v="Yes"/>
    <x v="4"/>
  </r>
  <r>
    <n v="20725"/>
    <n v="194"/>
    <d v="2022-05-22T00:00:00"/>
    <s v="May"/>
    <n v="2022"/>
    <x v="0"/>
    <n v="36"/>
    <s v="Yes"/>
    <x v="2"/>
  </r>
  <r>
    <n v="20726"/>
    <n v="40"/>
    <d v="2022-05-28T00:00:00"/>
    <s v="May"/>
    <n v="2022"/>
    <x v="0"/>
    <n v="15"/>
    <s v="Yes"/>
    <x v="5"/>
  </r>
  <r>
    <n v="20727"/>
    <n v="85"/>
    <d v="2023-03-16T00:00:00"/>
    <s v="March"/>
    <n v="2023"/>
    <x v="2"/>
    <n v="5"/>
    <s v="Yes"/>
    <x v="2"/>
  </r>
  <r>
    <n v="20728"/>
    <n v="343"/>
    <d v="2023-09-20T00:00:00"/>
    <s v="September"/>
    <n v="2023"/>
    <x v="2"/>
    <n v="53"/>
    <s v="Yes"/>
    <x v="4"/>
  </r>
  <r>
    <n v="20729"/>
    <n v="450"/>
    <d v="2023-08-16T00:00:00"/>
    <s v="August"/>
    <n v="2023"/>
    <x v="0"/>
    <n v="48"/>
    <s v="Yes"/>
    <x v="1"/>
  </r>
  <r>
    <n v="20730"/>
    <n v="336"/>
    <d v="2023-02-20T00:00:00"/>
    <s v="February"/>
    <n v="2023"/>
    <x v="2"/>
    <n v="11"/>
    <s v="No"/>
    <x v="0"/>
  </r>
  <r>
    <n v="20731"/>
    <n v="4"/>
    <d v="2022-01-25T00:00:00"/>
    <s v="January"/>
    <n v="2022"/>
    <x v="0"/>
    <n v="2"/>
    <s v="Yes"/>
    <x v="5"/>
  </r>
  <r>
    <n v="20732"/>
    <n v="290"/>
    <d v="2023-09-19T00:00:00"/>
    <s v="September"/>
    <n v="2023"/>
    <x v="2"/>
    <n v="24"/>
    <s v="Yes"/>
    <x v="1"/>
  </r>
  <r>
    <n v="20733"/>
    <n v="247"/>
    <d v="2022-04-04T00:00:00"/>
    <s v="April"/>
    <n v="2022"/>
    <x v="1"/>
    <n v="68"/>
    <s v="Yes"/>
    <x v="5"/>
  </r>
  <r>
    <n v="20734"/>
    <n v="5"/>
    <d v="2022-11-01T00:00:00"/>
    <s v="November"/>
    <n v="2022"/>
    <x v="1"/>
    <n v="12"/>
    <s v="Yes"/>
    <x v="4"/>
  </r>
  <r>
    <n v="20735"/>
    <n v="497"/>
    <d v="2022-07-04T00:00:00"/>
    <s v="July"/>
    <n v="2022"/>
    <x v="1"/>
    <n v="59"/>
    <s v="Yes"/>
    <x v="3"/>
  </r>
  <r>
    <n v="20736"/>
    <n v="226"/>
    <d v="2022-10-10T00:00:00"/>
    <s v="October"/>
    <n v="2022"/>
    <x v="2"/>
    <n v="67"/>
    <s v="Yes"/>
    <x v="5"/>
  </r>
  <r>
    <n v="20737"/>
    <n v="150"/>
    <d v="2022-06-04T00:00:00"/>
    <s v="June"/>
    <n v="2022"/>
    <x v="2"/>
    <n v="32"/>
    <s v="No"/>
    <x v="0"/>
  </r>
  <r>
    <n v="20738"/>
    <n v="238"/>
    <d v="2023-11-17T00:00:00"/>
    <s v="November"/>
    <n v="2023"/>
    <x v="1"/>
    <n v="36"/>
    <s v="No"/>
    <x v="1"/>
  </r>
  <r>
    <n v="20739"/>
    <n v="148"/>
    <d v="2024-05-12T00:00:00"/>
    <s v="May"/>
    <n v="2024"/>
    <x v="0"/>
    <n v="21"/>
    <s v="Yes"/>
    <x v="3"/>
  </r>
  <r>
    <n v="20740"/>
    <n v="103"/>
    <d v="2023-11-16T00:00:00"/>
    <s v="November"/>
    <n v="2023"/>
    <x v="0"/>
    <n v="70"/>
    <s v="Yes"/>
    <x v="4"/>
  </r>
  <r>
    <n v="20741"/>
    <n v="175"/>
    <d v="2023-10-28T00:00:00"/>
    <s v="October"/>
    <n v="2023"/>
    <x v="1"/>
    <n v="66"/>
    <s v="Yes"/>
    <x v="3"/>
  </r>
  <r>
    <n v="20742"/>
    <n v="498"/>
    <d v="2022-01-14T00:00:00"/>
    <s v="January"/>
    <n v="2022"/>
    <x v="2"/>
    <n v="9"/>
    <s v="Yes"/>
    <x v="4"/>
  </r>
  <r>
    <n v="20743"/>
    <n v="461"/>
    <d v="2024-06-08T00:00:00"/>
    <s v="June"/>
    <n v="2024"/>
    <x v="0"/>
    <n v="44"/>
    <s v="Yes"/>
    <x v="5"/>
  </r>
  <r>
    <n v="20744"/>
    <n v="236"/>
    <d v="2024-03-26T00:00:00"/>
    <s v="March"/>
    <n v="2024"/>
    <x v="0"/>
    <n v="59"/>
    <s v="Yes"/>
    <x v="3"/>
  </r>
  <r>
    <n v="20745"/>
    <n v="34"/>
    <d v="2023-10-02T00:00:00"/>
    <s v="October"/>
    <n v="2023"/>
    <x v="0"/>
    <n v="24"/>
    <s v="Yes"/>
    <x v="2"/>
  </r>
  <r>
    <n v="20746"/>
    <n v="172"/>
    <d v="2022-12-07T00:00:00"/>
    <s v="December"/>
    <n v="2022"/>
    <x v="2"/>
    <n v="63"/>
    <s v="Yes"/>
    <x v="5"/>
  </r>
  <r>
    <n v="20747"/>
    <n v="6"/>
    <d v="2023-08-27T00:00:00"/>
    <s v="August"/>
    <n v="2023"/>
    <x v="0"/>
    <n v="41"/>
    <s v="Yes"/>
    <x v="0"/>
  </r>
  <r>
    <n v="20748"/>
    <n v="440"/>
    <d v="2024-02-22T00:00:00"/>
    <s v="February"/>
    <n v="2024"/>
    <x v="0"/>
    <n v="2"/>
    <s v="Yes"/>
    <x v="1"/>
  </r>
  <r>
    <n v="20749"/>
    <n v="285"/>
    <d v="2024-01-04T00:00:00"/>
    <s v="January"/>
    <n v="2024"/>
    <x v="1"/>
    <n v="28"/>
    <s v="Yes"/>
    <x v="2"/>
  </r>
  <r>
    <n v="20750"/>
    <n v="225"/>
    <d v="2023-04-18T00:00:00"/>
    <s v="April"/>
    <n v="2023"/>
    <x v="2"/>
    <n v="16"/>
    <s v="Yes"/>
    <x v="2"/>
  </r>
  <r>
    <n v="20751"/>
    <n v="53"/>
    <d v="2024-03-29T00:00:00"/>
    <s v="March"/>
    <n v="2024"/>
    <x v="1"/>
    <n v="59"/>
    <s v="Yes"/>
    <x v="1"/>
  </r>
  <r>
    <n v="20752"/>
    <n v="257"/>
    <d v="2024-04-01T00:00:00"/>
    <s v="April"/>
    <n v="2024"/>
    <x v="0"/>
    <n v="1"/>
    <s v="No"/>
    <x v="3"/>
  </r>
  <r>
    <n v="20753"/>
    <n v="495"/>
    <d v="2022-04-18T00:00:00"/>
    <s v="April"/>
    <n v="2022"/>
    <x v="2"/>
    <n v="1"/>
    <s v="Yes"/>
    <x v="1"/>
  </r>
  <r>
    <n v="20754"/>
    <n v="59"/>
    <d v="2022-11-27T00:00:00"/>
    <s v="November"/>
    <n v="2022"/>
    <x v="2"/>
    <n v="31"/>
    <s v="Yes"/>
    <x v="0"/>
  </r>
  <r>
    <n v="20755"/>
    <n v="432"/>
    <d v="2023-06-24T00:00:00"/>
    <s v="June"/>
    <n v="2023"/>
    <x v="1"/>
    <n v="22"/>
    <s v="No"/>
    <x v="1"/>
  </r>
  <r>
    <n v="20756"/>
    <n v="246"/>
    <d v="2023-03-15T00:00:00"/>
    <s v="March"/>
    <n v="2023"/>
    <x v="1"/>
    <n v="59"/>
    <s v="Yes"/>
    <x v="0"/>
  </r>
  <r>
    <n v="20757"/>
    <n v="7"/>
    <d v="2023-12-10T00:00:00"/>
    <s v="December"/>
    <n v="2023"/>
    <x v="2"/>
    <n v="28"/>
    <s v="Yes"/>
    <x v="0"/>
  </r>
  <r>
    <n v="20758"/>
    <n v="214"/>
    <d v="2023-12-13T00:00:00"/>
    <s v="December"/>
    <n v="2023"/>
    <x v="2"/>
    <n v="27"/>
    <s v="Yes"/>
    <x v="5"/>
  </r>
  <r>
    <n v="20759"/>
    <n v="416"/>
    <d v="2023-10-28T00:00:00"/>
    <s v="October"/>
    <n v="2023"/>
    <x v="1"/>
    <n v="1"/>
    <s v="Yes"/>
    <x v="0"/>
  </r>
  <r>
    <n v="20760"/>
    <n v="78"/>
    <d v="2023-01-19T00:00:00"/>
    <s v="January"/>
    <n v="2023"/>
    <x v="0"/>
    <n v="2"/>
    <s v="Yes"/>
    <x v="3"/>
  </r>
  <r>
    <n v="20761"/>
    <n v="189"/>
    <d v="2023-08-05T00:00:00"/>
    <s v="August"/>
    <n v="2023"/>
    <x v="2"/>
    <n v="66"/>
    <s v="Yes"/>
    <x v="4"/>
  </r>
  <r>
    <n v="20762"/>
    <n v="441"/>
    <d v="2022-06-09T00:00:00"/>
    <s v="June"/>
    <n v="2022"/>
    <x v="0"/>
    <n v="49"/>
    <s v="Yes"/>
    <x v="3"/>
  </r>
  <r>
    <n v="20763"/>
    <n v="307"/>
    <d v="2023-03-08T00:00:00"/>
    <s v="March"/>
    <n v="2023"/>
    <x v="1"/>
    <n v="19"/>
    <s v="Yes"/>
    <x v="4"/>
  </r>
  <r>
    <n v="20764"/>
    <n v="216"/>
    <d v="2024-05-13T00:00:00"/>
    <s v="May"/>
    <n v="2024"/>
    <x v="2"/>
    <n v="28"/>
    <s v="Yes"/>
    <x v="5"/>
  </r>
  <r>
    <n v="20765"/>
    <n v="403"/>
    <d v="2023-01-31T00:00:00"/>
    <s v="January"/>
    <n v="2023"/>
    <x v="1"/>
    <n v="70"/>
    <s v="Yes"/>
    <x v="4"/>
  </r>
  <r>
    <n v="20766"/>
    <n v="283"/>
    <d v="2023-09-07T00:00:00"/>
    <s v="September"/>
    <n v="2023"/>
    <x v="2"/>
    <n v="39"/>
    <s v="Yes"/>
    <x v="2"/>
  </r>
  <r>
    <n v="20767"/>
    <n v="319"/>
    <d v="2023-05-03T00:00:00"/>
    <s v="May"/>
    <n v="2023"/>
    <x v="2"/>
    <n v="19"/>
    <s v="Yes"/>
    <x v="5"/>
  </r>
  <r>
    <n v="20768"/>
    <n v="444"/>
    <d v="2024-01-18T00:00:00"/>
    <s v="January"/>
    <n v="2024"/>
    <x v="1"/>
    <n v="64"/>
    <s v="Yes"/>
    <x v="5"/>
  </r>
  <r>
    <n v="20769"/>
    <n v="61"/>
    <d v="2022-07-08T00:00:00"/>
    <s v="July"/>
    <n v="2022"/>
    <x v="1"/>
    <n v="58"/>
    <s v="Yes"/>
    <x v="2"/>
  </r>
  <r>
    <n v="20770"/>
    <n v="61"/>
    <d v="2023-02-22T00:00:00"/>
    <s v="February"/>
    <n v="2023"/>
    <x v="0"/>
    <n v="17"/>
    <s v="Yes"/>
    <x v="2"/>
  </r>
  <r>
    <n v="20771"/>
    <n v="215"/>
    <d v="2022-12-09T00:00:00"/>
    <s v="December"/>
    <n v="2022"/>
    <x v="1"/>
    <n v="70"/>
    <s v="No"/>
    <x v="0"/>
  </r>
  <r>
    <n v="20772"/>
    <n v="382"/>
    <d v="2022-12-27T00:00:00"/>
    <s v="December"/>
    <n v="2022"/>
    <x v="1"/>
    <n v="41"/>
    <s v="Yes"/>
    <x v="4"/>
  </r>
  <r>
    <n v="20773"/>
    <n v="45"/>
    <d v="2022-04-19T00:00:00"/>
    <s v="April"/>
    <n v="2022"/>
    <x v="0"/>
    <n v="5"/>
    <s v="No"/>
    <x v="0"/>
  </r>
  <r>
    <n v="20774"/>
    <n v="405"/>
    <d v="2024-04-28T00:00:00"/>
    <s v="April"/>
    <n v="2024"/>
    <x v="1"/>
    <n v="23"/>
    <s v="Yes"/>
    <x v="5"/>
  </r>
  <r>
    <n v="20775"/>
    <n v="172"/>
    <d v="2022-10-28T00:00:00"/>
    <s v="October"/>
    <n v="2022"/>
    <x v="0"/>
    <n v="69"/>
    <s v="Yes"/>
    <x v="5"/>
  </r>
  <r>
    <n v="20776"/>
    <n v="221"/>
    <d v="2023-01-03T00:00:00"/>
    <s v="January"/>
    <n v="2023"/>
    <x v="0"/>
    <n v="10"/>
    <s v="Yes"/>
    <x v="0"/>
  </r>
  <r>
    <n v="20777"/>
    <n v="385"/>
    <d v="2022-09-12T00:00:00"/>
    <s v="September"/>
    <n v="2022"/>
    <x v="1"/>
    <n v="68"/>
    <s v="Yes"/>
    <x v="2"/>
  </r>
  <r>
    <n v="20778"/>
    <n v="95"/>
    <d v="2022-11-12T00:00:00"/>
    <s v="November"/>
    <n v="2022"/>
    <x v="0"/>
    <n v="12"/>
    <s v="Yes"/>
    <x v="1"/>
  </r>
  <r>
    <n v="20779"/>
    <n v="347"/>
    <d v="2023-12-06T00:00:00"/>
    <s v="December"/>
    <n v="2023"/>
    <x v="0"/>
    <n v="10"/>
    <s v="Yes"/>
    <x v="1"/>
  </r>
  <r>
    <n v="20780"/>
    <n v="44"/>
    <d v="2022-03-12T00:00:00"/>
    <s v="March"/>
    <n v="2022"/>
    <x v="0"/>
    <n v="60"/>
    <s v="Yes"/>
    <x v="1"/>
  </r>
  <r>
    <n v="20781"/>
    <n v="228"/>
    <d v="2022-09-26T00:00:00"/>
    <s v="September"/>
    <n v="2022"/>
    <x v="1"/>
    <n v="30"/>
    <s v="Yes"/>
    <x v="2"/>
  </r>
  <r>
    <n v="20782"/>
    <n v="62"/>
    <d v="2024-04-25T00:00:00"/>
    <s v="April"/>
    <n v="2024"/>
    <x v="1"/>
    <n v="24"/>
    <s v="Yes"/>
    <x v="4"/>
  </r>
  <r>
    <n v="20783"/>
    <n v="317"/>
    <d v="2023-05-16T00:00:00"/>
    <s v="May"/>
    <n v="2023"/>
    <x v="0"/>
    <n v="69"/>
    <s v="No"/>
    <x v="4"/>
  </r>
  <r>
    <n v="20784"/>
    <n v="219"/>
    <d v="2022-07-28T00:00:00"/>
    <s v="July"/>
    <n v="2022"/>
    <x v="1"/>
    <n v="13"/>
    <s v="Yes"/>
    <x v="0"/>
  </r>
  <r>
    <n v="20785"/>
    <n v="335"/>
    <d v="2023-04-23T00:00:00"/>
    <s v="April"/>
    <n v="2023"/>
    <x v="2"/>
    <n v="9"/>
    <s v="Yes"/>
    <x v="3"/>
  </r>
  <r>
    <n v="20786"/>
    <n v="89"/>
    <d v="2022-06-25T00:00:00"/>
    <s v="June"/>
    <n v="2022"/>
    <x v="0"/>
    <n v="18"/>
    <s v="Yes"/>
    <x v="4"/>
  </r>
  <r>
    <n v="20787"/>
    <n v="112"/>
    <d v="2022-08-27T00:00:00"/>
    <s v="August"/>
    <n v="2022"/>
    <x v="2"/>
    <n v="35"/>
    <s v="Yes"/>
    <x v="5"/>
  </r>
  <r>
    <n v="20788"/>
    <n v="207"/>
    <d v="2024-06-11T00:00:00"/>
    <s v="June"/>
    <n v="2024"/>
    <x v="1"/>
    <n v="4"/>
    <s v="Yes"/>
    <x v="1"/>
  </r>
  <r>
    <n v="20789"/>
    <n v="488"/>
    <d v="2023-09-02T00:00:00"/>
    <s v="September"/>
    <n v="2023"/>
    <x v="2"/>
    <n v="41"/>
    <s v="Yes"/>
    <x v="2"/>
  </r>
  <r>
    <n v="20790"/>
    <n v="467"/>
    <d v="2024-05-08T00:00:00"/>
    <s v="May"/>
    <n v="2024"/>
    <x v="1"/>
    <n v="26"/>
    <s v="Yes"/>
    <x v="2"/>
  </r>
  <r>
    <n v="20791"/>
    <n v="367"/>
    <d v="2023-03-18T00:00:00"/>
    <s v="March"/>
    <n v="2023"/>
    <x v="1"/>
    <n v="44"/>
    <s v="No"/>
    <x v="3"/>
  </r>
  <r>
    <n v="20792"/>
    <n v="306"/>
    <d v="2023-08-24T00:00:00"/>
    <s v="August"/>
    <n v="2023"/>
    <x v="0"/>
    <n v="42"/>
    <s v="Yes"/>
    <x v="0"/>
  </r>
  <r>
    <n v="20793"/>
    <n v="203"/>
    <d v="2024-02-03T00:00:00"/>
    <s v="February"/>
    <n v="2024"/>
    <x v="2"/>
    <n v="10"/>
    <s v="Yes"/>
    <x v="1"/>
  </r>
  <r>
    <n v="20794"/>
    <n v="297"/>
    <d v="2023-05-07T00:00:00"/>
    <s v="May"/>
    <n v="2023"/>
    <x v="0"/>
    <n v="1"/>
    <s v="No"/>
    <x v="5"/>
  </r>
  <r>
    <n v="20795"/>
    <n v="33"/>
    <d v="2022-04-09T00:00:00"/>
    <s v="April"/>
    <n v="2022"/>
    <x v="2"/>
    <n v="54"/>
    <s v="Yes"/>
    <x v="3"/>
  </r>
  <r>
    <n v="20796"/>
    <n v="489"/>
    <d v="2022-11-25T00:00:00"/>
    <s v="November"/>
    <n v="2022"/>
    <x v="1"/>
    <n v="16"/>
    <s v="Yes"/>
    <x v="5"/>
  </r>
  <r>
    <n v="20797"/>
    <n v="215"/>
    <d v="2022-11-22T00:00:00"/>
    <s v="November"/>
    <n v="2022"/>
    <x v="1"/>
    <n v="46"/>
    <s v="Yes"/>
    <x v="0"/>
  </r>
  <r>
    <n v="20798"/>
    <n v="12"/>
    <d v="2023-03-21T00:00:00"/>
    <s v="March"/>
    <n v="2023"/>
    <x v="0"/>
    <n v="13"/>
    <s v="Yes"/>
    <x v="3"/>
  </r>
  <r>
    <n v="20799"/>
    <n v="2"/>
    <d v="2023-10-28T00:00:00"/>
    <s v="October"/>
    <n v="2023"/>
    <x v="2"/>
    <n v="64"/>
    <s v="Yes"/>
    <x v="5"/>
  </r>
  <r>
    <n v="20800"/>
    <n v="363"/>
    <d v="2022-10-22T00:00:00"/>
    <s v="October"/>
    <n v="2022"/>
    <x v="2"/>
    <n v="55"/>
    <s v="Yes"/>
    <x v="4"/>
  </r>
  <r>
    <n v="20801"/>
    <n v="149"/>
    <d v="2023-03-18T00:00:00"/>
    <s v="March"/>
    <n v="2023"/>
    <x v="1"/>
    <n v="63"/>
    <s v="Yes"/>
    <x v="5"/>
  </r>
  <r>
    <n v="20802"/>
    <n v="142"/>
    <d v="2024-03-05T00:00:00"/>
    <s v="March"/>
    <n v="2024"/>
    <x v="0"/>
    <n v="18"/>
    <s v="Yes"/>
    <x v="3"/>
  </r>
  <r>
    <n v="20803"/>
    <n v="290"/>
    <d v="2024-03-18T00:00:00"/>
    <s v="March"/>
    <n v="2024"/>
    <x v="1"/>
    <n v="61"/>
    <s v="Yes"/>
    <x v="1"/>
  </r>
  <r>
    <n v="20804"/>
    <n v="207"/>
    <d v="2024-06-09T00:00:00"/>
    <s v="June"/>
    <n v="2024"/>
    <x v="1"/>
    <n v="20"/>
    <s v="Yes"/>
    <x v="1"/>
  </r>
  <r>
    <n v="20805"/>
    <n v="341"/>
    <d v="2022-01-31T00:00:00"/>
    <s v="January"/>
    <n v="2022"/>
    <x v="0"/>
    <n v="65"/>
    <s v="Yes"/>
    <x v="0"/>
  </r>
  <r>
    <n v="20806"/>
    <n v="192"/>
    <d v="2022-05-11T00:00:00"/>
    <s v="May"/>
    <n v="2022"/>
    <x v="2"/>
    <n v="64"/>
    <s v="Yes"/>
    <x v="1"/>
  </r>
  <r>
    <n v="20807"/>
    <n v="407"/>
    <d v="2023-12-29T00:00:00"/>
    <s v="December"/>
    <n v="2023"/>
    <x v="2"/>
    <n v="64"/>
    <s v="No"/>
    <x v="5"/>
  </r>
  <r>
    <n v="20808"/>
    <n v="341"/>
    <d v="2023-06-11T00:00:00"/>
    <s v="June"/>
    <n v="2023"/>
    <x v="1"/>
    <n v="13"/>
    <s v="Yes"/>
    <x v="0"/>
  </r>
  <r>
    <n v="20809"/>
    <n v="306"/>
    <d v="2023-03-14T00:00:00"/>
    <s v="March"/>
    <n v="2023"/>
    <x v="2"/>
    <n v="68"/>
    <s v="Yes"/>
    <x v="0"/>
  </r>
  <r>
    <n v="20810"/>
    <n v="398"/>
    <d v="2022-11-22T00:00:00"/>
    <s v="November"/>
    <n v="2022"/>
    <x v="0"/>
    <n v="70"/>
    <s v="Yes"/>
    <x v="0"/>
  </r>
  <r>
    <n v="20811"/>
    <n v="469"/>
    <d v="2022-09-24T00:00:00"/>
    <s v="September"/>
    <n v="2022"/>
    <x v="2"/>
    <n v="57"/>
    <s v="Yes"/>
    <x v="0"/>
  </r>
  <r>
    <n v="20812"/>
    <n v="252"/>
    <d v="2022-10-13T00:00:00"/>
    <s v="October"/>
    <n v="2022"/>
    <x v="2"/>
    <n v="45"/>
    <s v="Yes"/>
    <x v="2"/>
  </r>
  <r>
    <n v="20813"/>
    <n v="204"/>
    <d v="2022-10-18T00:00:00"/>
    <s v="October"/>
    <n v="2022"/>
    <x v="1"/>
    <n v="38"/>
    <s v="Yes"/>
    <x v="1"/>
  </r>
  <r>
    <n v="20814"/>
    <n v="362"/>
    <d v="2023-01-03T00:00:00"/>
    <s v="January"/>
    <n v="2023"/>
    <x v="2"/>
    <n v="54"/>
    <s v="Yes"/>
    <x v="4"/>
  </r>
  <r>
    <n v="20815"/>
    <n v="46"/>
    <d v="2023-05-01T00:00:00"/>
    <s v="May"/>
    <n v="2023"/>
    <x v="0"/>
    <n v="36"/>
    <s v="Yes"/>
    <x v="4"/>
  </r>
  <r>
    <n v="20816"/>
    <n v="374"/>
    <d v="2023-07-09T00:00:00"/>
    <s v="July"/>
    <n v="2023"/>
    <x v="1"/>
    <n v="67"/>
    <s v="Yes"/>
    <x v="1"/>
  </r>
  <r>
    <n v="20817"/>
    <n v="495"/>
    <d v="2022-06-17T00:00:00"/>
    <s v="June"/>
    <n v="2022"/>
    <x v="0"/>
    <n v="11"/>
    <s v="Yes"/>
    <x v="1"/>
  </r>
  <r>
    <n v="20818"/>
    <n v="261"/>
    <d v="2024-05-10T00:00:00"/>
    <s v="May"/>
    <n v="2024"/>
    <x v="2"/>
    <n v="27"/>
    <s v="Yes"/>
    <x v="1"/>
  </r>
  <r>
    <n v="20819"/>
    <n v="66"/>
    <d v="2023-04-16T00:00:00"/>
    <s v="April"/>
    <n v="2023"/>
    <x v="2"/>
    <n v="17"/>
    <s v="Yes"/>
    <x v="2"/>
  </r>
  <r>
    <n v="20820"/>
    <n v="150"/>
    <d v="2024-02-06T00:00:00"/>
    <s v="February"/>
    <n v="2024"/>
    <x v="1"/>
    <n v="33"/>
    <s v="Yes"/>
    <x v="0"/>
  </r>
  <r>
    <n v="20821"/>
    <n v="70"/>
    <d v="2022-06-19T00:00:00"/>
    <s v="June"/>
    <n v="2022"/>
    <x v="0"/>
    <n v="5"/>
    <s v="Yes"/>
    <x v="5"/>
  </r>
  <r>
    <n v="20822"/>
    <n v="364"/>
    <d v="2024-06-05T00:00:00"/>
    <s v="June"/>
    <n v="2024"/>
    <x v="2"/>
    <n v="62"/>
    <s v="Yes"/>
    <x v="4"/>
  </r>
  <r>
    <n v="20823"/>
    <n v="2"/>
    <d v="2024-02-10T00:00:00"/>
    <s v="February"/>
    <n v="2024"/>
    <x v="2"/>
    <n v="65"/>
    <s v="Yes"/>
    <x v="5"/>
  </r>
  <r>
    <n v="20824"/>
    <n v="29"/>
    <d v="2022-12-12T00:00:00"/>
    <s v="December"/>
    <n v="2022"/>
    <x v="1"/>
    <n v="71"/>
    <s v="Yes"/>
    <x v="3"/>
  </r>
  <r>
    <n v="20825"/>
    <n v="256"/>
    <d v="2022-03-19T00:00:00"/>
    <s v="March"/>
    <n v="2022"/>
    <x v="2"/>
    <n v="67"/>
    <s v="Yes"/>
    <x v="3"/>
  </r>
  <r>
    <n v="20826"/>
    <n v="61"/>
    <d v="2024-04-30T00:00:00"/>
    <s v="April"/>
    <n v="2024"/>
    <x v="2"/>
    <n v="44"/>
    <s v="Yes"/>
    <x v="2"/>
  </r>
  <r>
    <n v="20827"/>
    <n v="100"/>
    <d v="2022-03-26T00:00:00"/>
    <s v="March"/>
    <n v="2022"/>
    <x v="2"/>
    <n v="14"/>
    <s v="Yes"/>
    <x v="1"/>
  </r>
  <r>
    <n v="20828"/>
    <n v="384"/>
    <d v="2024-06-10T00:00:00"/>
    <s v="June"/>
    <n v="2024"/>
    <x v="0"/>
    <n v="57"/>
    <s v="Yes"/>
    <x v="5"/>
  </r>
  <r>
    <n v="20829"/>
    <n v="455"/>
    <d v="2023-10-23T00:00:00"/>
    <s v="October"/>
    <n v="2023"/>
    <x v="0"/>
    <n v="48"/>
    <s v="Yes"/>
    <x v="4"/>
  </r>
  <r>
    <n v="20830"/>
    <n v="144"/>
    <d v="2022-07-20T00:00:00"/>
    <s v="July"/>
    <n v="2022"/>
    <x v="0"/>
    <n v="17"/>
    <s v="No"/>
    <x v="4"/>
  </r>
  <r>
    <n v="20831"/>
    <n v="192"/>
    <d v="2023-08-12T00:00:00"/>
    <s v="August"/>
    <n v="2023"/>
    <x v="2"/>
    <n v="44"/>
    <s v="Yes"/>
    <x v="1"/>
  </r>
  <r>
    <n v="20832"/>
    <n v="353"/>
    <d v="2022-12-27T00:00:00"/>
    <s v="December"/>
    <n v="2022"/>
    <x v="1"/>
    <n v="4"/>
    <s v="Yes"/>
    <x v="4"/>
  </r>
  <r>
    <n v="20833"/>
    <n v="353"/>
    <d v="2024-02-01T00:00:00"/>
    <s v="February"/>
    <n v="2024"/>
    <x v="1"/>
    <n v="30"/>
    <s v="Yes"/>
    <x v="4"/>
  </r>
  <r>
    <n v="20834"/>
    <n v="270"/>
    <d v="2023-07-19T00:00:00"/>
    <s v="July"/>
    <n v="2023"/>
    <x v="1"/>
    <n v="55"/>
    <s v="Yes"/>
    <x v="4"/>
  </r>
  <r>
    <n v="20835"/>
    <n v="299"/>
    <d v="2024-03-22T00:00:00"/>
    <s v="March"/>
    <n v="2024"/>
    <x v="0"/>
    <n v="30"/>
    <s v="Yes"/>
    <x v="0"/>
  </r>
  <r>
    <n v="20836"/>
    <n v="460"/>
    <d v="2022-10-29T00:00:00"/>
    <s v="October"/>
    <n v="2022"/>
    <x v="0"/>
    <n v="18"/>
    <s v="Yes"/>
    <x v="2"/>
  </r>
  <r>
    <n v="20837"/>
    <n v="427"/>
    <d v="2022-10-20T00:00:00"/>
    <s v="October"/>
    <n v="2022"/>
    <x v="0"/>
    <n v="44"/>
    <s v="No"/>
    <x v="4"/>
  </r>
  <r>
    <n v="20838"/>
    <n v="326"/>
    <d v="2022-10-21T00:00:00"/>
    <s v="October"/>
    <n v="2022"/>
    <x v="0"/>
    <n v="62"/>
    <s v="Yes"/>
    <x v="0"/>
  </r>
  <r>
    <n v="20839"/>
    <n v="311"/>
    <d v="2022-04-19T00:00:00"/>
    <s v="April"/>
    <n v="2022"/>
    <x v="2"/>
    <n v="31"/>
    <s v="Yes"/>
    <x v="5"/>
  </r>
  <r>
    <n v="20840"/>
    <n v="204"/>
    <d v="2022-12-31T00:00:00"/>
    <s v="December"/>
    <n v="2022"/>
    <x v="1"/>
    <n v="16"/>
    <s v="Yes"/>
    <x v="1"/>
  </r>
  <r>
    <n v="20841"/>
    <n v="245"/>
    <d v="2023-08-23T00:00:00"/>
    <s v="August"/>
    <n v="2023"/>
    <x v="1"/>
    <n v="23"/>
    <s v="Yes"/>
    <x v="4"/>
  </r>
  <r>
    <n v="20842"/>
    <n v="31"/>
    <d v="2023-11-09T00:00:00"/>
    <s v="November"/>
    <n v="2023"/>
    <x v="0"/>
    <n v="14"/>
    <s v="Yes"/>
    <x v="5"/>
  </r>
  <r>
    <n v="20843"/>
    <n v="332"/>
    <d v="2023-05-09T00:00:00"/>
    <s v="May"/>
    <n v="2023"/>
    <x v="1"/>
    <n v="2"/>
    <s v="Yes"/>
    <x v="1"/>
  </r>
  <r>
    <n v="20844"/>
    <n v="458"/>
    <d v="2022-09-24T00:00:00"/>
    <s v="September"/>
    <n v="2022"/>
    <x v="1"/>
    <n v="12"/>
    <s v="Yes"/>
    <x v="2"/>
  </r>
  <r>
    <n v="20845"/>
    <n v="424"/>
    <d v="2022-04-03T00:00:00"/>
    <s v="April"/>
    <n v="2022"/>
    <x v="0"/>
    <n v="58"/>
    <s v="Yes"/>
    <x v="2"/>
  </r>
  <r>
    <n v="20846"/>
    <n v="411"/>
    <d v="2023-11-16T00:00:00"/>
    <s v="November"/>
    <n v="2023"/>
    <x v="0"/>
    <n v="56"/>
    <s v="No"/>
    <x v="2"/>
  </r>
  <r>
    <n v="20847"/>
    <n v="52"/>
    <d v="2022-03-05T00:00:00"/>
    <s v="March"/>
    <n v="2022"/>
    <x v="0"/>
    <n v="24"/>
    <s v="Yes"/>
    <x v="5"/>
  </r>
  <r>
    <n v="20848"/>
    <n v="384"/>
    <d v="2023-03-04T00:00:00"/>
    <s v="March"/>
    <n v="2023"/>
    <x v="0"/>
    <n v="37"/>
    <s v="Yes"/>
    <x v="5"/>
  </r>
  <r>
    <n v="20849"/>
    <n v="243"/>
    <d v="2023-09-30T00:00:00"/>
    <s v="September"/>
    <n v="2023"/>
    <x v="2"/>
    <n v="29"/>
    <s v="Yes"/>
    <x v="2"/>
  </r>
  <r>
    <n v="20850"/>
    <n v="263"/>
    <d v="2023-01-03T00:00:00"/>
    <s v="January"/>
    <n v="2023"/>
    <x v="1"/>
    <n v="42"/>
    <s v="Yes"/>
    <x v="5"/>
  </r>
  <r>
    <n v="20851"/>
    <n v="174"/>
    <d v="2024-01-12T00:00:00"/>
    <s v="January"/>
    <n v="2024"/>
    <x v="2"/>
    <n v="18"/>
    <s v="Yes"/>
    <x v="1"/>
  </r>
  <r>
    <n v="20852"/>
    <n v="100"/>
    <d v="2022-04-15T00:00:00"/>
    <s v="April"/>
    <n v="2022"/>
    <x v="1"/>
    <n v="3"/>
    <s v="Yes"/>
    <x v="1"/>
  </r>
  <r>
    <n v="20853"/>
    <n v="417"/>
    <d v="2022-07-28T00:00:00"/>
    <s v="July"/>
    <n v="2022"/>
    <x v="2"/>
    <n v="13"/>
    <s v="No"/>
    <x v="0"/>
  </r>
  <r>
    <n v="20854"/>
    <n v="475"/>
    <d v="2023-07-28T00:00:00"/>
    <s v="July"/>
    <n v="2023"/>
    <x v="0"/>
    <n v="29"/>
    <s v="Yes"/>
    <x v="4"/>
  </r>
  <r>
    <n v="20855"/>
    <n v="392"/>
    <d v="2024-01-22T00:00:00"/>
    <s v="January"/>
    <n v="2024"/>
    <x v="2"/>
    <n v="66"/>
    <s v="Yes"/>
    <x v="2"/>
  </r>
  <r>
    <n v="20856"/>
    <n v="389"/>
    <d v="2023-04-19T00:00:00"/>
    <s v="April"/>
    <n v="2023"/>
    <x v="0"/>
    <n v="59"/>
    <s v="Yes"/>
    <x v="0"/>
  </r>
  <r>
    <n v="20857"/>
    <n v="61"/>
    <d v="2022-03-02T00:00:00"/>
    <s v="March"/>
    <n v="2022"/>
    <x v="0"/>
    <n v="48"/>
    <s v="Yes"/>
    <x v="2"/>
  </r>
  <r>
    <n v="20858"/>
    <n v="456"/>
    <d v="2022-12-12T00:00:00"/>
    <s v="December"/>
    <n v="2022"/>
    <x v="2"/>
    <n v="4"/>
    <s v="Yes"/>
    <x v="3"/>
  </r>
  <r>
    <n v="20859"/>
    <n v="360"/>
    <d v="2022-01-12T00:00:00"/>
    <s v="January"/>
    <n v="2022"/>
    <x v="1"/>
    <n v="51"/>
    <s v="Yes"/>
    <x v="2"/>
  </r>
  <r>
    <n v="20860"/>
    <n v="188"/>
    <d v="2023-04-11T00:00:00"/>
    <s v="April"/>
    <n v="2023"/>
    <x v="2"/>
    <n v="5"/>
    <s v="Yes"/>
    <x v="4"/>
  </r>
  <r>
    <n v="20861"/>
    <n v="469"/>
    <d v="2023-10-11T00:00:00"/>
    <s v="October"/>
    <n v="2023"/>
    <x v="0"/>
    <n v="39"/>
    <s v="No"/>
    <x v="0"/>
  </r>
  <r>
    <n v="20862"/>
    <n v="408"/>
    <d v="2022-07-14T00:00:00"/>
    <s v="July"/>
    <n v="2022"/>
    <x v="0"/>
    <n v="41"/>
    <s v="Yes"/>
    <x v="5"/>
  </r>
  <r>
    <n v="20863"/>
    <n v="7"/>
    <d v="2022-03-15T00:00:00"/>
    <s v="March"/>
    <n v="2022"/>
    <x v="1"/>
    <n v="5"/>
    <s v="Yes"/>
    <x v="0"/>
  </r>
  <r>
    <n v="20864"/>
    <n v="189"/>
    <d v="2024-05-24T00:00:00"/>
    <s v="May"/>
    <n v="2024"/>
    <x v="1"/>
    <n v="8"/>
    <s v="Yes"/>
    <x v="4"/>
  </r>
  <r>
    <n v="20865"/>
    <n v="83"/>
    <d v="2023-01-21T00:00:00"/>
    <s v="January"/>
    <n v="2023"/>
    <x v="1"/>
    <n v="56"/>
    <s v="Yes"/>
    <x v="0"/>
  </r>
  <r>
    <n v="20866"/>
    <n v="351"/>
    <d v="2022-05-16T00:00:00"/>
    <s v="May"/>
    <n v="2022"/>
    <x v="0"/>
    <n v="25"/>
    <s v="Yes"/>
    <x v="0"/>
  </r>
  <r>
    <n v="20867"/>
    <n v="420"/>
    <d v="2024-06-02T00:00:00"/>
    <s v="June"/>
    <n v="2024"/>
    <x v="2"/>
    <n v="52"/>
    <s v="Yes"/>
    <x v="4"/>
  </r>
  <r>
    <n v="20868"/>
    <n v="283"/>
    <d v="2023-07-09T00:00:00"/>
    <s v="July"/>
    <n v="2023"/>
    <x v="1"/>
    <n v="52"/>
    <s v="Yes"/>
    <x v="2"/>
  </r>
  <r>
    <n v="20869"/>
    <n v="124"/>
    <d v="2023-03-12T00:00:00"/>
    <s v="March"/>
    <n v="2023"/>
    <x v="0"/>
    <n v="7"/>
    <s v="No"/>
    <x v="3"/>
  </r>
  <r>
    <n v="20870"/>
    <n v="157"/>
    <d v="2022-02-08T00:00:00"/>
    <s v="February"/>
    <n v="2022"/>
    <x v="2"/>
    <n v="61"/>
    <s v="Yes"/>
    <x v="5"/>
  </r>
  <r>
    <n v="20871"/>
    <n v="87"/>
    <d v="2023-06-27T00:00:00"/>
    <s v="June"/>
    <n v="2023"/>
    <x v="1"/>
    <n v="47"/>
    <s v="Yes"/>
    <x v="2"/>
  </r>
  <r>
    <n v="20872"/>
    <n v="148"/>
    <d v="2023-10-16T00:00:00"/>
    <s v="October"/>
    <n v="2023"/>
    <x v="2"/>
    <n v="66"/>
    <s v="Yes"/>
    <x v="3"/>
  </r>
  <r>
    <n v="20873"/>
    <n v="70"/>
    <d v="2022-11-16T00:00:00"/>
    <s v="November"/>
    <n v="2022"/>
    <x v="2"/>
    <n v="59"/>
    <s v="Yes"/>
    <x v="5"/>
  </r>
  <r>
    <n v="20874"/>
    <n v="460"/>
    <d v="2024-05-20T00:00:00"/>
    <s v="May"/>
    <n v="2024"/>
    <x v="0"/>
    <n v="5"/>
    <s v="Yes"/>
    <x v="2"/>
  </r>
  <r>
    <n v="20875"/>
    <n v="370"/>
    <d v="2024-05-14T00:00:00"/>
    <s v="May"/>
    <n v="2024"/>
    <x v="0"/>
    <n v="44"/>
    <s v="Yes"/>
    <x v="3"/>
  </r>
  <r>
    <n v="20876"/>
    <n v="76"/>
    <d v="2023-07-10T00:00:00"/>
    <s v="July"/>
    <n v="2023"/>
    <x v="0"/>
    <n v="42"/>
    <s v="Yes"/>
    <x v="1"/>
  </r>
  <r>
    <n v="20877"/>
    <n v="114"/>
    <d v="2023-12-01T00:00:00"/>
    <s v="December"/>
    <n v="2023"/>
    <x v="2"/>
    <n v="61"/>
    <s v="Yes"/>
    <x v="1"/>
  </r>
  <r>
    <n v="20878"/>
    <n v="3"/>
    <d v="2022-12-19T00:00:00"/>
    <s v="December"/>
    <n v="2022"/>
    <x v="1"/>
    <n v="63"/>
    <s v="No"/>
    <x v="1"/>
  </r>
  <r>
    <n v="20879"/>
    <n v="234"/>
    <d v="2023-05-29T00:00:00"/>
    <s v="May"/>
    <n v="2023"/>
    <x v="1"/>
    <n v="50"/>
    <s v="Yes"/>
    <x v="2"/>
  </r>
  <r>
    <n v="20880"/>
    <n v="167"/>
    <d v="2023-04-28T00:00:00"/>
    <s v="April"/>
    <n v="2023"/>
    <x v="1"/>
    <n v="38"/>
    <s v="Yes"/>
    <x v="0"/>
  </r>
  <r>
    <n v="20881"/>
    <n v="99"/>
    <d v="2023-02-20T00:00:00"/>
    <s v="February"/>
    <n v="2023"/>
    <x v="0"/>
    <n v="54"/>
    <s v="Yes"/>
    <x v="2"/>
  </r>
  <r>
    <n v="20882"/>
    <n v="124"/>
    <d v="2024-03-14T00:00:00"/>
    <s v="March"/>
    <n v="2024"/>
    <x v="1"/>
    <n v="44"/>
    <s v="Yes"/>
    <x v="3"/>
  </r>
  <r>
    <n v="20883"/>
    <n v="467"/>
    <d v="2024-04-02T00:00:00"/>
    <s v="April"/>
    <n v="2024"/>
    <x v="1"/>
    <n v="24"/>
    <s v="Yes"/>
    <x v="2"/>
  </r>
  <r>
    <n v="20884"/>
    <n v="45"/>
    <d v="2023-01-05T00:00:00"/>
    <s v="January"/>
    <n v="2023"/>
    <x v="0"/>
    <n v="63"/>
    <s v="Yes"/>
    <x v="0"/>
  </r>
  <r>
    <n v="20885"/>
    <n v="382"/>
    <d v="2022-12-09T00:00:00"/>
    <s v="December"/>
    <n v="2022"/>
    <x v="1"/>
    <n v="39"/>
    <s v="Yes"/>
    <x v="4"/>
  </r>
  <r>
    <n v="20886"/>
    <n v="324"/>
    <d v="2022-11-21T00:00:00"/>
    <s v="November"/>
    <n v="2022"/>
    <x v="1"/>
    <n v="12"/>
    <s v="Yes"/>
    <x v="4"/>
  </r>
  <r>
    <n v="20887"/>
    <n v="287"/>
    <d v="2023-01-02T00:00:00"/>
    <s v="January"/>
    <n v="2023"/>
    <x v="1"/>
    <n v="63"/>
    <s v="Yes"/>
    <x v="0"/>
  </r>
  <r>
    <n v="20888"/>
    <n v="106"/>
    <d v="2022-12-02T00:00:00"/>
    <s v="December"/>
    <n v="2022"/>
    <x v="2"/>
    <n v="9"/>
    <s v="Yes"/>
    <x v="0"/>
  </r>
  <r>
    <n v="20889"/>
    <n v="294"/>
    <d v="2022-10-23T00:00:00"/>
    <s v="October"/>
    <n v="2022"/>
    <x v="2"/>
    <n v="22"/>
    <s v="Yes"/>
    <x v="2"/>
  </r>
  <r>
    <n v="20890"/>
    <n v="481"/>
    <d v="2022-01-24T00:00:00"/>
    <s v="January"/>
    <n v="2022"/>
    <x v="0"/>
    <n v="36"/>
    <s v="Yes"/>
    <x v="3"/>
  </r>
  <r>
    <n v="20891"/>
    <n v="134"/>
    <d v="2024-06-03T00:00:00"/>
    <s v="June"/>
    <n v="2024"/>
    <x v="0"/>
    <n v="28"/>
    <s v="Yes"/>
    <x v="1"/>
  </r>
  <r>
    <n v="20892"/>
    <n v="8"/>
    <d v="2023-03-18T00:00:00"/>
    <s v="March"/>
    <n v="2023"/>
    <x v="2"/>
    <n v="56"/>
    <s v="No"/>
    <x v="1"/>
  </r>
  <r>
    <n v="20893"/>
    <n v="28"/>
    <d v="2022-04-14T00:00:00"/>
    <s v="April"/>
    <n v="2022"/>
    <x v="0"/>
    <n v="29"/>
    <s v="Yes"/>
    <x v="4"/>
  </r>
  <r>
    <n v="20894"/>
    <n v="271"/>
    <d v="2023-02-16T00:00:00"/>
    <s v="February"/>
    <n v="2023"/>
    <x v="0"/>
    <n v="5"/>
    <s v="Yes"/>
    <x v="3"/>
  </r>
  <r>
    <n v="20895"/>
    <n v="223"/>
    <d v="2023-07-28T00:00:00"/>
    <s v="July"/>
    <n v="2023"/>
    <x v="1"/>
    <n v="4"/>
    <s v="Yes"/>
    <x v="0"/>
  </r>
  <r>
    <n v="20896"/>
    <n v="8"/>
    <d v="2023-10-27T00:00:00"/>
    <s v="October"/>
    <n v="2023"/>
    <x v="0"/>
    <n v="51"/>
    <s v="Yes"/>
    <x v="1"/>
  </r>
  <r>
    <n v="20897"/>
    <n v="310"/>
    <d v="2024-02-14T00:00:00"/>
    <s v="February"/>
    <n v="2024"/>
    <x v="0"/>
    <n v="15"/>
    <s v="Yes"/>
    <x v="3"/>
  </r>
  <r>
    <n v="20898"/>
    <n v="134"/>
    <d v="2022-10-21T00:00:00"/>
    <s v="October"/>
    <n v="2022"/>
    <x v="1"/>
    <n v="60"/>
    <s v="Yes"/>
    <x v="1"/>
  </r>
  <r>
    <n v="20899"/>
    <n v="29"/>
    <d v="2024-06-05T00:00:00"/>
    <s v="June"/>
    <n v="2024"/>
    <x v="1"/>
    <n v="26"/>
    <s v="No"/>
    <x v="3"/>
  </r>
  <r>
    <n v="20900"/>
    <n v="115"/>
    <d v="2022-08-31T00:00:00"/>
    <s v="August"/>
    <n v="2022"/>
    <x v="2"/>
    <n v="23"/>
    <s v="Yes"/>
    <x v="0"/>
  </r>
  <r>
    <n v="20901"/>
    <n v="494"/>
    <d v="2022-12-08T00:00:00"/>
    <s v="December"/>
    <n v="2022"/>
    <x v="0"/>
    <n v="29"/>
    <s v="Yes"/>
    <x v="5"/>
  </r>
  <r>
    <n v="20902"/>
    <n v="34"/>
    <d v="2024-05-03T00:00:00"/>
    <s v="May"/>
    <n v="2024"/>
    <x v="1"/>
    <n v="57"/>
    <s v="Yes"/>
    <x v="2"/>
  </r>
  <r>
    <n v="20903"/>
    <n v="7"/>
    <d v="2024-05-08T00:00:00"/>
    <s v="May"/>
    <n v="2024"/>
    <x v="0"/>
    <n v="62"/>
    <s v="Yes"/>
    <x v="0"/>
  </r>
  <r>
    <n v="20904"/>
    <n v="40"/>
    <d v="2023-09-25T00:00:00"/>
    <s v="September"/>
    <n v="2023"/>
    <x v="0"/>
    <n v="59"/>
    <s v="Yes"/>
    <x v="5"/>
  </r>
  <r>
    <n v="20905"/>
    <n v="330"/>
    <d v="2024-05-14T00:00:00"/>
    <s v="May"/>
    <n v="2024"/>
    <x v="2"/>
    <n v="48"/>
    <s v="No"/>
    <x v="1"/>
  </r>
  <r>
    <n v="20906"/>
    <n v="397"/>
    <d v="2022-06-22T00:00:00"/>
    <s v="June"/>
    <n v="2022"/>
    <x v="2"/>
    <n v="35"/>
    <s v="Yes"/>
    <x v="0"/>
  </r>
  <r>
    <n v="20907"/>
    <n v="62"/>
    <d v="2023-02-20T00:00:00"/>
    <s v="February"/>
    <n v="2023"/>
    <x v="2"/>
    <n v="46"/>
    <s v="Yes"/>
    <x v="4"/>
  </r>
  <r>
    <n v="20908"/>
    <n v="86"/>
    <d v="2022-04-13T00:00:00"/>
    <s v="April"/>
    <n v="2022"/>
    <x v="2"/>
    <n v="33"/>
    <s v="Yes"/>
    <x v="4"/>
  </r>
  <r>
    <n v="20909"/>
    <n v="213"/>
    <d v="2022-06-09T00:00:00"/>
    <s v="June"/>
    <n v="2022"/>
    <x v="2"/>
    <n v="71"/>
    <s v="Yes"/>
    <x v="2"/>
  </r>
  <r>
    <n v="20910"/>
    <n v="116"/>
    <d v="2022-09-14T00:00:00"/>
    <s v="September"/>
    <n v="2022"/>
    <x v="1"/>
    <n v="10"/>
    <s v="Yes"/>
    <x v="5"/>
  </r>
  <r>
    <n v="20911"/>
    <n v="65"/>
    <d v="2023-12-15T00:00:00"/>
    <s v="December"/>
    <n v="2023"/>
    <x v="2"/>
    <n v="48"/>
    <s v="Yes"/>
    <x v="4"/>
  </r>
  <r>
    <n v="20912"/>
    <n v="297"/>
    <d v="2023-07-11T00:00:00"/>
    <s v="July"/>
    <n v="2023"/>
    <x v="1"/>
    <n v="44"/>
    <s v="No"/>
    <x v="5"/>
  </r>
  <r>
    <n v="20913"/>
    <n v="379"/>
    <d v="2023-07-30T00:00:00"/>
    <s v="July"/>
    <n v="2023"/>
    <x v="2"/>
    <n v="70"/>
    <s v="Yes"/>
    <x v="3"/>
  </r>
  <r>
    <n v="20914"/>
    <n v="170"/>
    <d v="2022-07-15T00:00:00"/>
    <s v="July"/>
    <n v="2022"/>
    <x v="1"/>
    <n v="63"/>
    <s v="No"/>
    <x v="4"/>
  </r>
  <r>
    <n v="20915"/>
    <n v="116"/>
    <d v="2023-01-26T00:00:00"/>
    <s v="January"/>
    <n v="2023"/>
    <x v="0"/>
    <n v="49"/>
    <s v="Yes"/>
    <x v="5"/>
  </r>
  <r>
    <n v="20916"/>
    <n v="322"/>
    <d v="2022-03-11T00:00:00"/>
    <s v="March"/>
    <n v="2022"/>
    <x v="2"/>
    <n v="41"/>
    <s v="No"/>
    <x v="3"/>
  </r>
  <r>
    <n v="20917"/>
    <n v="116"/>
    <d v="2023-11-24T00:00:00"/>
    <s v="November"/>
    <n v="2023"/>
    <x v="1"/>
    <n v="39"/>
    <s v="Yes"/>
    <x v="5"/>
  </r>
  <r>
    <n v="20918"/>
    <n v="221"/>
    <d v="2024-04-22T00:00:00"/>
    <s v="April"/>
    <n v="2024"/>
    <x v="2"/>
    <n v="23"/>
    <s v="Yes"/>
    <x v="0"/>
  </r>
  <r>
    <n v="20919"/>
    <n v="395"/>
    <d v="2022-09-04T00:00:00"/>
    <s v="September"/>
    <n v="2022"/>
    <x v="1"/>
    <n v="13"/>
    <s v="Yes"/>
    <x v="4"/>
  </r>
  <r>
    <n v="20920"/>
    <n v="357"/>
    <d v="2022-11-25T00:00:00"/>
    <s v="November"/>
    <n v="2022"/>
    <x v="1"/>
    <n v="53"/>
    <s v="No"/>
    <x v="0"/>
  </r>
  <r>
    <n v="20921"/>
    <n v="50"/>
    <d v="2022-06-07T00:00:00"/>
    <s v="June"/>
    <n v="2022"/>
    <x v="2"/>
    <n v="70"/>
    <s v="Yes"/>
    <x v="2"/>
  </r>
  <r>
    <n v="20922"/>
    <n v="327"/>
    <d v="2023-11-29T00:00:00"/>
    <s v="November"/>
    <n v="2023"/>
    <x v="1"/>
    <n v="57"/>
    <s v="Yes"/>
    <x v="4"/>
  </r>
  <r>
    <n v="20923"/>
    <n v="419"/>
    <d v="2024-01-13T00:00:00"/>
    <s v="January"/>
    <n v="2024"/>
    <x v="0"/>
    <n v="67"/>
    <s v="Yes"/>
    <x v="3"/>
  </r>
  <r>
    <n v="20924"/>
    <n v="478"/>
    <d v="2023-08-08T00:00:00"/>
    <s v="August"/>
    <n v="2023"/>
    <x v="2"/>
    <n v="48"/>
    <s v="Yes"/>
    <x v="5"/>
  </r>
  <r>
    <n v="20925"/>
    <n v="336"/>
    <d v="2022-02-24T00:00:00"/>
    <s v="February"/>
    <n v="2022"/>
    <x v="0"/>
    <n v="20"/>
    <s v="Yes"/>
    <x v="0"/>
  </r>
  <r>
    <n v="20926"/>
    <n v="79"/>
    <d v="2023-05-01T00:00:00"/>
    <s v="May"/>
    <n v="2023"/>
    <x v="1"/>
    <n v="62"/>
    <s v="Yes"/>
    <x v="4"/>
  </r>
  <r>
    <n v="20927"/>
    <n v="488"/>
    <d v="2022-08-31T00:00:00"/>
    <s v="August"/>
    <n v="2022"/>
    <x v="1"/>
    <n v="45"/>
    <s v="Yes"/>
    <x v="2"/>
  </r>
  <r>
    <n v="20928"/>
    <n v="20"/>
    <d v="2024-03-24T00:00:00"/>
    <s v="March"/>
    <n v="2024"/>
    <x v="2"/>
    <n v="63"/>
    <s v="Yes"/>
    <x v="2"/>
  </r>
  <r>
    <n v="20929"/>
    <n v="412"/>
    <d v="2022-12-19T00:00:00"/>
    <s v="December"/>
    <n v="2022"/>
    <x v="0"/>
    <n v="8"/>
    <s v="Yes"/>
    <x v="2"/>
  </r>
  <r>
    <n v="20930"/>
    <n v="379"/>
    <d v="2023-02-14T00:00:00"/>
    <s v="February"/>
    <n v="2023"/>
    <x v="0"/>
    <n v="26"/>
    <s v="Yes"/>
    <x v="3"/>
  </r>
  <r>
    <n v="20931"/>
    <n v="37"/>
    <d v="2023-12-28T00:00:00"/>
    <s v="December"/>
    <n v="2023"/>
    <x v="2"/>
    <n v="38"/>
    <s v="Yes"/>
    <x v="3"/>
  </r>
  <r>
    <n v="20932"/>
    <n v="259"/>
    <d v="2022-01-15T00:00:00"/>
    <s v="January"/>
    <n v="2022"/>
    <x v="0"/>
    <n v="41"/>
    <s v="Yes"/>
    <x v="5"/>
  </r>
  <r>
    <n v="20933"/>
    <n v="93"/>
    <d v="2022-05-27T00:00:00"/>
    <s v="May"/>
    <n v="2022"/>
    <x v="2"/>
    <n v="2"/>
    <s v="Yes"/>
    <x v="0"/>
  </r>
  <r>
    <n v="20934"/>
    <n v="187"/>
    <d v="2023-05-05T00:00:00"/>
    <s v="May"/>
    <n v="2023"/>
    <x v="2"/>
    <n v="7"/>
    <s v="Yes"/>
    <x v="5"/>
  </r>
  <r>
    <n v="20935"/>
    <n v="357"/>
    <d v="2023-10-18T00:00:00"/>
    <s v="October"/>
    <n v="2023"/>
    <x v="1"/>
    <n v="25"/>
    <s v="No"/>
    <x v="0"/>
  </r>
  <r>
    <n v="20936"/>
    <n v="201"/>
    <d v="2022-01-25T00:00:00"/>
    <s v="January"/>
    <n v="2022"/>
    <x v="1"/>
    <n v="51"/>
    <s v="Yes"/>
    <x v="0"/>
  </r>
  <r>
    <n v="20937"/>
    <n v="411"/>
    <d v="2023-09-03T00:00:00"/>
    <s v="September"/>
    <n v="2023"/>
    <x v="0"/>
    <n v="50"/>
    <s v="Yes"/>
    <x v="2"/>
  </r>
  <r>
    <n v="20938"/>
    <n v="288"/>
    <d v="2023-11-22T00:00:00"/>
    <s v="November"/>
    <n v="2023"/>
    <x v="2"/>
    <n v="64"/>
    <s v="Yes"/>
    <x v="3"/>
  </r>
  <r>
    <n v="20939"/>
    <n v="48"/>
    <d v="2022-11-29T00:00:00"/>
    <s v="November"/>
    <n v="2022"/>
    <x v="2"/>
    <n v="12"/>
    <s v="Yes"/>
    <x v="5"/>
  </r>
  <r>
    <n v="20940"/>
    <n v="253"/>
    <d v="2022-06-23T00:00:00"/>
    <s v="June"/>
    <n v="2022"/>
    <x v="2"/>
    <n v="53"/>
    <s v="Yes"/>
    <x v="4"/>
  </r>
  <r>
    <n v="20941"/>
    <n v="46"/>
    <d v="2024-02-14T00:00:00"/>
    <s v="February"/>
    <n v="2024"/>
    <x v="2"/>
    <n v="10"/>
    <s v="Yes"/>
    <x v="4"/>
  </r>
  <r>
    <n v="20942"/>
    <n v="370"/>
    <d v="2022-10-17T00:00:00"/>
    <s v="October"/>
    <n v="2022"/>
    <x v="1"/>
    <n v="61"/>
    <s v="Yes"/>
    <x v="3"/>
  </r>
  <r>
    <n v="20943"/>
    <n v="231"/>
    <d v="2023-07-24T00:00:00"/>
    <s v="July"/>
    <n v="2023"/>
    <x v="0"/>
    <n v="55"/>
    <s v="Yes"/>
    <x v="4"/>
  </r>
  <r>
    <n v="20944"/>
    <n v="95"/>
    <d v="2024-04-25T00:00:00"/>
    <s v="April"/>
    <n v="2024"/>
    <x v="1"/>
    <n v="68"/>
    <s v="Yes"/>
    <x v="1"/>
  </r>
  <r>
    <n v="20945"/>
    <n v="303"/>
    <d v="2024-03-01T00:00:00"/>
    <s v="March"/>
    <n v="2024"/>
    <x v="2"/>
    <n v="42"/>
    <s v="Yes"/>
    <x v="0"/>
  </r>
  <r>
    <n v="20946"/>
    <n v="218"/>
    <d v="2022-05-25T00:00:00"/>
    <s v="May"/>
    <n v="2022"/>
    <x v="0"/>
    <n v="66"/>
    <s v="Yes"/>
    <x v="4"/>
  </r>
  <r>
    <n v="20947"/>
    <n v="40"/>
    <d v="2022-05-02T00:00:00"/>
    <s v="May"/>
    <n v="2022"/>
    <x v="0"/>
    <n v="44"/>
    <s v="Yes"/>
    <x v="5"/>
  </r>
  <r>
    <n v="20948"/>
    <n v="387"/>
    <d v="2022-01-27T00:00:00"/>
    <s v="January"/>
    <n v="2022"/>
    <x v="2"/>
    <n v="28"/>
    <s v="Yes"/>
    <x v="0"/>
  </r>
  <r>
    <n v="20949"/>
    <n v="203"/>
    <d v="2022-03-07T00:00:00"/>
    <s v="March"/>
    <n v="2022"/>
    <x v="2"/>
    <n v="58"/>
    <s v="Yes"/>
    <x v="1"/>
  </r>
  <r>
    <n v="20950"/>
    <n v="116"/>
    <d v="2022-04-11T00:00:00"/>
    <s v="April"/>
    <n v="2022"/>
    <x v="1"/>
    <n v="2"/>
    <s v="Yes"/>
    <x v="5"/>
  </r>
  <r>
    <n v="20951"/>
    <n v="413"/>
    <d v="2023-01-23T00:00:00"/>
    <s v="January"/>
    <n v="2023"/>
    <x v="1"/>
    <n v="55"/>
    <s v="Yes"/>
    <x v="3"/>
  </r>
  <r>
    <n v="20952"/>
    <n v="91"/>
    <d v="2022-04-04T00:00:00"/>
    <s v="April"/>
    <n v="2022"/>
    <x v="2"/>
    <n v="34"/>
    <s v="Yes"/>
    <x v="5"/>
  </r>
  <r>
    <n v="20953"/>
    <n v="58"/>
    <d v="2022-03-08T00:00:00"/>
    <s v="March"/>
    <n v="2022"/>
    <x v="2"/>
    <n v="20"/>
    <s v="Yes"/>
    <x v="0"/>
  </r>
  <r>
    <n v="20954"/>
    <n v="434"/>
    <d v="2022-09-07T00:00:00"/>
    <s v="September"/>
    <n v="2022"/>
    <x v="1"/>
    <n v="47"/>
    <s v="Yes"/>
    <x v="0"/>
  </r>
  <r>
    <n v="20955"/>
    <n v="495"/>
    <d v="2022-05-22T00:00:00"/>
    <s v="May"/>
    <n v="2022"/>
    <x v="0"/>
    <n v="26"/>
    <s v="Yes"/>
    <x v="1"/>
  </r>
  <r>
    <n v="20956"/>
    <n v="10"/>
    <d v="2022-09-24T00:00:00"/>
    <s v="September"/>
    <n v="2022"/>
    <x v="0"/>
    <n v="1"/>
    <s v="Yes"/>
    <x v="0"/>
  </r>
  <r>
    <n v="20957"/>
    <n v="256"/>
    <d v="2023-07-06T00:00:00"/>
    <s v="July"/>
    <n v="2023"/>
    <x v="0"/>
    <n v="65"/>
    <s v="No"/>
    <x v="3"/>
  </r>
  <r>
    <n v="20958"/>
    <n v="317"/>
    <d v="2022-08-03T00:00:00"/>
    <s v="August"/>
    <n v="2022"/>
    <x v="1"/>
    <n v="15"/>
    <s v="Yes"/>
    <x v="4"/>
  </r>
  <r>
    <n v="20959"/>
    <n v="249"/>
    <d v="2023-05-04T00:00:00"/>
    <s v="May"/>
    <n v="2023"/>
    <x v="2"/>
    <n v="14"/>
    <s v="Yes"/>
    <x v="0"/>
  </r>
  <r>
    <n v="20960"/>
    <n v="483"/>
    <d v="2023-05-11T00:00:00"/>
    <s v="May"/>
    <n v="2023"/>
    <x v="0"/>
    <n v="55"/>
    <s v="Yes"/>
    <x v="4"/>
  </r>
  <r>
    <n v="20961"/>
    <n v="367"/>
    <d v="2023-04-25T00:00:00"/>
    <s v="April"/>
    <n v="2023"/>
    <x v="2"/>
    <n v="1"/>
    <s v="Yes"/>
    <x v="3"/>
  </r>
  <r>
    <n v="20962"/>
    <n v="377"/>
    <d v="2023-10-05T00:00:00"/>
    <s v="October"/>
    <n v="2023"/>
    <x v="1"/>
    <n v="33"/>
    <s v="Yes"/>
    <x v="1"/>
  </r>
  <r>
    <n v="20963"/>
    <n v="317"/>
    <d v="2023-05-05T00:00:00"/>
    <s v="May"/>
    <n v="2023"/>
    <x v="1"/>
    <n v="70"/>
    <s v="Yes"/>
    <x v="4"/>
  </r>
  <r>
    <n v="20964"/>
    <n v="407"/>
    <d v="2022-01-01T00:00:00"/>
    <s v="January"/>
    <n v="2022"/>
    <x v="2"/>
    <n v="56"/>
    <s v="Yes"/>
    <x v="5"/>
  </r>
  <r>
    <n v="20965"/>
    <n v="6"/>
    <d v="2022-01-09T00:00:00"/>
    <s v="January"/>
    <n v="2022"/>
    <x v="2"/>
    <n v="23"/>
    <s v="Yes"/>
    <x v="0"/>
  </r>
  <r>
    <n v="20966"/>
    <n v="331"/>
    <d v="2024-05-29T00:00:00"/>
    <s v="May"/>
    <n v="2024"/>
    <x v="2"/>
    <n v="54"/>
    <s v="Yes"/>
    <x v="0"/>
  </r>
  <r>
    <n v="20967"/>
    <n v="188"/>
    <d v="2024-04-20T00:00:00"/>
    <s v="April"/>
    <n v="2024"/>
    <x v="2"/>
    <n v="3"/>
    <s v="Yes"/>
    <x v="4"/>
  </r>
  <r>
    <n v="20968"/>
    <n v="235"/>
    <d v="2023-01-15T00:00:00"/>
    <s v="January"/>
    <n v="2023"/>
    <x v="0"/>
    <n v="46"/>
    <s v="Yes"/>
    <x v="3"/>
  </r>
  <r>
    <n v="20969"/>
    <n v="371"/>
    <d v="2024-04-23T00:00:00"/>
    <s v="April"/>
    <n v="2024"/>
    <x v="2"/>
    <n v="6"/>
    <s v="No"/>
    <x v="4"/>
  </r>
  <r>
    <n v="20970"/>
    <n v="411"/>
    <d v="2024-06-15T00:00:00"/>
    <s v="June"/>
    <n v="2024"/>
    <x v="0"/>
    <n v="25"/>
    <s v="Yes"/>
    <x v="2"/>
  </r>
  <r>
    <n v="20971"/>
    <n v="183"/>
    <d v="2022-05-24T00:00:00"/>
    <s v="May"/>
    <n v="2022"/>
    <x v="1"/>
    <n v="17"/>
    <s v="Yes"/>
    <x v="2"/>
  </r>
  <r>
    <n v="20972"/>
    <n v="287"/>
    <d v="2024-05-11T00:00:00"/>
    <s v="May"/>
    <n v="2024"/>
    <x v="0"/>
    <n v="28"/>
    <s v="Yes"/>
    <x v="0"/>
  </r>
  <r>
    <n v="20973"/>
    <n v="123"/>
    <d v="2024-04-19T00:00:00"/>
    <s v="April"/>
    <n v="2024"/>
    <x v="2"/>
    <n v="32"/>
    <s v="Yes"/>
    <x v="0"/>
  </r>
  <r>
    <n v="20974"/>
    <n v="158"/>
    <d v="2022-10-29T00:00:00"/>
    <s v="October"/>
    <n v="2022"/>
    <x v="0"/>
    <n v="23"/>
    <s v="Yes"/>
    <x v="3"/>
  </r>
  <r>
    <n v="20975"/>
    <n v="323"/>
    <d v="2023-10-12T00:00:00"/>
    <s v="October"/>
    <n v="2023"/>
    <x v="1"/>
    <n v="16"/>
    <s v="Yes"/>
    <x v="1"/>
  </r>
  <r>
    <n v="20976"/>
    <n v="13"/>
    <d v="2023-02-21T00:00:00"/>
    <s v="February"/>
    <n v="2023"/>
    <x v="2"/>
    <n v="26"/>
    <s v="No"/>
    <x v="3"/>
  </r>
  <r>
    <n v="20977"/>
    <n v="315"/>
    <d v="2024-05-19T00:00:00"/>
    <s v="May"/>
    <n v="2024"/>
    <x v="1"/>
    <n v="33"/>
    <s v="Yes"/>
    <x v="3"/>
  </r>
  <r>
    <n v="20978"/>
    <n v="54"/>
    <d v="2024-03-19T00:00:00"/>
    <s v="March"/>
    <n v="2024"/>
    <x v="1"/>
    <n v="58"/>
    <s v="Yes"/>
    <x v="0"/>
  </r>
  <r>
    <n v="20979"/>
    <n v="360"/>
    <d v="2022-06-28T00:00:00"/>
    <s v="June"/>
    <n v="2022"/>
    <x v="2"/>
    <n v="48"/>
    <s v="Yes"/>
    <x v="2"/>
  </r>
  <r>
    <n v="20980"/>
    <n v="277"/>
    <d v="2022-10-05T00:00:00"/>
    <s v="October"/>
    <n v="2022"/>
    <x v="0"/>
    <n v="55"/>
    <s v="Yes"/>
    <x v="5"/>
  </r>
  <r>
    <n v="20981"/>
    <n v="43"/>
    <d v="2022-05-24T00:00:00"/>
    <s v="May"/>
    <n v="2022"/>
    <x v="1"/>
    <n v="41"/>
    <s v="Yes"/>
    <x v="2"/>
  </r>
  <r>
    <n v="20982"/>
    <n v="267"/>
    <d v="2022-12-05T00:00:00"/>
    <s v="December"/>
    <n v="2022"/>
    <x v="2"/>
    <n v="62"/>
    <s v="Yes"/>
    <x v="5"/>
  </r>
  <r>
    <n v="20983"/>
    <n v="109"/>
    <d v="2023-04-04T00:00:00"/>
    <s v="April"/>
    <n v="2023"/>
    <x v="1"/>
    <n v="17"/>
    <s v="Yes"/>
    <x v="1"/>
  </r>
  <r>
    <n v="20984"/>
    <n v="323"/>
    <d v="2023-12-03T00:00:00"/>
    <s v="December"/>
    <n v="2023"/>
    <x v="0"/>
    <n v="59"/>
    <s v="No"/>
    <x v="1"/>
  </r>
  <r>
    <n v="20985"/>
    <n v="166"/>
    <d v="2022-11-27T00:00:00"/>
    <s v="November"/>
    <n v="2022"/>
    <x v="1"/>
    <n v="14"/>
    <s v="Yes"/>
    <x v="4"/>
  </r>
  <r>
    <n v="20986"/>
    <n v="351"/>
    <d v="2022-09-27T00:00:00"/>
    <s v="September"/>
    <n v="2022"/>
    <x v="1"/>
    <n v="21"/>
    <s v="Yes"/>
    <x v="0"/>
  </r>
  <r>
    <n v="20987"/>
    <n v="408"/>
    <d v="2022-07-06T00:00:00"/>
    <s v="July"/>
    <n v="2022"/>
    <x v="1"/>
    <n v="63"/>
    <s v="No"/>
    <x v="5"/>
  </r>
  <r>
    <n v="20988"/>
    <n v="106"/>
    <d v="2023-10-28T00:00:00"/>
    <s v="October"/>
    <n v="2023"/>
    <x v="1"/>
    <n v="46"/>
    <s v="Yes"/>
    <x v="0"/>
  </r>
  <r>
    <n v="20989"/>
    <n v="51"/>
    <d v="2022-06-21T00:00:00"/>
    <s v="June"/>
    <n v="2022"/>
    <x v="0"/>
    <n v="55"/>
    <s v="Yes"/>
    <x v="3"/>
  </r>
  <r>
    <n v="20990"/>
    <n v="204"/>
    <d v="2023-02-08T00:00:00"/>
    <s v="February"/>
    <n v="2023"/>
    <x v="2"/>
    <n v="62"/>
    <s v="Yes"/>
    <x v="1"/>
  </r>
  <r>
    <n v="20991"/>
    <n v="445"/>
    <d v="2023-04-13T00:00:00"/>
    <s v="April"/>
    <n v="2023"/>
    <x v="1"/>
    <n v="39"/>
    <s v="Yes"/>
    <x v="5"/>
  </r>
  <r>
    <n v="20992"/>
    <n v="302"/>
    <d v="2022-09-04T00:00:00"/>
    <s v="September"/>
    <n v="2022"/>
    <x v="0"/>
    <n v="42"/>
    <s v="Yes"/>
    <x v="3"/>
  </r>
  <r>
    <n v="20993"/>
    <n v="43"/>
    <d v="2023-06-07T00:00:00"/>
    <s v="June"/>
    <n v="2023"/>
    <x v="1"/>
    <n v="48"/>
    <s v="Yes"/>
    <x v="2"/>
  </r>
  <r>
    <n v="20994"/>
    <n v="283"/>
    <d v="2023-07-13T00:00:00"/>
    <s v="July"/>
    <n v="2023"/>
    <x v="1"/>
    <n v="28"/>
    <s v="Yes"/>
    <x v="2"/>
  </r>
  <r>
    <n v="20995"/>
    <n v="85"/>
    <d v="2024-02-17T00:00:00"/>
    <s v="February"/>
    <n v="2024"/>
    <x v="1"/>
    <n v="6"/>
    <s v="Yes"/>
    <x v="2"/>
  </r>
  <r>
    <n v="20996"/>
    <n v="217"/>
    <d v="2024-04-08T00:00:00"/>
    <s v="April"/>
    <n v="2024"/>
    <x v="0"/>
    <n v="59"/>
    <s v="Yes"/>
    <x v="5"/>
  </r>
  <r>
    <n v="20997"/>
    <n v="158"/>
    <d v="2022-04-21T00:00:00"/>
    <s v="April"/>
    <n v="2022"/>
    <x v="1"/>
    <n v="70"/>
    <s v="Yes"/>
    <x v="3"/>
  </r>
  <r>
    <n v="20998"/>
    <n v="350"/>
    <d v="2024-03-23T00:00:00"/>
    <s v="March"/>
    <n v="2024"/>
    <x v="1"/>
    <n v="39"/>
    <s v="Yes"/>
    <x v="4"/>
  </r>
  <r>
    <n v="20999"/>
    <n v="127"/>
    <d v="2022-10-30T00:00:00"/>
    <s v="October"/>
    <n v="2022"/>
    <x v="2"/>
    <n v="57"/>
    <s v="Yes"/>
    <x v="4"/>
  </r>
  <r>
    <n v="21000"/>
    <n v="191"/>
    <d v="2024-06-04T00:00:00"/>
    <s v="June"/>
    <n v="2024"/>
    <x v="0"/>
    <n v="54"/>
    <s v="Yes"/>
    <x v="2"/>
  </r>
  <r>
    <n v="21001"/>
    <n v="266"/>
    <d v="2023-04-18T00:00:00"/>
    <s v="April"/>
    <n v="2023"/>
    <x v="2"/>
    <n v="60"/>
    <s v="Yes"/>
    <x v="5"/>
  </r>
  <r>
    <n v="21002"/>
    <n v="387"/>
    <d v="2024-03-01T00:00:00"/>
    <s v="March"/>
    <n v="2024"/>
    <x v="2"/>
    <n v="17"/>
    <s v="Yes"/>
    <x v="0"/>
  </r>
  <r>
    <n v="21003"/>
    <n v="461"/>
    <d v="2022-10-19T00:00:00"/>
    <s v="October"/>
    <n v="2022"/>
    <x v="2"/>
    <n v="40"/>
    <s v="Yes"/>
    <x v="5"/>
  </r>
  <r>
    <n v="21004"/>
    <n v="60"/>
    <d v="2022-09-09T00:00:00"/>
    <s v="September"/>
    <n v="2022"/>
    <x v="2"/>
    <n v="66"/>
    <s v="Yes"/>
    <x v="2"/>
  </r>
  <r>
    <n v="21005"/>
    <n v="283"/>
    <d v="2023-08-11T00:00:00"/>
    <s v="August"/>
    <n v="2023"/>
    <x v="1"/>
    <n v="54"/>
    <s v="Yes"/>
    <x v="2"/>
  </r>
  <r>
    <n v="21006"/>
    <n v="466"/>
    <d v="2022-06-24T00:00:00"/>
    <s v="June"/>
    <n v="2022"/>
    <x v="2"/>
    <n v="71"/>
    <s v="Yes"/>
    <x v="3"/>
  </r>
  <r>
    <n v="21007"/>
    <n v="379"/>
    <d v="2022-04-19T00:00:00"/>
    <s v="April"/>
    <n v="2022"/>
    <x v="0"/>
    <n v="44"/>
    <s v="Yes"/>
    <x v="3"/>
  </r>
  <r>
    <n v="21008"/>
    <n v="429"/>
    <d v="2022-12-06T00:00:00"/>
    <s v="December"/>
    <n v="2022"/>
    <x v="1"/>
    <n v="67"/>
    <s v="Yes"/>
    <x v="2"/>
  </r>
  <r>
    <n v="21009"/>
    <n v="62"/>
    <d v="2024-04-27T00:00:00"/>
    <s v="April"/>
    <n v="2024"/>
    <x v="2"/>
    <n v="57"/>
    <s v="Yes"/>
    <x v="4"/>
  </r>
  <r>
    <n v="21010"/>
    <n v="408"/>
    <d v="2022-01-14T00:00:00"/>
    <s v="January"/>
    <n v="2022"/>
    <x v="2"/>
    <n v="36"/>
    <s v="Yes"/>
    <x v="5"/>
  </r>
  <r>
    <n v="21011"/>
    <n v="302"/>
    <d v="2023-11-24T00:00:00"/>
    <s v="November"/>
    <n v="2023"/>
    <x v="0"/>
    <n v="57"/>
    <s v="Yes"/>
    <x v="3"/>
  </r>
  <r>
    <n v="21012"/>
    <n v="126"/>
    <d v="2022-11-18T00:00:00"/>
    <s v="November"/>
    <n v="2022"/>
    <x v="0"/>
    <n v="43"/>
    <s v="Yes"/>
    <x v="5"/>
  </r>
  <r>
    <n v="21013"/>
    <n v="462"/>
    <d v="2024-02-23T00:00:00"/>
    <s v="February"/>
    <n v="2024"/>
    <x v="2"/>
    <n v="44"/>
    <s v="Yes"/>
    <x v="2"/>
  </r>
  <r>
    <n v="21014"/>
    <n v="487"/>
    <d v="2022-02-12T00:00:00"/>
    <s v="February"/>
    <n v="2022"/>
    <x v="2"/>
    <n v="62"/>
    <s v="Yes"/>
    <x v="0"/>
  </r>
  <r>
    <n v="21015"/>
    <n v="172"/>
    <d v="2023-04-06T00:00:00"/>
    <s v="April"/>
    <n v="2023"/>
    <x v="2"/>
    <n v="61"/>
    <s v="Yes"/>
    <x v="5"/>
  </r>
  <r>
    <n v="21016"/>
    <n v="63"/>
    <d v="2022-04-12T00:00:00"/>
    <s v="April"/>
    <n v="2022"/>
    <x v="2"/>
    <n v="11"/>
    <s v="Yes"/>
    <x v="3"/>
  </r>
  <r>
    <n v="21017"/>
    <n v="260"/>
    <d v="2023-09-17T00:00:00"/>
    <s v="September"/>
    <n v="2023"/>
    <x v="2"/>
    <n v="33"/>
    <s v="Yes"/>
    <x v="0"/>
  </r>
  <r>
    <n v="21018"/>
    <n v="16"/>
    <d v="2023-12-06T00:00:00"/>
    <s v="December"/>
    <n v="2023"/>
    <x v="0"/>
    <n v="66"/>
    <s v="Yes"/>
    <x v="0"/>
  </r>
  <r>
    <n v="21019"/>
    <n v="179"/>
    <d v="2022-01-09T00:00:00"/>
    <s v="January"/>
    <n v="2022"/>
    <x v="0"/>
    <n v="23"/>
    <s v="Yes"/>
    <x v="1"/>
  </r>
  <r>
    <n v="21020"/>
    <n v="330"/>
    <d v="2022-05-29T00:00:00"/>
    <s v="May"/>
    <n v="2022"/>
    <x v="1"/>
    <n v="49"/>
    <s v="Yes"/>
    <x v="1"/>
  </r>
  <r>
    <n v="21021"/>
    <n v="368"/>
    <d v="2022-12-04T00:00:00"/>
    <s v="December"/>
    <n v="2022"/>
    <x v="1"/>
    <n v="20"/>
    <s v="Yes"/>
    <x v="3"/>
  </r>
  <r>
    <n v="21022"/>
    <n v="101"/>
    <d v="2022-08-12T00:00:00"/>
    <s v="August"/>
    <n v="2022"/>
    <x v="0"/>
    <n v="15"/>
    <s v="Yes"/>
    <x v="1"/>
  </r>
  <r>
    <n v="21023"/>
    <n v="475"/>
    <d v="2022-04-20T00:00:00"/>
    <s v="April"/>
    <n v="2022"/>
    <x v="1"/>
    <n v="66"/>
    <s v="Yes"/>
    <x v="4"/>
  </r>
  <r>
    <n v="21024"/>
    <n v="176"/>
    <d v="2022-12-20T00:00:00"/>
    <s v="December"/>
    <n v="2022"/>
    <x v="2"/>
    <n v="30"/>
    <s v="Yes"/>
    <x v="5"/>
  </r>
  <r>
    <n v="21025"/>
    <n v="193"/>
    <d v="2022-03-25T00:00:00"/>
    <s v="March"/>
    <n v="2022"/>
    <x v="1"/>
    <n v="4"/>
    <s v="Yes"/>
    <x v="0"/>
  </r>
  <r>
    <n v="21026"/>
    <n v="453"/>
    <d v="2023-07-09T00:00:00"/>
    <s v="July"/>
    <n v="2023"/>
    <x v="2"/>
    <n v="64"/>
    <s v="Yes"/>
    <x v="0"/>
  </r>
  <r>
    <n v="21027"/>
    <n v="461"/>
    <d v="2022-03-07T00:00:00"/>
    <s v="March"/>
    <n v="2022"/>
    <x v="2"/>
    <n v="65"/>
    <s v="Yes"/>
    <x v="5"/>
  </r>
  <r>
    <n v="21028"/>
    <n v="301"/>
    <d v="2023-01-23T00:00:00"/>
    <s v="January"/>
    <n v="2023"/>
    <x v="1"/>
    <n v="8"/>
    <s v="No"/>
    <x v="4"/>
  </r>
  <r>
    <n v="21029"/>
    <n v="387"/>
    <d v="2024-06-09T00:00:00"/>
    <s v="June"/>
    <n v="2024"/>
    <x v="1"/>
    <n v="52"/>
    <s v="Yes"/>
    <x v="0"/>
  </r>
  <r>
    <n v="21030"/>
    <n v="273"/>
    <d v="2023-09-13T00:00:00"/>
    <s v="September"/>
    <n v="2023"/>
    <x v="2"/>
    <n v="14"/>
    <s v="Yes"/>
    <x v="3"/>
  </r>
  <r>
    <n v="21031"/>
    <n v="467"/>
    <d v="2023-09-06T00:00:00"/>
    <s v="September"/>
    <n v="2023"/>
    <x v="0"/>
    <n v="58"/>
    <s v="Yes"/>
    <x v="2"/>
  </r>
  <r>
    <n v="21032"/>
    <n v="421"/>
    <d v="2022-05-15T00:00:00"/>
    <s v="May"/>
    <n v="2022"/>
    <x v="1"/>
    <n v="11"/>
    <s v="Yes"/>
    <x v="5"/>
  </r>
  <r>
    <n v="21033"/>
    <n v="261"/>
    <d v="2022-03-27T00:00:00"/>
    <s v="March"/>
    <n v="2022"/>
    <x v="1"/>
    <n v="59"/>
    <s v="Yes"/>
    <x v="1"/>
  </r>
  <r>
    <n v="21034"/>
    <n v="175"/>
    <d v="2022-03-25T00:00:00"/>
    <s v="March"/>
    <n v="2022"/>
    <x v="0"/>
    <n v="24"/>
    <s v="Yes"/>
    <x v="3"/>
  </r>
  <r>
    <n v="21035"/>
    <n v="234"/>
    <d v="2022-08-15T00:00:00"/>
    <s v="August"/>
    <n v="2022"/>
    <x v="1"/>
    <n v="32"/>
    <s v="Yes"/>
    <x v="2"/>
  </r>
  <r>
    <n v="21036"/>
    <n v="300"/>
    <d v="2022-09-17T00:00:00"/>
    <s v="September"/>
    <n v="2022"/>
    <x v="2"/>
    <n v="46"/>
    <s v="Yes"/>
    <x v="1"/>
  </r>
  <r>
    <n v="21037"/>
    <n v="216"/>
    <d v="2024-06-10T00:00:00"/>
    <s v="June"/>
    <n v="2024"/>
    <x v="0"/>
    <n v="28"/>
    <s v="Yes"/>
    <x v="5"/>
  </r>
  <r>
    <n v="21038"/>
    <n v="491"/>
    <d v="2022-01-20T00:00:00"/>
    <s v="January"/>
    <n v="2022"/>
    <x v="0"/>
    <n v="16"/>
    <s v="Yes"/>
    <x v="2"/>
  </r>
  <r>
    <n v="21039"/>
    <n v="417"/>
    <d v="2022-02-04T00:00:00"/>
    <s v="February"/>
    <n v="2022"/>
    <x v="2"/>
    <n v="42"/>
    <s v="Yes"/>
    <x v="0"/>
  </r>
  <r>
    <n v="21040"/>
    <n v="247"/>
    <d v="2024-05-14T00:00:00"/>
    <s v="May"/>
    <n v="2024"/>
    <x v="2"/>
    <n v="16"/>
    <s v="Yes"/>
    <x v="5"/>
  </r>
  <r>
    <n v="21041"/>
    <n v="21"/>
    <d v="2024-01-25T00:00:00"/>
    <s v="January"/>
    <n v="2024"/>
    <x v="2"/>
    <n v="12"/>
    <s v="Yes"/>
    <x v="2"/>
  </r>
  <r>
    <n v="21042"/>
    <n v="451"/>
    <d v="2023-03-19T00:00:00"/>
    <s v="March"/>
    <n v="2023"/>
    <x v="0"/>
    <n v="62"/>
    <s v="No"/>
    <x v="4"/>
  </r>
  <r>
    <n v="21043"/>
    <n v="324"/>
    <d v="2022-09-27T00:00:00"/>
    <s v="September"/>
    <n v="2022"/>
    <x v="2"/>
    <n v="34"/>
    <s v="No"/>
    <x v="4"/>
  </r>
  <r>
    <n v="21044"/>
    <n v="243"/>
    <d v="2024-01-05T00:00:00"/>
    <s v="January"/>
    <n v="2024"/>
    <x v="1"/>
    <n v="38"/>
    <s v="Yes"/>
    <x v="2"/>
  </r>
  <r>
    <n v="21045"/>
    <n v="288"/>
    <d v="2023-02-10T00:00:00"/>
    <s v="February"/>
    <n v="2023"/>
    <x v="1"/>
    <n v="47"/>
    <s v="Yes"/>
    <x v="3"/>
  </r>
  <r>
    <n v="21046"/>
    <n v="280"/>
    <d v="2023-05-23T00:00:00"/>
    <s v="May"/>
    <n v="2023"/>
    <x v="2"/>
    <n v="22"/>
    <s v="Yes"/>
    <x v="5"/>
  </r>
  <r>
    <n v="21047"/>
    <n v="244"/>
    <d v="2022-10-31T00:00:00"/>
    <s v="October"/>
    <n v="2022"/>
    <x v="1"/>
    <n v="3"/>
    <s v="Yes"/>
    <x v="0"/>
  </r>
  <r>
    <n v="21048"/>
    <n v="163"/>
    <d v="2023-11-01T00:00:00"/>
    <s v="November"/>
    <n v="2023"/>
    <x v="1"/>
    <n v="1"/>
    <s v="Yes"/>
    <x v="2"/>
  </r>
  <r>
    <n v="21049"/>
    <n v="146"/>
    <d v="2022-10-12T00:00:00"/>
    <s v="October"/>
    <n v="2022"/>
    <x v="0"/>
    <n v="53"/>
    <s v="Yes"/>
    <x v="1"/>
  </r>
  <r>
    <n v="21050"/>
    <n v="67"/>
    <d v="2023-07-02T00:00:00"/>
    <s v="July"/>
    <n v="2023"/>
    <x v="2"/>
    <n v="64"/>
    <s v="Yes"/>
    <x v="2"/>
  </r>
  <r>
    <n v="21051"/>
    <n v="103"/>
    <d v="2024-03-20T00:00:00"/>
    <s v="March"/>
    <n v="2024"/>
    <x v="1"/>
    <n v="44"/>
    <s v="No"/>
    <x v="4"/>
  </r>
  <r>
    <n v="21052"/>
    <n v="310"/>
    <d v="2022-01-29T00:00:00"/>
    <s v="January"/>
    <n v="2022"/>
    <x v="2"/>
    <n v="47"/>
    <s v="Yes"/>
    <x v="3"/>
  </r>
  <r>
    <n v="21053"/>
    <n v="410"/>
    <d v="2023-01-26T00:00:00"/>
    <s v="January"/>
    <n v="2023"/>
    <x v="2"/>
    <n v="38"/>
    <s v="Yes"/>
    <x v="0"/>
  </r>
  <r>
    <n v="21054"/>
    <n v="444"/>
    <d v="2023-02-20T00:00:00"/>
    <s v="February"/>
    <n v="2023"/>
    <x v="1"/>
    <n v="63"/>
    <s v="Yes"/>
    <x v="5"/>
  </r>
  <r>
    <n v="21055"/>
    <n v="125"/>
    <d v="2024-02-06T00:00:00"/>
    <s v="February"/>
    <n v="2024"/>
    <x v="1"/>
    <n v="41"/>
    <s v="Yes"/>
    <x v="0"/>
  </r>
  <r>
    <n v="21056"/>
    <n v="117"/>
    <d v="2022-05-22T00:00:00"/>
    <s v="May"/>
    <n v="2022"/>
    <x v="0"/>
    <n v="21"/>
    <s v="Yes"/>
    <x v="3"/>
  </r>
  <r>
    <n v="21057"/>
    <n v="472"/>
    <d v="2023-10-08T00:00:00"/>
    <s v="October"/>
    <n v="2023"/>
    <x v="0"/>
    <n v="45"/>
    <s v="Yes"/>
    <x v="0"/>
  </r>
  <r>
    <n v="21058"/>
    <n v="251"/>
    <d v="2023-10-18T00:00:00"/>
    <s v="October"/>
    <n v="2023"/>
    <x v="0"/>
    <n v="13"/>
    <s v="Yes"/>
    <x v="3"/>
  </r>
  <r>
    <n v="21059"/>
    <n v="321"/>
    <d v="2024-03-19T00:00:00"/>
    <s v="March"/>
    <n v="2024"/>
    <x v="1"/>
    <n v="66"/>
    <s v="Yes"/>
    <x v="2"/>
  </r>
  <r>
    <n v="21060"/>
    <n v="435"/>
    <d v="2024-05-29T00:00:00"/>
    <s v="May"/>
    <n v="2024"/>
    <x v="0"/>
    <n v="66"/>
    <s v="Yes"/>
    <x v="0"/>
  </r>
  <r>
    <n v="21061"/>
    <n v="370"/>
    <d v="2022-12-07T00:00:00"/>
    <s v="December"/>
    <n v="2022"/>
    <x v="2"/>
    <n v="43"/>
    <s v="Yes"/>
    <x v="3"/>
  </r>
  <r>
    <n v="21062"/>
    <n v="226"/>
    <d v="2022-09-02T00:00:00"/>
    <s v="September"/>
    <n v="2022"/>
    <x v="0"/>
    <n v="62"/>
    <s v="Yes"/>
    <x v="5"/>
  </r>
  <r>
    <n v="21063"/>
    <n v="188"/>
    <d v="2024-02-05T00:00:00"/>
    <s v="February"/>
    <n v="2024"/>
    <x v="0"/>
    <n v="48"/>
    <s v="Yes"/>
    <x v="4"/>
  </r>
  <r>
    <n v="21064"/>
    <n v="187"/>
    <d v="2024-05-25T00:00:00"/>
    <s v="May"/>
    <n v="2024"/>
    <x v="0"/>
    <n v="26"/>
    <s v="Yes"/>
    <x v="5"/>
  </r>
  <r>
    <n v="21065"/>
    <n v="76"/>
    <d v="2022-01-05T00:00:00"/>
    <s v="January"/>
    <n v="2022"/>
    <x v="2"/>
    <n v="61"/>
    <s v="Yes"/>
    <x v="1"/>
  </r>
  <r>
    <n v="21066"/>
    <n v="273"/>
    <d v="2023-03-25T00:00:00"/>
    <s v="March"/>
    <n v="2023"/>
    <x v="2"/>
    <n v="62"/>
    <s v="Yes"/>
    <x v="3"/>
  </r>
  <r>
    <n v="21067"/>
    <n v="469"/>
    <d v="2022-09-23T00:00:00"/>
    <s v="September"/>
    <n v="2022"/>
    <x v="1"/>
    <n v="14"/>
    <s v="Yes"/>
    <x v="0"/>
  </r>
  <r>
    <n v="21068"/>
    <n v="149"/>
    <d v="2023-05-06T00:00:00"/>
    <s v="May"/>
    <n v="2023"/>
    <x v="0"/>
    <n v="54"/>
    <s v="Yes"/>
    <x v="5"/>
  </r>
  <r>
    <n v="21069"/>
    <n v="195"/>
    <d v="2022-08-27T00:00:00"/>
    <s v="August"/>
    <n v="2022"/>
    <x v="2"/>
    <n v="41"/>
    <s v="Yes"/>
    <x v="2"/>
  </r>
  <r>
    <n v="21070"/>
    <n v="364"/>
    <d v="2022-09-07T00:00:00"/>
    <s v="September"/>
    <n v="2022"/>
    <x v="2"/>
    <n v="60"/>
    <s v="Yes"/>
    <x v="4"/>
  </r>
  <r>
    <n v="21071"/>
    <n v="284"/>
    <d v="2022-10-18T00:00:00"/>
    <s v="October"/>
    <n v="2022"/>
    <x v="2"/>
    <n v="9"/>
    <s v="Yes"/>
    <x v="5"/>
  </r>
  <r>
    <n v="21072"/>
    <n v="473"/>
    <d v="2023-06-27T00:00:00"/>
    <s v="June"/>
    <n v="2023"/>
    <x v="1"/>
    <n v="44"/>
    <s v="No"/>
    <x v="4"/>
  </r>
  <r>
    <n v="21073"/>
    <n v="44"/>
    <d v="2023-09-24T00:00:00"/>
    <s v="September"/>
    <n v="2023"/>
    <x v="1"/>
    <n v="56"/>
    <s v="Yes"/>
    <x v="1"/>
  </r>
  <r>
    <n v="21074"/>
    <n v="454"/>
    <d v="2022-03-20T00:00:00"/>
    <s v="March"/>
    <n v="2022"/>
    <x v="1"/>
    <n v="3"/>
    <s v="Yes"/>
    <x v="5"/>
  </r>
  <r>
    <n v="21075"/>
    <n v="446"/>
    <d v="2023-06-05T00:00:00"/>
    <s v="June"/>
    <n v="2023"/>
    <x v="0"/>
    <n v="59"/>
    <s v="Yes"/>
    <x v="3"/>
  </r>
  <r>
    <n v="21076"/>
    <n v="170"/>
    <d v="2023-03-26T00:00:00"/>
    <s v="March"/>
    <n v="2023"/>
    <x v="2"/>
    <n v="13"/>
    <s v="Yes"/>
    <x v="4"/>
  </r>
  <r>
    <n v="21077"/>
    <n v="94"/>
    <d v="2023-07-10T00:00:00"/>
    <s v="July"/>
    <n v="2023"/>
    <x v="1"/>
    <n v="30"/>
    <s v="Yes"/>
    <x v="4"/>
  </r>
  <r>
    <n v="21078"/>
    <n v="224"/>
    <d v="2024-06-02T00:00:00"/>
    <s v="June"/>
    <n v="2024"/>
    <x v="1"/>
    <n v="53"/>
    <s v="Yes"/>
    <x v="4"/>
  </r>
  <r>
    <n v="21079"/>
    <n v="278"/>
    <d v="2024-01-04T00:00:00"/>
    <s v="January"/>
    <n v="2024"/>
    <x v="2"/>
    <n v="51"/>
    <s v="Yes"/>
    <x v="2"/>
  </r>
  <r>
    <n v="21080"/>
    <n v="38"/>
    <d v="2022-05-24T00:00:00"/>
    <s v="May"/>
    <n v="2022"/>
    <x v="2"/>
    <n v="42"/>
    <s v="Yes"/>
    <x v="1"/>
  </r>
  <r>
    <n v="21081"/>
    <n v="270"/>
    <d v="2022-04-30T00:00:00"/>
    <s v="April"/>
    <n v="2022"/>
    <x v="0"/>
    <n v="26"/>
    <s v="Yes"/>
    <x v="4"/>
  </r>
  <r>
    <n v="21082"/>
    <n v="482"/>
    <d v="2023-07-19T00:00:00"/>
    <s v="July"/>
    <n v="2023"/>
    <x v="0"/>
    <n v="59"/>
    <s v="Yes"/>
    <x v="1"/>
  </r>
  <r>
    <n v="21083"/>
    <n v="235"/>
    <d v="2023-07-31T00:00:00"/>
    <s v="July"/>
    <n v="2023"/>
    <x v="0"/>
    <n v="69"/>
    <s v="Yes"/>
    <x v="3"/>
  </r>
  <r>
    <n v="21084"/>
    <n v="111"/>
    <d v="2022-06-25T00:00:00"/>
    <s v="June"/>
    <n v="2022"/>
    <x v="1"/>
    <n v="3"/>
    <s v="Yes"/>
    <x v="1"/>
  </r>
  <r>
    <n v="21085"/>
    <n v="378"/>
    <d v="2022-03-11T00:00:00"/>
    <s v="March"/>
    <n v="2022"/>
    <x v="1"/>
    <n v="41"/>
    <s v="No"/>
    <x v="4"/>
  </r>
  <r>
    <n v="21086"/>
    <n v="410"/>
    <d v="2024-03-24T00:00:00"/>
    <s v="March"/>
    <n v="2024"/>
    <x v="2"/>
    <n v="1"/>
    <s v="No"/>
    <x v="0"/>
  </r>
  <r>
    <n v="21087"/>
    <n v="168"/>
    <d v="2023-09-25T00:00:00"/>
    <s v="September"/>
    <n v="2023"/>
    <x v="0"/>
    <n v="65"/>
    <s v="Yes"/>
    <x v="4"/>
  </r>
  <r>
    <n v="21088"/>
    <n v="54"/>
    <d v="2024-06-07T00:00:00"/>
    <s v="June"/>
    <n v="2024"/>
    <x v="2"/>
    <n v="70"/>
    <s v="No"/>
    <x v="0"/>
  </r>
  <r>
    <n v="21089"/>
    <n v="397"/>
    <d v="2022-07-22T00:00:00"/>
    <s v="July"/>
    <n v="2022"/>
    <x v="0"/>
    <n v="50"/>
    <s v="Yes"/>
    <x v="0"/>
  </r>
  <r>
    <n v="21090"/>
    <n v="127"/>
    <d v="2024-03-11T00:00:00"/>
    <s v="March"/>
    <n v="2024"/>
    <x v="0"/>
    <n v="59"/>
    <s v="Yes"/>
    <x v="4"/>
  </r>
  <r>
    <n v="21091"/>
    <n v="478"/>
    <d v="2022-06-29T00:00:00"/>
    <s v="June"/>
    <n v="2022"/>
    <x v="0"/>
    <n v="63"/>
    <s v="No"/>
    <x v="5"/>
  </r>
  <r>
    <n v="21092"/>
    <n v="275"/>
    <d v="2023-08-16T00:00:00"/>
    <s v="August"/>
    <n v="2023"/>
    <x v="0"/>
    <n v="25"/>
    <s v="Yes"/>
    <x v="0"/>
  </r>
  <r>
    <n v="21093"/>
    <n v="42"/>
    <d v="2023-07-21T00:00:00"/>
    <s v="July"/>
    <n v="2023"/>
    <x v="2"/>
    <n v="10"/>
    <s v="Yes"/>
    <x v="3"/>
  </r>
  <r>
    <n v="21094"/>
    <n v="41"/>
    <d v="2023-11-22T00:00:00"/>
    <s v="November"/>
    <n v="2023"/>
    <x v="2"/>
    <n v="1"/>
    <s v="Yes"/>
    <x v="3"/>
  </r>
  <r>
    <n v="21095"/>
    <n v="50"/>
    <d v="2023-09-02T00:00:00"/>
    <s v="September"/>
    <n v="2023"/>
    <x v="1"/>
    <n v="14"/>
    <s v="Yes"/>
    <x v="2"/>
  </r>
  <r>
    <n v="21096"/>
    <n v="487"/>
    <d v="2022-04-20T00:00:00"/>
    <s v="April"/>
    <n v="2022"/>
    <x v="0"/>
    <n v="21"/>
    <s v="Yes"/>
    <x v="0"/>
  </r>
  <r>
    <n v="21097"/>
    <n v="387"/>
    <d v="2023-02-28T00:00:00"/>
    <s v="February"/>
    <n v="2023"/>
    <x v="2"/>
    <n v="58"/>
    <s v="Yes"/>
    <x v="0"/>
  </r>
  <r>
    <n v="21098"/>
    <n v="159"/>
    <d v="2023-10-27T00:00:00"/>
    <s v="October"/>
    <n v="2023"/>
    <x v="0"/>
    <n v="38"/>
    <s v="Yes"/>
    <x v="4"/>
  </r>
  <r>
    <n v="21099"/>
    <n v="332"/>
    <d v="2023-05-18T00:00:00"/>
    <s v="May"/>
    <n v="2023"/>
    <x v="0"/>
    <n v="1"/>
    <s v="Yes"/>
    <x v="1"/>
  </r>
  <r>
    <n v="21100"/>
    <n v="399"/>
    <d v="2023-02-10T00:00:00"/>
    <s v="February"/>
    <n v="2023"/>
    <x v="1"/>
    <n v="5"/>
    <s v="No"/>
    <x v="2"/>
  </r>
  <r>
    <n v="21101"/>
    <n v="182"/>
    <d v="2023-09-29T00:00:00"/>
    <s v="September"/>
    <n v="2023"/>
    <x v="1"/>
    <n v="44"/>
    <s v="Yes"/>
    <x v="0"/>
  </r>
  <r>
    <n v="21102"/>
    <n v="181"/>
    <d v="2022-04-01T00:00:00"/>
    <s v="April"/>
    <n v="2022"/>
    <x v="2"/>
    <n v="65"/>
    <s v="Yes"/>
    <x v="2"/>
  </r>
  <r>
    <n v="21103"/>
    <n v="429"/>
    <d v="2022-10-21T00:00:00"/>
    <s v="October"/>
    <n v="2022"/>
    <x v="2"/>
    <n v="57"/>
    <s v="Yes"/>
    <x v="2"/>
  </r>
  <r>
    <n v="21104"/>
    <n v="166"/>
    <d v="2023-01-28T00:00:00"/>
    <s v="January"/>
    <n v="2023"/>
    <x v="1"/>
    <n v="45"/>
    <s v="Yes"/>
    <x v="4"/>
  </r>
  <r>
    <n v="21105"/>
    <n v="232"/>
    <d v="2022-02-06T00:00:00"/>
    <s v="February"/>
    <n v="2022"/>
    <x v="2"/>
    <n v="60"/>
    <s v="Yes"/>
    <x v="1"/>
  </r>
  <r>
    <n v="21106"/>
    <n v="206"/>
    <d v="2023-06-01T00:00:00"/>
    <s v="June"/>
    <n v="2023"/>
    <x v="2"/>
    <n v="66"/>
    <s v="Yes"/>
    <x v="2"/>
  </r>
  <r>
    <n v="21107"/>
    <n v="355"/>
    <d v="2024-04-29T00:00:00"/>
    <s v="April"/>
    <n v="2024"/>
    <x v="1"/>
    <n v="47"/>
    <s v="Yes"/>
    <x v="0"/>
  </r>
  <r>
    <n v="21108"/>
    <n v="464"/>
    <d v="2023-10-24T00:00:00"/>
    <s v="October"/>
    <n v="2023"/>
    <x v="0"/>
    <n v="26"/>
    <s v="Yes"/>
    <x v="4"/>
  </r>
  <r>
    <n v="21109"/>
    <n v="50"/>
    <d v="2024-05-27T00:00:00"/>
    <s v="May"/>
    <n v="2024"/>
    <x v="0"/>
    <n v="9"/>
    <s v="Yes"/>
    <x v="2"/>
  </r>
  <r>
    <n v="21110"/>
    <n v="408"/>
    <d v="2022-11-12T00:00:00"/>
    <s v="November"/>
    <n v="2022"/>
    <x v="1"/>
    <n v="51"/>
    <s v="Yes"/>
    <x v="5"/>
  </r>
  <r>
    <n v="21111"/>
    <n v="401"/>
    <d v="2022-06-21T00:00:00"/>
    <s v="June"/>
    <n v="2022"/>
    <x v="0"/>
    <n v="8"/>
    <s v="Yes"/>
    <x v="5"/>
  </r>
  <r>
    <n v="21112"/>
    <n v="146"/>
    <d v="2023-02-10T00:00:00"/>
    <s v="February"/>
    <n v="2023"/>
    <x v="0"/>
    <n v="5"/>
    <s v="Yes"/>
    <x v="1"/>
  </r>
  <r>
    <n v="21113"/>
    <n v="298"/>
    <d v="2022-09-19T00:00:00"/>
    <s v="September"/>
    <n v="2022"/>
    <x v="1"/>
    <n v="39"/>
    <s v="Yes"/>
    <x v="1"/>
  </r>
  <r>
    <n v="21114"/>
    <n v="145"/>
    <d v="2023-04-29T00:00:00"/>
    <s v="April"/>
    <n v="2023"/>
    <x v="2"/>
    <n v="68"/>
    <s v="Yes"/>
    <x v="5"/>
  </r>
  <r>
    <n v="21115"/>
    <n v="16"/>
    <d v="2022-01-27T00:00:00"/>
    <s v="January"/>
    <n v="2022"/>
    <x v="1"/>
    <n v="40"/>
    <s v="Yes"/>
    <x v="0"/>
  </r>
  <r>
    <n v="21116"/>
    <n v="85"/>
    <d v="2023-05-10T00:00:00"/>
    <s v="May"/>
    <n v="2023"/>
    <x v="1"/>
    <n v="36"/>
    <s v="Yes"/>
    <x v="2"/>
  </r>
  <r>
    <n v="21117"/>
    <n v="216"/>
    <d v="2022-02-24T00:00:00"/>
    <s v="February"/>
    <n v="2022"/>
    <x v="0"/>
    <n v="21"/>
    <s v="Yes"/>
    <x v="5"/>
  </r>
  <r>
    <n v="21118"/>
    <n v="482"/>
    <d v="2024-04-11T00:00:00"/>
    <s v="April"/>
    <n v="2024"/>
    <x v="1"/>
    <n v="26"/>
    <s v="Yes"/>
    <x v="1"/>
  </r>
  <r>
    <n v="21119"/>
    <n v="52"/>
    <d v="2022-09-06T00:00:00"/>
    <s v="September"/>
    <n v="2022"/>
    <x v="0"/>
    <n v="56"/>
    <s v="Yes"/>
    <x v="5"/>
  </r>
  <r>
    <n v="21120"/>
    <n v="36"/>
    <d v="2022-09-30T00:00:00"/>
    <s v="September"/>
    <n v="2022"/>
    <x v="1"/>
    <n v="57"/>
    <s v="Yes"/>
    <x v="5"/>
  </r>
  <r>
    <n v="21121"/>
    <n v="107"/>
    <d v="2022-09-16T00:00:00"/>
    <s v="September"/>
    <n v="2022"/>
    <x v="2"/>
    <n v="59"/>
    <s v="No"/>
    <x v="5"/>
  </r>
  <r>
    <n v="21122"/>
    <n v="219"/>
    <d v="2024-02-17T00:00:00"/>
    <s v="February"/>
    <n v="2024"/>
    <x v="0"/>
    <n v="7"/>
    <s v="Yes"/>
    <x v="0"/>
  </r>
  <r>
    <n v="21123"/>
    <n v="423"/>
    <d v="2022-07-10T00:00:00"/>
    <s v="July"/>
    <n v="2022"/>
    <x v="1"/>
    <n v="42"/>
    <s v="Yes"/>
    <x v="0"/>
  </r>
  <r>
    <n v="21124"/>
    <n v="337"/>
    <d v="2023-07-29T00:00:00"/>
    <s v="July"/>
    <n v="2023"/>
    <x v="0"/>
    <n v="13"/>
    <s v="Yes"/>
    <x v="1"/>
  </r>
  <r>
    <n v="21125"/>
    <n v="409"/>
    <d v="2024-05-06T00:00:00"/>
    <s v="May"/>
    <n v="2024"/>
    <x v="1"/>
    <n v="34"/>
    <s v="No"/>
    <x v="3"/>
  </r>
  <r>
    <n v="21126"/>
    <n v="371"/>
    <d v="2023-03-22T00:00:00"/>
    <s v="March"/>
    <n v="2023"/>
    <x v="1"/>
    <n v="53"/>
    <s v="Yes"/>
    <x v="4"/>
  </r>
  <r>
    <n v="21127"/>
    <n v="486"/>
    <d v="2024-05-02T00:00:00"/>
    <s v="May"/>
    <n v="2024"/>
    <x v="1"/>
    <n v="46"/>
    <s v="Yes"/>
    <x v="5"/>
  </r>
  <r>
    <n v="21128"/>
    <n v="298"/>
    <d v="2023-05-17T00:00:00"/>
    <s v="May"/>
    <n v="2023"/>
    <x v="0"/>
    <n v="57"/>
    <s v="Yes"/>
    <x v="1"/>
  </r>
  <r>
    <n v="21129"/>
    <n v="254"/>
    <d v="2023-09-08T00:00:00"/>
    <s v="September"/>
    <n v="2023"/>
    <x v="0"/>
    <n v="61"/>
    <s v="Yes"/>
    <x v="0"/>
  </r>
  <r>
    <n v="21130"/>
    <n v="405"/>
    <d v="2023-01-28T00:00:00"/>
    <s v="January"/>
    <n v="2023"/>
    <x v="2"/>
    <n v="56"/>
    <s v="Yes"/>
    <x v="5"/>
  </r>
  <r>
    <n v="21131"/>
    <n v="68"/>
    <d v="2023-02-12T00:00:00"/>
    <s v="February"/>
    <n v="2023"/>
    <x v="2"/>
    <n v="29"/>
    <s v="Yes"/>
    <x v="0"/>
  </r>
  <r>
    <n v="21132"/>
    <n v="473"/>
    <d v="2024-03-10T00:00:00"/>
    <s v="March"/>
    <n v="2024"/>
    <x v="2"/>
    <n v="14"/>
    <s v="Yes"/>
    <x v="4"/>
  </r>
  <r>
    <n v="21133"/>
    <n v="187"/>
    <d v="2024-02-10T00:00:00"/>
    <s v="February"/>
    <n v="2024"/>
    <x v="2"/>
    <n v="68"/>
    <s v="Yes"/>
    <x v="5"/>
  </r>
  <r>
    <n v="21134"/>
    <n v="124"/>
    <d v="2023-11-04T00:00:00"/>
    <s v="November"/>
    <n v="2023"/>
    <x v="1"/>
    <n v="71"/>
    <s v="Yes"/>
    <x v="3"/>
  </r>
  <r>
    <n v="21135"/>
    <n v="30"/>
    <d v="2023-11-14T00:00:00"/>
    <s v="November"/>
    <n v="2023"/>
    <x v="0"/>
    <n v="13"/>
    <s v="Yes"/>
    <x v="2"/>
  </r>
  <r>
    <n v="21136"/>
    <n v="185"/>
    <d v="2022-04-19T00:00:00"/>
    <s v="April"/>
    <n v="2022"/>
    <x v="1"/>
    <n v="17"/>
    <s v="Yes"/>
    <x v="1"/>
  </r>
  <r>
    <n v="21137"/>
    <n v="289"/>
    <d v="2023-10-14T00:00:00"/>
    <s v="October"/>
    <n v="2023"/>
    <x v="0"/>
    <n v="29"/>
    <s v="Yes"/>
    <x v="2"/>
  </r>
  <r>
    <n v="21138"/>
    <n v="359"/>
    <d v="2023-08-28T00:00:00"/>
    <s v="August"/>
    <n v="2023"/>
    <x v="0"/>
    <n v="2"/>
    <s v="Yes"/>
    <x v="1"/>
  </r>
  <r>
    <n v="21139"/>
    <n v="474"/>
    <d v="2022-04-13T00:00:00"/>
    <s v="April"/>
    <n v="2022"/>
    <x v="1"/>
    <n v="62"/>
    <s v="Yes"/>
    <x v="2"/>
  </r>
  <r>
    <n v="21140"/>
    <n v="473"/>
    <d v="2022-08-14T00:00:00"/>
    <s v="August"/>
    <n v="2022"/>
    <x v="1"/>
    <n v="20"/>
    <s v="Yes"/>
    <x v="4"/>
  </r>
  <r>
    <n v="21141"/>
    <n v="53"/>
    <d v="2022-12-19T00:00:00"/>
    <s v="December"/>
    <n v="2022"/>
    <x v="0"/>
    <n v="56"/>
    <s v="Yes"/>
    <x v="1"/>
  </r>
  <r>
    <n v="21142"/>
    <n v="400"/>
    <d v="2022-06-09T00:00:00"/>
    <s v="June"/>
    <n v="2022"/>
    <x v="2"/>
    <n v="52"/>
    <s v="Yes"/>
    <x v="1"/>
  </r>
  <r>
    <n v="21143"/>
    <n v="177"/>
    <d v="2023-02-08T00:00:00"/>
    <s v="February"/>
    <n v="2023"/>
    <x v="2"/>
    <n v="25"/>
    <s v="Yes"/>
    <x v="3"/>
  </r>
  <r>
    <n v="21144"/>
    <n v="472"/>
    <d v="2023-12-08T00:00:00"/>
    <s v="December"/>
    <n v="2023"/>
    <x v="0"/>
    <n v="62"/>
    <s v="No"/>
    <x v="0"/>
  </r>
  <r>
    <n v="21145"/>
    <n v="133"/>
    <d v="2022-11-20T00:00:00"/>
    <s v="November"/>
    <n v="2022"/>
    <x v="1"/>
    <n v="17"/>
    <s v="Yes"/>
    <x v="3"/>
  </r>
  <r>
    <n v="21146"/>
    <n v="362"/>
    <d v="2022-05-25T00:00:00"/>
    <s v="May"/>
    <n v="2022"/>
    <x v="1"/>
    <n v="39"/>
    <s v="Yes"/>
    <x v="4"/>
  </r>
  <r>
    <n v="21147"/>
    <n v="487"/>
    <d v="2024-01-24T00:00:00"/>
    <s v="January"/>
    <n v="2024"/>
    <x v="0"/>
    <n v="10"/>
    <s v="Yes"/>
    <x v="0"/>
  </r>
  <r>
    <n v="21148"/>
    <n v="77"/>
    <d v="2023-04-10T00:00:00"/>
    <s v="April"/>
    <n v="2023"/>
    <x v="1"/>
    <n v="59"/>
    <s v="Yes"/>
    <x v="4"/>
  </r>
  <r>
    <n v="21149"/>
    <n v="350"/>
    <d v="2022-05-12T00:00:00"/>
    <s v="May"/>
    <n v="2022"/>
    <x v="0"/>
    <n v="25"/>
    <s v="Yes"/>
    <x v="4"/>
  </r>
  <r>
    <n v="21150"/>
    <n v="60"/>
    <d v="2022-04-03T00:00:00"/>
    <s v="April"/>
    <n v="2022"/>
    <x v="0"/>
    <n v="28"/>
    <s v="Yes"/>
    <x v="2"/>
  </r>
  <r>
    <n v="21151"/>
    <n v="455"/>
    <d v="2022-09-30T00:00:00"/>
    <s v="September"/>
    <n v="2022"/>
    <x v="0"/>
    <n v="61"/>
    <s v="Yes"/>
    <x v="4"/>
  </r>
  <r>
    <n v="21152"/>
    <n v="367"/>
    <d v="2023-12-05T00:00:00"/>
    <s v="December"/>
    <n v="2023"/>
    <x v="1"/>
    <n v="58"/>
    <s v="Yes"/>
    <x v="3"/>
  </r>
  <r>
    <n v="21153"/>
    <n v="465"/>
    <d v="2023-06-18T00:00:00"/>
    <s v="June"/>
    <n v="2023"/>
    <x v="2"/>
    <n v="44"/>
    <s v="Yes"/>
    <x v="0"/>
  </r>
  <r>
    <n v="21154"/>
    <n v="311"/>
    <d v="2022-07-13T00:00:00"/>
    <s v="July"/>
    <n v="2022"/>
    <x v="0"/>
    <n v="23"/>
    <s v="Yes"/>
    <x v="5"/>
  </r>
  <r>
    <n v="21155"/>
    <n v="91"/>
    <d v="2022-06-19T00:00:00"/>
    <s v="June"/>
    <n v="2022"/>
    <x v="1"/>
    <n v="17"/>
    <s v="Yes"/>
    <x v="5"/>
  </r>
  <r>
    <n v="21156"/>
    <n v="419"/>
    <d v="2023-04-05T00:00:00"/>
    <s v="April"/>
    <n v="2023"/>
    <x v="2"/>
    <n v="38"/>
    <s v="Yes"/>
    <x v="3"/>
  </r>
  <r>
    <n v="21157"/>
    <n v="453"/>
    <d v="2022-01-11T00:00:00"/>
    <s v="January"/>
    <n v="2022"/>
    <x v="0"/>
    <n v="30"/>
    <s v="Yes"/>
    <x v="0"/>
  </r>
  <r>
    <n v="21158"/>
    <n v="298"/>
    <d v="2022-06-30T00:00:00"/>
    <s v="June"/>
    <n v="2022"/>
    <x v="2"/>
    <n v="19"/>
    <s v="Yes"/>
    <x v="1"/>
  </r>
  <r>
    <n v="21159"/>
    <n v="325"/>
    <d v="2022-08-20T00:00:00"/>
    <s v="August"/>
    <n v="2022"/>
    <x v="1"/>
    <n v="32"/>
    <s v="Yes"/>
    <x v="3"/>
  </r>
  <r>
    <n v="21160"/>
    <n v="280"/>
    <d v="2022-01-29T00:00:00"/>
    <s v="January"/>
    <n v="2022"/>
    <x v="2"/>
    <n v="20"/>
    <s v="Yes"/>
    <x v="5"/>
  </r>
  <r>
    <n v="21161"/>
    <n v="199"/>
    <d v="2023-06-16T00:00:00"/>
    <s v="June"/>
    <n v="2023"/>
    <x v="2"/>
    <n v="64"/>
    <s v="Yes"/>
    <x v="3"/>
  </r>
  <r>
    <n v="21162"/>
    <n v="455"/>
    <d v="2022-01-05T00:00:00"/>
    <s v="January"/>
    <n v="2022"/>
    <x v="1"/>
    <n v="36"/>
    <s v="Yes"/>
    <x v="4"/>
  </r>
  <r>
    <n v="21163"/>
    <n v="118"/>
    <d v="2023-06-30T00:00:00"/>
    <s v="June"/>
    <n v="2023"/>
    <x v="0"/>
    <n v="65"/>
    <s v="Yes"/>
    <x v="2"/>
  </r>
  <r>
    <n v="21164"/>
    <n v="183"/>
    <d v="2022-05-20T00:00:00"/>
    <s v="May"/>
    <n v="2022"/>
    <x v="1"/>
    <n v="43"/>
    <s v="Yes"/>
    <x v="2"/>
  </r>
  <r>
    <n v="21165"/>
    <n v="398"/>
    <d v="2022-01-28T00:00:00"/>
    <s v="January"/>
    <n v="2022"/>
    <x v="1"/>
    <n v="26"/>
    <s v="Yes"/>
    <x v="0"/>
  </r>
  <r>
    <n v="21166"/>
    <n v="55"/>
    <d v="2022-04-08T00:00:00"/>
    <s v="April"/>
    <n v="2022"/>
    <x v="0"/>
    <n v="7"/>
    <s v="Yes"/>
    <x v="1"/>
  </r>
  <r>
    <n v="21167"/>
    <n v="271"/>
    <d v="2022-09-19T00:00:00"/>
    <s v="September"/>
    <n v="2022"/>
    <x v="0"/>
    <n v="34"/>
    <s v="Yes"/>
    <x v="3"/>
  </r>
  <r>
    <n v="21168"/>
    <n v="5"/>
    <d v="2024-01-28T00:00:00"/>
    <s v="January"/>
    <n v="2024"/>
    <x v="1"/>
    <n v="36"/>
    <s v="Yes"/>
    <x v="4"/>
  </r>
  <r>
    <n v="21169"/>
    <n v="101"/>
    <d v="2022-01-19T00:00:00"/>
    <s v="January"/>
    <n v="2022"/>
    <x v="0"/>
    <n v="6"/>
    <s v="Yes"/>
    <x v="1"/>
  </r>
  <r>
    <n v="21170"/>
    <n v="388"/>
    <d v="2022-01-12T00:00:00"/>
    <s v="January"/>
    <n v="2022"/>
    <x v="0"/>
    <n v="37"/>
    <s v="Yes"/>
    <x v="5"/>
  </r>
  <r>
    <n v="21171"/>
    <n v="286"/>
    <d v="2023-06-21T00:00:00"/>
    <s v="June"/>
    <n v="2023"/>
    <x v="1"/>
    <n v="62"/>
    <s v="Yes"/>
    <x v="5"/>
  </r>
  <r>
    <n v="21172"/>
    <n v="468"/>
    <d v="2023-06-09T00:00:00"/>
    <s v="June"/>
    <n v="2023"/>
    <x v="1"/>
    <n v="60"/>
    <s v="Yes"/>
    <x v="1"/>
  </r>
  <r>
    <n v="21173"/>
    <n v="53"/>
    <d v="2023-04-10T00:00:00"/>
    <s v="April"/>
    <n v="2023"/>
    <x v="1"/>
    <n v="64"/>
    <s v="Yes"/>
    <x v="1"/>
  </r>
  <r>
    <n v="21174"/>
    <n v="218"/>
    <d v="2023-08-11T00:00:00"/>
    <s v="August"/>
    <n v="2023"/>
    <x v="1"/>
    <n v="50"/>
    <s v="Yes"/>
    <x v="4"/>
  </r>
  <r>
    <n v="21175"/>
    <n v="329"/>
    <d v="2022-09-16T00:00:00"/>
    <s v="September"/>
    <n v="2022"/>
    <x v="2"/>
    <n v="52"/>
    <s v="Yes"/>
    <x v="4"/>
  </r>
  <r>
    <n v="21176"/>
    <n v="286"/>
    <d v="2022-01-24T00:00:00"/>
    <s v="January"/>
    <n v="2022"/>
    <x v="2"/>
    <n v="17"/>
    <s v="Yes"/>
    <x v="5"/>
  </r>
  <r>
    <n v="21177"/>
    <n v="492"/>
    <d v="2022-01-08T00:00:00"/>
    <s v="January"/>
    <n v="2022"/>
    <x v="0"/>
    <n v="60"/>
    <s v="Yes"/>
    <x v="4"/>
  </r>
  <r>
    <n v="21178"/>
    <n v="240"/>
    <d v="2024-05-29T00:00:00"/>
    <s v="May"/>
    <n v="2024"/>
    <x v="2"/>
    <n v="54"/>
    <s v="Yes"/>
    <x v="4"/>
  </r>
  <r>
    <n v="21179"/>
    <n v="214"/>
    <d v="2022-08-16T00:00:00"/>
    <s v="August"/>
    <n v="2022"/>
    <x v="2"/>
    <n v="10"/>
    <s v="Yes"/>
    <x v="5"/>
  </r>
  <r>
    <n v="21180"/>
    <n v="104"/>
    <d v="2023-01-11T00:00:00"/>
    <s v="January"/>
    <n v="2023"/>
    <x v="2"/>
    <n v="25"/>
    <s v="No"/>
    <x v="3"/>
  </r>
  <r>
    <n v="21181"/>
    <n v="361"/>
    <d v="2022-05-03T00:00:00"/>
    <s v="May"/>
    <n v="2022"/>
    <x v="0"/>
    <n v="18"/>
    <s v="Yes"/>
    <x v="5"/>
  </r>
  <r>
    <n v="21182"/>
    <n v="364"/>
    <d v="2022-03-31T00:00:00"/>
    <s v="March"/>
    <n v="2022"/>
    <x v="2"/>
    <n v="64"/>
    <s v="Yes"/>
    <x v="4"/>
  </r>
  <r>
    <n v="21183"/>
    <n v="222"/>
    <d v="2024-03-23T00:00:00"/>
    <s v="March"/>
    <n v="2024"/>
    <x v="1"/>
    <n v="59"/>
    <s v="Yes"/>
    <x v="0"/>
  </r>
  <r>
    <n v="21184"/>
    <n v="340"/>
    <d v="2023-04-01T00:00:00"/>
    <s v="April"/>
    <n v="2023"/>
    <x v="1"/>
    <n v="27"/>
    <s v="Yes"/>
    <x v="3"/>
  </r>
  <r>
    <n v="21185"/>
    <n v="348"/>
    <d v="2022-08-12T00:00:00"/>
    <s v="August"/>
    <n v="2022"/>
    <x v="0"/>
    <n v="58"/>
    <s v="No"/>
    <x v="5"/>
  </r>
  <r>
    <n v="21186"/>
    <n v="189"/>
    <d v="2024-01-06T00:00:00"/>
    <s v="January"/>
    <n v="2024"/>
    <x v="0"/>
    <n v="61"/>
    <s v="Yes"/>
    <x v="4"/>
  </r>
  <r>
    <n v="21187"/>
    <n v="327"/>
    <d v="2022-09-14T00:00:00"/>
    <s v="September"/>
    <n v="2022"/>
    <x v="0"/>
    <n v="71"/>
    <s v="Yes"/>
    <x v="4"/>
  </r>
  <r>
    <n v="21188"/>
    <n v="324"/>
    <d v="2023-05-30T00:00:00"/>
    <s v="May"/>
    <n v="2023"/>
    <x v="2"/>
    <n v="43"/>
    <s v="Yes"/>
    <x v="4"/>
  </r>
  <r>
    <n v="21189"/>
    <n v="476"/>
    <d v="2024-04-12T00:00:00"/>
    <s v="April"/>
    <n v="2024"/>
    <x v="0"/>
    <n v="11"/>
    <s v="Yes"/>
    <x v="0"/>
  </r>
  <r>
    <n v="21190"/>
    <n v="311"/>
    <d v="2024-02-22T00:00:00"/>
    <s v="February"/>
    <n v="2024"/>
    <x v="0"/>
    <n v="5"/>
    <s v="Yes"/>
    <x v="5"/>
  </r>
  <r>
    <n v="21191"/>
    <n v="99"/>
    <d v="2024-03-28T00:00:00"/>
    <s v="March"/>
    <n v="2024"/>
    <x v="0"/>
    <n v="58"/>
    <s v="Yes"/>
    <x v="2"/>
  </r>
  <r>
    <n v="21192"/>
    <n v="97"/>
    <d v="2022-05-28T00:00:00"/>
    <s v="May"/>
    <n v="2022"/>
    <x v="1"/>
    <n v="39"/>
    <s v="No"/>
    <x v="5"/>
  </r>
  <r>
    <n v="21193"/>
    <n v="327"/>
    <d v="2023-01-22T00:00:00"/>
    <s v="January"/>
    <n v="2023"/>
    <x v="0"/>
    <n v="48"/>
    <s v="No"/>
    <x v="4"/>
  </r>
  <r>
    <n v="21194"/>
    <n v="73"/>
    <d v="2023-12-02T00:00:00"/>
    <s v="December"/>
    <n v="2023"/>
    <x v="1"/>
    <n v="20"/>
    <s v="Yes"/>
    <x v="3"/>
  </r>
  <r>
    <n v="21195"/>
    <n v="482"/>
    <d v="2023-11-30T00:00:00"/>
    <s v="November"/>
    <n v="2023"/>
    <x v="1"/>
    <n v="19"/>
    <s v="Yes"/>
    <x v="1"/>
  </r>
  <r>
    <n v="21196"/>
    <n v="256"/>
    <d v="2023-03-14T00:00:00"/>
    <s v="March"/>
    <n v="2023"/>
    <x v="0"/>
    <n v="60"/>
    <s v="Yes"/>
    <x v="3"/>
  </r>
  <r>
    <n v="21197"/>
    <n v="231"/>
    <d v="2023-12-01T00:00:00"/>
    <s v="December"/>
    <n v="2023"/>
    <x v="0"/>
    <n v="26"/>
    <s v="Yes"/>
    <x v="4"/>
  </r>
  <r>
    <n v="21198"/>
    <n v="170"/>
    <d v="2023-09-28T00:00:00"/>
    <s v="September"/>
    <n v="2023"/>
    <x v="2"/>
    <n v="25"/>
    <s v="Yes"/>
    <x v="4"/>
  </r>
  <r>
    <n v="21199"/>
    <n v="482"/>
    <d v="2022-02-06T00:00:00"/>
    <s v="February"/>
    <n v="2022"/>
    <x v="0"/>
    <n v="15"/>
    <s v="Yes"/>
    <x v="1"/>
  </r>
  <r>
    <n v="21200"/>
    <n v="333"/>
    <d v="2023-10-23T00:00:00"/>
    <s v="October"/>
    <n v="2023"/>
    <x v="0"/>
    <n v="21"/>
    <s v="Yes"/>
    <x v="0"/>
  </r>
  <r>
    <n v="21201"/>
    <n v="157"/>
    <d v="2022-04-16T00:00:00"/>
    <s v="April"/>
    <n v="2022"/>
    <x v="0"/>
    <n v="47"/>
    <s v="Yes"/>
    <x v="5"/>
  </r>
  <r>
    <n v="21202"/>
    <n v="419"/>
    <d v="2023-09-07T00:00:00"/>
    <s v="September"/>
    <n v="2023"/>
    <x v="0"/>
    <n v="35"/>
    <s v="Yes"/>
    <x v="3"/>
  </r>
  <r>
    <n v="21203"/>
    <n v="429"/>
    <d v="2024-06-07T00:00:00"/>
    <s v="June"/>
    <n v="2024"/>
    <x v="0"/>
    <n v="44"/>
    <s v="Yes"/>
    <x v="2"/>
  </r>
  <r>
    <n v="21204"/>
    <n v="458"/>
    <d v="2022-08-20T00:00:00"/>
    <s v="August"/>
    <n v="2022"/>
    <x v="0"/>
    <n v="6"/>
    <s v="No"/>
    <x v="2"/>
  </r>
  <r>
    <n v="21205"/>
    <n v="222"/>
    <d v="2024-05-16T00:00:00"/>
    <s v="May"/>
    <n v="2024"/>
    <x v="2"/>
    <n v="23"/>
    <s v="Yes"/>
    <x v="0"/>
  </r>
  <r>
    <n v="21206"/>
    <n v="364"/>
    <d v="2022-05-26T00:00:00"/>
    <s v="May"/>
    <n v="2022"/>
    <x v="2"/>
    <n v="39"/>
    <s v="Yes"/>
    <x v="4"/>
  </r>
  <r>
    <n v="21207"/>
    <n v="346"/>
    <d v="2022-01-17T00:00:00"/>
    <s v="January"/>
    <n v="2022"/>
    <x v="0"/>
    <n v="18"/>
    <s v="Yes"/>
    <x v="5"/>
  </r>
  <r>
    <n v="21208"/>
    <n v="99"/>
    <d v="2022-06-08T00:00:00"/>
    <s v="June"/>
    <n v="2022"/>
    <x v="2"/>
    <n v="40"/>
    <s v="Yes"/>
    <x v="2"/>
  </r>
  <r>
    <n v="21209"/>
    <n v="220"/>
    <d v="2024-03-26T00:00:00"/>
    <s v="March"/>
    <n v="2024"/>
    <x v="1"/>
    <n v="36"/>
    <s v="Yes"/>
    <x v="0"/>
  </r>
  <r>
    <n v="21210"/>
    <n v="413"/>
    <d v="2022-10-09T00:00:00"/>
    <s v="October"/>
    <n v="2022"/>
    <x v="2"/>
    <n v="28"/>
    <s v="Yes"/>
    <x v="3"/>
  </r>
  <r>
    <n v="21211"/>
    <n v="244"/>
    <d v="2022-10-05T00:00:00"/>
    <s v="October"/>
    <n v="2022"/>
    <x v="1"/>
    <n v="64"/>
    <s v="Yes"/>
    <x v="0"/>
  </r>
  <r>
    <n v="21212"/>
    <n v="454"/>
    <d v="2022-05-05T00:00:00"/>
    <s v="May"/>
    <n v="2022"/>
    <x v="0"/>
    <n v="58"/>
    <s v="Yes"/>
    <x v="5"/>
  </r>
  <r>
    <n v="21213"/>
    <n v="259"/>
    <d v="2023-11-16T00:00:00"/>
    <s v="November"/>
    <n v="2023"/>
    <x v="1"/>
    <n v="38"/>
    <s v="Yes"/>
    <x v="5"/>
  </r>
  <r>
    <n v="21214"/>
    <n v="477"/>
    <d v="2023-02-24T00:00:00"/>
    <s v="February"/>
    <n v="2023"/>
    <x v="0"/>
    <n v="44"/>
    <s v="Yes"/>
    <x v="4"/>
  </r>
  <r>
    <n v="21215"/>
    <n v="441"/>
    <d v="2022-11-16T00:00:00"/>
    <s v="November"/>
    <n v="2022"/>
    <x v="2"/>
    <n v="2"/>
    <s v="Yes"/>
    <x v="3"/>
  </r>
  <r>
    <n v="21216"/>
    <n v="194"/>
    <d v="2023-11-06T00:00:00"/>
    <s v="November"/>
    <n v="2023"/>
    <x v="1"/>
    <n v="35"/>
    <s v="Yes"/>
    <x v="2"/>
  </r>
  <r>
    <n v="21217"/>
    <n v="375"/>
    <d v="2023-12-16T00:00:00"/>
    <s v="December"/>
    <n v="2023"/>
    <x v="1"/>
    <n v="1"/>
    <s v="Yes"/>
    <x v="1"/>
  </r>
  <r>
    <n v="21218"/>
    <n v="150"/>
    <d v="2023-04-27T00:00:00"/>
    <s v="April"/>
    <n v="2023"/>
    <x v="1"/>
    <n v="46"/>
    <s v="No"/>
    <x v="0"/>
  </r>
  <r>
    <n v="21219"/>
    <n v="494"/>
    <d v="2024-04-29T00:00:00"/>
    <s v="April"/>
    <n v="2024"/>
    <x v="0"/>
    <n v="60"/>
    <s v="Yes"/>
    <x v="5"/>
  </r>
  <r>
    <n v="21220"/>
    <n v="367"/>
    <d v="2023-10-29T00:00:00"/>
    <s v="October"/>
    <n v="2023"/>
    <x v="0"/>
    <n v="63"/>
    <s v="Yes"/>
    <x v="3"/>
  </r>
  <r>
    <n v="21221"/>
    <n v="498"/>
    <d v="2022-11-20T00:00:00"/>
    <s v="November"/>
    <n v="2022"/>
    <x v="2"/>
    <n v="45"/>
    <s v="Yes"/>
    <x v="4"/>
  </r>
  <r>
    <n v="21222"/>
    <n v="155"/>
    <d v="2023-01-30T00:00:00"/>
    <s v="January"/>
    <n v="2023"/>
    <x v="2"/>
    <n v="57"/>
    <s v="Yes"/>
    <x v="1"/>
  </r>
  <r>
    <n v="21223"/>
    <n v="499"/>
    <d v="2024-02-12T00:00:00"/>
    <s v="February"/>
    <n v="2024"/>
    <x v="0"/>
    <n v="37"/>
    <s v="Yes"/>
    <x v="4"/>
  </r>
  <r>
    <n v="21224"/>
    <n v="22"/>
    <d v="2022-07-05T00:00:00"/>
    <s v="July"/>
    <n v="2022"/>
    <x v="2"/>
    <n v="7"/>
    <s v="Yes"/>
    <x v="2"/>
  </r>
  <r>
    <n v="21225"/>
    <n v="458"/>
    <d v="2024-06-07T00:00:00"/>
    <s v="June"/>
    <n v="2024"/>
    <x v="1"/>
    <n v="16"/>
    <s v="Yes"/>
    <x v="2"/>
  </r>
  <r>
    <n v="21226"/>
    <n v="116"/>
    <d v="2023-04-11T00:00:00"/>
    <s v="April"/>
    <n v="2023"/>
    <x v="1"/>
    <n v="50"/>
    <s v="Yes"/>
    <x v="5"/>
  </r>
  <r>
    <n v="21227"/>
    <n v="113"/>
    <d v="2022-02-26T00:00:00"/>
    <s v="February"/>
    <n v="2022"/>
    <x v="1"/>
    <n v="14"/>
    <s v="Yes"/>
    <x v="3"/>
  </r>
  <r>
    <n v="21228"/>
    <n v="433"/>
    <d v="2023-12-30T00:00:00"/>
    <s v="December"/>
    <n v="2023"/>
    <x v="2"/>
    <n v="6"/>
    <s v="Yes"/>
    <x v="5"/>
  </r>
  <r>
    <n v="21229"/>
    <n v="211"/>
    <d v="2023-04-03T00:00:00"/>
    <s v="April"/>
    <n v="2023"/>
    <x v="1"/>
    <n v="61"/>
    <s v="Yes"/>
    <x v="2"/>
  </r>
  <r>
    <n v="21230"/>
    <n v="24"/>
    <d v="2022-07-27T00:00:00"/>
    <s v="July"/>
    <n v="2022"/>
    <x v="1"/>
    <n v="21"/>
    <s v="Yes"/>
    <x v="3"/>
  </r>
  <r>
    <n v="21231"/>
    <n v="283"/>
    <d v="2023-12-15T00:00:00"/>
    <s v="December"/>
    <n v="2023"/>
    <x v="0"/>
    <n v="10"/>
    <s v="Yes"/>
    <x v="2"/>
  </r>
  <r>
    <n v="21232"/>
    <n v="292"/>
    <d v="2022-03-15T00:00:00"/>
    <s v="March"/>
    <n v="2022"/>
    <x v="0"/>
    <n v="32"/>
    <s v="Yes"/>
    <x v="4"/>
  </r>
  <r>
    <n v="21233"/>
    <n v="363"/>
    <d v="2023-04-29T00:00:00"/>
    <s v="April"/>
    <n v="2023"/>
    <x v="2"/>
    <n v="6"/>
    <s v="Yes"/>
    <x v="4"/>
  </r>
  <r>
    <n v="21234"/>
    <n v="401"/>
    <d v="2022-03-26T00:00:00"/>
    <s v="March"/>
    <n v="2022"/>
    <x v="0"/>
    <n v="2"/>
    <s v="Yes"/>
    <x v="5"/>
  </r>
  <r>
    <n v="21235"/>
    <n v="56"/>
    <d v="2023-09-24T00:00:00"/>
    <s v="September"/>
    <n v="2023"/>
    <x v="2"/>
    <n v="39"/>
    <s v="Yes"/>
    <x v="5"/>
  </r>
  <r>
    <n v="21236"/>
    <n v="266"/>
    <d v="2022-01-14T00:00:00"/>
    <s v="January"/>
    <n v="2022"/>
    <x v="2"/>
    <n v="49"/>
    <s v="Yes"/>
    <x v="5"/>
  </r>
  <r>
    <n v="21237"/>
    <n v="54"/>
    <d v="2024-04-19T00:00:00"/>
    <s v="April"/>
    <n v="2024"/>
    <x v="0"/>
    <n v="27"/>
    <s v="Yes"/>
    <x v="0"/>
  </r>
  <r>
    <n v="21238"/>
    <n v="337"/>
    <d v="2023-10-03T00:00:00"/>
    <s v="October"/>
    <n v="2023"/>
    <x v="0"/>
    <n v="56"/>
    <s v="No"/>
    <x v="1"/>
  </r>
  <r>
    <n v="21239"/>
    <n v="108"/>
    <d v="2024-03-04T00:00:00"/>
    <s v="March"/>
    <n v="2024"/>
    <x v="2"/>
    <n v="14"/>
    <s v="Yes"/>
    <x v="4"/>
  </r>
  <r>
    <n v="21240"/>
    <n v="202"/>
    <d v="2022-02-18T00:00:00"/>
    <s v="February"/>
    <n v="2022"/>
    <x v="2"/>
    <n v="23"/>
    <s v="Yes"/>
    <x v="5"/>
  </r>
  <r>
    <n v="21241"/>
    <n v="202"/>
    <d v="2023-03-02T00:00:00"/>
    <s v="March"/>
    <n v="2023"/>
    <x v="2"/>
    <n v="51"/>
    <s v="Yes"/>
    <x v="5"/>
  </r>
  <r>
    <n v="21242"/>
    <n v="422"/>
    <d v="2022-12-25T00:00:00"/>
    <s v="December"/>
    <n v="2022"/>
    <x v="1"/>
    <n v="25"/>
    <s v="Yes"/>
    <x v="2"/>
  </r>
  <r>
    <n v="21243"/>
    <n v="337"/>
    <d v="2022-08-30T00:00:00"/>
    <s v="August"/>
    <n v="2022"/>
    <x v="1"/>
    <n v="53"/>
    <s v="Yes"/>
    <x v="1"/>
  </r>
  <r>
    <n v="21244"/>
    <n v="383"/>
    <d v="2024-04-13T00:00:00"/>
    <s v="April"/>
    <n v="2024"/>
    <x v="0"/>
    <n v="11"/>
    <s v="Yes"/>
    <x v="3"/>
  </r>
  <r>
    <n v="21245"/>
    <n v="474"/>
    <d v="2022-02-22T00:00:00"/>
    <s v="February"/>
    <n v="2022"/>
    <x v="1"/>
    <n v="35"/>
    <s v="Yes"/>
    <x v="2"/>
  </r>
  <r>
    <n v="21246"/>
    <n v="218"/>
    <d v="2024-02-16T00:00:00"/>
    <s v="February"/>
    <n v="2024"/>
    <x v="1"/>
    <n v="55"/>
    <s v="Yes"/>
    <x v="4"/>
  </r>
  <r>
    <n v="21247"/>
    <n v="243"/>
    <d v="2022-03-10T00:00:00"/>
    <s v="March"/>
    <n v="2022"/>
    <x v="2"/>
    <n v="58"/>
    <s v="Yes"/>
    <x v="2"/>
  </r>
  <r>
    <n v="21248"/>
    <n v="354"/>
    <d v="2023-07-06T00:00:00"/>
    <s v="July"/>
    <n v="2023"/>
    <x v="1"/>
    <n v="68"/>
    <s v="Yes"/>
    <x v="3"/>
  </r>
  <r>
    <n v="21249"/>
    <n v="388"/>
    <d v="2023-11-27T00:00:00"/>
    <s v="November"/>
    <n v="2023"/>
    <x v="0"/>
    <n v="37"/>
    <s v="Yes"/>
    <x v="5"/>
  </r>
  <r>
    <n v="21250"/>
    <n v="178"/>
    <d v="2023-10-07T00:00:00"/>
    <s v="October"/>
    <n v="2023"/>
    <x v="1"/>
    <n v="9"/>
    <s v="No"/>
    <x v="5"/>
  </r>
  <r>
    <n v="21251"/>
    <n v="475"/>
    <d v="2022-02-25T00:00:00"/>
    <s v="February"/>
    <n v="2022"/>
    <x v="1"/>
    <n v="28"/>
    <s v="Yes"/>
    <x v="4"/>
  </r>
  <r>
    <n v="21252"/>
    <n v="61"/>
    <d v="2024-05-28T00:00:00"/>
    <s v="May"/>
    <n v="2024"/>
    <x v="1"/>
    <n v="55"/>
    <s v="Yes"/>
    <x v="2"/>
  </r>
  <r>
    <n v="21253"/>
    <n v="405"/>
    <d v="2023-04-01T00:00:00"/>
    <s v="April"/>
    <n v="2023"/>
    <x v="0"/>
    <n v="46"/>
    <s v="Yes"/>
    <x v="5"/>
  </r>
  <r>
    <n v="21254"/>
    <n v="36"/>
    <d v="2022-09-12T00:00:00"/>
    <s v="September"/>
    <n v="2022"/>
    <x v="0"/>
    <n v="70"/>
    <s v="Yes"/>
    <x v="5"/>
  </r>
  <r>
    <n v="21255"/>
    <n v="358"/>
    <d v="2022-01-05T00:00:00"/>
    <s v="January"/>
    <n v="2022"/>
    <x v="2"/>
    <n v="27"/>
    <s v="Yes"/>
    <x v="1"/>
  </r>
  <r>
    <n v="21256"/>
    <n v="46"/>
    <d v="2023-08-04T00:00:00"/>
    <s v="August"/>
    <n v="2023"/>
    <x v="1"/>
    <n v="10"/>
    <s v="Yes"/>
    <x v="4"/>
  </r>
  <r>
    <n v="21257"/>
    <n v="95"/>
    <d v="2022-02-21T00:00:00"/>
    <s v="February"/>
    <n v="2022"/>
    <x v="2"/>
    <n v="23"/>
    <s v="Yes"/>
    <x v="1"/>
  </r>
  <r>
    <n v="21258"/>
    <n v="327"/>
    <d v="2022-11-25T00:00:00"/>
    <s v="November"/>
    <n v="2022"/>
    <x v="2"/>
    <n v="21"/>
    <s v="Yes"/>
    <x v="4"/>
  </r>
  <r>
    <n v="21259"/>
    <n v="44"/>
    <d v="2022-04-08T00:00:00"/>
    <s v="April"/>
    <n v="2022"/>
    <x v="0"/>
    <n v="45"/>
    <s v="Yes"/>
    <x v="1"/>
  </r>
  <r>
    <n v="21260"/>
    <n v="320"/>
    <d v="2022-06-10T00:00:00"/>
    <s v="June"/>
    <n v="2022"/>
    <x v="2"/>
    <n v="3"/>
    <s v="Yes"/>
    <x v="2"/>
  </r>
  <r>
    <n v="21261"/>
    <n v="226"/>
    <d v="2023-02-10T00:00:00"/>
    <s v="February"/>
    <n v="2023"/>
    <x v="1"/>
    <n v="59"/>
    <s v="Yes"/>
    <x v="5"/>
  </r>
  <r>
    <n v="21262"/>
    <n v="146"/>
    <d v="2024-02-22T00:00:00"/>
    <s v="February"/>
    <n v="2024"/>
    <x v="2"/>
    <n v="43"/>
    <s v="No"/>
    <x v="1"/>
  </r>
  <r>
    <n v="21263"/>
    <n v="472"/>
    <d v="2023-07-31T00:00:00"/>
    <s v="July"/>
    <n v="2023"/>
    <x v="0"/>
    <n v="7"/>
    <s v="Yes"/>
    <x v="0"/>
  </r>
  <r>
    <n v="21264"/>
    <n v="269"/>
    <d v="2022-11-23T00:00:00"/>
    <s v="November"/>
    <n v="2022"/>
    <x v="0"/>
    <n v="27"/>
    <s v="Yes"/>
    <x v="5"/>
  </r>
  <r>
    <n v="21265"/>
    <n v="13"/>
    <d v="2022-08-31T00:00:00"/>
    <s v="August"/>
    <n v="2022"/>
    <x v="0"/>
    <n v="62"/>
    <s v="No"/>
    <x v="3"/>
  </r>
  <r>
    <n v="21266"/>
    <n v="25"/>
    <d v="2023-05-19T00:00:00"/>
    <s v="May"/>
    <n v="2023"/>
    <x v="1"/>
    <n v="42"/>
    <s v="Yes"/>
    <x v="4"/>
  </r>
  <r>
    <n v="21267"/>
    <n v="261"/>
    <d v="2023-01-02T00:00:00"/>
    <s v="January"/>
    <n v="2023"/>
    <x v="2"/>
    <n v="4"/>
    <s v="Yes"/>
    <x v="1"/>
  </r>
  <r>
    <n v="21268"/>
    <n v="128"/>
    <d v="2024-02-13T00:00:00"/>
    <s v="February"/>
    <n v="2024"/>
    <x v="1"/>
    <n v="62"/>
    <s v="Yes"/>
    <x v="0"/>
  </r>
  <r>
    <n v="21269"/>
    <n v="39"/>
    <d v="2023-12-25T00:00:00"/>
    <s v="December"/>
    <n v="2023"/>
    <x v="0"/>
    <n v="8"/>
    <s v="No"/>
    <x v="0"/>
  </r>
  <r>
    <n v="21270"/>
    <n v="157"/>
    <d v="2023-03-18T00:00:00"/>
    <s v="March"/>
    <n v="2023"/>
    <x v="1"/>
    <n v="17"/>
    <s v="Yes"/>
    <x v="5"/>
  </r>
  <r>
    <n v="21271"/>
    <n v="364"/>
    <d v="2022-06-03T00:00:00"/>
    <s v="June"/>
    <n v="2022"/>
    <x v="0"/>
    <n v="5"/>
    <s v="Yes"/>
    <x v="4"/>
  </r>
  <r>
    <n v="21272"/>
    <n v="185"/>
    <d v="2022-08-22T00:00:00"/>
    <s v="August"/>
    <n v="2022"/>
    <x v="1"/>
    <n v="63"/>
    <s v="No"/>
    <x v="1"/>
  </r>
  <r>
    <n v="21273"/>
    <n v="174"/>
    <d v="2023-10-14T00:00:00"/>
    <s v="October"/>
    <n v="2023"/>
    <x v="1"/>
    <n v="9"/>
    <s v="Yes"/>
    <x v="1"/>
  </r>
  <r>
    <n v="21274"/>
    <n v="417"/>
    <d v="2022-11-29T00:00:00"/>
    <s v="November"/>
    <n v="2022"/>
    <x v="2"/>
    <n v="8"/>
    <s v="Yes"/>
    <x v="0"/>
  </r>
  <r>
    <n v="21275"/>
    <n v="472"/>
    <d v="2023-05-10T00:00:00"/>
    <s v="May"/>
    <n v="2023"/>
    <x v="2"/>
    <n v="7"/>
    <s v="Yes"/>
    <x v="0"/>
  </r>
  <r>
    <n v="21276"/>
    <n v="394"/>
    <d v="2022-04-25T00:00:00"/>
    <s v="April"/>
    <n v="2022"/>
    <x v="0"/>
    <n v="37"/>
    <s v="Yes"/>
    <x v="4"/>
  </r>
  <r>
    <n v="21277"/>
    <n v="186"/>
    <d v="2023-01-04T00:00:00"/>
    <s v="January"/>
    <n v="2023"/>
    <x v="2"/>
    <n v="55"/>
    <s v="Yes"/>
    <x v="2"/>
  </r>
  <r>
    <n v="21278"/>
    <n v="281"/>
    <d v="2022-11-29T00:00:00"/>
    <s v="November"/>
    <n v="2022"/>
    <x v="2"/>
    <n v="67"/>
    <s v="Yes"/>
    <x v="3"/>
  </r>
  <r>
    <n v="21279"/>
    <n v="489"/>
    <d v="2022-05-10T00:00:00"/>
    <s v="May"/>
    <n v="2022"/>
    <x v="1"/>
    <n v="8"/>
    <s v="Yes"/>
    <x v="5"/>
  </r>
  <r>
    <n v="21280"/>
    <n v="74"/>
    <d v="2022-06-27T00:00:00"/>
    <s v="June"/>
    <n v="2022"/>
    <x v="0"/>
    <n v="69"/>
    <s v="Yes"/>
    <x v="2"/>
  </r>
  <r>
    <n v="21281"/>
    <n v="295"/>
    <d v="2022-04-05T00:00:00"/>
    <s v="April"/>
    <n v="2022"/>
    <x v="1"/>
    <n v="5"/>
    <s v="Yes"/>
    <x v="4"/>
  </r>
  <r>
    <n v="21282"/>
    <n v="16"/>
    <d v="2022-11-13T00:00:00"/>
    <s v="November"/>
    <n v="2022"/>
    <x v="1"/>
    <n v="17"/>
    <s v="Yes"/>
    <x v="0"/>
  </r>
  <r>
    <n v="21283"/>
    <n v="188"/>
    <d v="2022-04-11T00:00:00"/>
    <s v="April"/>
    <n v="2022"/>
    <x v="2"/>
    <n v="58"/>
    <s v="Yes"/>
    <x v="4"/>
  </r>
  <r>
    <n v="21284"/>
    <n v="412"/>
    <d v="2022-07-15T00:00:00"/>
    <s v="July"/>
    <n v="2022"/>
    <x v="2"/>
    <n v="63"/>
    <s v="No"/>
    <x v="2"/>
  </r>
  <r>
    <n v="21285"/>
    <n v="460"/>
    <d v="2024-03-12T00:00:00"/>
    <s v="March"/>
    <n v="2024"/>
    <x v="0"/>
    <n v="27"/>
    <s v="Yes"/>
    <x v="2"/>
  </r>
  <r>
    <n v="21286"/>
    <n v="172"/>
    <d v="2022-07-27T00:00:00"/>
    <s v="July"/>
    <n v="2022"/>
    <x v="2"/>
    <n v="68"/>
    <s v="Yes"/>
    <x v="5"/>
  </r>
  <r>
    <n v="21287"/>
    <n v="186"/>
    <d v="2023-08-30T00:00:00"/>
    <s v="August"/>
    <n v="2023"/>
    <x v="1"/>
    <n v="28"/>
    <s v="Yes"/>
    <x v="2"/>
  </r>
  <r>
    <n v="21288"/>
    <n v="32"/>
    <d v="2023-04-18T00:00:00"/>
    <s v="April"/>
    <n v="2023"/>
    <x v="2"/>
    <n v="58"/>
    <s v="Yes"/>
    <x v="0"/>
  </r>
  <r>
    <n v="21289"/>
    <n v="63"/>
    <d v="2023-09-07T00:00:00"/>
    <s v="September"/>
    <n v="2023"/>
    <x v="0"/>
    <n v="50"/>
    <s v="Yes"/>
    <x v="3"/>
  </r>
  <r>
    <n v="21290"/>
    <n v="499"/>
    <d v="2022-01-08T00:00:00"/>
    <s v="January"/>
    <n v="2022"/>
    <x v="0"/>
    <n v="67"/>
    <s v="Yes"/>
    <x v="4"/>
  </r>
  <r>
    <n v="21291"/>
    <n v="349"/>
    <d v="2022-05-16T00:00:00"/>
    <s v="May"/>
    <n v="2022"/>
    <x v="1"/>
    <n v="31"/>
    <s v="Yes"/>
    <x v="3"/>
  </r>
  <r>
    <n v="21292"/>
    <n v="301"/>
    <d v="2023-09-02T00:00:00"/>
    <s v="September"/>
    <n v="2023"/>
    <x v="1"/>
    <n v="12"/>
    <s v="Yes"/>
    <x v="4"/>
  </r>
  <r>
    <n v="21293"/>
    <n v="309"/>
    <d v="2022-09-18T00:00:00"/>
    <s v="September"/>
    <n v="2022"/>
    <x v="2"/>
    <n v="55"/>
    <s v="Yes"/>
    <x v="1"/>
  </r>
  <r>
    <n v="21294"/>
    <n v="189"/>
    <d v="2022-05-27T00:00:00"/>
    <s v="May"/>
    <n v="2022"/>
    <x v="0"/>
    <n v="4"/>
    <s v="No"/>
    <x v="4"/>
  </r>
  <r>
    <n v="21295"/>
    <n v="306"/>
    <d v="2023-04-03T00:00:00"/>
    <s v="April"/>
    <n v="2023"/>
    <x v="1"/>
    <n v="42"/>
    <s v="Yes"/>
    <x v="0"/>
  </r>
  <r>
    <n v="21296"/>
    <n v="411"/>
    <d v="2023-11-28T00:00:00"/>
    <s v="November"/>
    <n v="2023"/>
    <x v="2"/>
    <n v="54"/>
    <s v="Yes"/>
    <x v="2"/>
  </r>
  <r>
    <n v="21297"/>
    <n v="26"/>
    <d v="2023-03-14T00:00:00"/>
    <s v="March"/>
    <n v="2023"/>
    <x v="2"/>
    <n v="22"/>
    <s v="Yes"/>
    <x v="0"/>
  </r>
  <r>
    <n v="21298"/>
    <n v="387"/>
    <d v="2023-02-17T00:00:00"/>
    <s v="February"/>
    <n v="2023"/>
    <x v="2"/>
    <n v="1"/>
    <s v="Yes"/>
    <x v="0"/>
  </r>
  <r>
    <n v="21299"/>
    <n v="346"/>
    <d v="2023-05-15T00:00:00"/>
    <s v="May"/>
    <n v="2023"/>
    <x v="1"/>
    <n v="48"/>
    <s v="Yes"/>
    <x v="5"/>
  </r>
  <r>
    <n v="21300"/>
    <n v="39"/>
    <d v="2022-08-20T00:00:00"/>
    <s v="August"/>
    <n v="2022"/>
    <x v="1"/>
    <n v="43"/>
    <s v="Yes"/>
    <x v="0"/>
  </r>
  <r>
    <n v="21301"/>
    <n v="193"/>
    <d v="2022-04-11T00:00:00"/>
    <s v="April"/>
    <n v="2022"/>
    <x v="2"/>
    <n v="20"/>
    <s v="Yes"/>
    <x v="0"/>
  </r>
  <r>
    <n v="21302"/>
    <n v="163"/>
    <d v="2022-05-27T00:00:00"/>
    <s v="May"/>
    <n v="2022"/>
    <x v="2"/>
    <n v="18"/>
    <s v="Yes"/>
    <x v="2"/>
  </r>
  <r>
    <n v="21303"/>
    <n v="53"/>
    <d v="2023-12-18T00:00:00"/>
    <s v="December"/>
    <n v="2023"/>
    <x v="1"/>
    <n v="70"/>
    <s v="Yes"/>
    <x v="1"/>
  </r>
  <r>
    <n v="21304"/>
    <n v="475"/>
    <d v="2023-05-22T00:00:00"/>
    <s v="May"/>
    <n v="2023"/>
    <x v="0"/>
    <n v="49"/>
    <s v="Yes"/>
    <x v="4"/>
  </r>
  <r>
    <n v="21305"/>
    <n v="174"/>
    <d v="2023-07-12T00:00:00"/>
    <s v="July"/>
    <n v="2023"/>
    <x v="2"/>
    <n v="17"/>
    <s v="Yes"/>
    <x v="1"/>
  </r>
  <r>
    <n v="21306"/>
    <n v="196"/>
    <d v="2022-04-14T00:00:00"/>
    <s v="April"/>
    <n v="2022"/>
    <x v="0"/>
    <n v="53"/>
    <s v="Yes"/>
    <x v="3"/>
  </r>
  <r>
    <n v="21307"/>
    <n v="211"/>
    <d v="2022-12-02T00:00:00"/>
    <s v="December"/>
    <n v="2022"/>
    <x v="0"/>
    <n v="22"/>
    <s v="Yes"/>
    <x v="2"/>
  </r>
  <r>
    <n v="21308"/>
    <n v="278"/>
    <d v="2023-03-22T00:00:00"/>
    <s v="March"/>
    <n v="2023"/>
    <x v="1"/>
    <n v="10"/>
    <s v="Yes"/>
    <x v="2"/>
  </r>
  <r>
    <n v="21309"/>
    <n v="188"/>
    <d v="2024-01-04T00:00:00"/>
    <s v="January"/>
    <n v="2024"/>
    <x v="1"/>
    <n v="24"/>
    <s v="Yes"/>
    <x v="4"/>
  </r>
  <r>
    <n v="21310"/>
    <n v="390"/>
    <d v="2023-03-20T00:00:00"/>
    <s v="March"/>
    <n v="2023"/>
    <x v="0"/>
    <n v="12"/>
    <s v="Yes"/>
    <x v="0"/>
  </r>
  <r>
    <n v="21311"/>
    <n v="308"/>
    <d v="2022-04-28T00:00:00"/>
    <s v="April"/>
    <n v="2022"/>
    <x v="1"/>
    <n v="4"/>
    <s v="Yes"/>
    <x v="5"/>
  </r>
  <r>
    <n v="21312"/>
    <n v="457"/>
    <d v="2023-06-01T00:00:00"/>
    <s v="June"/>
    <n v="2023"/>
    <x v="0"/>
    <n v="42"/>
    <s v="Yes"/>
    <x v="4"/>
  </r>
  <r>
    <n v="21313"/>
    <n v="331"/>
    <d v="2023-12-24T00:00:00"/>
    <s v="December"/>
    <n v="2023"/>
    <x v="0"/>
    <n v="5"/>
    <s v="Yes"/>
    <x v="0"/>
  </r>
  <r>
    <n v="21314"/>
    <n v="214"/>
    <d v="2023-07-21T00:00:00"/>
    <s v="July"/>
    <n v="2023"/>
    <x v="1"/>
    <n v="26"/>
    <s v="No"/>
    <x v="5"/>
  </r>
  <r>
    <n v="21315"/>
    <n v="495"/>
    <d v="2023-06-15T00:00:00"/>
    <s v="June"/>
    <n v="2023"/>
    <x v="1"/>
    <n v="59"/>
    <s v="Yes"/>
    <x v="1"/>
  </r>
  <r>
    <n v="21316"/>
    <n v="329"/>
    <d v="2022-03-29T00:00:00"/>
    <s v="March"/>
    <n v="2022"/>
    <x v="2"/>
    <n v="62"/>
    <s v="Yes"/>
    <x v="4"/>
  </r>
  <r>
    <n v="21317"/>
    <n v="29"/>
    <d v="2024-01-29T00:00:00"/>
    <s v="January"/>
    <n v="2024"/>
    <x v="1"/>
    <n v="5"/>
    <s v="Yes"/>
    <x v="3"/>
  </r>
  <r>
    <n v="21318"/>
    <n v="171"/>
    <d v="2023-09-21T00:00:00"/>
    <s v="September"/>
    <n v="2023"/>
    <x v="2"/>
    <n v="26"/>
    <s v="Yes"/>
    <x v="0"/>
  </r>
  <r>
    <n v="21319"/>
    <n v="122"/>
    <d v="2023-04-21T00:00:00"/>
    <s v="April"/>
    <n v="2023"/>
    <x v="1"/>
    <n v="6"/>
    <s v="Yes"/>
    <x v="2"/>
  </r>
  <r>
    <n v="21320"/>
    <n v="458"/>
    <d v="2023-11-13T00:00:00"/>
    <s v="November"/>
    <n v="2023"/>
    <x v="1"/>
    <n v="24"/>
    <s v="Yes"/>
    <x v="2"/>
  </r>
  <r>
    <n v="21321"/>
    <n v="418"/>
    <d v="2023-04-30T00:00:00"/>
    <s v="April"/>
    <n v="2023"/>
    <x v="1"/>
    <n v="53"/>
    <s v="Yes"/>
    <x v="1"/>
  </r>
  <r>
    <n v="21322"/>
    <n v="159"/>
    <d v="2023-10-24T00:00:00"/>
    <s v="October"/>
    <n v="2023"/>
    <x v="1"/>
    <n v="7"/>
    <s v="Yes"/>
    <x v="4"/>
  </r>
  <r>
    <n v="21323"/>
    <n v="86"/>
    <d v="2022-10-22T00:00:00"/>
    <s v="October"/>
    <n v="2022"/>
    <x v="0"/>
    <n v="10"/>
    <s v="Yes"/>
    <x v="4"/>
  </r>
  <r>
    <n v="21324"/>
    <n v="302"/>
    <d v="2023-12-21T00:00:00"/>
    <s v="December"/>
    <n v="2023"/>
    <x v="1"/>
    <n v="39"/>
    <s v="Yes"/>
    <x v="3"/>
  </r>
  <r>
    <n v="21325"/>
    <n v="4"/>
    <d v="2023-01-16T00:00:00"/>
    <s v="January"/>
    <n v="2023"/>
    <x v="0"/>
    <n v="28"/>
    <s v="No"/>
    <x v="5"/>
  </r>
  <r>
    <n v="21326"/>
    <n v="2"/>
    <d v="2022-10-10T00:00:00"/>
    <s v="October"/>
    <n v="2022"/>
    <x v="1"/>
    <n v="42"/>
    <s v="Yes"/>
    <x v="5"/>
  </r>
  <r>
    <n v="21327"/>
    <n v="133"/>
    <d v="2024-04-23T00:00:00"/>
    <s v="April"/>
    <n v="2024"/>
    <x v="1"/>
    <n v="62"/>
    <s v="Yes"/>
    <x v="3"/>
  </r>
  <r>
    <n v="21328"/>
    <n v="302"/>
    <d v="2023-11-17T00:00:00"/>
    <s v="November"/>
    <n v="2023"/>
    <x v="0"/>
    <n v="52"/>
    <s v="No"/>
    <x v="3"/>
  </r>
  <r>
    <n v="21329"/>
    <n v="79"/>
    <d v="2023-10-01T00:00:00"/>
    <s v="October"/>
    <n v="2023"/>
    <x v="1"/>
    <n v="22"/>
    <s v="Yes"/>
    <x v="4"/>
  </r>
  <r>
    <n v="21330"/>
    <n v="147"/>
    <d v="2022-06-05T00:00:00"/>
    <s v="June"/>
    <n v="2022"/>
    <x v="2"/>
    <n v="57"/>
    <s v="Yes"/>
    <x v="0"/>
  </r>
  <r>
    <n v="21331"/>
    <n v="166"/>
    <d v="2022-06-29T00:00:00"/>
    <s v="June"/>
    <n v="2022"/>
    <x v="2"/>
    <n v="11"/>
    <s v="Yes"/>
    <x v="4"/>
  </r>
  <r>
    <n v="21332"/>
    <n v="315"/>
    <d v="2024-06-08T00:00:00"/>
    <s v="June"/>
    <n v="2024"/>
    <x v="1"/>
    <n v="14"/>
    <s v="No"/>
    <x v="3"/>
  </r>
  <r>
    <n v="21333"/>
    <n v="463"/>
    <d v="2022-03-28T00:00:00"/>
    <s v="March"/>
    <n v="2022"/>
    <x v="2"/>
    <n v="31"/>
    <s v="Yes"/>
    <x v="4"/>
  </r>
  <r>
    <n v="21334"/>
    <n v="238"/>
    <d v="2023-02-10T00:00:00"/>
    <s v="February"/>
    <n v="2023"/>
    <x v="2"/>
    <n v="4"/>
    <s v="Yes"/>
    <x v="1"/>
  </r>
  <r>
    <n v="21335"/>
    <n v="328"/>
    <d v="2024-04-15T00:00:00"/>
    <s v="April"/>
    <n v="2024"/>
    <x v="2"/>
    <n v="22"/>
    <s v="Yes"/>
    <x v="3"/>
  </r>
  <r>
    <n v="21336"/>
    <n v="276"/>
    <d v="2023-05-11T00:00:00"/>
    <s v="May"/>
    <n v="2023"/>
    <x v="2"/>
    <n v="64"/>
    <s v="Yes"/>
    <x v="2"/>
  </r>
  <r>
    <n v="21337"/>
    <n v="204"/>
    <d v="2022-09-24T00:00:00"/>
    <s v="September"/>
    <n v="2022"/>
    <x v="0"/>
    <n v="61"/>
    <s v="Yes"/>
    <x v="1"/>
  </r>
  <r>
    <n v="21338"/>
    <n v="452"/>
    <d v="2023-08-17T00:00:00"/>
    <s v="August"/>
    <n v="2023"/>
    <x v="0"/>
    <n v="6"/>
    <s v="No"/>
    <x v="4"/>
  </r>
  <r>
    <n v="21339"/>
    <n v="53"/>
    <d v="2022-03-05T00:00:00"/>
    <s v="March"/>
    <n v="2022"/>
    <x v="0"/>
    <n v="68"/>
    <s v="Yes"/>
    <x v="1"/>
  </r>
  <r>
    <n v="21340"/>
    <n v="486"/>
    <d v="2022-04-29T00:00:00"/>
    <s v="April"/>
    <n v="2022"/>
    <x v="2"/>
    <n v="6"/>
    <s v="No"/>
    <x v="5"/>
  </r>
  <r>
    <n v="21341"/>
    <n v="107"/>
    <d v="2022-12-07T00:00:00"/>
    <s v="December"/>
    <n v="2022"/>
    <x v="2"/>
    <n v="66"/>
    <s v="Yes"/>
    <x v="5"/>
  </r>
  <r>
    <n v="21342"/>
    <n v="55"/>
    <d v="2022-11-09T00:00:00"/>
    <s v="November"/>
    <n v="2022"/>
    <x v="0"/>
    <n v="36"/>
    <s v="Yes"/>
    <x v="1"/>
  </r>
  <r>
    <n v="21343"/>
    <n v="246"/>
    <d v="2022-06-12T00:00:00"/>
    <s v="June"/>
    <n v="2022"/>
    <x v="2"/>
    <n v="15"/>
    <s v="Yes"/>
    <x v="0"/>
  </r>
  <r>
    <n v="21344"/>
    <n v="423"/>
    <d v="2023-05-20T00:00:00"/>
    <s v="May"/>
    <n v="2023"/>
    <x v="0"/>
    <n v="40"/>
    <s v="Yes"/>
    <x v="0"/>
  </r>
  <r>
    <n v="21345"/>
    <n v="377"/>
    <d v="2022-10-20T00:00:00"/>
    <s v="October"/>
    <n v="2022"/>
    <x v="0"/>
    <n v="41"/>
    <s v="No"/>
    <x v="1"/>
  </r>
  <r>
    <n v="21346"/>
    <n v="164"/>
    <d v="2023-11-21T00:00:00"/>
    <s v="November"/>
    <n v="2023"/>
    <x v="0"/>
    <n v="7"/>
    <s v="No"/>
    <x v="5"/>
  </r>
  <r>
    <n v="21347"/>
    <n v="442"/>
    <d v="2023-01-12T00:00:00"/>
    <s v="January"/>
    <n v="2023"/>
    <x v="2"/>
    <n v="22"/>
    <s v="Yes"/>
    <x v="2"/>
  </r>
  <r>
    <n v="21348"/>
    <n v="15"/>
    <d v="2023-06-26T00:00:00"/>
    <s v="June"/>
    <n v="2023"/>
    <x v="0"/>
    <n v="11"/>
    <s v="Yes"/>
    <x v="4"/>
  </r>
  <r>
    <n v="21349"/>
    <n v="1"/>
    <d v="2023-02-05T00:00:00"/>
    <s v="February"/>
    <n v="2023"/>
    <x v="1"/>
    <n v="2"/>
    <s v="Yes"/>
    <x v="3"/>
  </r>
  <r>
    <n v="21350"/>
    <n v="351"/>
    <d v="2023-11-04T00:00:00"/>
    <s v="November"/>
    <n v="2023"/>
    <x v="0"/>
    <n v="30"/>
    <s v="Yes"/>
    <x v="0"/>
  </r>
  <r>
    <n v="21351"/>
    <n v="137"/>
    <d v="2023-02-04T00:00:00"/>
    <s v="February"/>
    <n v="2023"/>
    <x v="0"/>
    <n v="68"/>
    <s v="Yes"/>
    <x v="4"/>
  </r>
  <r>
    <n v="21352"/>
    <n v="151"/>
    <d v="2023-02-03T00:00:00"/>
    <s v="February"/>
    <n v="2023"/>
    <x v="1"/>
    <n v="53"/>
    <s v="Yes"/>
    <x v="4"/>
  </r>
  <r>
    <n v="21353"/>
    <n v="180"/>
    <d v="2023-05-02T00:00:00"/>
    <s v="May"/>
    <n v="2023"/>
    <x v="2"/>
    <n v="21"/>
    <s v="Yes"/>
    <x v="3"/>
  </r>
  <r>
    <n v="21354"/>
    <n v="410"/>
    <d v="2023-05-30T00:00:00"/>
    <s v="May"/>
    <n v="2023"/>
    <x v="0"/>
    <n v="25"/>
    <s v="Yes"/>
    <x v="0"/>
  </r>
  <r>
    <n v="21355"/>
    <n v="232"/>
    <d v="2022-01-24T00:00:00"/>
    <s v="January"/>
    <n v="2022"/>
    <x v="1"/>
    <n v="5"/>
    <s v="Yes"/>
    <x v="1"/>
  </r>
  <r>
    <n v="21356"/>
    <n v="492"/>
    <d v="2022-02-28T00:00:00"/>
    <s v="February"/>
    <n v="2022"/>
    <x v="2"/>
    <n v="66"/>
    <s v="Yes"/>
    <x v="4"/>
  </r>
  <r>
    <n v="21357"/>
    <n v="487"/>
    <d v="2024-01-19T00:00:00"/>
    <s v="January"/>
    <n v="2024"/>
    <x v="1"/>
    <n v="49"/>
    <s v="Yes"/>
    <x v="0"/>
  </r>
  <r>
    <n v="21358"/>
    <n v="188"/>
    <d v="2022-08-28T00:00:00"/>
    <s v="August"/>
    <n v="2022"/>
    <x v="0"/>
    <n v="8"/>
    <s v="Yes"/>
    <x v="4"/>
  </r>
  <r>
    <n v="21359"/>
    <n v="18"/>
    <d v="2022-11-07T00:00:00"/>
    <s v="November"/>
    <n v="2022"/>
    <x v="1"/>
    <n v="27"/>
    <s v="Yes"/>
    <x v="4"/>
  </r>
  <r>
    <n v="21360"/>
    <n v="225"/>
    <d v="2022-11-17T00:00:00"/>
    <s v="November"/>
    <n v="2022"/>
    <x v="2"/>
    <n v="2"/>
    <s v="Yes"/>
    <x v="2"/>
  </r>
  <r>
    <n v="21361"/>
    <n v="105"/>
    <d v="2023-11-03T00:00:00"/>
    <s v="November"/>
    <n v="2023"/>
    <x v="0"/>
    <n v="28"/>
    <s v="Yes"/>
    <x v="3"/>
  </r>
  <r>
    <n v="21362"/>
    <n v="487"/>
    <d v="2023-04-26T00:00:00"/>
    <s v="April"/>
    <n v="2023"/>
    <x v="1"/>
    <n v="11"/>
    <s v="Yes"/>
    <x v="0"/>
  </r>
  <r>
    <n v="21363"/>
    <n v="206"/>
    <d v="2023-07-26T00:00:00"/>
    <s v="July"/>
    <n v="2023"/>
    <x v="2"/>
    <n v="46"/>
    <s v="Yes"/>
    <x v="2"/>
  </r>
  <r>
    <n v="21364"/>
    <n v="186"/>
    <d v="2024-01-22T00:00:00"/>
    <s v="January"/>
    <n v="2024"/>
    <x v="2"/>
    <n v="21"/>
    <s v="Yes"/>
    <x v="2"/>
  </r>
  <r>
    <n v="21365"/>
    <n v="65"/>
    <d v="2023-02-18T00:00:00"/>
    <s v="February"/>
    <n v="2023"/>
    <x v="0"/>
    <n v="42"/>
    <s v="Yes"/>
    <x v="4"/>
  </r>
  <r>
    <n v="21366"/>
    <n v="333"/>
    <d v="2022-11-18T00:00:00"/>
    <s v="November"/>
    <n v="2022"/>
    <x v="0"/>
    <n v="32"/>
    <s v="Yes"/>
    <x v="0"/>
  </r>
  <r>
    <n v="21367"/>
    <n v="372"/>
    <d v="2023-02-06T00:00:00"/>
    <s v="February"/>
    <n v="2023"/>
    <x v="0"/>
    <n v="32"/>
    <s v="Yes"/>
    <x v="5"/>
  </r>
  <r>
    <n v="21368"/>
    <n v="207"/>
    <d v="2022-02-28T00:00:00"/>
    <s v="February"/>
    <n v="2022"/>
    <x v="0"/>
    <n v="71"/>
    <s v="Yes"/>
    <x v="1"/>
  </r>
  <r>
    <n v="21369"/>
    <n v="229"/>
    <d v="2022-02-22T00:00:00"/>
    <s v="February"/>
    <n v="2022"/>
    <x v="1"/>
    <n v="22"/>
    <s v="Yes"/>
    <x v="2"/>
  </r>
  <r>
    <n v="21370"/>
    <n v="69"/>
    <d v="2022-03-05T00:00:00"/>
    <s v="March"/>
    <n v="2022"/>
    <x v="2"/>
    <n v="21"/>
    <s v="Yes"/>
    <x v="1"/>
  </r>
  <r>
    <n v="21371"/>
    <n v="142"/>
    <d v="2023-09-25T00:00:00"/>
    <s v="September"/>
    <n v="2023"/>
    <x v="0"/>
    <n v="22"/>
    <s v="Yes"/>
    <x v="3"/>
  </r>
  <r>
    <n v="21372"/>
    <n v="206"/>
    <d v="2022-04-29T00:00:00"/>
    <s v="April"/>
    <n v="2022"/>
    <x v="0"/>
    <n v="34"/>
    <s v="Yes"/>
    <x v="2"/>
  </r>
  <r>
    <n v="21373"/>
    <n v="174"/>
    <d v="2022-10-13T00:00:00"/>
    <s v="October"/>
    <n v="2022"/>
    <x v="0"/>
    <n v="10"/>
    <s v="Yes"/>
    <x v="1"/>
  </r>
  <r>
    <n v="21374"/>
    <n v="197"/>
    <d v="2022-01-18T00:00:00"/>
    <s v="January"/>
    <n v="2022"/>
    <x v="1"/>
    <n v="65"/>
    <s v="Yes"/>
    <x v="5"/>
  </r>
  <r>
    <n v="21375"/>
    <n v="331"/>
    <d v="2022-01-05T00:00:00"/>
    <s v="January"/>
    <n v="2022"/>
    <x v="2"/>
    <n v="65"/>
    <s v="Yes"/>
    <x v="0"/>
  </r>
  <r>
    <n v="21376"/>
    <n v="416"/>
    <d v="2024-04-16T00:00:00"/>
    <s v="April"/>
    <n v="2024"/>
    <x v="2"/>
    <n v="67"/>
    <s v="Yes"/>
    <x v="0"/>
  </r>
  <r>
    <n v="21377"/>
    <n v="307"/>
    <d v="2023-01-27T00:00:00"/>
    <s v="January"/>
    <n v="2023"/>
    <x v="0"/>
    <n v="43"/>
    <s v="Yes"/>
    <x v="4"/>
  </r>
  <r>
    <n v="21378"/>
    <n v="197"/>
    <d v="2022-06-09T00:00:00"/>
    <s v="June"/>
    <n v="2022"/>
    <x v="2"/>
    <n v="41"/>
    <s v="Yes"/>
    <x v="5"/>
  </r>
  <r>
    <n v="21379"/>
    <n v="228"/>
    <d v="2024-06-06T00:00:00"/>
    <s v="June"/>
    <n v="2024"/>
    <x v="1"/>
    <n v="13"/>
    <s v="Yes"/>
    <x v="2"/>
  </r>
  <r>
    <n v="21380"/>
    <n v="271"/>
    <d v="2022-05-22T00:00:00"/>
    <s v="May"/>
    <n v="2022"/>
    <x v="2"/>
    <n v="4"/>
    <s v="Yes"/>
    <x v="3"/>
  </r>
  <r>
    <n v="21381"/>
    <n v="437"/>
    <d v="2023-02-01T00:00:00"/>
    <s v="February"/>
    <n v="2023"/>
    <x v="0"/>
    <n v="23"/>
    <s v="Yes"/>
    <x v="2"/>
  </r>
  <r>
    <n v="21382"/>
    <n v="199"/>
    <d v="2022-01-18T00:00:00"/>
    <s v="January"/>
    <n v="2022"/>
    <x v="2"/>
    <n v="70"/>
    <s v="Yes"/>
    <x v="3"/>
  </r>
  <r>
    <n v="21383"/>
    <n v="325"/>
    <d v="2023-08-03T00:00:00"/>
    <s v="August"/>
    <n v="2023"/>
    <x v="1"/>
    <n v="34"/>
    <s v="Yes"/>
    <x v="3"/>
  </r>
  <r>
    <n v="21384"/>
    <n v="478"/>
    <d v="2022-04-24T00:00:00"/>
    <s v="April"/>
    <n v="2022"/>
    <x v="1"/>
    <n v="41"/>
    <s v="Yes"/>
    <x v="5"/>
  </r>
  <r>
    <n v="21385"/>
    <n v="15"/>
    <d v="2023-06-18T00:00:00"/>
    <s v="June"/>
    <n v="2023"/>
    <x v="2"/>
    <n v="18"/>
    <s v="No"/>
    <x v="4"/>
  </r>
  <r>
    <n v="21386"/>
    <n v="286"/>
    <d v="2023-06-16T00:00:00"/>
    <s v="June"/>
    <n v="2023"/>
    <x v="2"/>
    <n v="33"/>
    <s v="No"/>
    <x v="5"/>
  </r>
  <r>
    <n v="21387"/>
    <n v="334"/>
    <d v="2024-02-14T00:00:00"/>
    <s v="February"/>
    <n v="2024"/>
    <x v="0"/>
    <n v="25"/>
    <s v="Yes"/>
    <x v="5"/>
  </r>
  <r>
    <n v="21388"/>
    <n v="408"/>
    <d v="2023-04-06T00:00:00"/>
    <s v="April"/>
    <n v="2023"/>
    <x v="0"/>
    <n v="52"/>
    <s v="Yes"/>
    <x v="5"/>
  </r>
  <r>
    <n v="21389"/>
    <n v="216"/>
    <d v="2023-09-02T00:00:00"/>
    <s v="September"/>
    <n v="2023"/>
    <x v="0"/>
    <n v="17"/>
    <s v="Yes"/>
    <x v="5"/>
  </r>
  <r>
    <n v="21390"/>
    <n v="35"/>
    <d v="2023-09-09T00:00:00"/>
    <s v="September"/>
    <n v="2023"/>
    <x v="2"/>
    <n v="51"/>
    <s v="Yes"/>
    <x v="5"/>
  </r>
  <r>
    <n v="21391"/>
    <n v="69"/>
    <d v="2022-10-13T00:00:00"/>
    <s v="October"/>
    <n v="2022"/>
    <x v="1"/>
    <n v="3"/>
    <s v="Yes"/>
    <x v="1"/>
  </r>
  <r>
    <n v="21392"/>
    <n v="396"/>
    <d v="2022-01-05T00:00:00"/>
    <s v="January"/>
    <n v="2022"/>
    <x v="1"/>
    <n v="55"/>
    <s v="Yes"/>
    <x v="3"/>
  </r>
  <r>
    <n v="21393"/>
    <n v="212"/>
    <d v="2022-05-09T00:00:00"/>
    <s v="May"/>
    <n v="2022"/>
    <x v="2"/>
    <n v="56"/>
    <s v="Yes"/>
    <x v="4"/>
  </r>
  <r>
    <n v="21394"/>
    <n v="46"/>
    <d v="2023-11-02T00:00:00"/>
    <s v="November"/>
    <n v="2023"/>
    <x v="1"/>
    <n v="35"/>
    <s v="Yes"/>
    <x v="4"/>
  </r>
  <r>
    <n v="21395"/>
    <n v="382"/>
    <d v="2024-02-02T00:00:00"/>
    <s v="February"/>
    <n v="2024"/>
    <x v="1"/>
    <n v="68"/>
    <s v="Yes"/>
    <x v="4"/>
  </r>
  <r>
    <n v="21396"/>
    <n v="453"/>
    <d v="2023-05-14T00:00:00"/>
    <s v="May"/>
    <n v="2023"/>
    <x v="2"/>
    <n v="59"/>
    <s v="Yes"/>
    <x v="0"/>
  </r>
  <r>
    <n v="21397"/>
    <n v="248"/>
    <d v="2022-10-03T00:00:00"/>
    <s v="October"/>
    <n v="2022"/>
    <x v="1"/>
    <n v="59"/>
    <s v="Yes"/>
    <x v="0"/>
  </r>
  <r>
    <n v="21398"/>
    <n v="420"/>
    <d v="2022-03-24T00:00:00"/>
    <s v="March"/>
    <n v="2022"/>
    <x v="2"/>
    <n v="13"/>
    <s v="Yes"/>
    <x v="4"/>
  </r>
  <r>
    <n v="21399"/>
    <n v="85"/>
    <d v="2024-04-11T00:00:00"/>
    <s v="April"/>
    <n v="2024"/>
    <x v="0"/>
    <n v="62"/>
    <s v="Yes"/>
    <x v="2"/>
  </r>
  <r>
    <n v="21400"/>
    <n v="48"/>
    <d v="2022-04-28T00:00:00"/>
    <s v="April"/>
    <n v="2022"/>
    <x v="1"/>
    <n v="47"/>
    <s v="Yes"/>
    <x v="5"/>
  </r>
  <r>
    <n v="21401"/>
    <n v="231"/>
    <d v="2022-01-29T00:00:00"/>
    <s v="January"/>
    <n v="2022"/>
    <x v="2"/>
    <n v="3"/>
    <s v="No"/>
    <x v="4"/>
  </r>
  <r>
    <n v="21402"/>
    <n v="67"/>
    <d v="2022-12-24T00:00:00"/>
    <s v="December"/>
    <n v="2022"/>
    <x v="1"/>
    <n v="21"/>
    <s v="Yes"/>
    <x v="2"/>
  </r>
  <r>
    <n v="21403"/>
    <n v="477"/>
    <d v="2023-10-12T00:00:00"/>
    <s v="October"/>
    <n v="2023"/>
    <x v="1"/>
    <n v="65"/>
    <s v="Yes"/>
    <x v="4"/>
  </r>
  <r>
    <n v="21404"/>
    <n v="438"/>
    <d v="2022-06-06T00:00:00"/>
    <s v="June"/>
    <n v="2022"/>
    <x v="0"/>
    <n v="18"/>
    <s v="Yes"/>
    <x v="2"/>
  </r>
  <r>
    <n v="21405"/>
    <n v="89"/>
    <d v="2022-01-31T00:00:00"/>
    <s v="January"/>
    <n v="2022"/>
    <x v="2"/>
    <n v="13"/>
    <s v="Yes"/>
    <x v="4"/>
  </r>
  <r>
    <n v="21406"/>
    <n v="219"/>
    <d v="2024-04-22T00:00:00"/>
    <s v="April"/>
    <n v="2024"/>
    <x v="0"/>
    <n v="71"/>
    <s v="No"/>
    <x v="0"/>
  </r>
  <r>
    <n v="21407"/>
    <n v="420"/>
    <d v="2022-10-13T00:00:00"/>
    <s v="October"/>
    <n v="2022"/>
    <x v="1"/>
    <n v="45"/>
    <s v="Yes"/>
    <x v="4"/>
  </r>
  <r>
    <n v="21408"/>
    <n v="52"/>
    <d v="2023-10-27T00:00:00"/>
    <s v="October"/>
    <n v="2023"/>
    <x v="1"/>
    <n v="62"/>
    <s v="Yes"/>
    <x v="5"/>
  </r>
  <r>
    <n v="21409"/>
    <n v="22"/>
    <d v="2022-12-02T00:00:00"/>
    <s v="December"/>
    <n v="2022"/>
    <x v="1"/>
    <n v="30"/>
    <s v="Yes"/>
    <x v="2"/>
  </r>
  <r>
    <n v="21410"/>
    <n v="422"/>
    <d v="2023-07-24T00:00:00"/>
    <s v="July"/>
    <n v="2023"/>
    <x v="2"/>
    <n v="14"/>
    <s v="Yes"/>
    <x v="2"/>
  </r>
  <r>
    <n v="21411"/>
    <n v="99"/>
    <d v="2022-11-09T00:00:00"/>
    <s v="November"/>
    <n v="2022"/>
    <x v="0"/>
    <n v="53"/>
    <s v="Yes"/>
    <x v="2"/>
  </r>
  <r>
    <n v="21412"/>
    <n v="446"/>
    <d v="2023-08-22T00:00:00"/>
    <s v="August"/>
    <n v="2023"/>
    <x v="2"/>
    <n v="10"/>
    <s v="Yes"/>
    <x v="3"/>
  </r>
  <r>
    <n v="21413"/>
    <n v="449"/>
    <d v="2022-05-03T00:00:00"/>
    <s v="May"/>
    <n v="2022"/>
    <x v="1"/>
    <n v="31"/>
    <s v="Yes"/>
    <x v="4"/>
  </r>
  <r>
    <n v="21414"/>
    <n v="131"/>
    <d v="2023-12-04T00:00:00"/>
    <s v="December"/>
    <n v="2023"/>
    <x v="0"/>
    <n v="6"/>
    <s v="Yes"/>
    <x v="3"/>
  </r>
  <r>
    <n v="21415"/>
    <n v="88"/>
    <d v="2024-05-14T00:00:00"/>
    <s v="May"/>
    <n v="2024"/>
    <x v="1"/>
    <n v="19"/>
    <s v="Yes"/>
    <x v="1"/>
  </r>
  <r>
    <n v="21416"/>
    <n v="136"/>
    <d v="2023-01-06T00:00:00"/>
    <s v="January"/>
    <n v="2023"/>
    <x v="0"/>
    <n v="12"/>
    <s v="Yes"/>
    <x v="5"/>
  </r>
  <r>
    <n v="21417"/>
    <n v="496"/>
    <d v="2024-03-15T00:00:00"/>
    <s v="March"/>
    <n v="2024"/>
    <x v="2"/>
    <n v="64"/>
    <s v="Yes"/>
    <x v="5"/>
  </r>
  <r>
    <n v="21418"/>
    <n v="374"/>
    <d v="2022-11-10T00:00:00"/>
    <s v="November"/>
    <n v="2022"/>
    <x v="2"/>
    <n v="55"/>
    <s v="Yes"/>
    <x v="1"/>
  </r>
  <r>
    <n v="21419"/>
    <n v="39"/>
    <d v="2022-01-28T00:00:00"/>
    <s v="January"/>
    <n v="2022"/>
    <x v="2"/>
    <n v="67"/>
    <s v="No"/>
    <x v="0"/>
  </r>
  <r>
    <n v="21420"/>
    <n v="18"/>
    <d v="2022-06-04T00:00:00"/>
    <s v="June"/>
    <n v="2022"/>
    <x v="2"/>
    <n v="9"/>
    <s v="Yes"/>
    <x v="4"/>
  </r>
  <r>
    <n v="21421"/>
    <n v="105"/>
    <d v="2022-08-18T00:00:00"/>
    <s v="August"/>
    <n v="2022"/>
    <x v="2"/>
    <n v="6"/>
    <s v="Yes"/>
    <x v="3"/>
  </r>
  <r>
    <n v="21422"/>
    <n v="387"/>
    <d v="2023-07-03T00:00:00"/>
    <s v="July"/>
    <n v="2023"/>
    <x v="0"/>
    <n v="1"/>
    <s v="Yes"/>
    <x v="0"/>
  </r>
  <r>
    <n v="21423"/>
    <n v="146"/>
    <d v="2022-01-06T00:00:00"/>
    <s v="January"/>
    <n v="2022"/>
    <x v="0"/>
    <n v="42"/>
    <s v="Yes"/>
    <x v="1"/>
  </r>
  <r>
    <n v="21424"/>
    <n v="336"/>
    <d v="2023-04-18T00:00:00"/>
    <s v="April"/>
    <n v="2023"/>
    <x v="1"/>
    <n v="55"/>
    <s v="Yes"/>
    <x v="0"/>
  </r>
  <r>
    <n v="21425"/>
    <n v="224"/>
    <d v="2022-11-14T00:00:00"/>
    <s v="November"/>
    <n v="2022"/>
    <x v="0"/>
    <n v="49"/>
    <s v="No"/>
    <x v="4"/>
  </r>
  <r>
    <n v="21426"/>
    <n v="117"/>
    <d v="2022-08-13T00:00:00"/>
    <s v="August"/>
    <n v="2022"/>
    <x v="1"/>
    <n v="30"/>
    <s v="Yes"/>
    <x v="3"/>
  </r>
  <r>
    <n v="21427"/>
    <n v="1"/>
    <d v="2022-02-02T00:00:00"/>
    <s v="February"/>
    <n v="2022"/>
    <x v="2"/>
    <n v="35"/>
    <s v="Yes"/>
    <x v="3"/>
  </r>
  <r>
    <n v="21428"/>
    <n v="117"/>
    <d v="2022-03-30T00:00:00"/>
    <s v="March"/>
    <n v="2022"/>
    <x v="0"/>
    <n v="63"/>
    <s v="Yes"/>
    <x v="3"/>
  </r>
  <r>
    <n v="21429"/>
    <n v="384"/>
    <d v="2022-11-30T00:00:00"/>
    <s v="November"/>
    <n v="2022"/>
    <x v="0"/>
    <n v="22"/>
    <s v="Yes"/>
    <x v="5"/>
  </r>
  <r>
    <n v="21430"/>
    <n v="26"/>
    <d v="2022-02-09T00:00:00"/>
    <s v="February"/>
    <n v="2022"/>
    <x v="2"/>
    <n v="43"/>
    <s v="Yes"/>
    <x v="0"/>
  </r>
  <r>
    <n v="21431"/>
    <n v="436"/>
    <d v="2023-11-12T00:00:00"/>
    <s v="November"/>
    <n v="2023"/>
    <x v="2"/>
    <n v="28"/>
    <s v="Yes"/>
    <x v="4"/>
  </r>
  <r>
    <n v="21432"/>
    <n v="496"/>
    <d v="2023-01-10T00:00:00"/>
    <s v="January"/>
    <n v="2023"/>
    <x v="2"/>
    <n v="18"/>
    <s v="Yes"/>
    <x v="5"/>
  </r>
  <r>
    <n v="21433"/>
    <n v="12"/>
    <d v="2022-10-25T00:00:00"/>
    <s v="October"/>
    <n v="2022"/>
    <x v="1"/>
    <n v="32"/>
    <s v="Yes"/>
    <x v="3"/>
  </r>
  <r>
    <n v="21434"/>
    <n v="294"/>
    <d v="2023-01-28T00:00:00"/>
    <s v="January"/>
    <n v="2023"/>
    <x v="1"/>
    <n v="69"/>
    <s v="Yes"/>
    <x v="2"/>
  </r>
  <r>
    <n v="21435"/>
    <n v="341"/>
    <d v="2022-01-18T00:00:00"/>
    <s v="January"/>
    <n v="2022"/>
    <x v="0"/>
    <n v="54"/>
    <s v="Yes"/>
    <x v="0"/>
  </r>
  <r>
    <n v="21436"/>
    <n v="169"/>
    <d v="2023-06-11T00:00:00"/>
    <s v="June"/>
    <n v="2023"/>
    <x v="2"/>
    <n v="34"/>
    <s v="Yes"/>
    <x v="5"/>
  </r>
  <r>
    <n v="21437"/>
    <n v="53"/>
    <d v="2022-05-12T00:00:00"/>
    <s v="May"/>
    <n v="2022"/>
    <x v="0"/>
    <n v="31"/>
    <s v="Yes"/>
    <x v="1"/>
  </r>
  <r>
    <n v="21438"/>
    <n v="269"/>
    <d v="2022-10-17T00:00:00"/>
    <s v="October"/>
    <n v="2022"/>
    <x v="2"/>
    <n v="4"/>
    <s v="Yes"/>
    <x v="5"/>
  </r>
  <r>
    <n v="21439"/>
    <n v="248"/>
    <d v="2024-04-09T00:00:00"/>
    <s v="April"/>
    <n v="2024"/>
    <x v="2"/>
    <n v="14"/>
    <s v="Yes"/>
    <x v="0"/>
  </r>
  <r>
    <n v="21440"/>
    <n v="128"/>
    <d v="2024-03-16T00:00:00"/>
    <s v="March"/>
    <n v="2024"/>
    <x v="2"/>
    <n v="15"/>
    <s v="Yes"/>
    <x v="0"/>
  </r>
  <r>
    <n v="21441"/>
    <n v="76"/>
    <d v="2022-07-28T00:00:00"/>
    <s v="July"/>
    <n v="2022"/>
    <x v="2"/>
    <n v="60"/>
    <s v="Yes"/>
    <x v="1"/>
  </r>
  <r>
    <n v="21442"/>
    <n v="269"/>
    <d v="2022-11-23T00:00:00"/>
    <s v="November"/>
    <n v="2022"/>
    <x v="2"/>
    <n v="20"/>
    <s v="Yes"/>
    <x v="5"/>
  </r>
  <r>
    <n v="21443"/>
    <n v="146"/>
    <d v="2023-05-18T00:00:00"/>
    <s v="May"/>
    <n v="2023"/>
    <x v="1"/>
    <n v="20"/>
    <s v="Yes"/>
    <x v="1"/>
  </r>
  <r>
    <n v="21444"/>
    <n v="403"/>
    <d v="2022-10-06T00:00:00"/>
    <s v="October"/>
    <n v="2022"/>
    <x v="0"/>
    <n v="49"/>
    <s v="Yes"/>
    <x v="4"/>
  </r>
  <r>
    <n v="21445"/>
    <n v="403"/>
    <d v="2023-01-17T00:00:00"/>
    <s v="January"/>
    <n v="2023"/>
    <x v="2"/>
    <n v="68"/>
    <s v="Yes"/>
    <x v="4"/>
  </r>
  <r>
    <n v="21446"/>
    <n v="499"/>
    <d v="2024-02-27T00:00:00"/>
    <s v="February"/>
    <n v="2024"/>
    <x v="1"/>
    <n v="18"/>
    <s v="Yes"/>
    <x v="4"/>
  </r>
  <r>
    <n v="21447"/>
    <n v="454"/>
    <d v="2022-11-05T00:00:00"/>
    <s v="November"/>
    <n v="2022"/>
    <x v="1"/>
    <n v="24"/>
    <s v="Yes"/>
    <x v="5"/>
  </r>
  <r>
    <n v="21448"/>
    <n v="48"/>
    <d v="2024-06-16T00:00:00"/>
    <s v="June"/>
    <n v="2024"/>
    <x v="2"/>
    <n v="27"/>
    <s v="Yes"/>
    <x v="5"/>
  </r>
  <r>
    <n v="21449"/>
    <n v="199"/>
    <d v="2022-10-04T00:00:00"/>
    <s v="October"/>
    <n v="2022"/>
    <x v="2"/>
    <n v="33"/>
    <s v="Yes"/>
    <x v="3"/>
  </r>
  <r>
    <n v="21450"/>
    <n v="71"/>
    <d v="2022-03-17T00:00:00"/>
    <s v="March"/>
    <n v="2022"/>
    <x v="1"/>
    <n v="64"/>
    <s v="Yes"/>
    <x v="2"/>
  </r>
  <r>
    <n v="21451"/>
    <n v="412"/>
    <d v="2022-10-25T00:00:00"/>
    <s v="October"/>
    <n v="2022"/>
    <x v="2"/>
    <n v="25"/>
    <s v="Yes"/>
    <x v="2"/>
  </r>
  <r>
    <n v="21452"/>
    <n v="92"/>
    <d v="2024-04-04T00:00:00"/>
    <s v="April"/>
    <n v="2024"/>
    <x v="1"/>
    <n v="69"/>
    <s v="Yes"/>
    <x v="5"/>
  </r>
  <r>
    <n v="21453"/>
    <n v="403"/>
    <d v="2023-01-13T00:00:00"/>
    <s v="January"/>
    <n v="2023"/>
    <x v="2"/>
    <n v="18"/>
    <s v="Yes"/>
    <x v="4"/>
  </r>
  <r>
    <n v="21454"/>
    <n v="464"/>
    <d v="2023-03-09T00:00:00"/>
    <s v="March"/>
    <n v="2023"/>
    <x v="1"/>
    <n v="45"/>
    <s v="Yes"/>
    <x v="4"/>
  </r>
  <r>
    <n v="21455"/>
    <n v="209"/>
    <d v="2024-05-08T00:00:00"/>
    <s v="May"/>
    <n v="2024"/>
    <x v="2"/>
    <n v="20"/>
    <s v="No"/>
    <x v="0"/>
  </r>
  <r>
    <n v="21456"/>
    <n v="342"/>
    <d v="2022-04-22T00:00:00"/>
    <s v="April"/>
    <n v="2022"/>
    <x v="1"/>
    <n v="35"/>
    <s v="Yes"/>
    <x v="2"/>
  </r>
  <r>
    <n v="21457"/>
    <n v="339"/>
    <d v="2024-02-17T00:00:00"/>
    <s v="February"/>
    <n v="2024"/>
    <x v="0"/>
    <n v="6"/>
    <s v="No"/>
    <x v="0"/>
  </r>
  <r>
    <n v="21458"/>
    <n v="48"/>
    <d v="2022-03-13T00:00:00"/>
    <s v="March"/>
    <n v="2022"/>
    <x v="2"/>
    <n v="9"/>
    <s v="Yes"/>
    <x v="5"/>
  </r>
  <r>
    <n v="21459"/>
    <n v="29"/>
    <d v="2022-11-13T00:00:00"/>
    <s v="November"/>
    <n v="2022"/>
    <x v="2"/>
    <n v="52"/>
    <s v="No"/>
    <x v="3"/>
  </r>
  <r>
    <n v="21460"/>
    <n v="176"/>
    <d v="2022-01-21T00:00:00"/>
    <s v="January"/>
    <n v="2022"/>
    <x v="1"/>
    <n v="28"/>
    <s v="Yes"/>
    <x v="5"/>
  </r>
  <r>
    <n v="21461"/>
    <n v="19"/>
    <d v="2022-07-07T00:00:00"/>
    <s v="July"/>
    <n v="2022"/>
    <x v="2"/>
    <n v="19"/>
    <s v="Yes"/>
    <x v="3"/>
  </r>
  <r>
    <n v="21462"/>
    <n v="495"/>
    <d v="2022-05-01T00:00:00"/>
    <s v="May"/>
    <n v="2022"/>
    <x v="0"/>
    <n v="63"/>
    <s v="Yes"/>
    <x v="1"/>
  </r>
  <r>
    <n v="21463"/>
    <n v="355"/>
    <d v="2022-12-08T00:00:00"/>
    <s v="December"/>
    <n v="2022"/>
    <x v="0"/>
    <n v="7"/>
    <s v="Yes"/>
    <x v="0"/>
  </r>
  <r>
    <n v="21464"/>
    <n v="47"/>
    <d v="2023-10-15T00:00:00"/>
    <s v="October"/>
    <n v="2023"/>
    <x v="1"/>
    <n v="37"/>
    <s v="No"/>
    <x v="2"/>
  </r>
  <r>
    <n v="21465"/>
    <n v="345"/>
    <d v="2022-10-31T00:00:00"/>
    <s v="October"/>
    <n v="2022"/>
    <x v="1"/>
    <n v="36"/>
    <s v="Yes"/>
    <x v="3"/>
  </r>
  <r>
    <n v="21466"/>
    <n v="60"/>
    <d v="2023-03-23T00:00:00"/>
    <s v="March"/>
    <n v="2023"/>
    <x v="2"/>
    <n v="17"/>
    <s v="Yes"/>
    <x v="2"/>
  </r>
  <r>
    <n v="21467"/>
    <n v="176"/>
    <d v="2023-12-17T00:00:00"/>
    <s v="December"/>
    <n v="2023"/>
    <x v="1"/>
    <n v="37"/>
    <s v="Yes"/>
    <x v="5"/>
  </r>
  <r>
    <n v="21468"/>
    <n v="255"/>
    <d v="2023-12-22T00:00:00"/>
    <s v="December"/>
    <n v="2023"/>
    <x v="0"/>
    <n v="60"/>
    <s v="Yes"/>
    <x v="4"/>
  </r>
  <r>
    <n v="21469"/>
    <n v="404"/>
    <d v="2023-05-11T00:00:00"/>
    <s v="May"/>
    <n v="2023"/>
    <x v="0"/>
    <n v="49"/>
    <s v="Yes"/>
    <x v="2"/>
  </r>
  <r>
    <n v="21470"/>
    <n v="229"/>
    <d v="2023-06-05T00:00:00"/>
    <s v="June"/>
    <n v="2023"/>
    <x v="2"/>
    <n v="56"/>
    <s v="Yes"/>
    <x v="2"/>
  </r>
  <r>
    <n v="21471"/>
    <n v="147"/>
    <d v="2022-07-04T00:00:00"/>
    <s v="July"/>
    <n v="2022"/>
    <x v="0"/>
    <n v="34"/>
    <s v="Yes"/>
    <x v="0"/>
  </r>
  <r>
    <n v="21472"/>
    <n v="298"/>
    <d v="2024-05-30T00:00:00"/>
    <s v="May"/>
    <n v="2024"/>
    <x v="1"/>
    <n v="30"/>
    <s v="Yes"/>
    <x v="1"/>
  </r>
  <r>
    <n v="21473"/>
    <n v="333"/>
    <d v="2024-06-06T00:00:00"/>
    <s v="June"/>
    <n v="2024"/>
    <x v="2"/>
    <n v="27"/>
    <s v="No"/>
    <x v="0"/>
  </r>
  <r>
    <n v="21474"/>
    <n v="239"/>
    <d v="2024-03-18T00:00:00"/>
    <s v="March"/>
    <n v="2024"/>
    <x v="2"/>
    <n v="51"/>
    <s v="Yes"/>
    <x v="2"/>
  </r>
  <r>
    <n v="21475"/>
    <n v="332"/>
    <d v="2022-11-28T00:00:00"/>
    <s v="November"/>
    <n v="2022"/>
    <x v="2"/>
    <n v="9"/>
    <s v="Yes"/>
    <x v="1"/>
  </r>
  <r>
    <n v="21476"/>
    <n v="433"/>
    <d v="2023-12-14T00:00:00"/>
    <s v="December"/>
    <n v="2023"/>
    <x v="1"/>
    <n v="20"/>
    <s v="Yes"/>
    <x v="5"/>
  </r>
  <r>
    <n v="21477"/>
    <n v="399"/>
    <d v="2023-07-30T00:00:00"/>
    <s v="July"/>
    <n v="2023"/>
    <x v="2"/>
    <n v="47"/>
    <s v="Yes"/>
    <x v="2"/>
  </r>
  <r>
    <n v="21478"/>
    <n v="188"/>
    <d v="2022-12-16T00:00:00"/>
    <s v="December"/>
    <n v="2022"/>
    <x v="2"/>
    <n v="19"/>
    <s v="Yes"/>
    <x v="4"/>
  </r>
  <r>
    <n v="21479"/>
    <n v="324"/>
    <d v="2024-04-17T00:00:00"/>
    <s v="April"/>
    <n v="2024"/>
    <x v="0"/>
    <n v="68"/>
    <s v="Yes"/>
    <x v="4"/>
  </r>
  <r>
    <n v="21480"/>
    <n v="335"/>
    <d v="2022-11-16T00:00:00"/>
    <s v="November"/>
    <n v="2022"/>
    <x v="0"/>
    <n v="12"/>
    <s v="Yes"/>
    <x v="3"/>
  </r>
  <r>
    <n v="21481"/>
    <n v="209"/>
    <d v="2023-06-21T00:00:00"/>
    <s v="June"/>
    <n v="2023"/>
    <x v="2"/>
    <n v="5"/>
    <s v="Yes"/>
    <x v="0"/>
  </r>
  <r>
    <n v="21482"/>
    <n v="411"/>
    <d v="2023-02-16T00:00:00"/>
    <s v="February"/>
    <n v="2023"/>
    <x v="1"/>
    <n v="69"/>
    <s v="Yes"/>
    <x v="2"/>
  </r>
  <r>
    <n v="21483"/>
    <n v="75"/>
    <d v="2022-06-05T00:00:00"/>
    <s v="June"/>
    <n v="2022"/>
    <x v="1"/>
    <n v="25"/>
    <s v="No"/>
    <x v="1"/>
  </r>
  <r>
    <n v="21484"/>
    <n v="183"/>
    <d v="2024-01-03T00:00:00"/>
    <s v="January"/>
    <n v="2024"/>
    <x v="1"/>
    <n v="31"/>
    <s v="Yes"/>
    <x v="2"/>
  </r>
  <r>
    <n v="21485"/>
    <n v="87"/>
    <d v="2024-03-14T00:00:00"/>
    <s v="March"/>
    <n v="2024"/>
    <x v="1"/>
    <n v="46"/>
    <s v="Yes"/>
    <x v="2"/>
  </r>
  <r>
    <n v="21486"/>
    <n v="271"/>
    <d v="2023-10-13T00:00:00"/>
    <s v="October"/>
    <n v="2023"/>
    <x v="0"/>
    <n v="34"/>
    <s v="Yes"/>
    <x v="3"/>
  </r>
  <r>
    <n v="21487"/>
    <n v="180"/>
    <d v="2023-06-17T00:00:00"/>
    <s v="June"/>
    <n v="2023"/>
    <x v="1"/>
    <n v="41"/>
    <s v="Yes"/>
    <x v="3"/>
  </r>
  <r>
    <n v="21488"/>
    <n v="415"/>
    <d v="2023-05-17T00:00:00"/>
    <s v="May"/>
    <n v="2023"/>
    <x v="1"/>
    <n v="68"/>
    <s v="No"/>
    <x v="4"/>
  </r>
  <r>
    <n v="21489"/>
    <n v="245"/>
    <d v="2023-05-01T00:00:00"/>
    <s v="May"/>
    <n v="2023"/>
    <x v="2"/>
    <n v="38"/>
    <s v="Yes"/>
    <x v="4"/>
  </r>
  <r>
    <n v="21490"/>
    <n v="346"/>
    <d v="2022-06-03T00:00:00"/>
    <s v="June"/>
    <n v="2022"/>
    <x v="1"/>
    <n v="46"/>
    <s v="No"/>
    <x v="5"/>
  </r>
  <r>
    <n v="21491"/>
    <n v="7"/>
    <d v="2022-03-09T00:00:00"/>
    <s v="March"/>
    <n v="2022"/>
    <x v="1"/>
    <n v="69"/>
    <s v="No"/>
    <x v="0"/>
  </r>
  <r>
    <n v="21492"/>
    <n v="269"/>
    <d v="2023-05-07T00:00:00"/>
    <s v="May"/>
    <n v="2023"/>
    <x v="1"/>
    <n v="27"/>
    <s v="Yes"/>
    <x v="5"/>
  </r>
  <r>
    <n v="21493"/>
    <n v="438"/>
    <d v="2022-02-10T00:00:00"/>
    <s v="February"/>
    <n v="2022"/>
    <x v="1"/>
    <n v="43"/>
    <s v="Yes"/>
    <x v="2"/>
  </r>
  <r>
    <n v="21494"/>
    <n v="13"/>
    <d v="2023-06-11T00:00:00"/>
    <s v="June"/>
    <n v="2023"/>
    <x v="0"/>
    <n v="71"/>
    <s v="Yes"/>
    <x v="3"/>
  </r>
  <r>
    <n v="21495"/>
    <n v="500"/>
    <d v="2024-03-01T00:00:00"/>
    <s v="March"/>
    <n v="2024"/>
    <x v="2"/>
    <n v="45"/>
    <s v="Yes"/>
    <x v="1"/>
  </r>
  <r>
    <n v="21496"/>
    <n v="404"/>
    <d v="2022-06-18T00:00:00"/>
    <s v="June"/>
    <n v="2022"/>
    <x v="0"/>
    <n v="18"/>
    <s v="Yes"/>
    <x v="2"/>
  </r>
  <r>
    <n v="21497"/>
    <n v="226"/>
    <d v="2023-10-08T00:00:00"/>
    <s v="October"/>
    <n v="2023"/>
    <x v="2"/>
    <n v="32"/>
    <s v="No"/>
    <x v="5"/>
  </r>
  <r>
    <n v="21498"/>
    <n v="266"/>
    <d v="2023-12-12T00:00:00"/>
    <s v="December"/>
    <n v="2023"/>
    <x v="2"/>
    <n v="2"/>
    <s v="Yes"/>
    <x v="5"/>
  </r>
  <r>
    <n v="21499"/>
    <n v="242"/>
    <d v="2024-01-20T00:00:00"/>
    <s v="January"/>
    <n v="2024"/>
    <x v="2"/>
    <n v="41"/>
    <s v="Yes"/>
    <x v="2"/>
  </r>
  <r>
    <n v="21500"/>
    <n v="380"/>
    <d v="2022-04-22T00:00:00"/>
    <s v="April"/>
    <n v="2022"/>
    <x v="2"/>
    <n v="20"/>
    <s v="Yes"/>
    <x v="4"/>
  </r>
  <r>
    <n v="21501"/>
    <n v="180"/>
    <d v="2023-04-08T00:00:00"/>
    <s v="April"/>
    <n v="2023"/>
    <x v="0"/>
    <n v="58"/>
    <s v="Yes"/>
    <x v="3"/>
  </r>
  <r>
    <n v="21502"/>
    <n v="421"/>
    <d v="2022-02-21T00:00:00"/>
    <s v="February"/>
    <n v="2022"/>
    <x v="2"/>
    <n v="38"/>
    <s v="Yes"/>
    <x v="5"/>
  </r>
  <r>
    <n v="21503"/>
    <n v="180"/>
    <d v="2023-10-11T00:00:00"/>
    <s v="October"/>
    <n v="2023"/>
    <x v="1"/>
    <n v="1"/>
    <s v="Yes"/>
    <x v="3"/>
  </r>
  <r>
    <n v="21504"/>
    <n v="126"/>
    <d v="2022-09-12T00:00:00"/>
    <s v="September"/>
    <n v="2022"/>
    <x v="1"/>
    <n v="69"/>
    <s v="Yes"/>
    <x v="5"/>
  </r>
  <r>
    <n v="21505"/>
    <n v="499"/>
    <d v="2023-09-19T00:00:00"/>
    <s v="September"/>
    <n v="2023"/>
    <x v="2"/>
    <n v="54"/>
    <s v="Yes"/>
    <x v="4"/>
  </r>
  <r>
    <n v="21506"/>
    <n v="283"/>
    <d v="2022-06-07T00:00:00"/>
    <s v="June"/>
    <n v="2022"/>
    <x v="1"/>
    <n v="14"/>
    <s v="Yes"/>
    <x v="2"/>
  </r>
  <r>
    <n v="21507"/>
    <n v="418"/>
    <d v="2022-10-27T00:00:00"/>
    <s v="October"/>
    <n v="2022"/>
    <x v="1"/>
    <n v="25"/>
    <s v="Yes"/>
    <x v="1"/>
  </r>
  <r>
    <n v="21508"/>
    <n v="356"/>
    <d v="2023-03-03T00:00:00"/>
    <s v="March"/>
    <n v="2023"/>
    <x v="2"/>
    <n v="9"/>
    <s v="Yes"/>
    <x v="0"/>
  </r>
  <r>
    <n v="21509"/>
    <n v="190"/>
    <d v="2024-02-15T00:00:00"/>
    <s v="February"/>
    <n v="2024"/>
    <x v="2"/>
    <n v="61"/>
    <s v="Yes"/>
    <x v="2"/>
  </r>
  <r>
    <n v="21510"/>
    <n v="16"/>
    <d v="2024-05-16T00:00:00"/>
    <s v="May"/>
    <n v="2024"/>
    <x v="2"/>
    <n v="52"/>
    <s v="No"/>
    <x v="0"/>
  </r>
  <r>
    <n v="21511"/>
    <n v="315"/>
    <d v="2022-11-03T00:00:00"/>
    <s v="November"/>
    <n v="2022"/>
    <x v="0"/>
    <n v="8"/>
    <s v="Yes"/>
    <x v="3"/>
  </r>
  <r>
    <n v="21512"/>
    <n v="21"/>
    <d v="2022-04-09T00:00:00"/>
    <s v="April"/>
    <n v="2022"/>
    <x v="2"/>
    <n v="16"/>
    <s v="Yes"/>
    <x v="2"/>
  </r>
  <r>
    <n v="21513"/>
    <n v="16"/>
    <d v="2022-05-01T00:00:00"/>
    <s v="May"/>
    <n v="2022"/>
    <x v="2"/>
    <n v="8"/>
    <s v="Yes"/>
    <x v="0"/>
  </r>
  <r>
    <n v="21514"/>
    <n v="465"/>
    <d v="2023-08-25T00:00:00"/>
    <s v="August"/>
    <n v="2023"/>
    <x v="0"/>
    <n v="23"/>
    <s v="Yes"/>
    <x v="0"/>
  </r>
  <r>
    <n v="21515"/>
    <n v="463"/>
    <d v="2022-01-30T00:00:00"/>
    <s v="January"/>
    <n v="2022"/>
    <x v="1"/>
    <n v="34"/>
    <s v="Yes"/>
    <x v="4"/>
  </r>
  <r>
    <n v="21516"/>
    <n v="269"/>
    <d v="2022-08-18T00:00:00"/>
    <s v="August"/>
    <n v="2022"/>
    <x v="0"/>
    <n v="18"/>
    <s v="Yes"/>
    <x v="5"/>
  </r>
  <r>
    <n v="21517"/>
    <n v="33"/>
    <d v="2023-10-13T00:00:00"/>
    <s v="October"/>
    <n v="2023"/>
    <x v="1"/>
    <n v="44"/>
    <s v="Yes"/>
    <x v="3"/>
  </r>
  <r>
    <n v="21518"/>
    <n v="182"/>
    <d v="2022-09-11T00:00:00"/>
    <s v="September"/>
    <n v="2022"/>
    <x v="0"/>
    <n v="15"/>
    <s v="Yes"/>
    <x v="0"/>
  </r>
  <r>
    <n v="21519"/>
    <n v="69"/>
    <d v="2023-02-08T00:00:00"/>
    <s v="February"/>
    <n v="2023"/>
    <x v="2"/>
    <n v="15"/>
    <s v="Yes"/>
    <x v="1"/>
  </r>
  <r>
    <n v="21520"/>
    <n v="411"/>
    <d v="2023-05-09T00:00:00"/>
    <s v="May"/>
    <n v="2023"/>
    <x v="0"/>
    <n v="23"/>
    <s v="Yes"/>
    <x v="2"/>
  </r>
  <r>
    <n v="21521"/>
    <n v="52"/>
    <d v="2022-01-31T00:00:00"/>
    <s v="January"/>
    <n v="2022"/>
    <x v="2"/>
    <n v="65"/>
    <s v="Yes"/>
    <x v="5"/>
  </r>
  <r>
    <n v="21522"/>
    <n v="65"/>
    <d v="2022-06-11T00:00:00"/>
    <s v="June"/>
    <n v="2022"/>
    <x v="1"/>
    <n v="71"/>
    <s v="No"/>
    <x v="4"/>
  </r>
  <r>
    <n v="21523"/>
    <n v="300"/>
    <d v="2023-03-08T00:00:00"/>
    <s v="March"/>
    <n v="2023"/>
    <x v="2"/>
    <n v="32"/>
    <s v="No"/>
    <x v="1"/>
  </r>
  <r>
    <n v="21524"/>
    <n v="414"/>
    <d v="2022-06-05T00:00:00"/>
    <s v="June"/>
    <n v="2022"/>
    <x v="0"/>
    <n v="32"/>
    <s v="Yes"/>
    <x v="4"/>
  </r>
  <r>
    <n v="21525"/>
    <n v="407"/>
    <d v="2022-11-19T00:00:00"/>
    <s v="November"/>
    <n v="2022"/>
    <x v="0"/>
    <n v="33"/>
    <s v="Yes"/>
    <x v="5"/>
  </r>
  <r>
    <n v="21526"/>
    <n v="335"/>
    <d v="2023-09-21T00:00:00"/>
    <s v="September"/>
    <n v="2023"/>
    <x v="1"/>
    <n v="43"/>
    <s v="Yes"/>
    <x v="3"/>
  </r>
  <r>
    <n v="21527"/>
    <n v="228"/>
    <d v="2022-07-10T00:00:00"/>
    <s v="July"/>
    <n v="2022"/>
    <x v="2"/>
    <n v="13"/>
    <s v="Yes"/>
    <x v="2"/>
  </r>
  <r>
    <n v="21528"/>
    <n v="467"/>
    <d v="2022-06-25T00:00:00"/>
    <s v="June"/>
    <n v="2022"/>
    <x v="1"/>
    <n v="9"/>
    <s v="Yes"/>
    <x v="2"/>
  </r>
  <r>
    <n v="21529"/>
    <n v="222"/>
    <d v="2023-06-01T00:00:00"/>
    <s v="June"/>
    <n v="2023"/>
    <x v="2"/>
    <n v="62"/>
    <s v="Yes"/>
    <x v="0"/>
  </r>
  <r>
    <n v="21530"/>
    <n v="272"/>
    <d v="2024-04-24T00:00:00"/>
    <s v="April"/>
    <n v="2024"/>
    <x v="2"/>
    <n v="57"/>
    <s v="Yes"/>
    <x v="5"/>
  </r>
  <r>
    <n v="21531"/>
    <n v="439"/>
    <d v="2023-06-08T00:00:00"/>
    <s v="June"/>
    <n v="2023"/>
    <x v="1"/>
    <n v="48"/>
    <s v="Yes"/>
    <x v="5"/>
  </r>
  <r>
    <n v="21532"/>
    <n v="18"/>
    <d v="2023-07-25T00:00:00"/>
    <s v="July"/>
    <n v="2023"/>
    <x v="1"/>
    <n v="43"/>
    <s v="Yes"/>
    <x v="4"/>
  </r>
  <r>
    <n v="21533"/>
    <n v="218"/>
    <d v="2024-04-12T00:00:00"/>
    <s v="April"/>
    <n v="2024"/>
    <x v="2"/>
    <n v="67"/>
    <s v="Yes"/>
    <x v="4"/>
  </r>
  <r>
    <n v="21534"/>
    <n v="273"/>
    <d v="2024-03-30T00:00:00"/>
    <s v="March"/>
    <n v="2024"/>
    <x v="1"/>
    <n v="32"/>
    <s v="Yes"/>
    <x v="3"/>
  </r>
  <r>
    <n v="21535"/>
    <n v="459"/>
    <d v="2024-03-21T00:00:00"/>
    <s v="March"/>
    <n v="2024"/>
    <x v="2"/>
    <n v="60"/>
    <s v="Yes"/>
    <x v="5"/>
  </r>
  <r>
    <n v="21536"/>
    <n v="308"/>
    <d v="2024-02-01T00:00:00"/>
    <s v="February"/>
    <n v="2024"/>
    <x v="1"/>
    <n v="1"/>
    <s v="Yes"/>
    <x v="5"/>
  </r>
  <r>
    <n v="21537"/>
    <n v="173"/>
    <d v="2022-12-05T00:00:00"/>
    <s v="December"/>
    <n v="2022"/>
    <x v="1"/>
    <n v="57"/>
    <s v="Yes"/>
    <x v="4"/>
  </r>
  <r>
    <n v="21538"/>
    <n v="56"/>
    <d v="2023-08-28T00:00:00"/>
    <s v="August"/>
    <n v="2023"/>
    <x v="1"/>
    <n v="69"/>
    <s v="Yes"/>
    <x v="5"/>
  </r>
  <r>
    <n v="21539"/>
    <n v="349"/>
    <d v="2022-11-15T00:00:00"/>
    <s v="November"/>
    <n v="2022"/>
    <x v="0"/>
    <n v="69"/>
    <s v="No"/>
    <x v="3"/>
  </r>
  <r>
    <n v="21540"/>
    <n v="438"/>
    <d v="2022-04-21T00:00:00"/>
    <s v="April"/>
    <n v="2022"/>
    <x v="1"/>
    <n v="68"/>
    <s v="Yes"/>
    <x v="2"/>
  </r>
  <r>
    <n v="21541"/>
    <n v="9"/>
    <d v="2024-03-28T00:00:00"/>
    <s v="March"/>
    <n v="2024"/>
    <x v="0"/>
    <n v="61"/>
    <s v="Yes"/>
    <x v="0"/>
  </r>
  <r>
    <n v="21542"/>
    <n v="497"/>
    <d v="2024-05-29T00:00:00"/>
    <s v="May"/>
    <n v="2024"/>
    <x v="2"/>
    <n v="8"/>
    <s v="Yes"/>
    <x v="3"/>
  </r>
  <r>
    <n v="21543"/>
    <n v="401"/>
    <d v="2024-03-17T00:00:00"/>
    <s v="March"/>
    <n v="2024"/>
    <x v="2"/>
    <n v="7"/>
    <s v="Yes"/>
    <x v="5"/>
  </r>
  <r>
    <n v="21544"/>
    <n v="283"/>
    <d v="2023-04-18T00:00:00"/>
    <s v="April"/>
    <n v="2023"/>
    <x v="1"/>
    <n v="37"/>
    <s v="No"/>
    <x v="2"/>
  </r>
  <r>
    <n v="21545"/>
    <n v="293"/>
    <d v="2024-04-27T00:00:00"/>
    <s v="April"/>
    <n v="2024"/>
    <x v="0"/>
    <n v="42"/>
    <s v="No"/>
    <x v="5"/>
  </r>
  <r>
    <n v="21546"/>
    <n v="22"/>
    <d v="2022-01-17T00:00:00"/>
    <s v="January"/>
    <n v="2022"/>
    <x v="2"/>
    <n v="32"/>
    <s v="Yes"/>
    <x v="2"/>
  </r>
  <r>
    <n v="21547"/>
    <n v="72"/>
    <d v="2022-08-08T00:00:00"/>
    <s v="August"/>
    <n v="2022"/>
    <x v="0"/>
    <n v="17"/>
    <s v="Yes"/>
    <x v="3"/>
  </r>
  <r>
    <n v="21548"/>
    <n v="451"/>
    <d v="2023-05-02T00:00:00"/>
    <s v="May"/>
    <n v="2023"/>
    <x v="0"/>
    <n v="28"/>
    <s v="No"/>
    <x v="4"/>
  </r>
  <r>
    <n v="21549"/>
    <n v="422"/>
    <d v="2024-03-21T00:00:00"/>
    <s v="March"/>
    <n v="2024"/>
    <x v="2"/>
    <n v="70"/>
    <s v="Yes"/>
    <x v="2"/>
  </r>
  <r>
    <n v="21550"/>
    <n v="355"/>
    <d v="2022-11-01T00:00:00"/>
    <s v="November"/>
    <n v="2022"/>
    <x v="0"/>
    <n v="48"/>
    <s v="No"/>
    <x v="0"/>
  </r>
  <r>
    <n v="21551"/>
    <n v="480"/>
    <d v="2023-06-01T00:00:00"/>
    <s v="June"/>
    <n v="2023"/>
    <x v="0"/>
    <n v="54"/>
    <s v="Yes"/>
    <x v="2"/>
  </r>
  <r>
    <n v="21552"/>
    <n v="328"/>
    <d v="2022-05-09T00:00:00"/>
    <s v="May"/>
    <n v="2022"/>
    <x v="2"/>
    <n v="42"/>
    <s v="Yes"/>
    <x v="3"/>
  </r>
  <r>
    <n v="21553"/>
    <n v="172"/>
    <d v="2024-04-14T00:00:00"/>
    <s v="April"/>
    <n v="2024"/>
    <x v="1"/>
    <n v="36"/>
    <s v="Yes"/>
    <x v="5"/>
  </r>
  <r>
    <n v="21554"/>
    <n v="123"/>
    <d v="2023-09-16T00:00:00"/>
    <s v="September"/>
    <n v="2023"/>
    <x v="1"/>
    <n v="66"/>
    <s v="Yes"/>
    <x v="0"/>
  </r>
  <r>
    <n v="21555"/>
    <n v="91"/>
    <d v="2022-01-24T00:00:00"/>
    <s v="January"/>
    <n v="2022"/>
    <x v="0"/>
    <n v="31"/>
    <s v="Yes"/>
    <x v="5"/>
  </r>
  <r>
    <n v="21556"/>
    <n v="224"/>
    <d v="2023-06-25T00:00:00"/>
    <s v="June"/>
    <n v="2023"/>
    <x v="1"/>
    <n v="65"/>
    <s v="Yes"/>
    <x v="4"/>
  </r>
  <r>
    <n v="21557"/>
    <n v="292"/>
    <d v="2022-05-12T00:00:00"/>
    <s v="May"/>
    <n v="2022"/>
    <x v="2"/>
    <n v="3"/>
    <s v="Yes"/>
    <x v="4"/>
  </r>
  <r>
    <n v="21558"/>
    <n v="354"/>
    <d v="2023-07-10T00:00:00"/>
    <s v="July"/>
    <n v="2023"/>
    <x v="2"/>
    <n v="13"/>
    <s v="Yes"/>
    <x v="3"/>
  </r>
  <r>
    <n v="21559"/>
    <n v="252"/>
    <d v="2022-11-17T00:00:00"/>
    <s v="November"/>
    <n v="2022"/>
    <x v="2"/>
    <n v="31"/>
    <s v="Yes"/>
    <x v="2"/>
  </r>
  <r>
    <n v="21560"/>
    <n v="409"/>
    <d v="2023-05-12T00:00:00"/>
    <s v="May"/>
    <n v="2023"/>
    <x v="0"/>
    <n v="29"/>
    <s v="Yes"/>
    <x v="3"/>
  </r>
  <r>
    <n v="21561"/>
    <n v="479"/>
    <d v="2024-06-06T00:00:00"/>
    <s v="June"/>
    <n v="2024"/>
    <x v="2"/>
    <n v="57"/>
    <s v="Yes"/>
    <x v="1"/>
  </r>
  <r>
    <n v="21562"/>
    <n v="298"/>
    <d v="2023-12-20T00:00:00"/>
    <s v="December"/>
    <n v="2023"/>
    <x v="0"/>
    <n v="33"/>
    <s v="Yes"/>
    <x v="1"/>
  </r>
  <r>
    <n v="21563"/>
    <n v="367"/>
    <d v="2023-01-17T00:00:00"/>
    <s v="January"/>
    <n v="2023"/>
    <x v="0"/>
    <n v="53"/>
    <s v="Yes"/>
    <x v="3"/>
  </r>
  <r>
    <n v="21564"/>
    <n v="256"/>
    <d v="2022-08-04T00:00:00"/>
    <s v="August"/>
    <n v="2022"/>
    <x v="2"/>
    <n v="10"/>
    <s v="Yes"/>
    <x v="3"/>
  </r>
  <r>
    <n v="21565"/>
    <n v="13"/>
    <d v="2024-01-26T00:00:00"/>
    <s v="January"/>
    <n v="2024"/>
    <x v="2"/>
    <n v="63"/>
    <s v="Yes"/>
    <x v="3"/>
  </r>
  <r>
    <n v="21566"/>
    <n v="440"/>
    <d v="2023-06-27T00:00:00"/>
    <s v="June"/>
    <n v="2023"/>
    <x v="0"/>
    <n v="65"/>
    <s v="Yes"/>
    <x v="1"/>
  </r>
  <r>
    <n v="21567"/>
    <n v="335"/>
    <d v="2024-02-17T00:00:00"/>
    <s v="February"/>
    <n v="2024"/>
    <x v="2"/>
    <n v="2"/>
    <s v="Yes"/>
    <x v="3"/>
  </r>
  <r>
    <n v="21568"/>
    <n v="118"/>
    <d v="2022-01-11T00:00:00"/>
    <s v="January"/>
    <n v="2022"/>
    <x v="1"/>
    <n v="2"/>
    <s v="Yes"/>
    <x v="2"/>
  </r>
  <r>
    <n v="21569"/>
    <n v="435"/>
    <d v="2022-03-23T00:00:00"/>
    <s v="March"/>
    <n v="2022"/>
    <x v="0"/>
    <n v="69"/>
    <s v="Yes"/>
    <x v="0"/>
  </r>
  <r>
    <n v="21570"/>
    <n v="178"/>
    <d v="2022-06-05T00:00:00"/>
    <s v="June"/>
    <n v="2022"/>
    <x v="0"/>
    <n v="37"/>
    <s v="Yes"/>
    <x v="5"/>
  </r>
  <r>
    <n v="21571"/>
    <n v="461"/>
    <d v="2022-06-15T00:00:00"/>
    <s v="June"/>
    <n v="2022"/>
    <x v="2"/>
    <n v="2"/>
    <s v="Yes"/>
    <x v="5"/>
  </r>
  <r>
    <n v="21572"/>
    <n v="308"/>
    <d v="2022-07-27T00:00:00"/>
    <s v="July"/>
    <n v="2022"/>
    <x v="2"/>
    <n v="61"/>
    <s v="Yes"/>
    <x v="5"/>
  </r>
  <r>
    <n v="21573"/>
    <n v="500"/>
    <d v="2022-01-24T00:00:00"/>
    <s v="January"/>
    <n v="2022"/>
    <x v="0"/>
    <n v="40"/>
    <s v="Yes"/>
    <x v="1"/>
  </r>
  <r>
    <n v="21574"/>
    <n v="161"/>
    <d v="2024-03-17T00:00:00"/>
    <s v="March"/>
    <n v="2024"/>
    <x v="0"/>
    <n v="63"/>
    <s v="Yes"/>
    <x v="0"/>
  </r>
  <r>
    <n v="21575"/>
    <n v="95"/>
    <d v="2024-06-05T00:00:00"/>
    <s v="June"/>
    <n v="2024"/>
    <x v="0"/>
    <n v="25"/>
    <s v="Yes"/>
    <x v="1"/>
  </r>
  <r>
    <n v="21576"/>
    <n v="409"/>
    <d v="2023-11-22T00:00:00"/>
    <s v="November"/>
    <n v="2023"/>
    <x v="2"/>
    <n v="38"/>
    <s v="Yes"/>
    <x v="3"/>
  </r>
  <r>
    <n v="21577"/>
    <n v="368"/>
    <d v="2022-11-28T00:00:00"/>
    <s v="November"/>
    <n v="2022"/>
    <x v="0"/>
    <n v="37"/>
    <s v="Yes"/>
    <x v="3"/>
  </r>
  <r>
    <n v="21578"/>
    <n v="314"/>
    <d v="2023-07-16T00:00:00"/>
    <s v="July"/>
    <n v="2023"/>
    <x v="1"/>
    <n v="27"/>
    <s v="No"/>
    <x v="5"/>
  </r>
  <r>
    <n v="21579"/>
    <n v="168"/>
    <d v="2023-06-03T00:00:00"/>
    <s v="June"/>
    <n v="2023"/>
    <x v="1"/>
    <n v="50"/>
    <s v="Yes"/>
    <x v="4"/>
  </r>
  <r>
    <n v="21580"/>
    <n v="87"/>
    <d v="2023-05-26T00:00:00"/>
    <s v="May"/>
    <n v="2023"/>
    <x v="2"/>
    <n v="34"/>
    <s v="Yes"/>
    <x v="2"/>
  </r>
  <r>
    <n v="21581"/>
    <n v="422"/>
    <d v="2023-09-04T00:00:00"/>
    <s v="September"/>
    <n v="2023"/>
    <x v="0"/>
    <n v="44"/>
    <s v="No"/>
    <x v="2"/>
  </r>
  <r>
    <n v="21582"/>
    <n v="3"/>
    <d v="2023-08-16T00:00:00"/>
    <s v="August"/>
    <n v="2023"/>
    <x v="0"/>
    <n v="4"/>
    <s v="Yes"/>
    <x v="1"/>
  </r>
  <r>
    <n v="21583"/>
    <n v="372"/>
    <d v="2022-08-29T00:00:00"/>
    <s v="August"/>
    <n v="2022"/>
    <x v="1"/>
    <n v="52"/>
    <s v="Yes"/>
    <x v="5"/>
  </r>
  <r>
    <n v="21584"/>
    <n v="16"/>
    <d v="2024-04-15T00:00:00"/>
    <s v="April"/>
    <n v="2024"/>
    <x v="0"/>
    <n v="55"/>
    <s v="Yes"/>
    <x v="0"/>
  </r>
  <r>
    <n v="21585"/>
    <n v="130"/>
    <d v="2022-06-30T00:00:00"/>
    <s v="June"/>
    <n v="2022"/>
    <x v="2"/>
    <n v="12"/>
    <s v="Yes"/>
    <x v="3"/>
  </r>
  <r>
    <n v="21586"/>
    <n v="23"/>
    <d v="2022-10-20T00:00:00"/>
    <s v="October"/>
    <n v="2022"/>
    <x v="2"/>
    <n v="14"/>
    <s v="Yes"/>
    <x v="3"/>
  </r>
  <r>
    <n v="21587"/>
    <n v="98"/>
    <d v="2022-03-24T00:00:00"/>
    <s v="March"/>
    <n v="2022"/>
    <x v="2"/>
    <n v="35"/>
    <s v="Yes"/>
    <x v="5"/>
  </r>
  <r>
    <n v="21588"/>
    <n v="158"/>
    <d v="2023-07-20T00:00:00"/>
    <s v="July"/>
    <n v="2023"/>
    <x v="0"/>
    <n v="6"/>
    <s v="Yes"/>
    <x v="3"/>
  </r>
  <r>
    <n v="21589"/>
    <n v="239"/>
    <d v="2022-03-31T00:00:00"/>
    <s v="March"/>
    <n v="2022"/>
    <x v="0"/>
    <n v="47"/>
    <s v="No"/>
    <x v="2"/>
  </r>
  <r>
    <n v="21590"/>
    <n v="10"/>
    <d v="2023-03-15T00:00:00"/>
    <s v="March"/>
    <n v="2023"/>
    <x v="1"/>
    <n v="23"/>
    <s v="Yes"/>
    <x v="0"/>
  </r>
  <r>
    <n v="21591"/>
    <n v="321"/>
    <d v="2023-12-16T00:00:00"/>
    <s v="December"/>
    <n v="2023"/>
    <x v="1"/>
    <n v="68"/>
    <s v="Yes"/>
    <x v="2"/>
  </r>
  <r>
    <n v="21592"/>
    <n v="22"/>
    <d v="2023-06-27T00:00:00"/>
    <s v="June"/>
    <n v="2023"/>
    <x v="2"/>
    <n v="65"/>
    <s v="Yes"/>
    <x v="2"/>
  </r>
  <r>
    <n v="21593"/>
    <n v="308"/>
    <d v="2022-07-12T00:00:00"/>
    <s v="July"/>
    <n v="2022"/>
    <x v="0"/>
    <n v="59"/>
    <s v="No"/>
    <x v="5"/>
  </r>
  <r>
    <n v="21594"/>
    <n v="367"/>
    <d v="2023-05-03T00:00:00"/>
    <s v="May"/>
    <n v="2023"/>
    <x v="0"/>
    <n v="9"/>
    <s v="No"/>
    <x v="3"/>
  </r>
  <r>
    <n v="21595"/>
    <n v="184"/>
    <d v="2023-09-04T00:00:00"/>
    <s v="September"/>
    <n v="2023"/>
    <x v="2"/>
    <n v="58"/>
    <s v="Yes"/>
    <x v="4"/>
  </r>
  <r>
    <n v="21596"/>
    <n v="417"/>
    <d v="2022-12-15T00:00:00"/>
    <s v="December"/>
    <n v="2022"/>
    <x v="2"/>
    <n v="48"/>
    <s v="Yes"/>
    <x v="0"/>
  </r>
  <r>
    <n v="21597"/>
    <n v="217"/>
    <d v="2022-03-30T00:00:00"/>
    <s v="March"/>
    <n v="2022"/>
    <x v="1"/>
    <n v="63"/>
    <s v="Yes"/>
    <x v="5"/>
  </r>
  <r>
    <n v="21598"/>
    <n v="214"/>
    <d v="2022-05-03T00:00:00"/>
    <s v="May"/>
    <n v="2022"/>
    <x v="1"/>
    <n v="9"/>
    <s v="Yes"/>
    <x v="5"/>
  </r>
  <r>
    <n v="21599"/>
    <n v="336"/>
    <d v="2023-01-09T00:00:00"/>
    <s v="January"/>
    <n v="2023"/>
    <x v="2"/>
    <n v="44"/>
    <s v="Yes"/>
    <x v="0"/>
  </r>
  <r>
    <n v="21600"/>
    <n v="158"/>
    <d v="2022-02-16T00:00:00"/>
    <s v="February"/>
    <n v="2022"/>
    <x v="0"/>
    <n v="46"/>
    <s v="No"/>
    <x v="3"/>
  </r>
  <r>
    <n v="21601"/>
    <n v="210"/>
    <d v="2023-03-09T00:00:00"/>
    <s v="March"/>
    <n v="2023"/>
    <x v="1"/>
    <n v="15"/>
    <s v="Yes"/>
    <x v="3"/>
  </r>
  <r>
    <n v="21602"/>
    <n v="408"/>
    <d v="2022-05-26T00:00:00"/>
    <s v="May"/>
    <n v="2022"/>
    <x v="2"/>
    <n v="53"/>
    <s v="Yes"/>
    <x v="5"/>
  </r>
  <r>
    <n v="21603"/>
    <n v="133"/>
    <d v="2022-01-03T00:00:00"/>
    <s v="January"/>
    <n v="2022"/>
    <x v="0"/>
    <n v="48"/>
    <s v="Yes"/>
    <x v="3"/>
  </r>
  <r>
    <n v="21604"/>
    <n v="53"/>
    <d v="2023-06-14T00:00:00"/>
    <s v="June"/>
    <n v="2023"/>
    <x v="2"/>
    <n v="42"/>
    <s v="Yes"/>
    <x v="1"/>
  </r>
  <r>
    <n v="21605"/>
    <n v="229"/>
    <d v="2022-11-10T00:00:00"/>
    <s v="November"/>
    <n v="2022"/>
    <x v="0"/>
    <n v="17"/>
    <s v="Yes"/>
    <x v="2"/>
  </r>
  <r>
    <n v="21606"/>
    <n v="183"/>
    <d v="2022-11-23T00:00:00"/>
    <s v="November"/>
    <n v="2022"/>
    <x v="1"/>
    <n v="35"/>
    <s v="Yes"/>
    <x v="2"/>
  </r>
  <r>
    <n v="21607"/>
    <n v="23"/>
    <d v="2022-03-22T00:00:00"/>
    <s v="March"/>
    <n v="2022"/>
    <x v="0"/>
    <n v="31"/>
    <s v="Yes"/>
    <x v="3"/>
  </r>
  <r>
    <n v="21608"/>
    <n v="106"/>
    <d v="2022-06-02T00:00:00"/>
    <s v="June"/>
    <n v="2022"/>
    <x v="0"/>
    <n v="4"/>
    <s v="Yes"/>
    <x v="0"/>
  </r>
  <r>
    <n v="21609"/>
    <n v="91"/>
    <d v="2023-02-06T00:00:00"/>
    <s v="February"/>
    <n v="2023"/>
    <x v="2"/>
    <n v="48"/>
    <s v="Yes"/>
    <x v="5"/>
  </r>
  <r>
    <n v="21610"/>
    <n v="119"/>
    <d v="2024-03-30T00:00:00"/>
    <s v="March"/>
    <n v="2024"/>
    <x v="0"/>
    <n v="14"/>
    <s v="Yes"/>
    <x v="3"/>
  </r>
  <r>
    <n v="21611"/>
    <n v="460"/>
    <d v="2023-05-03T00:00:00"/>
    <s v="May"/>
    <n v="2023"/>
    <x v="1"/>
    <n v="25"/>
    <s v="Yes"/>
    <x v="2"/>
  </r>
  <r>
    <n v="21612"/>
    <n v="138"/>
    <d v="2024-03-21T00:00:00"/>
    <s v="March"/>
    <n v="2024"/>
    <x v="2"/>
    <n v="46"/>
    <s v="Yes"/>
    <x v="4"/>
  </r>
  <r>
    <n v="21613"/>
    <n v="482"/>
    <d v="2022-03-08T00:00:00"/>
    <s v="March"/>
    <n v="2022"/>
    <x v="2"/>
    <n v="48"/>
    <s v="Yes"/>
    <x v="1"/>
  </r>
  <r>
    <n v="21614"/>
    <n v="120"/>
    <d v="2022-03-30T00:00:00"/>
    <s v="March"/>
    <n v="2022"/>
    <x v="2"/>
    <n v="40"/>
    <s v="Yes"/>
    <x v="0"/>
  </r>
  <r>
    <n v="21615"/>
    <n v="161"/>
    <d v="2022-05-15T00:00:00"/>
    <s v="May"/>
    <n v="2022"/>
    <x v="2"/>
    <n v="50"/>
    <s v="Yes"/>
    <x v="0"/>
  </r>
  <r>
    <n v="21616"/>
    <n v="208"/>
    <d v="2024-05-28T00:00:00"/>
    <s v="May"/>
    <n v="2024"/>
    <x v="2"/>
    <n v="7"/>
    <s v="Yes"/>
    <x v="2"/>
  </r>
  <r>
    <n v="21617"/>
    <n v="349"/>
    <d v="2022-07-21T00:00:00"/>
    <s v="July"/>
    <n v="2022"/>
    <x v="2"/>
    <n v="60"/>
    <s v="Yes"/>
    <x v="3"/>
  </r>
  <r>
    <n v="21618"/>
    <n v="318"/>
    <d v="2023-03-04T00:00:00"/>
    <s v="March"/>
    <n v="2023"/>
    <x v="2"/>
    <n v="35"/>
    <s v="Yes"/>
    <x v="4"/>
  </r>
  <r>
    <n v="21619"/>
    <n v="338"/>
    <d v="2022-06-28T00:00:00"/>
    <s v="June"/>
    <n v="2022"/>
    <x v="1"/>
    <n v="63"/>
    <s v="Yes"/>
    <x v="4"/>
  </r>
  <r>
    <n v="21620"/>
    <n v="155"/>
    <d v="2022-12-05T00:00:00"/>
    <s v="December"/>
    <n v="2022"/>
    <x v="1"/>
    <n v="20"/>
    <s v="Yes"/>
    <x v="1"/>
  </r>
  <r>
    <n v="21621"/>
    <n v="263"/>
    <d v="2022-03-20T00:00:00"/>
    <s v="March"/>
    <n v="2022"/>
    <x v="2"/>
    <n v="16"/>
    <s v="Yes"/>
    <x v="5"/>
  </r>
  <r>
    <n v="21622"/>
    <n v="356"/>
    <d v="2023-08-20T00:00:00"/>
    <s v="August"/>
    <n v="2023"/>
    <x v="0"/>
    <n v="22"/>
    <s v="Yes"/>
    <x v="0"/>
  </r>
  <r>
    <n v="21623"/>
    <n v="155"/>
    <d v="2023-06-17T00:00:00"/>
    <s v="June"/>
    <n v="2023"/>
    <x v="2"/>
    <n v="36"/>
    <s v="Yes"/>
    <x v="1"/>
  </r>
  <r>
    <n v="21624"/>
    <n v="330"/>
    <d v="2023-01-13T00:00:00"/>
    <s v="January"/>
    <n v="2023"/>
    <x v="2"/>
    <n v="19"/>
    <s v="Yes"/>
    <x v="1"/>
  </r>
  <r>
    <n v="21625"/>
    <n v="394"/>
    <d v="2022-06-14T00:00:00"/>
    <s v="June"/>
    <n v="2022"/>
    <x v="2"/>
    <n v="2"/>
    <s v="Yes"/>
    <x v="4"/>
  </r>
  <r>
    <n v="21626"/>
    <n v="459"/>
    <d v="2023-06-24T00:00:00"/>
    <s v="June"/>
    <n v="2023"/>
    <x v="0"/>
    <n v="68"/>
    <s v="No"/>
    <x v="5"/>
  </r>
  <r>
    <n v="21627"/>
    <n v="313"/>
    <d v="2024-01-19T00:00:00"/>
    <s v="January"/>
    <n v="2024"/>
    <x v="1"/>
    <n v="7"/>
    <s v="Yes"/>
    <x v="5"/>
  </r>
  <r>
    <n v="21628"/>
    <n v="286"/>
    <d v="2024-03-10T00:00:00"/>
    <s v="March"/>
    <n v="2024"/>
    <x v="0"/>
    <n v="47"/>
    <s v="Yes"/>
    <x v="5"/>
  </r>
  <r>
    <n v="21629"/>
    <n v="259"/>
    <d v="2023-11-28T00:00:00"/>
    <s v="November"/>
    <n v="2023"/>
    <x v="0"/>
    <n v="49"/>
    <s v="Yes"/>
    <x v="5"/>
  </r>
  <r>
    <n v="21630"/>
    <n v="157"/>
    <d v="2024-04-01T00:00:00"/>
    <s v="April"/>
    <n v="2024"/>
    <x v="0"/>
    <n v="43"/>
    <s v="Yes"/>
    <x v="5"/>
  </r>
  <r>
    <n v="21631"/>
    <n v="14"/>
    <d v="2022-06-04T00:00:00"/>
    <s v="June"/>
    <n v="2022"/>
    <x v="0"/>
    <n v="32"/>
    <s v="Yes"/>
    <x v="1"/>
  </r>
  <r>
    <n v="21632"/>
    <n v="77"/>
    <d v="2022-05-03T00:00:00"/>
    <s v="May"/>
    <n v="2022"/>
    <x v="2"/>
    <n v="17"/>
    <s v="Yes"/>
    <x v="4"/>
  </r>
  <r>
    <n v="21633"/>
    <n v="339"/>
    <d v="2023-08-22T00:00:00"/>
    <s v="August"/>
    <n v="2023"/>
    <x v="1"/>
    <n v="14"/>
    <s v="Yes"/>
    <x v="0"/>
  </r>
  <r>
    <n v="21634"/>
    <n v="409"/>
    <d v="2022-07-21T00:00:00"/>
    <s v="July"/>
    <n v="2022"/>
    <x v="0"/>
    <n v="32"/>
    <s v="Yes"/>
    <x v="3"/>
  </r>
  <r>
    <n v="21635"/>
    <n v="394"/>
    <d v="2022-02-09T00:00:00"/>
    <s v="February"/>
    <n v="2022"/>
    <x v="1"/>
    <n v="60"/>
    <s v="Yes"/>
    <x v="4"/>
  </r>
  <r>
    <n v="21636"/>
    <n v="335"/>
    <d v="2022-06-18T00:00:00"/>
    <s v="June"/>
    <n v="2022"/>
    <x v="2"/>
    <n v="60"/>
    <s v="Yes"/>
    <x v="3"/>
  </r>
  <r>
    <n v="21637"/>
    <n v="220"/>
    <d v="2022-03-11T00:00:00"/>
    <s v="March"/>
    <n v="2022"/>
    <x v="2"/>
    <n v="52"/>
    <s v="Yes"/>
    <x v="0"/>
  </r>
  <r>
    <n v="21638"/>
    <n v="232"/>
    <d v="2024-03-02T00:00:00"/>
    <s v="March"/>
    <n v="2024"/>
    <x v="1"/>
    <n v="66"/>
    <s v="Yes"/>
    <x v="1"/>
  </r>
  <r>
    <n v="21639"/>
    <n v="433"/>
    <d v="2022-11-26T00:00:00"/>
    <s v="November"/>
    <n v="2022"/>
    <x v="2"/>
    <n v="4"/>
    <s v="Yes"/>
    <x v="5"/>
  </r>
  <r>
    <n v="21640"/>
    <n v="294"/>
    <d v="2023-03-16T00:00:00"/>
    <s v="March"/>
    <n v="2023"/>
    <x v="1"/>
    <n v="63"/>
    <s v="Yes"/>
    <x v="2"/>
  </r>
  <r>
    <n v="21641"/>
    <n v="455"/>
    <d v="2023-02-03T00:00:00"/>
    <s v="February"/>
    <n v="2023"/>
    <x v="0"/>
    <n v="33"/>
    <s v="Yes"/>
    <x v="4"/>
  </r>
  <r>
    <n v="21642"/>
    <n v="142"/>
    <d v="2023-05-08T00:00:00"/>
    <s v="May"/>
    <n v="2023"/>
    <x v="2"/>
    <n v="1"/>
    <s v="No"/>
    <x v="3"/>
  </r>
  <r>
    <n v="21643"/>
    <n v="251"/>
    <d v="2022-12-20T00:00:00"/>
    <s v="December"/>
    <n v="2022"/>
    <x v="2"/>
    <n v="64"/>
    <s v="Yes"/>
    <x v="3"/>
  </r>
  <r>
    <n v="21644"/>
    <n v="414"/>
    <d v="2022-11-24T00:00:00"/>
    <s v="November"/>
    <n v="2022"/>
    <x v="1"/>
    <n v="37"/>
    <s v="Yes"/>
    <x v="4"/>
  </r>
  <r>
    <n v="21645"/>
    <n v="296"/>
    <d v="2023-05-13T00:00:00"/>
    <s v="May"/>
    <n v="2023"/>
    <x v="2"/>
    <n v="70"/>
    <s v="Yes"/>
    <x v="2"/>
  </r>
  <r>
    <n v="21646"/>
    <n v="140"/>
    <d v="2023-02-23T00:00:00"/>
    <s v="February"/>
    <n v="2023"/>
    <x v="0"/>
    <n v="7"/>
    <s v="Yes"/>
    <x v="4"/>
  </r>
  <r>
    <n v="21647"/>
    <n v="476"/>
    <d v="2023-05-18T00:00:00"/>
    <s v="May"/>
    <n v="2023"/>
    <x v="2"/>
    <n v="24"/>
    <s v="Yes"/>
    <x v="0"/>
  </r>
  <r>
    <n v="21648"/>
    <n v="498"/>
    <d v="2023-06-23T00:00:00"/>
    <s v="June"/>
    <n v="2023"/>
    <x v="2"/>
    <n v="68"/>
    <s v="Yes"/>
    <x v="4"/>
  </r>
  <r>
    <n v="21649"/>
    <n v="142"/>
    <d v="2022-12-11T00:00:00"/>
    <s v="December"/>
    <n v="2022"/>
    <x v="2"/>
    <n v="55"/>
    <s v="Yes"/>
    <x v="3"/>
  </r>
  <r>
    <n v="21650"/>
    <n v="129"/>
    <d v="2023-10-05T00:00:00"/>
    <s v="October"/>
    <n v="2023"/>
    <x v="1"/>
    <n v="3"/>
    <s v="Yes"/>
    <x v="0"/>
  </r>
  <r>
    <n v="21651"/>
    <n v="324"/>
    <d v="2024-02-28T00:00:00"/>
    <s v="February"/>
    <n v="2024"/>
    <x v="0"/>
    <n v="23"/>
    <s v="No"/>
    <x v="4"/>
  </r>
  <r>
    <n v="21652"/>
    <n v="305"/>
    <d v="2023-01-12T00:00:00"/>
    <s v="January"/>
    <n v="2023"/>
    <x v="0"/>
    <n v="36"/>
    <s v="Yes"/>
    <x v="5"/>
  </r>
  <r>
    <n v="21653"/>
    <n v="18"/>
    <d v="2022-10-22T00:00:00"/>
    <s v="October"/>
    <n v="2022"/>
    <x v="2"/>
    <n v="57"/>
    <s v="Yes"/>
    <x v="4"/>
  </r>
  <r>
    <n v="21654"/>
    <n v="243"/>
    <d v="2022-10-15T00:00:00"/>
    <s v="October"/>
    <n v="2022"/>
    <x v="2"/>
    <n v="48"/>
    <s v="Yes"/>
    <x v="2"/>
  </r>
  <r>
    <n v="21655"/>
    <n v="164"/>
    <d v="2022-09-11T00:00:00"/>
    <s v="September"/>
    <n v="2022"/>
    <x v="1"/>
    <n v="13"/>
    <s v="Yes"/>
    <x v="5"/>
  </r>
  <r>
    <n v="21656"/>
    <n v="320"/>
    <d v="2023-03-10T00:00:00"/>
    <s v="March"/>
    <n v="2023"/>
    <x v="0"/>
    <n v="61"/>
    <s v="Yes"/>
    <x v="2"/>
  </r>
  <r>
    <n v="21657"/>
    <n v="96"/>
    <d v="2023-05-16T00:00:00"/>
    <s v="May"/>
    <n v="2023"/>
    <x v="2"/>
    <n v="24"/>
    <s v="Yes"/>
    <x v="2"/>
  </r>
  <r>
    <n v="21658"/>
    <n v="28"/>
    <d v="2022-03-26T00:00:00"/>
    <s v="March"/>
    <n v="2022"/>
    <x v="0"/>
    <n v="43"/>
    <s v="Yes"/>
    <x v="4"/>
  </r>
  <r>
    <n v="21659"/>
    <n v="476"/>
    <d v="2023-06-05T00:00:00"/>
    <s v="June"/>
    <n v="2023"/>
    <x v="2"/>
    <n v="33"/>
    <s v="Yes"/>
    <x v="0"/>
  </r>
  <r>
    <n v="21660"/>
    <n v="230"/>
    <d v="2023-07-16T00:00:00"/>
    <s v="July"/>
    <n v="2023"/>
    <x v="2"/>
    <n v="24"/>
    <s v="Yes"/>
    <x v="5"/>
  </r>
  <r>
    <n v="21661"/>
    <n v="416"/>
    <d v="2023-05-28T00:00:00"/>
    <s v="May"/>
    <n v="2023"/>
    <x v="1"/>
    <n v="22"/>
    <s v="Yes"/>
    <x v="0"/>
  </r>
  <r>
    <n v="21662"/>
    <n v="456"/>
    <d v="2023-05-31T00:00:00"/>
    <s v="May"/>
    <n v="2023"/>
    <x v="0"/>
    <n v="52"/>
    <s v="Yes"/>
    <x v="3"/>
  </r>
  <r>
    <n v="21663"/>
    <n v="25"/>
    <d v="2023-05-31T00:00:00"/>
    <s v="May"/>
    <n v="2023"/>
    <x v="0"/>
    <n v="6"/>
    <s v="Yes"/>
    <x v="4"/>
  </r>
  <r>
    <n v="21664"/>
    <n v="175"/>
    <d v="2023-05-12T00:00:00"/>
    <s v="May"/>
    <n v="2023"/>
    <x v="2"/>
    <n v="19"/>
    <s v="Yes"/>
    <x v="3"/>
  </r>
  <r>
    <n v="21665"/>
    <n v="404"/>
    <d v="2023-08-25T00:00:00"/>
    <s v="August"/>
    <n v="2023"/>
    <x v="2"/>
    <n v="29"/>
    <s v="Yes"/>
    <x v="2"/>
  </r>
  <r>
    <n v="21666"/>
    <n v="161"/>
    <d v="2022-06-11T00:00:00"/>
    <s v="June"/>
    <n v="2022"/>
    <x v="1"/>
    <n v="64"/>
    <s v="Yes"/>
    <x v="0"/>
  </r>
  <r>
    <n v="21667"/>
    <n v="30"/>
    <d v="2023-10-29T00:00:00"/>
    <s v="October"/>
    <n v="2023"/>
    <x v="2"/>
    <n v="14"/>
    <s v="Yes"/>
    <x v="2"/>
  </r>
  <r>
    <n v="21668"/>
    <n v="165"/>
    <d v="2023-06-11T00:00:00"/>
    <s v="June"/>
    <n v="2023"/>
    <x v="0"/>
    <n v="30"/>
    <s v="Yes"/>
    <x v="1"/>
  </r>
  <r>
    <n v="21669"/>
    <n v="208"/>
    <d v="2022-12-31T00:00:00"/>
    <s v="December"/>
    <n v="2022"/>
    <x v="1"/>
    <n v="71"/>
    <s v="Yes"/>
    <x v="2"/>
  </r>
  <r>
    <n v="21670"/>
    <n v="437"/>
    <d v="2023-06-28T00:00:00"/>
    <s v="June"/>
    <n v="2023"/>
    <x v="0"/>
    <n v="21"/>
    <s v="Yes"/>
    <x v="2"/>
  </r>
  <r>
    <n v="21671"/>
    <n v="473"/>
    <d v="2023-03-01T00:00:00"/>
    <s v="March"/>
    <n v="2023"/>
    <x v="1"/>
    <n v="65"/>
    <s v="Yes"/>
    <x v="4"/>
  </r>
  <r>
    <n v="21672"/>
    <n v="102"/>
    <d v="2023-07-29T00:00:00"/>
    <s v="July"/>
    <n v="2023"/>
    <x v="0"/>
    <n v="4"/>
    <s v="Yes"/>
    <x v="4"/>
  </r>
  <r>
    <n v="21673"/>
    <n v="373"/>
    <d v="2022-12-30T00:00:00"/>
    <s v="December"/>
    <n v="2022"/>
    <x v="2"/>
    <n v="46"/>
    <s v="Yes"/>
    <x v="0"/>
  </r>
  <r>
    <n v="21674"/>
    <n v="106"/>
    <d v="2022-04-18T00:00:00"/>
    <s v="April"/>
    <n v="2022"/>
    <x v="0"/>
    <n v="8"/>
    <s v="Yes"/>
    <x v="0"/>
  </r>
  <r>
    <n v="21675"/>
    <n v="330"/>
    <d v="2022-01-14T00:00:00"/>
    <s v="January"/>
    <n v="2022"/>
    <x v="0"/>
    <n v="18"/>
    <s v="Yes"/>
    <x v="1"/>
  </r>
  <r>
    <n v="21676"/>
    <n v="69"/>
    <d v="2022-01-23T00:00:00"/>
    <s v="January"/>
    <n v="2022"/>
    <x v="1"/>
    <n v="60"/>
    <s v="Yes"/>
    <x v="1"/>
  </r>
  <r>
    <n v="21677"/>
    <n v="8"/>
    <d v="2023-09-15T00:00:00"/>
    <s v="September"/>
    <n v="2023"/>
    <x v="0"/>
    <n v="45"/>
    <s v="Yes"/>
    <x v="1"/>
  </r>
  <r>
    <n v="21678"/>
    <n v="123"/>
    <d v="2022-11-17T00:00:00"/>
    <s v="November"/>
    <n v="2022"/>
    <x v="2"/>
    <n v="31"/>
    <s v="Yes"/>
    <x v="0"/>
  </r>
  <r>
    <n v="21679"/>
    <n v="353"/>
    <d v="2023-05-25T00:00:00"/>
    <s v="May"/>
    <n v="2023"/>
    <x v="1"/>
    <n v="28"/>
    <s v="Yes"/>
    <x v="4"/>
  </r>
  <r>
    <n v="21680"/>
    <n v="101"/>
    <d v="2023-11-03T00:00:00"/>
    <s v="November"/>
    <n v="2023"/>
    <x v="1"/>
    <n v="64"/>
    <s v="Yes"/>
    <x v="1"/>
  </r>
  <r>
    <n v="21681"/>
    <n v="1"/>
    <d v="2022-02-10T00:00:00"/>
    <s v="February"/>
    <n v="2022"/>
    <x v="0"/>
    <n v="37"/>
    <s v="Yes"/>
    <x v="3"/>
  </r>
  <r>
    <n v="21682"/>
    <n v="351"/>
    <d v="2024-03-04T00:00:00"/>
    <s v="March"/>
    <n v="2024"/>
    <x v="1"/>
    <n v="67"/>
    <s v="Yes"/>
    <x v="0"/>
  </r>
  <r>
    <n v="21683"/>
    <n v="7"/>
    <d v="2022-10-31T00:00:00"/>
    <s v="October"/>
    <n v="2022"/>
    <x v="2"/>
    <n v="68"/>
    <s v="No"/>
    <x v="0"/>
  </r>
  <r>
    <n v="21684"/>
    <n v="318"/>
    <d v="2023-10-18T00:00:00"/>
    <s v="October"/>
    <n v="2023"/>
    <x v="0"/>
    <n v="35"/>
    <s v="Yes"/>
    <x v="4"/>
  </r>
  <r>
    <n v="21685"/>
    <n v="111"/>
    <d v="2023-02-19T00:00:00"/>
    <s v="February"/>
    <n v="2023"/>
    <x v="2"/>
    <n v="36"/>
    <s v="Yes"/>
    <x v="1"/>
  </r>
  <r>
    <n v="21686"/>
    <n v="343"/>
    <d v="2023-03-26T00:00:00"/>
    <s v="March"/>
    <n v="2023"/>
    <x v="0"/>
    <n v="57"/>
    <s v="Yes"/>
    <x v="4"/>
  </r>
  <r>
    <n v="21687"/>
    <n v="186"/>
    <d v="2024-03-10T00:00:00"/>
    <s v="March"/>
    <n v="2024"/>
    <x v="0"/>
    <n v="70"/>
    <s v="Yes"/>
    <x v="2"/>
  </r>
  <r>
    <n v="21688"/>
    <n v="216"/>
    <d v="2023-01-29T00:00:00"/>
    <s v="January"/>
    <n v="2023"/>
    <x v="1"/>
    <n v="4"/>
    <s v="Yes"/>
    <x v="5"/>
  </r>
  <r>
    <n v="21689"/>
    <n v="462"/>
    <d v="2023-10-27T00:00:00"/>
    <s v="October"/>
    <n v="2023"/>
    <x v="1"/>
    <n v="49"/>
    <s v="Yes"/>
    <x v="2"/>
  </r>
  <r>
    <n v="21690"/>
    <n v="343"/>
    <d v="2023-08-17T00:00:00"/>
    <s v="August"/>
    <n v="2023"/>
    <x v="1"/>
    <n v="39"/>
    <s v="Yes"/>
    <x v="4"/>
  </r>
  <r>
    <n v="21691"/>
    <n v="123"/>
    <d v="2022-12-31T00:00:00"/>
    <s v="December"/>
    <n v="2022"/>
    <x v="0"/>
    <n v="18"/>
    <s v="Yes"/>
    <x v="0"/>
  </r>
  <r>
    <n v="21692"/>
    <n v="201"/>
    <d v="2024-01-08T00:00:00"/>
    <s v="January"/>
    <n v="2024"/>
    <x v="1"/>
    <n v="60"/>
    <s v="Yes"/>
    <x v="0"/>
  </r>
  <r>
    <n v="21693"/>
    <n v="8"/>
    <d v="2023-03-05T00:00:00"/>
    <s v="March"/>
    <n v="2023"/>
    <x v="2"/>
    <n v="10"/>
    <s v="Yes"/>
    <x v="1"/>
  </r>
  <r>
    <n v="21694"/>
    <n v="64"/>
    <d v="2022-06-01T00:00:00"/>
    <s v="June"/>
    <n v="2022"/>
    <x v="1"/>
    <n v="23"/>
    <s v="Yes"/>
    <x v="0"/>
  </r>
  <r>
    <n v="21695"/>
    <n v="136"/>
    <d v="2022-09-16T00:00:00"/>
    <s v="September"/>
    <n v="2022"/>
    <x v="2"/>
    <n v="68"/>
    <s v="Yes"/>
    <x v="5"/>
  </r>
  <r>
    <n v="21696"/>
    <n v="387"/>
    <d v="2024-04-09T00:00:00"/>
    <s v="April"/>
    <n v="2024"/>
    <x v="1"/>
    <n v="59"/>
    <s v="Yes"/>
    <x v="0"/>
  </r>
  <r>
    <n v="21697"/>
    <n v="383"/>
    <d v="2023-08-14T00:00:00"/>
    <s v="August"/>
    <n v="2023"/>
    <x v="0"/>
    <n v="7"/>
    <s v="Yes"/>
    <x v="3"/>
  </r>
  <r>
    <n v="21698"/>
    <n v="186"/>
    <d v="2023-12-08T00:00:00"/>
    <s v="December"/>
    <n v="2023"/>
    <x v="1"/>
    <n v="13"/>
    <s v="Yes"/>
    <x v="2"/>
  </r>
  <r>
    <n v="21699"/>
    <n v="127"/>
    <d v="2022-08-11T00:00:00"/>
    <s v="August"/>
    <n v="2022"/>
    <x v="2"/>
    <n v="3"/>
    <s v="Yes"/>
    <x v="4"/>
  </r>
  <r>
    <n v="21700"/>
    <n v="416"/>
    <d v="2022-09-23T00:00:00"/>
    <s v="September"/>
    <n v="2022"/>
    <x v="2"/>
    <n v="40"/>
    <s v="Yes"/>
    <x v="0"/>
  </r>
  <r>
    <n v="21701"/>
    <n v="372"/>
    <d v="2022-08-18T00:00:00"/>
    <s v="August"/>
    <n v="2022"/>
    <x v="1"/>
    <n v="11"/>
    <s v="Yes"/>
    <x v="5"/>
  </r>
  <r>
    <n v="21702"/>
    <n v="452"/>
    <d v="2023-03-15T00:00:00"/>
    <s v="March"/>
    <n v="2023"/>
    <x v="2"/>
    <n v="51"/>
    <s v="Yes"/>
    <x v="4"/>
  </r>
  <r>
    <n v="21703"/>
    <n v="49"/>
    <d v="2022-05-30T00:00:00"/>
    <s v="May"/>
    <n v="2022"/>
    <x v="0"/>
    <n v="23"/>
    <s v="Yes"/>
    <x v="5"/>
  </r>
  <r>
    <n v="21704"/>
    <n v="166"/>
    <d v="2023-04-02T00:00:00"/>
    <s v="April"/>
    <n v="2023"/>
    <x v="1"/>
    <n v="32"/>
    <s v="Yes"/>
    <x v="4"/>
  </r>
  <r>
    <n v="21705"/>
    <n v="386"/>
    <d v="2022-05-16T00:00:00"/>
    <s v="May"/>
    <n v="2022"/>
    <x v="2"/>
    <n v="41"/>
    <s v="Yes"/>
    <x v="5"/>
  </r>
  <r>
    <n v="21706"/>
    <n v="127"/>
    <d v="2023-09-27T00:00:00"/>
    <s v="September"/>
    <n v="2023"/>
    <x v="1"/>
    <n v="42"/>
    <s v="Yes"/>
    <x v="4"/>
  </r>
  <r>
    <n v="21707"/>
    <n v="393"/>
    <d v="2024-05-19T00:00:00"/>
    <s v="May"/>
    <n v="2024"/>
    <x v="1"/>
    <n v="38"/>
    <s v="Yes"/>
    <x v="3"/>
  </r>
  <r>
    <n v="21708"/>
    <n v="302"/>
    <d v="2023-02-03T00:00:00"/>
    <s v="February"/>
    <n v="2023"/>
    <x v="1"/>
    <n v="67"/>
    <s v="Yes"/>
    <x v="3"/>
  </r>
  <r>
    <n v="21709"/>
    <n v="321"/>
    <d v="2023-09-14T00:00:00"/>
    <s v="September"/>
    <n v="2023"/>
    <x v="1"/>
    <n v="42"/>
    <s v="Yes"/>
    <x v="2"/>
  </r>
  <r>
    <n v="21710"/>
    <n v="177"/>
    <d v="2022-05-23T00:00:00"/>
    <s v="May"/>
    <n v="2022"/>
    <x v="1"/>
    <n v="43"/>
    <s v="Yes"/>
    <x v="3"/>
  </r>
  <r>
    <n v="21711"/>
    <n v="203"/>
    <d v="2022-03-11T00:00:00"/>
    <s v="March"/>
    <n v="2022"/>
    <x v="0"/>
    <n v="33"/>
    <s v="No"/>
    <x v="1"/>
  </r>
  <r>
    <n v="21712"/>
    <n v="157"/>
    <d v="2022-02-23T00:00:00"/>
    <s v="February"/>
    <n v="2022"/>
    <x v="1"/>
    <n v="37"/>
    <s v="Yes"/>
    <x v="5"/>
  </r>
  <r>
    <n v="21713"/>
    <n v="346"/>
    <d v="2024-04-23T00:00:00"/>
    <s v="April"/>
    <n v="2024"/>
    <x v="0"/>
    <n v="57"/>
    <s v="Yes"/>
    <x v="5"/>
  </r>
  <r>
    <n v="21714"/>
    <n v="219"/>
    <d v="2023-02-07T00:00:00"/>
    <s v="February"/>
    <n v="2023"/>
    <x v="1"/>
    <n v="64"/>
    <s v="Yes"/>
    <x v="0"/>
  </r>
  <r>
    <n v="21715"/>
    <n v="486"/>
    <d v="2023-07-06T00:00:00"/>
    <s v="July"/>
    <n v="2023"/>
    <x v="2"/>
    <n v="64"/>
    <s v="Yes"/>
    <x v="5"/>
  </r>
  <r>
    <n v="21716"/>
    <n v="285"/>
    <d v="2023-12-10T00:00:00"/>
    <s v="December"/>
    <n v="2023"/>
    <x v="1"/>
    <n v="60"/>
    <s v="Yes"/>
    <x v="2"/>
  </r>
  <r>
    <n v="21717"/>
    <n v="289"/>
    <d v="2022-01-27T00:00:00"/>
    <s v="January"/>
    <n v="2022"/>
    <x v="1"/>
    <n v="52"/>
    <s v="No"/>
    <x v="2"/>
  </r>
  <r>
    <n v="21718"/>
    <n v="28"/>
    <d v="2024-04-21T00:00:00"/>
    <s v="April"/>
    <n v="2024"/>
    <x v="2"/>
    <n v="68"/>
    <s v="No"/>
    <x v="4"/>
  </r>
  <r>
    <n v="21719"/>
    <n v="351"/>
    <d v="2022-10-26T00:00:00"/>
    <s v="October"/>
    <n v="2022"/>
    <x v="0"/>
    <n v="27"/>
    <s v="Yes"/>
    <x v="0"/>
  </r>
  <r>
    <n v="21720"/>
    <n v="83"/>
    <d v="2023-11-23T00:00:00"/>
    <s v="November"/>
    <n v="2023"/>
    <x v="0"/>
    <n v="59"/>
    <s v="Yes"/>
    <x v="0"/>
  </r>
  <r>
    <n v="21721"/>
    <n v="112"/>
    <d v="2023-07-12T00:00:00"/>
    <s v="July"/>
    <n v="2023"/>
    <x v="0"/>
    <n v="19"/>
    <s v="No"/>
    <x v="5"/>
  </r>
  <r>
    <n v="21722"/>
    <n v="154"/>
    <d v="2023-10-16T00:00:00"/>
    <s v="October"/>
    <n v="2023"/>
    <x v="0"/>
    <n v="3"/>
    <s v="Yes"/>
    <x v="5"/>
  </r>
  <r>
    <n v="21723"/>
    <n v="370"/>
    <d v="2022-11-16T00:00:00"/>
    <s v="November"/>
    <n v="2022"/>
    <x v="2"/>
    <n v="39"/>
    <s v="Yes"/>
    <x v="3"/>
  </r>
  <r>
    <n v="21724"/>
    <n v="29"/>
    <d v="2023-03-21T00:00:00"/>
    <s v="March"/>
    <n v="2023"/>
    <x v="0"/>
    <n v="66"/>
    <s v="Yes"/>
    <x v="3"/>
  </r>
  <r>
    <n v="21725"/>
    <n v="395"/>
    <d v="2022-04-08T00:00:00"/>
    <s v="April"/>
    <n v="2022"/>
    <x v="0"/>
    <n v="56"/>
    <s v="Yes"/>
    <x v="4"/>
  </r>
  <r>
    <n v="21726"/>
    <n v="489"/>
    <d v="2022-05-06T00:00:00"/>
    <s v="May"/>
    <n v="2022"/>
    <x v="0"/>
    <n v="6"/>
    <s v="Yes"/>
    <x v="5"/>
  </r>
  <r>
    <n v="21727"/>
    <n v="480"/>
    <d v="2022-02-27T00:00:00"/>
    <s v="February"/>
    <n v="2022"/>
    <x v="0"/>
    <n v="28"/>
    <s v="Yes"/>
    <x v="2"/>
  </r>
  <r>
    <n v="21728"/>
    <n v="213"/>
    <d v="2022-06-26T00:00:00"/>
    <s v="June"/>
    <n v="2022"/>
    <x v="0"/>
    <n v="48"/>
    <s v="Yes"/>
    <x v="2"/>
  </r>
  <r>
    <n v="21729"/>
    <n v="102"/>
    <d v="2023-12-20T00:00:00"/>
    <s v="December"/>
    <n v="2023"/>
    <x v="1"/>
    <n v="48"/>
    <s v="Yes"/>
    <x v="4"/>
  </r>
  <r>
    <n v="21730"/>
    <n v="418"/>
    <d v="2022-10-12T00:00:00"/>
    <s v="October"/>
    <n v="2022"/>
    <x v="1"/>
    <n v="67"/>
    <s v="Yes"/>
    <x v="1"/>
  </r>
  <r>
    <n v="21731"/>
    <n v="360"/>
    <d v="2023-10-28T00:00:00"/>
    <s v="October"/>
    <n v="2023"/>
    <x v="0"/>
    <n v="54"/>
    <s v="Yes"/>
    <x v="2"/>
  </r>
  <r>
    <n v="21732"/>
    <n v="214"/>
    <d v="2022-01-27T00:00:00"/>
    <s v="January"/>
    <n v="2022"/>
    <x v="2"/>
    <n v="16"/>
    <s v="Yes"/>
    <x v="5"/>
  </r>
  <r>
    <n v="21733"/>
    <n v="304"/>
    <d v="2023-03-27T00:00:00"/>
    <s v="March"/>
    <n v="2023"/>
    <x v="2"/>
    <n v="35"/>
    <s v="Yes"/>
    <x v="4"/>
  </r>
  <r>
    <n v="21734"/>
    <n v="155"/>
    <d v="2022-11-19T00:00:00"/>
    <s v="November"/>
    <n v="2022"/>
    <x v="1"/>
    <n v="30"/>
    <s v="Yes"/>
    <x v="1"/>
  </r>
  <r>
    <n v="21735"/>
    <n v="380"/>
    <d v="2023-11-06T00:00:00"/>
    <s v="November"/>
    <n v="2023"/>
    <x v="2"/>
    <n v="48"/>
    <s v="Yes"/>
    <x v="4"/>
  </r>
  <r>
    <n v="21736"/>
    <n v="200"/>
    <d v="2022-09-07T00:00:00"/>
    <s v="September"/>
    <n v="2022"/>
    <x v="1"/>
    <n v="69"/>
    <s v="No"/>
    <x v="4"/>
  </r>
  <r>
    <n v="21737"/>
    <n v="168"/>
    <d v="2023-12-01T00:00:00"/>
    <s v="December"/>
    <n v="2023"/>
    <x v="0"/>
    <n v="8"/>
    <s v="Yes"/>
    <x v="4"/>
  </r>
  <r>
    <n v="21738"/>
    <n v="238"/>
    <d v="2023-01-05T00:00:00"/>
    <s v="January"/>
    <n v="2023"/>
    <x v="0"/>
    <n v="51"/>
    <s v="Yes"/>
    <x v="1"/>
  </r>
  <r>
    <n v="21739"/>
    <n v="159"/>
    <d v="2024-04-25T00:00:00"/>
    <s v="April"/>
    <n v="2024"/>
    <x v="2"/>
    <n v="10"/>
    <s v="Yes"/>
    <x v="4"/>
  </r>
  <r>
    <n v="21740"/>
    <n v="193"/>
    <d v="2022-03-31T00:00:00"/>
    <s v="March"/>
    <n v="2022"/>
    <x v="2"/>
    <n v="28"/>
    <s v="Yes"/>
    <x v="0"/>
  </r>
  <r>
    <n v="21741"/>
    <n v="167"/>
    <d v="2022-05-11T00:00:00"/>
    <s v="May"/>
    <n v="2022"/>
    <x v="2"/>
    <n v="36"/>
    <s v="Yes"/>
    <x v="0"/>
  </r>
  <r>
    <n v="21742"/>
    <n v="226"/>
    <d v="2024-03-20T00:00:00"/>
    <s v="March"/>
    <n v="2024"/>
    <x v="0"/>
    <n v="60"/>
    <s v="Yes"/>
    <x v="5"/>
  </r>
  <r>
    <n v="21743"/>
    <n v="367"/>
    <d v="2023-06-09T00:00:00"/>
    <s v="June"/>
    <n v="2023"/>
    <x v="0"/>
    <n v="10"/>
    <s v="Yes"/>
    <x v="3"/>
  </r>
  <r>
    <n v="21744"/>
    <n v="251"/>
    <d v="2022-01-29T00:00:00"/>
    <s v="January"/>
    <n v="2022"/>
    <x v="2"/>
    <n v="14"/>
    <s v="Yes"/>
    <x v="3"/>
  </r>
  <r>
    <n v="21745"/>
    <n v="280"/>
    <d v="2024-02-16T00:00:00"/>
    <s v="February"/>
    <n v="2024"/>
    <x v="2"/>
    <n v="63"/>
    <s v="Yes"/>
    <x v="5"/>
  </r>
  <r>
    <n v="21746"/>
    <n v="476"/>
    <d v="2023-06-28T00:00:00"/>
    <s v="June"/>
    <n v="2023"/>
    <x v="2"/>
    <n v="47"/>
    <s v="Yes"/>
    <x v="0"/>
  </r>
  <r>
    <n v="21747"/>
    <n v="498"/>
    <d v="2023-10-24T00:00:00"/>
    <s v="October"/>
    <n v="2023"/>
    <x v="2"/>
    <n v="69"/>
    <s v="Yes"/>
    <x v="4"/>
  </r>
  <r>
    <n v="21748"/>
    <n v="452"/>
    <d v="2022-03-27T00:00:00"/>
    <s v="March"/>
    <n v="2022"/>
    <x v="1"/>
    <n v="56"/>
    <s v="Yes"/>
    <x v="4"/>
  </r>
  <r>
    <n v="21749"/>
    <n v="466"/>
    <d v="2022-02-27T00:00:00"/>
    <s v="February"/>
    <n v="2022"/>
    <x v="2"/>
    <n v="6"/>
    <s v="Yes"/>
    <x v="3"/>
  </r>
  <r>
    <n v="21750"/>
    <n v="221"/>
    <d v="2022-02-26T00:00:00"/>
    <s v="February"/>
    <n v="2022"/>
    <x v="2"/>
    <n v="19"/>
    <s v="Yes"/>
    <x v="0"/>
  </r>
  <r>
    <n v="21751"/>
    <n v="23"/>
    <d v="2023-01-29T00:00:00"/>
    <s v="January"/>
    <n v="2023"/>
    <x v="1"/>
    <n v="52"/>
    <s v="Yes"/>
    <x v="3"/>
  </r>
  <r>
    <n v="21752"/>
    <n v="485"/>
    <d v="2022-01-25T00:00:00"/>
    <s v="January"/>
    <n v="2022"/>
    <x v="1"/>
    <n v="62"/>
    <s v="Yes"/>
    <x v="4"/>
  </r>
  <r>
    <n v="21753"/>
    <n v="189"/>
    <d v="2022-07-09T00:00:00"/>
    <s v="July"/>
    <n v="2022"/>
    <x v="1"/>
    <n v="49"/>
    <s v="Yes"/>
    <x v="4"/>
  </r>
  <r>
    <n v="21754"/>
    <n v="411"/>
    <d v="2022-03-17T00:00:00"/>
    <s v="March"/>
    <n v="2022"/>
    <x v="1"/>
    <n v="11"/>
    <s v="Yes"/>
    <x v="2"/>
  </r>
  <r>
    <n v="21755"/>
    <n v="272"/>
    <d v="2023-01-06T00:00:00"/>
    <s v="January"/>
    <n v="2023"/>
    <x v="2"/>
    <n v="46"/>
    <s v="Yes"/>
    <x v="5"/>
  </r>
  <r>
    <n v="21756"/>
    <n v="429"/>
    <d v="2024-06-17T00:00:00"/>
    <s v="June"/>
    <n v="2024"/>
    <x v="0"/>
    <n v="69"/>
    <s v="Yes"/>
    <x v="2"/>
  </r>
  <r>
    <n v="21757"/>
    <n v="27"/>
    <d v="2024-04-30T00:00:00"/>
    <s v="April"/>
    <n v="2024"/>
    <x v="0"/>
    <n v="45"/>
    <s v="Yes"/>
    <x v="4"/>
  </r>
  <r>
    <n v="21758"/>
    <n v="457"/>
    <d v="2024-01-07T00:00:00"/>
    <s v="January"/>
    <n v="2024"/>
    <x v="0"/>
    <n v="58"/>
    <s v="Yes"/>
    <x v="4"/>
  </r>
  <r>
    <n v="21759"/>
    <n v="389"/>
    <d v="2023-05-21T00:00:00"/>
    <s v="May"/>
    <n v="2023"/>
    <x v="0"/>
    <n v="32"/>
    <s v="Yes"/>
    <x v="0"/>
  </r>
  <r>
    <n v="21760"/>
    <n v="443"/>
    <d v="2022-07-02T00:00:00"/>
    <s v="July"/>
    <n v="2022"/>
    <x v="0"/>
    <n v="10"/>
    <s v="Yes"/>
    <x v="4"/>
  </r>
  <r>
    <n v="21761"/>
    <n v="456"/>
    <d v="2022-06-03T00:00:00"/>
    <s v="June"/>
    <n v="2022"/>
    <x v="0"/>
    <n v="13"/>
    <s v="No"/>
    <x v="3"/>
  </r>
  <r>
    <n v="21762"/>
    <n v="210"/>
    <d v="2022-09-26T00:00:00"/>
    <s v="September"/>
    <n v="2022"/>
    <x v="1"/>
    <n v="13"/>
    <s v="Yes"/>
    <x v="3"/>
  </r>
  <r>
    <n v="21763"/>
    <n v="35"/>
    <d v="2022-10-05T00:00:00"/>
    <s v="October"/>
    <n v="2022"/>
    <x v="1"/>
    <n v="36"/>
    <s v="Yes"/>
    <x v="5"/>
  </r>
  <r>
    <n v="21764"/>
    <n v="198"/>
    <d v="2022-12-06T00:00:00"/>
    <s v="December"/>
    <n v="2022"/>
    <x v="0"/>
    <n v="19"/>
    <s v="Yes"/>
    <x v="3"/>
  </r>
  <r>
    <n v="21765"/>
    <n v="491"/>
    <d v="2024-05-24T00:00:00"/>
    <s v="May"/>
    <n v="2024"/>
    <x v="2"/>
    <n v="7"/>
    <s v="Yes"/>
    <x v="2"/>
  </r>
  <r>
    <n v="21766"/>
    <n v="471"/>
    <d v="2022-01-23T00:00:00"/>
    <s v="January"/>
    <n v="2022"/>
    <x v="2"/>
    <n v="15"/>
    <s v="Yes"/>
    <x v="2"/>
  </r>
  <r>
    <n v="21767"/>
    <n v="174"/>
    <d v="2023-03-08T00:00:00"/>
    <s v="March"/>
    <n v="2023"/>
    <x v="0"/>
    <n v="46"/>
    <s v="Yes"/>
    <x v="1"/>
  </r>
  <r>
    <n v="21768"/>
    <n v="218"/>
    <d v="2023-06-10T00:00:00"/>
    <s v="June"/>
    <n v="2023"/>
    <x v="2"/>
    <n v="48"/>
    <s v="Yes"/>
    <x v="4"/>
  </r>
  <r>
    <n v="21769"/>
    <n v="56"/>
    <d v="2023-08-29T00:00:00"/>
    <s v="August"/>
    <n v="2023"/>
    <x v="1"/>
    <n v="66"/>
    <s v="Yes"/>
    <x v="5"/>
  </r>
  <r>
    <n v="21770"/>
    <n v="383"/>
    <d v="2022-12-09T00:00:00"/>
    <s v="December"/>
    <n v="2022"/>
    <x v="1"/>
    <n v="4"/>
    <s v="Yes"/>
    <x v="3"/>
  </r>
  <r>
    <n v="21771"/>
    <n v="499"/>
    <d v="2024-05-28T00:00:00"/>
    <s v="May"/>
    <n v="2024"/>
    <x v="2"/>
    <n v="3"/>
    <s v="Yes"/>
    <x v="4"/>
  </r>
  <r>
    <n v="21772"/>
    <n v="487"/>
    <d v="2022-02-21T00:00:00"/>
    <s v="February"/>
    <n v="2022"/>
    <x v="0"/>
    <n v="3"/>
    <s v="Yes"/>
    <x v="0"/>
  </r>
  <r>
    <n v="21773"/>
    <n v="152"/>
    <d v="2022-12-05T00:00:00"/>
    <s v="December"/>
    <n v="2022"/>
    <x v="1"/>
    <n v="69"/>
    <s v="Yes"/>
    <x v="0"/>
  </r>
  <r>
    <n v="21774"/>
    <n v="394"/>
    <d v="2022-02-10T00:00:00"/>
    <s v="February"/>
    <n v="2022"/>
    <x v="2"/>
    <n v="28"/>
    <s v="Yes"/>
    <x v="4"/>
  </r>
  <r>
    <n v="21775"/>
    <n v="463"/>
    <d v="2023-11-07T00:00:00"/>
    <s v="November"/>
    <n v="2023"/>
    <x v="2"/>
    <n v="23"/>
    <s v="Yes"/>
    <x v="4"/>
  </r>
  <r>
    <n v="21776"/>
    <n v="38"/>
    <d v="2023-06-02T00:00:00"/>
    <s v="June"/>
    <n v="2023"/>
    <x v="1"/>
    <n v="30"/>
    <s v="Yes"/>
    <x v="1"/>
  </r>
  <r>
    <n v="21777"/>
    <n v="468"/>
    <d v="2023-02-11T00:00:00"/>
    <s v="February"/>
    <n v="2023"/>
    <x v="1"/>
    <n v="62"/>
    <s v="Yes"/>
    <x v="1"/>
  </r>
  <r>
    <n v="21778"/>
    <n v="477"/>
    <d v="2022-05-18T00:00:00"/>
    <s v="May"/>
    <n v="2022"/>
    <x v="0"/>
    <n v="51"/>
    <s v="Yes"/>
    <x v="4"/>
  </r>
  <r>
    <n v="21779"/>
    <n v="198"/>
    <d v="2022-04-09T00:00:00"/>
    <s v="April"/>
    <n v="2022"/>
    <x v="2"/>
    <n v="41"/>
    <s v="No"/>
    <x v="3"/>
  </r>
  <r>
    <n v="21780"/>
    <n v="432"/>
    <d v="2022-12-07T00:00:00"/>
    <s v="December"/>
    <n v="2022"/>
    <x v="0"/>
    <n v="64"/>
    <s v="Yes"/>
    <x v="1"/>
  </r>
  <r>
    <n v="21781"/>
    <n v="9"/>
    <d v="2024-01-06T00:00:00"/>
    <s v="January"/>
    <n v="2024"/>
    <x v="1"/>
    <n v="43"/>
    <s v="Yes"/>
    <x v="0"/>
  </r>
  <r>
    <n v="21782"/>
    <n v="499"/>
    <d v="2022-11-12T00:00:00"/>
    <s v="November"/>
    <n v="2022"/>
    <x v="2"/>
    <n v="58"/>
    <s v="Yes"/>
    <x v="4"/>
  </r>
  <r>
    <n v="21783"/>
    <n v="178"/>
    <d v="2023-06-26T00:00:00"/>
    <s v="June"/>
    <n v="2023"/>
    <x v="1"/>
    <n v="59"/>
    <s v="Yes"/>
    <x v="5"/>
  </r>
  <r>
    <n v="21784"/>
    <n v="325"/>
    <d v="2022-08-13T00:00:00"/>
    <s v="August"/>
    <n v="2022"/>
    <x v="1"/>
    <n v="40"/>
    <s v="Yes"/>
    <x v="3"/>
  </r>
  <r>
    <n v="21785"/>
    <n v="176"/>
    <d v="2024-04-17T00:00:00"/>
    <s v="April"/>
    <n v="2024"/>
    <x v="1"/>
    <n v="46"/>
    <s v="Yes"/>
    <x v="5"/>
  </r>
  <r>
    <n v="21786"/>
    <n v="423"/>
    <d v="2022-09-18T00:00:00"/>
    <s v="September"/>
    <n v="2022"/>
    <x v="0"/>
    <n v="62"/>
    <s v="No"/>
    <x v="0"/>
  </r>
  <r>
    <n v="21787"/>
    <n v="467"/>
    <d v="2022-09-04T00:00:00"/>
    <s v="September"/>
    <n v="2022"/>
    <x v="1"/>
    <n v="49"/>
    <s v="Yes"/>
    <x v="2"/>
  </r>
  <r>
    <n v="21788"/>
    <n v="261"/>
    <d v="2022-03-20T00:00:00"/>
    <s v="March"/>
    <n v="2022"/>
    <x v="0"/>
    <n v="23"/>
    <s v="Yes"/>
    <x v="1"/>
  </r>
  <r>
    <n v="21789"/>
    <n v="84"/>
    <d v="2023-11-28T00:00:00"/>
    <s v="November"/>
    <n v="2023"/>
    <x v="1"/>
    <n v="44"/>
    <s v="Yes"/>
    <x v="4"/>
  </r>
  <r>
    <n v="21790"/>
    <n v="139"/>
    <d v="2024-03-21T00:00:00"/>
    <s v="March"/>
    <n v="2024"/>
    <x v="1"/>
    <n v="44"/>
    <s v="Yes"/>
    <x v="5"/>
  </r>
  <r>
    <n v="21791"/>
    <n v="242"/>
    <d v="2023-11-23T00:00:00"/>
    <s v="November"/>
    <n v="2023"/>
    <x v="2"/>
    <n v="19"/>
    <s v="Yes"/>
    <x v="2"/>
  </r>
  <r>
    <n v="21792"/>
    <n v="316"/>
    <d v="2023-04-18T00:00:00"/>
    <s v="April"/>
    <n v="2023"/>
    <x v="1"/>
    <n v="44"/>
    <s v="Yes"/>
    <x v="2"/>
  </r>
  <r>
    <n v="21793"/>
    <n v="155"/>
    <d v="2022-03-18T00:00:00"/>
    <s v="March"/>
    <n v="2022"/>
    <x v="2"/>
    <n v="11"/>
    <s v="No"/>
    <x v="1"/>
  </r>
  <r>
    <n v="21794"/>
    <n v="221"/>
    <d v="2022-09-19T00:00:00"/>
    <s v="September"/>
    <n v="2022"/>
    <x v="2"/>
    <n v="60"/>
    <s v="Yes"/>
    <x v="0"/>
  </r>
  <r>
    <n v="21795"/>
    <n v="135"/>
    <d v="2024-01-11T00:00:00"/>
    <s v="January"/>
    <n v="2024"/>
    <x v="0"/>
    <n v="38"/>
    <s v="Yes"/>
    <x v="5"/>
  </r>
  <r>
    <n v="21796"/>
    <n v="188"/>
    <d v="2022-01-02T00:00:00"/>
    <s v="January"/>
    <n v="2022"/>
    <x v="2"/>
    <n v="3"/>
    <s v="Yes"/>
    <x v="4"/>
  </r>
  <r>
    <n v="21797"/>
    <n v="178"/>
    <d v="2022-01-17T00:00:00"/>
    <s v="January"/>
    <n v="2022"/>
    <x v="2"/>
    <n v="16"/>
    <s v="Yes"/>
    <x v="5"/>
  </r>
  <r>
    <n v="21798"/>
    <n v="67"/>
    <d v="2022-12-10T00:00:00"/>
    <s v="December"/>
    <n v="2022"/>
    <x v="1"/>
    <n v="9"/>
    <s v="Yes"/>
    <x v="2"/>
  </r>
  <r>
    <n v="21799"/>
    <n v="69"/>
    <d v="2022-01-12T00:00:00"/>
    <s v="January"/>
    <n v="2022"/>
    <x v="1"/>
    <n v="41"/>
    <s v="Yes"/>
    <x v="1"/>
  </r>
  <r>
    <n v="21800"/>
    <n v="439"/>
    <d v="2023-11-25T00:00:00"/>
    <s v="November"/>
    <n v="2023"/>
    <x v="0"/>
    <n v="38"/>
    <s v="Yes"/>
    <x v="5"/>
  </r>
  <r>
    <n v="21801"/>
    <n v="77"/>
    <d v="2024-04-25T00:00:00"/>
    <s v="April"/>
    <n v="2024"/>
    <x v="2"/>
    <n v="69"/>
    <s v="Yes"/>
    <x v="4"/>
  </r>
  <r>
    <n v="21802"/>
    <n v="400"/>
    <d v="2022-01-07T00:00:00"/>
    <s v="January"/>
    <n v="2022"/>
    <x v="2"/>
    <n v="65"/>
    <s v="Yes"/>
    <x v="1"/>
  </r>
  <r>
    <n v="21803"/>
    <n v="374"/>
    <d v="2022-09-03T00:00:00"/>
    <s v="September"/>
    <n v="2022"/>
    <x v="0"/>
    <n v="35"/>
    <s v="Yes"/>
    <x v="1"/>
  </r>
  <r>
    <n v="21804"/>
    <n v="12"/>
    <d v="2022-06-06T00:00:00"/>
    <s v="June"/>
    <n v="2022"/>
    <x v="1"/>
    <n v="35"/>
    <s v="Yes"/>
    <x v="3"/>
  </r>
  <r>
    <n v="21805"/>
    <n v="487"/>
    <d v="2022-06-23T00:00:00"/>
    <s v="June"/>
    <n v="2022"/>
    <x v="2"/>
    <n v="48"/>
    <s v="Yes"/>
    <x v="0"/>
  </r>
  <r>
    <n v="21806"/>
    <n v="283"/>
    <d v="2023-05-02T00:00:00"/>
    <s v="May"/>
    <n v="2023"/>
    <x v="0"/>
    <n v="8"/>
    <s v="Yes"/>
    <x v="2"/>
  </r>
  <r>
    <n v="21807"/>
    <n v="246"/>
    <d v="2024-04-20T00:00:00"/>
    <s v="April"/>
    <n v="2024"/>
    <x v="1"/>
    <n v="27"/>
    <s v="Yes"/>
    <x v="0"/>
  </r>
  <r>
    <n v="21808"/>
    <n v="237"/>
    <d v="2024-04-25T00:00:00"/>
    <s v="April"/>
    <n v="2024"/>
    <x v="0"/>
    <n v="9"/>
    <s v="Yes"/>
    <x v="5"/>
  </r>
  <r>
    <n v="21809"/>
    <n v="252"/>
    <d v="2023-11-24T00:00:00"/>
    <s v="November"/>
    <n v="2023"/>
    <x v="0"/>
    <n v="30"/>
    <s v="Yes"/>
    <x v="2"/>
  </r>
  <r>
    <n v="21810"/>
    <n v="417"/>
    <d v="2022-10-08T00:00:00"/>
    <s v="October"/>
    <n v="2022"/>
    <x v="2"/>
    <n v="14"/>
    <s v="Yes"/>
    <x v="0"/>
  </r>
  <r>
    <n v="21811"/>
    <n v="207"/>
    <d v="2022-11-05T00:00:00"/>
    <s v="November"/>
    <n v="2022"/>
    <x v="1"/>
    <n v="23"/>
    <s v="Yes"/>
    <x v="1"/>
  </r>
  <r>
    <n v="21812"/>
    <n v="341"/>
    <d v="2022-08-25T00:00:00"/>
    <s v="August"/>
    <n v="2022"/>
    <x v="2"/>
    <n v="29"/>
    <s v="Yes"/>
    <x v="0"/>
  </r>
  <r>
    <n v="21813"/>
    <n v="108"/>
    <d v="2022-06-06T00:00:00"/>
    <s v="June"/>
    <n v="2022"/>
    <x v="2"/>
    <n v="26"/>
    <s v="Yes"/>
    <x v="4"/>
  </r>
  <r>
    <n v="21814"/>
    <n v="209"/>
    <d v="2022-09-08T00:00:00"/>
    <s v="September"/>
    <n v="2022"/>
    <x v="1"/>
    <n v="15"/>
    <s v="Yes"/>
    <x v="0"/>
  </r>
  <r>
    <n v="21815"/>
    <n v="311"/>
    <d v="2022-08-09T00:00:00"/>
    <s v="August"/>
    <n v="2022"/>
    <x v="1"/>
    <n v="67"/>
    <s v="Yes"/>
    <x v="5"/>
  </r>
  <r>
    <n v="21816"/>
    <n v="308"/>
    <d v="2022-12-04T00:00:00"/>
    <s v="December"/>
    <n v="2022"/>
    <x v="1"/>
    <n v="16"/>
    <s v="Yes"/>
    <x v="5"/>
  </r>
  <r>
    <n v="21817"/>
    <n v="293"/>
    <d v="2022-08-11T00:00:00"/>
    <s v="August"/>
    <n v="2022"/>
    <x v="2"/>
    <n v="13"/>
    <s v="No"/>
    <x v="5"/>
  </r>
  <r>
    <n v="21818"/>
    <n v="113"/>
    <d v="2022-07-30T00:00:00"/>
    <s v="July"/>
    <n v="2022"/>
    <x v="1"/>
    <n v="24"/>
    <s v="Yes"/>
    <x v="3"/>
  </r>
  <r>
    <n v="21819"/>
    <n v="376"/>
    <d v="2022-12-03T00:00:00"/>
    <s v="December"/>
    <n v="2022"/>
    <x v="1"/>
    <n v="62"/>
    <s v="Yes"/>
    <x v="2"/>
  </r>
  <r>
    <n v="21820"/>
    <n v="15"/>
    <d v="2022-05-14T00:00:00"/>
    <s v="May"/>
    <n v="2022"/>
    <x v="1"/>
    <n v="57"/>
    <s v="Yes"/>
    <x v="4"/>
  </r>
  <r>
    <n v="21821"/>
    <n v="340"/>
    <d v="2024-04-23T00:00:00"/>
    <s v="April"/>
    <n v="2024"/>
    <x v="0"/>
    <n v="36"/>
    <s v="Yes"/>
    <x v="3"/>
  </r>
  <r>
    <n v="21822"/>
    <n v="83"/>
    <d v="2024-02-10T00:00:00"/>
    <s v="February"/>
    <n v="2024"/>
    <x v="1"/>
    <n v="60"/>
    <s v="Yes"/>
    <x v="0"/>
  </r>
  <r>
    <n v="21823"/>
    <n v="65"/>
    <d v="2023-05-10T00:00:00"/>
    <s v="May"/>
    <n v="2023"/>
    <x v="2"/>
    <n v="22"/>
    <s v="Yes"/>
    <x v="4"/>
  </r>
  <r>
    <n v="21824"/>
    <n v="452"/>
    <d v="2023-07-01T00:00:00"/>
    <s v="July"/>
    <n v="2023"/>
    <x v="0"/>
    <n v="3"/>
    <s v="Yes"/>
    <x v="4"/>
  </r>
  <r>
    <n v="21825"/>
    <n v="3"/>
    <d v="2022-07-02T00:00:00"/>
    <s v="July"/>
    <n v="2022"/>
    <x v="2"/>
    <n v="36"/>
    <s v="Yes"/>
    <x v="1"/>
  </r>
  <r>
    <n v="21826"/>
    <n v="456"/>
    <d v="2024-03-25T00:00:00"/>
    <s v="March"/>
    <n v="2024"/>
    <x v="0"/>
    <n v="36"/>
    <s v="Yes"/>
    <x v="3"/>
  </r>
  <r>
    <n v="21827"/>
    <n v="361"/>
    <d v="2022-06-10T00:00:00"/>
    <s v="June"/>
    <n v="2022"/>
    <x v="1"/>
    <n v="10"/>
    <s v="Yes"/>
    <x v="5"/>
  </r>
  <r>
    <n v="21828"/>
    <n v="236"/>
    <d v="2023-08-28T00:00:00"/>
    <s v="August"/>
    <n v="2023"/>
    <x v="0"/>
    <n v="21"/>
    <s v="No"/>
    <x v="3"/>
  </r>
  <r>
    <n v="21829"/>
    <n v="389"/>
    <d v="2023-01-22T00:00:00"/>
    <s v="January"/>
    <n v="2023"/>
    <x v="2"/>
    <n v="49"/>
    <s v="Yes"/>
    <x v="0"/>
  </r>
  <r>
    <n v="21830"/>
    <n v="393"/>
    <d v="2022-07-16T00:00:00"/>
    <s v="July"/>
    <n v="2022"/>
    <x v="0"/>
    <n v="9"/>
    <s v="Yes"/>
    <x v="3"/>
  </r>
  <r>
    <n v="21831"/>
    <n v="129"/>
    <d v="2024-04-06T00:00:00"/>
    <s v="April"/>
    <n v="2024"/>
    <x v="1"/>
    <n v="52"/>
    <s v="Yes"/>
    <x v="0"/>
  </r>
  <r>
    <n v="21832"/>
    <n v="247"/>
    <d v="2023-12-19T00:00:00"/>
    <s v="December"/>
    <n v="2023"/>
    <x v="1"/>
    <n v="48"/>
    <s v="No"/>
    <x v="5"/>
  </r>
  <r>
    <n v="21833"/>
    <n v="235"/>
    <d v="2023-04-29T00:00:00"/>
    <s v="April"/>
    <n v="2023"/>
    <x v="2"/>
    <n v="60"/>
    <s v="Yes"/>
    <x v="3"/>
  </r>
  <r>
    <n v="21834"/>
    <n v="30"/>
    <d v="2023-05-17T00:00:00"/>
    <s v="May"/>
    <n v="2023"/>
    <x v="0"/>
    <n v="50"/>
    <s v="Yes"/>
    <x v="2"/>
  </r>
  <r>
    <n v="21835"/>
    <n v="71"/>
    <d v="2023-05-04T00:00:00"/>
    <s v="May"/>
    <n v="2023"/>
    <x v="2"/>
    <n v="39"/>
    <s v="Yes"/>
    <x v="2"/>
  </r>
  <r>
    <n v="21836"/>
    <n v="470"/>
    <d v="2022-12-18T00:00:00"/>
    <s v="December"/>
    <n v="2022"/>
    <x v="2"/>
    <n v="16"/>
    <s v="Yes"/>
    <x v="2"/>
  </r>
  <r>
    <n v="21837"/>
    <n v="148"/>
    <d v="2023-06-14T00:00:00"/>
    <s v="June"/>
    <n v="2023"/>
    <x v="2"/>
    <n v="28"/>
    <s v="Yes"/>
    <x v="3"/>
  </r>
  <r>
    <n v="21838"/>
    <n v="93"/>
    <d v="2022-08-22T00:00:00"/>
    <s v="August"/>
    <n v="2022"/>
    <x v="1"/>
    <n v="6"/>
    <s v="Yes"/>
    <x v="0"/>
  </r>
  <r>
    <n v="21839"/>
    <n v="283"/>
    <d v="2024-06-12T00:00:00"/>
    <s v="June"/>
    <n v="2024"/>
    <x v="0"/>
    <n v="61"/>
    <s v="Yes"/>
    <x v="2"/>
  </r>
  <r>
    <n v="21840"/>
    <n v="217"/>
    <d v="2024-04-24T00:00:00"/>
    <s v="April"/>
    <n v="2024"/>
    <x v="1"/>
    <n v="6"/>
    <s v="No"/>
    <x v="5"/>
  </r>
  <r>
    <n v="21841"/>
    <n v="238"/>
    <d v="2023-08-01T00:00:00"/>
    <s v="August"/>
    <n v="2023"/>
    <x v="1"/>
    <n v="66"/>
    <s v="Yes"/>
    <x v="1"/>
  </r>
  <r>
    <n v="21842"/>
    <n v="227"/>
    <d v="2024-01-26T00:00:00"/>
    <s v="January"/>
    <n v="2024"/>
    <x v="1"/>
    <n v="40"/>
    <s v="Yes"/>
    <x v="0"/>
  </r>
  <r>
    <n v="21843"/>
    <n v="219"/>
    <d v="2023-02-13T00:00:00"/>
    <s v="February"/>
    <n v="2023"/>
    <x v="0"/>
    <n v="71"/>
    <s v="Yes"/>
    <x v="0"/>
  </r>
  <r>
    <n v="21844"/>
    <n v="319"/>
    <d v="2022-10-03T00:00:00"/>
    <s v="October"/>
    <n v="2022"/>
    <x v="1"/>
    <n v="62"/>
    <s v="Yes"/>
    <x v="5"/>
  </r>
  <r>
    <n v="21845"/>
    <n v="459"/>
    <d v="2023-12-12T00:00:00"/>
    <s v="December"/>
    <n v="2023"/>
    <x v="1"/>
    <n v="28"/>
    <s v="Yes"/>
    <x v="5"/>
  </r>
  <r>
    <n v="21846"/>
    <n v="337"/>
    <d v="2023-04-04T00:00:00"/>
    <s v="April"/>
    <n v="2023"/>
    <x v="1"/>
    <n v="47"/>
    <s v="Yes"/>
    <x v="1"/>
  </r>
  <r>
    <n v="21847"/>
    <n v="31"/>
    <d v="2023-03-29T00:00:00"/>
    <s v="March"/>
    <n v="2023"/>
    <x v="0"/>
    <n v="9"/>
    <s v="Yes"/>
    <x v="5"/>
  </r>
  <r>
    <n v="21848"/>
    <n v="466"/>
    <d v="2023-02-17T00:00:00"/>
    <s v="February"/>
    <n v="2023"/>
    <x v="0"/>
    <n v="52"/>
    <s v="Yes"/>
    <x v="3"/>
  </r>
  <r>
    <n v="21849"/>
    <n v="403"/>
    <d v="2022-01-18T00:00:00"/>
    <s v="January"/>
    <n v="2022"/>
    <x v="2"/>
    <n v="15"/>
    <s v="Yes"/>
    <x v="4"/>
  </r>
  <r>
    <n v="21850"/>
    <n v="114"/>
    <d v="2022-03-13T00:00:00"/>
    <s v="March"/>
    <n v="2022"/>
    <x v="1"/>
    <n v="34"/>
    <s v="Yes"/>
    <x v="1"/>
  </r>
  <r>
    <n v="21851"/>
    <n v="102"/>
    <d v="2023-10-29T00:00:00"/>
    <s v="October"/>
    <n v="2023"/>
    <x v="1"/>
    <n v="20"/>
    <s v="Yes"/>
    <x v="4"/>
  </r>
  <r>
    <n v="21852"/>
    <n v="93"/>
    <d v="2023-01-13T00:00:00"/>
    <s v="January"/>
    <n v="2023"/>
    <x v="0"/>
    <n v="60"/>
    <s v="Yes"/>
    <x v="0"/>
  </r>
  <r>
    <n v="21853"/>
    <n v="207"/>
    <d v="2023-11-13T00:00:00"/>
    <s v="November"/>
    <n v="2023"/>
    <x v="0"/>
    <n v="58"/>
    <s v="Yes"/>
    <x v="1"/>
  </r>
  <r>
    <n v="21854"/>
    <n v="446"/>
    <d v="2024-04-13T00:00:00"/>
    <s v="April"/>
    <n v="2024"/>
    <x v="1"/>
    <n v="67"/>
    <s v="Yes"/>
    <x v="3"/>
  </r>
  <r>
    <n v="21855"/>
    <n v="391"/>
    <d v="2022-12-21T00:00:00"/>
    <s v="December"/>
    <n v="2022"/>
    <x v="2"/>
    <n v="2"/>
    <s v="Yes"/>
    <x v="5"/>
  </r>
  <r>
    <n v="21856"/>
    <n v="229"/>
    <d v="2024-03-04T00:00:00"/>
    <s v="March"/>
    <n v="2024"/>
    <x v="2"/>
    <n v="50"/>
    <s v="Yes"/>
    <x v="2"/>
  </r>
  <r>
    <n v="21857"/>
    <n v="421"/>
    <d v="2022-05-31T00:00:00"/>
    <s v="May"/>
    <n v="2022"/>
    <x v="1"/>
    <n v="14"/>
    <s v="Yes"/>
    <x v="5"/>
  </r>
  <r>
    <n v="21858"/>
    <n v="71"/>
    <d v="2022-09-18T00:00:00"/>
    <s v="September"/>
    <n v="2022"/>
    <x v="2"/>
    <n v="56"/>
    <s v="Yes"/>
    <x v="2"/>
  </r>
  <r>
    <n v="21859"/>
    <n v="342"/>
    <d v="2022-03-21T00:00:00"/>
    <s v="March"/>
    <n v="2022"/>
    <x v="2"/>
    <n v="69"/>
    <s v="Yes"/>
    <x v="2"/>
  </r>
  <r>
    <n v="21860"/>
    <n v="460"/>
    <d v="2022-04-16T00:00:00"/>
    <s v="April"/>
    <n v="2022"/>
    <x v="1"/>
    <n v="44"/>
    <s v="Yes"/>
    <x v="2"/>
  </r>
  <r>
    <n v="21861"/>
    <n v="136"/>
    <d v="2023-06-07T00:00:00"/>
    <s v="June"/>
    <n v="2023"/>
    <x v="2"/>
    <n v="46"/>
    <s v="Yes"/>
    <x v="5"/>
  </r>
  <r>
    <n v="21862"/>
    <n v="441"/>
    <d v="2023-02-07T00:00:00"/>
    <s v="February"/>
    <n v="2023"/>
    <x v="0"/>
    <n v="6"/>
    <s v="Yes"/>
    <x v="3"/>
  </r>
  <r>
    <n v="21863"/>
    <n v="466"/>
    <d v="2023-12-21T00:00:00"/>
    <s v="December"/>
    <n v="2023"/>
    <x v="1"/>
    <n v="8"/>
    <s v="Yes"/>
    <x v="3"/>
  </r>
  <r>
    <n v="21864"/>
    <n v="284"/>
    <d v="2022-05-10T00:00:00"/>
    <s v="May"/>
    <n v="2022"/>
    <x v="0"/>
    <n v="39"/>
    <s v="Yes"/>
    <x v="5"/>
  </r>
  <r>
    <n v="21865"/>
    <n v="338"/>
    <d v="2022-06-20T00:00:00"/>
    <s v="June"/>
    <n v="2022"/>
    <x v="1"/>
    <n v="44"/>
    <s v="Yes"/>
    <x v="4"/>
  </r>
  <r>
    <n v="21866"/>
    <n v="351"/>
    <d v="2023-02-10T00:00:00"/>
    <s v="February"/>
    <n v="2023"/>
    <x v="0"/>
    <n v="27"/>
    <s v="Yes"/>
    <x v="0"/>
  </r>
  <r>
    <n v="21867"/>
    <n v="17"/>
    <d v="2022-02-02T00:00:00"/>
    <s v="February"/>
    <n v="2022"/>
    <x v="2"/>
    <n v="16"/>
    <s v="No"/>
    <x v="0"/>
  </r>
  <r>
    <n v="21868"/>
    <n v="215"/>
    <d v="2023-06-20T00:00:00"/>
    <s v="June"/>
    <n v="2023"/>
    <x v="0"/>
    <n v="39"/>
    <s v="Yes"/>
    <x v="0"/>
  </r>
  <r>
    <n v="21869"/>
    <n v="395"/>
    <d v="2022-07-16T00:00:00"/>
    <s v="July"/>
    <n v="2022"/>
    <x v="0"/>
    <n v="1"/>
    <s v="Yes"/>
    <x v="4"/>
  </r>
  <r>
    <n v="21870"/>
    <n v="399"/>
    <d v="2022-02-15T00:00:00"/>
    <s v="February"/>
    <n v="2022"/>
    <x v="0"/>
    <n v="51"/>
    <s v="Yes"/>
    <x v="2"/>
  </r>
  <r>
    <n v="21871"/>
    <n v="414"/>
    <d v="2022-10-01T00:00:00"/>
    <s v="October"/>
    <n v="2022"/>
    <x v="0"/>
    <n v="63"/>
    <s v="Yes"/>
    <x v="4"/>
  </r>
  <r>
    <n v="21872"/>
    <n v="244"/>
    <d v="2024-01-13T00:00:00"/>
    <s v="January"/>
    <n v="2024"/>
    <x v="0"/>
    <n v="33"/>
    <s v="Yes"/>
    <x v="0"/>
  </r>
  <r>
    <n v="21873"/>
    <n v="95"/>
    <d v="2022-05-13T00:00:00"/>
    <s v="May"/>
    <n v="2022"/>
    <x v="1"/>
    <n v="50"/>
    <s v="Yes"/>
    <x v="1"/>
  </r>
  <r>
    <n v="21874"/>
    <n v="121"/>
    <d v="2022-09-21T00:00:00"/>
    <s v="September"/>
    <n v="2022"/>
    <x v="0"/>
    <n v="54"/>
    <s v="Yes"/>
    <x v="5"/>
  </r>
  <r>
    <n v="21875"/>
    <n v="6"/>
    <d v="2023-08-20T00:00:00"/>
    <s v="August"/>
    <n v="2023"/>
    <x v="0"/>
    <n v="27"/>
    <s v="Yes"/>
    <x v="0"/>
  </r>
  <r>
    <n v="21876"/>
    <n v="268"/>
    <d v="2023-01-02T00:00:00"/>
    <s v="January"/>
    <n v="2023"/>
    <x v="1"/>
    <n v="19"/>
    <s v="Yes"/>
    <x v="0"/>
  </r>
  <r>
    <n v="21877"/>
    <n v="87"/>
    <d v="2024-04-04T00:00:00"/>
    <s v="April"/>
    <n v="2024"/>
    <x v="1"/>
    <n v="28"/>
    <s v="Yes"/>
    <x v="2"/>
  </r>
  <r>
    <n v="21878"/>
    <n v="189"/>
    <d v="2022-01-05T00:00:00"/>
    <s v="January"/>
    <n v="2022"/>
    <x v="2"/>
    <n v="23"/>
    <s v="Yes"/>
    <x v="4"/>
  </r>
  <r>
    <n v="21879"/>
    <n v="103"/>
    <d v="2022-09-26T00:00:00"/>
    <s v="September"/>
    <n v="2022"/>
    <x v="0"/>
    <n v="64"/>
    <s v="Yes"/>
    <x v="4"/>
  </r>
  <r>
    <n v="21880"/>
    <n v="104"/>
    <d v="2024-04-30T00:00:00"/>
    <s v="April"/>
    <n v="2024"/>
    <x v="0"/>
    <n v="39"/>
    <s v="Yes"/>
    <x v="3"/>
  </r>
  <r>
    <n v="21881"/>
    <n v="420"/>
    <d v="2024-01-03T00:00:00"/>
    <s v="January"/>
    <n v="2024"/>
    <x v="2"/>
    <n v="49"/>
    <s v="Yes"/>
    <x v="4"/>
  </r>
  <r>
    <n v="21882"/>
    <n v="291"/>
    <d v="2023-12-07T00:00:00"/>
    <s v="December"/>
    <n v="2023"/>
    <x v="0"/>
    <n v="59"/>
    <s v="Yes"/>
    <x v="1"/>
  </r>
  <r>
    <n v="21883"/>
    <n v="67"/>
    <d v="2023-02-25T00:00:00"/>
    <s v="February"/>
    <n v="2023"/>
    <x v="2"/>
    <n v="20"/>
    <s v="Yes"/>
    <x v="2"/>
  </r>
  <r>
    <n v="21884"/>
    <n v="106"/>
    <d v="2022-12-12T00:00:00"/>
    <s v="December"/>
    <n v="2022"/>
    <x v="1"/>
    <n v="61"/>
    <s v="Yes"/>
    <x v="0"/>
  </r>
  <r>
    <n v="21885"/>
    <n v="248"/>
    <d v="2022-03-10T00:00:00"/>
    <s v="March"/>
    <n v="2022"/>
    <x v="0"/>
    <n v="9"/>
    <s v="Yes"/>
    <x v="0"/>
  </r>
  <r>
    <n v="21886"/>
    <n v="348"/>
    <d v="2024-03-10T00:00:00"/>
    <s v="March"/>
    <n v="2024"/>
    <x v="0"/>
    <n v="23"/>
    <s v="Yes"/>
    <x v="5"/>
  </r>
  <r>
    <n v="21887"/>
    <n v="207"/>
    <d v="2022-12-24T00:00:00"/>
    <s v="December"/>
    <n v="2022"/>
    <x v="1"/>
    <n v="7"/>
    <s v="Yes"/>
    <x v="1"/>
  </r>
  <r>
    <n v="21888"/>
    <n v="205"/>
    <d v="2023-11-19T00:00:00"/>
    <s v="November"/>
    <n v="2023"/>
    <x v="0"/>
    <n v="31"/>
    <s v="No"/>
    <x v="2"/>
  </r>
  <r>
    <n v="21889"/>
    <n v="319"/>
    <d v="2023-01-21T00:00:00"/>
    <s v="January"/>
    <n v="2023"/>
    <x v="1"/>
    <n v="60"/>
    <s v="Yes"/>
    <x v="5"/>
  </r>
  <r>
    <n v="21890"/>
    <n v="83"/>
    <d v="2022-11-21T00:00:00"/>
    <s v="November"/>
    <n v="2022"/>
    <x v="1"/>
    <n v="61"/>
    <s v="Yes"/>
    <x v="0"/>
  </r>
  <r>
    <n v="21891"/>
    <n v="424"/>
    <d v="2024-01-21T00:00:00"/>
    <s v="January"/>
    <n v="2024"/>
    <x v="2"/>
    <n v="26"/>
    <s v="Yes"/>
    <x v="2"/>
  </r>
  <r>
    <n v="21892"/>
    <n v="82"/>
    <d v="2023-04-26T00:00:00"/>
    <s v="April"/>
    <n v="2023"/>
    <x v="1"/>
    <n v="54"/>
    <s v="Yes"/>
    <x v="5"/>
  </r>
  <r>
    <n v="21893"/>
    <n v="287"/>
    <d v="2022-06-28T00:00:00"/>
    <s v="June"/>
    <n v="2022"/>
    <x v="2"/>
    <n v="31"/>
    <s v="Yes"/>
    <x v="0"/>
  </r>
  <r>
    <n v="21894"/>
    <n v="37"/>
    <d v="2022-09-13T00:00:00"/>
    <s v="September"/>
    <n v="2022"/>
    <x v="1"/>
    <n v="41"/>
    <s v="Yes"/>
    <x v="3"/>
  </r>
  <r>
    <n v="21895"/>
    <n v="213"/>
    <d v="2023-02-23T00:00:00"/>
    <s v="February"/>
    <n v="2023"/>
    <x v="2"/>
    <n v="28"/>
    <s v="Yes"/>
    <x v="2"/>
  </r>
  <r>
    <n v="21896"/>
    <n v="487"/>
    <d v="2022-07-30T00:00:00"/>
    <s v="July"/>
    <n v="2022"/>
    <x v="2"/>
    <n v="6"/>
    <s v="Yes"/>
    <x v="0"/>
  </r>
  <r>
    <n v="21897"/>
    <n v="133"/>
    <d v="2024-01-09T00:00:00"/>
    <s v="January"/>
    <n v="2024"/>
    <x v="2"/>
    <n v="34"/>
    <s v="Yes"/>
    <x v="3"/>
  </r>
  <r>
    <n v="21898"/>
    <n v="115"/>
    <d v="2023-08-07T00:00:00"/>
    <s v="August"/>
    <n v="2023"/>
    <x v="2"/>
    <n v="9"/>
    <s v="Yes"/>
    <x v="0"/>
  </r>
  <r>
    <n v="21899"/>
    <n v="377"/>
    <d v="2023-01-02T00:00:00"/>
    <s v="January"/>
    <n v="2023"/>
    <x v="0"/>
    <n v="12"/>
    <s v="Yes"/>
    <x v="1"/>
  </r>
  <r>
    <n v="21900"/>
    <n v="465"/>
    <d v="2023-07-31T00:00:00"/>
    <s v="July"/>
    <n v="2023"/>
    <x v="1"/>
    <n v="16"/>
    <s v="Yes"/>
    <x v="0"/>
  </r>
  <r>
    <n v="21901"/>
    <n v="211"/>
    <d v="2022-06-15T00:00:00"/>
    <s v="June"/>
    <n v="2022"/>
    <x v="1"/>
    <n v="71"/>
    <s v="Yes"/>
    <x v="2"/>
  </r>
  <r>
    <n v="21902"/>
    <n v="132"/>
    <d v="2022-08-02T00:00:00"/>
    <s v="August"/>
    <n v="2022"/>
    <x v="1"/>
    <n v="31"/>
    <s v="Yes"/>
    <x v="2"/>
  </r>
  <r>
    <n v="21903"/>
    <n v="374"/>
    <d v="2023-06-13T00:00:00"/>
    <s v="June"/>
    <n v="2023"/>
    <x v="1"/>
    <n v="33"/>
    <s v="Yes"/>
    <x v="1"/>
  </r>
  <r>
    <n v="21904"/>
    <n v="154"/>
    <d v="2024-04-27T00:00:00"/>
    <s v="April"/>
    <n v="2024"/>
    <x v="2"/>
    <n v="7"/>
    <s v="Yes"/>
    <x v="5"/>
  </r>
  <r>
    <n v="21905"/>
    <n v="408"/>
    <d v="2022-06-22T00:00:00"/>
    <s v="June"/>
    <n v="2022"/>
    <x v="0"/>
    <n v="3"/>
    <s v="Yes"/>
    <x v="5"/>
  </r>
  <r>
    <n v="21906"/>
    <n v="423"/>
    <d v="2022-05-09T00:00:00"/>
    <s v="May"/>
    <n v="2022"/>
    <x v="1"/>
    <n v="20"/>
    <s v="No"/>
    <x v="0"/>
  </r>
  <r>
    <n v="21907"/>
    <n v="440"/>
    <d v="2022-01-03T00:00:00"/>
    <s v="January"/>
    <n v="2022"/>
    <x v="1"/>
    <n v="5"/>
    <s v="Yes"/>
    <x v="1"/>
  </r>
  <r>
    <n v="21908"/>
    <n v="438"/>
    <d v="2024-06-13T00:00:00"/>
    <s v="June"/>
    <n v="2024"/>
    <x v="1"/>
    <n v="67"/>
    <s v="Yes"/>
    <x v="2"/>
  </r>
  <r>
    <n v="21909"/>
    <n v="294"/>
    <d v="2024-06-14T00:00:00"/>
    <s v="June"/>
    <n v="2024"/>
    <x v="2"/>
    <n v="38"/>
    <s v="No"/>
    <x v="2"/>
  </r>
  <r>
    <n v="21910"/>
    <n v="366"/>
    <d v="2024-01-30T00:00:00"/>
    <s v="January"/>
    <n v="2024"/>
    <x v="1"/>
    <n v="56"/>
    <s v="Yes"/>
    <x v="1"/>
  </r>
  <r>
    <n v="21911"/>
    <n v="182"/>
    <d v="2022-03-11T00:00:00"/>
    <s v="March"/>
    <n v="2022"/>
    <x v="1"/>
    <n v="23"/>
    <s v="Yes"/>
    <x v="0"/>
  </r>
  <r>
    <n v="21912"/>
    <n v="147"/>
    <d v="2022-02-21T00:00:00"/>
    <s v="February"/>
    <n v="2022"/>
    <x v="0"/>
    <n v="2"/>
    <s v="Yes"/>
    <x v="0"/>
  </r>
  <r>
    <n v="21913"/>
    <n v="222"/>
    <d v="2023-03-13T00:00:00"/>
    <s v="March"/>
    <n v="2023"/>
    <x v="2"/>
    <n v="21"/>
    <s v="Yes"/>
    <x v="0"/>
  </r>
  <r>
    <n v="21914"/>
    <n v="282"/>
    <d v="2023-01-13T00:00:00"/>
    <s v="January"/>
    <n v="2023"/>
    <x v="0"/>
    <n v="14"/>
    <s v="Yes"/>
    <x v="1"/>
  </r>
  <r>
    <n v="21915"/>
    <n v="127"/>
    <d v="2024-02-10T00:00:00"/>
    <s v="February"/>
    <n v="2024"/>
    <x v="1"/>
    <n v="62"/>
    <s v="Yes"/>
    <x v="4"/>
  </r>
  <r>
    <n v="21916"/>
    <n v="308"/>
    <d v="2024-01-21T00:00:00"/>
    <s v="January"/>
    <n v="2024"/>
    <x v="2"/>
    <n v="11"/>
    <s v="Yes"/>
    <x v="5"/>
  </r>
  <r>
    <n v="21917"/>
    <n v="203"/>
    <d v="2022-04-04T00:00:00"/>
    <s v="April"/>
    <n v="2022"/>
    <x v="1"/>
    <n v="4"/>
    <s v="Yes"/>
    <x v="1"/>
  </r>
  <r>
    <n v="21918"/>
    <n v="118"/>
    <d v="2023-07-13T00:00:00"/>
    <s v="July"/>
    <n v="2023"/>
    <x v="1"/>
    <n v="47"/>
    <s v="Yes"/>
    <x v="2"/>
  </r>
  <r>
    <n v="21919"/>
    <n v="61"/>
    <d v="2023-08-10T00:00:00"/>
    <s v="August"/>
    <n v="2023"/>
    <x v="2"/>
    <n v="20"/>
    <s v="Yes"/>
    <x v="2"/>
  </r>
  <r>
    <n v="21920"/>
    <n v="231"/>
    <d v="2023-08-26T00:00:00"/>
    <s v="August"/>
    <n v="2023"/>
    <x v="0"/>
    <n v="52"/>
    <s v="Yes"/>
    <x v="4"/>
  </r>
  <r>
    <n v="21921"/>
    <n v="451"/>
    <d v="2022-03-27T00:00:00"/>
    <s v="March"/>
    <n v="2022"/>
    <x v="2"/>
    <n v="16"/>
    <s v="Yes"/>
    <x v="4"/>
  </r>
  <r>
    <n v="21922"/>
    <n v="500"/>
    <d v="2023-06-02T00:00:00"/>
    <s v="June"/>
    <n v="2023"/>
    <x v="2"/>
    <n v="45"/>
    <s v="Yes"/>
    <x v="1"/>
  </r>
  <r>
    <n v="21923"/>
    <n v="150"/>
    <d v="2024-01-12T00:00:00"/>
    <s v="January"/>
    <n v="2024"/>
    <x v="0"/>
    <n v="8"/>
    <s v="Yes"/>
    <x v="0"/>
  </r>
  <r>
    <n v="21924"/>
    <n v="145"/>
    <d v="2023-03-06T00:00:00"/>
    <s v="March"/>
    <n v="2023"/>
    <x v="2"/>
    <n v="62"/>
    <s v="No"/>
    <x v="5"/>
  </r>
  <r>
    <n v="21925"/>
    <n v="395"/>
    <d v="2024-05-12T00:00:00"/>
    <s v="May"/>
    <n v="2024"/>
    <x v="0"/>
    <n v="21"/>
    <s v="Yes"/>
    <x v="4"/>
  </r>
  <r>
    <n v="21926"/>
    <n v="111"/>
    <d v="2024-04-08T00:00:00"/>
    <s v="April"/>
    <n v="2024"/>
    <x v="0"/>
    <n v="64"/>
    <s v="No"/>
    <x v="1"/>
  </r>
  <r>
    <n v="21927"/>
    <n v="167"/>
    <d v="2022-02-12T00:00:00"/>
    <s v="February"/>
    <n v="2022"/>
    <x v="2"/>
    <n v="30"/>
    <s v="Yes"/>
    <x v="0"/>
  </r>
  <r>
    <n v="21928"/>
    <n v="189"/>
    <d v="2024-04-03T00:00:00"/>
    <s v="April"/>
    <n v="2024"/>
    <x v="2"/>
    <n v="36"/>
    <s v="Yes"/>
    <x v="4"/>
  </r>
  <r>
    <n v="21929"/>
    <n v="495"/>
    <d v="2023-12-11T00:00:00"/>
    <s v="December"/>
    <n v="2023"/>
    <x v="0"/>
    <n v="5"/>
    <s v="Yes"/>
    <x v="1"/>
  </r>
  <r>
    <n v="21930"/>
    <n v="475"/>
    <d v="2023-01-05T00:00:00"/>
    <s v="January"/>
    <n v="2023"/>
    <x v="0"/>
    <n v="38"/>
    <s v="Yes"/>
    <x v="4"/>
  </r>
  <r>
    <n v="21931"/>
    <n v="49"/>
    <d v="2023-02-08T00:00:00"/>
    <s v="February"/>
    <n v="2023"/>
    <x v="0"/>
    <n v="19"/>
    <s v="Yes"/>
    <x v="5"/>
  </r>
  <r>
    <n v="21932"/>
    <n v="107"/>
    <d v="2022-10-30T00:00:00"/>
    <s v="October"/>
    <n v="2022"/>
    <x v="0"/>
    <n v="27"/>
    <s v="Yes"/>
    <x v="5"/>
  </r>
  <r>
    <n v="21933"/>
    <n v="93"/>
    <d v="2022-07-01T00:00:00"/>
    <s v="July"/>
    <n v="2022"/>
    <x v="0"/>
    <n v="13"/>
    <s v="Yes"/>
    <x v="0"/>
  </r>
  <r>
    <n v="21934"/>
    <n v="124"/>
    <d v="2022-06-18T00:00:00"/>
    <s v="June"/>
    <n v="2022"/>
    <x v="2"/>
    <n v="9"/>
    <s v="Yes"/>
    <x v="3"/>
  </r>
  <r>
    <n v="21935"/>
    <n v="317"/>
    <d v="2022-07-22T00:00:00"/>
    <s v="July"/>
    <n v="2022"/>
    <x v="1"/>
    <n v="17"/>
    <s v="Yes"/>
    <x v="4"/>
  </r>
  <r>
    <n v="21936"/>
    <n v="140"/>
    <d v="2023-12-07T00:00:00"/>
    <s v="December"/>
    <n v="2023"/>
    <x v="2"/>
    <n v="44"/>
    <s v="Yes"/>
    <x v="4"/>
  </r>
  <r>
    <n v="21937"/>
    <n v="397"/>
    <d v="2023-06-27T00:00:00"/>
    <s v="June"/>
    <n v="2023"/>
    <x v="1"/>
    <n v="45"/>
    <s v="Yes"/>
    <x v="0"/>
  </r>
  <r>
    <n v="21938"/>
    <n v="314"/>
    <d v="2022-04-12T00:00:00"/>
    <s v="April"/>
    <n v="2022"/>
    <x v="0"/>
    <n v="42"/>
    <s v="No"/>
    <x v="5"/>
  </r>
  <r>
    <n v="21939"/>
    <n v="11"/>
    <d v="2023-07-30T00:00:00"/>
    <s v="July"/>
    <n v="2023"/>
    <x v="2"/>
    <n v="51"/>
    <s v="Yes"/>
    <x v="1"/>
  </r>
  <r>
    <n v="21940"/>
    <n v="448"/>
    <d v="2022-12-12T00:00:00"/>
    <s v="December"/>
    <n v="2022"/>
    <x v="1"/>
    <n v="58"/>
    <s v="Yes"/>
    <x v="1"/>
  </r>
  <r>
    <n v="21941"/>
    <n v="415"/>
    <d v="2023-08-26T00:00:00"/>
    <s v="August"/>
    <n v="2023"/>
    <x v="0"/>
    <n v="58"/>
    <s v="Yes"/>
    <x v="4"/>
  </r>
  <r>
    <n v="21942"/>
    <n v="395"/>
    <d v="2023-03-18T00:00:00"/>
    <s v="March"/>
    <n v="2023"/>
    <x v="2"/>
    <n v="30"/>
    <s v="Yes"/>
    <x v="4"/>
  </r>
  <r>
    <n v="21943"/>
    <n v="378"/>
    <d v="2022-09-07T00:00:00"/>
    <s v="September"/>
    <n v="2022"/>
    <x v="1"/>
    <n v="5"/>
    <s v="Yes"/>
    <x v="4"/>
  </r>
  <r>
    <n v="21944"/>
    <n v="361"/>
    <d v="2022-07-02T00:00:00"/>
    <s v="July"/>
    <n v="2022"/>
    <x v="2"/>
    <n v="8"/>
    <s v="Yes"/>
    <x v="5"/>
  </r>
  <r>
    <n v="21945"/>
    <n v="171"/>
    <d v="2022-10-29T00:00:00"/>
    <s v="October"/>
    <n v="2022"/>
    <x v="1"/>
    <n v="37"/>
    <s v="Yes"/>
    <x v="0"/>
  </r>
  <r>
    <n v="21946"/>
    <n v="36"/>
    <d v="2024-05-27T00:00:00"/>
    <s v="May"/>
    <n v="2024"/>
    <x v="2"/>
    <n v="47"/>
    <s v="Yes"/>
    <x v="5"/>
  </r>
  <r>
    <n v="21947"/>
    <n v="130"/>
    <d v="2024-05-12T00:00:00"/>
    <s v="May"/>
    <n v="2024"/>
    <x v="2"/>
    <n v="45"/>
    <s v="Yes"/>
    <x v="3"/>
  </r>
  <r>
    <n v="21948"/>
    <n v="343"/>
    <d v="2022-10-07T00:00:00"/>
    <s v="October"/>
    <n v="2022"/>
    <x v="1"/>
    <n v="5"/>
    <s v="Yes"/>
    <x v="4"/>
  </r>
  <r>
    <n v="21949"/>
    <n v="61"/>
    <d v="2023-12-18T00:00:00"/>
    <s v="December"/>
    <n v="2023"/>
    <x v="2"/>
    <n v="63"/>
    <s v="Yes"/>
    <x v="2"/>
  </r>
  <r>
    <n v="21950"/>
    <n v="420"/>
    <d v="2022-03-30T00:00:00"/>
    <s v="March"/>
    <n v="2022"/>
    <x v="2"/>
    <n v="47"/>
    <s v="Yes"/>
    <x v="4"/>
  </r>
  <r>
    <n v="21951"/>
    <n v="334"/>
    <d v="2024-03-15T00:00:00"/>
    <s v="March"/>
    <n v="2024"/>
    <x v="0"/>
    <n v="25"/>
    <s v="Yes"/>
    <x v="5"/>
  </r>
  <r>
    <n v="21952"/>
    <n v="485"/>
    <d v="2023-03-01T00:00:00"/>
    <s v="March"/>
    <n v="2023"/>
    <x v="1"/>
    <n v="50"/>
    <s v="Yes"/>
    <x v="4"/>
  </r>
  <r>
    <n v="21953"/>
    <n v="49"/>
    <d v="2022-10-12T00:00:00"/>
    <s v="October"/>
    <n v="2022"/>
    <x v="2"/>
    <n v="45"/>
    <s v="Yes"/>
    <x v="5"/>
  </r>
  <r>
    <n v="21954"/>
    <n v="411"/>
    <d v="2023-11-02T00:00:00"/>
    <s v="November"/>
    <n v="2023"/>
    <x v="1"/>
    <n v="30"/>
    <s v="Yes"/>
    <x v="2"/>
  </r>
  <r>
    <n v="21955"/>
    <n v="396"/>
    <d v="2024-05-24T00:00:00"/>
    <s v="May"/>
    <n v="2024"/>
    <x v="2"/>
    <n v="48"/>
    <s v="Yes"/>
    <x v="3"/>
  </r>
  <r>
    <n v="21956"/>
    <n v="186"/>
    <d v="2022-05-10T00:00:00"/>
    <s v="May"/>
    <n v="2022"/>
    <x v="1"/>
    <n v="51"/>
    <s v="Yes"/>
    <x v="2"/>
  </r>
  <r>
    <n v="21957"/>
    <n v="221"/>
    <d v="2022-09-05T00:00:00"/>
    <s v="September"/>
    <n v="2022"/>
    <x v="1"/>
    <n v="55"/>
    <s v="Yes"/>
    <x v="0"/>
  </r>
  <r>
    <n v="21958"/>
    <n v="6"/>
    <d v="2023-10-14T00:00:00"/>
    <s v="October"/>
    <n v="2023"/>
    <x v="0"/>
    <n v="55"/>
    <s v="Yes"/>
    <x v="0"/>
  </r>
  <r>
    <n v="21959"/>
    <n v="300"/>
    <d v="2022-07-08T00:00:00"/>
    <s v="July"/>
    <n v="2022"/>
    <x v="0"/>
    <n v="46"/>
    <s v="Yes"/>
    <x v="1"/>
  </r>
  <r>
    <n v="21960"/>
    <n v="175"/>
    <d v="2022-04-01T00:00:00"/>
    <s v="April"/>
    <n v="2022"/>
    <x v="1"/>
    <n v="31"/>
    <s v="Yes"/>
    <x v="3"/>
  </r>
  <r>
    <n v="21961"/>
    <n v="279"/>
    <d v="2023-07-22T00:00:00"/>
    <s v="July"/>
    <n v="2023"/>
    <x v="2"/>
    <n v="34"/>
    <s v="Yes"/>
    <x v="4"/>
  </r>
  <r>
    <n v="21962"/>
    <n v="371"/>
    <d v="2024-01-08T00:00:00"/>
    <s v="January"/>
    <n v="2024"/>
    <x v="1"/>
    <n v="68"/>
    <s v="Yes"/>
    <x v="4"/>
  </r>
  <r>
    <n v="21963"/>
    <n v="458"/>
    <d v="2024-04-25T00:00:00"/>
    <s v="April"/>
    <n v="2024"/>
    <x v="2"/>
    <n v="33"/>
    <s v="No"/>
    <x v="2"/>
  </r>
  <r>
    <n v="21964"/>
    <n v="354"/>
    <d v="2024-04-18T00:00:00"/>
    <s v="April"/>
    <n v="2024"/>
    <x v="1"/>
    <n v="56"/>
    <s v="Yes"/>
    <x v="3"/>
  </r>
  <r>
    <n v="21965"/>
    <n v="364"/>
    <d v="2022-06-14T00:00:00"/>
    <s v="June"/>
    <n v="2022"/>
    <x v="0"/>
    <n v="58"/>
    <s v="Yes"/>
    <x v="4"/>
  </r>
  <r>
    <n v="21966"/>
    <n v="204"/>
    <d v="2023-07-02T00:00:00"/>
    <s v="July"/>
    <n v="2023"/>
    <x v="0"/>
    <n v="57"/>
    <s v="Yes"/>
    <x v="1"/>
  </r>
  <r>
    <n v="21967"/>
    <n v="96"/>
    <d v="2022-11-26T00:00:00"/>
    <s v="November"/>
    <n v="2022"/>
    <x v="2"/>
    <n v="17"/>
    <s v="Yes"/>
    <x v="2"/>
  </r>
  <r>
    <n v="21968"/>
    <n v="282"/>
    <d v="2023-06-25T00:00:00"/>
    <s v="June"/>
    <n v="2023"/>
    <x v="1"/>
    <n v="11"/>
    <s v="Yes"/>
    <x v="1"/>
  </r>
  <r>
    <n v="21969"/>
    <n v="135"/>
    <d v="2022-03-21T00:00:00"/>
    <s v="March"/>
    <n v="2022"/>
    <x v="2"/>
    <n v="71"/>
    <s v="Yes"/>
    <x v="5"/>
  </r>
  <r>
    <n v="21970"/>
    <n v="416"/>
    <d v="2024-05-19T00:00:00"/>
    <s v="May"/>
    <n v="2024"/>
    <x v="0"/>
    <n v="17"/>
    <s v="Yes"/>
    <x v="0"/>
  </r>
  <r>
    <n v="21971"/>
    <n v="33"/>
    <d v="2022-06-18T00:00:00"/>
    <s v="June"/>
    <n v="2022"/>
    <x v="1"/>
    <n v="10"/>
    <s v="Yes"/>
    <x v="3"/>
  </r>
  <r>
    <n v="21972"/>
    <n v="82"/>
    <d v="2023-06-29T00:00:00"/>
    <s v="June"/>
    <n v="2023"/>
    <x v="0"/>
    <n v="26"/>
    <s v="Yes"/>
    <x v="5"/>
  </r>
  <r>
    <n v="21973"/>
    <n v="483"/>
    <d v="2022-04-03T00:00:00"/>
    <s v="April"/>
    <n v="2022"/>
    <x v="0"/>
    <n v="6"/>
    <s v="Yes"/>
    <x v="4"/>
  </r>
  <r>
    <n v="21974"/>
    <n v="148"/>
    <d v="2023-09-16T00:00:00"/>
    <s v="September"/>
    <n v="2023"/>
    <x v="1"/>
    <n v="16"/>
    <s v="Yes"/>
    <x v="3"/>
  </r>
  <r>
    <n v="21975"/>
    <n v="95"/>
    <d v="2023-01-14T00:00:00"/>
    <s v="January"/>
    <n v="2023"/>
    <x v="2"/>
    <n v="4"/>
    <s v="Yes"/>
    <x v="1"/>
  </r>
  <r>
    <n v="21976"/>
    <n v="453"/>
    <d v="2022-07-28T00:00:00"/>
    <s v="July"/>
    <n v="2022"/>
    <x v="1"/>
    <n v="62"/>
    <s v="Yes"/>
    <x v="0"/>
  </r>
  <r>
    <n v="21977"/>
    <n v="480"/>
    <d v="2022-07-13T00:00:00"/>
    <s v="July"/>
    <n v="2022"/>
    <x v="0"/>
    <n v="64"/>
    <s v="Yes"/>
    <x v="2"/>
  </r>
  <r>
    <n v="21978"/>
    <n v="436"/>
    <d v="2022-09-21T00:00:00"/>
    <s v="September"/>
    <n v="2022"/>
    <x v="0"/>
    <n v="56"/>
    <s v="Yes"/>
    <x v="4"/>
  </r>
  <r>
    <n v="21979"/>
    <n v="495"/>
    <d v="2022-09-04T00:00:00"/>
    <s v="September"/>
    <n v="2022"/>
    <x v="0"/>
    <n v="23"/>
    <s v="Yes"/>
    <x v="1"/>
  </r>
  <r>
    <n v="21980"/>
    <n v="170"/>
    <d v="2023-09-22T00:00:00"/>
    <s v="September"/>
    <n v="2023"/>
    <x v="0"/>
    <n v="33"/>
    <s v="Yes"/>
    <x v="4"/>
  </r>
  <r>
    <n v="21981"/>
    <n v="211"/>
    <d v="2023-03-24T00:00:00"/>
    <s v="March"/>
    <n v="2023"/>
    <x v="2"/>
    <n v="31"/>
    <s v="Yes"/>
    <x v="2"/>
  </r>
  <r>
    <n v="21982"/>
    <n v="385"/>
    <d v="2024-01-10T00:00:00"/>
    <s v="January"/>
    <n v="2024"/>
    <x v="1"/>
    <n v="7"/>
    <s v="Yes"/>
    <x v="2"/>
  </r>
  <r>
    <n v="21983"/>
    <n v="191"/>
    <d v="2023-06-05T00:00:00"/>
    <s v="June"/>
    <n v="2023"/>
    <x v="1"/>
    <n v="5"/>
    <s v="Yes"/>
    <x v="2"/>
  </r>
  <r>
    <n v="21984"/>
    <n v="7"/>
    <d v="2023-12-12T00:00:00"/>
    <s v="December"/>
    <n v="2023"/>
    <x v="2"/>
    <n v="37"/>
    <s v="Yes"/>
    <x v="0"/>
  </r>
  <r>
    <n v="21985"/>
    <n v="380"/>
    <d v="2023-04-24T00:00:00"/>
    <s v="April"/>
    <n v="2023"/>
    <x v="2"/>
    <n v="1"/>
    <s v="Yes"/>
    <x v="4"/>
  </r>
  <r>
    <n v="21986"/>
    <n v="314"/>
    <d v="2022-10-04T00:00:00"/>
    <s v="October"/>
    <n v="2022"/>
    <x v="0"/>
    <n v="70"/>
    <s v="Yes"/>
    <x v="5"/>
  </r>
  <r>
    <n v="21987"/>
    <n v="342"/>
    <d v="2022-05-09T00:00:00"/>
    <s v="May"/>
    <n v="2022"/>
    <x v="1"/>
    <n v="45"/>
    <s v="Yes"/>
    <x v="2"/>
  </r>
  <r>
    <n v="21988"/>
    <n v="434"/>
    <d v="2022-10-29T00:00:00"/>
    <s v="October"/>
    <n v="2022"/>
    <x v="1"/>
    <n v="47"/>
    <s v="Yes"/>
    <x v="0"/>
  </r>
  <r>
    <n v="21989"/>
    <n v="34"/>
    <d v="2023-07-28T00:00:00"/>
    <s v="July"/>
    <n v="2023"/>
    <x v="1"/>
    <n v="68"/>
    <s v="Yes"/>
    <x v="2"/>
  </r>
  <r>
    <n v="21990"/>
    <n v="51"/>
    <d v="2023-05-29T00:00:00"/>
    <s v="May"/>
    <n v="2023"/>
    <x v="2"/>
    <n v="30"/>
    <s v="Yes"/>
    <x v="3"/>
  </r>
  <r>
    <n v="21991"/>
    <n v="120"/>
    <d v="2022-12-26T00:00:00"/>
    <s v="December"/>
    <n v="2022"/>
    <x v="0"/>
    <n v="60"/>
    <s v="Yes"/>
    <x v="0"/>
  </r>
  <r>
    <n v="21992"/>
    <n v="138"/>
    <d v="2024-04-22T00:00:00"/>
    <s v="April"/>
    <n v="2024"/>
    <x v="0"/>
    <n v="24"/>
    <s v="Yes"/>
    <x v="4"/>
  </r>
  <r>
    <n v="21993"/>
    <n v="367"/>
    <d v="2022-12-23T00:00:00"/>
    <s v="December"/>
    <n v="2022"/>
    <x v="1"/>
    <n v="31"/>
    <s v="Yes"/>
    <x v="3"/>
  </r>
  <r>
    <n v="21994"/>
    <n v="106"/>
    <d v="2023-04-11T00:00:00"/>
    <s v="April"/>
    <n v="2023"/>
    <x v="0"/>
    <n v="28"/>
    <s v="Yes"/>
    <x v="0"/>
  </r>
  <r>
    <n v="21995"/>
    <n v="282"/>
    <d v="2022-06-21T00:00:00"/>
    <s v="June"/>
    <n v="2022"/>
    <x v="2"/>
    <n v="45"/>
    <s v="Yes"/>
    <x v="1"/>
  </r>
  <r>
    <n v="21996"/>
    <n v="32"/>
    <d v="2024-01-27T00:00:00"/>
    <s v="January"/>
    <n v="2024"/>
    <x v="2"/>
    <n v="4"/>
    <s v="No"/>
    <x v="0"/>
  </r>
  <r>
    <n v="21997"/>
    <n v="124"/>
    <d v="2022-03-29T00:00:00"/>
    <s v="March"/>
    <n v="2022"/>
    <x v="1"/>
    <n v="61"/>
    <s v="Yes"/>
    <x v="3"/>
  </r>
  <r>
    <n v="21998"/>
    <n v="170"/>
    <d v="2023-05-15T00:00:00"/>
    <s v="May"/>
    <n v="2023"/>
    <x v="0"/>
    <n v="39"/>
    <s v="No"/>
    <x v="4"/>
  </r>
  <r>
    <n v="21999"/>
    <n v="475"/>
    <d v="2024-06-14T00:00:00"/>
    <s v="June"/>
    <n v="2024"/>
    <x v="2"/>
    <n v="24"/>
    <s v="No"/>
    <x v="4"/>
  </r>
  <r>
    <n v="22000"/>
    <n v="446"/>
    <d v="2022-03-24T00:00:00"/>
    <s v="March"/>
    <n v="2022"/>
    <x v="2"/>
    <n v="71"/>
    <s v="Yes"/>
    <x v="3"/>
  </r>
  <r>
    <n v="22001"/>
    <n v="12"/>
    <d v="2023-06-01T00:00:00"/>
    <s v="June"/>
    <n v="2023"/>
    <x v="2"/>
    <n v="46"/>
    <s v="Yes"/>
    <x v="3"/>
  </r>
  <r>
    <n v="22002"/>
    <n v="168"/>
    <d v="2024-05-10T00:00:00"/>
    <s v="May"/>
    <n v="2024"/>
    <x v="2"/>
    <n v="53"/>
    <s v="Yes"/>
    <x v="4"/>
  </r>
  <r>
    <n v="22003"/>
    <n v="343"/>
    <d v="2023-07-05T00:00:00"/>
    <s v="July"/>
    <n v="2023"/>
    <x v="0"/>
    <n v="48"/>
    <s v="Yes"/>
    <x v="4"/>
  </r>
  <r>
    <n v="22004"/>
    <n v="78"/>
    <d v="2024-06-14T00:00:00"/>
    <s v="June"/>
    <n v="2024"/>
    <x v="2"/>
    <n v="9"/>
    <s v="Yes"/>
    <x v="3"/>
  </r>
  <r>
    <n v="22005"/>
    <n v="34"/>
    <d v="2022-11-18T00:00:00"/>
    <s v="November"/>
    <n v="2022"/>
    <x v="2"/>
    <n v="22"/>
    <s v="No"/>
    <x v="2"/>
  </r>
  <r>
    <n v="22006"/>
    <n v="209"/>
    <d v="2023-04-10T00:00:00"/>
    <s v="April"/>
    <n v="2023"/>
    <x v="0"/>
    <n v="2"/>
    <s v="Yes"/>
    <x v="0"/>
  </r>
  <r>
    <n v="22007"/>
    <n v="326"/>
    <d v="2024-03-23T00:00:00"/>
    <s v="March"/>
    <n v="2024"/>
    <x v="1"/>
    <n v="16"/>
    <s v="No"/>
    <x v="0"/>
  </r>
  <r>
    <n v="22008"/>
    <n v="411"/>
    <d v="2023-08-10T00:00:00"/>
    <s v="August"/>
    <n v="2023"/>
    <x v="1"/>
    <n v="5"/>
    <s v="Yes"/>
    <x v="2"/>
  </r>
  <r>
    <n v="22009"/>
    <n v="8"/>
    <d v="2023-09-05T00:00:00"/>
    <s v="September"/>
    <n v="2023"/>
    <x v="2"/>
    <n v="12"/>
    <s v="Yes"/>
    <x v="1"/>
  </r>
  <r>
    <n v="22010"/>
    <n v="225"/>
    <d v="2022-05-21T00:00:00"/>
    <s v="May"/>
    <n v="2022"/>
    <x v="1"/>
    <n v="52"/>
    <s v="Yes"/>
    <x v="2"/>
  </r>
  <r>
    <n v="22011"/>
    <n v="227"/>
    <d v="2023-08-28T00:00:00"/>
    <s v="August"/>
    <n v="2023"/>
    <x v="0"/>
    <n v="26"/>
    <s v="Yes"/>
    <x v="0"/>
  </r>
  <r>
    <n v="22012"/>
    <n v="175"/>
    <d v="2023-09-23T00:00:00"/>
    <s v="September"/>
    <n v="2023"/>
    <x v="2"/>
    <n v="15"/>
    <s v="No"/>
    <x v="3"/>
  </r>
  <r>
    <n v="22013"/>
    <n v="81"/>
    <d v="2024-03-10T00:00:00"/>
    <s v="March"/>
    <n v="2024"/>
    <x v="0"/>
    <n v="67"/>
    <s v="Yes"/>
    <x v="5"/>
  </r>
  <r>
    <n v="22014"/>
    <n v="282"/>
    <d v="2023-09-13T00:00:00"/>
    <s v="September"/>
    <n v="2023"/>
    <x v="1"/>
    <n v="59"/>
    <s v="Yes"/>
    <x v="1"/>
  </r>
  <r>
    <n v="22015"/>
    <n v="57"/>
    <d v="2023-07-09T00:00:00"/>
    <s v="July"/>
    <n v="2023"/>
    <x v="1"/>
    <n v="39"/>
    <s v="Yes"/>
    <x v="4"/>
  </r>
  <r>
    <n v="22016"/>
    <n v="135"/>
    <d v="2022-05-16T00:00:00"/>
    <s v="May"/>
    <n v="2022"/>
    <x v="2"/>
    <n v="63"/>
    <s v="Yes"/>
    <x v="5"/>
  </r>
  <r>
    <n v="22017"/>
    <n v="238"/>
    <d v="2022-11-26T00:00:00"/>
    <s v="November"/>
    <n v="2022"/>
    <x v="1"/>
    <n v="25"/>
    <s v="Yes"/>
    <x v="1"/>
  </r>
  <r>
    <n v="22018"/>
    <n v="472"/>
    <d v="2023-12-30T00:00:00"/>
    <s v="December"/>
    <n v="2023"/>
    <x v="2"/>
    <n v="41"/>
    <s v="Yes"/>
    <x v="0"/>
  </r>
  <r>
    <n v="22019"/>
    <n v="217"/>
    <d v="2023-01-30T00:00:00"/>
    <s v="January"/>
    <n v="2023"/>
    <x v="2"/>
    <n v="28"/>
    <s v="Yes"/>
    <x v="5"/>
  </r>
  <r>
    <n v="22020"/>
    <n v="227"/>
    <d v="2022-06-05T00:00:00"/>
    <s v="June"/>
    <n v="2022"/>
    <x v="0"/>
    <n v="21"/>
    <s v="Yes"/>
    <x v="0"/>
  </r>
  <r>
    <n v="22021"/>
    <n v="26"/>
    <d v="2022-02-08T00:00:00"/>
    <s v="February"/>
    <n v="2022"/>
    <x v="1"/>
    <n v="61"/>
    <s v="Yes"/>
    <x v="0"/>
  </r>
  <r>
    <n v="22022"/>
    <n v="187"/>
    <d v="2022-10-09T00:00:00"/>
    <s v="October"/>
    <n v="2022"/>
    <x v="1"/>
    <n v="57"/>
    <s v="Yes"/>
    <x v="5"/>
  </r>
  <r>
    <n v="22023"/>
    <n v="370"/>
    <d v="2024-04-19T00:00:00"/>
    <s v="April"/>
    <n v="2024"/>
    <x v="2"/>
    <n v="11"/>
    <s v="Yes"/>
    <x v="3"/>
  </r>
  <r>
    <n v="22024"/>
    <n v="118"/>
    <d v="2024-05-19T00:00:00"/>
    <s v="May"/>
    <n v="2024"/>
    <x v="2"/>
    <n v="19"/>
    <s v="Yes"/>
    <x v="2"/>
  </r>
  <r>
    <n v="22025"/>
    <n v="197"/>
    <d v="2023-06-22T00:00:00"/>
    <s v="June"/>
    <n v="2023"/>
    <x v="2"/>
    <n v="1"/>
    <s v="Yes"/>
    <x v="5"/>
  </r>
  <r>
    <n v="22026"/>
    <n v="116"/>
    <d v="2023-06-28T00:00:00"/>
    <s v="June"/>
    <n v="2023"/>
    <x v="2"/>
    <n v="32"/>
    <s v="Yes"/>
    <x v="5"/>
  </r>
  <r>
    <n v="22027"/>
    <n v="303"/>
    <d v="2022-02-15T00:00:00"/>
    <s v="February"/>
    <n v="2022"/>
    <x v="0"/>
    <n v="34"/>
    <s v="Yes"/>
    <x v="0"/>
  </r>
  <r>
    <n v="22028"/>
    <n v="102"/>
    <d v="2023-10-30T00:00:00"/>
    <s v="October"/>
    <n v="2023"/>
    <x v="1"/>
    <n v="17"/>
    <s v="Yes"/>
    <x v="4"/>
  </r>
  <r>
    <n v="22029"/>
    <n v="380"/>
    <d v="2022-09-01T00:00:00"/>
    <s v="September"/>
    <n v="2022"/>
    <x v="0"/>
    <n v="55"/>
    <s v="No"/>
    <x v="4"/>
  </r>
  <r>
    <n v="22030"/>
    <n v="163"/>
    <d v="2023-07-01T00:00:00"/>
    <s v="July"/>
    <n v="2023"/>
    <x v="1"/>
    <n v="19"/>
    <s v="Yes"/>
    <x v="2"/>
  </r>
  <r>
    <n v="22031"/>
    <n v="414"/>
    <d v="2023-03-26T00:00:00"/>
    <s v="March"/>
    <n v="2023"/>
    <x v="0"/>
    <n v="42"/>
    <s v="Yes"/>
    <x v="4"/>
  </r>
  <r>
    <n v="22032"/>
    <n v="178"/>
    <d v="2022-10-05T00:00:00"/>
    <s v="October"/>
    <n v="2022"/>
    <x v="2"/>
    <n v="59"/>
    <s v="Yes"/>
    <x v="5"/>
  </r>
  <r>
    <n v="22033"/>
    <n v="473"/>
    <d v="2024-01-24T00:00:00"/>
    <s v="January"/>
    <n v="2024"/>
    <x v="0"/>
    <n v="38"/>
    <s v="No"/>
    <x v="4"/>
  </r>
  <r>
    <n v="22034"/>
    <n v="280"/>
    <d v="2023-02-10T00:00:00"/>
    <s v="February"/>
    <n v="2023"/>
    <x v="0"/>
    <n v="31"/>
    <s v="Yes"/>
    <x v="5"/>
  </r>
  <r>
    <n v="22035"/>
    <n v="286"/>
    <d v="2024-06-08T00:00:00"/>
    <s v="June"/>
    <n v="2024"/>
    <x v="2"/>
    <n v="66"/>
    <s v="Yes"/>
    <x v="5"/>
  </r>
  <r>
    <n v="22036"/>
    <n v="212"/>
    <d v="2024-02-10T00:00:00"/>
    <s v="February"/>
    <n v="2024"/>
    <x v="2"/>
    <n v="69"/>
    <s v="No"/>
    <x v="4"/>
  </r>
  <r>
    <n v="22037"/>
    <n v="54"/>
    <d v="2022-02-15T00:00:00"/>
    <s v="February"/>
    <n v="2022"/>
    <x v="1"/>
    <n v="50"/>
    <s v="No"/>
    <x v="0"/>
  </r>
  <r>
    <n v="22038"/>
    <n v="67"/>
    <d v="2024-01-19T00:00:00"/>
    <s v="January"/>
    <n v="2024"/>
    <x v="1"/>
    <n v="30"/>
    <s v="Yes"/>
    <x v="2"/>
  </r>
  <r>
    <n v="22039"/>
    <n v="32"/>
    <d v="2023-06-04T00:00:00"/>
    <s v="June"/>
    <n v="2023"/>
    <x v="0"/>
    <n v="35"/>
    <s v="Yes"/>
    <x v="0"/>
  </r>
  <r>
    <n v="22040"/>
    <n v="251"/>
    <d v="2024-02-11T00:00:00"/>
    <s v="February"/>
    <n v="2024"/>
    <x v="0"/>
    <n v="59"/>
    <s v="Yes"/>
    <x v="3"/>
  </r>
  <r>
    <n v="22041"/>
    <n v="8"/>
    <d v="2022-09-28T00:00:00"/>
    <s v="September"/>
    <n v="2022"/>
    <x v="0"/>
    <n v="17"/>
    <s v="Yes"/>
    <x v="1"/>
  </r>
  <r>
    <n v="22042"/>
    <n v="499"/>
    <d v="2023-07-10T00:00:00"/>
    <s v="July"/>
    <n v="2023"/>
    <x v="2"/>
    <n v="66"/>
    <s v="Yes"/>
    <x v="4"/>
  </r>
  <r>
    <n v="22043"/>
    <n v="434"/>
    <d v="2022-08-26T00:00:00"/>
    <s v="August"/>
    <n v="2022"/>
    <x v="1"/>
    <n v="21"/>
    <s v="Yes"/>
    <x v="0"/>
  </r>
  <r>
    <n v="22044"/>
    <n v="431"/>
    <d v="2022-06-16T00:00:00"/>
    <s v="June"/>
    <n v="2022"/>
    <x v="0"/>
    <n v="52"/>
    <s v="Yes"/>
    <x v="5"/>
  </r>
  <r>
    <n v="22045"/>
    <n v="215"/>
    <d v="2023-01-11T00:00:00"/>
    <s v="January"/>
    <n v="2023"/>
    <x v="1"/>
    <n v="65"/>
    <s v="Yes"/>
    <x v="0"/>
  </r>
  <r>
    <n v="22046"/>
    <n v="46"/>
    <d v="2023-08-11T00:00:00"/>
    <s v="August"/>
    <n v="2023"/>
    <x v="1"/>
    <n v="14"/>
    <s v="Yes"/>
    <x v="4"/>
  </r>
  <r>
    <n v="22047"/>
    <n v="80"/>
    <d v="2023-10-31T00:00:00"/>
    <s v="October"/>
    <n v="2023"/>
    <x v="2"/>
    <n v="16"/>
    <s v="Yes"/>
    <x v="3"/>
  </r>
  <r>
    <n v="22048"/>
    <n v="35"/>
    <d v="2022-07-20T00:00:00"/>
    <s v="July"/>
    <n v="2022"/>
    <x v="2"/>
    <n v="55"/>
    <s v="Yes"/>
    <x v="5"/>
  </r>
  <r>
    <n v="22049"/>
    <n v="189"/>
    <d v="2024-01-16T00:00:00"/>
    <s v="January"/>
    <n v="2024"/>
    <x v="0"/>
    <n v="9"/>
    <s v="Yes"/>
    <x v="4"/>
  </r>
  <r>
    <n v="22050"/>
    <n v="89"/>
    <d v="2022-08-20T00:00:00"/>
    <s v="August"/>
    <n v="2022"/>
    <x v="0"/>
    <n v="8"/>
    <s v="Yes"/>
    <x v="4"/>
  </r>
  <r>
    <n v="22051"/>
    <n v="335"/>
    <d v="2023-03-22T00:00:00"/>
    <s v="March"/>
    <n v="2023"/>
    <x v="0"/>
    <n v="34"/>
    <s v="Yes"/>
    <x v="3"/>
  </r>
  <r>
    <n v="22052"/>
    <n v="435"/>
    <d v="2023-12-25T00:00:00"/>
    <s v="December"/>
    <n v="2023"/>
    <x v="0"/>
    <n v="33"/>
    <s v="Yes"/>
    <x v="0"/>
  </r>
  <r>
    <n v="22053"/>
    <n v="447"/>
    <d v="2023-02-22T00:00:00"/>
    <s v="February"/>
    <n v="2023"/>
    <x v="0"/>
    <n v="7"/>
    <s v="Yes"/>
    <x v="4"/>
  </r>
  <r>
    <n v="22054"/>
    <n v="136"/>
    <d v="2022-06-03T00:00:00"/>
    <s v="June"/>
    <n v="2022"/>
    <x v="1"/>
    <n v="21"/>
    <s v="Yes"/>
    <x v="5"/>
  </r>
  <r>
    <n v="22055"/>
    <n v="34"/>
    <d v="2023-01-03T00:00:00"/>
    <s v="January"/>
    <n v="2023"/>
    <x v="1"/>
    <n v="5"/>
    <s v="No"/>
    <x v="2"/>
  </r>
  <r>
    <n v="22056"/>
    <n v="281"/>
    <d v="2023-12-26T00:00:00"/>
    <s v="December"/>
    <n v="2023"/>
    <x v="2"/>
    <n v="71"/>
    <s v="Yes"/>
    <x v="3"/>
  </r>
  <r>
    <n v="22057"/>
    <n v="113"/>
    <d v="2022-03-28T00:00:00"/>
    <s v="March"/>
    <n v="2022"/>
    <x v="2"/>
    <n v="12"/>
    <s v="Yes"/>
    <x v="3"/>
  </r>
  <r>
    <n v="22058"/>
    <n v="172"/>
    <d v="2023-06-14T00:00:00"/>
    <s v="June"/>
    <n v="2023"/>
    <x v="1"/>
    <n v="59"/>
    <s v="Yes"/>
    <x v="5"/>
  </r>
  <r>
    <n v="22059"/>
    <n v="339"/>
    <d v="2023-12-04T00:00:00"/>
    <s v="December"/>
    <n v="2023"/>
    <x v="2"/>
    <n v="58"/>
    <s v="Yes"/>
    <x v="0"/>
  </r>
  <r>
    <n v="22060"/>
    <n v="43"/>
    <d v="2024-03-30T00:00:00"/>
    <s v="March"/>
    <n v="2024"/>
    <x v="2"/>
    <n v="37"/>
    <s v="Yes"/>
    <x v="2"/>
  </r>
  <r>
    <n v="22061"/>
    <n v="382"/>
    <d v="2022-02-23T00:00:00"/>
    <s v="February"/>
    <n v="2022"/>
    <x v="0"/>
    <n v="45"/>
    <s v="No"/>
    <x v="4"/>
  </r>
  <r>
    <n v="22062"/>
    <n v="434"/>
    <d v="2023-12-29T00:00:00"/>
    <s v="December"/>
    <n v="2023"/>
    <x v="2"/>
    <n v="25"/>
    <s v="Yes"/>
    <x v="0"/>
  </r>
  <r>
    <n v="22063"/>
    <n v="13"/>
    <d v="2022-02-11T00:00:00"/>
    <s v="February"/>
    <n v="2022"/>
    <x v="2"/>
    <n v="27"/>
    <s v="Yes"/>
    <x v="3"/>
  </r>
  <r>
    <n v="22064"/>
    <n v="174"/>
    <d v="2022-12-15T00:00:00"/>
    <s v="December"/>
    <n v="2022"/>
    <x v="2"/>
    <n v="51"/>
    <s v="Yes"/>
    <x v="1"/>
  </r>
  <r>
    <n v="22065"/>
    <n v="125"/>
    <d v="2022-08-18T00:00:00"/>
    <s v="August"/>
    <n v="2022"/>
    <x v="1"/>
    <n v="42"/>
    <s v="Yes"/>
    <x v="0"/>
  </r>
  <r>
    <n v="22066"/>
    <n v="332"/>
    <d v="2024-01-12T00:00:00"/>
    <s v="January"/>
    <n v="2024"/>
    <x v="1"/>
    <n v="71"/>
    <s v="Yes"/>
    <x v="1"/>
  </r>
  <r>
    <n v="22067"/>
    <n v="207"/>
    <d v="2023-11-25T00:00:00"/>
    <s v="November"/>
    <n v="2023"/>
    <x v="0"/>
    <n v="42"/>
    <s v="Yes"/>
    <x v="1"/>
  </r>
  <r>
    <n v="22068"/>
    <n v="343"/>
    <d v="2023-03-12T00:00:00"/>
    <s v="March"/>
    <n v="2023"/>
    <x v="2"/>
    <n v="60"/>
    <s v="No"/>
    <x v="4"/>
  </r>
  <r>
    <n v="22069"/>
    <n v="437"/>
    <d v="2022-05-21T00:00:00"/>
    <s v="May"/>
    <n v="2022"/>
    <x v="1"/>
    <n v="58"/>
    <s v="Yes"/>
    <x v="2"/>
  </r>
  <r>
    <n v="22070"/>
    <n v="447"/>
    <d v="2022-10-15T00:00:00"/>
    <s v="October"/>
    <n v="2022"/>
    <x v="0"/>
    <n v="22"/>
    <s v="Yes"/>
    <x v="4"/>
  </r>
  <r>
    <n v="22071"/>
    <n v="104"/>
    <d v="2024-04-30T00:00:00"/>
    <s v="April"/>
    <n v="2024"/>
    <x v="2"/>
    <n v="58"/>
    <s v="No"/>
    <x v="3"/>
  </r>
  <r>
    <n v="22072"/>
    <n v="130"/>
    <d v="2024-04-28T00:00:00"/>
    <s v="April"/>
    <n v="2024"/>
    <x v="0"/>
    <n v="11"/>
    <s v="Yes"/>
    <x v="3"/>
  </r>
  <r>
    <n v="22073"/>
    <n v="40"/>
    <d v="2022-11-18T00:00:00"/>
    <s v="November"/>
    <n v="2022"/>
    <x v="0"/>
    <n v="6"/>
    <s v="Yes"/>
    <x v="5"/>
  </r>
  <r>
    <n v="22074"/>
    <n v="23"/>
    <d v="2023-08-17T00:00:00"/>
    <s v="August"/>
    <n v="2023"/>
    <x v="2"/>
    <n v="22"/>
    <s v="No"/>
    <x v="3"/>
  </r>
  <r>
    <n v="22075"/>
    <n v="252"/>
    <d v="2023-03-18T00:00:00"/>
    <s v="March"/>
    <n v="2023"/>
    <x v="1"/>
    <n v="12"/>
    <s v="Yes"/>
    <x v="2"/>
  </r>
  <r>
    <n v="22076"/>
    <n v="443"/>
    <d v="2022-06-16T00:00:00"/>
    <s v="June"/>
    <n v="2022"/>
    <x v="2"/>
    <n v="27"/>
    <s v="Yes"/>
    <x v="4"/>
  </r>
  <r>
    <n v="22077"/>
    <n v="325"/>
    <d v="2024-04-25T00:00:00"/>
    <s v="April"/>
    <n v="2024"/>
    <x v="2"/>
    <n v="1"/>
    <s v="Yes"/>
    <x v="3"/>
  </r>
  <r>
    <n v="22078"/>
    <n v="290"/>
    <d v="2023-07-20T00:00:00"/>
    <s v="July"/>
    <n v="2023"/>
    <x v="2"/>
    <n v="64"/>
    <s v="Yes"/>
    <x v="1"/>
  </r>
  <r>
    <n v="22079"/>
    <n v="202"/>
    <d v="2023-04-08T00:00:00"/>
    <s v="April"/>
    <n v="2023"/>
    <x v="1"/>
    <n v="39"/>
    <s v="Yes"/>
    <x v="5"/>
  </r>
  <r>
    <n v="22080"/>
    <n v="155"/>
    <d v="2023-04-01T00:00:00"/>
    <s v="April"/>
    <n v="2023"/>
    <x v="2"/>
    <n v="60"/>
    <s v="Yes"/>
    <x v="1"/>
  </r>
  <r>
    <n v="22081"/>
    <n v="55"/>
    <d v="2022-03-14T00:00:00"/>
    <s v="March"/>
    <n v="2022"/>
    <x v="1"/>
    <n v="70"/>
    <s v="No"/>
    <x v="1"/>
  </r>
  <r>
    <n v="22082"/>
    <n v="106"/>
    <d v="2023-12-26T00:00:00"/>
    <s v="December"/>
    <n v="2023"/>
    <x v="0"/>
    <n v="54"/>
    <s v="Yes"/>
    <x v="0"/>
  </r>
  <r>
    <n v="22083"/>
    <n v="260"/>
    <d v="2023-11-14T00:00:00"/>
    <s v="November"/>
    <n v="2023"/>
    <x v="1"/>
    <n v="25"/>
    <s v="Yes"/>
    <x v="0"/>
  </r>
  <r>
    <n v="22084"/>
    <n v="452"/>
    <d v="2022-09-27T00:00:00"/>
    <s v="September"/>
    <n v="2022"/>
    <x v="0"/>
    <n v="20"/>
    <s v="Yes"/>
    <x v="4"/>
  </r>
  <r>
    <n v="22085"/>
    <n v="200"/>
    <d v="2022-08-07T00:00:00"/>
    <s v="August"/>
    <n v="2022"/>
    <x v="0"/>
    <n v="36"/>
    <s v="Yes"/>
    <x v="4"/>
  </r>
  <r>
    <n v="22086"/>
    <n v="326"/>
    <d v="2023-10-10T00:00:00"/>
    <s v="October"/>
    <n v="2023"/>
    <x v="2"/>
    <n v="23"/>
    <s v="Yes"/>
    <x v="0"/>
  </r>
  <r>
    <n v="22087"/>
    <n v="217"/>
    <d v="2023-07-01T00:00:00"/>
    <s v="July"/>
    <n v="2023"/>
    <x v="1"/>
    <n v="1"/>
    <s v="Yes"/>
    <x v="5"/>
  </r>
  <r>
    <n v="22088"/>
    <n v="411"/>
    <d v="2023-10-20T00:00:00"/>
    <s v="October"/>
    <n v="2023"/>
    <x v="0"/>
    <n v="27"/>
    <s v="No"/>
    <x v="2"/>
  </r>
  <r>
    <n v="22089"/>
    <n v="47"/>
    <d v="2022-07-02T00:00:00"/>
    <s v="July"/>
    <n v="2022"/>
    <x v="0"/>
    <n v="52"/>
    <s v="Yes"/>
    <x v="2"/>
  </r>
  <r>
    <n v="22090"/>
    <n v="370"/>
    <d v="2022-03-19T00:00:00"/>
    <s v="March"/>
    <n v="2022"/>
    <x v="1"/>
    <n v="2"/>
    <s v="No"/>
    <x v="3"/>
  </r>
  <r>
    <n v="22091"/>
    <n v="117"/>
    <d v="2022-11-04T00:00:00"/>
    <s v="November"/>
    <n v="2022"/>
    <x v="1"/>
    <n v="21"/>
    <s v="Yes"/>
    <x v="3"/>
  </r>
  <r>
    <n v="22092"/>
    <n v="374"/>
    <d v="2024-02-04T00:00:00"/>
    <s v="February"/>
    <n v="2024"/>
    <x v="0"/>
    <n v="9"/>
    <s v="No"/>
    <x v="1"/>
  </r>
  <r>
    <n v="22093"/>
    <n v="424"/>
    <d v="2022-11-24T00:00:00"/>
    <s v="November"/>
    <n v="2022"/>
    <x v="0"/>
    <n v="48"/>
    <s v="Yes"/>
    <x v="2"/>
  </r>
  <r>
    <n v="22094"/>
    <n v="212"/>
    <d v="2023-02-25T00:00:00"/>
    <s v="February"/>
    <n v="2023"/>
    <x v="1"/>
    <n v="39"/>
    <s v="Yes"/>
    <x v="4"/>
  </r>
  <r>
    <n v="22095"/>
    <n v="155"/>
    <d v="2022-08-24T00:00:00"/>
    <s v="August"/>
    <n v="2022"/>
    <x v="1"/>
    <n v="42"/>
    <s v="Yes"/>
    <x v="1"/>
  </r>
  <r>
    <n v="22096"/>
    <n v="263"/>
    <d v="2024-04-13T00:00:00"/>
    <s v="April"/>
    <n v="2024"/>
    <x v="0"/>
    <n v="71"/>
    <s v="Yes"/>
    <x v="5"/>
  </r>
  <r>
    <n v="22097"/>
    <n v="151"/>
    <d v="2024-04-28T00:00:00"/>
    <s v="April"/>
    <n v="2024"/>
    <x v="2"/>
    <n v="45"/>
    <s v="Yes"/>
    <x v="4"/>
  </r>
  <r>
    <n v="22098"/>
    <n v="212"/>
    <d v="2023-08-12T00:00:00"/>
    <s v="August"/>
    <n v="2023"/>
    <x v="1"/>
    <n v="2"/>
    <s v="Yes"/>
    <x v="4"/>
  </r>
  <r>
    <n v="22099"/>
    <n v="192"/>
    <d v="2024-06-04T00:00:00"/>
    <s v="June"/>
    <n v="2024"/>
    <x v="0"/>
    <n v="67"/>
    <s v="Yes"/>
    <x v="1"/>
  </r>
  <r>
    <n v="22100"/>
    <n v="369"/>
    <d v="2023-04-07T00:00:00"/>
    <s v="April"/>
    <n v="2023"/>
    <x v="0"/>
    <n v="43"/>
    <s v="No"/>
    <x v="2"/>
  </r>
  <r>
    <n v="22101"/>
    <n v="243"/>
    <d v="2023-08-08T00:00:00"/>
    <s v="August"/>
    <n v="2023"/>
    <x v="2"/>
    <n v="18"/>
    <s v="Yes"/>
    <x v="2"/>
  </r>
  <r>
    <n v="22102"/>
    <n v="98"/>
    <d v="2023-06-23T00:00:00"/>
    <s v="June"/>
    <n v="2023"/>
    <x v="1"/>
    <n v="39"/>
    <s v="Yes"/>
    <x v="5"/>
  </r>
  <r>
    <n v="22103"/>
    <n v="29"/>
    <d v="2022-02-07T00:00:00"/>
    <s v="February"/>
    <n v="2022"/>
    <x v="0"/>
    <n v="6"/>
    <s v="Yes"/>
    <x v="3"/>
  </r>
  <r>
    <n v="22104"/>
    <n v="189"/>
    <d v="2024-02-05T00:00:00"/>
    <s v="February"/>
    <n v="2024"/>
    <x v="2"/>
    <n v="42"/>
    <s v="No"/>
    <x v="4"/>
  </r>
  <r>
    <n v="22105"/>
    <n v="172"/>
    <d v="2023-03-02T00:00:00"/>
    <s v="March"/>
    <n v="2023"/>
    <x v="1"/>
    <n v="52"/>
    <s v="Yes"/>
    <x v="5"/>
  </r>
  <r>
    <n v="22106"/>
    <n v="371"/>
    <d v="2023-08-21T00:00:00"/>
    <s v="August"/>
    <n v="2023"/>
    <x v="2"/>
    <n v="27"/>
    <s v="Yes"/>
    <x v="4"/>
  </r>
  <r>
    <n v="22107"/>
    <n v="197"/>
    <d v="2024-05-18T00:00:00"/>
    <s v="May"/>
    <n v="2024"/>
    <x v="0"/>
    <n v="15"/>
    <s v="Yes"/>
    <x v="5"/>
  </r>
  <r>
    <n v="22108"/>
    <n v="155"/>
    <d v="2023-03-10T00:00:00"/>
    <s v="March"/>
    <n v="2023"/>
    <x v="2"/>
    <n v="19"/>
    <s v="Yes"/>
    <x v="1"/>
  </r>
  <r>
    <n v="22109"/>
    <n v="140"/>
    <d v="2022-12-25T00:00:00"/>
    <s v="December"/>
    <n v="2022"/>
    <x v="0"/>
    <n v="62"/>
    <s v="Yes"/>
    <x v="4"/>
  </r>
  <r>
    <n v="22110"/>
    <n v="401"/>
    <d v="2022-01-31T00:00:00"/>
    <s v="January"/>
    <n v="2022"/>
    <x v="0"/>
    <n v="64"/>
    <s v="Yes"/>
    <x v="5"/>
  </r>
  <r>
    <n v="22111"/>
    <n v="293"/>
    <d v="2022-07-24T00:00:00"/>
    <s v="July"/>
    <n v="2022"/>
    <x v="2"/>
    <n v="51"/>
    <s v="Yes"/>
    <x v="5"/>
  </r>
  <r>
    <n v="22112"/>
    <n v="290"/>
    <d v="2023-12-06T00:00:00"/>
    <s v="December"/>
    <n v="2023"/>
    <x v="2"/>
    <n v="47"/>
    <s v="Yes"/>
    <x v="1"/>
  </r>
  <r>
    <n v="22113"/>
    <n v="256"/>
    <d v="2024-01-12T00:00:00"/>
    <s v="January"/>
    <n v="2024"/>
    <x v="0"/>
    <n v="57"/>
    <s v="Yes"/>
    <x v="3"/>
  </r>
  <r>
    <n v="22114"/>
    <n v="478"/>
    <d v="2022-06-30T00:00:00"/>
    <s v="June"/>
    <n v="2022"/>
    <x v="2"/>
    <n v="20"/>
    <s v="Yes"/>
    <x v="5"/>
  </r>
  <r>
    <n v="22115"/>
    <n v="164"/>
    <d v="2024-01-27T00:00:00"/>
    <s v="January"/>
    <n v="2024"/>
    <x v="1"/>
    <n v="20"/>
    <s v="Yes"/>
    <x v="5"/>
  </r>
  <r>
    <n v="22116"/>
    <n v="134"/>
    <d v="2022-02-09T00:00:00"/>
    <s v="February"/>
    <n v="2022"/>
    <x v="1"/>
    <n v="64"/>
    <s v="Yes"/>
    <x v="1"/>
  </r>
  <r>
    <n v="22117"/>
    <n v="352"/>
    <d v="2024-04-20T00:00:00"/>
    <s v="April"/>
    <n v="2024"/>
    <x v="2"/>
    <n v="38"/>
    <s v="Yes"/>
    <x v="0"/>
  </r>
  <r>
    <n v="22118"/>
    <n v="416"/>
    <d v="2023-02-27T00:00:00"/>
    <s v="February"/>
    <n v="2023"/>
    <x v="2"/>
    <n v="38"/>
    <s v="Yes"/>
    <x v="0"/>
  </r>
  <r>
    <n v="22119"/>
    <n v="329"/>
    <d v="2022-06-06T00:00:00"/>
    <s v="June"/>
    <n v="2022"/>
    <x v="1"/>
    <n v="65"/>
    <s v="Yes"/>
    <x v="4"/>
  </r>
  <r>
    <n v="22120"/>
    <n v="378"/>
    <d v="2022-06-17T00:00:00"/>
    <s v="June"/>
    <n v="2022"/>
    <x v="0"/>
    <n v="5"/>
    <s v="Yes"/>
    <x v="4"/>
  </r>
  <r>
    <n v="22121"/>
    <n v="406"/>
    <d v="2023-11-01T00:00:00"/>
    <s v="November"/>
    <n v="2023"/>
    <x v="0"/>
    <n v="64"/>
    <s v="Yes"/>
    <x v="2"/>
  </r>
  <r>
    <n v="22122"/>
    <n v="266"/>
    <d v="2023-10-04T00:00:00"/>
    <s v="October"/>
    <n v="2023"/>
    <x v="1"/>
    <n v="27"/>
    <s v="Yes"/>
    <x v="5"/>
  </r>
  <r>
    <n v="22123"/>
    <n v="29"/>
    <d v="2022-03-23T00:00:00"/>
    <s v="March"/>
    <n v="2022"/>
    <x v="0"/>
    <n v="20"/>
    <s v="Yes"/>
    <x v="3"/>
  </r>
  <r>
    <n v="22124"/>
    <n v="139"/>
    <d v="2023-10-30T00:00:00"/>
    <s v="October"/>
    <n v="2023"/>
    <x v="2"/>
    <n v="60"/>
    <s v="Yes"/>
    <x v="5"/>
  </r>
  <r>
    <n v="22125"/>
    <n v="348"/>
    <d v="2023-11-18T00:00:00"/>
    <s v="November"/>
    <n v="2023"/>
    <x v="2"/>
    <n v="40"/>
    <s v="Yes"/>
    <x v="5"/>
  </r>
  <r>
    <n v="22126"/>
    <n v="450"/>
    <d v="2024-03-10T00:00:00"/>
    <s v="March"/>
    <n v="2024"/>
    <x v="1"/>
    <n v="6"/>
    <s v="Yes"/>
    <x v="1"/>
  </r>
  <r>
    <n v="22127"/>
    <n v="312"/>
    <d v="2023-08-23T00:00:00"/>
    <s v="August"/>
    <n v="2023"/>
    <x v="1"/>
    <n v="36"/>
    <s v="Yes"/>
    <x v="2"/>
  </r>
  <r>
    <n v="22128"/>
    <n v="85"/>
    <d v="2022-04-12T00:00:00"/>
    <s v="April"/>
    <n v="2022"/>
    <x v="1"/>
    <n v="65"/>
    <s v="Yes"/>
    <x v="2"/>
  </r>
  <r>
    <n v="22129"/>
    <n v="249"/>
    <d v="2024-01-30T00:00:00"/>
    <s v="January"/>
    <n v="2024"/>
    <x v="1"/>
    <n v="11"/>
    <s v="Yes"/>
    <x v="0"/>
  </r>
  <r>
    <n v="22130"/>
    <n v="351"/>
    <d v="2023-12-19T00:00:00"/>
    <s v="December"/>
    <n v="2023"/>
    <x v="0"/>
    <n v="49"/>
    <s v="Yes"/>
    <x v="0"/>
  </r>
  <r>
    <n v="22131"/>
    <n v="314"/>
    <d v="2022-03-30T00:00:00"/>
    <s v="March"/>
    <n v="2022"/>
    <x v="0"/>
    <n v="28"/>
    <s v="Yes"/>
    <x v="5"/>
  </r>
  <r>
    <n v="22132"/>
    <n v="233"/>
    <d v="2022-12-11T00:00:00"/>
    <s v="December"/>
    <n v="2022"/>
    <x v="0"/>
    <n v="22"/>
    <s v="Yes"/>
    <x v="1"/>
  </r>
  <r>
    <n v="22133"/>
    <n v="308"/>
    <d v="2024-03-10T00:00:00"/>
    <s v="March"/>
    <n v="2024"/>
    <x v="2"/>
    <n v="47"/>
    <s v="Yes"/>
    <x v="5"/>
  </r>
  <r>
    <n v="22134"/>
    <n v="61"/>
    <d v="2022-11-06T00:00:00"/>
    <s v="November"/>
    <n v="2022"/>
    <x v="2"/>
    <n v="66"/>
    <s v="No"/>
    <x v="2"/>
  </r>
  <r>
    <n v="22135"/>
    <n v="273"/>
    <d v="2023-08-31T00:00:00"/>
    <s v="August"/>
    <n v="2023"/>
    <x v="1"/>
    <n v="25"/>
    <s v="Yes"/>
    <x v="3"/>
  </r>
  <r>
    <n v="22136"/>
    <n v="219"/>
    <d v="2023-03-16T00:00:00"/>
    <s v="March"/>
    <n v="2023"/>
    <x v="1"/>
    <n v="67"/>
    <s v="Yes"/>
    <x v="0"/>
  </r>
  <r>
    <n v="22137"/>
    <n v="286"/>
    <d v="2022-06-08T00:00:00"/>
    <s v="June"/>
    <n v="2022"/>
    <x v="0"/>
    <n v="32"/>
    <s v="Yes"/>
    <x v="5"/>
  </r>
  <r>
    <n v="22138"/>
    <n v="489"/>
    <d v="2022-04-24T00:00:00"/>
    <s v="April"/>
    <n v="2022"/>
    <x v="0"/>
    <n v="17"/>
    <s v="No"/>
    <x v="5"/>
  </r>
  <r>
    <n v="22139"/>
    <n v="249"/>
    <d v="2023-06-20T00:00:00"/>
    <s v="June"/>
    <n v="2023"/>
    <x v="0"/>
    <n v="40"/>
    <s v="Yes"/>
    <x v="0"/>
  </r>
  <r>
    <n v="22140"/>
    <n v="72"/>
    <d v="2022-06-12T00:00:00"/>
    <s v="June"/>
    <n v="2022"/>
    <x v="1"/>
    <n v="30"/>
    <s v="Yes"/>
    <x v="3"/>
  </r>
  <r>
    <n v="22141"/>
    <n v="293"/>
    <d v="2022-10-13T00:00:00"/>
    <s v="October"/>
    <n v="2022"/>
    <x v="0"/>
    <n v="59"/>
    <s v="Yes"/>
    <x v="5"/>
  </r>
  <r>
    <n v="22142"/>
    <n v="389"/>
    <d v="2024-05-14T00:00:00"/>
    <s v="May"/>
    <n v="2024"/>
    <x v="1"/>
    <n v="28"/>
    <s v="Yes"/>
    <x v="0"/>
  </r>
  <r>
    <n v="22143"/>
    <n v="410"/>
    <d v="2022-02-24T00:00:00"/>
    <s v="February"/>
    <n v="2022"/>
    <x v="1"/>
    <n v="47"/>
    <s v="Yes"/>
    <x v="0"/>
  </r>
  <r>
    <n v="22144"/>
    <n v="198"/>
    <d v="2023-07-30T00:00:00"/>
    <s v="July"/>
    <n v="2023"/>
    <x v="2"/>
    <n v="23"/>
    <s v="Yes"/>
    <x v="3"/>
  </r>
  <r>
    <n v="22145"/>
    <n v="80"/>
    <d v="2022-02-02T00:00:00"/>
    <s v="February"/>
    <n v="2022"/>
    <x v="2"/>
    <n v="57"/>
    <s v="Yes"/>
    <x v="3"/>
  </r>
  <r>
    <n v="22146"/>
    <n v="385"/>
    <d v="2023-07-12T00:00:00"/>
    <s v="July"/>
    <n v="2023"/>
    <x v="1"/>
    <n v="1"/>
    <s v="Yes"/>
    <x v="2"/>
  </r>
  <r>
    <n v="22147"/>
    <n v="137"/>
    <d v="2024-01-01T00:00:00"/>
    <s v="January"/>
    <n v="2024"/>
    <x v="0"/>
    <n v="29"/>
    <s v="Yes"/>
    <x v="4"/>
  </r>
  <r>
    <n v="22148"/>
    <n v="213"/>
    <d v="2024-03-11T00:00:00"/>
    <s v="March"/>
    <n v="2024"/>
    <x v="1"/>
    <n v="50"/>
    <s v="Yes"/>
    <x v="2"/>
  </r>
  <r>
    <n v="22149"/>
    <n v="327"/>
    <d v="2022-07-15T00:00:00"/>
    <s v="July"/>
    <n v="2022"/>
    <x v="1"/>
    <n v="64"/>
    <s v="No"/>
    <x v="4"/>
  </r>
  <r>
    <n v="22150"/>
    <n v="107"/>
    <d v="2024-02-04T00:00:00"/>
    <s v="February"/>
    <n v="2024"/>
    <x v="1"/>
    <n v="37"/>
    <s v="Yes"/>
    <x v="5"/>
  </r>
  <r>
    <n v="22151"/>
    <n v="448"/>
    <d v="2023-03-24T00:00:00"/>
    <s v="March"/>
    <n v="2023"/>
    <x v="1"/>
    <n v="61"/>
    <s v="Yes"/>
    <x v="1"/>
  </r>
  <r>
    <n v="22152"/>
    <n v="207"/>
    <d v="2024-03-08T00:00:00"/>
    <s v="March"/>
    <n v="2024"/>
    <x v="2"/>
    <n v="7"/>
    <s v="Yes"/>
    <x v="1"/>
  </r>
  <r>
    <n v="22153"/>
    <n v="152"/>
    <d v="2024-01-18T00:00:00"/>
    <s v="January"/>
    <n v="2024"/>
    <x v="2"/>
    <n v="64"/>
    <s v="Yes"/>
    <x v="0"/>
  </r>
  <r>
    <n v="22154"/>
    <n v="133"/>
    <d v="2023-08-14T00:00:00"/>
    <s v="August"/>
    <n v="2023"/>
    <x v="1"/>
    <n v="18"/>
    <s v="Yes"/>
    <x v="3"/>
  </r>
  <r>
    <n v="22155"/>
    <n v="435"/>
    <d v="2022-04-02T00:00:00"/>
    <s v="April"/>
    <n v="2022"/>
    <x v="2"/>
    <n v="29"/>
    <s v="Yes"/>
    <x v="0"/>
  </r>
  <r>
    <n v="22156"/>
    <n v="166"/>
    <d v="2023-08-31T00:00:00"/>
    <s v="August"/>
    <n v="2023"/>
    <x v="2"/>
    <n v="60"/>
    <s v="Yes"/>
    <x v="4"/>
  </r>
  <r>
    <n v="22157"/>
    <n v="413"/>
    <d v="2022-08-16T00:00:00"/>
    <s v="August"/>
    <n v="2022"/>
    <x v="0"/>
    <n v="54"/>
    <s v="Yes"/>
    <x v="3"/>
  </r>
  <r>
    <n v="22158"/>
    <n v="430"/>
    <d v="2022-10-13T00:00:00"/>
    <s v="October"/>
    <n v="2022"/>
    <x v="2"/>
    <n v="21"/>
    <s v="Yes"/>
    <x v="0"/>
  </r>
  <r>
    <n v="22159"/>
    <n v="180"/>
    <d v="2024-05-23T00:00:00"/>
    <s v="May"/>
    <n v="2024"/>
    <x v="2"/>
    <n v="21"/>
    <s v="Yes"/>
    <x v="3"/>
  </r>
  <r>
    <n v="22160"/>
    <n v="121"/>
    <d v="2022-08-23T00:00:00"/>
    <s v="August"/>
    <n v="2022"/>
    <x v="1"/>
    <n v="58"/>
    <s v="Yes"/>
    <x v="5"/>
  </r>
  <r>
    <n v="22161"/>
    <n v="174"/>
    <d v="2022-04-12T00:00:00"/>
    <s v="April"/>
    <n v="2022"/>
    <x v="2"/>
    <n v="49"/>
    <s v="Yes"/>
    <x v="1"/>
  </r>
  <r>
    <n v="22162"/>
    <n v="331"/>
    <d v="2024-02-03T00:00:00"/>
    <s v="February"/>
    <n v="2024"/>
    <x v="2"/>
    <n v="36"/>
    <s v="Yes"/>
    <x v="0"/>
  </r>
  <r>
    <n v="22163"/>
    <n v="68"/>
    <d v="2022-05-20T00:00:00"/>
    <s v="May"/>
    <n v="2022"/>
    <x v="2"/>
    <n v="17"/>
    <s v="Yes"/>
    <x v="0"/>
  </r>
  <r>
    <n v="22164"/>
    <n v="187"/>
    <d v="2024-04-14T00:00:00"/>
    <s v="April"/>
    <n v="2024"/>
    <x v="1"/>
    <n v="53"/>
    <s v="Yes"/>
    <x v="5"/>
  </r>
  <r>
    <n v="22165"/>
    <n v="138"/>
    <d v="2023-10-17T00:00:00"/>
    <s v="October"/>
    <n v="2023"/>
    <x v="1"/>
    <n v="15"/>
    <s v="Yes"/>
    <x v="4"/>
  </r>
  <r>
    <n v="22166"/>
    <n v="354"/>
    <d v="2024-01-22T00:00:00"/>
    <s v="January"/>
    <n v="2024"/>
    <x v="2"/>
    <n v="40"/>
    <s v="Yes"/>
    <x v="3"/>
  </r>
  <r>
    <n v="22167"/>
    <n v="388"/>
    <d v="2022-09-23T00:00:00"/>
    <s v="September"/>
    <n v="2022"/>
    <x v="1"/>
    <n v="51"/>
    <s v="Yes"/>
    <x v="5"/>
  </r>
  <r>
    <n v="22168"/>
    <n v="308"/>
    <d v="2022-12-08T00:00:00"/>
    <s v="December"/>
    <n v="2022"/>
    <x v="1"/>
    <n v="65"/>
    <s v="Yes"/>
    <x v="5"/>
  </r>
  <r>
    <n v="22169"/>
    <n v="330"/>
    <d v="2023-07-27T00:00:00"/>
    <s v="July"/>
    <n v="2023"/>
    <x v="0"/>
    <n v="13"/>
    <s v="No"/>
    <x v="1"/>
  </r>
  <r>
    <n v="22170"/>
    <n v="481"/>
    <d v="2023-06-19T00:00:00"/>
    <s v="June"/>
    <n v="2023"/>
    <x v="2"/>
    <n v="38"/>
    <s v="Yes"/>
    <x v="3"/>
  </r>
  <r>
    <n v="22171"/>
    <n v="238"/>
    <d v="2023-06-07T00:00:00"/>
    <s v="June"/>
    <n v="2023"/>
    <x v="0"/>
    <n v="26"/>
    <s v="Yes"/>
    <x v="1"/>
  </r>
  <r>
    <n v="22172"/>
    <n v="18"/>
    <d v="2022-01-16T00:00:00"/>
    <s v="January"/>
    <n v="2022"/>
    <x v="2"/>
    <n v="15"/>
    <s v="Yes"/>
    <x v="4"/>
  </r>
  <r>
    <n v="22173"/>
    <n v="76"/>
    <d v="2023-07-15T00:00:00"/>
    <s v="July"/>
    <n v="2023"/>
    <x v="2"/>
    <n v="5"/>
    <s v="Yes"/>
    <x v="1"/>
  </r>
  <r>
    <n v="22174"/>
    <n v="435"/>
    <d v="2024-05-27T00:00:00"/>
    <s v="May"/>
    <n v="2024"/>
    <x v="0"/>
    <n v="2"/>
    <s v="Yes"/>
    <x v="0"/>
  </r>
  <r>
    <n v="22175"/>
    <n v="151"/>
    <d v="2022-12-02T00:00:00"/>
    <s v="December"/>
    <n v="2022"/>
    <x v="0"/>
    <n v="65"/>
    <s v="Yes"/>
    <x v="4"/>
  </r>
  <r>
    <n v="22176"/>
    <n v="108"/>
    <d v="2023-01-25T00:00:00"/>
    <s v="January"/>
    <n v="2023"/>
    <x v="2"/>
    <n v="60"/>
    <s v="Yes"/>
    <x v="4"/>
  </r>
  <r>
    <n v="22177"/>
    <n v="153"/>
    <d v="2022-06-19T00:00:00"/>
    <s v="June"/>
    <n v="2022"/>
    <x v="0"/>
    <n v="56"/>
    <s v="Yes"/>
    <x v="3"/>
  </r>
  <r>
    <n v="22178"/>
    <n v="316"/>
    <d v="2022-04-29T00:00:00"/>
    <s v="April"/>
    <n v="2022"/>
    <x v="0"/>
    <n v="38"/>
    <s v="Yes"/>
    <x v="2"/>
  </r>
  <r>
    <n v="22179"/>
    <n v="37"/>
    <d v="2022-02-11T00:00:00"/>
    <s v="February"/>
    <n v="2022"/>
    <x v="1"/>
    <n v="57"/>
    <s v="Yes"/>
    <x v="3"/>
  </r>
  <r>
    <n v="22180"/>
    <n v="452"/>
    <d v="2022-01-10T00:00:00"/>
    <s v="January"/>
    <n v="2022"/>
    <x v="2"/>
    <n v="51"/>
    <s v="Yes"/>
    <x v="4"/>
  </r>
  <r>
    <n v="22181"/>
    <n v="333"/>
    <d v="2023-03-06T00:00:00"/>
    <s v="March"/>
    <n v="2023"/>
    <x v="1"/>
    <n v="41"/>
    <s v="Yes"/>
    <x v="0"/>
  </r>
  <r>
    <n v="22182"/>
    <n v="146"/>
    <d v="2023-04-13T00:00:00"/>
    <s v="April"/>
    <n v="2023"/>
    <x v="2"/>
    <n v="70"/>
    <s v="Yes"/>
    <x v="1"/>
  </r>
  <r>
    <n v="22183"/>
    <n v="126"/>
    <d v="2022-02-18T00:00:00"/>
    <s v="February"/>
    <n v="2022"/>
    <x v="1"/>
    <n v="52"/>
    <s v="No"/>
    <x v="5"/>
  </r>
  <r>
    <n v="22184"/>
    <n v="285"/>
    <d v="2024-02-16T00:00:00"/>
    <s v="February"/>
    <n v="2024"/>
    <x v="2"/>
    <n v="1"/>
    <s v="Yes"/>
    <x v="2"/>
  </r>
  <r>
    <n v="22185"/>
    <n v="108"/>
    <d v="2022-07-26T00:00:00"/>
    <s v="July"/>
    <n v="2022"/>
    <x v="1"/>
    <n v="18"/>
    <s v="Yes"/>
    <x v="4"/>
  </r>
  <r>
    <n v="22186"/>
    <n v="286"/>
    <d v="2023-11-10T00:00:00"/>
    <s v="November"/>
    <n v="2023"/>
    <x v="2"/>
    <n v="27"/>
    <s v="No"/>
    <x v="5"/>
  </r>
  <r>
    <n v="22187"/>
    <n v="240"/>
    <d v="2023-05-29T00:00:00"/>
    <s v="May"/>
    <n v="2023"/>
    <x v="1"/>
    <n v="42"/>
    <s v="Yes"/>
    <x v="4"/>
  </r>
  <r>
    <n v="22188"/>
    <n v="375"/>
    <d v="2023-08-03T00:00:00"/>
    <s v="August"/>
    <n v="2023"/>
    <x v="0"/>
    <n v="6"/>
    <s v="Yes"/>
    <x v="1"/>
  </r>
  <r>
    <n v="22189"/>
    <n v="102"/>
    <d v="2024-03-30T00:00:00"/>
    <s v="March"/>
    <n v="2024"/>
    <x v="2"/>
    <n v="24"/>
    <s v="Yes"/>
    <x v="4"/>
  </r>
  <r>
    <n v="22190"/>
    <n v="220"/>
    <d v="2022-07-29T00:00:00"/>
    <s v="July"/>
    <n v="2022"/>
    <x v="0"/>
    <n v="45"/>
    <s v="Yes"/>
    <x v="0"/>
  </r>
  <r>
    <n v="22191"/>
    <n v="7"/>
    <d v="2022-05-19T00:00:00"/>
    <s v="May"/>
    <n v="2022"/>
    <x v="1"/>
    <n v="71"/>
    <s v="No"/>
    <x v="0"/>
  </r>
  <r>
    <n v="22192"/>
    <n v="216"/>
    <d v="2022-02-06T00:00:00"/>
    <s v="February"/>
    <n v="2022"/>
    <x v="2"/>
    <n v="7"/>
    <s v="Yes"/>
    <x v="5"/>
  </r>
  <r>
    <n v="22193"/>
    <n v="169"/>
    <d v="2022-08-06T00:00:00"/>
    <s v="August"/>
    <n v="2022"/>
    <x v="1"/>
    <n v="16"/>
    <s v="Yes"/>
    <x v="5"/>
  </r>
  <r>
    <n v="22194"/>
    <n v="74"/>
    <d v="2023-04-01T00:00:00"/>
    <s v="April"/>
    <n v="2023"/>
    <x v="1"/>
    <n v="58"/>
    <s v="Yes"/>
    <x v="2"/>
  </r>
  <r>
    <n v="22195"/>
    <n v="293"/>
    <d v="2023-05-27T00:00:00"/>
    <s v="May"/>
    <n v="2023"/>
    <x v="0"/>
    <n v="57"/>
    <s v="Yes"/>
    <x v="5"/>
  </r>
  <r>
    <n v="22196"/>
    <n v="27"/>
    <d v="2022-10-05T00:00:00"/>
    <s v="October"/>
    <n v="2022"/>
    <x v="2"/>
    <n v="42"/>
    <s v="Yes"/>
    <x v="4"/>
  </r>
  <r>
    <n v="22197"/>
    <n v="277"/>
    <d v="2022-06-29T00:00:00"/>
    <s v="June"/>
    <n v="2022"/>
    <x v="1"/>
    <n v="14"/>
    <s v="Yes"/>
    <x v="5"/>
  </r>
  <r>
    <n v="22198"/>
    <n v="484"/>
    <d v="2023-06-01T00:00:00"/>
    <s v="June"/>
    <n v="2023"/>
    <x v="0"/>
    <n v="56"/>
    <s v="No"/>
    <x v="2"/>
  </r>
  <r>
    <n v="22199"/>
    <n v="43"/>
    <d v="2022-05-10T00:00:00"/>
    <s v="May"/>
    <n v="2022"/>
    <x v="0"/>
    <n v="12"/>
    <s v="Yes"/>
    <x v="2"/>
  </r>
  <r>
    <n v="22200"/>
    <n v="307"/>
    <d v="2023-10-07T00:00:00"/>
    <s v="October"/>
    <n v="2023"/>
    <x v="0"/>
    <n v="15"/>
    <s v="Yes"/>
    <x v="4"/>
  </r>
  <r>
    <n v="22201"/>
    <n v="93"/>
    <d v="2023-09-03T00:00:00"/>
    <s v="September"/>
    <n v="2023"/>
    <x v="0"/>
    <n v="8"/>
    <s v="Yes"/>
    <x v="0"/>
  </r>
  <r>
    <n v="22202"/>
    <n v="71"/>
    <d v="2023-11-03T00:00:00"/>
    <s v="November"/>
    <n v="2023"/>
    <x v="1"/>
    <n v="58"/>
    <s v="Yes"/>
    <x v="2"/>
  </r>
  <r>
    <n v="22203"/>
    <n v="269"/>
    <d v="2024-01-18T00:00:00"/>
    <s v="January"/>
    <n v="2024"/>
    <x v="1"/>
    <n v="53"/>
    <s v="Yes"/>
    <x v="5"/>
  </r>
  <r>
    <n v="22204"/>
    <n v="109"/>
    <d v="2023-10-21T00:00:00"/>
    <s v="October"/>
    <n v="2023"/>
    <x v="1"/>
    <n v="9"/>
    <s v="Yes"/>
    <x v="1"/>
  </r>
  <r>
    <n v="22205"/>
    <n v="181"/>
    <d v="2022-12-25T00:00:00"/>
    <s v="December"/>
    <n v="2022"/>
    <x v="2"/>
    <n v="46"/>
    <s v="Yes"/>
    <x v="2"/>
  </r>
  <r>
    <n v="22206"/>
    <n v="215"/>
    <d v="2023-09-19T00:00:00"/>
    <s v="September"/>
    <n v="2023"/>
    <x v="2"/>
    <n v="7"/>
    <s v="Yes"/>
    <x v="0"/>
  </r>
  <r>
    <n v="22207"/>
    <n v="447"/>
    <d v="2022-01-04T00:00:00"/>
    <s v="January"/>
    <n v="2022"/>
    <x v="0"/>
    <n v="44"/>
    <s v="Yes"/>
    <x v="4"/>
  </r>
  <r>
    <n v="22208"/>
    <n v="114"/>
    <d v="2023-08-22T00:00:00"/>
    <s v="August"/>
    <n v="2023"/>
    <x v="1"/>
    <n v="14"/>
    <s v="Yes"/>
    <x v="1"/>
  </r>
  <r>
    <n v="22209"/>
    <n v="185"/>
    <d v="2023-07-12T00:00:00"/>
    <s v="July"/>
    <n v="2023"/>
    <x v="0"/>
    <n v="6"/>
    <s v="Yes"/>
    <x v="1"/>
  </r>
  <r>
    <n v="22210"/>
    <n v="409"/>
    <d v="2022-03-24T00:00:00"/>
    <s v="March"/>
    <n v="2022"/>
    <x v="1"/>
    <n v="35"/>
    <s v="Yes"/>
    <x v="3"/>
  </r>
  <r>
    <n v="22211"/>
    <n v="125"/>
    <d v="2022-06-03T00:00:00"/>
    <s v="June"/>
    <n v="2022"/>
    <x v="2"/>
    <n v="70"/>
    <s v="Yes"/>
    <x v="0"/>
  </r>
  <r>
    <n v="22212"/>
    <n v="105"/>
    <d v="2023-05-21T00:00:00"/>
    <s v="May"/>
    <n v="2023"/>
    <x v="0"/>
    <n v="61"/>
    <s v="Yes"/>
    <x v="3"/>
  </r>
  <r>
    <n v="22213"/>
    <n v="237"/>
    <d v="2023-05-24T00:00:00"/>
    <s v="May"/>
    <n v="2023"/>
    <x v="1"/>
    <n v="24"/>
    <s v="Yes"/>
    <x v="5"/>
  </r>
  <r>
    <n v="22214"/>
    <n v="141"/>
    <d v="2024-03-28T00:00:00"/>
    <s v="March"/>
    <n v="2024"/>
    <x v="1"/>
    <n v="2"/>
    <s v="Yes"/>
    <x v="2"/>
  </r>
  <r>
    <n v="22215"/>
    <n v="293"/>
    <d v="2024-03-04T00:00:00"/>
    <s v="March"/>
    <n v="2024"/>
    <x v="1"/>
    <n v="51"/>
    <s v="Yes"/>
    <x v="5"/>
  </r>
  <r>
    <n v="22216"/>
    <n v="158"/>
    <d v="2024-04-18T00:00:00"/>
    <s v="April"/>
    <n v="2024"/>
    <x v="0"/>
    <n v="31"/>
    <s v="Yes"/>
    <x v="3"/>
  </r>
  <r>
    <n v="22217"/>
    <n v="474"/>
    <d v="2024-03-10T00:00:00"/>
    <s v="March"/>
    <n v="2024"/>
    <x v="2"/>
    <n v="27"/>
    <s v="Yes"/>
    <x v="2"/>
  </r>
  <r>
    <n v="22218"/>
    <n v="396"/>
    <d v="2023-09-15T00:00:00"/>
    <s v="September"/>
    <n v="2023"/>
    <x v="1"/>
    <n v="31"/>
    <s v="Yes"/>
    <x v="3"/>
  </r>
  <r>
    <n v="22219"/>
    <n v="449"/>
    <d v="2023-09-21T00:00:00"/>
    <s v="September"/>
    <n v="2023"/>
    <x v="0"/>
    <n v="70"/>
    <s v="Yes"/>
    <x v="4"/>
  </r>
  <r>
    <n v="22220"/>
    <n v="274"/>
    <d v="2022-04-07T00:00:00"/>
    <s v="April"/>
    <n v="2022"/>
    <x v="1"/>
    <n v="43"/>
    <s v="Yes"/>
    <x v="4"/>
  </r>
  <r>
    <n v="22221"/>
    <n v="378"/>
    <d v="2022-10-09T00:00:00"/>
    <s v="October"/>
    <n v="2022"/>
    <x v="0"/>
    <n v="52"/>
    <s v="Yes"/>
    <x v="4"/>
  </r>
  <r>
    <n v="22222"/>
    <n v="341"/>
    <d v="2023-12-02T00:00:00"/>
    <s v="December"/>
    <n v="2023"/>
    <x v="2"/>
    <n v="14"/>
    <s v="Yes"/>
    <x v="0"/>
  </r>
  <r>
    <n v="22223"/>
    <n v="117"/>
    <d v="2023-08-23T00:00:00"/>
    <s v="August"/>
    <n v="2023"/>
    <x v="1"/>
    <n v="59"/>
    <s v="Yes"/>
    <x v="3"/>
  </r>
  <r>
    <n v="22224"/>
    <n v="374"/>
    <d v="2024-03-29T00:00:00"/>
    <s v="March"/>
    <n v="2024"/>
    <x v="0"/>
    <n v="20"/>
    <s v="Yes"/>
    <x v="1"/>
  </r>
  <r>
    <n v="22225"/>
    <n v="62"/>
    <d v="2023-08-22T00:00:00"/>
    <s v="August"/>
    <n v="2023"/>
    <x v="1"/>
    <n v="52"/>
    <s v="Yes"/>
    <x v="4"/>
  </r>
  <r>
    <n v="22226"/>
    <n v="24"/>
    <d v="2023-06-22T00:00:00"/>
    <s v="June"/>
    <n v="2023"/>
    <x v="0"/>
    <n v="40"/>
    <s v="Yes"/>
    <x v="3"/>
  </r>
  <r>
    <n v="22227"/>
    <n v="60"/>
    <d v="2024-06-10T00:00:00"/>
    <s v="June"/>
    <n v="2024"/>
    <x v="2"/>
    <n v="68"/>
    <s v="Yes"/>
    <x v="2"/>
  </r>
  <r>
    <n v="22228"/>
    <n v="401"/>
    <d v="2023-03-05T00:00:00"/>
    <s v="March"/>
    <n v="2023"/>
    <x v="2"/>
    <n v="44"/>
    <s v="Yes"/>
    <x v="5"/>
  </r>
  <r>
    <n v="22229"/>
    <n v="362"/>
    <d v="2023-06-27T00:00:00"/>
    <s v="June"/>
    <n v="2023"/>
    <x v="0"/>
    <n v="6"/>
    <s v="Yes"/>
    <x v="4"/>
  </r>
  <r>
    <n v="22230"/>
    <n v="316"/>
    <d v="2022-05-06T00:00:00"/>
    <s v="May"/>
    <n v="2022"/>
    <x v="2"/>
    <n v="57"/>
    <s v="Yes"/>
    <x v="2"/>
  </r>
  <r>
    <n v="22231"/>
    <n v="265"/>
    <d v="2023-12-11T00:00:00"/>
    <s v="December"/>
    <n v="2023"/>
    <x v="1"/>
    <n v="58"/>
    <s v="Yes"/>
    <x v="4"/>
  </r>
  <r>
    <n v="22232"/>
    <n v="180"/>
    <d v="2022-10-28T00:00:00"/>
    <s v="October"/>
    <n v="2022"/>
    <x v="2"/>
    <n v="30"/>
    <s v="No"/>
    <x v="3"/>
  </r>
  <r>
    <n v="22233"/>
    <n v="232"/>
    <d v="2023-06-27T00:00:00"/>
    <s v="June"/>
    <n v="2023"/>
    <x v="1"/>
    <n v="52"/>
    <s v="Yes"/>
    <x v="1"/>
  </r>
  <r>
    <n v="22234"/>
    <n v="476"/>
    <d v="2023-01-02T00:00:00"/>
    <s v="January"/>
    <n v="2023"/>
    <x v="2"/>
    <n v="11"/>
    <s v="Yes"/>
    <x v="0"/>
  </r>
  <r>
    <n v="22235"/>
    <n v="143"/>
    <d v="2024-04-08T00:00:00"/>
    <s v="April"/>
    <n v="2024"/>
    <x v="2"/>
    <n v="47"/>
    <s v="Yes"/>
    <x v="5"/>
  </r>
  <r>
    <n v="22236"/>
    <n v="333"/>
    <d v="2024-01-14T00:00:00"/>
    <s v="January"/>
    <n v="2024"/>
    <x v="1"/>
    <n v="5"/>
    <s v="Yes"/>
    <x v="0"/>
  </r>
  <r>
    <n v="22237"/>
    <n v="412"/>
    <d v="2022-02-14T00:00:00"/>
    <s v="February"/>
    <n v="2022"/>
    <x v="2"/>
    <n v="3"/>
    <s v="Yes"/>
    <x v="2"/>
  </r>
  <r>
    <n v="22238"/>
    <n v="245"/>
    <d v="2023-05-08T00:00:00"/>
    <s v="May"/>
    <n v="2023"/>
    <x v="1"/>
    <n v="15"/>
    <s v="Yes"/>
    <x v="4"/>
  </r>
  <r>
    <n v="22239"/>
    <n v="81"/>
    <d v="2022-11-12T00:00:00"/>
    <s v="November"/>
    <n v="2022"/>
    <x v="1"/>
    <n v="2"/>
    <s v="Yes"/>
    <x v="5"/>
  </r>
  <r>
    <n v="22240"/>
    <n v="126"/>
    <d v="2022-07-08T00:00:00"/>
    <s v="July"/>
    <n v="2022"/>
    <x v="2"/>
    <n v="2"/>
    <s v="Yes"/>
    <x v="5"/>
  </r>
  <r>
    <n v="22241"/>
    <n v="137"/>
    <d v="2022-02-21T00:00:00"/>
    <s v="February"/>
    <n v="2022"/>
    <x v="2"/>
    <n v="54"/>
    <s v="Yes"/>
    <x v="4"/>
  </r>
  <r>
    <n v="22242"/>
    <n v="56"/>
    <d v="2023-07-18T00:00:00"/>
    <s v="July"/>
    <n v="2023"/>
    <x v="1"/>
    <n v="46"/>
    <s v="Yes"/>
    <x v="5"/>
  </r>
  <r>
    <n v="22243"/>
    <n v="213"/>
    <d v="2022-11-28T00:00:00"/>
    <s v="November"/>
    <n v="2022"/>
    <x v="0"/>
    <n v="41"/>
    <s v="Yes"/>
    <x v="2"/>
  </r>
  <r>
    <n v="22244"/>
    <n v="94"/>
    <d v="2023-05-14T00:00:00"/>
    <s v="May"/>
    <n v="2023"/>
    <x v="2"/>
    <n v="69"/>
    <s v="Yes"/>
    <x v="4"/>
  </r>
  <r>
    <n v="22245"/>
    <n v="383"/>
    <d v="2022-11-14T00:00:00"/>
    <s v="November"/>
    <n v="2022"/>
    <x v="2"/>
    <n v="30"/>
    <s v="Yes"/>
    <x v="3"/>
  </r>
  <r>
    <n v="22246"/>
    <n v="459"/>
    <d v="2023-02-14T00:00:00"/>
    <s v="February"/>
    <n v="2023"/>
    <x v="0"/>
    <n v="44"/>
    <s v="Yes"/>
    <x v="5"/>
  </r>
  <r>
    <n v="22247"/>
    <n v="478"/>
    <d v="2022-11-19T00:00:00"/>
    <s v="November"/>
    <n v="2022"/>
    <x v="0"/>
    <n v="10"/>
    <s v="Yes"/>
    <x v="5"/>
  </r>
  <r>
    <n v="22248"/>
    <n v="292"/>
    <d v="2023-08-14T00:00:00"/>
    <s v="August"/>
    <n v="2023"/>
    <x v="2"/>
    <n v="30"/>
    <s v="Yes"/>
    <x v="4"/>
  </r>
  <r>
    <n v="22249"/>
    <n v="128"/>
    <d v="2023-07-15T00:00:00"/>
    <s v="July"/>
    <n v="2023"/>
    <x v="2"/>
    <n v="49"/>
    <s v="Yes"/>
    <x v="0"/>
  </r>
  <r>
    <n v="22250"/>
    <n v="440"/>
    <d v="2022-08-18T00:00:00"/>
    <s v="August"/>
    <n v="2022"/>
    <x v="2"/>
    <n v="35"/>
    <s v="Yes"/>
    <x v="1"/>
  </r>
  <r>
    <n v="22251"/>
    <n v="217"/>
    <d v="2022-12-10T00:00:00"/>
    <s v="December"/>
    <n v="2022"/>
    <x v="0"/>
    <n v="65"/>
    <s v="Yes"/>
    <x v="5"/>
  </r>
  <r>
    <n v="22252"/>
    <n v="199"/>
    <d v="2023-01-06T00:00:00"/>
    <s v="January"/>
    <n v="2023"/>
    <x v="2"/>
    <n v="17"/>
    <s v="No"/>
    <x v="3"/>
  </r>
  <r>
    <n v="22253"/>
    <n v="20"/>
    <d v="2023-07-10T00:00:00"/>
    <s v="July"/>
    <n v="2023"/>
    <x v="0"/>
    <n v="31"/>
    <s v="Yes"/>
    <x v="2"/>
  </r>
  <r>
    <n v="22254"/>
    <n v="55"/>
    <d v="2022-10-19T00:00:00"/>
    <s v="October"/>
    <n v="2022"/>
    <x v="0"/>
    <n v="70"/>
    <s v="Yes"/>
    <x v="1"/>
  </r>
  <r>
    <n v="22255"/>
    <n v="246"/>
    <d v="2023-03-13T00:00:00"/>
    <s v="March"/>
    <n v="2023"/>
    <x v="1"/>
    <n v="52"/>
    <s v="Yes"/>
    <x v="0"/>
  </r>
  <r>
    <n v="22256"/>
    <n v="251"/>
    <d v="2022-09-04T00:00:00"/>
    <s v="September"/>
    <n v="2022"/>
    <x v="0"/>
    <n v="26"/>
    <s v="Yes"/>
    <x v="3"/>
  </r>
  <r>
    <n v="22257"/>
    <n v="60"/>
    <d v="2022-08-07T00:00:00"/>
    <s v="August"/>
    <n v="2022"/>
    <x v="1"/>
    <n v="5"/>
    <s v="Yes"/>
    <x v="2"/>
  </r>
  <r>
    <n v="22258"/>
    <n v="163"/>
    <d v="2023-06-18T00:00:00"/>
    <s v="June"/>
    <n v="2023"/>
    <x v="0"/>
    <n v="14"/>
    <s v="Yes"/>
    <x v="2"/>
  </r>
  <r>
    <n v="22259"/>
    <n v="202"/>
    <d v="2023-10-04T00:00:00"/>
    <s v="October"/>
    <n v="2023"/>
    <x v="0"/>
    <n v="51"/>
    <s v="Yes"/>
    <x v="5"/>
  </r>
  <r>
    <n v="22260"/>
    <n v="227"/>
    <d v="2023-06-03T00:00:00"/>
    <s v="June"/>
    <n v="2023"/>
    <x v="1"/>
    <n v="15"/>
    <s v="Yes"/>
    <x v="0"/>
  </r>
  <r>
    <n v="22261"/>
    <n v="129"/>
    <d v="2024-02-23T00:00:00"/>
    <s v="February"/>
    <n v="2024"/>
    <x v="1"/>
    <n v="12"/>
    <s v="Yes"/>
    <x v="0"/>
  </r>
  <r>
    <n v="22262"/>
    <n v="462"/>
    <d v="2023-04-17T00:00:00"/>
    <s v="April"/>
    <n v="2023"/>
    <x v="1"/>
    <n v="46"/>
    <s v="Yes"/>
    <x v="2"/>
  </r>
  <r>
    <n v="22263"/>
    <n v="45"/>
    <d v="2022-12-16T00:00:00"/>
    <s v="December"/>
    <n v="2022"/>
    <x v="1"/>
    <n v="64"/>
    <s v="Yes"/>
    <x v="0"/>
  </r>
  <r>
    <n v="22264"/>
    <n v="197"/>
    <d v="2022-02-13T00:00:00"/>
    <s v="February"/>
    <n v="2022"/>
    <x v="1"/>
    <n v="59"/>
    <s v="Yes"/>
    <x v="5"/>
  </r>
  <r>
    <n v="22265"/>
    <n v="424"/>
    <d v="2024-01-22T00:00:00"/>
    <s v="January"/>
    <n v="2024"/>
    <x v="1"/>
    <n v="26"/>
    <s v="Yes"/>
    <x v="2"/>
  </r>
  <r>
    <n v="22266"/>
    <n v="492"/>
    <d v="2024-05-27T00:00:00"/>
    <s v="May"/>
    <n v="2024"/>
    <x v="1"/>
    <n v="29"/>
    <s v="Yes"/>
    <x v="4"/>
  </r>
  <r>
    <n v="22267"/>
    <n v="166"/>
    <d v="2022-03-06T00:00:00"/>
    <s v="March"/>
    <n v="2022"/>
    <x v="0"/>
    <n v="4"/>
    <s v="Yes"/>
    <x v="4"/>
  </r>
  <r>
    <n v="22268"/>
    <n v="247"/>
    <d v="2022-09-03T00:00:00"/>
    <s v="September"/>
    <n v="2022"/>
    <x v="0"/>
    <n v="50"/>
    <s v="Yes"/>
    <x v="5"/>
  </r>
  <r>
    <n v="22269"/>
    <n v="226"/>
    <d v="2023-08-08T00:00:00"/>
    <s v="August"/>
    <n v="2023"/>
    <x v="1"/>
    <n v="25"/>
    <s v="Yes"/>
    <x v="5"/>
  </r>
  <r>
    <n v="22270"/>
    <n v="280"/>
    <d v="2022-03-12T00:00:00"/>
    <s v="March"/>
    <n v="2022"/>
    <x v="2"/>
    <n v="40"/>
    <s v="Yes"/>
    <x v="5"/>
  </r>
  <r>
    <n v="22271"/>
    <n v="260"/>
    <d v="2023-12-10T00:00:00"/>
    <s v="December"/>
    <n v="2023"/>
    <x v="1"/>
    <n v="32"/>
    <s v="Yes"/>
    <x v="0"/>
  </r>
  <r>
    <n v="22272"/>
    <n v="347"/>
    <d v="2023-12-02T00:00:00"/>
    <s v="December"/>
    <n v="2023"/>
    <x v="2"/>
    <n v="37"/>
    <s v="Yes"/>
    <x v="1"/>
  </r>
  <r>
    <n v="22273"/>
    <n v="197"/>
    <d v="2022-06-07T00:00:00"/>
    <s v="June"/>
    <n v="2022"/>
    <x v="0"/>
    <n v="10"/>
    <s v="Yes"/>
    <x v="5"/>
  </r>
  <r>
    <n v="22274"/>
    <n v="107"/>
    <d v="2023-04-20T00:00:00"/>
    <s v="April"/>
    <n v="2023"/>
    <x v="0"/>
    <n v="38"/>
    <s v="Yes"/>
    <x v="5"/>
  </r>
  <r>
    <n v="22275"/>
    <n v="269"/>
    <d v="2024-04-21T00:00:00"/>
    <s v="April"/>
    <n v="2024"/>
    <x v="2"/>
    <n v="61"/>
    <s v="Yes"/>
    <x v="5"/>
  </r>
  <r>
    <n v="22276"/>
    <n v="232"/>
    <d v="2022-01-25T00:00:00"/>
    <s v="January"/>
    <n v="2022"/>
    <x v="0"/>
    <n v="27"/>
    <s v="Yes"/>
    <x v="1"/>
  </r>
  <r>
    <n v="22277"/>
    <n v="405"/>
    <d v="2024-04-29T00:00:00"/>
    <s v="April"/>
    <n v="2024"/>
    <x v="1"/>
    <n v="7"/>
    <s v="Yes"/>
    <x v="5"/>
  </r>
  <r>
    <n v="22278"/>
    <n v="101"/>
    <d v="2023-08-06T00:00:00"/>
    <s v="August"/>
    <n v="2023"/>
    <x v="2"/>
    <n v="9"/>
    <s v="Yes"/>
    <x v="1"/>
  </r>
  <r>
    <n v="22279"/>
    <n v="160"/>
    <d v="2024-04-04T00:00:00"/>
    <s v="April"/>
    <n v="2024"/>
    <x v="2"/>
    <n v="59"/>
    <s v="Yes"/>
    <x v="2"/>
  </r>
  <r>
    <n v="22280"/>
    <n v="422"/>
    <d v="2022-08-11T00:00:00"/>
    <s v="August"/>
    <n v="2022"/>
    <x v="0"/>
    <n v="36"/>
    <s v="Yes"/>
    <x v="2"/>
  </r>
  <r>
    <n v="22281"/>
    <n v="95"/>
    <d v="2022-06-09T00:00:00"/>
    <s v="June"/>
    <n v="2022"/>
    <x v="2"/>
    <n v="30"/>
    <s v="No"/>
    <x v="1"/>
  </r>
  <r>
    <n v="22282"/>
    <n v="416"/>
    <d v="2024-03-28T00:00:00"/>
    <s v="March"/>
    <n v="2024"/>
    <x v="2"/>
    <n v="19"/>
    <s v="Yes"/>
    <x v="0"/>
  </r>
  <r>
    <n v="22283"/>
    <n v="207"/>
    <d v="2022-03-16T00:00:00"/>
    <s v="March"/>
    <n v="2022"/>
    <x v="2"/>
    <n v="41"/>
    <s v="Yes"/>
    <x v="1"/>
  </r>
  <r>
    <n v="22284"/>
    <n v="313"/>
    <d v="2022-05-18T00:00:00"/>
    <s v="May"/>
    <n v="2022"/>
    <x v="0"/>
    <n v="55"/>
    <s v="Yes"/>
    <x v="5"/>
  </r>
  <r>
    <n v="22285"/>
    <n v="432"/>
    <d v="2023-04-24T00:00:00"/>
    <s v="April"/>
    <n v="2023"/>
    <x v="2"/>
    <n v="6"/>
    <s v="Yes"/>
    <x v="1"/>
  </r>
  <r>
    <n v="22286"/>
    <n v="414"/>
    <d v="2023-07-07T00:00:00"/>
    <s v="July"/>
    <n v="2023"/>
    <x v="2"/>
    <n v="22"/>
    <s v="Yes"/>
    <x v="4"/>
  </r>
  <r>
    <n v="22287"/>
    <n v="235"/>
    <d v="2022-10-30T00:00:00"/>
    <s v="October"/>
    <n v="2022"/>
    <x v="1"/>
    <n v="70"/>
    <s v="Yes"/>
    <x v="3"/>
  </r>
  <r>
    <n v="22288"/>
    <n v="327"/>
    <d v="2023-01-22T00:00:00"/>
    <s v="January"/>
    <n v="2023"/>
    <x v="1"/>
    <n v="24"/>
    <s v="Yes"/>
    <x v="4"/>
  </r>
  <r>
    <n v="22289"/>
    <n v="422"/>
    <d v="2023-04-17T00:00:00"/>
    <s v="April"/>
    <n v="2023"/>
    <x v="2"/>
    <n v="62"/>
    <s v="Yes"/>
    <x v="2"/>
  </r>
  <r>
    <n v="22290"/>
    <n v="479"/>
    <d v="2022-11-30T00:00:00"/>
    <s v="November"/>
    <n v="2022"/>
    <x v="0"/>
    <n v="42"/>
    <s v="Yes"/>
    <x v="1"/>
  </r>
  <r>
    <n v="22291"/>
    <n v="428"/>
    <d v="2022-11-05T00:00:00"/>
    <s v="November"/>
    <n v="2022"/>
    <x v="2"/>
    <n v="22"/>
    <s v="Yes"/>
    <x v="0"/>
  </r>
  <r>
    <n v="22292"/>
    <n v="154"/>
    <d v="2023-06-12T00:00:00"/>
    <s v="June"/>
    <n v="2023"/>
    <x v="0"/>
    <n v="16"/>
    <s v="Yes"/>
    <x v="5"/>
  </r>
  <r>
    <n v="22293"/>
    <n v="100"/>
    <d v="2024-06-05T00:00:00"/>
    <s v="June"/>
    <n v="2024"/>
    <x v="1"/>
    <n v="13"/>
    <s v="Yes"/>
    <x v="1"/>
  </r>
  <r>
    <n v="22294"/>
    <n v="238"/>
    <d v="2023-12-02T00:00:00"/>
    <s v="December"/>
    <n v="2023"/>
    <x v="1"/>
    <n v="37"/>
    <s v="Yes"/>
    <x v="1"/>
  </r>
  <r>
    <n v="22295"/>
    <n v="107"/>
    <d v="2023-06-24T00:00:00"/>
    <s v="June"/>
    <n v="2023"/>
    <x v="2"/>
    <n v="52"/>
    <s v="Yes"/>
    <x v="5"/>
  </r>
  <r>
    <n v="22296"/>
    <n v="346"/>
    <d v="2022-06-12T00:00:00"/>
    <s v="June"/>
    <n v="2022"/>
    <x v="0"/>
    <n v="24"/>
    <s v="Yes"/>
    <x v="5"/>
  </r>
  <r>
    <n v="22297"/>
    <n v="364"/>
    <d v="2024-06-16T00:00:00"/>
    <s v="June"/>
    <n v="2024"/>
    <x v="0"/>
    <n v="17"/>
    <s v="Yes"/>
    <x v="4"/>
  </r>
  <r>
    <n v="22298"/>
    <n v="130"/>
    <d v="2024-04-08T00:00:00"/>
    <s v="April"/>
    <n v="2024"/>
    <x v="0"/>
    <n v="16"/>
    <s v="Yes"/>
    <x v="3"/>
  </r>
  <r>
    <n v="22299"/>
    <n v="299"/>
    <d v="2022-02-24T00:00:00"/>
    <s v="February"/>
    <n v="2022"/>
    <x v="2"/>
    <n v="1"/>
    <s v="Yes"/>
    <x v="0"/>
  </r>
  <r>
    <n v="22300"/>
    <n v="493"/>
    <d v="2024-02-25T00:00:00"/>
    <s v="February"/>
    <n v="2024"/>
    <x v="0"/>
    <n v="1"/>
    <s v="No"/>
    <x v="3"/>
  </r>
  <r>
    <n v="22301"/>
    <n v="43"/>
    <d v="2023-03-31T00:00:00"/>
    <s v="March"/>
    <n v="2023"/>
    <x v="1"/>
    <n v="30"/>
    <s v="Yes"/>
    <x v="2"/>
  </r>
  <r>
    <n v="22302"/>
    <n v="63"/>
    <d v="2022-11-01T00:00:00"/>
    <s v="November"/>
    <n v="2022"/>
    <x v="0"/>
    <n v="24"/>
    <s v="Yes"/>
    <x v="3"/>
  </r>
  <r>
    <n v="22303"/>
    <n v="73"/>
    <d v="2022-04-12T00:00:00"/>
    <s v="April"/>
    <n v="2022"/>
    <x v="0"/>
    <n v="46"/>
    <s v="Yes"/>
    <x v="3"/>
  </r>
  <r>
    <n v="22304"/>
    <n v="186"/>
    <d v="2023-07-08T00:00:00"/>
    <s v="July"/>
    <n v="2023"/>
    <x v="2"/>
    <n v="2"/>
    <s v="No"/>
    <x v="2"/>
  </r>
  <r>
    <n v="22305"/>
    <n v="117"/>
    <d v="2024-02-14T00:00:00"/>
    <s v="February"/>
    <n v="2024"/>
    <x v="2"/>
    <n v="15"/>
    <s v="No"/>
    <x v="3"/>
  </r>
  <r>
    <n v="22306"/>
    <n v="304"/>
    <d v="2023-01-23T00:00:00"/>
    <s v="January"/>
    <n v="2023"/>
    <x v="2"/>
    <n v="29"/>
    <s v="Yes"/>
    <x v="4"/>
  </r>
  <r>
    <n v="22307"/>
    <n v="5"/>
    <d v="2023-11-14T00:00:00"/>
    <s v="November"/>
    <n v="2023"/>
    <x v="2"/>
    <n v="62"/>
    <s v="Yes"/>
    <x v="4"/>
  </r>
  <r>
    <n v="22308"/>
    <n v="475"/>
    <d v="2022-07-27T00:00:00"/>
    <s v="July"/>
    <n v="2022"/>
    <x v="2"/>
    <n v="13"/>
    <s v="Yes"/>
    <x v="4"/>
  </r>
  <r>
    <n v="22309"/>
    <n v="76"/>
    <d v="2022-11-11T00:00:00"/>
    <s v="November"/>
    <n v="2022"/>
    <x v="0"/>
    <n v="65"/>
    <s v="Yes"/>
    <x v="1"/>
  </r>
  <r>
    <n v="22310"/>
    <n v="291"/>
    <d v="2022-02-18T00:00:00"/>
    <s v="February"/>
    <n v="2022"/>
    <x v="0"/>
    <n v="45"/>
    <s v="Yes"/>
    <x v="1"/>
  </r>
  <r>
    <n v="22311"/>
    <n v="349"/>
    <d v="2023-07-26T00:00:00"/>
    <s v="July"/>
    <n v="2023"/>
    <x v="2"/>
    <n v="47"/>
    <s v="Yes"/>
    <x v="3"/>
  </r>
  <r>
    <n v="22312"/>
    <n v="400"/>
    <d v="2023-06-02T00:00:00"/>
    <s v="June"/>
    <n v="2023"/>
    <x v="2"/>
    <n v="16"/>
    <s v="Yes"/>
    <x v="1"/>
  </r>
  <r>
    <n v="22313"/>
    <n v="83"/>
    <d v="2022-05-28T00:00:00"/>
    <s v="May"/>
    <n v="2022"/>
    <x v="0"/>
    <n v="3"/>
    <s v="Yes"/>
    <x v="0"/>
  </r>
  <r>
    <n v="22314"/>
    <n v="433"/>
    <d v="2024-03-09T00:00:00"/>
    <s v="March"/>
    <n v="2024"/>
    <x v="2"/>
    <n v="70"/>
    <s v="Yes"/>
    <x v="5"/>
  </r>
  <r>
    <n v="22315"/>
    <n v="60"/>
    <d v="2022-07-30T00:00:00"/>
    <s v="July"/>
    <n v="2022"/>
    <x v="1"/>
    <n v="5"/>
    <s v="Yes"/>
    <x v="2"/>
  </r>
  <r>
    <n v="22316"/>
    <n v="107"/>
    <d v="2023-01-07T00:00:00"/>
    <s v="January"/>
    <n v="2023"/>
    <x v="0"/>
    <n v="26"/>
    <s v="Yes"/>
    <x v="5"/>
  </r>
  <r>
    <n v="22317"/>
    <n v="117"/>
    <d v="2023-10-24T00:00:00"/>
    <s v="October"/>
    <n v="2023"/>
    <x v="1"/>
    <n v="15"/>
    <s v="Yes"/>
    <x v="3"/>
  </r>
  <r>
    <n v="22318"/>
    <n v="307"/>
    <d v="2023-08-20T00:00:00"/>
    <s v="August"/>
    <n v="2023"/>
    <x v="0"/>
    <n v="55"/>
    <s v="Yes"/>
    <x v="4"/>
  </r>
  <r>
    <n v="22319"/>
    <n v="383"/>
    <d v="2023-11-03T00:00:00"/>
    <s v="November"/>
    <n v="2023"/>
    <x v="0"/>
    <n v="22"/>
    <s v="Yes"/>
    <x v="3"/>
  </r>
  <r>
    <n v="22320"/>
    <n v="347"/>
    <d v="2022-02-16T00:00:00"/>
    <s v="February"/>
    <n v="2022"/>
    <x v="0"/>
    <n v="37"/>
    <s v="Yes"/>
    <x v="1"/>
  </r>
  <r>
    <n v="22321"/>
    <n v="82"/>
    <d v="2023-11-05T00:00:00"/>
    <s v="November"/>
    <n v="2023"/>
    <x v="0"/>
    <n v="29"/>
    <s v="Yes"/>
    <x v="5"/>
  </r>
  <r>
    <n v="22322"/>
    <n v="315"/>
    <d v="2023-05-14T00:00:00"/>
    <s v="May"/>
    <n v="2023"/>
    <x v="0"/>
    <n v="26"/>
    <s v="Yes"/>
    <x v="3"/>
  </r>
  <r>
    <n v="22323"/>
    <n v="320"/>
    <d v="2022-06-04T00:00:00"/>
    <s v="June"/>
    <n v="2022"/>
    <x v="0"/>
    <n v="70"/>
    <s v="No"/>
    <x v="2"/>
  </r>
  <r>
    <n v="22324"/>
    <n v="361"/>
    <d v="2022-08-18T00:00:00"/>
    <s v="August"/>
    <n v="2022"/>
    <x v="0"/>
    <n v="11"/>
    <s v="Yes"/>
    <x v="5"/>
  </r>
  <r>
    <n v="22325"/>
    <n v="141"/>
    <d v="2022-10-27T00:00:00"/>
    <s v="October"/>
    <n v="2022"/>
    <x v="2"/>
    <n v="20"/>
    <s v="Yes"/>
    <x v="2"/>
  </r>
  <r>
    <n v="22326"/>
    <n v="222"/>
    <d v="2022-06-07T00:00:00"/>
    <s v="June"/>
    <n v="2022"/>
    <x v="2"/>
    <n v="70"/>
    <s v="No"/>
    <x v="0"/>
  </r>
  <r>
    <n v="22327"/>
    <n v="410"/>
    <d v="2023-11-04T00:00:00"/>
    <s v="November"/>
    <n v="2023"/>
    <x v="2"/>
    <n v="33"/>
    <s v="Yes"/>
    <x v="0"/>
  </r>
  <r>
    <n v="22328"/>
    <n v="70"/>
    <d v="2022-09-04T00:00:00"/>
    <s v="September"/>
    <n v="2022"/>
    <x v="1"/>
    <n v="30"/>
    <s v="Yes"/>
    <x v="5"/>
  </r>
  <r>
    <n v="22329"/>
    <n v="387"/>
    <d v="2023-07-22T00:00:00"/>
    <s v="July"/>
    <n v="2023"/>
    <x v="0"/>
    <n v="50"/>
    <s v="No"/>
    <x v="0"/>
  </r>
  <r>
    <n v="22330"/>
    <n v="471"/>
    <d v="2022-05-31T00:00:00"/>
    <s v="May"/>
    <n v="2022"/>
    <x v="2"/>
    <n v="34"/>
    <s v="Yes"/>
    <x v="2"/>
  </r>
  <r>
    <n v="22331"/>
    <n v="12"/>
    <d v="2022-10-26T00:00:00"/>
    <s v="October"/>
    <n v="2022"/>
    <x v="2"/>
    <n v="5"/>
    <s v="No"/>
    <x v="3"/>
  </r>
  <r>
    <n v="22332"/>
    <n v="297"/>
    <d v="2022-02-23T00:00:00"/>
    <s v="February"/>
    <n v="2022"/>
    <x v="2"/>
    <n v="12"/>
    <s v="Yes"/>
    <x v="5"/>
  </r>
  <r>
    <n v="22333"/>
    <n v="105"/>
    <d v="2022-08-11T00:00:00"/>
    <s v="August"/>
    <n v="2022"/>
    <x v="0"/>
    <n v="52"/>
    <s v="Yes"/>
    <x v="3"/>
  </r>
  <r>
    <n v="22334"/>
    <n v="207"/>
    <d v="2024-02-05T00:00:00"/>
    <s v="February"/>
    <n v="2024"/>
    <x v="0"/>
    <n v="51"/>
    <s v="Yes"/>
    <x v="1"/>
  </r>
  <r>
    <n v="22335"/>
    <n v="65"/>
    <d v="2023-08-03T00:00:00"/>
    <s v="August"/>
    <n v="2023"/>
    <x v="1"/>
    <n v="21"/>
    <s v="Yes"/>
    <x v="4"/>
  </r>
  <r>
    <n v="22336"/>
    <n v="63"/>
    <d v="2023-07-19T00:00:00"/>
    <s v="July"/>
    <n v="2023"/>
    <x v="1"/>
    <n v="71"/>
    <s v="Yes"/>
    <x v="3"/>
  </r>
  <r>
    <n v="22337"/>
    <n v="178"/>
    <d v="2023-04-12T00:00:00"/>
    <s v="April"/>
    <n v="2023"/>
    <x v="0"/>
    <n v="58"/>
    <s v="Yes"/>
    <x v="5"/>
  </r>
  <r>
    <n v="22338"/>
    <n v="431"/>
    <d v="2024-01-27T00:00:00"/>
    <s v="January"/>
    <n v="2024"/>
    <x v="1"/>
    <n v="64"/>
    <s v="Yes"/>
    <x v="5"/>
  </r>
  <r>
    <n v="22339"/>
    <n v="8"/>
    <d v="2023-05-01T00:00:00"/>
    <s v="May"/>
    <n v="2023"/>
    <x v="2"/>
    <n v="6"/>
    <s v="No"/>
    <x v="1"/>
  </r>
  <r>
    <n v="22340"/>
    <n v="159"/>
    <d v="2023-07-06T00:00:00"/>
    <s v="July"/>
    <n v="2023"/>
    <x v="1"/>
    <n v="49"/>
    <s v="Yes"/>
    <x v="4"/>
  </r>
  <r>
    <n v="22341"/>
    <n v="11"/>
    <d v="2023-03-20T00:00:00"/>
    <s v="March"/>
    <n v="2023"/>
    <x v="2"/>
    <n v="37"/>
    <s v="Yes"/>
    <x v="1"/>
  </r>
  <r>
    <n v="22342"/>
    <n v="273"/>
    <d v="2024-05-03T00:00:00"/>
    <s v="May"/>
    <n v="2024"/>
    <x v="1"/>
    <n v="10"/>
    <s v="Yes"/>
    <x v="3"/>
  </r>
  <r>
    <n v="22343"/>
    <n v="411"/>
    <d v="2024-05-12T00:00:00"/>
    <s v="May"/>
    <n v="2024"/>
    <x v="2"/>
    <n v="66"/>
    <s v="Yes"/>
    <x v="2"/>
  </r>
  <r>
    <n v="22344"/>
    <n v="380"/>
    <d v="2022-05-18T00:00:00"/>
    <s v="May"/>
    <n v="2022"/>
    <x v="1"/>
    <n v="56"/>
    <s v="Yes"/>
    <x v="4"/>
  </r>
  <r>
    <n v="22345"/>
    <n v="95"/>
    <d v="2024-02-17T00:00:00"/>
    <s v="February"/>
    <n v="2024"/>
    <x v="1"/>
    <n v="71"/>
    <s v="No"/>
    <x v="1"/>
  </r>
  <r>
    <n v="22346"/>
    <n v="155"/>
    <d v="2023-10-12T00:00:00"/>
    <s v="October"/>
    <n v="2023"/>
    <x v="0"/>
    <n v="66"/>
    <s v="Yes"/>
    <x v="1"/>
  </r>
  <r>
    <n v="22347"/>
    <n v="206"/>
    <d v="2022-10-19T00:00:00"/>
    <s v="October"/>
    <n v="2022"/>
    <x v="0"/>
    <n v="45"/>
    <s v="Yes"/>
    <x v="2"/>
  </r>
  <r>
    <n v="22348"/>
    <n v="115"/>
    <d v="2022-07-29T00:00:00"/>
    <s v="July"/>
    <n v="2022"/>
    <x v="2"/>
    <n v="68"/>
    <s v="Yes"/>
    <x v="0"/>
  </r>
  <r>
    <n v="22349"/>
    <n v="379"/>
    <d v="2023-11-15T00:00:00"/>
    <s v="November"/>
    <n v="2023"/>
    <x v="0"/>
    <n v="64"/>
    <s v="Yes"/>
    <x v="3"/>
  </r>
  <r>
    <n v="22350"/>
    <n v="87"/>
    <d v="2023-11-28T00:00:00"/>
    <s v="November"/>
    <n v="2023"/>
    <x v="2"/>
    <n v="16"/>
    <s v="Yes"/>
    <x v="2"/>
  </r>
  <r>
    <n v="22351"/>
    <n v="312"/>
    <d v="2024-03-21T00:00:00"/>
    <s v="March"/>
    <n v="2024"/>
    <x v="0"/>
    <n v="10"/>
    <s v="Yes"/>
    <x v="2"/>
  </r>
  <r>
    <n v="22352"/>
    <n v="197"/>
    <d v="2024-01-22T00:00:00"/>
    <s v="January"/>
    <n v="2024"/>
    <x v="0"/>
    <n v="21"/>
    <s v="Yes"/>
    <x v="5"/>
  </r>
  <r>
    <n v="22353"/>
    <n v="350"/>
    <d v="2022-07-30T00:00:00"/>
    <s v="July"/>
    <n v="2022"/>
    <x v="2"/>
    <n v="12"/>
    <s v="Yes"/>
    <x v="4"/>
  </r>
  <r>
    <n v="22354"/>
    <n v="98"/>
    <d v="2024-05-24T00:00:00"/>
    <s v="May"/>
    <n v="2024"/>
    <x v="1"/>
    <n v="13"/>
    <s v="Yes"/>
    <x v="5"/>
  </r>
  <r>
    <n v="22355"/>
    <n v="431"/>
    <d v="2023-10-25T00:00:00"/>
    <s v="October"/>
    <n v="2023"/>
    <x v="2"/>
    <n v="10"/>
    <s v="No"/>
    <x v="5"/>
  </r>
  <r>
    <n v="22356"/>
    <n v="19"/>
    <d v="2023-01-23T00:00:00"/>
    <s v="January"/>
    <n v="2023"/>
    <x v="2"/>
    <n v="13"/>
    <s v="Yes"/>
    <x v="3"/>
  </r>
  <r>
    <n v="22357"/>
    <n v="313"/>
    <d v="2023-01-31T00:00:00"/>
    <s v="January"/>
    <n v="2023"/>
    <x v="2"/>
    <n v="34"/>
    <s v="Yes"/>
    <x v="5"/>
  </r>
  <r>
    <n v="22358"/>
    <n v="415"/>
    <d v="2022-05-04T00:00:00"/>
    <s v="May"/>
    <n v="2022"/>
    <x v="0"/>
    <n v="59"/>
    <s v="Yes"/>
    <x v="4"/>
  </r>
  <r>
    <n v="22359"/>
    <n v="16"/>
    <d v="2023-07-15T00:00:00"/>
    <s v="July"/>
    <n v="2023"/>
    <x v="0"/>
    <n v="49"/>
    <s v="Yes"/>
    <x v="0"/>
  </r>
  <r>
    <n v="22360"/>
    <n v="45"/>
    <d v="2022-05-04T00:00:00"/>
    <s v="May"/>
    <n v="2022"/>
    <x v="0"/>
    <n v="6"/>
    <s v="Yes"/>
    <x v="0"/>
  </r>
  <r>
    <n v="22361"/>
    <n v="155"/>
    <d v="2022-03-09T00:00:00"/>
    <s v="March"/>
    <n v="2022"/>
    <x v="2"/>
    <n v="12"/>
    <s v="Yes"/>
    <x v="1"/>
  </r>
  <r>
    <n v="22362"/>
    <n v="445"/>
    <d v="2023-04-20T00:00:00"/>
    <s v="April"/>
    <n v="2023"/>
    <x v="1"/>
    <n v="29"/>
    <s v="Yes"/>
    <x v="5"/>
  </r>
  <r>
    <n v="22363"/>
    <n v="410"/>
    <d v="2022-12-24T00:00:00"/>
    <s v="December"/>
    <n v="2022"/>
    <x v="1"/>
    <n v="26"/>
    <s v="Yes"/>
    <x v="0"/>
  </r>
  <r>
    <n v="22364"/>
    <n v="231"/>
    <d v="2024-01-13T00:00:00"/>
    <s v="January"/>
    <n v="2024"/>
    <x v="2"/>
    <n v="68"/>
    <s v="Yes"/>
    <x v="4"/>
  </r>
  <r>
    <n v="22365"/>
    <n v="157"/>
    <d v="2023-04-01T00:00:00"/>
    <s v="April"/>
    <n v="2023"/>
    <x v="2"/>
    <n v="16"/>
    <s v="Yes"/>
    <x v="5"/>
  </r>
  <r>
    <n v="22366"/>
    <n v="113"/>
    <d v="2022-12-12T00:00:00"/>
    <s v="December"/>
    <n v="2022"/>
    <x v="1"/>
    <n v="53"/>
    <s v="Yes"/>
    <x v="3"/>
  </r>
  <r>
    <n v="22367"/>
    <n v="499"/>
    <d v="2023-06-05T00:00:00"/>
    <s v="June"/>
    <n v="2023"/>
    <x v="0"/>
    <n v="19"/>
    <s v="Yes"/>
    <x v="4"/>
  </r>
  <r>
    <n v="22368"/>
    <n v="377"/>
    <d v="2024-02-17T00:00:00"/>
    <s v="February"/>
    <n v="2024"/>
    <x v="2"/>
    <n v="47"/>
    <s v="Yes"/>
    <x v="1"/>
  </r>
  <r>
    <n v="22369"/>
    <n v="359"/>
    <d v="2023-09-29T00:00:00"/>
    <s v="September"/>
    <n v="2023"/>
    <x v="1"/>
    <n v="32"/>
    <s v="Yes"/>
    <x v="1"/>
  </r>
  <r>
    <n v="22370"/>
    <n v="383"/>
    <d v="2024-06-01T00:00:00"/>
    <s v="June"/>
    <n v="2024"/>
    <x v="1"/>
    <n v="70"/>
    <s v="Yes"/>
    <x v="3"/>
  </r>
  <r>
    <n v="22371"/>
    <n v="44"/>
    <d v="2024-04-12T00:00:00"/>
    <s v="April"/>
    <n v="2024"/>
    <x v="1"/>
    <n v="70"/>
    <s v="Yes"/>
    <x v="1"/>
  </r>
  <r>
    <n v="22372"/>
    <n v="365"/>
    <d v="2023-09-16T00:00:00"/>
    <s v="September"/>
    <n v="2023"/>
    <x v="0"/>
    <n v="61"/>
    <s v="Yes"/>
    <x v="2"/>
  </r>
  <r>
    <n v="22373"/>
    <n v="413"/>
    <d v="2023-05-13T00:00:00"/>
    <s v="May"/>
    <n v="2023"/>
    <x v="1"/>
    <n v="5"/>
    <s v="Yes"/>
    <x v="3"/>
  </r>
  <r>
    <n v="22374"/>
    <n v="365"/>
    <d v="2022-11-24T00:00:00"/>
    <s v="November"/>
    <n v="2022"/>
    <x v="1"/>
    <n v="59"/>
    <s v="Yes"/>
    <x v="2"/>
  </r>
  <r>
    <n v="22375"/>
    <n v="110"/>
    <d v="2022-11-26T00:00:00"/>
    <s v="November"/>
    <n v="2022"/>
    <x v="1"/>
    <n v="2"/>
    <s v="Yes"/>
    <x v="2"/>
  </r>
  <r>
    <n v="22376"/>
    <n v="111"/>
    <d v="2023-07-20T00:00:00"/>
    <s v="July"/>
    <n v="2023"/>
    <x v="2"/>
    <n v="2"/>
    <s v="Yes"/>
    <x v="1"/>
  </r>
  <r>
    <n v="22377"/>
    <n v="223"/>
    <d v="2023-03-03T00:00:00"/>
    <s v="March"/>
    <n v="2023"/>
    <x v="2"/>
    <n v="3"/>
    <s v="Yes"/>
    <x v="0"/>
  </r>
  <r>
    <n v="22378"/>
    <n v="386"/>
    <d v="2023-03-19T00:00:00"/>
    <s v="March"/>
    <n v="2023"/>
    <x v="2"/>
    <n v="70"/>
    <s v="Yes"/>
    <x v="5"/>
  </r>
  <r>
    <n v="22379"/>
    <n v="390"/>
    <d v="2023-08-24T00:00:00"/>
    <s v="August"/>
    <n v="2023"/>
    <x v="1"/>
    <n v="43"/>
    <s v="Yes"/>
    <x v="0"/>
  </r>
  <r>
    <n v="22380"/>
    <n v="265"/>
    <d v="2022-04-05T00:00:00"/>
    <s v="April"/>
    <n v="2022"/>
    <x v="1"/>
    <n v="5"/>
    <s v="Yes"/>
    <x v="4"/>
  </r>
  <r>
    <n v="22381"/>
    <n v="271"/>
    <d v="2024-05-20T00:00:00"/>
    <s v="May"/>
    <n v="2024"/>
    <x v="0"/>
    <n v="50"/>
    <s v="Yes"/>
    <x v="3"/>
  </r>
  <r>
    <n v="22382"/>
    <n v="212"/>
    <d v="2024-02-01T00:00:00"/>
    <s v="February"/>
    <n v="2024"/>
    <x v="1"/>
    <n v="10"/>
    <s v="Yes"/>
    <x v="4"/>
  </r>
  <r>
    <n v="22383"/>
    <n v="496"/>
    <d v="2023-03-27T00:00:00"/>
    <s v="March"/>
    <n v="2023"/>
    <x v="0"/>
    <n v="27"/>
    <s v="Yes"/>
    <x v="5"/>
  </r>
  <r>
    <n v="22384"/>
    <n v="314"/>
    <d v="2022-11-13T00:00:00"/>
    <s v="November"/>
    <n v="2022"/>
    <x v="1"/>
    <n v="24"/>
    <s v="Yes"/>
    <x v="5"/>
  </r>
  <r>
    <n v="22385"/>
    <n v="258"/>
    <d v="2023-05-02T00:00:00"/>
    <s v="May"/>
    <n v="2023"/>
    <x v="0"/>
    <n v="22"/>
    <s v="Yes"/>
    <x v="0"/>
  </r>
  <r>
    <n v="22386"/>
    <n v="387"/>
    <d v="2023-11-09T00:00:00"/>
    <s v="November"/>
    <n v="2023"/>
    <x v="2"/>
    <n v="3"/>
    <s v="Yes"/>
    <x v="0"/>
  </r>
  <r>
    <n v="22387"/>
    <n v="247"/>
    <d v="2024-01-09T00:00:00"/>
    <s v="January"/>
    <n v="2024"/>
    <x v="1"/>
    <n v="16"/>
    <s v="Yes"/>
    <x v="5"/>
  </r>
  <r>
    <n v="22388"/>
    <n v="436"/>
    <d v="2023-10-10T00:00:00"/>
    <s v="October"/>
    <n v="2023"/>
    <x v="0"/>
    <n v="30"/>
    <s v="Yes"/>
    <x v="4"/>
  </r>
  <r>
    <n v="22389"/>
    <n v="55"/>
    <d v="2024-06-14T00:00:00"/>
    <s v="June"/>
    <n v="2024"/>
    <x v="2"/>
    <n v="43"/>
    <s v="Yes"/>
    <x v="1"/>
  </r>
  <r>
    <n v="22390"/>
    <n v="309"/>
    <d v="2023-07-31T00:00:00"/>
    <s v="July"/>
    <n v="2023"/>
    <x v="2"/>
    <n v="4"/>
    <s v="Yes"/>
    <x v="1"/>
  </r>
  <r>
    <n v="22391"/>
    <n v="350"/>
    <d v="2022-01-05T00:00:00"/>
    <s v="January"/>
    <n v="2022"/>
    <x v="1"/>
    <n v="40"/>
    <s v="No"/>
    <x v="4"/>
  </r>
  <r>
    <n v="22392"/>
    <n v="72"/>
    <d v="2023-09-24T00:00:00"/>
    <s v="September"/>
    <n v="2023"/>
    <x v="0"/>
    <n v="16"/>
    <s v="Yes"/>
    <x v="3"/>
  </r>
  <r>
    <n v="22393"/>
    <n v="296"/>
    <d v="2023-01-06T00:00:00"/>
    <s v="January"/>
    <n v="2023"/>
    <x v="0"/>
    <n v="16"/>
    <s v="Yes"/>
    <x v="2"/>
  </r>
  <r>
    <n v="22394"/>
    <n v="213"/>
    <d v="2024-01-01T00:00:00"/>
    <s v="January"/>
    <n v="2024"/>
    <x v="0"/>
    <n v="66"/>
    <s v="No"/>
    <x v="2"/>
  </r>
  <r>
    <n v="22395"/>
    <n v="295"/>
    <d v="2024-05-26T00:00:00"/>
    <s v="May"/>
    <n v="2024"/>
    <x v="2"/>
    <n v="55"/>
    <s v="Yes"/>
    <x v="4"/>
  </r>
  <r>
    <n v="22396"/>
    <n v="171"/>
    <d v="2023-07-09T00:00:00"/>
    <s v="July"/>
    <n v="2023"/>
    <x v="0"/>
    <n v="20"/>
    <s v="Yes"/>
    <x v="0"/>
  </r>
  <r>
    <n v="22397"/>
    <n v="246"/>
    <d v="2022-07-07T00:00:00"/>
    <s v="July"/>
    <n v="2022"/>
    <x v="2"/>
    <n v="51"/>
    <s v="Yes"/>
    <x v="0"/>
  </r>
  <r>
    <n v="22398"/>
    <n v="141"/>
    <d v="2022-01-26T00:00:00"/>
    <s v="January"/>
    <n v="2022"/>
    <x v="0"/>
    <n v="57"/>
    <s v="Yes"/>
    <x v="2"/>
  </r>
  <r>
    <n v="22399"/>
    <n v="104"/>
    <d v="2024-02-18T00:00:00"/>
    <s v="February"/>
    <n v="2024"/>
    <x v="2"/>
    <n v="51"/>
    <s v="Yes"/>
    <x v="3"/>
  </r>
  <r>
    <n v="22400"/>
    <n v="105"/>
    <d v="2022-06-11T00:00:00"/>
    <s v="June"/>
    <n v="2022"/>
    <x v="1"/>
    <n v="18"/>
    <s v="Yes"/>
    <x v="3"/>
  </r>
  <r>
    <n v="22401"/>
    <n v="240"/>
    <d v="2024-01-15T00:00:00"/>
    <s v="January"/>
    <n v="2024"/>
    <x v="2"/>
    <n v="59"/>
    <s v="Yes"/>
    <x v="4"/>
  </r>
  <r>
    <n v="22402"/>
    <n v="421"/>
    <d v="2022-05-10T00:00:00"/>
    <s v="May"/>
    <n v="2022"/>
    <x v="0"/>
    <n v="28"/>
    <s v="Yes"/>
    <x v="5"/>
  </r>
  <r>
    <n v="22403"/>
    <n v="311"/>
    <d v="2023-06-17T00:00:00"/>
    <s v="June"/>
    <n v="2023"/>
    <x v="2"/>
    <n v="69"/>
    <s v="No"/>
    <x v="5"/>
  </r>
  <r>
    <n v="22404"/>
    <n v="416"/>
    <d v="2024-06-01T00:00:00"/>
    <s v="June"/>
    <n v="2024"/>
    <x v="0"/>
    <n v="28"/>
    <s v="Yes"/>
    <x v="0"/>
  </r>
  <r>
    <n v="22405"/>
    <n v="398"/>
    <d v="2023-02-14T00:00:00"/>
    <s v="February"/>
    <n v="2023"/>
    <x v="1"/>
    <n v="13"/>
    <s v="Yes"/>
    <x v="0"/>
  </r>
  <r>
    <n v="22406"/>
    <n v="321"/>
    <d v="2023-10-02T00:00:00"/>
    <s v="October"/>
    <n v="2023"/>
    <x v="2"/>
    <n v="6"/>
    <s v="Yes"/>
    <x v="2"/>
  </r>
  <r>
    <n v="22407"/>
    <n v="411"/>
    <d v="2023-08-11T00:00:00"/>
    <s v="August"/>
    <n v="2023"/>
    <x v="1"/>
    <n v="29"/>
    <s v="Yes"/>
    <x v="2"/>
  </r>
  <r>
    <n v="22408"/>
    <n v="280"/>
    <d v="2022-03-14T00:00:00"/>
    <s v="March"/>
    <n v="2022"/>
    <x v="2"/>
    <n v="9"/>
    <s v="No"/>
    <x v="5"/>
  </r>
  <r>
    <n v="22409"/>
    <n v="371"/>
    <d v="2022-08-21T00:00:00"/>
    <s v="August"/>
    <n v="2022"/>
    <x v="2"/>
    <n v="29"/>
    <s v="Yes"/>
    <x v="4"/>
  </r>
  <r>
    <n v="22410"/>
    <n v="369"/>
    <d v="2024-05-04T00:00:00"/>
    <s v="May"/>
    <n v="2024"/>
    <x v="1"/>
    <n v="38"/>
    <s v="Yes"/>
    <x v="2"/>
  </r>
  <r>
    <n v="22411"/>
    <n v="22"/>
    <d v="2022-04-16T00:00:00"/>
    <s v="April"/>
    <n v="2022"/>
    <x v="1"/>
    <n v="65"/>
    <s v="Yes"/>
    <x v="2"/>
  </r>
  <r>
    <n v="22412"/>
    <n v="78"/>
    <d v="2022-01-09T00:00:00"/>
    <s v="January"/>
    <n v="2022"/>
    <x v="2"/>
    <n v="56"/>
    <s v="Yes"/>
    <x v="3"/>
  </r>
  <r>
    <n v="22413"/>
    <n v="301"/>
    <d v="2023-09-23T00:00:00"/>
    <s v="September"/>
    <n v="2023"/>
    <x v="2"/>
    <n v="30"/>
    <s v="Yes"/>
    <x v="4"/>
  </r>
  <r>
    <n v="22414"/>
    <n v="392"/>
    <d v="2022-02-19T00:00:00"/>
    <s v="February"/>
    <n v="2022"/>
    <x v="2"/>
    <n v="59"/>
    <s v="Yes"/>
    <x v="2"/>
  </r>
  <r>
    <n v="22415"/>
    <n v="475"/>
    <d v="2023-06-06T00:00:00"/>
    <s v="June"/>
    <n v="2023"/>
    <x v="1"/>
    <n v="58"/>
    <s v="Yes"/>
    <x v="4"/>
  </r>
  <r>
    <n v="22416"/>
    <n v="195"/>
    <d v="2023-09-17T00:00:00"/>
    <s v="September"/>
    <n v="2023"/>
    <x v="0"/>
    <n v="10"/>
    <s v="Yes"/>
    <x v="2"/>
  </r>
  <r>
    <n v="22417"/>
    <n v="320"/>
    <d v="2023-03-18T00:00:00"/>
    <s v="March"/>
    <n v="2023"/>
    <x v="1"/>
    <n v="21"/>
    <s v="Yes"/>
    <x v="2"/>
  </r>
  <r>
    <n v="22418"/>
    <n v="353"/>
    <d v="2024-02-17T00:00:00"/>
    <s v="February"/>
    <n v="2024"/>
    <x v="2"/>
    <n v="56"/>
    <s v="Yes"/>
    <x v="4"/>
  </r>
  <r>
    <n v="22419"/>
    <n v="371"/>
    <d v="2023-08-13T00:00:00"/>
    <s v="August"/>
    <n v="2023"/>
    <x v="2"/>
    <n v="26"/>
    <s v="Yes"/>
    <x v="4"/>
  </r>
  <r>
    <n v="22420"/>
    <n v="431"/>
    <d v="2022-02-05T00:00:00"/>
    <s v="February"/>
    <n v="2022"/>
    <x v="1"/>
    <n v="15"/>
    <s v="Yes"/>
    <x v="5"/>
  </r>
  <r>
    <n v="22421"/>
    <n v="21"/>
    <d v="2022-07-21T00:00:00"/>
    <s v="July"/>
    <n v="2022"/>
    <x v="2"/>
    <n v="35"/>
    <s v="Yes"/>
    <x v="2"/>
  </r>
  <r>
    <n v="22422"/>
    <n v="160"/>
    <d v="2024-04-03T00:00:00"/>
    <s v="April"/>
    <n v="2024"/>
    <x v="2"/>
    <n v="15"/>
    <s v="Yes"/>
    <x v="2"/>
  </r>
  <r>
    <n v="22423"/>
    <n v="232"/>
    <d v="2022-04-28T00:00:00"/>
    <s v="April"/>
    <n v="2022"/>
    <x v="2"/>
    <n v="6"/>
    <s v="No"/>
    <x v="1"/>
  </r>
  <r>
    <n v="22424"/>
    <n v="361"/>
    <d v="2023-12-03T00:00:00"/>
    <s v="December"/>
    <n v="2023"/>
    <x v="2"/>
    <n v="28"/>
    <s v="No"/>
    <x v="5"/>
  </r>
  <r>
    <n v="22425"/>
    <n v="301"/>
    <d v="2024-01-24T00:00:00"/>
    <s v="January"/>
    <n v="2024"/>
    <x v="2"/>
    <n v="63"/>
    <s v="Yes"/>
    <x v="4"/>
  </r>
  <r>
    <n v="22426"/>
    <n v="44"/>
    <d v="2024-03-15T00:00:00"/>
    <s v="March"/>
    <n v="2024"/>
    <x v="0"/>
    <n v="29"/>
    <s v="Yes"/>
    <x v="1"/>
  </r>
  <r>
    <n v="22427"/>
    <n v="297"/>
    <d v="2022-06-18T00:00:00"/>
    <s v="June"/>
    <n v="2022"/>
    <x v="1"/>
    <n v="48"/>
    <s v="No"/>
    <x v="5"/>
  </r>
  <r>
    <n v="22428"/>
    <n v="352"/>
    <d v="2023-05-27T00:00:00"/>
    <s v="May"/>
    <n v="2023"/>
    <x v="1"/>
    <n v="63"/>
    <s v="Yes"/>
    <x v="0"/>
  </r>
  <r>
    <n v="22429"/>
    <n v="180"/>
    <d v="2022-08-18T00:00:00"/>
    <s v="August"/>
    <n v="2022"/>
    <x v="1"/>
    <n v="58"/>
    <s v="Yes"/>
    <x v="3"/>
  </r>
  <r>
    <n v="22430"/>
    <n v="472"/>
    <d v="2023-07-14T00:00:00"/>
    <s v="July"/>
    <n v="2023"/>
    <x v="0"/>
    <n v="21"/>
    <s v="Yes"/>
    <x v="0"/>
  </r>
  <r>
    <n v="22431"/>
    <n v="395"/>
    <d v="2022-05-30T00:00:00"/>
    <s v="May"/>
    <n v="2022"/>
    <x v="0"/>
    <n v="22"/>
    <s v="Yes"/>
    <x v="4"/>
  </r>
  <r>
    <n v="22432"/>
    <n v="101"/>
    <d v="2024-05-04T00:00:00"/>
    <s v="May"/>
    <n v="2024"/>
    <x v="1"/>
    <n v="27"/>
    <s v="Yes"/>
    <x v="1"/>
  </r>
  <r>
    <n v="22433"/>
    <n v="115"/>
    <d v="2022-07-27T00:00:00"/>
    <s v="July"/>
    <n v="2022"/>
    <x v="1"/>
    <n v="57"/>
    <s v="Yes"/>
    <x v="0"/>
  </r>
  <r>
    <n v="22434"/>
    <n v="213"/>
    <d v="2022-03-02T00:00:00"/>
    <s v="March"/>
    <n v="2022"/>
    <x v="1"/>
    <n v="10"/>
    <s v="Yes"/>
    <x v="2"/>
  </r>
  <r>
    <n v="22435"/>
    <n v="18"/>
    <d v="2024-04-22T00:00:00"/>
    <s v="April"/>
    <n v="2024"/>
    <x v="2"/>
    <n v="22"/>
    <s v="Yes"/>
    <x v="4"/>
  </r>
  <r>
    <n v="22436"/>
    <n v="395"/>
    <d v="2022-04-27T00:00:00"/>
    <s v="April"/>
    <n v="2022"/>
    <x v="0"/>
    <n v="44"/>
    <s v="Yes"/>
    <x v="4"/>
  </r>
  <r>
    <n v="22437"/>
    <n v="27"/>
    <d v="2022-08-27T00:00:00"/>
    <s v="August"/>
    <n v="2022"/>
    <x v="0"/>
    <n v="28"/>
    <s v="No"/>
    <x v="4"/>
  </r>
  <r>
    <n v="22438"/>
    <n v="427"/>
    <d v="2024-06-01T00:00:00"/>
    <s v="June"/>
    <n v="2024"/>
    <x v="2"/>
    <n v="50"/>
    <s v="Yes"/>
    <x v="4"/>
  </r>
  <r>
    <n v="22439"/>
    <n v="358"/>
    <d v="2024-05-16T00:00:00"/>
    <s v="May"/>
    <n v="2024"/>
    <x v="0"/>
    <n v="51"/>
    <s v="Yes"/>
    <x v="1"/>
  </r>
  <r>
    <n v="22440"/>
    <n v="449"/>
    <d v="2022-02-17T00:00:00"/>
    <s v="February"/>
    <n v="2022"/>
    <x v="1"/>
    <n v="1"/>
    <s v="Yes"/>
    <x v="4"/>
  </r>
  <r>
    <n v="22441"/>
    <n v="438"/>
    <d v="2023-03-24T00:00:00"/>
    <s v="March"/>
    <n v="2023"/>
    <x v="0"/>
    <n v="34"/>
    <s v="Yes"/>
    <x v="2"/>
  </r>
  <r>
    <n v="22442"/>
    <n v="285"/>
    <d v="2024-01-27T00:00:00"/>
    <s v="January"/>
    <n v="2024"/>
    <x v="2"/>
    <n v="35"/>
    <s v="Yes"/>
    <x v="2"/>
  </r>
  <r>
    <n v="22443"/>
    <n v="149"/>
    <d v="2023-04-13T00:00:00"/>
    <s v="April"/>
    <n v="2023"/>
    <x v="1"/>
    <n v="61"/>
    <s v="Yes"/>
    <x v="5"/>
  </r>
  <r>
    <n v="22444"/>
    <n v="285"/>
    <d v="2022-10-20T00:00:00"/>
    <s v="October"/>
    <n v="2022"/>
    <x v="0"/>
    <n v="30"/>
    <s v="No"/>
    <x v="2"/>
  </r>
  <r>
    <n v="22445"/>
    <n v="137"/>
    <d v="2023-03-01T00:00:00"/>
    <s v="March"/>
    <n v="2023"/>
    <x v="1"/>
    <n v="68"/>
    <s v="Yes"/>
    <x v="4"/>
  </r>
  <r>
    <n v="22446"/>
    <n v="189"/>
    <d v="2023-06-01T00:00:00"/>
    <s v="June"/>
    <n v="2023"/>
    <x v="0"/>
    <n v="40"/>
    <s v="Yes"/>
    <x v="4"/>
  </r>
  <r>
    <n v="22447"/>
    <n v="190"/>
    <d v="2023-09-04T00:00:00"/>
    <s v="September"/>
    <n v="2023"/>
    <x v="1"/>
    <n v="65"/>
    <s v="Yes"/>
    <x v="2"/>
  </r>
  <r>
    <n v="22448"/>
    <n v="199"/>
    <d v="2022-07-24T00:00:00"/>
    <s v="July"/>
    <n v="2022"/>
    <x v="2"/>
    <n v="37"/>
    <s v="Yes"/>
    <x v="3"/>
  </r>
  <r>
    <n v="22449"/>
    <n v="102"/>
    <d v="2022-06-29T00:00:00"/>
    <s v="June"/>
    <n v="2022"/>
    <x v="2"/>
    <n v="64"/>
    <s v="Yes"/>
    <x v="4"/>
  </r>
  <r>
    <n v="22450"/>
    <n v="479"/>
    <d v="2023-06-13T00:00:00"/>
    <s v="June"/>
    <n v="2023"/>
    <x v="0"/>
    <n v="1"/>
    <s v="Yes"/>
    <x v="1"/>
  </r>
  <r>
    <n v="22451"/>
    <n v="91"/>
    <d v="2022-03-31T00:00:00"/>
    <s v="March"/>
    <n v="2022"/>
    <x v="0"/>
    <n v="15"/>
    <s v="Yes"/>
    <x v="5"/>
  </r>
  <r>
    <n v="22452"/>
    <n v="490"/>
    <d v="2023-05-15T00:00:00"/>
    <s v="May"/>
    <n v="2023"/>
    <x v="1"/>
    <n v="13"/>
    <s v="Yes"/>
    <x v="5"/>
  </r>
  <r>
    <n v="22453"/>
    <n v="224"/>
    <d v="2022-04-18T00:00:00"/>
    <s v="April"/>
    <n v="2022"/>
    <x v="2"/>
    <n v="29"/>
    <s v="No"/>
    <x v="4"/>
  </r>
  <r>
    <n v="22454"/>
    <n v="5"/>
    <d v="2022-07-09T00:00:00"/>
    <s v="July"/>
    <n v="2022"/>
    <x v="1"/>
    <n v="55"/>
    <s v="Yes"/>
    <x v="4"/>
  </r>
  <r>
    <n v="22455"/>
    <n v="353"/>
    <d v="2022-06-29T00:00:00"/>
    <s v="June"/>
    <n v="2022"/>
    <x v="2"/>
    <n v="45"/>
    <s v="Yes"/>
    <x v="4"/>
  </r>
  <r>
    <n v="22456"/>
    <n v="15"/>
    <d v="2024-01-31T00:00:00"/>
    <s v="January"/>
    <n v="2024"/>
    <x v="1"/>
    <n v="4"/>
    <s v="Yes"/>
    <x v="4"/>
  </r>
  <r>
    <n v="22457"/>
    <n v="441"/>
    <d v="2024-02-02T00:00:00"/>
    <s v="February"/>
    <n v="2024"/>
    <x v="1"/>
    <n v="64"/>
    <s v="Yes"/>
    <x v="3"/>
  </r>
  <r>
    <n v="22458"/>
    <n v="5"/>
    <d v="2022-01-20T00:00:00"/>
    <s v="January"/>
    <n v="2022"/>
    <x v="1"/>
    <n v="15"/>
    <s v="Yes"/>
    <x v="4"/>
  </r>
  <r>
    <n v="22459"/>
    <n v="404"/>
    <d v="2022-12-25T00:00:00"/>
    <s v="December"/>
    <n v="2022"/>
    <x v="0"/>
    <n v="48"/>
    <s v="Yes"/>
    <x v="2"/>
  </r>
  <r>
    <n v="22460"/>
    <n v="230"/>
    <d v="2023-09-01T00:00:00"/>
    <s v="September"/>
    <n v="2023"/>
    <x v="2"/>
    <n v="56"/>
    <s v="Yes"/>
    <x v="5"/>
  </r>
  <r>
    <n v="22461"/>
    <n v="357"/>
    <d v="2024-01-04T00:00:00"/>
    <s v="January"/>
    <n v="2024"/>
    <x v="0"/>
    <n v="70"/>
    <s v="Yes"/>
    <x v="0"/>
  </r>
  <r>
    <n v="22462"/>
    <n v="337"/>
    <d v="2023-10-18T00:00:00"/>
    <s v="October"/>
    <n v="2023"/>
    <x v="0"/>
    <n v="15"/>
    <s v="Yes"/>
    <x v="1"/>
  </r>
  <r>
    <n v="22463"/>
    <n v="114"/>
    <d v="2022-01-07T00:00:00"/>
    <s v="January"/>
    <n v="2022"/>
    <x v="1"/>
    <n v="39"/>
    <s v="Yes"/>
    <x v="1"/>
  </r>
  <r>
    <n v="22464"/>
    <n v="4"/>
    <d v="2024-05-11T00:00:00"/>
    <s v="May"/>
    <n v="2024"/>
    <x v="2"/>
    <n v="69"/>
    <s v="Yes"/>
    <x v="5"/>
  </r>
  <r>
    <n v="22465"/>
    <n v="184"/>
    <d v="2022-11-18T00:00:00"/>
    <s v="November"/>
    <n v="2022"/>
    <x v="0"/>
    <n v="60"/>
    <s v="Yes"/>
    <x v="4"/>
  </r>
  <r>
    <n v="22466"/>
    <n v="213"/>
    <d v="2022-09-25T00:00:00"/>
    <s v="September"/>
    <n v="2022"/>
    <x v="1"/>
    <n v="44"/>
    <s v="Yes"/>
    <x v="2"/>
  </r>
  <r>
    <n v="22467"/>
    <n v="247"/>
    <d v="2023-03-03T00:00:00"/>
    <s v="March"/>
    <n v="2023"/>
    <x v="2"/>
    <n v="43"/>
    <s v="Yes"/>
    <x v="5"/>
  </r>
  <r>
    <n v="22468"/>
    <n v="34"/>
    <d v="2022-10-23T00:00:00"/>
    <s v="October"/>
    <n v="2022"/>
    <x v="2"/>
    <n v="4"/>
    <s v="Yes"/>
    <x v="2"/>
  </r>
  <r>
    <n v="22469"/>
    <n v="296"/>
    <d v="2023-05-28T00:00:00"/>
    <s v="May"/>
    <n v="2023"/>
    <x v="0"/>
    <n v="50"/>
    <s v="Yes"/>
    <x v="2"/>
  </r>
  <r>
    <n v="22470"/>
    <n v="453"/>
    <d v="2023-07-24T00:00:00"/>
    <s v="July"/>
    <n v="2023"/>
    <x v="1"/>
    <n v="39"/>
    <s v="Yes"/>
    <x v="0"/>
  </r>
  <r>
    <n v="22471"/>
    <n v="196"/>
    <d v="2023-01-22T00:00:00"/>
    <s v="January"/>
    <n v="2023"/>
    <x v="0"/>
    <n v="54"/>
    <s v="Yes"/>
    <x v="3"/>
  </r>
  <r>
    <n v="22472"/>
    <n v="406"/>
    <d v="2022-09-21T00:00:00"/>
    <s v="September"/>
    <n v="2022"/>
    <x v="2"/>
    <n v="23"/>
    <s v="Yes"/>
    <x v="2"/>
  </r>
  <r>
    <n v="22473"/>
    <n v="127"/>
    <d v="2022-03-31T00:00:00"/>
    <s v="March"/>
    <n v="2022"/>
    <x v="0"/>
    <n v="60"/>
    <s v="Yes"/>
    <x v="4"/>
  </r>
  <r>
    <n v="22474"/>
    <n v="142"/>
    <d v="2023-05-03T00:00:00"/>
    <s v="May"/>
    <n v="2023"/>
    <x v="1"/>
    <n v="35"/>
    <s v="Yes"/>
    <x v="3"/>
  </r>
  <r>
    <n v="22475"/>
    <n v="452"/>
    <d v="2023-08-10T00:00:00"/>
    <s v="August"/>
    <n v="2023"/>
    <x v="2"/>
    <n v="54"/>
    <s v="Yes"/>
    <x v="4"/>
  </r>
  <r>
    <n v="22476"/>
    <n v="136"/>
    <d v="2024-05-02T00:00:00"/>
    <s v="May"/>
    <n v="2024"/>
    <x v="1"/>
    <n v="58"/>
    <s v="Yes"/>
    <x v="5"/>
  </r>
  <r>
    <n v="22477"/>
    <n v="128"/>
    <d v="2022-09-18T00:00:00"/>
    <s v="September"/>
    <n v="2022"/>
    <x v="1"/>
    <n v="62"/>
    <s v="Yes"/>
    <x v="0"/>
  </r>
  <r>
    <n v="22478"/>
    <n v="323"/>
    <d v="2023-05-03T00:00:00"/>
    <s v="May"/>
    <n v="2023"/>
    <x v="2"/>
    <n v="48"/>
    <s v="Yes"/>
    <x v="1"/>
  </r>
  <r>
    <n v="22479"/>
    <n v="174"/>
    <d v="2024-03-04T00:00:00"/>
    <s v="March"/>
    <n v="2024"/>
    <x v="1"/>
    <n v="7"/>
    <s v="No"/>
    <x v="1"/>
  </r>
  <r>
    <n v="22480"/>
    <n v="413"/>
    <d v="2022-12-07T00:00:00"/>
    <s v="December"/>
    <n v="2022"/>
    <x v="1"/>
    <n v="45"/>
    <s v="No"/>
    <x v="3"/>
  </r>
  <r>
    <n v="22481"/>
    <n v="218"/>
    <d v="2022-11-25T00:00:00"/>
    <s v="November"/>
    <n v="2022"/>
    <x v="1"/>
    <n v="13"/>
    <s v="Yes"/>
    <x v="4"/>
  </r>
  <r>
    <n v="22482"/>
    <n v="114"/>
    <d v="2023-02-05T00:00:00"/>
    <s v="February"/>
    <n v="2023"/>
    <x v="2"/>
    <n v="53"/>
    <s v="Yes"/>
    <x v="1"/>
  </r>
  <r>
    <n v="22483"/>
    <n v="375"/>
    <d v="2022-12-23T00:00:00"/>
    <s v="December"/>
    <n v="2022"/>
    <x v="1"/>
    <n v="39"/>
    <s v="Yes"/>
    <x v="1"/>
  </r>
  <r>
    <n v="22484"/>
    <n v="350"/>
    <d v="2024-01-25T00:00:00"/>
    <s v="January"/>
    <n v="2024"/>
    <x v="0"/>
    <n v="18"/>
    <s v="Yes"/>
    <x v="4"/>
  </r>
  <r>
    <n v="22485"/>
    <n v="12"/>
    <d v="2023-05-14T00:00:00"/>
    <s v="May"/>
    <n v="2023"/>
    <x v="0"/>
    <n v="22"/>
    <s v="Yes"/>
    <x v="3"/>
  </r>
  <r>
    <n v="22486"/>
    <n v="463"/>
    <d v="2024-04-13T00:00:00"/>
    <s v="April"/>
    <n v="2024"/>
    <x v="1"/>
    <n v="36"/>
    <s v="No"/>
    <x v="4"/>
  </r>
  <r>
    <n v="22487"/>
    <n v="244"/>
    <d v="2023-03-11T00:00:00"/>
    <s v="March"/>
    <n v="2023"/>
    <x v="0"/>
    <n v="53"/>
    <s v="Yes"/>
    <x v="0"/>
  </r>
  <r>
    <n v="22488"/>
    <n v="52"/>
    <d v="2022-04-29T00:00:00"/>
    <s v="April"/>
    <n v="2022"/>
    <x v="0"/>
    <n v="3"/>
    <s v="Yes"/>
    <x v="5"/>
  </r>
  <r>
    <n v="22489"/>
    <n v="186"/>
    <d v="2022-02-16T00:00:00"/>
    <s v="February"/>
    <n v="2022"/>
    <x v="2"/>
    <n v="62"/>
    <s v="Yes"/>
    <x v="2"/>
  </r>
  <r>
    <n v="22490"/>
    <n v="233"/>
    <d v="2022-06-17T00:00:00"/>
    <s v="June"/>
    <n v="2022"/>
    <x v="1"/>
    <n v="29"/>
    <s v="Yes"/>
    <x v="1"/>
  </r>
  <r>
    <n v="22491"/>
    <n v="2"/>
    <d v="2022-12-14T00:00:00"/>
    <s v="December"/>
    <n v="2022"/>
    <x v="2"/>
    <n v="8"/>
    <s v="No"/>
    <x v="5"/>
  </r>
  <r>
    <n v="22492"/>
    <n v="1"/>
    <d v="2023-05-19T00:00:00"/>
    <s v="May"/>
    <n v="2023"/>
    <x v="1"/>
    <n v="46"/>
    <s v="Yes"/>
    <x v="3"/>
  </r>
  <r>
    <n v="22493"/>
    <n v="239"/>
    <d v="2023-06-23T00:00:00"/>
    <s v="June"/>
    <n v="2023"/>
    <x v="0"/>
    <n v="56"/>
    <s v="Yes"/>
    <x v="2"/>
  </r>
  <r>
    <n v="22494"/>
    <n v="55"/>
    <d v="2022-10-23T00:00:00"/>
    <s v="October"/>
    <n v="2022"/>
    <x v="2"/>
    <n v="49"/>
    <s v="Yes"/>
    <x v="1"/>
  </r>
  <r>
    <n v="22495"/>
    <n v="495"/>
    <d v="2023-05-28T00:00:00"/>
    <s v="May"/>
    <n v="2023"/>
    <x v="2"/>
    <n v="43"/>
    <s v="Yes"/>
    <x v="1"/>
  </r>
  <r>
    <n v="22496"/>
    <n v="220"/>
    <d v="2022-06-23T00:00:00"/>
    <s v="June"/>
    <n v="2022"/>
    <x v="0"/>
    <n v="10"/>
    <s v="Yes"/>
    <x v="0"/>
  </r>
  <r>
    <n v="22497"/>
    <n v="104"/>
    <d v="2023-01-30T00:00:00"/>
    <s v="January"/>
    <n v="2023"/>
    <x v="0"/>
    <n v="13"/>
    <s v="Yes"/>
    <x v="3"/>
  </r>
  <r>
    <n v="22498"/>
    <n v="355"/>
    <d v="2023-11-10T00:00:00"/>
    <s v="November"/>
    <n v="2023"/>
    <x v="1"/>
    <n v="57"/>
    <s v="Yes"/>
    <x v="0"/>
  </r>
  <r>
    <n v="22499"/>
    <n v="418"/>
    <d v="2023-06-14T00:00:00"/>
    <s v="June"/>
    <n v="2023"/>
    <x v="1"/>
    <n v="2"/>
    <s v="No"/>
    <x v="1"/>
  </r>
  <r>
    <n v="22500"/>
    <n v="448"/>
    <d v="2023-08-26T00:00:00"/>
    <s v="August"/>
    <n v="2023"/>
    <x v="0"/>
    <n v="65"/>
    <s v="Yes"/>
    <x v="1"/>
  </r>
  <r>
    <n v="22501"/>
    <n v="324"/>
    <d v="2022-10-30T00:00:00"/>
    <s v="October"/>
    <n v="2022"/>
    <x v="0"/>
    <n v="42"/>
    <s v="Yes"/>
    <x v="4"/>
  </r>
  <r>
    <n v="22502"/>
    <n v="338"/>
    <d v="2022-07-21T00:00:00"/>
    <s v="July"/>
    <n v="2022"/>
    <x v="2"/>
    <n v="58"/>
    <s v="Yes"/>
    <x v="4"/>
  </r>
  <r>
    <n v="22503"/>
    <n v="396"/>
    <d v="2023-06-17T00:00:00"/>
    <s v="June"/>
    <n v="2023"/>
    <x v="2"/>
    <n v="10"/>
    <s v="Yes"/>
    <x v="3"/>
  </r>
  <r>
    <n v="22504"/>
    <n v="306"/>
    <d v="2022-06-05T00:00:00"/>
    <s v="June"/>
    <n v="2022"/>
    <x v="1"/>
    <n v="63"/>
    <s v="Yes"/>
    <x v="0"/>
  </r>
  <r>
    <n v="22505"/>
    <n v="277"/>
    <d v="2024-06-15T00:00:00"/>
    <s v="June"/>
    <n v="2024"/>
    <x v="2"/>
    <n v="71"/>
    <s v="Yes"/>
    <x v="5"/>
  </r>
  <r>
    <n v="22506"/>
    <n v="10"/>
    <d v="2022-01-14T00:00:00"/>
    <s v="January"/>
    <n v="2022"/>
    <x v="0"/>
    <n v="61"/>
    <s v="Yes"/>
    <x v="0"/>
  </r>
  <r>
    <n v="22507"/>
    <n v="341"/>
    <d v="2022-01-20T00:00:00"/>
    <s v="January"/>
    <n v="2022"/>
    <x v="0"/>
    <n v="1"/>
    <s v="Yes"/>
    <x v="0"/>
  </r>
  <r>
    <n v="22508"/>
    <n v="104"/>
    <d v="2024-01-26T00:00:00"/>
    <s v="January"/>
    <n v="2024"/>
    <x v="0"/>
    <n v="26"/>
    <s v="Yes"/>
    <x v="3"/>
  </r>
  <r>
    <n v="22509"/>
    <n v="345"/>
    <d v="2024-06-07T00:00:00"/>
    <s v="June"/>
    <n v="2024"/>
    <x v="0"/>
    <n v="5"/>
    <s v="Yes"/>
    <x v="3"/>
  </r>
  <r>
    <n v="22510"/>
    <n v="370"/>
    <d v="2023-04-02T00:00:00"/>
    <s v="April"/>
    <n v="2023"/>
    <x v="1"/>
    <n v="35"/>
    <s v="Yes"/>
    <x v="3"/>
  </r>
  <r>
    <n v="22511"/>
    <n v="465"/>
    <d v="2022-06-22T00:00:00"/>
    <s v="June"/>
    <n v="2022"/>
    <x v="0"/>
    <n v="13"/>
    <s v="Yes"/>
    <x v="0"/>
  </r>
  <r>
    <n v="22512"/>
    <n v="371"/>
    <d v="2023-03-21T00:00:00"/>
    <s v="March"/>
    <n v="2023"/>
    <x v="0"/>
    <n v="27"/>
    <s v="Yes"/>
    <x v="4"/>
  </r>
  <r>
    <n v="22513"/>
    <n v="198"/>
    <d v="2022-05-02T00:00:00"/>
    <s v="May"/>
    <n v="2022"/>
    <x v="0"/>
    <n v="12"/>
    <s v="Yes"/>
    <x v="3"/>
  </r>
  <r>
    <n v="22514"/>
    <n v="14"/>
    <d v="2023-05-12T00:00:00"/>
    <s v="May"/>
    <n v="2023"/>
    <x v="0"/>
    <n v="50"/>
    <s v="No"/>
    <x v="1"/>
  </r>
  <r>
    <n v="22515"/>
    <n v="485"/>
    <d v="2022-07-03T00:00:00"/>
    <s v="July"/>
    <n v="2022"/>
    <x v="1"/>
    <n v="59"/>
    <s v="Yes"/>
    <x v="4"/>
  </r>
  <r>
    <n v="22516"/>
    <n v="168"/>
    <d v="2024-03-30T00:00:00"/>
    <s v="March"/>
    <n v="2024"/>
    <x v="1"/>
    <n v="31"/>
    <s v="Yes"/>
    <x v="4"/>
  </r>
  <r>
    <n v="22517"/>
    <n v="360"/>
    <d v="2023-08-03T00:00:00"/>
    <s v="August"/>
    <n v="2023"/>
    <x v="2"/>
    <n v="69"/>
    <s v="Yes"/>
    <x v="2"/>
  </r>
  <r>
    <n v="22518"/>
    <n v="338"/>
    <d v="2024-03-15T00:00:00"/>
    <s v="March"/>
    <n v="2024"/>
    <x v="1"/>
    <n v="37"/>
    <s v="Yes"/>
    <x v="4"/>
  </r>
  <r>
    <n v="22519"/>
    <n v="30"/>
    <d v="2024-04-29T00:00:00"/>
    <s v="April"/>
    <n v="2024"/>
    <x v="1"/>
    <n v="2"/>
    <s v="No"/>
    <x v="2"/>
  </r>
  <r>
    <n v="22520"/>
    <n v="457"/>
    <d v="2023-11-02T00:00:00"/>
    <s v="November"/>
    <n v="2023"/>
    <x v="1"/>
    <n v="71"/>
    <s v="No"/>
    <x v="4"/>
  </r>
  <r>
    <n v="22521"/>
    <n v="14"/>
    <d v="2022-02-18T00:00:00"/>
    <s v="February"/>
    <n v="2022"/>
    <x v="2"/>
    <n v="65"/>
    <s v="Yes"/>
    <x v="1"/>
  </r>
  <r>
    <n v="22522"/>
    <n v="238"/>
    <d v="2022-06-30T00:00:00"/>
    <s v="June"/>
    <n v="2022"/>
    <x v="0"/>
    <n v="3"/>
    <s v="Yes"/>
    <x v="1"/>
  </r>
  <r>
    <n v="22523"/>
    <n v="436"/>
    <d v="2024-03-17T00:00:00"/>
    <s v="March"/>
    <n v="2024"/>
    <x v="2"/>
    <n v="20"/>
    <s v="No"/>
    <x v="4"/>
  </r>
  <r>
    <n v="22524"/>
    <n v="366"/>
    <d v="2023-01-29T00:00:00"/>
    <s v="January"/>
    <n v="2023"/>
    <x v="0"/>
    <n v="2"/>
    <s v="Yes"/>
    <x v="1"/>
  </r>
  <r>
    <n v="22525"/>
    <n v="401"/>
    <d v="2023-01-28T00:00:00"/>
    <s v="January"/>
    <n v="2023"/>
    <x v="1"/>
    <n v="42"/>
    <s v="Yes"/>
    <x v="5"/>
  </r>
  <r>
    <n v="22526"/>
    <n v="62"/>
    <d v="2022-12-14T00:00:00"/>
    <s v="December"/>
    <n v="2022"/>
    <x v="0"/>
    <n v="43"/>
    <s v="Yes"/>
    <x v="4"/>
  </r>
  <r>
    <n v="22527"/>
    <n v="482"/>
    <d v="2023-04-21T00:00:00"/>
    <s v="April"/>
    <n v="2023"/>
    <x v="2"/>
    <n v="21"/>
    <s v="Yes"/>
    <x v="1"/>
  </r>
  <r>
    <n v="22528"/>
    <n v="110"/>
    <d v="2022-05-21T00:00:00"/>
    <s v="May"/>
    <n v="2022"/>
    <x v="0"/>
    <n v="45"/>
    <s v="Yes"/>
    <x v="2"/>
  </r>
  <r>
    <n v="22529"/>
    <n v="406"/>
    <d v="2023-06-14T00:00:00"/>
    <s v="June"/>
    <n v="2023"/>
    <x v="0"/>
    <n v="20"/>
    <s v="No"/>
    <x v="2"/>
  </r>
  <r>
    <n v="22530"/>
    <n v="309"/>
    <d v="2023-10-14T00:00:00"/>
    <s v="October"/>
    <n v="2023"/>
    <x v="1"/>
    <n v="43"/>
    <s v="Yes"/>
    <x v="1"/>
  </r>
  <r>
    <n v="22531"/>
    <n v="160"/>
    <d v="2023-08-07T00:00:00"/>
    <s v="August"/>
    <n v="2023"/>
    <x v="0"/>
    <n v="50"/>
    <s v="Yes"/>
    <x v="2"/>
  </r>
  <r>
    <n v="22532"/>
    <n v="332"/>
    <d v="2023-04-16T00:00:00"/>
    <s v="April"/>
    <n v="2023"/>
    <x v="0"/>
    <n v="43"/>
    <s v="Yes"/>
    <x v="1"/>
  </r>
  <r>
    <n v="22533"/>
    <n v="55"/>
    <d v="2024-01-24T00:00:00"/>
    <s v="January"/>
    <n v="2024"/>
    <x v="1"/>
    <n v="24"/>
    <s v="Yes"/>
    <x v="1"/>
  </r>
  <r>
    <n v="22534"/>
    <n v="249"/>
    <d v="2024-02-12T00:00:00"/>
    <s v="February"/>
    <n v="2024"/>
    <x v="2"/>
    <n v="60"/>
    <s v="Yes"/>
    <x v="0"/>
  </r>
  <r>
    <n v="22535"/>
    <n v="464"/>
    <d v="2022-09-20T00:00:00"/>
    <s v="September"/>
    <n v="2022"/>
    <x v="1"/>
    <n v="32"/>
    <s v="Yes"/>
    <x v="4"/>
  </r>
  <r>
    <n v="22536"/>
    <n v="256"/>
    <d v="2022-05-23T00:00:00"/>
    <s v="May"/>
    <n v="2022"/>
    <x v="0"/>
    <n v="5"/>
    <s v="Yes"/>
    <x v="3"/>
  </r>
  <r>
    <n v="22537"/>
    <n v="22"/>
    <d v="2023-12-08T00:00:00"/>
    <s v="December"/>
    <n v="2023"/>
    <x v="1"/>
    <n v="2"/>
    <s v="Yes"/>
    <x v="2"/>
  </r>
  <r>
    <n v="22538"/>
    <n v="422"/>
    <d v="2022-05-26T00:00:00"/>
    <s v="May"/>
    <n v="2022"/>
    <x v="1"/>
    <n v="26"/>
    <s v="Yes"/>
    <x v="2"/>
  </r>
  <r>
    <n v="22539"/>
    <n v="434"/>
    <d v="2022-10-21T00:00:00"/>
    <s v="October"/>
    <n v="2022"/>
    <x v="0"/>
    <n v="25"/>
    <s v="Yes"/>
    <x v="0"/>
  </r>
  <r>
    <n v="22540"/>
    <n v="103"/>
    <d v="2023-06-22T00:00:00"/>
    <s v="June"/>
    <n v="2023"/>
    <x v="2"/>
    <n v="50"/>
    <s v="Yes"/>
    <x v="4"/>
  </r>
  <r>
    <n v="22541"/>
    <n v="450"/>
    <d v="2023-05-24T00:00:00"/>
    <s v="May"/>
    <n v="2023"/>
    <x v="1"/>
    <n v="39"/>
    <s v="Yes"/>
    <x v="1"/>
  </r>
  <r>
    <n v="22542"/>
    <n v="301"/>
    <d v="2023-02-26T00:00:00"/>
    <s v="February"/>
    <n v="2023"/>
    <x v="2"/>
    <n v="11"/>
    <s v="Yes"/>
    <x v="4"/>
  </r>
  <r>
    <n v="22543"/>
    <n v="375"/>
    <d v="2023-07-25T00:00:00"/>
    <s v="July"/>
    <n v="2023"/>
    <x v="1"/>
    <n v="63"/>
    <s v="Yes"/>
    <x v="1"/>
  </r>
  <r>
    <n v="22544"/>
    <n v="264"/>
    <d v="2023-07-18T00:00:00"/>
    <s v="July"/>
    <n v="2023"/>
    <x v="0"/>
    <n v="68"/>
    <s v="Yes"/>
    <x v="0"/>
  </r>
  <r>
    <n v="22545"/>
    <n v="236"/>
    <d v="2023-02-21T00:00:00"/>
    <s v="February"/>
    <n v="2023"/>
    <x v="0"/>
    <n v="18"/>
    <s v="Yes"/>
    <x v="3"/>
  </r>
  <r>
    <n v="22546"/>
    <n v="321"/>
    <d v="2023-10-23T00:00:00"/>
    <s v="October"/>
    <n v="2023"/>
    <x v="1"/>
    <n v="28"/>
    <s v="Yes"/>
    <x v="2"/>
  </r>
  <r>
    <n v="22547"/>
    <n v="233"/>
    <d v="2022-04-17T00:00:00"/>
    <s v="April"/>
    <n v="2022"/>
    <x v="1"/>
    <n v="42"/>
    <s v="No"/>
    <x v="1"/>
  </r>
  <r>
    <n v="22548"/>
    <n v="168"/>
    <d v="2022-11-14T00:00:00"/>
    <s v="November"/>
    <n v="2022"/>
    <x v="1"/>
    <n v="60"/>
    <s v="Yes"/>
    <x v="4"/>
  </r>
  <r>
    <n v="22549"/>
    <n v="233"/>
    <d v="2022-02-28T00:00:00"/>
    <s v="February"/>
    <n v="2022"/>
    <x v="0"/>
    <n v="22"/>
    <s v="Yes"/>
    <x v="1"/>
  </r>
  <r>
    <n v="22550"/>
    <n v="5"/>
    <d v="2022-09-15T00:00:00"/>
    <s v="September"/>
    <n v="2022"/>
    <x v="1"/>
    <n v="40"/>
    <s v="Yes"/>
    <x v="4"/>
  </r>
  <r>
    <n v="22551"/>
    <n v="45"/>
    <d v="2024-03-03T00:00:00"/>
    <s v="March"/>
    <n v="2024"/>
    <x v="0"/>
    <n v="62"/>
    <s v="Yes"/>
    <x v="0"/>
  </r>
  <r>
    <n v="22552"/>
    <n v="46"/>
    <d v="2023-03-01T00:00:00"/>
    <s v="March"/>
    <n v="2023"/>
    <x v="1"/>
    <n v="3"/>
    <s v="Yes"/>
    <x v="4"/>
  </r>
  <r>
    <n v="22553"/>
    <n v="164"/>
    <d v="2023-06-15T00:00:00"/>
    <s v="June"/>
    <n v="2023"/>
    <x v="0"/>
    <n v="71"/>
    <s v="Yes"/>
    <x v="5"/>
  </r>
  <r>
    <n v="22554"/>
    <n v="401"/>
    <d v="2022-06-15T00:00:00"/>
    <s v="June"/>
    <n v="2022"/>
    <x v="1"/>
    <n v="63"/>
    <s v="No"/>
    <x v="5"/>
  </r>
  <r>
    <n v="22555"/>
    <n v="169"/>
    <d v="2022-01-25T00:00:00"/>
    <s v="January"/>
    <n v="2022"/>
    <x v="2"/>
    <n v="20"/>
    <s v="Yes"/>
    <x v="5"/>
  </r>
  <r>
    <n v="22556"/>
    <n v="414"/>
    <d v="2022-01-04T00:00:00"/>
    <s v="January"/>
    <n v="2022"/>
    <x v="2"/>
    <n v="71"/>
    <s v="No"/>
    <x v="4"/>
  </r>
  <r>
    <n v="22557"/>
    <n v="436"/>
    <d v="2022-01-03T00:00:00"/>
    <s v="January"/>
    <n v="2022"/>
    <x v="0"/>
    <n v="71"/>
    <s v="No"/>
    <x v="4"/>
  </r>
  <r>
    <n v="22558"/>
    <n v="335"/>
    <d v="2023-02-22T00:00:00"/>
    <s v="February"/>
    <n v="2023"/>
    <x v="1"/>
    <n v="26"/>
    <s v="Yes"/>
    <x v="3"/>
  </r>
  <r>
    <n v="22559"/>
    <n v="404"/>
    <d v="2022-12-28T00:00:00"/>
    <s v="December"/>
    <n v="2022"/>
    <x v="2"/>
    <n v="41"/>
    <s v="Yes"/>
    <x v="2"/>
  </r>
  <r>
    <n v="22560"/>
    <n v="164"/>
    <d v="2023-01-04T00:00:00"/>
    <s v="January"/>
    <n v="2023"/>
    <x v="1"/>
    <n v="3"/>
    <s v="Yes"/>
    <x v="5"/>
  </r>
  <r>
    <n v="22561"/>
    <n v="256"/>
    <d v="2023-06-23T00:00:00"/>
    <s v="June"/>
    <n v="2023"/>
    <x v="1"/>
    <n v="43"/>
    <s v="Yes"/>
    <x v="3"/>
  </r>
  <r>
    <n v="22562"/>
    <n v="66"/>
    <d v="2024-05-29T00:00:00"/>
    <s v="May"/>
    <n v="2024"/>
    <x v="1"/>
    <n v="17"/>
    <s v="Yes"/>
    <x v="2"/>
  </r>
  <r>
    <n v="22563"/>
    <n v="429"/>
    <d v="2022-12-12T00:00:00"/>
    <s v="December"/>
    <n v="2022"/>
    <x v="2"/>
    <n v="53"/>
    <s v="Yes"/>
    <x v="2"/>
  </r>
  <r>
    <n v="22564"/>
    <n v="260"/>
    <d v="2024-01-01T00:00:00"/>
    <s v="January"/>
    <n v="2024"/>
    <x v="0"/>
    <n v="52"/>
    <s v="Yes"/>
    <x v="0"/>
  </r>
  <r>
    <n v="22565"/>
    <n v="434"/>
    <d v="2024-06-15T00:00:00"/>
    <s v="June"/>
    <n v="2024"/>
    <x v="2"/>
    <n v="33"/>
    <s v="Yes"/>
    <x v="0"/>
  </r>
  <r>
    <n v="22566"/>
    <n v="88"/>
    <d v="2022-02-13T00:00:00"/>
    <s v="February"/>
    <n v="2022"/>
    <x v="0"/>
    <n v="60"/>
    <s v="Yes"/>
    <x v="1"/>
  </r>
  <r>
    <n v="22567"/>
    <n v="240"/>
    <d v="2023-12-25T00:00:00"/>
    <s v="December"/>
    <n v="2023"/>
    <x v="2"/>
    <n v="68"/>
    <s v="Yes"/>
    <x v="4"/>
  </r>
  <r>
    <n v="22568"/>
    <n v="311"/>
    <d v="2023-07-18T00:00:00"/>
    <s v="July"/>
    <n v="2023"/>
    <x v="1"/>
    <n v="56"/>
    <s v="Yes"/>
    <x v="5"/>
  </r>
  <r>
    <n v="22569"/>
    <n v="59"/>
    <d v="2022-06-02T00:00:00"/>
    <s v="June"/>
    <n v="2022"/>
    <x v="1"/>
    <n v="64"/>
    <s v="No"/>
    <x v="0"/>
  </r>
  <r>
    <n v="22570"/>
    <n v="170"/>
    <d v="2022-07-21T00:00:00"/>
    <s v="July"/>
    <n v="2022"/>
    <x v="1"/>
    <n v="8"/>
    <s v="Yes"/>
    <x v="4"/>
  </r>
  <r>
    <n v="22571"/>
    <n v="258"/>
    <d v="2022-11-17T00:00:00"/>
    <s v="November"/>
    <n v="2022"/>
    <x v="2"/>
    <n v="69"/>
    <s v="Yes"/>
    <x v="0"/>
  </r>
  <r>
    <n v="22572"/>
    <n v="46"/>
    <d v="2023-04-09T00:00:00"/>
    <s v="April"/>
    <n v="2023"/>
    <x v="2"/>
    <n v="33"/>
    <s v="No"/>
    <x v="4"/>
  </r>
  <r>
    <n v="22573"/>
    <n v="2"/>
    <d v="2022-01-11T00:00:00"/>
    <s v="January"/>
    <n v="2022"/>
    <x v="0"/>
    <n v="25"/>
    <s v="Yes"/>
    <x v="5"/>
  </r>
  <r>
    <n v="22574"/>
    <n v="434"/>
    <d v="2023-08-03T00:00:00"/>
    <s v="August"/>
    <n v="2023"/>
    <x v="2"/>
    <n v="71"/>
    <s v="Yes"/>
    <x v="0"/>
  </r>
  <r>
    <n v="22575"/>
    <n v="129"/>
    <d v="2022-08-15T00:00:00"/>
    <s v="August"/>
    <n v="2022"/>
    <x v="0"/>
    <n v="7"/>
    <s v="Yes"/>
    <x v="0"/>
  </r>
  <r>
    <n v="22576"/>
    <n v="269"/>
    <d v="2023-09-25T00:00:00"/>
    <s v="September"/>
    <n v="2023"/>
    <x v="2"/>
    <n v="59"/>
    <s v="Yes"/>
    <x v="5"/>
  </r>
  <r>
    <n v="22577"/>
    <n v="326"/>
    <d v="2022-11-29T00:00:00"/>
    <s v="November"/>
    <n v="2022"/>
    <x v="1"/>
    <n v="33"/>
    <s v="No"/>
    <x v="0"/>
  </r>
  <r>
    <n v="22578"/>
    <n v="278"/>
    <d v="2023-04-14T00:00:00"/>
    <s v="April"/>
    <n v="2023"/>
    <x v="2"/>
    <n v="41"/>
    <s v="Yes"/>
    <x v="2"/>
  </r>
  <r>
    <n v="22579"/>
    <n v="17"/>
    <d v="2022-01-15T00:00:00"/>
    <s v="January"/>
    <n v="2022"/>
    <x v="1"/>
    <n v="33"/>
    <s v="Yes"/>
    <x v="0"/>
  </r>
  <r>
    <n v="22580"/>
    <n v="187"/>
    <d v="2022-02-26T00:00:00"/>
    <s v="February"/>
    <n v="2022"/>
    <x v="2"/>
    <n v="29"/>
    <s v="Yes"/>
    <x v="5"/>
  </r>
  <r>
    <n v="22581"/>
    <n v="497"/>
    <d v="2022-11-26T00:00:00"/>
    <s v="November"/>
    <n v="2022"/>
    <x v="0"/>
    <n v="39"/>
    <s v="Yes"/>
    <x v="3"/>
  </r>
  <r>
    <n v="22582"/>
    <n v="342"/>
    <d v="2022-03-05T00:00:00"/>
    <s v="March"/>
    <n v="2022"/>
    <x v="2"/>
    <n v="57"/>
    <s v="Yes"/>
    <x v="2"/>
  </r>
  <r>
    <n v="22583"/>
    <n v="491"/>
    <d v="2022-08-18T00:00:00"/>
    <s v="August"/>
    <n v="2022"/>
    <x v="1"/>
    <n v="64"/>
    <s v="Yes"/>
    <x v="2"/>
  </r>
  <r>
    <n v="22584"/>
    <n v="326"/>
    <d v="2022-01-11T00:00:00"/>
    <s v="January"/>
    <n v="2022"/>
    <x v="2"/>
    <n v="66"/>
    <s v="Yes"/>
    <x v="0"/>
  </r>
  <r>
    <n v="22585"/>
    <n v="116"/>
    <d v="2023-09-25T00:00:00"/>
    <s v="September"/>
    <n v="2023"/>
    <x v="0"/>
    <n v="9"/>
    <s v="Yes"/>
    <x v="5"/>
  </r>
  <r>
    <n v="22586"/>
    <n v="259"/>
    <d v="2022-08-12T00:00:00"/>
    <s v="August"/>
    <n v="2022"/>
    <x v="0"/>
    <n v="29"/>
    <s v="Yes"/>
    <x v="5"/>
  </r>
  <r>
    <n v="22587"/>
    <n v="366"/>
    <d v="2024-01-07T00:00:00"/>
    <s v="January"/>
    <n v="2024"/>
    <x v="0"/>
    <n v="28"/>
    <s v="Yes"/>
    <x v="1"/>
  </r>
  <r>
    <n v="22588"/>
    <n v="249"/>
    <d v="2023-09-29T00:00:00"/>
    <s v="September"/>
    <n v="2023"/>
    <x v="0"/>
    <n v="53"/>
    <s v="Yes"/>
    <x v="0"/>
  </r>
  <r>
    <n v="22589"/>
    <n v="198"/>
    <d v="2023-10-22T00:00:00"/>
    <s v="October"/>
    <n v="2023"/>
    <x v="2"/>
    <n v="46"/>
    <s v="Yes"/>
    <x v="3"/>
  </r>
  <r>
    <n v="22590"/>
    <n v="337"/>
    <d v="2024-01-10T00:00:00"/>
    <s v="January"/>
    <n v="2024"/>
    <x v="0"/>
    <n v="39"/>
    <s v="Yes"/>
    <x v="1"/>
  </r>
  <r>
    <n v="22591"/>
    <n v="227"/>
    <d v="2023-06-26T00:00:00"/>
    <s v="June"/>
    <n v="2023"/>
    <x v="2"/>
    <n v="58"/>
    <s v="Yes"/>
    <x v="0"/>
  </r>
  <r>
    <n v="22592"/>
    <n v="177"/>
    <d v="2023-05-21T00:00:00"/>
    <s v="May"/>
    <n v="2023"/>
    <x v="2"/>
    <n v="54"/>
    <s v="Yes"/>
    <x v="3"/>
  </r>
  <r>
    <n v="22593"/>
    <n v="243"/>
    <d v="2023-06-06T00:00:00"/>
    <s v="June"/>
    <n v="2023"/>
    <x v="2"/>
    <n v="6"/>
    <s v="Yes"/>
    <x v="2"/>
  </r>
  <r>
    <n v="22594"/>
    <n v="434"/>
    <d v="2022-02-23T00:00:00"/>
    <s v="February"/>
    <n v="2022"/>
    <x v="0"/>
    <n v="45"/>
    <s v="Yes"/>
    <x v="0"/>
  </r>
  <r>
    <n v="22595"/>
    <n v="357"/>
    <d v="2023-11-29T00:00:00"/>
    <s v="November"/>
    <n v="2023"/>
    <x v="0"/>
    <n v="40"/>
    <s v="Yes"/>
    <x v="0"/>
  </r>
  <r>
    <n v="22596"/>
    <n v="495"/>
    <d v="2023-12-20T00:00:00"/>
    <s v="December"/>
    <n v="2023"/>
    <x v="2"/>
    <n v="23"/>
    <s v="Yes"/>
    <x v="1"/>
  </r>
  <r>
    <n v="22597"/>
    <n v="35"/>
    <d v="2024-02-06T00:00:00"/>
    <s v="February"/>
    <n v="2024"/>
    <x v="2"/>
    <n v="42"/>
    <s v="Yes"/>
    <x v="5"/>
  </r>
  <r>
    <n v="22598"/>
    <n v="407"/>
    <d v="2022-06-06T00:00:00"/>
    <s v="June"/>
    <n v="2022"/>
    <x v="2"/>
    <n v="38"/>
    <s v="No"/>
    <x v="5"/>
  </r>
  <r>
    <n v="22599"/>
    <n v="456"/>
    <d v="2023-10-03T00:00:00"/>
    <s v="October"/>
    <n v="2023"/>
    <x v="1"/>
    <n v="16"/>
    <s v="Yes"/>
    <x v="3"/>
  </r>
  <r>
    <n v="22600"/>
    <n v="135"/>
    <d v="2023-07-24T00:00:00"/>
    <s v="July"/>
    <n v="2023"/>
    <x v="1"/>
    <n v="47"/>
    <s v="Yes"/>
    <x v="5"/>
  </r>
  <r>
    <n v="22601"/>
    <n v="306"/>
    <d v="2023-02-09T00:00:00"/>
    <s v="February"/>
    <n v="2023"/>
    <x v="0"/>
    <n v="21"/>
    <s v="Yes"/>
    <x v="0"/>
  </r>
  <r>
    <n v="22602"/>
    <n v="10"/>
    <d v="2023-02-03T00:00:00"/>
    <s v="February"/>
    <n v="2023"/>
    <x v="1"/>
    <n v="21"/>
    <s v="Yes"/>
    <x v="0"/>
  </r>
  <r>
    <n v="22603"/>
    <n v="474"/>
    <d v="2023-12-08T00:00:00"/>
    <s v="December"/>
    <n v="2023"/>
    <x v="2"/>
    <n v="25"/>
    <s v="Yes"/>
    <x v="2"/>
  </r>
  <r>
    <n v="22604"/>
    <n v="183"/>
    <d v="2023-02-07T00:00:00"/>
    <s v="February"/>
    <n v="2023"/>
    <x v="2"/>
    <n v="61"/>
    <s v="Yes"/>
    <x v="2"/>
  </r>
  <r>
    <n v="22605"/>
    <n v="202"/>
    <d v="2024-06-18T00:00:00"/>
    <s v="June"/>
    <n v="2024"/>
    <x v="0"/>
    <n v="54"/>
    <s v="Yes"/>
    <x v="5"/>
  </r>
  <r>
    <n v="22606"/>
    <n v="19"/>
    <d v="2023-08-11T00:00:00"/>
    <s v="August"/>
    <n v="2023"/>
    <x v="0"/>
    <n v="60"/>
    <s v="Yes"/>
    <x v="3"/>
  </r>
  <r>
    <n v="22607"/>
    <n v="23"/>
    <d v="2022-03-30T00:00:00"/>
    <s v="March"/>
    <n v="2022"/>
    <x v="1"/>
    <n v="42"/>
    <s v="Yes"/>
    <x v="3"/>
  </r>
  <r>
    <n v="22608"/>
    <n v="95"/>
    <d v="2024-05-15T00:00:00"/>
    <s v="May"/>
    <n v="2024"/>
    <x v="2"/>
    <n v="61"/>
    <s v="Yes"/>
    <x v="1"/>
  </r>
  <r>
    <n v="22609"/>
    <n v="64"/>
    <d v="2023-08-16T00:00:00"/>
    <s v="August"/>
    <n v="2023"/>
    <x v="0"/>
    <n v="32"/>
    <s v="Yes"/>
    <x v="0"/>
  </r>
  <r>
    <n v="22610"/>
    <n v="417"/>
    <d v="2022-07-05T00:00:00"/>
    <s v="July"/>
    <n v="2022"/>
    <x v="0"/>
    <n v="53"/>
    <s v="Yes"/>
    <x v="0"/>
  </r>
  <r>
    <n v="22611"/>
    <n v="450"/>
    <d v="2024-04-17T00:00:00"/>
    <s v="April"/>
    <n v="2024"/>
    <x v="1"/>
    <n v="44"/>
    <s v="Yes"/>
    <x v="1"/>
  </r>
  <r>
    <n v="22612"/>
    <n v="220"/>
    <d v="2024-02-19T00:00:00"/>
    <s v="February"/>
    <n v="2024"/>
    <x v="0"/>
    <n v="11"/>
    <s v="Yes"/>
    <x v="0"/>
  </r>
  <r>
    <n v="22613"/>
    <n v="96"/>
    <d v="2024-06-13T00:00:00"/>
    <s v="June"/>
    <n v="2024"/>
    <x v="1"/>
    <n v="47"/>
    <s v="Yes"/>
    <x v="2"/>
  </r>
  <r>
    <n v="22614"/>
    <n v="353"/>
    <d v="2022-03-20T00:00:00"/>
    <s v="March"/>
    <n v="2022"/>
    <x v="2"/>
    <n v="60"/>
    <s v="Yes"/>
    <x v="4"/>
  </r>
  <r>
    <n v="22615"/>
    <n v="265"/>
    <d v="2022-05-25T00:00:00"/>
    <s v="May"/>
    <n v="2022"/>
    <x v="1"/>
    <n v="36"/>
    <s v="Yes"/>
    <x v="4"/>
  </r>
  <r>
    <n v="22616"/>
    <n v="381"/>
    <d v="2023-10-03T00:00:00"/>
    <s v="October"/>
    <n v="2023"/>
    <x v="0"/>
    <n v="60"/>
    <s v="Yes"/>
    <x v="2"/>
  </r>
  <r>
    <n v="22617"/>
    <n v="157"/>
    <d v="2022-01-14T00:00:00"/>
    <s v="January"/>
    <n v="2022"/>
    <x v="1"/>
    <n v="33"/>
    <s v="Yes"/>
    <x v="5"/>
  </r>
  <r>
    <n v="22618"/>
    <n v="207"/>
    <d v="2023-09-23T00:00:00"/>
    <s v="September"/>
    <n v="2023"/>
    <x v="1"/>
    <n v="42"/>
    <s v="Yes"/>
    <x v="1"/>
  </r>
  <r>
    <n v="22619"/>
    <n v="274"/>
    <d v="2022-01-02T00:00:00"/>
    <s v="January"/>
    <n v="2022"/>
    <x v="2"/>
    <n v="13"/>
    <s v="Yes"/>
    <x v="4"/>
  </r>
  <r>
    <n v="22620"/>
    <n v="338"/>
    <d v="2023-05-31T00:00:00"/>
    <s v="May"/>
    <n v="2023"/>
    <x v="1"/>
    <n v="14"/>
    <s v="Yes"/>
    <x v="4"/>
  </r>
  <r>
    <n v="22621"/>
    <n v="246"/>
    <d v="2024-01-26T00:00:00"/>
    <s v="January"/>
    <n v="2024"/>
    <x v="0"/>
    <n v="58"/>
    <s v="Yes"/>
    <x v="0"/>
  </r>
  <r>
    <n v="22622"/>
    <n v="199"/>
    <d v="2022-03-07T00:00:00"/>
    <s v="March"/>
    <n v="2022"/>
    <x v="0"/>
    <n v="40"/>
    <s v="Yes"/>
    <x v="3"/>
  </r>
  <r>
    <n v="22623"/>
    <n v="462"/>
    <d v="2022-09-03T00:00:00"/>
    <s v="September"/>
    <n v="2022"/>
    <x v="2"/>
    <n v="65"/>
    <s v="Yes"/>
    <x v="2"/>
  </r>
  <r>
    <n v="22624"/>
    <n v="285"/>
    <d v="2023-08-25T00:00:00"/>
    <s v="August"/>
    <n v="2023"/>
    <x v="2"/>
    <n v="5"/>
    <s v="Yes"/>
    <x v="2"/>
  </r>
  <r>
    <n v="22625"/>
    <n v="498"/>
    <d v="2023-03-06T00:00:00"/>
    <s v="March"/>
    <n v="2023"/>
    <x v="2"/>
    <n v="30"/>
    <s v="Yes"/>
    <x v="4"/>
  </r>
  <r>
    <n v="22626"/>
    <n v="372"/>
    <d v="2023-11-21T00:00:00"/>
    <s v="November"/>
    <n v="2023"/>
    <x v="0"/>
    <n v="45"/>
    <s v="Yes"/>
    <x v="5"/>
  </r>
  <r>
    <n v="22627"/>
    <n v="83"/>
    <d v="2023-07-26T00:00:00"/>
    <s v="July"/>
    <n v="2023"/>
    <x v="1"/>
    <n v="58"/>
    <s v="Yes"/>
    <x v="0"/>
  </r>
  <r>
    <n v="22628"/>
    <n v="317"/>
    <d v="2022-08-20T00:00:00"/>
    <s v="August"/>
    <n v="2022"/>
    <x v="0"/>
    <n v="39"/>
    <s v="Yes"/>
    <x v="4"/>
  </r>
  <r>
    <n v="22629"/>
    <n v="133"/>
    <d v="2023-03-12T00:00:00"/>
    <s v="March"/>
    <n v="2023"/>
    <x v="0"/>
    <n v="12"/>
    <s v="No"/>
    <x v="3"/>
  </r>
  <r>
    <n v="22630"/>
    <n v="105"/>
    <d v="2022-12-19T00:00:00"/>
    <s v="December"/>
    <n v="2022"/>
    <x v="2"/>
    <n v="34"/>
    <s v="Yes"/>
    <x v="3"/>
  </r>
  <r>
    <n v="22631"/>
    <n v="370"/>
    <d v="2023-11-19T00:00:00"/>
    <s v="November"/>
    <n v="2023"/>
    <x v="2"/>
    <n v="14"/>
    <s v="Yes"/>
    <x v="3"/>
  </r>
  <r>
    <n v="22632"/>
    <n v="237"/>
    <d v="2023-11-10T00:00:00"/>
    <s v="November"/>
    <n v="2023"/>
    <x v="1"/>
    <n v="38"/>
    <s v="Yes"/>
    <x v="5"/>
  </r>
  <r>
    <n v="22633"/>
    <n v="69"/>
    <d v="2023-01-18T00:00:00"/>
    <s v="January"/>
    <n v="2023"/>
    <x v="1"/>
    <n v="16"/>
    <s v="Yes"/>
    <x v="1"/>
  </r>
  <r>
    <n v="22634"/>
    <n v="184"/>
    <d v="2023-12-11T00:00:00"/>
    <s v="December"/>
    <n v="2023"/>
    <x v="1"/>
    <n v="61"/>
    <s v="Yes"/>
    <x v="4"/>
  </r>
  <r>
    <n v="22635"/>
    <n v="118"/>
    <d v="2022-03-01T00:00:00"/>
    <s v="March"/>
    <n v="2022"/>
    <x v="1"/>
    <n v="59"/>
    <s v="Yes"/>
    <x v="2"/>
  </r>
  <r>
    <n v="22636"/>
    <n v="180"/>
    <d v="2023-04-15T00:00:00"/>
    <s v="April"/>
    <n v="2023"/>
    <x v="0"/>
    <n v="67"/>
    <s v="Yes"/>
    <x v="3"/>
  </r>
  <r>
    <n v="22637"/>
    <n v="271"/>
    <d v="2023-02-15T00:00:00"/>
    <s v="February"/>
    <n v="2023"/>
    <x v="1"/>
    <n v="11"/>
    <s v="Yes"/>
    <x v="3"/>
  </r>
  <r>
    <n v="22638"/>
    <n v="90"/>
    <d v="2022-03-24T00:00:00"/>
    <s v="March"/>
    <n v="2022"/>
    <x v="0"/>
    <n v="11"/>
    <s v="Yes"/>
    <x v="1"/>
  </r>
  <r>
    <n v="22639"/>
    <n v="88"/>
    <d v="2022-03-15T00:00:00"/>
    <s v="March"/>
    <n v="2022"/>
    <x v="0"/>
    <n v="16"/>
    <s v="Yes"/>
    <x v="1"/>
  </r>
  <r>
    <n v="22640"/>
    <n v="83"/>
    <d v="2022-11-07T00:00:00"/>
    <s v="November"/>
    <n v="2022"/>
    <x v="1"/>
    <n v="38"/>
    <s v="No"/>
    <x v="0"/>
  </r>
  <r>
    <n v="22641"/>
    <n v="20"/>
    <d v="2023-03-30T00:00:00"/>
    <s v="March"/>
    <n v="2023"/>
    <x v="1"/>
    <n v="30"/>
    <s v="Yes"/>
    <x v="2"/>
  </r>
  <r>
    <n v="22642"/>
    <n v="107"/>
    <d v="2022-01-26T00:00:00"/>
    <s v="January"/>
    <n v="2022"/>
    <x v="0"/>
    <n v="41"/>
    <s v="Yes"/>
    <x v="5"/>
  </r>
  <r>
    <n v="22643"/>
    <n v="329"/>
    <d v="2023-03-02T00:00:00"/>
    <s v="March"/>
    <n v="2023"/>
    <x v="2"/>
    <n v="1"/>
    <s v="No"/>
    <x v="4"/>
  </r>
  <r>
    <n v="22644"/>
    <n v="348"/>
    <d v="2023-01-12T00:00:00"/>
    <s v="January"/>
    <n v="2023"/>
    <x v="1"/>
    <n v="38"/>
    <s v="Yes"/>
    <x v="5"/>
  </r>
  <r>
    <n v="22645"/>
    <n v="272"/>
    <d v="2022-08-31T00:00:00"/>
    <s v="August"/>
    <n v="2022"/>
    <x v="2"/>
    <n v="60"/>
    <s v="Yes"/>
    <x v="5"/>
  </r>
  <r>
    <n v="22646"/>
    <n v="331"/>
    <d v="2024-04-14T00:00:00"/>
    <s v="April"/>
    <n v="2024"/>
    <x v="0"/>
    <n v="19"/>
    <s v="Yes"/>
    <x v="0"/>
  </r>
  <r>
    <n v="22647"/>
    <n v="98"/>
    <d v="2023-09-20T00:00:00"/>
    <s v="September"/>
    <n v="2023"/>
    <x v="2"/>
    <n v="59"/>
    <s v="Yes"/>
    <x v="5"/>
  </r>
  <r>
    <n v="22648"/>
    <n v="409"/>
    <d v="2022-11-19T00:00:00"/>
    <s v="November"/>
    <n v="2022"/>
    <x v="0"/>
    <n v="68"/>
    <s v="Yes"/>
    <x v="3"/>
  </r>
  <r>
    <n v="22649"/>
    <n v="232"/>
    <d v="2022-06-29T00:00:00"/>
    <s v="June"/>
    <n v="2022"/>
    <x v="2"/>
    <n v="10"/>
    <s v="Yes"/>
    <x v="1"/>
  </r>
  <r>
    <n v="22650"/>
    <n v="375"/>
    <d v="2024-02-13T00:00:00"/>
    <s v="February"/>
    <n v="2024"/>
    <x v="2"/>
    <n v="17"/>
    <s v="Yes"/>
    <x v="1"/>
  </r>
  <r>
    <n v="22651"/>
    <n v="57"/>
    <d v="2023-09-18T00:00:00"/>
    <s v="September"/>
    <n v="2023"/>
    <x v="2"/>
    <n v="29"/>
    <s v="Yes"/>
    <x v="4"/>
  </r>
  <r>
    <n v="22652"/>
    <n v="149"/>
    <d v="2022-09-23T00:00:00"/>
    <s v="September"/>
    <n v="2022"/>
    <x v="0"/>
    <n v="6"/>
    <s v="Yes"/>
    <x v="5"/>
  </r>
  <r>
    <n v="22653"/>
    <n v="389"/>
    <d v="2023-07-04T00:00:00"/>
    <s v="July"/>
    <n v="2023"/>
    <x v="0"/>
    <n v="66"/>
    <s v="Yes"/>
    <x v="0"/>
  </r>
  <r>
    <n v="22654"/>
    <n v="459"/>
    <d v="2023-01-15T00:00:00"/>
    <s v="January"/>
    <n v="2023"/>
    <x v="0"/>
    <n v="63"/>
    <s v="Yes"/>
    <x v="5"/>
  </r>
  <r>
    <n v="22655"/>
    <n v="235"/>
    <d v="2022-03-18T00:00:00"/>
    <s v="March"/>
    <n v="2022"/>
    <x v="1"/>
    <n v="31"/>
    <s v="No"/>
    <x v="3"/>
  </r>
  <r>
    <n v="22656"/>
    <n v="137"/>
    <d v="2023-09-06T00:00:00"/>
    <s v="September"/>
    <n v="2023"/>
    <x v="0"/>
    <n v="25"/>
    <s v="Yes"/>
    <x v="4"/>
  </r>
  <r>
    <n v="22657"/>
    <n v="267"/>
    <d v="2023-06-08T00:00:00"/>
    <s v="June"/>
    <n v="2023"/>
    <x v="1"/>
    <n v="21"/>
    <s v="No"/>
    <x v="5"/>
  </r>
  <r>
    <n v="22658"/>
    <n v="229"/>
    <d v="2024-03-24T00:00:00"/>
    <s v="March"/>
    <n v="2024"/>
    <x v="0"/>
    <n v="16"/>
    <s v="Yes"/>
    <x v="2"/>
  </r>
  <r>
    <n v="22659"/>
    <n v="361"/>
    <d v="2022-02-18T00:00:00"/>
    <s v="February"/>
    <n v="2022"/>
    <x v="1"/>
    <n v="4"/>
    <s v="Yes"/>
    <x v="5"/>
  </r>
  <r>
    <n v="22660"/>
    <n v="321"/>
    <d v="2022-09-11T00:00:00"/>
    <s v="September"/>
    <n v="2022"/>
    <x v="2"/>
    <n v="46"/>
    <s v="Yes"/>
    <x v="2"/>
  </r>
  <r>
    <n v="22661"/>
    <n v="447"/>
    <d v="2024-05-08T00:00:00"/>
    <s v="May"/>
    <n v="2024"/>
    <x v="2"/>
    <n v="8"/>
    <s v="Yes"/>
    <x v="4"/>
  </r>
  <r>
    <n v="22662"/>
    <n v="282"/>
    <d v="2023-01-15T00:00:00"/>
    <s v="January"/>
    <n v="2023"/>
    <x v="0"/>
    <n v="6"/>
    <s v="Yes"/>
    <x v="1"/>
  </r>
  <r>
    <n v="22663"/>
    <n v="202"/>
    <d v="2022-09-06T00:00:00"/>
    <s v="September"/>
    <n v="2022"/>
    <x v="1"/>
    <n v="53"/>
    <s v="Yes"/>
    <x v="5"/>
  </r>
  <r>
    <n v="22664"/>
    <n v="232"/>
    <d v="2022-03-13T00:00:00"/>
    <s v="March"/>
    <n v="2022"/>
    <x v="2"/>
    <n v="64"/>
    <s v="Yes"/>
    <x v="1"/>
  </r>
  <r>
    <n v="22665"/>
    <n v="19"/>
    <d v="2023-03-23T00:00:00"/>
    <s v="March"/>
    <n v="2023"/>
    <x v="2"/>
    <n v="51"/>
    <s v="Yes"/>
    <x v="3"/>
  </r>
  <r>
    <n v="22666"/>
    <n v="16"/>
    <d v="2023-05-21T00:00:00"/>
    <s v="May"/>
    <n v="2023"/>
    <x v="1"/>
    <n v="63"/>
    <s v="No"/>
    <x v="0"/>
  </r>
  <r>
    <n v="22667"/>
    <n v="493"/>
    <d v="2023-12-10T00:00:00"/>
    <s v="December"/>
    <n v="2023"/>
    <x v="0"/>
    <n v="6"/>
    <s v="Yes"/>
    <x v="3"/>
  </r>
  <r>
    <n v="22668"/>
    <n v="56"/>
    <d v="2022-09-10T00:00:00"/>
    <s v="September"/>
    <n v="2022"/>
    <x v="2"/>
    <n v="62"/>
    <s v="Yes"/>
    <x v="5"/>
  </r>
  <r>
    <n v="22669"/>
    <n v="357"/>
    <d v="2024-05-19T00:00:00"/>
    <s v="May"/>
    <n v="2024"/>
    <x v="0"/>
    <n v="33"/>
    <s v="Yes"/>
    <x v="0"/>
  </r>
  <r>
    <n v="22670"/>
    <n v="114"/>
    <d v="2022-10-26T00:00:00"/>
    <s v="October"/>
    <n v="2022"/>
    <x v="0"/>
    <n v="2"/>
    <s v="Yes"/>
    <x v="1"/>
  </r>
  <r>
    <n v="22671"/>
    <n v="489"/>
    <d v="2024-01-04T00:00:00"/>
    <s v="January"/>
    <n v="2024"/>
    <x v="1"/>
    <n v="41"/>
    <s v="No"/>
    <x v="5"/>
  </r>
  <r>
    <n v="22672"/>
    <n v="68"/>
    <d v="2022-03-01T00:00:00"/>
    <s v="March"/>
    <n v="2022"/>
    <x v="1"/>
    <n v="16"/>
    <s v="Yes"/>
    <x v="0"/>
  </r>
  <r>
    <n v="22673"/>
    <n v="78"/>
    <d v="2022-12-23T00:00:00"/>
    <s v="December"/>
    <n v="2022"/>
    <x v="2"/>
    <n v="59"/>
    <s v="Yes"/>
    <x v="3"/>
  </r>
  <r>
    <n v="22674"/>
    <n v="30"/>
    <d v="2022-06-06T00:00:00"/>
    <s v="June"/>
    <n v="2022"/>
    <x v="1"/>
    <n v="9"/>
    <s v="Yes"/>
    <x v="2"/>
  </r>
  <r>
    <n v="22675"/>
    <n v="7"/>
    <d v="2022-12-08T00:00:00"/>
    <s v="December"/>
    <n v="2022"/>
    <x v="2"/>
    <n v="69"/>
    <s v="Yes"/>
    <x v="0"/>
  </r>
  <r>
    <n v="22676"/>
    <n v="396"/>
    <d v="2024-06-12T00:00:00"/>
    <s v="June"/>
    <n v="2024"/>
    <x v="2"/>
    <n v="10"/>
    <s v="Yes"/>
    <x v="3"/>
  </r>
  <r>
    <n v="22677"/>
    <n v="152"/>
    <d v="2022-07-21T00:00:00"/>
    <s v="July"/>
    <n v="2022"/>
    <x v="2"/>
    <n v="7"/>
    <s v="No"/>
    <x v="0"/>
  </r>
  <r>
    <n v="22678"/>
    <n v="487"/>
    <d v="2024-02-18T00:00:00"/>
    <s v="February"/>
    <n v="2024"/>
    <x v="0"/>
    <n v="66"/>
    <s v="Yes"/>
    <x v="0"/>
  </r>
  <r>
    <n v="22679"/>
    <n v="363"/>
    <d v="2022-02-04T00:00:00"/>
    <s v="February"/>
    <n v="2022"/>
    <x v="0"/>
    <n v="20"/>
    <s v="No"/>
    <x v="4"/>
  </r>
  <r>
    <n v="22680"/>
    <n v="22"/>
    <d v="2024-02-06T00:00:00"/>
    <s v="February"/>
    <n v="2024"/>
    <x v="1"/>
    <n v="63"/>
    <s v="Yes"/>
    <x v="2"/>
  </r>
  <r>
    <n v="22681"/>
    <n v="431"/>
    <d v="2023-06-19T00:00:00"/>
    <s v="June"/>
    <n v="2023"/>
    <x v="1"/>
    <n v="4"/>
    <s v="Yes"/>
    <x v="5"/>
  </r>
  <r>
    <n v="22682"/>
    <n v="30"/>
    <d v="2023-04-01T00:00:00"/>
    <s v="April"/>
    <n v="2023"/>
    <x v="2"/>
    <n v="28"/>
    <s v="Yes"/>
    <x v="2"/>
  </r>
  <r>
    <n v="22683"/>
    <n v="444"/>
    <d v="2022-06-14T00:00:00"/>
    <s v="June"/>
    <n v="2022"/>
    <x v="2"/>
    <n v="35"/>
    <s v="Yes"/>
    <x v="5"/>
  </r>
  <r>
    <n v="22684"/>
    <n v="167"/>
    <d v="2022-01-28T00:00:00"/>
    <s v="January"/>
    <n v="2022"/>
    <x v="0"/>
    <n v="2"/>
    <s v="Yes"/>
    <x v="0"/>
  </r>
  <r>
    <n v="22685"/>
    <n v="148"/>
    <d v="2023-01-07T00:00:00"/>
    <s v="January"/>
    <n v="2023"/>
    <x v="0"/>
    <n v="41"/>
    <s v="Yes"/>
    <x v="3"/>
  </r>
  <r>
    <n v="22686"/>
    <n v="410"/>
    <d v="2024-05-12T00:00:00"/>
    <s v="May"/>
    <n v="2024"/>
    <x v="2"/>
    <n v="28"/>
    <s v="Yes"/>
    <x v="0"/>
  </r>
  <r>
    <n v="22687"/>
    <n v="49"/>
    <d v="2022-11-10T00:00:00"/>
    <s v="November"/>
    <n v="2022"/>
    <x v="2"/>
    <n v="1"/>
    <s v="Yes"/>
    <x v="5"/>
  </r>
  <r>
    <n v="22688"/>
    <n v="325"/>
    <d v="2023-07-19T00:00:00"/>
    <s v="July"/>
    <n v="2023"/>
    <x v="1"/>
    <n v="27"/>
    <s v="Yes"/>
    <x v="3"/>
  </r>
  <r>
    <n v="22689"/>
    <n v="488"/>
    <d v="2022-10-11T00:00:00"/>
    <s v="October"/>
    <n v="2022"/>
    <x v="2"/>
    <n v="67"/>
    <s v="Yes"/>
    <x v="2"/>
  </r>
  <r>
    <n v="22690"/>
    <n v="298"/>
    <d v="2022-10-25T00:00:00"/>
    <s v="October"/>
    <n v="2022"/>
    <x v="2"/>
    <n v="39"/>
    <s v="Yes"/>
    <x v="1"/>
  </r>
  <r>
    <n v="22691"/>
    <n v="262"/>
    <d v="2023-04-20T00:00:00"/>
    <s v="April"/>
    <n v="2023"/>
    <x v="2"/>
    <n v="40"/>
    <s v="Yes"/>
    <x v="2"/>
  </r>
  <r>
    <n v="22692"/>
    <n v="181"/>
    <d v="2023-08-20T00:00:00"/>
    <s v="August"/>
    <n v="2023"/>
    <x v="0"/>
    <n v="28"/>
    <s v="Yes"/>
    <x v="2"/>
  </r>
  <r>
    <n v="22693"/>
    <n v="290"/>
    <d v="2022-12-15T00:00:00"/>
    <s v="December"/>
    <n v="2022"/>
    <x v="0"/>
    <n v="24"/>
    <s v="Yes"/>
    <x v="1"/>
  </r>
  <r>
    <n v="22694"/>
    <n v="122"/>
    <d v="2023-09-28T00:00:00"/>
    <s v="September"/>
    <n v="2023"/>
    <x v="1"/>
    <n v="51"/>
    <s v="Yes"/>
    <x v="2"/>
  </r>
  <r>
    <n v="22695"/>
    <n v="124"/>
    <d v="2023-03-21T00:00:00"/>
    <s v="March"/>
    <n v="2023"/>
    <x v="1"/>
    <n v="56"/>
    <s v="Yes"/>
    <x v="3"/>
  </r>
  <r>
    <n v="22696"/>
    <n v="453"/>
    <d v="2022-07-26T00:00:00"/>
    <s v="July"/>
    <n v="2022"/>
    <x v="1"/>
    <n v="26"/>
    <s v="Yes"/>
    <x v="0"/>
  </r>
  <r>
    <n v="22697"/>
    <n v="266"/>
    <d v="2023-02-21T00:00:00"/>
    <s v="February"/>
    <n v="2023"/>
    <x v="2"/>
    <n v="52"/>
    <s v="Yes"/>
    <x v="5"/>
  </r>
  <r>
    <n v="22698"/>
    <n v="28"/>
    <d v="2023-03-15T00:00:00"/>
    <s v="March"/>
    <n v="2023"/>
    <x v="2"/>
    <n v="6"/>
    <s v="Yes"/>
    <x v="4"/>
  </r>
  <r>
    <n v="22699"/>
    <n v="259"/>
    <d v="2022-06-14T00:00:00"/>
    <s v="June"/>
    <n v="2022"/>
    <x v="0"/>
    <n v="59"/>
    <s v="Yes"/>
    <x v="5"/>
  </r>
  <r>
    <n v="22700"/>
    <n v="77"/>
    <d v="2023-07-13T00:00:00"/>
    <s v="July"/>
    <n v="2023"/>
    <x v="2"/>
    <n v="12"/>
    <s v="Yes"/>
    <x v="4"/>
  </r>
  <r>
    <n v="22701"/>
    <n v="432"/>
    <d v="2023-02-24T00:00:00"/>
    <s v="February"/>
    <n v="2023"/>
    <x v="2"/>
    <n v="63"/>
    <s v="Yes"/>
    <x v="1"/>
  </r>
  <r>
    <n v="22702"/>
    <n v="367"/>
    <d v="2023-01-06T00:00:00"/>
    <s v="January"/>
    <n v="2023"/>
    <x v="0"/>
    <n v="36"/>
    <s v="Yes"/>
    <x v="3"/>
  </r>
  <r>
    <n v="22703"/>
    <n v="194"/>
    <d v="2023-10-30T00:00:00"/>
    <s v="October"/>
    <n v="2023"/>
    <x v="1"/>
    <n v="9"/>
    <s v="Yes"/>
    <x v="2"/>
  </r>
  <r>
    <n v="22704"/>
    <n v="382"/>
    <d v="2022-09-23T00:00:00"/>
    <s v="September"/>
    <n v="2022"/>
    <x v="2"/>
    <n v="67"/>
    <s v="Yes"/>
    <x v="4"/>
  </r>
  <r>
    <n v="22705"/>
    <n v="35"/>
    <d v="2022-10-06T00:00:00"/>
    <s v="October"/>
    <n v="2022"/>
    <x v="0"/>
    <n v="29"/>
    <s v="Yes"/>
    <x v="5"/>
  </r>
  <r>
    <n v="22706"/>
    <n v="436"/>
    <d v="2023-04-27T00:00:00"/>
    <s v="April"/>
    <n v="2023"/>
    <x v="0"/>
    <n v="71"/>
    <s v="Yes"/>
    <x v="4"/>
  </r>
  <r>
    <n v="22707"/>
    <n v="114"/>
    <d v="2023-06-01T00:00:00"/>
    <s v="June"/>
    <n v="2023"/>
    <x v="1"/>
    <n v="8"/>
    <s v="Yes"/>
    <x v="1"/>
  </r>
  <r>
    <n v="22708"/>
    <n v="62"/>
    <d v="2022-03-23T00:00:00"/>
    <s v="March"/>
    <n v="2022"/>
    <x v="0"/>
    <n v="43"/>
    <s v="Yes"/>
    <x v="4"/>
  </r>
  <r>
    <n v="22709"/>
    <n v="52"/>
    <d v="2022-04-29T00:00:00"/>
    <s v="April"/>
    <n v="2022"/>
    <x v="1"/>
    <n v="35"/>
    <s v="Yes"/>
    <x v="5"/>
  </r>
  <r>
    <n v="22710"/>
    <n v="116"/>
    <d v="2024-02-13T00:00:00"/>
    <s v="February"/>
    <n v="2024"/>
    <x v="1"/>
    <n v="22"/>
    <s v="Yes"/>
    <x v="5"/>
  </r>
  <r>
    <n v="22711"/>
    <n v="47"/>
    <d v="2023-09-29T00:00:00"/>
    <s v="September"/>
    <n v="2023"/>
    <x v="1"/>
    <n v="66"/>
    <s v="Yes"/>
    <x v="2"/>
  </r>
  <r>
    <n v="22712"/>
    <n v="438"/>
    <d v="2022-10-30T00:00:00"/>
    <s v="October"/>
    <n v="2022"/>
    <x v="1"/>
    <n v="21"/>
    <s v="Yes"/>
    <x v="2"/>
  </r>
  <r>
    <n v="22713"/>
    <n v="412"/>
    <d v="2022-08-03T00:00:00"/>
    <s v="August"/>
    <n v="2022"/>
    <x v="1"/>
    <n v="71"/>
    <s v="No"/>
    <x v="2"/>
  </r>
  <r>
    <n v="22714"/>
    <n v="101"/>
    <d v="2022-01-28T00:00:00"/>
    <s v="January"/>
    <n v="2022"/>
    <x v="0"/>
    <n v="41"/>
    <s v="Yes"/>
    <x v="1"/>
  </r>
  <r>
    <n v="22715"/>
    <n v="279"/>
    <d v="2024-02-20T00:00:00"/>
    <s v="February"/>
    <n v="2024"/>
    <x v="2"/>
    <n v="41"/>
    <s v="Yes"/>
    <x v="4"/>
  </r>
  <r>
    <n v="22716"/>
    <n v="107"/>
    <d v="2023-05-13T00:00:00"/>
    <s v="May"/>
    <n v="2023"/>
    <x v="1"/>
    <n v="49"/>
    <s v="Yes"/>
    <x v="5"/>
  </r>
  <r>
    <n v="22717"/>
    <n v="471"/>
    <d v="2023-06-21T00:00:00"/>
    <s v="June"/>
    <n v="2023"/>
    <x v="1"/>
    <n v="4"/>
    <s v="Yes"/>
    <x v="2"/>
  </r>
  <r>
    <n v="22718"/>
    <n v="35"/>
    <d v="2023-06-03T00:00:00"/>
    <s v="June"/>
    <n v="2023"/>
    <x v="2"/>
    <n v="65"/>
    <s v="Yes"/>
    <x v="5"/>
  </r>
  <r>
    <n v="22719"/>
    <n v="489"/>
    <d v="2022-07-13T00:00:00"/>
    <s v="July"/>
    <n v="2022"/>
    <x v="2"/>
    <n v="10"/>
    <s v="Yes"/>
    <x v="5"/>
  </r>
  <r>
    <n v="22720"/>
    <n v="359"/>
    <d v="2023-08-15T00:00:00"/>
    <s v="August"/>
    <n v="2023"/>
    <x v="1"/>
    <n v="67"/>
    <s v="Yes"/>
    <x v="1"/>
  </r>
  <r>
    <n v="22721"/>
    <n v="375"/>
    <d v="2023-03-18T00:00:00"/>
    <s v="March"/>
    <n v="2023"/>
    <x v="2"/>
    <n v="10"/>
    <s v="No"/>
    <x v="1"/>
  </r>
  <r>
    <n v="22722"/>
    <n v="288"/>
    <d v="2024-04-13T00:00:00"/>
    <s v="April"/>
    <n v="2024"/>
    <x v="1"/>
    <n v="17"/>
    <s v="Yes"/>
    <x v="3"/>
  </r>
  <r>
    <n v="22723"/>
    <n v="2"/>
    <d v="2022-02-05T00:00:00"/>
    <s v="February"/>
    <n v="2022"/>
    <x v="0"/>
    <n v="67"/>
    <s v="Yes"/>
    <x v="5"/>
  </r>
  <r>
    <n v="22724"/>
    <n v="239"/>
    <d v="2022-09-15T00:00:00"/>
    <s v="September"/>
    <n v="2022"/>
    <x v="2"/>
    <n v="53"/>
    <s v="Yes"/>
    <x v="2"/>
  </r>
  <r>
    <n v="22725"/>
    <n v="492"/>
    <d v="2022-04-23T00:00:00"/>
    <s v="April"/>
    <n v="2022"/>
    <x v="2"/>
    <n v="35"/>
    <s v="Yes"/>
    <x v="4"/>
  </r>
  <r>
    <n v="22726"/>
    <n v="368"/>
    <d v="2022-10-21T00:00:00"/>
    <s v="October"/>
    <n v="2022"/>
    <x v="0"/>
    <n v="4"/>
    <s v="Yes"/>
    <x v="3"/>
  </r>
  <r>
    <n v="22727"/>
    <n v="378"/>
    <d v="2023-12-15T00:00:00"/>
    <s v="December"/>
    <n v="2023"/>
    <x v="2"/>
    <n v="68"/>
    <s v="Yes"/>
    <x v="4"/>
  </r>
  <r>
    <n v="22728"/>
    <n v="272"/>
    <d v="2022-01-14T00:00:00"/>
    <s v="January"/>
    <n v="2022"/>
    <x v="0"/>
    <n v="11"/>
    <s v="Yes"/>
    <x v="5"/>
  </r>
  <r>
    <n v="22729"/>
    <n v="144"/>
    <d v="2023-10-29T00:00:00"/>
    <s v="October"/>
    <n v="2023"/>
    <x v="1"/>
    <n v="44"/>
    <s v="Yes"/>
    <x v="4"/>
  </r>
  <r>
    <n v="22730"/>
    <n v="435"/>
    <d v="2023-08-20T00:00:00"/>
    <s v="August"/>
    <n v="2023"/>
    <x v="2"/>
    <n v="60"/>
    <s v="Yes"/>
    <x v="0"/>
  </r>
  <r>
    <n v="22731"/>
    <n v="451"/>
    <d v="2022-05-20T00:00:00"/>
    <s v="May"/>
    <n v="2022"/>
    <x v="2"/>
    <n v="70"/>
    <s v="Yes"/>
    <x v="4"/>
  </r>
  <r>
    <n v="22732"/>
    <n v="92"/>
    <d v="2023-01-06T00:00:00"/>
    <s v="January"/>
    <n v="2023"/>
    <x v="0"/>
    <n v="62"/>
    <s v="Yes"/>
    <x v="5"/>
  </r>
  <r>
    <n v="22733"/>
    <n v="221"/>
    <d v="2023-03-03T00:00:00"/>
    <s v="March"/>
    <n v="2023"/>
    <x v="1"/>
    <n v="32"/>
    <s v="Yes"/>
    <x v="0"/>
  </r>
  <r>
    <n v="22734"/>
    <n v="54"/>
    <d v="2022-04-07T00:00:00"/>
    <s v="April"/>
    <n v="2022"/>
    <x v="1"/>
    <n v="46"/>
    <s v="No"/>
    <x v="0"/>
  </r>
  <r>
    <n v="22735"/>
    <n v="404"/>
    <d v="2023-11-28T00:00:00"/>
    <s v="November"/>
    <n v="2023"/>
    <x v="0"/>
    <n v="23"/>
    <s v="Yes"/>
    <x v="2"/>
  </r>
  <r>
    <n v="22736"/>
    <n v="228"/>
    <d v="2023-05-03T00:00:00"/>
    <s v="May"/>
    <n v="2023"/>
    <x v="2"/>
    <n v="37"/>
    <s v="Yes"/>
    <x v="2"/>
  </r>
  <r>
    <n v="22737"/>
    <n v="33"/>
    <d v="2022-12-08T00:00:00"/>
    <s v="December"/>
    <n v="2022"/>
    <x v="2"/>
    <n v="58"/>
    <s v="Yes"/>
    <x v="3"/>
  </r>
  <r>
    <n v="22738"/>
    <n v="214"/>
    <d v="2024-05-19T00:00:00"/>
    <s v="May"/>
    <n v="2024"/>
    <x v="0"/>
    <n v="43"/>
    <s v="Yes"/>
    <x v="5"/>
  </r>
  <r>
    <n v="22739"/>
    <n v="136"/>
    <d v="2023-05-07T00:00:00"/>
    <s v="May"/>
    <n v="2023"/>
    <x v="0"/>
    <n v="15"/>
    <s v="Yes"/>
    <x v="5"/>
  </r>
  <r>
    <n v="22740"/>
    <n v="248"/>
    <d v="2023-05-15T00:00:00"/>
    <s v="May"/>
    <n v="2023"/>
    <x v="0"/>
    <n v="67"/>
    <s v="Yes"/>
    <x v="0"/>
  </r>
  <r>
    <n v="22741"/>
    <n v="495"/>
    <d v="2023-03-08T00:00:00"/>
    <s v="March"/>
    <n v="2023"/>
    <x v="2"/>
    <n v="2"/>
    <s v="Yes"/>
    <x v="1"/>
  </r>
  <r>
    <n v="22742"/>
    <n v="408"/>
    <d v="2022-07-08T00:00:00"/>
    <s v="July"/>
    <n v="2022"/>
    <x v="0"/>
    <n v="71"/>
    <s v="Yes"/>
    <x v="5"/>
  </r>
  <r>
    <n v="22743"/>
    <n v="53"/>
    <d v="2022-03-23T00:00:00"/>
    <s v="March"/>
    <n v="2022"/>
    <x v="1"/>
    <n v="5"/>
    <s v="Yes"/>
    <x v="1"/>
  </r>
  <r>
    <n v="22744"/>
    <n v="64"/>
    <d v="2024-03-22T00:00:00"/>
    <s v="March"/>
    <n v="2024"/>
    <x v="0"/>
    <n v="53"/>
    <s v="Yes"/>
    <x v="0"/>
  </r>
  <r>
    <n v="22745"/>
    <n v="314"/>
    <d v="2022-06-29T00:00:00"/>
    <s v="June"/>
    <n v="2022"/>
    <x v="1"/>
    <n v="45"/>
    <s v="Yes"/>
    <x v="5"/>
  </r>
  <r>
    <n v="22746"/>
    <n v="374"/>
    <d v="2024-06-16T00:00:00"/>
    <s v="June"/>
    <n v="2024"/>
    <x v="1"/>
    <n v="41"/>
    <s v="Yes"/>
    <x v="1"/>
  </r>
  <r>
    <n v="22747"/>
    <n v="37"/>
    <d v="2024-05-10T00:00:00"/>
    <s v="May"/>
    <n v="2024"/>
    <x v="0"/>
    <n v="63"/>
    <s v="Yes"/>
    <x v="3"/>
  </r>
  <r>
    <n v="22748"/>
    <n v="212"/>
    <d v="2023-02-19T00:00:00"/>
    <s v="February"/>
    <n v="2023"/>
    <x v="1"/>
    <n v="32"/>
    <s v="Yes"/>
    <x v="4"/>
  </r>
  <r>
    <n v="22749"/>
    <n v="12"/>
    <d v="2022-04-15T00:00:00"/>
    <s v="April"/>
    <n v="2022"/>
    <x v="2"/>
    <n v="2"/>
    <s v="Yes"/>
    <x v="3"/>
  </r>
  <r>
    <n v="22750"/>
    <n v="468"/>
    <d v="2023-01-16T00:00:00"/>
    <s v="January"/>
    <n v="2023"/>
    <x v="0"/>
    <n v="10"/>
    <s v="Yes"/>
    <x v="1"/>
  </r>
  <r>
    <n v="22751"/>
    <n v="84"/>
    <d v="2023-12-23T00:00:00"/>
    <s v="December"/>
    <n v="2023"/>
    <x v="2"/>
    <n v="43"/>
    <s v="Yes"/>
    <x v="4"/>
  </r>
  <r>
    <n v="22752"/>
    <n v="388"/>
    <d v="2022-11-25T00:00:00"/>
    <s v="November"/>
    <n v="2022"/>
    <x v="2"/>
    <n v="43"/>
    <s v="Yes"/>
    <x v="5"/>
  </r>
  <r>
    <n v="22753"/>
    <n v="94"/>
    <d v="2022-09-06T00:00:00"/>
    <s v="September"/>
    <n v="2022"/>
    <x v="1"/>
    <n v="67"/>
    <s v="Yes"/>
    <x v="4"/>
  </r>
  <r>
    <n v="22754"/>
    <n v="415"/>
    <d v="2022-03-13T00:00:00"/>
    <s v="March"/>
    <n v="2022"/>
    <x v="2"/>
    <n v="23"/>
    <s v="Yes"/>
    <x v="4"/>
  </r>
  <r>
    <n v="22755"/>
    <n v="342"/>
    <d v="2023-11-04T00:00:00"/>
    <s v="November"/>
    <n v="2023"/>
    <x v="2"/>
    <n v="60"/>
    <s v="Yes"/>
    <x v="2"/>
  </r>
  <r>
    <n v="22756"/>
    <n v="207"/>
    <d v="2022-05-13T00:00:00"/>
    <s v="May"/>
    <n v="2022"/>
    <x v="0"/>
    <n v="6"/>
    <s v="Yes"/>
    <x v="1"/>
  </r>
  <r>
    <n v="22757"/>
    <n v="38"/>
    <d v="2022-08-28T00:00:00"/>
    <s v="August"/>
    <n v="2022"/>
    <x v="0"/>
    <n v="13"/>
    <s v="Yes"/>
    <x v="1"/>
  </r>
  <r>
    <n v="22758"/>
    <n v="421"/>
    <d v="2022-03-19T00:00:00"/>
    <s v="March"/>
    <n v="2022"/>
    <x v="2"/>
    <n v="21"/>
    <s v="Yes"/>
    <x v="5"/>
  </r>
  <r>
    <n v="22759"/>
    <n v="348"/>
    <d v="2023-07-24T00:00:00"/>
    <s v="July"/>
    <n v="2023"/>
    <x v="1"/>
    <n v="58"/>
    <s v="Yes"/>
    <x v="5"/>
  </r>
  <r>
    <n v="22760"/>
    <n v="203"/>
    <d v="2023-04-06T00:00:00"/>
    <s v="April"/>
    <n v="2023"/>
    <x v="1"/>
    <n v="28"/>
    <s v="No"/>
    <x v="1"/>
  </r>
  <r>
    <n v="22761"/>
    <n v="270"/>
    <d v="2022-05-05T00:00:00"/>
    <s v="May"/>
    <n v="2022"/>
    <x v="0"/>
    <n v="70"/>
    <s v="Yes"/>
    <x v="4"/>
  </r>
  <r>
    <n v="22762"/>
    <n v="75"/>
    <d v="2022-01-11T00:00:00"/>
    <s v="January"/>
    <n v="2022"/>
    <x v="0"/>
    <n v="8"/>
    <s v="No"/>
    <x v="1"/>
  </r>
  <r>
    <n v="22763"/>
    <n v="128"/>
    <d v="2023-04-13T00:00:00"/>
    <s v="April"/>
    <n v="2023"/>
    <x v="0"/>
    <n v="58"/>
    <s v="Yes"/>
    <x v="0"/>
  </r>
  <r>
    <n v="22764"/>
    <n v="329"/>
    <d v="2023-02-11T00:00:00"/>
    <s v="February"/>
    <n v="2023"/>
    <x v="1"/>
    <n v="40"/>
    <s v="Yes"/>
    <x v="4"/>
  </r>
  <r>
    <n v="22765"/>
    <n v="152"/>
    <d v="2022-01-27T00:00:00"/>
    <s v="January"/>
    <n v="2022"/>
    <x v="0"/>
    <n v="1"/>
    <s v="Yes"/>
    <x v="0"/>
  </r>
  <r>
    <n v="22766"/>
    <n v="10"/>
    <d v="2022-07-26T00:00:00"/>
    <s v="July"/>
    <n v="2022"/>
    <x v="2"/>
    <n v="65"/>
    <s v="Yes"/>
    <x v="0"/>
  </r>
  <r>
    <n v="22767"/>
    <n v="38"/>
    <d v="2022-08-10T00:00:00"/>
    <s v="August"/>
    <n v="2022"/>
    <x v="1"/>
    <n v="10"/>
    <s v="Yes"/>
    <x v="1"/>
  </r>
  <r>
    <n v="22768"/>
    <n v="427"/>
    <d v="2022-11-08T00:00:00"/>
    <s v="November"/>
    <n v="2022"/>
    <x v="2"/>
    <n v="60"/>
    <s v="Yes"/>
    <x v="4"/>
  </r>
  <r>
    <n v="22769"/>
    <n v="105"/>
    <d v="2023-01-17T00:00:00"/>
    <s v="January"/>
    <n v="2023"/>
    <x v="0"/>
    <n v="69"/>
    <s v="Yes"/>
    <x v="3"/>
  </r>
  <r>
    <n v="22770"/>
    <n v="165"/>
    <d v="2024-02-01T00:00:00"/>
    <s v="February"/>
    <n v="2024"/>
    <x v="1"/>
    <n v="20"/>
    <s v="Yes"/>
    <x v="1"/>
  </r>
  <r>
    <n v="22771"/>
    <n v="426"/>
    <d v="2022-11-11T00:00:00"/>
    <s v="November"/>
    <n v="2022"/>
    <x v="0"/>
    <n v="62"/>
    <s v="Yes"/>
    <x v="1"/>
  </r>
  <r>
    <n v="22772"/>
    <n v="32"/>
    <d v="2022-07-27T00:00:00"/>
    <s v="July"/>
    <n v="2022"/>
    <x v="1"/>
    <n v="13"/>
    <s v="Yes"/>
    <x v="0"/>
  </r>
  <r>
    <n v="22773"/>
    <n v="212"/>
    <d v="2023-09-13T00:00:00"/>
    <s v="September"/>
    <n v="2023"/>
    <x v="0"/>
    <n v="58"/>
    <s v="Yes"/>
    <x v="4"/>
  </r>
  <r>
    <n v="22774"/>
    <n v="14"/>
    <d v="2022-10-23T00:00:00"/>
    <s v="October"/>
    <n v="2022"/>
    <x v="1"/>
    <n v="37"/>
    <s v="Yes"/>
    <x v="1"/>
  </r>
  <r>
    <n v="22775"/>
    <n v="230"/>
    <d v="2023-02-06T00:00:00"/>
    <s v="February"/>
    <n v="2023"/>
    <x v="1"/>
    <n v="10"/>
    <s v="Yes"/>
    <x v="5"/>
  </r>
  <r>
    <n v="22776"/>
    <n v="132"/>
    <d v="2023-03-11T00:00:00"/>
    <s v="March"/>
    <n v="2023"/>
    <x v="1"/>
    <n v="3"/>
    <s v="No"/>
    <x v="2"/>
  </r>
  <r>
    <n v="22777"/>
    <n v="152"/>
    <d v="2023-07-27T00:00:00"/>
    <s v="July"/>
    <n v="2023"/>
    <x v="2"/>
    <n v="34"/>
    <s v="Yes"/>
    <x v="0"/>
  </r>
  <r>
    <n v="22778"/>
    <n v="96"/>
    <d v="2022-05-02T00:00:00"/>
    <s v="May"/>
    <n v="2022"/>
    <x v="0"/>
    <n v="34"/>
    <s v="Yes"/>
    <x v="2"/>
  </r>
  <r>
    <n v="22779"/>
    <n v="10"/>
    <d v="2024-01-21T00:00:00"/>
    <s v="January"/>
    <n v="2024"/>
    <x v="0"/>
    <n v="30"/>
    <s v="Yes"/>
    <x v="0"/>
  </r>
  <r>
    <n v="22780"/>
    <n v="374"/>
    <d v="2022-04-16T00:00:00"/>
    <s v="April"/>
    <n v="2022"/>
    <x v="1"/>
    <n v="37"/>
    <s v="Yes"/>
    <x v="1"/>
  </r>
  <r>
    <n v="22781"/>
    <n v="363"/>
    <d v="2024-03-01T00:00:00"/>
    <s v="March"/>
    <n v="2024"/>
    <x v="2"/>
    <n v="68"/>
    <s v="Yes"/>
    <x v="4"/>
  </r>
  <r>
    <n v="22782"/>
    <n v="16"/>
    <d v="2022-02-05T00:00:00"/>
    <s v="February"/>
    <n v="2022"/>
    <x v="1"/>
    <n v="34"/>
    <s v="Yes"/>
    <x v="0"/>
  </r>
  <r>
    <n v="22783"/>
    <n v="167"/>
    <d v="2023-07-04T00:00:00"/>
    <s v="July"/>
    <n v="2023"/>
    <x v="0"/>
    <n v="32"/>
    <s v="Yes"/>
    <x v="0"/>
  </r>
  <r>
    <n v="22784"/>
    <n v="96"/>
    <d v="2022-03-13T00:00:00"/>
    <s v="March"/>
    <n v="2022"/>
    <x v="0"/>
    <n v="58"/>
    <s v="Yes"/>
    <x v="2"/>
  </r>
  <r>
    <n v="22785"/>
    <n v="18"/>
    <d v="2023-07-22T00:00:00"/>
    <s v="July"/>
    <n v="2023"/>
    <x v="1"/>
    <n v="24"/>
    <s v="Yes"/>
    <x v="4"/>
  </r>
  <r>
    <n v="22786"/>
    <n v="409"/>
    <d v="2022-06-16T00:00:00"/>
    <s v="June"/>
    <n v="2022"/>
    <x v="1"/>
    <n v="9"/>
    <s v="Yes"/>
    <x v="3"/>
  </r>
  <r>
    <n v="22787"/>
    <n v="7"/>
    <d v="2022-08-09T00:00:00"/>
    <s v="August"/>
    <n v="2022"/>
    <x v="1"/>
    <n v="41"/>
    <s v="Yes"/>
    <x v="0"/>
  </r>
  <r>
    <n v="22788"/>
    <n v="184"/>
    <d v="2022-03-17T00:00:00"/>
    <s v="March"/>
    <n v="2022"/>
    <x v="0"/>
    <n v="24"/>
    <s v="Yes"/>
    <x v="4"/>
  </r>
  <r>
    <n v="22789"/>
    <n v="382"/>
    <d v="2023-12-23T00:00:00"/>
    <s v="December"/>
    <n v="2023"/>
    <x v="1"/>
    <n v="25"/>
    <s v="Yes"/>
    <x v="4"/>
  </r>
  <r>
    <n v="22790"/>
    <n v="245"/>
    <d v="2022-07-30T00:00:00"/>
    <s v="July"/>
    <n v="2022"/>
    <x v="1"/>
    <n v="36"/>
    <s v="Yes"/>
    <x v="4"/>
  </r>
  <r>
    <n v="22791"/>
    <n v="431"/>
    <d v="2022-08-16T00:00:00"/>
    <s v="August"/>
    <n v="2022"/>
    <x v="0"/>
    <n v="8"/>
    <s v="Yes"/>
    <x v="5"/>
  </r>
  <r>
    <n v="22792"/>
    <n v="371"/>
    <d v="2024-01-07T00:00:00"/>
    <s v="January"/>
    <n v="2024"/>
    <x v="1"/>
    <n v="59"/>
    <s v="Yes"/>
    <x v="4"/>
  </r>
  <r>
    <n v="22793"/>
    <n v="466"/>
    <d v="2023-03-29T00:00:00"/>
    <s v="March"/>
    <n v="2023"/>
    <x v="2"/>
    <n v="35"/>
    <s v="Yes"/>
    <x v="3"/>
  </r>
  <r>
    <n v="22794"/>
    <n v="367"/>
    <d v="2024-02-05T00:00:00"/>
    <s v="February"/>
    <n v="2024"/>
    <x v="0"/>
    <n v="38"/>
    <s v="Yes"/>
    <x v="3"/>
  </r>
  <r>
    <n v="22795"/>
    <n v="82"/>
    <d v="2023-05-02T00:00:00"/>
    <s v="May"/>
    <n v="2023"/>
    <x v="1"/>
    <n v="32"/>
    <s v="Yes"/>
    <x v="5"/>
  </r>
  <r>
    <n v="22796"/>
    <n v="131"/>
    <d v="2023-10-30T00:00:00"/>
    <s v="October"/>
    <n v="2023"/>
    <x v="1"/>
    <n v="51"/>
    <s v="Yes"/>
    <x v="3"/>
  </r>
  <r>
    <n v="22797"/>
    <n v="129"/>
    <d v="2023-04-19T00:00:00"/>
    <s v="April"/>
    <n v="2023"/>
    <x v="0"/>
    <n v="28"/>
    <s v="Yes"/>
    <x v="0"/>
  </r>
  <r>
    <n v="22798"/>
    <n v="289"/>
    <d v="2024-05-24T00:00:00"/>
    <s v="May"/>
    <n v="2024"/>
    <x v="0"/>
    <n v="56"/>
    <s v="Yes"/>
    <x v="2"/>
  </r>
  <r>
    <n v="22799"/>
    <n v="455"/>
    <d v="2023-10-23T00:00:00"/>
    <s v="October"/>
    <n v="2023"/>
    <x v="2"/>
    <n v="8"/>
    <s v="Yes"/>
    <x v="4"/>
  </r>
  <r>
    <n v="22800"/>
    <n v="74"/>
    <d v="2024-04-09T00:00:00"/>
    <s v="April"/>
    <n v="2024"/>
    <x v="1"/>
    <n v="41"/>
    <s v="Yes"/>
    <x v="2"/>
  </r>
  <r>
    <n v="22801"/>
    <n v="364"/>
    <d v="2024-03-01T00:00:00"/>
    <s v="March"/>
    <n v="2024"/>
    <x v="1"/>
    <n v="23"/>
    <s v="Yes"/>
    <x v="4"/>
  </r>
  <r>
    <n v="22802"/>
    <n v="59"/>
    <d v="2023-05-05T00:00:00"/>
    <s v="May"/>
    <n v="2023"/>
    <x v="1"/>
    <n v="54"/>
    <s v="Yes"/>
    <x v="0"/>
  </r>
  <r>
    <n v="22803"/>
    <n v="72"/>
    <d v="2023-01-11T00:00:00"/>
    <s v="January"/>
    <n v="2023"/>
    <x v="0"/>
    <n v="23"/>
    <s v="Yes"/>
    <x v="3"/>
  </r>
  <r>
    <n v="22804"/>
    <n v="160"/>
    <d v="2022-08-19T00:00:00"/>
    <s v="August"/>
    <n v="2022"/>
    <x v="0"/>
    <n v="32"/>
    <s v="No"/>
    <x v="2"/>
  </r>
  <r>
    <n v="22805"/>
    <n v="87"/>
    <d v="2023-12-03T00:00:00"/>
    <s v="December"/>
    <n v="2023"/>
    <x v="0"/>
    <n v="10"/>
    <s v="Yes"/>
    <x v="2"/>
  </r>
  <r>
    <n v="22806"/>
    <n v="401"/>
    <d v="2022-08-13T00:00:00"/>
    <s v="August"/>
    <n v="2022"/>
    <x v="1"/>
    <n v="35"/>
    <s v="Yes"/>
    <x v="5"/>
  </r>
  <r>
    <n v="22807"/>
    <n v="462"/>
    <d v="2023-04-20T00:00:00"/>
    <s v="April"/>
    <n v="2023"/>
    <x v="1"/>
    <n v="63"/>
    <s v="Yes"/>
    <x v="2"/>
  </r>
  <r>
    <n v="22808"/>
    <n v="17"/>
    <d v="2023-07-31T00:00:00"/>
    <s v="July"/>
    <n v="2023"/>
    <x v="0"/>
    <n v="67"/>
    <s v="Yes"/>
    <x v="0"/>
  </r>
  <r>
    <n v="22809"/>
    <n v="89"/>
    <d v="2023-09-12T00:00:00"/>
    <s v="September"/>
    <n v="2023"/>
    <x v="2"/>
    <n v="36"/>
    <s v="Yes"/>
    <x v="4"/>
  </r>
  <r>
    <n v="22810"/>
    <n v="149"/>
    <d v="2022-03-21T00:00:00"/>
    <s v="March"/>
    <n v="2022"/>
    <x v="1"/>
    <n v="49"/>
    <s v="Yes"/>
    <x v="5"/>
  </r>
  <r>
    <n v="22811"/>
    <n v="311"/>
    <d v="2023-10-07T00:00:00"/>
    <s v="October"/>
    <n v="2023"/>
    <x v="2"/>
    <n v="46"/>
    <s v="Yes"/>
    <x v="5"/>
  </r>
  <r>
    <n v="22812"/>
    <n v="6"/>
    <d v="2023-11-17T00:00:00"/>
    <s v="November"/>
    <n v="2023"/>
    <x v="0"/>
    <n v="27"/>
    <s v="Yes"/>
    <x v="0"/>
  </r>
  <r>
    <n v="22813"/>
    <n v="84"/>
    <d v="2023-07-30T00:00:00"/>
    <s v="July"/>
    <n v="2023"/>
    <x v="1"/>
    <n v="31"/>
    <s v="No"/>
    <x v="4"/>
  </r>
  <r>
    <n v="22814"/>
    <n v="433"/>
    <d v="2022-07-29T00:00:00"/>
    <s v="July"/>
    <n v="2022"/>
    <x v="2"/>
    <n v="34"/>
    <s v="Yes"/>
    <x v="5"/>
  </r>
  <r>
    <n v="22815"/>
    <n v="84"/>
    <d v="2022-10-24T00:00:00"/>
    <s v="October"/>
    <n v="2022"/>
    <x v="1"/>
    <n v="59"/>
    <s v="No"/>
    <x v="4"/>
  </r>
  <r>
    <n v="22816"/>
    <n v="250"/>
    <d v="2023-09-02T00:00:00"/>
    <s v="September"/>
    <n v="2023"/>
    <x v="2"/>
    <n v="54"/>
    <s v="Yes"/>
    <x v="1"/>
  </r>
  <r>
    <n v="22817"/>
    <n v="154"/>
    <d v="2022-06-21T00:00:00"/>
    <s v="June"/>
    <n v="2022"/>
    <x v="1"/>
    <n v="66"/>
    <s v="Yes"/>
    <x v="5"/>
  </r>
  <r>
    <n v="22818"/>
    <n v="416"/>
    <d v="2022-03-30T00:00:00"/>
    <s v="March"/>
    <n v="2022"/>
    <x v="2"/>
    <n v="30"/>
    <s v="Yes"/>
    <x v="0"/>
  </r>
  <r>
    <n v="22819"/>
    <n v="72"/>
    <d v="2024-05-23T00:00:00"/>
    <s v="May"/>
    <n v="2024"/>
    <x v="2"/>
    <n v="23"/>
    <s v="No"/>
    <x v="3"/>
  </r>
  <r>
    <n v="22820"/>
    <n v="109"/>
    <d v="2022-08-14T00:00:00"/>
    <s v="August"/>
    <n v="2022"/>
    <x v="0"/>
    <n v="9"/>
    <s v="No"/>
    <x v="1"/>
  </r>
  <r>
    <n v="22821"/>
    <n v="112"/>
    <d v="2022-05-23T00:00:00"/>
    <s v="May"/>
    <n v="2022"/>
    <x v="0"/>
    <n v="55"/>
    <s v="Yes"/>
    <x v="5"/>
  </r>
  <r>
    <n v="22822"/>
    <n v="172"/>
    <d v="2023-12-09T00:00:00"/>
    <s v="December"/>
    <n v="2023"/>
    <x v="2"/>
    <n v="1"/>
    <s v="Yes"/>
    <x v="5"/>
  </r>
  <r>
    <n v="22823"/>
    <n v="187"/>
    <d v="2023-11-22T00:00:00"/>
    <s v="November"/>
    <n v="2023"/>
    <x v="1"/>
    <n v="56"/>
    <s v="No"/>
    <x v="5"/>
  </r>
  <r>
    <n v="22824"/>
    <n v="285"/>
    <d v="2022-02-23T00:00:00"/>
    <s v="February"/>
    <n v="2022"/>
    <x v="2"/>
    <n v="39"/>
    <s v="Yes"/>
    <x v="2"/>
  </r>
  <r>
    <n v="22825"/>
    <n v="273"/>
    <d v="2022-07-15T00:00:00"/>
    <s v="July"/>
    <n v="2022"/>
    <x v="1"/>
    <n v="18"/>
    <s v="Yes"/>
    <x v="3"/>
  </r>
  <r>
    <n v="22826"/>
    <n v="18"/>
    <d v="2023-12-30T00:00:00"/>
    <s v="December"/>
    <n v="2023"/>
    <x v="1"/>
    <n v="42"/>
    <s v="Yes"/>
    <x v="4"/>
  </r>
  <r>
    <n v="22827"/>
    <n v="168"/>
    <d v="2023-05-04T00:00:00"/>
    <s v="May"/>
    <n v="2023"/>
    <x v="1"/>
    <n v="65"/>
    <s v="Yes"/>
    <x v="4"/>
  </r>
  <r>
    <n v="22828"/>
    <n v="319"/>
    <d v="2024-04-24T00:00:00"/>
    <s v="April"/>
    <n v="2024"/>
    <x v="1"/>
    <n v="33"/>
    <s v="Yes"/>
    <x v="5"/>
  </r>
  <r>
    <n v="22829"/>
    <n v="82"/>
    <d v="2022-10-25T00:00:00"/>
    <s v="October"/>
    <n v="2022"/>
    <x v="0"/>
    <n v="30"/>
    <s v="Yes"/>
    <x v="5"/>
  </r>
  <r>
    <n v="22830"/>
    <n v="75"/>
    <d v="2023-03-06T00:00:00"/>
    <s v="March"/>
    <n v="2023"/>
    <x v="2"/>
    <n v="5"/>
    <s v="Yes"/>
    <x v="1"/>
  </r>
  <r>
    <n v="22831"/>
    <n v="429"/>
    <d v="2023-06-21T00:00:00"/>
    <s v="June"/>
    <n v="2023"/>
    <x v="1"/>
    <n v="50"/>
    <s v="Yes"/>
    <x v="2"/>
  </r>
  <r>
    <n v="22832"/>
    <n v="460"/>
    <d v="2023-08-02T00:00:00"/>
    <s v="August"/>
    <n v="2023"/>
    <x v="0"/>
    <n v="65"/>
    <s v="Yes"/>
    <x v="2"/>
  </r>
  <r>
    <n v="22833"/>
    <n v="335"/>
    <d v="2023-11-06T00:00:00"/>
    <s v="November"/>
    <n v="2023"/>
    <x v="1"/>
    <n v="10"/>
    <s v="Yes"/>
    <x v="3"/>
  </r>
  <r>
    <n v="22834"/>
    <n v="346"/>
    <d v="2023-05-15T00:00:00"/>
    <s v="May"/>
    <n v="2023"/>
    <x v="1"/>
    <n v="60"/>
    <s v="Yes"/>
    <x v="5"/>
  </r>
  <r>
    <n v="22835"/>
    <n v="249"/>
    <d v="2023-09-16T00:00:00"/>
    <s v="September"/>
    <n v="2023"/>
    <x v="0"/>
    <n v="27"/>
    <s v="No"/>
    <x v="0"/>
  </r>
  <r>
    <n v="22836"/>
    <n v="131"/>
    <d v="2024-04-20T00:00:00"/>
    <s v="April"/>
    <n v="2024"/>
    <x v="0"/>
    <n v="28"/>
    <s v="Yes"/>
    <x v="3"/>
  </r>
  <r>
    <n v="22837"/>
    <n v="387"/>
    <d v="2022-07-25T00:00:00"/>
    <s v="July"/>
    <n v="2022"/>
    <x v="1"/>
    <n v="45"/>
    <s v="Yes"/>
    <x v="0"/>
  </r>
  <r>
    <n v="22838"/>
    <n v="422"/>
    <d v="2024-05-29T00:00:00"/>
    <s v="May"/>
    <n v="2024"/>
    <x v="2"/>
    <n v="52"/>
    <s v="Yes"/>
    <x v="2"/>
  </r>
  <r>
    <n v="22839"/>
    <n v="355"/>
    <d v="2022-05-17T00:00:00"/>
    <s v="May"/>
    <n v="2022"/>
    <x v="0"/>
    <n v="66"/>
    <s v="Yes"/>
    <x v="0"/>
  </r>
  <r>
    <n v="22840"/>
    <n v="201"/>
    <d v="2023-02-12T00:00:00"/>
    <s v="February"/>
    <n v="2023"/>
    <x v="2"/>
    <n v="62"/>
    <s v="Yes"/>
    <x v="0"/>
  </r>
  <r>
    <n v="22841"/>
    <n v="363"/>
    <d v="2022-10-06T00:00:00"/>
    <s v="October"/>
    <n v="2022"/>
    <x v="1"/>
    <n v="60"/>
    <s v="Yes"/>
    <x v="4"/>
  </r>
  <r>
    <n v="22842"/>
    <n v="296"/>
    <d v="2023-03-21T00:00:00"/>
    <s v="March"/>
    <n v="2023"/>
    <x v="1"/>
    <n v="40"/>
    <s v="Yes"/>
    <x v="2"/>
  </r>
  <r>
    <n v="22843"/>
    <n v="68"/>
    <d v="2023-11-08T00:00:00"/>
    <s v="November"/>
    <n v="2023"/>
    <x v="1"/>
    <n v="15"/>
    <s v="Yes"/>
    <x v="0"/>
  </r>
  <r>
    <n v="22844"/>
    <n v="438"/>
    <d v="2022-09-28T00:00:00"/>
    <s v="September"/>
    <n v="2022"/>
    <x v="1"/>
    <n v="7"/>
    <s v="Yes"/>
    <x v="2"/>
  </r>
  <r>
    <n v="22845"/>
    <n v="20"/>
    <d v="2023-03-17T00:00:00"/>
    <s v="March"/>
    <n v="2023"/>
    <x v="1"/>
    <n v="39"/>
    <s v="Yes"/>
    <x v="2"/>
  </r>
  <r>
    <n v="22846"/>
    <n v="271"/>
    <d v="2022-08-16T00:00:00"/>
    <s v="August"/>
    <n v="2022"/>
    <x v="1"/>
    <n v="51"/>
    <s v="Yes"/>
    <x v="3"/>
  </r>
  <r>
    <n v="22847"/>
    <n v="93"/>
    <d v="2022-05-07T00:00:00"/>
    <s v="May"/>
    <n v="2022"/>
    <x v="2"/>
    <n v="7"/>
    <s v="Yes"/>
    <x v="0"/>
  </r>
  <r>
    <n v="22848"/>
    <n v="133"/>
    <d v="2022-09-27T00:00:00"/>
    <s v="September"/>
    <n v="2022"/>
    <x v="0"/>
    <n v="12"/>
    <s v="Yes"/>
    <x v="3"/>
  </r>
  <r>
    <n v="22849"/>
    <n v="295"/>
    <d v="2024-03-30T00:00:00"/>
    <s v="March"/>
    <n v="2024"/>
    <x v="1"/>
    <n v="14"/>
    <s v="Yes"/>
    <x v="4"/>
  </r>
  <r>
    <n v="22850"/>
    <n v="296"/>
    <d v="2024-01-30T00:00:00"/>
    <s v="January"/>
    <n v="2024"/>
    <x v="0"/>
    <n v="34"/>
    <s v="Yes"/>
    <x v="2"/>
  </r>
  <r>
    <n v="22851"/>
    <n v="135"/>
    <d v="2024-05-01T00:00:00"/>
    <s v="May"/>
    <n v="2024"/>
    <x v="2"/>
    <n v="39"/>
    <s v="Yes"/>
    <x v="5"/>
  </r>
  <r>
    <n v="22852"/>
    <n v="456"/>
    <d v="2023-05-02T00:00:00"/>
    <s v="May"/>
    <n v="2023"/>
    <x v="1"/>
    <n v="64"/>
    <s v="Yes"/>
    <x v="3"/>
  </r>
  <r>
    <n v="22853"/>
    <n v="352"/>
    <d v="2023-07-02T00:00:00"/>
    <s v="July"/>
    <n v="2023"/>
    <x v="1"/>
    <n v="12"/>
    <s v="Yes"/>
    <x v="0"/>
  </r>
  <r>
    <n v="22854"/>
    <n v="356"/>
    <d v="2022-06-04T00:00:00"/>
    <s v="June"/>
    <n v="2022"/>
    <x v="0"/>
    <n v="34"/>
    <s v="Yes"/>
    <x v="0"/>
  </r>
  <r>
    <n v="22855"/>
    <n v="33"/>
    <d v="2023-10-19T00:00:00"/>
    <s v="October"/>
    <n v="2023"/>
    <x v="0"/>
    <n v="27"/>
    <s v="Yes"/>
    <x v="3"/>
  </r>
  <r>
    <n v="22856"/>
    <n v="374"/>
    <d v="2024-02-11T00:00:00"/>
    <s v="February"/>
    <n v="2024"/>
    <x v="0"/>
    <n v="22"/>
    <s v="Yes"/>
    <x v="1"/>
  </r>
  <r>
    <n v="22857"/>
    <n v="293"/>
    <d v="2024-06-17T00:00:00"/>
    <s v="June"/>
    <n v="2024"/>
    <x v="1"/>
    <n v="18"/>
    <s v="Yes"/>
    <x v="5"/>
  </r>
  <r>
    <n v="22858"/>
    <n v="32"/>
    <d v="2022-01-19T00:00:00"/>
    <s v="January"/>
    <n v="2022"/>
    <x v="0"/>
    <n v="46"/>
    <s v="Yes"/>
    <x v="0"/>
  </r>
  <r>
    <n v="22859"/>
    <n v="43"/>
    <d v="2023-03-01T00:00:00"/>
    <s v="March"/>
    <n v="2023"/>
    <x v="0"/>
    <n v="44"/>
    <s v="Yes"/>
    <x v="2"/>
  </r>
  <r>
    <n v="22860"/>
    <n v="447"/>
    <d v="2022-02-27T00:00:00"/>
    <s v="February"/>
    <n v="2022"/>
    <x v="2"/>
    <n v="18"/>
    <s v="Yes"/>
    <x v="4"/>
  </r>
  <r>
    <n v="22861"/>
    <n v="292"/>
    <d v="2023-02-27T00:00:00"/>
    <s v="February"/>
    <n v="2023"/>
    <x v="1"/>
    <n v="37"/>
    <s v="Yes"/>
    <x v="4"/>
  </r>
  <r>
    <n v="22862"/>
    <n v="354"/>
    <d v="2024-02-14T00:00:00"/>
    <s v="February"/>
    <n v="2024"/>
    <x v="1"/>
    <n v="7"/>
    <s v="Yes"/>
    <x v="3"/>
  </r>
  <r>
    <n v="22863"/>
    <n v="305"/>
    <d v="2023-07-02T00:00:00"/>
    <s v="July"/>
    <n v="2023"/>
    <x v="1"/>
    <n v="68"/>
    <s v="Yes"/>
    <x v="5"/>
  </r>
  <r>
    <n v="22864"/>
    <n v="281"/>
    <d v="2023-12-24T00:00:00"/>
    <s v="December"/>
    <n v="2023"/>
    <x v="0"/>
    <n v="60"/>
    <s v="Yes"/>
    <x v="3"/>
  </r>
  <r>
    <n v="22865"/>
    <n v="108"/>
    <d v="2024-04-23T00:00:00"/>
    <s v="April"/>
    <n v="2024"/>
    <x v="2"/>
    <n v="48"/>
    <s v="Yes"/>
    <x v="4"/>
  </r>
  <r>
    <n v="22866"/>
    <n v="96"/>
    <d v="2023-10-22T00:00:00"/>
    <s v="October"/>
    <n v="2023"/>
    <x v="0"/>
    <n v="51"/>
    <s v="No"/>
    <x v="2"/>
  </r>
  <r>
    <n v="22867"/>
    <n v="66"/>
    <d v="2022-04-12T00:00:00"/>
    <s v="April"/>
    <n v="2022"/>
    <x v="1"/>
    <n v="52"/>
    <s v="Yes"/>
    <x v="2"/>
  </r>
  <r>
    <n v="22868"/>
    <n v="9"/>
    <d v="2022-03-17T00:00:00"/>
    <s v="March"/>
    <n v="2022"/>
    <x v="0"/>
    <n v="52"/>
    <s v="Yes"/>
    <x v="0"/>
  </r>
  <r>
    <n v="22869"/>
    <n v="230"/>
    <d v="2023-08-03T00:00:00"/>
    <s v="August"/>
    <n v="2023"/>
    <x v="1"/>
    <n v="54"/>
    <s v="Yes"/>
    <x v="5"/>
  </r>
  <r>
    <n v="22870"/>
    <n v="221"/>
    <d v="2022-03-07T00:00:00"/>
    <s v="March"/>
    <n v="2022"/>
    <x v="0"/>
    <n v="41"/>
    <s v="Yes"/>
    <x v="0"/>
  </r>
  <r>
    <n v="22871"/>
    <n v="358"/>
    <d v="2024-03-25T00:00:00"/>
    <s v="March"/>
    <n v="2024"/>
    <x v="0"/>
    <n v="42"/>
    <s v="Yes"/>
    <x v="1"/>
  </r>
  <r>
    <n v="22872"/>
    <n v="402"/>
    <d v="2024-01-04T00:00:00"/>
    <s v="January"/>
    <n v="2024"/>
    <x v="1"/>
    <n v="22"/>
    <s v="Yes"/>
    <x v="0"/>
  </r>
  <r>
    <n v="22873"/>
    <n v="278"/>
    <d v="2022-05-31T00:00:00"/>
    <s v="May"/>
    <n v="2022"/>
    <x v="0"/>
    <n v="39"/>
    <s v="Yes"/>
    <x v="2"/>
  </r>
  <r>
    <n v="22874"/>
    <n v="99"/>
    <d v="2024-02-25T00:00:00"/>
    <s v="February"/>
    <n v="2024"/>
    <x v="1"/>
    <n v="23"/>
    <s v="Yes"/>
    <x v="2"/>
  </r>
  <r>
    <n v="22875"/>
    <n v="271"/>
    <d v="2023-03-13T00:00:00"/>
    <s v="March"/>
    <n v="2023"/>
    <x v="0"/>
    <n v="48"/>
    <s v="Yes"/>
    <x v="3"/>
  </r>
  <r>
    <n v="22876"/>
    <n v="263"/>
    <d v="2024-02-29T00:00:00"/>
    <s v="February"/>
    <n v="2024"/>
    <x v="0"/>
    <n v="33"/>
    <s v="Yes"/>
    <x v="5"/>
  </r>
  <r>
    <n v="22877"/>
    <n v="397"/>
    <d v="2022-03-09T00:00:00"/>
    <s v="March"/>
    <n v="2022"/>
    <x v="0"/>
    <n v="41"/>
    <s v="Yes"/>
    <x v="0"/>
  </r>
  <r>
    <n v="22878"/>
    <n v="362"/>
    <d v="2022-08-23T00:00:00"/>
    <s v="August"/>
    <n v="2022"/>
    <x v="1"/>
    <n v="30"/>
    <s v="No"/>
    <x v="4"/>
  </r>
  <r>
    <n v="22879"/>
    <n v="164"/>
    <d v="2023-12-16T00:00:00"/>
    <s v="December"/>
    <n v="2023"/>
    <x v="0"/>
    <n v="47"/>
    <s v="Yes"/>
    <x v="5"/>
  </r>
  <r>
    <n v="22880"/>
    <n v="16"/>
    <d v="2024-01-15T00:00:00"/>
    <s v="January"/>
    <n v="2024"/>
    <x v="0"/>
    <n v="57"/>
    <s v="Yes"/>
    <x v="0"/>
  </r>
  <r>
    <n v="22881"/>
    <n v="169"/>
    <d v="2023-11-06T00:00:00"/>
    <s v="November"/>
    <n v="2023"/>
    <x v="2"/>
    <n v="57"/>
    <s v="Yes"/>
    <x v="5"/>
  </r>
  <r>
    <n v="22882"/>
    <n v="21"/>
    <d v="2022-04-08T00:00:00"/>
    <s v="April"/>
    <n v="2022"/>
    <x v="2"/>
    <n v="62"/>
    <s v="Yes"/>
    <x v="2"/>
  </r>
  <r>
    <n v="22883"/>
    <n v="28"/>
    <d v="2022-01-09T00:00:00"/>
    <s v="January"/>
    <n v="2022"/>
    <x v="1"/>
    <n v="57"/>
    <s v="Yes"/>
    <x v="4"/>
  </r>
  <r>
    <n v="22884"/>
    <n v="330"/>
    <d v="2023-05-19T00:00:00"/>
    <s v="May"/>
    <n v="2023"/>
    <x v="1"/>
    <n v="68"/>
    <s v="Yes"/>
    <x v="1"/>
  </r>
  <r>
    <n v="22885"/>
    <n v="83"/>
    <d v="2024-01-31T00:00:00"/>
    <s v="January"/>
    <n v="2024"/>
    <x v="1"/>
    <n v="25"/>
    <s v="Yes"/>
    <x v="0"/>
  </r>
  <r>
    <n v="22886"/>
    <n v="273"/>
    <d v="2023-05-05T00:00:00"/>
    <s v="May"/>
    <n v="2023"/>
    <x v="1"/>
    <n v="40"/>
    <s v="Yes"/>
    <x v="3"/>
  </r>
  <r>
    <n v="22887"/>
    <n v="321"/>
    <d v="2023-03-03T00:00:00"/>
    <s v="March"/>
    <n v="2023"/>
    <x v="0"/>
    <n v="17"/>
    <s v="Yes"/>
    <x v="2"/>
  </r>
  <r>
    <n v="22888"/>
    <n v="397"/>
    <d v="2022-08-15T00:00:00"/>
    <s v="August"/>
    <n v="2022"/>
    <x v="0"/>
    <n v="48"/>
    <s v="Yes"/>
    <x v="0"/>
  </r>
  <r>
    <n v="22889"/>
    <n v="36"/>
    <d v="2024-01-23T00:00:00"/>
    <s v="January"/>
    <n v="2024"/>
    <x v="1"/>
    <n v="39"/>
    <s v="Yes"/>
    <x v="5"/>
  </r>
  <r>
    <n v="22890"/>
    <n v="495"/>
    <d v="2023-08-10T00:00:00"/>
    <s v="August"/>
    <n v="2023"/>
    <x v="1"/>
    <n v="15"/>
    <s v="Yes"/>
    <x v="1"/>
  </r>
  <r>
    <n v="22891"/>
    <n v="314"/>
    <d v="2022-01-17T00:00:00"/>
    <s v="January"/>
    <n v="2022"/>
    <x v="2"/>
    <n v="17"/>
    <s v="Yes"/>
    <x v="5"/>
  </r>
  <r>
    <n v="22892"/>
    <n v="490"/>
    <d v="2023-07-17T00:00:00"/>
    <s v="July"/>
    <n v="2023"/>
    <x v="1"/>
    <n v="35"/>
    <s v="Yes"/>
    <x v="5"/>
  </r>
  <r>
    <n v="22893"/>
    <n v="276"/>
    <d v="2022-08-16T00:00:00"/>
    <s v="August"/>
    <n v="2022"/>
    <x v="2"/>
    <n v="33"/>
    <s v="Yes"/>
    <x v="2"/>
  </r>
  <r>
    <n v="22894"/>
    <n v="233"/>
    <d v="2023-12-07T00:00:00"/>
    <s v="December"/>
    <n v="2023"/>
    <x v="1"/>
    <n v="18"/>
    <s v="Yes"/>
    <x v="1"/>
  </r>
  <r>
    <n v="22895"/>
    <n v="104"/>
    <d v="2024-03-02T00:00:00"/>
    <s v="March"/>
    <n v="2024"/>
    <x v="1"/>
    <n v="30"/>
    <s v="Yes"/>
    <x v="3"/>
  </r>
  <r>
    <n v="22896"/>
    <n v="436"/>
    <d v="2022-08-26T00:00:00"/>
    <s v="August"/>
    <n v="2022"/>
    <x v="0"/>
    <n v="37"/>
    <s v="Yes"/>
    <x v="4"/>
  </r>
  <r>
    <n v="22897"/>
    <n v="6"/>
    <d v="2023-01-16T00:00:00"/>
    <s v="January"/>
    <n v="2023"/>
    <x v="1"/>
    <n v="7"/>
    <s v="Yes"/>
    <x v="0"/>
  </r>
  <r>
    <n v="22898"/>
    <n v="23"/>
    <d v="2024-02-22T00:00:00"/>
    <s v="February"/>
    <n v="2024"/>
    <x v="2"/>
    <n v="28"/>
    <s v="Yes"/>
    <x v="3"/>
  </r>
  <r>
    <n v="22899"/>
    <n v="170"/>
    <d v="2023-01-22T00:00:00"/>
    <s v="January"/>
    <n v="2023"/>
    <x v="0"/>
    <n v="18"/>
    <s v="Yes"/>
    <x v="4"/>
  </r>
  <r>
    <n v="22900"/>
    <n v="152"/>
    <d v="2023-10-31T00:00:00"/>
    <s v="October"/>
    <n v="2023"/>
    <x v="2"/>
    <n v="47"/>
    <s v="Yes"/>
    <x v="0"/>
  </r>
  <r>
    <n v="22901"/>
    <n v="244"/>
    <d v="2022-09-11T00:00:00"/>
    <s v="September"/>
    <n v="2022"/>
    <x v="1"/>
    <n v="23"/>
    <s v="No"/>
    <x v="0"/>
  </r>
  <r>
    <n v="22902"/>
    <n v="241"/>
    <d v="2022-11-04T00:00:00"/>
    <s v="November"/>
    <n v="2022"/>
    <x v="0"/>
    <n v="20"/>
    <s v="Yes"/>
    <x v="1"/>
  </r>
  <r>
    <n v="22903"/>
    <n v="261"/>
    <d v="2024-04-01T00:00:00"/>
    <s v="April"/>
    <n v="2024"/>
    <x v="2"/>
    <n v="31"/>
    <s v="Yes"/>
    <x v="1"/>
  </r>
  <r>
    <n v="22904"/>
    <n v="416"/>
    <d v="2022-11-10T00:00:00"/>
    <s v="November"/>
    <n v="2022"/>
    <x v="1"/>
    <n v="14"/>
    <s v="Yes"/>
    <x v="0"/>
  </r>
  <r>
    <n v="22905"/>
    <n v="46"/>
    <d v="2022-10-28T00:00:00"/>
    <s v="October"/>
    <n v="2022"/>
    <x v="2"/>
    <n v="23"/>
    <s v="Yes"/>
    <x v="4"/>
  </r>
  <r>
    <n v="22906"/>
    <n v="273"/>
    <d v="2022-04-28T00:00:00"/>
    <s v="April"/>
    <n v="2022"/>
    <x v="1"/>
    <n v="2"/>
    <s v="Yes"/>
    <x v="3"/>
  </r>
  <r>
    <n v="22907"/>
    <n v="75"/>
    <d v="2024-04-24T00:00:00"/>
    <s v="April"/>
    <n v="2024"/>
    <x v="2"/>
    <n v="29"/>
    <s v="Yes"/>
    <x v="1"/>
  </r>
  <r>
    <n v="22908"/>
    <n v="283"/>
    <d v="2022-02-19T00:00:00"/>
    <s v="February"/>
    <n v="2022"/>
    <x v="1"/>
    <n v="50"/>
    <s v="Yes"/>
    <x v="2"/>
  </r>
  <r>
    <n v="22909"/>
    <n v="196"/>
    <d v="2024-02-29T00:00:00"/>
    <s v="February"/>
    <n v="2024"/>
    <x v="2"/>
    <n v="59"/>
    <s v="No"/>
    <x v="3"/>
  </r>
  <r>
    <n v="22910"/>
    <n v="23"/>
    <d v="2023-07-18T00:00:00"/>
    <s v="July"/>
    <n v="2023"/>
    <x v="0"/>
    <n v="33"/>
    <s v="No"/>
    <x v="3"/>
  </r>
  <r>
    <n v="22911"/>
    <n v="87"/>
    <d v="2022-06-30T00:00:00"/>
    <s v="June"/>
    <n v="2022"/>
    <x v="1"/>
    <n v="48"/>
    <s v="Yes"/>
    <x v="2"/>
  </r>
  <r>
    <n v="22912"/>
    <n v="369"/>
    <d v="2023-06-27T00:00:00"/>
    <s v="June"/>
    <n v="2023"/>
    <x v="1"/>
    <n v="44"/>
    <s v="Yes"/>
    <x v="2"/>
  </r>
  <r>
    <n v="22913"/>
    <n v="121"/>
    <d v="2022-11-23T00:00:00"/>
    <s v="November"/>
    <n v="2022"/>
    <x v="2"/>
    <n v="12"/>
    <s v="Yes"/>
    <x v="5"/>
  </r>
  <r>
    <n v="22914"/>
    <n v="418"/>
    <d v="2023-05-18T00:00:00"/>
    <s v="May"/>
    <n v="2023"/>
    <x v="1"/>
    <n v="42"/>
    <s v="Yes"/>
    <x v="1"/>
  </r>
  <r>
    <n v="22915"/>
    <n v="149"/>
    <d v="2023-05-11T00:00:00"/>
    <s v="May"/>
    <n v="2023"/>
    <x v="0"/>
    <n v="35"/>
    <s v="Yes"/>
    <x v="5"/>
  </r>
  <r>
    <n v="22916"/>
    <n v="150"/>
    <d v="2022-09-03T00:00:00"/>
    <s v="September"/>
    <n v="2022"/>
    <x v="2"/>
    <n v="41"/>
    <s v="Yes"/>
    <x v="0"/>
  </r>
  <r>
    <n v="22917"/>
    <n v="65"/>
    <d v="2023-08-25T00:00:00"/>
    <s v="August"/>
    <n v="2023"/>
    <x v="2"/>
    <n v="55"/>
    <s v="No"/>
    <x v="4"/>
  </r>
  <r>
    <n v="22918"/>
    <n v="160"/>
    <d v="2023-06-27T00:00:00"/>
    <s v="June"/>
    <n v="2023"/>
    <x v="2"/>
    <n v="13"/>
    <s v="Yes"/>
    <x v="2"/>
  </r>
  <r>
    <n v="22919"/>
    <n v="446"/>
    <d v="2022-04-12T00:00:00"/>
    <s v="April"/>
    <n v="2022"/>
    <x v="0"/>
    <n v="39"/>
    <s v="Yes"/>
    <x v="3"/>
  </r>
  <r>
    <n v="22920"/>
    <n v="284"/>
    <d v="2022-08-18T00:00:00"/>
    <s v="August"/>
    <n v="2022"/>
    <x v="0"/>
    <n v="66"/>
    <s v="Yes"/>
    <x v="5"/>
  </r>
  <r>
    <n v="22921"/>
    <n v="82"/>
    <d v="2023-01-23T00:00:00"/>
    <s v="January"/>
    <n v="2023"/>
    <x v="1"/>
    <n v="35"/>
    <s v="Yes"/>
    <x v="5"/>
  </r>
  <r>
    <n v="22922"/>
    <n v="7"/>
    <d v="2023-09-01T00:00:00"/>
    <s v="September"/>
    <n v="2023"/>
    <x v="2"/>
    <n v="33"/>
    <s v="Yes"/>
    <x v="0"/>
  </r>
  <r>
    <n v="22923"/>
    <n v="182"/>
    <d v="2023-08-02T00:00:00"/>
    <s v="August"/>
    <n v="2023"/>
    <x v="0"/>
    <n v="36"/>
    <s v="Yes"/>
    <x v="0"/>
  </r>
  <r>
    <n v="22924"/>
    <n v="358"/>
    <d v="2023-12-05T00:00:00"/>
    <s v="December"/>
    <n v="2023"/>
    <x v="1"/>
    <n v="13"/>
    <s v="Yes"/>
    <x v="1"/>
  </r>
  <r>
    <n v="22925"/>
    <n v="454"/>
    <d v="2022-07-30T00:00:00"/>
    <s v="July"/>
    <n v="2022"/>
    <x v="0"/>
    <n v="56"/>
    <s v="Yes"/>
    <x v="5"/>
  </r>
  <r>
    <n v="22926"/>
    <n v="14"/>
    <d v="2023-10-11T00:00:00"/>
    <s v="October"/>
    <n v="2023"/>
    <x v="0"/>
    <n v="46"/>
    <s v="Yes"/>
    <x v="1"/>
  </r>
  <r>
    <n v="22927"/>
    <n v="478"/>
    <d v="2023-03-06T00:00:00"/>
    <s v="March"/>
    <n v="2023"/>
    <x v="0"/>
    <n v="46"/>
    <s v="Yes"/>
    <x v="5"/>
  </r>
  <r>
    <n v="22928"/>
    <n v="183"/>
    <d v="2022-12-05T00:00:00"/>
    <s v="December"/>
    <n v="2022"/>
    <x v="1"/>
    <n v="44"/>
    <s v="Yes"/>
    <x v="2"/>
  </r>
  <r>
    <n v="22929"/>
    <n v="314"/>
    <d v="2022-07-03T00:00:00"/>
    <s v="July"/>
    <n v="2022"/>
    <x v="0"/>
    <n v="46"/>
    <s v="Yes"/>
    <x v="5"/>
  </r>
  <r>
    <n v="22930"/>
    <n v="44"/>
    <d v="2022-02-25T00:00:00"/>
    <s v="February"/>
    <n v="2022"/>
    <x v="0"/>
    <n v="69"/>
    <s v="Yes"/>
    <x v="1"/>
  </r>
  <r>
    <n v="22931"/>
    <n v="174"/>
    <d v="2024-02-01T00:00:00"/>
    <s v="February"/>
    <n v="2024"/>
    <x v="0"/>
    <n v="31"/>
    <s v="Yes"/>
    <x v="1"/>
  </r>
  <r>
    <n v="22932"/>
    <n v="14"/>
    <d v="2022-10-09T00:00:00"/>
    <s v="October"/>
    <n v="2022"/>
    <x v="2"/>
    <n v="24"/>
    <s v="Yes"/>
    <x v="1"/>
  </r>
  <r>
    <n v="22933"/>
    <n v="300"/>
    <d v="2023-07-26T00:00:00"/>
    <s v="July"/>
    <n v="2023"/>
    <x v="0"/>
    <n v="32"/>
    <s v="Yes"/>
    <x v="1"/>
  </r>
  <r>
    <n v="22934"/>
    <n v="425"/>
    <d v="2022-05-08T00:00:00"/>
    <s v="May"/>
    <n v="2022"/>
    <x v="2"/>
    <n v="67"/>
    <s v="Yes"/>
    <x v="2"/>
  </r>
  <r>
    <n v="22935"/>
    <n v="73"/>
    <d v="2023-12-18T00:00:00"/>
    <s v="December"/>
    <n v="2023"/>
    <x v="0"/>
    <n v="16"/>
    <s v="Yes"/>
    <x v="3"/>
  </r>
  <r>
    <n v="22936"/>
    <n v="223"/>
    <d v="2023-12-27T00:00:00"/>
    <s v="December"/>
    <n v="2023"/>
    <x v="2"/>
    <n v="57"/>
    <s v="Yes"/>
    <x v="0"/>
  </r>
  <r>
    <n v="22937"/>
    <n v="2"/>
    <d v="2023-10-01T00:00:00"/>
    <s v="October"/>
    <n v="2023"/>
    <x v="0"/>
    <n v="24"/>
    <s v="Yes"/>
    <x v="5"/>
  </r>
  <r>
    <n v="22938"/>
    <n v="210"/>
    <d v="2023-05-23T00:00:00"/>
    <s v="May"/>
    <n v="2023"/>
    <x v="2"/>
    <n v="34"/>
    <s v="Yes"/>
    <x v="3"/>
  </r>
  <r>
    <n v="22939"/>
    <n v="261"/>
    <d v="2023-08-07T00:00:00"/>
    <s v="August"/>
    <n v="2023"/>
    <x v="2"/>
    <n v="52"/>
    <s v="Yes"/>
    <x v="1"/>
  </r>
  <r>
    <n v="22940"/>
    <n v="90"/>
    <d v="2022-08-04T00:00:00"/>
    <s v="August"/>
    <n v="2022"/>
    <x v="2"/>
    <n v="48"/>
    <s v="Yes"/>
    <x v="1"/>
  </r>
  <r>
    <n v="22941"/>
    <n v="343"/>
    <d v="2022-03-31T00:00:00"/>
    <s v="March"/>
    <n v="2022"/>
    <x v="0"/>
    <n v="53"/>
    <s v="Yes"/>
    <x v="4"/>
  </r>
  <r>
    <n v="22942"/>
    <n v="396"/>
    <d v="2022-11-10T00:00:00"/>
    <s v="November"/>
    <n v="2022"/>
    <x v="1"/>
    <n v="55"/>
    <s v="Yes"/>
    <x v="3"/>
  </r>
  <r>
    <n v="22943"/>
    <n v="334"/>
    <d v="2022-08-21T00:00:00"/>
    <s v="August"/>
    <n v="2022"/>
    <x v="2"/>
    <n v="38"/>
    <s v="Yes"/>
    <x v="5"/>
  </r>
  <r>
    <n v="22944"/>
    <n v="252"/>
    <d v="2024-01-15T00:00:00"/>
    <s v="January"/>
    <n v="2024"/>
    <x v="2"/>
    <n v="2"/>
    <s v="No"/>
    <x v="2"/>
  </r>
  <r>
    <n v="22945"/>
    <n v="383"/>
    <d v="2023-07-29T00:00:00"/>
    <s v="July"/>
    <n v="2023"/>
    <x v="2"/>
    <n v="69"/>
    <s v="Yes"/>
    <x v="3"/>
  </r>
  <r>
    <n v="22946"/>
    <n v="333"/>
    <d v="2024-06-06T00:00:00"/>
    <s v="June"/>
    <n v="2024"/>
    <x v="2"/>
    <n v="53"/>
    <s v="Yes"/>
    <x v="0"/>
  </r>
  <r>
    <n v="22947"/>
    <n v="355"/>
    <d v="2022-09-04T00:00:00"/>
    <s v="September"/>
    <n v="2022"/>
    <x v="2"/>
    <n v="50"/>
    <s v="No"/>
    <x v="0"/>
  </r>
  <r>
    <n v="22948"/>
    <n v="47"/>
    <d v="2023-03-18T00:00:00"/>
    <s v="March"/>
    <n v="2023"/>
    <x v="1"/>
    <n v="29"/>
    <s v="Yes"/>
    <x v="2"/>
  </r>
  <r>
    <n v="22949"/>
    <n v="335"/>
    <d v="2024-06-17T00:00:00"/>
    <s v="June"/>
    <n v="2024"/>
    <x v="0"/>
    <n v="55"/>
    <s v="Yes"/>
    <x v="3"/>
  </r>
  <r>
    <n v="22950"/>
    <n v="163"/>
    <d v="2022-05-15T00:00:00"/>
    <s v="May"/>
    <n v="2022"/>
    <x v="1"/>
    <n v="61"/>
    <s v="Yes"/>
    <x v="2"/>
  </r>
  <r>
    <n v="22951"/>
    <n v="116"/>
    <d v="2024-05-31T00:00:00"/>
    <s v="May"/>
    <n v="2024"/>
    <x v="0"/>
    <n v="50"/>
    <s v="Yes"/>
    <x v="5"/>
  </r>
  <r>
    <n v="22952"/>
    <n v="403"/>
    <d v="2022-01-02T00:00:00"/>
    <s v="January"/>
    <n v="2022"/>
    <x v="1"/>
    <n v="16"/>
    <s v="Yes"/>
    <x v="4"/>
  </r>
  <r>
    <n v="22953"/>
    <n v="79"/>
    <d v="2022-06-10T00:00:00"/>
    <s v="June"/>
    <n v="2022"/>
    <x v="0"/>
    <n v="70"/>
    <s v="Yes"/>
    <x v="4"/>
  </r>
  <r>
    <n v="22954"/>
    <n v="447"/>
    <d v="2022-05-20T00:00:00"/>
    <s v="May"/>
    <n v="2022"/>
    <x v="2"/>
    <n v="44"/>
    <s v="Yes"/>
    <x v="4"/>
  </r>
  <r>
    <n v="22955"/>
    <n v="371"/>
    <d v="2022-10-31T00:00:00"/>
    <s v="October"/>
    <n v="2022"/>
    <x v="0"/>
    <n v="16"/>
    <s v="Yes"/>
    <x v="4"/>
  </r>
  <r>
    <n v="22956"/>
    <n v="8"/>
    <d v="2023-04-05T00:00:00"/>
    <s v="April"/>
    <n v="2023"/>
    <x v="0"/>
    <n v="28"/>
    <s v="Yes"/>
    <x v="1"/>
  </r>
  <r>
    <n v="22957"/>
    <n v="23"/>
    <d v="2024-03-31T00:00:00"/>
    <s v="March"/>
    <n v="2024"/>
    <x v="2"/>
    <n v="57"/>
    <s v="Yes"/>
    <x v="3"/>
  </r>
  <r>
    <n v="22958"/>
    <n v="269"/>
    <d v="2023-12-15T00:00:00"/>
    <s v="December"/>
    <n v="2023"/>
    <x v="2"/>
    <n v="26"/>
    <s v="No"/>
    <x v="5"/>
  </r>
  <r>
    <n v="22959"/>
    <n v="279"/>
    <d v="2022-05-05T00:00:00"/>
    <s v="May"/>
    <n v="2022"/>
    <x v="0"/>
    <n v="11"/>
    <s v="Yes"/>
    <x v="4"/>
  </r>
  <r>
    <n v="22960"/>
    <n v="31"/>
    <d v="2024-06-03T00:00:00"/>
    <s v="June"/>
    <n v="2024"/>
    <x v="0"/>
    <n v="1"/>
    <s v="Yes"/>
    <x v="5"/>
  </r>
  <r>
    <n v="22961"/>
    <n v="414"/>
    <d v="2022-12-13T00:00:00"/>
    <s v="December"/>
    <n v="2022"/>
    <x v="2"/>
    <n v="69"/>
    <s v="Yes"/>
    <x v="4"/>
  </r>
  <r>
    <n v="22962"/>
    <n v="170"/>
    <d v="2023-08-17T00:00:00"/>
    <s v="August"/>
    <n v="2023"/>
    <x v="1"/>
    <n v="43"/>
    <s v="Yes"/>
    <x v="4"/>
  </r>
  <r>
    <n v="22963"/>
    <n v="130"/>
    <d v="2022-11-20T00:00:00"/>
    <s v="November"/>
    <n v="2022"/>
    <x v="2"/>
    <n v="46"/>
    <s v="Yes"/>
    <x v="3"/>
  </r>
  <r>
    <n v="22964"/>
    <n v="395"/>
    <d v="2023-02-11T00:00:00"/>
    <s v="February"/>
    <n v="2023"/>
    <x v="0"/>
    <n v="36"/>
    <s v="Yes"/>
    <x v="4"/>
  </r>
  <r>
    <n v="22965"/>
    <n v="409"/>
    <d v="2023-04-14T00:00:00"/>
    <s v="April"/>
    <n v="2023"/>
    <x v="0"/>
    <n v="66"/>
    <s v="Yes"/>
    <x v="3"/>
  </r>
  <r>
    <n v="22966"/>
    <n v="157"/>
    <d v="2022-06-13T00:00:00"/>
    <s v="June"/>
    <n v="2022"/>
    <x v="0"/>
    <n v="57"/>
    <s v="No"/>
    <x v="5"/>
  </r>
  <r>
    <n v="22967"/>
    <n v="22"/>
    <d v="2024-05-11T00:00:00"/>
    <s v="May"/>
    <n v="2024"/>
    <x v="2"/>
    <n v="6"/>
    <s v="Yes"/>
    <x v="2"/>
  </r>
  <r>
    <n v="22968"/>
    <n v="126"/>
    <d v="2022-08-28T00:00:00"/>
    <s v="August"/>
    <n v="2022"/>
    <x v="2"/>
    <n v="62"/>
    <s v="Yes"/>
    <x v="5"/>
  </r>
  <r>
    <n v="22969"/>
    <n v="403"/>
    <d v="2022-08-01T00:00:00"/>
    <s v="August"/>
    <n v="2022"/>
    <x v="1"/>
    <n v="27"/>
    <s v="Yes"/>
    <x v="4"/>
  </r>
  <r>
    <n v="22970"/>
    <n v="457"/>
    <d v="2022-05-29T00:00:00"/>
    <s v="May"/>
    <n v="2022"/>
    <x v="0"/>
    <n v="26"/>
    <s v="Yes"/>
    <x v="4"/>
  </r>
  <r>
    <n v="22971"/>
    <n v="169"/>
    <d v="2023-08-07T00:00:00"/>
    <s v="August"/>
    <n v="2023"/>
    <x v="0"/>
    <n v="13"/>
    <s v="Yes"/>
    <x v="5"/>
  </r>
  <r>
    <n v="22972"/>
    <n v="166"/>
    <d v="2022-04-13T00:00:00"/>
    <s v="April"/>
    <n v="2022"/>
    <x v="2"/>
    <n v="18"/>
    <s v="Yes"/>
    <x v="4"/>
  </r>
  <r>
    <n v="22973"/>
    <n v="157"/>
    <d v="2022-07-02T00:00:00"/>
    <s v="July"/>
    <n v="2022"/>
    <x v="0"/>
    <n v="38"/>
    <s v="Yes"/>
    <x v="5"/>
  </r>
  <r>
    <n v="22974"/>
    <n v="330"/>
    <d v="2023-05-20T00:00:00"/>
    <s v="May"/>
    <n v="2023"/>
    <x v="1"/>
    <n v="6"/>
    <s v="Yes"/>
    <x v="1"/>
  </r>
  <r>
    <n v="22975"/>
    <n v="22"/>
    <d v="2023-11-27T00:00:00"/>
    <s v="November"/>
    <n v="2023"/>
    <x v="2"/>
    <n v="28"/>
    <s v="Yes"/>
    <x v="2"/>
  </r>
  <r>
    <n v="22976"/>
    <n v="472"/>
    <d v="2023-06-09T00:00:00"/>
    <s v="June"/>
    <n v="2023"/>
    <x v="0"/>
    <n v="5"/>
    <s v="Yes"/>
    <x v="0"/>
  </r>
  <r>
    <n v="22977"/>
    <n v="264"/>
    <d v="2023-01-15T00:00:00"/>
    <s v="January"/>
    <n v="2023"/>
    <x v="2"/>
    <n v="59"/>
    <s v="Yes"/>
    <x v="0"/>
  </r>
  <r>
    <n v="22978"/>
    <n v="303"/>
    <d v="2024-01-14T00:00:00"/>
    <s v="January"/>
    <n v="2024"/>
    <x v="2"/>
    <n v="45"/>
    <s v="Yes"/>
    <x v="0"/>
  </r>
  <r>
    <n v="22979"/>
    <n v="390"/>
    <d v="2023-10-24T00:00:00"/>
    <s v="October"/>
    <n v="2023"/>
    <x v="1"/>
    <n v="53"/>
    <s v="No"/>
    <x v="0"/>
  </r>
  <r>
    <n v="22980"/>
    <n v="263"/>
    <d v="2024-02-14T00:00:00"/>
    <s v="February"/>
    <n v="2024"/>
    <x v="2"/>
    <n v="2"/>
    <s v="No"/>
    <x v="5"/>
  </r>
  <r>
    <n v="22981"/>
    <n v="212"/>
    <d v="2022-01-24T00:00:00"/>
    <s v="January"/>
    <n v="2022"/>
    <x v="0"/>
    <n v="49"/>
    <s v="No"/>
    <x v="4"/>
  </r>
  <r>
    <n v="22982"/>
    <n v="465"/>
    <d v="2023-12-02T00:00:00"/>
    <s v="December"/>
    <n v="2023"/>
    <x v="1"/>
    <n v="63"/>
    <s v="Yes"/>
    <x v="0"/>
  </r>
  <r>
    <n v="22983"/>
    <n v="164"/>
    <d v="2022-05-13T00:00:00"/>
    <s v="May"/>
    <n v="2022"/>
    <x v="2"/>
    <n v="70"/>
    <s v="Yes"/>
    <x v="5"/>
  </r>
  <r>
    <n v="22984"/>
    <n v="136"/>
    <d v="2022-02-19T00:00:00"/>
    <s v="February"/>
    <n v="2022"/>
    <x v="0"/>
    <n v="58"/>
    <s v="No"/>
    <x v="5"/>
  </r>
  <r>
    <n v="22985"/>
    <n v="252"/>
    <d v="2023-11-26T00:00:00"/>
    <s v="November"/>
    <n v="2023"/>
    <x v="2"/>
    <n v="4"/>
    <s v="No"/>
    <x v="2"/>
  </r>
  <r>
    <n v="22986"/>
    <n v="205"/>
    <d v="2022-01-26T00:00:00"/>
    <s v="January"/>
    <n v="2022"/>
    <x v="2"/>
    <n v="30"/>
    <s v="Yes"/>
    <x v="2"/>
  </r>
  <r>
    <n v="22987"/>
    <n v="344"/>
    <d v="2023-10-12T00:00:00"/>
    <s v="October"/>
    <n v="2023"/>
    <x v="1"/>
    <n v="57"/>
    <s v="Yes"/>
    <x v="3"/>
  </r>
  <r>
    <n v="22988"/>
    <n v="302"/>
    <d v="2022-01-11T00:00:00"/>
    <s v="January"/>
    <n v="2022"/>
    <x v="1"/>
    <n v="47"/>
    <s v="Yes"/>
    <x v="3"/>
  </r>
  <r>
    <n v="22989"/>
    <n v="242"/>
    <d v="2024-03-18T00:00:00"/>
    <s v="March"/>
    <n v="2024"/>
    <x v="1"/>
    <n v="18"/>
    <s v="No"/>
    <x v="2"/>
  </r>
  <r>
    <n v="22990"/>
    <n v="320"/>
    <d v="2022-04-12T00:00:00"/>
    <s v="April"/>
    <n v="2022"/>
    <x v="1"/>
    <n v="44"/>
    <s v="Yes"/>
    <x v="2"/>
  </r>
  <r>
    <n v="22991"/>
    <n v="415"/>
    <d v="2022-01-11T00:00:00"/>
    <s v="January"/>
    <n v="2022"/>
    <x v="0"/>
    <n v="52"/>
    <s v="Yes"/>
    <x v="4"/>
  </r>
  <r>
    <n v="22992"/>
    <n v="279"/>
    <d v="2022-04-22T00:00:00"/>
    <s v="April"/>
    <n v="2022"/>
    <x v="2"/>
    <n v="49"/>
    <s v="Yes"/>
    <x v="4"/>
  </r>
  <r>
    <n v="22993"/>
    <n v="61"/>
    <d v="2023-08-29T00:00:00"/>
    <s v="August"/>
    <n v="2023"/>
    <x v="1"/>
    <n v="30"/>
    <s v="Yes"/>
    <x v="2"/>
  </r>
  <r>
    <n v="22994"/>
    <n v="465"/>
    <d v="2024-02-11T00:00:00"/>
    <s v="February"/>
    <n v="2024"/>
    <x v="0"/>
    <n v="52"/>
    <s v="Yes"/>
    <x v="0"/>
  </r>
  <r>
    <n v="22995"/>
    <n v="306"/>
    <d v="2024-02-09T00:00:00"/>
    <s v="February"/>
    <n v="2024"/>
    <x v="1"/>
    <n v="37"/>
    <s v="Yes"/>
    <x v="0"/>
  </r>
  <r>
    <n v="22996"/>
    <n v="302"/>
    <d v="2022-06-16T00:00:00"/>
    <s v="June"/>
    <n v="2022"/>
    <x v="2"/>
    <n v="63"/>
    <s v="Yes"/>
    <x v="3"/>
  </r>
  <r>
    <n v="22997"/>
    <n v="472"/>
    <d v="2023-12-22T00:00:00"/>
    <s v="December"/>
    <n v="2023"/>
    <x v="1"/>
    <n v="12"/>
    <s v="Yes"/>
    <x v="0"/>
  </r>
  <r>
    <n v="22998"/>
    <n v="299"/>
    <d v="2023-02-11T00:00:00"/>
    <s v="February"/>
    <n v="2023"/>
    <x v="2"/>
    <n v="17"/>
    <s v="Yes"/>
    <x v="0"/>
  </r>
  <r>
    <n v="22999"/>
    <n v="394"/>
    <d v="2022-02-14T00:00:00"/>
    <s v="February"/>
    <n v="2022"/>
    <x v="2"/>
    <n v="34"/>
    <s v="Yes"/>
    <x v="4"/>
  </r>
  <r>
    <n v="23000"/>
    <n v="95"/>
    <d v="2024-04-21T00:00:00"/>
    <s v="April"/>
    <n v="2024"/>
    <x v="0"/>
    <n v="28"/>
    <s v="Ye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2384C-0842-460C-9920-0F88728A66EF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8">
    <pivotField showAll="0"/>
    <pivotField showAll="0"/>
    <pivotField numFmtId="166" showAll="0"/>
    <pivotField showAll="0"/>
    <pivotField showAll="0"/>
    <pivotField axis="axisRow" dataField="1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</pivotFields>
  <rowFields count="1">
    <field x="5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 t="grand">
      <x/>
    </i>
  </rowItems>
  <colItems count="1">
    <i/>
  </colItems>
  <dataFields count="1">
    <dataField name="Count of data_used_gb" fld="5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19915-ED14-4A34-AFB3-11D2A0D51C70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9">
    <pivotField dataField="1" showAll="0"/>
    <pivotField showAll="0"/>
    <pivotField numFmtId="166"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axis="axisRow" showAll="0">
      <items count="7">
        <item x="0"/>
        <item x="5"/>
        <item x="4"/>
        <item x="2"/>
        <item x="3"/>
        <item x="1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issue_id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3FC9F5-B093-4D68-9D72-35F40763E67E}" name="Table2" displayName="Table2" ref="A1:G501" totalsRowShown="0">
  <autoFilter ref="A1:G501" xr:uid="{00000000-0001-0000-0000-000000000000}"/>
  <tableColumns count="7">
    <tableColumn id="1" xr3:uid="{D12428D4-C6C0-4C1D-88D6-329D07B5AE32}" name="customer_id"/>
    <tableColumn id="2" xr3:uid="{875FCC63-7A0F-4905-BA65-265F20D70803}" name="customer_type"/>
    <tableColumn id="3" xr3:uid="{9ABC0CD5-161F-4D14-8770-6251504FFFEC}" name="age"/>
    <tableColumn id="4" xr3:uid="{118759CF-A5CB-45F3-A509-F7B8B70DC93E}" name="city"/>
    <tableColumn id="5" xr3:uid="{65AA7A48-8427-4A22-868B-281C63B778D7}" name="signup_date" dataDxfId="22"/>
    <tableColumn id="6" xr3:uid="{1E0388F6-E5DC-4768-9C79-744E34A76C2F}" name="signup_month" dataDxfId="13">
      <calculatedColumnFormula>TEXT(E2,"mmmm")</calculatedColumnFormula>
    </tableColumn>
    <tableColumn id="7" xr3:uid="{FE255C2B-F8A7-466C-A71A-AAB239209FF4}" name="signup_year">
      <calculatedColumnFormula>YEAR(E2)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B066B5-6814-4E06-AE55-C792B6D664B8}" name="Table3" displayName="Table3" ref="A1:I6001" totalsRowShown="0" headerRowDxfId="8" headerRowBorderDxfId="6" tableBorderDxfId="7">
  <autoFilter ref="A1:I6001" xr:uid="{AFB066B5-6814-4E06-AE55-C792B6D664B8}"/>
  <tableColumns count="9">
    <tableColumn id="1" xr3:uid="{763BFF6F-29C9-418F-A2F3-37EE825A7E29}" name="usage_id"/>
    <tableColumn id="2" xr3:uid="{791F2C4C-3E79-417A-8FC5-303B605CAA85}" name="customer_id"/>
    <tableColumn id="3" xr3:uid="{E102133E-085E-4F8E-8EFE-3A4D83419C1B}" name="usage_date" dataDxfId="5"/>
    <tableColumn id="7" xr3:uid="{37ED9B10-3B9C-4352-A826-C907CBBCCC0A}" name="usage_month" dataDxfId="4">
      <calculatedColumnFormula>TEXT(Table3[[#This Row],[usage_date]],"mmmm")</calculatedColumnFormula>
    </tableColumn>
    <tableColumn id="8" xr3:uid="{F989B560-D1ED-4EBA-B16A-CB3C993473C1}" name="usage_year" dataDxfId="3">
      <calculatedColumnFormula>YEAR(Table3[[#This Row],[usage_date]])</calculatedColumnFormula>
    </tableColumn>
    <tableColumn id="4" xr3:uid="{DD4C3753-E39C-4644-B5D6-218EAFB3FF93}" name="data_used_gb" dataDxfId="2"/>
    <tableColumn id="5" xr3:uid="{14C37B52-5F26-407B-A6A7-C4BFAD392DE6}" name="call_minutes"/>
    <tableColumn id="6" xr3:uid="{83451E23-9643-463B-87F2-126409699972}" name="network_type"/>
    <tableColumn id="9" xr3:uid="{05DB7A00-C363-4423-AB54-B888F437D7F3}" name="usage_category" dataDxfId="1">
      <calculatedColumnFormula>IF(F2&gt;6,"High Usage","Normal Usage")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3D5F8F-A17B-469D-B976-F2098E6CBD3E}" name="Table4" displayName="Table4" ref="A1:I3001" totalsRowShown="0" headerRowDxfId="18" headerRowBorderDxfId="20" tableBorderDxfId="21">
  <autoFilter ref="A1:I3001" xr:uid="{AE3D5F8F-A17B-469D-B976-F2098E6CBD3E}"/>
  <tableColumns count="9">
    <tableColumn id="1" xr3:uid="{80FBBAF7-88F4-4505-9AB0-6EFDF41A83C3}" name="issue_id"/>
    <tableColumn id="2" xr3:uid="{9A367D37-1478-449E-AE28-C0D868FB4ACC}" name="customer_id"/>
    <tableColumn id="3" xr3:uid="{5DED2C4F-E9A8-45E9-9AEF-A23720CDA233}" name="issue_date" dataDxfId="19"/>
    <tableColumn id="8" xr3:uid="{C82B8F40-E9C1-4E8E-B78A-A4898089FE22}" name="issue_month" dataDxfId="12">
      <calculatedColumnFormula>TEXT(Table4[[#This Row],[issue_date]],"mmmm")</calculatedColumnFormula>
    </tableColumn>
    <tableColumn id="7" xr3:uid="{017E2DC9-289C-484A-B9F0-17ECBA6719AB}" name="issue_year" dataDxfId="11">
      <calculatedColumnFormula>YEAR(Table4[[#This Row],[issue_date]])</calculatedColumnFormula>
    </tableColumn>
    <tableColumn id="4" xr3:uid="{B88183B0-9925-435B-9C6F-E682E91D672B}" name="issue_type"/>
    <tableColumn id="5" xr3:uid="{E3E28948-7D1F-45F3-91D3-71B97661AF3E}" name="resolution_time_hrs"/>
    <tableColumn id="6" xr3:uid="{6F988387-D82A-4FC4-B0CB-F27EBAAFB94F}" name="resolved"/>
    <tableColumn id="9" xr3:uid="{71D7B21A-D042-4F0B-AA63-03C95F52578E}" name="city" dataDxfId="0">
      <calculatedColumnFormula>VLOOKUP(Table4[[#This Row],[customer_id]],customers!A:G,4,)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ECC38A-0E4F-435F-B465-E9B70481E0B7}" name="Table5" displayName="Table5" ref="A1:G5001" totalsRowShown="0" headerRowDxfId="14" headerRowBorderDxfId="16" tableBorderDxfId="17">
  <autoFilter ref="A1:G5001" xr:uid="{BFECC38A-0E4F-435F-B465-E9B70481E0B7}"/>
  <tableColumns count="7">
    <tableColumn id="1" xr3:uid="{84F2344D-3FD7-4870-B7B3-4C5B408AC818}" name="bill_id"/>
    <tableColumn id="2" xr3:uid="{AD614D3F-D86E-4F61-9311-9B4793F5DA84}" name="customer_id"/>
    <tableColumn id="3" xr3:uid="{B4DF6BEF-3864-4DFF-97F3-EC5A48C9A395}" name="bill_date" dataDxfId="15"/>
    <tableColumn id="7" xr3:uid="{60E94CEF-9112-42C3-99E8-4D05A7B00C2E}" name="bill_month" dataDxfId="10">
      <calculatedColumnFormula>TEXT(Table5[[#This Row],[bill_date]],"mmmm")</calculatedColumnFormula>
    </tableColumn>
    <tableColumn id="6" xr3:uid="{9699FFE5-A9B5-4627-A453-D63ED9399A0E}" name="bill_year" dataDxfId="9">
      <calculatedColumnFormula>YEAR(Table5[[#This Row],[bill_date]])</calculatedColumnFormula>
    </tableColumn>
    <tableColumn id="4" xr3:uid="{8A1A1A30-DD05-421A-A256-8898DF634C7C}" name="bill_amount"/>
    <tableColumn id="5" xr3:uid="{2AE11CFD-E4D1-47B5-8B35-EF592256A22C}" name="payment_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I9" sqref="I9"/>
    </sheetView>
  </sheetViews>
  <sheetFormatPr defaultRowHeight="14.4" x14ac:dyDescent="0.3"/>
  <cols>
    <col min="1" max="1" width="15.77734375" customWidth="1"/>
    <col min="2" max="2" width="18.77734375" customWidth="1"/>
    <col min="3" max="3" width="14" customWidth="1"/>
    <col min="4" max="4" width="16.5546875" customWidth="1"/>
    <col min="5" max="5" width="23" style="2" customWidth="1"/>
    <col min="6" max="6" width="18.44140625" customWidth="1"/>
    <col min="7" max="7" width="17" customWidth="1"/>
  </cols>
  <sheetData>
    <row r="1" spans="1:7" x14ac:dyDescent="0.3">
      <c r="A1" s="1" t="s">
        <v>0</v>
      </c>
      <c r="B1" s="6" t="s">
        <v>1</v>
      </c>
      <c r="C1" s="1" t="s">
        <v>2</v>
      </c>
      <c r="D1" s="1" t="s">
        <v>3</v>
      </c>
      <c r="E1" s="7" t="s">
        <v>4</v>
      </c>
      <c r="F1" s="4" t="s">
        <v>40</v>
      </c>
      <c r="G1" s="4" t="s">
        <v>41</v>
      </c>
    </row>
    <row r="2" spans="1:7" x14ac:dyDescent="0.3">
      <c r="A2">
        <v>1</v>
      </c>
      <c r="B2" t="s">
        <v>5</v>
      </c>
      <c r="C2">
        <v>34</v>
      </c>
      <c r="D2" t="s">
        <v>34</v>
      </c>
      <c r="E2" s="2">
        <v>44125</v>
      </c>
      <c r="F2" t="str">
        <f t="shared" ref="F2:F65" si="0">TEXT(E2,"mmmm")</f>
        <v>October</v>
      </c>
      <c r="G2">
        <f>YEAR(E2)</f>
        <v>2020</v>
      </c>
    </row>
    <row r="3" spans="1:7" x14ac:dyDescent="0.3">
      <c r="A3">
        <v>2</v>
      </c>
      <c r="B3" t="s">
        <v>6</v>
      </c>
      <c r="C3">
        <v>26</v>
      </c>
      <c r="D3" t="s">
        <v>35</v>
      </c>
      <c r="E3" s="2">
        <v>44900</v>
      </c>
      <c r="F3" t="str">
        <f t="shared" si="0"/>
        <v>December</v>
      </c>
      <c r="G3">
        <f t="shared" ref="G3:G66" si="1">YEAR(E3)</f>
        <v>2022</v>
      </c>
    </row>
    <row r="4" spans="1:7" x14ac:dyDescent="0.3">
      <c r="A4">
        <v>3</v>
      </c>
      <c r="B4" t="s">
        <v>6</v>
      </c>
      <c r="C4">
        <v>50</v>
      </c>
      <c r="D4" t="s">
        <v>36</v>
      </c>
      <c r="E4" s="2">
        <v>44967</v>
      </c>
      <c r="F4" t="str">
        <f t="shared" si="0"/>
        <v>February</v>
      </c>
      <c r="G4">
        <f t="shared" si="1"/>
        <v>2023</v>
      </c>
    </row>
    <row r="5" spans="1:7" x14ac:dyDescent="0.3">
      <c r="A5">
        <v>4</v>
      </c>
      <c r="B5" t="s">
        <v>5</v>
      </c>
      <c r="C5">
        <v>37</v>
      </c>
      <c r="D5" t="s">
        <v>35</v>
      </c>
      <c r="E5" s="2">
        <v>43847</v>
      </c>
      <c r="F5" t="str">
        <f t="shared" si="0"/>
        <v>January</v>
      </c>
      <c r="G5">
        <f t="shared" si="1"/>
        <v>2020</v>
      </c>
    </row>
    <row r="6" spans="1:7" x14ac:dyDescent="0.3">
      <c r="A6">
        <v>5</v>
      </c>
      <c r="B6" t="s">
        <v>5</v>
      </c>
      <c r="C6">
        <v>30</v>
      </c>
      <c r="D6" t="s">
        <v>37</v>
      </c>
      <c r="E6" s="2">
        <v>44190</v>
      </c>
      <c r="F6" t="str">
        <f t="shared" si="0"/>
        <v>December</v>
      </c>
      <c r="G6">
        <f t="shared" si="1"/>
        <v>2020</v>
      </c>
    </row>
    <row r="7" spans="1:7" x14ac:dyDescent="0.3">
      <c r="A7">
        <v>6</v>
      </c>
      <c r="B7" t="s">
        <v>5</v>
      </c>
      <c r="C7">
        <v>45</v>
      </c>
      <c r="D7" t="s">
        <v>38</v>
      </c>
      <c r="E7" s="2">
        <v>44696</v>
      </c>
      <c r="F7" t="str">
        <f t="shared" si="0"/>
        <v>May</v>
      </c>
      <c r="G7">
        <f t="shared" si="1"/>
        <v>2022</v>
      </c>
    </row>
    <row r="8" spans="1:7" x14ac:dyDescent="0.3">
      <c r="A8">
        <v>7</v>
      </c>
      <c r="B8" t="s">
        <v>5</v>
      </c>
      <c r="C8">
        <v>46</v>
      </c>
      <c r="D8" t="s">
        <v>38</v>
      </c>
      <c r="E8" s="2">
        <v>44530</v>
      </c>
      <c r="F8" t="str">
        <f t="shared" si="0"/>
        <v>November</v>
      </c>
      <c r="G8">
        <f t="shared" si="1"/>
        <v>2021</v>
      </c>
    </row>
    <row r="9" spans="1:7" x14ac:dyDescent="0.3">
      <c r="A9">
        <v>8</v>
      </c>
      <c r="B9" t="s">
        <v>6</v>
      </c>
      <c r="C9">
        <v>30</v>
      </c>
      <c r="D9" t="s">
        <v>36</v>
      </c>
      <c r="E9" s="2">
        <v>44278</v>
      </c>
      <c r="F9" t="str">
        <f t="shared" si="0"/>
        <v>March</v>
      </c>
      <c r="G9">
        <f t="shared" si="1"/>
        <v>2021</v>
      </c>
    </row>
    <row r="10" spans="1:7" x14ac:dyDescent="0.3">
      <c r="A10">
        <v>9</v>
      </c>
      <c r="B10" t="s">
        <v>5</v>
      </c>
      <c r="C10">
        <v>63</v>
      </c>
      <c r="D10" t="s">
        <v>38</v>
      </c>
      <c r="E10" s="2">
        <v>44686</v>
      </c>
      <c r="F10" t="str">
        <f t="shared" si="0"/>
        <v>May</v>
      </c>
      <c r="G10">
        <f t="shared" si="1"/>
        <v>2022</v>
      </c>
    </row>
    <row r="11" spans="1:7" x14ac:dyDescent="0.3">
      <c r="A11">
        <v>10</v>
      </c>
      <c r="B11" t="s">
        <v>6</v>
      </c>
      <c r="C11">
        <v>52</v>
      </c>
      <c r="D11" t="s">
        <v>38</v>
      </c>
      <c r="E11" s="2">
        <v>44195</v>
      </c>
      <c r="F11" t="str">
        <f t="shared" si="0"/>
        <v>December</v>
      </c>
      <c r="G11">
        <f t="shared" si="1"/>
        <v>2020</v>
      </c>
    </row>
    <row r="12" spans="1:7" x14ac:dyDescent="0.3">
      <c r="A12">
        <v>11</v>
      </c>
      <c r="B12" t="s">
        <v>5</v>
      </c>
      <c r="C12">
        <v>23</v>
      </c>
      <c r="D12" t="s">
        <v>36</v>
      </c>
      <c r="E12" s="2">
        <v>44505</v>
      </c>
      <c r="F12" t="str">
        <f t="shared" si="0"/>
        <v>November</v>
      </c>
      <c r="G12">
        <f t="shared" si="1"/>
        <v>2021</v>
      </c>
    </row>
    <row r="13" spans="1:7" x14ac:dyDescent="0.3">
      <c r="A13">
        <v>12</v>
      </c>
      <c r="B13" t="s">
        <v>6</v>
      </c>
      <c r="C13">
        <v>35</v>
      </c>
      <c r="D13" t="s">
        <v>34</v>
      </c>
      <c r="E13" s="2">
        <v>44838</v>
      </c>
      <c r="F13" t="str">
        <f t="shared" si="0"/>
        <v>October</v>
      </c>
      <c r="G13">
        <f t="shared" si="1"/>
        <v>2022</v>
      </c>
    </row>
    <row r="14" spans="1:7" x14ac:dyDescent="0.3">
      <c r="A14">
        <v>13</v>
      </c>
      <c r="B14" t="s">
        <v>6</v>
      </c>
      <c r="C14">
        <v>22</v>
      </c>
      <c r="D14" t="s">
        <v>34</v>
      </c>
      <c r="E14" s="2">
        <v>44297</v>
      </c>
      <c r="F14" t="str">
        <f t="shared" si="0"/>
        <v>April</v>
      </c>
      <c r="G14">
        <f t="shared" si="1"/>
        <v>2021</v>
      </c>
    </row>
    <row r="15" spans="1:7" x14ac:dyDescent="0.3">
      <c r="A15">
        <v>14</v>
      </c>
      <c r="B15" t="s">
        <v>5</v>
      </c>
      <c r="C15">
        <v>64</v>
      </c>
      <c r="D15" t="s">
        <v>36</v>
      </c>
      <c r="E15" s="2">
        <v>44244</v>
      </c>
      <c r="F15" t="str">
        <f t="shared" si="0"/>
        <v>February</v>
      </c>
      <c r="G15">
        <f t="shared" si="1"/>
        <v>2021</v>
      </c>
    </row>
    <row r="16" spans="1:7" x14ac:dyDescent="0.3">
      <c r="A16">
        <v>15</v>
      </c>
      <c r="B16" t="s">
        <v>5</v>
      </c>
      <c r="C16">
        <v>42</v>
      </c>
      <c r="D16" t="s">
        <v>37</v>
      </c>
      <c r="E16" s="2">
        <v>44416</v>
      </c>
      <c r="F16" t="str">
        <f t="shared" si="0"/>
        <v>August</v>
      </c>
      <c r="G16">
        <f t="shared" si="1"/>
        <v>2021</v>
      </c>
    </row>
    <row r="17" spans="1:7" x14ac:dyDescent="0.3">
      <c r="A17">
        <v>16</v>
      </c>
      <c r="B17" t="s">
        <v>5</v>
      </c>
      <c r="C17">
        <v>19</v>
      </c>
      <c r="D17" t="s">
        <v>38</v>
      </c>
      <c r="E17" s="2">
        <v>44824</v>
      </c>
      <c r="F17" t="str">
        <f t="shared" si="0"/>
        <v>September</v>
      </c>
      <c r="G17">
        <f t="shared" si="1"/>
        <v>2022</v>
      </c>
    </row>
    <row r="18" spans="1:7" x14ac:dyDescent="0.3">
      <c r="A18">
        <v>17</v>
      </c>
      <c r="B18" t="s">
        <v>5</v>
      </c>
      <c r="C18">
        <v>27</v>
      </c>
      <c r="D18" t="s">
        <v>38</v>
      </c>
      <c r="E18" s="2">
        <v>44402</v>
      </c>
      <c r="F18" t="str">
        <f t="shared" si="0"/>
        <v>July</v>
      </c>
      <c r="G18">
        <f t="shared" si="1"/>
        <v>2021</v>
      </c>
    </row>
    <row r="19" spans="1:7" x14ac:dyDescent="0.3">
      <c r="A19">
        <v>18</v>
      </c>
      <c r="B19" t="s">
        <v>5</v>
      </c>
      <c r="C19">
        <v>47</v>
      </c>
      <c r="D19" t="s">
        <v>37</v>
      </c>
      <c r="E19" s="2">
        <v>44165</v>
      </c>
      <c r="F19" t="str">
        <f t="shared" si="0"/>
        <v>November</v>
      </c>
      <c r="G19">
        <f t="shared" si="1"/>
        <v>2020</v>
      </c>
    </row>
    <row r="20" spans="1:7" x14ac:dyDescent="0.3">
      <c r="A20">
        <v>19</v>
      </c>
      <c r="B20" t="s">
        <v>5</v>
      </c>
      <c r="C20">
        <v>62</v>
      </c>
      <c r="D20" t="s">
        <v>34</v>
      </c>
      <c r="E20" s="2">
        <v>43867</v>
      </c>
      <c r="F20" t="str">
        <f t="shared" si="0"/>
        <v>February</v>
      </c>
      <c r="G20">
        <f t="shared" si="1"/>
        <v>2020</v>
      </c>
    </row>
    <row r="21" spans="1:7" x14ac:dyDescent="0.3">
      <c r="A21">
        <v>20</v>
      </c>
      <c r="B21" t="s">
        <v>5</v>
      </c>
      <c r="C21">
        <v>22</v>
      </c>
      <c r="D21" t="s">
        <v>39</v>
      </c>
      <c r="E21" s="2">
        <v>44819</v>
      </c>
      <c r="F21" t="str">
        <f t="shared" si="0"/>
        <v>September</v>
      </c>
      <c r="G21">
        <f t="shared" si="1"/>
        <v>2022</v>
      </c>
    </row>
    <row r="22" spans="1:7" x14ac:dyDescent="0.3">
      <c r="A22">
        <v>21</v>
      </c>
      <c r="B22" t="s">
        <v>5</v>
      </c>
      <c r="C22">
        <v>50</v>
      </c>
      <c r="D22" t="s">
        <v>39</v>
      </c>
      <c r="E22" s="2">
        <v>44108</v>
      </c>
      <c r="F22" t="str">
        <f t="shared" si="0"/>
        <v>October</v>
      </c>
      <c r="G22">
        <f t="shared" si="1"/>
        <v>2020</v>
      </c>
    </row>
    <row r="23" spans="1:7" x14ac:dyDescent="0.3">
      <c r="A23">
        <v>22</v>
      </c>
      <c r="B23" t="s">
        <v>5</v>
      </c>
      <c r="C23">
        <v>18</v>
      </c>
      <c r="D23" t="s">
        <v>39</v>
      </c>
      <c r="E23" s="2">
        <v>44746</v>
      </c>
      <c r="F23" t="str">
        <f t="shared" si="0"/>
        <v>July</v>
      </c>
      <c r="G23">
        <f t="shared" si="1"/>
        <v>2022</v>
      </c>
    </row>
    <row r="24" spans="1:7" x14ac:dyDescent="0.3">
      <c r="A24">
        <v>23</v>
      </c>
      <c r="B24" t="s">
        <v>5</v>
      </c>
      <c r="C24">
        <v>35</v>
      </c>
      <c r="D24" t="s">
        <v>34</v>
      </c>
      <c r="E24" s="2">
        <v>44314</v>
      </c>
      <c r="F24" t="str">
        <f t="shared" si="0"/>
        <v>April</v>
      </c>
      <c r="G24">
        <f t="shared" si="1"/>
        <v>2021</v>
      </c>
    </row>
    <row r="25" spans="1:7" x14ac:dyDescent="0.3">
      <c r="A25">
        <v>24</v>
      </c>
      <c r="B25" t="s">
        <v>5</v>
      </c>
      <c r="C25">
        <v>49</v>
      </c>
      <c r="D25" t="s">
        <v>34</v>
      </c>
      <c r="E25" s="2">
        <v>44561</v>
      </c>
      <c r="F25" t="str">
        <f t="shared" si="0"/>
        <v>December</v>
      </c>
      <c r="G25">
        <f t="shared" si="1"/>
        <v>2021</v>
      </c>
    </row>
    <row r="26" spans="1:7" x14ac:dyDescent="0.3">
      <c r="A26">
        <v>25</v>
      </c>
      <c r="B26" t="s">
        <v>5</v>
      </c>
      <c r="C26">
        <v>64</v>
      </c>
      <c r="D26" t="s">
        <v>37</v>
      </c>
      <c r="E26" s="2">
        <v>44022</v>
      </c>
      <c r="F26" t="str">
        <f t="shared" si="0"/>
        <v>July</v>
      </c>
      <c r="G26">
        <f t="shared" si="1"/>
        <v>2020</v>
      </c>
    </row>
    <row r="27" spans="1:7" x14ac:dyDescent="0.3">
      <c r="A27">
        <v>26</v>
      </c>
      <c r="B27" t="s">
        <v>6</v>
      </c>
      <c r="C27">
        <v>28</v>
      </c>
      <c r="D27" t="s">
        <v>38</v>
      </c>
      <c r="E27" s="2">
        <v>44871</v>
      </c>
      <c r="F27" t="str">
        <f t="shared" si="0"/>
        <v>November</v>
      </c>
      <c r="G27">
        <f t="shared" si="1"/>
        <v>2022</v>
      </c>
    </row>
    <row r="28" spans="1:7" x14ac:dyDescent="0.3">
      <c r="A28">
        <v>27</v>
      </c>
      <c r="B28" t="s">
        <v>5</v>
      </c>
      <c r="C28">
        <v>38</v>
      </c>
      <c r="D28" t="s">
        <v>37</v>
      </c>
      <c r="E28" s="2">
        <v>44354</v>
      </c>
      <c r="F28" t="str">
        <f t="shared" si="0"/>
        <v>June</v>
      </c>
      <c r="G28">
        <f t="shared" si="1"/>
        <v>2021</v>
      </c>
    </row>
    <row r="29" spans="1:7" x14ac:dyDescent="0.3">
      <c r="A29">
        <v>28</v>
      </c>
      <c r="B29" t="s">
        <v>5</v>
      </c>
      <c r="C29">
        <v>43</v>
      </c>
      <c r="D29" t="s">
        <v>37</v>
      </c>
      <c r="E29" s="2">
        <v>44748</v>
      </c>
      <c r="F29" t="str">
        <f t="shared" si="0"/>
        <v>July</v>
      </c>
      <c r="G29">
        <f t="shared" si="1"/>
        <v>2022</v>
      </c>
    </row>
    <row r="30" spans="1:7" x14ac:dyDescent="0.3">
      <c r="A30">
        <v>29</v>
      </c>
      <c r="B30" t="s">
        <v>5</v>
      </c>
      <c r="C30">
        <v>42</v>
      </c>
      <c r="D30" t="s">
        <v>34</v>
      </c>
      <c r="E30" s="2">
        <v>44231</v>
      </c>
      <c r="F30" t="str">
        <f t="shared" si="0"/>
        <v>February</v>
      </c>
      <c r="G30">
        <f t="shared" si="1"/>
        <v>2021</v>
      </c>
    </row>
    <row r="31" spans="1:7" x14ac:dyDescent="0.3">
      <c r="A31">
        <v>30</v>
      </c>
      <c r="B31" t="s">
        <v>5</v>
      </c>
      <c r="C31">
        <v>39</v>
      </c>
      <c r="D31" t="s">
        <v>39</v>
      </c>
      <c r="E31" s="2">
        <v>44716</v>
      </c>
      <c r="F31" t="str">
        <f t="shared" si="0"/>
        <v>June</v>
      </c>
      <c r="G31">
        <f t="shared" si="1"/>
        <v>2022</v>
      </c>
    </row>
    <row r="32" spans="1:7" x14ac:dyDescent="0.3">
      <c r="A32">
        <v>31</v>
      </c>
      <c r="B32" t="s">
        <v>5</v>
      </c>
      <c r="C32">
        <v>44</v>
      </c>
      <c r="D32" t="s">
        <v>35</v>
      </c>
      <c r="E32" s="2">
        <v>44535</v>
      </c>
      <c r="F32" t="str">
        <f t="shared" si="0"/>
        <v>December</v>
      </c>
      <c r="G32">
        <f t="shared" si="1"/>
        <v>2021</v>
      </c>
    </row>
    <row r="33" spans="1:7" x14ac:dyDescent="0.3">
      <c r="A33">
        <v>32</v>
      </c>
      <c r="B33" t="s">
        <v>5</v>
      </c>
      <c r="C33">
        <v>30</v>
      </c>
      <c r="D33" t="s">
        <v>38</v>
      </c>
      <c r="E33" s="2">
        <v>43852</v>
      </c>
      <c r="F33" t="str">
        <f t="shared" si="0"/>
        <v>January</v>
      </c>
      <c r="G33">
        <f t="shared" si="1"/>
        <v>2020</v>
      </c>
    </row>
    <row r="34" spans="1:7" x14ac:dyDescent="0.3">
      <c r="A34">
        <v>33</v>
      </c>
      <c r="B34" t="s">
        <v>5</v>
      </c>
      <c r="C34">
        <v>50</v>
      </c>
      <c r="D34" t="s">
        <v>34</v>
      </c>
      <c r="E34" s="2">
        <v>44304</v>
      </c>
      <c r="F34" t="str">
        <f t="shared" si="0"/>
        <v>April</v>
      </c>
      <c r="G34">
        <f t="shared" si="1"/>
        <v>2021</v>
      </c>
    </row>
    <row r="35" spans="1:7" x14ac:dyDescent="0.3">
      <c r="A35">
        <v>34</v>
      </c>
      <c r="B35" t="s">
        <v>6</v>
      </c>
      <c r="C35">
        <v>51</v>
      </c>
      <c r="D35" t="s">
        <v>39</v>
      </c>
      <c r="E35" s="2">
        <v>44974</v>
      </c>
      <c r="F35" t="str">
        <f t="shared" si="0"/>
        <v>February</v>
      </c>
      <c r="G35">
        <f t="shared" si="1"/>
        <v>2023</v>
      </c>
    </row>
    <row r="36" spans="1:7" x14ac:dyDescent="0.3">
      <c r="A36">
        <v>35</v>
      </c>
      <c r="B36" t="s">
        <v>6</v>
      </c>
      <c r="C36">
        <v>58</v>
      </c>
      <c r="D36" t="s">
        <v>35</v>
      </c>
      <c r="E36" s="2">
        <v>44040</v>
      </c>
      <c r="F36" t="str">
        <f t="shared" si="0"/>
        <v>July</v>
      </c>
      <c r="G36">
        <f t="shared" si="1"/>
        <v>2020</v>
      </c>
    </row>
    <row r="37" spans="1:7" x14ac:dyDescent="0.3">
      <c r="A37">
        <v>36</v>
      </c>
      <c r="B37" t="s">
        <v>6</v>
      </c>
      <c r="C37">
        <v>52</v>
      </c>
      <c r="D37" t="s">
        <v>35</v>
      </c>
      <c r="E37" s="2">
        <v>44136</v>
      </c>
      <c r="F37" t="str">
        <f t="shared" si="0"/>
        <v>November</v>
      </c>
      <c r="G37">
        <f t="shared" si="1"/>
        <v>2020</v>
      </c>
    </row>
    <row r="38" spans="1:7" x14ac:dyDescent="0.3">
      <c r="A38">
        <v>37</v>
      </c>
      <c r="B38" t="s">
        <v>5</v>
      </c>
      <c r="C38">
        <v>18</v>
      </c>
      <c r="D38" t="s">
        <v>34</v>
      </c>
      <c r="E38" s="2">
        <v>44534</v>
      </c>
      <c r="F38" t="str">
        <f t="shared" si="0"/>
        <v>December</v>
      </c>
      <c r="G38">
        <f t="shared" si="1"/>
        <v>2021</v>
      </c>
    </row>
    <row r="39" spans="1:7" x14ac:dyDescent="0.3">
      <c r="A39">
        <v>38</v>
      </c>
      <c r="B39" t="s">
        <v>5</v>
      </c>
      <c r="C39">
        <v>38</v>
      </c>
      <c r="D39" t="s">
        <v>36</v>
      </c>
      <c r="E39" s="2">
        <v>44517</v>
      </c>
      <c r="F39" t="str">
        <f t="shared" si="0"/>
        <v>November</v>
      </c>
      <c r="G39">
        <f t="shared" si="1"/>
        <v>2021</v>
      </c>
    </row>
    <row r="40" spans="1:7" x14ac:dyDescent="0.3">
      <c r="A40">
        <v>39</v>
      </c>
      <c r="B40" t="s">
        <v>6</v>
      </c>
      <c r="C40">
        <v>23</v>
      </c>
      <c r="D40" t="s">
        <v>38</v>
      </c>
      <c r="E40" s="2">
        <v>44115</v>
      </c>
      <c r="F40" t="str">
        <f t="shared" si="0"/>
        <v>October</v>
      </c>
      <c r="G40">
        <f t="shared" si="1"/>
        <v>2020</v>
      </c>
    </row>
    <row r="41" spans="1:7" x14ac:dyDescent="0.3">
      <c r="A41">
        <v>40</v>
      </c>
      <c r="B41" t="s">
        <v>5</v>
      </c>
      <c r="C41">
        <v>45</v>
      </c>
      <c r="D41" t="s">
        <v>35</v>
      </c>
      <c r="E41" s="2">
        <v>44546</v>
      </c>
      <c r="F41" t="str">
        <f t="shared" si="0"/>
        <v>December</v>
      </c>
      <c r="G41">
        <f t="shared" si="1"/>
        <v>2021</v>
      </c>
    </row>
    <row r="42" spans="1:7" x14ac:dyDescent="0.3">
      <c r="A42">
        <v>41</v>
      </c>
      <c r="B42" t="s">
        <v>5</v>
      </c>
      <c r="C42">
        <v>34</v>
      </c>
      <c r="D42" t="s">
        <v>34</v>
      </c>
      <c r="E42" s="2">
        <v>44593</v>
      </c>
      <c r="F42" t="str">
        <f t="shared" si="0"/>
        <v>February</v>
      </c>
      <c r="G42">
        <f t="shared" si="1"/>
        <v>2022</v>
      </c>
    </row>
    <row r="43" spans="1:7" x14ac:dyDescent="0.3">
      <c r="A43">
        <v>42</v>
      </c>
      <c r="B43" t="s">
        <v>5</v>
      </c>
      <c r="C43">
        <v>22</v>
      </c>
      <c r="D43" t="s">
        <v>34</v>
      </c>
      <c r="E43" s="2">
        <v>44778</v>
      </c>
      <c r="F43" t="str">
        <f t="shared" si="0"/>
        <v>August</v>
      </c>
      <c r="G43">
        <f t="shared" si="1"/>
        <v>2022</v>
      </c>
    </row>
    <row r="44" spans="1:7" x14ac:dyDescent="0.3">
      <c r="A44">
        <v>43</v>
      </c>
      <c r="B44" t="s">
        <v>5</v>
      </c>
      <c r="C44">
        <v>48</v>
      </c>
      <c r="D44" t="s">
        <v>39</v>
      </c>
      <c r="E44" s="2">
        <v>44211</v>
      </c>
      <c r="F44" t="str">
        <f t="shared" si="0"/>
        <v>January</v>
      </c>
      <c r="G44">
        <f t="shared" si="1"/>
        <v>2021</v>
      </c>
    </row>
    <row r="45" spans="1:7" x14ac:dyDescent="0.3">
      <c r="A45">
        <v>44</v>
      </c>
      <c r="B45" t="s">
        <v>6</v>
      </c>
      <c r="C45">
        <v>22</v>
      </c>
      <c r="D45" t="s">
        <v>36</v>
      </c>
      <c r="E45" s="2">
        <v>44290</v>
      </c>
      <c r="F45" t="str">
        <f t="shared" si="0"/>
        <v>April</v>
      </c>
      <c r="G45">
        <f t="shared" si="1"/>
        <v>2021</v>
      </c>
    </row>
    <row r="46" spans="1:7" x14ac:dyDescent="0.3">
      <c r="A46">
        <v>45</v>
      </c>
      <c r="B46" t="s">
        <v>5</v>
      </c>
      <c r="C46">
        <v>55</v>
      </c>
      <c r="D46" t="s">
        <v>38</v>
      </c>
      <c r="E46" s="2">
        <v>44861</v>
      </c>
      <c r="F46" t="str">
        <f t="shared" si="0"/>
        <v>October</v>
      </c>
      <c r="G46">
        <f t="shared" si="1"/>
        <v>2022</v>
      </c>
    </row>
    <row r="47" spans="1:7" x14ac:dyDescent="0.3">
      <c r="A47">
        <v>46</v>
      </c>
      <c r="B47" t="s">
        <v>6</v>
      </c>
      <c r="C47">
        <v>20</v>
      </c>
      <c r="D47" t="s">
        <v>37</v>
      </c>
      <c r="E47" s="2">
        <v>43859</v>
      </c>
      <c r="F47" t="str">
        <f t="shared" si="0"/>
        <v>January</v>
      </c>
      <c r="G47">
        <f t="shared" si="1"/>
        <v>2020</v>
      </c>
    </row>
    <row r="48" spans="1:7" x14ac:dyDescent="0.3">
      <c r="A48">
        <v>47</v>
      </c>
      <c r="B48" t="s">
        <v>5</v>
      </c>
      <c r="C48">
        <v>40</v>
      </c>
      <c r="D48" t="s">
        <v>39</v>
      </c>
      <c r="E48" s="2">
        <v>44737</v>
      </c>
      <c r="F48" t="str">
        <f t="shared" si="0"/>
        <v>June</v>
      </c>
      <c r="G48">
        <f t="shared" si="1"/>
        <v>2022</v>
      </c>
    </row>
    <row r="49" spans="1:7" x14ac:dyDescent="0.3">
      <c r="A49">
        <v>48</v>
      </c>
      <c r="B49" t="s">
        <v>5</v>
      </c>
      <c r="C49">
        <v>54</v>
      </c>
      <c r="D49" t="s">
        <v>35</v>
      </c>
      <c r="E49" s="2">
        <v>44887</v>
      </c>
      <c r="F49" t="str">
        <f t="shared" si="0"/>
        <v>November</v>
      </c>
      <c r="G49">
        <f t="shared" si="1"/>
        <v>2022</v>
      </c>
    </row>
    <row r="50" spans="1:7" x14ac:dyDescent="0.3">
      <c r="A50">
        <v>49</v>
      </c>
      <c r="B50" t="s">
        <v>5</v>
      </c>
      <c r="C50">
        <v>54</v>
      </c>
      <c r="D50" t="s">
        <v>35</v>
      </c>
      <c r="E50" s="2">
        <v>44709</v>
      </c>
      <c r="F50" t="str">
        <f t="shared" si="0"/>
        <v>May</v>
      </c>
      <c r="G50">
        <f t="shared" si="1"/>
        <v>2022</v>
      </c>
    </row>
    <row r="51" spans="1:7" x14ac:dyDescent="0.3">
      <c r="A51">
        <v>50</v>
      </c>
      <c r="B51" t="s">
        <v>5</v>
      </c>
      <c r="C51">
        <v>27</v>
      </c>
      <c r="D51" t="s">
        <v>39</v>
      </c>
      <c r="E51" s="2">
        <v>43909</v>
      </c>
      <c r="F51" t="str">
        <f t="shared" si="0"/>
        <v>March</v>
      </c>
      <c r="G51">
        <f t="shared" si="1"/>
        <v>2020</v>
      </c>
    </row>
    <row r="52" spans="1:7" x14ac:dyDescent="0.3">
      <c r="A52">
        <v>51</v>
      </c>
      <c r="B52" t="s">
        <v>6</v>
      </c>
      <c r="C52">
        <v>27</v>
      </c>
      <c r="D52" t="s">
        <v>34</v>
      </c>
      <c r="E52" s="2">
        <v>44777</v>
      </c>
      <c r="F52" t="str">
        <f t="shared" si="0"/>
        <v>August</v>
      </c>
      <c r="G52">
        <f t="shared" si="1"/>
        <v>2022</v>
      </c>
    </row>
    <row r="53" spans="1:7" x14ac:dyDescent="0.3">
      <c r="A53">
        <v>52</v>
      </c>
      <c r="B53" t="s">
        <v>6</v>
      </c>
      <c r="C53">
        <v>36</v>
      </c>
      <c r="D53" t="s">
        <v>35</v>
      </c>
      <c r="E53" s="2">
        <v>44289</v>
      </c>
      <c r="F53" t="str">
        <f t="shared" si="0"/>
        <v>April</v>
      </c>
      <c r="G53">
        <f t="shared" si="1"/>
        <v>2021</v>
      </c>
    </row>
    <row r="54" spans="1:7" x14ac:dyDescent="0.3">
      <c r="A54">
        <v>53</v>
      </c>
      <c r="B54" t="s">
        <v>6</v>
      </c>
      <c r="C54">
        <v>34</v>
      </c>
      <c r="D54" t="s">
        <v>36</v>
      </c>
      <c r="E54" s="2">
        <v>44400</v>
      </c>
      <c r="F54" t="str">
        <f t="shared" si="0"/>
        <v>July</v>
      </c>
      <c r="G54">
        <f t="shared" si="1"/>
        <v>2021</v>
      </c>
    </row>
    <row r="55" spans="1:7" x14ac:dyDescent="0.3">
      <c r="A55">
        <v>54</v>
      </c>
      <c r="B55" t="s">
        <v>6</v>
      </c>
      <c r="C55">
        <v>38</v>
      </c>
      <c r="D55" t="s">
        <v>38</v>
      </c>
      <c r="E55" s="2">
        <v>44568</v>
      </c>
      <c r="F55" t="str">
        <f t="shared" si="0"/>
        <v>January</v>
      </c>
      <c r="G55">
        <f t="shared" si="1"/>
        <v>2022</v>
      </c>
    </row>
    <row r="56" spans="1:7" x14ac:dyDescent="0.3">
      <c r="A56">
        <v>55</v>
      </c>
      <c r="B56" t="s">
        <v>5</v>
      </c>
      <c r="C56">
        <v>31</v>
      </c>
      <c r="D56" t="s">
        <v>36</v>
      </c>
      <c r="E56" s="2">
        <v>44346</v>
      </c>
      <c r="F56" t="str">
        <f t="shared" si="0"/>
        <v>May</v>
      </c>
      <c r="G56">
        <f t="shared" si="1"/>
        <v>2021</v>
      </c>
    </row>
    <row r="57" spans="1:7" x14ac:dyDescent="0.3">
      <c r="A57">
        <v>56</v>
      </c>
      <c r="B57" t="s">
        <v>6</v>
      </c>
      <c r="C57">
        <v>26</v>
      </c>
      <c r="D57" t="s">
        <v>35</v>
      </c>
      <c r="E57" s="2">
        <v>44953</v>
      </c>
      <c r="F57" t="str">
        <f t="shared" si="0"/>
        <v>January</v>
      </c>
      <c r="G57">
        <f t="shared" si="1"/>
        <v>2023</v>
      </c>
    </row>
    <row r="58" spans="1:7" x14ac:dyDescent="0.3">
      <c r="A58">
        <v>57</v>
      </c>
      <c r="B58" t="s">
        <v>5</v>
      </c>
      <c r="C58">
        <v>63</v>
      </c>
      <c r="D58" t="s">
        <v>37</v>
      </c>
      <c r="E58" s="2">
        <v>44227</v>
      </c>
      <c r="F58" t="str">
        <f t="shared" si="0"/>
        <v>January</v>
      </c>
      <c r="G58">
        <f t="shared" si="1"/>
        <v>2021</v>
      </c>
    </row>
    <row r="59" spans="1:7" x14ac:dyDescent="0.3">
      <c r="A59">
        <v>58</v>
      </c>
      <c r="B59" t="s">
        <v>5</v>
      </c>
      <c r="C59">
        <v>18</v>
      </c>
      <c r="D59" t="s">
        <v>38</v>
      </c>
      <c r="E59" s="2">
        <v>43869</v>
      </c>
      <c r="F59" t="str">
        <f t="shared" si="0"/>
        <v>February</v>
      </c>
      <c r="G59">
        <f t="shared" si="1"/>
        <v>2020</v>
      </c>
    </row>
    <row r="60" spans="1:7" x14ac:dyDescent="0.3">
      <c r="A60">
        <v>59</v>
      </c>
      <c r="B60" t="s">
        <v>5</v>
      </c>
      <c r="C60">
        <v>62</v>
      </c>
      <c r="D60" t="s">
        <v>38</v>
      </c>
      <c r="E60" s="2">
        <v>44717</v>
      </c>
      <c r="F60" t="str">
        <f t="shared" si="0"/>
        <v>June</v>
      </c>
      <c r="G60">
        <f t="shared" si="1"/>
        <v>2022</v>
      </c>
    </row>
    <row r="61" spans="1:7" x14ac:dyDescent="0.3">
      <c r="A61">
        <v>60</v>
      </c>
      <c r="B61" t="s">
        <v>5</v>
      </c>
      <c r="C61">
        <v>30</v>
      </c>
      <c r="D61" t="s">
        <v>39</v>
      </c>
      <c r="E61" s="2">
        <v>44627</v>
      </c>
      <c r="F61" t="str">
        <f t="shared" si="0"/>
        <v>March</v>
      </c>
      <c r="G61">
        <f t="shared" si="1"/>
        <v>2022</v>
      </c>
    </row>
    <row r="62" spans="1:7" x14ac:dyDescent="0.3">
      <c r="A62">
        <v>61</v>
      </c>
      <c r="B62" t="s">
        <v>5</v>
      </c>
      <c r="C62">
        <v>21</v>
      </c>
      <c r="D62" t="s">
        <v>39</v>
      </c>
      <c r="E62" s="2">
        <v>43987</v>
      </c>
      <c r="F62" t="str">
        <f t="shared" si="0"/>
        <v>June</v>
      </c>
      <c r="G62">
        <f t="shared" si="1"/>
        <v>2020</v>
      </c>
    </row>
    <row r="63" spans="1:7" x14ac:dyDescent="0.3">
      <c r="A63">
        <v>62</v>
      </c>
      <c r="B63" t="s">
        <v>5</v>
      </c>
      <c r="C63">
        <v>18</v>
      </c>
      <c r="D63" t="s">
        <v>37</v>
      </c>
      <c r="E63" s="2">
        <v>44929</v>
      </c>
      <c r="F63" t="str">
        <f t="shared" si="0"/>
        <v>January</v>
      </c>
      <c r="G63">
        <f t="shared" si="1"/>
        <v>2023</v>
      </c>
    </row>
    <row r="64" spans="1:7" x14ac:dyDescent="0.3">
      <c r="A64">
        <v>63</v>
      </c>
      <c r="B64" t="s">
        <v>6</v>
      </c>
      <c r="C64">
        <v>57</v>
      </c>
      <c r="D64" t="s">
        <v>34</v>
      </c>
      <c r="E64" s="2">
        <v>44714</v>
      </c>
      <c r="F64" t="str">
        <f t="shared" si="0"/>
        <v>June</v>
      </c>
      <c r="G64">
        <f t="shared" si="1"/>
        <v>2022</v>
      </c>
    </row>
    <row r="65" spans="1:7" x14ac:dyDescent="0.3">
      <c r="A65">
        <v>64</v>
      </c>
      <c r="B65" t="s">
        <v>5</v>
      </c>
      <c r="C65">
        <v>49</v>
      </c>
      <c r="D65" t="s">
        <v>38</v>
      </c>
      <c r="E65" s="2">
        <v>44984</v>
      </c>
      <c r="F65" t="str">
        <f t="shared" si="0"/>
        <v>February</v>
      </c>
      <c r="G65">
        <f t="shared" si="1"/>
        <v>2023</v>
      </c>
    </row>
    <row r="66" spans="1:7" x14ac:dyDescent="0.3">
      <c r="A66">
        <v>65</v>
      </c>
      <c r="B66" t="s">
        <v>5</v>
      </c>
      <c r="C66">
        <v>51</v>
      </c>
      <c r="D66" t="s">
        <v>37</v>
      </c>
      <c r="E66" s="2">
        <v>44804</v>
      </c>
      <c r="F66" t="str">
        <f t="shared" ref="F66:F129" si="2">TEXT(E66,"mmmm")</f>
        <v>August</v>
      </c>
      <c r="G66">
        <f t="shared" si="1"/>
        <v>2022</v>
      </c>
    </row>
    <row r="67" spans="1:7" x14ac:dyDescent="0.3">
      <c r="A67">
        <v>66</v>
      </c>
      <c r="B67" t="s">
        <v>5</v>
      </c>
      <c r="C67">
        <v>45</v>
      </c>
      <c r="D67" t="s">
        <v>39</v>
      </c>
      <c r="E67" s="2">
        <v>44938</v>
      </c>
      <c r="F67" t="str">
        <f t="shared" si="2"/>
        <v>January</v>
      </c>
      <c r="G67">
        <f t="shared" ref="G67:G130" si="3">YEAR(E67)</f>
        <v>2023</v>
      </c>
    </row>
    <row r="68" spans="1:7" x14ac:dyDescent="0.3">
      <c r="A68">
        <v>67</v>
      </c>
      <c r="B68" t="s">
        <v>5</v>
      </c>
      <c r="C68">
        <v>48</v>
      </c>
      <c r="D68" t="s">
        <v>39</v>
      </c>
      <c r="E68" s="2">
        <v>44876</v>
      </c>
      <c r="F68" t="str">
        <f t="shared" si="2"/>
        <v>November</v>
      </c>
      <c r="G68">
        <f t="shared" si="3"/>
        <v>2022</v>
      </c>
    </row>
    <row r="69" spans="1:7" x14ac:dyDescent="0.3">
      <c r="A69">
        <v>68</v>
      </c>
      <c r="B69" t="s">
        <v>6</v>
      </c>
      <c r="C69">
        <v>25</v>
      </c>
      <c r="D69" t="s">
        <v>38</v>
      </c>
      <c r="E69" s="2">
        <v>44679</v>
      </c>
      <c r="F69" t="str">
        <f t="shared" si="2"/>
        <v>April</v>
      </c>
      <c r="G69">
        <f t="shared" si="3"/>
        <v>2022</v>
      </c>
    </row>
    <row r="70" spans="1:7" x14ac:dyDescent="0.3">
      <c r="A70">
        <v>69</v>
      </c>
      <c r="B70" t="s">
        <v>5</v>
      </c>
      <c r="C70">
        <v>56</v>
      </c>
      <c r="D70" t="s">
        <v>36</v>
      </c>
      <c r="E70" s="2">
        <v>44578</v>
      </c>
      <c r="F70" t="str">
        <f t="shared" si="2"/>
        <v>January</v>
      </c>
      <c r="G70">
        <f t="shared" si="3"/>
        <v>2022</v>
      </c>
    </row>
    <row r="71" spans="1:7" x14ac:dyDescent="0.3">
      <c r="A71">
        <v>70</v>
      </c>
      <c r="B71" t="s">
        <v>6</v>
      </c>
      <c r="C71">
        <v>43</v>
      </c>
      <c r="D71" t="s">
        <v>35</v>
      </c>
      <c r="E71" s="2">
        <v>44819</v>
      </c>
      <c r="F71" t="str">
        <f t="shared" si="2"/>
        <v>September</v>
      </c>
      <c r="G71">
        <f t="shared" si="3"/>
        <v>2022</v>
      </c>
    </row>
    <row r="72" spans="1:7" x14ac:dyDescent="0.3">
      <c r="A72">
        <v>71</v>
      </c>
      <c r="B72" t="s">
        <v>6</v>
      </c>
      <c r="C72">
        <v>51</v>
      </c>
      <c r="D72" t="s">
        <v>39</v>
      </c>
      <c r="E72" s="2">
        <v>43851</v>
      </c>
      <c r="F72" t="str">
        <f t="shared" si="2"/>
        <v>January</v>
      </c>
      <c r="G72">
        <f t="shared" si="3"/>
        <v>2020</v>
      </c>
    </row>
    <row r="73" spans="1:7" x14ac:dyDescent="0.3">
      <c r="A73">
        <v>72</v>
      </c>
      <c r="B73" t="s">
        <v>5</v>
      </c>
      <c r="C73">
        <v>20</v>
      </c>
      <c r="D73" t="s">
        <v>34</v>
      </c>
      <c r="E73" s="2">
        <v>44133</v>
      </c>
      <c r="F73" t="str">
        <f t="shared" si="2"/>
        <v>October</v>
      </c>
      <c r="G73">
        <f t="shared" si="3"/>
        <v>2020</v>
      </c>
    </row>
    <row r="74" spans="1:7" x14ac:dyDescent="0.3">
      <c r="A74">
        <v>73</v>
      </c>
      <c r="B74" t="s">
        <v>5</v>
      </c>
      <c r="C74">
        <v>29</v>
      </c>
      <c r="D74" t="s">
        <v>34</v>
      </c>
      <c r="E74" s="2">
        <v>44699</v>
      </c>
      <c r="F74" t="str">
        <f t="shared" si="2"/>
        <v>May</v>
      </c>
      <c r="G74">
        <f t="shared" si="3"/>
        <v>2022</v>
      </c>
    </row>
    <row r="75" spans="1:7" x14ac:dyDescent="0.3">
      <c r="A75">
        <v>74</v>
      </c>
      <c r="B75" t="s">
        <v>6</v>
      </c>
      <c r="C75">
        <v>18</v>
      </c>
      <c r="D75" t="s">
        <v>39</v>
      </c>
      <c r="E75" s="2">
        <v>43914</v>
      </c>
      <c r="F75" t="str">
        <f t="shared" si="2"/>
        <v>March</v>
      </c>
      <c r="G75">
        <f t="shared" si="3"/>
        <v>2020</v>
      </c>
    </row>
    <row r="76" spans="1:7" x14ac:dyDescent="0.3">
      <c r="A76">
        <v>75</v>
      </c>
      <c r="B76" t="s">
        <v>6</v>
      </c>
      <c r="C76">
        <v>61</v>
      </c>
      <c r="D76" t="s">
        <v>36</v>
      </c>
      <c r="E76" s="2">
        <v>44400</v>
      </c>
      <c r="F76" t="str">
        <f t="shared" si="2"/>
        <v>July</v>
      </c>
      <c r="G76">
        <f t="shared" si="3"/>
        <v>2021</v>
      </c>
    </row>
    <row r="77" spans="1:7" x14ac:dyDescent="0.3">
      <c r="A77">
        <v>76</v>
      </c>
      <c r="B77" t="s">
        <v>6</v>
      </c>
      <c r="C77">
        <v>22</v>
      </c>
      <c r="D77" t="s">
        <v>36</v>
      </c>
      <c r="E77" s="2">
        <v>44764</v>
      </c>
      <c r="F77" t="str">
        <f t="shared" si="2"/>
        <v>July</v>
      </c>
      <c r="G77">
        <f t="shared" si="3"/>
        <v>2022</v>
      </c>
    </row>
    <row r="78" spans="1:7" x14ac:dyDescent="0.3">
      <c r="A78">
        <v>77</v>
      </c>
      <c r="B78" t="s">
        <v>6</v>
      </c>
      <c r="C78">
        <v>47</v>
      </c>
      <c r="D78" t="s">
        <v>37</v>
      </c>
      <c r="E78" s="2">
        <v>45016</v>
      </c>
      <c r="F78" t="str">
        <f t="shared" si="2"/>
        <v>March</v>
      </c>
      <c r="G78">
        <f t="shared" si="3"/>
        <v>2023</v>
      </c>
    </row>
    <row r="79" spans="1:7" x14ac:dyDescent="0.3">
      <c r="A79">
        <v>78</v>
      </c>
      <c r="B79" t="s">
        <v>5</v>
      </c>
      <c r="C79">
        <v>47</v>
      </c>
      <c r="D79" t="s">
        <v>34</v>
      </c>
      <c r="E79" s="2">
        <v>45017</v>
      </c>
      <c r="F79" t="str">
        <f t="shared" si="2"/>
        <v>April</v>
      </c>
      <c r="G79">
        <f t="shared" si="3"/>
        <v>2023</v>
      </c>
    </row>
    <row r="80" spans="1:7" x14ac:dyDescent="0.3">
      <c r="A80">
        <v>79</v>
      </c>
      <c r="B80" t="s">
        <v>5</v>
      </c>
      <c r="C80">
        <v>34</v>
      </c>
      <c r="D80" t="s">
        <v>37</v>
      </c>
      <c r="E80" s="2">
        <v>44839</v>
      </c>
      <c r="F80" t="str">
        <f t="shared" si="2"/>
        <v>October</v>
      </c>
      <c r="G80">
        <f t="shared" si="3"/>
        <v>2022</v>
      </c>
    </row>
    <row r="81" spans="1:7" x14ac:dyDescent="0.3">
      <c r="A81">
        <v>80</v>
      </c>
      <c r="B81" t="s">
        <v>5</v>
      </c>
      <c r="C81">
        <v>64</v>
      </c>
      <c r="D81" t="s">
        <v>34</v>
      </c>
      <c r="E81" s="2">
        <v>44623</v>
      </c>
      <c r="F81" t="str">
        <f t="shared" si="2"/>
        <v>March</v>
      </c>
      <c r="G81">
        <f t="shared" si="3"/>
        <v>2022</v>
      </c>
    </row>
    <row r="82" spans="1:7" x14ac:dyDescent="0.3">
      <c r="A82">
        <v>81</v>
      </c>
      <c r="B82" t="s">
        <v>6</v>
      </c>
      <c r="C82">
        <v>40</v>
      </c>
      <c r="D82" t="s">
        <v>35</v>
      </c>
      <c r="E82" s="2">
        <v>44622</v>
      </c>
      <c r="F82" t="str">
        <f t="shared" si="2"/>
        <v>March</v>
      </c>
      <c r="G82">
        <f t="shared" si="3"/>
        <v>2022</v>
      </c>
    </row>
    <row r="83" spans="1:7" x14ac:dyDescent="0.3">
      <c r="A83">
        <v>82</v>
      </c>
      <c r="B83" t="s">
        <v>5</v>
      </c>
      <c r="C83">
        <v>32</v>
      </c>
      <c r="D83" t="s">
        <v>35</v>
      </c>
      <c r="E83" s="2">
        <v>44322</v>
      </c>
      <c r="F83" t="str">
        <f t="shared" si="2"/>
        <v>May</v>
      </c>
      <c r="G83">
        <f t="shared" si="3"/>
        <v>2021</v>
      </c>
    </row>
    <row r="84" spans="1:7" x14ac:dyDescent="0.3">
      <c r="A84">
        <v>83</v>
      </c>
      <c r="B84" t="s">
        <v>5</v>
      </c>
      <c r="C84">
        <v>54</v>
      </c>
      <c r="D84" t="s">
        <v>38</v>
      </c>
      <c r="E84" s="2">
        <v>44038</v>
      </c>
      <c r="F84" t="str">
        <f t="shared" si="2"/>
        <v>July</v>
      </c>
      <c r="G84">
        <f t="shared" si="3"/>
        <v>2020</v>
      </c>
    </row>
    <row r="85" spans="1:7" x14ac:dyDescent="0.3">
      <c r="A85">
        <v>84</v>
      </c>
      <c r="B85" t="s">
        <v>5</v>
      </c>
      <c r="C85">
        <v>38</v>
      </c>
      <c r="D85" t="s">
        <v>37</v>
      </c>
      <c r="E85" s="2">
        <v>44914</v>
      </c>
      <c r="F85" t="str">
        <f t="shared" si="2"/>
        <v>December</v>
      </c>
      <c r="G85">
        <f t="shared" si="3"/>
        <v>2022</v>
      </c>
    </row>
    <row r="86" spans="1:7" x14ac:dyDescent="0.3">
      <c r="A86">
        <v>85</v>
      </c>
      <c r="B86" t="s">
        <v>5</v>
      </c>
      <c r="C86">
        <v>31</v>
      </c>
      <c r="D86" t="s">
        <v>39</v>
      </c>
      <c r="E86" s="2">
        <v>44260</v>
      </c>
      <c r="F86" t="str">
        <f t="shared" si="2"/>
        <v>March</v>
      </c>
      <c r="G86">
        <f t="shared" si="3"/>
        <v>2021</v>
      </c>
    </row>
    <row r="87" spans="1:7" x14ac:dyDescent="0.3">
      <c r="A87">
        <v>86</v>
      </c>
      <c r="B87" t="s">
        <v>5</v>
      </c>
      <c r="C87">
        <v>19</v>
      </c>
      <c r="D87" t="s">
        <v>37</v>
      </c>
      <c r="E87" s="2">
        <v>44815</v>
      </c>
      <c r="F87" t="str">
        <f t="shared" si="2"/>
        <v>September</v>
      </c>
      <c r="G87">
        <f t="shared" si="3"/>
        <v>2022</v>
      </c>
    </row>
    <row r="88" spans="1:7" x14ac:dyDescent="0.3">
      <c r="A88">
        <v>87</v>
      </c>
      <c r="B88" t="s">
        <v>6</v>
      </c>
      <c r="C88">
        <v>28</v>
      </c>
      <c r="D88" t="s">
        <v>39</v>
      </c>
      <c r="E88" s="2">
        <v>44350</v>
      </c>
      <c r="F88" t="str">
        <f t="shared" si="2"/>
        <v>June</v>
      </c>
      <c r="G88">
        <f t="shared" si="3"/>
        <v>2021</v>
      </c>
    </row>
    <row r="89" spans="1:7" x14ac:dyDescent="0.3">
      <c r="A89">
        <v>88</v>
      </c>
      <c r="B89" t="s">
        <v>5</v>
      </c>
      <c r="C89">
        <v>56</v>
      </c>
      <c r="D89" t="s">
        <v>36</v>
      </c>
      <c r="E89" s="2">
        <v>44421</v>
      </c>
      <c r="F89" t="str">
        <f t="shared" si="2"/>
        <v>August</v>
      </c>
      <c r="G89">
        <f t="shared" si="3"/>
        <v>2021</v>
      </c>
    </row>
    <row r="90" spans="1:7" x14ac:dyDescent="0.3">
      <c r="A90">
        <v>89</v>
      </c>
      <c r="B90" t="s">
        <v>6</v>
      </c>
      <c r="C90">
        <v>55</v>
      </c>
      <c r="D90" t="s">
        <v>37</v>
      </c>
      <c r="E90" s="2">
        <v>44881</v>
      </c>
      <c r="F90" t="str">
        <f t="shared" si="2"/>
        <v>November</v>
      </c>
      <c r="G90">
        <f t="shared" si="3"/>
        <v>2022</v>
      </c>
    </row>
    <row r="91" spans="1:7" x14ac:dyDescent="0.3">
      <c r="A91">
        <v>90</v>
      </c>
      <c r="B91" t="s">
        <v>5</v>
      </c>
      <c r="C91">
        <v>51</v>
      </c>
      <c r="D91" t="s">
        <v>36</v>
      </c>
      <c r="E91" s="2">
        <v>44029</v>
      </c>
      <c r="F91" t="str">
        <f t="shared" si="2"/>
        <v>July</v>
      </c>
      <c r="G91">
        <f t="shared" si="3"/>
        <v>2020</v>
      </c>
    </row>
    <row r="92" spans="1:7" x14ac:dyDescent="0.3">
      <c r="A92">
        <v>91</v>
      </c>
      <c r="B92" t="s">
        <v>5</v>
      </c>
      <c r="C92">
        <v>55</v>
      </c>
      <c r="D92" t="s">
        <v>35</v>
      </c>
      <c r="E92" s="2">
        <v>44217</v>
      </c>
      <c r="F92" t="str">
        <f t="shared" si="2"/>
        <v>January</v>
      </c>
      <c r="G92">
        <f t="shared" si="3"/>
        <v>2021</v>
      </c>
    </row>
    <row r="93" spans="1:7" x14ac:dyDescent="0.3">
      <c r="A93">
        <v>92</v>
      </c>
      <c r="B93" t="s">
        <v>6</v>
      </c>
      <c r="C93">
        <v>51</v>
      </c>
      <c r="D93" t="s">
        <v>35</v>
      </c>
      <c r="E93" s="2">
        <v>44179</v>
      </c>
      <c r="F93" t="str">
        <f t="shared" si="2"/>
        <v>December</v>
      </c>
      <c r="G93">
        <f t="shared" si="3"/>
        <v>2020</v>
      </c>
    </row>
    <row r="94" spans="1:7" x14ac:dyDescent="0.3">
      <c r="A94">
        <v>93</v>
      </c>
      <c r="B94" t="s">
        <v>6</v>
      </c>
      <c r="C94">
        <v>35</v>
      </c>
      <c r="D94" t="s">
        <v>38</v>
      </c>
      <c r="E94" s="2">
        <v>44790</v>
      </c>
      <c r="F94" t="str">
        <f t="shared" si="2"/>
        <v>August</v>
      </c>
      <c r="G94">
        <f t="shared" si="3"/>
        <v>2022</v>
      </c>
    </row>
    <row r="95" spans="1:7" x14ac:dyDescent="0.3">
      <c r="A95">
        <v>94</v>
      </c>
      <c r="B95" t="s">
        <v>5</v>
      </c>
      <c r="C95">
        <v>47</v>
      </c>
      <c r="D95" t="s">
        <v>37</v>
      </c>
      <c r="E95" s="2">
        <v>44523</v>
      </c>
      <c r="F95" t="str">
        <f t="shared" si="2"/>
        <v>November</v>
      </c>
      <c r="G95">
        <f t="shared" si="3"/>
        <v>2021</v>
      </c>
    </row>
    <row r="96" spans="1:7" x14ac:dyDescent="0.3">
      <c r="A96">
        <v>95</v>
      </c>
      <c r="B96" t="s">
        <v>6</v>
      </c>
      <c r="C96">
        <v>32</v>
      </c>
      <c r="D96" t="s">
        <v>36</v>
      </c>
      <c r="E96" s="2">
        <v>44208</v>
      </c>
      <c r="F96" t="str">
        <f t="shared" si="2"/>
        <v>January</v>
      </c>
      <c r="G96">
        <f t="shared" si="3"/>
        <v>2021</v>
      </c>
    </row>
    <row r="97" spans="1:7" x14ac:dyDescent="0.3">
      <c r="A97">
        <v>96</v>
      </c>
      <c r="B97" t="s">
        <v>5</v>
      </c>
      <c r="C97">
        <v>44</v>
      </c>
      <c r="D97" t="s">
        <v>39</v>
      </c>
      <c r="E97" s="2">
        <v>44729</v>
      </c>
      <c r="F97" t="str">
        <f t="shared" si="2"/>
        <v>June</v>
      </c>
      <c r="G97">
        <f t="shared" si="3"/>
        <v>2022</v>
      </c>
    </row>
    <row r="98" spans="1:7" x14ac:dyDescent="0.3">
      <c r="A98">
        <v>97</v>
      </c>
      <c r="B98" t="s">
        <v>5</v>
      </c>
      <c r="C98">
        <v>51</v>
      </c>
      <c r="D98" t="s">
        <v>35</v>
      </c>
      <c r="E98" s="2">
        <v>44746</v>
      </c>
      <c r="F98" t="str">
        <f t="shared" si="2"/>
        <v>July</v>
      </c>
      <c r="G98">
        <f t="shared" si="3"/>
        <v>2022</v>
      </c>
    </row>
    <row r="99" spans="1:7" x14ac:dyDescent="0.3">
      <c r="A99">
        <v>98</v>
      </c>
      <c r="B99" t="s">
        <v>5</v>
      </c>
      <c r="C99">
        <v>55</v>
      </c>
      <c r="D99" t="s">
        <v>35</v>
      </c>
      <c r="E99" s="2">
        <v>44357</v>
      </c>
      <c r="F99" t="str">
        <f t="shared" si="2"/>
        <v>June</v>
      </c>
      <c r="G99">
        <f t="shared" si="3"/>
        <v>2021</v>
      </c>
    </row>
    <row r="100" spans="1:7" x14ac:dyDescent="0.3">
      <c r="A100">
        <v>99</v>
      </c>
      <c r="B100" t="s">
        <v>5</v>
      </c>
      <c r="C100">
        <v>50</v>
      </c>
      <c r="D100" t="s">
        <v>39</v>
      </c>
      <c r="E100" s="2">
        <v>45007</v>
      </c>
      <c r="F100" t="str">
        <f t="shared" si="2"/>
        <v>March</v>
      </c>
      <c r="G100">
        <f t="shared" si="3"/>
        <v>2023</v>
      </c>
    </row>
    <row r="101" spans="1:7" x14ac:dyDescent="0.3">
      <c r="A101">
        <v>100</v>
      </c>
      <c r="B101" t="s">
        <v>5</v>
      </c>
      <c r="C101">
        <v>41</v>
      </c>
      <c r="D101" t="s">
        <v>36</v>
      </c>
      <c r="E101" s="2">
        <v>44564</v>
      </c>
      <c r="F101" t="str">
        <f t="shared" si="2"/>
        <v>January</v>
      </c>
      <c r="G101">
        <f t="shared" si="3"/>
        <v>2022</v>
      </c>
    </row>
    <row r="102" spans="1:7" x14ac:dyDescent="0.3">
      <c r="A102">
        <v>101</v>
      </c>
      <c r="B102" t="s">
        <v>5</v>
      </c>
      <c r="C102">
        <v>32</v>
      </c>
      <c r="D102" t="s">
        <v>36</v>
      </c>
      <c r="E102" s="2">
        <v>44036</v>
      </c>
      <c r="F102" t="str">
        <f t="shared" si="2"/>
        <v>July</v>
      </c>
      <c r="G102">
        <f t="shared" si="3"/>
        <v>2020</v>
      </c>
    </row>
    <row r="103" spans="1:7" x14ac:dyDescent="0.3">
      <c r="A103">
        <v>102</v>
      </c>
      <c r="B103" t="s">
        <v>5</v>
      </c>
      <c r="C103">
        <v>47</v>
      </c>
      <c r="D103" t="s">
        <v>37</v>
      </c>
      <c r="E103" s="2">
        <v>44285</v>
      </c>
      <c r="F103" t="str">
        <f t="shared" si="2"/>
        <v>March</v>
      </c>
      <c r="G103">
        <f t="shared" si="3"/>
        <v>2021</v>
      </c>
    </row>
    <row r="104" spans="1:7" x14ac:dyDescent="0.3">
      <c r="A104">
        <v>103</v>
      </c>
      <c r="B104" t="s">
        <v>5</v>
      </c>
      <c r="C104">
        <v>59</v>
      </c>
      <c r="D104" t="s">
        <v>37</v>
      </c>
      <c r="E104" s="2">
        <v>44351</v>
      </c>
      <c r="F104" t="str">
        <f t="shared" si="2"/>
        <v>June</v>
      </c>
      <c r="G104">
        <f t="shared" si="3"/>
        <v>2021</v>
      </c>
    </row>
    <row r="105" spans="1:7" x14ac:dyDescent="0.3">
      <c r="A105">
        <v>104</v>
      </c>
      <c r="B105" t="s">
        <v>5</v>
      </c>
      <c r="C105">
        <v>34</v>
      </c>
      <c r="D105" t="s">
        <v>34</v>
      </c>
      <c r="E105" s="2">
        <v>44847</v>
      </c>
      <c r="F105" t="str">
        <f t="shared" si="2"/>
        <v>October</v>
      </c>
      <c r="G105">
        <f t="shared" si="3"/>
        <v>2022</v>
      </c>
    </row>
    <row r="106" spans="1:7" x14ac:dyDescent="0.3">
      <c r="A106">
        <v>105</v>
      </c>
      <c r="B106" t="s">
        <v>6</v>
      </c>
      <c r="C106">
        <v>22</v>
      </c>
      <c r="D106" t="s">
        <v>34</v>
      </c>
      <c r="E106" s="2">
        <v>44786</v>
      </c>
      <c r="F106" t="str">
        <f t="shared" si="2"/>
        <v>August</v>
      </c>
      <c r="G106">
        <f t="shared" si="3"/>
        <v>2022</v>
      </c>
    </row>
    <row r="107" spans="1:7" x14ac:dyDescent="0.3">
      <c r="A107">
        <v>106</v>
      </c>
      <c r="B107" t="s">
        <v>5</v>
      </c>
      <c r="C107">
        <v>46</v>
      </c>
      <c r="D107" t="s">
        <v>38</v>
      </c>
      <c r="E107" s="2">
        <v>44556</v>
      </c>
      <c r="F107" t="str">
        <f t="shared" si="2"/>
        <v>December</v>
      </c>
      <c r="G107">
        <f t="shared" si="3"/>
        <v>2021</v>
      </c>
    </row>
    <row r="108" spans="1:7" x14ac:dyDescent="0.3">
      <c r="A108">
        <v>107</v>
      </c>
      <c r="B108" t="s">
        <v>5</v>
      </c>
      <c r="C108">
        <v>21</v>
      </c>
      <c r="D108" t="s">
        <v>35</v>
      </c>
      <c r="E108" s="2">
        <v>44844</v>
      </c>
      <c r="F108" t="str">
        <f t="shared" si="2"/>
        <v>October</v>
      </c>
      <c r="G108">
        <f t="shared" si="3"/>
        <v>2022</v>
      </c>
    </row>
    <row r="109" spans="1:7" x14ac:dyDescent="0.3">
      <c r="A109">
        <v>108</v>
      </c>
      <c r="B109" t="s">
        <v>6</v>
      </c>
      <c r="C109">
        <v>27</v>
      </c>
      <c r="D109" t="s">
        <v>37</v>
      </c>
      <c r="E109" s="2">
        <v>44331</v>
      </c>
      <c r="F109" t="str">
        <f t="shared" si="2"/>
        <v>May</v>
      </c>
      <c r="G109">
        <f t="shared" si="3"/>
        <v>2021</v>
      </c>
    </row>
    <row r="110" spans="1:7" x14ac:dyDescent="0.3">
      <c r="A110">
        <v>109</v>
      </c>
      <c r="B110" t="s">
        <v>5</v>
      </c>
      <c r="C110">
        <v>34</v>
      </c>
      <c r="D110" t="s">
        <v>36</v>
      </c>
      <c r="E110" s="2">
        <v>43947</v>
      </c>
      <c r="F110" t="str">
        <f t="shared" si="2"/>
        <v>April</v>
      </c>
      <c r="G110">
        <f t="shared" si="3"/>
        <v>2020</v>
      </c>
    </row>
    <row r="111" spans="1:7" x14ac:dyDescent="0.3">
      <c r="A111">
        <v>110</v>
      </c>
      <c r="B111" t="s">
        <v>5</v>
      </c>
      <c r="C111">
        <v>27</v>
      </c>
      <c r="D111" t="s">
        <v>39</v>
      </c>
      <c r="E111" s="2">
        <v>44216</v>
      </c>
      <c r="F111" t="str">
        <f t="shared" si="2"/>
        <v>January</v>
      </c>
      <c r="G111">
        <f t="shared" si="3"/>
        <v>2021</v>
      </c>
    </row>
    <row r="112" spans="1:7" x14ac:dyDescent="0.3">
      <c r="A112">
        <v>111</v>
      </c>
      <c r="B112" t="s">
        <v>5</v>
      </c>
      <c r="C112">
        <v>34</v>
      </c>
      <c r="D112" t="s">
        <v>36</v>
      </c>
      <c r="E112" s="2">
        <v>44414</v>
      </c>
      <c r="F112" t="str">
        <f t="shared" si="2"/>
        <v>August</v>
      </c>
      <c r="G112">
        <f t="shared" si="3"/>
        <v>2021</v>
      </c>
    </row>
    <row r="113" spans="1:7" x14ac:dyDescent="0.3">
      <c r="A113">
        <v>112</v>
      </c>
      <c r="B113" t="s">
        <v>5</v>
      </c>
      <c r="C113">
        <v>37</v>
      </c>
      <c r="D113" t="s">
        <v>35</v>
      </c>
      <c r="E113" s="2">
        <v>44225</v>
      </c>
      <c r="F113" t="str">
        <f t="shared" si="2"/>
        <v>January</v>
      </c>
      <c r="G113">
        <f t="shared" si="3"/>
        <v>2021</v>
      </c>
    </row>
    <row r="114" spans="1:7" x14ac:dyDescent="0.3">
      <c r="A114">
        <v>113</v>
      </c>
      <c r="B114" t="s">
        <v>6</v>
      </c>
      <c r="C114">
        <v>41</v>
      </c>
      <c r="D114" t="s">
        <v>34</v>
      </c>
      <c r="E114" s="2">
        <v>44918</v>
      </c>
      <c r="F114" t="str">
        <f t="shared" si="2"/>
        <v>December</v>
      </c>
      <c r="G114">
        <f t="shared" si="3"/>
        <v>2022</v>
      </c>
    </row>
    <row r="115" spans="1:7" x14ac:dyDescent="0.3">
      <c r="A115">
        <v>114</v>
      </c>
      <c r="B115" t="s">
        <v>6</v>
      </c>
      <c r="C115">
        <v>22</v>
      </c>
      <c r="D115" t="s">
        <v>36</v>
      </c>
      <c r="E115" s="2">
        <v>44551</v>
      </c>
      <c r="F115" t="str">
        <f t="shared" si="2"/>
        <v>December</v>
      </c>
      <c r="G115">
        <f t="shared" si="3"/>
        <v>2021</v>
      </c>
    </row>
    <row r="116" spans="1:7" x14ac:dyDescent="0.3">
      <c r="A116">
        <v>115</v>
      </c>
      <c r="B116" t="s">
        <v>5</v>
      </c>
      <c r="C116">
        <v>51</v>
      </c>
      <c r="D116" t="s">
        <v>38</v>
      </c>
      <c r="E116" s="2">
        <v>43902</v>
      </c>
      <c r="F116" t="str">
        <f t="shared" si="2"/>
        <v>March</v>
      </c>
      <c r="G116">
        <f t="shared" si="3"/>
        <v>2020</v>
      </c>
    </row>
    <row r="117" spans="1:7" x14ac:dyDescent="0.3">
      <c r="A117">
        <v>116</v>
      </c>
      <c r="B117" t="s">
        <v>6</v>
      </c>
      <c r="C117">
        <v>23</v>
      </c>
      <c r="D117" t="s">
        <v>35</v>
      </c>
      <c r="E117" s="2">
        <v>44104</v>
      </c>
      <c r="F117" t="str">
        <f t="shared" si="2"/>
        <v>September</v>
      </c>
      <c r="G117">
        <f t="shared" si="3"/>
        <v>2020</v>
      </c>
    </row>
    <row r="118" spans="1:7" x14ac:dyDescent="0.3">
      <c r="A118">
        <v>117</v>
      </c>
      <c r="B118" t="s">
        <v>6</v>
      </c>
      <c r="C118">
        <v>19</v>
      </c>
      <c r="D118" t="s">
        <v>34</v>
      </c>
      <c r="E118" s="2">
        <v>44168</v>
      </c>
      <c r="F118" t="str">
        <f t="shared" si="2"/>
        <v>December</v>
      </c>
      <c r="G118">
        <f t="shared" si="3"/>
        <v>2020</v>
      </c>
    </row>
    <row r="119" spans="1:7" x14ac:dyDescent="0.3">
      <c r="A119">
        <v>118</v>
      </c>
      <c r="B119" t="s">
        <v>5</v>
      </c>
      <c r="C119">
        <v>30</v>
      </c>
      <c r="D119" t="s">
        <v>39</v>
      </c>
      <c r="E119" s="2">
        <v>44437</v>
      </c>
      <c r="F119" t="str">
        <f t="shared" si="2"/>
        <v>August</v>
      </c>
      <c r="G119">
        <f t="shared" si="3"/>
        <v>2021</v>
      </c>
    </row>
    <row r="120" spans="1:7" x14ac:dyDescent="0.3">
      <c r="A120">
        <v>119</v>
      </c>
      <c r="B120" t="s">
        <v>6</v>
      </c>
      <c r="C120">
        <v>60</v>
      </c>
      <c r="D120" t="s">
        <v>34</v>
      </c>
      <c r="E120" s="2">
        <v>43996</v>
      </c>
      <c r="F120" t="str">
        <f t="shared" si="2"/>
        <v>June</v>
      </c>
      <c r="G120">
        <f t="shared" si="3"/>
        <v>2020</v>
      </c>
    </row>
    <row r="121" spans="1:7" x14ac:dyDescent="0.3">
      <c r="A121">
        <v>120</v>
      </c>
      <c r="B121" t="s">
        <v>5</v>
      </c>
      <c r="C121">
        <v>60</v>
      </c>
      <c r="D121" t="s">
        <v>38</v>
      </c>
      <c r="E121" s="2">
        <v>43841</v>
      </c>
      <c r="F121" t="str">
        <f t="shared" si="2"/>
        <v>January</v>
      </c>
      <c r="G121">
        <f t="shared" si="3"/>
        <v>2020</v>
      </c>
    </row>
    <row r="122" spans="1:7" x14ac:dyDescent="0.3">
      <c r="A122">
        <v>121</v>
      </c>
      <c r="B122" t="s">
        <v>6</v>
      </c>
      <c r="C122">
        <v>28</v>
      </c>
      <c r="D122" t="s">
        <v>35</v>
      </c>
      <c r="E122" s="2">
        <v>44559</v>
      </c>
      <c r="F122" t="str">
        <f t="shared" si="2"/>
        <v>December</v>
      </c>
      <c r="G122">
        <f t="shared" si="3"/>
        <v>2021</v>
      </c>
    </row>
    <row r="123" spans="1:7" x14ac:dyDescent="0.3">
      <c r="A123">
        <v>122</v>
      </c>
      <c r="B123" t="s">
        <v>6</v>
      </c>
      <c r="C123">
        <v>64</v>
      </c>
      <c r="D123" t="s">
        <v>39</v>
      </c>
      <c r="E123" s="2">
        <v>44631</v>
      </c>
      <c r="F123" t="str">
        <f t="shared" si="2"/>
        <v>March</v>
      </c>
      <c r="G123">
        <f t="shared" si="3"/>
        <v>2022</v>
      </c>
    </row>
    <row r="124" spans="1:7" x14ac:dyDescent="0.3">
      <c r="A124">
        <v>123</v>
      </c>
      <c r="B124" t="s">
        <v>5</v>
      </c>
      <c r="C124">
        <v>40</v>
      </c>
      <c r="D124" t="s">
        <v>38</v>
      </c>
      <c r="E124" s="2">
        <v>43932</v>
      </c>
      <c r="F124" t="str">
        <f t="shared" si="2"/>
        <v>April</v>
      </c>
      <c r="G124">
        <f t="shared" si="3"/>
        <v>2020</v>
      </c>
    </row>
    <row r="125" spans="1:7" x14ac:dyDescent="0.3">
      <c r="A125">
        <v>124</v>
      </c>
      <c r="B125" t="s">
        <v>5</v>
      </c>
      <c r="C125">
        <v>33</v>
      </c>
      <c r="D125" t="s">
        <v>34</v>
      </c>
      <c r="E125" s="2">
        <v>44609</v>
      </c>
      <c r="F125" t="str">
        <f t="shared" si="2"/>
        <v>February</v>
      </c>
      <c r="G125">
        <f t="shared" si="3"/>
        <v>2022</v>
      </c>
    </row>
    <row r="126" spans="1:7" x14ac:dyDescent="0.3">
      <c r="A126">
        <v>125</v>
      </c>
      <c r="B126" t="s">
        <v>5</v>
      </c>
      <c r="C126">
        <v>48</v>
      </c>
      <c r="D126" t="s">
        <v>38</v>
      </c>
      <c r="E126" s="2">
        <v>44044</v>
      </c>
      <c r="F126" t="str">
        <f t="shared" si="2"/>
        <v>August</v>
      </c>
      <c r="G126">
        <f t="shared" si="3"/>
        <v>2020</v>
      </c>
    </row>
    <row r="127" spans="1:7" x14ac:dyDescent="0.3">
      <c r="A127">
        <v>126</v>
      </c>
      <c r="B127" t="s">
        <v>5</v>
      </c>
      <c r="C127">
        <v>28</v>
      </c>
      <c r="D127" t="s">
        <v>35</v>
      </c>
      <c r="E127" s="2">
        <v>44942</v>
      </c>
      <c r="F127" t="str">
        <f t="shared" si="2"/>
        <v>January</v>
      </c>
      <c r="G127">
        <f t="shared" si="3"/>
        <v>2023</v>
      </c>
    </row>
    <row r="128" spans="1:7" x14ac:dyDescent="0.3">
      <c r="A128">
        <v>127</v>
      </c>
      <c r="B128" t="s">
        <v>6</v>
      </c>
      <c r="C128">
        <v>33</v>
      </c>
      <c r="D128" t="s">
        <v>37</v>
      </c>
      <c r="E128" s="2">
        <v>44231</v>
      </c>
      <c r="F128" t="str">
        <f t="shared" si="2"/>
        <v>February</v>
      </c>
      <c r="G128">
        <f t="shared" si="3"/>
        <v>2021</v>
      </c>
    </row>
    <row r="129" spans="1:7" x14ac:dyDescent="0.3">
      <c r="A129">
        <v>128</v>
      </c>
      <c r="B129" t="s">
        <v>6</v>
      </c>
      <c r="C129">
        <v>25</v>
      </c>
      <c r="D129" t="s">
        <v>38</v>
      </c>
      <c r="E129" s="2">
        <v>44418</v>
      </c>
      <c r="F129" t="str">
        <f t="shared" si="2"/>
        <v>August</v>
      </c>
      <c r="G129">
        <f t="shared" si="3"/>
        <v>2021</v>
      </c>
    </row>
    <row r="130" spans="1:7" x14ac:dyDescent="0.3">
      <c r="A130">
        <v>129</v>
      </c>
      <c r="B130" t="s">
        <v>5</v>
      </c>
      <c r="C130">
        <v>21</v>
      </c>
      <c r="D130" t="s">
        <v>38</v>
      </c>
      <c r="E130" s="2">
        <v>44719</v>
      </c>
      <c r="F130" t="str">
        <f t="shared" ref="F130:F193" si="4">TEXT(E130,"mmmm")</f>
        <v>June</v>
      </c>
      <c r="G130">
        <f t="shared" si="3"/>
        <v>2022</v>
      </c>
    </row>
    <row r="131" spans="1:7" x14ac:dyDescent="0.3">
      <c r="A131">
        <v>130</v>
      </c>
      <c r="B131" t="s">
        <v>5</v>
      </c>
      <c r="C131">
        <v>57</v>
      </c>
      <c r="D131" t="s">
        <v>34</v>
      </c>
      <c r="E131" s="2">
        <v>44900</v>
      </c>
      <c r="F131" t="str">
        <f t="shared" si="4"/>
        <v>December</v>
      </c>
      <c r="G131">
        <f t="shared" ref="G131:G194" si="5">YEAR(E131)</f>
        <v>2022</v>
      </c>
    </row>
    <row r="132" spans="1:7" x14ac:dyDescent="0.3">
      <c r="A132">
        <v>131</v>
      </c>
      <c r="B132" t="s">
        <v>5</v>
      </c>
      <c r="C132">
        <v>21</v>
      </c>
      <c r="D132" t="s">
        <v>34</v>
      </c>
      <c r="E132" s="2">
        <v>44422</v>
      </c>
      <c r="F132" t="str">
        <f t="shared" si="4"/>
        <v>August</v>
      </c>
      <c r="G132">
        <f t="shared" si="5"/>
        <v>2021</v>
      </c>
    </row>
    <row r="133" spans="1:7" x14ac:dyDescent="0.3">
      <c r="A133">
        <v>132</v>
      </c>
      <c r="B133" t="s">
        <v>5</v>
      </c>
      <c r="C133">
        <v>42</v>
      </c>
      <c r="D133" t="s">
        <v>39</v>
      </c>
      <c r="E133" s="2">
        <v>44940</v>
      </c>
      <c r="F133" t="str">
        <f t="shared" si="4"/>
        <v>January</v>
      </c>
      <c r="G133">
        <f t="shared" si="5"/>
        <v>2023</v>
      </c>
    </row>
    <row r="134" spans="1:7" x14ac:dyDescent="0.3">
      <c r="A134">
        <v>133</v>
      </c>
      <c r="B134" t="s">
        <v>5</v>
      </c>
      <c r="C134">
        <v>20</v>
      </c>
      <c r="D134" t="s">
        <v>34</v>
      </c>
      <c r="E134" s="2">
        <v>43922</v>
      </c>
      <c r="F134" t="str">
        <f t="shared" si="4"/>
        <v>April</v>
      </c>
      <c r="G134">
        <f t="shared" si="5"/>
        <v>2020</v>
      </c>
    </row>
    <row r="135" spans="1:7" x14ac:dyDescent="0.3">
      <c r="A135">
        <v>134</v>
      </c>
      <c r="B135" t="s">
        <v>5</v>
      </c>
      <c r="C135">
        <v>49</v>
      </c>
      <c r="D135" t="s">
        <v>36</v>
      </c>
      <c r="E135" s="2">
        <v>44503</v>
      </c>
      <c r="F135" t="str">
        <f t="shared" si="4"/>
        <v>November</v>
      </c>
      <c r="G135">
        <f t="shared" si="5"/>
        <v>2021</v>
      </c>
    </row>
    <row r="136" spans="1:7" x14ac:dyDescent="0.3">
      <c r="A136">
        <v>135</v>
      </c>
      <c r="B136" t="s">
        <v>6</v>
      </c>
      <c r="C136">
        <v>20</v>
      </c>
      <c r="D136" t="s">
        <v>35</v>
      </c>
      <c r="E136" s="2">
        <v>44544</v>
      </c>
      <c r="F136" t="str">
        <f t="shared" si="4"/>
        <v>December</v>
      </c>
      <c r="G136">
        <f t="shared" si="5"/>
        <v>2021</v>
      </c>
    </row>
    <row r="137" spans="1:7" x14ac:dyDescent="0.3">
      <c r="A137">
        <v>136</v>
      </c>
      <c r="B137" t="s">
        <v>5</v>
      </c>
      <c r="C137">
        <v>44</v>
      </c>
      <c r="D137" t="s">
        <v>35</v>
      </c>
      <c r="E137" s="2">
        <v>44766</v>
      </c>
      <c r="F137" t="str">
        <f t="shared" si="4"/>
        <v>July</v>
      </c>
      <c r="G137">
        <f t="shared" si="5"/>
        <v>2022</v>
      </c>
    </row>
    <row r="138" spans="1:7" x14ac:dyDescent="0.3">
      <c r="A138">
        <v>137</v>
      </c>
      <c r="B138" t="s">
        <v>5</v>
      </c>
      <c r="C138">
        <v>46</v>
      </c>
      <c r="D138" t="s">
        <v>37</v>
      </c>
      <c r="E138" s="2">
        <v>44072</v>
      </c>
      <c r="F138" t="str">
        <f t="shared" si="4"/>
        <v>August</v>
      </c>
      <c r="G138">
        <f t="shared" si="5"/>
        <v>2020</v>
      </c>
    </row>
    <row r="139" spans="1:7" x14ac:dyDescent="0.3">
      <c r="A139">
        <v>138</v>
      </c>
      <c r="B139" t="s">
        <v>6</v>
      </c>
      <c r="C139">
        <v>49</v>
      </c>
      <c r="D139" t="s">
        <v>37</v>
      </c>
      <c r="E139" s="2">
        <v>43832</v>
      </c>
      <c r="F139" t="str">
        <f t="shared" si="4"/>
        <v>January</v>
      </c>
      <c r="G139">
        <f t="shared" si="5"/>
        <v>2020</v>
      </c>
    </row>
    <row r="140" spans="1:7" x14ac:dyDescent="0.3">
      <c r="A140">
        <v>139</v>
      </c>
      <c r="B140" t="s">
        <v>5</v>
      </c>
      <c r="C140">
        <v>36</v>
      </c>
      <c r="D140" t="s">
        <v>35</v>
      </c>
      <c r="E140" s="2">
        <v>44055</v>
      </c>
      <c r="F140" t="str">
        <f t="shared" si="4"/>
        <v>August</v>
      </c>
      <c r="G140">
        <f t="shared" si="5"/>
        <v>2020</v>
      </c>
    </row>
    <row r="141" spans="1:7" x14ac:dyDescent="0.3">
      <c r="A141">
        <v>140</v>
      </c>
      <c r="B141" t="s">
        <v>6</v>
      </c>
      <c r="C141">
        <v>38</v>
      </c>
      <c r="D141" t="s">
        <v>37</v>
      </c>
      <c r="E141" s="2">
        <v>44631</v>
      </c>
      <c r="F141" t="str">
        <f t="shared" si="4"/>
        <v>March</v>
      </c>
      <c r="G141">
        <f t="shared" si="5"/>
        <v>2022</v>
      </c>
    </row>
    <row r="142" spans="1:7" x14ac:dyDescent="0.3">
      <c r="A142">
        <v>141</v>
      </c>
      <c r="B142" t="s">
        <v>6</v>
      </c>
      <c r="C142">
        <v>22</v>
      </c>
      <c r="D142" t="s">
        <v>39</v>
      </c>
      <c r="E142" s="2">
        <v>44419</v>
      </c>
      <c r="F142" t="str">
        <f t="shared" si="4"/>
        <v>August</v>
      </c>
      <c r="G142">
        <f t="shared" si="5"/>
        <v>2021</v>
      </c>
    </row>
    <row r="143" spans="1:7" x14ac:dyDescent="0.3">
      <c r="A143">
        <v>142</v>
      </c>
      <c r="B143" t="s">
        <v>5</v>
      </c>
      <c r="C143">
        <v>35</v>
      </c>
      <c r="D143" t="s">
        <v>34</v>
      </c>
      <c r="E143" s="2">
        <v>43946</v>
      </c>
      <c r="F143" t="str">
        <f t="shared" si="4"/>
        <v>April</v>
      </c>
      <c r="G143">
        <f t="shared" si="5"/>
        <v>2020</v>
      </c>
    </row>
    <row r="144" spans="1:7" x14ac:dyDescent="0.3">
      <c r="A144">
        <v>143</v>
      </c>
      <c r="B144" t="s">
        <v>5</v>
      </c>
      <c r="C144">
        <v>45</v>
      </c>
      <c r="D144" t="s">
        <v>35</v>
      </c>
      <c r="E144" s="2">
        <v>44748</v>
      </c>
      <c r="F144" t="str">
        <f t="shared" si="4"/>
        <v>July</v>
      </c>
      <c r="G144">
        <f t="shared" si="5"/>
        <v>2022</v>
      </c>
    </row>
    <row r="145" spans="1:7" x14ac:dyDescent="0.3">
      <c r="A145">
        <v>144</v>
      </c>
      <c r="B145" t="s">
        <v>5</v>
      </c>
      <c r="C145">
        <v>59</v>
      </c>
      <c r="D145" t="s">
        <v>37</v>
      </c>
      <c r="E145" s="2">
        <v>44957</v>
      </c>
      <c r="F145" t="str">
        <f t="shared" si="4"/>
        <v>January</v>
      </c>
      <c r="G145">
        <f t="shared" si="5"/>
        <v>2023</v>
      </c>
    </row>
    <row r="146" spans="1:7" x14ac:dyDescent="0.3">
      <c r="A146">
        <v>145</v>
      </c>
      <c r="B146" t="s">
        <v>5</v>
      </c>
      <c r="C146">
        <v>39</v>
      </c>
      <c r="D146" t="s">
        <v>35</v>
      </c>
      <c r="E146" s="2">
        <v>44024</v>
      </c>
      <c r="F146" t="str">
        <f t="shared" si="4"/>
        <v>July</v>
      </c>
      <c r="G146">
        <f t="shared" si="5"/>
        <v>2020</v>
      </c>
    </row>
    <row r="147" spans="1:7" x14ac:dyDescent="0.3">
      <c r="A147">
        <v>146</v>
      </c>
      <c r="B147" t="s">
        <v>5</v>
      </c>
      <c r="C147">
        <v>38</v>
      </c>
      <c r="D147" t="s">
        <v>36</v>
      </c>
      <c r="E147" s="2">
        <v>45020</v>
      </c>
      <c r="F147" t="str">
        <f t="shared" si="4"/>
        <v>April</v>
      </c>
      <c r="G147">
        <f t="shared" si="5"/>
        <v>2023</v>
      </c>
    </row>
    <row r="148" spans="1:7" x14ac:dyDescent="0.3">
      <c r="A148">
        <v>147</v>
      </c>
      <c r="B148" t="s">
        <v>5</v>
      </c>
      <c r="C148">
        <v>23</v>
      </c>
      <c r="D148" t="s">
        <v>38</v>
      </c>
      <c r="E148" s="2">
        <v>44701</v>
      </c>
      <c r="F148" t="str">
        <f t="shared" si="4"/>
        <v>May</v>
      </c>
      <c r="G148">
        <f t="shared" si="5"/>
        <v>2022</v>
      </c>
    </row>
    <row r="149" spans="1:7" x14ac:dyDescent="0.3">
      <c r="A149">
        <v>148</v>
      </c>
      <c r="B149" t="s">
        <v>5</v>
      </c>
      <c r="C149">
        <v>18</v>
      </c>
      <c r="D149" t="s">
        <v>34</v>
      </c>
      <c r="E149" s="2">
        <v>43920</v>
      </c>
      <c r="F149" t="str">
        <f t="shared" si="4"/>
        <v>March</v>
      </c>
      <c r="G149">
        <f t="shared" si="5"/>
        <v>2020</v>
      </c>
    </row>
    <row r="150" spans="1:7" x14ac:dyDescent="0.3">
      <c r="A150">
        <v>149</v>
      </c>
      <c r="B150" t="s">
        <v>5</v>
      </c>
      <c r="C150">
        <v>22</v>
      </c>
      <c r="D150" t="s">
        <v>35</v>
      </c>
      <c r="E150" s="2">
        <v>43952</v>
      </c>
      <c r="F150" t="str">
        <f t="shared" si="4"/>
        <v>May</v>
      </c>
      <c r="G150">
        <f t="shared" si="5"/>
        <v>2020</v>
      </c>
    </row>
    <row r="151" spans="1:7" x14ac:dyDescent="0.3">
      <c r="A151">
        <v>150</v>
      </c>
      <c r="B151" t="s">
        <v>5</v>
      </c>
      <c r="C151">
        <v>58</v>
      </c>
      <c r="D151" t="s">
        <v>38</v>
      </c>
      <c r="E151" s="2">
        <v>43973</v>
      </c>
      <c r="F151" t="str">
        <f t="shared" si="4"/>
        <v>May</v>
      </c>
      <c r="G151">
        <f t="shared" si="5"/>
        <v>2020</v>
      </c>
    </row>
    <row r="152" spans="1:7" x14ac:dyDescent="0.3">
      <c r="A152">
        <v>151</v>
      </c>
      <c r="B152" t="s">
        <v>6</v>
      </c>
      <c r="C152">
        <v>29</v>
      </c>
      <c r="D152" t="s">
        <v>37</v>
      </c>
      <c r="E152" s="2">
        <v>44824</v>
      </c>
      <c r="F152" t="str">
        <f t="shared" si="4"/>
        <v>September</v>
      </c>
      <c r="G152">
        <f t="shared" si="5"/>
        <v>2022</v>
      </c>
    </row>
    <row r="153" spans="1:7" x14ac:dyDescent="0.3">
      <c r="A153">
        <v>152</v>
      </c>
      <c r="B153" t="s">
        <v>5</v>
      </c>
      <c r="C153">
        <v>43</v>
      </c>
      <c r="D153" t="s">
        <v>38</v>
      </c>
      <c r="E153" s="2">
        <v>43936</v>
      </c>
      <c r="F153" t="str">
        <f t="shared" si="4"/>
        <v>April</v>
      </c>
      <c r="G153">
        <f t="shared" si="5"/>
        <v>2020</v>
      </c>
    </row>
    <row r="154" spans="1:7" x14ac:dyDescent="0.3">
      <c r="A154">
        <v>153</v>
      </c>
      <c r="B154" t="s">
        <v>5</v>
      </c>
      <c r="C154">
        <v>63</v>
      </c>
      <c r="D154" t="s">
        <v>34</v>
      </c>
      <c r="E154" s="2">
        <v>44717</v>
      </c>
      <c r="F154" t="str">
        <f t="shared" si="4"/>
        <v>June</v>
      </c>
      <c r="G154">
        <f t="shared" si="5"/>
        <v>2022</v>
      </c>
    </row>
    <row r="155" spans="1:7" x14ac:dyDescent="0.3">
      <c r="A155">
        <v>154</v>
      </c>
      <c r="B155" t="s">
        <v>5</v>
      </c>
      <c r="C155">
        <v>51</v>
      </c>
      <c r="D155" t="s">
        <v>35</v>
      </c>
      <c r="E155" s="2">
        <v>44258</v>
      </c>
      <c r="F155" t="str">
        <f t="shared" si="4"/>
        <v>March</v>
      </c>
      <c r="G155">
        <f t="shared" si="5"/>
        <v>2021</v>
      </c>
    </row>
    <row r="156" spans="1:7" x14ac:dyDescent="0.3">
      <c r="A156">
        <v>155</v>
      </c>
      <c r="B156" t="s">
        <v>6</v>
      </c>
      <c r="C156">
        <v>31</v>
      </c>
      <c r="D156" t="s">
        <v>36</v>
      </c>
      <c r="E156" s="2">
        <v>44147</v>
      </c>
      <c r="F156" t="str">
        <f t="shared" si="4"/>
        <v>November</v>
      </c>
      <c r="G156">
        <f t="shared" si="5"/>
        <v>2020</v>
      </c>
    </row>
    <row r="157" spans="1:7" x14ac:dyDescent="0.3">
      <c r="A157">
        <v>156</v>
      </c>
      <c r="B157" t="s">
        <v>5</v>
      </c>
      <c r="C157">
        <v>43</v>
      </c>
      <c r="D157" t="s">
        <v>37</v>
      </c>
      <c r="E157" s="2">
        <v>44465</v>
      </c>
      <c r="F157" t="str">
        <f t="shared" si="4"/>
        <v>September</v>
      </c>
      <c r="G157">
        <f t="shared" si="5"/>
        <v>2021</v>
      </c>
    </row>
    <row r="158" spans="1:7" x14ac:dyDescent="0.3">
      <c r="A158">
        <v>157</v>
      </c>
      <c r="B158" t="s">
        <v>6</v>
      </c>
      <c r="C158">
        <v>62</v>
      </c>
      <c r="D158" t="s">
        <v>35</v>
      </c>
      <c r="E158" s="2">
        <v>43839</v>
      </c>
      <c r="F158" t="str">
        <f t="shared" si="4"/>
        <v>January</v>
      </c>
      <c r="G158">
        <f t="shared" si="5"/>
        <v>2020</v>
      </c>
    </row>
    <row r="159" spans="1:7" x14ac:dyDescent="0.3">
      <c r="A159">
        <v>158</v>
      </c>
      <c r="B159" t="s">
        <v>6</v>
      </c>
      <c r="C159">
        <v>44</v>
      </c>
      <c r="D159" t="s">
        <v>34</v>
      </c>
      <c r="E159" s="2">
        <v>44604</v>
      </c>
      <c r="F159" t="str">
        <f t="shared" si="4"/>
        <v>February</v>
      </c>
      <c r="G159">
        <f t="shared" si="5"/>
        <v>2022</v>
      </c>
    </row>
    <row r="160" spans="1:7" x14ac:dyDescent="0.3">
      <c r="A160">
        <v>159</v>
      </c>
      <c r="B160" t="s">
        <v>5</v>
      </c>
      <c r="C160">
        <v>26</v>
      </c>
      <c r="D160" t="s">
        <v>37</v>
      </c>
      <c r="E160" s="2">
        <v>44927</v>
      </c>
      <c r="F160" t="str">
        <f t="shared" si="4"/>
        <v>January</v>
      </c>
      <c r="G160">
        <f t="shared" si="5"/>
        <v>2023</v>
      </c>
    </row>
    <row r="161" spans="1:7" x14ac:dyDescent="0.3">
      <c r="A161">
        <v>160</v>
      </c>
      <c r="B161" t="s">
        <v>6</v>
      </c>
      <c r="C161">
        <v>43</v>
      </c>
      <c r="D161" t="s">
        <v>39</v>
      </c>
      <c r="E161" s="2">
        <v>44053</v>
      </c>
      <c r="F161" t="str">
        <f t="shared" si="4"/>
        <v>August</v>
      </c>
      <c r="G161">
        <f t="shared" si="5"/>
        <v>2020</v>
      </c>
    </row>
    <row r="162" spans="1:7" x14ac:dyDescent="0.3">
      <c r="A162">
        <v>161</v>
      </c>
      <c r="B162" t="s">
        <v>5</v>
      </c>
      <c r="C162">
        <v>64</v>
      </c>
      <c r="D162" t="s">
        <v>38</v>
      </c>
      <c r="E162" s="2">
        <v>44383</v>
      </c>
      <c r="F162" t="str">
        <f t="shared" si="4"/>
        <v>July</v>
      </c>
      <c r="G162">
        <f t="shared" si="5"/>
        <v>2021</v>
      </c>
    </row>
    <row r="163" spans="1:7" x14ac:dyDescent="0.3">
      <c r="A163">
        <v>162</v>
      </c>
      <c r="B163" t="s">
        <v>5</v>
      </c>
      <c r="C163">
        <v>39</v>
      </c>
      <c r="D163" t="s">
        <v>34</v>
      </c>
      <c r="E163" s="2">
        <v>44546</v>
      </c>
      <c r="F163" t="str">
        <f t="shared" si="4"/>
        <v>December</v>
      </c>
      <c r="G163">
        <f t="shared" si="5"/>
        <v>2021</v>
      </c>
    </row>
    <row r="164" spans="1:7" x14ac:dyDescent="0.3">
      <c r="A164">
        <v>163</v>
      </c>
      <c r="B164" t="s">
        <v>5</v>
      </c>
      <c r="C164">
        <v>64</v>
      </c>
      <c r="D164" t="s">
        <v>39</v>
      </c>
      <c r="E164" s="2">
        <v>44938</v>
      </c>
      <c r="F164" t="str">
        <f t="shared" si="4"/>
        <v>January</v>
      </c>
      <c r="G164">
        <f t="shared" si="5"/>
        <v>2023</v>
      </c>
    </row>
    <row r="165" spans="1:7" x14ac:dyDescent="0.3">
      <c r="A165">
        <v>164</v>
      </c>
      <c r="B165" t="s">
        <v>5</v>
      </c>
      <c r="C165">
        <v>47</v>
      </c>
      <c r="D165" t="s">
        <v>35</v>
      </c>
      <c r="E165" s="2">
        <v>43941</v>
      </c>
      <c r="F165" t="str">
        <f t="shared" si="4"/>
        <v>April</v>
      </c>
      <c r="G165">
        <f t="shared" si="5"/>
        <v>2020</v>
      </c>
    </row>
    <row r="166" spans="1:7" x14ac:dyDescent="0.3">
      <c r="A166">
        <v>165</v>
      </c>
      <c r="B166" t="s">
        <v>5</v>
      </c>
      <c r="C166">
        <v>60</v>
      </c>
      <c r="D166" t="s">
        <v>36</v>
      </c>
      <c r="E166" s="2">
        <v>44081</v>
      </c>
      <c r="F166" t="str">
        <f t="shared" si="4"/>
        <v>September</v>
      </c>
      <c r="G166">
        <f t="shared" si="5"/>
        <v>2020</v>
      </c>
    </row>
    <row r="167" spans="1:7" x14ac:dyDescent="0.3">
      <c r="A167">
        <v>166</v>
      </c>
      <c r="B167" t="s">
        <v>6</v>
      </c>
      <c r="C167">
        <v>34</v>
      </c>
      <c r="D167" t="s">
        <v>37</v>
      </c>
      <c r="E167" s="2">
        <v>44213</v>
      </c>
      <c r="F167" t="str">
        <f t="shared" si="4"/>
        <v>January</v>
      </c>
      <c r="G167">
        <f t="shared" si="5"/>
        <v>2021</v>
      </c>
    </row>
    <row r="168" spans="1:7" x14ac:dyDescent="0.3">
      <c r="A168">
        <v>167</v>
      </c>
      <c r="B168" t="s">
        <v>5</v>
      </c>
      <c r="C168">
        <v>43</v>
      </c>
      <c r="D168" t="s">
        <v>38</v>
      </c>
      <c r="E168" s="2">
        <v>43837</v>
      </c>
      <c r="F168" t="str">
        <f t="shared" si="4"/>
        <v>January</v>
      </c>
      <c r="G168">
        <f t="shared" si="5"/>
        <v>2020</v>
      </c>
    </row>
    <row r="169" spans="1:7" x14ac:dyDescent="0.3">
      <c r="A169">
        <v>168</v>
      </c>
      <c r="B169" t="s">
        <v>5</v>
      </c>
      <c r="C169">
        <v>53</v>
      </c>
      <c r="D169" t="s">
        <v>37</v>
      </c>
      <c r="E169" s="2">
        <v>44289</v>
      </c>
      <c r="F169" t="str">
        <f t="shared" si="4"/>
        <v>April</v>
      </c>
      <c r="G169">
        <f t="shared" si="5"/>
        <v>2021</v>
      </c>
    </row>
    <row r="170" spans="1:7" x14ac:dyDescent="0.3">
      <c r="A170">
        <v>169</v>
      </c>
      <c r="B170" t="s">
        <v>5</v>
      </c>
      <c r="C170">
        <v>18</v>
      </c>
      <c r="D170" t="s">
        <v>35</v>
      </c>
      <c r="E170" s="2">
        <v>44938</v>
      </c>
      <c r="F170" t="str">
        <f t="shared" si="4"/>
        <v>January</v>
      </c>
      <c r="G170">
        <f t="shared" si="5"/>
        <v>2023</v>
      </c>
    </row>
    <row r="171" spans="1:7" x14ac:dyDescent="0.3">
      <c r="A171">
        <v>170</v>
      </c>
      <c r="B171" t="s">
        <v>5</v>
      </c>
      <c r="C171">
        <v>25</v>
      </c>
      <c r="D171" t="s">
        <v>37</v>
      </c>
      <c r="E171" s="2">
        <v>44038</v>
      </c>
      <c r="F171" t="str">
        <f t="shared" si="4"/>
        <v>July</v>
      </c>
      <c r="G171">
        <f t="shared" si="5"/>
        <v>2020</v>
      </c>
    </row>
    <row r="172" spans="1:7" x14ac:dyDescent="0.3">
      <c r="A172">
        <v>171</v>
      </c>
      <c r="B172" t="s">
        <v>6</v>
      </c>
      <c r="C172">
        <v>52</v>
      </c>
      <c r="D172" t="s">
        <v>38</v>
      </c>
      <c r="E172" s="2">
        <v>44730</v>
      </c>
      <c r="F172" t="str">
        <f t="shared" si="4"/>
        <v>June</v>
      </c>
      <c r="G172">
        <f t="shared" si="5"/>
        <v>2022</v>
      </c>
    </row>
    <row r="173" spans="1:7" x14ac:dyDescent="0.3">
      <c r="A173">
        <v>172</v>
      </c>
      <c r="B173" t="s">
        <v>5</v>
      </c>
      <c r="C173">
        <v>32</v>
      </c>
      <c r="D173" t="s">
        <v>35</v>
      </c>
      <c r="E173" s="2">
        <v>43852</v>
      </c>
      <c r="F173" t="str">
        <f t="shared" si="4"/>
        <v>January</v>
      </c>
      <c r="G173">
        <f t="shared" si="5"/>
        <v>2020</v>
      </c>
    </row>
    <row r="174" spans="1:7" x14ac:dyDescent="0.3">
      <c r="A174">
        <v>173</v>
      </c>
      <c r="B174" t="s">
        <v>5</v>
      </c>
      <c r="C174">
        <v>64</v>
      </c>
      <c r="D174" t="s">
        <v>37</v>
      </c>
      <c r="E174" s="2">
        <v>44240</v>
      </c>
      <c r="F174" t="str">
        <f t="shared" si="4"/>
        <v>February</v>
      </c>
      <c r="G174">
        <f t="shared" si="5"/>
        <v>2021</v>
      </c>
    </row>
    <row r="175" spans="1:7" x14ac:dyDescent="0.3">
      <c r="A175">
        <v>174</v>
      </c>
      <c r="B175" t="s">
        <v>5</v>
      </c>
      <c r="C175">
        <v>39</v>
      </c>
      <c r="D175" t="s">
        <v>36</v>
      </c>
      <c r="E175" s="2">
        <v>44725</v>
      </c>
      <c r="F175" t="str">
        <f t="shared" si="4"/>
        <v>June</v>
      </c>
      <c r="G175">
        <f t="shared" si="5"/>
        <v>2022</v>
      </c>
    </row>
    <row r="176" spans="1:7" x14ac:dyDescent="0.3">
      <c r="A176">
        <v>175</v>
      </c>
      <c r="B176" t="s">
        <v>5</v>
      </c>
      <c r="C176">
        <v>31</v>
      </c>
      <c r="D176" t="s">
        <v>34</v>
      </c>
      <c r="E176" s="2">
        <v>44345</v>
      </c>
      <c r="F176" t="str">
        <f t="shared" si="4"/>
        <v>May</v>
      </c>
      <c r="G176">
        <f t="shared" si="5"/>
        <v>2021</v>
      </c>
    </row>
    <row r="177" spans="1:7" x14ac:dyDescent="0.3">
      <c r="A177">
        <v>176</v>
      </c>
      <c r="B177" t="s">
        <v>5</v>
      </c>
      <c r="C177">
        <v>43</v>
      </c>
      <c r="D177" t="s">
        <v>35</v>
      </c>
      <c r="E177" s="2">
        <v>44981</v>
      </c>
      <c r="F177" t="str">
        <f t="shared" si="4"/>
        <v>February</v>
      </c>
      <c r="G177">
        <f t="shared" si="5"/>
        <v>2023</v>
      </c>
    </row>
    <row r="178" spans="1:7" x14ac:dyDescent="0.3">
      <c r="A178">
        <v>177</v>
      </c>
      <c r="B178" t="s">
        <v>6</v>
      </c>
      <c r="C178">
        <v>45</v>
      </c>
      <c r="D178" t="s">
        <v>34</v>
      </c>
      <c r="E178" s="2">
        <v>44639</v>
      </c>
      <c r="F178" t="str">
        <f t="shared" si="4"/>
        <v>March</v>
      </c>
      <c r="G178">
        <f t="shared" si="5"/>
        <v>2022</v>
      </c>
    </row>
    <row r="179" spans="1:7" x14ac:dyDescent="0.3">
      <c r="A179">
        <v>178</v>
      </c>
      <c r="B179" t="s">
        <v>5</v>
      </c>
      <c r="C179">
        <v>40</v>
      </c>
      <c r="D179" t="s">
        <v>35</v>
      </c>
      <c r="E179" s="2">
        <v>44704</v>
      </c>
      <c r="F179" t="str">
        <f t="shared" si="4"/>
        <v>May</v>
      </c>
      <c r="G179">
        <f t="shared" si="5"/>
        <v>2022</v>
      </c>
    </row>
    <row r="180" spans="1:7" x14ac:dyDescent="0.3">
      <c r="A180">
        <v>179</v>
      </c>
      <c r="B180" t="s">
        <v>6</v>
      </c>
      <c r="C180">
        <v>31</v>
      </c>
      <c r="D180" t="s">
        <v>36</v>
      </c>
      <c r="E180" s="2">
        <v>43844</v>
      </c>
      <c r="F180" t="str">
        <f t="shared" si="4"/>
        <v>January</v>
      </c>
      <c r="G180">
        <f t="shared" si="5"/>
        <v>2020</v>
      </c>
    </row>
    <row r="181" spans="1:7" x14ac:dyDescent="0.3">
      <c r="A181">
        <v>180</v>
      </c>
      <c r="B181" t="s">
        <v>5</v>
      </c>
      <c r="C181">
        <v>41</v>
      </c>
      <c r="D181" t="s">
        <v>34</v>
      </c>
      <c r="E181" s="2">
        <v>44801</v>
      </c>
      <c r="F181" t="str">
        <f t="shared" si="4"/>
        <v>August</v>
      </c>
      <c r="G181">
        <f t="shared" si="5"/>
        <v>2022</v>
      </c>
    </row>
    <row r="182" spans="1:7" x14ac:dyDescent="0.3">
      <c r="A182">
        <v>181</v>
      </c>
      <c r="B182" t="s">
        <v>5</v>
      </c>
      <c r="C182">
        <v>19</v>
      </c>
      <c r="D182" t="s">
        <v>39</v>
      </c>
      <c r="E182" s="2">
        <v>44808</v>
      </c>
      <c r="F182" t="str">
        <f t="shared" si="4"/>
        <v>September</v>
      </c>
      <c r="G182">
        <f t="shared" si="5"/>
        <v>2022</v>
      </c>
    </row>
    <row r="183" spans="1:7" x14ac:dyDescent="0.3">
      <c r="A183">
        <v>182</v>
      </c>
      <c r="B183" t="s">
        <v>5</v>
      </c>
      <c r="C183">
        <v>62</v>
      </c>
      <c r="D183" t="s">
        <v>38</v>
      </c>
      <c r="E183" s="2">
        <v>44844</v>
      </c>
      <c r="F183" t="str">
        <f t="shared" si="4"/>
        <v>October</v>
      </c>
      <c r="G183">
        <f t="shared" si="5"/>
        <v>2022</v>
      </c>
    </row>
    <row r="184" spans="1:7" x14ac:dyDescent="0.3">
      <c r="A184">
        <v>183</v>
      </c>
      <c r="B184" t="s">
        <v>6</v>
      </c>
      <c r="C184">
        <v>43</v>
      </c>
      <c r="D184" t="s">
        <v>39</v>
      </c>
      <c r="E184" s="2">
        <v>44866</v>
      </c>
      <c r="F184" t="str">
        <f t="shared" si="4"/>
        <v>November</v>
      </c>
      <c r="G184">
        <f t="shared" si="5"/>
        <v>2022</v>
      </c>
    </row>
    <row r="185" spans="1:7" x14ac:dyDescent="0.3">
      <c r="A185">
        <v>184</v>
      </c>
      <c r="B185" t="s">
        <v>6</v>
      </c>
      <c r="C185">
        <v>31</v>
      </c>
      <c r="D185" t="s">
        <v>37</v>
      </c>
      <c r="E185" s="2">
        <v>43917</v>
      </c>
      <c r="F185" t="str">
        <f t="shared" si="4"/>
        <v>March</v>
      </c>
      <c r="G185">
        <f t="shared" si="5"/>
        <v>2020</v>
      </c>
    </row>
    <row r="186" spans="1:7" x14ac:dyDescent="0.3">
      <c r="A186">
        <v>185</v>
      </c>
      <c r="B186" t="s">
        <v>5</v>
      </c>
      <c r="C186">
        <v>24</v>
      </c>
      <c r="D186" t="s">
        <v>36</v>
      </c>
      <c r="E186" s="2">
        <v>44739</v>
      </c>
      <c r="F186" t="str">
        <f t="shared" si="4"/>
        <v>June</v>
      </c>
      <c r="G186">
        <f t="shared" si="5"/>
        <v>2022</v>
      </c>
    </row>
    <row r="187" spans="1:7" x14ac:dyDescent="0.3">
      <c r="A187">
        <v>186</v>
      </c>
      <c r="B187" t="s">
        <v>6</v>
      </c>
      <c r="C187">
        <v>20</v>
      </c>
      <c r="D187" t="s">
        <v>39</v>
      </c>
      <c r="E187" s="2">
        <v>43952</v>
      </c>
      <c r="F187" t="str">
        <f t="shared" si="4"/>
        <v>May</v>
      </c>
      <c r="G187">
        <f t="shared" si="5"/>
        <v>2020</v>
      </c>
    </row>
    <row r="188" spans="1:7" x14ac:dyDescent="0.3">
      <c r="A188">
        <v>187</v>
      </c>
      <c r="B188" t="s">
        <v>6</v>
      </c>
      <c r="C188">
        <v>64</v>
      </c>
      <c r="D188" t="s">
        <v>35</v>
      </c>
      <c r="E188" s="2">
        <v>45001</v>
      </c>
      <c r="F188" t="str">
        <f t="shared" si="4"/>
        <v>March</v>
      </c>
      <c r="G188">
        <f t="shared" si="5"/>
        <v>2023</v>
      </c>
    </row>
    <row r="189" spans="1:7" x14ac:dyDescent="0.3">
      <c r="A189">
        <v>188</v>
      </c>
      <c r="B189" t="s">
        <v>5</v>
      </c>
      <c r="C189">
        <v>40</v>
      </c>
      <c r="D189" t="s">
        <v>37</v>
      </c>
      <c r="E189" s="2">
        <v>44580</v>
      </c>
      <c r="F189" t="str">
        <f t="shared" si="4"/>
        <v>January</v>
      </c>
      <c r="G189">
        <f t="shared" si="5"/>
        <v>2022</v>
      </c>
    </row>
    <row r="190" spans="1:7" x14ac:dyDescent="0.3">
      <c r="A190">
        <v>189</v>
      </c>
      <c r="B190" t="s">
        <v>5</v>
      </c>
      <c r="C190">
        <v>63</v>
      </c>
      <c r="D190" t="s">
        <v>37</v>
      </c>
      <c r="E190" s="2">
        <v>44515</v>
      </c>
      <c r="F190" t="str">
        <f t="shared" si="4"/>
        <v>November</v>
      </c>
      <c r="G190">
        <f t="shared" si="5"/>
        <v>2021</v>
      </c>
    </row>
    <row r="191" spans="1:7" x14ac:dyDescent="0.3">
      <c r="A191">
        <v>190</v>
      </c>
      <c r="B191" t="s">
        <v>5</v>
      </c>
      <c r="C191">
        <v>60</v>
      </c>
      <c r="D191" t="s">
        <v>39</v>
      </c>
      <c r="E191" s="2">
        <v>44139</v>
      </c>
      <c r="F191" t="str">
        <f t="shared" si="4"/>
        <v>November</v>
      </c>
      <c r="G191">
        <f t="shared" si="5"/>
        <v>2020</v>
      </c>
    </row>
    <row r="192" spans="1:7" x14ac:dyDescent="0.3">
      <c r="A192">
        <v>191</v>
      </c>
      <c r="B192" t="s">
        <v>5</v>
      </c>
      <c r="C192">
        <v>64</v>
      </c>
      <c r="D192" t="s">
        <v>39</v>
      </c>
      <c r="E192" s="2">
        <v>44525</v>
      </c>
      <c r="F192" t="str">
        <f t="shared" si="4"/>
        <v>November</v>
      </c>
      <c r="G192">
        <f t="shared" si="5"/>
        <v>2021</v>
      </c>
    </row>
    <row r="193" spans="1:7" x14ac:dyDescent="0.3">
      <c r="A193">
        <v>192</v>
      </c>
      <c r="B193" t="s">
        <v>6</v>
      </c>
      <c r="C193">
        <v>62</v>
      </c>
      <c r="D193" t="s">
        <v>36</v>
      </c>
      <c r="E193" s="2">
        <v>44118</v>
      </c>
      <c r="F193" t="str">
        <f t="shared" si="4"/>
        <v>October</v>
      </c>
      <c r="G193">
        <f t="shared" si="5"/>
        <v>2020</v>
      </c>
    </row>
    <row r="194" spans="1:7" x14ac:dyDescent="0.3">
      <c r="A194">
        <v>193</v>
      </c>
      <c r="B194" t="s">
        <v>6</v>
      </c>
      <c r="C194">
        <v>35</v>
      </c>
      <c r="D194" t="s">
        <v>38</v>
      </c>
      <c r="E194" s="2">
        <v>44137</v>
      </c>
      <c r="F194" t="str">
        <f t="shared" ref="F194:F257" si="6">TEXT(E194,"mmmm")</f>
        <v>November</v>
      </c>
      <c r="G194">
        <f t="shared" si="5"/>
        <v>2020</v>
      </c>
    </row>
    <row r="195" spans="1:7" x14ac:dyDescent="0.3">
      <c r="A195">
        <v>194</v>
      </c>
      <c r="B195" t="s">
        <v>5</v>
      </c>
      <c r="C195">
        <v>55</v>
      </c>
      <c r="D195" t="s">
        <v>39</v>
      </c>
      <c r="E195" s="2">
        <v>44744</v>
      </c>
      <c r="F195" t="str">
        <f t="shared" si="6"/>
        <v>July</v>
      </c>
      <c r="G195">
        <f t="shared" ref="G195:G258" si="7">YEAR(E195)</f>
        <v>2022</v>
      </c>
    </row>
    <row r="196" spans="1:7" x14ac:dyDescent="0.3">
      <c r="A196">
        <v>195</v>
      </c>
      <c r="B196" t="s">
        <v>5</v>
      </c>
      <c r="C196">
        <v>52</v>
      </c>
      <c r="D196" t="s">
        <v>39</v>
      </c>
      <c r="E196" s="2">
        <v>44492</v>
      </c>
      <c r="F196" t="str">
        <f t="shared" si="6"/>
        <v>October</v>
      </c>
      <c r="G196">
        <f t="shared" si="7"/>
        <v>2021</v>
      </c>
    </row>
    <row r="197" spans="1:7" x14ac:dyDescent="0.3">
      <c r="A197">
        <v>196</v>
      </c>
      <c r="B197" t="s">
        <v>5</v>
      </c>
      <c r="C197">
        <v>32</v>
      </c>
      <c r="D197" t="s">
        <v>34</v>
      </c>
      <c r="E197" s="2">
        <v>44379</v>
      </c>
      <c r="F197" t="str">
        <f t="shared" si="6"/>
        <v>July</v>
      </c>
      <c r="G197">
        <f t="shared" si="7"/>
        <v>2021</v>
      </c>
    </row>
    <row r="198" spans="1:7" x14ac:dyDescent="0.3">
      <c r="A198">
        <v>197</v>
      </c>
      <c r="B198" t="s">
        <v>6</v>
      </c>
      <c r="C198">
        <v>42</v>
      </c>
      <c r="D198" t="s">
        <v>35</v>
      </c>
      <c r="E198" s="2">
        <v>44142</v>
      </c>
      <c r="F198" t="str">
        <f t="shared" si="6"/>
        <v>November</v>
      </c>
      <c r="G198">
        <f t="shared" si="7"/>
        <v>2020</v>
      </c>
    </row>
    <row r="199" spans="1:7" x14ac:dyDescent="0.3">
      <c r="A199">
        <v>198</v>
      </c>
      <c r="B199" t="s">
        <v>6</v>
      </c>
      <c r="C199">
        <v>54</v>
      </c>
      <c r="D199" t="s">
        <v>34</v>
      </c>
      <c r="E199" s="2">
        <v>44703</v>
      </c>
      <c r="F199" t="str">
        <f t="shared" si="6"/>
        <v>May</v>
      </c>
      <c r="G199">
        <f t="shared" si="7"/>
        <v>2022</v>
      </c>
    </row>
    <row r="200" spans="1:7" x14ac:dyDescent="0.3">
      <c r="A200">
        <v>199</v>
      </c>
      <c r="B200" t="s">
        <v>6</v>
      </c>
      <c r="C200">
        <v>45</v>
      </c>
      <c r="D200" t="s">
        <v>34</v>
      </c>
      <c r="E200" s="2">
        <v>44913</v>
      </c>
      <c r="F200" t="str">
        <f t="shared" si="6"/>
        <v>December</v>
      </c>
      <c r="G200">
        <f t="shared" si="7"/>
        <v>2022</v>
      </c>
    </row>
    <row r="201" spans="1:7" x14ac:dyDescent="0.3">
      <c r="A201">
        <v>200</v>
      </c>
      <c r="B201" t="s">
        <v>6</v>
      </c>
      <c r="C201">
        <v>27</v>
      </c>
      <c r="D201" t="s">
        <v>37</v>
      </c>
      <c r="E201" s="2">
        <v>44754</v>
      </c>
      <c r="F201" t="str">
        <f t="shared" si="6"/>
        <v>July</v>
      </c>
      <c r="G201">
        <f t="shared" si="7"/>
        <v>2022</v>
      </c>
    </row>
    <row r="202" spans="1:7" x14ac:dyDescent="0.3">
      <c r="A202">
        <v>201</v>
      </c>
      <c r="B202" t="s">
        <v>5</v>
      </c>
      <c r="C202">
        <v>56</v>
      </c>
      <c r="D202" t="s">
        <v>38</v>
      </c>
      <c r="E202" s="2">
        <v>44585</v>
      </c>
      <c r="F202" t="str">
        <f t="shared" si="6"/>
        <v>January</v>
      </c>
      <c r="G202">
        <f t="shared" si="7"/>
        <v>2022</v>
      </c>
    </row>
    <row r="203" spans="1:7" x14ac:dyDescent="0.3">
      <c r="A203">
        <v>202</v>
      </c>
      <c r="B203" t="s">
        <v>5</v>
      </c>
      <c r="C203">
        <v>34</v>
      </c>
      <c r="D203" t="s">
        <v>35</v>
      </c>
      <c r="E203" s="2">
        <v>43865</v>
      </c>
      <c r="F203" t="str">
        <f t="shared" si="6"/>
        <v>February</v>
      </c>
      <c r="G203">
        <f t="shared" si="7"/>
        <v>2020</v>
      </c>
    </row>
    <row r="204" spans="1:7" x14ac:dyDescent="0.3">
      <c r="A204">
        <v>203</v>
      </c>
      <c r="B204" t="s">
        <v>5</v>
      </c>
      <c r="C204">
        <v>56</v>
      </c>
      <c r="D204" t="s">
        <v>36</v>
      </c>
      <c r="E204" s="2">
        <v>44275</v>
      </c>
      <c r="F204" t="str">
        <f t="shared" si="6"/>
        <v>March</v>
      </c>
      <c r="G204">
        <f t="shared" si="7"/>
        <v>2021</v>
      </c>
    </row>
    <row r="205" spans="1:7" x14ac:dyDescent="0.3">
      <c r="A205">
        <v>204</v>
      </c>
      <c r="B205" t="s">
        <v>6</v>
      </c>
      <c r="C205">
        <v>39</v>
      </c>
      <c r="D205" t="s">
        <v>36</v>
      </c>
      <c r="E205" s="2">
        <v>43923</v>
      </c>
      <c r="F205" t="str">
        <f t="shared" si="6"/>
        <v>April</v>
      </c>
      <c r="G205">
        <f t="shared" si="7"/>
        <v>2020</v>
      </c>
    </row>
    <row r="206" spans="1:7" x14ac:dyDescent="0.3">
      <c r="A206">
        <v>205</v>
      </c>
      <c r="B206" t="s">
        <v>5</v>
      </c>
      <c r="C206">
        <v>43</v>
      </c>
      <c r="D206" t="s">
        <v>39</v>
      </c>
      <c r="E206" s="2">
        <v>44183</v>
      </c>
      <c r="F206" t="str">
        <f t="shared" si="6"/>
        <v>December</v>
      </c>
      <c r="G206">
        <f t="shared" si="7"/>
        <v>2020</v>
      </c>
    </row>
    <row r="207" spans="1:7" x14ac:dyDescent="0.3">
      <c r="A207">
        <v>206</v>
      </c>
      <c r="B207" t="s">
        <v>5</v>
      </c>
      <c r="C207">
        <v>61</v>
      </c>
      <c r="D207" t="s">
        <v>39</v>
      </c>
      <c r="E207" s="2">
        <v>44733</v>
      </c>
      <c r="F207" t="str">
        <f t="shared" si="6"/>
        <v>June</v>
      </c>
      <c r="G207">
        <f t="shared" si="7"/>
        <v>2022</v>
      </c>
    </row>
    <row r="208" spans="1:7" x14ac:dyDescent="0.3">
      <c r="A208">
        <v>207</v>
      </c>
      <c r="B208" t="s">
        <v>5</v>
      </c>
      <c r="C208">
        <v>42</v>
      </c>
      <c r="D208" t="s">
        <v>36</v>
      </c>
      <c r="E208" s="2">
        <v>44692</v>
      </c>
      <c r="F208" t="str">
        <f t="shared" si="6"/>
        <v>May</v>
      </c>
      <c r="G208">
        <f t="shared" si="7"/>
        <v>2022</v>
      </c>
    </row>
    <row r="209" spans="1:7" x14ac:dyDescent="0.3">
      <c r="A209">
        <v>208</v>
      </c>
      <c r="B209" t="s">
        <v>6</v>
      </c>
      <c r="C209">
        <v>34</v>
      </c>
      <c r="D209" t="s">
        <v>39</v>
      </c>
      <c r="E209" s="2">
        <v>43989</v>
      </c>
      <c r="F209" t="str">
        <f t="shared" si="6"/>
        <v>June</v>
      </c>
      <c r="G209">
        <f t="shared" si="7"/>
        <v>2020</v>
      </c>
    </row>
    <row r="210" spans="1:7" x14ac:dyDescent="0.3">
      <c r="A210">
        <v>209</v>
      </c>
      <c r="B210" t="s">
        <v>5</v>
      </c>
      <c r="C210">
        <v>30</v>
      </c>
      <c r="D210" t="s">
        <v>38</v>
      </c>
      <c r="E210" s="2">
        <v>44787</v>
      </c>
      <c r="F210" t="str">
        <f t="shared" si="6"/>
        <v>August</v>
      </c>
      <c r="G210">
        <f t="shared" si="7"/>
        <v>2022</v>
      </c>
    </row>
    <row r="211" spans="1:7" x14ac:dyDescent="0.3">
      <c r="A211">
        <v>210</v>
      </c>
      <c r="B211" t="s">
        <v>5</v>
      </c>
      <c r="C211">
        <v>37</v>
      </c>
      <c r="D211" t="s">
        <v>34</v>
      </c>
      <c r="E211" s="2">
        <v>43854</v>
      </c>
      <c r="F211" t="str">
        <f t="shared" si="6"/>
        <v>January</v>
      </c>
      <c r="G211">
        <f t="shared" si="7"/>
        <v>2020</v>
      </c>
    </row>
    <row r="212" spans="1:7" x14ac:dyDescent="0.3">
      <c r="A212">
        <v>211</v>
      </c>
      <c r="B212" t="s">
        <v>5</v>
      </c>
      <c r="C212">
        <v>42</v>
      </c>
      <c r="D212" t="s">
        <v>39</v>
      </c>
      <c r="E212" s="2">
        <v>44234</v>
      </c>
      <c r="F212" t="str">
        <f t="shared" si="6"/>
        <v>February</v>
      </c>
      <c r="G212">
        <f t="shared" si="7"/>
        <v>2021</v>
      </c>
    </row>
    <row r="213" spans="1:7" x14ac:dyDescent="0.3">
      <c r="A213">
        <v>212</v>
      </c>
      <c r="B213" t="s">
        <v>6</v>
      </c>
      <c r="C213">
        <v>21</v>
      </c>
      <c r="D213" t="s">
        <v>37</v>
      </c>
      <c r="E213" s="2">
        <v>44635</v>
      </c>
      <c r="F213" t="str">
        <f t="shared" si="6"/>
        <v>March</v>
      </c>
      <c r="G213">
        <f t="shared" si="7"/>
        <v>2022</v>
      </c>
    </row>
    <row r="214" spans="1:7" x14ac:dyDescent="0.3">
      <c r="A214">
        <v>213</v>
      </c>
      <c r="B214" t="s">
        <v>6</v>
      </c>
      <c r="C214">
        <v>27</v>
      </c>
      <c r="D214" t="s">
        <v>39</v>
      </c>
      <c r="E214" s="2">
        <v>44346</v>
      </c>
      <c r="F214" t="str">
        <f t="shared" si="6"/>
        <v>May</v>
      </c>
      <c r="G214">
        <f t="shared" si="7"/>
        <v>2021</v>
      </c>
    </row>
    <row r="215" spans="1:7" x14ac:dyDescent="0.3">
      <c r="A215">
        <v>214</v>
      </c>
      <c r="B215" t="s">
        <v>5</v>
      </c>
      <c r="C215">
        <v>20</v>
      </c>
      <c r="D215" t="s">
        <v>35</v>
      </c>
      <c r="E215" s="2">
        <v>44562</v>
      </c>
      <c r="F215" t="str">
        <f t="shared" si="6"/>
        <v>January</v>
      </c>
      <c r="G215">
        <f t="shared" si="7"/>
        <v>2022</v>
      </c>
    </row>
    <row r="216" spans="1:7" x14ac:dyDescent="0.3">
      <c r="A216">
        <v>215</v>
      </c>
      <c r="B216" t="s">
        <v>6</v>
      </c>
      <c r="C216">
        <v>58</v>
      </c>
      <c r="D216" t="s">
        <v>38</v>
      </c>
      <c r="E216" s="2">
        <v>44362</v>
      </c>
      <c r="F216" t="str">
        <f t="shared" si="6"/>
        <v>June</v>
      </c>
      <c r="G216">
        <f t="shared" si="7"/>
        <v>2021</v>
      </c>
    </row>
    <row r="217" spans="1:7" x14ac:dyDescent="0.3">
      <c r="A217">
        <v>216</v>
      </c>
      <c r="B217" t="s">
        <v>5</v>
      </c>
      <c r="C217">
        <v>62</v>
      </c>
      <c r="D217" t="s">
        <v>35</v>
      </c>
      <c r="E217" s="2">
        <v>44786</v>
      </c>
      <c r="F217" t="str">
        <f t="shared" si="6"/>
        <v>August</v>
      </c>
      <c r="G217">
        <f t="shared" si="7"/>
        <v>2022</v>
      </c>
    </row>
    <row r="218" spans="1:7" x14ac:dyDescent="0.3">
      <c r="A218">
        <v>217</v>
      </c>
      <c r="B218" t="s">
        <v>5</v>
      </c>
      <c r="C218">
        <v>35</v>
      </c>
      <c r="D218" t="s">
        <v>35</v>
      </c>
      <c r="E218" s="2">
        <v>43982</v>
      </c>
      <c r="F218" t="str">
        <f t="shared" si="6"/>
        <v>May</v>
      </c>
      <c r="G218">
        <f t="shared" si="7"/>
        <v>2020</v>
      </c>
    </row>
    <row r="219" spans="1:7" x14ac:dyDescent="0.3">
      <c r="A219">
        <v>218</v>
      </c>
      <c r="B219" t="s">
        <v>6</v>
      </c>
      <c r="C219">
        <v>64</v>
      </c>
      <c r="D219" t="s">
        <v>37</v>
      </c>
      <c r="E219" s="2">
        <v>44777</v>
      </c>
      <c r="F219" t="str">
        <f t="shared" si="6"/>
        <v>August</v>
      </c>
      <c r="G219">
        <f t="shared" si="7"/>
        <v>2022</v>
      </c>
    </row>
    <row r="220" spans="1:7" x14ac:dyDescent="0.3">
      <c r="A220">
        <v>219</v>
      </c>
      <c r="B220" t="s">
        <v>5</v>
      </c>
      <c r="C220">
        <v>53</v>
      </c>
      <c r="D220" t="s">
        <v>38</v>
      </c>
      <c r="E220" s="2">
        <v>44438</v>
      </c>
      <c r="F220" t="str">
        <f t="shared" si="6"/>
        <v>August</v>
      </c>
      <c r="G220">
        <f t="shared" si="7"/>
        <v>2021</v>
      </c>
    </row>
    <row r="221" spans="1:7" x14ac:dyDescent="0.3">
      <c r="A221">
        <v>220</v>
      </c>
      <c r="B221" t="s">
        <v>6</v>
      </c>
      <c r="C221">
        <v>64</v>
      </c>
      <c r="D221" t="s">
        <v>38</v>
      </c>
      <c r="E221" s="2">
        <v>44250</v>
      </c>
      <c r="F221" t="str">
        <f t="shared" si="6"/>
        <v>February</v>
      </c>
      <c r="G221">
        <f t="shared" si="7"/>
        <v>2021</v>
      </c>
    </row>
    <row r="222" spans="1:7" x14ac:dyDescent="0.3">
      <c r="A222">
        <v>221</v>
      </c>
      <c r="B222" t="s">
        <v>6</v>
      </c>
      <c r="C222">
        <v>39</v>
      </c>
      <c r="D222" t="s">
        <v>38</v>
      </c>
      <c r="E222" s="2">
        <v>44971</v>
      </c>
      <c r="F222" t="str">
        <f t="shared" si="6"/>
        <v>February</v>
      </c>
      <c r="G222">
        <f t="shared" si="7"/>
        <v>2023</v>
      </c>
    </row>
    <row r="223" spans="1:7" x14ac:dyDescent="0.3">
      <c r="A223">
        <v>222</v>
      </c>
      <c r="B223" t="s">
        <v>5</v>
      </c>
      <c r="C223">
        <v>51</v>
      </c>
      <c r="D223" t="s">
        <v>38</v>
      </c>
      <c r="E223" s="2">
        <v>44696</v>
      </c>
      <c r="F223" t="str">
        <f t="shared" si="6"/>
        <v>May</v>
      </c>
      <c r="G223">
        <f t="shared" si="7"/>
        <v>2022</v>
      </c>
    </row>
    <row r="224" spans="1:7" x14ac:dyDescent="0.3">
      <c r="A224">
        <v>223</v>
      </c>
      <c r="B224" t="s">
        <v>5</v>
      </c>
      <c r="C224">
        <v>64</v>
      </c>
      <c r="D224" t="s">
        <v>38</v>
      </c>
      <c r="E224" s="2">
        <v>44408</v>
      </c>
      <c r="F224" t="str">
        <f t="shared" si="6"/>
        <v>July</v>
      </c>
      <c r="G224">
        <f t="shared" si="7"/>
        <v>2021</v>
      </c>
    </row>
    <row r="225" spans="1:7" x14ac:dyDescent="0.3">
      <c r="A225">
        <v>224</v>
      </c>
      <c r="B225" t="s">
        <v>5</v>
      </c>
      <c r="C225">
        <v>25</v>
      </c>
      <c r="D225" t="s">
        <v>37</v>
      </c>
      <c r="E225" s="2">
        <v>44165</v>
      </c>
      <c r="F225" t="str">
        <f t="shared" si="6"/>
        <v>November</v>
      </c>
      <c r="G225">
        <f t="shared" si="7"/>
        <v>2020</v>
      </c>
    </row>
    <row r="226" spans="1:7" x14ac:dyDescent="0.3">
      <c r="A226">
        <v>225</v>
      </c>
      <c r="B226" t="s">
        <v>5</v>
      </c>
      <c r="C226">
        <v>57</v>
      </c>
      <c r="D226" t="s">
        <v>39</v>
      </c>
      <c r="E226" s="2">
        <v>44762</v>
      </c>
      <c r="F226" t="str">
        <f t="shared" si="6"/>
        <v>July</v>
      </c>
      <c r="G226">
        <f t="shared" si="7"/>
        <v>2022</v>
      </c>
    </row>
    <row r="227" spans="1:7" x14ac:dyDescent="0.3">
      <c r="A227">
        <v>226</v>
      </c>
      <c r="B227" t="s">
        <v>5</v>
      </c>
      <c r="C227">
        <v>61</v>
      </c>
      <c r="D227" t="s">
        <v>35</v>
      </c>
      <c r="E227" s="2">
        <v>44125</v>
      </c>
      <c r="F227" t="str">
        <f t="shared" si="6"/>
        <v>October</v>
      </c>
      <c r="G227">
        <f t="shared" si="7"/>
        <v>2020</v>
      </c>
    </row>
    <row r="228" spans="1:7" x14ac:dyDescent="0.3">
      <c r="A228">
        <v>227</v>
      </c>
      <c r="B228" t="s">
        <v>6</v>
      </c>
      <c r="C228">
        <v>36</v>
      </c>
      <c r="D228" t="s">
        <v>38</v>
      </c>
      <c r="E228" s="2">
        <v>44585</v>
      </c>
      <c r="F228" t="str">
        <f t="shared" si="6"/>
        <v>January</v>
      </c>
      <c r="G228">
        <f t="shared" si="7"/>
        <v>2022</v>
      </c>
    </row>
    <row r="229" spans="1:7" x14ac:dyDescent="0.3">
      <c r="A229">
        <v>228</v>
      </c>
      <c r="B229" t="s">
        <v>5</v>
      </c>
      <c r="C229">
        <v>59</v>
      </c>
      <c r="D229" t="s">
        <v>39</v>
      </c>
      <c r="E229" s="2">
        <v>44016</v>
      </c>
      <c r="F229" t="str">
        <f t="shared" si="6"/>
        <v>July</v>
      </c>
      <c r="G229">
        <f t="shared" si="7"/>
        <v>2020</v>
      </c>
    </row>
    <row r="230" spans="1:7" x14ac:dyDescent="0.3">
      <c r="A230">
        <v>229</v>
      </c>
      <c r="B230" t="s">
        <v>6</v>
      </c>
      <c r="C230">
        <v>58</v>
      </c>
      <c r="D230" t="s">
        <v>39</v>
      </c>
      <c r="E230" s="2">
        <v>44467</v>
      </c>
      <c r="F230" t="str">
        <f t="shared" si="6"/>
        <v>September</v>
      </c>
      <c r="G230">
        <f t="shared" si="7"/>
        <v>2021</v>
      </c>
    </row>
    <row r="231" spans="1:7" x14ac:dyDescent="0.3">
      <c r="A231">
        <v>230</v>
      </c>
      <c r="B231" t="s">
        <v>5</v>
      </c>
      <c r="C231">
        <v>54</v>
      </c>
      <c r="D231" t="s">
        <v>35</v>
      </c>
      <c r="E231" s="2">
        <v>44360</v>
      </c>
      <c r="F231" t="str">
        <f t="shared" si="6"/>
        <v>June</v>
      </c>
      <c r="G231">
        <f t="shared" si="7"/>
        <v>2021</v>
      </c>
    </row>
    <row r="232" spans="1:7" x14ac:dyDescent="0.3">
      <c r="A232">
        <v>231</v>
      </c>
      <c r="B232" t="s">
        <v>6</v>
      </c>
      <c r="C232">
        <v>23</v>
      </c>
      <c r="D232" t="s">
        <v>37</v>
      </c>
      <c r="E232" s="2">
        <v>43851</v>
      </c>
      <c r="F232" t="str">
        <f t="shared" si="6"/>
        <v>January</v>
      </c>
      <c r="G232">
        <f t="shared" si="7"/>
        <v>2020</v>
      </c>
    </row>
    <row r="233" spans="1:7" x14ac:dyDescent="0.3">
      <c r="A233">
        <v>232</v>
      </c>
      <c r="B233" t="s">
        <v>5</v>
      </c>
      <c r="C233">
        <v>43</v>
      </c>
      <c r="D233" t="s">
        <v>36</v>
      </c>
      <c r="E233" s="2">
        <v>44741</v>
      </c>
      <c r="F233" t="str">
        <f t="shared" si="6"/>
        <v>June</v>
      </c>
      <c r="G233">
        <f t="shared" si="7"/>
        <v>2022</v>
      </c>
    </row>
    <row r="234" spans="1:7" x14ac:dyDescent="0.3">
      <c r="A234">
        <v>233</v>
      </c>
      <c r="B234" t="s">
        <v>5</v>
      </c>
      <c r="C234">
        <v>51</v>
      </c>
      <c r="D234" t="s">
        <v>36</v>
      </c>
      <c r="E234" s="2">
        <v>44697</v>
      </c>
      <c r="F234" t="str">
        <f t="shared" si="6"/>
        <v>May</v>
      </c>
      <c r="G234">
        <f t="shared" si="7"/>
        <v>2022</v>
      </c>
    </row>
    <row r="235" spans="1:7" x14ac:dyDescent="0.3">
      <c r="A235">
        <v>234</v>
      </c>
      <c r="B235" t="s">
        <v>5</v>
      </c>
      <c r="C235">
        <v>62</v>
      </c>
      <c r="D235" t="s">
        <v>39</v>
      </c>
      <c r="E235" s="2">
        <v>44624</v>
      </c>
      <c r="F235" t="str">
        <f t="shared" si="6"/>
        <v>March</v>
      </c>
      <c r="G235">
        <f t="shared" si="7"/>
        <v>2022</v>
      </c>
    </row>
    <row r="236" spans="1:7" x14ac:dyDescent="0.3">
      <c r="A236">
        <v>235</v>
      </c>
      <c r="B236" t="s">
        <v>5</v>
      </c>
      <c r="C236">
        <v>23</v>
      </c>
      <c r="D236" t="s">
        <v>34</v>
      </c>
      <c r="E236" s="2">
        <v>43930</v>
      </c>
      <c r="F236" t="str">
        <f t="shared" si="6"/>
        <v>April</v>
      </c>
      <c r="G236">
        <f t="shared" si="7"/>
        <v>2020</v>
      </c>
    </row>
    <row r="237" spans="1:7" x14ac:dyDescent="0.3">
      <c r="A237">
        <v>236</v>
      </c>
      <c r="B237" t="s">
        <v>6</v>
      </c>
      <c r="C237">
        <v>54</v>
      </c>
      <c r="D237" t="s">
        <v>34</v>
      </c>
      <c r="E237" s="2">
        <v>44582</v>
      </c>
      <c r="F237" t="str">
        <f t="shared" si="6"/>
        <v>January</v>
      </c>
      <c r="G237">
        <f t="shared" si="7"/>
        <v>2022</v>
      </c>
    </row>
    <row r="238" spans="1:7" x14ac:dyDescent="0.3">
      <c r="A238">
        <v>237</v>
      </c>
      <c r="B238" t="s">
        <v>5</v>
      </c>
      <c r="C238">
        <v>50</v>
      </c>
      <c r="D238" t="s">
        <v>35</v>
      </c>
      <c r="E238" s="2">
        <v>44308</v>
      </c>
      <c r="F238" t="str">
        <f t="shared" si="6"/>
        <v>April</v>
      </c>
      <c r="G238">
        <f t="shared" si="7"/>
        <v>2021</v>
      </c>
    </row>
    <row r="239" spans="1:7" x14ac:dyDescent="0.3">
      <c r="A239">
        <v>238</v>
      </c>
      <c r="B239" t="s">
        <v>5</v>
      </c>
      <c r="C239">
        <v>39</v>
      </c>
      <c r="D239" t="s">
        <v>36</v>
      </c>
      <c r="E239" s="2">
        <v>44770</v>
      </c>
      <c r="F239" t="str">
        <f t="shared" si="6"/>
        <v>July</v>
      </c>
      <c r="G239">
        <f t="shared" si="7"/>
        <v>2022</v>
      </c>
    </row>
    <row r="240" spans="1:7" x14ac:dyDescent="0.3">
      <c r="A240">
        <v>239</v>
      </c>
      <c r="B240" t="s">
        <v>5</v>
      </c>
      <c r="C240">
        <v>38</v>
      </c>
      <c r="D240" t="s">
        <v>39</v>
      </c>
      <c r="E240" s="2">
        <v>44356</v>
      </c>
      <c r="F240" t="str">
        <f t="shared" si="6"/>
        <v>June</v>
      </c>
      <c r="G240">
        <f t="shared" si="7"/>
        <v>2021</v>
      </c>
    </row>
    <row r="241" spans="1:7" x14ac:dyDescent="0.3">
      <c r="A241">
        <v>240</v>
      </c>
      <c r="B241" t="s">
        <v>5</v>
      </c>
      <c r="C241">
        <v>23</v>
      </c>
      <c r="D241" t="s">
        <v>37</v>
      </c>
      <c r="E241" s="2">
        <v>44164</v>
      </c>
      <c r="F241" t="str">
        <f t="shared" si="6"/>
        <v>November</v>
      </c>
      <c r="G241">
        <f t="shared" si="7"/>
        <v>2020</v>
      </c>
    </row>
    <row r="242" spans="1:7" x14ac:dyDescent="0.3">
      <c r="A242">
        <v>241</v>
      </c>
      <c r="B242" t="s">
        <v>6</v>
      </c>
      <c r="C242">
        <v>23</v>
      </c>
      <c r="D242" t="s">
        <v>36</v>
      </c>
      <c r="E242" s="2">
        <v>43832</v>
      </c>
      <c r="F242" t="str">
        <f t="shared" si="6"/>
        <v>January</v>
      </c>
      <c r="G242">
        <f t="shared" si="7"/>
        <v>2020</v>
      </c>
    </row>
    <row r="243" spans="1:7" x14ac:dyDescent="0.3">
      <c r="A243">
        <v>242</v>
      </c>
      <c r="B243" t="s">
        <v>6</v>
      </c>
      <c r="C243">
        <v>21</v>
      </c>
      <c r="D243" t="s">
        <v>39</v>
      </c>
      <c r="E243" s="2">
        <v>44205</v>
      </c>
      <c r="F243" t="str">
        <f t="shared" si="6"/>
        <v>January</v>
      </c>
      <c r="G243">
        <f t="shared" si="7"/>
        <v>2021</v>
      </c>
    </row>
    <row r="244" spans="1:7" x14ac:dyDescent="0.3">
      <c r="A244">
        <v>243</v>
      </c>
      <c r="B244" t="s">
        <v>6</v>
      </c>
      <c r="C244">
        <v>47</v>
      </c>
      <c r="D244" t="s">
        <v>39</v>
      </c>
      <c r="E244" s="2">
        <v>44123</v>
      </c>
      <c r="F244" t="str">
        <f t="shared" si="6"/>
        <v>October</v>
      </c>
      <c r="G244">
        <f t="shared" si="7"/>
        <v>2020</v>
      </c>
    </row>
    <row r="245" spans="1:7" x14ac:dyDescent="0.3">
      <c r="A245">
        <v>244</v>
      </c>
      <c r="B245" t="s">
        <v>5</v>
      </c>
      <c r="C245">
        <v>28</v>
      </c>
      <c r="D245" t="s">
        <v>38</v>
      </c>
      <c r="E245" s="2">
        <v>44667</v>
      </c>
      <c r="F245" t="str">
        <f t="shared" si="6"/>
        <v>April</v>
      </c>
      <c r="G245">
        <f t="shared" si="7"/>
        <v>2022</v>
      </c>
    </row>
    <row r="246" spans="1:7" x14ac:dyDescent="0.3">
      <c r="A246">
        <v>245</v>
      </c>
      <c r="B246" t="s">
        <v>5</v>
      </c>
      <c r="C246">
        <v>47</v>
      </c>
      <c r="D246" t="s">
        <v>37</v>
      </c>
      <c r="E246" s="2">
        <v>44835</v>
      </c>
      <c r="F246" t="str">
        <f t="shared" si="6"/>
        <v>October</v>
      </c>
      <c r="G246">
        <f t="shared" si="7"/>
        <v>2022</v>
      </c>
    </row>
    <row r="247" spans="1:7" x14ac:dyDescent="0.3">
      <c r="A247">
        <v>246</v>
      </c>
      <c r="B247" t="s">
        <v>6</v>
      </c>
      <c r="C247">
        <v>48</v>
      </c>
      <c r="D247" t="s">
        <v>38</v>
      </c>
      <c r="E247" s="2">
        <v>44383</v>
      </c>
      <c r="F247" t="str">
        <f t="shared" si="6"/>
        <v>July</v>
      </c>
      <c r="G247">
        <f t="shared" si="7"/>
        <v>2021</v>
      </c>
    </row>
    <row r="248" spans="1:7" x14ac:dyDescent="0.3">
      <c r="A248">
        <v>247</v>
      </c>
      <c r="B248" t="s">
        <v>5</v>
      </c>
      <c r="C248">
        <v>41</v>
      </c>
      <c r="D248" t="s">
        <v>35</v>
      </c>
      <c r="E248" s="2">
        <v>44148</v>
      </c>
      <c r="F248" t="str">
        <f t="shared" si="6"/>
        <v>November</v>
      </c>
      <c r="G248">
        <f t="shared" si="7"/>
        <v>2020</v>
      </c>
    </row>
    <row r="249" spans="1:7" x14ac:dyDescent="0.3">
      <c r="A249">
        <v>248</v>
      </c>
      <c r="B249" t="s">
        <v>6</v>
      </c>
      <c r="C249">
        <v>26</v>
      </c>
      <c r="D249" t="s">
        <v>38</v>
      </c>
      <c r="E249" s="2">
        <v>44211</v>
      </c>
      <c r="F249" t="str">
        <f t="shared" si="6"/>
        <v>January</v>
      </c>
      <c r="G249">
        <f t="shared" si="7"/>
        <v>2021</v>
      </c>
    </row>
    <row r="250" spans="1:7" x14ac:dyDescent="0.3">
      <c r="A250">
        <v>249</v>
      </c>
      <c r="B250" t="s">
        <v>6</v>
      </c>
      <c r="C250">
        <v>20</v>
      </c>
      <c r="D250" t="s">
        <v>38</v>
      </c>
      <c r="E250" s="2">
        <v>43844</v>
      </c>
      <c r="F250" t="str">
        <f t="shared" si="6"/>
        <v>January</v>
      </c>
      <c r="G250">
        <f t="shared" si="7"/>
        <v>2020</v>
      </c>
    </row>
    <row r="251" spans="1:7" x14ac:dyDescent="0.3">
      <c r="A251">
        <v>250</v>
      </c>
      <c r="B251" t="s">
        <v>6</v>
      </c>
      <c r="C251">
        <v>48</v>
      </c>
      <c r="D251" t="s">
        <v>36</v>
      </c>
      <c r="E251" s="2">
        <v>44334</v>
      </c>
      <c r="F251" t="str">
        <f t="shared" si="6"/>
        <v>May</v>
      </c>
      <c r="G251">
        <f t="shared" si="7"/>
        <v>2021</v>
      </c>
    </row>
    <row r="252" spans="1:7" x14ac:dyDescent="0.3">
      <c r="A252">
        <v>251</v>
      </c>
      <c r="B252" t="s">
        <v>5</v>
      </c>
      <c r="C252">
        <v>57</v>
      </c>
      <c r="D252" t="s">
        <v>34</v>
      </c>
      <c r="E252" s="2">
        <v>44061</v>
      </c>
      <c r="F252" t="str">
        <f t="shared" si="6"/>
        <v>August</v>
      </c>
      <c r="G252">
        <f t="shared" si="7"/>
        <v>2020</v>
      </c>
    </row>
    <row r="253" spans="1:7" x14ac:dyDescent="0.3">
      <c r="A253">
        <v>252</v>
      </c>
      <c r="B253" t="s">
        <v>5</v>
      </c>
      <c r="C253">
        <v>54</v>
      </c>
      <c r="D253" t="s">
        <v>39</v>
      </c>
      <c r="E253" s="2">
        <v>44938</v>
      </c>
      <c r="F253" t="str">
        <f t="shared" si="6"/>
        <v>January</v>
      </c>
      <c r="G253">
        <f t="shared" si="7"/>
        <v>2023</v>
      </c>
    </row>
    <row r="254" spans="1:7" x14ac:dyDescent="0.3">
      <c r="A254">
        <v>253</v>
      </c>
      <c r="B254" t="s">
        <v>6</v>
      </c>
      <c r="C254">
        <v>53</v>
      </c>
      <c r="D254" t="s">
        <v>37</v>
      </c>
      <c r="E254" s="2">
        <v>43960</v>
      </c>
      <c r="F254" t="str">
        <f t="shared" si="6"/>
        <v>May</v>
      </c>
      <c r="G254">
        <f t="shared" si="7"/>
        <v>2020</v>
      </c>
    </row>
    <row r="255" spans="1:7" x14ac:dyDescent="0.3">
      <c r="A255">
        <v>254</v>
      </c>
      <c r="B255" t="s">
        <v>5</v>
      </c>
      <c r="C255">
        <v>41</v>
      </c>
      <c r="D255" t="s">
        <v>38</v>
      </c>
      <c r="E255" s="2">
        <v>44668</v>
      </c>
      <c r="F255" t="str">
        <f t="shared" si="6"/>
        <v>April</v>
      </c>
      <c r="G255">
        <f t="shared" si="7"/>
        <v>2022</v>
      </c>
    </row>
    <row r="256" spans="1:7" x14ac:dyDescent="0.3">
      <c r="A256">
        <v>255</v>
      </c>
      <c r="B256" t="s">
        <v>5</v>
      </c>
      <c r="C256">
        <v>48</v>
      </c>
      <c r="D256" t="s">
        <v>37</v>
      </c>
      <c r="E256" s="2">
        <v>44999</v>
      </c>
      <c r="F256" t="str">
        <f t="shared" si="6"/>
        <v>March</v>
      </c>
      <c r="G256">
        <f t="shared" si="7"/>
        <v>2023</v>
      </c>
    </row>
    <row r="257" spans="1:7" x14ac:dyDescent="0.3">
      <c r="A257">
        <v>256</v>
      </c>
      <c r="B257" t="s">
        <v>5</v>
      </c>
      <c r="C257">
        <v>23</v>
      </c>
      <c r="D257" t="s">
        <v>34</v>
      </c>
      <c r="E257" s="2">
        <v>44721</v>
      </c>
      <c r="F257" t="str">
        <f t="shared" si="6"/>
        <v>June</v>
      </c>
      <c r="G257">
        <f t="shared" si="7"/>
        <v>2022</v>
      </c>
    </row>
    <row r="258" spans="1:7" x14ac:dyDescent="0.3">
      <c r="A258">
        <v>257</v>
      </c>
      <c r="B258" t="s">
        <v>6</v>
      </c>
      <c r="C258">
        <v>19</v>
      </c>
      <c r="D258" t="s">
        <v>34</v>
      </c>
      <c r="E258" s="2">
        <v>43858</v>
      </c>
      <c r="F258" t="str">
        <f t="shared" ref="F258:F321" si="8">TEXT(E258,"mmmm")</f>
        <v>January</v>
      </c>
      <c r="G258">
        <f t="shared" si="7"/>
        <v>2020</v>
      </c>
    </row>
    <row r="259" spans="1:7" x14ac:dyDescent="0.3">
      <c r="A259">
        <v>258</v>
      </c>
      <c r="B259" t="s">
        <v>6</v>
      </c>
      <c r="C259">
        <v>37</v>
      </c>
      <c r="D259" t="s">
        <v>38</v>
      </c>
      <c r="E259" s="2">
        <v>43896</v>
      </c>
      <c r="F259" t="str">
        <f t="shared" si="8"/>
        <v>March</v>
      </c>
      <c r="G259">
        <f t="shared" ref="G259:G322" si="9">YEAR(E259)</f>
        <v>2020</v>
      </c>
    </row>
    <row r="260" spans="1:7" x14ac:dyDescent="0.3">
      <c r="A260">
        <v>259</v>
      </c>
      <c r="B260" t="s">
        <v>5</v>
      </c>
      <c r="C260">
        <v>45</v>
      </c>
      <c r="D260" t="s">
        <v>35</v>
      </c>
      <c r="E260" s="2">
        <v>45017</v>
      </c>
      <c r="F260" t="str">
        <f t="shared" si="8"/>
        <v>April</v>
      </c>
      <c r="G260">
        <f t="shared" si="9"/>
        <v>2023</v>
      </c>
    </row>
    <row r="261" spans="1:7" x14ac:dyDescent="0.3">
      <c r="A261">
        <v>260</v>
      </c>
      <c r="B261" t="s">
        <v>5</v>
      </c>
      <c r="C261">
        <v>28</v>
      </c>
      <c r="D261" t="s">
        <v>38</v>
      </c>
      <c r="E261" s="2">
        <v>44091</v>
      </c>
      <c r="F261" t="str">
        <f t="shared" si="8"/>
        <v>September</v>
      </c>
      <c r="G261">
        <f t="shared" si="9"/>
        <v>2020</v>
      </c>
    </row>
    <row r="262" spans="1:7" x14ac:dyDescent="0.3">
      <c r="A262">
        <v>261</v>
      </c>
      <c r="B262" t="s">
        <v>5</v>
      </c>
      <c r="C262">
        <v>21</v>
      </c>
      <c r="D262" t="s">
        <v>36</v>
      </c>
      <c r="E262" s="2">
        <v>44290</v>
      </c>
      <c r="F262" t="str">
        <f t="shared" si="8"/>
        <v>April</v>
      </c>
      <c r="G262">
        <f t="shared" si="9"/>
        <v>2021</v>
      </c>
    </row>
    <row r="263" spans="1:7" x14ac:dyDescent="0.3">
      <c r="A263">
        <v>262</v>
      </c>
      <c r="B263" t="s">
        <v>6</v>
      </c>
      <c r="C263">
        <v>32</v>
      </c>
      <c r="D263" t="s">
        <v>39</v>
      </c>
      <c r="E263" s="2">
        <v>44131</v>
      </c>
      <c r="F263" t="str">
        <f t="shared" si="8"/>
        <v>October</v>
      </c>
      <c r="G263">
        <f t="shared" si="9"/>
        <v>2020</v>
      </c>
    </row>
    <row r="264" spans="1:7" x14ac:dyDescent="0.3">
      <c r="A264">
        <v>263</v>
      </c>
      <c r="B264" t="s">
        <v>5</v>
      </c>
      <c r="C264">
        <v>23</v>
      </c>
      <c r="D264" t="s">
        <v>35</v>
      </c>
      <c r="E264" s="2">
        <v>44749</v>
      </c>
      <c r="F264" t="str">
        <f t="shared" si="8"/>
        <v>July</v>
      </c>
      <c r="G264">
        <f t="shared" si="9"/>
        <v>2022</v>
      </c>
    </row>
    <row r="265" spans="1:7" x14ac:dyDescent="0.3">
      <c r="A265">
        <v>264</v>
      </c>
      <c r="B265" t="s">
        <v>5</v>
      </c>
      <c r="C265">
        <v>47</v>
      </c>
      <c r="D265" t="s">
        <v>38</v>
      </c>
      <c r="E265" s="2">
        <v>44117</v>
      </c>
      <c r="F265" t="str">
        <f t="shared" si="8"/>
        <v>October</v>
      </c>
      <c r="G265">
        <f t="shared" si="9"/>
        <v>2020</v>
      </c>
    </row>
    <row r="266" spans="1:7" x14ac:dyDescent="0.3">
      <c r="A266">
        <v>265</v>
      </c>
      <c r="B266" t="s">
        <v>6</v>
      </c>
      <c r="C266">
        <v>55</v>
      </c>
      <c r="D266" t="s">
        <v>37</v>
      </c>
      <c r="E266" s="2">
        <v>44864</v>
      </c>
      <c r="F266" t="str">
        <f t="shared" si="8"/>
        <v>October</v>
      </c>
      <c r="G266">
        <f t="shared" si="9"/>
        <v>2022</v>
      </c>
    </row>
    <row r="267" spans="1:7" x14ac:dyDescent="0.3">
      <c r="A267">
        <v>266</v>
      </c>
      <c r="B267" t="s">
        <v>6</v>
      </c>
      <c r="C267">
        <v>19</v>
      </c>
      <c r="D267" t="s">
        <v>35</v>
      </c>
      <c r="E267" s="2">
        <v>44460</v>
      </c>
      <c r="F267" t="str">
        <f t="shared" si="8"/>
        <v>September</v>
      </c>
      <c r="G267">
        <f t="shared" si="9"/>
        <v>2021</v>
      </c>
    </row>
    <row r="268" spans="1:7" x14ac:dyDescent="0.3">
      <c r="A268">
        <v>267</v>
      </c>
      <c r="B268" t="s">
        <v>6</v>
      </c>
      <c r="C268">
        <v>32</v>
      </c>
      <c r="D268" t="s">
        <v>35</v>
      </c>
      <c r="E268" s="2">
        <v>44100</v>
      </c>
      <c r="F268" t="str">
        <f t="shared" si="8"/>
        <v>September</v>
      </c>
      <c r="G268">
        <f t="shared" si="9"/>
        <v>2020</v>
      </c>
    </row>
    <row r="269" spans="1:7" x14ac:dyDescent="0.3">
      <c r="A269">
        <v>268</v>
      </c>
      <c r="B269" t="s">
        <v>6</v>
      </c>
      <c r="C269">
        <v>28</v>
      </c>
      <c r="D269" t="s">
        <v>38</v>
      </c>
      <c r="E269" s="2">
        <v>44422</v>
      </c>
      <c r="F269" t="str">
        <f t="shared" si="8"/>
        <v>August</v>
      </c>
      <c r="G269">
        <f t="shared" si="9"/>
        <v>2021</v>
      </c>
    </row>
    <row r="270" spans="1:7" x14ac:dyDescent="0.3">
      <c r="A270">
        <v>269</v>
      </c>
      <c r="B270" t="s">
        <v>5</v>
      </c>
      <c r="C270">
        <v>25</v>
      </c>
      <c r="D270" t="s">
        <v>35</v>
      </c>
      <c r="E270" s="2">
        <v>44674</v>
      </c>
      <c r="F270" t="str">
        <f t="shared" si="8"/>
        <v>April</v>
      </c>
      <c r="G270">
        <f t="shared" si="9"/>
        <v>2022</v>
      </c>
    </row>
    <row r="271" spans="1:7" x14ac:dyDescent="0.3">
      <c r="A271">
        <v>270</v>
      </c>
      <c r="B271" t="s">
        <v>5</v>
      </c>
      <c r="C271">
        <v>43</v>
      </c>
      <c r="D271" t="s">
        <v>37</v>
      </c>
      <c r="E271" s="2">
        <v>44692</v>
      </c>
      <c r="F271" t="str">
        <f t="shared" si="8"/>
        <v>May</v>
      </c>
      <c r="G271">
        <f t="shared" si="9"/>
        <v>2022</v>
      </c>
    </row>
    <row r="272" spans="1:7" x14ac:dyDescent="0.3">
      <c r="A272">
        <v>271</v>
      </c>
      <c r="B272" t="s">
        <v>6</v>
      </c>
      <c r="C272">
        <v>62</v>
      </c>
      <c r="D272" t="s">
        <v>34</v>
      </c>
      <c r="E272" s="2">
        <v>43963</v>
      </c>
      <c r="F272" t="str">
        <f t="shared" si="8"/>
        <v>May</v>
      </c>
      <c r="G272">
        <f t="shared" si="9"/>
        <v>2020</v>
      </c>
    </row>
    <row r="273" spans="1:7" x14ac:dyDescent="0.3">
      <c r="A273">
        <v>272</v>
      </c>
      <c r="B273" t="s">
        <v>6</v>
      </c>
      <c r="C273">
        <v>61</v>
      </c>
      <c r="D273" t="s">
        <v>35</v>
      </c>
      <c r="E273" s="2">
        <v>44802</v>
      </c>
      <c r="F273" t="str">
        <f t="shared" si="8"/>
        <v>August</v>
      </c>
      <c r="G273">
        <f t="shared" si="9"/>
        <v>2022</v>
      </c>
    </row>
    <row r="274" spans="1:7" x14ac:dyDescent="0.3">
      <c r="A274">
        <v>273</v>
      </c>
      <c r="B274" t="s">
        <v>6</v>
      </c>
      <c r="C274">
        <v>22</v>
      </c>
      <c r="D274" t="s">
        <v>34</v>
      </c>
      <c r="E274" s="2">
        <v>44343</v>
      </c>
      <c r="F274" t="str">
        <f t="shared" si="8"/>
        <v>May</v>
      </c>
      <c r="G274">
        <f t="shared" si="9"/>
        <v>2021</v>
      </c>
    </row>
    <row r="275" spans="1:7" x14ac:dyDescent="0.3">
      <c r="A275">
        <v>274</v>
      </c>
      <c r="B275" t="s">
        <v>6</v>
      </c>
      <c r="C275">
        <v>23</v>
      </c>
      <c r="D275" t="s">
        <v>37</v>
      </c>
      <c r="E275" s="2">
        <v>44143</v>
      </c>
      <c r="F275" t="str">
        <f t="shared" si="8"/>
        <v>November</v>
      </c>
      <c r="G275">
        <f t="shared" si="9"/>
        <v>2020</v>
      </c>
    </row>
    <row r="276" spans="1:7" x14ac:dyDescent="0.3">
      <c r="A276">
        <v>275</v>
      </c>
      <c r="B276" t="s">
        <v>5</v>
      </c>
      <c r="C276">
        <v>43</v>
      </c>
      <c r="D276" t="s">
        <v>38</v>
      </c>
      <c r="E276" s="2">
        <v>44406</v>
      </c>
      <c r="F276" t="str">
        <f t="shared" si="8"/>
        <v>July</v>
      </c>
      <c r="G276">
        <f t="shared" si="9"/>
        <v>2021</v>
      </c>
    </row>
    <row r="277" spans="1:7" x14ac:dyDescent="0.3">
      <c r="A277">
        <v>276</v>
      </c>
      <c r="B277" t="s">
        <v>5</v>
      </c>
      <c r="C277">
        <v>21</v>
      </c>
      <c r="D277" t="s">
        <v>39</v>
      </c>
      <c r="E277" s="2">
        <v>44716</v>
      </c>
      <c r="F277" t="str">
        <f t="shared" si="8"/>
        <v>June</v>
      </c>
      <c r="G277">
        <f t="shared" si="9"/>
        <v>2022</v>
      </c>
    </row>
    <row r="278" spans="1:7" x14ac:dyDescent="0.3">
      <c r="A278">
        <v>277</v>
      </c>
      <c r="B278" t="s">
        <v>6</v>
      </c>
      <c r="C278">
        <v>36</v>
      </c>
      <c r="D278" t="s">
        <v>35</v>
      </c>
      <c r="E278" s="2">
        <v>44975</v>
      </c>
      <c r="F278" t="str">
        <f t="shared" si="8"/>
        <v>February</v>
      </c>
      <c r="G278">
        <f t="shared" si="9"/>
        <v>2023</v>
      </c>
    </row>
    <row r="279" spans="1:7" x14ac:dyDescent="0.3">
      <c r="A279">
        <v>278</v>
      </c>
      <c r="B279" t="s">
        <v>5</v>
      </c>
      <c r="C279">
        <v>37</v>
      </c>
      <c r="D279" t="s">
        <v>39</v>
      </c>
      <c r="E279" s="2">
        <v>44961</v>
      </c>
      <c r="F279" t="str">
        <f t="shared" si="8"/>
        <v>February</v>
      </c>
      <c r="G279">
        <f t="shared" si="9"/>
        <v>2023</v>
      </c>
    </row>
    <row r="280" spans="1:7" x14ac:dyDescent="0.3">
      <c r="A280">
        <v>279</v>
      </c>
      <c r="B280" t="s">
        <v>6</v>
      </c>
      <c r="C280">
        <v>50</v>
      </c>
      <c r="D280" t="s">
        <v>37</v>
      </c>
      <c r="E280" s="2">
        <v>44517</v>
      </c>
      <c r="F280" t="str">
        <f t="shared" si="8"/>
        <v>November</v>
      </c>
      <c r="G280">
        <f t="shared" si="9"/>
        <v>2021</v>
      </c>
    </row>
    <row r="281" spans="1:7" x14ac:dyDescent="0.3">
      <c r="A281">
        <v>280</v>
      </c>
      <c r="B281" t="s">
        <v>6</v>
      </c>
      <c r="C281">
        <v>37</v>
      </c>
      <c r="D281" t="s">
        <v>35</v>
      </c>
      <c r="E281" s="2">
        <v>43995</v>
      </c>
      <c r="F281" t="str">
        <f t="shared" si="8"/>
        <v>June</v>
      </c>
      <c r="G281">
        <f t="shared" si="9"/>
        <v>2020</v>
      </c>
    </row>
    <row r="282" spans="1:7" x14ac:dyDescent="0.3">
      <c r="A282">
        <v>281</v>
      </c>
      <c r="B282" t="s">
        <v>6</v>
      </c>
      <c r="C282">
        <v>29</v>
      </c>
      <c r="D282" t="s">
        <v>34</v>
      </c>
      <c r="E282" s="2">
        <v>44135</v>
      </c>
      <c r="F282" t="str">
        <f t="shared" si="8"/>
        <v>October</v>
      </c>
      <c r="G282">
        <f t="shared" si="9"/>
        <v>2020</v>
      </c>
    </row>
    <row r="283" spans="1:7" x14ac:dyDescent="0.3">
      <c r="A283">
        <v>282</v>
      </c>
      <c r="B283" t="s">
        <v>5</v>
      </c>
      <c r="C283">
        <v>64</v>
      </c>
      <c r="D283" t="s">
        <v>36</v>
      </c>
      <c r="E283" s="2">
        <v>43986</v>
      </c>
      <c r="F283" t="str">
        <f t="shared" si="8"/>
        <v>June</v>
      </c>
      <c r="G283">
        <f t="shared" si="9"/>
        <v>2020</v>
      </c>
    </row>
    <row r="284" spans="1:7" x14ac:dyDescent="0.3">
      <c r="A284">
        <v>283</v>
      </c>
      <c r="B284" t="s">
        <v>5</v>
      </c>
      <c r="C284">
        <v>18</v>
      </c>
      <c r="D284" t="s">
        <v>39</v>
      </c>
      <c r="E284" s="2">
        <v>44450</v>
      </c>
      <c r="F284" t="str">
        <f t="shared" si="8"/>
        <v>September</v>
      </c>
      <c r="G284">
        <f t="shared" si="9"/>
        <v>2021</v>
      </c>
    </row>
    <row r="285" spans="1:7" x14ac:dyDescent="0.3">
      <c r="A285">
        <v>284</v>
      </c>
      <c r="B285" t="s">
        <v>5</v>
      </c>
      <c r="C285">
        <v>43</v>
      </c>
      <c r="D285" t="s">
        <v>35</v>
      </c>
      <c r="E285" s="2">
        <v>44787</v>
      </c>
      <c r="F285" t="str">
        <f t="shared" si="8"/>
        <v>August</v>
      </c>
      <c r="G285">
        <f t="shared" si="9"/>
        <v>2022</v>
      </c>
    </row>
    <row r="286" spans="1:7" x14ac:dyDescent="0.3">
      <c r="A286">
        <v>285</v>
      </c>
      <c r="B286" t="s">
        <v>5</v>
      </c>
      <c r="C286">
        <v>31</v>
      </c>
      <c r="D286" t="s">
        <v>39</v>
      </c>
      <c r="E286" s="2">
        <v>44164</v>
      </c>
      <c r="F286" t="str">
        <f t="shared" si="8"/>
        <v>November</v>
      </c>
      <c r="G286">
        <f t="shared" si="9"/>
        <v>2020</v>
      </c>
    </row>
    <row r="287" spans="1:7" x14ac:dyDescent="0.3">
      <c r="A287">
        <v>286</v>
      </c>
      <c r="B287" t="s">
        <v>5</v>
      </c>
      <c r="C287">
        <v>55</v>
      </c>
      <c r="D287" t="s">
        <v>35</v>
      </c>
      <c r="E287" s="2">
        <v>44799</v>
      </c>
      <c r="F287" t="str">
        <f t="shared" si="8"/>
        <v>August</v>
      </c>
      <c r="G287">
        <f t="shared" si="9"/>
        <v>2022</v>
      </c>
    </row>
    <row r="288" spans="1:7" x14ac:dyDescent="0.3">
      <c r="A288">
        <v>287</v>
      </c>
      <c r="B288" t="s">
        <v>5</v>
      </c>
      <c r="C288">
        <v>54</v>
      </c>
      <c r="D288" t="s">
        <v>38</v>
      </c>
      <c r="E288" s="2">
        <v>44341</v>
      </c>
      <c r="F288" t="str">
        <f t="shared" si="8"/>
        <v>May</v>
      </c>
      <c r="G288">
        <f t="shared" si="9"/>
        <v>2021</v>
      </c>
    </row>
    <row r="289" spans="1:7" x14ac:dyDescent="0.3">
      <c r="A289">
        <v>288</v>
      </c>
      <c r="B289" t="s">
        <v>5</v>
      </c>
      <c r="C289">
        <v>28</v>
      </c>
      <c r="D289" t="s">
        <v>34</v>
      </c>
      <c r="E289" s="2">
        <v>44874</v>
      </c>
      <c r="F289" t="str">
        <f t="shared" si="8"/>
        <v>November</v>
      </c>
      <c r="G289">
        <f t="shared" si="9"/>
        <v>2022</v>
      </c>
    </row>
    <row r="290" spans="1:7" x14ac:dyDescent="0.3">
      <c r="A290">
        <v>289</v>
      </c>
      <c r="B290" t="s">
        <v>5</v>
      </c>
      <c r="C290">
        <v>53</v>
      </c>
      <c r="D290" t="s">
        <v>39</v>
      </c>
      <c r="E290" s="2">
        <v>44112</v>
      </c>
      <c r="F290" t="str">
        <f t="shared" si="8"/>
        <v>October</v>
      </c>
      <c r="G290">
        <f t="shared" si="9"/>
        <v>2020</v>
      </c>
    </row>
    <row r="291" spans="1:7" x14ac:dyDescent="0.3">
      <c r="A291">
        <v>290</v>
      </c>
      <c r="B291" t="s">
        <v>5</v>
      </c>
      <c r="C291">
        <v>30</v>
      </c>
      <c r="D291" t="s">
        <v>36</v>
      </c>
      <c r="E291" s="2">
        <v>44627</v>
      </c>
      <c r="F291" t="str">
        <f t="shared" si="8"/>
        <v>March</v>
      </c>
      <c r="G291">
        <f t="shared" si="9"/>
        <v>2022</v>
      </c>
    </row>
    <row r="292" spans="1:7" x14ac:dyDescent="0.3">
      <c r="A292">
        <v>291</v>
      </c>
      <c r="B292" t="s">
        <v>5</v>
      </c>
      <c r="C292">
        <v>60</v>
      </c>
      <c r="D292" t="s">
        <v>36</v>
      </c>
      <c r="E292" s="2">
        <v>44855</v>
      </c>
      <c r="F292" t="str">
        <f t="shared" si="8"/>
        <v>October</v>
      </c>
      <c r="G292">
        <f t="shared" si="9"/>
        <v>2022</v>
      </c>
    </row>
    <row r="293" spans="1:7" x14ac:dyDescent="0.3">
      <c r="A293">
        <v>292</v>
      </c>
      <c r="B293" t="s">
        <v>5</v>
      </c>
      <c r="C293">
        <v>20</v>
      </c>
      <c r="D293" t="s">
        <v>37</v>
      </c>
      <c r="E293" s="2">
        <v>43949</v>
      </c>
      <c r="F293" t="str">
        <f t="shared" si="8"/>
        <v>April</v>
      </c>
      <c r="G293">
        <f t="shared" si="9"/>
        <v>2020</v>
      </c>
    </row>
    <row r="294" spans="1:7" x14ac:dyDescent="0.3">
      <c r="A294">
        <v>293</v>
      </c>
      <c r="B294" t="s">
        <v>6</v>
      </c>
      <c r="C294">
        <v>50</v>
      </c>
      <c r="D294" t="s">
        <v>35</v>
      </c>
      <c r="E294" s="2">
        <v>44889</v>
      </c>
      <c r="F294" t="str">
        <f t="shared" si="8"/>
        <v>November</v>
      </c>
      <c r="G294">
        <f t="shared" si="9"/>
        <v>2022</v>
      </c>
    </row>
    <row r="295" spans="1:7" x14ac:dyDescent="0.3">
      <c r="A295">
        <v>294</v>
      </c>
      <c r="B295" t="s">
        <v>5</v>
      </c>
      <c r="C295">
        <v>23</v>
      </c>
      <c r="D295" t="s">
        <v>39</v>
      </c>
      <c r="E295" s="2">
        <v>44028</v>
      </c>
      <c r="F295" t="str">
        <f t="shared" si="8"/>
        <v>July</v>
      </c>
      <c r="G295">
        <f t="shared" si="9"/>
        <v>2020</v>
      </c>
    </row>
    <row r="296" spans="1:7" x14ac:dyDescent="0.3">
      <c r="A296">
        <v>295</v>
      </c>
      <c r="B296" t="s">
        <v>5</v>
      </c>
      <c r="C296">
        <v>27</v>
      </c>
      <c r="D296" t="s">
        <v>37</v>
      </c>
      <c r="E296" s="2">
        <v>44315</v>
      </c>
      <c r="F296" t="str">
        <f t="shared" si="8"/>
        <v>April</v>
      </c>
      <c r="G296">
        <f t="shared" si="9"/>
        <v>2021</v>
      </c>
    </row>
    <row r="297" spans="1:7" x14ac:dyDescent="0.3">
      <c r="A297">
        <v>296</v>
      </c>
      <c r="B297" t="s">
        <v>5</v>
      </c>
      <c r="C297">
        <v>22</v>
      </c>
      <c r="D297" t="s">
        <v>39</v>
      </c>
      <c r="E297" s="2">
        <v>44913</v>
      </c>
      <c r="F297" t="str">
        <f t="shared" si="8"/>
        <v>December</v>
      </c>
      <c r="G297">
        <f t="shared" si="9"/>
        <v>2022</v>
      </c>
    </row>
    <row r="298" spans="1:7" x14ac:dyDescent="0.3">
      <c r="A298">
        <v>297</v>
      </c>
      <c r="B298" t="s">
        <v>6</v>
      </c>
      <c r="C298">
        <v>40</v>
      </c>
      <c r="D298" t="s">
        <v>35</v>
      </c>
      <c r="E298" s="2">
        <v>44667</v>
      </c>
      <c r="F298" t="str">
        <f t="shared" si="8"/>
        <v>April</v>
      </c>
      <c r="G298">
        <f t="shared" si="9"/>
        <v>2022</v>
      </c>
    </row>
    <row r="299" spans="1:7" x14ac:dyDescent="0.3">
      <c r="A299">
        <v>298</v>
      </c>
      <c r="B299" t="s">
        <v>5</v>
      </c>
      <c r="C299">
        <v>27</v>
      </c>
      <c r="D299" t="s">
        <v>36</v>
      </c>
      <c r="E299" s="2">
        <v>45015</v>
      </c>
      <c r="F299" t="str">
        <f t="shared" si="8"/>
        <v>March</v>
      </c>
      <c r="G299">
        <f t="shared" si="9"/>
        <v>2023</v>
      </c>
    </row>
    <row r="300" spans="1:7" x14ac:dyDescent="0.3">
      <c r="A300">
        <v>299</v>
      </c>
      <c r="B300" t="s">
        <v>5</v>
      </c>
      <c r="C300">
        <v>61</v>
      </c>
      <c r="D300" t="s">
        <v>38</v>
      </c>
      <c r="E300" s="2">
        <v>44839</v>
      </c>
      <c r="F300" t="str">
        <f t="shared" si="8"/>
        <v>October</v>
      </c>
      <c r="G300">
        <f t="shared" si="9"/>
        <v>2022</v>
      </c>
    </row>
    <row r="301" spans="1:7" x14ac:dyDescent="0.3">
      <c r="A301">
        <v>300</v>
      </c>
      <c r="B301" t="s">
        <v>5</v>
      </c>
      <c r="C301">
        <v>19</v>
      </c>
      <c r="D301" t="s">
        <v>36</v>
      </c>
      <c r="E301" s="2">
        <v>44521</v>
      </c>
      <c r="F301" t="str">
        <f t="shared" si="8"/>
        <v>November</v>
      </c>
      <c r="G301">
        <f t="shared" si="9"/>
        <v>2021</v>
      </c>
    </row>
    <row r="302" spans="1:7" x14ac:dyDescent="0.3">
      <c r="A302">
        <v>301</v>
      </c>
      <c r="B302" t="s">
        <v>5</v>
      </c>
      <c r="C302">
        <v>30</v>
      </c>
      <c r="D302" t="s">
        <v>37</v>
      </c>
      <c r="E302" s="2">
        <v>44866</v>
      </c>
      <c r="F302" t="str">
        <f t="shared" si="8"/>
        <v>November</v>
      </c>
      <c r="G302">
        <f t="shared" si="9"/>
        <v>2022</v>
      </c>
    </row>
    <row r="303" spans="1:7" x14ac:dyDescent="0.3">
      <c r="A303">
        <v>302</v>
      </c>
      <c r="B303" t="s">
        <v>5</v>
      </c>
      <c r="C303">
        <v>57</v>
      </c>
      <c r="D303" t="s">
        <v>34</v>
      </c>
      <c r="E303" s="2">
        <v>44320</v>
      </c>
      <c r="F303" t="str">
        <f t="shared" si="8"/>
        <v>May</v>
      </c>
      <c r="G303">
        <f t="shared" si="9"/>
        <v>2021</v>
      </c>
    </row>
    <row r="304" spans="1:7" x14ac:dyDescent="0.3">
      <c r="A304">
        <v>303</v>
      </c>
      <c r="B304" t="s">
        <v>5</v>
      </c>
      <c r="C304">
        <v>19</v>
      </c>
      <c r="D304" t="s">
        <v>38</v>
      </c>
      <c r="E304" s="2">
        <v>44106</v>
      </c>
      <c r="F304" t="str">
        <f t="shared" si="8"/>
        <v>October</v>
      </c>
      <c r="G304">
        <f t="shared" si="9"/>
        <v>2020</v>
      </c>
    </row>
    <row r="305" spans="1:7" x14ac:dyDescent="0.3">
      <c r="A305">
        <v>304</v>
      </c>
      <c r="B305" t="s">
        <v>5</v>
      </c>
      <c r="C305">
        <v>37</v>
      </c>
      <c r="D305" t="s">
        <v>37</v>
      </c>
      <c r="E305" s="2">
        <v>44523</v>
      </c>
      <c r="F305" t="str">
        <f t="shared" si="8"/>
        <v>November</v>
      </c>
      <c r="G305">
        <f t="shared" si="9"/>
        <v>2021</v>
      </c>
    </row>
    <row r="306" spans="1:7" x14ac:dyDescent="0.3">
      <c r="A306">
        <v>305</v>
      </c>
      <c r="B306" t="s">
        <v>6</v>
      </c>
      <c r="C306">
        <v>18</v>
      </c>
      <c r="D306" t="s">
        <v>35</v>
      </c>
      <c r="E306" s="2">
        <v>44072</v>
      </c>
      <c r="F306" t="str">
        <f t="shared" si="8"/>
        <v>August</v>
      </c>
      <c r="G306">
        <f t="shared" si="9"/>
        <v>2020</v>
      </c>
    </row>
    <row r="307" spans="1:7" x14ac:dyDescent="0.3">
      <c r="A307">
        <v>306</v>
      </c>
      <c r="B307" t="s">
        <v>6</v>
      </c>
      <c r="C307">
        <v>54</v>
      </c>
      <c r="D307" t="s">
        <v>38</v>
      </c>
      <c r="E307" s="2">
        <v>43956</v>
      </c>
      <c r="F307" t="str">
        <f t="shared" si="8"/>
        <v>May</v>
      </c>
      <c r="G307">
        <f t="shared" si="9"/>
        <v>2020</v>
      </c>
    </row>
    <row r="308" spans="1:7" x14ac:dyDescent="0.3">
      <c r="A308">
        <v>307</v>
      </c>
      <c r="B308" t="s">
        <v>5</v>
      </c>
      <c r="C308">
        <v>26</v>
      </c>
      <c r="D308" t="s">
        <v>37</v>
      </c>
      <c r="E308" s="2">
        <v>44047</v>
      </c>
      <c r="F308" t="str">
        <f t="shared" si="8"/>
        <v>August</v>
      </c>
      <c r="G308">
        <f t="shared" si="9"/>
        <v>2020</v>
      </c>
    </row>
    <row r="309" spans="1:7" x14ac:dyDescent="0.3">
      <c r="A309">
        <v>308</v>
      </c>
      <c r="B309" t="s">
        <v>5</v>
      </c>
      <c r="C309">
        <v>34</v>
      </c>
      <c r="D309" t="s">
        <v>35</v>
      </c>
      <c r="E309" s="2">
        <v>44893</v>
      </c>
      <c r="F309" t="str">
        <f t="shared" si="8"/>
        <v>November</v>
      </c>
      <c r="G309">
        <f t="shared" si="9"/>
        <v>2022</v>
      </c>
    </row>
    <row r="310" spans="1:7" x14ac:dyDescent="0.3">
      <c r="A310">
        <v>309</v>
      </c>
      <c r="B310" t="s">
        <v>6</v>
      </c>
      <c r="C310">
        <v>26</v>
      </c>
      <c r="D310" t="s">
        <v>36</v>
      </c>
      <c r="E310" s="2">
        <v>44325</v>
      </c>
      <c r="F310" t="str">
        <f t="shared" si="8"/>
        <v>May</v>
      </c>
      <c r="G310">
        <f t="shared" si="9"/>
        <v>2021</v>
      </c>
    </row>
    <row r="311" spans="1:7" x14ac:dyDescent="0.3">
      <c r="A311">
        <v>310</v>
      </c>
      <c r="B311" t="s">
        <v>5</v>
      </c>
      <c r="C311">
        <v>28</v>
      </c>
      <c r="D311" t="s">
        <v>34</v>
      </c>
      <c r="E311" s="2">
        <v>44257</v>
      </c>
      <c r="F311" t="str">
        <f t="shared" si="8"/>
        <v>March</v>
      </c>
      <c r="G311">
        <f t="shared" si="9"/>
        <v>2021</v>
      </c>
    </row>
    <row r="312" spans="1:7" x14ac:dyDescent="0.3">
      <c r="A312">
        <v>311</v>
      </c>
      <c r="B312" t="s">
        <v>5</v>
      </c>
      <c r="C312">
        <v>32</v>
      </c>
      <c r="D312" t="s">
        <v>35</v>
      </c>
      <c r="E312" s="2">
        <v>44749</v>
      </c>
      <c r="F312" t="str">
        <f t="shared" si="8"/>
        <v>July</v>
      </c>
      <c r="G312">
        <f t="shared" si="9"/>
        <v>2022</v>
      </c>
    </row>
    <row r="313" spans="1:7" x14ac:dyDescent="0.3">
      <c r="A313">
        <v>312</v>
      </c>
      <c r="B313" t="s">
        <v>5</v>
      </c>
      <c r="C313">
        <v>41</v>
      </c>
      <c r="D313" t="s">
        <v>39</v>
      </c>
      <c r="E313" s="2">
        <v>43981</v>
      </c>
      <c r="F313" t="str">
        <f t="shared" si="8"/>
        <v>May</v>
      </c>
      <c r="G313">
        <f t="shared" si="9"/>
        <v>2020</v>
      </c>
    </row>
    <row r="314" spans="1:7" x14ac:dyDescent="0.3">
      <c r="A314">
        <v>313</v>
      </c>
      <c r="B314" t="s">
        <v>5</v>
      </c>
      <c r="C314">
        <v>55</v>
      </c>
      <c r="D314" t="s">
        <v>35</v>
      </c>
      <c r="E314" s="2">
        <v>44214</v>
      </c>
      <c r="F314" t="str">
        <f t="shared" si="8"/>
        <v>January</v>
      </c>
      <c r="G314">
        <f t="shared" si="9"/>
        <v>2021</v>
      </c>
    </row>
    <row r="315" spans="1:7" x14ac:dyDescent="0.3">
      <c r="A315">
        <v>314</v>
      </c>
      <c r="B315" t="s">
        <v>6</v>
      </c>
      <c r="C315">
        <v>52</v>
      </c>
      <c r="D315" t="s">
        <v>35</v>
      </c>
      <c r="E315" s="2">
        <v>44138</v>
      </c>
      <c r="F315" t="str">
        <f t="shared" si="8"/>
        <v>November</v>
      </c>
      <c r="G315">
        <f t="shared" si="9"/>
        <v>2020</v>
      </c>
    </row>
    <row r="316" spans="1:7" x14ac:dyDescent="0.3">
      <c r="A316">
        <v>315</v>
      </c>
      <c r="B316" t="s">
        <v>6</v>
      </c>
      <c r="C316">
        <v>47</v>
      </c>
      <c r="D316" t="s">
        <v>34</v>
      </c>
      <c r="E316" s="2">
        <v>44576</v>
      </c>
      <c r="F316" t="str">
        <f t="shared" si="8"/>
        <v>January</v>
      </c>
      <c r="G316">
        <f t="shared" si="9"/>
        <v>2022</v>
      </c>
    </row>
    <row r="317" spans="1:7" x14ac:dyDescent="0.3">
      <c r="A317">
        <v>316</v>
      </c>
      <c r="B317" t="s">
        <v>6</v>
      </c>
      <c r="C317">
        <v>48</v>
      </c>
      <c r="D317" t="s">
        <v>39</v>
      </c>
      <c r="E317" s="2">
        <v>44722</v>
      </c>
      <c r="F317" t="str">
        <f t="shared" si="8"/>
        <v>June</v>
      </c>
      <c r="G317">
        <f t="shared" si="9"/>
        <v>2022</v>
      </c>
    </row>
    <row r="318" spans="1:7" x14ac:dyDescent="0.3">
      <c r="A318">
        <v>317</v>
      </c>
      <c r="B318" t="s">
        <v>5</v>
      </c>
      <c r="C318">
        <v>22</v>
      </c>
      <c r="D318" t="s">
        <v>37</v>
      </c>
      <c r="E318" s="2">
        <v>44205</v>
      </c>
      <c r="F318" t="str">
        <f t="shared" si="8"/>
        <v>January</v>
      </c>
      <c r="G318">
        <f t="shared" si="9"/>
        <v>2021</v>
      </c>
    </row>
    <row r="319" spans="1:7" x14ac:dyDescent="0.3">
      <c r="A319">
        <v>318</v>
      </c>
      <c r="B319" t="s">
        <v>5</v>
      </c>
      <c r="C319">
        <v>61</v>
      </c>
      <c r="D319" t="s">
        <v>37</v>
      </c>
      <c r="E319" s="2">
        <v>44862</v>
      </c>
      <c r="F319" t="str">
        <f t="shared" si="8"/>
        <v>October</v>
      </c>
      <c r="G319">
        <f t="shared" si="9"/>
        <v>2022</v>
      </c>
    </row>
    <row r="320" spans="1:7" x14ac:dyDescent="0.3">
      <c r="A320">
        <v>319</v>
      </c>
      <c r="B320" t="s">
        <v>5</v>
      </c>
      <c r="C320">
        <v>31</v>
      </c>
      <c r="D320" t="s">
        <v>35</v>
      </c>
      <c r="E320" s="2">
        <v>43959</v>
      </c>
      <c r="F320" t="str">
        <f t="shared" si="8"/>
        <v>May</v>
      </c>
      <c r="G320">
        <f t="shared" si="9"/>
        <v>2020</v>
      </c>
    </row>
    <row r="321" spans="1:7" x14ac:dyDescent="0.3">
      <c r="A321">
        <v>320</v>
      </c>
      <c r="B321" t="s">
        <v>5</v>
      </c>
      <c r="C321">
        <v>28</v>
      </c>
      <c r="D321" t="s">
        <v>39</v>
      </c>
      <c r="E321" s="2">
        <v>44845</v>
      </c>
      <c r="F321" t="str">
        <f t="shared" si="8"/>
        <v>October</v>
      </c>
      <c r="G321">
        <f t="shared" si="9"/>
        <v>2022</v>
      </c>
    </row>
    <row r="322" spans="1:7" x14ac:dyDescent="0.3">
      <c r="A322">
        <v>321</v>
      </c>
      <c r="B322" t="s">
        <v>5</v>
      </c>
      <c r="C322">
        <v>26</v>
      </c>
      <c r="D322" t="s">
        <v>39</v>
      </c>
      <c r="E322" s="2">
        <v>44499</v>
      </c>
      <c r="F322" t="str">
        <f t="shared" ref="F322:F385" si="10">TEXT(E322,"mmmm")</f>
        <v>October</v>
      </c>
      <c r="G322">
        <f t="shared" si="9"/>
        <v>2021</v>
      </c>
    </row>
    <row r="323" spans="1:7" x14ac:dyDescent="0.3">
      <c r="A323">
        <v>322</v>
      </c>
      <c r="B323" t="s">
        <v>6</v>
      </c>
      <c r="C323">
        <v>51</v>
      </c>
      <c r="D323" t="s">
        <v>34</v>
      </c>
      <c r="E323" s="2">
        <v>44347</v>
      </c>
      <c r="F323" t="str">
        <f t="shared" si="10"/>
        <v>May</v>
      </c>
      <c r="G323">
        <f t="shared" ref="G323:G386" si="11">YEAR(E323)</f>
        <v>2021</v>
      </c>
    </row>
    <row r="324" spans="1:7" x14ac:dyDescent="0.3">
      <c r="A324">
        <v>323</v>
      </c>
      <c r="B324" t="s">
        <v>6</v>
      </c>
      <c r="C324">
        <v>29</v>
      </c>
      <c r="D324" t="s">
        <v>36</v>
      </c>
      <c r="E324" s="2">
        <v>43916</v>
      </c>
      <c r="F324" t="str">
        <f t="shared" si="10"/>
        <v>March</v>
      </c>
      <c r="G324">
        <f t="shared" si="11"/>
        <v>2020</v>
      </c>
    </row>
    <row r="325" spans="1:7" x14ac:dyDescent="0.3">
      <c r="A325">
        <v>324</v>
      </c>
      <c r="B325" t="s">
        <v>5</v>
      </c>
      <c r="C325">
        <v>52</v>
      </c>
      <c r="D325" t="s">
        <v>37</v>
      </c>
      <c r="E325" s="2">
        <v>45029</v>
      </c>
      <c r="F325" t="str">
        <f t="shared" si="10"/>
        <v>April</v>
      </c>
      <c r="G325">
        <f t="shared" si="11"/>
        <v>2023</v>
      </c>
    </row>
    <row r="326" spans="1:7" x14ac:dyDescent="0.3">
      <c r="A326">
        <v>325</v>
      </c>
      <c r="B326" t="s">
        <v>6</v>
      </c>
      <c r="C326">
        <v>52</v>
      </c>
      <c r="D326" t="s">
        <v>34</v>
      </c>
      <c r="E326" s="2">
        <v>44141</v>
      </c>
      <c r="F326" t="str">
        <f t="shared" si="10"/>
        <v>November</v>
      </c>
      <c r="G326">
        <f t="shared" si="11"/>
        <v>2020</v>
      </c>
    </row>
    <row r="327" spans="1:7" x14ac:dyDescent="0.3">
      <c r="A327">
        <v>326</v>
      </c>
      <c r="B327" t="s">
        <v>6</v>
      </c>
      <c r="C327">
        <v>18</v>
      </c>
      <c r="D327" t="s">
        <v>38</v>
      </c>
      <c r="E327" s="2">
        <v>44973</v>
      </c>
      <c r="F327" t="str">
        <f t="shared" si="10"/>
        <v>February</v>
      </c>
      <c r="G327">
        <f t="shared" si="11"/>
        <v>2023</v>
      </c>
    </row>
    <row r="328" spans="1:7" x14ac:dyDescent="0.3">
      <c r="A328">
        <v>327</v>
      </c>
      <c r="B328" t="s">
        <v>5</v>
      </c>
      <c r="C328">
        <v>57</v>
      </c>
      <c r="D328" t="s">
        <v>37</v>
      </c>
      <c r="E328" s="2">
        <v>44257</v>
      </c>
      <c r="F328" t="str">
        <f t="shared" si="10"/>
        <v>March</v>
      </c>
      <c r="G328">
        <f t="shared" si="11"/>
        <v>2021</v>
      </c>
    </row>
    <row r="329" spans="1:7" x14ac:dyDescent="0.3">
      <c r="A329">
        <v>328</v>
      </c>
      <c r="B329" t="s">
        <v>5</v>
      </c>
      <c r="C329">
        <v>39</v>
      </c>
      <c r="D329" t="s">
        <v>34</v>
      </c>
      <c r="E329" s="2">
        <v>43944</v>
      </c>
      <c r="F329" t="str">
        <f t="shared" si="10"/>
        <v>April</v>
      </c>
      <c r="G329">
        <f t="shared" si="11"/>
        <v>2020</v>
      </c>
    </row>
    <row r="330" spans="1:7" x14ac:dyDescent="0.3">
      <c r="A330">
        <v>329</v>
      </c>
      <c r="B330" t="s">
        <v>5</v>
      </c>
      <c r="C330">
        <v>46</v>
      </c>
      <c r="D330" t="s">
        <v>37</v>
      </c>
      <c r="E330" s="2">
        <v>44999</v>
      </c>
      <c r="F330" t="str">
        <f t="shared" si="10"/>
        <v>March</v>
      </c>
      <c r="G330">
        <f t="shared" si="11"/>
        <v>2023</v>
      </c>
    </row>
    <row r="331" spans="1:7" x14ac:dyDescent="0.3">
      <c r="A331">
        <v>330</v>
      </c>
      <c r="B331" t="s">
        <v>5</v>
      </c>
      <c r="C331">
        <v>25</v>
      </c>
      <c r="D331" t="s">
        <v>36</v>
      </c>
      <c r="E331" s="2">
        <v>44133</v>
      </c>
      <c r="F331" t="str">
        <f t="shared" si="10"/>
        <v>October</v>
      </c>
      <c r="G331">
        <f t="shared" si="11"/>
        <v>2020</v>
      </c>
    </row>
    <row r="332" spans="1:7" x14ac:dyDescent="0.3">
      <c r="A332">
        <v>331</v>
      </c>
      <c r="B332" t="s">
        <v>5</v>
      </c>
      <c r="C332">
        <v>28</v>
      </c>
      <c r="D332" t="s">
        <v>38</v>
      </c>
      <c r="E332" s="2">
        <v>44574</v>
      </c>
      <c r="F332" t="str">
        <f t="shared" si="10"/>
        <v>January</v>
      </c>
      <c r="G332">
        <f t="shared" si="11"/>
        <v>2022</v>
      </c>
    </row>
    <row r="333" spans="1:7" x14ac:dyDescent="0.3">
      <c r="A333">
        <v>332</v>
      </c>
      <c r="B333" t="s">
        <v>6</v>
      </c>
      <c r="C333">
        <v>58</v>
      </c>
      <c r="D333" t="s">
        <v>36</v>
      </c>
      <c r="E333" s="2">
        <v>44418</v>
      </c>
      <c r="F333" t="str">
        <f t="shared" si="10"/>
        <v>August</v>
      </c>
      <c r="G333">
        <f t="shared" si="11"/>
        <v>2021</v>
      </c>
    </row>
    <row r="334" spans="1:7" x14ac:dyDescent="0.3">
      <c r="A334">
        <v>333</v>
      </c>
      <c r="B334" t="s">
        <v>5</v>
      </c>
      <c r="C334">
        <v>54</v>
      </c>
      <c r="D334" t="s">
        <v>38</v>
      </c>
      <c r="E334" s="2">
        <v>44817</v>
      </c>
      <c r="F334" t="str">
        <f t="shared" si="10"/>
        <v>September</v>
      </c>
      <c r="G334">
        <f t="shared" si="11"/>
        <v>2022</v>
      </c>
    </row>
    <row r="335" spans="1:7" x14ac:dyDescent="0.3">
      <c r="A335">
        <v>334</v>
      </c>
      <c r="B335" t="s">
        <v>5</v>
      </c>
      <c r="C335">
        <v>31</v>
      </c>
      <c r="D335" t="s">
        <v>35</v>
      </c>
      <c r="E335" s="2">
        <v>44175</v>
      </c>
      <c r="F335" t="str">
        <f t="shared" si="10"/>
        <v>December</v>
      </c>
      <c r="G335">
        <f t="shared" si="11"/>
        <v>2020</v>
      </c>
    </row>
    <row r="336" spans="1:7" x14ac:dyDescent="0.3">
      <c r="A336">
        <v>335</v>
      </c>
      <c r="B336" t="s">
        <v>5</v>
      </c>
      <c r="C336">
        <v>47</v>
      </c>
      <c r="D336" t="s">
        <v>34</v>
      </c>
      <c r="E336" s="2">
        <v>44644</v>
      </c>
      <c r="F336" t="str">
        <f t="shared" si="10"/>
        <v>March</v>
      </c>
      <c r="G336">
        <f t="shared" si="11"/>
        <v>2022</v>
      </c>
    </row>
    <row r="337" spans="1:7" x14ac:dyDescent="0.3">
      <c r="A337">
        <v>336</v>
      </c>
      <c r="B337" t="s">
        <v>5</v>
      </c>
      <c r="C337">
        <v>52</v>
      </c>
      <c r="D337" t="s">
        <v>38</v>
      </c>
      <c r="E337" s="2">
        <v>44631</v>
      </c>
      <c r="F337" t="str">
        <f t="shared" si="10"/>
        <v>March</v>
      </c>
      <c r="G337">
        <f t="shared" si="11"/>
        <v>2022</v>
      </c>
    </row>
    <row r="338" spans="1:7" x14ac:dyDescent="0.3">
      <c r="A338">
        <v>337</v>
      </c>
      <c r="B338" t="s">
        <v>6</v>
      </c>
      <c r="C338">
        <v>38</v>
      </c>
      <c r="D338" t="s">
        <v>36</v>
      </c>
      <c r="E338" s="2">
        <v>44855</v>
      </c>
      <c r="F338" t="str">
        <f t="shared" si="10"/>
        <v>October</v>
      </c>
      <c r="G338">
        <f t="shared" si="11"/>
        <v>2022</v>
      </c>
    </row>
    <row r="339" spans="1:7" x14ac:dyDescent="0.3">
      <c r="A339">
        <v>338</v>
      </c>
      <c r="B339" t="s">
        <v>6</v>
      </c>
      <c r="C339">
        <v>54</v>
      </c>
      <c r="D339" t="s">
        <v>37</v>
      </c>
      <c r="E339" s="2">
        <v>45001</v>
      </c>
      <c r="F339" t="str">
        <f t="shared" si="10"/>
        <v>March</v>
      </c>
      <c r="G339">
        <f t="shared" si="11"/>
        <v>2023</v>
      </c>
    </row>
    <row r="340" spans="1:7" x14ac:dyDescent="0.3">
      <c r="A340">
        <v>339</v>
      </c>
      <c r="B340" t="s">
        <v>5</v>
      </c>
      <c r="C340">
        <v>22</v>
      </c>
      <c r="D340" t="s">
        <v>38</v>
      </c>
      <c r="E340" s="2">
        <v>44907</v>
      </c>
      <c r="F340" t="str">
        <f t="shared" si="10"/>
        <v>December</v>
      </c>
      <c r="G340">
        <f t="shared" si="11"/>
        <v>2022</v>
      </c>
    </row>
    <row r="341" spans="1:7" x14ac:dyDescent="0.3">
      <c r="A341">
        <v>340</v>
      </c>
      <c r="B341" t="s">
        <v>5</v>
      </c>
      <c r="C341">
        <v>36</v>
      </c>
      <c r="D341" t="s">
        <v>34</v>
      </c>
      <c r="E341" s="2">
        <v>44923</v>
      </c>
      <c r="F341" t="str">
        <f t="shared" si="10"/>
        <v>December</v>
      </c>
      <c r="G341">
        <f t="shared" si="11"/>
        <v>2022</v>
      </c>
    </row>
    <row r="342" spans="1:7" x14ac:dyDescent="0.3">
      <c r="A342">
        <v>341</v>
      </c>
      <c r="B342" t="s">
        <v>5</v>
      </c>
      <c r="C342">
        <v>31</v>
      </c>
      <c r="D342" t="s">
        <v>38</v>
      </c>
      <c r="E342" s="2">
        <v>44191</v>
      </c>
      <c r="F342" t="str">
        <f t="shared" si="10"/>
        <v>December</v>
      </c>
      <c r="G342">
        <f t="shared" si="11"/>
        <v>2020</v>
      </c>
    </row>
    <row r="343" spans="1:7" x14ac:dyDescent="0.3">
      <c r="A343">
        <v>342</v>
      </c>
      <c r="B343" t="s">
        <v>5</v>
      </c>
      <c r="C343">
        <v>43</v>
      </c>
      <c r="D343" t="s">
        <v>39</v>
      </c>
      <c r="E343" s="2">
        <v>44840</v>
      </c>
      <c r="F343" t="str">
        <f t="shared" si="10"/>
        <v>October</v>
      </c>
      <c r="G343">
        <f t="shared" si="11"/>
        <v>2022</v>
      </c>
    </row>
    <row r="344" spans="1:7" x14ac:dyDescent="0.3">
      <c r="A344">
        <v>343</v>
      </c>
      <c r="B344" t="s">
        <v>5</v>
      </c>
      <c r="C344">
        <v>21</v>
      </c>
      <c r="D344" t="s">
        <v>37</v>
      </c>
      <c r="E344" s="2">
        <v>44534</v>
      </c>
      <c r="F344" t="str">
        <f t="shared" si="10"/>
        <v>December</v>
      </c>
      <c r="G344">
        <f t="shared" si="11"/>
        <v>2021</v>
      </c>
    </row>
    <row r="345" spans="1:7" x14ac:dyDescent="0.3">
      <c r="A345">
        <v>344</v>
      </c>
      <c r="B345" t="s">
        <v>5</v>
      </c>
      <c r="C345">
        <v>42</v>
      </c>
      <c r="D345" t="s">
        <v>34</v>
      </c>
      <c r="E345" s="2">
        <v>44405</v>
      </c>
      <c r="F345" t="str">
        <f t="shared" si="10"/>
        <v>July</v>
      </c>
      <c r="G345">
        <f t="shared" si="11"/>
        <v>2021</v>
      </c>
    </row>
    <row r="346" spans="1:7" x14ac:dyDescent="0.3">
      <c r="A346">
        <v>345</v>
      </c>
      <c r="B346" t="s">
        <v>5</v>
      </c>
      <c r="C346">
        <v>62</v>
      </c>
      <c r="D346" t="s">
        <v>34</v>
      </c>
      <c r="E346" s="2">
        <v>45015</v>
      </c>
      <c r="F346" t="str">
        <f t="shared" si="10"/>
        <v>March</v>
      </c>
      <c r="G346">
        <f t="shared" si="11"/>
        <v>2023</v>
      </c>
    </row>
    <row r="347" spans="1:7" x14ac:dyDescent="0.3">
      <c r="A347">
        <v>346</v>
      </c>
      <c r="B347" t="s">
        <v>5</v>
      </c>
      <c r="C347">
        <v>59</v>
      </c>
      <c r="D347" t="s">
        <v>35</v>
      </c>
      <c r="E347" s="2">
        <v>44943</v>
      </c>
      <c r="F347" t="str">
        <f t="shared" si="10"/>
        <v>January</v>
      </c>
      <c r="G347">
        <f t="shared" si="11"/>
        <v>2023</v>
      </c>
    </row>
    <row r="348" spans="1:7" x14ac:dyDescent="0.3">
      <c r="A348">
        <v>347</v>
      </c>
      <c r="B348" t="s">
        <v>5</v>
      </c>
      <c r="C348">
        <v>42</v>
      </c>
      <c r="D348" t="s">
        <v>36</v>
      </c>
      <c r="E348" s="2">
        <v>44518</v>
      </c>
      <c r="F348" t="str">
        <f t="shared" si="10"/>
        <v>November</v>
      </c>
      <c r="G348">
        <f t="shared" si="11"/>
        <v>2021</v>
      </c>
    </row>
    <row r="349" spans="1:7" x14ac:dyDescent="0.3">
      <c r="A349">
        <v>348</v>
      </c>
      <c r="B349" t="s">
        <v>5</v>
      </c>
      <c r="C349">
        <v>35</v>
      </c>
      <c r="D349" t="s">
        <v>35</v>
      </c>
      <c r="E349" s="2">
        <v>44611</v>
      </c>
      <c r="F349" t="str">
        <f t="shared" si="10"/>
        <v>February</v>
      </c>
      <c r="G349">
        <f t="shared" si="11"/>
        <v>2022</v>
      </c>
    </row>
    <row r="350" spans="1:7" x14ac:dyDescent="0.3">
      <c r="A350">
        <v>349</v>
      </c>
      <c r="B350" t="s">
        <v>5</v>
      </c>
      <c r="C350">
        <v>57</v>
      </c>
      <c r="D350" t="s">
        <v>34</v>
      </c>
      <c r="E350" s="2">
        <v>44415</v>
      </c>
      <c r="F350" t="str">
        <f t="shared" si="10"/>
        <v>August</v>
      </c>
      <c r="G350">
        <f t="shared" si="11"/>
        <v>2021</v>
      </c>
    </row>
    <row r="351" spans="1:7" x14ac:dyDescent="0.3">
      <c r="A351">
        <v>350</v>
      </c>
      <c r="B351" t="s">
        <v>5</v>
      </c>
      <c r="C351">
        <v>25</v>
      </c>
      <c r="D351" t="s">
        <v>37</v>
      </c>
      <c r="E351" s="2">
        <v>44419</v>
      </c>
      <c r="F351" t="str">
        <f t="shared" si="10"/>
        <v>August</v>
      </c>
      <c r="G351">
        <f t="shared" si="11"/>
        <v>2021</v>
      </c>
    </row>
    <row r="352" spans="1:7" x14ac:dyDescent="0.3">
      <c r="A352">
        <v>351</v>
      </c>
      <c r="B352" t="s">
        <v>5</v>
      </c>
      <c r="C352">
        <v>56</v>
      </c>
      <c r="D352" t="s">
        <v>38</v>
      </c>
      <c r="E352" s="2">
        <v>45013</v>
      </c>
      <c r="F352" t="str">
        <f t="shared" si="10"/>
        <v>March</v>
      </c>
      <c r="G352">
        <f t="shared" si="11"/>
        <v>2023</v>
      </c>
    </row>
    <row r="353" spans="1:7" x14ac:dyDescent="0.3">
      <c r="A353">
        <v>352</v>
      </c>
      <c r="B353" t="s">
        <v>6</v>
      </c>
      <c r="C353">
        <v>57</v>
      </c>
      <c r="D353" t="s">
        <v>38</v>
      </c>
      <c r="E353" s="2">
        <v>44319</v>
      </c>
      <c r="F353" t="str">
        <f t="shared" si="10"/>
        <v>May</v>
      </c>
      <c r="G353">
        <f t="shared" si="11"/>
        <v>2021</v>
      </c>
    </row>
    <row r="354" spans="1:7" x14ac:dyDescent="0.3">
      <c r="A354">
        <v>353</v>
      </c>
      <c r="B354" t="s">
        <v>6</v>
      </c>
      <c r="C354">
        <v>31</v>
      </c>
      <c r="D354" t="s">
        <v>37</v>
      </c>
      <c r="E354" s="2">
        <v>44801</v>
      </c>
      <c r="F354" t="str">
        <f t="shared" si="10"/>
        <v>August</v>
      </c>
      <c r="G354">
        <f t="shared" si="11"/>
        <v>2022</v>
      </c>
    </row>
    <row r="355" spans="1:7" x14ac:dyDescent="0.3">
      <c r="A355">
        <v>354</v>
      </c>
      <c r="B355" t="s">
        <v>5</v>
      </c>
      <c r="C355">
        <v>49</v>
      </c>
      <c r="D355" t="s">
        <v>34</v>
      </c>
      <c r="E355" s="2">
        <v>44956</v>
      </c>
      <c r="F355" t="str">
        <f t="shared" si="10"/>
        <v>January</v>
      </c>
      <c r="G355">
        <f t="shared" si="11"/>
        <v>2023</v>
      </c>
    </row>
    <row r="356" spans="1:7" x14ac:dyDescent="0.3">
      <c r="A356">
        <v>355</v>
      </c>
      <c r="B356" t="s">
        <v>5</v>
      </c>
      <c r="C356">
        <v>55</v>
      </c>
      <c r="D356" t="s">
        <v>38</v>
      </c>
      <c r="E356" s="2">
        <v>44324</v>
      </c>
      <c r="F356" t="str">
        <f t="shared" si="10"/>
        <v>May</v>
      </c>
      <c r="G356">
        <f t="shared" si="11"/>
        <v>2021</v>
      </c>
    </row>
    <row r="357" spans="1:7" x14ac:dyDescent="0.3">
      <c r="A357">
        <v>356</v>
      </c>
      <c r="B357" t="s">
        <v>5</v>
      </c>
      <c r="C357">
        <v>50</v>
      </c>
      <c r="D357" t="s">
        <v>38</v>
      </c>
      <c r="E357" s="2">
        <v>43849</v>
      </c>
      <c r="F357" t="str">
        <f t="shared" si="10"/>
        <v>January</v>
      </c>
      <c r="G357">
        <f t="shared" si="11"/>
        <v>2020</v>
      </c>
    </row>
    <row r="358" spans="1:7" x14ac:dyDescent="0.3">
      <c r="A358">
        <v>357</v>
      </c>
      <c r="B358" t="s">
        <v>5</v>
      </c>
      <c r="C358">
        <v>40</v>
      </c>
      <c r="D358" t="s">
        <v>38</v>
      </c>
      <c r="E358" s="2">
        <v>44227</v>
      </c>
      <c r="F358" t="str">
        <f t="shared" si="10"/>
        <v>January</v>
      </c>
      <c r="G358">
        <f t="shared" si="11"/>
        <v>2021</v>
      </c>
    </row>
    <row r="359" spans="1:7" x14ac:dyDescent="0.3">
      <c r="A359">
        <v>358</v>
      </c>
      <c r="B359" t="s">
        <v>5</v>
      </c>
      <c r="C359">
        <v>32</v>
      </c>
      <c r="D359" t="s">
        <v>36</v>
      </c>
      <c r="E359" s="2">
        <v>44831</v>
      </c>
      <c r="F359" t="str">
        <f t="shared" si="10"/>
        <v>September</v>
      </c>
      <c r="G359">
        <f t="shared" si="11"/>
        <v>2022</v>
      </c>
    </row>
    <row r="360" spans="1:7" x14ac:dyDescent="0.3">
      <c r="A360">
        <v>359</v>
      </c>
      <c r="B360" t="s">
        <v>6</v>
      </c>
      <c r="C360">
        <v>50</v>
      </c>
      <c r="D360" t="s">
        <v>36</v>
      </c>
      <c r="E360" s="2">
        <v>44681</v>
      </c>
      <c r="F360" t="str">
        <f t="shared" si="10"/>
        <v>April</v>
      </c>
      <c r="G360">
        <f t="shared" si="11"/>
        <v>2022</v>
      </c>
    </row>
    <row r="361" spans="1:7" x14ac:dyDescent="0.3">
      <c r="A361">
        <v>360</v>
      </c>
      <c r="B361" t="s">
        <v>5</v>
      </c>
      <c r="C361">
        <v>42</v>
      </c>
      <c r="D361" t="s">
        <v>39</v>
      </c>
      <c r="E361" s="2">
        <v>44652</v>
      </c>
      <c r="F361" t="str">
        <f t="shared" si="10"/>
        <v>April</v>
      </c>
      <c r="G361">
        <f t="shared" si="11"/>
        <v>2022</v>
      </c>
    </row>
    <row r="362" spans="1:7" x14ac:dyDescent="0.3">
      <c r="A362">
        <v>361</v>
      </c>
      <c r="B362" t="s">
        <v>5</v>
      </c>
      <c r="C362">
        <v>34</v>
      </c>
      <c r="D362" t="s">
        <v>35</v>
      </c>
      <c r="E362" s="2">
        <v>44285</v>
      </c>
      <c r="F362" t="str">
        <f t="shared" si="10"/>
        <v>March</v>
      </c>
      <c r="G362">
        <f t="shared" si="11"/>
        <v>2021</v>
      </c>
    </row>
    <row r="363" spans="1:7" x14ac:dyDescent="0.3">
      <c r="A363">
        <v>362</v>
      </c>
      <c r="B363" t="s">
        <v>5</v>
      </c>
      <c r="C363">
        <v>50</v>
      </c>
      <c r="D363" t="s">
        <v>37</v>
      </c>
      <c r="E363" s="2">
        <v>44555</v>
      </c>
      <c r="F363" t="str">
        <f t="shared" si="10"/>
        <v>December</v>
      </c>
      <c r="G363">
        <f t="shared" si="11"/>
        <v>2021</v>
      </c>
    </row>
    <row r="364" spans="1:7" x14ac:dyDescent="0.3">
      <c r="A364">
        <v>363</v>
      </c>
      <c r="B364" t="s">
        <v>5</v>
      </c>
      <c r="C364">
        <v>64</v>
      </c>
      <c r="D364" t="s">
        <v>37</v>
      </c>
      <c r="E364" s="2">
        <v>44919</v>
      </c>
      <c r="F364" t="str">
        <f t="shared" si="10"/>
        <v>December</v>
      </c>
      <c r="G364">
        <f t="shared" si="11"/>
        <v>2022</v>
      </c>
    </row>
    <row r="365" spans="1:7" x14ac:dyDescent="0.3">
      <c r="A365">
        <v>364</v>
      </c>
      <c r="B365" t="s">
        <v>5</v>
      </c>
      <c r="C365">
        <v>19</v>
      </c>
      <c r="D365" t="s">
        <v>37</v>
      </c>
      <c r="E365" s="2">
        <v>44930</v>
      </c>
      <c r="F365" t="str">
        <f t="shared" si="10"/>
        <v>January</v>
      </c>
      <c r="G365">
        <f t="shared" si="11"/>
        <v>2023</v>
      </c>
    </row>
    <row r="366" spans="1:7" x14ac:dyDescent="0.3">
      <c r="A366">
        <v>365</v>
      </c>
      <c r="B366" t="s">
        <v>6</v>
      </c>
      <c r="C366">
        <v>31</v>
      </c>
      <c r="D366" t="s">
        <v>39</v>
      </c>
      <c r="E366" s="2">
        <v>44541</v>
      </c>
      <c r="F366" t="str">
        <f t="shared" si="10"/>
        <v>December</v>
      </c>
      <c r="G366">
        <f t="shared" si="11"/>
        <v>2021</v>
      </c>
    </row>
    <row r="367" spans="1:7" x14ac:dyDescent="0.3">
      <c r="A367">
        <v>366</v>
      </c>
      <c r="B367" t="s">
        <v>5</v>
      </c>
      <c r="C367">
        <v>57</v>
      </c>
      <c r="D367" t="s">
        <v>36</v>
      </c>
      <c r="E367" s="2">
        <v>43973</v>
      </c>
      <c r="F367" t="str">
        <f t="shared" si="10"/>
        <v>May</v>
      </c>
      <c r="G367">
        <f t="shared" si="11"/>
        <v>2020</v>
      </c>
    </row>
    <row r="368" spans="1:7" x14ac:dyDescent="0.3">
      <c r="A368">
        <v>367</v>
      </c>
      <c r="B368" t="s">
        <v>6</v>
      </c>
      <c r="C368">
        <v>57</v>
      </c>
      <c r="D368" t="s">
        <v>34</v>
      </c>
      <c r="E368" s="2">
        <v>44747</v>
      </c>
      <c r="F368" t="str">
        <f t="shared" si="10"/>
        <v>July</v>
      </c>
      <c r="G368">
        <f t="shared" si="11"/>
        <v>2022</v>
      </c>
    </row>
    <row r="369" spans="1:7" x14ac:dyDescent="0.3">
      <c r="A369">
        <v>368</v>
      </c>
      <c r="B369" t="s">
        <v>6</v>
      </c>
      <c r="C369">
        <v>56</v>
      </c>
      <c r="D369" t="s">
        <v>34</v>
      </c>
      <c r="E369" s="2">
        <v>44658</v>
      </c>
      <c r="F369" t="str">
        <f t="shared" si="10"/>
        <v>April</v>
      </c>
      <c r="G369">
        <f t="shared" si="11"/>
        <v>2022</v>
      </c>
    </row>
    <row r="370" spans="1:7" x14ac:dyDescent="0.3">
      <c r="A370">
        <v>369</v>
      </c>
      <c r="B370" t="s">
        <v>5</v>
      </c>
      <c r="C370">
        <v>23</v>
      </c>
      <c r="D370" t="s">
        <v>39</v>
      </c>
      <c r="E370" s="2">
        <v>44435</v>
      </c>
      <c r="F370" t="str">
        <f t="shared" si="10"/>
        <v>August</v>
      </c>
      <c r="G370">
        <f t="shared" si="11"/>
        <v>2021</v>
      </c>
    </row>
    <row r="371" spans="1:7" x14ac:dyDescent="0.3">
      <c r="A371">
        <v>370</v>
      </c>
      <c r="B371" t="s">
        <v>5</v>
      </c>
      <c r="C371">
        <v>23</v>
      </c>
      <c r="D371" t="s">
        <v>34</v>
      </c>
      <c r="E371" s="2">
        <v>44135</v>
      </c>
      <c r="F371" t="str">
        <f t="shared" si="10"/>
        <v>October</v>
      </c>
      <c r="G371">
        <f t="shared" si="11"/>
        <v>2020</v>
      </c>
    </row>
    <row r="372" spans="1:7" x14ac:dyDescent="0.3">
      <c r="A372">
        <v>371</v>
      </c>
      <c r="B372" t="s">
        <v>5</v>
      </c>
      <c r="C372">
        <v>20</v>
      </c>
      <c r="D372" t="s">
        <v>37</v>
      </c>
      <c r="E372" s="2">
        <v>44566</v>
      </c>
      <c r="F372" t="str">
        <f t="shared" si="10"/>
        <v>January</v>
      </c>
      <c r="G372">
        <f t="shared" si="11"/>
        <v>2022</v>
      </c>
    </row>
    <row r="373" spans="1:7" x14ac:dyDescent="0.3">
      <c r="A373">
        <v>372</v>
      </c>
      <c r="B373" t="s">
        <v>5</v>
      </c>
      <c r="C373">
        <v>24</v>
      </c>
      <c r="D373" t="s">
        <v>35</v>
      </c>
      <c r="E373" s="2">
        <v>44121</v>
      </c>
      <c r="F373" t="str">
        <f t="shared" si="10"/>
        <v>October</v>
      </c>
      <c r="G373">
        <f t="shared" si="11"/>
        <v>2020</v>
      </c>
    </row>
    <row r="374" spans="1:7" x14ac:dyDescent="0.3">
      <c r="A374">
        <v>373</v>
      </c>
      <c r="B374" t="s">
        <v>5</v>
      </c>
      <c r="C374">
        <v>25</v>
      </c>
      <c r="D374" t="s">
        <v>38</v>
      </c>
      <c r="E374" s="2">
        <v>43932</v>
      </c>
      <c r="F374" t="str">
        <f t="shared" si="10"/>
        <v>April</v>
      </c>
      <c r="G374">
        <f t="shared" si="11"/>
        <v>2020</v>
      </c>
    </row>
    <row r="375" spans="1:7" x14ac:dyDescent="0.3">
      <c r="A375">
        <v>374</v>
      </c>
      <c r="B375" t="s">
        <v>6</v>
      </c>
      <c r="C375">
        <v>59</v>
      </c>
      <c r="D375" t="s">
        <v>36</v>
      </c>
      <c r="E375" s="2">
        <v>44697</v>
      </c>
      <c r="F375" t="str">
        <f t="shared" si="10"/>
        <v>May</v>
      </c>
      <c r="G375">
        <f t="shared" si="11"/>
        <v>2022</v>
      </c>
    </row>
    <row r="376" spans="1:7" x14ac:dyDescent="0.3">
      <c r="A376">
        <v>375</v>
      </c>
      <c r="B376" t="s">
        <v>5</v>
      </c>
      <c r="C376">
        <v>32</v>
      </c>
      <c r="D376" t="s">
        <v>36</v>
      </c>
      <c r="E376" s="2">
        <v>44798</v>
      </c>
      <c r="F376" t="str">
        <f t="shared" si="10"/>
        <v>August</v>
      </c>
      <c r="G376">
        <f t="shared" si="11"/>
        <v>2022</v>
      </c>
    </row>
    <row r="377" spans="1:7" x14ac:dyDescent="0.3">
      <c r="A377">
        <v>376</v>
      </c>
      <c r="B377" t="s">
        <v>5</v>
      </c>
      <c r="C377">
        <v>64</v>
      </c>
      <c r="D377" t="s">
        <v>39</v>
      </c>
      <c r="E377" s="2">
        <v>44804</v>
      </c>
      <c r="F377" t="str">
        <f t="shared" si="10"/>
        <v>August</v>
      </c>
      <c r="G377">
        <f t="shared" si="11"/>
        <v>2022</v>
      </c>
    </row>
    <row r="378" spans="1:7" x14ac:dyDescent="0.3">
      <c r="A378">
        <v>377</v>
      </c>
      <c r="B378" t="s">
        <v>6</v>
      </c>
      <c r="C378">
        <v>46</v>
      </c>
      <c r="D378" t="s">
        <v>36</v>
      </c>
      <c r="E378" s="2">
        <v>44672</v>
      </c>
      <c r="F378" t="str">
        <f t="shared" si="10"/>
        <v>April</v>
      </c>
      <c r="G378">
        <f t="shared" si="11"/>
        <v>2022</v>
      </c>
    </row>
    <row r="379" spans="1:7" x14ac:dyDescent="0.3">
      <c r="A379">
        <v>378</v>
      </c>
      <c r="B379" t="s">
        <v>5</v>
      </c>
      <c r="C379">
        <v>50</v>
      </c>
      <c r="D379" t="s">
        <v>37</v>
      </c>
      <c r="E379" s="2">
        <v>44792</v>
      </c>
      <c r="F379" t="str">
        <f t="shared" si="10"/>
        <v>August</v>
      </c>
      <c r="G379">
        <f t="shared" si="11"/>
        <v>2022</v>
      </c>
    </row>
    <row r="380" spans="1:7" x14ac:dyDescent="0.3">
      <c r="A380">
        <v>379</v>
      </c>
      <c r="B380" t="s">
        <v>6</v>
      </c>
      <c r="C380">
        <v>47</v>
      </c>
      <c r="D380" t="s">
        <v>34</v>
      </c>
      <c r="E380" s="2">
        <v>44772</v>
      </c>
      <c r="F380" t="str">
        <f t="shared" si="10"/>
        <v>July</v>
      </c>
      <c r="G380">
        <f t="shared" si="11"/>
        <v>2022</v>
      </c>
    </row>
    <row r="381" spans="1:7" x14ac:dyDescent="0.3">
      <c r="A381">
        <v>380</v>
      </c>
      <c r="B381" t="s">
        <v>5</v>
      </c>
      <c r="C381">
        <v>56</v>
      </c>
      <c r="D381" t="s">
        <v>37</v>
      </c>
      <c r="E381" s="2">
        <v>44857</v>
      </c>
      <c r="F381" t="str">
        <f t="shared" si="10"/>
        <v>October</v>
      </c>
      <c r="G381">
        <f t="shared" si="11"/>
        <v>2022</v>
      </c>
    </row>
    <row r="382" spans="1:7" x14ac:dyDescent="0.3">
      <c r="A382">
        <v>381</v>
      </c>
      <c r="B382" t="s">
        <v>5</v>
      </c>
      <c r="C382">
        <v>44</v>
      </c>
      <c r="D382" t="s">
        <v>39</v>
      </c>
      <c r="E382" s="2">
        <v>43915</v>
      </c>
      <c r="F382" t="str">
        <f t="shared" si="10"/>
        <v>March</v>
      </c>
      <c r="G382">
        <f t="shared" si="11"/>
        <v>2020</v>
      </c>
    </row>
    <row r="383" spans="1:7" x14ac:dyDescent="0.3">
      <c r="A383">
        <v>382</v>
      </c>
      <c r="B383" t="s">
        <v>6</v>
      </c>
      <c r="C383">
        <v>53</v>
      </c>
      <c r="D383" t="s">
        <v>37</v>
      </c>
      <c r="E383" s="2">
        <v>44158</v>
      </c>
      <c r="F383" t="str">
        <f t="shared" si="10"/>
        <v>November</v>
      </c>
      <c r="G383">
        <f t="shared" si="11"/>
        <v>2020</v>
      </c>
    </row>
    <row r="384" spans="1:7" x14ac:dyDescent="0.3">
      <c r="A384">
        <v>383</v>
      </c>
      <c r="B384" t="s">
        <v>5</v>
      </c>
      <c r="C384">
        <v>46</v>
      </c>
      <c r="D384" t="s">
        <v>34</v>
      </c>
      <c r="E384" s="2">
        <v>44646</v>
      </c>
      <c r="F384" t="str">
        <f t="shared" si="10"/>
        <v>March</v>
      </c>
      <c r="G384">
        <f t="shared" si="11"/>
        <v>2022</v>
      </c>
    </row>
    <row r="385" spans="1:7" x14ac:dyDescent="0.3">
      <c r="A385">
        <v>384</v>
      </c>
      <c r="B385" t="s">
        <v>6</v>
      </c>
      <c r="C385">
        <v>55</v>
      </c>
      <c r="D385" t="s">
        <v>35</v>
      </c>
      <c r="E385" s="2">
        <v>44284</v>
      </c>
      <c r="F385" t="str">
        <f t="shared" si="10"/>
        <v>March</v>
      </c>
      <c r="G385">
        <f t="shared" si="11"/>
        <v>2021</v>
      </c>
    </row>
    <row r="386" spans="1:7" x14ac:dyDescent="0.3">
      <c r="A386">
        <v>385</v>
      </c>
      <c r="B386" t="s">
        <v>6</v>
      </c>
      <c r="C386">
        <v>50</v>
      </c>
      <c r="D386" t="s">
        <v>39</v>
      </c>
      <c r="E386" s="2">
        <v>44459</v>
      </c>
      <c r="F386" t="str">
        <f t="shared" ref="F386:F449" si="12">TEXT(E386,"mmmm")</f>
        <v>September</v>
      </c>
      <c r="G386">
        <f t="shared" si="11"/>
        <v>2021</v>
      </c>
    </row>
    <row r="387" spans="1:7" x14ac:dyDescent="0.3">
      <c r="A387">
        <v>386</v>
      </c>
      <c r="B387" t="s">
        <v>6</v>
      </c>
      <c r="C387">
        <v>54</v>
      </c>
      <c r="D387" t="s">
        <v>35</v>
      </c>
      <c r="E387" s="2">
        <v>45008</v>
      </c>
      <c r="F387" t="str">
        <f t="shared" si="12"/>
        <v>March</v>
      </c>
      <c r="G387">
        <f t="shared" ref="G387:G450" si="13">YEAR(E387)</f>
        <v>2023</v>
      </c>
    </row>
    <row r="388" spans="1:7" x14ac:dyDescent="0.3">
      <c r="A388">
        <v>387</v>
      </c>
      <c r="B388" t="s">
        <v>5</v>
      </c>
      <c r="C388">
        <v>44</v>
      </c>
      <c r="D388" t="s">
        <v>38</v>
      </c>
      <c r="E388" s="2">
        <v>44495</v>
      </c>
      <c r="F388" t="str">
        <f t="shared" si="12"/>
        <v>October</v>
      </c>
      <c r="G388">
        <f t="shared" si="13"/>
        <v>2021</v>
      </c>
    </row>
    <row r="389" spans="1:7" x14ac:dyDescent="0.3">
      <c r="A389">
        <v>388</v>
      </c>
      <c r="B389" t="s">
        <v>5</v>
      </c>
      <c r="C389">
        <v>50</v>
      </c>
      <c r="D389" t="s">
        <v>35</v>
      </c>
      <c r="E389" s="2">
        <v>43842</v>
      </c>
      <c r="F389" t="str">
        <f t="shared" si="12"/>
        <v>January</v>
      </c>
      <c r="G389">
        <f t="shared" si="13"/>
        <v>2020</v>
      </c>
    </row>
    <row r="390" spans="1:7" x14ac:dyDescent="0.3">
      <c r="A390">
        <v>389</v>
      </c>
      <c r="B390" t="s">
        <v>6</v>
      </c>
      <c r="C390">
        <v>21</v>
      </c>
      <c r="D390" t="s">
        <v>38</v>
      </c>
      <c r="E390" s="2">
        <v>44987</v>
      </c>
      <c r="F390" t="str">
        <f t="shared" si="12"/>
        <v>March</v>
      </c>
      <c r="G390">
        <f t="shared" si="13"/>
        <v>2023</v>
      </c>
    </row>
    <row r="391" spans="1:7" x14ac:dyDescent="0.3">
      <c r="A391">
        <v>390</v>
      </c>
      <c r="B391" t="s">
        <v>6</v>
      </c>
      <c r="C391">
        <v>39</v>
      </c>
      <c r="D391" t="s">
        <v>38</v>
      </c>
      <c r="E391" s="2">
        <v>44134</v>
      </c>
      <c r="F391" t="str">
        <f t="shared" si="12"/>
        <v>October</v>
      </c>
      <c r="G391">
        <f t="shared" si="13"/>
        <v>2020</v>
      </c>
    </row>
    <row r="392" spans="1:7" x14ac:dyDescent="0.3">
      <c r="A392">
        <v>391</v>
      </c>
      <c r="B392" t="s">
        <v>6</v>
      </c>
      <c r="C392">
        <v>19</v>
      </c>
      <c r="D392" t="s">
        <v>35</v>
      </c>
      <c r="E392" s="2">
        <v>44805</v>
      </c>
      <c r="F392" t="str">
        <f t="shared" si="12"/>
        <v>September</v>
      </c>
      <c r="G392">
        <f t="shared" si="13"/>
        <v>2022</v>
      </c>
    </row>
    <row r="393" spans="1:7" x14ac:dyDescent="0.3">
      <c r="A393">
        <v>392</v>
      </c>
      <c r="B393" t="s">
        <v>5</v>
      </c>
      <c r="C393">
        <v>27</v>
      </c>
      <c r="D393" t="s">
        <v>39</v>
      </c>
      <c r="E393" s="2">
        <v>44613</v>
      </c>
      <c r="F393" t="str">
        <f t="shared" si="12"/>
        <v>February</v>
      </c>
      <c r="G393">
        <f t="shared" si="13"/>
        <v>2022</v>
      </c>
    </row>
    <row r="394" spans="1:7" x14ac:dyDescent="0.3">
      <c r="A394">
        <v>393</v>
      </c>
      <c r="B394" t="s">
        <v>5</v>
      </c>
      <c r="C394">
        <v>22</v>
      </c>
      <c r="D394" t="s">
        <v>34</v>
      </c>
      <c r="E394" s="2">
        <v>43873</v>
      </c>
      <c r="F394" t="str">
        <f t="shared" si="12"/>
        <v>February</v>
      </c>
      <c r="G394">
        <f t="shared" si="13"/>
        <v>2020</v>
      </c>
    </row>
    <row r="395" spans="1:7" x14ac:dyDescent="0.3">
      <c r="A395">
        <v>394</v>
      </c>
      <c r="B395" t="s">
        <v>6</v>
      </c>
      <c r="C395">
        <v>27</v>
      </c>
      <c r="D395" t="s">
        <v>37</v>
      </c>
      <c r="E395" s="2">
        <v>44774</v>
      </c>
      <c r="F395" t="str">
        <f t="shared" si="12"/>
        <v>August</v>
      </c>
      <c r="G395">
        <f t="shared" si="13"/>
        <v>2022</v>
      </c>
    </row>
    <row r="396" spans="1:7" x14ac:dyDescent="0.3">
      <c r="A396">
        <v>395</v>
      </c>
      <c r="B396" t="s">
        <v>5</v>
      </c>
      <c r="C396">
        <v>50</v>
      </c>
      <c r="D396" t="s">
        <v>37</v>
      </c>
      <c r="E396" s="2">
        <v>44173</v>
      </c>
      <c r="F396" t="str">
        <f t="shared" si="12"/>
        <v>December</v>
      </c>
      <c r="G396">
        <f t="shared" si="13"/>
        <v>2020</v>
      </c>
    </row>
    <row r="397" spans="1:7" x14ac:dyDescent="0.3">
      <c r="A397">
        <v>396</v>
      </c>
      <c r="B397" t="s">
        <v>6</v>
      </c>
      <c r="C397">
        <v>55</v>
      </c>
      <c r="D397" t="s">
        <v>34</v>
      </c>
      <c r="E397" s="2">
        <v>44328</v>
      </c>
      <c r="F397" t="str">
        <f t="shared" si="12"/>
        <v>May</v>
      </c>
      <c r="G397">
        <f t="shared" si="13"/>
        <v>2021</v>
      </c>
    </row>
    <row r="398" spans="1:7" x14ac:dyDescent="0.3">
      <c r="A398">
        <v>397</v>
      </c>
      <c r="B398" t="s">
        <v>6</v>
      </c>
      <c r="C398">
        <v>30</v>
      </c>
      <c r="D398" t="s">
        <v>38</v>
      </c>
      <c r="E398" s="2">
        <v>44194</v>
      </c>
      <c r="F398" t="str">
        <f t="shared" si="12"/>
        <v>December</v>
      </c>
      <c r="G398">
        <f t="shared" si="13"/>
        <v>2020</v>
      </c>
    </row>
    <row r="399" spans="1:7" x14ac:dyDescent="0.3">
      <c r="A399">
        <v>398</v>
      </c>
      <c r="B399" t="s">
        <v>5</v>
      </c>
      <c r="C399">
        <v>48</v>
      </c>
      <c r="D399" t="s">
        <v>38</v>
      </c>
      <c r="E399" s="2">
        <v>44721</v>
      </c>
      <c r="F399" t="str">
        <f t="shared" si="12"/>
        <v>June</v>
      </c>
      <c r="G399">
        <f t="shared" si="13"/>
        <v>2022</v>
      </c>
    </row>
    <row r="400" spans="1:7" x14ac:dyDescent="0.3">
      <c r="A400">
        <v>399</v>
      </c>
      <c r="B400" t="s">
        <v>6</v>
      </c>
      <c r="C400">
        <v>64</v>
      </c>
      <c r="D400" t="s">
        <v>39</v>
      </c>
      <c r="E400" s="2">
        <v>44257</v>
      </c>
      <c r="F400" t="str">
        <f t="shared" si="12"/>
        <v>March</v>
      </c>
      <c r="G400">
        <f t="shared" si="13"/>
        <v>2021</v>
      </c>
    </row>
    <row r="401" spans="1:7" x14ac:dyDescent="0.3">
      <c r="A401">
        <v>400</v>
      </c>
      <c r="B401" t="s">
        <v>6</v>
      </c>
      <c r="C401">
        <v>53</v>
      </c>
      <c r="D401" t="s">
        <v>36</v>
      </c>
      <c r="E401" s="2">
        <v>44835</v>
      </c>
      <c r="F401" t="str">
        <f t="shared" si="12"/>
        <v>October</v>
      </c>
      <c r="G401">
        <f t="shared" si="13"/>
        <v>2022</v>
      </c>
    </row>
    <row r="402" spans="1:7" x14ac:dyDescent="0.3">
      <c r="A402">
        <v>401</v>
      </c>
      <c r="B402" t="s">
        <v>5</v>
      </c>
      <c r="C402">
        <v>62</v>
      </c>
      <c r="D402" t="s">
        <v>35</v>
      </c>
      <c r="E402" s="2">
        <v>43851</v>
      </c>
      <c r="F402" t="str">
        <f t="shared" si="12"/>
        <v>January</v>
      </c>
      <c r="G402">
        <f t="shared" si="13"/>
        <v>2020</v>
      </c>
    </row>
    <row r="403" spans="1:7" x14ac:dyDescent="0.3">
      <c r="A403">
        <v>402</v>
      </c>
      <c r="B403" t="s">
        <v>6</v>
      </c>
      <c r="C403">
        <v>41</v>
      </c>
      <c r="D403" t="s">
        <v>38</v>
      </c>
      <c r="E403" s="2">
        <v>44237</v>
      </c>
      <c r="F403" t="str">
        <f t="shared" si="12"/>
        <v>February</v>
      </c>
      <c r="G403">
        <f t="shared" si="13"/>
        <v>2021</v>
      </c>
    </row>
    <row r="404" spans="1:7" x14ac:dyDescent="0.3">
      <c r="A404">
        <v>403</v>
      </c>
      <c r="B404" t="s">
        <v>5</v>
      </c>
      <c r="C404">
        <v>32</v>
      </c>
      <c r="D404" t="s">
        <v>37</v>
      </c>
      <c r="E404" s="2">
        <v>44449</v>
      </c>
      <c r="F404" t="str">
        <f t="shared" si="12"/>
        <v>September</v>
      </c>
      <c r="G404">
        <f t="shared" si="13"/>
        <v>2021</v>
      </c>
    </row>
    <row r="405" spans="1:7" x14ac:dyDescent="0.3">
      <c r="A405">
        <v>404</v>
      </c>
      <c r="B405" t="s">
        <v>6</v>
      </c>
      <c r="C405">
        <v>46</v>
      </c>
      <c r="D405" t="s">
        <v>39</v>
      </c>
      <c r="E405" s="2">
        <v>44845</v>
      </c>
      <c r="F405" t="str">
        <f t="shared" si="12"/>
        <v>October</v>
      </c>
      <c r="G405">
        <f t="shared" si="13"/>
        <v>2022</v>
      </c>
    </row>
    <row r="406" spans="1:7" x14ac:dyDescent="0.3">
      <c r="A406">
        <v>405</v>
      </c>
      <c r="B406" t="s">
        <v>5</v>
      </c>
      <c r="C406">
        <v>25</v>
      </c>
      <c r="D406" t="s">
        <v>35</v>
      </c>
      <c r="E406" s="2">
        <v>44166</v>
      </c>
      <c r="F406" t="str">
        <f t="shared" si="12"/>
        <v>December</v>
      </c>
      <c r="G406">
        <f t="shared" si="13"/>
        <v>2020</v>
      </c>
    </row>
    <row r="407" spans="1:7" x14ac:dyDescent="0.3">
      <c r="A407">
        <v>406</v>
      </c>
      <c r="B407" t="s">
        <v>6</v>
      </c>
      <c r="C407">
        <v>22</v>
      </c>
      <c r="D407" t="s">
        <v>39</v>
      </c>
      <c r="E407" s="2">
        <v>44971</v>
      </c>
      <c r="F407" t="str">
        <f t="shared" si="12"/>
        <v>February</v>
      </c>
      <c r="G407">
        <f t="shared" si="13"/>
        <v>2023</v>
      </c>
    </row>
    <row r="408" spans="1:7" x14ac:dyDescent="0.3">
      <c r="A408">
        <v>407</v>
      </c>
      <c r="B408" t="s">
        <v>5</v>
      </c>
      <c r="C408">
        <v>46</v>
      </c>
      <c r="D408" t="s">
        <v>35</v>
      </c>
      <c r="E408" s="2">
        <v>44978</v>
      </c>
      <c r="F408" t="str">
        <f t="shared" si="12"/>
        <v>February</v>
      </c>
      <c r="G408">
        <f t="shared" si="13"/>
        <v>2023</v>
      </c>
    </row>
    <row r="409" spans="1:7" x14ac:dyDescent="0.3">
      <c r="A409">
        <v>408</v>
      </c>
      <c r="B409" t="s">
        <v>5</v>
      </c>
      <c r="C409">
        <v>64</v>
      </c>
      <c r="D409" t="s">
        <v>35</v>
      </c>
      <c r="E409" s="2">
        <v>44229</v>
      </c>
      <c r="F409" t="str">
        <f t="shared" si="12"/>
        <v>February</v>
      </c>
      <c r="G409">
        <f t="shared" si="13"/>
        <v>2021</v>
      </c>
    </row>
    <row r="410" spans="1:7" x14ac:dyDescent="0.3">
      <c r="A410">
        <v>409</v>
      </c>
      <c r="B410" t="s">
        <v>6</v>
      </c>
      <c r="C410">
        <v>21</v>
      </c>
      <c r="D410" t="s">
        <v>34</v>
      </c>
      <c r="E410" s="2">
        <v>44623</v>
      </c>
      <c r="F410" t="str">
        <f t="shared" si="12"/>
        <v>March</v>
      </c>
      <c r="G410">
        <f t="shared" si="13"/>
        <v>2022</v>
      </c>
    </row>
    <row r="411" spans="1:7" x14ac:dyDescent="0.3">
      <c r="A411">
        <v>410</v>
      </c>
      <c r="B411" t="s">
        <v>5</v>
      </c>
      <c r="C411">
        <v>29</v>
      </c>
      <c r="D411" t="s">
        <v>38</v>
      </c>
      <c r="E411" s="2">
        <v>44545</v>
      </c>
      <c r="F411" t="str">
        <f t="shared" si="12"/>
        <v>December</v>
      </c>
      <c r="G411">
        <f t="shared" si="13"/>
        <v>2021</v>
      </c>
    </row>
    <row r="412" spans="1:7" x14ac:dyDescent="0.3">
      <c r="A412">
        <v>411</v>
      </c>
      <c r="B412" t="s">
        <v>5</v>
      </c>
      <c r="C412">
        <v>62</v>
      </c>
      <c r="D412" t="s">
        <v>39</v>
      </c>
      <c r="E412" s="2">
        <v>43881</v>
      </c>
      <c r="F412" t="str">
        <f t="shared" si="12"/>
        <v>February</v>
      </c>
      <c r="G412">
        <f t="shared" si="13"/>
        <v>2020</v>
      </c>
    </row>
    <row r="413" spans="1:7" x14ac:dyDescent="0.3">
      <c r="A413">
        <v>412</v>
      </c>
      <c r="B413" t="s">
        <v>6</v>
      </c>
      <c r="C413">
        <v>19</v>
      </c>
      <c r="D413" t="s">
        <v>39</v>
      </c>
      <c r="E413" s="2">
        <v>44154</v>
      </c>
      <c r="F413" t="str">
        <f t="shared" si="12"/>
        <v>November</v>
      </c>
      <c r="G413">
        <f t="shared" si="13"/>
        <v>2020</v>
      </c>
    </row>
    <row r="414" spans="1:7" x14ac:dyDescent="0.3">
      <c r="A414">
        <v>413</v>
      </c>
      <c r="B414" t="s">
        <v>6</v>
      </c>
      <c r="C414">
        <v>44</v>
      </c>
      <c r="D414" t="s">
        <v>34</v>
      </c>
      <c r="E414" s="2">
        <v>44619</v>
      </c>
      <c r="F414" t="str">
        <f t="shared" si="12"/>
        <v>February</v>
      </c>
      <c r="G414">
        <f t="shared" si="13"/>
        <v>2022</v>
      </c>
    </row>
    <row r="415" spans="1:7" x14ac:dyDescent="0.3">
      <c r="A415">
        <v>414</v>
      </c>
      <c r="B415" t="s">
        <v>5</v>
      </c>
      <c r="C415">
        <v>48</v>
      </c>
      <c r="D415" t="s">
        <v>37</v>
      </c>
      <c r="E415" s="2">
        <v>43971</v>
      </c>
      <c r="F415" t="str">
        <f t="shared" si="12"/>
        <v>May</v>
      </c>
      <c r="G415">
        <f t="shared" si="13"/>
        <v>2020</v>
      </c>
    </row>
    <row r="416" spans="1:7" x14ac:dyDescent="0.3">
      <c r="A416">
        <v>415</v>
      </c>
      <c r="B416" t="s">
        <v>5</v>
      </c>
      <c r="C416">
        <v>53</v>
      </c>
      <c r="D416" t="s">
        <v>37</v>
      </c>
      <c r="E416" s="2">
        <v>44300</v>
      </c>
      <c r="F416" t="str">
        <f t="shared" si="12"/>
        <v>April</v>
      </c>
      <c r="G416">
        <f t="shared" si="13"/>
        <v>2021</v>
      </c>
    </row>
    <row r="417" spans="1:7" x14ac:dyDescent="0.3">
      <c r="A417">
        <v>416</v>
      </c>
      <c r="B417" t="s">
        <v>5</v>
      </c>
      <c r="C417">
        <v>53</v>
      </c>
      <c r="D417" t="s">
        <v>38</v>
      </c>
      <c r="E417" s="2">
        <v>44617</v>
      </c>
      <c r="F417" t="str">
        <f t="shared" si="12"/>
        <v>February</v>
      </c>
      <c r="G417">
        <f t="shared" si="13"/>
        <v>2022</v>
      </c>
    </row>
    <row r="418" spans="1:7" x14ac:dyDescent="0.3">
      <c r="A418">
        <v>417</v>
      </c>
      <c r="B418" t="s">
        <v>5</v>
      </c>
      <c r="C418">
        <v>43</v>
      </c>
      <c r="D418" t="s">
        <v>38</v>
      </c>
      <c r="E418" s="2">
        <v>44794</v>
      </c>
      <c r="F418" t="str">
        <f t="shared" si="12"/>
        <v>August</v>
      </c>
      <c r="G418">
        <f t="shared" si="13"/>
        <v>2022</v>
      </c>
    </row>
    <row r="419" spans="1:7" x14ac:dyDescent="0.3">
      <c r="A419">
        <v>418</v>
      </c>
      <c r="B419" t="s">
        <v>5</v>
      </c>
      <c r="C419">
        <v>60</v>
      </c>
      <c r="D419" t="s">
        <v>36</v>
      </c>
      <c r="E419" s="2">
        <v>44838</v>
      </c>
      <c r="F419" t="str">
        <f t="shared" si="12"/>
        <v>October</v>
      </c>
      <c r="G419">
        <f t="shared" si="13"/>
        <v>2022</v>
      </c>
    </row>
    <row r="420" spans="1:7" x14ac:dyDescent="0.3">
      <c r="A420">
        <v>419</v>
      </c>
      <c r="B420" t="s">
        <v>6</v>
      </c>
      <c r="C420">
        <v>44</v>
      </c>
      <c r="D420" t="s">
        <v>34</v>
      </c>
      <c r="E420" s="2">
        <v>44203</v>
      </c>
      <c r="F420" t="str">
        <f t="shared" si="12"/>
        <v>January</v>
      </c>
      <c r="G420">
        <f t="shared" si="13"/>
        <v>2021</v>
      </c>
    </row>
    <row r="421" spans="1:7" x14ac:dyDescent="0.3">
      <c r="A421">
        <v>420</v>
      </c>
      <c r="B421" t="s">
        <v>6</v>
      </c>
      <c r="C421">
        <v>22</v>
      </c>
      <c r="D421" t="s">
        <v>37</v>
      </c>
      <c r="E421" s="2">
        <v>44324</v>
      </c>
      <c r="F421" t="str">
        <f t="shared" si="12"/>
        <v>May</v>
      </c>
      <c r="G421">
        <f t="shared" si="13"/>
        <v>2021</v>
      </c>
    </row>
    <row r="422" spans="1:7" x14ac:dyDescent="0.3">
      <c r="A422">
        <v>421</v>
      </c>
      <c r="B422" t="s">
        <v>6</v>
      </c>
      <c r="C422">
        <v>37</v>
      </c>
      <c r="D422" t="s">
        <v>35</v>
      </c>
      <c r="E422" s="2">
        <v>44581</v>
      </c>
      <c r="F422" t="str">
        <f t="shared" si="12"/>
        <v>January</v>
      </c>
      <c r="G422">
        <f t="shared" si="13"/>
        <v>2022</v>
      </c>
    </row>
    <row r="423" spans="1:7" x14ac:dyDescent="0.3">
      <c r="A423">
        <v>422</v>
      </c>
      <c r="B423" t="s">
        <v>6</v>
      </c>
      <c r="C423">
        <v>28</v>
      </c>
      <c r="D423" t="s">
        <v>39</v>
      </c>
      <c r="E423" s="2">
        <v>45010</v>
      </c>
      <c r="F423" t="str">
        <f t="shared" si="12"/>
        <v>March</v>
      </c>
      <c r="G423">
        <f t="shared" si="13"/>
        <v>2023</v>
      </c>
    </row>
    <row r="424" spans="1:7" x14ac:dyDescent="0.3">
      <c r="A424">
        <v>423</v>
      </c>
      <c r="B424" t="s">
        <v>5</v>
      </c>
      <c r="C424">
        <v>27</v>
      </c>
      <c r="D424" t="s">
        <v>38</v>
      </c>
      <c r="E424" s="2">
        <v>44121</v>
      </c>
      <c r="F424" t="str">
        <f t="shared" si="12"/>
        <v>October</v>
      </c>
      <c r="G424">
        <f t="shared" si="13"/>
        <v>2020</v>
      </c>
    </row>
    <row r="425" spans="1:7" x14ac:dyDescent="0.3">
      <c r="A425">
        <v>424</v>
      </c>
      <c r="B425" t="s">
        <v>5</v>
      </c>
      <c r="C425">
        <v>57</v>
      </c>
      <c r="D425" t="s">
        <v>39</v>
      </c>
      <c r="E425" s="2">
        <v>44998</v>
      </c>
      <c r="F425" t="str">
        <f t="shared" si="12"/>
        <v>March</v>
      </c>
      <c r="G425">
        <f t="shared" si="13"/>
        <v>2023</v>
      </c>
    </row>
    <row r="426" spans="1:7" x14ac:dyDescent="0.3">
      <c r="A426">
        <v>425</v>
      </c>
      <c r="B426" t="s">
        <v>5</v>
      </c>
      <c r="C426">
        <v>55</v>
      </c>
      <c r="D426" t="s">
        <v>39</v>
      </c>
      <c r="E426" s="2">
        <v>43936</v>
      </c>
      <c r="F426" t="str">
        <f t="shared" si="12"/>
        <v>April</v>
      </c>
      <c r="G426">
        <f t="shared" si="13"/>
        <v>2020</v>
      </c>
    </row>
    <row r="427" spans="1:7" x14ac:dyDescent="0.3">
      <c r="A427">
        <v>426</v>
      </c>
      <c r="B427" t="s">
        <v>5</v>
      </c>
      <c r="C427">
        <v>23</v>
      </c>
      <c r="D427" t="s">
        <v>36</v>
      </c>
      <c r="E427" s="2">
        <v>44500</v>
      </c>
      <c r="F427" t="str">
        <f t="shared" si="12"/>
        <v>October</v>
      </c>
      <c r="G427">
        <f t="shared" si="13"/>
        <v>2021</v>
      </c>
    </row>
    <row r="428" spans="1:7" x14ac:dyDescent="0.3">
      <c r="A428">
        <v>427</v>
      </c>
      <c r="B428" t="s">
        <v>5</v>
      </c>
      <c r="C428">
        <v>25</v>
      </c>
      <c r="D428" t="s">
        <v>37</v>
      </c>
      <c r="E428" s="2">
        <v>43832</v>
      </c>
      <c r="F428" t="str">
        <f t="shared" si="12"/>
        <v>January</v>
      </c>
      <c r="G428">
        <f t="shared" si="13"/>
        <v>2020</v>
      </c>
    </row>
    <row r="429" spans="1:7" x14ac:dyDescent="0.3">
      <c r="A429">
        <v>428</v>
      </c>
      <c r="B429" t="s">
        <v>6</v>
      </c>
      <c r="C429">
        <v>40</v>
      </c>
      <c r="D429" t="s">
        <v>38</v>
      </c>
      <c r="E429" s="2">
        <v>44419</v>
      </c>
      <c r="F429" t="str">
        <f t="shared" si="12"/>
        <v>August</v>
      </c>
      <c r="G429">
        <f t="shared" si="13"/>
        <v>2021</v>
      </c>
    </row>
    <row r="430" spans="1:7" x14ac:dyDescent="0.3">
      <c r="A430">
        <v>429</v>
      </c>
      <c r="B430" t="s">
        <v>5</v>
      </c>
      <c r="C430">
        <v>64</v>
      </c>
      <c r="D430" t="s">
        <v>39</v>
      </c>
      <c r="E430" s="2">
        <v>44474</v>
      </c>
      <c r="F430" t="str">
        <f t="shared" si="12"/>
        <v>October</v>
      </c>
      <c r="G430">
        <f t="shared" si="13"/>
        <v>2021</v>
      </c>
    </row>
    <row r="431" spans="1:7" x14ac:dyDescent="0.3">
      <c r="A431">
        <v>430</v>
      </c>
      <c r="B431" t="s">
        <v>5</v>
      </c>
      <c r="C431">
        <v>43</v>
      </c>
      <c r="D431" t="s">
        <v>38</v>
      </c>
      <c r="E431" s="2">
        <v>43920</v>
      </c>
      <c r="F431" t="str">
        <f t="shared" si="12"/>
        <v>March</v>
      </c>
      <c r="G431">
        <f t="shared" si="13"/>
        <v>2020</v>
      </c>
    </row>
    <row r="432" spans="1:7" x14ac:dyDescent="0.3">
      <c r="A432">
        <v>431</v>
      </c>
      <c r="B432" t="s">
        <v>5</v>
      </c>
      <c r="C432">
        <v>63</v>
      </c>
      <c r="D432" t="s">
        <v>35</v>
      </c>
      <c r="E432" s="2">
        <v>44180</v>
      </c>
      <c r="F432" t="str">
        <f t="shared" si="12"/>
        <v>December</v>
      </c>
      <c r="G432">
        <f t="shared" si="13"/>
        <v>2020</v>
      </c>
    </row>
    <row r="433" spans="1:7" x14ac:dyDescent="0.3">
      <c r="A433">
        <v>432</v>
      </c>
      <c r="B433" t="s">
        <v>6</v>
      </c>
      <c r="C433">
        <v>60</v>
      </c>
      <c r="D433" t="s">
        <v>36</v>
      </c>
      <c r="E433" s="2">
        <v>44962</v>
      </c>
      <c r="F433" t="str">
        <f t="shared" si="12"/>
        <v>February</v>
      </c>
      <c r="G433">
        <f t="shared" si="13"/>
        <v>2023</v>
      </c>
    </row>
    <row r="434" spans="1:7" x14ac:dyDescent="0.3">
      <c r="A434">
        <v>433</v>
      </c>
      <c r="B434" t="s">
        <v>5</v>
      </c>
      <c r="C434">
        <v>29</v>
      </c>
      <c r="D434" t="s">
        <v>35</v>
      </c>
      <c r="E434" s="2">
        <v>44893</v>
      </c>
      <c r="F434" t="str">
        <f t="shared" si="12"/>
        <v>November</v>
      </c>
      <c r="G434">
        <f t="shared" si="13"/>
        <v>2022</v>
      </c>
    </row>
    <row r="435" spans="1:7" x14ac:dyDescent="0.3">
      <c r="A435">
        <v>434</v>
      </c>
      <c r="B435" t="s">
        <v>5</v>
      </c>
      <c r="C435">
        <v>43</v>
      </c>
      <c r="D435" t="s">
        <v>38</v>
      </c>
      <c r="E435" s="2">
        <v>44739</v>
      </c>
      <c r="F435" t="str">
        <f t="shared" si="12"/>
        <v>June</v>
      </c>
      <c r="G435">
        <f t="shared" si="13"/>
        <v>2022</v>
      </c>
    </row>
    <row r="436" spans="1:7" x14ac:dyDescent="0.3">
      <c r="A436">
        <v>435</v>
      </c>
      <c r="B436" t="s">
        <v>5</v>
      </c>
      <c r="C436">
        <v>30</v>
      </c>
      <c r="D436" t="s">
        <v>38</v>
      </c>
      <c r="E436" s="2">
        <v>43989</v>
      </c>
      <c r="F436" t="str">
        <f t="shared" si="12"/>
        <v>June</v>
      </c>
      <c r="G436">
        <f t="shared" si="13"/>
        <v>2020</v>
      </c>
    </row>
    <row r="437" spans="1:7" x14ac:dyDescent="0.3">
      <c r="A437">
        <v>436</v>
      </c>
      <c r="B437" t="s">
        <v>6</v>
      </c>
      <c r="C437">
        <v>57</v>
      </c>
      <c r="D437" t="s">
        <v>37</v>
      </c>
      <c r="E437" s="2">
        <v>44789</v>
      </c>
      <c r="F437" t="str">
        <f t="shared" si="12"/>
        <v>August</v>
      </c>
      <c r="G437">
        <f t="shared" si="13"/>
        <v>2022</v>
      </c>
    </row>
    <row r="438" spans="1:7" x14ac:dyDescent="0.3">
      <c r="A438">
        <v>437</v>
      </c>
      <c r="B438" t="s">
        <v>5</v>
      </c>
      <c r="C438">
        <v>35</v>
      </c>
      <c r="D438" t="s">
        <v>39</v>
      </c>
      <c r="E438" s="2">
        <v>44142</v>
      </c>
      <c r="F438" t="str">
        <f t="shared" si="12"/>
        <v>November</v>
      </c>
      <c r="G438">
        <f t="shared" si="13"/>
        <v>2020</v>
      </c>
    </row>
    <row r="439" spans="1:7" x14ac:dyDescent="0.3">
      <c r="A439">
        <v>438</v>
      </c>
      <c r="B439" t="s">
        <v>6</v>
      </c>
      <c r="C439">
        <v>42</v>
      </c>
      <c r="D439" t="s">
        <v>39</v>
      </c>
      <c r="E439" s="2">
        <v>44275</v>
      </c>
      <c r="F439" t="str">
        <f t="shared" si="12"/>
        <v>March</v>
      </c>
      <c r="G439">
        <f t="shared" si="13"/>
        <v>2021</v>
      </c>
    </row>
    <row r="440" spans="1:7" x14ac:dyDescent="0.3">
      <c r="A440">
        <v>439</v>
      </c>
      <c r="B440" t="s">
        <v>6</v>
      </c>
      <c r="C440">
        <v>50</v>
      </c>
      <c r="D440" t="s">
        <v>35</v>
      </c>
      <c r="E440" s="2">
        <v>44128</v>
      </c>
      <c r="F440" t="str">
        <f t="shared" si="12"/>
        <v>October</v>
      </c>
      <c r="G440">
        <f t="shared" si="13"/>
        <v>2020</v>
      </c>
    </row>
    <row r="441" spans="1:7" x14ac:dyDescent="0.3">
      <c r="A441">
        <v>440</v>
      </c>
      <c r="B441" t="s">
        <v>5</v>
      </c>
      <c r="C441">
        <v>64</v>
      </c>
      <c r="D441" t="s">
        <v>36</v>
      </c>
      <c r="E441" s="2">
        <v>44782</v>
      </c>
      <c r="F441" t="str">
        <f t="shared" si="12"/>
        <v>August</v>
      </c>
      <c r="G441">
        <f t="shared" si="13"/>
        <v>2022</v>
      </c>
    </row>
    <row r="442" spans="1:7" x14ac:dyDescent="0.3">
      <c r="A442">
        <v>441</v>
      </c>
      <c r="B442" t="s">
        <v>5</v>
      </c>
      <c r="C442">
        <v>57</v>
      </c>
      <c r="D442" t="s">
        <v>34</v>
      </c>
      <c r="E442" s="2">
        <v>43866</v>
      </c>
      <c r="F442" t="str">
        <f t="shared" si="12"/>
        <v>February</v>
      </c>
      <c r="G442">
        <f t="shared" si="13"/>
        <v>2020</v>
      </c>
    </row>
    <row r="443" spans="1:7" x14ac:dyDescent="0.3">
      <c r="A443">
        <v>442</v>
      </c>
      <c r="B443" t="s">
        <v>6</v>
      </c>
      <c r="C443">
        <v>60</v>
      </c>
      <c r="D443" t="s">
        <v>39</v>
      </c>
      <c r="E443" s="2">
        <v>44938</v>
      </c>
      <c r="F443" t="str">
        <f t="shared" si="12"/>
        <v>January</v>
      </c>
      <c r="G443">
        <f t="shared" si="13"/>
        <v>2023</v>
      </c>
    </row>
    <row r="444" spans="1:7" x14ac:dyDescent="0.3">
      <c r="A444">
        <v>443</v>
      </c>
      <c r="B444" t="s">
        <v>5</v>
      </c>
      <c r="C444">
        <v>29</v>
      </c>
      <c r="D444" t="s">
        <v>37</v>
      </c>
      <c r="E444" s="2">
        <v>45026</v>
      </c>
      <c r="F444" t="str">
        <f t="shared" si="12"/>
        <v>April</v>
      </c>
      <c r="G444">
        <f t="shared" si="13"/>
        <v>2023</v>
      </c>
    </row>
    <row r="445" spans="1:7" x14ac:dyDescent="0.3">
      <c r="A445">
        <v>444</v>
      </c>
      <c r="B445" t="s">
        <v>5</v>
      </c>
      <c r="C445">
        <v>61</v>
      </c>
      <c r="D445" t="s">
        <v>35</v>
      </c>
      <c r="E445" s="2">
        <v>44389</v>
      </c>
      <c r="F445" t="str">
        <f t="shared" si="12"/>
        <v>July</v>
      </c>
      <c r="G445">
        <f t="shared" si="13"/>
        <v>2021</v>
      </c>
    </row>
    <row r="446" spans="1:7" x14ac:dyDescent="0.3">
      <c r="A446">
        <v>445</v>
      </c>
      <c r="B446" t="s">
        <v>6</v>
      </c>
      <c r="C446">
        <v>53</v>
      </c>
      <c r="D446" t="s">
        <v>35</v>
      </c>
      <c r="E446" s="2">
        <v>44721</v>
      </c>
      <c r="F446" t="str">
        <f t="shared" si="12"/>
        <v>June</v>
      </c>
      <c r="G446">
        <f t="shared" si="13"/>
        <v>2022</v>
      </c>
    </row>
    <row r="447" spans="1:7" x14ac:dyDescent="0.3">
      <c r="A447">
        <v>446</v>
      </c>
      <c r="B447" t="s">
        <v>6</v>
      </c>
      <c r="C447">
        <v>21</v>
      </c>
      <c r="D447" t="s">
        <v>34</v>
      </c>
      <c r="E447" s="2">
        <v>43971</v>
      </c>
      <c r="F447" t="str">
        <f t="shared" si="12"/>
        <v>May</v>
      </c>
      <c r="G447">
        <f t="shared" si="13"/>
        <v>2020</v>
      </c>
    </row>
    <row r="448" spans="1:7" x14ac:dyDescent="0.3">
      <c r="A448">
        <v>447</v>
      </c>
      <c r="B448" t="s">
        <v>6</v>
      </c>
      <c r="C448">
        <v>22</v>
      </c>
      <c r="D448" t="s">
        <v>37</v>
      </c>
      <c r="E448" s="2">
        <v>44717</v>
      </c>
      <c r="F448" t="str">
        <f t="shared" si="12"/>
        <v>June</v>
      </c>
      <c r="G448">
        <f t="shared" si="13"/>
        <v>2022</v>
      </c>
    </row>
    <row r="449" spans="1:7" x14ac:dyDescent="0.3">
      <c r="A449">
        <v>448</v>
      </c>
      <c r="B449" t="s">
        <v>6</v>
      </c>
      <c r="C449">
        <v>54</v>
      </c>
      <c r="D449" t="s">
        <v>36</v>
      </c>
      <c r="E449" s="2">
        <v>44972</v>
      </c>
      <c r="F449" t="str">
        <f t="shared" si="12"/>
        <v>February</v>
      </c>
      <c r="G449">
        <f t="shared" si="13"/>
        <v>2023</v>
      </c>
    </row>
    <row r="450" spans="1:7" x14ac:dyDescent="0.3">
      <c r="A450">
        <v>449</v>
      </c>
      <c r="B450" t="s">
        <v>5</v>
      </c>
      <c r="C450">
        <v>25</v>
      </c>
      <c r="D450" t="s">
        <v>37</v>
      </c>
      <c r="E450" s="2">
        <v>44556</v>
      </c>
      <c r="F450" t="str">
        <f t="shared" ref="F450:F513" si="14">TEXT(E450,"mmmm")</f>
        <v>December</v>
      </c>
      <c r="G450">
        <f t="shared" si="13"/>
        <v>2021</v>
      </c>
    </row>
    <row r="451" spans="1:7" x14ac:dyDescent="0.3">
      <c r="A451">
        <v>450</v>
      </c>
      <c r="B451" t="s">
        <v>5</v>
      </c>
      <c r="C451">
        <v>59</v>
      </c>
      <c r="D451" t="s">
        <v>36</v>
      </c>
      <c r="E451" s="2">
        <v>44880</v>
      </c>
      <c r="F451" t="str">
        <f t="shared" si="14"/>
        <v>November</v>
      </c>
      <c r="G451">
        <f t="shared" ref="G451:G501" si="15">YEAR(E451)</f>
        <v>2022</v>
      </c>
    </row>
    <row r="452" spans="1:7" x14ac:dyDescent="0.3">
      <c r="A452">
        <v>451</v>
      </c>
      <c r="B452" t="s">
        <v>6</v>
      </c>
      <c r="C452">
        <v>45</v>
      </c>
      <c r="D452" t="s">
        <v>37</v>
      </c>
      <c r="E452" s="2">
        <v>44351</v>
      </c>
      <c r="F452" t="str">
        <f t="shared" si="14"/>
        <v>June</v>
      </c>
      <c r="G452">
        <f t="shared" si="15"/>
        <v>2021</v>
      </c>
    </row>
    <row r="453" spans="1:7" x14ac:dyDescent="0.3">
      <c r="A453">
        <v>452</v>
      </c>
      <c r="B453" t="s">
        <v>5</v>
      </c>
      <c r="C453">
        <v>48</v>
      </c>
      <c r="D453" t="s">
        <v>37</v>
      </c>
      <c r="E453" s="2">
        <v>43840</v>
      </c>
      <c r="F453" t="str">
        <f t="shared" si="14"/>
        <v>January</v>
      </c>
      <c r="G453">
        <f t="shared" si="15"/>
        <v>2020</v>
      </c>
    </row>
    <row r="454" spans="1:7" x14ac:dyDescent="0.3">
      <c r="A454">
        <v>453</v>
      </c>
      <c r="B454" t="s">
        <v>5</v>
      </c>
      <c r="C454">
        <v>26</v>
      </c>
      <c r="D454" t="s">
        <v>38</v>
      </c>
      <c r="E454" s="2">
        <v>44814</v>
      </c>
      <c r="F454" t="str">
        <f t="shared" si="14"/>
        <v>September</v>
      </c>
      <c r="G454">
        <f t="shared" si="15"/>
        <v>2022</v>
      </c>
    </row>
    <row r="455" spans="1:7" x14ac:dyDescent="0.3">
      <c r="A455">
        <v>454</v>
      </c>
      <c r="B455" t="s">
        <v>6</v>
      </c>
      <c r="C455">
        <v>46</v>
      </c>
      <c r="D455" t="s">
        <v>35</v>
      </c>
      <c r="E455" s="2">
        <v>44208</v>
      </c>
      <c r="F455" t="str">
        <f t="shared" si="14"/>
        <v>January</v>
      </c>
      <c r="G455">
        <f t="shared" si="15"/>
        <v>2021</v>
      </c>
    </row>
    <row r="456" spans="1:7" x14ac:dyDescent="0.3">
      <c r="A456">
        <v>455</v>
      </c>
      <c r="B456" t="s">
        <v>5</v>
      </c>
      <c r="C456">
        <v>31</v>
      </c>
      <c r="D456" t="s">
        <v>37</v>
      </c>
      <c r="E456" s="2">
        <v>44512</v>
      </c>
      <c r="F456" t="str">
        <f t="shared" si="14"/>
        <v>November</v>
      </c>
      <c r="G456">
        <f t="shared" si="15"/>
        <v>2021</v>
      </c>
    </row>
    <row r="457" spans="1:7" x14ac:dyDescent="0.3">
      <c r="A457">
        <v>456</v>
      </c>
      <c r="B457" t="s">
        <v>5</v>
      </c>
      <c r="C457">
        <v>57</v>
      </c>
      <c r="D457" t="s">
        <v>34</v>
      </c>
      <c r="E457" s="2">
        <v>44414</v>
      </c>
      <c r="F457" t="str">
        <f t="shared" si="14"/>
        <v>August</v>
      </c>
      <c r="G457">
        <f t="shared" si="15"/>
        <v>2021</v>
      </c>
    </row>
    <row r="458" spans="1:7" x14ac:dyDescent="0.3">
      <c r="A458">
        <v>457</v>
      </c>
      <c r="B458" t="s">
        <v>5</v>
      </c>
      <c r="C458">
        <v>58</v>
      </c>
      <c r="D458" t="s">
        <v>37</v>
      </c>
      <c r="E458" s="2">
        <v>43982</v>
      </c>
      <c r="F458" t="str">
        <f t="shared" si="14"/>
        <v>May</v>
      </c>
      <c r="G458">
        <f t="shared" si="15"/>
        <v>2020</v>
      </c>
    </row>
    <row r="459" spans="1:7" x14ac:dyDescent="0.3">
      <c r="A459">
        <v>458</v>
      </c>
      <c r="B459" t="s">
        <v>5</v>
      </c>
      <c r="C459">
        <v>39</v>
      </c>
      <c r="D459" t="s">
        <v>39</v>
      </c>
      <c r="E459" s="2">
        <v>44550</v>
      </c>
      <c r="F459" t="str">
        <f t="shared" si="14"/>
        <v>December</v>
      </c>
      <c r="G459">
        <f t="shared" si="15"/>
        <v>2021</v>
      </c>
    </row>
    <row r="460" spans="1:7" x14ac:dyDescent="0.3">
      <c r="A460">
        <v>459</v>
      </c>
      <c r="B460" t="s">
        <v>5</v>
      </c>
      <c r="C460">
        <v>28</v>
      </c>
      <c r="D460" t="s">
        <v>35</v>
      </c>
      <c r="E460" s="2">
        <v>44903</v>
      </c>
      <c r="F460" t="str">
        <f t="shared" si="14"/>
        <v>December</v>
      </c>
      <c r="G460">
        <f t="shared" si="15"/>
        <v>2022</v>
      </c>
    </row>
    <row r="461" spans="1:7" x14ac:dyDescent="0.3">
      <c r="A461">
        <v>460</v>
      </c>
      <c r="B461" t="s">
        <v>5</v>
      </c>
      <c r="C461">
        <v>40</v>
      </c>
      <c r="D461" t="s">
        <v>39</v>
      </c>
      <c r="E461" s="2">
        <v>45008</v>
      </c>
      <c r="F461" t="str">
        <f t="shared" si="14"/>
        <v>March</v>
      </c>
      <c r="G461">
        <f t="shared" si="15"/>
        <v>2023</v>
      </c>
    </row>
    <row r="462" spans="1:7" x14ac:dyDescent="0.3">
      <c r="A462">
        <v>461</v>
      </c>
      <c r="B462" t="s">
        <v>5</v>
      </c>
      <c r="C462">
        <v>18</v>
      </c>
      <c r="D462" t="s">
        <v>35</v>
      </c>
      <c r="E462" s="2">
        <v>44689</v>
      </c>
      <c r="F462" t="str">
        <f t="shared" si="14"/>
        <v>May</v>
      </c>
      <c r="G462">
        <f t="shared" si="15"/>
        <v>2022</v>
      </c>
    </row>
    <row r="463" spans="1:7" x14ac:dyDescent="0.3">
      <c r="A463">
        <v>462</v>
      </c>
      <c r="B463" t="s">
        <v>5</v>
      </c>
      <c r="C463">
        <v>63</v>
      </c>
      <c r="D463" t="s">
        <v>39</v>
      </c>
      <c r="E463" s="2">
        <v>43880</v>
      </c>
      <c r="F463" t="str">
        <f t="shared" si="14"/>
        <v>February</v>
      </c>
      <c r="G463">
        <f t="shared" si="15"/>
        <v>2020</v>
      </c>
    </row>
    <row r="464" spans="1:7" x14ac:dyDescent="0.3">
      <c r="A464">
        <v>463</v>
      </c>
      <c r="B464" t="s">
        <v>6</v>
      </c>
      <c r="C464">
        <v>54</v>
      </c>
      <c r="D464" t="s">
        <v>37</v>
      </c>
      <c r="E464" s="2">
        <v>44494</v>
      </c>
      <c r="F464" t="str">
        <f t="shared" si="14"/>
        <v>October</v>
      </c>
      <c r="G464">
        <f t="shared" si="15"/>
        <v>2021</v>
      </c>
    </row>
    <row r="465" spans="1:7" x14ac:dyDescent="0.3">
      <c r="A465">
        <v>464</v>
      </c>
      <c r="B465" t="s">
        <v>5</v>
      </c>
      <c r="C465">
        <v>38</v>
      </c>
      <c r="D465" t="s">
        <v>37</v>
      </c>
      <c r="E465" s="2">
        <v>44361</v>
      </c>
      <c r="F465" t="str">
        <f t="shared" si="14"/>
        <v>June</v>
      </c>
      <c r="G465">
        <f t="shared" si="15"/>
        <v>2021</v>
      </c>
    </row>
    <row r="466" spans="1:7" x14ac:dyDescent="0.3">
      <c r="A466">
        <v>465</v>
      </c>
      <c r="B466" t="s">
        <v>6</v>
      </c>
      <c r="C466">
        <v>43</v>
      </c>
      <c r="D466" t="s">
        <v>38</v>
      </c>
      <c r="E466" s="2">
        <v>44914</v>
      </c>
      <c r="F466" t="str">
        <f t="shared" si="14"/>
        <v>December</v>
      </c>
      <c r="G466">
        <f t="shared" si="15"/>
        <v>2022</v>
      </c>
    </row>
    <row r="467" spans="1:7" x14ac:dyDescent="0.3">
      <c r="A467">
        <v>466</v>
      </c>
      <c r="B467" t="s">
        <v>5</v>
      </c>
      <c r="C467">
        <v>63</v>
      </c>
      <c r="D467" t="s">
        <v>34</v>
      </c>
      <c r="E467" s="2">
        <v>45021</v>
      </c>
      <c r="F467" t="str">
        <f t="shared" si="14"/>
        <v>April</v>
      </c>
      <c r="G467">
        <f t="shared" si="15"/>
        <v>2023</v>
      </c>
    </row>
    <row r="468" spans="1:7" x14ac:dyDescent="0.3">
      <c r="A468">
        <v>467</v>
      </c>
      <c r="B468" t="s">
        <v>5</v>
      </c>
      <c r="C468">
        <v>53</v>
      </c>
      <c r="D468" t="s">
        <v>39</v>
      </c>
      <c r="E468" s="2">
        <v>44687</v>
      </c>
      <c r="F468" t="str">
        <f t="shared" si="14"/>
        <v>May</v>
      </c>
      <c r="G468">
        <f t="shared" si="15"/>
        <v>2022</v>
      </c>
    </row>
    <row r="469" spans="1:7" x14ac:dyDescent="0.3">
      <c r="A469">
        <v>468</v>
      </c>
      <c r="B469" t="s">
        <v>6</v>
      </c>
      <c r="C469">
        <v>40</v>
      </c>
      <c r="D469" t="s">
        <v>36</v>
      </c>
      <c r="E469" s="2">
        <v>43976</v>
      </c>
      <c r="F469" t="str">
        <f t="shared" si="14"/>
        <v>May</v>
      </c>
      <c r="G469">
        <f t="shared" si="15"/>
        <v>2020</v>
      </c>
    </row>
    <row r="470" spans="1:7" x14ac:dyDescent="0.3">
      <c r="A470">
        <v>469</v>
      </c>
      <c r="B470" t="s">
        <v>5</v>
      </c>
      <c r="C470">
        <v>18</v>
      </c>
      <c r="D470" t="s">
        <v>38</v>
      </c>
      <c r="E470" s="2">
        <v>44745</v>
      </c>
      <c r="F470" t="str">
        <f t="shared" si="14"/>
        <v>July</v>
      </c>
      <c r="G470">
        <f t="shared" si="15"/>
        <v>2022</v>
      </c>
    </row>
    <row r="471" spans="1:7" x14ac:dyDescent="0.3">
      <c r="A471">
        <v>470</v>
      </c>
      <c r="B471" t="s">
        <v>6</v>
      </c>
      <c r="C471">
        <v>57</v>
      </c>
      <c r="D471" t="s">
        <v>39</v>
      </c>
      <c r="E471" s="2">
        <v>44823</v>
      </c>
      <c r="F471" t="str">
        <f t="shared" si="14"/>
        <v>September</v>
      </c>
      <c r="G471">
        <f t="shared" si="15"/>
        <v>2022</v>
      </c>
    </row>
    <row r="472" spans="1:7" x14ac:dyDescent="0.3">
      <c r="A472">
        <v>471</v>
      </c>
      <c r="B472" t="s">
        <v>5</v>
      </c>
      <c r="C472">
        <v>32</v>
      </c>
      <c r="D472" t="s">
        <v>39</v>
      </c>
      <c r="E472" s="2">
        <v>44072</v>
      </c>
      <c r="F472" t="str">
        <f t="shared" si="14"/>
        <v>August</v>
      </c>
      <c r="G472">
        <f t="shared" si="15"/>
        <v>2020</v>
      </c>
    </row>
    <row r="473" spans="1:7" x14ac:dyDescent="0.3">
      <c r="A473">
        <v>472</v>
      </c>
      <c r="B473" t="s">
        <v>6</v>
      </c>
      <c r="C473">
        <v>38</v>
      </c>
      <c r="D473" t="s">
        <v>38</v>
      </c>
      <c r="E473" s="2">
        <v>44411</v>
      </c>
      <c r="F473" t="str">
        <f t="shared" si="14"/>
        <v>August</v>
      </c>
      <c r="G473">
        <f t="shared" si="15"/>
        <v>2021</v>
      </c>
    </row>
    <row r="474" spans="1:7" x14ac:dyDescent="0.3">
      <c r="A474">
        <v>473</v>
      </c>
      <c r="B474" t="s">
        <v>5</v>
      </c>
      <c r="C474">
        <v>64</v>
      </c>
      <c r="D474" t="s">
        <v>37</v>
      </c>
      <c r="E474" s="2">
        <v>44517</v>
      </c>
      <c r="F474" t="str">
        <f t="shared" si="14"/>
        <v>November</v>
      </c>
      <c r="G474">
        <f t="shared" si="15"/>
        <v>2021</v>
      </c>
    </row>
    <row r="475" spans="1:7" x14ac:dyDescent="0.3">
      <c r="A475">
        <v>474</v>
      </c>
      <c r="B475" t="s">
        <v>6</v>
      </c>
      <c r="C475">
        <v>26</v>
      </c>
      <c r="D475" t="s">
        <v>39</v>
      </c>
      <c r="E475" s="2">
        <v>44313</v>
      </c>
      <c r="F475" t="str">
        <f t="shared" si="14"/>
        <v>April</v>
      </c>
      <c r="G475">
        <f t="shared" si="15"/>
        <v>2021</v>
      </c>
    </row>
    <row r="476" spans="1:7" x14ac:dyDescent="0.3">
      <c r="A476">
        <v>475</v>
      </c>
      <c r="B476" t="s">
        <v>5</v>
      </c>
      <c r="C476">
        <v>26</v>
      </c>
      <c r="D476" t="s">
        <v>37</v>
      </c>
      <c r="E476" s="2">
        <v>44962</v>
      </c>
      <c r="F476" t="str">
        <f t="shared" si="14"/>
        <v>February</v>
      </c>
      <c r="G476">
        <f t="shared" si="15"/>
        <v>2023</v>
      </c>
    </row>
    <row r="477" spans="1:7" x14ac:dyDescent="0.3">
      <c r="A477">
        <v>476</v>
      </c>
      <c r="B477" t="s">
        <v>6</v>
      </c>
      <c r="C477">
        <v>27</v>
      </c>
      <c r="D477" t="s">
        <v>38</v>
      </c>
      <c r="E477" s="2">
        <v>44503</v>
      </c>
      <c r="F477" t="str">
        <f t="shared" si="14"/>
        <v>November</v>
      </c>
      <c r="G477">
        <f t="shared" si="15"/>
        <v>2021</v>
      </c>
    </row>
    <row r="478" spans="1:7" x14ac:dyDescent="0.3">
      <c r="A478">
        <v>477</v>
      </c>
      <c r="B478" t="s">
        <v>5</v>
      </c>
      <c r="C478">
        <v>43</v>
      </c>
      <c r="D478" t="s">
        <v>37</v>
      </c>
      <c r="E478" s="2">
        <v>44461</v>
      </c>
      <c r="F478" t="str">
        <f t="shared" si="14"/>
        <v>September</v>
      </c>
      <c r="G478">
        <f t="shared" si="15"/>
        <v>2021</v>
      </c>
    </row>
    <row r="479" spans="1:7" x14ac:dyDescent="0.3">
      <c r="A479">
        <v>478</v>
      </c>
      <c r="B479" t="s">
        <v>5</v>
      </c>
      <c r="C479">
        <v>58</v>
      </c>
      <c r="D479" t="s">
        <v>35</v>
      </c>
      <c r="E479" s="2">
        <v>44491</v>
      </c>
      <c r="F479" t="str">
        <f t="shared" si="14"/>
        <v>October</v>
      </c>
      <c r="G479">
        <f t="shared" si="15"/>
        <v>2021</v>
      </c>
    </row>
    <row r="480" spans="1:7" x14ac:dyDescent="0.3">
      <c r="A480">
        <v>479</v>
      </c>
      <c r="B480" t="s">
        <v>6</v>
      </c>
      <c r="C480">
        <v>52</v>
      </c>
      <c r="D480" t="s">
        <v>36</v>
      </c>
      <c r="E480" s="2">
        <v>44492</v>
      </c>
      <c r="F480" t="str">
        <f t="shared" si="14"/>
        <v>October</v>
      </c>
      <c r="G480">
        <f t="shared" si="15"/>
        <v>2021</v>
      </c>
    </row>
    <row r="481" spans="1:7" x14ac:dyDescent="0.3">
      <c r="A481">
        <v>480</v>
      </c>
      <c r="B481" t="s">
        <v>5</v>
      </c>
      <c r="C481">
        <v>42</v>
      </c>
      <c r="D481" t="s">
        <v>39</v>
      </c>
      <c r="E481" s="2">
        <v>44635</v>
      </c>
      <c r="F481" t="str">
        <f t="shared" si="14"/>
        <v>March</v>
      </c>
      <c r="G481">
        <f t="shared" si="15"/>
        <v>2022</v>
      </c>
    </row>
    <row r="482" spans="1:7" x14ac:dyDescent="0.3">
      <c r="A482">
        <v>481</v>
      </c>
      <c r="B482" t="s">
        <v>5</v>
      </c>
      <c r="C482">
        <v>43</v>
      </c>
      <c r="D482" t="s">
        <v>34</v>
      </c>
      <c r="E482" s="2">
        <v>44249</v>
      </c>
      <c r="F482" t="str">
        <f t="shared" si="14"/>
        <v>February</v>
      </c>
      <c r="G482">
        <f t="shared" si="15"/>
        <v>2021</v>
      </c>
    </row>
    <row r="483" spans="1:7" x14ac:dyDescent="0.3">
      <c r="A483">
        <v>482</v>
      </c>
      <c r="B483" t="s">
        <v>6</v>
      </c>
      <c r="C483">
        <v>28</v>
      </c>
      <c r="D483" t="s">
        <v>36</v>
      </c>
      <c r="E483" s="2">
        <v>44818</v>
      </c>
      <c r="F483" t="str">
        <f t="shared" si="14"/>
        <v>September</v>
      </c>
      <c r="G483">
        <f t="shared" si="15"/>
        <v>2022</v>
      </c>
    </row>
    <row r="484" spans="1:7" x14ac:dyDescent="0.3">
      <c r="A484">
        <v>483</v>
      </c>
      <c r="B484" t="s">
        <v>5</v>
      </c>
      <c r="C484">
        <v>55</v>
      </c>
      <c r="D484" t="s">
        <v>37</v>
      </c>
      <c r="E484" s="2">
        <v>45014</v>
      </c>
      <c r="F484" t="str">
        <f t="shared" si="14"/>
        <v>March</v>
      </c>
      <c r="G484">
        <f t="shared" si="15"/>
        <v>2023</v>
      </c>
    </row>
    <row r="485" spans="1:7" x14ac:dyDescent="0.3">
      <c r="A485">
        <v>484</v>
      </c>
      <c r="B485" t="s">
        <v>5</v>
      </c>
      <c r="C485">
        <v>19</v>
      </c>
      <c r="D485" t="s">
        <v>39</v>
      </c>
      <c r="E485" s="2">
        <v>44480</v>
      </c>
      <c r="F485" t="str">
        <f t="shared" si="14"/>
        <v>October</v>
      </c>
      <c r="G485">
        <f t="shared" si="15"/>
        <v>2021</v>
      </c>
    </row>
    <row r="486" spans="1:7" x14ac:dyDescent="0.3">
      <c r="A486">
        <v>485</v>
      </c>
      <c r="B486" t="s">
        <v>5</v>
      </c>
      <c r="C486">
        <v>24</v>
      </c>
      <c r="D486" t="s">
        <v>37</v>
      </c>
      <c r="E486" s="2">
        <v>44799</v>
      </c>
      <c r="F486" t="str">
        <f t="shared" si="14"/>
        <v>August</v>
      </c>
      <c r="G486">
        <f t="shared" si="15"/>
        <v>2022</v>
      </c>
    </row>
    <row r="487" spans="1:7" x14ac:dyDescent="0.3">
      <c r="A487">
        <v>486</v>
      </c>
      <c r="B487" t="s">
        <v>6</v>
      </c>
      <c r="C487">
        <v>35</v>
      </c>
      <c r="D487" t="s">
        <v>35</v>
      </c>
      <c r="E487" s="2">
        <v>44420</v>
      </c>
      <c r="F487" t="str">
        <f t="shared" si="14"/>
        <v>August</v>
      </c>
      <c r="G487">
        <f t="shared" si="15"/>
        <v>2021</v>
      </c>
    </row>
    <row r="488" spans="1:7" x14ac:dyDescent="0.3">
      <c r="A488">
        <v>487</v>
      </c>
      <c r="B488" t="s">
        <v>5</v>
      </c>
      <c r="C488">
        <v>44</v>
      </c>
      <c r="D488" t="s">
        <v>38</v>
      </c>
      <c r="E488" s="2">
        <v>44931</v>
      </c>
      <c r="F488" t="str">
        <f t="shared" si="14"/>
        <v>January</v>
      </c>
      <c r="G488">
        <f t="shared" si="15"/>
        <v>2023</v>
      </c>
    </row>
    <row r="489" spans="1:7" x14ac:dyDescent="0.3">
      <c r="A489">
        <v>488</v>
      </c>
      <c r="B489" t="s">
        <v>5</v>
      </c>
      <c r="C489">
        <v>51</v>
      </c>
      <c r="D489" t="s">
        <v>39</v>
      </c>
      <c r="E489" s="2">
        <v>44339</v>
      </c>
      <c r="F489" t="str">
        <f t="shared" si="14"/>
        <v>May</v>
      </c>
      <c r="G489">
        <f t="shared" si="15"/>
        <v>2021</v>
      </c>
    </row>
    <row r="490" spans="1:7" x14ac:dyDescent="0.3">
      <c r="A490">
        <v>489</v>
      </c>
      <c r="B490" t="s">
        <v>6</v>
      </c>
      <c r="C490">
        <v>44</v>
      </c>
      <c r="D490" t="s">
        <v>35</v>
      </c>
      <c r="E490" s="2">
        <v>44271</v>
      </c>
      <c r="F490" t="str">
        <f t="shared" si="14"/>
        <v>March</v>
      </c>
      <c r="G490">
        <f t="shared" si="15"/>
        <v>2021</v>
      </c>
    </row>
    <row r="491" spans="1:7" x14ac:dyDescent="0.3">
      <c r="A491">
        <v>490</v>
      </c>
      <c r="B491" t="s">
        <v>6</v>
      </c>
      <c r="C491">
        <v>34</v>
      </c>
      <c r="D491" t="s">
        <v>35</v>
      </c>
      <c r="E491" s="2">
        <v>44751</v>
      </c>
      <c r="F491" t="str">
        <f t="shared" si="14"/>
        <v>July</v>
      </c>
      <c r="G491">
        <f t="shared" si="15"/>
        <v>2022</v>
      </c>
    </row>
    <row r="492" spans="1:7" x14ac:dyDescent="0.3">
      <c r="A492">
        <v>491</v>
      </c>
      <c r="B492" t="s">
        <v>5</v>
      </c>
      <c r="C492">
        <v>60</v>
      </c>
      <c r="D492" t="s">
        <v>39</v>
      </c>
      <c r="E492" s="2">
        <v>44600</v>
      </c>
      <c r="F492" t="str">
        <f t="shared" si="14"/>
        <v>February</v>
      </c>
      <c r="G492">
        <f t="shared" si="15"/>
        <v>2022</v>
      </c>
    </row>
    <row r="493" spans="1:7" x14ac:dyDescent="0.3">
      <c r="A493">
        <v>492</v>
      </c>
      <c r="B493" t="s">
        <v>5</v>
      </c>
      <c r="C493">
        <v>61</v>
      </c>
      <c r="D493" t="s">
        <v>37</v>
      </c>
      <c r="E493" s="2">
        <v>44093</v>
      </c>
      <c r="F493" t="str">
        <f t="shared" si="14"/>
        <v>September</v>
      </c>
      <c r="G493">
        <f t="shared" si="15"/>
        <v>2020</v>
      </c>
    </row>
    <row r="494" spans="1:7" x14ac:dyDescent="0.3">
      <c r="A494">
        <v>493</v>
      </c>
      <c r="B494" t="s">
        <v>5</v>
      </c>
      <c r="C494">
        <v>41</v>
      </c>
      <c r="D494" t="s">
        <v>34</v>
      </c>
      <c r="E494" s="2">
        <v>44467</v>
      </c>
      <c r="F494" t="str">
        <f t="shared" si="14"/>
        <v>September</v>
      </c>
      <c r="G494">
        <f t="shared" si="15"/>
        <v>2021</v>
      </c>
    </row>
    <row r="495" spans="1:7" x14ac:dyDescent="0.3">
      <c r="A495">
        <v>494</v>
      </c>
      <c r="B495" t="s">
        <v>5</v>
      </c>
      <c r="C495">
        <v>42</v>
      </c>
      <c r="D495" t="s">
        <v>35</v>
      </c>
      <c r="E495" s="2">
        <v>45021</v>
      </c>
      <c r="F495" t="str">
        <f t="shared" si="14"/>
        <v>April</v>
      </c>
      <c r="G495">
        <f t="shared" si="15"/>
        <v>2023</v>
      </c>
    </row>
    <row r="496" spans="1:7" x14ac:dyDescent="0.3">
      <c r="A496">
        <v>495</v>
      </c>
      <c r="B496" t="s">
        <v>5</v>
      </c>
      <c r="C496">
        <v>24</v>
      </c>
      <c r="D496" t="s">
        <v>36</v>
      </c>
      <c r="E496" s="2">
        <v>44289</v>
      </c>
      <c r="F496" t="str">
        <f t="shared" si="14"/>
        <v>April</v>
      </c>
      <c r="G496">
        <f t="shared" si="15"/>
        <v>2021</v>
      </c>
    </row>
    <row r="497" spans="1:7" x14ac:dyDescent="0.3">
      <c r="A497">
        <v>496</v>
      </c>
      <c r="B497" t="s">
        <v>5</v>
      </c>
      <c r="C497">
        <v>23</v>
      </c>
      <c r="D497" t="s">
        <v>35</v>
      </c>
      <c r="E497" s="2">
        <v>44829</v>
      </c>
      <c r="F497" t="str">
        <f t="shared" si="14"/>
        <v>September</v>
      </c>
      <c r="G497">
        <f t="shared" si="15"/>
        <v>2022</v>
      </c>
    </row>
    <row r="498" spans="1:7" x14ac:dyDescent="0.3">
      <c r="A498">
        <v>497</v>
      </c>
      <c r="B498" t="s">
        <v>5</v>
      </c>
      <c r="C498">
        <v>41</v>
      </c>
      <c r="D498" t="s">
        <v>34</v>
      </c>
      <c r="E498" s="2">
        <v>44530</v>
      </c>
      <c r="F498" t="str">
        <f t="shared" si="14"/>
        <v>November</v>
      </c>
      <c r="G498">
        <f t="shared" si="15"/>
        <v>2021</v>
      </c>
    </row>
    <row r="499" spans="1:7" x14ac:dyDescent="0.3">
      <c r="A499">
        <v>498</v>
      </c>
      <c r="B499" t="s">
        <v>5</v>
      </c>
      <c r="C499">
        <v>50</v>
      </c>
      <c r="D499" t="s">
        <v>37</v>
      </c>
      <c r="E499" s="2">
        <v>44132</v>
      </c>
      <c r="F499" t="str">
        <f t="shared" si="14"/>
        <v>October</v>
      </c>
      <c r="G499">
        <f t="shared" si="15"/>
        <v>2020</v>
      </c>
    </row>
    <row r="500" spans="1:7" x14ac:dyDescent="0.3">
      <c r="A500">
        <v>499</v>
      </c>
      <c r="B500" t="s">
        <v>6</v>
      </c>
      <c r="C500">
        <v>46</v>
      </c>
      <c r="D500" t="s">
        <v>37</v>
      </c>
      <c r="E500" s="2">
        <v>44956</v>
      </c>
      <c r="F500" t="str">
        <f t="shared" si="14"/>
        <v>January</v>
      </c>
      <c r="G500">
        <f t="shared" si="15"/>
        <v>2023</v>
      </c>
    </row>
    <row r="501" spans="1:7" x14ac:dyDescent="0.3">
      <c r="A501">
        <v>500</v>
      </c>
      <c r="B501" t="s">
        <v>6</v>
      </c>
      <c r="C501">
        <v>60</v>
      </c>
      <c r="D501" t="s">
        <v>36</v>
      </c>
      <c r="E501" s="2">
        <v>44384</v>
      </c>
      <c r="F501" t="str">
        <f t="shared" si="14"/>
        <v>July</v>
      </c>
      <c r="G501">
        <f t="shared" si="15"/>
        <v>2021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01"/>
  <sheetViews>
    <sheetView zoomScaleNormal="100" workbookViewId="0">
      <selection activeCell="J5" sqref="J5"/>
    </sheetView>
  </sheetViews>
  <sheetFormatPr defaultRowHeight="14.4" x14ac:dyDescent="0.3"/>
  <cols>
    <col min="1" max="1" width="12.88671875" customWidth="1"/>
    <col min="2" max="2" width="17.33203125" customWidth="1"/>
    <col min="3" max="4" width="29.44140625" style="2" customWidth="1"/>
    <col min="5" max="5" width="29.44140625" style="9" customWidth="1"/>
    <col min="6" max="6" width="17" style="14" customWidth="1"/>
    <col min="7" max="7" width="20" customWidth="1"/>
    <col min="8" max="8" width="15.21875" customWidth="1"/>
    <col min="9" max="9" width="16.33203125" customWidth="1"/>
  </cols>
  <sheetData>
    <row r="1" spans="1:9" x14ac:dyDescent="0.3">
      <c r="A1" s="3" t="s">
        <v>7</v>
      </c>
      <c r="B1" s="3" t="s">
        <v>0</v>
      </c>
      <c r="C1" s="5" t="s">
        <v>8</v>
      </c>
      <c r="D1" s="5" t="s">
        <v>42</v>
      </c>
      <c r="E1" s="8" t="s">
        <v>43</v>
      </c>
      <c r="F1" s="13" t="s">
        <v>9</v>
      </c>
      <c r="G1" s="3" t="s">
        <v>10</v>
      </c>
      <c r="H1" s="3" t="s">
        <v>11</v>
      </c>
      <c r="I1" s="10" t="s">
        <v>69</v>
      </c>
    </row>
    <row r="2" spans="1:9" x14ac:dyDescent="0.3">
      <c r="A2">
        <v>10001</v>
      </c>
      <c r="B2">
        <v>288</v>
      </c>
      <c r="C2" s="2">
        <v>45189</v>
      </c>
      <c r="D2" s="2" t="str">
        <f>TEXT(Table3[[#This Row],[usage_date]],"mmmm")</f>
        <v>September</v>
      </c>
      <c r="E2" s="9">
        <f>YEAR(Table3[[#This Row],[usage_date]])</f>
        <v>2023</v>
      </c>
      <c r="F2" s="14">
        <v>2.0099999999999998</v>
      </c>
      <c r="G2">
        <v>49</v>
      </c>
      <c r="H2" t="s">
        <v>12</v>
      </c>
      <c r="I2" t="str">
        <f t="shared" ref="I2:I65" si="0">IF(F2&gt;6,"High Usage","Normal Usage")</f>
        <v>Normal Usage</v>
      </c>
    </row>
    <row r="3" spans="1:9" x14ac:dyDescent="0.3">
      <c r="A3">
        <v>10002</v>
      </c>
      <c r="B3">
        <v>167</v>
      </c>
      <c r="C3" s="2">
        <v>45224</v>
      </c>
      <c r="D3" s="2" t="str">
        <f>TEXT(Table3[[#This Row],[usage_date]],"mmmm")</f>
        <v>October</v>
      </c>
      <c r="E3" s="9">
        <f>YEAR(Table3[[#This Row],[usage_date]])</f>
        <v>2023</v>
      </c>
      <c r="F3" s="14">
        <v>2.5</v>
      </c>
      <c r="G3">
        <v>134</v>
      </c>
      <c r="H3" t="s">
        <v>13</v>
      </c>
      <c r="I3" t="str">
        <f t="shared" si="0"/>
        <v>Normal Usage</v>
      </c>
    </row>
    <row r="4" spans="1:9" x14ac:dyDescent="0.3">
      <c r="A4">
        <v>10003</v>
      </c>
      <c r="B4">
        <v>109</v>
      </c>
      <c r="C4" s="2">
        <v>45411</v>
      </c>
      <c r="D4" s="2" t="str">
        <f>TEXT(Table3[[#This Row],[usage_date]],"mmmm")</f>
        <v>April</v>
      </c>
      <c r="E4" s="9">
        <f>YEAR(Table3[[#This Row],[usage_date]])</f>
        <v>2024</v>
      </c>
      <c r="F4" s="14">
        <v>0.74</v>
      </c>
      <c r="G4">
        <v>117</v>
      </c>
      <c r="H4" t="s">
        <v>12</v>
      </c>
      <c r="I4" t="str">
        <f t="shared" si="0"/>
        <v>Normal Usage</v>
      </c>
    </row>
    <row r="5" spans="1:9" x14ac:dyDescent="0.3">
      <c r="A5">
        <v>10004</v>
      </c>
      <c r="B5">
        <v>494</v>
      </c>
      <c r="C5" s="2">
        <v>44611</v>
      </c>
      <c r="D5" s="2" t="str">
        <f>TEXT(Table3[[#This Row],[usage_date]],"mmmm")</f>
        <v>February</v>
      </c>
      <c r="E5" s="9">
        <f>YEAR(Table3[[#This Row],[usage_date]])</f>
        <v>2022</v>
      </c>
      <c r="F5" s="14">
        <v>7.42</v>
      </c>
      <c r="G5">
        <v>59</v>
      </c>
      <c r="H5" t="s">
        <v>12</v>
      </c>
      <c r="I5" t="str">
        <f t="shared" si="0"/>
        <v>High Usage</v>
      </c>
    </row>
    <row r="6" spans="1:9" x14ac:dyDescent="0.3">
      <c r="A6">
        <v>10005</v>
      </c>
      <c r="B6">
        <v>36</v>
      </c>
      <c r="C6" s="2">
        <v>45063</v>
      </c>
      <c r="D6" s="2" t="str">
        <f>TEXT(Table3[[#This Row],[usage_date]],"mmmm")</f>
        <v>May</v>
      </c>
      <c r="E6" s="9">
        <f>YEAR(Table3[[#This Row],[usage_date]])</f>
        <v>2023</v>
      </c>
      <c r="F6" s="14">
        <v>0.47</v>
      </c>
      <c r="G6">
        <v>124</v>
      </c>
      <c r="H6" t="s">
        <v>13</v>
      </c>
      <c r="I6" t="str">
        <f t="shared" si="0"/>
        <v>Normal Usage</v>
      </c>
    </row>
    <row r="7" spans="1:9" x14ac:dyDescent="0.3">
      <c r="A7">
        <v>10006</v>
      </c>
      <c r="B7">
        <v>232</v>
      </c>
      <c r="C7" s="2">
        <v>45279</v>
      </c>
      <c r="D7" s="2" t="str">
        <f>TEXT(Table3[[#This Row],[usage_date]],"mmmm")</f>
        <v>December</v>
      </c>
      <c r="E7" s="9">
        <f>YEAR(Table3[[#This Row],[usage_date]])</f>
        <v>2023</v>
      </c>
      <c r="F7" s="14">
        <v>8.43</v>
      </c>
      <c r="G7">
        <v>115</v>
      </c>
      <c r="H7" t="s">
        <v>13</v>
      </c>
      <c r="I7" t="str">
        <f t="shared" si="0"/>
        <v>High Usage</v>
      </c>
    </row>
    <row r="8" spans="1:9" x14ac:dyDescent="0.3">
      <c r="A8">
        <v>10007</v>
      </c>
      <c r="B8">
        <v>229</v>
      </c>
      <c r="C8" s="2">
        <v>45059</v>
      </c>
      <c r="D8" s="2" t="str">
        <f>TEXT(Table3[[#This Row],[usage_date]],"mmmm")</f>
        <v>May</v>
      </c>
      <c r="E8" s="9">
        <f>YEAR(Table3[[#This Row],[usage_date]])</f>
        <v>2023</v>
      </c>
      <c r="F8" s="14">
        <v>0.04</v>
      </c>
      <c r="G8">
        <v>172</v>
      </c>
      <c r="H8" t="s">
        <v>13</v>
      </c>
      <c r="I8" t="str">
        <f t="shared" si="0"/>
        <v>Normal Usage</v>
      </c>
    </row>
    <row r="9" spans="1:9" x14ac:dyDescent="0.3">
      <c r="A9">
        <v>10008</v>
      </c>
      <c r="B9">
        <v>353</v>
      </c>
      <c r="C9" s="2">
        <v>44896</v>
      </c>
      <c r="D9" s="2" t="str">
        <f>TEXT(Table3[[#This Row],[usage_date]],"mmmm")</f>
        <v>December</v>
      </c>
      <c r="E9" s="9">
        <f>YEAR(Table3[[#This Row],[usage_date]])</f>
        <v>2022</v>
      </c>
      <c r="F9" s="14">
        <v>1.64</v>
      </c>
      <c r="G9">
        <v>186</v>
      </c>
      <c r="H9" t="s">
        <v>12</v>
      </c>
      <c r="I9" t="str">
        <f t="shared" si="0"/>
        <v>Normal Usage</v>
      </c>
    </row>
    <row r="10" spans="1:9" x14ac:dyDescent="0.3">
      <c r="A10">
        <v>10009</v>
      </c>
      <c r="B10">
        <v>164</v>
      </c>
      <c r="C10" s="2">
        <v>44640</v>
      </c>
      <c r="D10" s="2" t="str">
        <f>TEXT(Table3[[#This Row],[usage_date]],"mmmm")</f>
        <v>March</v>
      </c>
      <c r="E10" s="9">
        <f>YEAR(Table3[[#This Row],[usage_date]])</f>
        <v>2022</v>
      </c>
      <c r="F10" s="14">
        <v>1.01</v>
      </c>
      <c r="G10">
        <v>87</v>
      </c>
      <c r="H10" t="s">
        <v>13</v>
      </c>
      <c r="I10" t="str">
        <f t="shared" si="0"/>
        <v>Normal Usage</v>
      </c>
    </row>
    <row r="11" spans="1:9" x14ac:dyDescent="0.3">
      <c r="A11">
        <v>10010</v>
      </c>
      <c r="B11">
        <v>387</v>
      </c>
      <c r="C11" s="2">
        <v>45143</v>
      </c>
      <c r="D11" s="2" t="str">
        <f>TEXT(Table3[[#This Row],[usage_date]],"mmmm")</f>
        <v>August</v>
      </c>
      <c r="E11" s="9">
        <f>YEAR(Table3[[#This Row],[usage_date]])</f>
        <v>2023</v>
      </c>
      <c r="F11" s="14">
        <v>1.49</v>
      </c>
      <c r="G11">
        <v>202</v>
      </c>
      <c r="H11" t="s">
        <v>12</v>
      </c>
      <c r="I11" t="str">
        <f t="shared" si="0"/>
        <v>Normal Usage</v>
      </c>
    </row>
    <row r="12" spans="1:9" x14ac:dyDescent="0.3">
      <c r="A12">
        <v>10011</v>
      </c>
      <c r="B12">
        <v>73</v>
      </c>
      <c r="C12" s="2">
        <v>44588</v>
      </c>
      <c r="D12" s="2" t="str">
        <f>TEXT(Table3[[#This Row],[usage_date]],"mmmm")</f>
        <v>January</v>
      </c>
      <c r="E12" s="9">
        <f>YEAR(Table3[[#This Row],[usage_date]])</f>
        <v>2022</v>
      </c>
      <c r="F12" s="14">
        <v>2.11</v>
      </c>
      <c r="G12">
        <v>181</v>
      </c>
      <c r="H12" t="s">
        <v>13</v>
      </c>
      <c r="I12" t="str">
        <f t="shared" si="0"/>
        <v>Normal Usage</v>
      </c>
    </row>
    <row r="13" spans="1:9" x14ac:dyDescent="0.3">
      <c r="A13">
        <v>10012</v>
      </c>
      <c r="B13">
        <v>136</v>
      </c>
      <c r="C13" s="2">
        <v>44832</v>
      </c>
      <c r="D13" s="2" t="str">
        <f>TEXT(Table3[[#This Row],[usage_date]],"mmmm")</f>
        <v>September</v>
      </c>
      <c r="E13" s="9">
        <f>YEAR(Table3[[#This Row],[usage_date]])</f>
        <v>2022</v>
      </c>
      <c r="F13" s="14">
        <v>1.43</v>
      </c>
      <c r="G13">
        <v>167</v>
      </c>
      <c r="H13" t="s">
        <v>12</v>
      </c>
      <c r="I13" t="str">
        <f t="shared" si="0"/>
        <v>Normal Usage</v>
      </c>
    </row>
    <row r="14" spans="1:9" x14ac:dyDescent="0.3">
      <c r="A14">
        <v>10013</v>
      </c>
      <c r="B14">
        <v>353</v>
      </c>
      <c r="C14" s="2">
        <v>45123</v>
      </c>
      <c r="D14" s="2" t="str">
        <f>TEXT(Table3[[#This Row],[usage_date]],"mmmm")</f>
        <v>July</v>
      </c>
      <c r="E14" s="9">
        <f>YEAR(Table3[[#This Row],[usage_date]])</f>
        <v>2023</v>
      </c>
      <c r="F14" s="14">
        <v>1.34</v>
      </c>
      <c r="G14">
        <v>180</v>
      </c>
      <c r="H14" t="s">
        <v>12</v>
      </c>
      <c r="I14" t="str">
        <f t="shared" si="0"/>
        <v>Normal Usage</v>
      </c>
    </row>
    <row r="15" spans="1:9" x14ac:dyDescent="0.3">
      <c r="A15">
        <v>10014</v>
      </c>
      <c r="B15">
        <v>379</v>
      </c>
      <c r="C15" s="2">
        <v>45365</v>
      </c>
      <c r="D15" s="2" t="str">
        <f>TEXT(Table3[[#This Row],[usage_date]],"mmmm")</f>
        <v>March</v>
      </c>
      <c r="E15" s="9">
        <f>YEAR(Table3[[#This Row],[usage_date]])</f>
        <v>2024</v>
      </c>
      <c r="F15" s="14">
        <v>3.3</v>
      </c>
      <c r="G15">
        <v>299</v>
      </c>
      <c r="H15" t="s">
        <v>12</v>
      </c>
      <c r="I15" t="str">
        <f t="shared" si="0"/>
        <v>Normal Usage</v>
      </c>
    </row>
    <row r="16" spans="1:9" x14ac:dyDescent="0.3">
      <c r="A16">
        <v>10015</v>
      </c>
      <c r="B16">
        <v>70</v>
      </c>
      <c r="C16" s="2">
        <v>44808</v>
      </c>
      <c r="D16" s="2" t="str">
        <f>TEXT(Table3[[#This Row],[usage_date]],"mmmm")</f>
        <v>September</v>
      </c>
      <c r="E16" s="9">
        <f>YEAR(Table3[[#This Row],[usage_date]])</f>
        <v>2022</v>
      </c>
      <c r="F16" s="14">
        <v>2.89</v>
      </c>
      <c r="G16">
        <v>129</v>
      </c>
      <c r="H16" t="s">
        <v>12</v>
      </c>
      <c r="I16" t="str">
        <f t="shared" si="0"/>
        <v>Normal Usage</v>
      </c>
    </row>
    <row r="17" spans="1:9" x14ac:dyDescent="0.3">
      <c r="A17">
        <v>10016</v>
      </c>
      <c r="B17">
        <v>425</v>
      </c>
      <c r="C17" s="2">
        <v>45337</v>
      </c>
      <c r="D17" s="2" t="str">
        <f>TEXT(Table3[[#This Row],[usage_date]],"mmmm")</f>
        <v>February</v>
      </c>
      <c r="E17" s="9">
        <f>YEAR(Table3[[#This Row],[usage_date]])</f>
        <v>2024</v>
      </c>
      <c r="F17" s="14">
        <v>4.4800000000000004</v>
      </c>
      <c r="G17">
        <v>148</v>
      </c>
      <c r="H17" t="s">
        <v>13</v>
      </c>
      <c r="I17" t="str">
        <f t="shared" si="0"/>
        <v>Normal Usage</v>
      </c>
    </row>
    <row r="18" spans="1:9" x14ac:dyDescent="0.3">
      <c r="A18">
        <v>10017</v>
      </c>
      <c r="B18">
        <v>487</v>
      </c>
      <c r="C18" s="2">
        <v>45152</v>
      </c>
      <c r="D18" s="2" t="str">
        <f>TEXT(Table3[[#This Row],[usage_date]],"mmmm")</f>
        <v>August</v>
      </c>
      <c r="E18" s="9">
        <f>YEAR(Table3[[#This Row],[usage_date]])</f>
        <v>2023</v>
      </c>
      <c r="F18" s="14">
        <v>0.72</v>
      </c>
      <c r="G18">
        <v>208</v>
      </c>
      <c r="H18" t="s">
        <v>12</v>
      </c>
      <c r="I18" t="str">
        <f t="shared" si="0"/>
        <v>Normal Usage</v>
      </c>
    </row>
    <row r="19" spans="1:9" x14ac:dyDescent="0.3">
      <c r="A19">
        <v>10018</v>
      </c>
      <c r="B19">
        <v>196</v>
      </c>
      <c r="C19" s="2">
        <v>44948</v>
      </c>
      <c r="D19" s="2" t="str">
        <f>TEXT(Table3[[#This Row],[usage_date]],"mmmm")</f>
        <v>January</v>
      </c>
      <c r="E19" s="9">
        <f>YEAR(Table3[[#This Row],[usage_date]])</f>
        <v>2023</v>
      </c>
      <c r="F19" s="14">
        <v>2.35</v>
      </c>
      <c r="G19">
        <v>110</v>
      </c>
      <c r="H19" t="s">
        <v>12</v>
      </c>
      <c r="I19" t="str">
        <f t="shared" si="0"/>
        <v>Normal Usage</v>
      </c>
    </row>
    <row r="20" spans="1:9" x14ac:dyDescent="0.3">
      <c r="A20">
        <v>10019</v>
      </c>
      <c r="B20">
        <v>269</v>
      </c>
      <c r="C20" s="2">
        <v>45263</v>
      </c>
      <c r="D20" s="2" t="str">
        <f>TEXT(Table3[[#This Row],[usage_date]],"mmmm")</f>
        <v>December</v>
      </c>
      <c r="E20" s="9">
        <f>YEAR(Table3[[#This Row],[usage_date]])</f>
        <v>2023</v>
      </c>
      <c r="F20" s="14">
        <v>2.2000000000000002</v>
      </c>
      <c r="G20">
        <v>136</v>
      </c>
      <c r="H20" t="s">
        <v>12</v>
      </c>
      <c r="I20" t="str">
        <f t="shared" si="0"/>
        <v>Normal Usage</v>
      </c>
    </row>
    <row r="21" spans="1:9" x14ac:dyDescent="0.3">
      <c r="A21">
        <v>10020</v>
      </c>
      <c r="B21">
        <v>49</v>
      </c>
      <c r="C21" s="2">
        <v>45120</v>
      </c>
      <c r="D21" s="2" t="str">
        <f>TEXT(Table3[[#This Row],[usage_date]],"mmmm")</f>
        <v>July</v>
      </c>
      <c r="E21" s="9">
        <f>YEAR(Table3[[#This Row],[usage_date]])</f>
        <v>2023</v>
      </c>
      <c r="F21" s="14">
        <v>1.1499999999999999</v>
      </c>
      <c r="G21">
        <v>210</v>
      </c>
      <c r="H21" t="s">
        <v>12</v>
      </c>
      <c r="I21" t="str">
        <f t="shared" si="0"/>
        <v>Normal Usage</v>
      </c>
    </row>
    <row r="22" spans="1:9" x14ac:dyDescent="0.3">
      <c r="A22">
        <v>10021</v>
      </c>
      <c r="B22">
        <v>316</v>
      </c>
      <c r="C22" s="2">
        <v>44922</v>
      </c>
      <c r="D22" s="2" t="str">
        <f>TEXT(Table3[[#This Row],[usage_date]],"mmmm")</f>
        <v>December</v>
      </c>
      <c r="E22" s="9">
        <f>YEAR(Table3[[#This Row],[usage_date]])</f>
        <v>2022</v>
      </c>
      <c r="F22" s="14">
        <v>1.66</v>
      </c>
      <c r="G22">
        <v>145</v>
      </c>
      <c r="H22" t="s">
        <v>13</v>
      </c>
      <c r="I22" t="str">
        <f t="shared" si="0"/>
        <v>Normal Usage</v>
      </c>
    </row>
    <row r="23" spans="1:9" x14ac:dyDescent="0.3">
      <c r="A23">
        <v>10022</v>
      </c>
      <c r="B23">
        <v>130</v>
      </c>
      <c r="C23" s="2">
        <v>45427</v>
      </c>
      <c r="D23" s="2" t="str">
        <f>TEXT(Table3[[#This Row],[usage_date]],"mmmm")</f>
        <v>May</v>
      </c>
      <c r="E23" s="9">
        <f>YEAR(Table3[[#This Row],[usage_date]])</f>
        <v>2024</v>
      </c>
      <c r="F23" s="14">
        <v>0.94</v>
      </c>
      <c r="G23">
        <v>83</v>
      </c>
      <c r="H23" t="s">
        <v>13</v>
      </c>
      <c r="I23" t="str">
        <f t="shared" si="0"/>
        <v>Normal Usage</v>
      </c>
    </row>
    <row r="24" spans="1:9" x14ac:dyDescent="0.3">
      <c r="A24">
        <v>10023</v>
      </c>
      <c r="B24">
        <v>444</v>
      </c>
      <c r="C24" s="2">
        <v>45049</v>
      </c>
      <c r="D24" s="2" t="str">
        <f>TEXT(Table3[[#This Row],[usage_date]],"mmmm")</f>
        <v>May</v>
      </c>
      <c r="E24" s="9">
        <f>YEAR(Table3[[#This Row],[usage_date]])</f>
        <v>2023</v>
      </c>
      <c r="F24" s="14">
        <v>0.38</v>
      </c>
      <c r="G24">
        <v>29</v>
      </c>
      <c r="H24" t="s">
        <v>13</v>
      </c>
      <c r="I24" t="str">
        <f t="shared" si="0"/>
        <v>Normal Usage</v>
      </c>
    </row>
    <row r="25" spans="1:9" x14ac:dyDescent="0.3">
      <c r="A25">
        <v>10024</v>
      </c>
      <c r="B25">
        <v>5</v>
      </c>
      <c r="C25" s="2">
        <v>44913</v>
      </c>
      <c r="D25" s="2" t="str">
        <f>TEXT(Table3[[#This Row],[usage_date]],"mmmm")</f>
        <v>December</v>
      </c>
      <c r="E25" s="9">
        <f>YEAR(Table3[[#This Row],[usage_date]])</f>
        <v>2022</v>
      </c>
      <c r="F25" s="14">
        <v>0.6</v>
      </c>
      <c r="G25">
        <v>64</v>
      </c>
      <c r="H25" t="s">
        <v>12</v>
      </c>
      <c r="I25" t="str">
        <f t="shared" si="0"/>
        <v>Normal Usage</v>
      </c>
    </row>
    <row r="26" spans="1:9" x14ac:dyDescent="0.3">
      <c r="A26">
        <v>10025</v>
      </c>
      <c r="B26">
        <v>428</v>
      </c>
      <c r="C26" s="2">
        <v>45262</v>
      </c>
      <c r="D26" s="2" t="str">
        <f>TEXT(Table3[[#This Row],[usage_date]],"mmmm")</f>
        <v>December</v>
      </c>
      <c r="E26" s="9">
        <f>YEAR(Table3[[#This Row],[usage_date]])</f>
        <v>2023</v>
      </c>
      <c r="F26" s="14">
        <v>0.28000000000000003</v>
      </c>
      <c r="G26">
        <v>23</v>
      </c>
      <c r="H26" t="s">
        <v>12</v>
      </c>
      <c r="I26" t="str">
        <f t="shared" si="0"/>
        <v>Normal Usage</v>
      </c>
    </row>
    <row r="27" spans="1:9" x14ac:dyDescent="0.3">
      <c r="A27">
        <v>10026</v>
      </c>
      <c r="B27">
        <v>27</v>
      </c>
      <c r="C27" s="2">
        <v>44817</v>
      </c>
      <c r="D27" s="2" t="str">
        <f>TEXT(Table3[[#This Row],[usage_date]],"mmmm")</f>
        <v>September</v>
      </c>
      <c r="E27" s="9">
        <f>YEAR(Table3[[#This Row],[usage_date]])</f>
        <v>2022</v>
      </c>
      <c r="F27" s="14">
        <v>2.87</v>
      </c>
      <c r="G27">
        <v>210</v>
      </c>
      <c r="H27" t="s">
        <v>12</v>
      </c>
      <c r="I27" t="str">
        <f t="shared" si="0"/>
        <v>Normal Usage</v>
      </c>
    </row>
    <row r="28" spans="1:9" x14ac:dyDescent="0.3">
      <c r="A28">
        <v>10027</v>
      </c>
      <c r="B28">
        <v>160</v>
      </c>
      <c r="C28" s="2">
        <v>44783</v>
      </c>
      <c r="D28" s="2" t="str">
        <f>TEXT(Table3[[#This Row],[usage_date]],"mmmm")</f>
        <v>August</v>
      </c>
      <c r="E28" s="9">
        <f>YEAR(Table3[[#This Row],[usage_date]])</f>
        <v>2022</v>
      </c>
      <c r="F28" s="14">
        <v>2.7</v>
      </c>
      <c r="G28">
        <v>221</v>
      </c>
      <c r="H28" t="s">
        <v>12</v>
      </c>
      <c r="I28" t="str">
        <f t="shared" si="0"/>
        <v>Normal Usage</v>
      </c>
    </row>
    <row r="29" spans="1:9" x14ac:dyDescent="0.3">
      <c r="A29">
        <v>10028</v>
      </c>
      <c r="B29">
        <v>149</v>
      </c>
      <c r="C29" s="2">
        <v>45445</v>
      </c>
      <c r="D29" s="2" t="str">
        <f>TEXT(Table3[[#This Row],[usage_date]],"mmmm")</f>
        <v>June</v>
      </c>
      <c r="E29" s="9">
        <f>YEAR(Table3[[#This Row],[usage_date]])</f>
        <v>2024</v>
      </c>
      <c r="F29" s="14">
        <v>7.52</v>
      </c>
      <c r="G29">
        <v>89</v>
      </c>
      <c r="H29" t="s">
        <v>12</v>
      </c>
      <c r="I29" t="str">
        <f t="shared" si="0"/>
        <v>High Usage</v>
      </c>
    </row>
    <row r="30" spans="1:9" x14ac:dyDescent="0.3">
      <c r="A30">
        <v>10029</v>
      </c>
      <c r="B30">
        <v>264</v>
      </c>
      <c r="C30" s="2">
        <v>45314</v>
      </c>
      <c r="D30" s="2" t="str">
        <f>TEXT(Table3[[#This Row],[usage_date]],"mmmm")</f>
        <v>January</v>
      </c>
      <c r="E30" s="9">
        <f>YEAR(Table3[[#This Row],[usage_date]])</f>
        <v>2024</v>
      </c>
      <c r="F30" s="14">
        <v>3.27</v>
      </c>
      <c r="G30">
        <v>105</v>
      </c>
      <c r="H30" t="s">
        <v>13</v>
      </c>
      <c r="I30" t="str">
        <f t="shared" si="0"/>
        <v>Normal Usage</v>
      </c>
    </row>
    <row r="31" spans="1:9" x14ac:dyDescent="0.3">
      <c r="A31">
        <v>10030</v>
      </c>
      <c r="B31">
        <v>230</v>
      </c>
      <c r="C31" s="2">
        <v>45342</v>
      </c>
      <c r="D31" s="2" t="str">
        <f>TEXT(Table3[[#This Row],[usage_date]],"mmmm")</f>
        <v>February</v>
      </c>
      <c r="E31" s="9">
        <f>YEAR(Table3[[#This Row],[usage_date]])</f>
        <v>2024</v>
      </c>
      <c r="F31" s="14">
        <v>0.13</v>
      </c>
      <c r="G31">
        <v>171</v>
      </c>
      <c r="H31" t="s">
        <v>12</v>
      </c>
      <c r="I31" t="str">
        <f t="shared" si="0"/>
        <v>Normal Usage</v>
      </c>
    </row>
    <row r="32" spans="1:9" x14ac:dyDescent="0.3">
      <c r="A32">
        <v>10031</v>
      </c>
      <c r="B32">
        <v>200</v>
      </c>
      <c r="C32" s="2">
        <v>44562</v>
      </c>
      <c r="D32" s="2" t="str">
        <f>TEXT(Table3[[#This Row],[usage_date]],"mmmm")</f>
        <v>January</v>
      </c>
      <c r="E32" s="9">
        <f>YEAR(Table3[[#This Row],[usage_date]])</f>
        <v>2022</v>
      </c>
      <c r="F32" s="14">
        <v>5.39</v>
      </c>
      <c r="G32">
        <v>229</v>
      </c>
      <c r="H32" t="s">
        <v>12</v>
      </c>
      <c r="I32" t="str">
        <f t="shared" si="0"/>
        <v>Normal Usage</v>
      </c>
    </row>
    <row r="33" spans="1:9" x14ac:dyDescent="0.3">
      <c r="A33">
        <v>10032</v>
      </c>
      <c r="B33">
        <v>50</v>
      </c>
      <c r="C33" s="2">
        <v>45107</v>
      </c>
      <c r="D33" s="2" t="str">
        <f>TEXT(Table3[[#This Row],[usage_date]],"mmmm")</f>
        <v>June</v>
      </c>
      <c r="E33" s="9">
        <f>YEAR(Table3[[#This Row],[usage_date]])</f>
        <v>2023</v>
      </c>
      <c r="F33" s="14">
        <v>4.96</v>
      </c>
      <c r="G33">
        <v>76</v>
      </c>
      <c r="H33" t="s">
        <v>12</v>
      </c>
      <c r="I33" t="str">
        <f t="shared" si="0"/>
        <v>Normal Usage</v>
      </c>
    </row>
    <row r="34" spans="1:9" x14ac:dyDescent="0.3">
      <c r="A34">
        <v>10033</v>
      </c>
      <c r="B34">
        <v>67</v>
      </c>
      <c r="C34" s="2">
        <v>45007</v>
      </c>
      <c r="D34" s="2" t="str">
        <f>TEXT(Table3[[#This Row],[usage_date]],"mmmm")</f>
        <v>March</v>
      </c>
      <c r="E34" s="9">
        <f>YEAR(Table3[[#This Row],[usage_date]])</f>
        <v>2023</v>
      </c>
      <c r="F34" s="14">
        <v>1.46</v>
      </c>
      <c r="G34">
        <v>67</v>
      </c>
      <c r="H34" t="s">
        <v>12</v>
      </c>
      <c r="I34" t="str">
        <f t="shared" si="0"/>
        <v>Normal Usage</v>
      </c>
    </row>
    <row r="35" spans="1:9" x14ac:dyDescent="0.3">
      <c r="A35">
        <v>10034</v>
      </c>
      <c r="B35">
        <v>300</v>
      </c>
      <c r="C35" s="2">
        <v>44640</v>
      </c>
      <c r="D35" s="2" t="str">
        <f>TEXT(Table3[[#This Row],[usage_date]],"mmmm")</f>
        <v>March</v>
      </c>
      <c r="E35" s="9">
        <f>YEAR(Table3[[#This Row],[usage_date]])</f>
        <v>2022</v>
      </c>
      <c r="F35" s="14">
        <v>2.2000000000000002</v>
      </c>
      <c r="G35">
        <v>91</v>
      </c>
      <c r="H35" t="s">
        <v>13</v>
      </c>
      <c r="I35" t="str">
        <f t="shared" si="0"/>
        <v>Normal Usage</v>
      </c>
    </row>
    <row r="36" spans="1:9" x14ac:dyDescent="0.3">
      <c r="A36">
        <v>10035</v>
      </c>
      <c r="B36">
        <v>381</v>
      </c>
      <c r="C36" s="2">
        <v>44797</v>
      </c>
      <c r="D36" s="2" t="str">
        <f>TEXT(Table3[[#This Row],[usage_date]],"mmmm")</f>
        <v>August</v>
      </c>
      <c r="E36" s="9">
        <f>YEAR(Table3[[#This Row],[usage_date]])</f>
        <v>2022</v>
      </c>
      <c r="F36" s="14">
        <v>9.33</v>
      </c>
      <c r="G36">
        <v>87</v>
      </c>
      <c r="H36" t="s">
        <v>12</v>
      </c>
      <c r="I36" t="str">
        <f t="shared" si="0"/>
        <v>High Usage</v>
      </c>
    </row>
    <row r="37" spans="1:9" x14ac:dyDescent="0.3">
      <c r="A37">
        <v>10036</v>
      </c>
      <c r="B37">
        <v>58</v>
      </c>
      <c r="C37" s="2">
        <v>44895</v>
      </c>
      <c r="D37" s="2" t="str">
        <f>TEXT(Table3[[#This Row],[usage_date]],"mmmm")</f>
        <v>November</v>
      </c>
      <c r="E37" s="9">
        <f>YEAR(Table3[[#This Row],[usage_date]])</f>
        <v>2022</v>
      </c>
      <c r="F37" s="14">
        <v>1.9</v>
      </c>
      <c r="G37">
        <v>49</v>
      </c>
      <c r="H37" t="s">
        <v>12</v>
      </c>
      <c r="I37" t="str">
        <f t="shared" si="0"/>
        <v>Normal Usage</v>
      </c>
    </row>
    <row r="38" spans="1:9" x14ac:dyDescent="0.3">
      <c r="A38">
        <v>10037</v>
      </c>
      <c r="B38">
        <v>259</v>
      </c>
      <c r="C38" s="2">
        <v>45450</v>
      </c>
      <c r="D38" s="2" t="str">
        <f>TEXT(Table3[[#This Row],[usage_date]],"mmmm")</f>
        <v>June</v>
      </c>
      <c r="E38" s="9">
        <f>YEAR(Table3[[#This Row],[usage_date]])</f>
        <v>2024</v>
      </c>
      <c r="F38" s="14">
        <v>5.89</v>
      </c>
      <c r="G38">
        <v>102</v>
      </c>
      <c r="H38" t="s">
        <v>12</v>
      </c>
      <c r="I38" t="str">
        <f t="shared" si="0"/>
        <v>Normal Usage</v>
      </c>
    </row>
    <row r="39" spans="1:9" x14ac:dyDescent="0.3">
      <c r="A39">
        <v>10038</v>
      </c>
      <c r="B39">
        <v>342</v>
      </c>
      <c r="C39" s="2">
        <v>44910</v>
      </c>
      <c r="D39" s="2" t="str">
        <f>TEXT(Table3[[#This Row],[usage_date]],"mmmm")</f>
        <v>December</v>
      </c>
      <c r="E39" s="9">
        <f>YEAR(Table3[[#This Row],[usage_date]])</f>
        <v>2022</v>
      </c>
      <c r="F39" s="14">
        <v>0.22</v>
      </c>
      <c r="G39">
        <v>45</v>
      </c>
      <c r="H39" t="s">
        <v>13</v>
      </c>
      <c r="I39" t="str">
        <f t="shared" si="0"/>
        <v>Normal Usage</v>
      </c>
    </row>
    <row r="40" spans="1:9" x14ac:dyDescent="0.3">
      <c r="A40">
        <v>10039</v>
      </c>
      <c r="B40">
        <v>326</v>
      </c>
      <c r="C40" s="2">
        <v>44659</v>
      </c>
      <c r="D40" s="2" t="str">
        <f>TEXT(Table3[[#This Row],[usage_date]],"mmmm")</f>
        <v>April</v>
      </c>
      <c r="E40" s="9">
        <f>YEAR(Table3[[#This Row],[usage_date]])</f>
        <v>2022</v>
      </c>
      <c r="F40" s="14">
        <v>0.53</v>
      </c>
      <c r="G40">
        <v>178</v>
      </c>
      <c r="H40" t="s">
        <v>13</v>
      </c>
      <c r="I40" t="str">
        <f t="shared" si="0"/>
        <v>Normal Usage</v>
      </c>
    </row>
    <row r="41" spans="1:9" x14ac:dyDescent="0.3">
      <c r="A41">
        <v>10040</v>
      </c>
      <c r="B41">
        <v>130</v>
      </c>
      <c r="C41" s="2">
        <v>44643</v>
      </c>
      <c r="D41" s="2" t="str">
        <f>TEXT(Table3[[#This Row],[usage_date]],"mmmm")</f>
        <v>March</v>
      </c>
      <c r="E41" s="9">
        <f>YEAR(Table3[[#This Row],[usage_date]])</f>
        <v>2022</v>
      </c>
      <c r="F41" s="14">
        <v>1.45</v>
      </c>
      <c r="G41">
        <v>266</v>
      </c>
      <c r="H41" t="s">
        <v>12</v>
      </c>
      <c r="I41" t="str">
        <f t="shared" si="0"/>
        <v>Normal Usage</v>
      </c>
    </row>
    <row r="42" spans="1:9" x14ac:dyDescent="0.3">
      <c r="A42">
        <v>10041</v>
      </c>
      <c r="B42">
        <v>215</v>
      </c>
      <c r="C42" s="2">
        <v>45063</v>
      </c>
      <c r="D42" s="2" t="str">
        <f>TEXT(Table3[[#This Row],[usage_date]],"mmmm")</f>
        <v>May</v>
      </c>
      <c r="E42" s="9">
        <f>YEAR(Table3[[#This Row],[usage_date]])</f>
        <v>2023</v>
      </c>
      <c r="F42" s="14">
        <v>2.2000000000000002</v>
      </c>
      <c r="G42">
        <v>267</v>
      </c>
      <c r="H42" t="s">
        <v>12</v>
      </c>
      <c r="I42" t="str">
        <f t="shared" si="0"/>
        <v>Normal Usage</v>
      </c>
    </row>
    <row r="43" spans="1:9" x14ac:dyDescent="0.3">
      <c r="A43">
        <v>10042</v>
      </c>
      <c r="B43">
        <v>172</v>
      </c>
      <c r="C43" s="2">
        <v>45038</v>
      </c>
      <c r="D43" s="2" t="str">
        <f>TEXT(Table3[[#This Row],[usage_date]],"mmmm")</f>
        <v>April</v>
      </c>
      <c r="E43" s="9">
        <f>YEAR(Table3[[#This Row],[usage_date]])</f>
        <v>2023</v>
      </c>
      <c r="F43" s="14">
        <v>4.24</v>
      </c>
      <c r="G43">
        <v>7</v>
      </c>
      <c r="H43" t="s">
        <v>12</v>
      </c>
      <c r="I43" t="str">
        <f t="shared" si="0"/>
        <v>Normal Usage</v>
      </c>
    </row>
    <row r="44" spans="1:9" x14ac:dyDescent="0.3">
      <c r="A44">
        <v>10043</v>
      </c>
      <c r="B44">
        <v>258</v>
      </c>
      <c r="C44" s="2">
        <v>45265</v>
      </c>
      <c r="D44" s="2" t="str">
        <f>TEXT(Table3[[#This Row],[usage_date]],"mmmm")</f>
        <v>December</v>
      </c>
      <c r="E44" s="9">
        <f>YEAR(Table3[[#This Row],[usage_date]])</f>
        <v>2023</v>
      </c>
      <c r="F44" s="14">
        <v>11.11</v>
      </c>
      <c r="G44">
        <v>264</v>
      </c>
      <c r="H44" t="s">
        <v>12</v>
      </c>
      <c r="I44" t="str">
        <f t="shared" si="0"/>
        <v>High Usage</v>
      </c>
    </row>
    <row r="45" spans="1:9" x14ac:dyDescent="0.3">
      <c r="A45">
        <v>10044</v>
      </c>
      <c r="B45">
        <v>102</v>
      </c>
      <c r="C45" s="2">
        <v>45326</v>
      </c>
      <c r="D45" s="2" t="str">
        <f>TEXT(Table3[[#This Row],[usage_date]],"mmmm")</f>
        <v>February</v>
      </c>
      <c r="E45" s="9">
        <f>YEAR(Table3[[#This Row],[usage_date]])</f>
        <v>2024</v>
      </c>
      <c r="F45" s="14">
        <v>1.23</v>
      </c>
      <c r="G45">
        <v>77</v>
      </c>
      <c r="H45" t="s">
        <v>13</v>
      </c>
      <c r="I45" t="str">
        <f t="shared" si="0"/>
        <v>Normal Usage</v>
      </c>
    </row>
    <row r="46" spans="1:9" x14ac:dyDescent="0.3">
      <c r="A46">
        <v>10045</v>
      </c>
      <c r="B46">
        <v>209</v>
      </c>
      <c r="C46" s="2">
        <v>45111</v>
      </c>
      <c r="D46" s="2" t="str">
        <f>TEXT(Table3[[#This Row],[usage_date]],"mmmm")</f>
        <v>July</v>
      </c>
      <c r="E46" s="9">
        <f>YEAR(Table3[[#This Row],[usage_date]])</f>
        <v>2023</v>
      </c>
      <c r="F46" s="14">
        <v>0.12</v>
      </c>
      <c r="G46">
        <v>239</v>
      </c>
      <c r="H46" t="s">
        <v>13</v>
      </c>
      <c r="I46" t="str">
        <f t="shared" si="0"/>
        <v>Normal Usage</v>
      </c>
    </row>
    <row r="47" spans="1:9" x14ac:dyDescent="0.3">
      <c r="A47">
        <v>10046</v>
      </c>
      <c r="B47">
        <v>291</v>
      </c>
      <c r="C47" s="2">
        <v>44575</v>
      </c>
      <c r="D47" s="2" t="str">
        <f>TEXT(Table3[[#This Row],[usage_date]],"mmmm")</f>
        <v>January</v>
      </c>
      <c r="E47" s="9">
        <f>YEAR(Table3[[#This Row],[usage_date]])</f>
        <v>2022</v>
      </c>
      <c r="F47" s="14">
        <v>4.04</v>
      </c>
      <c r="G47">
        <v>257</v>
      </c>
      <c r="H47" t="s">
        <v>13</v>
      </c>
      <c r="I47" t="str">
        <f t="shared" si="0"/>
        <v>Normal Usage</v>
      </c>
    </row>
    <row r="48" spans="1:9" x14ac:dyDescent="0.3">
      <c r="A48">
        <v>10047</v>
      </c>
      <c r="B48">
        <v>354</v>
      </c>
      <c r="C48" s="2">
        <v>44953</v>
      </c>
      <c r="D48" s="2" t="str">
        <f>TEXT(Table3[[#This Row],[usage_date]],"mmmm")</f>
        <v>January</v>
      </c>
      <c r="E48" s="9">
        <f>YEAR(Table3[[#This Row],[usage_date]])</f>
        <v>2023</v>
      </c>
      <c r="F48" s="14">
        <v>2.3199999999999998</v>
      </c>
      <c r="G48">
        <v>195</v>
      </c>
      <c r="H48" t="s">
        <v>12</v>
      </c>
      <c r="I48" t="str">
        <f t="shared" si="0"/>
        <v>Normal Usage</v>
      </c>
    </row>
    <row r="49" spans="1:9" x14ac:dyDescent="0.3">
      <c r="A49">
        <v>10048</v>
      </c>
      <c r="B49">
        <v>471</v>
      </c>
      <c r="C49" s="2">
        <v>44908</v>
      </c>
      <c r="D49" s="2" t="str">
        <f>TEXT(Table3[[#This Row],[usage_date]],"mmmm")</f>
        <v>December</v>
      </c>
      <c r="E49" s="9">
        <f>YEAR(Table3[[#This Row],[usage_date]])</f>
        <v>2022</v>
      </c>
      <c r="F49" s="14">
        <v>0.55000000000000004</v>
      </c>
      <c r="G49">
        <v>130</v>
      </c>
      <c r="H49" t="s">
        <v>13</v>
      </c>
      <c r="I49" t="str">
        <f t="shared" si="0"/>
        <v>Normal Usage</v>
      </c>
    </row>
    <row r="50" spans="1:9" x14ac:dyDescent="0.3">
      <c r="A50">
        <v>10049</v>
      </c>
      <c r="B50">
        <v>286</v>
      </c>
      <c r="C50" s="2">
        <v>44871</v>
      </c>
      <c r="D50" s="2" t="str">
        <f>TEXT(Table3[[#This Row],[usage_date]],"mmmm")</f>
        <v>November</v>
      </c>
      <c r="E50" s="9">
        <f>YEAR(Table3[[#This Row],[usage_date]])</f>
        <v>2022</v>
      </c>
      <c r="F50" s="14">
        <v>1.71</v>
      </c>
      <c r="G50">
        <v>260</v>
      </c>
      <c r="H50" t="s">
        <v>12</v>
      </c>
      <c r="I50" t="str">
        <f t="shared" si="0"/>
        <v>Normal Usage</v>
      </c>
    </row>
    <row r="51" spans="1:9" x14ac:dyDescent="0.3">
      <c r="A51">
        <v>10050</v>
      </c>
      <c r="B51">
        <v>116</v>
      </c>
      <c r="C51" s="2">
        <v>44947</v>
      </c>
      <c r="D51" s="2" t="str">
        <f>TEXT(Table3[[#This Row],[usage_date]],"mmmm")</f>
        <v>January</v>
      </c>
      <c r="E51" s="9">
        <f>YEAR(Table3[[#This Row],[usage_date]])</f>
        <v>2023</v>
      </c>
      <c r="F51" s="14">
        <v>3.39</v>
      </c>
      <c r="G51">
        <v>241</v>
      </c>
      <c r="H51" t="s">
        <v>13</v>
      </c>
      <c r="I51" t="str">
        <f t="shared" si="0"/>
        <v>Normal Usage</v>
      </c>
    </row>
    <row r="52" spans="1:9" x14ac:dyDescent="0.3">
      <c r="A52">
        <v>10051</v>
      </c>
      <c r="B52">
        <v>264</v>
      </c>
      <c r="C52" s="2">
        <v>44770</v>
      </c>
      <c r="D52" s="2" t="str">
        <f>TEXT(Table3[[#This Row],[usage_date]],"mmmm")</f>
        <v>July</v>
      </c>
      <c r="E52" s="9">
        <f>YEAR(Table3[[#This Row],[usage_date]])</f>
        <v>2022</v>
      </c>
      <c r="F52" s="14">
        <v>3.68</v>
      </c>
      <c r="G52">
        <v>170</v>
      </c>
      <c r="H52" t="s">
        <v>12</v>
      </c>
      <c r="I52" t="str">
        <f t="shared" si="0"/>
        <v>Normal Usage</v>
      </c>
    </row>
    <row r="53" spans="1:9" x14ac:dyDescent="0.3">
      <c r="A53">
        <v>10052</v>
      </c>
      <c r="B53">
        <v>150</v>
      </c>
      <c r="C53" s="2">
        <v>44918</v>
      </c>
      <c r="D53" s="2" t="str">
        <f>TEXT(Table3[[#This Row],[usage_date]],"mmmm")</f>
        <v>December</v>
      </c>
      <c r="E53" s="9">
        <f>YEAR(Table3[[#This Row],[usage_date]])</f>
        <v>2022</v>
      </c>
      <c r="F53" s="14">
        <v>1.73</v>
      </c>
      <c r="G53">
        <v>146</v>
      </c>
      <c r="H53" t="s">
        <v>12</v>
      </c>
      <c r="I53" t="str">
        <f t="shared" si="0"/>
        <v>Normal Usage</v>
      </c>
    </row>
    <row r="54" spans="1:9" x14ac:dyDescent="0.3">
      <c r="A54">
        <v>10053</v>
      </c>
      <c r="B54">
        <v>300</v>
      </c>
      <c r="C54" s="2">
        <v>45162</v>
      </c>
      <c r="D54" s="2" t="str">
        <f>TEXT(Table3[[#This Row],[usage_date]],"mmmm")</f>
        <v>August</v>
      </c>
      <c r="E54" s="9">
        <f>YEAR(Table3[[#This Row],[usage_date]])</f>
        <v>2023</v>
      </c>
      <c r="F54" s="14">
        <v>0.91</v>
      </c>
      <c r="G54">
        <v>269</v>
      </c>
      <c r="H54" t="s">
        <v>12</v>
      </c>
      <c r="I54" t="str">
        <f t="shared" si="0"/>
        <v>Normal Usage</v>
      </c>
    </row>
    <row r="55" spans="1:9" x14ac:dyDescent="0.3">
      <c r="A55">
        <v>10054</v>
      </c>
      <c r="B55">
        <v>442</v>
      </c>
      <c r="C55" s="2">
        <v>45129</v>
      </c>
      <c r="D55" s="2" t="str">
        <f>TEXT(Table3[[#This Row],[usage_date]],"mmmm")</f>
        <v>July</v>
      </c>
      <c r="E55" s="9">
        <f>YEAR(Table3[[#This Row],[usage_date]])</f>
        <v>2023</v>
      </c>
      <c r="F55" s="14">
        <v>9.1</v>
      </c>
      <c r="G55">
        <v>148</v>
      </c>
      <c r="H55" t="s">
        <v>12</v>
      </c>
      <c r="I55" t="str">
        <f t="shared" si="0"/>
        <v>High Usage</v>
      </c>
    </row>
    <row r="56" spans="1:9" x14ac:dyDescent="0.3">
      <c r="A56">
        <v>10055</v>
      </c>
      <c r="B56">
        <v>36</v>
      </c>
      <c r="C56" s="2">
        <v>44655</v>
      </c>
      <c r="D56" s="2" t="str">
        <f>TEXT(Table3[[#This Row],[usage_date]],"mmmm")</f>
        <v>April</v>
      </c>
      <c r="E56" s="9">
        <f>YEAR(Table3[[#This Row],[usage_date]])</f>
        <v>2022</v>
      </c>
      <c r="F56" s="14">
        <v>2.72</v>
      </c>
      <c r="G56">
        <v>298</v>
      </c>
      <c r="H56" t="s">
        <v>12</v>
      </c>
      <c r="I56" t="str">
        <f t="shared" si="0"/>
        <v>Normal Usage</v>
      </c>
    </row>
    <row r="57" spans="1:9" x14ac:dyDescent="0.3">
      <c r="A57">
        <v>10056</v>
      </c>
      <c r="B57">
        <v>453</v>
      </c>
      <c r="C57" s="2">
        <v>44654</v>
      </c>
      <c r="D57" s="2" t="str">
        <f>TEXT(Table3[[#This Row],[usage_date]],"mmmm")</f>
        <v>April</v>
      </c>
      <c r="E57" s="9">
        <f>YEAR(Table3[[#This Row],[usage_date]])</f>
        <v>2022</v>
      </c>
      <c r="F57" s="14">
        <v>1.31</v>
      </c>
      <c r="G57">
        <v>27</v>
      </c>
      <c r="H57" t="s">
        <v>13</v>
      </c>
      <c r="I57" t="str">
        <f t="shared" si="0"/>
        <v>Normal Usage</v>
      </c>
    </row>
    <row r="58" spans="1:9" x14ac:dyDescent="0.3">
      <c r="A58">
        <v>10057</v>
      </c>
      <c r="B58">
        <v>333</v>
      </c>
      <c r="C58" s="2">
        <v>44901</v>
      </c>
      <c r="D58" s="2" t="str">
        <f>TEXT(Table3[[#This Row],[usage_date]],"mmmm")</f>
        <v>December</v>
      </c>
      <c r="E58" s="9">
        <f>YEAR(Table3[[#This Row],[usage_date]])</f>
        <v>2022</v>
      </c>
      <c r="F58" s="14">
        <v>0.82</v>
      </c>
      <c r="G58">
        <v>148</v>
      </c>
      <c r="H58" t="s">
        <v>12</v>
      </c>
      <c r="I58" t="str">
        <f t="shared" si="0"/>
        <v>Normal Usage</v>
      </c>
    </row>
    <row r="59" spans="1:9" x14ac:dyDescent="0.3">
      <c r="A59">
        <v>10058</v>
      </c>
      <c r="B59">
        <v>477</v>
      </c>
      <c r="C59" s="2">
        <v>45158</v>
      </c>
      <c r="D59" s="2" t="str">
        <f>TEXT(Table3[[#This Row],[usage_date]],"mmmm")</f>
        <v>August</v>
      </c>
      <c r="E59" s="9">
        <f>YEAR(Table3[[#This Row],[usage_date]])</f>
        <v>2023</v>
      </c>
      <c r="F59" s="14">
        <v>3.28</v>
      </c>
      <c r="G59">
        <v>279</v>
      </c>
      <c r="H59" t="s">
        <v>12</v>
      </c>
      <c r="I59" t="str">
        <f t="shared" si="0"/>
        <v>Normal Usage</v>
      </c>
    </row>
    <row r="60" spans="1:9" x14ac:dyDescent="0.3">
      <c r="A60">
        <v>10059</v>
      </c>
      <c r="B60">
        <v>287</v>
      </c>
      <c r="C60" s="2">
        <v>45006</v>
      </c>
      <c r="D60" s="2" t="str">
        <f>TEXT(Table3[[#This Row],[usage_date]],"mmmm")</f>
        <v>March</v>
      </c>
      <c r="E60" s="9">
        <f>YEAR(Table3[[#This Row],[usage_date]])</f>
        <v>2023</v>
      </c>
      <c r="F60" s="14">
        <v>0.69</v>
      </c>
      <c r="G60">
        <v>181</v>
      </c>
      <c r="H60" t="s">
        <v>12</v>
      </c>
      <c r="I60" t="str">
        <f t="shared" si="0"/>
        <v>Normal Usage</v>
      </c>
    </row>
    <row r="61" spans="1:9" x14ac:dyDescent="0.3">
      <c r="A61">
        <v>10060</v>
      </c>
      <c r="B61">
        <v>303</v>
      </c>
      <c r="C61" s="2">
        <v>45318</v>
      </c>
      <c r="D61" s="2" t="str">
        <f>TEXT(Table3[[#This Row],[usage_date]],"mmmm")</f>
        <v>January</v>
      </c>
      <c r="E61" s="9">
        <f>YEAR(Table3[[#This Row],[usage_date]])</f>
        <v>2024</v>
      </c>
      <c r="F61" s="14">
        <v>0.47</v>
      </c>
      <c r="G61">
        <v>165</v>
      </c>
      <c r="H61" t="s">
        <v>12</v>
      </c>
      <c r="I61" t="str">
        <f t="shared" si="0"/>
        <v>Normal Usage</v>
      </c>
    </row>
    <row r="62" spans="1:9" x14ac:dyDescent="0.3">
      <c r="A62">
        <v>10061</v>
      </c>
      <c r="B62">
        <v>311</v>
      </c>
      <c r="C62" s="2">
        <v>44583</v>
      </c>
      <c r="D62" s="2" t="str">
        <f>TEXT(Table3[[#This Row],[usage_date]],"mmmm")</f>
        <v>January</v>
      </c>
      <c r="E62" s="9">
        <f>YEAR(Table3[[#This Row],[usage_date]])</f>
        <v>2022</v>
      </c>
      <c r="F62" s="14">
        <v>1.89</v>
      </c>
      <c r="G62">
        <v>16</v>
      </c>
      <c r="H62" t="s">
        <v>13</v>
      </c>
      <c r="I62" t="str">
        <f t="shared" si="0"/>
        <v>Normal Usage</v>
      </c>
    </row>
    <row r="63" spans="1:9" x14ac:dyDescent="0.3">
      <c r="A63">
        <v>10062</v>
      </c>
      <c r="B63">
        <v>208</v>
      </c>
      <c r="C63" s="2">
        <v>44852</v>
      </c>
      <c r="D63" s="2" t="str">
        <f>TEXT(Table3[[#This Row],[usage_date]],"mmmm")</f>
        <v>October</v>
      </c>
      <c r="E63" s="9">
        <f>YEAR(Table3[[#This Row],[usage_date]])</f>
        <v>2022</v>
      </c>
      <c r="F63" s="14">
        <v>0.86</v>
      </c>
      <c r="G63">
        <v>149</v>
      </c>
      <c r="H63" t="s">
        <v>12</v>
      </c>
      <c r="I63" t="str">
        <f t="shared" si="0"/>
        <v>Normal Usage</v>
      </c>
    </row>
    <row r="64" spans="1:9" x14ac:dyDescent="0.3">
      <c r="A64">
        <v>10063</v>
      </c>
      <c r="B64">
        <v>106</v>
      </c>
      <c r="C64" s="2">
        <v>45046</v>
      </c>
      <c r="D64" s="2" t="str">
        <f>TEXT(Table3[[#This Row],[usage_date]],"mmmm")</f>
        <v>April</v>
      </c>
      <c r="E64" s="9">
        <f>YEAR(Table3[[#This Row],[usage_date]])</f>
        <v>2023</v>
      </c>
      <c r="F64" s="14">
        <v>2.48</v>
      </c>
      <c r="G64">
        <v>44</v>
      </c>
      <c r="H64" t="s">
        <v>12</v>
      </c>
      <c r="I64" t="str">
        <f t="shared" si="0"/>
        <v>Normal Usage</v>
      </c>
    </row>
    <row r="65" spans="1:9" x14ac:dyDescent="0.3">
      <c r="A65">
        <v>10064</v>
      </c>
      <c r="B65">
        <v>446</v>
      </c>
      <c r="C65" s="2">
        <v>45345</v>
      </c>
      <c r="D65" s="2" t="str">
        <f>TEXT(Table3[[#This Row],[usage_date]],"mmmm")</f>
        <v>February</v>
      </c>
      <c r="E65" s="9">
        <f>YEAR(Table3[[#This Row],[usage_date]])</f>
        <v>2024</v>
      </c>
      <c r="F65" s="14">
        <v>0.31</v>
      </c>
      <c r="G65">
        <v>188</v>
      </c>
      <c r="H65" t="s">
        <v>13</v>
      </c>
      <c r="I65" t="str">
        <f t="shared" si="0"/>
        <v>Normal Usage</v>
      </c>
    </row>
    <row r="66" spans="1:9" x14ac:dyDescent="0.3">
      <c r="A66">
        <v>10065</v>
      </c>
      <c r="B66">
        <v>158</v>
      </c>
      <c r="C66" s="2">
        <v>44867</v>
      </c>
      <c r="D66" s="2" t="str">
        <f>TEXT(Table3[[#This Row],[usage_date]],"mmmm")</f>
        <v>November</v>
      </c>
      <c r="E66" s="9">
        <f>YEAR(Table3[[#This Row],[usage_date]])</f>
        <v>2022</v>
      </c>
      <c r="F66" s="14">
        <v>2.66</v>
      </c>
      <c r="G66">
        <v>138</v>
      </c>
      <c r="H66" t="s">
        <v>13</v>
      </c>
      <c r="I66" t="str">
        <f t="shared" ref="I66:I129" si="1">IF(F66&gt;6,"High Usage","Normal Usage")</f>
        <v>Normal Usage</v>
      </c>
    </row>
    <row r="67" spans="1:9" x14ac:dyDescent="0.3">
      <c r="A67">
        <v>10066</v>
      </c>
      <c r="B67">
        <v>121</v>
      </c>
      <c r="C67" s="2">
        <v>45195</v>
      </c>
      <c r="D67" s="2" t="str">
        <f>TEXT(Table3[[#This Row],[usage_date]],"mmmm")</f>
        <v>September</v>
      </c>
      <c r="E67" s="9">
        <f>YEAR(Table3[[#This Row],[usage_date]])</f>
        <v>2023</v>
      </c>
      <c r="F67" s="14">
        <v>0.83</v>
      </c>
      <c r="G67">
        <v>60</v>
      </c>
      <c r="H67" t="s">
        <v>12</v>
      </c>
      <c r="I67" t="str">
        <f t="shared" si="1"/>
        <v>Normal Usage</v>
      </c>
    </row>
    <row r="68" spans="1:9" x14ac:dyDescent="0.3">
      <c r="A68">
        <v>10067</v>
      </c>
      <c r="B68">
        <v>55</v>
      </c>
      <c r="C68" s="2">
        <v>44689</v>
      </c>
      <c r="D68" s="2" t="str">
        <f>TEXT(Table3[[#This Row],[usage_date]],"mmmm")</f>
        <v>May</v>
      </c>
      <c r="E68" s="9">
        <f>YEAR(Table3[[#This Row],[usage_date]])</f>
        <v>2022</v>
      </c>
      <c r="F68" s="14">
        <v>0</v>
      </c>
      <c r="G68">
        <v>293</v>
      </c>
      <c r="H68" t="s">
        <v>13</v>
      </c>
      <c r="I68" t="str">
        <f t="shared" si="1"/>
        <v>Normal Usage</v>
      </c>
    </row>
    <row r="69" spans="1:9" x14ac:dyDescent="0.3">
      <c r="A69">
        <v>10068</v>
      </c>
      <c r="B69">
        <v>400</v>
      </c>
      <c r="C69" s="2">
        <v>45186</v>
      </c>
      <c r="D69" s="2" t="str">
        <f>TEXT(Table3[[#This Row],[usage_date]],"mmmm")</f>
        <v>September</v>
      </c>
      <c r="E69" s="9">
        <f>YEAR(Table3[[#This Row],[usage_date]])</f>
        <v>2023</v>
      </c>
      <c r="F69" s="14">
        <v>0.34</v>
      </c>
      <c r="G69">
        <v>32</v>
      </c>
      <c r="H69" t="s">
        <v>12</v>
      </c>
      <c r="I69" t="str">
        <f t="shared" si="1"/>
        <v>Normal Usage</v>
      </c>
    </row>
    <row r="70" spans="1:9" x14ac:dyDescent="0.3">
      <c r="A70">
        <v>10069</v>
      </c>
      <c r="B70">
        <v>12</v>
      </c>
      <c r="C70" s="2">
        <v>44834</v>
      </c>
      <c r="D70" s="2" t="str">
        <f>TEXT(Table3[[#This Row],[usage_date]],"mmmm")</f>
        <v>September</v>
      </c>
      <c r="E70" s="9">
        <f>YEAR(Table3[[#This Row],[usage_date]])</f>
        <v>2022</v>
      </c>
      <c r="F70" s="14">
        <v>6.78</v>
      </c>
      <c r="G70">
        <v>298</v>
      </c>
      <c r="H70" t="s">
        <v>13</v>
      </c>
      <c r="I70" t="str">
        <f t="shared" si="1"/>
        <v>High Usage</v>
      </c>
    </row>
    <row r="71" spans="1:9" x14ac:dyDescent="0.3">
      <c r="A71">
        <v>10070</v>
      </c>
      <c r="B71">
        <v>145</v>
      </c>
      <c r="C71" s="2">
        <v>45409</v>
      </c>
      <c r="D71" s="2" t="str">
        <f>TEXT(Table3[[#This Row],[usage_date]],"mmmm")</f>
        <v>April</v>
      </c>
      <c r="E71" s="9">
        <f>YEAR(Table3[[#This Row],[usage_date]])</f>
        <v>2024</v>
      </c>
      <c r="F71" s="14">
        <v>5.05</v>
      </c>
      <c r="G71">
        <v>111</v>
      </c>
      <c r="H71" t="s">
        <v>12</v>
      </c>
      <c r="I71" t="str">
        <f t="shared" si="1"/>
        <v>Normal Usage</v>
      </c>
    </row>
    <row r="72" spans="1:9" x14ac:dyDescent="0.3">
      <c r="A72">
        <v>10071</v>
      </c>
      <c r="B72">
        <v>400</v>
      </c>
      <c r="C72" s="2">
        <v>45003</v>
      </c>
      <c r="D72" s="2" t="str">
        <f>TEXT(Table3[[#This Row],[usage_date]],"mmmm")</f>
        <v>March</v>
      </c>
      <c r="E72" s="9">
        <f>YEAR(Table3[[#This Row],[usage_date]])</f>
        <v>2023</v>
      </c>
      <c r="F72" s="14">
        <v>0.67</v>
      </c>
      <c r="G72">
        <v>290</v>
      </c>
      <c r="H72" t="s">
        <v>13</v>
      </c>
      <c r="I72" t="str">
        <f t="shared" si="1"/>
        <v>Normal Usage</v>
      </c>
    </row>
    <row r="73" spans="1:9" x14ac:dyDescent="0.3">
      <c r="A73">
        <v>10072</v>
      </c>
      <c r="B73">
        <v>396</v>
      </c>
      <c r="C73" s="2">
        <v>45064</v>
      </c>
      <c r="D73" s="2" t="str">
        <f>TEXT(Table3[[#This Row],[usage_date]],"mmmm")</f>
        <v>May</v>
      </c>
      <c r="E73" s="9">
        <f>YEAR(Table3[[#This Row],[usage_date]])</f>
        <v>2023</v>
      </c>
      <c r="F73" s="14">
        <v>3.77</v>
      </c>
      <c r="G73">
        <v>36</v>
      </c>
      <c r="H73" t="s">
        <v>12</v>
      </c>
      <c r="I73" t="str">
        <f t="shared" si="1"/>
        <v>Normal Usage</v>
      </c>
    </row>
    <row r="74" spans="1:9" x14ac:dyDescent="0.3">
      <c r="A74">
        <v>10073</v>
      </c>
      <c r="B74">
        <v>136</v>
      </c>
      <c r="C74" s="2">
        <v>44691</v>
      </c>
      <c r="D74" s="2" t="str">
        <f>TEXT(Table3[[#This Row],[usage_date]],"mmmm")</f>
        <v>May</v>
      </c>
      <c r="E74" s="9">
        <f>YEAR(Table3[[#This Row],[usage_date]])</f>
        <v>2022</v>
      </c>
      <c r="F74" s="14">
        <v>2.34</v>
      </c>
      <c r="G74">
        <v>99</v>
      </c>
      <c r="H74" t="s">
        <v>12</v>
      </c>
      <c r="I74" t="str">
        <f t="shared" si="1"/>
        <v>Normal Usage</v>
      </c>
    </row>
    <row r="75" spans="1:9" x14ac:dyDescent="0.3">
      <c r="A75">
        <v>10074</v>
      </c>
      <c r="B75">
        <v>468</v>
      </c>
      <c r="C75" s="2">
        <v>44693</v>
      </c>
      <c r="D75" s="2" t="str">
        <f>TEXT(Table3[[#This Row],[usage_date]],"mmmm")</f>
        <v>May</v>
      </c>
      <c r="E75" s="9">
        <f>YEAR(Table3[[#This Row],[usage_date]])</f>
        <v>2022</v>
      </c>
      <c r="F75" s="14">
        <v>8.84</v>
      </c>
      <c r="G75">
        <v>22</v>
      </c>
      <c r="H75" t="s">
        <v>12</v>
      </c>
      <c r="I75" t="str">
        <f t="shared" si="1"/>
        <v>High Usage</v>
      </c>
    </row>
    <row r="76" spans="1:9" x14ac:dyDescent="0.3">
      <c r="A76">
        <v>10075</v>
      </c>
      <c r="B76">
        <v>3</v>
      </c>
      <c r="C76" s="2">
        <v>45158</v>
      </c>
      <c r="D76" s="2" t="str">
        <f>TEXT(Table3[[#This Row],[usage_date]],"mmmm")</f>
        <v>August</v>
      </c>
      <c r="E76" s="9">
        <f>YEAR(Table3[[#This Row],[usage_date]])</f>
        <v>2023</v>
      </c>
      <c r="F76" s="14">
        <v>1.17</v>
      </c>
      <c r="G76">
        <v>217</v>
      </c>
      <c r="H76" t="s">
        <v>12</v>
      </c>
      <c r="I76" t="str">
        <f t="shared" si="1"/>
        <v>Normal Usage</v>
      </c>
    </row>
    <row r="77" spans="1:9" x14ac:dyDescent="0.3">
      <c r="A77">
        <v>10076</v>
      </c>
      <c r="B77">
        <v>144</v>
      </c>
      <c r="C77" s="2">
        <v>45043</v>
      </c>
      <c r="D77" s="2" t="str">
        <f>TEXT(Table3[[#This Row],[usage_date]],"mmmm")</f>
        <v>April</v>
      </c>
      <c r="E77" s="9">
        <f>YEAR(Table3[[#This Row],[usage_date]])</f>
        <v>2023</v>
      </c>
      <c r="F77" s="14">
        <v>2.86</v>
      </c>
      <c r="G77">
        <v>88</v>
      </c>
      <c r="H77" t="s">
        <v>13</v>
      </c>
      <c r="I77" t="str">
        <f t="shared" si="1"/>
        <v>Normal Usage</v>
      </c>
    </row>
    <row r="78" spans="1:9" x14ac:dyDescent="0.3">
      <c r="A78">
        <v>10077</v>
      </c>
      <c r="B78">
        <v>30</v>
      </c>
      <c r="C78" s="2">
        <v>45423</v>
      </c>
      <c r="D78" s="2" t="str">
        <f>TEXT(Table3[[#This Row],[usage_date]],"mmmm")</f>
        <v>May</v>
      </c>
      <c r="E78" s="9">
        <f>YEAR(Table3[[#This Row],[usage_date]])</f>
        <v>2024</v>
      </c>
      <c r="F78" s="14">
        <v>0.16</v>
      </c>
      <c r="G78">
        <v>208</v>
      </c>
      <c r="H78" t="s">
        <v>12</v>
      </c>
      <c r="I78" t="str">
        <f t="shared" si="1"/>
        <v>Normal Usage</v>
      </c>
    </row>
    <row r="79" spans="1:9" x14ac:dyDescent="0.3">
      <c r="A79">
        <v>10078</v>
      </c>
      <c r="B79">
        <v>237</v>
      </c>
      <c r="C79" s="2">
        <v>44951</v>
      </c>
      <c r="D79" s="2" t="str">
        <f>TEXT(Table3[[#This Row],[usage_date]],"mmmm")</f>
        <v>January</v>
      </c>
      <c r="E79" s="9">
        <f>YEAR(Table3[[#This Row],[usage_date]])</f>
        <v>2023</v>
      </c>
      <c r="F79" s="14">
        <v>1.26</v>
      </c>
      <c r="G79">
        <v>270</v>
      </c>
      <c r="H79" t="s">
        <v>12</v>
      </c>
      <c r="I79" t="str">
        <f t="shared" si="1"/>
        <v>Normal Usage</v>
      </c>
    </row>
    <row r="80" spans="1:9" x14ac:dyDescent="0.3">
      <c r="A80">
        <v>10079</v>
      </c>
      <c r="B80">
        <v>279</v>
      </c>
      <c r="C80" s="2">
        <v>45154</v>
      </c>
      <c r="D80" s="2" t="str">
        <f>TEXT(Table3[[#This Row],[usage_date]],"mmmm")</f>
        <v>August</v>
      </c>
      <c r="E80" s="9">
        <f>YEAR(Table3[[#This Row],[usage_date]])</f>
        <v>2023</v>
      </c>
      <c r="F80" s="14">
        <v>8.3000000000000007</v>
      </c>
      <c r="G80">
        <v>236</v>
      </c>
      <c r="H80" t="s">
        <v>12</v>
      </c>
      <c r="I80" t="str">
        <f t="shared" si="1"/>
        <v>High Usage</v>
      </c>
    </row>
    <row r="81" spans="1:9" x14ac:dyDescent="0.3">
      <c r="A81">
        <v>10080</v>
      </c>
      <c r="B81">
        <v>348</v>
      </c>
      <c r="C81" s="2">
        <v>44886</v>
      </c>
      <c r="D81" s="2" t="str">
        <f>TEXT(Table3[[#This Row],[usage_date]],"mmmm")</f>
        <v>November</v>
      </c>
      <c r="E81" s="9">
        <f>YEAR(Table3[[#This Row],[usage_date]])</f>
        <v>2022</v>
      </c>
      <c r="F81" s="14">
        <v>1.94</v>
      </c>
      <c r="G81">
        <v>208</v>
      </c>
      <c r="H81" t="s">
        <v>12</v>
      </c>
      <c r="I81" t="str">
        <f t="shared" si="1"/>
        <v>Normal Usage</v>
      </c>
    </row>
    <row r="82" spans="1:9" x14ac:dyDescent="0.3">
      <c r="A82">
        <v>10081</v>
      </c>
      <c r="B82">
        <v>115</v>
      </c>
      <c r="C82" s="2">
        <v>44630</v>
      </c>
      <c r="D82" s="2" t="str">
        <f>TEXT(Table3[[#This Row],[usage_date]],"mmmm")</f>
        <v>March</v>
      </c>
      <c r="E82" s="9">
        <f>YEAR(Table3[[#This Row],[usage_date]])</f>
        <v>2022</v>
      </c>
      <c r="F82" s="14">
        <v>0.85</v>
      </c>
      <c r="G82">
        <v>277</v>
      </c>
      <c r="H82" t="s">
        <v>13</v>
      </c>
      <c r="I82" t="str">
        <f t="shared" si="1"/>
        <v>Normal Usage</v>
      </c>
    </row>
    <row r="83" spans="1:9" x14ac:dyDescent="0.3">
      <c r="A83">
        <v>10082</v>
      </c>
      <c r="B83">
        <v>104</v>
      </c>
      <c r="C83" s="2">
        <v>45221</v>
      </c>
      <c r="D83" s="2" t="str">
        <f>TEXT(Table3[[#This Row],[usage_date]],"mmmm")</f>
        <v>October</v>
      </c>
      <c r="E83" s="9">
        <f>YEAR(Table3[[#This Row],[usage_date]])</f>
        <v>2023</v>
      </c>
      <c r="F83" s="14">
        <v>0.32</v>
      </c>
      <c r="G83">
        <v>205</v>
      </c>
      <c r="H83" t="s">
        <v>12</v>
      </c>
      <c r="I83" t="str">
        <f t="shared" si="1"/>
        <v>Normal Usage</v>
      </c>
    </row>
    <row r="84" spans="1:9" x14ac:dyDescent="0.3">
      <c r="A84">
        <v>10083</v>
      </c>
      <c r="B84">
        <v>118</v>
      </c>
      <c r="C84" s="2">
        <v>45009</v>
      </c>
      <c r="D84" s="2" t="str">
        <f>TEXT(Table3[[#This Row],[usage_date]],"mmmm")</f>
        <v>March</v>
      </c>
      <c r="E84" s="9">
        <f>YEAR(Table3[[#This Row],[usage_date]])</f>
        <v>2023</v>
      </c>
      <c r="F84" s="14">
        <v>3.04</v>
      </c>
      <c r="G84">
        <v>77</v>
      </c>
      <c r="H84" t="s">
        <v>12</v>
      </c>
      <c r="I84" t="str">
        <f t="shared" si="1"/>
        <v>Normal Usage</v>
      </c>
    </row>
    <row r="85" spans="1:9" x14ac:dyDescent="0.3">
      <c r="A85">
        <v>10084</v>
      </c>
      <c r="B85">
        <v>5</v>
      </c>
      <c r="C85" s="2">
        <v>45089</v>
      </c>
      <c r="D85" s="2" t="str">
        <f>TEXT(Table3[[#This Row],[usage_date]],"mmmm")</f>
        <v>June</v>
      </c>
      <c r="E85" s="9">
        <f>YEAR(Table3[[#This Row],[usage_date]])</f>
        <v>2023</v>
      </c>
      <c r="F85" s="14">
        <v>2.59</v>
      </c>
      <c r="G85">
        <v>97</v>
      </c>
      <c r="H85" t="s">
        <v>13</v>
      </c>
      <c r="I85" t="str">
        <f t="shared" si="1"/>
        <v>Normal Usage</v>
      </c>
    </row>
    <row r="86" spans="1:9" x14ac:dyDescent="0.3">
      <c r="A86">
        <v>10085</v>
      </c>
      <c r="B86">
        <v>468</v>
      </c>
      <c r="C86" s="2">
        <v>45380</v>
      </c>
      <c r="D86" s="2" t="str">
        <f>TEXT(Table3[[#This Row],[usage_date]],"mmmm")</f>
        <v>March</v>
      </c>
      <c r="E86" s="9">
        <f>YEAR(Table3[[#This Row],[usage_date]])</f>
        <v>2024</v>
      </c>
      <c r="F86" s="14">
        <v>1.17</v>
      </c>
      <c r="G86">
        <v>93</v>
      </c>
      <c r="H86" t="s">
        <v>13</v>
      </c>
      <c r="I86" t="str">
        <f t="shared" si="1"/>
        <v>Normal Usage</v>
      </c>
    </row>
    <row r="87" spans="1:9" x14ac:dyDescent="0.3">
      <c r="A87">
        <v>10086</v>
      </c>
      <c r="B87">
        <v>360</v>
      </c>
      <c r="C87" s="2">
        <v>45178</v>
      </c>
      <c r="D87" s="2" t="str">
        <f>TEXT(Table3[[#This Row],[usage_date]],"mmmm")</f>
        <v>September</v>
      </c>
      <c r="E87" s="9">
        <f>YEAR(Table3[[#This Row],[usage_date]])</f>
        <v>2023</v>
      </c>
      <c r="F87" s="14">
        <v>7.54</v>
      </c>
      <c r="G87">
        <v>79</v>
      </c>
      <c r="H87" t="s">
        <v>12</v>
      </c>
      <c r="I87" t="str">
        <f t="shared" si="1"/>
        <v>High Usage</v>
      </c>
    </row>
    <row r="88" spans="1:9" x14ac:dyDescent="0.3">
      <c r="A88">
        <v>10087</v>
      </c>
      <c r="B88">
        <v>248</v>
      </c>
      <c r="C88" s="2">
        <v>44726</v>
      </c>
      <c r="D88" s="2" t="str">
        <f>TEXT(Table3[[#This Row],[usage_date]],"mmmm")</f>
        <v>June</v>
      </c>
      <c r="E88" s="9">
        <f>YEAR(Table3[[#This Row],[usage_date]])</f>
        <v>2022</v>
      </c>
      <c r="F88" s="14">
        <v>0.06</v>
      </c>
      <c r="G88">
        <v>37</v>
      </c>
      <c r="H88" t="s">
        <v>12</v>
      </c>
      <c r="I88" t="str">
        <f t="shared" si="1"/>
        <v>Normal Usage</v>
      </c>
    </row>
    <row r="89" spans="1:9" x14ac:dyDescent="0.3">
      <c r="A89">
        <v>10088</v>
      </c>
      <c r="B89">
        <v>364</v>
      </c>
      <c r="C89" s="2">
        <v>45049</v>
      </c>
      <c r="D89" s="2" t="str">
        <f>TEXT(Table3[[#This Row],[usage_date]],"mmmm")</f>
        <v>May</v>
      </c>
      <c r="E89" s="9">
        <f>YEAR(Table3[[#This Row],[usage_date]])</f>
        <v>2023</v>
      </c>
      <c r="F89" s="14">
        <v>0.91</v>
      </c>
      <c r="G89">
        <v>227</v>
      </c>
      <c r="H89" t="s">
        <v>13</v>
      </c>
      <c r="I89" t="str">
        <f t="shared" si="1"/>
        <v>Normal Usage</v>
      </c>
    </row>
    <row r="90" spans="1:9" x14ac:dyDescent="0.3">
      <c r="A90">
        <v>10089</v>
      </c>
      <c r="B90">
        <v>321</v>
      </c>
      <c r="C90" s="2">
        <v>45274</v>
      </c>
      <c r="D90" s="2" t="str">
        <f>TEXT(Table3[[#This Row],[usage_date]],"mmmm")</f>
        <v>December</v>
      </c>
      <c r="E90" s="9">
        <f>YEAR(Table3[[#This Row],[usage_date]])</f>
        <v>2023</v>
      </c>
      <c r="F90" s="14">
        <v>6.35</v>
      </c>
      <c r="G90">
        <v>133</v>
      </c>
      <c r="H90" t="s">
        <v>13</v>
      </c>
      <c r="I90" t="str">
        <f t="shared" si="1"/>
        <v>High Usage</v>
      </c>
    </row>
    <row r="91" spans="1:9" x14ac:dyDescent="0.3">
      <c r="A91">
        <v>10090</v>
      </c>
      <c r="B91">
        <v>121</v>
      </c>
      <c r="C91" s="2">
        <v>45270</v>
      </c>
      <c r="D91" s="2" t="str">
        <f>TEXT(Table3[[#This Row],[usage_date]],"mmmm")</f>
        <v>December</v>
      </c>
      <c r="E91" s="9">
        <f>YEAR(Table3[[#This Row],[usage_date]])</f>
        <v>2023</v>
      </c>
      <c r="F91" s="14">
        <v>0.97</v>
      </c>
      <c r="G91">
        <v>195</v>
      </c>
      <c r="H91" t="s">
        <v>13</v>
      </c>
      <c r="I91" t="str">
        <f t="shared" si="1"/>
        <v>Normal Usage</v>
      </c>
    </row>
    <row r="92" spans="1:9" x14ac:dyDescent="0.3">
      <c r="A92">
        <v>10091</v>
      </c>
      <c r="B92">
        <v>286</v>
      </c>
      <c r="C92" s="2">
        <v>44987</v>
      </c>
      <c r="D92" s="2" t="str">
        <f>TEXT(Table3[[#This Row],[usage_date]],"mmmm")</f>
        <v>March</v>
      </c>
      <c r="E92" s="9">
        <f>YEAR(Table3[[#This Row],[usage_date]])</f>
        <v>2023</v>
      </c>
      <c r="F92" s="14">
        <v>0.73</v>
      </c>
      <c r="G92">
        <v>281</v>
      </c>
      <c r="H92" t="s">
        <v>13</v>
      </c>
      <c r="I92" t="str">
        <f t="shared" si="1"/>
        <v>Normal Usage</v>
      </c>
    </row>
    <row r="93" spans="1:9" x14ac:dyDescent="0.3">
      <c r="A93">
        <v>10092</v>
      </c>
      <c r="B93">
        <v>149</v>
      </c>
      <c r="C93" s="2">
        <v>45258</v>
      </c>
      <c r="D93" s="2" t="str">
        <f>TEXT(Table3[[#This Row],[usage_date]],"mmmm")</f>
        <v>November</v>
      </c>
      <c r="E93" s="9">
        <f>YEAR(Table3[[#This Row],[usage_date]])</f>
        <v>2023</v>
      </c>
      <c r="F93" s="14">
        <v>1.91</v>
      </c>
      <c r="G93">
        <v>100</v>
      </c>
      <c r="H93" t="s">
        <v>13</v>
      </c>
      <c r="I93" t="str">
        <f t="shared" si="1"/>
        <v>Normal Usage</v>
      </c>
    </row>
    <row r="94" spans="1:9" x14ac:dyDescent="0.3">
      <c r="A94">
        <v>10093</v>
      </c>
      <c r="B94">
        <v>84</v>
      </c>
      <c r="C94" s="2">
        <v>45395</v>
      </c>
      <c r="D94" s="2" t="str">
        <f>TEXT(Table3[[#This Row],[usage_date]],"mmmm")</f>
        <v>April</v>
      </c>
      <c r="E94" s="9">
        <f>YEAR(Table3[[#This Row],[usage_date]])</f>
        <v>2024</v>
      </c>
      <c r="F94" s="14">
        <v>4.34</v>
      </c>
      <c r="G94">
        <v>74</v>
      </c>
      <c r="H94" t="s">
        <v>13</v>
      </c>
      <c r="I94" t="str">
        <f t="shared" si="1"/>
        <v>Normal Usage</v>
      </c>
    </row>
    <row r="95" spans="1:9" x14ac:dyDescent="0.3">
      <c r="A95">
        <v>10094</v>
      </c>
      <c r="B95">
        <v>454</v>
      </c>
      <c r="C95" s="2">
        <v>44826</v>
      </c>
      <c r="D95" s="2" t="str">
        <f>TEXT(Table3[[#This Row],[usage_date]],"mmmm")</f>
        <v>September</v>
      </c>
      <c r="E95" s="9">
        <f>YEAR(Table3[[#This Row],[usage_date]])</f>
        <v>2022</v>
      </c>
      <c r="F95" s="14">
        <v>0.27</v>
      </c>
      <c r="G95">
        <v>293</v>
      </c>
      <c r="H95" t="s">
        <v>13</v>
      </c>
      <c r="I95" t="str">
        <f t="shared" si="1"/>
        <v>Normal Usage</v>
      </c>
    </row>
    <row r="96" spans="1:9" x14ac:dyDescent="0.3">
      <c r="A96">
        <v>10095</v>
      </c>
      <c r="B96">
        <v>406</v>
      </c>
      <c r="C96" s="2">
        <v>45436</v>
      </c>
      <c r="D96" s="2" t="str">
        <f>TEXT(Table3[[#This Row],[usage_date]],"mmmm")</f>
        <v>May</v>
      </c>
      <c r="E96" s="9">
        <f>YEAR(Table3[[#This Row],[usage_date]])</f>
        <v>2024</v>
      </c>
      <c r="F96" s="14">
        <v>7.16</v>
      </c>
      <c r="G96">
        <v>207</v>
      </c>
      <c r="H96" t="s">
        <v>12</v>
      </c>
      <c r="I96" t="str">
        <f t="shared" si="1"/>
        <v>High Usage</v>
      </c>
    </row>
    <row r="97" spans="1:9" x14ac:dyDescent="0.3">
      <c r="A97">
        <v>10096</v>
      </c>
      <c r="B97">
        <v>466</v>
      </c>
      <c r="C97" s="2">
        <v>45173</v>
      </c>
      <c r="D97" s="2" t="str">
        <f>TEXT(Table3[[#This Row],[usage_date]],"mmmm")</f>
        <v>September</v>
      </c>
      <c r="E97" s="9">
        <f>YEAR(Table3[[#This Row],[usage_date]])</f>
        <v>2023</v>
      </c>
      <c r="F97" s="14">
        <v>3.96</v>
      </c>
      <c r="G97">
        <v>82</v>
      </c>
      <c r="H97" t="s">
        <v>12</v>
      </c>
      <c r="I97" t="str">
        <f t="shared" si="1"/>
        <v>Normal Usage</v>
      </c>
    </row>
    <row r="98" spans="1:9" x14ac:dyDescent="0.3">
      <c r="A98">
        <v>10097</v>
      </c>
      <c r="B98">
        <v>456</v>
      </c>
      <c r="C98" s="2">
        <v>44903</v>
      </c>
      <c r="D98" s="2" t="str">
        <f>TEXT(Table3[[#This Row],[usage_date]],"mmmm")</f>
        <v>December</v>
      </c>
      <c r="E98" s="9">
        <f>YEAR(Table3[[#This Row],[usage_date]])</f>
        <v>2022</v>
      </c>
      <c r="F98" s="14">
        <v>0.5</v>
      </c>
      <c r="G98">
        <v>142</v>
      </c>
      <c r="H98" t="s">
        <v>12</v>
      </c>
      <c r="I98" t="str">
        <f t="shared" si="1"/>
        <v>Normal Usage</v>
      </c>
    </row>
    <row r="99" spans="1:9" x14ac:dyDescent="0.3">
      <c r="A99">
        <v>10098</v>
      </c>
      <c r="B99">
        <v>231</v>
      </c>
      <c r="C99" s="2">
        <v>45393</v>
      </c>
      <c r="D99" s="2" t="str">
        <f>TEXT(Table3[[#This Row],[usage_date]],"mmmm")</f>
        <v>April</v>
      </c>
      <c r="E99" s="9">
        <f>YEAR(Table3[[#This Row],[usage_date]])</f>
        <v>2024</v>
      </c>
      <c r="F99" s="14">
        <v>3.11</v>
      </c>
      <c r="G99">
        <v>55</v>
      </c>
      <c r="H99" t="s">
        <v>12</v>
      </c>
      <c r="I99" t="str">
        <f t="shared" si="1"/>
        <v>Normal Usage</v>
      </c>
    </row>
    <row r="100" spans="1:9" x14ac:dyDescent="0.3">
      <c r="A100">
        <v>10099</v>
      </c>
      <c r="B100">
        <v>288</v>
      </c>
      <c r="C100" s="2">
        <v>45287</v>
      </c>
      <c r="D100" s="2" t="str">
        <f>TEXT(Table3[[#This Row],[usage_date]],"mmmm")</f>
        <v>December</v>
      </c>
      <c r="E100" s="9">
        <f>YEAR(Table3[[#This Row],[usage_date]])</f>
        <v>2023</v>
      </c>
      <c r="F100" s="14">
        <v>1.22</v>
      </c>
      <c r="G100">
        <v>286</v>
      </c>
      <c r="H100" t="s">
        <v>13</v>
      </c>
      <c r="I100" t="str">
        <f t="shared" si="1"/>
        <v>Normal Usage</v>
      </c>
    </row>
    <row r="101" spans="1:9" x14ac:dyDescent="0.3">
      <c r="A101">
        <v>10100</v>
      </c>
      <c r="B101">
        <v>161</v>
      </c>
      <c r="C101" s="2">
        <v>44839</v>
      </c>
      <c r="D101" s="2" t="str">
        <f>TEXT(Table3[[#This Row],[usage_date]],"mmmm")</f>
        <v>October</v>
      </c>
      <c r="E101" s="9">
        <f>YEAR(Table3[[#This Row],[usage_date]])</f>
        <v>2022</v>
      </c>
      <c r="F101" s="14">
        <v>1.29</v>
      </c>
      <c r="G101">
        <v>210</v>
      </c>
      <c r="H101" t="s">
        <v>13</v>
      </c>
      <c r="I101" t="str">
        <f t="shared" si="1"/>
        <v>Normal Usage</v>
      </c>
    </row>
    <row r="102" spans="1:9" x14ac:dyDescent="0.3">
      <c r="A102">
        <v>10101</v>
      </c>
      <c r="B102">
        <v>272</v>
      </c>
      <c r="C102" s="2">
        <v>45235</v>
      </c>
      <c r="D102" s="2" t="str">
        <f>TEXT(Table3[[#This Row],[usage_date]],"mmmm")</f>
        <v>November</v>
      </c>
      <c r="E102" s="9">
        <f>YEAR(Table3[[#This Row],[usage_date]])</f>
        <v>2023</v>
      </c>
      <c r="F102" s="14">
        <v>3.82</v>
      </c>
      <c r="G102">
        <v>178</v>
      </c>
      <c r="H102" t="s">
        <v>13</v>
      </c>
      <c r="I102" t="str">
        <f t="shared" si="1"/>
        <v>Normal Usage</v>
      </c>
    </row>
    <row r="103" spans="1:9" x14ac:dyDescent="0.3">
      <c r="A103">
        <v>10102</v>
      </c>
      <c r="B103">
        <v>460</v>
      </c>
      <c r="C103" s="2">
        <v>45000</v>
      </c>
      <c r="D103" s="2" t="str">
        <f>TEXT(Table3[[#This Row],[usage_date]],"mmmm")</f>
        <v>March</v>
      </c>
      <c r="E103" s="9">
        <f>YEAR(Table3[[#This Row],[usage_date]])</f>
        <v>2023</v>
      </c>
      <c r="F103" s="14">
        <v>8.23</v>
      </c>
      <c r="G103">
        <v>57</v>
      </c>
      <c r="H103" t="s">
        <v>13</v>
      </c>
      <c r="I103" t="str">
        <f t="shared" si="1"/>
        <v>High Usage</v>
      </c>
    </row>
    <row r="104" spans="1:9" x14ac:dyDescent="0.3">
      <c r="A104">
        <v>10103</v>
      </c>
      <c r="B104">
        <v>38</v>
      </c>
      <c r="C104" s="2">
        <v>44718</v>
      </c>
      <c r="D104" s="2" t="str">
        <f>TEXT(Table3[[#This Row],[usage_date]],"mmmm")</f>
        <v>June</v>
      </c>
      <c r="E104" s="9">
        <f>YEAR(Table3[[#This Row],[usage_date]])</f>
        <v>2022</v>
      </c>
      <c r="F104" s="14">
        <v>0.34</v>
      </c>
      <c r="G104">
        <v>72</v>
      </c>
      <c r="H104" t="s">
        <v>12</v>
      </c>
      <c r="I104" t="str">
        <f t="shared" si="1"/>
        <v>Normal Usage</v>
      </c>
    </row>
    <row r="105" spans="1:9" x14ac:dyDescent="0.3">
      <c r="A105">
        <v>10104</v>
      </c>
      <c r="B105">
        <v>500</v>
      </c>
      <c r="C105" s="2">
        <v>44983</v>
      </c>
      <c r="D105" s="2" t="str">
        <f>TEXT(Table3[[#This Row],[usage_date]],"mmmm")</f>
        <v>February</v>
      </c>
      <c r="E105" s="9">
        <f>YEAR(Table3[[#This Row],[usage_date]])</f>
        <v>2023</v>
      </c>
      <c r="F105" s="14">
        <v>1.36</v>
      </c>
      <c r="G105">
        <v>214</v>
      </c>
      <c r="H105" t="s">
        <v>13</v>
      </c>
      <c r="I105" t="str">
        <f t="shared" si="1"/>
        <v>Normal Usage</v>
      </c>
    </row>
    <row r="106" spans="1:9" x14ac:dyDescent="0.3">
      <c r="A106">
        <v>10105</v>
      </c>
      <c r="B106">
        <v>226</v>
      </c>
      <c r="C106" s="2">
        <v>44812</v>
      </c>
      <c r="D106" s="2" t="str">
        <f>TEXT(Table3[[#This Row],[usage_date]],"mmmm")</f>
        <v>September</v>
      </c>
      <c r="E106" s="9">
        <f>YEAR(Table3[[#This Row],[usage_date]])</f>
        <v>2022</v>
      </c>
      <c r="F106" s="14">
        <v>1.64</v>
      </c>
      <c r="G106">
        <v>265</v>
      </c>
      <c r="H106" t="s">
        <v>12</v>
      </c>
      <c r="I106" t="str">
        <f t="shared" si="1"/>
        <v>Normal Usage</v>
      </c>
    </row>
    <row r="107" spans="1:9" x14ac:dyDescent="0.3">
      <c r="A107">
        <v>10106</v>
      </c>
      <c r="B107">
        <v>142</v>
      </c>
      <c r="C107" s="2">
        <v>45439</v>
      </c>
      <c r="D107" s="2" t="str">
        <f>TEXT(Table3[[#This Row],[usage_date]],"mmmm")</f>
        <v>May</v>
      </c>
      <c r="E107" s="9">
        <f>YEAR(Table3[[#This Row],[usage_date]])</f>
        <v>2024</v>
      </c>
      <c r="F107" s="14">
        <v>1.18</v>
      </c>
      <c r="G107">
        <v>72</v>
      </c>
      <c r="H107" t="s">
        <v>12</v>
      </c>
      <c r="I107" t="str">
        <f t="shared" si="1"/>
        <v>Normal Usage</v>
      </c>
    </row>
    <row r="108" spans="1:9" x14ac:dyDescent="0.3">
      <c r="A108">
        <v>10107</v>
      </c>
      <c r="B108">
        <v>292</v>
      </c>
      <c r="C108" s="2">
        <v>45170</v>
      </c>
      <c r="D108" s="2" t="str">
        <f>TEXT(Table3[[#This Row],[usage_date]],"mmmm")</f>
        <v>September</v>
      </c>
      <c r="E108" s="9">
        <f>YEAR(Table3[[#This Row],[usage_date]])</f>
        <v>2023</v>
      </c>
      <c r="F108" s="14">
        <v>1.1299999999999999</v>
      </c>
      <c r="G108">
        <v>270</v>
      </c>
      <c r="H108" t="s">
        <v>12</v>
      </c>
      <c r="I108" t="str">
        <f t="shared" si="1"/>
        <v>Normal Usage</v>
      </c>
    </row>
    <row r="109" spans="1:9" x14ac:dyDescent="0.3">
      <c r="A109">
        <v>10108</v>
      </c>
      <c r="B109">
        <v>481</v>
      </c>
      <c r="C109" s="2">
        <v>45091</v>
      </c>
      <c r="D109" s="2" t="str">
        <f>TEXT(Table3[[#This Row],[usage_date]],"mmmm")</f>
        <v>June</v>
      </c>
      <c r="E109" s="9">
        <f>YEAR(Table3[[#This Row],[usage_date]])</f>
        <v>2023</v>
      </c>
      <c r="F109" s="14">
        <v>0.13</v>
      </c>
      <c r="G109">
        <v>233</v>
      </c>
      <c r="H109" t="s">
        <v>13</v>
      </c>
      <c r="I109" t="str">
        <f t="shared" si="1"/>
        <v>Normal Usage</v>
      </c>
    </row>
    <row r="110" spans="1:9" x14ac:dyDescent="0.3">
      <c r="A110">
        <v>10109</v>
      </c>
      <c r="B110">
        <v>151</v>
      </c>
      <c r="C110" s="2">
        <v>44888</v>
      </c>
      <c r="D110" s="2" t="str">
        <f>TEXT(Table3[[#This Row],[usage_date]],"mmmm")</f>
        <v>November</v>
      </c>
      <c r="E110" s="9">
        <f>YEAR(Table3[[#This Row],[usage_date]])</f>
        <v>2022</v>
      </c>
      <c r="F110" s="14">
        <v>2.89</v>
      </c>
      <c r="G110">
        <v>18</v>
      </c>
      <c r="H110" t="s">
        <v>12</v>
      </c>
      <c r="I110" t="str">
        <f t="shared" si="1"/>
        <v>Normal Usage</v>
      </c>
    </row>
    <row r="111" spans="1:9" x14ac:dyDescent="0.3">
      <c r="A111">
        <v>10110</v>
      </c>
      <c r="B111">
        <v>114</v>
      </c>
      <c r="C111" s="2">
        <v>45456</v>
      </c>
      <c r="D111" s="2" t="str">
        <f>TEXT(Table3[[#This Row],[usage_date]],"mmmm")</f>
        <v>June</v>
      </c>
      <c r="E111" s="9">
        <f>YEAR(Table3[[#This Row],[usage_date]])</f>
        <v>2024</v>
      </c>
      <c r="F111" s="14">
        <v>1.43</v>
      </c>
      <c r="G111">
        <v>112</v>
      </c>
      <c r="H111" t="s">
        <v>13</v>
      </c>
      <c r="I111" t="str">
        <f t="shared" si="1"/>
        <v>Normal Usage</v>
      </c>
    </row>
    <row r="112" spans="1:9" x14ac:dyDescent="0.3">
      <c r="A112">
        <v>10111</v>
      </c>
      <c r="B112">
        <v>237</v>
      </c>
      <c r="C112" s="2">
        <v>44658</v>
      </c>
      <c r="D112" s="2" t="str">
        <f>TEXT(Table3[[#This Row],[usage_date]],"mmmm")</f>
        <v>April</v>
      </c>
      <c r="E112" s="9">
        <f>YEAR(Table3[[#This Row],[usage_date]])</f>
        <v>2022</v>
      </c>
      <c r="F112" s="14">
        <v>0.54</v>
      </c>
      <c r="G112">
        <v>62</v>
      </c>
      <c r="H112" t="s">
        <v>12</v>
      </c>
      <c r="I112" t="str">
        <f t="shared" si="1"/>
        <v>Normal Usage</v>
      </c>
    </row>
    <row r="113" spans="1:9" x14ac:dyDescent="0.3">
      <c r="A113">
        <v>10112</v>
      </c>
      <c r="B113">
        <v>66</v>
      </c>
      <c r="C113" s="2">
        <v>45074</v>
      </c>
      <c r="D113" s="2" t="str">
        <f>TEXT(Table3[[#This Row],[usage_date]],"mmmm")</f>
        <v>May</v>
      </c>
      <c r="E113" s="9">
        <f>YEAR(Table3[[#This Row],[usage_date]])</f>
        <v>2023</v>
      </c>
      <c r="F113" s="14">
        <v>4.2300000000000004</v>
      </c>
      <c r="G113">
        <v>183</v>
      </c>
      <c r="H113" t="s">
        <v>12</v>
      </c>
      <c r="I113" t="str">
        <f t="shared" si="1"/>
        <v>Normal Usage</v>
      </c>
    </row>
    <row r="114" spans="1:9" x14ac:dyDescent="0.3">
      <c r="A114">
        <v>10113</v>
      </c>
      <c r="B114">
        <v>361</v>
      </c>
      <c r="C114" s="2">
        <v>44777</v>
      </c>
      <c r="D114" s="2" t="str">
        <f>TEXT(Table3[[#This Row],[usage_date]],"mmmm")</f>
        <v>August</v>
      </c>
      <c r="E114" s="9">
        <f>YEAR(Table3[[#This Row],[usage_date]])</f>
        <v>2022</v>
      </c>
      <c r="F114" s="14">
        <v>4.0599999999999996</v>
      </c>
      <c r="G114">
        <v>276</v>
      </c>
      <c r="H114" t="s">
        <v>12</v>
      </c>
      <c r="I114" t="str">
        <f t="shared" si="1"/>
        <v>Normal Usage</v>
      </c>
    </row>
    <row r="115" spans="1:9" x14ac:dyDescent="0.3">
      <c r="A115">
        <v>10114</v>
      </c>
      <c r="B115">
        <v>341</v>
      </c>
      <c r="C115" s="2">
        <v>44693</v>
      </c>
      <c r="D115" s="2" t="str">
        <f>TEXT(Table3[[#This Row],[usage_date]],"mmmm")</f>
        <v>May</v>
      </c>
      <c r="E115" s="9">
        <f>YEAR(Table3[[#This Row],[usage_date]])</f>
        <v>2022</v>
      </c>
      <c r="F115" s="14">
        <v>1.67</v>
      </c>
      <c r="G115">
        <v>161</v>
      </c>
      <c r="H115" t="s">
        <v>12</v>
      </c>
      <c r="I115" t="str">
        <f t="shared" si="1"/>
        <v>Normal Usage</v>
      </c>
    </row>
    <row r="116" spans="1:9" x14ac:dyDescent="0.3">
      <c r="A116">
        <v>10115</v>
      </c>
      <c r="B116">
        <v>258</v>
      </c>
      <c r="C116" s="2">
        <v>44821</v>
      </c>
      <c r="D116" s="2" t="str">
        <f>TEXT(Table3[[#This Row],[usage_date]],"mmmm")</f>
        <v>September</v>
      </c>
      <c r="E116" s="9">
        <f>YEAR(Table3[[#This Row],[usage_date]])</f>
        <v>2022</v>
      </c>
      <c r="F116" s="14">
        <v>0.89</v>
      </c>
      <c r="G116">
        <v>242</v>
      </c>
      <c r="H116" t="s">
        <v>13</v>
      </c>
      <c r="I116" t="str">
        <f t="shared" si="1"/>
        <v>Normal Usage</v>
      </c>
    </row>
    <row r="117" spans="1:9" x14ac:dyDescent="0.3">
      <c r="A117">
        <v>10116</v>
      </c>
      <c r="B117">
        <v>475</v>
      </c>
      <c r="C117" s="2">
        <v>44686</v>
      </c>
      <c r="D117" s="2" t="str">
        <f>TEXT(Table3[[#This Row],[usage_date]],"mmmm")</f>
        <v>May</v>
      </c>
      <c r="E117" s="9">
        <f>YEAR(Table3[[#This Row],[usage_date]])</f>
        <v>2022</v>
      </c>
      <c r="F117" s="14">
        <v>2.54</v>
      </c>
      <c r="G117">
        <v>144</v>
      </c>
      <c r="H117" t="s">
        <v>12</v>
      </c>
      <c r="I117" t="str">
        <f t="shared" si="1"/>
        <v>Normal Usage</v>
      </c>
    </row>
    <row r="118" spans="1:9" x14ac:dyDescent="0.3">
      <c r="A118">
        <v>10117</v>
      </c>
      <c r="B118">
        <v>249</v>
      </c>
      <c r="C118" s="2">
        <v>44643</v>
      </c>
      <c r="D118" s="2" t="str">
        <f>TEXT(Table3[[#This Row],[usage_date]],"mmmm")</f>
        <v>March</v>
      </c>
      <c r="E118" s="9">
        <f>YEAR(Table3[[#This Row],[usage_date]])</f>
        <v>2022</v>
      </c>
      <c r="F118" s="14">
        <v>0.85</v>
      </c>
      <c r="G118">
        <v>145</v>
      </c>
      <c r="H118" t="s">
        <v>13</v>
      </c>
      <c r="I118" t="str">
        <f t="shared" si="1"/>
        <v>Normal Usage</v>
      </c>
    </row>
    <row r="119" spans="1:9" x14ac:dyDescent="0.3">
      <c r="A119">
        <v>10118</v>
      </c>
      <c r="B119">
        <v>457</v>
      </c>
      <c r="C119" s="2">
        <v>44844</v>
      </c>
      <c r="D119" s="2" t="str">
        <f>TEXT(Table3[[#This Row],[usage_date]],"mmmm")</f>
        <v>October</v>
      </c>
      <c r="E119" s="9">
        <f>YEAR(Table3[[#This Row],[usage_date]])</f>
        <v>2022</v>
      </c>
      <c r="F119" s="14">
        <v>0.67</v>
      </c>
      <c r="G119">
        <v>80</v>
      </c>
      <c r="H119" t="s">
        <v>13</v>
      </c>
      <c r="I119" t="str">
        <f t="shared" si="1"/>
        <v>Normal Usage</v>
      </c>
    </row>
    <row r="120" spans="1:9" x14ac:dyDescent="0.3">
      <c r="A120">
        <v>10119</v>
      </c>
      <c r="B120">
        <v>449</v>
      </c>
      <c r="C120" s="2">
        <v>45244</v>
      </c>
      <c r="D120" s="2" t="str">
        <f>TEXT(Table3[[#This Row],[usage_date]],"mmmm")</f>
        <v>November</v>
      </c>
      <c r="E120" s="9">
        <f>YEAR(Table3[[#This Row],[usage_date]])</f>
        <v>2023</v>
      </c>
      <c r="F120" s="14">
        <v>3.28</v>
      </c>
      <c r="G120">
        <v>42</v>
      </c>
      <c r="H120" t="s">
        <v>13</v>
      </c>
      <c r="I120" t="str">
        <f t="shared" si="1"/>
        <v>Normal Usage</v>
      </c>
    </row>
    <row r="121" spans="1:9" x14ac:dyDescent="0.3">
      <c r="A121">
        <v>10120</v>
      </c>
      <c r="B121">
        <v>331</v>
      </c>
      <c r="C121" s="2">
        <v>44620</v>
      </c>
      <c r="D121" s="2" t="str">
        <f>TEXT(Table3[[#This Row],[usage_date]],"mmmm")</f>
        <v>February</v>
      </c>
      <c r="E121" s="9">
        <f>YEAR(Table3[[#This Row],[usage_date]])</f>
        <v>2022</v>
      </c>
      <c r="F121" s="14">
        <v>0.1</v>
      </c>
      <c r="G121">
        <v>292</v>
      </c>
      <c r="H121" t="s">
        <v>12</v>
      </c>
      <c r="I121" t="str">
        <f t="shared" si="1"/>
        <v>Normal Usage</v>
      </c>
    </row>
    <row r="122" spans="1:9" x14ac:dyDescent="0.3">
      <c r="A122">
        <v>10121</v>
      </c>
      <c r="B122">
        <v>323</v>
      </c>
      <c r="C122" s="2">
        <v>45105</v>
      </c>
      <c r="D122" s="2" t="str">
        <f>TEXT(Table3[[#This Row],[usage_date]],"mmmm")</f>
        <v>June</v>
      </c>
      <c r="E122" s="9">
        <f>YEAR(Table3[[#This Row],[usage_date]])</f>
        <v>2023</v>
      </c>
      <c r="F122" s="14">
        <v>0.25</v>
      </c>
      <c r="G122">
        <v>175</v>
      </c>
      <c r="H122" t="s">
        <v>13</v>
      </c>
      <c r="I122" t="str">
        <f t="shared" si="1"/>
        <v>Normal Usage</v>
      </c>
    </row>
    <row r="123" spans="1:9" x14ac:dyDescent="0.3">
      <c r="A123">
        <v>10122</v>
      </c>
      <c r="B123">
        <v>180</v>
      </c>
      <c r="C123" s="2">
        <v>44722</v>
      </c>
      <c r="D123" s="2" t="str">
        <f>TEXT(Table3[[#This Row],[usage_date]],"mmmm")</f>
        <v>June</v>
      </c>
      <c r="E123" s="9">
        <f>YEAR(Table3[[#This Row],[usage_date]])</f>
        <v>2022</v>
      </c>
      <c r="F123" s="14">
        <v>0.02</v>
      </c>
      <c r="G123">
        <v>68</v>
      </c>
      <c r="H123" t="s">
        <v>12</v>
      </c>
      <c r="I123" t="str">
        <f t="shared" si="1"/>
        <v>Normal Usage</v>
      </c>
    </row>
    <row r="124" spans="1:9" x14ac:dyDescent="0.3">
      <c r="A124">
        <v>10123</v>
      </c>
      <c r="B124">
        <v>190</v>
      </c>
      <c r="C124" s="2">
        <v>44845</v>
      </c>
      <c r="D124" s="2" t="str">
        <f>TEXT(Table3[[#This Row],[usage_date]],"mmmm")</f>
        <v>October</v>
      </c>
      <c r="E124" s="9">
        <f>YEAR(Table3[[#This Row],[usage_date]])</f>
        <v>2022</v>
      </c>
      <c r="F124" s="14">
        <v>0.41</v>
      </c>
      <c r="G124">
        <v>55</v>
      </c>
      <c r="H124" t="s">
        <v>12</v>
      </c>
      <c r="I124" t="str">
        <f t="shared" si="1"/>
        <v>Normal Usage</v>
      </c>
    </row>
    <row r="125" spans="1:9" x14ac:dyDescent="0.3">
      <c r="A125">
        <v>10124</v>
      </c>
      <c r="B125">
        <v>407</v>
      </c>
      <c r="C125" s="2">
        <v>44667</v>
      </c>
      <c r="D125" s="2" t="str">
        <f>TEXT(Table3[[#This Row],[usage_date]],"mmmm")</f>
        <v>April</v>
      </c>
      <c r="E125" s="9">
        <f>YEAR(Table3[[#This Row],[usage_date]])</f>
        <v>2022</v>
      </c>
      <c r="F125" s="14">
        <v>0.18</v>
      </c>
      <c r="G125">
        <v>118</v>
      </c>
      <c r="H125" t="s">
        <v>12</v>
      </c>
      <c r="I125" t="str">
        <f t="shared" si="1"/>
        <v>Normal Usage</v>
      </c>
    </row>
    <row r="126" spans="1:9" x14ac:dyDescent="0.3">
      <c r="A126">
        <v>10125</v>
      </c>
      <c r="B126">
        <v>154</v>
      </c>
      <c r="C126" s="2">
        <v>44666</v>
      </c>
      <c r="D126" s="2" t="str">
        <f>TEXT(Table3[[#This Row],[usage_date]],"mmmm")</f>
        <v>April</v>
      </c>
      <c r="E126" s="9">
        <f>YEAR(Table3[[#This Row],[usage_date]])</f>
        <v>2022</v>
      </c>
      <c r="F126" s="14">
        <v>13.68</v>
      </c>
      <c r="G126">
        <v>203</v>
      </c>
      <c r="H126" t="s">
        <v>13</v>
      </c>
      <c r="I126" t="str">
        <f t="shared" si="1"/>
        <v>High Usage</v>
      </c>
    </row>
    <row r="127" spans="1:9" x14ac:dyDescent="0.3">
      <c r="A127">
        <v>10126</v>
      </c>
      <c r="B127">
        <v>196</v>
      </c>
      <c r="C127" s="2">
        <v>45000</v>
      </c>
      <c r="D127" s="2" t="str">
        <f>TEXT(Table3[[#This Row],[usage_date]],"mmmm")</f>
        <v>March</v>
      </c>
      <c r="E127" s="9">
        <f>YEAR(Table3[[#This Row],[usage_date]])</f>
        <v>2023</v>
      </c>
      <c r="F127" s="14">
        <v>0.85</v>
      </c>
      <c r="G127">
        <v>54</v>
      </c>
      <c r="H127" t="s">
        <v>12</v>
      </c>
      <c r="I127" t="str">
        <f t="shared" si="1"/>
        <v>Normal Usage</v>
      </c>
    </row>
    <row r="128" spans="1:9" x14ac:dyDescent="0.3">
      <c r="A128">
        <v>10127</v>
      </c>
      <c r="B128">
        <v>466</v>
      </c>
      <c r="C128" s="2">
        <v>44789</v>
      </c>
      <c r="D128" s="2" t="str">
        <f>TEXT(Table3[[#This Row],[usage_date]],"mmmm")</f>
        <v>August</v>
      </c>
      <c r="E128" s="9">
        <f>YEAR(Table3[[#This Row],[usage_date]])</f>
        <v>2022</v>
      </c>
      <c r="F128" s="14">
        <v>0.4</v>
      </c>
      <c r="G128">
        <v>37</v>
      </c>
      <c r="H128" t="s">
        <v>12</v>
      </c>
      <c r="I128" t="str">
        <f t="shared" si="1"/>
        <v>Normal Usage</v>
      </c>
    </row>
    <row r="129" spans="1:9" x14ac:dyDescent="0.3">
      <c r="A129">
        <v>10128</v>
      </c>
      <c r="B129">
        <v>311</v>
      </c>
      <c r="C129" s="2">
        <v>45261</v>
      </c>
      <c r="D129" s="2" t="str">
        <f>TEXT(Table3[[#This Row],[usage_date]],"mmmm")</f>
        <v>December</v>
      </c>
      <c r="E129" s="9">
        <f>YEAR(Table3[[#This Row],[usage_date]])</f>
        <v>2023</v>
      </c>
      <c r="F129" s="14">
        <v>0.69</v>
      </c>
      <c r="G129">
        <v>242</v>
      </c>
      <c r="H129" t="s">
        <v>12</v>
      </c>
      <c r="I129" t="str">
        <f t="shared" si="1"/>
        <v>Normal Usage</v>
      </c>
    </row>
    <row r="130" spans="1:9" x14ac:dyDescent="0.3">
      <c r="A130">
        <v>10129</v>
      </c>
      <c r="B130">
        <v>262</v>
      </c>
      <c r="C130" s="2">
        <v>45143</v>
      </c>
      <c r="D130" s="2" t="str">
        <f>TEXT(Table3[[#This Row],[usage_date]],"mmmm")</f>
        <v>August</v>
      </c>
      <c r="E130" s="9">
        <f>YEAR(Table3[[#This Row],[usage_date]])</f>
        <v>2023</v>
      </c>
      <c r="F130" s="14">
        <v>6.88</v>
      </c>
      <c r="G130">
        <v>200</v>
      </c>
      <c r="H130" t="s">
        <v>12</v>
      </c>
      <c r="I130" t="str">
        <f t="shared" ref="I130:I193" si="2">IF(F130&gt;6,"High Usage","Normal Usage")</f>
        <v>High Usage</v>
      </c>
    </row>
    <row r="131" spans="1:9" x14ac:dyDescent="0.3">
      <c r="A131">
        <v>10130</v>
      </c>
      <c r="B131">
        <v>419</v>
      </c>
      <c r="C131" s="2">
        <v>44879</v>
      </c>
      <c r="D131" s="2" t="str">
        <f>TEXT(Table3[[#This Row],[usage_date]],"mmmm")</f>
        <v>November</v>
      </c>
      <c r="E131" s="9">
        <f>YEAR(Table3[[#This Row],[usage_date]])</f>
        <v>2022</v>
      </c>
      <c r="F131" s="14">
        <v>1.84</v>
      </c>
      <c r="G131">
        <v>235</v>
      </c>
      <c r="H131" t="s">
        <v>12</v>
      </c>
      <c r="I131" t="str">
        <f t="shared" si="2"/>
        <v>Normal Usage</v>
      </c>
    </row>
    <row r="132" spans="1:9" x14ac:dyDescent="0.3">
      <c r="A132">
        <v>10131</v>
      </c>
      <c r="B132">
        <v>406</v>
      </c>
      <c r="C132" s="2">
        <v>45025</v>
      </c>
      <c r="D132" s="2" t="str">
        <f>TEXT(Table3[[#This Row],[usage_date]],"mmmm")</f>
        <v>April</v>
      </c>
      <c r="E132" s="9">
        <f>YEAR(Table3[[#This Row],[usage_date]])</f>
        <v>2023</v>
      </c>
      <c r="F132" s="14">
        <v>1.1299999999999999</v>
      </c>
      <c r="G132">
        <v>14</v>
      </c>
      <c r="H132" t="s">
        <v>13</v>
      </c>
      <c r="I132" t="str">
        <f t="shared" si="2"/>
        <v>Normal Usage</v>
      </c>
    </row>
    <row r="133" spans="1:9" x14ac:dyDescent="0.3">
      <c r="A133">
        <v>10132</v>
      </c>
      <c r="B133">
        <v>427</v>
      </c>
      <c r="C133" s="2">
        <v>45363</v>
      </c>
      <c r="D133" s="2" t="str">
        <f>TEXT(Table3[[#This Row],[usage_date]],"mmmm")</f>
        <v>March</v>
      </c>
      <c r="E133" s="9">
        <f>YEAR(Table3[[#This Row],[usage_date]])</f>
        <v>2024</v>
      </c>
      <c r="F133" s="14">
        <v>5.17</v>
      </c>
      <c r="G133">
        <v>143</v>
      </c>
      <c r="H133" t="s">
        <v>12</v>
      </c>
      <c r="I133" t="str">
        <f t="shared" si="2"/>
        <v>Normal Usage</v>
      </c>
    </row>
    <row r="134" spans="1:9" x14ac:dyDescent="0.3">
      <c r="A134">
        <v>10133</v>
      </c>
      <c r="B134">
        <v>143</v>
      </c>
      <c r="C134" s="2">
        <v>45160</v>
      </c>
      <c r="D134" s="2" t="str">
        <f>TEXT(Table3[[#This Row],[usage_date]],"mmmm")</f>
        <v>August</v>
      </c>
      <c r="E134" s="9">
        <f>YEAR(Table3[[#This Row],[usage_date]])</f>
        <v>2023</v>
      </c>
      <c r="F134" s="14">
        <v>1.26</v>
      </c>
      <c r="G134">
        <v>76</v>
      </c>
      <c r="H134" t="s">
        <v>13</v>
      </c>
      <c r="I134" t="str">
        <f t="shared" si="2"/>
        <v>Normal Usage</v>
      </c>
    </row>
    <row r="135" spans="1:9" x14ac:dyDescent="0.3">
      <c r="A135">
        <v>10134</v>
      </c>
      <c r="B135">
        <v>342</v>
      </c>
      <c r="C135" s="2">
        <v>45443</v>
      </c>
      <c r="D135" s="2" t="str">
        <f>TEXT(Table3[[#This Row],[usage_date]],"mmmm")</f>
        <v>May</v>
      </c>
      <c r="E135" s="9">
        <f>YEAR(Table3[[#This Row],[usage_date]])</f>
        <v>2024</v>
      </c>
      <c r="F135" s="14">
        <v>1.02</v>
      </c>
      <c r="G135">
        <v>262</v>
      </c>
      <c r="H135" t="s">
        <v>12</v>
      </c>
      <c r="I135" t="str">
        <f t="shared" si="2"/>
        <v>Normal Usage</v>
      </c>
    </row>
    <row r="136" spans="1:9" x14ac:dyDescent="0.3">
      <c r="A136">
        <v>10135</v>
      </c>
      <c r="B136">
        <v>316</v>
      </c>
      <c r="C136" s="2">
        <v>45435</v>
      </c>
      <c r="D136" s="2" t="str">
        <f>TEXT(Table3[[#This Row],[usage_date]],"mmmm")</f>
        <v>May</v>
      </c>
      <c r="E136" s="9">
        <f>YEAR(Table3[[#This Row],[usage_date]])</f>
        <v>2024</v>
      </c>
      <c r="F136" s="14">
        <v>0.57999999999999996</v>
      </c>
      <c r="G136">
        <v>184</v>
      </c>
      <c r="H136" t="s">
        <v>13</v>
      </c>
      <c r="I136" t="str">
        <f t="shared" si="2"/>
        <v>Normal Usage</v>
      </c>
    </row>
    <row r="137" spans="1:9" x14ac:dyDescent="0.3">
      <c r="A137">
        <v>10136</v>
      </c>
      <c r="B137">
        <v>101</v>
      </c>
      <c r="C137" s="2">
        <v>45033</v>
      </c>
      <c r="D137" s="2" t="str">
        <f>TEXT(Table3[[#This Row],[usage_date]],"mmmm")</f>
        <v>April</v>
      </c>
      <c r="E137" s="9">
        <f>YEAR(Table3[[#This Row],[usage_date]])</f>
        <v>2023</v>
      </c>
      <c r="F137" s="14">
        <v>1.19</v>
      </c>
      <c r="G137">
        <v>54</v>
      </c>
      <c r="H137" t="s">
        <v>12</v>
      </c>
      <c r="I137" t="str">
        <f t="shared" si="2"/>
        <v>Normal Usage</v>
      </c>
    </row>
    <row r="138" spans="1:9" x14ac:dyDescent="0.3">
      <c r="A138">
        <v>10137</v>
      </c>
      <c r="B138">
        <v>244</v>
      </c>
      <c r="C138" s="2">
        <v>44617</v>
      </c>
      <c r="D138" s="2" t="str">
        <f>TEXT(Table3[[#This Row],[usage_date]],"mmmm")</f>
        <v>February</v>
      </c>
      <c r="E138" s="9">
        <f>YEAR(Table3[[#This Row],[usage_date]])</f>
        <v>2022</v>
      </c>
      <c r="F138" s="14">
        <v>0.95</v>
      </c>
      <c r="G138">
        <v>3</v>
      </c>
      <c r="H138" t="s">
        <v>12</v>
      </c>
      <c r="I138" t="str">
        <f t="shared" si="2"/>
        <v>Normal Usage</v>
      </c>
    </row>
    <row r="139" spans="1:9" x14ac:dyDescent="0.3">
      <c r="A139">
        <v>10138</v>
      </c>
      <c r="B139">
        <v>490</v>
      </c>
      <c r="C139" s="2">
        <v>45186</v>
      </c>
      <c r="D139" s="2" t="str">
        <f>TEXT(Table3[[#This Row],[usage_date]],"mmmm")</f>
        <v>September</v>
      </c>
      <c r="E139" s="9">
        <f>YEAR(Table3[[#This Row],[usage_date]])</f>
        <v>2023</v>
      </c>
      <c r="F139" s="14">
        <v>2.83</v>
      </c>
      <c r="G139">
        <v>298</v>
      </c>
      <c r="H139" t="s">
        <v>12</v>
      </c>
      <c r="I139" t="str">
        <f t="shared" si="2"/>
        <v>Normal Usage</v>
      </c>
    </row>
    <row r="140" spans="1:9" x14ac:dyDescent="0.3">
      <c r="A140">
        <v>10139</v>
      </c>
      <c r="B140">
        <v>12</v>
      </c>
      <c r="C140" s="2">
        <v>44574</v>
      </c>
      <c r="D140" s="2" t="str">
        <f>TEXT(Table3[[#This Row],[usage_date]],"mmmm")</f>
        <v>January</v>
      </c>
      <c r="E140" s="9">
        <f>YEAR(Table3[[#This Row],[usage_date]])</f>
        <v>2022</v>
      </c>
      <c r="F140" s="14">
        <v>0.85</v>
      </c>
      <c r="G140">
        <v>39</v>
      </c>
      <c r="H140" t="s">
        <v>12</v>
      </c>
      <c r="I140" t="str">
        <f t="shared" si="2"/>
        <v>Normal Usage</v>
      </c>
    </row>
    <row r="141" spans="1:9" x14ac:dyDescent="0.3">
      <c r="A141">
        <v>10140</v>
      </c>
      <c r="B141">
        <v>239</v>
      </c>
      <c r="C141" s="2">
        <v>45001</v>
      </c>
      <c r="D141" s="2" t="str">
        <f>TEXT(Table3[[#This Row],[usage_date]],"mmmm")</f>
        <v>March</v>
      </c>
      <c r="E141" s="9">
        <f>YEAR(Table3[[#This Row],[usage_date]])</f>
        <v>2023</v>
      </c>
      <c r="F141" s="14">
        <v>2.15</v>
      </c>
      <c r="G141">
        <v>229</v>
      </c>
      <c r="H141" t="s">
        <v>13</v>
      </c>
      <c r="I141" t="str">
        <f t="shared" si="2"/>
        <v>Normal Usage</v>
      </c>
    </row>
    <row r="142" spans="1:9" x14ac:dyDescent="0.3">
      <c r="A142">
        <v>10141</v>
      </c>
      <c r="B142">
        <v>49</v>
      </c>
      <c r="C142" s="2">
        <v>44579</v>
      </c>
      <c r="D142" s="2" t="str">
        <f>TEXT(Table3[[#This Row],[usage_date]],"mmmm")</f>
        <v>January</v>
      </c>
      <c r="E142" s="9">
        <f>YEAR(Table3[[#This Row],[usage_date]])</f>
        <v>2022</v>
      </c>
      <c r="F142" s="14">
        <v>0.17</v>
      </c>
      <c r="G142">
        <v>285</v>
      </c>
      <c r="H142" t="s">
        <v>12</v>
      </c>
      <c r="I142" t="str">
        <f t="shared" si="2"/>
        <v>Normal Usage</v>
      </c>
    </row>
    <row r="143" spans="1:9" x14ac:dyDescent="0.3">
      <c r="A143">
        <v>10142</v>
      </c>
      <c r="B143">
        <v>42</v>
      </c>
      <c r="C143" s="2">
        <v>45255</v>
      </c>
      <c r="D143" s="2" t="str">
        <f>TEXT(Table3[[#This Row],[usage_date]],"mmmm")</f>
        <v>November</v>
      </c>
      <c r="E143" s="9">
        <f>YEAR(Table3[[#This Row],[usage_date]])</f>
        <v>2023</v>
      </c>
      <c r="F143" s="14">
        <v>0.53</v>
      </c>
      <c r="G143">
        <v>137</v>
      </c>
      <c r="H143" t="s">
        <v>13</v>
      </c>
      <c r="I143" t="str">
        <f t="shared" si="2"/>
        <v>Normal Usage</v>
      </c>
    </row>
    <row r="144" spans="1:9" x14ac:dyDescent="0.3">
      <c r="A144">
        <v>10143</v>
      </c>
      <c r="B144">
        <v>166</v>
      </c>
      <c r="C144" s="2">
        <v>44674</v>
      </c>
      <c r="D144" s="2" t="str">
        <f>TEXT(Table3[[#This Row],[usage_date]],"mmmm")</f>
        <v>April</v>
      </c>
      <c r="E144" s="9">
        <f>YEAR(Table3[[#This Row],[usage_date]])</f>
        <v>2022</v>
      </c>
      <c r="F144" s="14">
        <v>1.31</v>
      </c>
      <c r="G144">
        <v>102</v>
      </c>
      <c r="H144" t="s">
        <v>13</v>
      </c>
      <c r="I144" t="str">
        <f t="shared" si="2"/>
        <v>Normal Usage</v>
      </c>
    </row>
    <row r="145" spans="1:9" x14ac:dyDescent="0.3">
      <c r="A145">
        <v>10144</v>
      </c>
      <c r="B145">
        <v>82</v>
      </c>
      <c r="C145" s="2">
        <v>44790</v>
      </c>
      <c r="D145" s="2" t="str">
        <f>TEXT(Table3[[#This Row],[usage_date]],"mmmm")</f>
        <v>August</v>
      </c>
      <c r="E145" s="9">
        <f>YEAR(Table3[[#This Row],[usage_date]])</f>
        <v>2022</v>
      </c>
      <c r="F145" s="14">
        <v>6.91</v>
      </c>
      <c r="G145">
        <v>6</v>
      </c>
      <c r="H145" t="s">
        <v>12</v>
      </c>
      <c r="I145" t="str">
        <f t="shared" si="2"/>
        <v>High Usage</v>
      </c>
    </row>
    <row r="146" spans="1:9" x14ac:dyDescent="0.3">
      <c r="A146">
        <v>10145</v>
      </c>
      <c r="B146">
        <v>429</v>
      </c>
      <c r="C146" s="2">
        <v>44732</v>
      </c>
      <c r="D146" s="2" t="str">
        <f>TEXT(Table3[[#This Row],[usage_date]],"mmmm")</f>
        <v>June</v>
      </c>
      <c r="E146" s="9">
        <f>YEAR(Table3[[#This Row],[usage_date]])</f>
        <v>2022</v>
      </c>
      <c r="F146" s="14">
        <v>1.18</v>
      </c>
      <c r="G146">
        <v>163</v>
      </c>
      <c r="H146" t="s">
        <v>12</v>
      </c>
      <c r="I146" t="str">
        <f t="shared" si="2"/>
        <v>Normal Usage</v>
      </c>
    </row>
    <row r="147" spans="1:9" x14ac:dyDescent="0.3">
      <c r="A147">
        <v>10146</v>
      </c>
      <c r="B147">
        <v>291</v>
      </c>
      <c r="C147" s="2">
        <v>44856</v>
      </c>
      <c r="D147" s="2" t="str">
        <f>TEXT(Table3[[#This Row],[usage_date]],"mmmm")</f>
        <v>October</v>
      </c>
      <c r="E147" s="9">
        <f>YEAR(Table3[[#This Row],[usage_date]])</f>
        <v>2022</v>
      </c>
      <c r="F147" s="14">
        <v>2.73</v>
      </c>
      <c r="G147">
        <v>275</v>
      </c>
      <c r="H147" t="s">
        <v>12</v>
      </c>
      <c r="I147" t="str">
        <f t="shared" si="2"/>
        <v>Normal Usage</v>
      </c>
    </row>
    <row r="148" spans="1:9" x14ac:dyDescent="0.3">
      <c r="A148">
        <v>10147</v>
      </c>
      <c r="B148">
        <v>158</v>
      </c>
      <c r="C148" s="2">
        <v>44750</v>
      </c>
      <c r="D148" s="2" t="str">
        <f>TEXT(Table3[[#This Row],[usage_date]],"mmmm")</f>
        <v>July</v>
      </c>
      <c r="E148" s="9">
        <f>YEAR(Table3[[#This Row],[usage_date]])</f>
        <v>2022</v>
      </c>
      <c r="F148" s="14">
        <v>0.74</v>
      </c>
      <c r="G148">
        <v>48</v>
      </c>
      <c r="H148" t="s">
        <v>12</v>
      </c>
      <c r="I148" t="str">
        <f t="shared" si="2"/>
        <v>Normal Usage</v>
      </c>
    </row>
    <row r="149" spans="1:9" x14ac:dyDescent="0.3">
      <c r="A149">
        <v>10148</v>
      </c>
      <c r="B149">
        <v>216</v>
      </c>
      <c r="C149" s="2">
        <v>44987</v>
      </c>
      <c r="D149" s="2" t="str">
        <f>TEXT(Table3[[#This Row],[usage_date]],"mmmm")</f>
        <v>March</v>
      </c>
      <c r="E149" s="9">
        <f>YEAR(Table3[[#This Row],[usage_date]])</f>
        <v>2023</v>
      </c>
      <c r="F149" s="14">
        <v>0.34</v>
      </c>
      <c r="G149">
        <v>95</v>
      </c>
      <c r="H149" t="s">
        <v>12</v>
      </c>
      <c r="I149" t="str">
        <f t="shared" si="2"/>
        <v>Normal Usage</v>
      </c>
    </row>
    <row r="150" spans="1:9" x14ac:dyDescent="0.3">
      <c r="A150">
        <v>10149</v>
      </c>
      <c r="B150">
        <v>490</v>
      </c>
      <c r="C150" s="2">
        <v>44640</v>
      </c>
      <c r="D150" s="2" t="str">
        <f>TEXT(Table3[[#This Row],[usage_date]],"mmmm")</f>
        <v>March</v>
      </c>
      <c r="E150" s="9">
        <f>YEAR(Table3[[#This Row],[usage_date]])</f>
        <v>2022</v>
      </c>
      <c r="F150" s="14">
        <v>0.15</v>
      </c>
      <c r="G150">
        <v>58</v>
      </c>
      <c r="H150" t="s">
        <v>13</v>
      </c>
      <c r="I150" t="str">
        <f t="shared" si="2"/>
        <v>Normal Usage</v>
      </c>
    </row>
    <row r="151" spans="1:9" x14ac:dyDescent="0.3">
      <c r="A151">
        <v>10150</v>
      </c>
      <c r="B151">
        <v>158</v>
      </c>
      <c r="C151" s="2">
        <v>45219</v>
      </c>
      <c r="D151" s="2" t="str">
        <f>TEXT(Table3[[#This Row],[usage_date]],"mmmm")</f>
        <v>October</v>
      </c>
      <c r="E151" s="9">
        <f>YEAR(Table3[[#This Row],[usage_date]])</f>
        <v>2023</v>
      </c>
      <c r="F151" s="14">
        <v>0.91</v>
      </c>
      <c r="G151">
        <v>230</v>
      </c>
      <c r="H151" t="s">
        <v>12</v>
      </c>
      <c r="I151" t="str">
        <f t="shared" si="2"/>
        <v>Normal Usage</v>
      </c>
    </row>
    <row r="152" spans="1:9" x14ac:dyDescent="0.3">
      <c r="A152">
        <v>10151</v>
      </c>
      <c r="B152">
        <v>462</v>
      </c>
      <c r="C152" s="2">
        <v>44743</v>
      </c>
      <c r="D152" s="2" t="str">
        <f>TEXT(Table3[[#This Row],[usage_date]],"mmmm")</f>
        <v>July</v>
      </c>
      <c r="E152" s="9">
        <f>YEAR(Table3[[#This Row],[usage_date]])</f>
        <v>2022</v>
      </c>
      <c r="F152" s="14">
        <v>0.43</v>
      </c>
      <c r="G152">
        <v>176</v>
      </c>
      <c r="H152" t="s">
        <v>12</v>
      </c>
      <c r="I152" t="str">
        <f t="shared" si="2"/>
        <v>Normal Usage</v>
      </c>
    </row>
    <row r="153" spans="1:9" x14ac:dyDescent="0.3">
      <c r="A153">
        <v>10152</v>
      </c>
      <c r="B153">
        <v>134</v>
      </c>
      <c r="C153" s="2">
        <v>45060</v>
      </c>
      <c r="D153" s="2" t="str">
        <f>TEXT(Table3[[#This Row],[usage_date]],"mmmm")</f>
        <v>May</v>
      </c>
      <c r="E153" s="9">
        <f>YEAR(Table3[[#This Row],[usage_date]])</f>
        <v>2023</v>
      </c>
      <c r="F153" s="14">
        <v>0.48</v>
      </c>
      <c r="G153">
        <v>89</v>
      </c>
      <c r="H153" t="s">
        <v>12</v>
      </c>
      <c r="I153" t="str">
        <f t="shared" si="2"/>
        <v>Normal Usage</v>
      </c>
    </row>
    <row r="154" spans="1:9" x14ac:dyDescent="0.3">
      <c r="A154">
        <v>10153</v>
      </c>
      <c r="B154">
        <v>67</v>
      </c>
      <c r="C154" s="2">
        <v>45359</v>
      </c>
      <c r="D154" s="2" t="str">
        <f>TEXT(Table3[[#This Row],[usage_date]],"mmmm")</f>
        <v>March</v>
      </c>
      <c r="E154" s="9">
        <f>YEAR(Table3[[#This Row],[usage_date]])</f>
        <v>2024</v>
      </c>
      <c r="F154" s="14">
        <v>3.58</v>
      </c>
      <c r="G154">
        <v>281</v>
      </c>
      <c r="H154" t="s">
        <v>12</v>
      </c>
      <c r="I154" t="str">
        <f t="shared" si="2"/>
        <v>Normal Usage</v>
      </c>
    </row>
    <row r="155" spans="1:9" x14ac:dyDescent="0.3">
      <c r="A155">
        <v>10154</v>
      </c>
      <c r="B155">
        <v>336</v>
      </c>
      <c r="C155" s="2">
        <v>45323</v>
      </c>
      <c r="D155" s="2" t="str">
        <f>TEXT(Table3[[#This Row],[usage_date]],"mmmm")</f>
        <v>February</v>
      </c>
      <c r="E155" s="9">
        <f>YEAR(Table3[[#This Row],[usage_date]])</f>
        <v>2024</v>
      </c>
      <c r="F155" s="14">
        <v>0.04</v>
      </c>
      <c r="G155">
        <v>35</v>
      </c>
      <c r="H155" t="s">
        <v>13</v>
      </c>
      <c r="I155" t="str">
        <f t="shared" si="2"/>
        <v>Normal Usage</v>
      </c>
    </row>
    <row r="156" spans="1:9" x14ac:dyDescent="0.3">
      <c r="A156">
        <v>10155</v>
      </c>
      <c r="B156">
        <v>7</v>
      </c>
      <c r="C156" s="2">
        <v>45427</v>
      </c>
      <c r="D156" s="2" t="str">
        <f>TEXT(Table3[[#This Row],[usage_date]],"mmmm")</f>
        <v>May</v>
      </c>
      <c r="E156" s="9">
        <f>YEAR(Table3[[#This Row],[usage_date]])</f>
        <v>2024</v>
      </c>
      <c r="F156" s="14">
        <v>2.04</v>
      </c>
      <c r="G156">
        <v>170</v>
      </c>
      <c r="H156" t="s">
        <v>13</v>
      </c>
      <c r="I156" t="str">
        <f t="shared" si="2"/>
        <v>Normal Usage</v>
      </c>
    </row>
    <row r="157" spans="1:9" x14ac:dyDescent="0.3">
      <c r="A157">
        <v>10156</v>
      </c>
      <c r="B157">
        <v>436</v>
      </c>
      <c r="C157" s="2">
        <v>45387</v>
      </c>
      <c r="D157" s="2" t="str">
        <f>TEXT(Table3[[#This Row],[usage_date]],"mmmm")</f>
        <v>April</v>
      </c>
      <c r="E157" s="9">
        <f>YEAR(Table3[[#This Row],[usage_date]])</f>
        <v>2024</v>
      </c>
      <c r="F157" s="14">
        <v>1.19</v>
      </c>
      <c r="G157">
        <v>125</v>
      </c>
      <c r="H157" t="s">
        <v>13</v>
      </c>
      <c r="I157" t="str">
        <f t="shared" si="2"/>
        <v>Normal Usage</v>
      </c>
    </row>
    <row r="158" spans="1:9" x14ac:dyDescent="0.3">
      <c r="A158">
        <v>10157</v>
      </c>
      <c r="B158">
        <v>14</v>
      </c>
      <c r="C158" s="2">
        <v>45269</v>
      </c>
      <c r="D158" s="2" t="str">
        <f>TEXT(Table3[[#This Row],[usage_date]],"mmmm")</f>
        <v>December</v>
      </c>
      <c r="E158" s="9">
        <f>YEAR(Table3[[#This Row],[usage_date]])</f>
        <v>2023</v>
      </c>
      <c r="F158" s="14">
        <v>1.77</v>
      </c>
      <c r="G158">
        <v>298</v>
      </c>
      <c r="H158" t="s">
        <v>13</v>
      </c>
      <c r="I158" t="str">
        <f t="shared" si="2"/>
        <v>Normal Usage</v>
      </c>
    </row>
    <row r="159" spans="1:9" x14ac:dyDescent="0.3">
      <c r="A159">
        <v>10158</v>
      </c>
      <c r="B159">
        <v>73</v>
      </c>
      <c r="C159" s="2">
        <v>45396</v>
      </c>
      <c r="D159" s="2" t="str">
        <f>TEXT(Table3[[#This Row],[usage_date]],"mmmm")</f>
        <v>April</v>
      </c>
      <c r="E159" s="9">
        <f>YEAR(Table3[[#This Row],[usage_date]])</f>
        <v>2024</v>
      </c>
      <c r="F159" s="14">
        <v>2.0699999999999998</v>
      </c>
      <c r="G159">
        <v>203</v>
      </c>
      <c r="H159" t="s">
        <v>12</v>
      </c>
      <c r="I159" t="str">
        <f t="shared" si="2"/>
        <v>Normal Usage</v>
      </c>
    </row>
    <row r="160" spans="1:9" x14ac:dyDescent="0.3">
      <c r="A160">
        <v>10159</v>
      </c>
      <c r="B160">
        <v>399</v>
      </c>
      <c r="C160" s="2">
        <v>44632</v>
      </c>
      <c r="D160" s="2" t="str">
        <f>TEXT(Table3[[#This Row],[usage_date]],"mmmm")</f>
        <v>March</v>
      </c>
      <c r="E160" s="9">
        <f>YEAR(Table3[[#This Row],[usage_date]])</f>
        <v>2022</v>
      </c>
      <c r="F160" s="14">
        <v>0.94</v>
      </c>
      <c r="G160">
        <v>288</v>
      </c>
      <c r="H160" t="s">
        <v>12</v>
      </c>
      <c r="I160" t="str">
        <f t="shared" si="2"/>
        <v>Normal Usage</v>
      </c>
    </row>
    <row r="161" spans="1:9" x14ac:dyDescent="0.3">
      <c r="A161">
        <v>10160</v>
      </c>
      <c r="B161">
        <v>405</v>
      </c>
      <c r="C161" s="2">
        <v>44809</v>
      </c>
      <c r="D161" s="2" t="str">
        <f>TEXT(Table3[[#This Row],[usage_date]],"mmmm")</f>
        <v>September</v>
      </c>
      <c r="E161" s="9">
        <f>YEAR(Table3[[#This Row],[usage_date]])</f>
        <v>2022</v>
      </c>
      <c r="F161" s="14">
        <v>0.87</v>
      </c>
      <c r="G161">
        <v>96</v>
      </c>
      <c r="H161" t="s">
        <v>12</v>
      </c>
      <c r="I161" t="str">
        <f t="shared" si="2"/>
        <v>Normal Usage</v>
      </c>
    </row>
    <row r="162" spans="1:9" x14ac:dyDescent="0.3">
      <c r="A162">
        <v>10161</v>
      </c>
      <c r="B162">
        <v>163</v>
      </c>
      <c r="C162" s="2">
        <v>44707</v>
      </c>
      <c r="D162" s="2" t="str">
        <f>TEXT(Table3[[#This Row],[usage_date]],"mmmm")</f>
        <v>May</v>
      </c>
      <c r="E162" s="9">
        <f>YEAR(Table3[[#This Row],[usage_date]])</f>
        <v>2022</v>
      </c>
      <c r="F162" s="14">
        <v>3.31</v>
      </c>
      <c r="G162">
        <v>237</v>
      </c>
      <c r="H162" t="s">
        <v>13</v>
      </c>
      <c r="I162" t="str">
        <f t="shared" si="2"/>
        <v>Normal Usage</v>
      </c>
    </row>
    <row r="163" spans="1:9" x14ac:dyDescent="0.3">
      <c r="A163">
        <v>10162</v>
      </c>
      <c r="B163">
        <v>66</v>
      </c>
      <c r="C163" s="2">
        <v>45179</v>
      </c>
      <c r="D163" s="2" t="str">
        <f>TEXT(Table3[[#This Row],[usage_date]],"mmmm")</f>
        <v>September</v>
      </c>
      <c r="E163" s="9">
        <f>YEAR(Table3[[#This Row],[usage_date]])</f>
        <v>2023</v>
      </c>
      <c r="F163" s="14">
        <v>5.13</v>
      </c>
      <c r="G163">
        <v>172</v>
      </c>
      <c r="H163" t="s">
        <v>13</v>
      </c>
      <c r="I163" t="str">
        <f t="shared" si="2"/>
        <v>Normal Usage</v>
      </c>
    </row>
    <row r="164" spans="1:9" x14ac:dyDescent="0.3">
      <c r="A164">
        <v>10163</v>
      </c>
      <c r="B164">
        <v>347</v>
      </c>
      <c r="C164" s="2">
        <v>45336</v>
      </c>
      <c r="D164" s="2" t="str">
        <f>TEXT(Table3[[#This Row],[usage_date]],"mmmm")</f>
        <v>February</v>
      </c>
      <c r="E164" s="9">
        <f>YEAR(Table3[[#This Row],[usage_date]])</f>
        <v>2024</v>
      </c>
      <c r="F164" s="14">
        <v>0.53</v>
      </c>
      <c r="G164">
        <v>87</v>
      </c>
      <c r="H164" t="s">
        <v>12</v>
      </c>
      <c r="I164" t="str">
        <f t="shared" si="2"/>
        <v>Normal Usage</v>
      </c>
    </row>
    <row r="165" spans="1:9" x14ac:dyDescent="0.3">
      <c r="A165">
        <v>10164</v>
      </c>
      <c r="B165">
        <v>130</v>
      </c>
      <c r="C165" s="2">
        <v>44857</v>
      </c>
      <c r="D165" s="2" t="str">
        <f>TEXT(Table3[[#This Row],[usage_date]],"mmmm")</f>
        <v>October</v>
      </c>
      <c r="E165" s="9">
        <f>YEAR(Table3[[#This Row],[usage_date]])</f>
        <v>2022</v>
      </c>
      <c r="F165" s="14">
        <v>0.26</v>
      </c>
      <c r="G165">
        <v>16</v>
      </c>
      <c r="H165" t="s">
        <v>12</v>
      </c>
      <c r="I165" t="str">
        <f t="shared" si="2"/>
        <v>Normal Usage</v>
      </c>
    </row>
    <row r="166" spans="1:9" x14ac:dyDescent="0.3">
      <c r="A166">
        <v>10165</v>
      </c>
      <c r="B166">
        <v>419</v>
      </c>
      <c r="C166" s="2">
        <v>45143</v>
      </c>
      <c r="D166" s="2" t="str">
        <f>TEXT(Table3[[#This Row],[usage_date]],"mmmm")</f>
        <v>August</v>
      </c>
      <c r="E166" s="9">
        <f>YEAR(Table3[[#This Row],[usage_date]])</f>
        <v>2023</v>
      </c>
      <c r="F166" s="14">
        <v>5.7</v>
      </c>
      <c r="G166">
        <v>139</v>
      </c>
      <c r="H166" t="s">
        <v>12</v>
      </c>
      <c r="I166" t="str">
        <f t="shared" si="2"/>
        <v>Normal Usage</v>
      </c>
    </row>
    <row r="167" spans="1:9" x14ac:dyDescent="0.3">
      <c r="A167">
        <v>10166</v>
      </c>
      <c r="B167">
        <v>466</v>
      </c>
      <c r="C167" s="2">
        <v>45031</v>
      </c>
      <c r="D167" s="2" t="str">
        <f>TEXT(Table3[[#This Row],[usage_date]],"mmmm")</f>
        <v>April</v>
      </c>
      <c r="E167" s="9">
        <f>YEAR(Table3[[#This Row],[usage_date]])</f>
        <v>2023</v>
      </c>
      <c r="F167" s="14">
        <v>1.08</v>
      </c>
      <c r="G167">
        <v>253</v>
      </c>
      <c r="H167" t="s">
        <v>13</v>
      </c>
      <c r="I167" t="str">
        <f t="shared" si="2"/>
        <v>Normal Usage</v>
      </c>
    </row>
    <row r="168" spans="1:9" x14ac:dyDescent="0.3">
      <c r="A168">
        <v>10167</v>
      </c>
      <c r="B168">
        <v>206</v>
      </c>
      <c r="C168" s="2">
        <v>45067</v>
      </c>
      <c r="D168" s="2" t="str">
        <f>TEXT(Table3[[#This Row],[usage_date]],"mmmm")</f>
        <v>May</v>
      </c>
      <c r="E168" s="9">
        <f>YEAR(Table3[[#This Row],[usage_date]])</f>
        <v>2023</v>
      </c>
      <c r="F168" s="14">
        <v>2</v>
      </c>
      <c r="G168">
        <v>277</v>
      </c>
      <c r="H168" t="s">
        <v>12</v>
      </c>
      <c r="I168" t="str">
        <f t="shared" si="2"/>
        <v>Normal Usage</v>
      </c>
    </row>
    <row r="169" spans="1:9" x14ac:dyDescent="0.3">
      <c r="A169">
        <v>10168</v>
      </c>
      <c r="B169">
        <v>276</v>
      </c>
      <c r="C169" s="2">
        <v>44754</v>
      </c>
      <c r="D169" s="2" t="str">
        <f>TEXT(Table3[[#This Row],[usage_date]],"mmmm")</f>
        <v>July</v>
      </c>
      <c r="E169" s="9">
        <f>YEAR(Table3[[#This Row],[usage_date]])</f>
        <v>2022</v>
      </c>
      <c r="F169" s="14">
        <v>1.1100000000000001</v>
      </c>
      <c r="G169">
        <v>150</v>
      </c>
      <c r="H169" t="s">
        <v>13</v>
      </c>
      <c r="I169" t="str">
        <f t="shared" si="2"/>
        <v>Normal Usage</v>
      </c>
    </row>
    <row r="170" spans="1:9" x14ac:dyDescent="0.3">
      <c r="A170">
        <v>10169</v>
      </c>
      <c r="B170">
        <v>466</v>
      </c>
      <c r="C170" s="2">
        <v>44629</v>
      </c>
      <c r="D170" s="2" t="str">
        <f>TEXT(Table3[[#This Row],[usage_date]],"mmmm")</f>
        <v>March</v>
      </c>
      <c r="E170" s="9">
        <f>YEAR(Table3[[#This Row],[usage_date]])</f>
        <v>2022</v>
      </c>
      <c r="F170" s="14">
        <v>0.34</v>
      </c>
      <c r="G170">
        <v>139</v>
      </c>
      <c r="H170" t="s">
        <v>12</v>
      </c>
      <c r="I170" t="str">
        <f t="shared" si="2"/>
        <v>Normal Usage</v>
      </c>
    </row>
    <row r="171" spans="1:9" x14ac:dyDescent="0.3">
      <c r="A171">
        <v>10170</v>
      </c>
      <c r="B171">
        <v>256</v>
      </c>
      <c r="C171" s="2">
        <v>45055</v>
      </c>
      <c r="D171" s="2" t="str">
        <f>TEXT(Table3[[#This Row],[usage_date]],"mmmm")</f>
        <v>May</v>
      </c>
      <c r="E171" s="9">
        <f>YEAR(Table3[[#This Row],[usage_date]])</f>
        <v>2023</v>
      </c>
      <c r="F171" s="14">
        <v>2.2200000000000002</v>
      </c>
      <c r="G171">
        <v>113</v>
      </c>
      <c r="H171" t="s">
        <v>12</v>
      </c>
      <c r="I171" t="str">
        <f t="shared" si="2"/>
        <v>Normal Usage</v>
      </c>
    </row>
    <row r="172" spans="1:9" x14ac:dyDescent="0.3">
      <c r="A172">
        <v>10171</v>
      </c>
      <c r="B172">
        <v>266</v>
      </c>
      <c r="C172" s="2">
        <v>45378</v>
      </c>
      <c r="D172" s="2" t="str">
        <f>TEXT(Table3[[#This Row],[usage_date]],"mmmm")</f>
        <v>March</v>
      </c>
      <c r="E172" s="9">
        <f>YEAR(Table3[[#This Row],[usage_date]])</f>
        <v>2024</v>
      </c>
      <c r="F172" s="14">
        <v>1.86</v>
      </c>
      <c r="G172">
        <v>67</v>
      </c>
      <c r="H172" t="s">
        <v>13</v>
      </c>
      <c r="I172" t="str">
        <f t="shared" si="2"/>
        <v>Normal Usage</v>
      </c>
    </row>
    <row r="173" spans="1:9" x14ac:dyDescent="0.3">
      <c r="A173">
        <v>10172</v>
      </c>
      <c r="B173">
        <v>25</v>
      </c>
      <c r="C173" s="2">
        <v>44613</v>
      </c>
      <c r="D173" s="2" t="str">
        <f>TEXT(Table3[[#This Row],[usage_date]],"mmmm")</f>
        <v>February</v>
      </c>
      <c r="E173" s="9">
        <f>YEAR(Table3[[#This Row],[usage_date]])</f>
        <v>2022</v>
      </c>
      <c r="F173" s="14">
        <v>0.56999999999999995</v>
      </c>
      <c r="G173">
        <v>178</v>
      </c>
      <c r="H173" t="s">
        <v>12</v>
      </c>
      <c r="I173" t="str">
        <f t="shared" si="2"/>
        <v>Normal Usage</v>
      </c>
    </row>
    <row r="174" spans="1:9" x14ac:dyDescent="0.3">
      <c r="A174">
        <v>10173</v>
      </c>
      <c r="B174">
        <v>450</v>
      </c>
      <c r="C174" s="2">
        <v>45443</v>
      </c>
      <c r="D174" s="2" t="str">
        <f>TEXT(Table3[[#This Row],[usage_date]],"mmmm")</f>
        <v>May</v>
      </c>
      <c r="E174" s="9">
        <f>YEAR(Table3[[#This Row],[usage_date]])</f>
        <v>2024</v>
      </c>
      <c r="F174" s="14">
        <v>1.5</v>
      </c>
      <c r="G174">
        <v>124</v>
      </c>
      <c r="H174" t="s">
        <v>13</v>
      </c>
      <c r="I174" t="str">
        <f t="shared" si="2"/>
        <v>Normal Usage</v>
      </c>
    </row>
    <row r="175" spans="1:9" x14ac:dyDescent="0.3">
      <c r="A175">
        <v>10174</v>
      </c>
      <c r="B175">
        <v>281</v>
      </c>
      <c r="C175" s="2">
        <v>44924</v>
      </c>
      <c r="D175" s="2" t="str">
        <f>TEXT(Table3[[#This Row],[usage_date]],"mmmm")</f>
        <v>December</v>
      </c>
      <c r="E175" s="9">
        <f>YEAR(Table3[[#This Row],[usage_date]])</f>
        <v>2022</v>
      </c>
      <c r="F175" s="14">
        <v>3.99</v>
      </c>
      <c r="G175">
        <v>232</v>
      </c>
      <c r="H175" t="s">
        <v>13</v>
      </c>
      <c r="I175" t="str">
        <f t="shared" si="2"/>
        <v>Normal Usage</v>
      </c>
    </row>
    <row r="176" spans="1:9" x14ac:dyDescent="0.3">
      <c r="A176">
        <v>10175</v>
      </c>
      <c r="B176">
        <v>253</v>
      </c>
      <c r="C176" s="2">
        <v>45358</v>
      </c>
      <c r="D176" s="2" t="str">
        <f>TEXT(Table3[[#This Row],[usage_date]],"mmmm")</f>
        <v>March</v>
      </c>
      <c r="E176" s="9">
        <f>YEAR(Table3[[#This Row],[usage_date]])</f>
        <v>2024</v>
      </c>
      <c r="F176" s="14">
        <v>2.23</v>
      </c>
      <c r="G176">
        <v>146</v>
      </c>
      <c r="H176" t="s">
        <v>12</v>
      </c>
      <c r="I176" t="str">
        <f t="shared" si="2"/>
        <v>Normal Usage</v>
      </c>
    </row>
    <row r="177" spans="1:9" x14ac:dyDescent="0.3">
      <c r="A177">
        <v>10176</v>
      </c>
      <c r="B177">
        <v>310</v>
      </c>
      <c r="C177" s="2">
        <v>45035</v>
      </c>
      <c r="D177" s="2" t="str">
        <f>TEXT(Table3[[#This Row],[usage_date]],"mmmm")</f>
        <v>April</v>
      </c>
      <c r="E177" s="9">
        <f>YEAR(Table3[[#This Row],[usage_date]])</f>
        <v>2023</v>
      </c>
      <c r="F177" s="14">
        <v>0.25</v>
      </c>
      <c r="G177">
        <v>110</v>
      </c>
      <c r="H177" t="s">
        <v>13</v>
      </c>
      <c r="I177" t="str">
        <f t="shared" si="2"/>
        <v>Normal Usage</v>
      </c>
    </row>
    <row r="178" spans="1:9" x14ac:dyDescent="0.3">
      <c r="A178">
        <v>10177</v>
      </c>
      <c r="B178">
        <v>289</v>
      </c>
      <c r="C178" s="2">
        <v>45407</v>
      </c>
      <c r="D178" s="2" t="str">
        <f>TEXT(Table3[[#This Row],[usage_date]],"mmmm")</f>
        <v>April</v>
      </c>
      <c r="E178" s="9">
        <f>YEAR(Table3[[#This Row],[usage_date]])</f>
        <v>2024</v>
      </c>
      <c r="F178" s="14">
        <v>1.99</v>
      </c>
      <c r="G178">
        <v>237</v>
      </c>
      <c r="H178" t="s">
        <v>12</v>
      </c>
      <c r="I178" t="str">
        <f t="shared" si="2"/>
        <v>Normal Usage</v>
      </c>
    </row>
    <row r="179" spans="1:9" x14ac:dyDescent="0.3">
      <c r="A179">
        <v>10178</v>
      </c>
      <c r="B179">
        <v>164</v>
      </c>
      <c r="C179" s="2">
        <v>45082</v>
      </c>
      <c r="D179" s="2" t="str">
        <f>TEXT(Table3[[#This Row],[usage_date]],"mmmm")</f>
        <v>June</v>
      </c>
      <c r="E179" s="9">
        <f>YEAR(Table3[[#This Row],[usage_date]])</f>
        <v>2023</v>
      </c>
      <c r="F179" s="14">
        <v>3.03</v>
      </c>
      <c r="G179">
        <v>2</v>
      </c>
      <c r="H179" t="s">
        <v>12</v>
      </c>
      <c r="I179" t="str">
        <f t="shared" si="2"/>
        <v>Normal Usage</v>
      </c>
    </row>
    <row r="180" spans="1:9" x14ac:dyDescent="0.3">
      <c r="A180">
        <v>10179</v>
      </c>
      <c r="B180">
        <v>95</v>
      </c>
      <c r="C180" s="2">
        <v>45324</v>
      </c>
      <c r="D180" s="2" t="str">
        <f>TEXT(Table3[[#This Row],[usage_date]],"mmmm")</f>
        <v>February</v>
      </c>
      <c r="E180" s="9">
        <f>YEAR(Table3[[#This Row],[usage_date]])</f>
        <v>2024</v>
      </c>
      <c r="F180" s="14">
        <v>3.93</v>
      </c>
      <c r="G180">
        <v>210</v>
      </c>
      <c r="H180" t="s">
        <v>13</v>
      </c>
      <c r="I180" t="str">
        <f t="shared" si="2"/>
        <v>Normal Usage</v>
      </c>
    </row>
    <row r="181" spans="1:9" x14ac:dyDescent="0.3">
      <c r="A181">
        <v>10180</v>
      </c>
      <c r="B181">
        <v>270</v>
      </c>
      <c r="C181" s="2">
        <v>44992</v>
      </c>
      <c r="D181" s="2" t="str">
        <f>TEXT(Table3[[#This Row],[usage_date]],"mmmm")</f>
        <v>March</v>
      </c>
      <c r="E181" s="9">
        <f>YEAR(Table3[[#This Row],[usage_date]])</f>
        <v>2023</v>
      </c>
      <c r="F181" s="14">
        <v>2.48</v>
      </c>
      <c r="G181">
        <v>24</v>
      </c>
      <c r="H181" t="s">
        <v>12</v>
      </c>
      <c r="I181" t="str">
        <f t="shared" si="2"/>
        <v>Normal Usage</v>
      </c>
    </row>
    <row r="182" spans="1:9" x14ac:dyDescent="0.3">
      <c r="A182">
        <v>10181</v>
      </c>
      <c r="B182">
        <v>321</v>
      </c>
      <c r="C182" s="2">
        <v>45405</v>
      </c>
      <c r="D182" s="2" t="str">
        <f>TEXT(Table3[[#This Row],[usage_date]],"mmmm")</f>
        <v>April</v>
      </c>
      <c r="E182" s="9">
        <f>YEAR(Table3[[#This Row],[usage_date]])</f>
        <v>2024</v>
      </c>
      <c r="F182" s="14">
        <v>0.41</v>
      </c>
      <c r="G182">
        <v>183</v>
      </c>
      <c r="H182" t="s">
        <v>12</v>
      </c>
      <c r="I182" t="str">
        <f t="shared" si="2"/>
        <v>Normal Usage</v>
      </c>
    </row>
    <row r="183" spans="1:9" x14ac:dyDescent="0.3">
      <c r="A183">
        <v>10182</v>
      </c>
      <c r="B183">
        <v>110</v>
      </c>
      <c r="C183" s="2">
        <v>44859</v>
      </c>
      <c r="D183" s="2" t="str">
        <f>TEXT(Table3[[#This Row],[usage_date]],"mmmm")</f>
        <v>October</v>
      </c>
      <c r="E183" s="9">
        <f>YEAR(Table3[[#This Row],[usage_date]])</f>
        <v>2022</v>
      </c>
      <c r="F183" s="14">
        <v>3.1</v>
      </c>
      <c r="G183">
        <v>60</v>
      </c>
      <c r="H183" t="s">
        <v>13</v>
      </c>
      <c r="I183" t="str">
        <f t="shared" si="2"/>
        <v>Normal Usage</v>
      </c>
    </row>
    <row r="184" spans="1:9" x14ac:dyDescent="0.3">
      <c r="A184">
        <v>10183</v>
      </c>
      <c r="B184">
        <v>336</v>
      </c>
      <c r="C184" s="2">
        <v>44996</v>
      </c>
      <c r="D184" s="2" t="str">
        <f>TEXT(Table3[[#This Row],[usage_date]],"mmmm")</f>
        <v>March</v>
      </c>
      <c r="E184" s="9">
        <f>YEAR(Table3[[#This Row],[usage_date]])</f>
        <v>2023</v>
      </c>
      <c r="F184" s="14">
        <v>2.83</v>
      </c>
      <c r="G184">
        <v>122</v>
      </c>
      <c r="H184" t="s">
        <v>12</v>
      </c>
      <c r="I184" t="str">
        <f t="shared" si="2"/>
        <v>Normal Usage</v>
      </c>
    </row>
    <row r="185" spans="1:9" x14ac:dyDescent="0.3">
      <c r="A185">
        <v>10184</v>
      </c>
      <c r="B185">
        <v>310</v>
      </c>
      <c r="C185" s="2">
        <v>45257</v>
      </c>
      <c r="D185" s="2" t="str">
        <f>TEXT(Table3[[#This Row],[usage_date]],"mmmm")</f>
        <v>November</v>
      </c>
      <c r="E185" s="9">
        <f>YEAR(Table3[[#This Row],[usage_date]])</f>
        <v>2023</v>
      </c>
      <c r="F185" s="14">
        <v>0.06</v>
      </c>
      <c r="G185">
        <v>54</v>
      </c>
      <c r="H185" t="s">
        <v>13</v>
      </c>
      <c r="I185" t="str">
        <f t="shared" si="2"/>
        <v>Normal Usage</v>
      </c>
    </row>
    <row r="186" spans="1:9" x14ac:dyDescent="0.3">
      <c r="A186">
        <v>10185</v>
      </c>
      <c r="B186">
        <v>238</v>
      </c>
      <c r="C186" s="2">
        <v>45252</v>
      </c>
      <c r="D186" s="2" t="str">
        <f>TEXT(Table3[[#This Row],[usage_date]],"mmmm")</f>
        <v>November</v>
      </c>
      <c r="E186" s="9">
        <f>YEAR(Table3[[#This Row],[usage_date]])</f>
        <v>2023</v>
      </c>
      <c r="F186" s="14">
        <v>1.33</v>
      </c>
      <c r="G186">
        <v>162</v>
      </c>
      <c r="H186" t="s">
        <v>13</v>
      </c>
      <c r="I186" t="str">
        <f t="shared" si="2"/>
        <v>Normal Usage</v>
      </c>
    </row>
    <row r="187" spans="1:9" x14ac:dyDescent="0.3">
      <c r="A187">
        <v>10186</v>
      </c>
      <c r="B187">
        <v>381</v>
      </c>
      <c r="C187" s="2">
        <v>44759</v>
      </c>
      <c r="D187" s="2" t="str">
        <f>TEXT(Table3[[#This Row],[usage_date]],"mmmm")</f>
        <v>July</v>
      </c>
      <c r="E187" s="9">
        <f>YEAR(Table3[[#This Row],[usage_date]])</f>
        <v>2022</v>
      </c>
      <c r="F187" s="14">
        <v>1.01</v>
      </c>
      <c r="G187">
        <v>186</v>
      </c>
      <c r="H187" t="s">
        <v>12</v>
      </c>
      <c r="I187" t="str">
        <f t="shared" si="2"/>
        <v>Normal Usage</v>
      </c>
    </row>
    <row r="188" spans="1:9" x14ac:dyDescent="0.3">
      <c r="A188">
        <v>10187</v>
      </c>
      <c r="B188">
        <v>436</v>
      </c>
      <c r="C188" s="2">
        <v>44689</v>
      </c>
      <c r="D188" s="2" t="str">
        <f>TEXT(Table3[[#This Row],[usage_date]],"mmmm")</f>
        <v>May</v>
      </c>
      <c r="E188" s="9">
        <f>YEAR(Table3[[#This Row],[usage_date]])</f>
        <v>2022</v>
      </c>
      <c r="F188" s="14">
        <v>2.77</v>
      </c>
      <c r="G188">
        <v>38</v>
      </c>
      <c r="H188" t="s">
        <v>12</v>
      </c>
      <c r="I188" t="str">
        <f t="shared" si="2"/>
        <v>Normal Usage</v>
      </c>
    </row>
    <row r="189" spans="1:9" x14ac:dyDescent="0.3">
      <c r="A189">
        <v>10188</v>
      </c>
      <c r="B189">
        <v>387</v>
      </c>
      <c r="C189" s="2">
        <v>45093</v>
      </c>
      <c r="D189" s="2" t="str">
        <f>TEXT(Table3[[#This Row],[usage_date]],"mmmm")</f>
        <v>June</v>
      </c>
      <c r="E189" s="9">
        <f>YEAR(Table3[[#This Row],[usage_date]])</f>
        <v>2023</v>
      </c>
      <c r="F189" s="14">
        <v>0.61</v>
      </c>
      <c r="G189">
        <v>184</v>
      </c>
      <c r="H189" t="s">
        <v>12</v>
      </c>
      <c r="I189" t="str">
        <f t="shared" si="2"/>
        <v>Normal Usage</v>
      </c>
    </row>
    <row r="190" spans="1:9" x14ac:dyDescent="0.3">
      <c r="A190">
        <v>10189</v>
      </c>
      <c r="B190">
        <v>483</v>
      </c>
      <c r="C190" s="2">
        <v>44972</v>
      </c>
      <c r="D190" s="2" t="str">
        <f>TEXT(Table3[[#This Row],[usage_date]],"mmmm")</f>
        <v>February</v>
      </c>
      <c r="E190" s="9">
        <f>YEAR(Table3[[#This Row],[usage_date]])</f>
        <v>2023</v>
      </c>
      <c r="F190" s="14">
        <v>2.23</v>
      </c>
      <c r="G190">
        <v>82</v>
      </c>
      <c r="H190" t="s">
        <v>12</v>
      </c>
      <c r="I190" t="str">
        <f t="shared" si="2"/>
        <v>Normal Usage</v>
      </c>
    </row>
    <row r="191" spans="1:9" x14ac:dyDescent="0.3">
      <c r="A191">
        <v>10190</v>
      </c>
      <c r="B191">
        <v>425</v>
      </c>
      <c r="C191" s="2">
        <v>45401</v>
      </c>
      <c r="D191" s="2" t="str">
        <f>TEXT(Table3[[#This Row],[usage_date]],"mmmm")</f>
        <v>April</v>
      </c>
      <c r="E191" s="9">
        <f>YEAR(Table3[[#This Row],[usage_date]])</f>
        <v>2024</v>
      </c>
      <c r="F191" s="14">
        <v>6.11</v>
      </c>
      <c r="G191">
        <v>194</v>
      </c>
      <c r="H191" t="s">
        <v>13</v>
      </c>
      <c r="I191" t="str">
        <f t="shared" si="2"/>
        <v>High Usage</v>
      </c>
    </row>
    <row r="192" spans="1:9" x14ac:dyDescent="0.3">
      <c r="A192">
        <v>10191</v>
      </c>
      <c r="B192">
        <v>390</v>
      </c>
      <c r="C192" s="2">
        <v>44626</v>
      </c>
      <c r="D192" s="2" t="str">
        <f>TEXT(Table3[[#This Row],[usage_date]],"mmmm")</f>
        <v>March</v>
      </c>
      <c r="E192" s="9">
        <f>YEAR(Table3[[#This Row],[usage_date]])</f>
        <v>2022</v>
      </c>
      <c r="F192" s="14">
        <v>4</v>
      </c>
      <c r="G192">
        <v>33</v>
      </c>
      <c r="H192" t="s">
        <v>13</v>
      </c>
      <c r="I192" t="str">
        <f t="shared" si="2"/>
        <v>Normal Usage</v>
      </c>
    </row>
    <row r="193" spans="1:9" x14ac:dyDescent="0.3">
      <c r="A193">
        <v>10192</v>
      </c>
      <c r="B193">
        <v>25</v>
      </c>
      <c r="C193" s="2">
        <v>45255</v>
      </c>
      <c r="D193" s="2" t="str">
        <f>TEXT(Table3[[#This Row],[usage_date]],"mmmm")</f>
        <v>November</v>
      </c>
      <c r="E193" s="9">
        <f>YEAR(Table3[[#This Row],[usage_date]])</f>
        <v>2023</v>
      </c>
      <c r="F193" s="14">
        <v>6.36</v>
      </c>
      <c r="G193">
        <v>112</v>
      </c>
      <c r="H193" t="s">
        <v>12</v>
      </c>
      <c r="I193" t="str">
        <f t="shared" si="2"/>
        <v>High Usage</v>
      </c>
    </row>
    <row r="194" spans="1:9" x14ac:dyDescent="0.3">
      <c r="A194">
        <v>10193</v>
      </c>
      <c r="B194">
        <v>141</v>
      </c>
      <c r="C194" s="2">
        <v>44802</v>
      </c>
      <c r="D194" s="2" t="str">
        <f>TEXT(Table3[[#This Row],[usage_date]],"mmmm")</f>
        <v>August</v>
      </c>
      <c r="E194" s="9">
        <f>YEAR(Table3[[#This Row],[usage_date]])</f>
        <v>2022</v>
      </c>
      <c r="F194" s="14">
        <v>9.6</v>
      </c>
      <c r="G194">
        <v>229</v>
      </c>
      <c r="H194" t="s">
        <v>12</v>
      </c>
      <c r="I194" t="str">
        <f t="shared" ref="I194:I257" si="3">IF(F194&gt;6,"High Usage","Normal Usage")</f>
        <v>High Usage</v>
      </c>
    </row>
    <row r="195" spans="1:9" x14ac:dyDescent="0.3">
      <c r="A195">
        <v>10194</v>
      </c>
      <c r="B195">
        <v>117</v>
      </c>
      <c r="C195" s="2">
        <v>44930</v>
      </c>
      <c r="D195" s="2" t="str">
        <f>TEXT(Table3[[#This Row],[usage_date]],"mmmm")</f>
        <v>January</v>
      </c>
      <c r="E195" s="9">
        <f>YEAR(Table3[[#This Row],[usage_date]])</f>
        <v>2023</v>
      </c>
      <c r="F195" s="14">
        <v>0.03</v>
      </c>
      <c r="G195">
        <v>282</v>
      </c>
      <c r="H195" t="s">
        <v>13</v>
      </c>
      <c r="I195" t="str">
        <f t="shared" si="3"/>
        <v>Normal Usage</v>
      </c>
    </row>
    <row r="196" spans="1:9" x14ac:dyDescent="0.3">
      <c r="A196">
        <v>10195</v>
      </c>
      <c r="B196">
        <v>482</v>
      </c>
      <c r="C196" s="2">
        <v>45097</v>
      </c>
      <c r="D196" s="2" t="str">
        <f>TEXT(Table3[[#This Row],[usage_date]],"mmmm")</f>
        <v>June</v>
      </c>
      <c r="E196" s="9">
        <f>YEAR(Table3[[#This Row],[usage_date]])</f>
        <v>2023</v>
      </c>
      <c r="F196" s="14">
        <v>2.44</v>
      </c>
      <c r="G196">
        <v>286</v>
      </c>
      <c r="H196" t="s">
        <v>12</v>
      </c>
      <c r="I196" t="str">
        <f t="shared" si="3"/>
        <v>Normal Usage</v>
      </c>
    </row>
    <row r="197" spans="1:9" x14ac:dyDescent="0.3">
      <c r="A197">
        <v>10196</v>
      </c>
      <c r="B197">
        <v>392</v>
      </c>
      <c r="C197" s="2">
        <v>44945</v>
      </c>
      <c r="D197" s="2" t="str">
        <f>TEXT(Table3[[#This Row],[usage_date]],"mmmm")</f>
        <v>January</v>
      </c>
      <c r="E197" s="9">
        <f>YEAR(Table3[[#This Row],[usage_date]])</f>
        <v>2023</v>
      </c>
      <c r="F197" s="14">
        <v>1.33</v>
      </c>
      <c r="G197">
        <v>154</v>
      </c>
      <c r="H197" t="s">
        <v>13</v>
      </c>
      <c r="I197" t="str">
        <f t="shared" si="3"/>
        <v>Normal Usage</v>
      </c>
    </row>
    <row r="198" spans="1:9" x14ac:dyDescent="0.3">
      <c r="A198">
        <v>10197</v>
      </c>
      <c r="B198">
        <v>405</v>
      </c>
      <c r="C198" s="2">
        <v>44992</v>
      </c>
      <c r="D198" s="2" t="str">
        <f>TEXT(Table3[[#This Row],[usage_date]],"mmmm")</f>
        <v>March</v>
      </c>
      <c r="E198" s="9">
        <f>YEAR(Table3[[#This Row],[usage_date]])</f>
        <v>2023</v>
      </c>
      <c r="F198" s="14">
        <v>4.91</v>
      </c>
      <c r="G198">
        <v>164</v>
      </c>
      <c r="H198" t="s">
        <v>13</v>
      </c>
      <c r="I198" t="str">
        <f t="shared" si="3"/>
        <v>Normal Usage</v>
      </c>
    </row>
    <row r="199" spans="1:9" x14ac:dyDescent="0.3">
      <c r="A199">
        <v>10198</v>
      </c>
      <c r="B199">
        <v>482</v>
      </c>
      <c r="C199" s="2">
        <v>44644</v>
      </c>
      <c r="D199" s="2" t="str">
        <f>TEXT(Table3[[#This Row],[usage_date]],"mmmm")</f>
        <v>March</v>
      </c>
      <c r="E199" s="9">
        <f>YEAR(Table3[[#This Row],[usage_date]])</f>
        <v>2022</v>
      </c>
      <c r="F199" s="14">
        <v>0.73</v>
      </c>
      <c r="G199">
        <v>181</v>
      </c>
      <c r="H199" t="s">
        <v>12</v>
      </c>
      <c r="I199" t="str">
        <f t="shared" si="3"/>
        <v>Normal Usage</v>
      </c>
    </row>
    <row r="200" spans="1:9" x14ac:dyDescent="0.3">
      <c r="A200">
        <v>10199</v>
      </c>
      <c r="B200">
        <v>452</v>
      </c>
      <c r="C200" s="2">
        <v>45392</v>
      </c>
      <c r="D200" s="2" t="str">
        <f>TEXT(Table3[[#This Row],[usage_date]],"mmmm")</f>
        <v>April</v>
      </c>
      <c r="E200" s="9">
        <f>YEAR(Table3[[#This Row],[usage_date]])</f>
        <v>2024</v>
      </c>
      <c r="F200" s="14">
        <v>9.91</v>
      </c>
      <c r="G200">
        <v>238</v>
      </c>
      <c r="H200" t="s">
        <v>12</v>
      </c>
      <c r="I200" t="str">
        <f t="shared" si="3"/>
        <v>High Usage</v>
      </c>
    </row>
    <row r="201" spans="1:9" x14ac:dyDescent="0.3">
      <c r="A201">
        <v>10200</v>
      </c>
      <c r="B201">
        <v>25</v>
      </c>
      <c r="C201" s="2">
        <v>45258</v>
      </c>
      <c r="D201" s="2" t="str">
        <f>TEXT(Table3[[#This Row],[usage_date]],"mmmm")</f>
        <v>November</v>
      </c>
      <c r="E201" s="9">
        <f>YEAR(Table3[[#This Row],[usage_date]])</f>
        <v>2023</v>
      </c>
      <c r="F201" s="14">
        <v>2.38</v>
      </c>
      <c r="G201">
        <v>136</v>
      </c>
      <c r="H201" t="s">
        <v>13</v>
      </c>
      <c r="I201" t="str">
        <f t="shared" si="3"/>
        <v>Normal Usage</v>
      </c>
    </row>
    <row r="202" spans="1:9" x14ac:dyDescent="0.3">
      <c r="A202">
        <v>10201</v>
      </c>
      <c r="B202">
        <v>79</v>
      </c>
      <c r="C202" s="2">
        <v>45389</v>
      </c>
      <c r="D202" s="2" t="str">
        <f>TEXT(Table3[[#This Row],[usage_date]],"mmmm")</f>
        <v>April</v>
      </c>
      <c r="E202" s="9">
        <f>YEAR(Table3[[#This Row],[usage_date]])</f>
        <v>2024</v>
      </c>
      <c r="F202" s="14">
        <v>3.94</v>
      </c>
      <c r="G202">
        <v>265</v>
      </c>
      <c r="H202" t="s">
        <v>12</v>
      </c>
      <c r="I202" t="str">
        <f t="shared" si="3"/>
        <v>Normal Usage</v>
      </c>
    </row>
    <row r="203" spans="1:9" x14ac:dyDescent="0.3">
      <c r="A203">
        <v>10202</v>
      </c>
      <c r="B203">
        <v>68</v>
      </c>
      <c r="C203" s="2">
        <v>45172</v>
      </c>
      <c r="D203" s="2" t="str">
        <f>TEXT(Table3[[#This Row],[usage_date]],"mmmm")</f>
        <v>September</v>
      </c>
      <c r="E203" s="9">
        <f>YEAR(Table3[[#This Row],[usage_date]])</f>
        <v>2023</v>
      </c>
      <c r="F203" s="14">
        <v>0.22</v>
      </c>
      <c r="G203">
        <v>186</v>
      </c>
      <c r="H203" t="s">
        <v>12</v>
      </c>
      <c r="I203" t="str">
        <f t="shared" si="3"/>
        <v>Normal Usage</v>
      </c>
    </row>
    <row r="204" spans="1:9" x14ac:dyDescent="0.3">
      <c r="A204">
        <v>10203</v>
      </c>
      <c r="B204">
        <v>173</v>
      </c>
      <c r="C204" s="2">
        <v>45135</v>
      </c>
      <c r="D204" s="2" t="str">
        <f>TEXT(Table3[[#This Row],[usage_date]],"mmmm")</f>
        <v>July</v>
      </c>
      <c r="E204" s="9">
        <f>YEAR(Table3[[#This Row],[usage_date]])</f>
        <v>2023</v>
      </c>
      <c r="F204" s="14">
        <v>0.51</v>
      </c>
      <c r="G204">
        <v>39</v>
      </c>
      <c r="H204" t="s">
        <v>13</v>
      </c>
      <c r="I204" t="str">
        <f t="shared" si="3"/>
        <v>Normal Usage</v>
      </c>
    </row>
    <row r="205" spans="1:9" x14ac:dyDescent="0.3">
      <c r="A205">
        <v>10204</v>
      </c>
      <c r="B205">
        <v>444</v>
      </c>
      <c r="C205" s="2">
        <v>44847</v>
      </c>
      <c r="D205" s="2" t="str">
        <f>TEXT(Table3[[#This Row],[usage_date]],"mmmm")</f>
        <v>October</v>
      </c>
      <c r="E205" s="9">
        <f>YEAR(Table3[[#This Row],[usage_date]])</f>
        <v>2022</v>
      </c>
      <c r="F205" s="14">
        <v>3.55</v>
      </c>
      <c r="G205">
        <v>166</v>
      </c>
      <c r="H205" t="s">
        <v>13</v>
      </c>
      <c r="I205" t="str">
        <f t="shared" si="3"/>
        <v>Normal Usage</v>
      </c>
    </row>
    <row r="206" spans="1:9" x14ac:dyDescent="0.3">
      <c r="A206">
        <v>10205</v>
      </c>
      <c r="B206">
        <v>12</v>
      </c>
      <c r="C206" s="2">
        <v>45095</v>
      </c>
      <c r="D206" s="2" t="str">
        <f>TEXT(Table3[[#This Row],[usage_date]],"mmmm")</f>
        <v>June</v>
      </c>
      <c r="E206" s="9">
        <f>YEAR(Table3[[#This Row],[usage_date]])</f>
        <v>2023</v>
      </c>
      <c r="F206" s="14">
        <v>0.06</v>
      </c>
      <c r="G206">
        <v>259</v>
      </c>
      <c r="H206" t="s">
        <v>12</v>
      </c>
      <c r="I206" t="str">
        <f t="shared" si="3"/>
        <v>Normal Usage</v>
      </c>
    </row>
    <row r="207" spans="1:9" x14ac:dyDescent="0.3">
      <c r="A207">
        <v>10206</v>
      </c>
      <c r="B207">
        <v>288</v>
      </c>
      <c r="C207" s="2">
        <v>45020</v>
      </c>
      <c r="D207" s="2" t="str">
        <f>TEXT(Table3[[#This Row],[usage_date]],"mmmm")</f>
        <v>April</v>
      </c>
      <c r="E207" s="9">
        <f>YEAR(Table3[[#This Row],[usage_date]])</f>
        <v>2023</v>
      </c>
      <c r="F207" s="14">
        <v>4.24</v>
      </c>
      <c r="G207">
        <v>142</v>
      </c>
      <c r="H207" t="s">
        <v>12</v>
      </c>
      <c r="I207" t="str">
        <f t="shared" si="3"/>
        <v>Normal Usage</v>
      </c>
    </row>
    <row r="208" spans="1:9" x14ac:dyDescent="0.3">
      <c r="A208">
        <v>10207</v>
      </c>
      <c r="B208">
        <v>128</v>
      </c>
      <c r="C208" s="2">
        <v>44773</v>
      </c>
      <c r="D208" s="2" t="str">
        <f>TEXT(Table3[[#This Row],[usage_date]],"mmmm")</f>
        <v>July</v>
      </c>
      <c r="E208" s="9">
        <f>YEAR(Table3[[#This Row],[usage_date]])</f>
        <v>2022</v>
      </c>
      <c r="F208" s="14">
        <v>0.04</v>
      </c>
      <c r="G208">
        <v>203</v>
      </c>
      <c r="H208" t="s">
        <v>12</v>
      </c>
      <c r="I208" t="str">
        <f t="shared" si="3"/>
        <v>Normal Usage</v>
      </c>
    </row>
    <row r="209" spans="1:9" x14ac:dyDescent="0.3">
      <c r="A209">
        <v>10208</v>
      </c>
      <c r="B209">
        <v>96</v>
      </c>
      <c r="C209" s="2">
        <v>44687</v>
      </c>
      <c r="D209" s="2" t="str">
        <f>TEXT(Table3[[#This Row],[usage_date]],"mmmm")</f>
        <v>May</v>
      </c>
      <c r="E209" s="9">
        <f>YEAR(Table3[[#This Row],[usage_date]])</f>
        <v>2022</v>
      </c>
      <c r="F209" s="14">
        <v>2.68</v>
      </c>
      <c r="G209">
        <v>175</v>
      </c>
      <c r="H209" t="s">
        <v>12</v>
      </c>
      <c r="I209" t="str">
        <f t="shared" si="3"/>
        <v>Normal Usage</v>
      </c>
    </row>
    <row r="210" spans="1:9" x14ac:dyDescent="0.3">
      <c r="A210">
        <v>10209</v>
      </c>
      <c r="B210">
        <v>92</v>
      </c>
      <c r="C210" s="2">
        <v>44974</v>
      </c>
      <c r="D210" s="2" t="str">
        <f>TEXT(Table3[[#This Row],[usage_date]],"mmmm")</f>
        <v>February</v>
      </c>
      <c r="E210" s="9">
        <f>YEAR(Table3[[#This Row],[usage_date]])</f>
        <v>2023</v>
      </c>
      <c r="F210" s="14">
        <v>1.1399999999999999</v>
      </c>
      <c r="G210">
        <v>261</v>
      </c>
      <c r="H210" t="s">
        <v>12</v>
      </c>
      <c r="I210" t="str">
        <f t="shared" si="3"/>
        <v>Normal Usage</v>
      </c>
    </row>
    <row r="211" spans="1:9" x14ac:dyDescent="0.3">
      <c r="A211">
        <v>10210</v>
      </c>
      <c r="B211">
        <v>141</v>
      </c>
      <c r="C211" s="2">
        <v>45060</v>
      </c>
      <c r="D211" s="2" t="str">
        <f>TEXT(Table3[[#This Row],[usage_date]],"mmmm")</f>
        <v>May</v>
      </c>
      <c r="E211" s="9">
        <f>YEAR(Table3[[#This Row],[usage_date]])</f>
        <v>2023</v>
      </c>
      <c r="F211" s="14">
        <v>2.36</v>
      </c>
      <c r="G211">
        <v>251</v>
      </c>
      <c r="H211" t="s">
        <v>12</v>
      </c>
      <c r="I211" t="str">
        <f t="shared" si="3"/>
        <v>Normal Usage</v>
      </c>
    </row>
    <row r="212" spans="1:9" x14ac:dyDescent="0.3">
      <c r="A212">
        <v>10211</v>
      </c>
      <c r="B212">
        <v>31</v>
      </c>
      <c r="C212" s="2">
        <v>44986</v>
      </c>
      <c r="D212" s="2" t="str">
        <f>TEXT(Table3[[#This Row],[usage_date]],"mmmm")</f>
        <v>March</v>
      </c>
      <c r="E212" s="9">
        <f>YEAR(Table3[[#This Row],[usage_date]])</f>
        <v>2023</v>
      </c>
      <c r="F212" s="14">
        <v>2.98</v>
      </c>
      <c r="G212">
        <v>199</v>
      </c>
      <c r="H212" t="s">
        <v>12</v>
      </c>
      <c r="I212" t="str">
        <f t="shared" si="3"/>
        <v>Normal Usage</v>
      </c>
    </row>
    <row r="213" spans="1:9" x14ac:dyDescent="0.3">
      <c r="A213">
        <v>10212</v>
      </c>
      <c r="B213">
        <v>334</v>
      </c>
      <c r="C213" s="2">
        <v>45115</v>
      </c>
      <c r="D213" s="2" t="str">
        <f>TEXT(Table3[[#This Row],[usage_date]],"mmmm")</f>
        <v>July</v>
      </c>
      <c r="E213" s="9">
        <f>YEAR(Table3[[#This Row],[usage_date]])</f>
        <v>2023</v>
      </c>
      <c r="F213" s="14">
        <v>1.05</v>
      </c>
      <c r="G213">
        <v>198</v>
      </c>
      <c r="H213" t="s">
        <v>12</v>
      </c>
      <c r="I213" t="str">
        <f t="shared" si="3"/>
        <v>Normal Usage</v>
      </c>
    </row>
    <row r="214" spans="1:9" x14ac:dyDescent="0.3">
      <c r="A214">
        <v>10213</v>
      </c>
      <c r="B214">
        <v>20</v>
      </c>
      <c r="C214" s="2">
        <v>45171</v>
      </c>
      <c r="D214" s="2" t="str">
        <f>TEXT(Table3[[#This Row],[usage_date]],"mmmm")</f>
        <v>September</v>
      </c>
      <c r="E214" s="9">
        <f>YEAR(Table3[[#This Row],[usage_date]])</f>
        <v>2023</v>
      </c>
      <c r="F214" s="14">
        <v>0.28999999999999998</v>
      </c>
      <c r="G214">
        <v>195</v>
      </c>
      <c r="H214" t="s">
        <v>12</v>
      </c>
      <c r="I214" t="str">
        <f t="shared" si="3"/>
        <v>Normal Usage</v>
      </c>
    </row>
    <row r="215" spans="1:9" x14ac:dyDescent="0.3">
      <c r="A215">
        <v>10214</v>
      </c>
      <c r="B215">
        <v>146</v>
      </c>
      <c r="C215" s="2">
        <v>45104</v>
      </c>
      <c r="D215" s="2" t="str">
        <f>TEXT(Table3[[#This Row],[usage_date]],"mmmm")</f>
        <v>June</v>
      </c>
      <c r="E215" s="9">
        <f>YEAR(Table3[[#This Row],[usage_date]])</f>
        <v>2023</v>
      </c>
      <c r="F215" s="14">
        <v>0.18</v>
      </c>
      <c r="G215">
        <v>76</v>
      </c>
      <c r="H215" t="s">
        <v>12</v>
      </c>
      <c r="I215" t="str">
        <f t="shared" si="3"/>
        <v>Normal Usage</v>
      </c>
    </row>
    <row r="216" spans="1:9" x14ac:dyDescent="0.3">
      <c r="A216">
        <v>10215</v>
      </c>
      <c r="B216">
        <v>477</v>
      </c>
      <c r="C216" s="2">
        <v>44719</v>
      </c>
      <c r="D216" s="2" t="str">
        <f>TEXT(Table3[[#This Row],[usage_date]],"mmmm")</f>
        <v>June</v>
      </c>
      <c r="E216" s="9">
        <f>YEAR(Table3[[#This Row],[usage_date]])</f>
        <v>2022</v>
      </c>
      <c r="F216" s="14">
        <v>2.2200000000000002</v>
      </c>
      <c r="G216">
        <v>18</v>
      </c>
      <c r="H216" t="s">
        <v>12</v>
      </c>
      <c r="I216" t="str">
        <f t="shared" si="3"/>
        <v>Normal Usage</v>
      </c>
    </row>
    <row r="217" spans="1:9" x14ac:dyDescent="0.3">
      <c r="A217">
        <v>10216</v>
      </c>
      <c r="B217">
        <v>316</v>
      </c>
      <c r="C217" s="2">
        <v>44673</v>
      </c>
      <c r="D217" s="2" t="str">
        <f>TEXT(Table3[[#This Row],[usage_date]],"mmmm")</f>
        <v>April</v>
      </c>
      <c r="E217" s="9">
        <f>YEAR(Table3[[#This Row],[usage_date]])</f>
        <v>2022</v>
      </c>
      <c r="F217" s="14">
        <v>1.84</v>
      </c>
      <c r="G217">
        <v>61</v>
      </c>
      <c r="H217" t="s">
        <v>12</v>
      </c>
      <c r="I217" t="str">
        <f t="shared" si="3"/>
        <v>Normal Usage</v>
      </c>
    </row>
    <row r="218" spans="1:9" x14ac:dyDescent="0.3">
      <c r="A218">
        <v>10217</v>
      </c>
      <c r="B218">
        <v>447</v>
      </c>
      <c r="C218" s="2">
        <v>44963</v>
      </c>
      <c r="D218" s="2" t="str">
        <f>TEXT(Table3[[#This Row],[usage_date]],"mmmm")</f>
        <v>February</v>
      </c>
      <c r="E218" s="9">
        <f>YEAR(Table3[[#This Row],[usage_date]])</f>
        <v>2023</v>
      </c>
      <c r="F218" s="14">
        <v>3.39</v>
      </c>
      <c r="G218">
        <v>280</v>
      </c>
      <c r="H218" t="s">
        <v>13</v>
      </c>
      <c r="I218" t="str">
        <f t="shared" si="3"/>
        <v>Normal Usage</v>
      </c>
    </row>
    <row r="219" spans="1:9" x14ac:dyDescent="0.3">
      <c r="A219">
        <v>10218</v>
      </c>
      <c r="B219">
        <v>390</v>
      </c>
      <c r="C219" s="2">
        <v>45320</v>
      </c>
      <c r="D219" s="2" t="str">
        <f>TEXT(Table3[[#This Row],[usage_date]],"mmmm")</f>
        <v>January</v>
      </c>
      <c r="E219" s="9">
        <f>YEAR(Table3[[#This Row],[usage_date]])</f>
        <v>2024</v>
      </c>
      <c r="F219" s="14">
        <v>1.78</v>
      </c>
      <c r="G219">
        <v>249</v>
      </c>
      <c r="H219" t="s">
        <v>12</v>
      </c>
      <c r="I219" t="str">
        <f t="shared" si="3"/>
        <v>Normal Usage</v>
      </c>
    </row>
    <row r="220" spans="1:9" x14ac:dyDescent="0.3">
      <c r="A220">
        <v>10219</v>
      </c>
      <c r="B220">
        <v>160</v>
      </c>
      <c r="C220" s="2">
        <v>44683</v>
      </c>
      <c r="D220" s="2" t="str">
        <f>TEXT(Table3[[#This Row],[usage_date]],"mmmm")</f>
        <v>May</v>
      </c>
      <c r="E220" s="9">
        <f>YEAR(Table3[[#This Row],[usage_date]])</f>
        <v>2022</v>
      </c>
      <c r="F220" s="14">
        <v>1.37</v>
      </c>
      <c r="G220">
        <v>226</v>
      </c>
      <c r="H220" t="s">
        <v>12</v>
      </c>
      <c r="I220" t="str">
        <f t="shared" si="3"/>
        <v>Normal Usage</v>
      </c>
    </row>
    <row r="221" spans="1:9" x14ac:dyDescent="0.3">
      <c r="A221">
        <v>10220</v>
      </c>
      <c r="B221">
        <v>349</v>
      </c>
      <c r="C221" s="2">
        <v>44834</v>
      </c>
      <c r="D221" s="2" t="str">
        <f>TEXT(Table3[[#This Row],[usage_date]],"mmmm")</f>
        <v>September</v>
      </c>
      <c r="E221" s="9">
        <f>YEAR(Table3[[#This Row],[usage_date]])</f>
        <v>2022</v>
      </c>
      <c r="F221" s="14">
        <v>1.27</v>
      </c>
      <c r="G221">
        <v>126</v>
      </c>
      <c r="H221" t="s">
        <v>13</v>
      </c>
      <c r="I221" t="str">
        <f t="shared" si="3"/>
        <v>Normal Usage</v>
      </c>
    </row>
    <row r="222" spans="1:9" x14ac:dyDescent="0.3">
      <c r="A222">
        <v>10221</v>
      </c>
      <c r="B222">
        <v>43</v>
      </c>
      <c r="C222" s="2">
        <v>44855</v>
      </c>
      <c r="D222" s="2" t="str">
        <f>TEXT(Table3[[#This Row],[usage_date]],"mmmm")</f>
        <v>October</v>
      </c>
      <c r="E222" s="9">
        <f>YEAR(Table3[[#This Row],[usage_date]])</f>
        <v>2022</v>
      </c>
      <c r="F222" s="14">
        <v>7.0000000000000007E-2</v>
      </c>
      <c r="G222">
        <v>57</v>
      </c>
      <c r="H222" t="s">
        <v>12</v>
      </c>
      <c r="I222" t="str">
        <f t="shared" si="3"/>
        <v>Normal Usage</v>
      </c>
    </row>
    <row r="223" spans="1:9" x14ac:dyDescent="0.3">
      <c r="A223">
        <v>10222</v>
      </c>
      <c r="B223">
        <v>254</v>
      </c>
      <c r="C223" s="2">
        <v>44959</v>
      </c>
      <c r="D223" s="2" t="str">
        <f>TEXT(Table3[[#This Row],[usage_date]],"mmmm")</f>
        <v>February</v>
      </c>
      <c r="E223" s="9">
        <f>YEAR(Table3[[#This Row],[usage_date]])</f>
        <v>2023</v>
      </c>
      <c r="F223" s="14">
        <v>1.02</v>
      </c>
      <c r="G223">
        <v>203</v>
      </c>
      <c r="H223" t="s">
        <v>13</v>
      </c>
      <c r="I223" t="str">
        <f t="shared" si="3"/>
        <v>Normal Usage</v>
      </c>
    </row>
    <row r="224" spans="1:9" x14ac:dyDescent="0.3">
      <c r="A224">
        <v>10223</v>
      </c>
      <c r="B224">
        <v>130</v>
      </c>
      <c r="C224" s="2">
        <v>45032</v>
      </c>
      <c r="D224" s="2" t="str">
        <f>TEXT(Table3[[#This Row],[usage_date]],"mmmm")</f>
        <v>April</v>
      </c>
      <c r="E224" s="9">
        <f>YEAR(Table3[[#This Row],[usage_date]])</f>
        <v>2023</v>
      </c>
      <c r="F224" s="14">
        <v>9.33</v>
      </c>
      <c r="G224">
        <v>242</v>
      </c>
      <c r="H224" t="s">
        <v>12</v>
      </c>
      <c r="I224" t="str">
        <f t="shared" si="3"/>
        <v>High Usage</v>
      </c>
    </row>
    <row r="225" spans="1:9" x14ac:dyDescent="0.3">
      <c r="A225">
        <v>10224</v>
      </c>
      <c r="B225">
        <v>60</v>
      </c>
      <c r="C225" s="2">
        <v>44768</v>
      </c>
      <c r="D225" s="2" t="str">
        <f>TEXT(Table3[[#This Row],[usage_date]],"mmmm")</f>
        <v>July</v>
      </c>
      <c r="E225" s="9">
        <f>YEAR(Table3[[#This Row],[usage_date]])</f>
        <v>2022</v>
      </c>
      <c r="F225" s="14">
        <v>5.17</v>
      </c>
      <c r="G225">
        <v>251</v>
      </c>
      <c r="H225" t="s">
        <v>12</v>
      </c>
      <c r="I225" t="str">
        <f t="shared" si="3"/>
        <v>Normal Usage</v>
      </c>
    </row>
    <row r="226" spans="1:9" x14ac:dyDescent="0.3">
      <c r="A226">
        <v>10225</v>
      </c>
      <c r="B226">
        <v>151</v>
      </c>
      <c r="C226" s="2">
        <v>44671</v>
      </c>
      <c r="D226" s="2" t="str">
        <f>TEXT(Table3[[#This Row],[usage_date]],"mmmm")</f>
        <v>April</v>
      </c>
      <c r="E226" s="9">
        <f>YEAR(Table3[[#This Row],[usage_date]])</f>
        <v>2022</v>
      </c>
      <c r="F226" s="14">
        <v>1</v>
      </c>
      <c r="G226">
        <v>198</v>
      </c>
      <c r="H226" t="s">
        <v>12</v>
      </c>
      <c r="I226" t="str">
        <f t="shared" si="3"/>
        <v>Normal Usage</v>
      </c>
    </row>
    <row r="227" spans="1:9" x14ac:dyDescent="0.3">
      <c r="A227">
        <v>10226</v>
      </c>
      <c r="B227">
        <v>467</v>
      </c>
      <c r="C227" s="2">
        <v>45001</v>
      </c>
      <c r="D227" s="2" t="str">
        <f>TEXT(Table3[[#This Row],[usage_date]],"mmmm")</f>
        <v>March</v>
      </c>
      <c r="E227" s="9">
        <f>YEAR(Table3[[#This Row],[usage_date]])</f>
        <v>2023</v>
      </c>
      <c r="F227" s="14">
        <v>2.2200000000000002</v>
      </c>
      <c r="G227">
        <v>239</v>
      </c>
      <c r="H227" t="s">
        <v>12</v>
      </c>
      <c r="I227" t="str">
        <f t="shared" si="3"/>
        <v>Normal Usage</v>
      </c>
    </row>
    <row r="228" spans="1:9" x14ac:dyDescent="0.3">
      <c r="A228">
        <v>10227</v>
      </c>
      <c r="B228">
        <v>287</v>
      </c>
      <c r="C228" s="2">
        <v>44839</v>
      </c>
      <c r="D228" s="2" t="str">
        <f>TEXT(Table3[[#This Row],[usage_date]],"mmmm")</f>
        <v>October</v>
      </c>
      <c r="E228" s="9">
        <f>YEAR(Table3[[#This Row],[usage_date]])</f>
        <v>2022</v>
      </c>
      <c r="F228" s="14">
        <v>4.7</v>
      </c>
      <c r="G228">
        <v>138</v>
      </c>
      <c r="H228" t="s">
        <v>12</v>
      </c>
      <c r="I228" t="str">
        <f t="shared" si="3"/>
        <v>Normal Usage</v>
      </c>
    </row>
    <row r="229" spans="1:9" x14ac:dyDescent="0.3">
      <c r="A229">
        <v>10228</v>
      </c>
      <c r="B229">
        <v>499</v>
      </c>
      <c r="C229" s="2">
        <v>45129</v>
      </c>
      <c r="D229" s="2" t="str">
        <f>TEXT(Table3[[#This Row],[usage_date]],"mmmm")</f>
        <v>July</v>
      </c>
      <c r="E229" s="9">
        <f>YEAR(Table3[[#This Row],[usage_date]])</f>
        <v>2023</v>
      </c>
      <c r="F229" s="14">
        <v>1.46</v>
      </c>
      <c r="G229">
        <v>121</v>
      </c>
      <c r="H229" t="s">
        <v>12</v>
      </c>
      <c r="I229" t="str">
        <f t="shared" si="3"/>
        <v>Normal Usage</v>
      </c>
    </row>
    <row r="230" spans="1:9" x14ac:dyDescent="0.3">
      <c r="A230">
        <v>10229</v>
      </c>
      <c r="B230">
        <v>5</v>
      </c>
      <c r="C230" s="2">
        <v>45448</v>
      </c>
      <c r="D230" s="2" t="str">
        <f>TEXT(Table3[[#This Row],[usage_date]],"mmmm")</f>
        <v>June</v>
      </c>
      <c r="E230" s="9">
        <f>YEAR(Table3[[#This Row],[usage_date]])</f>
        <v>2024</v>
      </c>
      <c r="F230" s="14">
        <v>0.05</v>
      </c>
      <c r="G230">
        <v>48</v>
      </c>
      <c r="H230" t="s">
        <v>12</v>
      </c>
      <c r="I230" t="str">
        <f t="shared" si="3"/>
        <v>Normal Usage</v>
      </c>
    </row>
    <row r="231" spans="1:9" x14ac:dyDescent="0.3">
      <c r="A231">
        <v>10230</v>
      </c>
      <c r="B231">
        <v>467</v>
      </c>
      <c r="C231" s="2">
        <v>45130</v>
      </c>
      <c r="D231" s="2" t="str">
        <f>TEXT(Table3[[#This Row],[usage_date]],"mmmm")</f>
        <v>July</v>
      </c>
      <c r="E231" s="9">
        <f>YEAR(Table3[[#This Row],[usage_date]])</f>
        <v>2023</v>
      </c>
      <c r="F231" s="14">
        <v>0.19</v>
      </c>
      <c r="G231">
        <v>114</v>
      </c>
      <c r="H231" t="s">
        <v>13</v>
      </c>
      <c r="I231" t="str">
        <f t="shared" si="3"/>
        <v>Normal Usage</v>
      </c>
    </row>
    <row r="232" spans="1:9" x14ac:dyDescent="0.3">
      <c r="A232">
        <v>10231</v>
      </c>
      <c r="B232">
        <v>418</v>
      </c>
      <c r="C232" s="2">
        <v>45043</v>
      </c>
      <c r="D232" s="2" t="str">
        <f>TEXT(Table3[[#This Row],[usage_date]],"mmmm")</f>
        <v>April</v>
      </c>
      <c r="E232" s="9">
        <f>YEAR(Table3[[#This Row],[usage_date]])</f>
        <v>2023</v>
      </c>
      <c r="F232" s="14">
        <v>1.79</v>
      </c>
      <c r="G232">
        <v>250</v>
      </c>
      <c r="H232" t="s">
        <v>12</v>
      </c>
      <c r="I232" t="str">
        <f t="shared" si="3"/>
        <v>Normal Usage</v>
      </c>
    </row>
    <row r="233" spans="1:9" x14ac:dyDescent="0.3">
      <c r="A233">
        <v>10232</v>
      </c>
      <c r="B233">
        <v>266</v>
      </c>
      <c r="C233" s="2">
        <v>45364</v>
      </c>
      <c r="D233" s="2" t="str">
        <f>TEXT(Table3[[#This Row],[usage_date]],"mmmm")</f>
        <v>March</v>
      </c>
      <c r="E233" s="9">
        <f>YEAR(Table3[[#This Row],[usage_date]])</f>
        <v>2024</v>
      </c>
      <c r="F233" s="14">
        <v>8.7200000000000006</v>
      </c>
      <c r="G233">
        <v>6</v>
      </c>
      <c r="H233" t="s">
        <v>12</v>
      </c>
      <c r="I233" t="str">
        <f t="shared" si="3"/>
        <v>High Usage</v>
      </c>
    </row>
    <row r="234" spans="1:9" x14ac:dyDescent="0.3">
      <c r="A234">
        <v>10233</v>
      </c>
      <c r="B234">
        <v>345</v>
      </c>
      <c r="C234" s="2">
        <v>44675</v>
      </c>
      <c r="D234" s="2" t="str">
        <f>TEXT(Table3[[#This Row],[usage_date]],"mmmm")</f>
        <v>April</v>
      </c>
      <c r="E234" s="9">
        <f>YEAR(Table3[[#This Row],[usage_date]])</f>
        <v>2022</v>
      </c>
      <c r="F234" s="14">
        <v>2.95</v>
      </c>
      <c r="G234">
        <v>218</v>
      </c>
      <c r="H234" t="s">
        <v>12</v>
      </c>
      <c r="I234" t="str">
        <f t="shared" si="3"/>
        <v>Normal Usage</v>
      </c>
    </row>
    <row r="235" spans="1:9" x14ac:dyDescent="0.3">
      <c r="A235">
        <v>10234</v>
      </c>
      <c r="B235">
        <v>130</v>
      </c>
      <c r="C235" s="2">
        <v>45454</v>
      </c>
      <c r="D235" s="2" t="str">
        <f>TEXT(Table3[[#This Row],[usage_date]],"mmmm")</f>
        <v>June</v>
      </c>
      <c r="E235" s="9">
        <f>YEAR(Table3[[#This Row],[usage_date]])</f>
        <v>2024</v>
      </c>
      <c r="F235" s="14">
        <v>0.18</v>
      </c>
      <c r="G235">
        <v>76</v>
      </c>
      <c r="H235" t="s">
        <v>12</v>
      </c>
      <c r="I235" t="str">
        <f t="shared" si="3"/>
        <v>Normal Usage</v>
      </c>
    </row>
    <row r="236" spans="1:9" x14ac:dyDescent="0.3">
      <c r="A236">
        <v>10235</v>
      </c>
      <c r="B236">
        <v>382</v>
      </c>
      <c r="C236" s="2">
        <v>45458</v>
      </c>
      <c r="D236" s="2" t="str">
        <f>TEXT(Table3[[#This Row],[usage_date]],"mmmm")</f>
        <v>June</v>
      </c>
      <c r="E236" s="9">
        <f>YEAR(Table3[[#This Row],[usage_date]])</f>
        <v>2024</v>
      </c>
      <c r="F236" s="14">
        <v>0.52</v>
      </c>
      <c r="G236">
        <v>178</v>
      </c>
      <c r="H236" t="s">
        <v>13</v>
      </c>
      <c r="I236" t="str">
        <f t="shared" si="3"/>
        <v>Normal Usage</v>
      </c>
    </row>
    <row r="237" spans="1:9" x14ac:dyDescent="0.3">
      <c r="A237">
        <v>10236</v>
      </c>
      <c r="B237">
        <v>267</v>
      </c>
      <c r="C237" s="2">
        <v>45381</v>
      </c>
      <c r="D237" s="2" t="str">
        <f>TEXT(Table3[[#This Row],[usage_date]],"mmmm")</f>
        <v>March</v>
      </c>
      <c r="E237" s="9">
        <f>YEAR(Table3[[#This Row],[usage_date]])</f>
        <v>2024</v>
      </c>
      <c r="F237" s="14">
        <v>3.69</v>
      </c>
      <c r="G237">
        <v>144</v>
      </c>
      <c r="H237" t="s">
        <v>12</v>
      </c>
      <c r="I237" t="str">
        <f t="shared" si="3"/>
        <v>Normal Usage</v>
      </c>
    </row>
    <row r="238" spans="1:9" x14ac:dyDescent="0.3">
      <c r="A238">
        <v>10237</v>
      </c>
      <c r="B238">
        <v>178</v>
      </c>
      <c r="C238" s="2">
        <v>45414</v>
      </c>
      <c r="D238" s="2" t="str">
        <f>TEXT(Table3[[#This Row],[usage_date]],"mmmm")</f>
        <v>May</v>
      </c>
      <c r="E238" s="9">
        <f>YEAR(Table3[[#This Row],[usage_date]])</f>
        <v>2024</v>
      </c>
      <c r="F238" s="14">
        <v>4.5999999999999996</v>
      </c>
      <c r="G238">
        <v>153</v>
      </c>
      <c r="H238" t="s">
        <v>12</v>
      </c>
      <c r="I238" t="str">
        <f t="shared" si="3"/>
        <v>Normal Usage</v>
      </c>
    </row>
    <row r="239" spans="1:9" x14ac:dyDescent="0.3">
      <c r="A239">
        <v>10238</v>
      </c>
      <c r="B239">
        <v>253</v>
      </c>
      <c r="C239" s="2">
        <v>45038</v>
      </c>
      <c r="D239" s="2" t="str">
        <f>TEXT(Table3[[#This Row],[usage_date]],"mmmm")</f>
        <v>April</v>
      </c>
      <c r="E239" s="9">
        <f>YEAR(Table3[[#This Row],[usage_date]])</f>
        <v>2023</v>
      </c>
      <c r="F239" s="14">
        <v>2.4</v>
      </c>
      <c r="G239">
        <v>120</v>
      </c>
      <c r="H239" t="s">
        <v>13</v>
      </c>
      <c r="I239" t="str">
        <f t="shared" si="3"/>
        <v>Normal Usage</v>
      </c>
    </row>
    <row r="240" spans="1:9" x14ac:dyDescent="0.3">
      <c r="A240">
        <v>10239</v>
      </c>
      <c r="B240">
        <v>415</v>
      </c>
      <c r="C240" s="2">
        <v>45271</v>
      </c>
      <c r="D240" s="2" t="str">
        <f>TEXT(Table3[[#This Row],[usage_date]],"mmmm")</f>
        <v>December</v>
      </c>
      <c r="E240" s="9">
        <f>YEAR(Table3[[#This Row],[usage_date]])</f>
        <v>2023</v>
      </c>
      <c r="F240" s="14">
        <v>2.59</v>
      </c>
      <c r="G240">
        <v>123</v>
      </c>
      <c r="H240" t="s">
        <v>13</v>
      </c>
      <c r="I240" t="str">
        <f t="shared" si="3"/>
        <v>Normal Usage</v>
      </c>
    </row>
    <row r="241" spans="1:9" x14ac:dyDescent="0.3">
      <c r="A241">
        <v>10240</v>
      </c>
      <c r="B241">
        <v>56</v>
      </c>
      <c r="C241" s="2">
        <v>44882</v>
      </c>
      <c r="D241" s="2" t="str">
        <f>TEXT(Table3[[#This Row],[usage_date]],"mmmm")</f>
        <v>November</v>
      </c>
      <c r="E241" s="9">
        <f>YEAR(Table3[[#This Row],[usage_date]])</f>
        <v>2022</v>
      </c>
      <c r="F241" s="14">
        <v>7.0000000000000007E-2</v>
      </c>
      <c r="G241">
        <v>149</v>
      </c>
      <c r="H241" t="s">
        <v>12</v>
      </c>
      <c r="I241" t="str">
        <f t="shared" si="3"/>
        <v>Normal Usage</v>
      </c>
    </row>
    <row r="242" spans="1:9" x14ac:dyDescent="0.3">
      <c r="A242">
        <v>10241</v>
      </c>
      <c r="B242">
        <v>463</v>
      </c>
      <c r="C242" s="2">
        <v>44740</v>
      </c>
      <c r="D242" s="2" t="str">
        <f>TEXT(Table3[[#This Row],[usage_date]],"mmmm")</f>
        <v>June</v>
      </c>
      <c r="E242" s="9">
        <f>YEAR(Table3[[#This Row],[usage_date]])</f>
        <v>2022</v>
      </c>
      <c r="F242" s="14">
        <v>4.41</v>
      </c>
      <c r="G242">
        <v>267</v>
      </c>
      <c r="H242" t="s">
        <v>12</v>
      </c>
      <c r="I242" t="str">
        <f t="shared" si="3"/>
        <v>Normal Usage</v>
      </c>
    </row>
    <row r="243" spans="1:9" x14ac:dyDescent="0.3">
      <c r="A243">
        <v>10242</v>
      </c>
      <c r="B243">
        <v>457</v>
      </c>
      <c r="C243" s="2">
        <v>45458</v>
      </c>
      <c r="D243" s="2" t="str">
        <f>TEXT(Table3[[#This Row],[usage_date]],"mmmm")</f>
        <v>June</v>
      </c>
      <c r="E243" s="9">
        <f>YEAR(Table3[[#This Row],[usage_date]])</f>
        <v>2024</v>
      </c>
      <c r="F243" s="14">
        <v>3.88</v>
      </c>
      <c r="G243">
        <v>0</v>
      </c>
      <c r="H243" t="s">
        <v>12</v>
      </c>
      <c r="I243" t="str">
        <f t="shared" si="3"/>
        <v>Normal Usage</v>
      </c>
    </row>
    <row r="244" spans="1:9" x14ac:dyDescent="0.3">
      <c r="A244">
        <v>10243</v>
      </c>
      <c r="B244">
        <v>471</v>
      </c>
      <c r="C244" s="2">
        <v>44780</v>
      </c>
      <c r="D244" s="2" t="str">
        <f>TEXT(Table3[[#This Row],[usage_date]],"mmmm")</f>
        <v>August</v>
      </c>
      <c r="E244" s="9">
        <f>YEAR(Table3[[#This Row],[usage_date]])</f>
        <v>2022</v>
      </c>
      <c r="F244" s="14">
        <v>0.75</v>
      </c>
      <c r="G244">
        <v>160</v>
      </c>
      <c r="H244" t="s">
        <v>12</v>
      </c>
      <c r="I244" t="str">
        <f t="shared" si="3"/>
        <v>Normal Usage</v>
      </c>
    </row>
    <row r="245" spans="1:9" x14ac:dyDescent="0.3">
      <c r="A245">
        <v>10244</v>
      </c>
      <c r="B245">
        <v>83</v>
      </c>
      <c r="C245" s="2">
        <v>45350</v>
      </c>
      <c r="D245" s="2" t="str">
        <f>TEXT(Table3[[#This Row],[usage_date]],"mmmm")</f>
        <v>February</v>
      </c>
      <c r="E245" s="9">
        <f>YEAR(Table3[[#This Row],[usage_date]])</f>
        <v>2024</v>
      </c>
      <c r="F245" s="14">
        <v>3.08</v>
      </c>
      <c r="G245">
        <v>243</v>
      </c>
      <c r="H245" t="s">
        <v>12</v>
      </c>
      <c r="I245" t="str">
        <f t="shared" si="3"/>
        <v>Normal Usage</v>
      </c>
    </row>
    <row r="246" spans="1:9" x14ac:dyDescent="0.3">
      <c r="A246">
        <v>10245</v>
      </c>
      <c r="B246">
        <v>393</v>
      </c>
      <c r="C246" s="2">
        <v>45089</v>
      </c>
      <c r="D246" s="2" t="str">
        <f>TEXT(Table3[[#This Row],[usage_date]],"mmmm")</f>
        <v>June</v>
      </c>
      <c r="E246" s="9">
        <f>YEAR(Table3[[#This Row],[usage_date]])</f>
        <v>2023</v>
      </c>
      <c r="F246" s="14">
        <v>0.6</v>
      </c>
      <c r="G246">
        <v>250</v>
      </c>
      <c r="H246" t="s">
        <v>12</v>
      </c>
      <c r="I246" t="str">
        <f t="shared" si="3"/>
        <v>Normal Usage</v>
      </c>
    </row>
    <row r="247" spans="1:9" x14ac:dyDescent="0.3">
      <c r="A247">
        <v>10246</v>
      </c>
      <c r="B247">
        <v>99</v>
      </c>
      <c r="C247" s="2">
        <v>45053</v>
      </c>
      <c r="D247" s="2" t="str">
        <f>TEXT(Table3[[#This Row],[usage_date]],"mmmm")</f>
        <v>May</v>
      </c>
      <c r="E247" s="9">
        <f>YEAR(Table3[[#This Row],[usage_date]])</f>
        <v>2023</v>
      </c>
      <c r="F247" s="14">
        <v>0.1</v>
      </c>
      <c r="G247">
        <v>63</v>
      </c>
      <c r="H247" t="s">
        <v>13</v>
      </c>
      <c r="I247" t="str">
        <f t="shared" si="3"/>
        <v>Normal Usage</v>
      </c>
    </row>
    <row r="248" spans="1:9" x14ac:dyDescent="0.3">
      <c r="A248">
        <v>10247</v>
      </c>
      <c r="B248">
        <v>149</v>
      </c>
      <c r="C248" s="2">
        <v>45452</v>
      </c>
      <c r="D248" s="2" t="str">
        <f>TEXT(Table3[[#This Row],[usage_date]],"mmmm")</f>
        <v>June</v>
      </c>
      <c r="E248" s="9">
        <f>YEAR(Table3[[#This Row],[usage_date]])</f>
        <v>2024</v>
      </c>
      <c r="F248" s="14">
        <v>0.56000000000000005</v>
      </c>
      <c r="G248">
        <v>298</v>
      </c>
      <c r="H248" t="s">
        <v>12</v>
      </c>
      <c r="I248" t="str">
        <f t="shared" si="3"/>
        <v>Normal Usage</v>
      </c>
    </row>
    <row r="249" spans="1:9" x14ac:dyDescent="0.3">
      <c r="A249">
        <v>10248</v>
      </c>
      <c r="B249">
        <v>329</v>
      </c>
      <c r="C249" s="2">
        <v>44622</v>
      </c>
      <c r="D249" s="2" t="str">
        <f>TEXT(Table3[[#This Row],[usage_date]],"mmmm")</f>
        <v>March</v>
      </c>
      <c r="E249" s="9">
        <f>YEAR(Table3[[#This Row],[usage_date]])</f>
        <v>2022</v>
      </c>
      <c r="F249" s="14">
        <v>0.49</v>
      </c>
      <c r="G249">
        <v>247</v>
      </c>
      <c r="H249" t="s">
        <v>12</v>
      </c>
      <c r="I249" t="str">
        <f t="shared" si="3"/>
        <v>Normal Usage</v>
      </c>
    </row>
    <row r="250" spans="1:9" x14ac:dyDescent="0.3">
      <c r="A250">
        <v>10249</v>
      </c>
      <c r="B250">
        <v>156</v>
      </c>
      <c r="C250" s="2">
        <v>44615</v>
      </c>
      <c r="D250" s="2" t="str">
        <f>TEXT(Table3[[#This Row],[usage_date]],"mmmm")</f>
        <v>February</v>
      </c>
      <c r="E250" s="9">
        <f>YEAR(Table3[[#This Row],[usage_date]])</f>
        <v>2022</v>
      </c>
      <c r="F250" s="14">
        <v>1.03</v>
      </c>
      <c r="G250">
        <v>296</v>
      </c>
      <c r="H250" t="s">
        <v>12</v>
      </c>
      <c r="I250" t="str">
        <f t="shared" si="3"/>
        <v>Normal Usage</v>
      </c>
    </row>
    <row r="251" spans="1:9" x14ac:dyDescent="0.3">
      <c r="A251">
        <v>10250</v>
      </c>
      <c r="B251">
        <v>190</v>
      </c>
      <c r="C251" s="2">
        <v>45241</v>
      </c>
      <c r="D251" s="2" t="str">
        <f>TEXT(Table3[[#This Row],[usage_date]],"mmmm")</f>
        <v>November</v>
      </c>
      <c r="E251" s="9">
        <f>YEAR(Table3[[#This Row],[usage_date]])</f>
        <v>2023</v>
      </c>
      <c r="F251" s="14">
        <v>1.36</v>
      </c>
      <c r="G251">
        <v>114</v>
      </c>
      <c r="H251" t="s">
        <v>12</v>
      </c>
      <c r="I251" t="str">
        <f t="shared" si="3"/>
        <v>Normal Usage</v>
      </c>
    </row>
    <row r="252" spans="1:9" x14ac:dyDescent="0.3">
      <c r="A252">
        <v>10251</v>
      </c>
      <c r="B252">
        <v>494</v>
      </c>
      <c r="C252" s="2">
        <v>45099</v>
      </c>
      <c r="D252" s="2" t="str">
        <f>TEXT(Table3[[#This Row],[usage_date]],"mmmm")</f>
        <v>June</v>
      </c>
      <c r="E252" s="9">
        <f>YEAR(Table3[[#This Row],[usage_date]])</f>
        <v>2023</v>
      </c>
      <c r="F252" s="14">
        <v>1.78</v>
      </c>
      <c r="G252">
        <v>294</v>
      </c>
      <c r="H252" t="s">
        <v>12</v>
      </c>
      <c r="I252" t="str">
        <f t="shared" si="3"/>
        <v>Normal Usage</v>
      </c>
    </row>
    <row r="253" spans="1:9" x14ac:dyDescent="0.3">
      <c r="A253">
        <v>10252</v>
      </c>
      <c r="B253">
        <v>371</v>
      </c>
      <c r="C253" s="2">
        <v>45409</v>
      </c>
      <c r="D253" s="2" t="str">
        <f>TEXT(Table3[[#This Row],[usage_date]],"mmmm")</f>
        <v>April</v>
      </c>
      <c r="E253" s="9">
        <f>YEAR(Table3[[#This Row],[usage_date]])</f>
        <v>2024</v>
      </c>
      <c r="F253" s="14">
        <v>1.62</v>
      </c>
      <c r="G253">
        <v>0</v>
      </c>
      <c r="H253" t="s">
        <v>12</v>
      </c>
      <c r="I253" t="str">
        <f t="shared" si="3"/>
        <v>Normal Usage</v>
      </c>
    </row>
    <row r="254" spans="1:9" x14ac:dyDescent="0.3">
      <c r="A254">
        <v>10253</v>
      </c>
      <c r="B254">
        <v>263</v>
      </c>
      <c r="C254" s="2">
        <v>44626</v>
      </c>
      <c r="D254" s="2" t="str">
        <f>TEXT(Table3[[#This Row],[usage_date]],"mmmm")</f>
        <v>March</v>
      </c>
      <c r="E254" s="9">
        <f>YEAR(Table3[[#This Row],[usage_date]])</f>
        <v>2022</v>
      </c>
      <c r="F254" s="14">
        <v>0.79</v>
      </c>
      <c r="G254">
        <v>40</v>
      </c>
      <c r="H254" t="s">
        <v>12</v>
      </c>
      <c r="I254" t="str">
        <f t="shared" si="3"/>
        <v>Normal Usage</v>
      </c>
    </row>
    <row r="255" spans="1:9" x14ac:dyDescent="0.3">
      <c r="A255">
        <v>10254</v>
      </c>
      <c r="B255">
        <v>80</v>
      </c>
      <c r="C255" s="2">
        <v>45173</v>
      </c>
      <c r="D255" s="2" t="str">
        <f>TEXT(Table3[[#This Row],[usage_date]],"mmmm")</f>
        <v>September</v>
      </c>
      <c r="E255" s="9">
        <f>YEAR(Table3[[#This Row],[usage_date]])</f>
        <v>2023</v>
      </c>
      <c r="F255" s="14">
        <v>7.0000000000000007E-2</v>
      </c>
      <c r="G255">
        <v>172</v>
      </c>
      <c r="H255" t="s">
        <v>12</v>
      </c>
      <c r="I255" t="str">
        <f t="shared" si="3"/>
        <v>Normal Usage</v>
      </c>
    </row>
    <row r="256" spans="1:9" x14ac:dyDescent="0.3">
      <c r="A256">
        <v>10255</v>
      </c>
      <c r="B256">
        <v>400</v>
      </c>
      <c r="C256" s="2">
        <v>45147</v>
      </c>
      <c r="D256" s="2" t="str">
        <f>TEXT(Table3[[#This Row],[usage_date]],"mmmm")</f>
        <v>August</v>
      </c>
      <c r="E256" s="9">
        <f>YEAR(Table3[[#This Row],[usage_date]])</f>
        <v>2023</v>
      </c>
      <c r="F256" s="14">
        <v>2.3199999999999998</v>
      </c>
      <c r="G256">
        <v>87</v>
      </c>
      <c r="H256" t="s">
        <v>12</v>
      </c>
      <c r="I256" t="str">
        <f t="shared" si="3"/>
        <v>Normal Usage</v>
      </c>
    </row>
    <row r="257" spans="1:9" x14ac:dyDescent="0.3">
      <c r="A257">
        <v>10256</v>
      </c>
      <c r="B257">
        <v>252</v>
      </c>
      <c r="C257" s="2">
        <v>45265</v>
      </c>
      <c r="D257" s="2" t="str">
        <f>TEXT(Table3[[#This Row],[usage_date]],"mmmm")</f>
        <v>December</v>
      </c>
      <c r="E257" s="9">
        <f>YEAR(Table3[[#This Row],[usage_date]])</f>
        <v>2023</v>
      </c>
      <c r="F257" s="14">
        <v>1.26</v>
      </c>
      <c r="G257">
        <v>97</v>
      </c>
      <c r="H257" t="s">
        <v>12</v>
      </c>
      <c r="I257" t="str">
        <f t="shared" si="3"/>
        <v>Normal Usage</v>
      </c>
    </row>
    <row r="258" spans="1:9" x14ac:dyDescent="0.3">
      <c r="A258">
        <v>10257</v>
      </c>
      <c r="B258">
        <v>97</v>
      </c>
      <c r="C258" s="2">
        <v>44732</v>
      </c>
      <c r="D258" s="2" t="str">
        <f>TEXT(Table3[[#This Row],[usage_date]],"mmmm")</f>
        <v>June</v>
      </c>
      <c r="E258" s="9">
        <f>YEAR(Table3[[#This Row],[usage_date]])</f>
        <v>2022</v>
      </c>
      <c r="F258" s="14">
        <v>0.89</v>
      </c>
      <c r="G258">
        <v>87</v>
      </c>
      <c r="H258" t="s">
        <v>12</v>
      </c>
      <c r="I258" t="str">
        <f t="shared" ref="I258:I321" si="4">IF(F258&gt;6,"High Usage","Normal Usage")</f>
        <v>Normal Usage</v>
      </c>
    </row>
    <row r="259" spans="1:9" x14ac:dyDescent="0.3">
      <c r="A259">
        <v>10258</v>
      </c>
      <c r="B259">
        <v>260</v>
      </c>
      <c r="C259" s="2">
        <v>44834</v>
      </c>
      <c r="D259" s="2" t="str">
        <f>TEXT(Table3[[#This Row],[usage_date]],"mmmm")</f>
        <v>September</v>
      </c>
      <c r="E259" s="9">
        <f>YEAR(Table3[[#This Row],[usage_date]])</f>
        <v>2022</v>
      </c>
      <c r="F259" s="14">
        <v>5.04</v>
      </c>
      <c r="G259">
        <v>250</v>
      </c>
      <c r="H259" t="s">
        <v>12</v>
      </c>
      <c r="I259" t="str">
        <f t="shared" si="4"/>
        <v>Normal Usage</v>
      </c>
    </row>
    <row r="260" spans="1:9" x14ac:dyDescent="0.3">
      <c r="A260">
        <v>10259</v>
      </c>
      <c r="B260">
        <v>260</v>
      </c>
      <c r="C260" s="2">
        <v>45450</v>
      </c>
      <c r="D260" s="2" t="str">
        <f>TEXT(Table3[[#This Row],[usage_date]],"mmmm")</f>
        <v>June</v>
      </c>
      <c r="E260" s="9">
        <f>YEAR(Table3[[#This Row],[usage_date]])</f>
        <v>2024</v>
      </c>
      <c r="F260" s="14">
        <v>3.43</v>
      </c>
      <c r="G260">
        <v>140</v>
      </c>
      <c r="H260" t="s">
        <v>12</v>
      </c>
      <c r="I260" t="str">
        <f t="shared" si="4"/>
        <v>Normal Usage</v>
      </c>
    </row>
    <row r="261" spans="1:9" x14ac:dyDescent="0.3">
      <c r="A261">
        <v>10260</v>
      </c>
      <c r="B261">
        <v>103</v>
      </c>
      <c r="C261" s="2">
        <v>45260</v>
      </c>
      <c r="D261" s="2" t="str">
        <f>TEXT(Table3[[#This Row],[usage_date]],"mmmm")</f>
        <v>November</v>
      </c>
      <c r="E261" s="9">
        <f>YEAR(Table3[[#This Row],[usage_date]])</f>
        <v>2023</v>
      </c>
      <c r="F261" s="14">
        <v>4.88</v>
      </c>
      <c r="G261">
        <v>70</v>
      </c>
      <c r="H261" t="s">
        <v>12</v>
      </c>
      <c r="I261" t="str">
        <f t="shared" si="4"/>
        <v>Normal Usage</v>
      </c>
    </row>
    <row r="262" spans="1:9" x14ac:dyDescent="0.3">
      <c r="A262">
        <v>10261</v>
      </c>
      <c r="B262">
        <v>40</v>
      </c>
      <c r="C262" s="2">
        <v>45096</v>
      </c>
      <c r="D262" s="2" t="str">
        <f>TEXT(Table3[[#This Row],[usage_date]],"mmmm")</f>
        <v>June</v>
      </c>
      <c r="E262" s="9">
        <f>YEAR(Table3[[#This Row],[usage_date]])</f>
        <v>2023</v>
      </c>
      <c r="F262" s="14">
        <v>1.71</v>
      </c>
      <c r="G262">
        <v>136</v>
      </c>
      <c r="H262" t="s">
        <v>13</v>
      </c>
      <c r="I262" t="str">
        <f t="shared" si="4"/>
        <v>Normal Usage</v>
      </c>
    </row>
    <row r="263" spans="1:9" x14ac:dyDescent="0.3">
      <c r="A263">
        <v>10262</v>
      </c>
      <c r="B263">
        <v>273</v>
      </c>
      <c r="C263" s="2">
        <v>44952</v>
      </c>
      <c r="D263" s="2" t="str">
        <f>TEXT(Table3[[#This Row],[usage_date]],"mmmm")</f>
        <v>January</v>
      </c>
      <c r="E263" s="9">
        <f>YEAR(Table3[[#This Row],[usage_date]])</f>
        <v>2023</v>
      </c>
      <c r="F263" s="14">
        <v>0.35</v>
      </c>
      <c r="G263">
        <v>98</v>
      </c>
      <c r="H263" t="s">
        <v>13</v>
      </c>
      <c r="I263" t="str">
        <f t="shared" si="4"/>
        <v>Normal Usage</v>
      </c>
    </row>
    <row r="264" spans="1:9" x14ac:dyDescent="0.3">
      <c r="A264">
        <v>10263</v>
      </c>
      <c r="B264">
        <v>101</v>
      </c>
      <c r="C264" s="2">
        <v>45254</v>
      </c>
      <c r="D264" s="2" t="str">
        <f>TEXT(Table3[[#This Row],[usage_date]],"mmmm")</f>
        <v>November</v>
      </c>
      <c r="E264" s="9">
        <f>YEAR(Table3[[#This Row],[usage_date]])</f>
        <v>2023</v>
      </c>
      <c r="F264" s="14">
        <v>2.98</v>
      </c>
      <c r="G264">
        <v>150</v>
      </c>
      <c r="H264" t="s">
        <v>12</v>
      </c>
      <c r="I264" t="str">
        <f t="shared" si="4"/>
        <v>Normal Usage</v>
      </c>
    </row>
    <row r="265" spans="1:9" x14ac:dyDescent="0.3">
      <c r="A265">
        <v>10264</v>
      </c>
      <c r="B265">
        <v>359</v>
      </c>
      <c r="C265" s="2">
        <v>44888</v>
      </c>
      <c r="D265" s="2" t="str">
        <f>TEXT(Table3[[#This Row],[usage_date]],"mmmm")</f>
        <v>November</v>
      </c>
      <c r="E265" s="9">
        <f>YEAR(Table3[[#This Row],[usage_date]])</f>
        <v>2022</v>
      </c>
      <c r="F265" s="14">
        <v>0.57999999999999996</v>
      </c>
      <c r="G265">
        <v>174</v>
      </c>
      <c r="H265" t="s">
        <v>13</v>
      </c>
      <c r="I265" t="str">
        <f t="shared" si="4"/>
        <v>Normal Usage</v>
      </c>
    </row>
    <row r="266" spans="1:9" x14ac:dyDescent="0.3">
      <c r="A266">
        <v>10265</v>
      </c>
      <c r="B266">
        <v>380</v>
      </c>
      <c r="C266" s="2">
        <v>44669</v>
      </c>
      <c r="D266" s="2" t="str">
        <f>TEXT(Table3[[#This Row],[usage_date]],"mmmm")</f>
        <v>April</v>
      </c>
      <c r="E266" s="9">
        <f>YEAR(Table3[[#This Row],[usage_date]])</f>
        <v>2022</v>
      </c>
      <c r="F266" s="14">
        <v>1.46</v>
      </c>
      <c r="G266">
        <v>166</v>
      </c>
      <c r="H266" t="s">
        <v>12</v>
      </c>
      <c r="I266" t="str">
        <f t="shared" si="4"/>
        <v>Normal Usage</v>
      </c>
    </row>
    <row r="267" spans="1:9" x14ac:dyDescent="0.3">
      <c r="A267">
        <v>10266</v>
      </c>
      <c r="B267">
        <v>308</v>
      </c>
      <c r="C267" s="2">
        <v>45408</v>
      </c>
      <c r="D267" s="2" t="str">
        <f>TEXT(Table3[[#This Row],[usage_date]],"mmmm")</f>
        <v>April</v>
      </c>
      <c r="E267" s="9">
        <f>YEAR(Table3[[#This Row],[usage_date]])</f>
        <v>2024</v>
      </c>
      <c r="F267" s="14">
        <v>0.17</v>
      </c>
      <c r="G267">
        <v>256</v>
      </c>
      <c r="H267" t="s">
        <v>13</v>
      </c>
      <c r="I267" t="str">
        <f t="shared" si="4"/>
        <v>Normal Usage</v>
      </c>
    </row>
    <row r="268" spans="1:9" x14ac:dyDescent="0.3">
      <c r="A268">
        <v>10267</v>
      </c>
      <c r="B268">
        <v>221</v>
      </c>
      <c r="C268" s="2">
        <v>44723</v>
      </c>
      <c r="D268" s="2" t="str">
        <f>TEXT(Table3[[#This Row],[usage_date]],"mmmm")</f>
        <v>June</v>
      </c>
      <c r="E268" s="9">
        <f>YEAR(Table3[[#This Row],[usage_date]])</f>
        <v>2022</v>
      </c>
      <c r="F268" s="14">
        <v>4.3600000000000003</v>
      </c>
      <c r="G268">
        <v>223</v>
      </c>
      <c r="H268" t="s">
        <v>12</v>
      </c>
      <c r="I268" t="str">
        <f t="shared" si="4"/>
        <v>Normal Usage</v>
      </c>
    </row>
    <row r="269" spans="1:9" x14ac:dyDescent="0.3">
      <c r="A269">
        <v>10268</v>
      </c>
      <c r="B269">
        <v>308</v>
      </c>
      <c r="C269" s="2">
        <v>45375</v>
      </c>
      <c r="D269" s="2" t="str">
        <f>TEXT(Table3[[#This Row],[usage_date]],"mmmm")</f>
        <v>March</v>
      </c>
      <c r="E269" s="9">
        <f>YEAR(Table3[[#This Row],[usage_date]])</f>
        <v>2024</v>
      </c>
      <c r="F269" s="14">
        <v>0.34</v>
      </c>
      <c r="G269">
        <v>64</v>
      </c>
      <c r="H269" t="s">
        <v>12</v>
      </c>
      <c r="I269" t="str">
        <f t="shared" si="4"/>
        <v>Normal Usage</v>
      </c>
    </row>
    <row r="270" spans="1:9" x14ac:dyDescent="0.3">
      <c r="A270">
        <v>10269</v>
      </c>
      <c r="B270">
        <v>420</v>
      </c>
      <c r="C270" s="2">
        <v>45013</v>
      </c>
      <c r="D270" s="2" t="str">
        <f>TEXT(Table3[[#This Row],[usage_date]],"mmmm")</f>
        <v>March</v>
      </c>
      <c r="E270" s="9">
        <f>YEAR(Table3[[#This Row],[usage_date]])</f>
        <v>2023</v>
      </c>
      <c r="F270" s="14">
        <v>5.84</v>
      </c>
      <c r="G270">
        <v>68</v>
      </c>
      <c r="H270" t="s">
        <v>12</v>
      </c>
      <c r="I270" t="str">
        <f t="shared" si="4"/>
        <v>Normal Usage</v>
      </c>
    </row>
    <row r="271" spans="1:9" x14ac:dyDescent="0.3">
      <c r="A271">
        <v>10270</v>
      </c>
      <c r="B271">
        <v>124</v>
      </c>
      <c r="C271" s="2">
        <v>44767</v>
      </c>
      <c r="D271" s="2" t="str">
        <f>TEXT(Table3[[#This Row],[usage_date]],"mmmm")</f>
        <v>July</v>
      </c>
      <c r="E271" s="9">
        <f>YEAR(Table3[[#This Row],[usage_date]])</f>
        <v>2022</v>
      </c>
      <c r="F271" s="14">
        <v>4.99</v>
      </c>
      <c r="G271">
        <v>66</v>
      </c>
      <c r="H271" t="s">
        <v>12</v>
      </c>
      <c r="I271" t="str">
        <f t="shared" si="4"/>
        <v>Normal Usage</v>
      </c>
    </row>
    <row r="272" spans="1:9" x14ac:dyDescent="0.3">
      <c r="A272">
        <v>10271</v>
      </c>
      <c r="B272">
        <v>422</v>
      </c>
      <c r="C272" s="2">
        <v>45151</v>
      </c>
      <c r="D272" s="2" t="str">
        <f>TEXT(Table3[[#This Row],[usage_date]],"mmmm")</f>
        <v>August</v>
      </c>
      <c r="E272" s="9">
        <f>YEAR(Table3[[#This Row],[usage_date]])</f>
        <v>2023</v>
      </c>
      <c r="F272" s="14">
        <v>1.56</v>
      </c>
      <c r="G272">
        <v>49</v>
      </c>
      <c r="H272" t="s">
        <v>13</v>
      </c>
      <c r="I272" t="str">
        <f t="shared" si="4"/>
        <v>Normal Usage</v>
      </c>
    </row>
    <row r="273" spans="1:9" x14ac:dyDescent="0.3">
      <c r="A273">
        <v>10272</v>
      </c>
      <c r="B273">
        <v>231</v>
      </c>
      <c r="C273" s="2">
        <v>44577</v>
      </c>
      <c r="D273" s="2" t="str">
        <f>TEXT(Table3[[#This Row],[usage_date]],"mmmm")</f>
        <v>January</v>
      </c>
      <c r="E273" s="9">
        <f>YEAR(Table3[[#This Row],[usage_date]])</f>
        <v>2022</v>
      </c>
      <c r="F273" s="14">
        <v>3.41</v>
      </c>
      <c r="G273">
        <v>90</v>
      </c>
      <c r="H273" t="s">
        <v>12</v>
      </c>
      <c r="I273" t="str">
        <f t="shared" si="4"/>
        <v>Normal Usage</v>
      </c>
    </row>
    <row r="274" spans="1:9" x14ac:dyDescent="0.3">
      <c r="A274">
        <v>10273</v>
      </c>
      <c r="B274">
        <v>178</v>
      </c>
      <c r="C274" s="2">
        <v>44888</v>
      </c>
      <c r="D274" s="2" t="str">
        <f>TEXT(Table3[[#This Row],[usage_date]],"mmmm")</f>
        <v>November</v>
      </c>
      <c r="E274" s="9">
        <f>YEAR(Table3[[#This Row],[usage_date]])</f>
        <v>2022</v>
      </c>
      <c r="F274" s="14">
        <v>2.42</v>
      </c>
      <c r="G274">
        <v>114</v>
      </c>
      <c r="H274" t="s">
        <v>12</v>
      </c>
      <c r="I274" t="str">
        <f t="shared" si="4"/>
        <v>Normal Usage</v>
      </c>
    </row>
    <row r="275" spans="1:9" x14ac:dyDescent="0.3">
      <c r="A275">
        <v>10274</v>
      </c>
      <c r="B275">
        <v>63</v>
      </c>
      <c r="C275" s="2">
        <v>45169</v>
      </c>
      <c r="D275" s="2" t="str">
        <f>TEXT(Table3[[#This Row],[usage_date]],"mmmm")</f>
        <v>August</v>
      </c>
      <c r="E275" s="9">
        <f>YEAR(Table3[[#This Row],[usage_date]])</f>
        <v>2023</v>
      </c>
      <c r="F275" s="14">
        <v>4.0599999999999996</v>
      </c>
      <c r="G275">
        <v>56</v>
      </c>
      <c r="H275" t="s">
        <v>12</v>
      </c>
      <c r="I275" t="str">
        <f t="shared" si="4"/>
        <v>Normal Usage</v>
      </c>
    </row>
    <row r="276" spans="1:9" x14ac:dyDescent="0.3">
      <c r="A276">
        <v>10275</v>
      </c>
      <c r="B276">
        <v>485</v>
      </c>
      <c r="C276" s="2">
        <v>45220</v>
      </c>
      <c r="D276" s="2" t="str">
        <f>TEXT(Table3[[#This Row],[usage_date]],"mmmm")</f>
        <v>October</v>
      </c>
      <c r="E276" s="9">
        <f>YEAR(Table3[[#This Row],[usage_date]])</f>
        <v>2023</v>
      </c>
      <c r="F276" s="14">
        <v>1.41</v>
      </c>
      <c r="G276">
        <v>17</v>
      </c>
      <c r="H276" t="s">
        <v>12</v>
      </c>
      <c r="I276" t="str">
        <f t="shared" si="4"/>
        <v>Normal Usage</v>
      </c>
    </row>
    <row r="277" spans="1:9" x14ac:dyDescent="0.3">
      <c r="A277">
        <v>10276</v>
      </c>
      <c r="B277">
        <v>116</v>
      </c>
      <c r="C277" s="2">
        <v>44563</v>
      </c>
      <c r="D277" s="2" t="str">
        <f>TEXT(Table3[[#This Row],[usage_date]],"mmmm")</f>
        <v>January</v>
      </c>
      <c r="E277" s="9">
        <f>YEAR(Table3[[#This Row],[usage_date]])</f>
        <v>2022</v>
      </c>
      <c r="F277" s="14">
        <v>3.85</v>
      </c>
      <c r="G277">
        <v>271</v>
      </c>
      <c r="H277" t="s">
        <v>12</v>
      </c>
      <c r="I277" t="str">
        <f t="shared" si="4"/>
        <v>Normal Usage</v>
      </c>
    </row>
    <row r="278" spans="1:9" x14ac:dyDescent="0.3">
      <c r="A278">
        <v>10277</v>
      </c>
      <c r="B278">
        <v>191</v>
      </c>
      <c r="C278" s="2">
        <v>44571</v>
      </c>
      <c r="D278" s="2" t="str">
        <f>TEXT(Table3[[#This Row],[usage_date]],"mmmm")</f>
        <v>January</v>
      </c>
      <c r="E278" s="9">
        <f>YEAR(Table3[[#This Row],[usage_date]])</f>
        <v>2022</v>
      </c>
      <c r="F278" s="14">
        <v>1.55</v>
      </c>
      <c r="G278">
        <v>129</v>
      </c>
      <c r="H278" t="s">
        <v>12</v>
      </c>
      <c r="I278" t="str">
        <f t="shared" si="4"/>
        <v>Normal Usage</v>
      </c>
    </row>
    <row r="279" spans="1:9" x14ac:dyDescent="0.3">
      <c r="A279">
        <v>10278</v>
      </c>
      <c r="B279">
        <v>62</v>
      </c>
      <c r="C279" s="2">
        <v>44995</v>
      </c>
      <c r="D279" s="2" t="str">
        <f>TEXT(Table3[[#This Row],[usage_date]],"mmmm")</f>
        <v>March</v>
      </c>
      <c r="E279" s="9">
        <f>YEAR(Table3[[#This Row],[usage_date]])</f>
        <v>2023</v>
      </c>
      <c r="F279" s="14">
        <v>7.07</v>
      </c>
      <c r="G279">
        <v>268</v>
      </c>
      <c r="H279" t="s">
        <v>12</v>
      </c>
      <c r="I279" t="str">
        <f t="shared" si="4"/>
        <v>High Usage</v>
      </c>
    </row>
    <row r="280" spans="1:9" x14ac:dyDescent="0.3">
      <c r="A280">
        <v>10279</v>
      </c>
      <c r="B280">
        <v>256</v>
      </c>
      <c r="C280" s="2">
        <v>44686</v>
      </c>
      <c r="D280" s="2" t="str">
        <f>TEXT(Table3[[#This Row],[usage_date]],"mmmm")</f>
        <v>May</v>
      </c>
      <c r="E280" s="9">
        <f>YEAR(Table3[[#This Row],[usage_date]])</f>
        <v>2022</v>
      </c>
      <c r="F280" s="14">
        <v>1.67</v>
      </c>
      <c r="G280">
        <v>79</v>
      </c>
      <c r="H280" t="s">
        <v>13</v>
      </c>
      <c r="I280" t="str">
        <f t="shared" si="4"/>
        <v>Normal Usage</v>
      </c>
    </row>
    <row r="281" spans="1:9" x14ac:dyDescent="0.3">
      <c r="A281">
        <v>10280</v>
      </c>
      <c r="B281">
        <v>483</v>
      </c>
      <c r="C281" s="2">
        <v>44642</v>
      </c>
      <c r="D281" s="2" t="str">
        <f>TEXT(Table3[[#This Row],[usage_date]],"mmmm")</f>
        <v>March</v>
      </c>
      <c r="E281" s="9">
        <f>YEAR(Table3[[#This Row],[usage_date]])</f>
        <v>2022</v>
      </c>
      <c r="F281" s="14">
        <v>1.55</v>
      </c>
      <c r="G281">
        <v>298</v>
      </c>
      <c r="H281" t="s">
        <v>12</v>
      </c>
      <c r="I281" t="str">
        <f t="shared" si="4"/>
        <v>Normal Usage</v>
      </c>
    </row>
    <row r="282" spans="1:9" x14ac:dyDescent="0.3">
      <c r="A282">
        <v>10281</v>
      </c>
      <c r="B282">
        <v>7</v>
      </c>
      <c r="C282" s="2">
        <v>45046</v>
      </c>
      <c r="D282" s="2" t="str">
        <f>TEXT(Table3[[#This Row],[usage_date]],"mmmm")</f>
        <v>April</v>
      </c>
      <c r="E282" s="9">
        <f>YEAR(Table3[[#This Row],[usage_date]])</f>
        <v>2023</v>
      </c>
      <c r="F282" s="14">
        <v>3.84</v>
      </c>
      <c r="G282">
        <v>201</v>
      </c>
      <c r="H282" t="s">
        <v>12</v>
      </c>
      <c r="I282" t="str">
        <f t="shared" si="4"/>
        <v>Normal Usage</v>
      </c>
    </row>
    <row r="283" spans="1:9" x14ac:dyDescent="0.3">
      <c r="A283">
        <v>10282</v>
      </c>
      <c r="B283">
        <v>155</v>
      </c>
      <c r="C283" s="2">
        <v>45213</v>
      </c>
      <c r="D283" s="2" t="str">
        <f>TEXT(Table3[[#This Row],[usage_date]],"mmmm")</f>
        <v>October</v>
      </c>
      <c r="E283" s="9">
        <f>YEAR(Table3[[#This Row],[usage_date]])</f>
        <v>2023</v>
      </c>
      <c r="F283" s="14">
        <v>4.3099999999999996</v>
      </c>
      <c r="G283">
        <v>224</v>
      </c>
      <c r="H283" t="s">
        <v>12</v>
      </c>
      <c r="I283" t="str">
        <f t="shared" si="4"/>
        <v>Normal Usage</v>
      </c>
    </row>
    <row r="284" spans="1:9" x14ac:dyDescent="0.3">
      <c r="A284">
        <v>10283</v>
      </c>
      <c r="B284">
        <v>92</v>
      </c>
      <c r="C284" s="2">
        <v>45399</v>
      </c>
      <c r="D284" s="2" t="str">
        <f>TEXT(Table3[[#This Row],[usage_date]],"mmmm")</f>
        <v>April</v>
      </c>
      <c r="E284" s="9">
        <f>YEAR(Table3[[#This Row],[usage_date]])</f>
        <v>2024</v>
      </c>
      <c r="F284" s="14">
        <v>2.02</v>
      </c>
      <c r="G284">
        <v>158</v>
      </c>
      <c r="H284" t="s">
        <v>13</v>
      </c>
      <c r="I284" t="str">
        <f t="shared" si="4"/>
        <v>Normal Usage</v>
      </c>
    </row>
    <row r="285" spans="1:9" x14ac:dyDescent="0.3">
      <c r="A285">
        <v>10284</v>
      </c>
      <c r="B285">
        <v>470</v>
      </c>
      <c r="C285" s="2">
        <v>44711</v>
      </c>
      <c r="D285" s="2" t="str">
        <f>TEXT(Table3[[#This Row],[usage_date]],"mmmm")</f>
        <v>May</v>
      </c>
      <c r="E285" s="9">
        <f>YEAR(Table3[[#This Row],[usage_date]])</f>
        <v>2022</v>
      </c>
      <c r="F285" s="14">
        <v>0.5</v>
      </c>
      <c r="G285">
        <v>203</v>
      </c>
      <c r="H285" t="s">
        <v>12</v>
      </c>
      <c r="I285" t="str">
        <f t="shared" si="4"/>
        <v>Normal Usage</v>
      </c>
    </row>
    <row r="286" spans="1:9" x14ac:dyDescent="0.3">
      <c r="A286">
        <v>10285</v>
      </c>
      <c r="B286">
        <v>14</v>
      </c>
      <c r="C286" s="2">
        <v>45361</v>
      </c>
      <c r="D286" s="2" t="str">
        <f>TEXT(Table3[[#This Row],[usage_date]],"mmmm")</f>
        <v>March</v>
      </c>
      <c r="E286" s="9">
        <f>YEAR(Table3[[#This Row],[usage_date]])</f>
        <v>2024</v>
      </c>
      <c r="F286" s="14">
        <v>1.58</v>
      </c>
      <c r="G286">
        <v>136</v>
      </c>
      <c r="H286" t="s">
        <v>12</v>
      </c>
      <c r="I286" t="str">
        <f t="shared" si="4"/>
        <v>Normal Usage</v>
      </c>
    </row>
    <row r="287" spans="1:9" x14ac:dyDescent="0.3">
      <c r="A287">
        <v>10286</v>
      </c>
      <c r="B287">
        <v>455</v>
      </c>
      <c r="C287" s="2">
        <v>45434</v>
      </c>
      <c r="D287" s="2" t="str">
        <f>TEXT(Table3[[#This Row],[usage_date]],"mmmm")</f>
        <v>May</v>
      </c>
      <c r="E287" s="9">
        <f>YEAR(Table3[[#This Row],[usage_date]])</f>
        <v>2024</v>
      </c>
      <c r="F287" s="14">
        <v>8.61</v>
      </c>
      <c r="G287">
        <v>72</v>
      </c>
      <c r="H287" t="s">
        <v>13</v>
      </c>
      <c r="I287" t="str">
        <f t="shared" si="4"/>
        <v>High Usage</v>
      </c>
    </row>
    <row r="288" spans="1:9" x14ac:dyDescent="0.3">
      <c r="A288">
        <v>10287</v>
      </c>
      <c r="B288">
        <v>229</v>
      </c>
      <c r="C288" s="2">
        <v>44901</v>
      </c>
      <c r="D288" s="2" t="str">
        <f>TEXT(Table3[[#This Row],[usage_date]],"mmmm")</f>
        <v>December</v>
      </c>
      <c r="E288" s="9">
        <f>YEAR(Table3[[#This Row],[usage_date]])</f>
        <v>2022</v>
      </c>
      <c r="F288" s="14">
        <v>3.5</v>
      </c>
      <c r="G288">
        <v>47</v>
      </c>
      <c r="H288" t="s">
        <v>12</v>
      </c>
      <c r="I288" t="str">
        <f t="shared" si="4"/>
        <v>Normal Usage</v>
      </c>
    </row>
    <row r="289" spans="1:9" x14ac:dyDescent="0.3">
      <c r="A289">
        <v>10288</v>
      </c>
      <c r="B289">
        <v>86</v>
      </c>
      <c r="C289" s="2">
        <v>44690</v>
      </c>
      <c r="D289" s="2" t="str">
        <f>TEXT(Table3[[#This Row],[usage_date]],"mmmm")</f>
        <v>May</v>
      </c>
      <c r="E289" s="9">
        <f>YEAR(Table3[[#This Row],[usage_date]])</f>
        <v>2022</v>
      </c>
      <c r="F289" s="14">
        <v>4.17</v>
      </c>
      <c r="G289">
        <v>17</v>
      </c>
      <c r="H289" t="s">
        <v>12</v>
      </c>
      <c r="I289" t="str">
        <f t="shared" si="4"/>
        <v>Normal Usage</v>
      </c>
    </row>
    <row r="290" spans="1:9" x14ac:dyDescent="0.3">
      <c r="A290">
        <v>10289</v>
      </c>
      <c r="B290">
        <v>133</v>
      </c>
      <c r="C290" s="2">
        <v>44999</v>
      </c>
      <c r="D290" s="2" t="str">
        <f>TEXT(Table3[[#This Row],[usage_date]],"mmmm")</f>
        <v>March</v>
      </c>
      <c r="E290" s="9">
        <f>YEAR(Table3[[#This Row],[usage_date]])</f>
        <v>2023</v>
      </c>
      <c r="F290" s="14">
        <v>0.08</v>
      </c>
      <c r="G290">
        <v>266</v>
      </c>
      <c r="H290" t="s">
        <v>12</v>
      </c>
      <c r="I290" t="str">
        <f t="shared" si="4"/>
        <v>Normal Usage</v>
      </c>
    </row>
    <row r="291" spans="1:9" x14ac:dyDescent="0.3">
      <c r="A291">
        <v>10290</v>
      </c>
      <c r="B291">
        <v>183</v>
      </c>
      <c r="C291" s="2">
        <v>45312</v>
      </c>
      <c r="D291" s="2" t="str">
        <f>TEXT(Table3[[#This Row],[usage_date]],"mmmm")</f>
        <v>January</v>
      </c>
      <c r="E291" s="9">
        <f>YEAR(Table3[[#This Row],[usage_date]])</f>
        <v>2024</v>
      </c>
      <c r="F291" s="14">
        <v>1.58</v>
      </c>
      <c r="G291">
        <v>18</v>
      </c>
      <c r="H291" t="s">
        <v>13</v>
      </c>
      <c r="I291" t="str">
        <f t="shared" si="4"/>
        <v>Normal Usage</v>
      </c>
    </row>
    <row r="292" spans="1:9" x14ac:dyDescent="0.3">
      <c r="A292">
        <v>10291</v>
      </c>
      <c r="B292">
        <v>386</v>
      </c>
      <c r="C292" s="2">
        <v>45062</v>
      </c>
      <c r="D292" s="2" t="str">
        <f>TEXT(Table3[[#This Row],[usage_date]],"mmmm")</f>
        <v>May</v>
      </c>
      <c r="E292" s="9">
        <f>YEAR(Table3[[#This Row],[usage_date]])</f>
        <v>2023</v>
      </c>
      <c r="F292" s="14">
        <v>2.6</v>
      </c>
      <c r="G292">
        <v>99</v>
      </c>
      <c r="H292" t="s">
        <v>13</v>
      </c>
      <c r="I292" t="str">
        <f t="shared" si="4"/>
        <v>Normal Usage</v>
      </c>
    </row>
    <row r="293" spans="1:9" x14ac:dyDescent="0.3">
      <c r="A293">
        <v>10292</v>
      </c>
      <c r="B293">
        <v>62</v>
      </c>
      <c r="C293" s="2">
        <v>44619</v>
      </c>
      <c r="D293" s="2" t="str">
        <f>TEXT(Table3[[#This Row],[usage_date]],"mmmm")</f>
        <v>February</v>
      </c>
      <c r="E293" s="9">
        <f>YEAR(Table3[[#This Row],[usage_date]])</f>
        <v>2022</v>
      </c>
      <c r="F293" s="14">
        <v>4.43</v>
      </c>
      <c r="G293">
        <v>115</v>
      </c>
      <c r="H293" t="s">
        <v>13</v>
      </c>
      <c r="I293" t="str">
        <f t="shared" si="4"/>
        <v>Normal Usage</v>
      </c>
    </row>
    <row r="294" spans="1:9" x14ac:dyDescent="0.3">
      <c r="A294">
        <v>10293</v>
      </c>
      <c r="B294">
        <v>219</v>
      </c>
      <c r="C294" s="2">
        <v>44759</v>
      </c>
      <c r="D294" s="2" t="str">
        <f>TEXT(Table3[[#This Row],[usage_date]],"mmmm")</f>
        <v>July</v>
      </c>
      <c r="E294" s="9">
        <f>YEAR(Table3[[#This Row],[usage_date]])</f>
        <v>2022</v>
      </c>
      <c r="F294" s="14">
        <v>0.13</v>
      </c>
      <c r="G294">
        <v>73</v>
      </c>
      <c r="H294" t="s">
        <v>12</v>
      </c>
      <c r="I294" t="str">
        <f t="shared" si="4"/>
        <v>Normal Usage</v>
      </c>
    </row>
    <row r="295" spans="1:9" x14ac:dyDescent="0.3">
      <c r="A295">
        <v>10294</v>
      </c>
      <c r="B295">
        <v>405</v>
      </c>
      <c r="C295" s="2">
        <v>44772</v>
      </c>
      <c r="D295" s="2" t="str">
        <f>TEXT(Table3[[#This Row],[usage_date]],"mmmm")</f>
        <v>July</v>
      </c>
      <c r="E295" s="9">
        <f>YEAR(Table3[[#This Row],[usage_date]])</f>
        <v>2022</v>
      </c>
      <c r="F295" s="14">
        <v>4.78</v>
      </c>
      <c r="G295">
        <v>279</v>
      </c>
      <c r="H295" t="s">
        <v>12</v>
      </c>
      <c r="I295" t="str">
        <f t="shared" si="4"/>
        <v>Normal Usage</v>
      </c>
    </row>
    <row r="296" spans="1:9" x14ac:dyDescent="0.3">
      <c r="A296">
        <v>10295</v>
      </c>
      <c r="B296">
        <v>246</v>
      </c>
      <c r="C296" s="2">
        <v>44606</v>
      </c>
      <c r="D296" s="2" t="str">
        <f>TEXT(Table3[[#This Row],[usage_date]],"mmmm")</f>
        <v>February</v>
      </c>
      <c r="E296" s="9">
        <f>YEAR(Table3[[#This Row],[usage_date]])</f>
        <v>2022</v>
      </c>
      <c r="F296" s="14">
        <v>1.99</v>
      </c>
      <c r="G296">
        <v>268</v>
      </c>
      <c r="H296" t="s">
        <v>12</v>
      </c>
      <c r="I296" t="str">
        <f t="shared" si="4"/>
        <v>Normal Usage</v>
      </c>
    </row>
    <row r="297" spans="1:9" x14ac:dyDescent="0.3">
      <c r="A297">
        <v>10296</v>
      </c>
      <c r="B297">
        <v>230</v>
      </c>
      <c r="C297" s="2">
        <v>44658</v>
      </c>
      <c r="D297" s="2" t="str">
        <f>TEXT(Table3[[#This Row],[usage_date]],"mmmm")</f>
        <v>April</v>
      </c>
      <c r="E297" s="9">
        <f>YEAR(Table3[[#This Row],[usage_date]])</f>
        <v>2022</v>
      </c>
      <c r="F297" s="14">
        <v>0.55000000000000004</v>
      </c>
      <c r="G297">
        <v>124</v>
      </c>
      <c r="H297" t="s">
        <v>13</v>
      </c>
      <c r="I297" t="str">
        <f t="shared" si="4"/>
        <v>Normal Usage</v>
      </c>
    </row>
    <row r="298" spans="1:9" x14ac:dyDescent="0.3">
      <c r="A298">
        <v>10297</v>
      </c>
      <c r="B298">
        <v>79</v>
      </c>
      <c r="C298" s="2">
        <v>44840</v>
      </c>
      <c r="D298" s="2" t="str">
        <f>TEXT(Table3[[#This Row],[usage_date]],"mmmm")</f>
        <v>October</v>
      </c>
      <c r="E298" s="9">
        <f>YEAR(Table3[[#This Row],[usage_date]])</f>
        <v>2022</v>
      </c>
      <c r="F298" s="14">
        <v>0.95</v>
      </c>
      <c r="G298">
        <v>115</v>
      </c>
      <c r="H298" t="s">
        <v>13</v>
      </c>
      <c r="I298" t="str">
        <f t="shared" si="4"/>
        <v>Normal Usage</v>
      </c>
    </row>
    <row r="299" spans="1:9" x14ac:dyDescent="0.3">
      <c r="A299">
        <v>10298</v>
      </c>
      <c r="B299">
        <v>149</v>
      </c>
      <c r="C299" s="2">
        <v>45096</v>
      </c>
      <c r="D299" s="2" t="str">
        <f>TEXT(Table3[[#This Row],[usage_date]],"mmmm")</f>
        <v>June</v>
      </c>
      <c r="E299" s="9">
        <f>YEAR(Table3[[#This Row],[usage_date]])</f>
        <v>2023</v>
      </c>
      <c r="F299" s="14">
        <v>0.83</v>
      </c>
      <c r="G299">
        <v>173</v>
      </c>
      <c r="H299" t="s">
        <v>12</v>
      </c>
      <c r="I299" t="str">
        <f t="shared" si="4"/>
        <v>Normal Usage</v>
      </c>
    </row>
    <row r="300" spans="1:9" x14ac:dyDescent="0.3">
      <c r="A300">
        <v>10299</v>
      </c>
      <c r="B300">
        <v>138</v>
      </c>
      <c r="C300" s="2">
        <v>44971</v>
      </c>
      <c r="D300" s="2" t="str">
        <f>TEXT(Table3[[#This Row],[usage_date]],"mmmm")</f>
        <v>February</v>
      </c>
      <c r="E300" s="9">
        <f>YEAR(Table3[[#This Row],[usage_date]])</f>
        <v>2023</v>
      </c>
      <c r="F300" s="14">
        <v>1.89</v>
      </c>
      <c r="G300">
        <v>180</v>
      </c>
      <c r="H300" t="s">
        <v>12</v>
      </c>
      <c r="I300" t="str">
        <f t="shared" si="4"/>
        <v>Normal Usage</v>
      </c>
    </row>
    <row r="301" spans="1:9" x14ac:dyDescent="0.3">
      <c r="A301">
        <v>10300</v>
      </c>
      <c r="B301">
        <v>471</v>
      </c>
      <c r="C301" s="2">
        <v>45022</v>
      </c>
      <c r="D301" s="2" t="str">
        <f>TEXT(Table3[[#This Row],[usage_date]],"mmmm")</f>
        <v>April</v>
      </c>
      <c r="E301" s="9">
        <f>YEAR(Table3[[#This Row],[usage_date]])</f>
        <v>2023</v>
      </c>
      <c r="F301" s="14">
        <v>0.13</v>
      </c>
      <c r="G301">
        <v>225</v>
      </c>
      <c r="H301" t="s">
        <v>12</v>
      </c>
      <c r="I301" t="str">
        <f t="shared" si="4"/>
        <v>Normal Usage</v>
      </c>
    </row>
    <row r="302" spans="1:9" x14ac:dyDescent="0.3">
      <c r="A302">
        <v>10301</v>
      </c>
      <c r="B302">
        <v>314</v>
      </c>
      <c r="C302" s="2">
        <v>44952</v>
      </c>
      <c r="D302" s="2" t="str">
        <f>TEXT(Table3[[#This Row],[usage_date]],"mmmm")</f>
        <v>January</v>
      </c>
      <c r="E302" s="9">
        <f>YEAR(Table3[[#This Row],[usage_date]])</f>
        <v>2023</v>
      </c>
      <c r="F302" s="14">
        <v>0.43</v>
      </c>
      <c r="G302">
        <v>156</v>
      </c>
      <c r="H302" t="s">
        <v>12</v>
      </c>
      <c r="I302" t="str">
        <f t="shared" si="4"/>
        <v>Normal Usage</v>
      </c>
    </row>
    <row r="303" spans="1:9" x14ac:dyDescent="0.3">
      <c r="A303">
        <v>10302</v>
      </c>
      <c r="B303">
        <v>376</v>
      </c>
      <c r="C303" s="2">
        <v>45408</v>
      </c>
      <c r="D303" s="2" t="str">
        <f>TEXT(Table3[[#This Row],[usage_date]],"mmmm")</f>
        <v>April</v>
      </c>
      <c r="E303" s="9">
        <f>YEAR(Table3[[#This Row],[usage_date]])</f>
        <v>2024</v>
      </c>
      <c r="F303" s="14">
        <v>4.1900000000000004</v>
      </c>
      <c r="G303">
        <v>163</v>
      </c>
      <c r="H303" t="s">
        <v>12</v>
      </c>
      <c r="I303" t="str">
        <f t="shared" si="4"/>
        <v>Normal Usage</v>
      </c>
    </row>
    <row r="304" spans="1:9" x14ac:dyDescent="0.3">
      <c r="A304">
        <v>10303</v>
      </c>
      <c r="B304">
        <v>423</v>
      </c>
      <c r="C304" s="2">
        <v>44605</v>
      </c>
      <c r="D304" s="2" t="str">
        <f>TEXT(Table3[[#This Row],[usage_date]],"mmmm")</f>
        <v>February</v>
      </c>
      <c r="E304" s="9">
        <f>YEAR(Table3[[#This Row],[usage_date]])</f>
        <v>2022</v>
      </c>
      <c r="F304" s="14">
        <v>0.36</v>
      </c>
      <c r="G304">
        <v>70</v>
      </c>
      <c r="H304" t="s">
        <v>12</v>
      </c>
      <c r="I304" t="str">
        <f t="shared" si="4"/>
        <v>Normal Usage</v>
      </c>
    </row>
    <row r="305" spans="1:9" x14ac:dyDescent="0.3">
      <c r="A305">
        <v>10304</v>
      </c>
      <c r="B305">
        <v>389</v>
      </c>
      <c r="C305" s="2">
        <v>44588</v>
      </c>
      <c r="D305" s="2" t="str">
        <f>TEXT(Table3[[#This Row],[usage_date]],"mmmm")</f>
        <v>January</v>
      </c>
      <c r="E305" s="9">
        <f>YEAR(Table3[[#This Row],[usage_date]])</f>
        <v>2022</v>
      </c>
      <c r="F305" s="14">
        <v>0.66</v>
      </c>
      <c r="G305">
        <v>221</v>
      </c>
      <c r="H305" t="s">
        <v>12</v>
      </c>
      <c r="I305" t="str">
        <f t="shared" si="4"/>
        <v>Normal Usage</v>
      </c>
    </row>
    <row r="306" spans="1:9" x14ac:dyDescent="0.3">
      <c r="A306">
        <v>10305</v>
      </c>
      <c r="B306">
        <v>65</v>
      </c>
      <c r="C306" s="2">
        <v>45355</v>
      </c>
      <c r="D306" s="2" t="str">
        <f>TEXT(Table3[[#This Row],[usage_date]],"mmmm")</f>
        <v>March</v>
      </c>
      <c r="E306" s="9">
        <f>YEAR(Table3[[#This Row],[usage_date]])</f>
        <v>2024</v>
      </c>
      <c r="F306" s="14">
        <v>1.51</v>
      </c>
      <c r="G306">
        <v>125</v>
      </c>
      <c r="H306" t="s">
        <v>12</v>
      </c>
      <c r="I306" t="str">
        <f t="shared" si="4"/>
        <v>Normal Usage</v>
      </c>
    </row>
    <row r="307" spans="1:9" x14ac:dyDescent="0.3">
      <c r="A307">
        <v>10306</v>
      </c>
      <c r="B307">
        <v>13</v>
      </c>
      <c r="C307" s="2">
        <v>44658</v>
      </c>
      <c r="D307" s="2" t="str">
        <f>TEXT(Table3[[#This Row],[usage_date]],"mmmm")</f>
        <v>April</v>
      </c>
      <c r="E307" s="9">
        <f>YEAR(Table3[[#This Row],[usage_date]])</f>
        <v>2022</v>
      </c>
      <c r="F307" s="14">
        <v>1.82</v>
      </c>
      <c r="G307">
        <v>144</v>
      </c>
      <c r="H307" t="s">
        <v>13</v>
      </c>
      <c r="I307" t="str">
        <f t="shared" si="4"/>
        <v>Normal Usage</v>
      </c>
    </row>
    <row r="308" spans="1:9" x14ac:dyDescent="0.3">
      <c r="A308">
        <v>10307</v>
      </c>
      <c r="B308">
        <v>213</v>
      </c>
      <c r="C308" s="2">
        <v>45109</v>
      </c>
      <c r="D308" s="2" t="str">
        <f>TEXT(Table3[[#This Row],[usage_date]],"mmmm")</f>
        <v>July</v>
      </c>
      <c r="E308" s="9">
        <f>YEAR(Table3[[#This Row],[usage_date]])</f>
        <v>2023</v>
      </c>
      <c r="F308" s="14">
        <v>3.61</v>
      </c>
      <c r="G308">
        <v>175</v>
      </c>
      <c r="H308" t="s">
        <v>13</v>
      </c>
      <c r="I308" t="str">
        <f t="shared" si="4"/>
        <v>Normal Usage</v>
      </c>
    </row>
    <row r="309" spans="1:9" x14ac:dyDescent="0.3">
      <c r="A309">
        <v>10308</v>
      </c>
      <c r="B309">
        <v>474</v>
      </c>
      <c r="C309" s="2">
        <v>45182</v>
      </c>
      <c r="D309" s="2" t="str">
        <f>TEXT(Table3[[#This Row],[usage_date]],"mmmm")</f>
        <v>September</v>
      </c>
      <c r="E309" s="9">
        <f>YEAR(Table3[[#This Row],[usage_date]])</f>
        <v>2023</v>
      </c>
      <c r="F309" s="14">
        <v>1.48</v>
      </c>
      <c r="G309">
        <v>151</v>
      </c>
      <c r="H309" t="s">
        <v>13</v>
      </c>
      <c r="I309" t="str">
        <f t="shared" si="4"/>
        <v>Normal Usage</v>
      </c>
    </row>
    <row r="310" spans="1:9" x14ac:dyDescent="0.3">
      <c r="A310">
        <v>10309</v>
      </c>
      <c r="B310">
        <v>242</v>
      </c>
      <c r="C310" s="2">
        <v>45128</v>
      </c>
      <c r="D310" s="2" t="str">
        <f>TEXT(Table3[[#This Row],[usage_date]],"mmmm")</f>
        <v>July</v>
      </c>
      <c r="E310" s="9">
        <f>YEAR(Table3[[#This Row],[usage_date]])</f>
        <v>2023</v>
      </c>
      <c r="F310" s="14">
        <v>3.9</v>
      </c>
      <c r="G310">
        <v>181</v>
      </c>
      <c r="H310" t="s">
        <v>13</v>
      </c>
      <c r="I310" t="str">
        <f t="shared" si="4"/>
        <v>Normal Usage</v>
      </c>
    </row>
    <row r="311" spans="1:9" x14ac:dyDescent="0.3">
      <c r="A311">
        <v>10310</v>
      </c>
      <c r="B311">
        <v>493</v>
      </c>
      <c r="C311" s="2">
        <v>45265</v>
      </c>
      <c r="D311" s="2" t="str">
        <f>TEXT(Table3[[#This Row],[usage_date]],"mmmm")</f>
        <v>December</v>
      </c>
      <c r="E311" s="9">
        <f>YEAR(Table3[[#This Row],[usage_date]])</f>
        <v>2023</v>
      </c>
      <c r="F311" s="14">
        <v>2.41</v>
      </c>
      <c r="G311">
        <v>84</v>
      </c>
      <c r="H311" t="s">
        <v>12</v>
      </c>
      <c r="I311" t="str">
        <f t="shared" si="4"/>
        <v>Normal Usage</v>
      </c>
    </row>
    <row r="312" spans="1:9" x14ac:dyDescent="0.3">
      <c r="A312">
        <v>10311</v>
      </c>
      <c r="B312">
        <v>213</v>
      </c>
      <c r="C312" s="2">
        <v>44780</v>
      </c>
      <c r="D312" s="2" t="str">
        <f>TEXT(Table3[[#This Row],[usage_date]],"mmmm")</f>
        <v>August</v>
      </c>
      <c r="E312" s="9">
        <f>YEAR(Table3[[#This Row],[usage_date]])</f>
        <v>2022</v>
      </c>
      <c r="F312" s="14">
        <v>0.3</v>
      </c>
      <c r="G312">
        <v>120</v>
      </c>
      <c r="H312" t="s">
        <v>12</v>
      </c>
      <c r="I312" t="str">
        <f t="shared" si="4"/>
        <v>Normal Usage</v>
      </c>
    </row>
    <row r="313" spans="1:9" x14ac:dyDescent="0.3">
      <c r="A313">
        <v>10312</v>
      </c>
      <c r="B313">
        <v>181</v>
      </c>
      <c r="C313" s="2">
        <v>44746</v>
      </c>
      <c r="D313" s="2" t="str">
        <f>TEXT(Table3[[#This Row],[usage_date]],"mmmm")</f>
        <v>July</v>
      </c>
      <c r="E313" s="9">
        <f>YEAR(Table3[[#This Row],[usage_date]])</f>
        <v>2022</v>
      </c>
      <c r="F313" s="14">
        <v>0.42</v>
      </c>
      <c r="G313">
        <v>128</v>
      </c>
      <c r="H313" t="s">
        <v>13</v>
      </c>
      <c r="I313" t="str">
        <f t="shared" si="4"/>
        <v>Normal Usage</v>
      </c>
    </row>
    <row r="314" spans="1:9" x14ac:dyDescent="0.3">
      <c r="A314">
        <v>10313</v>
      </c>
      <c r="B314">
        <v>338</v>
      </c>
      <c r="C314" s="2">
        <v>44630</v>
      </c>
      <c r="D314" s="2" t="str">
        <f>TEXT(Table3[[#This Row],[usage_date]],"mmmm")</f>
        <v>March</v>
      </c>
      <c r="E314" s="9">
        <f>YEAR(Table3[[#This Row],[usage_date]])</f>
        <v>2022</v>
      </c>
      <c r="F314" s="14">
        <v>1.44</v>
      </c>
      <c r="G314">
        <v>5</v>
      </c>
      <c r="H314" t="s">
        <v>12</v>
      </c>
      <c r="I314" t="str">
        <f t="shared" si="4"/>
        <v>Normal Usage</v>
      </c>
    </row>
    <row r="315" spans="1:9" x14ac:dyDescent="0.3">
      <c r="A315">
        <v>10314</v>
      </c>
      <c r="B315">
        <v>485</v>
      </c>
      <c r="C315" s="2">
        <v>45390</v>
      </c>
      <c r="D315" s="2" t="str">
        <f>TEXT(Table3[[#This Row],[usage_date]],"mmmm")</f>
        <v>April</v>
      </c>
      <c r="E315" s="9">
        <f>YEAR(Table3[[#This Row],[usage_date]])</f>
        <v>2024</v>
      </c>
      <c r="F315" s="14">
        <v>1.26</v>
      </c>
      <c r="G315">
        <v>182</v>
      </c>
      <c r="H315" t="s">
        <v>12</v>
      </c>
      <c r="I315" t="str">
        <f t="shared" si="4"/>
        <v>Normal Usage</v>
      </c>
    </row>
    <row r="316" spans="1:9" x14ac:dyDescent="0.3">
      <c r="A316">
        <v>10315</v>
      </c>
      <c r="B316">
        <v>173</v>
      </c>
      <c r="C316" s="2">
        <v>44691</v>
      </c>
      <c r="D316" s="2" t="str">
        <f>TEXT(Table3[[#This Row],[usage_date]],"mmmm")</f>
        <v>May</v>
      </c>
      <c r="E316" s="9">
        <f>YEAR(Table3[[#This Row],[usage_date]])</f>
        <v>2022</v>
      </c>
      <c r="F316" s="14">
        <v>3.4</v>
      </c>
      <c r="G316">
        <v>37</v>
      </c>
      <c r="H316" t="s">
        <v>12</v>
      </c>
      <c r="I316" t="str">
        <f t="shared" si="4"/>
        <v>Normal Usage</v>
      </c>
    </row>
    <row r="317" spans="1:9" x14ac:dyDescent="0.3">
      <c r="A317">
        <v>10316</v>
      </c>
      <c r="B317">
        <v>160</v>
      </c>
      <c r="C317" s="2">
        <v>45128</v>
      </c>
      <c r="D317" s="2" t="str">
        <f>TEXT(Table3[[#This Row],[usage_date]],"mmmm")</f>
        <v>July</v>
      </c>
      <c r="E317" s="9">
        <f>YEAR(Table3[[#This Row],[usage_date]])</f>
        <v>2023</v>
      </c>
      <c r="F317" s="14">
        <v>2.17</v>
      </c>
      <c r="G317">
        <v>115</v>
      </c>
      <c r="H317" t="s">
        <v>13</v>
      </c>
      <c r="I317" t="str">
        <f t="shared" si="4"/>
        <v>Normal Usage</v>
      </c>
    </row>
    <row r="318" spans="1:9" x14ac:dyDescent="0.3">
      <c r="A318">
        <v>10317</v>
      </c>
      <c r="B318">
        <v>164</v>
      </c>
      <c r="C318" s="2">
        <v>45451</v>
      </c>
      <c r="D318" s="2" t="str">
        <f>TEXT(Table3[[#This Row],[usage_date]],"mmmm")</f>
        <v>June</v>
      </c>
      <c r="E318" s="9">
        <f>YEAR(Table3[[#This Row],[usage_date]])</f>
        <v>2024</v>
      </c>
      <c r="F318" s="14">
        <v>1.23</v>
      </c>
      <c r="G318">
        <v>101</v>
      </c>
      <c r="H318" t="s">
        <v>12</v>
      </c>
      <c r="I318" t="str">
        <f t="shared" si="4"/>
        <v>Normal Usage</v>
      </c>
    </row>
    <row r="319" spans="1:9" x14ac:dyDescent="0.3">
      <c r="A319">
        <v>10318</v>
      </c>
      <c r="B319">
        <v>465</v>
      </c>
      <c r="C319" s="2">
        <v>45170</v>
      </c>
      <c r="D319" s="2" t="str">
        <f>TEXT(Table3[[#This Row],[usage_date]],"mmmm")</f>
        <v>September</v>
      </c>
      <c r="E319" s="9">
        <f>YEAR(Table3[[#This Row],[usage_date]])</f>
        <v>2023</v>
      </c>
      <c r="F319" s="14">
        <v>0.47</v>
      </c>
      <c r="G319">
        <v>7</v>
      </c>
      <c r="H319" t="s">
        <v>12</v>
      </c>
      <c r="I319" t="str">
        <f t="shared" si="4"/>
        <v>Normal Usage</v>
      </c>
    </row>
    <row r="320" spans="1:9" x14ac:dyDescent="0.3">
      <c r="A320">
        <v>10319</v>
      </c>
      <c r="B320">
        <v>483</v>
      </c>
      <c r="C320" s="2">
        <v>45409</v>
      </c>
      <c r="D320" s="2" t="str">
        <f>TEXT(Table3[[#This Row],[usage_date]],"mmmm")</f>
        <v>April</v>
      </c>
      <c r="E320" s="9">
        <f>YEAR(Table3[[#This Row],[usage_date]])</f>
        <v>2024</v>
      </c>
      <c r="F320" s="14">
        <v>0.64</v>
      </c>
      <c r="G320">
        <v>217</v>
      </c>
      <c r="H320" t="s">
        <v>12</v>
      </c>
      <c r="I320" t="str">
        <f t="shared" si="4"/>
        <v>Normal Usage</v>
      </c>
    </row>
    <row r="321" spans="1:9" x14ac:dyDescent="0.3">
      <c r="A321">
        <v>10320</v>
      </c>
      <c r="B321">
        <v>497</v>
      </c>
      <c r="C321" s="2">
        <v>45160</v>
      </c>
      <c r="D321" s="2" t="str">
        <f>TEXT(Table3[[#This Row],[usage_date]],"mmmm")</f>
        <v>August</v>
      </c>
      <c r="E321" s="9">
        <f>YEAR(Table3[[#This Row],[usage_date]])</f>
        <v>2023</v>
      </c>
      <c r="F321" s="14">
        <v>2.14</v>
      </c>
      <c r="G321">
        <v>206</v>
      </c>
      <c r="H321" t="s">
        <v>13</v>
      </c>
      <c r="I321" t="str">
        <f t="shared" si="4"/>
        <v>Normal Usage</v>
      </c>
    </row>
    <row r="322" spans="1:9" x14ac:dyDescent="0.3">
      <c r="A322">
        <v>10321</v>
      </c>
      <c r="B322">
        <v>188</v>
      </c>
      <c r="C322" s="2">
        <v>45367</v>
      </c>
      <c r="D322" s="2" t="str">
        <f>TEXT(Table3[[#This Row],[usage_date]],"mmmm")</f>
        <v>March</v>
      </c>
      <c r="E322" s="9">
        <f>YEAR(Table3[[#This Row],[usage_date]])</f>
        <v>2024</v>
      </c>
      <c r="F322" s="14">
        <v>1.38</v>
      </c>
      <c r="G322">
        <v>77</v>
      </c>
      <c r="H322" t="s">
        <v>12</v>
      </c>
      <c r="I322" t="str">
        <f t="shared" ref="I322:I385" si="5">IF(F322&gt;6,"High Usage","Normal Usage")</f>
        <v>Normal Usage</v>
      </c>
    </row>
    <row r="323" spans="1:9" x14ac:dyDescent="0.3">
      <c r="A323">
        <v>10322</v>
      </c>
      <c r="B323">
        <v>395</v>
      </c>
      <c r="C323" s="2">
        <v>45192</v>
      </c>
      <c r="D323" s="2" t="str">
        <f>TEXT(Table3[[#This Row],[usage_date]],"mmmm")</f>
        <v>September</v>
      </c>
      <c r="E323" s="9">
        <f>YEAR(Table3[[#This Row],[usage_date]])</f>
        <v>2023</v>
      </c>
      <c r="F323" s="14">
        <v>1.81</v>
      </c>
      <c r="G323">
        <v>54</v>
      </c>
      <c r="H323" t="s">
        <v>12</v>
      </c>
      <c r="I323" t="str">
        <f t="shared" si="5"/>
        <v>Normal Usage</v>
      </c>
    </row>
    <row r="324" spans="1:9" x14ac:dyDescent="0.3">
      <c r="A324">
        <v>10323</v>
      </c>
      <c r="B324">
        <v>191</v>
      </c>
      <c r="C324" s="2">
        <v>45281</v>
      </c>
      <c r="D324" s="2" t="str">
        <f>TEXT(Table3[[#This Row],[usage_date]],"mmmm")</f>
        <v>December</v>
      </c>
      <c r="E324" s="9">
        <f>YEAR(Table3[[#This Row],[usage_date]])</f>
        <v>2023</v>
      </c>
      <c r="F324" s="14">
        <v>0.47</v>
      </c>
      <c r="G324">
        <v>227</v>
      </c>
      <c r="H324" t="s">
        <v>12</v>
      </c>
      <c r="I324" t="str">
        <f t="shared" si="5"/>
        <v>Normal Usage</v>
      </c>
    </row>
    <row r="325" spans="1:9" x14ac:dyDescent="0.3">
      <c r="A325">
        <v>10324</v>
      </c>
      <c r="B325">
        <v>405</v>
      </c>
      <c r="C325" s="2">
        <v>44895</v>
      </c>
      <c r="D325" s="2" t="str">
        <f>TEXT(Table3[[#This Row],[usage_date]],"mmmm")</f>
        <v>November</v>
      </c>
      <c r="E325" s="9">
        <f>YEAR(Table3[[#This Row],[usage_date]])</f>
        <v>2022</v>
      </c>
      <c r="F325" s="14">
        <v>2.72</v>
      </c>
      <c r="G325">
        <v>87</v>
      </c>
      <c r="H325" t="s">
        <v>13</v>
      </c>
      <c r="I325" t="str">
        <f t="shared" si="5"/>
        <v>Normal Usage</v>
      </c>
    </row>
    <row r="326" spans="1:9" x14ac:dyDescent="0.3">
      <c r="A326">
        <v>10325</v>
      </c>
      <c r="B326">
        <v>308</v>
      </c>
      <c r="C326" s="2">
        <v>44715</v>
      </c>
      <c r="D326" s="2" t="str">
        <f>TEXT(Table3[[#This Row],[usage_date]],"mmmm")</f>
        <v>June</v>
      </c>
      <c r="E326" s="9">
        <f>YEAR(Table3[[#This Row],[usage_date]])</f>
        <v>2022</v>
      </c>
      <c r="F326" s="14">
        <v>4.79</v>
      </c>
      <c r="G326">
        <v>9</v>
      </c>
      <c r="H326" t="s">
        <v>13</v>
      </c>
      <c r="I326" t="str">
        <f t="shared" si="5"/>
        <v>Normal Usage</v>
      </c>
    </row>
    <row r="327" spans="1:9" x14ac:dyDescent="0.3">
      <c r="A327">
        <v>10326</v>
      </c>
      <c r="B327">
        <v>256</v>
      </c>
      <c r="C327" s="2">
        <v>45108</v>
      </c>
      <c r="D327" s="2" t="str">
        <f>TEXT(Table3[[#This Row],[usage_date]],"mmmm")</f>
        <v>July</v>
      </c>
      <c r="E327" s="9">
        <f>YEAR(Table3[[#This Row],[usage_date]])</f>
        <v>2023</v>
      </c>
      <c r="F327" s="14">
        <v>0.75</v>
      </c>
      <c r="G327">
        <v>289</v>
      </c>
      <c r="H327" t="s">
        <v>12</v>
      </c>
      <c r="I327" t="str">
        <f t="shared" si="5"/>
        <v>Normal Usage</v>
      </c>
    </row>
    <row r="328" spans="1:9" x14ac:dyDescent="0.3">
      <c r="A328">
        <v>10327</v>
      </c>
      <c r="B328">
        <v>183</v>
      </c>
      <c r="C328" s="2">
        <v>44640</v>
      </c>
      <c r="D328" s="2" t="str">
        <f>TEXT(Table3[[#This Row],[usage_date]],"mmmm")</f>
        <v>March</v>
      </c>
      <c r="E328" s="9">
        <f>YEAR(Table3[[#This Row],[usage_date]])</f>
        <v>2022</v>
      </c>
      <c r="F328" s="14">
        <v>1.69</v>
      </c>
      <c r="G328">
        <v>163</v>
      </c>
      <c r="H328" t="s">
        <v>12</v>
      </c>
      <c r="I328" t="str">
        <f t="shared" si="5"/>
        <v>Normal Usage</v>
      </c>
    </row>
    <row r="329" spans="1:9" x14ac:dyDescent="0.3">
      <c r="A329">
        <v>10328</v>
      </c>
      <c r="B329">
        <v>117</v>
      </c>
      <c r="C329" s="2">
        <v>45140</v>
      </c>
      <c r="D329" s="2" t="str">
        <f>TEXT(Table3[[#This Row],[usage_date]],"mmmm")</f>
        <v>August</v>
      </c>
      <c r="E329" s="9">
        <f>YEAR(Table3[[#This Row],[usage_date]])</f>
        <v>2023</v>
      </c>
      <c r="F329" s="14">
        <v>9.2799999999999994</v>
      </c>
      <c r="G329">
        <v>238</v>
      </c>
      <c r="H329" t="s">
        <v>13</v>
      </c>
      <c r="I329" t="str">
        <f t="shared" si="5"/>
        <v>High Usage</v>
      </c>
    </row>
    <row r="330" spans="1:9" x14ac:dyDescent="0.3">
      <c r="A330">
        <v>10329</v>
      </c>
      <c r="B330">
        <v>282</v>
      </c>
      <c r="C330" s="2">
        <v>45416</v>
      </c>
      <c r="D330" s="2" t="str">
        <f>TEXT(Table3[[#This Row],[usage_date]],"mmmm")</f>
        <v>May</v>
      </c>
      <c r="E330" s="9">
        <f>YEAR(Table3[[#This Row],[usage_date]])</f>
        <v>2024</v>
      </c>
      <c r="F330" s="14">
        <v>1.01</v>
      </c>
      <c r="G330">
        <v>143</v>
      </c>
      <c r="H330" t="s">
        <v>12</v>
      </c>
      <c r="I330" t="str">
        <f t="shared" si="5"/>
        <v>Normal Usage</v>
      </c>
    </row>
    <row r="331" spans="1:9" x14ac:dyDescent="0.3">
      <c r="A331">
        <v>10330</v>
      </c>
      <c r="B331">
        <v>196</v>
      </c>
      <c r="C331" s="2">
        <v>44974</v>
      </c>
      <c r="D331" s="2" t="str">
        <f>TEXT(Table3[[#This Row],[usage_date]],"mmmm")</f>
        <v>February</v>
      </c>
      <c r="E331" s="9">
        <f>YEAR(Table3[[#This Row],[usage_date]])</f>
        <v>2023</v>
      </c>
      <c r="F331" s="14">
        <v>2.2599999999999998</v>
      </c>
      <c r="G331">
        <v>17</v>
      </c>
      <c r="H331" t="s">
        <v>13</v>
      </c>
      <c r="I331" t="str">
        <f t="shared" si="5"/>
        <v>Normal Usage</v>
      </c>
    </row>
    <row r="332" spans="1:9" x14ac:dyDescent="0.3">
      <c r="A332">
        <v>10331</v>
      </c>
      <c r="B332">
        <v>34</v>
      </c>
      <c r="C332" s="2">
        <v>45107</v>
      </c>
      <c r="D332" s="2" t="str">
        <f>TEXT(Table3[[#This Row],[usage_date]],"mmmm")</f>
        <v>June</v>
      </c>
      <c r="E332" s="9">
        <f>YEAR(Table3[[#This Row],[usage_date]])</f>
        <v>2023</v>
      </c>
      <c r="F332" s="14">
        <v>0.24</v>
      </c>
      <c r="G332">
        <v>70</v>
      </c>
      <c r="H332" t="s">
        <v>12</v>
      </c>
      <c r="I332" t="str">
        <f t="shared" si="5"/>
        <v>Normal Usage</v>
      </c>
    </row>
    <row r="333" spans="1:9" x14ac:dyDescent="0.3">
      <c r="A333">
        <v>10332</v>
      </c>
      <c r="B333">
        <v>52</v>
      </c>
      <c r="C333" s="2">
        <v>45170</v>
      </c>
      <c r="D333" s="2" t="str">
        <f>TEXT(Table3[[#This Row],[usage_date]],"mmmm")</f>
        <v>September</v>
      </c>
      <c r="E333" s="9">
        <f>YEAR(Table3[[#This Row],[usage_date]])</f>
        <v>2023</v>
      </c>
      <c r="F333" s="14">
        <v>2.33</v>
      </c>
      <c r="G333">
        <v>174</v>
      </c>
      <c r="H333" t="s">
        <v>12</v>
      </c>
      <c r="I333" t="str">
        <f t="shared" si="5"/>
        <v>Normal Usage</v>
      </c>
    </row>
    <row r="334" spans="1:9" x14ac:dyDescent="0.3">
      <c r="A334">
        <v>10333</v>
      </c>
      <c r="B334">
        <v>112</v>
      </c>
      <c r="C334" s="2">
        <v>44730</v>
      </c>
      <c r="D334" s="2" t="str">
        <f>TEXT(Table3[[#This Row],[usage_date]],"mmmm")</f>
        <v>June</v>
      </c>
      <c r="E334" s="9">
        <f>YEAR(Table3[[#This Row],[usage_date]])</f>
        <v>2022</v>
      </c>
      <c r="F334" s="14">
        <v>0.23</v>
      </c>
      <c r="G334">
        <v>287</v>
      </c>
      <c r="H334" t="s">
        <v>13</v>
      </c>
      <c r="I334" t="str">
        <f t="shared" si="5"/>
        <v>Normal Usage</v>
      </c>
    </row>
    <row r="335" spans="1:9" x14ac:dyDescent="0.3">
      <c r="A335">
        <v>10334</v>
      </c>
      <c r="B335">
        <v>252</v>
      </c>
      <c r="C335" s="2">
        <v>45242</v>
      </c>
      <c r="D335" s="2" t="str">
        <f>TEXT(Table3[[#This Row],[usage_date]],"mmmm")</f>
        <v>November</v>
      </c>
      <c r="E335" s="9">
        <f>YEAR(Table3[[#This Row],[usage_date]])</f>
        <v>2023</v>
      </c>
      <c r="F335" s="14">
        <v>8</v>
      </c>
      <c r="G335">
        <v>298</v>
      </c>
      <c r="H335" t="s">
        <v>12</v>
      </c>
      <c r="I335" t="str">
        <f t="shared" si="5"/>
        <v>High Usage</v>
      </c>
    </row>
    <row r="336" spans="1:9" x14ac:dyDescent="0.3">
      <c r="A336">
        <v>10335</v>
      </c>
      <c r="B336">
        <v>82</v>
      </c>
      <c r="C336" s="2">
        <v>45224</v>
      </c>
      <c r="D336" s="2" t="str">
        <f>TEXT(Table3[[#This Row],[usage_date]],"mmmm")</f>
        <v>October</v>
      </c>
      <c r="E336" s="9">
        <f>YEAR(Table3[[#This Row],[usage_date]])</f>
        <v>2023</v>
      </c>
      <c r="F336" s="14">
        <v>3.14</v>
      </c>
      <c r="G336">
        <v>247</v>
      </c>
      <c r="H336" t="s">
        <v>12</v>
      </c>
      <c r="I336" t="str">
        <f t="shared" si="5"/>
        <v>Normal Usage</v>
      </c>
    </row>
    <row r="337" spans="1:9" x14ac:dyDescent="0.3">
      <c r="A337">
        <v>10336</v>
      </c>
      <c r="B337">
        <v>232</v>
      </c>
      <c r="C337" s="2">
        <v>45144</v>
      </c>
      <c r="D337" s="2" t="str">
        <f>TEXT(Table3[[#This Row],[usage_date]],"mmmm")</f>
        <v>August</v>
      </c>
      <c r="E337" s="9">
        <f>YEAR(Table3[[#This Row],[usage_date]])</f>
        <v>2023</v>
      </c>
      <c r="F337" s="14">
        <v>3.88</v>
      </c>
      <c r="G337">
        <v>192</v>
      </c>
      <c r="H337" t="s">
        <v>12</v>
      </c>
      <c r="I337" t="str">
        <f t="shared" si="5"/>
        <v>Normal Usage</v>
      </c>
    </row>
    <row r="338" spans="1:9" x14ac:dyDescent="0.3">
      <c r="A338">
        <v>10337</v>
      </c>
      <c r="B338">
        <v>227</v>
      </c>
      <c r="C338" s="2">
        <v>45076</v>
      </c>
      <c r="D338" s="2" t="str">
        <f>TEXT(Table3[[#This Row],[usage_date]],"mmmm")</f>
        <v>May</v>
      </c>
      <c r="E338" s="9">
        <f>YEAR(Table3[[#This Row],[usage_date]])</f>
        <v>2023</v>
      </c>
      <c r="F338" s="14">
        <v>3.04</v>
      </c>
      <c r="G338">
        <v>267</v>
      </c>
      <c r="H338" t="s">
        <v>13</v>
      </c>
      <c r="I338" t="str">
        <f t="shared" si="5"/>
        <v>Normal Usage</v>
      </c>
    </row>
    <row r="339" spans="1:9" x14ac:dyDescent="0.3">
      <c r="A339">
        <v>10338</v>
      </c>
      <c r="B339">
        <v>233</v>
      </c>
      <c r="C339" s="2">
        <v>44875</v>
      </c>
      <c r="D339" s="2" t="str">
        <f>TEXT(Table3[[#This Row],[usage_date]],"mmmm")</f>
        <v>November</v>
      </c>
      <c r="E339" s="9">
        <f>YEAR(Table3[[#This Row],[usage_date]])</f>
        <v>2022</v>
      </c>
      <c r="F339" s="14">
        <v>2.23</v>
      </c>
      <c r="G339">
        <v>203</v>
      </c>
      <c r="H339" t="s">
        <v>12</v>
      </c>
      <c r="I339" t="str">
        <f t="shared" si="5"/>
        <v>Normal Usage</v>
      </c>
    </row>
    <row r="340" spans="1:9" x14ac:dyDescent="0.3">
      <c r="A340">
        <v>10339</v>
      </c>
      <c r="B340">
        <v>221</v>
      </c>
      <c r="C340" s="2">
        <v>44593</v>
      </c>
      <c r="D340" s="2" t="str">
        <f>TEXT(Table3[[#This Row],[usage_date]],"mmmm")</f>
        <v>February</v>
      </c>
      <c r="E340" s="9">
        <f>YEAR(Table3[[#This Row],[usage_date]])</f>
        <v>2022</v>
      </c>
      <c r="F340" s="14">
        <v>1.49</v>
      </c>
      <c r="G340">
        <v>122</v>
      </c>
      <c r="H340" t="s">
        <v>12</v>
      </c>
      <c r="I340" t="str">
        <f t="shared" si="5"/>
        <v>Normal Usage</v>
      </c>
    </row>
    <row r="341" spans="1:9" x14ac:dyDescent="0.3">
      <c r="A341">
        <v>10340</v>
      </c>
      <c r="B341">
        <v>436</v>
      </c>
      <c r="C341" s="2">
        <v>44848</v>
      </c>
      <c r="D341" s="2" t="str">
        <f>TEXT(Table3[[#This Row],[usage_date]],"mmmm")</f>
        <v>October</v>
      </c>
      <c r="E341" s="9">
        <f>YEAR(Table3[[#This Row],[usage_date]])</f>
        <v>2022</v>
      </c>
      <c r="F341" s="14">
        <v>4.8899999999999997</v>
      </c>
      <c r="G341">
        <v>57</v>
      </c>
      <c r="H341" t="s">
        <v>13</v>
      </c>
      <c r="I341" t="str">
        <f t="shared" si="5"/>
        <v>Normal Usage</v>
      </c>
    </row>
    <row r="342" spans="1:9" x14ac:dyDescent="0.3">
      <c r="A342">
        <v>10341</v>
      </c>
      <c r="B342">
        <v>413</v>
      </c>
      <c r="C342" s="2">
        <v>45155</v>
      </c>
      <c r="D342" s="2" t="str">
        <f>TEXT(Table3[[#This Row],[usage_date]],"mmmm")</f>
        <v>August</v>
      </c>
      <c r="E342" s="9">
        <f>YEAR(Table3[[#This Row],[usage_date]])</f>
        <v>2023</v>
      </c>
      <c r="F342" s="14">
        <v>7.86</v>
      </c>
      <c r="G342">
        <v>200</v>
      </c>
      <c r="H342" t="s">
        <v>12</v>
      </c>
      <c r="I342" t="str">
        <f t="shared" si="5"/>
        <v>High Usage</v>
      </c>
    </row>
    <row r="343" spans="1:9" x14ac:dyDescent="0.3">
      <c r="A343">
        <v>10342</v>
      </c>
      <c r="B343">
        <v>422</v>
      </c>
      <c r="C343" s="2">
        <v>44604</v>
      </c>
      <c r="D343" s="2" t="str">
        <f>TEXT(Table3[[#This Row],[usage_date]],"mmmm")</f>
        <v>February</v>
      </c>
      <c r="E343" s="9">
        <f>YEAR(Table3[[#This Row],[usage_date]])</f>
        <v>2022</v>
      </c>
      <c r="F343" s="14">
        <v>1.73</v>
      </c>
      <c r="G343">
        <v>111</v>
      </c>
      <c r="H343" t="s">
        <v>12</v>
      </c>
      <c r="I343" t="str">
        <f t="shared" si="5"/>
        <v>Normal Usage</v>
      </c>
    </row>
    <row r="344" spans="1:9" x14ac:dyDescent="0.3">
      <c r="A344">
        <v>10343</v>
      </c>
      <c r="B344">
        <v>42</v>
      </c>
      <c r="C344" s="2">
        <v>45178</v>
      </c>
      <c r="D344" s="2" t="str">
        <f>TEXT(Table3[[#This Row],[usage_date]],"mmmm")</f>
        <v>September</v>
      </c>
      <c r="E344" s="9">
        <f>YEAR(Table3[[#This Row],[usage_date]])</f>
        <v>2023</v>
      </c>
      <c r="F344" s="14">
        <v>6.7</v>
      </c>
      <c r="G344">
        <v>127</v>
      </c>
      <c r="H344" t="s">
        <v>12</v>
      </c>
      <c r="I344" t="str">
        <f t="shared" si="5"/>
        <v>High Usage</v>
      </c>
    </row>
    <row r="345" spans="1:9" x14ac:dyDescent="0.3">
      <c r="A345">
        <v>10344</v>
      </c>
      <c r="B345">
        <v>21</v>
      </c>
      <c r="C345" s="2">
        <v>44562</v>
      </c>
      <c r="D345" s="2" t="str">
        <f>TEXT(Table3[[#This Row],[usage_date]],"mmmm")</f>
        <v>January</v>
      </c>
      <c r="E345" s="9">
        <f>YEAR(Table3[[#This Row],[usage_date]])</f>
        <v>2022</v>
      </c>
      <c r="F345" s="14">
        <v>2.19</v>
      </c>
      <c r="G345">
        <v>35</v>
      </c>
      <c r="H345" t="s">
        <v>13</v>
      </c>
      <c r="I345" t="str">
        <f t="shared" si="5"/>
        <v>Normal Usage</v>
      </c>
    </row>
    <row r="346" spans="1:9" x14ac:dyDescent="0.3">
      <c r="A346">
        <v>10345</v>
      </c>
      <c r="B346">
        <v>42</v>
      </c>
      <c r="C346" s="2">
        <v>45134</v>
      </c>
      <c r="D346" s="2" t="str">
        <f>TEXT(Table3[[#This Row],[usage_date]],"mmmm")</f>
        <v>July</v>
      </c>
      <c r="E346" s="9">
        <f>YEAR(Table3[[#This Row],[usage_date]])</f>
        <v>2023</v>
      </c>
      <c r="F346" s="14">
        <v>1.93</v>
      </c>
      <c r="G346">
        <v>233</v>
      </c>
      <c r="H346" t="s">
        <v>12</v>
      </c>
      <c r="I346" t="str">
        <f t="shared" si="5"/>
        <v>Normal Usage</v>
      </c>
    </row>
    <row r="347" spans="1:9" x14ac:dyDescent="0.3">
      <c r="A347">
        <v>10346</v>
      </c>
      <c r="B347">
        <v>397</v>
      </c>
      <c r="C347" s="2">
        <v>44831</v>
      </c>
      <c r="D347" s="2" t="str">
        <f>TEXT(Table3[[#This Row],[usage_date]],"mmmm")</f>
        <v>September</v>
      </c>
      <c r="E347" s="9">
        <f>YEAR(Table3[[#This Row],[usage_date]])</f>
        <v>2022</v>
      </c>
      <c r="F347" s="14">
        <v>1.52</v>
      </c>
      <c r="G347">
        <v>46</v>
      </c>
      <c r="H347" t="s">
        <v>12</v>
      </c>
      <c r="I347" t="str">
        <f t="shared" si="5"/>
        <v>Normal Usage</v>
      </c>
    </row>
    <row r="348" spans="1:9" x14ac:dyDescent="0.3">
      <c r="A348">
        <v>10347</v>
      </c>
      <c r="B348">
        <v>113</v>
      </c>
      <c r="C348" s="2">
        <v>44741</v>
      </c>
      <c r="D348" s="2" t="str">
        <f>TEXT(Table3[[#This Row],[usage_date]],"mmmm")</f>
        <v>June</v>
      </c>
      <c r="E348" s="9">
        <f>YEAR(Table3[[#This Row],[usage_date]])</f>
        <v>2022</v>
      </c>
      <c r="F348" s="14">
        <v>0.59</v>
      </c>
      <c r="G348">
        <v>114</v>
      </c>
      <c r="H348" t="s">
        <v>12</v>
      </c>
      <c r="I348" t="str">
        <f t="shared" si="5"/>
        <v>Normal Usage</v>
      </c>
    </row>
    <row r="349" spans="1:9" x14ac:dyDescent="0.3">
      <c r="A349">
        <v>10348</v>
      </c>
      <c r="B349">
        <v>105</v>
      </c>
      <c r="C349" s="2">
        <v>45297</v>
      </c>
      <c r="D349" s="2" t="str">
        <f>TEXT(Table3[[#This Row],[usage_date]],"mmmm")</f>
        <v>January</v>
      </c>
      <c r="E349" s="9">
        <f>YEAR(Table3[[#This Row],[usage_date]])</f>
        <v>2024</v>
      </c>
      <c r="F349" s="14">
        <v>0.01</v>
      </c>
      <c r="G349">
        <v>254</v>
      </c>
      <c r="H349" t="s">
        <v>13</v>
      </c>
      <c r="I349" t="str">
        <f t="shared" si="5"/>
        <v>Normal Usage</v>
      </c>
    </row>
    <row r="350" spans="1:9" x14ac:dyDescent="0.3">
      <c r="A350">
        <v>10349</v>
      </c>
      <c r="B350">
        <v>192</v>
      </c>
      <c r="C350" s="2">
        <v>45079</v>
      </c>
      <c r="D350" s="2" t="str">
        <f>TEXT(Table3[[#This Row],[usage_date]],"mmmm")</f>
        <v>June</v>
      </c>
      <c r="E350" s="9">
        <f>YEAR(Table3[[#This Row],[usage_date]])</f>
        <v>2023</v>
      </c>
      <c r="F350" s="14">
        <v>0.69</v>
      </c>
      <c r="G350">
        <v>222</v>
      </c>
      <c r="H350" t="s">
        <v>13</v>
      </c>
      <c r="I350" t="str">
        <f t="shared" si="5"/>
        <v>Normal Usage</v>
      </c>
    </row>
    <row r="351" spans="1:9" x14ac:dyDescent="0.3">
      <c r="A351">
        <v>10350</v>
      </c>
      <c r="B351">
        <v>17</v>
      </c>
      <c r="C351" s="2">
        <v>44664</v>
      </c>
      <c r="D351" s="2" t="str">
        <f>TEXT(Table3[[#This Row],[usage_date]],"mmmm")</f>
        <v>April</v>
      </c>
      <c r="E351" s="9">
        <f>YEAR(Table3[[#This Row],[usage_date]])</f>
        <v>2022</v>
      </c>
      <c r="F351" s="14">
        <v>1.78</v>
      </c>
      <c r="G351">
        <v>123</v>
      </c>
      <c r="H351" t="s">
        <v>12</v>
      </c>
      <c r="I351" t="str">
        <f t="shared" si="5"/>
        <v>Normal Usage</v>
      </c>
    </row>
    <row r="352" spans="1:9" x14ac:dyDescent="0.3">
      <c r="A352">
        <v>10351</v>
      </c>
      <c r="B352">
        <v>120</v>
      </c>
      <c r="C352" s="2">
        <v>44571</v>
      </c>
      <c r="D352" s="2" t="str">
        <f>TEXT(Table3[[#This Row],[usage_date]],"mmmm")</f>
        <v>January</v>
      </c>
      <c r="E352" s="9">
        <f>YEAR(Table3[[#This Row],[usage_date]])</f>
        <v>2022</v>
      </c>
      <c r="F352" s="14">
        <v>1.19</v>
      </c>
      <c r="G352">
        <v>159</v>
      </c>
      <c r="H352" t="s">
        <v>12</v>
      </c>
      <c r="I352" t="str">
        <f t="shared" si="5"/>
        <v>Normal Usage</v>
      </c>
    </row>
    <row r="353" spans="1:9" x14ac:dyDescent="0.3">
      <c r="A353">
        <v>10352</v>
      </c>
      <c r="B353">
        <v>393</v>
      </c>
      <c r="C353" s="2">
        <v>45144</v>
      </c>
      <c r="D353" s="2" t="str">
        <f>TEXT(Table3[[#This Row],[usage_date]],"mmmm")</f>
        <v>August</v>
      </c>
      <c r="E353" s="9">
        <f>YEAR(Table3[[#This Row],[usage_date]])</f>
        <v>2023</v>
      </c>
      <c r="F353" s="14">
        <v>1.49</v>
      </c>
      <c r="G353">
        <v>95</v>
      </c>
      <c r="H353" t="s">
        <v>13</v>
      </c>
      <c r="I353" t="str">
        <f t="shared" si="5"/>
        <v>Normal Usage</v>
      </c>
    </row>
    <row r="354" spans="1:9" x14ac:dyDescent="0.3">
      <c r="A354">
        <v>10353</v>
      </c>
      <c r="B354">
        <v>425</v>
      </c>
      <c r="C354" s="2">
        <v>44651</v>
      </c>
      <c r="D354" s="2" t="str">
        <f>TEXT(Table3[[#This Row],[usage_date]],"mmmm")</f>
        <v>March</v>
      </c>
      <c r="E354" s="9">
        <f>YEAR(Table3[[#This Row],[usage_date]])</f>
        <v>2022</v>
      </c>
      <c r="F354" s="14">
        <v>9.86</v>
      </c>
      <c r="G354">
        <v>106</v>
      </c>
      <c r="H354" t="s">
        <v>12</v>
      </c>
      <c r="I354" t="str">
        <f t="shared" si="5"/>
        <v>High Usage</v>
      </c>
    </row>
    <row r="355" spans="1:9" x14ac:dyDescent="0.3">
      <c r="A355">
        <v>10354</v>
      </c>
      <c r="B355">
        <v>129</v>
      </c>
      <c r="C355" s="2">
        <v>44787</v>
      </c>
      <c r="D355" s="2" t="str">
        <f>TEXT(Table3[[#This Row],[usage_date]],"mmmm")</f>
        <v>August</v>
      </c>
      <c r="E355" s="9">
        <f>YEAR(Table3[[#This Row],[usage_date]])</f>
        <v>2022</v>
      </c>
      <c r="F355" s="14">
        <v>1.08</v>
      </c>
      <c r="G355">
        <v>119</v>
      </c>
      <c r="H355" t="s">
        <v>13</v>
      </c>
      <c r="I355" t="str">
        <f t="shared" si="5"/>
        <v>Normal Usage</v>
      </c>
    </row>
    <row r="356" spans="1:9" x14ac:dyDescent="0.3">
      <c r="A356">
        <v>10355</v>
      </c>
      <c r="B356">
        <v>130</v>
      </c>
      <c r="C356" s="2">
        <v>45231</v>
      </c>
      <c r="D356" s="2" t="str">
        <f>TEXT(Table3[[#This Row],[usage_date]],"mmmm")</f>
        <v>November</v>
      </c>
      <c r="E356" s="9">
        <f>YEAR(Table3[[#This Row],[usage_date]])</f>
        <v>2023</v>
      </c>
      <c r="F356" s="14">
        <v>1.5</v>
      </c>
      <c r="G356">
        <v>100</v>
      </c>
      <c r="H356" t="s">
        <v>12</v>
      </c>
      <c r="I356" t="str">
        <f t="shared" si="5"/>
        <v>Normal Usage</v>
      </c>
    </row>
    <row r="357" spans="1:9" x14ac:dyDescent="0.3">
      <c r="A357">
        <v>10356</v>
      </c>
      <c r="B357">
        <v>60</v>
      </c>
      <c r="C357" s="2">
        <v>45301</v>
      </c>
      <c r="D357" s="2" t="str">
        <f>TEXT(Table3[[#This Row],[usage_date]],"mmmm")</f>
        <v>January</v>
      </c>
      <c r="E357" s="9">
        <f>YEAR(Table3[[#This Row],[usage_date]])</f>
        <v>2024</v>
      </c>
      <c r="F357" s="14">
        <v>0.36</v>
      </c>
      <c r="G357">
        <v>102</v>
      </c>
      <c r="H357" t="s">
        <v>12</v>
      </c>
      <c r="I357" t="str">
        <f t="shared" si="5"/>
        <v>Normal Usage</v>
      </c>
    </row>
    <row r="358" spans="1:9" x14ac:dyDescent="0.3">
      <c r="A358">
        <v>10357</v>
      </c>
      <c r="B358">
        <v>48</v>
      </c>
      <c r="C358" s="2">
        <v>44687</v>
      </c>
      <c r="D358" s="2" t="str">
        <f>TEXT(Table3[[#This Row],[usage_date]],"mmmm")</f>
        <v>May</v>
      </c>
      <c r="E358" s="9">
        <f>YEAR(Table3[[#This Row],[usage_date]])</f>
        <v>2022</v>
      </c>
      <c r="F358" s="14">
        <v>0.12</v>
      </c>
      <c r="G358">
        <v>165</v>
      </c>
      <c r="H358" t="s">
        <v>12</v>
      </c>
      <c r="I358" t="str">
        <f t="shared" si="5"/>
        <v>Normal Usage</v>
      </c>
    </row>
    <row r="359" spans="1:9" x14ac:dyDescent="0.3">
      <c r="A359">
        <v>10358</v>
      </c>
      <c r="B359">
        <v>29</v>
      </c>
      <c r="C359" s="2">
        <v>44770</v>
      </c>
      <c r="D359" s="2" t="str">
        <f>TEXT(Table3[[#This Row],[usage_date]],"mmmm")</f>
        <v>July</v>
      </c>
      <c r="E359" s="9">
        <f>YEAR(Table3[[#This Row],[usage_date]])</f>
        <v>2022</v>
      </c>
      <c r="F359" s="14">
        <v>3.73</v>
      </c>
      <c r="G359">
        <v>185</v>
      </c>
      <c r="H359" t="s">
        <v>13</v>
      </c>
      <c r="I359" t="str">
        <f t="shared" si="5"/>
        <v>Normal Usage</v>
      </c>
    </row>
    <row r="360" spans="1:9" x14ac:dyDescent="0.3">
      <c r="A360">
        <v>10359</v>
      </c>
      <c r="B360">
        <v>97</v>
      </c>
      <c r="C360" s="2">
        <v>44658</v>
      </c>
      <c r="D360" s="2" t="str">
        <f>TEXT(Table3[[#This Row],[usage_date]],"mmmm")</f>
        <v>April</v>
      </c>
      <c r="E360" s="9">
        <f>YEAR(Table3[[#This Row],[usage_date]])</f>
        <v>2022</v>
      </c>
      <c r="F360" s="14">
        <v>2.11</v>
      </c>
      <c r="G360">
        <v>31</v>
      </c>
      <c r="H360" t="s">
        <v>12</v>
      </c>
      <c r="I360" t="str">
        <f t="shared" si="5"/>
        <v>Normal Usage</v>
      </c>
    </row>
    <row r="361" spans="1:9" x14ac:dyDescent="0.3">
      <c r="A361">
        <v>10360</v>
      </c>
      <c r="B361">
        <v>10</v>
      </c>
      <c r="C361" s="2">
        <v>44635</v>
      </c>
      <c r="D361" s="2" t="str">
        <f>TEXT(Table3[[#This Row],[usage_date]],"mmmm")</f>
        <v>March</v>
      </c>
      <c r="E361" s="9">
        <f>YEAR(Table3[[#This Row],[usage_date]])</f>
        <v>2022</v>
      </c>
      <c r="F361" s="14">
        <v>3.58</v>
      </c>
      <c r="G361">
        <v>65</v>
      </c>
      <c r="H361" t="s">
        <v>12</v>
      </c>
      <c r="I361" t="str">
        <f t="shared" si="5"/>
        <v>Normal Usage</v>
      </c>
    </row>
    <row r="362" spans="1:9" x14ac:dyDescent="0.3">
      <c r="A362">
        <v>10361</v>
      </c>
      <c r="B362">
        <v>242</v>
      </c>
      <c r="C362" s="2">
        <v>45188</v>
      </c>
      <c r="D362" s="2" t="str">
        <f>TEXT(Table3[[#This Row],[usage_date]],"mmmm")</f>
        <v>September</v>
      </c>
      <c r="E362" s="9">
        <f>YEAR(Table3[[#This Row],[usage_date]])</f>
        <v>2023</v>
      </c>
      <c r="F362" s="14">
        <v>0.41</v>
      </c>
      <c r="G362">
        <v>178</v>
      </c>
      <c r="H362" t="s">
        <v>12</v>
      </c>
      <c r="I362" t="str">
        <f t="shared" si="5"/>
        <v>Normal Usage</v>
      </c>
    </row>
    <row r="363" spans="1:9" x14ac:dyDescent="0.3">
      <c r="A363">
        <v>10362</v>
      </c>
      <c r="B363">
        <v>314</v>
      </c>
      <c r="C363" s="2">
        <v>44752</v>
      </c>
      <c r="D363" s="2" t="str">
        <f>TEXT(Table3[[#This Row],[usage_date]],"mmmm")</f>
        <v>July</v>
      </c>
      <c r="E363" s="9">
        <f>YEAR(Table3[[#This Row],[usage_date]])</f>
        <v>2022</v>
      </c>
      <c r="F363" s="14">
        <v>2.12</v>
      </c>
      <c r="G363">
        <v>266</v>
      </c>
      <c r="H363" t="s">
        <v>12</v>
      </c>
      <c r="I363" t="str">
        <f t="shared" si="5"/>
        <v>Normal Usage</v>
      </c>
    </row>
    <row r="364" spans="1:9" x14ac:dyDescent="0.3">
      <c r="A364">
        <v>10363</v>
      </c>
      <c r="B364">
        <v>444</v>
      </c>
      <c r="C364" s="2">
        <v>45243</v>
      </c>
      <c r="D364" s="2" t="str">
        <f>TEXT(Table3[[#This Row],[usage_date]],"mmmm")</f>
        <v>November</v>
      </c>
      <c r="E364" s="9">
        <f>YEAR(Table3[[#This Row],[usage_date]])</f>
        <v>2023</v>
      </c>
      <c r="F364" s="14">
        <v>0.73</v>
      </c>
      <c r="G364">
        <v>36</v>
      </c>
      <c r="H364" t="s">
        <v>12</v>
      </c>
      <c r="I364" t="str">
        <f t="shared" si="5"/>
        <v>Normal Usage</v>
      </c>
    </row>
    <row r="365" spans="1:9" x14ac:dyDescent="0.3">
      <c r="A365">
        <v>10364</v>
      </c>
      <c r="B365">
        <v>232</v>
      </c>
      <c r="C365" s="2">
        <v>45380</v>
      </c>
      <c r="D365" s="2" t="str">
        <f>TEXT(Table3[[#This Row],[usage_date]],"mmmm")</f>
        <v>March</v>
      </c>
      <c r="E365" s="9">
        <f>YEAR(Table3[[#This Row],[usage_date]])</f>
        <v>2024</v>
      </c>
      <c r="F365" s="14">
        <v>0.65</v>
      </c>
      <c r="G365">
        <v>200</v>
      </c>
      <c r="H365" t="s">
        <v>12</v>
      </c>
      <c r="I365" t="str">
        <f t="shared" si="5"/>
        <v>Normal Usage</v>
      </c>
    </row>
    <row r="366" spans="1:9" x14ac:dyDescent="0.3">
      <c r="A366">
        <v>10365</v>
      </c>
      <c r="B366">
        <v>277</v>
      </c>
      <c r="C366" s="2">
        <v>45277</v>
      </c>
      <c r="D366" s="2" t="str">
        <f>TEXT(Table3[[#This Row],[usage_date]],"mmmm")</f>
        <v>December</v>
      </c>
      <c r="E366" s="9">
        <f>YEAR(Table3[[#This Row],[usage_date]])</f>
        <v>2023</v>
      </c>
      <c r="F366" s="14">
        <v>0.03</v>
      </c>
      <c r="G366">
        <v>48</v>
      </c>
      <c r="H366" t="s">
        <v>13</v>
      </c>
      <c r="I366" t="str">
        <f t="shared" si="5"/>
        <v>Normal Usage</v>
      </c>
    </row>
    <row r="367" spans="1:9" x14ac:dyDescent="0.3">
      <c r="A367">
        <v>10366</v>
      </c>
      <c r="B367">
        <v>284</v>
      </c>
      <c r="C367" s="2">
        <v>44617</v>
      </c>
      <c r="D367" s="2" t="str">
        <f>TEXT(Table3[[#This Row],[usage_date]],"mmmm")</f>
        <v>February</v>
      </c>
      <c r="E367" s="9">
        <f>YEAR(Table3[[#This Row],[usage_date]])</f>
        <v>2022</v>
      </c>
      <c r="F367" s="14">
        <v>0.35</v>
      </c>
      <c r="G367">
        <v>274</v>
      </c>
      <c r="H367" t="s">
        <v>12</v>
      </c>
      <c r="I367" t="str">
        <f t="shared" si="5"/>
        <v>Normal Usage</v>
      </c>
    </row>
    <row r="368" spans="1:9" x14ac:dyDescent="0.3">
      <c r="A368">
        <v>10367</v>
      </c>
      <c r="B368">
        <v>203</v>
      </c>
      <c r="C368" s="2">
        <v>45281</v>
      </c>
      <c r="D368" s="2" t="str">
        <f>TEXT(Table3[[#This Row],[usage_date]],"mmmm")</f>
        <v>December</v>
      </c>
      <c r="E368" s="9">
        <f>YEAR(Table3[[#This Row],[usage_date]])</f>
        <v>2023</v>
      </c>
      <c r="F368" s="14">
        <v>0.93</v>
      </c>
      <c r="G368">
        <v>167</v>
      </c>
      <c r="H368" t="s">
        <v>13</v>
      </c>
      <c r="I368" t="str">
        <f t="shared" si="5"/>
        <v>Normal Usage</v>
      </c>
    </row>
    <row r="369" spans="1:9" x14ac:dyDescent="0.3">
      <c r="A369">
        <v>10368</v>
      </c>
      <c r="B369">
        <v>247</v>
      </c>
      <c r="C369" s="2">
        <v>45114</v>
      </c>
      <c r="D369" s="2" t="str">
        <f>TEXT(Table3[[#This Row],[usage_date]],"mmmm")</f>
        <v>July</v>
      </c>
      <c r="E369" s="9">
        <f>YEAR(Table3[[#This Row],[usage_date]])</f>
        <v>2023</v>
      </c>
      <c r="F369" s="14">
        <v>0.31</v>
      </c>
      <c r="G369">
        <v>262</v>
      </c>
      <c r="H369" t="s">
        <v>12</v>
      </c>
      <c r="I369" t="str">
        <f t="shared" si="5"/>
        <v>Normal Usage</v>
      </c>
    </row>
    <row r="370" spans="1:9" x14ac:dyDescent="0.3">
      <c r="A370">
        <v>10369</v>
      </c>
      <c r="B370">
        <v>290</v>
      </c>
      <c r="C370" s="2">
        <v>44593</v>
      </c>
      <c r="D370" s="2" t="str">
        <f>TEXT(Table3[[#This Row],[usage_date]],"mmmm")</f>
        <v>February</v>
      </c>
      <c r="E370" s="9">
        <f>YEAR(Table3[[#This Row],[usage_date]])</f>
        <v>2022</v>
      </c>
      <c r="F370" s="14">
        <v>10.65</v>
      </c>
      <c r="G370">
        <v>132</v>
      </c>
      <c r="H370" t="s">
        <v>12</v>
      </c>
      <c r="I370" t="str">
        <f t="shared" si="5"/>
        <v>High Usage</v>
      </c>
    </row>
    <row r="371" spans="1:9" x14ac:dyDescent="0.3">
      <c r="A371">
        <v>10370</v>
      </c>
      <c r="B371">
        <v>264</v>
      </c>
      <c r="C371" s="2">
        <v>45088</v>
      </c>
      <c r="D371" s="2" t="str">
        <f>TEXT(Table3[[#This Row],[usage_date]],"mmmm")</f>
        <v>June</v>
      </c>
      <c r="E371" s="9">
        <f>YEAR(Table3[[#This Row],[usage_date]])</f>
        <v>2023</v>
      </c>
      <c r="F371" s="14">
        <v>0.92</v>
      </c>
      <c r="G371">
        <v>297</v>
      </c>
      <c r="H371" t="s">
        <v>12</v>
      </c>
      <c r="I371" t="str">
        <f t="shared" si="5"/>
        <v>Normal Usage</v>
      </c>
    </row>
    <row r="372" spans="1:9" x14ac:dyDescent="0.3">
      <c r="A372">
        <v>10371</v>
      </c>
      <c r="B372">
        <v>443</v>
      </c>
      <c r="C372" s="2">
        <v>45135</v>
      </c>
      <c r="D372" s="2" t="str">
        <f>TEXT(Table3[[#This Row],[usage_date]],"mmmm")</f>
        <v>July</v>
      </c>
      <c r="E372" s="9">
        <f>YEAR(Table3[[#This Row],[usage_date]])</f>
        <v>2023</v>
      </c>
      <c r="F372" s="14">
        <v>0.35</v>
      </c>
      <c r="G372">
        <v>175</v>
      </c>
      <c r="H372" t="s">
        <v>13</v>
      </c>
      <c r="I372" t="str">
        <f t="shared" si="5"/>
        <v>Normal Usage</v>
      </c>
    </row>
    <row r="373" spans="1:9" x14ac:dyDescent="0.3">
      <c r="A373">
        <v>10372</v>
      </c>
      <c r="B373">
        <v>214</v>
      </c>
      <c r="C373" s="2">
        <v>45228</v>
      </c>
      <c r="D373" s="2" t="str">
        <f>TEXT(Table3[[#This Row],[usage_date]],"mmmm")</f>
        <v>October</v>
      </c>
      <c r="E373" s="9">
        <f>YEAR(Table3[[#This Row],[usage_date]])</f>
        <v>2023</v>
      </c>
      <c r="F373" s="14">
        <v>0.55000000000000004</v>
      </c>
      <c r="G373">
        <v>10</v>
      </c>
      <c r="H373" t="s">
        <v>13</v>
      </c>
      <c r="I373" t="str">
        <f t="shared" si="5"/>
        <v>Normal Usage</v>
      </c>
    </row>
    <row r="374" spans="1:9" x14ac:dyDescent="0.3">
      <c r="A374">
        <v>10373</v>
      </c>
      <c r="B374">
        <v>200</v>
      </c>
      <c r="C374" s="2">
        <v>44845</v>
      </c>
      <c r="D374" s="2" t="str">
        <f>TEXT(Table3[[#This Row],[usage_date]],"mmmm")</f>
        <v>October</v>
      </c>
      <c r="E374" s="9">
        <f>YEAR(Table3[[#This Row],[usage_date]])</f>
        <v>2022</v>
      </c>
      <c r="F374" s="14">
        <v>2.2200000000000002</v>
      </c>
      <c r="G374">
        <v>200</v>
      </c>
      <c r="H374" t="s">
        <v>12</v>
      </c>
      <c r="I374" t="str">
        <f t="shared" si="5"/>
        <v>Normal Usage</v>
      </c>
    </row>
    <row r="375" spans="1:9" x14ac:dyDescent="0.3">
      <c r="A375">
        <v>10374</v>
      </c>
      <c r="B375">
        <v>433</v>
      </c>
      <c r="C375" s="2">
        <v>45282</v>
      </c>
      <c r="D375" s="2" t="str">
        <f>TEXT(Table3[[#This Row],[usage_date]],"mmmm")</f>
        <v>December</v>
      </c>
      <c r="E375" s="9">
        <f>YEAR(Table3[[#This Row],[usage_date]])</f>
        <v>2023</v>
      </c>
      <c r="F375" s="14">
        <v>0.17</v>
      </c>
      <c r="G375">
        <v>296</v>
      </c>
      <c r="H375" t="s">
        <v>13</v>
      </c>
      <c r="I375" t="str">
        <f t="shared" si="5"/>
        <v>Normal Usage</v>
      </c>
    </row>
    <row r="376" spans="1:9" x14ac:dyDescent="0.3">
      <c r="A376">
        <v>10375</v>
      </c>
      <c r="B376">
        <v>79</v>
      </c>
      <c r="C376" s="2">
        <v>45393</v>
      </c>
      <c r="D376" s="2" t="str">
        <f>TEXT(Table3[[#This Row],[usage_date]],"mmmm")</f>
        <v>April</v>
      </c>
      <c r="E376" s="9">
        <f>YEAR(Table3[[#This Row],[usage_date]])</f>
        <v>2024</v>
      </c>
      <c r="F376" s="14">
        <v>4.96</v>
      </c>
      <c r="G376">
        <v>2</v>
      </c>
      <c r="H376" t="s">
        <v>12</v>
      </c>
      <c r="I376" t="str">
        <f t="shared" si="5"/>
        <v>Normal Usage</v>
      </c>
    </row>
    <row r="377" spans="1:9" x14ac:dyDescent="0.3">
      <c r="A377">
        <v>10376</v>
      </c>
      <c r="B377">
        <v>401</v>
      </c>
      <c r="C377" s="2">
        <v>45055</v>
      </c>
      <c r="D377" s="2" t="str">
        <f>TEXT(Table3[[#This Row],[usage_date]],"mmmm")</f>
        <v>May</v>
      </c>
      <c r="E377" s="9">
        <f>YEAR(Table3[[#This Row],[usage_date]])</f>
        <v>2023</v>
      </c>
      <c r="F377" s="14">
        <v>8.14</v>
      </c>
      <c r="G377">
        <v>213</v>
      </c>
      <c r="H377" t="s">
        <v>12</v>
      </c>
      <c r="I377" t="str">
        <f t="shared" si="5"/>
        <v>High Usage</v>
      </c>
    </row>
    <row r="378" spans="1:9" x14ac:dyDescent="0.3">
      <c r="A378">
        <v>10377</v>
      </c>
      <c r="B378">
        <v>444</v>
      </c>
      <c r="C378" s="2">
        <v>44748</v>
      </c>
      <c r="D378" s="2" t="str">
        <f>TEXT(Table3[[#This Row],[usage_date]],"mmmm")</f>
        <v>July</v>
      </c>
      <c r="E378" s="9">
        <f>YEAR(Table3[[#This Row],[usage_date]])</f>
        <v>2022</v>
      </c>
      <c r="F378" s="14">
        <v>0.71</v>
      </c>
      <c r="G378">
        <v>295</v>
      </c>
      <c r="H378" t="s">
        <v>12</v>
      </c>
      <c r="I378" t="str">
        <f t="shared" si="5"/>
        <v>Normal Usage</v>
      </c>
    </row>
    <row r="379" spans="1:9" x14ac:dyDescent="0.3">
      <c r="A379">
        <v>10378</v>
      </c>
      <c r="B379">
        <v>343</v>
      </c>
      <c r="C379" s="2">
        <v>45059</v>
      </c>
      <c r="D379" s="2" t="str">
        <f>TEXT(Table3[[#This Row],[usage_date]],"mmmm")</f>
        <v>May</v>
      </c>
      <c r="E379" s="9">
        <f>YEAR(Table3[[#This Row],[usage_date]])</f>
        <v>2023</v>
      </c>
      <c r="F379" s="14">
        <v>1.5</v>
      </c>
      <c r="G379">
        <v>31</v>
      </c>
      <c r="H379" t="s">
        <v>12</v>
      </c>
      <c r="I379" t="str">
        <f t="shared" si="5"/>
        <v>Normal Usage</v>
      </c>
    </row>
    <row r="380" spans="1:9" x14ac:dyDescent="0.3">
      <c r="A380">
        <v>10379</v>
      </c>
      <c r="B380">
        <v>344</v>
      </c>
      <c r="C380" s="2">
        <v>45003</v>
      </c>
      <c r="D380" s="2" t="str">
        <f>TEXT(Table3[[#This Row],[usage_date]],"mmmm")</f>
        <v>March</v>
      </c>
      <c r="E380" s="9">
        <f>YEAR(Table3[[#This Row],[usage_date]])</f>
        <v>2023</v>
      </c>
      <c r="F380" s="14">
        <v>0.06</v>
      </c>
      <c r="G380">
        <v>47</v>
      </c>
      <c r="H380" t="s">
        <v>12</v>
      </c>
      <c r="I380" t="str">
        <f t="shared" si="5"/>
        <v>Normal Usage</v>
      </c>
    </row>
    <row r="381" spans="1:9" x14ac:dyDescent="0.3">
      <c r="A381">
        <v>10380</v>
      </c>
      <c r="B381">
        <v>173</v>
      </c>
      <c r="C381" s="2">
        <v>44691</v>
      </c>
      <c r="D381" s="2" t="str">
        <f>TEXT(Table3[[#This Row],[usage_date]],"mmmm")</f>
        <v>May</v>
      </c>
      <c r="E381" s="9">
        <f>YEAR(Table3[[#This Row],[usage_date]])</f>
        <v>2022</v>
      </c>
      <c r="F381" s="14">
        <v>2.56</v>
      </c>
      <c r="G381">
        <v>251</v>
      </c>
      <c r="H381" t="s">
        <v>13</v>
      </c>
      <c r="I381" t="str">
        <f t="shared" si="5"/>
        <v>Normal Usage</v>
      </c>
    </row>
    <row r="382" spans="1:9" x14ac:dyDescent="0.3">
      <c r="A382">
        <v>10381</v>
      </c>
      <c r="B382">
        <v>467</v>
      </c>
      <c r="C382" s="2">
        <v>45200</v>
      </c>
      <c r="D382" s="2" t="str">
        <f>TEXT(Table3[[#This Row],[usage_date]],"mmmm")</f>
        <v>October</v>
      </c>
      <c r="E382" s="9">
        <f>YEAR(Table3[[#This Row],[usage_date]])</f>
        <v>2023</v>
      </c>
      <c r="F382" s="14">
        <v>1.34</v>
      </c>
      <c r="G382">
        <v>198</v>
      </c>
      <c r="H382" t="s">
        <v>12</v>
      </c>
      <c r="I382" t="str">
        <f t="shared" si="5"/>
        <v>Normal Usage</v>
      </c>
    </row>
    <row r="383" spans="1:9" x14ac:dyDescent="0.3">
      <c r="A383">
        <v>10382</v>
      </c>
      <c r="B383">
        <v>69</v>
      </c>
      <c r="C383" s="2">
        <v>44853</v>
      </c>
      <c r="D383" s="2" t="str">
        <f>TEXT(Table3[[#This Row],[usage_date]],"mmmm")</f>
        <v>October</v>
      </c>
      <c r="E383" s="9">
        <f>YEAR(Table3[[#This Row],[usage_date]])</f>
        <v>2022</v>
      </c>
      <c r="F383" s="14">
        <v>0.79</v>
      </c>
      <c r="G383">
        <v>88</v>
      </c>
      <c r="H383" t="s">
        <v>13</v>
      </c>
      <c r="I383" t="str">
        <f t="shared" si="5"/>
        <v>Normal Usage</v>
      </c>
    </row>
    <row r="384" spans="1:9" x14ac:dyDescent="0.3">
      <c r="A384">
        <v>10383</v>
      </c>
      <c r="B384">
        <v>416</v>
      </c>
      <c r="C384" s="2">
        <v>44675</v>
      </c>
      <c r="D384" s="2" t="str">
        <f>TEXT(Table3[[#This Row],[usage_date]],"mmmm")</f>
        <v>April</v>
      </c>
      <c r="E384" s="9">
        <f>YEAR(Table3[[#This Row],[usage_date]])</f>
        <v>2022</v>
      </c>
      <c r="F384" s="14">
        <v>0.57999999999999996</v>
      </c>
      <c r="G384">
        <v>108</v>
      </c>
      <c r="H384" t="s">
        <v>12</v>
      </c>
      <c r="I384" t="str">
        <f t="shared" si="5"/>
        <v>Normal Usage</v>
      </c>
    </row>
    <row r="385" spans="1:9" x14ac:dyDescent="0.3">
      <c r="A385">
        <v>10384</v>
      </c>
      <c r="B385">
        <v>428</v>
      </c>
      <c r="C385" s="2">
        <v>44760</v>
      </c>
      <c r="D385" s="2" t="str">
        <f>TEXT(Table3[[#This Row],[usage_date]],"mmmm")</f>
        <v>July</v>
      </c>
      <c r="E385" s="9">
        <f>YEAR(Table3[[#This Row],[usage_date]])</f>
        <v>2022</v>
      </c>
      <c r="F385" s="14">
        <v>2.65</v>
      </c>
      <c r="G385">
        <v>290</v>
      </c>
      <c r="H385" t="s">
        <v>12</v>
      </c>
      <c r="I385" t="str">
        <f t="shared" si="5"/>
        <v>Normal Usage</v>
      </c>
    </row>
    <row r="386" spans="1:9" x14ac:dyDescent="0.3">
      <c r="A386">
        <v>10385</v>
      </c>
      <c r="B386">
        <v>449</v>
      </c>
      <c r="C386" s="2">
        <v>44574</v>
      </c>
      <c r="D386" s="2" t="str">
        <f>TEXT(Table3[[#This Row],[usage_date]],"mmmm")</f>
        <v>January</v>
      </c>
      <c r="E386" s="9">
        <f>YEAR(Table3[[#This Row],[usage_date]])</f>
        <v>2022</v>
      </c>
      <c r="F386" s="14">
        <v>1.35</v>
      </c>
      <c r="G386">
        <v>107</v>
      </c>
      <c r="H386" t="s">
        <v>13</v>
      </c>
      <c r="I386" t="str">
        <f t="shared" ref="I386:I449" si="6">IF(F386&gt;6,"High Usage","Normal Usage")</f>
        <v>Normal Usage</v>
      </c>
    </row>
    <row r="387" spans="1:9" x14ac:dyDescent="0.3">
      <c r="A387">
        <v>10386</v>
      </c>
      <c r="B387">
        <v>87</v>
      </c>
      <c r="C387" s="2">
        <v>44832</v>
      </c>
      <c r="D387" s="2" t="str">
        <f>TEXT(Table3[[#This Row],[usage_date]],"mmmm")</f>
        <v>September</v>
      </c>
      <c r="E387" s="9">
        <f>YEAR(Table3[[#This Row],[usage_date]])</f>
        <v>2022</v>
      </c>
      <c r="F387" s="14">
        <v>0.5</v>
      </c>
      <c r="G387">
        <v>39</v>
      </c>
      <c r="H387" t="s">
        <v>13</v>
      </c>
      <c r="I387" t="str">
        <f t="shared" si="6"/>
        <v>Normal Usage</v>
      </c>
    </row>
    <row r="388" spans="1:9" x14ac:dyDescent="0.3">
      <c r="A388">
        <v>10387</v>
      </c>
      <c r="B388">
        <v>101</v>
      </c>
      <c r="C388" s="2">
        <v>45162</v>
      </c>
      <c r="D388" s="2" t="str">
        <f>TEXT(Table3[[#This Row],[usage_date]],"mmmm")</f>
        <v>August</v>
      </c>
      <c r="E388" s="9">
        <f>YEAR(Table3[[#This Row],[usage_date]])</f>
        <v>2023</v>
      </c>
      <c r="F388" s="14">
        <v>2.92</v>
      </c>
      <c r="G388">
        <v>51</v>
      </c>
      <c r="H388" t="s">
        <v>13</v>
      </c>
      <c r="I388" t="str">
        <f t="shared" si="6"/>
        <v>Normal Usage</v>
      </c>
    </row>
    <row r="389" spans="1:9" x14ac:dyDescent="0.3">
      <c r="A389">
        <v>10388</v>
      </c>
      <c r="B389">
        <v>8</v>
      </c>
      <c r="C389" s="2">
        <v>44776</v>
      </c>
      <c r="D389" s="2" t="str">
        <f>TEXT(Table3[[#This Row],[usage_date]],"mmmm")</f>
        <v>August</v>
      </c>
      <c r="E389" s="9">
        <f>YEAR(Table3[[#This Row],[usage_date]])</f>
        <v>2022</v>
      </c>
      <c r="F389" s="14">
        <v>2.08</v>
      </c>
      <c r="G389">
        <v>111</v>
      </c>
      <c r="H389" t="s">
        <v>12</v>
      </c>
      <c r="I389" t="str">
        <f t="shared" si="6"/>
        <v>Normal Usage</v>
      </c>
    </row>
    <row r="390" spans="1:9" x14ac:dyDescent="0.3">
      <c r="A390">
        <v>10389</v>
      </c>
      <c r="B390">
        <v>333</v>
      </c>
      <c r="C390" s="2">
        <v>45005</v>
      </c>
      <c r="D390" s="2" t="str">
        <f>TEXT(Table3[[#This Row],[usage_date]],"mmmm")</f>
        <v>March</v>
      </c>
      <c r="E390" s="9">
        <f>YEAR(Table3[[#This Row],[usage_date]])</f>
        <v>2023</v>
      </c>
      <c r="F390" s="14">
        <v>4.8899999999999997</v>
      </c>
      <c r="G390">
        <v>294</v>
      </c>
      <c r="H390" t="s">
        <v>13</v>
      </c>
      <c r="I390" t="str">
        <f t="shared" si="6"/>
        <v>Normal Usage</v>
      </c>
    </row>
    <row r="391" spans="1:9" x14ac:dyDescent="0.3">
      <c r="A391">
        <v>10390</v>
      </c>
      <c r="B391">
        <v>200</v>
      </c>
      <c r="C391" s="2">
        <v>45351</v>
      </c>
      <c r="D391" s="2" t="str">
        <f>TEXT(Table3[[#This Row],[usage_date]],"mmmm")</f>
        <v>February</v>
      </c>
      <c r="E391" s="9">
        <f>YEAR(Table3[[#This Row],[usage_date]])</f>
        <v>2024</v>
      </c>
      <c r="F391" s="14">
        <v>0.31</v>
      </c>
      <c r="G391">
        <v>67</v>
      </c>
      <c r="H391" t="s">
        <v>13</v>
      </c>
      <c r="I391" t="str">
        <f t="shared" si="6"/>
        <v>Normal Usage</v>
      </c>
    </row>
    <row r="392" spans="1:9" x14ac:dyDescent="0.3">
      <c r="A392">
        <v>10391</v>
      </c>
      <c r="B392">
        <v>87</v>
      </c>
      <c r="C392" s="2">
        <v>45073</v>
      </c>
      <c r="D392" s="2" t="str">
        <f>TEXT(Table3[[#This Row],[usage_date]],"mmmm")</f>
        <v>May</v>
      </c>
      <c r="E392" s="9">
        <f>YEAR(Table3[[#This Row],[usage_date]])</f>
        <v>2023</v>
      </c>
      <c r="F392" s="14">
        <v>3.85</v>
      </c>
      <c r="G392">
        <v>188</v>
      </c>
      <c r="H392" t="s">
        <v>12</v>
      </c>
      <c r="I392" t="str">
        <f t="shared" si="6"/>
        <v>Normal Usage</v>
      </c>
    </row>
    <row r="393" spans="1:9" x14ac:dyDescent="0.3">
      <c r="A393">
        <v>10392</v>
      </c>
      <c r="B393">
        <v>43</v>
      </c>
      <c r="C393" s="2">
        <v>45008</v>
      </c>
      <c r="D393" s="2" t="str">
        <f>TEXT(Table3[[#This Row],[usage_date]],"mmmm")</f>
        <v>March</v>
      </c>
      <c r="E393" s="9">
        <f>YEAR(Table3[[#This Row],[usage_date]])</f>
        <v>2023</v>
      </c>
      <c r="F393" s="14">
        <v>2.8</v>
      </c>
      <c r="G393">
        <v>208</v>
      </c>
      <c r="H393" t="s">
        <v>12</v>
      </c>
      <c r="I393" t="str">
        <f t="shared" si="6"/>
        <v>Normal Usage</v>
      </c>
    </row>
    <row r="394" spans="1:9" x14ac:dyDescent="0.3">
      <c r="A394">
        <v>10393</v>
      </c>
      <c r="B394">
        <v>385</v>
      </c>
      <c r="C394" s="2">
        <v>45276</v>
      </c>
      <c r="D394" s="2" t="str">
        <f>TEXT(Table3[[#This Row],[usage_date]],"mmmm")</f>
        <v>December</v>
      </c>
      <c r="E394" s="9">
        <f>YEAR(Table3[[#This Row],[usage_date]])</f>
        <v>2023</v>
      </c>
      <c r="F394" s="14">
        <v>0.31</v>
      </c>
      <c r="G394">
        <v>64</v>
      </c>
      <c r="H394" t="s">
        <v>12</v>
      </c>
      <c r="I394" t="str">
        <f t="shared" si="6"/>
        <v>Normal Usage</v>
      </c>
    </row>
    <row r="395" spans="1:9" x14ac:dyDescent="0.3">
      <c r="A395">
        <v>10394</v>
      </c>
      <c r="B395">
        <v>109</v>
      </c>
      <c r="C395" s="2">
        <v>44635</v>
      </c>
      <c r="D395" s="2" t="str">
        <f>TEXT(Table3[[#This Row],[usage_date]],"mmmm")</f>
        <v>March</v>
      </c>
      <c r="E395" s="9">
        <f>YEAR(Table3[[#This Row],[usage_date]])</f>
        <v>2022</v>
      </c>
      <c r="F395" s="14">
        <v>2.97</v>
      </c>
      <c r="G395">
        <v>61</v>
      </c>
      <c r="H395" t="s">
        <v>12</v>
      </c>
      <c r="I395" t="str">
        <f t="shared" si="6"/>
        <v>Normal Usage</v>
      </c>
    </row>
    <row r="396" spans="1:9" x14ac:dyDescent="0.3">
      <c r="A396">
        <v>10395</v>
      </c>
      <c r="B396">
        <v>435</v>
      </c>
      <c r="C396" s="2">
        <v>45098</v>
      </c>
      <c r="D396" s="2" t="str">
        <f>TEXT(Table3[[#This Row],[usage_date]],"mmmm")</f>
        <v>June</v>
      </c>
      <c r="E396" s="9">
        <f>YEAR(Table3[[#This Row],[usage_date]])</f>
        <v>2023</v>
      </c>
      <c r="F396" s="14">
        <v>1.46</v>
      </c>
      <c r="G396">
        <v>257</v>
      </c>
      <c r="H396" t="s">
        <v>12</v>
      </c>
      <c r="I396" t="str">
        <f t="shared" si="6"/>
        <v>Normal Usage</v>
      </c>
    </row>
    <row r="397" spans="1:9" x14ac:dyDescent="0.3">
      <c r="A397">
        <v>10396</v>
      </c>
      <c r="B397">
        <v>408</v>
      </c>
      <c r="C397" s="2">
        <v>44662</v>
      </c>
      <c r="D397" s="2" t="str">
        <f>TEXT(Table3[[#This Row],[usage_date]],"mmmm")</f>
        <v>April</v>
      </c>
      <c r="E397" s="9">
        <f>YEAR(Table3[[#This Row],[usage_date]])</f>
        <v>2022</v>
      </c>
      <c r="F397" s="14">
        <v>7.25</v>
      </c>
      <c r="G397">
        <v>133</v>
      </c>
      <c r="H397" t="s">
        <v>13</v>
      </c>
      <c r="I397" t="str">
        <f t="shared" si="6"/>
        <v>High Usage</v>
      </c>
    </row>
    <row r="398" spans="1:9" x14ac:dyDescent="0.3">
      <c r="A398">
        <v>10397</v>
      </c>
      <c r="B398">
        <v>483</v>
      </c>
      <c r="C398" s="2">
        <v>44737</v>
      </c>
      <c r="D398" s="2" t="str">
        <f>TEXT(Table3[[#This Row],[usage_date]],"mmmm")</f>
        <v>June</v>
      </c>
      <c r="E398" s="9">
        <f>YEAR(Table3[[#This Row],[usage_date]])</f>
        <v>2022</v>
      </c>
      <c r="F398" s="14">
        <v>0.38</v>
      </c>
      <c r="G398">
        <v>121</v>
      </c>
      <c r="H398" t="s">
        <v>12</v>
      </c>
      <c r="I398" t="str">
        <f t="shared" si="6"/>
        <v>Normal Usage</v>
      </c>
    </row>
    <row r="399" spans="1:9" x14ac:dyDescent="0.3">
      <c r="A399">
        <v>10398</v>
      </c>
      <c r="B399">
        <v>152</v>
      </c>
      <c r="C399" s="2">
        <v>44988</v>
      </c>
      <c r="D399" s="2" t="str">
        <f>TEXT(Table3[[#This Row],[usage_date]],"mmmm")</f>
        <v>March</v>
      </c>
      <c r="E399" s="9">
        <f>YEAR(Table3[[#This Row],[usage_date]])</f>
        <v>2023</v>
      </c>
      <c r="F399" s="14">
        <v>2.57</v>
      </c>
      <c r="G399">
        <v>170</v>
      </c>
      <c r="H399" t="s">
        <v>13</v>
      </c>
      <c r="I399" t="str">
        <f t="shared" si="6"/>
        <v>Normal Usage</v>
      </c>
    </row>
    <row r="400" spans="1:9" x14ac:dyDescent="0.3">
      <c r="A400">
        <v>10399</v>
      </c>
      <c r="B400">
        <v>17</v>
      </c>
      <c r="C400" s="2">
        <v>44678</v>
      </c>
      <c r="D400" s="2" t="str">
        <f>TEXT(Table3[[#This Row],[usage_date]],"mmmm")</f>
        <v>April</v>
      </c>
      <c r="E400" s="9">
        <f>YEAR(Table3[[#This Row],[usage_date]])</f>
        <v>2022</v>
      </c>
      <c r="F400" s="14">
        <v>1.2</v>
      </c>
      <c r="G400">
        <v>209</v>
      </c>
      <c r="H400" t="s">
        <v>12</v>
      </c>
      <c r="I400" t="str">
        <f t="shared" si="6"/>
        <v>Normal Usage</v>
      </c>
    </row>
    <row r="401" spans="1:9" x14ac:dyDescent="0.3">
      <c r="A401">
        <v>10400</v>
      </c>
      <c r="B401">
        <v>133</v>
      </c>
      <c r="C401" s="2">
        <v>44727</v>
      </c>
      <c r="D401" s="2" t="str">
        <f>TEXT(Table3[[#This Row],[usage_date]],"mmmm")</f>
        <v>June</v>
      </c>
      <c r="E401" s="9">
        <f>YEAR(Table3[[#This Row],[usage_date]])</f>
        <v>2022</v>
      </c>
      <c r="F401" s="14">
        <v>7.86</v>
      </c>
      <c r="G401">
        <v>295</v>
      </c>
      <c r="H401" t="s">
        <v>12</v>
      </c>
      <c r="I401" t="str">
        <f t="shared" si="6"/>
        <v>High Usage</v>
      </c>
    </row>
    <row r="402" spans="1:9" x14ac:dyDescent="0.3">
      <c r="A402">
        <v>10401</v>
      </c>
      <c r="B402">
        <v>148</v>
      </c>
      <c r="C402" s="2">
        <v>44602</v>
      </c>
      <c r="D402" s="2" t="str">
        <f>TEXT(Table3[[#This Row],[usage_date]],"mmmm")</f>
        <v>February</v>
      </c>
      <c r="E402" s="9">
        <f>YEAR(Table3[[#This Row],[usage_date]])</f>
        <v>2022</v>
      </c>
      <c r="F402" s="14">
        <v>1</v>
      </c>
      <c r="G402">
        <v>88</v>
      </c>
      <c r="H402" t="s">
        <v>12</v>
      </c>
      <c r="I402" t="str">
        <f t="shared" si="6"/>
        <v>Normal Usage</v>
      </c>
    </row>
    <row r="403" spans="1:9" x14ac:dyDescent="0.3">
      <c r="A403">
        <v>10402</v>
      </c>
      <c r="B403">
        <v>277</v>
      </c>
      <c r="C403" s="2">
        <v>44990</v>
      </c>
      <c r="D403" s="2" t="str">
        <f>TEXT(Table3[[#This Row],[usage_date]],"mmmm")</f>
        <v>March</v>
      </c>
      <c r="E403" s="9">
        <f>YEAR(Table3[[#This Row],[usage_date]])</f>
        <v>2023</v>
      </c>
      <c r="F403" s="14">
        <v>8.19</v>
      </c>
      <c r="G403">
        <v>166</v>
      </c>
      <c r="H403" t="s">
        <v>12</v>
      </c>
      <c r="I403" t="str">
        <f t="shared" si="6"/>
        <v>High Usage</v>
      </c>
    </row>
    <row r="404" spans="1:9" x14ac:dyDescent="0.3">
      <c r="A404">
        <v>10403</v>
      </c>
      <c r="B404">
        <v>232</v>
      </c>
      <c r="C404" s="2">
        <v>44905</v>
      </c>
      <c r="D404" s="2" t="str">
        <f>TEXT(Table3[[#This Row],[usage_date]],"mmmm")</f>
        <v>December</v>
      </c>
      <c r="E404" s="9">
        <f>YEAR(Table3[[#This Row],[usage_date]])</f>
        <v>2022</v>
      </c>
      <c r="F404" s="14">
        <v>5.79</v>
      </c>
      <c r="G404">
        <v>27</v>
      </c>
      <c r="H404" t="s">
        <v>13</v>
      </c>
      <c r="I404" t="str">
        <f t="shared" si="6"/>
        <v>Normal Usage</v>
      </c>
    </row>
    <row r="405" spans="1:9" x14ac:dyDescent="0.3">
      <c r="A405">
        <v>10404</v>
      </c>
      <c r="B405">
        <v>314</v>
      </c>
      <c r="C405" s="2">
        <v>44985</v>
      </c>
      <c r="D405" s="2" t="str">
        <f>TEXT(Table3[[#This Row],[usage_date]],"mmmm")</f>
        <v>February</v>
      </c>
      <c r="E405" s="9">
        <f>YEAR(Table3[[#This Row],[usage_date]])</f>
        <v>2023</v>
      </c>
      <c r="F405" s="14">
        <v>0.79</v>
      </c>
      <c r="G405">
        <v>237</v>
      </c>
      <c r="H405" t="s">
        <v>13</v>
      </c>
      <c r="I405" t="str">
        <f t="shared" si="6"/>
        <v>Normal Usage</v>
      </c>
    </row>
    <row r="406" spans="1:9" x14ac:dyDescent="0.3">
      <c r="A406">
        <v>10405</v>
      </c>
      <c r="B406">
        <v>415</v>
      </c>
      <c r="C406" s="2">
        <v>44927</v>
      </c>
      <c r="D406" s="2" t="str">
        <f>TEXT(Table3[[#This Row],[usage_date]],"mmmm")</f>
        <v>January</v>
      </c>
      <c r="E406" s="9">
        <f>YEAR(Table3[[#This Row],[usage_date]])</f>
        <v>2023</v>
      </c>
      <c r="F406" s="14">
        <v>4.07</v>
      </c>
      <c r="G406">
        <v>62</v>
      </c>
      <c r="H406" t="s">
        <v>12</v>
      </c>
      <c r="I406" t="str">
        <f t="shared" si="6"/>
        <v>Normal Usage</v>
      </c>
    </row>
    <row r="407" spans="1:9" x14ac:dyDescent="0.3">
      <c r="A407">
        <v>10406</v>
      </c>
      <c r="B407">
        <v>366</v>
      </c>
      <c r="C407" s="2">
        <v>44681</v>
      </c>
      <c r="D407" s="2" t="str">
        <f>TEXT(Table3[[#This Row],[usage_date]],"mmmm")</f>
        <v>April</v>
      </c>
      <c r="E407" s="9">
        <f>YEAR(Table3[[#This Row],[usage_date]])</f>
        <v>2022</v>
      </c>
      <c r="F407" s="14">
        <v>13.57</v>
      </c>
      <c r="G407">
        <v>254</v>
      </c>
      <c r="H407" t="s">
        <v>13</v>
      </c>
      <c r="I407" t="str">
        <f t="shared" si="6"/>
        <v>High Usage</v>
      </c>
    </row>
    <row r="408" spans="1:9" x14ac:dyDescent="0.3">
      <c r="A408">
        <v>10407</v>
      </c>
      <c r="B408">
        <v>228</v>
      </c>
      <c r="C408" s="2">
        <v>45170</v>
      </c>
      <c r="D408" s="2" t="str">
        <f>TEXT(Table3[[#This Row],[usage_date]],"mmmm")</f>
        <v>September</v>
      </c>
      <c r="E408" s="9">
        <f>YEAR(Table3[[#This Row],[usage_date]])</f>
        <v>2023</v>
      </c>
      <c r="F408" s="14">
        <v>0.73</v>
      </c>
      <c r="G408">
        <v>40</v>
      </c>
      <c r="H408" t="s">
        <v>12</v>
      </c>
      <c r="I408" t="str">
        <f t="shared" si="6"/>
        <v>Normal Usage</v>
      </c>
    </row>
    <row r="409" spans="1:9" x14ac:dyDescent="0.3">
      <c r="A409">
        <v>10408</v>
      </c>
      <c r="B409">
        <v>139</v>
      </c>
      <c r="C409" s="2">
        <v>45218</v>
      </c>
      <c r="D409" s="2" t="str">
        <f>TEXT(Table3[[#This Row],[usage_date]],"mmmm")</f>
        <v>October</v>
      </c>
      <c r="E409" s="9">
        <f>YEAR(Table3[[#This Row],[usage_date]])</f>
        <v>2023</v>
      </c>
      <c r="F409" s="14">
        <v>1.44</v>
      </c>
      <c r="G409">
        <v>28</v>
      </c>
      <c r="H409" t="s">
        <v>12</v>
      </c>
      <c r="I409" t="str">
        <f t="shared" si="6"/>
        <v>Normal Usage</v>
      </c>
    </row>
    <row r="410" spans="1:9" x14ac:dyDescent="0.3">
      <c r="A410">
        <v>10409</v>
      </c>
      <c r="B410">
        <v>436</v>
      </c>
      <c r="C410" s="2">
        <v>45289</v>
      </c>
      <c r="D410" s="2" t="str">
        <f>TEXT(Table3[[#This Row],[usage_date]],"mmmm")</f>
        <v>December</v>
      </c>
      <c r="E410" s="9">
        <f>YEAR(Table3[[#This Row],[usage_date]])</f>
        <v>2023</v>
      </c>
      <c r="F410" s="14">
        <v>1.84</v>
      </c>
      <c r="G410">
        <v>278</v>
      </c>
      <c r="H410" t="s">
        <v>12</v>
      </c>
      <c r="I410" t="str">
        <f t="shared" si="6"/>
        <v>Normal Usage</v>
      </c>
    </row>
    <row r="411" spans="1:9" x14ac:dyDescent="0.3">
      <c r="A411">
        <v>10410</v>
      </c>
      <c r="B411">
        <v>399</v>
      </c>
      <c r="C411" s="2">
        <v>44790</v>
      </c>
      <c r="D411" s="2" t="str">
        <f>TEXT(Table3[[#This Row],[usage_date]],"mmmm")</f>
        <v>August</v>
      </c>
      <c r="E411" s="9">
        <f>YEAR(Table3[[#This Row],[usage_date]])</f>
        <v>2022</v>
      </c>
      <c r="F411" s="14">
        <v>0.87</v>
      </c>
      <c r="G411">
        <v>79</v>
      </c>
      <c r="H411" t="s">
        <v>12</v>
      </c>
      <c r="I411" t="str">
        <f t="shared" si="6"/>
        <v>Normal Usage</v>
      </c>
    </row>
    <row r="412" spans="1:9" x14ac:dyDescent="0.3">
      <c r="A412">
        <v>10411</v>
      </c>
      <c r="B412">
        <v>211</v>
      </c>
      <c r="C412" s="2">
        <v>45386</v>
      </c>
      <c r="D412" s="2" t="str">
        <f>TEXT(Table3[[#This Row],[usage_date]],"mmmm")</f>
        <v>April</v>
      </c>
      <c r="E412" s="9">
        <f>YEAR(Table3[[#This Row],[usage_date]])</f>
        <v>2024</v>
      </c>
      <c r="F412" s="14">
        <v>0.04</v>
      </c>
      <c r="G412">
        <v>50</v>
      </c>
      <c r="H412" t="s">
        <v>12</v>
      </c>
      <c r="I412" t="str">
        <f t="shared" si="6"/>
        <v>Normal Usage</v>
      </c>
    </row>
    <row r="413" spans="1:9" x14ac:dyDescent="0.3">
      <c r="A413">
        <v>10412</v>
      </c>
      <c r="B413">
        <v>391</v>
      </c>
      <c r="C413" s="2">
        <v>44691</v>
      </c>
      <c r="D413" s="2" t="str">
        <f>TEXT(Table3[[#This Row],[usage_date]],"mmmm")</f>
        <v>May</v>
      </c>
      <c r="E413" s="9">
        <f>YEAR(Table3[[#This Row],[usage_date]])</f>
        <v>2022</v>
      </c>
      <c r="F413" s="14">
        <v>0.62</v>
      </c>
      <c r="G413">
        <v>111</v>
      </c>
      <c r="H413" t="s">
        <v>12</v>
      </c>
      <c r="I413" t="str">
        <f t="shared" si="6"/>
        <v>Normal Usage</v>
      </c>
    </row>
    <row r="414" spans="1:9" x14ac:dyDescent="0.3">
      <c r="A414">
        <v>10413</v>
      </c>
      <c r="B414">
        <v>499</v>
      </c>
      <c r="C414" s="2">
        <v>44913</v>
      </c>
      <c r="D414" s="2" t="str">
        <f>TEXT(Table3[[#This Row],[usage_date]],"mmmm")</f>
        <v>December</v>
      </c>
      <c r="E414" s="9">
        <f>YEAR(Table3[[#This Row],[usage_date]])</f>
        <v>2022</v>
      </c>
      <c r="F414" s="14">
        <v>0.83</v>
      </c>
      <c r="G414">
        <v>89</v>
      </c>
      <c r="H414" t="s">
        <v>12</v>
      </c>
      <c r="I414" t="str">
        <f t="shared" si="6"/>
        <v>Normal Usage</v>
      </c>
    </row>
    <row r="415" spans="1:9" x14ac:dyDescent="0.3">
      <c r="A415">
        <v>10414</v>
      </c>
      <c r="B415">
        <v>28</v>
      </c>
      <c r="C415" s="2">
        <v>45450</v>
      </c>
      <c r="D415" s="2" t="str">
        <f>TEXT(Table3[[#This Row],[usage_date]],"mmmm")</f>
        <v>June</v>
      </c>
      <c r="E415" s="9">
        <f>YEAR(Table3[[#This Row],[usage_date]])</f>
        <v>2024</v>
      </c>
      <c r="F415" s="14">
        <v>1.47</v>
      </c>
      <c r="G415">
        <v>228</v>
      </c>
      <c r="H415" t="s">
        <v>13</v>
      </c>
      <c r="I415" t="str">
        <f t="shared" si="6"/>
        <v>Normal Usage</v>
      </c>
    </row>
    <row r="416" spans="1:9" x14ac:dyDescent="0.3">
      <c r="A416">
        <v>10415</v>
      </c>
      <c r="B416">
        <v>51</v>
      </c>
      <c r="C416" s="2">
        <v>44879</v>
      </c>
      <c r="D416" s="2" t="str">
        <f>TEXT(Table3[[#This Row],[usage_date]],"mmmm")</f>
        <v>November</v>
      </c>
      <c r="E416" s="9">
        <f>YEAR(Table3[[#This Row],[usage_date]])</f>
        <v>2022</v>
      </c>
      <c r="F416" s="14">
        <v>0.47</v>
      </c>
      <c r="G416">
        <v>149</v>
      </c>
      <c r="H416" t="s">
        <v>12</v>
      </c>
      <c r="I416" t="str">
        <f t="shared" si="6"/>
        <v>Normal Usage</v>
      </c>
    </row>
    <row r="417" spans="1:9" x14ac:dyDescent="0.3">
      <c r="A417">
        <v>10416</v>
      </c>
      <c r="B417">
        <v>491</v>
      </c>
      <c r="C417" s="2">
        <v>45210</v>
      </c>
      <c r="D417" s="2" t="str">
        <f>TEXT(Table3[[#This Row],[usage_date]],"mmmm")</f>
        <v>October</v>
      </c>
      <c r="E417" s="9">
        <f>YEAR(Table3[[#This Row],[usage_date]])</f>
        <v>2023</v>
      </c>
      <c r="F417" s="14">
        <v>5.16</v>
      </c>
      <c r="G417">
        <v>242</v>
      </c>
      <c r="H417" t="s">
        <v>12</v>
      </c>
      <c r="I417" t="str">
        <f t="shared" si="6"/>
        <v>Normal Usage</v>
      </c>
    </row>
    <row r="418" spans="1:9" x14ac:dyDescent="0.3">
      <c r="A418">
        <v>10417</v>
      </c>
      <c r="B418">
        <v>442</v>
      </c>
      <c r="C418" s="2">
        <v>45397</v>
      </c>
      <c r="D418" s="2" t="str">
        <f>TEXT(Table3[[#This Row],[usage_date]],"mmmm")</f>
        <v>April</v>
      </c>
      <c r="E418" s="9">
        <f>YEAR(Table3[[#This Row],[usage_date]])</f>
        <v>2024</v>
      </c>
      <c r="F418" s="14">
        <v>3.05</v>
      </c>
      <c r="G418">
        <v>137</v>
      </c>
      <c r="H418" t="s">
        <v>12</v>
      </c>
      <c r="I418" t="str">
        <f t="shared" si="6"/>
        <v>Normal Usage</v>
      </c>
    </row>
    <row r="419" spans="1:9" x14ac:dyDescent="0.3">
      <c r="A419">
        <v>10418</v>
      </c>
      <c r="B419">
        <v>261</v>
      </c>
      <c r="C419" s="2">
        <v>44898</v>
      </c>
      <c r="D419" s="2" t="str">
        <f>TEXT(Table3[[#This Row],[usage_date]],"mmmm")</f>
        <v>December</v>
      </c>
      <c r="E419" s="9">
        <f>YEAR(Table3[[#This Row],[usage_date]])</f>
        <v>2022</v>
      </c>
      <c r="F419" s="14">
        <v>0.22</v>
      </c>
      <c r="G419">
        <v>134</v>
      </c>
      <c r="H419" t="s">
        <v>13</v>
      </c>
      <c r="I419" t="str">
        <f t="shared" si="6"/>
        <v>Normal Usage</v>
      </c>
    </row>
    <row r="420" spans="1:9" x14ac:dyDescent="0.3">
      <c r="A420">
        <v>10419</v>
      </c>
      <c r="B420">
        <v>261</v>
      </c>
      <c r="C420" s="2">
        <v>44834</v>
      </c>
      <c r="D420" s="2" t="str">
        <f>TEXT(Table3[[#This Row],[usage_date]],"mmmm")</f>
        <v>September</v>
      </c>
      <c r="E420" s="9">
        <f>YEAR(Table3[[#This Row],[usage_date]])</f>
        <v>2022</v>
      </c>
      <c r="F420" s="14">
        <v>2.63</v>
      </c>
      <c r="G420">
        <v>88</v>
      </c>
      <c r="H420" t="s">
        <v>13</v>
      </c>
      <c r="I420" t="str">
        <f t="shared" si="6"/>
        <v>Normal Usage</v>
      </c>
    </row>
    <row r="421" spans="1:9" x14ac:dyDescent="0.3">
      <c r="A421">
        <v>10420</v>
      </c>
      <c r="B421">
        <v>350</v>
      </c>
      <c r="C421" s="2">
        <v>44678</v>
      </c>
      <c r="D421" s="2" t="str">
        <f>TEXT(Table3[[#This Row],[usage_date]],"mmmm")</f>
        <v>April</v>
      </c>
      <c r="E421" s="9">
        <f>YEAR(Table3[[#This Row],[usage_date]])</f>
        <v>2022</v>
      </c>
      <c r="F421" s="14">
        <v>2.65</v>
      </c>
      <c r="G421">
        <v>14</v>
      </c>
      <c r="H421" t="s">
        <v>13</v>
      </c>
      <c r="I421" t="str">
        <f t="shared" si="6"/>
        <v>Normal Usage</v>
      </c>
    </row>
    <row r="422" spans="1:9" x14ac:dyDescent="0.3">
      <c r="A422">
        <v>10421</v>
      </c>
      <c r="B422">
        <v>352</v>
      </c>
      <c r="C422" s="2">
        <v>45379</v>
      </c>
      <c r="D422" s="2" t="str">
        <f>TEXT(Table3[[#This Row],[usage_date]],"mmmm")</f>
        <v>March</v>
      </c>
      <c r="E422" s="9">
        <f>YEAR(Table3[[#This Row],[usage_date]])</f>
        <v>2024</v>
      </c>
      <c r="F422" s="14">
        <v>7.82</v>
      </c>
      <c r="G422">
        <v>173</v>
      </c>
      <c r="H422" t="s">
        <v>12</v>
      </c>
      <c r="I422" t="str">
        <f t="shared" si="6"/>
        <v>High Usage</v>
      </c>
    </row>
    <row r="423" spans="1:9" x14ac:dyDescent="0.3">
      <c r="A423">
        <v>10422</v>
      </c>
      <c r="B423">
        <v>8</v>
      </c>
      <c r="C423" s="2">
        <v>44929</v>
      </c>
      <c r="D423" s="2" t="str">
        <f>TEXT(Table3[[#This Row],[usage_date]],"mmmm")</f>
        <v>January</v>
      </c>
      <c r="E423" s="9">
        <f>YEAR(Table3[[#This Row],[usage_date]])</f>
        <v>2023</v>
      </c>
      <c r="F423" s="14">
        <v>0.01</v>
      </c>
      <c r="G423">
        <v>89</v>
      </c>
      <c r="H423" t="s">
        <v>12</v>
      </c>
      <c r="I423" t="str">
        <f t="shared" si="6"/>
        <v>Normal Usage</v>
      </c>
    </row>
    <row r="424" spans="1:9" x14ac:dyDescent="0.3">
      <c r="A424">
        <v>10423</v>
      </c>
      <c r="B424">
        <v>320</v>
      </c>
      <c r="C424" s="2">
        <v>44655</v>
      </c>
      <c r="D424" s="2" t="str">
        <f>TEXT(Table3[[#This Row],[usage_date]],"mmmm")</f>
        <v>April</v>
      </c>
      <c r="E424" s="9">
        <f>YEAR(Table3[[#This Row],[usage_date]])</f>
        <v>2022</v>
      </c>
      <c r="F424" s="14">
        <v>0.71</v>
      </c>
      <c r="G424">
        <v>212</v>
      </c>
      <c r="H424" t="s">
        <v>13</v>
      </c>
      <c r="I424" t="str">
        <f t="shared" si="6"/>
        <v>Normal Usage</v>
      </c>
    </row>
    <row r="425" spans="1:9" x14ac:dyDescent="0.3">
      <c r="A425">
        <v>10424</v>
      </c>
      <c r="B425">
        <v>138</v>
      </c>
      <c r="C425" s="2">
        <v>44729</v>
      </c>
      <c r="D425" s="2" t="str">
        <f>TEXT(Table3[[#This Row],[usage_date]],"mmmm")</f>
        <v>June</v>
      </c>
      <c r="E425" s="9">
        <f>YEAR(Table3[[#This Row],[usage_date]])</f>
        <v>2022</v>
      </c>
      <c r="F425" s="14">
        <v>6.57</v>
      </c>
      <c r="G425">
        <v>60</v>
      </c>
      <c r="H425" t="s">
        <v>12</v>
      </c>
      <c r="I425" t="str">
        <f t="shared" si="6"/>
        <v>High Usage</v>
      </c>
    </row>
    <row r="426" spans="1:9" x14ac:dyDescent="0.3">
      <c r="A426">
        <v>10425</v>
      </c>
      <c r="B426">
        <v>38</v>
      </c>
      <c r="C426" s="2">
        <v>45276</v>
      </c>
      <c r="D426" s="2" t="str">
        <f>TEXT(Table3[[#This Row],[usage_date]],"mmmm")</f>
        <v>December</v>
      </c>
      <c r="E426" s="9">
        <f>YEAR(Table3[[#This Row],[usage_date]])</f>
        <v>2023</v>
      </c>
      <c r="F426" s="14">
        <v>6.73</v>
      </c>
      <c r="G426">
        <v>219</v>
      </c>
      <c r="H426" t="s">
        <v>12</v>
      </c>
      <c r="I426" t="str">
        <f t="shared" si="6"/>
        <v>High Usage</v>
      </c>
    </row>
    <row r="427" spans="1:9" x14ac:dyDescent="0.3">
      <c r="A427">
        <v>10426</v>
      </c>
      <c r="B427">
        <v>111</v>
      </c>
      <c r="C427" s="2">
        <v>44902</v>
      </c>
      <c r="D427" s="2" t="str">
        <f>TEXT(Table3[[#This Row],[usage_date]],"mmmm")</f>
        <v>December</v>
      </c>
      <c r="E427" s="9">
        <f>YEAR(Table3[[#This Row],[usage_date]])</f>
        <v>2022</v>
      </c>
      <c r="F427" s="14">
        <v>3.19</v>
      </c>
      <c r="G427">
        <v>60</v>
      </c>
      <c r="H427" t="s">
        <v>12</v>
      </c>
      <c r="I427" t="str">
        <f t="shared" si="6"/>
        <v>Normal Usage</v>
      </c>
    </row>
    <row r="428" spans="1:9" x14ac:dyDescent="0.3">
      <c r="A428">
        <v>10427</v>
      </c>
      <c r="B428">
        <v>480</v>
      </c>
      <c r="C428" s="2">
        <v>45222</v>
      </c>
      <c r="D428" s="2" t="str">
        <f>TEXT(Table3[[#This Row],[usage_date]],"mmmm")</f>
        <v>October</v>
      </c>
      <c r="E428" s="9">
        <f>YEAR(Table3[[#This Row],[usage_date]])</f>
        <v>2023</v>
      </c>
      <c r="F428" s="14">
        <v>3.63</v>
      </c>
      <c r="G428">
        <v>165</v>
      </c>
      <c r="H428" t="s">
        <v>12</v>
      </c>
      <c r="I428" t="str">
        <f t="shared" si="6"/>
        <v>Normal Usage</v>
      </c>
    </row>
    <row r="429" spans="1:9" x14ac:dyDescent="0.3">
      <c r="A429">
        <v>10428</v>
      </c>
      <c r="B429">
        <v>368</v>
      </c>
      <c r="C429" s="2">
        <v>45256</v>
      </c>
      <c r="D429" s="2" t="str">
        <f>TEXT(Table3[[#This Row],[usage_date]],"mmmm")</f>
        <v>November</v>
      </c>
      <c r="E429" s="9">
        <f>YEAR(Table3[[#This Row],[usage_date]])</f>
        <v>2023</v>
      </c>
      <c r="F429" s="14">
        <v>0.24</v>
      </c>
      <c r="G429">
        <v>11</v>
      </c>
      <c r="H429" t="s">
        <v>12</v>
      </c>
      <c r="I429" t="str">
        <f t="shared" si="6"/>
        <v>Normal Usage</v>
      </c>
    </row>
    <row r="430" spans="1:9" x14ac:dyDescent="0.3">
      <c r="A430">
        <v>10429</v>
      </c>
      <c r="B430">
        <v>220</v>
      </c>
      <c r="C430" s="2">
        <v>44713</v>
      </c>
      <c r="D430" s="2" t="str">
        <f>TEXT(Table3[[#This Row],[usage_date]],"mmmm")</f>
        <v>June</v>
      </c>
      <c r="E430" s="9">
        <f>YEAR(Table3[[#This Row],[usage_date]])</f>
        <v>2022</v>
      </c>
      <c r="F430" s="14">
        <v>1.8</v>
      </c>
      <c r="G430">
        <v>215</v>
      </c>
      <c r="H430" t="s">
        <v>12</v>
      </c>
      <c r="I430" t="str">
        <f t="shared" si="6"/>
        <v>Normal Usage</v>
      </c>
    </row>
    <row r="431" spans="1:9" x14ac:dyDescent="0.3">
      <c r="A431">
        <v>10430</v>
      </c>
      <c r="B431">
        <v>337</v>
      </c>
      <c r="C431" s="2">
        <v>45147</v>
      </c>
      <c r="D431" s="2" t="str">
        <f>TEXT(Table3[[#This Row],[usage_date]],"mmmm")</f>
        <v>August</v>
      </c>
      <c r="E431" s="9">
        <f>YEAR(Table3[[#This Row],[usage_date]])</f>
        <v>2023</v>
      </c>
      <c r="F431" s="14">
        <v>0.66</v>
      </c>
      <c r="G431">
        <v>76</v>
      </c>
      <c r="H431" t="s">
        <v>12</v>
      </c>
      <c r="I431" t="str">
        <f t="shared" si="6"/>
        <v>Normal Usage</v>
      </c>
    </row>
    <row r="432" spans="1:9" x14ac:dyDescent="0.3">
      <c r="A432">
        <v>10431</v>
      </c>
      <c r="B432">
        <v>223</v>
      </c>
      <c r="C432" s="2">
        <v>45438</v>
      </c>
      <c r="D432" s="2" t="str">
        <f>TEXT(Table3[[#This Row],[usage_date]],"mmmm")</f>
        <v>May</v>
      </c>
      <c r="E432" s="9">
        <f>YEAR(Table3[[#This Row],[usage_date]])</f>
        <v>2024</v>
      </c>
      <c r="F432" s="14">
        <v>0.5</v>
      </c>
      <c r="G432">
        <v>231</v>
      </c>
      <c r="H432" t="s">
        <v>12</v>
      </c>
      <c r="I432" t="str">
        <f t="shared" si="6"/>
        <v>Normal Usage</v>
      </c>
    </row>
    <row r="433" spans="1:9" x14ac:dyDescent="0.3">
      <c r="A433">
        <v>10432</v>
      </c>
      <c r="B433">
        <v>136</v>
      </c>
      <c r="C433" s="2">
        <v>44835</v>
      </c>
      <c r="D433" s="2" t="str">
        <f>TEXT(Table3[[#This Row],[usage_date]],"mmmm")</f>
        <v>October</v>
      </c>
      <c r="E433" s="9">
        <f>YEAR(Table3[[#This Row],[usage_date]])</f>
        <v>2022</v>
      </c>
      <c r="F433" s="14">
        <v>4.16</v>
      </c>
      <c r="G433">
        <v>111</v>
      </c>
      <c r="H433" t="s">
        <v>13</v>
      </c>
      <c r="I433" t="str">
        <f t="shared" si="6"/>
        <v>Normal Usage</v>
      </c>
    </row>
    <row r="434" spans="1:9" x14ac:dyDescent="0.3">
      <c r="A434">
        <v>10433</v>
      </c>
      <c r="B434">
        <v>256</v>
      </c>
      <c r="C434" s="2">
        <v>45115</v>
      </c>
      <c r="D434" s="2" t="str">
        <f>TEXT(Table3[[#This Row],[usage_date]],"mmmm")</f>
        <v>July</v>
      </c>
      <c r="E434" s="9">
        <f>YEAR(Table3[[#This Row],[usage_date]])</f>
        <v>2023</v>
      </c>
      <c r="F434" s="14">
        <v>0.36</v>
      </c>
      <c r="G434">
        <v>65</v>
      </c>
      <c r="H434" t="s">
        <v>12</v>
      </c>
      <c r="I434" t="str">
        <f t="shared" si="6"/>
        <v>Normal Usage</v>
      </c>
    </row>
    <row r="435" spans="1:9" x14ac:dyDescent="0.3">
      <c r="A435">
        <v>10434</v>
      </c>
      <c r="B435">
        <v>360</v>
      </c>
      <c r="C435" s="2">
        <v>45057</v>
      </c>
      <c r="D435" s="2" t="str">
        <f>TEXT(Table3[[#This Row],[usage_date]],"mmmm")</f>
        <v>May</v>
      </c>
      <c r="E435" s="9">
        <f>YEAR(Table3[[#This Row],[usage_date]])</f>
        <v>2023</v>
      </c>
      <c r="F435" s="14">
        <v>1.58</v>
      </c>
      <c r="G435">
        <v>181</v>
      </c>
      <c r="H435" t="s">
        <v>12</v>
      </c>
      <c r="I435" t="str">
        <f t="shared" si="6"/>
        <v>Normal Usage</v>
      </c>
    </row>
    <row r="436" spans="1:9" x14ac:dyDescent="0.3">
      <c r="A436">
        <v>10435</v>
      </c>
      <c r="B436">
        <v>409</v>
      </c>
      <c r="C436" s="2">
        <v>45285</v>
      </c>
      <c r="D436" s="2" t="str">
        <f>TEXT(Table3[[#This Row],[usage_date]],"mmmm")</f>
        <v>December</v>
      </c>
      <c r="E436" s="9">
        <f>YEAR(Table3[[#This Row],[usage_date]])</f>
        <v>2023</v>
      </c>
      <c r="F436" s="14">
        <v>6.97</v>
      </c>
      <c r="G436">
        <v>203</v>
      </c>
      <c r="H436" t="s">
        <v>12</v>
      </c>
      <c r="I436" t="str">
        <f t="shared" si="6"/>
        <v>High Usage</v>
      </c>
    </row>
    <row r="437" spans="1:9" x14ac:dyDescent="0.3">
      <c r="A437">
        <v>10436</v>
      </c>
      <c r="B437">
        <v>329</v>
      </c>
      <c r="C437" s="2">
        <v>44662</v>
      </c>
      <c r="D437" s="2" t="str">
        <f>TEXT(Table3[[#This Row],[usage_date]],"mmmm")</f>
        <v>April</v>
      </c>
      <c r="E437" s="9">
        <f>YEAR(Table3[[#This Row],[usage_date]])</f>
        <v>2022</v>
      </c>
      <c r="F437" s="14">
        <v>0.51</v>
      </c>
      <c r="G437">
        <v>205</v>
      </c>
      <c r="H437" t="s">
        <v>12</v>
      </c>
      <c r="I437" t="str">
        <f t="shared" si="6"/>
        <v>Normal Usage</v>
      </c>
    </row>
    <row r="438" spans="1:9" x14ac:dyDescent="0.3">
      <c r="A438">
        <v>10437</v>
      </c>
      <c r="B438">
        <v>450</v>
      </c>
      <c r="C438" s="2">
        <v>45118</v>
      </c>
      <c r="D438" s="2" t="str">
        <f>TEXT(Table3[[#This Row],[usage_date]],"mmmm")</f>
        <v>July</v>
      </c>
      <c r="E438" s="9">
        <f>YEAR(Table3[[#This Row],[usage_date]])</f>
        <v>2023</v>
      </c>
      <c r="F438" s="14">
        <v>9.5399999999999991</v>
      </c>
      <c r="G438">
        <v>285</v>
      </c>
      <c r="H438" t="s">
        <v>12</v>
      </c>
      <c r="I438" t="str">
        <f t="shared" si="6"/>
        <v>High Usage</v>
      </c>
    </row>
    <row r="439" spans="1:9" x14ac:dyDescent="0.3">
      <c r="A439">
        <v>10438</v>
      </c>
      <c r="B439">
        <v>463</v>
      </c>
      <c r="C439" s="2">
        <v>44643</v>
      </c>
      <c r="D439" s="2" t="str">
        <f>TEXT(Table3[[#This Row],[usage_date]],"mmmm")</f>
        <v>March</v>
      </c>
      <c r="E439" s="9">
        <f>YEAR(Table3[[#This Row],[usage_date]])</f>
        <v>2022</v>
      </c>
      <c r="F439" s="14">
        <v>12.91</v>
      </c>
      <c r="G439">
        <v>104</v>
      </c>
      <c r="H439" t="s">
        <v>12</v>
      </c>
      <c r="I439" t="str">
        <f t="shared" si="6"/>
        <v>High Usage</v>
      </c>
    </row>
    <row r="440" spans="1:9" x14ac:dyDescent="0.3">
      <c r="A440">
        <v>10439</v>
      </c>
      <c r="B440">
        <v>434</v>
      </c>
      <c r="C440" s="2">
        <v>45090</v>
      </c>
      <c r="D440" s="2" t="str">
        <f>TEXT(Table3[[#This Row],[usage_date]],"mmmm")</f>
        <v>June</v>
      </c>
      <c r="E440" s="9">
        <f>YEAR(Table3[[#This Row],[usage_date]])</f>
        <v>2023</v>
      </c>
      <c r="F440" s="14">
        <v>2.0299999999999998</v>
      </c>
      <c r="G440">
        <v>241</v>
      </c>
      <c r="H440" t="s">
        <v>12</v>
      </c>
      <c r="I440" t="str">
        <f t="shared" si="6"/>
        <v>Normal Usage</v>
      </c>
    </row>
    <row r="441" spans="1:9" x14ac:dyDescent="0.3">
      <c r="A441">
        <v>10440</v>
      </c>
      <c r="B441">
        <v>451</v>
      </c>
      <c r="C441" s="2">
        <v>44634</v>
      </c>
      <c r="D441" s="2" t="str">
        <f>TEXT(Table3[[#This Row],[usage_date]],"mmmm")</f>
        <v>March</v>
      </c>
      <c r="E441" s="9">
        <f>YEAR(Table3[[#This Row],[usage_date]])</f>
        <v>2022</v>
      </c>
      <c r="F441" s="14">
        <v>0.47</v>
      </c>
      <c r="G441">
        <v>234</v>
      </c>
      <c r="H441" t="s">
        <v>12</v>
      </c>
      <c r="I441" t="str">
        <f t="shared" si="6"/>
        <v>Normal Usage</v>
      </c>
    </row>
    <row r="442" spans="1:9" x14ac:dyDescent="0.3">
      <c r="A442">
        <v>10441</v>
      </c>
      <c r="B442">
        <v>49</v>
      </c>
      <c r="C442" s="2">
        <v>44575</v>
      </c>
      <c r="D442" s="2" t="str">
        <f>TEXT(Table3[[#This Row],[usage_date]],"mmmm")</f>
        <v>January</v>
      </c>
      <c r="E442" s="9">
        <f>YEAR(Table3[[#This Row],[usage_date]])</f>
        <v>2022</v>
      </c>
      <c r="F442" s="14">
        <v>0.95</v>
      </c>
      <c r="G442">
        <v>175</v>
      </c>
      <c r="H442" t="s">
        <v>13</v>
      </c>
      <c r="I442" t="str">
        <f t="shared" si="6"/>
        <v>Normal Usage</v>
      </c>
    </row>
    <row r="443" spans="1:9" x14ac:dyDescent="0.3">
      <c r="A443">
        <v>10442</v>
      </c>
      <c r="B443">
        <v>292</v>
      </c>
      <c r="C443" s="2">
        <v>44994</v>
      </c>
      <c r="D443" s="2" t="str">
        <f>TEXT(Table3[[#This Row],[usage_date]],"mmmm")</f>
        <v>March</v>
      </c>
      <c r="E443" s="9">
        <f>YEAR(Table3[[#This Row],[usage_date]])</f>
        <v>2023</v>
      </c>
      <c r="F443" s="14">
        <v>1.38</v>
      </c>
      <c r="G443">
        <v>210</v>
      </c>
      <c r="H443" t="s">
        <v>12</v>
      </c>
      <c r="I443" t="str">
        <f t="shared" si="6"/>
        <v>Normal Usage</v>
      </c>
    </row>
    <row r="444" spans="1:9" x14ac:dyDescent="0.3">
      <c r="A444">
        <v>10443</v>
      </c>
      <c r="B444">
        <v>382</v>
      </c>
      <c r="C444" s="2">
        <v>44718</v>
      </c>
      <c r="D444" s="2" t="str">
        <f>TEXT(Table3[[#This Row],[usage_date]],"mmmm")</f>
        <v>June</v>
      </c>
      <c r="E444" s="9">
        <f>YEAR(Table3[[#This Row],[usage_date]])</f>
        <v>2022</v>
      </c>
      <c r="F444" s="14">
        <v>0.93</v>
      </c>
      <c r="G444">
        <v>30</v>
      </c>
      <c r="H444" t="s">
        <v>12</v>
      </c>
      <c r="I444" t="str">
        <f t="shared" si="6"/>
        <v>Normal Usage</v>
      </c>
    </row>
    <row r="445" spans="1:9" x14ac:dyDescent="0.3">
      <c r="A445">
        <v>10444</v>
      </c>
      <c r="B445">
        <v>324</v>
      </c>
      <c r="C445" s="2">
        <v>45296</v>
      </c>
      <c r="D445" s="2" t="str">
        <f>TEXT(Table3[[#This Row],[usage_date]],"mmmm")</f>
        <v>January</v>
      </c>
      <c r="E445" s="9">
        <f>YEAR(Table3[[#This Row],[usage_date]])</f>
        <v>2024</v>
      </c>
      <c r="F445" s="14">
        <v>0.82</v>
      </c>
      <c r="G445">
        <v>234</v>
      </c>
      <c r="H445" t="s">
        <v>12</v>
      </c>
      <c r="I445" t="str">
        <f t="shared" si="6"/>
        <v>Normal Usage</v>
      </c>
    </row>
    <row r="446" spans="1:9" x14ac:dyDescent="0.3">
      <c r="A446">
        <v>10445</v>
      </c>
      <c r="B446">
        <v>78</v>
      </c>
      <c r="C446" s="2">
        <v>44693</v>
      </c>
      <c r="D446" s="2" t="str">
        <f>TEXT(Table3[[#This Row],[usage_date]],"mmmm")</f>
        <v>May</v>
      </c>
      <c r="E446" s="9">
        <f>YEAR(Table3[[#This Row],[usage_date]])</f>
        <v>2022</v>
      </c>
      <c r="F446" s="14">
        <v>8.9600000000000009</v>
      </c>
      <c r="G446">
        <v>241</v>
      </c>
      <c r="H446" t="s">
        <v>13</v>
      </c>
      <c r="I446" t="str">
        <f t="shared" si="6"/>
        <v>High Usage</v>
      </c>
    </row>
    <row r="447" spans="1:9" x14ac:dyDescent="0.3">
      <c r="A447">
        <v>10446</v>
      </c>
      <c r="B447">
        <v>105</v>
      </c>
      <c r="C447" s="2">
        <v>44899</v>
      </c>
      <c r="D447" s="2" t="str">
        <f>TEXT(Table3[[#This Row],[usage_date]],"mmmm")</f>
        <v>December</v>
      </c>
      <c r="E447" s="9">
        <f>YEAR(Table3[[#This Row],[usage_date]])</f>
        <v>2022</v>
      </c>
      <c r="F447" s="14">
        <v>0.42</v>
      </c>
      <c r="G447">
        <v>152</v>
      </c>
      <c r="H447" t="s">
        <v>12</v>
      </c>
      <c r="I447" t="str">
        <f t="shared" si="6"/>
        <v>Normal Usage</v>
      </c>
    </row>
    <row r="448" spans="1:9" x14ac:dyDescent="0.3">
      <c r="A448">
        <v>10447</v>
      </c>
      <c r="B448">
        <v>169</v>
      </c>
      <c r="C448" s="2">
        <v>44965</v>
      </c>
      <c r="D448" s="2" t="str">
        <f>TEXT(Table3[[#This Row],[usage_date]],"mmmm")</f>
        <v>February</v>
      </c>
      <c r="E448" s="9">
        <f>YEAR(Table3[[#This Row],[usage_date]])</f>
        <v>2023</v>
      </c>
      <c r="F448" s="14">
        <v>3.3</v>
      </c>
      <c r="G448">
        <v>195</v>
      </c>
      <c r="H448" t="s">
        <v>13</v>
      </c>
      <c r="I448" t="str">
        <f t="shared" si="6"/>
        <v>Normal Usage</v>
      </c>
    </row>
    <row r="449" spans="1:9" x14ac:dyDescent="0.3">
      <c r="A449">
        <v>10448</v>
      </c>
      <c r="B449">
        <v>217</v>
      </c>
      <c r="C449" s="2">
        <v>44937</v>
      </c>
      <c r="D449" s="2" t="str">
        <f>TEXT(Table3[[#This Row],[usage_date]],"mmmm")</f>
        <v>January</v>
      </c>
      <c r="E449" s="9">
        <f>YEAR(Table3[[#This Row],[usage_date]])</f>
        <v>2023</v>
      </c>
      <c r="F449" s="14">
        <v>0</v>
      </c>
      <c r="G449">
        <v>268</v>
      </c>
      <c r="H449" t="s">
        <v>12</v>
      </c>
      <c r="I449" t="str">
        <f t="shared" si="6"/>
        <v>Normal Usage</v>
      </c>
    </row>
    <row r="450" spans="1:9" x14ac:dyDescent="0.3">
      <c r="A450">
        <v>10449</v>
      </c>
      <c r="B450">
        <v>378</v>
      </c>
      <c r="C450" s="2">
        <v>45449</v>
      </c>
      <c r="D450" s="2" t="str">
        <f>TEXT(Table3[[#This Row],[usage_date]],"mmmm")</f>
        <v>June</v>
      </c>
      <c r="E450" s="9">
        <f>YEAR(Table3[[#This Row],[usage_date]])</f>
        <v>2024</v>
      </c>
      <c r="F450" s="14">
        <v>2.27</v>
      </c>
      <c r="G450">
        <v>169</v>
      </c>
      <c r="H450" t="s">
        <v>12</v>
      </c>
      <c r="I450" t="str">
        <f t="shared" ref="I450:I513" si="7">IF(F450&gt;6,"High Usage","Normal Usage")</f>
        <v>Normal Usage</v>
      </c>
    </row>
    <row r="451" spans="1:9" x14ac:dyDescent="0.3">
      <c r="A451">
        <v>10450</v>
      </c>
      <c r="B451">
        <v>119</v>
      </c>
      <c r="C451" s="2">
        <v>45120</v>
      </c>
      <c r="D451" s="2" t="str">
        <f>TEXT(Table3[[#This Row],[usage_date]],"mmmm")</f>
        <v>July</v>
      </c>
      <c r="E451" s="9">
        <f>YEAR(Table3[[#This Row],[usage_date]])</f>
        <v>2023</v>
      </c>
      <c r="F451" s="14">
        <v>6.19</v>
      </c>
      <c r="G451">
        <v>231</v>
      </c>
      <c r="H451" t="s">
        <v>12</v>
      </c>
      <c r="I451" t="str">
        <f t="shared" si="7"/>
        <v>High Usage</v>
      </c>
    </row>
    <row r="452" spans="1:9" x14ac:dyDescent="0.3">
      <c r="A452">
        <v>10451</v>
      </c>
      <c r="B452">
        <v>190</v>
      </c>
      <c r="C452" s="2">
        <v>44668</v>
      </c>
      <c r="D452" s="2" t="str">
        <f>TEXT(Table3[[#This Row],[usage_date]],"mmmm")</f>
        <v>April</v>
      </c>
      <c r="E452" s="9">
        <f>YEAR(Table3[[#This Row],[usage_date]])</f>
        <v>2022</v>
      </c>
      <c r="F452" s="14">
        <v>0.85</v>
      </c>
      <c r="G452">
        <v>183</v>
      </c>
      <c r="H452" t="s">
        <v>12</v>
      </c>
      <c r="I452" t="str">
        <f t="shared" si="7"/>
        <v>Normal Usage</v>
      </c>
    </row>
    <row r="453" spans="1:9" x14ac:dyDescent="0.3">
      <c r="A453">
        <v>10452</v>
      </c>
      <c r="B453">
        <v>255</v>
      </c>
      <c r="C453" s="2">
        <v>45181</v>
      </c>
      <c r="D453" s="2" t="str">
        <f>TEXT(Table3[[#This Row],[usage_date]],"mmmm")</f>
        <v>September</v>
      </c>
      <c r="E453" s="9">
        <f>YEAR(Table3[[#This Row],[usage_date]])</f>
        <v>2023</v>
      </c>
      <c r="F453" s="14">
        <v>0.51</v>
      </c>
      <c r="G453">
        <v>274</v>
      </c>
      <c r="H453" t="s">
        <v>12</v>
      </c>
      <c r="I453" t="str">
        <f t="shared" si="7"/>
        <v>Normal Usage</v>
      </c>
    </row>
    <row r="454" spans="1:9" x14ac:dyDescent="0.3">
      <c r="A454">
        <v>10453</v>
      </c>
      <c r="B454">
        <v>370</v>
      </c>
      <c r="C454" s="2">
        <v>44826</v>
      </c>
      <c r="D454" s="2" t="str">
        <f>TEXT(Table3[[#This Row],[usage_date]],"mmmm")</f>
        <v>September</v>
      </c>
      <c r="E454" s="9">
        <f>YEAR(Table3[[#This Row],[usage_date]])</f>
        <v>2022</v>
      </c>
      <c r="F454" s="14">
        <v>2.64</v>
      </c>
      <c r="G454">
        <v>31</v>
      </c>
      <c r="H454" t="s">
        <v>12</v>
      </c>
      <c r="I454" t="str">
        <f t="shared" si="7"/>
        <v>Normal Usage</v>
      </c>
    </row>
    <row r="455" spans="1:9" x14ac:dyDescent="0.3">
      <c r="A455">
        <v>10454</v>
      </c>
      <c r="B455">
        <v>266</v>
      </c>
      <c r="C455" s="2">
        <v>44766</v>
      </c>
      <c r="D455" s="2" t="str">
        <f>TEXT(Table3[[#This Row],[usage_date]],"mmmm")</f>
        <v>July</v>
      </c>
      <c r="E455" s="9">
        <f>YEAR(Table3[[#This Row],[usage_date]])</f>
        <v>2022</v>
      </c>
      <c r="F455" s="14">
        <v>3.12</v>
      </c>
      <c r="G455">
        <v>176</v>
      </c>
      <c r="H455" t="s">
        <v>12</v>
      </c>
      <c r="I455" t="str">
        <f t="shared" si="7"/>
        <v>Normal Usage</v>
      </c>
    </row>
    <row r="456" spans="1:9" x14ac:dyDescent="0.3">
      <c r="A456">
        <v>10455</v>
      </c>
      <c r="B456">
        <v>149</v>
      </c>
      <c r="C456" s="2">
        <v>44640</v>
      </c>
      <c r="D456" s="2" t="str">
        <f>TEXT(Table3[[#This Row],[usage_date]],"mmmm")</f>
        <v>March</v>
      </c>
      <c r="E456" s="9">
        <f>YEAR(Table3[[#This Row],[usage_date]])</f>
        <v>2022</v>
      </c>
      <c r="F456" s="14">
        <v>2.91</v>
      </c>
      <c r="G456">
        <v>64</v>
      </c>
      <c r="H456" t="s">
        <v>12</v>
      </c>
      <c r="I456" t="str">
        <f t="shared" si="7"/>
        <v>Normal Usage</v>
      </c>
    </row>
    <row r="457" spans="1:9" x14ac:dyDescent="0.3">
      <c r="A457">
        <v>10456</v>
      </c>
      <c r="B457">
        <v>164</v>
      </c>
      <c r="C457" s="2">
        <v>44716</v>
      </c>
      <c r="D457" s="2" t="str">
        <f>TEXT(Table3[[#This Row],[usage_date]],"mmmm")</f>
        <v>June</v>
      </c>
      <c r="E457" s="9">
        <f>YEAR(Table3[[#This Row],[usage_date]])</f>
        <v>2022</v>
      </c>
      <c r="F457" s="14">
        <v>0.96</v>
      </c>
      <c r="G457">
        <v>197</v>
      </c>
      <c r="H457" t="s">
        <v>12</v>
      </c>
      <c r="I457" t="str">
        <f t="shared" si="7"/>
        <v>Normal Usage</v>
      </c>
    </row>
    <row r="458" spans="1:9" x14ac:dyDescent="0.3">
      <c r="A458">
        <v>10457</v>
      </c>
      <c r="B458">
        <v>140</v>
      </c>
      <c r="C458" s="2">
        <v>45344</v>
      </c>
      <c r="D458" s="2" t="str">
        <f>TEXT(Table3[[#This Row],[usage_date]],"mmmm")</f>
        <v>February</v>
      </c>
      <c r="E458" s="9">
        <f>YEAR(Table3[[#This Row],[usage_date]])</f>
        <v>2024</v>
      </c>
      <c r="F458" s="14">
        <v>0.73</v>
      </c>
      <c r="G458">
        <v>26</v>
      </c>
      <c r="H458" t="s">
        <v>13</v>
      </c>
      <c r="I458" t="str">
        <f t="shared" si="7"/>
        <v>Normal Usage</v>
      </c>
    </row>
    <row r="459" spans="1:9" x14ac:dyDescent="0.3">
      <c r="A459">
        <v>10458</v>
      </c>
      <c r="B459">
        <v>347</v>
      </c>
      <c r="C459" s="2">
        <v>44808</v>
      </c>
      <c r="D459" s="2" t="str">
        <f>TEXT(Table3[[#This Row],[usage_date]],"mmmm")</f>
        <v>September</v>
      </c>
      <c r="E459" s="9">
        <f>YEAR(Table3[[#This Row],[usage_date]])</f>
        <v>2022</v>
      </c>
      <c r="F459" s="14">
        <v>7.8</v>
      </c>
      <c r="G459">
        <v>150</v>
      </c>
      <c r="H459" t="s">
        <v>13</v>
      </c>
      <c r="I459" t="str">
        <f t="shared" si="7"/>
        <v>High Usage</v>
      </c>
    </row>
    <row r="460" spans="1:9" x14ac:dyDescent="0.3">
      <c r="A460">
        <v>10459</v>
      </c>
      <c r="B460">
        <v>488</v>
      </c>
      <c r="C460" s="2">
        <v>45092</v>
      </c>
      <c r="D460" s="2" t="str">
        <f>TEXT(Table3[[#This Row],[usage_date]],"mmmm")</f>
        <v>June</v>
      </c>
      <c r="E460" s="9">
        <f>YEAR(Table3[[#This Row],[usage_date]])</f>
        <v>2023</v>
      </c>
      <c r="F460" s="14">
        <v>6.42</v>
      </c>
      <c r="G460">
        <v>267</v>
      </c>
      <c r="H460" t="s">
        <v>12</v>
      </c>
      <c r="I460" t="str">
        <f t="shared" si="7"/>
        <v>High Usage</v>
      </c>
    </row>
    <row r="461" spans="1:9" x14ac:dyDescent="0.3">
      <c r="A461">
        <v>10460</v>
      </c>
      <c r="B461">
        <v>258</v>
      </c>
      <c r="C461" s="2">
        <v>45419</v>
      </c>
      <c r="D461" s="2" t="str">
        <f>TEXT(Table3[[#This Row],[usage_date]],"mmmm")</f>
        <v>May</v>
      </c>
      <c r="E461" s="9">
        <f>YEAR(Table3[[#This Row],[usage_date]])</f>
        <v>2024</v>
      </c>
      <c r="F461" s="14">
        <v>1.53</v>
      </c>
      <c r="G461">
        <v>84</v>
      </c>
      <c r="H461" t="s">
        <v>13</v>
      </c>
      <c r="I461" t="str">
        <f t="shared" si="7"/>
        <v>Normal Usage</v>
      </c>
    </row>
    <row r="462" spans="1:9" x14ac:dyDescent="0.3">
      <c r="A462">
        <v>10461</v>
      </c>
      <c r="B462">
        <v>374</v>
      </c>
      <c r="C462" s="2">
        <v>45099</v>
      </c>
      <c r="D462" s="2" t="str">
        <f>TEXT(Table3[[#This Row],[usage_date]],"mmmm")</f>
        <v>June</v>
      </c>
      <c r="E462" s="9">
        <f>YEAR(Table3[[#This Row],[usage_date]])</f>
        <v>2023</v>
      </c>
      <c r="F462" s="14">
        <v>4.68</v>
      </c>
      <c r="G462">
        <v>65</v>
      </c>
      <c r="H462" t="s">
        <v>12</v>
      </c>
      <c r="I462" t="str">
        <f t="shared" si="7"/>
        <v>Normal Usage</v>
      </c>
    </row>
    <row r="463" spans="1:9" x14ac:dyDescent="0.3">
      <c r="A463">
        <v>10462</v>
      </c>
      <c r="B463">
        <v>269</v>
      </c>
      <c r="C463" s="2">
        <v>45290</v>
      </c>
      <c r="D463" s="2" t="str">
        <f>TEXT(Table3[[#This Row],[usage_date]],"mmmm")</f>
        <v>December</v>
      </c>
      <c r="E463" s="9">
        <f>YEAR(Table3[[#This Row],[usage_date]])</f>
        <v>2023</v>
      </c>
      <c r="F463" s="14">
        <v>1.51</v>
      </c>
      <c r="G463">
        <v>132</v>
      </c>
      <c r="H463" t="s">
        <v>12</v>
      </c>
      <c r="I463" t="str">
        <f t="shared" si="7"/>
        <v>Normal Usage</v>
      </c>
    </row>
    <row r="464" spans="1:9" x14ac:dyDescent="0.3">
      <c r="A464">
        <v>10463</v>
      </c>
      <c r="B464">
        <v>181</v>
      </c>
      <c r="C464" s="2">
        <v>44715</v>
      </c>
      <c r="D464" s="2" t="str">
        <f>TEXT(Table3[[#This Row],[usage_date]],"mmmm")</f>
        <v>June</v>
      </c>
      <c r="E464" s="9">
        <f>YEAR(Table3[[#This Row],[usage_date]])</f>
        <v>2022</v>
      </c>
      <c r="F464" s="14">
        <v>1.38</v>
      </c>
      <c r="G464">
        <v>81</v>
      </c>
      <c r="H464" t="s">
        <v>12</v>
      </c>
      <c r="I464" t="str">
        <f t="shared" si="7"/>
        <v>Normal Usage</v>
      </c>
    </row>
    <row r="465" spans="1:9" x14ac:dyDescent="0.3">
      <c r="A465">
        <v>10464</v>
      </c>
      <c r="B465">
        <v>160</v>
      </c>
      <c r="C465" s="2">
        <v>44715</v>
      </c>
      <c r="D465" s="2" t="str">
        <f>TEXT(Table3[[#This Row],[usage_date]],"mmmm")</f>
        <v>June</v>
      </c>
      <c r="E465" s="9">
        <f>YEAR(Table3[[#This Row],[usage_date]])</f>
        <v>2022</v>
      </c>
      <c r="F465" s="14">
        <v>0.43</v>
      </c>
      <c r="G465">
        <v>97</v>
      </c>
      <c r="H465" t="s">
        <v>12</v>
      </c>
      <c r="I465" t="str">
        <f t="shared" si="7"/>
        <v>Normal Usage</v>
      </c>
    </row>
    <row r="466" spans="1:9" x14ac:dyDescent="0.3">
      <c r="A466">
        <v>10465</v>
      </c>
      <c r="B466">
        <v>351</v>
      </c>
      <c r="C466" s="2">
        <v>45247</v>
      </c>
      <c r="D466" s="2" t="str">
        <f>TEXT(Table3[[#This Row],[usage_date]],"mmmm")</f>
        <v>November</v>
      </c>
      <c r="E466" s="9">
        <f>YEAR(Table3[[#This Row],[usage_date]])</f>
        <v>2023</v>
      </c>
      <c r="F466" s="14">
        <v>1.39</v>
      </c>
      <c r="G466">
        <v>72</v>
      </c>
      <c r="H466" t="s">
        <v>12</v>
      </c>
      <c r="I466" t="str">
        <f t="shared" si="7"/>
        <v>Normal Usage</v>
      </c>
    </row>
    <row r="467" spans="1:9" x14ac:dyDescent="0.3">
      <c r="A467">
        <v>10466</v>
      </c>
      <c r="B467">
        <v>400</v>
      </c>
      <c r="C467" s="2">
        <v>44653</v>
      </c>
      <c r="D467" s="2" t="str">
        <f>TEXT(Table3[[#This Row],[usage_date]],"mmmm")</f>
        <v>April</v>
      </c>
      <c r="E467" s="9">
        <f>YEAR(Table3[[#This Row],[usage_date]])</f>
        <v>2022</v>
      </c>
      <c r="F467" s="14">
        <v>1.93</v>
      </c>
      <c r="G467">
        <v>29</v>
      </c>
      <c r="H467" t="s">
        <v>12</v>
      </c>
      <c r="I467" t="str">
        <f t="shared" si="7"/>
        <v>Normal Usage</v>
      </c>
    </row>
    <row r="468" spans="1:9" x14ac:dyDescent="0.3">
      <c r="A468">
        <v>10467</v>
      </c>
      <c r="B468">
        <v>288</v>
      </c>
      <c r="C468" s="2">
        <v>44994</v>
      </c>
      <c r="D468" s="2" t="str">
        <f>TEXT(Table3[[#This Row],[usage_date]],"mmmm")</f>
        <v>March</v>
      </c>
      <c r="E468" s="9">
        <f>YEAR(Table3[[#This Row],[usage_date]])</f>
        <v>2023</v>
      </c>
      <c r="F468" s="14">
        <v>0.06</v>
      </c>
      <c r="G468">
        <v>124</v>
      </c>
      <c r="H468" t="s">
        <v>12</v>
      </c>
      <c r="I468" t="str">
        <f t="shared" si="7"/>
        <v>Normal Usage</v>
      </c>
    </row>
    <row r="469" spans="1:9" x14ac:dyDescent="0.3">
      <c r="A469">
        <v>10468</v>
      </c>
      <c r="B469">
        <v>288</v>
      </c>
      <c r="C469" s="2">
        <v>44899</v>
      </c>
      <c r="D469" s="2" t="str">
        <f>TEXT(Table3[[#This Row],[usage_date]],"mmmm")</f>
        <v>December</v>
      </c>
      <c r="E469" s="9">
        <f>YEAR(Table3[[#This Row],[usage_date]])</f>
        <v>2022</v>
      </c>
      <c r="F469" s="14">
        <v>1.47</v>
      </c>
      <c r="G469">
        <v>209</v>
      </c>
      <c r="H469" t="s">
        <v>12</v>
      </c>
      <c r="I469" t="str">
        <f t="shared" si="7"/>
        <v>Normal Usage</v>
      </c>
    </row>
    <row r="470" spans="1:9" x14ac:dyDescent="0.3">
      <c r="A470">
        <v>10469</v>
      </c>
      <c r="B470">
        <v>380</v>
      </c>
      <c r="C470" s="2">
        <v>45041</v>
      </c>
      <c r="D470" s="2" t="str">
        <f>TEXT(Table3[[#This Row],[usage_date]],"mmmm")</f>
        <v>April</v>
      </c>
      <c r="E470" s="9">
        <f>YEAR(Table3[[#This Row],[usage_date]])</f>
        <v>2023</v>
      </c>
      <c r="F470" s="14">
        <v>3.8</v>
      </c>
      <c r="G470">
        <v>271</v>
      </c>
      <c r="H470" t="s">
        <v>13</v>
      </c>
      <c r="I470" t="str">
        <f t="shared" si="7"/>
        <v>Normal Usage</v>
      </c>
    </row>
    <row r="471" spans="1:9" x14ac:dyDescent="0.3">
      <c r="A471">
        <v>10470</v>
      </c>
      <c r="B471">
        <v>226</v>
      </c>
      <c r="C471" s="2">
        <v>45254</v>
      </c>
      <c r="D471" s="2" t="str">
        <f>TEXT(Table3[[#This Row],[usage_date]],"mmmm")</f>
        <v>November</v>
      </c>
      <c r="E471" s="9">
        <f>YEAR(Table3[[#This Row],[usage_date]])</f>
        <v>2023</v>
      </c>
      <c r="F471" s="14">
        <v>2.85</v>
      </c>
      <c r="G471">
        <v>212</v>
      </c>
      <c r="H471" t="s">
        <v>13</v>
      </c>
      <c r="I471" t="str">
        <f t="shared" si="7"/>
        <v>Normal Usage</v>
      </c>
    </row>
    <row r="472" spans="1:9" x14ac:dyDescent="0.3">
      <c r="A472">
        <v>10471</v>
      </c>
      <c r="B472">
        <v>11</v>
      </c>
      <c r="C472" s="2">
        <v>44692</v>
      </c>
      <c r="D472" s="2" t="str">
        <f>TEXT(Table3[[#This Row],[usage_date]],"mmmm")</f>
        <v>May</v>
      </c>
      <c r="E472" s="9">
        <f>YEAR(Table3[[#This Row],[usage_date]])</f>
        <v>2022</v>
      </c>
      <c r="F472" s="14">
        <v>2.52</v>
      </c>
      <c r="G472">
        <v>132</v>
      </c>
      <c r="H472" t="s">
        <v>12</v>
      </c>
      <c r="I472" t="str">
        <f t="shared" si="7"/>
        <v>Normal Usage</v>
      </c>
    </row>
    <row r="473" spans="1:9" x14ac:dyDescent="0.3">
      <c r="A473">
        <v>10472</v>
      </c>
      <c r="B473">
        <v>10</v>
      </c>
      <c r="C473" s="2">
        <v>45011</v>
      </c>
      <c r="D473" s="2" t="str">
        <f>TEXT(Table3[[#This Row],[usage_date]],"mmmm")</f>
        <v>March</v>
      </c>
      <c r="E473" s="9">
        <f>YEAR(Table3[[#This Row],[usage_date]])</f>
        <v>2023</v>
      </c>
      <c r="F473" s="14">
        <v>6.01</v>
      </c>
      <c r="G473">
        <v>156</v>
      </c>
      <c r="H473" t="s">
        <v>12</v>
      </c>
      <c r="I473" t="str">
        <f t="shared" si="7"/>
        <v>High Usage</v>
      </c>
    </row>
    <row r="474" spans="1:9" x14ac:dyDescent="0.3">
      <c r="A474">
        <v>10473</v>
      </c>
      <c r="B474">
        <v>271</v>
      </c>
      <c r="C474" s="2">
        <v>45371</v>
      </c>
      <c r="D474" s="2" t="str">
        <f>TEXT(Table3[[#This Row],[usage_date]],"mmmm")</f>
        <v>March</v>
      </c>
      <c r="E474" s="9">
        <f>YEAR(Table3[[#This Row],[usage_date]])</f>
        <v>2024</v>
      </c>
      <c r="F474" s="14">
        <v>0.05</v>
      </c>
      <c r="G474">
        <v>46</v>
      </c>
      <c r="H474" t="s">
        <v>12</v>
      </c>
      <c r="I474" t="str">
        <f t="shared" si="7"/>
        <v>Normal Usage</v>
      </c>
    </row>
    <row r="475" spans="1:9" x14ac:dyDescent="0.3">
      <c r="A475">
        <v>10474</v>
      </c>
      <c r="B475">
        <v>273</v>
      </c>
      <c r="C475" s="2">
        <v>45348</v>
      </c>
      <c r="D475" s="2" t="str">
        <f>TEXT(Table3[[#This Row],[usage_date]],"mmmm")</f>
        <v>February</v>
      </c>
      <c r="E475" s="9">
        <f>YEAR(Table3[[#This Row],[usage_date]])</f>
        <v>2024</v>
      </c>
      <c r="F475" s="14">
        <v>2.04</v>
      </c>
      <c r="G475">
        <v>21</v>
      </c>
      <c r="H475" t="s">
        <v>12</v>
      </c>
      <c r="I475" t="str">
        <f t="shared" si="7"/>
        <v>Normal Usage</v>
      </c>
    </row>
    <row r="476" spans="1:9" x14ac:dyDescent="0.3">
      <c r="A476">
        <v>10475</v>
      </c>
      <c r="B476">
        <v>424</v>
      </c>
      <c r="C476" s="2">
        <v>44834</v>
      </c>
      <c r="D476" s="2" t="str">
        <f>TEXT(Table3[[#This Row],[usage_date]],"mmmm")</f>
        <v>September</v>
      </c>
      <c r="E476" s="9">
        <f>YEAR(Table3[[#This Row],[usage_date]])</f>
        <v>2022</v>
      </c>
      <c r="F476" s="14">
        <v>3.87</v>
      </c>
      <c r="G476">
        <v>82</v>
      </c>
      <c r="H476" t="s">
        <v>12</v>
      </c>
      <c r="I476" t="str">
        <f t="shared" si="7"/>
        <v>Normal Usage</v>
      </c>
    </row>
    <row r="477" spans="1:9" x14ac:dyDescent="0.3">
      <c r="A477">
        <v>10476</v>
      </c>
      <c r="B477">
        <v>402</v>
      </c>
      <c r="C477" s="2">
        <v>45149</v>
      </c>
      <c r="D477" s="2" t="str">
        <f>TEXT(Table3[[#This Row],[usage_date]],"mmmm")</f>
        <v>August</v>
      </c>
      <c r="E477" s="9">
        <f>YEAR(Table3[[#This Row],[usage_date]])</f>
        <v>2023</v>
      </c>
      <c r="F477" s="14">
        <v>1.95</v>
      </c>
      <c r="G477">
        <v>233</v>
      </c>
      <c r="H477" t="s">
        <v>12</v>
      </c>
      <c r="I477" t="str">
        <f t="shared" si="7"/>
        <v>Normal Usage</v>
      </c>
    </row>
    <row r="478" spans="1:9" x14ac:dyDescent="0.3">
      <c r="A478">
        <v>10477</v>
      </c>
      <c r="B478">
        <v>183</v>
      </c>
      <c r="C478" s="2">
        <v>44738</v>
      </c>
      <c r="D478" s="2" t="str">
        <f>TEXT(Table3[[#This Row],[usage_date]],"mmmm")</f>
        <v>June</v>
      </c>
      <c r="E478" s="9">
        <f>YEAR(Table3[[#This Row],[usage_date]])</f>
        <v>2022</v>
      </c>
      <c r="F478" s="14">
        <v>0.98</v>
      </c>
      <c r="G478">
        <v>59</v>
      </c>
      <c r="H478" t="s">
        <v>12</v>
      </c>
      <c r="I478" t="str">
        <f t="shared" si="7"/>
        <v>Normal Usage</v>
      </c>
    </row>
    <row r="479" spans="1:9" x14ac:dyDescent="0.3">
      <c r="A479">
        <v>10478</v>
      </c>
      <c r="B479">
        <v>457</v>
      </c>
      <c r="C479" s="2">
        <v>45257</v>
      </c>
      <c r="D479" s="2" t="str">
        <f>TEXT(Table3[[#This Row],[usage_date]],"mmmm")</f>
        <v>November</v>
      </c>
      <c r="E479" s="9">
        <f>YEAR(Table3[[#This Row],[usage_date]])</f>
        <v>2023</v>
      </c>
      <c r="F479" s="14">
        <v>0.37</v>
      </c>
      <c r="G479">
        <v>187</v>
      </c>
      <c r="H479" t="s">
        <v>12</v>
      </c>
      <c r="I479" t="str">
        <f t="shared" si="7"/>
        <v>Normal Usage</v>
      </c>
    </row>
    <row r="480" spans="1:9" x14ac:dyDescent="0.3">
      <c r="A480">
        <v>10479</v>
      </c>
      <c r="B480">
        <v>153</v>
      </c>
      <c r="C480" s="2">
        <v>45392</v>
      </c>
      <c r="D480" s="2" t="str">
        <f>TEXT(Table3[[#This Row],[usage_date]],"mmmm")</f>
        <v>April</v>
      </c>
      <c r="E480" s="9">
        <f>YEAR(Table3[[#This Row],[usage_date]])</f>
        <v>2024</v>
      </c>
      <c r="F480" s="14">
        <v>5.46</v>
      </c>
      <c r="G480">
        <v>57</v>
      </c>
      <c r="H480" t="s">
        <v>13</v>
      </c>
      <c r="I480" t="str">
        <f t="shared" si="7"/>
        <v>Normal Usage</v>
      </c>
    </row>
    <row r="481" spans="1:9" x14ac:dyDescent="0.3">
      <c r="A481">
        <v>10480</v>
      </c>
      <c r="B481">
        <v>488</v>
      </c>
      <c r="C481" s="2">
        <v>45204</v>
      </c>
      <c r="D481" s="2" t="str">
        <f>TEXT(Table3[[#This Row],[usage_date]],"mmmm")</f>
        <v>October</v>
      </c>
      <c r="E481" s="9">
        <f>YEAR(Table3[[#This Row],[usage_date]])</f>
        <v>2023</v>
      </c>
      <c r="F481" s="14">
        <v>1.59</v>
      </c>
      <c r="G481">
        <v>258</v>
      </c>
      <c r="H481" t="s">
        <v>13</v>
      </c>
      <c r="I481" t="str">
        <f t="shared" si="7"/>
        <v>Normal Usage</v>
      </c>
    </row>
    <row r="482" spans="1:9" x14ac:dyDescent="0.3">
      <c r="A482">
        <v>10481</v>
      </c>
      <c r="B482">
        <v>315</v>
      </c>
      <c r="C482" s="2">
        <v>45436</v>
      </c>
      <c r="D482" s="2" t="str">
        <f>TEXT(Table3[[#This Row],[usage_date]],"mmmm")</f>
        <v>May</v>
      </c>
      <c r="E482" s="9">
        <f>YEAR(Table3[[#This Row],[usage_date]])</f>
        <v>2024</v>
      </c>
      <c r="F482" s="14">
        <v>5.26</v>
      </c>
      <c r="G482">
        <v>161</v>
      </c>
      <c r="H482" t="s">
        <v>12</v>
      </c>
      <c r="I482" t="str">
        <f t="shared" si="7"/>
        <v>Normal Usage</v>
      </c>
    </row>
    <row r="483" spans="1:9" x14ac:dyDescent="0.3">
      <c r="A483">
        <v>10482</v>
      </c>
      <c r="B483">
        <v>334</v>
      </c>
      <c r="C483" s="2">
        <v>44610</v>
      </c>
      <c r="D483" s="2" t="str">
        <f>TEXT(Table3[[#This Row],[usage_date]],"mmmm")</f>
        <v>February</v>
      </c>
      <c r="E483" s="9">
        <f>YEAR(Table3[[#This Row],[usage_date]])</f>
        <v>2022</v>
      </c>
      <c r="F483" s="14">
        <v>2.2000000000000002</v>
      </c>
      <c r="G483">
        <v>1</v>
      </c>
      <c r="H483" t="s">
        <v>12</v>
      </c>
      <c r="I483" t="str">
        <f t="shared" si="7"/>
        <v>Normal Usage</v>
      </c>
    </row>
    <row r="484" spans="1:9" x14ac:dyDescent="0.3">
      <c r="A484">
        <v>10483</v>
      </c>
      <c r="B484">
        <v>124</v>
      </c>
      <c r="C484" s="2">
        <v>45128</v>
      </c>
      <c r="D484" s="2" t="str">
        <f>TEXT(Table3[[#This Row],[usage_date]],"mmmm")</f>
        <v>July</v>
      </c>
      <c r="E484" s="9">
        <f>YEAR(Table3[[#This Row],[usage_date]])</f>
        <v>2023</v>
      </c>
      <c r="F484" s="14">
        <v>2.8</v>
      </c>
      <c r="G484">
        <v>270</v>
      </c>
      <c r="H484" t="s">
        <v>13</v>
      </c>
      <c r="I484" t="str">
        <f t="shared" si="7"/>
        <v>Normal Usage</v>
      </c>
    </row>
    <row r="485" spans="1:9" x14ac:dyDescent="0.3">
      <c r="A485">
        <v>10484</v>
      </c>
      <c r="B485">
        <v>473</v>
      </c>
      <c r="C485" s="2">
        <v>45227</v>
      </c>
      <c r="D485" s="2" t="str">
        <f>TEXT(Table3[[#This Row],[usage_date]],"mmmm")</f>
        <v>October</v>
      </c>
      <c r="E485" s="9">
        <f>YEAR(Table3[[#This Row],[usage_date]])</f>
        <v>2023</v>
      </c>
      <c r="F485" s="14">
        <v>4.08</v>
      </c>
      <c r="G485">
        <v>142</v>
      </c>
      <c r="H485" t="s">
        <v>12</v>
      </c>
      <c r="I485" t="str">
        <f t="shared" si="7"/>
        <v>Normal Usage</v>
      </c>
    </row>
    <row r="486" spans="1:9" x14ac:dyDescent="0.3">
      <c r="A486">
        <v>10485</v>
      </c>
      <c r="B486">
        <v>114</v>
      </c>
      <c r="C486" s="2">
        <v>44916</v>
      </c>
      <c r="D486" s="2" t="str">
        <f>TEXT(Table3[[#This Row],[usage_date]],"mmmm")</f>
        <v>December</v>
      </c>
      <c r="E486" s="9">
        <f>YEAR(Table3[[#This Row],[usage_date]])</f>
        <v>2022</v>
      </c>
      <c r="F486" s="14">
        <v>2.69</v>
      </c>
      <c r="G486">
        <v>187</v>
      </c>
      <c r="H486" t="s">
        <v>12</v>
      </c>
      <c r="I486" t="str">
        <f t="shared" si="7"/>
        <v>Normal Usage</v>
      </c>
    </row>
    <row r="487" spans="1:9" x14ac:dyDescent="0.3">
      <c r="A487">
        <v>10486</v>
      </c>
      <c r="B487">
        <v>278</v>
      </c>
      <c r="C487" s="2">
        <v>45273</v>
      </c>
      <c r="D487" s="2" t="str">
        <f>TEXT(Table3[[#This Row],[usage_date]],"mmmm")</f>
        <v>December</v>
      </c>
      <c r="E487" s="9">
        <f>YEAR(Table3[[#This Row],[usage_date]])</f>
        <v>2023</v>
      </c>
      <c r="F487" s="14">
        <v>1.27</v>
      </c>
      <c r="G487">
        <v>223</v>
      </c>
      <c r="H487" t="s">
        <v>12</v>
      </c>
      <c r="I487" t="str">
        <f t="shared" si="7"/>
        <v>Normal Usage</v>
      </c>
    </row>
    <row r="488" spans="1:9" x14ac:dyDescent="0.3">
      <c r="A488">
        <v>10487</v>
      </c>
      <c r="B488">
        <v>500</v>
      </c>
      <c r="C488" s="2">
        <v>44869</v>
      </c>
      <c r="D488" s="2" t="str">
        <f>TEXT(Table3[[#This Row],[usage_date]],"mmmm")</f>
        <v>November</v>
      </c>
      <c r="E488" s="9">
        <f>YEAR(Table3[[#This Row],[usage_date]])</f>
        <v>2022</v>
      </c>
      <c r="F488" s="14">
        <v>1.8</v>
      </c>
      <c r="G488">
        <v>179</v>
      </c>
      <c r="H488" t="s">
        <v>12</v>
      </c>
      <c r="I488" t="str">
        <f t="shared" si="7"/>
        <v>Normal Usage</v>
      </c>
    </row>
    <row r="489" spans="1:9" x14ac:dyDescent="0.3">
      <c r="A489">
        <v>10488</v>
      </c>
      <c r="B489">
        <v>414</v>
      </c>
      <c r="C489" s="2">
        <v>45429</v>
      </c>
      <c r="D489" s="2" t="str">
        <f>TEXT(Table3[[#This Row],[usage_date]],"mmmm")</f>
        <v>May</v>
      </c>
      <c r="E489" s="9">
        <f>YEAR(Table3[[#This Row],[usage_date]])</f>
        <v>2024</v>
      </c>
      <c r="F489" s="14">
        <v>4.0599999999999996</v>
      </c>
      <c r="G489">
        <v>22</v>
      </c>
      <c r="H489" t="s">
        <v>13</v>
      </c>
      <c r="I489" t="str">
        <f t="shared" si="7"/>
        <v>Normal Usage</v>
      </c>
    </row>
    <row r="490" spans="1:9" x14ac:dyDescent="0.3">
      <c r="A490">
        <v>10489</v>
      </c>
      <c r="B490">
        <v>468</v>
      </c>
      <c r="C490" s="2">
        <v>45446</v>
      </c>
      <c r="D490" s="2" t="str">
        <f>TEXT(Table3[[#This Row],[usage_date]],"mmmm")</f>
        <v>June</v>
      </c>
      <c r="E490" s="9">
        <f>YEAR(Table3[[#This Row],[usage_date]])</f>
        <v>2024</v>
      </c>
      <c r="F490" s="14">
        <v>1.17</v>
      </c>
      <c r="G490">
        <v>36</v>
      </c>
      <c r="H490" t="s">
        <v>12</v>
      </c>
      <c r="I490" t="str">
        <f t="shared" si="7"/>
        <v>Normal Usage</v>
      </c>
    </row>
    <row r="491" spans="1:9" x14ac:dyDescent="0.3">
      <c r="A491">
        <v>10490</v>
      </c>
      <c r="B491">
        <v>213</v>
      </c>
      <c r="C491" s="2">
        <v>45191</v>
      </c>
      <c r="D491" s="2" t="str">
        <f>TEXT(Table3[[#This Row],[usage_date]],"mmmm")</f>
        <v>September</v>
      </c>
      <c r="E491" s="9">
        <f>YEAR(Table3[[#This Row],[usage_date]])</f>
        <v>2023</v>
      </c>
      <c r="F491" s="14">
        <v>1.23</v>
      </c>
      <c r="G491">
        <v>106</v>
      </c>
      <c r="H491" t="s">
        <v>12</v>
      </c>
      <c r="I491" t="str">
        <f t="shared" si="7"/>
        <v>Normal Usage</v>
      </c>
    </row>
    <row r="492" spans="1:9" x14ac:dyDescent="0.3">
      <c r="A492">
        <v>10491</v>
      </c>
      <c r="B492">
        <v>172</v>
      </c>
      <c r="C492" s="2">
        <v>45336</v>
      </c>
      <c r="D492" s="2" t="str">
        <f>TEXT(Table3[[#This Row],[usage_date]],"mmmm")</f>
        <v>February</v>
      </c>
      <c r="E492" s="9">
        <f>YEAR(Table3[[#This Row],[usage_date]])</f>
        <v>2024</v>
      </c>
      <c r="F492" s="14">
        <v>0.25</v>
      </c>
      <c r="G492">
        <v>296</v>
      </c>
      <c r="H492" t="s">
        <v>12</v>
      </c>
      <c r="I492" t="str">
        <f t="shared" si="7"/>
        <v>Normal Usage</v>
      </c>
    </row>
    <row r="493" spans="1:9" x14ac:dyDescent="0.3">
      <c r="A493">
        <v>10492</v>
      </c>
      <c r="B493">
        <v>288</v>
      </c>
      <c r="C493" s="2">
        <v>44607</v>
      </c>
      <c r="D493" s="2" t="str">
        <f>TEXT(Table3[[#This Row],[usage_date]],"mmmm")</f>
        <v>February</v>
      </c>
      <c r="E493" s="9">
        <f>YEAR(Table3[[#This Row],[usage_date]])</f>
        <v>2022</v>
      </c>
      <c r="F493" s="14">
        <v>6.15</v>
      </c>
      <c r="G493">
        <v>228</v>
      </c>
      <c r="H493" t="s">
        <v>12</v>
      </c>
      <c r="I493" t="str">
        <f t="shared" si="7"/>
        <v>High Usage</v>
      </c>
    </row>
    <row r="494" spans="1:9" x14ac:dyDescent="0.3">
      <c r="A494">
        <v>10493</v>
      </c>
      <c r="B494">
        <v>435</v>
      </c>
      <c r="C494" s="2">
        <v>44863</v>
      </c>
      <c r="D494" s="2" t="str">
        <f>TEXT(Table3[[#This Row],[usage_date]],"mmmm")</f>
        <v>October</v>
      </c>
      <c r="E494" s="9">
        <f>YEAR(Table3[[#This Row],[usage_date]])</f>
        <v>2022</v>
      </c>
      <c r="F494" s="14">
        <v>0.24</v>
      </c>
      <c r="G494">
        <v>96</v>
      </c>
      <c r="H494" t="s">
        <v>12</v>
      </c>
      <c r="I494" t="str">
        <f t="shared" si="7"/>
        <v>Normal Usage</v>
      </c>
    </row>
    <row r="495" spans="1:9" x14ac:dyDescent="0.3">
      <c r="A495">
        <v>10494</v>
      </c>
      <c r="B495">
        <v>174</v>
      </c>
      <c r="C495" s="2">
        <v>45429</v>
      </c>
      <c r="D495" s="2" t="str">
        <f>TEXT(Table3[[#This Row],[usage_date]],"mmmm")</f>
        <v>May</v>
      </c>
      <c r="E495" s="9">
        <f>YEAR(Table3[[#This Row],[usage_date]])</f>
        <v>2024</v>
      </c>
      <c r="F495" s="14">
        <v>2.61</v>
      </c>
      <c r="G495">
        <v>280</v>
      </c>
      <c r="H495" t="s">
        <v>13</v>
      </c>
      <c r="I495" t="str">
        <f t="shared" si="7"/>
        <v>Normal Usage</v>
      </c>
    </row>
    <row r="496" spans="1:9" x14ac:dyDescent="0.3">
      <c r="A496">
        <v>10495</v>
      </c>
      <c r="B496">
        <v>113</v>
      </c>
      <c r="C496" s="2">
        <v>44969</v>
      </c>
      <c r="D496" s="2" t="str">
        <f>TEXT(Table3[[#This Row],[usage_date]],"mmmm")</f>
        <v>February</v>
      </c>
      <c r="E496" s="9">
        <f>YEAR(Table3[[#This Row],[usage_date]])</f>
        <v>2023</v>
      </c>
      <c r="F496" s="14">
        <v>1.33</v>
      </c>
      <c r="G496">
        <v>109</v>
      </c>
      <c r="H496" t="s">
        <v>12</v>
      </c>
      <c r="I496" t="str">
        <f t="shared" si="7"/>
        <v>Normal Usage</v>
      </c>
    </row>
    <row r="497" spans="1:9" x14ac:dyDescent="0.3">
      <c r="A497">
        <v>10496</v>
      </c>
      <c r="B497">
        <v>376</v>
      </c>
      <c r="C497" s="2">
        <v>44750</v>
      </c>
      <c r="D497" s="2" t="str">
        <f>TEXT(Table3[[#This Row],[usage_date]],"mmmm")</f>
        <v>July</v>
      </c>
      <c r="E497" s="9">
        <f>YEAR(Table3[[#This Row],[usage_date]])</f>
        <v>2022</v>
      </c>
      <c r="F497" s="14">
        <v>1.3</v>
      </c>
      <c r="G497">
        <v>36</v>
      </c>
      <c r="H497" t="s">
        <v>12</v>
      </c>
      <c r="I497" t="str">
        <f t="shared" si="7"/>
        <v>Normal Usage</v>
      </c>
    </row>
    <row r="498" spans="1:9" x14ac:dyDescent="0.3">
      <c r="A498">
        <v>10497</v>
      </c>
      <c r="B498">
        <v>405</v>
      </c>
      <c r="C498" s="2">
        <v>45383</v>
      </c>
      <c r="D498" s="2" t="str">
        <f>TEXT(Table3[[#This Row],[usage_date]],"mmmm")</f>
        <v>April</v>
      </c>
      <c r="E498" s="9">
        <f>YEAR(Table3[[#This Row],[usage_date]])</f>
        <v>2024</v>
      </c>
      <c r="F498" s="14">
        <v>2.85</v>
      </c>
      <c r="G498">
        <v>39</v>
      </c>
      <c r="H498" t="s">
        <v>12</v>
      </c>
      <c r="I498" t="str">
        <f t="shared" si="7"/>
        <v>Normal Usage</v>
      </c>
    </row>
    <row r="499" spans="1:9" x14ac:dyDescent="0.3">
      <c r="A499">
        <v>10498</v>
      </c>
      <c r="B499">
        <v>483</v>
      </c>
      <c r="C499" s="2">
        <v>45391</v>
      </c>
      <c r="D499" s="2" t="str">
        <f>TEXT(Table3[[#This Row],[usage_date]],"mmmm")</f>
        <v>April</v>
      </c>
      <c r="E499" s="9">
        <f>YEAR(Table3[[#This Row],[usage_date]])</f>
        <v>2024</v>
      </c>
      <c r="F499" s="14">
        <v>0.17</v>
      </c>
      <c r="G499">
        <v>84</v>
      </c>
      <c r="H499" t="s">
        <v>12</v>
      </c>
      <c r="I499" t="str">
        <f t="shared" si="7"/>
        <v>Normal Usage</v>
      </c>
    </row>
    <row r="500" spans="1:9" x14ac:dyDescent="0.3">
      <c r="A500">
        <v>10499</v>
      </c>
      <c r="B500">
        <v>122</v>
      </c>
      <c r="C500" s="2">
        <v>44690</v>
      </c>
      <c r="D500" s="2" t="str">
        <f>TEXT(Table3[[#This Row],[usage_date]],"mmmm")</f>
        <v>May</v>
      </c>
      <c r="E500" s="9">
        <f>YEAR(Table3[[#This Row],[usage_date]])</f>
        <v>2022</v>
      </c>
      <c r="F500" s="14">
        <v>2.25</v>
      </c>
      <c r="G500">
        <v>187</v>
      </c>
      <c r="H500" t="s">
        <v>12</v>
      </c>
      <c r="I500" t="str">
        <f t="shared" si="7"/>
        <v>Normal Usage</v>
      </c>
    </row>
    <row r="501" spans="1:9" x14ac:dyDescent="0.3">
      <c r="A501">
        <v>10500</v>
      </c>
      <c r="B501">
        <v>32</v>
      </c>
      <c r="C501" s="2">
        <v>45122</v>
      </c>
      <c r="D501" s="2" t="str">
        <f>TEXT(Table3[[#This Row],[usage_date]],"mmmm")</f>
        <v>July</v>
      </c>
      <c r="E501" s="9">
        <f>YEAR(Table3[[#This Row],[usage_date]])</f>
        <v>2023</v>
      </c>
      <c r="F501" s="14">
        <v>3.7</v>
      </c>
      <c r="G501">
        <v>239</v>
      </c>
      <c r="H501" t="s">
        <v>12</v>
      </c>
      <c r="I501" t="str">
        <f t="shared" si="7"/>
        <v>Normal Usage</v>
      </c>
    </row>
    <row r="502" spans="1:9" x14ac:dyDescent="0.3">
      <c r="A502">
        <v>10501</v>
      </c>
      <c r="B502">
        <v>222</v>
      </c>
      <c r="C502" s="2">
        <v>45098</v>
      </c>
      <c r="D502" s="2" t="str">
        <f>TEXT(Table3[[#This Row],[usage_date]],"mmmm")</f>
        <v>June</v>
      </c>
      <c r="E502" s="9">
        <f>YEAR(Table3[[#This Row],[usage_date]])</f>
        <v>2023</v>
      </c>
      <c r="F502" s="14">
        <v>4.4000000000000004</v>
      </c>
      <c r="G502">
        <v>18</v>
      </c>
      <c r="H502" t="s">
        <v>12</v>
      </c>
      <c r="I502" t="str">
        <f t="shared" si="7"/>
        <v>Normal Usage</v>
      </c>
    </row>
    <row r="503" spans="1:9" x14ac:dyDescent="0.3">
      <c r="A503">
        <v>10502</v>
      </c>
      <c r="B503">
        <v>119</v>
      </c>
      <c r="C503" s="2">
        <v>44827</v>
      </c>
      <c r="D503" s="2" t="str">
        <f>TEXT(Table3[[#This Row],[usage_date]],"mmmm")</f>
        <v>September</v>
      </c>
      <c r="E503" s="9">
        <f>YEAR(Table3[[#This Row],[usage_date]])</f>
        <v>2022</v>
      </c>
      <c r="F503" s="14">
        <v>0.47</v>
      </c>
      <c r="G503">
        <v>260</v>
      </c>
      <c r="H503" t="s">
        <v>12</v>
      </c>
      <c r="I503" t="str">
        <f t="shared" si="7"/>
        <v>Normal Usage</v>
      </c>
    </row>
    <row r="504" spans="1:9" x14ac:dyDescent="0.3">
      <c r="A504">
        <v>10503</v>
      </c>
      <c r="B504">
        <v>39</v>
      </c>
      <c r="C504" s="2">
        <v>44679</v>
      </c>
      <c r="D504" s="2" t="str">
        <f>TEXT(Table3[[#This Row],[usage_date]],"mmmm")</f>
        <v>April</v>
      </c>
      <c r="E504" s="9">
        <f>YEAR(Table3[[#This Row],[usage_date]])</f>
        <v>2022</v>
      </c>
      <c r="F504" s="14">
        <v>5.69</v>
      </c>
      <c r="G504">
        <v>157</v>
      </c>
      <c r="H504" t="s">
        <v>12</v>
      </c>
      <c r="I504" t="str">
        <f t="shared" si="7"/>
        <v>Normal Usage</v>
      </c>
    </row>
    <row r="505" spans="1:9" x14ac:dyDescent="0.3">
      <c r="A505">
        <v>10504</v>
      </c>
      <c r="B505">
        <v>497</v>
      </c>
      <c r="C505" s="2">
        <v>45025</v>
      </c>
      <c r="D505" s="2" t="str">
        <f>TEXT(Table3[[#This Row],[usage_date]],"mmmm")</f>
        <v>April</v>
      </c>
      <c r="E505" s="9">
        <f>YEAR(Table3[[#This Row],[usage_date]])</f>
        <v>2023</v>
      </c>
      <c r="F505" s="14">
        <v>2.67</v>
      </c>
      <c r="G505">
        <v>111</v>
      </c>
      <c r="H505" t="s">
        <v>13</v>
      </c>
      <c r="I505" t="str">
        <f t="shared" si="7"/>
        <v>Normal Usage</v>
      </c>
    </row>
    <row r="506" spans="1:9" x14ac:dyDescent="0.3">
      <c r="A506">
        <v>10505</v>
      </c>
      <c r="B506">
        <v>268</v>
      </c>
      <c r="C506" s="2">
        <v>44705</v>
      </c>
      <c r="D506" s="2" t="str">
        <f>TEXT(Table3[[#This Row],[usage_date]],"mmmm")</f>
        <v>May</v>
      </c>
      <c r="E506" s="9">
        <f>YEAR(Table3[[#This Row],[usage_date]])</f>
        <v>2022</v>
      </c>
      <c r="F506" s="14">
        <v>5.34</v>
      </c>
      <c r="G506">
        <v>143</v>
      </c>
      <c r="H506" t="s">
        <v>12</v>
      </c>
      <c r="I506" t="str">
        <f t="shared" si="7"/>
        <v>Normal Usage</v>
      </c>
    </row>
    <row r="507" spans="1:9" x14ac:dyDescent="0.3">
      <c r="A507">
        <v>10506</v>
      </c>
      <c r="B507">
        <v>233</v>
      </c>
      <c r="C507" s="2">
        <v>45003</v>
      </c>
      <c r="D507" s="2" t="str">
        <f>TEXT(Table3[[#This Row],[usage_date]],"mmmm")</f>
        <v>March</v>
      </c>
      <c r="E507" s="9">
        <f>YEAR(Table3[[#This Row],[usage_date]])</f>
        <v>2023</v>
      </c>
      <c r="F507" s="14">
        <v>1.66</v>
      </c>
      <c r="G507">
        <v>255</v>
      </c>
      <c r="H507" t="s">
        <v>12</v>
      </c>
      <c r="I507" t="str">
        <f t="shared" si="7"/>
        <v>Normal Usage</v>
      </c>
    </row>
    <row r="508" spans="1:9" x14ac:dyDescent="0.3">
      <c r="A508">
        <v>10507</v>
      </c>
      <c r="B508">
        <v>431</v>
      </c>
      <c r="C508" s="2">
        <v>44761</v>
      </c>
      <c r="D508" s="2" t="str">
        <f>TEXT(Table3[[#This Row],[usage_date]],"mmmm")</f>
        <v>July</v>
      </c>
      <c r="E508" s="9">
        <f>YEAR(Table3[[#This Row],[usage_date]])</f>
        <v>2022</v>
      </c>
      <c r="F508" s="14">
        <v>1.95</v>
      </c>
      <c r="G508">
        <v>17</v>
      </c>
      <c r="H508" t="s">
        <v>12</v>
      </c>
      <c r="I508" t="str">
        <f t="shared" si="7"/>
        <v>Normal Usage</v>
      </c>
    </row>
    <row r="509" spans="1:9" x14ac:dyDescent="0.3">
      <c r="A509">
        <v>10508</v>
      </c>
      <c r="B509">
        <v>18</v>
      </c>
      <c r="C509" s="2">
        <v>44718</v>
      </c>
      <c r="D509" s="2" t="str">
        <f>TEXT(Table3[[#This Row],[usage_date]],"mmmm")</f>
        <v>June</v>
      </c>
      <c r="E509" s="9">
        <f>YEAR(Table3[[#This Row],[usage_date]])</f>
        <v>2022</v>
      </c>
      <c r="F509" s="14">
        <v>6.28</v>
      </c>
      <c r="G509">
        <v>183</v>
      </c>
      <c r="H509" t="s">
        <v>12</v>
      </c>
      <c r="I509" t="str">
        <f t="shared" si="7"/>
        <v>High Usage</v>
      </c>
    </row>
    <row r="510" spans="1:9" x14ac:dyDescent="0.3">
      <c r="A510">
        <v>10509</v>
      </c>
      <c r="B510">
        <v>149</v>
      </c>
      <c r="C510" s="2">
        <v>45048</v>
      </c>
      <c r="D510" s="2" t="str">
        <f>TEXT(Table3[[#This Row],[usage_date]],"mmmm")</f>
        <v>May</v>
      </c>
      <c r="E510" s="9">
        <f>YEAR(Table3[[#This Row],[usage_date]])</f>
        <v>2023</v>
      </c>
      <c r="F510" s="14">
        <v>5.75</v>
      </c>
      <c r="G510">
        <v>286</v>
      </c>
      <c r="H510" t="s">
        <v>12</v>
      </c>
      <c r="I510" t="str">
        <f t="shared" si="7"/>
        <v>Normal Usage</v>
      </c>
    </row>
    <row r="511" spans="1:9" x14ac:dyDescent="0.3">
      <c r="A511">
        <v>10510</v>
      </c>
      <c r="B511">
        <v>397</v>
      </c>
      <c r="C511" s="2">
        <v>45421</v>
      </c>
      <c r="D511" s="2" t="str">
        <f>TEXT(Table3[[#This Row],[usage_date]],"mmmm")</f>
        <v>May</v>
      </c>
      <c r="E511" s="9">
        <f>YEAR(Table3[[#This Row],[usage_date]])</f>
        <v>2024</v>
      </c>
      <c r="F511" s="14">
        <v>1.49</v>
      </c>
      <c r="G511">
        <v>130</v>
      </c>
      <c r="H511" t="s">
        <v>12</v>
      </c>
      <c r="I511" t="str">
        <f t="shared" si="7"/>
        <v>Normal Usage</v>
      </c>
    </row>
    <row r="512" spans="1:9" x14ac:dyDescent="0.3">
      <c r="A512">
        <v>10511</v>
      </c>
      <c r="B512">
        <v>149</v>
      </c>
      <c r="C512" s="2">
        <v>44695</v>
      </c>
      <c r="D512" s="2" t="str">
        <f>TEXT(Table3[[#This Row],[usage_date]],"mmmm")</f>
        <v>May</v>
      </c>
      <c r="E512" s="9">
        <f>YEAR(Table3[[#This Row],[usage_date]])</f>
        <v>2022</v>
      </c>
      <c r="F512" s="14">
        <v>0.8</v>
      </c>
      <c r="G512">
        <v>280</v>
      </c>
      <c r="H512" t="s">
        <v>12</v>
      </c>
      <c r="I512" t="str">
        <f t="shared" si="7"/>
        <v>Normal Usage</v>
      </c>
    </row>
    <row r="513" spans="1:9" x14ac:dyDescent="0.3">
      <c r="A513">
        <v>10512</v>
      </c>
      <c r="B513">
        <v>126</v>
      </c>
      <c r="C513" s="2">
        <v>44709</v>
      </c>
      <c r="D513" s="2" t="str">
        <f>TEXT(Table3[[#This Row],[usage_date]],"mmmm")</f>
        <v>May</v>
      </c>
      <c r="E513" s="9">
        <f>YEAR(Table3[[#This Row],[usage_date]])</f>
        <v>2022</v>
      </c>
      <c r="F513" s="14">
        <v>1.25</v>
      </c>
      <c r="G513">
        <v>244</v>
      </c>
      <c r="H513" t="s">
        <v>12</v>
      </c>
      <c r="I513" t="str">
        <f t="shared" si="7"/>
        <v>Normal Usage</v>
      </c>
    </row>
    <row r="514" spans="1:9" x14ac:dyDescent="0.3">
      <c r="A514">
        <v>10513</v>
      </c>
      <c r="B514">
        <v>392</v>
      </c>
      <c r="C514" s="2">
        <v>44897</v>
      </c>
      <c r="D514" s="2" t="str">
        <f>TEXT(Table3[[#This Row],[usage_date]],"mmmm")</f>
        <v>December</v>
      </c>
      <c r="E514" s="9">
        <f>YEAR(Table3[[#This Row],[usage_date]])</f>
        <v>2022</v>
      </c>
      <c r="F514" s="14">
        <v>1.23</v>
      </c>
      <c r="G514">
        <v>7</v>
      </c>
      <c r="H514" t="s">
        <v>12</v>
      </c>
      <c r="I514" t="str">
        <f t="shared" ref="I514:I577" si="8">IF(F514&gt;6,"High Usage","Normal Usage")</f>
        <v>Normal Usage</v>
      </c>
    </row>
    <row r="515" spans="1:9" x14ac:dyDescent="0.3">
      <c r="A515">
        <v>10514</v>
      </c>
      <c r="B515">
        <v>302</v>
      </c>
      <c r="C515" s="2">
        <v>44632</v>
      </c>
      <c r="D515" s="2" t="str">
        <f>TEXT(Table3[[#This Row],[usage_date]],"mmmm")</f>
        <v>March</v>
      </c>
      <c r="E515" s="9">
        <f>YEAR(Table3[[#This Row],[usage_date]])</f>
        <v>2022</v>
      </c>
      <c r="F515" s="14">
        <v>0.85</v>
      </c>
      <c r="G515">
        <v>192</v>
      </c>
      <c r="H515" t="s">
        <v>12</v>
      </c>
      <c r="I515" t="str">
        <f t="shared" si="8"/>
        <v>Normal Usage</v>
      </c>
    </row>
    <row r="516" spans="1:9" x14ac:dyDescent="0.3">
      <c r="A516">
        <v>10515</v>
      </c>
      <c r="B516">
        <v>360</v>
      </c>
      <c r="C516" s="2">
        <v>44794</v>
      </c>
      <c r="D516" s="2" t="str">
        <f>TEXT(Table3[[#This Row],[usage_date]],"mmmm")</f>
        <v>August</v>
      </c>
      <c r="E516" s="9">
        <f>YEAR(Table3[[#This Row],[usage_date]])</f>
        <v>2022</v>
      </c>
      <c r="F516" s="14">
        <v>0.78</v>
      </c>
      <c r="G516">
        <v>6</v>
      </c>
      <c r="H516" t="s">
        <v>12</v>
      </c>
      <c r="I516" t="str">
        <f t="shared" si="8"/>
        <v>Normal Usage</v>
      </c>
    </row>
    <row r="517" spans="1:9" x14ac:dyDescent="0.3">
      <c r="A517">
        <v>10516</v>
      </c>
      <c r="B517">
        <v>238</v>
      </c>
      <c r="C517" s="2">
        <v>44895</v>
      </c>
      <c r="D517" s="2" t="str">
        <f>TEXT(Table3[[#This Row],[usage_date]],"mmmm")</f>
        <v>November</v>
      </c>
      <c r="E517" s="9">
        <f>YEAR(Table3[[#This Row],[usage_date]])</f>
        <v>2022</v>
      </c>
      <c r="F517" s="14">
        <v>4.93</v>
      </c>
      <c r="G517">
        <v>135</v>
      </c>
      <c r="H517" t="s">
        <v>12</v>
      </c>
      <c r="I517" t="str">
        <f t="shared" si="8"/>
        <v>Normal Usage</v>
      </c>
    </row>
    <row r="518" spans="1:9" x14ac:dyDescent="0.3">
      <c r="A518">
        <v>10517</v>
      </c>
      <c r="B518">
        <v>135</v>
      </c>
      <c r="C518" s="2">
        <v>45372</v>
      </c>
      <c r="D518" s="2" t="str">
        <f>TEXT(Table3[[#This Row],[usage_date]],"mmmm")</f>
        <v>March</v>
      </c>
      <c r="E518" s="9">
        <f>YEAR(Table3[[#This Row],[usage_date]])</f>
        <v>2024</v>
      </c>
      <c r="F518" s="14">
        <v>0.18</v>
      </c>
      <c r="G518">
        <v>18</v>
      </c>
      <c r="H518" t="s">
        <v>13</v>
      </c>
      <c r="I518" t="str">
        <f t="shared" si="8"/>
        <v>Normal Usage</v>
      </c>
    </row>
    <row r="519" spans="1:9" x14ac:dyDescent="0.3">
      <c r="A519">
        <v>10518</v>
      </c>
      <c r="B519">
        <v>151</v>
      </c>
      <c r="C519" s="2">
        <v>45227</v>
      </c>
      <c r="D519" s="2" t="str">
        <f>TEXT(Table3[[#This Row],[usage_date]],"mmmm")</f>
        <v>October</v>
      </c>
      <c r="E519" s="9">
        <f>YEAR(Table3[[#This Row],[usage_date]])</f>
        <v>2023</v>
      </c>
      <c r="F519" s="14">
        <v>2.83</v>
      </c>
      <c r="G519">
        <v>138</v>
      </c>
      <c r="H519" t="s">
        <v>13</v>
      </c>
      <c r="I519" t="str">
        <f t="shared" si="8"/>
        <v>Normal Usage</v>
      </c>
    </row>
    <row r="520" spans="1:9" x14ac:dyDescent="0.3">
      <c r="A520">
        <v>10519</v>
      </c>
      <c r="B520">
        <v>236</v>
      </c>
      <c r="C520" s="2">
        <v>44651</v>
      </c>
      <c r="D520" s="2" t="str">
        <f>TEXT(Table3[[#This Row],[usage_date]],"mmmm")</f>
        <v>March</v>
      </c>
      <c r="E520" s="9">
        <f>YEAR(Table3[[#This Row],[usage_date]])</f>
        <v>2022</v>
      </c>
      <c r="F520" s="14">
        <v>0.47</v>
      </c>
      <c r="G520">
        <v>176</v>
      </c>
      <c r="H520" t="s">
        <v>12</v>
      </c>
      <c r="I520" t="str">
        <f t="shared" si="8"/>
        <v>Normal Usage</v>
      </c>
    </row>
    <row r="521" spans="1:9" x14ac:dyDescent="0.3">
      <c r="A521">
        <v>10520</v>
      </c>
      <c r="B521">
        <v>224</v>
      </c>
      <c r="C521" s="2">
        <v>44895</v>
      </c>
      <c r="D521" s="2" t="str">
        <f>TEXT(Table3[[#This Row],[usage_date]],"mmmm")</f>
        <v>November</v>
      </c>
      <c r="E521" s="9">
        <f>YEAR(Table3[[#This Row],[usage_date]])</f>
        <v>2022</v>
      </c>
      <c r="F521" s="14">
        <v>1.06</v>
      </c>
      <c r="G521">
        <v>10</v>
      </c>
      <c r="H521" t="s">
        <v>12</v>
      </c>
      <c r="I521" t="str">
        <f t="shared" si="8"/>
        <v>Normal Usage</v>
      </c>
    </row>
    <row r="522" spans="1:9" x14ac:dyDescent="0.3">
      <c r="A522">
        <v>10521</v>
      </c>
      <c r="B522">
        <v>203</v>
      </c>
      <c r="C522" s="2">
        <v>44760</v>
      </c>
      <c r="D522" s="2" t="str">
        <f>TEXT(Table3[[#This Row],[usage_date]],"mmmm")</f>
        <v>July</v>
      </c>
      <c r="E522" s="9">
        <f>YEAR(Table3[[#This Row],[usage_date]])</f>
        <v>2022</v>
      </c>
      <c r="F522" s="14">
        <v>0.16</v>
      </c>
      <c r="G522">
        <v>40</v>
      </c>
      <c r="H522" t="s">
        <v>12</v>
      </c>
      <c r="I522" t="str">
        <f t="shared" si="8"/>
        <v>Normal Usage</v>
      </c>
    </row>
    <row r="523" spans="1:9" x14ac:dyDescent="0.3">
      <c r="A523">
        <v>10522</v>
      </c>
      <c r="B523">
        <v>256</v>
      </c>
      <c r="C523" s="2">
        <v>44722</v>
      </c>
      <c r="D523" s="2" t="str">
        <f>TEXT(Table3[[#This Row],[usage_date]],"mmmm")</f>
        <v>June</v>
      </c>
      <c r="E523" s="9">
        <f>YEAR(Table3[[#This Row],[usage_date]])</f>
        <v>2022</v>
      </c>
      <c r="F523" s="14">
        <v>0.79</v>
      </c>
      <c r="G523">
        <v>113</v>
      </c>
      <c r="H523" t="s">
        <v>12</v>
      </c>
      <c r="I523" t="str">
        <f t="shared" si="8"/>
        <v>Normal Usage</v>
      </c>
    </row>
    <row r="524" spans="1:9" x14ac:dyDescent="0.3">
      <c r="A524">
        <v>10523</v>
      </c>
      <c r="B524">
        <v>86</v>
      </c>
      <c r="C524" s="2">
        <v>45099</v>
      </c>
      <c r="D524" s="2" t="str">
        <f>TEXT(Table3[[#This Row],[usage_date]],"mmmm")</f>
        <v>June</v>
      </c>
      <c r="E524" s="9">
        <f>YEAR(Table3[[#This Row],[usage_date]])</f>
        <v>2023</v>
      </c>
      <c r="F524" s="14">
        <v>3.66</v>
      </c>
      <c r="G524">
        <v>179</v>
      </c>
      <c r="H524" t="s">
        <v>12</v>
      </c>
      <c r="I524" t="str">
        <f t="shared" si="8"/>
        <v>Normal Usage</v>
      </c>
    </row>
    <row r="525" spans="1:9" x14ac:dyDescent="0.3">
      <c r="A525">
        <v>10524</v>
      </c>
      <c r="B525">
        <v>150</v>
      </c>
      <c r="C525" s="2">
        <v>44682</v>
      </c>
      <c r="D525" s="2" t="str">
        <f>TEXT(Table3[[#This Row],[usage_date]],"mmmm")</f>
        <v>May</v>
      </c>
      <c r="E525" s="9">
        <f>YEAR(Table3[[#This Row],[usage_date]])</f>
        <v>2022</v>
      </c>
      <c r="F525" s="14">
        <v>5.41</v>
      </c>
      <c r="G525">
        <v>193</v>
      </c>
      <c r="H525" t="s">
        <v>12</v>
      </c>
      <c r="I525" t="str">
        <f t="shared" si="8"/>
        <v>Normal Usage</v>
      </c>
    </row>
    <row r="526" spans="1:9" x14ac:dyDescent="0.3">
      <c r="A526">
        <v>10525</v>
      </c>
      <c r="B526">
        <v>235</v>
      </c>
      <c r="C526" s="2">
        <v>44862</v>
      </c>
      <c r="D526" s="2" t="str">
        <f>TEXT(Table3[[#This Row],[usage_date]],"mmmm")</f>
        <v>October</v>
      </c>
      <c r="E526" s="9">
        <f>YEAR(Table3[[#This Row],[usage_date]])</f>
        <v>2022</v>
      </c>
      <c r="F526" s="14">
        <v>0.63</v>
      </c>
      <c r="G526">
        <v>195</v>
      </c>
      <c r="H526" t="s">
        <v>13</v>
      </c>
      <c r="I526" t="str">
        <f t="shared" si="8"/>
        <v>Normal Usage</v>
      </c>
    </row>
    <row r="527" spans="1:9" x14ac:dyDescent="0.3">
      <c r="A527">
        <v>10526</v>
      </c>
      <c r="B527">
        <v>345</v>
      </c>
      <c r="C527" s="2">
        <v>45285</v>
      </c>
      <c r="D527" s="2" t="str">
        <f>TEXT(Table3[[#This Row],[usage_date]],"mmmm")</f>
        <v>December</v>
      </c>
      <c r="E527" s="9">
        <f>YEAR(Table3[[#This Row],[usage_date]])</f>
        <v>2023</v>
      </c>
      <c r="F527" s="14">
        <v>1.56</v>
      </c>
      <c r="G527">
        <v>224</v>
      </c>
      <c r="H527" t="s">
        <v>12</v>
      </c>
      <c r="I527" t="str">
        <f t="shared" si="8"/>
        <v>Normal Usage</v>
      </c>
    </row>
    <row r="528" spans="1:9" x14ac:dyDescent="0.3">
      <c r="A528">
        <v>10527</v>
      </c>
      <c r="B528">
        <v>22</v>
      </c>
      <c r="C528" s="2">
        <v>45136</v>
      </c>
      <c r="D528" s="2" t="str">
        <f>TEXT(Table3[[#This Row],[usage_date]],"mmmm")</f>
        <v>July</v>
      </c>
      <c r="E528" s="9">
        <f>YEAR(Table3[[#This Row],[usage_date]])</f>
        <v>2023</v>
      </c>
      <c r="F528" s="14">
        <v>1.59</v>
      </c>
      <c r="G528">
        <v>260</v>
      </c>
      <c r="H528" t="s">
        <v>12</v>
      </c>
      <c r="I528" t="str">
        <f t="shared" si="8"/>
        <v>Normal Usage</v>
      </c>
    </row>
    <row r="529" spans="1:9" x14ac:dyDescent="0.3">
      <c r="A529">
        <v>10528</v>
      </c>
      <c r="B529">
        <v>348</v>
      </c>
      <c r="C529" s="2">
        <v>44997</v>
      </c>
      <c r="D529" s="2" t="str">
        <f>TEXT(Table3[[#This Row],[usage_date]],"mmmm")</f>
        <v>March</v>
      </c>
      <c r="E529" s="9">
        <f>YEAR(Table3[[#This Row],[usage_date]])</f>
        <v>2023</v>
      </c>
      <c r="F529" s="14">
        <v>5.17</v>
      </c>
      <c r="G529">
        <v>115</v>
      </c>
      <c r="H529" t="s">
        <v>13</v>
      </c>
      <c r="I529" t="str">
        <f t="shared" si="8"/>
        <v>Normal Usage</v>
      </c>
    </row>
    <row r="530" spans="1:9" x14ac:dyDescent="0.3">
      <c r="A530">
        <v>10529</v>
      </c>
      <c r="B530">
        <v>285</v>
      </c>
      <c r="C530" s="2">
        <v>44629</v>
      </c>
      <c r="D530" s="2" t="str">
        <f>TEXT(Table3[[#This Row],[usage_date]],"mmmm")</f>
        <v>March</v>
      </c>
      <c r="E530" s="9">
        <f>YEAR(Table3[[#This Row],[usage_date]])</f>
        <v>2022</v>
      </c>
      <c r="F530" s="14">
        <v>3.6</v>
      </c>
      <c r="G530">
        <v>149</v>
      </c>
      <c r="H530" t="s">
        <v>12</v>
      </c>
      <c r="I530" t="str">
        <f t="shared" si="8"/>
        <v>Normal Usage</v>
      </c>
    </row>
    <row r="531" spans="1:9" x14ac:dyDescent="0.3">
      <c r="A531">
        <v>10530</v>
      </c>
      <c r="B531">
        <v>269</v>
      </c>
      <c r="C531" s="2">
        <v>45326</v>
      </c>
      <c r="D531" s="2" t="str">
        <f>TEXT(Table3[[#This Row],[usage_date]],"mmmm")</f>
        <v>February</v>
      </c>
      <c r="E531" s="9">
        <f>YEAR(Table3[[#This Row],[usage_date]])</f>
        <v>2024</v>
      </c>
      <c r="F531" s="14">
        <v>1.8</v>
      </c>
      <c r="G531">
        <v>117</v>
      </c>
      <c r="H531" t="s">
        <v>12</v>
      </c>
      <c r="I531" t="str">
        <f t="shared" si="8"/>
        <v>Normal Usage</v>
      </c>
    </row>
    <row r="532" spans="1:9" x14ac:dyDescent="0.3">
      <c r="A532">
        <v>10531</v>
      </c>
      <c r="B532">
        <v>466</v>
      </c>
      <c r="C532" s="2">
        <v>45020</v>
      </c>
      <c r="D532" s="2" t="str">
        <f>TEXT(Table3[[#This Row],[usage_date]],"mmmm")</f>
        <v>April</v>
      </c>
      <c r="E532" s="9">
        <f>YEAR(Table3[[#This Row],[usage_date]])</f>
        <v>2023</v>
      </c>
      <c r="F532" s="14">
        <v>2.78</v>
      </c>
      <c r="G532">
        <v>164</v>
      </c>
      <c r="H532" t="s">
        <v>12</v>
      </c>
      <c r="I532" t="str">
        <f t="shared" si="8"/>
        <v>Normal Usage</v>
      </c>
    </row>
    <row r="533" spans="1:9" x14ac:dyDescent="0.3">
      <c r="A533">
        <v>10532</v>
      </c>
      <c r="B533">
        <v>258</v>
      </c>
      <c r="C533" s="2">
        <v>45075</v>
      </c>
      <c r="D533" s="2" t="str">
        <f>TEXT(Table3[[#This Row],[usage_date]],"mmmm")</f>
        <v>May</v>
      </c>
      <c r="E533" s="9">
        <f>YEAR(Table3[[#This Row],[usage_date]])</f>
        <v>2023</v>
      </c>
      <c r="F533" s="14">
        <v>4.7</v>
      </c>
      <c r="G533">
        <v>251</v>
      </c>
      <c r="H533" t="s">
        <v>12</v>
      </c>
      <c r="I533" t="str">
        <f t="shared" si="8"/>
        <v>Normal Usage</v>
      </c>
    </row>
    <row r="534" spans="1:9" x14ac:dyDescent="0.3">
      <c r="A534">
        <v>10533</v>
      </c>
      <c r="B534">
        <v>29</v>
      </c>
      <c r="C534" s="2">
        <v>44959</v>
      </c>
      <c r="D534" s="2" t="str">
        <f>TEXT(Table3[[#This Row],[usage_date]],"mmmm")</f>
        <v>February</v>
      </c>
      <c r="E534" s="9">
        <f>YEAR(Table3[[#This Row],[usage_date]])</f>
        <v>2023</v>
      </c>
      <c r="F534" s="14">
        <v>0.02</v>
      </c>
      <c r="G534">
        <v>266</v>
      </c>
      <c r="H534" t="s">
        <v>12</v>
      </c>
      <c r="I534" t="str">
        <f t="shared" si="8"/>
        <v>Normal Usage</v>
      </c>
    </row>
    <row r="535" spans="1:9" x14ac:dyDescent="0.3">
      <c r="A535">
        <v>10534</v>
      </c>
      <c r="B535">
        <v>213</v>
      </c>
      <c r="C535" s="2">
        <v>45181</v>
      </c>
      <c r="D535" s="2" t="str">
        <f>TEXT(Table3[[#This Row],[usage_date]],"mmmm")</f>
        <v>September</v>
      </c>
      <c r="E535" s="9">
        <f>YEAR(Table3[[#This Row],[usage_date]])</f>
        <v>2023</v>
      </c>
      <c r="F535" s="14">
        <v>1.29</v>
      </c>
      <c r="G535">
        <v>43</v>
      </c>
      <c r="H535" t="s">
        <v>12</v>
      </c>
      <c r="I535" t="str">
        <f t="shared" si="8"/>
        <v>Normal Usage</v>
      </c>
    </row>
    <row r="536" spans="1:9" x14ac:dyDescent="0.3">
      <c r="A536">
        <v>10535</v>
      </c>
      <c r="B536">
        <v>463</v>
      </c>
      <c r="C536" s="2">
        <v>44847</v>
      </c>
      <c r="D536" s="2" t="str">
        <f>TEXT(Table3[[#This Row],[usage_date]],"mmmm")</f>
        <v>October</v>
      </c>
      <c r="E536" s="9">
        <f>YEAR(Table3[[#This Row],[usage_date]])</f>
        <v>2022</v>
      </c>
      <c r="F536" s="14">
        <v>5.94</v>
      </c>
      <c r="G536">
        <v>180</v>
      </c>
      <c r="H536" t="s">
        <v>12</v>
      </c>
      <c r="I536" t="str">
        <f t="shared" si="8"/>
        <v>Normal Usage</v>
      </c>
    </row>
    <row r="537" spans="1:9" x14ac:dyDescent="0.3">
      <c r="A537">
        <v>10536</v>
      </c>
      <c r="B537">
        <v>436</v>
      </c>
      <c r="C537" s="2">
        <v>45122</v>
      </c>
      <c r="D537" s="2" t="str">
        <f>TEXT(Table3[[#This Row],[usage_date]],"mmmm")</f>
        <v>July</v>
      </c>
      <c r="E537" s="9">
        <f>YEAR(Table3[[#This Row],[usage_date]])</f>
        <v>2023</v>
      </c>
      <c r="F537" s="14">
        <v>3.37</v>
      </c>
      <c r="G537">
        <v>76</v>
      </c>
      <c r="H537" t="s">
        <v>12</v>
      </c>
      <c r="I537" t="str">
        <f t="shared" si="8"/>
        <v>Normal Usage</v>
      </c>
    </row>
    <row r="538" spans="1:9" x14ac:dyDescent="0.3">
      <c r="A538">
        <v>10537</v>
      </c>
      <c r="B538">
        <v>283</v>
      </c>
      <c r="C538" s="2">
        <v>44701</v>
      </c>
      <c r="D538" s="2" t="str">
        <f>TEXT(Table3[[#This Row],[usage_date]],"mmmm")</f>
        <v>May</v>
      </c>
      <c r="E538" s="9">
        <f>YEAR(Table3[[#This Row],[usage_date]])</f>
        <v>2022</v>
      </c>
      <c r="F538" s="14">
        <v>1.96</v>
      </c>
      <c r="G538">
        <v>115</v>
      </c>
      <c r="H538" t="s">
        <v>12</v>
      </c>
      <c r="I538" t="str">
        <f t="shared" si="8"/>
        <v>Normal Usage</v>
      </c>
    </row>
    <row r="539" spans="1:9" x14ac:dyDescent="0.3">
      <c r="A539">
        <v>10538</v>
      </c>
      <c r="B539">
        <v>50</v>
      </c>
      <c r="C539" s="2">
        <v>45291</v>
      </c>
      <c r="D539" s="2" t="str">
        <f>TEXT(Table3[[#This Row],[usage_date]],"mmmm")</f>
        <v>December</v>
      </c>
      <c r="E539" s="9">
        <f>YEAR(Table3[[#This Row],[usage_date]])</f>
        <v>2023</v>
      </c>
      <c r="F539" s="14">
        <v>1.89</v>
      </c>
      <c r="G539">
        <v>66</v>
      </c>
      <c r="H539" t="s">
        <v>13</v>
      </c>
      <c r="I539" t="str">
        <f t="shared" si="8"/>
        <v>Normal Usage</v>
      </c>
    </row>
    <row r="540" spans="1:9" x14ac:dyDescent="0.3">
      <c r="A540">
        <v>10539</v>
      </c>
      <c r="B540">
        <v>95</v>
      </c>
      <c r="C540" s="2">
        <v>45117</v>
      </c>
      <c r="D540" s="2" t="str">
        <f>TEXT(Table3[[#This Row],[usage_date]],"mmmm")</f>
        <v>July</v>
      </c>
      <c r="E540" s="9">
        <f>YEAR(Table3[[#This Row],[usage_date]])</f>
        <v>2023</v>
      </c>
      <c r="F540" s="14">
        <v>1.07</v>
      </c>
      <c r="G540">
        <v>12</v>
      </c>
      <c r="H540" t="s">
        <v>12</v>
      </c>
      <c r="I540" t="str">
        <f t="shared" si="8"/>
        <v>Normal Usage</v>
      </c>
    </row>
    <row r="541" spans="1:9" x14ac:dyDescent="0.3">
      <c r="A541">
        <v>10540</v>
      </c>
      <c r="B541">
        <v>463</v>
      </c>
      <c r="C541" s="2">
        <v>45342</v>
      </c>
      <c r="D541" s="2" t="str">
        <f>TEXT(Table3[[#This Row],[usage_date]],"mmmm")</f>
        <v>February</v>
      </c>
      <c r="E541" s="9">
        <f>YEAR(Table3[[#This Row],[usage_date]])</f>
        <v>2024</v>
      </c>
      <c r="F541" s="14">
        <v>1.84</v>
      </c>
      <c r="G541">
        <v>91</v>
      </c>
      <c r="H541" t="s">
        <v>12</v>
      </c>
      <c r="I541" t="str">
        <f t="shared" si="8"/>
        <v>Normal Usage</v>
      </c>
    </row>
    <row r="542" spans="1:9" x14ac:dyDescent="0.3">
      <c r="A542">
        <v>10541</v>
      </c>
      <c r="B542">
        <v>499</v>
      </c>
      <c r="C542" s="2">
        <v>45151</v>
      </c>
      <c r="D542" s="2" t="str">
        <f>TEXT(Table3[[#This Row],[usage_date]],"mmmm")</f>
        <v>August</v>
      </c>
      <c r="E542" s="9">
        <f>YEAR(Table3[[#This Row],[usage_date]])</f>
        <v>2023</v>
      </c>
      <c r="F542" s="14">
        <v>2.66</v>
      </c>
      <c r="G542">
        <v>245</v>
      </c>
      <c r="H542" t="s">
        <v>12</v>
      </c>
      <c r="I542" t="str">
        <f t="shared" si="8"/>
        <v>Normal Usage</v>
      </c>
    </row>
    <row r="543" spans="1:9" x14ac:dyDescent="0.3">
      <c r="A543">
        <v>10542</v>
      </c>
      <c r="B543">
        <v>407</v>
      </c>
      <c r="C543" s="2">
        <v>45289</v>
      </c>
      <c r="D543" s="2" t="str">
        <f>TEXT(Table3[[#This Row],[usage_date]],"mmmm")</f>
        <v>December</v>
      </c>
      <c r="E543" s="9">
        <f>YEAR(Table3[[#This Row],[usage_date]])</f>
        <v>2023</v>
      </c>
      <c r="F543" s="14">
        <v>1.35</v>
      </c>
      <c r="G543">
        <v>266</v>
      </c>
      <c r="H543" t="s">
        <v>12</v>
      </c>
      <c r="I543" t="str">
        <f t="shared" si="8"/>
        <v>Normal Usage</v>
      </c>
    </row>
    <row r="544" spans="1:9" x14ac:dyDescent="0.3">
      <c r="A544">
        <v>10543</v>
      </c>
      <c r="B544">
        <v>88</v>
      </c>
      <c r="C544" s="2">
        <v>45455</v>
      </c>
      <c r="D544" s="2" t="str">
        <f>TEXT(Table3[[#This Row],[usage_date]],"mmmm")</f>
        <v>June</v>
      </c>
      <c r="E544" s="9">
        <f>YEAR(Table3[[#This Row],[usage_date]])</f>
        <v>2024</v>
      </c>
      <c r="F544" s="14">
        <v>3.13</v>
      </c>
      <c r="G544">
        <v>138</v>
      </c>
      <c r="H544" t="s">
        <v>12</v>
      </c>
      <c r="I544" t="str">
        <f t="shared" si="8"/>
        <v>Normal Usage</v>
      </c>
    </row>
    <row r="545" spans="1:9" x14ac:dyDescent="0.3">
      <c r="A545">
        <v>10544</v>
      </c>
      <c r="B545">
        <v>44</v>
      </c>
      <c r="C545" s="2">
        <v>45171</v>
      </c>
      <c r="D545" s="2" t="str">
        <f>TEXT(Table3[[#This Row],[usage_date]],"mmmm")</f>
        <v>September</v>
      </c>
      <c r="E545" s="9">
        <f>YEAR(Table3[[#This Row],[usage_date]])</f>
        <v>2023</v>
      </c>
      <c r="F545" s="14">
        <v>4.9400000000000004</v>
      </c>
      <c r="G545">
        <v>243</v>
      </c>
      <c r="H545" t="s">
        <v>13</v>
      </c>
      <c r="I545" t="str">
        <f t="shared" si="8"/>
        <v>Normal Usage</v>
      </c>
    </row>
    <row r="546" spans="1:9" x14ac:dyDescent="0.3">
      <c r="A546">
        <v>10545</v>
      </c>
      <c r="B546">
        <v>461</v>
      </c>
      <c r="C546" s="2">
        <v>45309</v>
      </c>
      <c r="D546" s="2" t="str">
        <f>TEXT(Table3[[#This Row],[usage_date]],"mmmm")</f>
        <v>January</v>
      </c>
      <c r="E546" s="9">
        <f>YEAR(Table3[[#This Row],[usage_date]])</f>
        <v>2024</v>
      </c>
      <c r="F546" s="14">
        <v>0.42</v>
      </c>
      <c r="G546">
        <v>272</v>
      </c>
      <c r="H546" t="s">
        <v>12</v>
      </c>
      <c r="I546" t="str">
        <f t="shared" si="8"/>
        <v>Normal Usage</v>
      </c>
    </row>
    <row r="547" spans="1:9" x14ac:dyDescent="0.3">
      <c r="A547">
        <v>10546</v>
      </c>
      <c r="B547">
        <v>278</v>
      </c>
      <c r="C547" s="2">
        <v>44843</v>
      </c>
      <c r="D547" s="2" t="str">
        <f>TEXT(Table3[[#This Row],[usage_date]],"mmmm")</f>
        <v>October</v>
      </c>
      <c r="E547" s="9">
        <f>YEAR(Table3[[#This Row],[usage_date]])</f>
        <v>2022</v>
      </c>
      <c r="F547" s="14">
        <v>1.5</v>
      </c>
      <c r="G547">
        <v>190</v>
      </c>
      <c r="H547" t="s">
        <v>13</v>
      </c>
      <c r="I547" t="str">
        <f t="shared" si="8"/>
        <v>Normal Usage</v>
      </c>
    </row>
    <row r="548" spans="1:9" x14ac:dyDescent="0.3">
      <c r="A548">
        <v>10547</v>
      </c>
      <c r="B548">
        <v>171</v>
      </c>
      <c r="C548" s="2">
        <v>45222</v>
      </c>
      <c r="D548" s="2" t="str">
        <f>TEXT(Table3[[#This Row],[usage_date]],"mmmm")</f>
        <v>October</v>
      </c>
      <c r="E548" s="9">
        <f>YEAR(Table3[[#This Row],[usage_date]])</f>
        <v>2023</v>
      </c>
      <c r="F548" s="14">
        <v>1.31</v>
      </c>
      <c r="G548">
        <v>96</v>
      </c>
      <c r="H548" t="s">
        <v>13</v>
      </c>
      <c r="I548" t="str">
        <f t="shared" si="8"/>
        <v>Normal Usage</v>
      </c>
    </row>
    <row r="549" spans="1:9" x14ac:dyDescent="0.3">
      <c r="A549">
        <v>10548</v>
      </c>
      <c r="B549">
        <v>421</v>
      </c>
      <c r="C549" s="2">
        <v>45377</v>
      </c>
      <c r="D549" s="2" t="str">
        <f>TEXT(Table3[[#This Row],[usage_date]],"mmmm")</f>
        <v>March</v>
      </c>
      <c r="E549" s="9">
        <f>YEAR(Table3[[#This Row],[usage_date]])</f>
        <v>2024</v>
      </c>
      <c r="F549" s="14">
        <v>2.91</v>
      </c>
      <c r="G549">
        <v>204</v>
      </c>
      <c r="H549" t="s">
        <v>13</v>
      </c>
      <c r="I549" t="str">
        <f t="shared" si="8"/>
        <v>Normal Usage</v>
      </c>
    </row>
    <row r="550" spans="1:9" x14ac:dyDescent="0.3">
      <c r="A550">
        <v>10549</v>
      </c>
      <c r="B550">
        <v>189</v>
      </c>
      <c r="C550" s="2">
        <v>45139</v>
      </c>
      <c r="D550" s="2" t="str">
        <f>TEXT(Table3[[#This Row],[usage_date]],"mmmm")</f>
        <v>August</v>
      </c>
      <c r="E550" s="9">
        <f>YEAR(Table3[[#This Row],[usage_date]])</f>
        <v>2023</v>
      </c>
      <c r="F550" s="14">
        <v>0.72</v>
      </c>
      <c r="G550">
        <v>136</v>
      </c>
      <c r="H550" t="s">
        <v>12</v>
      </c>
      <c r="I550" t="str">
        <f t="shared" si="8"/>
        <v>Normal Usage</v>
      </c>
    </row>
    <row r="551" spans="1:9" x14ac:dyDescent="0.3">
      <c r="A551">
        <v>10550</v>
      </c>
      <c r="B551">
        <v>353</v>
      </c>
      <c r="C551" s="2">
        <v>45307</v>
      </c>
      <c r="D551" s="2" t="str">
        <f>TEXT(Table3[[#This Row],[usage_date]],"mmmm")</f>
        <v>January</v>
      </c>
      <c r="E551" s="9">
        <f>YEAR(Table3[[#This Row],[usage_date]])</f>
        <v>2024</v>
      </c>
      <c r="F551" s="14">
        <v>2.56</v>
      </c>
      <c r="G551">
        <v>76</v>
      </c>
      <c r="H551" t="s">
        <v>13</v>
      </c>
      <c r="I551" t="str">
        <f t="shared" si="8"/>
        <v>Normal Usage</v>
      </c>
    </row>
    <row r="552" spans="1:9" x14ac:dyDescent="0.3">
      <c r="A552">
        <v>10551</v>
      </c>
      <c r="B552">
        <v>184</v>
      </c>
      <c r="C552" s="2">
        <v>45018</v>
      </c>
      <c r="D552" s="2" t="str">
        <f>TEXT(Table3[[#This Row],[usage_date]],"mmmm")</f>
        <v>April</v>
      </c>
      <c r="E552" s="9">
        <f>YEAR(Table3[[#This Row],[usage_date]])</f>
        <v>2023</v>
      </c>
      <c r="F552" s="14">
        <v>5.25</v>
      </c>
      <c r="G552">
        <v>36</v>
      </c>
      <c r="H552" t="s">
        <v>12</v>
      </c>
      <c r="I552" t="str">
        <f t="shared" si="8"/>
        <v>Normal Usage</v>
      </c>
    </row>
    <row r="553" spans="1:9" x14ac:dyDescent="0.3">
      <c r="A553">
        <v>10552</v>
      </c>
      <c r="B553">
        <v>3</v>
      </c>
      <c r="C553" s="2">
        <v>44648</v>
      </c>
      <c r="D553" s="2" t="str">
        <f>TEXT(Table3[[#This Row],[usage_date]],"mmmm")</f>
        <v>March</v>
      </c>
      <c r="E553" s="9">
        <f>YEAR(Table3[[#This Row],[usage_date]])</f>
        <v>2022</v>
      </c>
      <c r="F553" s="14">
        <v>1.35</v>
      </c>
      <c r="G553">
        <v>285</v>
      </c>
      <c r="H553" t="s">
        <v>12</v>
      </c>
      <c r="I553" t="str">
        <f t="shared" si="8"/>
        <v>Normal Usage</v>
      </c>
    </row>
    <row r="554" spans="1:9" x14ac:dyDescent="0.3">
      <c r="A554">
        <v>10553</v>
      </c>
      <c r="B554">
        <v>191</v>
      </c>
      <c r="C554" s="2">
        <v>44640</v>
      </c>
      <c r="D554" s="2" t="str">
        <f>TEXT(Table3[[#This Row],[usage_date]],"mmmm")</f>
        <v>March</v>
      </c>
      <c r="E554" s="9">
        <f>YEAR(Table3[[#This Row],[usage_date]])</f>
        <v>2022</v>
      </c>
      <c r="F554" s="14">
        <v>6.05</v>
      </c>
      <c r="G554">
        <v>134</v>
      </c>
      <c r="H554" t="s">
        <v>12</v>
      </c>
      <c r="I554" t="str">
        <f t="shared" si="8"/>
        <v>High Usage</v>
      </c>
    </row>
    <row r="555" spans="1:9" x14ac:dyDescent="0.3">
      <c r="A555">
        <v>10554</v>
      </c>
      <c r="B555">
        <v>118</v>
      </c>
      <c r="C555" s="2">
        <v>44766</v>
      </c>
      <c r="D555" s="2" t="str">
        <f>TEXT(Table3[[#This Row],[usage_date]],"mmmm")</f>
        <v>July</v>
      </c>
      <c r="E555" s="9">
        <f>YEAR(Table3[[#This Row],[usage_date]])</f>
        <v>2022</v>
      </c>
      <c r="F555" s="14">
        <v>12.46</v>
      </c>
      <c r="G555">
        <v>141</v>
      </c>
      <c r="H555" t="s">
        <v>13</v>
      </c>
      <c r="I555" t="str">
        <f t="shared" si="8"/>
        <v>High Usage</v>
      </c>
    </row>
    <row r="556" spans="1:9" x14ac:dyDescent="0.3">
      <c r="A556">
        <v>10555</v>
      </c>
      <c r="B556">
        <v>19</v>
      </c>
      <c r="C556" s="2">
        <v>45352</v>
      </c>
      <c r="D556" s="2" t="str">
        <f>TEXT(Table3[[#This Row],[usage_date]],"mmmm")</f>
        <v>March</v>
      </c>
      <c r="E556" s="9">
        <f>YEAR(Table3[[#This Row],[usage_date]])</f>
        <v>2024</v>
      </c>
      <c r="F556" s="14">
        <v>0.28000000000000003</v>
      </c>
      <c r="G556">
        <v>253</v>
      </c>
      <c r="H556" t="s">
        <v>12</v>
      </c>
      <c r="I556" t="str">
        <f t="shared" si="8"/>
        <v>Normal Usage</v>
      </c>
    </row>
    <row r="557" spans="1:9" x14ac:dyDescent="0.3">
      <c r="A557">
        <v>10556</v>
      </c>
      <c r="B557">
        <v>23</v>
      </c>
      <c r="C557" s="2">
        <v>44898</v>
      </c>
      <c r="D557" s="2" t="str">
        <f>TEXT(Table3[[#This Row],[usage_date]],"mmmm")</f>
        <v>December</v>
      </c>
      <c r="E557" s="9">
        <f>YEAR(Table3[[#This Row],[usage_date]])</f>
        <v>2022</v>
      </c>
      <c r="F557" s="14">
        <v>0.66</v>
      </c>
      <c r="G557">
        <v>47</v>
      </c>
      <c r="H557" t="s">
        <v>12</v>
      </c>
      <c r="I557" t="str">
        <f t="shared" si="8"/>
        <v>Normal Usage</v>
      </c>
    </row>
    <row r="558" spans="1:9" x14ac:dyDescent="0.3">
      <c r="A558">
        <v>10557</v>
      </c>
      <c r="B558">
        <v>413</v>
      </c>
      <c r="C558" s="2">
        <v>44815</v>
      </c>
      <c r="D558" s="2" t="str">
        <f>TEXT(Table3[[#This Row],[usage_date]],"mmmm")</f>
        <v>September</v>
      </c>
      <c r="E558" s="9">
        <f>YEAR(Table3[[#This Row],[usage_date]])</f>
        <v>2022</v>
      </c>
      <c r="F558" s="14">
        <v>7.51</v>
      </c>
      <c r="G558">
        <v>254</v>
      </c>
      <c r="H558" t="s">
        <v>12</v>
      </c>
      <c r="I558" t="str">
        <f t="shared" si="8"/>
        <v>High Usage</v>
      </c>
    </row>
    <row r="559" spans="1:9" x14ac:dyDescent="0.3">
      <c r="A559">
        <v>10558</v>
      </c>
      <c r="B559">
        <v>30</v>
      </c>
      <c r="C559" s="2">
        <v>44865</v>
      </c>
      <c r="D559" s="2" t="str">
        <f>TEXT(Table3[[#This Row],[usage_date]],"mmmm")</f>
        <v>October</v>
      </c>
      <c r="E559" s="9">
        <f>YEAR(Table3[[#This Row],[usage_date]])</f>
        <v>2022</v>
      </c>
      <c r="F559" s="14">
        <v>7.94</v>
      </c>
      <c r="G559">
        <v>133</v>
      </c>
      <c r="H559" t="s">
        <v>12</v>
      </c>
      <c r="I559" t="str">
        <f t="shared" si="8"/>
        <v>High Usage</v>
      </c>
    </row>
    <row r="560" spans="1:9" x14ac:dyDescent="0.3">
      <c r="A560">
        <v>10559</v>
      </c>
      <c r="B560">
        <v>295</v>
      </c>
      <c r="C560" s="2">
        <v>44941</v>
      </c>
      <c r="D560" s="2" t="str">
        <f>TEXT(Table3[[#This Row],[usage_date]],"mmmm")</f>
        <v>January</v>
      </c>
      <c r="E560" s="9">
        <f>YEAR(Table3[[#This Row],[usage_date]])</f>
        <v>2023</v>
      </c>
      <c r="F560" s="14">
        <v>0.26</v>
      </c>
      <c r="G560">
        <v>289</v>
      </c>
      <c r="H560" t="s">
        <v>12</v>
      </c>
      <c r="I560" t="str">
        <f t="shared" si="8"/>
        <v>Normal Usage</v>
      </c>
    </row>
    <row r="561" spans="1:9" x14ac:dyDescent="0.3">
      <c r="A561">
        <v>10560</v>
      </c>
      <c r="B561">
        <v>108</v>
      </c>
      <c r="C561" s="2">
        <v>44691</v>
      </c>
      <c r="D561" s="2" t="str">
        <f>TEXT(Table3[[#This Row],[usage_date]],"mmmm")</f>
        <v>May</v>
      </c>
      <c r="E561" s="9">
        <f>YEAR(Table3[[#This Row],[usage_date]])</f>
        <v>2022</v>
      </c>
      <c r="F561" s="14">
        <v>0.04</v>
      </c>
      <c r="G561">
        <v>207</v>
      </c>
      <c r="H561" t="s">
        <v>13</v>
      </c>
      <c r="I561" t="str">
        <f t="shared" si="8"/>
        <v>Normal Usage</v>
      </c>
    </row>
    <row r="562" spans="1:9" x14ac:dyDescent="0.3">
      <c r="A562">
        <v>10561</v>
      </c>
      <c r="B562">
        <v>367</v>
      </c>
      <c r="C562" s="2">
        <v>45157</v>
      </c>
      <c r="D562" s="2" t="str">
        <f>TEXT(Table3[[#This Row],[usage_date]],"mmmm")</f>
        <v>August</v>
      </c>
      <c r="E562" s="9">
        <f>YEAR(Table3[[#This Row],[usage_date]])</f>
        <v>2023</v>
      </c>
      <c r="F562" s="14">
        <v>0.44</v>
      </c>
      <c r="G562">
        <v>100</v>
      </c>
      <c r="H562" t="s">
        <v>13</v>
      </c>
      <c r="I562" t="str">
        <f t="shared" si="8"/>
        <v>Normal Usage</v>
      </c>
    </row>
    <row r="563" spans="1:9" x14ac:dyDescent="0.3">
      <c r="A563">
        <v>10562</v>
      </c>
      <c r="B563">
        <v>281</v>
      </c>
      <c r="C563" s="2">
        <v>44837</v>
      </c>
      <c r="D563" s="2" t="str">
        <f>TEXT(Table3[[#This Row],[usage_date]],"mmmm")</f>
        <v>October</v>
      </c>
      <c r="E563" s="9">
        <f>YEAR(Table3[[#This Row],[usage_date]])</f>
        <v>2022</v>
      </c>
      <c r="F563" s="14">
        <v>13.81</v>
      </c>
      <c r="G563">
        <v>45</v>
      </c>
      <c r="H563" t="s">
        <v>13</v>
      </c>
      <c r="I563" t="str">
        <f t="shared" si="8"/>
        <v>High Usage</v>
      </c>
    </row>
    <row r="564" spans="1:9" x14ac:dyDescent="0.3">
      <c r="A564">
        <v>10563</v>
      </c>
      <c r="B564">
        <v>128</v>
      </c>
      <c r="C564" s="2">
        <v>45260</v>
      </c>
      <c r="D564" s="2" t="str">
        <f>TEXT(Table3[[#This Row],[usage_date]],"mmmm")</f>
        <v>November</v>
      </c>
      <c r="E564" s="9">
        <f>YEAR(Table3[[#This Row],[usage_date]])</f>
        <v>2023</v>
      </c>
      <c r="F564" s="14">
        <v>0.5</v>
      </c>
      <c r="G564">
        <v>69</v>
      </c>
      <c r="H564" t="s">
        <v>12</v>
      </c>
      <c r="I564" t="str">
        <f t="shared" si="8"/>
        <v>Normal Usage</v>
      </c>
    </row>
    <row r="565" spans="1:9" x14ac:dyDescent="0.3">
      <c r="A565">
        <v>10564</v>
      </c>
      <c r="B565">
        <v>229</v>
      </c>
      <c r="C565" s="2">
        <v>45119</v>
      </c>
      <c r="D565" s="2" t="str">
        <f>TEXT(Table3[[#This Row],[usage_date]],"mmmm")</f>
        <v>July</v>
      </c>
      <c r="E565" s="9">
        <f>YEAR(Table3[[#This Row],[usage_date]])</f>
        <v>2023</v>
      </c>
      <c r="F565" s="14">
        <v>1.75</v>
      </c>
      <c r="G565">
        <v>135</v>
      </c>
      <c r="H565" t="s">
        <v>12</v>
      </c>
      <c r="I565" t="str">
        <f t="shared" si="8"/>
        <v>Normal Usage</v>
      </c>
    </row>
    <row r="566" spans="1:9" x14ac:dyDescent="0.3">
      <c r="A566">
        <v>10565</v>
      </c>
      <c r="B566">
        <v>111</v>
      </c>
      <c r="C566" s="2">
        <v>45460</v>
      </c>
      <c r="D566" s="2" t="str">
        <f>TEXT(Table3[[#This Row],[usage_date]],"mmmm")</f>
        <v>June</v>
      </c>
      <c r="E566" s="9">
        <f>YEAR(Table3[[#This Row],[usage_date]])</f>
        <v>2024</v>
      </c>
      <c r="F566" s="14">
        <v>4.72</v>
      </c>
      <c r="G566">
        <v>279</v>
      </c>
      <c r="H566" t="s">
        <v>12</v>
      </c>
      <c r="I566" t="str">
        <f t="shared" si="8"/>
        <v>Normal Usage</v>
      </c>
    </row>
    <row r="567" spans="1:9" x14ac:dyDescent="0.3">
      <c r="A567">
        <v>10566</v>
      </c>
      <c r="B567">
        <v>136</v>
      </c>
      <c r="C567" s="2">
        <v>44744</v>
      </c>
      <c r="D567" s="2" t="str">
        <f>TEXT(Table3[[#This Row],[usage_date]],"mmmm")</f>
        <v>July</v>
      </c>
      <c r="E567" s="9">
        <f>YEAR(Table3[[#This Row],[usage_date]])</f>
        <v>2022</v>
      </c>
      <c r="F567" s="14">
        <v>0.05</v>
      </c>
      <c r="G567">
        <v>66</v>
      </c>
      <c r="H567" t="s">
        <v>12</v>
      </c>
      <c r="I567" t="str">
        <f t="shared" si="8"/>
        <v>Normal Usage</v>
      </c>
    </row>
    <row r="568" spans="1:9" x14ac:dyDescent="0.3">
      <c r="A568">
        <v>10567</v>
      </c>
      <c r="B568">
        <v>362</v>
      </c>
      <c r="C568" s="2">
        <v>44829</v>
      </c>
      <c r="D568" s="2" t="str">
        <f>TEXT(Table3[[#This Row],[usage_date]],"mmmm")</f>
        <v>September</v>
      </c>
      <c r="E568" s="9">
        <f>YEAR(Table3[[#This Row],[usage_date]])</f>
        <v>2022</v>
      </c>
      <c r="F568" s="14">
        <v>2.3199999999999998</v>
      </c>
      <c r="G568">
        <v>3</v>
      </c>
      <c r="H568" t="s">
        <v>12</v>
      </c>
      <c r="I568" t="str">
        <f t="shared" si="8"/>
        <v>Normal Usage</v>
      </c>
    </row>
    <row r="569" spans="1:9" x14ac:dyDescent="0.3">
      <c r="A569">
        <v>10568</v>
      </c>
      <c r="B569">
        <v>186</v>
      </c>
      <c r="C569" s="2">
        <v>45369</v>
      </c>
      <c r="D569" s="2" t="str">
        <f>TEXT(Table3[[#This Row],[usage_date]],"mmmm")</f>
        <v>March</v>
      </c>
      <c r="E569" s="9">
        <f>YEAR(Table3[[#This Row],[usage_date]])</f>
        <v>2024</v>
      </c>
      <c r="F569" s="14">
        <v>0.81</v>
      </c>
      <c r="G569">
        <v>223</v>
      </c>
      <c r="H569" t="s">
        <v>13</v>
      </c>
      <c r="I569" t="str">
        <f t="shared" si="8"/>
        <v>Normal Usage</v>
      </c>
    </row>
    <row r="570" spans="1:9" x14ac:dyDescent="0.3">
      <c r="A570">
        <v>10569</v>
      </c>
      <c r="B570">
        <v>144</v>
      </c>
      <c r="C570" s="2">
        <v>44883</v>
      </c>
      <c r="D570" s="2" t="str">
        <f>TEXT(Table3[[#This Row],[usage_date]],"mmmm")</f>
        <v>November</v>
      </c>
      <c r="E570" s="9">
        <f>YEAR(Table3[[#This Row],[usage_date]])</f>
        <v>2022</v>
      </c>
      <c r="F570" s="14">
        <v>4.96</v>
      </c>
      <c r="G570">
        <v>0</v>
      </c>
      <c r="H570" t="s">
        <v>12</v>
      </c>
      <c r="I570" t="str">
        <f t="shared" si="8"/>
        <v>Normal Usage</v>
      </c>
    </row>
    <row r="571" spans="1:9" x14ac:dyDescent="0.3">
      <c r="A571">
        <v>10570</v>
      </c>
      <c r="B571">
        <v>72</v>
      </c>
      <c r="C571" s="2">
        <v>45073</v>
      </c>
      <c r="D571" s="2" t="str">
        <f>TEXT(Table3[[#This Row],[usage_date]],"mmmm")</f>
        <v>May</v>
      </c>
      <c r="E571" s="9">
        <f>YEAR(Table3[[#This Row],[usage_date]])</f>
        <v>2023</v>
      </c>
      <c r="F571" s="14">
        <v>0.83</v>
      </c>
      <c r="G571">
        <v>289</v>
      </c>
      <c r="H571" t="s">
        <v>13</v>
      </c>
      <c r="I571" t="str">
        <f t="shared" si="8"/>
        <v>Normal Usage</v>
      </c>
    </row>
    <row r="572" spans="1:9" x14ac:dyDescent="0.3">
      <c r="A572">
        <v>10571</v>
      </c>
      <c r="B572">
        <v>129</v>
      </c>
      <c r="C572" s="2">
        <v>45173</v>
      </c>
      <c r="D572" s="2" t="str">
        <f>TEXT(Table3[[#This Row],[usage_date]],"mmmm")</f>
        <v>September</v>
      </c>
      <c r="E572" s="9">
        <f>YEAR(Table3[[#This Row],[usage_date]])</f>
        <v>2023</v>
      </c>
      <c r="F572" s="14">
        <v>2.9</v>
      </c>
      <c r="G572">
        <v>108</v>
      </c>
      <c r="H572" t="s">
        <v>13</v>
      </c>
      <c r="I572" t="str">
        <f t="shared" si="8"/>
        <v>Normal Usage</v>
      </c>
    </row>
    <row r="573" spans="1:9" x14ac:dyDescent="0.3">
      <c r="A573">
        <v>10572</v>
      </c>
      <c r="B573">
        <v>364</v>
      </c>
      <c r="C573" s="2">
        <v>44639</v>
      </c>
      <c r="D573" s="2" t="str">
        <f>TEXT(Table3[[#This Row],[usage_date]],"mmmm")</f>
        <v>March</v>
      </c>
      <c r="E573" s="9">
        <f>YEAR(Table3[[#This Row],[usage_date]])</f>
        <v>2022</v>
      </c>
      <c r="F573" s="14">
        <v>2.8</v>
      </c>
      <c r="G573">
        <v>264</v>
      </c>
      <c r="H573" t="s">
        <v>12</v>
      </c>
      <c r="I573" t="str">
        <f t="shared" si="8"/>
        <v>Normal Usage</v>
      </c>
    </row>
    <row r="574" spans="1:9" x14ac:dyDescent="0.3">
      <c r="A574">
        <v>10573</v>
      </c>
      <c r="B574">
        <v>261</v>
      </c>
      <c r="C574" s="2">
        <v>45345</v>
      </c>
      <c r="D574" s="2" t="str">
        <f>TEXT(Table3[[#This Row],[usage_date]],"mmmm")</f>
        <v>February</v>
      </c>
      <c r="E574" s="9">
        <f>YEAR(Table3[[#This Row],[usage_date]])</f>
        <v>2024</v>
      </c>
      <c r="F574" s="14">
        <v>0.63</v>
      </c>
      <c r="G574">
        <v>62</v>
      </c>
      <c r="H574" t="s">
        <v>13</v>
      </c>
      <c r="I574" t="str">
        <f t="shared" si="8"/>
        <v>Normal Usage</v>
      </c>
    </row>
    <row r="575" spans="1:9" x14ac:dyDescent="0.3">
      <c r="A575">
        <v>10574</v>
      </c>
      <c r="B575">
        <v>3</v>
      </c>
      <c r="C575" s="2">
        <v>44900</v>
      </c>
      <c r="D575" s="2" t="str">
        <f>TEXT(Table3[[#This Row],[usage_date]],"mmmm")</f>
        <v>December</v>
      </c>
      <c r="E575" s="9">
        <f>YEAR(Table3[[#This Row],[usage_date]])</f>
        <v>2022</v>
      </c>
      <c r="F575" s="14">
        <v>0.09</v>
      </c>
      <c r="G575">
        <v>265</v>
      </c>
      <c r="H575" t="s">
        <v>13</v>
      </c>
      <c r="I575" t="str">
        <f t="shared" si="8"/>
        <v>Normal Usage</v>
      </c>
    </row>
    <row r="576" spans="1:9" x14ac:dyDescent="0.3">
      <c r="A576">
        <v>10575</v>
      </c>
      <c r="B576">
        <v>449</v>
      </c>
      <c r="C576" s="2">
        <v>45235</v>
      </c>
      <c r="D576" s="2" t="str">
        <f>TEXT(Table3[[#This Row],[usage_date]],"mmmm")</f>
        <v>November</v>
      </c>
      <c r="E576" s="9">
        <f>YEAR(Table3[[#This Row],[usage_date]])</f>
        <v>2023</v>
      </c>
      <c r="F576" s="14">
        <v>1.32</v>
      </c>
      <c r="G576">
        <v>137</v>
      </c>
      <c r="H576" t="s">
        <v>12</v>
      </c>
      <c r="I576" t="str">
        <f t="shared" si="8"/>
        <v>Normal Usage</v>
      </c>
    </row>
    <row r="577" spans="1:9" x14ac:dyDescent="0.3">
      <c r="A577">
        <v>10576</v>
      </c>
      <c r="B577">
        <v>388</v>
      </c>
      <c r="C577" s="2">
        <v>45117</v>
      </c>
      <c r="D577" s="2" t="str">
        <f>TEXT(Table3[[#This Row],[usage_date]],"mmmm")</f>
        <v>July</v>
      </c>
      <c r="E577" s="9">
        <f>YEAR(Table3[[#This Row],[usage_date]])</f>
        <v>2023</v>
      </c>
      <c r="F577" s="14">
        <v>0.85</v>
      </c>
      <c r="G577">
        <v>43</v>
      </c>
      <c r="H577" t="s">
        <v>12</v>
      </c>
      <c r="I577" t="str">
        <f t="shared" si="8"/>
        <v>Normal Usage</v>
      </c>
    </row>
    <row r="578" spans="1:9" x14ac:dyDescent="0.3">
      <c r="A578">
        <v>10577</v>
      </c>
      <c r="B578">
        <v>104</v>
      </c>
      <c r="C578" s="2">
        <v>45070</v>
      </c>
      <c r="D578" s="2" t="str">
        <f>TEXT(Table3[[#This Row],[usage_date]],"mmmm")</f>
        <v>May</v>
      </c>
      <c r="E578" s="9">
        <f>YEAR(Table3[[#This Row],[usage_date]])</f>
        <v>2023</v>
      </c>
      <c r="F578" s="14">
        <v>4.1399999999999997</v>
      </c>
      <c r="G578">
        <v>261</v>
      </c>
      <c r="H578" t="s">
        <v>12</v>
      </c>
      <c r="I578" t="str">
        <f t="shared" ref="I578:I641" si="9">IF(F578&gt;6,"High Usage","Normal Usage")</f>
        <v>Normal Usage</v>
      </c>
    </row>
    <row r="579" spans="1:9" x14ac:dyDescent="0.3">
      <c r="A579">
        <v>10578</v>
      </c>
      <c r="B579">
        <v>483</v>
      </c>
      <c r="C579" s="2">
        <v>44799</v>
      </c>
      <c r="D579" s="2" t="str">
        <f>TEXT(Table3[[#This Row],[usage_date]],"mmmm")</f>
        <v>August</v>
      </c>
      <c r="E579" s="9">
        <f>YEAR(Table3[[#This Row],[usage_date]])</f>
        <v>2022</v>
      </c>
      <c r="F579" s="14">
        <v>4.03</v>
      </c>
      <c r="G579">
        <v>215</v>
      </c>
      <c r="H579" t="s">
        <v>12</v>
      </c>
      <c r="I579" t="str">
        <f t="shared" si="9"/>
        <v>Normal Usage</v>
      </c>
    </row>
    <row r="580" spans="1:9" x14ac:dyDescent="0.3">
      <c r="A580">
        <v>10579</v>
      </c>
      <c r="B580">
        <v>224</v>
      </c>
      <c r="C580" s="2">
        <v>44695</v>
      </c>
      <c r="D580" s="2" t="str">
        <f>TEXT(Table3[[#This Row],[usage_date]],"mmmm")</f>
        <v>May</v>
      </c>
      <c r="E580" s="9">
        <f>YEAR(Table3[[#This Row],[usage_date]])</f>
        <v>2022</v>
      </c>
      <c r="F580" s="14">
        <v>1.53</v>
      </c>
      <c r="G580">
        <v>120</v>
      </c>
      <c r="H580" t="s">
        <v>12</v>
      </c>
      <c r="I580" t="str">
        <f t="shared" si="9"/>
        <v>Normal Usage</v>
      </c>
    </row>
    <row r="581" spans="1:9" x14ac:dyDescent="0.3">
      <c r="A581">
        <v>10580</v>
      </c>
      <c r="B581">
        <v>320</v>
      </c>
      <c r="C581" s="2">
        <v>44753</v>
      </c>
      <c r="D581" s="2" t="str">
        <f>TEXT(Table3[[#This Row],[usage_date]],"mmmm")</f>
        <v>July</v>
      </c>
      <c r="E581" s="9">
        <f>YEAR(Table3[[#This Row],[usage_date]])</f>
        <v>2022</v>
      </c>
      <c r="F581" s="14">
        <v>2.33</v>
      </c>
      <c r="G581">
        <v>151</v>
      </c>
      <c r="H581" t="s">
        <v>12</v>
      </c>
      <c r="I581" t="str">
        <f t="shared" si="9"/>
        <v>Normal Usage</v>
      </c>
    </row>
    <row r="582" spans="1:9" x14ac:dyDescent="0.3">
      <c r="A582">
        <v>10581</v>
      </c>
      <c r="B582">
        <v>362</v>
      </c>
      <c r="C582" s="2">
        <v>44917</v>
      </c>
      <c r="D582" s="2" t="str">
        <f>TEXT(Table3[[#This Row],[usage_date]],"mmmm")</f>
        <v>December</v>
      </c>
      <c r="E582" s="9">
        <f>YEAR(Table3[[#This Row],[usage_date]])</f>
        <v>2022</v>
      </c>
      <c r="F582" s="14">
        <v>2.3199999999999998</v>
      </c>
      <c r="G582">
        <v>212</v>
      </c>
      <c r="H582" t="s">
        <v>12</v>
      </c>
      <c r="I582" t="str">
        <f t="shared" si="9"/>
        <v>Normal Usage</v>
      </c>
    </row>
    <row r="583" spans="1:9" x14ac:dyDescent="0.3">
      <c r="A583">
        <v>10582</v>
      </c>
      <c r="B583">
        <v>354</v>
      </c>
      <c r="C583" s="2">
        <v>44839</v>
      </c>
      <c r="D583" s="2" t="str">
        <f>TEXT(Table3[[#This Row],[usage_date]],"mmmm")</f>
        <v>October</v>
      </c>
      <c r="E583" s="9">
        <f>YEAR(Table3[[#This Row],[usage_date]])</f>
        <v>2022</v>
      </c>
      <c r="F583" s="14">
        <v>4.3899999999999997</v>
      </c>
      <c r="G583">
        <v>233</v>
      </c>
      <c r="H583" t="s">
        <v>12</v>
      </c>
      <c r="I583" t="str">
        <f t="shared" si="9"/>
        <v>Normal Usage</v>
      </c>
    </row>
    <row r="584" spans="1:9" x14ac:dyDescent="0.3">
      <c r="A584">
        <v>10583</v>
      </c>
      <c r="B584">
        <v>491</v>
      </c>
      <c r="C584" s="2">
        <v>44579</v>
      </c>
      <c r="D584" s="2" t="str">
        <f>TEXT(Table3[[#This Row],[usage_date]],"mmmm")</f>
        <v>January</v>
      </c>
      <c r="E584" s="9">
        <f>YEAR(Table3[[#This Row],[usage_date]])</f>
        <v>2022</v>
      </c>
      <c r="F584" s="14">
        <v>1.38</v>
      </c>
      <c r="G584">
        <v>110</v>
      </c>
      <c r="H584" t="s">
        <v>12</v>
      </c>
      <c r="I584" t="str">
        <f t="shared" si="9"/>
        <v>Normal Usage</v>
      </c>
    </row>
    <row r="585" spans="1:9" x14ac:dyDescent="0.3">
      <c r="A585">
        <v>10584</v>
      </c>
      <c r="B585">
        <v>473</v>
      </c>
      <c r="C585" s="2">
        <v>45085</v>
      </c>
      <c r="D585" s="2" t="str">
        <f>TEXT(Table3[[#This Row],[usage_date]],"mmmm")</f>
        <v>June</v>
      </c>
      <c r="E585" s="9">
        <f>YEAR(Table3[[#This Row],[usage_date]])</f>
        <v>2023</v>
      </c>
      <c r="F585" s="14">
        <v>0.81</v>
      </c>
      <c r="G585">
        <v>221</v>
      </c>
      <c r="H585" t="s">
        <v>12</v>
      </c>
      <c r="I585" t="str">
        <f t="shared" si="9"/>
        <v>Normal Usage</v>
      </c>
    </row>
    <row r="586" spans="1:9" x14ac:dyDescent="0.3">
      <c r="A586">
        <v>10585</v>
      </c>
      <c r="B586">
        <v>10</v>
      </c>
      <c r="C586" s="2">
        <v>44741</v>
      </c>
      <c r="D586" s="2" t="str">
        <f>TEXT(Table3[[#This Row],[usage_date]],"mmmm")</f>
        <v>June</v>
      </c>
      <c r="E586" s="9">
        <f>YEAR(Table3[[#This Row],[usage_date]])</f>
        <v>2022</v>
      </c>
      <c r="F586" s="14">
        <v>0.77</v>
      </c>
      <c r="G586">
        <v>225</v>
      </c>
      <c r="H586" t="s">
        <v>12</v>
      </c>
      <c r="I586" t="str">
        <f t="shared" si="9"/>
        <v>Normal Usage</v>
      </c>
    </row>
    <row r="587" spans="1:9" x14ac:dyDescent="0.3">
      <c r="A587">
        <v>10586</v>
      </c>
      <c r="B587">
        <v>405</v>
      </c>
      <c r="C587" s="2">
        <v>44684</v>
      </c>
      <c r="D587" s="2" t="str">
        <f>TEXT(Table3[[#This Row],[usage_date]],"mmmm")</f>
        <v>May</v>
      </c>
      <c r="E587" s="9">
        <f>YEAR(Table3[[#This Row],[usage_date]])</f>
        <v>2022</v>
      </c>
      <c r="F587" s="14">
        <v>1.92</v>
      </c>
      <c r="G587">
        <v>209</v>
      </c>
      <c r="H587" t="s">
        <v>12</v>
      </c>
      <c r="I587" t="str">
        <f t="shared" si="9"/>
        <v>Normal Usage</v>
      </c>
    </row>
    <row r="588" spans="1:9" x14ac:dyDescent="0.3">
      <c r="A588">
        <v>10587</v>
      </c>
      <c r="B588">
        <v>384</v>
      </c>
      <c r="C588" s="2">
        <v>44807</v>
      </c>
      <c r="D588" s="2" t="str">
        <f>TEXT(Table3[[#This Row],[usage_date]],"mmmm")</f>
        <v>September</v>
      </c>
      <c r="E588" s="9">
        <f>YEAR(Table3[[#This Row],[usage_date]])</f>
        <v>2022</v>
      </c>
      <c r="F588" s="14">
        <v>1.49</v>
      </c>
      <c r="G588">
        <v>70</v>
      </c>
      <c r="H588" t="s">
        <v>12</v>
      </c>
      <c r="I588" t="str">
        <f t="shared" si="9"/>
        <v>Normal Usage</v>
      </c>
    </row>
    <row r="589" spans="1:9" x14ac:dyDescent="0.3">
      <c r="A589">
        <v>10588</v>
      </c>
      <c r="B589">
        <v>302</v>
      </c>
      <c r="C589" s="2">
        <v>45295</v>
      </c>
      <c r="D589" s="2" t="str">
        <f>TEXT(Table3[[#This Row],[usage_date]],"mmmm")</f>
        <v>January</v>
      </c>
      <c r="E589" s="9">
        <f>YEAR(Table3[[#This Row],[usage_date]])</f>
        <v>2024</v>
      </c>
      <c r="F589" s="14">
        <v>1.45</v>
      </c>
      <c r="G589">
        <v>88</v>
      </c>
      <c r="H589" t="s">
        <v>13</v>
      </c>
      <c r="I589" t="str">
        <f t="shared" si="9"/>
        <v>Normal Usage</v>
      </c>
    </row>
    <row r="590" spans="1:9" x14ac:dyDescent="0.3">
      <c r="A590">
        <v>10589</v>
      </c>
      <c r="B590">
        <v>231</v>
      </c>
      <c r="C590" s="2">
        <v>44934</v>
      </c>
      <c r="D590" s="2" t="str">
        <f>TEXT(Table3[[#This Row],[usage_date]],"mmmm")</f>
        <v>January</v>
      </c>
      <c r="E590" s="9">
        <f>YEAR(Table3[[#This Row],[usage_date]])</f>
        <v>2023</v>
      </c>
      <c r="F590" s="14">
        <v>0.24</v>
      </c>
      <c r="G590">
        <v>261</v>
      </c>
      <c r="H590" t="s">
        <v>12</v>
      </c>
      <c r="I590" t="str">
        <f t="shared" si="9"/>
        <v>Normal Usage</v>
      </c>
    </row>
    <row r="591" spans="1:9" x14ac:dyDescent="0.3">
      <c r="A591">
        <v>10590</v>
      </c>
      <c r="B591">
        <v>219</v>
      </c>
      <c r="C591" s="2">
        <v>44612</v>
      </c>
      <c r="D591" s="2" t="str">
        <f>TEXT(Table3[[#This Row],[usage_date]],"mmmm")</f>
        <v>February</v>
      </c>
      <c r="E591" s="9">
        <f>YEAR(Table3[[#This Row],[usage_date]])</f>
        <v>2022</v>
      </c>
      <c r="F591" s="14">
        <v>3.17</v>
      </c>
      <c r="G591">
        <v>187</v>
      </c>
      <c r="H591" t="s">
        <v>12</v>
      </c>
      <c r="I591" t="str">
        <f t="shared" si="9"/>
        <v>Normal Usage</v>
      </c>
    </row>
    <row r="592" spans="1:9" x14ac:dyDescent="0.3">
      <c r="A592">
        <v>10591</v>
      </c>
      <c r="B592">
        <v>411</v>
      </c>
      <c r="C592" s="2">
        <v>44632</v>
      </c>
      <c r="D592" s="2" t="str">
        <f>TEXT(Table3[[#This Row],[usage_date]],"mmmm")</f>
        <v>March</v>
      </c>
      <c r="E592" s="9">
        <f>YEAR(Table3[[#This Row],[usage_date]])</f>
        <v>2022</v>
      </c>
      <c r="F592" s="14">
        <v>0.6</v>
      </c>
      <c r="G592">
        <v>111</v>
      </c>
      <c r="H592" t="s">
        <v>12</v>
      </c>
      <c r="I592" t="str">
        <f t="shared" si="9"/>
        <v>Normal Usage</v>
      </c>
    </row>
    <row r="593" spans="1:9" x14ac:dyDescent="0.3">
      <c r="A593">
        <v>10592</v>
      </c>
      <c r="B593">
        <v>66</v>
      </c>
      <c r="C593" s="2">
        <v>45041</v>
      </c>
      <c r="D593" s="2" t="str">
        <f>TEXT(Table3[[#This Row],[usage_date]],"mmmm")</f>
        <v>April</v>
      </c>
      <c r="E593" s="9">
        <f>YEAR(Table3[[#This Row],[usage_date]])</f>
        <v>2023</v>
      </c>
      <c r="F593" s="14">
        <v>0.55000000000000004</v>
      </c>
      <c r="G593">
        <v>238</v>
      </c>
      <c r="H593" t="s">
        <v>12</v>
      </c>
      <c r="I593" t="str">
        <f t="shared" si="9"/>
        <v>Normal Usage</v>
      </c>
    </row>
    <row r="594" spans="1:9" x14ac:dyDescent="0.3">
      <c r="A594">
        <v>10593</v>
      </c>
      <c r="B594">
        <v>425</v>
      </c>
      <c r="C594" s="2">
        <v>45121</v>
      </c>
      <c r="D594" s="2" t="str">
        <f>TEXT(Table3[[#This Row],[usage_date]],"mmmm")</f>
        <v>July</v>
      </c>
      <c r="E594" s="9">
        <f>YEAR(Table3[[#This Row],[usage_date]])</f>
        <v>2023</v>
      </c>
      <c r="F594" s="14">
        <v>1.33</v>
      </c>
      <c r="G594">
        <v>255</v>
      </c>
      <c r="H594" t="s">
        <v>12</v>
      </c>
      <c r="I594" t="str">
        <f t="shared" si="9"/>
        <v>Normal Usage</v>
      </c>
    </row>
    <row r="595" spans="1:9" x14ac:dyDescent="0.3">
      <c r="A595">
        <v>10594</v>
      </c>
      <c r="B595">
        <v>112</v>
      </c>
      <c r="C595" s="2">
        <v>44580</v>
      </c>
      <c r="D595" s="2" t="str">
        <f>TEXT(Table3[[#This Row],[usage_date]],"mmmm")</f>
        <v>January</v>
      </c>
      <c r="E595" s="9">
        <f>YEAR(Table3[[#This Row],[usage_date]])</f>
        <v>2022</v>
      </c>
      <c r="F595" s="14">
        <v>0.65</v>
      </c>
      <c r="G595">
        <v>149</v>
      </c>
      <c r="H595" t="s">
        <v>12</v>
      </c>
      <c r="I595" t="str">
        <f t="shared" si="9"/>
        <v>Normal Usage</v>
      </c>
    </row>
    <row r="596" spans="1:9" x14ac:dyDescent="0.3">
      <c r="A596">
        <v>10595</v>
      </c>
      <c r="B596">
        <v>13</v>
      </c>
      <c r="C596" s="2">
        <v>45335</v>
      </c>
      <c r="D596" s="2" t="str">
        <f>TEXT(Table3[[#This Row],[usage_date]],"mmmm")</f>
        <v>February</v>
      </c>
      <c r="E596" s="9">
        <f>YEAR(Table3[[#This Row],[usage_date]])</f>
        <v>2024</v>
      </c>
      <c r="F596" s="14">
        <v>2.19</v>
      </c>
      <c r="G596">
        <v>126</v>
      </c>
      <c r="H596" t="s">
        <v>13</v>
      </c>
      <c r="I596" t="str">
        <f t="shared" si="9"/>
        <v>Normal Usage</v>
      </c>
    </row>
    <row r="597" spans="1:9" x14ac:dyDescent="0.3">
      <c r="A597">
        <v>10596</v>
      </c>
      <c r="B597">
        <v>393</v>
      </c>
      <c r="C597" s="2">
        <v>44645</v>
      </c>
      <c r="D597" s="2" t="str">
        <f>TEXT(Table3[[#This Row],[usage_date]],"mmmm")</f>
        <v>March</v>
      </c>
      <c r="E597" s="9">
        <f>YEAR(Table3[[#This Row],[usage_date]])</f>
        <v>2022</v>
      </c>
      <c r="F597" s="14">
        <v>1.1599999999999999</v>
      </c>
      <c r="G597">
        <v>273</v>
      </c>
      <c r="H597" t="s">
        <v>13</v>
      </c>
      <c r="I597" t="str">
        <f t="shared" si="9"/>
        <v>Normal Usage</v>
      </c>
    </row>
    <row r="598" spans="1:9" x14ac:dyDescent="0.3">
      <c r="A598">
        <v>10597</v>
      </c>
      <c r="B598">
        <v>500</v>
      </c>
      <c r="C598" s="2">
        <v>44716</v>
      </c>
      <c r="D598" s="2" t="str">
        <f>TEXT(Table3[[#This Row],[usage_date]],"mmmm")</f>
        <v>June</v>
      </c>
      <c r="E598" s="9">
        <f>YEAR(Table3[[#This Row],[usage_date]])</f>
        <v>2022</v>
      </c>
      <c r="F598" s="14">
        <v>1.49</v>
      </c>
      <c r="G598">
        <v>138</v>
      </c>
      <c r="H598" t="s">
        <v>12</v>
      </c>
      <c r="I598" t="str">
        <f t="shared" si="9"/>
        <v>Normal Usage</v>
      </c>
    </row>
    <row r="599" spans="1:9" x14ac:dyDescent="0.3">
      <c r="A599">
        <v>10598</v>
      </c>
      <c r="B599">
        <v>420</v>
      </c>
      <c r="C599" s="2">
        <v>45126</v>
      </c>
      <c r="D599" s="2" t="str">
        <f>TEXT(Table3[[#This Row],[usage_date]],"mmmm")</f>
        <v>July</v>
      </c>
      <c r="E599" s="9">
        <f>YEAR(Table3[[#This Row],[usage_date]])</f>
        <v>2023</v>
      </c>
      <c r="F599" s="14">
        <v>1.93</v>
      </c>
      <c r="G599">
        <v>102</v>
      </c>
      <c r="H599" t="s">
        <v>13</v>
      </c>
      <c r="I599" t="str">
        <f t="shared" si="9"/>
        <v>Normal Usage</v>
      </c>
    </row>
    <row r="600" spans="1:9" x14ac:dyDescent="0.3">
      <c r="A600">
        <v>10599</v>
      </c>
      <c r="B600">
        <v>86</v>
      </c>
      <c r="C600" s="2">
        <v>45180</v>
      </c>
      <c r="D600" s="2" t="str">
        <f>TEXT(Table3[[#This Row],[usage_date]],"mmmm")</f>
        <v>September</v>
      </c>
      <c r="E600" s="9">
        <f>YEAR(Table3[[#This Row],[usage_date]])</f>
        <v>2023</v>
      </c>
      <c r="F600" s="14">
        <v>0.56999999999999995</v>
      </c>
      <c r="G600">
        <v>241</v>
      </c>
      <c r="H600" t="s">
        <v>12</v>
      </c>
      <c r="I600" t="str">
        <f t="shared" si="9"/>
        <v>Normal Usage</v>
      </c>
    </row>
    <row r="601" spans="1:9" x14ac:dyDescent="0.3">
      <c r="A601">
        <v>10600</v>
      </c>
      <c r="B601">
        <v>234</v>
      </c>
      <c r="C601" s="2">
        <v>44918</v>
      </c>
      <c r="D601" s="2" t="str">
        <f>TEXT(Table3[[#This Row],[usage_date]],"mmmm")</f>
        <v>December</v>
      </c>
      <c r="E601" s="9">
        <f>YEAR(Table3[[#This Row],[usage_date]])</f>
        <v>2022</v>
      </c>
      <c r="F601" s="14">
        <v>0.42</v>
      </c>
      <c r="G601">
        <v>116</v>
      </c>
      <c r="H601" t="s">
        <v>13</v>
      </c>
      <c r="I601" t="str">
        <f t="shared" si="9"/>
        <v>Normal Usage</v>
      </c>
    </row>
    <row r="602" spans="1:9" x14ac:dyDescent="0.3">
      <c r="A602">
        <v>10601</v>
      </c>
      <c r="B602">
        <v>90</v>
      </c>
      <c r="C602" s="2">
        <v>45377</v>
      </c>
      <c r="D602" s="2" t="str">
        <f>TEXT(Table3[[#This Row],[usage_date]],"mmmm")</f>
        <v>March</v>
      </c>
      <c r="E602" s="9">
        <f>YEAR(Table3[[#This Row],[usage_date]])</f>
        <v>2024</v>
      </c>
      <c r="F602" s="14">
        <v>5.31</v>
      </c>
      <c r="G602">
        <v>213</v>
      </c>
      <c r="H602" t="s">
        <v>12</v>
      </c>
      <c r="I602" t="str">
        <f t="shared" si="9"/>
        <v>Normal Usage</v>
      </c>
    </row>
    <row r="603" spans="1:9" x14ac:dyDescent="0.3">
      <c r="A603">
        <v>10602</v>
      </c>
      <c r="B603">
        <v>314</v>
      </c>
      <c r="C603" s="2">
        <v>45208</v>
      </c>
      <c r="D603" s="2" t="str">
        <f>TEXT(Table3[[#This Row],[usage_date]],"mmmm")</f>
        <v>October</v>
      </c>
      <c r="E603" s="9">
        <f>YEAR(Table3[[#This Row],[usage_date]])</f>
        <v>2023</v>
      </c>
      <c r="F603" s="14">
        <v>1.42</v>
      </c>
      <c r="G603">
        <v>16</v>
      </c>
      <c r="H603" t="s">
        <v>12</v>
      </c>
      <c r="I603" t="str">
        <f t="shared" si="9"/>
        <v>Normal Usage</v>
      </c>
    </row>
    <row r="604" spans="1:9" x14ac:dyDescent="0.3">
      <c r="A604">
        <v>10603</v>
      </c>
      <c r="B604">
        <v>54</v>
      </c>
      <c r="C604" s="2">
        <v>45004</v>
      </c>
      <c r="D604" s="2" t="str">
        <f>TEXT(Table3[[#This Row],[usage_date]],"mmmm")</f>
        <v>March</v>
      </c>
      <c r="E604" s="9">
        <f>YEAR(Table3[[#This Row],[usage_date]])</f>
        <v>2023</v>
      </c>
      <c r="F604" s="14">
        <v>1.33</v>
      </c>
      <c r="G604">
        <v>178</v>
      </c>
      <c r="H604" t="s">
        <v>12</v>
      </c>
      <c r="I604" t="str">
        <f t="shared" si="9"/>
        <v>Normal Usage</v>
      </c>
    </row>
    <row r="605" spans="1:9" x14ac:dyDescent="0.3">
      <c r="A605">
        <v>10604</v>
      </c>
      <c r="B605">
        <v>12</v>
      </c>
      <c r="C605" s="2">
        <v>44630</v>
      </c>
      <c r="D605" s="2" t="str">
        <f>TEXT(Table3[[#This Row],[usage_date]],"mmmm")</f>
        <v>March</v>
      </c>
      <c r="E605" s="9">
        <f>YEAR(Table3[[#This Row],[usage_date]])</f>
        <v>2022</v>
      </c>
      <c r="F605" s="14">
        <v>0.09</v>
      </c>
      <c r="G605">
        <v>223</v>
      </c>
      <c r="H605" t="s">
        <v>12</v>
      </c>
      <c r="I605" t="str">
        <f t="shared" si="9"/>
        <v>Normal Usage</v>
      </c>
    </row>
    <row r="606" spans="1:9" x14ac:dyDescent="0.3">
      <c r="A606">
        <v>10605</v>
      </c>
      <c r="B606">
        <v>209</v>
      </c>
      <c r="C606" s="2">
        <v>45084</v>
      </c>
      <c r="D606" s="2" t="str">
        <f>TEXT(Table3[[#This Row],[usage_date]],"mmmm")</f>
        <v>June</v>
      </c>
      <c r="E606" s="9">
        <f>YEAR(Table3[[#This Row],[usage_date]])</f>
        <v>2023</v>
      </c>
      <c r="F606" s="14">
        <v>1.72</v>
      </c>
      <c r="G606">
        <v>269</v>
      </c>
      <c r="H606" t="s">
        <v>13</v>
      </c>
      <c r="I606" t="str">
        <f t="shared" si="9"/>
        <v>Normal Usage</v>
      </c>
    </row>
    <row r="607" spans="1:9" x14ac:dyDescent="0.3">
      <c r="A607">
        <v>10606</v>
      </c>
      <c r="B607">
        <v>462</v>
      </c>
      <c r="C607" s="2">
        <v>44704</v>
      </c>
      <c r="D607" s="2" t="str">
        <f>TEXT(Table3[[#This Row],[usage_date]],"mmmm")</f>
        <v>May</v>
      </c>
      <c r="E607" s="9">
        <f>YEAR(Table3[[#This Row],[usage_date]])</f>
        <v>2022</v>
      </c>
      <c r="F607" s="14">
        <v>2.02</v>
      </c>
      <c r="G607">
        <v>133</v>
      </c>
      <c r="H607" t="s">
        <v>12</v>
      </c>
      <c r="I607" t="str">
        <f t="shared" si="9"/>
        <v>Normal Usage</v>
      </c>
    </row>
    <row r="608" spans="1:9" x14ac:dyDescent="0.3">
      <c r="A608">
        <v>10607</v>
      </c>
      <c r="B608">
        <v>14</v>
      </c>
      <c r="C608" s="2">
        <v>44753</v>
      </c>
      <c r="D608" s="2" t="str">
        <f>TEXT(Table3[[#This Row],[usage_date]],"mmmm")</f>
        <v>July</v>
      </c>
      <c r="E608" s="9">
        <f>YEAR(Table3[[#This Row],[usage_date]])</f>
        <v>2022</v>
      </c>
      <c r="F608" s="14">
        <v>2.0499999999999998</v>
      </c>
      <c r="G608">
        <v>113</v>
      </c>
      <c r="H608" t="s">
        <v>12</v>
      </c>
      <c r="I608" t="str">
        <f t="shared" si="9"/>
        <v>Normal Usage</v>
      </c>
    </row>
    <row r="609" spans="1:9" x14ac:dyDescent="0.3">
      <c r="A609">
        <v>10608</v>
      </c>
      <c r="B609">
        <v>121</v>
      </c>
      <c r="C609" s="2">
        <v>44948</v>
      </c>
      <c r="D609" s="2" t="str">
        <f>TEXT(Table3[[#This Row],[usage_date]],"mmmm")</f>
        <v>January</v>
      </c>
      <c r="E609" s="9">
        <f>YEAR(Table3[[#This Row],[usage_date]])</f>
        <v>2023</v>
      </c>
      <c r="F609" s="14">
        <v>3.07</v>
      </c>
      <c r="G609">
        <v>131</v>
      </c>
      <c r="H609" t="s">
        <v>12</v>
      </c>
      <c r="I609" t="str">
        <f t="shared" si="9"/>
        <v>Normal Usage</v>
      </c>
    </row>
    <row r="610" spans="1:9" x14ac:dyDescent="0.3">
      <c r="A610">
        <v>10609</v>
      </c>
      <c r="B610">
        <v>418</v>
      </c>
      <c r="C610" s="2">
        <v>44939</v>
      </c>
      <c r="D610" s="2" t="str">
        <f>TEXT(Table3[[#This Row],[usage_date]],"mmmm")</f>
        <v>January</v>
      </c>
      <c r="E610" s="9">
        <f>YEAR(Table3[[#This Row],[usage_date]])</f>
        <v>2023</v>
      </c>
      <c r="F610" s="14">
        <v>0.49</v>
      </c>
      <c r="G610">
        <v>138</v>
      </c>
      <c r="H610" t="s">
        <v>12</v>
      </c>
      <c r="I610" t="str">
        <f t="shared" si="9"/>
        <v>Normal Usage</v>
      </c>
    </row>
    <row r="611" spans="1:9" x14ac:dyDescent="0.3">
      <c r="A611">
        <v>10610</v>
      </c>
      <c r="B611">
        <v>437</v>
      </c>
      <c r="C611" s="2">
        <v>45142</v>
      </c>
      <c r="D611" s="2" t="str">
        <f>TEXT(Table3[[#This Row],[usage_date]],"mmmm")</f>
        <v>August</v>
      </c>
      <c r="E611" s="9">
        <f>YEAR(Table3[[#This Row],[usage_date]])</f>
        <v>2023</v>
      </c>
      <c r="F611" s="14">
        <v>0.73</v>
      </c>
      <c r="G611">
        <v>231</v>
      </c>
      <c r="H611" t="s">
        <v>12</v>
      </c>
      <c r="I611" t="str">
        <f t="shared" si="9"/>
        <v>Normal Usage</v>
      </c>
    </row>
    <row r="612" spans="1:9" x14ac:dyDescent="0.3">
      <c r="A612">
        <v>10611</v>
      </c>
      <c r="B612">
        <v>377</v>
      </c>
      <c r="C612" s="2">
        <v>45096</v>
      </c>
      <c r="D612" s="2" t="str">
        <f>TEXT(Table3[[#This Row],[usage_date]],"mmmm")</f>
        <v>June</v>
      </c>
      <c r="E612" s="9">
        <f>YEAR(Table3[[#This Row],[usage_date]])</f>
        <v>2023</v>
      </c>
      <c r="F612" s="14">
        <v>4.16</v>
      </c>
      <c r="G612">
        <v>91</v>
      </c>
      <c r="H612" t="s">
        <v>13</v>
      </c>
      <c r="I612" t="str">
        <f t="shared" si="9"/>
        <v>Normal Usage</v>
      </c>
    </row>
    <row r="613" spans="1:9" x14ac:dyDescent="0.3">
      <c r="A613">
        <v>10612</v>
      </c>
      <c r="B613">
        <v>20</v>
      </c>
      <c r="C613" s="2">
        <v>45254</v>
      </c>
      <c r="D613" s="2" t="str">
        <f>TEXT(Table3[[#This Row],[usage_date]],"mmmm")</f>
        <v>November</v>
      </c>
      <c r="E613" s="9">
        <f>YEAR(Table3[[#This Row],[usage_date]])</f>
        <v>2023</v>
      </c>
      <c r="F613" s="14">
        <v>7.35</v>
      </c>
      <c r="G613">
        <v>266</v>
      </c>
      <c r="H613" t="s">
        <v>13</v>
      </c>
      <c r="I613" t="str">
        <f t="shared" si="9"/>
        <v>High Usage</v>
      </c>
    </row>
    <row r="614" spans="1:9" x14ac:dyDescent="0.3">
      <c r="A614">
        <v>10613</v>
      </c>
      <c r="B614">
        <v>75</v>
      </c>
      <c r="C614" s="2">
        <v>44854</v>
      </c>
      <c r="D614" s="2" t="str">
        <f>TEXT(Table3[[#This Row],[usage_date]],"mmmm")</f>
        <v>October</v>
      </c>
      <c r="E614" s="9">
        <f>YEAR(Table3[[#This Row],[usage_date]])</f>
        <v>2022</v>
      </c>
      <c r="F614" s="14">
        <v>0.37</v>
      </c>
      <c r="G614">
        <v>98</v>
      </c>
      <c r="H614" t="s">
        <v>12</v>
      </c>
      <c r="I614" t="str">
        <f t="shared" si="9"/>
        <v>Normal Usage</v>
      </c>
    </row>
    <row r="615" spans="1:9" x14ac:dyDescent="0.3">
      <c r="A615">
        <v>10614</v>
      </c>
      <c r="B615">
        <v>400</v>
      </c>
      <c r="C615" s="2">
        <v>44570</v>
      </c>
      <c r="D615" s="2" t="str">
        <f>TEXT(Table3[[#This Row],[usage_date]],"mmmm")</f>
        <v>January</v>
      </c>
      <c r="E615" s="9">
        <f>YEAR(Table3[[#This Row],[usage_date]])</f>
        <v>2022</v>
      </c>
      <c r="F615" s="14">
        <v>1.72</v>
      </c>
      <c r="G615">
        <v>206</v>
      </c>
      <c r="H615" t="s">
        <v>12</v>
      </c>
      <c r="I615" t="str">
        <f t="shared" si="9"/>
        <v>Normal Usage</v>
      </c>
    </row>
    <row r="616" spans="1:9" x14ac:dyDescent="0.3">
      <c r="A616">
        <v>10615</v>
      </c>
      <c r="B616">
        <v>243</v>
      </c>
      <c r="C616" s="2">
        <v>44832</v>
      </c>
      <c r="D616" s="2" t="str">
        <f>TEXT(Table3[[#This Row],[usage_date]],"mmmm")</f>
        <v>September</v>
      </c>
      <c r="E616" s="9">
        <f>YEAR(Table3[[#This Row],[usage_date]])</f>
        <v>2022</v>
      </c>
      <c r="F616" s="14">
        <v>0.6</v>
      </c>
      <c r="G616">
        <v>7</v>
      </c>
      <c r="H616" t="s">
        <v>12</v>
      </c>
      <c r="I616" t="str">
        <f t="shared" si="9"/>
        <v>Normal Usage</v>
      </c>
    </row>
    <row r="617" spans="1:9" x14ac:dyDescent="0.3">
      <c r="A617">
        <v>10616</v>
      </c>
      <c r="B617">
        <v>223</v>
      </c>
      <c r="C617" s="2">
        <v>44948</v>
      </c>
      <c r="D617" s="2" t="str">
        <f>TEXT(Table3[[#This Row],[usage_date]],"mmmm")</f>
        <v>January</v>
      </c>
      <c r="E617" s="9">
        <f>YEAR(Table3[[#This Row],[usage_date]])</f>
        <v>2023</v>
      </c>
      <c r="F617" s="14">
        <v>0.15</v>
      </c>
      <c r="G617">
        <v>92</v>
      </c>
      <c r="H617" t="s">
        <v>13</v>
      </c>
      <c r="I617" t="str">
        <f t="shared" si="9"/>
        <v>Normal Usage</v>
      </c>
    </row>
    <row r="618" spans="1:9" x14ac:dyDescent="0.3">
      <c r="A618">
        <v>10617</v>
      </c>
      <c r="B618">
        <v>70</v>
      </c>
      <c r="C618" s="2">
        <v>44654</v>
      </c>
      <c r="D618" s="2" t="str">
        <f>TEXT(Table3[[#This Row],[usage_date]],"mmmm")</f>
        <v>April</v>
      </c>
      <c r="E618" s="9">
        <f>YEAR(Table3[[#This Row],[usage_date]])</f>
        <v>2022</v>
      </c>
      <c r="F618" s="14">
        <v>0.98</v>
      </c>
      <c r="G618">
        <v>157</v>
      </c>
      <c r="H618" t="s">
        <v>13</v>
      </c>
      <c r="I618" t="str">
        <f t="shared" si="9"/>
        <v>Normal Usage</v>
      </c>
    </row>
    <row r="619" spans="1:9" x14ac:dyDescent="0.3">
      <c r="A619">
        <v>10618</v>
      </c>
      <c r="B619">
        <v>312</v>
      </c>
      <c r="C619" s="2">
        <v>45090</v>
      </c>
      <c r="D619" s="2" t="str">
        <f>TEXT(Table3[[#This Row],[usage_date]],"mmmm")</f>
        <v>June</v>
      </c>
      <c r="E619" s="9">
        <f>YEAR(Table3[[#This Row],[usage_date]])</f>
        <v>2023</v>
      </c>
      <c r="F619" s="14">
        <v>0.39</v>
      </c>
      <c r="G619">
        <v>98</v>
      </c>
      <c r="H619" t="s">
        <v>12</v>
      </c>
      <c r="I619" t="str">
        <f t="shared" si="9"/>
        <v>Normal Usage</v>
      </c>
    </row>
    <row r="620" spans="1:9" x14ac:dyDescent="0.3">
      <c r="A620">
        <v>10619</v>
      </c>
      <c r="B620">
        <v>211</v>
      </c>
      <c r="C620" s="2">
        <v>44715</v>
      </c>
      <c r="D620" s="2" t="str">
        <f>TEXT(Table3[[#This Row],[usage_date]],"mmmm")</f>
        <v>June</v>
      </c>
      <c r="E620" s="9">
        <f>YEAR(Table3[[#This Row],[usage_date]])</f>
        <v>2022</v>
      </c>
      <c r="F620" s="14">
        <v>3.09</v>
      </c>
      <c r="G620">
        <v>224</v>
      </c>
      <c r="H620" t="s">
        <v>13</v>
      </c>
      <c r="I620" t="str">
        <f t="shared" si="9"/>
        <v>Normal Usage</v>
      </c>
    </row>
    <row r="621" spans="1:9" x14ac:dyDescent="0.3">
      <c r="A621">
        <v>10620</v>
      </c>
      <c r="B621">
        <v>101</v>
      </c>
      <c r="C621" s="2">
        <v>44966</v>
      </c>
      <c r="D621" s="2" t="str">
        <f>TEXT(Table3[[#This Row],[usage_date]],"mmmm")</f>
        <v>February</v>
      </c>
      <c r="E621" s="9">
        <f>YEAR(Table3[[#This Row],[usage_date]])</f>
        <v>2023</v>
      </c>
      <c r="F621" s="14">
        <v>1.91</v>
      </c>
      <c r="G621">
        <v>207</v>
      </c>
      <c r="H621" t="s">
        <v>12</v>
      </c>
      <c r="I621" t="str">
        <f t="shared" si="9"/>
        <v>Normal Usage</v>
      </c>
    </row>
    <row r="622" spans="1:9" x14ac:dyDescent="0.3">
      <c r="A622">
        <v>10621</v>
      </c>
      <c r="B622">
        <v>186</v>
      </c>
      <c r="C622" s="2">
        <v>45401</v>
      </c>
      <c r="D622" s="2" t="str">
        <f>TEXT(Table3[[#This Row],[usage_date]],"mmmm")</f>
        <v>April</v>
      </c>
      <c r="E622" s="9">
        <f>YEAR(Table3[[#This Row],[usage_date]])</f>
        <v>2024</v>
      </c>
      <c r="F622" s="14">
        <v>0.39</v>
      </c>
      <c r="G622">
        <v>72</v>
      </c>
      <c r="H622" t="s">
        <v>12</v>
      </c>
      <c r="I622" t="str">
        <f t="shared" si="9"/>
        <v>Normal Usage</v>
      </c>
    </row>
    <row r="623" spans="1:9" x14ac:dyDescent="0.3">
      <c r="A623">
        <v>10622</v>
      </c>
      <c r="B623">
        <v>132</v>
      </c>
      <c r="C623" s="2">
        <v>44710</v>
      </c>
      <c r="D623" s="2" t="str">
        <f>TEXT(Table3[[#This Row],[usage_date]],"mmmm")</f>
        <v>May</v>
      </c>
      <c r="E623" s="9">
        <f>YEAR(Table3[[#This Row],[usage_date]])</f>
        <v>2022</v>
      </c>
      <c r="F623" s="14">
        <v>0.02</v>
      </c>
      <c r="G623">
        <v>58</v>
      </c>
      <c r="H623" t="s">
        <v>13</v>
      </c>
      <c r="I623" t="str">
        <f t="shared" si="9"/>
        <v>Normal Usage</v>
      </c>
    </row>
    <row r="624" spans="1:9" x14ac:dyDescent="0.3">
      <c r="A624">
        <v>10623</v>
      </c>
      <c r="B624">
        <v>111</v>
      </c>
      <c r="C624" s="2">
        <v>45450</v>
      </c>
      <c r="D624" s="2" t="str">
        <f>TEXT(Table3[[#This Row],[usage_date]],"mmmm")</f>
        <v>June</v>
      </c>
      <c r="E624" s="9">
        <f>YEAR(Table3[[#This Row],[usage_date]])</f>
        <v>2024</v>
      </c>
      <c r="F624" s="14">
        <v>4.13</v>
      </c>
      <c r="G624">
        <v>286</v>
      </c>
      <c r="H624" t="s">
        <v>12</v>
      </c>
      <c r="I624" t="str">
        <f t="shared" si="9"/>
        <v>Normal Usage</v>
      </c>
    </row>
    <row r="625" spans="1:9" x14ac:dyDescent="0.3">
      <c r="A625">
        <v>10624</v>
      </c>
      <c r="B625">
        <v>381</v>
      </c>
      <c r="C625" s="2">
        <v>44828</v>
      </c>
      <c r="D625" s="2" t="str">
        <f>TEXT(Table3[[#This Row],[usage_date]],"mmmm")</f>
        <v>September</v>
      </c>
      <c r="E625" s="9">
        <f>YEAR(Table3[[#This Row],[usage_date]])</f>
        <v>2022</v>
      </c>
      <c r="F625" s="14">
        <v>0.48</v>
      </c>
      <c r="G625">
        <v>63</v>
      </c>
      <c r="H625" t="s">
        <v>12</v>
      </c>
      <c r="I625" t="str">
        <f t="shared" si="9"/>
        <v>Normal Usage</v>
      </c>
    </row>
    <row r="626" spans="1:9" x14ac:dyDescent="0.3">
      <c r="A626">
        <v>10625</v>
      </c>
      <c r="B626">
        <v>132</v>
      </c>
      <c r="C626" s="2">
        <v>44983</v>
      </c>
      <c r="D626" s="2" t="str">
        <f>TEXT(Table3[[#This Row],[usage_date]],"mmmm")</f>
        <v>February</v>
      </c>
      <c r="E626" s="9">
        <f>YEAR(Table3[[#This Row],[usage_date]])</f>
        <v>2023</v>
      </c>
      <c r="F626" s="14">
        <v>2.33</v>
      </c>
      <c r="G626">
        <v>255</v>
      </c>
      <c r="H626" t="s">
        <v>12</v>
      </c>
      <c r="I626" t="str">
        <f t="shared" si="9"/>
        <v>Normal Usage</v>
      </c>
    </row>
    <row r="627" spans="1:9" x14ac:dyDescent="0.3">
      <c r="A627">
        <v>10626</v>
      </c>
      <c r="B627">
        <v>20</v>
      </c>
      <c r="C627" s="2">
        <v>45401</v>
      </c>
      <c r="D627" s="2" t="str">
        <f>TEXT(Table3[[#This Row],[usage_date]],"mmmm")</f>
        <v>April</v>
      </c>
      <c r="E627" s="9">
        <f>YEAR(Table3[[#This Row],[usage_date]])</f>
        <v>2024</v>
      </c>
      <c r="F627" s="14">
        <v>1.03</v>
      </c>
      <c r="G627">
        <v>47</v>
      </c>
      <c r="H627" t="s">
        <v>12</v>
      </c>
      <c r="I627" t="str">
        <f t="shared" si="9"/>
        <v>Normal Usage</v>
      </c>
    </row>
    <row r="628" spans="1:9" x14ac:dyDescent="0.3">
      <c r="A628">
        <v>10627</v>
      </c>
      <c r="B628">
        <v>394</v>
      </c>
      <c r="C628" s="2">
        <v>45179</v>
      </c>
      <c r="D628" s="2" t="str">
        <f>TEXT(Table3[[#This Row],[usage_date]],"mmmm")</f>
        <v>September</v>
      </c>
      <c r="E628" s="9">
        <f>YEAR(Table3[[#This Row],[usage_date]])</f>
        <v>2023</v>
      </c>
      <c r="F628" s="14">
        <v>2.2000000000000002</v>
      </c>
      <c r="G628">
        <v>278</v>
      </c>
      <c r="H628" t="s">
        <v>12</v>
      </c>
      <c r="I628" t="str">
        <f t="shared" si="9"/>
        <v>Normal Usage</v>
      </c>
    </row>
    <row r="629" spans="1:9" x14ac:dyDescent="0.3">
      <c r="A629">
        <v>10628</v>
      </c>
      <c r="B629">
        <v>24</v>
      </c>
      <c r="C629" s="2">
        <v>45033</v>
      </c>
      <c r="D629" s="2" t="str">
        <f>TEXT(Table3[[#This Row],[usage_date]],"mmmm")</f>
        <v>April</v>
      </c>
      <c r="E629" s="9">
        <f>YEAR(Table3[[#This Row],[usage_date]])</f>
        <v>2023</v>
      </c>
      <c r="F629" s="14">
        <v>0.95</v>
      </c>
      <c r="G629">
        <v>197</v>
      </c>
      <c r="H629" t="s">
        <v>13</v>
      </c>
      <c r="I629" t="str">
        <f t="shared" si="9"/>
        <v>Normal Usage</v>
      </c>
    </row>
    <row r="630" spans="1:9" x14ac:dyDescent="0.3">
      <c r="A630">
        <v>10629</v>
      </c>
      <c r="B630">
        <v>227</v>
      </c>
      <c r="C630" s="2">
        <v>45454</v>
      </c>
      <c r="D630" s="2" t="str">
        <f>TEXT(Table3[[#This Row],[usage_date]],"mmmm")</f>
        <v>June</v>
      </c>
      <c r="E630" s="9">
        <f>YEAR(Table3[[#This Row],[usage_date]])</f>
        <v>2024</v>
      </c>
      <c r="F630" s="14">
        <v>0.23</v>
      </c>
      <c r="G630">
        <v>157</v>
      </c>
      <c r="H630" t="s">
        <v>12</v>
      </c>
      <c r="I630" t="str">
        <f t="shared" si="9"/>
        <v>Normal Usage</v>
      </c>
    </row>
    <row r="631" spans="1:9" x14ac:dyDescent="0.3">
      <c r="A631">
        <v>10630</v>
      </c>
      <c r="B631">
        <v>154</v>
      </c>
      <c r="C631" s="2">
        <v>45108</v>
      </c>
      <c r="D631" s="2" t="str">
        <f>TEXT(Table3[[#This Row],[usage_date]],"mmmm")</f>
        <v>July</v>
      </c>
      <c r="E631" s="9">
        <f>YEAR(Table3[[#This Row],[usage_date]])</f>
        <v>2023</v>
      </c>
      <c r="F631" s="14">
        <v>0.63</v>
      </c>
      <c r="G631">
        <v>6</v>
      </c>
      <c r="H631" t="s">
        <v>13</v>
      </c>
      <c r="I631" t="str">
        <f t="shared" si="9"/>
        <v>Normal Usage</v>
      </c>
    </row>
    <row r="632" spans="1:9" x14ac:dyDescent="0.3">
      <c r="A632">
        <v>10631</v>
      </c>
      <c r="B632">
        <v>293</v>
      </c>
      <c r="C632" s="2">
        <v>45192</v>
      </c>
      <c r="D632" s="2" t="str">
        <f>TEXT(Table3[[#This Row],[usage_date]],"mmmm")</f>
        <v>September</v>
      </c>
      <c r="E632" s="9">
        <f>YEAR(Table3[[#This Row],[usage_date]])</f>
        <v>2023</v>
      </c>
      <c r="F632" s="14">
        <v>0.52</v>
      </c>
      <c r="G632">
        <v>247</v>
      </c>
      <c r="H632" t="s">
        <v>12</v>
      </c>
      <c r="I632" t="str">
        <f t="shared" si="9"/>
        <v>Normal Usage</v>
      </c>
    </row>
    <row r="633" spans="1:9" x14ac:dyDescent="0.3">
      <c r="A633">
        <v>10632</v>
      </c>
      <c r="B633">
        <v>230</v>
      </c>
      <c r="C633" s="2">
        <v>45087</v>
      </c>
      <c r="D633" s="2" t="str">
        <f>TEXT(Table3[[#This Row],[usage_date]],"mmmm")</f>
        <v>June</v>
      </c>
      <c r="E633" s="9">
        <f>YEAR(Table3[[#This Row],[usage_date]])</f>
        <v>2023</v>
      </c>
      <c r="F633" s="14">
        <v>1.4</v>
      </c>
      <c r="G633">
        <v>231</v>
      </c>
      <c r="H633" t="s">
        <v>12</v>
      </c>
      <c r="I633" t="str">
        <f t="shared" si="9"/>
        <v>Normal Usage</v>
      </c>
    </row>
    <row r="634" spans="1:9" x14ac:dyDescent="0.3">
      <c r="A634">
        <v>10633</v>
      </c>
      <c r="B634">
        <v>469</v>
      </c>
      <c r="C634" s="2">
        <v>45064</v>
      </c>
      <c r="D634" s="2" t="str">
        <f>TEXT(Table3[[#This Row],[usage_date]],"mmmm")</f>
        <v>May</v>
      </c>
      <c r="E634" s="9">
        <f>YEAR(Table3[[#This Row],[usage_date]])</f>
        <v>2023</v>
      </c>
      <c r="F634" s="14">
        <v>2.68</v>
      </c>
      <c r="G634">
        <v>105</v>
      </c>
      <c r="H634" t="s">
        <v>13</v>
      </c>
      <c r="I634" t="str">
        <f t="shared" si="9"/>
        <v>Normal Usage</v>
      </c>
    </row>
    <row r="635" spans="1:9" x14ac:dyDescent="0.3">
      <c r="A635">
        <v>10634</v>
      </c>
      <c r="B635">
        <v>310</v>
      </c>
      <c r="C635" s="2">
        <v>44575</v>
      </c>
      <c r="D635" s="2" t="str">
        <f>TEXT(Table3[[#This Row],[usage_date]],"mmmm")</f>
        <v>January</v>
      </c>
      <c r="E635" s="9">
        <f>YEAR(Table3[[#This Row],[usage_date]])</f>
        <v>2022</v>
      </c>
      <c r="F635" s="14">
        <v>0.77</v>
      </c>
      <c r="G635">
        <v>97</v>
      </c>
      <c r="H635" t="s">
        <v>12</v>
      </c>
      <c r="I635" t="str">
        <f t="shared" si="9"/>
        <v>Normal Usage</v>
      </c>
    </row>
    <row r="636" spans="1:9" x14ac:dyDescent="0.3">
      <c r="A636">
        <v>10635</v>
      </c>
      <c r="B636">
        <v>488</v>
      </c>
      <c r="C636" s="2">
        <v>45339</v>
      </c>
      <c r="D636" s="2" t="str">
        <f>TEXT(Table3[[#This Row],[usage_date]],"mmmm")</f>
        <v>February</v>
      </c>
      <c r="E636" s="9">
        <f>YEAR(Table3[[#This Row],[usage_date]])</f>
        <v>2024</v>
      </c>
      <c r="F636" s="14">
        <v>0.03</v>
      </c>
      <c r="G636">
        <v>267</v>
      </c>
      <c r="H636" t="s">
        <v>12</v>
      </c>
      <c r="I636" t="str">
        <f t="shared" si="9"/>
        <v>Normal Usage</v>
      </c>
    </row>
    <row r="637" spans="1:9" x14ac:dyDescent="0.3">
      <c r="A637">
        <v>10636</v>
      </c>
      <c r="B637">
        <v>359</v>
      </c>
      <c r="C637" s="2">
        <v>45213</v>
      </c>
      <c r="D637" s="2" t="str">
        <f>TEXT(Table3[[#This Row],[usage_date]],"mmmm")</f>
        <v>October</v>
      </c>
      <c r="E637" s="9">
        <f>YEAR(Table3[[#This Row],[usage_date]])</f>
        <v>2023</v>
      </c>
      <c r="F637" s="14">
        <v>1.83</v>
      </c>
      <c r="G637">
        <v>59</v>
      </c>
      <c r="H637" t="s">
        <v>12</v>
      </c>
      <c r="I637" t="str">
        <f t="shared" si="9"/>
        <v>Normal Usage</v>
      </c>
    </row>
    <row r="638" spans="1:9" x14ac:dyDescent="0.3">
      <c r="A638">
        <v>10637</v>
      </c>
      <c r="B638">
        <v>405</v>
      </c>
      <c r="C638" s="2">
        <v>45367</v>
      </c>
      <c r="D638" s="2" t="str">
        <f>TEXT(Table3[[#This Row],[usage_date]],"mmmm")</f>
        <v>March</v>
      </c>
      <c r="E638" s="9">
        <f>YEAR(Table3[[#This Row],[usage_date]])</f>
        <v>2024</v>
      </c>
      <c r="F638" s="14">
        <v>2.33</v>
      </c>
      <c r="G638">
        <v>139</v>
      </c>
      <c r="H638" t="s">
        <v>12</v>
      </c>
      <c r="I638" t="str">
        <f t="shared" si="9"/>
        <v>Normal Usage</v>
      </c>
    </row>
    <row r="639" spans="1:9" x14ac:dyDescent="0.3">
      <c r="A639">
        <v>10638</v>
      </c>
      <c r="B639">
        <v>202</v>
      </c>
      <c r="C639" s="2">
        <v>44925</v>
      </c>
      <c r="D639" s="2" t="str">
        <f>TEXT(Table3[[#This Row],[usage_date]],"mmmm")</f>
        <v>December</v>
      </c>
      <c r="E639" s="9">
        <f>YEAR(Table3[[#This Row],[usage_date]])</f>
        <v>2022</v>
      </c>
      <c r="F639" s="14">
        <v>8.23</v>
      </c>
      <c r="G639">
        <v>189</v>
      </c>
      <c r="H639" t="s">
        <v>12</v>
      </c>
      <c r="I639" t="str">
        <f t="shared" si="9"/>
        <v>High Usage</v>
      </c>
    </row>
    <row r="640" spans="1:9" x14ac:dyDescent="0.3">
      <c r="A640">
        <v>10639</v>
      </c>
      <c r="B640">
        <v>38</v>
      </c>
      <c r="C640" s="2">
        <v>44680</v>
      </c>
      <c r="D640" s="2" t="str">
        <f>TEXT(Table3[[#This Row],[usage_date]],"mmmm")</f>
        <v>April</v>
      </c>
      <c r="E640" s="9">
        <f>YEAR(Table3[[#This Row],[usage_date]])</f>
        <v>2022</v>
      </c>
      <c r="F640" s="14">
        <v>2.23</v>
      </c>
      <c r="G640">
        <v>124</v>
      </c>
      <c r="H640" t="s">
        <v>13</v>
      </c>
      <c r="I640" t="str">
        <f t="shared" si="9"/>
        <v>Normal Usage</v>
      </c>
    </row>
    <row r="641" spans="1:9" x14ac:dyDescent="0.3">
      <c r="A641">
        <v>10640</v>
      </c>
      <c r="B641">
        <v>430</v>
      </c>
      <c r="C641" s="2">
        <v>44799</v>
      </c>
      <c r="D641" s="2" t="str">
        <f>TEXT(Table3[[#This Row],[usage_date]],"mmmm")</f>
        <v>August</v>
      </c>
      <c r="E641" s="9">
        <f>YEAR(Table3[[#This Row],[usage_date]])</f>
        <v>2022</v>
      </c>
      <c r="F641" s="14">
        <v>1.59</v>
      </c>
      <c r="G641">
        <v>162</v>
      </c>
      <c r="H641" t="s">
        <v>13</v>
      </c>
      <c r="I641" t="str">
        <f t="shared" si="9"/>
        <v>Normal Usage</v>
      </c>
    </row>
    <row r="642" spans="1:9" x14ac:dyDescent="0.3">
      <c r="A642">
        <v>10641</v>
      </c>
      <c r="B642">
        <v>260</v>
      </c>
      <c r="C642" s="2">
        <v>45107</v>
      </c>
      <c r="D642" s="2" t="str">
        <f>TEXT(Table3[[#This Row],[usage_date]],"mmmm")</f>
        <v>June</v>
      </c>
      <c r="E642" s="9">
        <f>YEAR(Table3[[#This Row],[usage_date]])</f>
        <v>2023</v>
      </c>
      <c r="F642" s="14">
        <v>2.13</v>
      </c>
      <c r="G642">
        <v>59</v>
      </c>
      <c r="H642" t="s">
        <v>12</v>
      </c>
      <c r="I642" t="str">
        <f t="shared" ref="I642:I705" si="10">IF(F642&gt;6,"High Usage","Normal Usage")</f>
        <v>Normal Usage</v>
      </c>
    </row>
    <row r="643" spans="1:9" x14ac:dyDescent="0.3">
      <c r="A643">
        <v>10642</v>
      </c>
      <c r="B643">
        <v>188</v>
      </c>
      <c r="C643" s="2">
        <v>44730</v>
      </c>
      <c r="D643" s="2" t="str">
        <f>TEXT(Table3[[#This Row],[usage_date]],"mmmm")</f>
        <v>June</v>
      </c>
      <c r="E643" s="9">
        <f>YEAR(Table3[[#This Row],[usage_date]])</f>
        <v>2022</v>
      </c>
      <c r="F643" s="14">
        <v>6.57</v>
      </c>
      <c r="G643">
        <v>30</v>
      </c>
      <c r="H643" t="s">
        <v>13</v>
      </c>
      <c r="I643" t="str">
        <f t="shared" si="10"/>
        <v>High Usage</v>
      </c>
    </row>
    <row r="644" spans="1:9" x14ac:dyDescent="0.3">
      <c r="A644">
        <v>10643</v>
      </c>
      <c r="B644">
        <v>57</v>
      </c>
      <c r="C644" s="2">
        <v>45083</v>
      </c>
      <c r="D644" s="2" t="str">
        <f>TEXT(Table3[[#This Row],[usage_date]],"mmmm")</f>
        <v>June</v>
      </c>
      <c r="E644" s="9">
        <f>YEAR(Table3[[#This Row],[usage_date]])</f>
        <v>2023</v>
      </c>
      <c r="F644" s="14">
        <v>4.41</v>
      </c>
      <c r="G644">
        <v>75</v>
      </c>
      <c r="H644" t="s">
        <v>13</v>
      </c>
      <c r="I644" t="str">
        <f t="shared" si="10"/>
        <v>Normal Usage</v>
      </c>
    </row>
    <row r="645" spans="1:9" x14ac:dyDescent="0.3">
      <c r="A645">
        <v>10644</v>
      </c>
      <c r="B645">
        <v>429</v>
      </c>
      <c r="C645" s="2">
        <v>45195</v>
      </c>
      <c r="D645" s="2" t="str">
        <f>TEXT(Table3[[#This Row],[usage_date]],"mmmm")</f>
        <v>September</v>
      </c>
      <c r="E645" s="9">
        <f>YEAR(Table3[[#This Row],[usage_date]])</f>
        <v>2023</v>
      </c>
      <c r="F645" s="14">
        <v>0.98</v>
      </c>
      <c r="G645">
        <v>242</v>
      </c>
      <c r="H645" t="s">
        <v>13</v>
      </c>
      <c r="I645" t="str">
        <f t="shared" si="10"/>
        <v>Normal Usage</v>
      </c>
    </row>
    <row r="646" spans="1:9" x14ac:dyDescent="0.3">
      <c r="A646">
        <v>10645</v>
      </c>
      <c r="B646">
        <v>20</v>
      </c>
      <c r="C646" s="2">
        <v>45218</v>
      </c>
      <c r="D646" s="2" t="str">
        <f>TEXT(Table3[[#This Row],[usage_date]],"mmmm")</f>
        <v>October</v>
      </c>
      <c r="E646" s="9">
        <f>YEAR(Table3[[#This Row],[usage_date]])</f>
        <v>2023</v>
      </c>
      <c r="F646" s="14">
        <v>0.68</v>
      </c>
      <c r="G646">
        <v>257</v>
      </c>
      <c r="H646" t="s">
        <v>12</v>
      </c>
      <c r="I646" t="str">
        <f t="shared" si="10"/>
        <v>Normal Usage</v>
      </c>
    </row>
    <row r="647" spans="1:9" x14ac:dyDescent="0.3">
      <c r="A647">
        <v>10646</v>
      </c>
      <c r="B647">
        <v>273</v>
      </c>
      <c r="C647" s="2">
        <v>45296</v>
      </c>
      <c r="D647" s="2" t="str">
        <f>TEXT(Table3[[#This Row],[usage_date]],"mmmm")</f>
        <v>January</v>
      </c>
      <c r="E647" s="9">
        <f>YEAR(Table3[[#This Row],[usage_date]])</f>
        <v>2024</v>
      </c>
      <c r="F647" s="14">
        <v>0.76</v>
      </c>
      <c r="G647">
        <v>189</v>
      </c>
      <c r="H647" t="s">
        <v>12</v>
      </c>
      <c r="I647" t="str">
        <f t="shared" si="10"/>
        <v>Normal Usage</v>
      </c>
    </row>
    <row r="648" spans="1:9" x14ac:dyDescent="0.3">
      <c r="A648">
        <v>10647</v>
      </c>
      <c r="B648">
        <v>119</v>
      </c>
      <c r="C648" s="2">
        <v>45444</v>
      </c>
      <c r="D648" s="2" t="str">
        <f>TEXT(Table3[[#This Row],[usage_date]],"mmmm")</f>
        <v>June</v>
      </c>
      <c r="E648" s="9">
        <f>YEAR(Table3[[#This Row],[usage_date]])</f>
        <v>2024</v>
      </c>
      <c r="F648" s="14">
        <v>1.76</v>
      </c>
      <c r="G648">
        <v>295</v>
      </c>
      <c r="H648" t="s">
        <v>12</v>
      </c>
      <c r="I648" t="str">
        <f t="shared" si="10"/>
        <v>Normal Usage</v>
      </c>
    </row>
    <row r="649" spans="1:9" x14ac:dyDescent="0.3">
      <c r="A649">
        <v>10648</v>
      </c>
      <c r="B649">
        <v>71</v>
      </c>
      <c r="C649" s="2">
        <v>45330</v>
      </c>
      <c r="D649" s="2" t="str">
        <f>TEXT(Table3[[#This Row],[usage_date]],"mmmm")</f>
        <v>February</v>
      </c>
      <c r="E649" s="9">
        <f>YEAR(Table3[[#This Row],[usage_date]])</f>
        <v>2024</v>
      </c>
      <c r="F649" s="14">
        <v>3.41</v>
      </c>
      <c r="G649">
        <v>176</v>
      </c>
      <c r="H649" t="s">
        <v>12</v>
      </c>
      <c r="I649" t="str">
        <f t="shared" si="10"/>
        <v>Normal Usage</v>
      </c>
    </row>
    <row r="650" spans="1:9" x14ac:dyDescent="0.3">
      <c r="A650">
        <v>10649</v>
      </c>
      <c r="B650">
        <v>4</v>
      </c>
      <c r="C650" s="2">
        <v>45341</v>
      </c>
      <c r="D650" s="2" t="str">
        <f>TEXT(Table3[[#This Row],[usage_date]],"mmmm")</f>
        <v>February</v>
      </c>
      <c r="E650" s="9">
        <f>YEAR(Table3[[#This Row],[usage_date]])</f>
        <v>2024</v>
      </c>
      <c r="F650" s="14">
        <v>1.75</v>
      </c>
      <c r="G650">
        <v>287</v>
      </c>
      <c r="H650" t="s">
        <v>12</v>
      </c>
      <c r="I650" t="str">
        <f t="shared" si="10"/>
        <v>Normal Usage</v>
      </c>
    </row>
    <row r="651" spans="1:9" x14ac:dyDescent="0.3">
      <c r="A651">
        <v>10650</v>
      </c>
      <c r="B651">
        <v>221</v>
      </c>
      <c r="C651" s="2">
        <v>45432</v>
      </c>
      <c r="D651" s="2" t="str">
        <f>TEXT(Table3[[#This Row],[usage_date]],"mmmm")</f>
        <v>May</v>
      </c>
      <c r="E651" s="9">
        <f>YEAR(Table3[[#This Row],[usage_date]])</f>
        <v>2024</v>
      </c>
      <c r="F651" s="14">
        <v>0.18</v>
      </c>
      <c r="G651">
        <v>293</v>
      </c>
      <c r="H651" t="s">
        <v>12</v>
      </c>
      <c r="I651" t="str">
        <f t="shared" si="10"/>
        <v>Normal Usage</v>
      </c>
    </row>
    <row r="652" spans="1:9" x14ac:dyDescent="0.3">
      <c r="A652">
        <v>10651</v>
      </c>
      <c r="B652">
        <v>14</v>
      </c>
      <c r="C652" s="2">
        <v>45077</v>
      </c>
      <c r="D652" s="2" t="str">
        <f>TEXT(Table3[[#This Row],[usage_date]],"mmmm")</f>
        <v>May</v>
      </c>
      <c r="E652" s="9">
        <f>YEAR(Table3[[#This Row],[usage_date]])</f>
        <v>2023</v>
      </c>
      <c r="F652" s="14">
        <v>3.21</v>
      </c>
      <c r="G652">
        <v>206</v>
      </c>
      <c r="H652" t="s">
        <v>12</v>
      </c>
      <c r="I652" t="str">
        <f t="shared" si="10"/>
        <v>Normal Usage</v>
      </c>
    </row>
    <row r="653" spans="1:9" x14ac:dyDescent="0.3">
      <c r="A653">
        <v>10652</v>
      </c>
      <c r="B653">
        <v>3</v>
      </c>
      <c r="C653" s="2">
        <v>44958</v>
      </c>
      <c r="D653" s="2" t="str">
        <f>TEXT(Table3[[#This Row],[usage_date]],"mmmm")</f>
        <v>February</v>
      </c>
      <c r="E653" s="9">
        <f>YEAR(Table3[[#This Row],[usage_date]])</f>
        <v>2023</v>
      </c>
      <c r="F653" s="14">
        <v>4.0999999999999996</v>
      </c>
      <c r="G653">
        <v>214</v>
      </c>
      <c r="H653" t="s">
        <v>12</v>
      </c>
      <c r="I653" t="str">
        <f t="shared" si="10"/>
        <v>Normal Usage</v>
      </c>
    </row>
    <row r="654" spans="1:9" x14ac:dyDescent="0.3">
      <c r="A654">
        <v>10653</v>
      </c>
      <c r="B654">
        <v>216</v>
      </c>
      <c r="C654" s="2">
        <v>45427</v>
      </c>
      <c r="D654" s="2" t="str">
        <f>TEXT(Table3[[#This Row],[usage_date]],"mmmm")</f>
        <v>May</v>
      </c>
      <c r="E654" s="9">
        <f>YEAR(Table3[[#This Row],[usage_date]])</f>
        <v>2024</v>
      </c>
      <c r="F654" s="14">
        <v>0.85</v>
      </c>
      <c r="G654">
        <v>140</v>
      </c>
      <c r="H654" t="s">
        <v>12</v>
      </c>
      <c r="I654" t="str">
        <f t="shared" si="10"/>
        <v>Normal Usage</v>
      </c>
    </row>
    <row r="655" spans="1:9" x14ac:dyDescent="0.3">
      <c r="A655">
        <v>10654</v>
      </c>
      <c r="B655">
        <v>229</v>
      </c>
      <c r="C655" s="2">
        <v>44667</v>
      </c>
      <c r="D655" s="2" t="str">
        <f>TEXT(Table3[[#This Row],[usage_date]],"mmmm")</f>
        <v>April</v>
      </c>
      <c r="E655" s="9">
        <f>YEAR(Table3[[#This Row],[usage_date]])</f>
        <v>2022</v>
      </c>
      <c r="F655" s="14">
        <v>2.73</v>
      </c>
      <c r="G655">
        <v>84</v>
      </c>
      <c r="H655" t="s">
        <v>12</v>
      </c>
      <c r="I655" t="str">
        <f t="shared" si="10"/>
        <v>Normal Usage</v>
      </c>
    </row>
    <row r="656" spans="1:9" x14ac:dyDescent="0.3">
      <c r="A656">
        <v>10655</v>
      </c>
      <c r="B656">
        <v>336</v>
      </c>
      <c r="C656" s="2">
        <v>44646</v>
      </c>
      <c r="D656" s="2" t="str">
        <f>TEXT(Table3[[#This Row],[usage_date]],"mmmm")</f>
        <v>March</v>
      </c>
      <c r="E656" s="9">
        <f>YEAR(Table3[[#This Row],[usage_date]])</f>
        <v>2022</v>
      </c>
      <c r="F656" s="14">
        <v>1.39</v>
      </c>
      <c r="G656">
        <v>181</v>
      </c>
      <c r="H656" t="s">
        <v>13</v>
      </c>
      <c r="I656" t="str">
        <f t="shared" si="10"/>
        <v>Normal Usage</v>
      </c>
    </row>
    <row r="657" spans="1:9" x14ac:dyDescent="0.3">
      <c r="A657">
        <v>10656</v>
      </c>
      <c r="B657">
        <v>186</v>
      </c>
      <c r="C657" s="2">
        <v>44775</v>
      </c>
      <c r="D657" s="2" t="str">
        <f>TEXT(Table3[[#This Row],[usage_date]],"mmmm")</f>
        <v>August</v>
      </c>
      <c r="E657" s="9">
        <f>YEAR(Table3[[#This Row],[usage_date]])</f>
        <v>2022</v>
      </c>
      <c r="F657" s="14">
        <v>5.5</v>
      </c>
      <c r="G657">
        <v>127</v>
      </c>
      <c r="H657" t="s">
        <v>12</v>
      </c>
      <c r="I657" t="str">
        <f t="shared" si="10"/>
        <v>Normal Usage</v>
      </c>
    </row>
    <row r="658" spans="1:9" x14ac:dyDescent="0.3">
      <c r="A658">
        <v>10657</v>
      </c>
      <c r="B658">
        <v>55</v>
      </c>
      <c r="C658" s="2">
        <v>44682</v>
      </c>
      <c r="D658" s="2" t="str">
        <f>TEXT(Table3[[#This Row],[usage_date]],"mmmm")</f>
        <v>May</v>
      </c>
      <c r="E658" s="9">
        <f>YEAR(Table3[[#This Row],[usage_date]])</f>
        <v>2022</v>
      </c>
      <c r="F658" s="14">
        <v>4.66</v>
      </c>
      <c r="G658">
        <v>268</v>
      </c>
      <c r="H658" t="s">
        <v>13</v>
      </c>
      <c r="I658" t="str">
        <f t="shared" si="10"/>
        <v>Normal Usage</v>
      </c>
    </row>
    <row r="659" spans="1:9" x14ac:dyDescent="0.3">
      <c r="A659">
        <v>10658</v>
      </c>
      <c r="B659">
        <v>500</v>
      </c>
      <c r="C659" s="2">
        <v>44693</v>
      </c>
      <c r="D659" s="2" t="str">
        <f>TEXT(Table3[[#This Row],[usage_date]],"mmmm")</f>
        <v>May</v>
      </c>
      <c r="E659" s="9">
        <f>YEAR(Table3[[#This Row],[usage_date]])</f>
        <v>2022</v>
      </c>
      <c r="F659" s="14">
        <v>1.86</v>
      </c>
      <c r="G659">
        <v>38</v>
      </c>
      <c r="H659" t="s">
        <v>13</v>
      </c>
      <c r="I659" t="str">
        <f t="shared" si="10"/>
        <v>Normal Usage</v>
      </c>
    </row>
    <row r="660" spans="1:9" x14ac:dyDescent="0.3">
      <c r="A660">
        <v>10659</v>
      </c>
      <c r="B660">
        <v>388</v>
      </c>
      <c r="C660" s="2">
        <v>45411</v>
      </c>
      <c r="D660" s="2" t="str">
        <f>TEXT(Table3[[#This Row],[usage_date]],"mmmm")</f>
        <v>April</v>
      </c>
      <c r="E660" s="9">
        <f>YEAR(Table3[[#This Row],[usage_date]])</f>
        <v>2024</v>
      </c>
      <c r="F660" s="14">
        <v>2.94</v>
      </c>
      <c r="G660">
        <v>22</v>
      </c>
      <c r="H660" t="s">
        <v>13</v>
      </c>
      <c r="I660" t="str">
        <f t="shared" si="10"/>
        <v>Normal Usage</v>
      </c>
    </row>
    <row r="661" spans="1:9" x14ac:dyDescent="0.3">
      <c r="A661">
        <v>10660</v>
      </c>
      <c r="B661">
        <v>376</v>
      </c>
      <c r="C661" s="2">
        <v>44758</v>
      </c>
      <c r="D661" s="2" t="str">
        <f>TEXT(Table3[[#This Row],[usage_date]],"mmmm")</f>
        <v>July</v>
      </c>
      <c r="E661" s="9">
        <f>YEAR(Table3[[#This Row],[usage_date]])</f>
        <v>2022</v>
      </c>
      <c r="F661" s="14">
        <v>5.37</v>
      </c>
      <c r="G661">
        <v>241</v>
      </c>
      <c r="H661" t="s">
        <v>13</v>
      </c>
      <c r="I661" t="str">
        <f t="shared" si="10"/>
        <v>Normal Usage</v>
      </c>
    </row>
    <row r="662" spans="1:9" x14ac:dyDescent="0.3">
      <c r="A662">
        <v>10661</v>
      </c>
      <c r="B662">
        <v>254</v>
      </c>
      <c r="C662" s="2">
        <v>44580</v>
      </c>
      <c r="D662" s="2" t="str">
        <f>TEXT(Table3[[#This Row],[usage_date]],"mmmm")</f>
        <v>January</v>
      </c>
      <c r="E662" s="9">
        <f>YEAR(Table3[[#This Row],[usage_date]])</f>
        <v>2022</v>
      </c>
      <c r="F662" s="14">
        <v>1.71</v>
      </c>
      <c r="G662">
        <v>106</v>
      </c>
      <c r="H662" t="s">
        <v>13</v>
      </c>
      <c r="I662" t="str">
        <f t="shared" si="10"/>
        <v>Normal Usage</v>
      </c>
    </row>
    <row r="663" spans="1:9" x14ac:dyDescent="0.3">
      <c r="A663">
        <v>10662</v>
      </c>
      <c r="B663">
        <v>24</v>
      </c>
      <c r="C663" s="2">
        <v>45203</v>
      </c>
      <c r="D663" s="2" t="str">
        <f>TEXT(Table3[[#This Row],[usage_date]],"mmmm")</f>
        <v>October</v>
      </c>
      <c r="E663" s="9">
        <f>YEAR(Table3[[#This Row],[usage_date]])</f>
        <v>2023</v>
      </c>
      <c r="F663" s="14">
        <v>0.94</v>
      </c>
      <c r="G663">
        <v>141</v>
      </c>
      <c r="H663" t="s">
        <v>12</v>
      </c>
      <c r="I663" t="str">
        <f t="shared" si="10"/>
        <v>Normal Usage</v>
      </c>
    </row>
    <row r="664" spans="1:9" x14ac:dyDescent="0.3">
      <c r="A664">
        <v>10663</v>
      </c>
      <c r="B664">
        <v>162</v>
      </c>
      <c r="C664" s="2">
        <v>44573</v>
      </c>
      <c r="D664" s="2" t="str">
        <f>TEXT(Table3[[#This Row],[usage_date]],"mmmm")</f>
        <v>January</v>
      </c>
      <c r="E664" s="9">
        <f>YEAR(Table3[[#This Row],[usage_date]])</f>
        <v>2022</v>
      </c>
      <c r="F664" s="14">
        <v>3.5</v>
      </c>
      <c r="G664">
        <v>144</v>
      </c>
      <c r="H664" t="s">
        <v>13</v>
      </c>
      <c r="I664" t="str">
        <f t="shared" si="10"/>
        <v>Normal Usage</v>
      </c>
    </row>
    <row r="665" spans="1:9" x14ac:dyDescent="0.3">
      <c r="A665">
        <v>10664</v>
      </c>
      <c r="B665">
        <v>158</v>
      </c>
      <c r="C665" s="2">
        <v>44642</v>
      </c>
      <c r="D665" s="2" t="str">
        <f>TEXT(Table3[[#This Row],[usage_date]],"mmmm")</f>
        <v>March</v>
      </c>
      <c r="E665" s="9">
        <f>YEAR(Table3[[#This Row],[usage_date]])</f>
        <v>2022</v>
      </c>
      <c r="F665" s="14">
        <v>0.62</v>
      </c>
      <c r="G665">
        <v>279</v>
      </c>
      <c r="H665" t="s">
        <v>13</v>
      </c>
      <c r="I665" t="str">
        <f t="shared" si="10"/>
        <v>Normal Usage</v>
      </c>
    </row>
    <row r="666" spans="1:9" x14ac:dyDescent="0.3">
      <c r="A666">
        <v>10665</v>
      </c>
      <c r="B666">
        <v>82</v>
      </c>
      <c r="C666" s="2">
        <v>44891</v>
      </c>
      <c r="D666" s="2" t="str">
        <f>TEXT(Table3[[#This Row],[usage_date]],"mmmm")</f>
        <v>November</v>
      </c>
      <c r="E666" s="9">
        <f>YEAR(Table3[[#This Row],[usage_date]])</f>
        <v>2022</v>
      </c>
      <c r="F666" s="14">
        <v>1.23</v>
      </c>
      <c r="G666">
        <v>244</v>
      </c>
      <c r="H666" t="s">
        <v>13</v>
      </c>
      <c r="I666" t="str">
        <f t="shared" si="10"/>
        <v>Normal Usage</v>
      </c>
    </row>
    <row r="667" spans="1:9" x14ac:dyDescent="0.3">
      <c r="A667">
        <v>10666</v>
      </c>
      <c r="B667">
        <v>403</v>
      </c>
      <c r="C667" s="2">
        <v>45427</v>
      </c>
      <c r="D667" s="2" t="str">
        <f>TEXT(Table3[[#This Row],[usage_date]],"mmmm")</f>
        <v>May</v>
      </c>
      <c r="E667" s="9">
        <f>YEAR(Table3[[#This Row],[usage_date]])</f>
        <v>2024</v>
      </c>
      <c r="F667" s="14">
        <v>5.0199999999999996</v>
      </c>
      <c r="G667">
        <v>190</v>
      </c>
      <c r="H667" t="s">
        <v>12</v>
      </c>
      <c r="I667" t="str">
        <f t="shared" si="10"/>
        <v>Normal Usage</v>
      </c>
    </row>
    <row r="668" spans="1:9" x14ac:dyDescent="0.3">
      <c r="A668">
        <v>10667</v>
      </c>
      <c r="B668">
        <v>159</v>
      </c>
      <c r="C668" s="2">
        <v>45335</v>
      </c>
      <c r="D668" s="2" t="str">
        <f>TEXT(Table3[[#This Row],[usage_date]],"mmmm")</f>
        <v>February</v>
      </c>
      <c r="E668" s="9">
        <f>YEAR(Table3[[#This Row],[usage_date]])</f>
        <v>2024</v>
      </c>
      <c r="F668" s="14">
        <v>3.22</v>
      </c>
      <c r="G668">
        <v>289</v>
      </c>
      <c r="H668" t="s">
        <v>12</v>
      </c>
      <c r="I668" t="str">
        <f t="shared" si="10"/>
        <v>Normal Usage</v>
      </c>
    </row>
    <row r="669" spans="1:9" x14ac:dyDescent="0.3">
      <c r="A669">
        <v>10668</v>
      </c>
      <c r="B669">
        <v>188</v>
      </c>
      <c r="C669" s="2">
        <v>44953</v>
      </c>
      <c r="D669" s="2" t="str">
        <f>TEXT(Table3[[#This Row],[usage_date]],"mmmm")</f>
        <v>January</v>
      </c>
      <c r="E669" s="9">
        <f>YEAR(Table3[[#This Row],[usage_date]])</f>
        <v>2023</v>
      </c>
      <c r="F669" s="14">
        <v>1.29</v>
      </c>
      <c r="G669">
        <v>178</v>
      </c>
      <c r="H669" t="s">
        <v>12</v>
      </c>
      <c r="I669" t="str">
        <f t="shared" si="10"/>
        <v>Normal Usage</v>
      </c>
    </row>
    <row r="670" spans="1:9" x14ac:dyDescent="0.3">
      <c r="A670">
        <v>10669</v>
      </c>
      <c r="B670">
        <v>60</v>
      </c>
      <c r="C670" s="2">
        <v>45198</v>
      </c>
      <c r="D670" s="2" t="str">
        <f>TEXT(Table3[[#This Row],[usage_date]],"mmmm")</f>
        <v>September</v>
      </c>
      <c r="E670" s="9">
        <f>YEAR(Table3[[#This Row],[usage_date]])</f>
        <v>2023</v>
      </c>
      <c r="F670" s="14">
        <v>0.6</v>
      </c>
      <c r="G670">
        <v>111</v>
      </c>
      <c r="H670" t="s">
        <v>12</v>
      </c>
      <c r="I670" t="str">
        <f t="shared" si="10"/>
        <v>Normal Usage</v>
      </c>
    </row>
    <row r="671" spans="1:9" x14ac:dyDescent="0.3">
      <c r="A671">
        <v>10670</v>
      </c>
      <c r="B671">
        <v>403</v>
      </c>
      <c r="C671" s="2">
        <v>44868</v>
      </c>
      <c r="D671" s="2" t="str">
        <f>TEXT(Table3[[#This Row],[usage_date]],"mmmm")</f>
        <v>November</v>
      </c>
      <c r="E671" s="9">
        <f>YEAR(Table3[[#This Row],[usage_date]])</f>
        <v>2022</v>
      </c>
      <c r="F671" s="14">
        <v>1.1000000000000001</v>
      </c>
      <c r="G671">
        <v>213</v>
      </c>
      <c r="H671" t="s">
        <v>13</v>
      </c>
      <c r="I671" t="str">
        <f t="shared" si="10"/>
        <v>Normal Usage</v>
      </c>
    </row>
    <row r="672" spans="1:9" x14ac:dyDescent="0.3">
      <c r="A672">
        <v>10671</v>
      </c>
      <c r="B672">
        <v>305</v>
      </c>
      <c r="C672" s="2">
        <v>44828</v>
      </c>
      <c r="D672" s="2" t="str">
        <f>TEXT(Table3[[#This Row],[usage_date]],"mmmm")</f>
        <v>September</v>
      </c>
      <c r="E672" s="9">
        <f>YEAR(Table3[[#This Row],[usage_date]])</f>
        <v>2022</v>
      </c>
      <c r="F672" s="14">
        <v>0.84</v>
      </c>
      <c r="G672">
        <v>137</v>
      </c>
      <c r="H672" t="s">
        <v>12</v>
      </c>
      <c r="I672" t="str">
        <f t="shared" si="10"/>
        <v>Normal Usage</v>
      </c>
    </row>
    <row r="673" spans="1:9" x14ac:dyDescent="0.3">
      <c r="A673">
        <v>10672</v>
      </c>
      <c r="B673">
        <v>319</v>
      </c>
      <c r="C673" s="2">
        <v>45008</v>
      </c>
      <c r="D673" s="2" t="str">
        <f>TEXT(Table3[[#This Row],[usage_date]],"mmmm")</f>
        <v>March</v>
      </c>
      <c r="E673" s="9">
        <f>YEAR(Table3[[#This Row],[usage_date]])</f>
        <v>2023</v>
      </c>
      <c r="F673" s="14">
        <v>0.48</v>
      </c>
      <c r="G673">
        <v>199</v>
      </c>
      <c r="H673" t="s">
        <v>12</v>
      </c>
      <c r="I673" t="str">
        <f t="shared" si="10"/>
        <v>Normal Usage</v>
      </c>
    </row>
    <row r="674" spans="1:9" x14ac:dyDescent="0.3">
      <c r="A674">
        <v>10673</v>
      </c>
      <c r="B674">
        <v>366</v>
      </c>
      <c r="C674" s="2">
        <v>45002</v>
      </c>
      <c r="D674" s="2" t="str">
        <f>TEXT(Table3[[#This Row],[usage_date]],"mmmm")</f>
        <v>March</v>
      </c>
      <c r="E674" s="9">
        <f>YEAR(Table3[[#This Row],[usage_date]])</f>
        <v>2023</v>
      </c>
      <c r="F674" s="14">
        <v>3.4</v>
      </c>
      <c r="G674">
        <v>6</v>
      </c>
      <c r="H674" t="s">
        <v>12</v>
      </c>
      <c r="I674" t="str">
        <f t="shared" si="10"/>
        <v>Normal Usage</v>
      </c>
    </row>
    <row r="675" spans="1:9" x14ac:dyDescent="0.3">
      <c r="A675">
        <v>10674</v>
      </c>
      <c r="B675">
        <v>211</v>
      </c>
      <c r="C675" s="2">
        <v>45456</v>
      </c>
      <c r="D675" s="2" t="str">
        <f>TEXT(Table3[[#This Row],[usage_date]],"mmmm")</f>
        <v>June</v>
      </c>
      <c r="E675" s="9">
        <f>YEAR(Table3[[#This Row],[usage_date]])</f>
        <v>2024</v>
      </c>
      <c r="F675" s="14">
        <v>0.73</v>
      </c>
      <c r="G675">
        <v>12</v>
      </c>
      <c r="H675" t="s">
        <v>12</v>
      </c>
      <c r="I675" t="str">
        <f t="shared" si="10"/>
        <v>Normal Usage</v>
      </c>
    </row>
    <row r="676" spans="1:9" x14ac:dyDescent="0.3">
      <c r="A676">
        <v>10675</v>
      </c>
      <c r="B676">
        <v>406</v>
      </c>
      <c r="C676" s="2">
        <v>45213</v>
      </c>
      <c r="D676" s="2" t="str">
        <f>TEXT(Table3[[#This Row],[usage_date]],"mmmm")</f>
        <v>October</v>
      </c>
      <c r="E676" s="9">
        <f>YEAR(Table3[[#This Row],[usage_date]])</f>
        <v>2023</v>
      </c>
      <c r="F676" s="14">
        <v>1.51</v>
      </c>
      <c r="G676">
        <v>79</v>
      </c>
      <c r="H676" t="s">
        <v>12</v>
      </c>
      <c r="I676" t="str">
        <f t="shared" si="10"/>
        <v>Normal Usage</v>
      </c>
    </row>
    <row r="677" spans="1:9" x14ac:dyDescent="0.3">
      <c r="A677">
        <v>10676</v>
      </c>
      <c r="B677">
        <v>152</v>
      </c>
      <c r="C677" s="2">
        <v>45402</v>
      </c>
      <c r="D677" s="2" t="str">
        <f>TEXT(Table3[[#This Row],[usage_date]],"mmmm")</f>
        <v>April</v>
      </c>
      <c r="E677" s="9">
        <f>YEAR(Table3[[#This Row],[usage_date]])</f>
        <v>2024</v>
      </c>
      <c r="F677" s="14">
        <v>1.22</v>
      </c>
      <c r="G677">
        <v>285</v>
      </c>
      <c r="H677" t="s">
        <v>12</v>
      </c>
      <c r="I677" t="str">
        <f t="shared" si="10"/>
        <v>Normal Usage</v>
      </c>
    </row>
    <row r="678" spans="1:9" x14ac:dyDescent="0.3">
      <c r="A678">
        <v>10677</v>
      </c>
      <c r="B678">
        <v>109</v>
      </c>
      <c r="C678" s="2">
        <v>44563</v>
      </c>
      <c r="D678" s="2" t="str">
        <f>TEXT(Table3[[#This Row],[usage_date]],"mmmm")</f>
        <v>January</v>
      </c>
      <c r="E678" s="9">
        <f>YEAR(Table3[[#This Row],[usage_date]])</f>
        <v>2022</v>
      </c>
      <c r="F678" s="14">
        <v>10.050000000000001</v>
      </c>
      <c r="G678">
        <v>158</v>
      </c>
      <c r="H678" t="s">
        <v>12</v>
      </c>
      <c r="I678" t="str">
        <f t="shared" si="10"/>
        <v>High Usage</v>
      </c>
    </row>
    <row r="679" spans="1:9" x14ac:dyDescent="0.3">
      <c r="A679">
        <v>10678</v>
      </c>
      <c r="B679">
        <v>76</v>
      </c>
      <c r="C679" s="2">
        <v>45081</v>
      </c>
      <c r="D679" s="2" t="str">
        <f>TEXT(Table3[[#This Row],[usage_date]],"mmmm")</f>
        <v>June</v>
      </c>
      <c r="E679" s="9">
        <f>YEAR(Table3[[#This Row],[usage_date]])</f>
        <v>2023</v>
      </c>
      <c r="F679" s="14">
        <v>1.24</v>
      </c>
      <c r="G679">
        <v>271</v>
      </c>
      <c r="H679" t="s">
        <v>12</v>
      </c>
      <c r="I679" t="str">
        <f t="shared" si="10"/>
        <v>Normal Usage</v>
      </c>
    </row>
    <row r="680" spans="1:9" x14ac:dyDescent="0.3">
      <c r="A680">
        <v>10679</v>
      </c>
      <c r="B680">
        <v>30</v>
      </c>
      <c r="C680" s="2">
        <v>45323</v>
      </c>
      <c r="D680" s="2" t="str">
        <f>TEXT(Table3[[#This Row],[usage_date]],"mmmm")</f>
        <v>February</v>
      </c>
      <c r="E680" s="9">
        <f>YEAR(Table3[[#This Row],[usage_date]])</f>
        <v>2024</v>
      </c>
      <c r="F680" s="14">
        <v>0.21</v>
      </c>
      <c r="G680">
        <v>200</v>
      </c>
      <c r="H680" t="s">
        <v>12</v>
      </c>
      <c r="I680" t="str">
        <f t="shared" si="10"/>
        <v>Normal Usage</v>
      </c>
    </row>
    <row r="681" spans="1:9" x14ac:dyDescent="0.3">
      <c r="A681">
        <v>10680</v>
      </c>
      <c r="B681">
        <v>314</v>
      </c>
      <c r="C681" s="2">
        <v>45212</v>
      </c>
      <c r="D681" s="2" t="str">
        <f>TEXT(Table3[[#This Row],[usage_date]],"mmmm")</f>
        <v>October</v>
      </c>
      <c r="E681" s="9">
        <f>YEAR(Table3[[#This Row],[usage_date]])</f>
        <v>2023</v>
      </c>
      <c r="F681" s="14">
        <v>0.24</v>
      </c>
      <c r="G681">
        <v>149</v>
      </c>
      <c r="H681" t="s">
        <v>13</v>
      </c>
      <c r="I681" t="str">
        <f t="shared" si="10"/>
        <v>Normal Usage</v>
      </c>
    </row>
    <row r="682" spans="1:9" x14ac:dyDescent="0.3">
      <c r="A682">
        <v>10681</v>
      </c>
      <c r="B682">
        <v>486</v>
      </c>
      <c r="C682" s="2">
        <v>45197</v>
      </c>
      <c r="D682" s="2" t="str">
        <f>TEXT(Table3[[#This Row],[usage_date]],"mmmm")</f>
        <v>September</v>
      </c>
      <c r="E682" s="9">
        <f>YEAR(Table3[[#This Row],[usage_date]])</f>
        <v>2023</v>
      </c>
      <c r="F682" s="14">
        <v>2.23</v>
      </c>
      <c r="G682">
        <v>295</v>
      </c>
      <c r="H682" t="s">
        <v>13</v>
      </c>
      <c r="I682" t="str">
        <f t="shared" si="10"/>
        <v>Normal Usage</v>
      </c>
    </row>
    <row r="683" spans="1:9" x14ac:dyDescent="0.3">
      <c r="A683">
        <v>10682</v>
      </c>
      <c r="B683">
        <v>117</v>
      </c>
      <c r="C683" s="2">
        <v>44870</v>
      </c>
      <c r="D683" s="2" t="str">
        <f>TEXT(Table3[[#This Row],[usage_date]],"mmmm")</f>
        <v>November</v>
      </c>
      <c r="E683" s="9">
        <f>YEAR(Table3[[#This Row],[usage_date]])</f>
        <v>2022</v>
      </c>
      <c r="F683" s="14">
        <v>2.29</v>
      </c>
      <c r="G683">
        <v>292</v>
      </c>
      <c r="H683" t="s">
        <v>13</v>
      </c>
      <c r="I683" t="str">
        <f t="shared" si="10"/>
        <v>Normal Usage</v>
      </c>
    </row>
    <row r="684" spans="1:9" x14ac:dyDescent="0.3">
      <c r="A684">
        <v>10683</v>
      </c>
      <c r="B684">
        <v>415</v>
      </c>
      <c r="C684" s="2">
        <v>45301</v>
      </c>
      <c r="D684" s="2" t="str">
        <f>TEXT(Table3[[#This Row],[usage_date]],"mmmm")</f>
        <v>January</v>
      </c>
      <c r="E684" s="9">
        <f>YEAR(Table3[[#This Row],[usage_date]])</f>
        <v>2024</v>
      </c>
      <c r="F684" s="14">
        <v>1.36</v>
      </c>
      <c r="G684">
        <v>271</v>
      </c>
      <c r="H684" t="s">
        <v>12</v>
      </c>
      <c r="I684" t="str">
        <f t="shared" si="10"/>
        <v>Normal Usage</v>
      </c>
    </row>
    <row r="685" spans="1:9" x14ac:dyDescent="0.3">
      <c r="A685">
        <v>10684</v>
      </c>
      <c r="B685">
        <v>356</v>
      </c>
      <c r="C685" s="2">
        <v>45083</v>
      </c>
      <c r="D685" s="2" t="str">
        <f>TEXT(Table3[[#This Row],[usage_date]],"mmmm")</f>
        <v>June</v>
      </c>
      <c r="E685" s="9">
        <f>YEAR(Table3[[#This Row],[usage_date]])</f>
        <v>2023</v>
      </c>
      <c r="F685" s="14">
        <v>1.41</v>
      </c>
      <c r="G685">
        <v>42</v>
      </c>
      <c r="H685" t="s">
        <v>12</v>
      </c>
      <c r="I685" t="str">
        <f t="shared" si="10"/>
        <v>Normal Usage</v>
      </c>
    </row>
    <row r="686" spans="1:9" x14ac:dyDescent="0.3">
      <c r="A686">
        <v>10685</v>
      </c>
      <c r="B686">
        <v>192</v>
      </c>
      <c r="C686" s="2">
        <v>45030</v>
      </c>
      <c r="D686" s="2" t="str">
        <f>TEXT(Table3[[#This Row],[usage_date]],"mmmm")</f>
        <v>April</v>
      </c>
      <c r="E686" s="9">
        <f>YEAR(Table3[[#This Row],[usage_date]])</f>
        <v>2023</v>
      </c>
      <c r="F686" s="14">
        <v>0.14000000000000001</v>
      </c>
      <c r="G686">
        <v>14</v>
      </c>
      <c r="H686" t="s">
        <v>12</v>
      </c>
      <c r="I686" t="str">
        <f t="shared" si="10"/>
        <v>Normal Usage</v>
      </c>
    </row>
    <row r="687" spans="1:9" x14ac:dyDescent="0.3">
      <c r="A687">
        <v>10686</v>
      </c>
      <c r="B687">
        <v>19</v>
      </c>
      <c r="C687" s="2">
        <v>44773</v>
      </c>
      <c r="D687" s="2" t="str">
        <f>TEXT(Table3[[#This Row],[usage_date]],"mmmm")</f>
        <v>July</v>
      </c>
      <c r="E687" s="9">
        <f>YEAR(Table3[[#This Row],[usage_date]])</f>
        <v>2022</v>
      </c>
      <c r="F687" s="14">
        <v>1.82</v>
      </c>
      <c r="G687">
        <v>247</v>
      </c>
      <c r="H687" t="s">
        <v>13</v>
      </c>
      <c r="I687" t="str">
        <f t="shared" si="10"/>
        <v>Normal Usage</v>
      </c>
    </row>
    <row r="688" spans="1:9" x14ac:dyDescent="0.3">
      <c r="A688">
        <v>10687</v>
      </c>
      <c r="B688">
        <v>432</v>
      </c>
      <c r="C688" s="2">
        <v>44673</v>
      </c>
      <c r="D688" s="2" t="str">
        <f>TEXT(Table3[[#This Row],[usage_date]],"mmmm")</f>
        <v>April</v>
      </c>
      <c r="E688" s="9">
        <f>YEAR(Table3[[#This Row],[usage_date]])</f>
        <v>2022</v>
      </c>
      <c r="F688" s="14">
        <v>1.76</v>
      </c>
      <c r="G688">
        <v>171</v>
      </c>
      <c r="H688" t="s">
        <v>13</v>
      </c>
      <c r="I688" t="str">
        <f t="shared" si="10"/>
        <v>Normal Usage</v>
      </c>
    </row>
    <row r="689" spans="1:9" x14ac:dyDescent="0.3">
      <c r="A689">
        <v>10688</v>
      </c>
      <c r="B689">
        <v>173</v>
      </c>
      <c r="C689" s="2">
        <v>44569</v>
      </c>
      <c r="D689" s="2" t="str">
        <f>TEXT(Table3[[#This Row],[usage_date]],"mmmm")</f>
        <v>January</v>
      </c>
      <c r="E689" s="9">
        <f>YEAR(Table3[[#This Row],[usage_date]])</f>
        <v>2022</v>
      </c>
      <c r="F689" s="14">
        <v>0.4</v>
      </c>
      <c r="G689">
        <v>217</v>
      </c>
      <c r="H689" t="s">
        <v>12</v>
      </c>
      <c r="I689" t="str">
        <f t="shared" si="10"/>
        <v>Normal Usage</v>
      </c>
    </row>
    <row r="690" spans="1:9" x14ac:dyDescent="0.3">
      <c r="A690">
        <v>10689</v>
      </c>
      <c r="B690">
        <v>228</v>
      </c>
      <c r="C690" s="2">
        <v>45365</v>
      </c>
      <c r="D690" s="2" t="str">
        <f>TEXT(Table3[[#This Row],[usage_date]],"mmmm")</f>
        <v>March</v>
      </c>
      <c r="E690" s="9">
        <f>YEAR(Table3[[#This Row],[usage_date]])</f>
        <v>2024</v>
      </c>
      <c r="F690" s="14">
        <v>0.27</v>
      </c>
      <c r="G690">
        <v>136</v>
      </c>
      <c r="H690" t="s">
        <v>13</v>
      </c>
      <c r="I690" t="str">
        <f t="shared" si="10"/>
        <v>Normal Usage</v>
      </c>
    </row>
    <row r="691" spans="1:9" x14ac:dyDescent="0.3">
      <c r="A691">
        <v>10690</v>
      </c>
      <c r="B691">
        <v>350</v>
      </c>
      <c r="C691" s="2">
        <v>45038</v>
      </c>
      <c r="D691" s="2" t="str">
        <f>TEXT(Table3[[#This Row],[usage_date]],"mmmm")</f>
        <v>April</v>
      </c>
      <c r="E691" s="9">
        <f>YEAR(Table3[[#This Row],[usage_date]])</f>
        <v>2023</v>
      </c>
      <c r="F691" s="14">
        <v>0.33</v>
      </c>
      <c r="G691">
        <v>226</v>
      </c>
      <c r="H691" t="s">
        <v>12</v>
      </c>
      <c r="I691" t="str">
        <f t="shared" si="10"/>
        <v>Normal Usage</v>
      </c>
    </row>
    <row r="692" spans="1:9" x14ac:dyDescent="0.3">
      <c r="A692">
        <v>10691</v>
      </c>
      <c r="B692">
        <v>183</v>
      </c>
      <c r="C692" s="2">
        <v>45435</v>
      </c>
      <c r="D692" s="2" t="str">
        <f>TEXT(Table3[[#This Row],[usage_date]],"mmmm")</f>
        <v>May</v>
      </c>
      <c r="E692" s="9">
        <f>YEAR(Table3[[#This Row],[usage_date]])</f>
        <v>2024</v>
      </c>
      <c r="F692" s="14">
        <v>0.27</v>
      </c>
      <c r="G692">
        <v>43</v>
      </c>
      <c r="H692" t="s">
        <v>12</v>
      </c>
      <c r="I692" t="str">
        <f t="shared" si="10"/>
        <v>Normal Usage</v>
      </c>
    </row>
    <row r="693" spans="1:9" x14ac:dyDescent="0.3">
      <c r="A693">
        <v>10692</v>
      </c>
      <c r="B693">
        <v>113</v>
      </c>
      <c r="C693" s="2">
        <v>45021</v>
      </c>
      <c r="D693" s="2" t="str">
        <f>TEXT(Table3[[#This Row],[usage_date]],"mmmm")</f>
        <v>April</v>
      </c>
      <c r="E693" s="9">
        <f>YEAR(Table3[[#This Row],[usage_date]])</f>
        <v>2023</v>
      </c>
      <c r="F693" s="14">
        <v>2.35</v>
      </c>
      <c r="G693">
        <v>19</v>
      </c>
      <c r="H693" t="s">
        <v>12</v>
      </c>
      <c r="I693" t="str">
        <f t="shared" si="10"/>
        <v>Normal Usage</v>
      </c>
    </row>
    <row r="694" spans="1:9" x14ac:dyDescent="0.3">
      <c r="A694">
        <v>10693</v>
      </c>
      <c r="B694">
        <v>183</v>
      </c>
      <c r="C694" s="2">
        <v>44814</v>
      </c>
      <c r="D694" s="2" t="str">
        <f>TEXT(Table3[[#This Row],[usage_date]],"mmmm")</f>
        <v>September</v>
      </c>
      <c r="E694" s="9">
        <f>YEAR(Table3[[#This Row],[usage_date]])</f>
        <v>2022</v>
      </c>
      <c r="F694" s="14">
        <v>0.55000000000000004</v>
      </c>
      <c r="G694">
        <v>118</v>
      </c>
      <c r="H694" t="s">
        <v>12</v>
      </c>
      <c r="I694" t="str">
        <f t="shared" si="10"/>
        <v>Normal Usage</v>
      </c>
    </row>
    <row r="695" spans="1:9" x14ac:dyDescent="0.3">
      <c r="A695">
        <v>10694</v>
      </c>
      <c r="B695">
        <v>481</v>
      </c>
      <c r="C695" s="2">
        <v>45087</v>
      </c>
      <c r="D695" s="2" t="str">
        <f>TEXT(Table3[[#This Row],[usage_date]],"mmmm")</f>
        <v>June</v>
      </c>
      <c r="E695" s="9">
        <f>YEAR(Table3[[#This Row],[usage_date]])</f>
        <v>2023</v>
      </c>
      <c r="F695" s="14">
        <v>0.72</v>
      </c>
      <c r="G695">
        <v>233</v>
      </c>
      <c r="H695" t="s">
        <v>12</v>
      </c>
      <c r="I695" t="str">
        <f t="shared" si="10"/>
        <v>Normal Usage</v>
      </c>
    </row>
    <row r="696" spans="1:9" x14ac:dyDescent="0.3">
      <c r="A696">
        <v>10695</v>
      </c>
      <c r="B696">
        <v>146</v>
      </c>
      <c r="C696" s="2">
        <v>45313</v>
      </c>
      <c r="D696" s="2" t="str">
        <f>TEXT(Table3[[#This Row],[usage_date]],"mmmm")</f>
        <v>January</v>
      </c>
      <c r="E696" s="9">
        <f>YEAR(Table3[[#This Row],[usage_date]])</f>
        <v>2024</v>
      </c>
      <c r="F696" s="14">
        <v>0.48</v>
      </c>
      <c r="G696">
        <v>261</v>
      </c>
      <c r="H696" t="s">
        <v>13</v>
      </c>
      <c r="I696" t="str">
        <f t="shared" si="10"/>
        <v>Normal Usage</v>
      </c>
    </row>
    <row r="697" spans="1:9" x14ac:dyDescent="0.3">
      <c r="A697">
        <v>10696</v>
      </c>
      <c r="B697">
        <v>319</v>
      </c>
      <c r="C697" s="2">
        <v>44999</v>
      </c>
      <c r="D697" s="2" t="str">
        <f>TEXT(Table3[[#This Row],[usage_date]],"mmmm")</f>
        <v>March</v>
      </c>
      <c r="E697" s="9">
        <f>YEAR(Table3[[#This Row],[usage_date]])</f>
        <v>2023</v>
      </c>
      <c r="F697" s="14">
        <v>7.92</v>
      </c>
      <c r="G697">
        <v>82</v>
      </c>
      <c r="H697" t="s">
        <v>12</v>
      </c>
      <c r="I697" t="str">
        <f t="shared" si="10"/>
        <v>High Usage</v>
      </c>
    </row>
    <row r="698" spans="1:9" x14ac:dyDescent="0.3">
      <c r="A698">
        <v>10697</v>
      </c>
      <c r="B698">
        <v>116</v>
      </c>
      <c r="C698" s="2">
        <v>45315</v>
      </c>
      <c r="D698" s="2" t="str">
        <f>TEXT(Table3[[#This Row],[usage_date]],"mmmm")</f>
        <v>January</v>
      </c>
      <c r="E698" s="9">
        <f>YEAR(Table3[[#This Row],[usage_date]])</f>
        <v>2024</v>
      </c>
      <c r="F698" s="14">
        <v>4.82</v>
      </c>
      <c r="G698">
        <v>30</v>
      </c>
      <c r="H698" t="s">
        <v>12</v>
      </c>
      <c r="I698" t="str">
        <f t="shared" si="10"/>
        <v>Normal Usage</v>
      </c>
    </row>
    <row r="699" spans="1:9" x14ac:dyDescent="0.3">
      <c r="A699">
        <v>10698</v>
      </c>
      <c r="B699">
        <v>113</v>
      </c>
      <c r="C699" s="2">
        <v>45415</v>
      </c>
      <c r="D699" s="2" t="str">
        <f>TEXT(Table3[[#This Row],[usage_date]],"mmmm")</f>
        <v>May</v>
      </c>
      <c r="E699" s="9">
        <f>YEAR(Table3[[#This Row],[usage_date]])</f>
        <v>2024</v>
      </c>
      <c r="F699" s="14">
        <v>0.66</v>
      </c>
      <c r="G699">
        <v>273</v>
      </c>
      <c r="H699" t="s">
        <v>13</v>
      </c>
      <c r="I699" t="str">
        <f t="shared" si="10"/>
        <v>Normal Usage</v>
      </c>
    </row>
    <row r="700" spans="1:9" x14ac:dyDescent="0.3">
      <c r="A700">
        <v>10699</v>
      </c>
      <c r="B700">
        <v>251</v>
      </c>
      <c r="C700" s="2">
        <v>45222</v>
      </c>
      <c r="D700" s="2" t="str">
        <f>TEXT(Table3[[#This Row],[usage_date]],"mmmm")</f>
        <v>October</v>
      </c>
      <c r="E700" s="9">
        <f>YEAR(Table3[[#This Row],[usage_date]])</f>
        <v>2023</v>
      </c>
      <c r="F700" s="14">
        <v>0.99</v>
      </c>
      <c r="G700">
        <v>233</v>
      </c>
      <c r="H700" t="s">
        <v>12</v>
      </c>
      <c r="I700" t="str">
        <f t="shared" si="10"/>
        <v>Normal Usage</v>
      </c>
    </row>
    <row r="701" spans="1:9" x14ac:dyDescent="0.3">
      <c r="A701">
        <v>10700</v>
      </c>
      <c r="B701">
        <v>476</v>
      </c>
      <c r="C701" s="2">
        <v>44797</v>
      </c>
      <c r="D701" s="2" t="str">
        <f>TEXT(Table3[[#This Row],[usage_date]],"mmmm")</f>
        <v>August</v>
      </c>
      <c r="E701" s="9">
        <f>YEAR(Table3[[#This Row],[usage_date]])</f>
        <v>2022</v>
      </c>
      <c r="F701" s="14">
        <v>0.59</v>
      </c>
      <c r="G701">
        <v>27</v>
      </c>
      <c r="H701" t="s">
        <v>12</v>
      </c>
      <c r="I701" t="str">
        <f t="shared" si="10"/>
        <v>Normal Usage</v>
      </c>
    </row>
    <row r="702" spans="1:9" x14ac:dyDescent="0.3">
      <c r="A702">
        <v>10701</v>
      </c>
      <c r="B702">
        <v>251</v>
      </c>
      <c r="C702" s="2">
        <v>44867</v>
      </c>
      <c r="D702" s="2" t="str">
        <f>TEXT(Table3[[#This Row],[usage_date]],"mmmm")</f>
        <v>November</v>
      </c>
      <c r="E702" s="9">
        <f>YEAR(Table3[[#This Row],[usage_date]])</f>
        <v>2022</v>
      </c>
      <c r="F702" s="14">
        <v>1.69</v>
      </c>
      <c r="G702">
        <v>251</v>
      </c>
      <c r="H702" t="s">
        <v>12</v>
      </c>
      <c r="I702" t="str">
        <f t="shared" si="10"/>
        <v>Normal Usage</v>
      </c>
    </row>
    <row r="703" spans="1:9" x14ac:dyDescent="0.3">
      <c r="A703">
        <v>10702</v>
      </c>
      <c r="B703">
        <v>303</v>
      </c>
      <c r="C703" s="2">
        <v>45039</v>
      </c>
      <c r="D703" s="2" t="str">
        <f>TEXT(Table3[[#This Row],[usage_date]],"mmmm")</f>
        <v>April</v>
      </c>
      <c r="E703" s="9">
        <f>YEAR(Table3[[#This Row],[usage_date]])</f>
        <v>2023</v>
      </c>
      <c r="F703" s="14">
        <v>0.05</v>
      </c>
      <c r="G703">
        <v>252</v>
      </c>
      <c r="H703" t="s">
        <v>12</v>
      </c>
      <c r="I703" t="str">
        <f t="shared" si="10"/>
        <v>Normal Usage</v>
      </c>
    </row>
    <row r="704" spans="1:9" x14ac:dyDescent="0.3">
      <c r="A704">
        <v>10703</v>
      </c>
      <c r="B704">
        <v>459</v>
      </c>
      <c r="C704" s="2">
        <v>45240</v>
      </c>
      <c r="D704" s="2" t="str">
        <f>TEXT(Table3[[#This Row],[usage_date]],"mmmm")</f>
        <v>November</v>
      </c>
      <c r="E704" s="9">
        <f>YEAR(Table3[[#This Row],[usage_date]])</f>
        <v>2023</v>
      </c>
      <c r="F704" s="14">
        <v>2.78</v>
      </c>
      <c r="G704">
        <v>238</v>
      </c>
      <c r="H704" t="s">
        <v>12</v>
      </c>
      <c r="I704" t="str">
        <f t="shared" si="10"/>
        <v>Normal Usage</v>
      </c>
    </row>
    <row r="705" spans="1:9" x14ac:dyDescent="0.3">
      <c r="A705">
        <v>10704</v>
      </c>
      <c r="B705">
        <v>313</v>
      </c>
      <c r="C705" s="2">
        <v>44581</v>
      </c>
      <c r="D705" s="2" t="str">
        <f>TEXT(Table3[[#This Row],[usage_date]],"mmmm")</f>
        <v>January</v>
      </c>
      <c r="E705" s="9">
        <f>YEAR(Table3[[#This Row],[usage_date]])</f>
        <v>2022</v>
      </c>
      <c r="F705" s="14">
        <v>1.85</v>
      </c>
      <c r="G705">
        <v>174</v>
      </c>
      <c r="H705" t="s">
        <v>12</v>
      </c>
      <c r="I705" t="str">
        <f t="shared" si="10"/>
        <v>Normal Usage</v>
      </c>
    </row>
    <row r="706" spans="1:9" x14ac:dyDescent="0.3">
      <c r="A706">
        <v>10705</v>
      </c>
      <c r="B706">
        <v>118</v>
      </c>
      <c r="C706" s="2">
        <v>44777</v>
      </c>
      <c r="D706" s="2" t="str">
        <f>TEXT(Table3[[#This Row],[usage_date]],"mmmm")</f>
        <v>August</v>
      </c>
      <c r="E706" s="9">
        <f>YEAR(Table3[[#This Row],[usage_date]])</f>
        <v>2022</v>
      </c>
      <c r="F706" s="14">
        <v>5.72</v>
      </c>
      <c r="G706">
        <v>193</v>
      </c>
      <c r="H706" t="s">
        <v>12</v>
      </c>
      <c r="I706" t="str">
        <f t="shared" ref="I706:I769" si="11">IF(F706&gt;6,"High Usage","Normal Usage")</f>
        <v>Normal Usage</v>
      </c>
    </row>
    <row r="707" spans="1:9" x14ac:dyDescent="0.3">
      <c r="A707">
        <v>10706</v>
      </c>
      <c r="B707">
        <v>301</v>
      </c>
      <c r="C707" s="2">
        <v>45416</v>
      </c>
      <c r="D707" s="2" t="str">
        <f>TEXT(Table3[[#This Row],[usage_date]],"mmmm")</f>
        <v>May</v>
      </c>
      <c r="E707" s="9">
        <f>YEAR(Table3[[#This Row],[usage_date]])</f>
        <v>2024</v>
      </c>
      <c r="F707" s="14">
        <v>0.45</v>
      </c>
      <c r="G707">
        <v>179</v>
      </c>
      <c r="H707" t="s">
        <v>12</v>
      </c>
      <c r="I707" t="str">
        <f t="shared" si="11"/>
        <v>Normal Usage</v>
      </c>
    </row>
    <row r="708" spans="1:9" x14ac:dyDescent="0.3">
      <c r="A708">
        <v>10707</v>
      </c>
      <c r="B708">
        <v>161</v>
      </c>
      <c r="C708" s="2">
        <v>44696</v>
      </c>
      <c r="D708" s="2" t="str">
        <f>TEXT(Table3[[#This Row],[usage_date]],"mmmm")</f>
        <v>May</v>
      </c>
      <c r="E708" s="9">
        <f>YEAR(Table3[[#This Row],[usage_date]])</f>
        <v>2022</v>
      </c>
      <c r="F708" s="14">
        <v>4.08</v>
      </c>
      <c r="G708">
        <v>294</v>
      </c>
      <c r="H708" t="s">
        <v>13</v>
      </c>
      <c r="I708" t="str">
        <f t="shared" si="11"/>
        <v>Normal Usage</v>
      </c>
    </row>
    <row r="709" spans="1:9" x14ac:dyDescent="0.3">
      <c r="A709">
        <v>10708</v>
      </c>
      <c r="B709">
        <v>401</v>
      </c>
      <c r="C709" s="2">
        <v>44690</v>
      </c>
      <c r="D709" s="2" t="str">
        <f>TEXT(Table3[[#This Row],[usage_date]],"mmmm")</f>
        <v>May</v>
      </c>
      <c r="E709" s="9">
        <f>YEAR(Table3[[#This Row],[usage_date]])</f>
        <v>2022</v>
      </c>
      <c r="F709" s="14">
        <v>3.93</v>
      </c>
      <c r="G709">
        <v>214</v>
      </c>
      <c r="H709" t="s">
        <v>13</v>
      </c>
      <c r="I709" t="str">
        <f t="shared" si="11"/>
        <v>Normal Usage</v>
      </c>
    </row>
    <row r="710" spans="1:9" x14ac:dyDescent="0.3">
      <c r="A710">
        <v>10709</v>
      </c>
      <c r="B710">
        <v>198</v>
      </c>
      <c r="C710" s="2">
        <v>44971</v>
      </c>
      <c r="D710" s="2" t="str">
        <f>TEXT(Table3[[#This Row],[usage_date]],"mmmm")</f>
        <v>February</v>
      </c>
      <c r="E710" s="9">
        <f>YEAR(Table3[[#This Row],[usage_date]])</f>
        <v>2023</v>
      </c>
      <c r="F710" s="14">
        <v>0.34</v>
      </c>
      <c r="G710">
        <v>202</v>
      </c>
      <c r="H710" t="s">
        <v>13</v>
      </c>
      <c r="I710" t="str">
        <f t="shared" si="11"/>
        <v>Normal Usage</v>
      </c>
    </row>
    <row r="711" spans="1:9" x14ac:dyDescent="0.3">
      <c r="A711">
        <v>10710</v>
      </c>
      <c r="B711">
        <v>260</v>
      </c>
      <c r="C711" s="2">
        <v>44983</v>
      </c>
      <c r="D711" s="2" t="str">
        <f>TEXT(Table3[[#This Row],[usage_date]],"mmmm")</f>
        <v>February</v>
      </c>
      <c r="E711" s="9">
        <f>YEAR(Table3[[#This Row],[usage_date]])</f>
        <v>2023</v>
      </c>
      <c r="F711" s="14">
        <v>1.27</v>
      </c>
      <c r="G711">
        <v>249</v>
      </c>
      <c r="H711" t="s">
        <v>12</v>
      </c>
      <c r="I711" t="str">
        <f t="shared" si="11"/>
        <v>Normal Usage</v>
      </c>
    </row>
    <row r="712" spans="1:9" x14ac:dyDescent="0.3">
      <c r="A712">
        <v>10711</v>
      </c>
      <c r="B712">
        <v>148</v>
      </c>
      <c r="C712" s="2">
        <v>44855</v>
      </c>
      <c r="D712" s="2" t="str">
        <f>TEXT(Table3[[#This Row],[usage_date]],"mmmm")</f>
        <v>October</v>
      </c>
      <c r="E712" s="9">
        <f>YEAR(Table3[[#This Row],[usage_date]])</f>
        <v>2022</v>
      </c>
      <c r="F712" s="14">
        <v>0.47</v>
      </c>
      <c r="G712">
        <v>256</v>
      </c>
      <c r="H712" t="s">
        <v>12</v>
      </c>
      <c r="I712" t="str">
        <f t="shared" si="11"/>
        <v>Normal Usage</v>
      </c>
    </row>
    <row r="713" spans="1:9" x14ac:dyDescent="0.3">
      <c r="A713">
        <v>10712</v>
      </c>
      <c r="B713">
        <v>240</v>
      </c>
      <c r="C713" s="2">
        <v>44807</v>
      </c>
      <c r="D713" s="2" t="str">
        <f>TEXT(Table3[[#This Row],[usage_date]],"mmmm")</f>
        <v>September</v>
      </c>
      <c r="E713" s="9">
        <f>YEAR(Table3[[#This Row],[usage_date]])</f>
        <v>2022</v>
      </c>
      <c r="F713" s="14">
        <v>0.73</v>
      </c>
      <c r="G713">
        <v>74</v>
      </c>
      <c r="H713" t="s">
        <v>13</v>
      </c>
      <c r="I713" t="str">
        <f t="shared" si="11"/>
        <v>Normal Usage</v>
      </c>
    </row>
    <row r="714" spans="1:9" x14ac:dyDescent="0.3">
      <c r="A714">
        <v>10713</v>
      </c>
      <c r="B714">
        <v>47</v>
      </c>
      <c r="C714" s="2">
        <v>45262</v>
      </c>
      <c r="D714" s="2" t="str">
        <f>TEXT(Table3[[#This Row],[usage_date]],"mmmm")</f>
        <v>December</v>
      </c>
      <c r="E714" s="9">
        <f>YEAR(Table3[[#This Row],[usage_date]])</f>
        <v>2023</v>
      </c>
      <c r="F714" s="14">
        <v>0.76</v>
      </c>
      <c r="G714">
        <v>201</v>
      </c>
      <c r="H714" t="s">
        <v>12</v>
      </c>
      <c r="I714" t="str">
        <f t="shared" si="11"/>
        <v>Normal Usage</v>
      </c>
    </row>
    <row r="715" spans="1:9" x14ac:dyDescent="0.3">
      <c r="A715">
        <v>10714</v>
      </c>
      <c r="B715">
        <v>475</v>
      </c>
      <c r="C715" s="2">
        <v>45117</v>
      </c>
      <c r="D715" s="2" t="str">
        <f>TEXT(Table3[[#This Row],[usage_date]],"mmmm")</f>
        <v>July</v>
      </c>
      <c r="E715" s="9">
        <f>YEAR(Table3[[#This Row],[usage_date]])</f>
        <v>2023</v>
      </c>
      <c r="F715" s="14">
        <v>2.0299999999999998</v>
      </c>
      <c r="G715">
        <v>141</v>
      </c>
      <c r="H715" t="s">
        <v>12</v>
      </c>
      <c r="I715" t="str">
        <f t="shared" si="11"/>
        <v>Normal Usage</v>
      </c>
    </row>
    <row r="716" spans="1:9" x14ac:dyDescent="0.3">
      <c r="A716">
        <v>10715</v>
      </c>
      <c r="B716">
        <v>399</v>
      </c>
      <c r="C716" s="2">
        <v>44647</v>
      </c>
      <c r="D716" s="2" t="str">
        <f>TEXT(Table3[[#This Row],[usage_date]],"mmmm")</f>
        <v>March</v>
      </c>
      <c r="E716" s="9">
        <f>YEAR(Table3[[#This Row],[usage_date]])</f>
        <v>2022</v>
      </c>
      <c r="F716" s="14">
        <v>1.33</v>
      </c>
      <c r="G716">
        <v>205</v>
      </c>
      <c r="H716" t="s">
        <v>13</v>
      </c>
      <c r="I716" t="str">
        <f t="shared" si="11"/>
        <v>Normal Usage</v>
      </c>
    </row>
    <row r="717" spans="1:9" x14ac:dyDescent="0.3">
      <c r="A717">
        <v>10716</v>
      </c>
      <c r="B717">
        <v>198</v>
      </c>
      <c r="C717" s="2">
        <v>45117</v>
      </c>
      <c r="D717" s="2" t="str">
        <f>TEXT(Table3[[#This Row],[usage_date]],"mmmm")</f>
        <v>July</v>
      </c>
      <c r="E717" s="9">
        <f>YEAR(Table3[[#This Row],[usage_date]])</f>
        <v>2023</v>
      </c>
      <c r="F717" s="14">
        <v>7.38</v>
      </c>
      <c r="G717">
        <v>198</v>
      </c>
      <c r="H717" t="s">
        <v>12</v>
      </c>
      <c r="I717" t="str">
        <f t="shared" si="11"/>
        <v>High Usage</v>
      </c>
    </row>
    <row r="718" spans="1:9" x14ac:dyDescent="0.3">
      <c r="A718">
        <v>10717</v>
      </c>
      <c r="B718">
        <v>47</v>
      </c>
      <c r="C718" s="2">
        <v>45403</v>
      </c>
      <c r="D718" s="2" t="str">
        <f>TEXT(Table3[[#This Row],[usage_date]],"mmmm")</f>
        <v>April</v>
      </c>
      <c r="E718" s="9">
        <f>YEAR(Table3[[#This Row],[usage_date]])</f>
        <v>2024</v>
      </c>
      <c r="F718" s="14">
        <v>0.34</v>
      </c>
      <c r="G718">
        <v>170</v>
      </c>
      <c r="H718" t="s">
        <v>12</v>
      </c>
      <c r="I718" t="str">
        <f t="shared" si="11"/>
        <v>Normal Usage</v>
      </c>
    </row>
    <row r="719" spans="1:9" x14ac:dyDescent="0.3">
      <c r="A719">
        <v>10718</v>
      </c>
      <c r="B719">
        <v>78</v>
      </c>
      <c r="C719" s="2">
        <v>44936</v>
      </c>
      <c r="D719" s="2" t="str">
        <f>TEXT(Table3[[#This Row],[usage_date]],"mmmm")</f>
        <v>January</v>
      </c>
      <c r="E719" s="9">
        <f>YEAR(Table3[[#This Row],[usage_date]])</f>
        <v>2023</v>
      </c>
      <c r="F719" s="14">
        <v>9.09</v>
      </c>
      <c r="G719">
        <v>227</v>
      </c>
      <c r="H719" t="s">
        <v>13</v>
      </c>
      <c r="I719" t="str">
        <f t="shared" si="11"/>
        <v>High Usage</v>
      </c>
    </row>
    <row r="720" spans="1:9" x14ac:dyDescent="0.3">
      <c r="A720">
        <v>10719</v>
      </c>
      <c r="B720">
        <v>124</v>
      </c>
      <c r="C720" s="2">
        <v>45007</v>
      </c>
      <c r="D720" s="2" t="str">
        <f>TEXT(Table3[[#This Row],[usage_date]],"mmmm")</f>
        <v>March</v>
      </c>
      <c r="E720" s="9">
        <f>YEAR(Table3[[#This Row],[usage_date]])</f>
        <v>2023</v>
      </c>
      <c r="F720" s="14">
        <v>0.66</v>
      </c>
      <c r="G720">
        <v>178</v>
      </c>
      <c r="H720" t="s">
        <v>13</v>
      </c>
      <c r="I720" t="str">
        <f t="shared" si="11"/>
        <v>Normal Usage</v>
      </c>
    </row>
    <row r="721" spans="1:9" x14ac:dyDescent="0.3">
      <c r="A721">
        <v>10720</v>
      </c>
      <c r="B721">
        <v>75</v>
      </c>
      <c r="C721" s="2">
        <v>44939</v>
      </c>
      <c r="D721" s="2" t="str">
        <f>TEXT(Table3[[#This Row],[usage_date]],"mmmm")</f>
        <v>January</v>
      </c>
      <c r="E721" s="9">
        <f>YEAR(Table3[[#This Row],[usage_date]])</f>
        <v>2023</v>
      </c>
      <c r="F721" s="14">
        <v>3.71</v>
      </c>
      <c r="G721">
        <v>274</v>
      </c>
      <c r="H721" t="s">
        <v>12</v>
      </c>
      <c r="I721" t="str">
        <f t="shared" si="11"/>
        <v>Normal Usage</v>
      </c>
    </row>
    <row r="722" spans="1:9" x14ac:dyDescent="0.3">
      <c r="A722">
        <v>10721</v>
      </c>
      <c r="B722">
        <v>359</v>
      </c>
      <c r="C722" s="2">
        <v>44951</v>
      </c>
      <c r="D722" s="2" t="str">
        <f>TEXT(Table3[[#This Row],[usage_date]],"mmmm")</f>
        <v>January</v>
      </c>
      <c r="E722" s="9">
        <f>YEAR(Table3[[#This Row],[usage_date]])</f>
        <v>2023</v>
      </c>
      <c r="F722" s="14">
        <v>1.03</v>
      </c>
      <c r="G722">
        <v>61</v>
      </c>
      <c r="H722" t="s">
        <v>12</v>
      </c>
      <c r="I722" t="str">
        <f t="shared" si="11"/>
        <v>Normal Usage</v>
      </c>
    </row>
    <row r="723" spans="1:9" x14ac:dyDescent="0.3">
      <c r="A723">
        <v>10722</v>
      </c>
      <c r="B723">
        <v>137</v>
      </c>
      <c r="C723" s="2">
        <v>45218</v>
      </c>
      <c r="D723" s="2" t="str">
        <f>TEXT(Table3[[#This Row],[usage_date]],"mmmm")</f>
        <v>October</v>
      </c>
      <c r="E723" s="9">
        <f>YEAR(Table3[[#This Row],[usage_date]])</f>
        <v>2023</v>
      </c>
      <c r="F723" s="14">
        <v>0.39</v>
      </c>
      <c r="G723">
        <v>203</v>
      </c>
      <c r="H723" t="s">
        <v>12</v>
      </c>
      <c r="I723" t="str">
        <f t="shared" si="11"/>
        <v>Normal Usage</v>
      </c>
    </row>
    <row r="724" spans="1:9" x14ac:dyDescent="0.3">
      <c r="A724">
        <v>10723</v>
      </c>
      <c r="B724">
        <v>90</v>
      </c>
      <c r="C724" s="2">
        <v>44612</v>
      </c>
      <c r="D724" s="2" t="str">
        <f>TEXT(Table3[[#This Row],[usage_date]],"mmmm")</f>
        <v>February</v>
      </c>
      <c r="E724" s="9">
        <f>YEAR(Table3[[#This Row],[usage_date]])</f>
        <v>2022</v>
      </c>
      <c r="F724" s="14">
        <v>4.88</v>
      </c>
      <c r="G724">
        <v>132</v>
      </c>
      <c r="H724" t="s">
        <v>13</v>
      </c>
      <c r="I724" t="str">
        <f t="shared" si="11"/>
        <v>Normal Usage</v>
      </c>
    </row>
    <row r="725" spans="1:9" x14ac:dyDescent="0.3">
      <c r="A725">
        <v>10724</v>
      </c>
      <c r="B725">
        <v>400</v>
      </c>
      <c r="C725" s="2">
        <v>44803</v>
      </c>
      <c r="D725" s="2" t="str">
        <f>TEXT(Table3[[#This Row],[usage_date]],"mmmm")</f>
        <v>August</v>
      </c>
      <c r="E725" s="9">
        <f>YEAR(Table3[[#This Row],[usage_date]])</f>
        <v>2022</v>
      </c>
      <c r="F725" s="14">
        <v>0.92</v>
      </c>
      <c r="G725">
        <v>71</v>
      </c>
      <c r="H725" t="s">
        <v>12</v>
      </c>
      <c r="I725" t="str">
        <f t="shared" si="11"/>
        <v>Normal Usage</v>
      </c>
    </row>
    <row r="726" spans="1:9" x14ac:dyDescent="0.3">
      <c r="A726">
        <v>10725</v>
      </c>
      <c r="B726">
        <v>325</v>
      </c>
      <c r="C726" s="2">
        <v>44855</v>
      </c>
      <c r="D726" s="2" t="str">
        <f>TEXT(Table3[[#This Row],[usage_date]],"mmmm")</f>
        <v>October</v>
      </c>
      <c r="E726" s="9">
        <f>YEAR(Table3[[#This Row],[usage_date]])</f>
        <v>2022</v>
      </c>
      <c r="F726" s="14">
        <v>2.69</v>
      </c>
      <c r="G726">
        <v>77</v>
      </c>
      <c r="H726" t="s">
        <v>12</v>
      </c>
      <c r="I726" t="str">
        <f t="shared" si="11"/>
        <v>Normal Usage</v>
      </c>
    </row>
    <row r="727" spans="1:9" x14ac:dyDescent="0.3">
      <c r="A727">
        <v>10726</v>
      </c>
      <c r="B727">
        <v>500</v>
      </c>
      <c r="C727" s="2">
        <v>45124</v>
      </c>
      <c r="D727" s="2" t="str">
        <f>TEXT(Table3[[#This Row],[usage_date]],"mmmm")</f>
        <v>July</v>
      </c>
      <c r="E727" s="9">
        <f>YEAR(Table3[[#This Row],[usage_date]])</f>
        <v>2023</v>
      </c>
      <c r="F727" s="14">
        <v>2.09</v>
      </c>
      <c r="G727">
        <v>188</v>
      </c>
      <c r="H727" t="s">
        <v>13</v>
      </c>
      <c r="I727" t="str">
        <f t="shared" si="11"/>
        <v>Normal Usage</v>
      </c>
    </row>
    <row r="728" spans="1:9" x14ac:dyDescent="0.3">
      <c r="A728">
        <v>10727</v>
      </c>
      <c r="B728">
        <v>61</v>
      </c>
      <c r="C728" s="2">
        <v>44827</v>
      </c>
      <c r="D728" s="2" t="str">
        <f>TEXT(Table3[[#This Row],[usage_date]],"mmmm")</f>
        <v>September</v>
      </c>
      <c r="E728" s="9">
        <f>YEAR(Table3[[#This Row],[usage_date]])</f>
        <v>2022</v>
      </c>
      <c r="F728" s="14">
        <v>1.6</v>
      </c>
      <c r="G728">
        <v>70</v>
      </c>
      <c r="H728" t="s">
        <v>12</v>
      </c>
      <c r="I728" t="str">
        <f t="shared" si="11"/>
        <v>Normal Usage</v>
      </c>
    </row>
    <row r="729" spans="1:9" x14ac:dyDescent="0.3">
      <c r="A729">
        <v>10728</v>
      </c>
      <c r="B729">
        <v>138</v>
      </c>
      <c r="C729" s="2">
        <v>44681</v>
      </c>
      <c r="D729" s="2" t="str">
        <f>TEXT(Table3[[#This Row],[usage_date]],"mmmm")</f>
        <v>April</v>
      </c>
      <c r="E729" s="9">
        <f>YEAR(Table3[[#This Row],[usage_date]])</f>
        <v>2022</v>
      </c>
      <c r="F729" s="14">
        <v>1.71</v>
      </c>
      <c r="G729">
        <v>262</v>
      </c>
      <c r="H729" t="s">
        <v>13</v>
      </c>
      <c r="I729" t="str">
        <f t="shared" si="11"/>
        <v>Normal Usage</v>
      </c>
    </row>
    <row r="730" spans="1:9" x14ac:dyDescent="0.3">
      <c r="A730">
        <v>10729</v>
      </c>
      <c r="B730">
        <v>50</v>
      </c>
      <c r="C730" s="2">
        <v>45273</v>
      </c>
      <c r="D730" s="2" t="str">
        <f>TEXT(Table3[[#This Row],[usage_date]],"mmmm")</f>
        <v>December</v>
      </c>
      <c r="E730" s="9">
        <f>YEAR(Table3[[#This Row],[usage_date]])</f>
        <v>2023</v>
      </c>
      <c r="F730" s="14">
        <v>3.29</v>
      </c>
      <c r="G730">
        <v>45</v>
      </c>
      <c r="H730" t="s">
        <v>13</v>
      </c>
      <c r="I730" t="str">
        <f t="shared" si="11"/>
        <v>Normal Usage</v>
      </c>
    </row>
    <row r="731" spans="1:9" x14ac:dyDescent="0.3">
      <c r="A731">
        <v>10730</v>
      </c>
      <c r="B731">
        <v>259</v>
      </c>
      <c r="C731" s="2">
        <v>44809</v>
      </c>
      <c r="D731" s="2" t="str">
        <f>TEXT(Table3[[#This Row],[usage_date]],"mmmm")</f>
        <v>September</v>
      </c>
      <c r="E731" s="9">
        <f>YEAR(Table3[[#This Row],[usage_date]])</f>
        <v>2022</v>
      </c>
      <c r="F731" s="14">
        <v>0.23</v>
      </c>
      <c r="G731">
        <v>223</v>
      </c>
      <c r="H731" t="s">
        <v>12</v>
      </c>
      <c r="I731" t="str">
        <f t="shared" si="11"/>
        <v>Normal Usage</v>
      </c>
    </row>
    <row r="732" spans="1:9" x14ac:dyDescent="0.3">
      <c r="A732">
        <v>10731</v>
      </c>
      <c r="B732">
        <v>461</v>
      </c>
      <c r="C732" s="2">
        <v>44631</v>
      </c>
      <c r="D732" s="2" t="str">
        <f>TEXT(Table3[[#This Row],[usage_date]],"mmmm")</f>
        <v>March</v>
      </c>
      <c r="E732" s="9">
        <f>YEAR(Table3[[#This Row],[usage_date]])</f>
        <v>2022</v>
      </c>
      <c r="F732" s="14">
        <v>2.76</v>
      </c>
      <c r="G732">
        <v>249</v>
      </c>
      <c r="H732" t="s">
        <v>13</v>
      </c>
      <c r="I732" t="str">
        <f t="shared" si="11"/>
        <v>Normal Usage</v>
      </c>
    </row>
    <row r="733" spans="1:9" x14ac:dyDescent="0.3">
      <c r="A733">
        <v>10732</v>
      </c>
      <c r="B733">
        <v>107</v>
      </c>
      <c r="C733" s="2">
        <v>45414</v>
      </c>
      <c r="D733" s="2" t="str">
        <f>TEXT(Table3[[#This Row],[usage_date]],"mmmm")</f>
        <v>May</v>
      </c>
      <c r="E733" s="9">
        <f>YEAR(Table3[[#This Row],[usage_date]])</f>
        <v>2024</v>
      </c>
      <c r="F733" s="14">
        <v>5.65</v>
      </c>
      <c r="G733">
        <v>75</v>
      </c>
      <c r="H733" t="s">
        <v>12</v>
      </c>
      <c r="I733" t="str">
        <f t="shared" si="11"/>
        <v>Normal Usage</v>
      </c>
    </row>
    <row r="734" spans="1:9" x14ac:dyDescent="0.3">
      <c r="A734">
        <v>10733</v>
      </c>
      <c r="B734">
        <v>113</v>
      </c>
      <c r="C734" s="2">
        <v>44618</v>
      </c>
      <c r="D734" s="2" t="str">
        <f>TEXT(Table3[[#This Row],[usage_date]],"mmmm")</f>
        <v>February</v>
      </c>
      <c r="E734" s="9">
        <f>YEAR(Table3[[#This Row],[usage_date]])</f>
        <v>2022</v>
      </c>
      <c r="F734" s="14">
        <v>0.15</v>
      </c>
      <c r="G734">
        <v>73</v>
      </c>
      <c r="H734" t="s">
        <v>13</v>
      </c>
      <c r="I734" t="str">
        <f t="shared" si="11"/>
        <v>Normal Usage</v>
      </c>
    </row>
    <row r="735" spans="1:9" x14ac:dyDescent="0.3">
      <c r="A735">
        <v>10734</v>
      </c>
      <c r="B735">
        <v>350</v>
      </c>
      <c r="C735" s="2">
        <v>44943</v>
      </c>
      <c r="D735" s="2" t="str">
        <f>TEXT(Table3[[#This Row],[usage_date]],"mmmm")</f>
        <v>January</v>
      </c>
      <c r="E735" s="9">
        <f>YEAR(Table3[[#This Row],[usage_date]])</f>
        <v>2023</v>
      </c>
      <c r="F735" s="14">
        <v>0.38</v>
      </c>
      <c r="G735">
        <v>141</v>
      </c>
      <c r="H735" t="s">
        <v>13</v>
      </c>
      <c r="I735" t="str">
        <f t="shared" si="11"/>
        <v>Normal Usage</v>
      </c>
    </row>
    <row r="736" spans="1:9" x14ac:dyDescent="0.3">
      <c r="A736">
        <v>10735</v>
      </c>
      <c r="B736">
        <v>254</v>
      </c>
      <c r="C736" s="2">
        <v>44600</v>
      </c>
      <c r="D736" s="2" t="str">
        <f>TEXT(Table3[[#This Row],[usage_date]],"mmmm")</f>
        <v>February</v>
      </c>
      <c r="E736" s="9">
        <f>YEAR(Table3[[#This Row],[usage_date]])</f>
        <v>2022</v>
      </c>
      <c r="F736" s="14">
        <v>3.15</v>
      </c>
      <c r="G736">
        <v>72</v>
      </c>
      <c r="H736" t="s">
        <v>12</v>
      </c>
      <c r="I736" t="str">
        <f t="shared" si="11"/>
        <v>Normal Usage</v>
      </c>
    </row>
    <row r="737" spans="1:9" x14ac:dyDescent="0.3">
      <c r="A737">
        <v>10736</v>
      </c>
      <c r="B737">
        <v>118</v>
      </c>
      <c r="C737" s="2">
        <v>45362</v>
      </c>
      <c r="D737" s="2" t="str">
        <f>TEXT(Table3[[#This Row],[usage_date]],"mmmm")</f>
        <v>March</v>
      </c>
      <c r="E737" s="9">
        <f>YEAR(Table3[[#This Row],[usage_date]])</f>
        <v>2024</v>
      </c>
      <c r="F737" s="14">
        <v>1.44</v>
      </c>
      <c r="G737">
        <v>101</v>
      </c>
      <c r="H737" t="s">
        <v>13</v>
      </c>
      <c r="I737" t="str">
        <f t="shared" si="11"/>
        <v>Normal Usage</v>
      </c>
    </row>
    <row r="738" spans="1:9" x14ac:dyDescent="0.3">
      <c r="A738">
        <v>10737</v>
      </c>
      <c r="B738">
        <v>493</v>
      </c>
      <c r="C738" s="2">
        <v>45004</v>
      </c>
      <c r="D738" s="2" t="str">
        <f>TEXT(Table3[[#This Row],[usage_date]],"mmmm")</f>
        <v>March</v>
      </c>
      <c r="E738" s="9">
        <f>YEAR(Table3[[#This Row],[usage_date]])</f>
        <v>2023</v>
      </c>
      <c r="F738" s="14">
        <v>1.29</v>
      </c>
      <c r="G738">
        <v>93</v>
      </c>
      <c r="H738" t="s">
        <v>13</v>
      </c>
      <c r="I738" t="str">
        <f t="shared" si="11"/>
        <v>Normal Usage</v>
      </c>
    </row>
    <row r="739" spans="1:9" x14ac:dyDescent="0.3">
      <c r="A739">
        <v>10738</v>
      </c>
      <c r="B739">
        <v>198</v>
      </c>
      <c r="C739" s="2">
        <v>44579</v>
      </c>
      <c r="D739" s="2" t="str">
        <f>TEXT(Table3[[#This Row],[usage_date]],"mmmm")</f>
        <v>January</v>
      </c>
      <c r="E739" s="9">
        <f>YEAR(Table3[[#This Row],[usage_date]])</f>
        <v>2022</v>
      </c>
      <c r="F739" s="14">
        <v>0.37</v>
      </c>
      <c r="G739">
        <v>68</v>
      </c>
      <c r="H739" t="s">
        <v>12</v>
      </c>
      <c r="I739" t="str">
        <f t="shared" si="11"/>
        <v>Normal Usage</v>
      </c>
    </row>
    <row r="740" spans="1:9" x14ac:dyDescent="0.3">
      <c r="A740">
        <v>10739</v>
      </c>
      <c r="B740">
        <v>337</v>
      </c>
      <c r="C740" s="2">
        <v>45293</v>
      </c>
      <c r="D740" s="2" t="str">
        <f>TEXT(Table3[[#This Row],[usage_date]],"mmmm")</f>
        <v>January</v>
      </c>
      <c r="E740" s="9">
        <f>YEAR(Table3[[#This Row],[usage_date]])</f>
        <v>2024</v>
      </c>
      <c r="F740" s="14">
        <v>1.77</v>
      </c>
      <c r="G740">
        <v>64</v>
      </c>
      <c r="H740" t="s">
        <v>12</v>
      </c>
      <c r="I740" t="str">
        <f t="shared" si="11"/>
        <v>Normal Usage</v>
      </c>
    </row>
    <row r="741" spans="1:9" x14ac:dyDescent="0.3">
      <c r="A741">
        <v>10740</v>
      </c>
      <c r="B741">
        <v>365</v>
      </c>
      <c r="C741" s="2">
        <v>45386</v>
      </c>
      <c r="D741" s="2" t="str">
        <f>TEXT(Table3[[#This Row],[usage_date]],"mmmm")</f>
        <v>April</v>
      </c>
      <c r="E741" s="9">
        <f>YEAR(Table3[[#This Row],[usage_date]])</f>
        <v>2024</v>
      </c>
      <c r="F741" s="14">
        <v>0.34</v>
      </c>
      <c r="G741">
        <v>192</v>
      </c>
      <c r="H741" t="s">
        <v>12</v>
      </c>
      <c r="I741" t="str">
        <f t="shared" si="11"/>
        <v>Normal Usage</v>
      </c>
    </row>
    <row r="742" spans="1:9" x14ac:dyDescent="0.3">
      <c r="A742">
        <v>10741</v>
      </c>
      <c r="B742">
        <v>51</v>
      </c>
      <c r="C742" s="2">
        <v>45317</v>
      </c>
      <c r="D742" s="2" t="str">
        <f>TEXT(Table3[[#This Row],[usage_date]],"mmmm")</f>
        <v>January</v>
      </c>
      <c r="E742" s="9">
        <f>YEAR(Table3[[#This Row],[usage_date]])</f>
        <v>2024</v>
      </c>
      <c r="F742" s="14">
        <v>1.62</v>
      </c>
      <c r="G742">
        <v>61</v>
      </c>
      <c r="H742" t="s">
        <v>12</v>
      </c>
      <c r="I742" t="str">
        <f t="shared" si="11"/>
        <v>Normal Usage</v>
      </c>
    </row>
    <row r="743" spans="1:9" x14ac:dyDescent="0.3">
      <c r="A743">
        <v>10742</v>
      </c>
      <c r="B743">
        <v>245</v>
      </c>
      <c r="C743" s="2">
        <v>44913</v>
      </c>
      <c r="D743" s="2" t="str">
        <f>TEXT(Table3[[#This Row],[usage_date]],"mmmm")</f>
        <v>December</v>
      </c>
      <c r="E743" s="9">
        <f>YEAR(Table3[[#This Row],[usage_date]])</f>
        <v>2022</v>
      </c>
      <c r="F743" s="14">
        <v>3.61</v>
      </c>
      <c r="G743">
        <v>19</v>
      </c>
      <c r="H743" t="s">
        <v>13</v>
      </c>
      <c r="I743" t="str">
        <f t="shared" si="11"/>
        <v>Normal Usage</v>
      </c>
    </row>
    <row r="744" spans="1:9" x14ac:dyDescent="0.3">
      <c r="A744">
        <v>10743</v>
      </c>
      <c r="B744">
        <v>403</v>
      </c>
      <c r="C744" s="2">
        <v>45377</v>
      </c>
      <c r="D744" s="2" t="str">
        <f>TEXT(Table3[[#This Row],[usage_date]],"mmmm")</f>
        <v>March</v>
      </c>
      <c r="E744" s="9">
        <f>YEAR(Table3[[#This Row],[usage_date]])</f>
        <v>2024</v>
      </c>
      <c r="F744" s="14">
        <v>0.75</v>
      </c>
      <c r="G744">
        <v>240</v>
      </c>
      <c r="H744" t="s">
        <v>13</v>
      </c>
      <c r="I744" t="str">
        <f t="shared" si="11"/>
        <v>Normal Usage</v>
      </c>
    </row>
    <row r="745" spans="1:9" x14ac:dyDescent="0.3">
      <c r="A745">
        <v>10744</v>
      </c>
      <c r="B745">
        <v>426</v>
      </c>
      <c r="C745" s="2">
        <v>44859</v>
      </c>
      <c r="D745" s="2" t="str">
        <f>TEXT(Table3[[#This Row],[usage_date]],"mmmm")</f>
        <v>October</v>
      </c>
      <c r="E745" s="9">
        <f>YEAR(Table3[[#This Row],[usage_date]])</f>
        <v>2022</v>
      </c>
      <c r="F745" s="14">
        <v>1.64</v>
      </c>
      <c r="G745">
        <v>202</v>
      </c>
      <c r="H745" t="s">
        <v>12</v>
      </c>
      <c r="I745" t="str">
        <f t="shared" si="11"/>
        <v>Normal Usage</v>
      </c>
    </row>
    <row r="746" spans="1:9" x14ac:dyDescent="0.3">
      <c r="A746">
        <v>10745</v>
      </c>
      <c r="B746">
        <v>35</v>
      </c>
      <c r="C746" s="2">
        <v>44844</v>
      </c>
      <c r="D746" s="2" t="str">
        <f>TEXT(Table3[[#This Row],[usage_date]],"mmmm")</f>
        <v>October</v>
      </c>
      <c r="E746" s="9">
        <f>YEAR(Table3[[#This Row],[usage_date]])</f>
        <v>2022</v>
      </c>
      <c r="F746" s="14">
        <v>12.08</v>
      </c>
      <c r="G746">
        <v>299</v>
      </c>
      <c r="H746" t="s">
        <v>12</v>
      </c>
      <c r="I746" t="str">
        <f t="shared" si="11"/>
        <v>High Usage</v>
      </c>
    </row>
    <row r="747" spans="1:9" x14ac:dyDescent="0.3">
      <c r="A747">
        <v>10746</v>
      </c>
      <c r="B747">
        <v>302</v>
      </c>
      <c r="C747" s="2">
        <v>45147</v>
      </c>
      <c r="D747" s="2" t="str">
        <f>TEXT(Table3[[#This Row],[usage_date]],"mmmm")</f>
        <v>August</v>
      </c>
      <c r="E747" s="9">
        <f>YEAR(Table3[[#This Row],[usage_date]])</f>
        <v>2023</v>
      </c>
      <c r="F747" s="14">
        <v>2.9</v>
      </c>
      <c r="G747">
        <v>194</v>
      </c>
      <c r="H747" t="s">
        <v>12</v>
      </c>
      <c r="I747" t="str">
        <f t="shared" si="11"/>
        <v>Normal Usage</v>
      </c>
    </row>
    <row r="748" spans="1:9" x14ac:dyDescent="0.3">
      <c r="A748">
        <v>10747</v>
      </c>
      <c r="B748">
        <v>410</v>
      </c>
      <c r="C748" s="2">
        <v>44671</v>
      </c>
      <c r="D748" s="2" t="str">
        <f>TEXT(Table3[[#This Row],[usage_date]],"mmmm")</f>
        <v>April</v>
      </c>
      <c r="E748" s="9">
        <f>YEAR(Table3[[#This Row],[usage_date]])</f>
        <v>2022</v>
      </c>
      <c r="F748" s="14">
        <v>4.5999999999999996</v>
      </c>
      <c r="G748">
        <v>61</v>
      </c>
      <c r="H748" t="s">
        <v>12</v>
      </c>
      <c r="I748" t="str">
        <f t="shared" si="11"/>
        <v>Normal Usage</v>
      </c>
    </row>
    <row r="749" spans="1:9" x14ac:dyDescent="0.3">
      <c r="A749">
        <v>10748</v>
      </c>
      <c r="B749">
        <v>499</v>
      </c>
      <c r="C749" s="2">
        <v>44741</v>
      </c>
      <c r="D749" s="2" t="str">
        <f>TEXT(Table3[[#This Row],[usage_date]],"mmmm")</f>
        <v>June</v>
      </c>
      <c r="E749" s="9">
        <f>YEAR(Table3[[#This Row],[usage_date]])</f>
        <v>2022</v>
      </c>
      <c r="F749" s="14">
        <v>1.34</v>
      </c>
      <c r="G749">
        <v>106</v>
      </c>
      <c r="H749" t="s">
        <v>12</v>
      </c>
      <c r="I749" t="str">
        <f t="shared" si="11"/>
        <v>Normal Usage</v>
      </c>
    </row>
    <row r="750" spans="1:9" x14ac:dyDescent="0.3">
      <c r="A750">
        <v>10749</v>
      </c>
      <c r="B750">
        <v>69</v>
      </c>
      <c r="C750" s="2">
        <v>45105</v>
      </c>
      <c r="D750" s="2" t="str">
        <f>TEXT(Table3[[#This Row],[usage_date]],"mmmm")</f>
        <v>June</v>
      </c>
      <c r="E750" s="9">
        <f>YEAR(Table3[[#This Row],[usage_date]])</f>
        <v>2023</v>
      </c>
      <c r="F750" s="14">
        <v>3.65</v>
      </c>
      <c r="G750">
        <v>124</v>
      </c>
      <c r="H750" t="s">
        <v>12</v>
      </c>
      <c r="I750" t="str">
        <f t="shared" si="11"/>
        <v>Normal Usage</v>
      </c>
    </row>
    <row r="751" spans="1:9" x14ac:dyDescent="0.3">
      <c r="A751">
        <v>10750</v>
      </c>
      <c r="B751">
        <v>349</v>
      </c>
      <c r="C751" s="2">
        <v>45307</v>
      </c>
      <c r="D751" s="2" t="str">
        <f>TEXT(Table3[[#This Row],[usage_date]],"mmmm")</f>
        <v>January</v>
      </c>
      <c r="E751" s="9">
        <f>YEAR(Table3[[#This Row],[usage_date]])</f>
        <v>2024</v>
      </c>
      <c r="F751" s="14">
        <v>0.1</v>
      </c>
      <c r="G751">
        <v>266</v>
      </c>
      <c r="H751" t="s">
        <v>12</v>
      </c>
      <c r="I751" t="str">
        <f t="shared" si="11"/>
        <v>Normal Usage</v>
      </c>
    </row>
    <row r="752" spans="1:9" x14ac:dyDescent="0.3">
      <c r="A752">
        <v>10751</v>
      </c>
      <c r="B752">
        <v>320</v>
      </c>
      <c r="C752" s="2">
        <v>45355</v>
      </c>
      <c r="D752" s="2" t="str">
        <f>TEXT(Table3[[#This Row],[usage_date]],"mmmm")</f>
        <v>March</v>
      </c>
      <c r="E752" s="9">
        <f>YEAR(Table3[[#This Row],[usage_date]])</f>
        <v>2024</v>
      </c>
      <c r="F752" s="14">
        <v>0.33</v>
      </c>
      <c r="G752">
        <v>201</v>
      </c>
      <c r="H752" t="s">
        <v>13</v>
      </c>
      <c r="I752" t="str">
        <f t="shared" si="11"/>
        <v>Normal Usage</v>
      </c>
    </row>
    <row r="753" spans="1:9" x14ac:dyDescent="0.3">
      <c r="A753">
        <v>10752</v>
      </c>
      <c r="B753">
        <v>421</v>
      </c>
      <c r="C753" s="2">
        <v>44586</v>
      </c>
      <c r="D753" s="2" t="str">
        <f>TEXT(Table3[[#This Row],[usage_date]],"mmmm")</f>
        <v>January</v>
      </c>
      <c r="E753" s="9">
        <f>YEAR(Table3[[#This Row],[usage_date]])</f>
        <v>2022</v>
      </c>
      <c r="F753" s="14">
        <v>0.56999999999999995</v>
      </c>
      <c r="G753">
        <v>161</v>
      </c>
      <c r="H753" t="s">
        <v>12</v>
      </c>
      <c r="I753" t="str">
        <f t="shared" si="11"/>
        <v>Normal Usage</v>
      </c>
    </row>
    <row r="754" spans="1:9" x14ac:dyDescent="0.3">
      <c r="A754">
        <v>10753</v>
      </c>
      <c r="B754">
        <v>468</v>
      </c>
      <c r="C754" s="2">
        <v>45404</v>
      </c>
      <c r="D754" s="2" t="str">
        <f>TEXT(Table3[[#This Row],[usage_date]],"mmmm")</f>
        <v>April</v>
      </c>
      <c r="E754" s="9">
        <f>YEAR(Table3[[#This Row],[usage_date]])</f>
        <v>2024</v>
      </c>
      <c r="F754" s="14">
        <v>1.29</v>
      </c>
      <c r="G754">
        <v>111</v>
      </c>
      <c r="H754" t="s">
        <v>12</v>
      </c>
      <c r="I754" t="str">
        <f t="shared" si="11"/>
        <v>Normal Usage</v>
      </c>
    </row>
    <row r="755" spans="1:9" x14ac:dyDescent="0.3">
      <c r="A755">
        <v>10754</v>
      </c>
      <c r="B755">
        <v>49</v>
      </c>
      <c r="C755" s="2">
        <v>45352</v>
      </c>
      <c r="D755" s="2" t="str">
        <f>TEXT(Table3[[#This Row],[usage_date]],"mmmm")</f>
        <v>March</v>
      </c>
      <c r="E755" s="9">
        <f>YEAR(Table3[[#This Row],[usage_date]])</f>
        <v>2024</v>
      </c>
      <c r="F755" s="14">
        <v>4.67</v>
      </c>
      <c r="G755">
        <v>31</v>
      </c>
      <c r="H755" t="s">
        <v>12</v>
      </c>
      <c r="I755" t="str">
        <f t="shared" si="11"/>
        <v>Normal Usage</v>
      </c>
    </row>
    <row r="756" spans="1:9" x14ac:dyDescent="0.3">
      <c r="A756">
        <v>10755</v>
      </c>
      <c r="B756">
        <v>405</v>
      </c>
      <c r="C756" s="2">
        <v>45299</v>
      </c>
      <c r="D756" s="2" t="str">
        <f>TEXT(Table3[[#This Row],[usage_date]],"mmmm")</f>
        <v>January</v>
      </c>
      <c r="E756" s="9">
        <f>YEAR(Table3[[#This Row],[usage_date]])</f>
        <v>2024</v>
      </c>
      <c r="F756" s="14">
        <v>1.06</v>
      </c>
      <c r="G756">
        <v>97</v>
      </c>
      <c r="H756" t="s">
        <v>13</v>
      </c>
      <c r="I756" t="str">
        <f t="shared" si="11"/>
        <v>Normal Usage</v>
      </c>
    </row>
    <row r="757" spans="1:9" x14ac:dyDescent="0.3">
      <c r="A757">
        <v>10756</v>
      </c>
      <c r="B757">
        <v>74</v>
      </c>
      <c r="C757" s="2">
        <v>44618</v>
      </c>
      <c r="D757" s="2" t="str">
        <f>TEXT(Table3[[#This Row],[usage_date]],"mmmm")</f>
        <v>February</v>
      </c>
      <c r="E757" s="9">
        <f>YEAR(Table3[[#This Row],[usage_date]])</f>
        <v>2022</v>
      </c>
      <c r="F757" s="14">
        <v>2.66</v>
      </c>
      <c r="G757">
        <v>246</v>
      </c>
      <c r="H757" t="s">
        <v>13</v>
      </c>
      <c r="I757" t="str">
        <f t="shared" si="11"/>
        <v>Normal Usage</v>
      </c>
    </row>
    <row r="758" spans="1:9" x14ac:dyDescent="0.3">
      <c r="A758">
        <v>10757</v>
      </c>
      <c r="B758">
        <v>192</v>
      </c>
      <c r="C758" s="2">
        <v>44741</v>
      </c>
      <c r="D758" s="2" t="str">
        <f>TEXT(Table3[[#This Row],[usage_date]],"mmmm")</f>
        <v>June</v>
      </c>
      <c r="E758" s="9">
        <f>YEAR(Table3[[#This Row],[usage_date]])</f>
        <v>2022</v>
      </c>
      <c r="F758" s="14">
        <v>3.09</v>
      </c>
      <c r="G758">
        <v>260</v>
      </c>
      <c r="H758" t="s">
        <v>13</v>
      </c>
      <c r="I758" t="str">
        <f t="shared" si="11"/>
        <v>Normal Usage</v>
      </c>
    </row>
    <row r="759" spans="1:9" x14ac:dyDescent="0.3">
      <c r="A759">
        <v>10758</v>
      </c>
      <c r="B759">
        <v>261</v>
      </c>
      <c r="C759" s="2">
        <v>44793</v>
      </c>
      <c r="D759" s="2" t="str">
        <f>TEXT(Table3[[#This Row],[usage_date]],"mmmm")</f>
        <v>August</v>
      </c>
      <c r="E759" s="9">
        <f>YEAR(Table3[[#This Row],[usage_date]])</f>
        <v>2022</v>
      </c>
      <c r="F759" s="14">
        <v>2.21</v>
      </c>
      <c r="G759">
        <v>190</v>
      </c>
      <c r="H759" t="s">
        <v>12</v>
      </c>
      <c r="I759" t="str">
        <f t="shared" si="11"/>
        <v>Normal Usage</v>
      </c>
    </row>
    <row r="760" spans="1:9" x14ac:dyDescent="0.3">
      <c r="A760">
        <v>10759</v>
      </c>
      <c r="B760">
        <v>356</v>
      </c>
      <c r="C760" s="2">
        <v>45455</v>
      </c>
      <c r="D760" s="2" t="str">
        <f>TEXT(Table3[[#This Row],[usage_date]],"mmmm")</f>
        <v>June</v>
      </c>
      <c r="E760" s="9">
        <f>YEAR(Table3[[#This Row],[usage_date]])</f>
        <v>2024</v>
      </c>
      <c r="F760" s="14">
        <v>1.1000000000000001</v>
      </c>
      <c r="G760">
        <v>28</v>
      </c>
      <c r="H760" t="s">
        <v>12</v>
      </c>
      <c r="I760" t="str">
        <f t="shared" si="11"/>
        <v>Normal Usage</v>
      </c>
    </row>
    <row r="761" spans="1:9" x14ac:dyDescent="0.3">
      <c r="A761">
        <v>10760</v>
      </c>
      <c r="B761">
        <v>70</v>
      </c>
      <c r="C761" s="2">
        <v>44904</v>
      </c>
      <c r="D761" s="2" t="str">
        <f>TEXT(Table3[[#This Row],[usage_date]],"mmmm")</f>
        <v>December</v>
      </c>
      <c r="E761" s="9">
        <f>YEAR(Table3[[#This Row],[usage_date]])</f>
        <v>2022</v>
      </c>
      <c r="F761" s="14">
        <v>2.15</v>
      </c>
      <c r="G761">
        <v>47</v>
      </c>
      <c r="H761" t="s">
        <v>12</v>
      </c>
      <c r="I761" t="str">
        <f t="shared" si="11"/>
        <v>Normal Usage</v>
      </c>
    </row>
    <row r="762" spans="1:9" x14ac:dyDescent="0.3">
      <c r="A762">
        <v>10761</v>
      </c>
      <c r="B762">
        <v>90</v>
      </c>
      <c r="C762" s="2">
        <v>45038</v>
      </c>
      <c r="D762" s="2" t="str">
        <f>TEXT(Table3[[#This Row],[usage_date]],"mmmm")</f>
        <v>April</v>
      </c>
      <c r="E762" s="9">
        <f>YEAR(Table3[[#This Row],[usage_date]])</f>
        <v>2023</v>
      </c>
      <c r="F762" s="14">
        <v>1.05</v>
      </c>
      <c r="G762">
        <v>249</v>
      </c>
      <c r="H762" t="s">
        <v>12</v>
      </c>
      <c r="I762" t="str">
        <f t="shared" si="11"/>
        <v>Normal Usage</v>
      </c>
    </row>
    <row r="763" spans="1:9" x14ac:dyDescent="0.3">
      <c r="A763">
        <v>10762</v>
      </c>
      <c r="B763">
        <v>260</v>
      </c>
      <c r="C763" s="2">
        <v>45360</v>
      </c>
      <c r="D763" s="2" t="str">
        <f>TEXT(Table3[[#This Row],[usage_date]],"mmmm")</f>
        <v>March</v>
      </c>
      <c r="E763" s="9">
        <f>YEAR(Table3[[#This Row],[usage_date]])</f>
        <v>2024</v>
      </c>
      <c r="F763" s="14">
        <v>0.22</v>
      </c>
      <c r="G763">
        <v>225</v>
      </c>
      <c r="H763" t="s">
        <v>12</v>
      </c>
      <c r="I763" t="str">
        <f t="shared" si="11"/>
        <v>Normal Usage</v>
      </c>
    </row>
    <row r="764" spans="1:9" x14ac:dyDescent="0.3">
      <c r="A764">
        <v>10763</v>
      </c>
      <c r="B764">
        <v>126</v>
      </c>
      <c r="C764" s="2">
        <v>45137</v>
      </c>
      <c r="D764" s="2" t="str">
        <f>TEXT(Table3[[#This Row],[usage_date]],"mmmm")</f>
        <v>July</v>
      </c>
      <c r="E764" s="9">
        <f>YEAR(Table3[[#This Row],[usage_date]])</f>
        <v>2023</v>
      </c>
      <c r="F764" s="14">
        <v>12.34</v>
      </c>
      <c r="G764">
        <v>271</v>
      </c>
      <c r="H764" t="s">
        <v>13</v>
      </c>
      <c r="I764" t="str">
        <f t="shared" si="11"/>
        <v>High Usage</v>
      </c>
    </row>
    <row r="765" spans="1:9" x14ac:dyDescent="0.3">
      <c r="A765">
        <v>10764</v>
      </c>
      <c r="B765">
        <v>231</v>
      </c>
      <c r="C765" s="2">
        <v>45016</v>
      </c>
      <c r="D765" s="2" t="str">
        <f>TEXT(Table3[[#This Row],[usage_date]],"mmmm")</f>
        <v>March</v>
      </c>
      <c r="E765" s="9">
        <f>YEAR(Table3[[#This Row],[usage_date]])</f>
        <v>2023</v>
      </c>
      <c r="F765" s="14">
        <v>0.34</v>
      </c>
      <c r="G765">
        <v>152</v>
      </c>
      <c r="H765" t="s">
        <v>12</v>
      </c>
      <c r="I765" t="str">
        <f t="shared" si="11"/>
        <v>Normal Usage</v>
      </c>
    </row>
    <row r="766" spans="1:9" x14ac:dyDescent="0.3">
      <c r="A766">
        <v>10765</v>
      </c>
      <c r="B766">
        <v>295</v>
      </c>
      <c r="C766" s="2">
        <v>44793</v>
      </c>
      <c r="D766" s="2" t="str">
        <f>TEXT(Table3[[#This Row],[usage_date]],"mmmm")</f>
        <v>August</v>
      </c>
      <c r="E766" s="9">
        <f>YEAR(Table3[[#This Row],[usage_date]])</f>
        <v>2022</v>
      </c>
      <c r="F766" s="14">
        <v>0.19</v>
      </c>
      <c r="G766">
        <v>284</v>
      </c>
      <c r="H766" t="s">
        <v>12</v>
      </c>
      <c r="I766" t="str">
        <f t="shared" si="11"/>
        <v>Normal Usage</v>
      </c>
    </row>
    <row r="767" spans="1:9" x14ac:dyDescent="0.3">
      <c r="A767">
        <v>10766</v>
      </c>
      <c r="B767">
        <v>498</v>
      </c>
      <c r="C767" s="2">
        <v>44850</v>
      </c>
      <c r="D767" s="2" t="str">
        <f>TEXT(Table3[[#This Row],[usage_date]],"mmmm")</f>
        <v>October</v>
      </c>
      <c r="E767" s="9">
        <f>YEAR(Table3[[#This Row],[usage_date]])</f>
        <v>2022</v>
      </c>
      <c r="F767" s="14">
        <v>5.27</v>
      </c>
      <c r="G767">
        <v>179</v>
      </c>
      <c r="H767" t="s">
        <v>13</v>
      </c>
      <c r="I767" t="str">
        <f t="shared" si="11"/>
        <v>Normal Usage</v>
      </c>
    </row>
    <row r="768" spans="1:9" x14ac:dyDescent="0.3">
      <c r="A768">
        <v>10767</v>
      </c>
      <c r="B768">
        <v>419</v>
      </c>
      <c r="C768" s="2">
        <v>44774</v>
      </c>
      <c r="D768" s="2" t="str">
        <f>TEXT(Table3[[#This Row],[usage_date]],"mmmm")</f>
        <v>August</v>
      </c>
      <c r="E768" s="9">
        <f>YEAR(Table3[[#This Row],[usage_date]])</f>
        <v>2022</v>
      </c>
      <c r="F768" s="14">
        <v>0.9</v>
      </c>
      <c r="G768">
        <v>152</v>
      </c>
      <c r="H768" t="s">
        <v>12</v>
      </c>
      <c r="I768" t="str">
        <f t="shared" si="11"/>
        <v>Normal Usage</v>
      </c>
    </row>
    <row r="769" spans="1:9" x14ac:dyDescent="0.3">
      <c r="A769">
        <v>10768</v>
      </c>
      <c r="B769">
        <v>129</v>
      </c>
      <c r="C769" s="2">
        <v>44819</v>
      </c>
      <c r="D769" s="2" t="str">
        <f>TEXT(Table3[[#This Row],[usage_date]],"mmmm")</f>
        <v>September</v>
      </c>
      <c r="E769" s="9">
        <f>YEAR(Table3[[#This Row],[usage_date]])</f>
        <v>2022</v>
      </c>
      <c r="F769" s="14">
        <v>2.63</v>
      </c>
      <c r="G769">
        <v>233</v>
      </c>
      <c r="H769" t="s">
        <v>12</v>
      </c>
      <c r="I769" t="str">
        <f t="shared" si="11"/>
        <v>Normal Usage</v>
      </c>
    </row>
    <row r="770" spans="1:9" x14ac:dyDescent="0.3">
      <c r="A770">
        <v>10769</v>
      </c>
      <c r="B770">
        <v>280</v>
      </c>
      <c r="C770" s="2">
        <v>45091</v>
      </c>
      <c r="D770" s="2" t="str">
        <f>TEXT(Table3[[#This Row],[usage_date]],"mmmm")</f>
        <v>June</v>
      </c>
      <c r="E770" s="9">
        <f>YEAR(Table3[[#This Row],[usage_date]])</f>
        <v>2023</v>
      </c>
      <c r="F770" s="14">
        <v>1</v>
      </c>
      <c r="G770">
        <v>22</v>
      </c>
      <c r="H770" t="s">
        <v>12</v>
      </c>
      <c r="I770" t="str">
        <f t="shared" ref="I770:I833" si="12">IF(F770&gt;6,"High Usage","Normal Usage")</f>
        <v>Normal Usage</v>
      </c>
    </row>
    <row r="771" spans="1:9" x14ac:dyDescent="0.3">
      <c r="A771">
        <v>10770</v>
      </c>
      <c r="B771">
        <v>313</v>
      </c>
      <c r="C771" s="2">
        <v>45248</v>
      </c>
      <c r="D771" s="2" t="str">
        <f>TEXT(Table3[[#This Row],[usage_date]],"mmmm")</f>
        <v>November</v>
      </c>
      <c r="E771" s="9">
        <f>YEAR(Table3[[#This Row],[usage_date]])</f>
        <v>2023</v>
      </c>
      <c r="F771" s="14">
        <v>1.24</v>
      </c>
      <c r="G771">
        <v>93</v>
      </c>
      <c r="H771" t="s">
        <v>12</v>
      </c>
      <c r="I771" t="str">
        <f t="shared" si="12"/>
        <v>Normal Usage</v>
      </c>
    </row>
    <row r="772" spans="1:9" x14ac:dyDescent="0.3">
      <c r="A772">
        <v>10771</v>
      </c>
      <c r="B772">
        <v>100</v>
      </c>
      <c r="C772" s="2">
        <v>44790</v>
      </c>
      <c r="D772" s="2" t="str">
        <f>TEXT(Table3[[#This Row],[usage_date]],"mmmm")</f>
        <v>August</v>
      </c>
      <c r="E772" s="9">
        <f>YEAR(Table3[[#This Row],[usage_date]])</f>
        <v>2022</v>
      </c>
      <c r="F772" s="14">
        <v>0.76</v>
      </c>
      <c r="G772">
        <v>244</v>
      </c>
      <c r="H772" t="s">
        <v>13</v>
      </c>
      <c r="I772" t="str">
        <f t="shared" si="12"/>
        <v>Normal Usage</v>
      </c>
    </row>
    <row r="773" spans="1:9" x14ac:dyDescent="0.3">
      <c r="A773">
        <v>10772</v>
      </c>
      <c r="B773">
        <v>326</v>
      </c>
      <c r="C773" s="2">
        <v>44787</v>
      </c>
      <c r="D773" s="2" t="str">
        <f>TEXT(Table3[[#This Row],[usage_date]],"mmmm")</f>
        <v>August</v>
      </c>
      <c r="E773" s="9">
        <f>YEAR(Table3[[#This Row],[usage_date]])</f>
        <v>2022</v>
      </c>
      <c r="F773" s="14">
        <v>1.05</v>
      </c>
      <c r="G773">
        <v>289</v>
      </c>
      <c r="H773" t="s">
        <v>12</v>
      </c>
      <c r="I773" t="str">
        <f t="shared" si="12"/>
        <v>Normal Usage</v>
      </c>
    </row>
    <row r="774" spans="1:9" x14ac:dyDescent="0.3">
      <c r="A774">
        <v>10773</v>
      </c>
      <c r="B774">
        <v>297</v>
      </c>
      <c r="C774" s="2">
        <v>45157</v>
      </c>
      <c r="D774" s="2" t="str">
        <f>TEXT(Table3[[#This Row],[usage_date]],"mmmm")</f>
        <v>August</v>
      </c>
      <c r="E774" s="9">
        <f>YEAR(Table3[[#This Row],[usage_date]])</f>
        <v>2023</v>
      </c>
      <c r="F774" s="14">
        <v>1.32</v>
      </c>
      <c r="G774">
        <v>159</v>
      </c>
      <c r="H774" t="s">
        <v>13</v>
      </c>
      <c r="I774" t="str">
        <f t="shared" si="12"/>
        <v>Normal Usage</v>
      </c>
    </row>
    <row r="775" spans="1:9" x14ac:dyDescent="0.3">
      <c r="A775">
        <v>10774</v>
      </c>
      <c r="B775">
        <v>182</v>
      </c>
      <c r="C775" s="2">
        <v>45364</v>
      </c>
      <c r="D775" s="2" t="str">
        <f>TEXT(Table3[[#This Row],[usage_date]],"mmmm")</f>
        <v>March</v>
      </c>
      <c r="E775" s="9">
        <f>YEAR(Table3[[#This Row],[usage_date]])</f>
        <v>2024</v>
      </c>
      <c r="F775" s="14">
        <v>3.19</v>
      </c>
      <c r="G775">
        <v>284</v>
      </c>
      <c r="H775" t="s">
        <v>13</v>
      </c>
      <c r="I775" t="str">
        <f t="shared" si="12"/>
        <v>Normal Usage</v>
      </c>
    </row>
    <row r="776" spans="1:9" x14ac:dyDescent="0.3">
      <c r="A776">
        <v>10775</v>
      </c>
      <c r="B776">
        <v>174</v>
      </c>
      <c r="C776" s="2">
        <v>44996</v>
      </c>
      <c r="D776" s="2" t="str">
        <f>TEXT(Table3[[#This Row],[usage_date]],"mmmm")</f>
        <v>March</v>
      </c>
      <c r="E776" s="9">
        <f>YEAR(Table3[[#This Row],[usage_date]])</f>
        <v>2023</v>
      </c>
      <c r="F776" s="14">
        <v>1.79</v>
      </c>
      <c r="G776">
        <v>8</v>
      </c>
      <c r="H776" t="s">
        <v>13</v>
      </c>
      <c r="I776" t="str">
        <f t="shared" si="12"/>
        <v>Normal Usage</v>
      </c>
    </row>
    <row r="777" spans="1:9" x14ac:dyDescent="0.3">
      <c r="A777">
        <v>10776</v>
      </c>
      <c r="B777">
        <v>316</v>
      </c>
      <c r="C777" s="2">
        <v>45443</v>
      </c>
      <c r="D777" s="2" t="str">
        <f>TEXT(Table3[[#This Row],[usage_date]],"mmmm")</f>
        <v>May</v>
      </c>
      <c r="E777" s="9">
        <f>YEAR(Table3[[#This Row],[usage_date]])</f>
        <v>2024</v>
      </c>
      <c r="F777" s="14">
        <v>7.19</v>
      </c>
      <c r="G777">
        <v>184</v>
      </c>
      <c r="H777" t="s">
        <v>12</v>
      </c>
      <c r="I777" t="str">
        <f t="shared" si="12"/>
        <v>High Usage</v>
      </c>
    </row>
    <row r="778" spans="1:9" x14ac:dyDescent="0.3">
      <c r="A778">
        <v>10777</v>
      </c>
      <c r="B778">
        <v>364</v>
      </c>
      <c r="C778" s="2">
        <v>45319</v>
      </c>
      <c r="D778" s="2" t="str">
        <f>TEXT(Table3[[#This Row],[usage_date]],"mmmm")</f>
        <v>January</v>
      </c>
      <c r="E778" s="9">
        <f>YEAR(Table3[[#This Row],[usage_date]])</f>
        <v>2024</v>
      </c>
      <c r="F778" s="14">
        <v>0.11</v>
      </c>
      <c r="G778">
        <v>294</v>
      </c>
      <c r="H778" t="s">
        <v>12</v>
      </c>
      <c r="I778" t="str">
        <f t="shared" si="12"/>
        <v>Normal Usage</v>
      </c>
    </row>
    <row r="779" spans="1:9" x14ac:dyDescent="0.3">
      <c r="A779">
        <v>10778</v>
      </c>
      <c r="B779">
        <v>188</v>
      </c>
      <c r="C779" s="2">
        <v>44963</v>
      </c>
      <c r="D779" s="2" t="str">
        <f>TEXT(Table3[[#This Row],[usage_date]],"mmmm")</f>
        <v>February</v>
      </c>
      <c r="E779" s="9">
        <f>YEAR(Table3[[#This Row],[usage_date]])</f>
        <v>2023</v>
      </c>
      <c r="F779" s="14">
        <v>1.75</v>
      </c>
      <c r="G779">
        <v>134</v>
      </c>
      <c r="H779" t="s">
        <v>12</v>
      </c>
      <c r="I779" t="str">
        <f t="shared" si="12"/>
        <v>Normal Usage</v>
      </c>
    </row>
    <row r="780" spans="1:9" x14ac:dyDescent="0.3">
      <c r="A780">
        <v>10779</v>
      </c>
      <c r="B780">
        <v>57</v>
      </c>
      <c r="C780" s="2">
        <v>45183</v>
      </c>
      <c r="D780" s="2" t="str">
        <f>TEXT(Table3[[#This Row],[usage_date]],"mmmm")</f>
        <v>September</v>
      </c>
      <c r="E780" s="9">
        <f>YEAR(Table3[[#This Row],[usage_date]])</f>
        <v>2023</v>
      </c>
      <c r="F780" s="14">
        <v>2.19</v>
      </c>
      <c r="G780">
        <v>109</v>
      </c>
      <c r="H780" t="s">
        <v>12</v>
      </c>
      <c r="I780" t="str">
        <f t="shared" si="12"/>
        <v>Normal Usage</v>
      </c>
    </row>
    <row r="781" spans="1:9" x14ac:dyDescent="0.3">
      <c r="A781">
        <v>10780</v>
      </c>
      <c r="B781">
        <v>31</v>
      </c>
      <c r="C781" s="2">
        <v>45327</v>
      </c>
      <c r="D781" s="2" t="str">
        <f>TEXT(Table3[[#This Row],[usage_date]],"mmmm")</f>
        <v>February</v>
      </c>
      <c r="E781" s="9">
        <f>YEAR(Table3[[#This Row],[usage_date]])</f>
        <v>2024</v>
      </c>
      <c r="F781" s="14">
        <v>6.32</v>
      </c>
      <c r="G781">
        <v>68</v>
      </c>
      <c r="H781" t="s">
        <v>13</v>
      </c>
      <c r="I781" t="str">
        <f t="shared" si="12"/>
        <v>High Usage</v>
      </c>
    </row>
    <row r="782" spans="1:9" x14ac:dyDescent="0.3">
      <c r="A782">
        <v>10781</v>
      </c>
      <c r="B782">
        <v>84</v>
      </c>
      <c r="C782" s="2">
        <v>44649</v>
      </c>
      <c r="D782" s="2" t="str">
        <f>TEXT(Table3[[#This Row],[usage_date]],"mmmm")</f>
        <v>March</v>
      </c>
      <c r="E782" s="9">
        <f>YEAR(Table3[[#This Row],[usage_date]])</f>
        <v>2022</v>
      </c>
      <c r="F782" s="14">
        <v>0.13</v>
      </c>
      <c r="G782">
        <v>135</v>
      </c>
      <c r="H782" t="s">
        <v>12</v>
      </c>
      <c r="I782" t="str">
        <f t="shared" si="12"/>
        <v>Normal Usage</v>
      </c>
    </row>
    <row r="783" spans="1:9" x14ac:dyDescent="0.3">
      <c r="A783">
        <v>10782</v>
      </c>
      <c r="B783">
        <v>152</v>
      </c>
      <c r="C783" s="2">
        <v>45145</v>
      </c>
      <c r="D783" s="2" t="str">
        <f>TEXT(Table3[[#This Row],[usage_date]],"mmmm")</f>
        <v>August</v>
      </c>
      <c r="E783" s="9">
        <f>YEAR(Table3[[#This Row],[usage_date]])</f>
        <v>2023</v>
      </c>
      <c r="F783" s="14">
        <v>2.13</v>
      </c>
      <c r="G783">
        <v>95</v>
      </c>
      <c r="H783" t="s">
        <v>13</v>
      </c>
      <c r="I783" t="str">
        <f t="shared" si="12"/>
        <v>Normal Usage</v>
      </c>
    </row>
    <row r="784" spans="1:9" x14ac:dyDescent="0.3">
      <c r="A784">
        <v>10783</v>
      </c>
      <c r="B784">
        <v>473</v>
      </c>
      <c r="C784" s="2">
        <v>45454</v>
      </c>
      <c r="D784" s="2" t="str">
        <f>TEXT(Table3[[#This Row],[usage_date]],"mmmm")</f>
        <v>June</v>
      </c>
      <c r="E784" s="9">
        <f>YEAR(Table3[[#This Row],[usage_date]])</f>
        <v>2024</v>
      </c>
      <c r="F784" s="14">
        <v>4.8</v>
      </c>
      <c r="G784">
        <v>118</v>
      </c>
      <c r="H784" t="s">
        <v>12</v>
      </c>
      <c r="I784" t="str">
        <f t="shared" si="12"/>
        <v>Normal Usage</v>
      </c>
    </row>
    <row r="785" spans="1:9" x14ac:dyDescent="0.3">
      <c r="A785">
        <v>10784</v>
      </c>
      <c r="B785">
        <v>36</v>
      </c>
      <c r="C785" s="2">
        <v>45103</v>
      </c>
      <c r="D785" s="2" t="str">
        <f>TEXT(Table3[[#This Row],[usage_date]],"mmmm")</f>
        <v>June</v>
      </c>
      <c r="E785" s="9">
        <f>YEAR(Table3[[#This Row],[usage_date]])</f>
        <v>2023</v>
      </c>
      <c r="F785" s="14">
        <v>0.69</v>
      </c>
      <c r="G785">
        <v>273</v>
      </c>
      <c r="H785" t="s">
        <v>12</v>
      </c>
      <c r="I785" t="str">
        <f t="shared" si="12"/>
        <v>Normal Usage</v>
      </c>
    </row>
    <row r="786" spans="1:9" x14ac:dyDescent="0.3">
      <c r="A786">
        <v>10785</v>
      </c>
      <c r="B786">
        <v>213</v>
      </c>
      <c r="C786" s="2">
        <v>45245</v>
      </c>
      <c r="D786" s="2" t="str">
        <f>TEXT(Table3[[#This Row],[usage_date]],"mmmm")</f>
        <v>November</v>
      </c>
      <c r="E786" s="9">
        <f>YEAR(Table3[[#This Row],[usage_date]])</f>
        <v>2023</v>
      </c>
      <c r="F786" s="14">
        <v>5.22</v>
      </c>
      <c r="G786">
        <v>176</v>
      </c>
      <c r="H786" t="s">
        <v>13</v>
      </c>
      <c r="I786" t="str">
        <f t="shared" si="12"/>
        <v>Normal Usage</v>
      </c>
    </row>
    <row r="787" spans="1:9" x14ac:dyDescent="0.3">
      <c r="A787">
        <v>10786</v>
      </c>
      <c r="B787">
        <v>414</v>
      </c>
      <c r="C787" s="2">
        <v>44870</v>
      </c>
      <c r="D787" s="2" t="str">
        <f>TEXT(Table3[[#This Row],[usage_date]],"mmmm")</f>
        <v>November</v>
      </c>
      <c r="E787" s="9">
        <f>YEAR(Table3[[#This Row],[usage_date]])</f>
        <v>2022</v>
      </c>
      <c r="F787" s="14">
        <v>0.05</v>
      </c>
      <c r="G787">
        <v>236</v>
      </c>
      <c r="H787" t="s">
        <v>12</v>
      </c>
      <c r="I787" t="str">
        <f t="shared" si="12"/>
        <v>Normal Usage</v>
      </c>
    </row>
    <row r="788" spans="1:9" x14ac:dyDescent="0.3">
      <c r="A788">
        <v>10787</v>
      </c>
      <c r="B788">
        <v>408</v>
      </c>
      <c r="C788" s="2">
        <v>44904</v>
      </c>
      <c r="D788" s="2" t="str">
        <f>TEXT(Table3[[#This Row],[usage_date]],"mmmm")</f>
        <v>December</v>
      </c>
      <c r="E788" s="9">
        <f>YEAR(Table3[[#This Row],[usage_date]])</f>
        <v>2022</v>
      </c>
      <c r="F788" s="14">
        <v>3.3</v>
      </c>
      <c r="G788">
        <v>271</v>
      </c>
      <c r="H788" t="s">
        <v>13</v>
      </c>
      <c r="I788" t="str">
        <f t="shared" si="12"/>
        <v>Normal Usage</v>
      </c>
    </row>
    <row r="789" spans="1:9" x14ac:dyDescent="0.3">
      <c r="A789">
        <v>10788</v>
      </c>
      <c r="B789">
        <v>364</v>
      </c>
      <c r="C789" s="2">
        <v>44997</v>
      </c>
      <c r="D789" s="2" t="str">
        <f>TEXT(Table3[[#This Row],[usage_date]],"mmmm")</f>
        <v>March</v>
      </c>
      <c r="E789" s="9">
        <f>YEAR(Table3[[#This Row],[usage_date]])</f>
        <v>2023</v>
      </c>
      <c r="F789" s="14">
        <v>6.76</v>
      </c>
      <c r="G789">
        <v>276</v>
      </c>
      <c r="H789" t="s">
        <v>12</v>
      </c>
      <c r="I789" t="str">
        <f t="shared" si="12"/>
        <v>High Usage</v>
      </c>
    </row>
    <row r="790" spans="1:9" x14ac:dyDescent="0.3">
      <c r="A790">
        <v>10789</v>
      </c>
      <c r="B790">
        <v>106</v>
      </c>
      <c r="C790" s="2">
        <v>44738</v>
      </c>
      <c r="D790" s="2" t="str">
        <f>TEXT(Table3[[#This Row],[usage_date]],"mmmm")</f>
        <v>June</v>
      </c>
      <c r="E790" s="9">
        <f>YEAR(Table3[[#This Row],[usage_date]])</f>
        <v>2022</v>
      </c>
      <c r="F790" s="14">
        <v>2.68</v>
      </c>
      <c r="G790">
        <v>137</v>
      </c>
      <c r="H790" t="s">
        <v>13</v>
      </c>
      <c r="I790" t="str">
        <f t="shared" si="12"/>
        <v>Normal Usage</v>
      </c>
    </row>
    <row r="791" spans="1:9" x14ac:dyDescent="0.3">
      <c r="A791">
        <v>10790</v>
      </c>
      <c r="B791">
        <v>414</v>
      </c>
      <c r="C791" s="2">
        <v>44700</v>
      </c>
      <c r="D791" s="2" t="str">
        <f>TEXT(Table3[[#This Row],[usage_date]],"mmmm")</f>
        <v>May</v>
      </c>
      <c r="E791" s="9">
        <f>YEAR(Table3[[#This Row],[usage_date]])</f>
        <v>2022</v>
      </c>
      <c r="F791" s="14">
        <v>1.45</v>
      </c>
      <c r="G791">
        <v>131</v>
      </c>
      <c r="H791" t="s">
        <v>12</v>
      </c>
      <c r="I791" t="str">
        <f t="shared" si="12"/>
        <v>Normal Usage</v>
      </c>
    </row>
    <row r="792" spans="1:9" x14ac:dyDescent="0.3">
      <c r="A792">
        <v>10791</v>
      </c>
      <c r="B792">
        <v>342</v>
      </c>
      <c r="C792" s="2">
        <v>44755</v>
      </c>
      <c r="D792" s="2" t="str">
        <f>TEXT(Table3[[#This Row],[usage_date]],"mmmm")</f>
        <v>July</v>
      </c>
      <c r="E792" s="9">
        <f>YEAR(Table3[[#This Row],[usage_date]])</f>
        <v>2022</v>
      </c>
      <c r="F792" s="14">
        <v>0.11</v>
      </c>
      <c r="G792">
        <v>43</v>
      </c>
      <c r="H792" t="s">
        <v>13</v>
      </c>
      <c r="I792" t="str">
        <f t="shared" si="12"/>
        <v>Normal Usage</v>
      </c>
    </row>
    <row r="793" spans="1:9" x14ac:dyDescent="0.3">
      <c r="A793">
        <v>10792</v>
      </c>
      <c r="B793">
        <v>220</v>
      </c>
      <c r="C793" s="2">
        <v>44747</v>
      </c>
      <c r="D793" s="2" t="str">
        <f>TEXT(Table3[[#This Row],[usage_date]],"mmmm")</f>
        <v>July</v>
      </c>
      <c r="E793" s="9">
        <f>YEAR(Table3[[#This Row],[usage_date]])</f>
        <v>2022</v>
      </c>
      <c r="F793" s="14">
        <v>6.32</v>
      </c>
      <c r="G793">
        <v>122</v>
      </c>
      <c r="H793" t="s">
        <v>12</v>
      </c>
      <c r="I793" t="str">
        <f t="shared" si="12"/>
        <v>High Usage</v>
      </c>
    </row>
    <row r="794" spans="1:9" x14ac:dyDescent="0.3">
      <c r="A794">
        <v>10793</v>
      </c>
      <c r="B794">
        <v>391</v>
      </c>
      <c r="C794" s="2">
        <v>44779</v>
      </c>
      <c r="D794" s="2" t="str">
        <f>TEXT(Table3[[#This Row],[usage_date]],"mmmm")</f>
        <v>August</v>
      </c>
      <c r="E794" s="9">
        <f>YEAR(Table3[[#This Row],[usage_date]])</f>
        <v>2022</v>
      </c>
      <c r="F794" s="14">
        <v>1.59</v>
      </c>
      <c r="G794">
        <v>135</v>
      </c>
      <c r="H794" t="s">
        <v>12</v>
      </c>
      <c r="I794" t="str">
        <f t="shared" si="12"/>
        <v>Normal Usage</v>
      </c>
    </row>
    <row r="795" spans="1:9" x14ac:dyDescent="0.3">
      <c r="A795">
        <v>10794</v>
      </c>
      <c r="B795">
        <v>163</v>
      </c>
      <c r="C795" s="2">
        <v>44725</v>
      </c>
      <c r="D795" s="2" t="str">
        <f>TEXT(Table3[[#This Row],[usage_date]],"mmmm")</f>
        <v>June</v>
      </c>
      <c r="E795" s="9">
        <f>YEAR(Table3[[#This Row],[usage_date]])</f>
        <v>2022</v>
      </c>
      <c r="F795" s="14">
        <v>7.0000000000000007E-2</v>
      </c>
      <c r="G795">
        <v>125</v>
      </c>
      <c r="H795" t="s">
        <v>13</v>
      </c>
      <c r="I795" t="str">
        <f t="shared" si="12"/>
        <v>Normal Usage</v>
      </c>
    </row>
    <row r="796" spans="1:9" x14ac:dyDescent="0.3">
      <c r="A796">
        <v>10795</v>
      </c>
      <c r="B796">
        <v>439</v>
      </c>
      <c r="C796" s="2">
        <v>44722</v>
      </c>
      <c r="D796" s="2" t="str">
        <f>TEXT(Table3[[#This Row],[usage_date]],"mmmm")</f>
        <v>June</v>
      </c>
      <c r="E796" s="9">
        <f>YEAR(Table3[[#This Row],[usage_date]])</f>
        <v>2022</v>
      </c>
      <c r="F796" s="14">
        <v>2.93</v>
      </c>
      <c r="G796">
        <v>274</v>
      </c>
      <c r="H796" t="s">
        <v>13</v>
      </c>
      <c r="I796" t="str">
        <f t="shared" si="12"/>
        <v>Normal Usage</v>
      </c>
    </row>
    <row r="797" spans="1:9" x14ac:dyDescent="0.3">
      <c r="A797">
        <v>10796</v>
      </c>
      <c r="B797">
        <v>220</v>
      </c>
      <c r="C797" s="2">
        <v>45086</v>
      </c>
      <c r="D797" s="2" t="str">
        <f>TEXT(Table3[[#This Row],[usage_date]],"mmmm")</f>
        <v>June</v>
      </c>
      <c r="E797" s="9">
        <f>YEAR(Table3[[#This Row],[usage_date]])</f>
        <v>2023</v>
      </c>
      <c r="F797" s="14">
        <v>1.64</v>
      </c>
      <c r="G797">
        <v>63</v>
      </c>
      <c r="H797" t="s">
        <v>12</v>
      </c>
      <c r="I797" t="str">
        <f t="shared" si="12"/>
        <v>Normal Usage</v>
      </c>
    </row>
    <row r="798" spans="1:9" x14ac:dyDescent="0.3">
      <c r="A798">
        <v>10797</v>
      </c>
      <c r="B798">
        <v>270</v>
      </c>
      <c r="C798" s="2">
        <v>45369</v>
      </c>
      <c r="D798" s="2" t="str">
        <f>TEXT(Table3[[#This Row],[usage_date]],"mmmm")</f>
        <v>March</v>
      </c>
      <c r="E798" s="9">
        <f>YEAR(Table3[[#This Row],[usage_date]])</f>
        <v>2024</v>
      </c>
      <c r="F798" s="14">
        <v>0.33</v>
      </c>
      <c r="G798">
        <v>295</v>
      </c>
      <c r="H798" t="s">
        <v>12</v>
      </c>
      <c r="I798" t="str">
        <f t="shared" si="12"/>
        <v>Normal Usage</v>
      </c>
    </row>
    <row r="799" spans="1:9" x14ac:dyDescent="0.3">
      <c r="A799">
        <v>10798</v>
      </c>
      <c r="B799">
        <v>120</v>
      </c>
      <c r="C799" s="2">
        <v>45162</v>
      </c>
      <c r="D799" s="2" t="str">
        <f>TEXT(Table3[[#This Row],[usage_date]],"mmmm")</f>
        <v>August</v>
      </c>
      <c r="E799" s="9">
        <f>YEAR(Table3[[#This Row],[usage_date]])</f>
        <v>2023</v>
      </c>
      <c r="F799" s="14">
        <v>0.6</v>
      </c>
      <c r="G799">
        <v>231</v>
      </c>
      <c r="H799" t="s">
        <v>12</v>
      </c>
      <c r="I799" t="str">
        <f t="shared" si="12"/>
        <v>Normal Usage</v>
      </c>
    </row>
    <row r="800" spans="1:9" x14ac:dyDescent="0.3">
      <c r="A800">
        <v>10799</v>
      </c>
      <c r="B800">
        <v>394</v>
      </c>
      <c r="C800" s="2">
        <v>45397</v>
      </c>
      <c r="D800" s="2" t="str">
        <f>TEXT(Table3[[#This Row],[usage_date]],"mmmm")</f>
        <v>April</v>
      </c>
      <c r="E800" s="9">
        <f>YEAR(Table3[[#This Row],[usage_date]])</f>
        <v>2024</v>
      </c>
      <c r="F800" s="14">
        <v>0.17</v>
      </c>
      <c r="G800">
        <v>50</v>
      </c>
      <c r="H800" t="s">
        <v>12</v>
      </c>
      <c r="I800" t="str">
        <f t="shared" si="12"/>
        <v>Normal Usage</v>
      </c>
    </row>
    <row r="801" spans="1:9" x14ac:dyDescent="0.3">
      <c r="A801">
        <v>10800</v>
      </c>
      <c r="B801">
        <v>336</v>
      </c>
      <c r="C801" s="2">
        <v>44603</v>
      </c>
      <c r="D801" s="2" t="str">
        <f>TEXT(Table3[[#This Row],[usage_date]],"mmmm")</f>
        <v>February</v>
      </c>
      <c r="E801" s="9">
        <f>YEAR(Table3[[#This Row],[usage_date]])</f>
        <v>2022</v>
      </c>
      <c r="F801" s="14">
        <v>2.14</v>
      </c>
      <c r="G801">
        <v>136</v>
      </c>
      <c r="H801" t="s">
        <v>13</v>
      </c>
      <c r="I801" t="str">
        <f t="shared" si="12"/>
        <v>Normal Usage</v>
      </c>
    </row>
    <row r="802" spans="1:9" x14ac:dyDescent="0.3">
      <c r="A802">
        <v>10801</v>
      </c>
      <c r="B802">
        <v>400</v>
      </c>
      <c r="C802" s="2">
        <v>44771</v>
      </c>
      <c r="D802" s="2" t="str">
        <f>TEXT(Table3[[#This Row],[usage_date]],"mmmm")</f>
        <v>July</v>
      </c>
      <c r="E802" s="9">
        <f>YEAR(Table3[[#This Row],[usage_date]])</f>
        <v>2022</v>
      </c>
      <c r="F802" s="14">
        <v>2.4300000000000002</v>
      </c>
      <c r="G802">
        <v>157</v>
      </c>
      <c r="H802" t="s">
        <v>12</v>
      </c>
      <c r="I802" t="str">
        <f t="shared" si="12"/>
        <v>Normal Usage</v>
      </c>
    </row>
    <row r="803" spans="1:9" x14ac:dyDescent="0.3">
      <c r="A803">
        <v>10802</v>
      </c>
      <c r="B803">
        <v>182</v>
      </c>
      <c r="C803" s="2">
        <v>45302</v>
      </c>
      <c r="D803" s="2" t="str">
        <f>TEXT(Table3[[#This Row],[usage_date]],"mmmm")</f>
        <v>January</v>
      </c>
      <c r="E803" s="9">
        <f>YEAR(Table3[[#This Row],[usage_date]])</f>
        <v>2024</v>
      </c>
      <c r="F803" s="14">
        <v>1.76</v>
      </c>
      <c r="G803">
        <v>55</v>
      </c>
      <c r="H803" t="s">
        <v>12</v>
      </c>
      <c r="I803" t="str">
        <f t="shared" si="12"/>
        <v>Normal Usage</v>
      </c>
    </row>
    <row r="804" spans="1:9" x14ac:dyDescent="0.3">
      <c r="A804">
        <v>10803</v>
      </c>
      <c r="B804">
        <v>479</v>
      </c>
      <c r="C804" s="2">
        <v>45423</v>
      </c>
      <c r="D804" s="2" t="str">
        <f>TEXT(Table3[[#This Row],[usage_date]],"mmmm")</f>
        <v>May</v>
      </c>
      <c r="E804" s="9">
        <f>YEAR(Table3[[#This Row],[usage_date]])</f>
        <v>2024</v>
      </c>
      <c r="F804" s="14">
        <v>4.25</v>
      </c>
      <c r="G804">
        <v>80</v>
      </c>
      <c r="H804" t="s">
        <v>12</v>
      </c>
      <c r="I804" t="str">
        <f t="shared" si="12"/>
        <v>Normal Usage</v>
      </c>
    </row>
    <row r="805" spans="1:9" x14ac:dyDescent="0.3">
      <c r="A805">
        <v>10804</v>
      </c>
      <c r="B805">
        <v>106</v>
      </c>
      <c r="C805" s="2">
        <v>44836</v>
      </c>
      <c r="D805" s="2" t="str">
        <f>TEXT(Table3[[#This Row],[usage_date]],"mmmm")</f>
        <v>October</v>
      </c>
      <c r="E805" s="9">
        <f>YEAR(Table3[[#This Row],[usage_date]])</f>
        <v>2022</v>
      </c>
      <c r="F805" s="14">
        <v>4.93</v>
      </c>
      <c r="G805">
        <v>231</v>
      </c>
      <c r="H805" t="s">
        <v>12</v>
      </c>
      <c r="I805" t="str">
        <f t="shared" si="12"/>
        <v>Normal Usage</v>
      </c>
    </row>
    <row r="806" spans="1:9" x14ac:dyDescent="0.3">
      <c r="A806">
        <v>10805</v>
      </c>
      <c r="B806">
        <v>217</v>
      </c>
      <c r="C806" s="2">
        <v>44840</v>
      </c>
      <c r="D806" s="2" t="str">
        <f>TEXT(Table3[[#This Row],[usage_date]],"mmmm")</f>
        <v>October</v>
      </c>
      <c r="E806" s="9">
        <f>YEAR(Table3[[#This Row],[usage_date]])</f>
        <v>2022</v>
      </c>
      <c r="F806" s="14">
        <v>2.39</v>
      </c>
      <c r="G806">
        <v>127</v>
      </c>
      <c r="H806" t="s">
        <v>13</v>
      </c>
      <c r="I806" t="str">
        <f t="shared" si="12"/>
        <v>Normal Usage</v>
      </c>
    </row>
    <row r="807" spans="1:9" x14ac:dyDescent="0.3">
      <c r="A807">
        <v>10806</v>
      </c>
      <c r="B807">
        <v>205</v>
      </c>
      <c r="C807" s="2">
        <v>44812</v>
      </c>
      <c r="D807" s="2" t="str">
        <f>TEXT(Table3[[#This Row],[usage_date]],"mmmm")</f>
        <v>September</v>
      </c>
      <c r="E807" s="9">
        <f>YEAR(Table3[[#This Row],[usage_date]])</f>
        <v>2022</v>
      </c>
      <c r="F807" s="14">
        <v>0.03</v>
      </c>
      <c r="G807">
        <v>125</v>
      </c>
      <c r="H807" t="s">
        <v>13</v>
      </c>
      <c r="I807" t="str">
        <f t="shared" si="12"/>
        <v>Normal Usage</v>
      </c>
    </row>
    <row r="808" spans="1:9" x14ac:dyDescent="0.3">
      <c r="A808">
        <v>10807</v>
      </c>
      <c r="B808">
        <v>70</v>
      </c>
      <c r="C808" s="2">
        <v>44871</v>
      </c>
      <c r="D808" s="2" t="str">
        <f>TEXT(Table3[[#This Row],[usage_date]],"mmmm")</f>
        <v>November</v>
      </c>
      <c r="E808" s="9">
        <f>YEAR(Table3[[#This Row],[usage_date]])</f>
        <v>2022</v>
      </c>
      <c r="F808" s="14">
        <v>2.97</v>
      </c>
      <c r="G808">
        <v>79</v>
      </c>
      <c r="H808" t="s">
        <v>12</v>
      </c>
      <c r="I808" t="str">
        <f t="shared" si="12"/>
        <v>Normal Usage</v>
      </c>
    </row>
    <row r="809" spans="1:9" x14ac:dyDescent="0.3">
      <c r="A809">
        <v>10808</v>
      </c>
      <c r="B809">
        <v>44</v>
      </c>
      <c r="C809" s="2">
        <v>45281</v>
      </c>
      <c r="D809" s="2" t="str">
        <f>TEXT(Table3[[#This Row],[usage_date]],"mmmm")</f>
        <v>December</v>
      </c>
      <c r="E809" s="9">
        <f>YEAR(Table3[[#This Row],[usage_date]])</f>
        <v>2023</v>
      </c>
      <c r="F809" s="14">
        <v>1.35</v>
      </c>
      <c r="G809">
        <v>174</v>
      </c>
      <c r="H809" t="s">
        <v>13</v>
      </c>
      <c r="I809" t="str">
        <f t="shared" si="12"/>
        <v>Normal Usage</v>
      </c>
    </row>
    <row r="810" spans="1:9" x14ac:dyDescent="0.3">
      <c r="A810">
        <v>10809</v>
      </c>
      <c r="B810">
        <v>329</v>
      </c>
      <c r="C810" s="2">
        <v>45394</v>
      </c>
      <c r="D810" s="2" t="str">
        <f>TEXT(Table3[[#This Row],[usage_date]],"mmmm")</f>
        <v>April</v>
      </c>
      <c r="E810" s="9">
        <f>YEAR(Table3[[#This Row],[usage_date]])</f>
        <v>2024</v>
      </c>
      <c r="F810" s="14">
        <v>2.08</v>
      </c>
      <c r="G810">
        <v>144</v>
      </c>
      <c r="H810" t="s">
        <v>12</v>
      </c>
      <c r="I810" t="str">
        <f t="shared" si="12"/>
        <v>Normal Usage</v>
      </c>
    </row>
    <row r="811" spans="1:9" x14ac:dyDescent="0.3">
      <c r="A811">
        <v>10810</v>
      </c>
      <c r="B811">
        <v>301</v>
      </c>
      <c r="C811" s="2">
        <v>44701</v>
      </c>
      <c r="D811" s="2" t="str">
        <f>TEXT(Table3[[#This Row],[usage_date]],"mmmm")</f>
        <v>May</v>
      </c>
      <c r="E811" s="9">
        <f>YEAR(Table3[[#This Row],[usage_date]])</f>
        <v>2022</v>
      </c>
      <c r="F811" s="14">
        <v>2.62</v>
      </c>
      <c r="G811">
        <v>125</v>
      </c>
      <c r="H811" t="s">
        <v>12</v>
      </c>
      <c r="I811" t="str">
        <f t="shared" si="12"/>
        <v>Normal Usage</v>
      </c>
    </row>
    <row r="812" spans="1:9" x14ac:dyDescent="0.3">
      <c r="A812">
        <v>10811</v>
      </c>
      <c r="B812">
        <v>228</v>
      </c>
      <c r="C812" s="2">
        <v>45353</v>
      </c>
      <c r="D812" s="2" t="str">
        <f>TEXT(Table3[[#This Row],[usage_date]],"mmmm")</f>
        <v>March</v>
      </c>
      <c r="E812" s="9">
        <f>YEAR(Table3[[#This Row],[usage_date]])</f>
        <v>2024</v>
      </c>
      <c r="F812" s="14">
        <v>1.08</v>
      </c>
      <c r="G812">
        <v>181</v>
      </c>
      <c r="H812" t="s">
        <v>12</v>
      </c>
      <c r="I812" t="str">
        <f t="shared" si="12"/>
        <v>Normal Usage</v>
      </c>
    </row>
    <row r="813" spans="1:9" x14ac:dyDescent="0.3">
      <c r="A813">
        <v>10812</v>
      </c>
      <c r="B813">
        <v>184</v>
      </c>
      <c r="C813" s="2">
        <v>45107</v>
      </c>
      <c r="D813" s="2" t="str">
        <f>TEXT(Table3[[#This Row],[usage_date]],"mmmm")</f>
        <v>June</v>
      </c>
      <c r="E813" s="9">
        <f>YEAR(Table3[[#This Row],[usage_date]])</f>
        <v>2023</v>
      </c>
      <c r="F813" s="14">
        <v>6.23</v>
      </c>
      <c r="G813">
        <v>218</v>
      </c>
      <c r="H813" t="s">
        <v>12</v>
      </c>
      <c r="I813" t="str">
        <f t="shared" si="12"/>
        <v>High Usage</v>
      </c>
    </row>
    <row r="814" spans="1:9" x14ac:dyDescent="0.3">
      <c r="A814">
        <v>10813</v>
      </c>
      <c r="B814">
        <v>107</v>
      </c>
      <c r="C814" s="2">
        <v>45382</v>
      </c>
      <c r="D814" s="2" t="str">
        <f>TEXT(Table3[[#This Row],[usage_date]],"mmmm")</f>
        <v>March</v>
      </c>
      <c r="E814" s="9">
        <f>YEAR(Table3[[#This Row],[usage_date]])</f>
        <v>2024</v>
      </c>
      <c r="F814" s="14">
        <v>0.36</v>
      </c>
      <c r="G814">
        <v>277</v>
      </c>
      <c r="H814" t="s">
        <v>12</v>
      </c>
      <c r="I814" t="str">
        <f t="shared" si="12"/>
        <v>Normal Usage</v>
      </c>
    </row>
    <row r="815" spans="1:9" x14ac:dyDescent="0.3">
      <c r="A815">
        <v>10814</v>
      </c>
      <c r="B815">
        <v>84</v>
      </c>
      <c r="C815" s="2">
        <v>45091</v>
      </c>
      <c r="D815" s="2" t="str">
        <f>TEXT(Table3[[#This Row],[usage_date]],"mmmm")</f>
        <v>June</v>
      </c>
      <c r="E815" s="9">
        <f>YEAR(Table3[[#This Row],[usage_date]])</f>
        <v>2023</v>
      </c>
      <c r="F815" s="14">
        <v>2.78</v>
      </c>
      <c r="G815">
        <v>82</v>
      </c>
      <c r="H815" t="s">
        <v>12</v>
      </c>
      <c r="I815" t="str">
        <f t="shared" si="12"/>
        <v>Normal Usage</v>
      </c>
    </row>
    <row r="816" spans="1:9" x14ac:dyDescent="0.3">
      <c r="A816">
        <v>10815</v>
      </c>
      <c r="B816">
        <v>338</v>
      </c>
      <c r="C816" s="2">
        <v>44618</v>
      </c>
      <c r="D816" s="2" t="str">
        <f>TEXT(Table3[[#This Row],[usage_date]],"mmmm")</f>
        <v>February</v>
      </c>
      <c r="E816" s="9">
        <f>YEAR(Table3[[#This Row],[usage_date]])</f>
        <v>2022</v>
      </c>
      <c r="F816" s="14">
        <v>0.01</v>
      </c>
      <c r="G816">
        <v>140</v>
      </c>
      <c r="H816" t="s">
        <v>13</v>
      </c>
      <c r="I816" t="str">
        <f t="shared" si="12"/>
        <v>Normal Usage</v>
      </c>
    </row>
    <row r="817" spans="1:9" x14ac:dyDescent="0.3">
      <c r="A817">
        <v>10816</v>
      </c>
      <c r="B817">
        <v>250</v>
      </c>
      <c r="C817" s="2">
        <v>44673</v>
      </c>
      <c r="D817" s="2" t="str">
        <f>TEXT(Table3[[#This Row],[usage_date]],"mmmm")</f>
        <v>April</v>
      </c>
      <c r="E817" s="9">
        <f>YEAR(Table3[[#This Row],[usage_date]])</f>
        <v>2022</v>
      </c>
      <c r="F817" s="14">
        <v>6.46</v>
      </c>
      <c r="G817">
        <v>94</v>
      </c>
      <c r="H817" t="s">
        <v>13</v>
      </c>
      <c r="I817" t="str">
        <f t="shared" si="12"/>
        <v>High Usage</v>
      </c>
    </row>
    <row r="818" spans="1:9" x14ac:dyDescent="0.3">
      <c r="A818">
        <v>10817</v>
      </c>
      <c r="B818">
        <v>363</v>
      </c>
      <c r="C818" s="2">
        <v>44566</v>
      </c>
      <c r="D818" s="2" t="str">
        <f>TEXT(Table3[[#This Row],[usage_date]],"mmmm")</f>
        <v>January</v>
      </c>
      <c r="E818" s="9">
        <f>YEAR(Table3[[#This Row],[usage_date]])</f>
        <v>2022</v>
      </c>
      <c r="F818" s="14">
        <v>0.3</v>
      </c>
      <c r="G818">
        <v>193</v>
      </c>
      <c r="H818" t="s">
        <v>13</v>
      </c>
      <c r="I818" t="str">
        <f t="shared" si="12"/>
        <v>Normal Usage</v>
      </c>
    </row>
    <row r="819" spans="1:9" x14ac:dyDescent="0.3">
      <c r="A819">
        <v>10818</v>
      </c>
      <c r="B819">
        <v>441</v>
      </c>
      <c r="C819" s="2">
        <v>44971</v>
      </c>
      <c r="D819" s="2" t="str">
        <f>TEXT(Table3[[#This Row],[usage_date]],"mmmm")</f>
        <v>February</v>
      </c>
      <c r="E819" s="9">
        <f>YEAR(Table3[[#This Row],[usage_date]])</f>
        <v>2023</v>
      </c>
      <c r="F819" s="14">
        <v>0.25</v>
      </c>
      <c r="G819">
        <v>109</v>
      </c>
      <c r="H819" t="s">
        <v>12</v>
      </c>
      <c r="I819" t="str">
        <f t="shared" si="12"/>
        <v>Normal Usage</v>
      </c>
    </row>
    <row r="820" spans="1:9" x14ac:dyDescent="0.3">
      <c r="A820">
        <v>10819</v>
      </c>
      <c r="B820">
        <v>21</v>
      </c>
      <c r="C820" s="2">
        <v>44975</v>
      </c>
      <c r="D820" s="2" t="str">
        <f>TEXT(Table3[[#This Row],[usage_date]],"mmmm")</f>
        <v>February</v>
      </c>
      <c r="E820" s="9">
        <f>YEAR(Table3[[#This Row],[usage_date]])</f>
        <v>2023</v>
      </c>
      <c r="F820" s="14">
        <v>1.01</v>
      </c>
      <c r="G820">
        <v>51</v>
      </c>
      <c r="H820" t="s">
        <v>12</v>
      </c>
      <c r="I820" t="str">
        <f t="shared" si="12"/>
        <v>Normal Usage</v>
      </c>
    </row>
    <row r="821" spans="1:9" x14ac:dyDescent="0.3">
      <c r="A821">
        <v>10820</v>
      </c>
      <c r="B821">
        <v>196</v>
      </c>
      <c r="C821" s="2">
        <v>44743</v>
      </c>
      <c r="D821" s="2" t="str">
        <f>TEXT(Table3[[#This Row],[usage_date]],"mmmm")</f>
        <v>July</v>
      </c>
      <c r="E821" s="9">
        <f>YEAR(Table3[[#This Row],[usage_date]])</f>
        <v>2022</v>
      </c>
      <c r="F821" s="14">
        <v>1.17</v>
      </c>
      <c r="G821">
        <v>102</v>
      </c>
      <c r="H821" t="s">
        <v>12</v>
      </c>
      <c r="I821" t="str">
        <f t="shared" si="12"/>
        <v>Normal Usage</v>
      </c>
    </row>
    <row r="822" spans="1:9" x14ac:dyDescent="0.3">
      <c r="A822">
        <v>10821</v>
      </c>
      <c r="B822">
        <v>178</v>
      </c>
      <c r="C822" s="2">
        <v>44574</v>
      </c>
      <c r="D822" s="2" t="str">
        <f>TEXT(Table3[[#This Row],[usage_date]],"mmmm")</f>
        <v>January</v>
      </c>
      <c r="E822" s="9">
        <f>YEAR(Table3[[#This Row],[usage_date]])</f>
        <v>2022</v>
      </c>
      <c r="F822" s="14">
        <v>0.6</v>
      </c>
      <c r="G822">
        <v>100</v>
      </c>
      <c r="H822" t="s">
        <v>12</v>
      </c>
      <c r="I822" t="str">
        <f t="shared" si="12"/>
        <v>Normal Usage</v>
      </c>
    </row>
    <row r="823" spans="1:9" x14ac:dyDescent="0.3">
      <c r="A823">
        <v>10822</v>
      </c>
      <c r="B823">
        <v>417</v>
      </c>
      <c r="C823" s="2">
        <v>44900</v>
      </c>
      <c r="D823" s="2" t="str">
        <f>TEXT(Table3[[#This Row],[usage_date]],"mmmm")</f>
        <v>December</v>
      </c>
      <c r="E823" s="9">
        <f>YEAR(Table3[[#This Row],[usage_date]])</f>
        <v>2022</v>
      </c>
      <c r="F823" s="14">
        <v>2.2000000000000002</v>
      </c>
      <c r="G823">
        <v>141</v>
      </c>
      <c r="H823" t="s">
        <v>12</v>
      </c>
      <c r="I823" t="str">
        <f t="shared" si="12"/>
        <v>Normal Usage</v>
      </c>
    </row>
    <row r="824" spans="1:9" x14ac:dyDescent="0.3">
      <c r="A824">
        <v>10823</v>
      </c>
      <c r="B824">
        <v>475</v>
      </c>
      <c r="C824" s="2">
        <v>45358</v>
      </c>
      <c r="D824" s="2" t="str">
        <f>TEXT(Table3[[#This Row],[usage_date]],"mmmm")</f>
        <v>March</v>
      </c>
      <c r="E824" s="9">
        <f>YEAR(Table3[[#This Row],[usage_date]])</f>
        <v>2024</v>
      </c>
      <c r="F824" s="14">
        <v>1.46</v>
      </c>
      <c r="G824">
        <v>200</v>
      </c>
      <c r="H824" t="s">
        <v>12</v>
      </c>
      <c r="I824" t="str">
        <f t="shared" si="12"/>
        <v>Normal Usage</v>
      </c>
    </row>
    <row r="825" spans="1:9" x14ac:dyDescent="0.3">
      <c r="A825">
        <v>10824</v>
      </c>
      <c r="B825">
        <v>7</v>
      </c>
      <c r="C825" s="2">
        <v>44820</v>
      </c>
      <c r="D825" s="2" t="str">
        <f>TEXT(Table3[[#This Row],[usage_date]],"mmmm")</f>
        <v>September</v>
      </c>
      <c r="E825" s="9">
        <f>YEAR(Table3[[#This Row],[usage_date]])</f>
        <v>2022</v>
      </c>
      <c r="F825" s="14">
        <v>0.09</v>
      </c>
      <c r="G825">
        <v>198</v>
      </c>
      <c r="H825" t="s">
        <v>12</v>
      </c>
      <c r="I825" t="str">
        <f t="shared" si="12"/>
        <v>Normal Usage</v>
      </c>
    </row>
    <row r="826" spans="1:9" x14ac:dyDescent="0.3">
      <c r="A826">
        <v>10825</v>
      </c>
      <c r="B826">
        <v>70</v>
      </c>
      <c r="C826" s="2">
        <v>44651</v>
      </c>
      <c r="D826" s="2" t="str">
        <f>TEXT(Table3[[#This Row],[usage_date]],"mmmm")</f>
        <v>March</v>
      </c>
      <c r="E826" s="9">
        <f>YEAR(Table3[[#This Row],[usage_date]])</f>
        <v>2022</v>
      </c>
      <c r="F826" s="14">
        <v>0.96</v>
      </c>
      <c r="G826">
        <v>283</v>
      </c>
      <c r="H826" t="s">
        <v>12</v>
      </c>
      <c r="I826" t="str">
        <f t="shared" si="12"/>
        <v>Normal Usage</v>
      </c>
    </row>
    <row r="827" spans="1:9" x14ac:dyDescent="0.3">
      <c r="A827">
        <v>10826</v>
      </c>
      <c r="B827">
        <v>127</v>
      </c>
      <c r="C827" s="2">
        <v>45177</v>
      </c>
      <c r="D827" s="2" t="str">
        <f>TEXT(Table3[[#This Row],[usage_date]],"mmmm")</f>
        <v>September</v>
      </c>
      <c r="E827" s="9">
        <f>YEAR(Table3[[#This Row],[usage_date]])</f>
        <v>2023</v>
      </c>
      <c r="F827" s="14">
        <v>4.16</v>
      </c>
      <c r="G827">
        <v>216</v>
      </c>
      <c r="H827" t="s">
        <v>12</v>
      </c>
      <c r="I827" t="str">
        <f t="shared" si="12"/>
        <v>Normal Usage</v>
      </c>
    </row>
    <row r="828" spans="1:9" x14ac:dyDescent="0.3">
      <c r="A828">
        <v>10827</v>
      </c>
      <c r="B828">
        <v>399</v>
      </c>
      <c r="C828" s="2">
        <v>45452</v>
      </c>
      <c r="D828" s="2" t="str">
        <f>TEXT(Table3[[#This Row],[usage_date]],"mmmm")</f>
        <v>June</v>
      </c>
      <c r="E828" s="9">
        <f>YEAR(Table3[[#This Row],[usage_date]])</f>
        <v>2024</v>
      </c>
      <c r="F828" s="14">
        <v>2.93</v>
      </c>
      <c r="G828">
        <v>45</v>
      </c>
      <c r="H828" t="s">
        <v>12</v>
      </c>
      <c r="I828" t="str">
        <f t="shared" si="12"/>
        <v>Normal Usage</v>
      </c>
    </row>
    <row r="829" spans="1:9" x14ac:dyDescent="0.3">
      <c r="A829">
        <v>10828</v>
      </c>
      <c r="B829">
        <v>466</v>
      </c>
      <c r="C829" s="2">
        <v>45259</v>
      </c>
      <c r="D829" s="2" t="str">
        <f>TEXT(Table3[[#This Row],[usage_date]],"mmmm")</f>
        <v>November</v>
      </c>
      <c r="E829" s="9">
        <f>YEAR(Table3[[#This Row],[usage_date]])</f>
        <v>2023</v>
      </c>
      <c r="F829" s="14">
        <v>3.23</v>
      </c>
      <c r="G829">
        <v>27</v>
      </c>
      <c r="H829" t="s">
        <v>12</v>
      </c>
      <c r="I829" t="str">
        <f t="shared" si="12"/>
        <v>Normal Usage</v>
      </c>
    </row>
    <row r="830" spans="1:9" x14ac:dyDescent="0.3">
      <c r="A830">
        <v>10829</v>
      </c>
      <c r="B830">
        <v>160</v>
      </c>
      <c r="C830" s="2">
        <v>44811</v>
      </c>
      <c r="D830" s="2" t="str">
        <f>TEXT(Table3[[#This Row],[usage_date]],"mmmm")</f>
        <v>September</v>
      </c>
      <c r="E830" s="9">
        <f>YEAR(Table3[[#This Row],[usage_date]])</f>
        <v>2022</v>
      </c>
      <c r="F830" s="14">
        <v>2.99</v>
      </c>
      <c r="G830">
        <v>1</v>
      </c>
      <c r="H830" t="s">
        <v>12</v>
      </c>
      <c r="I830" t="str">
        <f t="shared" si="12"/>
        <v>Normal Usage</v>
      </c>
    </row>
    <row r="831" spans="1:9" x14ac:dyDescent="0.3">
      <c r="A831">
        <v>10830</v>
      </c>
      <c r="B831">
        <v>248</v>
      </c>
      <c r="C831" s="2">
        <v>44816</v>
      </c>
      <c r="D831" s="2" t="str">
        <f>TEXT(Table3[[#This Row],[usage_date]],"mmmm")</f>
        <v>September</v>
      </c>
      <c r="E831" s="9">
        <f>YEAR(Table3[[#This Row],[usage_date]])</f>
        <v>2022</v>
      </c>
      <c r="F831" s="14">
        <v>0.93</v>
      </c>
      <c r="G831">
        <v>16</v>
      </c>
      <c r="H831" t="s">
        <v>13</v>
      </c>
      <c r="I831" t="str">
        <f t="shared" si="12"/>
        <v>Normal Usage</v>
      </c>
    </row>
    <row r="832" spans="1:9" x14ac:dyDescent="0.3">
      <c r="A832">
        <v>10831</v>
      </c>
      <c r="B832">
        <v>203</v>
      </c>
      <c r="C832" s="2">
        <v>45149</v>
      </c>
      <c r="D832" s="2" t="str">
        <f>TEXT(Table3[[#This Row],[usage_date]],"mmmm")</f>
        <v>August</v>
      </c>
      <c r="E832" s="9">
        <f>YEAR(Table3[[#This Row],[usage_date]])</f>
        <v>2023</v>
      </c>
      <c r="F832" s="14">
        <v>0.26</v>
      </c>
      <c r="G832">
        <v>76</v>
      </c>
      <c r="H832" t="s">
        <v>12</v>
      </c>
      <c r="I832" t="str">
        <f t="shared" si="12"/>
        <v>Normal Usage</v>
      </c>
    </row>
    <row r="833" spans="1:9" x14ac:dyDescent="0.3">
      <c r="A833">
        <v>10832</v>
      </c>
      <c r="B833">
        <v>148</v>
      </c>
      <c r="C833" s="2">
        <v>45459</v>
      </c>
      <c r="D833" s="2" t="str">
        <f>TEXT(Table3[[#This Row],[usage_date]],"mmmm")</f>
        <v>June</v>
      </c>
      <c r="E833" s="9">
        <f>YEAR(Table3[[#This Row],[usage_date]])</f>
        <v>2024</v>
      </c>
      <c r="F833" s="14">
        <v>0.8</v>
      </c>
      <c r="G833">
        <v>164</v>
      </c>
      <c r="H833" t="s">
        <v>13</v>
      </c>
      <c r="I833" t="str">
        <f t="shared" si="12"/>
        <v>Normal Usage</v>
      </c>
    </row>
    <row r="834" spans="1:9" x14ac:dyDescent="0.3">
      <c r="A834">
        <v>10833</v>
      </c>
      <c r="B834">
        <v>472</v>
      </c>
      <c r="C834" s="2">
        <v>44669</v>
      </c>
      <c r="D834" s="2" t="str">
        <f>TEXT(Table3[[#This Row],[usage_date]],"mmmm")</f>
        <v>April</v>
      </c>
      <c r="E834" s="9">
        <f>YEAR(Table3[[#This Row],[usage_date]])</f>
        <v>2022</v>
      </c>
      <c r="F834" s="14">
        <v>4.46</v>
      </c>
      <c r="G834">
        <v>96</v>
      </c>
      <c r="H834" t="s">
        <v>12</v>
      </c>
      <c r="I834" t="str">
        <f t="shared" ref="I834:I897" si="13">IF(F834&gt;6,"High Usage","Normal Usage")</f>
        <v>Normal Usage</v>
      </c>
    </row>
    <row r="835" spans="1:9" x14ac:dyDescent="0.3">
      <c r="A835">
        <v>10834</v>
      </c>
      <c r="B835">
        <v>143</v>
      </c>
      <c r="C835" s="2">
        <v>45229</v>
      </c>
      <c r="D835" s="2" t="str">
        <f>TEXT(Table3[[#This Row],[usage_date]],"mmmm")</f>
        <v>October</v>
      </c>
      <c r="E835" s="9">
        <f>YEAR(Table3[[#This Row],[usage_date]])</f>
        <v>2023</v>
      </c>
      <c r="F835" s="14">
        <v>9.84</v>
      </c>
      <c r="G835">
        <v>104</v>
      </c>
      <c r="H835" t="s">
        <v>12</v>
      </c>
      <c r="I835" t="str">
        <f t="shared" si="13"/>
        <v>High Usage</v>
      </c>
    </row>
    <row r="836" spans="1:9" x14ac:dyDescent="0.3">
      <c r="A836">
        <v>10835</v>
      </c>
      <c r="B836">
        <v>432</v>
      </c>
      <c r="C836" s="2">
        <v>45155</v>
      </c>
      <c r="D836" s="2" t="str">
        <f>TEXT(Table3[[#This Row],[usage_date]],"mmmm")</f>
        <v>August</v>
      </c>
      <c r="E836" s="9">
        <f>YEAR(Table3[[#This Row],[usage_date]])</f>
        <v>2023</v>
      </c>
      <c r="F836" s="14">
        <v>1.7</v>
      </c>
      <c r="G836">
        <v>23</v>
      </c>
      <c r="H836" t="s">
        <v>13</v>
      </c>
      <c r="I836" t="str">
        <f t="shared" si="13"/>
        <v>Normal Usage</v>
      </c>
    </row>
    <row r="837" spans="1:9" x14ac:dyDescent="0.3">
      <c r="A837">
        <v>10836</v>
      </c>
      <c r="B837">
        <v>199</v>
      </c>
      <c r="C837" s="2">
        <v>45150</v>
      </c>
      <c r="D837" s="2" t="str">
        <f>TEXT(Table3[[#This Row],[usage_date]],"mmmm")</f>
        <v>August</v>
      </c>
      <c r="E837" s="9">
        <f>YEAR(Table3[[#This Row],[usage_date]])</f>
        <v>2023</v>
      </c>
      <c r="F837" s="14">
        <v>0.02</v>
      </c>
      <c r="G837">
        <v>199</v>
      </c>
      <c r="H837" t="s">
        <v>12</v>
      </c>
      <c r="I837" t="str">
        <f t="shared" si="13"/>
        <v>Normal Usage</v>
      </c>
    </row>
    <row r="838" spans="1:9" x14ac:dyDescent="0.3">
      <c r="A838">
        <v>10837</v>
      </c>
      <c r="B838">
        <v>405</v>
      </c>
      <c r="C838" s="2">
        <v>45046</v>
      </c>
      <c r="D838" s="2" t="str">
        <f>TEXT(Table3[[#This Row],[usage_date]],"mmmm")</f>
        <v>April</v>
      </c>
      <c r="E838" s="9">
        <f>YEAR(Table3[[#This Row],[usage_date]])</f>
        <v>2023</v>
      </c>
      <c r="F838" s="14">
        <v>0.38</v>
      </c>
      <c r="G838">
        <v>34</v>
      </c>
      <c r="H838" t="s">
        <v>12</v>
      </c>
      <c r="I838" t="str">
        <f t="shared" si="13"/>
        <v>Normal Usage</v>
      </c>
    </row>
    <row r="839" spans="1:9" x14ac:dyDescent="0.3">
      <c r="A839">
        <v>10838</v>
      </c>
      <c r="B839">
        <v>426</v>
      </c>
      <c r="C839" s="2">
        <v>44819</v>
      </c>
      <c r="D839" s="2" t="str">
        <f>TEXT(Table3[[#This Row],[usage_date]],"mmmm")</f>
        <v>September</v>
      </c>
      <c r="E839" s="9">
        <f>YEAR(Table3[[#This Row],[usage_date]])</f>
        <v>2022</v>
      </c>
      <c r="F839" s="14">
        <v>0.97</v>
      </c>
      <c r="G839">
        <v>1</v>
      </c>
      <c r="H839" t="s">
        <v>13</v>
      </c>
      <c r="I839" t="str">
        <f t="shared" si="13"/>
        <v>Normal Usage</v>
      </c>
    </row>
    <row r="840" spans="1:9" x14ac:dyDescent="0.3">
      <c r="A840">
        <v>10839</v>
      </c>
      <c r="B840">
        <v>154</v>
      </c>
      <c r="C840" s="2">
        <v>45200</v>
      </c>
      <c r="D840" s="2" t="str">
        <f>TEXT(Table3[[#This Row],[usage_date]],"mmmm")</f>
        <v>October</v>
      </c>
      <c r="E840" s="9">
        <f>YEAR(Table3[[#This Row],[usage_date]])</f>
        <v>2023</v>
      </c>
      <c r="F840" s="14">
        <v>2.16</v>
      </c>
      <c r="G840">
        <v>288</v>
      </c>
      <c r="H840" t="s">
        <v>12</v>
      </c>
      <c r="I840" t="str">
        <f t="shared" si="13"/>
        <v>Normal Usage</v>
      </c>
    </row>
    <row r="841" spans="1:9" x14ac:dyDescent="0.3">
      <c r="A841">
        <v>10840</v>
      </c>
      <c r="B841">
        <v>492</v>
      </c>
      <c r="C841" s="2">
        <v>44843</v>
      </c>
      <c r="D841" s="2" t="str">
        <f>TEXT(Table3[[#This Row],[usage_date]],"mmmm")</f>
        <v>October</v>
      </c>
      <c r="E841" s="9">
        <f>YEAR(Table3[[#This Row],[usage_date]])</f>
        <v>2022</v>
      </c>
      <c r="F841" s="14">
        <v>0.2</v>
      </c>
      <c r="G841">
        <v>137</v>
      </c>
      <c r="H841" t="s">
        <v>12</v>
      </c>
      <c r="I841" t="str">
        <f t="shared" si="13"/>
        <v>Normal Usage</v>
      </c>
    </row>
    <row r="842" spans="1:9" x14ac:dyDescent="0.3">
      <c r="A842">
        <v>10841</v>
      </c>
      <c r="B842">
        <v>376</v>
      </c>
      <c r="C842" s="2">
        <v>44649</v>
      </c>
      <c r="D842" s="2" t="str">
        <f>TEXT(Table3[[#This Row],[usage_date]],"mmmm")</f>
        <v>March</v>
      </c>
      <c r="E842" s="9">
        <f>YEAR(Table3[[#This Row],[usage_date]])</f>
        <v>2022</v>
      </c>
      <c r="F842" s="14">
        <v>7.18</v>
      </c>
      <c r="G842">
        <v>61</v>
      </c>
      <c r="H842" t="s">
        <v>13</v>
      </c>
      <c r="I842" t="str">
        <f t="shared" si="13"/>
        <v>High Usage</v>
      </c>
    </row>
    <row r="843" spans="1:9" x14ac:dyDescent="0.3">
      <c r="A843">
        <v>10842</v>
      </c>
      <c r="B843">
        <v>384</v>
      </c>
      <c r="C843" s="2">
        <v>44765</v>
      </c>
      <c r="D843" s="2" t="str">
        <f>TEXT(Table3[[#This Row],[usage_date]],"mmmm")</f>
        <v>July</v>
      </c>
      <c r="E843" s="9">
        <f>YEAR(Table3[[#This Row],[usage_date]])</f>
        <v>2022</v>
      </c>
      <c r="F843" s="14">
        <v>1.1399999999999999</v>
      </c>
      <c r="G843">
        <v>298</v>
      </c>
      <c r="H843" t="s">
        <v>13</v>
      </c>
      <c r="I843" t="str">
        <f t="shared" si="13"/>
        <v>Normal Usage</v>
      </c>
    </row>
    <row r="844" spans="1:9" x14ac:dyDescent="0.3">
      <c r="A844">
        <v>10843</v>
      </c>
      <c r="B844">
        <v>142</v>
      </c>
      <c r="C844" s="2">
        <v>44577</v>
      </c>
      <c r="D844" s="2" t="str">
        <f>TEXT(Table3[[#This Row],[usage_date]],"mmmm")</f>
        <v>January</v>
      </c>
      <c r="E844" s="9">
        <f>YEAR(Table3[[#This Row],[usage_date]])</f>
        <v>2022</v>
      </c>
      <c r="F844" s="14">
        <v>6.09</v>
      </c>
      <c r="G844">
        <v>196</v>
      </c>
      <c r="H844" t="s">
        <v>12</v>
      </c>
      <c r="I844" t="str">
        <f t="shared" si="13"/>
        <v>High Usage</v>
      </c>
    </row>
    <row r="845" spans="1:9" x14ac:dyDescent="0.3">
      <c r="A845">
        <v>10844</v>
      </c>
      <c r="B845">
        <v>313</v>
      </c>
      <c r="C845" s="2">
        <v>44712</v>
      </c>
      <c r="D845" s="2" t="str">
        <f>TEXT(Table3[[#This Row],[usage_date]],"mmmm")</f>
        <v>May</v>
      </c>
      <c r="E845" s="9">
        <f>YEAR(Table3[[#This Row],[usage_date]])</f>
        <v>2022</v>
      </c>
      <c r="F845" s="14">
        <v>3.79</v>
      </c>
      <c r="G845">
        <v>58</v>
      </c>
      <c r="H845" t="s">
        <v>12</v>
      </c>
      <c r="I845" t="str">
        <f t="shared" si="13"/>
        <v>Normal Usage</v>
      </c>
    </row>
    <row r="846" spans="1:9" x14ac:dyDescent="0.3">
      <c r="A846">
        <v>10845</v>
      </c>
      <c r="B846">
        <v>165</v>
      </c>
      <c r="C846" s="2">
        <v>44815</v>
      </c>
      <c r="D846" s="2" t="str">
        <f>TEXT(Table3[[#This Row],[usage_date]],"mmmm")</f>
        <v>September</v>
      </c>
      <c r="E846" s="9">
        <f>YEAR(Table3[[#This Row],[usage_date]])</f>
        <v>2022</v>
      </c>
      <c r="F846" s="14">
        <v>3.52</v>
      </c>
      <c r="G846">
        <v>264</v>
      </c>
      <c r="H846" t="s">
        <v>13</v>
      </c>
      <c r="I846" t="str">
        <f t="shared" si="13"/>
        <v>Normal Usage</v>
      </c>
    </row>
    <row r="847" spans="1:9" x14ac:dyDescent="0.3">
      <c r="A847">
        <v>10846</v>
      </c>
      <c r="B847">
        <v>314</v>
      </c>
      <c r="C847" s="2">
        <v>44749</v>
      </c>
      <c r="D847" s="2" t="str">
        <f>TEXT(Table3[[#This Row],[usage_date]],"mmmm")</f>
        <v>July</v>
      </c>
      <c r="E847" s="9">
        <f>YEAR(Table3[[#This Row],[usage_date]])</f>
        <v>2022</v>
      </c>
      <c r="F847" s="14">
        <v>2.33</v>
      </c>
      <c r="G847">
        <v>187</v>
      </c>
      <c r="H847" t="s">
        <v>12</v>
      </c>
      <c r="I847" t="str">
        <f t="shared" si="13"/>
        <v>Normal Usage</v>
      </c>
    </row>
    <row r="848" spans="1:9" x14ac:dyDescent="0.3">
      <c r="A848">
        <v>10847</v>
      </c>
      <c r="B848">
        <v>21</v>
      </c>
      <c r="C848" s="2">
        <v>44890</v>
      </c>
      <c r="D848" s="2" t="str">
        <f>TEXT(Table3[[#This Row],[usage_date]],"mmmm")</f>
        <v>November</v>
      </c>
      <c r="E848" s="9">
        <f>YEAR(Table3[[#This Row],[usage_date]])</f>
        <v>2022</v>
      </c>
      <c r="F848" s="14">
        <v>2.46</v>
      </c>
      <c r="G848">
        <v>62</v>
      </c>
      <c r="H848" t="s">
        <v>12</v>
      </c>
      <c r="I848" t="str">
        <f t="shared" si="13"/>
        <v>Normal Usage</v>
      </c>
    </row>
    <row r="849" spans="1:9" x14ac:dyDescent="0.3">
      <c r="A849">
        <v>10848</v>
      </c>
      <c r="B849">
        <v>82</v>
      </c>
      <c r="C849" s="2">
        <v>45105</v>
      </c>
      <c r="D849" s="2" t="str">
        <f>TEXT(Table3[[#This Row],[usage_date]],"mmmm")</f>
        <v>June</v>
      </c>
      <c r="E849" s="9">
        <f>YEAR(Table3[[#This Row],[usage_date]])</f>
        <v>2023</v>
      </c>
      <c r="F849" s="14">
        <v>2.54</v>
      </c>
      <c r="G849">
        <v>278</v>
      </c>
      <c r="H849" t="s">
        <v>12</v>
      </c>
      <c r="I849" t="str">
        <f t="shared" si="13"/>
        <v>Normal Usage</v>
      </c>
    </row>
    <row r="850" spans="1:9" x14ac:dyDescent="0.3">
      <c r="A850">
        <v>10849</v>
      </c>
      <c r="B850">
        <v>69</v>
      </c>
      <c r="C850" s="2">
        <v>45344</v>
      </c>
      <c r="D850" s="2" t="str">
        <f>TEXT(Table3[[#This Row],[usage_date]],"mmmm")</f>
        <v>February</v>
      </c>
      <c r="E850" s="9">
        <f>YEAR(Table3[[#This Row],[usage_date]])</f>
        <v>2024</v>
      </c>
      <c r="F850" s="14">
        <v>2.48</v>
      </c>
      <c r="G850">
        <v>29</v>
      </c>
      <c r="H850" t="s">
        <v>13</v>
      </c>
      <c r="I850" t="str">
        <f t="shared" si="13"/>
        <v>Normal Usage</v>
      </c>
    </row>
    <row r="851" spans="1:9" x14ac:dyDescent="0.3">
      <c r="A851">
        <v>10850</v>
      </c>
      <c r="B851">
        <v>131</v>
      </c>
      <c r="C851" s="2">
        <v>44958</v>
      </c>
      <c r="D851" s="2" t="str">
        <f>TEXT(Table3[[#This Row],[usage_date]],"mmmm")</f>
        <v>February</v>
      </c>
      <c r="E851" s="9">
        <f>YEAR(Table3[[#This Row],[usage_date]])</f>
        <v>2023</v>
      </c>
      <c r="F851" s="14">
        <v>2.02</v>
      </c>
      <c r="G851">
        <v>170</v>
      </c>
      <c r="H851" t="s">
        <v>12</v>
      </c>
      <c r="I851" t="str">
        <f t="shared" si="13"/>
        <v>Normal Usage</v>
      </c>
    </row>
    <row r="852" spans="1:9" x14ac:dyDescent="0.3">
      <c r="A852">
        <v>10851</v>
      </c>
      <c r="B852">
        <v>87</v>
      </c>
      <c r="C852" s="2">
        <v>45078</v>
      </c>
      <c r="D852" s="2" t="str">
        <f>TEXT(Table3[[#This Row],[usage_date]],"mmmm")</f>
        <v>June</v>
      </c>
      <c r="E852" s="9">
        <f>YEAR(Table3[[#This Row],[usage_date]])</f>
        <v>2023</v>
      </c>
      <c r="F852" s="14">
        <v>10.75</v>
      </c>
      <c r="G852">
        <v>20</v>
      </c>
      <c r="H852" t="s">
        <v>13</v>
      </c>
      <c r="I852" t="str">
        <f t="shared" si="13"/>
        <v>High Usage</v>
      </c>
    </row>
    <row r="853" spans="1:9" x14ac:dyDescent="0.3">
      <c r="A853">
        <v>10852</v>
      </c>
      <c r="B853">
        <v>218</v>
      </c>
      <c r="C853" s="2">
        <v>45020</v>
      </c>
      <c r="D853" s="2" t="str">
        <f>TEXT(Table3[[#This Row],[usage_date]],"mmmm")</f>
        <v>April</v>
      </c>
      <c r="E853" s="9">
        <f>YEAR(Table3[[#This Row],[usage_date]])</f>
        <v>2023</v>
      </c>
      <c r="F853" s="14">
        <v>3.29</v>
      </c>
      <c r="G853">
        <v>298</v>
      </c>
      <c r="H853" t="s">
        <v>12</v>
      </c>
      <c r="I853" t="str">
        <f t="shared" si="13"/>
        <v>Normal Usage</v>
      </c>
    </row>
    <row r="854" spans="1:9" x14ac:dyDescent="0.3">
      <c r="A854">
        <v>10853</v>
      </c>
      <c r="B854">
        <v>421</v>
      </c>
      <c r="C854" s="2">
        <v>44891</v>
      </c>
      <c r="D854" s="2" t="str">
        <f>TEXT(Table3[[#This Row],[usage_date]],"mmmm")</f>
        <v>November</v>
      </c>
      <c r="E854" s="9">
        <f>YEAR(Table3[[#This Row],[usage_date]])</f>
        <v>2022</v>
      </c>
      <c r="F854" s="14">
        <v>3.75</v>
      </c>
      <c r="G854">
        <v>200</v>
      </c>
      <c r="H854" t="s">
        <v>12</v>
      </c>
      <c r="I854" t="str">
        <f t="shared" si="13"/>
        <v>Normal Usage</v>
      </c>
    </row>
    <row r="855" spans="1:9" x14ac:dyDescent="0.3">
      <c r="A855">
        <v>10854</v>
      </c>
      <c r="B855">
        <v>472</v>
      </c>
      <c r="C855" s="2">
        <v>45381</v>
      </c>
      <c r="D855" s="2" t="str">
        <f>TEXT(Table3[[#This Row],[usage_date]],"mmmm")</f>
        <v>March</v>
      </c>
      <c r="E855" s="9">
        <f>YEAR(Table3[[#This Row],[usage_date]])</f>
        <v>2024</v>
      </c>
      <c r="F855" s="14">
        <v>5.15</v>
      </c>
      <c r="G855">
        <v>134</v>
      </c>
      <c r="H855" t="s">
        <v>13</v>
      </c>
      <c r="I855" t="str">
        <f t="shared" si="13"/>
        <v>Normal Usage</v>
      </c>
    </row>
    <row r="856" spans="1:9" x14ac:dyDescent="0.3">
      <c r="A856">
        <v>10855</v>
      </c>
      <c r="B856">
        <v>305</v>
      </c>
      <c r="C856" s="2">
        <v>45406</v>
      </c>
      <c r="D856" s="2" t="str">
        <f>TEXT(Table3[[#This Row],[usage_date]],"mmmm")</f>
        <v>April</v>
      </c>
      <c r="E856" s="9">
        <f>YEAR(Table3[[#This Row],[usage_date]])</f>
        <v>2024</v>
      </c>
      <c r="F856" s="14">
        <v>0.61</v>
      </c>
      <c r="G856">
        <v>271</v>
      </c>
      <c r="H856" t="s">
        <v>13</v>
      </c>
      <c r="I856" t="str">
        <f t="shared" si="13"/>
        <v>Normal Usage</v>
      </c>
    </row>
    <row r="857" spans="1:9" x14ac:dyDescent="0.3">
      <c r="A857">
        <v>10856</v>
      </c>
      <c r="B857">
        <v>403</v>
      </c>
      <c r="C857" s="2">
        <v>44730</v>
      </c>
      <c r="D857" s="2" t="str">
        <f>TEXT(Table3[[#This Row],[usage_date]],"mmmm")</f>
        <v>June</v>
      </c>
      <c r="E857" s="9">
        <f>YEAR(Table3[[#This Row],[usage_date]])</f>
        <v>2022</v>
      </c>
      <c r="F857" s="14">
        <v>0.22</v>
      </c>
      <c r="G857">
        <v>22</v>
      </c>
      <c r="H857" t="s">
        <v>12</v>
      </c>
      <c r="I857" t="str">
        <f t="shared" si="13"/>
        <v>Normal Usage</v>
      </c>
    </row>
    <row r="858" spans="1:9" x14ac:dyDescent="0.3">
      <c r="A858">
        <v>10857</v>
      </c>
      <c r="B858">
        <v>371</v>
      </c>
      <c r="C858" s="2">
        <v>45254</v>
      </c>
      <c r="D858" s="2" t="str">
        <f>TEXT(Table3[[#This Row],[usage_date]],"mmmm")</f>
        <v>November</v>
      </c>
      <c r="E858" s="9">
        <f>YEAR(Table3[[#This Row],[usage_date]])</f>
        <v>2023</v>
      </c>
      <c r="F858" s="14">
        <v>1.65</v>
      </c>
      <c r="G858">
        <v>86</v>
      </c>
      <c r="H858" t="s">
        <v>12</v>
      </c>
      <c r="I858" t="str">
        <f t="shared" si="13"/>
        <v>Normal Usage</v>
      </c>
    </row>
    <row r="859" spans="1:9" x14ac:dyDescent="0.3">
      <c r="A859">
        <v>10858</v>
      </c>
      <c r="B859">
        <v>345</v>
      </c>
      <c r="C859" s="2">
        <v>44927</v>
      </c>
      <c r="D859" s="2" t="str">
        <f>TEXT(Table3[[#This Row],[usage_date]],"mmmm")</f>
        <v>January</v>
      </c>
      <c r="E859" s="9">
        <f>YEAR(Table3[[#This Row],[usage_date]])</f>
        <v>2023</v>
      </c>
      <c r="F859" s="14">
        <v>1.8</v>
      </c>
      <c r="G859">
        <v>30</v>
      </c>
      <c r="H859" t="s">
        <v>13</v>
      </c>
      <c r="I859" t="str">
        <f t="shared" si="13"/>
        <v>Normal Usage</v>
      </c>
    </row>
    <row r="860" spans="1:9" x14ac:dyDescent="0.3">
      <c r="A860">
        <v>10859</v>
      </c>
      <c r="B860">
        <v>341</v>
      </c>
      <c r="C860" s="2">
        <v>44739</v>
      </c>
      <c r="D860" s="2" t="str">
        <f>TEXT(Table3[[#This Row],[usage_date]],"mmmm")</f>
        <v>June</v>
      </c>
      <c r="E860" s="9">
        <f>YEAR(Table3[[#This Row],[usage_date]])</f>
        <v>2022</v>
      </c>
      <c r="F860" s="14">
        <v>4.42</v>
      </c>
      <c r="G860">
        <v>120</v>
      </c>
      <c r="H860" t="s">
        <v>12</v>
      </c>
      <c r="I860" t="str">
        <f t="shared" si="13"/>
        <v>Normal Usage</v>
      </c>
    </row>
    <row r="861" spans="1:9" x14ac:dyDescent="0.3">
      <c r="A861">
        <v>10860</v>
      </c>
      <c r="B861">
        <v>384</v>
      </c>
      <c r="C861" s="2">
        <v>45216</v>
      </c>
      <c r="D861" s="2" t="str">
        <f>TEXT(Table3[[#This Row],[usage_date]],"mmmm")</f>
        <v>October</v>
      </c>
      <c r="E861" s="9">
        <f>YEAR(Table3[[#This Row],[usage_date]])</f>
        <v>2023</v>
      </c>
      <c r="F861" s="14">
        <v>1.47</v>
      </c>
      <c r="G861">
        <v>68</v>
      </c>
      <c r="H861" t="s">
        <v>12</v>
      </c>
      <c r="I861" t="str">
        <f t="shared" si="13"/>
        <v>Normal Usage</v>
      </c>
    </row>
    <row r="862" spans="1:9" x14ac:dyDescent="0.3">
      <c r="A862">
        <v>10861</v>
      </c>
      <c r="B862">
        <v>396</v>
      </c>
      <c r="C862" s="2">
        <v>44923</v>
      </c>
      <c r="D862" s="2" t="str">
        <f>TEXT(Table3[[#This Row],[usage_date]],"mmmm")</f>
        <v>December</v>
      </c>
      <c r="E862" s="9">
        <f>YEAR(Table3[[#This Row],[usage_date]])</f>
        <v>2022</v>
      </c>
      <c r="F862" s="14">
        <v>2.11</v>
      </c>
      <c r="G862">
        <v>133</v>
      </c>
      <c r="H862" t="s">
        <v>12</v>
      </c>
      <c r="I862" t="str">
        <f t="shared" si="13"/>
        <v>Normal Usage</v>
      </c>
    </row>
    <row r="863" spans="1:9" x14ac:dyDescent="0.3">
      <c r="A863">
        <v>10862</v>
      </c>
      <c r="B863">
        <v>445</v>
      </c>
      <c r="C863" s="2">
        <v>45321</v>
      </c>
      <c r="D863" s="2" t="str">
        <f>TEXT(Table3[[#This Row],[usage_date]],"mmmm")</f>
        <v>January</v>
      </c>
      <c r="E863" s="9">
        <f>YEAR(Table3[[#This Row],[usage_date]])</f>
        <v>2024</v>
      </c>
      <c r="F863" s="14">
        <v>1.87</v>
      </c>
      <c r="G863">
        <v>145</v>
      </c>
      <c r="H863" t="s">
        <v>13</v>
      </c>
      <c r="I863" t="str">
        <f t="shared" si="13"/>
        <v>Normal Usage</v>
      </c>
    </row>
    <row r="864" spans="1:9" x14ac:dyDescent="0.3">
      <c r="A864">
        <v>10863</v>
      </c>
      <c r="B864">
        <v>425</v>
      </c>
      <c r="C864" s="2">
        <v>45200</v>
      </c>
      <c r="D864" s="2" t="str">
        <f>TEXT(Table3[[#This Row],[usage_date]],"mmmm")</f>
        <v>October</v>
      </c>
      <c r="E864" s="9">
        <f>YEAR(Table3[[#This Row],[usage_date]])</f>
        <v>2023</v>
      </c>
      <c r="F864" s="14">
        <v>0.1</v>
      </c>
      <c r="G864">
        <v>262</v>
      </c>
      <c r="H864" t="s">
        <v>13</v>
      </c>
      <c r="I864" t="str">
        <f t="shared" si="13"/>
        <v>Normal Usage</v>
      </c>
    </row>
    <row r="865" spans="1:9" x14ac:dyDescent="0.3">
      <c r="A865">
        <v>10864</v>
      </c>
      <c r="B865">
        <v>161</v>
      </c>
      <c r="C865" s="2">
        <v>45336</v>
      </c>
      <c r="D865" s="2" t="str">
        <f>TEXT(Table3[[#This Row],[usage_date]],"mmmm")</f>
        <v>February</v>
      </c>
      <c r="E865" s="9">
        <f>YEAR(Table3[[#This Row],[usage_date]])</f>
        <v>2024</v>
      </c>
      <c r="F865" s="14">
        <v>2.39</v>
      </c>
      <c r="G865">
        <v>292</v>
      </c>
      <c r="H865" t="s">
        <v>13</v>
      </c>
      <c r="I865" t="str">
        <f t="shared" si="13"/>
        <v>Normal Usage</v>
      </c>
    </row>
    <row r="866" spans="1:9" x14ac:dyDescent="0.3">
      <c r="A866">
        <v>10865</v>
      </c>
      <c r="B866">
        <v>178</v>
      </c>
      <c r="C866" s="2">
        <v>44601</v>
      </c>
      <c r="D866" s="2" t="str">
        <f>TEXT(Table3[[#This Row],[usage_date]],"mmmm")</f>
        <v>February</v>
      </c>
      <c r="E866" s="9">
        <f>YEAR(Table3[[#This Row],[usage_date]])</f>
        <v>2022</v>
      </c>
      <c r="F866" s="14">
        <v>4.4000000000000004</v>
      </c>
      <c r="G866">
        <v>85</v>
      </c>
      <c r="H866" t="s">
        <v>12</v>
      </c>
      <c r="I866" t="str">
        <f t="shared" si="13"/>
        <v>Normal Usage</v>
      </c>
    </row>
    <row r="867" spans="1:9" x14ac:dyDescent="0.3">
      <c r="A867">
        <v>10866</v>
      </c>
      <c r="B867">
        <v>117</v>
      </c>
      <c r="C867" s="2">
        <v>44977</v>
      </c>
      <c r="D867" s="2" t="str">
        <f>TEXT(Table3[[#This Row],[usage_date]],"mmmm")</f>
        <v>February</v>
      </c>
      <c r="E867" s="9">
        <f>YEAR(Table3[[#This Row],[usage_date]])</f>
        <v>2023</v>
      </c>
      <c r="F867" s="14">
        <v>0.43</v>
      </c>
      <c r="G867">
        <v>15</v>
      </c>
      <c r="H867" t="s">
        <v>12</v>
      </c>
      <c r="I867" t="str">
        <f t="shared" si="13"/>
        <v>Normal Usage</v>
      </c>
    </row>
    <row r="868" spans="1:9" x14ac:dyDescent="0.3">
      <c r="A868">
        <v>10867</v>
      </c>
      <c r="B868">
        <v>196</v>
      </c>
      <c r="C868" s="2">
        <v>44916</v>
      </c>
      <c r="D868" s="2" t="str">
        <f>TEXT(Table3[[#This Row],[usage_date]],"mmmm")</f>
        <v>December</v>
      </c>
      <c r="E868" s="9">
        <f>YEAR(Table3[[#This Row],[usage_date]])</f>
        <v>2022</v>
      </c>
      <c r="F868" s="14">
        <v>2.2599999999999998</v>
      </c>
      <c r="G868">
        <v>215</v>
      </c>
      <c r="H868" t="s">
        <v>12</v>
      </c>
      <c r="I868" t="str">
        <f t="shared" si="13"/>
        <v>Normal Usage</v>
      </c>
    </row>
    <row r="869" spans="1:9" x14ac:dyDescent="0.3">
      <c r="A869">
        <v>10868</v>
      </c>
      <c r="B869">
        <v>383</v>
      </c>
      <c r="C869" s="2">
        <v>44816</v>
      </c>
      <c r="D869" s="2" t="str">
        <f>TEXT(Table3[[#This Row],[usage_date]],"mmmm")</f>
        <v>September</v>
      </c>
      <c r="E869" s="9">
        <f>YEAR(Table3[[#This Row],[usage_date]])</f>
        <v>2022</v>
      </c>
      <c r="F869" s="14">
        <v>2.25</v>
      </c>
      <c r="G869">
        <v>115</v>
      </c>
      <c r="H869" t="s">
        <v>12</v>
      </c>
      <c r="I869" t="str">
        <f t="shared" si="13"/>
        <v>Normal Usage</v>
      </c>
    </row>
    <row r="870" spans="1:9" x14ac:dyDescent="0.3">
      <c r="A870">
        <v>10869</v>
      </c>
      <c r="B870">
        <v>490</v>
      </c>
      <c r="C870" s="2">
        <v>44704</v>
      </c>
      <c r="D870" s="2" t="str">
        <f>TEXT(Table3[[#This Row],[usage_date]],"mmmm")</f>
        <v>May</v>
      </c>
      <c r="E870" s="9">
        <f>YEAR(Table3[[#This Row],[usage_date]])</f>
        <v>2022</v>
      </c>
      <c r="F870" s="14">
        <v>0.45</v>
      </c>
      <c r="G870">
        <v>117</v>
      </c>
      <c r="H870" t="s">
        <v>12</v>
      </c>
      <c r="I870" t="str">
        <f t="shared" si="13"/>
        <v>Normal Usage</v>
      </c>
    </row>
    <row r="871" spans="1:9" x14ac:dyDescent="0.3">
      <c r="A871">
        <v>10870</v>
      </c>
      <c r="B871">
        <v>327</v>
      </c>
      <c r="C871" s="2">
        <v>45313</v>
      </c>
      <c r="D871" s="2" t="str">
        <f>TEXT(Table3[[#This Row],[usage_date]],"mmmm")</f>
        <v>January</v>
      </c>
      <c r="E871" s="9">
        <f>YEAR(Table3[[#This Row],[usage_date]])</f>
        <v>2024</v>
      </c>
      <c r="F871" s="14">
        <v>0.33</v>
      </c>
      <c r="G871">
        <v>269</v>
      </c>
      <c r="H871" t="s">
        <v>12</v>
      </c>
      <c r="I871" t="str">
        <f t="shared" si="13"/>
        <v>Normal Usage</v>
      </c>
    </row>
    <row r="872" spans="1:9" x14ac:dyDescent="0.3">
      <c r="A872">
        <v>10871</v>
      </c>
      <c r="B872">
        <v>86</v>
      </c>
      <c r="C872" s="2">
        <v>45301</v>
      </c>
      <c r="D872" s="2" t="str">
        <f>TEXT(Table3[[#This Row],[usage_date]],"mmmm")</f>
        <v>January</v>
      </c>
      <c r="E872" s="9">
        <f>YEAR(Table3[[#This Row],[usage_date]])</f>
        <v>2024</v>
      </c>
      <c r="F872" s="14">
        <v>9.7899999999999991</v>
      </c>
      <c r="G872">
        <v>161</v>
      </c>
      <c r="H872" t="s">
        <v>12</v>
      </c>
      <c r="I872" t="str">
        <f t="shared" si="13"/>
        <v>High Usage</v>
      </c>
    </row>
    <row r="873" spans="1:9" x14ac:dyDescent="0.3">
      <c r="A873">
        <v>10872</v>
      </c>
      <c r="B873">
        <v>289</v>
      </c>
      <c r="C873" s="2">
        <v>45414</v>
      </c>
      <c r="D873" s="2" t="str">
        <f>TEXT(Table3[[#This Row],[usage_date]],"mmmm")</f>
        <v>May</v>
      </c>
      <c r="E873" s="9">
        <f>YEAR(Table3[[#This Row],[usage_date]])</f>
        <v>2024</v>
      </c>
      <c r="F873" s="14">
        <v>1.25</v>
      </c>
      <c r="G873">
        <v>187</v>
      </c>
      <c r="H873" t="s">
        <v>12</v>
      </c>
      <c r="I873" t="str">
        <f t="shared" si="13"/>
        <v>Normal Usage</v>
      </c>
    </row>
    <row r="874" spans="1:9" x14ac:dyDescent="0.3">
      <c r="A874">
        <v>10873</v>
      </c>
      <c r="B874">
        <v>81</v>
      </c>
      <c r="C874" s="2">
        <v>45271</v>
      </c>
      <c r="D874" s="2" t="str">
        <f>TEXT(Table3[[#This Row],[usage_date]],"mmmm")</f>
        <v>December</v>
      </c>
      <c r="E874" s="9">
        <f>YEAR(Table3[[#This Row],[usage_date]])</f>
        <v>2023</v>
      </c>
      <c r="F874" s="14">
        <v>0.65</v>
      </c>
      <c r="G874">
        <v>103</v>
      </c>
      <c r="H874" t="s">
        <v>12</v>
      </c>
      <c r="I874" t="str">
        <f t="shared" si="13"/>
        <v>Normal Usage</v>
      </c>
    </row>
    <row r="875" spans="1:9" x14ac:dyDescent="0.3">
      <c r="A875">
        <v>10874</v>
      </c>
      <c r="B875">
        <v>152</v>
      </c>
      <c r="C875" s="2">
        <v>45138</v>
      </c>
      <c r="D875" s="2" t="str">
        <f>TEXT(Table3[[#This Row],[usage_date]],"mmmm")</f>
        <v>July</v>
      </c>
      <c r="E875" s="9">
        <f>YEAR(Table3[[#This Row],[usage_date]])</f>
        <v>2023</v>
      </c>
      <c r="F875" s="14">
        <v>0.47</v>
      </c>
      <c r="G875">
        <v>140</v>
      </c>
      <c r="H875" t="s">
        <v>13</v>
      </c>
      <c r="I875" t="str">
        <f t="shared" si="13"/>
        <v>Normal Usage</v>
      </c>
    </row>
    <row r="876" spans="1:9" x14ac:dyDescent="0.3">
      <c r="A876">
        <v>10875</v>
      </c>
      <c r="B876">
        <v>61</v>
      </c>
      <c r="C876" s="2">
        <v>45461</v>
      </c>
      <c r="D876" s="2" t="str">
        <f>TEXT(Table3[[#This Row],[usage_date]],"mmmm")</f>
        <v>June</v>
      </c>
      <c r="E876" s="9">
        <f>YEAR(Table3[[#This Row],[usage_date]])</f>
        <v>2024</v>
      </c>
      <c r="F876" s="14">
        <v>2.75</v>
      </c>
      <c r="G876">
        <v>166</v>
      </c>
      <c r="H876" t="s">
        <v>12</v>
      </c>
      <c r="I876" t="str">
        <f t="shared" si="13"/>
        <v>Normal Usage</v>
      </c>
    </row>
    <row r="877" spans="1:9" x14ac:dyDescent="0.3">
      <c r="A877">
        <v>10876</v>
      </c>
      <c r="B877">
        <v>61</v>
      </c>
      <c r="C877" s="2">
        <v>44572</v>
      </c>
      <c r="D877" s="2" t="str">
        <f>TEXT(Table3[[#This Row],[usage_date]],"mmmm")</f>
        <v>January</v>
      </c>
      <c r="E877" s="9">
        <f>YEAR(Table3[[#This Row],[usage_date]])</f>
        <v>2022</v>
      </c>
      <c r="F877" s="14">
        <v>2.35</v>
      </c>
      <c r="G877">
        <v>299</v>
      </c>
      <c r="H877" t="s">
        <v>12</v>
      </c>
      <c r="I877" t="str">
        <f t="shared" si="13"/>
        <v>Normal Usage</v>
      </c>
    </row>
    <row r="878" spans="1:9" x14ac:dyDescent="0.3">
      <c r="A878">
        <v>10877</v>
      </c>
      <c r="B878">
        <v>354</v>
      </c>
      <c r="C878" s="2">
        <v>45181</v>
      </c>
      <c r="D878" s="2" t="str">
        <f>TEXT(Table3[[#This Row],[usage_date]],"mmmm")</f>
        <v>September</v>
      </c>
      <c r="E878" s="9">
        <f>YEAR(Table3[[#This Row],[usage_date]])</f>
        <v>2023</v>
      </c>
      <c r="F878" s="14">
        <v>2.58</v>
      </c>
      <c r="G878">
        <v>27</v>
      </c>
      <c r="H878" t="s">
        <v>12</v>
      </c>
      <c r="I878" t="str">
        <f t="shared" si="13"/>
        <v>Normal Usage</v>
      </c>
    </row>
    <row r="879" spans="1:9" x14ac:dyDescent="0.3">
      <c r="A879">
        <v>10878</v>
      </c>
      <c r="B879">
        <v>28</v>
      </c>
      <c r="C879" s="2">
        <v>44587</v>
      </c>
      <c r="D879" s="2" t="str">
        <f>TEXT(Table3[[#This Row],[usage_date]],"mmmm")</f>
        <v>January</v>
      </c>
      <c r="E879" s="9">
        <f>YEAR(Table3[[#This Row],[usage_date]])</f>
        <v>2022</v>
      </c>
      <c r="F879" s="14">
        <v>0.23</v>
      </c>
      <c r="G879">
        <v>271</v>
      </c>
      <c r="H879" t="s">
        <v>13</v>
      </c>
      <c r="I879" t="str">
        <f t="shared" si="13"/>
        <v>Normal Usage</v>
      </c>
    </row>
    <row r="880" spans="1:9" x14ac:dyDescent="0.3">
      <c r="A880">
        <v>10879</v>
      </c>
      <c r="B880">
        <v>442</v>
      </c>
      <c r="C880" s="2">
        <v>44982</v>
      </c>
      <c r="D880" s="2" t="str">
        <f>TEXT(Table3[[#This Row],[usage_date]],"mmmm")</f>
        <v>February</v>
      </c>
      <c r="E880" s="9">
        <f>YEAR(Table3[[#This Row],[usage_date]])</f>
        <v>2023</v>
      </c>
      <c r="F880" s="14">
        <v>5.6</v>
      </c>
      <c r="G880">
        <v>49</v>
      </c>
      <c r="H880" t="s">
        <v>12</v>
      </c>
      <c r="I880" t="str">
        <f t="shared" si="13"/>
        <v>Normal Usage</v>
      </c>
    </row>
    <row r="881" spans="1:9" x14ac:dyDescent="0.3">
      <c r="A881">
        <v>10880</v>
      </c>
      <c r="B881">
        <v>43</v>
      </c>
      <c r="C881" s="2">
        <v>45224</v>
      </c>
      <c r="D881" s="2" t="str">
        <f>TEXT(Table3[[#This Row],[usage_date]],"mmmm")</f>
        <v>October</v>
      </c>
      <c r="E881" s="9">
        <f>YEAR(Table3[[#This Row],[usage_date]])</f>
        <v>2023</v>
      </c>
      <c r="F881" s="14">
        <v>1.23</v>
      </c>
      <c r="G881">
        <v>155</v>
      </c>
      <c r="H881" t="s">
        <v>12</v>
      </c>
      <c r="I881" t="str">
        <f t="shared" si="13"/>
        <v>Normal Usage</v>
      </c>
    </row>
    <row r="882" spans="1:9" x14ac:dyDescent="0.3">
      <c r="A882">
        <v>10881</v>
      </c>
      <c r="B882">
        <v>169</v>
      </c>
      <c r="C882" s="2">
        <v>44782</v>
      </c>
      <c r="D882" s="2" t="str">
        <f>TEXT(Table3[[#This Row],[usage_date]],"mmmm")</f>
        <v>August</v>
      </c>
      <c r="E882" s="9">
        <f>YEAR(Table3[[#This Row],[usage_date]])</f>
        <v>2022</v>
      </c>
      <c r="F882" s="14">
        <v>0.94</v>
      </c>
      <c r="G882">
        <v>120</v>
      </c>
      <c r="H882" t="s">
        <v>12</v>
      </c>
      <c r="I882" t="str">
        <f t="shared" si="13"/>
        <v>Normal Usage</v>
      </c>
    </row>
    <row r="883" spans="1:9" x14ac:dyDescent="0.3">
      <c r="A883">
        <v>10882</v>
      </c>
      <c r="B883">
        <v>423</v>
      </c>
      <c r="C883" s="2">
        <v>45414</v>
      </c>
      <c r="D883" s="2" t="str">
        <f>TEXT(Table3[[#This Row],[usage_date]],"mmmm")</f>
        <v>May</v>
      </c>
      <c r="E883" s="9">
        <f>YEAR(Table3[[#This Row],[usage_date]])</f>
        <v>2024</v>
      </c>
      <c r="F883" s="14">
        <v>1.55</v>
      </c>
      <c r="G883">
        <v>139</v>
      </c>
      <c r="H883" t="s">
        <v>12</v>
      </c>
      <c r="I883" t="str">
        <f t="shared" si="13"/>
        <v>Normal Usage</v>
      </c>
    </row>
    <row r="884" spans="1:9" x14ac:dyDescent="0.3">
      <c r="A884">
        <v>10883</v>
      </c>
      <c r="B884">
        <v>86</v>
      </c>
      <c r="C884" s="2">
        <v>45057</v>
      </c>
      <c r="D884" s="2" t="str">
        <f>TEXT(Table3[[#This Row],[usage_date]],"mmmm")</f>
        <v>May</v>
      </c>
      <c r="E884" s="9">
        <f>YEAR(Table3[[#This Row],[usage_date]])</f>
        <v>2023</v>
      </c>
      <c r="F884" s="14">
        <v>1.24</v>
      </c>
      <c r="G884">
        <v>15</v>
      </c>
      <c r="H884" t="s">
        <v>13</v>
      </c>
      <c r="I884" t="str">
        <f t="shared" si="13"/>
        <v>Normal Usage</v>
      </c>
    </row>
    <row r="885" spans="1:9" x14ac:dyDescent="0.3">
      <c r="A885">
        <v>10884</v>
      </c>
      <c r="B885">
        <v>177</v>
      </c>
      <c r="C885" s="2">
        <v>44798</v>
      </c>
      <c r="D885" s="2" t="str">
        <f>TEXT(Table3[[#This Row],[usage_date]],"mmmm")</f>
        <v>August</v>
      </c>
      <c r="E885" s="9">
        <f>YEAR(Table3[[#This Row],[usage_date]])</f>
        <v>2022</v>
      </c>
      <c r="F885" s="14">
        <v>4.9800000000000004</v>
      </c>
      <c r="G885">
        <v>48</v>
      </c>
      <c r="H885" t="s">
        <v>12</v>
      </c>
      <c r="I885" t="str">
        <f t="shared" si="13"/>
        <v>Normal Usage</v>
      </c>
    </row>
    <row r="886" spans="1:9" x14ac:dyDescent="0.3">
      <c r="A886">
        <v>10885</v>
      </c>
      <c r="B886">
        <v>17</v>
      </c>
      <c r="C886" s="2">
        <v>44798</v>
      </c>
      <c r="D886" s="2" t="str">
        <f>TEXT(Table3[[#This Row],[usage_date]],"mmmm")</f>
        <v>August</v>
      </c>
      <c r="E886" s="9">
        <f>YEAR(Table3[[#This Row],[usage_date]])</f>
        <v>2022</v>
      </c>
      <c r="F886" s="14">
        <v>6.62</v>
      </c>
      <c r="G886">
        <v>163</v>
      </c>
      <c r="H886" t="s">
        <v>12</v>
      </c>
      <c r="I886" t="str">
        <f t="shared" si="13"/>
        <v>High Usage</v>
      </c>
    </row>
    <row r="887" spans="1:9" x14ac:dyDescent="0.3">
      <c r="A887">
        <v>10886</v>
      </c>
      <c r="B887">
        <v>98</v>
      </c>
      <c r="C887" s="2">
        <v>44780</v>
      </c>
      <c r="D887" s="2" t="str">
        <f>TEXT(Table3[[#This Row],[usage_date]],"mmmm")</f>
        <v>August</v>
      </c>
      <c r="E887" s="9">
        <f>YEAR(Table3[[#This Row],[usage_date]])</f>
        <v>2022</v>
      </c>
      <c r="F887" s="14">
        <v>0.9</v>
      </c>
      <c r="G887">
        <v>61</v>
      </c>
      <c r="H887" t="s">
        <v>12</v>
      </c>
      <c r="I887" t="str">
        <f t="shared" si="13"/>
        <v>Normal Usage</v>
      </c>
    </row>
    <row r="888" spans="1:9" x14ac:dyDescent="0.3">
      <c r="A888">
        <v>10887</v>
      </c>
      <c r="B888">
        <v>454</v>
      </c>
      <c r="C888" s="2">
        <v>45048</v>
      </c>
      <c r="D888" s="2" t="str">
        <f>TEXT(Table3[[#This Row],[usage_date]],"mmmm")</f>
        <v>May</v>
      </c>
      <c r="E888" s="9">
        <f>YEAR(Table3[[#This Row],[usage_date]])</f>
        <v>2023</v>
      </c>
      <c r="F888" s="14">
        <v>4.99</v>
      </c>
      <c r="G888">
        <v>153</v>
      </c>
      <c r="H888" t="s">
        <v>12</v>
      </c>
      <c r="I888" t="str">
        <f t="shared" si="13"/>
        <v>Normal Usage</v>
      </c>
    </row>
    <row r="889" spans="1:9" x14ac:dyDescent="0.3">
      <c r="A889">
        <v>10888</v>
      </c>
      <c r="B889">
        <v>494</v>
      </c>
      <c r="C889" s="2">
        <v>45022</v>
      </c>
      <c r="D889" s="2" t="str">
        <f>TEXT(Table3[[#This Row],[usage_date]],"mmmm")</f>
        <v>April</v>
      </c>
      <c r="E889" s="9">
        <f>YEAR(Table3[[#This Row],[usage_date]])</f>
        <v>2023</v>
      </c>
      <c r="F889" s="14">
        <v>3.8</v>
      </c>
      <c r="G889">
        <v>149</v>
      </c>
      <c r="H889" t="s">
        <v>12</v>
      </c>
      <c r="I889" t="str">
        <f t="shared" si="13"/>
        <v>Normal Usage</v>
      </c>
    </row>
    <row r="890" spans="1:9" x14ac:dyDescent="0.3">
      <c r="A890">
        <v>10889</v>
      </c>
      <c r="B890">
        <v>198</v>
      </c>
      <c r="C890" s="2">
        <v>45224</v>
      </c>
      <c r="D890" s="2" t="str">
        <f>TEXT(Table3[[#This Row],[usage_date]],"mmmm")</f>
        <v>October</v>
      </c>
      <c r="E890" s="9">
        <f>YEAR(Table3[[#This Row],[usage_date]])</f>
        <v>2023</v>
      </c>
      <c r="F890" s="14">
        <v>6.68</v>
      </c>
      <c r="G890">
        <v>72</v>
      </c>
      <c r="H890" t="s">
        <v>12</v>
      </c>
      <c r="I890" t="str">
        <f t="shared" si="13"/>
        <v>High Usage</v>
      </c>
    </row>
    <row r="891" spans="1:9" x14ac:dyDescent="0.3">
      <c r="A891">
        <v>10890</v>
      </c>
      <c r="B891">
        <v>98</v>
      </c>
      <c r="C891" s="2">
        <v>45196</v>
      </c>
      <c r="D891" s="2" t="str">
        <f>TEXT(Table3[[#This Row],[usage_date]],"mmmm")</f>
        <v>September</v>
      </c>
      <c r="E891" s="9">
        <f>YEAR(Table3[[#This Row],[usage_date]])</f>
        <v>2023</v>
      </c>
      <c r="F891" s="14">
        <v>0.71</v>
      </c>
      <c r="G891">
        <v>68</v>
      </c>
      <c r="H891" t="s">
        <v>13</v>
      </c>
      <c r="I891" t="str">
        <f t="shared" si="13"/>
        <v>Normal Usage</v>
      </c>
    </row>
    <row r="892" spans="1:9" x14ac:dyDescent="0.3">
      <c r="A892">
        <v>10891</v>
      </c>
      <c r="B892">
        <v>65</v>
      </c>
      <c r="C892" s="2">
        <v>44705</v>
      </c>
      <c r="D892" s="2" t="str">
        <f>TEXT(Table3[[#This Row],[usage_date]],"mmmm")</f>
        <v>May</v>
      </c>
      <c r="E892" s="9">
        <f>YEAR(Table3[[#This Row],[usage_date]])</f>
        <v>2022</v>
      </c>
      <c r="F892" s="14">
        <v>2.15</v>
      </c>
      <c r="G892">
        <v>176</v>
      </c>
      <c r="H892" t="s">
        <v>13</v>
      </c>
      <c r="I892" t="str">
        <f t="shared" si="13"/>
        <v>Normal Usage</v>
      </c>
    </row>
    <row r="893" spans="1:9" x14ac:dyDescent="0.3">
      <c r="A893">
        <v>10892</v>
      </c>
      <c r="B893">
        <v>330</v>
      </c>
      <c r="C893" s="2">
        <v>44750</v>
      </c>
      <c r="D893" s="2" t="str">
        <f>TEXT(Table3[[#This Row],[usage_date]],"mmmm")</f>
        <v>July</v>
      </c>
      <c r="E893" s="9">
        <f>YEAR(Table3[[#This Row],[usage_date]])</f>
        <v>2022</v>
      </c>
      <c r="F893" s="14">
        <v>0.8</v>
      </c>
      <c r="G893">
        <v>1</v>
      </c>
      <c r="H893" t="s">
        <v>13</v>
      </c>
      <c r="I893" t="str">
        <f t="shared" si="13"/>
        <v>Normal Usage</v>
      </c>
    </row>
    <row r="894" spans="1:9" x14ac:dyDescent="0.3">
      <c r="A894">
        <v>10893</v>
      </c>
      <c r="B894">
        <v>341</v>
      </c>
      <c r="C894" s="2">
        <v>44816</v>
      </c>
      <c r="D894" s="2" t="str">
        <f>TEXT(Table3[[#This Row],[usage_date]],"mmmm")</f>
        <v>September</v>
      </c>
      <c r="E894" s="9">
        <f>YEAR(Table3[[#This Row],[usage_date]])</f>
        <v>2022</v>
      </c>
      <c r="F894" s="14">
        <v>4.34</v>
      </c>
      <c r="G894">
        <v>118</v>
      </c>
      <c r="H894" t="s">
        <v>12</v>
      </c>
      <c r="I894" t="str">
        <f t="shared" si="13"/>
        <v>Normal Usage</v>
      </c>
    </row>
    <row r="895" spans="1:9" x14ac:dyDescent="0.3">
      <c r="A895">
        <v>10894</v>
      </c>
      <c r="B895">
        <v>5</v>
      </c>
      <c r="C895" s="2">
        <v>44629</v>
      </c>
      <c r="D895" s="2" t="str">
        <f>TEXT(Table3[[#This Row],[usage_date]],"mmmm")</f>
        <v>March</v>
      </c>
      <c r="E895" s="9">
        <f>YEAR(Table3[[#This Row],[usage_date]])</f>
        <v>2022</v>
      </c>
      <c r="F895" s="14">
        <v>0.01</v>
      </c>
      <c r="G895">
        <v>6</v>
      </c>
      <c r="H895" t="s">
        <v>12</v>
      </c>
      <c r="I895" t="str">
        <f t="shared" si="13"/>
        <v>Normal Usage</v>
      </c>
    </row>
    <row r="896" spans="1:9" x14ac:dyDescent="0.3">
      <c r="A896">
        <v>10895</v>
      </c>
      <c r="B896">
        <v>2</v>
      </c>
      <c r="C896" s="2">
        <v>45177</v>
      </c>
      <c r="D896" s="2" t="str">
        <f>TEXT(Table3[[#This Row],[usage_date]],"mmmm")</f>
        <v>September</v>
      </c>
      <c r="E896" s="9">
        <f>YEAR(Table3[[#This Row],[usage_date]])</f>
        <v>2023</v>
      </c>
      <c r="F896" s="14">
        <v>2.08</v>
      </c>
      <c r="G896">
        <v>254</v>
      </c>
      <c r="H896" t="s">
        <v>12</v>
      </c>
      <c r="I896" t="str">
        <f t="shared" si="13"/>
        <v>Normal Usage</v>
      </c>
    </row>
    <row r="897" spans="1:9" x14ac:dyDescent="0.3">
      <c r="A897">
        <v>10896</v>
      </c>
      <c r="B897">
        <v>22</v>
      </c>
      <c r="C897" s="2">
        <v>44897</v>
      </c>
      <c r="D897" s="2" t="str">
        <f>TEXT(Table3[[#This Row],[usage_date]],"mmmm")</f>
        <v>December</v>
      </c>
      <c r="E897" s="9">
        <f>YEAR(Table3[[#This Row],[usage_date]])</f>
        <v>2022</v>
      </c>
      <c r="F897" s="14">
        <v>1.04</v>
      </c>
      <c r="G897">
        <v>74</v>
      </c>
      <c r="H897" t="s">
        <v>12</v>
      </c>
      <c r="I897" t="str">
        <f t="shared" si="13"/>
        <v>Normal Usage</v>
      </c>
    </row>
    <row r="898" spans="1:9" x14ac:dyDescent="0.3">
      <c r="A898">
        <v>10897</v>
      </c>
      <c r="B898">
        <v>112</v>
      </c>
      <c r="C898" s="2">
        <v>45232</v>
      </c>
      <c r="D898" s="2" t="str">
        <f>TEXT(Table3[[#This Row],[usage_date]],"mmmm")</f>
        <v>November</v>
      </c>
      <c r="E898" s="9">
        <f>YEAR(Table3[[#This Row],[usage_date]])</f>
        <v>2023</v>
      </c>
      <c r="F898" s="14">
        <v>0.97</v>
      </c>
      <c r="G898">
        <v>194</v>
      </c>
      <c r="H898" t="s">
        <v>12</v>
      </c>
      <c r="I898" t="str">
        <f t="shared" ref="I898:I961" si="14">IF(F898&gt;6,"High Usage","Normal Usage")</f>
        <v>Normal Usage</v>
      </c>
    </row>
    <row r="899" spans="1:9" x14ac:dyDescent="0.3">
      <c r="A899">
        <v>10898</v>
      </c>
      <c r="B899">
        <v>57</v>
      </c>
      <c r="C899" s="2">
        <v>45382</v>
      </c>
      <c r="D899" s="2" t="str">
        <f>TEXT(Table3[[#This Row],[usage_date]],"mmmm")</f>
        <v>March</v>
      </c>
      <c r="E899" s="9">
        <f>YEAR(Table3[[#This Row],[usage_date]])</f>
        <v>2024</v>
      </c>
      <c r="F899" s="14">
        <v>2.59</v>
      </c>
      <c r="G899">
        <v>186</v>
      </c>
      <c r="H899" t="s">
        <v>13</v>
      </c>
      <c r="I899" t="str">
        <f t="shared" si="14"/>
        <v>Normal Usage</v>
      </c>
    </row>
    <row r="900" spans="1:9" x14ac:dyDescent="0.3">
      <c r="A900">
        <v>10899</v>
      </c>
      <c r="B900">
        <v>66</v>
      </c>
      <c r="C900" s="2">
        <v>45435</v>
      </c>
      <c r="D900" s="2" t="str">
        <f>TEXT(Table3[[#This Row],[usage_date]],"mmmm")</f>
        <v>May</v>
      </c>
      <c r="E900" s="9">
        <f>YEAR(Table3[[#This Row],[usage_date]])</f>
        <v>2024</v>
      </c>
      <c r="F900" s="14">
        <v>4.7699999999999996</v>
      </c>
      <c r="G900">
        <v>2</v>
      </c>
      <c r="H900" t="s">
        <v>12</v>
      </c>
      <c r="I900" t="str">
        <f t="shared" si="14"/>
        <v>Normal Usage</v>
      </c>
    </row>
    <row r="901" spans="1:9" x14ac:dyDescent="0.3">
      <c r="A901">
        <v>10900</v>
      </c>
      <c r="B901">
        <v>330</v>
      </c>
      <c r="C901" s="2">
        <v>44970</v>
      </c>
      <c r="D901" s="2" t="str">
        <f>TEXT(Table3[[#This Row],[usage_date]],"mmmm")</f>
        <v>February</v>
      </c>
      <c r="E901" s="9">
        <f>YEAR(Table3[[#This Row],[usage_date]])</f>
        <v>2023</v>
      </c>
      <c r="F901" s="14">
        <v>2.35</v>
      </c>
      <c r="G901">
        <v>183</v>
      </c>
      <c r="H901" t="s">
        <v>13</v>
      </c>
      <c r="I901" t="str">
        <f t="shared" si="14"/>
        <v>Normal Usage</v>
      </c>
    </row>
    <row r="902" spans="1:9" x14ac:dyDescent="0.3">
      <c r="A902">
        <v>10901</v>
      </c>
      <c r="B902">
        <v>98</v>
      </c>
      <c r="C902" s="2">
        <v>44861</v>
      </c>
      <c r="D902" s="2" t="str">
        <f>TEXT(Table3[[#This Row],[usage_date]],"mmmm")</f>
        <v>October</v>
      </c>
      <c r="E902" s="9">
        <f>YEAR(Table3[[#This Row],[usage_date]])</f>
        <v>2022</v>
      </c>
      <c r="F902" s="14">
        <v>4.8</v>
      </c>
      <c r="G902">
        <v>272</v>
      </c>
      <c r="H902" t="s">
        <v>12</v>
      </c>
      <c r="I902" t="str">
        <f t="shared" si="14"/>
        <v>Normal Usage</v>
      </c>
    </row>
    <row r="903" spans="1:9" x14ac:dyDescent="0.3">
      <c r="A903">
        <v>10902</v>
      </c>
      <c r="B903">
        <v>144</v>
      </c>
      <c r="C903" s="2">
        <v>45163</v>
      </c>
      <c r="D903" s="2" t="str">
        <f>TEXT(Table3[[#This Row],[usage_date]],"mmmm")</f>
        <v>August</v>
      </c>
      <c r="E903" s="9">
        <f>YEAR(Table3[[#This Row],[usage_date]])</f>
        <v>2023</v>
      </c>
      <c r="F903" s="14">
        <v>0.77</v>
      </c>
      <c r="G903">
        <v>51</v>
      </c>
      <c r="H903" t="s">
        <v>12</v>
      </c>
      <c r="I903" t="str">
        <f t="shared" si="14"/>
        <v>Normal Usage</v>
      </c>
    </row>
    <row r="904" spans="1:9" x14ac:dyDescent="0.3">
      <c r="A904">
        <v>10903</v>
      </c>
      <c r="B904">
        <v>368</v>
      </c>
      <c r="C904" s="2">
        <v>44918</v>
      </c>
      <c r="D904" s="2" t="str">
        <f>TEXT(Table3[[#This Row],[usage_date]],"mmmm")</f>
        <v>December</v>
      </c>
      <c r="E904" s="9">
        <f>YEAR(Table3[[#This Row],[usage_date]])</f>
        <v>2022</v>
      </c>
      <c r="F904" s="14">
        <v>1.83</v>
      </c>
      <c r="G904">
        <v>262</v>
      </c>
      <c r="H904" t="s">
        <v>12</v>
      </c>
      <c r="I904" t="str">
        <f t="shared" si="14"/>
        <v>Normal Usage</v>
      </c>
    </row>
    <row r="905" spans="1:9" x14ac:dyDescent="0.3">
      <c r="A905">
        <v>10904</v>
      </c>
      <c r="B905">
        <v>435</v>
      </c>
      <c r="C905" s="2">
        <v>44817</v>
      </c>
      <c r="D905" s="2" t="str">
        <f>TEXT(Table3[[#This Row],[usage_date]],"mmmm")</f>
        <v>September</v>
      </c>
      <c r="E905" s="9">
        <f>YEAR(Table3[[#This Row],[usage_date]])</f>
        <v>2022</v>
      </c>
      <c r="F905" s="14">
        <v>1.5</v>
      </c>
      <c r="G905">
        <v>132</v>
      </c>
      <c r="H905" t="s">
        <v>12</v>
      </c>
      <c r="I905" t="str">
        <f t="shared" si="14"/>
        <v>Normal Usage</v>
      </c>
    </row>
    <row r="906" spans="1:9" x14ac:dyDescent="0.3">
      <c r="A906">
        <v>10905</v>
      </c>
      <c r="B906">
        <v>125</v>
      </c>
      <c r="C906" s="2">
        <v>44914</v>
      </c>
      <c r="D906" s="2" t="str">
        <f>TEXT(Table3[[#This Row],[usage_date]],"mmmm")</f>
        <v>December</v>
      </c>
      <c r="E906" s="9">
        <f>YEAR(Table3[[#This Row],[usage_date]])</f>
        <v>2022</v>
      </c>
      <c r="F906" s="14">
        <v>0.03</v>
      </c>
      <c r="G906">
        <v>224</v>
      </c>
      <c r="H906" t="s">
        <v>12</v>
      </c>
      <c r="I906" t="str">
        <f t="shared" si="14"/>
        <v>Normal Usage</v>
      </c>
    </row>
    <row r="907" spans="1:9" x14ac:dyDescent="0.3">
      <c r="A907">
        <v>10906</v>
      </c>
      <c r="B907">
        <v>167</v>
      </c>
      <c r="C907" s="2">
        <v>45293</v>
      </c>
      <c r="D907" s="2" t="str">
        <f>TEXT(Table3[[#This Row],[usage_date]],"mmmm")</f>
        <v>January</v>
      </c>
      <c r="E907" s="9">
        <f>YEAR(Table3[[#This Row],[usage_date]])</f>
        <v>2024</v>
      </c>
      <c r="F907" s="14">
        <v>2.0299999999999998</v>
      </c>
      <c r="G907">
        <v>60</v>
      </c>
      <c r="H907" t="s">
        <v>13</v>
      </c>
      <c r="I907" t="str">
        <f t="shared" si="14"/>
        <v>Normal Usage</v>
      </c>
    </row>
    <row r="908" spans="1:9" x14ac:dyDescent="0.3">
      <c r="A908">
        <v>10907</v>
      </c>
      <c r="B908">
        <v>86</v>
      </c>
      <c r="C908" s="2">
        <v>45082</v>
      </c>
      <c r="D908" s="2" t="str">
        <f>TEXT(Table3[[#This Row],[usage_date]],"mmmm")</f>
        <v>June</v>
      </c>
      <c r="E908" s="9">
        <f>YEAR(Table3[[#This Row],[usage_date]])</f>
        <v>2023</v>
      </c>
      <c r="F908" s="14">
        <v>2.71</v>
      </c>
      <c r="G908">
        <v>15</v>
      </c>
      <c r="H908" t="s">
        <v>13</v>
      </c>
      <c r="I908" t="str">
        <f t="shared" si="14"/>
        <v>Normal Usage</v>
      </c>
    </row>
    <row r="909" spans="1:9" x14ac:dyDescent="0.3">
      <c r="A909">
        <v>10908</v>
      </c>
      <c r="B909">
        <v>76</v>
      </c>
      <c r="C909" s="2">
        <v>45085</v>
      </c>
      <c r="D909" s="2" t="str">
        <f>TEXT(Table3[[#This Row],[usage_date]],"mmmm")</f>
        <v>June</v>
      </c>
      <c r="E909" s="9">
        <f>YEAR(Table3[[#This Row],[usage_date]])</f>
        <v>2023</v>
      </c>
      <c r="F909" s="14">
        <v>2.2400000000000002</v>
      </c>
      <c r="G909">
        <v>228</v>
      </c>
      <c r="H909" t="s">
        <v>12</v>
      </c>
      <c r="I909" t="str">
        <f t="shared" si="14"/>
        <v>Normal Usage</v>
      </c>
    </row>
    <row r="910" spans="1:9" x14ac:dyDescent="0.3">
      <c r="A910">
        <v>10909</v>
      </c>
      <c r="B910">
        <v>344</v>
      </c>
      <c r="C910" s="2">
        <v>45398</v>
      </c>
      <c r="D910" s="2" t="str">
        <f>TEXT(Table3[[#This Row],[usage_date]],"mmmm")</f>
        <v>April</v>
      </c>
      <c r="E910" s="9">
        <f>YEAR(Table3[[#This Row],[usage_date]])</f>
        <v>2024</v>
      </c>
      <c r="F910" s="14">
        <v>3.33</v>
      </c>
      <c r="G910">
        <v>194</v>
      </c>
      <c r="H910" t="s">
        <v>12</v>
      </c>
      <c r="I910" t="str">
        <f t="shared" si="14"/>
        <v>Normal Usage</v>
      </c>
    </row>
    <row r="911" spans="1:9" x14ac:dyDescent="0.3">
      <c r="A911">
        <v>10910</v>
      </c>
      <c r="B911">
        <v>495</v>
      </c>
      <c r="C911" s="2">
        <v>45317</v>
      </c>
      <c r="D911" s="2" t="str">
        <f>TEXT(Table3[[#This Row],[usage_date]],"mmmm")</f>
        <v>January</v>
      </c>
      <c r="E911" s="9">
        <f>YEAR(Table3[[#This Row],[usage_date]])</f>
        <v>2024</v>
      </c>
      <c r="F911" s="14">
        <v>2.12</v>
      </c>
      <c r="G911">
        <v>250</v>
      </c>
      <c r="H911" t="s">
        <v>13</v>
      </c>
      <c r="I911" t="str">
        <f t="shared" si="14"/>
        <v>Normal Usage</v>
      </c>
    </row>
    <row r="912" spans="1:9" x14ac:dyDescent="0.3">
      <c r="A912">
        <v>10911</v>
      </c>
      <c r="B912">
        <v>424</v>
      </c>
      <c r="C912" s="2">
        <v>45255</v>
      </c>
      <c r="D912" s="2" t="str">
        <f>TEXT(Table3[[#This Row],[usage_date]],"mmmm")</f>
        <v>November</v>
      </c>
      <c r="E912" s="9">
        <f>YEAR(Table3[[#This Row],[usage_date]])</f>
        <v>2023</v>
      </c>
      <c r="F912" s="14">
        <v>0.17</v>
      </c>
      <c r="G912">
        <v>47</v>
      </c>
      <c r="H912" t="s">
        <v>13</v>
      </c>
      <c r="I912" t="str">
        <f t="shared" si="14"/>
        <v>Normal Usage</v>
      </c>
    </row>
    <row r="913" spans="1:9" x14ac:dyDescent="0.3">
      <c r="A913">
        <v>10912</v>
      </c>
      <c r="B913">
        <v>294</v>
      </c>
      <c r="C913" s="2">
        <v>44845</v>
      </c>
      <c r="D913" s="2" t="str">
        <f>TEXT(Table3[[#This Row],[usage_date]],"mmmm")</f>
        <v>October</v>
      </c>
      <c r="E913" s="9">
        <f>YEAR(Table3[[#This Row],[usage_date]])</f>
        <v>2022</v>
      </c>
      <c r="F913" s="14">
        <v>0.31</v>
      </c>
      <c r="G913">
        <v>234</v>
      </c>
      <c r="H913" t="s">
        <v>12</v>
      </c>
      <c r="I913" t="str">
        <f t="shared" si="14"/>
        <v>Normal Usage</v>
      </c>
    </row>
    <row r="914" spans="1:9" x14ac:dyDescent="0.3">
      <c r="A914">
        <v>10913</v>
      </c>
      <c r="B914">
        <v>444</v>
      </c>
      <c r="C914" s="2">
        <v>44873</v>
      </c>
      <c r="D914" s="2" t="str">
        <f>TEXT(Table3[[#This Row],[usage_date]],"mmmm")</f>
        <v>November</v>
      </c>
      <c r="E914" s="9">
        <f>YEAR(Table3[[#This Row],[usage_date]])</f>
        <v>2022</v>
      </c>
      <c r="F914" s="14">
        <v>2.27</v>
      </c>
      <c r="G914">
        <v>120</v>
      </c>
      <c r="H914" t="s">
        <v>13</v>
      </c>
      <c r="I914" t="str">
        <f t="shared" si="14"/>
        <v>Normal Usage</v>
      </c>
    </row>
    <row r="915" spans="1:9" x14ac:dyDescent="0.3">
      <c r="A915">
        <v>10914</v>
      </c>
      <c r="B915">
        <v>59</v>
      </c>
      <c r="C915" s="2">
        <v>44660</v>
      </c>
      <c r="D915" s="2" t="str">
        <f>TEXT(Table3[[#This Row],[usage_date]],"mmmm")</f>
        <v>April</v>
      </c>
      <c r="E915" s="9">
        <f>YEAR(Table3[[#This Row],[usage_date]])</f>
        <v>2022</v>
      </c>
      <c r="F915" s="14">
        <v>0.8</v>
      </c>
      <c r="G915">
        <v>49</v>
      </c>
      <c r="H915" t="s">
        <v>12</v>
      </c>
      <c r="I915" t="str">
        <f t="shared" si="14"/>
        <v>Normal Usage</v>
      </c>
    </row>
    <row r="916" spans="1:9" x14ac:dyDescent="0.3">
      <c r="A916">
        <v>10915</v>
      </c>
      <c r="B916">
        <v>138</v>
      </c>
      <c r="C916" s="2">
        <v>44758</v>
      </c>
      <c r="D916" s="2" t="str">
        <f>TEXT(Table3[[#This Row],[usage_date]],"mmmm")</f>
        <v>July</v>
      </c>
      <c r="E916" s="9">
        <f>YEAR(Table3[[#This Row],[usage_date]])</f>
        <v>2022</v>
      </c>
      <c r="F916" s="14">
        <v>0.21</v>
      </c>
      <c r="G916">
        <v>40</v>
      </c>
      <c r="H916" t="s">
        <v>12</v>
      </c>
      <c r="I916" t="str">
        <f t="shared" si="14"/>
        <v>Normal Usage</v>
      </c>
    </row>
    <row r="917" spans="1:9" x14ac:dyDescent="0.3">
      <c r="A917">
        <v>10916</v>
      </c>
      <c r="B917">
        <v>99</v>
      </c>
      <c r="C917" s="2">
        <v>45043</v>
      </c>
      <c r="D917" s="2" t="str">
        <f>TEXT(Table3[[#This Row],[usage_date]],"mmmm")</f>
        <v>April</v>
      </c>
      <c r="E917" s="9">
        <f>YEAR(Table3[[#This Row],[usage_date]])</f>
        <v>2023</v>
      </c>
      <c r="F917" s="14">
        <v>1.4</v>
      </c>
      <c r="G917">
        <v>21</v>
      </c>
      <c r="H917" t="s">
        <v>12</v>
      </c>
      <c r="I917" t="str">
        <f t="shared" si="14"/>
        <v>Normal Usage</v>
      </c>
    </row>
    <row r="918" spans="1:9" x14ac:dyDescent="0.3">
      <c r="A918">
        <v>10917</v>
      </c>
      <c r="B918">
        <v>192</v>
      </c>
      <c r="C918" s="2">
        <v>45439</v>
      </c>
      <c r="D918" s="2" t="str">
        <f>TEXT(Table3[[#This Row],[usage_date]],"mmmm")</f>
        <v>May</v>
      </c>
      <c r="E918" s="9">
        <f>YEAR(Table3[[#This Row],[usage_date]])</f>
        <v>2024</v>
      </c>
      <c r="F918" s="14">
        <v>2.02</v>
      </c>
      <c r="G918">
        <v>181</v>
      </c>
      <c r="H918" t="s">
        <v>12</v>
      </c>
      <c r="I918" t="str">
        <f t="shared" si="14"/>
        <v>Normal Usage</v>
      </c>
    </row>
    <row r="919" spans="1:9" x14ac:dyDescent="0.3">
      <c r="A919">
        <v>10918</v>
      </c>
      <c r="B919">
        <v>243</v>
      </c>
      <c r="C919" s="2">
        <v>44787</v>
      </c>
      <c r="D919" s="2" t="str">
        <f>TEXT(Table3[[#This Row],[usage_date]],"mmmm")</f>
        <v>August</v>
      </c>
      <c r="E919" s="9">
        <f>YEAR(Table3[[#This Row],[usage_date]])</f>
        <v>2022</v>
      </c>
      <c r="F919" s="14">
        <v>1</v>
      </c>
      <c r="G919">
        <v>4</v>
      </c>
      <c r="H919" t="s">
        <v>12</v>
      </c>
      <c r="I919" t="str">
        <f t="shared" si="14"/>
        <v>Normal Usage</v>
      </c>
    </row>
    <row r="920" spans="1:9" x14ac:dyDescent="0.3">
      <c r="A920">
        <v>10919</v>
      </c>
      <c r="B920">
        <v>319</v>
      </c>
      <c r="C920" s="2">
        <v>45406</v>
      </c>
      <c r="D920" s="2" t="str">
        <f>TEXT(Table3[[#This Row],[usage_date]],"mmmm")</f>
        <v>April</v>
      </c>
      <c r="E920" s="9">
        <f>YEAR(Table3[[#This Row],[usage_date]])</f>
        <v>2024</v>
      </c>
      <c r="F920" s="14">
        <v>3.19</v>
      </c>
      <c r="G920">
        <v>144</v>
      </c>
      <c r="H920" t="s">
        <v>12</v>
      </c>
      <c r="I920" t="str">
        <f t="shared" si="14"/>
        <v>Normal Usage</v>
      </c>
    </row>
    <row r="921" spans="1:9" x14ac:dyDescent="0.3">
      <c r="A921">
        <v>10920</v>
      </c>
      <c r="B921">
        <v>49</v>
      </c>
      <c r="C921" s="2">
        <v>45176</v>
      </c>
      <c r="D921" s="2" t="str">
        <f>TEXT(Table3[[#This Row],[usage_date]],"mmmm")</f>
        <v>September</v>
      </c>
      <c r="E921" s="9">
        <f>YEAR(Table3[[#This Row],[usage_date]])</f>
        <v>2023</v>
      </c>
      <c r="F921" s="14">
        <v>2.58</v>
      </c>
      <c r="G921">
        <v>77</v>
      </c>
      <c r="H921" t="s">
        <v>12</v>
      </c>
      <c r="I921" t="str">
        <f t="shared" si="14"/>
        <v>Normal Usage</v>
      </c>
    </row>
    <row r="922" spans="1:9" x14ac:dyDescent="0.3">
      <c r="A922">
        <v>10921</v>
      </c>
      <c r="B922">
        <v>448</v>
      </c>
      <c r="C922" s="2">
        <v>45179</v>
      </c>
      <c r="D922" s="2" t="str">
        <f>TEXT(Table3[[#This Row],[usage_date]],"mmmm")</f>
        <v>September</v>
      </c>
      <c r="E922" s="9">
        <f>YEAR(Table3[[#This Row],[usage_date]])</f>
        <v>2023</v>
      </c>
      <c r="F922" s="14">
        <v>1.01</v>
      </c>
      <c r="G922">
        <v>230</v>
      </c>
      <c r="H922" t="s">
        <v>13</v>
      </c>
      <c r="I922" t="str">
        <f t="shared" si="14"/>
        <v>Normal Usage</v>
      </c>
    </row>
    <row r="923" spans="1:9" x14ac:dyDescent="0.3">
      <c r="A923">
        <v>10922</v>
      </c>
      <c r="B923">
        <v>32</v>
      </c>
      <c r="C923" s="2">
        <v>44926</v>
      </c>
      <c r="D923" s="2" t="str">
        <f>TEXT(Table3[[#This Row],[usage_date]],"mmmm")</f>
        <v>December</v>
      </c>
      <c r="E923" s="9">
        <f>YEAR(Table3[[#This Row],[usage_date]])</f>
        <v>2022</v>
      </c>
      <c r="F923" s="14">
        <v>3.51</v>
      </c>
      <c r="G923">
        <v>296</v>
      </c>
      <c r="H923" t="s">
        <v>13</v>
      </c>
      <c r="I923" t="str">
        <f t="shared" si="14"/>
        <v>Normal Usage</v>
      </c>
    </row>
    <row r="924" spans="1:9" x14ac:dyDescent="0.3">
      <c r="A924">
        <v>10923</v>
      </c>
      <c r="B924">
        <v>391</v>
      </c>
      <c r="C924" s="2">
        <v>44929</v>
      </c>
      <c r="D924" s="2" t="str">
        <f>TEXT(Table3[[#This Row],[usage_date]],"mmmm")</f>
        <v>January</v>
      </c>
      <c r="E924" s="9">
        <f>YEAR(Table3[[#This Row],[usage_date]])</f>
        <v>2023</v>
      </c>
      <c r="F924" s="14">
        <v>2.62</v>
      </c>
      <c r="G924">
        <v>208</v>
      </c>
      <c r="H924" t="s">
        <v>12</v>
      </c>
      <c r="I924" t="str">
        <f t="shared" si="14"/>
        <v>Normal Usage</v>
      </c>
    </row>
    <row r="925" spans="1:9" x14ac:dyDescent="0.3">
      <c r="A925">
        <v>10924</v>
      </c>
      <c r="B925">
        <v>277</v>
      </c>
      <c r="C925" s="2">
        <v>45131</v>
      </c>
      <c r="D925" s="2" t="str">
        <f>TEXT(Table3[[#This Row],[usage_date]],"mmmm")</f>
        <v>July</v>
      </c>
      <c r="E925" s="9">
        <f>YEAR(Table3[[#This Row],[usage_date]])</f>
        <v>2023</v>
      </c>
      <c r="F925" s="14">
        <v>2.54</v>
      </c>
      <c r="G925">
        <v>162</v>
      </c>
      <c r="H925" t="s">
        <v>12</v>
      </c>
      <c r="I925" t="str">
        <f t="shared" si="14"/>
        <v>Normal Usage</v>
      </c>
    </row>
    <row r="926" spans="1:9" x14ac:dyDescent="0.3">
      <c r="A926">
        <v>10925</v>
      </c>
      <c r="B926">
        <v>20</v>
      </c>
      <c r="C926" s="2">
        <v>45151</v>
      </c>
      <c r="D926" s="2" t="str">
        <f>TEXT(Table3[[#This Row],[usage_date]],"mmmm")</f>
        <v>August</v>
      </c>
      <c r="E926" s="9">
        <f>YEAR(Table3[[#This Row],[usage_date]])</f>
        <v>2023</v>
      </c>
      <c r="F926" s="14">
        <v>2.02</v>
      </c>
      <c r="G926">
        <v>167</v>
      </c>
      <c r="H926" t="s">
        <v>12</v>
      </c>
      <c r="I926" t="str">
        <f t="shared" si="14"/>
        <v>Normal Usage</v>
      </c>
    </row>
    <row r="927" spans="1:9" x14ac:dyDescent="0.3">
      <c r="A927">
        <v>10926</v>
      </c>
      <c r="B927">
        <v>154</v>
      </c>
      <c r="C927" s="2">
        <v>44636</v>
      </c>
      <c r="D927" s="2" t="str">
        <f>TEXT(Table3[[#This Row],[usage_date]],"mmmm")</f>
        <v>March</v>
      </c>
      <c r="E927" s="9">
        <f>YEAR(Table3[[#This Row],[usage_date]])</f>
        <v>2022</v>
      </c>
      <c r="F927" s="14">
        <v>0.03</v>
      </c>
      <c r="G927">
        <v>277</v>
      </c>
      <c r="H927" t="s">
        <v>12</v>
      </c>
      <c r="I927" t="str">
        <f t="shared" si="14"/>
        <v>Normal Usage</v>
      </c>
    </row>
    <row r="928" spans="1:9" x14ac:dyDescent="0.3">
      <c r="A928">
        <v>10927</v>
      </c>
      <c r="B928">
        <v>383</v>
      </c>
      <c r="C928" s="2">
        <v>44603</v>
      </c>
      <c r="D928" s="2" t="str">
        <f>TEXT(Table3[[#This Row],[usage_date]],"mmmm")</f>
        <v>February</v>
      </c>
      <c r="E928" s="9">
        <f>YEAR(Table3[[#This Row],[usage_date]])</f>
        <v>2022</v>
      </c>
      <c r="F928" s="14">
        <v>2.98</v>
      </c>
      <c r="G928">
        <v>236</v>
      </c>
      <c r="H928" t="s">
        <v>12</v>
      </c>
      <c r="I928" t="str">
        <f t="shared" si="14"/>
        <v>Normal Usage</v>
      </c>
    </row>
    <row r="929" spans="1:9" x14ac:dyDescent="0.3">
      <c r="A929">
        <v>10928</v>
      </c>
      <c r="B929">
        <v>68</v>
      </c>
      <c r="C929" s="2">
        <v>44983</v>
      </c>
      <c r="D929" s="2" t="str">
        <f>TEXT(Table3[[#This Row],[usage_date]],"mmmm")</f>
        <v>February</v>
      </c>
      <c r="E929" s="9">
        <f>YEAR(Table3[[#This Row],[usage_date]])</f>
        <v>2023</v>
      </c>
      <c r="F929" s="14">
        <v>1.18</v>
      </c>
      <c r="G929">
        <v>175</v>
      </c>
      <c r="H929" t="s">
        <v>12</v>
      </c>
      <c r="I929" t="str">
        <f t="shared" si="14"/>
        <v>Normal Usage</v>
      </c>
    </row>
    <row r="930" spans="1:9" x14ac:dyDescent="0.3">
      <c r="A930">
        <v>10929</v>
      </c>
      <c r="B930">
        <v>366</v>
      </c>
      <c r="C930" s="2">
        <v>45397</v>
      </c>
      <c r="D930" s="2" t="str">
        <f>TEXT(Table3[[#This Row],[usage_date]],"mmmm")</f>
        <v>April</v>
      </c>
      <c r="E930" s="9">
        <f>YEAR(Table3[[#This Row],[usage_date]])</f>
        <v>2024</v>
      </c>
      <c r="F930" s="14">
        <v>7.14</v>
      </c>
      <c r="G930">
        <v>52</v>
      </c>
      <c r="H930" t="s">
        <v>12</v>
      </c>
      <c r="I930" t="str">
        <f t="shared" si="14"/>
        <v>High Usage</v>
      </c>
    </row>
    <row r="931" spans="1:9" x14ac:dyDescent="0.3">
      <c r="A931">
        <v>10930</v>
      </c>
      <c r="B931">
        <v>372</v>
      </c>
      <c r="C931" s="2">
        <v>44742</v>
      </c>
      <c r="D931" s="2" t="str">
        <f>TEXT(Table3[[#This Row],[usage_date]],"mmmm")</f>
        <v>June</v>
      </c>
      <c r="E931" s="9">
        <f>YEAR(Table3[[#This Row],[usage_date]])</f>
        <v>2022</v>
      </c>
      <c r="F931" s="14">
        <v>4.26</v>
      </c>
      <c r="G931">
        <v>9</v>
      </c>
      <c r="H931" t="s">
        <v>12</v>
      </c>
      <c r="I931" t="str">
        <f t="shared" si="14"/>
        <v>Normal Usage</v>
      </c>
    </row>
    <row r="932" spans="1:9" x14ac:dyDescent="0.3">
      <c r="A932">
        <v>10931</v>
      </c>
      <c r="B932">
        <v>214</v>
      </c>
      <c r="C932" s="2">
        <v>45106</v>
      </c>
      <c r="D932" s="2" t="str">
        <f>TEXT(Table3[[#This Row],[usage_date]],"mmmm")</f>
        <v>June</v>
      </c>
      <c r="E932" s="9">
        <f>YEAR(Table3[[#This Row],[usage_date]])</f>
        <v>2023</v>
      </c>
      <c r="F932" s="14">
        <v>2.21</v>
      </c>
      <c r="G932">
        <v>145</v>
      </c>
      <c r="H932" t="s">
        <v>12</v>
      </c>
      <c r="I932" t="str">
        <f t="shared" si="14"/>
        <v>Normal Usage</v>
      </c>
    </row>
    <row r="933" spans="1:9" x14ac:dyDescent="0.3">
      <c r="A933">
        <v>10932</v>
      </c>
      <c r="B933">
        <v>143</v>
      </c>
      <c r="C933" s="2">
        <v>44632</v>
      </c>
      <c r="D933" s="2" t="str">
        <f>TEXT(Table3[[#This Row],[usage_date]],"mmmm")</f>
        <v>March</v>
      </c>
      <c r="E933" s="9">
        <f>YEAR(Table3[[#This Row],[usage_date]])</f>
        <v>2022</v>
      </c>
      <c r="F933" s="14">
        <v>0.73</v>
      </c>
      <c r="G933">
        <v>226</v>
      </c>
      <c r="H933" t="s">
        <v>13</v>
      </c>
      <c r="I933" t="str">
        <f t="shared" si="14"/>
        <v>Normal Usage</v>
      </c>
    </row>
    <row r="934" spans="1:9" x14ac:dyDescent="0.3">
      <c r="A934">
        <v>10933</v>
      </c>
      <c r="B934">
        <v>376</v>
      </c>
      <c r="C934" s="2">
        <v>45129</v>
      </c>
      <c r="D934" s="2" t="str">
        <f>TEXT(Table3[[#This Row],[usage_date]],"mmmm")</f>
        <v>July</v>
      </c>
      <c r="E934" s="9">
        <f>YEAR(Table3[[#This Row],[usage_date]])</f>
        <v>2023</v>
      </c>
      <c r="F934" s="14">
        <v>0.56999999999999995</v>
      </c>
      <c r="G934">
        <v>235</v>
      </c>
      <c r="H934" t="s">
        <v>12</v>
      </c>
      <c r="I934" t="str">
        <f t="shared" si="14"/>
        <v>Normal Usage</v>
      </c>
    </row>
    <row r="935" spans="1:9" x14ac:dyDescent="0.3">
      <c r="A935">
        <v>10934</v>
      </c>
      <c r="B935">
        <v>232</v>
      </c>
      <c r="C935" s="2">
        <v>44666</v>
      </c>
      <c r="D935" s="2" t="str">
        <f>TEXT(Table3[[#This Row],[usage_date]],"mmmm")</f>
        <v>April</v>
      </c>
      <c r="E935" s="9">
        <f>YEAR(Table3[[#This Row],[usage_date]])</f>
        <v>2022</v>
      </c>
      <c r="F935" s="14">
        <v>1.04</v>
      </c>
      <c r="G935">
        <v>241</v>
      </c>
      <c r="H935" t="s">
        <v>12</v>
      </c>
      <c r="I935" t="str">
        <f t="shared" si="14"/>
        <v>Normal Usage</v>
      </c>
    </row>
    <row r="936" spans="1:9" x14ac:dyDescent="0.3">
      <c r="A936">
        <v>10935</v>
      </c>
      <c r="B936">
        <v>213</v>
      </c>
      <c r="C936" s="2">
        <v>44761</v>
      </c>
      <c r="D936" s="2" t="str">
        <f>TEXT(Table3[[#This Row],[usage_date]],"mmmm")</f>
        <v>July</v>
      </c>
      <c r="E936" s="9">
        <f>YEAR(Table3[[#This Row],[usage_date]])</f>
        <v>2022</v>
      </c>
      <c r="F936" s="14">
        <v>1.62</v>
      </c>
      <c r="G936">
        <v>70</v>
      </c>
      <c r="H936" t="s">
        <v>12</v>
      </c>
      <c r="I936" t="str">
        <f t="shared" si="14"/>
        <v>Normal Usage</v>
      </c>
    </row>
    <row r="937" spans="1:9" x14ac:dyDescent="0.3">
      <c r="A937">
        <v>10936</v>
      </c>
      <c r="B937">
        <v>79</v>
      </c>
      <c r="C937" s="2">
        <v>44662</v>
      </c>
      <c r="D937" s="2" t="str">
        <f>TEXT(Table3[[#This Row],[usage_date]],"mmmm")</f>
        <v>April</v>
      </c>
      <c r="E937" s="9">
        <f>YEAR(Table3[[#This Row],[usage_date]])</f>
        <v>2022</v>
      </c>
      <c r="F937" s="14">
        <v>0.88</v>
      </c>
      <c r="G937">
        <v>157</v>
      </c>
      <c r="H937" t="s">
        <v>12</v>
      </c>
      <c r="I937" t="str">
        <f t="shared" si="14"/>
        <v>Normal Usage</v>
      </c>
    </row>
    <row r="938" spans="1:9" x14ac:dyDescent="0.3">
      <c r="A938">
        <v>10937</v>
      </c>
      <c r="B938">
        <v>214</v>
      </c>
      <c r="C938" s="2">
        <v>45329</v>
      </c>
      <c r="D938" s="2" t="str">
        <f>TEXT(Table3[[#This Row],[usage_date]],"mmmm")</f>
        <v>February</v>
      </c>
      <c r="E938" s="9">
        <f>YEAR(Table3[[#This Row],[usage_date]])</f>
        <v>2024</v>
      </c>
      <c r="F938" s="14">
        <v>1.81</v>
      </c>
      <c r="G938">
        <v>18</v>
      </c>
      <c r="H938" t="s">
        <v>12</v>
      </c>
      <c r="I938" t="str">
        <f t="shared" si="14"/>
        <v>Normal Usage</v>
      </c>
    </row>
    <row r="939" spans="1:9" x14ac:dyDescent="0.3">
      <c r="A939">
        <v>10938</v>
      </c>
      <c r="B939">
        <v>116</v>
      </c>
      <c r="C939" s="2">
        <v>44868</v>
      </c>
      <c r="D939" s="2" t="str">
        <f>TEXT(Table3[[#This Row],[usage_date]],"mmmm")</f>
        <v>November</v>
      </c>
      <c r="E939" s="9">
        <f>YEAR(Table3[[#This Row],[usage_date]])</f>
        <v>2022</v>
      </c>
      <c r="F939" s="14">
        <v>0.45</v>
      </c>
      <c r="G939">
        <v>54</v>
      </c>
      <c r="H939" t="s">
        <v>13</v>
      </c>
      <c r="I939" t="str">
        <f t="shared" si="14"/>
        <v>Normal Usage</v>
      </c>
    </row>
    <row r="940" spans="1:9" x14ac:dyDescent="0.3">
      <c r="A940">
        <v>10939</v>
      </c>
      <c r="B940">
        <v>92</v>
      </c>
      <c r="C940" s="2">
        <v>45147</v>
      </c>
      <c r="D940" s="2" t="str">
        <f>TEXT(Table3[[#This Row],[usage_date]],"mmmm")</f>
        <v>August</v>
      </c>
      <c r="E940" s="9">
        <f>YEAR(Table3[[#This Row],[usage_date]])</f>
        <v>2023</v>
      </c>
      <c r="F940" s="14">
        <v>9.51</v>
      </c>
      <c r="G940">
        <v>214</v>
      </c>
      <c r="H940" t="s">
        <v>12</v>
      </c>
      <c r="I940" t="str">
        <f t="shared" si="14"/>
        <v>High Usage</v>
      </c>
    </row>
    <row r="941" spans="1:9" x14ac:dyDescent="0.3">
      <c r="A941">
        <v>10940</v>
      </c>
      <c r="B941">
        <v>270</v>
      </c>
      <c r="C941" s="2">
        <v>45244</v>
      </c>
      <c r="D941" s="2" t="str">
        <f>TEXT(Table3[[#This Row],[usage_date]],"mmmm")</f>
        <v>November</v>
      </c>
      <c r="E941" s="9">
        <f>YEAR(Table3[[#This Row],[usage_date]])</f>
        <v>2023</v>
      </c>
      <c r="F941" s="14">
        <v>0.28999999999999998</v>
      </c>
      <c r="G941">
        <v>208</v>
      </c>
      <c r="H941" t="s">
        <v>13</v>
      </c>
      <c r="I941" t="str">
        <f t="shared" si="14"/>
        <v>Normal Usage</v>
      </c>
    </row>
    <row r="942" spans="1:9" x14ac:dyDescent="0.3">
      <c r="A942">
        <v>10941</v>
      </c>
      <c r="B942">
        <v>411</v>
      </c>
      <c r="C942" s="2">
        <v>44938</v>
      </c>
      <c r="D942" s="2" t="str">
        <f>TEXT(Table3[[#This Row],[usage_date]],"mmmm")</f>
        <v>January</v>
      </c>
      <c r="E942" s="9">
        <f>YEAR(Table3[[#This Row],[usage_date]])</f>
        <v>2023</v>
      </c>
      <c r="F942" s="14">
        <v>6.72</v>
      </c>
      <c r="G942">
        <v>20</v>
      </c>
      <c r="H942" t="s">
        <v>12</v>
      </c>
      <c r="I942" t="str">
        <f t="shared" si="14"/>
        <v>High Usage</v>
      </c>
    </row>
    <row r="943" spans="1:9" x14ac:dyDescent="0.3">
      <c r="A943">
        <v>10942</v>
      </c>
      <c r="B943">
        <v>381</v>
      </c>
      <c r="C943" s="2">
        <v>45216</v>
      </c>
      <c r="D943" s="2" t="str">
        <f>TEXT(Table3[[#This Row],[usage_date]],"mmmm")</f>
        <v>October</v>
      </c>
      <c r="E943" s="9">
        <f>YEAR(Table3[[#This Row],[usage_date]])</f>
        <v>2023</v>
      </c>
      <c r="F943" s="14">
        <v>6.12</v>
      </c>
      <c r="G943">
        <v>281</v>
      </c>
      <c r="H943" t="s">
        <v>12</v>
      </c>
      <c r="I943" t="str">
        <f t="shared" si="14"/>
        <v>High Usage</v>
      </c>
    </row>
    <row r="944" spans="1:9" x14ac:dyDescent="0.3">
      <c r="A944">
        <v>10943</v>
      </c>
      <c r="B944">
        <v>489</v>
      </c>
      <c r="C944" s="2">
        <v>45239</v>
      </c>
      <c r="D944" s="2" t="str">
        <f>TEXT(Table3[[#This Row],[usage_date]],"mmmm")</f>
        <v>November</v>
      </c>
      <c r="E944" s="9">
        <f>YEAR(Table3[[#This Row],[usage_date]])</f>
        <v>2023</v>
      </c>
      <c r="F944" s="14">
        <v>1.86</v>
      </c>
      <c r="G944">
        <v>248</v>
      </c>
      <c r="H944" t="s">
        <v>12</v>
      </c>
      <c r="I944" t="str">
        <f t="shared" si="14"/>
        <v>Normal Usage</v>
      </c>
    </row>
    <row r="945" spans="1:9" x14ac:dyDescent="0.3">
      <c r="A945">
        <v>10944</v>
      </c>
      <c r="B945">
        <v>168</v>
      </c>
      <c r="C945" s="2">
        <v>44960</v>
      </c>
      <c r="D945" s="2" t="str">
        <f>TEXT(Table3[[#This Row],[usage_date]],"mmmm")</f>
        <v>February</v>
      </c>
      <c r="E945" s="9">
        <f>YEAR(Table3[[#This Row],[usage_date]])</f>
        <v>2023</v>
      </c>
      <c r="F945" s="14">
        <v>3.23</v>
      </c>
      <c r="G945">
        <v>27</v>
      </c>
      <c r="H945" t="s">
        <v>12</v>
      </c>
      <c r="I945" t="str">
        <f t="shared" si="14"/>
        <v>Normal Usage</v>
      </c>
    </row>
    <row r="946" spans="1:9" x14ac:dyDescent="0.3">
      <c r="A946">
        <v>10945</v>
      </c>
      <c r="B946">
        <v>58</v>
      </c>
      <c r="C946" s="2">
        <v>45334</v>
      </c>
      <c r="D946" s="2" t="str">
        <f>TEXT(Table3[[#This Row],[usage_date]],"mmmm")</f>
        <v>February</v>
      </c>
      <c r="E946" s="9">
        <f>YEAR(Table3[[#This Row],[usage_date]])</f>
        <v>2024</v>
      </c>
      <c r="F946" s="14">
        <v>1.43</v>
      </c>
      <c r="G946">
        <v>295</v>
      </c>
      <c r="H946" t="s">
        <v>12</v>
      </c>
      <c r="I946" t="str">
        <f t="shared" si="14"/>
        <v>Normal Usage</v>
      </c>
    </row>
    <row r="947" spans="1:9" x14ac:dyDescent="0.3">
      <c r="A947">
        <v>10946</v>
      </c>
      <c r="B947">
        <v>284</v>
      </c>
      <c r="C947" s="2">
        <v>44782</v>
      </c>
      <c r="D947" s="2" t="str">
        <f>TEXT(Table3[[#This Row],[usage_date]],"mmmm")</f>
        <v>August</v>
      </c>
      <c r="E947" s="9">
        <f>YEAR(Table3[[#This Row],[usage_date]])</f>
        <v>2022</v>
      </c>
      <c r="F947" s="14">
        <v>2.4900000000000002</v>
      </c>
      <c r="G947">
        <v>210</v>
      </c>
      <c r="H947" t="s">
        <v>13</v>
      </c>
      <c r="I947" t="str">
        <f t="shared" si="14"/>
        <v>Normal Usage</v>
      </c>
    </row>
    <row r="948" spans="1:9" x14ac:dyDescent="0.3">
      <c r="A948">
        <v>10947</v>
      </c>
      <c r="B948">
        <v>26</v>
      </c>
      <c r="C948" s="2">
        <v>45156</v>
      </c>
      <c r="D948" s="2" t="str">
        <f>TEXT(Table3[[#This Row],[usage_date]],"mmmm")</f>
        <v>August</v>
      </c>
      <c r="E948" s="9">
        <f>YEAR(Table3[[#This Row],[usage_date]])</f>
        <v>2023</v>
      </c>
      <c r="F948" s="14">
        <v>1.04</v>
      </c>
      <c r="G948">
        <v>284</v>
      </c>
      <c r="H948" t="s">
        <v>12</v>
      </c>
      <c r="I948" t="str">
        <f t="shared" si="14"/>
        <v>Normal Usage</v>
      </c>
    </row>
    <row r="949" spans="1:9" x14ac:dyDescent="0.3">
      <c r="A949">
        <v>10948</v>
      </c>
      <c r="B949">
        <v>369</v>
      </c>
      <c r="C949" s="2">
        <v>44743</v>
      </c>
      <c r="D949" s="2" t="str">
        <f>TEXT(Table3[[#This Row],[usage_date]],"mmmm")</f>
        <v>July</v>
      </c>
      <c r="E949" s="9">
        <f>YEAR(Table3[[#This Row],[usage_date]])</f>
        <v>2022</v>
      </c>
      <c r="F949" s="14">
        <v>0.9</v>
      </c>
      <c r="G949">
        <v>19</v>
      </c>
      <c r="H949" t="s">
        <v>12</v>
      </c>
      <c r="I949" t="str">
        <f t="shared" si="14"/>
        <v>Normal Usage</v>
      </c>
    </row>
    <row r="950" spans="1:9" x14ac:dyDescent="0.3">
      <c r="A950">
        <v>10949</v>
      </c>
      <c r="B950">
        <v>447</v>
      </c>
      <c r="C950" s="2">
        <v>44868</v>
      </c>
      <c r="D950" s="2" t="str">
        <f>TEXT(Table3[[#This Row],[usage_date]],"mmmm")</f>
        <v>November</v>
      </c>
      <c r="E950" s="9">
        <f>YEAR(Table3[[#This Row],[usage_date]])</f>
        <v>2022</v>
      </c>
      <c r="F950" s="14">
        <v>2.16</v>
      </c>
      <c r="G950">
        <v>19</v>
      </c>
      <c r="H950" t="s">
        <v>13</v>
      </c>
      <c r="I950" t="str">
        <f t="shared" si="14"/>
        <v>Normal Usage</v>
      </c>
    </row>
    <row r="951" spans="1:9" x14ac:dyDescent="0.3">
      <c r="A951">
        <v>10950</v>
      </c>
      <c r="B951">
        <v>66</v>
      </c>
      <c r="C951" s="2">
        <v>45083</v>
      </c>
      <c r="D951" s="2" t="str">
        <f>TEXT(Table3[[#This Row],[usage_date]],"mmmm")</f>
        <v>June</v>
      </c>
      <c r="E951" s="9">
        <f>YEAR(Table3[[#This Row],[usage_date]])</f>
        <v>2023</v>
      </c>
      <c r="F951" s="14">
        <v>1.72</v>
      </c>
      <c r="G951">
        <v>119</v>
      </c>
      <c r="H951" t="s">
        <v>12</v>
      </c>
      <c r="I951" t="str">
        <f t="shared" si="14"/>
        <v>Normal Usage</v>
      </c>
    </row>
    <row r="952" spans="1:9" x14ac:dyDescent="0.3">
      <c r="A952">
        <v>10951</v>
      </c>
      <c r="B952">
        <v>409</v>
      </c>
      <c r="C952" s="2">
        <v>44957</v>
      </c>
      <c r="D952" s="2" t="str">
        <f>TEXT(Table3[[#This Row],[usage_date]],"mmmm")</f>
        <v>January</v>
      </c>
      <c r="E952" s="9">
        <f>YEAR(Table3[[#This Row],[usage_date]])</f>
        <v>2023</v>
      </c>
      <c r="F952" s="14">
        <v>2.17</v>
      </c>
      <c r="G952">
        <v>96</v>
      </c>
      <c r="H952" t="s">
        <v>12</v>
      </c>
      <c r="I952" t="str">
        <f t="shared" si="14"/>
        <v>Normal Usage</v>
      </c>
    </row>
    <row r="953" spans="1:9" x14ac:dyDescent="0.3">
      <c r="A953">
        <v>10952</v>
      </c>
      <c r="B953">
        <v>248</v>
      </c>
      <c r="C953" s="2">
        <v>44565</v>
      </c>
      <c r="D953" s="2" t="str">
        <f>TEXT(Table3[[#This Row],[usage_date]],"mmmm")</f>
        <v>January</v>
      </c>
      <c r="E953" s="9">
        <f>YEAR(Table3[[#This Row],[usage_date]])</f>
        <v>2022</v>
      </c>
      <c r="F953" s="14">
        <v>0.84</v>
      </c>
      <c r="G953">
        <v>119</v>
      </c>
      <c r="H953" t="s">
        <v>12</v>
      </c>
      <c r="I953" t="str">
        <f t="shared" si="14"/>
        <v>Normal Usage</v>
      </c>
    </row>
    <row r="954" spans="1:9" x14ac:dyDescent="0.3">
      <c r="A954">
        <v>10953</v>
      </c>
      <c r="B954">
        <v>254</v>
      </c>
      <c r="C954" s="2">
        <v>45424</v>
      </c>
      <c r="D954" s="2" t="str">
        <f>TEXT(Table3[[#This Row],[usage_date]],"mmmm")</f>
        <v>May</v>
      </c>
      <c r="E954" s="9">
        <f>YEAR(Table3[[#This Row],[usage_date]])</f>
        <v>2024</v>
      </c>
      <c r="F954" s="14">
        <v>1.1399999999999999</v>
      </c>
      <c r="G954">
        <v>24</v>
      </c>
      <c r="H954" t="s">
        <v>12</v>
      </c>
      <c r="I954" t="str">
        <f t="shared" si="14"/>
        <v>Normal Usage</v>
      </c>
    </row>
    <row r="955" spans="1:9" x14ac:dyDescent="0.3">
      <c r="A955">
        <v>10954</v>
      </c>
      <c r="B955">
        <v>387</v>
      </c>
      <c r="C955" s="2">
        <v>45409</v>
      </c>
      <c r="D955" s="2" t="str">
        <f>TEXT(Table3[[#This Row],[usage_date]],"mmmm")</f>
        <v>April</v>
      </c>
      <c r="E955" s="9">
        <f>YEAR(Table3[[#This Row],[usage_date]])</f>
        <v>2024</v>
      </c>
      <c r="F955" s="14">
        <v>0.22</v>
      </c>
      <c r="G955">
        <v>152</v>
      </c>
      <c r="H955" t="s">
        <v>12</v>
      </c>
      <c r="I955" t="str">
        <f t="shared" si="14"/>
        <v>Normal Usage</v>
      </c>
    </row>
    <row r="956" spans="1:9" x14ac:dyDescent="0.3">
      <c r="A956">
        <v>10955</v>
      </c>
      <c r="B956">
        <v>456</v>
      </c>
      <c r="C956" s="2">
        <v>45365</v>
      </c>
      <c r="D956" s="2" t="str">
        <f>TEXT(Table3[[#This Row],[usage_date]],"mmmm")</f>
        <v>March</v>
      </c>
      <c r="E956" s="9">
        <f>YEAR(Table3[[#This Row],[usage_date]])</f>
        <v>2024</v>
      </c>
      <c r="F956" s="14">
        <v>0.13</v>
      </c>
      <c r="G956">
        <v>244</v>
      </c>
      <c r="H956" t="s">
        <v>12</v>
      </c>
      <c r="I956" t="str">
        <f t="shared" si="14"/>
        <v>Normal Usage</v>
      </c>
    </row>
    <row r="957" spans="1:9" x14ac:dyDescent="0.3">
      <c r="A957">
        <v>10956</v>
      </c>
      <c r="B957">
        <v>44</v>
      </c>
      <c r="C957" s="2">
        <v>44842</v>
      </c>
      <c r="D957" s="2" t="str">
        <f>TEXT(Table3[[#This Row],[usage_date]],"mmmm")</f>
        <v>October</v>
      </c>
      <c r="E957" s="9">
        <f>YEAR(Table3[[#This Row],[usage_date]])</f>
        <v>2022</v>
      </c>
      <c r="F957" s="14">
        <v>0.73</v>
      </c>
      <c r="G957">
        <v>259</v>
      </c>
      <c r="H957" t="s">
        <v>12</v>
      </c>
      <c r="I957" t="str">
        <f t="shared" si="14"/>
        <v>Normal Usage</v>
      </c>
    </row>
    <row r="958" spans="1:9" x14ac:dyDescent="0.3">
      <c r="A958">
        <v>10957</v>
      </c>
      <c r="B958">
        <v>97</v>
      </c>
      <c r="C958" s="2">
        <v>44776</v>
      </c>
      <c r="D958" s="2" t="str">
        <f>TEXT(Table3[[#This Row],[usage_date]],"mmmm")</f>
        <v>August</v>
      </c>
      <c r="E958" s="9">
        <f>YEAR(Table3[[#This Row],[usage_date]])</f>
        <v>2022</v>
      </c>
      <c r="F958" s="14">
        <v>0.19</v>
      </c>
      <c r="G958">
        <v>3</v>
      </c>
      <c r="H958" t="s">
        <v>12</v>
      </c>
      <c r="I958" t="str">
        <f t="shared" si="14"/>
        <v>Normal Usage</v>
      </c>
    </row>
    <row r="959" spans="1:9" x14ac:dyDescent="0.3">
      <c r="A959">
        <v>10958</v>
      </c>
      <c r="B959">
        <v>42</v>
      </c>
      <c r="C959" s="2">
        <v>45171</v>
      </c>
      <c r="D959" s="2" t="str">
        <f>TEXT(Table3[[#This Row],[usage_date]],"mmmm")</f>
        <v>September</v>
      </c>
      <c r="E959" s="9">
        <f>YEAR(Table3[[#This Row],[usage_date]])</f>
        <v>2023</v>
      </c>
      <c r="F959" s="14">
        <v>0.27</v>
      </c>
      <c r="G959">
        <v>142</v>
      </c>
      <c r="H959" t="s">
        <v>12</v>
      </c>
      <c r="I959" t="str">
        <f t="shared" si="14"/>
        <v>Normal Usage</v>
      </c>
    </row>
    <row r="960" spans="1:9" x14ac:dyDescent="0.3">
      <c r="A960">
        <v>10959</v>
      </c>
      <c r="B960">
        <v>500</v>
      </c>
      <c r="C960" s="2">
        <v>44981</v>
      </c>
      <c r="D960" s="2" t="str">
        <f>TEXT(Table3[[#This Row],[usage_date]],"mmmm")</f>
        <v>February</v>
      </c>
      <c r="E960" s="9">
        <f>YEAR(Table3[[#This Row],[usage_date]])</f>
        <v>2023</v>
      </c>
      <c r="F960" s="14">
        <v>4.1900000000000004</v>
      </c>
      <c r="G960">
        <v>281</v>
      </c>
      <c r="H960" t="s">
        <v>12</v>
      </c>
      <c r="I960" t="str">
        <f t="shared" si="14"/>
        <v>Normal Usage</v>
      </c>
    </row>
    <row r="961" spans="1:9" x14ac:dyDescent="0.3">
      <c r="A961">
        <v>10960</v>
      </c>
      <c r="B961">
        <v>227</v>
      </c>
      <c r="C961" s="2">
        <v>44662</v>
      </c>
      <c r="D961" s="2" t="str">
        <f>TEXT(Table3[[#This Row],[usage_date]],"mmmm")</f>
        <v>April</v>
      </c>
      <c r="E961" s="9">
        <f>YEAR(Table3[[#This Row],[usage_date]])</f>
        <v>2022</v>
      </c>
      <c r="F961" s="14">
        <v>0.1</v>
      </c>
      <c r="G961">
        <v>219</v>
      </c>
      <c r="H961" t="s">
        <v>12</v>
      </c>
      <c r="I961" t="str">
        <f t="shared" si="14"/>
        <v>Normal Usage</v>
      </c>
    </row>
    <row r="962" spans="1:9" x14ac:dyDescent="0.3">
      <c r="A962">
        <v>10961</v>
      </c>
      <c r="B962">
        <v>262</v>
      </c>
      <c r="C962" s="2">
        <v>45082</v>
      </c>
      <c r="D962" s="2" t="str">
        <f>TEXT(Table3[[#This Row],[usage_date]],"mmmm")</f>
        <v>June</v>
      </c>
      <c r="E962" s="9">
        <f>YEAR(Table3[[#This Row],[usage_date]])</f>
        <v>2023</v>
      </c>
      <c r="F962" s="14">
        <v>2.69</v>
      </c>
      <c r="G962">
        <v>159</v>
      </c>
      <c r="H962" t="s">
        <v>13</v>
      </c>
      <c r="I962" t="str">
        <f t="shared" ref="I962:I1025" si="15">IF(F962&gt;6,"High Usage","Normal Usage")</f>
        <v>Normal Usage</v>
      </c>
    </row>
    <row r="963" spans="1:9" x14ac:dyDescent="0.3">
      <c r="A963">
        <v>10962</v>
      </c>
      <c r="B963">
        <v>167</v>
      </c>
      <c r="C963" s="2">
        <v>45134</v>
      </c>
      <c r="D963" s="2" t="str">
        <f>TEXT(Table3[[#This Row],[usage_date]],"mmmm")</f>
        <v>July</v>
      </c>
      <c r="E963" s="9">
        <f>YEAR(Table3[[#This Row],[usage_date]])</f>
        <v>2023</v>
      </c>
      <c r="F963" s="14">
        <v>0.8</v>
      </c>
      <c r="G963">
        <v>75</v>
      </c>
      <c r="H963" t="s">
        <v>12</v>
      </c>
      <c r="I963" t="str">
        <f t="shared" si="15"/>
        <v>Normal Usage</v>
      </c>
    </row>
    <row r="964" spans="1:9" x14ac:dyDescent="0.3">
      <c r="A964">
        <v>10963</v>
      </c>
      <c r="B964">
        <v>436</v>
      </c>
      <c r="C964" s="2">
        <v>44870</v>
      </c>
      <c r="D964" s="2" t="str">
        <f>TEXT(Table3[[#This Row],[usage_date]],"mmmm")</f>
        <v>November</v>
      </c>
      <c r="E964" s="9">
        <f>YEAR(Table3[[#This Row],[usage_date]])</f>
        <v>2022</v>
      </c>
      <c r="F964" s="14">
        <v>5.13</v>
      </c>
      <c r="G964">
        <v>98</v>
      </c>
      <c r="H964" t="s">
        <v>13</v>
      </c>
      <c r="I964" t="str">
        <f t="shared" si="15"/>
        <v>Normal Usage</v>
      </c>
    </row>
    <row r="965" spans="1:9" x14ac:dyDescent="0.3">
      <c r="A965">
        <v>10964</v>
      </c>
      <c r="B965">
        <v>279</v>
      </c>
      <c r="C965" s="2">
        <v>45219</v>
      </c>
      <c r="D965" s="2" t="str">
        <f>TEXT(Table3[[#This Row],[usage_date]],"mmmm")</f>
        <v>October</v>
      </c>
      <c r="E965" s="9">
        <f>YEAR(Table3[[#This Row],[usage_date]])</f>
        <v>2023</v>
      </c>
      <c r="F965" s="14">
        <v>1.66</v>
      </c>
      <c r="G965">
        <v>179</v>
      </c>
      <c r="H965" t="s">
        <v>12</v>
      </c>
      <c r="I965" t="str">
        <f t="shared" si="15"/>
        <v>Normal Usage</v>
      </c>
    </row>
    <row r="966" spans="1:9" x14ac:dyDescent="0.3">
      <c r="A966">
        <v>10965</v>
      </c>
      <c r="B966">
        <v>89</v>
      </c>
      <c r="C966" s="2">
        <v>45071</v>
      </c>
      <c r="D966" s="2" t="str">
        <f>TEXT(Table3[[#This Row],[usage_date]],"mmmm")</f>
        <v>May</v>
      </c>
      <c r="E966" s="9">
        <f>YEAR(Table3[[#This Row],[usage_date]])</f>
        <v>2023</v>
      </c>
      <c r="F966" s="14">
        <v>0.91</v>
      </c>
      <c r="G966">
        <v>126</v>
      </c>
      <c r="H966" t="s">
        <v>12</v>
      </c>
      <c r="I966" t="str">
        <f t="shared" si="15"/>
        <v>Normal Usage</v>
      </c>
    </row>
    <row r="967" spans="1:9" x14ac:dyDescent="0.3">
      <c r="A967">
        <v>10966</v>
      </c>
      <c r="B967">
        <v>379</v>
      </c>
      <c r="C967" s="2">
        <v>44624</v>
      </c>
      <c r="D967" s="2" t="str">
        <f>TEXT(Table3[[#This Row],[usage_date]],"mmmm")</f>
        <v>March</v>
      </c>
      <c r="E967" s="9">
        <f>YEAR(Table3[[#This Row],[usage_date]])</f>
        <v>2022</v>
      </c>
      <c r="F967" s="14">
        <v>1.82</v>
      </c>
      <c r="G967">
        <v>31</v>
      </c>
      <c r="H967" t="s">
        <v>12</v>
      </c>
      <c r="I967" t="str">
        <f t="shared" si="15"/>
        <v>Normal Usage</v>
      </c>
    </row>
    <row r="968" spans="1:9" x14ac:dyDescent="0.3">
      <c r="A968">
        <v>10967</v>
      </c>
      <c r="B968">
        <v>178</v>
      </c>
      <c r="C968" s="2">
        <v>45194</v>
      </c>
      <c r="D968" s="2" t="str">
        <f>TEXT(Table3[[#This Row],[usage_date]],"mmmm")</f>
        <v>September</v>
      </c>
      <c r="E968" s="9">
        <f>YEAR(Table3[[#This Row],[usage_date]])</f>
        <v>2023</v>
      </c>
      <c r="F968" s="14">
        <v>1.2</v>
      </c>
      <c r="G968">
        <v>264</v>
      </c>
      <c r="H968" t="s">
        <v>13</v>
      </c>
      <c r="I968" t="str">
        <f t="shared" si="15"/>
        <v>Normal Usage</v>
      </c>
    </row>
    <row r="969" spans="1:9" x14ac:dyDescent="0.3">
      <c r="A969">
        <v>10968</v>
      </c>
      <c r="B969">
        <v>427</v>
      </c>
      <c r="C969" s="2">
        <v>44787</v>
      </c>
      <c r="D969" s="2" t="str">
        <f>TEXT(Table3[[#This Row],[usage_date]],"mmmm")</f>
        <v>August</v>
      </c>
      <c r="E969" s="9">
        <f>YEAR(Table3[[#This Row],[usage_date]])</f>
        <v>2022</v>
      </c>
      <c r="F969" s="14">
        <v>2.08</v>
      </c>
      <c r="G969">
        <v>12</v>
      </c>
      <c r="H969" t="s">
        <v>12</v>
      </c>
      <c r="I969" t="str">
        <f t="shared" si="15"/>
        <v>Normal Usage</v>
      </c>
    </row>
    <row r="970" spans="1:9" x14ac:dyDescent="0.3">
      <c r="A970">
        <v>10969</v>
      </c>
      <c r="B970">
        <v>403</v>
      </c>
      <c r="C970" s="2">
        <v>44666</v>
      </c>
      <c r="D970" s="2" t="str">
        <f>TEXT(Table3[[#This Row],[usage_date]],"mmmm")</f>
        <v>April</v>
      </c>
      <c r="E970" s="9">
        <f>YEAR(Table3[[#This Row],[usage_date]])</f>
        <v>2022</v>
      </c>
      <c r="F970" s="14">
        <v>0.3</v>
      </c>
      <c r="G970">
        <v>201</v>
      </c>
      <c r="H970" t="s">
        <v>13</v>
      </c>
      <c r="I970" t="str">
        <f t="shared" si="15"/>
        <v>Normal Usage</v>
      </c>
    </row>
    <row r="971" spans="1:9" x14ac:dyDescent="0.3">
      <c r="A971">
        <v>10970</v>
      </c>
      <c r="B971">
        <v>197</v>
      </c>
      <c r="C971" s="2">
        <v>45333</v>
      </c>
      <c r="D971" s="2" t="str">
        <f>TEXT(Table3[[#This Row],[usage_date]],"mmmm")</f>
        <v>February</v>
      </c>
      <c r="E971" s="9">
        <f>YEAR(Table3[[#This Row],[usage_date]])</f>
        <v>2024</v>
      </c>
      <c r="F971" s="14">
        <v>14.51</v>
      </c>
      <c r="G971">
        <v>17</v>
      </c>
      <c r="H971" t="s">
        <v>13</v>
      </c>
      <c r="I971" t="str">
        <f t="shared" si="15"/>
        <v>High Usage</v>
      </c>
    </row>
    <row r="972" spans="1:9" x14ac:dyDescent="0.3">
      <c r="A972">
        <v>10971</v>
      </c>
      <c r="B972">
        <v>307</v>
      </c>
      <c r="C972" s="2">
        <v>45422</v>
      </c>
      <c r="D972" s="2" t="str">
        <f>TEXT(Table3[[#This Row],[usage_date]],"mmmm")</f>
        <v>May</v>
      </c>
      <c r="E972" s="9">
        <f>YEAR(Table3[[#This Row],[usage_date]])</f>
        <v>2024</v>
      </c>
      <c r="F972" s="14">
        <v>1.39</v>
      </c>
      <c r="G972">
        <v>92</v>
      </c>
      <c r="H972" t="s">
        <v>12</v>
      </c>
      <c r="I972" t="str">
        <f t="shared" si="15"/>
        <v>Normal Usage</v>
      </c>
    </row>
    <row r="973" spans="1:9" x14ac:dyDescent="0.3">
      <c r="A973">
        <v>10972</v>
      </c>
      <c r="B973">
        <v>267</v>
      </c>
      <c r="C973" s="2">
        <v>44986</v>
      </c>
      <c r="D973" s="2" t="str">
        <f>TEXT(Table3[[#This Row],[usage_date]],"mmmm")</f>
        <v>March</v>
      </c>
      <c r="E973" s="9">
        <f>YEAR(Table3[[#This Row],[usage_date]])</f>
        <v>2023</v>
      </c>
      <c r="F973" s="14">
        <v>1.07</v>
      </c>
      <c r="G973">
        <v>279</v>
      </c>
      <c r="H973" t="s">
        <v>12</v>
      </c>
      <c r="I973" t="str">
        <f t="shared" si="15"/>
        <v>Normal Usage</v>
      </c>
    </row>
    <row r="974" spans="1:9" x14ac:dyDescent="0.3">
      <c r="A974">
        <v>10973</v>
      </c>
      <c r="B974">
        <v>268</v>
      </c>
      <c r="C974" s="2">
        <v>44816</v>
      </c>
      <c r="D974" s="2" t="str">
        <f>TEXT(Table3[[#This Row],[usage_date]],"mmmm")</f>
        <v>September</v>
      </c>
      <c r="E974" s="9">
        <f>YEAR(Table3[[#This Row],[usage_date]])</f>
        <v>2022</v>
      </c>
      <c r="F974" s="14">
        <v>3.1</v>
      </c>
      <c r="G974">
        <v>59</v>
      </c>
      <c r="H974" t="s">
        <v>12</v>
      </c>
      <c r="I974" t="str">
        <f t="shared" si="15"/>
        <v>Normal Usage</v>
      </c>
    </row>
    <row r="975" spans="1:9" x14ac:dyDescent="0.3">
      <c r="A975">
        <v>10974</v>
      </c>
      <c r="B975">
        <v>74</v>
      </c>
      <c r="C975" s="2">
        <v>44990</v>
      </c>
      <c r="D975" s="2" t="str">
        <f>TEXT(Table3[[#This Row],[usage_date]],"mmmm")</f>
        <v>March</v>
      </c>
      <c r="E975" s="9">
        <f>YEAR(Table3[[#This Row],[usage_date]])</f>
        <v>2023</v>
      </c>
      <c r="F975" s="14">
        <v>1.1299999999999999</v>
      </c>
      <c r="G975">
        <v>213</v>
      </c>
      <c r="H975" t="s">
        <v>12</v>
      </c>
      <c r="I975" t="str">
        <f t="shared" si="15"/>
        <v>Normal Usage</v>
      </c>
    </row>
    <row r="976" spans="1:9" x14ac:dyDescent="0.3">
      <c r="A976">
        <v>10975</v>
      </c>
      <c r="B976">
        <v>8</v>
      </c>
      <c r="C976" s="2">
        <v>44995</v>
      </c>
      <c r="D976" s="2" t="str">
        <f>TEXT(Table3[[#This Row],[usage_date]],"mmmm")</f>
        <v>March</v>
      </c>
      <c r="E976" s="9">
        <f>YEAR(Table3[[#This Row],[usage_date]])</f>
        <v>2023</v>
      </c>
      <c r="F976" s="14">
        <v>4.4800000000000004</v>
      </c>
      <c r="G976">
        <v>99</v>
      </c>
      <c r="H976" t="s">
        <v>12</v>
      </c>
      <c r="I976" t="str">
        <f t="shared" si="15"/>
        <v>Normal Usage</v>
      </c>
    </row>
    <row r="977" spans="1:9" x14ac:dyDescent="0.3">
      <c r="A977">
        <v>10976</v>
      </c>
      <c r="B977">
        <v>408</v>
      </c>
      <c r="C977" s="2">
        <v>44768</v>
      </c>
      <c r="D977" s="2" t="str">
        <f>TEXT(Table3[[#This Row],[usage_date]],"mmmm")</f>
        <v>July</v>
      </c>
      <c r="E977" s="9">
        <f>YEAR(Table3[[#This Row],[usage_date]])</f>
        <v>2022</v>
      </c>
      <c r="F977" s="14">
        <v>1.51</v>
      </c>
      <c r="G977">
        <v>0</v>
      </c>
      <c r="H977" t="s">
        <v>13</v>
      </c>
      <c r="I977" t="str">
        <f t="shared" si="15"/>
        <v>Normal Usage</v>
      </c>
    </row>
    <row r="978" spans="1:9" x14ac:dyDescent="0.3">
      <c r="A978">
        <v>10977</v>
      </c>
      <c r="B978">
        <v>476</v>
      </c>
      <c r="C978" s="2">
        <v>44589</v>
      </c>
      <c r="D978" s="2" t="str">
        <f>TEXT(Table3[[#This Row],[usage_date]],"mmmm")</f>
        <v>January</v>
      </c>
      <c r="E978" s="9">
        <f>YEAR(Table3[[#This Row],[usage_date]])</f>
        <v>2022</v>
      </c>
      <c r="F978" s="14">
        <v>3.18</v>
      </c>
      <c r="G978">
        <v>42</v>
      </c>
      <c r="H978" t="s">
        <v>12</v>
      </c>
      <c r="I978" t="str">
        <f t="shared" si="15"/>
        <v>Normal Usage</v>
      </c>
    </row>
    <row r="979" spans="1:9" x14ac:dyDescent="0.3">
      <c r="A979">
        <v>10978</v>
      </c>
      <c r="B979">
        <v>297</v>
      </c>
      <c r="C979" s="2">
        <v>45243</v>
      </c>
      <c r="D979" s="2" t="str">
        <f>TEXT(Table3[[#This Row],[usage_date]],"mmmm")</f>
        <v>November</v>
      </c>
      <c r="E979" s="9">
        <f>YEAR(Table3[[#This Row],[usage_date]])</f>
        <v>2023</v>
      </c>
      <c r="F979" s="14">
        <v>0.28000000000000003</v>
      </c>
      <c r="G979">
        <v>167</v>
      </c>
      <c r="H979" t="s">
        <v>12</v>
      </c>
      <c r="I979" t="str">
        <f t="shared" si="15"/>
        <v>Normal Usage</v>
      </c>
    </row>
    <row r="980" spans="1:9" x14ac:dyDescent="0.3">
      <c r="A980">
        <v>10979</v>
      </c>
      <c r="B980">
        <v>164</v>
      </c>
      <c r="C980" s="2">
        <v>44897</v>
      </c>
      <c r="D980" s="2" t="str">
        <f>TEXT(Table3[[#This Row],[usage_date]],"mmmm")</f>
        <v>December</v>
      </c>
      <c r="E980" s="9">
        <f>YEAR(Table3[[#This Row],[usage_date]])</f>
        <v>2022</v>
      </c>
      <c r="F980" s="14">
        <v>4.68</v>
      </c>
      <c r="G980">
        <v>191</v>
      </c>
      <c r="H980" t="s">
        <v>12</v>
      </c>
      <c r="I980" t="str">
        <f t="shared" si="15"/>
        <v>Normal Usage</v>
      </c>
    </row>
    <row r="981" spans="1:9" x14ac:dyDescent="0.3">
      <c r="A981">
        <v>10980</v>
      </c>
      <c r="B981">
        <v>485</v>
      </c>
      <c r="C981" s="2">
        <v>45149</v>
      </c>
      <c r="D981" s="2" t="str">
        <f>TEXT(Table3[[#This Row],[usage_date]],"mmmm")</f>
        <v>August</v>
      </c>
      <c r="E981" s="9">
        <f>YEAR(Table3[[#This Row],[usage_date]])</f>
        <v>2023</v>
      </c>
      <c r="F981" s="14">
        <v>3.33</v>
      </c>
      <c r="G981">
        <v>33</v>
      </c>
      <c r="H981" t="s">
        <v>13</v>
      </c>
      <c r="I981" t="str">
        <f t="shared" si="15"/>
        <v>Normal Usage</v>
      </c>
    </row>
    <row r="982" spans="1:9" x14ac:dyDescent="0.3">
      <c r="A982">
        <v>10981</v>
      </c>
      <c r="B982">
        <v>85</v>
      </c>
      <c r="C982" s="2">
        <v>45189</v>
      </c>
      <c r="D982" s="2" t="str">
        <f>TEXT(Table3[[#This Row],[usage_date]],"mmmm")</f>
        <v>September</v>
      </c>
      <c r="E982" s="9">
        <f>YEAR(Table3[[#This Row],[usage_date]])</f>
        <v>2023</v>
      </c>
      <c r="F982" s="14">
        <v>0.59</v>
      </c>
      <c r="G982">
        <v>33</v>
      </c>
      <c r="H982" t="s">
        <v>12</v>
      </c>
      <c r="I982" t="str">
        <f t="shared" si="15"/>
        <v>Normal Usage</v>
      </c>
    </row>
    <row r="983" spans="1:9" x14ac:dyDescent="0.3">
      <c r="A983">
        <v>10982</v>
      </c>
      <c r="B983">
        <v>72</v>
      </c>
      <c r="C983" s="2">
        <v>44630</v>
      </c>
      <c r="D983" s="2" t="str">
        <f>TEXT(Table3[[#This Row],[usage_date]],"mmmm")</f>
        <v>March</v>
      </c>
      <c r="E983" s="9">
        <f>YEAR(Table3[[#This Row],[usage_date]])</f>
        <v>2022</v>
      </c>
      <c r="F983" s="14">
        <v>0.39</v>
      </c>
      <c r="G983">
        <v>175</v>
      </c>
      <c r="H983" t="s">
        <v>13</v>
      </c>
      <c r="I983" t="str">
        <f t="shared" si="15"/>
        <v>Normal Usage</v>
      </c>
    </row>
    <row r="984" spans="1:9" x14ac:dyDescent="0.3">
      <c r="A984">
        <v>10983</v>
      </c>
      <c r="B984">
        <v>55</v>
      </c>
      <c r="C984" s="2">
        <v>45427</v>
      </c>
      <c r="D984" s="2" t="str">
        <f>TEXT(Table3[[#This Row],[usage_date]],"mmmm")</f>
        <v>May</v>
      </c>
      <c r="E984" s="9">
        <f>YEAR(Table3[[#This Row],[usage_date]])</f>
        <v>2024</v>
      </c>
      <c r="F984" s="14">
        <v>0.95</v>
      </c>
      <c r="G984">
        <v>195</v>
      </c>
      <c r="H984" t="s">
        <v>13</v>
      </c>
      <c r="I984" t="str">
        <f t="shared" si="15"/>
        <v>Normal Usage</v>
      </c>
    </row>
    <row r="985" spans="1:9" x14ac:dyDescent="0.3">
      <c r="A985">
        <v>10984</v>
      </c>
      <c r="B985">
        <v>393</v>
      </c>
      <c r="C985" s="2">
        <v>45307</v>
      </c>
      <c r="D985" s="2" t="str">
        <f>TEXT(Table3[[#This Row],[usage_date]],"mmmm")</f>
        <v>January</v>
      </c>
      <c r="E985" s="9">
        <f>YEAR(Table3[[#This Row],[usage_date]])</f>
        <v>2024</v>
      </c>
      <c r="F985" s="14">
        <v>9.33</v>
      </c>
      <c r="G985">
        <v>157</v>
      </c>
      <c r="H985" t="s">
        <v>12</v>
      </c>
      <c r="I985" t="str">
        <f t="shared" si="15"/>
        <v>High Usage</v>
      </c>
    </row>
    <row r="986" spans="1:9" x14ac:dyDescent="0.3">
      <c r="A986">
        <v>10985</v>
      </c>
      <c r="B986">
        <v>47</v>
      </c>
      <c r="C986" s="2">
        <v>45074</v>
      </c>
      <c r="D986" s="2" t="str">
        <f>TEXT(Table3[[#This Row],[usage_date]],"mmmm")</f>
        <v>May</v>
      </c>
      <c r="E986" s="9">
        <f>YEAR(Table3[[#This Row],[usage_date]])</f>
        <v>2023</v>
      </c>
      <c r="F986" s="14">
        <v>0.74</v>
      </c>
      <c r="G986">
        <v>244</v>
      </c>
      <c r="H986" t="s">
        <v>12</v>
      </c>
      <c r="I986" t="str">
        <f t="shared" si="15"/>
        <v>Normal Usage</v>
      </c>
    </row>
    <row r="987" spans="1:9" x14ac:dyDescent="0.3">
      <c r="A987">
        <v>10986</v>
      </c>
      <c r="B987">
        <v>399</v>
      </c>
      <c r="C987" s="2">
        <v>44728</v>
      </c>
      <c r="D987" s="2" t="str">
        <f>TEXT(Table3[[#This Row],[usage_date]],"mmmm")</f>
        <v>June</v>
      </c>
      <c r="E987" s="9">
        <f>YEAR(Table3[[#This Row],[usage_date]])</f>
        <v>2022</v>
      </c>
      <c r="F987" s="14">
        <v>1.52</v>
      </c>
      <c r="G987">
        <v>70</v>
      </c>
      <c r="H987" t="s">
        <v>12</v>
      </c>
      <c r="I987" t="str">
        <f t="shared" si="15"/>
        <v>Normal Usage</v>
      </c>
    </row>
    <row r="988" spans="1:9" x14ac:dyDescent="0.3">
      <c r="A988">
        <v>10987</v>
      </c>
      <c r="B988">
        <v>432</v>
      </c>
      <c r="C988" s="2">
        <v>45425</v>
      </c>
      <c r="D988" s="2" t="str">
        <f>TEXT(Table3[[#This Row],[usage_date]],"mmmm")</f>
        <v>May</v>
      </c>
      <c r="E988" s="9">
        <f>YEAR(Table3[[#This Row],[usage_date]])</f>
        <v>2024</v>
      </c>
      <c r="F988" s="14">
        <v>0.08</v>
      </c>
      <c r="G988">
        <v>113</v>
      </c>
      <c r="H988" t="s">
        <v>12</v>
      </c>
      <c r="I988" t="str">
        <f t="shared" si="15"/>
        <v>Normal Usage</v>
      </c>
    </row>
    <row r="989" spans="1:9" x14ac:dyDescent="0.3">
      <c r="A989">
        <v>10988</v>
      </c>
      <c r="B989">
        <v>238</v>
      </c>
      <c r="C989" s="2">
        <v>45291</v>
      </c>
      <c r="D989" s="2" t="str">
        <f>TEXT(Table3[[#This Row],[usage_date]],"mmmm")</f>
        <v>December</v>
      </c>
      <c r="E989" s="9">
        <f>YEAR(Table3[[#This Row],[usage_date]])</f>
        <v>2023</v>
      </c>
      <c r="F989" s="14">
        <v>1.27</v>
      </c>
      <c r="G989">
        <v>284</v>
      </c>
      <c r="H989" t="s">
        <v>13</v>
      </c>
      <c r="I989" t="str">
        <f t="shared" si="15"/>
        <v>Normal Usage</v>
      </c>
    </row>
    <row r="990" spans="1:9" x14ac:dyDescent="0.3">
      <c r="A990">
        <v>10989</v>
      </c>
      <c r="B990">
        <v>104</v>
      </c>
      <c r="C990" s="2">
        <v>45346</v>
      </c>
      <c r="D990" s="2" t="str">
        <f>TEXT(Table3[[#This Row],[usage_date]],"mmmm")</f>
        <v>February</v>
      </c>
      <c r="E990" s="9">
        <f>YEAR(Table3[[#This Row],[usage_date]])</f>
        <v>2024</v>
      </c>
      <c r="F990" s="14">
        <v>2.12</v>
      </c>
      <c r="G990">
        <v>142</v>
      </c>
      <c r="H990" t="s">
        <v>12</v>
      </c>
      <c r="I990" t="str">
        <f t="shared" si="15"/>
        <v>Normal Usage</v>
      </c>
    </row>
    <row r="991" spans="1:9" x14ac:dyDescent="0.3">
      <c r="A991">
        <v>10990</v>
      </c>
      <c r="B991">
        <v>210</v>
      </c>
      <c r="C991" s="2">
        <v>44929</v>
      </c>
      <c r="D991" s="2" t="str">
        <f>TEXT(Table3[[#This Row],[usage_date]],"mmmm")</f>
        <v>January</v>
      </c>
      <c r="E991" s="9">
        <f>YEAR(Table3[[#This Row],[usage_date]])</f>
        <v>2023</v>
      </c>
      <c r="F991" s="14">
        <v>7.65</v>
      </c>
      <c r="G991">
        <v>96</v>
      </c>
      <c r="H991" t="s">
        <v>12</v>
      </c>
      <c r="I991" t="str">
        <f t="shared" si="15"/>
        <v>High Usage</v>
      </c>
    </row>
    <row r="992" spans="1:9" x14ac:dyDescent="0.3">
      <c r="A992">
        <v>10991</v>
      </c>
      <c r="B992">
        <v>42</v>
      </c>
      <c r="C992" s="2">
        <v>44812</v>
      </c>
      <c r="D992" s="2" t="str">
        <f>TEXT(Table3[[#This Row],[usage_date]],"mmmm")</f>
        <v>September</v>
      </c>
      <c r="E992" s="9">
        <f>YEAR(Table3[[#This Row],[usage_date]])</f>
        <v>2022</v>
      </c>
      <c r="F992" s="14">
        <v>1.82</v>
      </c>
      <c r="G992">
        <v>211</v>
      </c>
      <c r="H992" t="s">
        <v>12</v>
      </c>
      <c r="I992" t="str">
        <f t="shared" si="15"/>
        <v>Normal Usage</v>
      </c>
    </row>
    <row r="993" spans="1:9" x14ac:dyDescent="0.3">
      <c r="A993">
        <v>10992</v>
      </c>
      <c r="B993">
        <v>316</v>
      </c>
      <c r="C993" s="2">
        <v>45420</v>
      </c>
      <c r="D993" s="2" t="str">
        <f>TEXT(Table3[[#This Row],[usage_date]],"mmmm")</f>
        <v>May</v>
      </c>
      <c r="E993" s="9">
        <f>YEAR(Table3[[#This Row],[usage_date]])</f>
        <v>2024</v>
      </c>
      <c r="F993" s="14">
        <v>4.2699999999999996</v>
      </c>
      <c r="G993">
        <v>184</v>
      </c>
      <c r="H993" t="s">
        <v>12</v>
      </c>
      <c r="I993" t="str">
        <f t="shared" si="15"/>
        <v>Normal Usage</v>
      </c>
    </row>
    <row r="994" spans="1:9" x14ac:dyDescent="0.3">
      <c r="A994">
        <v>10993</v>
      </c>
      <c r="B994">
        <v>468</v>
      </c>
      <c r="C994" s="2">
        <v>45417</v>
      </c>
      <c r="D994" s="2" t="str">
        <f>TEXT(Table3[[#This Row],[usage_date]],"mmmm")</f>
        <v>May</v>
      </c>
      <c r="E994" s="9">
        <f>YEAR(Table3[[#This Row],[usage_date]])</f>
        <v>2024</v>
      </c>
      <c r="F994" s="14">
        <v>1.98</v>
      </c>
      <c r="G994">
        <v>204</v>
      </c>
      <c r="H994" t="s">
        <v>12</v>
      </c>
      <c r="I994" t="str">
        <f t="shared" si="15"/>
        <v>Normal Usage</v>
      </c>
    </row>
    <row r="995" spans="1:9" x14ac:dyDescent="0.3">
      <c r="A995">
        <v>10994</v>
      </c>
      <c r="B995">
        <v>454</v>
      </c>
      <c r="C995" s="2">
        <v>45247</v>
      </c>
      <c r="D995" s="2" t="str">
        <f>TEXT(Table3[[#This Row],[usage_date]],"mmmm")</f>
        <v>November</v>
      </c>
      <c r="E995" s="9">
        <f>YEAR(Table3[[#This Row],[usage_date]])</f>
        <v>2023</v>
      </c>
      <c r="F995" s="14">
        <v>0.1</v>
      </c>
      <c r="G995">
        <v>215</v>
      </c>
      <c r="H995" t="s">
        <v>12</v>
      </c>
      <c r="I995" t="str">
        <f t="shared" si="15"/>
        <v>Normal Usage</v>
      </c>
    </row>
    <row r="996" spans="1:9" x14ac:dyDescent="0.3">
      <c r="A996">
        <v>10995</v>
      </c>
      <c r="B996">
        <v>268</v>
      </c>
      <c r="C996" s="2">
        <v>44731</v>
      </c>
      <c r="D996" s="2" t="str">
        <f>TEXT(Table3[[#This Row],[usage_date]],"mmmm")</f>
        <v>June</v>
      </c>
      <c r="E996" s="9">
        <f>YEAR(Table3[[#This Row],[usage_date]])</f>
        <v>2022</v>
      </c>
      <c r="F996" s="14">
        <v>0.95</v>
      </c>
      <c r="G996">
        <v>245</v>
      </c>
      <c r="H996" t="s">
        <v>13</v>
      </c>
      <c r="I996" t="str">
        <f t="shared" si="15"/>
        <v>Normal Usage</v>
      </c>
    </row>
    <row r="997" spans="1:9" x14ac:dyDescent="0.3">
      <c r="A997">
        <v>10996</v>
      </c>
      <c r="B997">
        <v>386</v>
      </c>
      <c r="C997" s="2">
        <v>45319</v>
      </c>
      <c r="D997" s="2" t="str">
        <f>TEXT(Table3[[#This Row],[usage_date]],"mmmm")</f>
        <v>January</v>
      </c>
      <c r="E997" s="9">
        <f>YEAR(Table3[[#This Row],[usage_date]])</f>
        <v>2024</v>
      </c>
      <c r="F997" s="14">
        <v>2.14</v>
      </c>
      <c r="G997">
        <v>238</v>
      </c>
      <c r="H997" t="s">
        <v>12</v>
      </c>
      <c r="I997" t="str">
        <f t="shared" si="15"/>
        <v>Normal Usage</v>
      </c>
    </row>
    <row r="998" spans="1:9" x14ac:dyDescent="0.3">
      <c r="A998">
        <v>10997</v>
      </c>
      <c r="B998">
        <v>263</v>
      </c>
      <c r="C998" s="2">
        <v>44651</v>
      </c>
      <c r="D998" s="2" t="str">
        <f>TEXT(Table3[[#This Row],[usage_date]],"mmmm")</f>
        <v>March</v>
      </c>
      <c r="E998" s="9">
        <f>YEAR(Table3[[#This Row],[usage_date]])</f>
        <v>2022</v>
      </c>
      <c r="F998" s="14">
        <v>7.52</v>
      </c>
      <c r="G998">
        <v>292</v>
      </c>
      <c r="H998" t="s">
        <v>12</v>
      </c>
      <c r="I998" t="str">
        <f t="shared" si="15"/>
        <v>High Usage</v>
      </c>
    </row>
    <row r="999" spans="1:9" x14ac:dyDescent="0.3">
      <c r="A999">
        <v>10998</v>
      </c>
      <c r="B999">
        <v>336</v>
      </c>
      <c r="C999" s="2">
        <v>45122</v>
      </c>
      <c r="D999" s="2" t="str">
        <f>TEXT(Table3[[#This Row],[usage_date]],"mmmm")</f>
        <v>July</v>
      </c>
      <c r="E999" s="9">
        <f>YEAR(Table3[[#This Row],[usage_date]])</f>
        <v>2023</v>
      </c>
      <c r="F999" s="14">
        <v>4.9000000000000004</v>
      </c>
      <c r="G999">
        <v>7</v>
      </c>
      <c r="H999" t="s">
        <v>13</v>
      </c>
      <c r="I999" t="str">
        <f t="shared" si="15"/>
        <v>Normal Usage</v>
      </c>
    </row>
    <row r="1000" spans="1:9" x14ac:dyDescent="0.3">
      <c r="A1000">
        <v>10999</v>
      </c>
      <c r="B1000">
        <v>387</v>
      </c>
      <c r="C1000" s="2">
        <v>45007</v>
      </c>
      <c r="D1000" s="2" t="str">
        <f>TEXT(Table3[[#This Row],[usage_date]],"mmmm")</f>
        <v>March</v>
      </c>
      <c r="E1000" s="9">
        <f>YEAR(Table3[[#This Row],[usage_date]])</f>
        <v>2023</v>
      </c>
      <c r="F1000" s="14">
        <v>0.65</v>
      </c>
      <c r="G1000">
        <v>77</v>
      </c>
      <c r="H1000" t="s">
        <v>13</v>
      </c>
      <c r="I1000" t="str">
        <f t="shared" si="15"/>
        <v>Normal Usage</v>
      </c>
    </row>
    <row r="1001" spans="1:9" x14ac:dyDescent="0.3">
      <c r="A1001">
        <v>11000</v>
      </c>
      <c r="B1001">
        <v>365</v>
      </c>
      <c r="C1001" s="2">
        <v>44855</v>
      </c>
      <c r="D1001" s="2" t="str">
        <f>TEXT(Table3[[#This Row],[usage_date]],"mmmm")</f>
        <v>October</v>
      </c>
      <c r="E1001" s="9">
        <f>YEAR(Table3[[#This Row],[usage_date]])</f>
        <v>2022</v>
      </c>
      <c r="F1001" s="14">
        <v>0.62</v>
      </c>
      <c r="G1001">
        <v>276</v>
      </c>
      <c r="H1001" t="s">
        <v>12</v>
      </c>
      <c r="I1001" t="str">
        <f t="shared" si="15"/>
        <v>Normal Usage</v>
      </c>
    </row>
    <row r="1002" spans="1:9" x14ac:dyDescent="0.3">
      <c r="A1002">
        <v>11001</v>
      </c>
      <c r="B1002">
        <v>259</v>
      </c>
      <c r="C1002" s="2">
        <v>44711</v>
      </c>
      <c r="D1002" s="2" t="str">
        <f>TEXT(Table3[[#This Row],[usage_date]],"mmmm")</f>
        <v>May</v>
      </c>
      <c r="E1002" s="9">
        <f>YEAR(Table3[[#This Row],[usage_date]])</f>
        <v>2022</v>
      </c>
      <c r="F1002" s="14">
        <v>0.56000000000000005</v>
      </c>
      <c r="G1002">
        <v>201</v>
      </c>
      <c r="H1002" t="s">
        <v>12</v>
      </c>
      <c r="I1002" t="str">
        <f t="shared" si="15"/>
        <v>Normal Usage</v>
      </c>
    </row>
    <row r="1003" spans="1:9" x14ac:dyDescent="0.3">
      <c r="A1003">
        <v>11002</v>
      </c>
      <c r="B1003">
        <v>283</v>
      </c>
      <c r="C1003" s="2">
        <v>44693</v>
      </c>
      <c r="D1003" s="2" t="str">
        <f>TEXT(Table3[[#This Row],[usage_date]],"mmmm")</f>
        <v>May</v>
      </c>
      <c r="E1003" s="9">
        <f>YEAR(Table3[[#This Row],[usage_date]])</f>
        <v>2022</v>
      </c>
      <c r="F1003" s="14">
        <v>6.39</v>
      </c>
      <c r="G1003">
        <v>213</v>
      </c>
      <c r="H1003" t="s">
        <v>12</v>
      </c>
      <c r="I1003" t="str">
        <f t="shared" si="15"/>
        <v>High Usage</v>
      </c>
    </row>
    <row r="1004" spans="1:9" x14ac:dyDescent="0.3">
      <c r="A1004">
        <v>11003</v>
      </c>
      <c r="B1004">
        <v>114</v>
      </c>
      <c r="C1004" s="2">
        <v>44994</v>
      </c>
      <c r="D1004" s="2" t="str">
        <f>TEXT(Table3[[#This Row],[usage_date]],"mmmm")</f>
        <v>March</v>
      </c>
      <c r="E1004" s="9">
        <f>YEAR(Table3[[#This Row],[usage_date]])</f>
        <v>2023</v>
      </c>
      <c r="F1004" s="14">
        <v>4.79</v>
      </c>
      <c r="G1004">
        <v>93</v>
      </c>
      <c r="H1004" t="s">
        <v>12</v>
      </c>
      <c r="I1004" t="str">
        <f t="shared" si="15"/>
        <v>Normal Usage</v>
      </c>
    </row>
    <row r="1005" spans="1:9" x14ac:dyDescent="0.3">
      <c r="A1005">
        <v>11004</v>
      </c>
      <c r="B1005">
        <v>363</v>
      </c>
      <c r="C1005" s="2">
        <v>44620</v>
      </c>
      <c r="D1005" s="2" t="str">
        <f>TEXT(Table3[[#This Row],[usage_date]],"mmmm")</f>
        <v>February</v>
      </c>
      <c r="E1005" s="9">
        <f>YEAR(Table3[[#This Row],[usage_date]])</f>
        <v>2022</v>
      </c>
      <c r="F1005" s="14">
        <v>3.73</v>
      </c>
      <c r="G1005">
        <v>74</v>
      </c>
      <c r="H1005" t="s">
        <v>13</v>
      </c>
      <c r="I1005" t="str">
        <f t="shared" si="15"/>
        <v>Normal Usage</v>
      </c>
    </row>
    <row r="1006" spans="1:9" x14ac:dyDescent="0.3">
      <c r="A1006">
        <v>11005</v>
      </c>
      <c r="B1006">
        <v>40</v>
      </c>
      <c r="C1006" s="2">
        <v>45397</v>
      </c>
      <c r="D1006" s="2" t="str">
        <f>TEXT(Table3[[#This Row],[usage_date]],"mmmm")</f>
        <v>April</v>
      </c>
      <c r="E1006" s="9">
        <f>YEAR(Table3[[#This Row],[usage_date]])</f>
        <v>2024</v>
      </c>
      <c r="F1006" s="14">
        <v>1.25</v>
      </c>
      <c r="G1006">
        <v>156</v>
      </c>
      <c r="H1006" t="s">
        <v>12</v>
      </c>
      <c r="I1006" t="str">
        <f t="shared" si="15"/>
        <v>Normal Usage</v>
      </c>
    </row>
    <row r="1007" spans="1:9" x14ac:dyDescent="0.3">
      <c r="A1007">
        <v>11006</v>
      </c>
      <c r="B1007">
        <v>486</v>
      </c>
      <c r="C1007" s="2">
        <v>44760</v>
      </c>
      <c r="D1007" s="2" t="str">
        <f>TEXT(Table3[[#This Row],[usage_date]],"mmmm")</f>
        <v>July</v>
      </c>
      <c r="E1007" s="9">
        <f>YEAR(Table3[[#This Row],[usage_date]])</f>
        <v>2022</v>
      </c>
      <c r="F1007" s="14">
        <v>1.75</v>
      </c>
      <c r="G1007">
        <v>152</v>
      </c>
      <c r="H1007" t="s">
        <v>13</v>
      </c>
      <c r="I1007" t="str">
        <f t="shared" si="15"/>
        <v>Normal Usage</v>
      </c>
    </row>
    <row r="1008" spans="1:9" x14ac:dyDescent="0.3">
      <c r="A1008">
        <v>11007</v>
      </c>
      <c r="B1008">
        <v>417</v>
      </c>
      <c r="C1008" s="2">
        <v>44776</v>
      </c>
      <c r="D1008" s="2" t="str">
        <f>TEXT(Table3[[#This Row],[usage_date]],"mmmm")</f>
        <v>August</v>
      </c>
      <c r="E1008" s="9">
        <f>YEAR(Table3[[#This Row],[usage_date]])</f>
        <v>2022</v>
      </c>
      <c r="F1008" s="14">
        <v>1.56</v>
      </c>
      <c r="G1008">
        <v>141</v>
      </c>
      <c r="H1008" t="s">
        <v>12</v>
      </c>
      <c r="I1008" t="str">
        <f t="shared" si="15"/>
        <v>Normal Usage</v>
      </c>
    </row>
    <row r="1009" spans="1:9" x14ac:dyDescent="0.3">
      <c r="A1009">
        <v>11008</v>
      </c>
      <c r="B1009">
        <v>220</v>
      </c>
      <c r="C1009" s="2">
        <v>45459</v>
      </c>
      <c r="D1009" s="2" t="str">
        <f>TEXT(Table3[[#This Row],[usage_date]],"mmmm")</f>
        <v>June</v>
      </c>
      <c r="E1009" s="9">
        <f>YEAR(Table3[[#This Row],[usage_date]])</f>
        <v>2024</v>
      </c>
      <c r="F1009" s="14">
        <v>0.73</v>
      </c>
      <c r="G1009">
        <v>77</v>
      </c>
      <c r="H1009" t="s">
        <v>12</v>
      </c>
      <c r="I1009" t="str">
        <f t="shared" si="15"/>
        <v>Normal Usage</v>
      </c>
    </row>
    <row r="1010" spans="1:9" x14ac:dyDescent="0.3">
      <c r="A1010">
        <v>11009</v>
      </c>
      <c r="B1010">
        <v>129</v>
      </c>
      <c r="C1010" s="2">
        <v>45122</v>
      </c>
      <c r="D1010" s="2" t="str">
        <f>TEXT(Table3[[#This Row],[usage_date]],"mmmm")</f>
        <v>July</v>
      </c>
      <c r="E1010" s="9">
        <f>YEAR(Table3[[#This Row],[usage_date]])</f>
        <v>2023</v>
      </c>
      <c r="F1010" s="14">
        <v>1.76</v>
      </c>
      <c r="G1010">
        <v>181</v>
      </c>
      <c r="H1010" t="s">
        <v>12</v>
      </c>
      <c r="I1010" t="str">
        <f t="shared" si="15"/>
        <v>Normal Usage</v>
      </c>
    </row>
    <row r="1011" spans="1:9" x14ac:dyDescent="0.3">
      <c r="A1011">
        <v>11010</v>
      </c>
      <c r="B1011">
        <v>8</v>
      </c>
      <c r="C1011" s="2">
        <v>45033</v>
      </c>
      <c r="D1011" s="2" t="str">
        <f>TEXT(Table3[[#This Row],[usage_date]],"mmmm")</f>
        <v>April</v>
      </c>
      <c r="E1011" s="9">
        <f>YEAR(Table3[[#This Row],[usage_date]])</f>
        <v>2023</v>
      </c>
      <c r="F1011" s="14">
        <v>0.08</v>
      </c>
      <c r="G1011">
        <v>194</v>
      </c>
      <c r="H1011" t="s">
        <v>12</v>
      </c>
      <c r="I1011" t="str">
        <f t="shared" si="15"/>
        <v>Normal Usage</v>
      </c>
    </row>
    <row r="1012" spans="1:9" x14ac:dyDescent="0.3">
      <c r="A1012">
        <v>11011</v>
      </c>
      <c r="B1012">
        <v>101</v>
      </c>
      <c r="C1012" s="2">
        <v>45305</v>
      </c>
      <c r="D1012" s="2" t="str">
        <f>TEXT(Table3[[#This Row],[usage_date]],"mmmm")</f>
        <v>January</v>
      </c>
      <c r="E1012" s="9">
        <f>YEAR(Table3[[#This Row],[usage_date]])</f>
        <v>2024</v>
      </c>
      <c r="F1012" s="14">
        <v>0.35</v>
      </c>
      <c r="G1012">
        <v>157</v>
      </c>
      <c r="H1012" t="s">
        <v>12</v>
      </c>
      <c r="I1012" t="str">
        <f t="shared" si="15"/>
        <v>Normal Usage</v>
      </c>
    </row>
    <row r="1013" spans="1:9" x14ac:dyDescent="0.3">
      <c r="A1013">
        <v>11012</v>
      </c>
      <c r="B1013">
        <v>416</v>
      </c>
      <c r="C1013" s="2">
        <v>44808</v>
      </c>
      <c r="D1013" s="2" t="str">
        <f>TEXT(Table3[[#This Row],[usage_date]],"mmmm")</f>
        <v>September</v>
      </c>
      <c r="E1013" s="9">
        <f>YEAR(Table3[[#This Row],[usage_date]])</f>
        <v>2022</v>
      </c>
      <c r="F1013" s="14">
        <v>5.44</v>
      </c>
      <c r="G1013">
        <v>145</v>
      </c>
      <c r="H1013" t="s">
        <v>12</v>
      </c>
      <c r="I1013" t="str">
        <f t="shared" si="15"/>
        <v>Normal Usage</v>
      </c>
    </row>
    <row r="1014" spans="1:9" x14ac:dyDescent="0.3">
      <c r="A1014">
        <v>11013</v>
      </c>
      <c r="B1014">
        <v>380</v>
      </c>
      <c r="C1014" s="2">
        <v>44943</v>
      </c>
      <c r="D1014" s="2" t="str">
        <f>TEXT(Table3[[#This Row],[usage_date]],"mmmm")</f>
        <v>January</v>
      </c>
      <c r="E1014" s="9">
        <f>YEAR(Table3[[#This Row],[usage_date]])</f>
        <v>2023</v>
      </c>
      <c r="F1014" s="14">
        <v>3.48</v>
      </c>
      <c r="G1014">
        <v>53</v>
      </c>
      <c r="H1014" t="s">
        <v>12</v>
      </c>
      <c r="I1014" t="str">
        <f t="shared" si="15"/>
        <v>Normal Usage</v>
      </c>
    </row>
    <row r="1015" spans="1:9" x14ac:dyDescent="0.3">
      <c r="A1015">
        <v>11014</v>
      </c>
      <c r="B1015">
        <v>176</v>
      </c>
      <c r="C1015" s="2">
        <v>44800</v>
      </c>
      <c r="D1015" s="2" t="str">
        <f>TEXT(Table3[[#This Row],[usage_date]],"mmmm")</f>
        <v>August</v>
      </c>
      <c r="E1015" s="9">
        <f>YEAR(Table3[[#This Row],[usage_date]])</f>
        <v>2022</v>
      </c>
      <c r="F1015" s="14">
        <v>1.37</v>
      </c>
      <c r="G1015">
        <v>276</v>
      </c>
      <c r="H1015" t="s">
        <v>13</v>
      </c>
      <c r="I1015" t="str">
        <f t="shared" si="15"/>
        <v>Normal Usage</v>
      </c>
    </row>
    <row r="1016" spans="1:9" x14ac:dyDescent="0.3">
      <c r="A1016">
        <v>11015</v>
      </c>
      <c r="B1016">
        <v>107</v>
      </c>
      <c r="C1016" s="2">
        <v>44928</v>
      </c>
      <c r="D1016" s="2" t="str">
        <f>TEXT(Table3[[#This Row],[usage_date]],"mmmm")</f>
        <v>January</v>
      </c>
      <c r="E1016" s="9">
        <f>YEAR(Table3[[#This Row],[usage_date]])</f>
        <v>2023</v>
      </c>
      <c r="F1016" s="14">
        <v>1.82</v>
      </c>
      <c r="G1016">
        <v>82</v>
      </c>
      <c r="H1016" t="s">
        <v>12</v>
      </c>
      <c r="I1016" t="str">
        <f t="shared" si="15"/>
        <v>Normal Usage</v>
      </c>
    </row>
    <row r="1017" spans="1:9" x14ac:dyDescent="0.3">
      <c r="A1017">
        <v>11016</v>
      </c>
      <c r="B1017">
        <v>101</v>
      </c>
      <c r="C1017" s="2">
        <v>44729</v>
      </c>
      <c r="D1017" s="2" t="str">
        <f>TEXT(Table3[[#This Row],[usage_date]],"mmmm")</f>
        <v>June</v>
      </c>
      <c r="E1017" s="9">
        <f>YEAR(Table3[[#This Row],[usage_date]])</f>
        <v>2022</v>
      </c>
      <c r="F1017" s="14">
        <v>1.1599999999999999</v>
      </c>
      <c r="G1017">
        <v>155</v>
      </c>
      <c r="H1017" t="s">
        <v>13</v>
      </c>
      <c r="I1017" t="str">
        <f t="shared" si="15"/>
        <v>Normal Usage</v>
      </c>
    </row>
    <row r="1018" spans="1:9" x14ac:dyDescent="0.3">
      <c r="A1018">
        <v>11017</v>
      </c>
      <c r="B1018">
        <v>260</v>
      </c>
      <c r="C1018" s="2">
        <v>45121</v>
      </c>
      <c r="D1018" s="2" t="str">
        <f>TEXT(Table3[[#This Row],[usage_date]],"mmmm")</f>
        <v>July</v>
      </c>
      <c r="E1018" s="9">
        <f>YEAR(Table3[[#This Row],[usage_date]])</f>
        <v>2023</v>
      </c>
      <c r="F1018" s="14">
        <v>3.38</v>
      </c>
      <c r="G1018">
        <v>3</v>
      </c>
      <c r="H1018" t="s">
        <v>12</v>
      </c>
      <c r="I1018" t="str">
        <f t="shared" si="15"/>
        <v>Normal Usage</v>
      </c>
    </row>
    <row r="1019" spans="1:9" x14ac:dyDescent="0.3">
      <c r="A1019">
        <v>11018</v>
      </c>
      <c r="B1019">
        <v>478</v>
      </c>
      <c r="C1019" s="2">
        <v>44612</v>
      </c>
      <c r="D1019" s="2" t="str">
        <f>TEXT(Table3[[#This Row],[usage_date]],"mmmm")</f>
        <v>February</v>
      </c>
      <c r="E1019" s="9">
        <f>YEAR(Table3[[#This Row],[usage_date]])</f>
        <v>2022</v>
      </c>
      <c r="F1019" s="14">
        <v>3.83</v>
      </c>
      <c r="G1019">
        <v>270</v>
      </c>
      <c r="H1019" t="s">
        <v>13</v>
      </c>
      <c r="I1019" t="str">
        <f t="shared" si="15"/>
        <v>Normal Usage</v>
      </c>
    </row>
    <row r="1020" spans="1:9" x14ac:dyDescent="0.3">
      <c r="A1020">
        <v>11019</v>
      </c>
      <c r="B1020">
        <v>454</v>
      </c>
      <c r="C1020" s="2">
        <v>45372</v>
      </c>
      <c r="D1020" s="2" t="str">
        <f>TEXT(Table3[[#This Row],[usage_date]],"mmmm")</f>
        <v>March</v>
      </c>
      <c r="E1020" s="9">
        <f>YEAR(Table3[[#This Row],[usage_date]])</f>
        <v>2024</v>
      </c>
      <c r="F1020" s="14">
        <v>3.6</v>
      </c>
      <c r="G1020">
        <v>63</v>
      </c>
      <c r="H1020" t="s">
        <v>13</v>
      </c>
      <c r="I1020" t="str">
        <f t="shared" si="15"/>
        <v>Normal Usage</v>
      </c>
    </row>
    <row r="1021" spans="1:9" x14ac:dyDescent="0.3">
      <c r="A1021">
        <v>11020</v>
      </c>
      <c r="B1021">
        <v>366</v>
      </c>
      <c r="C1021" s="2">
        <v>45171</v>
      </c>
      <c r="D1021" s="2" t="str">
        <f>TEXT(Table3[[#This Row],[usage_date]],"mmmm")</f>
        <v>September</v>
      </c>
      <c r="E1021" s="9">
        <f>YEAR(Table3[[#This Row],[usage_date]])</f>
        <v>2023</v>
      </c>
      <c r="F1021" s="14">
        <v>3.21</v>
      </c>
      <c r="G1021">
        <v>111</v>
      </c>
      <c r="H1021" t="s">
        <v>12</v>
      </c>
      <c r="I1021" t="str">
        <f t="shared" si="15"/>
        <v>Normal Usage</v>
      </c>
    </row>
    <row r="1022" spans="1:9" x14ac:dyDescent="0.3">
      <c r="A1022">
        <v>11021</v>
      </c>
      <c r="B1022">
        <v>246</v>
      </c>
      <c r="C1022" s="2">
        <v>45289</v>
      </c>
      <c r="D1022" s="2" t="str">
        <f>TEXT(Table3[[#This Row],[usage_date]],"mmmm")</f>
        <v>December</v>
      </c>
      <c r="E1022" s="9">
        <f>YEAR(Table3[[#This Row],[usage_date]])</f>
        <v>2023</v>
      </c>
      <c r="F1022" s="14">
        <v>0.56999999999999995</v>
      </c>
      <c r="G1022">
        <v>238</v>
      </c>
      <c r="H1022" t="s">
        <v>13</v>
      </c>
      <c r="I1022" t="str">
        <f t="shared" si="15"/>
        <v>Normal Usage</v>
      </c>
    </row>
    <row r="1023" spans="1:9" x14ac:dyDescent="0.3">
      <c r="A1023">
        <v>11022</v>
      </c>
      <c r="B1023">
        <v>275</v>
      </c>
      <c r="C1023" s="2">
        <v>45250</v>
      </c>
      <c r="D1023" s="2" t="str">
        <f>TEXT(Table3[[#This Row],[usage_date]],"mmmm")</f>
        <v>November</v>
      </c>
      <c r="E1023" s="9">
        <f>YEAR(Table3[[#This Row],[usage_date]])</f>
        <v>2023</v>
      </c>
      <c r="F1023" s="14">
        <v>1.03</v>
      </c>
      <c r="G1023">
        <v>143</v>
      </c>
      <c r="H1023" t="s">
        <v>12</v>
      </c>
      <c r="I1023" t="str">
        <f t="shared" si="15"/>
        <v>Normal Usage</v>
      </c>
    </row>
    <row r="1024" spans="1:9" x14ac:dyDescent="0.3">
      <c r="A1024">
        <v>11023</v>
      </c>
      <c r="B1024">
        <v>32</v>
      </c>
      <c r="C1024" s="2">
        <v>44941</v>
      </c>
      <c r="D1024" s="2" t="str">
        <f>TEXT(Table3[[#This Row],[usage_date]],"mmmm")</f>
        <v>January</v>
      </c>
      <c r="E1024" s="9">
        <f>YEAR(Table3[[#This Row],[usage_date]])</f>
        <v>2023</v>
      </c>
      <c r="F1024" s="14">
        <v>1.59</v>
      </c>
      <c r="G1024">
        <v>19</v>
      </c>
      <c r="H1024" t="s">
        <v>13</v>
      </c>
      <c r="I1024" t="str">
        <f t="shared" si="15"/>
        <v>Normal Usage</v>
      </c>
    </row>
    <row r="1025" spans="1:9" x14ac:dyDescent="0.3">
      <c r="A1025">
        <v>11024</v>
      </c>
      <c r="B1025">
        <v>137</v>
      </c>
      <c r="C1025" s="2">
        <v>45035</v>
      </c>
      <c r="D1025" s="2" t="str">
        <f>TEXT(Table3[[#This Row],[usage_date]],"mmmm")</f>
        <v>April</v>
      </c>
      <c r="E1025" s="9">
        <f>YEAR(Table3[[#This Row],[usage_date]])</f>
        <v>2023</v>
      </c>
      <c r="F1025" s="14">
        <v>1</v>
      </c>
      <c r="G1025">
        <v>63</v>
      </c>
      <c r="H1025" t="s">
        <v>12</v>
      </c>
      <c r="I1025" t="str">
        <f t="shared" si="15"/>
        <v>Normal Usage</v>
      </c>
    </row>
    <row r="1026" spans="1:9" x14ac:dyDescent="0.3">
      <c r="A1026">
        <v>11025</v>
      </c>
      <c r="B1026">
        <v>12</v>
      </c>
      <c r="C1026" s="2">
        <v>44641</v>
      </c>
      <c r="D1026" s="2" t="str">
        <f>TEXT(Table3[[#This Row],[usage_date]],"mmmm")</f>
        <v>March</v>
      </c>
      <c r="E1026" s="9">
        <f>YEAR(Table3[[#This Row],[usage_date]])</f>
        <v>2022</v>
      </c>
      <c r="F1026" s="14">
        <v>3.52</v>
      </c>
      <c r="G1026">
        <v>288</v>
      </c>
      <c r="H1026" t="s">
        <v>12</v>
      </c>
      <c r="I1026" t="str">
        <f t="shared" ref="I1026:I1089" si="16">IF(F1026&gt;6,"High Usage","Normal Usage")</f>
        <v>Normal Usage</v>
      </c>
    </row>
    <row r="1027" spans="1:9" x14ac:dyDescent="0.3">
      <c r="A1027">
        <v>11026</v>
      </c>
      <c r="B1027">
        <v>395</v>
      </c>
      <c r="C1027" s="2">
        <v>45258</v>
      </c>
      <c r="D1027" s="2" t="str">
        <f>TEXT(Table3[[#This Row],[usage_date]],"mmmm")</f>
        <v>November</v>
      </c>
      <c r="E1027" s="9">
        <f>YEAR(Table3[[#This Row],[usage_date]])</f>
        <v>2023</v>
      </c>
      <c r="F1027" s="14">
        <v>1</v>
      </c>
      <c r="G1027">
        <v>80</v>
      </c>
      <c r="H1027" t="s">
        <v>12</v>
      </c>
      <c r="I1027" t="str">
        <f t="shared" si="16"/>
        <v>Normal Usage</v>
      </c>
    </row>
    <row r="1028" spans="1:9" x14ac:dyDescent="0.3">
      <c r="A1028">
        <v>11027</v>
      </c>
      <c r="B1028">
        <v>302</v>
      </c>
      <c r="C1028" s="2">
        <v>44928</v>
      </c>
      <c r="D1028" s="2" t="str">
        <f>TEXT(Table3[[#This Row],[usage_date]],"mmmm")</f>
        <v>January</v>
      </c>
      <c r="E1028" s="9">
        <f>YEAR(Table3[[#This Row],[usage_date]])</f>
        <v>2023</v>
      </c>
      <c r="F1028" s="14">
        <v>0.37</v>
      </c>
      <c r="G1028">
        <v>196</v>
      </c>
      <c r="H1028" t="s">
        <v>12</v>
      </c>
      <c r="I1028" t="str">
        <f t="shared" si="16"/>
        <v>Normal Usage</v>
      </c>
    </row>
    <row r="1029" spans="1:9" x14ac:dyDescent="0.3">
      <c r="A1029">
        <v>11028</v>
      </c>
      <c r="B1029">
        <v>375</v>
      </c>
      <c r="C1029" s="2">
        <v>45022</v>
      </c>
      <c r="D1029" s="2" t="str">
        <f>TEXT(Table3[[#This Row],[usage_date]],"mmmm")</f>
        <v>April</v>
      </c>
      <c r="E1029" s="9">
        <f>YEAR(Table3[[#This Row],[usage_date]])</f>
        <v>2023</v>
      </c>
      <c r="F1029" s="14">
        <v>1.27</v>
      </c>
      <c r="G1029">
        <v>68</v>
      </c>
      <c r="H1029" t="s">
        <v>12</v>
      </c>
      <c r="I1029" t="str">
        <f t="shared" si="16"/>
        <v>Normal Usage</v>
      </c>
    </row>
    <row r="1030" spans="1:9" x14ac:dyDescent="0.3">
      <c r="A1030">
        <v>11029</v>
      </c>
      <c r="B1030">
        <v>16</v>
      </c>
      <c r="C1030" s="2">
        <v>45100</v>
      </c>
      <c r="D1030" s="2" t="str">
        <f>TEXT(Table3[[#This Row],[usage_date]],"mmmm")</f>
        <v>June</v>
      </c>
      <c r="E1030" s="9">
        <f>YEAR(Table3[[#This Row],[usage_date]])</f>
        <v>2023</v>
      </c>
      <c r="F1030" s="14">
        <v>9.77</v>
      </c>
      <c r="G1030">
        <v>185</v>
      </c>
      <c r="H1030" t="s">
        <v>13</v>
      </c>
      <c r="I1030" t="str">
        <f t="shared" si="16"/>
        <v>High Usage</v>
      </c>
    </row>
    <row r="1031" spans="1:9" x14ac:dyDescent="0.3">
      <c r="A1031">
        <v>11030</v>
      </c>
      <c r="B1031">
        <v>129</v>
      </c>
      <c r="C1031" s="2">
        <v>45013</v>
      </c>
      <c r="D1031" s="2" t="str">
        <f>TEXT(Table3[[#This Row],[usage_date]],"mmmm")</f>
        <v>March</v>
      </c>
      <c r="E1031" s="9">
        <f>YEAR(Table3[[#This Row],[usage_date]])</f>
        <v>2023</v>
      </c>
      <c r="F1031" s="14">
        <v>0.64</v>
      </c>
      <c r="G1031">
        <v>166</v>
      </c>
      <c r="H1031" t="s">
        <v>13</v>
      </c>
      <c r="I1031" t="str">
        <f t="shared" si="16"/>
        <v>Normal Usage</v>
      </c>
    </row>
    <row r="1032" spans="1:9" x14ac:dyDescent="0.3">
      <c r="A1032">
        <v>11031</v>
      </c>
      <c r="B1032">
        <v>63</v>
      </c>
      <c r="C1032" s="2">
        <v>45025</v>
      </c>
      <c r="D1032" s="2" t="str">
        <f>TEXT(Table3[[#This Row],[usage_date]],"mmmm")</f>
        <v>April</v>
      </c>
      <c r="E1032" s="9">
        <f>YEAR(Table3[[#This Row],[usage_date]])</f>
        <v>2023</v>
      </c>
      <c r="F1032" s="14">
        <v>2.37</v>
      </c>
      <c r="G1032">
        <v>204</v>
      </c>
      <c r="H1032" t="s">
        <v>12</v>
      </c>
      <c r="I1032" t="str">
        <f t="shared" si="16"/>
        <v>Normal Usage</v>
      </c>
    </row>
    <row r="1033" spans="1:9" x14ac:dyDescent="0.3">
      <c r="A1033">
        <v>11032</v>
      </c>
      <c r="B1033">
        <v>109</v>
      </c>
      <c r="C1033" s="2">
        <v>45039</v>
      </c>
      <c r="D1033" s="2" t="str">
        <f>TEXT(Table3[[#This Row],[usage_date]],"mmmm")</f>
        <v>April</v>
      </c>
      <c r="E1033" s="9">
        <f>YEAR(Table3[[#This Row],[usage_date]])</f>
        <v>2023</v>
      </c>
      <c r="F1033" s="14">
        <v>1.42</v>
      </c>
      <c r="G1033">
        <v>163</v>
      </c>
      <c r="H1033" t="s">
        <v>13</v>
      </c>
      <c r="I1033" t="str">
        <f t="shared" si="16"/>
        <v>Normal Usage</v>
      </c>
    </row>
    <row r="1034" spans="1:9" x14ac:dyDescent="0.3">
      <c r="A1034">
        <v>11033</v>
      </c>
      <c r="B1034">
        <v>375</v>
      </c>
      <c r="C1034" s="2">
        <v>44981</v>
      </c>
      <c r="D1034" s="2" t="str">
        <f>TEXT(Table3[[#This Row],[usage_date]],"mmmm")</f>
        <v>February</v>
      </c>
      <c r="E1034" s="9">
        <f>YEAR(Table3[[#This Row],[usage_date]])</f>
        <v>2023</v>
      </c>
      <c r="F1034" s="14">
        <v>0.18</v>
      </c>
      <c r="G1034">
        <v>93</v>
      </c>
      <c r="H1034" t="s">
        <v>13</v>
      </c>
      <c r="I1034" t="str">
        <f t="shared" si="16"/>
        <v>Normal Usage</v>
      </c>
    </row>
    <row r="1035" spans="1:9" x14ac:dyDescent="0.3">
      <c r="A1035">
        <v>11034</v>
      </c>
      <c r="B1035">
        <v>21</v>
      </c>
      <c r="C1035" s="2">
        <v>45268</v>
      </c>
      <c r="D1035" s="2" t="str">
        <f>TEXT(Table3[[#This Row],[usage_date]],"mmmm")</f>
        <v>December</v>
      </c>
      <c r="E1035" s="9">
        <f>YEAR(Table3[[#This Row],[usage_date]])</f>
        <v>2023</v>
      </c>
      <c r="F1035" s="14">
        <v>1.67</v>
      </c>
      <c r="G1035">
        <v>248</v>
      </c>
      <c r="H1035" t="s">
        <v>12</v>
      </c>
      <c r="I1035" t="str">
        <f t="shared" si="16"/>
        <v>Normal Usage</v>
      </c>
    </row>
    <row r="1036" spans="1:9" x14ac:dyDescent="0.3">
      <c r="A1036">
        <v>11035</v>
      </c>
      <c r="B1036">
        <v>158</v>
      </c>
      <c r="C1036" s="2">
        <v>44775</v>
      </c>
      <c r="D1036" s="2" t="str">
        <f>TEXT(Table3[[#This Row],[usage_date]],"mmmm")</f>
        <v>August</v>
      </c>
      <c r="E1036" s="9">
        <f>YEAR(Table3[[#This Row],[usage_date]])</f>
        <v>2022</v>
      </c>
      <c r="F1036" s="14">
        <v>3.03</v>
      </c>
      <c r="G1036">
        <v>67</v>
      </c>
      <c r="H1036" t="s">
        <v>12</v>
      </c>
      <c r="I1036" t="str">
        <f t="shared" si="16"/>
        <v>Normal Usage</v>
      </c>
    </row>
    <row r="1037" spans="1:9" x14ac:dyDescent="0.3">
      <c r="A1037">
        <v>11036</v>
      </c>
      <c r="B1037">
        <v>269</v>
      </c>
      <c r="C1037" s="2">
        <v>44930</v>
      </c>
      <c r="D1037" s="2" t="str">
        <f>TEXT(Table3[[#This Row],[usage_date]],"mmmm")</f>
        <v>January</v>
      </c>
      <c r="E1037" s="9">
        <f>YEAR(Table3[[#This Row],[usage_date]])</f>
        <v>2023</v>
      </c>
      <c r="F1037" s="14">
        <v>1.8</v>
      </c>
      <c r="G1037">
        <v>20</v>
      </c>
      <c r="H1037" t="s">
        <v>12</v>
      </c>
      <c r="I1037" t="str">
        <f t="shared" si="16"/>
        <v>Normal Usage</v>
      </c>
    </row>
    <row r="1038" spans="1:9" x14ac:dyDescent="0.3">
      <c r="A1038">
        <v>11037</v>
      </c>
      <c r="B1038">
        <v>162</v>
      </c>
      <c r="C1038" s="2">
        <v>45415</v>
      </c>
      <c r="D1038" s="2" t="str">
        <f>TEXT(Table3[[#This Row],[usage_date]],"mmmm")</f>
        <v>May</v>
      </c>
      <c r="E1038" s="9">
        <f>YEAR(Table3[[#This Row],[usage_date]])</f>
        <v>2024</v>
      </c>
      <c r="F1038" s="14">
        <v>5.14</v>
      </c>
      <c r="G1038">
        <v>84</v>
      </c>
      <c r="H1038" t="s">
        <v>13</v>
      </c>
      <c r="I1038" t="str">
        <f t="shared" si="16"/>
        <v>Normal Usage</v>
      </c>
    </row>
    <row r="1039" spans="1:9" x14ac:dyDescent="0.3">
      <c r="A1039">
        <v>11038</v>
      </c>
      <c r="B1039">
        <v>260</v>
      </c>
      <c r="C1039" s="2">
        <v>44675</v>
      </c>
      <c r="D1039" s="2" t="str">
        <f>TEXT(Table3[[#This Row],[usage_date]],"mmmm")</f>
        <v>April</v>
      </c>
      <c r="E1039" s="9">
        <f>YEAR(Table3[[#This Row],[usage_date]])</f>
        <v>2022</v>
      </c>
      <c r="F1039" s="14">
        <v>0.85</v>
      </c>
      <c r="G1039">
        <v>23</v>
      </c>
      <c r="H1039" t="s">
        <v>13</v>
      </c>
      <c r="I1039" t="str">
        <f t="shared" si="16"/>
        <v>Normal Usage</v>
      </c>
    </row>
    <row r="1040" spans="1:9" x14ac:dyDescent="0.3">
      <c r="A1040">
        <v>11039</v>
      </c>
      <c r="B1040">
        <v>412</v>
      </c>
      <c r="C1040" s="2">
        <v>45315</v>
      </c>
      <c r="D1040" s="2" t="str">
        <f>TEXT(Table3[[#This Row],[usage_date]],"mmmm")</f>
        <v>January</v>
      </c>
      <c r="E1040" s="9">
        <f>YEAR(Table3[[#This Row],[usage_date]])</f>
        <v>2024</v>
      </c>
      <c r="F1040" s="14">
        <v>0.23</v>
      </c>
      <c r="G1040">
        <v>110</v>
      </c>
      <c r="H1040" t="s">
        <v>12</v>
      </c>
      <c r="I1040" t="str">
        <f t="shared" si="16"/>
        <v>Normal Usage</v>
      </c>
    </row>
    <row r="1041" spans="1:9" x14ac:dyDescent="0.3">
      <c r="A1041">
        <v>11040</v>
      </c>
      <c r="B1041">
        <v>102</v>
      </c>
      <c r="C1041" s="2">
        <v>45064</v>
      </c>
      <c r="D1041" s="2" t="str">
        <f>TEXT(Table3[[#This Row],[usage_date]],"mmmm")</f>
        <v>May</v>
      </c>
      <c r="E1041" s="9">
        <f>YEAR(Table3[[#This Row],[usage_date]])</f>
        <v>2023</v>
      </c>
      <c r="F1041" s="14">
        <v>6.89</v>
      </c>
      <c r="G1041">
        <v>82</v>
      </c>
      <c r="H1041" t="s">
        <v>12</v>
      </c>
      <c r="I1041" t="str">
        <f t="shared" si="16"/>
        <v>High Usage</v>
      </c>
    </row>
    <row r="1042" spans="1:9" x14ac:dyDescent="0.3">
      <c r="A1042">
        <v>11041</v>
      </c>
      <c r="B1042">
        <v>223</v>
      </c>
      <c r="C1042" s="2">
        <v>45197</v>
      </c>
      <c r="D1042" s="2" t="str">
        <f>TEXT(Table3[[#This Row],[usage_date]],"mmmm")</f>
        <v>September</v>
      </c>
      <c r="E1042" s="9">
        <f>YEAR(Table3[[#This Row],[usage_date]])</f>
        <v>2023</v>
      </c>
      <c r="F1042" s="14">
        <v>1.19</v>
      </c>
      <c r="G1042">
        <v>77</v>
      </c>
      <c r="H1042" t="s">
        <v>13</v>
      </c>
      <c r="I1042" t="str">
        <f t="shared" si="16"/>
        <v>Normal Usage</v>
      </c>
    </row>
    <row r="1043" spans="1:9" x14ac:dyDescent="0.3">
      <c r="A1043">
        <v>11042</v>
      </c>
      <c r="B1043">
        <v>59</v>
      </c>
      <c r="C1043" s="2">
        <v>45378</v>
      </c>
      <c r="D1043" s="2" t="str">
        <f>TEXT(Table3[[#This Row],[usage_date]],"mmmm")</f>
        <v>March</v>
      </c>
      <c r="E1043" s="9">
        <f>YEAR(Table3[[#This Row],[usage_date]])</f>
        <v>2024</v>
      </c>
      <c r="F1043" s="14">
        <v>2.15</v>
      </c>
      <c r="G1043">
        <v>139</v>
      </c>
      <c r="H1043" t="s">
        <v>13</v>
      </c>
      <c r="I1043" t="str">
        <f t="shared" si="16"/>
        <v>Normal Usage</v>
      </c>
    </row>
    <row r="1044" spans="1:9" x14ac:dyDescent="0.3">
      <c r="A1044">
        <v>11043</v>
      </c>
      <c r="B1044">
        <v>247</v>
      </c>
      <c r="C1044" s="2">
        <v>45149</v>
      </c>
      <c r="D1044" s="2" t="str">
        <f>TEXT(Table3[[#This Row],[usage_date]],"mmmm")</f>
        <v>August</v>
      </c>
      <c r="E1044" s="9">
        <f>YEAR(Table3[[#This Row],[usage_date]])</f>
        <v>2023</v>
      </c>
      <c r="F1044" s="14">
        <v>3.93</v>
      </c>
      <c r="G1044">
        <v>270</v>
      </c>
      <c r="H1044" t="s">
        <v>13</v>
      </c>
      <c r="I1044" t="str">
        <f t="shared" si="16"/>
        <v>Normal Usage</v>
      </c>
    </row>
    <row r="1045" spans="1:9" x14ac:dyDescent="0.3">
      <c r="A1045">
        <v>11044</v>
      </c>
      <c r="B1045">
        <v>128</v>
      </c>
      <c r="C1045" s="2">
        <v>44872</v>
      </c>
      <c r="D1045" s="2" t="str">
        <f>TEXT(Table3[[#This Row],[usage_date]],"mmmm")</f>
        <v>November</v>
      </c>
      <c r="E1045" s="9">
        <f>YEAR(Table3[[#This Row],[usage_date]])</f>
        <v>2022</v>
      </c>
      <c r="F1045" s="14">
        <v>0.98</v>
      </c>
      <c r="G1045">
        <v>168</v>
      </c>
      <c r="H1045" t="s">
        <v>12</v>
      </c>
      <c r="I1045" t="str">
        <f t="shared" si="16"/>
        <v>Normal Usage</v>
      </c>
    </row>
    <row r="1046" spans="1:9" x14ac:dyDescent="0.3">
      <c r="A1046">
        <v>11045</v>
      </c>
      <c r="B1046">
        <v>283</v>
      </c>
      <c r="C1046" s="2">
        <v>45030</v>
      </c>
      <c r="D1046" s="2" t="str">
        <f>TEXT(Table3[[#This Row],[usage_date]],"mmmm")</f>
        <v>April</v>
      </c>
      <c r="E1046" s="9">
        <f>YEAR(Table3[[#This Row],[usage_date]])</f>
        <v>2023</v>
      </c>
      <c r="F1046" s="14">
        <v>3.15</v>
      </c>
      <c r="G1046">
        <v>196</v>
      </c>
      <c r="H1046" t="s">
        <v>12</v>
      </c>
      <c r="I1046" t="str">
        <f t="shared" si="16"/>
        <v>Normal Usage</v>
      </c>
    </row>
    <row r="1047" spans="1:9" x14ac:dyDescent="0.3">
      <c r="A1047">
        <v>11046</v>
      </c>
      <c r="B1047">
        <v>325</v>
      </c>
      <c r="C1047" s="2">
        <v>45385</v>
      </c>
      <c r="D1047" s="2" t="str">
        <f>TEXT(Table3[[#This Row],[usage_date]],"mmmm")</f>
        <v>April</v>
      </c>
      <c r="E1047" s="9">
        <f>YEAR(Table3[[#This Row],[usage_date]])</f>
        <v>2024</v>
      </c>
      <c r="F1047" s="14">
        <v>0.36</v>
      </c>
      <c r="G1047">
        <v>261</v>
      </c>
      <c r="H1047" t="s">
        <v>12</v>
      </c>
      <c r="I1047" t="str">
        <f t="shared" si="16"/>
        <v>Normal Usage</v>
      </c>
    </row>
    <row r="1048" spans="1:9" x14ac:dyDescent="0.3">
      <c r="A1048">
        <v>11047</v>
      </c>
      <c r="B1048">
        <v>25</v>
      </c>
      <c r="C1048" s="2">
        <v>45269</v>
      </c>
      <c r="D1048" s="2" t="str">
        <f>TEXT(Table3[[#This Row],[usage_date]],"mmmm")</f>
        <v>December</v>
      </c>
      <c r="E1048" s="9">
        <f>YEAR(Table3[[#This Row],[usage_date]])</f>
        <v>2023</v>
      </c>
      <c r="F1048" s="14">
        <v>0.86</v>
      </c>
      <c r="G1048">
        <v>214</v>
      </c>
      <c r="H1048" t="s">
        <v>12</v>
      </c>
      <c r="I1048" t="str">
        <f t="shared" si="16"/>
        <v>Normal Usage</v>
      </c>
    </row>
    <row r="1049" spans="1:9" x14ac:dyDescent="0.3">
      <c r="A1049">
        <v>11048</v>
      </c>
      <c r="B1049">
        <v>131</v>
      </c>
      <c r="C1049" s="2">
        <v>45424</v>
      </c>
      <c r="D1049" s="2" t="str">
        <f>TEXT(Table3[[#This Row],[usage_date]],"mmmm")</f>
        <v>May</v>
      </c>
      <c r="E1049" s="9">
        <f>YEAR(Table3[[#This Row],[usage_date]])</f>
        <v>2024</v>
      </c>
      <c r="F1049" s="14">
        <v>0.39</v>
      </c>
      <c r="G1049">
        <v>66</v>
      </c>
      <c r="H1049" t="s">
        <v>13</v>
      </c>
      <c r="I1049" t="str">
        <f t="shared" si="16"/>
        <v>Normal Usage</v>
      </c>
    </row>
    <row r="1050" spans="1:9" x14ac:dyDescent="0.3">
      <c r="A1050">
        <v>11049</v>
      </c>
      <c r="B1050">
        <v>353</v>
      </c>
      <c r="C1050" s="2">
        <v>44605</v>
      </c>
      <c r="D1050" s="2" t="str">
        <f>TEXT(Table3[[#This Row],[usage_date]],"mmmm")</f>
        <v>February</v>
      </c>
      <c r="E1050" s="9">
        <f>YEAR(Table3[[#This Row],[usage_date]])</f>
        <v>2022</v>
      </c>
      <c r="F1050" s="14">
        <v>4.17</v>
      </c>
      <c r="G1050">
        <v>228</v>
      </c>
      <c r="H1050" t="s">
        <v>12</v>
      </c>
      <c r="I1050" t="str">
        <f t="shared" si="16"/>
        <v>Normal Usage</v>
      </c>
    </row>
    <row r="1051" spans="1:9" x14ac:dyDescent="0.3">
      <c r="A1051">
        <v>11050</v>
      </c>
      <c r="B1051">
        <v>196</v>
      </c>
      <c r="C1051" s="2">
        <v>44976</v>
      </c>
      <c r="D1051" s="2" t="str">
        <f>TEXT(Table3[[#This Row],[usage_date]],"mmmm")</f>
        <v>February</v>
      </c>
      <c r="E1051" s="9">
        <f>YEAR(Table3[[#This Row],[usage_date]])</f>
        <v>2023</v>
      </c>
      <c r="F1051" s="14">
        <v>0.63</v>
      </c>
      <c r="G1051">
        <v>160</v>
      </c>
      <c r="H1051" t="s">
        <v>13</v>
      </c>
      <c r="I1051" t="str">
        <f t="shared" si="16"/>
        <v>Normal Usage</v>
      </c>
    </row>
    <row r="1052" spans="1:9" x14ac:dyDescent="0.3">
      <c r="A1052">
        <v>11051</v>
      </c>
      <c r="B1052">
        <v>281</v>
      </c>
      <c r="C1052" s="2">
        <v>45259</v>
      </c>
      <c r="D1052" s="2" t="str">
        <f>TEXT(Table3[[#This Row],[usage_date]],"mmmm")</f>
        <v>November</v>
      </c>
      <c r="E1052" s="9">
        <f>YEAR(Table3[[#This Row],[usage_date]])</f>
        <v>2023</v>
      </c>
      <c r="F1052" s="14">
        <v>3.16</v>
      </c>
      <c r="G1052">
        <v>121</v>
      </c>
      <c r="H1052" t="s">
        <v>12</v>
      </c>
      <c r="I1052" t="str">
        <f t="shared" si="16"/>
        <v>Normal Usage</v>
      </c>
    </row>
    <row r="1053" spans="1:9" x14ac:dyDescent="0.3">
      <c r="A1053">
        <v>11052</v>
      </c>
      <c r="B1053">
        <v>404</v>
      </c>
      <c r="C1053" s="2">
        <v>45416</v>
      </c>
      <c r="D1053" s="2" t="str">
        <f>TEXT(Table3[[#This Row],[usage_date]],"mmmm")</f>
        <v>May</v>
      </c>
      <c r="E1053" s="9">
        <f>YEAR(Table3[[#This Row],[usage_date]])</f>
        <v>2024</v>
      </c>
      <c r="F1053" s="14">
        <v>7.17</v>
      </c>
      <c r="G1053">
        <v>148</v>
      </c>
      <c r="H1053" t="s">
        <v>13</v>
      </c>
      <c r="I1053" t="str">
        <f t="shared" si="16"/>
        <v>High Usage</v>
      </c>
    </row>
    <row r="1054" spans="1:9" x14ac:dyDescent="0.3">
      <c r="A1054">
        <v>11053</v>
      </c>
      <c r="B1054">
        <v>418</v>
      </c>
      <c r="C1054" s="2">
        <v>44807</v>
      </c>
      <c r="D1054" s="2" t="str">
        <f>TEXT(Table3[[#This Row],[usage_date]],"mmmm")</f>
        <v>September</v>
      </c>
      <c r="E1054" s="9">
        <f>YEAR(Table3[[#This Row],[usage_date]])</f>
        <v>2022</v>
      </c>
      <c r="F1054" s="14">
        <v>1.88</v>
      </c>
      <c r="G1054">
        <v>192</v>
      </c>
      <c r="H1054" t="s">
        <v>12</v>
      </c>
      <c r="I1054" t="str">
        <f t="shared" si="16"/>
        <v>Normal Usage</v>
      </c>
    </row>
    <row r="1055" spans="1:9" x14ac:dyDescent="0.3">
      <c r="A1055">
        <v>11054</v>
      </c>
      <c r="B1055">
        <v>154</v>
      </c>
      <c r="C1055" s="2">
        <v>44645</v>
      </c>
      <c r="D1055" s="2" t="str">
        <f>TEXT(Table3[[#This Row],[usage_date]],"mmmm")</f>
        <v>March</v>
      </c>
      <c r="E1055" s="9">
        <f>YEAR(Table3[[#This Row],[usage_date]])</f>
        <v>2022</v>
      </c>
      <c r="F1055" s="14">
        <v>1.94</v>
      </c>
      <c r="G1055">
        <v>230</v>
      </c>
      <c r="H1055" t="s">
        <v>12</v>
      </c>
      <c r="I1055" t="str">
        <f t="shared" si="16"/>
        <v>Normal Usage</v>
      </c>
    </row>
    <row r="1056" spans="1:9" x14ac:dyDescent="0.3">
      <c r="A1056">
        <v>11055</v>
      </c>
      <c r="B1056">
        <v>382</v>
      </c>
      <c r="C1056" s="2">
        <v>44768</v>
      </c>
      <c r="D1056" s="2" t="str">
        <f>TEXT(Table3[[#This Row],[usage_date]],"mmmm")</f>
        <v>July</v>
      </c>
      <c r="E1056" s="9">
        <f>YEAR(Table3[[#This Row],[usage_date]])</f>
        <v>2022</v>
      </c>
      <c r="F1056" s="14">
        <v>1.55</v>
      </c>
      <c r="G1056">
        <v>110</v>
      </c>
      <c r="H1056" t="s">
        <v>12</v>
      </c>
      <c r="I1056" t="str">
        <f t="shared" si="16"/>
        <v>Normal Usage</v>
      </c>
    </row>
    <row r="1057" spans="1:9" x14ac:dyDescent="0.3">
      <c r="A1057">
        <v>11056</v>
      </c>
      <c r="B1057">
        <v>133</v>
      </c>
      <c r="C1057" s="2">
        <v>44712</v>
      </c>
      <c r="D1057" s="2" t="str">
        <f>TEXT(Table3[[#This Row],[usage_date]],"mmmm")</f>
        <v>May</v>
      </c>
      <c r="E1057" s="9">
        <f>YEAR(Table3[[#This Row],[usage_date]])</f>
        <v>2022</v>
      </c>
      <c r="F1057" s="14">
        <v>0.99</v>
      </c>
      <c r="G1057">
        <v>144</v>
      </c>
      <c r="H1057" t="s">
        <v>12</v>
      </c>
      <c r="I1057" t="str">
        <f t="shared" si="16"/>
        <v>Normal Usage</v>
      </c>
    </row>
    <row r="1058" spans="1:9" x14ac:dyDescent="0.3">
      <c r="A1058">
        <v>11057</v>
      </c>
      <c r="B1058">
        <v>227</v>
      </c>
      <c r="C1058" s="2">
        <v>45229</v>
      </c>
      <c r="D1058" s="2" t="str">
        <f>TEXT(Table3[[#This Row],[usage_date]],"mmmm")</f>
        <v>October</v>
      </c>
      <c r="E1058" s="9">
        <f>YEAR(Table3[[#This Row],[usage_date]])</f>
        <v>2023</v>
      </c>
      <c r="F1058" s="14">
        <v>1.61</v>
      </c>
      <c r="G1058">
        <v>220</v>
      </c>
      <c r="H1058" t="s">
        <v>13</v>
      </c>
      <c r="I1058" t="str">
        <f t="shared" si="16"/>
        <v>Normal Usage</v>
      </c>
    </row>
    <row r="1059" spans="1:9" x14ac:dyDescent="0.3">
      <c r="A1059">
        <v>11058</v>
      </c>
      <c r="B1059">
        <v>189</v>
      </c>
      <c r="C1059" s="2">
        <v>45089</v>
      </c>
      <c r="D1059" s="2" t="str">
        <f>TEXT(Table3[[#This Row],[usage_date]],"mmmm")</f>
        <v>June</v>
      </c>
      <c r="E1059" s="9">
        <f>YEAR(Table3[[#This Row],[usage_date]])</f>
        <v>2023</v>
      </c>
      <c r="F1059" s="14">
        <v>2.31</v>
      </c>
      <c r="G1059">
        <v>63</v>
      </c>
      <c r="H1059" t="s">
        <v>12</v>
      </c>
      <c r="I1059" t="str">
        <f t="shared" si="16"/>
        <v>Normal Usage</v>
      </c>
    </row>
    <row r="1060" spans="1:9" x14ac:dyDescent="0.3">
      <c r="A1060">
        <v>11059</v>
      </c>
      <c r="B1060">
        <v>476</v>
      </c>
      <c r="C1060" s="2">
        <v>44726</v>
      </c>
      <c r="D1060" s="2" t="str">
        <f>TEXT(Table3[[#This Row],[usage_date]],"mmmm")</f>
        <v>June</v>
      </c>
      <c r="E1060" s="9">
        <f>YEAR(Table3[[#This Row],[usage_date]])</f>
        <v>2022</v>
      </c>
      <c r="F1060" s="14">
        <v>10.67</v>
      </c>
      <c r="G1060">
        <v>125</v>
      </c>
      <c r="H1060" t="s">
        <v>12</v>
      </c>
      <c r="I1060" t="str">
        <f t="shared" si="16"/>
        <v>High Usage</v>
      </c>
    </row>
    <row r="1061" spans="1:9" x14ac:dyDescent="0.3">
      <c r="A1061">
        <v>11060</v>
      </c>
      <c r="B1061">
        <v>477</v>
      </c>
      <c r="C1061" s="2">
        <v>44706</v>
      </c>
      <c r="D1061" s="2" t="str">
        <f>TEXT(Table3[[#This Row],[usage_date]],"mmmm")</f>
        <v>May</v>
      </c>
      <c r="E1061" s="9">
        <f>YEAR(Table3[[#This Row],[usage_date]])</f>
        <v>2022</v>
      </c>
      <c r="F1061" s="14">
        <v>6.94</v>
      </c>
      <c r="G1061">
        <v>217</v>
      </c>
      <c r="H1061" t="s">
        <v>13</v>
      </c>
      <c r="I1061" t="str">
        <f t="shared" si="16"/>
        <v>High Usage</v>
      </c>
    </row>
    <row r="1062" spans="1:9" x14ac:dyDescent="0.3">
      <c r="A1062">
        <v>11061</v>
      </c>
      <c r="B1062">
        <v>265</v>
      </c>
      <c r="C1062" s="2">
        <v>44598</v>
      </c>
      <c r="D1062" s="2" t="str">
        <f>TEXT(Table3[[#This Row],[usage_date]],"mmmm")</f>
        <v>February</v>
      </c>
      <c r="E1062" s="9">
        <f>YEAR(Table3[[#This Row],[usage_date]])</f>
        <v>2022</v>
      </c>
      <c r="F1062" s="14">
        <v>4.95</v>
      </c>
      <c r="G1062">
        <v>283</v>
      </c>
      <c r="H1062" t="s">
        <v>13</v>
      </c>
      <c r="I1062" t="str">
        <f t="shared" si="16"/>
        <v>Normal Usage</v>
      </c>
    </row>
    <row r="1063" spans="1:9" x14ac:dyDescent="0.3">
      <c r="A1063">
        <v>11062</v>
      </c>
      <c r="B1063">
        <v>372</v>
      </c>
      <c r="C1063" s="2">
        <v>44894</v>
      </c>
      <c r="D1063" s="2" t="str">
        <f>TEXT(Table3[[#This Row],[usage_date]],"mmmm")</f>
        <v>November</v>
      </c>
      <c r="E1063" s="9">
        <f>YEAR(Table3[[#This Row],[usage_date]])</f>
        <v>2022</v>
      </c>
      <c r="F1063" s="14">
        <v>5.5</v>
      </c>
      <c r="G1063">
        <v>235</v>
      </c>
      <c r="H1063" t="s">
        <v>12</v>
      </c>
      <c r="I1063" t="str">
        <f t="shared" si="16"/>
        <v>Normal Usage</v>
      </c>
    </row>
    <row r="1064" spans="1:9" x14ac:dyDescent="0.3">
      <c r="A1064">
        <v>11063</v>
      </c>
      <c r="B1064">
        <v>486</v>
      </c>
      <c r="C1064" s="2">
        <v>44964</v>
      </c>
      <c r="D1064" s="2" t="str">
        <f>TEXT(Table3[[#This Row],[usage_date]],"mmmm")</f>
        <v>February</v>
      </c>
      <c r="E1064" s="9">
        <f>YEAR(Table3[[#This Row],[usage_date]])</f>
        <v>2023</v>
      </c>
      <c r="F1064" s="14">
        <v>1.58</v>
      </c>
      <c r="G1064">
        <v>12</v>
      </c>
      <c r="H1064" t="s">
        <v>13</v>
      </c>
      <c r="I1064" t="str">
        <f t="shared" si="16"/>
        <v>Normal Usage</v>
      </c>
    </row>
    <row r="1065" spans="1:9" x14ac:dyDescent="0.3">
      <c r="A1065">
        <v>11064</v>
      </c>
      <c r="B1065">
        <v>434</v>
      </c>
      <c r="C1065" s="2">
        <v>44975</v>
      </c>
      <c r="D1065" s="2" t="str">
        <f>TEXT(Table3[[#This Row],[usage_date]],"mmmm")</f>
        <v>February</v>
      </c>
      <c r="E1065" s="9">
        <f>YEAR(Table3[[#This Row],[usage_date]])</f>
        <v>2023</v>
      </c>
      <c r="F1065" s="14">
        <v>2.68</v>
      </c>
      <c r="G1065">
        <v>152</v>
      </c>
      <c r="H1065" t="s">
        <v>12</v>
      </c>
      <c r="I1065" t="str">
        <f t="shared" si="16"/>
        <v>Normal Usage</v>
      </c>
    </row>
    <row r="1066" spans="1:9" x14ac:dyDescent="0.3">
      <c r="A1066">
        <v>11065</v>
      </c>
      <c r="B1066">
        <v>134</v>
      </c>
      <c r="C1066" s="2">
        <v>44606</v>
      </c>
      <c r="D1066" s="2" t="str">
        <f>TEXT(Table3[[#This Row],[usage_date]],"mmmm")</f>
        <v>February</v>
      </c>
      <c r="E1066" s="9">
        <f>YEAR(Table3[[#This Row],[usage_date]])</f>
        <v>2022</v>
      </c>
      <c r="F1066" s="14">
        <v>5.64</v>
      </c>
      <c r="G1066">
        <v>238</v>
      </c>
      <c r="H1066" t="s">
        <v>12</v>
      </c>
      <c r="I1066" t="str">
        <f t="shared" si="16"/>
        <v>Normal Usage</v>
      </c>
    </row>
    <row r="1067" spans="1:9" x14ac:dyDescent="0.3">
      <c r="A1067">
        <v>11066</v>
      </c>
      <c r="B1067">
        <v>211</v>
      </c>
      <c r="C1067" s="2">
        <v>44963</v>
      </c>
      <c r="D1067" s="2" t="str">
        <f>TEXT(Table3[[#This Row],[usage_date]],"mmmm")</f>
        <v>February</v>
      </c>
      <c r="E1067" s="9">
        <f>YEAR(Table3[[#This Row],[usage_date]])</f>
        <v>2023</v>
      </c>
      <c r="F1067" s="14">
        <v>1.25</v>
      </c>
      <c r="G1067">
        <v>189</v>
      </c>
      <c r="H1067" t="s">
        <v>12</v>
      </c>
      <c r="I1067" t="str">
        <f t="shared" si="16"/>
        <v>Normal Usage</v>
      </c>
    </row>
    <row r="1068" spans="1:9" x14ac:dyDescent="0.3">
      <c r="A1068">
        <v>11067</v>
      </c>
      <c r="B1068">
        <v>60</v>
      </c>
      <c r="C1068" s="2">
        <v>44767</v>
      </c>
      <c r="D1068" s="2" t="str">
        <f>TEXT(Table3[[#This Row],[usage_date]],"mmmm")</f>
        <v>July</v>
      </c>
      <c r="E1068" s="9">
        <f>YEAR(Table3[[#This Row],[usage_date]])</f>
        <v>2022</v>
      </c>
      <c r="F1068" s="14">
        <v>8.16</v>
      </c>
      <c r="G1068">
        <v>150</v>
      </c>
      <c r="H1068" t="s">
        <v>12</v>
      </c>
      <c r="I1068" t="str">
        <f t="shared" si="16"/>
        <v>High Usage</v>
      </c>
    </row>
    <row r="1069" spans="1:9" x14ac:dyDescent="0.3">
      <c r="A1069">
        <v>11068</v>
      </c>
      <c r="B1069">
        <v>428</v>
      </c>
      <c r="C1069" s="2">
        <v>44623</v>
      </c>
      <c r="D1069" s="2" t="str">
        <f>TEXT(Table3[[#This Row],[usage_date]],"mmmm")</f>
        <v>March</v>
      </c>
      <c r="E1069" s="9">
        <f>YEAR(Table3[[#This Row],[usage_date]])</f>
        <v>2022</v>
      </c>
      <c r="F1069" s="14">
        <v>1.34</v>
      </c>
      <c r="G1069">
        <v>85</v>
      </c>
      <c r="H1069" t="s">
        <v>12</v>
      </c>
      <c r="I1069" t="str">
        <f t="shared" si="16"/>
        <v>Normal Usage</v>
      </c>
    </row>
    <row r="1070" spans="1:9" x14ac:dyDescent="0.3">
      <c r="A1070">
        <v>11069</v>
      </c>
      <c r="B1070">
        <v>377</v>
      </c>
      <c r="C1070" s="2">
        <v>44981</v>
      </c>
      <c r="D1070" s="2" t="str">
        <f>TEXT(Table3[[#This Row],[usage_date]],"mmmm")</f>
        <v>February</v>
      </c>
      <c r="E1070" s="9">
        <f>YEAR(Table3[[#This Row],[usage_date]])</f>
        <v>2023</v>
      </c>
      <c r="F1070" s="14">
        <v>2.2999999999999998</v>
      </c>
      <c r="G1070">
        <v>20</v>
      </c>
      <c r="H1070" t="s">
        <v>12</v>
      </c>
      <c r="I1070" t="str">
        <f t="shared" si="16"/>
        <v>Normal Usage</v>
      </c>
    </row>
    <row r="1071" spans="1:9" x14ac:dyDescent="0.3">
      <c r="A1071">
        <v>11070</v>
      </c>
      <c r="B1071">
        <v>395</v>
      </c>
      <c r="C1071" s="2">
        <v>45429</v>
      </c>
      <c r="D1071" s="2" t="str">
        <f>TEXT(Table3[[#This Row],[usage_date]],"mmmm")</f>
        <v>May</v>
      </c>
      <c r="E1071" s="9">
        <f>YEAR(Table3[[#This Row],[usage_date]])</f>
        <v>2024</v>
      </c>
      <c r="F1071" s="14">
        <v>3.09</v>
      </c>
      <c r="G1071">
        <v>181</v>
      </c>
      <c r="H1071" t="s">
        <v>12</v>
      </c>
      <c r="I1071" t="str">
        <f t="shared" si="16"/>
        <v>Normal Usage</v>
      </c>
    </row>
    <row r="1072" spans="1:9" x14ac:dyDescent="0.3">
      <c r="A1072">
        <v>11071</v>
      </c>
      <c r="B1072">
        <v>450</v>
      </c>
      <c r="C1072" s="2">
        <v>45029</v>
      </c>
      <c r="D1072" s="2" t="str">
        <f>TEXT(Table3[[#This Row],[usage_date]],"mmmm")</f>
        <v>April</v>
      </c>
      <c r="E1072" s="9">
        <f>YEAR(Table3[[#This Row],[usage_date]])</f>
        <v>2023</v>
      </c>
      <c r="F1072" s="14">
        <v>7.52</v>
      </c>
      <c r="G1072">
        <v>157</v>
      </c>
      <c r="H1072" t="s">
        <v>13</v>
      </c>
      <c r="I1072" t="str">
        <f t="shared" si="16"/>
        <v>High Usage</v>
      </c>
    </row>
    <row r="1073" spans="1:9" x14ac:dyDescent="0.3">
      <c r="A1073">
        <v>11072</v>
      </c>
      <c r="B1073">
        <v>431</v>
      </c>
      <c r="C1073" s="2">
        <v>45381</v>
      </c>
      <c r="D1073" s="2" t="str">
        <f>TEXT(Table3[[#This Row],[usage_date]],"mmmm")</f>
        <v>March</v>
      </c>
      <c r="E1073" s="9">
        <f>YEAR(Table3[[#This Row],[usage_date]])</f>
        <v>2024</v>
      </c>
      <c r="F1073" s="14">
        <v>0.7</v>
      </c>
      <c r="G1073">
        <v>75</v>
      </c>
      <c r="H1073" t="s">
        <v>12</v>
      </c>
      <c r="I1073" t="str">
        <f t="shared" si="16"/>
        <v>Normal Usage</v>
      </c>
    </row>
    <row r="1074" spans="1:9" x14ac:dyDescent="0.3">
      <c r="A1074">
        <v>11073</v>
      </c>
      <c r="B1074">
        <v>364</v>
      </c>
      <c r="C1074" s="2">
        <v>44580</v>
      </c>
      <c r="D1074" s="2" t="str">
        <f>TEXT(Table3[[#This Row],[usage_date]],"mmmm")</f>
        <v>January</v>
      </c>
      <c r="E1074" s="9">
        <f>YEAR(Table3[[#This Row],[usage_date]])</f>
        <v>2022</v>
      </c>
      <c r="F1074" s="14">
        <v>3.43</v>
      </c>
      <c r="G1074">
        <v>202</v>
      </c>
      <c r="H1074" t="s">
        <v>13</v>
      </c>
      <c r="I1074" t="str">
        <f t="shared" si="16"/>
        <v>Normal Usage</v>
      </c>
    </row>
    <row r="1075" spans="1:9" x14ac:dyDescent="0.3">
      <c r="A1075">
        <v>11074</v>
      </c>
      <c r="B1075">
        <v>364</v>
      </c>
      <c r="C1075" s="2">
        <v>44926</v>
      </c>
      <c r="D1075" s="2" t="str">
        <f>TEXT(Table3[[#This Row],[usage_date]],"mmmm")</f>
        <v>December</v>
      </c>
      <c r="E1075" s="9">
        <f>YEAR(Table3[[#This Row],[usage_date]])</f>
        <v>2022</v>
      </c>
      <c r="F1075" s="14">
        <v>1.84</v>
      </c>
      <c r="G1075">
        <v>228</v>
      </c>
      <c r="H1075" t="s">
        <v>13</v>
      </c>
      <c r="I1075" t="str">
        <f t="shared" si="16"/>
        <v>Normal Usage</v>
      </c>
    </row>
    <row r="1076" spans="1:9" x14ac:dyDescent="0.3">
      <c r="A1076">
        <v>11075</v>
      </c>
      <c r="B1076">
        <v>457</v>
      </c>
      <c r="C1076" s="2">
        <v>44861</v>
      </c>
      <c r="D1076" s="2" t="str">
        <f>TEXT(Table3[[#This Row],[usage_date]],"mmmm")</f>
        <v>October</v>
      </c>
      <c r="E1076" s="9">
        <f>YEAR(Table3[[#This Row],[usage_date]])</f>
        <v>2022</v>
      </c>
      <c r="F1076" s="14">
        <v>0.78</v>
      </c>
      <c r="G1076">
        <v>151</v>
      </c>
      <c r="H1076" t="s">
        <v>12</v>
      </c>
      <c r="I1076" t="str">
        <f t="shared" si="16"/>
        <v>Normal Usage</v>
      </c>
    </row>
    <row r="1077" spans="1:9" x14ac:dyDescent="0.3">
      <c r="A1077">
        <v>11076</v>
      </c>
      <c r="B1077">
        <v>213</v>
      </c>
      <c r="C1077" s="2">
        <v>44568</v>
      </c>
      <c r="D1077" s="2" t="str">
        <f>TEXT(Table3[[#This Row],[usage_date]],"mmmm")</f>
        <v>January</v>
      </c>
      <c r="E1077" s="9">
        <f>YEAR(Table3[[#This Row],[usage_date]])</f>
        <v>2022</v>
      </c>
      <c r="F1077" s="14">
        <v>3.75</v>
      </c>
      <c r="G1077">
        <v>262</v>
      </c>
      <c r="H1077" t="s">
        <v>12</v>
      </c>
      <c r="I1077" t="str">
        <f t="shared" si="16"/>
        <v>Normal Usage</v>
      </c>
    </row>
    <row r="1078" spans="1:9" x14ac:dyDescent="0.3">
      <c r="A1078">
        <v>11077</v>
      </c>
      <c r="B1078">
        <v>216</v>
      </c>
      <c r="C1078" s="2">
        <v>45322</v>
      </c>
      <c r="D1078" s="2" t="str">
        <f>TEXT(Table3[[#This Row],[usage_date]],"mmmm")</f>
        <v>January</v>
      </c>
      <c r="E1078" s="9">
        <f>YEAR(Table3[[#This Row],[usage_date]])</f>
        <v>2024</v>
      </c>
      <c r="F1078" s="14">
        <v>2.0099999999999998</v>
      </c>
      <c r="G1078">
        <v>71</v>
      </c>
      <c r="H1078" t="s">
        <v>12</v>
      </c>
      <c r="I1078" t="str">
        <f t="shared" si="16"/>
        <v>Normal Usage</v>
      </c>
    </row>
    <row r="1079" spans="1:9" x14ac:dyDescent="0.3">
      <c r="A1079">
        <v>11078</v>
      </c>
      <c r="B1079">
        <v>226</v>
      </c>
      <c r="C1079" s="2">
        <v>44989</v>
      </c>
      <c r="D1079" s="2" t="str">
        <f>TEXT(Table3[[#This Row],[usage_date]],"mmmm")</f>
        <v>March</v>
      </c>
      <c r="E1079" s="9">
        <f>YEAR(Table3[[#This Row],[usage_date]])</f>
        <v>2023</v>
      </c>
      <c r="F1079" s="14">
        <v>2.7</v>
      </c>
      <c r="G1079">
        <v>224</v>
      </c>
      <c r="H1079" t="s">
        <v>13</v>
      </c>
      <c r="I1079" t="str">
        <f t="shared" si="16"/>
        <v>Normal Usage</v>
      </c>
    </row>
    <row r="1080" spans="1:9" x14ac:dyDescent="0.3">
      <c r="A1080">
        <v>11079</v>
      </c>
      <c r="B1080">
        <v>470</v>
      </c>
      <c r="C1080" s="2">
        <v>44678</v>
      </c>
      <c r="D1080" s="2" t="str">
        <f>TEXT(Table3[[#This Row],[usage_date]],"mmmm")</f>
        <v>April</v>
      </c>
      <c r="E1080" s="9">
        <f>YEAR(Table3[[#This Row],[usage_date]])</f>
        <v>2022</v>
      </c>
      <c r="F1080" s="14">
        <v>0.97</v>
      </c>
      <c r="G1080">
        <v>130</v>
      </c>
      <c r="H1080" t="s">
        <v>12</v>
      </c>
      <c r="I1080" t="str">
        <f t="shared" si="16"/>
        <v>Normal Usage</v>
      </c>
    </row>
    <row r="1081" spans="1:9" x14ac:dyDescent="0.3">
      <c r="A1081">
        <v>11080</v>
      </c>
      <c r="B1081">
        <v>131</v>
      </c>
      <c r="C1081" s="2">
        <v>45141</v>
      </c>
      <c r="D1081" s="2" t="str">
        <f>TEXT(Table3[[#This Row],[usage_date]],"mmmm")</f>
        <v>August</v>
      </c>
      <c r="E1081" s="9">
        <f>YEAR(Table3[[#This Row],[usage_date]])</f>
        <v>2023</v>
      </c>
      <c r="F1081" s="14">
        <v>1.64</v>
      </c>
      <c r="G1081">
        <v>27</v>
      </c>
      <c r="H1081" t="s">
        <v>12</v>
      </c>
      <c r="I1081" t="str">
        <f t="shared" si="16"/>
        <v>Normal Usage</v>
      </c>
    </row>
    <row r="1082" spans="1:9" x14ac:dyDescent="0.3">
      <c r="A1082">
        <v>11081</v>
      </c>
      <c r="B1082">
        <v>76</v>
      </c>
      <c r="C1082" s="2">
        <v>45068</v>
      </c>
      <c r="D1082" s="2" t="str">
        <f>TEXT(Table3[[#This Row],[usage_date]],"mmmm")</f>
        <v>May</v>
      </c>
      <c r="E1082" s="9">
        <f>YEAR(Table3[[#This Row],[usage_date]])</f>
        <v>2023</v>
      </c>
      <c r="F1082" s="14">
        <v>2.4</v>
      </c>
      <c r="G1082">
        <v>298</v>
      </c>
      <c r="H1082" t="s">
        <v>13</v>
      </c>
      <c r="I1082" t="str">
        <f t="shared" si="16"/>
        <v>Normal Usage</v>
      </c>
    </row>
    <row r="1083" spans="1:9" x14ac:dyDescent="0.3">
      <c r="A1083">
        <v>11082</v>
      </c>
      <c r="B1083">
        <v>476</v>
      </c>
      <c r="C1083" s="2">
        <v>45107</v>
      </c>
      <c r="D1083" s="2" t="str">
        <f>TEXT(Table3[[#This Row],[usage_date]],"mmmm")</f>
        <v>June</v>
      </c>
      <c r="E1083" s="9">
        <f>YEAR(Table3[[#This Row],[usage_date]])</f>
        <v>2023</v>
      </c>
      <c r="F1083" s="14">
        <v>1.3</v>
      </c>
      <c r="G1083">
        <v>96</v>
      </c>
      <c r="H1083" t="s">
        <v>12</v>
      </c>
      <c r="I1083" t="str">
        <f t="shared" si="16"/>
        <v>Normal Usage</v>
      </c>
    </row>
    <row r="1084" spans="1:9" x14ac:dyDescent="0.3">
      <c r="A1084">
        <v>11083</v>
      </c>
      <c r="B1084">
        <v>286</v>
      </c>
      <c r="C1084" s="2">
        <v>45267</v>
      </c>
      <c r="D1084" s="2" t="str">
        <f>TEXT(Table3[[#This Row],[usage_date]],"mmmm")</f>
        <v>December</v>
      </c>
      <c r="E1084" s="9">
        <f>YEAR(Table3[[#This Row],[usage_date]])</f>
        <v>2023</v>
      </c>
      <c r="F1084" s="14">
        <v>0.55000000000000004</v>
      </c>
      <c r="G1084">
        <v>45</v>
      </c>
      <c r="H1084" t="s">
        <v>12</v>
      </c>
      <c r="I1084" t="str">
        <f t="shared" si="16"/>
        <v>Normal Usage</v>
      </c>
    </row>
    <row r="1085" spans="1:9" x14ac:dyDescent="0.3">
      <c r="A1085">
        <v>11084</v>
      </c>
      <c r="B1085">
        <v>474</v>
      </c>
      <c r="C1085" s="2">
        <v>44886</v>
      </c>
      <c r="D1085" s="2" t="str">
        <f>TEXT(Table3[[#This Row],[usage_date]],"mmmm")</f>
        <v>November</v>
      </c>
      <c r="E1085" s="9">
        <f>YEAR(Table3[[#This Row],[usage_date]])</f>
        <v>2022</v>
      </c>
      <c r="F1085" s="14">
        <v>8.15</v>
      </c>
      <c r="G1085">
        <v>0</v>
      </c>
      <c r="H1085" t="s">
        <v>12</v>
      </c>
      <c r="I1085" t="str">
        <f t="shared" si="16"/>
        <v>High Usage</v>
      </c>
    </row>
    <row r="1086" spans="1:9" x14ac:dyDescent="0.3">
      <c r="A1086">
        <v>11085</v>
      </c>
      <c r="B1086">
        <v>496</v>
      </c>
      <c r="C1086" s="2">
        <v>44616</v>
      </c>
      <c r="D1086" s="2" t="str">
        <f>TEXT(Table3[[#This Row],[usage_date]],"mmmm")</f>
        <v>February</v>
      </c>
      <c r="E1086" s="9">
        <f>YEAR(Table3[[#This Row],[usage_date]])</f>
        <v>2022</v>
      </c>
      <c r="F1086" s="14">
        <v>1.79</v>
      </c>
      <c r="G1086">
        <v>165</v>
      </c>
      <c r="H1086" t="s">
        <v>13</v>
      </c>
      <c r="I1086" t="str">
        <f t="shared" si="16"/>
        <v>Normal Usage</v>
      </c>
    </row>
    <row r="1087" spans="1:9" x14ac:dyDescent="0.3">
      <c r="A1087">
        <v>11086</v>
      </c>
      <c r="B1087">
        <v>277</v>
      </c>
      <c r="C1087" s="2">
        <v>45339</v>
      </c>
      <c r="D1087" s="2" t="str">
        <f>TEXT(Table3[[#This Row],[usage_date]],"mmmm")</f>
        <v>February</v>
      </c>
      <c r="E1087" s="9">
        <f>YEAR(Table3[[#This Row],[usage_date]])</f>
        <v>2024</v>
      </c>
      <c r="F1087" s="14">
        <v>3.31</v>
      </c>
      <c r="G1087">
        <v>244</v>
      </c>
      <c r="H1087" t="s">
        <v>13</v>
      </c>
      <c r="I1087" t="str">
        <f t="shared" si="16"/>
        <v>Normal Usage</v>
      </c>
    </row>
    <row r="1088" spans="1:9" x14ac:dyDescent="0.3">
      <c r="A1088">
        <v>11087</v>
      </c>
      <c r="B1088">
        <v>156</v>
      </c>
      <c r="C1088" s="2">
        <v>44603</v>
      </c>
      <c r="D1088" s="2" t="str">
        <f>TEXT(Table3[[#This Row],[usage_date]],"mmmm")</f>
        <v>February</v>
      </c>
      <c r="E1088" s="9">
        <f>YEAR(Table3[[#This Row],[usage_date]])</f>
        <v>2022</v>
      </c>
      <c r="F1088" s="14">
        <v>1.32</v>
      </c>
      <c r="G1088">
        <v>218</v>
      </c>
      <c r="H1088" t="s">
        <v>12</v>
      </c>
      <c r="I1088" t="str">
        <f t="shared" si="16"/>
        <v>Normal Usage</v>
      </c>
    </row>
    <row r="1089" spans="1:9" x14ac:dyDescent="0.3">
      <c r="A1089">
        <v>11088</v>
      </c>
      <c r="B1089">
        <v>248</v>
      </c>
      <c r="C1089" s="2">
        <v>44858</v>
      </c>
      <c r="D1089" s="2" t="str">
        <f>TEXT(Table3[[#This Row],[usage_date]],"mmmm")</f>
        <v>October</v>
      </c>
      <c r="E1089" s="9">
        <f>YEAR(Table3[[#This Row],[usage_date]])</f>
        <v>2022</v>
      </c>
      <c r="F1089" s="14">
        <v>1.1000000000000001</v>
      </c>
      <c r="G1089">
        <v>101</v>
      </c>
      <c r="H1089" t="s">
        <v>12</v>
      </c>
      <c r="I1089" t="str">
        <f t="shared" si="16"/>
        <v>Normal Usage</v>
      </c>
    </row>
    <row r="1090" spans="1:9" x14ac:dyDescent="0.3">
      <c r="A1090">
        <v>11089</v>
      </c>
      <c r="B1090">
        <v>218</v>
      </c>
      <c r="C1090" s="2">
        <v>44792</v>
      </c>
      <c r="D1090" s="2" t="str">
        <f>TEXT(Table3[[#This Row],[usage_date]],"mmmm")</f>
        <v>August</v>
      </c>
      <c r="E1090" s="9">
        <f>YEAR(Table3[[#This Row],[usage_date]])</f>
        <v>2022</v>
      </c>
      <c r="F1090" s="14">
        <v>1.31</v>
      </c>
      <c r="G1090">
        <v>290</v>
      </c>
      <c r="H1090" t="s">
        <v>13</v>
      </c>
      <c r="I1090" t="str">
        <f t="shared" ref="I1090:I1153" si="17">IF(F1090&gt;6,"High Usage","Normal Usage")</f>
        <v>Normal Usage</v>
      </c>
    </row>
    <row r="1091" spans="1:9" x14ac:dyDescent="0.3">
      <c r="A1091">
        <v>11090</v>
      </c>
      <c r="B1091">
        <v>190</v>
      </c>
      <c r="C1091" s="2">
        <v>45014</v>
      </c>
      <c r="D1091" s="2" t="str">
        <f>TEXT(Table3[[#This Row],[usage_date]],"mmmm")</f>
        <v>March</v>
      </c>
      <c r="E1091" s="9">
        <f>YEAR(Table3[[#This Row],[usage_date]])</f>
        <v>2023</v>
      </c>
      <c r="F1091" s="14">
        <v>1.32</v>
      </c>
      <c r="G1091">
        <v>203</v>
      </c>
      <c r="H1091" t="s">
        <v>13</v>
      </c>
      <c r="I1091" t="str">
        <f t="shared" si="17"/>
        <v>Normal Usage</v>
      </c>
    </row>
    <row r="1092" spans="1:9" x14ac:dyDescent="0.3">
      <c r="A1092">
        <v>11091</v>
      </c>
      <c r="B1092">
        <v>417</v>
      </c>
      <c r="C1092" s="2">
        <v>45451</v>
      </c>
      <c r="D1092" s="2" t="str">
        <f>TEXT(Table3[[#This Row],[usage_date]],"mmmm")</f>
        <v>June</v>
      </c>
      <c r="E1092" s="9">
        <f>YEAR(Table3[[#This Row],[usage_date]])</f>
        <v>2024</v>
      </c>
      <c r="F1092" s="14">
        <v>1.96</v>
      </c>
      <c r="G1092">
        <v>201</v>
      </c>
      <c r="H1092" t="s">
        <v>13</v>
      </c>
      <c r="I1092" t="str">
        <f t="shared" si="17"/>
        <v>Normal Usage</v>
      </c>
    </row>
    <row r="1093" spans="1:9" x14ac:dyDescent="0.3">
      <c r="A1093">
        <v>11092</v>
      </c>
      <c r="B1093">
        <v>469</v>
      </c>
      <c r="C1093" s="2">
        <v>44955</v>
      </c>
      <c r="D1093" s="2" t="str">
        <f>TEXT(Table3[[#This Row],[usage_date]],"mmmm")</f>
        <v>January</v>
      </c>
      <c r="E1093" s="9">
        <f>YEAR(Table3[[#This Row],[usage_date]])</f>
        <v>2023</v>
      </c>
      <c r="F1093" s="14">
        <v>1.96</v>
      </c>
      <c r="G1093">
        <v>53</v>
      </c>
      <c r="H1093" t="s">
        <v>12</v>
      </c>
      <c r="I1093" t="str">
        <f t="shared" si="17"/>
        <v>Normal Usage</v>
      </c>
    </row>
    <row r="1094" spans="1:9" x14ac:dyDescent="0.3">
      <c r="A1094">
        <v>11093</v>
      </c>
      <c r="B1094">
        <v>163</v>
      </c>
      <c r="C1094" s="2">
        <v>45083</v>
      </c>
      <c r="D1094" s="2" t="str">
        <f>TEXT(Table3[[#This Row],[usage_date]],"mmmm")</f>
        <v>June</v>
      </c>
      <c r="E1094" s="9">
        <f>YEAR(Table3[[#This Row],[usage_date]])</f>
        <v>2023</v>
      </c>
      <c r="F1094" s="14">
        <v>1.72</v>
      </c>
      <c r="G1094">
        <v>279</v>
      </c>
      <c r="H1094" t="s">
        <v>13</v>
      </c>
      <c r="I1094" t="str">
        <f t="shared" si="17"/>
        <v>Normal Usage</v>
      </c>
    </row>
    <row r="1095" spans="1:9" x14ac:dyDescent="0.3">
      <c r="A1095">
        <v>11094</v>
      </c>
      <c r="B1095">
        <v>180</v>
      </c>
      <c r="C1095" s="2">
        <v>44919</v>
      </c>
      <c r="D1095" s="2" t="str">
        <f>TEXT(Table3[[#This Row],[usage_date]],"mmmm")</f>
        <v>December</v>
      </c>
      <c r="E1095" s="9">
        <f>YEAR(Table3[[#This Row],[usage_date]])</f>
        <v>2022</v>
      </c>
      <c r="F1095" s="14">
        <v>0.36</v>
      </c>
      <c r="G1095">
        <v>277</v>
      </c>
      <c r="H1095" t="s">
        <v>12</v>
      </c>
      <c r="I1095" t="str">
        <f t="shared" si="17"/>
        <v>Normal Usage</v>
      </c>
    </row>
    <row r="1096" spans="1:9" x14ac:dyDescent="0.3">
      <c r="A1096">
        <v>11095</v>
      </c>
      <c r="B1096">
        <v>34</v>
      </c>
      <c r="C1096" s="2">
        <v>45005</v>
      </c>
      <c r="D1096" s="2" t="str">
        <f>TEXT(Table3[[#This Row],[usage_date]],"mmmm")</f>
        <v>March</v>
      </c>
      <c r="E1096" s="9">
        <f>YEAR(Table3[[#This Row],[usage_date]])</f>
        <v>2023</v>
      </c>
      <c r="F1096" s="14">
        <v>1.71</v>
      </c>
      <c r="G1096">
        <v>15</v>
      </c>
      <c r="H1096" t="s">
        <v>12</v>
      </c>
      <c r="I1096" t="str">
        <f t="shared" si="17"/>
        <v>Normal Usage</v>
      </c>
    </row>
    <row r="1097" spans="1:9" x14ac:dyDescent="0.3">
      <c r="A1097">
        <v>11096</v>
      </c>
      <c r="B1097">
        <v>41</v>
      </c>
      <c r="C1097" s="2">
        <v>44689</v>
      </c>
      <c r="D1097" s="2" t="str">
        <f>TEXT(Table3[[#This Row],[usage_date]],"mmmm")</f>
        <v>May</v>
      </c>
      <c r="E1097" s="9">
        <f>YEAR(Table3[[#This Row],[usage_date]])</f>
        <v>2022</v>
      </c>
      <c r="F1097" s="14">
        <v>0.46</v>
      </c>
      <c r="G1097">
        <v>12</v>
      </c>
      <c r="H1097" t="s">
        <v>13</v>
      </c>
      <c r="I1097" t="str">
        <f t="shared" si="17"/>
        <v>Normal Usage</v>
      </c>
    </row>
    <row r="1098" spans="1:9" x14ac:dyDescent="0.3">
      <c r="A1098">
        <v>11097</v>
      </c>
      <c r="B1098">
        <v>307</v>
      </c>
      <c r="C1098" s="2">
        <v>45252</v>
      </c>
      <c r="D1098" s="2" t="str">
        <f>TEXT(Table3[[#This Row],[usage_date]],"mmmm")</f>
        <v>November</v>
      </c>
      <c r="E1098" s="9">
        <f>YEAR(Table3[[#This Row],[usage_date]])</f>
        <v>2023</v>
      </c>
      <c r="F1098" s="14">
        <v>0.34</v>
      </c>
      <c r="G1098">
        <v>86</v>
      </c>
      <c r="H1098" t="s">
        <v>12</v>
      </c>
      <c r="I1098" t="str">
        <f t="shared" si="17"/>
        <v>Normal Usage</v>
      </c>
    </row>
    <row r="1099" spans="1:9" x14ac:dyDescent="0.3">
      <c r="A1099">
        <v>11098</v>
      </c>
      <c r="B1099">
        <v>431</v>
      </c>
      <c r="C1099" s="2">
        <v>44966</v>
      </c>
      <c r="D1099" s="2" t="str">
        <f>TEXT(Table3[[#This Row],[usage_date]],"mmmm")</f>
        <v>February</v>
      </c>
      <c r="E1099" s="9">
        <f>YEAR(Table3[[#This Row],[usage_date]])</f>
        <v>2023</v>
      </c>
      <c r="F1099" s="14">
        <v>6.74</v>
      </c>
      <c r="G1099">
        <v>77</v>
      </c>
      <c r="H1099" t="s">
        <v>13</v>
      </c>
      <c r="I1099" t="str">
        <f t="shared" si="17"/>
        <v>High Usage</v>
      </c>
    </row>
    <row r="1100" spans="1:9" x14ac:dyDescent="0.3">
      <c r="A1100">
        <v>11099</v>
      </c>
      <c r="B1100">
        <v>338</v>
      </c>
      <c r="C1100" s="2">
        <v>44953</v>
      </c>
      <c r="D1100" s="2" t="str">
        <f>TEXT(Table3[[#This Row],[usage_date]],"mmmm")</f>
        <v>January</v>
      </c>
      <c r="E1100" s="9">
        <f>YEAR(Table3[[#This Row],[usage_date]])</f>
        <v>2023</v>
      </c>
      <c r="F1100" s="14">
        <v>2.3199999999999998</v>
      </c>
      <c r="G1100">
        <v>66</v>
      </c>
      <c r="H1100" t="s">
        <v>12</v>
      </c>
      <c r="I1100" t="str">
        <f t="shared" si="17"/>
        <v>Normal Usage</v>
      </c>
    </row>
    <row r="1101" spans="1:9" x14ac:dyDescent="0.3">
      <c r="A1101">
        <v>11100</v>
      </c>
      <c r="B1101">
        <v>314</v>
      </c>
      <c r="C1101" s="2">
        <v>44754</v>
      </c>
      <c r="D1101" s="2" t="str">
        <f>TEXT(Table3[[#This Row],[usage_date]],"mmmm")</f>
        <v>July</v>
      </c>
      <c r="E1101" s="9">
        <f>YEAR(Table3[[#This Row],[usage_date]])</f>
        <v>2022</v>
      </c>
      <c r="F1101" s="14">
        <v>2.69</v>
      </c>
      <c r="G1101">
        <v>210</v>
      </c>
      <c r="H1101" t="s">
        <v>13</v>
      </c>
      <c r="I1101" t="str">
        <f t="shared" si="17"/>
        <v>Normal Usage</v>
      </c>
    </row>
    <row r="1102" spans="1:9" x14ac:dyDescent="0.3">
      <c r="A1102">
        <v>11101</v>
      </c>
      <c r="B1102">
        <v>75</v>
      </c>
      <c r="C1102" s="2">
        <v>45165</v>
      </c>
      <c r="D1102" s="2" t="str">
        <f>TEXT(Table3[[#This Row],[usage_date]],"mmmm")</f>
        <v>August</v>
      </c>
      <c r="E1102" s="9">
        <f>YEAR(Table3[[#This Row],[usage_date]])</f>
        <v>2023</v>
      </c>
      <c r="F1102" s="14">
        <v>1.28</v>
      </c>
      <c r="G1102">
        <v>213</v>
      </c>
      <c r="H1102" t="s">
        <v>12</v>
      </c>
      <c r="I1102" t="str">
        <f t="shared" si="17"/>
        <v>Normal Usage</v>
      </c>
    </row>
    <row r="1103" spans="1:9" x14ac:dyDescent="0.3">
      <c r="A1103">
        <v>11102</v>
      </c>
      <c r="B1103">
        <v>441</v>
      </c>
      <c r="C1103" s="2">
        <v>45442</v>
      </c>
      <c r="D1103" s="2" t="str">
        <f>TEXT(Table3[[#This Row],[usage_date]],"mmmm")</f>
        <v>May</v>
      </c>
      <c r="E1103" s="9">
        <f>YEAR(Table3[[#This Row],[usage_date]])</f>
        <v>2024</v>
      </c>
      <c r="F1103" s="14">
        <v>5.99</v>
      </c>
      <c r="G1103">
        <v>184</v>
      </c>
      <c r="H1103" t="s">
        <v>12</v>
      </c>
      <c r="I1103" t="str">
        <f t="shared" si="17"/>
        <v>Normal Usage</v>
      </c>
    </row>
    <row r="1104" spans="1:9" x14ac:dyDescent="0.3">
      <c r="A1104">
        <v>11103</v>
      </c>
      <c r="B1104">
        <v>279</v>
      </c>
      <c r="C1104" s="2">
        <v>45304</v>
      </c>
      <c r="D1104" s="2" t="str">
        <f>TEXT(Table3[[#This Row],[usage_date]],"mmmm")</f>
        <v>January</v>
      </c>
      <c r="E1104" s="9">
        <f>YEAR(Table3[[#This Row],[usage_date]])</f>
        <v>2024</v>
      </c>
      <c r="F1104" s="14">
        <v>2.54</v>
      </c>
      <c r="G1104">
        <v>32</v>
      </c>
      <c r="H1104" t="s">
        <v>12</v>
      </c>
      <c r="I1104" t="str">
        <f t="shared" si="17"/>
        <v>Normal Usage</v>
      </c>
    </row>
    <row r="1105" spans="1:9" x14ac:dyDescent="0.3">
      <c r="A1105">
        <v>11104</v>
      </c>
      <c r="B1105">
        <v>176</v>
      </c>
      <c r="C1105" s="2">
        <v>44639</v>
      </c>
      <c r="D1105" s="2" t="str">
        <f>TEXT(Table3[[#This Row],[usage_date]],"mmmm")</f>
        <v>March</v>
      </c>
      <c r="E1105" s="9">
        <f>YEAR(Table3[[#This Row],[usage_date]])</f>
        <v>2022</v>
      </c>
      <c r="F1105" s="14">
        <v>3.67</v>
      </c>
      <c r="G1105">
        <v>114</v>
      </c>
      <c r="H1105" t="s">
        <v>12</v>
      </c>
      <c r="I1105" t="str">
        <f t="shared" si="17"/>
        <v>Normal Usage</v>
      </c>
    </row>
    <row r="1106" spans="1:9" x14ac:dyDescent="0.3">
      <c r="A1106">
        <v>11105</v>
      </c>
      <c r="B1106">
        <v>384</v>
      </c>
      <c r="C1106" s="2">
        <v>44646</v>
      </c>
      <c r="D1106" s="2" t="str">
        <f>TEXT(Table3[[#This Row],[usage_date]],"mmmm")</f>
        <v>March</v>
      </c>
      <c r="E1106" s="9">
        <f>YEAR(Table3[[#This Row],[usage_date]])</f>
        <v>2022</v>
      </c>
      <c r="F1106" s="14">
        <v>1.1499999999999999</v>
      </c>
      <c r="G1106">
        <v>274</v>
      </c>
      <c r="H1106" t="s">
        <v>13</v>
      </c>
      <c r="I1106" t="str">
        <f t="shared" si="17"/>
        <v>Normal Usage</v>
      </c>
    </row>
    <row r="1107" spans="1:9" x14ac:dyDescent="0.3">
      <c r="A1107">
        <v>11106</v>
      </c>
      <c r="B1107">
        <v>150</v>
      </c>
      <c r="C1107" s="2">
        <v>44591</v>
      </c>
      <c r="D1107" s="2" t="str">
        <f>TEXT(Table3[[#This Row],[usage_date]],"mmmm")</f>
        <v>January</v>
      </c>
      <c r="E1107" s="9">
        <f>YEAR(Table3[[#This Row],[usage_date]])</f>
        <v>2022</v>
      </c>
      <c r="F1107" s="14">
        <v>8.0500000000000007</v>
      </c>
      <c r="G1107">
        <v>197</v>
      </c>
      <c r="H1107" t="s">
        <v>12</v>
      </c>
      <c r="I1107" t="str">
        <f t="shared" si="17"/>
        <v>High Usage</v>
      </c>
    </row>
    <row r="1108" spans="1:9" x14ac:dyDescent="0.3">
      <c r="A1108">
        <v>11107</v>
      </c>
      <c r="B1108">
        <v>273</v>
      </c>
      <c r="C1108" s="2">
        <v>45286</v>
      </c>
      <c r="D1108" s="2" t="str">
        <f>TEXT(Table3[[#This Row],[usage_date]],"mmmm")</f>
        <v>December</v>
      </c>
      <c r="E1108" s="9">
        <f>YEAR(Table3[[#This Row],[usage_date]])</f>
        <v>2023</v>
      </c>
      <c r="F1108" s="14">
        <v>4.29</v>
      </c>
      <c r="G1108">
        <v>142</v>
      </c>
      <c r="H1108" t="s">
        <v>12</v>
      </c>
      <c r="I1108" t="str">
        <f t="shared" si="17"/>
        <v>Normal Usage</v>
      </c>
    </row>
    <row r="1109" spans="1:9" x14ac:dyDescent="0.3">
      <c r="A1109">
        <v>11108</v>
      </c>
      <c r="B1109">
        <v>325</v>
      </c>
      <c r="C1109" s="2">
        <v>44610</v>
      </c>
      <c r="D1109" s="2" t="str">
        <f>TEXT(Table3[[#This Row],[usage_date]],"mmmm")</f>
        <v>February</v>
      </c>
      <c r="E1109" s="9">
        <f>YEAR(Table3[[#This Row],[usage_date]])</f>
        <v>2022</v>
      </c>
      <c r="F1109" s="14">
        <v>4.8099999999999996</v>
      </c>
      <c r="G1109">
        <v>227</v>
      </c>
      <c r="H1109" t="s">
        <v>12</v>
      </c>
      <c r="I1109" t="str">
        <f t="shared" si="17"/>
        <v>Normal Usage</v>
      </c>
    </row>
    <row r="1110" spans="1:9" x14ac:dyDescent="0.3">
      <c r="A1110">
        <v>11109</v>
      </c>
      <c r="B1110">
        <v>108</v>
      </c>
      <c r="C1110" s="2">
        <v>45338</v>
      </c>
      <c r="D1110" s="2" t="str">
        <f>TEXT(Table3[[#This Row],[usage_date]],"mmmm")</f>
        <v>February</v>
      </c>
      <c r="E1110" s="9">
        <f>YEAR(Table3[[#This Row],[usage_date]])</f>
        <v>2024</v>
      </c>
      <c r="F1110" s="14">
        <v>0.47</v>
      </c>
      <c r="G1110">
        <v>119</v>
      </c>
      <c r="H1110" t="s">
        <v>13</v>
      </c>
      <c r="I1110" t="str">
        <f t="shared" si="17"/>
        <v>Normal Usage</v>
      </c>
    </row>
    <row r="1111" spans="1:9" x14ac:dyDescent="0.3">
      <c r="A1111">
        <v>11110</v>
      </c>
      <c r="B1111">
        <v>139</v>
      </c>
      <c r="C1111" s="2">
        <v>44706</v>
      </c>
      <c r="D1111" s="2" t="str">
        <f>TEXT(Table3[[#This Row],[usage_date]],"mmmm")</f>
        <v>May</v>
      </c>
      <c r="E1111" s="9">
        <f>YEAR(Table3[[#This Row],[usage_date]])</f>
        <v>2022</v>
      </c>
      <c r="F1111" s="14">
        <v>0.79</v>
      </c>
      <c r="G1111">
        <v>23</v>
      </c>
      <c r="H1111" t="s">
        <v>12</v>
      </c>
      <c r="I1111" t="str">
        <f t="shared" si="17"/>
        <v>Normal Usage</v>
      </c>
    </row>
    <row r="1112" spans="1:9" x14ac:dyDescent="0.3">
      <c r="A1112">
        <v>11111</v>
      </c>
      <c r="B1112">
        <v>350</v>
      </c>
      <c r="C1112" s="2">
        <v>44630</v>
      </c>
      <c r="D1112" s="2" t="str">
        <f>TEXT(Table3[[#This Row],[usage_date]],"mmmm")</f>
        <v>March</v>
      </c>
      <c r="E1112" s="9">
        <f>YEAR(Table3[[#This Row],[usage_date]])</f>
        <v>2022</v>
      </c>
      <c r="F1112" s="14">
        <v>0.84</v>
      </c>
      <c r="G1112">
        <v>26</v>
      </c>
      <c r="H1112" t="s">
        <v>12</v>
      </c>
      <c r="I1112" t="str">
        <f t="shared" si="17"/>
        <v>Normal Usage</v>
      </c>
    </row>
    <row r="1113" spans="1:9" x14ac:dyDescent="0.3">
      <c r="A1113">
        <v>11112</v>
      </c>
      <c r="B1113">
        <v>271</v>
      </c>
      <c r="C1113" s="2">
        <v>44619</v>
      </c>
      <c r="D1113" s="2" t="str">
        <f>TEXT(Table3[[#This Row],[usage_date]],"mmmm")</f>
        <v>February</v>
      </c>
      <c r="E1113" s="9">
        <f>YEAR(Table3[[#This Row],[usage_date]])</f>
        <v>2022</v>
      </c>
      <c r="F1113" s="14">
        <v>0.79</v>
      </c>
      <c r="G1113">
        <v>74</v>
      </c>
      <c r="H1113" t="s">
        <v>12</v>
      </c>
      <c r="I1113" t="str">
        <f t="shared" si="17"/>
        <v>Normal Usage</v>
      </c>
    </row>
    <row r="1114" spans="1:9" x14ac:dyDescent="0.3">
      <c r="A1114">
        <v>11113</v>
      </c>
      <c r="B1114">
        <v>347</v>
      </c>
      <c r="C1114" s="2">
        <v>45258</v>
      </c>
      <c r="D1114" s="2" t="str">
        <f>TEXT(Table3[[#This Row],[usage_date]],"mmmm")</f>
        <v>November</v>
      </c>
      <c r="E1114" s="9">
        <f>YEAR(Table3[[#This Row],[usage_date]])</f>
        <v>2023</v>
      </c>
      <c r="F1114" s="14">
        <v>4.83</v>
      </c>
      <c r="G1114">
        <v>240</v>
      </c>
      <c r="H1114" t="s">
        <v>13</v>
      </c>
      <c r="I1114" t="str">
        <f t="shared" si="17"/>
        <v>Normal Usage</v>
      </c>
    </row>
    <row r="1115" spans="1:9" x14ac:dyDescent="0.3">
      <c r="A1115">
        <v>11114</v>
      </c>
      <c r="B1115">
        <v>419</v>
      </c>
      <c r="C1115" s="2">
        <v>45135</v>
      </c>
      <c r="D1115" s="2" t="str">
        <f>TEXT(Table3[[#This Row],[usage_date]],"mmmm")</f>
        <v>July</v>
      </c>
      <c r="E1115" s="9">
        <f>YEAR(Table3[[#This Row],[usage_date]])</f>
        <v>2023</v>
      </c>
      <c r="F1115" s="14">
        <v>0.08</v>
      </c>
      <c r="G1115">
        <v>22</v>
      </c>
      <c r="H1115" t="s">
        <v>12</v>
      </c>
      <c r="I1115" t="str">
        <f t="shared" si="17"/>
        <v>Normal Usage</v>
      </c>
    </row>
    <row r="1116" spans="1:9" x14ac:dyDescent="0.3">
      <c r="A1116">
        <v>11115</v>
      </c>
      <c r="B1116">
        <v>289</v>
      </c>
      <c r="C1116" s="2">
        <v>45040</v>
      </c>
      <c r="D1116" s="2" t="str">
        <f>TEXT(Table3[[#This Row],[usage_date]],"mmmm")</f>
        <v>April</v>
      </c>
      <c r="E1116" s="9">
        <f>YEAR(Table3[[#This Row],[usage_date]])</f>
        <v>2023</v>
      </c>
      <c r="F1116" s="14">
        <v>0.2</v>
      </c>
      <c r="G1116">
        <v>160</v>
      </c>
      <c r="H1116" t="s">
        <v>12</v>
      </c>
      <c r="I1116" t="str">
        <f t="shared" si="17"/>
        <v>Normal Usage</v>
      </c>
    </row>
    <row r="1117" spans="1:9" x14ac:dyDescent="0.3">
      <c r="A1117">
        <v>11116</v>
      </c>
      <c r="B1117">
        <v>212</v>
      </c>
      <c r="C1117" s="2">
        <v>45381</v>
      </c>
      <c r="D1117" s="2" t="str">
        <f>TEXT(Table3[[#This Row],[usage_date]],"mmmm")</f>
        <v>March</v>
      </c>
      <c r="E1117" s="9">
        <f>YEAR(Table3[[#This Row],[usage_date]])</f>
        <v>2024</v>
      </c>
      <c r="F1117" s="14">
        <v>0.8</v>
      </c>
      <c r="G1117">
        <v>40</v>
      </c>
      <c r="H1117" t="s">
        <v>13</v>
      </c>
      <c r="I1117" t="str">
        <f t="shared" si="17"/>
        <v>Normal Usage</v>
      </c>
    </row>
    <row r="1118" spans="1:9" x14ac:dyDescent="0.3">
      <c r="A1118">
        <v>11117</v>
      </c>
      <c r="B1118">
        <v>381</v>
      </c>
      <c r="C1118" s="2">
        <v>45006</v>
      </c>
      <c r="D1118" s="2" t="str">
        <f>TEXT(Table3[[#This Row],[usage_date]],"mmmm")</f>
        <v>March</v>
      </c>
      <c r="E1118" s="9">
        <f>YEAR(Table3[[#This Row],[usage_date]])</f>
        <v>2023</v>
      </c>
      <c r="F1118" s="14">
        <v>0.56000000000000005</v>
      </c>
      <c r="G1118">
        <v>237</v>
      </c>
      <c r="H1118" t="s">
        <v>12</v>
      </c>
      <c r="I1118" t="str">
        <f t="shared" si="17"/>
        <v>Normal Usage</v>
      </c>
    </row>
    <row r="1119" spans="1:9" x14ac:dyDescent="0.3">
      <c r="A1119">
        <v>11118</v>
      </c>
      <c r="B1119">
        <v>272</v>
      </c>
      <c r="C1119" s="2">
        <v>44857</v>
      </c>
      <c r="D1119" s="2" t="str">
        <f>TEXT(Table3[[#This Row],[usage_date]],"mmmm")</f>
        <v>October</v>
      </c>
      <c r="E1119" s="9">
        <f>YEAR(Table3[[#This Row],[usage_date]])</f>
        <v>2022</v>
      </c>
      <c r="F1119" s="14">
        <v>0.66</v>
      </c>
      <c r="G1119">
        <v>238</v>
      </c>
      <c r="H1119" t="s">
        <v>12</v>
      </c>
      <c r="I1119" t="str">
        <f t="shared" si="17"/>
        <v>Normal Usage</v>
      </c>
    </row>
    <row r="1120" spans="1:9" x14ac:dyDescent="0.3">
      <c r="A1120">
        <v>11119</v>
      </c>
      <c r="B1120">
        <v>418</v>
      </c>
      <c r="C1120" s="2">
        <v>45239</v>
      </c>
      <c r="D1120" s="2" t="str">
        <f>TEXT(Table3[[#This Row],[usage_date]],"mmmm")</f>
        <v>November</v>
      </c>
      <c r="E1120" s="9">
        <f>YEAR(Table3[[#This Row],[usage_date]])</f>
        <v>2023</v>
      </c>
      <c r="F1120" s="14">
        <v>4</v>
      </c>
      <c r="G1120">
        <v>55</v>
      </c>
      <c r="H1120" t="s">
        <v>13</v>
      </c>
      <c r="I1120" t="str">
        <f t="shared" si="17"/>
        <v>Normal Usage</v>
      </c>
    </row>
    <row r="1121" spans="1:9" x14ac:dyDescent="0.3">
      <c r="A1121">
        <v>11120</v>
      </c>
      <c r="B1121">
        <v>66</v>
      </c>
      <c r="C1121" s="2">
        <v>44732</v>
      </c>
      <c r="D1121" s="2" t="str">
        <f>TEXT(Table3[[#This Row],[usage_date]],"mmmm")</f>
        <v>June</v>
      </c>
      <c r="E1121" s="9">
        <f>YEAR(Table3[[#This Row],[usage_date]])</f>
        <v>2022</v>
      </c>
      <c r="F1121" s="14">
        <v>2.0699999999999998</v>
      </c>
      <c r="G1121">
        <v>97</v>
      </c>
      <c r="H1121" t="s">
        <v>12</v>
      </c>
      <c r="I1121" t="str">
        <f t="shared" si="17"/>
        <v>Normal Usage</v>
      </c>
    </row>
    <row r="1122" spans="1:9" x14ac:dyDescent="0.3">
      <c r="A1122">
        <v>11121</v>
      </c>
      <c r="B1122">
        <v>483</v>
      </c>
      <c r="C1122" s="2">
        <v>45136</v>
      </c>
      <c r="D1122" s="2" t="str">
        <f>TEXT(Table3[[#This Row],[usage_date]],"mmmm")</f>
        <v>July</v>
      </c>
      <c r="E1122" s="9">
        <f>YEAR(Table3[[#This Row],[usage_date]])</f>
        <v>2023</v>
      </c>
      <c r="F1122" s="14">
        <v>0.01</v>
      </c>
      <c r="G1122">
        <v>145</v>
      </c>
      <c r="H1122" t="s">
        <v>12</v>
      </c>
      <c r="I1122" t="str">
        <f t="shared" si="17"/>
        <v>Normal Usage</v>
      </c>
    </row>
    <row r="1123" spans="1:9" x14ac:dyDescent="0.3">
      <c r="A1123">
        <v>11122</v>
      </c>
      <c r="B1123">
        <v>424</v>
      </c>
      <c r="C1123" s="2">
        <v>44708</v>
      </c>
      <c r="D1123" s="2" t="str">
        <f>TEXT(Table3[[#This Row],[usage_date]],"mmmm")</f>
        <v>May</v>
      </c>
      <c r="E1123" s="9">
        <f>YEAR(Table3[[#This Row],[usage_date]])</f>
        <v>2022</v>
      </c>
      <c r="F1123" s="14">
        <v>1.4</v>
      </c>
      <c r="G1123">
        <v>261</v>
      </c>
      <c r="H1123" t="s">
        <v>12</v>
      </c>
      <c r="I1123" t="str">
        <f t="shared" si="17"/>
        <v>Normal Usage</v>
      </c>
    </row>
    <row r="1124" spans="1:9" x14ac:dyDescent="0.3">
      <c r="A1124">
        <v>11123</v>
      </c>
      <c r="B1124">
        <v>248</v>
      </c>
      <c r="C1124" s="2">
        <v>45045</v>
      </c>
      <c r="D1124" s="2" t="str">
        <f>TEXT(Table3[[#This Row],[usage_date]],"mmmm")</f>
        <v>April</v>
      </c>
      <c r="E1124" s="9">
        <f>YEAR(Table3[[#This Row],[usage_date]])</f>
        <v>2023</v>
      </c>
      <c r="F1124" s="14">
        <v>1.31</v>
      </c>
      <c r="G1124">
        <v>39</v>
      </c>
      <c r="H1124" t="s">
        <v>13</v>
      </c>
      <c r="I1124" t="str">
        <f t="shared" si="17"/>
        <v>Normal Usage</v>
      </c>
    </row>
    <row r="1125" spans="1:9" x14ac:dyDescent="0.3">
      <c r="A1125">
        <v>11124</v>
      </c>
      <c r="B1125">
        <v>156</v>
      </c>
      <c r="C1125" s="2">
        <v>44867</v>
      </c>
      <c r="D1125" s="2" t="str">
        <f>TEXT(Table3[[#This Row],[usage_date]],"mmmm")</f>
        <v>November</v>
      </c>
      <c r="E1125" s="9">
        <f>YEAR(Table3[[#This Row],[usage_date]])</f>
        <v>2022</v>
      </c>
      <c r="F1125" s="14">
        <v>0.3</v>
      </c>
      <c r="G1125">
        <v>192</v>
      </c>
      <c r="H1125" t="s">
        <v>12</v>
      </c>
      <c r="I1125" t="str">
        <f t="shared" si="17"/>
        <v>Normal Usage</v>
      </c>
    </row>
    <row r="1126" spans="1:9" x14ac:dyDescent="0.3">
      <c r="A1126">
        <v>11125</v>
      </c>
      <c r="B1126">
        <v>47</v>
      </c>
      <c r="C1126" s="2">
        <v>45234</v>
      </c>
      <c r="D1126" s="2" t="str">
        <f>TEXT(Table3[[#This Row],[usage_date]],"mmmm")</f>
        <v>November</v>
      </c>
      <c r="E1126" s="9">
        <f>YEAR(Table3[[#This Row],[usage_date]])</f>
        <v>2023</v>
      </c>
      <c r="F1126" s="14">
        <v>2.82</v>
      </c>
      <c r="G1126">
        <v>238</v>
      </c>
      <c r="H1126" t="s">
        <v>12</v>
      </c>
      <c r="I1126" t="str">
        <f t="shared" si="17"/>
        <v>Normal Usage</v>
      </c>
    </row>
    <row r="1127" spans="1:9" x14ac:dyDescent="0.3">
      <c r="A1127">
        <v>11126</v>
      </c>
      <c r="B1127">
        <v>423</v>
      </c>
      <c r="C1127" s="2">
        <v>45214</v>
      </c>
      <c r="D1127" s="2" t="str">
        <f>TEXT(Table3[[#This Row],[usage_date]],"mmmm")</f>
        <v>October</v>
      </c>
      <c r="E1127" s="9">
        <f>YEAR(Table3[[#This Row],[usage_date]])</f>
        <v>2023</v>
      </c>
      <c r="F1127" s="14">
        <v>3.03</v>
      </c>
      <c r="G1127">
        <v>41</v>
      </c>
      <c r="H1127" t="s">
        <v>12</v>
      </c>
      <c r="I1127" t="str">
        <f t="shared" si="17"/>
        <v>Normal Usage</v>
      </c>
    </row>
    <row r="1128" spans="1:9" x14ac:dyDescent="0.3">
      <c r="A1128">
        <v>11127</v>
      </c>
      <c r="B1128">
        <v>454</v>
      </c>
      <c r="C1128" s="2">
        <v>45407</v>
      </c>
      <c r="D1128" s="2" t="str">
        <f>TEXT(Table3[[#This Row],[usage_date]],"mmmm")</f>
        <v>April</v>
      </c>
      <c r="E1128" s="9">
        <f>YEAR(Table3[[#This Row],[usage_date]])</f>
        <v>2024</v>
      </c>
      <c r="F1128" s="14">
        <v>3.19</v>
      </c>
      <c r="G1128">
        <v>221</v>
      </c>
      <c r="H1128" t="s">
        <v>13</v>
      </c>
      <c r="I1128" t="str">
        <f t="shared" si="17"/>
        <v>Normal Usage</v>
      </c>
    </row>
    <row r="1129" spans="1:9" x14ac:dyDescent="0.3">
      <c r="A1129">
        <v>11128</v>
      </c>
      <c r="B1129">
        <v>201</v>
      </c>
      <c r="C1129" s="2">
        <v>45170</v>
      </c>
      <c r="D1129" s="2" t="str">
        <f>TEXT(Table3[[#This Row],[usage_date]],"mmmm")</f>
        <v>September</v>
      </c>
      <c r="E1129" s="9">
        <f>YEAR(Table3[[#This Row],[usage_date]])</f>
        <v>2023</v>
      </c>
      <c r="F1129" s="14">
        <v>3.26</v>
      </c>
      <c r="G1129">
        <v>195</v>
      </c>
      <c r="H1129" t="s">
        <v>12</v>
      </c>
      <c r="I1129" t="str">
        <f t="shared" si="17"/>
        <v>Normal Usage</v>
      </c>
    </row>
    <row r="1130" spans="1:9" x14ac:dyDescent="0.3">
      <c r="A1130">
        <v>11129</v>
      </c>
      <c r="B1130">
        <v>148</v>
      </c>
      <c r="C1130" s="2">
        <v>45007</v>
      </c>
      <c r="D1130" s="2" t="str">
        <f>TEXT(Table3[[#This Row],[usage_date]],"mmmm")</f>
        <v>March</v>
      </c>
      <c r="E1130" s="9">
        <f>YEAR(Table3[[#This Row],[usage_date]])</f>
        <v>2023</v>
      </c>
      <c r="F1130" s="14">
        <v>0</v>
      </c>
      <c r="G1130">
        <v>287</v>
      </c>
      <c r="H1130" t="s">
        <v>12</v>
      </c>
      <c r="I1130" t="str">
        <f t="shared" si="17"/>
        <v>Normal Usage</v>
      </c>
    </row>
    <row r="1131" spans="1:9" x14ac:dyDescent="0.3">
      <c r="A1131">
        <v>11130</v>
      </c>
      <c r="B1131">
        <v>124</v>
      </c>
      <c r="C1131" s="2">
        <v>44782</v>
      </c>
      <c r="D1131" s="2" t="str">
        <f>TEXT(Table3[[#This Row],[usage_date]],"mmmm")</f>
        <v>August</v>
      </c>
      <c r="E1131" s="9">
        <f>YEAR(Table3[[#This Row],[usage_date]])</f>
        <v>2022</v>
      </c>
      <c r="F1131" s="14">
        <v>7.69</v>
      </c>
      <c r="G1131">
        <v>9</v>
      </c>
      <c r="H1131" t="s">
        <v>12</v>
      </c>
      <c r="I1131" t="str">
        <f t="shared" si="17"/>
        <v>High Usage</v>
      </c>
    </row>
    <row r="1132" spans="1:9" x14ac:dyDescent="0.3">
      <c r="A1132">
        <v>11131</v>
      </c>
      <c r="B1132">
        <v>1</v>
      </c>
      <c r="C1132" s="2">
        <v>45116</v>
      </c>
      <c r="D1132" s="2" t="str">
        <f>TEXT(Table3[[#This Row],[usage_date]],"mmmm")</f>
        <v>July</v>
      </c>
      <c r="E1132" s="9">
        <f>YEAR(Table3[[#This Row],[usage_date]])</f>
        <v>2023</v>
      </c>
      <c r="F1132" s="14">
        <v>4.21</v>
      </c>
      <c r="G1132">
        <v>234</v>
      </c>
      <c r="H1132" t="s">
        <v>12</v>
      </c>
      <c r="I1132" t="str">
        <f t="shared" si="17"/>
        <v>Normal Usage</v>
      </c>
    </row>
    <row r="1133" spans="1:9" x14ac:dyDescent="0.3">
      <c r="A1133">
        <v>11132</v>
      </c>
      <c r="B1133">
        <v>456</v>
      </c>
      <c r="C1133" s="2">
        <v>45365</v>
      </c>
      <c r="D1133" s="2" t="str">
        <f>TEXT(Table3[[#This Row],[usage_date]],"mmmm")</f>
        <v>March</v>
      </c>
      <c r="E1133" s="9">
        <f>YEAR(Table3[[#This Row],[usage_date]])</f>
        <v>2024</v>
      </c>
      <c r="F1133" s="14">
        <v>5.86</v>
      </c>
      <c r="G1133">
        <v>264</v>
      </c>
      <c r="H1133" t="s">
        <v>13</v>
      </c>
      <c r="I1133" t="str">
        <f t="shared" si="17"/>
        <v>Normal Usage</v>
      </c>
    </row>
    <row r="1134" spans="1:9" x14ac:dyDescent="0.3">
      <c r="A1134">
        <v>11133</v>
      </c>
      <c r="B1134">
        <v>247</v>
      </c>
      <c r="C1134" s="2">
        <v>44939</v>
      </c>
      <c r="D1134" s="2" t="str">
        <f>TEXT(Table3[[#This Row],[usage_date]],"mmmm")</f>
        <v>January</v>
      </c>
      <c r="E1134" s="9">
        <f>YEAR(Table3[[#This Row],[usage_date]])</f>
        <v>2023</v>
      </c>
      <c r="F1134" s="14">
        <v>0.04</v>
      </c>
      <c r="G1134">
        <v>68</v>
      </c>
      <c r="H1134" t="s">
        <v>12</v>
      </c>
      <c r="I1134" t="str">
        <f t="shared" si="17"/>
        <v>Normal Usage</v>
      </c>
    </row>
    <row r="1135" spans="1:9" x14ac:dyDescent="0.3">
      <c r="A1135">
        <v>11134</v>
      </c>
      <c r="B1135">
        <v>343</v>
      </c>
      <c r="C1135" s="2">
        <v>45181</v>
      </c>
      <c r="D1135" s="2" t="str">
        <f>TEXT(Table3[[#This Row],[usage_date]],"mmmm")</f>
        <v>September</v>
      </c>
      <c r="E1135" s="9">
        <f>YEAR(Table3[[#This Row],[usage_date]])</f>
        <v>2023</v>
      </c>
      <c r="F1135" s="14">
        <v>6.79</v>
      </c>
      <c r="G1135">
        <v>138</v>
      </c>
      <c r="H1135" t="s">
        <v>13</v>
      </c>
      <c r="I1135" t="str">
        <f t="shared" si="17"/>
        <v>High Usage</v>
      </c>
    </row>
    <row r="1136" spans="1:9" x14ac:dyDescent="0.3">
      <c r="A1136">
        <v>11135</v>
      </c>
      <c r="B1136">
        <v>128</v>
      </c>
      <c r="C1136" s="2">
        <v>44827</v>
      </c>
      <c r="D1136" s="2" t="str">
        <f>TEXT(Table3[[#This Row],[usage_date]],"mmmm")</f>
        <v>September</v>
      </c>
      <c r="E1136" s="9">
        <f>YEAR(Table3[[#This Row],[usage_date]])</f>
        <v>2022</v>
      </c>
      <c r="F1136" s="14">
        <v>4.1500000000000004</v>
      </c>
      <c r="G1136">
        <v>218</v>
      </c>
      <c r="H1136" t="s">
        <v>12</v>
      </c>
      <c r="I1136" t="str">
        <f t="shared" si="17"/>
        <v>Normal Usage</v>
      </c>
    </row>
    <row r="1137" spans="1:9" x14ac:dyDescent="0.3">
      <c r="A1137">
        <v>11136</v>
      </c>
      <c r="B1137">
        <v>191</v>
      </c>
      <c r="C1137" s="2">
        <v>44656</v>
      </c>
      <c r="D1137" s="2" t="str">
        <f>TEXT(Table3[[#This Row],[usage_date]],"mmmm")</f>
        <v>April</v>
      </c>
      <c r="E1137" s="9">
        <f>YEAR(Table3[[#This Row],[usage_date]])</f>
        <v>2022</v>
      </c>
      <c r="F1137" s="14">
        <v>4.54</v>
      </c>
      <c r="G1137">
        <v>195</v>
      </c>
      <c r="H1137" t="s">
        <v>13</v>
      </c>
      <c r="I1137" t="str">
        <f t="shared" si="17"/>
        <v>Normal Usage</v>
      </c>
    </row>
    <row r="1138" spans="1:9" x14ac:dyDescent="0.3">
      <c r="A1138">
        <v>11137</v>
      </c>
      <c r="B1138">
        <v>67</v>
      </c>
      <c r="C1138" s="2">
        <v>44823</v>
      </c>
      <c r="D1138" s="2" t="str">
        <f>TEXT(Table3[[#This Row],[usage_date]],"mmmm")</f>
        <v>September</v>
      </c>
      <c r="E1138" s="9">
        <f>YEAR(Table3[[#This Row],[usage_date]])</f>
        <v>2022</v>
      </c>
      <c r="F1138" s="14">
        <v>0.24</v>
      </c>
      <c r="G1138">
        <v>73</v>
      </c>
      <c r="H1138" t="s">
        <v>12</v>
      </c>
      <c r="I1138" t="str">
        <f t="shared" si="17"/>
        <v>Normal Usage</v>
      </c>
    </row>
    <row r="1139" spans="1:9" x14ac:dyDescent="0.3">
      <c r="A1139">
        <v>11138</v>
      </c>
      <c r="B1139">
        <v>4</v>
      </c>
      <c r="C1139" s="2">
        <v>45386</v>
      </c>
      <c r="D1139" s="2" t="str">
        <f>TEXT(Table3[[#This Row],[usage_date]],"mmmm")</f>
        <v>April</v>
      </c>
      <c r="E1139" s="9">
        <f>YEAR(Table3[[#This Row],[usage_date]])</f>
        <v>2024</v>
      </c>
      <c r="F1139" s="14">
        <v>3.36</v>
      </c>
      <c r="G1139">
        <v>102</v>
      </c>
      <c r="H1139" t="s">
        <v>12</v>
      </c>
      <c r="I1139" t="str">
        <f t="shared" si="17"/>
        <v>Normal Usage</v>
      </c>
    </row>
    <row r="1140" spans="1:9" x14ac:dyDescent="0.3">
      <c r="A1140">
        <v>11139</v>
      </c>
      <c r="B1140">
        <v>442</v>
      </c>
      <c r="C1140" s="2">
        <v>45458</v>
      </c>
      <c r="D1140" s="2" t="str">
        <f>TEXT(Table3[[#This Row],[usage_date]],"mmmm")</f>
        <v>June</v>
      </c>
      <c r="E1140" s="9">
        <f>YEAR(Table3[[#This Row],[usage_date]])</f>
        <v>2024</v>
      </c>
      <c r="F1140" s="14">
        <v>8.0399999999999991</v>
      </c>
      <c r="G1140">
        <v>224</v>
      </c>
      <c r="H1140" t="s">
        <v>13</v>
      </c>
      <c r="I1140" t="str">
        <f t="shared" si="17"/>
        <v>High Usage</v>
      </c>
    </row>
    <row r="1141" spans="1:9" x14ac:dyDescent="0.3">
      <c r="A1141">
        <v>11140</v>
      </c>
      <c r="B1141">
        <v>409</v>
      </c>
      <c r="C1141" s="2">
        <v>44632</v>
      </c>
      <c r="D1141" s="2" t="str">
        <f>TEXT(Table3[[#This Row],[usage_date]],"mmmm")</f>
        <v>March</v>
      </c>
      <c r="E1141" s="9">
        <f>YEAR(Table3[[#This Row],[usage_date]])</f>
        <v>2022</v>
      </c>
      <c r="F1141" s="14">
        <v>2.84</v>
      </c>
      <c r="G1141">
        <v>122</v>
      </c>
      <c r="H1141" t="s">
        <v>13</v>
      </c>
      <c r="I1141" t="str">
        <f t="shared" si="17"/>
        <v>Normal Usage</v>
      </c>
    </row>
    <row r="1142" spans="1:9" x14ac:dyDescent="0.3">
      <c r="A1142">
        <v>11141</v>
      </c>
      <c r="B1142">
        <v>303</v>
      </c>
      <c r="C1142" s="2">
        <v>44780</v>
      </c>
      <c r="D1142" s="2" t="str">
        <f>TEXT(Table3[[#This Row],[usage_date]],"mmmm")</f>
        <v>August</v>
      </c>
      <c r="E1142" s="9">
        <f>YEAR(Table3[[#This Row],[usage_date]])</f>
        <v>2022</v>
      </c>
      <c r="F1142" s="14">
        <v>2.11</v>
      </c>
      <c r="G1142">
        <v>101</v>
      </c>
      <c r="H1142" t="s">
        <v>12</v>
      </c>
      <c r="I1142" t="str">
        <f t="shared" si="17"/>
        <v>Normal Usage</v>
      </c>
    </row>
    <row r="1143" spans="1:9" x14ac:dyDescent="0.3">
      <c r="A1143">
        <v>11142</v>
      </c>
      <c r="B1143">
        <v>294</v>
      </c>
      <c r="C1143" s="2">
        <v>45094</v>
      </c>
      <c r="D1143" s="2" t="str">
        <f>TEXT(Table3[[#This Row],[usage_date]],"mmmm")</f>
        <v>June</v>
      </c>
      <c r="E1143" s="9">
        <f>YEAR(Table3[[#This Row],[usage_date]])</f>
        <v>2023</v>
      </c>
      <c r="F1143" s="14">
        <v>7.28</v>
      </c>
      <c r="G1143">
        <v>263</v>
      </c>
      <c r="H1143" t="s">
        <v>12</v>
      </c>
      <c r="I1143" t="str">
        <f t="shared" si="17"/>
        <v>High Usage</v>
      </c>
    </row>
    <row r="1144" spans="1:9" x14ac:dyDescent="0.3">
      <c r="A1144">
        <v>11143</v>
      </c>
      <c r="B1144">
        <v>143</v>
      </c>
      <c r="C1144" s="2">
        <v>44653</v>
      </c>
      <c r="D1144" s="2" t="str">
        <f>TEXT(Table3[[#This Row],[usage_date]],"mmmm")</f>
        <v>April</v>
      </c>
      <c r="E1144" s="9">
        <f>YEAR(Table3[[#This Row],[usage_date]])</f>
        <v>2022</v>
      </c>
      <c r="F1144" s="14">
        <v>1.46</v>
      </c>
      <c r="G1144">
        <v>160</v>
      </c>
      <c r="H1144" t="s">
        <v>12</v>
      </c>
      <c r="I1144" t="str">
        <f t="shared" si="17"/>
        <v>Normal Usage</v>
      </c>
    </row>
    <row r="1145" spans="1:9" x14ac:dyDescent="0.3">
      <c r="A1145">
        <v>11144</v>
      </c>
      <c r="B1145">
        <v>191</v>
      </c>
      <c r="C1145" s="2">
        <v>44688</v>
      </c>
      <c r="D1145" s="2" t="str">
        <f>TEXT(Table3[[#This Row],[usage_date]],"mmmm")</f>
        <v>May</v>
      </c>
      <c r="E1145" s="9">
        <f>YEAR(Table3[[#This Row],[usage_date]])</f>
        <v>2022</v>
      </c>
      <c r="F1145" s="14">
        <v>2.29</v>
      </c>
      <c r="G1145">
        <v>232</v>
      </c>
      <c r="H1145" t="s">
        <v>13</v>
      </c>
      <c r="I1145" t="str">
        <f t="shared" si="17"/>
        <v>Normal Usage</v>
      </c>
    </row>
    <row r="1146" spans="1:9" x14ac:dyDescent="0.3">
      <c r="A1146">
        <v>11145</v>
      </c>
      <c r="B1146">
        <v>21</v>
      </c>
      <c r="C1146" s="2">
        <v>44641</v>
      </c>
      <c r="D1146" s="2" t="str">
        <f>TEXT(Table3[[#This Row],[usage_date]],"mmmm")</f>
        <v>March</v>
      </c>
      <c r="E1146" s="9">
        <f>YEAR(Table3[[#This Row],[usage_date]])</f>
        <v>2022</v>
      </c>
      <c r="F1146" s="14">
        <v>1.62</v>
      </c>
      <c r="G1146">
        <v>274</v>
      </c>
      <c r="H1146" t="s">
        <v>12</v>
      </c>
      <c r="I1146" t="str">
        <f t="shared" si="17"/>
        <v>Normal Usage</v>
      </c>
    </row>
    <row r="1147" spans="1:9" x14ac:dyDescent="0.3">
      <c r="A1147">
        <v>11146</v>
      </c>
      <c r="B1147">
        <v>227</v>
      </c>
      <c r="C1147" s="2">
        <v>45385</v>
      </c>
      <c r="D1147" s="2" t="str">
        <f>TEXT(Table3[[#This Row],[usage_date]],"mmmm")</f>
        <v>April</v>
      </c>
      <c r="E1147" s="9">
        <f>YEAR(Table3[[#This Row],[usage_date]])</f>
        <v>2024</v>
      </c>
      <c r="F1147" s="14">
        <v>6.75</v>
      </c>
      <c r="G1147">
        <v>257</v>
      </c>
      <c r="H1147" t="s">
        <v>12</v>
      </c>
      <c r="I1147" t="str">
        <f t="shared" si="17"/>
        <v>High Usage</v>
      </c>
    </row>
    <row r="1148" spans="1:9" x14ac:dyDescent="0.3">
      <c r="A1148">
        <v>11147</v>
      </c>
      <c r="B1148">
        <v>313</v>
      </c>
      <c r="C1148" s="2">
        <v>44799</v>
      </c>
      <c r="D1148" s="2" t="str">
        <f>TEXT(Table3[[#This Row],[usage_date]],"mmmm")</f>
        <v>August</v>
      </c>
      <c r="E1148" s="9">
        <f>YEAR(Table3[[#This Row],[usage_date]])</f>
        <v>2022</v>
      </c>
      <c r="F1148" s="14">
        <v>0.2</v>
      </c>
      <c r="G1148">
        <v>138</v>
      </c>
      <c r="H1148" t="s">
        <v>12</v>
      </c>
      <c r="I1148" t="str">
        <f t="shared" si="17"/>
        <v>Normal Usage</v>
      </c>
    </row>
    <row r="1149" spans="1:9" x14ac:dyDescent="0.3">
      <c r="A1149">
        <v>11148</v>
      </c>
      <c r="B1149">
        <v>117</v>
      </c>
      <c r="C1149" s="2">
        <v>44933</v>
      </c>
      <c r="D1149" s="2" t="str">
        <f>TEXT(Table3[[#This Row],[usage_date]],"mmmm")</f>
        <v>January</v>
      </c>
      <c r="E1149" s="9">
        <f>YEAR(Table3[[#This Row],[usage_date]])</f>
        <v>2023</v>
      </c>
      <c r="F1149" s="14">
        <v>1.74</v>
      </c>
      <c r="G1149">
        <v>226</v>
      </c>
      <c r="H1149" t="s">
        <v>13</v>
      </c>
      <c r="I1149" t="str">
        <f t="shared" si="17"/>
        <v>Normal Usage</v>
      </c>
    </row>
    <row r="1150" spans="1:9" x14ac:dyDescent="0.3">
      <c r="A1150">
        <v>11149</v>
      </c>
      <c r="B1150">
        <v>437</v>
      </c>
      <c r="C1150" s="2">
        <v>45047</v>
      </c>
      <c r="D1150" s="2" t="str">
        <f>TEXT(Table3[[#This Row],[usage_date]],"mmmm")</f>
        <v>May</v>
      </c>
      <c r="E1150" s="9">
        <f>YEAR(Table3[[#This Row],[usage_date]])</f>
        <v>2023</v>
      </c>
      <c r="F1150" s="14">
        <v>2.9</v>
      </c>
      <c r="G1150">
        <v>272</v>
      </c>
      <c r="H1150" t="s">
        <v>12</v>
      </c>
      <c r="I1150" t="str">
        <f t="shared" si="17"/>
        <v>Normal Usage</v>
      </c>
    </row>
    <row r="1151" spans="1:9" x14ac:dyDescent="0.3">
      <c r="A1151">
        <v>11150</v>
      </c>
      <c r="B1151">
        <v>302</v>
      </c>
      <c r="C1151" s="2">
        <v>45255</v>
      </c>
      <c r="D1151" s="2" t="str">
        <f>TEXT(Table3[[#This Row],[usage_date]],"mmmm")</f>
        <v>November</v>
      </c>
      <c r="E1151" s="9">
        <f>YEAR(Table3[[#This Row],[usage_date]])</f>
        <v>2023</v>
      </c>
      <c r="F1151" s="14">
        <v>3.92</v>
      </c>
      <c r="G1151">
        <v>85</v>
      </c>
      <c r="H1151" t="s">
        <v>12</v>
      </c>
      <c r="I1151" t="str">
        <f t="shared" si="17"/>
        <v>Normal Usage</v>
      </c>
    </row>
    <row r="1152" spans="1:9" x14ac:dyDescent="0.3">
      <c r="A1152">
        <v>11151</v>
      </c>
      <c r="B1152">
        <v>500</v>
      </c>
      <c r="C1152" s="2">
        <v>44586</v>
      </c>
      <c r="D1152" s="2" t="str">
        <f>TEXT(Table3[[#This Row],[usage_date]],"mmmm")</f>
        <v>January</v>
      </c>
      <c r="E1152" s="9">
        <f>YEAR(Table3[[#This Row],[usage_date]])</f>
        <v>2022</v>
      </c>
      <c r="F1152" s="14">
        <v>2.19</v>
      </c>
      <c r="G1152">
        <v>290</v>
      </c>
      <c r="H1152" t="s">
        <v>12</v>
      </c>
      <c r="I1152" t="str">
        <f t="shared" si="17"/>
        <v>Normal Usage</v>
      </c>
    </row>
    <row r="1153" spans="1:9" x14ac:dyDescent="0.3">
      <c r="A1153">
        <v>11152</v>
      </c>
      <c r="B1153">
        <v>142</v>
      </c>
      <c r="C1153" s="2">
        <v>44717</v>
      </c>
      <c r="D1153" s="2" t="str">
        <f>TEXT(Table3[[#This Row],[usage_date]],"mmmm")</f>
        <v>June</v>
      </c>
      <c r="E1153" s="9">
        <f>YEAR(Table3[[#This Row],[usage_date]])</f>
        <v>2022</v>
      </c>
      <c r="F1153" s="14">
        <v>5.99</v>
      </c>
      <c r="G1153">
        <v>216</v>
      </c>
      <c r="H1153" t="s">
        <v>12</v>
      </c>
      <c r="I1153" t="str">
        <f t="shared" si="17"/>
        <v>Normal Usage</v>
      </c>
    </row>
    <row r="1154" spans="1:9" x14ac:dyDescent="0.3">
      <c r="A1154">
        <v>11153</v>
      </c>
      <c r="B1154">
        <v>484</v>
      </c>
      <c r="C1154" s="2">
        <v>45078</v>
      </c>
      <c r="D1154" s="2" t="str">
        <f>TEXT(Table3[[#This Row],[usage_date]],"mmmm")</f>
        <v>June</v>
      </c>
      <c r="E1154" s="9">
        <f>YEAR(Table3[[#This Row],[usage_date]])</f>
        <v>2023</v>
      </c>
      <c r="F1154" s="14">
        <v>7.12</v>
      </c>
      <c r="G1154">
        <v>65</v>
      </c>
      <c r="H1154" t="s">
        <v>12</v>
      </c>
      <c r="I1154" t="str">
        <f t="shared" ref="I1154:I1217" si="18">IF(F1154&gt;6,"High Usage","Normal Usage")</f>
        <v>High Usage</v>
      </c>
    </row>
    <row r="1155" spans="1:9" x14ac:dyDescent="0.3">
      <c r="A1155">
        <v>11154</v>
      </c>
      <c r="B1155">
        <v>460</v>
      </c>
      <c r="C1155" s="2">
        <v>45193</v>
      </c>
      <c r="D1155" s="2" t="str">
        <f>TEXT(Table3[[#This Row],[usage_date]],"mmmm")</f>
        <v>September</v>
      </c>
      <c r="E1155" s="9">
        <f>YEAR(Table3[[#This Row],[usage_date]])</f>
        <v>2023</v>
      </c>
      <c r="F1155" s="14">
        <v>0.17</v>
      </c>
      <c r="G1155">
        <v>256</v>
      </c>
      <c r="H1155" t="s">
        <v>13</v>
      </c>
      <c r="I1155" t="str">
        <f t="shared" si="18"/>
        <v>Normal Usage</v>
      </c>
    </row>
    <row r="1156" spans="1:9" x14ac:dyDescent="0.3">
      <c r="A1156">
        <v>11155</v>
      </c>
      <c r="B1156">
        <v>401</v>
      </c>
      <c r="C1156" s="2">
        <v>45350</v>
      </c>
      <c r="D1156" s="2" t="str">
        <f>TEXT(Table3[[#This Row],[usage_date]],"mmmm")</f>
        <v>February</v>
      </c>
      <c r="E1156" s="9">
        <f>YEAR(Table3[[#This Row],[usage_date]])</f>
        <v>2024</v>
      </c>
      <c r="F1156" s="14">
        <v>1.29</v>
      </c>
      <c r="G1156">
        <v>134</v>
      </c>
      <c r="H1156" t="s">
        <v>13</v>
      </c>
      <c r="I1156" t="str">
        <f t="shared" si="18"/>
        <v>Normal Usage</v>
      </c>
    </row>
    <row r="1157" spans="1:9" x14ac:dyDescent="0.3">
      <c r="A1157">
        <v>11156</v>
      </c>
      <c r="B1157">
        <v>39</v>
      </c>
      <c r="C1157" s="2">
        <v>45091</v>
      </c>
      <c r="D1157" s="2" t="str">
        <f>TEXT(Table3[[#This Row],[usage_date]],"mmmm")</f>
        <v>June</v>
      </c>
      <c r="E1157" s="9">
        <f>YEAR(Table3[[#This Row],[usage_date]])</f>
        <v>2023</v>
      </c>
      <c r="F1157" s="14">
        <v>0.06</v>
      </c>
      <c r="G1157">
        <v>54</v>
      </c>
      <c r="H1157" t="s">
        <v>12</v>
      </c>
      <c r="I1157" t="str">
        <f t="shared" si="18"/>
        <v>Normal Usage</v>
      </c>
    </row>
    <row r="1158" spans="1:9" x14ac:dyDescent="0.3">
      <c r="A1158">
        <v>11157</v>
      </c>
      <c r="B1158">
        <v>393</v>
      </c>
      <c r="C1158" s="2">
        <v>45271</v>
      </c>
      <c r="D1158" s="2" t="str">
        <f>TEXT(Table3[[#This Row],[usage_date]],"mmmm")</f>
        <v>December</v>
      </c>
      <c r="E1158" s="9">
        <f>YEAR(Table3[[#This Row],[usage_date]])</f>
        <v>2023</v>
      </c>
      <c r="F1158" s="14">
        <v>1</v>
      </c>
      <c r="G1158">
        <v>242</v>
      </c>
      <c r="H1158" t="s">
        <v>13</v>
      </c>
      <c r="I1158" t="str">
        <f t="shared" si="18"/>
        <v>Normal Usage</v>
      </c>
    </row>
    <row r="1159" spans="1:9" x14ac:dyDescent="0.3">
      <c r="A1159">
        <v>11158</v>
      </c>
      <c r="B1159">
        <v>355</v>
      </c>
      <c r="C1159" s="2">
        <v>44618</v>
      </c>
      <c r="D1159" s="2" t="str">
        <f>TEXT(Table3[[#This Row],[usage_date]],"mmmm")</f>
        <v>February</v>
      </c>
      <c r="E1159" s="9">
        <f>YEAR(Table3[[#This Row],[usage_date]])</f>
        <v>2022</v>
      </c>
      <c r="F1159" s="14">
        <v>1.92</v>
      </c>
      <c r="G1159">
        <v>251</v>
      </c>
      <c r="H1159" t="s">
        <v>12</v>
      </c>
      <c r="I1159" t="str">
        <f t="shared" si="18"/>
        <v>Normal Usage</v>
      </c>
    </row>
    <row r="1160" spans="1:9" x14ac:dyDescent="0.3">
      <c r="A1160">
        <v>11159</v>
      </c>
      <c r="B1160">
        <v>252</v>
      </c>
      <c r="C1160" s="2">
        <v>45166</v>
      </c>
      <c r="D1160" s="2" t="str">
        <f>TEXT(Table3[[#This Row],[usage_date]],"mmmm")</f>
        <v>August</v>
      </c>
      <c r="E1160" s="9">
        <f>YEAR(Table3[[#This Row],[usage_date]])</f>
        <v>2023</v>
      </c>
      <c r="F1160" s="14">
        <v>6.04</v>
      </c>
      <c r="G1160">
        <v>20</v>
      </c>
      <c r="H1160" t="s">
        <v>12</v>
      </c>
      <c r="I1160" t="str">
        <f t="shared" si="18"/>
        <v>High Usage</v>
      </c>
    </row>
    <row r="1161" spans="1:9" x14ac:dyDescent="0.3">
      <c r="A1161">
        <v>11160</v>
      </c>
      <c r="B1161">
        <v>333</v>
      </c>
      <c r="C1161" s="2">
        <v>44580</v>
      </c>
      <c r="D1161" s="2" t="str">
        <f>TEXT(Table3[[#This Row],[usage_date]],"mmmm")</f>
        <v>January</v>
      </c>
      <c r="E1161" s="9">
        <f>YEAR(Table3[[#This Row],[usage_date]])</f>
        <v>2022</v>
      </c>
      <c r="F1161" s="14">
        <v>4.6900000000000004</v>
      </c>
      <c r="G1161">
        <v>162</v>
      </c>
      <c r="H1161" t="s">
        <v>13</v>
      </c>
      <c r="I1161" t="str">
        <f t="shared" si="18"/>
        <v>Normal Usage</v>
      </c>
    </row>
    <row r="1162" spans="1:9" x14ac:dyDescent="0.3">
      <c r="A1162">
        <v>11161</v>
      </c>
      <c r="B1162">
        <v>207</v>
      </c>
      <c r="C1162" s="2">
        <v>44945</v>
      </c>
      <c r="D1162" s="2" t="str">
        <f>TEXT(Table3[[#This Row],[usage_date]],"mmmm")</f>
        <v>January</v>
      </c>
      <c r="E1162" s="9">
        <f>YEAR(Table3[[#This Row],[usage_date]])</f>
        <v>2023</v>
      </c>
      <c r="F1162" s="14">
        <v>0.34</v>
      </c>
      <c r="G1162">
        <v>263</v>
      </c>
      <c r="H1162" t="s">
        <v>12</v>
      </c>
      <c r="I1162" t="str">
        <f t="shared" si="18"/>
        <v>Normal Usage</v>
      </c>
    </row>
    <row r="1163" spans="1:9" x14ac:dyDescent="0.3">
      <c r="A1163">
        <v>11162</v>
      </c>
      <c r="B1163">
        <v>210</v>
      </c>
      <c r="C1163" s="2">
        <v>45426</v>
      </c>
      <c r="D1163" s="2" t="str">
        <f>TEXT(Table3[[#This Row],[usage_date]],"mmmm")</f>
        <v>May</v>
      </c>
      <c r="E1163" s="9">
        <f>YEAR(Table3[[#This Row],[usage_date]])</f>
        <v>2024</v>
      </c>
      <c r="F1163" s="14">
        <v>0.24</v>
      </c>
      <c r="G1163">
        <v>67</v>
      </c>
      <c r="H1163" t="s">
        <v>12</v>
      </c>
      <c r="I1163" t="str">
        <f t="shared" si="18"/>
        <v>Normal Usage</v>
      </c>
    </row>
    <row r="1164" spans="1:9" x14ac:dyDescent="0.3">
      <c r="A1164">
        <v>11163</v>
      </c>
      <c r="B1164">
        <v>115</v>
      </c>
      <c r="C1164" s="2">
        <v>44754</v>
      </c>
      <c r="D1164" s="2" t="str">
        <f>TEXT(Table3[[#This Row],[usage_date]],"mmmm")</f>
        <v>July</v>
      </c>
      <c r="E1164" s="9">
        <f>YEAR(Table3[[#This Row],[usage_date]])</f>
        <v>2022</v>
      </c>
      <c r="F1164" s="14">
        <v>2.2200000000000002</v>
      </c>
      <c r="G1164">
        <v>106</v>
      </c>
      <c r="H1164" t="s">
        <v>13</v>
      </c>
      <c r="I1164" t="str">
        <f t="shared" si="18"/>
        <v>Normal Usage</v>
      </c>
    </row>
    <row r="1165" spans="1:9" x14ac:dyDescent="0.3">
      <c r="A1165">
        <v>11164</v>
      </c>
      <c r="B1165">
        <v>225</v>
      </c>
      <c r="C1165" s="2">
        <v>44798</v>
      </c>
      <c r="D1165" s="2" t="str">
        <f>TEXT(Table3[[#This Row],[usage_date]],"mmmm")</f>
        <v>August</v>
      </c>
      <c r="E1165" s="9">
        <f>YEAR(Table3[[#This Row],[usage_date]])</f>
        <v>2022</v>
      </c>
      <c r="F1165" s="14">
        <v>1.9</v>
      </c>
      <c r="G1165">
        <v>66</v>
      </c>
      <c r="H1165" t="s">
        <v>12</v>
      </c>
      <c r="I1165" t="str">
        <f t="shared" si="18"/>
        <v>Normal Usage</v>
      </c>
    </row>
    <row r="1166" spans="1:9" x14ac:dyDescent="0.3">
      <c r="A1166">
        <v>11165</v>
      </c>
      <c r="B1166">
        <v>134</v>
      </c>
      <c r="C1166" s="2">
        <v>44948</v>
      </c>
      <c r="D1166" s="2" t="str">
        <f>TEXT(Table3[[#This Row],[usage_date]],"mmmm")</f>
        <v>January</v>
      </c>
      <c r="E1166" s="9">
        <f>YEAR(Table3[[#This Row],[usage_date]])</f>
        <v>2023</v>
      </c>
      <c r="F1166" s="14">
        <v>0.77</v>
      </c>
      <c r="G1166">
        <v>198</v>
      </c>
      <c r="H1166" t="s">
        <v>13</v>
      </c>
      <c r="I1166" t="str">
        <f t="shared" si="18"/>
        <v>Normal Usage</v>
      </c>
    </row>
    <row r="1167" spans="1:9" x14ac:dyDescent="0.3">
      <c r="A1167">
        <v>11166</v>
      </c>
      <c r="B1167">
        <v>251</v>
      </c>
      <c r="C1167" s="2">
        <v>44987</v>
      </c>
      <c r="D1167" s="2" t="str">
        <f>TEXT(Table3[[#This Row],[usage_date]],"mmmm")</f>
        <v>March</v>
      </c>
      <c r="E1167" s="9">
        <f>YEAR(Table3[[#This Row],[usage_date]])</f>
        <v>2023</v>
      </c>
      <c r="F1167" s="14">
        <v>5.74</v>
      </c>
      <c r="G1167">
        <v>191</v>
      </c>
      <c r="H1167" t="s">
        <v>13</v>
      </c>
      <c r="I1167" t="str">
        <f t="shared" si="18"/>
        <v>Normal Usage</v>
      </c>
    </row>
    <row r="1168" spans="1:9" x14ac:dyDescent="0.3">
      <c r="A1168">
        <v>11167</v>
      </c>
      <c r="B1168">
        <v>219</v>
      </c>
      <c r="C1168" s="2">
        <v>44838</v>
      </c>
      <c r="D1168" s="2" t="str">
        <f>TEXT(Table3[[#This Row],[usage_date]],"mmmm")</f>
        <v>October</v>
      </c>
      <c r="E1168" s="9">
        <f>YEAR(Table3[[#This Row],[usage_date]])</f>
        <v>2022</v>
      </c>
      <c r="F1168" s="14">
        <v>6.56</v>
      </c>
      <c r="G1168">
        <v>1</v>
      </c>
      <c r="H1168" t="s">
        <v>12</v>
      </c>
      <c r="I1168" t="str">
        <f t="shared" si="18"/>
        <v>High Usage</v>
      </c>
    </row>
    <row r="1169" spans="1:9" x14ac:dyDescent="0.3">
      <c r="A1169">
        <v>11168</v>
      </c>
      <c r="B1169">
        <v>407</v>
      </c>
      <c r="C1169" s="2">
        <v>44788</v>
      </c>
      <c r="D1169" s="2" t="str">
        <f>TEXT(Table3[[#This Row],[usage_date]],"mmmm")</f>
        <v>August</v>
      </c>
      <c r="E1169" s="9">
        <f>YEAR(Table3[[#This Row],[usage_date]])</f>
        <v>2022</v>
      </c>
      <c r="F1169" s="14">
        <v>1.29</v>
      </c>
      <c r="G1169">
        <v>256</v>
      </c>
      <c r="H1169" t="s">
        <v>12</v>
      </c>
      <c r="I1169" t="str">
        <f t="shared" si="18"/>
        <v>Normal Usage</v>
      </c>
    </row>
    <row r="1170" spans="1:9" x14ac:dyDescent="0.3">
      <c r="A1170">
        <v>11169</v>
      </c>
      <c r="B1170">
        <v>443</v>
      </c>
      <c r="C1170" s="2">
        <v>45306</v>
      </c>
      <c r="D1170" s="2" t="str">
        <f>TEXT(Table3[[#This Row],[usage_date]],"mmmm")</f>
        <v>January</v>
      </c>
      <c r="E1170" s="9">
        <f>YEAR(Table3[[#This Row],[usage_date]])</f>
        <v>2024</v>
      </c>
      <c r="F1170" s="14">
        <v>5.53</v>
      </c>
      <c r="G1170">
        <v>0</v>
      </c>
      <c r="H1170" t="s">
        <v>12</v>
      </c>
      <c r="I1170" t="str">
        <f t="shared" si="18"/>
        <v>Normal Usage</v>
      </c>
    </row>
    <row r="1171" spans="1:9" x14ac:dyDescent="0.3">
      <c r="A1171">
        <v>11170</v>
      </c>
      <c r="B1171">
        <v>91</v>
      </c>
      <c r="C1171" s="2">
        <v>45113</v>
      </c>
      <c r="D1171" s="2" t="str">
        <f>TEXT(Table3[[#This Row],[usage_date]],"mmmm")</f>
        <v>July</v>
      </c>
      <c r="E1171" s="9">
        <f>YEAR(Table3[[#This Row],[usage_date]])</f>
        <v>2023</v>
      </c>
      <c r="F1171" s="14">
        <v>1.21</v>
      </c>
      <c r="G1171">
        <v>114</v>
      </c>
      <c r="H1171" t="s">
        <v>12</v>
      </c>
      <c r="I1171" t="str">
        <f t="shared" si="18"/>
        <v>Normal Usage</v>
      </c>
    </row>
    <row r="1172" spans="1:9" x14ac:dyDescent="0.3">
      <c r="A1172">
        <v>11171</v>
      </c>
      <c r="B1172">
        <v>354</v>
      </c>
      <c r="C1172" s="2">
        <v>44884</v>
      </c>
      <c r="D1172" s="2" t="str">
        <f>TEXT(Table3[[#This Row],[usage_date]],"mmmm")</f>
        <v>November</v>
      </c>
      <c r="E1172" s="9">
        <f>YEAR(Table3[[#This Row],[usage_date]])</f>
        <v>2022</v>
      </c>
      <c r="F1172" s="14">
        <v>3.34</v>
      </c>
      <c r="G1172">
        <v>87</v>
      </c>
      <c r="H1172" t="s">
        <v>12</v>
      </c>
      <c r="I1172" t="str">
        <f t="shared" si="18"/>
        <v>Normal Usage</v>
      </c>
    </row>
    <row r="1173" spans="1:9" x14ac:dyDescent="0.3">
      <c r="A1173">
        <v>11172</v>
      </c>
      <c r="B1173">
        <v>376</v>
      </c>
      <c r="C1173" s="2">
        <v>44714</v>
      </c>
      <c r="D1173" s="2" t="str">
        <f>TEXT(Table3[[#This Row],[usage_date]],"mmmm")</f>
        <v>June</v>
      </c>
      <c r="E1173" s="9">
        <f>YEAR(Table3[[#This Row],[usage_date]])</f>
        <v>2022</v>
      </c>
      <c r="F1173" s="14">
        <v>1.62</v>
      </c>
      <c r="G1173">
        <v>196</v>
      </c>
      <c r="H1173" t="s">
        <v>13</v>
      </c>
      <c r="I1173" t="str">
        <f t="shared" si="18"/>
        <v>Normal Usage</v>
      </c>
    </row>
    <row r="1174" spans="1:9" x14ac:dyDescent="0.3">
      <c r="A1174">
        <v>11173</v>
      </c>
      <c r="B1174">
        <v>46</v>
      </c>
      <c r="C1174" s="2">
        <v>45200</v>
      </c>
      <c r="D1174" s="2" t="str">
        <f>TEXT(Table3[[#This Row],[usage_date]],"mmmm")</f>
        <v>October</v>
      </c>
      <c r="E1174" s="9">
        <f>YEAR(Table3[[#This Row],[usage_date]])</f>
        <v>2023</v>
      </c>
      <c r="F1174" s="14">
        <v>0.33</v>
      </c>
      <c r="G1174">
        <v>91</v>
      </c>
      <c r="H1174" t="s">
        <v>12</v>
      </c>
      <c r="I1174" t="str">
        <f t="shared" si="18"/>
        <v>Normal Usage</v>
      </c>
    </row>
    <row r="1175" spans="1:9" x14ac:dyDescent="0.3">
      <c r="A1175">
        <v>11174</v>
      </c>
      <c r="B1175">
        <v>38</v>
      </c>
      <c r="C1175" s="2">
        <v>44798</v>
      </c>
      <c r="D1175" s="2" t="str">
        <f>TEXT(Table3[[#This Row],[usage_date]],"mmmm")</f>
        <v>August</v>
      </c>
      <c r="E1175" s="9">
        <f>YEAR(Table3[[#This Row],[usage_date]])</f>
        <v>2022</v>
      </c>
      <c r="F1175" s="14">
        <v>6.58</v>
      </c>
      <c r="G1175">
        <v>273</v>
      </c>
      <c r="H1175" t="s">
        <v>12</v>
      </c>
      <c r="I1175" t="str">
        <f t="shared" si="18"/>
        <v>High Usage</v>
      </c>
    </row>
    <row r="1176" spans="1:9" x14ac:dyDescent="0.3">
      <c r="A1176">
        <v>11175</v>
      </c>
      <c r="B1176">
        <v>142</v>
      </c>
      <c r="C1176" s="2">
        <v>44616</v>
      </c>
      <c r="D1176" s="2" t="str">
        <f>TEXT(Table3[[#This Row],[usage_date]],"mmmm")</f>
        <v>February</v>
      </c>
      <c r="E1176" s="9">
        <f>YEAR(Table3[[#This Row],[usage_date]])</f>
        <v>2022</v>
      </c>
      <c r="F1176" s="14">
        <v>1.51</v>
      </c>
      <c r="G1176">
        <v>159</v>
      </c>
      <c r="H1176" t="s">
        <v>12</v>
      </c>
      <c r="I1176" t="str">
        <f t="shared" si="18"/>
        <v>Normal Usage</v>
      </c>
    </row>
    <row r="1177" spans="1:9" x14ac:dyDescent="0.3">
      <c r="A1177">
        <v>11176</v>
      </c>
      <c r="B1177">
        <v>100</v>
      </c>
      <c r="C1177" s="2">
        <v>44997</v>
      </c>
      <c r="D1177" s="2" t="str">
        <f>TEXT(Table3[[#This Row],[usage_date]],"mmmm")</f>
        <v>March</v>
      </c>
      <c r="E1177" s="9">
        <f>YEAR(Table3[[#This Row],[usage_date]])</f>
        <v>2023</v>
      </c>
      <c r="F1177" s="14">
        <v>3.32</v>
      </c>
      <c r="G1177">
        <v>172</v>
      </c>
      <c r="H1177" t="s">
        <v>12</v>
      </c>
      <c r="I1177" t="str">
        <f t="shared" si="18"/>
        <v>Normal Usage</v>
      </c>
    </row>
    <row r="1178" spans="1:9" x14ac:dyDescent="0.3">
      <c r="A1178">
        <v>11177</v>
      </c>
      <c r="B1178">
        <v>328</v>
      </c>
      <c r="C1178" s="2">
        <v>45245</v>
      </c>
      <c r="D1178" s="2" t="str">
        <f>TEXT(Table3[[#This Row],[usage_date]],"mmmm")</f>
        <v>November</v>
      </c>
      <c r="E1178" s="9">
        <f>YEAR(Table3[[#This Row],[usage_date]])</f>
        <v>2023</v>
      </c>
      <c r="F1178" s="14">
        <v>1.1399999999999999</v>
      </c>
      <c r="G1178">
        <v>32</v>
      </c>
      <c r="H1178" t="s">
        <v>13</v>
      </c>
      <c r="I1178" t="str">
        <f t="shared" si="18"/>
        <v>Normal Usage</v>
      </c>
    </row>
    <row r="1179" spans="1:9" x14ac:dyDescent="0.3">
      <c r="A1179">
        <v>11178</v>
      </c>
      <c r="B1179">
        <v>190</v>
      </c>
      <c r="C1179" s="2">
        <v>44670</v>
      </c>
      <c r="D1179" s="2" t="str">
        <f>TEXT(Table3[[#This Row],[usage_date]],"mmmm")</f>
        <v>April</v>
      </c>
      <c r="E1179" s="9">
        <f>YEAR(Table3[[#This Row],[usage_date]])</f>
        <v>2022</v>
      </c>
      <c r="F1179" s="14">
        <v>0.05</v>
      </c>
      <c r="G1179">
        <v>72</v>
      </c>
      <c r="H1179" t="s">
        <v>12</v>
      </c>
      <c r="I1179" t="str">
        <f t="shared" si="18"/>
        <v>Normal Usage</v>
      </c>
    </row>
    <row r="1180" spans="1:9" x14ac:dyDescent="0.3">
      <c r="A1180">
        <v>11179</v>
      </c>
      <c r="B1180">
        <v>35</v>
      </c>
      <c r="C1180" s="2">
        <v>45427</v>
      </c>
      <c r="D1180" s="2" t="str">
        <f>TEXT(Table3[[#This Row],[usage_date]],"mmmm")</f>
        <v>May</v>
      </c>
      <c r="E1180" s="9">
        <f>YEAR(Table3[[#This Row],[usage_date]])</f>
        <v>2024</v>
      </c>
      <c r="F1180" s="14">
        <v>0.26</v>
      </c>
      <c r="G1180">
        <v>195</v>
      </c>
      <c r="H1180" t="s">
        <v>13</v>
      </c>
      <c r="I1180" t="str">
        <f t="shared" si="18"/>
        <v>Normal Usage</v>
      </c>
    </row>
    <row r="1181" spans="1:9" x14ac:dyDescent="0.3">
      <c r="A1181">
        <v>11180</v>
      </c>
      <c r="B1181">
        <v>147</v>
      </c>
      <c r="C1181" s="2">
        <v>44745</v>
      </c>
      <c r="D1181" s="2" t="str">
        <f>TEXT(Table3[[#This Row],[usage_date]],"mmmm")</f>
        <v>July</v>
      </c>
      <c r="E1181" s="9">
        <f>YEAR(Table3[[#This Row],[usage_date]])</f>
        <v>2022</v>
      </c>
      <c r="F1181" s="14">
        <v>1.71</v>
      </c>
      <c r="G1181">
        <v>283</v>
      </c>
      <c r="H1181" t="s">
        <v>12</v>
      </c>
      <c r="I1181" t="str">
        <f t="shared" si="18"/>
        <v>Normal Usage</v>
      </c>
    </row>
    <row r="1182" spans="1:9" x14ac:dyDescent="0.3">
      <c r="A1182">
        <v>11181</v>
      </c>
      <c r="B1182">
        <v>30</v>
      </c>
      <c r="C1182" s="2">
        <v>44929</v>
      </c>
      <c r="D1182" s="2" t="str">
        <f>TEXT(Table3[[#This Row],[usage_date]],"mmmm")</f>
        <v>January</v>
      </c>
      <c r="E1182" s="9">
        <f>YEAR(Table3[[#This Row],[usage_date]])</f>
        <v>2023</v>
      </c>
      <c r="F1182" s="14">
        <v>2.93</v>
      </c>
      <c r="G1182">
        <v>86</v>
      </c>
      <c r="H1182" t="s">
        <v>12</v>
      </c>
      <c r="I1182" t="str">
        <f t="shared" si="18"/>
        <v>Normal Usage</v>
      </c>
    </row>
    <row r="1183" spans="1:9" x14ac:dyDescent="0.3">
      <c r="A1183">
        <v>11182</v>
      </c>
      <c r="B1183">
        <v>334</v>
      </c>
      <c r="C1183" s="2">
        <v>44759</v>
      </c>
      <c r="D1183" s="2" t="str">
        <f>TEXT(Table3[[#This Row],[usage_date]],"mmmm")</f>
        <v>July</v>
      </c>
      <c r="E1183" s="9">
        <f>YEAR(Table3[[#This Row],[usage_date]])</f>
        <v>2022</v>
      </c>
      <c r="F1183" s="14">
        <v>1.02</v>
      </c>
      <c r="G1183">
        <v>223</v>
      </c>
      <c r="H1183" t="s">
        <v>12</v>
      </c>
      <c r="I1183" t="str">
        <f t="shared" si="18"/>
        <v>Normal Usage</v>
      </c>
    </row>
    <row r="1184" spans="1:9" x14ac:dyDescent="0.3">
      <c r="A1184">
        <v>11183</v>
      </c>
      <c r="B1184">
        <v>84</v>
      </c>
      <c r="C1184" s="2">
        <v>44932</v>
      </c>
      <c r="D1184" s="2" t="str">
        <f>TEXT(Table3[[#This Row],[usage_date]],"mmmm")</f>
        <v>January</v>
      </c>
      <c r="E1184" s="9">
        <f>YEAR(Table3[[#This Row],[usage_date]])</f>
        <v>2023</v>
      </c>
      <c r="F1184" s="14">
        <v>2.97</v>
      </c>
      <c r="G1184">
        <v>43</v>
      </c>
      <c r="H1184" t="s">
        <v>12</v>
      </c>
      <c r="I1184" t="str">
        <f t="shared" si="18"/>
        <v>Normal Usage</v>
      </c>
    </row>
    <row r="1185" spans="1:9" x14ac:dyDescent="0.3">
      <c r="A1185">
        <v>11184</v>
      </c>
      <c r="B1185">
        <v>369</v>
      </c>
      <c r="C1185" s="2">
        <v>44934</v>
      </c>
      <c r="D1185" s="2" t="str">
        <f>TEXT(Table3[[#This Row],[usage_date]],"mmmm")</f>
        <v>January</v>
      </c>
      <c r="E1185" s="9">
        <f>YEAR(Table3[[#This Row],[usage_date]])</f>
        <v>2023</v>
      </c>
      <c r="F1185" s="14">
        <v>3</v>
      </c>
      <c r="G1185">
        <v>137</v>
      </c>
      <c r="H1185" t="s">
        <v>12</v>
      </c>
      <c r="I1185" t="str">
        <f t="shared" si="18"/>
        <v>Normal Usage</v>
      </c>
    </row>
    <row r="1186" spans="1:9" x14ac:dyDescent="0.3">
      <c r="A1186">
        <v>11185</v>
      </c>
      <c r="B1186">
        <v>281</v>
      </c>
      <c r="C1186" s="2">
        <v>45058</v>
      </c>
      <c r="D1186" s="2" t="str">
        <f>TEXT(Table3[[#This Row],[usage_date]],"mmmm")</f>
        <v>May</v>
      </c>
      <c r="E1186" s="9">
        <f>YEAR(Table3[[#This Row],[usage_date]])</f>
        <v>2023</v>
      </c>
      <c r="F1186" s="14">
        <v>3.04</v>
      </c>
      <c r="G1186">
        <v>269</v>
      </c>
      <c r="H1186" t="s">
        <v>12</v>
      </c>
      <c r="I1186" t="str">
        <f t="shared" si="18"/>
        <v>Normal Usage</v>
      </c>
    </row>
    <row r="1187" spans="1:9" x14ac:dyDescent="0.3">
      <c r="A1187">
        <v>11186</v>
      </c>
      <c r="B1187">
        <v>424</v>
      </c>
      <c r="C1187" s="2">
        <v>45160</v>
      </c>
      <c r="D1187" s="2" t="str">
        <f>TEXT(Table3[[#This Row],[usage_date]],"mmmm")</f>
        <v>August</v>
      </c>
      <c r="E1187" s="9">
        <f>YEAR(Table3[[#This Row],[usage_date]])</f>
        <v>2023</v>
      </c>
      <c r="F1187" s="14">
        <v>1.7</v>
      </c>
      <c r="G1187">
        <v>35</v>
      </c>
      <c r="H1187" t="s">
        <v>13</v>
      </c>
      <c r="I1187" t="str">
        <f t="shared" si="18"/>
        <v>Normal Usage</v>
      </c>
    </row>
    <row r="1188" spans="1:9" x14ac:dyDescent="0.3">
      <c r="A1188">
        <v>11187</v>
      </c>
      <c r="B1188">
        <v>344</v>
      </c>
      <c r="C1188" s="2">
        <v>44762</v>
      </c>
      <c r="D1188" s="2" t="str">
        <f>TEXT(Table3[[#This Row],[usage_date]],"mmmm")</f>
        <v>July</v>
      </c>
      <c r="E1188" s="9">
        <f>YEAR(Table3[[#This Row],[usage_date]])</f>
        <v>2022</v>
      </c>
      <c r="F1188" s="14">
        <v>6.16</v>
      </c>
      <c r="G1188">
        <v>33</v>
      </c>
      <c r="H1188" t="s">
        <v>12</v>
      </c>
      <c r="I1188" t="str">
        <f t="shared" si="18"/>
        <v>High Usage</v>
      </c>
    </row>
    <row r="1189" spans="1:9" x14ac:dyDescent="0.3">
      <c r="A1189">
        <v>11188</v>
      </c>
      <c r="B1189">
        <v>270</v>
      </c>
      <c r="C1189" s="2">
        <v>45410</v>
      </c>
      <c r="D1189" s="2" t="str">
        <f>TEXT(Table3[[#This Row],[usage_date]],"mmmm")</f>
        <v>April</v>
      </c>
      <c r="E1189" s="9">
        <f>YEAR(Table3[[#This Row],[usage_date]])</f>
        <v>2024</v>
      </c>
      <c r="F1189" s="14">
        <v>1.68</v>
      </c>
      <c r="G1189">
        <v>87</v>
      </c>
      <c r="H1189" t="s">
        <v>13</v>
      </c>
      <c r="I1189" t="str">
        <f t="shared" si="18"/>
        <v>Normal Usage</v>
      </c>
    </row>
    <row r="1190" spans="1:9" x14ac:dyDescent="0.3">
      <c r="A1190">
        <v>11189</v>
      </c>
      <c r="B1190">
        <v>154</v>
      </c>
      <c r="C1190" s="2">
        <v>45070</v>
      </c>
      <c r="D1190" s="2" t="str">
        <f>TEXT(Table3[[#This Row],[usage_date]],"mmmm")</f>
        <v>May</v>
      </c>
      <c r="E1190" s="9">
        <f>YEAR(Table3[[#This Row],[usage_date]])</f>
        <v>2023</v>
      </c>
      <c r="F1190" s="14">
        <v>1.5</v>
      </c>
      <c r="G1190">
        <v>145</v>
      </c>
      <c r="H1190" t="s">
        <v>12</v>
      </c>
      <c r="I1190" t="str">
        <f t="shared" si="18"/>
        <v>Normal Usage</v>
      </c>
    </row>
    <row r="1191" spans="1:9" x14ac:dyDescent="0.3">
      <c r="A1191">
        <v>11190</v>
      </c>
      <c r="B1191">
        <v>102</v>
      </c>
      <c r="C1191" s="2">
        <v>44883</v>
      </c>
      <c r="D1191" s="2" t="str">
        <f>TEXT(Table3[[#This Row],[usage_date]],"mmmm")</f>
        <v>November</v>
      </c>
      <c r="E1191" s="9">
        <f>YEAR(Table3[[#This Row],[usage_date]])</f>
        <v>2022</v>
      </c>
      <c r="F1191" s="14">
        <v>0.56000000000000005</v>
      </c>
      <c r="G1191">
        <v>15</v>
      </c>
      <c r="H1191" t="s">
        <v>12</v>
      </c>
      <c r="I1191" t="str">
        <f t="shared" si="18"/>
        <v>Normal Usage</v>
      </c>
    </row>
    <row r="1192" spans="1:9" x14ac:dyDescent="0.3">
      <c r="A1192">
        <v>11191</v>
      </c>
      <c r="B1192">
        <v>215</v>
      </c>
      <c r="C1192" s="2">
        <v>44836</v>
      </c>
      <c r="D1192" s="2" t="str">
        <f>TEXT(Table3[[#This Row],[usage_date]],"mmmm")</f>
        <v>October</v>
      </c>
      <c r="E1192" s="9">
        <f>YEAR(Table3[[#This Row],[usage_date]])</f>
        <v>2022</v>
      </c>
      <c r="F1192" s="14">
        <v>0.92</v>
      </c>
      <c r="G1192">
        <v>232</v>
      </c>
      <c r="H1192" t="s">
        <v>12</v>
      </c>
      <c r="I1192" t="str">
        <f t="shared" si="18"/>
        <v>Normal Usage</v>
      </c>
    </row>
    <row r="1193" spans="1:9" x14ac:dyDescent="0.3">
      <c r="A1193">
        <v>11192</v>
      </c>
      <c r="B1193">
        <v>150</v>
      </c>
      <c r="C1193" s="2">
        <v>44772</v>
      </c>
      <c r="D1193" s="2" t="str">
        <f>TEXT(Table3[[#This Row],[usage_date]],"mmmm")</f>
        <v>July</v>
      </c>
      <c r="E1193" s="9">
        <f>YEAR(Table3[[#This Row],[usage_date]])</f>
        <v>2022</v>
      </c>
      <c r="F1193" s="14">
        <v>0.11</v>
      </c>
      <c r="G1193">
        <v>40</v>
      </c>
      <c r="H1193" t="s">
        <v>12</v>
      </c>
      <c r="I1193" t="str">
        <f t="shared" si="18"/>
        <v>Normal Usage</v>
      </c>
    </row>
    <row r="1194" spans="1:9" x14ac:dyDescent="0.3">
      <c r="A1194">
        <v>11193</v>
      </c>
      <c r="B1194">
        <v>432</v>
      </c>
      <c r="C1194" s="2">
        <v>45065</v>
      </c>
      <c r="D1194" s="2" t="str">
        <f>TEXT(Table3[[#This Row],[usage_date]],"mmmm")</f>
        <v>May</v>
      </c>
      <c r="E1194" s="9">
        <f>YEAR(Table3[[#This Row],[usage_date]])</f>
        <v>2023</v>
      </c>
      <c r="F1194" s="14">
        <v>2.5099999999999998</v>
      </c>
      <c r="G1194">
        <v>254</v>
      </c>
      <c r="H1194" t="s">
        <v>13</v>
      </c>
      <c r="I1194" t="str">
        <f t="shared" si="18"/>
        <v>Normal Usage</v>
      </c>
    </row>
    <row r="1195" spans="1:9" x14ac:dyDescent="0.3">
      <c r="A1195">
        <v>11194</v>
      </c>
      <c r="B1195">
        <v>83</v>
      </c>
      <c r="C1195" s="2">
        <v>44679</v>
      </c>
      <c r="D1195" s="2" t="str">
        <f>TEXT(Table3[[#This Row],[usage_date]],"mmmm")</f>
        <v>April</v>
      </c>
      <c r="E1195" s="9">
        <f>YEAR(Table3[[#This Row],[usage_date]])</f>
        <v>2022</v>
      </c>
      <c r="F1195" s="14">
        <v>0.71</v>
      </c>
      <c r="G1195">
        <v>280</v>
      </c>
      <c r="H1195" t="s">
        <v>12</v>
      </c>
      <c r="I1195" t="str">
        <f t="shared" si="18"/>
        <v>Normal Usage</v>
      </c>
    </row>
    <row r="1196" spans="1:9" x14ac:dyDescent="0.3">
      <c r="A1196">
        <v>11195</v>
      </c>
      <c r="B1196">
        <v>110</v>
      </c>
      <c r="C1196" s="2">
        <v>45264</v>
      </c>
      <c r="D1196" s="2" t="str">
        <f>TEXT(Table3[[#This Row],[usage_date]],"mmmm")</f>
        <v>December</v>
      </c>
      <c r="E1196" s="9">
        <f>YEAR(Table3[[#This Row],[usage_date]])</f>
        <v>2023</v>
      </c>
      <c r="F1196" s="14">
        <v>0.91</v>
      </c>
      <c r="G1196">
        <v>125</v>
      </c>
      <c r="H1196" t="s">
        <v>12</v>
      </c>
      <c r="I1196" t="str">
        <f t="shared" si="18"/>
        <v>Normal Usage</v>
      </c>
    </row>
    <row r="1197" spans="1:9" x14ac:dyDescent="0.3">
      <c r="A1197">
        <v>11196</v>
      </c>
      <c r="B1197">
        <v>435</v>
      </c>
      <c r="C1197" s="2">
        <v>45115</v>
      </c>
      <c r="D1197" s="2" t="str">
        <f>TEXT(Table3[[#This Row],[usage_date]],"mmmm")</f>
        <v>July</v>
      </c>
      <c r="E1197" s="9">
        <f>YEAR(Table3[[#This Row],[usage_date]])</f>
        <v>2023</v>
      </c>
      <c r="F1197" s="14">
        <v>3.68</v>
      </c>
      <c r="G1197">
        <v>7</v>
      </c>
      <c r="H1197" t="s">
        <v>12</v>
      </c>
      <c r="I1197" t="str">
        <f t="shared" si="18"/>
        <v>Normal Usage</v>
      </c>
    </row>
    <row r="1198" spans="1:9" x14ac:dyDescent="0.3">
      <c r="A1198">
        <v>11197</v>
      </c>
      <c r="B1198">
        <v>387</v>
      </c>
      <c r="C1198" s="2">
        <v>44603</v>
      </c>
      <c r="D1198" s="2" t="str">
        <f>TEXT(Table3[[#This Row],[usage_date]],"mmmm")</f>
        <v>February</v>
      </c>
      <c r="E1198" s="9">
        <f>YEAR(Table3[[#This Row],[usage_date]])</f>
        <v>2022</v>
      </c>
      <c r="F1198" s="14">
        <v>0.99</v>
      </c>
      <c r="G1198">
        <v>175</v>
      </c>
      <c r="H1198" t="s">
        <v>12</v>
      </c>
      <c r="I1198" t="str">
        <f t="shared" si="18"/>
        <v>Normal Usage</v>
      </c>
    </row>
    <row r="1199" spans="1:9" x14ac:dyDescent="0.3">
      <c r="A1199">
        <v>11198</v>
      </c>
      <c r="B1199">
        <v>426</v>
      </c>
      <c r="C1199" s="2">
        <v>44876</v>
      </c>
      <c r="D1199" s="2" t="str">
        <f>TEXT(Table3[[#This Row],[usage_date]],"mmmm")</f>
        <v>November</v>
      </c>
      <c r="E1199" s="9">
        <f>YEAR(Table3[[#This Row],[usage_date]])</f>
        <v>2022</v>
      </c>
      <c r="F1199" s="14">
        <v>0.69</v>
      </c>
      <c r="G1199">
        <v>227</v>
      </c>
      <c r="H1199" t="s">
        <v>13</v>
      </c>
      <c r="I1199" t="str">
        <f t="shared" si="18"/>
        <v>Normal Usage</v>
      </c>
    </row>
    <row r="1200" spans="1:9" x14ac:dyDescent="0.3">
      <c r="A1200">
        <v>11199</v>
      </c>
      <c r="B1200">
        <v>275</v>
      </c>
      <c r="C1200" s="2">
        <v>45349</v>
      </c>
      <c r="D1200" s="2" t="str">
        <f>TEXT(Table3[[#This Row],[usage_date]],"mmmm")</f>
        <v>February</v>
      </c>
      <c r="E1200" s="9">
        <f>YEAR(Table3[[#This Row],[usage_date]])</f>
        <v>2024</v>
      </c>
      <c r="F1200" s="14">
        <v>0.46</v>
      </c>
      <c r="G1200">
        <v>17</v>
      </c>
      <c r="H1200" t="s">
        <v>12</v>
      </c>
      <c r="I1200" t="str">
        <f t="shared" si="18"/>
        <v>Normal Usage</v>
      </c>
    </row>
    <row r="1201" spans="1:9" x14ac:dyDescent="0.3">
      <c r="A1201">
        <v>11200</v>
      </c>
      <c r="B1201">
        <v>201</v>
      </c>
      <c r="C1201" s="2">
        <v>44890</v>
      </c>
      <c r="D1201" s="2" t="str">
        <f>TEXT(Table3[[#This Row],[usage_date]],"mmmm")</f>
        <v>November</v>
      </c>
      <c r="E1201" s="9">
        <f>YEAR(Table3[[#This Row],[usage_date]])</f>
        <v>2022</v>
      </c>
      <c r="F1201" s="14">
        <v>3.73</v>
      </c>
      <c r="G1201">
        <v>55</v>
      </c>
      <c r="H1201" t="s">
        <v>13</v>
      </c>
      <c r="I1201" t="str">
        <f t="shared" si="18"/>
        <v>Normal Usage</v>
      </c>
    </row>
    <row r="1202" spans="1:9" x14ac:dyDescent="0.3">
      <c r="A1202">
        <v>11201</v>
      </c>
      <c r="B1202">
        <v>284</v>
      </c>
      <c r="C1202" s="2">
        <v>44578</v>
      </c>
      <c r="D1202" s="2" t="str">
        <f>TEXT(Table3[[#This Row],[usage_date]],"mmmm")</f>
        <v>January</v>
      </c>
      <c r="E1202" s="9">
        <f>YEAR(Table3[[#This Row],[usage_date]])</f>
        <v>2022</v>
      </c>
      <c r="F1202" s="14">
        <v>0.35</v>
      </c>
      <c r="G1202">
        <v>34</v>
      </c>
      <c r="H1202" t="s">
        <v>12</v>
      </c>
      <c r="I1202" t="str">
        <f t="shared" si="18"/>
        <v>Normal Usage</v>
      </c>
    </row>
    <row r="1203" spans="1:9" x14ac:dyDescent="0.3">
      <c r="A1203">
        <v>11202</v>
      </c>
      <c r="B1203">
        <v>468</v>
      </c>
      <c r="C1203" s="2">
        <v>44844</v>
      </c>
      <c r="D1203" s="2" t="str">
        <f>TEXT(Table3[[#This Row],[usage_date]],"mmmm")</f>
        <v>October</v>
      </c>
      <c r="E1203" s="9">
        <f>YEAR(Table3[[#This Row],[usage_date]])</f>
        <v>2022</v>
      </c>
      <c r="F1203" s="14">
        <v>1.51</v>
      </c>
      <c r="G1203">
        <v>117</v>
      </c>
      <c r="H1203" t="s">
        <v>13</v>
      </c>
      <c r="I1203" t="str">
        <f t="shared" si="18"/>
        <v>Normal Usage</v>
      </c>
    </row>
    <row r="1204" spans="1:9" x14ac:dyDescent="0.3">
      <c r="A1204">
        <v>11203</v>
      </c>
      <c r="B1204">
        <v>173</v>
      </c>
      <c r="C1204" s="2">
        <v>44819</v>
      </c>
      <c r="D1204" s="2" t="str">
        <f>TEXT(Table3[[#This Row],[usage_date]],"mmmm")</f>
        <v>September</v>
      </c>
      <c r="E1204" s="9">
        <f>YEAR(Table3[[#This Row],[usage_date]])</f>
        <v>2022</v>
      </c>
      <c r="F1204" s="14">
        <v>1.77</v>
      </c>
      <c r="G1204">
        <v>281</v>
      </c>
      <c r="H1204" t="s">
        <v>13</v>
      </c>
      <c r="I1204" t="str">
        <f t="shared" si="18"/>
        <v>Normal Usage</v>
      </c>
    </row>
    <row r="1205" spans="1:9" x14ac:dyDescent="0.3">
      <c r="A1205">
        <v>11204</v>
      </c>
      <c r="B1205">
        <v>327</v>
      </c>
      <c r="C1205" s="2">
        <v>45136</v>
      </c>
      <c r="D1205" s="2" t="str">
        <f>TEXT(Table3[[#This Row],[usage_date]],"mmmm")</f>
        <v>July</v>
      </c>
      <c r="E1205" s="9">
        <f>YEAR(Table3[[#This Row],[usage_date]])</f>
        <v>2023</v>
      </c>
      <c r="F1205" s="14">
        <v>2.91</v>
      </c>
      <c r="G1205">
        <v>253</v>
      </c>
      <c r="H1205" t="s">
        <v>12</v>
      </c>
      <c r="I1205" t="str">
        <f t="shared" si="18"/>
        <v>Normal Usage</v>
      </c>
    </row>
    <row r="1206" spans="1:9" x14ac:dyDescent="0.3">
      <c r="A1206">
        <v>11205</v>
      </c>
      <c r="B1206">
        <v>206</v>
      </c>
      <c r="C1206" s="2">
        <v>45135</v>
      </c>
      <c r="D1206" s="2" t="str">
        <f>TEXT(Table3[[#This Row],[usage_date]],"mmmm")</f>
        <v>July</v>
      </c>
      <c r="E1206" s="9">
        <f>YEAR(Table3[[#This Row],[usage_date]])</f>
        <v>2023</v>
      </c>
      <c r="F1206" s="14">
        <v>2.5099999999999998</v>
      </c>
      <c r="G1206">
        <v>212</v>
      </c>
      <c r="H1206" t="s">
        <v>12</v>
      </c>
      <c r="I1206" t="str">
        <f t="shared" si="18"/>
        <v>Normal Usage</v>
      </c>
    </row>
    <row r="1207" spans="1:9" x14ac:dyDescent="0.3">
      <c r="A1207">
        <v>11206</v>
      </c>
      <c r="B1207">
        <v>63</v>
      </c>
      <c r="C1207" s="2">
        <v>45173</v>
      </c>
      <c r="D1207" s="2" t="str">
        <f>TEXT(Table3[[#This Row],[usage_date]],"mmmm")</f>
        <v>September</v>
      </c>
      <c r="E1207" s="9">
        <f>YEAR(Table3[[#This Row],[usage_date]])</f>
        <v>2023</v>
      </c>
      <c r="F1207" s="14">
        <v>4.16</v>
      </c>
      <c r="G1207">
        <v>60</v>
      </c>
      <c r="H1207" t="s">
        <v>13</v>
      </c>
      <c r="I1207" t="str">
        <f t="shared" si="18"/>
        <v>Normal Usage</v>
      </c>
    </row>
    <row r="1208" spans="1:9" x14ac:dyDescent="0.3">
      <c r="A1208">
        <v>11207</v>
      </c>
      <c r="B1208">
        <v>73</v>
      </c>
      <c r="C1208" s="2">
        <v>44580</v>
      </c>
      <c r="D1208" s="2" t="str">
        <f>TEXT(Table3[[#This Row],[usage_date]],"mmmm")</f>
        <v>January</v>
      </c>
      <c r="E1208" s="9">
        <f>YEAR(Table3[[#This Row],[usage_date]])</f>
        <v>2022</v>
      </c>
      <c r="F1208" s="14">
        <v>0.11</v>
      </c>
      <c r="G1208">
        <v>87</v>
      </c>
      <c r="H1208" t="s">
        <v>12</v>
      </c>
      <c r="I1208" t="str">
        <f t="shared" si="18"/>
        <v>Normal Usage</v>
      </c>
    </row>
    <row r="1209" spans="1:9" x14ac:dyDescent="0.3">
      <c r="A1209">
        <v>11208</v>
      </c>
      <c r="B1209">
        <v>251</v>
      </c>
      <c r="C1209" s="2">
        <v>45090</v>
      </c>
      <c r="D1209" s="2" t="str">
        <f>TEXT(Table3[[#This Row],[usage_date]],"mmmm")</f>
        <v>June</v>
      </c>
      <c r="E1209" s="9">
        <f>YEAR(Table3[[#This Row],[usage_date]])</f>
        <v>2023</v>
      </c>
      <c r="F1209" s="14">
        <v>0.88</v>
      </c>
      <c r="G1209">
        <v>270</v>
      </c>
      <c r="H1209" t="s">
        <v>13</v>
      </c>
      <c r="I1209" t="str">
        <f t="shared" si="18"/>
        <v>Normal Usage</v>
      </c>
    </row>
    <row r="1210" spans="1:9" x14ac:dyDescent="0.3">
      <c r="A1210">
        <v>11209</v>
      </c>
      <c r="B1210">
        <v>124</v>
      </c>
      <c r="C1210" s="2">
        <v>45398</v>
      </c>
      <c r="D1210" s="2" t="str">
        <f>TEXT(Table3[[#This Row],[usage_date]],"mmmm")</f>
        <v>April</v>
      </c>
      <c r="E1210" s="9">
        <f>YEAR(Table3[[#This Row],[usage_date]])</f>
        <v>2024</v>
      </c>
      <c r="F1210" s="14">
        <v>0.82</v>
      </c>
      <c r="G1210">
        <v>31</v>
      </c>
      <c r="H1210" t="s">
        <v>12</v>
      </c>
      <c r="I1210" t="str">
        <f t="shared" si="18"/>
        <v>Normal Usage</v>
      </c>
    </row>
    <row r="1211" spans="1:9" x14ac:dyDescent="0.3">
      <c r="A1211">
        <v>11210</v>
      </c>
      <c r="B1211">
        <v>375</v>
      </c>
      <c r="C1211" s="2">
        <v>44984</v>
      </c>
      <c r="D1211" s="2" t="str">
        <f>TEXT(Table3[[#This Row],[usage_date]],"mmmm")</f>
        <v>February</v>
      </c>
      <c r="E1211" s="9">
        <f>YEAR(Table3[[#This Row],[usage_date]])</f>
        <v>2023</v>
      </c>
      <c r="F1211" s="14">
        <v>0.39</v>
      </c>
      <c r="G1211">
        <v>132</v>
      </c>
      <c r="H1211" t="s">
        <v>12</v>
      </c>
      <c r="I1211" t="str">
        <f t="shared" si="18"/>
        <v>Normal Usage</v>
      </c>
    </row>
    <row r="1212" spans="1:9" x14ac:dyDescent="0.3">
      <c r="A1212">
        <v>11211</v>
      </c>
      <c r="B1212">
        <v>121</v>
      </c>
      <c r="C1212" s="2">
        <v>45027</v>
      </c>
      <c r="D1212" s="2" t="str">
        <f>TEXT(Table3[[#This Row],[usage_date]],"mmmm")</f>
        <v>April</v>
      </c>
      <c r="E1212" s="9">
        <f>YEAR(Table3[[#This Row],[usage_date]])</f>
        <v>2023</v>
      </c>
      <c r="F1212" s="14">
        <v>0.85</v>
      </c>
      <c r="G1212">
        <v>63</v>
      </c>
      <c r="H1212" t="s">
        <v>13</v>
      </c>
      <c r="I1212" t="str">
        <f t="shared" si="18"/>
        <v>Normal Usage</v>
      </c>
    </row>
    <row r="1213" spans="1:9" x14ac:dyDescent="0.3">
      <c r="A1213">
        <v>11212</v>
      </c>
      <c r="B1213">
        <v>275</v>
      </c>
      <c r="C1213" s="2">
        <v>44934</v>
      </c>
      <c r="D1213" s="2" t="str">
        <f>TEXT(Table3[[#This Row],[usage_date]],"mmmm")</f>
        <v>January</v>
      </c>
      <c r="E1213" s="9">
        <f>YEAR(Table3[[#This Row],[usage_date]])</f>
        <v>2023</v>
      </c>
      <c r="F1213" s="14">
        <v>0.93</v>
      </c>
      <c r="G1213">
        <v>198</v>
      </c>
      <c r="H1213" t="s">
        <v>12</v>
      </c>
      <c r="I1213" t="str">
        <f t="shared" si="18"/>
        <v>Normal Usage</v>
      </c>
    </row>
    <row r="1214" spans="1:9" x14ac:dyDescent="0.3">
      <c r="A1214">
        <v>11213</v>
      </c>
      <c r="B1214">
        <v>431</v>
      </c>
      <c r="C1214" s="2">
        <v>45319</v>
      </c>
      <c r="D1214" s="2" t="str">
        <f>TEXT(Table3[[#This Row],[usage_date]],"mmmm")</f>
        <v>January</v>
      </c>
      <c r="E1214" s="9">
        <f>YEAR(Table3[[#This Row],[usage_date]])</f>
        <v>2024</v>
      </c>
      <c r="F1214" s="14">
        <v>1.84</v>
      </c>
      <c r="G1214">
        <v>255</v>
      </c>
      <c r="H1214" t="s">
        <v>12</v>
      </c>
      <c r="I1214" t="str">
        <f t="shared" si="18"/>
        <v>Normal Usage</v>
      </c>
    </row>
    <row r="1215" spans="1:9" x14ac:dyDescent="0.3">
      <c r="A1215">
        <v>11214</v>
      </c>
      <c r="B1215">
        <v>500</v>
      </c>
      <c r="C1215" s="2">
        <v>45324</v>
      </c>
      <c r="D1215" s="2" t="str">
        <f>TEXT(Table3[[#This Row],[usage_date]],"mmmm")</f>
        <v>February</v>
      </c>
      <c r="E1215" s="9">
        <f>YEAR(Table3[[#This Row],[usage_date]])</f>
        <v>2024</v>
      </c>
      <c r="F1215" s="14">
        <v>2.72</v>
      </c>
      <c r="G1215">
        <v>154</v>
      </c>
      <c r="H1215" t="s">
        <v>12</v>
      </c>
      <c r="I1215" t="str">
        <f t="shared" si="18"/>
        <v>Normal Usage</v>
      </c>
    </row>
    <row r="1216" spans="1:9" x14ac:dyDescent="0.3">
      <c r="A1216">
        <v>11215</v>
      </c>
      <c r="B1216">
        <v>398</v>
      </c>
      <c r="C1216" s="2">
        <v>44642</v>
      </c>
      <c r="D1216" s="2" t="str">
        <f>TEXT(Table3[[#This Row],[usage_date]],"mmmm")</f>
        <v>March</v>
      </c>
      <c r="E1216" s="9">
        <f>YEAR(Table3[[#This Row],[usage_date]])</f>
        <v>2022</v>
      </c>
      <c r="F1216" s="14">
        <v>1.2</v>
      </c>
      <c r="G1216">
        <v>230</v>
      </c>
      <c r="H1216" t="s">
        <v>12</v>
      </c>
      <c r="I1216" t="str">
        <f t="shared" si="18"/>
        <v>Normal Usage</v>
      </c>
    </row>
    <row r="1217" spans="1:9" x14ac:dyDescent="0.3">
      <c r="A1217">
        <v>11216</v>
      </c>
      <c r="B1217">
        <v>120</v>
      </c>
      <c r="C1217" s="2">
        <v>45112</v>
      </c>
      <c r="D1217" s="2" t="str">
        <f>TEXT(Table3[[#This Row],[usage_date]],"mmmm")</f>
        <v>July</v>
      </c>
      <c r="E1217" s="9">
        <f>YEAR(Table3[[#This Row],[usage_date]])</f>
        <v>2023</v>
      </c>
      <c r="F1217" s="14">
        <v>3.18</v>
      </c>
      <c r="G1217">
        <v>34</v>
      </c>
      <c r="H1217" t="s">
        <v>13</v>
      </c>
      <c r="I1217" t="str">
        <f t="shared" si="18"/>
        <v>Normal Usage</v>
      </c>
    </row>
    <row r="1218" spans="1:9" x14ac:dyDescent="0.3">
      <c r="A1218">
        <v>11217</v>
      </c>
      <c r="B1218">
        <v>422</v>
      </c>
      <c r="C1218" s="2">
        <v>45109</v>
      </c>
      <c r="D1218" s="2" t="str">
        <f>TEXT(Table3[[#This Row],[usage_date]],"mmmm")</f>
        <v>July</v>
      </c>
      <c r="E1218" s="9">
        <f>YEAR(Table3[[#This Row],[usage_date]])</f>
        <v>2023</v>
      </c>
      <c r="F1218" s="14">
        <v>1.02</v>
      </c>
      <c r="G1218">
        <v>25</v>
      </c>
      <c r="H1218" t="s">
        <v>13</v>
      </c>
      <c r="I1218" t="str">
        <f t="shared" ref="I1218:I1281" si="19">IF(F1218&gt;6,"High Usage","Normal Usage")</f>
        <v>Normal Usage</v>
      </c>
    </row>
    <row r="1219" spans="1:9" x14ac:dyDescent="0.3">
      <c r="A1219">
        <v>11218</v>
      </c>
      <c r="B1219">
        <v>437</v>
      </c>
      <c r="C1219" s="2">
        <v>44985</v>
      </c>
      <c r="D1219" s="2" t="str">
        <f>TEXT(Table3[[#This Row],[usage_date]],"mmmm")</f>
        <v>February</v>
      </c>
      <c r="E1219" s="9">
        <f>YEAR(Table3[[#This Row],[usage_date]])</f>
        <v>2023</v>
      </c>
      <c r="F1219" s="14">
        <v>0.86</v>
      </c>
      <c r="G1219">
        <v>22</v>
      </c>
      <c r="H1219" t="s">
        <v>13</v>
      </c>
      <c r="I1219" t="str">
        <f t="shared" si="19"/>
        <v>Normal Usage</v>
      </c>
    </row>
    <row r="1220" spans="1:9" x14ac:dyDescent="0.3">
      <c r="A1220">
        <v>11219</v>
      </c>
      <c r="B1220">
        <v>317</v>
      </c>
      <c r="C1220" s="2">
        <v>44990</v>
      </c>
      <c r="D1220" s="2" t="str">
        <f>TEXT(Table3[[#This Row],[usage_date]],"mmmm")</f>
        <v>March</v>
      </c>
      <c r="E1220" s="9">
        <f>YEAR(Table3[[#This Row],[usage_date]])</f>
        <v>2023</v>
      </c>
      <c r="F1220" s="14">
        <v>1.95</v>
      </c>
      <c r="G1220">
        <v>140</v>
      </c>
      <c r="H1220" t="s">
        <v>12</v>
      </c>
      <c r="I1220" t="str">
        <f t="shared" si="19"/>
        <v>Normal Usage</v>
      </c>
    </row>
    <row r="1221" spans="1:9" x14ac:dyDescent="0.3">
      <c r="A1221">
        <v>11220</v>
      </c>
      <c r="B1221">
        <v>164</v>
      </c>
      <c r="C1221" s="2">
        <v>44949</v>
      </c>
      <c r="D1221" s="2" t="str">
        <f>TEXT(Table3[[#This Row],[usage_date]],"mmmm")</f>
        <v>January</v>
      </c>
      <c r="E1221" s="9">
        <f>YEAR(Table3[[#This Row],[usage_date]])</f>
        <v>2023</v>
      </c>
      <c r="F1221" s="14">
        <v>0.06</v>
      </c>
      <c r="G1221">
        <v>284</v>
      </c>
      <c r="H1221" t="s">
        <v>12</v>
      </c>
      <c r="I1221" t="str">
        <f t="shared" si="19"/>
        <v>Normal Usage</v>
      </c>
    </row>
    <row r="1222" spans="1:9" x14ac:dyDescent="0.3">
      <c r="A1222">
        <v>11221</v>
      </c>
      <c r="B1222">
        <v>424</v>
      </c>
      <c r="C1222" s="2">
        <v>45270</v>
      </c>
      <c r="D1222" s="2" t="str">
        <f>TEXT(Table3[[#This Row],[usage_date]],"mmmm")</f>
        <v>December</v>
      </c>
      <c r="E1222" s="9">
        <f>YEAR(Table3[[#This Row],[usage_date]])</f>
        <v>2023</v>
      </c>
      <c r="F1222" s="14">
        <v>0.21</v>
      </c>
      <c r="G1222">
        <v>155</v>
      </c>
      <c r="H1222" t="s">
        <v>13</v>
      </c>
      <c r="I1222" t="str">
        <f t="shared" si="19"/>
        <v>Normal Usage</v>
      </c>
    </row>
    <row r="1223" spans="1:9" x14ac:dyDescent="0.3">
      <c r="A1223">
        <v>11222</v>
      </c>
      <c r="B1223">
        <v>465</v>
      </c>
      <c r="C1223" s="2">
        <v>45231</v>
      </c>
      <c r="D1223" s="2" t="str">
        <f>TEXT(Table3[[#This Row],[usage_date]],"mmmm")</f>
        <v>November</v>
      </c>
      <c r="E1223" s="9">
        <f>YEAR(Table3[[#This Row],[usage_date]])</f>
        <v>2023</v>
      </c>
      <c r="F1223" s="14">
        <v>1.35</v>
      </c>
      <c r="G1223">
        <v>112</v>
      </c>
      <c r="H1223" t="s">
        <v>12</v>
      </c>
      <c r="I1223" t="str">
        <f t="shared" si="19"/>
        <v>Normal Usage</v>
      </c>
    </row>
    <row r="1224" spans="1:9" x14ac:dyDescent="0.3">
      <c r="A1224">
        <v>11223</v>
      </c>
      <c r="B1224">
        <v>286</v>
      </c>
      <c r="C1224" s="2">
        <v>44765</v>
      </c>
      <c r="D1224" s="2" t="str">
        <f>TEXT(Table3[[#This Row],[usage_date]],"mmmm")</f>
        <v>July</v>
      </c>
      <c r="E1224" s="9">
        <f>YEAR(Table3[[#This Row],[usage_date]])</f>
        <v>2022</v>
      </c>
      <c r="F1224" s="14">
        <v>7.16</v>
      </c>
      <c r="G1224">
        <v>138</v>
      </c>
      <c r="H1224" t="s">
        <v>12</v>
      </c>
      <c r="I1224" t="str">
        <f t="shared" si="19"/>
        <v>High Usage</v>
      </c>
    </row>
    <row r="1225" spans="1:9" x14ac:dyDescent="0.3">
      <c r="A1225">
        <v>11224</v>
      </c>
      <c r="B1225">
        <v>265</v>
      </c>
      <c r="C1225" s="2">
        <v>44757</v>
      </c>
      <c r="D1225" s="2" t="str">
        <f>TEXT(Table3[[#This Row],[usage_date]],"mmmm")</f>
        <v>July</v>
      </c>
      <c r="E1225" s="9">
        <f>YEAR(Table3[[#This Row],[usage_date]])</f>
        <v>2022</v>
      </c>
      <c r="F1225" s="14">
        <v>3.2</v>
      </c>
      <c r="G1225">
        <v>208</v>
      </c>
      <c r="H1225" t="s">
        <v>13</v>
      </c>
      <c r="I1225" t="str">
        <f t="shared" si="19"/>
        <v>Normal Usage</v>
      </c>
    </row>
    <row r="1226" spans="1:9" x14ac:dyDescent="0.3">
      <c r="A1226">
        <v>11225</v>
      </c>
      <c r="B1226">
        <v>320</v>
      </c>
      <c r="C1226" s="2">
        <v>45289</v>
      </c>
      <c r="D1226" s="2" t="str">
        <f>TEXT(Table3[[#This Row],[usage_date]],"mmmm")</f>
        <v>December</v>
      </c>
      <c r="E1226" s="9">
        <f>YEAR(Table3[[#This Row],[usage_date]])</f>
        <v>2023</v>
      </c>
      <c r="F1226" s="14">
        <v>0.23</v>
      </c>
      <c r="G1226">
        <v>85</v>
      </c>
      <c r="H1226" t="s">
        <v>12</v>
      </c>
      <c r="I1226" t="str">
        <f t="shared" si="19"/>
        <v>Normal Usage</v>
      </c>
    </row>
    <row r="1227" spans="1:9" x14ac:dyDescent="0.3">
      <c r="A1227">
        <v>11226</v>
      </c>
      <c r="B1227">
        <v>161</v>
      </c>
      <c r="C1227" s="2">
        <v>44846</v>
      </c>
      <c r="D1227" s="2" t="str">
        <f>TEXT(Table3[[#This Row],[usage_date]],"mmmm")</f>
        <v>October</v>
      </c>
      <c r="E1227" s="9">
        <f>YEAR(Table3[[#This Row],[usage_date]])</f>
        <v>2022</v>
      </c>
      <c r="F1227" s="14">
        <v>4.68</v>
      </c>
      <c r="G1227">
        <v>284</v>
      </c>
      <c r="H1227" t="s">
        <v>12</v>
      </c>
      <c r="I1227" t="str">
        <f t="shared" si="19"/>
        <v>Normal Usage</v>
      </c>
    </row>
    <row r="1228" spans="1:9" x14ac:dyDescent="0.3">
      <c r="A1228">
        <v>11227</v>
      </c>
      <c r="B1228">
        <v>376</v>
      </c>
      <c r="C1228" s="2">
        <v>44757</v>
      </c>
      <c r="D1228" s="2" t="str">
        <f>TEXT(Table3[[#This Row],[usage_date]],"mmmm")</f>
        <v>July</v>
      </c>
      <c r="E1228" s="9">
        <f>YEAR(Table3[[#This Row],[usage_date]])</f>
        <v>2022</v>
      </c>
      <c r="F1228" s="14">
        <v>3.29</v>
      </c>
      <c r="G1228">
        <v>59</v>
      </c>
      <c r="H1228" t="s">
        <v>12</v>
      </c>
      <c r="I1228" t="str">
        <f t="shared" si="19"/>
        <v>Normal Usage</v>
      </c>
    </row>
    <row r="1229" spans="1:9" x14ac:dyDescent="0.3">
      <c r="A1229">
        <v>11228</v>
      </c>
      <c r="B1229">
        <v>308</v>
      </c>
      <c r="C1229" s="2">
        <v>44868</v>
      </c>
      <c r="D1229" s="2" t="str">
        <f>TEXT(Table3[[#This Row],[usage_date]],"mmmm")</f>
        <v>November</v>
      </c>
      <c r="E1229" s="9">
        <f>YEAR(Table3[[#This Row],[usage_date]])</f>
        <v>2022</v>
      </c>
      <c r="F1229" s="14">
        <v>2.36</v>
      </c>
      <c r="G1229">
        <v>53</v>
      </c>
      <c r="H1229" t="s">
        <v>12</v>
      </c>
      <c r="I1229" t="str">
        <f t="shared" si="19"/>
        <v>Normal Usage</v>
      </c>
    </row>
    <row r="1230" spans="1:9" x14ac:dyDescent="0.3">
      <c r="A1230">
        <v>11229</v>
      </c>
      <c r="B1230">
        <v>89</v>
      </c>
      <c r="C1230" s="2">
        <v>45225</v>
      </c>
      <c r="D1230" s="2" t="str">
        <f>TEXT(Table3[[#This Row],[usage_date]],"mmmm")</f>
        <v>October</v>
      </c>
      <c r="E1230" s="9">
        <f>YEAR(Table3[[#This Row],[usage_date]])</f>
        <v>2023</v>
      </c>
      <c r="F1230" s="14">
        <v>4.29</v>
      </c>
      <c r="G1230">
        <v>92</v>
      </c>
      <c r="H1230" t="s">
        <v>12</v>
      </c>
      <c r="I1230" t="str">
        <f t="shared" si="19"/>
        <v>Normal Usage</v>
      </c>
    </row>
    <row r="1231" spans="1:9" x14ac:dyDescent="0.3">
      <c r="A1231">
        <v>11230</v>
      </c>
      <c r="B1231">
        <v>142</v>
      </c>
      <c r="C1231" s="2">
        <v>44575</v>
      </c>
      <c r="D1231" s="2" t="str">
        <f>TEXT(Table3[[#This Row],[usage_date]],"mmmm")</f>
        <v>January</v>
      </c>
      <c r="E1231" s="9">
        <f>YEAR(Table3[[#This Row],[usage_date]])</f>
        <v>2022</v>
      </c>
      <c r="F1231" s="14">
        <v>1.29</v>
      </c>
      <c r="G1231">
        <v>264</v>
      </c>
      <c r="H1231" t="s">
        <v>13</v>
      </c>
      <c r="I1231" t="str">
        <f t="shared" si="19"/>
        <v>Normal Usage</v>
      </c>
    </row>
    <row r="1232" spans="1:9" x14ac:dyDescent="0.3">
      <c r="A1232">
        <v>11231</v>
      </c>
      <c r="B1232">
        <v>203</v>
      </c>
      <c r="C1232" s="2">
        <v>45398</v>
      </c>
      <c r="D1232" s="2" t="str">
        <f>TEXT(Table3[[#This Row],[usage_date]],"mmmm")</f>
        <v>April</v>
      </c>
      <c r="E1232" s="9">
        <f>YEAR(Table3[[#This Row],[usage_date]])</f>
        <v>2024</v>
      </c>
      <c r="F1232" s="14">
        <v>0.63</v>
      </c>
      <c r="G1232">
        <v>212</v>
      </c>
      <c r="H1232" t="s">
        <v>12</v>
      </c>
      <c r="I1232" t="str">
        <f t="shared" si="19"/>
        <v>Normal Usage</v>
      </c>
    </row>
    <row r="1233" spans="1:9" x14ac:dyDescent="0.3">
      <c r="A1233">
        <v>11232</v>
      </c>
      <c r="B1233">
        <v>309</v>
      </c>
      <c r="C1233" s="2">
        <v>44707</v>
      </c>
      <c r="D1233" s="2" t="str">
        <f>TEXT(Table3[[#This Row],[usage_date]],"mmmm")</f>
        <v>May</v>
      </c>
      <c r="E1233" s="9">
        <f>YEAR(Table3[[#This Row],[usage_date]])</f>
        <v>2022</v>
      </c>
      <c r="F1233" s="14">
        <v>1.79</v>
      </c>
      <c r="G1233">
        <v>9</v>
      </c>
      <c r="H1233" t="s">
        <v>12</v>
      </c>
      <c r="I1233" t="str">
        <f t="shared" si="19"/>
        <v>Normal Usage</v>
      </c>
    </row>
    <row r="1234" spans="1:9" x14ac:dyDescent="0.3">
      <c r="A1234">
        <v>11233</v>
      </c>
      <c r="B1234">
        <v>227</v>
      </c>
      <c r="C1234" s="2">
        <v>44618</v>
      </c>
      <c r="D1234" s="2" t="str">
        <f>TEXT(Table3[[#This Row],[usage_date]],"mmmm")</f>
        <v>February</v>
      </c>
      <c r="E1234" s="9">
        <f>YEAR(Table3[[#This Row],[usage_date]])</f>
        <v>2022</v>
      </c>
      <c r="F1234" s="14">
        <v>1.99</v>
      </c>
      <c r="G1234">
        <v>202</v>
      </c>
      <c r="H1234" t="s">
        <v>13</v>
      </c>
      <c r="I1234" t="str">
        <f t="shared" si="19"/>
        <v>Normal Usage</v>
      </c>
    </row>
    <row r="1235" spans="1:9" x14ac:dyDescent="0.3">
      <c r="A1235">
        <v>11234</v>
      </c>
      <c r="B1235">
        <v>489</v>
      </c>
      <c r="C1235" s="2">
        <v>45284</v>
      </c>
      <c r="D1235" s="2" t="str">
        <f>TEXT(Table3[[#This Row],[usage_date]],"mmmm")</f>
        <v>December</v>
      </c>
      <c r="E1235" s="9">
        <f>YEAR(Table3[[#This Row],[usage_date]])</f>
        <v>2023</v>
      </c>
      <c r="F1235" s="14">
        <v>1.93</v>
      </c>
      <c r="G1235">
        <v>195</v>
      </c>
      <c r="H1235" t="s">
        <v>12</v>
      </c>
      <c r="I1235" t="str">
        <f t="shared" si="19"/>
        <v>Normal Usage</v>
      </c>
    </row>
    <row r="1236" spans="1:9" x14ac:dyDescent="0.3">
      <c r="A1236">
        <v>11235</v>
      </c>
      <c r="B1236">
        <v>443</v>
      </c>
      <c r="C1236" s="2">
        <v>45341</v>
      </c>
      <c r="D1236" s="2" t="str">
        <f>TEXT(Table3[[#This Row],[usage_date]],"mmmm")</f>
        <v>February</v>
      </c>
      <c r="E1236" s="9">
        <f>YEAR(Table3[[#This Row],[usage_date]])</f>
        <v>2024</v>
      </c>
      <c r="F1236" s="14">
        <v>2.08</v>
      </c>
      <c r="G1236">
        <v>57</v>
      </c>
      <c r="H1236" t="s">
        <v>12</v>
      </c>
      <c r="I1236" t="str">
        <f t="shared" si="19"/>
        <v>Normal Usage</v>
      </c>
    </row>
    <row r="1237" spans="1:9" x14ac:dyDescent="0.3">
      <c r="A1237">
        <v>11236</v>
      </c>
      <c r="B1237">
        <v>334</v>
      </c>
      <c r="C1237" s="2">
        <v>44771</v>
      </c>
      <c r="D1237" s="2" t="str">
        <f>TEXT(Table3[[#This Row],[usage_date]],"mmmm")</f>
        <v>July</v>
      </c>
      <c r="E1237" s="9">
        <f>YEAR(Table3[[#This Row],[usage_date]])</f>
        <v>2022</v>
      </c>
      <c r="F1237" s="14">
        <v>7.43</v>
      </c>
      <c r="G1237">
        <v>255</v>
      </c>
      <c r="H1237" t="s">
        <v>12</v>
      </c>
      <c r="I1237" t="str">
        <f t="shared" si="19"/>
        <v>High Usage</v>
      </c>
    </row>
    <row r="1238" spans="1:9" x14ac:dyDescent="0.3">
      <c r="A1238">
        <v>11237</v>
      </c>
      <c r="B1238">
        <v>222</v>
      </c>
      <c r="C1238" s="2">
        <v>45090</v>
      </c>
      <c r="D1238" s="2" t="str">
        <f>TEXT(Table3[[#This Row],[usage_date]],"mmmm")</f>
        <v>June</v>
      </c>
      <c r="E1238" s="9">
        <f>YEAR(Table3[[#This Row],[usage_date]])</f>
        <v>2023</v>
      </c>
      <c r="F1238" s="14">
        <v>5.81</v>
      </c>
      <c r="G1238">
        <v>222</v>
      </c>
      <c r="H1238" t="s">
        <v>13</v>
      </c>
      <c r="I1238" t="str">
        <f t="shared" si="19"/>
        <v>Normal Usage</v>
      </c>
    </row>
    <row r="1239" spans="1:9" x14ac:dyDescent="0.3">
      <c r="A1239">
        <v>11238</v>
      </c>
      <c r="B1239">
        <v>41</v>
      </c>
      <c r="C1239" s="2">
        <v>45359</v>
      </c>
      <c r="D1239" s="2" t="str">
        <f>TEXT(Table3[[#This Row],[usage_date]],"mmmm")</f>
        <v>March</v>
      </c>
      <c r="E1239" s="9">
        <f>YEAR(Table3[[#This Row],[usage_date]])</f>
        <v>2024</v>
      </c>
      <c r="F1239" s="14">
        <v>5.21</v>
      </c>
      <c r="G1239">
        <v>179</v>
      </c>
      <c r="H1239" t="s">
        <v>12</v>
      </c>
      <c r="I1239" t="str">
        <f t="shared" si="19"/>
        <v>Normal Usage</v>
      </c>
    </row>
    <row r="1240" spans="1:9" x14ac:dyDescent="0.3">
      <c r="A1240">
        <v>11239</v>
      </c>
      <c r="B1240">
        <v>196</v>
      </c>
      <c r="C1240" s="2">
        <v>44905</v>
      </c>
      <c r="D1240" s="2" t="str">
        <f>TEXT(Table3[[#This Row],[usage_date]],"mmmm")</f>
        <v>December</v>
      </c>
      <c r="E1240" s="9">
        <f>YEAR(Table3[[#This Row],[usage_date]])</f>
        <v>2022</v>
      </c>
      <c r="F1240" s="14">
        <v>4.04</v>
      </c>
      <c r="G1240">
        <v>34</v>
      </c>
      <c r="H1240" t="s">
        <v>12</v>
      </c>
      <c r="I1240" t="str">
        <f t="shared" si="19"/>
        <v>Normal Usage</v>
      </c>
    </row>
    <row r="1241" spans="1:9" x14ac:dyDescent="0.3">
      <c r="A1241">
        <v>11240</v>
      </c>
      <c r="B1241">
        <v>68</v>
      </c>
      <c r="C1241" s="2">
        <v>45276</v>
      </c>
      <c r="D1241" s="2" t="str">
        <f>TEXT(Table3[[#This Row],[usage_date]],"mmmm")</f>
        <v>December</v>
      </c>
      <c r="E1241" s="9">
        <f>YEAR(Table3[[#This Row],[usage_date]])</f>
        <v>2023</v>
      </c>
      <c r="F1241" s="14">
        <v>7.18</v>
      </c>
      <c r="G1241">
        <v>102</v>
      </c>
      <c r="H1241" t="s">
        <v>12</v>
      </c>
      <c r="I1241" t="str">
        <f t="shared" si="19"/>
        <v>High Usage</v>
      </c>
    </row>
    <row r="1242" spans="1:9" x14ac:dyDescent="0.3">
      <c r="A1242">
        <v>11241</v>
      </c>
      <c r="B1242">
        <v>476</v>
      </c>
      <c r="C1242" s="2">
        <v>45172</v>
      </c>
      <c r="D1242" s="2" t="str">
        <f>TEXT(Table3[[#This Row],[usage_date]],"mmmm")</f>
        <v>September</v>
      </c>
      <c r="E1242" s="9">
        <f>YEAR(Table3[[#This Row],[usage_date]])</f>
        <v>2023</v>
      </c>
      <c r="F1242" s="14">
        <v>0.26</v>
      </c>
      <c r="G1242">
        <v>160</v>
      </c>
      <c r="H1242" t="s">
        <v>12</v>
      </c>
      <c r="I1242" t="str">
        <f t="shared" si="19"/>
        <v>Normal Usage</v>
      </c>
    </row>
    <row r="1243" spans="1:9" x14ac:dyDescent="0.3">
      <c r="A1243">
        <v>11242</v>
      </c>
      <c r="B1243">
        <v>264</v>
      </c>
      <c r="C1243" s="2">
        <v>44840</v>
      </c>
      <c r="D1243" s="2" t="str">
        <f>TEXT(Table3[[#This Row],[usage_date]],"mmmm")</f>
        <v>October</v>
      </c>
      <c r="E1243" s="9">
        <f>YEAR(Table3[[#This Row],[usage_date]])</f>
        <v>2022</v>
      </c>
      <c r="F1243" s="14">
        <v>0.77</v>
      </c>
      <c r="G1243">
        <v>199</v>
      </c>
      <c r="H1243" t="s">
        <v>12</v>
      </c>
      <c r="I1243" t="str">
        <f t="shared" si="19"/>
        <v>Normal Usage</v>
      </c>
    </row>
    <row r="1244" spans="1:9" x14ac:dyDescent="0.3">
      <c r="A1244">
        <v>11243</v>
      </c>
      <c r="B1244">
        <v>2</v>
      </c>
      <c r="C1244" s="2">
        <v>44770</v>
      </c>
      <c r="D1244" s="2" t="str">
        <f>TEXT(Table3[[#This Row],[usage_date]],"mmmm")</f>
        <v>July</v>
      </c>
      <c r="E1244" s="9">
        <f>YEAR(Table3[[#This Row],[usage_date]])</f>
        <v>2022</v>
      </c>
      <c r="F1244" s="14">
        <v>1.71</v>
      </c>
      <c r="G1244">
        <v>159</v>
      </c>
      <c r="H1244" t="s">
        <v>12</v>
      </c>
      <c r="I1244" t="str">
        <f t="shared" si="19"/>
        <v>Normal Usage</v>
      </c>
    </row>
    <row r="1245" spans="1:9" x14ac:dyDescent="0.3">
      <c r="A1245">
        <v>11244</v>
      </c>
      <c r="B1245">
        <v>361</v>
      </c>
      <c r="C1245" s="2">
        <v>45202</v>
      </c>
      <c r="D1245" s="2" t="str">
        <f>TEXT(Table3[[#This Row],[usage_date]],"mmmm")</f>
        <v>October</v>
      </c>
      <c r="E1245" s="9">
        <f>YEAR(Table3[[#This Row],[usage_date]])</f>
        <v>2023</v>
      </c>
      <c r="F1245" s="14">
        <v>4.6900000000000004</v>
      </c>
      <c r="G1245">
        <v>182</v>
      </c>
      <c r="H1245" t="s">
        <v>12</v>
      </c>
      <c r="I1245" t="str">
        <f t="shared" si="19"/>
        <v>Normal Usage</v>
      </c>
    </row>
    <row r="1246" spans="1:9" x14ac:dyDescent="0.3">
      <c r="A1246">
        <v>11245</v>
      </c>
      <c r="B1246">
        <v>125</v>
      </c>
      <c r="C1246" s="2">
        <v>44896</v>
      </c>
      <c r="D1246" s="2" t="str">
        <f>TEXT(Table3[[#This Row],[usage_date]],"mmmm")</f>
        <v>December</v>
      </c>
      <c r="E1246" s="9">
        <f>YEAR(Table3[[#This Row],[usage_date]])</f>
        <v>2022</v>
      </c>
      <c r="F1246" s="14">
        <v>1.76</v>
      </c>
      <c r="G1246">
        <v>135</v>
      </c>
      <c r="H1246" t="s">
        <v>12</v>
      </c>
      <c r="I1246" t="str">
        <f t="shared" si="19"/>
        <v>Normal Usage</v>
      </c>
    </row>
    <row r="1247" spans="1:9" x14ac:dyDescent="0.3">
      <c r="A1247">
        <v>11246</v>
      </c>
      <c r="B1247">
        <v>110</v>
      </c>
      <c r="C1247" s="2">
        <v>44849</v>
      </c>
      <c r="D1247" s="2" t="str">
        <f>TEXT(Table3[[#This Row],[usage_date]],"mmmm")</f>
        <v>October</v>
      </c>
      <c r="E1247" s="9">
        <f>YEAR(Table3[[#This Row],[usage_date]])</f>
        <v>2022</v>
      </c>
      <c r="F1247" s="14">
        <v>3.45</v>
      </c>
      <c r="G1247">
        <v>225</v>
      </c>
      <c r="H1247" t="s">
        <v>12</v>
      </c>
      <c r="I1247" t="str">
        <f t="shared" si="19"/>
        <v>Normal Usage</v>
      </c>
    </row>
    <row r="1248" spans="1:9" x14ac:dyDescent="0.3">
      <c r="A1248">
        <v>11247</v>
      </c>
      <c r="B1248">
        <v>86</v>
      </c>
      <c r="C1248" s="2">
        <v>44813</v>
      </c>
      <c r="D1248" s="2" t="str">
        <f>TEXT(Table3[[#This Row],[usage_date]],"mmmm")</f>
        <v>September</v>
      </c>
      <c r="E1248" s="9">
        <f>YEAR(Table3[[#This Row],[usage_date]])</f>
        <v>2022</v>
      </c>
      <c r="F1248" s="14">
        <v>0.37</v>
      </c>
      <c r="G1248">
        <v>242</v>
      </c>
      <c r="H1248" t="s">
        <v>12</v>
      </c>
      <c r="I1248" t="str">
        <f t="shared" si="19"/>
        <v>Normal Usage</v>
      </c>
    </row>
    <row r="1249" spans="1:9" x14ac:dyDescent="0.3">
      <c r="A1249">
        <v>11248</v>
      </c>
      <c r="B1249">
        <v>425</v>
      </c>
      <c r="C1249" s="2">
        <v>44826</v>
      </c>
      <c r="D1249" s="2" t="str">
        <f>TEXT(Table3[[#This Row],[usage_date]],"mmmm")</f>
        <v>September</v>
      </c>
      <c r="E1249" s="9">
        <f>YEAR(Table3[[#This Row],[usage_date]])</f>
        <v>2022</v>
      </c>
      <c r="F1249" s="14">
        <v>0.73</v>
      </c>
      <c r="G1249">
        <v>105</v>
      </c>
      <c r="H1249" t="s">
        <v>12</v>
      </c>
      <c r="I1249" t="str">
        <f t="shared" si="19"/>
        <v>Normal Usage</v>
      </c>
    </row>
    <row r="1250" spans="1:9" x14ac:dyDescent="0.3">
      <c r="A1250">
        <v>11249</v>
      </c>
      <c r="B1250">
        <v>120</v>
      </c>
      <c r="C1250" s="2">
        <v>44832</v>
      </c>
      <c r="D1250" s="2" t="str">
        <f>TEXT(Table3[[#This Row],[usage_date]],"mmmm")</f>
        <v>September</v>
      </c>
      <c r="E1250" s="9">
        <f>YEAR(Table3[[#This Row],[usage_date]])</f>
        <v>2022</v>
      </c>
      <c r="F1250" s="14">
        <v>3.29</v>
      </c>
      <c r="G1250">
        <v>70</v>
      </c>
      <c r="H1250" t="s">
        <v>13</v>
      </c>
      <c r="I1250" t="str">
        <f t="shared" si="19"/>
        <v>Normal Usage</v>
      </c>
    </row>
    <row r="1251" spans="1:9" x14ac:dyDescent="0.3">
      <c r="A1251">
        <v>11250</v>
      </c>
      <c r="B1251">
        <v>127</v>
      </c>
      <c r="C1251" s="2">
        <v>45261</v>
      </c>
      <c r="D1251" s="2" t="str">
        <f>TEXT(Table3[[#This Row],[usage_date]],"mmmm")</f>
        <v>December</v>
      </c>
      <c r="E1251" s="9">
        <f>YEAR(Table3[[#This Row],[usage_date]])</f>
        <v>2023</v>
      </c>
      <c r="F1251" s="14">
        <v>0.45</v>
      </c>
      <c r="G1251">
        <v>76</v>
      </c>
      <c r="H1251" t="s">
        <v>13</v>
      </c>
      <c r="I1251" t="str">
        <f t="shared" si="19"/>
        <v>Normal Usage</v>
      </c>
    </row>
    <row r="1252" spans="1:9" x14ac:dyDescent="0.3">
      <c r="A1252">
        <v>11251</v>
      </c>
      <c r="B1252">
        <v>255</v>
      </c>
      <c r="C1252" s="2">
        <v>44980</v>
      </c>
      <c r="D1252" s="2" t="str">
        <f>TEXT(Table3[[#This Row],[usage_date]],"mmmm")</f>
        <v>February</v>
      </c>
      <c r="E1252" s="9">
        <f>YEAR(Table3[[#This Row],[usage_date]])</f>
        <v>2023</v>
      </c>
      <c r="F1252" s="14">
        <v>1.08</v>
      </c>
      <c r="G1252">
        <v>53</v>
      </c>
      <c r="H1252" t="s">
        <v>13</v>
      </c>
      <c r="I1252" t="str">
        <f t="shared" si="19"/>
        <v>Normal Usage</v>
      </c>
    </row>
    <row r="1253" spans="1:9" x14ac:dyDescent="0.3">
      <c r="A1253">
        <v>11252</v>
      </c>
      <c r="B1253">
        <v>183</v>
      </c>
      <c r="C1253" s="2">
        <v>45287</v>
      </c>
      <c r="D1253" s="2" t="str">
        <f>TEXT(Table3[[#This Row],[usage_date]],"mmmm")</f>
        <v>December</v>
      </c>
      <c r="E1253" s="9">
        <f>YEAR(Table3[[#This Row],[usage_date]])</f>
        <v>2023</v>
      </c>
      <c r="F1253" s="14">
        <v>0.77</v>
      </c>
      <c r="G1253">
        <v>276</v>
      </c>
      <c r="H1253" t="s">
        <v>12</v>
      </c>
      <c r="I1253" t="str">
        <f t="shared" si="19"/>
        <v>Normal Usage</v>
      </c>
    </row>
    <row r="1254" spans="1:9" x14ac:dyDescent="0.3">
      <c r="A1254">
        <v>11253</v>
      </c>
      <c r="B1254">
        <v>16</v>
      </c>
      <c r="C1254" s="2">
        <v>45356</v>
      </c>
      <c r="D1254" s="2" t="str">
        <f>TEXT(Table3[[#This Row],[usage_date]],"mmmm")</f>
        <v>March</v>
      </c>
      <c r="E1254" s="9">
        <f>YEAR(Table3[[#This Row],[usage_date]])</f>
        <v>2024</v>
      </c>
      <c r="F1254" s="14">
        <v>1.08</v>
      </c>
      <c r="G1254">
        <v>110</v>
      </c>
      <c r="H1254" t="s">
        <v>12</v>
      </c>
      <c r="I1254" t="str">
        <f t="shared" si="19"/>
        <v>Normal Usage</v>
      </c>
    </row>
    <row r="1255" spans="1:9" x14ac:dyDescent="0.3">
      <c r="A1255">
        <v>11254</v>
      </c>
      <c r="B1255">
        <v>477</v>
      </c>
      <c r="C1255" s="2">
        <v>44772</v>
      </c>
      <c r="D1255" s="2" t="str">
        <f>TEXT(Table3[[#This Row],[usage_date]],"mmmm")</f>
        <v>July</v>
      </c>
      <c r="E1255" s="9">
        <f>YEAR(Table3[[#This Row],[usage_date]])</f>
        <v>2022</v>
      </c>
      <c r="F1255" s="14">
        <v>3.08</v>
      </c>
      <c r="G1255">
        <v>223</v>
      </c>
      <c r="H1255" t="s">
        <v>12</v>
      </c>
      <c r="I1255" t="str">
        <f t="shared" si="19"/>
        <v>Normal Usage</v>
      </c>
    </row>
    <row r="1256" spans="1:9" x14ac:dyDescent="0.3">
      <c r="A1256">
        <v>11255</v>
      </c>
      <c r="B1256">
        <v>62</v>
      </c>
      <c r="C1256" s="2">
        <v>44926</v>
      </c>
      <c r="D1256" s="2" t="str">
        <f>TEXT(Table3[[#This Row],[usage_date]],"mmmm")</f>
        <v>December</v>
      </c>
      <c r="E1256" s="9">
        <f>YEAR(Table3[[#This Row],[usage_date]])</f>
        <v>2022</v>
      </c>
      <c r="F1256" s="14">
        <v>1.1499999999999999</v>
      </c>
      <c r="G1256">
        <v>74</v>
      </c>
      <c r="H1256" t="s">
        <v>12</v>
      </c>
      <c r="I1256" t="str">
        <f t="shared" si="19"/>
        <v>Normal Usage</v>
      </c>
    </row>
    <row r="1257" spans="1:9" x14ac:dyDescent="0.3">
      <c r="A1257">
        <v>11256</v>
      </c>
      <c r="B1257">
        <v>369</v>
      </c>
      <c r="C1257" s="2">
        <v>44637</v>
      </c>
      <c r="D1257" s="2" t="str">
        <f>TEXT(Table3[[#This Row],[usage_date]],"mmmm")</f>
        <v>March</v>
      </c>
      <c r="E1257" s="9">
        <f>YEAR(Table3[[#This Row],[usage_date]])</f>
        <v>2022</v>
      </c>
      <c r="F1257" s="14">
        <v>2.0299999999999998</v>
      </c>
      <c r="G1257">
        <v>13</v>
      </c>
      <c r="H1257" t="s">
        <v>12</v>
      </c>
      <c r="I1257" t="str">
        <f t="shared" si="19"/>
        <v>Normal Usage</v>
      </c>
    </row>
    <row r="1258" spans="1:9" x14ac:dyDescent="0.3">
      <c r="A1258">
        <v>11257</v>
      </c>
      <c r="B1258">
        <v>432</v>
      </c>
      <c r="C1258" s="2">
        <v>45221</v>
      </c>
      <c r="D1258" s="2" t="str">
        <f>TEXT(Table3[[#This Row],[usage_date]],"mmmm")</f>
        <v>October</v>
      </c>
      <c r="E1258" s="9">
        <f>YEAR(Table3[[#This Row],[usage_date]])</f>
        <v>2023</v>
      </c>
      <c r="F1258" s="14">
        <v>0.26</v>
      </c>
      <c r="G1258">
        <v>257</v>
      </c>
      <c r="H1258" t="s">
        <v>12</v>
      </c>
      <c r="I1258" t="str">
        <f t="shared" si="19"/>
        <v>Normal Usage</v>
      </c>
    </row>
    <row r="1259" spans="1:9" x14ac:dyDescent="0.3">
      <c r="A1259">
        <v>11258</v>
      </c>
      <c r="B1259">
        <v>158</v>
      </c>
      <c r="C1259" s="2">
        <v>44882</v>
      </c>
      <c r="D1259" s="2" t="str">
        <f>TEXT(Table3[[#This Row],[usage_date]],"mmmm")</f>
        <v>November</v>
      </c>
      <c r="E1259" s="9">
        <f>YEAR(Table3[[#This Row],[usage_date]])</f>
        <v>2022</v>
      </c>
      <c r="F1259" s="14">
        <v>4.09</v>
      </c>
      <c r="G1259">
        <v>188</v>
      </c>
      <c r="H1259" t="s">
        <v>12</v>
      </c>
      <c r="I1259" t="str">
        <f t="shared" si="19"/>
        <v>Normal Usage</v>
      </c>
    </row>
    <row r="1260" spans="1:9" x14ac:dyDescent="0.3">
      <c r="A1260">
        <v>11259</v>
      </c>
      <c r="B1260">
        <v>268</v>
      </c>
      <c r="C1260" s="2">
        <v>45286</v>
      </c>
      <c r="D1260" s="2" t="str">
        <f>TEXT(Table3[[#This Row],[usage_date]],"mmmm")</f>
        <v>December</v>
      </c>
      <c r="E1260" s="9">
        <f>YEAR(Table3[[#This Row],[usage_date]])</f>
        <v>2023</v>
      </c>
      <c r="F1260" s="14">
        <v>1.1499999999999999</v>
      </c>
      <c r="G1260">
        <v>238</v>
      </c>
      <c r="H1260" t="s">
        <v>12</v>
      </c>
      <c r="I1260" t="str">
        <f t="shared" si="19"/>
        <v>Normal Usage</v>
      </c>
    </row>
    <row r="1261" spans="1:9" x14ac:dyDescent="0.3">
      <c r="A1261">
        <v>11260</v>
      </c>
      <c r="B1261">
        <v>35</v>
      </c>
      <c r="C1261" s="2">
        <v>44994</v>
      </c>
      <c r="D1261" s="2" t="str">
        <f>TEXT(Table3[[#This Row],[usage_date]],"mmmm")</f>
        <v>March</v>
      </c>
      <c r="E1261" s="9">
        <f>YEAR(Table3[[#This Row],[usage_date]])</f>
        <v>2023</v>
      </c>
      <c r="F1261" s="14">
        <v>2.61</v>
      </c>
      <c r="G1261">
        <v>90</v>
      </c>
      <c r="H1261" t="s">
        <v>12</v>
      </c>
      <c r="I1261" t="str">
        <f t="shared" si="19"/>
        <v>Normal Usage</v>
      </c>
    </row>
    <row r="1262" spans="1:9" x14ac:dyDescent="0.3">
      <c r="A1262">
        <v>11261</v>
      </c>
      <c r="B1262">
        <v>267</v>
      </c>
      <c r="C1262" s="2">
        <v>44670</v>
      </c>
      <c r="D1262" s="2" t="str">
        <f>TEXT(Table3[[#This Row],[usage_date]],"mmmm")</f>
        <v>April</v>
      </c>
      <c r="E1262" s="9">
        <f>YEAR(Table3[[#This Row],[usage_date]])</f>
        <v>2022</v>
      </c>
      <c r="F1262" s="14">
        <v>3.23</v>
      </c>
      <c r="G1262">
        <v>183</v>
      </c>
      <c r="H1262" t="s">
        <v>12</v>
      </c>
      <c r="I1262" t="str">
        <f t="shared" si="19"/>
        <v>Normal Usage</v>
      </c>
    </row>
    <row r="1263" spans="1:9" x14ac:dyDescent="0.3">
      <c r="A1263">
        <v>11262</v>
      </c>
      <c r="B1263">
        <v>64</v>
      </c>
      <c r="C1263" s="2">
        <v>45202</v>
      </c>
      <c r="D1263" s="2" t="str">
        <f>TEXT(Table3[[#This Row],[usage_date]],"mmmm")</f>
        <v>October</v>
      </c>
      <c r="E1263" s="9">
        <f>YEAR(Table3[[#This Row],[usage_date]])</f>
        <v>2023</v>
      </c>
      <c r="F1263" s="14">
        <v>0.59</v>
      </c>
      <c r="G1263">
        <v>16</v>
      </c>
      <c r="H1263" t="s">
        <v>12</v>
      </c>
      <c r="I1263" t="str">
        <f t="shared" si="19"/>
        <v>Normal Usage</v>
      </c>
    </row>
    <row r="1264" spans="1:9" x14ac:dyDescent="0.3">
      <c r="A1264">
        <v>11263</v>
      </c>
      <c r="B1264">
        <v>494</v>
      </c>
      <c r="C1264" s="2">
        <v>45083</v>
      </c>
      <c r="D1264" s="2" t="str">
        <f>TEXT(Table3[[#This Row],[usage_date]],"mmmm")</f>
        <v>June</v>
      </c>
      <c r="E1264" s="9">
        <f>YEAR(Table3[[#This Row],[usage_date]])</f>
        <v>2023</v>
      </c>
      <c r="F1264" s="14">
        <v>5.4</v>
      </c>
      <c r="G1264">
        <v>11</v>
      </c>
      <c r="H1264" t="s">
        <v>12</v>
      </c>
      <c r="I1264" t="str">
        <f t="shared" si="19"/>
        <v>Normal Usage</v>
      </c>
    </row>
    <row r="1265" spans="1:9" x14ac:dyDescent="0.3">
      <c r="A1265">
        <v>11264</v>
      </c>
      <c r="B1265">
        <v>50</v>
      </c>
      <c r="C1265" s="2">
        <v>44608</v>
      </c>
      <c r="D1265" s="2" t="str">
        <f>TEXT(Table3[[#This Row],[usage_date]],"mmmm")</f>
        <v>February</v>
      </c>
      <c r="E1265" s="9">
        <f>YEAR(Table3[[#This Row],[usage_date]])</f>
        <v>2022</v>
      </c>
      <c r="F1265" s="14">
        <v>2.39</v>
      </c>
      <c r="G1265">
        <v>165</v>
      </c>
      <c r="H1265" t="s">
        <v>13</v>
      </c>
      <c r="I1265" t="str">
        <f t="shared" si="19"/>
        <v>Normal Usage</v>
      </c>
    </row>
    <row r="1266" spans="1:9" x14ac:dyDescent="0.3">
      <c r="A1266">
        <v>11265</v>
      </c>
      <c r="B1266">
        <v>469</v>
      </c>
      <c r="C1266" s="2">
        <v>44940</v>
      </c>
      <c r="D1266" s="2" t="str">
        <f>TEXT(Table3[[#This Row],[usage_date]],"mmmm")</f>
        <v>January</v>
      </c>
      <c r="E1266" s="9">
        <f>YEAR(Table3[[#This Row],[usage_date]])</f>
        <v>2023</v>
      </c>
      <c r="F1266" s="14">
        <v>1.4</v>
      </c>
      <c r="G1266">
        <v>145</v>
      </c>
      <c r="H1266" t="s">
        <v>12</v>
      </c>
      <c r="I1266" t="str">
        <f t="shared" si="19"/>
        <v>Normal Usage</v>
      </c>
    </row>
    <row r="1267" spans="1:9" x14ac:dyDescent="0.3">
      <c r="A1267">
        <v>11266</v>
      </c>
      <c r="B1267">
        <v>255</v>
      </c>
      <c r="C1267" s="2">
        <v>45388</v>
      </c>
      <c r="D1267" s="2" t="str">
        <f>TEXT(Table3[[#This Row],[usage_date]],"mmmm")</f>
        <v>April</v>
      </c>
      <c r="E1267" s="9">
        <f>YEAR(Table3[[#This Row],[usage_date]])</f>
        <v>2024</v>
      </c>
      <c r="F1267" s="14">
        <v>0.5</v>
      </c>
      <c r="G1267">
        <v>281</v>
      </c>
      <c r="H1267" t="s">
        <v>12</v>
      </c>
      <c r="I1267" t="str">
        <f t="shared" si="19"/>
        <v>Normal Usage</v>
      </c>
    </row>
    <row r="1268" spans="1:9" x14ac:dyDescent="0.3">
      <c r="A1268">
        <v>11267</v>
      </c>
      <c r="B1268">
        <v>149</v>
      </c>
      <c r="C1268" s="2">
        <v>44657</v>
      </c>
      <c r="D1268" s="2" t="str">
        <f>TEXT(Table3[[#This Row],[usage_date]],"mmmm")</f>
        <v>April</v>
      </c>
      <c r="E1268" s="9">
        <f>YEAR(Table3[[#This Row],[usage_date]])</f>
        <v>2022</v>
      </c>
      <c r="F1268" s="14">
        <v>7.13</v>
      </c>
      <c r="G1268">
        <v>36</v>
      </c>
      <c r="H1268" t="s">
        <v>13</v>
      </c>
      <c r="I1268" t="str">
        <f t="shared" si="19"/>
        <v>High Usage</v>
      </c>
    </row>
    <row r="1269" spans="1:9" x14ac:dyDescent="0.3">
      <c r="A1269">
        <v>11268</v>
      </c>
      <c r="B1269">
        <v>325</v>
      </c>
      <c r="C1269" s="2">
        <v>44664</v>
      </c>
      <c r="D1269" s="2" t="str">
        <f>TEXT(Table3[[#This Row],[usage_date]],"mmmm")</f>
        <v>April</v>
      </c>
      <c r="E1269" s="9">
        <f>YEAR(Table3[[#This Row],[usage_date]])</f>
        <v>2022</v>
      </c>
      <c r="F1269" s="14">
        <v>3.52</v>
      </c>
      <c r="G1269">
        <v>69</v>
      </c>
      <c r="H1269" t="s">
        <v>12</v>
      </c>
      <c r="I1269" t="str">
        <f t="shared" si="19"/>
        <v>Normal Usage</v>
      </c>
    </row>
    <row r="1270" spans="1:9" x14ac:dyDescent="0.3">
      <c r="A1270">
        <v>11269</v>
      </c>
      <c r="B1270">
        <v>304</v>
      </c>
      <c r="C1270" s="2">
        <v>45453</v>
      </c>
      <c r="D1270" s="2" t="str">
        <f>TEXT(Table3[[#This Row],[usage_date]],"mmmm")</f>
        <v>June</v>
      </c>
      <c r="E1270" s="9">
        <f>YEAR(Table3[[#This Row],[usage_date]])</f>
        <v>2024</v>
      </c>
      <c r="F1270" s="14">
        <v>0.57999999999999996</v>
      </c>
      <c r="G1270">
        <v>168</v>
      </c>
      <c r="H1270" t="s">
        <v>12</v>
      </c>
      <c r="I1270" t="str">
        <f t="shared" si="19"/>
        <v>Normal Usage</v>
      </c>
    </row>
    <row r="1271" spans="1:9" x14ac:dyDescent="0.3">
      <c r="A1271">
        <v>11270</v>
      </c>
      <c r="B1271">
        <v>276</v>
      </c>
      <c r="C1271" s="2">
        <v>45415</v>
      </c>
      <c r="D1271" s="2" t="str">
        <f>TEXT(Table3[[#This Row],[usage_date]],"mmmm")</f>
        <v>May</v>
      </c>
      <c r="E1271" s="9">
        <f>YEAR(Table3[[#This Row],[usage_date]])</f>
        <v>2024</v>
      </c>
      <c r="F1271" s="14">
        <v>1.03</v>
      </c>
      <c r="G1271">
        <v>169</v>
      </c>
      <c r="H1271" t="s">
        <v>12</v>
      </c>
      <c r="I1271" t="str">
        <f t="shared" si="19"/>
        <v>Normal Usage</v>
      </c>
    </row>
    <row r="1272" spans="1:9" x14ac:dyDescent="0.3">
      <c r="A1272">
        <v>11271</v>
      </c>
      <c r="B1272">
        <v>357</v>
      </c>
      <c r="C1272" s="2">
        <v>44707</v>
      </c>
      <c r="D1272" s="2" t="str">
        <f>TEXT(Table3[[#This Row],[usage_date]],"mmmm")</f>
        <v>May</v>
      </c>
      <c r="E1272" s="9">
        <f>YEAR(Table3[[#This Row],[usage_date]])</f>
        <v>2022</v>
      </c>
      <c r="F1272" s="14">
        <v>4.1500000000000004</v>
      </c>
      <c r="G1272">
        <v>252</v>
      </c>
      <c r="H1272" t="s">
        <v>12</v>
      </c>
      <c r="I1272" t="str">
        <f t="shared" si="19"/>
        <v>Normal Usage</v>
      </c>
    </row>
    <row r="1273" spans="1:9" x14ac:dyDescent="0.3">
      <c r="A1273">
        <v>11272</v>
      </c>
      <c r="B1273">
        <v>451</v>
      </c>
      <c r="C1273" s="2">
        <v>45441</v>
      </c>
      <c r="D1273" s="2" t="str">
        <f>TEXT(Table3[[#This Row],[usage_date]],"mmmm")</f>
        <v>May</v>
      </c>
      <c r="E1273" s="9">
        <f>YEAR(Table3[[#This Row],[usage_date]])</f>
        <v>2024</v>
      </c>
      <c r="F1273" s="14">
        <v>2.97</v>
      </c>
      <c r="G1273">
        <v>296</v>
      </c>
      <c r="H1273" t="s">
        <v>12</v>
      </c>
      <c r="I1273" t="str">
        <f t="shared" si="19"/>
        <v>Normal Usage</v>
      </c>
    </row>
    <row r="1274" spans="1:9" x14ac:dyDescent="0.3">
      <c r="A1274">
        <v>11273</v>
      </c>
      <c r="B1274">
        <v>172</v>
      </c>
      <c r="C1274" s="2">
        <v>44588</v>
      </c>
      <c r="D1274" s="2" t="str">
        <f>TEXT(Table3[[#This Row],[usage_date]],"mmmm")</f>
        <v>January</v>
      </c>
      <c r="E1274" s="9">
        <f>YEAR(Table3[[#This Row],[usage_date]])</f>
        <v>2022</v>
      </c>
      <c r="F1274" s="14">
        <v>3.63</v>
      </c>
      <c r="G1274">
        <v>141</v>
      </c>
      <c r="H1274" t="s">
        <v>12</v>
      </c>
      <c r="I1274" t="str">
        <f t="shared" si="19"/>
        <v>Normal Usage</v>
      </c>
    </row>
    <row r="1275" spans="1:9" x14ac:dyDescent="0.3">
      <c r="A1275">
        <v>11274</v>
      </c>
      <c r="B1275">
        <v>417</v>
      </c>
      <c r="C1275" s="2">
        <v>45293</v>
      </c>
      <c r="D1275" s="2" t="str">
        <f>TEXT(Table3[[#This Row],[usage_date]],"mmmm")</f>
        <v>January</v>
      </c>
      <c r="E1275" s="9">
        <f>YEAR(Table3[[#This Row],[usage_date]])</f>
        <v>2024</v>
      </c>
      <c r="F1275" s="14">
        <v>1.45</v>
      </c>
      <c r="G1275">
        <v>272</v>
      </c>
      <c r="H1275" t="s">
        <v>12</v>
      </c>
      <c r="I1275" t="str">
        <f t="shared" si="19"/>
        <v>Normal Usage</v>
      </c>
    </row>
    <row r="1276" spans="1:9" x14ac:dyDescent="0.3">
      <c r="A1276">
        <v>11275</v>
      </c>
      <c r="B1276">
        <v>201</v>
      </c>
      <c r="C1276" s="2">
        <v>45091</v>
      </c>
      <c r="D1276" s="2" t="str">
        <f>TEXT(Table3[[#This Row],[usage_date]],"mmmm")</f>
        <v>June</v>
      </c>
      <c r="E1276" s="9">
        <f>YEAR(Table3[[#This Row],[usage_date]])</f>
        <v>2023</v>
      </c>
      <c r="F1276" s="14">
        <v>3.15</v>
      </c>
      <c r="G1276">
        <v>224</v>
      </c>
      <c r="H1276" t="s">
        <v>13</v>
      </c>
      <c r="I1276" t="str">
        <f t="shared" si="19"/>
        <v>Normal Usage</v>
      </c>
    </row>
    <row r="1277" spans="1:9" x14ac:dyDescent="0.3">
      <c r="A1277">
        <v>11276</v>
      </c>
      <c r="B1277">
        <v>445</v>
      </c>
      <c r="C1277" s="2">
        <v>45240</v>
      </c>
      <c r="D1277" s="2" t="str">
        <f>TEXT(Table3[[#This Row],[usage_date]],"mmmm")</f>
        <v>November</v>
      </c>
      <c r="E1277" s="9">
        <f>YEAR(Table3[[#This Row],[usage_date]])</f>
        <v>2023</v>
      </c>
      <c r="F1277" s="14">
        <v>1.22</v>
      </c>
      <c r="G1277">
        <v>182</v>
      </c>
      <c r="H1277" t="s">
        <v>12</v>
      </c>
      <c r="I1277" t="str">
        <f t="shared" si="19"/>
        <v>Normal Usage</v>
      </c>
    </row>
    <row r="1278" spans="1:9" x14ac:dyDescent="0.3">
      <c r="A1278">
        <v>11277</v>
      </c>
      <c r="B1278">
        <v>393</v>
      </c>
      <c r="C1278" s="2">
        <v>44643</v>
      </c>
      <c r="D1278" s="2" t="str">
        <f>TEXT(Table3[[#This Row],[usage_date]],"mmmm")</f>
        <v>March</v>
      </c>
      <c r="E1278" s="9">
        <f>YEAR(Table3[[#This Row],[usage_date]])</f>
        <v>2022</v>
      </c>
      <c r="F1278" s="14">
        <v>0.59</v>
      </c>
      <c r="G1278">
        <v>220</v>
      </c>
      <c r="H1278" t="s">
        <v>12</v>
      </c>
      <c r="I1278" t="str">
        <f t="shared" si="19"/>
        <v>Normal Usage</v>
      </c>
    </row>
    <row r="1279" spans="1:9" x14ac:dyDescent="0.3">
      <c r="A1279">
        <v>11278</v>
      </c>
      <c r="B1279">
        <v>324</v>
      </c>
      <c r="C1279" s="2">
        <v>44989</v>
      </c>
      <c r="D1279" s="2" t="str">
        <f>TEXT(Table3[[#This Row],[usage_date]],"mmmm")</f>
        <v>March</v>
      </c>
      <c r="E1279" s="9">
        <f>YEAR(Table3[[#This Row],[usage_date]])</f>
        <v>2023</v>
      </c>
      <c r="F1279" s="14">
        <v>2.5</v>
      </c>
      <c r="G1279">
        <v>52</v>
      </c>
      <c r="H1279" t="s">
        <v>12</v>
      </c>
      <c r="I1279" t="str">
        <f t="shared" si="19"/>
        <v>Normal Usage</v>
      </c>
    </row>
    <row r="1280" spans="1:9" x14ac:dyDescent="0.3">
      <c r="A1280">
        <v>11279</v>
      </c>
      <c r="B1280">
        <v>35</v>
      </c>
      <c r="C1280" s="2">
        <v>45145</v>
      </c>
      <c r="D1280" s="2" t="str">
        <f>TEXT(Table3[[#This Row],[usage_date]],"mmmm")</f>
        <v>August</v>
      </c>
      <c r="E1280" s="9">
        <f>YEAR(Table3[[#This Row],[usage_date]])</f>
        <v>2023</v>
      </c>
      <c r="F1280" s="14">
        <v>9.33</v>
      </c>
      <c r="G1280">
        <v>117</v>
      </c>
      <c r="H1280" t="s">
        <v>12</v>
      </c>
      <c r="I1280" t="str">
        <f t="shared" si="19"/>
        <v>High Usage</v>
      </c>
    </row>
    <row r="1281" spans="1:9" x14ac:dyDescent="0.3">
      <c r="A1281">
        <v>11280</v>
      </c>
      <c r="B1281">
        <v>465</v>
      </c>
      <c r="C1281" s="2">
        <v>45383</v>
      </c>
      <c r="D1281" s="2" t="str">
        <f>TEXT(Table3[[#This Row],[usage_date]],"mmmm")</f>
        <v>April</v>
      </c>
      <c r="E1281" s="9">
        <f>YEAR(Table3[[#This Row],[usage_date]])</f>
        <v>2024</v>
      </c>
      <c r="F1281" s="14">
        <v>0.93</v>
      </c>
      <c r="G1281">
        <v>158</v>
      </c>
      <c r="H1281" t="s">
        <v>13</v>
      </c>
      <c r="I1281" t="str">
        <f t="shared" si="19"/>
        <v>Normal Usage</v>
      </c>
    </row>
    <row r="1282" spans="1:9" x14ac:dyDescent="0.3">
      <c r="A1282">
        <v>11281</v>
      </c>
      <c r="B1282">
        <v>482</v>
      </c>
      <c r="C1282" s="2">
        <v>45040</v>
      </c>
      <c r="D1282" s="2" t="str">
        <f>TEXT(Table3[[#This Row],[usage_date]],"mmmm")</f>
        <v>April</v>
      </c>
      <c r="E1282" s="9">
        <f>YEAR(Table3[[#This Row],[usage_date]])</f>
        <v>2023</v>
      </c>
      <c r="F1282" s="14">
        <v>1.54</v>
      </c>
      <c r="G1282">
        <v>135</v>
      </c>
      <c r="H1282" t="s">
        <v>12</v>
      </c>
      <c r="I1282" t="str">
        <f t="shared" ref="I1282:I1345" si="20">IF(F1282&gt;6,"High Usage","Normal Usage")</f>
        <v>Normal Usage</v>
      </c>
    </row>
    <row r="1283" spans="1:9" x14ac:dyDescent="0.3">
      <c r="A1283">
        <v>11282</v>
      </c>
      <c r="B1283">
        <v>216</v>
      </c>
      <c r="C1283" s="2">
        <v>45327</v>
      </c>
      <c r="D1283" s="2" t="str">
        <f>TEXT(Table3[[#This Row],[usage_date]],"mmmm")</f>
        <v>February</v>
      </c>
      <c r="E1283" s="9">
        <f>YEAR(Table3[[#This Row],[usage_date]])</f>
        <v>2024</v>
      </c>
      <c r="F1283" s="14">
        <v>2.8</v>
      </c>
      <c r="G1283">
        <v>76</v>
      </c>
      <c r="H1283" t="s">
        <v>13</v>
      </c>
      <c r="I1283" t="str">
        <f t="shared" si="20"/>
        <v>Normal Usage</v>
      </c>
    </row>
    <row r="1284" spans="1:9" x14ac:dyDescent="0.3">
      <c r="A1284">
        <v>11283</v>
      </c>
      <c r="B1284">
        <v>480</v>
      </c>
      <c r="C1284" s="2">
        <v>44723</v>
      </c>
      <c r="D1284" s="2" t="str">
        <f>TEXT(Table3[[#This Row],[usage_date]],"mmmm")</f>
        <v>June</v>
      </c>
      <c r="E1284" s="9">
        <f>YEAR(Table3[[#This Row],[usage_date]])</f>
        <v>2022</v>
      </c>
      <c r="F1284" s="14">
        <v>1.95</v>
      </c>
      <c r="G1284">
        <v>44</v>
      </c>
      <c r="H1284" t="s">
        <v>12</v>
      </c>
      <c r="I1284" t="str">
        <f t="shared" si="20"/>
        <v>Normal Usage</v>
      </c>
    </row>
    <row r="1285" spans="1:9" x14ac:dyDescent="0.3">
      <c r="A1285">
        <v>11284</v>
      </c>
      <c r="B1285">
        <v>65</v>
      </c>
      <c r="C1285" s="2">
        <v>45400</v>
      </c>
      <c r="D1285" s="2" t="str">
        <f>TEXT(Table3[[#This Row],[usage_date]],"mmmm")</f>
        <v>April</v>
      </c>
      <c r="E1285" s="9">
        <f>YEAR(Table3[[#This Row],[usage_date]])</f>
        <v>2024</v>
      </c>
      <c r="F1285" s="14">
        <v>4.6399999999999997</v>
      </c>
      <c r="G1285">
        <v>17</v>
      </c>
      <c r="H1285" t="s">
        <v>13</v>
      </c>
      <c r="I1285" t="str">
        <f t="shared" si="20"/>
        <v>Normal Usage</v>
      </c>
    </row>
    <row r="1286" spans="1:9" x14ac:dyDescent="0.3">
      <c r="A1286">
        <v>11285</v>
      </c>
      <c r="B1286">
        <v>8</v>
      </c>
      <c r="C1286" s="2">
        <v>44963</v>
      </c>
      <c r="D1286" s="2" t="str">
        <f>TEXT(Table3[[#This Row],[usage_date]],"mmmm")</f>
        <v>February</v>
      </c>
      <c r="E1286" s="9">
        <f>YEAR(Table3[[#This Row],[usage_date]])</f>
        <v>2023</v>
      </c>
      <c r="F1286" s="14">
        <v>3.59</v>
      </c>
      <c r="G1286">
        <v>204</v>
      </c>
      <c r="H1286" t="s">
        <v>12</v>
      </c>
      <c r="I1286" t="str">
        <f t="shared" si="20"/>
        <v>Normal Usage</v>
      </c>
    </row>
    <row r="1287" spans="1:9" x14ac:dyDescent="0.3">
      <c r="A1287">
        <v>11286</v>
      </c>
      <c r="B1287">
        <v>301</v>
      </c>
      <c r="C1287" s="2">
        <v>45069</v>
      </c>
      <c r="D1287" s="2" t="str">
        <f>TEXT(Table3[[#This Row],[usage_date]],"mmmm")</f>
        <v>May</v>
      </c>
      <c r="E1287" s="9">
        <f>YEAR(Table3[[#This Row],[usage_date]])</f>
        <v>2023</v>
      </c>
      <c r="F1287" s="14">
        <v>0.15</v>
      </c>
      <c r="G1287">
        <v>82</v>
      </c>
      <c r="H1287" t="s">
        <v>12</v>
      </c>
      <c r="I1287" t="str">
        <f t="shared" si="20"/>
        <v>Normal Usage</v>
      </c>
    </row>
    <row r="1288" spans="1:9" x14ac:dyDescent="0.3">
      <c r="A1288">
        <v>11287</v>
      </c>
      <c r="B1288">
        <v>343</v>
      </c>
      <c r="C1288" s="2">
        <v>44599</v>
      </c>
      <c r="D1288" s="2" t="str">
        <f>TEXT(Table3[[#This Row],[usage_date]],"mmmm")</f>
        <v>February</v>
      </c>
      <c r="E1288" s="9">
        <f>YEAR(Table3[[#This Row],[usage_date]])</f>
        <v>2022</v>
      </c>
      <c r="F1288" s="14">
        <v>16.13</v>
      </c>
      <c r="G1288">
        <v>49</v>
      </c>
      <c r="H1288" t="s">
        <v>13</v>
      </c>
      <c r="I1288" t="str">
        <f t="shared" si="20"/>
        <v>High Usage</v>
      </c>
    </row>
    <row r="1289" spans="1:9" x14ac:dyDescent="0.3">
      <c r="A1289">
        <v>11288</v>
      </c>
      <c r="B1289">
        <v>431</v>
      </c>
      <c r="C1289" s="2">
        <v>45072</v>
      </c>
      <c r="D1289" s="2" t="str">
        <f>TEXT(Table3[[#This Row],[usage_date]],"mmmm")</f>
        <v>May</v>
      </c>
      <c r="E1289" s="9">
        <f>YEAR(Table3[[#This Row],[usage_date]])</f>
        <v>2023</v>
      </c>
      <c r="F1289" s="14">
        <v>3.49</v>
      </c>
      <c r="G1289">
        <v>280</v>
      </c>
      <c r="H1289" t="s">
        <v>13</v>
      </c>
      <c r="I1289" t="str">
        <f t="shared" si="20"/>
        <v>Normal Usage</v>
      </c>
    </row>
    <row r="1290" spans="1:9" x14ac:dyDescent="0.3">
      <c r="A1290">
        <v>11289</v>
      </c>
      <c r="B1290">
        <v>424</v>
      </c>
      <c r="C1290" s="2">
        <v>44954</v>
      </c>
      <c r="D1290" s="2" t="str">
        <f>TEXT(Table3[[#This Row],[usage_date]],"mmmm")</f>
        <v>January</v>
      </c>
      <c r="E1290" s="9">
        <f>YEAR(Table3[[#This Row],[usage_date]])</f>
        <v>2023</v>
      </c>
      <c r="F1290" s="14">
        <v>4.99</v>
      </c>
      <c r="G1290">
        <v>165</v>
      </c>
      <c r="H1290" t="s">
        <v>12</v>
      </c>
      <c r="I1290" t="str">
        <f t="shared" si="20"/>
        <v>Normal Usage</v>
      </c>
    </row>
    <row r="1291" spans="1:9" x14ac:dyDescent="0.3">
      <c r="A1291">
        <v>11290</v>
      </c>
      <c r="B1291">
        <v>332</v>
      </c>
      <c r="C1291" s="2">
        <v>45274</v>
      </c>
      <c r="D1291" s="2" t="str">
        <f>TEXT(Table3[[#This Row],[usage_date]],"mmmm")</f>
        <v>December</v>
      </c>
      <c r="E1291" s="9">
        <f>YEAR(Table3[[#This Row],[usage_date]])</f>
        <v>2023</v>
      </c>
      <c r="F1291" s="14">
        <v>2.63</v>
      </c>
      <c r="G1291">
        <v>242</v>
      </c>
      <c r="H1291" t="s">
        <v>13</v>
      </c>
      <c r="I1291" t="str">
        <f t="shared" si="20"/>
        <v>Normal Usage</v>
      </c>
    </row>
    <row r="1292" spans="1:9" x14ac:dyDescent="0.3">
      <c r="A1292">
        <v>11291</v>
      </c>
      <c r="B1292">
        <v>438</v>
      </c>
      <c r="C1292" s="2">
        <v>45055</v>
      </c>
      <c r="D1292" s="2" t="str">
        <f>TEXT(Table3[[#This Row],[usage_date]],"mmmm")</f>
        <v>May</v>
      </c>
      <c r="E1292" s="9">
        <f>YEAR(Table3[[#This Row],[usage_date]])</f>
        <v>2023</v>
      </c>
      <c r="F1292" s="14">
        <v>4.8499999999999996</v>
      </c>
      <c r="G1292">
        <v>163</v>
      </c>
      <c r="H1292" t="s">
        <v>12</v>
      </c>
      <c r="I1292" t="str">
        <f t="shared" si="20"/>
        <v>Normal Usage</v>
      </c>
    </row>
    <row r="1293" spans="1:9" x14ac:dyDescent="0.3">
      <c r="A1293">
        <v>11292</v>
      </c>
      <c r="B1293">
        <v>76</v>
      </c>
      <c r="C1293" s="2">
        <v>44761</v>
      </c>
      <c r="D1293" s="2" t="str">
        <f>TEXT(Table3[[#This Row],[usage_date]],"mmmm")</f>
        <v>July</v>
      </c>
      <c r="E1293" s="9">
        <f>YEAR(Table3[[#This Row],[usage_date]])</f>
        <v>2022</v>
      </c>
      <c r="F1293" s="14">
        <v>0.3</v>
      </c>
      <c r="G1293">
        <v>55</v>
      </c>
      <c r="H1293" t="s">
        <v>12</v>
      </c>
      <c r="I1293" t="str">
        <f t="shared" si="20"/>
        <v>Normal Usage</v>
      </c>
    </row>
    <row r="1294" spans="1:9" x14ac:dyDescent="0.3">
      <c r="A1294">
        <v>11293</v>
      </c>
      <c r="B1294">
        <v>174</v>
      </c>
      <c r="C1294" s="2">
        <v>44816</v>
      </c>
      <c r="D1294" s="2" t="str">
        <f>TEXT(Table3[[#This Row],[usage_date]],"mmmm")</f>
        <v>September</v>
      </c>
      <c r="E1294" s="9">
        <f>YEAR(Table3[[#This Row],[usage_date]])</f>
        <v>2022</v>
      </c>
      <c r="F1294" s="14">
        <v>1.07</v>
      </c>
      <c r="G1294">
        <v>38</v>
      </c>
      <c r="H1294" t="s">
        <v>12</v>
      </c>
      <c r="I1294" t="str">
        <f t="shared" si="20"/>
        <v>Normal Usage</v>
      </c>
    </row>
    <row r="1295" spans="1:9" x14ac:dyDescent="0.3">
      <c r="A1295">
        <v>11294</v>
      </c>
      <c r="B1295">
        <v>47</v>
      </c>
      <c r="C1295" s="2">
        <v>44740</v>
      </c>
      <c r="D1295" s="2" t="str">
        <f>TEXT(Table3[[#This Row],[usage_date]],"mmmm")</f>
        <v>June</v>
      </c>
      <c r="E1295" s="9">
        <f>YEAR(Table3[[#This Row],[usage_date]])</f>
        <v>2022</v>
      </c>
      <c r="F1295" s="14">
        <v>5.23</v>
      </c>
      <c r="G1295">
        <v>127</v>
      </c>
      <c r="H1295" t="s">
        <v>13</v>
      </c>
      <c r="I1295" t="str">
        <f t="shared" si="20"/>
        <v>Normal Usage</v>
      </c>
    </row>
    <row r="1296" spans="1:9" x14ac:dyDescent="0.3">
      <c r="A1296">
        <v>11295</v>
      </c>
      <c r="B1296">
        <v>15</v>
      </c>
      <c r="C1296" s="2">
        <v>45108</v>
      </c>
      <c r="D1296" s="2" t="str">
        <f>TEXT(Table3[[#This Row],[usage_date]],"mmmm")</f>
        <v>July</v>
      </c>
      <c r="E1296" s="9">
        <f>YEAR(Table3[[#This Row],[usage_date]])</f>
        <v>2023</v>
      </c>
      <c r="F1296" s="14">
        <v>0.56000000000000005</v>
      </c>
      <c r="G1296">
        <v>121</v>
      </c>
      <c r="H1296" t="s">
        <v>13</v>
      </c>
      <c r="I1296" t="str">
        <f t="shared" si="20"/>
        <v>Normal Usage</v>
      </c>
    </row>
    <row r="1297" spans="1:9" x14ac:dyDescent="0.3">
      <c r="A1297">
        <v>11296</v>
      </c>
      <c r="B1297">
        <v>361</v>
      </c>
      <c r="C1297" s="2">
        <v>45155</v>
      </c>
      <c r="D1297" s="2" t="str">
        <f>TEXT(Table3[[#This Row],[usage_date]],"mmmm")</f>
        <v>August</v>
      </c>
      <c r="E1297" s="9">
        <f>YEAR(Table3[[#This Row],[usage_date]])</f>
        <v>2023</v>
      </c>
      <c r="F1297" s="14">
        <v>0.2</v>
      </c>
      <c r="G1297">
        <v>246</v>
      </c>
      <c r="H1297" t="s">
        <v>12</v>
      </c>
      <c r="I1297" t="str">
        <f t="shared" si="20"/>
        <v>Normal Usage</v>
      </c>
    </row>
    <row r="1298" spans="1:9" x14ac:dyDescent="0.3">
      <c r="A1298">
        <v>11297</v>
      </c>
      <c r="B1298">
        <v>147</v>
      </c>
      <c r="C1298" s="2">
        <v>44950</v>
      </c>
      <c r="D1298" s="2" t="str">
        <f>TEXT(Table3[[#This Row],[usage_date]],"mmmm")</f>
        <v>January</v>
      </c>
      <c r="E1298" s="9">
        <f>YEAR(Table3[[#This Row],[usage_date]])</f>
        <v>2023</v>
      </c>
      <c r="F1298" s="14">
        <v>3.88</v>
      </c>
      <c r="G1298">
        <v>185</v>
      </c>
      <c r="H1298" t="s">
        <v>12</v>
      </c>
      <c r="I1298" t="str">
        <f t="shared" si="20"/>
        <v>Normal Usage</v>
      </c>
    </row>
    <row r="1299" spans="1:9" x14ac:dyDescent="0.3">
      <c r="A1299">
        <v>11298</v>
      </c>
      <c r="B1299">
        <v>26</v>
      </c>
      <c r="C1299" s="2">
        <v>44959</v>
      </c>
      <c r="D1299" s="2" t="str">
        <f>TEXT(Table3[[#This Row],[usage_date]],"mmmm")</f>
        <v>February</v>
      </c>
      <c r="E1299" s="9">
        <f>YEAR(Table3[[#This Row],[usage_date]])</f>
        <v>2023</v>
      </c>
      <c r="F1299" s="14">
        <v>4.51</v>
      </c>
      <c r="G1299">
        <v>207</v>
      </c>
      <c r="H1299" t="s">
        <v>12</v>
      </c>
      <c r="I1299" t="str">
        <f t="shared" si="20"/>
        <v>Normal Usage</v>
      </c>
    </row>
    <row r="1300" spans="1:9" x14ac:dyDescent="0.3">
      <c r="A1300">
        <v>11299</v>
      </c>
      <c r="B1300">
        <v>308</v>
      </c>
      <c r="C1300" s="2">
        <v>45293</v>
      </c>
      <c r="D1300" s="2" t="str">
        <f>TEXT(Table3[[#This Row],[usage_date]],"mmmm")</f>
        <v>January</v>
      </c>
      <c r="E1300" s="9">
        <f>YEAR(Table3[[#This Row],[usage_date]])</f>
        <v>2024</v>
      </c>
      <c r="F1300" s="14">
        <v>0.44</v>
      </c>
      <c r="G1300">
        <v>238</v>
      </c>
      <c r="H1300" t="s">
        <v>12</v>
      </c>
      <c r="I1300" t="str">
        <f t="shared" si="20"/>
        <v>Normal Usage</v>
      </c>
    </row>
    <row r="1301" spans="1:9" x14ac:dyDescent="0.3">
      <c r="A1301">
        <v>11300</v>
      </c>
      <c r="B1301">
        <v>93</v>
      </c>
      <c r="C1301" s="2">
        <v>44719</v>
      </c>
      <c r="D1301" s="2" t="str">
        <f>TEXT(Table3[[#This Row],[usage_date]],"mmmm")</f>
        <v>June</v>
      </c>
      <c r="E1301" s="9">
        <f>YEAR(Table3[[#This Row],[usage_date]])</f>
        <v>2022</v>
      </c>
      <c r="F1301" s="14">
        <v>4.82</v>
      </c>
      <c r="G1301">
        <v>214</v>
      </c>
      <c r="H1301" t="s">
        <v>12</v>
      </c>
      <c r="I1301" t="str">
        <f t="shared" si="20"/>
        <v>Normal Usage</v>
      </c>
    </row>
    <row r="1302" spans="1:9" x14ac:dyDescent="0.3">
      <c r="A1302">
        <v>11301</v>
      </c>
      <c r="B1302">
        <v>406</v>
      </c>
      <c r="C1302" s="2">
        <v>44565</v>
      </c>
      <c r="D1302" s="2" t="str">
        <f>TEXT(Table3[[#This Row],[usage_date]],"mmmm")</f>
        <v>January</v>
      </c>
      <c r="E1302" s="9">
        <f>YEAR(Table3[[#This Row],[usage_date]])</f>
        <v>2022</v>
      </c>
      <c r="F1302" s="14">
        <v>2.9</v>
      </c>
      <c r="G1302">
        <v>291</v>
      </c>
      <c r="H1302" t="s">
        <v>12</v>
      </c>
      <c r="I1302" t="str">
        <f t="shared" si="20"/>
        <v>Normal Usage</v>
      </c>
    </row>
    <row r="1303" spans="1:9" x14ac:dyDescent="0.3">
      <c r="A1303">
        <v>11302</v>
      </c>
      <c r="B1303">
        <v>232</v>
      </c>
      <c r="C1303" s="2">
        <v>44728</v>
      </c>
      <c r="D1303" s="2" t="str">
        <f>TEXT(Table3[[#This Row],[usage_date]],"mmmm")</f>
        <v>June</v>
      </c>
      <c r="E1303" s="9">
        <f>YEAR(Table3[[#This Row],[usage_date]])</f>
        <v>2022</v>
      </c>
      <c r="F1303" s="14">
        <v>1.84</v>
      </c>
      <c r="G1303">
        <v>223</v>
      </c>
      <c r="H1303" t="s">
        <v>12</v>
      </c>
      <c r="I1303" t="str">
        <f t="shared" si="20"/>
        <v>Normal Usage</v>
      </c>
    </row>
    <row r="1304" spans="1:9" x14ac:dyDescent="0.3">
      <c r="A1304">
        <v>11303</v>
      </c>
      <c r="B1304">
        <v>21</v>
      </c>
      <c r="C1304" s="2">
        <v>45029</v>
      </c>
      <c r="D1304" s="2" t="str">
        <f>TEXT(Table3[[#This Row],[usage_date]],"mmmm")</f>
        <v>April</v>
      </c>
      <c r="E1304" s="9">
        <f>YEAR(Table3[[#This Row],[usage_date]])</f>
        <v>2023</v>
      </c>
      <c r="F1304" s="14">
        <v>4.43</v>
      </c>
      <c r="G1304">
        <v>87</v>
      </c>
      <c r="H1304" t="s">
        <v>12</v>
      </c>
      <c r="I1304" t="str">
        <f t="shared" si="20"/>
        <v>Normal Usage</v>
      </c>
    </row>
    <row r="1305" spans="1:9" x14ac:dyDescent="0.3">
      <c r="A1305">
        <v>11304</v>
      </c>
      <c r="B1305">
        <v>307</v>
      </c>
      <c r="C1305" s="2">
        <v>44970</v>
      </c>
      <c r="D1305" s="2" t="str">
        <f>TEXT(Table3[[#This Row],[usage_date]],"mmmm")</f>
        <v>February</v>
      </c>
      <c r="E1305" s="9">
        <f>YEAR(Table3[[#This Row],[usage_date]])</f>
        <v>2023</v>
      </c>
      <c r="F1305" s="14">
        <v>1.36</v>
      </c>
      <c r="G1305">
        <v>24</v>
      </c>
      <c r="H1305" t="s">
        <v>12</v>
      </c>
      <c r="I1305" t="str">
        <f t="shared" si="20"/>
        <v>Normal Usage</v>
      </c>
    </row>
    <row r="1306" spans="1:9" x14ac:dyDescent="0.3">
      <c r="A1306">
        <v>11305</v>
      </c>
      <c r="B1306">
        <v>38</v>
      </c>
      <c r="C1306" s="2">
        <v>44973</v>
      </c>
      <c r="D1306" s="2" t="str">
        <f>TEXT(Table3[[#This Row],[usage_date]],"mmmm")</f>
        <v>February</v>
      </c>
      <c r="E1306" s="9">
        <f>YEAR(Table3[[#This Row],[usage_date]])</f>
        <v>2023</v>
      </c>
      <c r="F1306" s="14">
        <v>0.54</v>
      </c>
      <c r="G1306">
        <v>219</v>
      </c>
      <c r="H1306" t="s">
        <v>13</v>
      </c>
      <c r="I1306" t="str">
        <f t="shared" si="20"/>
        <v>Normal Usage</v>
      </c>
    </row>
    <row r="1307" spans="1:9" x14ac:dyDescent="0.3">
      <c r="A1307">
        <v>11306</v>
      </c>
      <c r="B1307">
        <v>276</v>
      </c>
      <c r="C1307" s="2">
        <v>44765</v>
      </c>
      <c r="D1307" s="2" t="str">
        <f>TEXT(Table3[[#This Row],[usage_date]],"mmmm")</f>
        <v>July</v>
      </c>
      <c r="E1307" s="9">
        <f>YEAR(Table3[[#This Row],[usage_date]])</f>
        <v>2022</v>
      </c>
      <c r="F1307" s="14">
        <v>0.84</v>
      </c>
      <c r="G1307">
        <v>274</v>
      </c>
      <c r="H1307" t="s">
        <v>12</v>
      </c>
      <c r="I1307" t="str">
        <f t="shared" si="20"/>
        <v>Normal Usage</v>
      </c>
    </row>
    <row r="1308" spans="1:9" x14ac:dyDescent="0.3">
      <c r="A1308">
        <v>11307</v>
      </c>
      <c r="B1308">
        <v>157</v>
      </c>
      <c r="C1308" s="2">
        <v>44755</v>
      </c>
      <c r="D1308" s="2" t="str">
        <f>TEXT(Table3[[#This Row],[usage_date]],"mmmm")</f>
        <v>July</v>
      </c>
      <c r="E1308" s="9">
        <f>YEAR(Table3[[#This Row],[usage_date]])</f>
        <v>2022</v>
      </c>
      <c r="F1308" s="14">
        <v>1.76</v>
      </c>
      <c r="G1308">
        <v>134</v>
      </c>
      <c r="H1308" t="s">
        <v>12</v>
      </c>
      <c r="I1308" t="str">
        <f t="shared" si="20"/>
        <v>Normal Usage</v>
      </c>
    </row>
    <row r="1309" spans="1:9" x14ac:dyDescent="0.3">
      <c r="A1309">
        <v>11308</v>
      </c>
      <c r="B1309">
        <v>179</v>
      </c>
      <c r="C1309" s="2">
        <v>44796</v>
      </c>
      <c r="D1309" s="2" t="str">
        <f>TEXT(Table3[[#This Row],[usage_date]],"mmmm")</f>
        <v>August</v>
      </c>
      <c r="E1309" s="9">
        <f>YEAR(Table3[[#This Row],[usage_date]])</f>
        <v>2022</v>
      </c>
      <c r="F1309" s="14">
        <v>1.89</v>
      </c>
      <c r="G1309">
        <v>232</v>
      </c>
      <c r="H1309" t="s">
        <v>12</v>
      </c>
      <c r="I1309" t="str">
        <f t="shared" si="20"/>
        <v>Normal Usage</v>
      </c>
    </row>
    <row r="1310" spans="1:9" x14ac:dyDescent="0.3">
      <c r="A1310">
        <v>11309</v>
      </c>
      <c r="B1310">
        <v>132</v>
      </c>
      <c r="C1310" s="2">
        <v>45279</v>
      </c>
      <c r="D1310" s="2" t="str">
        <f>TEXT(Table3[[#This Row],[usage_date]],"mmmm")</f>
        <v>December</v>
      </c>
      <c r="E1310" s="9">
        <f>YEAR(Table3[[#This Row],[usage_date]])</f>
        <v>2023</v>
      </c>
      <c r="F1310" s="14">
        <v>4.09</v>
      </c>
      <c r="G1310">
        <v>65</v>
      </c>
      <c r="H1310" t="s">
        <v>12</v>
      </c>
      <c r="I1310" t="str">
        <f t="shared" si="20"/>
        <v>Normal Usage</v>
      </c>
    </row>
    <row r="1311" spans="1:9" x14ac:dyDescent="0.3">
      <c r="A1311">
        <v>11310</v>
      </c>
      <c r="B1311">
        <v>311</v>
      </c>
      <c r="C1311" s="2">
        <v>44711</v>
      </c>
      <c r="D1311" s="2" t="str">
        <f>TEXT(Table3[[#This Row],[usage_date]],"mmmm")</f>
        <v>May</v>
      </c>
      <c r="E1311" s="9">
        <f>YEAR(Table3[[#This Row],[usage_date]])</f>
        <v>2022</v>
      </c>
      <c r="F1311" s="14">
        <v>3.92</v>
      </c>
      <c r="G1311">
        <v>79</v>
      </c>
      <c r="H1311" t="s">
        <v>12</v>
      </c>
      <c r="I1311" t="str">
        <f t="shared" si="20"/>
        <v>Normal Usage</v>
      </c>
    </row>
    <row r="1312" spans="1:9" x14ac:dyDescent="0.3">
      <c r="A1312">
        <v>11311</v>
      </c>
      <c r="B1312">
        <v>455</v>
      </c>
      <c r="C1312" s="2">
        <v>44720</v>
      </c>
      <c r="D1312" s="2" t="str">
        <f>TEXT(Table3[[#This Row],[usage_date]],"mmmm")</f>
        <v>June</v>
      </c>
      <c r="E1312" s="9">
        <f>YEAR(Table3[[#This Row],[usage_date]])</f>
        <v>2022</v>
      </c>
      <c r="F1312" s="14">
        <v>2.1800000000000002</v>
      </c>
      <c r="G1312">
        <v>254</v>
      </c>
      <c r="H1312" t="s">
        <v>12</v>
      </c>
      <c r="I1312" t="str">
        <f t="shared" si="20"/>
        <v>Normal Usage</v>
      </c>
    </row>
    <row r="1313" spans="1:9" x14ac:dyDescent="0.3">
      <c r="A1313">
        <v>11312</v>
      </c>
      <c r="B1313">
        <v>348</v>
      </c>
      <c r="C1313" s="2">
        <v>44840</v>
      </c>
      <c r="D1313" s="2" t="str">
        <f>TEXT(Table3[[#This Row],[usage_date]],"mmmm")</f>
        <v>October</v>
      </c>
      <c r="E1313" s="9">
        <f>YEAR(Table3[[#This Row],[usage_date]])</f>
        <v>2022</v>
      </c>
      <c r="F1313" s="14">
        <v>3.79</v>
      </c>
      <c r="G1313">
        <v>124</v>
      </c>
      <c r="H1313" t="s">
        <v>13</v>
      </c>
      <c r="I1313" t="str">
        <f t="shared" si="20"/>
        <v>Normal Usage</v>
      </c>
    </row>
    <row r="1314" spans="1:9" x14ac:dyDescent="0.3">
      <c r="A1314">
        <v>11313</v>
      </c>
      <c r="B1314">
        <v>28</v>
      </c>
      <c r="C1314" s="2">
        <v>45377</v>
      </c>
      <c r="D1314" s="2" t="str">
        <f>TEXT(Table3[[#This Row],[usage_date]],"mmmm")</f>
        <v>March</v>
      </c>
      <c r="E1314" s="9">
        <f>YEAR(Table3[[#This Row],[usage_date]])</f>
        <v>2024</v>
      </c>
      <c r="F1314" s="14">
        <v>0.53</v>
      </c>
      <c r="G1314">
        <v>145</v>
      </c>
      <c r="H1314" t="s">
        <v>12</v>
      </c>
      <c r="I1314" t="str">
        <f t="shared" si="20"/>
        <v>Normal Usage</v>
      </c>
    </row>
    <row r="1315" spans="1:9" x14ac:dyDescent="0.3">
      <c r="A1315">
        <v>11314</v>
      </c>
      <c r="B1315">
        <v>260</v>
      </c>
      <c r="C1315" s="2">
        <v>44965</v>
      </c>
      <c r="D1315" s="2" t="str">
        <f>TEXT(Table3[[#This Row],[usage_date]],"mmmm")</f>
        <v>February</v>
      </c>
      <c r="E1315" s="9">
        <f>YEAR(Table3[[#This Row],[usage_date]])</f>
        <v>2023</v>
      </c>
      <c r="F1315" s="14">
        <v>0.13</v>
      </c>
      <c r="G1315">
        <v>102</v>
      </c>
      <c r="H1315" t="s">
        <v>12</v>
      </c>
      <c r="I1315" t="str">
        <f t="shared" si="20"/>
        <v>Normal Usage</v>
      </c>
    </row>
    <row r="1316" spans="1:9" x14ac:dyDescent="0.3">
      <c r="A1316">
        <v>11315</v>
      </c>
      <c r="B1316">
        <v>406</v>
      </c>
      <c r="C1316" s="2">
        <v>45454</v>
      </c>
      <c r="D1316" s="2" t="str">
        <f>TEXT(Table3[[#This Row],[usage_date]],"mmmm")</f>
        <v>June</v>
      </c>
      <c r="E1316" s="9">
        <f>YEAR(Table3[[#This Row],[usage_date]])</f>
        <v>2024</v>
      </c>
      <c r="F1316" s="14">
        <v>5.17</v>
      </c>
      <c r="G1316">
        <v>276</v>
      </c>
      <c r="H1316" t="s">
        <v>12</v>
      </c>
      <c r="I1316" t="str">
        <f t="shared" si="20"/>
        <v>Normal Usage</v>
      </c>
    </row>
    <row r="1317" spans="1:9" x14ac:dyDescent="0.3">
      <c r="A1317">
        <v>11316</v>
      </c>
      <c r="B1317">
        <v>76</v>
      </c>
      <c r="C1317" s="2">
        <v>45239</v>
      </c>
      <c r="D1317" s="2" t="str">
        <f>TEXT(Table3[[#This Row],[usage_date]],"mmmm")</f>
        <v>November</v>
      </c>
      <c r="E1317" s="9">
        <f>YEAR(Table3[[#This Row],[usage_date]])</f>
        <v>2023</v>
      </c>
      <c r="F1317" s="14">
        <v>0.2</v>
      </c>
      <c r="G1317">
        <v>123</v>
      </c>
      <c r="H1317" t="s">
        <v>12</v>
      </c>
      <c r="I1317" t="str">
        <f t="shared" si="20"/>
        <v>Normal Usage</v>
      </c>
    </row>
    <row r="1318" spans="1:9" x14ac:dyDescent="0.3">
      <c r="A1318">
        <v>11317</v>
      </c>
      <c r="B1318">
        <v>429</v>
      </c>
      <c r="C1318" s="2">
        <v>44872</v>
      </c>
      <c r="D1318" s="2" t="str">
        <f>TEXT(Table3[[#This Row],[usage_date]],"mmmm")</f>
        <v>November</v>
      </c>
      <c r="E1318" s="9">
        <f>YEAR(Table3[[#This Row],[usage_date]])</f>
        <v>2022</v>
      </c>
      <c r="F1318" s="14">
        <v>0.71</v>
      </c>
      <c r="G1318">
        <v>266</v>
      </c>
      <c r="H1318" t="s">
        <v>13</v>
      </c>
      <c r="I1318" t="str">
        <f t="shared" si="20"/>
        <v>Normal Usage</v>
      </c>
    </row>
    <row r="1319" spans="1:9" x14ac:dyDescent="0.3">
      <c r="A1319">
        <v>11318</v>
      </c>
      <c r="B1319">
        <v>67</v>
      </c>
      <c r="C1319" s="2">
        <v>44629</v>
      </c>
      <c r="D1319" s="2" t="str">
        <f>TEXT(Table3[[#This Row],[usage_date]],"mmmm")</f>
        <v>March</v>
      </c>
      <c r="E1319" s="9">
        <f>YEAR(Table3[[#This Row],[usage_date]])</f>
        <v>2022</v>
      </c>
      <c r="F1319" s="14">
        <v>2.97</v>
      </c>
      <c r="G1319">
        <v>277</v>
      </c>
      <c r="H1319" t="s">
        <v>13</v>
      </c>
      <c r="I1319" t="str">
        <f t="shared" si="20"/>
        <v>Normal Usage</v>
      </c>
    </row>
    <row r="1320" spans="1:9" x14ac:dyDescent="0.3">
      <c r="A1320">
        <v>11319</v>
      </c>
      <c r="B1320">
        <v>342</v>
      </c>
      <c r="C1320" s="2">
        <v>45024</v>
      </c>
      <c r="D1320" s="2" t="str">
        <f>TEXT(Table3[[#This Row],[usage_date]],"mmmm")</f>
        <v>April</v>
      </c>
      <c r="E1320" s="9">
        <f>YEAR(Table3[[#This Row],[usage_date]])</f>
        <v>2023</v>
      </c>
      <c r="F1320" s="14">
        <v>1.32</v>
      </c>
      <c r="G1320">
        <v>110</v>
      </c>
      <c r="H1320" t="s">
        <v>12</v>
      </c>
      <c r="I1320" t="str">
        <f t="shared" si="20"/>
        <v>Normal Usage</v>
      </c>
    </row>
    <row r="1321" spans="1:9" x14ac:dyDescent="0.3">
      <c r="A1321">
        <v>11320</v>
      </c>
      <c r="B1321">
        <v>492</v>
      </c>
      <c r="C1321" s="2">
        <v>44649</v>
      </c>
      <c r="D1321" s="2" t="str">
        <f>TEXT(Table3[[#This Row],[usage_date]],"mmmm")</f>
        <v>March</v>
      </c>
      <c r="E1321" s="9">
        <f>YEAR(Table3[[#This Row],[usage_date]])</f>
        <v>2022</v>
      </c>
      <c r="F1321" s="14">
        <v>5.23</v>
      </c>
      <c r="G1321">
        <v>88</v>
      </c>
      <c r="H1321" t="s">
        <v>12</v>
      </c>
      <c r="I1321" t="str">
        <f t="shared" si="20"/>
        <v>Normal Usage</v>
      </c>
    </row>
    <row r="1322" spans="1:9" x14ac:dyDescent="0.3">
      <c r="A1322">
        <v>11321</v>
      </c>
      <c r="B1322">
        <v>194</v>
      </c>
      <c r="C1322" s="2">
        <v>44778</v>
      </c>
      <c r="D1322" s="2" t="str">
        <f>TEXT(Table3[[#This Row],[usage_date]],"mmmm")</f>
        <v>August</v>
      </c>
      <c r="E1322" s="9">
        <f>YEAR(Table3[[#This Row],[usage_date]])</f>
        <v>2022</v>
      </c>
      <c r="F1322" s="14">
        <v>0.88</v>
      </c>
      <c r="G1322">
        <v>157</v>
      </c>
      <c r="H1322" t="s">
        <v>13</v>
      </c>
      <c r="I1322" t="str">
        <f t="shared" si="20"/>
        <v>Normal Usage</v>
      </c>
    </row>
    <row r="1323" spans="1:9" x14ac:dyDescent="0.3">
      <c r="A1323">
        <v>11322</v>
      </c>
      <c r="B1323">
        <v>472</v>
      </c>
      <c r="C1323" s="2">
        <v>44562</v>
      </c>
      <c r="D1323" s="2" t="str">
        <f>TEXT(Table3[[#This Row],[usage_date]],"mmmm")</f>
        <v>January</v>
      </c>
      <c r="E1323" s="9">
        <f>YEAR(Table3[[#This Row],[usage_date]])</f>
        <v>2022</v>
      </c>
      <c r="F1323" s="14">
        <v>0.03</v>
      </c>
      <c r="G1323">
        <v>215</v>
      </c>
      <c r="H1323" t="s">
        <v>12</v>
      </c>
      <c r="I1323" t="str">
        <f t="shared" si="20"/>
        <v>Normal Usage</v>
      </c>
    </row>
    <row r="1324" spans="1:9" x14ac:dyDescent="0.3">
      <c r="A1324">
        <v>11323</v>
      </c>
      <c r="B1324">
        <v>162</v>
      </c>
      <c r="C1324" s="2">
        <v>44696</v>
      </c>
      <c r="D1324" s="2" t="str">
        <f>TEXT(Table3[[#This Row],[usage_date]],"mmmm")</f>
        <v>May</v>
      </c>
      <c r="E1324" s="9">
        <f>YEAR(Table3[[#This Row],[usage_date]])</f>
        <v>2022</v>
      </c>
      <c r="F1324" s="14">
        <v>0.89</v>
      </c>
      <c r="G1324">
        <v>35</v>
      </c>
      <c r="H1324" t="s">
        <v>13</v>
      </c>
      <c r="I1324" t="str">
        <f t="shared" si="20"/>
        <v>Normal Usage</v>
      </c>
    </row>
    <row r="1325" spans="1:9" x14ac:dyDescent="0.3">
      <c r="A1325">
        <v>11324</v>
      </c>
      <c r="B1325">
        <v>347</v>
      </c>
      <c r="C1325" s="2">
        <v>45258</v>
      </c>
      <c r="D1325" s="2" t="str">
        <f>TEXT(Table3[[#This Row],[usage_date]],"mmmm")</f>
        <v>November</v>
      </c>
      <c r="E1325" s="9">
        <f>YEAR(Table3[[#This Row],[usage_date]])</f>
        <v>2023</v>
      </c>
      <c r="F1325" s="14">
        <v>2.16</v>
      </c>
      <c r="G1325">
        <v>86</v>
      </c>
      <c r="H1325" t="s">
        <v>13</v>
      </c>
      <c r="I1325" t="str">
        <f t="shared" si="20"/>
        <v>Normal Usage</v>
      </c>
    </row>
    <row r="1326" spans="1:9" x14ac:dyDescent="0.3">
      <c r="A1326">
        <v>11325</v>
      </c>
      <c r="B1326">
        <v>439</v>
      </c>
      <c r="C1326" s="2">
        <v>44912</v>
      </c>
      <c r="D1326" s="2" t="str">
        <f>TEXT(Table3[[#This Row],[usage_date]],"mmmm")</f>
        <v>December</v>
      </c>
      <c r="E1326" s="9">
        <f>YEAR(Table3[[#This Row],[usage_date]])</f>
        <v>2022</v>
      </c>
      <c r="F1326" s="14">
        <v>1.18</v>
      </c>
      <c r="G1326">
        <v>117</v>
      </c>
      <c r="H1326" t="s">
        <v>12</v>
      </c>
      <c r="I1326" t="str">
        <f t="shared" si="20"/>
        <v>Normal Usage</v>
      </c>
    </row>
    <row r="1327" spans="1:9" x14ac:dyDescent="0.3">
      <c r="A1327">
        <v>11326</v>
      </c>
      <c r="B1327">
        <v>361</v>
      </c>
      <c r="C1327" s="2">
        <v>44701</v>
      </c>
      <c r="D1327" s="2" t="str">
        <f>TEXT(Table3[[#This Row],[usage_date]],"mmmm")</f>
        <v>May</v>
      </c>
      <c r="E1327" s="9">
        <f>YEAR(Table3[[#This Row],[usage_date]])</f>
        <v>2022</v>
      </c>
      <c r="F1327" s="14">
        <v>1.91</v>
      </c>
      <c r="G1327">
        <v>181</v>
      </c>
      <c r="H1327" t="s">
        <v>13</v>
      </c>
      <c r="I1327" t="str">
        <f t="shared" si="20"/>
        <v>Normal Usage</v>
      </c>
    </row>
    <row r="1328" spans="1:9" x14ac:dyDescent="0.3">
      <c r="A1328">
        <v>11327</v>
      </c>
      <c r="B1328">
        <v>257</v>
      </c>
      <c r="C1328" s="2">
        <v>45179</v>
      </c>
      <c r="D1328" s="2" t="str">
        <f>TEXT(Table3[[#This Row],[usage_date]],"mmmm")</f>
        <v>September</v>
      </c>
      <c r="E1328" s="9">
        <f>YEAR(Table3[[#This Row],[usage_date]])</f>
        <v>2023</v>
      </c>
      <c r="F1328" s="14">
        <v>5.23</v>
      </c>
      <c r="G1328">
        <v>67</v>
      </c>
      <c r="H1328" t="s">
        <v>13</v>
      </c>
      <c r="I1328" t="str">
        <f t="shared" si="20"/>
        <v>Normal Usage</v>
      </c>
    </row>
    <row r="1329" spans="1:9" x14ac:dyDescent="0.3">
      <c r="A1329">
        <v>11328</v>
      </c>
      <c r="B1329">
        <v>72</v>
      </c>
      <c r="C1329" s="2">
        <v>44694</v>
      </c>
      <c r="D1329" s="2" t="str">
        <f>TEXT(Table3[[#This Row],[usage_date]],"mmmm")</f>
        <v>May</v>
      </c>
      <c r="E1329" s="9">
        <f>YEAR(Table3[[#This Row],[usage_date]])</f>
        <v>2022</v>
      </c>
      <c r="F1329" s="14">
        <v>6.09</v>
      </c>
      <c r="G1329">
        <v>158</v>
      </c>
      <c r="H1329" t="s">
        <v>13</v>
      </c>
      <c r="I1329" t="str">
        <f t="shared" si="20"/>
        <v>High Usage</v>
      </c>
    </row>
    <row r="1330" spans="1:9" x14ac:dyDescent="0.3">
      <c r="A1330">
        <v>11329</v>
      </c>
      <c r="B1330">
        <v>87</v>
      </c>
      <c r="C1330" s="2">
        <v>45181</v>
      </c>
      <c r="D1330" s="2" t="str">
        <f>TEXT(Table3[[#This Row],[usage_date]],"mmmm")</f>
        <v>September</v>
      </c>
      <c r="E1330" s="9">
        <f>YEAR(Table3[[#This Row],[usage_date]])</f>
        <v>2023</v>
      </c>
      <c r="F1330" s="14">
        <v>0.77</v>
      </c>
      <c r="G1330">
        <v>284</v>
      </c>
      <c r="H1330" t="s">
        <v>12</v>
      </c>
      <c r="I1330" t="str">
        <f t="shared" si="20"/>
        <v>Normal Usage</v>
      </c>
    </row>
    <row r="1331" spans="1:9" x14ac:dyDescent="0.3">
      <c r="A1331">
        <v>11330</v>
      </c>
      <c r="B1331">
        <v>422</v>
      </c>
      <c r="C1331" s="2">
        <v>44739</v>
      </c>
      <c r="D1331" s="2" t="str">
        <f>TEXT(Table3[[#This Row],[usage_date]],"mmmm")</f>
        <v>June</v>
      </c>
      <c r="E1331" s="9">
        <f>YEAR(Table3[[#This Row],[usage_date]])</f>
        <v>2022</v>
      </c>
      <c r="F1331" s="14">
        <v>1.55</v>
      </c>
      <c r="G1331">
        <v>163</v>
      </c>
      <c r="H1331" t="s">
        <v>12</v>
      </c>
      <c r="I1331" t="str">
        <f t="shared" si="20"/>
        <v>Normal Usage</v>
      </c>
    </row>
    <row r="1332" spans="1:9" x14ac:dyDescent="0.3">
      <c r="A1332">
        <v>11331</v>
      </c>
      <c r="B1332">
        <v>262</v>
      </c>
      <c r="C1332" s="2">
        <v>45371</v>
      </c>
      <c r="D1332" s="2" t="str">
        <f>TEXT(Table3[[#This Row],[usage_date]],"mmmm")</f>
        <v>March</v>
      </c>
      <c r="E1332" s="9">
        <f>YEAR(Table3[[#This Row],[usage_date]])</f>
        <v>2024</v>
      </c>
      <c r="F1332" s="14">
        <v>1.99</v>
      </c>
      <c r="G1332">
        <v>72</v>
      </c>
      <c r="H1332" t="s">
        <v>12</v>
      </c>
      <c r="I1332" t="str">
        <f t="shared" si="20"/>
        <v>Normal Usage</v>
      </c>
    </row>
    <row r="1333" spans="1:9" x14ac:dyDescent="0.3">
      <c r="A1333">
        <v>11332</v>
      </c>
      <c r="B1333">
        <v>214</v>
      </c>
      <c r="C1333" s="2">
        <v>44919</v>
      </c>
      <c r="D1333" s="2" t="str">
        <f>TEXT(Table3[[#This Row],[usage_date]],"mmmm")</f>
        <v>December</v>
      </c>
      <c r="E1333" s="9">
        <f>YEAR(Table3[[#This Row],[usage_date]])</f>
        <v>2022</v>
      </c>
      <c r="F1333" s="14">
        <v>7.45</v>
      </c>
      <c r="G1333">
        <v>118</v>
      </c>
      <c r="H1333" t="s">
        <v>12</v>
      </c>
      <c r="I1333" t="str">
        <f t="shared" si="20"/>
        <v>High Usage</v>
      </c>
    </row>
    <row r="1334" spans="1:9" x14ac:dyDescent="0.3">
      <c r="A1334">
        <v>11333</v>
      </c>
      <c r="B1334">
        <v>153</v>
      </c>
      <c r="C1334" s="2">
        <v>44941</v>
      </c>
      <c r="D1334" s="2" t="str">
        <f>TEXT(Table3[[#This Row],[usage_date]],"mmmm")</f>
        <v>January</v>
      </c>
      <c r="E1334" s="9">
        <f>YEAR(Table3[[#This Row],[usage_date]])</f>
        <v>2023</v>
      </c>
      <c r="F1334" s="14">
        <v>16.46</v>
      </c>
      <c r="G1334">
        <v>194</v>
      </c>
      <c r="H1334" t="s">
        <v>12</v>
      </c>
      <c r="I1334" t="str">
        <f t="shared" si="20"/>
        <v>High Usage</v>
      </c>
    </row>
    <row r="1335" spans="1:9" x14ac:dyDescent="0.3">
      <c r="A1335">
        <v>11334</v>
      </c>
      <c r="B1335">
        <v>210</v>
      </c>
      <c r="C1335" s="2">
        <v>45432</v>
      </c>
      <c r="D1335" s="2" t="str">
        <f>TEXT(Table3[[#This Row],[usage_date]],"mmmm")</f>
        <v>May</v>
      </c>
      <c r="E1335" s="9">
        <f>YEAR(Table3[[#This Row],[usage_date]])</f>
        <v>2024</v>
      </c>
      <c r="F1335" s="14">
        <v>0.67</v>
      </c>
      <c r="G1335">
        <v>88</v>
      </c>
      <c r="H1335" t="s">
        <v>12</v>
      </c>
      <c r="I1335" t="str">
        <f t="shared" si="20"/>
        <v>Normal Usage</v>
      </c>
    </row>
    <row r="1336" spans="1:9" x14ac:dyDescent="0.3">
      <c r="A1336">
        <v>11335</v>
      </c>
      <c r="B1336">
        <v>401</v>
      </c>
      <c r="C1336" s="2">
        <v>45219</v>
      </c>
      <c r="D1336" s="2" t="str">
        <f>TEXT(Table3[[#This Row],[usage_date]],"mmmm")</f>
        <v>October</v>
      </c>
      <c r="E1336" s="9">
        <f>YEAR(Table3[[#This Row],[usage_date]])</f>
        <v>2023</v>
      </c>
      <c r="F1336" s="14">
        <v>3.25</v>
      </c>
      <c r="G1336">
        <v>75</v>
      </c>
      <c r="H1336" t="s">
        <v>12</v>
      </c>
      <c r="I1336" t="str">
        <f t="shared" si="20"/>
        <v>Normal Usage</v>
      </c>
    </row>
    <row r="1337" spans="1:9" x14ac:dyDescent="0.3">
      <c r="A1337">
        <v>11336</v>
      </c>
      <c r="B1337">
        <v>61</v>
      </c>
      <c r="C1337" s="2">
        <v>45011</v>
      </c>
      <c r="D1337" s="2" t="str">
        <f>TEXT(Table3[[#This Row],[usage_date]],"mmmm")</f>
        <v>March</v>
      </c>
      <c r="E1337" s="9">
        <f>YEAR(Table3[[#This Row],[usage_date]])</f>
        <v>2023</v>
      </c>
      <c r="F1337" s="14">
        <v>1.19</v>
      </c>
      <c r="G1337">
        <v>220</v>
      </c>
      <c r="H1337" t="s">
        <v>12</v>
      </c>
      <c r="I1337" t="str">
        <f t="shared" si="20"/>
        <v>Normal Usage</v>
      </c>
    </row>
    <row r="1338" spans="1:9" x14ac:dyDescent="0.3">
      <c r="A1338">
        <v>11337</v>
      </c>
      <c r="B1338">
        <v>268</v>
      </c>
      <c r="C1338" s="2">
        <v>45147</v>
      </c>
      <c r="D1338" s="2" t="str">
        <f>TEXT(Table3[[#This Row],[usage_date]],"mmmm")</f>
        <v>August</v>
      </c>
      <c r="E1338" s="9">
        <f>YEAR(Table3[[#This Row],[usage_date]])</f>
        <v>2023</v>
      </c>
      <c r="F1338" s="14">
        <v>0.02</v>
      </c>
      <c r="G1338">
        <v>138</v>
      </c>
      <c r="H1338" t="s">
        <v>12</v>
      </c>
      <c r="I1338" t="str">
        <f t="shared" si="20"/>
        <v>Normal Usage</v>
      </c>
    </row>
    <row r="1339" spans="1:9" x14ac:dyDescent="0.3">
      <c r="A1339">
        <v>11338</v>
      </c>
      <c r="B1339">
        <v>262</v>
      </c>
      <c r="C1339" s="2">
        <v>45024</v>
      </c>
      <c r="D1339" s="2" t="str">
        <f>TEXT(Table3[[#This Row],[usage_date]],"mmmm")</f>
        <v>April</v>
      </c>
      <c r="E1339" s="9">
        <f>YEAR(Table3[[#This Row],[usage_date]])</f>
        <v>2023</v>
      </c>
      <c r="F1339" s="14">
        <v>0.02</v>
      </c>
      <c r="G1339">
        <v>240</v>
      </c>
      <c r="H1339" t="s">
        <v>12</v>
      </c>
      <c r="I1339" t="str">
        <f t="shared" si="20"/>
        <v>Normal Usage</v>
      </c>
    </row>
    <row r="1340" spans="1:9" x14ac:dyDescent="0.3">
      <c r="A1340">
        <v>11339</v>
      </c>
      <c r="B1340">
        <v>218</v>
      </c>
      <c r="C1340" s="2">
        <v>44669</v>
      </c>
      <c r="D1340" s="2" t="str">
        <f>TEXT(Table3[[#This Row],[usage_date]],"mmmm")</f>
        <v>April</v>
      </c>
      <c r="E1340" s="9">
        <f>YEAR(Table3[[#This Row],[usage_date]])</f>
        <v>2022</v>
      </c>
      <c r="F1340" s="14">
        <v>1.54</v>
      </c>
      <c r="G1340">
        <v>153</v>
      </c>
      <c r="H1340" t="s">
        <v>13</v>
      </c>
      <c r="I1340" t="str">
        <f t="shared" si="20"/>
        <v>Normal Usage</v>
      </c>
    </row>
    <row r="1341" spans="1:9" x14ac:dyDescent="0.3">
      <c r="A1341">
        <v>11340</v>
      </c>
      <c r="B1341">
        <v>283</v>
      </c>
      <c r="C1341" s="2">
        <v>44683</v>
      </c>
      <c r="D1341" s="2" t="str">
        <f>TEXT(Table3[[#This Row],[usage_date]],"mmmm")</f>
        <v>May</v>
      </c>
      <c r="E1341" s="9">
        <f>YEAR(Table3[[#This Row],[usage_date]])</f>
        <v>2022</v>
      </c>
      <c r="F1341" s="14">
        <v>1.68</v>
      </c>
      <c r="G1341">
        <v>52</v>
      </c>
      <c r="H1341" t="s">
        <v>12</v>
      </c>
      <c r="I1341" t="str">
        <f t="shared" si="20"/>
        <v>Normal Usage</v>
      </c>
    </row>
    <row r="1342" spans="1:9" x14ac:dyDescent="0.3">
      <c r="A1342">
        <v>11341</v>
      </c>
      <c r="B1342">
        <v>136</v>
      </c>
      <c r="C1342" s="2">
        <v>44578</v>
      </c>
      <c r="D1342" s="2" t="str">
        <f>TEXT(Table3[[#This Row],[usage_date]],"mmmm")</f>
        <v>January</v>
      </c>
      <c r="E1342" s="9">
        <f>YEAR(Table3[[#This Row],[usage_date]])</f>
        <v>2022</v>
      </c>
      <c r="F1342" s="14">
        <v>0.06</v>
      </c>
      <c r="G1342">
        <v>141</v>
      </c>
      <c r="H1342" t="s">
        <v>12</v>
      </c>
      <c r="I1342" t="str">
        <f t="shared" si="20"/>
        <v>Normal Usage</v>
      </c>
    </row>
    <row r="1343" spans="1:9" x14ac:dyDescent="0.3">
      <c r="A1343">
        <v>11342</v>
      </c>
      <c r="B1343">
        <v>467</v>
      </c>
      <c r="C1343" s="2">
        <v>44757</v>
      </c>
      <c r="D1343" s="2" t="str">
        <f>TEXT(Table3[[#This Row],[usage_date]],"mmmm")</f>
        <v>July</v>
      </c>
      <c r="E1343" s="9">
        <f>YEAR(Table3[[#This Row],[usage_date]])</f>
        <v>2022</v>
      </c>
      <c r="F1343" s="14">
        <v>2.9</v>
      </c>
      <c r="G1343">
        <v>30</v>
      </c>
      <c r="H1343" t="s">
        <v>13</v>
      </c>
      <c r="I1343" t="str">
        <f t="shared" si="20"/>
        <v>Normal Usage</v>
      </c>
    </row>
    <row r="1344" spans="1:9" x14ac:dyDescent="0.3">
      <c r="A1344">
        <v>11343</v>
      </c>
      <c r="B1344">
        <v>380</v>
      </c>
      <c r="C1344" s="2">
        <v>44888</v>
      </c>
      <c r="D1344" s="2" t="str">
        <f>TEXT(Table3[[#This Row],[usage_date]],"mmmm")</f>
        <v>November</v>
      </c>
      <c r="E1344" s="9">
        <f>YEAR(Table3[[#This Row],[usage_date]])</f>
        <v>2022</v>
      </c>
      <c r="F1344" s="14">
        <v>0.87</v>
      </c>
      <c r="G1344">
        <v>222</v>
      </c>
      <c r="H1344" t="s">
        <v>12</v>
      </c>
      <c r="I1344" t="str">
        <f t="shared" si="20"/>
        <v>Normal Usage</v>
      </c>
    </row>
    <row r="1345" spans="1:9" x14ac:dyDescent="0.3">
      <c r="A1345">
        <v>11344</v>
      </c>
      <c r="B1345">
        <v>362</v>
      </c>
      <c r="C1345" s="2">
        <v>44879</v>
      </c>
      <c r="D1345" s="2" t="str">
        <f>TEXT(Table3[[#This Row],[usage_date]],"mmmm")</f>
        <v>November</v>
      </c>
      <c r="E1345" s="9">
        <f>YEAR(Table3[[#This Row],[usage_date]])</f>
        <v>2022</v>
      </c>
      <c r="F1345" s="14">
        <v>2.0499999999999998</v>
      </c>
      <c r="G1345">
        <v>291</v>
      </c>
      <c r="H1345" t="s">
        <v>12</v>
      </c>
      <c r="I1345" t="str">
        <f t="shared" si="20"/>
        <v>Normal Usage</v>
      </c>
    </row>
    <row r="1346" spans="1:9" x14ac:dyDescent="0.3">
      <c r="A1346">
        <v>11345</v>
      </c>
      <c r="B1346">
        <v>449</v>
      </c>
      <c r="C1346" s="2">
        <v>45370</v>
      </c>
      <c r="D1346" s="2" t="str">
        <f>TEXT(Table3[[#This Row],[usage_date]],"mmmm")</f>
        <v>March</v>
      </c>
      <c r="E1346" s="9">
        <f>YEAR(Table3[[#This Row],[usage_date]])</f>
        <v>2024</v>
      </c>
      <c r="F1346" s="14">
        <v>0.89</v>
      </c>
      <c r="G1346">
        <v>265</v>
      </c>
      <c r="H1346" t="s">
        <v>13</v>
      </c>
      <c r="I1346" t="str">
        <f t="shared" ref="I1346:I1409" si="21">IF(F1346&gt;6,"High Usage","Normal Usage")</f>
        <v>Normal Usage</v>
      </c>
    </row>
    <row r="1347" spans="1:9" x14ac:dyDescent="0.3">
      <c r="A1347">
        <v>11346</v>
      </c>
      <c r="B1347">
        <v>441</v>
      </c>
      <c r="C1347" s="2">
        <v>45040</v>
      </c>
      <c r="D1347" s="2" t="str">
        <f>TEXT(Table3[[#This Row],[usage_date]],"mmmm")</f>
        <v>April</v>
      </c>
      <c r="E1347" s="9">
        <f>YEAR(Table3[[#This Row],[usage_date]])</f>
        <v>2023</v>
      </c>
      <c r="F1347" s="14">
        <v>0.46</v>
      </c>
      <c r="G1347">
        <v>281</v>
      </c>
      <c r="H1347" t="s">
        <v>13</v>
      </c>
      <c r="I1347" t="str">
        <f t="shared" si="21"/>
        <v>Normal Usage</v>
      </c>
    </row>
    <row r="1348" spans="1:9" x14ac:dyDescent="0.3">
      <c r="A1348">
        <v>11347</v>
      </c>
      <c r="B1348">
        <v>93</v>
      </c>
      <c r="C1348" s="2">
        <v>44813</v>
      </c>
      <c r="D1348" s="2" t="str">
        <f>TEXT(Table3[[#This Row],[usage_date]],"mmmm")</f>
        <v>September</v>
      </c>
      <c r="E1348" s="9">
        <f>YEAR(Table3[[#This Row],[usage_date]])</f>
        <v>2022</v>
      </c>
      <c r="F1348" s="14">
        <v>1.31</v>
      </c>
      <c r="G1348">
        <v>275</v>
      </c>
      <c r="H1348" t="s">
        <v>12</v>
      </c>
      <c r="I1348" t="str">
        <f t="shared" si="21"/>
        <v>Normal Usage</v>
      </c>
    </row>
    <row r="1349" spans="1:9" x14ac:dyDescent="0.3">
      <c r="A1349">
        <v>11348</v>
      </c>
      <c r="B1349">
        <v>109</v>
      </c>
      <c r="C1349" s="2">
        <v>45064</v>
      </c>
      <c r="D1349" s="2" t="str">
        <f>TEXT(Table3[[#This Row],[usage_date]],"mmmm")</f>
        <v>May</v>
      </c>
      <c r="E1349" s="9">
        <f>YEAR(Table3[[#This Row],[usage_date]])</f>
        <v>2023</v>
      </c>
      <c r="F1349" s="14">
        <v>0.66</v>
      </c>
      <c r="G1349">
        <v>43</v>
      </c>
      <c r="H1349" t="s">
        <v>13</v>
      </c>
      <c r="I1349" t="str">
        <f t="shared" si="21"/>
        <v>Normal Usage</v>
      </c>
    </row>
    <row r="1350" spans="1:9" x14ac:dyDescent="0.3">
      <c r="A1350">
        <v>11349</v>
      </c>
      <c r="B1350">
        <v>241</v>
      </c>
      <c r="C1350" s="2">
        <v>44680</v>
      </c>
      <c r="D1350" s="2" t="str">
        <f>TEXT(Table3[[#This Row],[usage_date]],"mmmm")</f>
        <v>April</v>
      </c>
      <c r="E1350" s="9">
        <f>YEAR(Table3[[#This Row],[usage_date]])</f>
        <v>2022</v>
      </c>
      <c r="F1350" s="14">
        <v>1.91</v>
      </c>
      <c r="G1350">
        <v>61</v>
      </c>
      <c r="H1350" t="s">
        <v>13</v>
      </c>
      <c r="I1350" t="str">
        <f t="shared" si="21"/>
        <v>Normal Usage</v>
      </c>
    </row>
    <row r="1351" spans="1:9" x14ac:dyDescent="0.3">
      <c r="A1351">
        <v>11350</v>
      </c>
      <c r="B1351">
        <v>355</v>
      </c>
      <c r="C1351" s="2">
        <v>45235</v>
      </c>
      <c r="D1351" s="2" t="str">
        <f>TEXT(Table3[[#This Row],[usage_date]],"mmmm")</f>
        <v>November</v>
      </c>
      <c r="E1351" s="9">
        <f>YEAR(Table3[[#This Row],[usage_date]])</f>
        <v>2023</v>
      </c>
      <c r="F1351" s="14">
        <v>0.55000000000000004</v>
      </c>
      <c r="G1351">
        <v>200</v>
      </c>
      <c r="H1351" t="s">
        <v>12</v>
      </c>
      <c r="I1351" t="str">
        <f t="shared" si="21"/>
        <v>Normal Usage</v>
      </c>
    </row>
    <row r="1352" spans="1:9" x14ac:dyDescent="0.3">
      <c r="A1352">
        <v>11351</v>
      </c>
      <c r="B1352">
        <v>424</v>
      </c>
      <c r="C1352" s="2">
        <v>45271</v>
      </c>
      <c r="D1352" s="2" t="str">
        <f>TEXT(Table3[[#This Row],[usage_date]],"mmmm")</f>
        <v>December</v>
      </c>
      <c r="E1352" s="9">
        <f>YEAR(Table3[[#This Row],[usage_date]])</f>
        <v>2023</v>
      </c>
      <c r="F1352" s="14">
        <v>1.78</v>
      </c>
      <c r="G1352">
        <v>8</v>
      </c>
      <c r="H1352" t="s">
        <v>12</v>
      </c>
      <c r="I1352" t="str">
        <f t="shared" si="21"/>
        <v>Normal Usage</v>
      </c>
    </row>
    <row r="1353" spans="1:9" x14ac:dyDescent="0.3">
      <c r="A1353">
        <v>11352</v>
      </c>
      <c r="B1353">
        <v>142</v>
      </c>
      <c r="C1353" s="2">
        <v>45059</v>
      </c>
      <c r="D1353" s="2" t="str">
        <f>TEXT(Table3[[#This Row],[usage_date]],"mmmm")</f>
        <v>May</v>
      </c>
      <c r="E1353" s="9">
        <f>YEAR(Table3[[#This Row],[usage_date]])</f>
        <v>2023</v>
      </c>
      <c r="F1353" s="14">
        <v>0.43</v>
      </c>
      <c r="G1353">
        <v>70</v>
      </c>
      <c r="H1353" t="s">
        <v>12</v>
      </c>
      <c r="I1353" t="str">
        <f t="shared" si="21"/>
        <v>Normal Usage</v>
      </c>
    </row>
    <row r="1354" spans="1:9" x14ac:dyDescent="0.3">
      <c r="A1354">
        <v>11353</v>
      </c>
      <c r="B1354">
        <v>291</v>
      </c>
      <c r="C1354" s="2">
        <v>45047</v>
      </c>
      <c r="D1354" s="2" t="str">
        <f>TEXT(Table3[[#This Row],[usage_date]],"mmmm")</f>
        <v>May</v>
      </c>
      <c r="E1354" s="9">
        <f>YEAR(Table3[[#This Row],[usage_date]])</f>
        <v>2023</v>
      </c>
      <c r="F1354" s="14">
        <v>2.78</v>
      </c>
      <c r="G1354">
        <v>89</v>
      </c>
      <c r="H1354" t="s">
        <v>12</v>
      </c>
      <c r="I1354" t="str">
        <f t="shared" si="21"/>
        <v>Normal Usage</v>
      </c>
    </row>
    <row r="1355" spans="1:9" x14ac:dyDescent="0.3">
      <c r="A1355">
        <v>11354</v>
      </c>
      <c r="B1355">
        <v>432</v>
      </c>
      <c r="C1355" s="2">
        <v>44606</v>
      </c>
      <c r="D1355" s="2" t="str">
        <f>TEXT(Table3[[#This Row],[usage_date]],"mmmm")</f>
        <v>February</v>
      </c>
      <c r="E1355" s="9">
        <f>YEAR(Table3[[#This Row],[usage_date]])</f>
        <v>2022</v>
      </c>
      <c r="F1355" s="14">
        <v>3.51</v>
      </c>
      <c r="G1355">
        <v>23</v>
      </c>
      <c r="H1355" t="s">
        <v>12</v>
      </c>
      <c r="I1355" t="str">
        <f t="shared" si="21"/>
        <v>Normal Usage</v>
      </c>
    </row>
    <row r="1356" spans="1:9" x14ac:dyDescent="0.3">
      <c r="A1356">
        <v>11355</v>
      </c>
      <c r="B1356">
        <v>237</v>
      </c>
      <c r="C1356" s="2">
        <v>44875</v>
      </c>
      <c r="D1356" s="2" t="str">
        <f>TEXT(Table3[[#This Row],[usage_date]],"mmmm")</f>
        <v>November</v>
      </c>
      <c r="E1356" s="9">
        <f>YEAR(Table3[[#This Row],[usage_date]])</f>
        <v>2022</v>
      </c>
      <c r="F1356" s="14">
        <v>0.28999999999999998</v>
      </c>
      <c r="G1356">
        <v>139</v>
      </c>
      <c r="H1356" t="s">
        <v>13</v>
      </c>
      <c r="I1356" t="str">
        <f t="shared" si="21"/>
        <v>Normal Usage</v>
      </c>
    </row>
    <row r="1357" spans="1:9" x14ac:dyDescent="0.3">
      <c r="A1357">
        <v>11356</v>
      </c>
      <c r="B1357">
        <v>340</v>
      </c>
      <c r="C1357" s="2">
        <v>44740</v>
      </c>
      <c r="D1357" s="2" t="str">
        <f>TEXT(Table3[[#This Row],[usage_date]],"mmmm")</f>
        <v>June</v>
      </c>
      <c r="E1357" s="9">
        <f>YEAR(Table3[[#This Row],[usage_date]])</f>
        <v>2022</v>
      </c>
      <c r="F1357" s="14">
        <v>1.58</v>
      </c>
      <c r="G1357">
        <v>77</v>
      </c>
      <c r="H1357" t="s">
        <v>12</v>
      </c>
      <c r="I1357" t="str">
        <f t="shared" si="21"/>
        <v>Normal Usage</v>
      </c>
    </row>
    <row r="1358" spans="1:9" x14ac:dyDescent="0.3">
      <c r="A1358">
        <v>11357</v>
      </c>
      <c r="B1358">
        <v>312</v>
      </c>
      <c r="C1358" s="2">
        <v>45455</v>
      </c>
      <c r="D1358" s="2" t="str">
        <f>TEXT(Table3[[#This Row],[usage_date]],"mmmm")</f>
        <v>June</v>
      </c>
      <c r="E1358" s="9">
        <f>YEAR(Table3[[#This Row],[usage_date]])</f>
        <v>2024</v>
      </c>
      <c r="F1358" s="14">
        <v>0.18</v>
      </c>
      <c r="G1358">
        <v>213</v>
      </c>
      <c r="H1358" t="s">
        <v>12</v>
      </c>
      <c r="I1358" t="str">
        <f t="shared" si="21"/>
        <v>Normal Usage</v>
      </c>
    </row>
    <row r="1359" spans="1:9" x14ac:dyDescent="0.3">
      <c r="A1359">
        <v>11358</v>
      </c>
      <c r="B1359">
        <v>177</v>
      </c>
      <c r="C1359" s="2">
        <v>44979</v>
      </c>
      <c r="D1359" s="2" t="str">
        <f>TEXT(Table3[[#This Row],[usage_date]],"mmmm")</f>
        <v>February</v>
      </c>
      <c r="E1359" s="9">
        <f>YEAR(Table3[[#This Row],[usage_date]])</f>
        <v>2023</v>
      </c>
      <c r="F1359" s="14">
        <v>2.2799999999999998</v>
      </c>
      <c r="G1359">
        <v>15</v>
      </c>
      <c r="H1359" t="s">
        <v>12</v>
      </c>
      <c r="I1359" t="str">
        <f t="shared" si="21"/>
        <v>Normal Usage</v>
      </c>
    </row>
    <row r="1360" spans="1:9" x14ac:dyDescent="0.3">
      <c r="A1360">
        <v>11359</v>
      </c>
      <c r="B1360">
        <v>141</v>
      </c>
      <c r="C1360" s="2">
        <v>45117</v>
      </c>
      <c r="D1360" s="2" t="str">
        <f>TEXT(Table3[[#This Row],[usage_date]],"mmmm")</f>
        <v>July</v>
      </c>
      <c r="E1360" s="9">
        <f>YEAR(Table3[[#This Row],[usage_date]])</f>
        <v>2023</v>
      </c>
      <c r="F1360" s="14">
        <v>0.77</v>
      </c>
      <c r="G1360">
        <v>28</v>
      </c>
      <c r="H1360" t="s">
        <v>12</v>
      </c>
      <c r="I1360" t="str">
        <f t="shared" si="21"/>
        <v>Normal Usage</v>
      </c>
    </row>
    <row r="1361" spans="1:9" x14ac:dyDescent="0.3">
      <c r="A1361">
        <v>11360</v>
      </c>
      <c r="B1361">
        <v>189</v>
      </c>
      <c r="C1361" s="2">
        <v>45344</v>
      </c>
      <c r="D1361" s="2" t="str">
        <f>TEXT(Table3[[#This Row],[usage_date]],"mmmm")</f>
        <v>February</v>
      </c>
      <c r="E1361" s="9">
        <f>YEAR(Table3[[#This Row],[usage_date]])</f>
        <v>2024</v>
      </c>
      <c r="F1361" s="14">
        <v>1.87</v>
      </c>
      <c r="G1361">
        <v>290</v>
      </c>
      <c r="H1361" t="s">
        <v>12</v>
      </c>
      <c r="I1361" t="str">
        <f t="shared" si="21"/>
        <v>Normal Usage</v>
      </c>
    </row>
    <row r="1362" spans="1:9" x14ac:dyDescent="0.3">
      <c r="A1362">
        <v>11361</v>
      </c>
      <c r="B1362">
        <v>486</v>
      </c>
      <c r="C1362" s="2">
        <v>44639</v>
      </c>
      <c r="D1362" s="2" t="str">
        <f>TEXT(Table3[[#This Row],[usage_date]],"mmmm")</f>
        <v>March</v>
      </c>
      <c r="E1362" s="9">
        <f>YEAR(Table3[[#This Row],[usage_date]])</f>
        <v>2022</v>
      </c>
      <c r="F1362" s="14">
        <v>1.82</v>
      </c>
      <c r="G1362">
        <v>42</v>
      </c>
      <c r="H1362" t="s">
        <v>12</v>
      </c>
      <c r="I1362" t="str">
        <f t="shared" si="21"/>
        <v>Normal Usage</v>
      </c>
    </row>
    <row r="1363" spans="1:9" x14ac:dyDescent="0.3">
      <c r="A1363">
        <v>11362</v>
      </c>
      <c r="B1363">
        <v>49</v>
      </c>
      <c r="C1363" s="2">
        <v>44887</v>
      </c>
      <c r="D1363" s="2" t="str">
        <f>TEXT(Table3[[#This Row],[usage_date]],"mmmm")</f>
        <v>November</v>
      </c>
      <c r="E1363" s="9">
        <f>YEAR(Table3[[#This Row],[usage_date]])</f>
        <v>2022</v>
      </c>
      <c r="F1363" s="14">
        <v>6.45</v>
      </c>
      <c r="G1363">
        <v>52</v>
      </c>
      <c r="H1363" t="s">
        <v>12</v>
      </c>
      <c r="I1363" t="str">
        <f t="shared" si="21"/>
        <v>High Usage</v>
      </c>
    </row>
    <row r="1364" spans="1:9" x14ac:dyDescent="0.3">
      <c r="A1364">
        <v>11363</v>
      </c>
      <c r="B1364">
        <v>302</v>
      </c>
      <c r="C1364" s="2">
        <v>45251</v>
      </c>
      <c r="D1364" s="2" t="str">
        <f>TEXT(Table3[[#This Row],[usage_date]],"mmmm")</f>
        <v>November</v>
      </c>
      <c r="E1364" s="9">
        <f>YEAR(Table3[[#This Row],[usage_date]])</f>
        <v>2023</v>
      </c>
      <c r="F1364" s="14">
        <v>1.99</v>
      </c>
      <c r="G1364">
        <v>275</v>
      </c>
      <c r="H1364" t="s">
        <v>13</v>
      </c>
      <c r="I1364" t="str">
        <f t="shared" si="21"/>
        <v>Normal Usage</v>
      </c>
    </row>
    <row r="1365" spans="1:9" x14ac:dyDescent="0.3">
      <c r="A1365">
        <v>11364</v>
      </c>
      <c r="B1365">
        <v>369</v>
      </c>
      <c r="C1365" s="2">
        <v>44918</v>
      </c>
      <c r="D1365" s="2" t="str">
        <f>TEXT(Table3[[#This Row],[usage_date]],"mmmm")</f>
        <v>December</v>
      </c>
      <c r="E1365" s="9">
        <f>YEAR(Table3[[#This Row],[usage_date]])</f>
        <v>2022</v>
      </c>
      <c r="F1365" s="14">
        <v>2.19</v>
      </c>
      <c r="G1365">
        <v>231</v>
      </c>
      <c r="H1365" t="s">
        <v>12</v>
      </c>
      <c r="I1365" t="str">
        <f t="shared" si="21"/>
        <v>Normal Usage</v>
      </c>
    </row>
    <row r="1366" spans="1:9" x14ac:dyDescent="0.3">
      <c r="A1366">
        <v>11365</v>
      </c>
      <c r="B1366">
        <v>190</v>
      </c>
      <c r="C1366" s="2">
        <v>44977</v>
      </c>
      <c r="D1366" s="2" t="str">
        <f>TEXT(Table3[[#This Row],[usage_date]],"mmmm")</f>
        <v>February</v>
      </c>
      <c r="E1366" s="9">
        <f>YEAR(Table3[[#This Row],[usage_date]])</f>
        <v>2023</v>
      </c>
      <c r="F1366" s="14">
        <v>1.28</v>
      </c>
      <c r="G1366">
        <v>211</v>
      </c>
      <c r="H1366" t="s">
        <v>12</v>
      </c>
      <c r="I1366" t="str">
        <f t="shared" si="21"/>
        <v>Normal Usage</v>
      </c>
    </row>
    <row r="1367" spans="1:9" x14ac:dyDescent="0.3">
      <c r="A1367">
        <v>11366</v>
      </c>
      <c r="B1367">
        <v>136</v>
      </c>
      <c r="C1367" s="2">
        <v>45076</v>
      </c>
      <c r="D1367" s="2" t="str">
        <f>TEXT(Table3[[#This Row],[usage_date]],"mmmm")</f>
        <v>May</v>
      </c>
      <c r="E1367" s="9">
        <f>YEAR(Table3[[#This Row],[usage_date]])</f>
        <v>2023</v>
      </c>
      <c r="F1367" s="14">
        <v>7.44</v>
      </c>
      <c r="G1367">
        <v>7</v>
      </c>
      <c r="H1367" t="s">
        <v>12</v>
      </c>
      <c r="I1367" t="str">
        <f t="shared" si="21"/>
        <v>High Usage</v>
      </c>
    </row>
    <row r="1368" spans="1:9" x14ac:dyDescent="0.3">
      <c r="A1368">
        <v>11367</v>
      </c>
      <c r="B1368">
        <v>43</v>
      </c>
      <c r="C1368" s="2">
        <v>44775</v>
      </c>
      <c r="D1368" s="2" t="str">
        <f>TEXT(Table3[[#This Row],[usage_date]],"mmmm")</f>
        <v>August</v>
      </c>
      <c r="E1368" s="9">
        <f>YEAR(Table3[[#This Row],[usage_date]])</f>
        <v>2022</v>
      </c>
      <c r="F1368" s="14">
        <v>3.75</v>
      </c>
      <c r="G1368">
        <v>121</v>
      </c>
      <c r="H1368" t="s">
        <v>12</v>
      </c>
      <c r="I1368" t="str">
        <f t="shared" si="21"/>
        <v>Normal Usage</v>
      </c>
    </row>
    <row r="1369" spans="1:9" x14ac:dyDescent="0.3">
      <c r="A1369">
        <v>11368</v>
      </c>
      <c r="B1369">
        <v>404</v>
      </c>
      <c r="C1369" s="2">
        <v>45415</v>
      </c>
      <c r="D1369" s="2" t="str">
        <f>TEXT(Table3[[#This Row],[usage_date]],"mmmm")</f>
        <v>May</v>
      </c>
      <c r="E1369" s="9">
        <f>YEAR(Table3[[#This Row],[usage_date]])</f>
        <v>2024</v>
      </c>
      <c r="F1369" s="14">
        <v>0.84</v>
      </c>
      <c r="G1369">
        <v>41</v>
      </c>
      <c r="H1369" t="s">
        <v>12</v>
      </c>
      <c r="I1369" t="str">
        <f t="shared" si="21"/>
        <v>Normal Usage</v>
      </c>
    </row>
    <row r="1370" spans="1:9" x14ac:dyDescent="0.3">
      <c r="A1370">
        <v>11369</v>
      </c>
      <c r="B1370">
        <v>380</v>
      </c>
      <c r="C1370" s="2">
        <v>44635</v>
      </c>
      <c r="D1370" s="2" t="str">
        <f>TEXT(Table3[[#This Row],[usage_date]],"mmmm")</f>
        <v>March</v>
      </c>
      <c r="E1370" s="9">
        <f>YEAR(Table3[[#This Row],[usage_date]])</f>
        <v>2022</v>
      </c>
      <c r="F1370" s="14">
        <v>4.6500000000000004</v>
      </c>
      <c r="G1370">
        <v>232</v>
      </c>
      <c r="H1370" t="s">
        <v>12</v>
      </c>
      <c r="I1370" t="str">
        <f t="shared" si="21"/>
        <v>Normal Usage</v>
      </c>
    </row>
    <row r="1371" spans="1:9" x14ac:dyDescent="0.3">
      <c r="A1371">
        <v>11370</v>
      </c>
      <c r="B1371">
        <v>353</v>
      </c>
      <c r="C1371" s="2">
        <v>45124</v>
      </c>
      <c r="D1371" s="2" t="str">
        <f>TEXT(Table3[[#This Row],[usage_date]],"mmmm")</f>
        <v>July</v>
      </c>
      <c r="E1371" s="9">
        <f>YEAR(Table3[[#This Row],[usage_date]])</f>
        <v>2023</v>
      </c>
      <c r="F1371" s="14">
        <v>1.42</v>
      </c>
      <c r="G1371">
        <v>69</v>
      </c>
      <c r="H1371" t="s">
        <v>13</v>
      </c>
      <c r="I1371" t="str">
        <f t="shared" si="21"/>
        <v>Normal Usage</v>
      </c>
    </row>
    <row r="1372" spans="1:9" x14ac:dyDescent="0.3">
      <c r="A1372">
        <v>11371</v>
      </c>
      <c r="B1372">
        <v>90</v>
      </c>
      <c r="C1372" s="2">
        <v>45140</v>
      </c>
      <c r="D1372" s="2" t="str">
        <f>TEXT(Table3[[#This Row],[usage_date]],"mmmm")</f>
        <v>August</v>
      </c>
      <c r="E1372" s="9">
        <f>YEAR(Table3[[#This Row],[usage_date]])</f>
        <v>2023</v>
      </c>
      <c r="F1372" s="14">
        <v>4.41</v>
      </c>
      <c r="G1372">
        <v>15</v>
      </c>
      <c r="H1372" t="s">
        <v>12</v>
      </c>
      <c r="I1372" t="str">
        <f t="shared" si="21"/>
        <v>Normal Usage</v>
      </c>
    </row>
    <row r="1373" spans="1:9" x14ac:dyDescent="0.3">
      <c r="A1373">
        <v>11372</v>
      </c>
      <c r="B1373">
        <v>295</v>
      </c>
      <c r="C1373" s="2">
        <v>45070</v>
      </c>
      <c r="D1373" s="2" t="str">
        <f>TEXT(Table3[[#This Row],[usage_date]],"mmmm")</f>
        <v>May</v>
      </c>
      <c r="E1373" s="9">
        <f>YEAR(Table3[[#This Row],[usage_date]])</f>
        <v>2023</v>
      </c>
      <c r="F1373" s="14">
        <v>4.33</v>
      </c>
      <c r="G1373">
        <v>68</v>
      </c>
      <c r="H1373" t="s">
        <v>12</v>
      </c>
      <c r="I1373" t="str">
        <f t="shared" si="21"/>
        <v>Normal Usage</v>
      </c>
    </row>
    <row r="1374" spans="1:9" x14ac:dyDescent="0.3">
      <c r="A1374">
        <v>11373</v>
      </c>
      <c r="B1374">
        <v>341</v>
      </c>
      <c r="C1374" s="2">
        <v>44893</v>
      </c>
      <c r="D1374" s="2" t="str">
        <f>TEXT(Table3[[#This Row],[usage_date]],"mmmm")</f>
        <v>November</v>
      </c>
      <c r="E1374" s="9">
        <f>YEAR(Table3[[#This Row],[usage_date]])</f>
        <v>2022</v>
      </c>
      <c r="F1374" s="14">
        <v>0.52</v>
      </c>
      <c r="G1374">
        <v>52</v>
      </c>
      <c r="H1374" t="s">
        <v>12</v>
      </c>
      <c r="I1374" t="str">
        <f t="shared" si="21"/>
        <v>Normal Usage</v>
      </c>
    </row>
    <row r="1375" spans="1:9" x14ac:dyDescent="0.3">
      <c r="A1375">
        <v>11374</v>
      </c>
      <c r="B1375">
        <v>245</v>
      </c>
      <c r="C1375" s="2">
        <v>44654</v>
      </c>
      <c r="D1375" s="2" t="str">
        <f>TEXT(Table3[[#This Row],[usage_date]],"mmmm")</f>
        <v>April</v>
      </c>
      <c r="E1375" s="9">
        <f>YEAR(Table3[[#This Row],[usage_date]])</f>
        <v>2022</v>
      </c>
      <c r="F1375" s="14">
        <v>3.02</v>
      </c>
      <c r="G1375">
        <v>172</v>
      </c>
      <c r="H1375" t="s">
        <v>13</v>
      </c>
      <c r="I1375" t="str">
        <f t="shared" si="21"/>
        <v>Normal Usage</v>
      </c>
    </row>
    <row r="1376" spans="1:9" x14ac:dyDescent="0.3">
      <c r="A1376">
        <v>11375</v>
      </c>
      <c r="B1376">
        <v>433</v>
      </c>
      <c r="C1376" s="2">
        <v>45249</v>
      </c>
      <c r="D1376" s="2" t="str">
        <f>TEXT(Table3[[#This Row],[usage_date]],"mmmm")</f>
        <v>November</v>
      </c>
      <c r="E1376" s="9">
        <f>YEAR(Table3[[#This Row],[usage_date]])</f>
        <v>2023</v>
      </c>
      <c r="F1376" s="14">
        <v>0.86</v>
      </c>
      <c r="G1376">
        <v>261</v>
      </c>
      <c r="H1376" t="s">
        <v>12</v>
      </c>
      <c r="I1376" t="str">
        <f t="shared" si="21"/>
        <v>Normal Usage</v>
      </c>
    </row>
    <row r="1377" spans="1:9" x14ac:dyDescent="0.3">
      <c r="A1377">
        <v>11376</v>
      </c>
      <c r="B1377">
        <v>192</v>
      </c>
      <c r="C1377" s="2">
        <v>45218</v>
      </c>
      <c r="D1377" s="2" t="str">
        <f>TEXT(Table3[[#This Row],[usage_date]],"mmmm")</f>
        <v>October</v>
      </c>
      <c r="E1377" s="9">
        <f>YEAR(Table3[[#This Row],[usage_date]])</f>
        <v>2023</v>
      </c>
      <c r="F1377" s="14">
        <v>0.88</v>
      </c>
      <c r="G1377">
        <v>288</v>
      </c>
      <c r="H1377" t="s">
        <v>13</v>
      </c>
      <c r="I1377" t="str">
        <f t="shared" si="21"/>
        <v>Normal Usage</v>
      </c>
    </row>
    <row r="1378" spans="1:9" x14ac:dyDescent="0.3">
      <c r="A1378">
        <v>11377</v>
      </c>
      <c r="B1378">
        <v>318</v>
      </c>
      <c r="C1378" s="2">
        <v>45080</v>
      </c>
      <c r="D1378" s="2" t="str">
        <f>TEXT(Table3[[#This Row],[usage_date]],"mmmm")</f>
        <v>June</v>
      </c>
      <c r="E1378" s="9">
        <f>YEAR(Table3[[#This Row],[usage_date]])</f>
        <v>2023</v>
      </c>
      <c r="F1378" s="14">
        <v>0.88</v>
      </c>
      <c r="G1378">
        <v>14</v>
      </c>
      <c r="H1378" t="s">
        <v>12</v>
      </c>
      <c r="I1378" t="str">
        <f t="shared" si="21"/>
        <v>Normal Usage</v>
      </c>
    </row>
    <row r="1379" spans="1:9" x14ac:dyDescent="0.3">
      <c r="A1379">
        <v>11378</v>
      </c>
      <c r="B1379">
        <v>106</v>
      </c>
      <c r="C1379" s="2">
        <v>44830</v>
      </c>
      <c r="D1379" s="2" t="str">
        <f>TEXT(Table3[[#This Row],[usage_date]],"mmmm")</f>
        <v>September</v>
      </c>
      <c r="E1379" s="9">
        <f>YEAR(Table3[[#This Row],[usage_date]])</f>
        <v>2022</v>
      </c>
      <c r="F1379" s="14">
        <v>3.23</v>
      </c>
      <c r="G1379">
        <v>269</v>
      </c>
      <c r="H1379" t="s">
        <v>12</v>
      </c>
      <c r="I1379" t="str">
        <f t="shared" si="21"/>
        <v>Normal Usage</v>
      </c>
    </row>
    <row r="1380" spans="1:9" x14ac:dyDescent="0.3">
      <c r="A1380">
        <v>11379</v>
      </c>
      <c r="B1380">
        <v>363</v>
      </c>
      <c r="C1380" s="2">
        <v>44937</v>
      </c>
      <c r="D1380" s="2" t="str">
        <f>TEXT(Table3[[#This Row],[usage_date]],"mmmm")</f>
        <v>January</v>
      </c>
      <c r="E1380" s="9">
        <f>YEAR(Table3[[#This Row],[usage_date]])</f>
        <v>2023</v>
      </c>
      <c r="F1380" s="14">
        <v>0.65</v>
      </c>
      <c r="G1380">
        <v>166</v>
      </c>
      <c r="H1380" t="s">
        <v>13</v>
      </c>
      <c r="I1380" t="str">
        <f t="shared" si="21"/>
        <v>Normal Usage</v>
      </c>
    </row>
    <row r="1381" spans="1:9" x14ac:dyDescent="0.3">
      <c r="A1381">
        <v>11380</v>
      </c>
      <c r="B1381">
        <v>310</v>
      </c>
      <c r="C1381" s="2">
        <v>45395</v>
      </c>
      <c r="D1381" s="2" t="str">
        <f>TEXT(Table3[[#This Row],[usage_date]],"mmmm")</f>
        <v>April</v>
      </c>
      <c r="E1381" s="9">
        <f>YEAR(Table3[[#This Row],[usage_date]])</f>
        <v>2024</v>
      </c>
      <c r="F1381" s="14">
        <v>0</v>
      </c>
      <c r="G1381">
        <v>62</v>
      </c>
      <c r="H1381" t="s">
        <v>13</v>
      </c>
      <c r="I1381" t="str">
        <f t="shared" si="21"/>
        <v>Normal Usage</v>
      </c>
    </row>
    <row r="1382" spans="1:9" x14ac:dyDescent="0.3">
      <c r="A1382">
        <v>11381</v>
      </c>
      <c r="B1382">
        <v>382</v>
      </c>
      <c r="C1382" s="2">
        <v>44565</v>
      </c>
      <c r="D1382" s="2" t="str">
        <f>TEXT(Table3[[#This Row],[usage_date]],"mmmm")</f>
        <v>January</v>
      </c>
      <c r="E1382" s="9">
        <f>YEAR(Table3[[#This Row],[usage_date]])</f>
        <v>2022</v>
      </c>
      <c r="F1382" s="14">
        <v>3.14</v>
      </c>
      <c r="G1382">
        <v>260</v>
      </c>
      <c r="H1382" t="s">
        <v>12</v>
      </c>
      <c r="I1382" t="str">
        <f t="shared" si="21"/>
        <v>Normal Usage</v>
      </c>
    </row>
    <row r="1383" spans="1:9" x14ac:dyDescent="0.3">
      <c r="A1383">
        <v>11382</v>
      </c>
      <c r="B1383">
        <v>233</v>
      </c>
      <c r="C1383" s="2">
        <v>44699</v>
      </c>
      <c r="D1383" s="2" t="str">
        <f>TEXT(Table3[[#This Row],[usage_date]],"mmmm")</f>
        <v>May</v>
      </c>
      <c r="E1383" s="9">
        <f>YEAR(Table3[[#This Row],[usage_date]])</f>
        <v>2022</v>
      </c>
      <c r="F1383" s="14">
        <v>0.47</v>
      </c>
      <c r="G1383">
        <v>120</v>
      </c>
      <c r="H1383" t="s">
        <v>12</v>
      </c>
      <c r="I1383" t="str">
        <f t="shared" si="21"/>
        <v>Normal Usage</v>
      </c>
    </row>
    <row r="1384" spans="1:9" x14ac:dyDescent="0.3">
      <c r="A1384">
        <v>11383</v>
      </c>
      <c r="B1384">
        <v>265</v>
      </c>
      <c r="C1384" s="2">
        <v>44792</v>
      </c>
      <c r="D1384" s="2" t="str">
        <f>TEXT(Table3[[#This Row],[usage_date]],"mmmm")</f>
        <v>August</v>
      </c>
      <c r="E1384" s="9">
        <f>YEAR(Table3[[#This Row],[usage_date]])</f>
        <v>2022</v>
      </c>
      <c r="F1384" s="14">
        <v>0.28000000000000003</v>
      </c>
      <c r="G1384">
        <v>239</v>
      </c>
      <c r="H1384" t="s">
        <v>12</v>
      </c>
      <c r="I1384" t="str">
        <f t="shared" si="21"/>
        <v>Normal Usage</v>
      </c>
    </row>
    <row r="1385" spans="1:9" x14ac:dyDescent="0.3">
      <c r="A1385">
        <v>11384</v>
      </c>
      <c r="B1385">
        <v>344</v>
      </c>
      <c r="C1385" s="2">
        <v>45161</v>
      </c>
      <c r="D1385" s="2" t="str">
        <f>TEXT(Table3[[#This Row],[usage_date]],"mmmm")</f>
        <v>August</v>
      </c>
      <c r="E1385" s="9">
        <f>YEAR(Table3[[#This Row],[usage_date]])</f>
        <v>2023</v>
      </c>
      <c r="F1385" s="14">
        <v>0.68</v>
      </c>
      <c r="G1385">
        <v>106</v>
      </c>
      <c r="H1385" t="s">
        <v>12</v>
      </c>
      <c r="I1385" t="str">
        <f t="shared" si="21"/>
        <v>Normal Usage</v>
      </c>
    </row>
    <row r="1386" spans="1:9" x14ac:dyDescent="0.3">
      <c r="A1386">
        <v>11385</v>
      </c>
      <c r="B1386">
        <v>37</v>
      </c>
      <c r="C1386" s="2">
        <v>45090</v>
      </c>
      <c r="D1386" s="2" t="str">
        <f>TEXT(Table3[[#This Row],[usage_date]],"mmmm")</f>
        <v>June</v>
      </c>
      <c r="E1386" s="9">
        <f>YEAR(Table3[[#This Row],[usage_date]])</f>
        <v>2023</v>
      </c>
      <c r="F1386" s="14">
        <v>1.19</v>
      </c>
      <c r="G1386">
        <v>179</v>
      </c>
      <c r="H1386" t="s">
        <v>13</v>
      </c>
      <c r="I1386" t="str">
        <f t="shared" si="21"/>
        <v>Normal Usage</v>
      </c>
    </row>
    <row r="1387" spans="1:9" x14ac:dyDescent="0.3">
      <c r="A1387">
        <v>11386</v>
      </c>
      <c r="B1387">
        <v>305</v>
      </c>
      <c r="C1387" s="2">
        <v>44613</v>
      </c>
      <c r="D1387" s="2" t="str">
        <f>TEXT(Table3[[#This Row],[usage_date]],"mmmm")</f>
        <v>February</v>
      </c>
      <c r="E1387" s="9">
        <f>YEAR(Table3[[#This Row],[usage_date]])</f>
        <v>2022</v>
      </c>
      <c r="F1387" s="14">
        <v>1.62</v>
      </c>
      <c r="G1387">
        <v>15</v>
      </c>
      <c r="H1387" t="s">
        <v>12</v>
      </c>
      <c r="I1387" t="str">
        <f t="shared" si="21"/>
        <v>Normal Usage</v>
      </c>
    </row>
    <row r="1388" spans="1:9" x14ac:dyDescent="0.3">
      <c r="A1388">
        <v>11387</v>
      </c>
      <c r="B1388">
        <v>41</v>
      </c>
      <c r="C1388" s="2">
        <v>45207</v>
      </c>
      <c r="D1388" s="2" t="str">
        <f>TEXT(Table3[[#This Row],[usage_date]],"mmmm")</f>
        <v>October</v>
      </c>
      <c r="E1388" s="9">
        <f>YEAR(Table3[[#This Row],[usage_date]])</f>
        <v>2023</v>
      </c>
      <c r="F1388" s="14">
        <v>0.11</v>
      </c>
      <c r="G1388">
        <v>214</v>
      </c>
      <c r="H1388" t="s">
        <v>12</v>
      </c>
      <c r="I1388" t="str">
        <f t="shared" si="21"/>
        <v>Normal Usage</v>
      </c>
    </row>
    <row r="1389" spans="1:9" x14ac:dyDescent="0.3">
      <c r="A1389">
        <v>11388</v>
      </c>
      <c r="B1389">
        <v>17</v>
      </c>
      <c r="C1389" s="2">
        <v>45284</v>
      </c>
      <c r="D1389" s="2" t="str">
        <f>TEXT(Table3[[#This Row],[usage_date]],"mmmm")</f>
        <v>December</v>
      </c>
      <c r="E1389" s="9">
        <f>YEAR(Table3[[#This Row],[usage_date]])</f>
        <v>2023</v>
      </c>
      <c r="F1389" s="14">
        <v>8.81</v>
      </c>
      <c r="G1389">
        <v>76</v>
      </c>
      <c r="H1389" t="s">
        <v>13</v>
      </c>
      <c r="I1389" t="str">
        <f t="shared" si="21"/>
        <v>High Usage</v>
      </c>
    </row>
    <row r="1390" spans="1:9" x14ac:dyDescent="0.3">
      <c r="A1390">
        <v>11389</v>
      </c>
      <c r="B1390">
        <v>344</v>
      </c>
      <c r="C1390" s="2">
        <v>44886</v>
      </c>
      <c r="D1390" s="2" t="str">
        <f>TEXT(Table3[[#This Row],[usage_date]],"mmmm")</f>
        <v>November</v>
      </c>
      <c r="E1390" s="9">
        <f>YEAR(Table3[[#This Row],[usage_date]])</f>
        <v>2022</v>
      </c>
      <c r="F1390" s="14">
        <v>3.15</v>
      </c>
      <c r="G1390">
        <v>224</v>
      </c>
      <c r="H1390" t="s">
        <v>12</v>
      </c>
      <c r="I1390" t="str">
        <f t="shared" si="21"/>
        <v>Normal Usage</v>
      </c>
    </row>
    <row r="1391" spans="1:9" x14ac:dyDescent="0.3">
      <c r="A1391">
        <v>11390</v>
      </c>
      <c r="B1391">
        <v>277</v>
      </c>
      <c r="C1391" s="2">
        <v>45292</v>
      </c>
      <c r="D1391" s="2" t="str">
        <f>TEXT(Table3[[#This Row],[usage_date]],"mmmm")</f>
        <v>January</v>
      </c>
      <c r="E1391" s="9">
        <f>YEAR(Table3[[#This Row],[usage_date]])</f>
        <v>2024</v>
      </c>
      <c r="F1391" s="14">
        <v>0.98</v>
      </c>
      <c r="G1391">
        <v>92</v>
      </c>
      <c r="H1391" t="s">
        <v>12</v>
      </c>
      <c r="I1391" t="str">
        <f t="shared" si="21"/>
        <v>Normal Usage</v>
      </c>
    </row>
    <row r="1392" spans="1:9" x14ac:dyDescent="0.3">
      <c r="A1392">
        <v>11391</v>
      </c>
      <c r="B1392">
        <v>307</v>
      </c>
      <c r="C1392" s="2">
        <v>45278</v>
      </c>
      <c r="D1392" s="2" t="str">
        <f>TEXT(Table3[[#This Row],[usage_date]],"mmmm")</f>
        <v>December</v>
      </c>
      <c r="E1392" s="9">
        <f>YEAR(Table3[[#This Row],[usage_date]])</f>
        <v>2023</v>
      </c>
      <c r="F1392" s="14">
        <v>0.96</v>
      </c>
      <c r="G1392">
        <v>180</v>
      </c>
      <c r="H1392" t="s">
        <v>13</v>
      </c>
      <c r="I1392" t="str">
        <f t="shared" si="21"/>
        <v>Normal Usage</v>
      </c>
    </row>
    <row r="1393" spans="1:9" x14ac:dyDescent="0.3">
      <c r="A1393">
        <v>11392</v>
      </c>
      <c r="B1393">
        <v>59</v>
      </c>
      <c r="C1393" s="2">
        <v>45284</v>
      </c>
      <c r="D1393" s="2" t="str">
        <f>TEXT(Table3[[#This Row],[usage_date]],"mmmm")</f>
        <v>December</v>
      </c>
      <c r="E1393" s="9">
        <f>YEAR(Table3[[#This Row],[usage_date]])</f>
        <v>2023</v>
      </c>
      <c r="F1393" s="14">
        <v>1.49</v>
      </c>
      <c r="G1393">
        <v>173</v>
      </c>
      <c r="H1393" t="s">
        <v>12</v>
      </c>
      <c r="I1393" t="str">
        <f t="shared" si="21"/>
        <v>Normal Usage</v>
      </c>
    </row>
    <row r="1394" spans="1:9" x14ac:dyDescent="0.3">
      <c r="A1394">
        <v>11393</v>
      </c>
      <c r="B1394">
        <v>423</v>
      </c>
      <c r="C1394" s="2">
        <v>44838</v>
      </c>
      <c r="D1394" s="2" t="str">
        <f>TEXT(Table3[[#This Row],[usage_date]],"mmmm")</f>
        <v>October</v>
      </c>
      <c r="E1394" s="9">
        <f>YEAR(Table3[[#This Row],[usage_date]])</f>
        <v>2022</v>
      </c>
      <c r="F1394" s="14">
        <v>2.46</v>
      </c>
      <c r="G1394">
        <v>218</v>
      </c>
      <c r="H1394" t="s">
        <v>12</v>
      </c>
      <c r="I1394" t="str">
        <f t="shared" si="21"/>
        <v>Normal Usage</v>
      </c>
    </row>
    <row r="1395" spans="1:9" x14ac:dyDescent="0.3">
      <c r="A1395">
        <v>11394</v>
      </c>
      <c r="B1395">
        <v>183</v>
      </c>
      <c r="C1395" s="2">
        <v>45097</v>
      </c>
      <c r="D1395" s="2" t="str">
        <f>TEXT(Table3[[#This Row],[usage_date]],"mmmm")</f>
        <v>June</v>
      </c>
      <c r="E1395" s="9">
        <f>YEAR(Table3[[#This Row],[usage_date]])</f>
        <v>2023</v>
      </c>
      <c r="F1395" s="14">
        <v>0.4</v>
      </c>
      <c r="G1395">
        <v>142</v>
      </c>
      <c r="H1395" t="s">
        <v>12</v>
      </c>
      <c r="I1395" t="str">
        <f t="shared" si="21"/>
        <v>Normal Usage</v>
      </c>
    </row>
    <row r="1396" spans="1:9" x14ac:dyDescent="0.3">
      <c r="A1396">
        <v>11395</v>
      </c>
      <c r="B1396">
        <v>41</v>
      </c>
      <c r="C1396" s="2">
        <v>45047</v>
      </c>
      <c r="D1396" s="2" t="str">
        <f>TEXT(Table3[[#This Row],[usage_date]],"mmmm")</f>
        <v>May</v>
      </c>
      <c r="E1396" s="9">
        <f>YEAR(Table3[[#This Row],[usage_date]])</f>
        <v>2023</v>
      </c>
      <c r="F1396" s="14">
        <v>0.52</v>
      </c>
      <c r="G1396">
        <v>281</v>
      </c>
      <c r="H1396" t="s">
        <v>12</v>
      </c>
      <c r="I1396" t="str">
        <f t="shared" si="21"/>
        <v>Normal Usage</v>
      </c>
    </row>
    <row r="1397" spans="1:9" x14ac:dyDescent="0.3">
      <c r="A1397">
        <v>11396</v>
      </c>
      <c r="B1397">
        <v>39</v>
      </c>
      <c r="C1397" s="2">
        <v>45077</v>
      </c>
      <c r="D1397" s="2" t="str">
        <f>TEXT(Table3[[#This Row],[usage_date]],"mmmm")</f>
        <v>May</v>
      </c>
      <c r="E1397" s="9">
        <f>YEAR(Table3[[#This Row],[usage_date]])</f>
        <v>2023</v>
      </c>
      <c r="F1397" s="14">
        <v>4.91</v>
      </c>
      <c r="G1397">
        <v>258</v>
      </c>
      <c r="H1397" t="s">
        <v>12</v>
      </c>
      <c r="I1397" t="str">
        <f t="shared" si="21"/>
        <v>Normal Usage</v>
      </c>
    </row>
    <row r="1398" spans="1:9" x14ac:dyDescent="0.3">
      <c r="A1398">
        <v>11397</v>
      </c>
      <c r="B1398">
        <v>397</v>
      </c>
      <c r="C1398" s="2">
        <v>44713</v>
      </c>
      <c r="D1398" s="2" t="str">
        <f>TEXT(Table3[[#This Row],[usage_date]],"mmmm")</f>
        <v>June</v>
      </c>
      <c r="E1398" s="9">
        <f>YEAR(Table3[[#This Row],[usage_date]])</f>
        <v>2022</v>
      </c>
      <c r="F1398" s="14">
        <v>0.74</v>
      </c>
      <c r="G1398">
        <v>46</v>
      </c>
      <c r="H1398" t="s">
        <v>12</v>
      </c>
      <c r="I1398" t="str">
        <f t="shared" si="21"/>
        <v>Normal Usage</v>
      </c>
    </row>
    <row r="1399" spans="1:9" x14ac:dyDescent="0.3">
      <c r="A1399">
        <v>11398</v>
      </c>
      <c r="B1399">
        <v>192</v>
      </c>
      <c r="C1399" s="2">
        <v>45044</v>
      </c>
      <c r="D1399" s="2" t="str">
        <f>TEXT(Table3[[#This Row],[usage_date]],"mmmm")</f>
        <v>April</v>
      </c>
      <c r="E1399" s="9">
        <f>YEAR(Table3[[#This Row],[usage_date]])</f>
        <v>2023</v>
      </c>
      <c r="F1399" s="14">
        <v>1.2</v>
      </c>
      <c r="G1399">
        <v>4</v>
      </c>
      <c r="H1399" t="s">
        <v>13</v>
      </c>
      <c r="I1399" t="str">
        <f t="shared" si="21"/>
        <v>Normal Usage</v>
      </c>
    </row>
    <row r="1400" spans="1:9" x14ac:dyDescent="0.3">
      <c r="A1400">
        <v>11399</v>
      </c>
      <c r="B1400">
        <v>267</v>
      </c>
      <c r="C1400" s="2">
        <v>44820</v>
      </c>
      <c r="D1400" s="2" t="str">
        <f>TEXT(Table3[[#This Row],[usage_date]],"mmmm")</f>
        <v>September</v>
      </c>
      <c r="E1400" s="9">
        <f>YEAR(Table3[[#This Row],[usage_date]])</f>
        <v>2022</v>
      </c>
      <c r="F1400" s="14">
        <v>5.13</v>
      </c>
      <c r="G1400">
        <v>61</v>
      </c>
      <c r="H1400" t="s">
        <v>13</v>
      </c>
      <c r="I1400" t="str">
        <f t="shared" si="21"/>
        <v>Normal Usage</v>
      </c>
    </row>
    <row r="1401" spans="1:9" x14ac:dyDescent="0.3">
      <c r="A1401">
        <v>11400</v>
      </c>
      <c r="B1401">
        <v>494</v>
      </c>
      <c r="C1401" s="2">
        <v>44885</v>
      </c>
      <c r="D1401" s="2" t="str">
        <f>TEXT(Table3[[#This Row],[usage_date]],"mmmm")</f>
        <v>November</v>
      </c>
      <c r="E1401" s="9">
        <f>YEAR(Table3[[#This Row],[usage_date]])</f>
        <v>2022</v>
      </c>
      <c r="F1401" s="14">
        <v>2.72</v>
      </c>
      <c r="G1401">
        <v>83</v>
      </c>
      <c r="H1401" t="s">
        <v>13</v>
      </c>
      <c r="I1401" t="str">
        <f t="shared" si="21"/>
        <v>Normal Usage</v>
      </c>
    </row>
    <row r="1402" spans="1:9" x14ac:dyDescent="0.3">
      <c r="A1402">
        <v>11401</v>
      </c>
      <c r="B1402">
        <v>147</v>
      </c>
      <c r="C1402" s="2">
        <v>45430</v>
      </c>
      <c r="D1402" s="2" t="str">
        <f>TEXT(Table3[[#This Row],[usage_date]],"mmmm")</f>
        <v>May</v>
      </c>
      <c r="E1402" s="9">
        <f>YEAR(Table3[[#This Row],[usage_date]])</f>
        <v>2024</v>
      </c>
      <c r="F1402" s="14">
        <v>1.05</v>
      </c>
      <c r="G1402">
        <v>132</v>
      </c>
      <c r="H1402" t="s">
        <v>12</v>
      </c>
      <c r="I1402" t="str">
        <f t="shared" si="21"/>
        <v>Normal Usage</v>
      </c>
    </row>
    <row r="1403" spans="1:9" x14ac:dyDescent="0.3">
      <c r="A1403">
        <v>11402</v>
      </c>
      <c r="B1403">
        <v>395</v>
      </c>
      <c r="C1403" s="2">
        <v>44729</v>
      </c>
      <c r="D1403" s="2" t="str">
        <f>TEXT(Table3[[#This Row],[usage_date]],"mmmm")</f>
        <v>June</v>
      </c>
      <c r="E1403" s="9">
        <f>YEAR(Table3[[#This Row],[usage_date]])</f>
        <v>2022</v>
      </c>
      <c r="F1403" s="14">
        <v>2.88</v>
      </c>
      <c r="G1403">
        <v>62</v>
      </c>
      <c r="H1403" t="s">
        <v>13</v>
      </c>
      <c r="I1403" t="str">
        <f t="shared" si="21"/>
        <v>Normal Usage</v>
      </c>
    </row>
    <row r="1404" spans="1:9" x14ac:dyDescent="0.3">
      <c r="A1404">
        <v>11403</v>
      </c>
      <c r="B1404">
        <v>333</v>
      </c>
      <c r="C1404" s="2">
        <v>45249</v>
      </c>
      <c r="D1404" s="2" t="str">
        <f>TEXT(Table3[[#This Row],[usage_date]],"mmmm")</f>
        <v>November</v>
      </c>
      <c r="E1404" s="9">
        <f>YEAR(Table3[[#This Row],[usage_date]])</f>
        <v>2023</v>
      </c>
      <c r="F1404" s="14">
        <v>0.05</v>
      </c>
      <c r="G1404">
        <v>280</v>
      </c>
      <c r="H1404" t="s">
        <v>12</v>
      </c>
      <c r="I1404" t="str">
        <f t="shared" si="21"/>
        <v>Normal Usage</v>
      </c>
    </row>
    <row r="1405" spans="1:9" x14ac:dyDescent="0.3">
      <c r="A1405">
        <v>11404</v>
      </c>
      <c r="B1405">
        <v>127</v>
      </c>
      <c r="C1405" s="2">
        <v>44871</v>
      </c>
      <c r="D1405" s="2" t="str">
        <f>TEXT(Table3[[#This Row],[usage_date]],"mmmm")</f>
        <v>November</v>
      </c>
      <c r="E1405" s="9">
        <f>YEAR(Table3[[#This Row],[usage_date]])</f>
        <v>2022</v>
      </c>
      <c r="F1405" s="14">
        <v>3.33</v>
      </c>
      <c r="G1405">
        <v>43</v>
      </c>
      <c r="H1405" t="s">
        <v>12</v>
      </c>
      <c r="I1405" t="str">
        <f t="shared" si="21"/>
        <v>Normal Usage</v>
      </c>
    </row>
    <row r="1406" spans="1:9" x14ac:dyDescent="0.3">
      <c r="A1406">
        <v>11405</v>
      </c>
      <c r="B1406">
        <v>46</v>
      </c>
      <c r="C1406" s="2">
        <v>45364</v>
      </c>
      <c r="D1406" s="2" t="str">
        <f>TEXT(Table3[[#This Row],[usage_date]],"mmmm")</f>
        <v>March</v>
      </c>
      <c r="E1406" s="9">
        <f>YEAR(Table3[[#This Row],[usage_date]])</f>
        <v>2024</v>
      </c>
      <c r="F1406" s="14">
        <v>1.67</v>
      </c>
      <c r="G1406">
        <v>152</v>
      </c>
      <c r="H1406" t="s">
        <v>13</v>
      </c>
      <c r="I1406" t="str">
        <f t="shared" si="21"/>
        <v>Normal Usage</v>
      </c>
    </row>
    <row r="1407" spans="1:9" x14ac:dyDescent="0.3">
      <c r="A1407">
        <v>11406</v>
      </c>
      <c r="B1407">
        <v>45</v>
      </c>
      <c r="C1407" s="2">
        <v>45040</v>
      </c>
      <c r="D1407" s="2" t="str">
        <f>TEXT(Table3[[#This Row],[usage_date]],"mmmm")</f>
        <v>April</v>
      </c>
      <c r="E1407" s="9">
        <f>YEAR(Table3[[#This Row],[usage_date]])</f>
        <v>2023</v>
      </c>
      <c r="F1407" s="14">
        <v>4.1900000000000004</v>
      </c>
      <c r="G1407">
        <v>269</v>
      </c>
      <c r="H1407" t="s">
        <v>12</v>
      </c>
      <c r="I1407" t="str">
        <f t="shared" si="21"/>
        <v>Normal Usage</v>
      </c>
    </row>
    <row r="1408" spans="1:9" x14ac:dyDescent="0.3">
      <c r="A1408">
        <v>11407</v>
      </c>
      <c r="B1408">
        <v>1</v>
      </c>
      <c r="C1408" s="2">
        <v>44617</v>
      </c>
      <c r="D1408" s="2" t="str">
        <f>TEXT(Table3[[#This Row],[usage_date]],"mmmm")</f>
        <v>February</v>
      </c>
      <c r="E1408" s="9">
        <f>YEAR(Table3[[#This Row],[usage_date]])</f>
        <v>2022</v>
      </c>
      <c r="F1408" s="14">
        <v>7.73</v>
      </c>
      <c r="G1408">
        <v>170</v>
      </c>
      <c r="H1408" t="s">
        <v>12</v>
      </c>
      <c r="I1408" t="str">
        <f t="shared" si="21"/>
        <v>High Usage</v>
      </c>
    </row>
    <row r="1409" spans="1:9" x14ac:dyDescent="0.3">
      <c r="A1409">
        <v>11408</v>
      </c>
      <c r="B1409">
        <v>168</v>
      </c>
      <c r="C1409" s="2">
        <v>45181</v>
      </c>
      <c r="D1409" s="2" t="str">
        <f>TEXT(Table3[[#This Row],[usage_date]],"mmmm")</f>
        <v>September</v>
      </c>
      <c r="E1409" s="9">
        <f>YEAR(Table3[[#This Row],[usage_date]])</f>
        <v>2023</v>
      </c>
      <c r="F1409" s="14">
        <v>6.5</v>
      </c>
      <c r="G1409">
        <v>155</v>
      </c>
      <c r="H1409" t="s">
        <v>13</v>
      </c>
      <c r="I1409" t="str">
        <f t="shared" si="21"/>
        <v>High Usage</v>
      </c>
    </row>
    <row r="1410" spans="1:9" x14ac:dyDescent="0.3">
      <c r="A1410">
        <v>11409</v>
      </c>
      <c r="B1410">
        <v>108</v>
      </c>
      <c r="C1410" s="2">
        <v>45034</v>
      </c>
      <c r="D1410" s="2" t="str">
        <f>TEXT(Table3[[#This Row],[usage_date]],"mmmm")</f>
        <v>April</v>
      </c>
      <c r="E1410" s="9">
        <f>YEAR(Table3[[#This Row],[usage_date]])</f>
        <v>2023</v>
      </c>
      <c r="F1410" s="14">
        <v>6</v>
      </c>
      <c r="G1410">
        <v>274</v>
      </c>
      <c r="H1410" t="s">
        <v>12</v>
      </c>
      <c r="I1410" t="str">
        <f t="shared" ref="I1410:I1473" si="22">IF(F1410&gt;6,"High Usage","Normal Usage")</f>
        <v>Normal Usage</v>
      </c>
    </row>
    <row r="1411" spans="1:9" x14ac:dyDescent="0.3">
      <c r="A1411">
        <v>11410</v>
      </c>
      <c r="B1411">
        <v>19</v>
      </c>
      <c r="C1411" s="2">
        <v>44857</v>
      </c>
      <c r="D1411" s="2" t="str">
        <f>TEXT(Table3[[#This Row],[usage_date]],"mmmm")</f>
        <v>October</v>
      </c>
      <c r="E1411" s="9">
        <f>YEAR(Table3[[#This Row],[usage_date]])</f>
        <v>2022</v>
      </c>
      <c r="F1411" s="14">
        <v>1.79</v>
      </c>
      <c r="G1411">
        <v>19</v>
      </c>
      <c r="H1411" t="s">
        <v>12</v>
      </c>
      <c r="I1411" t="str">
        <f t="shared" si="22"/>
        <v>Normal Usage</v>
      </c>
    </row>
    <row r="1412" spans="1:9" x14ac:dyDescent="0.3">
      <c r="A1412">
        <v>11411</v>
      </c>
      <c r="B1412">
        <v>332</v>
      </c>
      <c r="C1412" s="2">
        <v>45022</v>
      </c>
      <c r="D1412" s="2" t="str">
        <f>TEXT(Table3[[#This Row],[usage_date]],"mmmm")</f>
        <v>April</v>
      </c>
      <c r="E1412" s="9">
        <f>YEAR(Table3[[#This Row],[usage_date]])</f>
        <v>2023</v>
      </c>
      <c r="F1412" s="14">
        <v>1.1200000000000001</v>
      </c>
      <c r="G1412">
        <v>213</v>
      </c>
      <c r="H1412" t="s">
        <v>12</v>
      </c>
      <c r="I1412" t="str">
        <f t="shared" si="22"/>
        <v>Normal Usage</v>
      </c>
    </row>
    <row r="1413" spans="1:9" x14ac:dyDescent="0.3">
      <c r="A1413">
        <v>11412</v>
      </c>
      <c r="B1413">
        <v>72</v>
      </c>
      <c r="C1413" s="2">
        <v>44885</v>
      </c>
      <c r="D1413" s="2" t="str">
        <f>TEXT(Table3[[#This Row],[usage_date]],"mmmm")</f>
        <v>November</v>
      </c>
      <c r="E1413" s="9">
        <f>YEAR(Table3[[#This Row],[usage_date]])</f>
        <v>2022</v>
      </c>
      <c r="F1413" s="14">
        <v>1.56</v>
      </c>
      <c r="G1413">
        <v>78</v>
      </c>
      <c r="H1413" t="s">
        <v>13</v>
      </c>
      <c r="I1413" t="str">
        <f t="shared" si="22"/>
        <v>Normal Usage</v>
      </c>
    </row>
    <row r="1414" spans="1:9" x14ac:dyDescent="0.3">
      <c r="A1414">
        <v>11413</v>
      </c>
      <c r="B1414">
        <v>456</v>
      </c>
      <c r="C1414" s="2">
        <v>45375</v>
      </c>
      <c r="D1414" s="2" t="str">
        <f>TEXT(Table3[[#This Row],[usage_date]],"mmmm")</f>
        <v>March</v>
      </c>
      <c r="E1414" s="9">
        <f>YEAR(Table3[[#This Row],[usage_date]])</f>
        <v>2024</v>
      </c>
      <c r="F1414" s="14">
        <v>2.93</v>
      </c>
      <c r="G1414">
        <v>138</v>
      </c>
      <c r="H1414" t="s">
        <v>12</v>
      </c>
      <c r="I1414" t="str">
        <f t="shared" si="22"/>
        <v>Normal Usage</v>
      </c>
    </row>
    <row r="1415" spans="1:9" x14ac:dyDescent="0.3">
      <c r="A1415">
        <v>11414</v>
      </c>
      <c r="B1415">
        <v>445</v>
      </c>
      <c r="C1415" s="2">
        <v>45407</v>
      </c>
      <c r="D1415" s="2" t="str">
        <f>TEXT(Table3[[#This Row],[usage_date]],"mmmm")</f>
        <v>April</v>
      </c>
      <c r="E1415" s="9">
        <f>YEAR(Table3[[#This Row],[usage_date]])</f>
        <v>2024</v>
      </c>
      <c r="F1415" s="14">
        <v>5.39</v>
      </c>
      <c r="G1415">
        <v>97</v>
      </c>
      <c r="H1415" t="s">
        <v>12</v>
      </c>
      <c r="I1415" t="str">
        <f t="shared" si="22"/>
        <v>Normal Usage</v>
      </c>
    </row>
    <row r="1416" spans="1:9" x14ac:dyDescent="0.3">
      <c r="A1416">
        <v>11415</v>
      </c>
      <c r="B1416">
        <v>109</v>
      </c>
      <c r="C1416" s="2">
        <v>44702</v>
      </c>
      <c r="D1416" s="2" t="str">
        <f>TEXT(Table3[[#This Row],[usage_date]],"mmmm")</f>
        <v>May</v>
      </c>
      <c r="E1416" s="9">
        <f>YEAR(Table3[[#This Row],[usage_date]])</f>
        <v>2022</v>
      </c>
      <c r="F1416" s="14">
        <v>0.57999999999999996</v>
      </c>
      <c r="G1416">
        <v>151</v>
      </c>
      <c r="H1416" t="s">
        <v>12</v>
      </c>
      <c r="I1416" t="str">
        <f t="shared" si="22"/>
        <v>Normal Usage</v>
      </c>
    </row>
    <row r="1417" spans="1:9" x14ac:dyDescent="0.3">
      <c r="A1417">
        <v>11416</v>
      </c>
      <c r="B1417">
        <v>268</v>
      </c>
      <c r="C1417" s="2">
        <v>45228</v>
      </c>
      <c r="D1417" s="2" t="str">
        <f>TEXT(Table3[[#This Row],[usage_date]],"mmmm")</f>
        <v>October</v>
      </c>
      <c r="E1417" s="9">
        <f>YEAR(Table3[[#This Row],[usage_date]])</f>
        <v>2023</v>
      </c>
      <c r="F1417" s="14">
        <v>6.26</v>
      </c>
      <c r="G1417">
        <v>197</v>
      </c>
      <c r="H1417" t="s">
        <v>12</v>
      </c>
      <c r="I1417" t="str">
        <f t="shared" si="22"/>
        <v>High Usage</v>
      </c>
    </row>
    <row r="1418" spans="1:9" x14ac:dyDescent="0.3">
      <c r="A1418">
        <v>11417</v>
      </c>
      <c r="B1418">
        <v>445</v>
      </c>
      <c r="C1418" s="2">
        <v>44823</v>
      </c>
      <c r="D1418" s="2" t="str">
        <f>TEXT(Table3[[#This Row],[usage_date]],"mmmm")</f>
        <v>September</v>
      </c>
      <c r="E1418" s="9">
        <f>YEAR(Table3[[#This Row],[usage_date]])</f>
        <v>2022</v>
      </c>
      <c r="F1418" s="14">
        <v>4.22</v>
      </c>
      <c r="G1418">
        <v>272</v>
      </c>
      <c r="H1418" t="s">
        <v>13</v>
      </c>
      <c r="I1418" t="str">
        <f t="shared" si="22"/>
        <v>Normal Usage</v>
      </c>
    </row>
    <row r="1419" spans="1:9" x14ac:dyDescent="0.3">
      <c r="A1419">
        <v>11418</v>
      </c>
      <c r="B1419">
        <v>240</v>
      </c>
      <c r="C1419" s="2">
        <v>45346</v>
      </c>
      <c r="D1419" s="2" t="str">
        <f>TEXT(Table3[[#This Row],[usage_date]],"mmmm")</f>
        <v>February</v>
      </c>
      <c r="E1419" s="9">
        <f>YEAR(Table3[[#This Row],[usage_date]])</f>
        <v>2024</v>
      </c>
      <c r="F1419" s="14">
        <v>9.64</v>
      </c>
      <c r="G1419">
        <v>155</v>
      </c>
      <c r="H1419" t="s">
        <v>12</v>
      </c>
      <c r="I1419" t="str">
        <f t="shared" si="22"/>
        <v>High Usage</v>
      </c>
    </row>
    <row r="1420" spans="1:9" x14ac:dyDescent="0.3">
      <c r="A1420">
        <v>11419</v>
      </c>
      <c r="B1420">
        <v>417</v>
      </c>
      <c r="C1420" s="2">
        <v>44981</v>
      </c>
      <c r="D1420" s="2" t="str">
        <f>TEXT(Table3[[#This Row],[usage_date]],"mmmm")</f>
        <v>February</v>
      </c>
      <c r="E1420" s="9">
        <f>YEAR(Table3[[#This Row],[usage_date]])</f>
        <v>2023</v>
      </c>
      <c r="F1420" s="14">
        <v>5.31</v>
      </c>
      <c r="G1420">
        <v>49</v>
      </c>
      <c r="H1420" t="s">
        <v>12</v>
      </c>
      <c r="I1420" t="str">
        <f t="shared" si="22"/>
        <v>Normal Usage</v>
      </c>
    </row>
    <row r="1421" spans="1:9" x14ac:dyDescent="0.3">
      <c r="A1421">
        <v>11420</v>
      </c>
      <c r="B1421">
        <v>301</v>
      </c>
      <c r="C1421" s="2">
        <v>45305</v>
      </c>
      <c r="D1421" s="2" t="str">
        <f>TEXT(Table3[[#This Row],[usage_date]],"mmmm")</f>
        <v>January</v>
      </c>
      <c r="E1421" s="9">
        <f>YEAR(Table3[[#This Row],[usage_date]])</f>
        <v>2024</v>
      </c>
      <c r="F1421" s="14">
        <v>0.82</v>
      </c>
      <c r="G1421">
        <v>227</v>
      </c>
      <c r="H1421" t="s">
        <v>12</v>
      </c>
      <c r="I1421" t="str">
        <f t="shared" si="22"/>
        <v>Normal Usage</v>
      </c>
    </row>
    <row r="1422" spans="1:9" x14ac:dyDescent="0.3">
      <c r="A1422">
        <v>11421</v>
      </c>
      <c r="B1422">
        <v>90</v>
      </c>
      <c r="C1422" s="2">
        <v>44802</v>
      </c>
      <c r="D1422" s="2" t="str">
        <f>TEXT(Table3[[#This Row],[usage_date]],"mmmm")</f>
        <v>August</v>
      </c>
      <c r="E1422" s="9">
        <f>YEAR(Table3[[#This Row],[usage_date]])</f>
        <v>2022</v>
      </c>
      <c r="F1422" s="14">
        <v>0.28000000000000003</v>
      </c>
      <c r="G1422">
        <v>9</v>
      </c>
      <c r="H1422" t="s">
        <v>13</v>
      </c>
      <c r="I1422" t="str">
        <f t="shared" si="22"/>
        <v>Normal Usage</v>
      </c>
    </row>
    <row r="1423" spans="1:9" x14ac:dyDescent="0.3">
      <c r="A1423">
        <v>11422</v>
      </c>
      <c r="B1423">
        <v>103</v>
      </c>
      <c r="C1423" s="2">
        <v>44916</v>
      </c>
      <c r="D1423" s="2" t="str">
        <f>TEXT(Table3[[#This Row],[usage_date]],"mmmm")</f>
        <v>December</v>
      </c>
      <c r="E1423" s="9">
        <f>YEAR(Table3[[#This Row],[usage_date]])</f>
        <v>2022</v>
      </c>
      <c r="F1423" s="14">
        <v>0.3</v>
      </c>
      <c r="G1423">
        <v>148</v>
      </c>
      <c r="H1423" t="s">
        <v>12</v>
      </c>
      <c r="I1423" t="str">
        <f t="shared" si="22"/>
        <v>Normal Usage</v>
      </c>
    </row>
    <row r="1424" spans="1:9" x14ac:dyDescent="0.3">
      <c r="A1424">
        <v>11423</v>
      </c>
      <c r="B1424">
        <v>476</v>
      </c>
      <c r="C1424" s="2">
        <v>45410</v>
      </c>
      <c r="D1424" s="2" t="str">
        <f>TEXT(Table3[[#This Row],[usage_date]],"mmmm")</f>
        <v>April</v>
      </c>
      <c r="E1424" s="9">
        <f>YEAR(Table3[[#This Row],[usage_date]])</f>
        <v>2024</v>
      </c>
      <c r="F1424" s="14">
        <v>0.86</v>
      </c>
      <c r="G1424">
        <v>57</v>
      </c>
      <c r="H1424" t="s">
        <v>12</v>
      </c>
      <c r="I1424" t="str">
        <f t="shared" si="22"/>
        <v>Normal Usage</v>
      </c>
    </row>
    <row r="1425" spans="1:9" x14ac:dyDescent="0.3">
      <c r="A1425">
        <v>11424</v>
      </c>
      <c r="B1425">
        <v>250</v>
      </c>
      <c r="C1425" s="2">
        <v>45331</v>
      </c>
      <c r="D1425" s="2" t="str">
        <f>TEXT(Table3[[#This Row],[usage_date]],"mmmm")</f>
        <v>February</v>
      </c>
      <c r="E1425" s="9">
        <f>YEAR(Table3[[#This Row],[usage_date]])</f>
        <v>2024</v>
      </c>
      <c r="F1425" s="14">
        <v>2.38</v>
      </c>
      <c r="G1425">
        <v>161</v>
      </c>
      <c r="H1425" t="s">
        <v>12</v>
      </c>
      <c r="I1425" t="str">
        <f t="shared" si="22"/>
        <v>Normal Usage</v>
      </c>
    </row>
    <row r="1426" spans="1:9" x14ac:dyDescent="0.3">
      <c r="A1426">
        <v>11425</v>
      </c>
      <c r="B1426">
        <v>453</v>
      </c>
      <c r="C1426" s="2">
        <v>45322</v>
      </c>
      <c r="D1426" s="2" t="str">
        <f>TEXT(Table3[[#This Row],[usage_date]],"mmmm")</f>
        <v>January</v>
      </c>
      <c r="E1426" s="9">
        <f>YEAR(Table3[[#This Row],[usage_date]])</f>
        <v>2024</v>
      </c>
      <c r="F1426" s="14">
        <v>4.08</v>
      </c>
      <c r="G1426">
        <v>106</v>
      </c>
      <c r="H1426" t="s">
        <v>12</v>
      </c>
      <c r="I1426" t="str">
        <f t="shared" si="22"/>
        <v>Normal Usage</v>
      </c>
    </row>
    <row r="1427" spans="1:9" x14ac:dyDescent="0.3">
      <c r="A1427">
        <v>11426</v>
      </c>
      <c r="B1427">
        <v>8</v>
      </c>
      <c r="C1427" s="2">
        <v>45150</v>
      </c>
      <c r="D1427" s="2" t="str">
        <f>TEXT(Table3[[#This Row],[usage_date]],"mmmm")</f>
        <v>August</v>
      </c>
      <c r="E1427" s="9">
        <f>YEAR(Table3[[#This Row],[usage_date]])</f>
        <v>2023</v>
      </c>
      <c r="F1427" s="14">
        <v>5.74</v>
      </c>
      <c r="G1427">
        <v>288</v>
      </c>
      <c r="H1427" t="s">
        <v>13</v>
      </c>
      <c r="I1427" t="str">
        <f t="shared" si="22"/>
        <v>Normal Usage</v>
      </c>
    </row>
    <row r="1428" spans="1:9" x14ac:dyDescent="0.3">
      <c r="A1428">
        <v>11427</v>
      </c>
      <c r="B1428">
        <v>153</v>
      </c>
      <c r="C1428" s="2">
        <v>44741</v>
      </c>
      <c r="D1428" s="2" t="str">
        <f>TEXT(Table3[[#This Row],[usage_date]],"mmmm")</f>
        <v>June</v>
      </c>
      <c r="E1428" s="9">
        <f>YEAR(Table3[[#This Row],[usage_date]])</f>
        <v>2022</v>
      </c>
      <c r="F1428" s="14">
        <v>2.44</v>
      </c>
      <c r="G1428">
        <v>185</v>
      </c>
      <c r="H1428" t="s">
        <v>13</v>
      </c>
      <c r="I1428" t="str">
        <f t="shared" si="22"/>
        <v>Normal Usage</v>
      </c>
    </row>
    <row r="1429" spans="1:9" x14ac:dyDescent="0.3">
      <c r="A1429">
        <v>11428</v>
      </c>
      <c r="B1429">
        <v>347</v>
      </c>
      <c r="C1429" s="2">
        <v>44627</v>
      </c>
      <c r="D1429" s="2" t="str">
        <f>TEXT(Table3[[#This Row],[usage_date]],"mmmm")</f>
        <v>March</v>
      </c>
      <c r="E1429" s="9">
        <f>YEAR(Table3[[#This Row],[usage_date]])</f>
        <v>2022</v>
      </c>
      <c r="F1429" s="14">
        <v>0.01</v>
      </c>
      <c r="G1429">
        <v>45</v>
      </c>
      <c r="H1429" t="s">
        <v>13</v>
      </c>
      <c r="I1429" t="str">
        <f t="shared" si="22"/>
        <v>Normal Usage</v>
      </c>
    </row>
    <row r="1430" spans="1:9" x14ac:dyDescent="0.3">
      <c r="A1430">
        <v>11429</v>
      </c>
      <c r="B1430">
        <v>174</v>
      </c>
      <c r="C1430" s="2">
        <v>45381</v>
      </c>
      <c r="D1430" s="2" t="str">
        <f>TEXT(Table3[[#This Row],[usage_date]],"mmmm")</f>
        <v>March</v>
      </c>
      <c r="E1430" s="9">
        <f>YEAR(Table3[[#This Row],[usage_date]])</f>
        <v>2024</v>
      </c>
      <c r="F1430" s="14">
        <v>0.52</v>
      </c>
      <c r="G1430">
        <v>128</v>
      </c>
      <c r="H1430" t="s">
        <v>13</v>
      </c>
      <c r="I1430" t="str">
        <f t="shared" si="22"/>
        <v>Normal Usage</v>
      </c>
    </row>
    <row r="1431" spans="1:9" x14ac:dyDescent="0.3">
      <c r="A1431">
        <v>11430</v>
      </c>
      <c r="B1431">
        <v>343</v>
      </c>
      <c r="C1431" s="2">
        <v>44909</v>
      </c>
      <c r="D1431" s="2" t="str">
        <f>TEXT(Table3[[#This Row],[usage_date]],"mmmm")</f>
        <v>December</v>
      </c>
      <c r="E1431" s="9">
        <f>YEAR(Table3[[#This Row],[usage_date]])</f>
        <v>2022</v>
      </c>
      <c r="F1431" s="14">
        <v>0.26</v>
      </c>
      <c r="G1431">
        <v>86</v>
      </c>
      <c r="H1431" t="s">
        <v>13</v>
      </c>
      <c r="I1431" t="str">
        <f t="shared" si="22"/>
        <v>Normal Usage</v>
      </c>
    </row>
    <row r="1432" spans="1:9" x14ac:dyDescent="0.3">
      <c r="A1432">
        <v>11431</v>
      </c>
      <c r="B1432">
        <v>158</v>
      </c>
      <c r="C1432" s="2">
        <v>44732</v>
      </c>
      <c r="D1432" s="2" t="str">
        <f>TEXT(Table3[[#This Row],[usage_date]],"mmmm")</f>
        <v>June</v>
      </c>
      <c r="E1432" s="9">
        <f>YEAR(Table3[[#This Row],[usage_date]])</f>
        <v>2022</v>
      </c>
      <c r="F1432" s="14">
        <v>1.1299999999999999</v>
      </c>
      <c r="G1432">
        <v>248</v>
      </c>
      <c r="H1432" t="s">
        <v>12</v>
      </c>
      <c r="I1432" t="str">
        <f t="shared" si="22"/>
        <v>Normal Usage</v>
      </c>
    </row>
    <row r="1433" spans="1:9" x14ac:dyDescent="0.3">
      <c r="A1433">
        <v>11432</v>
      </c>
      <c r="B1433">
        <v>493</v>
      </c>
      <c r="C1433" s="2">
        <v>45035</v>
      </c>
      <c r="D1433" s="2" t="str">
        <f>TEXT(Table3[[#This Row],[usage_date]],"mmmm")</f>
        <v>April</v>
      </c>
      <c r="E1433" s="9">
        <f>YEAR(Table3[[#This Row],[usage_date]])</f>
        <v>2023</v>
      </c>
      <c r="F1433" s="14">
        <v>1.74</v>
      </c>
      <c r="G1433">
        <v>256</v>
      </c>
      <c r="H1433" t="s">
        <v>13</v>
      </c>
      <c r="I1433" t="str">
        <f t="shared" si="22"/>
        <v>Normal Usage</v>
      </c>
    </row>
    <row r="1434" spans="1:9" x14ac:dyDescent="0.3">
      <c r="A1434">
        <v>11433</v>
      </c>
      <c r="B1434">
        <v>431</v>
      </c>
      <c r="C1434" s="2">
        <v>45095</v>
      </c>
      <c r="D1434" s="2" t="str">
        <f>TEXT(Table3[[#This Row],[usage_date]],"mmmm")</f>
        <v>June</v>
      </c>
      <c r="E1434" s="9">
        <f>YEAR(Table3[[#This Row],[usage_date]])</f>
        <v>2023</v>
      </c>
      <c r="F1434" s="14">
        <v>0.11</v>
      </c>
      <c r="G1434">
        <v>276</v>
      </c>
      <c r="H1434" t="s">
        <v>12</v>
      </c>
      <c r="I1434" t="str">
        <f t="shared" si="22"/>
        <v>Normal Usage</v>
      </c>
    </row>
    <row r="1435" spans="1:9" x14ac:dyDescent="0.3">
      <c r="A1435">
        <v>11434</v>
      </c>
      <c r="B1435">
        <v>215</v>
      </c>
      <c r="C1435" s="2">
        <v>44928</v>
      </c>
      <c r="D1435" s="2" t="str">
        <f>TEXT(Table3[[#This Row],[usage_date]],"mmmm")</f>
        <v>January</v>
      </c>
      <c r="E1435" s="9">
        <f>YEAR(Table3[[#This Row],[usage_date]])</f>
        <v>2023</v>
      </c>
      <c r="F1435" s="14">
        <v>1.07</v>
      </c>
      <c r="G1435">
        <v>277</v>
      </c>
      <c r="H1435" t="s">
        <v>12</v>
      </c>
      <c r="I1435" t="str">
        <f t="shared" si="22"/>
        <v>Normal Usage</v>
      </c>
    </row>
    <row r="1436" spans="1:9" x14ac:dyDescent="0.3">
      <c r="A1436">
        <v>11435</v>
      </c>
      <c r="B1436">
        <v>177</v>
      </c>
      <c r="C1436" s="2">
        <v>44668</v>
      </c>
      <c r="D1436" s="2" t="str">
        <f>TEXT(Table3[[#This Row],[usage_date]],"mmmm")</f>
        <v>April</v>
      </c>
      <c r="E1436" s="9">
        <f>YEAR(Table3[[#This Row],[usage_date]])</f>
        <v>2022</v>
      </c>
      <c r="F1436" s="14">
        <v>0.49</v>
      </c>
      <c r="G1436">
        <v>3</v>
      </c>
      <c r="H1436" t="s">
        <v>12</v>
      </c>
      <c r="I1436" t="str">
        <f t="shared" si="22"/>
        <v>Normal Usage</v>
      </c>
    </row>
    <row r="1437" spans="1:9" x14ac:dyDescent="0.3">
      <c r="A1437">
        <v>11436</v>
      </c>
      <c r="B1437">
        <v>175</v>
      </c>
      <c r="C1437" s="2">
        <v>45000</v>
      </c>
      <c r="D1437" s="2" t="str">
        <f>TEXT(Table3[[#This Row],[usage_date]],"mmmm")</f>
        <v>March</v>
      </c>
      <c r="E1437" s="9">
        <f>YEAR(Table3[[#This Row],[usage_date]])</f>
        <v>2023</v>
      </c>
      <c r="F1437" s="14">
        <v>2.6</v>
      </c>
      <c r="G1437">
        <v>64</v>
      </c>
      <c r="H1437" t="s">
        <v>13</v>
      </c>
      <c r="I1437" t="str">
        <f t="shared" si="22"/>
        <v>Normal Usage</v>
      </c>
    </row>
    <row r="1438" spans="1:9" x14ac:dyDescent="0.3">
      <c r="A1438">
        <v>11437</v>
      </c>
      <c r="B1438">
        <v>340</v>
      </c>
      <c r="C1438" s="2">
        <v>45396</v>
      </c>
      <c r="D1438" s="2" t="str">
        <f>TEXT(Table3[[#This Row],[usage_date]],"mmmm")</f>
        <v>April</v>
      </c>
      <c r="E1438" s="9">
        <f>YEAR(Table3[[#This Row],[usage_date]])</f>
        <v>2024</v>
      </c>
      <c r="F1438" s="14">
        <v>1.56</v>
      </c>
      <c r="G1438">
        <v>201</v>
      </c>
      <c r="H1438" t="s">
        <v>12</v>
      </c>
      <c r="I1438" t="str">
        <f t="shared" si="22"/>
        <v>Normal Usage</v>
      </c>
    </row>
    <row r="1439" spans="1:9" x14ac:dyDescent="0.3">
      <c r="A1439">
        <v>11438</v>
      </c>
      <c r="B1439">
        <v>338</v>
      </c>
      <c r="C1439" s="2">
        <v>44788</v>
      </c>
      <c r="D1439" s="2" t="str">
        <f>TEXT(Table3[[#This Row],[usage_date]],"mmmm")</f>
        <v>August</v>
      </c>
      <c r="E1439" s="9">
        <f>YEAR(Table3[[#This Row],[usage_date]])</f>
        <v>2022</v>
      </c>
      <c r="F1439" s="14">
        <v>1.71</v>
      </c>
      <c r="G1439">
        <v>62</v>
      </c>
      <c r="H1439" t="s">
        <v>13</v>
      </c>
      <c r="I1439" t="str">
        <f t="shared" si="22"/>
        <v>Normal Usage</v>
      </c>
    </row>
    <row r="1440" spans="1:9" x14ac:dyDescent="0.3">
      <c r="A1440">
        <v>11439</v>
      </c>
      <c r="B1440">
        <v>146</v>
      </c>
      <c r="C1440" s="2">
        <v>45005</v>
      </c>
      <c r="D1440" s="2" t="str">
        <f>TEXT(Table3[[#This Row],[usage_date]],"mmmm")</f>
        <v>March</v>
      </c>
      <c r="E1440" s="9">
        <f>YEAR(Table3[[#This Row],[usage_date]])</f>
        <v>2023</v>
      </c>
      <c r="F1440" s="14">
        <v>1.4</v>
      </c>
      <c r="G1440">
        <v>142</v>
      </c>
      <c r="H1440" t="s">
        <v>12</v>
      </c>
      <c r="I1440" t="str">
        <f t="shared" si="22"/>
        <v>Normal Usage</v>
      </c>
    </row>
    <row r="1441" spans="1:9" x14ac:dyDescent="0.3">
      <c r="A1441">
        <v>11440</v>
      </c>
      <c r="B1441">
        <v>450</v>
      </c>
      <c r="C1441" s="2">
        <v>45003</v>
      </c>
      <c r="D1441" s="2" t="str">
        <f>TEXT(Table3[[#This Row],[usage_date]],"mmmm")</f>
        <v>March</v>
      </c>
      <c r="E1441" s="9">
        <f>YEAR(Table3[[#This Row],[usage_date]])</f>
        <v>2023</v>
      </c>
      <c r="F1441" s="14">
        <v>7.81</v>
      </c>
      <c r="G1441">
        <v>243</v>
      </c>
      <c r="H1441" t="s">
        <v>12</v>
      </c>
      <c r="I1441" t="str">
        <f t="shared" si="22"/>
        <v>High Usage</v>
      </c>
    </row>
    <row r="1442" spans="1:9" x14ac:dyDescent="0.3">
      <c r="A1442">
        <v>11441</v>
      </c>
      <c r="B1442">
        <v>324</v>
      </c>
      <c r="C1442" s="2">
        <v>44957</v>
      </c>
      <c r="D1442" s="2" t="str">
        <f>TEXT(Table3[[#This Row],[usage_date]],"mmmm")</f>
        <v>January</v>
      </c>
      <c r="E1442" s="9">
        <f>YEAR(Table3[[#This Row],[usage_date]])</f>
        <v>2023</v>
      </c>
      <c r="F1442" s="14">
        <v>0.6</v>
      </c>
      <c r="G1442">
        <v>291</v>
      </c>
      <c r="H1442" t="s">
        <v>12</v>
      </c>
      <c r="I1442" t="str">
        <f t="shared" si="22"/>
        <v>Normal Usage</v>
      </c>
    </row>
    <row r="1443" spans="1:9" x14ac:dyDescent="0.3">
      <c r="A1443">
        <v>11442</v>
      </c>
      <c r="B1443">
        <v>478</v>
      </c>
      <c r="C1443" s="2">
        <v>45289</v>
      </c>
      <c r="D1443" s="2" t="str">
        <f>TEXT(Table3[[#This Row],[usage_date]],"mmmm")</f>
        <v>December</v>
      </c>
      <c r="E1443" s="9">
        <f>YEAR(Table3[[#This Row],[usage_date]])</f>
        <v>2023</v>
      </c>
      <c r="F1443" s="14">
        <v>1.82</v>
      </c>
      <c r="G1443">
        <v>284</v>
      </c>
      <c r="H1443" t="s">
        <v>12</v>
      </c>
      <c r="I1443" t="str">
        <f t="shared" si="22"/>
        <v>Normal Usage</v>
      </c>
    </row>
    <row r="1444" spans="1:9" x14ac:dyDescent="0.3">
      <c r="A1444">
        <v>11443</v>
      </c>
      <c r="B1444">
        <v>161</v>
      </c>
      <c r="C1444" s="2">
        <v>45142</v>
      </c>
      <c r="D1444" s="2" t="str">
        <f>TEXT(Table3[[#This Row],[usage_date]],"mmmm")</f>
        <v>August</v>
      </c>
      <c r="E1444" s="9">
        <f>YEAR(Table3[[#This Row],[usage_date]])</f>
        <v>2023</v>
      </c>
      <c r="F1444" s="14">
        <v>3.33</v>
      </c>
      <c r="G1444">
        <v>179</v>
      </c>
      <c r="H1444" t="s">
        <v>12</v>
      </c>
      <c r="I1444" t="str">
        <f t="shared" si="22"/>
        <v>Normal Usage</v>
      </c>
    </row>
    <row r="1445" spans="1:9" x14ac:dyDescent="0.3">
      <c r="A1445">
        <v>11444</v>
      </c>
      <c r="B1445">
        <v>127</v>
      </c>
      <c r="C1445" s="2">
        <v>44645</v>
      </c>
      <c r="D1445" s="2" t="str">
        <f>TEXT(Table3[[#This Row],[usage_date]],"mmmm")</f>
        <v>March</v>
      </c>
      <c r="E1445" s="9">
        <f>YEAR(Table3[[#This Row],[usage_date]])</f>
        <v>2022</v>
      </c>
      <c r="F1445" s="14">
        <v>2.0299999999999998</v>
      </c>
      <c r="G1445">
        <v>173</v>
      </c>
      <c r="H1445" t="s">
        <v>12</v>
      </c>
      <c r="I1445" t="str">
        <f t="shared" si="22"/>
        <v>Normal Usage</v>
      </c>
    </row>
    <row r="1446" spans="1:9" x14ac:dyDescent="0.3">
      <c r="A1446">
        <v>11445</v>
      </c>
      <c r="B1446">
        <v>420</v>
      </c>
      <c r="C1446" s="2">
        <v>45176</v>
      </c>
      <c r="D1446" s="2" t="str">
        <f>TEXT(Table3[[#This Row],[usage_date]],"mmmm")</f>
        <v>September</v>
      </c>
      <c r="E1446" s="9">
        <f>YEAR(Table3[[#This Row],[usage_date]])</f>
        <v>2023</v>
      </c>
      <c r="F1446" s="14">
        <v>6.61</v>
      </c>
      <c r="G1446">
        <v>110</v>
      </c>
      <c r="H1446" t="s">
        <v>13</v>
      </c>
      <c r="I1446" t="str">
        <f t="shared" si="22"/>
        <v>High Usage</v>
      </c>
    </row>
    <row r="1447" spans="1:9" x14ac:dyDescent="0.3">
      <c r="A1447">
        <v>11446</v>
      </c>
      <c r="B1447">
        <v>82</v>
      </c>
      <c r="C1447" s="2">
        <v>45112</v>
      </c>
      <c r="D1447" s="2" t="str">
        <f>TEXT(Table3[[#This Row],[usage_date]],"mmmm")</f>
        <v>July</v>
      </c>
      <c r="E1447" s="9">
        <f>YEAR(Table3[[#This Row],[usage_date]])</f>
        <v>2023</v>
      </c>
      <c r="F1447" s="14">
        <v>1.19</v>
      </c>
      <c r="G1447">
        <v>174</v>
      </c>
      <c r="H1447" t="s">
        <v>12</v>
      </c>
      <c r="I1447" t="str">
        <f t="shared" si="22"/>
        <v>Normal Usage</v>
      </c>
    </row>
    <row r="1448" spans="1:9" x14ac:dyDescent="0.3">
      <c r="A1448">
        <v>11447</v>
      </c>
      <c r="B1448">
        <v>485</v>
      </c>
      <c r="C1448" s="2">
        <v>44574</v>
      </c>
      <c r="D1448" s="2" t="str">
        <f>TEXT(Table3[[#This Row],[usage_date]],"mmmm")</f>
        <v>January</v>
      </c>
      <c r="E1448" s="9">
        <f>YEAR(Table3[[#This Row],[usage_date]])</f>
        <v>2022</v>
      </c>
      <c r="F1448" s="14">
        <v>1.56</v>
      </c>
      <c r="G1448">
        <v>152</v>
      </c>
      <c r="H1448" t="s">
        <v>12</v>
      </c>
      <c r="I1448" t="str">
        <f t="shared" si="22"/>
        <v>Normal Usage</v>
      </c>
    </row>
    <row r="1449" spans="1:9" x14ac:dyDescent="0.3">
      <c r="A1449">
        <v>11448</v>
      </c>
      <c r="B1449">
        <v>147</v>
      </c>
      <c r="C1449" s="2">
        <v>45370</v>
      </c>
      <c r="D1449" s="2" t="str">
        <f>TEXT(Table3[[#This Row],[usage_date]],"mmmm")</f>
        <v>March</v>
      </c>
      <c r="E1449" s="9">
        <f>YEAR(Table3[[#This Row],[usage_date]])</f>
        <v>2024</v>
      </c>
      <c r="F1449" s="14">
        <v>0.23</v>
      </c>
      <c r="G1449">
        <v>216</v>
      </c>
      <c r="H1449" t="s">
        <v>12</v>
      </c>
      <c r="I1449" t="str">
        <f t="shared" si="22"/>
        <v>Normal Usage</v>
      </c>
    </row>
    <row r="1450" spans="1:9" x14ac:dyDescent="0.3">
      <c r="A1450">
        <v>11449</v>
      </c>
      <c r="B1450">
        <v>239</v>
      </c>
      <c r="C1450" s="2">
        <v>45386</v>
      </c>
      <c r="D1450" s="2" t="str">
        <f>TEXT(Table3[[#This Row],[usage_date]],"mmmm")</f>
        <v>April</v>
      </c>
      <c r="E1450" s="9">
        <f>YEAR(Table3[[#This Row],[usage_date]])</f>
        <v>2024</v>
      </c>
      <c r="F1450" s="14">
        <v>2.35</v>
      </c>
      <c r="G1450">
        <v>296</v>
      </c>
      <c r="H1450" t="s">
        <v>12</v>
      </c>
      <c r="I1450" t="str">
        <f t="shared" si="22"/>
        <v>Normal Usage</v>
      </c>
    </row>
    <row r="1451" spans="1:9" x14ac:dyDescent="0.3">
      <c r="A1451">
        <v>11450</v>
      </c>
      <c r="B1451">
        <v>412</v>
      </c>
      <c r="C1451" s="2">
        <v>45254</v>
      </c>
      <c r="D1451" s="2" t="str">
        <f>TEXT(Table3[[#This Row],[usage_date]],"mmmm")</f>
        <v>November</v>
      </c>
      <c r="E1451" s="9">
        <f>YEAR(Table3[[#This Row],[usage_date]])</f>
        <v>2023</v>
      </c>
      <c r="F1451" s="14">
        <v>0.85</v>
      </c>
      <c r="G1451">
        <v>239</v>
      </c>
      <c r="H1451" t="s">
        <v>12</v>
      </c>
      <c r="I1451" t="str">
        <f t="shared" si="22"/>
        <v>Normal Usage</v>
      </c>
    </row>
    <row r="1452" spans="1:9" x14ac:dyDescent="0.3">
      <c r="A1452">
        <v>11451</v>
      </c>
      <c r="B1452">
        <v>424</v>
      </c>
      <c r="C1452" s="2">
        <v>45054</v>
      </c>
      <c r="D1452" s="2" t="str">
        <f>TEXT(Table3[[#This Row],[usage_date]],"mmmm")</f>
        <v>May</v>
      </c>
      <c r="E1452" s="9">
        <f>YEAR(Table3[[#This Row],[usage_date]])</f>
        <v>2023</v>
      </c>
      <c r="F1452" s="14">
        <v>0.44</v>
      </c>
      <c r="G1452">
        <v>225</v>
      </c>
      <c r="H1452" t="s">
        <v>12</v>
      </c>
      <c r="I1452" t="str">
        <f t="shared" si="22"/>
        <v>Normal Usage</v>
      </c>
    </row>
    <row r="1453" spans="1:9" x14ac:dyDescent="0.3">
      <c r="A1453">
        <v>11452</v>
      </c>
      <c r="B1453">
        <v>84</v>
      </c>
      <c r="C1453" s="2">
        <v>44829</v>
      </c>
      <c r="D1453" s="2" t="str">
        <f>TEXT(Table3[[#This Row],[usage_date]],"mmmm")</f>
        <v>September</v>
      </c>
      <c r="E1453" s="9">
        <f>YEAR(Table3[[#This Row],[usage_date]])</f>
        <v>2022</v>
      </c>
      <c r="F1453" s="14">
        <v>1.97</v>
      </c>
      <c r="G1453">
        <v>185</v>
      </c>
      <c r="H1453" t="s">
        <v>12</v>
      </c>
      <c r="I1453" t="str">
        <f t="shared" si="22"/>
        <v>Normal Usage</v>
      </c>
    </row>
    <row r="1454" spans="1:9" x14ac:dyDescent="0.3">
      <c r="A1454">
        <v>11453</v>
      </c>
      <c r="B1454">
        <v>113</v>
      </c>
      <c r="C1454" s="2">
        <v>45086</v>
      </c>
      <c r="D1454" s="2" t="str">
        <f>TEXT(Table3[[#This Row],[usage_date]],"mmmm")</f>
        <v>June</v>
      </c>
      <c r="E1454" s="9">
        <f>YEAR(Table3[[#This Row],[usage_date]])</f>
        <v>2023</v>
      </c>
      <c r="F1454" s="14">
        <v>1.9</v>
      </c>
      <c r="G1454">
        <v>47</v>
      </c>
      <c r="H1454" t="s">
        <v>12</v>
      </c>
      <c r="I1454" t="str">
        <f t="shared" si="22"/>
        <v>Normal Usage</v>
      </c>
    </row>
    <row r="1455" spans="1:9" x14ac:dyDescent="0.3">
      <c r="A1455">
        <v>11454</v>
      </c>
      <c r="B1455">
        <v>225</v>
      </c>
      <c r="C1455" s="2">
        <v>44681</v>
      </c>
      <c r="D1455" s="2" t="str">
        <f>TEXT(Table3[[#This Row],[usage_date]],"mmmm")</f>
        <v>April</v>
      </c>
      <c r="E1455" s="9">
        <f>YEAR(Table3[[#This Row],[usage_date]])</f>
        <v>2022</v>
      </c>
      <c r="F1455" s="14">
        <v>0.2</v>
      </c>
      <c r="G1455">
        <v>207</v>
      </c>
      <c r="H1455" t="s">
        <v>13</v>
      </c>
      <c r="I1455" t="str">
        <f t="shared" si="22"/>
        <v>Normal Usage</v>
      </c>
    </row>
    <row r="1456" spans="1:9" x14ac:dyDescent="0.3">
      <c r="A1456">
        <v>11455</v>
      </c>
      <c r="B1456">
        <v>332</v>
      </c>
      <c r="C1456" s="2">
        <v>44914</v>
      </c>
      <c r="D1456" s="2" t="str">
        <f>TEXT(Table3[[#This Row],[usage_date]],"mmmm")</f>
        <v>December</v>
      </c>
      <c r="E1456" s="9">
        <f>YEAR(Table3[[#This Row],[usage_date]])</f>
        <v>2022</v>
      </c>
      <c r="F1456" s="14">
        <v>3</v>
      </c>
      <c r="G1456">
        <v>156</v>
      </c>
      <c r="H1456" t="s">
        <v>13</v>
      </c>
      <c r="I1456" t="str">
        <f t="shared" si="22"/>
        <v>Normal Usage</v>
      </c>
    </row>
    <row r="1457" spans="1:9" x14ac:dyDescent="0.3">
      <c r="A1457">
        <v>11456</v>
      </c>
      <c r="B1457">
        <v>378</v>
      </c>
      <c r="C1457" s="2">
        <v>44618</v>
      </c>
      <c r="D1457" s="2" t="str">
        <f>TEXT(Table3[[#This Row],[usage_date]],"mmmm")</f>
        <v>February</v>
      </c>
      <c r="E1457" s="9">
        <f>YEAR(Table3[[#This Row],[usage_date]])</f>
        <v>2022</v>
      </c>
      <c r="F1457" s="14">
        <v>2.44</v>
      </c>
      <c r="G1457">
        <v>224</v>
      </c>
      <c r="H1457" t="s">
        <v>12</v>
      </c>
      <c r="I1457" t="str">
        <f t="shared" si="22"/>
        <v>Normal Usage</v>
      </c>
    </row>
    <row r="1458" spans="1:9" x14ac:dyDescent="0.3">
      <c r="A1458">
        <v>11457</v>
      </c>
      <c r="B1458">
        <v>243</v>
      </c>
      <c r="C1458" s="2">
        <v>44601</v>
      </c>
      <c r="D1458" s="2" t="str">
        <f>TEXT(Table3[[#This Row],[usage_date]],"mmmm")</f>
        <v>February</v>
      </c>
      <c r="E1458" s="9">
        <f>YEAR(Table3[[#This Row],[usage_date]])</f>
        <v>2022</v>
      </c>
      <c r="F1458" s="14">
        <v>0.52</v>
      </c>
      <c r="G1458">
        <v>143</v>
      </c>
      <c r="H1458" t="s">
        <v>12</v>
      </c>
      <c r="I1458" t="str">
        <f t="shared" si="22"/>
        <v>Normal Usage</v>
      </c>
    </row>
    <row r="1459" spans="1:9" x14ac:dyDescent="0.3">
      <c r="A1459">
        <v>11458</v>
      </c>
      <c r="B1459">
        <v>143</v>
      </c>
      <c r="C1459" s="2">
        <v>45447</v>
      </c>
      <c r="D1459" s="2" t="str">
        <f>TEXT(Table3[[#This Row],[usage_date]],"mmmm")</f>
        <v>June</v>
      </c>
      <c r="E1459" s="9">
        <f>YEAR(Table3[[#This Row],[usage_date]])</f>
        <v>2024</v>
      </c>
      <c r="F1459" s="14">
        <v>1.58</v>
      </c>
      <c r="G1459">
        <v>110</v>
      </c>
      <c r="H1459" t="s">
        <v>12</v>
      </c>
      <c r="I1459" t="str">
        <f t="shared" si="22"/>
        <v>Normal Usage</v>
      </c>
    </row>
    <row r="1460" spans="1:9" x14ac:dyDescent="0.3">
      <c r="A1460">
        <v>11459</v>
      </c>
      <c r="B1460">
        <v>41</v>
      </c>
      <c r="C1460" s="2">
        <v>44897</v>
      </c>
      <c r="D1460" s="2" t="str">
        <f>TEXT(Table3[[#This Row],[usage_date]],"mmmm")</f>
        <v>December</v>
      </c>
      <c r="E1460" s="9">
        <f>YEAR(Table3[[#This Row],[usage_date]])</f>
        <v>2022</v>
      </c>
      <c r="F1460" s="14">
        <v>3.19</v>
      </c>
      <c r="G1460">
        <v>131</v>
      </c>
      <c r="H1460" t="s">
        <v>12</v>
      </c>
      <c r="I1460" t="str">
        <f t="shared" si="22"/>
        <v>Normal Usage</v>
      </c>
    </row>
    <row r="1461" spans="1:9" x14ac:dyDescent="0.3">
      <c r="A1461">
        <v>11460</v>
      </c>
      <c r="B1461">
        <v>423</v>
      </c>
      <c r="C1461" s="2">
        <v>45201</v>
      </c>
      <c r="D1461" s="2" t="str">
        <f>TEXT(Table3[[#This Row],[usage_date]],"mmmm")</f>
        <v>October</v>
      </c>
      <c r="E1461" s="9">
        <f>YEAR(Table3[[#This Row],[usage_date]])</f>
        <v>2023</v>
      </c>
      <c r="F1461" s="14">
        <v>1.88</v>
      </c>
      <c r="G1461">
        <v>112</v>
      </c>
      <c r="H1461" t="s">
        <v>13</v>
      </c>
      <c r="I1461" t="str">
        <f t="shared" si="22"/>
        <v>Normal Usage</v>
      </c>
    </row>
    <row r="1462" spans="1:9" x14ac:dyDescent="0.3">
      <c r="A1462">
        <v>11461</v>
      </c>
      <c r="B1462">
        <v>258</v>
      </c>
      <c r="C1462" s="2">
        <v>44734</v>
      </c>
      <c r="D1462" s="2" t="str">
        <f>TEXT(Table3[[#This Row],[usage_date]],"mmmm")</f>
        <v>June</v>
      </c>
      <c r="E1462" s="9">
        <f>YEAR(Table3[[#This Row],[usage_date]])</f>
        <v>2022</v>
      </c>
      <c r="F1462" s="14">
        <v>1.26</v>
      </c>
      <c r="G1462">
        <v>88</v>
      </c>
      <c r="H1462" t="s">
        <v>12</v>
      </c>
      <c r="I1462" t="str">
        <f t="shared" si="22"/>
        <v>Normal Usage</v>
      </c>
    </row>
    <row r="1463" spans="1:9" x14ac:dyDescent="0.3">
      <c r="A1463">
        <v>11462</v>
      </c>
      <c r="B1463">
        <v>447</v>
      </c>
      <c r="C1463" s="2">
        <v>45108</v>
      </c>
      <c r="D1463" s="2" t="str">
        <f>TEXT(Table3[[#This Row],[usage_date]],"mmmm")</f>
        <v>July</v>
      </c>
      <c r="E1463" s="9">
        <f>YEAR(Table3[[#This Row],[usage_date]])</f>
        <v>2023</v>
      </c>
      <c r="F1463" s="14">
        <v>0.97</v>
      </c>
      <c r="G1463">
        <v>160</v>
      </c>
      <c r="H1463" t="s">
        <v>12</v>
      </c>
      <c r="I1463" t="str">
        <f t="shared" si="22"/>
        <v>Normal Usage</v>
      </c>
    </row>
    <row r="1464" spans="1:9" x14ac:dyDescent="0.3">
      <c r="A1464">
        <v>11463</v>
      </c>
      <c r="B1464">
        <v>285</v>
      </c>
      <c r="C1464" s="2">
        <v>44820</v>
      </c>
      <c r="D1464" s="2" t="str">
        <f>TEXT(Table3[[#This Row],[usage_date]],"mmmm")</f>
        <v>September</v>
      </c>
      <c r="E1464" s="9">
        <f>YEAR(Table3[[#This Row],[usage_date]])</f>
        <v>2022</v>
      </c>
      <c r="F1464" s="14">
        <v>2.36</v>
      </c>
      <c r="G1464">
        <v>74</v>
      </c>
      <c r="H1464" t="s">
        <v>12</v>
      </c>
      <c r="I1464" t="str">
        <f t="shared" si="22"/>
        <v>Normal Usage</v>
      </c>
    </row>
    <row r="1465" spans="1:9" x14ac:dyDescent="0.3">
      <c r="A1465">
        <v>11464</v>
      </c>
      <c r="B1465">
        <v>105</v>
      </c>
      <c r="C1465" s="2">
        <v>45449</v>
      </c>
      <c r="D1465" s="2" t="str">
        <f>TEXT(Table3[[#This Row],[usage_date]],"mmmm")</f>
        <v>June</v>
      </c>
      <c r="E1465" s="9">
        <f>YEAR(Table3[[#This Row],[usage_date]])</f>
        <v>2024</v>
      </c>
      <c r="F1465" s="14">
        <v>7</v>
      </c>
      <c r="G1465">
        <v>280</v>
      </c>
      <c r="H1465" t="s">
        <v>13</v>
      </c>
      <c r="I1465" t="str">
        <f t="shared" si="22"/>
        <v>High Usage</v>
      </c>
    </row>
    <row r="1466" spans="1:9" x14ac:dyDescent="0.3">
      <c r="A1466">
        <v>11465</v>
      </c>
      <c r="B1466">
        <v>202</v>
      </c>
      <c r="C1466" s="2">
        <v>45078</v>
      </c>
      <c r="D1466" s="2" t="str">
        <f>TEXT(Table3[[#This Row],[usage_date]],"mmmm")</f>
        <v>June</v>
      </c>
      <c r="E1466" s="9">
        <f>YEAR(Table3[[#This Row],[usage_date]])</f>
        <v>2023</v>
      </c>
      <c r="F1466" s="14">
        <v>2.78</v>
      </c>
      <c r="G1466">
        <v>6</v>
      </c>
      <c r="H1466" t="s">
        <v>13</v>
      </c>
      <c r="I1466" t="str">
        <f t="shared" si="22"/>
        <v>Normal Usage</v>
      </c>
    </row>
    <row r="1467" spans="1:9" x14ac:dyDescent="0.3">
      <c r="A1467">
        <v>11466</v>
      </c>
      <c r="B1467">
        <v>450</v>
      </c>
      <c r="C1467" s="2">
        <v>45291</v>
      </c>
      <c r="D1467" s="2" t="str">
        <f>TEXT(Table3[[#This Row],[usage_date]],"mmmm")</f>
        <v>December</v>
      </c>
      <c r="E1467" s="9">
        <f>YEAR(Table3[[#This Row],[usage_date]])</f>
        <v>2023</v>
      </c>
      <c r="F1467" s="14">
        <v>0.19</v>
      </c>
      <c r="G1467">
        <v>112</v>
      </c>
      <c r="H1467" t="s">
        <v>13</v>
      </c>
      <c r="I1467" t="str">
        <f t="shared" si="22"/>
        <v>Normal Usage</v>
      </c>
    </row>
    <row r="1468" spans="1:9" x14ac:dyDescent="0.3">
      <c r="A1468">
        <v>11467</v>
      </c>
      <c r="B1468">
        <v>307</v>
      </c>
      <c r="C1468" s="2">
        <v>45084</v>
      </c>
      <c r="D1468" s="2" t="str">
        <f>TEXT(Table3[[#This Row],[usage_date]],"mmmm")</f>
        <v>June</v>
      </c>
      <c r="E1468" s="9">
        <f>YEAR(Table3[[#This Row],[usage_date]])</f>
        <v>2023</v>
      </c>
      <c r="F1468" s="14">
        <v>1.54</v>
      </c>
      <c r="G1468">
        <v>35</v>
      </c>
      <c r="H1468" t="s">
        <v>12</v>
      </c>
      <c r="I1468" t="str">
        <f t="shared" si="22"/>
        <v>Normal Usage</v>
      </c>
    </row>
    <row r="1469" spans="1:9" x14ac:dyDescent="0.3">
      <c r="A1469">
        <v>11468</v>
      </c>
      <c r="B1469">
        <v>331</v>
      </c>
      <c r="C1469" s="2">
        <v>45455</v>
      </c>
      <c r="D1469" s="2" t="str">
        <f>TEXT(Table3[[#This Row],[usage_date]],"mmmm")</f>
        <v>June</v>
      </c>
      <c r="E1469" s="9">
        <f>YEAR(Table3[[#This Row],[usage_date]])</f>
        <v>2024</v>
      </c>
      <c r="F1469" s="14">
        <v>5.54</v>
      </c>
      <c r="G1469">
        <v>265</v>
      </c>
      <c r="H1469" t="s">
        <v>12</v>
      </c>
      <c r="I1469" t="str">
        <f t="shared" si="22"/>
        <v>Normal Usage</v>
      </c>
    </row>
    <row r="1470" spans="1:9" x14ac:dyDescent="0.3">
      <c r="A1470">
        <v>11469</v>
      </c>
      <c r="B1470">
        <v>461</v>
      </c>
      <c r="C1470" s="2">
        <v>45400</v>
      </c>
      <c r="D1470" s="2" t="str">
        <f>TEXT(Table3[[#This Row],[usage_date]],"mmmm")</f>
        <v>April</v>
      </c>
      <c r="E1470" s="9">
        <f>YEAR(Table3[[#This Row],[usage_date]])</f>
        <v>2024</v>
      </c>
      <c r="F1470" s="14">
        <v>0.25</v>
      </c>
      <c r="G1470">
        <v>112</v>
      </c>
      <c r="H1470" t="s">
        <v>12</v>
      </c>
      <c r="I1470" t="str">
        <f t="shared" si="22"/>
        <v>Normal Usage</v>
      </c>
    </row>
    <row r="1471" spans="1:9" x14ac:dyDescent="0.3">
      <c r="A1471">
        <v>11470</v>
      </c>
      <c r="B1471">
        <v>266</v>
      </c>
      <c r="C1471" s="2">
        <v>44678</v>
      </c>
      <c r="D1471" s="2" t="str">
        <f>TEXT(Table3[[#This Row],[usage_date]],"mmmm")</f>
        <v>April</v>
      </c>
      <c r="E1471" s="9">
        <f>YEAR(Table3[[#This Row],[usage_date]])</f>
        <v>2022</v>
      </c>
      <c r="F1471" s="14">
        <v>11.25</v>
      </c>
      <c r="G1471">
        <v>291</v>
      </c>
      <c r="H1471" t="s">
        <v>12</v>
      </c>
      <c r="I1471" t="str">
        <f t="shared" si="22"/>
        <v>High Usage</v>
      </c>
    </row>
    <row r="1472" spans="1:9" x14ac:dyDescent="0.3">
      <c r="A1472">
        <v>11471</v>
      </c>
      <c r="B1472">
        <v>398</v>
      </c>
      <c r="C1472" s="2">
        <v>44745</v>
      </c>
      <c r="D1472" s="2" t="str">
        <f>TEXT(Table3[[#This Row],[usage_date]],"mmmm")</f>
        <v>July</v>
      </c>
      <c r="E1472" s="9">
        <f>YEAR(Table3[[#This Row],[usage_date]])</f>
        <v>2022</v>
      </c>
      <c r="F1472" s="14">
        <v>7.44</v>
      </c>
      <c r="G1472">
        <v>222</v>
      </c>
      <c r="H1472" t="s">
        <v>12</v>
      </c>
      <c r="I1472" t="str">
        <f t="shared" si="22"/>
        <v>High Usage</v>
      </c>
    </row>
    <row r="1473" spans="1:9" x14ac:dyDescent="0.3">
      <c r="A1473">
        <v>11472</v>
      </c>
      <c r="B1473">
        <v>210</v>
      </c>
      <c r="C1473" s="2">
        <v>45435</v>
      </c>
      <c r="D1473" s="2" t="str">
        <f>TEXT(Table3[[#This Row],[usage_date]],"mmmm")</f>
        <v>May</v>
      </c>
      <c r="E1473" s="9">
        <f>YEAR(Table3[[#This Row],[usage_date]])</f>
        <v>2024</v>
      </c>
      <c r="F1473" s="14">
        <v>0.2</v>
      </c>
      <c r="G1473">
        <v>210</v>
      </c>
      <c r="H1473" t="s">
        <v>12</v>
      </c>
      <c r="I1473" t="str">
        <f t="shared" si="22"/>
        <v>Normal Usage</v>
      </c>
    </row>
    <row r="1474" spans="1:9" x14ac:dyDescent="0.3">
      <c r="A1474">
        <v>11473</v>
      </c>
      <c r="B1474">
        <v>51</v>
      </c>
      <c r="C1474" s="2">
        <v>44677</v>
      </c>
      <c r="D1474" s="2" t="str">
        <f>TEXT(Table3[[#This Row],[usage_date]],"mmmm")</f>
        <v>April</v>
      </c>
      <c r="E1474" s="9">
        <f>YEAR(Table3[[#This Row],[usage_date]])</f>
        <v>2022</v>
      </c>
      <c r="F1474" s="14">
        <v>6.77</v>
      </c>
      <c r="G1474">
        <v>17</v>
      </c>
      <c r="H1474" t="s">
        <v>12</v>
      </c>
      <c r="I1474" t="str">
        <f t="shared" ref="I1474:I1537" si="23">IF(F1474&gt;6,"High Usage","Normal Usage")</f>
        <v>High Usage</v>
      </c>
    </row>
    <row r="1475" spans="1:9" x14ac:dyDescent="0.3">
      <c r="A1475">
        <v>11474</v>
      </c>
      <c r="B1475">
        <v>118</v>
      </c>
      <c r="C1475" s="2">
        <v>44723</v>
      </c>
      <c r="D1475" s="2" t="str">
        <f>TEXT(Table3[[#This Row],[usage_date]],"mmmm")</f>
        <v>June</v>
      </c>
      <c r="E1475" s="9">
        <f>YEAR(Table3[[#This Row],[usage_date]])</f>
        <v>2022</v>
      </c>
      <c r="F1475" s="14">
        <v>1.1299999999999999</v>
      </c>
      <c r="G1475">
        <v>240</v>
      </c>
      <c r="H1475" t="s">
        <v>13</v>
      </c>
      <c r="I1475" t="str">
        <f t="shared" si="23"/>
        <v>Normal Usage</v>
      </c>
    </row>
    <row r="1476" spans="1:9" x14ac:dyDescent="0.3">
      <c r="A1476">
        <v>11475</v>
      </c>
      <c r="B1476">
        <v>201</v>
      </c>
      <c r="C1476" s="2">
        <v>45140</v>
      </c>
      <c r="D1476" s="2" t="str">
        <f>TEXT(Table3[[#This Row],[usage_date]],"mmmm")</f>
        <v>August</v>
      </c>
      <c r="E1476" s="9">
        <f>YEAR(Table3[[#This Row],[usage_date]])</f>
        <v>2023</v>
      </c>
      <c r="F1476" s="14">
        <v>4.66</v>
      </c>
      <c r="G1476">
        <v>133</v>
      </c>
      <c r="H1476" t="s">
        <v>12</v>
      </c>
      <c r="I1476" t="str">
        <f t="shared" si="23"/>
        <v>Normal Usage</v>
      </c>
    </row>
    <row r="1477" spans="1:9" x14ac:dyDescent="0.3">
      <c r="A1477">
        <v>11476</v>
      </c>
      <c r="B1477">
        <v>377</v>
      </c>
      <c r="C1477" s="2">
        <v>45273</v>
      </c>
      <c r="D1477" s="2" t="str">
        <f>TEXT(Table3[[#This Row],[usage_date]],"mmmm")</f>
        <v>December</v>
      </c>
      <c r="E1477" s="9">
        <f>YEAR(Table3[[#This Row],[usage_date]])</f>
        <v>2023</v>
      </c>
      <c r="F1477" s="14">
        <v>1.35</v>
      </c>
      <c r="G1477">
        <v>219</v>
      </c>
      <c r="H1477" t="s">
        <v>12</v>
      </c>
      <c r="I1477" t="str">
        <f t="shared" si="23"/>
        <v>Normal Usage</v>
      </c>
    </row>
    <row r="1478" spans="1:9" x14ac:dyDescent="0.3">
      <c r="A1478">
        <v>11477</v>
      </c>
      <c r="B1478">
        <v>39</v>
      </c>
      <c r="C1478" s="2">
        <v>45104</v>
      </c>
      <c r="D1478" s="2" t="str">
        <f>TEXT(Table3[[#This Row],[usage_date]],"mmmm")</f>
        <v>June</v>
      </c>
      <c r="E1478" s="9">
        <f>YEAR(Table3[[#This Row],[usage_date]])</f>
        <v>2023</v>
      </c>
      <c r="F1478" s="14">
        <v>1.45</v>
      </c>
      <c r="G1478">
        <v>101</v>
      </c>
      <c r="H1478" t="s">
        <v>12</v>
      </c>
      <c r="I1478" t="str">
        <f t="shared" si="23"/>
        <v>Normal Usage</v>
      </c>
    </row>
    <row r="1479" spans="1:9" x14ac:dyDescent="0.3">
      <c r="A1479">
        <v>11478</v>
      </c>
      <c r="B1479">
        <v>28</v>
      </c>
      <c r="C1479" s="2">
        <v>45148</v>
      </c>
      <c r="D1479" s="2" t="str">
        <f>TEXT(Table3[[#This Row],[usage_date]],"mmmm")</f>
        <v>August</v>
      </c>
      <c r="E1479" s="9">
        <f>YEAR(Table3[[#This Row],[usage_date]])</f>
        <v>2023</v>
      </c>
      <c r="F1479" s="14">
        <v>2.5099999999999998</v>
      </c>
      <c r="G1479">
        <v>139</v>
      </c>
      <c r="H1479" t="s">
        <v>12</v>
      </c>
      <c r="I1479" t="str">
        <f t="shared" si="23"/>
        <v>Normal Usage</v>
      </c>
    </row>
    <row r="1480" spans="1:9" x14ac:dyDescent="0.3">
      <c r="A1480">
        <v>11479</v>
      </c>
      <c r="B1480">
        <v>259</v>
      </c>
      <c r="C1480" s="2">
        <v>44798</v>
      </c>
      <c r="D1480" s="2" t="str">
        <f>TEXT(Table3[[#This Row],[usage_date]],"mmmm")</f>
        <v>August</v>
      </c>
      <c r="E1480" s="9">
        <f>YEAR(Table3[[#This Row],[usage_date]])</f>
        <v>2022</v>
      </c>
      <c r="F1480" s="14">
        <v>3.72</v>
      </c>
      <c r="G1480">
        <v>168</v>
      </c>
      <c r="H1480" t="s">
        <v>12</v>
      </c>
      <c r="I1480" t="str">
        <f t="shared" si="23"/>
        <v>Normal Usage</v>
      </c>
    </row>
    <row r="1481" spans="1:9" x14ac:dyDescent="0.3">
      <c r="A1481">
        <v>11480</v>
      </c>
      <c r="B1481">
        <v>84</v>
      </c>
      <c r="C1481" s="2">
        <v>45400</v>
      </c>
      <c r="D1481" s="2" t="str">
        <f>TEXT(Table3[[#This Row],[usage_date]],"mmmm")</f>
        <v>April</v>
      </c>
      <c r="E1481" s="9">
        <f>YEAR(Table3[[#This Row],[usage_date]])</f>
        <v>2024</v>
      </c>
      <c r="F1481" s="14">
        <v>0.09</v>
      </c>
      <c r="G1481">
        <v>190</v>
      </c>
      <c r="H1481" t="s">
        <v>12</v>
      </c>
      <c r="I1481" t="str">
        <f t="shared" si="23"/>
        <v>Normal Usage</v>
      </c>
    </row>
    <row r="1482" spans="1:9" x14ac:dyDescent="0.3">
      <c r="A1482">
        <v>11481</v>
      </c>
      <c r="B1482">
        <v>454</v>
      </c>
      <c r="C1482" s="2">
        <v>44627</v>
      </c>
      <c r="D1482" s="2" t="str">
        <f>TEXT(Table3[[#This Row],[usage_date]],"mmmm")</f>
        <v>March</v>
      </c>
      <c r="E1482" s="9">
        <f>YEAR(Table3[[#This Row],[usage_date]])</f>
        <v>2022</v>
      </c>
      <c r="F1482" s="14">
        <v>2.25</v>
      </c>
      <c r="G1482">
        <v>24</v>
      </c>
      <c r="H1482" t="s">
        <v>12</v>
      </c>
      <c r="I1482" t="str">
        <f t="shared" si="23"/>
        <v>Normal Usage</v>
      </c>
    </row>
    <row r="1483" spans="1:9" x14ac:dyDescent="0.3">
      <c r="A1483">
        <v>11482</v>
      </c>
      <c r="B1483">
        <v>155</v>
      </c>
      <c r="C1483" s="2">
        <v>44631</v>
      </c>
      <c r="D1483" s="2" t="str">
        <f>TEXT(Table3[[#This Row],[usage_date]],"mmmm")</f>
        <v>March</v>
      </c>
      <c r="E1483" s="9">
        <f>YEAR(Table3[[#This Row],[usage_date]])</f>
        <v>2022</v>
      </c>
      <c r="F1483" s="14">
        <v>0.52</v>
      </c>
      <c r="G1483">
        <v>32</v>
      </c>
      <c r="H1483" t="s">
        <v>12</v>
      </c>
      <c r="I1483" t="str">
        <f t="shared" si="23"/>
        <v>Normal Usage</v>
      </c>
    </row>
    <row r="1484" spans="1:9" x14ac:dyDescent="0.3">
      <c r="A1484">
        <v>11483</v>
      </c>
      <c r="B1484">
        <v>117</v>
      </c>
      <c r="C1484" s="2">
        <v>45370</v>
      </c>
      <c r="D1484" s="2" t="str">
        <f>TEXT(Table3[[#This Row],[usage_date]],"mmmm")</f>
        <v>March</v>
      </c>
      <c r="E1484" s="9">
        <f>YEAR(Table3[[#This Row],[usage_date]])</f>
        <v>2024</v>
      </c>
      <c r="F1484" s="14">
        <v>1.06</v>
      </c>
      <c r="G1484">
        <v>5</v>
      </c>
      <c r="H1484" t="s">
        <v>12</v>
      </c>
      <c r="I1484" t="str">
        <f t="shared" si="23"/>
        <v>Normal Usage</v>
      </c>
    </row>
    <row r="1485" spans="1:9" x14ac:dyDescent="0.3">
      <c r="A1485">
        <v>11484</v>
      </c>
      <c r="B1485">
        <v>2</v>
      </c>
      <c r="C1485" s="2">
        <v>45008</v>
      </c>
      <c r="D1485" s="2" t="str">
        <f>TEXT(Table3[[#This Row],[usage_date]],"mmmm")</f>
        <v>March</v>
      </c>
      <c r="E1485" s="9">
        <f>YEAR(Table3[[#This Row],[usage_date]])</f>
        <v>2023</v>
      </c>
      <c r="F1485" s="14">
        <v>1.07</v>
      </c>
      <c r="G1485">
        <v>193</v>
      </c>
      <c r="H1485" t="s">
        <v>12</v>
      </c>
      <c r="I1485" t="str">
        <f t="shared" si="23"/>
        <v>Normal Usage</v>
      </c>
    </row>
    <row r="1486" spans="1:9" x14ac:dyDescent="0.3">
      <c r="A1486">
        <v>11485</v>
      </c>
      <c r="B1486">
        <v>93</v>
      </c>
      <c r="C1486" s="2">
        <v>44977</v>
      </c>
      <c r="D1486" s="2" t="str">
        <f>TEXT(Table3[[#This Row],[usage_date]],"mmmm")</f>
        <v>February</v>
      </c>
      <c r="E1486" s="9">
        <f>YEAR(Table3[[#This Row],[usage_date]])</f>
        <v>2023</v>
      </c>
      <c r="F1486" s="14">
        <v>1.58</v>
      </c>
      <c r="G1486">
        <v>229</v>
      </c>
      <c r="H1486" t="s">
        <v>12</v>
      </c>
      <c r="I1486" t="str">
        <f t="shared" si="23"/>
        <v>Normal Usage</v>
      </c>
    </row>
    <row r="1487" spans="1:9" x14ac:dyDescent="0.3">
      <c r="A1487">
        <v>11486</v>
      </c>
      <c r="B1487">
        <v>166</v>
      </c>
      <c r="C1487" s="2">
        <v>45093</v>
      </c>
      <c r="D1487" s="2" t="str">
        <f>TEXT(Table3[[#This Row],[usage_date]],"mmmm")</f>
        <v>June</v>
      </c>
      <c r="E1487" s="9">
        <f>YEAR(Table3[[#This Row],[usage_date]])</f>
        <v>2023</v>
      </c>
      <c r="F1487" s="14">
        <v>1.02</v>
      </c>
      <c r="G1487">
        <v>136</v>
      </c>
      <c r="H1487" t="s">
        <v>12</v>
      </c>
      <c r="I1487" t="str">
        <f t="shared" si="23"/>
        <v>Normal Usage</v>
      </c>
    </row>
    <row r="1488" spans="1:9" x14ac:dyDescent="0.3">
      <c r="A1488">
        <v>11487</v>
      </c>
      <c r="B1488">
        <v>387</v>
      </c>
      <c r="C1488" s="2">
        <v>45002</v>
      </c>
      <c r="D1488" s="2" t="str">
        <f>TEXT(Table3[[#This Row],[usage_date]],"mmmm")</f>
        <v>March</v>
      </c>
      <c r="E1488" s="9">
        <f>YEAR(Table3[[#This Row],[usage_date]])</f>
        <v>2023</v>
      </c>
      <c r="F1488" s="14">
        <v>0.28000000000000003</v>
      </c>
      <c r="G1488">
        <v>215</v>
      </c>
      <c r="H1488" t="s">
        <v>12</v>
      </c>
      <c r="I1488" t="str">
        <f t="shared" si="23"/>
        <v>Normal Usage</v>
      </c>
    </row>
    <row r="1489" spans="1:9" x14ac:dyDescent="0.3">
      <c r="A1489">
        <v>11488</v>
      </c>
      <c r="B1489">
        <v>400</v>
      </c>
      <c r="C1489" s="2">
        <v>45299</v>
      </c>
      <c r="D1489" s="2" t="str">
        <f>TEXT(Table3[[#This Row],[usage_date]],"mmmm")</f>
        <v>January</v>
      </c>
      <c r="E1489" s="9">
        <f>YEAR(Table3[[#This Row],[usage_date]])</f>
        <v>2024</v>
      </c>
      <c r="F1489" s="14">
        <v>0.39</v>
      </c>
      <c r="G1489">
        <v>182</v>
      </c>
      <c r="H1489" t="s">
        <v>13</v>
      </c>
      <c r="I1489" t="str">
        <f t="shared" si="23"/>
        <v>Normal Usage</v>
      </c>
    </row>
    <row r="1490" spans="1:9" x14ac:dyDescent="0.3">
      <c r="A1490">
        <v>11489</v>
      </c>
      <c r="B1490">
        <v>350</v>
      </c>
      <c r="C1490" s="2">
        <v>45025</v>
      </c>
      <c r="D1490" s="2" t="str">
        <f>TEXT(Table3[[#This Row],[usage_date]],"mmmm")</f>
        <v>April</v>
      </c>
      <c r="E1490" s="9">
        <f>YEAR(Table3[[#This Row],[usage_date]])</f>
        <v>2023</v>
      </c>
      <c r="F1490" s="14">
        <v>0.09</v>
      </c>
      <c r="G1490">
        <v>167</v>
      </c>
      <c r="H1490" t="s">
        <v>12</v>
      </c>
      <c r="I1490" t="str">
        <f t="shared" si="23"/>
        <v>Normal Usage</v>
      </c>
    </row>
    <row r="1491" spans="1:9" x14ac:dyDescent="0.3">
      <c r="A1491">
        <v>11490</v>
      </c>
      <c r="B1491">
        <v>296</v>
      </c>
      <c r="C1491" s="2">
        <v>44957</v>
      </c>
      <c r="D1491" s="2" t="str">
        <f>TEXT(Table3[[#This Row],[usage_date]],"mmmm")</f>
        <v>January</v>
      </c>
      <c r="E1491" s="9">
        <f>YEAR(Table3[[#This Row],[usage_date]])</f>
        <v>2023</v>
      </c>
      <c r="F1491" s="14">
        <v>1.59</v>
      </c>
      <c r="G1491">
        <v>281</v>
      </c>
      <c r="H1491" t="s">
        <v>12</v>
      </c>
      <c r="I1491" t="str">
        <f t="shared" si="23"/>
        <v>Normal Usage</v>
      </c>
    </row>
    <row r="1492" spans="1:9" x14ac:dyDescent="0.3">
      <c r="A1492">
        <v>11491</v>
      </c>
      <c r="B1492">
        <v>258</v>
      </c>
      <c r="C1492" s="2">
        <v>45272</v>
      </c>
      <c r="D1492" s="2" t="str">
        <f>TEXT(Table3[[#This Row],[usage_date]],"mmmm")</f>
        <v>December</v>
      </c>
      <c r="E1492" s="9">
        <f>YEAR(Table3[[#This Row],[usage_date]])</f>
        <v>2023</v>
      </c>
      <c r="F1492" s="14">
        <v>7.72</v>
      </c>
      <c r="G1492">
        <v>37</v>
      </c>
      <c r="H1492" t="s">
        <v>13</v>
      </c>
      <c r="I1492" t="str">
        <f t="shared" si="23"/>
        <v>High Usage</v>
      </c>
    </row>
    <row r="1493" spans="1:9" x14ac:dyDescent="0.3">
      <c r="A1493">
        <v>11492</v>
      </c>
      <c r="B1493">
        <v>81</v>
      </c>
      <c r="C1493" s="2">
        <v>45112</v>
      </c>
      <c r="D1493" s="2" t="str">
        <f>TEXT(Table3[[#This Row],[usage_date]],"mmmm")</f>
        <v>July</v>
      </c>
      <c r="E1493" s="9">
        <f>YEAR(Table3[[#This Row],[usage_date]])</f>
        <v>2023</v>
      </c>
      <c r="F1493" s="14">
        <v>0.31</v>
      </c>
      <c r="G1493">
        <v>162</v>
      </c>
      <c r="H1493" t="s">
        <v>13</v>
      </c>
      <c r="I1493" t="str">
        <f t="shared" si="23"/>
        <v>Normal Usage</v>
      </c>
    </row>
    <row r="1494" spans="1:9" x14ac:dyDescent="0.3">
      <c r="A1494">
        <v>11493</v>
      </c>
      <c r="B1494">
        <v>425</v>
      </c>
      <c r="C1494" s="2">
        <v>45218</v>
      </c>
      <c r="D1494" s="2" t="str">
        <f>TEXT(Table3[[#This Row],[usage_date]],"mmmm")</f>
        <v>October</v>
      </c>
      <c r="E1494" s="9">
        <f>YEAR(Table3[[#This Row],[usage_date]])</f>
        <v>2023</v>
      </c>
      <c r="F1494" s="14">
        <v>7.31</v>
      </c>
      <c r="G1494">
        <v>141</v>
      </c>
      <c r="H1494" t="s">
        <v>13</v>
      </c>
      <c r="I1494" t="str">
        <f t="shared" si="23"/>
        <v>High Usage</v>
      </c>
    </row>
    <row r="1495" spans="1:9" x14ac:dyDescent="0.3">
      <c r="A1495">
        <v>11494</v>
      </c>
      <c r="B1495">
        <v>268</v>
      </c>
      <c r="C1495" s="2">
        <v>45118</v>
      </c>
      <c r="D1495" s="2" t="str">
        <f>TEXT(Table3[[#This Row],[usage_date]],"mmmm")</f>
        <v>July</v>
      </c>
      <c r="E1495" s="9">
        <f>YEAR(Table3[[#This Row],[usage_date]])</f>
        <v>2023</v>
      </c>
      <c r="F1495" s="14">
        <v>3.3</v>
      </c>
      <c r="G1495">
        <v>247</v>
      </c>
      <c r="H1495" t="s">
        <v>12</v>
      </c>
      <c r="I1495" t="str">
        <f t="shared" si="23"/>
        <v>Normal Usage</v>
      </c>
    </row>
    <row r="1496" spans="1:9" x14ac:dyDescent="0.3">
      <c r="A1496">
        <v>11495</v>
      </c>
      <c r="B1496">
        <v>419</v>
      </c>
      <c r="C1496" s="2">
        <v>44956</v>
      </c>
      <c r="D1496" s="2" t="str">
        <f>TEXT(Table3[[#This Row],[usage_date]],"mmmm")</f>
        <v>January</v>
      </c>
      <c r="E1496" s="9">
        <f>YEAR(Table3[[#This Row],[usage_date]])</f>
        <v>2023</v>
      </c>
      <c r="F1496" s="14">
        <v>2.54</v>
      </c>
      <c r="G1496">
        <v>102</v>
      </c>
      <c r="H1496" t="s">
        <v>12</v>
      </c>
      <c r="I1496" t="str">
        <f t="shared" si="23"/>
        <v>Normal Usage</v>
      </c>
    </row>
    <row r="1497" spans="1:9" x14ac:dyDescent="0.3">
      <c r="A1497">
        <v>11496</v>
      </c>
      <c r="B1497">
        <v>235</v>
      </c>
      <c r="C1497" s="2">
        <v>44887</v>
      </c>
      <c r="D1497" s="2" t="str">
        <f>TEXT(Table3[[#This Row],[usage_date]],"mmmm")</f>
        <v>November</v>
      </c>
      <c r="E1497" s="9">
        <f>YEAR(Table3[[#This Row],[usage_date]])</f>
        <v>2022</v>
      </c>
      <c r="F1497" s="14">
        <v>2.59</v>
      </c>
      <c r="G1497">
        <v>198</v>
      </c>
      <c r="H1497" t="s">
        <v>12</v>
      </c>
      <c r="I1497" t="str">
        <f t="shared" si="23"/>
        <v>Normal Usage</v>
      </c>
    </row>
    <row r="1498" spans="1:9" x14ac:dyDescent="0.3">
      <c r="A1498">
        <v>11497</v>
      </c>
      <c r="B1498">
        <v>321</v>
      </c>
      <c r="C1498" s="2">
        <v>45454</v>
      </c>
      <c r="D1498" s="2" t="str">
        <f>TEXT(Table3[[#This Row],[usage_date]],"mmmm")</f>
        <v>June</v>
      </c>
      <c r="E1498" s="9">
        <f>YEAR(Table3[[#This Row],[usage_date]])</f>
        <v>2024</v>
      </c>
      <c r="F1498" s="14">
        <v>4.38</v>
      </c>
      <c r="G1498">
        <v>199</v>
      </c>
      <c r="H1498" t="s">
        <v>12</v>
      </c>
      <c r="I1498" t="str">
        <f t="shared" si="23"/>
        <v>Normal Usage</v>
      </c>
    </row>
    <row r="1499" spans="1:9" x14ac:dyDescent="0.3">
      <c r="A1499">
        <v>11498</v>
      </c>
      <c r="B1499">
        <v>311</v>
      </c>
      <c r="C1499" s="2">
        <v>44652</v>
      </c>
      <c r="D1499" s="2" t="str">
        <f>TEXT(Table3[[#This Row],[usage_date]],"mmmm")</f>
        <v>April</v>
      </c>
      <c r="E1499" s="9">
        <f>YEAR(Table3[[#This Row],[usage_date]])</f>
        <v>2022</v>
      </c>
      <c r="F1499" s="14">
        <v>0.28000000000000003</v>
      </c>
      <c r="G1499">
        <v>41</v>
      </c>
      <c r="H1499" t="s">
        <v>13</v>
      </c>
      <c r="I1499" t="str">
        <f t="shared" si="23"/>
        <v>Normal Usage</v>
      </c>
    </row>
    <row r="1500" spans="1:9" x14ac:dyDescent="0.3">
      <c r="A1500">
        <v>11499</v>
      </c>
      <c r="B1500">
        <v>301</v>
      </c>
      <c r="C1500" s="2">
        <v>45311</v>
      </c>
      <c r="D1500" s="2" t="str">
        <f>TEXT(Table3[[#This Row],[usage_date]],"mmmm")</f>
        <v>January</v>
      </c>
      <c r="E1500" s="9">
        <f>YEAR(Table3[[#This Row],[usage_date]])</f>
        <v>2024</v>
      </c>
      <c r="F1500" s="14">
        <v>1.76</v>
      </c>
      <c r="G1500">
        <v>146</v>
      </c>
      <c r="H1500" t="s">
        <v>12</v>
      </c>
      <c r="I1500" t="str">
        <f t="shared" si="23"/>
        <v>Normal Usage</v>
      </c>
    </row>
    <row r="1501" spans="1:9" x14ac:dyDescent="0.3">
      <c r="A1501">
        <v>11500</v>
      </c>
      <c r="B1501">
        <v>463</v>
      </c>
      <c r="C1501" s="2">
        <v>44631</v>
      </c>
      <c r="D1501" s="2" t="str">
        <f>TEXT(Table3[[#This Row],[usage_date]],"mmmm")</f>
        <v>March</v>
      </c>
      <c r="E1501" s="9">
        <f>YEAR(Table3[[#This Row],[usage_date]])</f>
        <v>2022</v>
      </c>
      <c r="F1501" s="14">
        <v>2.99</v>
      </c>
      <c r="G1501">
        <v>65</v>
      </c>
      <c r="H1501" t="s">
        <v>13</v>
      </c>
      <c r="I1501" t="str">
        <f t="shared" si="23"/>
        <v>Normal Usage</v>
      </c>
    </row>
    <row r="1502" spans="1:9" x14ac:dyDescent="0.3">
      <c r="A1502">
        <v>11501</v>
      </c>
      <c r="B1502">
        <v>474</v>
      </c>
      <c r="C1502" s="2">
        <v>44727</v>
      </c>
      <c r="D1502" s="2" t="str">
        <f>TEXT(Table3[[#This Row],[usage_date]],"mmmm")</f>
        <v>June</v>
      </c>
      <c r="E1502" s="9">
        <f>YEAR(Table3[[#This Row],[usage_date]])</f>
        <v>2022</v>
      </c>
      <c r="F1502" s="14">
        <v>2.21</v>
      </c>
      <c r="G1502">
        <v>192</v>
      </c>
      <c r="H1502" t="s">
        <v>12</v>
      </c>
      <c r="I1502" t="str">
        <f t="shared" si="23"/>
        <v>Normal Usage</v>
      </c>
    </row>
    <row r="1503" spans="1:9" x14ac:dyDescent="0.3">
      <c r="A1503">
        <v>11502</v>
      </c>
      <c r="B1503">
        <v>357</v>
      </c>
      <c r="C1503" s="2">
        <v>45203</v>
      </c>
      <c r="D1503" s="2" t="str">
        <f>TEXT(Table3[[#This Row],[usage_date]],"mmmm")</f>
        <v>October</v>
      </c>
      <c r="E1503" s="9">
        <f>YEAR(Table3[[#This Row],[usage_date]])</f>
        <v>2023</v>
      </c>
      <c r="F1503" s="14">
        <v>4.47</v>
      </c>
      <c r="G1503">
        <v>297</v>
      </c>
      <c r="H1503" t="s">
        <v>12</v>
      </c>
      <c r="I1503" t="str">
        <f t="shared" si="23"/>
        <v>Normal Usage</v>
      </c>
    </row>
    <row r="1504" spans="1:9" x14ac:dyDescent="0.3">
      <c r="A1504">
        <v>11503</v>
      </c>
      <c r="B1504">
        <v>213</v>
      </c>
      <c r="C1504" s="2">
        <v>44775</v>
      </c>
      <c r="D1504" s="2" t="str">
        <f>TEXT(Table3[[#This Row],[usage_date]],"mmmm")</f>
        <v>August</v>
      </c>
      <c r="E1504" s="9">
        <f>YEAR(Table3[[#This Row],[usage_date]])</f>
        <v>2022</v>
      </c>
      <c r="F1504" s="14">
        <v>0.19</v>
      </c>
      <c r="G1504">
        <v>37</v>
      </c>
      <c r="H1504" t="s">
        <v>13</v>
      </c>
      <c r="I1504" t="str">
        <f t="shared" si="23"/>
        <v>Normal Usage</v>
      </c>
    </row>
    <row r="1505" spans="1:9" x14ac:dyDescent="0.3">
      <c r="A1505">
        <v>11504</v>
      </c>
      <c r="B1505">
        <v>62</v>
      </c>
      <c r="C1505" s="2">
        <v>45413</v>
      </c>
      <c r="D1505" s="2" t="str">
        <f>TEXT(Table3[[#This Row],[usage_date]],"mmmm")</f>
        <v>May</v>
      </c>
      <c r="E1505" s="9">
        <f>YEAR(Table3[[#This Row],[usage_date]])</f>
        <v>2024</v>
      </c>
      <c r="F1505" s="14">
        <v>2.93</v>
      </c>
      <c r="G1505">
        <v>140</v>
      </c>
      <c r="H1505" t="s">
        <v>13</v>
      </c>
      <c r="I1505" t="str">
        <f t="shared" si="23"/>
        <v>Normal Usage</v>
      </c>
    </row>
    <row r="1506" spans="1:9" x14ac:dyDescent="0.3">
      <c r="A1506">
        <v>11505</v>
      </c>
      <c r="B1506">
        <v>49</v>
      </c>
      <c r="C1506" s="2">
        <v>45162</v>
      </c>
      <c r="D1506" s="2" t="str">
        <f>TEXT(Table3[[#This Row],[usage_date]],"mmmm")</f>
        <v>August</v>
      </c>
      <c r="E1506" s="9">
        <f>YEAR(Table3[[#This Row],[usage_date]])</f>
        <v>2023</v>
      </c>
      <c r="F1506" s="14">
        <v>1.91</v>
      </c>
      <c r="G1506">
        <v>105</v>
      </c>
      <c r="H1506" t="s">
        <v>13</v>
      </c>
      <c r="I1506" t="str">
        <f t="shared" si="23"/>
        <v>Normal Usage</v>
      </c>
    </row>
    <row r="1507" spans="1:9" x14ac:dyDescent="0.3">
      <c r="A1507">
        <v>11506</v>
      </c>
      <c r="B1507">
        <v>127</v>
      </c>
      <c r="C1507" s="2">
        <v>44896</v>
      </c>
      <c r="D1507" s="2" t="str">
        <f>TEXT(Table3[[#This Row],[usage_date]],"mmmm")</f>
        <v>December</v>
      </c>
      <c r="E1507" s="9">
        <f>YEAR(Table3[[#This Row],[usage_date]])</f>
        <v>2022</v>
      </c>
      <c r="F1507" s="14">
        <v>1.19</v>
      </c>
      <c r="G1507">
        <v>151</v>
      </c>
      <c r="H1507" t="s">
        <v>13</v>
      </c>
      <c r="I1507" t="str">
        <f t="shared" si="23"/>
        <v>Normal Usage</v>
      </c>
    </row>
    <row r="1508" spans="1:9" x14ac:dyDescent="0.3">
      <c r="A1508">
        <v>11507</v>
      </c>
      <c r="B1508">
        <v>223</v>
      </c>
      <c r="C1508" s="2">
        <v>45325</v>
      </c>
      <c r="D1508" s="2" t="str">
        <f>TEXT(Table3[[#This Row],[usage_date]],"mmmm")</f>
        <v>February</v>
      </c>
      <c r="E1508" s="9">
        <f>YEAR(Table3[[#This Row],[usage_date]])</f>
        <v>2024</v>
      </c>
      <c r="F1508" s="14">
        <v>1.04</v>
      </c>
      <c r="G1508">
        <v>37</v>
      </c>
      <c r="H1508" t="s">
        <v>12</v>
      </c>
      <c r="I1508" t="str">
        <f t="shared" si="23"/>
        <v>Normal Usage</v>
      </c>
    </row>
    <row r="1509" spans="1:9" x14ac:dyDescent="0.3">
      <c r="A1509">
        <v>11508</v>
      </c>
      <c r="B1509">
        <v>409</v>
      </c>
      <c r="C1509" s="2">
        <v>44930</v>
      </c>
      <c r="D1509" s="2" t="str">
        <f>TEXT(Table3[[#This Row],[usage_date]],"mmmm")</f>
        <v>January</v>
      </c>
      <c r="E1509" s="9">
        <f>YEAR(Table3[[#This Row],[usage_date]])</f>
        <v>2023</v>
      </c>
      <c r="F1509" s="14">
        <v>2.42</v>
      </c>
      <c r="G1509">
        <v>96</v>
      </c>
      <c r="H1509" t="s">
        <v>12</v>
      </c>
      <c r="I1509" t="str">
        <f t="shared" si="23"/>
        <v>Normal Usage</v>
      </c>
    </row>
    <row r="1510" spans="1:9" x14ac:dyDescent="0.3">
      <c r="A1510">
        <v>11509</v>
      </c>
      <c r="B1510">
        <v>279</v>
      </c>
      <c r="C1510" s="2">
        <v>45422</v>
      </c>
      <c r="D1510" s="2" t="str">
        <f>TEXT(Table3[[#This Row],[usage_date]],"mmmm")</f>
        <v>May</v>
      </c>
      <c r="E1510" s="9">
        <f>YEAR(Table3[[#This Row],[usage_date]])</f>
        <v>2024</v>
      </c>
      <c r="F1510" s="14">
        <v>5.54</v>
      </c>
      <c r="G1510">
        <v>107</v>
      </c>
      <c r="H1510" t="s">
        <v>13</v>
      </c>
      <c r="I1510" t="str">
        <f t="shared" si="23"/>
        <v>Normal Usage</v>
      </c>
    </row>
    <row r="1511" spans="1:9" x14ac:dyDescent="0.3">
      <c r="A1511">
        <v>11510</v>
      </c>
      <c r="B1511">
        <v>408</v>
      </c>
      <c r="C1511" s="2">
        <v>45145</v>
      </c>
      <c r="D1511" s="2" t="str">
        <f>TEXT(Table3[[#This Row],[usage_date]],"mmmm")</f>
        <v>August</v>
      </c>
      <c r="E1511" s="9">
        <f>YEAR(Table3[[#This Row],[usage_date]])</f>
        <v>2023</v>
      </c>
      <c r="F1511" s="14">
        <v>1.71</v>
      </c>
      <c r="G1511">
        <v>118</v>
      </c>
      <c r="H1511" t="s">
        <v>12</v>
      </c>
      <c r="I1511" t="str">
        <f t="shared" si="23"/>
        <v>Normal Usage</v>
      </c>
    </row>
    <row r="1512" spans="1:9" x14ac:dyDescent="0.3">
      <c r="A1512">
        <v>11511</v>
      </c>
      <c r="B1512">
        <v>294</v>
      </c>
      <c r="C1512" s="2">
        <v>45238</v>
      </c>
      <c r="D1512" s="2" t="str">
        <f>TEXT(Table3[[#This Row],[usage_date]],"mmmm")</f>
        <v>November</v>
      </c>
      <c r="E1512" s="9">
        <f>YEAR(Table3[[#This Row],[usage_date]])</f>
        <v>2023</v>
      </c>
      <c r="F1512" s="14">
        <v>4.3499999999999996</v>
      </c>
      <c r="G1512">
        <v>150</v>
      </c>
      <c r="H1512" t="s">
        <v>12</v>
      </c>
      <c r="I1512" t="str">
        <f t="shared" si="23"/>
        <v>Normal Usage</v>
      </c>
    </row>
    <row r="1513" spans="1:9" x14ac:dyDescent="0.3">
      <c r="A1513">
        <v>11512</v>
      </c>
      <c r="B1513">
        <v>284</v>
      </c>
      <c r="C1513" s="2">
        <v>44610</v>
      </c>
      <c r="D1513" s="2" t="str">
        <f>TEXT(Table3[[#This Row],[usage_date]],"mmmm")</f>
        <v>February</v>
      </c>
      <c r="E1513" s="9">
        <f>YEAR(Table3[[#This Row],[usage_date]])</f>
        <v>2022</v>
      </c>
      <c r="F1513" s="14">
        <v>1.29</v>
      </c>
      <c r="G1513">
        <v>73</v>
      </c>
      <c r="H1513" t="s">
        <v>12</v>
      </c>
      <c r="I1513" t="str">
        <f t="shared" si="23"/>
        <v>Normal Usage</v>
      </c>
    </row>
    <row r="1514" spans="1:9" x14ac:dyDescent="0.3">
      <c r="A1514">
        <v>11513</v>
      </c>
      <c r="B1514">
        <v>277</v>
      </c>
      <c r="C1514" s="2">
        <v>44613</v>
      </c>
      <c r="D1514" s="2" t="str">
        <f>TEXT(Table3[[#This Row],[usage_date]],"mmmm")</f>
        <v>February</v>
      </c>
      <c r="E1514" s="9">
        <f>YEAR(Table3[[#This Row],[usage_date]])</f>
        <v>2022</v>
      </c>
      <c r="F1514" s="14">
        <v>0.27</v>
      </c>
      <c r="G1514">
        <v>56</v>
      </c>
      <c r="H1514" t="s">
        <v>12</v>
      </c>
      <c r="I1514" t="str">
        <f t="shared" si="23"/>
        <v>Normal Usage</v>
      </c>
    </row>
    <row r="1515" spans="1:9" x14ac:dyDescent="0.3">
      <c r="A1515">
        <v>11514</v>
      </c>
      <c r="B1515">
        <v>438</v>
      </c>
      <c r="C1515" s="2">
        <v>44850</v>
      </c>
      <c r="D1515" s="2" t="str">
        <f>TEXT(Table3[[#This Row],[usage_date]],"mmmm")</f>
        <v>October</v>
      </c>
      <c r="E1515" s="9">
        <f>YEAR(Table3[[#This Row],[usage_date]])</f>
        <v>2022</v>
      </c>
      <c r="F1515" s="14">
        <v>0.16</v>
      </c>
      <c r="G1515">
        <v>251</v>
      </c>
      <c r="H1515" t="s">
        <v>12</v>
      </c>
      <c r="I1515" t="str">
        <f t="shared" si="23"/>
        <v>Normal Usage</v>
      </c>
    </row>
    <row r="1516" spans="1:9" x14ac:dyDescent="0.3">
      <c r="A1516">
        <v>11515</v>
      </c>
      <c r="B1516">
        <v>107</v>
      </c>
      <c r="C1516" s="2">
        <v>45351</v>
      </c>
      <c r="D1516" s="2" t="str">
        <f>TEXT(Table3[[#This Row],[usage_date]],"mmmm")</f>
        <v>February</v>
      </c>
      <c r="E1516" s="9">
        <f>YEAR(Table3[[#This Row],[usage_date]])</f>
        <v>2024</v>
      </c>
      <c r="F1516" s="14">
        <v>0.13</v>
      </c>
      <c r="G1516">
        <v>291</v>
      </c>
      <c r="H1516" t="s">
        <v>13</v>
      </c>
      <c r="I1516" t="str">
        <f t="shared" si="23"/>
        <v>Normal Usage</v>
      </c>
    </row>
    <row r="1517" spans="1:9" x14ac:dyDescent="0.3">
      <c r="A1517">
        <v>11516</v>
      </c>
      <c r="B1517">
        <v>146</v>
      </c>
      <c r="C1517" s="2">
        <v>45187</v>
      </c>
      <c r="D1517" s="2" t="str">
        <f>TEXT(Table3[[#This Row],[usage_date]],"mmmm")</f>
        <v>September</v>
      </c>
      <c r="E1517" s="9">
        <f>YEAR(Table3[[#This Row],[usage_date]])</f>
        <v>2023</v>
      </c>
      <c r="F1517" s="14">
        <v>1.2</v>
      </c>
      <c r="G1517">
        <v>254</v>
      </c>
      <c r="H1517" t="s">
        <v>12</v>
      </c>
      <c r="I1517" t="str">
        <f t="shared" si="23"/>
        <v>Normal Usage</v>
      </c>
    </row>
    <row r="1518" spans="1:9" x14ac:dyDescent="0.3">
      <c r="A1518">
        <v>11517</v>
      </c>
      <c r="B1518">
        <v>420</v>
      </c>
      <c r="C1518" s="2">
        <v>44800</v>
      </c>
      <c r="D1518" s="2" t="str">
        <f>TEXT(Table3[[#This Row],[usage_date]],"mmmm")</f>
        <v>August</v>
      </c>
      <c r="E1518" s="9">
        <f>YEAR(Table3[[#This Row],[usage_date]])</f>
        <v>2022</v>
      </c>
      <c r="F1518" s="14">
        <v>1.03</v>
      </c>
      <c r="G1518">
        <v>253</v>
      </c>
      <c r="H1518" t="s">
        <v>12</v>
      </c>
      <c r="I1518" t="str">
        <f t="shared" si="23"/>
        <v>Normal Usage</v>
      </c>
    </row>
    <row r="1519" spans="1:9" x14ac:dyDescent="0.3">
      <c r="A1519">
        <v>11518</v>
      </c>
      <c r="B1519">
        <v>99</v>
      </c>
      <c r="C1519" s="2">
        <v>44694</v>
      </c>
      <c r="D1519" s="2" t="str">
        <f>TEXT(Table3[[#This Row],[usage_date]],"mmmm")</f>
        <v>May</v>
      </c>
      <c r="E1519" s="9">
        <f>YEAR(Table3[[#This Row],[usage_date]])</f>
        <v>2022</v>
      </c>
      <c r="F1519" s="14">
        <v>3.16</v>
      </c>
      <c r="G1519">
        <v>258</v>
      </c>
      <c r="H1519" t="s">
        <v>13</v>
      </c>
      <c r="I1519" t="str">
        <f t="shared" si="23"/>
        <v>Normal Usage</v>
      </c>
    </row>
    <row r="1520" spans="1:9" x14ac:dyDescent="0.3">
      <c r="A1520">
        <v>11519</v>
      </c>
      <c r="B1520">
        <v>429</v>
      </c>
      <c r="C1520" s="2">
        <v>45347</v>
      </c>
      <c r="D1520" s="2" t="str">
        <f>TEXT(Table3[[#This Row],[usage_date]],"mmmm")</f>
        <v>February</v>
      </c>
      <c r="E1520" s="9">
        <f>YEAR(Table3[[#This Row],[usage_date]])</f>
        <v>2024</v>
      </c>
      <c r="F1520" s="14">
        <v>3.39</v>
      </c>
      <c r="G1520">
        <v>269</v>
      </c>
      <c r="H1520" t="s">
        <v>12</v>
      </c>
      <c r="I1520" t="str">
        <f t="shared" si="23"/>
        <v>Normal Usage</v>
      </c>
    </row>
    <row r="1521" spans="1:9" x14ac:dyDescent="0.3">
      <c r="A1521">
        <v>11520</v>
      </c>
      <c r="B1521">
        <v>375</v>
      </c>
      <c r="C1521" s="2">
        <v>44727</v>
      </c>
      <c r="D1521" s="2" t="str">
        <f>TEXT(Table3[[#This Row],[usage_date]],"mmmm")</f>
        <v>June</v>
      </c>
      <c r="E1521" s="9">
        <f>YEAR(Table3[[#This Row],[usage_date]])</f>
        <v>2022</v>
      </c>
      <c r="F1521" s="14">
        <v>0.13</v>
      </c>
      <c r="G1521">
        <v>33</v>
      </c>
      <c r="H1521" t="s">
        <v>13</v>
      </c>
      <c r="I1521" t="str">
        <f t="shared" si="23"/>
        <v>Normal Usage</v>
      </c>
    </row>
    <row r="1522" spans="1:9" x14ac:dyDescent="0.3">
      <c r="A1522">
        <v>11521</v>
      </c>
      <c r="B1522">
        <v>73</v>
      </c>
      <c r="C1522" s="2">
        <v>44935</v>
      </c>
      <c r="D1522" s="2" t="str">
        <f>TEXT(Table3[[#This Row],[usage_date]],"mmmm")</f>
        <v>January</v>
      </c>
      <c r="E1522" s="9">
        <f>YEAR(Table3[[#This Row],[usage_date]])</f>
        <v>2023</v>
      </c>
      <c r="F1522" s="14">
        <v>0.62</v>
      </c>
      <c r="G1522">
        <v>237</v>
      </c>
      <c r="H1522" t="s">
        <v>12</v>
      </c>
      <c r="I1522" t="str">
        <f t="shared" si="23"/>
        <v>Normal Usage</v>
      </c>
    </row>
    <row r="1523" spans="1:9" x14ac:dyDescent="0.3">
      <c r="A1523">
        <v>11522</v>
      </c>
      <c r="B1523">
        <v>437</v>
      </c>
      <c r="C1523" s="2">
        <v>44934</v>
      </c>
      <c r="D1523" s="2" t="str">
        <f>TEXT(Table3[[#This Row],[usage_date]],"mmmm")</f>
        <v>January</v>
      </c>
      <c r="E1523" s="9">
        <f>YEAR(Table3[[#This Row],[usage_date]])</f>
        <v>2023</v>
      </c>
      <c r="F1523" s="14">
        <v>0.8</v>
      </c>
      <c r="G1523">
        <v>178</v>
      </c>
      <c r="H1523" t="s">
        <v>13</v>
      </c>
      <c r="I1523" t="str">
        <f t="shared" si="23"/>
        <v>Normal Usage</v>
      </c>
    </row>
    <row r="1524" spans="1:9" x14ac:dyDescent="0.3">
      <c r="A1524">
        <v>11523</v>
      </c>
      <c r="B1524">
        <v>486</v>
      </c>
      <c r="C1524" s="2">
        <v>45366</v>
      </c>
      <c r="D1524" s="2" t="str">
        <f>TEXT(Table3[[#This Row],[usage_date]],"mmmm")</f>
        <v>March</v>
      </c>
      <c r="E1524" s="9">
        <f>YEAR(Table3[[#This Row],[usage_date]])</f>
        <v>2024</v>
      </c>
      <c r="F1524" s="14">
        <v>1.98</v>
      </c>
      <c r="G1524">
        <v>103</v>
      </c>
      <c r="H1524" t="s">
        <v>12</v>
      </c>
      <c r="I1524" t="str">
        <f t="shared" si="23"/>
        <v>Normal Usage</v>
      </c>
    </row>
    <row r="1525" spans="1:9" x14ac:dyDescent="0.3">
      <c r="A1525">
        <v>11524</v>
      </c>
      <c r="B1525">
        <v>122</v>
      </c>
      <c r="C1525" s="2">
        <v>45039</v>
      </c>
      <c r="D1525" s="2" t="str">
        <f>TEXT(Table3[[#This Row],[usage_date]],"mmmm")</f>
        <v>April</v>
      </c>
      <c r="E1525" s="9">
        <f>YEAR(Table3[[#This Row],[usage_date]])</f>
        <v>2023</v>
      </c>
      <c r="F1525" s="14">
        <v>0.39</v>
      </c>
      <c r="G1525">
        <v>28</v>
      </c>
      <c r="H1525" t="s">
        <v>12</v>
      </c>
      <c r="I1525" t="str">
        <f t="shared" si="23"/>
        <v>Normal Usage</v>
      </c>
    </row>
    <row r="1526" spans="1:9" x14ac:dyDescent="0.3">
      <c r="A1526">
        <v>11525</v>
      </c>
      <c r="B1526">
        <v>30</v>
      </c>
      <c r="C1526" s="2">
        <v>45316</v>
      </c>
      <c r="D1526" s="2" t="str">
        <f>TEXT(Table3[[#This Row],[usage_date]],"mmmm")</f>
        <v>January</v>
      </c>
      <c r="E1526" s="9">
        <f>YEAR(Table3[[#This Row],[usage_date]])</f>
        <v>2024</v>
      </c>
      <c r="F1526" s="14">
        <v>0.36</v>
      </c>
      <c r="G1526">
        <v>226</v>
      </c>
      <c r="H1526" t="s">
        <v>13</v>
      </c>
      <c r="I1526" t="str">
        <f t="shared" si="23"/>
        <v>Normal Usage</v>
      </c>
    </row>
    <row r="1527" spans="1:9" x14ac:dyDescent="0.3">
      <c r="A1527">
        <v>11526</v>
      </c>
      <c r="B1527">
        <v>188</v>
      </c>
      <c r="C1527" s="2">
        <v>45040</v>
      </c>
      <c r="D1527" s="2" t="str">
        <f>TEXT(Table3[[#This Row],[usage_date]],"mmmm")</f>
        <v>April</v>
      </c>
      <c r="E1527" s="9">
        <f>YEAR(Table3[[#This Row],[usage_date]])</f>
        <v>2023</v>
      </c>
      <c r="F1527" s="14">
        <v>7.2</v>
      </c>
      <c r="G1527">
        <v>231</v>
      </c>
      <c r="H1527" t="s">
        <v>13</v>
      </c>
      <c r="I1527" t="str">
        <f t="shared" si="23"/>
        <v>High Usage</v>
      </c>
    </row>
    <row r="1528" spans="1:9" x14ac:dyDescent="0.3">
      <c r="A1528">
        <v>11527</v>
      </c>
      <c r="B1528">
        <v>364</v>
      </c>
      <c r="C1528" s="2">
        <v>45393</v>
      </c>
      <c r="D1528" s="2" t="str">
        <f>TEXT(Table3[[#This Row],[usage_date]],"mmmm")</f>
        <v>April</v>
      </c>
      <c r="E1528" s="9">
        <f>YEAR(Table3[[#This Row],[usage_date]])</f>
        <v>2024</v>
      </c>
      <c r="F1528" s="14">
        <v>4.08</v>
      </c>
      <c r="G1528">
        <v>116</v>
      </c>
      <c r="H1528" t="s">
        <v>12</v>
      </c>
      <c r="I1528" t="str">
        <f t="shared" si="23"/>
        <v>Normal Usage</v>
      </c>
    </row>
    <row r="1529" spans="1:9" x14ac:dyDescent="0.3">
      <c r="A1529">
        <v>11528</v>
      </c>
      <c r="B1529">
        <v>354</v>
      </c>
      <c r="C1529" s="2">
        <v>45211</v>
      </c>
      <c r="D1529" s="2" t="str">
        <f>TEXT(Table3[[#This Row],[usage_date]],"mmmm")</f>
        <v>October</v>
      </c>
      <c r="E1529" s="9">
        <f>YEAR(Table3[[#This Row],[usage_date]])</f>
        <v>2023</v>
      </c>
      <c r="F1529" s="14">
        <v>0.5</v>
      </c>
      <c r="G1529">
        <v>206</v>
      </c>
      <c r="H1529" t="s">
        <v>13</v>
      </c>
      <c r="I1529" t="str">
        <f t="shared" si="23"/>
        <v>Normal Usage</v>
      </c>
    </row>
    <row r="1530" spans="1:9" x14ac:dyDescent="0.3">
      <c r="A1530">
        <v>11529</v>
      </c>
      <c r="B1530">
        <v>288</v>
      </c>
      <c r="C1530" s="2">
        <v>45152</v>
      </c>
      <c r="D1530" s="2" t="str">
        <f>TEXT(Table3[[#This Row],[usage_date]],"mmmm")</f>
        <v>August</v>
      </c>
      <c r="E1530" s="9">
        <f>YEAR(Table3[[#This Row],[usage_date]])</f>
        <v>2023</v>
      </c>
      <c r="F1530" s="14">
        <v>1.3</v>
      </c>
      <c r="G1530">
        <v>184</v>
      </c>
      <c r="H1530" t="s">
        <v>12</v>
      </c>
      <c r="I1530" t="str">
        <f t="shared" si="23"/>
        <v>Normal Usage</v>
      </c>
    </row>
    <row r="1531" spans="1:9" x14ac:dyDescent="0.3">
      <c r="A1531">
        <v>11530</v>
      </c>
      <c r="B1531">
        <v>451</v>
      </c>
      <c r="C1531" s="2">
        <v>45243</v>
      </c>
      <c r="D1531" s="2" t="str">
        <f>TEXT(Table3[[#This Row],[usage_date]],"mmmm")</f>
        <v>November</v>
      </c>
      <c r="E1531" s="9">
        <f>YEAR(Table3[[#This Row],[usage_date]])</f>
        <v>2023</v>
      </c>
      <c r="F1531" s="14">
        <v>1.1000000000000001</v>
      </c>
      <c r="G1531">
        <v>137</v>
      </c>
      <c r="H1531" t="s">
        <v>13</v>
      </c>
      <c r="I1531" t="str">
        <f t="shared" si="23"/>
        <v>Normal Usage</v>
      </c>
    </row>
    <row r="1532" spans="1:9" x14ac:dyDescent="0.3">
      <c r="A1532">
        <v>11531</v>
      </c>
      <c r="B1532">
        <v>195</v>
      </c>
      <c r="C1532" s="2">
        <v>45196</v>
      </c>
      <c r="D1532" s="2" t="str">
        <f>TEXT(Table3[[#This Row],[usage_date]],"mmmm")</f>
        <v>September</v>
      </c>
      <c r="E1532" s="9">
        <f>YEAR(Table3[[#This Row],[usage_date]])</f>
        <v>2023</v>
      </c>
      <c r="F1532" s="14">
        <v>3.91</v>
      </c>
      <c r="G1532">
        <v>163</v>
      </c>
      <c r="H1532" t="s">
        <v>12</v>
      </c>
      <c r="I1532" t="str">
        <f t="shared" si="23"/>
        <v>Normal Usage</v>
      </c>
    </row>
    <row r="1533" spans="1:9" x14ac:dyDescent="0.3">
      <c r="A1533">
        <v>11532</v>
      </c>
      <c r="B1533">
        <v>156</v>
      </c>
      <c r="C1533" s="2">
        <v>45249</v>
      </c>
      <c r="D1533" s="2" t="str">
        <f>TEXT(Table3[[#This Row],[usage_date]],"mmmm")</f>
        <v>November</v>
      </c>
      <c r="E1533" s="9">
        <f>YEAR(Table3[[#This Row],[usage_date]])</f>
        <v>2023</v>
      </c>
      <c r="F1533" s="14">
        <v>1.78</v>
      </c>
      <c r="G1533">
        <v>74</v>
      </c>
      <c r="H1533" t="s">
        <v>12</v>
      </c>
      <c r="I1533" t="str">
        <f t="shared" si="23"/>
        <v>Normal Usage</v>
      </c>
    </row>
    <row r="1534" spans="1:9" x14ac:dyDescent="0.3">
      <c r="A1534">
        <v>11533</v>
      </c>
      <c r="B1534">
        <v>172</v>
      </c>
      <c r="C1534" s="2">
        <v>44861</v>
      </c>
      <c r="D1534" s="2" t="str">
        <f>TEXT(Table3[[#This Row],[usage_date]],"mmmm")</f>
        <v>October</v>
      </c>
      <c r="E1534" s="9">
        <f>YEAR(Table3[[#This Row],[usage_date]])</f>
        <v>2022</v>
      </c>
      <c r="F1534" s="14">
        <v>0.34</v>
      </c>
      <c r="G1534">
        <v>232</v>
      </c>
      <c r="H1534" t="s">
        <v>12</v>
      </c>
      <c r="I1534" t="str">
        <f t="shared" si="23"/>
        <v>Normal Usage</v>
      </c>
    </row>
    <row r="1535" spans="1:9" x14ac:dyDescent="0.3">
      <c r="A1535">
        <v>11534</v>
      </c>
      <c r="B1535">
        <v>335</v>
      </c>
      <c r="C1535" s="2">
        <v>44643</v>
      </c>
      <c r="D1535" s="2" t="str">
        <f>TEXT(Table3[[#This Row],[usage_date]],"mmmm")</f>
        <v>March</v>
      </c>
      <c r="E1535" s="9">
        <f>YEAR(Table3[[#This Row],[usage_date]])</f>
        <v>2022</v>
      </c>
      <c r="F1535" s="14">
        <v>3.36</v>
      </c>
      <c r="G1535">
        <v>283</v>
      </c>
      <c r="H1535" t="s">
        <v>12</v>
      </c>
      <c r="I1535" t="str">
        <f t="shared" si="23"/>
        <v>Normal Usage</v>
      </c>
    </row>
    <row r="1536" spans="1:9" x14ac:dyDescent="0.3">
      <c r="A1536">
        <v>11535</v>
      </c>
      <c r="B1536">
        <v>41</v>
      </c>
      <c r="C1536" s="2">
        <v>44648</v>
      </c>
      <c r="D1536" s="2" t="str">
        <f>TEXT(Table3[[#This Row],[usage_date]],"mmmm")</f>
        <v>March</v>
      </c>
      <c r="E1536" s="9">
        <f>YEAR(Table3[[#This Row],[usage_date]])</f>
        <v>2022</v>
      </c>
      <c r="F1536" s="14">
        <v>1.26</v>
      </c>
      <c r="G1536">
        <v>254</v>
      </c>
      <c r="H1536" t="s">
        <v>12</v>
      </c>
      <c r="I1536" t="str">
        <f t="shared" si="23"/>
        <v>Normal Usage</v>
      </c>
    </row>
    <row r="1537" spans="1:9" x14ac:dyDescent="0.3">
      <c r="A1537">
        <v>11536</v>
      </c>
      <c r="B1537">
        <v>63</v>
      </c>
      <c r="C1537" s="2">
        <v>44786</v>
      </c>
      <c r="D1537" s="2" t="str">
        <f>TEXT(Table3[[#This Row],[usage_date]],"mmmm")</f>
        <v>August</v>
      </c>
      <c r="E1537" s="9">
        <f>YEAR(Table3[[#This Row],[usage_date]])</f>
        <v>2022</v>
      </c>
      <c r="F1537" s="14">
        <v>0.76</v>
      </c>
      <c r="G1537">
        <v>8</v>
      </c>
      <c r="H1537" t="s">
        <v>12</v>
      </c>
      <c r="I1537" t="str">
        <f t="shared" si="23"/>
        <v>Normal Usage</v>
      </c>
    </row>
    <row r="1538" spans="1:9" x14ac:dyDescent="0.3">
      <c r="A1538">
        <v>11537</v>
      </c>
      <c r="B1538">
        <v>23</v>
      </c>
      <c r="C1538" s="2">
        <v>44577</v>
      </c>
      <c r="D1538" s="2" t="str">
        <f>TEXT(Table3[[#This Row],[usage_date]],"mmmm")</f>
        <v>January</v>
      </c>
      <c r="E1538" s="9">
        <f>YEAR(Table3[[#This Row],[usage_date]])</f>
        <v>2022</v>
      </c>
      <c r="F1538" s="14">
        <v>1.18</v>
      </c>
      <c r="G1538">
        <v>202</v>
      </c>
      <c r="H1538" t="s">
        <v>12</v>
      </c>
      <c r="I1538" t="str">
        <f t="shared" ref="I1538:I1601" si="24">IF(F1538&gt;6,"High Usage","Normal Usage")</f>
        <v>Normal Usage</v>
      </c>
    </row>
    <row r="1539" spans="1:9" x14ac:dyDescent="0.3">
      <c r="A1539">
        <v>11538</v>
      </c>
      <c r="B1539">
        <v>360</v>
      </c>
      <c r="C1539" s="2">
        <v>45383</v>
      </c>
      <c r="D1539" s="2" t="str">
        <f>TEXT(Table3[[#This Row],[usage_date]],"mmmm")</f>
        <v>April</v>
      </c>
      <c r="E1539" s="9">
        <f>YEAR(Table3[[#This Row],[usage_date]])</f>
        <v>2024</v>
      </c>
      <c r="F1539" s="14">
        <v>1.72</v>
      </c>
      <c r="G1539">
        <v>90</v>
      </c>
      <c r="H1539" t="s">
        <v>12</v>
      </c>
      <c r="I1539" t="str">
        <f t="shared" si="24"/>
        <v>Normal Usage</v>
      </c>
    </row>
    <row r="1540" spans="1:9" x14ac:dyDescent="0.3">
      <c r="A1540">
        <v>11539</v>
      </c>
      <c r="B1540">
        <v>75</v>
      </c>
      <c r="C1540" s="2">
        <v>44919</v>
      </c>
      <c r="D1540" s="2" t="str">
        <f>TEXT(Table3[[#This Row],[usage_date]],"mmmm")</f>
        <v>December</v>
      </c>
      <c r="E1540" s="9">
        <f>YEAR(Table3[[#This Row],[usage_date]])</f>
        <v>2022</v>
      </c>
      <c r="F1540" s="14">
        <v>1.05</v>
      </c>
      <c r="G1540">
        <v>149</v>
      </c>
      <c r="H1540" t="s">
        <v>12</v>
      </c>
      <c r="I1540" t="str">
        <f t="shared" si="24"/>
        <v>Normal Usage</v>
      </c>
    </row>
    <row r="1541" spans="1:9" x14ac:dyDescent="0.3">
      <c r="A1541">
        <v>11540</v>
      </c>
      <c r="B1541">
        <v>48</v>
      </c>
      <c r="C1541" s="2">
        <v>44724</v>
      </c>
      <c r="D1541" s="2" t="str">
        <f>TEXT(Table3[[#This Row],[usage_date]],"mmmm")</f>
        <v>June</v>
      </c>
      <c r="E1541" s="9">
        <f>YEAR(Table3[[#This Row],[usage_date]])</f>
        <v>2022</v>
      </c>
      <c r="F1541" s="14">
        <v>0.69</v>
      </c>
      <c r="G1541">
        <v>175</v>
      </c>
      <c r="H1541" t="s">
        <v>13</v>
      </c>
      <c r="I1541" t="str">
        <f t="shared" si="24"/>
        <v>Normal Usage</v>
      </c>
    </row>
    <row r="1542" spans="1:9" x14ac:dyDescent="0.3">
      <c r="A1542">
        <v>11541</v>
      </c>
      <c r="B1542">
        <v>160</v>
      </c>
      <c r="C1542" s="2">
        <v>45171</v>
      </c>
      <c r="D1542" s="2" t="str">
        <f>TEXT(Table3[[#This Row],[usage_date]],"mmmm")</f>
        <v>September</v>
      </c>
      <c r="E1542" s="9">
        <f>YEAR(Table3[[#This Row],[usage_date]])</f>
        <v>2023</v>
      </c>
      <c r="F1542" s="14">
        <v>1.27</v>
      </c>
      <c r="G1542">
        <v>32</v>
      </c>
      <c r="H1542" t="s">
        <v>12</v>
      </c>
      <c r="I1542" t="str">
        <f t="shared" si="24"/>
        <v>Normal Usage</v>
      </c>
    </row>
    <row r="1543" spans="1:9" x14ac:dyDescent="0.3">
      <c r="A1543">
        <v>11542</v>
      </c>
      <c r="B1543">
        <v>313</v>
      </c>
      <c r="C1543" s="2">
        <v>45229</v>
      </c>
      <c r="D1543" s="2" t="str">
        <f>TEXT(Table3[[#This Row],[usage_date]],"mmmm")</f>
        <v>October</v>
      </c>
      <c r="E1543" s="9">
        <f>YEAR(Table3[[#This Row],[usage_date]])</f>
        <v>2023</v>
      </c>
      <c r="F1543" s="14">
        <v>0.05</v>
      </c>
      <c r="G1543">
        <v>183</v>
      </c>
      <c r="H1543" t="s">
        <v>13</v>
      </c>
      <c r="I1543" t="str">
        <f t="shared" si="24"/>
        <v>Normal Usage</v>
      </c>
    </row>
    <row r="1544" spans="1:9" x14ac:dyDescent="0.3">
      <c r="A1544">
        <v>11543</v>
      </c>
      <c r="B1544">
        <v>118</v>
      </c>
      <c r="C1544" s="2">
        <v>45075</v>
      </c>
      <c r="D1544" s="2" t="str">
        <f>TEXT(Table3[[#This Row],[usage_date]],"mmmm")</f>
        <v>May</v>
      </c>
      <c r="E1544" s="9">
        <f>YEAR(Table3[[#This Row],[usage_date]])</f>
        <v>2023</v>
      </c>
      <c r="F1544" s="14">
        <v>3.7</v>
      </c>
      <c r="G1544">
        <v>156</v>
      </c>
      <c r="H1544" t="s">
        <v>13</v>
      </c>
      <c r="I1544" t="str">
        <f t="shared" si="24"/>
        <v>Normal Usage</v>
      </c>
    </row>
    <row r="1545" spans="1:9" x14ac:dyDescent="0.3">
      <c r="A1545">
        <v>11544</v>
      </c>
      <c r="B1545">
        <v>100</v>
      </c>
      <c r="C1545" s="2">
        <v>44911</v>
      </c>
      <c r="D1545" s="2" t="str">
        <f>TEXT(Table3[[#This Row],[usage_date]],"mmmm")</f>
        <v>December</v>
      </c>
      <c r="E1545" s="9">
        <f>YEAR(Table3[[#This Row],[usage_date]])</f>
        <v>2022</v>
      </c>
      <c r="F1545" s="14">
        <v>0.47</v>
      </c>
      <c r="G1545">
        <v>52</v>
      </c>
      <c r="H1545" t="s">
        <v>12</v>
      </c>
      <c r="I1545" t="str">
        <f t="shared" si="24"/>
        <v>Normal Usage</v>
      </c>
    </row>
    <row r="1546" spans="1:9" x14ac:dyDescent="0.3">
      <c r="A1546">
        <v>11545</v>
      </c>
      <c r="B1546">
        <v>380</v>
      </c>
      <c r="C1546" s="2">
        <v>45242</v>
      </c>
      <c r="D1546" s="2" t="str">
        <f>TEXT(Table3[[#This Row],[usage_date]],"mmmm")</f>
        <v>November</v>
      </c>
      <c r="E1546" s="9">
        <f>YEAR(Table3[[#This Row],[usage_date]])</f>
        <v>2023</v>
      </c>
      <c r="F1546" s="14">
        <v>0.11</v>
      </c>
      <c r="G1546">
        <v>295</v>
      </c>
      <c r="H1546" t="s">
        <v>13</v>
      </c>
      <c r="I1546" t="str">
        <f t="shared" si="24"/>
        <v>Normal Usage</v>
      </c>
    </row>
    <row r="1547" spans="1:9" x14ac:dyDescent="0.3">
      <c r="A1547">
        <v>11546</v>
      </c>
      <c r="B1547">
        <v>417</v>
      </c>
      <c r="C1547" s="2">
        <v>45025</v>
      </c>
      <c r="D1547" s="2" t="str">
        <f>TEXT(Table3[[#This Row],[usage_date]],"mmmm")</f>
        <v>April</v>
      </c>
      <c r="E1547" s="9">
        <f>YEAR(Table3[[#This Row],[usage_date]])</f>
        <v>2023</v>
      </c>
      <c r="F1547" s="14">
        <v>2.65</v>
      </c>
      <c r="G1547">
        <v>201</v>
      </c>
      <c r="H1547" t="s">
        <v>12</v>
      </c>
      <c r="I1547" t="str">
        <f t="shared" si="24"/>
        <v>Normal Usage</v>
      </c>
    </row>
    <row r="1548" spans="1:9" x14ac:dyDescent="0.3">
      <c r="A1548">
        <v>11547</v>
      </c>
      <c r="B1548">
        <v>408</v>
      </c>
      <c r="C1548" s="2">
        <v>45388</v>
      </c>
      <c r="D1548" s="2" t="str">
        <f>TEXT(Table3[[#This Row],[usage_date]],"mmmm")</f>
        <v>April</v>
      </c>
      <c r="E1548" s="9">
        <f>YEAR(Table3[[#This Row],[usage_date]])</f>
        <v>2024</v>
      </c>
      <c r="F1548" s="14">
        <v>3.72</v>
      </c>
      <c r="G1548">
        <v>273</v>
      </c>
      <c r="H1548" t="s">
        <v>12</v>
      </c>
      <c r="I1548" t="str">
        <f t="shared" si="24"/>
        <v>Normal Usage</v>
      </c>
    </row>
    <row r="1549" spans="1:9" x14ac:dyDescent="0.3">
      <c r="A1549">
        <v>11548</v>
      </c>
      <c r="B1549">
        <v>167</v>
      </c>
      <c r="C1549" s="2">
        <v>45398</v>
      </c>
      <c r="D1549" s="2" t="str">
        <f>TEXT(Table3[[#This Row],[usage_date]],"mmmm")</f>
        <v>April</v>
      </c>
      <c r="E1549" s="9">
        <f>YEAR(Table3[[#This Row],[usage_date]])</f>
        <v>2024</v>
      </c>
      <c r="F1549" s="14">
        <v>4.2</v>
      </c>
      <c r="G1549">
        <v>174</v>
      </c>
      <c r="H1549" t="s">
        <v>12</v>
      </c>
      <c r="I1549" t="str">
        <f t="shared" si="24"/>
        <v>Normal Usage</v>
      </c>
    </row>
    <row r="1550" spans="1:9" x14ac:dyDescent="0.3">
      <c r="A1550">
        <v>11549</v>
      </c>
      <c r="B1550">
        <v>290</v>
      </c>
      <c r="C1550" s="2">
        <v>44936</v>
      </c>
      <c r="D1550" s="2" t="str">
        <f>TEXT(Table3[[#This Row],[usage_date]],"mmmm")</f>
        <v>January</v>
      </c>
      <c r="E1550" s="9">
        <f>YEAR(Table3[[#This Row],[usage_date]])</f>
        <v>2023</v>
      </c>
      <c r="F1550" s="14">
        <v>1.7</v>
      </c>
      <c r="G1550">
        <v>243</v>
      </c>
      <c r="H1550" t="s">
        <v>12</v>
      </c>
      <c r="I1550" t="str">
        <f t="shared" si="24"/>
        <v>Normal Usage</v>
      </c>
    </row>
    <row r="1551" spans="1:9" x14ac:dyDescent="0.3">
      <c r="A1551">
        <v>11550</v>
      </c>
      <c r="B1551">
        <v>440</v>
      </c>
      <c r="C1551" s="2">
        <v>44653</v>
      </c>
      <c r="D1551" s="2" t="str">
        <f>TEXT(Table3[[#This Row],[usage_date]],"mmmm")</f>
        <v>April</v>
      </c>
      <c r="E1551" s="9">
        <f>YEAR(Table3[[#This Row],[usage_date]])</f>
        <v>2022</v>
      </c>
      <c r="F1551" s="14">
        <v>0.56999999999999995</v>
      </c>
      <c r="G1551">
        <v>268</v>
      </c>
      <c r="H1551" t="s">
        <v>13</v>
      </c>
      <c r="I1551" t="str">
        <f t="shared" si="24"/>
        <v>Normal Usage</v>
      </c>
    </row>
    <row r="1552" spans="1:9" x14ac:dyDescent="0.3">
      <c r="A1552">
        <v>11551</v>
      </c>
      <c r="B1552">
        <v>156</v>
      </c>
      <c r="C1552" s="2">
        <v>44742</v>
      </c>
      <c r="D1552" s="2" t="str">
        <f>TEXT(Table3[[#This Row],[usage_date]],"mmmm")</f>
        <v>June</v>
      </c>
      <c r="E1552" s="9">
        <f>YEAR(Table3[[#This Row],[usage_date]])</f>
        <v>2022</v>
      </c>
      <c r="F1552" s="14">
        <v>3.34</v>
      </c>
      <c r="G1552">
        <v>73</v>
      </c>
      <c r="H1552" t="s">
        <v>12</v>
      </c>
      <c r="I1552" t="str">
        <f t="shared" si="24"/>
        <v>Normal Usage</v>
      </c>
    </row>
    <row r="1553" spans="1:9" x14ac:dyDescent="0.3">
      <c r="A1553">
        <v>11552</v>
      </c>
      <c r="B1553">
        <v>421</v>
      </c>
      <c r="C1553" s="2">
        <v>45304</v>
      </c>
      <c r="D1553" s="2" t="str">
        <f>TEXT(Table3[[#This Row],[usage_date]],"mmmm")</f>
        <v>January</v>
      </c>
      <c r="E1553" s="9">
        <f>YEAR(Table3[[#This Row],[usage_date]])</f>
        <v>2024</v>
      </c>
      <c r="F1553" s="14">
        <v>3.01</v>
      </c>
      <c r="G1553">
        <v>95</v>
      </c>
      <c r="H1553" t="s">
        <v>12</v>
      </c>
      <c r="I1553" t="str">
        <f t="shared" si="24"/>
        <v>Normal Usage</v>
      </c>
    </row>
    <row r="1554" spans="1:9" x14ac:dyDescent="0.3">
      <c r="A1554">
        <v>11553</v>
      </c>
      <c r="B1554">
        <v>7</v>
      </c>
      <c r="C1554" s="2">
        <v>44862</v>
      </c>
      <c r="D1554" s="2" t="str">
        <f>TEXT(Table3[[#This Row],[usage_date]],"mmmm")</f>
        <v>October</v>
      </c>
      <c r="E1554" s="9">
        <f>YEAR(Table3[[#This Row],[usage_date]])</f>
        <v>2022</v>
      </c>
      <c r="F1554" s="14">
        <v>0.71</v>
      </c>
      <c r="G1554">
        <v>172</v>
      </c>
      <c r="H1554" t="s">
        <v>13</v>
      </c>
      <c r="I1554" t="str">
        <f t="shared" si="24"/>
        <v>Normal Usage</v>
      </c>
    </row>
    <row r="1555" spans="1:9" x14ac:dyDescent="0.3">
      <c r="A1555">
        <v>11554</v>
      </c>
      <c r="B1555">
        <v>196</v>
      </c>
      <c r="C1555" s="2">
        <v>45221</v>
      </c>
      <c r="D1555" s="2" t="str">
        <f>TEXT(Table3[[#This Row],[usage_date]],"mmmm")</f>
        <v>October</v>
      </c>
      <c r="E1555" s="9">
        <f>YEAR(Table3[[#This Row],[usage_date]])</f>
        <v>2023</v>
      </c>
      <c r="F1555" s="14">
        <v>5.84</v>
      </c>
      <c r="G1555">
        <v>154</v>
      </c>
      <c r="H1555" t="s">
        <v>12</v>
      </c>
      <c r="I1555" t="str">
        <f t="shared" si="24"/>
        <v>Normal Usage</v>
      </c>
    </row>
    <row r="1556" spans="1:9" x14ac:dyDescent="0.3">
      <c r="A1556">
        <v>11555</v>
      </c>
      <c r="B1556">
        <v>421</v>
      </c>
      <c r="C1556" s="2">
        <v>45353</v>
      </c>
      <c r="D1556" s="2" t="str">
        <f>TEXT(Table3[[#This Row],[usage_date]],"mmmm")</f>
        <v>March</v>
      </c>
      <c r="E1556" s="9">
        <f>YEAR(Table3[[#This Row],[usage_date]])</f>
        <v>2024</v>
      </c>
      <c r="F1556" s="14">
        <v>0.28000000000000003</v>
      </c>
      <c r="G1556">
        <v>182</v>
      </c>
      <c r="H1556" t="s">
        <v>12</v>
      </c>
      <c r="I1556" t="str">
        <f t="shared" si="24"/>
        <v>Normal Usage</v>
      </c>
    </row>
    <row r="1557" spans="1:9" x14ac:dyDescent="0.3">
      <c r="A1557">
        <v>11556</v>
      </c>
      <c r="B1557">
        <v>56</v>
      </c>
      <c r="C1557" s="2">
        <v>44750</v>
      </c>
      <c r="D1557" s="2" t="str">
        <f>TEXT(Table3[[#This Row],[usage_date]],"mmmm")</f>
        <v>July</v>
      </c>
      <c r="E1557" s="9">
        <f>YEAR(Table3[[#This Row],[usage_date]])</f>
        <v>2022</v>
      </c>
      <c r="F1557" s="14">
        <v>10.14</v>
      </c>
      <c r="G1557">
        <v>288</v>
      </c>
      <c r="H1557" t="s">
        <v>12</v>
      </c>
      <c r="I1557" t="str">
        <f t="shared" si="24"/>
        <v>High Usage</v>
      </c>
    </row>
    <row r="1558" spans="1:9" x14ac:dyDescent="0.3">
      <c r="A1558">
        <v>11557</v>
      </c>
      <c r="B1558">
        <v>321</v>
      </c>
      <c r="C1558" s="2">
        <v>45420</v>
      </c>
      <c r="D1558" s="2" t="str">
        <f>TEXT(Table3[[#This Row],[usage_date]],"mmmm")</f>
        <v>May</v>
      </c>
      <c r="E1558" s="9">
        <f>YEAR(Table3[[#This Row],[usage_date]])</f>
        <v>2024</v>
      </c>
      <c r="F1558" s="14">
        <v>4.92</v>
      </c>
      <c r="G1558">
        <v>257</v>
      </c>
      <c r="H1558" t="s">
        <v>13</v>
      </c>
      <c r="I1558" t="str">
        <f t="shared" si="24"/>
        <v>Normal Usage</v>
      </c>
    </row>
    <row r="1559" spans="1:9" x14ac:dyDescent="0.3">
      <c r="A1559">
        <v>11558</v>
      </c>
      <c r="B1559">
        <v>193</v>
      </c>
      <c r="C1559" s="2">
        <v>45423</v>
      </c>
      <c r="D1559" s="2" t="str">
        <f>TEXT(Table3[[#This Row],[usage_date]],"mmmm")</f>
        <v>May</v>
      </c>
      <c r="E1559" s="9">
        <f>YEAR(Table3[[#This Row],[usage_date]])</f>
        <v>2024</v>
      </c>
      <c r="F1559" s="14">
        <v>2.91</v>
      </c>
      <c r="G1559">
        <v>74</v>
      </c>
      <c r="H1559" t="s">
        <v>13</v>
      </c>
      <c r="I1559" t="str">
        <f t="shared" si="24"/>
        <v>Normal Usage</v>
      </c>
    </row>
    <row r="1560" spans="1:9" x14ac:dyDescent="0.3">
      <c r="A1560">
        <v>11559</v>
      </c>
      <c r="B1560">
        <v>47</v>
      </c>
      <c r="C1560" s="2">
        <v>44875</v>
      </c>
      <c r="D1560" s="2" t="str">
        <f>TEXT(Table3[[#This Row],[usage_date]],"mmmm")</f>
        <v>November</v>
      </c>
      <c r="E1560" s="9">
        <f>YEAR(Table3[[#This Row],[usage_date]])</f>
        <v>2022</v>
      </c>
      <c r="F1560" s="14">
        <v>6.98</v>
      </c>
      <c r="G1560">
        <v>173</v>
      </c>
      <c r="H1560" t="s">
        <v>12</v>
      </c>
      <c r="I1560" t="str">
        <f t="shared" si="24"/>
        <v>High Usage</v>
      </c>
    </row>
    <row r="1561" spans="1:9" x14ac:dyDescent="0.3">
      <c r="A1561">
        <v>11560</v>
      </c>
      <c r="B1561">
        <v>148</v>
      </c>
      <c r="C1561" s="2">
        <v>45054</v>
      </c>
      <c r="D1561" s="2" t="str">
        <f>TEXT(Table3[[#This Row],[usage_date]],"mmmm")</f>
        <v>May</v>
      </c>
      <c r="E1561" s="9">
        <f>YEAR(Table3[[#This Row],[usage_date]])</f>
        <v>2023</v>
      </c>
      <c r="F1561" s="14">
        <v>3.2</v>
      </c>
      <c r="G1561">
        <v>230</v>
      </c>
      <c r="H1561" t="s">
        <v>12</v>
      </c>
      <c r="I1561" t="str">
        <f t="shared" si="24"/>
        <v>Normal Usage</v>
      </c>
    </row>
    <row r="1562" spans="1:9" x14ac:dyDescent="0.3">
      <c r="A1562">
        <v>11561</v>
      </c>
      <c r="B1562">
        <v>275</v>
      </c>
      <c r="C1562" s="2">
        <v>44689</v>
      </c>
      <c r="D1562" s="2" t="str">
        <f>TEXT(Table3[[#This Row],[usage_date]],"mmmm")</f>
        <v>May</v>
      </c>
      <c r="E1562" s="9">
        <f>YEAR(Table3[[#This Row],[usage_date]])</f>
        <v>2022</v>
      </c>
      <c r="F1562" s="14">
        <v>0.53</v>
      </c>
      <c r="G1562">
        <v>246</v>
      </c>
      <c r="H1562" t="s">
        <v>12</v>
      </c>
      <c r="I1562" t="str">
        <f t="shared" si="24"/>
        <v>Normal Usage</v>
      </c>
    </row>
    <row r="1563" spans="1:9" x14ac:dyDescent="0.3">
      <c r="A1563">
        <v>11562</v>
      </c>
      <c r="B1563">
        <v>157</v>
      </c>
      <c r="C1563" s="2">
        <v>45080</v>
      </c>
      <c r="D1563" s="2" t="str">
        <f>TEXT(Table3[[#This Row],[usage_date]],"mmmm")</f>
        <v>June</v>
      </c>
      <c r="E1563" s="9">
        <f>YEAR(Table3[[#This Row],[usage_date]])</f>
        <v>2023</v>
      </c>
      <c r="F1563" s="14">
        <v>1.46</v>
      </c>
      <c r="G1563">
        <v>160</v>
      </c>
      <c r="H1563" t="s">
        <v>12</v>
      </c>
      <c r="I1563" t="str">
        <f t="shared" si="24"/>
        <v>Normal Usage</v>
      </c>
    </row>
    <row r="1564" spans="1:9" x14ac:dyDescent="0.3">
      <c r="A1564">
        <v>11563</v>
      </c>
      <c r="B1564">
        <v>202</v>
      </c>
      <c r="C1564" s="2">
        <v>44987</v>
      </c>
      <c r="D1564" s="2" t="str">
        <f>TEXT(Table3[[#This Row],[usage_date]],"mmmm")</f>
        <v>March</v>
      </c>
      <c r="E1564" s="9">
        <f>YEAR(Table3[[#This Row],[usage_date]])</f>
        <v>2023</v>
      </c>
      <c r="F1564" s="14">
        <v>0.19</v>
      </c>
      <c r="G1564">
        <v>185</v>
      </c>
      <c r="H1564" t="s">
        <v>13</v>
      </c>
      <c r="I1564" t="str">
        <f t="shared" si="24"/>
        <v>Normal Usage</v>
      </c>
    </row>
    <row r="1565" spans="1:9" x14ac:dyDescent="0.3">
      <c r="A1565">
        <v>11564</v>
      </c>
      <c r="B1565">
        <v>444</v>
      </c>
      <c r="C1565" s="2">
        <v>45120</v>
      </c>
      <c r="D1565" s="2" t="str">
        <f>TEXT(Table3[[#This Row],[usage_date]],"mmmm")</f>
        <v>July</v>
      </c>
      <c r="E1565" s="9">
        <f>YEAR(Table3[[#This Row],[usage_date]])</f>
        <v>2023</v>
      </c>
      <c r="F1565" s="14">
        <v>1.23</v>
      </c>
      <c r="G1565">
        <v>142</v>
      </c>
      <c r="H1565" t="s">
        <v>12</v>
      </c>
      <c r="I1565" t="str">
        <f t="shared" si="24"/>
        <v>Normal Usage</v>
      </c>
    </row>
    <row r="1566" spans="1:9" x14ac:dyDescent="0.3">
      <c r="A1566">
        <v>11565</v>
      </c>
      <c r="B1566">
        <v>402</v>
      </c>
      <c r="C1566" s="2">
        <v>45126</v>
      </c>
      <c r="D1566" s="2" t="str">
        <f>TEXT(Table3[[#This Row],[usage_date]],"mmmm")</f>
        <v>July</v>
      </c>
      <c r="E1566" s="9">
        <f>YEAR(Table3[[#This Row],[usage_date]])</f>
        <v>2023</v>
      </c>
      <c r="F1566" s="14">
        <v>3.38</v>
      </c>
      <c r="G1566">
        <v>281</v>
      </c>
      <c r="H1566" t="s">
        <v>12</v>
      </c>
      <c r="I1566" t="str">
        <f t="shared" si="24"/>
        <v>Normal Usage</v>
      </c>
    </row>
    <row r="1567" spans="1:9" x14ac:dyDescent="0.3">
      <c r="A1567">
        <v>11566</v>
      </c>
      <c r="B1567">
        <v>476</v>
      </c>
      <c r="C1567" s="2">
        <v>44748</v>
      </c>
      <c r="D1567" s="2" t="str">
        <f>TEXT(Table3[[#This Row],[usage_date]],"mmmm")</f>
        <v>July</v>
      </c>
      <c r="E1567" s="9">
        <f>YEAR(Table3[[#This Row],[usage_date]])</f>
        <v>2022</v>
      </c>
      <c r="F1567" s="14">
        <v>1.22</v>
      </c>
      <c r="G1567">
        <v>127</v>
      </c>
      <c r="H1567" t="s">
        <v>13</v>
      </c>
      <c r="I1567" t="str">
        <f t="shared" si="24"/>
        <v>Normal Usage</v>
      </c>
    </row>
    <row r="1568" spans="1:9" x14ac:dyDescent="0.3">
      <c r="A1568">
        <v>11567</v>
      </c>
      <c r="B1568">
        <v>419</v>
      </c>
      <c r="C1568" s="2">
        <v>45111</v>
      </c>
      <c r="D1568" s="2" t="str">
        <f>TEXT(Table3[[#This Row],[usage_date]],"mmmm")</f>
        <v>July</v>
      </c>
      <c r="E1568" s="9">
        <f>YEAR(Table3[[#This Row],[usage_date]])</f>
        <v>2023</v>
      </c>
      <c r="F1568" s="14">
        <v>1</v>
      </c>
      <c r="G1568">
        <v>165</v>
      </c>
      <c r="H1568" t="s">
        <v>13</v>
      </c>
      <c r="I1568" t="str">
        <f t="shared" si="24"/>
        <v>Normal Usage</v>
      </c>
    </row>
    <row r="1569" spans="1:9" x14ac:dyDescent="0.3">
      <c r="A1569">
        <v>11568</v>
      </c>
      <c r="B1569">
        <v>427</v>
      </c>
      <c r="C1569" s="2">
        <v>45014</v>
      </c>
      <c r="D1569" s="2" t="str">
        <f>TEXT(Table3[[#This Row],[usage_date]],"mmmm")</f>
        <v>March</v>
      </c>
      <c r="E1569" s="9">
        <f>YEAR(Table3[[#This Row],[usage_date]])</f>
        <v>2023</v>
      </c>
      <c r="F1569" s="14">
        <v>2.2599999999999998</v>
      </c>
      <c r="G1569">
        <v>26</v>
      </c>
      <c r="H1569" t="s">
        <v>12</v>
      </c>
      <c r="I1569" t="str">
        <f t="shared" si="24"/>
        <v>Normal Usage</v>
      </c>
    </row>
    <row r="1570" spans="1:9" x14ac:dyDescent="0.3">
      <c r="A1570">
        <v>11569</v>
      </c>
      <c r="B1570">
        <v>495</v>
      </c>
      <c r="C1570" s="2">
        <v>45032</v>
      </c>
      <c r="D1570" s="2" t="str">
        <f>TEXT(Table3[[#This Row],[usage_date]],"mmmm")</f>
        <v>April</v>
      </c>
      <c r="E1570" s="9">
        <f>YEAR(Table3[[#This Row],[usage_date]])</f>
        <v>2023</v>
      </c>
      <c r="F1570" s="14">
        <v>5.14</v>
      </c>
      <c r="G1570">
        <v>245</v>
      </c>
      <c r="H1570" t="s">
        <v>12</v>
      </c>
      <c r="I1570" t="str">
        <f t="shared" si="24"/>
        <v>Normal Usage</v>
      </c>
    </row>
    <row r="1571" spans="1:9" x14ac:dyDescent="0.3">
      <c r="A1571">
        <v>11570</v>
      </c>
      <c r="B1571">
        <v>479</v>
      </c>
      <c r="C1571" s="2">
        <v>45299</v>
      </c>
      <c r="D1571" s="2" t="str">
        <f>TEXT(Table3[[#This Row],[usage_date]],"mmmm")</f>
        <v>January</v>
      </c>
      <c r="E1571" s="9">
        <f>YEAR(Table3[[#This Row],[usage_date]])</f>
        <v>2024</v>
      </c>
      <c r="F1571" s="14">
        <v>0.12</v>
      </c>
      <c r="G1571">
        <v>134</v>
      </c>
      <c r="H1571" t="s">
        <v>12</v>
      </c>
      <c r="I1571" t="str">
        <f t="shared" si="24"/>
        <v>Normal Usage</v>
      </c>
    </row>
    <row r="1572" spans="1:9" x14ac:dyDescent="0.3">
      <c r="A1572">
        <v>11571</v>
      </c>
      <c r="B1572">
        <v>475</v>
      </c>
      <c r="C1572" s="2">
        <v>45126</v>
      </c>
      <c r="D1572" s="2" t="str">
        <f>TEXT(Table3[[#This Row],[usage_date]],"mmmm")</f>
        <v>July</v>
      </c>
      <c r="E1572" s="9">
        <f>YEAR(Table3[[#This Row],[usage_date]])</f>
        <v>2023</v>
      </c>
      <c r="F1572" s="14">
        <v>1.22</v>
      </c>
      <c r="G1572">
        <v>201</v>
      </c>
      <c r="H1572" t="s">
        <v>12</v>
      </c>
      <c r="I1572" t="str">
        <f t="shared" si="24"/>
        <v>Normal Usage</v>
      </c>
    </row>
    <row r="1573" spans="1:9" x14ac:dyDescent="0.3">
      <c r="A1573">
        <v>11572</v>
      </c>
      <c r="B1573">
        <v>126</v>
      </c>
      <c r="C1573" s="2">
        <v>44785</v>
      </c>
      <c r="D1573" s="2" t="str">
        <f>TEXT(Table3[[#This Row],[usage_date]],"mmmm")</f>
        <v>August</v>
      </c>
      <c r="E1573" s="9">
        <f>YEAR(Table3[[#This Row],[usage_date]])</f>
        <v>2022</v>
      </c>
      <c r="F1573" s="14">
        <v>0.43</v>
      </c>
      <c r="G1573">
        <v>20</v>
      </c>
      <c r="H1573" t="s">
        <v>12</v>
      </c>
      <c r="I1573" t="str">
        <f t="shared" si="24"/>
        <v>Normal Usage</v>
      </c>
    </row>
    <row r="1574" spans="1:9" x14ac:dyDescent="0.3">
      <c r="A1574">
        <v>11573</v>
      </c>
      <c r="B1574">
        <v>395</v>
      </c>
      <c r="C1574" s="2">
        <v>44715</v>
      </c>
      <c r="D1574" s="2" t="str">
        <f>TEXT(Table3[[#This Row],[usage_date]],"mmmm")</f>
        <v>June</v>
      </c>
      <c r="E1574" s="9">
        <f>YEAR(Table3[[#This Row],[usage_date]])</f>
        <v>2022</v>
      </c>
      <c r="F1574" s="14">
        <v>2.97</v>
      </c>
      <c r="G1574">
        <v>78</v>
      </c>
      <c r="H1574" t="s">
        <v>12</v>
      </c>
      <c r="I1574" t="str">
        <f t="shared" si="24"/>
        <v>Normal Usage</v>
      </c>
    </row>
    <row r="1575" spans="1:9" x14ac:dyDescent="0.3">
      <c r="A1575">
        <v>11574</v>
      </c>
      <c r="B1575">
        <v>305</v>
      </c>
      <c r="C1575" s="2">
        <v>45121</v>
      </c>
      <c r="D1575" s="2" t="str">
        <f>TEXT(Table3[[#This Row],[usage_date]],"mmmm")</f>
        <v>July</v>
      </c>
      <c r="E1575" s="9">
        <f>YEAR(Table3[[#This Row],[usage_date]])</f>
        <v>2023</v>
      </c>
      <c r="F1575" s="14">
        <v>0.28000000000000003</v>
      </c>
      <c r="G1575">
        <v>157</v>
      </c>
      <c r="H1575" t="s">
        <v>13</v>
      </c>
      <c r="I1575" t="str">
        <f t="shared" si="24"/>
        <v>Normal Usage</v>
      </c>
    </row>
    <row r="1576" spans="1:9" x14ac:dyDescent="0.3">
      <c r="A1576">
        <v>11575</v>
      </c>
      <c r="B1576">
        <v>369</v>
      </c>
      <c r="C1576" s="2">
        <v>44912</v>
      </c>
      <c r="D1576" s="2" t="str">
        <f>TEXT(Table3[[#This Row],[usage_date]],"mmmm")</f>
        <v>December</v>
      </c>
      <c r="E1576" s="9">
        <f>YEAR(Table3[[#This Row],[usage_date]])</f>
        <v>2022</v>
      </c>
      <c r="F1576" s="14">
        <v>2.73</v>
      </c>
      <c r="G1576">
        <v>93</v>
      </c>
      <c r="H1576" t="s">
        <v>13</v>
      </c>
      <c r="I1576" t="str">
        <f t="shared" si="24"/>
        <v>Normal Usage</v>
      </c>
    </row>
    <row r="1577" spans="1:9" x14ac:dyDescent="0.3">
      <c r="A1577">
        <v>11576</v>
      </c>
      <c r="B1577">
        <v>294</v>
      </c>
      <c r="C1577" s="2">
        <v>44708</v>
      </c>
      <c r="D1577" s="2" t="str">
        <f>TEXT(Table3[[#This Row],[usage_date]],"mmmm")</f>
        <v>May</v>
      </c>
      <c r="E1577" s="9">
        <f>YEAR(Table3[[#This Row],[usage_date]])</f>
        <v>2022</v>
      </c>
      <c r="F1577" s="14">
        <v>0.84</v>
      </c>
      <c r="G1577">
        <v>7</v>
      </c>
      <c r="H1577" t="s">
        <v>12</v>
      </c>
      <c r="I1577" t="str">
        <f t="shared" si="24"/>
        <v>Normal Usage</v>
      </c>
    </row>
    <row r="1578" spans="1:9" x14ac:dyDescent="0.3">
      <c r="A1578">
        <v>11577</v>
      </c>
      <c r="B1578">
        <v>64</v>
      </c>
      <c r="C1578" s="2">
        <v>45137</v>
      </c>
      <c r="D1578" s="2" t="str">
        <f>TEXT(Table3[[#This Row],[usage_date]],"mmmm")</f>
        <v>July</v>
      </c>
      <c r="E1578" s="9">
        <f>YEAR(Table3[[#This Row],[usage_date]])</f>
        <v>2023</v>
      </c>
      <c r="F1578" s="14">
        <v>0.55000000000000004</v>
      </c>
      <c r="G1578">
        <v>258</v>
      </c>
      <c r="H1578" t="s">
        <v>12</v>
      </c>
      <c r="I1578" t="str">
        <f t="shared" si="24"/>
        <v>Normal Usage</v>
      </c>
    </row>
    <row r="1579" spans="1:9" x14ac:dyDescent="0.3">
      <c r="A1579">
        <v>11578</v>
      </c>
      <c r="B1579">
        <v>325</v>
      </c>
      <c r="C1579" s="2">
        <v>44910</v>
      </c>
      <c r="D1579" s="2" t="str">
        <f>TEXT(Table3[[#This Row],[usage_date]],"mmmm")</f>
        <v>December</v>
      </c>
      <c r="E1579" s="9">
        <f>YEAR(Table3[[#This Row],[usage_date]])</f>
        <v>2022</v>
      </c>
      <c r="F1579" s="14">
        <v>6.89</v>
      </c>
      <c r="G1579">
        <v>54</v>
      </c>
      <c r="H1579" t="s">
        <v>13</v>
      </c>
      <c r="I1579" t="str">
        <f t="shared" si="24"/>
        <v>High Usage</v>
      </c>
    </row>
    <row r="1580" spans="1:9" x14ac:dyDescent="0.3">
      <c r="A1580">
        <v>11579</v>
      </c>
      <c r="B1580">
        <v>392</v>
      </c>
      <c r="C1580" s="2">
        <v>44743</v>
      </c>
      <c r="D1580" s="2" t="str">
        <f>TEXT(Table3[[#This Row],[usage_date]],"mmmm")</f>
        <v>July</v>
      </c>
      <c r="E1580" s="9">
        <f>YEAR(Table3[[#This Row],[usage_date]])</f>
        <v>2022</v>
      </c>
      <c r="F1580" s="14">
        <v>0.05</v>
      </c>
      <c r="G1580">
        <v>35</v>
      </c>
      <c r="H1580" t="s">
        <v>13</v>
      </c>
      <c r="I1580" t="str">
        <f t="shared" si="24"/>
        <v>Normal Usage</v>
      </c>
    </row>
    <row r="1581" spans="1:9" x14ac:dyDescent="0.3">
      <c r="A1581">
        <v>11580</v>
      </c>
      <c r="B1581">
        <v>418</v>
      </c>
      <c r="C1581" s="2">
        <v>45198</v>
      </c>
      <c r="D1581" s="2" t="str">
        <f>TEXT(Table3[[#This Row],[usage_date]],"mmmm")</f>
        <v>September</v>
      </c>
      <c r="E1581" s="9">
        <f>YEAR(Table3[[#This Row],[usage_date]])</f>
        <v>2023</v>
      </c>
      <c r="F1581" s="14">
        <v>1.44</v>
      </c>
      <c r="G1581">
        <v>5</v>
      </c>
      <c r="H1581" t="s">
        <v>13</v>
      </c>
      <c r="I1581" t="str">
        <f t="shared" si="24"/>
        <v>Normal Usage</v>
      </c>
    </row>
    <row r="1582" spans="1:9" x14ac:dyDescent="0.3">
      <c r="A1582">
        <v>11581</v>
      </c>
      <c r="B1582">
        <v>176</v>
      </c>
      <c r="C1582" s="2">
        <v>44740</v>
      </c>
      <c r="D1582" s="2" t="str">
        <f>TEXT(Table3[[#This Row],[usage_date]],"mmmm")</f>
        <v>June</v>
      </c>
      <c r="E1582" s="9">
        <f>YEAR(Table3[[#This Row],[usage_date]])</f>
        <v>2022</v>
      </c>
      <c r="F1582" s="14">
        <v>0.05</v>
      </c>
      <c r="G1582">
        <v>41</v>
      </c>
      <c r="H1582" t="s">
        <v>12</v>
      </c>
      <c r="I1582" t="str">
        <f t="shared" si="24"/>
        <v>Normal Usage</v>
      </c>
    </row>
    <row r="1583" spans="1:9" x14ac:dyDescent="0.3">
      <c r="A1583">
        <v>11582</v>
      </c>
      <c r="B1583">
        <v>116</v>
      </c>
      <c r="C1583" s="2">
        <v>44600</v>
      </c>
      <c r="D1583" s="2" t="str">
        <f>TEXT(Table3[[#This Row],[usage_date]],"mmmm")</f>
        <v>February</v>
      </c>
      <c r="E1583" s="9">
        <f>YEAR(Table3[[#This Row],[usage_date]])</f>
        <v>2022</v>
      </c>
      <c r="F1583" s="14">
        <v>1.65</v>
      </c>
      <c r="G1583">
        <v>49</v>
      </c>
      <c r="H1583" t="s">
        <v>12</v>
      </c>
      <c r="I1583" t="str">
        <f t="shared" si="24"/>
        <v>Normal Usage</v>
      </c>
    </row>
    <row r="1584" spans="1:9" x14ac:dyDescent="0.3">
      <c r="A1584">
        <v>11583</v>
      </c>
      <c r="B1584">
        <v>440</v>
      </c>
      <c r="C1584" s="2">
        <v>45333</v>
      </c>
      <c r="D1584" s="2" t="str">
        <f>TEXT(Table3[[#This Row],[usage_date]],"mmmm")</f>
        <v>February</v>
      </c>
      <c r="E1584" s="9">
        <f>YEAR(Table3[[#This Row],[usage_date]])</f>
        <v>2024</v>
      </c>
      <c r="F1584" s="14">
        <v>1.74</v>
      </c>
      <c r="G1584">
        <v>111</v>
      </c>
      <c r="H1584" t="s">
        <v>13</v>
      </c>
      <c r="I1584" t="str">
        <f t="shared" si="24"/>
        <v>Normal Usage</v>
      </c>
    </row>
    <row r="1585" spans="1:9" x14ac:dyDescent="0.3">
      <c r="A1585">
        <v>11584</v>
      </c>
      <c r="B1585">
        <v>204</v>
      </c>
      <c r="C1585" s="2">
        <v>45455</v>
      </c>
      <c r="D1585" s="2" t="str">
        <f>TEXT(Table3[[#This Row],[usage_date]],"mmmm")</f>
        <v>June</v>
      </c>
      <c r="E1585" s="9">
        <f>YEAR(Table3[[#This Row],[usage_date]])</f>
        <v>2024</v>
      </c>
      <c r="F1585" s="14">
        <v>0.97</v>
      </c>
      <c r="G1585">
        <v>145</v>
      </c>
      <c r="H1585" t="s">
        <v>12</v>
      </c>
      <c r="I1585" t="str">
        <f t="shared" si="24"/>
        <v>Normal Usage</v>
      </c>
    </row>
    <row r="1586" spans="1:9" x14ac:dyDescent="0.3">
      <c r="A1586">
        <v>11585</v>
      </c>
      <c r="B1586">
        <v>486</v>
      </c>
      <c r="C1586" s="2">
        <v>44564</v>
      </c>
      <c r="D1586" s="2" t="str">
        <f>TEXT(Table3[[#This Row],[usage_date]],"mmmm")</f>
        <v>January</v>
      </c>
      <c r="E1586" s="9">
        <f>YEAR(Table3[[#This Row],[usage_date]])</f>
        <v>2022</v>
      </c>
      <c r="F1586" s="14">
        <v>0.35</v>
      </c>
      <c r="G1586">
        <v>229</v>
      </c>
      <c r="H1586" t="s">
        <v>12</v>
      </c>
      <c r="I1586" t="str">
        <f t="shared" si="24"/>
        <v>Normal Usage</v>
      </c>
    </row>
    <row r="1587" spans="1:9" x14ac:dyDescent="0.3">
      <c r="A1587">
        <v>11586</v>
      </c>
      <c r="B1587">
        <v>321</v>
      </c>
      <c r="C1587" s="2">
        <v>44625</v>
      </c>
      <c r="D1587" s="2" t="str">
        <f>TEXT(Table3[[#This Row],[usage_date]],"mmmm")</f>
        <v>March</v>
      </c>
      <c r="E1587" s="9">
        <f>YEAR(Table3[[#This Row],[usage_date]])</f>
        <v>2022</v>
      </c>
      <c r="F1587" s="14">
        <v>1.18</v>
      </c>
      <c r="G1587">
        <v>210</v>
      </c>
      <c r="H1587" t="s">
        <v>12</v>
      </c>
      <c r="I1587" t="str">
        <f t="shared" si="24"/>
        <v>Normal Usage</v>
      </c>
    </row>
    <row r="1588" spans="1:9" x14ac:dyDescent="0.3">
      <c r="A1588">
        <v>11587</v>
      </c>
      <c r="B1588">
        <v>31</v>
      </c>
      <c r="C1588" s="2">
        <v>44590</v>
      </c>
      <c r="D1588" s="2" t="str">
        <f>TEXT(Table3[[#This Row],[usage_date]],"mmmm")</f>
        <v>January</v>
      </c>
      <c r="E1588" s="9">
        <f>YEAR(Table3[[#This Row],[usage_date]])</f>
        <v>2022</v>
      </c>
      <c r="F1588" s="14">
        <v>2.79</v>
      </c>
      <c r="G1588">
        <v>29</v>
      </c>
      <c r="H1588" t="s">
        <v>13</v>
      </c>
      <c r="I1588" t="str">
        <f t="shared" si="24"/>
        <v>Normal Usage</v>
      </c>
    </row>
    <row r="1589" spans="1:9" x14ac:dyDescent="0.3">
      <c r="A1589">
        <v>11588</v>
      </c>
      <c r="B1589">
        <v>388</v>
      </c>
      <c r="C1589" s="2">
        <v>44933</v>
      </c>
      <c r="D1589" s="2" t="str">
        <f>TEXT(Table3[[#This Row],[usage_date]],"mmmm")</f>
        <v>January</v>
      </c>
      <c r="E1589" s="9">
        <f>YEAR(Table3[[#This Row],[usage_date]])</f>
        <v>2023</v>
      </c>
      <c r="F1589" s="14">
        <v>3.81</v>
      </c>
      <c r="G1589">
        <v>294</v>
      </c>
      <c r="H1589" t="s">
        <v>12</v>
      </c>
      <c r="I1589" t="str">
        <f t="shared" si="24"/>
        <v>Normal Usage</v>
      </c>
    </row>
    <row r="1590" spans="1:9" x14ac:dyDescent="0.3">
      <c r="A1590">
        <v>11589</v>
      </c>
      <c r="B1590">
        <v>113</v>
      </c>
      <c r="C1590" s="2">
        <v>45084</v>
      </c>
      <c r="D1590" s="2" t="str">
        <f>TEXT(Table3[[#This Row],[usage_date]],"mmmm")</f>
        <v>June</v>
      </c>
      <c r="E1590" s="9">
        <f>YEAR(Table3[[#This Row],[usage_date]])</f>
        <v>2023</v>
      </c>
      <c r="F1590" s="14">
        <v>1.89</v>
      </c>
      <c r="G1590">
        <v>115</v>
      </c>
      <c r="H1590" t="s">
        <v>13</v>
      </c>
      <c r="I1590" t="str">
        <f t="shared" si="24"/>
        <v>Normal Usage</v>
      </c>
    </row>
    <row r="1591" spans="1:9" x14ac:dyDescent="0.3">
      <c r="A1591">
        <v>11590</v>
      </c>
      <c r="B1591">
        <v>365</v>
      </c>
      <c r="C1591" s="2">
        <v>44658</v>
      </c>
      <c r="D1591" s="2" t="str">
        <f>TEXT(Table3[[#This Row],[usage_date]],"mmmm")</f>
        <v>April</v>
      </c>
      <c r="E1591" s="9">
        <f>YEAR(Table3[[#This Row],[usage_date]])</f>
        <v>2022</v>
      </c>
      <c r="F1591" s="14">
        <v>2.23</v>
      </c>
      <c r="G1591">
        <v>225</v>
      </c>
      <c r="H1591" t="s">
        <v>12</v>
      </c>
      <c r="I1591" t="str">
        <f t="shared" si="24"/>
        <v>Normal Usage</v>
      </c>
    </row>
    <row r="1592" spans="1:9" x14ac:dyDescent="0.3">
      <c r="A1592">
        <v>11591</v>
      </c>
      <c r="B1592">
        <v>434</v>
      </c>
      <c r="C1592" s="2">
        <v>45431</v>
      </c>
      <c r="D1592" s="2" t="str">
        <f>TEXT(Table3[[#This Row],[usage_date]],"mmmm")</f>
        <v>May</v>
      </c>
      <c r="E1592" s="9">
        <f>YEAR(Table3[[#This Row],[usage_date]])</f>
        <v>2024</v>
      </c>
      <c r="F1592" s="14">
        <v>0.56000000000000005</v>
      </c>
      <c r="G1592">
        <v>58</v>
      </c>
      <c r="H1592" t="s">
        <v>13</v>
      </c>
      <c r="I1592" t="str">
        <f t="shared" si="24"/>
        <v>Normal Usage</v>
      </c>
    </row>
    <row r="1593" spans="1:9" x14ac:dyDescent="0.3">
      <c r="A1593">
        <v>11592</v>
      </c>
      <c r="B1593">
        <v>325</v>
      </c>
      <c r="C1593" s="2">
        <v>45003</v>
      </c>
      <c r="D1593" s="2" t="str">
        <f>TEXT(Table3[[#This Row],[usage_date]],"mmmm")</f>
        <v>March</v>
      </c>
      <c r="E1593" s="9">
        <f>YEAR(Table3[[#This Row],[usage_date]])</f>
        <v>2023</v>
      </c>
      <c r="F1593" s="14">
        <v>0.85</v>
      </c>
      <c r="G1593">
        <v>75</v>
      </c>
      <c r="H1593" t="s">
        <v>12</v>
      </c>
      <c r="I1593" t="str">
        <f t="shared" si="24"/>
        <v>Normal Usage</v>
      </c>
    </row>
    <row r="1594" spans="1:9" x14ac:dyDescent="0.3">
      <c r="A1594">
        <v>11593</v>
      </c>
      <c r="B1594">
        <v>414</v>
      </c>
      <c r="C1594" s="2">
        <v>44764</v>
      </c>
      <c r="D1594" s="2" t="str">
        <f>TEXT(Table3[[#This Row],[usage_date]],"mmmm")</f>
        <v>July</v>
      </c>
      <c r="E1594" s="9">
        <f>YEAR(Table3[[#This Row],[usage_date]])</f>
        <v>2022</v>
      </c>
      <c r="F1594" s="14">
        <v>0.44</v>
      </c>
      <c r="G1594">
        <v>215</v>
      </c>
      <c r="H1594" t="s">
        <v>12</v>
      </c>
      <c r="I1594" t="str">
        <f t="shared" si="24"/>
        <v>Normal Usage</v>
      </c>
    </row>
    <row r="1595" spans="1:9" x14ac:dyDescent="0.3">
      <c r="A1595">
        <v>11594</v>
      </c>
      <c r="B1595">
        <v>376</v>
      </c>
      <c r="C1595" s="2">
        <v>44972</v>
      </c>
      <c r="D1595" s="2" t="str">
        <f>TEXT(Table3[[#This Row],[usage_date]],"mmmm")</f>
        <v>February</v>
      </c>
      <c r="E1595" s="9">
        <f>YEAR(Table3[[#This Row],[usage_date]])</f>
        <v>2023</v>
      </c>
      <c r="F1595" s="14">
        <v>0.72</v>
      </c>
      <c r="G1595">
        <v>131</v>
      </c>
      <c r="H1595" t="s">
        <v>13</v>
      </c>
      <c r="I1595" t="str">
        <f t="shared" si="24"/>
        <v>Normal Usage</v>
      </c>
    </row>
    <row r="1596" spans="1:9" x14ac:dyDescent="0.3">
      <c r="A1596">
        <v>11595</v>
      </c>
      <c r="B1596">
        <v>344</v>
      </c>
      <c r="C1596" s="2">
        <v>44582</v>
      </c>
      <c r="D1596" s="2" t="str">
        <f>TEXT(Table3[[#This Row],[usage_date]],"mmmm")</f>
        <v>January</v>
      </c>
      <c r="E1596" s="9">
        <f>YEAR(Table3[[#This Row],[usage_date]])</f>
        <v>2022</v>
      </c>
      <c r="F1596" s="14">
        <v>0.64</v>
      </c>
      <c r="G1596">
        <v>80</v>
      </c>
      <c r="H1596" t="s">
        <v>13</v>
      </c>
      <c r="I1596" t="str">
        <f t="shared" si="24"/>
        <v>Normal Usage</v>
      </c>
    </row>
    <row r="1597" spans="1:9" x14ac:dyDescent="0.3">
      <c r="A1597">
        <v>11596</v>
      </c>
      <c r="B1597">
        <v>443</v>
      </c>
      <c r="C1597" s="2">
        <v>45112</v>
      </c>
      <c r="D1597" s="2" t="str">
        <f>TEXT(Table3[[#This Row],[usage_date]],"mmmm")</f>
        <v>July</v>
      </c>
      <c r="E1597" s="9">
        <f>YEAR(Table3[[#This Row],[usage_date]])</f>
        <v>2023</v>
      </c>
      <c r="F1597" s="14">
        <v>1.83</v>
      </c>
      <c r="G1597">
        <v>66</v>
      </c>
      <c r="H1597" t="s">
        <v>13</v>
      </c>
      <c r="I1597" t="str">
        <f t="shared" si="24"/>
        <v>Normal Usage</v>
      </c>
    </row>
    <row r="1598" spans="1:9" x14ac:dyDescent="0.3">
      <c r="A1598">
        <v>11597</v>
      </c>
      <c r="B1598">
        <v>67</v>
      </c>
      <c r="C1598" s="2">
        <v>45296</v>
      </c>
      <c r="D1598" s="2" t="str">
        <f>TEXT(Table3[[#This Row],[usage_date]],"mmmm")</f>
        <v>January</v>
      </c>
      <c r="E1598" s="9">
        <f>YEAR(Table3[[#This Row],[usage_date]])</f>
        <v>2024</v>
      </c>
      <c r="F1598" s="14">
        <v>2.0699999999999998</v>
      </c>
      <c r="G1598">
        <v>229</v>
      </c>
      <c r="H1598" t="s">
        <v>12</v>
      </c>
      <c r="I1598" t="str">
        <f t="shared" si="24"/>
        <v>Normal Usage</v>
      </c>
    </row>
    <row r="1599" spans="1:9" x14ac:dyDescent="0.3">
      <c r="A1599">
        <v>11598</v>
      </c>
      <c r="B1599">
        <v>75</v>
      </c>
      <c r="C1599" s="2">
        <v>44663</v>
      </c>
      <c r="D1599" s="2" t="str">
        <f>TEXT(Table3[[#This Row],[usage_date]],"mmmm")</f>
        <v>April</v>
      </c>
      <c r="E1599" s="9">
        <f>YEAR(Table3[[#This Row],[usage_date]])</f>
        <v>2022</v>
      </c>
      <c r="F1599" s="14">
        <v>7.25</v>
      </c>
      <c r="G1599">
        <v>276</v>
      </c>
      <c r="H1599" t="s">
        <v>12</v>
      </c>
      <c r="I1599" t="str">
        <f t="shared" si="24"/>
        <v>High Usage</v>
      </c>
    </row>
    <row r="1600" spans="1:9" x14ac:dyDescent="0.3">
      <c r="A1600">
        <v>11599</v>
      </c>
      <c r="B1600">
        <v>45</v>
      </c>
      <c r="C1600" s="2">
        <v>44607</v>
      </c>
      <c r="D1600" s="2" t="str">
        <f>TEXT(Table3[[#This Row],[usage_date]],"mmmm")</f>
        <v>February</v>
      </c>
      <c r="E1600" s="9">
        <f>YEAR(Table3[[#This Row],[usage_date]])</f>
        <v>2022</v>
      </c>
      <c r="F1600" s="14">
        <v>0.54</v>
      </c>
      <c r="G1600">
        <v>71</v>
      </c>
      <c r="H1600" t="s">
        <v>12</v>
      </c>
      <c r="I1600" t="str">
        <f t="shared" si="24"/>
        <v>Normal Usage</v>
      </c>
    </row>
    <row r="1601" spans="1:9" x14ac:dyDescent="0.3">
      <c r="A1601">
        <v>11600</v>
      </c>
      <c r="B1601">
        <v>260</v>
      </c>
      <c r="C1601" s="2">
        <v>44627</v>
      </c>
      <c r="D1601" s="2" t="str">
        <f>TEXT(Table3[[#This Row],[usage_date]],"mmmm")</f>
        <v>March</v>
      </c>
      <c r="E1601" s="9">
        <f>YEAR(Table3[[#This Row],[usage_date]])</f>
        <v>2022</v>
      </c>
      <c r="F1601" s="14">
        <v>2.57</v>
      </c>
      <c r="G1601">
        <v>208</v>
      </c>
      <c r="H1601" t="s">
        <v>12</v>
      </c>
      <c r="I1601" t="str">
        <f t="shared" si="24"/>
        <v>Normal Usage</v>
      </c>
    </row>
    <row r="1602" spans="1:9" x14ac:dyDescent="0.3">
      <c r="A1602">
        <v>11601</v>
      </c>
      <c r="B1602">
        <v>154</v>
      </c>
      <c r="C1602" s="2">
        <v>45164</v>
      </c>
      <c r="D1602" s="2" t="str">
        <f>TEXT(Table3[[#This Row],[usage_date]],"mmmm")</f>
        <v>August</v>
      </c>
      <c r="E1602" s="9">
        <f>YEAR(Table3[[#This Row],[usage_date]])</f>
        <v>2023</v>
      </c>
      <c r="F1602" s="14">
        <v>4.25</v>
      </c>
      <c r="G1602">
        <v>271</v>
      </c>
      <c r="H1602" t="s">
        <v>13</v>
      </c>
      <c r="I1602" t="str">
        <f t="shared" ref="I1602:I1665" si="25">IF(F1602&gt;6,"High Usage","Normal Usage")</f>
        <v>Normal Usage</v>
      </c>
    </row>
    <row r="1603" spans="1:9" x14ac:dyDescent="0.3">
      <c r="A1603">
        <v>11602</v>
      </c>
      <c r="B1603">
        <v>155</v>
      </c>
      <c r="C1603" s="2">
        <v>44725</v>
      </c>
      <c r="D1603" s="2" t="str">
        <f>TEXT(Table3[[#This Row],[usage_date]],"mmmm")</f>
        <v>June</v>
      </c>
      <c r="E1603" s="9">
        <f>YEAR(Table3[[#This Row],[usage_date]])</f>
        <v>2022</v>
      </c>
      <c r="F1603" s="14">
        <v>2.0499999999999998</v>
      </c>
      <c r="G1603">
        <v>143</v>
      </c>
      <c r="H1603" t="s">
        <v>12</v>
      </c>
      <c r="I1603" t="str">
        <f t="shared" si="25"/>
        <v>Normal Usage</v>
      </c>
    </row>
    <row r="1604" spans="1:9" x14ac:dyDescent="0.3">
      <c r="A1604">
        <v>11603</v>
      </c>
      <c r="B1604">
        <v>430</v>
      </c>
      <c r="C1604" s="2">
        <v>44672</v>
      </c>
      <c r="D1604" s="2" t="str">
        <f>TEXT(Table3[[#This Row],[usage_date]],"mmmm")</f>
        <v>April</v>
      </c>
      <c r="E1604" s="9">
        <f>YEAR(Table3[[#This Row],[usage_date]])</f>
        <v>2022</v>
      </c>
      <c r="F1604" s="14">
        <v>0.74</v>
      </c>
      <c r="G1604">
        <v>250</v>
      </c>
      <c r="H1604" t="s">
        <v>12</v>
      </c>
      <c r="I1604" t="str">
        <f t="shared" si="25"/>
        <v>Normal Usage</v>
      </c>
    </row>
    <row r="1605" spans="1:9" x14ac:dyDescent="0.3">
      <c r="A1605">
        <v>11604</v>
      </c>
      <c r="B1605">
        <v>363</v>
      </c>
      <c r="C1605" s="2">
        <v>44899</v>
      </c>
      <c r="D1605" s="2" t="str">
        <f>TEXT(Table3[[#This Row],[usage_date]],"mmmm")</f>
        <v>December</v>
      </c>
      <c r="E1605" s="9">
        <f>YEAR(Table3[[#This Row],[usage_date]])</f>
        <v>2022</v>
      </c>
      <c r="F1605" s="14">
        <v>0.76</v>
      </c>
      <c r="G1605">
        <v>283</v>
      </c>
      <c r="H1605" t="s">
        <v>12</v>
      </c>
      <c r="I1605" t="str">
        <f t="shared" si="25"/>
        <v>Normal Usage</v>
      </c>
    </row>
    <row r="1606" spans="1:9" x14ac:dyDescent="0.3">
      <c r="A1606">
        <v>11605</v>
      </c>
      <c r="B1606">
        <v>448</v>
      </c>
      <c r="C1606" s="2">
        <v>44684</v>
      </c>
      <c r="D1606" s="2" t="str">
        <f>TEXT(Table3[[#This Row],[usage_date]],"mmmm")</f>
        <v>May</v>
      </c>
      <c r="E1606" s="9">
        <f>YEAR(Table3[[#This Row],[usage_date]])</f>
        <v>2022</v>
      </c>
      <c r="F1606" s="14">
        <v>0.1</v>
      </c>
      <c r="G1606">
        <v>178</v>
      </c>
      <c r="H1606" t="s">
        <v>12</v>
      </c>
      <c r="I1606" t="str">
        <f t="shared" si="25"/>
        <v>Normal Usage</v>
      </c>
    </row>
    <row r="1607" spans="1:9" x14ac:dyDescent="0.3">
      <c r="A1607">
        <v>11606</v>
      </c>
      <c r="B1607">
        <v>475</v>
      </c>
      <c r="C1607" s="2">
        <v>45266</v>
      </c>
      <c r="D1607" s="2" t="str">
        <f>TEXT(Table3[[#This Row],[usage_date]],"mmmm")</f>
        <v>December</v>
      </c>
      <c r="E1607" s="9">
        <f>YEAR(Table3[[#This Row],[usage_date]])</f>
        <v>2023</v>
      </c>
      <c r="F1607" s="14">
        <v>0.91</v>
      </c>
      <c r="G1607">
        <v>79</v>
      </c>
      <c r="H1607" t="s">
        <v>13</v>
      </c>
      <c r="I1607" t="str">
        <f t="shared" si="25"/>
        <v>Normal Usage</v>
      </c>
    </row>
    <row r="1608" spans="1:9" x14ac:dyDescent="0.3">
      <c r="A1608">
        <v>11607</v>
      </c>
      <c r="B1608">
        <v>234</v>
      </c>
      <c r="C1608" s="2">
        <v>45008</v>
      </c>
      <c r="D1608" s="2" t="str">
        <f>TEXT(Table3[[#This Row],[usage_date]],"mmmm")</f>
        <v>March</v>
      </c>
      <c r="E1608" s="9">
        <f>YEAR(Table3[[#This Row],[usage_date]])</f>
        <v>2023</v>
      </c>
      <c r="F1608" s="14">
        <v>3.41</v>
      </c>
      <c r="G1608">
        <v>56</v>
      </c>
      <c r="H1608" t="s">
        <v>12</v>
      </c>
      <c r="I1608" t="str">
        <f t="shared" si="25"/>
        <v>Normal Usage</v>
      </c>
    </row>
    <row r="1609" spans="1:9" x14ac:dyDescent="0.3">
      <c r="A1609">
        <v>11608</v>
      </c>
      <c r="B1609">
        <v>51</v>
      </c>
      <c r="C1609" s="2">
        <v>45172</v>
      </c>
      <c r="D1609" s="2" t="str">
        <f>TEXT(Table3[[#This Row],[usage_date]],"mmmm")</f>
        <v>September</v>
      </c>
      <c r="E1609" s="9">
        <f>YEAR(Table3[[#This Row],[usage_date]])</f>
        <v>2023</v>
      </c>
      <c r="F1609" s="14">
        <v>0.12</v>
      </c>
      <c r="G1609">
        <v>173</v>
      </c>
      <c r="H1609" t="s">
        <v>12</v>
      </c>
      <c r="I1609" t="str">
        <f t="shared" si="25"/>
        <v>Normal Usage</v>
      </c>
    </row>
    <row r="1610" spans="1:9" x14ac:dyDescent="0.3">
      <c r="A1610">
        <v>11609</v>
      </c>
      <c r="B1610">
        <v>306</v>
      </c>
      <c r="C1610" s="2">
        <v>44852</v>
      </c>
      <c r="D1610" s="2" t="str">
        <f>TEXT(Table3[[#This Row],[usage_date]],"mmmm")</f>
        <v>October</v>
      </c>
      <c r="E1610" s="9">
        <f>YEAR(Table3[[#This Row],[usage_date]])</f>
        <v>2022</v>
      </c>
      <c r="F1610" s="14">
        <v>0.62</v>
      </c>
      <c r="G1610">
        <v>237</v>
      </c>
      <c r="H1610" t="s">
        <v>13</v>
      </c>
      <c r="I1610" t="str">
        <f t="shared" si="25"/>
        <v>Normal Usage</v>
      </c>
    </row>
    <row r="1611" spans="1:9" x14ac:dyDescent="0.3">
      <c r="A1611">
        <v>11610</v>
      </c>
      <c r="B1611">
        <v>262</v>
      </c>
      <c r="C1611" s="2">
        <v>45232</v>
      </c>
      <c r="D1611" s="2" t="str">
        <f>TEXT(Table3[[#This Row],[usage_date]],"mmmm")</f>
        <v>November</v>
      </c>
      <c r="E1611" s="9">
        <f>YEAR(Table3[[#This Row],[usage_date]])</f>
        <v>2023</v>
      </c>
      <c r="F1611" s="14">
        <v>3.06</v>
      </c>
      <c r="G1611">
        <v>165</v>
      </c>
      <c r="H1611" t="s">
        <v>12</v>
      </c>
      <c r="I1611" t="str">
        <f t="shared" si="25"/>
        <v>Normal Usage</v>
      </c>
    </row>
    <row r="1612" spans="1:9" x14ac:dyDescent="0.3">
      <c r="A1612">
        <v>11611</v>
      </c>
      <c r="B1612">
        <v>315</v>
      </c>
      <c r="C1612" s="2">
        <v>44973</v>
      </c>
      <c r="D1612" s="2" t="str">
        <f>TEXT(Table3[[#This Row],[usage_date]],"mmmm")</f>
        <v>February</v>
      </c>
      <c r="E1612" s="9">
        <f>YEAR(Table3[[#This Row],[usage_date]])</f>
        <v>2023</v>
      </c>
      <c r="F1612" s="14">
        <v>3.82</v>
      </c>
      <c r="G1612">
        <v>83</v>
      </c>
      <c r="H1612" t="s">
        <v>12</v>
      </c>
      <c r="I1612" t="str">
        <f t="shared" si="25"/>
        <v>Normal Usage</v>
      </c>
    </row>
    <row r="1613" spans="1:9" x14ac:dyDescent="0.3">
      <c r="A1613">
        <v>11612</v>
      </c>
      <c r="B1613">
        <v>125</v>
      </c>
      <c r="C1613" s="2">
        <v>45176</v>
      </c>
      <c r="D1613" s="2" t="str">
        <f>TEXT(Table3[[#This Row],[usage_date]],"mmmm")</f>
        <v>September</v>
      </c>
      <c r="E1613" s="9">
        <f>YEAR(Table3[[#This Row],[usage_date]])</f>
        <v>2023</v>
      </c>
      <c r="F1613" s="14">
        <v>1.52</v>
      </c>
      <c r="G1613">
        <v>47</v>
      </c>
      <c r="H1613" t="s">
        <v>12</v>
      </c>
      <c r="I1613" t="str">
        <f t="shared" si="25"/>
        <v>Normal Usage</v>
      </c>
    </row>
    <row r="1614" spans="1:9" x14ac:dyDescent="0.3">
      <c r="A1614">
        <v>11613</v>
      </c>
      <c r="B1614">
        <v>399</v>
      </c>
      <c r="C1614" s="2">
        <v>45458</v>
      </c>
      <c r="D1614" s="2" t="str">
        <f>TEXT(Table3[[#This Row],[usage_date]],"mmmm")</f>
        <v>June</v>
      </c>
      <c r="E1614" s="9">
        <f>YEAR(Table3[[#This Row],[usage_date]])</f>
        <v>2024</v>
      </c>
      <c r="F1614" s="14">
        <v>2.99</v>
      </c>
      <c r="G1614">
        <v>126</v>
      </c>
      <c r="H1614" t="s">
        <v>12</v>
      </c>
      <c r="I1614" t="str">
        <f t="shared" si="25"/>
        <v>Normal Usage</v>
      </c>
    </row>
    <row r="1615" spans="1:9" x14ac:dyDescent="0.3">
      <c r="A1615">
        <v>11614</v>
      </c>
      <c r="B1615">
        <v>245</v>
      </c>
      <c r="C1615" s="2">
        <v>44842</v>
      </c>
      <c r="D1615" s="2" t="str">
        <f>TEXT(Table3[[#This Row],[usage_date]],"mmmm")</f>
        <v>October</v>
      </c>
      <c r="E1615" s="9">
        <f>YEAR(Table3[[#This Row],[usage_date]])</f>
        <v>2022</v>
      </c>
      <c r="F1615" s="14">
        <v>1.23</v>
      </c>
      <c r="G1615">
        <v>168</v>
      </c>
      <c r="H1615" t="s">
        <v>12</v>
      </c>
      <c r="I1615" t="str">
        <f t="shared" si="25"/>
        <v>Normal Usage</v>
      </c>
    </row>
    <row r="1616" spans="1:9" x14ac:dyDescent="0.3">
      <c r="A1616">
        <v>11615</v>
      </c>
      <c r="B1616">
        <v>30</v>
      </c>
      <c r="C1616" s="2">
        <v>44604</v>
      </c>
      <c r="D1616" s="2" t="str">
        <f>TEXT(Table3[[#This Row],[usage_date]],"mmmm")</f>
        <v>February</v>
      </c>
      <c r="E1616" s="9">
        <f>YEAR(Table3[[#This Row],[usage_date]])</f>
        <v>2022</v>
      </c>
      <c r="F1616" s="14">
        <v>0.44</v>
      </c>
      <c r="G1616">
        <v>66</v>
      </c>
      <c r="H1616" t="s">
        <v>12</v>
      </c>
      <c r="I1616" t="str">
        <f t="shared" si="25"/>
        <v>Normal Usage</v>
      </c>
    </row>
    <row r="1617" spans="1:9" x14ac:dyDescent="0.3">
      <c r="A1617">
        <v>11616</v>
      </c>
      <c r="B1617">
        <v>426</v>
      </c>
      <c r="C1617" s="2">
        <v>45047</v>
      </c>
      <c r="D1617" s="2" t="str">
        <f>TEXT(Table3[[#This Row],[usage_date]],"mmmm")</f>
        <v>May</v>
      </c>
      <c r="E1617" s="9">
        <f>YEAR(Table3[[#This Row],[usage_date]])</f>
        <v>2023</v>
      </c>
      <c r="F1617" s="14">
        <v>1.27</v>
      </c>
      <c r="G1617">
        <v>193</v>
      </c>
      <c r="H1617" t="s">
        <v>12</v>
      </c>
      <c r="I1617" t="str">
        <f t="shared" si="25"/>
        <v>Normal Usage</v>
      </c>
    </row>
    <row r="1618" spans="1:9" x14ac:dyDescent="0.3">
      <c r="A1618">
        <v>11617</v>
      </c>
      <c r="B1618">
        <v>485</v>
      </c>
      <c r="C1618" s="2">
        <v>45157</v>
      </c>
      <c r="D1618" s="2" t="str">
        <f>TEXT(Table3[[#This Row],[usage_date]],"mmmm")</f>
        <v>August</v>
      </c>
      <c r="E1618" s="9">
        <f>YEAR(Table3[[#This Row],[usage_date]])</f>
        <v>2023</v>
      </c>
      <c r="F1618" s="14">
        <v>2.17</v>
      </c>
      <c r="G1618">
        <v>154</v>
      </c>
      <c r="H1618" t="s">
        <v>12</v>
      </c>
      <c r="I1618" t="str">
        <f t="shared" si="25"/>
        <v>Normal Usage</v>
      </c>
    </row>
    <row r="1619" spans="1:9" x14ac:dyDescent="0.3">
      <c r="A1619">
        <v>11618</v>
      </c>
      <c r="B1619">
        <v>122</v>
      </c>
      <c r="C1619" s="2">
        <v>45264</v>
      </c>
      <c r="D1619" s="2" t="str">
        <f>TEXT(Table3[[#This Row],[usage_date]],"mmmm")</f>
        <v>December</v>
      </c>
      <c r="E1619" s="9">
        <f>YEAR(Table3[[#This Row],[usage_date]])</f>
        <v>2023</v>
      </c>
      <c r="F1619" s="14">
        <v>7.39</v>
      </c>
      <c r="G1619">
        <v>159</v>
      </c>
      <c r="H1619" t="s">
        <v>12</v>
      </c>
      <c r="I1619" t="str">
        <f t="shared" si="25"/>
        <v>High Usage</v>
      </c>
    </row>
    <row r="1620" spans="1:9" x14ac:dyDescent="0.3">
      <c r="A1620">
        <v>11619</v>
      </c>
      <c r="B1620">
        <v>125</v>
      </c>
      <c r="C1620" s="2">
        <v>44612</v>
      </c>
      <c r="D1620" s="2" t="str">
        <f>TEXT(Table3[[#This Row],[usage_date]],"mmmm")</f>
        <v>February</v>
      </c>
      <c r="E1620" s="9">
        <f>YEAR(Table3[[#This Row],[usage_date]])</f>
        <v>2022</v>
      </c>
      <c r="F1620" s="14">
        <v>0.18</v>
      </c>
      <c r="G1620">
        <v>183</v>
      </c>
      <c r="H1620" t="s">
        <v>12</v>
      </c>
      <c r="I1620" t="str">
        <f t="shared" si="25"/>
        <v>Normal Usage</v>
      </c>
    </row>
    <row r="1621" spans="1:9" x14ac:dyDescent="0.3">
      <c r="A1621">
        <v>11620</v>
      </c>
      <c r="B1621">
        <v>37</v>
      </c>
      <c r="C1621" s="2">
        <v>45459</v>
      </c>
      <c r="D1621" s="2" t="str">
        <f>TEXT(Table3[[#This Row],[usage_date]],"mmmm")</f>
        <v>June</v>
      </c>
      <c r="E1621" s="9">
        <f>YEAR(Table3[[#This Row],[usage_date]])</f>
        <v>2024</v>
      </c>
      <c r="F1621" s="14">
        <v>1.77</v>
      </c>
      <c r="G1621">
        <v>265</v>
      </c>
      <c r="H1621" t="s">
        <v>13</v>
      </c>
      <c r="I1621" t="str">
        <f t="shared" si="25"/>
        <v>Normal Usage</v>
      </c>
    </row>
    <row r="1622" spans="1:9" x14ac:dyDescent="0.3">
      <c r="A1622">
        <v>11621</v>
      </c>
      <c r="B1622">
        <v>170</v>
      </c>
      <c r="C1622" s="2">
        <v>44771</v>
      </c>
      <c r="D1622" s="2" t="str">
        <f>TEXT(Table3[[#This Row],[usage_date]],"mmmm")</f>
        <v>July</v>
      </c>
      <c r="E1622" s="9">
        <f>YEAR(Table3[[#This Row],[usage_date]])</f>
        <v>2022</v>
      </c>
      <c r="F1622" s="14">
        <v>1</v>
      </c>
      <c r="G1622">
        <v>167</v>
      </c>
      <c r="H1622" t="s">
        <v>12</v>
      </c>
      <c r="I1622" t="str">
        <f t="shared" si="25"/>
        <v>Normal Usage</v>
      </c>
    </row>
    <row r="1623" spans="1:9" x14ac:dyDescent="0.3">
      <c r="A1623">
        <v>11622</v>
      </c>
      <c r="B1623">
        <v>124</v>
      </c>
      <c r="C1623" s="2">
        <v>44687</v>
      </c>
      <c r="D1623" s="2" t="str">
        <f>TEXT(Table3[[#This Row],[usage_date]],"mmmm")</f>
        <v>May</v>
      </c>
      <c r="E1623" s="9">
        <f>YEAR(Table3[[#This Row],[usage_date]])</f>
        <v>2022</v>
      </c>
      <c r="F1623" s="14">
        <v>1.77</v>
      </c>
      <c r="G1623">
        <v>144</v>
      </c>
      <c r="H1623" t="s">
        <v>13</v>
      </c>
      <c r="I1623" t="str">
        <f t="shared" si="25"/>
        <v>Normal Usage</v>
      </c>
    </row>
    <row r="1624" spans="1:9" x14ac:dyDescent="0.3">
      <c r="A1624">
        <v>11623</v>
      </c>
      <c r="B1624">
        <v>357</v>
      </c>
      <c r="C1624" s="2">
        <v>45053</v>
      </c>
      <c r="D1624" s="2" t="str">
        <f>TEXT(Table3[[#This Row],[usage_date]],"mmmm")</f>
        <v>May</v>
      </c>
      <c r="E1624" s="9">
        <f>YEAR(Table3[[#This Row],[usage_date]])</f>
        <v>2023</v>
      </c>
      <c r="F1624" s="14">
        <v>0.06</v>
      </c>
      <c r="G1624">
        <v>185</v>
      </c>
      <c r="H1624" t="s">
        <v>12</v>
      </c>
      <c r="I1624" t="str">
        <f t="shared" si="25"/>
        <v>Normal Usage</v>
      </c>
    </row>
    <row r="1625" spans="1:9" x14ac:dyDescent="0.3">
      <c r="A1625">
        <v>11624</v>
      </c>
      <c r="B1625">
        <v>35</v>
      </c>
      <c r="C1625" s="2">
        <v>45070</v>
      </c>
      <c r="D1625" s="2" t="str">
        <f>TEXT(Table3[[#This Row],[usage_date]],"mmmm")</f>
        <v>May</v>
      </c>
      <c r="E1625" s="9">
        <f>YEAR(Table3[[#This Row],[usage_date]])</f>
        <v>2023</v>
      </c>
      <c r="F1625" s="14">
        <v>0.94</v>
      </c>
      <c r="G1625">
        <v>261</v>
      </c>
      <c r="H1625" t="s">
        <v>12</v>
      </c>
      <c r="I1625" t="str">
        <f t="shared" si="25"/>
        <v>Normal Usage</v>
      </c>
    </row>
    <row r="1626" spans="1:9" x14ac:dyDescent="0.3">
      <c r="A1626">
        <v>11625</v>
      </c>
      <c r="B1626">
        <v>87</v>
      </c>
      <c r="C1626" s="2">
        <v>45142</v>
      </c>
      <c r="D1626" s="2" t="str">
        <f>TEXT(Table3[[#This Row],[usage_date]],"mmmm")</f>
        <v>August</v>
      </c>
      <c r="E1626" s="9">
        <f>YEAR(Table3[[#This Row],[usage_date]])</f>
        <v>2023</v>
      </c>
      <c r="F1626" s="14">
        <v>4.29</v>
      </c>
      <c r="G1626">
        <v>273</v>
      </c>
      <c r="H1626" t="s">
        <v>12</v>
      </c>
      <c r="I1626" t="str">
        <f t="shared" si="25"/>
        <v>Normal Usage</v>
      </c>
    </row>
    <row r="1627" spans="1:9" x14ac:dyDescent="0.3">
      <c r="A1627">
        <v>11626</v>
      </c>
      <c r="B1627">
        <v>134</v>
      </c>
      <c r="C1627" s="2">
        <v>45338</v>
      </c>
      <c r="D1627" s="2" t="str">
        <f>TEXT(Table3[[#This Row],[usage_date]],"mmmm")</f>
        <v>February</v>
      </c>
      <c r="E1627" s="9">
        <f>YEAR(Table3[[#This Row],[usage_date]])</f>
        <v>2024</v>
      </c>
      <c r="F1627" s="14">
        <v>2.02</v>
      </c>
      <c r="G1627">
        <v>222</v>
      </c>
      <c r="H1627" t="s">
        <v>13</v>
      </c>
      <c r="I1627" t="str">
        <f t="shared" si="25"/>
        <v>Normal Usage</v>
      </c>
    </row>
    <row r="1628" spans="1:9" x14ac:dyDescent="0.3">
      <c r="A1628">
        <v>11627</v>
      </c>
      <c r="B1628">
        <v>196</v>
      </c>
      <c r="C1628" s="2">
        <v>44819</v>
      </c>
      <c r="D1628" s="2" t="str">
        <f>TEXT(Table3[[#This Row],[usage_date]],"mmmm")</f>
        <v>September</v>
      </c>
      <c r="E1628" s="9">
        <f>YEAR(Table3[[#This Row],[usage_date]])</f>
        <v>2022</v>
      </c>
      <c r="F1628" s="14">
        <v>1.5</v>
      </c>
      <c r="G1628">
        <v>41</v>
      </c>
      <c r="H1628" t="s">
        <v>12</v>
      </c>
      <c r="I1628" t="str">
        <f t="shared" si="25"/>
        <v>Normal Usage</v>
      </c>
    </row>
    <row r="1629" spans="1:9" x14ac:dyDescent="0.3">
      <c r="A1629">
        <v>11628</v>
      </c>
      <c r="B1629">
        <v>274</v>
      </c>
      <c r="C1629" s="2">
        <v>44749</v>
      </c>
      <c r="D1629" s="2" t="str">
        <f>TEXT(Table3[[#This Row],[usage_date]],"mmmm")</f>
        <v>July</v>
      </c>
      <c r="E1629" s="9">
        <f>YEAR(Table3[[#This Row],[usage_date]])</f>
        <v>2022</v>
      </c>
      <c r="F1629" s="14">
        <v>0.84</v>
      </c>
      <c r="G1629">
        <v>3</v>
      </c>
      <c r="H1629" t="s">
        <v>12</v>
      </c>
      <c r="I1629" t="str">
        <f t="shared" si="25"/>
        <v>Normal Usage</v>
      </c>
    </row>
    <row r="1630" spans="1:9" x14ac:dyDescent="0.3">
      <c r="A1630">
        <v>11629</v>
      </c>
      <c r="B1630">
        <v>201</v>
      </c>
      <c r="C1630" s="2">
        <v>44791</v>
      </c>
      <c r="D1630" s="2" t="str">
        <f>TEXT(Table3[[#This Row],[usage_date]],"mmmm")</f>
        <v>August</v>
      </c>
      <c r="E1630" s="9">
        <f>YEAR(Table3[[#This Row],[usage_date]])</f>
        <v>2022</v>
      </c>
      <c r="F1630" s="14">
        <v>0.88</v>
      </c>
      <c r="G1630">
        <v>275</v>
      </c>
      <c r="H1630" t="s">
        <v>13</v>
      </c>
      <c r="I1630" t="str">
        <f t="shared" si="25"/>
        <v>Normal Usage</v>
      </c>
    </row>
    <row r="1631" spans="1:9" x14ac:dyDescent="0.3">
      <c r="A1631">
        <v>11630</v>
      </c>
      <c r="B1631">
        <v>369</v>
      </c>
      <c r="C1631" s="2">
        <v>44750</v>
      </c>
      <c r="D1631" s="2" t="str">
        <f>TEXT(Table3[[#This Row],[usage_date]],"mmmm")</f>
        <v>July</v>
      </c>
      <c r="E1631" s="9">
        <f>YEAR(Table3[[#This Row],[usage_date]])</f>
        <v>2022</v>
      </c>
      <c r="F1631" s="14">
        <v>1.21</v>
      </c>
      <c r="G1631">
        <v>283</v>
      </c>
      <c r="H1631" t="s">
        <v>13</v>
      </c>
      <c r="I1631" t="str">
        <f t="shared" si="25"/>
        <v>Normal Usage</v>
      </c>
    </row>
    <row r="1632" spans="1:9" x14ac:dyDescent="0.3">
      <c r="A1632">
        <v>11631</v>
      </c>
      <c r="B1632">
        <v>285</v>
      </c>
      <c r="C1632" s="2">
        <v>44976</v>
      </c>
      <c r="D1632" s="2" t="str">
        <f>TEXT(Table3[[#This Row],[usage_date]],"mmmm")</f>
        <v>February</v>
      </c>
      <c r="E1632" s="9">
        <f>YEAR(Table3[[#This Row],[usage_date]])</f>
        <v>2023</v>
      </c>
      <c r="F1632" s="14">
        <v>4.51</v>
      </c>
      <c r="G1632">
        <v>192</v>
      </c>
      <c r="H1632" t="s">
        <v>12</v>
      </c>
      <c r="I1632" t="str">
        <f t="shared" si="25"/>
        <v>Normal Usage</v>
      </c>
    </row>
    <row r="1633" spans="1:9" x14ac:dyDescent="0.3">
      <c r="A1633">
        <v>11632</v>
      </c>
      <c r="B1633">
        <v>77</v>
      </c>
      <c r="C1633" s="2">
        <v>44571</v>
      </c>
      <c r="D1633" s="2" t="str">
        <f>TEXT(Table3[[#This Row],[usage_date]],"mmmm")</f>
        <v>January</v>
      </c>
      <c r="E1633" s="9">
        <f>YEAR(Table3[[#This Row],[usage_date]])</f>
        <v>2022</v>
      </c>
      <c r="F1633" s="14">
        <v>8.5399999999999991</v>
      </c>
      <c r="G1633">
        <v>103</v>
      </c>
      <c r="H1633" t="s">
        <v>13</v>
      </c>
      <c r="I1633" t="str">
        <f t="shared" si="25"/>
        <v>High Usage</v>
      </c>
    </row>
    <row r="1634" spans="1:9" x14ac:dyDescent="0.3">
      <c r="A1634">
        <v>11633</v>
      </c>
      <c r="B1634">
        <v>59</v>
      </c>
      <c r="C1634" s="2">
        <v>44675</v>
      </c>
      <c r="D1634" s="2" t="str">
        <f>TEXT(Table3[[#This Row],[usage_date]],"mmmm")</f>
        <v>April</v>
      </c>
      <c r="E1634" s="9">
        <f>YEAR(Table3[[#This Row],[usage_date]])</f>
        <v>2022</v>
      </c>
      <c r="F1634" s="14">
        <v>1.44</v>
      </c>
      <c r="G1634">
        <v>246</v>
      </c>
      <c r="H1634" t="s">
        <v>13</v>
      </c>
      <c r="I1634" t="str">
        <f t="shared" si="25"/>
        <v>Normal Usage</v>
      </c>
    </row>
    <row r="1635" spans="1:9" x14ac:dyDescent="0.3">
      <c r="A1635">
        <v>11634</v>
      </c>
      <c r="B1635">
        <v>431</v>
      </c>
      <c r="C1635" s="2">
        <v>44637</v>
      </c>
      <c r="D1635" s="2" t="str">
        <f>TEXT(Table3[[#This Row],[usage_date]],"mmmm")</f>
        <v>March</v>
      </c>
      <c r="E1635" s="9">
        <f>YEAR(Table3[[#This Row],[usage_date]])</f>
        <v>2022</v>
      </c>
      <c r="F1635" s="14">
        <v>1.25</v>
      </c>
      <c r="G1635">
        <v>299</v>
      </c>
      <c r="H1635" t="s">
        <v>12</v>
      </c>
      <c r="I1635" t="str">
        <f t="shared" si="25"/>
        <v>Normal Usage</v>
      </c>
    </row>
    <row r="1636" spans="1:9" x14ac:dyDescent="0.3">
      <c r="A1636">
        <v>11635</v>
      </c>
      <c r="B1636">
        <v>126</v>
      </c>
      <c r="C1636" s="2">
        <v>45237</v>
      </c>
      <c r="D1636" s="2" t="str">
        <f>TEXT(Table3[[#This Row],[usage_date]],"mmmm")</f>
        <v>November</v>
      </c>
      <c r="E1636" s="9">
        <f>YEAR(Table3[[#This Row],[usage_date]])</f>
        <v>2023</v>
      </c>
      <c r="F1636" s="14">
        <v>4.6900000000000004</v>
      </c>
      <c r="G1636">
        <v>22</v>
      </c>
      <c r="H1636" t="s">
        <v>12</v>
      </c>
      <c r="I1636" t="str">
        <f t="shared" si="25"/>
        <v>Normal Usage</v>
      </c>
    </row>
    <row r="1637" spans="1:9" x14ac:dyDescent="0.3">
      <c r="A1637">
        <v>11636</v>
      </c>
      <c r="B1637">
        <v>500</v>
      </c>
      <c r="C1637" s="2">
        <v>45063</v>
      </c>
      <c r="D1637" s="2" t="str">
        <f>TEXT(Table3[[#This Row],[usage_date]],"mmmm")</f>
        <v>May</v>
      </c>
      <c r="E1637" s="9">
        <f>YEAR(Table3[[#This Row],[usage_date]])</f>
        <v>2023</v>
      </c>
      <c r="F1637" s="14">
        <v>1.39</v>
      </c>
      <c r="G1637">
        <v>12</v>
      </c>
      <c r="H1637" t="s">
        <v>12</v>
      </c>
      <c r="I1637" t="str">
        <f t="shared" si="25"/>
        <v>Normal Usage</v>
      </c>
    </row>
    <row r="1638" spans="1:9" x14ac:dyDescent="0.3">
      <c r="A1638">
        <v>11637</v>
      </c>
      <c r="B1638">
        <v>401</v>
      </c>
      <c r="C1638" s="2">
        <v>44646</v>
      </c>
      <c r="D1638" s="2" t="str">
        <f>TEXT(Table3[[#This Row],[usage_date]],"mmmm")</f>
        <v>March</v>
      </c>
      <c r="E1638" s="9">
        <f>YEAR(Table3[[#This Row],[usage_date]])</f>
        <v>2022</v>
      </c>
      <c r="F1638" s="14">
        <v>2.0099999999999998</v>
      </c>
      <c r="G1638">
        <v>143</v>
      </c>
      <c r="H1638" t="s">
        <v>12</v>
      </c>
      <c r="I1638" t="str">
        <f t="shared" si="25"/>
        <v>Normal Usage</v>
      </c>
    </row>
    <row r="1639" spans="1:9" x14ac:dyDescent="0.3">
      <c r="A1639">
        <v>11638</v>
      </c>
      <c r="B1639">
        <v>109</v>
      </c>
      <c r="C1639" s="2">
        <v>44610</v>
      </c>
      <c r="D1639" s="2" t="str">
        <f>TEXT(Table3[[#This Row],[usage_date]],"mmmm")</f>
        <v>February</v>
      </c>
      <c r="E1639" s="9">
        <f>YEAR(Table3[[#This Row],[usage_date]])</f>
        <v>2022</v>
      </c>
      <c r="F1639" s="14">
        <v>0.66</v>
      </c>
      <c r="G1639">
        <v>217</v>
      </c>
      <c r="H1639" t="s">
        <v>13</v>
      </c>
      <c r="I1639" t="str">
        <f t="shared" si="25"/>
        <v>Normal Usage</v>
      </c>
    </row>
    <row r="1640" spans="1:9" x14ac:dyDescent="0.3">
      <c r="A1640">
        <v>11639</v>
      </c>
      <c r="B1640">
        <v>224</v>
      </c>
      <c r="C1640" s="2">
        <v>45056</v>
      </c>
      <c r="D1640" s="2" t="str">
        <f>TEXT(Table3[[#This Row],[usage_date]],"mmmm")</f>
        <v>May</v>
      </c>
      <c r="E1640" s="9">
        <f>YEAR(Table3[[#This Row],[usage_date]])</f>
        <v>2023</v>
      </c>
      <c r="F1640" s="14">
        <v>3.4</v>
      </c>
      <c r="G1640">
        <v>182</v>
      </c>
      <c r="H1640" t="s">
        <v>12</v>
      </c>
      <c r="I1640" t="str">
        <f t="shared" si="25"/>
        <v>Normal Usage</v>
      </c>
    </row>
    <row r="1641" spans="1:9" x14ac:dyDescent="0.3">
      <c r="A1641">
        <v>11640</v>
      </c>
      <c r="B1641">
        <v>496</v>
      </c>
      <c r="C1641" s="2">
        <v>45399</v>
      </c>
      <c r="D1641" s="2" t="str">
        <f>TEXT(Table3[[#This Row],[usage_date]],"mmmm")</f>
        <v>April</v>
      </c>
      <c r="E1641" s="9">
        <f>YEAR(Table3[[#This Row],[usage_date]])</f>
        <v>2024</v>
      </c>
      <c r="F1641" s="14">
        <v>1.9</v>
      </c>
      <c r="G1641">
        <v>241</v>
      </c>
      <c r="H1641" t="s">
        <v>12</v>
      </c>
      <c r="I1641" t="str">
        <f t="shared" si="25"/>
        <v>Normal Usage</v>
      </c>
    </row>
    <row r="1642" spans="1:9" x14ac:dyDescent="0.3">
      <c r="A1642">
        <v>11641</v>
      </c>
      <c r="B1642">
        <v>278</v>
      </c>
      <c r="C1642" s="2">
        <v>45250</v>
      </c>
      <c r="D1642" s="2" t="str">
        <f>TEXT(Table3[[#This Row],[usage_date]],"mmmm")</f>
        <v>November</v>
      </c>
      <c r="E1642" s="9">
        <f>YEAR(Table3[[#This Row],[usage_date]])</f>
        <v>2023</v>
      </c>
      <c r="F1642" s="14">
        <v>4.1399999999999997</v>
      </c>
      <c r="G1642">
        <v>192</v>
      </c>
      <c r="H1642" t="s">
        <v>13</v>
      </c>
      <c r="I1642" t="str">
        <f t="shared" si="25"/>
        <v>Normal Usage</v>
      </c>
    </row>
    <row r="1643" spans="1:9" x14ac:dyDescent="0.3">
      <c r="A1643">
        <v>11642</v>
      </c>
      <c r="B1643">
        <v>68</v>
      </c>
      <c r="C1643" s="2">
        <v>44948</v>
      </c>
      <c r="D1643" s="2" t="str">
        <f>TEXT(Table3[[#This Row],[usage_date]],"mmmm")</f>
        <v>January</v>
      </c>
      <c r="E1643" s="9">
        <f>YEAR(Table3[[#This Row],[usage_date]])</f>
        <v>2023</v>
      </c>
      <c r="F1643" s="14">
        <v>3.79</v>
      </c>
      <c r="G1643">
        <v>271</v>
      </c>
      <c r="H1643" t="s">
        <v>12</v>
      </c>
      <c r="I1643" t="str">
        <f t="shared" si="25"/>
        <v>Normal Usage</v>
      </c>
    </row>
    <row r="1644" spans="1:9" x14ac:dyDescent="0.3">
      <c r="A1644">
        <v>11643</v>
      </c>
      <c r="B1644">
        <v>69</v>
      </c>
      <c r="C1644" s="2">
        <v>44950</v>
      </c>
      <c r="D1644" s="2" t="str">
        <f>TEXT(Table3[[#This Row],[usage_date]],"mmmm")</f>
        <v>January</v>
      </c>
      <c r="E1644" s="9">
        <f>YEAR(Table3[[#This Row],[usage_date]])</f>
        <v>2023</v>
      </c>
      <c r="F1644" s="14">
        <v>0.61</v>
      </c>
      <c r="G1644">
        <v>164</v>
      </c>
      <c r="H1644" t="s">
        <v>13</v>
      </c>
      <c r="I1644" t="str">
        <f t="shared" si="25"/>
        <v>Normal Usage</v>
      </c>
    </row>
    <row r="1645" spans="1:9" x14ac:dyDescent="0.3">
      <c r="A1645">
        <v>11644</v>
      </c>
      <c r="B1645">
        <v>165</v>
      </c>
      <c r="C1645" s="2">
        <v>44779</v>
      </c>
      <c r="D1645" s="2" t="str">
        <f>TEXT(Table3[[#This Row],[usage_date]],"mmmm")</f>
        <v>August</v>
      </c>
      <c r="E1645" s="9">
        <f>YEAR(Table3[[#This Row],[usage_date]])</f>
        <v>2022</v>
      </c>
      <c r="F1645" s="14">
        <v>3.14</v>
      </c>
      <c r="G1645">
        <v>179</v>
      </c>
      <c r="H1645" t="s">
        <v>13</v>
      </c>
      <c r="I1645" t="str">
        <f t="shared" si="25"/>
        <v>Normal Usage</v>
      </c>
    </row>
    <row r="1646" spans="1:9" x14ac:dyDescent="0.3">
      <c r="A1646">
        <v>11645</v>
      </c>
      <c r="B1646">
        <v>489</v>
      </c>
      <c r="C1646" s="2">
        <v>45262</v>
      </c>
      <c r="D1646" s="2" t="str">
        <f>TEXT(Table3[[#This Row],[usage_date]],"mmmm")</f>
        <v>December</v>
      </c>
      <c r="E1646" s="9">
        <f>YEAR(Table3[[#This Row],[usage_date]])</f>
        <v>2023</v>
      </c>
      <c r="F1646" s="14">
        <v>4.0199999999999996</v>
      </c>
      <c r="G1646">
        <v>116</v>
      </c>
      <c r="H1646" t="s">
        <v>13</v>
      </c>
      <c r="I1646" t="str">
        <f t="shared" si="25"/>
        <v>Normal Usage</v>
      </c>
    </row>
    <row r="1647" spans="1:9" x14ac:dyDescent="0.3">
      <c r="A1647">
        <v>11646</v>
      </c>
      <c r="B1647">
        <v>305</v>
      </c>
      <c r="C1647" s="2">
        <v>44907</v>
      </c>
      <c r="D1647" s="2" t="str">
        <f>TEXT(Table3[[#This Row],[usage_date]],"mmmm")</f>
        <v>December</v>
      </c>
      <c r="E1647" s="9">
        <f>YEAR(Table3[[#This Row],[usage_date]])</f>
        <v>2022</v>
      </c>
      <c r="F1647" s="14">
        <v>1.06</v>
      </c>
      <c r="G1647">
        <v>265</v>
      </c>
      <c r="H1647" t="s">
        <v>13</v>
      </c>
      <c r="I1647" t="str">
        <f t="shared" si="25"/>
        <v>Normal Usage</v>
      </c>
    </row>
    <row r="1648" spans="1:9" x14ac:dyDescent="0.3">
      <c r="A1648">
        <v>11647</v>
      </c>
      <c r="B1648">
        <v>397</v>
      </c>
      <c r="C1648" s="2">
        <v>44791</v>
      </c>
      <c r="D1648" s="2" t="str">
        <f>TEXT(Table3[[#This Row],[usage_date]],"mmmm")</f>
        <v>August</v>
      </c>
      <c r="E1648" s="9">
        <f>YEAR(Table3[[#This Row],[usage_date]])</f>
        <v>2022</v>
      </c>
      <c r="F1648" s="14">
        <v>0.47</v>
      </c>
      <c r="G1648">
        <v>37</v>
      </c>
      <c r="H1648" t="s">
        <v>12</v>
      </c>
      <c r="I1648" t="str">
        <f t="shared" si="25"/>
        <v>Normal Usage</v>
      </c>
    </row>
    <row r="1649" spans="1:9" x14ac:dyDescent="0.3">
      <c r="A1649">
        <v>11648</v>
      </c>
      <c r="B1649">
        <v>162</v>
      </c>
      <c r="C1649" s="2">
        <v>44816</v>
      </c>
      <c r="D1649" s="2" t="str">
        <f>TEXT(Table3[[#This Row],[usage_date]],"mmmm")</f>
        <v>September</v>
      </c>
      <c r="E1649" s="9">
        <f>YEAR(Table3[[#This Row],[usage_date]])</f>
        <v>2022</v>
      </c>
      <c r="F1649" s="14">
        <v>0.01</v>
      </c>
      <c r="G1649">
        <v>43</v>
      </c>
      <c r="H1649" t="s">
        <v>12</v>
      </c>
      <c r="I1649" t="str">
        <f t="shared" si="25"/>
        <v>Normal Usage</v>
      </c>
    </row>
    <row r="1650" spans="1:9" x14ac:dyDescent="0.3">
      <c r="A1650">
        <v>11649</v>
      </c>
      <c r="B1650">
        <v>365</v>
      </c>
      <c r="C1650" s="2">
        <v>44797</v>
      </c>
      <c r="D1650" s="2" t="str">
        <f>TEXT(Table3[[#This Row],[usage_date]],"mmmm")</f>
        <v>August</v>
      </c>
      <c r="E1650" s="9">
        <f>YEAR(Table3[[#This Row],[usage_date]])</f>
        <v>2022</v>
      </c>
      <c r="F1650" s="14">
        <v>1.5</v>
      </c>
      <c r="G1650">
        <v>73</v>
      </c>
      <c r="H1650" t="s">
        <v>12</v>
      </c>
      <c r="I1650" t="str">
        <f t="shared" si="25"/>
        <v>Normal Usage</v>
      </c>
    </row>
    <row r="1651" spans="1:9" x14ac:dyDescent="0.3">
      <c r="A1651">
        <v>11650</v>
      </c>
      <c r="B1651">
        <v>342</v>
      </c>
      <c r="C1651" s="2">
        <v>44587</v>
      </c>
      <c r="D1651" s="2" t="str">
        <f>TEXT(Table3[[#This Row],[usage_date]],"mmmm")</f>
        <v>January</v>
      </c>
      <c r="E1651" s="9">
        <f>YEAR(Table3[[#This Row],[usage_date]])</f>
        <v>2022</v>
      </c>
      <c r="F1651" s="14">
        <v>1.0900000000000001</v>
      </c>
      <c r="G1651">
        <v>225</v>
      </c>
      <c r="H1651" t="s">
        <v>12</v>
      </c>
      <c r="I1651" t="str">
        <f t="shared" si="25"/>
        <v>Normal Usage</v>
      </c>
    </row>
    <row r="1652" spans="1:9" x14ac:dyDescent="0.3">
      <c r="A1652">
        <v>11651</v>
      </c>
      <c r="B1652">
        <v>309</v>
      </c>
      <c r="C1652" s="2">
        <v>45145</v>
      </c>
      <c r="D1652" s="2" t="str">
        <f>TEXT(Table3[[#This Row],[usage_date]],"mmmm")</f>
        <v>August</v>
      </c>
      <c r="E1652" s="9">
        <f>YEAR(Table3[[#This Row],[usage_date]])</f>
        <v>2023</v>
      </c>
      <c r="F1652" s="14">
        <v>2.02</v>
      </c>
      <c r="G1652">
        <v>12</v>
      </c>
      <c r="H1652" t="s">
        <v>12</v>
      </c>
      <c r="I1652" t="str">
        <f t="shared" si="25"/>
        <v>Normal Usage</v>
      </c>
    </row>
    <row r="1653" spans="1:9" x14ac:dyDescent="0.3">
      <c r="A1653">
        <v>11652</v>
      </c>
      <c r="B1653">
        <v>379</v>
      </c>
      <c r="C1653" s="2">
        <v>44822</v>
      </c>
      <c r="D1653" s="2" t="str">
        <f>TEXT(Table3[[#This Row],[usage_date]],"mmmm")</f>
        <v>September</v>
      </c>
      <c r="E1653" s="9">
        <f>YEAR(Table3[[#This Row],[usage_date]])</f>
        <v>2022</v>
      </c>
      <c r="F1653" s="14">
        <v>0.52</v>
      </c>
      <c r="G1653">
        <v>11</v>
      </c>
      <c r="H1653" t="s">
        <v>12</v>
      </c>
      <c r="I1653" t="str">
        <f t="shared" si="25"/>
        <v>Normal Usage</v>
      </c>
    </row>
    <row r="1654" spans="1:9" x14ac:dyDescent="0.3">
      <c r="A1654">
        <v>11653</v>
      </c>
      <c r="B1654">
        <v>343</v>
      </c>
      <c r="C1654" s="2">
        <v>45327</v>
      </c>
      <c r="D1654" s="2" t="str">
        <f>TEXT(Table3[[#This Row],[usage_date]],"mmmm")</f>
        <v>February</v>
      </c>
      <c r="E1654" s="9">
        <f>YEAR(Table3[[#This Row],[usage_date]])</f>
        <v>2024</v>
      </c>
      <c r="F1654" s="14">
        <v>4.91</v>
      </c>
      <c r="G1654">
        <v>49</v>
      </c>
      <c r="H1654" t="s">
        <v>13</v>
      </c>
      <c r="I1654" t="str">
        <f t="shared" si="25"/>
        <v>Normal Usage</v>
      </c>
    </row>
    <row r="1655" spans="1:9" x14ac:dyDescent="0.3">
      <c r="A1655">
        <v>11654</v>
      </c>
      <c r="B1655">
        <v>435</v>
      </c>
      <c r="C1655" s="2">
        <v>44832</v>
      </c>
      <c r="D1655" s="2" t="str">
        <f>TEXT(Table3[[#This Row],[usage_date]],"mmmm")</f>
        <v>September</v>
      </c>
      <c r="E1655" s="9">
        <f>YEAR(Table3[[#This Row],[usage_date]])</f>
        <v>2022</v>
      </c>
      <c r="F1655" s="14">
        <v>0.75</v>
      </c>
      <c r="G1655">
        <v>248</v>
      </c>
      <c r="H1655" t="s">
        <v>13</v>
      </c>
      <c r="I1655" t="str">
        <f t="shared" si="25"/>
        <v>Normal Usage</v>
      </c>
    </row>
    <row r="1656" spans="1:9" x14ac:dyDescent="0.3">
      <c r="A1656">
        <v>11655</v>
      </c>
      <c r="B1656">
        <v>387</v>
      </c>
      <c r="C1656" s="2">
        <v>44684</v>
      </c>
      <c r="D1656" s="2" t="str">
        <f>TEXT(Table3[[#This Row],[usage_date]],"mmmm")</f>
        <v>May</v>
      </c>
      <c r="E1656" s="9">
        <f>YEAR(Table3[[#This Row],[usage_date]])</f>
        <v>2022</v>
      </c>
      <c r="F1656" s="14">
        <v>0.64</v>
      </c>
      <c r="G1656">
        <v>118</v>
      </c>
      <c r="H1656" t="s">
        <v>12</v>
      </c>
      <c r="I1656" t="str">
        <f t="shared" si="25"/>
        <v>Normal Usage</v>
      </c>
    </row>
    <row r="1657" spans="1:9" x14ac:dyDescent="0.3">
      <c r="A1657">
        <v>11656</v>
      </c>
      <c r="B1657">
        <v>42</v>
      </c>
      <c r="C1657" s="2">
        <v>45217</v>
      </c>
      <c r="D1657" s="2" t="str">
        <f>TEXT(Table3[[#This Row],[usage_date]],"mmmm")</f>
        <v>October</v>
      </c>
      <c r="E1657" s="9">
        <f>YEAR(Table3[[#This Row],[usage_date]])</f>
        <v>2023</v>
      </c>
      <c r="F1657" s="14">
        <v>1.64</v>
      </c>
      <c r="G1657">
        <v>56</v>
      </c>
      <c r="H1657" t="s">
        <v>12</v>
      </c>
      <c r="I1657" t="str">
        <f t="shared" si="25"/>
        <v>Normal Usage</v>
      </c>
    </row>
    <row r="1658" spans="1:9" x14ac:dyDescent="0.3">
      <c r="A1658">
        <v>11657</v>
      </c>
      <c r="B1658">
        <v>354</v>
      </c>
      <c r="C1658" s="2">
        <v>44818</v>
      </c>
      <c r="D1658" s="2" t="str">
        <f>TEXT(Table3[[#This Row],[usage_date]],"mmmm")</f>
        <v>September</v>
      </c>
      <c r="E1658" s="9">
        <f>YEAR(Table3[[#This Row],[usage_date]])</f>
        <v>2022</v>
      </c>
      <c r="F1658" s="14">
        <v>1.73</v>
      </c>
      <c r="G1658">
        <v>181</v>
      </c>
      <c r="H1658" t="s">
        <v>12</v>
      </c>
      <c r="I1658" t="str">
        <f t="shared" si="25"/>
        <v>Normal Usage</v>
      </c>
    </row>
    <row r="1659" spans="1:9" x14ac:dyDescent="0.3">
      <c r="A1659">
        <v>11658</v>
      </c>
      <c r="B1659">
        <v>416</v>
      </c>
      <c r="C1659" s="2">
        <v>45217</v>
      </c>
      <c r="D1659" s="2" t="str">
        <f>TEXT(Table3[[#This Row],[usage_date]],"mmmm")</f>
        <v>October</v>
      </c>
      <c r="E1659" s="9">
        <f>YEAR(Table3[[#This Row],[usage_date]])</f>
        <v>2023</v>
      </c>
      <c r="F1659" s="14">
        <v>0.61</v>
      </c>
      <c r="G1659">
        <v>263</v>
      </c>
      <c r="H1659" t="s">
        <v>13</v>
      </c>
      <c r="I1659" t="str">
        <f t="shared" si="25"/>
        <v>Normal Usage</v>
      </c>
    </row>
    <row r="1660" spans="1:9" x14ac:dyDescent="0.3">
      <c r="A1660">
        <v>11659</v>
      </c>
      <c r="B1660">
        <v>109</v>
      </c>
      <c r="C1660" s="2">
        <v>44982</v>
      </c>
      <c r="D1660" s="2" t="str">
        <f>TEXT(Table3[[#This Row],[usage_date]],"mmmm")</f>
        <v>February</v>
      </c>
      <c r="E1660" s="9">
        <f>YEAR(Table3[[#This Row],[usage_date]])</f>
        <v>2023</v>
      </c>
      <c r="F1660" s="14">
        <v>0.79</v>
      </c>
      <c r="G1660">
        <v>105</v>
      </c>
      <c r="H1660" t="s">
        <v>12</v>
      </c>
      <c r="I1660" t="str">
        <f t="shared" si="25"/>
        <v>Normal Usage</v>
      </c>
    </row>
    <row r="1661" spans="1:9" x14ac:dyDescent="0.3">
      <c r="A1661">
        <v>11660</v>
      </c>
      <c r="B1661">
        <v>51</v>
      </c>
      <c r="C1661" s="2">
        <v>44820</v>
      </c>
      <c r="D1661" s="2" t="str">
        <f>TEXT(Table3[[#This Row],[usage_date]],"mmmm")</f>
        <v>September</v>
      </c>
      <c r="E1661" s="9">
        <f>YEAR(Table3[[#This Row],[usage_date]])</f>
        <v>2022</v>
      </c>
      <c r="F1661" s="14">
        <v>0.46</v>
      </c>
      <c r="G1661">
        <v>190</v>
      </c>
      <c r="H1661" t="s">
        <v>12</v>
      </c>
      <c r="I1661" t="str">
        <f t="shared" si="25"/>
        <v>Normal Usage</v>
      </c>
    </row>
    <row r="1662" spans="1:9" x14ac:dyDescent="0.3">
      <c r="A1662">
        <v>11661</v>
      </c>
      <c r="B1662">
        <v>250</v>
      </c>
      <c r="C1662" s="2">
        <v>44608</v>
      </c>
      <c r="D1662" s="2" t="str">
        <f>TEXT(Table3[[#This Row],[usage_date]],"mmmm")</f>
        <v>February</v>
      </c>
      <c r="E1662" s="9">
        <f>YEAR(Table3[[#This Row],[usage_date]])</f>
        <v>2022</v>
      </c>
      <c r="F1662" s="14">
        <v>3.17</v>
      </c>
      <c r="G1662">
        <v>136</v>
      </c>
      <c r="H1662" t="s">
        <v>12</v>
      </c>
      <c r="I1662" t="str">
        <f t="shared" si="25"/>
        <v>Normal Usage</v>
      </c>
    </row>
    <row r="1663" spans="1:9" x14ac:dyDescent="0.3">
      <c r="A1663">
        <v>11662</v>
      </c>
      <c r="B1663">
        <v>497</v>
      </c>
      <c r="C1663" s="2">
        <v>45424</v>
      </c>
      <c r="D1663" s="2" t="str">
        <f>TEXT(Table3[[#This Row],[usage_date]],"mmmm")</f>
        <v>May</v>
      </c>
      <c r="E1663" s="9">
        <f>YEAR(Table3[[#This Row],[usage_date]])</f>
        <v>2024</v>
      </c>
      <c r="F1663" s="14">
        <v>3.68</v>
      </c>
      <c r="G1663">
        <v>187</v>
      </c>
      <c r="H1663" t="s">
        <v>12</v>
      </c>
      <c r="I1663" t="str">
        <f t="shared" si="25"/>
        <v>Normal Usage</v>
      </c>
    </row>
    <row r="1664" spans="1:9" x14ac:dyDescent="0.3">
      <c r="A1664">
        <v>11663</v>
      </c>
      <c r="B1664">
        <v>341</v>
      </c>
      <c r="C1664" s="2">
        <v>45086</v>
      </c>
      <c r="D1664" s="2" t="str">
        <f>TEXT(Table3[[#This Row],[usage_date]],"mmmm")</f>
        <v>June</v>
      </c>
      <c r="E1664" s="9">
        <f>YEAR(Table3[[#This Row],[usage_date]])</f>
        <v>2023</v>
      </c>
      <c r="F1664" s="14">
        <v>1.55</v>
      </c>
      <c r="G1664">
        <v>119</v>
      </c>
      <c r="H1664" t="s">
        <v>13</v>
      </c>
      <c r="I1664" t="str">
        <f t="shared" si="25"/>
        <v>Normal Usage</v>
      </c>
    </row>
    <row r="1665" spans="1:9" x14ac:dyDescent="0.3">
      <c r="A1665">
        <v>11664</v>
      </c>
      <c r="B1665">
        <v>430</v>
      </c>
      <c r="C1665" s="2">
        <v>45449</v>
      </c>
      <c r="D1665" s="2" t="str">
        <f>TEXT(Table3[[#This Row],[usage_date]],"mmmm")</f>
        <v>June</v>
      </c>
      <c r="E1665" s="9">
        <f>YEAR(Table3[[#This Row],[usage_date]])</f>
        <v>2024</v>
      </c>
      <c r="F1665" s="14">
        <v>3.13</v>
      </c>
      <c r="G1665">
        <v>241</v>
      </c>
      <c r="H1665" t="s">
        <v>12</v>
      </c>
      <c r="I1665" t="str">
        <f t="shared" si="25"/>
        <v>Normal Usage</v>
      </c>
    </row>
    <row r="1666" spans="1:9" x14ac:dyDescent="0.3">
      <c r="A1666">
        <v>11665</v>
      </c>
      <c r="B1666">
        <v>383</v>
      </c>
      <c r="C1666" s="2">
        <v>44769</v>
      </c>
      <c r="D1666" s="2" t="str">
        <f>TEXT(Table3[[#This Row],[usage_date]],"mmmm")</f>
        <v>July</v>
      </c>
      <c r="E1666" s="9">
        <f>YEAR(Table3[[#This Row],[usage_date]])</f>
        <v>2022</v>
      </c>
      <c r="F1666" s="14">
        <v>3.33</v>
      </c>
      <c r="G1666">
        <v>71</v>
      </c>
      <c r="H1666" t="s">
        <v>12</v>
      </c>
      <c r="I1666" t="str">
        <f t="shared" ref="I1666:I1729" si="26">IF(F1666&gt;6,"High Usage","Normal Usage")</f>
        <v>Normal Usage</v>
      </c>
    </row>
    <row r="1667" spans="1:9" x14ac:dyDescent="0.3">
      <c r="A1667">
        <v>11666</v>
      </c>
      <c r="B1667">
        <v>492</v>
      </c>
      <c r="C1667" s="2">
        <v>44872</v>
      </c>
      <c r="D1667" s="2" t="str">
        <f>TEXT(Table3[[#This Row],[usage_date]],"mmmm")</f>
        <v>November</v>
      </c>
      <c r="E1667" s="9">
        <f>YEAR(Table3[[#This Row],[usage_date]])</f>
        <v>2022</v>
      </c>
      <c r="F1667" s="14">
        <v>0.37</v>
      </c>
      <c r="G1667">
        <v>242</v>
      </c>
      <c r="H1667" t="s">
        <v>13</v>
      </c>
      <c r="I1667" t="str">
        <f t="shared" si="26"/>
        <v>Normal Usage</v>
      </c>
    </row>
    <row r="1668" spans="1:9" x14ac:dyDescent="0.3">
      <c r="A1668">
        <v>11667</v>
      </c>
      <c r="B1668">
        <v>21</v>
      </c>
      <c r="C1668" s="2">
        <v>45308</v>
      </c>
      <c r="D1668" s="2" t="str">
        <f>TEXT(Table3[[#This Row],[usage_date]],"mmmm")</f>
        <v>January</v>
      </c>
      <c r="E1668" s="9">
        <f>YEAR(Table3[[#This Row],[usage_date]])</f>
        <v>2024</v>
      </c>
      <c r="F1668" s="14">
        <v>8.4700000000000006</v>
      </c>
      <c r="G1668">
        <v>130</v>
      </c>
      <c r="H1668" t="s">
        <v>13</v>
      </c>
      <c r="I1668" t="str">
        <f t="shared" si="26"/>
        <v>High Usage</v>
      </c>
    </row>
    <row r="1669" spans="1:9" x14ac:dyDescent="0.3">
      <c r="A1669">
        <v>11668</v>
      </c>
      <c r="B1669">
        <v>300</v>
      </c>
      <c r="C1669" s="2">
        <v>44710</v>
      </c>
      <c r="D1669" s="2" t="str">
        <f>TEXT(Table3[[#This Row],[usage_date]],"mmmm")</f>
        <v>May</v>
      </c>
      <c r="E1669" s="9">
        <f>YEAR(Table3[[#This Row],[usage_date]])</f>
        <v>2022</v>
      </c>
      <c r="F1669" s="14">
        <v>4.3</v>
      </c>
      <c r="G1669">
        <v>268</v>
      </c>
      <c r="H1669" t="s">
        <v>13</v>
      </c>
      <c r="I1669" t="str">
        <f t="shared" si="26"/>
        <v>Normal Usage</v>
      </c>
    </row>
    <row r="1670" spans="1:9" x14ac:dyDescent="0.3">
      <c r="A1670">
        <v>11669</v>
      </c>
      <c r="B1670">
        <v>139</v>
      </c>
      <c r="C1670" s="2">
        <v>45395</v>
      </c>
      <c r="D1670" s="2" t="str">
        <f>TEXT(Table3[[#This Row],[usage_date]],"mmmm")</f>
        <v>April</v>
      </c>
      <c r="E1670" s="9">
        <f>YEAR(Table3[[#This Row],[usage_date]])</f>
        <v>2024</v>
      </c>
      <c r="F1670" s="14">
        <v>0.56999999999999995</v>
      </c>
      <c r="G1670">
        <v>51</v>
      </c>
      <c r="H1670" t="s">
        <v>12</v>
      </c>
      <c r="I1670" t="str">
        <f t="shared" si="26"/>
        <v>Normal Usage</v>
      </c>
    </row>
    <row r="1671" spans="1:9" x14ac:dyDescent="0.3">
      <c r="A1671">
        <v>11670</v>
      </c>
      <c r="B1671">
        <v>359</v>
      </c>
      <c r="C1671" s="2">
        <v>44999</v>
      </c>
      <c r="D1671" s="2" t="str">
        <f>TEXT(Table3[[#This Row],[usage_date]],"mmmm")</f>
        <v>March</v>
      </c>
      <c r="E1671" s="9">
        <f>YEAR(Table3[[#This Row],[usage_date]])</f>
        <v>2023</v>
      </c>
      <c r="F1671" s="14">
        <v>0.51</v>
      </c>
      <c r="G1671">
        <v>61</v>
      </c>
      <c r="H1671" t="s">
        <v>12</v>
      </c>
      <c r="I1671" t="str">
        <f t="shared" si="26"/>
        <v>Normal Usage</v>
      </c>
    </row>
    <row r="1672" spans="1:9" x14ac:dyDescent="0.3">
      <c r="A1672">
        <v>11671</v>
      </c>
      <c r="B1672">
        <v>324</v>
      </c>
      <c r="C1672" s="2">
        <v>44716</v>
      </c>
      <c r="D1672" s="2" t="str">
        <f>TEXT(Table3[[#This Row],[usage_date]],"mmmm")</f>
        <v>June</v>
      </c>
      <c r="E1672" s="9">
        <f>YEAR(Table3[[#This Row],[usage_date]])</f>
        <v>2022</v>
      </c>
      <c r="F1672" s="14">
        <v>0.34</v>
      </c>
      <c r="G1672">
        <v>118</v>
      </c>
      <c r="H1672" t="s">
        <v>12</v>
      </c>
      <c r="I1672" t="str">
        <f t="shared" si="26"/>
        <v>Normal Usage</v>
      </c>
    </row>
    <row r="1673" spans="1:9" x14ac:dyDescent="0.3">
      <c r="A1673">
        <v>11672</v>
      </c>
      <c r="B1673">
        <v>499</v>
      </c>
      <c r="C1673" s="2">
        <v>45239</v>
      </c>
      <c r="D1673" s="2" t="str">
        <f>TEXT(Table3[[#This Row],[usage_date]],"mmmm")</f>
        <v>November</v>
      </c>
      <c r="E1673" s="9">
        <f>YEAR(Table3[[#This Row],[usage_date]])</f>
        <v>2023</v>
      </c>
      <c r="F1673" s="14">
        <v>0.37</v>
      </c>
      <c r="G1673">
        <v>263</v>
      </c>
      <c r="H1673" t="s">
        <v>12</v>
      </c>
      <c r="I1673" t="str">
        <f t="shared" si="26"/>
        <v>Normal Usage</v>
      </c>
    </row>
    <row r="1674" spans="1:9" x14ac:dyDescent="0.3">
      <c r="A1674">
        <v>11673</v>
      </c>
      <c r="B1674">
        <v>385</v>
      </c>
      <c r="C1674" s="2">
        <v>44651</v>
      </c>
      <c r="D1674" s="2" t="str">
        <f>TEXT(Table3[[#This Row],[usage_date]],"mmmm")</f>
        <v>March</v>
      </c>
      <c r="E1674" s="9">
        <f>YEAR(Table3[[#This Row],[usage_date]])</f>
        <v>2022</v>
      </c>
      <c r="F1674" s="14">
        <v>3.45</v>
      </c>
      <c r="G1674">
        <v>238</v>
      </c>
      <c r="H1674" t="s">
        <v>12</v>
      </c>
      <c r="I1674" t="str">
        <f t="shared" si="26"/>
        <v>Normal Usage</v>
      </c>
    </row>
    <row r="1675" spans="1:9" x14ac:dyDescent="0.3">
      <c r="A1675">
        <v>11674</v>
      </c>
      <c r="B1675">
        <v>92</v>
      </c>
      <c r="C1675" s="2">
        <v>45259</v>
      </c>
      <c r="D1675" s="2" t="str">
        <f>TEXT(Table3[[#This Row],[usage_date]],"mmmm")</f>
        <v>November</v>
      </c>
      <c r="E1675" s="9">
        <f>YEAR(Table3[[#This Row],[usage_date]])</f>
        <v>2023</v>
      </c>
      <c r="F1675" s="14">
        <v>1.59</v>
      </c>
      <c r="G1675">
        <v>254</v>
      </c>
      <c r="H1675" t="s">
        <v>12</v>
      </c>
      <c r="I1675" t="str">
        <f t="shared" si="26"/>
        <v>Normal Usage</v>
      </c>
    </row>
    <row r="1676" spans="1:9" x14ac:dyDescent="0.3">
      <c r="A1676">
        <v>11675</v>
      </c>
      <c r="B1676">
        <v>447</v>
      </c>
      <c r="C1676" s="2">
        <v>45391</v>
      </c>
      <c r="D1676" s="2" t="str">
        <f>TEXT(Table3[[#This Row],[usage_date]],"mmmm")</f>
        <v>April</v>
      </c>
      <c r="E1676" s="9">
        <f>YEAR(Table3[[#This Row],[usage_date]])</f>
        <v>2024</v>
      </c>
      <c r="F1676" s="14">
        <v>3.82</v>
      </c>
      <c r="G1676">
        <v>172</v>
      </c>
      <c r="H1676" t="s">
        <v>12</v>
      </c>
      <c r="I1676" t="str">
        <f t="shared" si="26"/>
        <v>Normal Usage</v>
      </c>
    </row>
    <row r="1677" spans="1:9" x14ac:dyDescent="0.3">
      <c r="A1677">
        <v>11676</v>
      </c>
      <c r="B1677">
        <v>280</v>
      </c>
      <c r="C1677" s="2">
        <v>44919</v>
      </c>
      <c r="D1677" s="2" t="str">
        <f>TEXT(Table3[[#This Row],[usage_date]],"mmmm")</f>
        <v>December</v>
      </c>
      <c r="E1677" s="9">
        <f>YEAR(Table3[[#This Row],[usage_date]])</f>
        <v>2022</v>
      </c>
      <c r="F1677" s="14">
        <v>3.43</v>
      </c>
      <c r="G1677">
        <v>236</v>
      </c>
      <c r="H1677" t="s">
        <v>13</v>
      </c>
      <c r="I1677" t="str">
        <f t="shared" si="26"/>
        <v>Normal Usage</v>
      </c>
    </row>
    <row r="1678" spans="1:9" x14ac:dyDescent="0.3">
      <c r="A1678">
        <v>11677</v>
      </c>
      <c r="B1678">
        <v>125</v>
      </c>
      <c r="C1678" s="2">
        <v>44735</v>
      </c>
      <c r="D1678" s="2" t="str">
        <f>TEXT(Table3[[#This Row],[usage_date]],"mmmm")</f>
        <v>June</v>
      </c>
      <c r="E1678" s="9">
        <f>YEAR(Table3[[#This Row],[usage_date]])</f>
        <v>2022</v>
      </c>
      <c r="F1678" s="14">
        <v>2.3199999999999998</v>
      </c>
      <c r="G1678">
        <v>94</v>
      </c>
      <c r="H1678" t="s">
        <v>12</v>
      </c>
      <c r="I1678" t="str">
        <f t="shared" si="26"/>
        <v>Normal Usage</v>
      </c>
    </row>
    <row r="1679" spans="1:9" x14ac:dyDescent="0.3">
      <c r="A1679">
        <v>11678</v>
      </c>
      <c r="B1679">
        <v>483</v>
      </c>
      <c r="C1679" s="2">
        <v>44778</v>
      </c>
      <c r="D1679" s="2" t="str">
        <f>TEXT(Table3[[#This Row],[usage_date]],"mmmm")</f>
        <v>August</v>
      </c>
      <c r="E1679" s="9">
        <f>YEAR(Table3[[#This Row],[usage_date]])</f>
        <v>2022</v>
      </c>
      <c r="F1679" s="14">
        <v>2.9</v>
      </c>
      <c r="G1679">
        <v>56</v>
      </c>
      <c r="H1679" t="s">
        <v>13</v>
      </c>
      <c r="I1679" t="str">
        <f t="shared" si="26"/>
        <v>Normal Usage</v>
      </c>
    </row>
    <row r="1680" spans="1:9" x14ac:dyDescent="0.3">
      <c r="A1680">
        <v>11679</v>
      </c>
      <c r="B1680">
        <v>397</v>
      </c>
      <c r="C1680" s="2">
        <v>45017</v>
      </c>
      <c r="D1680" s="2" t="str">
        <f>TEXT(Table3[[#This Row],[usage_date]],"mmmm")</f>
        <v>April</v>
      </c>
      <c r="E1680" s="9">
        <f>YEAR(Table3[[#This Row],[usage_date]])</f>
        <v>2023</v>
      </c>
      <c r="F1680" s="14">
        <v>0.05</v>
      </c>
      <c r="G1680">
        <v>66</v>
      </c>
      <c r="H1680" t="s">
        <v>12</v>
      </c>
      <c r="I1680" t="str">
        <f t="shared" si="26"/>
        <v>Normal Usage</v>
      </c>
    </row>
    <row r="1681" spans="1:9" x14ac:dyDescent="0.3">
      <c r="A1681">
        <v>11680</v>
      </c>
      <c r="B1681">
        <v>111</v>
      </c>
      <c r="C1681" s="2">
        <v>45337</v>
      </c>
      <c r="D1681" s="2" t="str">
        <f>TEXT(Table3[[#This Row],[usage_date]],"mmmm")</f>
        <v>February</v>
      </c>
      <c r="E1681" s="9">
        <f>YEAR(Table3[[#This Row],[usage_date]])</f>
        <v>2024</v>
      </c>
      <c r="F1681" s="14">
        <v>0.93</v>
      </c>
      <c r="G1681">
        <v>45</v>
      </c>
      <c r="H1681" t="s">
        <v>12</v>
      </c>
      <c r="I1681" t="str">
        <f t="shared" si="26"/>
        <v>Normal Usage</v>
      </c>
    </row>
    <row r="1682" spans="1:9" x14ac:dyDescent="0.3">
      <c r="A1682">
        <v>11681</v>
      </c>
      <c r="B1682">
        <v>354</v>
      </c>
      <c r="C1682" s="2">
        <v>45170</v>
      </c>
      <c r="D1682" s="2" t="str">
        <f>TEXT(Table3[[#This Row],[usage_date]],"mmmm")</f>
        <v>September</v>
      </c>
      <c r="E1682" s="9">
        <f>YEAR(Table3[[#This Row],[usage_date]])</f>
        <v>2023</v>
      </c>
      <c r="F1682" s="14">
        <v>2.54</v>
      </c>
      <c r="G1682">
        <v>93</v>
      </c>
      <c r="H1682" t="s">
        <v>12</v>
      </c>
      <c r="I1682" t="str">
        <f t="shared" si="26"/>
        <v>Normal Usage</v>
      </c>
    </row>
    <row r="1683" spans="1:9" x14ac:dyDescent="0.3">
      <c r="A1683">
        <v>11682</v>
      </c>
      <c r="B1683">
        <v>139</v>
      </c>
      <c r="C1683" s="2">
        <v>45190</v>
      </c>
      <c r="D1683" s="2" t="str">
        <f>TEXT(Table3[[#This Row],[usage_date]],"mmmm")</f>
        <v>September</v>
      </c>
      <c r="E1683" s="9">
        <f>YEAR(Table3[[#This Row],[usage_date]])</f>
        <v>2023</v>
      </c>
      <c r="F1683" s="14">
        <v>0.02</v>
      </c>
      <c r="G1683">
        <v>137</v>
      </c>
      <c r="H1683" t="s">
        <v>13</v>
      </c>
      <c r="I1683" t="str">
        <f t="shared" si="26"/>
        <v>Normal Usage</v>
      </c>
    </row>
    <row r="1684" spans="1:9" x14ac:dyDescent="0.3">
      <c r="A1684">
        <v>11683</v>
      </c>
      <c r="B1684">
        <v>484</v>
      </c>
      <c r="C1684" s="2">
        <v>44760</v>
      </c>
      <c r="D1684" s="2" t="str">
        <f>TEXT(Table3[[#This Row],[usage_date]],"mmmm")</f>
        <v>July</v>
      </c>
      <c r="E1684" s="9">
        <f>YEAR(Table3[[#This Row],[usage_date]])</f>
        <v>2022</v>
      </c>
      <c r="F1684" s="14">
        <v>0.08</v>
      </c>
      <c r="G1684">
        <v>92</v>
      </c>
      <c r="H1684" t="s">
        <v>12</v>
      </c>
      <c r="I1684" t="str">
        <f t="shared" si="26"/>
        <v>Normal Usage</v>
      </c>
    </row>
    <row r="1685" spans="1:9" x14ac:dyDescent="0.3">
      <c r="A1685">
        <v>11684</v>
      </c>
      <c r="B1685">
        <v>435</v>
      </c>
      <c r="C1685" s="2">
        <v>45393</v>
      </c>
      <c r="D1685" s="2" t="str">
        <f>TEXT(Table3[[#This Row],[usage_date]],"mmmm")</f>
        <v>April</v>
      </c>
      <c r="E1685" s="9">
        <f>YEAR(Table3[[#This Row],[usage_date]])</f>
        <v>2024</v>
      </c>
      <c r="F1685" s="14">
        <v>4.7699999999999996</v>
      </c>
      <c r="G1685">
        <v>231</v>
      </c>
      <c r="H1685" t="s">
        <v>13</v>
      </c>
      <c r="I1685" t="str">
        <f t="shared" si="26"/>
        <v>Normal Usage</v>
      </c>
    </row>
    <row r="1686" spans="1:9" x14ac:dyDescent="0.3">
      <c r="A1686">
        <v>11685</v>
      </c>
      <c r="B1686">
        <v>273</v>
      </c>
      <c r="C1686" s="2">
        <v>45047</v>
      </c>
      <c r="D1686" s="2" t="str">
        <f>TEXT(Table3[[#This Row],[usage_date]],"mmmm")</f>
        <v>May</v>
      </c>
      <c r="E1686" s="9">
        <f>YEAR(Table3[[#This Row],[usage_date]])</f>
        <v>2023</v>
      </c>
      <c r="F1686" s="14">
        <v>2.88</v>
      </c>
      <c r="G1686">
        <v>48</v>
      </c>
      <c r="H1686" t="s">
        <v>12</v>
      </c>
      <c r="I1686" t="str">
        <f t="shared" si="26"/>
        <v>Normal Usage</v>
      </c>
    </row>
    <row r="1687" spans="1:9" x14ac:dyDescent="0.3">
      <c r="A1687">
        <v>11686</v>
      </c>
      <c r="B1687">
        <v>99</v>
      </c>
      <c r="C1687" s="2">
        <v>45094</v>
      </c>
      <c r="D1687" s="2" t="str">
        <f>TEXT(Table3[[#This Row],[usage_date]],"mmmm")</f>
        <v>June</v>
      </c>
      <c r="E1687" s="9">
        <f>YEAR(Table3[[#This Row],[usage_date]])</f>
        <v>2023</v>
      </c>
      <c r="F1687" s="14">
        <v>0.77</v>
      </c>
      <c r="G1687">
        <v>22</v>
      </c>
      <c r="H1687" t="s">
        <v>13</v>
      </c>
      <c r="I1687" t="str">
        <f t="shared" si="26"/>
        <v>Normal Usage</v>
      </c>
    </row>
    <row r="1688" spans="1:9" x14ac:dyDescent="0.3">
      <c r="A1688">
        <v>11687</v>
      </c>
      <c r="B1688">
        <v>252</v>
      </c>
      <c r="C1688" s="2">
        <v>44761</v>
      </c>
      <c r="D1688" s="2" t="str">
        <f>TEXT(Table3[[#This Row],[usage_date]],"mmmm")</f>
        <v>July</v>
      </c>
      <c r="E1688" s="9">
        <f>YEAR(Table3[[#This Row],[usage_date]])</f>
        <v>2022</v>
      </c>
      <c r="F1688" s="14">
        <v>2.91</v>
      </c>
      <c r="G1688">
        <v>61</v>
      </c>
      <c r="H1688" t="s">
        <v>12</v>
      </c>
      <c r="I1688" t="str">
        <f t="shared" si="26"/>
        <v>Normal Usage</v>
      </c>
    </row>
    <row r="1689" spans="1:9" x14ac:dyDescent="0.3">
      <c r="A1689">
        <v>11688</v>
      </c>
      <c r="B1689">
        <v>338</v>
      </c>
      <c r="C1689" s="2">
        <v>44932</v>
      </c>
      <c r="D1689" s="2" t="str">
        <f>TEXT(Table3[[#This Row],[usage_date]],"mmmm")</f>
        <v>January</v>
      </c>
      <c r="E1689" s="9">
        <f>YEAR(Table3[[#This Row],[usage_date]])</f>
        <v>2023</v>
      </c>
      <c r="F1689" s="14">
        <v>3.93</v>
      </c>
      <c r="G1689">
        <v>266</v>
      </c>
      <c r="H1689" t="s">
        <v>13</v>
      </c>
      <c r="I1689" t="str">
        <f t="shared" si="26"/>
        <v>Normal Usage</v>
      </c>
    </row>
    <row r="1690" spans="1:9" x14ac:dyDescent="0.3">
      <c r="A1690">
        <v>11689</v>
      </c>
      <c r="B1690">
        <v>104</v>
      </c>
      <c r="C1690" s="2">
        <v>45414</v>
      </c>
      <c r="D1690" s="2" t="str">
        <f>TEXT(Table3[[#This Row],[usage_date]],"mmmm")</f>
        <v>May</v>
      </c>
      <c r="E1690" s="9">
        <f>YEAR(Table3[[#This Row],[usage_date]])</f>
        <v>2024</v>
      </c>
      <c r="F1690" s="14">
        <v>0.92</v>
      </c>
      <c r="G1690">
        <v>117</v>
      </c>
      <c r="H1690" t="s">
        <v>12</v>
      </c>
      <c r="I1690" t="str">
        <f t="shared" si="26"/>
        <v>Normal Usage</v>
      </c>
    </row>
    <row r="1691" spans="1:9" x14ac:dyDescent="0.3">
      <c r="A1691">
        <v>11690</v>
      </c>
      <c r="B1691">
        <v>214</v>
      </c>
      <c r="C1691" s="2">
        <v>45009</v>
      </c>
      <c r="D1691" s="2" t="str">
        <f>TEXT(Table3[[#This Row],[usage_date]],"mmmm")</f>
        <v>March</v>
      </c>
      <c r="E1691" s="9">
        <f>YEAR(Table3[[#This Row],[usage_date]])</f>
        <v>2023</v>
      </c>
      <c r="F1691" s="14">
        <v>0.09</v>
      </c>
      <c r="G1691">
        <v>87</v>
      </c>
      <c r="H1691" t="s">
        <v>13</v>
      </c>
      <c r="I1691" t="str">
        <f t="shared" si="26"/>
        <v>Normal Usage</v>
      </c>
    </row>
    <row r="1692" spans="1:9" x14ac:dyDescent="0.3">
      <c r="A1692">
        <v>11691</v>
      </c>
      <c r="B1692">
        <v>249</v>
      </c>
      <c r="C1692" s="2">
        <v>44809</v>
      </c>
      <c r="D1692" s="2" t="str">
        <f>TEXT(Table3[[#This Row],[usage_date]],"mmmm")</f>
        <v>September</v>
      </c>
      <c r="E1692" s="9">
        <f>YEAR(Table3[[#This Row],[usage_date]])</f>
        <v>2022</v>
      </c>
      <c r="F1692" s="14">
        <v>6.75</v>
      </c>
      <c r="G1692">
        <v>88</v>
      </c>
      <c r="H1692" t="s">
        <v>12</v>
      </c>
      <c r="I1692" t="str">
        <f t="shared" si="26"/>
        <v>High Usage</v>
      </c>
    </row>
    <row r="1693" spans="1:9" x14ac:dyDescent="0.3">
      <c r="A1693">
        <v>11692</v>
      </c>
      <c r="B1693">
        <v>152</v>
      </c>
      <c r="C1693" s="2">
        <v>45349</v>
      </c>
      <c r="D1693" s="2" t="str">
        <f>TEXT(Table3[[#This Row],[usage_date]],"mmmm")</f>
        <v>February</v>
      </c>
      <c r="E1693" s="9">
        <f>YEAR(Table3[[#This Row],[usage_date]])</f>
        <v>2024</v>
      </c>
      <c r="F1693" s="14">
        <v>1.06</v>
      </c>
      <c r="G1693">
        <v>54</v>
      </c>
      <c r="H1693" t="s">
        <v>12</v>
      </c>
      <c r="I1693" t="str">
        <f t="shared" si="26"/>
        <v>Normal Usage</v>
      </c>
    </row>
    <row r="1694" spans="1:9" x14ac:dyDescent="0.3">
      <c r="A1694">
        <v>11693</v>
      </c>
      <c r="B1694">
        <v>250</v>
      </c>
      <c r="C1694" s="2">
        <v>44825</v>
      </c>
      <c r="D1694" s="2" t="str">
        <f>TEXT(Table3[[#This Row],[usage_date]],"mmmm")</f>
        <v>September</v>
      </c>
      <c r="E1694" s="9">
        <f>YEAR(Table3[[#This Row],[usage_date]])</f>
        <v>2022</v>
      </c>
      <c r="F1694" s="14">
        <v>0.28000000000000003</v>
      </c>
      <c r="G1694">
        <v>152</v>
      </c>
      <c r="H1694" t="s">
        <v>13</v>
      </c>
      <c r="I1694" t="str">
        <f t="shared" si="26"/>
        <v>Normal Usage</v>
      </c>
    </row>
    <row r="1695" spans="1:9" x14ac:dyDescent="0.3">
      <c r="A1695">
        <v>11694</v>
      </c>
      <c r="B1695">
        <v>275</v>
      </c>
      <c r="C1695" s="2">
        <v>44619</v>
      </c>
      <c r="D1695" s="2" t="str">
        <f>TEXT(Table3[[#This Row],[usage_date]],"mmmm")</f>
        <v>February</v>
      </c>
      <c r="E1695" s="9">
        <f>YEAR(Table3[[#This Row],[usage_date]])</f>
        <v>2022</v>
      </c>
      <c r="F1695" s="14">
        <v>1.69</v>
      </c>
      <c r="G1695">
        <v>238</v>
      </c>
      <c r="H1695" t="s">
        <v>12</v>
      </c>
      <c r="I1695" t="str">
        <f t="shared" si="26"/>
        <v>Normal Usage</v>
      </c>
    </row>
    <row r="1696" spans="1:9" x14ac:dyDescent="0.3">
      <c r="A1696">
        <v>11695</v>
      </c>
      <c r="B1696">
        <v>165</v>
      </c>
      <c r="C1696" s="2">
        <v>44863</v>
      </c>
      <c r="D1696" s="2" t="str">
        <f>TEXT(Table3[[#This Row],[usage_date]],"mmmm")</f>
        <v>October</v>
      </c>
      <c r="E1696" s="9">
        <f>YEAR(Table3[[#This Row],[usage_date]])</f>
        <v>2022</v>
      </c>
      <c r="F1696" s="14">
        <v>3.66</v>
      </c>
      <c r="G1696">
        <v>264</v>
      </c>
      <c r="H1696" t="s">
        <v>12</v>
      </c>
      <c r="I1696" t="str">
        <f t="shared" si="26"/>
        <v>Normal Usage</v>
      </c>
    </row>
    <row r="1697" spans="1:9" x14ac:dyDescent="0.3">
      <c r="A1697">
        <v>11696</v>
      </c>
      <c r="B1697">
        <v>487</v>
      </c>
      <c r="C1697" s="2">
        <v>44592</v>
      </c>
      <c r="D1697" s="2" t="str">
        <f>TEXT(Table3[[#This Row],[usage_date]],"mmmm")</f>
        <v>January</v>
      </c>
      <c r="E1697" s="9">
        <f>YEAR(Table3[[#This Row],[usage_date]])</f>
        <v>2022</v>
      </c>
      <c r="F1697" s="14">
        <v>0.63</v>
      </c>
      <c r="G1697">
        <v>267</v>
      </c>
      <c r="H1697" t="s">
        <v>13</v>
      </c>
      <c r="I1697" t="str">
        <f t="shared" si="26"/>
        <v>Normal Usage</v>
      </c>
    </row>
    <row r="1698" spans="1:9" x14ac:dyDescent="0.3">
      <c r="A1698">
        <v>11697</v>
      </c>
      <c r="B1698">
        <v>341</v>
      </c>
      <c r="C1698" s="2">
        <v>45059</v>
      </c>
      <c r="D1698" s="2" t="str">
        <f>TEXT(Table3[[#This Row],[usage_date]],"mmmm")</f>
        <v>May</v>
      </c>
      <c r="E1698" s="9">
        <f>YEAR(Table3[[#This Row],[usage_date]])</f>
        <v>2023</v>
      </c>
      <c r="F1698" s="14">
        <v>0.79</v>
      </c>
      <c r="G1698">
        <v>112</v>
      </c>
      <c r="H1698" t="s">
        <v>12</v>
      </c>
      <c r="I1698" t="str">
        <f t="shared" si="26"/>
        <v>Normal Usage</v>
      </c>
    </row>
    <row r="1699" spans="1:9" x14ac:dyDescent="0.3">
      <c r="A1699">
        <v>11698</v>
      </c>
      <c r="B1699">
        <v>8</v>
      </c>
      <c r="C1699" s="2">
        <v>44810</v>
      </c>
      <c r="D1699" s="2" t="str">
        <f>TEXT(Table3[[#This Row],[usage_date]],"mmmm")</f>
        <v>September</v>
      </c>
      <c r="E1699" s="9">
        <f>YEAR(Table3[[#This Row],[usage_date]])</f>
        <v>2022</v>
      </c>
      <c r="F1699" s="14">
        <v>0.7</v>
      </c>
      <c r="G1699">
        <v>165</v>
      </c>
      <c r="H1699" t="s">
        <v>12</v>
      </c>
      <c r="I1699" t="str">
        <f t="shared" si="26"/>
        <v>Normal Usage</v>
      </c>
    </row>
    <row r="1700" spans="1:9" x14ac:dyDescent="0.3">
      <c r="A1700">
        <v>11699</v>
      </c>
      <c r="B1700">
        <v>284</v>
      </c>
      <c r="C1700" s="2">
        <v>45166</v>
      </c>
      <c r="D1700" s="2" t="str">
        <f>TEXT(Table3[[#This Row],[usage_date]],"mmmm")</f>
        <v>August</v>
      </c>
      <c r="E1700" s="9">
        <f>YEAR(Table3[[#This Row],[usage_date]])</f>
        <v>2023</v>
      </c>
      <c r="F1700" s="14">
        <v>11.97</v>
      </c>
      <c r="G1700">
        <v>155</v>
      </c>
      <c r="H1700" t="s">
        <v>12</v>
      </c>
      <c r="I1700" t="str">
        <f t="shared" si="26"/>
        <v>High Usage</v>
      </c>
    </row>
    <row r="1701" spans="1:9" x14ac:dyDescent="0.3">
      <c r="A1701">
        <v>11700</v>
      </c>
      <c r="B1701">
        <v>5</v>
      </c>
      <c r="C1701" s="2">
        <v>45338</v>
      </c>
      <c r="D1701" s="2" t="str">
        <f>TEXT(Table3[[#This Row],[usage_date]],"mmmm")</f>
        <v>February</v>
      </c>
      <c r="E1701" s="9">
        <f>YEAR(Table3[[#This Row],[usage_date]])</f>
        <v>2024</v>
      </c>
      <c r="F1701" s="14">
        <v>0.55000000000000004</v>
      </c>
      <c r="G1701">
        <v>7</v>
      </c>
      <c r="H1701" t="s">
        <v>13</v>
      </c>
      <c r="I1701" t="str">
        <f t="shared" si="26"/>
        <v>Normal Usage</v>
      </c>
    </row>
    <row r="1702" spans="1:9" x14ac:dyDescent="0.3">
      <c r="A1702">
        <v>11701</v>
      </c>
      <c r="B1702">
        <v>145</v>
      </c>
      <c r="C1702" s="2">
        <v>44832</v>
      </c>
      <c r="D1702" s="2" t="str">
        <f>TEXT(Table3[[#This Row],[usage_date]],"mmmm")</f>
        <v>September</v>
      </c>
      <c r="E1702" s="9">
        <f>YEAR(Table3[[#This Row],[usage_date]])</f>
        <v>2022</v>
      </c>
      <c r="F1702" s="14">
        <v>2.14</v>
      </c>
      <c r="G1702">
        <v>201</v>
      </c>
      <c r="H1702" t="s">
        <v>12</v>
      </c>
      <c r="I1702" t="str">
        <f t="shared" si="26"/>
        <v>Normal Usage</v>
      </c>
    </row>
    <row r="1703" spans="1:9" x14ac:dyDescent="0.3">
      <c r="A1703">
        <v>11702</v>
      </c>
      <c r="B1703">
        <v>101</v>
      </c>
      <c r="C1703" s="2">
        <v>45167</v>
      </c>
      <c r="D1703" s="2" t="str">
        <f>TEXT(Table3[[#This Row],[usage_date]],"mmmm")</f>
        <v>August</v>
      </c>
      <c r="E1703" s="9">
        <f>YEAR(Table3[[#This Row],[usage_date]])</f>
        <v>2023</v>
      </c>
      <c r="F1703" s="14">
        <v>6.48</v>
      </c>
      <c r="G1703">
        <v>216</v>
      </c>
      <c r="H1703" t="s">
        <v>12</v>
      </c>
      <c r="I1703" t="str">
        <f t="shared" si="26"/>
        <v>High Usage</v>
      </c>
    </row>
    <row r="1704" spans="1:9" x14ac:dyDescent="0.3">
      <c r="A1704">
        <v>11703</v>
      </c>
      <c r="B1704">
        <v>164</v>
      </c>
      <c r="C1704" s="2">
        <v>45227</v>
      </c>
      <c r="D1704" s="2" t="str">
        <f>TEXT(Table3[[#This Row],[usage_date]],"mmmm")</f>
        <v>October</v>
      </c>
      <c r="E1704" s="9">
        <f>YEAR(Table3[[#This Row],[usage_date]])</f>
        <v>2023</v>
      </c>
      <c r="F1704" s="14">
        <v>0.4</v>
      </c>
      <c r="G1704">
        <v>291</v>
      </c>
      <c r="H1704" t="s">
        <v>13</v>
      </c>
      <c r="I1704" t="str">
        <f t="shared" si="26"/>
        <v>Normal Usage</v>
      </c>
    </row>
    <row r="1705" spans="1:9" x14ac:dyDescent="0.3">
      <c r="A1705">
        <v>11704</v>
      </c>
      <c r="B1705">
        <v>374</v>
      </c>
      <c r="C1705" s="2">
        <v>44955</v>
      </c>
      <c r="D1705" s="2" t="str">
        <f>TEXT(Table3[[#This Row],[usage_date]],"mmmm")</f>
        <v>January</v>
      </c>
      <c r="E1705" s="9">
        <f>YEAR(Table3[[#This Row],[usage_date]])</f>
        <v>2023</v>
      </c>
      <c r="F1705" s="14">
        <v>8.84</v>
      </c>
      <c r="G1705">
        <v>49</v>
      </c>
      <c r="H1705" t="s">
        <v>13</v>
      </c>
      <c r="I1705" t="str">
        <f t="shared" si="26"/>
        <v>High Usage</v>
      </c>
    </row>
    <row r="1706" spans="1:9" x14ac:dyDescent="0.3">
      <c r="A1706">
        <v>11705</v>
      </c>
      <c r="B1706">
        <v>147</v>
      </c>
      <c r="C1706" s="2">
        <v>45358</v>
      </c>
      <c r="D1706" s="2" t="str">
        <f>TEXT(Table3[[#This Row],[usage_date]],"mmmm")</f>
        <v>March</v>
      </c>
      <c r="E1706" s="9">
        <f>YEAR(Table3[[#This Row],[usage_date]])</f>
        <v>2024</v>
      </c>
      <c r="F1706" s="14">
        <v>7.37</v>
      </c>
      <c r="G1706">
        <v>106</v>
      </c>
      <c r="H1706" t="s">
        <v>13</v>
      </c>
      <c r="I1706" t="str">
        <f t="shared" si="26"/>
        <v>High Usage</v>
      </c>
    </row>
    <row r="1707" spans="1:9" x14ac:dyDescent="0.3">
      <c r="A1707">
        <v>11706</v>
      </c>
      <c r="B1707">
        <v>64</v>
      </c>
      <c r="C1707" s="2">
        <v>45063</v>
      </c>
      <c r="D1707" s="2" t="str">
        <f>TEXT(Table3[[#This Row],[usage_date]],"mmmm")</f>
        <v>May</v>
      </c>
      <c r="E1707" s="9">
        <f>YEAR(Table3[[#This Row],[usage_date]])</f>
        <v>2023</v>
      </c>
      <c r="F1707" s="14">
        <v>5.4</v>
      </c>
      <c r="G1707">
        <v>8</v>
      </c>
      <c r="H1707" t="s">
        <v>13</v>
      </c>
      <c r="I1707" t="str">
        <f t="shared" si="26"/>
        <v>Normal Usage</v>
      </c>
    </row>
    <row r="1708" spans="1:9" x14ac:dyDescent="0.3">
      <c r="A1708">
        <v>11707</v>
      </c>
      <c r="B1708">
        <v>91</v>
      </c>
      <c r="C1708" s="2">
        <v>45153</v>
      </c>
      <c r="D1708" s="2" t="str">
        <f>TEXT(Table3[[#This Row],[usage_date]],"mmmm")</f>
        <v>August</v>
      </c>
      <c r="E1708" s="9">
        <f>YEAR(Table3[[#This Row],[usage_date]])</f>
        <v>2023</v>
      </c>
      <c r="F1708" s="14">
        <v>0.6</v>
      </c>
      <c r="G1708">
        <v>232</v>
      </c>
      <c r="H1708" t="s">
        <v>12</v>
      </c>
      <c r="I1708" t="str">
        <f t="shared" si="26"/>
        <v>Normal Usage</v>
      </c>
    </row>
    <row r="1709" spans="1:9" x14ac:dyDescent="0.3">
      <c r="A1709">
        <v>11708</v>
      </c>
      <c r="B1709">
        <v>117</v>
      </c>
      <c r="C1709" s="2">
        <v>45365</v>
      </c>
      <c r="D1709" s="2" t="str">
        <f>TEXT(Table3[[#This Row],[usage_date]],"mmmm")</f>
        <v>March</v>
      </c>
      <c r="E1709" s="9">
        <f>YEAR(Table3[[#This Row],[usage_date]])</f>
        <v>2024</v>
      </c>
      <c r="F1709" s="14">
        <v>2.5099999999999998</v>
      </c>
      <c r="G1709">
        <v>187</v>
      </c>
      <c r="H1709" t="s">
        <v>12</v>
      </c>
      <c r="I1709" t="str">
        <f t="shared" si="26"/>
        <v>Normal Usage</v>
      </c>
    </row>
    <row r="1710" spans="1:9" x14ac:dyDescent="0.3">
      <c r="A1710">
        <v>11709</v>
      </c>
      <c r="B1710">
        <v>354</v>
      </c>
      <c r="C1710" s="2">
        <v>44645</v>
      </c>
      <c r="D1710" s="2" t="str">
        <f>TEXT(Table3[[#This Row],[usage_date]],"mmmm")</f>
        <v>March</v>
      </c>
      <c r="E1710" s="9">
        <f>YEAR(Table3[[#This Row],[usage_date]])</f>
        <v>2022</v>
      </c>
      <c r="F1710" s="14">
        <v>3.58</v>
      </c>
      <c r="G1710">
        <v>109</v>
      </c>
      <c r="H1710" t="s">
        <v>12</v>
      </c>
      <c r="I1710" t="str">
        <f t="shared" si="26"/>
        <v>Normal Usage</v>
      </c>
    </row>
    <row r="1711" spans="1:9" x14ac:dyDescent="0.3">
      <c r="A1711">
        <v>11710</v>
      </c>
      <c r="B1711">
        <v>267</v>
      </c>
      <c r="C1711" s="2">
        <v>44926</v>
      </c>
      <c r="D1711" s="2" t="str">
        <f>TEXT(Table3[[#This Row],[usage_date]],"mmmm")</f>
        <v>December</v>
      </c>
      <c r="E1711" s="9">
        <f>YEAR(Table3[[#This Row],[usage_date]])</f>
        <v>2022</v>
      </c>
      <c r="F1711" s="14">
        <v>10.68</v>
      </c>
      <c r="G1711">
        <v>144</v>
      </c>
      <c r="H1711" t="s">
        <v>13</v>
      </c>
      <c r="I1711" t="str">
        <f t="shared" si="26"/>
        <v>High Usage</v>
      </c>
    </row>
    <row r="1712" spans="1:9" x14ac:dyDescent="0.3">
      <c r="A1712">
        <v>11711</v>
      </c>
      <c r="B1712">
        <v>310</v>
      </c>
      <c r="C1712" s="2">
        <v>45447</v>
      </c>
      <c r="D1712" s="2" t="str">
        <f>TEXT(Table3[[#This Row],[usage_date]],"mmmm")</f>
        <v>June</v>
      </c>
      <c r="E1712" s="9">
        <f>YEAR(Table3[[#This Row],[usage_date]])</f>
        <v>2024</v>
      </c>
      <c r="F1712" s="14">
        <v>0.5</v>
      </c>
      <c r="G1712">
        <v>227</v>
      </c>
      <c r="H1712" t="s">
        <v>13</v>
      </c>
      <c r="I1712" t="str">
        <f t="shared" si="26"/>
        <v>Normal Usage</v>
      </c>
    </row>
    <row r="1713" spans="1:9" x14ac:dyDescent="0.3">
      <c r="A1713">
        <v>11712</v>
      </c>
      <c r="B1713">
        <v>173</v>
      </c>
      <c r="C1713" s="2">
        <v>45110</v>
      </c>
      <c r="D1713" s="2" t="str">
        <f>TEXT(Table3[[#This Row],[usage_date]],"mmmm")</f>
        <v>July</v>
      </c>
      <c r="E1713" s="9">
        <f>YEAR(Table3[[#This Row],[usage_date]])</f>
        <v>2023</v>
      </c>
      <c r="F1713" s="14">
        <v>3.63</v>
      </c>
      <c r="G1713">
        <v>113</v>
      </c>
      <c r="H1713" t="s">
        <v>13</v>
      </c>
      <c r="I1713" t="str">
        <f t="shared" si="26"/>
        <v>Normal Usage</v>
      </c>
    </row>
    <row r="1714" spans="1:9" x14ac:dyDescent="0.3">
      <c r="A1714">
        <v>11713</v>
      </c>
      <c r="B1714">
        <v>47</v>
      </c>
      <c r="C1714" s="2">
        <v>44903</v>
      </c>
      <c r="D1714" s="2" t="str">
        <f>TEXT(Table3[[#This Row],[usage_date]],"mmmm")</f>
        <v>December</v>
      </c>
      <c r="E1714" s="9">
        <f>YEAR(Table3[[#This Row],[usage_date]])</f>
        <v>2022</v>
      </c>
      <c r="F1714" s="14">
        <v>1.03</v>
      </c>
      <c r="G1714">
        <v>62</v>
      </c>
      <c r="H1714" t="s">
        <v>12</v>
      </c>
      <c r="I1714" t="str">
        <f t="shared" si="26"/>
        <v>Normal Usage</v>
      </c>
    </row>
    <row r="1715" spans="1:9" x14ac:dyDescent="0.3">
      <c r="A1715">
        <v>11714</v>
      </c>
      <c r="B1715">
        <v>140</v>
      </c>
      <c r="C1715" s="2">
        <v>45400</v>
      </c>
      <c r="D1715" s="2" t="str">
        <f>TEXT(Table3[[#This Row],[usage_date]],"mmmm")</f>
        <v>April</v>
      </c>
      <c r="E1715" s="9">
        <f>YEAR(Table3[[#This Row],[usage_date]])</f>
        <v>2024</v>
      </c>
      <c r="F1715" s="14">
        <v>0.48</v>
      </c>
      <c r="G1715">
        <v>274</v>
      </c>
      <c r="H1715" t="s">
        <v>12</v>
      </c>
      <c r="I1715" t="str">
        <f t="shared" si="26"/>
        <v>Normal Usage</v>
      </c>
    </row>
    <row r="1716" spans="1:9" x14ac:dyDescent="0.3">
      <c r="A1716">
        <v>11715</v>
      </c>
      <c r="B1716">
        <v>246</v>
      </c>
      <c r="C1716" s="2">
        <v>44968</v>
      </c>
      <c r="D1716" s="2" t="str">
        <f>TEXT(Table3[[#This Row],[usage_date]],"mmmm")</f>
        <v>February</v>
      </c>
      <c r="E1716" s="9">
        <f>YEAR(Table3[[#This Row],[usage_date]])</f>
        <v>2023</v>
      </c>
      <c r="F1716" s="14">
        <v>1.37</v>
      </c>
      <c r="G1716">
        <v>123</v>
      </c>
      <c r="H1716" t="s">
        <v>12</v>
      </c>
      <c r="I1716" t="str">
        <f t="shared" si="26"/>
        <v>Normal Usage</v>
      </c>
    </row>
    <row r="1717" spans="1:9" x14ac:dyDescent="0.3">
      <c r="A1717">
        <v>11716</v>
      </c>
      <c r="B1717">
        <v>149</v>
      </c>
      <c r="C1717" s="2">
        <v>44986</v>
      </c>
      <c r="D1717" s="2" t="str">
        <f>TEXT(Table3[[#This Row],[usage_date]],"mmmm")</f>
        <v>March</v>
      </c>
      <c r="E1717" s="9">
        <f>YEAR(Table3[[#This Row],[usage_date]])</f>
        <v>2023</v>
      </c>
      <c r="F1717" s="14">
        <v>3.95</v>
      </c>
      <c r="G1717">
        <v>85</v>
      </c>
      <c r="H1717" t="s">
        <v>12</v>
      </c>
      <c r="I1717" t="str">
        <f t="shared" si="26"/>
        <v>Normal Usage</v>
      </c>
    </row>
    <row r="1718" spans="1:9" x14ac:dyDescent="0.3">
      <c r="A1718">
        <v>11717</v>
      </c>
      <c r="B1718">
        <v>246</v>
      </c>
      <c r="C1718" s="2">
        <v>45305</v>
      </c>
      <c r="D1718" s="2" t="str">
        <f>TEXT(Table3[[#This Row],[usage_date]],"mmmm")</f>
        <v>January</v>
      </c>
      <c r="E1718" s="9">
        <f>YEAR(Table3[[#This Row],[usage_date]])</f>
        <v>2024</v>
      </c>
      <c r="F1718" s="14">
        <v>1.56</v>
      </c>
      <c r="G1718">
        <v>69</v>
      </c>
      <c r="H1718" t="s">
        <v>13</v>
      </c>
      <c r="I1718" t="str">
        <f t="shared" si="26"/>
        <v>Normal Usage</v>
      </c>
    </row>
    <row r="1719" spans="1:9" x14ac:dyDescent="0.3">
      <c r="A1719">
        <v>11718</v>
      </c>
      <c r="B1719">
        <v>395</v>
      </c>
      <c r="C1719" s="2">
        <v>44654</v>
      </c>
      <c r="D1719" s="2" t="str">
        <f>TEXT(Table3[[#This Row],[usage_date]],"mmmm")</f>
        <v>April</v>
      </c>
      <c r="E1719" s="9">
        <f>YEAR(Table3[[#This Row],[usage_date]])</f>
        <v>2022</v>
      </c>
      <c r="F1719" s="14">
        <v>1.93</v>
      </c>
      <c r="G1719">
        <v>46</v>
      </c>
      <c r="H1719" t="s">
        <v>12</v>
      </c>
      <c r="I1719" t="str">
        <f t="shared" si="26"/>
        <v>Normal Usage</v>
      </c>
    </row>
    <row r="1720" spans="1:9" x14ac:dyDescent="0.3">
      <c r="A1720">
        <v>11719</v>
      </c>
      <c r="B1720">
        <v>487</v>
      </c>
      <c r="C1720" s="2">
        <v>45409</v>
      </c>
      <c r="D1720" s="2" t="str">
        <f>TEXT(Table3[[#This Row],[usage_date]],"mmmm")</f>
        <v>April</v>
      </c>
      <c r="E1720" s="9">
        <f>YEAR(Table3[[#This Row],[usage_date]])</f>
        <v>2024</v>
      </c>
      <c r="F1720" s="14">
        <v>13.33</v>
      </c>
      <c r="G1720">
        <v>198</v>
      </c>
      <c r="H1720" t="s">
        <v>12</v>
      </c>
      <c r="I1720" t="str">
        <f t="shared" si="26"/>
        <v>High Usage</v>
      </c>
    </row>
    <row r="1721" spans="1:9" x14ac:dyDescent="0.3">
      <c r="A1721">
        <v>11720</v>
      </c>
      <c r="B1721">
        <v>476</v>
      </c>
      <c r="C1721" s="2">
        <v>45175</v>
      </c>
      <c r="D1721" s="2" t="str">
        <f>TEXT(Table3[[#This Row],[usage_date]],"mmmm")</f>
        <v>September</v>
      </c>
      <c r="E1721" s="9">
        <f>YEAR(Table3[[#This Row],[usage_date]])</f>
        <v>2023</v>
      </c>
      <c r="F1721" s="14">
        <v>1.27</v>
      </c>
      <c r="G1721">
        <v>200</v>
      </c>
      <c r="H1721" t="s">
        <v>13</v>
      </c>
      <c r="I1721" t="str">
        <f t="shared" si="26"/>
        <v>Normal Usage</v>
      </c>
    </row>
    <row r="1722" spans="1:9" x14ac:dyDescent="0.3">
      <c r="A1722">
        <v>11721</v>
      </c>
      <c r="B1722">
        <v>5</v>
      </c>
      <c r="C1722" s="2">
        <v>44973</v>
      </c>
      <c r="D1722" s="2" t="str">
        <f>TEXT(Table3[[#This Row],[usage_date]],"mmmm")</f>
        <v>February</v>
      </c>
      <c r="E1722" s="9">
        <f>YEAR(Table3[[#This Row],[usage_date]])</f>
        <v>2023</v>
      </c>
      <c r="F1722" s="14">
        <v>2.39</v>
      </c>
      <c r="G1722">
        <v>275</v>
      </c>
      <c r="H1722" t="s">
        <v>12</v>
      </c>
      <c r="I1722" t="str">
        <f t="shared" si="26"/>
        <v>Normal Usage</v>
      </c>
    </row>
    <row r="1723" spans="1:9" x14ac:dyDescent="0.3">
      <c r="A1723">
        <v>11722</v>
      </c>
      <c r="B1723">
        <v>465</v>
      </c>
      <c r="C1723" s="2">
        <v>44993</v>
      </c>
      <c r="D1723" s="2" t="str">
        <f>TEXT(Table3[[#This Row],[usage_date]],"mmmm")</f>
        <v>March</v>
      </c>
      <c r="E1723" s="9">
        <f>YEAR(Table3[[#This Row],[usage_date]])</f>
        <v>2023</v>
      </c>
      <c r="F1723" s="14">
        <v>1.1399999999999999</v>
      </c>
      <c r="G1723">
        <v>36</v>
      </c>
      <c r="H1723" t="s">
        <v>12</v>
      </c>
      <c r="I1723" t="str">
        <f t="shared" si="26"/>
        <v>Normal Usage</v>
      </c>
    </row>
    <row r="1724" spans="1:9" x14ac:dyDescent="0.3">
      <c r="A1724">
        <v>11723</v>
      </c>
      <c r="B1724">
        <v>184</v>
      </c>
      <c r="C1724" s="2">
        <v>45239</v>
      </c>
      <c r="D1724" s="2" t="str">
        <f>TEXT(Table3[[#This Row],[usage_date]],"mmmm")</f>
        <v>November</v>
      </c>
      <c r="E1724" s="9">
        <f>YEAR(Table3[[#This Row],[usage_date]])</f>
        <v>2023</v>
      </c>
      <c r="F1724" s="14">
        <v>1.25</v>
      </c>
      <c r="G1724">
        <v>202</v>
      </c>
      <c r="H1724" t="s">
        <v>12</v>
      </c>
      <c r="I1724" t="str">
        <f t="shared" si="26"/>
        <v>Normal Usage</v>
      </c>
    </row>
    <row r="1725" spans="1:9" x14ac:dyDescent="0.3">
      <c r="A1725">
        <v>11724</v>
      </c>
      <c r="B1725">
        <v>20</v>
      </c>
      <c r="C1725" s="2">
        <v>44720</v>
      </c>
      <c r="D1725" s="2" t="str">
        <f>TEXT(Table3[[#This Row],[usage_date]],"mmmm")</f>
        <v>June</v>
      </c>
      <c r="E1725" s="9">
        <f>YEAR(Table3[[#This Row],[usage_date]])</f>
        <v>2022</v>
      </c>
      <c r="F1725" s="14">
        <v>2.97</v>
      </c>
      <c r="G1725">
        <v>129</v>
      </c>
      <c r="H1725" t="s">
        <v>13</v>
      </c>
      <c r="I1725" t="str">
        <f t="shared" si="26"/>
        <v>Normal Usage</v>
      </c>
    </row>
    <row r="1726" spans="1:9" x14ac:dyDescent="0.3">
      <c r="A1726">
        <v>11725</v>
      </c>
      <c r="B1726">
        <v>425</v>
      </c>
      <c r="C1726" s="2">
        <v>44575</v>
      </c>
      <c r="D1726" s="2" t="str">
        <f>TEXT(Table3[[#This Row],[usage_date]],"mmmm")</f>
        <v>January</v>
      </c>
      <c r="E1726" s="9">
        <f>YEAR(Table3[[#This Row],[usage_date]])</f>
        <v>2022</v>
      </c>
      <c r="F1726" s="14">
        <v>6.95</v>
      </c>
      <c r="G1726">
        <v>291</v>
      </c>
      <c r="H1726" t="s">
        <v>13</v>
      </c>
      <c r="I1726" t="str">
        <f t="shared" si="26"/>
        <v>High Usage</v>
      </c>
    </row>
    <row r="1727" spans="1:9" x14ac:dyDescent="0.3">
      <c r="A1727">
        <v>11726</v>
      </c>
      <c r="B1727">
        <v>46</v>
      </c>
      <c r="C1727" s="2">
        <v>44934</v>
      </c>
      <c r="D1727" s="2" t="str">
        <f>TEXT(Table3[[#This Row],[usage_date]],"mmmm")</f>
        <v>January</v>
      </c>
      <c r="E1727" s="9">
        <f>YEAR(Table3[[#This Row],[usage_date]])</f>
        <v>2023</v>
      </c>
      <c r="F1727" s="14">
        <v>1.95</v>
      </c>
      <c r="G1727">
        <v>63</v>
      </c>
      <c r="H1727" t="s">
        <v>12</v>
      </c>
      <c r="I1727" t="str">
        <f t="shared" si="26"/>
        <v>Normal Usage</v>
      </c>
    </row>
    <row r="1728" spans="1:9" x14ac:dyDescent="0.3">
      <c r="A1728">
        <v>11727</v>
      </c>
      <c r="B1728">
        <v>12</v>
      </c>
      <c r="C1728" s="2">
        <v>44786</v>
      </c>
      <c r="D1728" s="2" t="str">
        <f>TEXT(Table3[[#This Row],[usage_date]],"mmmm")</f>
        <v>August</v>
      </c>
      <c r="E1728" s="9">
        <f>YEAR(Table3[[#This Row],[usage_date]])</f>
        <v>2022</v>
      </c>
      <c r="F1728" s="14">
        <v>3.66</v>
      </c>
      <c r="G1728">
        <v>262</v>
      </c>
      <c r="H1728" t="s">
        <v>12</v>
      </c>
      <c r="I1728" t="str">
        <f t="shared" si="26"/>
        <v>Normal Usage</v>
      </c>
    </row>
    <row r="1729" spans="1:9" x14ac:dyDescent="0.3">
      <c r="A1729">
        <v>11728</v>
      </c>
      <c r="B1729">
        <v>70</v>
      </c>
      <c r="C1729" s="2">
        <v>45066</v>
      </c>
      <c r="D1729" s="2" t="str">
        <f>TEXT(Table3[[#This Row],[usage_date]],"mmmm")</f>
        <v>May</v>
      </c>
      <c r="E1729" s="9">
        <f>YEAR(Table3[[#This Row],[usage_date]])</f>
        <v>2023</v>
      </c>
      <c r="F1729" s="14">
        <v>0.23</v>
      </c>
      <c r="G1729">
        <v>119</v>
      </c>
      <c r="H1729" t="s">
        <v>12</v>
      </c>
      <c r="I1729" t="str">
        <f t="shared" si="26"/>
        <v>Normal Usage</v>
      </c>
    </row>
    <row r="1730" spans="1:9" x14ac:dyDescent="0.3">
      <c r="A1730">
        <v>11729</v>
      </c>
      <c r="B1730">
        <v>17</v>
      </c>
      <c r="C1730" s="2">
        <v>44634</v>
      </c>
      <c r="D1730" s="2" t="str">
        <f>TEXT(Table3[[#This Row],[usage_date]],"mmmm")</f>
        <v>March</v>
      </c>
      <c r="E1730" s="9">
        <f>YEAR(Table3[[#This Row],[usage_date]])</f>
        <v>2022</v>
      </c>
      <c r="F1730" s="14">
        <v>0.59</v>
      </c>
      <c r="G1730">
        <v>277</v>
      </c>
      <c r="H1730" t="s">
        <v>12</v>
      </c>
      <c r="I1730" t="str">
        <f t="shared" ref="I1730:I1793" si="27">IF(F1730&gt;6,"High Usage","Normal Usage")</f>
        <v>Normal Usage</v>
      </c>
    </row>
    <row r="1731" spans="1:9" x14ac:dyDescent="0.3">
      <c r="A1731">
        <v>11730</v>
      </c>
      <c r="B1731">
        <v>371</v>
      </c>
      <c r="C1731" s="2">
        <v>44810</v>
      </c>
      <c r="D1731" s="2" t="str">
        <f>TEXT(Table3[[#This Row],[usage_date]],"mmmm")</f>
        <v>September</v>
      </c>
      <c r="E1731" s="9">
        <f>YEAR(Table3[[#This Row],[usage_date]])</f>
        <v>2022</v>
      </c>
      <c r="F1731" s="14">
        <v>1.74</v>
      </c>
      <c r="G1731">
        <v>201</v>
      </c>
      <c r="H1731" t="s">
        <v>12</v>
      </c>
      <c r="I1731" t="str">
        <f t="shared" si="27"/>
        <v>Normal Usage</v>
      </c>
    </row>
    <row r="1732" spans="1:9" x14ac:dyDescent="0.3">
      <c r="A1732">
        <v>11731</v>
      </c>
      <c r="B1732">
        <v>147</v>
      </c>
      <c r="C1732" s="2">
        <v>45072</v>
      </c>
      <c r="D1732" s="2" t="str">
        <f>TEXT(Table3[[#This Row],[usage_date]],"mmmm")</f>
        <v>May</v>
      </c>
      <c r="E1732" s="9">
        <f>YEAR(Table3[[#This Row],[usage_date]])</f>
        <v>2023</v>
      </c>
      <c r="F1732" s="14">
        <v>0.05</v>
      </c>
      <c r="G1732">
        <v>45</v>
      </c>
      <c r="H1732" t="s">
        <v>12</v>
      </c>
      <c r="I1732" t="str">
        <f t="shared" si="27"/>
        <v>Normal Usage</v>
      </c>
    </row>
    <row r="1733" spans="1:9" x14ac:dyDescent="0.3">
      <c r="A1733">
        <v>11732</v>
      </c>
      <c r="B1733">
        <v>154</v>
      </c>
      <c r="C1733" s="2">
        <v>45164</v>
      </c>
      <c r="D1733" s="2" t="str">
        <f>TEXT(Table3[[#This Row],[usage_date]],"mmmm")</f>
        <v>August</v>
      </c>
      <c r="E1733" s="9">
        <f>YEAR(Table3[[#This Row],[usage_date]])</f>
        <v>2023</v>
      </c>
      <c r="F1733" s="14">
        <v>0.73</v>
      </c>
      <c r="G1733">
        <v>167</v>
      </c>
      <c r="H1733" t="s">
        <v>12</v>
      </c>
      <c r="I1733" t="str">
        <f t="shared" si="27"/>
        <v>Normal Usage</v>
      </c>
    </row>
    <row r="1734" spans="1:9" x14ac:dyDescent="0.3">
      <c r="A1734">
        <v>11733</v>
      </c>
      <c r="B1734">
        <v>304</v>
      </c>
      <c r="C1734" s="2">
        <v>44777</v>
      </c>
      <c r="D1734" s="2" t="str">
        <f>TEXT(Table3[[#This Row],[usage_date]],"mmmm")</f>
        <v>August</v>
      </c>
      <c r="E1734" s="9">
        <f>YEAR(Table3[[#This Row],[usage_date]])</f>
        <v>2022</v>
      </c>
      <c r="F1734" s="14">
        <v>1.82</v>
      </c>
      <c r="G1734">
        <v>109</v>
      </c>
      <c r="H1734" t="s">
        <v>13</v>
      </c>
      <c r="I1734" t="str">
        <f t="shared" si="27"/>
        <v>Normal Usage</v>
      </c>
    </row>
    <row r="1735" spans="1:9" x14ac:dyDescent="0.3">
      <c r="A1735">
        <v>11734</v>
      </c>
      <c r="B1735">
        <v>108</v>
      </c>
      <c r="C1735" s="2">
        <v>45163</v>
      </c>
      <c r="D1735" s="2" t="str">
        <f>TEXT(Table3[[#This Row],[usage_date]],"mmmm")</f>
        <v>August</v>
      </c>
      <c r="E1735" s="9">
        <f>YEAR(Table3[[#This Row],[usage_date]])</f>
        <v>2023</v>
      </c>
      <c r="F1735" s="14">
        <v>0.04</v>
      </c>
      <c r="G1735">
        <v>45</v>
      </c>
      <c r="H1735" t="s">
        <v>12</v>
      </c>
      <c r="I1735" t="str">
        <f t="shared" si="27"/>
        <v>Normal Usage</v>
      </c>
    </row>
    <row r="1736" spans="1:9" x14ac:dyDescent="0.3">
      <c r="A1736">
        <v>11735</v>
      </c>
      <c r="B1736">
        <v>236</v>
      </c>
      <c r="C1736" s="2">
        <v>45102</v>
      </c>
      <c r="D1736" s="2" t="str">
        <f>TEXT(Table3[[#This Row],[usage_date]],"mmmm")</f>
        <v>June</v>
      </c>
      <c r="E1736" s="9">
        <f>YEAR(Table3[[#This Row],[usage_date]])</f>
        <v>2023</v>
      </c>
      <c r="F1736" s="14">
        <v>0.77</v>
      </c>
      <c r="G1736">
        <v>211</v>
      </c>
      <c r="H1736" t="s">
        <v>12</v>
      </c>
      <c r="I1736" t="str">
        <f t="shared" si="27"/>
        <v>Normal Usage</v>
      </c>
    </row>
    <row r="1737" spans="1:9" x14ac:dyDescent="0.3">
      <c r="A1737">
        <v>11736</v>
      </c>
      <c r="B1737">
        <v>308</v>
      </c>
      <c r="C1737" s="2">
        <v>45378</v>
      </c>
      <c r="D1737" s="2" t="str">
        <f>TEXT(Table3[[#This Row],[usage_date]],"mmmm")</f>
        <v>March</v>
      </c>
      <c r="E1737" s="9">
        <f>YEAR(Table3[[#This Row],[usage_date]])</f>
        <v>2024</v>
      </c>
      <c r="F1737" s="14">
        <v>1.8</v>
      </c>
      <c r="G1737">
        <v>27</v>
      </c>
      <c r="H1737" t="s">
        <v>12</v>
      </c>
      <c r="I1737" t="str">
        <f t="shared" si="27"/>
        <v>Normal Usage</v>
      </c>
    </row>
    <row r="1738" spans="1:9" x14ac:dyDescent="0.3">
      <c r="A1738">
        <v>11737</v>
      </c>
      <c r="B1738">
        <v>352</v>
      </c>
      <c r="C1738" s="2">
        <v>44781</v>
      </c>
      <c r="D1738" s="2" t="str">
        <f>TEXT(Table3[[#This Row],[usage_date]],"mmmm")</f>
        <v>August</v>
      </c>
      <c r="E1738" s="9">
        <f>YEAR(Table3[[#This Row],[usage_date]])</f>
        <v>2022</v>
      </c>
      <c r="F1738" s="14">
        <v>2.13</v>
      </c>
      <c r="G1738">
        <v>86</v>
      </c>
      <c r="H1738" t="s">
        <v>12</v>
      </c>
      <c r="I1738" t="str">
        <f t="shared" si="27"/>
        <v>Normal Usage</v>
      </c>
    </row>
    <row r="1739" spans="1:9" x14ac:dyDescent="0.3">
      <c r="A1739">
        <v>11738</v>
      </c>
      <c r="B1739">
        <v>70</v>
      </c>
      <c r="C1739" s="2">
        <v>45401</v>
      </c>
      <c r="D1739" s="2" t="str">
        <f>TEXT(Table3[[#This Row],[usage_date]],"mmmm")</f>
        <v>April</v>
      </c>
      <c r="E1739" s="9">
        <f>YEAR(Table3[[#This Row],[usage_date]])</f>
        <v>2024</v>
      </c>
      <c r="F1739" s="14">
        <v>6.5</v>
      </c>
      <c r="G1739">
        <v>290</v>
      </c>
      <c r="H1739" t="s">
        <v>12</v>
      </c>
      <c r="I1739" t="str">
        <f t="shared" si="27"/>
        <v>High Usage</v>
      </c>
    </row>
    <row r="1740" spans="1:9" x14ac:dyDescent="0.3">
      <c r="A1740">
        <v>11739</v>
      </c>
      <c r="B1740">
        <v>183</v>
      </c>
      <c r="C1740" s="2">
        <v>45288</v>
      </c>
      <c r="D1740" s="2" t="str">
        <f>TEXT(Table3[[#This Row],[usage_date]],"mmmm")</f>
        <v>December</v>
      </c>
      <c r="E1740" s="9">
        <f>YEAR(Table3[[#This Row],[usage_date]])</f>
        <v>2023</v>
      </c>
      <c r="F1740" s="14">
        <v>2.59</v>
      </c>
      <c r="G1740">
        <v>156</v>
      </c>
      <c r="H1740" t="s">
        <v>12</v>
      </c>
      <c r="I1740" t="str">
        <f t="shared" si="27"/>
        <v>Normal Usage</v>
      </c>
    </row>
    <row r="1741" spans="1:9" x14ac:dyDescent="0.3">
      <c r="A1741">
        <v>11740</v>
      </c>
      <c r="B1741">
        <v>250</v>
      </c>
      <c r="C1741" s="2">
        <v>44782</v>
      </c>
      <c r="D1741" s="2" t="str">
        <f>TEXT(Table3[[#This Row],[usage_date]],"mmmm")</f>
        <v>August</v>
      </c>
      <c r="E1741" s="9">
        <f>YEAR(Table3[[#This Row],[usage_date]])</f>
        <v>2022</v>
      </c>
      <c r="F1741" s="14">
        <v>1.34</v>
      </c>
      <c r="G1741">
        <v>264</v>
      </c>
      <c r="H1741" t="s">
        <v>13</v>
      </c>
      <c r="I1741" t="str">
        <f t="shared" si="27"/>
        <v>Normal Usage</v>
      </c>
    </row>
    <row r="1742" spans="1:9" x14ac:dyDescent="0.3">
      <c r="A1742">
        <v>11741</v>
      </c>
      <c r="B1742">
        <v>228</v>
      </c>
      <c r="C1742" s="2">
        <v>44950</v>
      </c>
      <c r="D1742" s="2" t="str">
        <f>TEXT(Table3[[#This Row],[usage_date]],"mmmm")</f>
        <v>January</v>
      </c>
      <c r="E1742" s="9">
        <f>YEAR(Table3[[#This Row],[usage_date]])</f>
        <v>2023</v>
      </c>
      <c r="F1742" s="14">
        <v>6.66</v>
      </c>
      <c r="G1742">
        <v>264</v>
      </c>
      <c r="H1742" t="s">
        <v>13</v>
      </c>
      <c r="I1742" t="str">
        <f t="shared" si="27"/>
        <v>High Usage</v>
      </c>
    </row>
    <row r="1743" spans="1:9" x14ac:dyDescent="0.3">
      <c r="A1743">
        <v>11742</v>
      </c>
      <c r="B1743">
        <v>102</v>
      </c>
      <c r="C1743" s="2">
        <v>45115</v>
      </c>
      <c r="D1743" s="2" t="str">
        <f>TEXT(Table3[[#This Row],[usage_date]],"mmmm")</f>
        <v>July</v>
      </c>
      <c r="E1743" s="9">
        <f>YEAR(Table3[[#This Row],[usage_date]])</f>
        <v>2023</v>
      </c>
      <c r="F1743" s="14">
        <v>3.84</v>
      </c>
      <c r="G1743">
        <v>21</v>
      </c>
      <c r="H1743" t="s">
        <v>13</v>
      </c>
      <c r="I1743" t="str">
        <f t="shared" si="27"/>
        <v>Normal Usage</v>
      </c>
    </row>
    <row r="1744" spans="1:9" x14ac:dyDescent="0.3">
      <c r="A1744">
        <v>11743</v>
      </c>
      <c r="B1744">
        <v>75</v>
      </c>
      <c r="C1744" s="2">
        <v>45208</v>
      </c>
      <c r="D1744" s="2" t="str">
        <f>TEXT(Table3[[#This Row],[usage_date]],"mmmm")</f>
        <v>October</v>
      </c>
      <c r="E1744" s="9">
        <f>YEAR(Table3[[#This Row],[usage_date]])</f>
        <v>2023</v>
      </c>
      <c r="F1744" s="14">
        <v>0.56000000000000005</v>
      </c>
      <c r="G1744">
        <v>255</v>
      </c>
      <c r="H1744" t="s">
        <v>12</v>
      </c>
      <c r="I1744" t="str">
        <f t="shared" si="27"/>
        <v>Normal Usage</v>
      </c>
    </row>
    <row r="1745" spans="1:9" x14ac:dyDescent="0.3">
      <c r="A1745">
        <v>11744</v>
      </c>
      <c r="B1745">
        <v>417</v>
      </c>
      <c r="C1745" s="2">
        <v>44603</v>
      </c>
      <c r="D1745" s="2" t="str">
        <f>TEXT(Table3[[#This Row],[usage_date]],"mmmm")</f>
        <v>February</v>
      </c>
      <c r="E1745" s="9">
        <f>YEAR(Table3[[#This Row],[usage_date]])</f>
        <v>2022</v>
      </c>
      <c r="F1745" s="14">
        <v>0.35</v>
      </c>
      <c r="G1745">
        <v>190</v>
      </c>
      <c r="H1745" t="s">
        <v>13</v>
      </c>
      <c r="I1745" t="str">
        <f t="shared" si="27"/>
        <v>Normal Usage</v>
      </c>
    </row>
    <row r="1746" spans="1:9" x14ac:dyDescent="0.3">
      <c r="A1746">
        <v>11745</v>
      </c>
      <c r="B1746">
        <v>446</v>
      </c>
      <c r="C1746" s="2">
        <v>45237</v>
      </c>
      <c r="D1746" s="2" t="str">
        <f>TEXT(Table3[[#This Row],[usage_date]],"mmmm")</f>
        <v>November</v>
      </c>
      <c r="E1746" s="9">
        <f>YEAR(Table3[[#This Row],[usage_date]])</f>
        <v>2023</v>
      </c>
      <c r="F1746" s="14">
        <v>2.82</v>
      </c>
      <c r="G1746">
        <v>231</v>
      </c>
      <c r="H1746" t="s">
        <v>12</v>
      </c>
      <c r="I1746" t="str">
        <f t="shared" si="27"/>
        <v>Normal Usage</v>
      </c>
    </row>
    <row r="1747" spans="1:9" x14ac:dyDescent="0.3">
      <c r="A1747">
        <v>11746</v>
      </c>
      <c r="B1747">
        <v>216</v>
      </c>
      <c r="C1747" s="2">
        <v>45434</v>
      </c>
      <c r="D1747" s="2" t="str">
        <f>TEXT(Table3[[#This Row],[usage_date]],"mmmm")</f>
        <v>May</v>
      </c>
      <c r="E1747" s="9">
        <f>YEAR(Table3[[#This Row],[usage_date]])</f>
        <v>2024</v>
      </c>
      <c r="F1747" s="14">
        <v>2.0499999999999998</v>
      </c>
      <c r="G1747">
        <v>185</v>
      </c>
      <c r="H1747" t="s">
        <v>13</v>
      </c>
      <c r="I1747" t="str">
        <f t="shared" si="27"/>
        <v>Normal Usage</v>
      </c>
    </row>
    <row r="1748" spans="1:9" x14ac:dyDescent="0.3">
      <c r="A1748">
        <v>11747</v>
      </c>
      <c r="B1748">
        <v>407</v>
      </c>
      <c r="C1748" s="2">
        <v>44844</v>
      </c>
      <c r="D1748" s="2" t="str">
        <f>TEXT(Table3[[#This Row],[usage_date]],"mmmm")</f>
        <v>October</v>
      </c>
      <c r="E1748" s="9">
        <f>YEAR(Table3[[#This Row],[usage_date]])</f>
        <v>2022</v>
      </c>
      <c r="F1748" s="14">
        <v>3.9</v>
      </c>
      <c r="G1748">
        <v>182</v>
      </c>
      <c r="H1748" t="s">
        <v>12</v>
      </c>
      <c r="I1748" t="str">
        <f t="shared" si="27"/>
        <v>Normal Usage</v>
      </c>
    </row>
    <row r="1749" spans="1:9" x14ac:dyDescent="0.3">
      <c r="A1749">
        <v>11748</v>
      </c>
      <c r="B1749">
        <v>399</v>
      </c>
      <c r="C1749" s="2">
        <v>44619</v>
      </c>
      <c r="D1749" s="2" t="str">
        <f>TEXT(Table3[[#This Row],[usage_date]],"mmmm")</f>
        <v>February</v>
      </c>
      <c r="E1749" s="9">
        <f>YEAR(Table3[[#This Row],[usage_date]])</f>
        <v>2022</v>
      </c>
      <c r="F1749" s="14">
        <v>3.36</v>
      </c>
      <c r="G1749">
        <v>201</v>
      </c>
      <c r="H1749" t="s">
        <v>12</v>
      </c>
      <c r="I1749" t="str">
        <f t="shared" si="27"/>
        <v>Normal Usage</v>
      </c>
    </row>
    <row r="1750" spans="1:9" x14ac:dyDescent="0.3">
      <c r="A1750">
        <v>11749</v>
      </c>
      <c r="B1750">
        <v>411</v>
      </c>
      <c r="C1750" s="2">
        <v>45375</v>
      </c>
      <c r="D1750" s="2" t="str">
        <f>TEXT(Table3[[#This Row],[usage_date]],"mmmm")</f>
        <v>March</v>
      </c>
      <c r="E1750" s="9">
        <f>YEAR(Table3[[#This Row],[usage_date]])</f>
        <v>2024</v>
      </c>
      <c r="F1750" s="14">
        <v>2.4500000000000002</v>
      </c>
      <c r="G1750">
        <v>64</v>
      </c>
      <c r="H1750" t="s">
        <v>12</v>
      </c>
      <c r="I1750" t="str">
        <f t="shared" si="27"/>
        <v>Normal Usage</v>
      </c>
    </row>
    <row r="1751" spans="1:9" x14ac:dyDescent="0.3">
      <c r="A1751">
        <v>11750</v>
      </c>
      <c r="B1751">
        <v>203</v>
      </c>
      <c r="C1751" s="2">
        <v>45395</v>
      </c>
      <c r="D1751" s="2" t="str">
        <f>TEXT(Table3[[#This Row],[usage_date]],"mmmm")</f>
        <v>April</v>
      </c>
      <c r="E1751" s="9">
        <f>YEAR(Table3[[#This Row],[usage_date]])</f>
        <v>2024</v>
      </c>
      <c r="F1751" s="14">
        <v>10.74</v>
      </c>
      <c r="G1751">
        <v>42</v>
      </c>
      <c r="H1751" t="s">
        <v>13</v>
      </c>
      <c r="I1751" t="str">
        <f t="shared" si="27"/>
        <v>High Usage</v>
      </c>
    </row>
    <row r="1752" spans="1:9" x14ac:dyDescent="0.3">
      <c r="A1752">
        <v>11751</v>
      </c>
      <c r="B1752">
        <v>192</v>
      </c>
      <c r="C1752" s="2">
        <v>45098</v>
      </c>
      <c r="D1752" s="2" t="str">
        <f>TEXT(Table3[[#This Row],[usage_date]],"mmmm")</f>
        <v>June</v>
      </c>
      <c r="E1752" s="9">
        <f>YEAR(Table3[[#This Row],[usage_date]])</f>
        <v>2023</v>
      </c>
      <c r="F1752" s="14">
        <v>1.91</v>
      </c>
      <c r="G1752">
        <v>220</v>
      </c>
      <c r="H1752" t="s">
        <v>13</v>
      </c>
      <c r="I1752" t="str">
        <f t="shared" si="27"/>
        <v>Normal Usage</v>
      </c>
    </row>
    <row r="1753" spans="1:9" x14ac:dyDescent="0.3">
      <c r="A1753">
        <v>11752</v>
      </c>
      <c r="B1753">
        <v>249</v>
      </c>
      <c r="C1753" s="2">
        <v>44634</v>
      </c>
      <c r="D1753" s="2" t="str">
        <f>TEXT(Table3[[#This Row],[usage_date]],"mmmm")</f>
        <v>March</v>
      </c>
      <c r="E1753" s="9">
        <f>YEAR(Table3[[#This Row],[usage_date]])</f>
        <v>2022</v>
      </c>
      <c r="F1753" s="14">
        <v>0.3</v>
      </c>
      <c r="G1753">
        <v>16</v>
      </c>
      <c r="H1753" t="s">
        <v>13</v>
      </c>
      <c r="I1753" t="str">
        <f t="shared" si="27"/>
        <v>Normal Usage</v>
      </c>
    </row>
    <row r="1754" spans="1:9" x14ac:dyDescent="0.3">
      <c r="A1754">
        <v>11753</v>
      </c>
      <c r="B1754">
        <v>499</v>
      </c>
      <c r="C1754" s="2">
        <v>45446</v>
      </c>
      <c r="D1754" s="2" t="str">
        <f>TEXT(Table3[[#This Row],[usage_date]],"mmmm")</f>
        <v>June</v>
      </c>
      <c r="E1754" s="9">
        <f>YEAR(Table3[[#This Row],[usage_date]])</f>
        <v>2024</v>
      </c>
      <c r="F1754" s="14">
        <v>4.4000000000000004</v>
      </c>
      <c r="G1754">
        <v>284</v>
      </c>
      <c r="H1754" t="s">
        <v>12</v>
      </c>
      <c r="I1754" t="str">
        <f t="shared" si="27"/>
        <v>Normal Usage</v>
      </c>
    </row>
    <row r="1755" spans="1:9" x14ac:dyDescent="0.3">
      <c r="A1755">
        <v>11754</v>
      </c>
      <c r="B1755">
        <v>242</v>
      </c>
      <c r="C1755" s="2">
        <v>44690</v>
      </c>
      <c r="D1755" s="2" t="str">
        <f>TEXT(Table3[[#This Row],[usage_date]],"mmmm")</f>
        <v>May</v>
      </c>
      <c r="E1755" s="9">
        <f>YEAR(Table3[[#This Row],[usage_date]])</f>
        <v>2022</v>
      </c>
      <c r="F1755" s="14">
        <v>0.73</v>
      </c>
      <c r="G1755">
        <v>182</v>
      </c>
      <c r="H1755" t="s">
        <v>12</v>
      </c>
      <c r="I1755" t="str">
        <f t="shared" si="27"/>
        <v>Normal Usage</v>
      </c>
    </row>
    <row r="1756" spans="1:9" x14ac:dyDescent="0.3">
      <c r="A1756">
        <v>11755</v>
      </c>
      <c r="B1756">
        <v>465</v>
      </c>
      <c r="C1756" s="2">
        <v>45160</v>
      </c>
      <c r="D1756" s="2" t="str">
        <f>TEXT(Table3[[#This Row],[usage_date]],"mmmm")</f>
        <v>August</v>
      </c>
      <c r="E1756" s="9">
        <f>YEAR(Table3[[#This Row],[usage_date]])</f>
        <v>2023</v>
      </c>
      <c r="F1756" s="14">
        <v>3.75</v>
      </c>
      <c r="G1756">
        <v>43</v>
      </c>
      <c r="H1756" t="s">
        <v>13</v>
      </c>
      <c r="I1756" t="str">
        <f t="shared" si="27"/>
        <v>Normal Usage</v>
      </c>
    </row>
    <row r="1757" spans="1:9" x14ac:dyDescent="0.3">
      <c r="A1757">
        <v>11756</v>
      </c>
      <c r="B1757">
        <v>179</v>
      </c>
      <c r="C1757" s="2">
        <v>45403</v>
      </c>
      <c r="D1757" s="2" t="str">
        <f>TEXT(Table3[[#This Row],[usage_date]],"mmmm")</f>
        <v>April</v>
      </c>
      <c r="E1757" s="9">
        <f>YEAR(Table3[[#This Row],[usage_date]])</f>
        <v>2024</v>
      </c>
      <c r="F1757" s="14">
        <v>7.87</v>
      </c>
      <c r="G1757">
        <v>187</v>
      </c>
      <c r="H1757" t="s">
        <v>12</v>
      </c>
      <c r="I1757" t="str">
        <f t="shared" si="27"/>
        <v>High Usage</v>
      </c>
    </row>
    <row r="1758" spans="1:9" x14ac:dyDescent="0.3">
      <c r="A1758">
        <v>11757</v>
      </c>
      <c r="B1758">
        <v>437</v>
      </c>
      <c r="C1758" s="2">
        <v>44987</v>
      </c>
      <c r="D1758" s="2" t="str">
        <f>TEXT(Table3[[#This Row],[usage_date]],"mmmm")</f>
        <v>March</v>
      </c>
      <c r="E1758" s="9">
        <f>YEAR(Table3[[#This Row],[usage_date]])</f>
        <v>2023</v>
      </c>
      <c r="F1758" s="14">
        <v>2.98</v>
      </c>
      <c r="G1758">
        <v>262</v>
      </c>
      <c r="H1758" t="s">
        <v>13</v>
      </c>
      <c r="I1758" t="str">
        <f t="shared" si="27"/>
        <v>Normal Usage</v>
      </c>
    </row>
    <row r="1759" spans="1:9" x14ac:dyDescent="0.3">
      <c r="A1759">
        <v>11758</v>
      </c>
      <c r="B1759">
        <v>462</v>
      </c>
      <c r="C1759" s="2">
        <v>45226</v>
      </c>
      <c r="D1759" s="2" t="str">
        <f>TEXT(Table3[[#This Row],[usage_date]],"mmmm")</f>
        <v>October</v>
      </c>
      <c r="E1759" s="9">
        <f>YEAR(Table3[[#This Row],[usage_date]])</f>
        <v>2023</v>
      </c>
      <c r="F1759" s="14">
        <v>2.27</v>
      </c>
      <c r="G1759">
        <v>173</v>
      </c>
      <c r="H1759" t="s">
        <v>12</v>
      </c>
      <c r="I1759" t="str">
        <f t="shared" si="27"/>
        <v>Normal Usage</v>
      </c>
    </row>
    <row r="1760" spans="1:9" x14ac:dyDescent="0.3">
      <c r="A1760">
        <v>11759</v>
      </c>
      <c r="B1760">
        <v>219</v>
      </c>
      <c r="C1760" s="2">
        <v>45255</v>
      </c>
      <c r="D1760" s="2" t="str">
        <f>TEXT(Table3[[#This Row],[usage_date]],"mmmm")</f>
        <v>November</v>
      </c>
      <c r="E1760" s="9">
        <f>YEAR(Table3[[#This Row],[usage_date]])</f>
        <v>2023</v>
      </c>
      <c r="F1760" s="14">
        <v>1.54</v>
      </c>
      <c r="G1760">
        <v>53</v>
      </c>
      <c r="H1760" t="s">
        <v>12</v>
      </c>
      <c r="I1760" t="str">
        <f t="shared" si="27"/>
        <v>Normal Usage</v>
      </c>
    </row>
    <row r="1761" spans="1:9" x14ac:dyDescent="0.3">
      <c r="A1761">
        <v>11760</v>
      </c>
      <c r="B1761">
        <v>82</v>
      </c>
      <c r="C1761" s="2">
        <v>44686</v>
      </c>
      <c r="D1761" s="2" t="str">
        <f>TEXT(Table3[[#This Row],[usage_date]],"mmmm")</f>
        <v>May</v>
      </c>
      <c r="E1761" s="9">
        <f>YEAR(Table3[[#This Row],[usage_date]])</f>
        <v>2022</v>
      </c>
      <c r="F1761" s="14">
        <v>1.1299999999999999</v>
      </c>
      <c r="G1761">
        <v>219</v>
      </c>
      <c r="H1761" t="s">
        <v>13</v>
      </c>
      <c r="I1761" t="str">
        <f t="shared" si="27"/>
        <v>Normal Usage</v>
      </c>
    </row>
    <row r="1762" spans="1:9" x14ac:dyDescent="0.3">
      <c r="A1762">
        <v>11761</v>
      </c>
      <c r="B1762">
        <v>92</v>
      </c>
      <c r="C1762" s="2">
        <v>44628</v>
      </c>
      <c r="D1762" s="2" t="str">
        <f>TEXT(Table3[[#This Row],[usage_date]],"mmmm")</f>
        <v>March</v>
      </c>
      <c r="E1762" s="9">
        <f>YEAR(Table3[[#This Row],[usage_date]])</f>
        <v>2022</v>
      </c>
      <c r="F1762" s="14">
        <v>1.0900000000000001</v>
      </c>
      <c r="G1762">
        <v>45</v>
      </c>
      <c r="H1762" t="s">
        <v>12</v>
      </c>
      <c r="I1762" t="str">
        <f t="shared" si="27"/>
        <v>Normal Usage</v>
      </c>
    </row>
    <row r="1763" spans="1:9" x14ac:dyDescent="0.3">
      <c r="A1763">
        <v>11762</v>
      </c>
      <c r="B1763">
        <v>435</v>
      </c>
      <c r="C1763" s="2">
        <v>44567</v>
      </c>
      <c r="D1763" s="2" t="str">
        <f>TEXT(Table3[[#This Row],[usage_date]],"mmmm")</f>
        <v>January</v>
      </c>
      <c r="E1763" s="9">
        <f>YEAR(Table3[[#This Row],[usage_date]])</f>
        <v>2022</v>
      </c>
      <c r="F1763" s="14">
        <v>2.5299999999999998</v>
      </c>
      <c r="G1763">
        <v>259</v>
      </c>
      <c r="H1763" t="s">
        <v>13</v>
      </c>
      <c r="I1763" t="str">
        <f t="shared" si="27"/>
        <v>Normal Usage</v>
      </c>
    </row>
    <row r="1764" spans="1:9" x14ac:dyDescent="0.3">
      <c r="A1764">
        <v>11763</v>
      </c>
      <c r="B1764">
        <v>175</v>
      </c>
      <c r="C1764" s="2">
        <v>45198</v>
      </c>
      <c r="D1764" s="2" t="str">
        <f>TEXT(Table3[[#This Row],[usage_date]],"mmmm")</f>
        <v>September</v>
      </c>
      <c r="E1764" s="9">
        <f>YEAR(Table3[[#This Row],[usage_date]])</f>
        <v>2023</v>
      </c>
      <c r="F1764" s="14">
        <v>3.48</v>
      </c>
      <c r="G1764">
        <v>194</v>
      </c>
      <c r="H1764" t="s">
        <v>12</v>
      </c>
      <c r="I1764" t="str">
        <f t="shared" si="27"/>
        <v>Normal Usage</v>
      </c>
    </row>
    <row r="1765" spans="1:9" x14ac:dyDescent="0.3">
      <c r="A1765">
        <v>11764</v>
      </c>
      <c r="B1765">
        <v>239</v>
      </c>
      <c r="C1765" s="2">
        <v>44875</v>
      </c>
      <c r="D1765" s="2" t="str">
        <f>TEXT(Table3[[#This Row],[usage_date]],"mmmm")</f>
        <v>November</v>
      </c>
      <c r="E1765" s="9">
        <f>YEAR(Table3[[#This Row],[usage_date]])</f>
        <v>2022</v>
      </c>
      <c r="F1765" s="14">
        <v>2.84</v>
      </c>
      <c r="G1765">
        <v>60</v>
      </c>
      <c r="H1765" t="s">
        <v>13</v>
      </c>
      <c r="I1765" t="str">
        <f t="shared" si="27"/>
        <v>Normal Usage</v>
      </c>
    </row>
    <row r="1766" spans="1:9" x14ac:dyDescent="0.3">
      <c r="A1766">
        <v>11765</v>
      </c>
      <c r="B1766">
        <v>260</v>
      </c>
      <c r="C1766" s="2">
        <v>44887</v>
      </c>
      <c r="D1766" s="2" t="str">
        <f>TEXT(Table3[[#This Row],[usage_date]],"mmmm")</f>
        <v>November</v>
      </c>
      <c r="E1766" s="9">
        <f>YEAR(Table3[[#This Row],[usage_date]])</f>
        <v>2022</v>
      </c>
      <c r="F1766" s="14">
        <v>0.55000000000000004</v>
      </c>
      <c r="G1766">
        <v>165</v>
      </c>
      <c r="H1766" t="s">
        <v>12</v>
      </c>
      <c r="I1766" t="str">
        <f t="shared" si="27"/>
        <v>Normal Usage</v>
      </c>
    </row>
    <row r="1767" spans="1:9" x14ac:dyDescent="0.3">
      <c r="A1767">
        <v>11766</v>
      </c>
      <c r="B1767">
        <v>391</v>
      </c>
      <c r="C1767" s="2">
        <v>45126</v>
      </c>
      <c r="D1767" s="2" t="str">
        <f>TEXT(Table3[[#This Row],[usage_date]],"mmmm")</f>
        <v>July</v>
      </c>
      <c r="E1767" s="9">
        <f>YEAR(Table3[[#This Row],[usage_date]])</f>
        <v>2023</v>
      </c>
      <c r="F1767" s="14">
        <v>1.7</v>
      </c>
      <c r="G1767">
        <v>159</v>
      </c>
      <c r="H1767" t="s">
        <v>13</v>
      </c>
      <c r="I1767" t="str">
        <f t="shared" si="27"/>
        <v>Normal Usage</v>
      </c>
    </row>
    <row r="1768" spans="1:9" x14ac:dyDescent="0.3">
      <c r="A1768">
        <v>11767</v>
      </c>
      <c r="B1768">
        <v>365</v>
      </c>
      <c r="C1768" s="2">
        <v>45139</v>
      </c>
      <c r="D1768" s="2" t="str">
        <f>TEXT(Table3[[#This Row],[usage_date]],"mmmm")</f>
        <v>August</v>
      </c>
      <c r="E1768" s="9">
        <f>YEAR(Table3[[#This Row],[usage_date]])</f>
        <v>2023</v>
      </c>
      <c r="F1768" s="14">
        <v>3.92</v>
      </c>
      <c r="G1768">
        <v>150</v>
      </c>
      <c r="H1768" t="s">
        <v>12</v>
      </c>
      <c r="I1768" t="str">
        <f t="shared" si="27"/>
        <v>Normal Usage</v>
      </c>
    </row>
    <row r="1769" spans="1:9" x14ac:dyDescent="0.3">
      <c r="A1769">
        <v>11768</v>
      </c>
      <c r="B1769">
        <v>163</v>
      </c>
      <c r="C1769" s="2">
        <v>45387</v>
      </c>
      <c r="D1769" s="2" t="str">
        <f>TEXT(Table3[[#This Row],[usage_date]],"mmmm")</f>
        <v>April</v>
      </c>
      <c r="E1769" s="9">
        <f>YEAR(Table3[[#This Row],[usage_date]])</f>
        <v>2024</v>
      </c>
      <c r="F1769" s="14">
        <v>1.61</v>
      </c>
      <c r="G1769">
        <v>110</v>
      </c>
      <c r="H1769" t="s">
        <v>12</v>
      </c>
      <c r="I1769" t="str">
        <f t="shared" si="27"/>
        <v>Normal Usage</v>
      </c>
    </row>
    <row r="1770" spans="1:9" x14ac:dyDescent="0.3">
      <c r="A1770">
        <v>11769</v>
      </c>
      <c r="B1770">
        <v>48</v>
      </c>
      <c r="C1770" s="2">
        <v>45067</v>
      </c>
      <c r="D1770" s="2" t="str">
        <f>TEXT(Table3[[#This Row],[usage_date]],"mmmm")</f>
        <v>May</v>
      </c>
      <c r="E1770" s="9">
        <f>YEAR(Table3[[#This Row],[usage_date]])</f>
        <v>2023</v>
      </c>
      <c r="F1770" s="14">
        <v>1.92</v>
      </c>
      <c r="G1770">
        <v>36</v>
      </c>
      <c r="H1770" t="s">
        <v>12</v>
      </c>
      <c r="I1770" t="str">
        <f t="shared" si="27"/>
        <v>Normal Usage</v>
      </c>
    </row>
    <row r="1771" spans="1:9" x14ac:dyDescent="0.3">
      <c r="A1771">
        <v>11770</v>
      </c>
      <c r="B1771">
        <v>329</v>
      </c>
      <c r="C1771" s="2">
        <v>44643</v>
      </c>
      <c r="D1771" s="2" t="str">
        <f>TEXT(Table3[[#This Row],[usage_date]],"mmmm")</f>
        <v>March</v>
      </c>
      <c r="E1771" s="9">
        <f>YEAR(Table3[[#This Row],[usage_date]])</f>
        <v>2022</v>
      </c>
      <c r="F1771" s="14">
        <v>3.69</v>
      </c>
      <c r="G1771">
        <v>2</v>
      </c>
      <c r="H1771" t="s">
        <v>13</v>
      </c>
      <c r="I1771" t="str">
        <f t="shared" si="27"/>
        <v>Normal Usage</v>
      </c>
    </row>
    <row r="1772" spans="1:9" x14ac:dyDescent="0.3">
      <c r="A1772">
        <v>11771</v>
      </c>
      <c r="B1772">
        <v>328</v>
      </c>
      <c r="C1772" s="2">
        <v>45160</v>
      </c>
      <c r="D1772" s="2" t="str">
        <f>TEXT(Table3[[#This Row],[usage_date]],"mmmm")</f>
        <v>August</v>
      </c>
      <c r="E1772" s="9">
        <f>YEAR(Table3[[#This Row],[usage_date]])</f>
        <v>2023</v>
      </c>
      <c r="F1772" s="14">
        <v>2.71</v>
      </c>
      <c r="G1772">
        <v>12</v>
      </c>
      <c r="H1772" t="s">
        <v>12</v>
      </c>
      <c r="I1772" t="str">
        <f t="shared" si="27"/>
        <v>Normal Usage</v>
      </c>
    </row>
    <row r="1773" spans="1:9" x14ac:dyDescent="0.3">
      <c r="A1773">
        <v>11772</v>
      </c>
      <c r="B1773">
        <v>116</v>
      </c>
      <c r="C1773" s="2">
        <v>44563</v>
      </c>
      <c r="D1773" s="2" t="str">
        <f>TEXT(Table3[[#This Row],[usage_date]],"mmmm")</f>
        <v>January</v>
      </c>
      <c r="E1773" s="9">
        <f>YEAR(Table3[[#This Row],[usage_date]])</f>
        <v>2022</v>
      </c>
      <c r="F1773" s="14">
        <v>1.32</v>
      </c>
      <c r="G1773">
        <v>161</v>
      </c>
      <c r="H1773" t="s">
        <v>12</v>
      </c>
      <c r="I1773" t="str">
        <f t="shared" si="27"/>
        <v>Normal Usage</v>
      </c>
    </row>
    <row r="1774" spans="1:9" x14ac:dyDescent="0.3">
      <c r="A1774">
        <v>11773</v>
      </c>
      <c r="B1774">
        <v>429</v>
      </c>
      <c r="C1774" s="2">
        <v>44765</v>
      </c>
      <c r="D1774" s="2" t="str">
        <f>TEXT(Table3[[#This Row],[usage_date]],"mmmm")</f>
        <v>July</v>
      </c>
      <c r="E1774" s="9">
        <f>YEAR(Table3[[#This Row],[usage_date]])</f>
        <v>2022</v>
      </c>
      <c r="F1774" s="14">
        <v>5.64</v>
      </c>
      <c r="G1774">
        <v>263</v>
      </c>
      <c r="H1774" t="s">
        <v>13</v>
      </c>
      <c r="I1774" t="str">
        <f t="shared" si="27"/>
        <v>Normal Usage</v>
      </c>
    </row>
    <row r="1775" spans="1:9" x14ac:dyDescent="0.3">
      <c r="A1775">
        <v>11774</v>
      </c>
      <c r="B1775">
        <v>337</v>
      </c>
      <c r="C1775" s="2">
        <v>45223</v>
      </c>
      <c r="D1775" s="2" t="str">
        <f>TEXT(Table3[[#This Row],[usage_date]],"mmmm")</f>
        <v>October</v>
      </c>
      <c r="E1775" s="9">
        <f>YEAR(Table3[[#This Row],[usage_date]])</f>
        <v>2023</v>
      </c>
      <c r="F1775" s="14">
        <v>0.44</v>
      </c>
      <c r="G1775">
        <v>82</v>
      </c>
      <c r="H1775" t="s">
        <v>12</v>
      </c>
      <c r="I1775" t="str">
        <f t="shared" si="27"/>
        <v>Normal Usage</v>
      </c>
    </row>
    <row r="1776" spans="1:9" x14ac:dyDescent="0.3">
      <c r="A1776">
        <v>11775</v>
      </c>
      <c r="B1776">
        <v>337</v>
      </c>
      <c r="C1776" s="2">
        <v>45366</v>
      </c>
      <c r="D1776" s="2" t="str">
        <f>TEXT(Table3[[#This Row],[usage_date]],"mmmm")</f>
        <v>March</v>
      </c>
      <c r="E1776" s="9">
        <f>YEAR(Table3[[#This Row],[usage_date]])</f>
        <v>2024</v>
      </c>
      <c r="F1776" s="14">
        <v>13.52</v>
      </c>
      <c r="G1776">
        <v>264</v>
      </c>
      <c r="H1776" t="s">
        <v>12</v>
      </c>
      <c r="I1776" t="str">
        <f t="shared" si="27"/>
        <v>High Usage</v>
      </c>
    </row>
    <row r="1777" spans="1:9" x14ac:dyDescent="0.3">
      <c r="A1777">
        <v>11776</v>
      </c>
      <c r="B1777">
        <v>369</v>
      </c>
      <c r="C1777" s="2">
        <v>44965</v>
      </c>
      <c r="D1777" s="2" t="str">
        <f>TEXT(Table3[[#This Row],[usage_date]],"mmmm")</f>
        <v>February</v>
      </c>
      <c r="E1777" s="9">
        <f>YEAR(Table3[[#This Row],[usage_date]])</f>
        <v>2023</v>
      </c>
      <c r="F1777" s="14">
        <v>0.32</v>
      </c>
      <c r="G1777">
        <v>218</v>
      </c>
      <c r="H1777" t="s">
        <v>12</v>
      </c>
      <c r="I1777" t="str">
        <f t="shared" si="27"/>
        <v>Normal Usage</v>
      </c>
    </row>
    <row r="1778" spans="1:9" x14ac:dyDescent="0.3">
      <c r="A1778">
        <v>11777</v>
      </c>
      <c r="B1778">
        <v>225</v>
      </c>
      <c r="C1778" s="2">
        <v>44664</v>
      </c>
      <c r="D1778" s="2" t="str">
        <f>TEXT(Table3[[#This Row],[usage_date]],"mmmm")</f>
        <v>April</v>
      </c>
      <c r="E1778" s="9">
        <f>YEAR(Table3[[#This Row],[usage_date]])</f>
        <v>2022</v>
      </c>
      <c r="F1778" s="14">
        <v>0.04</v>
      </c>
      <c r="G1778">
        <v>145</v>
      </c>
      <c r="H1778" t="s">
        <v>13</v>
      </c>
      <c r="I1778" t="str">
        <f t="shared" si="27"/>
        <v>Normal Usage</v>
      </c>
    </row>
    <row r="1779" spans="1:9" x14ac:dyDescent="0.3">
      <c r="A1779">
        <v>11778</v>
      </c>
      <c r="B1779">
        <v>352</v>
      </c>
      <c r="C1779" s="2">
        <v>45097</v>
      </c>
      <c r="D1779" s="2" t="str">
        <f>TEXT(Table3[[#This Row],[usage_date]],"mmmm")</f>
        <v>June</v>
      </c>
      <c r="E1779" s="9">
        <f>YEAR(Table3[[#This Row],[usage_date]])</f>
        <v>2023</v>
      </c>
      <c r="F1779" s="14">
        <v>5.52</v>
      </c>
      <c r="G1779">
        <v>297</v>
      </c>
      <c r="H1779" t="s">
        <v>12</v>
      </c>
      <c r="I1779" t="str">
        <f t="shared" si="27"/>
        <v>Normal Usage</v>
      </c>
    </row>
    <row r="1780" spans="1:9" x14ac:dyDescent="0.3">
      <c r="A1780">
        <v>11779</v>
      </c>
      <c r="B1780">
        <v>328</v>
      </c>
      <c r="C1780" s="2">
        <v>44929</v>
      </c>
      <c r="D1780" s="2" t="str">
        <f>TEXT(Table3[[#This Row],[usage_date]],"mmmm")</f>
        <v>January</v>
      </c>
      <c r="E1780" s="9">
        <f>YEAR(Table3[[#This Row],[usage_date]])</f>
        <v>2023</v>
      </c>
      <c r="F1780" s="14">
        <v>0.7</v>
      </c>
      <c r="G1780">
        <v>296</v>
      </c>
      <c r="H1780" t="s">
        <v>12</v>
      </c>
      <c r="I1780" t="str">
        <f t="shared" si="27"/>
        <v>Normal Usage</v>
      </c>
    </row>
    <row r="1781" spans="1:9" x14ac:dyDescent="0.3">
      <c r="A1781">
        <v>11780</v>
      </c>
      <c r="B1781">
        <v>147</v>
      </c>
      <c r="C1781" s="2">
        <v>44773</v>
      </c>
      <c r="D1781" s="2" t="str">
        <f>TEXT(Table3[[#This Row],[usage_date]],"mmmm")</f>
        <v>July</v>
      </c>
      <c r="E1781" s="9">
        <f>YEAR(Table3[[#This Row],[usage_date]])</f>
        <v>2022</v>
      </c>
      <c r="F1781" s="14">
        <v>3.27</v>
      </c>
      <c r="G1781">
        <v>160</v>
      </c>
      <c r="H1781" t="s">
        <v>13</v>
      </c>
      <c r="I1781" t="str">
        <f t="shared" si="27"/>
        <v>Normal Usage</v>
      </c>
    </row>
    <row r="1782" spans="1:9" x14ac:dyDescent="0.3">
      <c r="A1782">
        <v>11781</v>
      </c>
      <c r="B1782">
        <v>63</v>
      </c>
      <c r="C1782" s="2">
        <v>45138</v>
      </c>
      <c r="D1782" s="2" t="str">
        <f>TEXT(Table3[[#This Row],[usage_date]],"mmmm")</f>
        <v>July</v>
      </c>
      <c r="E1782" s="9">
        <f>YEAR(Table3[[#This Row],[usage_date]])</f>
        <v>2023</v>
      </c>
      <c r="F1782" s="14">
        <v>4.17</v>
      </c>
      <c r="G1782">
        <v>228</v>
      </c>
      <c r="H1782" t="s">
        <v>13</v>
      </c>
      <c r="I1782" t="str">
        <f t="shared" si="27"/>
        <v>Normal Usage</v>
      </c>
    </row>
    <row r="1783" spans="1:9" x14ac:dyDescent="0.3">
      <c r="A1783">
        <v>11782</v>
      </c>
      <c r="B1783">
        <v>294</v>
      </c>
      <c r="C1783" s="2">
        <v>44770</v>
      </c>
      <c r="D1783" s="2" t="str">
        <f>TEXT(Table3[[#This Row],[usage_date]],"mmmm")</f>
        <v>July</v>
      </c>
      <c r="E1783" s="9">
        <f>YEAR(Table3[[#This Row],[usage_date]])</f>
        <v>2022</v>
      </c>
      <c r="F1783" s="14">
        <v>4.9000000000000004</v>
      </c>
      <c r="G1783">
        <v>233</v>
      </c>
      <c r="H1783" t="s">
        <v>12</v>
      </c>
      <c r="I1783" t="str">
        <f t="shared" si="27"/>
        <v>Normal Usage</v>
      </c>
    </row>
    <row r="1784" spans="1:9" x14ac:dyDescent="0.3">
      <c r="A1784">
        <v>11783</v>
      </c>
      <c r="B1784">
        <v>323</v>
      </c>
      <c r="C1784" s="2">
        <v>45324</v>
      </c>
      <c r="D1784" s="2" t="str">
        <f>TEXT(Table3[[#This Row],[usage_date]],"mmmm")</f>
        <v>February</v>
      </c>
      <c r="E1784" s="9">
        <f>YEAR(Table3[[#This Row],[usage_date]])</f>
        <v>2024</v>
      </c>
      <c r="F1784" s="14">
        <v>11.95</v>
      </c>
      <c r="G1784">
        <v>88</v>
      </c>
      <c r="H1784" t="s">
        <v>13</v>
      </c>
      <c r="I1784" t="str">
        <f t="shared" si="27"/>
        <v>High Usage</v>
      </c>
    </row>
    <row r="1785" spans="1:9" x14ac:dyDescent="0.3">
      <c r="A1785">
        <v>11784</v>
      </c>
      <c r="B1785">
        <v>443</v>
      </c>
      <c r="C1785" s="2">
        <v>45458</v>
      </c>
      <c r="D1785" s="2" t="str">
        <f>TEXT(Table3[[#This Row],[usage_date]],"mmmm")</f>
        <v>June</v>
      </c>
      <c r="E1785" s="9">
        <f>YEAR(Table3[[#This Row],[usage_date]])</f>
        <v>2024</v>
      </c>
      <c r="F1785" s="14">
        <v>0.87</v>
      </c>
      <c r="G1785">
        <v>214</v>
      </c>
      <c r="H1785" t="s">
        <v>13</v>
      </c>
      <c r="I1785" t="str">
        <f t="shared" si="27"/>
        <v>Normal Usage</v>
      </c>
    </row>
    <row r="1786" spans="1:9" x14ac:dyDescent="0.3">
      <c r="A1786">
        <v>11785</v>
      </c>
      <c r="B1786">
        <v>325</v>
      </c>
      <c r="C1786" s="2">
        <v>44678</v>
      </c>
      <c r="D1786" s="2" t="str">
        <f>TEXT(Table3[[#This Row],[usage_date]],"mmmm")</f>
        <v>April</v>
      </c>
      <c r="E1786" s="9">
        <f>YEAR(Table3[[#This Row],[usage_date]])</f>
        <v>2022</v>
      </c>
      <c r="F1786" s="14">
        <v>3.1</v>
      </c>
      <c r="G1786">
        <v>96</v>
      </c>
      <c r="H1786" t="s">
        <v>12</v>
      </c>
      <c r="I1786" t="str">
        <f t="shared" si="27"/>
        <v>Normal Usage</v>
      </c>
    </row>
    <row r="1787" spans="1:9" x14ac:dyDescent="0.3">
      <c r="A1787">
        <v>11786</v>
      </c>
      <c r="B1787">
        <v>13</v>
      </c>
      <c r="C1787" s="2">
        <v>45189</v>
      </c>
      <c r="D1787" s="2" t="str">
        <f>TEXT(Table3[[#This Row],[usage_date]],"mmmm")</f>
        <v>September</v>
      </c>
      <c r="E1787" s="9">
        <f>YEAR(Table3[[#This Row],[usage_date]])</f>
        <v>2023</v>
      </c>
      <c r="F1787" s="14">
        <v>0.31</v>
      </c>
      <c r="G1787">
        <v>212</v>
      </c>
      <c r="H1787" t="s">
        <v>13</v>
      </c>
      <c r="I1787" t="str">
        <f t="shared" si="27"/>
        <v>Normal Usage</v>
      </c>
    </row>
    <row r="1788" spans="1:9" x14ac:dyDescent="0.3">
      <c r="A1788">
        <v>11787</v>
      </c>
      <c r="B1788">
        <v>431</v>
      </c>
      <c r="C1788" s="2">
        <v>45310</v>
      </c>
      <c r="D1788" s="2" t="str">
        <f>TEXT(Table3[[#This Row],[usage_date]],"mmmm")</f>
        <v>January</v>
      </c>
      <c r="E1788" s="9">
        <f>YEAR(Table3[[#This Row],[usage_date]])</f>
        <v>2024</v>
      </c>
      <c r="F1788" s="14">
        <v>1.31</v>
      </c>
      <c r="G1788">
        <v>99</v>
      </c>
      <c r="H1788" t="s">
        <v>12</v>
      </c>
      <c r="I1788" t="str">
        <f t="shared" si="27"/>
        <v>Normal Usage</v>
      </c>
    </row>
    <row r="1789" spans="1:9" x14ac:dyDescent="0.3">
      <c r="A1789">
        <v>11788</v>
      </c>
      <c r="B1789">
        <v>494</v>
      </c>
      <c r="C1789" s="2">
        <v>45039</v>
      </c>
      <c r="D1789" s="2" t="str">
        <f>TEXT(Table3[[#This Row],[usage_date]],"mmmm")</f>
        <v>April</v>
      </c>
      <c r="E1789" s="9">
        <f>YEAR(Table3[[#This Row],[usage_date]])</f>
        <v>2023</v>
      </c>
      <c r="F1789" s="14">
        <v>4.71</v>
      </c>
      <c r="G1789">
        <v>144</v>
      </c>
      <c r="H1789" t="s">
        <v>12</v>
      </c>
      <c r="I1789" t="str">
        <f t="shared" si="27"/>
        <v>Normal Usage</v>
      </c>
    </row>
    <row r="1790" spans="1:9" x14ac:dyDescent="0.3">
      <c r="A1790">
        <v>11789</v>
      </c>
      <c r="B1790">
        <v>189</v>
      </c>
      <c r="C1790" s="2">
        <v>44666</v>
      </c>
      <c r="D1790" s="2" t="str">
        <f>TEXT(Table3[[#This Row],[usage_date]],"mmmm")</f>
        <v>April</v>
      </c>
      <c r="E1790" s="9">
        <f>YEAR(Table3[[#This Row],[usage_date]])</f>
        <v>2022</v>
      </c>
      <c r="F1790" s="14">
        <v>1.1499999999999999</v>
      </c>
      <c r="G1790">
        <v>9</v>
      </c>
      <c r="H1790" t="s">
        <v>12</v>
      </c>
      <c r="I1790" t="str">
        <f t="shared" si="27"/>
        <v>Normal Usage</v>
      </c>
    </row>
    <row r="1791" spans="1:9" x14ac:dyDescent="0.3">
      <c r="A1791">
        <v>11790</v>
      </c>
      <c r="B1791">
        <v>287</v>
      </c>
      <c r="C1791" s="2">
        <v>45056</v>
      </c>
      <c r="D1791" s="2" t="str">
        <f>TEXT(Table3[[#This Row],[usage_date]],"mmmm")</f>
        <v>May</v>
      </c>
      <c r="E1791" s="9">
        <f>YEAR(Table3[[#This Row],[usage_date]])</f>
        <v>2023</v>
      </c>
      <c r="F1791" s="14">
        <v>2.2400000000000002</v>
      </c>
      <c r="G1791">
        <v>43</v>
      </c>
      <c r="H1791" t="s">
        <v>12</v>
      </c>
      <c r="I1791" t="str">
        <f t="shared" si="27"/>
        <v>Normal Usage</v>
      </c>
    </row>
    <row r="1792" spans="1:9" x14ac:dyDescent="0.3">
      <c r="A1792">
        <v>11791</v>
      </c>
      <c r="B1792">
        <v>208</v>
      </c>
      <c r="C1792" s="2">
        <v>45332</v>
      </c>
      <c r="D1792" s="2" t="str">
        <f>TEXT(Table3[[#This Row],[usage_date]],"mmmm")</f>
        <v>February</v>
      </c>
      <c r="E1792" s="9">
        <f>YEAR(Table3[[#This Row],[usage_date]])</f>
        <v>2024</v>
      </c>
      <c r="F1792" s="14">
        <v>1.75</v>
      </c>
      <c r="G1792">
        <v>250</v>
      </c>
      <c r="H1792" t="s">
        <v>12</v>
      </c>
      <c r="I1792" t="str">
        <f t="shared" si="27"/>
        <v>Normal Usage</v>
      </c>
    </row>
    <row r="1793" spans="1:9" x14ac:dyDescent="0.3">
      <c r="A1793">
        <v>11792</v>
      </c>
      <c r="B1793">
        <v>114</v>
      </c>
      <c r="C1793" s="2">
        <v>44607</v>
      </c>
      <c r="D1793" s="2" t="str">
        <f>TEXT(Table3[[#This Row],[usage_date]],"mmmm")</f>
        <v>February</v>
      </c>
      <c r="E1793" s="9">
        <f>YEAR(Table3[[#This Row],[usage_date]])</f>
        <v>2022</v>
      </c>
      <c r="F1793" s="14">
        <v>2.6</v>
      </c>
      <c r="G1793">
        <v>226</v>
      </c>
      <c r="H1793" t="s">
        <v>13</v>
      </c>
      <c r="I1793" t="str">
        <f t="shared" si="27"/>
        <v>Normal Usage</v>
      </c>
    </row>
    <row r="1794" spans="1:9" x14ac:dyDescent="0.3">
      <c r="A1794">
        <v>11793</v>
      </c>
      <c r="B1794">
        <v>480</v>
      </c>
      <c r="C1794" s="2">
        <v>45384</v>
      </c>
      <c r="D1794" s="2" t="str">
        <f>TEXT(Table3[[#This Row],[usage_date]],"mmmm")</f>
        <v>April</v>
      </c>
      <c r="E1794" s="9">
        <f>YEAR(Table3[[#This Row],[usage_date]])</f>
        <v>2024</v>
      </c>
      <c r="F1794" s="14">
        <v>9.02</v>
      </c>
      <c r="G1794">
        <v>248</v>
      </c>
      <c r="H1794" t="s">
        <v>12</v>
      </c>
      <c r="I1794" t="str">
        <f t="shared" ref="I1794:I1857" si="28">IF(F1794&gt;6,"High Usage","Normal Usage")</f>
        <v>High Usage</v>
      </c>
    </row>
    <row r="1795" spans="1:9" x14ac:dyDescent="0.3">
      <c r="A1795">
        <v>11794</v>
      </c>
      <c r="B1795">
        <v>22</v>
      </c>
      <c r="C1795" s="2">
        <v>44892</v>
      </c>
      <c r="D1795" s="2" t="str">
        <f>TEXT(Table3[[#This Row],[usage_date]],"mmmm")</f>
        <v>November</v>
      </c>
      <c r="E1795" s="9">
        <f>YEAR(Table3[[#This Row],[usage_date]])</f>
        <v>2022</v>
      </c>
      <c r="F1795" s="14">
        <v>0.14000000000000001</v>
      </c>
      <c r="G1795">
        <v>168</v>
      </c>
      <c r="H1795" t="s">
        <v>12</v>
      </c>
      <c r="I1795" t="str">
        <f t="shared" si="28"/>
        <v>Normal Usage</v>
      </c>
    </row>
    <row r="1796" spans="1:9" x14ac:dyDescent="0.3">
      <c r="A1796">
        <v>11795</v>
      </c>
      <c r="B1796">
        <v>349</v>
      </c>
      <c r="C1796" s="2">
        <v>44777</v>
      </c>
      <c r="D1796" s="2" t="str">
        <f>TEXT(Table3[[#This Row],[usage_date]],"mmmm")</f>
        <v>August</v>
      </c>
      <c r="E1796" s="9">
        <f>YEAR(Table3[[#This Row],[usage_date]])</f>
        <v>2022</v>
      </c>
      <c r="F1796" s="14">
        <v>2.13</v>
      </c>
      <c r="G1796">
        <v>129</v>
      </c>
      <c r="H1796" t="s">
        <v>12</v>
      </c>
      <c r="I1796" t="str">
        <f t="shared" si="28"/>
        <v>Normal Usage</v>
      </c>
    </row>
    <row r="1797" spans="1:9" x14ac:dyDescent="0.3">
      <c r="A1797">
        <v>11796</v>
      </c>
      <c r="B1797">
        <v>214</v>
      </c>
      <c r="C1797" s="2">
        <v>45053</v>
      </c>
      <c r="D1797" s="2" t="str">
        <f>TEXT(Table3[[#This Row],[usage_date]],"mmmm")</f>
        <v>May</v>
      </c>
      <c r="E1797" s="9">
        <f>YEAR(Table3[[#This Row],[usage_date]])</f>
        <v>2023</v>
      </c>
      <c r="F1797" s="14">
        <v>4.97</v>
      </c>
      <c r="G1797">
        <v>18</v>
      </c>
      <c r="H1797" t="s">
        <v>13</v>
      </c>
      <c r="I1797" t="str">
        <f t="shared" si="28"/>
        <v>Normal Usage</v>
      </c>
    </row>
    <row r="1798" spans="1:9" x14ac:dyDescent="0.3">
      <c r="A1798">
        <v>11797</v>
      </c>
      <c r="B1798">
        <v>171</v>
      </c>
      <c r="C1798" s="2">
        <v>45374</v>
      </c>
      <c r="D1798" s="2" t="str">
        <f>TEXT(Table3[[#This Row],[usage_date]],"mmmm")</f>
        <v>March</v>
      </c>
      <c r="E1798" s="9">
        <f>YEAR(Table3[[#This Row],[usage_date]])</f>
        <v>2024</v>
      </c>
      <c r="F1798" s="14">
        <v>1.64</v>
      </c>
      <c r="G1798">
        <v>234</v>
      </c>
      <c r="H1798" t="s">
        <v>12</v>
      </c>
      <c r="I1798" t="str">
        <f t="shared" si="28"/>
        <v>Normal Usage</v>
      </c>
    </row>
    <row r="1799" spans="1:9" x14ac:dyDescent="0.3">
      <c r="A1799">
        <v>11798</v>
      </c>
      <c r="B1799">
        <v>323</v>
      </c>
      <c r="C1799" s="2">
        <v>45406</v>
      </c>
      <c r="D1799" s="2" t="str">
        <f>TEXT(Table3[[#This Row],[usage_date]],"mmmm")</f>
        <v>April</v>
      </c>
      <c r="E1799" s="9">
        <f>YEAR(Table3[[#This Row],[usage_date]])</f>
        <v>2024</v>
      </c>
      <c r="F1799" s="14">
        <v>0.2</v>
      </c>
      <c r="G1799">
        <v>0</v>
      </c>
      <c r="H1799" t="s">
        <v>12</v>
      </c>
      <c r="I1799" t="str">
        <f t="shared" si="28"/>
        <v>Normal Usage</v>
      </c>
    </row>
    <row r="1800" spans="1:9" x14ac:dyDescent="0.3">
      <c r="A1800">
        <v>11799</v>
      </c>
      <c r="B1800">
        <v>54</v>
      </c>
      <c r="C1800" s="2">
        <v>45010</v>
      </c>
      <c r="D1800" s="2" t="str">
        <f>TEXT(Table3[[#This Row],[usage_date]],"mmmm")</f>
        <v>March</v>
      </c>
      <c r="E1800" s="9">
        <f>YEAR(Table3[[#This Row],[usage_date]])</f>
        <v>2023</v>
      </c>
      <c r="F1800" s="14">
        <v>2.06</v>
      </c>
      <c r="G1800">
        <v>129</v>
      </c>
      <c r="H1800" t="s">
        <v>12</v>
      </c>
      <c r="I1800" t="str">
        <f t="shared" si="28"/>
        <v>Normal Usage</v>
      </c>
    </row>
    <row r="1801" spans="1:9" x14ac:dyDescent="0.3">
      <c r="A1801">
        <v>11800</v>
      </c>
      <c r="B1801">
        <v>394</v>
      </c>
      <c r="C1801" s="2">
        <v>45097</v>
      </c>
      <c r="D1801" s="2" t="str">
        <f>TEXT(Table3[[#This Row],[usage_date]],"mmmm")</f>
        <v>June</v>
      </c>
      <c r="E1801" s="9">
        <f>YEAR(Table3[[#This Row],[usage_date]])</f>
        <v>2023</v>
      </c>
      <c r="F1801" s="14">
        <v>1.01</v>
      </c>
      <c r="G1801">
        <v>26</v>
      </c>
      <c r="H1801" t="s">
        <v>13</v>
      </c>
      <c r="I1801" t="str">
        <f t="shared" si="28"/>
        <v>Normal Usage</v>
      </c>
    </row>
    <row r="1802" spans="1:9" x14ac:dyDescent="0.3">
      <c r="A1802">
        <v>11801</v>
      </c>
      <c r="B1802">
        <v>298</v>
      </c>
      <c r="C1802" s="2">
        <v>45072</v>
      </c>
      <c r="D1802" s="2" t="str">
        <f>TEXT(Table3[[#This Row],[usage_date]],"mmmm")</f>
        <v>May</v>
      </c>
      <c r="E1802" s="9">
        <f>YEAR(Table3[[#This Row],[usage_date]])</f>
        <v>2023</v>
      </c>
      <c r="F1802" s="14">
        <v>0.42</v>
      </c>
      <c r="G1802">
        <v>1</v>
      </c>
      <c r="H1802" t="s">
        <v>12</v>
      </c>
      <c r="I1802" t="str">
        <f t="shared" si="28"/>
        <v>Normal Usage</v>
      </c>
    </row>
    <row r="1803" spans="1:9" x14ac:dyDescent="0.3">
      <c r="A1803">
        <v>11802</v>
      </c>
      <c r="B1803">
        <v>320</v>
      </c>
      <c r="C1803" s="2">
        <v>45019</v>
      </c>
      <c r="D1803" s="2" t="str">
        <f>TEXT(Table3[[#This Row],[usage_date]],"mmmm")</f>
        <v>April</v>
      </c>
      <c r="E1803" s="9">
        <f>YEAR(Table3[[#This Row],[usage_date]])</f>
        <v>2023</v>
      </c>
      <c r="F1803" s="14">
        <v>4.7300000000000004</v>
      </c>
      <c r="G1803">
        <v>249</v>
      </c>
      <c r="H1803" t="s">
        <v>13</v>
      </c>
      <c r="I1803" t="str">
        <f t="shared" si="28"/>
        <v>Normal Usage</v>
      </c>
    </row>
    <row r="1804" spans="1:9" x14ac:dyDescent="0.3">
      <c r="A1804">
        <v>11803</v>
      </c>
      <c r="B1804">
        <v>126</v>
      </c>
      <c r="C1804" s="2">
        <v>45108</v>
      </c>
      <c r="D1804" s="2" t="str">
        <f>TEXT(Table3[[#This Row],[usage_date]],"mmmm")</f>
        <v>July</v>
      </c>
      <c r="E1804" s="9">
        <f>YEAR(Table3[[#This Row],[usage_date]])</f>
        <v>2023</v>
      </c>
      <c r="F1804" s="14">
        <v>1.84</v>
      </c>
      <c r="G1804">
        <v>221</v>
      </c>
      <c r="H1804" t="s">
        <v>12</v>
      </c>
      <c r="I1804" t="str">
        <f t="shared" si="28"/>
        <v>Normal Usage</v>
      </c>
    </row>
    <row r="1805" spans="1:9" x14ac:dyDescent="0.3">
      <c r="A1805">
        <v>11804</v>
      </c>
      <c r="B1805">
        <v>277</v>
      </c>
      <c r="C1805" s="2">
        <v>45097</v>
      </c>
      <c r="D1805" s="2" t="str">
        <f>TEXT(Table3[[#This Row],[usage_date]],"mmmm")</f>
        <v>June</v>
      </c>
      <c r="E1805" s="9">
        <f>YEAR(Table3[[#This Row],[usage_date]])</f>
        <v>2023</v>
      </c>
      <c r="F1805" s="14">
        <v>6.77</v>
      </c>
      <c r="G1805">
        <v>137</v>
      </c>
      <c r="H1805" t="s">
        <v>12</v>
      </c>
      <c r="I1805" t="str">
        <f t="shared" si="28"/>
        <v>High Usage</v>
      </c>
    </row>
    <row r="1806" spans="1:9" x14ac:dyDescent="0.3">
      <c r="A1806">
        <v>11805</v>
      </c>
      <c r="B1806">
        <v>464</v>
      </c>
      <c r="C1806" s="2">
        <v>45101</v>
      </c>
      <c r="D1806" s="2" t="str">
        <f>TEXT(Table3[[#This Row],[usage_date]],"mmmm")</f>
        <v>June</v>
      </c>
      <c r="E1806" s="9">
        <f>YEAR(Table3[[#This Row],[usage_date]])</f>
        <v>2023</v>
      </c>
      <c r="F1806" s="14">
        <v>4.0999999999999996</v>
      </c>
      <c r="G1806">
        <v>274</v>
      </c>
      <c r="H1806" t="s">
        <v>12</v>
      </c>
      <c r="I1806" t="str">
        <f t="shared" si="28"/>
        <v>Normal Usage</v>
      </c>
    </row>
    <row r="1807" spans="1:9" x14ac:dyDescent="0.3">
      <c r="A1807">
        <v>11806</v>
      </c>
      <c r="B1807">
        <v>204</v>
      </c>
      <c r="C1807" s="2">
        <v>45045</v>
      </c>
      <c r="D1807" s="2" t="str">
        <f>TEXT(Table3[[#This Row],[usage_date]],"mmmm")</f>
        <v>April</v>
      </c>
      <c r="E1807" s="9">
        <f>YEAR(Table3[[#This Row],[usage_date]])</f>
        <v>2023</v>
      </c>
      <c r="F1807" s="14">
        <v>2.95</v>
      </c>
      <c r="G1807">
        <v>140</v>
      </c>
      <c r="H1807" t="s">
        <v>13</v>
      </c>
      <c r="I1807" t="str">
        <f t="shared" si="28"/>
        <v>Normal Usage</v>
      </c>
    </row>
    <row r="1808" spans="1:9" x14ac:dyDescent="0.3">
      <c r="A1808">
        <v>11807</v>
      </c>
      <c r="B1808">
        <v>194</v>
      </c>
      <c r="C1808" s="2">
        <v>44577</v>
      </c>
      <c r="D1808" s="2" t="str">
        <f>TEXT(Table3[[#This Row],[usage_date]],"mmmm")</f>
        <v>January</v>
      </c>
      <c r="E1808" s="9">
        <f>YEAR(Table3[[#This Row],[usage_date]])</f>
        <v>2022</v>
      </c>
      <c r="F1808" s="14">
        <v>0.01</v>
      </c>
      <c r="G1808">
        <v>255</v>
      </c>
      <c r="H1808" t="s">
        <v>12</v>
      </c>
      <c r="I1808" t="str">
        <f t="shared" si="28"/>
        <v>Normal Usage</v>
      </c>
    </row>
    <row r="1809" spans="1:9" x14ac:dyDescent="0.3">
      <c r="A1809">
        <v>11808</v>
      </c>
      <c r="B1809">
        <v>169</v>
      </c>
      <c r="C1809" s="2">
        <v>45132</v>
      </c>
      <c r="D1809" s="2" t="str">
        <f>TEXT(Table3[[#This Row],[usage_date]],"mmmm")</f>
        <v>July</v>
      </c>
      <c r="E1809" s="9">
        <f>YEAR(Table3[[#This Row],[usage_date]])</f>
        <v>2023</v>
      </c>
      <c r="F1809" s="14">
        <v>1.4</v>
      </c>
      <c r="G1809">
        <v>94</v>
      </c>
      <c r="H1809" t="s">
        <v>12</v>
      </c>
      <c r="I1809" t="str">
        <f t="shared" si="28"/>
        <v>Normal Usage</v>
      </c>
    </row>
    <row r="1810" spans="1:9" x14ac:dyDescent="0.3">
      <c r="A1810">
        <v>11809</v>
      </c>
      <c r="B1810">
        <v>152</v>
      </c>
      <c r="C1810" s="2">
        <v>44804</v>
      </c>
      <c r="D1810" s="2" t="str">
        <f>TEXT(Table3[[#This Row],[usage_date]],"mmmm")</f>
        <v>August</v>
      </c>
      <c r="E1810" s="9">
        <f>YEAR(Table3[[#This Row],[usage_date]])</f>
        <v>2022</v>
      </c>
      <c r="F1810" s="14">
        <v>0.55000000000000004</v>
      </c>
      <c r="G1810">
        <v>172</v>
      </c>
      <c r="H1810" t="s">
        <v>12</v>
      </c>
      <c r="I1810" t="str">
        <f t="shared" si="28"/>
        <v>Normal Usage</v>
      </c>
    </row>
    <row r="1811" spans="1:9" x14ac:dyDescent="0.3">
      <c r="A1811">
        <v>11810</v>
      </c>
      <c r="B1811">
        <v>35</v>
      </c>
      <c r="C1811" s="2">
        <v>44768</v>
      </c>
      <c r="D1811" s="2" t="str">
        <f>TEXT(Table3[[#This Row],[usage_date]],"mmmm")</f>
        <v>July</v>
      </c>
      <c r="E1811" s="9">
        <f>YEAR(Table3[[#This Row],[usage_date]])</f>
        <v>2022</v>
      </c>
      <c r="F1811" s="14">
        <v>6.04</v>
      </c>
      <c r="G1811">
        <v>56</v>
      </c>
      <c r="H1811" t="s">
        <v>12</v>
      </c>
      <c r="I1811" t="str">
        <f t="shared" si="28"/>
        <v>High Usage</v>
      </c>
    </row>
    <row r="1812" spans="1:9" x14ac:dyDescent="0.3">
      <c r="A1812">
        <v>11811</v>
      </c>
      <c r="B1812">
        <v>184</v>
      </c>
      <c r="C1812" s="2">
        <v>44832</v>
      </c>
      <c r="D1812" s="2" t="str">
        <f>TEXT(Table3[[#This Row],[usage_date]],"mmmm")</f>
        <v>September</v>
      </c>
      <c r="E1812" s="9">
        <f>YEAR(Table3[[#This Row],[usage_date]])</f>
        <v>2022</v>
      </c>
      <c r="F1812" s="14">
        <v>0.48</v>
      </c>
      <c r="G1812">
        <v>101</v>
      </c>
      <c r="H1812" t="s">
        <v>12</v>
      </c>
      <c r="I1812" t="str">
        <f t="shared" si="28"/>
        <v>Normal Usage</v>
      </c>
    </row>
    <row r="1813" spans="1:9" x14ac:dyDescent="0.3">
      <c r="A1813">
        <v>11812</v>
      </c>
      <c r="B1813">
        <v>286</v>
      </c>
      <c r="C1813" s="2">
        <v>45322</v>
      </c>
      <c r="D1813" s="2" t="str">
        <f>TEXT(Table3[[#This Row],[usage_date]],"mmmm")</f>
        <v>January</v>
      </c>
      <c r="E1813" s="9">
        <f>YEAR(Table3[[#This Row],[usage_date]])</f>
        <v>2024</v>
      </c>
      <c r="F1813" s="14">
        <v>0.84</v>
      </c>
      <c r="G1813">
        <v>168</v>
      </c>
      <c r="H1813" t="s">
        <v>13</v>
      </c>
      <c r="I1813" t="str">
        <f t="shared" si="28"/>
        <v>Normal Usage</v>
      </c>
    </row>
    <row r="1814" spans="1:9" x14ac:dyDescent="0.3">
      <c r="A1814">
        <v>11813</v>
      </c>
      <c r="B1814">
        <v>57</v>
      </c>
      <c r="C1814" s="2">
        <v>45340</v>
      </c>
      <c r="D1814" s="2" t="str">
        <f>TEXT(Table3[[#This Row],[usage_date]],"mmmm")</f>
        <v>February</v>
      </c>
      <c r="E1814" s="9">
        <f>YEAR(Table3[[#This Row],[usage_date]])</f>
        <v>2024</v>
      </c>
      <c r="F1814" s="14">
        <v>1.82</v>
      </c>
      <c r="G1814">
        <v>69</v>
      </c>
      <c r="H1814" t="s">
        <v>12</v>
      </c>
      <c r="I1814" t="str">
        <f t="shared" si="28"/>
        <v>Normal Usage</v>
      </c>
    </row>
    <row r="1815" spans="1:9" x14ac:dyDescent="0.3">
      <c r="A1815">
        <v>11814</v>
      </c>
      <c r="B1815">
        <v>222</v>
      </c>
      <c r="C1815" s="2">
        <v>45266</v>
      </c>
      <c r="D1815" s="2" t="str">
        <f>TEXT(Table3[[#This Row],[usage_date]],"mmmm")</f>
        <v>December</v>
      </c>
      <c r="E1815" s="9">
        <f>YEAR(Table3[[#This Row],[usage_date]])</f>
        <v>2023</v>
      </c>
      <c r="F1815" s="14">
        <v>0.76</v>
      </c>
      <c r="G1815">
        <v>48</v>
      </c>
      <c r="H1815" t="s">
        <v>12</v>
      </c>
      <c r="I1815" t="str">
        <f t="shared" si="28"/>
        <v>Normal Usage</v>
      </c>
    </row>
    <row r="1816" spans="1:9" x14ac:dyDescent="0.3">
      <c r="A1816">
        <v>11815</v>
      </c>
      <c r="B1816">
        <v>303</v>
      </c>
      <c r="C1816" s="2">
        <v>45408</v>
      </c>
      <c r="D1816" s="2" t="str">
        <f>TEXT(Table3[[#This Row],[usage_date]],"mmmm")</f>
        <v>April</v>
      </c>
      <c r="E1816" s="9">
        <f>YEAR(Table3[[#This Row],[usage_date]])</f>
        <v>2024</v>
      </c>
      <c r="F1816" s="14">
        <v>0.59</v>
      </c>
      <c r="G1816">
        <v>4</v>
      </c>
      <c r="H1816" t="s">
        <v>12</v>
      </c>
      <c r="I1816" t="str">
        <f t="shared" si="28"/>
        <v>Normal Usage</v>
      </c>
    </row>
    <row r="1817" spans="1:9" x14ac:dyDescent="0.3">
      <c r="A1817">
        <v>11816</v>
      </c>
      <c r="B1817">
        <v>163</v>
      </c>
      <c r="C1817" s="2">
        <v>45291</v>
      </c>
      <c r="D1817" s="2" t="str">
        <f>TEXT(Table3[[#This Row],[usage_date]],"mmmm")</f>
        <v>December</v>
      </c>
      <c r="E1817" s="9">
        <f>YEAR(Table3[[#This Row],[usage_date]])</f>
        <v>2023</v>
      </c>
      <c r="F1817" s="14">
        <v>2.29</v>
      </c>
      <c r="G1817">
        <v>201</v>
      </c>
      <c r="H1817" t="s">
        <v>12</v>
      </c>
      <c r="I1817" t="str">
        <f t="shared" si="28"/>
        <v>Normal Usage</v>
      </c>
    </row>
    <row r="1818" spans="1:9" x14ac:dyDescent="0.3">
      <c r="A1818">
        <v>11817</v>
      </c>
      <c r="B1818">
        <v>19</v>
      </c>
      <c r="C1818" s="2">
        <v>44676</v>
      </c>
      <c r="D1818" s="2" t="str">
        <f>TEXT(Table3[[#This Row],[usage_date]],"mmmm")</f>
        <v>April</v>
      </c>
      <c r="E1818" s="9">
        <f>YEAR(Table3[[#This Row],[usage_date]])</f>
        <v>2022</v>
      </c>
      <c r="F1818" s="14">
        <v>0.23</v>
      </c>
      <c r="G1818">
        <v>201</v>
      </c>
      <c r="H1818" t="s">
        <v>12</v>
      </c>
      <c r="I1818" t="str">
        <f t="shared" si="28"/>
        <v>Normal Usage</v>
      </c>
    </row>
    <row r="1819" spans="1:9" x14ac:dyDescent="0.3">
      <c r="A1819">
        <v>11818</v>
      </c>
      <c r="B1819">
        <v>370</v>
      </c>
      <c r="C1819" s="2">
        <v>45141</v>
      </c>
      <c r="D1819" s="2" t="str">
        <f>TEXT(Table3[[#This Row],[usage_date]],"mmmm")</f>
        <v>August</v>
      </c>
      <c r="E1819" s="9">
        <f>YEAR(Table3[[#This Row],[usage_date]])</f>
        <v>2023</v>
      </c>
      <c r="F1819" s="14">
        <v>0.15</v>
      </c>
      <c r="G1819">
        <v>178</v>
      </c>
      <c r="H1819" t="s">
        <v>12</v>
      </c>
      <c r="I1819" t="str">
        <f t="shared" si="28"/>
        <v>Normal Usage</v>
      </c>
    </row>
    <row r="1820" spans="1:9" x14ac:dyDescent="0.3">
      <c r="A1820">
        <v>11819</v>
      </c>
      <c r="B1820">
        <v>264</v>
      </c>
      <c r="C1820" s="2">
        <v>44860</v>
      </c>
      <c r="D1820" s="2" t="str">
        <f>TEXT(Table3[[#This Row],[usage_date]],"mmmm")</f>
        <v>October</v>
      </c>
      <c r="E1820" s="9">
        <f>YEAR(Table3[[#This Row],[usage_date]])</f>
        <v>2022</v>
      </c>
      <c r="F1820" s="14">
        <v>1.1599999999999999</v>
      </c>
      <c r="G1820">
        <v>56</v>
      </c>
      <c r="H1820" t="s">
        <v>13</v>
      </c>
      <c r="I1820" t="str">
        <f t="shared" si="28"/>
        <v>Normal Usage</v>
      </c>
    </row>
    <row r="1821" spans="1:9" x14ac:dyDescent="0.3">
      <c r="A1821">
        <v>11820</v>
      </c>
      <c r="B1821">
        <v>282</v>
      </c>
      <c r="C1821" s="2">
        <v>45398</v>
      </c>
      <c r="D1821" s="2" t="str">
        <f>TEXT(Table3[[#This Row],[usage_date]],"mmmm")</f>
        <v>April</v>
      </c>
      <c r="E1821" s="9">
        <f>YEAR(Table3[[#This Row],[usage_date]])</f>
        <v>2024</v>
      </c>
      <c r="F1821" s="14">
        <v>3.19</v>
      </c>
      <c r="G1821">
        <v>185</v>
      </c>
      <c r="H1821" t="s">
        <v>12</v>
      </c>
      <c r="I1821" t="str">
        <f t="shared" si="28"/>
        <v>Normal Usage</v>
      </c>
    </row>
    <row r="1822" spans="1:9" x14ac:dyDescent="0.3">
      <c r="A1822">
        <v>11821</v>
      </c>
      <c r="B1822">
        <v>113</v>
      </c>
      <c r="C1822" s="2">
        <v>45044</v>
      </c>
      <c r="D1822" s="2" t="str">
        <f>TEXT(Table3[[#This Row],[usage_date]],"mmmm")</f>
        <v>April</v>
      </c>
      <c r="E1822" s="9">
        <f>YEAR(Table3[[#This Row],[usage_date]])</f>
        <v>2023</v>
      </c>
      <c r="F1822" s="14">
        <v>2.02</v>
      </c>
      <c r="G1822">
        <v>91</v>
      </c>
      <c r="H1822" t="s">
        <v>13</v>
      </c>
      <c r="I1822" t="str">
        <f t="shared" si="28"/>
        <v>Normal Usage</v>
      </c>
    </row>
    <row r="1823" spans="1:9" x14ac:dyDescent="0.3">
      <c r="A1823">
        <v>11822</v>
      </c>
      <c r="B1823">
        <v>488</v>
      </c>
      <c r="C1823" s="2">
        <v>44958</v>
      </c>
      <c r="D1823" s="2" t="str">
        <f>TEXT(Table3[[#This Row],[usage_date]],"mmmm")</f>
        <v>February</v>
      </c>
      <c r="E1823" s="9">
        <f>YEAR(Table3[[#This Row],[usage_date]])</f>
        <v>2023</v>
      </c>
      <c r="F1823" s="14">
        <v>1.37</v>
      </c>
      <c r="G1823">
        <v>291</v>
      </c>
      <c r="H1823" t="s">
        <v>12</v>
      </c>
      <c r="I1823" t="str">
        <f t="shared" si="28"/>
        <v>Normal Usage</v>
      </c>
    </row>
    <row r="1824" spans="1:9" x14ac:dyDescent="0.3">
      <c r="A1824">
        <v>11823</v>
      </c>
      <c r="B1824">
        <v>327</v>
      </c>
      <c r="C1824" s="2">
        <v>44955</v>
      </c>
      <c r="D1824" s="2" t="str">
        <f>TEXT(Table3[[#This Row],[usage_date]],"mmmm")</f>
        <v>January</v>
      </c>
      <c r="E1824" s="9">
        <f>YEAR(Table3[[#This Row],[usage_date]])</f>
        <v>2023</v>
      </c>
      <c r="F1824" s="14">
        <v>2.09</v>
      </c>
      <c r="G1824">
        <v>226</v>
      </c>
      <c r="H1824" t="s">
        <v>12</v>
      </c>
      <c r="I1824" t="str">
        <f t="shared" si="28"/>
        <v>Normal Usage</v>
      </c>
    </row>
    <row r="1825" spans="1:9" x14ac:dyDescent="0.3">
      <c r="A1825">
        <v>11824</v>
      </c>
      <c r="B1825">
        <v>30</v>
      </c>
      <c r="C1825" s="2">
        <v>44636</v>
      </c>
      <c r="D1825" s="2" t="str">
        <f>TEXT(Table3[[#This Row],[usage_date]],"mmmm")</f>
        <v>March</v>
      </c>
      <c r="E1825" s="9">
        <f>YEAR(Table3[[#This Row],[usage_date]])</f>
        <v>2022</v>
      </c>
      <c r="F1825" s="14">
        <v>1.1399999999999999</v>
      </c>
      <c r="G1825">
        <v>111</v>
      </c>
      <c r="H1825" t="s">
        <v>13</v>
      </c>
      <c r="I1825" t="str">
        <f t="shared" si="28"/>
        <v>Normal Usage</v>
      </c>
    </row>
    <row r="1826" spans="1:9" x14ac:dyDescent="0.3">
      <c r="A1826">
        <v>11825</v>
      </c>
      <c r="B1826">
        <v>135</v>
      </c>
      <c r="C1826" s="2">
        <v>45043</v>
      </c>
      <c r="D1826" s="2" t="str">
        <f>TEXT(Table3[[#This Row],[usage_date]],"mmmm")</f>
        <v>April</v>
      </c>
      <c r="E1826" s="9">
        <f>YEAR(Table3[[#This Row],[usage_date]])</f>
        <v>2023</v>
      </c>
      <c r="F1826" s="14">
        <v>6.88</v>
      </c>
      <c r="G1826">
        <v>147</v>
      </c>
      <c r="H1826" t="s">
        <v>13</v>
      </c>
      <c r="I1826" t="str">
        <f t="shared" si="28"/>
        <v>High Usage</v>
      </c>
    </row>
    <row r="1827" spans="1:9" x14ac:dyDescent="0.3">
      <c r="A1827">
        <v>11826</v>
      </c>
      <c r="B1827">
        <v>67</v>
      </c>
      <c r="C1827" s="2">
        <v>44664</v>
      </c>
      <c r="D1827" s="2" t="str">
        <f>TEXT(Table3[[#This Row],[usage_date]],"mmmm")</f>
        <v>April</v>
      </c>
      <c r="E1827" s="9">
        <f>YEAR(Table3[[#This Row],[usage_date]])</f>
        <v>2022</v>
      </c>
      <c r="F1827" s="14">
        <v>0.14000000000000001</v>
      </c>
      <c r="G1827">
        <v>268</v>
      </c>
      <c r="H1827" t="s">
        <v>12</v>
      </c>
      <c r="I1827" t="str">
        <f t="shared" si="28"/>
        <v>Normal Usage</v>
      </c>
    </row>
    <row r="1828" spans="1:9" x14ac:dyDescent="0.3">
      <c r="A1828">
        <v>11827</v>
      </c>
      <c r="B1828">
        <v>65</v>
      </c>
      <c r="C1828" s="2">
        <v>44858</v>
      </c>
      <c r="D1828" s="2" t="str">
        <f>TEXT(Table3[[#This Row],[usage_date]],"mmmm")</f>
        <v>October</v>
      </c>
      <c r="E1828" s="9">
        <f>YEAR(Table3[[#This Row],[usage_date]])</f>
        <v>2022</v>
      </c>
      <c r="F1828" s="14">
        <v>2.8</v>
      </c>
      <c r="G1828">
        <v>202</v>
      </c>
      <c r="H1828" t="s">
        <v>12</v>
      </c>
      <c r="I1828" t="str">
        <f t="shared" si="28"/>
        <v>Normal Usage</v>
      </c>
    </row>
    <row r="1829" spans="1:9" x14ac:dyDescent="0.3">
      <c r="A1829">
        <v>11828</v>
      </c>
      <c r="B1829">
        <v>292</v>
      </c>
      <c r="C1829" s="2">
        <v>44739</v>
      </c>
      <c r="D1829" s="2" t="str">
        <f>TEXT(Table3[[#This Row],[usage_date]],"mmmm")</f>
        <v>June</v>
      </c>
      <c r="E1829" s="9">
        <f>YEAR(Table3[[#This Row],[usage_date]])</f>
        <v>2022</v>
      </c>
      <c r="F1829" s="14">
        <v>5.55</v>
      </c>
      <c r="G1829">
        <v>55</v>
      </c>
      <c r="H1829" t="s">
        <v>12</v>
      </c>
      <c r="I1829" t="str">
        <f t="shared" si="28"/>
        <v>Normal Usage</v>
      </c>
    </row>
    <row r="1830" spans="1:9" x14ac:dyDescent="0.3">
      <c r="A1830">
        <v>11829</v>
      </c>
      <c r="B1830">
        <v>25</v>
      </c>
      <c r="C1830" s="2">
        <v>44776</v>
      </c>
      <c r="D1830" s="2" t="str">
        <f>TEXT(Table3[[#This Row],[usage_date]],"mmmm")</f>
        <v>August</v>
      </c>
      <c r="E1830" s="9">
        <f>YEAR(Table3[[#This Row],[usage_date]])</f>
        <v>2022</v>
      </c>
      <c r="F1830" s="14">
        <v>4.07</v>
      </c>
      <c r="G1830">
        <v>184</v>
      </c>
      <c r="H1830" t="s">
        <v>12</v>
      </c>
      <c r="I1830" t="str">
        <f t="shared" si="28"/>
        <v>Normal Usage</v>
      </c>
    </row>
    <row r="1831" spans="1:9" x14ac:dyDescent="0.3">
      <c r="A1831">
        <v>11830</v>
      </c>
      <c r="B1831">
        <v>37</v>
      </c>
      <c r="C1831" s="2">
        <v>44876</v>
      </c>
      <c r="D1831" s="2" t="str">
        <f>TEXT(Table3[[#This Row],[usage_date]],"mmmm")</f>
        <v>November</v>
      </c>
      <c r="E1831" s="9">
        <f>YEAR(Table3[[#This Row],[usage_date]])</f>
        <v>2022</v>
      </c>
      <c r="F1831" s="14">
        <v>0.51</v>
      </c>
      <c r="G1831">
        <v>53</v>
      </c>
      <c r="H1831" t="s">
        <v>12</v>
      </c>
      <c r="I1831" t="str">
        <f t="shared" si="28"/>
        <v>Normal Usage</v>
      </c>
    </row>
    <row r="1832" spans="1:9" x14ac:dyDescent="0.3">
      <c r="A1832">
        <v>11831</v>
      </c>
      <c r="B1832">
        <v>1</v>
      </c>
      <c r="C1832" s="2">
        <v>44600</v>
      </c>
      <c r="D1832" s="2" t="str">
        <f>TEXT(Table3[[#This Row],[usage_date]],"mmmm")</f>
        <v>February</v>
      </c>
      <c r="E1832" s="9">
        <f>YEAR(Table3[[#This Row],[usage_date]])</f>
        <v>2022</v>
      </c>
      <c r="F1832" s="14">
        <v>0.88</v>
      </c>
      <c r="G1832">
        <v>36</v>
      </c>
      <c r="H1832" t="s">
        <v>13</v>
      </c>
      <c r="I1832" t="str">
        <f t="shared" si="28"/>
        <v>Normal Usage</v>
      </c>
    </row>
    <row r="1833" spans="1:9" x14ac:dyDescent="0.3">
      <c r="A1833">
        <v>11832</v>
      </c>
      <c r="B1833">
        <v>399</v>
      </c>
      <c r="C1833" s="2">
        <v>44820</v>
      </c>
      <c r="D1833" s="2" t="str">
        <f>TEXT(Table3[[#This Row],[usage_date]],"mmmm")</f>
        <v>September</v>
      </c>
      <c r="E1833" s="9">
        <f>YEAR(Table3[[#This Row],[usage_date]])</f>
        <v>2022</v>
      </c>
      <c r="F1833" s="14">
        <v>3.16</v>
      </c>
      <c r="G1833">
        <v>210</v>
      </c>
      <c r="H1833" t="s">
        <v>12</v>
      </c>
      <c r="I1833" t="str">
        <f t="shared" si="28"/>
        <v>Normal Usage</v>
      </c>
    </row>
    <row r="1834" spans="1:9" x14ac:dyDescent="0.3">
      <c r="A1834">
        <v>11833</v>
      </c>
      <c r="B1834">
        <v>37</v>
      </c>
      <c r="C1834" s="2">
        <v>45277</v>
      </c>
      <c r="D1834" s="2" t="str">
        <f>TEXT(Table3[[#This Row],[usage_date]],"mmmm")</f>
        <v>December</v>
      </c>
      <c r="E1834" s="9">
        <f>YEAR(Table3[[#This Row],[usage_date]])</f>
        <v>2023</v>
      </c>
      <c r="F1834" s="14">
        <v>0.22</v>
      </c>
      <c r="G1834">
        <v>292</v>
      </c>
      <c r="H1834" t="s">
        <v>12</v>
      </c>
      <c r="I1834" t="str">
        <f t="shared" si="28"/>
        <v>Normal Usage</v>
      </c>
    </row>
    <row r="1835" spans="1:9" x14ac:dyDescent="0.3">
      <c r="A1835">
        <v>11834</v>
      </c>
      <c r="B1835">
        <v>141</v>
      </c>
      <c r="C1835" s="2">
        <v>44568</v>
      </c>
      <c r="D1835" s="2" t="str">
        <f>TEXT(Table3[[#This Row],[usage_date]],"mmmm")</f>
        <v>January</v>
      </c>
      <c r="E1835" s="9">
        <f>YEAR(Table3[[#This Row],[usage_date]])</f>
        <v>2022</v>
      </c>
      <c r="F1835" s="14">
        <v>4.18</v>
      </c>
      <c r="G1835">
        <v>269</v>
      </c>
      <c r="H1835" t="s">
        <v>12</v>
      </c>
      <c r="I1835" t="str">
        <f t="shared" si="28"/>
        <v>Normal Usage</v>
      </c>
    </row>
    <row r="1836" spans="1:9" x14ac:dyDescent="0.3">
      <c r="A1836">
        <v>11835</v>
      </c>
      <c r="B1836">
        <v>232</v>
      </c>
      <c r="C1836" s="2">
        <v>44610</v>
      </c>
      <c r="D1836" s="2" t="str">
        <f>TEXT(Table3[[#This Row],[usage_date]],"mmmm")</f>
        <v>February</v>
      </c>
      <c r="E1836" s="9">
        <f>YEAR(Table3[[#This Row],[usage_date]])</f>
        <v>2022</v>
      </c>
      <c r="F1836" s="14">
        <v>3.17</v>
      </c>
      <c r="G1836">
        <v>219</v>
      </c>
      <c r="H1836" t="s">
        <v>12</v>
      </c>
      <c r="I1836" t="str">
        <f t="shared" si="28"/>
        <v>Normal Usage</v>
      </c>
    </row>
    <row r="1837" spans="1:9" x14ac:dyDescent="0.3">
      <c r="A1837">
        <v>11836</v>
      </c>
      <c r="B1837">
        <v>136</v>
      </c>
      <c r="C1837" s="2">
        <v>45099</v>
      </c>
      <c r="D1837" s="2" t="str">
        <f>TEXT(Table3[[#This Row],[usage_date]],"mmmm")</f>
        <v>June</v>
      </c>
      <c r="E1837" s="9">
        <f>YEAR(Table3[[#This Row],[usage_date]])</f>
        <v>2023</v>
      </c>
      <c r="F1837" s="14">
        <v>3.27</v>
      </c>
      <c r="G1837">
        <v>227</v>
      </c>
      <c r="H1837" t="s">
        <v>12</v>
      </c>
      <c r="I1837" t="str">
        <f t="shared" si="28"/>
        <v>Normal Usage</v>
      </c>
    </row>
    <row r="1838" spans="1:9" x14ac:dyDescent="0.3">
      <c r="A1838">
        <v>11837</v>
      </c>
      <c r="B1838">
        <v>389</v>
      </c>
      <c r="C1838" s="2">
        <v>44722</v>
      </c>
      <c r="D1838" s="2" t="str">
        <f>TEXT(Table3[[#This Row],[usage_date]],"mmmm")</f>
        <v>June</v>
      </c>
      <c r="E1838" s="9">
        <f>YEAR(Table3[[#This Row],[usage_date]])</f>
        <v>2022</v>
      </c>
      <c r="F1838" s="14">
        <v>0.26</v>
      </c>
      <c r="G1838">
        <v>210</v>
      </c>
      <c r="H1838" t="s">
        <v>12</v>
      </c>
      <c r="I1838" t="str">
        <f t="shared" si="28"/>
        <v>Normal Usage</v>
      </c>
    </row>
    <row r="1839" spans="1:9" x14ac:dyDescent="0.3">
      <c r="A1839">
        <v>11838</v>
      </c>
      <c r="B1839">
        <v>188</v>
      </c>
      <c r="C1839" s="2">
        <v>45430</v>
      </c>
      <c r="D1839" s="2" t="str">
        <f>TEXT(Table3[[#This Row],[usage_date]],"mmmm")</f>
        <v>May</v>
      </c>
      <c r="E1839" s="9">
        <f>YEAR(Table3[[#This Row],[usage_date]])</f>
        <v>2024</v>
      </c>
      <c r="F1839" s="14">
        <v>3.16</v>
      </c>
      <c r="G1839">
        <v>297</v>
      </c>
      <c r="H1839" t="s">
        <v>13</v>
      </c>
      <c r="I1839" t="str">
        <f t="shared" si="28"/>
        <v>Normal Usage</v>
      </c>
    </row>
    <row r="1840" spans="1:9" x14ac:dyDescent="0.3">
      <c r="A1840">
        <v>11839</v>
      </c>
      <c r="B1840">
        <v>128</v>
      </c>
      <c r="C1840" s="2">
        <v>44737</v>
      </c>
      <c r="D1840" s="2" t="str">
        <f>TEXT(Table3[[#This Row],[usage_date]],"mmmm")</f>
        <v>June</v>
      </c>
      <c r="E1840" s="9">
        <f>YEAR(Table3[[#This Row],[usage_date]])</f>
        <v>2022</v>
      </c>
      <c r="F1840" s="14">
        <v>2.85</v>
      </c>
      <c r="G1840">
        <v>0</v>
      </c>
      <c r="H1840" t="s">
        <v>12</v>
      </c>
      <c r="I1840" t="str">
        <f t="shared" si="28"/>
        <v>Normal Usage</v>
      </c>
    </row>
    <row r="1841" spans="1:9" x14ac:dyDescent="0.3">
      <c r="A1841">
        <v>11840</v>
      </c>
      <c r="B1841">
        <v>201</v>
      </c>
      <c r="C1841" s="2">
        <v>45152</v>
      </c>
      <c r="D1841" s="2" t="str">
        <f>TEXT(Table3[[#This Row],[usage_date]],"mmmm")</f>
        <v>August</v>
      </c>
      <c r="E1841" s="9">
        <f>YEAR(Table3[[#This Row],[usage_date]])</f>
        <v>2023</v>
      </c>
      <c r="F1841" s="14">
        <v>4.4400000000000004</v>
      </c>
      <c r="G1841">
        <v>22</v>
      </c>
      <c r="H1841" t="s">
        <v>13</v>
      </c>
      <c r="I1841" t="str">
        <f t="shared" si="28"/>
        <v>Normal Usage</v>
      </c>
    </row>
    <row r="1842" spans="1:9" x14ac:dyDescent="0.3">
      <c r="A1842">
        <v>11841</v>
      </c>
      <c r="B1842">
        <v>127</v>
      </c>
      <c r="C1842" s="2">
        <v>44563</v>
      </c>
      <c r="D1842" s="2" t="str">
        <f>TEXT(Table3[[#This Row],[usage_date]],"mmmm")</f>
        <v>January</v>
      </c>
      <c r="E1842" s="9">
        <f>YEAR(Table3[[#This Row],[usage_date]])</f>
        <v>2022</v>
      </c>
      <c r="F1842" s="14">
        <v>0.11</v>
      </c>
      <c r="G1842">
        <v>283</v>
      </c>
      <c r="H1842" t="s">
        <v>12</v>
      </c>
      <c r="I1842" t="str">
        <f t="shared" si="28"/>
        <v>Normal Usage</v>
      </c>
    </row>
    <row r="1843" spans="1:9" x14ac:dyDescent="0.3">
      <c r="A1843">
        <v>11842</v>
      </c>
      <c r="B1843">
        <v>257</v>
      </c>
      <c r="C1843" s="2">
        <v>45456</v>
      </c>
      <c r="D1843" s="2" t="str">
        <f>TEXT(Table3[[#This Row],[usage_date]],"mmmm")</f>
        <v>June</v>
      </c>
      <c r="E1843" s="9">
        <f>YEAR(Table3[[#This Row],[usage_date]])</f>
        <v>2024</v>
      </c>
      <c r="F1843" s="14">
        <v>0.06</v>
      </c>
      <c r="G1843">
        <v>187</v>
      </c>
      <c r="H1843" t="s">
        <v>13</v>
      </c>
      <c r="I1843" t="str">
        <f t="shared" si="28"/>
        <v>Normal Usage</v>
      </c>
    </row>
    <row r="1844" spans="1:9" x14ac:dyDescent="0.3">
      <c r="A1844">
        <v>11843</v>
      </c>
      <c r="B1844">
        <v>164</v>
      </c>
      <c r="C1844" s="2">
        <v>45016</v>
      </c>
      <c r="D1844" s="2" t="str">
        <f>TEXT(Table3[[#This Row],[usage_date]],"mmmm")</f>
        <v>March</v>
      </c>
      <c r="E1844" s="9">
        <f>YEAR(Table3[[#This Row],[usage_date]])</f>
        <v>2023</v>
      </c>
      <c r="F1844" s="14">
        <v>1.17</v>
      </c>
      <c r="G1844">
        <v>17</v>
      </c>
      <c r="H1844" t="s">
        <v>13</v>
      </c>
      <c r="I1844" t="str">
        <f t="shared" si="28"/>
        <v>Normal Usage</v>
      </c>
    </row>
    <row r="1845" spans="1:9" x14ac:dyDescent="0.3">
      <c r="A1845">
        <v>11844</v>
      </c>
      <c r="B1845">
        <v>35</v>
      </c>
      <c r="C1845" s="2">
        <v>45205</v>
      </c>
      <c r="D1845" s="2" t="str">
        <f>TEXT(Table3[[#This Row],[usage_date]],"mmmm")</f>
        <v>October</v>
      </c>
      <c r="E1845" s="9">
        <f>YEAR(Table3[[#This Row],[usage_date]])</f>
        <v>2023</v>
      </c>
      <c r="F1845" s="14">
        <v>0.4</v>
      </c>
      <c r="G1845">
        <v>48</v>
      </c>
      <c r="H1845" t="s">
        <v>13</v>
      </c>
      <c r="I1845" t="str">
        <f t="shared" si="28"/>
        <v>Normal Usage</v>
      </c>
    </row>
    <row r="1846" spans="1:9" x14ac:dyDescent="0.3">
      <c r="A1846">
        <v>11845</v>
      </c>
      <c r="B1846">
        <v>194</v>
      </c>
      <c r="C1846" s="2">
        <v>44837</v>
      </c>
      <c r="D1846" s="2" t="str">
        <f>TEXT(Table3[[#This Row],[usage_date]],"mmmm")</f>
        <v>October</v>
      </c>
      <c r="E1846" s="9">
        <f>YEAR(Table3[[#This Row],[usage_date]])</f>
        <v>2022</v>
      </c>
      <c r="F1846" s="14">
        <v>2.04</v>
      </c>
      <c r="G1846">
        <v>46</v>
      </c>
      <c r="H1846" t="s">
        <v>13</v>
      </c>
      <c r="I1846" t="str">
        <f t="shared" si="28"/>
        <v>Normal Usage</v>
      </c>
    </row>
    <row r="1847" spans="1:9" x14ac:dyDescent="0.3">
      <c r="A1847">
        <v>11846</v>
      </c>
      <c r="B1847">
        <v>191</v>
      </c>
      <c r="C1847" s="2">
        <v>45059</v>
      </c>
      <c r="D1847" s="2" t="str">
        <f>TEXT(Table3[[#This Row],[usage_date]],"mmmm")</f>
        <v>May</v>
      </c>
      <c r="E1847" s="9">
        <f>YEAR(Table3[[#This Row],[usage_date]])</f>
        <v>2023</v>
      </c>
      <c r="F1847" s="14">
        <v>6.23</v>
      </c>
      <c r="G1847">
        <v>114</v>
      </c>
      <c r="H1847" t="s">
        <v>12</v>
      </c>
      <c r="I1847" t="str">
        <f t="shared" si="28"/>
        <v>High Usage</v>
      </c>
    </row>
    <row r="1848" spans="1:9" x14ac:dyDescent="0.3">
      <c r="A1848">
        <v>11847</v>
      </c>
      <c r="B1848">
        <v>104</v>
      </c>
      <c r="C1848" s="2">
        <v>45190</v>
      </c>
      <c r="D1848" s="2" t="str">
        <f>TEXT(Table3[[#This Row],[usage_date]],"mmmm")</f>
        <v>September</v>
      </c>
      <c r="E1848" s="9">
        <f>YEAR(Table3[[#This Row],[usage_date]])</f>
        <v>2023</v>
      </c>
      <c r="F1848" s="14">
        <v>1.24</v>
      </c>
      <c r="G1848">
        <v>38</v>
      </c>
      <c r="H1848" t="s">
        <v>13</v>
      </c>
      <c r="I1848" t="str">
        <f t="shared" si="28"/>
        <v>Normal Usage</v>
      </c>
    </row>
    <row r="1849" spans="1:9" x14ac:dyDescent="0.3">
      <c r="A1849">
        <v>11848</v>
      </c>
      <c r="B1849">
        <v>23</v>
      </c>
      <c r="C1849" s="2">
        <v>45237</v>
      </c>
      <c r="D1849" s="2" t="str">
        <f>TEXT(Table3[[#This Row],[usage_date]],"mmmm")</f>
        <v>November</v>
      </c>
      <c r="E1849" s="9">
        <f>YEAR(Table3[[#This Row],[usage_date]])</f>
        <v>2023</v>
      </c>
      <c r="F1849" s="14">
        <v>4.66</v>
      </c>
      <c r="G1849">
        <v>216</v>
      </c>
      <c r="H1849" t="s">
        <v>13</v>
      </c>
      <c r="I1849" t="str">
        <f t="shared" si="28"/>
        <v>Normal Usage</v>
      </c>
    </row>
    <row r="1850" spans="1:9" x14ac:dyDescent="0.3">
      <c r="A1850">
        <v>11849</v>
      </c>
      <c r="B1850">
        <v>265</v>
      </c>
      <c r="C1850" s="2">
        <v>45361</v>
      </c>
      <c r="D1850" s="2" t="str">
        <f>TEXT(Table3[[#This Row],[usage_date]],"mmmm")</f>
        <v>March</v>
      </c>
      <c r="E1850" s="9">
        <f>YEAR(Table3[[#This Row],[usage_date]])</f>
        <v>2024</v>
      </c>
      <c r="F1850" s="14">
        <v>0</v>
      </c>
      <c r="G1850">
        <v>209</v>
      </c>
      <c r="H1850" t="s">
        <v>12</v>
      </c>
      <c r="I1850" t="str">
        <f t="shared" si="28"/>
        <v>Normal Usage</v>
      </c>
    </row>
    <row r="1851" spans="1:9" x14ac:dyDescent="0.3">
      <c r="A1851">
        <v>11850</v>
      </c>
      <c r="B1851">
        <v>290</v>
      </c>
      <c r="C1851" s="2">
        <v>44589</v>
      </c>
      <c r="D1851" s="2" t="str">
        <f>TEXT(Table3[[#This Row],[usage_date]],"mmmm")</f>
        <v>January</v>
      </c>
      <c r="E1851" s="9">
        <f>YEAR(Table3[[#This Row],[usage_date]])</f>
        <v>2022</v>
      </c>
      <c r="F1851" s="14">
        <v>0.46</v>
      </c>
      <c r="G1851">
        <v>261</v>
      </c>
      <c r="H1851" t="s">
        <v>12</v>
      </c>
      <c r="I1851" t="str">
        <f t="shared" si="28"/>
        <v>Normal Usage</v>
      </c>
    </row>
    <row r="1852" spans="1:9" x14ac:dyDescent="0.3">
      <c r="A1852">
        <v>11851</v>
      </c>
      <c r="B1852">
        <v>430</v>
      </c>
      <c r="C1852" s="2">
        <v>44894</v>
      </c>
      <c r="D1852" s="2" t="str">
        <f>TEXT(Table3[[#This Row],[usage_date]],"mmmm")</f>
        <v>November</v>
      </c>
      <c r="E1852" s="9">
        <f>YEAR(Table3[[#This Row],[usage_date]])</f>
        <v>2022</v>
      </c>
      <c r="F1852" s="14">
        <v>0.08</v>
      </c>
      <c r="G1852">
        <v>210</v>
      </c>
      <c r="H1852" t="s">
        <v>12</v>
      </c>
      <c r="I1852" t="str">
        <f t="shared" si="28"/>
        <v>Normal Usage</v>
      </c>
    </row>
    <row r="1853" spans="1:9" x14ac:dyDescent="0.3">
      <c r="A1853">
        <v>11852</v>
      </c>
      <c r="B1853">
        <v>462</v>
      </c>
      <c r="C1853" s="2">
        <v>44562</v>
      </c>
      <c r="D1853" s="2" t="str">
        <f>TEXT(Table3[[#This Row],[usage_date]],"mmmm")</f>
        <v>January</v>
      </c>
      <c r="E1853" s="9">
        <f>YEAR(Table3[[#This Row],[usage_date]])</f>
        <v>2022</v>
      </c>
      <c r="F1853" s="14">
        <v>0.99</v>
      </c>
      <c r="G1853">
        <v>52</v>
      </c>
      <c r="H1853" t="s">
        <v>12</v>
      </c>
      <c r="I1853" t="str">
        <f t="shared" si="28"/>
        <v>Normal Usage</v>
      </c>
    </row>
    <row r="1854" spans="1:9" x14ac:dyDescent="0.3">
      <c r="A1854">
        <v>11853</v>
      </c>
      <c r="B1854">
        <v>384</v>
      </c>
      <c r="C1854" s="2">
        <v>44749</v>
      </c>
      <c r="D1854" s="2" t="str">
        <f>TEXT(Table3[[#This Row],[usage_date]],"mmmm")</f>
        <v>July</v>
      </c>
      <c r="E1854" s="9">
        <f>YEAR(Table3[[#This Row],[usage_date]])</f>
        <v>2022</v>
      </c>
      <c r="F1854" s="14">
        <v>5.97</v>
      </c>
      <c r="G1854">
        <v>280</v>
      </c>
      <c r="H1854" t="s">
        <v>12</v>
      </c>
      <c r="I1854" t="str">
        <f t="shared" si="28"/>
        <v>Normal Usage</v>
      </c>
    </row>
    <row r="1855" spans="1:9" x14ac:dyDescent="0.3">
      <c r="A1855">
        <v>11854</v>
      </c>
      <c r="B1855">
        <v>260</v>
      </c>
      <c r="C1855" s="2">
        <v>44617</v>
      </c>
      <c r="D1855" s="2" t="str">
        <f>TEXT(Table3[[#This Row],[usage_date]],"mmmm")</f>
        <v>February</v>
      </c>
      <c r="E1855" s="9">
        <f>YEAR(Table3[[#This Row],[usage_date]])</f>
        <v>2022</v>
      </c>
      <c r="F1855" s="14">
        <v>0.25</v>
      </c>
      <c r="G1855">
        <v>132</v>
      </c>
      <c r="H1855" t="s">
        <v>12</v>
      </c>
      <c r="I1855" t="str">
        <f t="shared" si="28"/>
        <v>Normal Usage</v>
      </c>
    </row>
    <row r="1856" spans="1:9" x14ac:dyDescent="0.3">
      <c r="A1856">
        <v>11855</v>
      </c>
      <c r="B1856">
        <v>414</v>
      </c>
      <c r="C1856" s="2">
        <v>45108</v>
      </c>
      <c r="D1856" s="2" t="str">
        <f>TEXT(Table3[[#This Row],[usage_date]],"mmmm")</f>
        <v>July</v>
      </c>
      <c r="E1856" s="9">
        <f>YEAR(Table3[[#This Row],[usage_date]])</f>
        <v>2023</v>
      </c>
      <c r="F1856" s="14">
        <v>2.33</v>
      </c>
      <c r="G1856">
        <v>263</v>
      </c>
      <c r="H1856" t="s">
        <v>12</v>
      </c>
      <c r="I1856" t="str">
        <f t="shared" si="28"/>
        <v>Normal Usage</v>
      </c>
    </row>
    <row r="1857" spans="1:9" x14ac:dyDescent="0.3">
      <c r="A1857">
        <v>11856</v>
      </c>
      <c r="B1857">
        <v>479</v>
      </c>
      <c r="C1857" s="2">
        <v>44673</v>
      </c>
      <c r="D1857" s="2" t="str">
        <f>TEXT(Table3[[#This Row],[usage_date]],"mmmm")</f>
        <v>April</v>
      </c>
      <c r="E1857" s="9">
        <f>YEAR(Table3[[#This Row],[usage_date]])</f>
        <v>2022</v>
      </c>
      <c r="F1857" s="14">
        <v>1.5</v>
      </c>
      <c r="G1857">
        <v>294</v>
      </c>
      <c r="H1857" t="s">
        <v>13</v>
      </c>
      <c r="I1857" t="str">
        <f t="shared" si="28"/>
        <v>Normal Usage</v>
      </c>
    </row>
    <row r="1858" spans="1:9" x14ac:dyDescent="0.3">
      <c r="A1858">
        <v>11857</v>
      </c>
      <c r="B1858">
        <v>358</v>
      </c>
      <c r="C1858" s="2">
        <v>45359</v>
      </c>
      <c r="D1858" s="2" t="str">
        <f>TEXT(Table3[[#This Row],[usage_date]],"mmmm")</f>
        <v>March</v>
      </c>
      <c r="E1858" s="9">
        <f>YEAR(Table3[[#This Row],[usage_date]])</f>
        <v>2024</v>
      </c>
      <c r="F1858" s="14">
        <v>6.97</v>
      </c>
      <c r="G1858">
        <v>110</v>
      </c>
      <c r="H1858" t="s">
        <v>12</v>
      </c>
      <c r="I1858" t="str">
        <f t="shared" ref="I1858:I1921" si="29">IF(F1858&gt;6,"High Usage","Normal Usage")</f>
        <v>High Usage</v>
      </c>
    </row>
    <row r="1859" spans="1:9" x14ac:dyDescent="0.3">
      <c r="A1859">
        <v>11858</v>
      </c>
      <c r="B1859">
        <v>75</v>
      </c>
      <c r="C1859" s="2">
        <v>44871</v>
      </c>
      <c r="D1859" s="2" t="str">
        <f>TEXT(Table3[[#This Row],[usage_date]],"mmmm")</f>
        <v>November</v>
      </c>
      <c r="E1859" s="9">
        <f>YEAR(Table3[[#This Row],[usage_date]])</f>
        <v>2022</v>
      </c>
      <c r="F1859" s="14">
        <v>0.33</v>
      </c>
      <c r="G1859">
        <v>42</v>
      </c>
      <c r="H1859" t="s">
        <v>13</v>
      </c>
      <c r="I1859" t="str">
        <f t="shared" si="29"/>
        <v>Normal Usage</v>
      </c>
    </row>
    <row r="1860" spans="1:9" x14ac:dyDescent="0.3">
      <c r="A1860">
        <v>11859</v>
      </c>
      <c r="B1860">
        <v>355</v>
      </c>
      <c r="C1860" s="2">
        <v>44597</v>
      </c>
      <c r="D1860" s="2" t="str">
        <f>TEXT(Table3[[#This Row],[usage_date]],"mmmm")</f>
        <v>February</v>
      </c>
      <c r="E1860" s="9">
        <f>YEAR(Table3[[#This Row],[usage_date]])</f>
        <v>2022</v>
      </c>
      <c r="F1860" s="14">
        <v>0.6</v>
      </c>
      <c r="G1860">
        <v>237</v>
      </c>
      <c r="H1860" t="s">
        <v>12</v>
      </c>
      <c r="I1860" t="str">
        <f t="shared" si="29"/>
        <v>Normal Usage</v>
      </c>
    </row>
    <row r="1861" spans="1:9" x14ac:dyDescent="0.3">
      <c r="A1861">
        <v>11860</v>
      </c>
      <c r="B1861">
        <v>72</v>
      </c>
      <c r="C1861" s="2">
        <v>45000</v>
      </c>
      <c r="D1861" s="2" t="str">
        <f>TEXT(Table3[[#This Row],[usage_date]],"mmmm")</f>
        <v>March</v>
      </c>
      <c r="E1861" s="9">
        <f>YEAR(Table3[[#This Row],[usage_date]])</f>
        <v>2023</v>
      </c>
      <c r="F1861" s="14">
        <v>7.0000000000000007E-2</v>
      </c>
      <c r="G1861">
        <v>246</v>
      </c>
      <c r="H1861" t="s">
        <v>12</v>
      </c>
      <c r="I1861" t="str">
        <f t="shared" si="29"/>
        <v>Normal Usage</v>
      </c>
    </row>
    <row r="1862" spans="1:9" x14ac:dyDescent="0.3">
      <c r="A1862">
        <v>11861</v>
      </c>
      <c r="B1862">
        <v>259</v>
      </c>
      <c r="C1862" s="2">
        <v>45290</v>
      </c>
      <c r="D1862" s="2" t="str">
        <f>TEXT(Table3[[#This Row],[usage_date]],"mmmm")</f>
        <v>December</v>
      </c>
      <c r="E1862" s="9">
        <f>YEAR(Table3[[#This Row],[usage_date]])</f>
        <v>2023</v>
      </c>
      <c r="F1862" s="14">
        <v>1.42</v>
      </c>
      <c r="G1862">
        <v>3</v>
      </c>
      <c r="H1862" t="s">
        <v>12</v>
      </c>
      <c r="I1862" t="str">
        <f t="shared" si="29"/>
        <v>Normal Usage</v>
      </c>
    </row>
    <row r="1863" spans="1:9" x14ac:dyDescent="0.3">
      <c r="A1863">
        <v>11862</v>
      </c>
      <c r="B1863">
        <v>398</v>
      </c>
      <c r="C1863" s="2">
        <v>45153</v>
      </c>
      <c r="D1863" s="2" t="str">
        <f>TEXT(Table3[[#This Row],[usage_date]],"mmmm")</f>
        <v>August</v>
      </c>
      <c r="E1863" s="9">
        <f>YEAR(Table3[[#This Row],[usage_date]])</f>
        <v>2023</v>
      </c>
      <c r="F1863" s="14">
        <v>0.81</v>
      </c>
      <c r="G1863">
        <v>172</v>
      </c>
      <c r="H1863" t="s">
        <v>12</v>
      </c>
      <c r="I1863" t="str">
        <f t="shared" si="29"/>
        <v>Normal Usage</v>
      </c>
    </row>
    <row r="1864" spans="1:9" x14ac:dyDescent="0.3">
      <c r="A1864">
        <v>11863</v>
      </c>
      <c r="B1864">
        <v>188</v>
      </c>
      <c r="C1864" s="2">
        <v>45387</v>
      </c>
      <c r="D1864" s="2" t="str">
        <f>TEXT(Table3[[#This Row],[usage_date]],"mmmm")</f>
        <v>April</v>
      </c>
      <c r="E1864" s="9">
        <f>YEAR(Table3[[#This Row],[usage_date]])</f>
        <v>2024</v>
      </c>
      <c r="F1864" s="14">
        <v>5.0999999999999996</v>
      </c>
      <c r="G1864">
        <v>192</v>
      </c>
      <c r="H1864" t="s">
        <v>12</v>
      </c>
      <c r="I1864" t="str">
        <f t="shared" si="29"/>
        <v>Normal Usage</v>
      </c>
    </row>
    <row r="1865" spans="1:9" x14ac:dyDescent="0.3">
      <c r="A1865">
        <v>11864</v>
      </c>
      <c r="B1865">
        <v>461</v>
      </c>
      <c r="C1865" s="2">
        <v>45156</v>
      </c>
      <c r="D1865" s="2" t="str">
        <f>TEXT(Table3[[#This Row],[usage_date]],"mmmm")</f>
        <v>August</v>
      </c>
      <c r="E1865" s="9">
        <f>YEAR(Table3[[#This Row],[usage_date]])</f>
        <v>2023</v>
      </c>
      <c r="F1865" s="14">
        <v>2.3199999999999998</v>
      </c>
      <c r="G1865">
        <v>2</v>
      </c>
      <c r="H1865" t="s">
        <v>12</v>
      </c>
      <c r="I1865" t="str">
        <f t="shared" si="29"/>
        <v>Normal Usage</v>
      </c>
    </row>
    <row r="1866" spans="1:9" x14ac:dyDescent="0.3">
      <c r="A1866">
        <v>11865</v>
      </c>
      <c r="B1866">
        <v>173</v>
      </c>
      <c r="C1866" s="2">
        <v>45138</v>
      </c>
      <c r="D1866" s="2" t="str">
        <f>TEXT(Table3[[#This Row],[usage_date]],"mmmm")</f>
        <v>July</v>
      </c>
      <c r="E1866" s="9">
        <f>YEAR(Table3[[#This Row],[usage_date]])</f>
        <v>2023</v>
      </c>
      <c r="F1866" s="14">
        <v>2.38</v>
      </c>
      <c r="G1866">
        <v>277</v>
      </c>
      <c r="H1866" t="s">
        <v>12</v>
      </c>
      <c r="I1866" t="str">
        <f t="shared" si="29"/>
        <v>Normal Usage</v>
      </c>
    </row>
    <row r="1867" spans="1:9" x14ac:dyDescent="0.3">
      <c r="A1867">
        <v>11866</v>
      </c>
      <c r="B1867">
        <v>480</v>
      </c>
      <c r="C1867" s="2">
        <v>44886</v>
      </c>
      <c r="D1867" s="2" t="str">
        <f>TEXT(Table3[[#This Row],[usage_date]],"mmmm")</f>
        <v>November</v>
      </c>
      <c r="E1867" s="9">
        <f>YEAR(Table3[[#This Row],[usage_date]])</f>
        <v>2022</v>
      </c>
      <c r="F1867" s="14">
        <v>1.9</v>
      </c>
      <c r="G1867">
        <v>55</v>
      </c>
      <c r="H1867" t="s">
        <v>12</v>
      </c>
      <c r="I1867" t="str">
        <f t="shared" si="29"/>
        <v>Normal Usage</v>
      </c>
    </row>
    <row r="1868" spans="1:9" x14ac:dyDescent="0.3">
      <c r="A1868">
        <v>11867</v>
      </c>
      <c r="B1868">
        <v>290</v>
      </c>
      <c r="C1868" s="2">
        <v>45201</v>
      </c>
      <c r="D1868" s="2" t="str">
        <f>TEXT(Table3[[#This Row],[usage_date]],"mmmm")</f>
        <v>October</v>
      </c>
      <c r="E1868" s="9">
        <f>YEAR(Table3[[#This Row],[usage_date]])</f>
        <v>2023</v>
      </c>
      <c r="F1868" s="14">
        <v>0.24</v>
      </c>
      <c r="G1868">
        <v>273</v>
      </c>
      <c r="H1868" t="s">
        <v>12</v>
      </c>
      <c r="I1868" t="str">
        <f t="shared" si="29"/>
        <v>Normal Usage</v>
      </c>
    </row>
    <row r="1869" spans="1:9" x14ac:dyDescent="0.3">
      <c r="A1869">
        <v>11868</v>
      </c>
      <c r="B1869">
        <v>45</v>
      </c>
      <c r="C1869" s="2">
        <v>44868</v>
      </c>
      <c r="D1869" s="2" t="str">
        <f>TEXT(Table3[[#This Row],[usage_date]],"mmmm")</f>
        <v>November</v>
      </c>
      <c r="E1869" s="9">
        <f>YEAR(Table3[[#This Row],[usage_date]])</f>
        <v>2022</v>
      </c>
      <c r="F1869" s="14">
        <v>1.47</v>
      </c>
      <c r="G1869">
        <v>175</v>
      </c>
      <c r="H1869" t="s">
        <v>12</v>
      </c>
      <c r="I1869" t="str">
        <f t="shared" si="29"/>
        <v>Normal Usage</v>
      </c>
    </row>
    <row r="1870" spans="1:9" x14ac:dyDescent="0.3">
      <c r="A1870">
        <v>11869</v>
      </c>
      <c r="B1870">
        <v>61</v>
      </c>
      <c r="C1870" s="2">
        <v>45095</v>
      </c>
      <c r="D1870" s="2" t="str">
        <f>TEXT(Table3[[#This Row],[usage_date]],"mmmm")</f>
        <v>June</v>
      </c>
      <c r="E1870" s="9">
        <f>YEAR(Table3[[#This Row],[usage_date]])</f>
        <v>2023</v>
      </c>
      <c r="F1870" s="14">
        <v>19.03</v>
      </c>
      <c r="G1870">
        <v>115</v>
      </c>
      <c r="H1870" t="s">
        <v>12</v>
      </c>
      <c r="I1870" t="str">
        <f t="shared" si="29"/>
        <v>High Usage</v>
      </c>
    </row>
    <row r="1871" spans="1:9" x14ac:dyDescent="0.3">
      <c r="A1871">
        <v>11870</v>
      </c>
      <c r="B1871">
        <v>83</v>
      </c>
      <c r="C1871" s="2">
        <v>45289</v>
      </c>
      <c r="D1871" s="2" t="str">
        <f>TEXT(Table3[[#This Row],[usage_date]],"mmmm")</f>
        <v>December</v>
      </c>
      <c r="E1871" s="9">
        <f>YEAR(Table3[[#This Row],[usage_date]])</f>
        <v>2023</v>
      </c>
      <c r="F1871" s="14">
        <v>4.51</v>
      </c>
      <c r="G1871">
        <v>83</v>
      </c>
      <c r="H1871" t="s">
        <v>12</v>
      </c>
      <c r="I1871" t="str">
        <f t="shared" si="29"/>
        <v>Normal Usage</v>
      </c>
    </row>
    <row r="1872" spans="1:9" x14ac:dyDescent="0.3">
      <c r="A1872">
        <v>11871</v>
      </c>
      <c r="B1872">
        <v>123</v>
      </c>
      <c r="C1872" s="2">
        <v>45180</v>
      </c>
      <c r="D1872" s="2" t="str">
        <f>TEXT(Table3[[#This Row],[usage_date]],"mmmm")</f>
        <v>September</v>
      </c>
      <c r="E1872" s="9">
        <f>YEAR(Table3[[#This Row],[usage_date]])</f>
        <v>2023</v>
      </c>
      <c r="F1872" s="14">
        <v>5.6</v>
      </c>
      <c r="G1872">
        <v>158</v>
      </c>
      <c r="H1872" t="s">
        <v>12</v>
      </c>
      <c r="I1872" t="str">
        <f t="shared" si="29"/>
        <v>Normal Usage</v>
      </c>
    </row>
    <row r="1873" spans="1:9" x14ac:dyDescent="0.3">
      <c r="A1873">
        <v>11872</v>
      </c>
      <c r="B1873">
        <v>358</v>
      </c>
      <c r="C1873" s="2">
        <v>44670</v>
      </c>
      <c r="D1873" s="2" t="str">
        <f>TEXT(Table3[[#This Row],[usage_date]],"mmmm")</f>
        <v>April</v>
      </c>
      <c r="E1873" s="9">
        <f>YEAR(Table3[[#This Row],[usage_date]])</f>
        <v>2022</v>
      </c>
      <c r="F1873" s="14">
        <v>4.33</v>
      </c>
      <c r="G1873">
        <v>285</v>
      </c>
      <c r="H1873" t="s">
        <v>12</v>
      </c>
      <c r="I1873" t="str">
        <f t="shared" si="29"/>
        <v>Normal Usage</v>
      </c>
    </row>
    <row r="1874" spans="1:9" x14ac:dyDescent="0.3">
      <c r="A1874">
        <v>11873</v>
      </c>
      <c r="B1874">
        <v>16</v>
      </c>
      <c r="C1874" s="2">
        <v>44933</v>
      </c>
      <c r="D1874" s="2" t="str">
        <f>TEXT(Table3[[#This Row],[usage_date]],"mmmm")</f>
        <v>January</v>
      </c>
      <c r="E1874" s="9">
        <f>YEAR(Table3[[#This Row],[usage_date]])</f>
        <v>2023</v>
      </c>
      <c r="F1874" s="14">
        <v>0.27</v>
      </c>
      <c r="G1874">
        <v>79</v>
      </c>
      <c r="H1874" t="s">
        <v>12</v>
      </c>
      <c r="I1874" t="str">
        <f t="shared" si="29"/>
        <v>Normal Usage</v>
      </c>
    </row>
    <row r="1875" spans="1:9" x14ac:dyDescent="0.3">
      <c r="A1875">
        <v>11874</v>
      </c>
      <c r="B1875">
        <v>66</v>
      </c>
      <c r="C1875" s="2">
        <v>44918</v>
      </c>
      <c r="D1875" s="2" t="str">
        <f>TEXT(Table3[[#This Row],[usage_date]],"mmmm")</f>
        <v>December</v>
      </c>
      <c r="E1875" s="9">
        <f>YEAR(Table3[[#This Row],[usage_date]])</f>
        <v>2022</v>
      </c>
      <c r="F1875" s="14">
        <v>0.65</v>
      </c>
      <c r="G1875">
        <v>65</v>
      </c>
      <c r="H1875" t="s">
        <v>12</v>
      </c>
      <c r="I1875" t="str">
        <f t="shared" si="29"/>
        <v>Normal Usage</v>
      </c>
    </row>
    <row r="1876" spans="1:9" x14ac:dyDescent="0.3">
      <c r="A1876">
        <v>11875</v>
      </c>
      <c r="B1876">
        <v>424</v>
      </c>
      <c r="C1876" s="2">
        <v>44742</v>
      </c>
      <c r="D1876" s="2" t="str">
        <f>TEXT(Table3[[#This Row],[usage_date]],"mmmm")</f>
        <v>June</v>
      </c>
      <c r="E1876" s="9">
        <f>YEAR(Table3[[#This Row],[usage_date]])</f>
        <v>2022</v>
      </c>
      <c r="F1876" s="14">
        <v>0.01</v>
      </c>
      <c r="G1876">
        <v>208</v>
      </c>
      <c r="H1876" t="s">
        <v>12</v>
      </c>
      <c r="I1876" t="str">
        <f t="shared" si="29"/>
        <v>Normal Usage</v>
      </c>
    </row>
    <row r="1877" spans="1:9" x14ac:dyDescent="0.3">
      <c r="A1877">
        <v>11876</v>
      </c>
      <c r="B1877">
        <v>145</v>
      </c>
      <c r="C1877" s="2">
        <v>44917</v>
      </c>
      <c r="D1877" s="2" t="str">
        <f>TEXT(Table3[[#This Row],[usage_date]],"mmmm")</f>
        <v>December</v>
      </c>
      <c r="E1877" s="9">
        <f>YEAR(Table3[[#This Row],[usage_date]])</f>
        <v>2022</v>
      </c>
      <c r="F1877" s="14">
        <v>0.9</v>
      </c>
      <c r="G1877">
        <v>9</v>
      </c>
      <c r="H1877" t="s">
        <v>12</v>
      </c>
      <c r="I1877" t="str">
        <f t="shared" si="29"/>
        <v>Normal Usage</v>
      </c>
    </row>
    <row r="1878" spans="1:9" x14ac:dyDescent="0.3">
      <c r="A1878">
        <v>11877</v>
      </c>
      <c r="B1878">
        <v>375</v>
      </c>
      <c r="C1878" s="2">
        <v>45237</v>
      </c>
      <c r="D1878" s="2" t="str">
        <f>TEXT(Table3[[#This Row],[usage_date]],"mmmm")</f>
        <v>November</v>
      </c>
      <c r="E1878" s="9">
        <f>YEAR(Table3[[#This Row],[usage_date]])</f>
        <v>2023</v>
      </c>
      <c r="F1878" s="14">
        <v>0.28999999999999998</v>
      </c>
      <c r="G1878">
        <v>198</v>
      </c>
      <c r="H1878" t="s">
        <v>12</v>
      </c>
      <c r="I1878" t="str">
        <f t="shared" si="29"/>
        <v>Normal Usage</v>
      </c>
    </row>
    <row r="1879" spans="1:9" x14ac:dyDescent="0.3">
      <c r="A1879">
        <v>11878</v>
      </c>
      <c r="B1879">
        <v>162</v>
      </c>
      <c r="C1879" s="2">
        <v>44629</v>
      </c>
      <c r="D1879" s="2" t="str">
        <f>TEXT(Table3[[#This Row],[usage_date]],"mmmm")</f>
        <v>March</v>
      </c>
      <c r="E1879" s="9">
        <f>YEAR(Table3[[#This Row],[usage_date]])</f>
        <v>2022</v>
      </c>
      <c r="F1879" s="14">
        <v>1.6</v>
      </c>
      <c r="G1879">
        <v>58</v>
      </c>
      <c r="H1879" t="s">
        <v>12</v>
      </c>
      <c r="I1879" t="str">
        <f t="shared" si="29"/>
        <v>Normal Usage</v>
      </c>
    </row>
    <row r="1880" spans="1:9" x14ac:dyDescent="0.3">
      <c r="A1880">
        <v>11879</v>
      </c>
      <c r="B1880">
        <v>234</v>
      </c>
      <c r="C1880" s="2">
        <v>44853</v>
      </c>
      <c r="D1880" s="2" t="str">
        <f>TEXT(Table3[[#This Row],[usage_date]],"mmmm")</f>
        <v>October</v>
      </c>
      <c r="E1880" s="9">
        <f>YEAR(Table3[[#This Row],[usage_date]])</f>
        <v>2022</v>
      </c>
      <c r="F1880" s="14">
        <v>2.83</v>
      </c>
      <c r="G1880">
        <v>233</v>
      </c>
      <c r="H1880" t="s">
        <v>12</v>
      </c>
      <c r="I1880" t="str">
        <f t="shared" si="29"/>
        <v>Normal Usage</v>
      </c>
    </row>
    <row r="1881" spans="1:9" x14ac:dyDescent="0.3">
      <c r="A1881">
        <v>11880</v>
      </c>
      <c r="B1881">
        <v>380</v>
      </c>
      <c r="C1881" s="2">
        <v>45253</v>
      </c>
      <c r="D1881" s="2" t="str">
        <f>TEXT(Table3[[#This Row],[usage_date]],"mmmm")</f>
        <v>November</v>
      </c>
      <c r="E1881" s="9">
        <f>YEAR(Table3[[#This Row],[usage_date]])</f>
        <v>2023</v>
      </c>
      <c r="F1881" s="14">
        <v>5.19</v>
      </c>
      <c r="G1881">
        <v>243</v>
      </c>
      <c r="H1881" t="s">
        <v>13</v>
      </c>
      <c r="I1881" t="str">
        <f t="shared" si="29"/>
        <v>Normal Usage</v>
      </c>
    </row>
    <row r="1882" spans="1:9" x14ac:dyDescent="0.3">
      <c r="A1882">
        <v>11881</v>
      </c>
      <c r="B1882">
        <v>144</v>
      </c>
      <c r="C1882" s="2">
        <v>44742</v>
      </c>
      <c r="D1882" s="2" t="str">
        <f>TEXT(Table3[[#This Row],[usage_date]],"mmmm")</f>
        <v>June</v>
      </c>
      <c r="E1882" s="9">
        <f>YEAR(Table3[[#This Row],[usage_date]])</f>
        <v>2022</v>
      </c>
      <c r="F1882" s="14">
        <v>3.46</v>
      </c>
      <c r="G1882">
        <v>53</v>
      </c>
      <c r="H1882" t="s">
        <v>13</v>
      </c>
      <c r="I1882" t="str">
        <f t="shared" si="29"/>
        <v>Normal Usage</v>
      </c>
    </row>
    <row r="1883" spans="1:9" x14ac:dyDescent="0.3">
      <c r="A1883">
        <v>11882</v>
      </c>
      <c r="B1883">
        <v>358</v>
      </c>
      <c r="C1883" s="2">
        <v>45027</v>
      </c>
      <c r="D1883" s="2" t="str">
        <f>TEXT(Table3[[#This Row],[usage_date]],"mmmm")</f>
        <v>April</v>
      </c>
      <c r="E1883" s="9">
        <f>YEAR(Table3[[#This Row],[usage_date]])</f>
        <v>2023</v>
      </c>
      <c r="F1883" s="14">
        <v>6.98</v>
      </c>
      <c r="G1883">
        <v>8</v>
      </c>
      <c r="H1883" t="s">
        <v>12</v>
      </c>
      <c r="I1883" t="str">
        <f t="shared" si="29"/>
        <v>High Usage</v>
      </c>
    </row>
    <row r="1884" spans="1:9" x14ac:dyDescent="0.3">
      <c r="A1884">
        <v>11883</v>
      </c>
      <c r="B1884">
        <v>188</v>
      </c>
      <c r="C1884" s="2">
        <v>44995</v>
      </c>
      <c r="D1884" s="2" t="str">
        <f>TEXT(Table3[[#This Row],[usage_date]],"mmmm")</f>
        <v>March</v>
      </c>
      <c r="E1884" s="9">
        <f>YEAR(Table3[[#This Row],[usage_date]])</f>
        <v>2023</v>
      </c>
      <c r="F1884" s="14">
        <v>0.14000000000000001</v>
      </c>
      <c r="G1884">
        <v>100</v>
      </c>
      <c r="H1884" t="s">
        <v>13</v>
      </c>
      <c r="I1884" t="str">
        <f t="shared" si="29"/>
        <v>Normal Usage</v>
      </c>
    </row>
    <row r="1885" spans="1:9" x14ac:dyDescent="0.3">
      <c r="A1885">
        <v>11884</v>
      </c>
      <c r="B1885">
        <v>322</v>
      </c>
      <c r="C1885" s="2">
        <v>45025</v>
      </c>
      <c r="D1885" s="2" t="str">
        <f>TEXT(Table3[[#This Row],[usage_date]],"mmmm")</f>
        <v>April</v>
      </c>
      <c r="E1885" s="9">
        <f>YEAR(Table3[[#This Row],[usage_date]])</f>
        <v>2023</v>
      </c>
      <c r="F1885" s="14">
        <v>0.03</v>
      </c>
      <c r="G1885">
        <v>294</v>
      </c>
      <c r="H1885" t="s">
        <v>12</v>
      </c>
      <c r="I1885" t="str">
        <f t="shared" si="29"/>
        <v>Normal Usage</v>
      </c>
    </row>
    <row r="1886" spans="1:9" x14ac:dyDescent="0.3">
      <c r="A1886">
        <v>11885</v>
      </c>
      <c r="B1886">
        <v>450</v>
      </c>
      <c r="C1886" s="2">
        <v>45242</v>
      </c>
      <c r="D1886" s="2" t="str">
        <f>TEXT(Table3[[#This Row],[usage_date]],"mmmm")</f>
        <v>November</v>
      </c>
      <c r="E1886" s="9">
        <f>YEAR(Table3[[#This Row],[usage_date]])</f>
        <v>2023</v>
      </c>
      <c r="F1886" s="14">
        <v>2.71</v>
      </c>
      <c r="G1886">
        <v>202</v>
      </c>
      <c r="H1886" t="s">
        <v>12</v>
      </c>
      <c r="I1886" t="str">
        <f t="shared" si="29"/>
        <v>Normal Usage</v>
      </c>
    </row>
    <row r="1887" spans="1:9" x14ac:dyDescent="0.3">
      <c r="A1887">
        <v>11886</v>
      </c>
      <c r="B1887">
        <v>474</v>
      </c>
      <c r="C1887" s="2">
        <v>45095</v>
      </c>
      <c r="D1887" s="2" t="str">
        <f>TEXT(Table3[[#This Row],[usage_date]],"mmmm")</f>
        <v>June</v>
      </c>
      <c r="E1887" s="9">
        <f>YEAR(Table3[[#This Row],[usage_date]])</f>
        <v>2023</v>
      </c>
      <c r="F1887" s="14">
        <v>0.85</v>
      </c>
      <c r="G1887">
        <v>152</v>
      </c>
      <c r="H1887" t="s">
        <v>13</v>
      </c>
      <c r="I1887" t="str">
        <f t="shared" si="29"/>
        <v>Normal Usage</v>
      </c>
    </row>
    <row r="1888" spans="1:9" x14ac:dyDescent="0.3">
      <c r="A1888">
        <v>11887</v>
      </c>
      <c r="B1888">
        <v>13</v>
      </c>
      <c r="C1888" s="2">
        <v>44627</v>
      </c>
      <c r="D1888" s="2" t="str">
        <f>TEXT(Table3[[#This Row],[usage_date]],"mmmm")</f>
        <v>March</v>
      </c>
      <c r="E1888" s="9">
        <f>YEAR(Table3[[#This Row],[usage_date]])</f>
        <v>2022</v>
      </c>
      <c r="F1888" s="14">
        <v>0.73</v>
      </c>
      <c r="G1888">
        <v>109</v>
      </c>
      <c r="H1888" t="s">
        <v>13</v>
      </c>
      <c r="I1888" t="str">
        <f t="shared" si="29"/>
        <v>Normal Usage</v>
      </c>
    </row>
    <row r="1889" spans="1:9" x14ac:dyDescent="0.3">
      <c r="A1889">
        <v>11888</v>
      </c>
      <c r="B1889">
        <v>184</v>
      </c>
      <c r="C1889" s="2">
        <v>44582</v>
      </c>
      <c r="D1889" s="2" t="str">
        <f>TEXT(Table3[[#This Row],[usage_date]],"mmmm")</f>
        <v>January</v>
      </c>
      <c r="E1889" s="9">
        <f>YEAR(Table3[[#This Row],[usage_date]])</f>
        <v>2022</v>
      </c>
      <c r="F1889" s="14">
        <v>1</v>
      </c>
      <c r="G1889">
        <v>265</v>
      </c>
      <c r="H1889" t="s">
        <v>12</v>
      </c>
      <c r="I1889" t="str">
        <f t="shared" si="29"/>
        <v>Normal Usage</v>
      </c>
    </row>
    <row r="1890" spans="1:9" x14ac:dyDescent="0.3">
      <c r="A1890">
        <v>11889</v>
      </c>
      <c r="B1890">
        <v>111</v>
      </c>
      <c r="C1890" s="2">
        <v>45173</v>
      </c>
      <c r="D1890" s="2" t="str">
        <f>TEXT(Table3[[#This Row],[usage_date]],"mmmm")</f>
        <v>September</v>
      </c>
      <c r="E1890" s="9">
        <f>YEAR(Table3[[#This Row],[usage_date]])</f>
        <v>2023</v>
      </c>
      <c r="F1890" s="14">
        <v>0.79</v>
      </c>
      <c r="G1890">
        <v>151</v>
      </c>
      <c r="H1890" t="s">
        <v>12</v>
      </c>
      <c r="I1890" t="str">
        <f t="shared" si="29"/>
        <v>Normal Usage</v>
      </c>
    </row>
    <row r="1891" spans="1:9" x14ac:dyDescent="0.3">
      <c r="A1891">
        <v>11890</v>
      </c>
      <c r="B1891">
        <v>415</v>
      </c>
      <c r="C1891" s="2">
        <v>44945</v>
      </c>
      <c r="D1891" s="2" t="str">
        <f>TEXT(Table3[[#This Row],[usage_date]],"mmmm")</f>
        <v>January</v>
      </c>
      <c r="E1891" s="9">
        <f>YEAR(Table3[[#This Row],[usage_date]])</f>
        <v>2023</v>
      </c>
      <c r="F1891" s="14">
        <v>1.79</v>
      </c>
      <c r="G1891">
        <v>82</v>
      </c>
      <c r="H1891" t="s">
        <v>12</v>
      </c>
      <c r="I1891" t="str">
        <f t="shared" si="29"/>
        <v>Normal Usage</v>
      </c>
    </row>
    <row r="1892" spans="1:9" x14ac:dyDescent="0.3">
      <c r="A1892">
        <v>11891</v>
      </c>
      <c r="B1892">
        <v>290</v>
      </c>
      <c r="C1892" s="2">
        <v>45373</v>
      </c>
      <c r="D1892" s="2" t="str">
        <f>TEXT(Table3[[#This Row],[usage_date]],"mmmm")</f>
        <v>March</v>
      </c>
      <c r="E1892" s="9">
        <f>YEAR(Table3[[#This Row],[usage_date]])</f>
        <v>2024</v>
      </c>
      <c r="F1892" s="14">
        <v>1.45</v>
      </c>
      <c r="G1892">
        <v>133</v>
      </c>
      <c r="H1892" t="s">
        <v>12</v>
      </c>
      <c r="I1892" t="str">
        <f t="shared" si="29"/>
        <v>Normal Usage</v>
      </c>
    </row>
    <row r="1893" spans="1:9" x14ac:dyDescent="0.3">
      <c r="A1893">
        <v>11892</v>
      </c>
      <c r="B1893">
        <v>295</v>
      </c>
      <c r="C1893" s="2">
        <v>45176</v>
      </c>
      <c r="D1893" s="2" t="str">
        <f>TEXT(Table3[[#This Row],[usage_date]],"mmmm")</f>
        <v>September</v>
      </c>
      <c r="E1893" s="9">
        <f>YEAR(Table3[[#This Row],[usage_date]])</f>
        <v>2023</v>
      </c>
      <c r="F1893" s="14">
        <v>1.8</v>
      </c>
      <c r="G1893">
        <v>159</v>
      </c>
      <c r="H1893" t="s">
        <v>12</v>
      </c>
      <c r="I1893" t="str">
        <f t="shared" si="29"/>
        <v>Normal Usage</v>
      </c>
    </row>
    <row r="1894" spans="1:9" x14ac:dyDescent="0.3">
      <c r="A1894">
        <v>11893</v>
      </c>
      <c r="B1894">
        <v>451</v>
      </c>
      <c r="C1894" s="2">
        <v>45120</v>
      </c>
      <c r="D1894" s="2" t="str">
        <f>TEXT(Table3[[#This Row],[usage_date]],"mmmm")</f>
        <v>July</v>
      </c>
      <c r="E1894" s="9">
        <f>YEAR(Table3[[#This Row],[usage_date]])</f>
        <v>2023</v>
      </c>
      <c r="F1894" s="14">
        <v>2.79</v>
      </c>
      <c r="G1894">
        <v>38</v>
      </c>
      <c r="H1894" t="s">
        <v>12</v>
      </c>
      <c r="I1894" t="str">
        <f t="shared" si="29"/>
        <v>Normal Usage</v>
      </c>
    </row>
    <row r="1895" spans="1:9" x14ac:dyDescent="0.3">
      <c r="A1895">
        <v>11894</v>
      </c>
      <c r="B1895">
        <v>392</v>
      </c>
      <c r="C1895" s="2">
        <v>44600</v>
      </c>
      <c r="D1895" s="2" t="str">
        <f>TEXT(Table3[[#This Row],[usage_date]],"mmmm")</f>
        <v>February</v>
      </c>
      <c r="E1895" s="9">
        <f>YEAR(Table3[[#This Row],[usage_date]])</f>
        <v>2022</v>
      </c>
      <c r="F1895" s="14">
        <v>1.22</v>
      </c>
      <c r="G1895">
        <v>175</v>
      </c>
      <c r="H1895" t="s">
        <v>13</v>
      </c>
      <c r="I1895" t="str">
        <f t="shared" si="29"/>
        <v>Normal Usage</v>
      </c>
    </row>
    <row r="1896" spans="1:9" x14ac:dyDescent="0.3">
      <c r="A1896">
        <v>11895</v>
      </c>
      <c r="B1896">
        <v>215</v>
      </c>
      <c r="C1896" s="2">
        <v>44846</v>
      </c>
      <c r="D1896" s="2" t="str">
        <f>TEXT(Table3[[#This Row],[usage_date]],"mmmm")</f>
        <v>October</v>
      </c>
      <c r="E1896" s="9">
        <f>YEAR(Table3[[#This Row],[usage_date]])</f>
        <v>2022</v>
      </c>
      <c r="F1896" s="14">
        <v>0.72</v>
      </c>
      <c r="G1896">
        <v>12</v>
      </c>
      <c r="H1896" t="s">
        <v>12</v>
      </c>
      <c r="I1896" t="str">
        <f t="shared" si="29"/>
        <v>Normal Usage</v>
      </c>
    </row>
    <row r="1897" spans="1:9" x14ac:dyDescent="0.3">
      <c r="A1897">
        <v>11896</v>
      </c>
      <c r="B1897">
        <v>462</v>
      </c>
      <c r="C1897" s="2">
        <v>45383</v>
      </c>
      <c r="D1897" s="2" t="str">
        <f>TEXT(Table3[[#This Row],[usage_date]],"mmmm")</f>
        <v>April</v>
      </c>
      <c r="E1897" s="9">
        <f>YEAR(Table3[[#This Row],[usage_date]])</f>
        <v>2024</v>
      </c>
      <c r="F1897" s="14">
        <v>0.45</v>
      </c>
      <c r="G1897">
        <v>66</v>
      </c>
      <c r="H1897" t="s">
        <v>13</v>
      </c>
      <c r="I1897" t="str">
        <f t="shared" si="29"/>
        <v>Normal Usage</v>
      </c>
    </row>
    <row r="1898" spans="1:9" x14ac:dyDescent="0.3">
      <c r="A1898">
        <v>11897</v>
      </c>
      <c r="B1898">
        <v>120</v>
      </c>
      <c r="C1898" s="2">
        <v>45163</v>
      </c>
      <c r="D1898" s="2" t="str">
        <f>TEXT(Table3[[#This Row],[usage_date]],"mmmm")</f>
        <v>August</v>
      </c>
      <c r="E1898" s="9">
        <f>YEAR(Table3[[#This Row],[usage_date]])</f>
        <v>2023</v>
      </c>
      <c r="F1898" s="14">
        <v>1.07</v>
      </c>
      <c r="G1898">
        <v>247</v>
      </c>
      <c r="H1898" t="s">
        <v>12</v>
      </c>
      <c r="I1898" t="str">
        <f t="shared" si="29"/>
        <v>Normal Usage</v>
      </c>
    </row>
    <row r="1899" spans="1:9" x14ac:dyDescent="0.3">
      <c r="A1899">
        <v>11898</v>
      </c>
      <c r="B1899">
        <v>382</v>
      </c>
      <c r="C1899" s="2">
        <v>45158</v>
      </c>
      <c r="D1899" s="2" t="str">
        <f>TEXT(Table3[[#This Row],[usage_date]],"mmmm")</f>
        <v>August</v>
      </c>
      <c r="E1899" s="9">
        <f>YEAR(Table3[[#This Row],[usage_date]])</f>
        <v>2023</v>
      </c>
      <c r="F1899" s="14">
        <v>3.39</v>
      </c>
      <c r="G1899">
        <v>40</v>
      </c>
      <c r="H1899" t="s">
        <v>12</v>
      </c>
      <c r="I1899" t="str">
        <f t="shared" si="29"/>
        <v>Normal Usage</v>
      </c>
    </row>
    <row r="1900" spans="1:9" x14ac:dyDescent="0.3">
      <c r="A1900">
        <v>11899</v>
      </c>
      <c r="B1900">
        <v>55</v>
      </c>
      <c r="C1900" s="2">
        <v>45346</v>
      </c>
      <c r="D1900" s="2" t="str">
        <f>TEXT(Table3[[#This Row],[usage_date]],"mmmm")</f>
        <v>February</v>
      </c>
      <c r="E1900" s="9">
        <f>YEAR(Table3[[#This Row],[usage_date]])</f>
        <v>2024</v>
      </c>
      <c r="F1900" s="14">
        <v>3.53</v>
      </c>
      <c r="G1900">
        <v>183</v>
      </c>
      <c r="H1900" t="s">
        <v>12</v>
      </c>
      <c r="I1900" t="str">
        <f t="shared" si="29"/>
        <v>Normal Usage</v>
      </c>
    </row>
    <row r="1901" spans="1:9" x14ac:dyDescent="0.3">
      <c r="A1901">
        <v>11900</v>
      </c>
      <c r="B1901">
        <v>27</v>
      </c>
      <c r="C1901" s="2">
        <v>44897</v>
      </c>
      <c r="D1901" s="2" t="str">
        <f>TEXT(Table3[[#This Row],[usage_date]],"mmmm")</f>
        <v>December</v>
      </c>
      <c r="E1901" s="9">
        <f>YEAR(Table3[[#This Row],[usage_date]])</f>
        <v>2022</v>
      </c>
      <c r="F1901" s="14">
        <v>2.75</v>
      </c>
      <c r="G1901">
        <v>34</v>
      </c>
      <c r="H1901" t="s">
        <v>12</v>
      </c>
      <c r="I1901" t="str">
        <f t="shared" si="29"/>
        <v>Normal Usage</v>
      </c>
    </row>
    <row r="1902" spans="1:9" x14ac:dyDescent="0.3">
      <c r="A1902">
        <v>11901</v>
      </c>
      <c r="B1902">
        <v>118</v>
      </c>
      <c r="C1902" s="2">
        <v>44749</v>
      </c>
      <c r="D1902" s="2" t="str">
        <f>TEXT(Table3[[#This Row],[usage_date]],"mmmm")</f>
        <v>July</v>
      </c>
      <c r="E1902" s="9">
        <f>YEAR(Table3[[#This Row],[usage_date]])</f>
        <v>2022</v>
      </c>
      <c r="F1902" s="14">
        <v>0.67</v>
      </c>
      <c r="G1902">
        <v>289</v>
      </c>
      <c r="H1902" t="s">
        <v>12</v>
      </c>
      <c r="I1902" t="str">
        <f t="shared" si="29"/>
        <v>Normal Usage</v>
      </c>
    </row>
    <row r="1903" spans="1:9" x14ac:dyDescent="0.3">
      <c r="A1903">
        <v>11902</v>
      </c>
      <c r="B1903">
        <v>221</v>
      </c>
      <c r="C1903" s="2">
        <v>45232</v>
      </c>
      <c r="D1903" s="2" t="str">
        <f>TEXT(Table3[[#This Row],[usage_date]],"mmmm")</f>
        <v>November</v>
      </c>
      <c r="E1903" s="9">
        <f>YEAR(Table3[[#This Row],[usage_date]])</f>
        <v>2023</v>
      </c>
      <c r="F1903" s="14">
        <v>2.2200000000000002</v>
      </c>
      <c r="G1903">
        <v>75</v>
      </c>
      <c r="H1903" t="s">
        <v>12</v>
      </c>
      <c r="I1903" t="str">
        <f t="shared" si="29"/>
        <v>Normal Usage</v>
      </c>
    </row>
    <row r="1904" spans="1:9" x14ac:dyDescent="0.3">
      <c r="A1904">
        <v>11903</v>
      </c>
      <c r="B1904">
        <v>231</v>
      </c>
      <c r="C1904" s="2">
        <v>44804</v>
      </c>
      <c r="D1904" s="2" t="str">
        <f>TEXT(Table3[[#This Row],[usage_date]],"mmmm")</f>
        <v>August</v>
      </c>
      <c r="E1904" s="9">
        <f>YEAR(Table3[[#This Row],[usage_date]])</f>
        <v>2022</v>
      </c>
      <c r="F1904" s="14">
        <v>2.11</v>
      </c>
      <c r="G1904">
        <v>69</v>
      </c>
      <c r="H1904" t="s">
        <v>12</v>
      </c>
      <c r="I1904" t="str">
        <f t="shared" si="29"/>
        <v>Normal Usage</v>
      </c>
    </row>
    <row r="1905" spans="1:9" x14ac:dyDescent="0.3">
      <c r="A1905">
        <v>11904</v>
      </c>
      <c r="B1905">
        <v>53</v>
      </c>
      <c r="C1905" s="2">
        <v>44634</v>
      </c>
      <c r="D1905" s="2" t="str">
        <f>TEXT(Table3[[#This Row],[usage_date]],"mmmm")</f>
        <v>March</v>
      </c>
      <c r="E1905" s="9">
        <f>YEAR(Table3[[#This Row],[usage_date]])</f>
        <v>2022</v>
      </c>
      <c r="F1905" s="14">
        <v>1.66</v>
      </c>
      <c r="G1905">
        <v>233</v>
      </c>
      <c r="H1905" t="s">
        <v>12</v>
      </c>
      <c r="I1905" t="str">
        <f t="shared" si="29"/>
        <v>Normal Usage</v>
      </c>
    </row>
    <row r="1906" spans="1:9" x14ac:dyDescent="0.3">
      <c r="A1906">
        <v>11905</v>
      </c>
      <c r="B1906">
        <v>295</v>
      </c>
      <c r="C1906" s="2">
        <v>45040</v>
      </c>
      <c r="D1906" s="2" t="str">
        <f>TEXT(Table3[[#This Row],[usage_date]],"mmmm")</f>
        <v>April</v>
      </c>
      <c r="E1906" s="9">
        <f>YEAR(Table3[[#This Row],[usage_date]])</f>
        <v>2023</v>
      </c>
      <c r="F1906" s="14">
        <v>2</v>
      </c>
      <c r="G1906">
        <v>10</v>
      </c>
      <c r="H1906" t="s">
        <v>12</v>
      </c>
      <c r="I1906" t="str">
        <f t="shared" si="29"/>
        <v>Normal Usage</v>
      </c>
    </row>
    <row r="1907" spans="1:9" x14ac:dyDescent="0.3">
      <c r="A1907">
        <v>11906</v>
      </c>
      <c r="B1907">
        <v>321</v>
      </c>
      <c r="C1907" s="2">
        <v>45122</v>
      </c>
      <c r="D1907" s="2" t="str">
        <f>TEXT(Table3[[#This Row],[usage_date]],"mmmm")</f>
        <v>July</v>
      </c>
      <c r="E1907" s="9">
        <f>YEAR(Table3[[#This Row],[usage_date]])</f>
        <v>2023</v>
      </c>
      <c r="F1907" s="14">
        <v>1.69</v>
      </c>
      <c r="G1907">
        <v>282</v>
      </c>
      <c r="H1907" t="s">
        <v>12</v>
      </c>
      <c r="I1907" t="str">
        <f t="shared" si="29"/>
        <v>Normal Usage</v>
      </c>
    </row>
    <row r="1908" spans="1:9" x14ac:dyDescent="0.3">
      <c r="A1908">
        <v>11907</v>
      </c>
      <c r="B1908">
        <v>401</v>
      </c>
      <c r="C1908" s="2">
        <v>44662</v>
      </c>
      <c r="D1908" s="2" t="str">
        <f>TEXT(Table3[[#This Row],[usage_date]],"mmmm")</f>
        <v>April</v>
      </c>
      <c r="E1908" s="9">
        <f>YEAR(Table3[[#This Row],[usage_date]])</f>
        <v>2022</v>
      </c>
      <c r="F1908" s="14">
        <v>2.08</v>
      </c>
      <c r="G1908">
        <v>23</v>
      </c>
      <c r="H1908" t="s">
        <v>12</v>
      </c>
      <c r="I1908" t="str">
        <f t="shared" si="29"/>
        <v>Normal Usage</v>
      </c>
    </row>
    <row r="1909" spans="1:9" x14ac:dyDescent="0.3">
      <c r="A1909">
        <v>11908</v>
      </c>
      <c r="B1909">
        <v>233</v>
      </c>
      <c r="C1909" s="2">
        <v>45075</v>
      </c>
      <c r="D1909" s="2" t="str">
        <f>TEXT(Table3[[#This Row],[usage_date]],"mmmm")</f>
        <v>May</v>
      </c>
      <c r="E1909" s="9">
        <f>YEAR(Table3[[#This Row],[usage_date]])</f>
        <v>2023</v>
      </c>
      <c r="F1909" s="14">
        <v>3.14</v>
      </c>
      <c r="G1909">
        <v>273</v>
      </c>
      <c r="H1909" t="s">
        <v>12</v>
      </c>
      <c r="I1909" t="str">
        <f t="shared" si="29"/>
        <v>Normal Usage</v>
      </c>
    </row>
    <row r="1910" spans="1:9" x14ac:dyDescent="0.3">
      <c r="A1910">
        <v>11909</v>
      </c>
      <c r="B1910">
        <v>158</v>
      </c>
      <c r="C1910" s="2">
        <v>45317</v>
      </c>
      <c r="D1910" s="2" t="str">
        <f>TEXT(Table3[[#This Row],[usage_date]],"mmmm")</f>
        <v>January</v>
      </c>
      <c r="E1910" s="9">
        <f>YEAR(Table3[[#This Row],[usage_date]])</f>
        <v>2024</v>
      </c>
      <c r="F1910" s="14">
        <v>0.28999999999999998</v>
      </c>
      <c r="G1910">
        <v>26</v>
      </c>
      <c r="H1910" t="s">
        <v>12</v>
      </c>
      <c r="I1910" t="str">
        <f t="shared" si="29"/>
        <v>Normal Usage</v>
      </c>
    </row>
    <row r="1911" spans="1:9" x14ac:dyDescent="0.3">
      <c r="A1911">
        <v>11910</v>
      </c>
      <c r="B1911">
        <v>437</v>
      </c>
      <c r="C1911" s="2">
        <v>44737</v>
      </c>
      <c r="D1911" s="2" t="str">
        <f>TEXT(Table3[[#This Row],[usage_date]],"mmmm")</f>
        <v>June</v>
      </c>
      <c r="E1911" s="9">
        <f>YEAR(Table3[[#This Row],[usage_date]])</f>
        <v>2022</v>
      </c>
      <c r="F1911" s="14">
        <v>3.46</v>
      </c>
      <c r="G1911">
        <v>53</v>
      </c>
      <c r="H1911" t="s">
        <v>13</v>
      </c>
      <c r="I1911" t="str">
        <f t="shared" si="29"/>
        <v>Normal Usage</v>
      </c>
    </row>
    <row r="1912" spans="1:9" x14ac:dyDescent="0.3">
      <c r="A1912">
        <v>11911</v>
      </c>
      <c r="B1912">
        <v>269</v>
      </c>
      <c r="C1912" s="2">
        <v>44799</v>
      </c>
      <c r="D1912" s="2" t="str">
        <f>TEXT(Table3[[#This Row],[usage_date]],"mmmm")</f>
        <v>August</v>
      </c>
      <c r="E1912" s="9">
        <f>YEAR(Table3[[#This Row],[usage_date]])</f>
        <v>2022</v>
      </c>
      <c r="F1912" s="14">
        <v>0.37</v>
      </c>
      <c r="G1912">
        <v>54</v>
      </c>
      <c r="H1912" t="s">
        <v>12</v>
      </c>
      <c r="I1912" t="str">
        <f t="shared" si="29"/>
        <v>Normal Usage</v>
      </c>
    </row>
    <row r="1913" spans="1:9" x14ac:dyDescent="0.3">
      <c r="A1913">
        <v>11912</v>
      </c>
      <c r="B1913">
        <v>21</v>
      </c>
      <c r="C1913" s="2">
        <v>44620</v>
      </c>
      <c r="D1913" s="2" t="str">
        <f>TEXT(Table3[[#This Row],[usage_date]],"mmmm")</f>
        <v>February</v>
      </c>
      <c r="E1913" s="9">
        <f>YEAR(Table3[[#This Row],[usage_date]])</f>
        <v>2022</v>
      </c>
      <c r="F1913" s="14">
        <v>0.17</v>
      </c>
      <c r="G1913">
        <v>232</v>
      </c>
      <c r="H1913" t="s">
        <v>12</v>
      </c>
      <c r="I1913" t="str">
        <f t="shared" si="29"/>
        <v>Normal Usage</v>
      </c>
    </row>
    <row r="1914" spans="1:9" x14ac:dyDescent="0.3">
      <c r="A1914">
        <v>11913</v>
      </c>
      <c r="B1914">
        <v>403</v>
      </c>
      <c r="C1914" s="2">
        <v>45426</v>
      </c>
      <c r="D1914" s="2" t="str">
        <f>TEXT(Table3[[#This Row],[usage_date]],"mmmm")</f>
        <v>May</v>
      </c>
      <c r="E1914" s="9">
        <f>YEAR(Table3[[#This Row],[usage_date]])</f>
        <v>2024</v>
      </c>
      <c r="F1914" s="14">
        <v>9.33</v>
      </c>
      <c r="G1914">
        <v>276</v>
      </c>
      <c r="H1914" t="s">
        <v>12</v>
      </c>
      <c r="I1914" t="str">
        <f t="shared" si="29"/>
        <v>High Usage</v>
      </c>
    </row>
    <row r="1915" spans="1:9" x14ac:dyDescent="0.3">
      <c r="A1915">
        <v>11914</v>
      </c>
      <c r="B1915">
        <v>53</v>
      </c>
      <c r="C1915" s="2">
        <v>44660</v>
      </c>
      <c r="D1915" s="2" t="str">
        <f>TEXT(Table3[[#This Row],[usage_date]],"mmmm")</f>
        <v>April</v>
      </c>
      <c r="E1915" s="9">
        <f>YEAR(Table3[[#This Row],[usage_date]])</f>
        <v>2022</v>
      </c>
      <c r="F1915" s="14">
        <v>7.87</v>
      </c>
      <c r="G1915">
        <v>119</v>
      </c>
      <c r="H1915" t="s">
        <v>12</v>
      </c>
      <c r="I1915" t="str">
        <f t="shared" si="29"/>
        <v>High Usage</v>
      </c>
    </row>
    <row r="1916" spans="1:9" x14ac:dyDescent="0.3">
      <c r="A1916">
        <v>11915</v>
      </c>
      <c r="B1916">
        <v>275</v>
      </c>
      <c r="C1916" s="2">
        <v>45432</v>
      </c>
      <c r="D1916" s="2" t="str">
        <f>TEXT(Table3[[#This Row],[usage_date]],"mmmm")</f>
        <v>May</v>
      </c>
      <c r="E1916" s="9">
        <f>YEAR(Table3[[#This Row],[usage_date]])</f>
        <v>2024</v>
      </c>
      <c r="F1916" s="14">
        <v>0.16</v>
      </c>
      <c r="G1916">
        <v>224</v>
      </c>
      <c r="H1916" t="s">
        <v>12</v>
      </c>
      <c r="I1916" t="str">
        <f t="shared" si="29"/>
        <v>Normal Usage</v>
      </c>
    </row>
    <row r="1917" spans="1:9" x14ac:dyDescent="0.3">
      <c r="A1917">
        <v>11916</v>
      </c>
      <c r="B1917">
        <v>313</v>
      </c>
      <c r="C1917" s="2">
        <v>45056</v>
      </c>
      <c r="D1917" s="2" t="str">
        <f>TEXT(Table3[[#This Row],[usage_date]],"mmmm")</f>
        <v>May</v>
      </c>
      <c r="E1917" s="9">
        <f>YEAR(Table3[[#This Row],[usage_date]])</f>
        <v>2023</v>
      </c>
      <c r="F1917" s="14">
        <v>1.46</v>
      </c>
      <c r="G1917">
        <v>57</v>
      </c>
      <c r="H1917" t="s">
        <v>12</v>
      </c>
      <c r="I1917" t="str">
        <f t="shared" si="29"/>
        <v>Normal Usage</v>
      </c>
    </row>
    <row r="1918" spans="1:9" x14ac:dyDescent="0.3">
      <c r="A1918">
        <v>11917</v>
      </c>
      <c r="B1918">
        <v>281</v>
      </c>
      <c r="C1918" s="2">
        <v>45075</v>
      </c>
      <c r="D1918" s="2" t="str">
        <f>TEXT(Table3[[#This Row],[usage_date]],"mmmm")</f>
        <v>May</v>
      </c>
      <c r="E1918" s="9">
        <f>YEAR(Table3[[#This Row],[usage_date]])</f>
        <v>2023</v>
      </c>
      <c r="F1918" s="14">
        <v>0.52</v>
      </c>
      <c r="G1918">
        <v>254</v>
      </c>
      <c r="H1918" t="s">
        <v>13</v>
      </c>
      <c r="I1918" t="str">
        <f t="shared" si="29"/>
        <v>Normal Usage</v>
      </c>
    </row>
    <row r="1919" spans="1:9" x14ac:dyDescent="0.3">
      <c r="A1919">
        <v>11918</v>
      </c>
      <c r="B1919">
        <v>214</v>
      </c>
      <c r="C1919" s="2">
        <v>45316</v>
      </c>
      <c r="D1919" s="2" t="str">
        <f>TEXT(Table3[[#This Row],[usage_date]],"mmmm")</f>
        <v>January</v>
      </c>
      <c r="E1919" s="9">
        <f>YEAR(Table3[[#This Row],[usage_date]])</f>
        <v>2024</v>
      </c>
      <c r="F1919" s="14">
        <v>1.66</v>
      </c>
      <c r="G1919">
        <v>175</v>
      </c>
      <c r="H1919" t="s">
        <v>12</v>
      </c>
      <c r="I1919" t="str">
        <f t="shared" si="29"/>
        <v>Normal Usage</v>
      </c>
    </row>
    <row r="1920" spans="1:9" x14ac:dyDescent="0.3">
      <c r="A1920">
        <v>11919</v>
      </c>
      <c r="B1920">
        <v>31</v>
      </c>
      <c r="C1920" s="2">
        <v>44858</v>
      </c>
      <c r="D1920" s="2" t="str">
        <f>TEXT(Table3[[#This Row],[usage_date]],"mmmm")</f>
        <v>October</v>
      </c>
      <c r="E1920" s="9">
        <f>YEAR(Table3[[#This Row],[usage_date]])</f>
        <v>2022</v>
      </c>
      <c r="F1920" s="14">
        <v>4.43</v>
      </c>
      <c r="G1920">
        <v>53</v>
      </c>
      <c r="H1920" t="s">
        <v>12</v>
      </c>
      <c r="I1920" t="str">
        <f t="shared" si="29"/>
        <v>Normal Usage</v>
      </c>
    </row>
    <row r="1921" spans="1:9" x14ac:dyDescent="0.3">
      <c r="A1921">
        <v>11920</v>
      </c>
      <c r="B1921">
        <v>337</v>
      </c>
      <c r="C1921" s="2">
        <v>44772</v>
      </c>
      <c r="D1921" s="2" t="str">
        <f>TEXT(Table3[[#This Row],[usage_date]],"mmmm")</f>
        <v>July</v>
      </c>
      <c r="E1921" s="9">
        <f>YEAR(Table3[[#This Row],[usage_date]])</f>
        <v>2022</v>
      </c>
      <c r="F1921" s="14">
        <v>7.52</v>
      </c>
      <c r="G1921">
        <v>145</v>
      </c>
      <c r="H1921" t="s">
        <v>12</v>
      </c>
      <c r="I1921" t="str">
        <f t="shared" si="29"/>
        <v>High Usage</v>
      </c>
    </row>
    <row r="1922" spans="1:9" x14ac:dyDescent="0.3">
      <c r="A1922">
        <v>11921</v>
      </c>
      <c r="B1922">
        <v>183</v>
      </c>
      <c r="C1922" s="2">
        <v>44684</v>
      </c>
      <c r="D1922" s="2" t="str">
        <f>TEXT(Table3[[#This Row],[usage_date]],"mmmm")</f>
        <v>May</v>
      </c>
      <c r="E1922" s="9">
        <f>YEAR(Table3[[#This Row],[usage_date]])</f>
        <v>2022</v>
      </c>
      <c r="F1922" s="14">
        <v>2.5099999999999998</v>
      </c>
      <c r="G1922">
        <v>258</v>
      </c>
      <c r="H1922" t="s">
        <v>12</v>
      </c>
      <c r="I1922" t="str">
        <f t="shared" ref="I1922:I1985" si="30">IF(F1922&gt;6,"High Usage","Normal Usage")</f>
        <v>Normal Usage</v>
      </c>
    </row>
    <row r="1923" spans="1:9" x14ac:dyDescent="0.3">
      <c r="A1923">
        <v>11922</v>
      </c>
      <c r="B1923">
        <v>23</v>
      </c>
      <c r="C1923" s="2">
        <v>44790</v>
      </c>
      <c r="D1923" s="2" t="str">
        <f>TEXT(Table3[[#This Row],[usage_date]],"mmmm")</f>
        <v>August</v>
      </c>
      <c r="E1923" s="9">
        <f>YEAR(Table3[[#This Row],[usage_date]])</f>
        <v>2022</v>
      </c>
      <c r="F1923" s="14">
        <v>1.0900000000000001</v>
      </c>
      <c r="G1923">
        <v>151</v>
      </c>
      <c r="H1923" t="s">
        <v>12</v>
      </c>
      <c r="I1923" t="str">
        <f t="shared" si="30"/>
        <v>Normal Usage</v>
      </c>
    </row>
    <row r="1924" spans="1:9" x14ac:dyDescent="0.3">
      <c r="A1924">
        <v>11923</v>
      </c>
      <c r="B1924">
        <v>32</v>
      </c>
      <c r="C1924" s="2">
        <v>45155</v>
      </c>
      <c r="D1924" s="2" t="str">
        <f>TEXT(Table3[[#This Row],[usage_date]],"mmmm")</f>
        <v>August</v>
      </c>
      <c r="E1924" s="9">
        <f>YEAR(Table3[[#This Row],[usage_date]])</f>
        <v>2023</v>
      </c>
      <c r="F1924" s="14">
        <v>2.31</v>
      </c>
      <c r="G1924">
        <v>261</v>
      </c>
      <c r="H1924" t="s">
        <v>13</v>
      </c>
      <c r="I1924" t="str">
        <f t="shared" si="30"/>
        <v>Normal Usage</v>
      </c>
    </row>
    <row r="1925" spans="1:9" x14ac:dyDescent="0.3">
      <c r="A1925">
        <v>11924</v>
      </c>
      <c r="B1925">
        <v>446</v>
      </c>
      <c r="C1925" s="2">
        <v>45217</v>
      </c>
      <c r="D1925" s="2" t="str">
        <f>TEXT(Table3[[#This Row],[usage_date]],"mmmm")</f>
        <v>October</v>
      </c>
      <c r="E1925" s="9">
        <f>YEAR(Table3[[#This Row],[usage_date]])</f>
        <v>2023</v>
      </c>
      <c r="F1925" s="14">
        <v>0.93</v>
      </c>
      <c r="G1925">
        <v>18</v>
      </c>
      <c r="H1925" t="s">
        <v>13</v>
      </c>
      <c r="I1925" t="str">
        <f t="shared" si="30"/>
        <v>Normal Usage</v>
      </c>
    </row>
    <row r="1926" spans="1:9" x14ac:dyDescent="0.3">
      <c r="A1926">
        <v>11925</v>
      </c>
      <c r="B1926">
        <v>74</v>
      </c>
      <c r="C1926" s="2">
        <v>44949</v>
      </c>
      <c r="D1926" s="2" t="str">
        <f>TEXT(Table3[[#This Row],[usage_date]],"mmmm")</f>
        <v>January</v>
      </c>
      <c r="E1926" s="9">
        <f>YEAR(Table3[[#This Row],[usage_date]])</f>
        <v>2023</v>
      </c>
      <c r="F1926" s="14">
        <v>6.01</v>
      </c>
      <c r="G1926">
        <v>170</v>
      </c>
      <c r="H1926" t="s">
        <v>13</v>
      </c>
      <c r="I1926" t="str">
        <f t="shared" si="30"/>
        <v>High Usage</v>
      </c>
    </row>
    <row r="1927" spans="1:9" x14ac:dyDescent="0.3">
      <c r="A1927">
        <v>11926</v>
      </c>
      <c r="B1927">
        <v>10</v>
      </c>
      <c r="C1927" s="2">
        <v>44701</v>
      </c>
      <c r="D1927" s="2" t="str">
        <f>TEXT(Table3[[#This Row],[usage_date]],"mmmm")</f>
        <v>May</v>
      </c>
      <c r="E1927" s="9">
        <f>YEAR(Table3[[#This Row],[usage_date]])</f>
        <v>2022</v>
      </c>
      <c r="F1927" s="14">
        <v>5.1100000000000003</v>
      </c>
      <c r="G1927">
        <v>196</v>
      </c>
      <c r="H1927" t="s">
        <v>12</v>
      </c>
      <c r="I1927" t="str">
        <f t="shared" si="30"/>
        <v>Normal Usage</v>
      </c>
    </row>
    <row r="1928" spans="1:9" x14ac:dyDescent="0.3">
      <c r="A1928">
        <v>11927</v>
      </c>
      <c r="B1928">
        <v>484</v>
      </c>
      <c r="C1928" s="2">
        <v>45102</v>
      </c>
      <c r="D1928" s="2" t="str">
        <f>TEXT(Table3[[#This Row],[usage_date]],"mmmm")</f>
        <v>June</v>
      </c>
      <c r="E1928" s="9">
        <f>YEAR(Table3[[#This Row],[usage_date]])</f>
        <v>2023</v>
      </c>
      <c r="F1928" s="14">
        <v>2.04</v>
      </c>
      <c r="G1928">
        <v>72</v>
      </c>
      <c r="H1928" t="s">
        <v>13</v>
      </c>
      <c r="I1928" t="str">
        <f t="shared" si="30"/>
        <v>Normal Usage</v>
      </c>
    </row>
    <row r="1929" spans="1:9" x14ac:dyDescent="0.3">
      <c r="A1929">
        <v>11928</v>
      </c>
      <c r="B1929">
        <v>456</v>
      </c>
      <c r="C1929" s="2">
        <v>44952</v>
      </c>
      <c r="D1929" s="2" t="str">
        <f>TEXT(Table3[[#This Row],[usage_date]],"mmmm")</f>
        <v>January</v>
      </c>
      <c r="E1929" s="9">
        <f>YEAR(Table3[[#This Row],[usage_date]])</f>
        <v>2023</v>
      </c>
      <c r="F1929" s="14">
        <v>0.98</v>
      </c>
      <c r="G1929">
        <v>84</v>
      </c>
      <c r="H1929" t="s">
        <v>12</v>
      </c>
      <c r="I1929" t="str">
        <f t="shared" si="30"/>
        <v>Normal Usage</v>
      </c>
    </row>
    <row r="1930" spans="1:9" x14ac:dyDescent="0.3">
      <c r="A1930">
        <v>11929</v>
      </c>
      <c r="B1930">
        <v>54</v>
      </c>
      <c r="C1930" s="2">
        <v>44831</v>
      </c>
      <c r="D1930" s="2" t="str">
        <f>TEXT(Table3[[#This Row],[usage_date]],"mmmm")</f>
        <v>September</v>
      </c>
      <c r="E1930" s="9">
        <f>YEAR(Table3[[#This Row],[usage_date]])</f>
        <v>2022</v>
      </c>
      <c r="F1930" s="14">
        <v>0.87</v>
      </c>
      <c r="G1930">
        <v>283</v>
      </c>
      <c r="H1930" t="s">
        <v>13</v>
      </c>
      <c r="I1930" t="str">
        <f t="shared" si="30"/>
        <v>Normal Usage</v>
      </c>
    </row>
    <row r="1931" spans="1:9" x14ac:dyDescent="0.3">
      <c r="A1931">
        <v>11930</v>
      </c>
      <c r="B1931">
        <v>52</v>
      </c>
      <c r="C1931" s="2">
        <v>45320</v>
      </c>
      <c r="D1931" s="2" t="str">
        <f>TEXT(Table3[[#This Row],[usage_date]],"mmmm")</f>
        <v>January</v>
      </c>
      <c r="E1931" s="9">
        <f>YEAR(Table3[[#This Row],[usage_date]])</f>
        <v>2024</v>
      </c>
      <c r="F1931" s="14">
        <v>0.08</v>
      </c>
      <c r="G1931">
        <v>131</v>
      </c>
      <c r="H1931" t="s">
        <v>13</v>
      </c>
      <c r="I1931" t="str">
        <f t="shared" si="30"/>
        <v>Normal Usage</v>
      </c>
    </row>
    <row r="1932" spans="1:9" x14ac:dyDescent="0.3">
      <c r="A1932">
        <v>11931</v>
      </c>
      <c r="B1932">
        <v>148</v>
      </c>
      <c r="C1932" s="2">
        <v>44573</v>
      </c>
      <c r="D1932" s="2" t="str">
        <f>TEXT(Table3[[#This Row],[usage_date]],"mmmm")</f>
        <v>January</v>
      </c>
      <c r="E1932" s="9">
        <f>YEAR(Table3[[#This Row],[usage_date]])</f>
        <v>2022</v>
      </c>
      <c r="F1932" s="14">
        <v>4.2300000000000004</v>
      </c>
      <c r="G1932">
        <v>119</v>
      </c>
      <c r="H1932" t="s">
        <v>12</v>
      </c>
      <c r="I1932" t="str">
        <f t="shared" si="30"/>
        <v>Normal Usage</v>
      </c>
    </row>
    <row r="1933" spans="1:9" x14ac:dyDescent="0.3">
      <c r="A1933">
        <v>11932</v>
      </c>
      <c r="B1933">
        <v>160</v>
      </c>
      <c r="C1933" s="2">
        <v>45428</v>
      </c>
      <c r="D1933" s="2" t="str">
        <f>TEXT(Table3[[#This Row],[usage_date]],"mmmm")</f>
        <v>May</v>
      </c>
      <c r="E1933" s="9">
        <f>YEAR(Table3[[#This Row],[usage_date]])</f>
        <v>2024</v>
      </c>
      <c r="F1933" s="14">
        <v>1.5</v>
      </c>
      <c r="G1933">
        <v>215</v>
      </c>
      <c r="H1933" t="s">
        <v>12</v>
      </c>
      <c r="I1933" t="str">
        <f t="shared" si="30"/>
        <v>Normal Usage</v>
      </c>
    </row>
    <row r="1934" spans="1:9" x14ac:dyDescent="0.3">
      <c r="A1934">
        <v>11933</v>
      </c>
      <c r="B1934">
        <v>370</v>
      </c>
      <c r="C1934" s="2">
        <v>44950</v>
      </c>
      <c r="D1934" s="2" t="str">
        <f>TEXT(Table3[[#This Row],[usage_date]],"mmmm")</f>
        <v>January</v>
      </c>
      <c r="E1934" s="9">
        <f>YEAR(Table3[[#This Row],[usage_date]])</f>
        <v>2023</v>
      </c>
      <c r="F1934" s="14">
        <v>0.98</v>
      </c>
      <c r="G1934">
        <v>135</v>
      </c>
      <c r="H1934" t="s">
        <v>12</v>
      </c>
      <c r="I1934" t="str">
        <f t="shared" si="30"/>
        <v>Normal Usage</v>
      </c>
    </row>
    <row r="1935" spans="1:9" x14ac:dyDescent="0.3">
      <c r="A1935">
        <v>11934</v>
      </c>
      <c r="B1935">
        <v>14</v>
      </c>
      <c r="C1935" s="2">
        <v>44898</v>
      </c>
      <c r="D1935" s="2" t="str">
        <f>TEXT(Table3[[#This Row],[usage_date]],"mmmm")</f>
        <v>December</v>
      </c>
      <c r="E1935" s="9">
        <f>YEAR(Table3[[#This Row],[usage_date]])</f>
        <v>2022</v>
      </c>
      <c r="F1935" s="14">
        <v>1.59</v>
      </c>
      <c r="G1935">
        <v>115</v>
      </c>
      <c r="H1935" t="s">
        <v>13</v>
      </c>
      <c r="I1935" t="str">
        <f t="shared" si="30"/>
        <v>Normal Usage</v>
      </c>
    </row>
    <row r="1936" spans="1:9" x14ac:dyDescent="0.3">
      <c r="A1936">
        <v>11935</v>
      </c>
      <c r="B1936">
        <v>178</v>
      </c>
      <c r="C1936" s="2">
        <v>45067</v>
      </c>
      <c r="D1936" s="2" t="str">
        <f>TEXT(Table3[[#This Row],[usage_date]],"mmmm")</f>
        <v>May</v>
      </c>
      <c r="E1936" s="9">
        <f>YEAR(Table3[[#This Row],[usage_date]])</f>
        <v>2023</v>
      </c>
      <c r="F1936" s="14">
        <v>4.2699999999999996</v>
      </c>
      <c r="G1936">
        <v>60</v>
      </c>
      <c r="H1936" t="s">
        <v>12</v>
      </c>
      <c r="I1936" t="str">
        <f t="shared" si="30"/>
        <v>Normal Usage</v>
      </c>
    </row>
    <row r="1937" spans="1:9" x14ac:dyDescent="0.3">
      <c r="A1937">
        <v>11936</v>
      </c>
      <c r="B1937">
        <v>412</v>
      </c>
      <c r="C1937" s="2">
        <v>44667</v>
      </c>
      <c r="D1937" s="2" t="str">
        <f>TEXT(Table3[[#This Row],[usage_date]],"mmmm")</f>
        <v>April</v>
      </c>
      <c r="E1937" s="9">
        <f>YEAR(Table3[[#This Row],[usage_date]])</f>
        <v>2022</v>
      </c>
      <c r="F1937" s="14">
        <v>0.33</v>
      </c>
      <c r="G1937">
        <v>16</v>
      </c>
      <c r="H1937" t="s">
        <v>13</v>
      </c>
      <c r="I1937" t="str">
        <f t="shared" si="30"/>
        <v>Normal Usage</v>
      </c>
    </row>
    <row r="1938" spans="1:9" x14ac:dyDescent="0.3">
      <c r="A1938">
        <v>11937</v>
      </c>
      <c r="B1938">
        <v>366</v>
      </c>
      <c r="C1938" s="2">
        <v>44593</v>
      </c>
      <c r="D1938" s="2" t="str">
        <f>TEXT(Table3[[#This Row],[usage_date]],"mmmm")</f>
        <v>February</v>
      </c>
      <c r="E1938" s="9">
        <f>YEAR(Table3[[#This Row],[usage_date]])</f>
        <v>2022</v>
      </c>
      <c r="F1938" s="14">
        <v>4.87</v>
      </c>
      <c r="G1938">
        <v>33</v>
      </c>
      <c r="H1938" t="s">
        <v>12</v>
      </c>
      <c r="I1938" t="str">
        <f t="shared" si="30"/>
        <v>Normal Usage</v>
      </c>
    </row>
    <row r="1939" spans="1:9" x14ac:dyDescent="0.3">
      <c r="A1939">
        <v>11938</v>
      </c>
      <c r="B1939">
        <v>500</v>
      </c>
      <c r="C1939" s="2">
        <v>44635</v>
      </c>
      <c r="D1939" s="2" t="str">
        <f>TEXT(Table3[[#This Row],[usage_date]],"mmmm")</f>
        <v>March</v>
      </c>
      <c r="E1939" s="9">
        <f>YEAR(Table3[[#This Row],[usage_date]])</f>
        <v>2022</v>
      </c>
      <c r="F1939" s="14">
        <v>5.69</v>
      </c>
      <c r="G1939">
        <v>19</v>
      </c>
      <c r="H1939" t="s">
        <v>12</v>
      </c>
      <c r="I1939" t="str">
        <f t="shared" si="30"/>
        <v>Normal Usage</v>
      </c>
    </row>
    <row r="1940" spans="1:9" x14ac:dyDescent="0.3">
      <c r="A1940">
        <v>11939</v>
      </c>
      <c r="B1940">
        <v>53</v>
      </c>
      <c r="C1940" s="2">
        <v>44732</v>
      </c>
      <c r="D1940" s="2" t="str">
        <f>TEXT(Table3[[#This Row],[usage_date]],"mmmm")</f>
        <v>June</v>
      </c>
      <c r="E1940" s="9">
        <f>YEAR(Table3[[#This Row],[usage_date]])</f>
        <v>2022</v>
      </c>
      <c r="F1940" s="14">
        <v>7.33</v>
      </c>
      <c r="G1940">
        <v>207</v>
      </c>
      <c r="H1940" t="s">
        <v>12</v>
      </c>
      <c r="I1940" t="str">
        <f t="shared" si="30"/>
        <v>High Usage</v>
      </c>
    </row>
    <row r="1941" spans="1:9" x14ac:dyDescent="0.3">
      <c r="A1941">
        <v>11940</v>
      </c>
      <c r="B1941">
        <v>408</v>
      </c>
      <c r="C1941" s="2">
        <v>45410</v>
      </c>
      <c r="D1941" s="2" t="str">
        <f>TEXT(Table3[[#This Row],[usage_date]],"mmmm")</f>
        <v>April</v>
      </c>
      <c r="E1941" s="9">
        <f>YEAR(Table3[[#This Row],[usage_date]])</f>
        <v>2024</v>
      </c>
      <c r="F1941" s="14">
        <v>1.27</v>
      </c>
      <c r="G1941">
        <v>161</v>
      </c>
      <c r="H1941" t="s">
        <v>13</v>
      </c>
      <c r="I1941" t="str">
        <f t="shared" si="30"/>
        <v>Normal Usage</v>
      </c>
    </row>
    <row r="1942" spans="1:9" x14ac:dyDescent="0.3">
      <c r="A1942">
        <v>11941</v>
      </c>
      <c r="B1942">
        <v>335</v>
      </c>
      <c r="C1942" s="2">
        <v>44630</v>
      </c>
      <c r="D1942" s="2" t="str">
        <f>TEXT(Table3[[#This Row],[usage_date]],"mmmm")</f>
        <v>March</v>
      </c>
      <c r="E1942" s="9">
        <f>YEAR(Table3[[#This Row],[usage_date]])</f>
        <v>2022</v>
      </c>
      <c r="F1942" s="14">
        <v>0.61</v>
      </c>
      <c r="G1942">
        <v>298</v>
      </c>
      <c r="H1942" t="s">
        <v>12</v>
      </c>
      <c r="I1942" t="str">
        <f t="shared" si="30"/>
        <v>Normal Usage</v>
      </c>
    </row>
    <row r="1943" spans="1:9" x14ac:dyDescent="0.3">
      <c r="A1943">
        <v>11942</v>
      </c>
      <c r="B1943">
        <v>22</v>
      </c>
      <c r="C1943" s="2">
        <v>45374</v>
      </c>
      <c r="D1943" s="2" t="str">
        <f>TEXT(Table3[[#This Row],[usage_date]],"mmmm")</f>
        <v>March</v>
      </c>
      <c r="E1943" s="9">
        <f>YEAR(Table3[[#This Row],[usage_date]])</f>
        <v>2024</v>
      </c>
      <c r="F1943" s="14">
        <v>1.17</v>
      </c>
      <c r="G1943">
        <v>9</v>
      </c>
      <c r="H1943" t="s">
        <v>12</v>
      </c>
      <c r="I1943" t="str">
        <f t="shared" si="30"/>
        <v>Normal Usage</v>
      </c>
    </row>
    <row r="1944" spans="1:9" x14ac:dyDescent="0.3">
      <c r="A1944">
        <v>11943</v>
      </c>
      <c r="B1944">
        <v>30</v>
      </c>
      <c r="C1944" s="2">
        <v>44923</v>
      </c>
      <c r="D1944" s="2" t="str">
        <f>TEXT(Table3[[#This Row],[usage_date]],"mmmm")</f>
        <v>December</v>
      </c>
      <c r="E1944" s="9">
        <f>YEAR(Table3[[#This Row],[usage_date]])</f>
        <v>2022</v>
      </c>
      <c r="F1944" s="14">
        <v>1.01</v>
      </c>
      <c r="G1944">
        <v>93</v>
      </c>
      <c r="H1944" t="s">
        <v>12</v>
      </c>
      <c r="I1944" t="str">
        <f t="shared" si="30"/>
        <v>Normal Usage</v>
      </c>
    </row>
    <row r="1945" spans="1:9" x14ac:dyDescent="0.3">
      <c r="A1945">
        <v>11944</v>
      </c>
      <c r="B1945">
        <v>191</v>
      </c>
      <c r="C1945" s="2">
        <v>45210</v>
      </c>
      <c r="D1945" s="2" t="str">
        <f>TEXT(Table3[[#This Row],[usage_date]],"mmmm")</f>
        <v>October</v>
      </c>
      <c r="E1945" s="9">
        <f>YEAR(Table3[[#This Row],[usage_date]])</f>
        <v>2023</v>
      </c>
      <c r="F1945" s="14">
        <v>0.48</v>
      </c>
      <c r="G1945">
        <v>106</v>
      </c>
      <c r="H1945" t="s">
        <v>12</v>
      </c>
      <c r="I1945" t="str">
        <f t="shared" si="30"/>
        <v>Normal Usage</v>
      </c>
    </row>
    <row r="1946" spans="1:9" x14ac:dyDescent="0.3">
      <c r="A1946">
        <v>11945</v>
      </c>
      <c r="B1946">
        <v>260</v>
      </c>
      <c r="C1946" s="2">
        <v>44994</v>
      </c>
      <c r="D1946" s="2" t="str">
        <f>TEXT(Table3[[#This Row],[usage_date]],"mmmm")</f>
        <v>March</v>
      </c>
      <c r="E1946" s="9">
        <f>YEAR(Table3[[#This Row],[usage_date]])</f>
        <v>2023</v>
      </c>
      <c r="F1946" s="14">
        <v>2.34</v>
      </c>
      <c r="G1946">
        <v>104</v>
      </c>
      <c r="H1946" t="s">
        <v>12</v>
      </c>
      <c r="I1946" t="str">
        <f t="shared" si="30"/>
        <v>Normal Usage</v>
      </c>
    </row>
    <row r="1947" spans="1:9" x14ac:dyDescent="0.3">
      <c r="A1947">
        <v>11946</v>
      </c>
      <c r="B1947">
        <v>205</v>
      </c>
      <c r="C1947" s="2">
        <v>44661</v>
      </c>
      <c r="D1947" s="2" t="str">
        <f>TEXT(Table3[[#This Row],[usage_date]],"mmmm")</f>
        <v>April</v>
      </c>
      <c r="E1947" s="9">
        <f>YEAR(Table3[[#This Row],[usage_date]])</f>
        <v>2022</v>
      </c>
      <c r="F1947" s="14">
        <v>1.62</v>
      </c>
      <c r="G1947">
        <v>70</v>
      </c>
      <c r="H1947" t="s">
        <v>12</v>
      </c>
      <c r="I1947" t="str">
        <f t="shared" si="30"/>
        <v>Normal Usage</v>
      </c>
    </row>
    <row r="1948" spans="1:9" x14ac:dyDescent="0.3">
      <c r="A1948">
        <v>11947</v>
      </c>
      <c r="B1948">
        <v>59</v>
      </c>
      <c r="C1948" s="2">
        <v>45219</v>
      </c>
      <c r="D1948" s="2" t="str">
        <f>TEXT(Table3[[#This Row],[usage_date]],"mmmm")</f>
        <v>October</v>
      </c>
      <c r="E1948" s="9">
        <f>YEAR(Table3[[#This Row],[usage_date]])</f>
        <v>2023</v>
      </c>
      <c r="F1948" s="14">
        <v>5.0199999999999996</v>
      </c>
      <c r="G1948">
        <v>83</v>
      </c>
      <c r="H1948" t="s">
        <v>13</v>
      </c>
      <c r="I1948" t="str">
        <f t="shared" si="30"/>
        <v>Normal Usage</v>
      </c>
    </row>
    <row r="1949" spans="1:9" x14ac:dyDescent="0.3">
      <c r="A1949">
        <v>11948</v>
      </c>
      <c r="B1949">
        <v>471</v>
      </c>
      <c r="C1949" s="2">
        <v>44570</v>
      </c>
      <c r="D1949" s="2" t="str">
        <f>TEXT(Table3[[#This Row],[usage_date]],"mmmm")</f>
        <v>January</v>
      </c>
      <c r="E1949" s="9">
        <f>YEAR(Table3[[#This Row],[usage_date]])</f>
        <v>2022</v>
      </c>
      <c r="F1949" s="14">
        <v>0.08</v>
      </c>
      <c r="G1949">
        <v>208</v>
      </c>
      <c r="H1949" t="s">
        <v>13</v>
      </c>
      <c r="I1949" t="str">
        <f t="shared" si="30"/>
        <v>Normal Usage</v>
      </c>
    </row>
    <row r="1950" spans="1:9" x14ac:dyDescent="0.3">
      <c r="A1950">
        <v>11949</v>
      </c>
      <c r="B1950">
        <v>264</v>
      </c>
      <c r="C1950" s="2">
        <v>45135</v>
      </c>
      <c r="D1950" s="2" t="str">
        <f>TEXT(Table3[[#This Row],[usage_date]],"mmmm")</f>
        <v>July</v>
      </c>
      <c r="E1950" s="9">
        <f>YEAR(Table3[[#This Row],[usage_date]])</f>
        <v>2023</v>
      </c>
      <c r="F1950" s="14">
        <v>2.58</v>
      </c>
      <c r="G1950">
        <v>258</v>
      </c>
      <c r="H1950" t="s">
        <v>12</v>
      </c>
      <c r="I1950" t="str">
        <f t="shared" si="30"/>
        <v>Normal Usage</v>
      </c>
    </row>
    <row r="1951" spans="1:9" x14ac:dyDescent="0.3">
      <c r="A1951">
        <v>11950</v>
      </c>
      <c r="B1951">
        <v>466</v>
      </c>
      <c r="C1951" s="2">
        <v>45258</v>
      </c>
      <c r="D1951" s="2" t="str">
        <f>TEXT(Table3[[#This Row],[usage_date]],"mmmm")</f>
        <v>November</v>
      </c>
      <c r="E1951" s="9">
        <f>YEAR(Table3[[#This Row],[usage_date]])</f>
        <v>2023</v>
      </c>
      <c r="F1951" s="14">
        <v>3.6</v>
      </c>
      <c r="G1951">
        <v>238</v>
      </c>
      <c r="H1951" t="s">
        <v>13</v>
      </c>
      <c r="I1951" t="str">
        <f t="shared" si="30"/>
        <v>Normal Usage</v>
      </c>
    </row>
    <row r="1952" spans="1:9" x14ac:dyDescent="0.3">
      <c r="A1952">
        <v>11951</v>
      </c>
      <c r="B1952">
        <v>12</v>
      </c>
      <c r="C1952" s="2">
        <v>44590</v>
      </c>
      <c r="D1952" s="2" t="str">
        <f>TEXT(Table3[[#This Row],[usage_date]],"mmmm")</f>
        <v>January</v>
      </c>
      <c r="E1952" s="9">
        <f>YEAR(Table3[[#This Row],[usage_date]])</f>
        <v>2022</v>
      </c>
      <c r="F1952" s="14">
        <v>3.56</v>
      </c>
      <c r="G1952">
        <v>231</v>
      </c>
      <c r="H1952" t="s">
        <v>13</v>
      </c>
      <c r="I1952" t="str">
        <f t="shared" si="30"/>
        <v>Normal Usage</v>
      </c>
    </row>
    <row r="1953" spans="1:9" x14ac:dyDescent="0.3">
      <c r="A1953">
        <v>11952</v>
      </c>
      <c r="B1953">
        <v>119</v>
      </c>
      <c r="C1953" s="2">
        <v>45454</v>
      </c>
      <c r="D1953" s="2" t="str">
        <f>TEXT(Table3[[#This Row],[usage_date]],"mmmm")</f>
        <v>June</v>
      </c>
      <c r="E1953" s="9">
        <f>YEAR(Table3[[#This Row],[usage_date]])</f>
        <v>2024</v>
      </c>
      <c r="F1953" s="14">
        <v>5.43</v>
      </c>
      <c r="G1953">
        <v>281</v>
      </c>
      <c r="H1953" t="s">
        <v>12</v>
      </c>
      <c r="I1953" t="str">
        <f t="shared" si="30"/>
        <v>Normal Usage</v>
      </c>
    </row>
    <row r="1954" spans="1:9" x14ac:dyDescent="0.3">
      <c r="A1954">
        <v>11953</v>
      </c>
      <c r="B1954">
        <v>415</v>
      </c>
      <c r="C1954" s="2">
        <v>44675</v>
      </c>
      <c r="D1954" s="2" t="str">
        <f>TEXT(Table3[[#This Row],[usage_date]],"mmmm")</f>
        <v>April</v>
      </c>
      <c r="E1954" s="9">
        <f>YEAR(Table3[[#This Row],[usage_date]])</f>
        <v>2022</v>
      </c>
      <c r="F1954" s="14">
        <v>3.26</v>
      </c>
      <c r="G1954">
        <v>205</v>
      </c>
      <c r="H1954" t="s">
        <v>12</v>
      </c>
      <c r="I1954" t="str">
        <f t="shared" si="30"/>
        <v>Normal Usage</v>
      </c>
    </row>
    <row r="1955" spans="1:9" x14ac:dyDescent="0.3">
      <c r="A1955">
        <v>11954</v>
      </c>
      <c r="B1955">
        <v>462</v>
      </c>
      <c r="C1955" s="2">
        <v>45023</v>
      </c>
      <c r="D1955" s="2" t="str">
        <f>TEXT(Table3[[#This Row],[usage_date]],"mmmm")</f>
        <v>April</v>
      </c>
      <c r="E1955" s="9">
        <f>YEAR(Table3[[#This Row],[usage_date]])</f>
        <v>2023</v>
      </c>
      <c r="F1955" s="14">
        <v>6.57</v>
      </c>
      <c r="G1955">
        <v>263</v>
      </c>
      <c r="H1955" t="s">
        <v>12</v>
      </c>
      <c r="I1955" t="str">
        <f t="shared" si="30"/>
        <v>High Usage</v>
      </c>
    </row>
    <row r="1956" spans="1:9" x14ac:dyDescent="0.3">
      <c r="A1956">
        <v>11955</v>
      </c>
      <c r="B1956">
        <v>290</v>
      </c>
      <c r="C1956" s="2">
        <v>44704</v>
      </c>
      <c r="D1956" s="2" t="str">
        <f>TEXT(Table3[[#This Row],[usage_date]],"mmmm")</f>
        <v>May</v>
      </c>
      <c r="E1956" s="9">
        <f>YEAR(Table3[[#This Row],[usage_date]])</f>
        <v>2022</v>
      </c>
      <c r="F1956" s="14">
        <v>1.01</v>
      </c>
      <c r="G1956">
        <v>184</v>
      </c>
      <c r="H1956" t="s">
        <v>12</v>
      </c>
      <c r="I1956" t="str">
        <f t="shared" si="30"/>
        <v>Normal Usage</v>
      </c>
    </row>
    <row r="1957" spans="1:9" x14ac:dyDescent="0.3">
      <c r="A1957">
        <v>11956</v>
      </c>
      <c r="B1957">
        <v>338</v>
      </c>
      <c r="C1957" s="2">
        <v>44951</v>
      </c>
      <c r="D1957" s="2" t="str">
        <f>TEXT(Table3[[#This Row],[usage_date]],"mmmm")</f>
        <v>January</v>
      </c>
      <c r="E1957" s="9">
        <f>YEAR(Table3[[#This Row],[usage_date]])</f>
        <v>2023</v>
      </c>
      <c r="F1957" s="14">
        <v>1.75</v>
      </c>
      <c r="G1957">
        <v>113</v>
      </c>
      <c r="H1957" t="s">
        <v>12</v>
      </c>
      <c r="I1957" t="str">
        <f t="shared" si="30"/>
        <v>Normal Usage</v>
      </c>
    </row>
    <row r="1958" spans="1:9" x14ac:dyDescent="0.3">
      <c r="A1958">
        <v>11957</v>
      </c>
      <c r="B1958">
        <v>248</v>
      </c>
      <c r="C1958" s="2">
        <v>45193</v>
      </c>
      <c r="D1958" s="2" t="str">
        <f>TEXT(Table3[[#This Row],[usage_date]],"mmmm")</f>
        <v>September</v>
      </c>
      <c r="E1958" s="9">
        <f>YEAR(Table3[[#This Row],[usage_date]])</f>
        <v>2023</v>
      </c>
      <c r="F1958" s="14">
        <v>0.04</v>
      </c>
      <c r="G1958">
        <v>78</v>
      </c>
      <c r="H1958" t="s">
        <v>13</v>
      </c>
      <c r="I1958" t="str">
        <f t="shared" si="30"/>
        <v>Normal Usage</v>
      </c>
    </row>
    <row r="1959" spans="1:9" x14ac:dyDescent="0.3">
      <c r="A1959">
        <v>11958</v>
      </c>
      <c r="B1959">
        <v>354</v>
      </c>
      <c r="C1959" s="2">
        <v>45243</v>
      </c>
      <c r="D1959" s="2" t="str">
        <f>TEXT(Table3[[#This Row],[usage_date]],"mmmm")</f>
        <v>November</v>
      </c>
      <c r="E1959" s="9">
        <f>YEAR(Table3[[#This Row],[usage_date]])</f>
        <v>2023</v>
      </c>
      <c r="F1959" s="14">
        <v>0.02</v>
      </c>
      <c r="G1959">
        <v>49</v>
      </c>
      <c r="H1959" t="s">
        <v>13</v>
      </c>
      <c r="I1959" t="str">
        <f t="shared" si="30"/>
        <v>Normal Usage</v>
      </c>
    </row>
    <row r="1960" spans="1:9" x14ac:dyDescent="0.3">
      <c r="A1960">
        <v>11959</v>
      </c>
      <c r="B1960">
        <v>127</v>
      </c>
      <c r="C1960" s="2">
        <v>44718</v>
      </c>
      <c r="D1960" s="2" t="str">
        <f>TEXT(Table3[[#This Row],[usage_date]],"mmmm")</f>
        <v>June</v>
      </c>
      <c r="E1960" s="9">
        <f>YEAR(Table3[[#This Row],[usage_date]])</f>
        <v>2022</v>
      </c>
      <c r="F1960" s="14">
        <v>0.69</v>
      </c>
      <c r="G1960">
        <v>94</v>
      </c>
      <c r="H1960" t="s">
        <v>12</v>
      </c>
      <c r="I1960" t="str">
        <f t="shared" si="30"/>
        <v>Normal Usage</v>
      </c>
    </row>
    <row r="1961" spans="1:9" x14ac:dyDescent="0.3">
      <c r="A1961">
        <v>11960</v>
      </c>
      <c r="B1961">
        <v>75</v>
      </c>
      <c r="C1961" s="2">
        <v>44896</v>
      </c>
      <c r="D1961" s="2" t="str">
        <f>TEXT(Table3[[#This Row],[usage_date]],"mmmm")</f>
        <v>December</v>
      </c>
      <c r="E1961" s="9">
        <f>YEAR(Table3[[#This Row],[usage_date]])</f>
        <v>2022</v>
      </c>
      <c r="F1961" s="14">
        <v>0.27</v>
      </c>
      <c r="G1961">
        <v>257</v>
      </c>
      <c r="H1961" t="s">
        <v>12</v>
      </c>
      <c r="I1961" t="str">
        <f t="shared" si="30"/>
        <v>Normal Usage</v>
      </c>
    </row>
    <row r="1962" spans="1:9" x14ac:dyDescent="0.3">
      <c r="A1962">
        <v>11961</v>
      </c>
      <c r="B1962">
        <v>361</v>
      </c>
      <c r="C1962" s="2">
        <v>45422</v>
      </c>
      <c r="D1962" s="2" t="str">
        <f>TEXT(Table3[[#This Row],[usage_date]],"mmmm")</f>
        <v>May</v>
      </c>
      <c r="E1962" s="9">
        <f>YEAR(Table3[[#This Row],[usage_date]])</f>
        <v>2024</v>
      </c>
      <c r="F1962" s="14">
        <v>0.75</v>
      </c>
      <c r="G1962">
        <v>61</v>
      </c>
      <c r="H1962" t="s">
        <v>12</v>
      </c>
      <c r="I1962" t="str">
        <f t="shared" si="30"/>
        <v>Normal Usage</v>
      </c>
    </row>
    <row r="1963" spans="1:9" x14ac:dyDescent="0.3">
      <c r="A1963">
        <v>11962</v>
      </c>
      <c r="B1963">
        <v>204</v>
      </c>
      <c r="C1963" s="2">
        <v>44821</v>
      </c>
      <c r="D1963" s="2" t="str">
        <f>TEXT(Table3[[#This Row],[usage_date]],"mmmm")</f>
        <v>September</v>
      </c>
      <c r="E1963" s="9">
        <f>YEAR(Table3[[#This Row],[usage_date]])</f>
        <v>2022</v>
      </c>
      <c r="F1963" s="14">
        <v>0.49</v>
      </c>
      <c r="G1963">
        <v>141</v>
      </c>
      <c r="H1963" t="s">
        <v>13</v>
      </c>
      <c r="I1963" t="str">
        <f t="shared" si="30"/>
        <v>Normal Usage</v>
      </c>
    </row>
    <row r="1964" spans="1:9" x14ac:dyDescent="0.3">
      <c r="A1964">
        <v>11963</v>
      </c>
      <c r="B1964">
        <v>49</v>
      </c>
      <c r="C1964" s="2">
        <v>44643</v>
      </c>
      <c r="D1964" s="2" t="str">
        <f>TEXT(Table3[[#This Row],[usage_date]],"mmmm")</f>
        <v>March</v>
      </c>
      <c r="E1964" s="9">
        <f>YEAR(Table3[[#This Row],[usage_date]])</f>
        <v>2022</v>
      </c>
      <c r="F1964" s="14">
        <v>7.0000000000000007E-2</v>
      </c>
      <c r="G1964">
        <v>221</v>
      </c>
      <c r="H1964" t="s">
        <v>12</v>
      </c>
      <c r="I1964" t="str">
        <f t="shared" si="30"/>
        <v>Normal Usage</v>
      </c>
    </row>
    <row r="1965" spans="1:9" x14ac:dyDescent="0.3">
      <c r="A1965">
        <v>11964</v>
      </c>
      <c r="B1965">
        <v>79</v>
      </c>
      <c r="C1965" s="2">
        <v>45315</v>
      </c>
      <c r="D1965" s="2" t="str">
        <f>TEXT(Table3[[#This Row],[usage_date]],"mmmm")</f>
        <v>January</v>
      </c>
      <c r="E1965" s="9">
        <f>YEAR(Table3[[#This Row],[usage_date]])</f>
        <v>2024</v>
      </c>
      <c r="F1965" s="14">
        <v>6</v>
      </c>
      <c r="G1965">
        <v>110</v>
      </c>
      <c r="H1965" t="s">
        <v>12</v>
      </c>
      <c r="I1965" t="str">
        <f t="shared" si="30"/>
        <v>Normal Usage</v>
      </c>
    </row>
    <row r="1966" spans="1:9" x14ac:dyDescent="0.3">
      <c r="A1966">
        <v>11965</v>
      </c>
      <c r="B1966">
        <v>441</v>
      </c>
      <c r="C1966" s="2">
        <v>45002</v>
      </c>
      <c r="D1966" s="2" t="str">
        <f>TEXT(Table3[[#This Row],[usage_date]],"mmmm")</f>
        <v>March</v>
      </c>
      <c r="E1966" s="9">
        <f>YEAR(Table3[[#This Row],[usage_date]])</f>
        <v>2023</v>
      </c>
      <c r="F1966" s="14">
        <v>0.02</v>
      </c>
      <c r="G1966">
        <v>103</v>
      </c>
      <c r="H1966" t="s">
        <v>12</v>
      </c>
      <c r="I1966" t="str">
        <f t="shared" si="30"/>
        <v>Normal Usage</v>
      </c>
    </row>
    <row r="1967" spans="1:9" x14ac:dyDescent="0.3">
      <c r="A1967">
        <v>11966</v>
      </c>
      <c r="B1967">
        <v>479</v>
      </c>
      <c r="C1967" s="2">
        <v>44733</v>
      </c>
      <c r="D1967" s="2" t="str">
        <f>TEXT(Table3[[#This Row],[usage_date]],"mmmm")</f>
        <v>June</v>
      </c>
      <c r="E1967" s="9">
        <f>YEAR(Table3[[#This Row],[usage_date]])</f>
        <v>2022</v>
      </c>
      <c r="F1967" s="14">
        <v>3.33</v>
      </c>
      <c r="G1967">
        <v>14</v>
      </c>
      <c r="H1967" t="s">
        <v>12</v>
      </c>
      <c r="I1967" t="str">
        <f t="shared" si="30"/>
        <v>Normal Usage</v>
      </c>
    </row>
    <row r="1968" spans="1:9" x14ac:dyDescent="0.3">
      <c r="A1968">
        <v>11967</v>
      </c>
      <c r="B1968">
        <v>241</v>
      </c>
      <c r="C1968" s="2">
        <v>44792</v>
      </c>
      <c r="D1968" s="2" t="str">
        <f>TEXT(Table3[[#This Row],[usage_date]],"mmmm")</f>
        <v>August</v>
      </c>
      <c r="E1968" s="9">
        <f>YEAR(Table3[[#This Row],[usage_date]])</f>
        <v>2022</v>
      </c>
      <c r="F1968" s="14">
        <v>0.41</v>
      </c>
      <c r="G1968">
        <v>269</v>
      </c>
      <c r="H1968" t="s">
        <v>12</v>
      </c>
      <c r="I1968" t="str">
        <f t="shared" si="30"/>
        <v>Normal Usage</v>
      </c>
    </row>
    <row r="1969" spans="1:9" x14ac:dyDescent="0.3">
      <c r="A1969">
        <v>11968</v>
      </c>
      <c r="B1969">
        <v>349</v>
      </c>
      <c r="C1969" s="2">
        <v>45281</v>
      </c>
      <c r="D1969" s="2" t="str">
        <f>TEXT(Table3[[#This Row],[usage_date]],"mmmm")</f>
        <v>December</v>
      </c>
      <c r="E1969" s="9">
        <f>YEAR(Table3[[#This Row],[usage_date]])</f>
        <v>2023</v>
      </c>
      <c r="F1969" s="14">
        <v>6.08</v>
      </c>
      <c r="G1969">
        <v>158</v>
      </c>
      <c r="H1969" t="s">
        <v>13</v>
      </c>
      <c r="I1969" t="str">
        <f t="shared" si="30"/>
        <v>High Usage</v>
      </c>
    </row>
    <row r="1970" spans="1:9" x14ac:dyDescent="0.3">
      <c r="A1970">
        <v>11969</v>
      </c>
      <c r="B1970">
        <v>154</v>
      </c>
      <c r="C1970" s="2">
        <v>44636</v>
      </c>
      <c r="D1970" s="2" t="str">
        <f>TEXT(Table3[[#This Row],[usage_date]],"mmmm")</f>
        <v>March</v>
      </c>
      <c r="E1970" s="9">
        <f>YEAR(Table3[[#This Row],[usage_date]])</f>
        <v>2022</v>
      </c>
      <c r="F1970" s="14">
        <v>5.58</v>
      </c>
      <c r="G1970">
        <v>156</v>
      </c>
      <c r="H1970" t="s">
        <v>12</v>
      </c>
      <c r="I1970" t="str">
        <f t="shared" si="30"/>
        <v>Normal Usage</v>
      </c>
    </row>
    <row r="1971" spans="1:9" x14ac:dyDescent="0.3">
      <c r="A1971">
        <v>11970</v>
      </c>
      <c r="B1971">
        <v>274</v>
      </c>
      <c r="C1971" s="2">
        <v>44831</v>
      </c>
      <c r="D1971" s="2" t="str">
        <f>TEXT(Table3[[#This Row],[usage_date]],"mmmm")</f>
        <v>September</v>
      </c>
      <c r="E1971" s="9">
        <f>YEAR(Table3[[#This Row],[usage_date]])</f>
        <v>2022</v>
      </c>
      <c r="F1971" s="14">
        <v>2.65</v>
      </c>
      <c r="G1971">
        <v>26</v>
      </c>
      <c r="H1971" t="s">
        <v>13</v>
      </c>
      <c r="I1971" t="str">
        <f t="shared" si="30"/>
        <v>Normal Usage</v>
      </c>
    </row>
    <row r="1972" spans="1:9" x14ac:dyDescent="0.3">
      <c r="A1972">
        <v>11971</v>
      </c>
      <c r="B1972">
        <v>96</v>
      </c>
      <c r="C1972" s="2">
        <v>45460</v>
      </c>
      <c r="D1972" s="2" t="str">
        <f>TEXT(Table3[[#This Row],[usage_date]],"mmmm")</f>
        <v>June</v>
      </c>
      <c r="E1972" s="9">
        <f>YEAR(Table3[[#This Row],[usage_date]])</f>
        <v>2024</v>
      </c>
      <c r="F1972" s="14">
        <v>2.79</v>
      </c>
      <c r="G1972">
        <v>84</v>
      </c>
      <c r="H1972" t="s">
        <v>12</v>
      </c>
      <c r="I1972" t="str">
        <f t="shared" si="30"/>
        <v>Normal Usage</v>
      </c>
    </row>
    <row r="1973" spans="1:9" x14ac:dyDescent="0.3">
      <c r="A1973">
        <v>11972</v>
      </c>
      <c r="B1973">
        <v>214</v>
      </c>
      <c r="C1973" s="2">
        <v>45187</v>
      </c>
      <c r="D1973" s="2" t="str">
        <f>TEXT(Table3[[#This Row],[usage_date]],"mmmm")</f>
        <v>September</v>
      </c>
      <c r="E1973" s="9">
        <f>YEAR(Table3[[#This Row],[usage_date]])</f>
        <v>2023</v>
      </c>
      <c r="F1973" s="14">
        <v>0.01</v>
      </c>
      <c r="G1973">
        <v>8</v>
      </c>
      <c r="H1973" t="s">
        <v>12</v>
      </c>
      <c r="I1973" t="str">
        <f t="shared" si="30"/>
        <v>Normal Usage</v>
      </c>
    </row>
    <row r="1974" spans="1:9" x14ac:dyDescent="0.3">
      <c r="A1974">
        <v>11973</v>
      </c>
      <c r="B1974">
        <v>294</v>
      </c>
      <c r="C1974" s="2">
        <v>44623</v>
      </c>
      <c r="D1974" s="2" t="str">
        <f>TEXT(Table3[[#This Row],[usage_date]],"mmmm")</f>
        <v>March</v>
      </c>
      <c r="E1974" s="9">
        <f>YEAR(Table3[[#This Row],[usage_date]])</f>
        <v>2022</v>
      </c>
      <c r="F1974" s="14">
        <v>10.48</v>
      </c>
      <c r="G1974">
        <v>275</v>
      </c>
      <c r="H1974" t="s">
        <v>12</v>
      </c>
      <c r="I1974" t="str">
        <f t="shared" si="30"/>
        <v>High Usage</v>
      </c>
    </row>
    <row r="1975" spans="1:9" x14ac:dyDescent="0.3">
      <c r="A1975">
        <v>11974</v>
      </c>
      <c r="B1975">
        <v>209</v>
      </c>
      <c r="C1975" s="2">
        <v>45435</v>
      </c>
      <c r="D1975" s="2" t="str">
        <f>TEXT(Table3[[#This Row],[usage_date]],"mmmm")</f>
        <v>May</v>
      </c>
      <c r="E1975" s="9">
        <f>YEAR(Table3[[#This Row],[usage_date]])</f>
        <v>2024</v>
      </c>
      <c r="F1975" s="14">
        <v>5.26</v>
      </c>
      <c r="G1975">
        <v>226</v>
      </c>
      <c r="H1975" t="s">
        <v>13</v>
      </c>
      <c r="I1975" t="str">
        <f t="shared" si="30"/>
        <v>Normal Usage</v>
      </c>
    </row>
    <row r="1976" spans="1:9" x14ac:dyDescent="0.3">
      <c r="A1976">
        <v>11975</v>
      </c>
      <c r="B1976">
        <v>343</v>
      </c>
      <c r="C1976" s="2">
        <v>44881</v>
      </c>
      <c r="D1976" s="2" t="str">
        <f>TEXT(Table3[[#This Row],[usage_date]],"mmmm")</f>
        <v>November</v>
      </c>
      <c r="E1976" s="9">
        <f>YEAR(Table3[[#This Row],[usage_date]])</f>
        <v>2022</v>
      </c>
      <c r="F1976" s="14">
        <v>5.64</v>
      </c>
      <c r="G1976">
        <v>185</v>
      </c>
      <c r="H1976" t="s">
        <v>13</v>
      </c>
      <c r="I1976" t="str">
        <f t="shared" si="30"/>
        <v>Normal Usage</v>
      </c>
    </row>
    <row r="1977" spans="1:9" x14ac:dyDescent="0.3">
      <c r="A1977">
        <v>11976</v>
      </c>
      <c r="B1977">
        <v>88</v>
      </c>
      <c r="C1977" s="2">
        <v>44663</v>
      </c>
      <c r="D1977" s="2" t="str">
        <f>TEXT(Table3[[#This Row],[usage_date]],"mmmm")</f>
        <v>April</v>
      </c>
      <c r="E1977" s="9">
        <f>YEAR(Table3[[#This Row],[usage_date]])</f>
        <v>2022</v>
      </c>
      <c r="F1977" s="14">
        <v>2.69</v>
      </c>
      <c r="G1977">
        <v>78</v>
      </c>
      <c r="H1977" t="s">
        <v>12</v>
      </c>
      <c r="I1977" t="str">
        <f t="shared" si="30"/>
        <v>Normal Usage</v>
      </c>
    </row>
    <row r="1978" spans="1:9" x14ac:dyDescent="0.3">
      <c r="A1978">
        <v>11977</v>
      </c>
      <c r="B1978">
        <v>306</v>
      </c>
      <c r="C1978" s="2">
        <v>44990</v>
      </c>
      <c r="D1978" s="2" t="str">
        <f>TEXT(Table3[[#This Row],[usage_date]],"mmmm")</f>
        <v>March</v>
      </c>
      <c r="E1978" s="9">
        <f>YEAR(Table3[[#This Row],[usage_date]])</f>
        <v>2023</v>
      </c>
      <c r="F1978" s="14">
        <v>1.06</v>
      </c>
      <c r="G1978">
        <v>215</v>
      </c>
      <c r="H1978" t="s">
        <v>13</v>
      </c>
      <c r="I1978" t="str">
        <f t="shared" si="30"/>
        <v>Normal Usage</v>
      </c>
    </row>
    <row r="1979" spans="1:9" x14ac:dyDescent="0.3">
      <c r="A1979">
        <v>11978</v>
      </c>
      <c r="B1979">
        <v>264</v>
      </c>
      <c r="C1979" s="2">
        <v>45435</v>
      </c>
      <c r="D1979" s="2" t="str">
        <f>TEXT(Table3[[#This Row],[usage_date]],"mmmm")</f>
        <v>May</v>
      </c>
      <c r="E1979" s="9">
        <f>YEAR(Table3[[#This Row],[usage_date]])</f>
        <v>2024</v>
      </c>
      <c r="F1979" s="14">
        <v>5.6</v>
      </c>
      <c r="G1979">
        <v>56</v>
      </c>
      <c r="H1979" t="s">
        <v>12</v>
      </c>
      <c r="I1979" t="str">
        <f t="shared" si="30"/>
        <v>Normal Usage</v>
      </c>
    </row>
    <row r="1980" spans="1:9" x14ac:dyDescent="0.3">
      <c r="A1980">
        <v>11979</v>
      </c>
      <c r="B1980">
        <v>425</v>
      </c>
      <c r="C1980" s="2">
        <v>45283</v>
      </c>
      <c r="D1980" s="2" t="str">
        <f>TEXT(Table3[[#This Row],[usage_date]],"mmmm")</f>
        <v>December</v>
      </c>
      <c r="E1980" s="9">
        <f>YEAR(Table3[[#This Row],[usage_date]])</f>
        <v>2023</v>
      </c>
      <c r="F1980" s="14">
        <v>0.86</v>
      </c>
      <c r="G1980">
        <v>143</v>
      </c>
      <c r="H1980" t="s">
        <v>12</v>
      </c>
      <c r="I1980" t="str">
        <f t="shared" si="30"/>
        <v>Normal Usage</v>
      </c>
    </row>
    <row r="1981" spans="1:9" x14ac:dyDescent="0.3">
      <c r="A1981">
        <v>11980</v>
      </c>
      <c r="B1981">
        <v>390</v>
      </c>
      <c r="C1981" s="2">
        <v>44816</v>
      </c>
      <c r="D1981" s="2" t="str">
        <f>TEXT(Table3[[#This Row],[usage_date]],"mmmm")</f>
        <v>September</v>
      </c>
      <c r="E1981" s="9">
        <f>YEAR(Table3[[#This Row],[usage_date]])</f>
        <v>2022</v>
      </c>
      <c r="F1981" s="14">
        <v>2.0699999999999998</v>
      </c>
      <c r="G1981">
        <v>66</v>
      </c>
      <c r="H1981" t="s">
        <v>12</v>
      </c>
      <c r="I1981" t="str">
        <f t="shared" si="30"/>
        <v>Normal Usage</v>
      </c>
    </row>
    <row r="1982" spans="1:9" x14ac:dyDescent="0.3">
      <c r="A1982">
        <v>11981</v>
      </c>
      <c r="B1982">
        <v>325</v>
      </c>
      <c r="C1982" s="2">
        <v>45093</v>
      </c>
      <c r="D1982" s="2" t="str">
        <f>TEXT(Table3[[#This Row],[usage_date]],"mmmm")</f>
        <v>June</v>
      </c>
      <c r="E1982" s="9">
        <f>YEAR(Table3[[#This Row],[usage_date]])</f>
        <v>2023</v>
      </c>
      <c r="F1982" s="14">
        <v>0.26</v>
      </c>
      <c r="G1982">
        <v>274</v>
      </c>
      <c r="H1982" t="s">
        <v>13</v>
      </c>
      <c r="I1982" t="str">
        <f t="shared" si="30"/>
        <v>Normal Usage</v>
      </c>
    </row>
    <row r="1983" spans="1:9" x14ac:dyDescent="0.3">
      <c r="A1983">
        <v>11982</v>
      </c>
      <c r="B1983">
        <v>428</v>
      </c>
      <c r="C1983" s="2">
        <v>45131</v>
      </c>
      <c r="D1983" s="2" t="str">
        <f>TEXT(Table3[[#This Row],[usage_date]],"mmmm")</f>
        <v>July</v>
      </c>
      <c r="E1983" s="9">
        <f>YEAR(Table3[[#This Row],[usage_date]])</f>
        <v>2023</v>
      </c>
      <c r="F1983" s="14">
        <v>6.38</v>
      </c>
      <c r="G1983">
        <v>104</v>
      </c>
      <c r="H1983" t="s">
        <v>12</v>
      </c>
      <c r="I1983" t="str">
        <f t="shared" si="30"/>
        <v>High Usage</v>
      </c>
    </row>
    <row r="1984" spans="1:9" x14ac:dyDescent="0.3">
      <c r="A1984">
        <v>11983</v>
      </c>
      <c r="B1984">
        <v>377</v>
      </c>
      <c r="C1984" s="2">
        <v>44673</v>
      </c>
      <c r="D1984" s="2" t="str">
        <f>TEXT(Table3[[#This Row],[usage_date]],"mmmm")</f>
        <v>April</v>
      </c>
      <c r="E1984" s="9">
        <f>YEAR(Table3[[#This Row],[usage_date]])</f>
        <v>2022</v>
      </c>
      <c r="F1984" s="14">
        <v>0.38</v>
      </c>
      <c r="G1984">
        <v>187</v>
      </c>
      <c r="H1984" t="s">
        <v>12</v>
      </c>
      <c r="I1984" t="str">
        <f t="shared" si="30"/>
        <v>Normal Usage</v>
      </c>
    </row>
    <row r="1985" spans="1:9" x14ac:dyDescent="0.3">
      <c r="A1985">
        <v>11984</v>
      </c>
      <c r="B1985">
        <v>320</v>
      </c>
      <c r="C1985" s="2">
        <v>44874</v>
      </c>
      <c r="D1985" s="2" t="str">
        <f>TEXT(Table3[[#This Row],[usage_date]],"mmmm")</f>
        <v>November</v>
      </c>
      <c r="E1985" s="9">
        <f>YEAR(Table3[[#This Row],[usage_date]])</f>
        <v>2022</v>
      </c>
      <c r="F1985" s="14">
        <v>0.64</v>
      </c>
      <c r="G1985">
        <v>163</v>
      </c>
      <c r="H1985" t="s">
        <v>12</v>
      </c>
      <c r="I1985" t="str">
        <f t="shared" si="30"/>
        <v>Normal Usage</v>
      </c>
    </row>
    <row r="1986" spans="1:9" x14ac:dyDescent="0.3">
      <c r="A1986">
        <v>11985</v>
      </c>
      <c r="B1986">
        <v>157</v>
      </c>
      <c r="C1986" s="2">
        <v>45022</v>
      </c>
      <c r="D1986" s="2" t="str">
        <f>TEXT(Table3[[#This Row],[usage_date]],"mmmm")</f>
        <v>April</v>
      </c>
      <c r="E1986" s="9">
        <f>YEAR(Table3[[#This Row],[usage_date]])</f>
        <v>2023</v>
      </c>
      <c r="F1986" s="14">
        <v>2.04</v>
      </c>
      <c r="G1986">
        <v>266</v>
      </c>
      <c r="H1986" t="s">
        <v>12</v>
      </c>
      <c r="I1986" t="str">
        <f t="shared" ref="I1986:I2049" si="31">IF(F1986&gt;6,"High Usage","Normal Usage")</f>
        <v>Normal Usage</v>
      </c>
    </row>
    <row r="1987" spans="1:9" x14ac:dyDescent="0.3">
      <c r="A1987">
        <v>11986</v>
      </c>
      <c r="B1987">
        <v>156</v>
      </c>
      <c r="C1987" s="2">
        <v>45269</v>
      </c>
      <c r="D1987" s="2" t="str">
        <f>TEXT(Table3[[#This Row],[usage_date]],"mmmm")</f>
        <v>December</v>
      </c>
      <c r="E1987" s="9">
        <f>YEAR(Table3[[#This Row],[usage_date]])</f>
        <v>2023</v>
      </c>
      <c r="F1987" s="14">
        <v>3.61</v>
      </c>
      <c r="G1987">
        <v>50</v>
      </c>
      <c r="H1987" t="s">
        <v>12</v>
      </c>
      <c r="I1987" t="str">
        <f t="shared" si="31"/>
        <v>Normal Usage</v>
      </c>
    </row>
    <row r="1988" spans="1:9" x14ac:dyDescent="0.3">
      <c r="A1988">
        <v>11987</v>
      </c>
      <c r="B1988">
        <v>139</v>
      </c>
      <c r="C1988" s="2">
        <v>45448</v>
      </c>
      <c r="D1988" s="2" t="str">
        <f>TEXT(Table3[[#This Row],[usage_date]],"mmmm")</f>
        <v>June</v>
      </c>
      <c r="E1988" s="9">
        <f>YEAR(Table3[[#This Row],[usage_date]])</f>
        <v>2024</v>
      </c>
      <c r="F1988" s="14">
        <v>2.41</v>
      </c>
      <c r="G1988">
        <v>125</v>
      </c>
      <c r="H1988" t="s">
        <v>12</v>
      </c>
      <c r="I1988" t="str">
        <f t="shared" si="31"/>
        <v>Normal Usage</v>
      </c>
    </row>
    <row r="1989" spans="1:9" x14ac:dyDescent="0.3">
      <c r="A1989">
        <v>11988</v>
      </c>
      <c r="B1989">
        <v>121</v>
      </c>
      <c r="C1989" s="2">
        <v>45023</v>
      </c>
      <c r="D1989" s="2" t="str">
        <f>TEXT(Table3[[#This Row],[usage_date]],"mmmm")</f>
        <v>April</v>
      </c>
      <c r="E1989" s="9">
        <f>YEAR(Table3[[#This Row],[usage_date]])</f>
        <v>2023</v>
      </c>
      <c r="F1989" s="14">
        <v>0.66</v>
      </c>
      <c r="G1989">
        <v>79</v>
      </c>
      <c r="H1989" t="s">
        <v>12</v>
      </c>
      <c r="I1989" t="str">
        <f t="shared" si="31"/>
        <v>Normal Usage</v>
      </c>
    </row>
    <row r="1990" spans="1:9" x14ac:dyDescent="0.3">
      <c r="A1990">
        <v>11989</v>
      </c>
      <c r="B1990">
        <v>65</v>
      </c>
      <c r="C1990" s="2">
        <v>45426</v>
      </c>
      <c r="D1990" s="2" t="str">
        <f>TEXT(Table3[[#This Row],[usage_date]],"mmmm")</f>
        <v>May</v>
      </c>
      <c r="E1990" s="9">
        <f>YEAR(Table3[[#This Row],[usage_date]])</f>
        <v>2024</v>
      </c>
      <c r="F1990" s="14">
        <v>0</v>
      </c>
      <c r="G1990">
        <v>182</v>
      </c>
      <c r="H1990" t="s">
        <v>13</v>
      </c>
      <c r="I1990" t="str">
        <f t="shared" si="31"/>
        <v>Normal Usage</v>
      </c>
    </row>
    <row r="1991" spans="1:9" x14ac:dyDescent="0.3">
      <c r="A1991">
        <v>11990</v>
      </c>
      <c r="B1991">
        <v>107</v>
      </c>
      <c r="C1991" s="2">
        <v>44653</v>
      </c>
      <c r="D1991" s="2" t="str">
        <f>TEXT(Table3[[#This Row],[usage_date]],"mmmm")</f>
        <v>April</v>
      </c>
      <c r="E1991" s="9">
        <f>YEAR(Table3[[#This Row],[usage_date]])</f>
        <v>2022</v>
      </c>
      <c r="F1991" s="14">
        <v>3.54</v>
      </c>
      <c r="G1991">
        <v>16</v>
      </c>
      <c r="H1991" t="s">
        <v>12</v>
      </c>
      <c r="I1991" t="str">
        <f t="shared" si="31"/>
        <v>Normal Usage</v>
      </c>
    </row>
    <row r="1992" spans="1:9" x14ac:dyDescent="0.3">
      <c r="A1992">
        <v>11991</v>
      </c>
      <c r="B1992">
        <v>147</v>
      </c>
      <c r="C1992" s="2">
        <v>44613</v>
      </c>
      <c r="D1992" s="2" t="str">
        <f>TEXT(Table3[[#This Row],[usage_date]],"mmmm")</f>
        <v>February</v>
      </c>
      <c r="E1992" s="9">
        <f>YEAR(Table3[[#This Row],[usage_date]])</f>
        <v>2022</v>
      </c>
      <c r="F1992" s="14">
        <v>10.53</v>
      </c>
      <c r="G1992">
        <v>169</v>
      </c>
      <c r="H1992" t="s">
        <v>12</v>
      </c>
      <c r="I1992" t="str">
        <f t="shared" si="31"/>
        <v>High Usage</v>
      </c>
    </row>
    <row r="1993" spans="1:9" x14ac:dyDescent="0.3">
      <c r="A1993">
        <v>11992</v>
      </c>
      <c r="B1993">
        <v>137</v>
      </c>
      <c r="C1993" s="2">
        <v>45366</v>
      </c>
      <c r="D1993" s="2" t="str">
        <f>TEXT(Table3[[#This Row],[usage_date]],"mmmm")</f>
        <v>March</v>
      </c>
      <c r="E1993" s="9">
        <f>YEAR(Table3[[#This Row],[usage_date]])</f>
        <v>2024</v>
      </c>
      <c r="F1993" s="14">
        <v>4.1500000000000004</v>
      </c>
      <c r="G1993">
        <v>279</v>
      </c>
      <c r="H1993" t="s">
        <v>12</v>
      </c>
      <c r="I1993" t="str">
        <f t="shared" si="31"/>
        <v>Normal Usage</v>
      </c>
    </row>
    <row r="1994" spans="1:9" x14ac:dyDescent="0.3">
      <c r="A1994">
        <v>11993</v>
      </c>
      <c r="B1994">
        <v>411</v>
      </c>
      <c r="C1994" s="2">
        <v>45081</v>
      </c>
      <c r="D1994" s="2" t="str">
        <f>TEXT(Table3[[#This Row],[usage_date]],"mmmm")</f>
        <v>June</v>
      </c>
      <c r="E1994" s="9">
        <f>YEAR(Table3[[#This Row],[usage_date]])</f>
        <v>2023</v>
      </c>
      <c r="F1994" s="14">
        <v>1.54</v>
      </c>
      <c r="G1994">
        <v>213</v>
      </c>
      <c r="H1994" t="s">
        <v>12</v>
      </c>
      <c r="I1994" t="str">
        <f t="shared" si="31"/>
        <v>Normal Usage</v>
      </c>
    </row>
    <row r="1995" spans="1:9" x14ac:dyDescent="0.3">
      <c r="A1995">
        <v>11994</v>
      </c>
      <c r="B1995">
        <v>162</v>
      </c>
      <c r="C1995" s="2">
        <v>45373</v>
      </c>
      <c r="D1995" s="2" t="str">
        <f>TEXT(Table3[[#This Row],[usage_date]],"mmmm")</f>
        <v>March</v>
      </c>
      <c r="E1995" s="9">
        <f>YEAR(Table3[[#This Row],[usage_date]])</f>
        <v>2024</v>
      </c>
      <c r="F1995" s="14">
        <v>5.85</v>
      </c>
      <c r="G1995">
        <v>197</v>
      </c>
      <c r="H1995" t="s">
        <v>13</v>
      </c>
      <c r="I1995" t="str">
        <f t="shared" si="31"/>
        <v>Normal Usage</v>
      </c>
    </row>
    <row r="1996" spans="1:9" x14ac:dyDescent="0.3">
      <c r="A1996">
        <v>11995</v>
      </c>
      <c r="B1996">
        <v>428</v>
      </c>
      <c r="C1996" s="2">
        <v>44659</v>
      </c>
      <c r="D1996" s="2" t="str">
        <f>TEXT(Table3[[#This Row],[usage_date]],"mmmm")</f>
        <v>April</v>
      </c>
      <c r="E1996" s="9">
        <f>YEAR(Table3[[#This Row],[usage_date]])</f>
        <v>2022</v>
      </c>
      <c r="F1996" s="14">
        <v>1.32</v>
      </c>
      <c r="G1996">
        <v>6</v>
      </c>
      <c r="H1996" t="s">
        <v>12</v>
      </c>
      <c r="I1996" t="str">
        <f t="shared" si="31"/>
        <v>Normal Usage</v>
      </c>
    </row>
    <row r="1997" spans="1:9" x14ac:dyDescent="0.3">
      <c r="A1997">
        <v>11996</v>
      </c>
      <c r="B1997">
        <v>452</v>
      </c>
      <c r="C1997" s="2">
        <v>44797</v>
      </c>
      <c r="D1997" s="2" t="str">
        <f>TEXT(Table3[[#This Row],[usage_date]],"mmmm")</f>
        <v>August</v>
      </c>
      <c r="E1997" s="9">
        <f>YEAR(Table3[[#This Row],[usage_date]])</f>
        <v>2022</v>
      </c>
      <c r="F1997" s="14">
        <v>1.86</v>
      </c>
      <c r="G1997">
        <v>10</v>
      </c>
      <c r="H1997" t="s">
        <v>13</v>
      </c>
      <c r="I1997" t="str">
        <f t="shared" si="31"/>
        <v>Normal Usage</v>
      </c>
    </row>
    <row r="1998" spans="1:9" x14ac:dyDescent="0.3">
      <c r="A1998">
        <v>11997</v>
      </c>
      <c r="B1998">
        <v>100</v>
      </c>
      <c r="C1998" s="2">
        <v>44935</v>
      </c>
      <c r="D1998" s="2" t="str">
        <f>TEXT(Table3[[#This Row],[usage_date]],"mmmm")</f>
        <v>January</v>
      </c>
      <c r="E1998" s="9">
        <f>YEAR(Table3[[#This Row],[usage_date]])</f>
        <v>2023</v>
      </c>
      <c r="F1998" s="14">
        <v>1.62</v>
      </c>
      <c r="G1998">
        <v>11</v>
      </c>
      <c r="H1998" t="s">
        <v>13</v>
      </c>
      <c r="I1998" t="str">
        <f t="shared" si="31"/>
        <v>Normal Usage</v>
      </c>
    </row>
    <row r="1999" spans="1:9" x14ac:dyDescent="0.3">
      <c r="A1999">
        <v>11998</v>
      </c>
      <c r="B1999">
        <v>338</v>
      </c>
      <c r="C1999" s="2">
        <v>45142</v>
      </c>
      <c r="D1999" s="2" t="str">
        <f>TEXT(Table3[[#This Row],[usage_date]],"mmmm")</f>
        <v>August</v>
      </c>
      <c r="E1999" s="9">
        <f>YEAR(Table3[[#This Row],[usage_date]])</f>
        <v>2023</v>
      </c>
      <c r="F1999" s="14">
        <v>1.48</v>
      </c>
      <c r="G1999">
        <v>109</v>
      </c>
      <c r="H1999" t="s">
        <v>13</v>
      </c>
      <c r="I1999" t="str">
        <f t="shared" si="31"/>
        <v>Normal Usage</v>
      </c>
    </row>
    <row r="2000" spans="1:9" x14ac:dyDescent="0.3">
      <c r="A2000">
        <v>11999</v>
      </c>
      <c r="B2000">
        <v>399</v>
      </c>
      <c r="C2000" s="2">
        <v>45118</v>
      </c>
      <c r="D2000" s="2" t="str">
        <f>TEXT(Table3[[#This Row],[usage_date]],"mmmm")</f>
        <v>July</v>
      </c>
      <c r="E2000" s="9">
        <f>YEAR(Table3[[#This Row],[usage_date]])</f>
        <v>2023</v>
      </c>
      <c r="F2000" s="14">
        <v>3.73</v>
      </c>
      <c r="G2000">
        <v>132</v>
      </c>
      <c r="H2000" t="s">
        <v>12</v>
      </c>
      <c r="I2000" t="str">
        <f t="shared" si="31"/>
        <v>Normal Usage</v>
      </c>
    </row>
    <row r="2001" spans="1:9" x14ac:dyDescent="0.3">
      <c r="A2001">
        <v>12000</v>
      </c>
      <c r="B2001">
        <v>307</v>
      </c>
      <c r="C2001" s="2">
        <v>45210</v>
      </c>
      <c r="D2001" s="2" t="str">
        <f>TEXT(Table3[[#This Row],[usage_date]],"mmmm")</f>
        <v>October</v>
      </c>
      <c r="E2001" s="9">
        <f>YEAR(Table3[[#This Row],[usage_date]])</f>
        <v>2023</v>
      </c>
      <c r="F2001" s="14">
        <v>1.87</v>
      </c>
      <c r="G2001">
        <v>127</v>
      </c>
      <c r="H2001" t="s">
        <v>12</v>
      </c>
      <c r="I2001" t="str">
        <f t="shared" si="31"/>
        <v>Normal Usage</v>
      </c>
    </row>
    <row r="2002" spans="1:9" x14ac:dyDescent="0.3">
      <c r="A2002">
        <v>12001</v>
      </c>
      <c r="B2002">
        <v>141</v>
      </c>
      <c r="C2002" s="2">
        <v>44795</v>
      </c>
      <c r="D2002" s="2" t="str">
        <f>TEXT(Table3[[#This Row],[usage_date]],"mmmm")</f>
        <v>August</v>
      </c>
      <c r="E2002" s="9">
        <f>YEAR(Table3[[#This Row],[usage_date]])</f>
        <v>2022</v>
      </c>
      <c r="F2002" s="14">
        <v>0.95</v>
      </c>
      <c r="G2002">
        <v>147</v>
      </c>
      <c r="H2002" t="s">
        <v>12</v>
      </c>
      <c r="I2002" t="str">
        <f t="shared" si="31"/>
        <v>Normal Usage</v>
      </c>
    </row>
    <row r="2003" spans="1:9" x14ac:dyDescent="0.3">
      <c r="A2003">
        <v>12002</v>
      </c>
      <c r="B2003">
        <v>83</v>
      </c>
      <c r="C2003" s="2">
        <v>44593</v>
      </c>
      <c r="D2003" s="2" t="str">
        <f>TEXT(Table3[[#This Row],[usage_date]],"mmmm")</f>
        <v>February</v>
      </c>
      <c r="E2003" s="9">
        <f>YEAR(Table3[[#This Row],[usage_date]])</f>
        <v>2022</v>
      </c>
      <c r="F2003" s="14">
        <v>0.75</v>
      </c>
      <c r="G2003">
        <v>53</v>
      </c>
      <c r="H2003" t="s">
        <v>13</v>
      </c>
      <c r="I2003" t="str">
        <f t="shared" si="31"/>
        <v>Normal Usage</v>
      </c>
    </row>
    <row r="2004" spans="1:9" x14ac:dyDescent="0.3">
      <c r="A2004">
        <v>12003</v>
      </c>
      <c r="B2004">
        <v>177</v>
      </c>
      <c r="C2004" s="2">
        <v>44850</v>
      </c>
      <c r="D2004" s="2" t="str">
        <f>TEXT(Table3[[#This Row],[usage_date]],"mmmm")</f>
        <v>October</v>
      </c>
      <c r="E2004" s="9">
        <f>YEAR(Table3[[#This Row],[usage_date]])</f>
        <v>2022</v>
      </c>
      <c r="F2004" s="14">
        <v>0.1</v>
      </c>
      <c r="G2004">
        <v>78</v>
      </c>
      <c r="H2004" t="s">
        <v>12</v>
      </c>
      <c r="I2004" t="str">
        <f t="shared" si="31"/>
        <v>Normal Usage</v>
      </c>
    </row>
    <row r="2005" spans="1:9" x14ac:dyDescent="0.3">
      <c r="A2005">
        <v>12004</v>
      </c>
      <c r="B2005">
        <v>198</v>
      </c>
      <c r="C2005" s="2">
        <v>45199</v>
      </c>
      <c r="D2005" s="2" t="str">
        <f>TEXT(Table3[[#This Row],[usage_date]],"mmmm")</f>
        <v>September</v>
      </c>
      <c r="E2005" s="9">
        <f>YEAR(Table3[[#This Row],[usage_date]])</f>
        <v>2023</v>
      </c>
      <c r="F2005" s="14">
        <v>2.19</v>
      </c>
      <c r="G2005">
        <v>96</v>
      </c>
      <c r="H2005" t="s">
        <v>12</v>
      </c>
      <c r="I2005" t="str">
        <f t="shared" si="31"/>
        <v>Normal Usage</v>
      </c>
    </row>
    <row r="2006" spans="1:9" x14ac:dyDescent="0.3">
      <c r="A2006">
        <v>12005</v>
      </c>
      <c r="B2006">
        <v>112</v>
      </c>
      <c r="C2006" s="2">
        <v>45140</v>
      </c>
      <c r="D2006" s="2" t="str">
        <f>TEXT(Table3[[#This Row],[usage_date]],"mmmm")</f>
        <v>August</v>
      </c>
      <c r="E2006" s="9">
        <f>YEAR(Table3[[#This Row],[usage_date]])</f>
        <v>2023</v>
      </c>
      <c r="F2006" s="14">
        <v>0.65</v>
      </c>
      <c r="G2006">
        <v>248</v>
      </c>
      <c r="H2006" t="s">
        <v>12</v>
      </c>
      <c r="I2006" t="str">
        <f t="shared" si="31"/>
        <v>Normal Usage</v>
      </c>
    </row>
    <row r="2007" spans="1:9" x14ac:dyDescent="0.3">
      <c r="A2007">
        <v>12006</v>
      </c>
      <c r="B2007">
        <v>56</v>
      </c>
      <c r="C2007" s="2">
        <v>45103</v>
      </c>
      <c r="D2007" s="2" t="str">
        <f>TEXT(Table3[[#This Row],[usage_date]],"mmmm")</f>
        <v>June</v>
      </c>
      <c r="E2007" s="9">
        <f>YEAR(Table3[[#This Row],[usage_date]])</f>
        <v>2023</v>
      </c>
      <c r="F2007" s="14">
        <v>0.4</v>
      </c>
      <c r="G2007">
        <v>126</v>
      </c>
      <c r="H2007" t="s">
        <v>12</v>
      </c>
      <c r="I2007" t="str">
        <f t="shared" si="31"/>
        <v>Normal Usage</v>
      </c>
    </row>
    <row r="2008" spans="1:9" x14ac:dyDescent="0.3">
      <c r="A2008">
        <v>12007</v>
      </c>
      <c r="B2008">
        <v>460</v>
      </c>
      <c r="C2008" s="2">
        <v>44675</v>
      </c>
      <c r="D2008" s="2" t="str">
        <f>TEXT(Table3[[#This Row],[usage_date]],"mmmm")</f>
        <v>April</v>
      </c>
      <c r="E2008" s="9">
        <f>YEAR(Table3[[#This Row],[usage_date]])</f>
        <v>2022</v>
      </c>
      <c r="F2008" s="14">
        <v>2.65</v>
      </c>
      <c r="G2008">
        <v>29</v>
      </c>
      <c r="H2008" t="s">
        <v>13</v>
      </c>
      <c r="I2008" t="str">
        <f t="shared" si="31"/>
        <v>Normal Usage</v>
      </c>
    </row>
    <row r="2009" spans="1:9" x14ac:dyDescent="0.3">
      <c r="A2009">
        <v>12008</v>
      </c>
      <c r="B2009">
        <v>179</v>
      </c>
      <c r="C2009" s="2">
        <v>44765</v>
      </c>
      <c r="D2009" s="2" t="str">
        <f>TEXT(Table3[[#This Row],[usage_date]],"mmmm")</f>
        <v>July</v>
      </c>
      <c r="E2009" s="9">
        <f>YEAR(Table3[[#This Row],[usage_date]])</f>
        <v>2022</v>
      </c>
      <c r="F2009" s="14">
        <v>2.86</v>
      </c>
      <c r="G2009">
        <v>23</v>
      </c>
      <c r="H2009" t="s">
        <v>12</v>
      </c>
      <c r="I2009" t="str">
        <f t="shared" si="31"/>
        <v>Normal Usage</v>
      </c>
    </row>
    <row r="2010" spans="1:9" x14ac:dyDescent="0.3">
      <c r="A2010">
        <v>12009</v>
      </c>
      <c r="B2010">
        <v>421</v>
      </c>
      <c r="C2010" s="2">
        <v>44590</v>
      </c>
      <c r="D2010" s="2" t="str">
        <f>TEXT(Table3[[#This Row],[usage_date]],"mmmm")</f>
        <v>January</v>
      </c>
      <c r="E2010" s="9">
        <f>YEAR(Table3[[#This Row],[usage_date]])</f>
        <v>2022</v>
      </c>
      <c r="F2010" s="14">
        <v>3.49</v>
      </c>
      <c r="G2010">
        <v>200</v>
      </c>
      <c r="H2010" t="s">
        <v>12</v>
      </c>
      <c r="I2010" t="str">
        <f t="shared" si="31"/>
        <v>Normal Usage</v>
      </c>
    </row>
    <row r="2011" spans="1:9" x14ac:dyDescent="0.3">
      <c r="A2011">
        <v>12010</v>
      </c>
      <c r="B2011">
        <v>401</v>
      </c>
      <c r="C2011" s="2">
        <v>45204</v>
      </c>
      <c r="D2011" s="2" t="str">
        <f>TEXT(Table3[[#This Row],[usage_date]],"mmmm")</f>
        <v>October</v>
      </c>
      <c r="E2011" s="9">
        <f>YEAR(Table3[[#This Row],[usage_date]])</f>
        <v>2023</v>
      </c>
      <c r="F2011" s="14">
        <v>1.75</v>
      </c>
      <c r="G2011">
        <v>130</v>
      </c>
      <c r="H2011" t="s">
        <v>12</v>
      </c>
      <c r="I2011" t="str">
        <f t="shared" si="31"/>
        <v>Normal Usage</v>
      </c>
    </row>
    <row r="2012" spans="1:9" x14ac:dyDescent="0.3">
      <c r="A2012">
        <v>12011</v>
      </c>
      <c r="B2012">
        <v>186</v>
      </c>
      <c r="C2012" s="2">
        <v>45035</v>
      </c>
      <c r="D2012" s="2" t="str">
        <f>TEXT(Table3[[#This Row],[usage_date]],"mmmm")</f>
        <v>April</v>
      </c>
      <c r="E2012" s="9">
        <f>YEAR(Table3[[#This Row],[usage_date]])</f>
        <v>2023</v>
      </c>
      <c r="F2012" s="14">
        <v>5.61</v>
      </c>
      <c r="G2012">
        <v>121</v>
      </c>
      <c r="H2012" t="s">
        <v>12</v>
      </c>
      <c r="I2012" t="str">
        <f t="shared" si="31"/>
        <v>Normal Usage</v>
      </c>
    </row>
    <row r="2013" spans="1:9" x14ac:dyDescent="0.3">
      <c r="A2013">
        <v>12012</v>
      </c>
      <c r="B2013">
        <v>471</v>
      </c>
      <c r="C2013" s="2">
        <v>45258</v>
      </c>
      <c r="D2013" s="2" t="str">
        <f>TEXT(Table3[[#This Row],[usage_date]],"mmmm")</f>
        <v>November</v>
      </c>
      <c r="E2013" s="9">
        <f>YEAR(Table3[[#This Row],[usage_date]])</f>
        <v>2023</v>
      </c>
      <c r="F2013" s="14">
        <v>6.89</v>
      </c>
      <c r="G2013">
        <v>149</v>
      </c>
      <c r="H2013" t="s">
        <v>13</v>
      </c>
      <c r="I2013" t="str">
        <f t="shared" si="31"/>
        <v>High Usage</v>
      </c>
    </row>
    <row r="2014" spans="1:9" x14ac:dyDescent="0.3">
      <c r="A2014">
        <v>12013</v>
      </c>
      <c r="B2014">
        <v>218</v>
      </c>
      <c r="C2014" s="2">
        <v>44814</v>
      </c>
      <c r="D2014" s="2" t="str">
        <f>TEXT(Table3[[#This Row],[usage_date]],"mmmm")</f>
        <v>September</v>
      </c>
      <c r="E2014" s="9">
        <f>YEAR(Table3[[#This Row],[usage_date]])</f>
        <v>2022</v>
      </c>
      <c r="F2014" s="14">
        <v>4.12</v>
      </c>
      <c r="G2014">
        <v>13</v>
      </c>
      <c r="H2014" t="s">
        <v>13</v>
      </c>
      <c r="I2014" t="str">
        <f t="shared" si="31"/>
        <v>Normal Usage</v>
      </c>
    </row>
    <row r="2015" spans="1:9" x14ac:dyDescent="0.3">
      <c r="A2015">
        <v>12014</v>
      </c>
      <c r="B2015">
        <v>413</v>
      </c>
      <c r="C2015" s="2">
        <v>45359</v>
      </c>
      <c r="D2015" s="2" t="str">
        <f>TEXT(Table3[[#This Row],[usage_date]],"mmmm")</f>
        <v>March</v>
      </c>
      <c r="E2015" s="9">
        <f>YEAR(Table3[[#This Row],[usage_date]])</f>
        <v>2024</v>
      </c>
      <c r="F2015" s="14">
        <v>2.52</v>
      </c>
      <c r="G2015">
        <v>28</v>
      </c>
      <c r="H2015" t="s">
        <v>12</v>
      </c>
      <c r="I2015" t="str">
        <f t="shared" si="31"/>
        <v>Normal Usage</v>
      </c>
    </row>
    <row r="2016" spans="1:9" x14ac:dyDescent="0.3">
      <c r="A2016">
        <v>12015</v>
      </c>
      <c r="B2016">
        <v>417</v>
      </c>
      <c r="C2016" s="2">
        <v>44947</v>
      </c>
      <c r="D2016" s="2" t="str">
        <f>TEXT(Table3[[#This Row],[usage_date]],"mmmm")</f>
        <v>January</v>
      </c>
      <c r="E2016" s="9">
        <f>YEAR(Table3[[#This Row],[usage_date]])</f>
        <v>2023</v>
      </c>
      <c r="F2016" s="14">
        <v>0.91</v>
      </c>
      <c r="G2016">
        <v>49</v>
      </c>
      <c r="H2016" t="s">
        <v>12</v>
      </c>
      <c r="I2016" t="str">
        <f t="shared" si="31"/>
        <v>Normal Usage</v>
      </c>
    </row>
    <row r="2017" spans="1:9" x14ac:dyDescent="0.3">
      <c r="A2017">
        <v>12016</v>
      </c>
      <c r="B2017">
        <v>316</v>
      </c>
      <c r="C2017" s="2">
        <v>44623</v>
      </c>
      <c r="D2017" s="2" t="str">
        <f>TEXT(Table3[[#This Row],[usage_date]],"mmmm")</f>
        <v>March</v>
      </c>
      <c r="E2017" s="9">
        <f>YEAR(Table3[[#This Row],[usage_date]])</f>
        <v>2022</v>
      </c>
      <c r="F2017" s="14">
        <v>10.18</v>
      </c>
      <c r="G2017">
        <v>239</v>
      </c>
      <c r="H2017" t="s">
        <v>12</v>
      </c>
      <c r="I2017" t="str">
        <f t="shared" si="31"/>
        <v>High Usage</v>
      </c>
    </row>
    <row r="2018" spans="1:9" x14ac:dyDescent="0.3">
      <c r="A2018">
        <v>12017</v>
      </c>
      <c r="B2018">
        <v>475</v>
      </c>
      <c r="C2018" s="2">
        <v>45076</v>
      </c>
      <c r="D2018" s="2" t="str">
        <f>TEXT(Table3[[#This Row],[usage_date]],"mmmm")</f>
        <v>May</v>
      </c>
      <c r="E2018" s="9">
        <f>YEAR(Table3[[#This Row],[usage_date]])</f>
        <v>2023</v>
      </c>
      <c r="F2018" s="14">
        <v>0.8</v>
      </c>
      <c r="G2018">
        <v>282</v>
      </c>
      <c r="H2018" t="s">
        <v>13</v>
      </c>
      <c r="I2018" t="str">
        <f t="shared" si="31"/>
        <v>Normal Usage</v>
      </c>
    </row>
    <row r="2019" spans="1:9" x14ac:dyDescent="0.3">
      <c r="A2019">
        <v>12018</v>
      </c>
      <c r="B2019">
        <v>217</v>
      </c>
      <c r="C2019" s="2">
        <v>44991</v>
      </c>
      <c r="D2019" s="2" t="str">
        <f>TEXT(Table3[[#This Row],[usage_date]],"mmmm")</f>
        <v>March</v>
      </c>
      <c r="E2019" s="9">
        <f>YEAR(Table3[[#This Row],[usage_date]])</f>
        <v>2023</v>
      </c>
      <c r="F2019" s="14">
        <v>0.56999999999999995</v>
      </c>
      <c r="G2019">
        <v>155</v>
      </c>
      <c r="H2019" t="s">
        <v>13</v>
      </c>
      <c r="I2019" t="str">
        <f t="shared" si="31"/>
        <v>Normal Usage</v>
      </c>
    </row>
    <row r="2020" spans="1:9" x14ac:dyDescent="0.3">
      <c r="A2020">
        <v>12019</v>
      </c>
      <c r="B2020">
        <v>120</v>
      </c>
      <c r="C2020" s="2">
        <v>45141</v>
      </c>
      <c r="D2020" s="2" t="str">
        <f>TEXT(Table3[[#This Row],[usage_date]],"mmmm")</f>
        <v>August</v>
      </c>
      <c r="E2020" s="9">
        <f>YEAR(Table3[[#This Row],[usage_date]])</f>
        <v>2023</v>
      </c>
      <c r="F2020" s="14">
        <v>1.46</v>
      </c>
      <c r="G2020">
        <v>136</v>
      </c>
      <c r="H2020" t="s">
        <v>13</v>
      </c>
      <c r="I2020" t="str">
        <f t="shared" si="31"/>
        <v>Normal Usage</v>
      </c>
    </row>
    <row r="2021" spans="1:9" x14ac:dyDescent="0.3">
      <c r="A2021">
        <v>12020</v>
      </c>
      <c r="B2021">
        <v>439</v>
      </c>
      <c r="C2021" s="2">
        <v>45098</v>
      </c>
      <c r="D2021" s="2" t="str">
        <f>TEXT(Table3[[#This Row],[usage_date]],"mmmm")</f>
        <v>June</v>
      </c>
      <c r="E2021" s="9">
        <f>YEAR(Table3[[#This Row],[usage_date]])</f>
        <v>2023</v>
      </c>
      <c r="F2021" s="14">
        <v>0.15</v>
      </c>
      <c r="G2021">
        <v>153</v>
      </c>
      <c r="H2021" t="s">
        <v>12</v>
      </c>
      <c r="I2021" t="str">
        <f t="shared" si="31"/>
        <v>Normal Usage</v>
      </c>
    </row>
    <row r="2022" spans="1:9" x14ac:dyDescent="0.3">
      <c r="A2022">
        <v>12021</v>
      </c>
      <c r="B2022">
        <v>394</v>
      </c>
      <c r="C2022" s="2">
        <v>45252</v>
      </c>
      <c r="D2022" s="2" t="str">
        <f>TEXT(Table3[[#This Row],[usage_date]],"mmmm")</f>
        <v>November</v>
      </c>
      <c r="E2022" s="9">
        <f>YEAR(Table3[[#This Row],[usage_date]])</f>
        <v>2023</v>
      </c>
      <c r="F2022" s="14">
        <v>9.6</v>
      </c>
      <c r="G2022">
        <v>80</v>
      </c>
      <c r="H2022" t="s">
        <v>13</v>
      </c>
      <c r="I2022" t="str">
        <f t="shared" si="31"/>
        <v>High Usage</v>
      </c>
    </row>
    <row r="2023" spans="1:9" x14ac:dyDescent="0.3">
      <c r="A2023">
        <v>12022</v>
      </c>
      <c r="B2023">
        <v>175</v>
      </c>
      <c r="C2023" s="2">
        <v>44702</v>
      </c>
      <c r="D2023" s="2" t="str">
        <f>TEXT(Table3[[#This Row],[usage_date]],"mmmm")</f>
        <v>May</v>
      </c>
      <c r="E2023" s="9">
        <f>YEAR(Table3[[#This Row],[usage_date]])</f>
        <v>2022</v>
      </c>
      <c r="F2023" s="14">
        <v>2.2200000000000002</v>
      </c>
      <c r="G2023">
        <v>86</v>
      </c>
      <c r="H2023" t="s">
        <v>13</v>
      </c>
      <c r="I2023" t="str">
        <f t="shared" si="31"/>
        <v>Normal Usage</v>
      </c>
    </row>
    <row r="2024" spans="1:9" x14ac:dyDescent="0.3">
      <c r="A2024">
        <v>12023</v>
      </c>
      <c r="B2024">
        <v>23</v>
      </c>
      <c r="C2024" s="2">
        <v>45304</v>
      </c>
      <c r="D2024" s="2" t="str">
        <f>TEXT(Table3[[#This Row],[usage_date]],"mmmm")</f>
        <v>January</v>
      </c>
      <c r="E2024" s="9">
        <f>YEAR(Table3[[#This Row],[usage_date]])</f>
        <v>2024</v>
      </c>
      <c r="F2024" s="14">
        <v>2.04</v>
      </c>
      <c r="G2024">
        <v>263</v>
      </c>
      <c r="H2024" t="s">
        <v>12</v>
      </c>
      <c r="I2024" t="str">
        <f t="shared" si="31"/>
        <v>Normal Usage</v>
      </c>
    </row>
    <row r="2025" spans="1:9" x14ac:dyDescent="0.3">
      <c r="A2025">
        <v>12024</v>
      </c>
      <c r="B2025">
        <v>213</v>
      </c>
      <c r="C2025" s="2">
        <v>44861</v>
      </c>
      <c r="D2025" s="2" t="str">
        <f>TEXT(Table3[[#This Row],[usage_date]],"mmmm")</f>
        <v>October</v>
      </c>
      <c r="E2025" s="9">
        <f>YEAR(Table3[[#This Row],[usage_date]])</f>
        <v>2022</v>
      </c>
      <c r="F2025" s="14">
        <v>2.67</v>
      </c>
      <c r="G2025">
        <v>257</v>
      </c>
      <c r="H2025" t="s">
        <v>12</v>
      </c>
      <c r="I2025" t="str">
        <f t="shared" si="31"/>
        <v>Normal Usage</v>
      </c>
    </row>
    <row r="2026" spans="1:9" x14ac:dyDescent="0.3">
      <c r="A2026">
        <v>12025</v>
      </c>
      <c r="B2026">
        <v>405</v>
      </c>
      <c r="C2026" s="2">
        <v>45236</v>
      </c>
      <c r="D2026" s="2" t="str">
        <f>TEXT(Table3[[#This Row],[usage_date]],"mmmm")</f>
        <v>November</v>
      </c>
      <c r="E2026" s="9">
        <f>YEAR(Table3[[#This Row],[usage_date]])</f>
        <v>2023</v>
      </c>
      <c r="F2026" s="14">
        <v>1.72</v>
      </c>
      <c r="G2026">
        <v>184</v>
      </c>
      <c r="H2026" t="s">
        <v>13</v>
      </c>
      <c r="I2026" t="str">
        <f t="shared" si="31"/>
        <v>Normal Usage</v>
      </c>
    </row>
    <row r="2027" spans="1:9" x14ac:dyDescent="0.3">
      <c r="A2027">
        <v>12026</v>
      </c>
      <c r="B2027">
        <v>235</v>
      </c>
      <c r="C2027" s="2">
        <v>44872</v>
      </c>
      <c r="D2027" s="2" t="str">
        <f>TEXT(Table3[[#This Row],[usage_date]],"mmmm")</f>
        <v>November</v>
      </c>
      <c r="E2027" s="9">
        <f>YEAR(Table3[[#This Row],[usage_date]])</f>
        <v>2022</v>
      </c>
      <c r="F2027" s="14">
        <v>0.08</v>
      </c>
      <c r="G2027">
        <v>179</v>
      </c>
      <c r="H2027" t="s">
        <v>12</v>
      </c>
      <c r="I2027" t="str">
        <f t="shared" si="31"/>
        <v>Normal Usage</v>
      </c>
    </row>
    <row r="2028" spans="1:9" x14ac:dyDescent="0.3">
      <c r="A2028">
        <v>12027</v>
      </c>
      <c r="B2028">
        <v>13</v>
      </c>
      <c r="C2028" s="2">
        <v>45032</v>
      </c>
      <c r="D2028" s="2" t="str">
        <f>TEXT(Table3[[#This Row],[usage_date]],"mmmm")</f>
        <v>April</v>
      </c>
      <c r="E2028" s="9">
        <f>YEAR(Table3[[#This Row],[usage_date]])</f>
        <v>2023</v>
      </c>
      <c r="F2028" s="14">
        <v>2.37</v>
      </c>
      <c r="G2028">
        <v>185</v>
      </c>
      <c r="H2028" t="s">
        <v>12</v>
      </c>
      <c r="I2028" t="str">
        <f t="shared" si="31"/>
        <v>Normal Usage</v>
      </c>
    </row>
    <row r="2029" spans="1:9" x14ac:dyDescent="0.3">
      <c r="A2029">
        <v>12028</v>
      </c>
      <c r="B2029">
        <v>101</v>
      </c>
      <c r="C2029" s="2">
        <v>44954</v>
      </c>
      <c r="D2029" s="2" t="str">
        <f>TEXT(Table3[[#This Row],[usage_date]],"mmmm")</f>
        <v>January</v>
      </c>
      <c r="E2029" s="9">
        <f>YEAR(Table3[[#This Row],[usage_date]])</f>
        <v>2023</v>
      </c>
      <c r="F2029" s="14">
        <v>3.15</v>
      </c>
      <c r="G2029">
        <v>122</v>
      </c>
      <c r="H2029" t="s">
        <v>12</v>
      </c>
      <c r="I2029" t="str">
        <f t="shared" si="31"/>
        <v>Normal Usage</v>
      </c>
    </row>
    <row r="2030" spans="1:9" x14ac:dyDescent="0.3">
      <c r="A2030">
        <v>12029</v>
      </c>
      <c r="B2030">
        <v>417</v>
      </c>
      <c r="C2030" s="2">
        <v>45203</v>
      </c>
      <c r="D2030" s="2" t="str">
        <f>TEXT(Table3[[#This Row],[usage_date]],"mmmm")</f>
        <v>October</v>
      </c>
      <c r="E2030" s="9">
        <f>YEAR(Table3[[#This Row],[usage_date]])</f>
        <v>2023</v>
      </c>
      <c r="F2030" s="14">
        <v>1.35</v>
      </c>
      <c r="G2030">
        <v>95</v>
      </c>
      <c r="H2030" t="s">
        <v>12</v>
      </c>
      <c r="I2030" t="str">
        <f t="shared" si="31"/>
        <v>Normal Usage</v>
      </c>
    </row>
    <row r="2031" spans="1:9" x14ac:dyDescent="0.3">
      <c r="A2031">
        <v>12030</v>
      </c>
      <c r="B2031">
        <v>24</v>
      </c>
      <c r="C2031" s="2">
        <v>45006</v>
      </c>
      <c r="D2031" s="2" t="str">
        <f>TEXT(Table3[[#This Row],[usage_date]],"mmmm")</f>
        <v>March</v>
      </c>
      <c r="E2031" s="9">
        <f>YEAR(Table3[[#This Row],[usage_date]])</f>
        <v>2023</v>
      </c>
      <c r="F2031" s="14">
        <v>3.54</v>
      </c>
      <c r="G2031">
        <v>92</v>
      </c>
      <c r="H2031" t="s">
        <v>12</v>
      </c>
      <c r="I2031" t="str">
        <f t="shared" si="31"/>
        <v>Normal Usage</v>
      </c>
    </row>
    <row r="2032" spans="1:9" x14ac:dyDescent="0.3">
      <c r="A2032">
        <v>12031</v>
      </c>
      <c r="B2032">
        <v>364</v>
      </c>
      <c r="C2032" s="2">
        <v>45319</v>
      </c>
      <c r="D2032" s="2" t="str">
        <f>TEXT(Table3[[#This Row],[usage_date]],"mmmm")</f>
        <v>January</v>
      </c>
      <c r="E2032" s="9">
        <f>YEAR(Table3[[#This Row],[usage_date]])</f>
        <v>2024</v>
      </c>
      <c r="F2032" s="14">
        <v>0.64</v>
      </c>
      <c r="G2032">
        <v>2</v>
      </c>
      <c r="H2032" t="s">
        <v>12</v>
      </c>
      <c r="I2032" t="str">
        <f t="shared" si="31"/>
        <v>Normal Usage</v>
      </c>
    </row>
    <row r="2033" spans="1:9" x14ac:dyDescent="0.3">
      <c r="A2033">
        <v>12032</v>
      </c>
      <c r="B2033">
        <v>11</v>
      </c>
      <c r="C2033" s="2">
        <v>45370</v>
      </c>
      <c r="D2033" s="2" t="str">
        <f>TEXT(Table3[[#This Row],[usage_date]],"mmmm")</f>
        <v>March</v>
      </c>
      <c r="E2033" s="9">
        <f>YEAR(Table3[[#This Row],[usage_date]])</f>
        <v>2024</v>
      </c>
      <c r="F2033" s="14">
        <v>0.63</v>
      </c>
      <c r="G2033">
        <v>1</v>
      </c>
      <c r="H2033" t="s">
        <v>13</v>
      </c>
      <c r="I2033" t="str">
        <f t="shared" si="31"/>
        <v>Normal Usage</v>
      </c>
    </row>
    <row r="2034" spans="1:9" x14ac:dyDescent="0.3">
      <c r="A2034">
        <v>12033</v>
      </c>
      <c r="B2034">
        <v>273</v>
      </c>
      <c r="C2034" s="2">
        <v>44733</v>
      </c>
      <c r="D2034" s="2" t="str">
        <f>TEXT(Table3[[#This Row],[usage_date]],"mmmm")</f>
        <v>June</v>
      </c>
      <c r="E2034" s="9">
        <f>YEAR(Table3[[#This Row],[usage_date]])</f>
        <v>2022</v>
      </c>
      <c r="F2034" s="14">
        <v>0.44</v>
      </c>
      <c r="G2034">
        <v>147</v>
      </c>
      <c r="H2034" t="s">
        <v>13</v>
      </c>
      <c r="I2034" t="str">
        <f t="shared" si="31"/>
        <v>Normal Usage</v>
      </c>
    </row>
    <row r="2035" spans="1:9" x14ac:dyDescent="0.3">
      <c r="A2035">
        <v>12034</v>
      </c>
      <c r="B2035">
        <v>452</v>
      </c>
      <c r="C2035" s="2">
        <v>45137</v>
      </c>
      <c r="D2035" s="2" t="str">
        <f>TEXT(Table3[[#This Row],[usage_date]],"mmmm")</f>
        <v>July</v>
      </c>
      <c r="E2035" s="9">
        <f>YEAR(Table3[[#This Row],[usage_date]])</f>
        <v>2023</v>
      </c>
      <c r="F2035" s="14">
        <v>1.1599999999999999</v>
      </c>
      <c r="G2035">
        <v>284</v>
      </c>
      <c r="H2035" t="s">
        <v>13</v>
      </c>
      <c r="I2035" t="str">
        <f t="shared" si="31"/>
        <v>Normal Usage</v>
      </c>
    </row>
    <row r="2036" spans="1:9" x14ac:dyDescent="0.3">
      <c r="A2036">
        <v>12035</v>
      </c>
      <c r="B2036">
        <v>431</v>
      </c>
      <c r="C2036" s="2">
        <v>44592</v>
      </c>
      <c r="D2036" s="2" t="str">
        <f>TEXT(Table3[[#This Row],[usage_date]],"mmmm")</f>
        <v>January</v>
      </c>
      <c r="E2036" s="9">
        <f>YEAR(Table3[[#This Row],[usage_date]])</f>
        <v>2022</v>
      </c>
      <c r="F2036" s="14">
        <v>4.6900000000000004</v>
      </c>
      <c r="G2036">
        <v>144</v>
      </c>
      <c r="H2036" t="s">
        <v>12</v>
      </c>
      <c r="I2036" t="str">
        <f t="shared" si="31"/>
        <v>Normal Usage</v>
      </c>
    </row>
    <row r="2037" spans="1:9" x14ac:dyDescent="0.3">
      <c r="A2037">
        <v>12036</v>
      </c>
      <c r="B2037">
        <v>281</v>
      </c>
      <c r="C2037" s="2">
        <v>44608</v>
      </c>
      <c r="D2037" s="2" t="str">
        <f>TEXT(Table3[[#This Row],[usage_date]],"mmmm")</f>
        <v>February</v>
      </c>
      <c r="E2037" s="9">
        <f>YEAR(Table3[[#This Row],[usage_date]])</f>
        <v>2022</v>
      </c>
      <c r="F2037" s="14">
        <v>4.4000000000000004</v>
      </c>
      <c r="G2037">
        <v>261</v>
      </c>
      <c r="H2037" t="s">
        <v>12</v>
      </c>
      <c r="I2037" t="str">
        <f t="shared" si="31"/>
        <v>Normal Usage</v>
      </c>
    </row>
    <row r="2038" spans="1:9" x14ac:dyDescent="0.3">
      <c r="A2038">
        <v>12037</v>
      </c>
      <c r="B2038">
        <v>94</v>
      </c>
      <c r="C2038" s="2">
        <v>44691</v>
      </c>
      <c r="D2038" s="2" t="str">
        <f>TEXT(Table3[[#This Row],[usage_date]],"mmmm")</f>
        <v>May</v>
      </c>
      <c r="E2038" s="9">
        <f>YEAR(Table3[[#This Row],[usage_date]])</f>
        <v>2022</v>
      </c>
      <c r="F2038" s="14">
        <v>1.21</v>
      </c>
      <c r="G2038">
        <v>61</v>
      </c>
      <c r="H2038" t="s">
        <v>12</v>
      </c>
      <c r="I2038" t="str">
        <f t="shared" si="31"/>
        <v>Normal Usage</v>
      </c>
    </row>
    <row r="2039" spans="1:9" x14ac:dyDescent="0.3">
      <c r="A2039">
        <v>12038</v>
      </c>
      <c r="B2039">
        <v>201</v>
      </c>
      <c r="C2039" s="2">
        <v>44913</v>
      </c>
      <c r="D2039" s="2" t="str">
        <f>TEXT(Table3[[#This Row],[usage_date]],"mmmm")</f>
        <v>December</v>
      </c>
      <c r="E2039" s="9">
        <f>YEAR(Table3[[#This Row],[usage_date]])</f>
        <v>2022</v>
      </c>
      <c r="F2039" s="14">
        <v>2.2200000000000002</v>
      </c>
      <c r="G2039">
        <v>225</v>
      </c>
      <c r="H2039" t="s">
        <v>12</v>
      </c>
      <c r="I2039" t="str">
        <f t="shared" si="31"/>
        <v>Normal Usage</v>
      </c>
    </row>
    <row r="2040" spans="1:9" x14ac:dyDescent="0.3">
      <c r="A2040">
        <v>12039</v>
      </c>
      <c r="B2040">
        <v>21</v>
      </c>
      <c r="C2040" s="2">
        <v>45406</v>
      </c>
      <c r="D2040" s="2" t="str">
        <f>TEXT(Table3[[#This Row],[usage_date]],"mmmm")</f>
        <v>April</v>
      </c>
      <c r="E2040" s="9">
        <f>YEAR(Table3[[#This Row],[usage_date]])</f>
        <v>2024</v>
      </c>
      <c r="F2040" s="14">
        <v>3.19</v>
      </c>
      <c r="G2040">
        <v>30</v>
      </c>
      <c r="H2040" t="s">
        <v>12</v>
      </c>
      <c r="I2040" t="str">
        <f t="shared" si="31"/>
        <v>Normal Usage</v>
      </c>
    </row>
    <row r="2041" spans="1:9" x14ac:dyDescent="0.3">
      <c r="A2041">
        <v>12040</v>
      </c>
      <c r="B2041">
        <v>340</v>
      </c>
      <c r="C2041" s="2">
        <v>45183</v>
      </c>
      <c r="D2041" s="2" t="str">
        <f>TEXT(Table3[[#This Row],[usage_date]],"mmmm")</f>
        <v>September</v>
      </c>
      <c r="E2041" s="9">
        <f>YEAR(Table3[[#This Row],[usage_date]])</f>
        <v>2023</v>
      </c>
      <c r="F2041" s="14">
        <v>0.69</v>
      </c>
      <c r="G2041">
        <v>189</v>
      </c>
      <c r="H2041" t="s">
        <v>13</v>
      </c>
      <c r="I2041" t="str">
        <f t="shared" si="31"/>
        <v>Normal Usage</v>
      </c>
    </row>
    <row r="2042" spans="1:9" x14ac:dyDescent="0.3">
      <c r="A2042">
        <v>12041</v>
      </c>
      <c r="B2042">
        <v>467</v>
      </c>
      <c r="C2042" s="2">
        <v>45142</v>
      </c>
      <c r="D2042" s="2" t="str">
        <f>TEXT(Table3[[#This Row],[usage_date]],"mmmm")</f>
        <v>August</v>
      </c>
      <c r="E2042" s="9">
        <f>YEAR(Table3[[#This Row],[usage_date]])</f>
        <v>2023</v>
      </c>
      <c r="F2042" s="14">
        <v>0.46</v>
      </c>
      <c r="G2042">
        <v>267</v>
      </c>
      <c r="H2042" t="s">
        <v>12</v>
      </c>
      <c r="I2042" t="str">
        <f t="shared" si="31"/>
        <v>Normal Usage</v>
      </c>
    </row>
    <row r="2043" spans="1:9" x14ac:dyDescent="0.3">
      <c r="A2043">
        <v>12042</v>
      </c>
      <c r="B2043">
        <v>211</v>
      </c>
      <c r="C2043" s="2">
        <v>44619</v>
      </c>
      <c r="D2043" s="2" t="str">
        <f>TEXT(Table3[[#This Row],[usage_date]],"mmmm")</f>
        <v>February</v>
      </c>
      <c r="E2043" s="9">
        <f>YEAR(Table3[[#This Row],[usage_date]])</f>
        <v>2022</v>
      </c>
      <c r="F2043" s="14">
        <v>8.9499999999999993</v>
      </c>
      <c r="G2043">
        <v>11</v>
      </c>
      <c r="H2043" t="s">
        <v>12</v>
      </c>
      <c r="I2043" t="str">
        <f t="shared" si="31"/>
        <v>High Usage</v>
      </c>
    </row>
    <row r="2044" spans="1:9" x14ac:dyDescent="0.3">
      <c r="A2044">
        <v>12043</v>
      </c>
      <c r="B2044">
        <v>140</v>
      </c>
      <c r="C2044" s="2">
        <v>44667</v>
      </c>
      <c r="D2044" s="2" t="str">
        <f>TEXT(Table3[[#This Row],[usage_date]],"mmmm")</f>
        <v>April</v>
      </c>
      <c r="E2044" s="9">
        <f>YEAR(Table3[[#This Row],[usage_date]])</f>
        <v>2022</v>
      </c>
      <c r="F2044" s="14">
        <v>2.4</v>
      </c>
      <c r="G2044">
        <v>190</v>
      </c>
      <c r="H2044" t="s">
        <v>12</v>
      </c>
      <c r="I2044" t="str">
        <f t="shared" si="31"/>
        <v>Normal Usage</v>
      </c>
    </row>
    <row r="2045" spans="1:9" x14ac:dyDescent="0.3">
      <c r="A2045">
        <v>12044</v>
      </c>
      <c r="B2045">
        <v>293</v>
      </c>
      <c r="C2045" s="2">
        <v>45373</v>
      </c>
      <c r="D2045" s="2" t="str">
        <f>TEXT(Table3[[#This Row],[usage_date]],"mmmm")</f>
        <v>March</v>
      </c>
      <c r="E2045" s="9">
        <f>YEAR(Table3[[#This Row],[usage_date]])</f>
        <v>2024</v>
      </c>
      <c r="F2045" s="14">
        <v>9.9600000000000009</v>
      </c>
      <c r="G2045">
        <v>24</v>
      </c>
      <c r="H2045" t="s">
        <v>12</v>
      </c>
      <c r="I2045" t="str">
        <f t="shared" si="31"/>
        <v>High Usage</v>
      </c>
    </row>
    <row r="2046" spans="1:9" x14ac:dyDescent="0.3">
      <c r="A2046">
        <v>12045</v>
      </c>
      <c r="B2046">
        <v>298</v>
      </c>
      <c r="C2046" s="2">
        <v>44891</v>
      </c>
      <c r="D2046" s="2" t="str">
        <f>TEXT(Table3[[#This Row],[usage_date]],"mmmm")</f>
        <v>November</v>
      </c>
      <c r="E2046" s="9">
        <f>YEAR(Table3[[#This Row],[usage_date]])</f>
        <v>2022</v>
      </c>
      <c r="F2046" s="14">
        <v>1.03</v>
      </c>
      <c r="G2046">
        <v>90</v>
      </c>
      <c r="H2046" t="s">
        <v>13</v>
      </c>
      <c r="I2046" t="str">
        <f t="shared" si="31"/>
        <v>Normal Usage</v>
      </c>
    </row>
    <row r="2047" spans="1:9" x14ac:dyDescent="0.3">
      <c r="A2047">
        <v>12046</v>
      </c>
      <c r="B2047">
        <v>401</v>
      </c>
      <c r="C2047" s="2">
        <v>45329</v>
      </c>
      <c r="D2047" s="2" t="str">
        <f>TEXT(Table3[[#This Row],[usage_date]],"mmmm")</f>
        <v>February</v>
      </c>
      <c r="E2047" s="9">
        <f>YEAR(Table3[[#This Row],[usage_date]])</f>
        <v>2024</v>
      </c>
      <c r="F2047" s="14">
        <v>3.04</v>
      </c>
      <c r="G2047">
        <v>87</v>
      </c>
      <c r="H2047" t="s">
        <v>13</v>
      </c>
      <c r="I2047" t="str">
        <f t="shared" si="31"/>
        <v>Normal Usage</v>
      </c>
    </row>
    <row r="2048" spans="1:9" x14ac:dyDescent="0.3">
      <c r="A2048">
        <v>12047</v>
      </c>
      <c r="B2048">
        <v>101</v>
      </c>
      <c r="C2048" s="2">
        <v>45385</v>
      </c>
      <c r="D2048" s="2" t="str">
        <f>TEXT(Table3[[#This Row],[usage_date]],"mmmm")</f>
        <v>April</v>
      </c>
      <c r="E2048" s="9">
        <f>YEAR(Table3[[#This Row],[usage_date]])</f>
        <v>2024</v>
      </c>
      <c r="F2048" s="14">
        <v>0.63</v>
      </c>
      <c r="G2048">
        <v>273</v>
      </c>
      <c r="H2048" t="s">
        <v>12</v>
      </c>
      <c r="I2048" t="str">
        <f t="shared" si="31"/>
        <v>Normal Usage</v>
      </c>
    </row>
    <row r="2049" spans="1:9" x14ac:dyDescent="0.3">
      <c r="A2049">
        <v>12048</v>
      </c>
      <c r="B2049">
        <v>304</v>
      </c>
      <c r="C2049" s="2">
        <v>45244</v>
      </c>
      <c r="D2049" s="2" t="str">
        <f>TEXT(Table3[[#This Row],[usage_date]],"mmmm")</f>
        <v>November</v>
      </c>
      <c r="E2049" s="9">
        <f>YEAR(Table3[[#This Row],[usage_date]])</f>
        <v>2023</v>
      </c>
      <c r="F2049" s="14">
        <v>0.76</v>
      </c>
      <c r="G2049">
        <v>110</v>
      </c>
      <c r="H2049" t="s">
        <v>12</v>
      </c>
      <c r="I2049" t="str">
        <f t="shared" si="31"/>
        <v>Normal Usage</v>
      </c>
    </row>
    <row r="2050" spans="1:9" x14ac:dyDescent="0.3">
      <c r="A2050">
        <v>12049</v>
      </c>
      <c r="B2050">
        <v>359</v>
      </c>
      <c r="C2050" s="2">
        <v>44944</v>
      </c>
      <c r="D2050" s="2" t="str">
        <f>TEXT(Table3[[#This Row],[usage_date]],"mmmm")</f>
        <v>January</v>
      </c>
      <c r="E2050" s="9">
        <f>YEAR(Table3[[#This Row],[usage_date]])</f>
        <v>2023</v>
      </c>
      <c r="F2050" s="14">
        <v>1.79</v>
      </c>
      <c r="G2050">
        <v>79</v>
      </c>
      <c r="H2050" t="s">
        <v>12</v>
      </c>
      <c r="I2050" t="str">
        <f t="shared" ref="I2050:I2113" si="32">IF(F2050&gt;6,"High Usage","Normal Usage")</f>
        <v>Normal Usage</v>
      </c>
    </row>
    <row r="2051" spans="1:9" x14ac:dyDescent="0.3">
      <c r="A2051">
        <v>12050</v>
      </c>
      <c r="B2051">
        <v>28</v>
      </c>
      <c r="C2051" s="2">
        <v>44723</v>
      </c>
      <c r="D2051" s="2" t="str">
        <f>TEXT(Table3[[#This Row],[usage_date]],"mmmm")</f>
        <v>June</v>
      </c>
      <c r="E2051" s="9">
        <f>YEAR(Table3[[#This Row],[usage_date]])</f>
        <v>2022</v>
      </c>
      <c r="F2051" s="14">
        <v>0.96</v>
      </c>
      <c r="G2051">
        <v>139</v>
      </c>
      <c r="H2051" t="s">
        <v>13</v>
      </c>
      <c r="I2051" t="str">
        <f t="shared" si="32"/>
        <v>Normal Usage</v>
      </c>
    </row>
    <row r="2052" spans="1:9" x14ac:dyDescent="0.3">
      <c r="A2052">
        <v>12051</v>
      </c>
      <c r="B2052">
        <v>41</v>
      </c>
      <c r="C2052" s="2">
        <v>44847</v>
      </c>
      <c r="D2052" s="2" t="str">
        <f>TEXT(Table3[[#This Row],[usage_date]],"mmmm")</f>
        <v>October</v>
      </c>
      <c r="E2052" s="9">
        <f>YEAR(Table3[[#This Row],[usage_date]])</f>
        <v>2022</v>
      </c>
      <c r="F2052" s="14">
        <v>0.46</v>
      </c>
      <c r="G2052">
        <v>213</v>
      </c>
      <c r="H2052" t="s">
        <v>12</v>
      </c>
      <c r="I2052" t="str">
        <f t="shared" si="32"/>
        <v>Normal Usage</v>
      </c>
    </row>
    <row r="2053" spans="1:9" x14ac:dyDescent="0.3">
      <c r="A2053">
        <v>12052</v>
      </c>
      <c r="B2053">
        <v>355</v>
      </c>
      <c r="C2053" s="2">
        <v>44632</v>
      </c>
      <c r="D2053" s="2" t="str">
        <f>TEXT(Table3[[#This Row],[usage_date]],"mmmm")</f>
        <v>March</v>
      </c>
      <c r="E2053" s="9">
        <f>YEAR(Table3[[#This Row],[usage_date]])</f>
        <v>2022</v>
      </c>
      <c r="F2053" s="14">
        <v>0.76</v>
      </c>
      <c r="G2053">
        <v>17</v>
      </c>
      <c r="H2053" t="s">
        <v>12</v>
      </c>
      <c r="I2053" t="str">
        <f t="shared" si="32"/>
        <v>Normal Usage</v>
      </c>
    </row>
    <row r="2054" spans="1:9" x14ac:dyDescent="0.3">
      <c r="A2054">
        <v>12053</v>
      </c>
      <c r="B2054">
        <v>303</v>
      </c>
      <c r="C2054" s="2">
        <v>45328</v>
      </c>
      <c r="D2054" s="2" t="str">
        <f>TEXT(Table3[[#This Row],[usage_date]],"mmmm")</f>
        <v>February</v>
      </c>
      <c r="E2054" s="9">
        <f>YEAR(Table3[[#This Row],[usage_date]])</f>
        <v>2024</v>
      </c>
      <c r="F2054" s="14">
        <v>0.09</v>
      </c>
      <c r="G2054">
        <v>53</v>
      </c>
      <c r="H2054" t="s">
        <v>12</v>
      </c>
      <c r="I2054" t="str">
        <f t="shared" si="32"/>
        <v>Normal Usage</v>
      </c>
    </row>
    <row r="2055" spans="1:9" x14ac:dyDescent="0.3">
      <c r="A2055">
        <v>12054</v>
      </c>
      <c r="B2055">
        <v>496</v>
      </c>
      <c r="C2055" s="2">
        <v>45015</v>
      </c>
      <c r="D2055" s="2" t="str">
        <f>TEXT(Table3[[#This Row],[usage_date]],"mmmm")</f>
        <v>March</v>
      </c>
      <c r="E2055" s="9">
        <f>YEAR(Table3[[#This Row],[usage_date]])</f>
        <v>2023</v>
      </c>
      <c r="F2055" s="14">
        <v>3.05</v>
      </c>
      <c r="G2055">
        <v>96</v>
      </c>
      <c r="H2055" t="s">
        <v>12</v>
      </c>
      <c r="I2055" t="str">
        <f t="shared" si="32"/>
        <v>Normal Usage</v>
      </c>
    </row>
    <row r="2056" spans="1:9" x14ac:dyDescent="0.3">
      <c r="A2056">
        <v>12055</v>
      </c>
      <c r="B2056">
        <v>146</v>
      </c>
      <c r="C2056" s="2">
        <v>45447</v>
      </c>
      <c r="D2056" s="2" t="str">
        <f>TEXT(Table3[[#This Row],[usage_date]],"mmmm")</f>
        <v>June</v>
      </c>
      <c r="E2056" s="9">
        <f>YEAR(Table3[[#This Row],[usage_date]])</f>
        <v>2024</v>
      </c>
      <c r="F2056" s="14">
        <v>1.69</v>
      </c>
      <c r="G2056">
        <v>282</v>
      </c>
      <c r="H2056" t="s">
        <v>12</v>
      </c>
      <c r="I2056" t="str">
        <f t="shared" si="32"/>
        <v>Normal Usage</v>
      </c>
    </row>
    <row r="2057" spans="1:9" x14ac:dyDescent="0.3">
      <c r="A2057">
        <v>12056</v>
      </c>
      <c r="B2057">
        <v>256</v>
      </c>
      <c r="C2057" s="2">
        <v>45128</v>
      </c>
      <c r="D2057" s="2" t="str">
        <f>TEXT(Table3[[#This Row],[usage_date]],"mmmm")</f>
        <v>July</v>
      </c>
      <c r="E2057" s="9">
        <f>YEAR(Table3[[#This Row],[usage_date]])</f>
        <v>2023</v>
      </c>
      <c r="F2057" s="14">
        <v>0.25</v>
      </c>
      <c r="G2057">
        <v>233</v>
      </c>
      <c r="H2057" t="s">
        <v>12</v>
      </c>
      <c r="I2057" t="str">
        <f t="shared" si="32"/>
        <v>Normal Usage</v>
      </c>
    </row>
    <row r="2058" spans="1:9" x14ac:dyDescent="0.3">
      <c r="A2058">
        <v>12057</v>
      </c>
      <c r="B2058">
        <v>462</v>
      </c>
      <c r="C2058" s="2">
        <v>45396</v>
      </c>
      <c r="D2058" s="2" t="str">
        <f>TEXT(Table3[[#This Row],[usage_date]],"mmmm")</f>
        <v>April</v>
      </c>
      <c r="E2058" s="9">
        <f>YEAR(Table3[[#This Row],[usage_date]])</f>
        <v>2024</v>
      </c>
      <c r="F2058" s="14">
        <v>0.47</v>
      </c>
      <c r="G2058">
        <v>239</v>
      </c>
      <c r="H2058" t="s">
        <v>12</v>
      </c>
      <c r="I2058" t="str">
        <f t="shared" si="32"/>
        <v>Normal Usage</v>
      </c>
    </row>
    <row r="2059" spans="1:9" x14ac:dyDescent="0.3">
      <c r="A2059">
        <v>12058</v>
      </c>
      <c r="B2059">
        <v>227</v>
      </c>
      <c r="C2059" s="2">
        <v>44958</v>
      </c>
      <c r="D2059" s="2" t="str">
        <f>TEXT(Table3[[#This Row],[usage_date]],"mmmm")</f>
        <v>February</v>
      </c>
      <c r="E2059" s="9">
        <f>YEAR(Table3[[#This Row],[usage_date]])</f>
        <v>2023</v>
      </c>
      <c r="F2059" s="14">
        <v>0.27</v>
      </c>
      <c r="G2059">
        <v>53</v>
      </c>
      <c r="H2059" t="s">
        <v>12</v>
      </c>
      <c r="I2059" t="str">
        <f t="shared" si="32"/>
        <v>Normal Usage</v>
      </c>
    </row>
    <row r="2060" spans="1:9" x14ac:dyDescent="0.3">
      <c r="A2060">
        <v>12059</v>
      </c>
      <c r="B2060">
        <v>236</v>
      </c>
      <c r="C2060" s="2">
        <v>45076</v>
      </c>
      <c r="D2060" s="2" t="str">
        <f>TEXT(Table3[[#This Row],[usage_date]],"mmmm")</f>
        <v>May</v>
      </c>
      <c r="E2060" s="9">
        <f>YEAR(Table3[[#This Row],[usage_date]])</f>
        <v>2023</v>
      </c>
      <c r="F2060" s="14">
        <v>2.37</v>
      </c>
      <c r="G2060">
        <v>86</v>
      </c>
      <c r="H2060" t="s">
        <v>13</v>
      </c>
      <c r="I2060" t="str">
        <f t="shared" si="32"/>
        <v>Normal Usage</v>
      </c>
    </row>
    <row r="2061" spans="1:9" x14ac:dyDescent="0.3">
      <c r="A2061">
        <v>12060</v>
      </c>
      <c r="B2061">
        <v>361</v>
      </c>
      <c r="C2061" s="2">
        <v>44587</v>
      </c>
      <c r="D2061" s="2" t="str">
        <f>TEXT(Table3[[#This Row],[usage_date]],"mmmm")</f>
        <v>January</v>
      </c>
      <c r="E2061" s="9">
        <f>YEAR(Table3[[#This Row],[usage_date]])</f>
        <v>2022</v>
      </c>
      <c r="F2061" s="14">
        <v>0.25</v>
      </c>
      <c r="G2061">
        <v>260</v>
      </c>
      <c r="H2061" t="s">
        <v>12</v>
      </c>
      <c r="I2061" t="str">
        <f t="shared" si="32"/>
        <v>Normal Usage</v>
      </c>
    </row>
    <row r="2062" spans="1:9" x14ac:dyDescent="0.3">
      <c r="A2062">
        <v>12061</v>
      </c>
      <c r="B2062">
        <v>380</v>
      </c>
      <c r="C2062" s="2">
        <v>44874</v>
      </c>
      <c r="D2062" s="2" t="str">
        <f>TEXT(Table3[[#This Row],[usage_date]],"mmmm")</f>
        <v>November</v>
      </c>
      <c r="E2062" s="9">
        <f>YEAR(Table3[[#This Row],[usage_date]])</f>
        <v>2022</v>
      </c>
      <c r="F2062" s="14">
        <v>3.51</v>
      </c>
      <c r="G2062">
        <v>235</v>
      </c>
      <c r="H2062" t="s">
        <v>12</v>
      </c>
      <c r="I2062" t="str">
        <f t="shared" si="32"/>
        <v>Normal Usage</v>
      </c>
    </row>
    <row r="2063" spans="1:9" x14ac:dyDescent="0.3">
      <c r="A2063">
        <v>12062</v>
      </c>
      <c r="B2063">
        <v>455</v>
      </c>
      <c r="C2063" s="2">
        <v>44687</v>
      </c>
      <c r="D2063" s="2" t="str">
        <f>TEXT(Table3[[#This Row],[usage_date]],"mmmm")</f>
        <v>May</v>
      </c>
      <c r="E2063" s="9">
        <f>YEAR(Table3[[#This Row],[usage_date]])</f>
        <v>2022</v>
      </c>
      <c r="F2063" s="14">
        <v>0.05</v>
      </c>
      <c r="G2063">
        <v>122</v>
      </c>
      <c r="H2063" t="s">
        <v>13</v>
      </c>
      <c r="I2063" t="str">
        <f t="shared" si="32"/>
        <v>Normal Usage</v>
      </c>
    </row>
    <row r="2064" spans="1:9" x14ac:dyDescent="0.3">
      <c r="A2064">
        <v>12063</v>
      </c>
      <c r="B2064">
        <v>489</v>
      </c>
      <c r="C2064" s="2">
        <v>44969</v>
      </c>
      <c r="D2064" s="2" t="str">
        <f>TEXT(Table3[[#This Row],[usage_date]],"mmmm")</f>
        <v>February</v>
      </c>
      <c r="E2064" s="9">
        <f>YEAR(Table3[[#This Row],[usage_date]])</f>
        <v>2023</v>
      </c>
      <c r="F2064" s="14">
        <v>0.72</v>
      </c>
      <c r="G2064">
        <v>53</v>
      </c>
      <c r="H2064" t="s">
        <v>13</v>
      </c>
      <c r="I2064" t="str">
        <f t="shared" si="32"/>
        <v>Normal Usage</v>
      </c>
    </row>
    <row r="2065" spans="1:9" x14ac:dyDescent="0.3">
      <c r="A2065">
        <v>12064</v>
      </c>
      <c r="B2065">
        <v>13</v>
      </c>
      <c r="C2065" s="2">
        <v>45126</v>
      </c>
      <c r="D2065" s="2" t="str">
        <f>TEXT(Table3[[#This Row],[usage_date]],"mmmm")</f>
        <v>July</v>
      </c>
      <c r="E2065" s="9">
        <f>YEAR(Table3[[#This Row],[usage_date]])</f>
        <v>2023</v>
      </c>
      <c r="F2065" s="14">
        <v>5.53</v>
      </c>
      <c r="G2065">
        <v>215</v>
      </c>
      <c r="H2065" t="s">
        <v>12</v>
      </c>
      <c r="I2065" t="str">
        <f t="shared" si="32"/>
        <v>Normal Usage</v>
      </c>
    </row>
    <row r="2066" spans="1:9" x14ac:dyDescent="0.3">
      <c r="A2066">
        <v>12065</v>
      </c>
      <c r="B2066">
        <v>210</v>
      </c>
      <c r="C2066" s="2">
        <v>44759</v>
      </c>
      <c r="D2066" s="2" t="str">
        <f>TEXT(Table3[[#This Row],[usage_date]],"mmmm")</f>
        <v>July</v>
      </c>
      <c r="E2066" s="9">
        <f>YEAR(Table3[[#This Row],[usage_date]])</f>
        <v>2022</v>
      </c>
      <c r="F2066" s="14">
        <v>3.17</v>
      </c>
      <c r="G2066">
        <v>196</v>
      </c>
      <c r="H2066" t="s">
        <v>12</v>
      </c>
      <c r="I2066" t="str">
        <f t="shared" si="32"/>
        <v>Normal Usage</v>
      </c>
    </row>
    <row r="2067" spans="1:9" x14ac:dyDescent="0.3">
      <c r="A2067">
        <v>12066</v>
      </c>
      <c r="B2067">
        <v>229</v>
      </c>
      <c r="C2067" s="2">
        <v>45372</v>
      </c>
      <c r="D2067" s="2" t="str">
        <f>TEXT(Table3[[#This Row],[usage_date]],"mmmm")</f>
        <v>March</v>
      </c>
      <c r="E2067" s="9">
        <f>YEAR(Table3[[#This Row],[usage_date]])</f>
        <v>2024</v>
      </c>
      <c r="F2067" s="14">
        <v>0.19</v>
      </c>
      <c r="G2067">
        <v>38</v>
      </c>
      <c r="H2067" t="s">
        <v>12</v>
      </c>
      <c r="I2067" t="str">
        <f t="shared" si="32"/>
        <v>Normal Usage</v>
      </c>
    </row>
    <row r="2068" spans="1:9" x14ac:dyDescent="0.3">
      <c r="A2068">
        <v>12067</v>
      </c>
      <c r="B2068">
        <v>397</v>
      </c>
      <c r="C2068" s="2">
        <v>44749</v>
      </c>
      <c r="D2068" s="2" t="str">
        <f>TEXT(Table3[[#This Row],[usage_date]],"mmmm")</f>
        <v>July</v>
      </c>
      <c r="E2068" s="9">
        <f>YEAR(Table3[[#This Row],[usage_date]])</f>
        <v>2022</v>
      </c>
      <c r="F2068" s="14">
        <v>4.3</v>
      </c>
      <c r="G2068">
        <v>227</v>
      </c>
      <c r="H2068" t="s">
        <v>13</v>
      </c>
      <c r="I2068" t="str">
        <f t="shared" si="32"/>
        <v>Normal Usage</v>
      </c>
    </row>
    <row r="2069" spans="1:9" x14ac:dyDescent="0.3">
      <c r="A2069">
        <v>12068</v>
      </c>
      <c r="B2069">
        <v>100</v>
      </c>
      <c r="C2069" s="2">
        <v>45259</v>
      </c>
      <c r="D2069" s="2" t="str">
        <f>TEXT(Table3[[#This Row],[usage_date]],"mmmm")</f>
        <v>November</v>
      </c>
      <c r="E2069" s="9">
        <f>YEAR(Table3[[#This Row],[usage_date]])</f>
        <v>2023</v>
      </c>
      <c r="F2069" s="14">
        <v>1.7</v>
      </c>
      <c r="G2069">
        <v>236</v>
      </c>
      <c r="H2069" t="s">
        <v>13</v>
      </c>
      <c r="I2069" t="str">
        <f t="shared" si="32"/>
        <v>Normal Usage</v>
      </c>
    </row>
    <row r="2070" spans="1:9" x14ac:dyDescent="0.3">
      <c r="A2070">
        <v>12069</v>
      </c>
      <c r="B2070">
        <v>31</v>
      </c>
      <c r="C2070" s="2">
        <v>45378</v>
      </c>
      <c r="D2070" s="2" t="str">
        <f>TEXT(Table3[[#This Row],[usage_date]],"mmmm")</f>
        <v>March</v>
      </c>
      <c r="E2070" s="9">
        <f>YEAR(Table3[[#This Row],[usage_date]])</f>
        <v>2024</v>
      </c>
      <c r="F2070" s="14">
        <v>4.6900000000000004</v>
      </c>
      <c r="G2070">
        <v>131</v>
      </c>
      <c r="H2070" t="s">
        <v>12</v>
      </c>
      <c r="I2070" t="str">
        <f t="shared" si="32"/>
        <v>Normal Usage</v>
      </c>
    </row>
    <row r="2071" spans="1:9" x14ac:dyDescent="0.3">
      <c r="A2071">
        <v>12070</v>
      </c>
      <c r="B2071">
        <v>386</v>
      </c>
      <c r="C2071" s="2">
        <v>45371</v>
      </c>
      <c r="D2071" s="2" t="str">
        <f>TEXT(Table3[[#This Row],[usage_date]],"mmmm")</f>
        <v>March</v>
      </c>
      <c r="E2071" s="9">
        <f>YEAR(Table3[[#This Row],[usage_date]])</f>
        <v>2024</v>
      </c>
      <c r="F2071" s="14">
        <v>2.2999999999999998</v>
      </c>
      <c r="G2071">
        <v>167</v>
      </c>
      <c r="H2071" t="s">
        <v>12</v>
      </c>
      <c r="I2071" t="str">
        <f t="shared" si="32"/>
        <v>Normal Usage</v>
      </c>
    </row>
    <row r="2072" spans="1:9" x14ac:dyDescent="0.3">
      <c r="A2072">
        <v>12071</v>
      </c>
      <c r="B2072">
        <v>16</v>
      </c>
      <c r="C2072" s="2">
        <v>45277</v>
      </c>
      <c r="D2072" s="2" t="str">
        <f>TEXT(Table3[[#This Row],[usage_date]],"mmmm")</f>
        <v>December</v>
      </c>
      <c r="E2072" s="9">
        <f>YEAR(Table3[[#This Row],[usage_date]])</f>
        <v>2023</v>
      </c>
      <c r="F2072" s="14">
        <v>2.86</v>
      </c>
      <c r="G2072">
        <v>36</v>
      </c>
      <c r="H2072" t="s">
        <v>12</v>
      </c>
      <c r="I2072" t="str">
        <f t="shared" si="32"/>
        <v>Normal Usage</v>
      </c>
    </row>
    <row r="2073" spans="1:9" x14ac:dyDescent="0.3">
      <c r="A2073">
        <v>12072</v>
      </c>
      <c r="B2073">
        <v>137</v>
      </c>
      <c r="C2073" s="2">
        <v>45045</v>
      </c>
      <c r="D2073" s="2" t="str">
        <f>TEXT(Table3[[#This Row],[usage_date]],"mmmm")</f>
        <v>April</v>
      </c>
      <c r="E2073" s="9">
        <f>YEAR(Table3[[#This Row],[usage_date]])</f>
        <v>2023</v>
      </c>
      <c r="F2073" s="14">
        <v>12.59</v>
      </c>
      <c r="G2073">
        <v>66</v>
      </c>
      <c r="H2073" t="s">
        <v>12</v>
      </c>
      <c r="I2073" t="str">
        <f t="shared" si="32"/>
        <v>High Usage</v>
      </c>
    </row>
    <row r="2074" spans="1:9" x14ac:dyDescent="0.3">
      <c r="A2074">
        <v>12073</v>
      </c>
      <c r="B2074">
        <v>329</v>
      </c>
      <c r="C2074" s="2">
        <v>45011</v>
      </c>
      <c r="D2074" s="2" t="str">
        <f>TEXT(Table3[[#This Row],[usage_date]],"mmmm")</f>
        <v>March</v>
      </c>
      <c r="E2074" s="9">
        <f>YEAR(Table3[[#This Row],[usage_date]])</f>
        <v>2023</v>
      </c>
      <c r="F2074" s="14">
        <v>0.66</v>
      </c>
      <c r="G2074">
        <v>110</v>
      </c>
      <c r="H2074" t="s">
        <v>12</v>
      </c>
      <c r="I2074" t="str">
        <f t="shared" si="32"/>
        <v>Normal Usage</v>
      </c>
    </row>
    <row r="2075" spans="1:9" x14ac:dyDescent="0.3">
      <c r="A2075">
        <v>12074</v>
      </c>
      <c r="B2075">
        <v>166</v>
      </c>
      <c r="C2075" s="2">
        <v>45084</v>
      </c>
      <c r="D2075" s="2" t="str">
        <f>TEXT(Table3[[#This Row],[usage_date]],"mmmm")</f>
        <v>June</v>
      </c>
      <c r="E2075" s="9">
        <f>YEAR(Table3[[#This Row],[usage_date]])</f>
        <v>2023</v>
      </c>
      <c r="F2075" s="14">
        <v>2.4500000000000002</v>
      </c>
      <c r="G2075">
        <v>218</v>
      </c>
      <c r="H2075" t="s">
        <v>12</v>
      </c>
      <c r="I2075" t="str">
        <f t="shared" si="32"/>
        <v>Normal Usage</v>
      </c>
    </row>
    <row r="2076" spans="1:9" x14ac:dyDescent="0.3">
      <c r="A2076">
        <v>12075</v>
      </c>
      <c r="B2076">
        <v>459</v>
      </c>
      <c r="C2076" s="2">
        <v>45432</v>
      </c>
      <c r="D2076" s="2" t="str">
        <f>TEXT(Table3[[#This Row],[usage_date]],"mmmm")</f>
        <v>May</v>
      </c>
      <c r="E2076" s="9">
        <f>YEAR(Table3[[#This Row],[usage_date]])</f>
        <v>2024</v>
      </c>
      <c r="F2076" s="14">
        <v>1.54</v>
      </c>
      <c r="G2076">
        <v>208</v>
      </c>
      <c r="H2076" t="s">
        <v>12</v>
      </c>
      <c r="I2076" t="str">
        <f t="shared" si="32"/>
        <v>Normal Usage</v>
      </c>
    </row>
    <row r="2077" spans="1:9" x14ac:dyDescent="0.3">
      <c r="A2077">
        <v>12076</v>
      </c>
      <c r="B2077">
        <v>310</v>
      </c>
      <c r="C2077" s="2">
        <v>44915</v>
      </c>
      <c r="D2077" s="2" t="str">
        <f>TEXT(Table3[[#This Row],[usage_date]],"mmmm")</f>
        <v>December</v>
      </c>
      <c r="E2077" s="9">
        <f>YEAR(Table3[[#This Row],[usage_date]])</f>
        <v>2022</v>
      </c>
      <c r="F2077" s="14">
        <v>0.1</v>
      </c>
      <c r="G2077">
        <v>86</v>
      </c>
      <c r="H2077" t="s">
        <v>12</v>
      </c>
      <c r="I2077" t="str">
        <f t="shared" si="32"/>
        <v>Normal Usage</v>
      </c>
    </row>
    <row r="2078" spans="1:9" x14ac:dyDescent="0.3">
      <c r="A2078">
        <v>12077</v>
      </c>
      <c r="B2078">
        <v>440</v>
      </c>
      <c r="C2078" s="2">
        <v>45219</v>
      </c>
      <c r="D2078" s="2" t="str">
        <f>TEXT(Table3[[#This Row],[usage_date]],"mmmm")</f>
        <v>October</v>
      </c>
      <c r="E2078" s="9">
        <f>YEAR(Table3[[#This Row],[usage_date]])</f>
        <v>2023</v>
      </c>
      <c r="F2078" s="14">
        <v>0.04</v>
      </c>
      <c r="G2078">
        <v>178</v>
      </c>
      <c r="H2078" t="s">
        <v>12</v>
      </c>
      <c r="I2078" t="str">
        <f t="shared" si="32"/>
        <v>Normal Usage</v>
      </c>
    </row>
    <row r="2079" spans="1:9" x14ac:dyDescent="0.3">
      <c r="A2079">
        <v>12078</v>
      </c>
      <c r="B2079">
        <v>470</v>
      </c>
      <c r="C2079" s="2">
        <v>45158</v>
      </c>
      <c r="D2079" s="2" t="str">
        <f>TEXT(Table3[[#This Row],[usage_date]],"mmmm")</f>
        <v>August</v>
      </c>
      <c r="E2079" s="9">
        <f>YEAR(Table3[[#This Row],[usage_date]])</f>
        <v>2023</v>
      </c>
      <c r="F2079" s="14">
        <v>0.32</v>
      </c>
      <c r="G2079">
        <v>12</v>
      </c>
      <c r="H2079" t="s">
        <v>12</v>
      </c>
      <c r="I2079" t="str">
        <f t="shared" si="32"/>
        <v>Normal Usage</v>
      </c>
    </row>
    <row r="2080" spans="1:9" x14ac:dyDescent="0.3">
      <c r="A2080">
        <v>12079</v>
      </c>
      <c r="B2080">
        <v>481</v>
      </c>
      <c r="C2080" s="2">
        <v>44661</v>
      </c>
      <c r="D2080" s="2" t="str">
        <f>TEXT(Table3[[#This Row],[usage_date]],"mmmm")</f>
        <v>April</v>
      </c>
      <c r="E2080" s="9">
        <f>YEAR(Table3[[#This Row],[usage_date]])</f>
        <v>2022</v>
      </c>
      <c r="F2080" s="14">
        <v>2.62</v>
      </c>
      <c r="G2080">
        <v>299</v>
      </c>
      <c r="H2080" t="s">
        <v>12</v>
      </c>
      <c r="I2080" t="str">
        <f t="shared" si="32"/>
        <v>Normal Usage</v>
      </c>
    </row>
    <row r="2081" spans="1:9" x14ac:dyDescent="0.3">
      <c r="A2081">
        <v>12080</v>
      </c>
      <c r="B2081">
        <v>100</v>
      </c>
      <c r="C2081" s="2">
        <v>45177</v>
      </c>
      <c r="D2081" s="2" t="str">
        <f>TEXT(Table3[[#This Row],[usage_date]],"mmmm")</f>
        <v>September</v>
      </c>
      <c r="E2081" s="9">
        <f>YEAR(Table3[[#This Row],[usage_date]])</f>
        <v>2023</v>
      </c>
      <c r="F2081" s="14">
        <v>2.09</v>
      </c>
      <c r="G2081">
        <v>124</v>
      </c>
      <c r="H2081" t="s">
        <v>12</v>
      </c>
      <c r="I2081" t="str">
        <f t="shared" si="32"/>
        <v>Normal Usage</v>
      </c>
    </row>
    <row r="2082" spans="1:9" x14ac:dyDescent="0.3">
      <c r="A2082">
        <v>12081</v>
      </c>
      <c r="B2082">
        <v>109</v>
      </c>
      <c r="C2082" s="2">
        <v>45119</v>
      </c>
      <c r="D2082" s="2" t="str">
        <f>TEXT(Table3[[#This Row],[usage_date]],"mmmm")</f>
        <v>July</v>
      </c>
      <c r="E2082" s="9">
        <f>YEAR(Table3[[#This Row],[usage_date]])</f>
        <v>2023</v>
      </c>
      <c r="F2082" s="14">
        <v>2.02</v>
      </c>
      <c r="G2082">
        <v>232</v>
      </c>
      <c r="H2082" t="s">
        <v>13</v>
      </c>
      <c r="I2082" t="str">
        <f t="shared" si="32"/>
        <v>Normal Usage</v>
      </c>
    </row>
    <row r="2083" spans="1:9" x14ac:dyDescent="0.3">
      <c r="A2083">
        <v>12082</v>
      </c>
      <c r="B2083">
        <v>343</v>
      </c>
      <c r="C2083" s="2">
        <v>45117</v>
      </c>
      <c r="D2083" s="2" t="str">
        <f>TEXT(Table3[[#This Row],[usage_date]],"mmmm")</f>
        <v>July</v>
      </c>
      <c r="E2083" s="9">
        <f>YEAR(Table3[[#This Row],[usage_date]])</f>
        <v>2023</v>
      </c>
      <c r="F2083" s="14">
        <v>0.08</v>
      </c>
      <c r="G2083">
        <v>250</v>
      </c>
      <c r="H2083" t="s">
        <v>12</v>
      </c>
      <c r="I2083" t="str">
        <f t="shared" si="32"/>
        <v>Normal Usage</v>
      </c>
    </row>
    <row r="2084" spans="1:9" x14ac:dyDescent="0.3">
      <c r="A2084">
        <v>12083</v>
      </c>
      <c r="B2084">
        <v>173</v>
      </c>
      <c r="C2084" s="2">
        <v>44839</v>
      </c>
      <c r="D2084" s="2" t="str">
        <f>TEXT(Table3[[#This Row],[usage_date]],"mmmm")</f>
        <v>October</v>
      </c>
      <c r="E2084" s="9">
        <f>YEAR(Table3[[#This Row],[usage_date]])</f>
        <v>2022</v>
      </c>
      <c r="F2084" s="14">
        <v>1.58</v>
      </c>
      <c r="G2084">
        <v>125</v>
      </c>
      <c r="H2084" t="s">
        <v>13</v>
      </c>
      <c r="I2084" t="str">
        <f t="shared" si="32"/>
        <v>Normal Usage</v>
      </c>
    </row>
    <row r="2085" spans="1:9" x14ac:dyDescent="0.3">
      <c r="A2085">
        <v>12084</v>
      </c>
      <c r="B2085">
        <v>237</v>
      </c>
      <c r="C2085" s="2">
        <v>45254</v>
      </c>
      <c r="D2085" s="2" t="str">
        <f>TEXT(Table3[[#This Row],[usage_date]],"mmmm")</f>
        <v>November</v>
      </c>
      <c r="E2085" s="9">
        <f>YEAR(Table3[[#This Row],[usage_date]])</f>
        <v>2023</v>
      </c>
      <c r="F2085" s="14">
        <v>6.46</v>
      </c>
      <c r="G2085">
        <v>234</v>
      </c>
      <c r="H2085" t="s">
        <v>12</v>
      </c>
      <c r="I2085" t="str">
        <f t="shared" si="32"/>
        <v>High Usage</v>
      </c>
    </row>
    <row r="2086" spans="1:9" x14ac:dyDescent="0.3">
      <c r="A2086">
        <v>12085</v>
      </c>
      <c r="B2086">
        <v>162</v>
      </c>
      <c r="C2086" s="2">
        <v>45260</v>
      </c>
      <c r="D2086" s="2" t="str">
        <f>TEXT(Table3[[#This Row],[usage_date]],"mmmm")</f>
        <v>November</v>
      </c>
      <c r="E2086" s="9">
        <f>YEAR(Table3[[#This Row],[usage_date]])</f>
        <v>2023</v>
      </c>
      <c r="F2086" s="14">
        <v>1.27</v>
      </c>
      <c r="G2086">
        <v>137</v>
      </c>
      <c r="H2086" t="s">
        <v>13</v>
      </c>
      <c r="I2086" t="str">
        <f t="shared" si="32"/>
        <v>Normal Usage</v>
      </c>
    </row>
    <row r="2087" spans="1:9" x14ac:dyDescent="0.3">
      <c r="A2087">
        <v>12086</v>
      </c>
      <c r="B2087">
        <v>393</v>
      </c>
      <c r="C2087" s="2">
        <v>45187</v>
      </c>
      <c r="D2087" s="2" t="str">
        <f>TEXT(Table3[[#This Row],[usage_date]],"mmmm")</f>
        <v>September</v>
      </c>
      <c r="E2087" s="9">
        <f>YEAR(Table3[[#This Row],[usage_date]])</f>
        <v>2023</v>
      </c>
      <c r="F2087" s="14">
        <v>2.4500000000000002</v>
      </c>
      <c r="G2087">
        <v>48</v>
      </c>
      <c r="H2087" t="s">
        <v>13</v>
      </c>
      <c r="I2087" t="str">
        <f t="shared" si="32"/>
        <v>Normal Usage</v>
      </c>
    </row>
    <row r="2088" spans="1:9" x14ac:dyDescent="0.3">
      <c r="A2088">
        <v>12087</v>
      </c>
      <c r="B2088">
        <v>216</v>
      </c>
      <c r="C2088" s="2">
        <v>45052</v>
      </c>
      <c r="D2088" s="2" t="str">
        <f>TEXT(Table3[[#This Row],[usage_date]],"mmmm")</f>
        <v>May</v>
      </c>
      <c r="E2088" s="9">
        <f>YEAR(Table3[[#This Row],[usage_date]])</f>
        <v>2023</v>
      </c>
      <c r="F2088" s="14">
        <v>3.78</v>
      </c>
      <c r="G2088">
        <v>185</v>
      </c>
      <c r="H2088" t="s">
        <v>12</v>
      </c>
      <c r="I2088" t="str">
        <f t="shared" si="32"/>
        <v>Normal Usage</v>
      </c>
    </row>
    <row r="2089" spans="1:9" x14ac:dyDescent="0.3">
      <c r="A2089">
        <v>12088</v>
      </c>
      <c r="B2089">
        <v>264</v>
      </c>
      <c r="C2089" s="2">
        <v>44816</v>
      </c>
      <c r="D2089" s="2" t="str">
        <f>TEXT(Table3[[#This Row],[usage_date]],"mmmm")</f>
        <v>September</v>
      </c>
      <c r="E2089" s="9">
        <f>YEAR(Table3[[#This Row],[usage_date]])</f>
        <v>2022</v>
      </c>
      <c r="F2089" s="14">
        <v>3.83</v>
      </c>
      <c r="G2089">
        <v>204</v>
      </c>
      <c r="H2089" t="s">
        <v>12</v>
      </c>
      <c r="I2089" t="str">
        <f t="shared" si="32"/>
        <v>Normal Usage</v>
      </c>
    </row>
    <row r="2090" spans="1:9" x14ac:dyDescent="0.3">
      <c r="A2090">
        <v>12089</v>
      </c>
      <c r="B2090">
        <v>263</v>
      </c>
      <c r="C2090" s="2">
        <v>44942</v>
      </c>
      <c r="D2090" s="2" t="str">
        <f>TEXT(Table3[[#This Row],[usage_date]],"mmmm")</f>
        <v>January</v>
      </c>
      <c r="E2090" s="9">
        <f>YEAR(Table3[[#This Row],[usage_date]])</f>
        <v>2023</v>
      </c>
      <c r="F2090" s="14">
        <v>1.83</v>
      </c>
      <c r="G2090">
        <v>77</v>
      </c>
      <c r="H2090" t="s">
        <v>12</v>
      </c>
      <c r="I2090" t="str">
        <f t="shared" si="32"/>
        <v>Normal Usage</v>
      </c>
    </row>
    <row r="2091" spans="1:9" x14ac:dyDescent="0.3">
      <c r="A2091">
        <v>12090</v>
      </c>
      <c r="B2091">
        <v>292</v>
      </c>
      <c r="C2091" s="2">
        <v>45453</v>
      </c>
      <c r="D2091" s="2" t="str">
        <f>TEXT(Table3[[#This Row],[usage_date]],"mmmm")</f>
        <v>June</v>
      </c>
      <c r="E2091" s="9">
        <f>YEAR(Table3[[#This Row],[usage_date]])</f>
        <v>2024</v>
      </c>
      <c r="F2091" s="14">
        <v>4.88</v>
      </c>
      <c r="G2091">
        <v>193</v>
      </c>
      <c r="H2091" t="s">
        <v>13</v>
      </c>
      <c r="I2091" t="str">
        <f t="shared" si="32"/>
        <v>Normal Usage</v>
      </c>
    </row>
    <row r="2092" spans="1:9" x14ac:dyDescent="0.3">
      <c r="A2092">
        <v>12091</v>
      </c>
      <c r="B2092">
        <v>274</v>
      </c>
      <c r="C2092" s="2">
        <v>45103</v>
      </c>
      <c r="D2092" s="2" t="str">
        <f>TEXT(Table3[[#This Row],[usage_date]],"mmmm")</f>
        <v>June</v>
      </c>
      <c r="E2092" s="9">
        <f>YEAR(Table3[[#This Row],[usage_date]])</f>
        <v>2023</v>
      </c>
      <c r="F2092" s="14">
        <v>1.24</v>
      </c>
      <c r="G2092">
        <v>102</v>
      </c>
      <c r="H2092" t="s">
        <v>12</v>
      </c>
      <c r="I2092" t="str">
        <f t="shared" si="32"/>
        <v>Normal Usage</v>
      </c>
    </row>
    <row r="2093" spans="1:9" x14ac:dyDescent="0.3">
      <c r="A2093">
        <v>12092</v>
      </c>
      <c r="B2093">
        <v>3</v>
      </c>
      <c r="C2093" s="2">
        <v>44825</v>
      </c>
      <c r="D2093" s="2" t="str">
        <f>TEXT(Table3[[#This Row],[usage_date]],"mmmm")</f>
        <v>September</v>
      </c>
      <c r="E2093" s="9">
        <f>YEAR(Table3[[#This Row],[usage_date]])</f>
        <v>2022</v>
      </c>
      <c r="F2093" s="14">
        <v>5.49</v>
      </c>
      <c r="G2093">
        <v>104</v>
      </c>
      <c r="H2093" t="s">
        <v>12</v>
      </c>
      <c r="I2093" t="str">
        <f t="shared" si="32"/>
        <v>Normal Usage</v>
      </c>
    </row>
    <row r="2094" spans="1:9" x14ac:dyDescent="0.3">
      <c r="A2094">
        <v>12093</v>
      </c>
      <c r="B2094">
        <v>28</v>
      </c>
      <c r="C2094" s="2">
        <v>45171</v>
      </c>
      <c r="D2094" s="2" t="str">
        <f>TEXT(Table3[[#This Row],[usage_date]],"mmmm")</f>
        <v>September</v>
      </c>
      <c r="E2094" s="9">
        <f>YEAR(Table3[[#This Row],[usage_date]])</f>
        <v>2023</v>
      </c>
      <c r="F2094" s="14">
        <v>0.69</v>
      </c>
      <c r="G2094">
        <v>286</v>
      </c>
      <c r="H2094" t="s">
        <v>12</v>
      </c>
      <c r="I2094" t="str">
        <f t="shared" si="32"/>
        <v>Normal Usage</v>
      </c>
    </row>
    <row r="2095" spans="1:9" x14ac:dyDescent="0.3">
      <c r="A2095">
        <v>12094</v>
      </c>
      <c r="B2095">
        <v>326</v>
      </c>
      <c r="C2095" s="2">
        <v>45386</v>
      </c>
      <c r="D2095" s="2" t="str">
        <f>TEXT(Table3[[#This Row],[usage_date]],"mmmm")</f>
        <v>April</v>
      </c>
      <c r="E2095" s="9">
        <f>YEAR(Table3[[#This Row],[usage_date]])</f>
        <v>2024</v>
      </c>
      <c r="F2095" s="14">
        <v>0.82</v>
      </c>
      <c r="G2095">
        <v>210</v>
      </c>
      <c r="H2095" t="s">
        <v>13</v>
      </c>
      <c r="I2095" t="str">
        <f t="shared" si="32"/>
        <v>Normal Usage</v>
      </c>
    </row>
    <row r="2096" spans="1:9" x14ac:dyDescent="0.3">
      <c r="A2096">
        <v>12095</v>
      </c>
      <c r="B2096">
        <v>492</v>
      </c>
      <c r="C2096" s="2">
        <v>45440</v>
      </c>
      <c r="D2096" s="2" t="str">
        <f>TEXT(Table3[[#This Row],[usage_date]],"mmmm")</f>
        <v>May</v>
      </c>
      <c r="E2096" s="9">
        <f>YEAR(Table3[[#This Row],[usage_date]])</f>
        <v>2024</v>
      </c>
      <c r="F2096" s="14">
        <v>0.14000000000000001</v>
      </c>
      <c r="G2096">
        <v>249</v>
      </c>
      <c r="H2096" t="s">
        <v>12</v>
      </c>
      <c r="I2096" t="str">
        <f t="shared" si="32"/>
        <v>Normal Usage</v>
      </c>
    </row>
    <row r="2097" spans="1:9" x14ac:dyDescent="0.3">
      <c r="A2097">
        <v>12096</v>
      </c>
      <c r="B2097">
        <v>428</v>
      </c>
      <c r="C2097" s="2">
        <v>44890</v>
      </c>
      <c r="D2097" s="2" t="str">
        <f>TEXT(Table3[[#This Row],[usage_date]],"mmmm")</f>
        <v>November</v>
      </c>
      <c r="E2097" s="9">
        <f>YEAR(Table3[[#This Row],[usage_date]])</f>
        <v>2022</v>
      </c>
      <c r="F2097" s="14">
        <v>3.97</v>
      </c>
      <c r="G2097">
        <v>292</v>
      </c>
      <c r="H2097" t="s">
        <v>12</v>
      </c>
      <c r="I2097" t="str">
        <f t="shared" si="32"/>
        <v>Normal Usage</v>
      </c>
    </row>
    <row r="2098" spans="1:9" x14ac:dyDescent="0.3">
      <c r="A2098">
        <v>12097</v>
      </c>
      <c r="B2098">
        <v>149</v>
      </c>
      <c r="C2098" s="2">
        <v>44676</v>
      </c>
      <c r="D2098" s="2" t="str">
        <f>TEXT(Table3[[#This Row],[usage_date]],"mmmm")</f>
        <v>April</v>
      </c>
      <c r="E2098" s="9">
        <f>YEAR(Table3[[#This Row],[usage_date]])</f>
        <v>2022</v>
      </c>
      <c r="F2098" s="14">
        <v>1.35</v>
      </c>
      <c r="G2098">
        <v>200</v>
      </c>
      <c r="H2098" t="s">
        <v>12</v>
      </c>
      <c r="I2098" t="str">
        <f t="shared" si="32"/>
        <v>Normal Usage</v>
      </c>
    </row>
    <row r="2099" spans="1:9" x14ac:dyDescent="0.3">
      <c r="A2099">
        <v>12098</v>
      </c>
      <c r="B2099">
        <v>28</v>
      </c>
      <c r="C2099" s="2">
        <v>44837</v>
      </c>
      <c r="D2099" s="2" t="str">
        <f>TEXT(Table3[[#This Row],[usage_date]],"mmmm")</f>
        <v>October</v>
      </c>
      <c r="E2099" s="9">
        <f>YEAR(Table3[[#This Row],[usage_date]])</f>
        <v>2022</v>
      </c>
      <c r="F2099" s="14">
        <v>0.65</v>
      </c>
      <c r="G2099">
        <v>23</v>
      </c>
      <c r="H2099" t="s">
        <v>12</v>
      </c>
      <c r="I2099" t="str">
        <f t="shared" si="32"/>
        <v>Normal Usage</v>
      </c>
    </row>
    <row r="2100" spans="1:9" x14ac:dyDescent="0.3">
      <c r="A2100">
        <v>12099</v>
      </c>
      <c r="B2100">
        <v>488</v>
      </c>
      <c r="C2100" s="2">
        <v>45049</v>
      </c>
      <c r="D2100" s="2" t="str">
        <f>TEXT(Table3[[#This Row],[usage_date]],"mmmm")</f>
        <v>May</v>
      </c>
      <c r="E2100" s="9">
        <f>YEAR(Table3[[#This Row],[usage_date]])</f>
        <v>2023</v>
      </c>
      <c r="F2100" s="14">
        <v>0.66</v>
      </c>
      <c r="G2100">
        <v>299</v>
      </c>
      <c r="H2100" t="s">
        <v>12</v>
      </c>
      <c r="I2100" t="str">
        <f t="shared" si="32"/>
        <v>Normal Usage</v>
      </c>
    </row>
    <row r="2101" spans="1:9" x14ac:dyDescent="0.3">
      <c r="A2101">
        <v>12100</v>
      </c>
      <c r="B2101">
        <v>310</v>
      </c>
      <c r="C2101" s="2">
        <v>44842</v>
      </c>
      <c r="D2101" s="2" t="str">
        <f>TEXT(Table3[[#This Row],[usage_date]],"mmmm")</f>
        <v>October</v>
      </c>
      <c r="E2101" s="9">
        <f>YEAR(Table3[[#This Row],[usage_date]])</f>
        <v>2022</v>
      </c>
      <c r="F2101" s="14">
        <v>5.79</v>
      </c>
      <c r="G2101">
        <v>82</v>
      </c>
      <c r="H2101" t="s">
        <v>12</v>
      </c>
      <c r="I2101" t="str">
        <f t="shared" si="32"/>
        <v>Normal Usage</v>
      </c>
    </row>
    <row r="2102" spans="1:9" x14ac:dyDescent="0.3">
      <c r="A2102">
        <v>12101</v>
      </c>
      <c r="B2102">
        <v>438</v>
      </c>
      <c r="C2102" s="2">
        <v>44836</v>
      </c>
      <c r="D2102" s="2" t="str">
        <f>TEXT(Table3[[#This Row],[usage_date]],"mmmm")</f>
        <v>October</v>
      </c>
      <c r="E2102" s="9">
        <f>YEAR(Table3[[#This Row],[usage_date]])</f>
        <v>2022</v>
      </c>
      <c r="F2102" s="14">
        <v>4.49</v>
      </c>
      <c r="G2102">
        <v>296</v>
      </c>
      <c r="H2102" t="s">
        <v>13</v>
      </c>
      <c r="I2102" t="str">
        <f t="shared" si="32"/>
        <v>Normal Usage</v>
      </c>
    </row>
    <row r="2103" spans="1:9" x14ac:dyDescent="0.3">
      <c r="A2103">
        <v>12102</v>
      </c>
      <c r="B2103">
        <v>65</v>
      </c>
      <c r="C2103" s="2">
        <v>45334</v>
      </c>
      <c r="D2103" s="2" t="str">
        <f>TEXT(Table3[[#This Row],[usage_date]],"mmmm")</f>
        <v>February</v>
      </c>
      <c r="E2103" s="9">
        <f>YEAR(Table3[[#This Row],[usage_date]])</f>
        <v>2024</v>
      </c>
      <c r="F2103" s="14">
        <v>2.02</v>
      </c>
      <c r="G2103">
        <v>178</v>
      </c>
      <c r="H2103" t="s">
        <v>13</v>
      </c>
      <c r="I2103" t="str">
        <f t="shared" si="32"/>
        <v>Normal Usage</v>
      </c>
    </row>
    <row r="2104" spans="1:9" x14ac:dyDescent="0.3">
      <c r="A2104">
        <v>12103</v>
      </c>
      <c r="B2104">
        <v>356</v>
      </c>
      <c r="C2104" s="2">
        <v>45404</v>
      </c>
      <c r="D2104" s="2" t="str">
        <f>TEXT(Table3[[#This Row],[usage_date]],"mmmm")</f>
        <v>April</v>
      </c>
      <c r="E2104" s="9">
        <f>YEAR(Table3[[#This Row],[usage_date]])</f>
        <v>2024</v>
      </c>
      <c r="F2104" s="14">
        <v>2.39</v>
      </c>
      <c r="G2104">
        <v>297</v>
      </c>
      <c r="H2104" t="s">
        <v>13</v>
      </c>
      <c r="I2104" t="str">
        <f t="shared" si="32"/>
        <v>Normal Usage</v>
      </c>
    </row>
    <row r="2105" spans="1:9" x14ac:dyDescent="0.3">
      <c r="A2105">
        <v>12104</v>
      </c>
      <c r="B2105">
        <v>21</v>
      </c>
      <c r="C2105" s="2">
        <v>45280</v>
      </c>
      <c r="D2105" s="2" t="str">
        <f>TEXT(Table3[[#This Row],[usage_date]],"mmmm")</f>
        <v>December</v>
      </c>
      <c r="E2105" s="9">
        <f>YEAR(Table3[[#This Row],[usage_date]])</f>
        <v>2023</v>
      </c>
      <c r="F2105" s="14">
        <v>1.61</v>
      </c>
      <c r="G2105">
        <v>205</v>
      </c>
      <c r="H2105" t="s">
        <v>12</v>
      </c>
      <c r="I2105" t="str">
        <f t="shared" si="32"/>
        <v>Normal Usage</v>
      </c>
    </row>
    <row r="2106" spans="1:9" x14ac:dyDescent="0.3">
      <c r="A2106">
        <v>12105</v>
      </c>
      <c r="B2106">
        <v>252</v>
      </c>
      <c r="C2106" s="2">
        <v>45457</v>
      </c>
      <c r="D2106" s="2" t="str">
        <f>TEXT(Table3[[#This Row],[usage_date]],"mmmm")</f>
        <v>June</v>
      </c>
      <c r="E2106" s="9">
        <f>YEAR(Table3[[#This Row],[usage_date]])</f>
        <v>2024</v>
      </c>
      <c r="F2106" s="14">
        <v>1.24</v>
      </c>
      <c r="G2106">
        <v>39</v>
      </c>
      <c r="H2106" t="s">
        <v>13</v>
      </c>
      <c r="I2106" t="str">
        <f t="shared" si="32"/>
        <v>Normal Usage</v>
      </c>
    </row>
    <row r="2107" spans="1:9" x14ac:dyDescent="0.3">
      <c r="A2107">
        <v>12106</v>
      </c>
      <c r="B2107">
        <v>235</v>
      </c>
      <c r="C2107" s="2">
        <v>44889</v>
      </c>
      <c r="D2107" s="2" t="str">
        <f>TEXT(Table3[[#This Row],[usage_date]],"mmmm")</f>
        <v>November</v>
      </c>
      <c r="E2107" s="9">
        <f>YEAR(Table3[[#This Row],[usage_date]])</f>
        <v>2022</v>
      </c>
      <c r="F2107" s="14">
        <v>6.18</v>
      </c>
      <c r="G2107">
        <v>112</v>
      </c>
      <c r="H2107" t="s">
        <v>12</v>
      </c>
      <c r="I2107" t="str">
        <f t="shared" si="32"/>
        <v>High Usage</v>
      </c>
    </row>
    <row r="2108" spans="1:9" x14ac:dyDescent="0.3">
      <c r="A2108">
        <v>12107</v>
      </c>
      <c r="B2108">
        <v>227</v>
      </c>
      <c r="C2108" s="2">
        <v>44772</v>
      </c>
      <c r="D2108" s="2" t="str">
        <f>TEXT(Table3[[#This Row],[usage_date]],"mmmm")</f>
        <v>July</v>
      </c>
      <c r="E2108" s="9">
        <f>YEAR(Table3[[#This Row],[usage_date]])</f>
        <v>2022</v>
      </c>
      <c r="F2108" s="14">
        <v>0.34</v>
      </c>
      <c r="G2108">
        <v>3</v>
      </c>
      <c r="H2108" t="s">
        <v>12</v>
      </c>
      <c r="I2108" t="str">
        <f t="shared" si="32"/>
        <v>Normal Usage</v>
      </c>
    </row>
    <row r="2109" spans="1:9" x14ac:dyDescent="0.3">
      <c r="A2109">
        <v>12108</v>
      </c>
      <c r="B2109">
        <v>13</v>
      </c>
      <c r="C2109" s="2">
        <v>45288</v>
      </c>
      <c r="D2109" s="2" t="str">
        <f>TEXT(Table3[[#This Row],[usage_date]],"mmmm")</f>
        <v>December</v>
      </c>
      <c r="E2109" s="9">
        <f>YEAR(Table3[[#This Row],[usage_date]])</f>
        <v>2023</v>
      </c>
      <c r="F2109" s="14">
        <v>1.36</v>
      </c>
      <c r="G2109">
        <v>107</v>
      </c>
      <c r="H2109" t="s">
        <v>13</v>
      </c>
      <c r="I2109" t="str">
        <f t="shared" si="32"/>
        <v>Normal Usage</v>
      </c>
    </row>
    <row r="2110" spans="1:9" x14ac:dyDescent="0.3">
      <c r="A2110">
        <v>12109</v>
      </c>
      <c r="B2110">
        <v>313</v>
      </c>
      <c r="C2110" s="2">
        <v>45113</v>
      </c>
      <c r="D2110" s="2" t="str">
        <f>TEXT(Table3[[#This Row],[usage_date]],"mmmm")</f>
        <v>July</v>
      </c>
      <c r="E2110" s="9">
        <f>YEAR(Table3[[#This Row],[usage_date]])</f>
        <v>2023</v>
      </c>
      <c r="F2110" s="14">
        <v>1.06</v>
      </c>
      <c r="G2110">
        <v>113</v>
      </c>
      <c r="H2110" t="s">
        <v>13</v>
      </c>
      <c r="I2110" t="str">
        <f t="shared" si="32"/>
        <v>Normal Usage</v>
      </c>
    </row>
    <row r="2111" spans="1:9" x14ac:dyDescent="0.3">
      <c r="A2111">
        <v>12110</v>
      </c>
      <c r="B2111">
        <v>49</v>
      </c>
      <c r="C2111" s="2">
        <v>44587</v>
      </c>
      <c r="D2111" s="2" t="str">
        <f>TEXT(Table3[[#This Row],[usage_date]],"mmmm")</f>
        <v>January</v>
      </c>
      <c r="E2111" s="9">
        <f>YEAR(Table3[[#This Row],[usage_date]])</f>
        <v>2022</v>
      </c>
      <c r="F2111" s="14">
        <v>1.72</v>
      </c>
      <c r="G2111">
        <v>166</v>
      </c>
      <c r="H2111" t="s">
        <v>12</v>
      </c>
      <c r="I2111" t="str">
        <f t="shared" si="32"/>
        <v>Normal Usage</v>
      </c>
    </row>
    <row r="2112" spans="1:9" x14ac:dyDescent="0.3">
      <c r="A2112">
        <v>12111</v>
      </c>
      <c r="B2112">
        <v>118</v>
      </c>
      <c r="C2112" s="2">
        <v>44588</v>
      </c>
      <c r="D2112" s="2" t="str">
        <f>TEXT(Table3[[#This Row],[usage_date]],"mmmm")</f>
        <v>January</v>
      </c>
      <c r="E2112" s="9">
        <f>YEAR(Table3[[#This Row],[usage_date]])</f>
        <v>2022</v>
      </c>
      <c r="F2112" s="14">
        <v>1.53</v>
      </c>
      <c r="G2112">
        <v>260</v>
      </c>
      <c r="H2112" t="s">
        <v>13</v>
      </c>
      <c r="I2112" t="str">
        <f t="shared" si="32"/>
        <v>Normal Usage</v>
      </c>
    </row>
    <row r="2113" spans="1:9" x14ac:dyDescent="0.3">
      <c r="A2113">
        <v>12112</v>
      </c>
      <c r="B2113">
        <v>54</v>
      </c>
      <c r="C2113" s="2">
        <v>45263</v>
      </c>
      <c r="D2113" s="2" t="str">
        <f>TEXT(Table3[[#This Row],[usage_date]],"mmmm")</f>
        <v>December</v>
      </c>
      <c r="E2113" s="9">
        <f>YEAR(Table3[[#This Row],[usage_date]])</f>
        <v>2023</v>
      </c>
      <c r="F2113" s="14">
        <v>1.83</v>
      </c>
      <c r="G2113">
        <v>105</v>
      </c>
      <c r="H2113" t="s">
        <v>13</v>
      </c>
      <c r="I2113" t="str">
        <f t="shared" si="32"/>
        <v>Normal Usage</v>
      </c>
    </row>
    <row r="2114" spans="1:9" x14ac:dyDescent="0.3">
      <c r="A2114">
        <v>12113</v>
      </c>
      <c r="B2114">
        <v>138</v>
      </c>
      <c r="C2114" s="2">
        <v>44644</v>
      </c>
      <c r="D2114" s="2" t="str">
        <f>TEXT(Table3[[#This Row],[usage_date]],"mmmm")</f>
        <v>March</v>
      </c>
      <c r="E2114" s="9">
        <f>YEAR(Table3[[#This Row],[usage_date]])</f>
        <v>2022</v>
      </c>
      <c r="F2114" s="14">
        <v>0.38</v>
      </c>
      <c r="G2114">
        <v>223</v>
      </c>
      <c r="H2114" t="s">
        <v>12</v>
      </c>
      <c r="I2114" t="str">
        <f t="shared" ref="I2114:I2177" si="33">IF(F2114&gt;6,"High Usage","Normal Usage")</f>
        <v>Normal Usage</v>
      </c>
    </row>
    <row r="2115" spans="1:9" x14ac:dyDescent="0.3">
      <c r="A2115">
        <v>12114</v>
      </c>
      <c r="B2115">
        <v>53</v>
      </c>
      <c r="C2115" s="2">
        <v>45457</v>
      </c>
      <c r="D2115" s="2" t="str">
        <f>TEXT(Table3[[#This Row],[usage_date]],"mmmm")</f>
        <v>June</v>
      </c>
      <c r="E2115" s="9">
        <f>YEAR(Table3[[#This Row],[usage_date]])</f>
        <v>2024</v>
      </c>
      <c r="F2115" s="14">
        <v>1.8</v>
      </c>
      <c r="G2115">
        <v>261</v>
      </c>
      <c r="H2115" t="s">
        <v>12</v>
      </c>
      <c r="I2115" t="str">
        <f t="shared" si="33"/>
        <v>Normal Usage</v>
      </c>
    </row>
    <row r="2116" spans="1:9" x14ac:dyDescent="0.3">
      <c r="A2116">
        <v>12115</v>
      </c>
      <c r="B2116">
        <v>44</v>
      </c>
      <c r="C2116" s="2">
        <v>45243</v>
      </c>
      <c r="D2116" s="2" t="str">
        <f>TEXT(Table3[[#This Row],[usage_date]],"mmmm")</f>
        <v>November</v>
      </c>
      <c r="E2116" s="9">
        <f>YEAR(Table3[[#This Row],[usage_date]])</f>
        <v>2023</v>
      </c>
      <c r="F2116" s="14">
        <v>0.69</v>
      </c>
      <c r="G2116">
        <v>250</v>
      </c>
      <c r="H2116" t="s">
        <v>13</v>
      </c>
      <c r="I2116" t="str">
        <f t="shared" si="33"/>
        <v>Normal Usage</v>
      </c>
    </row>
    <row r="2117" spans="1:9" x14ac:dyDescent="0.3">
      <c r="A2117">
        <v>12116</v>
      </c>
      <c r="B2117">
        <v>303</v>
      </c>
      <c r="C2117" s="2">
        <v>44974</v>
      </c>
      <c r="D2117" s="2" t="str">
        <f>TEXT(Table3[[#This Row],[usage_date]],"mmmm")</f>
        <v>February</v>
      </c>
      <c r="E2117" s="9">
        <f>YEAR(Table3[[#This Row],[usage_date]])</f>
        <v>2023</v>
      </c>
      <c r="F2117" s="14">
        <v>0.51</v>
      </c>
      <c r="G2117">
        <v>13</v>
      </c>
      <c r="H2117" t="s">
        <v>12</v>
      </c>
      <c r="I2117" t="str">
        <f t="shared" si="33"/>
        <v>Normal Usage</v>
      </c>
    </row>
    <row r="2118" spans="1:9" x14ac:dyDescent="0.3">
      <c r="A2118">
        <v>12117</v>
      </c>
      <c r="B2118">
        <v>53</v>
      </c>
      <c r="C2118" s="2">
        <v>44728</v>
      </c>
      <c r="D2118" s="2" t="str">
        <f>TEXT(Table3[[#This Row],[usage_date]],"mmmm")</f>
        <v>June</v>
      </c>
      <c r="E2118" s="9">
        <f>YEAR(Table3[[#This Row],[usage_date]])</f>
        <v>2022</v>
      </c>
      <c r="F2118" s="14">
        <v>0.17</v>
      </c>
      <c r="G2118">
        <v>197</v>
      </c>
      <c r="H2118" t="s">
        <v>12</v>
      </c>
      <c r="I2118" t="str">
        <f t="shared" si="33"/>
        <v>Normal Usage</v>
      </c>
    </row>
    <row r="2119" spans="1:9" x14ac:dyDescent="0.3">
      <c r="A2119">
        <v>12118</v>
      </c>
      <c r="B2119">
        <v>74</v>
      </c>
      <c r="C2119" s="2">
        <v>45261</v>
      </c>
      <c r="D2119" s="2" t="str">
        <f>TEXT(Table3[[#This Row],[usage_date]],"mmmm")</f>
        <v>December</v>
      </c>
      <c r="E2119" s="9">
        <f>YEAR(Table3[[#This Row],[usage_date]])</f>
        <v>2023</v>
      </c>
      <c r="F2119" s="14">
        <v>3.6</v>
      </c>
      <c r="G2119">
        <v>125</v>
      </c>
      <c r="H2119" t="s">
        <v>13</v>
      </c>
      <c r="I2119" t="str">
        <f t="shared" si="33"/>
        <v>Normal Usage</v>
      </c>
    </row>
    <row r="2120" spans="1:9" x14ac:dyDescent="0.3">
      <c r="A2120">
        <v>12119</v>
      </c>
      <c r="B2120">
        <v>46</v>
      </c>
      <c r="C2120" s="2">
        <v>44730</v>
      </c>
      <c r="D2120" s="2" t="str">
        <f>TEXT(Table3[[#This Row],[usage_date]],"mmmm")</f>
        <v>June</v>
      </c>
      <c r="E2120" s="9">
        <f>YEAR(Table3[[#This Row],[usage_date]])</f>
        <v>2022</v>
      </c>
      <c r="F2120" s="14">
        <v>1.39</v>
      </c>
      <c r="G2120">
        <v>205</v>
      </c>
      <c r="H2120" t="s">
        <v>12</v>
      </c>
      <c r="I2120" t="str">
        <f t="shared" si="33"/>
        <v>Normal Usage</v>
      </c>
    </row>
    <row r="2121" spans="1:9" x14ac:dyDescent="0.3">
      <c r="A2121">
        <v>12120</v>
      </c>
      <c r="B2121">
        <v>13</v>
      </c>
      <c r="C2121" s="2">
        <v>45362</v>
      </c>
      <c r="D2121" s="2" t="str">
        <f>TEXT(Table3[[#This Row],[usage_date]],"mmmm")</f>
        <v>March</v>
      </c>
      <c r="E2121" s="9">
        <f>YEAR(Table3[[#This Row],[usage_date]])</f>
        <v>2024</v>
      </c>
      <c r="F2121" s="14">
        <v>2.46</v>
      </c>
      <c r="G2121">
        <v>139</v>
      </c>
      <c r="H2121" t="s">
        <v>12</v>
      </c>
      <c r="I2121" t="str">
        <f t="shared" si="33"/>
        <v>Normal Usage</v>
      </c>
    </row>
    <row r="2122" spans="1:9" x14ac:dyDescent="0.3">
      <c r="A2122">
        <v>12121</v>
      </c>
      <c r="B2122">
        <v>165</v>
      </c>
      <c r="C2122" s="2">
        <v>44790</v>
      </c>
      <c r="D2122" s="2" t="str">
        <f>TEXT(Table3[[#This Row],[usage_date]],"mmmm")</f>
        <v>August</v>
      </c>
      <c r="E2122" s="9">
        <f>YEAR(Table3[[#This Row],[usage_date]])</f>
        <v>2022</v>
      </c>
      <c r="F2122" s="14">
        <v>3.25</v>
      </c>
      <c r="G2122">
        <v>61</v>
      </c>
      <c r="H2122" t="s">
        <v>12</v>
      </c>
      <c r="I2122" t="str">
        <f t="shared" si="33"/>
        <v>Normal Usage</v>
      </c>
    </row>
    <row r="2123" spans="1:9" x14ac:dyDescent="0.3">
      <c r="A2123">
        <v>12122</v>
      </c>
      <c r="B2123">
        <v>102</v>
      </c>
      <c r="C2123" s="2">
        <v>45170</v>
      </c>
      <c r="D2123" s="2" t="str">
        <f>TEXT(Table3[[#This Row],[usage_date]],"mmmm")</f>
        <v>September</v>
      </c>
      <c r="E2123" s="9">
        <f>YEAR(Table3[[#This Row],[usage_date]])</f>
        <v>2023</v>
      </c>
      <c r="F2123" s="14">
        <v>2.84</v>
      </c>
      <c r="G2123">
        <v>282</v>
      </c>
      <c r="H2123" t="s">
        <v>12</v>
      </c>
      <c r="I2123" t="str">
        <f t="shared" si="33"/>
        <v>Normal Usage</v>
      </c>
    </row>
    <row r="2124" spans="1:9" x14ac:dyDescent="0.3">
      <c r="A2124">
        <v>12123</v>
      </c>
      <c r="B2124">
        <v>280</v>
      </c>
      <c r="C2124" s="2">
        <v>44928</v>
      </c>
      <c r="D2124" s="2" t="str">
        <f>TEXT(Table3[[#This Row],[usage_date]],"mmmm")</f>
        <v>January</v>
      </c>
      <c r="E2124" s="9">
        <f>YEAR(Table3[[#This Row],[usage_date]])</f>
        <v>2023</v>
      </c>
      <c r="F2124" s="14">
        <v>1.59</v>
      </c>
      <c r="G2124">
        <v>53</v>
      </c>
      <c r="H2124" t="s">
        <v>13</v>
      </c>
      <c r="I2124" t="str">
        <f t="shared" si="33"/>
        <v>Normal Usage</v>
      </c>
    </row>
    <row r="2125" spans="1:9" x14ac:dyDescent="0.3">
      <c r="A2125">
        <v>12124</v>
      </c>
      <c r="B2125">
        <v>258</v>
      </c>
      <c r="C2125" s="2">
        <v>45089</v>
      </c>
      <c r="D2125" s="2" t="str">
        <f>TEXT(Table3[[#This Row],[usage_date]],"mmmm")</f>
        <v>June</v>
      </c>
      <c r="E2125" s="9">
        <f>YEAR(Table3[[#This Row],[usage_date]])</f>
        <v>2023</v>
      </c>
      <c r="F2125" s="14">
        <v>1.23</v>
      </c>
      <c r="G2125">
        <v>11</v>
      </c>
      <c r="H2125" t="s">
        <v>12</v>
      </c>
      <c r="I2125" t="str">
        <f t="shared" si="33"/>
        <v>Normal Usage</v>
      </c>
    </row>
    <row r="2126" spans="1:9" x14ac:dyDescent="0.3">
      <c r="A2126">
        <v>12125</v>
      </c>
      <c r="B2126">
        <v>470</v>
      </c>
      <c r="C2126" s="2">
        <v>45352</v>
      </c>
      <c r="D2126" s="2" t="str">
        <f>TEXT(Table3[[#This Row],[usage_date]],"mmmm")</f>
        <v>March</v>
      </c>
      <c r="E2126" s="9">
        <f>YEAR(Table3[[#This Row],[usage_date]])</f>
        <v>2024</v>
      </c>
      <c r="F2126" s="14">
        <v>1.18</v>
      </c>
      <c r="G2126">
        <v>135</v>
      </c>
      <c r="H2126" t="s">
        <v>12</v>
      </c>
      <c r="I2126" t="str">
        <f t="shared" si="33"/>
        <v>Normal Usage</v>
      </c>
    </row>
    <row r="2127" spans="1:9" x14ac:dyDescent="0.3">
      <c r="A2127">
        <v>12126</v>
      </c>
      <c r="B2127">
        <v>337</v>
      </c>
      <c r="C2127" s="2">
        <v>45208</v>
      </c>
      <c r="D2127" s="2" t="str">
        <f>TEXT(Table3[[#This Row],[usage_date]],"mmmm")</f>
        <v>October</v>
      </c>
      <c r="E2127" s="9">
        <f>YEAR(Table3[[#This Row],[usage_date]])</f>
        <v>2023</v>
      </c>
      <c r="F2127" s="14">
        <v>2.5499999999999998</v>
      </c>
      <c r="G2127">
        <v>143</v>
      </c>
      <c r="H2127" t="s">
        <v>13</v>
      </c>
      <c r="I2127" t="str">
        <f t="shared" si="33"/>
        <v>Normal Usage</v>
      </c>
    </row>
    <row r="2128" spans="1:9" x14ac:dyDescent="0.3">
      <c r="A2128">
        <v>12127</v>
      </c>
      <c r="B2128">
        <v>356</v>
      </c>
      <c r="C2128" s="2">
        <v>45099</v>
      </c>
      <c r="D2128" s="2" t="str">
        <f>TEXT(Table3[[#This Row],[usage_date]],"mmmm")</f>
        <v>June</v>
      </c>
      <c r="E2128" s="9">
        <f>YEAR(Table3[[#This Row],[usage_date]])</f>
        <v>2023</v>
      </c>
      <c r="F2128" s="14">
        <v>1.71</v>
      </c>
      <c r="G2128">
        <v>281</v>
      </c>
      <c r="H2128" t="s">
        <v>13</v>
      </c>
      <c r="I2128" t="str">
        <f t="shared" si="33"/>
        <v>Normal Usage</v>
      </c>
    </row>
    <row r="2129" spans="1:9" x14ac:dyDescent="0.3">
      <c r="A2129">
        <v>12128</v>
      </c>
      <c r="B2129">
        <v>398</v>
      </c>
      <c r="C2129" s="2">
        <v>45425</v>
      </c>
      <c r="D2129" s="2" t="str">
        <f>TEXT(Table3[[#This Row],[usage_date]],"mmmm")</f>
        <v>May</v>
      </c>
      <c r="E2129" s="9">
        <f>YEAR(Table3[[#This Row],[usage_date]])</f>
        <v>2024</v>
      </c>
      <c r="F2129" s="14">
        <v>4.7300000000000004</v>
      </c>
      <c r="G2129">
        <v>135</v>
      </c>
      <c r="H2129" t="s">
        <v>12</v>
      </c>
      <c r="I2129" t="str">
        <f t="shared" si="33"/>
        <v>Normal Usage</v>
      </c>
    </row>
    <row r="2130" spans="1:9" x14ac:dyDescent="0.3">
      <c r="A2130">
        <v>12129</v>
      </c>
      <c r="B2130">
        <v>138</v>
      </c>
      <c r="C2130" s="2">
        <v>45085</v>
      </c>
      <c r="D2130" s="2" t="str">
        <f>TEXT(Table3[[#This Row],[usage_date]],"mmmm")</f>
        <v>June</v>
      </c>
      <c r="E2130" s="9">
        <f>YEAR(Table3[[#This Row],[usage_date]])</f>
        <v>2023</v>
      </c>
      <c r="F2130" s="14">
        <v>5.19</v>
      </c>
      <c r="G2130">
        <v>220</v>
      </c>
      <c r="H2130" t="s">
        <v>13</v>
      </c>
      <c r="I2130" t="str">
        <f t="shared" si="33"/>
        <v>Normal Usage</v>
      </c>
    </row>
    <row r="2131" spans="1:9" x14ac:dyDescent="0.3">
      <c r="A2131">
        <v>12130</v>
      </c>
      <c r="B2131">
        <v>163</v>
      </c>
      <c r="C2131" s="2">
        <v>44633</v>
      </c>
      <c r="D2131" s="2" t="str">
        <f>TEXT(Table3[[#This Row],[usage_date]],"mmmm")</f>
        <v>March</v>
      </c>
      <c r="E2131" s="9">
        <f>YEAR(Table3[[#This Row],[usage_date]])</f>
        <v>2022</v>
      </c>
      <c r="F2131" s="14">
        <v>0.47</v>
      </c>
      <c r="G2131">
        <v>208</v>
      </c>
      <c r="H2131" t="s">
        <v>12</v>
      </c>
      <c r="I2131" t="str">
        <f t="shared" si="33"/>
        <v>Normal Usage</v>
      </c>
    </row>
    <row r="2132" spans="1:9" x14ac:dyDescent="0.3">
      <c r="A2132">
        <v>12131</v>
      </c>
      <c r="B2132">
        <v>409</v>
      </c>
      <c r="C2132" s="2">
        <v>45206</v>
      </c>
      <c r="D2132" s="2" t="str">
        <f>TEXT(Table3[[#This Row],[usage_date]],"mmmm")</f>
        <v>October</v>
      </c>
      <c r="E2132" s="9">
        <f>YEAR(Table3[[#This Row],[usage_date]])</f>
        <v>2023</v>
      </c>
      <c r="F2132" s="14">
        <v>0.37</v>
      </c>
      <c r="G2132">
        <v>122</v>
      </c>
      <c r="H2132" t="s">
        <v>12</v>
      </c>
      <c r="I2132" t="str">
        <f t="shared" si="33"/>
        <v>Normal Usage</v>
      </c>
    </row>
    <row r="2133" spans="1:9" x14ac:dyDescent="0.3">
      <c r="A2133">
        <v>12132</v>
      </c>
      <c r="B2133">
        <v>387</v>
      </c>
      <c r="C2133" s="2">
        <v>44667</v>
      </c>
      <c r="D2133" s="2" t="str">
        <f>TEXT(Table3[[#This Row],[usage_date]],"mmmm")</f>
        <v>April</v>
      </c>
      <c r="E2133" s="9">
        <f>YEAR(Table3[[#This Row],[usage_date]])</f>
        <v>2022</v>
      </c>
      <c r="F2133" s="14">
        <v>2.4900000000000002</v>
      </c>
      <c r="G2133">
        <v>115</v>
      </c>
      <c r="H2133" t="s">
        <v>12</v>
      </c>
      <c r="I2133" t="str">
        <f t="shared" si="33"/>
        <v>Normal Usage</v>
      </c>
    </row>
    <row r="2134" spans="1:9" x14ac:dyDescent="0.3">
      <c r="A2134">
        <v>12133</v>
      </c>
      <c r="B2134">
        <v>111</v>
      </c>
      <c r="C2134" s="2">
        <v>45293</v>
      </c>
      <c r="D2134" s="2" t="str">
        <f>TEXT(Table3[[#This Row],[usage_date]],"mmmm")</f>
        <v>January</v>
      </c>
      <c r="E2134" s="9">
        <f>YEAR(Table3[[#This Row],[usage_date]])</f>
        <v>2024</v>
      </c>
      <c r="F2134" s="14">
        <v>0.9</v>
      </c>
      <c r="G2134">
        <v>156</v>
      </c>
      <c r="H2134" t="s">
        <v>12</v>
      </c>
      <c r="I2134" t="str">
        <f t="shared" si="33"/>
        <v>Normal Usage</v>
      </c>
    </row>
    <row r="2135" spans="1:9" x14ac:dyDescent="0.3">
      <c r="A2135">
        <v>12134</v>
      </c>
      <c r="B2135">
        <v>102</v>
      </c>
      <c r="C2135" s="2">
        <v>45446</v>
      </c>
      <c r="D2135" s="2" t="str">
        <f>TEXT(Table3[[#This Row],[usage_date]],"mmmm")</f>
        <v>June</v>
      </c>
      <c r="E2135" s="9">
        <f>YEAR(Table3[[#This Row],[usage_date]])</f>
        <v>2024</v>
      </c>
      <c r="F2135" s="14">
        <v>0.05</v>
      </c>
      <c r="G2135">
        <v>269</v>
      </c>
      <c r="H2135" t="s">
        <v>12</v>
      </c>
      <c r="I2135" t="str">
        <f t="shared" si="33"/>
        <v>Normal Usage</v>
      </c>
    </row>
    <row r="2136" spans="1:9" x14ac:dyDescent="0.3">
      <c r="A2136">
        <v>12135</v>
      </c>
      <c r="B2136">
        <v>17</v>
      </c>
      <c r="C2136" s="2">
        <v>45250</v>
      </c>
      <c r="D2136" s="2" t="str">
        <f>TEXT(Table3[[#This Row],[usage_date]],"mmmm")</f>
        <v>November</v>
      </c>
      <c r="E2136" s="9">
        <f>YEAR(Table3[[#This Row],[usage_date]])</f>
        <v>2023</v>
      </c>
      <c r="F2136" s="14">
        <v>5.49</v>
      </c>
      <c r="G2136">
        <v>16</v>
      </c>
      <c r="H2136" t="s">
        <v>12</v>
      </c>
      <c r="I2136" t="str">
        <f t="shared" si="33"/>
        <v>Normal Usage</v>
      </c>
    </row>
    <row r="2137" spans="1:9" x14ac:dyDescent="0.3">
      <c r="A2137">
        <v>12136</v>
      </c>
      <c r="B2137">
        <v>268</v>
      </c>
      <c r="C2137" s="2">
        <v>44843</v>
      </c>
      <c r="D2137" s="2" t="str">
        <f>TEXT(Table3[[#This Row],[usage_date]],"mmmm")</f>
        <v>October</v>
      </c>
      <c r="E2137" s="9">
        <f>YEAR(Table3[[#This Row],[usage_date]])</f>
        <v>2022</v>
      </c>
      <c r="F2137" s="14">
        <v>0.64</v>
      </c>
      <c r="G2137">
        <v>268</v>
      </c>
      <c r="H2137" t="s">
        <v>12</v>
      </c>
      <c r="I2137" t="str">
        <f t="shared" si="33"/>
        <v>Normal Usage</v>
      </c>
    </row>
    <row r="2138" spans="1:9" x14ac:dyDescent="0.3">
      <c r="A2138">
        <v>12137</v>
      </c>
      <c r="B2138">
        <v>182</v>
      </c>
      <c r="C2138" s="2">
        <v>44694</v>
      </c>
      <c r="D2138" s="2" t="str">
        <f>TEXT(Table3[[#This Row],[usage_date]],"mmmm")</f>
        <v>May</v>
      </c>
      <c r="E2138" s="9">
        <f>YEAR(Table3[[#This Row],[usage_date]])</f>
        <v>2022</v>
      </c>
      <c r="F2138" s="14">
        <v>6.62</v>
      </c>
      <c r="G2138">
        <v>218</v>
      </c>
      <c r="H2138" t="s">
        <v>12</v>
      </c>
      <c r="I2138" t="str">
        <f t="shared" si="33"/>
        <v>High Usage</v>
      </c>
    </row>
    <row r="2139" spans="1:9" x14ac:dyDescent="0.3">
      <c r="A2139">
        <v>12138</v>
      </c>
      <c r="B2139">
        <v>372</v>
      </c>
      <c r="C2139" s="2">
        <v>45095</v>
      </c>
      <c r="D2139" s="2" t="str">
        <f>TEXT(Table3[[#This Row],[usage_date]],"mmmm")</f>
        <v>June</v>
      </c>
      <c r="E2139" s="9">
        <f>YEAR(Table3[[#This Row],[usage_date]])</f>
        <v>2023</v>
      </c>
      <c r="F2139" s="14">
        <v>3.16</v>
      </c>
      <c r="G2139">
        <v>237</v>
      </c>
      <c r="H2139" t="s">
        <v>12</v>
      </c>
      <c r="I2139" t="str">
        <f t="shared" si="33"/>
        <v>Normal Usage</v>
      </c>
    </row>
    <row r="2140" spans="1:9" x14ac:dyDescent="0.3">
      <c r="A2140">
        <v>12139</v>
      </c>
      <c r="B2140">
        <v>24</v>
      </c>
      <c r="C2140" s="2">
        <v>44830</v>
      </c>
      <c r="D2140" s="2" t="str">
        <f>TEXT(Table3[[#This Row],[usage_date]],"mmmm")</f>
        <v>September</v>
      </c>
      <c r="E2140" s="9">
        <f>YEAR(Table3[[#This Row],[usage_date]])</f>
        <v>2022</v>
      </c>
      <c r="F2140" s="14">
        <v>3.6</v>
      </c>
      <c r="G2140">
        <v>32</v>
      </c>
      <c r="H2140" t="s">
        <v>12</v>
      </c>
      <c r="I2140" t="str">
        <f t="shared" si="33"/>
        <v>Normal Usage</v>
      </c>
    </row>
    <row r="2141" spans="1:9" x14ac:dyDescent="0.3">
      <c r="A2141">
        <v>12140</v>
      </c>
      <c r="B2141">
        <v>29</v>
      </c>
      <c r="C2141" s="2">
        <v>44973</v>
      </c>
      <c r="D2141" s="2" t="str">
        <f>TEXT(Table3[[#This Row],[usage_date]],"mmmm")</f>
        <v>February</v>
      </c>
      <c r="E2141" s="9">
        <f>YEAR(Table3[[#This Row],[usage_date]])</f>
        <v>2023</v>
      </c>
      <c r="F2141" s="14">
        <v>0.56000000000000005</v>
      </c>
      <c r="G2141">
        <v>284</v>
      </c>
      <c r="H2141" t="s">
        <v>12</v>
      </c>
      <c r="I2141" t="str">
        <f t="shared" si="33"/>
        <v>Normal Usage</v>
      </c>
    </row>
    <row r="2142" spans="1:9" x14ac:dyDescent="0.3">
      <c r="A2142">
        <v>12141</v>
      </c>
      <c r="B2142">
        <v>171</v>
      </c>
      <c r="C2142" s="2">
        <v>45234</v>
      </c>
      <c r="D2142" s="2" t="str">
        <f>TEXT(Table3[[#This Row],[usage_date]],"mmmm")</f>
        <v>November</v>
      </c>
      <c r="E2142" s="9">
        <f>YEAR(Table3[[#This Row],[usage_date]])</f>
        <v>2023</v>
      </c>
      <c r="F2142" s="14">
        <v>0.67</v>
      </c>
      <c r="G2142">
        <v>36</v>
      </c>
      <c r="H2142" t="s">
        <v>12</v>
      </c>
      <c r="I2142" t="str">
        <f t="shared" si="33"/>
        <v>Normal Usage</v>
      </c>
    </row>
    <row r="2143" spans="1:9" x14ac:dyDescent="0.3">
      <c r="A2143">
        <v>12142</v>
      </c>
      <c r="B2143">
        <v>409</v>
      </c>
      <c r="C2143" s="2">
        <v>45180</v>
      </c>
      <c r="D2143" s="2" t="str">
        <f>TEXT(Table3[[#This Row],[usage_date]],"mmmm")</f>
        <v>September</v>
      </c>
      <c r="E2143" s="9">
        <f>YEAR(Table3[[#This Row],[usage_date]])</f>
        <v>2023</v>
      </c>
      <c r="F2143" s="14">
        <v>1.84</v>
      </c>
      <c r="G2143">
        <v>102</v>
      </c>
      <c r="H2143" t="s">
        <v>12</v>
      </c>
      <c r="I2143" t="str">
        <f t="shared" si="33"/>
        <v>Normal Usage</v>
      </c>
    </row>
    <row r="2144" spans="1:9" x14ac:dyDescent="0.3">
      <c r="A2144">
        <v>12143</v>
      </c>
      <c r="B2144">
        <v>228</v>
      </c>
      <c r="C2144" s="2">
        <v>45352</v>
      </c>
      <c r="D2144" s="2" t="str">
        <f>TEXT(Table3[[#This Row],[usage_date]],"mmmm")</f>
        <v>March</v>
      </c>
      <c r="E2144" s="9">
        <f>YEAR(Table3[[#This Row],[usage_date]])</f>
        <v>2024</v>
      </c>
      <c r="F2144" s="14">
        <v>0.47</v>
      </c>
      <c r="G2144">
        <v>210</v>
      </c>
      <c r="H2144" t="s">
        <v>12</v>
      </c>
      <c r="I2144" t="str">
        <f t="shared" si="33"/>
        <v>Normal Usage</v>
      </c>
    </row>
    <row r="2145" spans="1:9" x14ac:dyDescent="0.3">
      <c r="A2145">
        <v>12144</v>
      </c>
      <c r="B2145">
        <v>378</v>
      </c>
      <c r="C2145" s="2">
        <v>45426</v>
      </c>
      <c r="D2145" s="2" t="str">
        <f>TEXT(Table3[[#This Row],[usage_date]],"mmmm")</f>
        <v>May</v>
      </c>
      <c r="E2145" s="9">
        <f>YEAR(Table3[[#This Row],[usage_date]])</f>
        <v>2024</v>
      </c>
      <c r="F2145" s="14">
        <v>0.91</v>
      </c>
      <c r="G2145">
        <v>279</v>
      </c>
      <c r="H2145" t="s">
        <v>12</v>
      </c>
      <c r="I2145" t="str">
        <f t="shared" si="33"/>
        <v>Normal Usage</v>
      </c>
    </row>
    <row r="2146" spans="1:9" x14ac:dyDescent="0.3">
      <c r="A2146">
        <v>12145</v>
      </c>
      <c r="B2146">
        <v>188</v>
      </c>
      <c r="C2146" s="2">
        <v>45308</v>
      </c>
      <c r="D2146" s="2" t="str">
        <f>TEXT(Table3[[#This Row],[usage_date]],"mmmm")</f>
        <v>January</v>
      </c>
      <c r="E2146" s="9">
        <f>YEAR(Table3[[#This Row],[usage_date]])</f>
        <v>2024</v>
      </c>
      <c r="F2146" s="14">
        <v>0.97</v>
      </c>
      <c r="G2146">
        <v>141</v>
      </c>
      <c r="H2146" t="s">
        <v>12</v>
      </c>
      <c r="I2146" t="str">
        <f t="shared" si="33"/>
        <v>Normal Usage</v>
      </c>
    </row>
    <row r="2147" spans="1:9" x14ac:dyDescent="0.3">
      <c r="A2147">
        <v>12146</v>
      </c>
      <c r="B2147">
        <v>346</v>
      </c>
      <c r="C2147" s="2">
        <v>44579</v>
      </c>
      <c r="D2147" s="2" t="str">
        <f>TEXT(Table3[[#This Row],[usage_date]],"mmmm")</f>
        <v>January</v>
      </c>
      <c r="E2147" s="9">
        <f>YEAR(Table3[[#This Row],[usage_date]])</f>
        <v>2022</v>
      </c>
      <c r="F2147" s="14">
        <v>0.43</v>
      </c>
      <c r="G2147">
        <v>238</v>
      </c>
      <c r="H2147" t="s">
        <v>13</v>
      </c>
      <c r="I2147" t="str">
        <f t="shared" si="33"/>
        <v>Normal Usage</v>
      </c>
    </row>
    <row r="2148" spans="1:9" x14ac:dyDescent="0.3">
      <c r="A2148">
        <v>12147</v>
      </c>
      <c r="B2148">
        <v>230</v>
      </c>
      <c r="C2148" s="2">
        <v>45315</v>
      </c>
      <c r="D2148" s="2" t="str">
        <f>TEXT(Table3[[#This Row],[usage_date]],"mmmm")</f>
        <v>January</v>
      </c>
      <c r="E2148" s="9">
        <f>YEAR(Table3[[#This Row],[usage_date]])</f>
        <v>2024</v>
      </c>
      <c r="F2148" s="14">
        <v>0.56999999999999995</v>
      </c>
      <c r="G2148">
        <v>228</v>
      </c>
      <c r="H2148" t="s">
        <v>13</v>
      </c>
      <c r="I2148" t="str">
        <f t="shared" si="33"/>
        <v>Normal Usage</v>
      </c>
    </row>
    <row r="2149" spans="1:9" x14ac:dyDescent="0.3">
      <c r="A2149">
        <v>12148</v>
      </c>
      <c r="B2149">
        <v>321</v>
      </c>
      <c r="C2149" s="2">
        <v>44678</v>
      </c>
      <c r="D2149" s="2" t="str">
        <f>TEXT(Table3[[#This Row],[usage_date]],"mmmm")</f>
        <v>April</v>
      </c>
      <c r="E2149" s="9">
        <f>YEAR(Table3[[#This Row],[usage_date]])</f>
        <v>2022</v>
      </c>
      <c r="F2149" s="14">
        <v>3.88</v>
      </c>
      <c r="G2149">
        <v>132</v>
      </c>
      <c r="H2149" t="s">
        <v>13</v>
      </c>
      <c r="I2149" t="str">
        <f t="shared" si="33"/>
        <v>Normal Usage</v>
      </c>
    </row>
    <row r="2150" spans="1:9" x14ac:dyDescent="0.3">
      <c r="A2150">
        <v>12149</v>
      </c>
      <c r="B2150">
        <v>340</v>
      </c>
      <c r="C2150" s="2">
        <v>45359</v>
      </c>
      <c r="D2150" s="2" t="str">
        <f>TEXT(Table3[[#This Row],[usage_date]],"mmmm")</f>
        <v>March</v>
      </c>
      <c r="E2150" s="9">
        <f>YEAR(Table3[[#This Row],[usage_date]])</f>
        <v>2024</v>
      </c>
      <c r="F2150" s="14">
        <v>0.46</v>
      </c>
      <c r="G2150">
        <v>124</v>
      </c>
      <c r="H2150" t="s">
        <v>12</v>
      </c>
      <c r="I2150" t="str">
        <f t="shared" si="33"/>
        <v>Normal Usage</v>
      </c>
    </row>
    <row r="2151" spans="1:9" x14ac:dyDescent="0.3">
      <c r="A2151">
        <v>12150</v>
      </c>
      <c r="B2151">
        <v>119</v>
      </c>
      <c r="C2151" s="2">
        <v>45355</v>
      </c>
      <c r="D2151" s="2" t="str">
        <f>TEXT(Table3[[#This Row],[usage_date]],"mmmm")</f>
        <v>March</v>
      </c>
      <c r="E2151" s="9">
        <f>YEAR(Table3[[#This Row],[usage_date]])</f>
        <v>2024</v>
      </c>
      <c r="F2151" s="14">
        <v>7.0000000000000007E-2</v>
      </c>
      <c r="G2151">
        <v>52</v>
      </c>
      <c r="H2151" t="s">
        <v>12</v>
      </c>
      <c r="I2151" t="str">
        <f t="shared" si="33"/>
        <v>Normal Usage</v>
      </c>
    </row>
    <row r="2152" spans="1:9" x14ac:dyDescent="0.3">
      <c r="A2152">
        <v>12151</v>
      </c>
      <c r="B2152">
        <v>156</v>
      </c>
      <c r="C2152" s="2">
        <v>44705</v>
      </c>
      <c r="D2152" s="2" t="str">
        <f>TEXT(Table3[[#This Row],[usage_date]],"mmmm")</f>
        <v>May</v>
      </c>
      <c r="E2152" s="9">
        <f>YEAR(Table3[[#This Row],[usage_date]])</f>
        <v>2022</v>
      </c>
      <c r="F2152" s="14">
        <v>2.48</v>
      </c>
      <c r="G2152">
        <v>87</v>
      </c>
      <c r="H2152" t="s">
        <v>12</v>
      </c>
      <c r="I2152" t="str">
        <f t="shared" si="33"/>
        <v>Normal Usage</v>
      </c>
    </row>
    <row r="2153" spans="1:9" x14ac:dyDescent="0.3">
      <c r="A2153">
        <v>12152</v>
      </c>
      <c r="B2153">
        <v>272</v>
      </c>
      <c r="C2153" s="2">
        <v>45278</v>
      </c>
      <c r="D2153" s="2" t="str">
        <f>TEXT(Table3[[#This Row],[usage_date]],"mmmm")</f>
        <v>December</v>
      </c>
      <c r="E2153" s="9">
        <f>YEAR(Table3[[#This Row],[usage_date]])</f>
        <v>2023</v>
      </c>
      <c r="F2153" s="14">
        <v>9.32</v>
      </c>
      <c r="G2153">
        <v>97</v>
      </c>
      <c r="H2153" t="s">
        <v>13</v>
      </c>
      <c r="I2153" t="str">
        <f t="shared" si="33"/>
        <v>High Usage</v>
      </c>
    </row>
    <row r="2154" spans="1:9" x14ac:dyDescent="0.3">
      <c r="A2154">
        <v>12153</v>
      </c>
      <c r="B2154">
        <v>175</v>
      </c>
      <c r="C2154" s="2">
        <v>45112</v>
      </c>
      <c r="D2154" s="2" t="str">
        <f>TEXT(Table3[[#This Row],[usage_date]],"mmmm")</f>
        <v>July</v>
      </c>
      <c r="E2154" s="9">
        <f>YEAR(Table3[[#This Row],[usage_date]])</f>
        <v>2023</v>
      </c>
      <c r="F2154" s="14">
        <v>1.01</v>
      </c>
      <c r="G2154">
        <v>94</v>
      </c>
      <c r="H2154" t="s">
        <v>12</v>
      </c>
      <c r="I2154" t="str">
        <f t="shared" si="33"/>
        <v>Normal Usage</v>
      </c>
    </row>
    <row r="2155" spans="1:9" x14ac:dyDescent="0.3">
      <c r="A2155">
        <v>12154</v>
      </c>
      <c r="B2155">
        <v>465</v>
      </c>
      <c r="C2155" s="2">
        <v>45227</v>
      </c>
      <c r="D2155" s="2" t="str">
        <f>TEXT(Table3[[#This Row],[usage_date]],"mmmm")</f>
        <v>October</v>
      </c>
      <c r="E2155" s="9">
        <f>YEAR(Table3[[#This Row],[usage_date]])</f>
        <v>2023</v>
      </c>
      <c r="F2155" s="14">
        <v>0.32</v>
      </c>
      <c r="G2155">
        <v>187</v>
      </c>
      <c r="H2155" t="s">
        <v>12</v>
      </c>
      <c r="I2155" t="str">
        <f t="shared" si="33"/>
        <v>Normal Usage</v>
      </c>
    </row>
    <row r="2156" spans="1:9" x14ac:dyDescent="0.3">
      <c r="A2156">
        <v>12155</v>
      </c>
      <c r="B2156">
        <v>104</v>
      </c>
      <c r="C2156" s="2">
        <v>45249</v>
      </c>
      <c r="D2156" s="2" t="str">
        <f>TEXT(Table3[[#This Row],[usage_date]],"mmmm")</f>
        <v>November</v>
      </c>
      <c r="E2156" s="9">
        <f>YEAR(Table3[[#This Row],[usage_date]])</f>
        <v>2023</v>
      </c>
      <c r="F2156" s="14">
        <v>2.11</v>
      </c>
      <c r="G2156">
        <v>255</v>
      </c>
      <c r="H2156" t="s">
        <v>12</v>
      </c>
      <c r="I2156" t="str">
        <f t="shared" si="33"/>
        <v>Normal Usage</v>
      </c>
    </row>
    <row r="2157" spans="1:9" x14ac:dyDescent="0.3">
      <c r="A2157">
        <v>12156</v>
      </c>
      <c r="B2157">
        <v>92</v>
      </c>
      <c r="C2157" s="2">
        <v>45314</v>
      </c>
      <c r="D2157" s="2" t="str">
        <f>TEXT(Table3[[#This Row],[usage_date]],"mmmm")</f>
        <v>January</v>
      </c>
      <c r="E2157" s="9">
        <f>YEAR(Table3[[#This Row],[usage_date]])</f>
        <v>2024</v>
      </c>
      <c r="F2157" s="14">
        <v>5.92</v>
      </c>
      <c r="G2157">
        <v>72</v>
      </c>
      <c r="H2157" t="s">
        <v>13</v>
      </c>
      <c r="I2157" t="str">
        <f t="shared" si="33"/>
        <v>Normal Usage</v>
      </c>
    </row>
    <row r="2158" spans="1:9" x14ac:dyDescent="0.3">
      <c r="A2158">
        <v>12157</v>
      </c>
      <c r="B2158">
        <v>186</v>
      </c>
      <c r="C2158" s="2">
        <v>44983</v>
      </c>
      <c r="D2158" s="2" t="str">
        <f>TEXT(Table3[[#This Row],[usage_date]],"mmmm")</f>
        <v>February</v>
      </c>
      <c r="E2158" s="9">
        <f>YEAR(Table3[[#This Row],[usage_date]])</f>
        <v>2023</v>
      </c>
      <c r="F2158" s="14">
        <v>3.83</v>
      </c>
      <c r="G2158">
        <v>281</v>
      </c>
      <c r="H2158" t="s">
        <v>12</v>
      </c>
      <c r="I2158" t="str">
        <f t="shared" si="33"/>
        <v>Normal Usage</v>
      </c>
    </row>
    <row r="2159" spans="1:9" x14ac:dyDescent="0.3">
      <c r="A2159">
        <v>12158</v>
      </c>
      <c r="B2159">
        <v>460</v>
      </c>
      <c r="C2159" s="2">
        <v>45459</v>
      </c>
      <c r="D2159" s="2" t="str">
        <f>TEXT(Table3[[#This Row],[usage_date]],"mmmm")</f>
        <v>June</v>
      </c>
      <c r="E2159" s="9">
        <f>YEAR(Table3[[#This Row],[usage_date]])</f>
        <v>2024</v>
      </c>
      <c r="F2159" s="14">
        <v>2.44</v>
      </c>
      <c r="G2159">
        <v>17</v>
      </c>
      <c r="H2159" t="s">
        <v>12</v>
      </c>
      <c r="I2159" t="str">
        <f t="shared" si="33"/>
        <v>Normal Usage</v>
      </c>
    </row>
    <row r="2160" spans="1:9" x14ac:dyDescent="0.3">
      <c r="A2160">
        <v>12159</v>
      </c>
      <c r="B2160">
        <v>283</v>
      </c>
      <c r="C2160" s="2">
        <v>44930</v>
      </c>
      <c r="D2160" s="2" t="str">
        <f>TEXT(Table3[[#This Row],[usage_date]],"mmmm")</f>
        <v>January</v>
      </c>
      <c r="E2160" s="9">
        <f>YEAR(Table3[[#This Row],[usage_date]])</f>
        <v>2023</v>
      </c>
      <c r="F2160" s="14">
        <v>0.95</v>
      </c>
      <c r="G2160">
        <v>163</v>
      </c>
      <c r="H2160" t="s">
        <v>13</v>
      </c>
      <c r="I2160" t="str">
        <f t="shared" si="33"/>
        <v>Normal Usage</v>
      </c>
    </row>
    <row r="2161" spans="1:9" x14ac:dyDescent="0.3">
      <c r="A2161">
        <v>12160</v>
      </c>
      <c r="B2161">
        <v>181</v>
      </c>
      <c r="C2161" s="2">
        <v>45207</v>
      </c>
      <c r="D2161" s="2" t="str">
        <f>TEXT(Table3[[#This Row],[usage_date]],"mmmm")</f>
        <v>October</v>
      </c>
      <c r="E2161" s="9">
        <f>YEAR(Table3[[#This Row],[usage_date]])</f>
        <v>2023</v>
      </c>
      <c r="F2161" s="14">
        <v>1.95</v>
      </c>
      <c r="G2161">
        <v>145</v>
      </c>
      <c r="H2161" t="s">
        <v>12</v>
      </c>
      <c r="I2161" t="str">
        <f t="shared" si="33"/>
        <v>Normal Usage</v>
      </c>
    </row>
    <row r="2162" spans="1:9" x14ac:dyDescent="0.3">
      <c r="A2162">
        <v>12161</v>
      </c>
      <c r="B2162">
        <v>170</v>
      </c>
      <c r="C2162" s="2">
        <v>45119</v>
      </c>
      <c r="D2162" s="2" t="str">
        <f>TEXT(Table3[[#This Row],[usage_date]],"mmmm")</f>
        <v>July</v>
      </c>
      <c r="E2162" s="9">
        <f>YEAR(Table3[[#This Row],[usage_date]])</f>
        <v>2023</v>
      </c>
      <c r="F2162" s="14">
        <v>0.24</v>
      </c>
      <c r="G2162">
        <v>252</v>
      </c>
      <c r="H2162" t="s">
        <v>12</v>
      </c>
      <c r="I2162" t="str">
        <f t="shared" si="33"/>
        <v>Normal Usage</v>
      </c>
    </row>
    <row r="2163" spans="1:9" x14ac:dyDescent="0.3">
      <c r="A2163">
        <v>12162</v>
      </c>
      <c r="B2163">
        <v>187</v>
      </c>
      <c r="C2163" s="2">
        <v>44611</v>
      </c>
      <c r="D2163" s="2" t="str">
        <f>TEXT(Table3[[#This Row],[usage_date]],"mmmm")</f>
        <v>February</v>
      </c>
      <c r="E2163" s="9">
        <f>YEAR(Table3[[#This Row],[usage_date]])</f>
        <v>2022</v>
      </c>
      <c r="F2163" s="14">
        <v>2.84</v>
      </c>
      <c r="G2163">
        <v>159</v>
      </c>
      <c r="H2163" t="s">
        <v>12</v>
      </c>
      <c r="I2163" t="str">
        <f t="shared" si="33"/>
        <v>Normal Usage</v>
      </c>
    </row>
    <row r="2164" spans="1:9" x14ac:dyDescent="0.3">
      <c r="A2164">
        <v>12163</v>
      </c>
      <c r="B2164">
        <v>175</v>
      </c>
      <c r="C2164" s="2">
        <v>45239</v>
      </c>
      <c r="D2164" s="2" t="str">
        <f>TEXT(Table3[[#This Row],[usage_date]],"mmmm")</f>
        <v>November</v>
      </c>
      <c r="E2164" s="9">
        <f>YEAR(Table3[[#This Row],[usage_date]])</f>
        <v>2023</v>
      </c>
      <c r="F2164" s="14">
        <v>3.23</v>
      </c>
      <c r="G2164">
        <v>48</v>
      </c>
      <c r="H2164" t="s">
        <v>12</v>
      </c>
      <c r="I2164" t="str">
        <f t="shared" si="33"/>
        <v>Normal Usage</v>
      </c>
    </row>
    <row r="2165" spans="1:9" x14ac:dyDescent="0.3">
      <c r="A2165">
        <v>12164</v>
      </c>
      <c r="B2165">
        <v>222</v>
      </c>
      <c r="C2165" s="2">
        <v>44667</v>
      </c>
      <c r="D2165" s="2" t="str">
        <f>TEXT(Table3[[#This Row],[usage_date]],"mmmm")</f>
        <v>April</v>
      </c>
      <c r="E2165" s="9">
        <f>YEAR(Table3[[#This Row],[usage_date]])</f>
        <v>2022</v>
      </c>
      <c r="F2165" s="14">
        <v>8.3800000000000008</v>
      </c>
      <c r="G2165">
        <v>175</v>
      </c>
      <c r="H2165" t="s">
        <v>12</v>
      </c>
      <c r="I2165" t="str">
        <f t="shared" si="33"/>
        <v>High Usage</v>
      </c>
    </row>
    <row r="2166" spans="1:9" x14ac:dyDescent="0.3">
      <c r="A2166">
        <v>12165</v>
      </c>
      <c r="B2166">
        <v>233</v>
      </c>
      <c r="C2166" s="2">
        <v>44777</v>
      </c>
      <c r="D2166" s="2" t="str">
        <f>TEXT(Table3[[#This Row],[usage_date]],"mmmm")</f>
        <v>August</v>
      </c>
      <c r="E2166" s="9">
        <f>YEAR(Table3[[#This Row],[usage_date]])</f>
        <v>2022</v>
      </c>
      <c r="F2166" s="14">
        <v>0.75</v>
      </c>
      <c r="G2166">
        <v>64</v>
      </c>
      <c r="H2166" t="s">
        <v>12</v>
      </c>
      <c r="I2166" t="str">
        <f t="shared" si="33"/>
        <v>Normal Usage</v>
      </c>
    </row>
    <row r="2167" spans="1:9" x14ac:dyDescent="0.3">
      <c r="A2167">
        <v>12166</v>
      </c>
      <c r="B2167">
        <v>162</v>
      </c>
      <c r="C2167" s="2">
        <v>45219</v>
      </c>
      <c r="D2167" s="2" t="str">
        <f>TEXT(Table3[[#This Row],[usage_date]],"mmmm")</f>
        <v>October</v>
      </c>
      <c r="E2167" s="9">
        <f>YEAR(Table3[[#This Row],[usage_date]])</f>
        <v>2023</v>
      </c>
      <c r="F2167" s="14">
        <v>0.05</v>
      </c>
      <c r="G2167">
        <v>288</v>
      </c>
      <c r="H2167" t="s">
        <v>12</v>
      </c>
      <c r="I2167" t="str">
        <f t="shared" si="33"/>
        <v>Normal Usage</v>
      </c>
    </row>
    <row r="2168" spans="1:9" x14ac:dyDescent="0.3">
      <c r="A2168">
        <v>12167</v>
      </c>
      <c r="B2168">
        <v>421</v>
      </c>
      <c r="C2168" s="2">
        <v>44986</v>
      </c>
      <c r="D2168" s="2" t="str">
        <f>TEXT(Table3[[#This Row],[usage_date]],"mmmm")</f>
        <v>March</v>
      </c>
      <c r="E2168" s="9">
        <f>YEAR(Table3[[#This Row],[usage_date]])</f>
        <v>2023</v>
      </c>
      <c r="F2168" s="14">
        <v>1.97</v>
      </c>
      <c r="G2168">
        <v>49</v>
      </c>
      <c r="H2168" t="s">
        <v>13</v>
      </c>
      <c r="I2168" t="str">
        <f t="shared" si="33"/>
        <v>Normal Usage</v>
      </c>
    </row>
    <row r="2169" spans="1:9" x14ac:dyDescent="0.3">
      <c r="A2169">
        <v>12168</v>
      </c>
      <c r="B2169">
        <v>134</v>
      </c>
      <c r="C2169" s="2">
        <v>44633</v>
      </c>
      <c r="D2169" s="2" t="str">
        <f>TEXT(Table3[[#This Row],[usage_date]],"mmmm")</f>
        <v>March</v>
      </c>
      <c r="E2169" s="9">
        <f>YEAR(Table3[[#This Row],[usage_date]])</f>
        <v>2022</v>
      </c>
      <c r="F2169" s="14">
        <v>3.07</v>
      </c>
      <c r="G2169">
        <v>3</v>
      </c>
      <c r="H2169" t="s">
        <v>12</v>
      </c>
      <c r="I2169" t="str">
        <f t="shared" si="33"/>
        <v>Normal Usage</v>
      </c>
    </row>
    <row r="2170" spans="1:9" x14ac:dyDescent="0.3">
      <c r="A2170">
        <v>12169</v>
      </c>
      <c r="B2170">
        <v>391</v>
      </c>
      <c r="C2170" s="2">
        <v>45403</v>
      </c>
      <c r="D2170" s="2" t="str">
        <f>TEXT(Table3[[#This Row],[usage_date]],"mmmm")</f>
        <v>April</v>
      </c>
      <c r="E2170" s="9">
        <f>YEAR(Table3[[#This Row],[usage_date]])</f>
        <v>2024</v>
      </c>
      <c r="F2170" s="14">
        <v>3.91</v>
      </c>
      <c r="G2170">
        <v>118</v>
      </c>
      <c r="H2170" t="s">
        <v>12</v>
      </c>
      <c r="I2170" t="str">
        <f t="shared" si="33"/>
        <v>Normal Usage</v>
      </c>
    </row>
    <row r="2171" spans="1:9" x14ac:dyDescent="0.3">
      <c r="A2171">
        <v>12170</v>
      </c>
      <c r="B2171">
        <v>480</v>
      </c>
      <c r="C2171" s="2">
        <v>45346</v>
      </c>
      <c r="D2171" s="2" t="str">
        <f>TEXT(Table3[[#This Row],[usage_date]],"mmmm")</f>
        <v>February</v>
      </c>
      <c r="E2171" s="9">
        <f>YEAR(Table3[[#This Row],[usage_date]])</f>
        <v>2024</v>
      </c>
      <c r="F2171" s="14">
        <v>0.54</v>
      </c>
      <c r="G2171">
        <v>163</v>
      </c>
      <c r="H2171" t="s">
        <v>12</v>
      </c>
      <c r="I2171" t="str">
        <f t="shared" si="33"/>
        <v>Normal Usage</v>
      </c>
    </row>
    <row r="2172" spans="1:9" x14ac:dyDescent="0.3">
      <c r="A2172">
        <v>12171</v>
      </c>
      <c r="B2172">
        <v>224</v>
      </c>
      <c r="C2172" s="2">
        <v>45320</v>
      </c>
      <c r="D2172" s="2" t="str">
        <f>TEXT(Table3[[#This Row],[usage_date]],"mmmm")</f>
        <v>January</v>
      </c>
      <c r="E2172" s="9">
        <f>YEAR(Table3[[#This Row],[usage_date]])</f>
        <v>2024</v>
      </c>
      <c r="F2172" s="14">
        <v>0.76</v>
      </c>
      <c r="G2172">
        <v>222</v>
      </c>
      <c r="H2172" t="s">
        <v>13</v>
      </c>
      <c r="I2172" t="str">
        <f t="shared" si="33"/>
        <v>Normal Usage</v>
      </c>
    </row>
    <row r="2173" spans="1:9" x14ac:dyDescent="0.3">
      <c r="A2173">
        <v>12172</v>
      </c>
      <c r="B2173">
        <v>153</v>
      </c>
      <c r="C2173" s="2">
        <v>45007</v>
      </c>
      <c r="D2173" s="2" t="str">
        <f>TEXT(Table3[[#This Row],[usage_date]],"mmmm")</f>
        <v>March</v>
      </c>
      <c r="E2173" s="9">
        <f>YEAR(Table3[[#This Row],[usage_date]])</f>
        <v>2023</v>
      </c>
      <c r="F2173" s="14">
        <v>1.8</v>
      </c>
      <c r="G2173">
        <v>155</v>
      </c>
      <c r="H2173" t="s">
        <v>12</v>
      </c>
      <c r="I2173" t="str">
        <f t="shared" si="33"/>
        <v>Normal Usage</v>
      </c>
    </row>
    <row r="2174" spans="1:9" x14ac:dyDescent="0.3">
      <c r="A2174">
        <v>12173</v>
      </c>
      <c r="B2174">
        <v>33</v>
      </c>
      <c r="C2174" s="2">
        <v>44747</v>
      </c>
      <c r="D2174" s="2" t="str">
        <f>TEXT(Table3[[#This Row],[usage_date]],"mmmm")</f>
        <v>July</v>
      </c>
      <c r="E2174" s="9">
        <f>YEAR(Table3[[#This Row],[usage_date]])</f>
        <v>2022</v>
      </c>
      <c r="F2174" s="14">
        <v>1</v>
      </c>
      <c r="G2174">
        <v>261</v>
      </c>
      <c r="H2174" t="s">
        <v>12</v>
      </c>
      <c r="I2174" t="str">
        <f t="shared" si="33"/>
        <v>Normal Usage</v>
      </c>
    </row>
    <row r="2175" spans="1:9" x14ac:dyDescent="0.3">
      <c r="A2175">
        <v>12174</v>
      </c>
      <c r="B2175">
        <v>55</v>
      </c>
      <c r="C2175" s="2">
        <v>44631</v>
      </c>
      <c r="D2175" s="2" t="str">
        <f>TEXT(Table3[[#This Row],[usage_date]],"mmmm")</f>
        <v>March</v>
      </c>
      <c r="E2175" s="9">
        <f>YEAR(Table3[[#This Row],[usage_date]])</f>
        <v>2022</v>
      </c>
      <c r="F2175" s="14">
        <v>4.92</v>
      </c>
      <c r="G2175">
        <v>172</v>
      </c>
      <c r="H2175" t="s">
        <v>12</v>
      </c>
      <c r="I2175" t="str">
        <f t="shared" si="33"/>
        <v>Normal Usage</v>
      </c>
    </row>
    <row r="2176" spans="1:9" x14ac:dyDescent="0.3">
      <c r="A2176">
        <v>12175</v>
      </c>
      <c r="B2176">
        <v>442</v>
      </c>
      <c r="C2176" s="2">
        <v>44711</v>
      </c>
      <c r="D2176" s="2" t="str">
        <f>TEXT(Table3[[#This Row],[usage_date]],"mmmm")</f>
        <v>May</v>
      </c>
      <c r="E2176" s="9">
        <f>YEAR(Table3[[#This Row],[usage_date]])</f>
        <v>2022</v>
      </c>
      <c r="F2176" s="14">
        <v>1.6</v>
      </c>
      <c r="G2176">
        <v>22</v>
      </c>
      <c r="H2176" t="s">
        <v>12</v>
      </c>
      <c r="I2176" t="str">
        <f t="shared" si="33"/>
        <v>Normal Usage</v>
      </c>
    </row>
    <row r="2177" spans="1:9" x14ac:dyDescent="0.3">
      <c r="A2177">
        <v>12176</v>
      </c>
      <c r="B2177">
        <v>7</v>
      </c>
      <c r="C2177" s="2">
        <v>44807</v>
      </c>
      <c r="D2177" s="2" t="str">
        <f>TEXT(Table3[[#This Row],[usage_date]],"mmmm")</f>
        <v>September</v>
      </c>
      <c r="E2177" s="9">
        <f>YEAR(Table3[[#This Row],[usage_date]])</f>
        <v>2022</v>
      </c>
      <c r="F2177" s="14">
        <v>4.0199999999999996</v>
      </c>
      <c r="G2177">
        <v>60</v>
      </c>
      <c r="H2177" t="s">
        <v>12</v>
      </c>
      <c r="I2177" t="str">
        <f t="shared" si="33"/>
        <v>Normal Usage</v>
      </c>
    </row>
    <row r="2178" spans="1:9" x14ac:dyDescent="0.3">
      <c r="A2178">
        <v>12177</v>
      </c>
      <c r="B2178">
        <v>244</v>
      </c>
      <c r="C2178" s="2">
        <v>45335</v>
      </c>
      <c r="D2178" s="2" t="str">
        <f>TEXT(Table3[[#This Row],[usage_date]],"mmmm")</f>
        <v>February</v>
      </c>
      <c r="E2178" s="9">
        <f>YEAR(Table3[[#This Row],[usage_date]])</f>
        <v>2024</v>
      </c>
      <c r="F2178" s="14">
        <v>2.17</v>
      </c>
      <c r="G2178">
        <v>133</v>
      </c>
      <c r="H2178" t="s">
        <v>13</v>
      </c>
      <c r="I2178" t="str">
        <f t="shared" ref="I2178:I2241" si="34">IF(F2178&gt;6,"High Usage","Normal Usage")</f>
        <v>Normal Usage</v>
      </c>
    </row>
    <row r="2179" spans="1:9" x14ac:dyDescent="0.3">
      <c r="A2179">
        <v>12178</v>
      </c>
      <c r="B2179">
        <v>313</v>
      </c>
      <c r="C2179" s="2">
        <v>45099</v>
      </c>
      <c r="D2179" s="2" t="str">
        <f>TEXT(Table3[[#This Row],[usage_date]],"mmmm")</f>
        <v>June</v>
      </c>
      <c r="E2179" s="9">
        <f>YEAR(Table3[[#This Row],[usage_date]])</f>
        <v>2023</v>
      </c>
      <c r="F2179" s="14">
        <v>3.71</v>
      </c>
      <c r="G2179">
        <v>23</v>
      </c>
      <c r="H2179" t="s">
        <v>12</v>
      </c>
      <c r="I2179" t="str">
        <f t="shared" si="34"/>
        <v>Normal Usage</v>
      </c>
    </row>
    <row r="2180" spans="1:9" x14ac:dyDescent="0.3">
      <c r="A2180">
        <v>12179</v>
      </c>
      <c r="B2180">
        <v>126</v>
      </c>
      <c r="C2180" s="2">
        <v>45213</v>
      </c>
      <c r="D2180" s="2" t="str">
        <f>TEXT(Table3[[#This Row],[usage_date]],"mmmm")</f>
        <v>October</v>
      </c>
      <c r="E2180" s="9">
        <f>YEAR(Table3[[#This Row],[usage_date]])</f>
        <v>2023</v>
      </c>
      <c r="F2180" s="14">
        <v>1.01</v>
      </c>
      <c r="G2180">
        <v>292</v>
      </c>
      <c r="H2180" t="s">
        <v>13</v>
      </c>
      <c r="I2180" t="str">
        <f t="shared" si="34"/>
        <v>Normal Usage</v>
      </c>
    </row>
    <row r="2181" spans="1:9" x14ac:dyDescent="0.3">
      <c r="A2181">
        <v>12180</v>
      </c>
      <c r="B2181">
        <v>12</v>
      </c>
      <c r="C2181" s="2">
        <v>44660</v>
      </c>
      <c r="D2181" s="2" t="str">
        <f>TEXT(Table3[[#This Row],[usage_date]],"mmmm")</f>
        <v>April</v>
      </c>
      <c r="E2181" s="9">
        <f>YEAR(Table3[[#This Row],[usage_date]])</f>
        <v>2022</v>
      </c>
      <c r="F2181" s="14">
        <v>4.45</v>
      </c>
      <c r="G2181">
        <v>44</v>
      </c>
      <c r="H2181" t="s">
        <v>12</v>
      </c>
      <c r="I2181" t="str">
        <f t="shared" si="34"/>
        <v>Normal Usage</v>
      </c>
    </row>
    <row r="2182" spans="1:9" x14ac:dyDescent="0.3">
      <c r="A2182">
        <v>12181</v>
      </c>
      <c r="B2182">
        <v>16</v>
      </c>
      <c r="C2182" s="2">
        <v>44839</v>
      </c>
      <c r="D2182" s="2" t="str">
        <f>TEXT(Table3[[#This Row],[usage_date]],"mmmm")</f>
        <v>October</v>
      </c>
      <c r="E2182" s="9">
        <f>YEAR(Table3[[#This Row],[usage_date]])</f>
        <v>2022</v>
      </c>
      <c r="F2182" s="14">
        <v>0.8</v>
      </c>
      <c r="G2182">
        <v>178</v>
      </c>
      <c r="H2182" t="s">
        <v>13</v>
      </c>
      <c r="I2182" t="str">
        <f t="shared" si="34"/>
        <v>Normal Usage</v>
      </c>
    </row>
    <row r="2183" spans="1:9" x14ac:dyDescent="0.3">
      <c r="A2183">
        <v>12182</v>
      </c>
      <c r="B2183">
        <v>208</v>
      </c>
      <c r="C2183" s="2">
        <v>45124</v>
      </c>
      <c r="D2183" s="2" t="str">
        <f>TEXT(Table3[[#This Row],[usage_date]],"mmmm")</f>
        <v>July</v>
      </c>
      <c r="E2183" s="9">
        <f>YEAR(Table3[[#This Row],[usage_date]])</f>
        <v>2023</v>
      </c>
      <c r="F2183" s="14">
        <v>1.97</v>
      </c>
      <c r="G2183">
        <v>62</v>
      </c>
      <c r="H2183" t="s">
        <v>12</v>
      </c>
      <c r="I2183" t="str">
        <f t="shared" si="34"/>
        <v>Normal Usage</v>
      </c>
    </row>
    <row r="2184" spans="1:9" x14ac:dyDescent="0.3">
      <c r="A2184">
        <v>12183</v>
      </c>
      <c r="B2184">
        <v>43</v>
      </c>
      <c r="C2184" s="2">
        <v>45224</v>
      </c>
      <c r="D2184" s="2" t="str">
        <f>TEXT(Table3[[#This Row],[usage_date]],"mmmm")</f>
        <v>October</v>
      </c>
      <c r="E2184" s="9">
        <f>YEAR(Table3[[#This Row],[usage_date]])</f>
        <v>2023</v>
      </c>
      <c r="F2184" s="14">
        <v>0.6</v>
      </c>
      <c r="G2184">
        <v>28</v>
      </c>
      <c r="H2184" t="s">
        <v>12</v>
      </c>
      <c r="I2184" t="str">
        <f t="shared" si="34"/>
        <v>Normal Usage</v>
      </c>
    </row>
    <row r="2185" spans="1:9" x14ac:dyDescent="0.3">
      <c r="A2185">
        <v>12184</v>
      </c>
      <c r="B2185">
        <v>373</v>
      </c>
      <c r="C2185" s="2">
        <v>45016</v>
      </c>
      <c r="D2185" s="2" t="str">
        <f>TEXT(Table3[[#This Row],[usage_date]],"mmmm")</f>
        <v>March</v>
      </c>
      <c r="E2185" s="9">
        <f>YEAR(Table3[[#This Row],[usage_date]])</f>
        <v>2023</v>
      </c>
      <c r="F2185" s="14">
        <v>1.61</v>
      </c>
      <c r="G2185">
        <v>95</v>
      </c>
      <c r="H2185" t="s">
        <v>12</v>
      </c>
      <c r="I2185" t="str">
        <f t="shared" si="34"/>
        <v>Normal Usage</v>
      </c>
    </row>
    <row r="2186" spans="1:9" x14ac:dyDescent="0.3">
      <c r="A2186">
        <v>12185</v>
      </c>
      <c r="B2186">
        <v>484</v>
      </c>
      <c r="C2186" s="2">
        <v>44665</v>
      </c>
      <c r="D2186" s="2" t="str">
        <f>TEXT(Table3[[#This Row],[usage_date]],"mmmm")</f>
        <v>April</v>
      </c>
      <c r="E2186" s="9">
        <f>YEAR(Table3[[#This Row],[usage_date]])</f>
        <v>2022</v>
      </c>
      <c r="F2186" s="14">
        <v>0.96</v>
      </c>
      <c r="G2186">
        <v>265</v>
      </c>
      <c r="H2186" t="s">
        <v>12</v>
      </c>
      <c r="I2186" t="str">
        <f t="shared" si="34"/>
        <v>Normal Usage</v>
      </c>
    </row>
    <row r="2187" spans="1:9" x14ac:dyDescent="0.3">
      <c r="A2187">
        <v>12186</v>
      </c>
      <c r="B2187">
        <v>461</v>
      </c>
      <c r="C2187" s="2">
        <v>45162</v>
      </c>
      <c r="D2187" s="2" t="str">
        <f>TEXT(Table3[[#This Row],[usage_date]],"mmmm")</f>
        <v>August</v>
      </c>
      <c r="E2187" s="9">
        <f>YEAR(Table3[[#This Row],[usage_date]])</f>
        <v>2023</v>
      </c>
      <c r="F2187" s="14">
        <v>0.78</v>
      </c>
      <c r="G2187">
        <v>290</v>
      </c>
      <c r="H2187" t="s">
        <v>13</v>
      </c>
      <c r="I2187" t="str">
        <f t="shared" si="34"/>
        <v>Normal Usage</v>
      </c>
    </row>
    <row r="2188" spans="1:9" x14ac:dyDescent="0.3">
      <c r="A2188">
        <v>12187</v>
      </c>
      <c r="B2188">
        <v>135</v>
      </c>
      <c r="C2188" s="2">
        <v>45214</v>
      </c>
      <c r="D2188" s="2" t="str">
        <f>TEXT(Table3[[#This Row],[usage_date]],"mmmm")</f>
        <v>October</v>
      </c>
      <c r="E2188" s="9">
        <f>YEAR(Table3[[#This Row],[usage_date]])</f>
        <v>2023</v>
      </c>
      <c r="F2188" s="14">
        <v>8.5299999999999994</v>
      </c>
      <c r="G2188">
        <v>54</v>
      </c>
      <c r="H2188" t="s">
        <v>12</v>
      </c>
      <c r="I2188" t="str">
        <f t="shared" si="34"/>
        <v>High Usage</v>
      </c>
    </row>
    <row r="2189" spans="1:9" x14ac:dyDescent="0.3">
      <c r="A2189">
        <v>12188</v>
      </c>
      <c r="B2189">
        <v>228</v>
      </c>
      <c r="C2189" s="2">
        <v>45286</v>
      </c>
      <c r="D2189" s="2" t="str">
        <f>TEXT(Table3[[#This Row],[usage_date]],"mmmm")</f>
        <v>December</v>
      </c>
      <c r="E2189" s="9">
        <f>YEAR(Table3[[#This Row],[usage_date]])</f>
        <v>2023</v>
      </c>
      <c r="F2189" s="14">
        <v>0.44</v>
      </c>
      <c r="G2189">
        <v>152</v>
      </c>
      <c r="H2189" t="s">
        <v>12</v>
      </c>
      <c r="I2189" t="str">
        <f t="shared" si="34"/>
        <v>Normal Usage</v>
      </c>
    </row>
    <row r="2190" spans="1:9" x14ac:dyDescent="0.3">
      <c r="A2190">
        <v>12189</v>
      </c>
      <c r="B2190">
        <v>111</v>
      </c>
      <c r="C2190" s="2">
        <v>44794</v>
      </c>
      <c r="D2190" s="2" t="str">
        <f>TEXT(Table3[[#This Row],[usage_date]],"mmmm")</f>
        <v>August</v>
      </c>
      <c r="E2190" s="9">
        <f>YEAR(Table3[[#This Row],[usage_date]])</f>
        <v>2022</v>
      </c>
      <c r="F2190" s="14">
        <v>3.87</v>
      </c>
      <c r="G2190">
        <v>218</v>
      </c>
      <c r="H2190" t="s">
        <v>12</v>
      </c>
      <c r="I2190" t="str">
        <f t="shared" si="34"/>
        <v>Normal Usage</v>
      </c>
    </row>
    <row r="2191" spans="1:9" x14ac:dyDescent="0.3">
      <c r="A2191">
        <v>12190</v>
      </c>
      <c r="B2191">
        <v>307</v>
      </c>
      <c r="C2191" s="2">
        <v>44955</v>
      </c>
      <c r="D2191" s="2" t="str">
        <f>TEXT(Table3[[#This Row],[usage_date]],"mmmm")</f>
        <v>January</v>
      </c>
      <c r="E2191" s="9">
        <f>YEAR(Table3[[#This Row],[usage_date]])</f>
        <v>2023</v>
      </c>
      <c r="F2191" s="14">
        <v>10.36</v>
      </c>
      <c r="G2191">
        <v>172</v>
      </c>
      <c r="H2191" t="s">
        <v>13</v>
      </c>
      <c r="I2191" t="str">
        <f t="shared" si="34"/>
        <v>High Usage</v>
      </c>
    </row>
    <row r="2192" spans="1:9" x14ac:dyDescent="0.3">
      <c r="A2192">
        <v>12191</v>
      </c>
      <c r="B2192">
        <v>457</v>
      </c>
      <c r="C2192" s="2">
        <v>45062</v>
      </c>
      <c r="D2192" s="2" t="str">
        <f>TEXT(Table3[[#This Row],[usage_date]],"mmmm")</f>
        <v>May</v>
      </c>
      <c r="E2192" s="9">
        <f>YEAR(Table3[[#This Row],[usage_date]])</f>
        <v>2023</v>
      </c>
      <c r="F2192" s="14">
        <v>0.05</v>
      </c>
      <c r="G2192">
        <v>95</v>
      </c>
      <c r="H2192" t="s">
        <v>12</v>
      </c>
      <c r="I2192" t="str">
        <f t="shared" si="34"/>
        <v>Normal Usage</v>
      </c>
    </row>
    <row r="2193" spans="1:9" x14ac:dyDescent="0.3">
      <c r="A2193">
        <v>12192</v>
      </c>
      <c r="B2193">
        <v>160</v>
      </c>
      <c r="C2193" s="2">
        <v>45256</v>
      </c>
      <c r="D2193" s="2" t="str">
        <f>TEXT(Table3[[#This Row],[usage_date]],"mmmm")</f>
        <v>November</v>
      </c>
      <c r="E2193" s="9">
        <f>YEAR(Table3[[#This Row],[usage_date]])</f>
        <v>2023</v>
      </c>
      <c r="F2193" s="14">
        <v>3</v>
      </c>
      <c r="G2193">
        <v>122</v>
      </c>
      <c r="H2193" t="s">
        <v>13</v>
      </c>
      <c r="I2193" t="str">
        <f t="shared" si="34"/>
        <v>Normal Usage</v>
      </c>
    </row>
    <row r="2194" spans="1:9" x14ac:dyDescent="0.3">
      <c r="A2194">
        <v>12193</v>
      </c>
      <c r="B2194">
        <v>331</v>
      </c>
      <c r="C2194" s="2">
        <v>44812</v>
      </c>
      <c r="D2194" s="2" t="str">
        <f>TEXT(Table3[[#This Row],[usage_date]],"mmmm")</f>
        <v>September</v>
      </c>
      <c r="E2194" s="9">
        <f>YEAR(Table3[[#This Row],[usage_date]])</f>
        <v>2022</v>
      </c>
      <c r="F2194" s="14">
        <v>0.73</v>
      </c>
      <c r="G2194">
        <v>11</v>
      </c>
      <c r="H2194" t="s">
        <v>13</v>
      </c>
      <c r="I2194" t="str">
        <f t="shared" si="34"/>
        <v>Normal Usage</v>
      </c>
    </row>
    <row r="2195" spans="1:9" x14ac:dyDescent="0.3">
      <c r="A2195">
        <v>12194</v>
      </c>
      <c r="B2195">
        <v>264</v>
      </c>
      <c r="C2195" s="2">
        <v>45082</v>
      </c>
      <c r="D2195" s="2" t="str">
        <f>TEXT(Table3[[#This Row],[usage_date]],"mmmm")</f>
        <v>June</v>
      </c>
      <c r="E2195" s="9">
        <f>YEAR(Table3[[#This Row],[usage_date]])</f>
        <v>2023</v>
      </c>
      <c r="F2195" s="14">
        <v>0.1</v>
      </c>
      <c r="G2195">
        <v>3</v>
      </c>
      <c r="H2195" t="s">
        <v>13</v>
      </c>
      <c r="I2195" t="str">
        <f t="shared" si="34"/>
        <v>Normal Usage</v>
      </c>
    </row>
    <row r="2196" spans="1:9" x14ac:dyDescent="0.3">
      <c r="A2196">
        <v>12195</v>
      </c>
      <c r="B2196">
        <v>225</v>
      </c>
      <c r="C2196" s="2">
        <v>44640</v>
      </c>
      <c r="D2196" s="2" t="str">
        <f>TEXT(Table3[[#This Row],[usage_date]],"mmmm")</f>
        <v>March</v>
      </c>
      <c r="E2196" s="9">
        <f>YEAR(Table3[[#This Row],[usage_date]])</f>
        <v>2022</v>
      </c>
      <c r="F2196" s="14">
        <v>1.29</v>
      </c>
      <c r="G2196">
        <v>66</v>
      </c>
      <c r="H2196" t="s">
        <v>12</v>
      </c>
      <c r="I2196" t="str">
        <f t="shared" si="34"/>
        <v>Normal Usage</v>
      </c>
    </row>
    <row r="2197" spans="1:9" x14ac:dyDescent="0.3">
      <c r="A2197">
        <v>12196</v>
      </c>
      <c r="B2197">
        <v>471</v>
      </c>
      <c r="C2197" s="2">
        <v>44613</v>
      </c>
      <c r="D2197" s="2" t="str">
        <f>TEXT(Table3[[#This Row],[usage_date]],"mmmm")</f>
        <v>February</v>
      </c>
      <c r="E2197" s="9">
        <f>YEAR(Table3[[#This Row],[usage_date]])</f>
        <v>2022</v>
      </c>
      <c r="F2197" s="14">
        <v>6.84</v>
      </c>
      <c r="G2197">
        <v>144</v>
      </c>
      <c r="H2197" t="s">
        <v>12</v>
      </c>
      <c r="I2197" t="str">
        <f t="shared" si="34"/>
        <v>High Usage</v>
      </c>
    </row>
    <row r="2198" spans="1:9" x14ac:dyDescent="0.3">
      <c r="A2198">
        <v>12197</v>
      </c>
      <c r="B2198">
        <v>217</v>
      </c>
      <c r="C2198" s="2">
        <v>45459</v>
      </c>
      <c r="D2198" s="2" t="str">
        <f>TEXT(Table3[[#This Row],[usage_date]],"mmmm")</f>
        <v>June</v>
      </c>
      <c r="E2198" s="9">
        <f>YEAR(Table3[[#This Row],[usage_date]])</f>
        <v>2024</v>
      </c>
      <c r="F2198" s="14">
        <v>0.03</v>
      </c>
      <c r="G2198">
        <v>64</v>
      </c>
      <c r="H2198" t="s">
        <v>12</v>
      </c>
      <c r="I2198" t="str">
        <f t="shared" si="34"/>
        <v>Normal Usage</v>
      </c>
    </row>
    <row r="2199" spans="1:9" x14ac:dyDescent="0.3">
      <c r="A2199">
        <v>12198</v>
      </c>
      <c r="B2199">
        <v>456</v>
      </c>
      <c r="C2199" s="2">
        <v>45342</v>
      </c>
      <c r="D2199" s="2" t="str">
        <f>TEXT(Table3[[#This Row],[usage_date]],"mmmm")</f>
        <v>February</v>
      </c>
      <c r="E2199" s="9">
        <f>YEAR(Table3[[#This Row],[usage_date]])</f>
        <v>2024</v>
      </c>
      <c r="F2199" s="14">
        <v>2.2200000000000002</v>
      </c>
      <c r="G2199">
        <v>81</v>
      </c>
      <c r="H2199" t="s">
        <v>13</v>
      </c>
      <c r="I2199" t="str">
        <f t="shared" si="34"/>
        <v>Normal Usage</v>
      </c>
    </row>
    <row r="2200" spans="1:9" x14ac:dyDescent="0.3">
      <c r="A2200">
        <v>12199</v>
      </c>
      <c r="B2200">
        <v>45</v>
      </c>
      <c r="C2200" s="2">
        <v>44787</v>
      </c>
      <c r="D2200" s="2" t="str">
        <f>TEXT(Table3[[#This Row],[usage_date]],"mmmm")</f>
        <v>August</v>
      </c>
      <c r="E2200" s="9">
        <f>YEAR(Table3[[#This Row],[usage_date]])</f>
        <v>2022</v>
      </c>
      <c r="F2200" s="14">
        <v>1.74</v>
      </c>
      <c r="G2200">
        <v>104</v>
      </c>
      <c r="H2200" t="s">
        <v>13</v>
      </c>
      <c r="I2200" t="str">
        <f t="shared" si="34"/>
        <v>Normal Usage</v>
      </c>
    </row>
    <row r="2201" spans="1:9" x14ac:dyDescent="0.3">
      <c r="A2201">
        <v>12200</v>
      </c>
      <c r="B2201">
        <v>214</v>
      </c>
      <c r="C2201" s="2">
        <v>44612</v>
      </c>
      <c r="D2201" s="2" t="str">
        <f>TEXT(Table3[[#This Row],[usage_date]],"mmmm")</f>
        <v>February</v>
      </c>
      <c r="E2201" s="9">
        <f>YEAR(Table3[[#This Row],[usage_date]])</f>
        <v>2022</v>
      </c>
      <c r="F2201" s="14">
        <v>5.17</v>
      </c>
      <c r="G2201">
        <v>180</v>
      </c>
      <c r="H2201" t="s">
        <v>12</v>
      </c>
      <c r="I2201" t="str">
        <f t="shared" si="34"/>
        <v>Normal Usage</v>
      </c>
    </row>
    <row r="2202" spans="1:9" x14ac:dyDescent="0.3">
      <c r="A2202">
        <v>12201</v>
      </c>
      <c r="B2202">
        <v>59</v>
      </c>
      <c r="C2202" s="2">
        <v>44747</v>
      </c>
      <c r="D2202" s="2" t="str">
        <f>TEXT(Table3[[#This Row],[usage_date]],"mmmm")</f>
        <v>July</v>
      </c>
      <c r="E2202" s="9">
        <f>YEAR(Table3[[#This Row],[usage_date]])</f>
        <v>2022</v>
      </c>
      <c r="F2202" s="14">
        <v>0.22</v>
      </c>
      <c r="G2202">
        <v>104</v>
      </c>
      <c r="H2202" t="s">
        <v>13</v>
      </c>
      <c r="I2202" t="str">
        <f t="shared" si="34"/>
        <v>Normal Usage</v>
      </c>
    </row>
    <row r="2203" spans="1:9" x14ac:dyDescent="0.3">
      <c r="A2203">
        <v>12202</v>
      </c>
      <c r="B2203">
        <v>132</v>
      </c>
      <c r="C2203" s="2">
        <v>44595</v>
      </c>
      <c r="D2203" s="2" t="str">
        <f>TEXT(Table3[[#This Row],[usage_date]],"mmmm")</f>
        <v>February</v>
      </c>
      <c r="E2203" s="9">
        <f>YEAR(Table3[[#This Row],[usage_date]])</f>
        <v>2022</v>
      </c>
      <c r="F2203" s="14">
        <v>2.86</v>
      </c>
      <c r="G2203">
        <v>225</v>
      </c>
      <c r="H2203" t="s">
        <v>12</v>
      </c>
      <c r="I2203" t="str">
        <f t="shared" si="34"/>
        <v>Normal Usage</v>
      </c>
    </row>
    <row r="2204" spans="1:9" x14ac:dyDescent="0.3">
      <c r="A2204">
        <v>12203</v>
      </c>
      <c r="B2204">
        <v>104</v>
      </c>
      <c r="C2204" s="2">
        <v>45364</v>
      </c>
      <c r="D2204" s="2" t="str">
        <f>TEXT(Table3[[#This Row],[usage_date]],"mmmm")</f>
        <v>March</v>
      </c>
      <c r="E2204" s="9">
        <f>YEAR(Table3[[#This Row],[usage_date]])</f>
        <v>2024</v>
      </c>
      <c r="F2204" s="14">
        <v>2.85</v>
      </c>
      <c r="G2204">
        <v>27</v>
      </c>
      <c r="H2204" t="s">
        <v>12</v>
      </c>
      <c r="I2204" t="str">
        <f t="shared" si="34"/>
        <v>Normal Usage</v>
      </c>
    </row>
    <row r="2205" spans="1:9" x14ac:dyDescent="0.3">
      <c r="A2205">
        <v>12204</v>
      </c>
      <c r="B2205">
        <v>195</v>
      </c>
      <c r="C2205" s="2">
        <v>45303</v>
      </c>
      <c r="D2205" s="2" t="str">
        <f>TEXT(Table3[[#This Row],[usage_date]],"mmmm")</f>
        <v>January</v>
      </c>
      <c r="E2205" s="9">
        <f>YEAR(Table3[[#This Row],[usage_date]])</f>
        <v>2024</v>
      </c>
      <c r="F2205" s="14">
        <v>2.76</v>
      </c>
      <c r="G2205">
        <v>15</v>
      </c>
      <c r="H2205" t="s">
        <v>12</v>
      </c>
      <c r="I2205" t="str">
        <f t="shared" si="34"/>
        <v>Normal Usage</v>
      </c>
    </row>
    <row r="2206" spans="1:9" x14ac:dyDescent="0.3">
      <c r="A2206">
        <v>12205</v>
      </c>
      <c r="B2206">
        <v>413</v>
      </c>
      <c r="C2206" s="2">
        <v>44692</v>
      </c>
      <c r="D2206" s="2" t="str">
        <f>TEXT(Table3[[#This Row],[usage_date]],"mmmm")</f>
        <v>May</v>
      </c>
      <c r="E2206" s="9">
        <f>YEAR(Table3[[#This Row],[usage_date]])</f>
        <v>2022</v>
      </c>
      <c r="F2206" s="14">
        <v>7.13</v>
      </c>
      <c r="G2206">
        <v>276</v>
      </c>
      <c r="H2206" t="s">
        <v>13</v>
      </c>
      <c r="I2206" t="str">
        <f t="shared" si="34"/>
        <v>High Usage</v>
      </c>
    </row>
    <row r="2207" spans="1:9" x14ac:dyDescent="0.3">
      <c r="A2207">
        <v>12206</v>
      </c>
      <c r="B2207">
        <v>489</v>
      </c>
      <c r="C2207" s="2">
        <v>45193</v>
      </c>
      <c r="D2207" s="2" t="str">
        <f>TEXT(Table3[[#This Row],[usage_date]],"mmmm")</f>
        <v>September</v>
      </c>
      <c r="E2207" s="9">
        <f>YEAR(Table3[[#This Row],[usage_date]])</f>
        <v>2023</v>
      </c>
      <c r="F2207" s="14">
        <v>4.33</v>
      </c>
      <c r="G2207">
        <v>297</v>
      </c>
      <c r="H2207" t="s">
        <v>13</v>
      </c>
      <c r="I2207" t="str">
        <f t="shared" si="34"/>
        <v>Normal Usage</v>
      </c>
    </row>
    <row r="2208" spans="1:9" x14ac:dyDescent="0.3">
      <c r="A2208">
        <v>12207</v>
      </c>
      <c r="B2208">
        <v>157</v>
      </c>
      <c r="C2208" s="2">
        <v>45004</v>
      </c>
      <c r="D2208" s="2" t="str">
        <f>TEXT(Table3[[#This Row],[usage_date]],"mmmm")</f>
        <v>March</v>
      </c>
      <c r="E2208" s="9">
        <f>YEAR(Table3[[#This Row],[usage_date]])</f>
        <v>2023</v>
      </c>
      <c r="F2208" s="14">
        <v>0.11</v>
      </c>
      <c r="G2208">
        <v>53</v>
      </c>
      <c r="H2208" t="s">
        <v>13</v>
      </c>
      <c r="I2208" t="str">
        <f t="shared" si="34"/>
        <v>Normal Usage</v>
      </c>
    </row>
    <row r="2209" spans="1:9" x14ac:dyDescent="0.3">
      <c r="A2209">
        <v>12208</v>
      </c>
      <c r="B2209">
        <v>98</v>
      </c>
      <c r="C2209" s="2">
        <v>45399</v>
      </c>
      <c r="D2209" s="2" t="str">
        <f>TEXT(Table3[[#This Row],[usage_date]],"mmmm")</f>
        <v>April</v>
      </c>
      <c r="E2209" s="9">
        <f>YEAR(Table3[[#This Row],[usage_date]])</f>
        <v>2024</v>
      </c>
      <c r="F2209" s="14">
        <v>1.59</v>
      </c>
      <c r="G2209">
        <v>287</v>
      </c>
      <c r="H2209" t="s">
        <v>13</v>
      </c>
      <c r="I2209" t="str">
        <f t="shared" si="34"/>
        <v>Normal Usage</v>
      </c>
    </row>
    <row r="2210" spans="1:9" x14ac:dyDescent="0.3">
      <c r="A2210">
        <v>12209</v>
      </c>
      <c r="B2210">
        <v>226</v>
      </c>
      <c r="C2210" s="2">
        <v>45320</v>
      </c>
      <c r="D2210" s="2" t="str">
        <f>TEXT(Table3[[#This Row],[usage_date]],"mmmm")</f>
        <v>January</v>
      </c>
      <c r="E2210" s="9">
        <f>YEAR(Table3[[#This Row],[usage_date]])</f>
        <v>2024</v>
      </c>
      <c r="F2210" s="14">
        <v>1.27</v>
      </c>
      <c r="G2210">
        <v>113</v>
      </c>
      <c r="H2210" t="s">
        <v>12</v>
      </c>
      <c r="I2210" t="str">
        <f t="shared" si="34"/>
        <v>Normal Usage</v>
      </c>
    </row>
    <row r="2211" spans="1:9" x14ac:dyDescent="0.3">
      <c r="A2211">
        <v>12210</v>
      </c>
      <c r="B2211">
        <v>412</v>
      </c>
      <c r="C2211" s="2">
        <v>44993</v>
      </c>
      <c r="D2211" s="2" t="str">
        <f>TEXT(Table3[[#This Row],[usage_date]],"mmmm")</f>
        <v>March</v>
      </c>
      <c r="E2211" s="9">
        <f>YEAR(Table3[[#This Row],[usage_date]])</f>
        <v>2023</v>
      </c>
      <c r="F2211" s="14">
        <v>0.93</v>
      </c>
      <c r="G2211">
        <v>37</v>
      </c>
      <c r="H2211" t="s">
        <v>13</v>
      </c>
      <c r="I2211" t="str">
        <f t="shared" si="34"/>
        <v>Normal Usage</v>
      </c>
    </row>
    <row r="2212" spans="1:9" x14ac:dyDescent="0.3">
      <c r="A2212">
        <v>12211</v>
      </c>
      <c r="B2212">
        <v>205</v>
      </c>
      <c r="C2212" s="2">
        <v>45265</v>
      </c>
      <c r="D2212" s="2" t="str">
        <f>TEXT(Table3[[#This Row],[usage_date]],"mmmm")</f>
        <v>December</v>
      </c>
      <c r="E2212" s="9">
        <f>YEAR(Table3[[#This Row],[usage_date]])</f>
        <v>2023</v>
      </c>
      <c r="F2212" s="14">
        <v>1.5</v>
      </c>
      <c r="G2212">
        <v>229</v>
      </c>
      <c r="H2212" t="s">
        <v>12</v>
      </c>
      <c r="I2212" t="str">
        <f t="shared" si="34"/>
        <v>Normal Usage</v>
      </c>
    </row>
    <row r="2213" spans="1:9" x14ac:dyDescent="0.3">
      <c r="A2213">
        <v>12212</v>
      </c>
      <c r="B2213">
        <v>79</v>
      </c>
      <c r="C2213" s="2">
        <v>45058</v>
      </c>
      <c r="D2213" s="2" t="str">
        <f>TEXT(Table3[[#This Row],[usage_date]],"mmmm")</f>
        <v>May</v>
      </c>
      <c r="E2213" s="9">
        <f>YEAR(Table3[[#This Row],[usage_date]])</f>
        <v>2023</v>
      </c>
      <c r="F2213" s="14">
        <v>1.21</v>
      </c>
      <c r="G2213">
        <v>165</v>
      </c>
      <c r="H2213" t="s">
        <v>13</v>
      </c>
      <c r="I2213" t="str">
        <f t="shared" si="34"/>
        <v>Normal Usage</v>
      </c>
    </row>
    <row r="2214" spans="1:9" x14ac:dyDescent="0.3">
      <c r="A2214">
        <v>12213</v>
      </c>
      <c r="B2214">
        <v>124</v>
      </c>
      <c r="C2214" s="2">
        <v>44964</v>
      </c>
      <c r="D2214" s="2" t="str">
        <f>TEXT(Table3[[#This Row],[usage_date]],"mmmm")</f>
        <v>February</v>
      </c>
      <c r="E2214" s="9">
        <f>YEAR(Table3[[#This Row],[usage_date]])</f>
        <v>2023</v>
      </c>
      <c r="F2214" s="14">
        <v>1.42</v>
      </c>
      <c r="G2214">
        <v>181</v>
      </c>
      <c r="H2214" t="s">
        <v>13</v>
      </c>
      <c r="I2214" t="str">
        <f t="shared" si="34"/>
        <v>Normal Usage</v>
      </c>
    </row>
    <row r="2215" spans="1:9" x14ac:dyDescent="0.3">
      <c r="A2215">
        <v>12214</v>
      </c>
      <c r="B2215">
        <v>471</v>
      </c>
      <c r="C2215" s="2">
        <v>44884</v>
      </c>
      <c r="D2215" s="2" t="str">
        <f>TEXT(Table3[[#This Row],[usage_date]],"mmmm")</f>
        <v>November</v>
      </c>
      <c r="E2215" s="9">
        <f>YEAR(Table3[[#This Row],[usage_date]])</f>
        <v>2022</v>
      </c>
      <c r="F2215" s="14">
        <v>9.69</v>
      </c>
      <c r="G2215">
        <v>204</v>
      </c>
      <c r="H2215" t="s">
        <v>12</v>
      </c>
      <c r="I2215" t="str">
        <f t="shared" si="34"/>
        <v>High Usage</v>
      </c>
    </row>
    <row r="2216" spans="1:9" x14ac:dyDescent="0.3">
      <c r="A2216">
        <v>12215</v>
      </c>
      <c r="B2216">
        <v>428</v>
      </c>
      <c r="C2216" s="2">
        <v>44771</v>
      </c>
      <c r="D2216" s="2" t="str">
        <f>TEXT(Table3[[#This Row],[usage_date]],"mmmm")</f>
        <v>July</v>
      </c>
      <c r="E2216" s="9">
        <f>YEAR(Table3[[#This Row],[usage_date]])</f>
        <v>2022</v>
      </c>
      <c r="F2216" s="14">
        <v>0.23</v>
      </c>
      <c r="G2216">
        <v>244</v>
      </c>
      <c r="H2216" t="s">
        <v>12</v>
      </c>
      <c r="I2216" t="str">
        <f t="shared" si="34"/>
        <v>Normal Usage</v>
      </c>
    </row>
    <row r="2217" spans="1:9" x14ac:dyDescent="0.3">
      <c r="A2217">
        <v>12216</v>
      </c>
      <c r="B2217">
        <v>218</v>
      </c>
      <c r="C2217" s="2">
        <v>45176</v>
      </c>
      <c r="D2217" s="2" t="str">
        <f>TEXT(Table3[[#This Row],[usage_date]],"mmmm")</f>
        <v>September</v>
      </c>
      <c r="E2217" s="9">
        <f>YEAR(Table3[[#This Row],[usage_date]])</f>
        <v>2023</v>
      </c>
      <c r="F2217" s="14">
        <v>6.39</v>
      </c>
      <c r="G2217">
        <v>120</v>
      </c>
      <c r="H2217" t="s">
        <v>12</v>
      </c>
      <c r="I2217" t="str">
        <f t="shared" si="34"/>
        <v>High Usage</v>
      </c>
    </row>
    <row r="2218" spans="1:9" x14ac:dyDescent="0.3">
      <c r="A2218">
        <v>12217</v>
      </c>
      <c r="B2218">
        <v>4</v>
      </c>
      <c r="C2218" s="2">
        <v>44890</v>
      </c>
      <c r="D2218" s="2" t="str">
        <f>TEXT(Table3[[#This Row],[usage_date]],"mmmm")</f>
        <v>November</v>
      </c>
      <c r="E2218" s="9">
        <f>YEAR(Table3[[#This Row],[usage_date]])</f>
        <v>2022</v>
      </c>
      <c r="F2218" s="14">
        <v>1.64</v>
      </c>
      <c r="G2218">
        <v>258</v>
      </c>
      <c r="H2218" t="s">
        <v>13</v>
      </c>
      <c r="I2218" t="str">
        <f t="shared" si="34"/>
        <v>Normal Usage</v>
      </c>
    </row>
    <row r="2219" spans="1:9" x14ac:dyDescent="0.3">
      <c r="A2219">
        <v>12218</v>
      </c>
      <c r="B2219">
        <v>90</v>
      </c>
      <c r="C2219" s="2">
        <v>44933</v>
      </c>
      <c r="D2219" s="2" t="str">
        <f>TEXT(Table3[[#This Row],[usage_date]],"mmmm")</f>
        <v>January</v>
      </c>
      <c r="E2219" s="9">
        <f>YEAR(Table3[[#This Row],[usage_date]])</f>
        <v>2023</v>
      </c>
      <c r="F2219" s="14">
        <v>2.44</v>
      </c>
      <c r="G2219">
        <v>209</v>
      </c>
      <c r="H2219" t="s">
        <v>12</v>
      </c>
      <c r="I2219" t="str">
        <f t="shared" si="34"/>
        <v>Normal Usage</v>
      </c>
    </row>
    <row r="2220" spans="1:9" x14ac:dyDescent="0.3">
      <c r="A2220">
        <v>12219</v>
      </c>
      <c r="B2220">
        <v>104</v>
      </c>
      <c r="C2220" s="2">
        <v>45021</v>
      </c>
      <c r="D2220" s="2" t="str">
        <f>TEXT(Table3[[#This Row],[usage_date]],"mmmm")</f>
        <v>April</v>
      </c>
      <c r="E2220" s="9">
        <f>YEAR(Table3[[#This Row],[usage_date]])</f>
        <v>2023</v>
      </c>
      <c r="F2220" s="14">
        <v>4.43</v>
      </c>
      <c r="G2220">
        <v>295</v>
      </c>
      <c r="H2220" t="s">
        <v>12</v>
      </c>
      <c r="I2220" t="str">
        <f t="shared" si="34"/>
        <v>Normal Usage</v>
      </c>
    </row>
    <row r="2221" spans="1:9" x14ac:dyDescent="0.3">
      <c r="A2221">
        <v>12220</v>
      </c>
      <c r="B2221">
        <v>393</v>
      </c>
      <c r="C2221" s="2">
        <v>44694</v>
      </c>
      <c r="D2221" s="2" t="str">
        <f>TEXT(Table3[[#This Row],[usage_date]],"mmmm")</f>
        <v>May</v>
      </c>
      <c r="E2221" s="9">
        <f>YEAR(Table3[[#This Row],[usage_date]])</f>
        <v>2022</v>
      </c>
      <c r="F2221" s="14">
        <v>1.1200000000000001</v>
      </c>
      <c r="G2221">
        <v>193</v>
      </c>
      <c r="H2221" t="s">
        <v>13</v>
      </c>
      <c r="I2221" t="str">
        <f t="shared" si="34"/>
        <v>Normal Usage</v>
      </c>
    </row>
    <row r="2222" spans="1:9" x14ac:dyDescent="0.3">
      <c r="A2222">
        <v>12221</v>
      </c>
      <c r="B2222">
        <v>119</v>
      </c>
      <c r="C2222" s="2">
        <v>45396</v>
      </c>
      <c r="D2222" s="2" t="str">
        <f>TEXT(Table3[[#This Row],[usage_date]],"mmmm")</f>
        <v>April</v>
      </c>
      <c r="E2222" s="9">
        <f>YEAR(Table3[[#This Row],[usage_date]])</f>
        <v>2024</v>
      </c>
      <c r="F2222" s="14">
        <v>1.41</v>
      </c>
      <c r="G2222">
        <v>67</v>
      </c>
      <c r="H2222" t="s">
        <v>12</v>
      </c>
      <c r="I2222" t="str">
        <f t="shared" si="34"/>
        <v>Normal Usage</v>
      </c>
    </row>
    <row r="2223" spans="1:9" x14ac:dyDescent="0.3">
      <c r="A2223">
        <v>12222</v>
      </c>
      <c r="B2223">
        <v>133</v>
      </c>
      <c r="C2223" s="2">
        <v>45212</v>
      </c>
      <c r="D2223" s="2" t="str">
        <f>TEXT(Table3[[#This Row],[usage_date]],"mmmm")</f>
        <v>October</v>
      </c>
      <c r="E2223" s="9">
        <f>YEAR(Table3[[#This Row],[usage_date]])</f>
        <v>2023</v>
      </c>
      <c r="F2223" s="14">
        <v>1.32</v>
      </c>
      <c r="G2223">
        <v>113</v>
      </c>
      <c r="H2223" t="s">
        <v>12</v>
      </c>
      <c r="I2223" t="str">
        <f t="shared" si="34"/>
        <v>Normal Usage</v>
      </c>
    </row>
    <row r="2224" spans="1:9" x14ac:dyDescent="0.3">
      <c r="A2224">
        <v>12223</v>
      </c>
      <c r="B2224">
        <v>312</v>
      </c>
      <c r="C2224" s="2">
        <v>44682</v>
      </c>
      <c r="D2224" s="2" t="str">
        <f>TEXT(Table3[[#This Row],[usage_date]],"mmmm")</f>
        <v>May</v>
      </c>
      <c r="E2224" s="9">
        <f>YEAR(Table3[[#This Row],[usage_date]])</f>
        <v>2022</v>
      </c>
      <c r="F2224" s="14">
        <v>1.17</v>
      </c>
      <c r="G2224">
        <v>219</v>
      </c>
      <c r="H2224" t="s">
        <v>12</v>
      </c>
      <c r="I2224" t="str">
        <f t="shared" si="34"/>
        <v>Normal Usage</v>
      </c>
    </row>
    <row r="2225" spans="1:9" x14ac:dyDescent="0.3">
      <c r="A2225">
        <v>12224</v>
      </c>
      <c r="B2225">
        <v>96</v>
      </c>
      <c r="C2225" s="2">
        <v>45167</v>
      </c>
      <c r="D2225" s="2" t="str">
        <f>TEXT(Table3[[#This Row],[usage_date]],"mmmm")</f>
        <v>August</v>
      </c>
      <c r="E2225" s="9">
        <f>YEAR(Table3[[#This Row],[usage_date]])</f>
        <v>2023</v>
      </c>
      <c r="F2225" s="14">
        <v>6.49</v>
      </c>
      <c r="G2225">
        <v>219</v>
      </c>
      <c r="H2225" t="s">
        <v>12</v>
      </c>
      <c r="I2225" t="str">
        <f t="shared" si="34"/>
        <v>High Usage</v>
      </c>
    </row>
    <row r="2226" spans="1:9" x14ac:dyDescent="0.3">
      <c r="A2226">
        <v>12225</v>
      </c>
      <c r="B2226">
        <v>468</v>
      </c>
      <c r="C2226" s="2">
        <v>45013</v>
      </c>
      <c r="D2226" s="2" t="str">
        <f>TEXT(Table3[[#This Row],[usage_date]],"mmmm")</f>
        <v>March</v>
      </c>
      <c r="E2226" s="9">
        <f>YEAR(Table3[[#This Row],[usage_date]])</f>
        <v>2023</v>
      </c>
      <c r="F2226" s="14">
        <v>4.41</v>
      </c>
      <c r="G2226">
        <v>217</v>
      </c>
      <c r="H2226" t="s">
        <v>13</v>
      </c>
      <c r="I2226" t="str">
        <f t="shared" si="34"/>
        <v>Normal Usage</v>
      </c>
    </row>
    <row r="2227" spans="1:9" x14ac:dyDescent="0.3">
      <c r="A2227">
        <v>12226</v>
      </c>
      <c r="B2227">
        <v>434</v>
      </c>
      <c r="C2227" s="2">
        <v>44690</v>
      </c>
      <c r="D2227" s="2" t="str">
        <f>TEXT(Table3[[#This Row],[usage_date]],"mmmm")</f>
        <v>May</v>
      </c>
      <c r="E2227" s="9">
        <f>YEAR(Table3[[#This Row],[usage_date]])</f>
        <v>2022</v>
      </c>
      <c r="F2227" s="14">
        <v>0.28999999999999998</v>
      </c>
      <c r="G2227">
        <v>236</v>
      </c>
      <c r="H2227" t="s">
        <v>12</v>
      </c>
      <c r="I2227" t="str">
        <f t="shared" si="34"/>
        <v>Normal Usage</v>
      </c>
    </row>
    <row r="2228" spans="1:9" x14ac:dyDescent="0.3">
      <c r="A2228">
        <v>12227</v>
      </c>
      <c r="B2228">
        <v>331</v>
      </c>
      <c r="C2228" s="2">
        <v>44652</v>
      </c>
      <c r="D2228" s="2" t="str">
        <f>TEXT(Table3[[#This Row],[usage_date]],"mmmm")</f>
        <v>April</v>
      </c>
      <c r="E2228" s="9">
        <f>YEAR(Table3[[#This Row],[usage_date]])</f>
        <v>2022</v>
      </c>
      <c r="F2228" s="14">
        <v>0.28999999999999998</v>
      </c>
      <c r="G2228">
        <v>297</v>
      </c>
      <c r="H2228" t="s">
        <v>12</v>
      </c>
      <c r="I2228" t="str">
        <f t="shared" si="34"/>
        <v>Normal Usage</v>
      </c>
    </row>
    <row r="2229" spans="1:9" x14ac:dyDescent="0.3">
      <c r="A2229">
        <v>12228</v>
      </c>
      <c r="B2229">
        <v>143</v>
      </c>
      <c r="C2229" s="2">
        <v>45165</v>
      </c>
      <c r="D2229" s="2" t="str">
        <f>TEXT(Table3[[#This Row],[usage_date]],"mmmm")</f>
        <v>August</v>
      </c>
      <c r="E2229" s="9">
        <f>YEAR(Table3[[#This Row],[usage_date]])</f>
        <v>2023</v>
      </c>
      <c r="F2229" s="14">
        <v>1.4</v>
      </c>
      <c r="G2229">
        <v>93</v>
      </c>
      <c r="H2229" t="s">
        <v>12</v>
      </c>
      <c r="I2229" t="str">
        <f t="shared" si="34"/>
        <v>Normal Usage</v>
      </c>
    </row>
    <row r="2230" spans="1:9" x14ac:dyDescent="0.3">
      <c r="A2230">
        <v>12229</v>
      </c>
      <c r="B2230">
        <v>288</v>
      </c>
      <c r="C2230" s="2">
        <v>45136</v>
      </c>
      <c r="D2230" s="2" t="str">
        <f>TEXT(Table3[[#This Row],[usage_date]],"mmmm")</f>
        <v>July</v>
      </c>
      <c r="E2230" s="9">
        <f>YEAR(Table3[[#This Row],[usage_date]])</f>
        <v>2023</v>
      </c>
      <c r="F2230" s="14">
        <v>0.26</v>
      </c>
      <c r="G2230">
        <v>252</v>
      </c>
      <c r="H2230" t="s">
        <v>12</v>
      </c>
      <c r="I2230" t="str">
        <f t="shared" si="34"/>
        <v>Normal Usage</v>
      </c>
    </row>
    <row r="2231" spans="1:9" x14ac:dyDescent="0.3">
      <c r="A2231">
        <v>12230</v>
      </c>
      <c r="B2231">
        <v>28</v>
      </c>
      <c r="C2231" s="2">
        <v>44590</v>
      </c>
      <c r="D2231" s="2" t="str">
        <f>TEXT(Table3[[#This Row],[usage_date]],"mmmm")</f>
        <v>January</v>
      </c>
      <c r="E2231" s="9">
        <f>YEAR(Table3[[#This Row],[usage_date]])</f>
        <v>2022</v>
      </c>
      <c r="F2231" s="14">
        <v>2.41</v>
      </c>
      <c r="G2231">
        <v>214</v>
      </c>
      <c r="H2231" t="s">
        <v>13</v>
      </c>
      <c r="I2231" t="str">
        <f t="shared" si="34"/>
        <v>Normal Usage</v>
      </c>
    </row>
    <row r="2232" spans="1:9" x14ac:dyDescent="0.3">
      <c r="A2232">
        <v>12231</v>
      </c>
      <c r="B2232">
        <v>278</v>
      </c>
      <c r="C2232" s="2">
        <v>45283</v>
      </c>
      <c r="D2232" s="2" t="str">
        <f>TEXT(Table3[[#This Row],[usage_date]],"mmmm")</f>
        <v>December</v>
      </c>
      <c r="E2232" s="9">
        <f>YEAR(Table3[[#This Row],[usage_date]])</f>
        <v>2023</v>
      </c>
      <c r="F2232" s="14">
        <v>0.39</v>
      </c>
      <c r="G2232">
        <v>257</v>
      </c>
      <c r="H2232" t="s">
        <v>13</v>
      </c>
      <c r="I2232" t="str">
        <f t="shared" si="34"/>
        <v>Normal Usage</v>
      </c>
    </row>
    <row r="2233" spans="1:9" x14ac:dyDescent="0.3">
      <c r="A2233">
        <v>12232</v>
      </c>
      <c r="B2233">
        <v>233</v>
      </c>
      <c r="C2233" s="2">
        <v>45085</v>
      </c>
      <c r="D2233" s="2" t="str">
        <f>TEXT(Table3[[#This Row],[usage_date]],"mmmm")</f>
        <v>June</v>
      </c>
      <c r="E2233" s="9">
        <f>YEAR(Table3[[#This Row],[usage_date]])</f>
        <v>2023</v>
      </c>
      <c r="F2233" s="14">
        <v>1.85</v>
      </c>
      <c r="G2233">
        <v>239</v>
      </c>
      <c r="H2233" t="s">
        <v>12</v>
      </c>
      <c r="I2233" t="str">
        <f t="shared" si="34"/>
        <v>Normal Usage</v>
      </c>
    </row>
    <row r="2234" spans="1:9" x14ac:dyDescent="0.3">
      <c r="A2234">
        <v>12233</v>
      </c>
      <c r="B2234">
        <v>17</v>
      </c>
      <c r="C2234" s="2">
        <v>44894</v>
      </c>
      <c r="D2234" s="2" t="str">
        <f>TEXT(Table3[[#This Row],[usage_date]],"mmmm")</f>
        <v>November</v>
      </c>
      <c r="E2234" s="9">
        <f>YEAR(Table3[[#This Row],[usage_date]])</f>
        <v>2022</v>
      </c>
      <c r="F2234" s="14">
        <v>0.02</v>
      </c>
      <c r="G2234">
        <v>213</v>
      </c>
      <c r="H2234" t="s">
        <v>12</v>
      </c>
      <c r="I2234" t="str">
        <f t="shared" si="34"/>
        <v>Normal Usage</v>
      </c>
    </row>
    <row r="2235" spans="1:9" x14ac:dyDescent="0.3">
      <c r="A2235">
        <v>12234</v>
      </c>
      <c r="B2235">
        <v>59</v>
      </c>
      <c r="C2235" s="2">
        <v>44858</v>
      </c>
      <c r="D2235" s="2" t="str">
        <f>TEXT(Table3[[#This Row],[usage_date]],"mmmm")</f>
        <v>October</v>
      </c>
      <c r="E2235" s="9">
        <f>YEAR(Table3[[#This Row],[usage_date]])</f>
        <v>2022</v>
      </c>
      <c r="F2235" s="14">
        <v>0.95</v>
      </c>
      <c r="G2235">
        <v>97</v>
      </c>
      <c r="H2235" t="s">
        <v>12</v>
      </c>
      <c r="I2235" t="str">
        <f t="shared" si="34"/>
        <v>Normal Usage</v>
      </c>
    </row>
    <row r="2236" spans="1:9" x14ac:dyDescent="0.3">
      <c r="A2236">
        <v>12235</v>
      </c>
      <c r="B2236">
        <v>90</v>
      </c>
      <c r="C2236" s="2">
        <v>44691</v>
      </c>
      <c r="D2236" s="2" t="str">
        <f>TEXT(Table3[[#This Row],[usage_date]],"mmmm")</f>
        <v>May</v>
      </c>
      <c r="E2236" s="9">
        <f>YEAR(Table3[[#This Row],[usage_date]])</f>
        <v>2022</v>
      </c>
      <c r="F2236" s="14">
        <v>2.83</v>
      </c>
      <c r="G2236">
        <v>15</v>
      </c>
      <c r="H2236" t="s">
        <v>12</v>
      </c>
      <c r="I2236" t="str">
        <f t="shared" si="34"/>
        <v>Normal Usage</v>
      </c>
    </row>
    <row r="2237" spans="1:9" x14ac:dyDescent="0.3">
      <c r="A2237">
        <v>12236</v>
      </c>
      <c r="B2237">
        <v>492</v>
      </c>
      <c r="C2237" s="2">
        <v>44854</v>
      </c>
      <c r="D2237" s="2" t="str">
        <f>TEXT(Table3[[#This Row],[usage_date]],"mmmm")</f>
        <v>October</v>
      </c>
      <c r="E2237" s="9">
        <f>YEAR(Table3[[#This Row],[usage_date]])</f>
        <v>2022</v>
      </c>
      <c r="F2237" s="14">
        <v>1.65</v>
      </c>
      <c r="G2237">
        <v>153</v>
      </c>
      <c r="H2237" t="s">
        <v>12</v>
      </c>
      <c r="I2237" t="str">
        <f t="shared" si="34"/>
        <v>Normal Usage</v>
      </c>
    </row>
    <row r="2238" spans="1:9" x14ac:dyDescent="0.3">
      <c r="A2238">
        <v>12237</v>
      </c>
      <c r="B2238">
        <v>199</v>
      </c>
      <c r="C2238" s="2">
        <v>44734</v>
      </c>
      <c r="D2238" s="2" t="str">
        <f>TEXT(Table3[[#This Row],[usage_date]],"mmmm")</f>
        <v>June</v>
      </c>
      <c r="E2238" s="9">
        <f>YEAR(Table3[[#This Row],[usage_date]])</f>
        <v>2022</v>
      </c>
      <c r="F2238" s="14">
        <v>9.57</v>
      </c>
      <c r="G2238">
        <v>15</v>
      </c>
      <c r="H2238" t="s">
        <v>13</v>
      </c>
      <c r="I2238" t="str">
        <f t="shared" si="34"/>
        <v>High Usage</v>
      </c>
    </row>
    <row r="2239" spans="1:9" x14ac:dyDescent="0.3">
      <c r="A2239">
        <v>12238</v>
      </c>
      <c r="B2239">
        <v>362</v>
      </c>
      <c r="C2239" s="2">
        <v>45281</v>
      </c>
      <c r="D2239" s="2" t="str">
        <f>TEXT(Table3[[#This Row],[usage_date]],"mmmm")</f>
        <v>December</v>
      </c>
      <c r="E2239" s="9">
        <f>YEAR(Table3[[#This Row],[usage_date]])</f>
        <v>2023</v>
      </c>
      <c r="F2239" s="14">
        <v>5.18</v>
      </c>
      <c r="G2239">
        <v>197</v>
      </c>
      <c r="H2239" t="s">
        <v>12</v>
      </c>
      <c r="I2239" t="str">
        <f t="shared" si="34"/>
        <v>Normal Usage</v>
      </c>
    </row>
    <row r="2240" spans="1:9" x14ac:dyDescent="0.3">
      <c r="A2240">
        <v>12239</v>
      </c>
      <c r="B2240">
        <v>441</v>
      </c>
      <c r="C2240" s="2">
        <v>44585</v>
      </c>
      <c r="D2240" s="2" t="str">
        <f>TEXT(Table3[[#This Row],[usage_date]],"mmmm")</f>
        <v>January</v>
      </c>
      <c r="E2240" s="9">
        <f>YEAR(Table3[[#This Row],[usage_date]])</f>
        <v>2022</v>
      </c>
      <c r="F2240" s="14">
        <v>1.1100000000000001</v>
      </c>
      <c r="G2240">
        <v>107</v>
      </c>
      <c r="H2240" t="s">
        <v>12</v>
      </c>
      <c r="I2240" t="str">
        <f t="shared" si="34"/>
        <v>Normal Usage</v>
      </c>
    </row>
    <row r="2241" spans="1:9" x14ac:dyDescent="0.3">
      <c r="A2241">
        <v>12240</v>
      </c>
      <c r="B2241">
        <v>26</v>
      </c>
      <c r="C2241" s="2">
        <v>44660</v>
      </c>
      <c r="D2241" s="2" t="str">
        <f>TEXT(Table3[[#This Row],[usage_date]],"mmmm")</f>
        <v>April</v>
      </c>
      <c r="E2241" s="9">
        <f>YEAR(Table3[[#This Row],[usage_date]])</f>
        <v>2022</v>
      </c>
      <c r="F2241" s="14">
        <v>0.12</v>
      </c>
      <c r="G2241">
        <v>22</v>
      </c>
      <c r="H2241" t="s">
        <v>12</v>
      </c>
      <c r="I2241" t="str">
        <f t="shared" si="34"/>
        <v>Normal Usage</v>
      </c>
    </row>
    <row r="2242" spans="1:9" x14ac:dyDescent="0.3">
      <c r="A2242">
        <v>12241</v>
      </c>
      <c r="B2242">
        <v>25</v>
      </c>
      <c r="C2242" s="2">
        <v>44967</v>
      </c>
      <c r="D2242" s="2" t="str">
        <f>TEXT(Table3[[#This Row],[usage_date]],"mmmm")</f>
        <v>February</v>
      </c>
      <c r="E2242" s="9">
        <f>YEAR(Table3[[#This Row],[usage_date]])</f>
        <v>2023</v>
      </c>
      <c r="F2242" s="14">
        <v>4.67</v>
      </c>
      <c r="G2242">
        <v>41</v>
      </c>
      <c r="H2242" t="s">
        <v>12</v>
      </c>
      <c r="I2242" t="str">
        <f t="shared" ref="I2242:I2305" si="35">IF(F2242&gt;6,"High Usage","Normal Usage")</f>
        <v>Normal Usage</v>
      </c>
    </row>
    <row r="2243" spans="1:9" x14ac:dyDescent="0.3">
      <c r="A2243">
        <v>12242</v>
      </c>
      <c r="B2243">
        <v>394</v>
      </c>
      <c r="C2243" s="2">
        <v>44917</v>
      </c>
      <c r="D2243" s="2" t="str">
        <f>TEXT(Table3[[#This Row],[usage_date]],"mmmm")</f>
        <v>December</v>
      </c>
      <c r="E2243" s="9">
        <f>YEAR(Table3[[#This Row],[usage_date]])</f>
        <v>2022</v>
      </c>
      <c r="F2243" s="14">
        <v>6.05</v>
      </c>
      <c r="G2243">
        <v>36</v>
      </c>
      <c r="H2243" t="s">
        <v>13</v>
      </c>
      <c r="I2243" t="str">
        <f t="shared" si="35"/>
        <v>High Usage</v>
      </c>
    </row>
    <row r="2244" spans="1:9" x14ac:dyDescent="0.3">
      <c r="A2244">
        <v>12243</v>
      </c>
      <c r="B2244">
        <v>301</v>
      </c>
      <c r="C2244" s="2">
        <v>44700</v>
      </c>
      <c r="D2244" s="2" t="str">
        <f>TEXT(Table3[[#This Row],[usage_date]],"mmmm")</f>
        <v>May</v>
      </c>
      <c r="E2244" s="9">
        <f>YEAR(Table3[[#This Row],[usage_date]])</f>
        <v>2022</v>
      </c>
      <c r="F2244" s="14">
        <v>4.3</v>
      </c>
      <c r="G2244">
        <v>164</v>
      </c>
      <c r="H2244" t="s">
        <v>12</v>
      </c>
      <c r="I2244" t="str">
        <f t="shared" si="35"/>
        <v>Normal Usage</v>
      </c>
    </row>
    <row r="2245" spans="1:9" x14ac:dyDescent="0.3">
      <c r="A2245">
        <v>12244</v>
      </c>
      <c r="B2245">
        <v>339</v>
      </c>
      <c r="C2245" s="2">
        <v>45064</v>
      </c>
      <c r="D2245" s="2" t="str">
        <f>TEXT(Table3[[#This Row],[usage_date]],"mmmm")</f>
        <v>May</v>
      </c>
      <c r="E2245" s="9">
        <f>YEAR(Table3[[#This Row],[usage_date]])</f>
        <v>2023</v>
      </c>
      <c r="F2245" s="14">
        <v>0.34</v>
      </c>
      <c r="G2245">
        <v>115</v>
      </c>
      <c r="H2245" t="s">
        <v>12</v>
      </c>
      <c r="I2245" t="str">
        <f t="shared" si="35"/>
        <v>Normal Usage</v>
      </c>
    </row>
    <row r="2246" spans="1:9" x14ac:dyDescent="0.3">
      <c r="A2246">
        <v>12245</v>
      </c>
      <c r="B2246">
        <v>267</v>
      </c>
      <c r="C2246" s="2">
        <v>45387</v>
      </c>
      <c r="D2246" s="2" t="str">
        <f>TEXT(Table3[[#This Row],[usage_date]],"mmmm")</f>
        <v>April</v>
      </c>
      <c r="E2246" s="9">
        <f>YEAR(Table3[[#This Row],[usage_date]])</f>
        <v>2024</v>
      </c>
      <c r="F2246" s="14">
        <v>15.43</v>
      </c>
      <c r="G2246">
        <v>149</v>
      </c>
      <c r="H2246" t="s">
        <v>12</v>
      </c>
      <c r="I2246" t="str">
        <f t="shared" si="35"/>
        <v>High Usage</v>
      </c>
    </row>
    <row r="2247" spans="1:9" x14ac:dyDescent="0.3">
      <c r="A2247">
        <v>12246</v>
      </c>
      <c r="B2247">
        <v>461</v>
      </c>
      <c r="C2247" s="2">
        <v>44735</v>
      </c>
      <c r="D2247" s="2" t="str">
        <f>TEXT(Table3[[#This Row],[usage_date]],"mmmm")</f>
        <v>June</v>
      </c>
      <c r="E2247" s="9">
        <f>YEAR(Table3[[#This Row],[usage_date]])</f>
        <v>2022</v>
      </c>
      <c r="F2247" s="14">
        <v>0.75</v>
      </c>
      <c r="G2247">
        <v>5</v>
      </c>
      <c r="H2247" t="s">
        <v>13</v>
      </c>
      <c r="I2247" t="str">
        <f t="shared" si="35"/>
        <v>Normal Usage</v>
      </c>
    </row>
    <row r="2248" spans="1:9" x14ac:dyDescent="0.3">
      <c r="A2248">
        <v>12247</v>
      </c>
      <c r="B2248">
        <v>181</v>
      </c>
      <c r="C2248" s="2">
        <v>44590</v>
      </c>
      <c r="D2248" s="2" t="str">
        <f>TEXT(Table3[[#This Row],[usage_date]],"mmmm")</f>
        <v>January</v>
      </c>
      <c r="E2248" s="9">
        <f>YEAR(Table3[[#This Row],[usage_date]])</f>
        <v>2022</v>
      </c>
      <c r="F2248" s="14">
        <v>3.22</v>
      </c>
      <c r="G2248">
        <v>31</v>
      </c>
      <c r="H2248" t="s">
        <v>12</v>
      </c>
      <c r="I2248" t="str">
        <f t="shared" si="35"/>
        <v>Normal Usage</v>
      </c>
    </row>
    <row r="2249" spans="1:9" x14ac:dyDescent="0.3">
      <c r="A2249">
        <v>12248</v>
      </c>
      <c r="B2249">
        <v>456</v>
      </c>
      <c r="C2249" s="2">
        <v>45057</v>
      </c>
      <c r="D2249" s="2" t="str">
        <f>TEXT(Table3[[#This Row],[usage_date]],"mmmm")</f>
        <v>May</v>
      </c>
      <c r="E2249" s="9">
        <f>YEAR(Table3[[#This Row],[usage_date]])</f>
        <v>2023</v>
      </c>
      <c r="F2249" s="14">
        <v>5.97</v>
      </c>
      <c r="G2249">
        <v>144</v>
      </c>
      <c r="H2249" t="s">
        <v>13</v>
      </c>
      <c r="I2249" t="str">
        <f t="shared" si="35"/>
        <v>Normal Usage</v>
      </c>
    </row>
    <row r="2250" spans="1:9" x14ac:dyDescent="0.3">
      <c r="A2250">
        <v>12249</v>
      </c>
      <c r="B2250">
        <v>360</v>
      </c>
      <c r="C2250" s="2">
        <v>45216</v>
      </c>
      <c r="D2250" s="2" t="str">
        <f>TEXT(Table3[[#This Row],[usage_date]],"mmmm")</f>
        <v>October</v>
      </c>
      <c r="E2250" s="9">
        <f>YEAR(Table3[[#This Row],[usage_date]])</f>
        <v>2023</v>
      </c>
      <c r="F2250" s="14">
        <v>0.67</v>
      </c>
      <c r="G2250">
        <v>293</v>
      </c>
      <c r="H2250" t="s">
        <v>12</v>
      </c>
      <c r="I2250" t="str">
        <f t="shared" si="35"/>
        <v>Normal Usage</v>
      </c>
    </row>
    <row r="2251" spans="1:9" x14ac:dyDescent="0.3">
      <c r="A2251">
        <v>12250</v>
      </c>
      <c r="B2251">
        <v>68</v>
      </c>
      <c r="C2251" s="2">
        <v>45389</v>
      </c>
      <c r="D2251" s="2" t="str">
        <f>TEXT(Table3[[#This Row],[usage_date]],"mmmm")</f>
        <v>April</v>
      </c>
      <c r="E2251" s="9">
        <f>YEAR(Table3[[#This Row],[usage_date]])</f>
        <v>2024</v>
      </c>
      <c r="F2251" s="14">
        <v>5.97</v>
      </c>
      <c r="G2251">
        <v>292</v>
      </c>
      <c r="H2251" t="s">
        <v>13</v>
      </c>
      <c r="I2251" t="str">
        <f t="shared" si="35"/>
        <v>Normal Usage</v>
      </c>
    </row>
    <row r="2252" spans="1:9" x14ac:dyDescent="0.3">
      <c r="A2252">
        <v>12251</v>
      </c>
      <c r="B2252">
        <v>495</v>
      </c>
      <c r="C2252" s="2">
        <v>44912</v>
      </c>
      <c r="D2252" s="2" t="str">
        <f>TEXT(Table3[[#This Row],[usage_date]],"mmmm")</f>
        <v>December</v>
      </c>
      <c r="E2252" s="9">
        <f>YEAR(Table3[[#This Row],[usage_date]])</f>
        <v>2022</v>
      </c>
      <c r="F2252" s="14">
        <v>0.93</v>
      </c>
      <c r="G2252">
        <v>176</v>
      </c>
      <c r="H2252" t="s">
        <v>13</v>
      </c>
      <c r="I2252" t="str">
        <f t="shared" si="35"/>
        <v>Normal Usage</v>
      </c>
    </row>
    <row r="2253" spans="1:9" x14ac:dyDescent="0.3">
      <c r="A2253">
        <v>12252</v>
      </c>
      <c r="B2253">
        <v>351</v>
      </c>
      <c r="C2253" s="2">
        <v>45115</v>
      </c>
      <c r="D2253" s="2" t="str">
        <f>TEXT(Table3[[#This Row],[usage_date]],"mmmm")</f>
        <v>July</v>
      </c>
      <c r="E2253" s="9">
        <f>YEAR(Table3[[#This Row],[usage_date]])</f>
        <v>2023</v>
      </c>
      <c r="F2253" s="14">
        <v>9.3699999999999992</v>
      </c>
      <c r="G2253">
        <v>176</v>
      </c>
      <c r="H2253" t="s">
        <v>12</v>
      </c>
      <c r="I2253" t="str">
        <f t="shared" si="35"/>
        <v>High Usage</v>
      </c>
    </row>
    <row r="2254" spans="1:9" x14ac:dyDescent="0.3">
      <c r="A2254">
        <v>12253</v>
      </c>
      <c r="B2254">
        <v>412</v>
      </c>
      <c r="C2254" s="2">
        <v>44860</v>
      </c>
      <c r="D2254" s="2" t="str">
        <f>TEXT(Table3[[#This Row],[usage_date]],"mmmm")</f>
        <v>October</v>
      </c>
      <c r="E2254" s="9">
        <f>YEAR(Table3[[#This Row],[usage_date]])</f>
        <v>2022</v>
      </c>
      <c r="F2254" s="14">
        <v>0.83</v>
      </c>
      <c r="G2254">
        <v>60</v>
      </c>
      <c r="H2254" t="s">
        <v>13</v>
      </c>
      <c r="I2254" t="str">
        <f t="shared" si="35"/>
        <v>Normal Usage</v>
      </c>
    </row>
    <row r="2255" spans="1:9" x14ac:dyDescent="0.3">
      <c r="A2255">
        <v>12254</v>
      </c>
      <c r="B2255">
        <v>459</v>
      </c>
      <c r="C2255" s="2">
        <v>45281</v>
      </c>
      <c r="D2255" s="2" t="str">
        <f>TEXT(Table3[[#This Row],[usage_date]],"mmmm")</f>
        <v>December</v>
      </c>
      <c r="E2255" s="9">
        <f>YEAR(Table3[[#This Row],[usage_date]])</f>
        <v>2023</v>
      </c>
      <c r="F2255" s="14">
        <v>7.67</v>
      </c>
      <c r="G2255">
        <v>76</v>
      </c>
      <c r="H2255" t="s">
        <v>12</v>
      </c>
      <c r="I2255" t="str">
        <f t="shared" si="35"/>
        <v>High Usage</v>
      </c>
    </row>
    <row r="2256" spans="1:9" x14ac:dyDescent="0.3">
      <c r="A2256">
        <v>12255</v>
      </c>
      <c r="B2256">
        <v>491</v>
      </c>
      <c r="C2256" s="2">
        <v>45403</v>
      </c>
      <c r="D2256" s="2" t="str">
        <f>TEXT(Table3[[#This Row],[usage_date]],"mmmm")</f>
        <v>April</v>
      </c>
      <c r="E2256" s="9">
        <f>YEAR(Table3[[#This Row],[usage_date]])</f>
        <v>2024</v>
      </c>
      <c r="F2256" s="14">
        <v>0.14000000000000001</v>
      </c>
      <c r="G2256">
        <v>85</v>
      </c>
      <c r="H2256" t="s">
        <v>12</v>
      </c>
      <c r="I2256" t="str">
        <f t="shared" si="35"/>
        <v>Normal Usage</v>
      </c>
    </row>
    <row r="2257" spans="1:9" x14ac:dyDescent="0.3">
      <c r="A2257">
        <v>12256</v>
      </c>
      <c r="B2257">
        <v>321</v>
      </c>
      <c r="C2257" s="2">
        <v>44753</v>
      </c>
      <c r="D2257" s="2" t="str">
        <f>TEXT(Table3[[#This Row],[usage_date]],"mmmm")</f>
        <v>July</v>
      </c>
      <c r="E2257" s="9">
        <f>YEAR(Table3[[#This Row],[usage_date]])</f>
        <v>2022</v>
      </c>
      <c r="F2257" s="14">
        <v>3.09</v>
      </c>
      <c r="G2257">
        <v>190</v>
      </c>
      <c r="H2257" t="s">
        <v>12</v>
      </c>
      <c r="I2257" t="str">
        <f t="shared" si="35"/>
        <v>Normal Usage</v>
      </c>
    </row>
    <row r="2258" spans="1:9" x14ac:dyDescent="0.3">
      <c r="A2258">
        <v>12257</v>
      </c>
      <c r="B2258">
        <v>49</v>
      </c>
      <c r="C2258" s="2">
        <v>45233</v>
      </c>
      <c r="D2258" s="2" t="str">
        <f>TEXT(Table3[[#This Row],[usage_date]],"mmmm")</f>
        <v>November</v>
      </c>
      <c r="E2258" s="9">
        <f>YEAR(Table3[[#This Row],[usage_date]])</f>
        <v>2023</v>
      </c>
      <c r="F2258" s="14">
        <v>1.9</v>
      </c>
      <c r="G2258">
        <v>6</v>
      </c>
      <c r="H2258" t="s">
        <v>12</v>
      </c>
      <c r="I2258" t="str">
        <f t="shared" si="35"/>
        <v>Normal Usage</v>
      </c>
    </row>
    <row r="2259" spans="1:9" x14ac:dyDescent="0.3">
      <c r="A2259">
        <v>12258</v>
      </c>
      <c r="B2259">
        <v>175</v>
      </c>
      <c r="C2259" s="2">
        <v>44625</v>
      </c>
      <c r="D2259" s="2" t="str">
        <f>TEXT(Table3[[#This Row],[usage_date]],"mmmm")</f>
        <v>March</v>
      </c>
      <c r="E2259" s="9">
        <f>YEAR(Table3[[#This Row],[usage_date]])</f>
        <v>2022</v>
      </c>
      <c r="F2259" s="14">
        <v>1.62</v>
      </c>
      <c r="G2259">
        <v>84</v>
      </c>
      <c r="H2259" t="s">
        <v>12</v>
      </c>
      <c r="I2259" t="str">
        <f t="shared" si="35"/>
        <v>Normal Usage</v>
      </c>
    </row>
    <row r="2260" spans="1:9" x14ac:dyDescent="0.3">
      <c r="A2260">
        <v>12259</v>
      </c>
      <c r="B2260">
        <v>52</v>
      </c>
      <c r="C2260" s="2">
        <v>45316</v>
      </c>
      <c r="D2260" s="2" t="str">
        <f>TEXT(Table3[[#This Row],[usage_date]],"mmmm")</f>
        <v>January</v>
      </c>
      <c r="E2260" s="9">
        <f>YEAR(Table3[[#This Row],[usage_date]])</f>
        <v>2024</v>
      </c>
      <c r="F2260" s="14">
        <v>0.63</v>
      </c>
      <c r="G2260">
        <v>261</v>
      </c>
      <c r="H2260" t="s">
        <v>13</v>
      </c>
      <c r="I2260" t="str">
        <f t="shared" si="35"/>
        <v>Normal Usage</v>
      </c>
    </row>
    <row r="2261" spans="1:9" x14ac:dyDescent="0.3">
      <c r="A2261">
        <v>12260</v>
      </c>
      <c r="B2261">
        <v>102</v>
      </c>
      <c r="C2261" s="2">
        <v>45331</v>
      </c>
      <c r="D2261" s="2" t="str">
        <f>TEXT(Table3[[#This Row],[usage_date]],"mmmm")</f>
        <v>February</v>
      </c>
      <c r="E2261" s="9">
        <f>YEAR(Table3[[#This Row],[usage_date]])</f>
        <v>2024</v>
      </c>
      <c r="F2261" s="14">
        <v>3.06</v>
      </c>
      <c r="G2261">
        <v>258</v>
      </c>
      <c r="H2261" t="s">
        <v>13</v>
      </c>
      <c r="I2261" t="str">
        <f t="shared" si="35"/>
        <v>Normal Usage</v>
      </c>
    </row>
    <row r="2262" spans="1:9" x14ac:dyDescent="0.3">
      <c r="A2262">
        <v>12261</v>
      </c>
      <c r="B2262">
        <v>216</v>
      </c>
      <c r="C2262" s="2">
        <v>45225</v>
      </c>
      <c r="D2262" s="2" t="str">
        <f>TEXT(Table3[[#This Row],[usage_date]],"mmmm")</f>
        <v>October</v>
      </c>
      <c r="E2262" s="9">
        <f>YEAR(Table3[[#This Row],[usage_date]])</f>
        <v>2023</v>
      </c>
      <c r="F2262" s="14">
        <v>0.53</v>
      </c>
      <c r="G2262">
        <v>46</v>
      </c>
      <c r="H2262" t="s">
        <v>12</v>
      </c>
      <c r="I2262" t="str">
        <f t="shared" si="35"/>
        <v>Normal Usage</v>
      </c>
    </row>
    <row r="2263" spans="1:9" x14ac:dyDescent="0.3">
      <c r="A2263">
        <v>12262</v>
      </c>
      <c r="B2263">
        <v>438</v>
      </c>
      <c r="C2263" s="2">
        <v>44776</v>
      </c>
      <c r="D2263" s="2" t="str">
        <f>TEXT(Table3[[#This Row],[usage_date]],"mmmm")</f>
        <v>August</v>
      </c>
      <c r="E2263" s="9">
        <f>YEAR(Table3[[#This Row],[usage_date]])</f>
        <v>2022</v>
      </c>
      <c r="F2263" s="14">
        <v>2.0099999999999998</v>
      </c>
      <c r="G2263">
        <v>93</v>
      </c>
      <c r="H2263" t="s">
        <v>13</v>
      </c>
      <c r="I2263" t="str">
        <f t="shared" si="35"/>
        <v>Normal Usage</v>
      </c>
    </row>
    <row r="2264" spans="1:9" x14ac:dyDescent="0.3">
      <c r="A2264">
        <v>12263</v>
      </c>
      <c r="B2264">
        <v>188</v>
      </c>
      <c r="C2264" s="2">
        <v>45395</v>
      </c>
      <c r="D2264" s="2" t="str">
        <f>TEXT(Table3[[#This Row],[usage_date]],"mmmm")</f>
        <v>April</v>
      </c>
      <c r="E2264" s="9">
        <f>YEAR(Table3[[#This Row],[usage_date]])</f>
        <v>2024</v>
      </c>
      <c r="F2264" s="14">
        <v>0.73</v>
      </c>
      <c r="G2264">
        <v>223</v>
      </c>
      <c r="H2264" t="s">
        <v>12</v>
      </c>
      <c r="I2264" t="str">
        <f t="shared" si="35"/>
        <v>Normal Usage</v>
      </c>
    </row>
    <row r="2265" spans="1:9" x14ac:dyDescent="0.3">
      <c r="A2265">
        <v>12264</v>
      </c>
      <c r="B2265">
        <v>57</v>
      </c>
      <c r="C2265" s="2">
        <v>44727</v>
      </c>
      <c r="D2265" s="2" t="str">
        <f>TEXT(Table3[[#This Row],[usage_date]],"mmmm")</f>
        <v>June</v>
      </c>
      <c r="E2265" s="9">
        <f>YEAR(Table3[[#This Row],[usage_date]])</f>
        <v>2022</v>
      </c>
      <c r="F2265" s="14">
        <v>7.79</v>
      </c>
      <c r="G2265">
        <v>278</v>
      </c>
      <c r="H2265" t="s">
        <v>12</v>
      </c>
      <c r="I2265" t="str">
        <f t="shared" si="35"/>
        <v>High Usage</v>
      </c>
    </row>
    <row r="2266" spans="1:9" x14ac:dyDescent="0.3">
      <c r="A2266">
        <v>12265</v>
      </c>
      <c r="B2266">
        <v>47</v>
      </c>
      <c r="C2266" s="2">
        <v>45104</v>
      </c>
      <c r="D2266" s="2" t="str">
        <f>TEXT(Table3[[#This Row],[usage_date]],"mmmm")</f>
        <v>June</v>
      </c>
      <c r="E2266" s="9">
        <f>YEAR(Table3[[#This Row],[usage_date]])</f>
        <v>2023</v>
      </c>
      <c r="F2266" s="14">
        <v>7.0000000000000007E-2</v>
      </c>
      <c r="G2266">
        <v>2</v>
      </c>
      <c r="H2266" t="s">
        <v>13</v>
      </c>
      <c r="I2266" t="str">
        <f t="shared" si="35"/>
        <v>Normal Usage</v>
      </c>
    </row>
    <row r="2267" spans="1:9" x14ac:dyDescent="0.3">
      <c r="A2267">
        <v>12266</v>
      </c>
      <c r="B2267">
        <v>159</v>
      </c>
      <c r="C2267" s="2">
        <v>45444</v>
      </c>
      <c r="D2267" s="2" t="str">
        <f>TEXT(Table3[[#This Row],[usage_date]],"mmmm")</f>
        <v>June</v>
      </c>
      <c r="E2267" s="9">
        <f>YEAR(Table3[[#This Row],[usage_date]])</f>
        <v>2024</v>
      </c>
      <c r="F2267" s="14">
        <v>0.56000000000000005</v>
      </c>
      <c r="G2267">
        <v>128</v>
      </c>
      <c r="H2267" t="s">
        <v>12</v>
      </c>
      <c r="I2267" t="str">
        <f t="shared" si="35"/>
        <v>Normal Usage</v>
      </c>
    </row>
    <row r="2268" spans="1:9" x14ac:dyDescent="0.3">
      <c r="A2268">
        <v>12267</v>
      </c>
      <c r="B2268">
        <v>489</v>
      </c>
      <c r="C2268" s="2">
        <v>44793</v>
      </c>
      <c r="D2268" s="2" t="str">
        <f>TEXT(Table3[[#This Row],[usage_date]],"mmmm")</f>
        <v>August</v>
      </c>
      <c r="E2268" s="9">
        <f>YEAR(Table3[[#This Row],[usage_date]])</f>
        <v>2022</v>
      </c>
      <c r="F2268" s="14">
        <v>0.69</v>
      </c>
      <c r="G2268">
        <v>248</v>
      </c>
      <c r="H2268" t="s">
        <v>12</v>
      </c>
      <c r="I2268" t="str">
        <f t="shared" si="35"/>
        <v>Normal Usage</v>
      </c>
    </row>
    <row r="2269" spans="1:9" x14ac:dyDescent="0.3">
      <c r="A2269">
        <v>12268</v>
      </c>
      <c r="B2269">
        <v>174</v>
      </c>
      <c r="C2269" s="2">
        <v>45355</v>
      </c>
      <c r="D2269" s="2" t="str">
        <f>TEXT(Table3[[#This Row],[usage_date]],"mmmm")</f>
        <v>March</v>
      </c>
      <c r="E2269" s="9">
        <f>YEAR(Table3[[#This Row],[usage_date]])</f>
        <v>2024</v>
      </c>
      <c r="F2269" s="14">
        <v>1.34</v>
      </c>
      <c r="G2269">
        <v>228</v>
      </c>
      <c r="H2269" t="s">
        <v>13</v>
      </c>
      <c r="I2269" t="str">
        <f t="shared" si="35"/>
        <v>Normal Usage</v>
      </c>
    </row>
    <row r="2270" spans="1:9" x14ac:dyDescent="0.3">
      <c r="A2270">
        <v>12269</v>
      </c>
      <c r="B2270">
        <v>242</v>
      </c>
      <c r="C2270" s="2">
        <v>45102</v>
      </c>
      <c r="D2270" s="2" t="str">
        <f>TEXT(Table3[[#This Row],[usage_date]],"mmmm")</f>
        <v>June</v>
      </c>
      <c r="E2270" s="9">
        <f>YEAR(Table3[[#This Row],[usage_date]])</f>
        <v>2023</v>
      </c>
      <c r="F2270" s="14">
        <v>0.66</v>
      </c>
      <c r="G2270">
        <v>130</v>
      </c>
      <c r="H2270" t="s">
        <v>12</v>
      </c>
      <c r="I2270" t="str">
        <f t="shared" si="35"/>
        <v>Normal Usage</v>
      </c>
    </row>
    <row r="2271" spans="1:9" x14ac:dyDescent="0.3">
      <c r="A2271">
        <v>12270</v>
      </c>
      <c r="B2271">
        <v>282</v>
      </c>
      <c r="C2271" s="2">
        <v>44756</v>
      </c>
      <c r="D2271" s="2" t="str">
        <f>TEXT(Table3[[#This Row],[usage_date]],"mmmm")</f>
        <v>July</v>
      </c>
      <c r="E2271" s="9">
        <f>YEAR(Table3[[#This Row],[usage_date]])</f>
        <v>2022</v>
      </c>
      <c r="F2271" s="14">
        <v>1.69</v>
      </c>
      <c r="G2271">
        <v>227</v>
      </c>
      <c r="H2271" t="s">
        <v>12</v>
      </c>
      <c r="I2271" t="str">
        <f t="shared" si="35"/>
        <v>Normal Usage</v>
      </c>
    </row>
    <row r="2272" spans="1:9" x14ac:dyDescent="0.3">
      <c r="A2272">
        <v>12271</v>
      </c>
      <c r="B2272">
        <v>241</v>
      </c>
      <c r="C2272" s="2">
        <v>45067</v>
      </c>
      <c r="D2272" s="2" t="str">
        <f>TEXT(Table3[[#This Row],[usage_date]],"mmmm")</f>
        <v>May</v>
      </c>
      <c r="E2272" s="9">
        <f>YEAR(Table3[[#This Row],[usage_date]])</f>
        <v>2023</v>
      </c>
      <c r="F2272" s="14">
        <v>5.15</v>
      </c>
      <c r="G2272">
        <v>176</v>
      </c>
      <c r="H2272" t="s">
        <v>12</v>
      </c>
      <c r="I2272" t="str">
        <f t="shared" si="35"/>
        <v>Normal Usage</v>
      </c>
    </row>
    <row r="2273" spans="1:9" x14ac:dyDescent="0.3">
      <c r="A2273">
        <v>12272</v>
      </c>
      <c r="B2273">
        <v>370</v>
      </c>
      <c r="C2273" s="2">
        <v>44895</v>
      </c>
      <c r="D2273" s="2" t="str">
        <f>TEXT(Table3[[#This Row],[usage_date]],"mmmm")</f>
        <v>November</v>
      </c>
      <c r="E2273" s="9">
        <f>YEAR(Table3[[#This Row],[usage_date]])</f>
        <v>2022</v>
      </c>
      <c r="F2273" s="14">
        <v>3.11</v>
      </c>
      <c r="G2273">
        <v>30</v>
      </c>
      <c r="H2273" t="s">
        <v>12</v>
      </c>
      <c r="I2273" t="str">
        <f t="shared" si="35"/>
        <v>Normal Usage</v>
      </c>
    </row>
    <row r="2274" spans="1:9" x14ac:dyDescent="0.3">
      <c r="A2274">
        <v>12273</v>
      </c>
      <c r="B2274">
        <v>5</v>
      </c>
      <c r="C2274" s="2">
        <v>45329</v>
      </c>
      <c r="D2274" s="2" t="str">
        <f>TEXT(Table3[[#This Row],[usage_date]],"mmmm")</f>
        <v>February</v>
      </c>
      <c r="E2274" s="9">
        <f>YEAR(Table3[[#This Row],[usage_date]])</f>
        <v>2024</v>
      </c>
      <c r="F2274" s="14">
        <v>2.17</v>
      </c>
      <c r="G2274">
        <v>65</v>
      </c>
      <c r="H2274" t="s">
        <v>13</v>
      </c>
      <c r="I2274" t="str">
        <f t="shared" si="35"/>
        <v>Normal Usage</v>
      </c>
    </row>
    <row r="2275" spans="1:9" x14ac:dyDescent="0.3">
      <c r="A2275">
        <v>12274</v>
      </c>
      <c r="B2275">
        <v>84</v>
      </c>
      <c r="C2275" s="2">
        <v>45354</v>
      </c>
      <c r="D2275" s="2" t="str">
        <f>TEXT(Table3[[#This Row],[usage_date]],"mmmm")</f>
        <v>March</v>
      </c>
      <c r="E2275" s="9">
        <f>YEAR(Table3[[#This Row],[usage_date]])</f>
        <v>2024</v>
      </c>
      <c r="F2275" s="14">
        <v>0.23</v>
      </c>
      <c r="G2275">
        <v>205</v>
      </c>
      <c r="H2275" t="s">
        <v>12</v>
      </c>
      <c r="I2275" t="str">
        <f t="shared" si="35"/>
        <v>Normal Usage</v>
      </c>
    </row>
    <row r="2276" spans="1:9" x14ac:dyDescent="0.3">
      <c r="A2276">
        <v>12275</v>
      </c>
      <c r="B2276">
        <v>308</v>
      </c>
      <c r="C2276" s="2">
        <v>44865</v>
      </c>
      <c r="D2276" s="2" t="str">
        <f>TEXT(Table3[[#This Row],[usage_date]],"mmmm")</f>
        <v>October</v>
      </c>
      <c r="E2276" s="9">
        <f>YEAR(Table3[[#This Row],[usage_date]])</f>
        <v>2022</v>
      </c>
      <c r="F2276" s="14">
        <v>2.96</v>
      </c>
      <c r="G2276">
        <v>100</v>
      </c>
      <c r="H2276" t="s">
        <v>12</v>
      </c>
      <c r="I2276" t="str">
        <f t="shared" si="35"/>
        <v>Normal Usage</v>
      </c>
    </row>
    <row r="2277" spans="1:9" x14ac:dyDescent="0.3">
      <c r="A2277">
        <v>12276</v>
      </c>
      <c r="B2277">
        <v>361</v>
      </c>
      <c r="C2277" s="2">
        <v>45394</v>
      </c>
      <c r="D2277" s="2" t="str">
        <f>TEXT(Table3[[#This Row],[usage_date]],"mmmm")</f>
        <v>April</v>
      </c>
      <c r="E2277" s="9">
        <f>YEAR(Table3[[#This Row],[usage_date]])</f>
        <v>2024</v>
      </c>
      <c r="F2277" s="14">
        <v>0.46</v>
      </c>
      <c r="G2277">
        <v>30</v>
      </c>
      <c r="H2277" t="s">
        <v>12</v>
      </c>
      <c r="I2277" t="str">
        <f t="shared" si="35"/>
        <v>Normal Usage</v>
      </c>
    </row>
    <row r="2278" spans="1:9" x14ac:dyDescent="0.3">
      <c r="A2278">
        <v>12277</v>
      </c>
      <c r="B2278">
        <v>459</v>
      </c>
      <c r="C2278" s="2">
        <v>44998</v>
      </c>
      <c r="D2278" s="2" t="str">
        <f>TEXT(Table3[[#This Row],[usage_date]],"mmmm")</f>
        <v>March</v>
      </c>
      <c r="E2278" s="9">
        <f>YEAR(Table3[[#This Row],[usage_date]])</f>
        <v>2023</v>
      </c>
      <c r="F2278" s="14">
        <v>3.86</v>
      </c>
      <c r="G2278">
        <v>190</v>
      </c>
      <c r="H2278" t="s">
        <v>12</v>
      </c>
      <c r="I2278" t="str">
        <f t="shared" si="35"/>
        <v>Normal Usage</v>
      </c>
    </row>
    <row r="2279" spans="1:9" x14ac:dyDescent="0.3">
      <c r="A2279">
        <v>12278</v>
      </c>
      <c r="B2279">
        <v>248</v>
      </c>
      <c r="C2279" s="2">
        <v>44884</v>
      </c>
      <c r="D2279" s="2" t="str">
        <f>TEXT(Table3[[#This Row],[usage_date]],"mmmm")</f>
        <v>November</v>
      </c>
      <c r="E2279" s="9">
        <f>YEAR(Table3[[#This Row],[usage_date]])</f>
        <v>2022</v>
      </c>
      <c r="F2279" s="14">
        <v>0.72</v>
      </c>
      <c r="G2279">
        <v>65</v>
      </c>
      <c r="H2279" t="s">
        <v>12</v>
      </c>
      <c r="I2279" t="str">
        <f t="shared" si="35"/>
        <v>Normal Usage</v>
      </c>
    </row>
    <row r="2280" spans="1:9" x14ac:dyDescent="0.3">
      <c r="A2280">
        <v>12279</v>
      </c>
      <c r="B2280">
        <v>54</v>
      </c>
      <c r="C2280" s="2">
        <v>45063</v>
      </c>
      <c r="D2280" s="2" t="str">
        <f>TEXT(Table3[[#This Row],[usage_date]],"mmmm")</f>
        <v>May</v>
      </c>
      <c r="E2280" s="9">
        <f>YEAR(Table3[[#This Row],[usage_date]])</f>
        <v>2023</v>
      </c>
      <c r="F2280" s="14">
        <v>1.35</v>
      </c>
      <c r="G2280">
        <v>234</v>
      </c>
      <c r="H2280" t="s">
        <v>12</v>
      </c>
      <c r="I2280" t="str">
        <f t="shared" si="35"/>
        <v>Normal Usage</v>
      </c>
    </row>
    <row r="2281" spans="1:9" x14ac:dyDescent="0.3">
      <c r="A2281">
        <v>12280</v>
      </c>
      <c r="B2281">
        <v>161</v>
      </c>
      <c r="C2281" s="2">
        <v>45419</v>
      </c>
      <c r="D2281" s="2" t="str">
        <f>TEXT(Table3[[#This Row],[usage_date]],"mmmm")</f>
        <v>May</v>
      </c>
      <c r="E2281" s="9">
        <f>YEAR(Table3[[#This Row],[usage_date]])</f>
        <v>2024</v>
      </c>
      <c r="F2281" s="14">
        <v>1.08</v>
      </c>
      <c r="G2281">
        <v>277</v>
      </c>
      <c r="H2281" t="s">
        <v>12</v>
      </c>
      <c r="I2281" t="str">
        <f t="shared" si="35"/>
        <v>Normal Usage</v>
      </c>
    </row>
    <row r="2282" spans="1:9" x14ac:dyDescent="0.3">
      <c r="A2282">
        <v>12281</v>
      </c>
      <c r="B2282">
        <v>434</v>
      </c>
      <c r="C2282" s="2">
        <v>44954</v>
      </c>
      <c r="D2282" s="2" t="str">
        <f>TEXT(Table3[[#This Row],[usage_date]],"mmmm")</f>
        <v>January</v>
      </c>
      <c r="E2282" s="9">
        <f>YEAR(Table3[[#This Row],[usage_date]])</f>
        <v>2023</v>
      </c>
      <c r="F2282" s="14">
        <v>4.8899999999999997</v>
      </c>
      <c r="G2282">
        <v>201</v>
      </c>
      <c r="H2282" t="s">
        <v>12</v>
      </c>
      <c r="I2282" t="str">
        <f t="shared" si="35"/>
        <v>Normal Usage</v>
      </c>
    </row>
    <row r="2283" spans="1:9" x14ac:dyDescent="0.3">
      <c r="A2283">
        <v>12282</v>
      </c>
      <c r="B2283">
        <v>422</v>
      </c>
      <c r="C2283" s="2">
        <v>45367</v>
      </c>
      <c r="D2283" s="2" t="str">
        <f>TEXT(Table3[[#This Row],[usage_date]],"mmmm")</f>
        <v>March</v>
      </c>
      <c r="E2283" s="9">
        <f>YEAR(Table3[[#This Row],[usage_date]])</f>
        <v>2024</v>
      </c>
      <c r="F2283" s="14">
        <v>0.34</v>
      </c>
      <c r="G2283">
        <v>224</v>
      </c>
      <c r="H2283" t="s">
        <v>12</v>
      </c>
      <c r="I2283" t="str">
        <f t="shared" si="35"/>
        <v>Normal Usage</v>
      </c>
    </row>
    <row r="2284" spans="1:9" x14ac:dyDescent="0.3">
      <c r="A2284">
        <v>12283</v>
      </c>
      <c r="B2284">
        <v>411</v>
      </c>
      <c r="C2284" s="2">
        <v>45160</v>
      </c>
      <c r="D2284" s="2" t="str">
        <f>TEXT(Table3[[#This Row],[usage_date]],"mmmm")</f>
        <v>August</v>
      </c>
      <c r="E2284" s="9">
        <f>YEAR(Table3[[#This Row],[usage_date]])</f>
        <v>2023</v>
      </c>
      <c r="F2284" s="14">
        <v>2.08</v>
      </c>
      <c r="G2284">
        <v>82</v>
      </c>
      <c r="H2284" t="s">
        <v>13</v>
      </c>
      <c r="I2284" t="str">
        <f t="shared" si="35"/>
        <v>Normal Usage</v>
      </c>
    </row>
    <row r="2285" spans="1:9" x14ac:dyDescent="0.3">
      <c r="A2285">
        <v>12284</v>
      </c>
      <c r="B2285">
        <v>226</v>
      </c>
      <c r="C2285" s="2">
        <v>44710</v>
      </c>
      <c r="D2285" s="2" t="str">
        <f>TEXT(Table3[[#This Row],[usage_date]],"mmmm")</f>
        <v>May</v>
      </c>
      <c r="E2285" s="9">
        <f>YEAR(Table3[[#This Row],[usage_date]])</f>
        <v>2022</v>
      </c>
      <c r="F2285" s="14">
        <v>0.38</v>
      </c>
      <c r="G2285">
        <v>45</v>
      </c>
      <c r="H2285" t="s">
        <v>13</v>
      </c>
      <c r="I2285" t="str">
        <f t="shared" si="35"/>
        <v>Normal Usage</v>
      </c>
    </row>
    <row r="2286" spans="1:9" x14ac:dyDescent="0.3">
      <c r="A2286">
        <v>12285</v>
      </c>
      <c r="B2286">
        <v>15</v>
      </c>
      <c r="C2286" s="2">
        <v>45322</v>
      </c>
      <c r="D2286" s="2" t="str">
        <f>TEXT(Table3[[#This Row],[usage_date]],"mmmm")</f>
        <v>January</v>
      </c>
      <c r="E2286" s="9">
        <f>YEAR(Table3[[#This Row],[usage_date]])</f>
        <v>2024</v>
      </c>
      <c r="F2286" s="14">
        <v>3.05</v>
      </c>
      <c r="G2286">
        <v>88</v>
      </c>
      <c r="H2286" t="s">
        <v>13</v>
      </c>
      <c r="I2286" t="str">
        <f t="shared" si="35"/>
        <v>Normal Usage</v>
      </c>
    </row>
    <row r="2287" spans="1:9" x14ac:dyDescent="0.3">
      <c r="A2287">
        <v>12286</v>
      </c>
      <c r="B2287">
        <v>224</v>
      </c>
      <c r="C2287" s="2">
        <v>45394</v>
      </c>
      <c r="D2287" s="2" t="str">
        <f>TEXT(Table3[[#This Row],[usage_date]],"mmmm")</f>
        <v>April</v>
      </c>
      <c r="E2287" s="9">
        <f>YEAR(Table3[[#This Row],[usage_date]])</f>
        <v>2024</v>
      </c>
      <c r="F2287" s="14">
        <v>5.89</v>
      </c>
      <c r="G2287">
        <v>185</v>
      </c>
      <c r="H2287" t="s">
        <v>12</v>
      </c>
      <c r="I2287" t="str">
        <f t="shared" si="35"/>
        <v>Normal Usage</v>
      </c>
    </row>
    <row r="2288" spans="1:9" x14ac:dyDescent="0.3">
      <c r="A2288">
        <v>12287</v>
      </c>
      <c r="B2288">
        <v>61</v>
      </c>
      <c r="C2288" s="2">
        <v>44966</v>
      </c>
      <c r="D2288" s="2" t="str">
        <f>TEXT(Table3[[#This Row],[usage_date]],"mmmm")</f>
        <v>February</v>
      </c>
      <c r="E2288" s="9">
        <f>YEAR(Table3[[#This Row],[usage_date]])</f>
        <v>2023</v>
      </c>
      <c r="F2288" s="14">
        <v>1.43</v>
      </c>
      <c r="G2288">
        <v>188</v>
      </c>
      <c r="H2288" t="s">
        <v>12</v>
      </c>
      <c r="I2288" t="str">
        <f t="shared" si="35"/>
        <v>Normal Usage</v>
      </c>
    </row>
    <row r="2289" spans="1:9" x14ac:dyDescent="0.3">
      <c r="A2289">
        <v>12288</v>
      </c>
      <c r="B2289">
        <v>122</v>
      </c>
      <c r="C2289" s="2">
        <v>44844</v>
      </c>
      <c r="D2289" s="2" t="str">
        <f>TEXT(Table3[[#This Row],[usage_date]],"mmmm")</f>
        <v>October</v>
      </c>
      <c r="E2289" s="9">
        <f>YEAR(Table3[[#This Row],[usage_date]])</f>
        <v>2022</v>
      </c>
      <c r="F2289" s="14">
        <v>1.67</v>
      </c>
      <c r="G2289">
        <v>245</v>
      </c>
      <c r="H2289" t="s">
        <v>13</v>
      </c>
      <c r="I2289" t="str">
        <f t="shared" si="35"/>
        <v>Normal Usage</v>
      </c>
    </row>
    <row r="2290" spans="1:9" x14ac:dyDescent="0.3">
      <c r="A2290">
        <v>12289</v>
      </c>
      <c r="B2290">
        <v>277</v>
      </c>
      <c r="C2290" s="2">
        <v>44923</v>
      </c>
      <c r="D2290" s="2" t="str">
        <f>TEXT(Table3[[#This Row],[usage_date]],"mmmm")</f>
        <v>December</v>
      </c>
      <c r="E2290" s="9">
        <f>YEAR(Table3[[#This Row],[usage_date]])</f>
        <v>2022</v>
      </c>
      <c r="F2290" s="14">
        <v>6.56</v>
      </c>
      <c r="G2290">
        <v>45</v>
      </c>
      <c r="H2290" t="s">
        <v>12</v>
      </c>
      <c r="I2290" t="str">
        <f t="shared" si="35"/>
        <v>High Usage</v>
      </c>
    </row>
    <row r="2291" spans="1:9" x14ac:dyDescent="0.3">
      <c r="A2291">
        <v>12290</v>
      </c>
      <c r="B2291">
        <v>46</v>
      </c>
      <c r="C2291" s="2">
        <v>44940</v>
      </c>
      <c r="D2291" s="2" t="str">
        <f>TEXT(Table3[[#This Row],[usage_date]],"mmmm")</f>
        <v>January</v>
      </c>
      <c r="E2291" s="9">
        <f>YEAR(Table3[[#This Row],[usage_date]])</f>
        <v>2023</v>
      </c>
      <c r="F2291" s="14">
        <v>1.84</v>
      </c>
      <c r="G2291">
        <v>256</v>
      </c>
      <c r="H2291" t="s">
        <v>12</v>
      </c>
      <c r="I2291" t="str">
        <f t="shared" si="35"/>
        <v>Normal Usage</v>
      </c>
    </row>
    <row r="2292" spans="1:9" x14ac:dyDescent="0.3">
      <c r="A2292">
        <v>12291</v>
      </c>
      <c r="B2292">
        <v>453</v>
      </c>
      <c r="C2292" s="2">
        <v>44759</v>
      </c>
      <c r="D2292" s="2" t="str">
        <f>TEXT(Table3[[#This Row],[usage_date]],"mmmm")</f>
        <v>July</v>
      </c>
      <c r="E2292" s="9">
        <f>YEAR(Table3[[#This Row],[usage_date]])</f>
        <v>2022</v>
      </c>
      <c r="F2292" s="14">
        <v>1.67</v>
      </c>
      <c r="G2292">
        <v>60</v>
      </c>
      <c r="H2292" t="s">
        <v>13</v>
      </c>
      <c r="I2292" t="str">
        <f t="shared" si="35"/>
        <v>Normal Usage</v>
      </c>
    </row>
    <row r="2293" spans="1:9" x14ac:dyDescent="0.3">
      <c r="A2293">
        <v>12292</v>
      </c>
      <c r="B2293">
        <v>390</v>
      </c>
      <c r="C2293" s="2">
        <v>45117</v>
      </c>
      <c r="D2293" s="2" t="str">
        <f>TEXT(Table3[[#This Row],[usage_date]],"mmmm")</f>
        <v>July</v>
      </c>
      <c r="E2293" s="9">
        <f>YEAR(Table3[[#This Row],[usage_date]])</f>
        <v>2023</v>
      </c>
      <c r="F2293" s="14">
        <v>2.16</v>
      </c>
      <c r="G2293">
        <v>104</v>
      </c>
      <c r="H2293" t="s">
        <v>13</v>
      </c>
      <c r="I2293" t="str">
        <f t="shared" si="35"/>
        <v>Normal Usage</v>
      </c>
    </row>
    <row r="2294" spans="1:9" x14ac:dyDescent="0.3">
      <c r="A2294">
        <v>12293</v>
      </c>
      <c r="B2294">
        <v>294</v>
      </c>
      <c r="C2294" s="2">
        <v>44917</v>
      </c>
      <c r="D2294" s="2" t="str">
        <f>TEXT(Table3[[#This Row],[usage_date]],"mmmm")</f>
        <v>December</v>
      </c>
      <c r="E2294" s="9">
        <f>YEAR(Table3[[#This Row],[usage_date]])</f>
        <v>2022</v>
      </c>
      <c r="F2294" s="14">
        <v>2.92</v>
      </c>
      <c r="G2294">
        <v>13</v>
      </c>
      <c r="H2294" t="s">
        <v>13</v>
      </c>
      <c r="I2294" t="str">
        <f t="shared" si="35"/>
        <v>Normal Usage</v>
      </c>
    </row>
    <row r="2295" spans="1:9" x14ac:dyDescent="0.3">
      <c r="A2295">
        <v>12294</v>
      </c>
      <c r="B2295">
        <v>62</v>
      </c>
      <c r="C2295" s="2">
        <v>45101</v>
      </c>
      <c r="D2295" s="2" t="str">
        <f>TEXT(Table3[[#This Row],[usage_date]],"mmmm")</f>
        <v>June</v>
      </c>
      <c r="E2295" s="9">
        <f>YEAR(Table3[[#This Row],[usage_date]])</f>
        <v>2023</v>
      </c>
      <c r="F2295" s="14">
        <v>0.28000000000000003</v>
      </c>
      <c r="G2295">
        <v>76</v>
      </c>
      <c r="H2295" t="s">
        <v>13</v>
      </c>
      <c r="I2295" t="str">
        <f t="shared" si="35"/>
        <v>Normal Usage</v>
      </c>
    </row>
    <row r="2296" spans="1:9" x14ac:dyDescent="0.3">
      <c r="A2296">
        <v>12295</v>
      </c>
      <c r="B2296">
        <v>86</v>
      </c>
      <c r="C2296" s="2">
        <v>44990</v>
      </c>
      <c r="D2296" s="2" t="str">
        <f>TEXT(Table3[[#This Row],[usage_date]],"mmmm")</f>
        <v>March</v>
      </c>
      <c r="E2296" s="9">
        <f>YEAR(Table3[[#This Row],[usage_date]])</f>
        <v>2023</v>
      </c>
      <c r="F2296" s="14">
        <v>4.3</v>
      </c>
      <c r="G2296">
        <v>229</v>
      </c>
      <c r="H2296" t="s">
        <v>12</v>
      </c>
      <c r="I2296" t="str">
        <f t="shared" si="35"/>
        <v>Normal Usage</v>
      </c>
    </row>
    <row r="2297" spans="1:9" x14ac:dyDescent="0.3">
      <c r="A2297">
        <v>12296</v>
      </c>
      <c r="B2297">
        <v>446</v>
      </c>
      <c r="C2297" s="2">
        <v>44578</v>
      </c>
      <c r="D2297" s="2" t="str">
        <f>TEXT(Table3[[#This Row],[usage_date]],"mmmm")</f>
        <v>January</v>
      </c>
      <c r="E2297" s="9">
        <f>YEAR(Table3[[#This Row],[usage_date]])</f>
        <v>2022</v>
      </c>
      <c r="F2297" s="14">
        <v>1.43</v>
      </c>
      <c r="G2297">
        <v>166</v>
      </c>
      <c r="H2297" t="s">
        <v>12</v>
      </c>
      <c r="I2297" t="str">
        <f t="shared" si="35"/>
        <v>Normal Usage</v>
      </c>
    </row>
    <row r="2298" spans="1:9" x14ac:dyDescent="0.3">
      <c r="A2298">
        <v>12297</v>
      </c>
      <c r="B2298">
        <v>210</v>
      </c>
      <c r="C2298" s="2">
        <v>45200</v>
      </c>
      <c r="D2298" s="2" t="str">
        <f>TEXT(Table3[[#This Row],[usage_date]],"mmmm")</f>
        <v>October</v>
      </c>
      <c r="E2298" s="9">
        <f>YEAR(Table3[[#This Row],[usage_date]])</f>
        <v>2023</v>
      </c>
      <c r="F2298" s="14">
        <v>0.19</v>
      </c>
      <c r="G2298">
        <v>65</v>
      </c>
      <c r="H2298" t="s">
        <v>13</v>
      </c>
      <c r="I2298" t="str">
        <f t="shared" si="35"/>
        <v>Normal Usage</v>
      </c>
    </row>
    <row r="2299" spans="1:9" x14ac:dyDescent="0.3">
      <c r="A2299">
        <v>12298</v>
      </c>
      <c r="B2299">
        <v>78</v>
      </c>
      <c r="C2299" s="2">
        <v>44940</v>
      </c>
      <c r="D2299" s="2" t="str">
        <f>TEXT(Table3[[#This Row],[usage_date]],"mmmm")</f>
        <v>January</v>
      </c>
      <c r="E2299" s="9">
        <f>YEAR(Table3[[#This Row],[usage_date]])</f>
        <v>2023</v>
      </c>
      <c r="F2299" s="14">
        <v>3.86</v>
      </c>
      <c r="G2299">
        <v>31</v>
      </c>
      <c r="H2299" t="s">
        <v>12</v>
      </c>
      <c r="I2299" t="str">
        <f t="shared" si="35"/>
        <v>Normal Usage</v>
      </c>
    </row>
    <row r="2300" spans="1:9" x14ac:dyDescent="0.3">
      <c r="A2300">
        <v>12299</v>
      </c>
      <c r="B2300">
        <v>202</v>
      </c>
      <c r="C2300" s="2">
        <v>45241</v>
      </c>
      <c r="D2300" s="2" t="str">
        <f>TEXT(Table3[[#This Row],[usage_date]],"mmmm")</f>
        <v>November</v>
      </c>
      <c r="E2300" s="9">
        <f>YEAR(Table3[[#This Row],[usage_date]])</f>
        <v>2023</v>
      </c>
      <c r="F2300" s="14">
        <v>1.18</v>
      </c>
      <c r="G2300">
        <v>95</v>
      </c>
      <c r="H2300" t="s">
        <v>13</v>
      </c>
      <c r="I2300" t="str">
        <f t="shared" si="35"/>
        <v>Normal Usage</v>
      </c>
    </row>
    <row r="2301" spans="1:9" x14ac:dyDescent="0.3">
      <c r="A2301">
        <v>12300</v>
      </c>
      <c r="B2301">
        <v>302</v>
      </c>
      <c r="C2301" s="2">
        <v>45067</v>
      </c>
      <c r="D2301" s="2" t="str">
        <f>TEXT(Table3[[#This Row],[usage_date]],"mmmm")</f>
        <v>May</v>
      </c>
      <c r="E2301" s="9">
        <f>YEAR(Table3[[#This Row],[usage_date]])</f>
        <v>2023</v>
      </c>
      <c r="F2301" s="14">
        <v>0.26</v>
      </c>
      <c r="G2301">
        <v>57</v>
      </c>
      <c r="H2301" t="s">
        <v>12</v>
      </c>
      <c r="I2301" t="str">
        <f t="shared" si="35"/>
        <v>Normal Usage</v>
      </c>
    </row>
    <row r="2302" spans="1:9" x14ac:dyDescent="0.3">
      <c r="A2302">
        <v>12301</v>
      </c>
      <c r="B2302">
        <v>397</v>
      </c>
      <c r="C2302" s="2">
        <v>45317</v>
      </c>
      <c r="D2302" s="2" t="str">
        <f>TEXT(Table3[[#This Row],[usage_date]],"mmmm")</f>
        <v>January</v>
      </c>
      <c r="E2302" s="9">
        <f>YEAR(Table3[[#This Row],[usage_date]])</f>
        <v>2024</v>
      </c>
      <c r="F2302" s="14">
        <v>2.5099999999999998</v>
      </c>
      <c r="G2302">
        <v>103</v>
      </c>
      <c r="H2302" t="s">
        <v>12</v>
      </c>
      <c r="I2302" t="str">
        <f t="shared" si="35"/>
        <v>Normal Usage</v>
      </c>
    </row>
    <row r="2303" spans="1:9" x14ac:dyDescent="0.3">
      <c r="A2303">
        <v>12302</v>
      </c>
      <c r="B2303">
        <v>223</v>
      </c>
      <c r="C2303" s="2">
        <v>45460</v>
      </c>
      <c r="D2303" s="2" t="str">
        <f>TEXT(Table3[[#This Row],[usage_date]],"mmmm")</f>
        <v>June</v>
      </c>
      <c r="E2303" s="9">
        <f>YEAR(Table3[[#This Row],[usage_date]])</f>
        <v>2024</v>
      </c>
      <c r="F2303" s="14">
        <v>5.3</v>
      </c>
      <c r="G2303">
        <v>133</v>
      </c>
      <c r="H2303" t="s">
        <v>13</v>
      </c>
      <c r="I2303" t="str">
        <f t="shared" si="35"/>
        <v>Normal Usage</v>
      </c>
    </row>
    <row r="2304" spans="1:9" x14ac:dyDescent="0.3">
      <c r="A2304">
        <v>12303</v>
      </c>
      <c r="B2304">
        <v>222</v>
      </c>
      <c r="C2304" s="2">
        <v>44637</v>
      </c>
      <c r="D2304" s="2" t="str">
        <f>TEXT(Table3[[#This Row],[usage_date]],"mmmm")</f>
        <v>March</v>
      </c>
      <c r="E2304" s="9">
        <f>YEAR(Table3[[#This Row],[usage_date]])</f>
        <v>2022</v>
      </c>
      <c r="F2304" s="14">
        <v>5.47</v>
      </c>
      <c r="G2304">
        <v>216</v>
      </c>
      <c r="H2304" t="s">
        <v>12</v>
      </c>
      <c r="I2304" t="str">
        <f t="shared" si="35"/>
        <v>Normal Usage</v>
      </c>
    </row>
    <row r="2305" spans="1:9" x14ac:dyDescent="0.3">
      <c r="A2305">
        <v>12304</v>
      </c>
      <c r="B2305">
        <v>3</v>
      </c>
      <c r="C2305" s="2">
        <v>44792</v>
      </c>
      <c r="D2305" s="2" t="str">
        <f>TEXT(Table3[[#This Row],[usage_date]],"mmmm")</f>
        <v>August</v>
      </c>
      <c r="E2305" s="9">
        <f>YEAR(Table3[[#This Row],[usage_date]])</f>
        <v>2022</v>
      </c>
      <c r="F2305" s="14">
        <v>7.91</v>
      </c>
      <c r="G2305">
        <v>66</v>
      </c>
      <c r="H2305" t="s">
        <v>13</v>
      </c>
      <c r="I2305" t="str">
        <f t="shared" si="35"/>
        <v>High Usage</v>
      </c>
    </row>
    <row r="2306" spans="1:9" x14ac:dyDescent="0.3">
      <c r="A2306">
        <v>12305</v>
      </c>
      <c r="B2306">
        <v>478</v>
      </c>
      <c r="C2306" s="2">
        <v>45277</v>
      </c>
      <c r="D2306" s="2" t="str">
        <f>TEXT(Table3[[#This Row],[usage_date]],"mmmm")</f>
        <v>December</v>
      </c>
      <c r="E2306" s="9">
        <f>YEAR(Table3[[#This Row],[usage_date]])</f>
        <v>2023</v>
      </c>
      <c r="F2306" s="14">
        <v>5.0599999999999996</v>
      </c>
      <c r="G2306">
        <v>177</v>
      </c>
      <c r="H2306" t="s">
        <v>12</v>
      </c>
      <c r="I2306" t="str">
        <f t="shared" ref="I2306:I2369" si="36">IF(F2306&gt;6,"High Usage","Normal Usage")</f>
        <v>Normal Usage</v>
      </c>
    </row>
    <row r="2307" spans="1:9" x14ac:dyDescent="0.3">
      <c r="A2307">
        <v>12306</v>
      </c>
      <c r="B2307">
        <v>6</v>
      </c>
      <c r="C2307" s="2">
        <v>44809</v>
      </c>
      <c r="D2307" s="2" t="str">
        <f>TEXT(Table3[[#This Row],[usage_date]],"mmmm")</f>
        <v>September</v>
      </c>
      <c r="E2307" s="9">
        <f>YEAR(Table3[[#This Row],[usage_date]])</f>
        <v>2022</v>
      </c>
      <c r="F2307" s="14">
        <v>0.01</v>
      </c>
      <c r="G2307">
        <v>246</v>
      </c>
      <c r="H2307" t="s">
        <v>13</v>
      </c>
      <c r="I2307" t="str">
        <f t="shared" si="36"/>
        <v>Normal Usage</v>
      </c>
    </row>
    <row r="2308" spans="1:9" x14ac:dyDescent="0.3">
      <c r="A2308">
        <v>12307</v>
      </c>
      <c r="B2308">
        <v>93</v>
      </c>
      <c r="C2308" s="2">
        <v>44863</v>
      </c>
      <c r="D2308" s="2" t="str">
        <f>TEXT(Table3[[#This Row],[usage_date]],"mmmm")</f>
        <v>October</v>
      </c>
      <c r="E2308" s="9">
        <f>YEAR(Table3[[#This Row],[usage_date]])</f>
        <v>2022</v>
      </c>
      <c r="F2308" s="14">
        <v>1.2</v>
      </c>
      <c r="G2308">
        <v>293</v>
      </c>
      <c r="H2308" t="s">
        <v>12</v>
      </c>
      <c r="I2308" t="str">
        <f t="shared" si="36"/>
        <v>Normal Usage</v>
      </c>
    </row>
    <row r="2309" spans="1:9" x14ac:dyDescent="0.3">
      <c r="A2309">
        <v>12308</v>
      </c>
      <c r="B2309">
        <v>8</v>
      </c>
      <c r="C2309" s="2">
        <v>45287</v>
      </c>
      <c r="D2309" s="2" t="str">
        <f>TEXT(Table3[[#This Row],[usage_date]],"mmmm")</f>
        <v>December</v>
      </c>
      <c r="E2309" s="9">
        <f>YEAR(Table3[[#This Row],[usage_date]])</f>
        <v>2023</v>
      </c>
      <c r="F2309" s="14">
        <v>4.2699999999999996</v>
      </c>
      <c r="G2309">
        <v>234</v>
      </c>
      <c r="H2309" t="s">
        <v>12</v>
      </c>
      <c r="I2309" t="str">
        <f t="shared" si="36"/>
        <v>Normal Usage</v>
      </c>
    </row>
    <row r="2310" spans="1:9" x14ac:dyDescent="0.3">
      <c r="A2310">
        <v>12309</v>
      </c>
      <c r="B2310">
        <v>428</v>
      </c>
      <c r="C2310" s="2">
        <v>44776</v>
      </c>
      <c r="D2310" s="2" t="str">
        <f>TEXT(Table3[[#This Row],[usage_date]],"mmmm")</f>
        <v>August</v>
      </c>
      <c r="E2310" s="9">
        <f>YEAR(Table3[[#This Row],[usage_date]])</f>
        <v>2022</v>
      </c>
      <c r="F2310" s="14">
        <v>1.1399999999999999</v>
      </c>
      <c r="G2310">
        <v>130</v>
      </c>
      <c r="H2310" t="s">
        <v>12</v>
      </c>
      <c r="I2310" t="str">
        <f t="shared" si="36"/>
        <v>Normal Usage</v>
      </c>
    </row>
    <row r="2311" spans="1:9" x14ac:dyDescent="0.3">
      <c r="A2311">
        <v>12310</v>
      </c>
      <c r="B2311">
        <v>493</v>
      </c>
      <c r="C2311" s="2">
        <v>44719</v>
      </c>
      <c r="D2311" s="2" t="str">
        <f>TEXT(Table3[[#This Row],[usage_date]],"mmmm")</f>
        <v>June</v>
      </c>
      <c r="E2311" s="9">
        <f>YEAR(Table3[[#This Row],[usage_date]])</f>
        <v>2022</v>
      </c>
      <c r="F2311" s="14">
        <v>2.2999999999999998</v>
      </c>
      <c r="G2311">
        <v>111</v>
      </c>
      <c r="H2311" t="s">
        <v>12</v>
      </c>
      <c r="I2311" t="str">
        <f t="shared" si="36"/>
        <v>Normal Usage</v>
      </c>
    </row>
    <row r="2312" spans="1:9" x14ac:dyDescent="0.3">
      <c r="A2312">
        <v>12311</v>
      </c>
      <c r="B2312">
        <v>235</v>
      </c>
      <c r="C2312" s="2">
        <v>44630</v>
      </c>
      <c r="D2312" s="2" t="str">
        <f>TEXT(Table3[[#This Row],[usage_date]],"mmmm")</f>
        <v>March</v>
      </c>
      <c r="E2312" s="9">
        <f>YEAR(Table3[[#This Row],[usage_date]])</f>
        <v>2022</v>
      </c>
      <c r="F2312" s="14">
        <v>2.33</v>
      </c>
      <c r="G2312">
        <v>53</v>
      </c>
      <c r="H2312" t="s">
        <v>13</v>
      </c>
      <c r="I2312" t="str">
        <f t="shared" si="36"/>
        <v>Normal Usage</v>
      </c>
    </row>
    <row r="2313" spans="1:9" x14ac:dyDescent="0.3">
      <c r="A2313">
        <v>12312</v>
      </c>
      <c r="B2313">
        <v>108</v>
      </c>
      <c r="C2313" s="2">
        <v>44954</v>
      </c>
      <c r="D2313" s="2" t="str">
        <f>TEXT(Table3[[#This Row],[usage_date]],"mmmm")</f>
        <v>January</v>
      </c>
      <c r="E2313" s="9">
        <f>YEAR(Table3[[#This Row],[usage_date]])</f>
        <v>2023</v>
      </c>
      <c r="F2313" s="14">
        <v>1.1399999999999999</v>
      </c>
      <c r="G2313">
        <v>289</v>
      </c>
      <c r="H2313" t="s">
        <v>12</v>
      </c>
      <c r="I2313" t="str">
        <f t="shared" si="36"/>
        <v>Normal Usage</v>
      </c>
    </row>
    <row r="2314" spans="1:9" x14ac:dyDescent="0.3">
      <c r="A2314">
        <v>12313</v>
      </c>
      <c r="B2314">
        <v>161</v>
      </c>
      <c r="C2314" s="2">
        <v>44646</v>
      </c>
      <c r="D2314" s="2" t="str">
        <f>TEXT(Table3[[#This Row],[usage_date]],"mmmm")</f>
        <v>March</v>
      </c>
      <c r="E2314" s="9">
        <f>YEAR(Table3[[#This Row],[usage_date]])</f>
        <v>2022</v>
      </c>
      <c r="F2314" s="14">
        <v>5.87</v>
      </c>
      <c r="G2314">
        <v>238</v>
      </c>
      <c r="H2314" t="s">
        <v>12</v>
      </c>
      <c r="I2314" t="str">
        <f t="shared" si="36"/>
        <v>Normal Usage</v>
      </c>
    </row>
    <row r="2315" spans="1:9" x14ac:dyDescent="0.3">
      <c r="A2315">
        <v>12314</v>
      </c>
      <c r="B2315">
        <v>209</v>
      </c>
      <c r="C2315" s="2">
        <v>44828</v>
      </c>
      <c r="D2315" s="2" t="str">
        <f>TEXT(Table3[[#This Row],[usage_date]],"mmmm")</f>
        <v>September</v>
      </c>
      <c r="E2315" s="9">
        <f>YEAR(Table3[[#This Row],[usage_date]])</f>
        <v>2022</v>
      </c>
      <c r="F2315" s="14">
        <v>1.75</v>
      </c>
      <c r="G2315">
        <v>239</v>
      </c>
      <c r="H2315" t="s">
        <v>12</v>
      </c>
      <c r="I2315" t="str">
        <f t="shared" si="36"/>
        <v>Normal Usage</v>
      </c>
    </row>
    <row r="2316" spans="1:9" x14ac:dyDescent="0.3">
      <c r="A2316">
        <v>12315</v>
      </c>
      <c r="B2316">
        <v>240</v>
      </c>
      <c r="C2316" s="2">
        <v>44630</v>
      </c>
      <c r="D2316" s="2" t="str">
        <f>TEXT(Table3[[#This Row],[usage_date]],"mmmm")</f>
        <v>March</v>
      </c>
      <c r="E2316" s="9">
        <f>YEAR(Table3[[#This Row],[usage_date]])</f>
        <v>2022</v>
      </c>
      <c r="F2316" s="14">
        <v>1.56</v>
      </c>
      <c r="G2316">
        <v>294</v>
      </c>
      <c r="H2316" t="s">
        <v>12</v>
      </c>
      <c r="I2316" t="str">
        <f t="shared" si="36"/>
        <v>Normal Usage</v>
      </c>
    </row>
    <row r="2317" spans="1:9" x14ac:dyDescent="0.3">
      <c r="A2317">
        <v>12316</v>
      </c>
      <c r="B2317">
        <v>331</v>
      </c>
      <c r="C2317" s="2">
        <v>45172</v>
      </c>
      <c r="D2317" s="2" t="str">
        <f>TEXT(Table3[[#This Row],[usage_date]],"mmmm")</f>
        <v>September</v>
      </c>
      <c r="E2317" s="9">
        <f>YEAR(Table3[[#This Row],[usage_date]])</f>
        <v>2023</v>
      </c>
      <c r="F2317" s="14">
        <v>14.99</v>
      </c>
      <c r="G2317">
        <v>111</v>
      </c>
      <c r="H2317" t="s">
        <v>12</v>
      </c>
      <c r="I2317" t="str">
        <f t="shared" si="36"/>
        <v>High Usage</v>
      </c>
    </row>
    <row r="2318" spans="1:9" x14ac:dyDescent="0.3">
      <c r="A2318">
        <v>12317</v>
      </c>
      <c r="B2318">
        <v>333</v>
      </c>
      <c r="C2318" s="2">
        <v>44908</v>
      </c>
      <c r="D2318" s="2" t="str">
        <f>TEXT(Table3[[#This Row],[usage_date]],"mmmm")</f>
        <v>December</v>
      </c>
      <c r="E2318" s="9">
        <f>YEAR(Table3[[#This Row],[usage_date]])</f>
        <v>2022</v>
      </c>
      <c r="F2318" s="14">
        <v>1.7</v>
      </c>
      <c r="G2318">
        <v>87</v>
      </c>
      <c r="H2318" t="s">
        <v>12</v>
      </c>
      <c r="I2318" t="str">
        <f t="shared" si="36"/>
        <v>Normal Usage</v>
      </c>
    </row>
    <row r="2319" spans="1:9" x14ac:dyDescent="0.3">
      <c r="A2319">
        <v>12318</v>
      </c>
      <c r="B2319">
        <v>50</v>
      </c>
      <c r="C2319" s="2">
        <v>45289</v>
      </c>
      <c r="D2319" s="2" t="str">
        <f>TEXT(Table3[[#This Row],[usage_date]],"mmmm")</f>
        <v>December</v>
      </c>
      <c r="E2319" s="9">
        <f>YEAR(Table3[[#This Row],[usage_date]])</f>
        <v>2023</v>
      </c>
      <c r="F2319" s="14">
        <v>0.49</v>
      </c>
      <c r="G2319">
        <v>227</v>
      </c>
      <c r="H2319" t="s">
        <v>12</v>
      </c>
      <c r="I2319" t="str">
        <f t="shared" si="36"/>
        <v>Normal Usage</v>
      </c>
    </row>
    <row r="2320" spans="1:9" x14ac:dyDescent="0.3">
      <c r="A2320">
        <v>12319</v>
      </c>
      <c r="B2320">
        <v>11</v>
      </c>
      <c r="C2320" s="2">
        <v>45234</v>
      </c>
      <c r="D2320" s="2" t="str">
        <f>TEXT(Table3[[#This Row],[usage_date]],"mmmm")</f>
        <v>November</v>
      </c>
      <c r="E2320" s="9">
        <f>YEAR(Table3[[#This Row],[usage_date]])</f>
        <v>2023</v>
      </c>
      <c r="F2320" s="14">
        <v>1.8</v>
      </c>
      <c r="G2320">
        <v>289</v>
      </c>
      <c r="H2320" t="s">
        <v>13</v>
      </c>
      <c r="I2320" t="str">
        <f t="shared" si="36"/>
        <v>Normal Usage</v>
      </c>
    </row>
    <row r="2321" spans="1:9" x14ac:dyDescent="0.3">
      <c r="A2321">
        <v>12320</v>
      </c>
      <c r="B2321">
        <v>351</v>
      </c>
      <c r="C2321" s="2">
        <v>44984</v>
      </c>
      <c r="D2321" s="2" t="str">
        <f>TEXT(Table3[[#This Row],[usage_date]],"mmmm")</f>
        <v>February</v>
      </c>
      <c r="E2321" s="9">
        <f>YEAR(Table3[[#This Row],[usage_date]])</f>
        <v>2023</v>
      </c>
      <c r="F2321" s="14">
        <v>4.21</v>
      </c>
      <c r="G2321">
        <v>207</v>
      </c>
      <c r="H2321" t="s">
        <v>12</v>
      </c>
      <c r="I2321" t="str">
        <f t="shared" si="36"/>
        <v>Normal Usage</v>
      </c>
    </row>
    <row r="2322" spans="1:9" x14ac:dyDescent="0.3">
      <c r="A2322">
        <v>12321</v>
      </c>
      <c r="B2322">
        <v>156</v>
      </c>
      <c r="C2322" s="2">
        <v>45167</v>
      </c>
      <c r="D2322" s="2" t="str">
        <f>TEXT(Table3[[#This Row],[usage_date]],"mmmm")</f>
        <v>August</v>
      </c>
      <c r="E2322" s="9">
        <f>YEAR(Table3[[#This Row],[usage_date]])</f>
        <v>2023</v>
      </c>
      <c r="F2322" s="14">
        <v>3.75</v>
      </c>
      <c r="G2322">
        <v>273</v>
      </c>
      <c r="H2322" t="s">
        <v>13</v>
      </c>
      <c r="I2322" t="str">
        <f t="shared" si="36"/>
        <v>Normal Usage</v>
      </c>
    </row>
    <row r="2323" spans="1:9" x14ac:dyDescent="0.3">
      <c r="A2323">
        <v>12322</v>
      </c>
      <c r="B2323">
        <v>492</v>
      </c>
      <c r="C2323" s="2">
        <v>44735</v>
      </c>
      <c r="D2323" s="2" t="str">
        <f>TEXT(Table3[[#This Row],[usage_date]],"mmmm")</f>
        <v>June</v>
      </c>
      <c r="E2323" s="9">
        <f>YEAR(Table3[[#This Row],[usage_date]])</f>
        <v>2022</v>
      </c>
      <c r="F2323" s="14">
        <v>3.88</v>
      </c>
      <c r="G2323">
        <v>69</v>
      </c>
      <c r="H2323" t="s">
        <v>12</v>
      </c>
      <c r="I2323" t="str">
        <f t="shared" si="36"/>
        <v>Normal Usage</v>
      </c>
    </row>
    <row r="2324" spans="1:9" x14ac:dyDescent="0.3">
      <c r="A2324">
        <v>12323</v>
      </c>
      <c r="B2324">
        <v>70</v>
      </c>
      <c r="C2324" s="2">
        <v>45238</v>
      </c>
      <c r="D2324" s="2" t="str">
        <f>TEXT(Table3[[#This Row],[usage_date]],"mmmm")</f>
        <v>November</v>
      </c>
      <c r="E2324" s="9">
        <f>YEAR(Table3[[#This Row],[usage_date]])</f>
        <v>2023</v>
      </c>
      <c r="F2324" s="14">
        <v>3.08</v>
      </c>
      <c r="G2324">
        <v>219</v>
      </c>
      <c r="H2324" t="s">
        <v>12</v>
      </c>
      <c r="I2324" t="str">
        <f t="shared" si="36"/>
        <v>Normal Usage</v>
      </c>
    </row>
    <row r="2325" spans="1:9" x14ac:dyDescent="0.3">
      <c r="A2325">
        <v>12324</v>
      </c>
      <c r="B2325">
        <v>169</v>
      </c>
      <c r="C2325" s="2">
        <v>44676</v>
      </c>
      <c r="D2325" s="2" t="str">
        <f>TEXT(Table3[[#This Row],[usage_date]],"mmmm")</f>
        <v>April</v>
      </c>
      <c r="E2325" s="9">
        <f>YEAR(Table3[[#This Row],[usage_date]])</f>
        <v>2022</v>
      </c>
      <c r="F2325" s="14">
        <v>0.73</v>
      </c>
      <c r="G2325">
        <v>230</v>
      </c>
      <c r="H2325" t="s">
        <v>12</v>
      </c>
      <c r="I2325" t="str">
        <f t="shared" si="36"/>
        <v>Normal Usage</v>
      </c>
    </row>
    <row r="2326" spans="1:9" x14ac:dyDescent="0.3">
      <c r="A2326">
        <v>12325</v>
      </c>
      <c r="B2326">
        <v>272</v>
      </c>
      <c r="C2326" s="2">
        <v>44781</v>
      </c>
      <c r="D2326" s="2" t="str">
        <f>TEXT(Table3[[#This Row],[usage_date]],"mmmm")</f>
        <v>August</v>
      </c>
      <c r="E2326" s="9">
        <f>YEAR(Table3[[#This Row],[usage_date]])</f>
        <v>2022</v>
      </c>
      <c r="F2326" s="14">
        <v>4.95</v>
      </c>
      <c r="G2326">
        <v>289</v>
      </c>
      <c r="H2326" t="s">
        <v>12</v>
      </c>
      <c r="I2326" t="str">
        <f t="shared" si="36"/>
        <v>Normal Usage</v>
      </c>
    </row>
    <row r="2327" spans="1:9" x14ac:dyDescent="0.3">
      <c r="A2327">
        <v>12326</v>
      </c>
      <c r="B2327">
        <v>68</v>
      </c>
      <c r="C2327" s="2">
        <v>44592</v>
      </c>
      <c r="D2327" s="2" t="str">
        <f>TEXT(Table3[[#This Row],[usage_date]],"mmmm")</f>
        <v>January</v>
      </c>
      <c r="E2327" s="9">
        <f>YEAR(Table3[[#This Row],[usage_date]])</f>
        <v>2022</v>
      </c>
      <c r="F2327" s="14">
        <v>5.6</v>
      </c>
      <c r="G2327">
        <v>254</v>
      </c>
      <c r="H2327" t="s">
        <v>12</v>
      </c>
      <c r="I2327" t="str">
        <f t="shared" si="36"/>
        <v>Normal Usage</v>
      </c>
    </row>
    <row r="2328" spans="1:9" x14ac:dyDescent="0.3">
      <c r="A2328">
        <v>12327</v>
      </c>
      <c r="B2328">
        <v>355</v>
      </c>
      <c r="C2328" s="2">
        <v>45084</v>
      </c>
      <c r="D2328" s="2" t="str">
        <f>TEXT(Table3[[#This Row],[usage_date]],"mmmm")</f>
        <v>June</v>
      </c>
      <c r="E2328" s="9">
        <f>YEAR(Table3[[#This Row],[usage_date]])</f>
        <v>2023</v>
      </c>
      <c r="F2328" s="14">
        <v>0.54</v>
      </c>
      <c r="G2328">
        <v>141</v>
      </c>
      <c r="H2328" t="s">
        <v>13</v>
      </c>
      <c r="I2328" t="str">
        <f t="shared" si="36"/>
        <v>Normal Usage</v>
      </c>
    </row>
    <row r="2329" spans="1:9" x14ac:dyDescent="0.3">
      <c r="A2329">
        <v>12328</v>
      </c>
      <c r="B2329">
        <v>252</v>
      </c>
      <c r="C2329" s="2">
        <v>44904</v>
      </c>
      <c r="D2329" s="2" t="str">
        <f>TEXT(Table3[[#This Row],[usage_date]],"mmmm")</f>
        <v>December</v>
      </c>
      <c r="E2329" s="9">
        <f>YEAR(Table3[[#This Row],[usage_date]])</f>
        <v>2022</v>
      </c>
      <c r="F2329" s="14">
        <v>0.35</v>
      </c>
      <c r="G2329">
        <v>68</v>
      </c>
      <c r="H2329" t="s">
        <v>12</v>
      </c>
      <c r="I2329" t="str">
        <f t="shared" si="36"/>
        <v>Normal Usage</v>
      </c>
    </row>
    <row r="2330" spans="1:9" x14ac:dyDescent="0.3">
      <c r="A2330">
        <v>12329</v>
      </c>
      <c r="B2330">
        <v>48</v>
      </c>
      <c r="C2330" s="2">
        <v>44938</v>
      </c>
      <c r="D2330" s="2" t="str">
        <f>TEXT(Table3[[#This Row],[usage_date]],"mmmm")</f>
        <v>January</v>
      </c>
      <c r="E2330" s="9">
        <f>YEAR(Table3[[#This Row],[usage_date]])</f>
        <v>2023</v>
      </c>
      <c r="F2330" s="14">
        <v>9.2799999999999994</v>
      </c>
      <c r="G2330">
        <v>88</v>
      </c>
      <c r="H2330" t="s">
        <v>13</v>
      </c>
      <c r="I2330" t="str">
        <f t="shared" si="36"/>
        <v>High Usage</v>
      </c>
    </row>
    <row r="2331" spans="1:9" x14ac:dyDescent="0.3">
      <c r="A2331">
        <v>12330</v>
      </c>
      <c r="B2331">
        <v>184</v>
      </c>
      <c r="C2331" s="2">
        <v>44691</v>
      </c>
      <c r="D2331" s="2" t="str">
        <f>TEXT(Table3[[#This Row],[usage_date]],"mmmm")</f>
        <v>May</v>
      </c>
      <c r="E2331" s="9">
        <f>YEAR(Table3[[#This Row],[usage_date]])</f>
        <v>2022</v>
      </c>
      <c r="F2331" s="14">
        <v>5.07</v>
      </c>
      <c r="G2331">
        <v>135</v>
      </c>
      <c r="H2331" t="s">
        <v>12</v>
      </c>
      <c r="I2331" t="str">
        <f t="shared" si="36"/>
        <v>Normal Usage</v>
      </c>
    </row>
    <row r="2332" spans="1:9" x14ac:dyDescent="0.3">
      <c r="A2332">
        <v>12331</v>
      </c>
      <c r="B2332">
        <v>320</v>
      </c>
      <c r="C2332" s="2">
        <v>45178</v>
      </c>
      <c r="D2332" s="2" t="str">
        <f>TEXT(Table3[[#This Row],[usage_date]],"mmmm")</f>
        <v>September</v>
      </c>
      <c r="E2332" s="9">
        <f>YEAR(Table3[[#This Row],[usage_date]])</f>
        <v>2023</v>
      </c>
      <c r="F2332" s="14">
        <v>5.59</v>
      </c>
      <c r="G2332">
        <v>142</v>
      </c>
      <c r="H2332" t="s">
        <v>12</v>
      </c>
      <c r="I2332" t="str">
        <f t="shared" si="36"/>
        <v>Normal Usage</v>
      </c>
    </row>
    <row r="2333" spans="1:9" x14ac:dyDescent="0.3">
      <c r="A2333">
        <v>12332</v>
      </c>
      <c r="B2333">
        <v>187</v>
      </c>
      <c r="C2333" s="2">
        <v>45100</v>
      </c>
      <c r="D2333" s="2" t="str">
        <f>TEXT(Table3[[#This Row],[usage_date]],"mmmm")</f>
        <v>June</v>
      </c>
      <c r="E2333" s="9">
        <f>YEAR(Table3[[#This Row],[usage_date]])</f>
        <v>2023</v>
      </c>
      <c r="F2333" s="14">
        <v>5.44</v>
      </c>
      <c r="G2333">
        <v>186</v>
      </c>
      <c r="H2333" t="s">
        <v>12</v>
      </c>
      <c r="I2333" t="str">
        <f t="shared" si="36"/>
        <v>Normal Usage</v>
      </c>
    </row>
    <row r="2334" spans="1:9" x14ac:dyDescent="0.3">
      <c r="A2334">
        <v>12333</v>
      </c>
      <c r="B2334">
        <v>90</v>
      </c>
      <c r="C2334" s="2">
        <v>45300</v>
      </c>
      <c r="D2334" s="2" t="str">
        <f>TEXT(Table3[[#This Row],[usage_date]],"mmmm")</f>
        <v>January</v>
      </c>
      <c r="E2334" s="9">
        <f>YEAR(Table3[[#This Row],[usage_date]])</f>
        <v>2024</v>
      </c>
      <c r="F2334" s="14">
        <v>1.95</v>
      </c>
      <c r="G2334">
        <v>10</v>
      </c>
      <c r="H2334" t="s">
        <v>13</v>
      </c>
      <c r="I2334" t="str">
        <f t="shared" si="36"/>
        <v>Normal Usage</v>
      </c>
    </row>
    <row r="2335" spans="1:9" x14ac:dyDescent="0.3">
      <c r="A2335">
        <v>12334</v>
      </c>
      <c r="B2335">
        <v>446</v>
      </c>
      <c r="C2335" s="2">
        <v>44563</v>
      </c>
      <c r="D2335" s="2" t="str">
        <f>TEXT(Table3[[#This Row],[usage_date]],"mmmm")</f>
        <v>January</v>
      </c>
      <c r="E2335" s="9">
        <f>YEAR(Table3[[#This Row],[usage_date]])</f>
        <v>2022</v>
      </c>
      <c r="F2335" s="14">
        <v>2.6</v>
      </c>
      <c r="G2335">
        <v>147</v>
      </c>
      <c r="H2335" t="s">
        <v>12</v>
      </c>
      <c r="I2335" t="str">
        <f t="shared" si="36"/>
        <v>Normal Usage</v>
      </c>
    </row>
    <row r="2336" spans="1:9" x14ac:dyDescent="0.3">
      <c r="A2336">
        <v>12335</v>
      </c>
      <c r="B2336">
        <v>332</v>
      </c>
      <c r="C2336" s="2">
        <v>45432</v>
      </c>
      <c r="D2336" s="2" t="str">
        <f>TEXT(Table3[[#This Row],[usage_date]],"mmmm")</f>
        <v>May</v>
      </c>
      <c r="E2336" s="9">
        <f>YEAR(Table3[[#This Row],[usage_date]])</f>
        <v>2024</v>
      </c>
      <c r="F2336" s="14">
        <v>1.97</v>
      </c>
      <c r="G2336">
        <v>291</v>
      </c>
      <c r="H2336" t="s">
        <v>13</v>
      </c>
      <c r="I2336" t="str">
        <f t="shared" si="36"/>
        <v>Normal Usage</v>
      </c>
    </row>
    <row r="2337" spans="1:9" x14ac:dyDescent="0.3">
      <c r="A2337">
        <v>12336</v>
      </c>
      <c r="B2337">
        <v>139</v>
      </c>
      <c r="C2337" s="2">
        <v>44662</v>
      </c>
      <c r="D2337" s="2" t="str">
        <f>TEXT(Table3[[#This Row],[usage_date]],"mmmm")</f>
        <v>April</v>
      </c>
      <c r="E2337" s="9">
        <f>YEAR(Table3[[#This Row],[usage_date]])</f>
        <v>2022</v>
      </c>
      <c r="F2337" s="14">
        <v>0.13</v>
      </c>
      <c r="G2337">
        <v>37</v>
      </c>
      <c r="H2337" t="s">
        <v>12</v>
      </c>
      <c r="I2337" t="str">
        <f t="shared" si="36"/>
        <v>Normal Usage</v>
      </c>
    </row>
    <row r="2338" spans="1:9" x14ac:dyDescent="0.3">
      <c r="A2338">
        <v>12337</v>
      </c>
      <c r="B2338">
        <v>357</v>
      </c>
      <c r="C2338" s="2">
        <v>45094</v>
      </c>
      <c r="D2338" s="2" t="str">
        <f>TEXT(Table3[[#This Row],[usage_date]],"mmmm")</f>
        <v>June</v>
      </c>
      <c r="E2338" s="9">
        <f>YEAR(Table3[[#This Row],[usage_date]])</f>
        <v>2023</v>
      </c>
      <c r="F2338" s="14">
        <v>3.42</v>
      </c>
      <c r="G2338">
        <v>207</v>
      </c>
      <c r="H2338" t="s">
        <v>12</v>
      </c>
      <c r="I2338" t="str">
        <f t="shared" si="36"/>
        <v>Normal Usage</v>
      </c>
    </row>
    <row r="2339" spans="1:9" x14ac:dyDescent="0.3">
      <c r="A2339">
        <v>12338</v>
      </c>
      <c r="B2339">
        <v>89</v>
      </c>
      <c r="C2339" s="2">
        <v>44619</v>
      </c>
      <c r="D2339" s="2" t="str">
        <f>TEXT(Table3[[#This Row],[usage_date]],"mmmm")</f>
        <v>February</v>
      </c>
      <c r="E2339" s="9">
        <f>YEAR(Table3[[#This Row],[usage_date]])</f>
        <v>2022</v>
      </c>
      <c r="F2339" s="14">
        <v>1.76</v>
      </c>
      <c r="G2339">
        <v>209</v>
      </c>
      <c r="H2339" t="s">
        <v>12</v>
      </c>
      <c r="I2339" t="str">
        <f t="shared" si="36"/>
        <v>Normal Usage</v>
      </c>
    </row>
    <row r="2340" spans="1:9" x14ac:dyDescent="0.3">
      <c r="A2340">
        <v>12339</v>
      </c>
      <c r="B2340">
        <v>274</v>
      </c>
      <c r="C2340" s="2">
        <v>44950</v>
      </c>
      <c r="D2340" s="2" t="str">
        <f>TEXT(Table3[[#This Row],[usage_date]],"mmmm")</f>
        <v>January</v>
      </c>
      <c r="E2340" s="9">
        <f>YEAR(Table3[[#This Row],[usage_date]])</f>
        <v>2023</v>
      </c>
      <c r="F2340" s="14">
        <v>2.61</v>
      </c>
      <c r="G2340">
        <v>0</v>
      </c>
      <c r="H2340" t="s">
        <v>13</v>
      </c>
      <c r="I2340" t="str">
        <f t="shared" si="36"/>
        <v>Normal Usage</v>
      </c>
    </row>
    <row r="2341" spans="1:9" x14ac:dyDescent="0.3">
      <c r="A2341">
        <v>12340</v>
      </c>
      <c r="B2341">
        <v>19</v>
      </c>
      <c r="C2341" s="2">
        <v>45253</v>
      </c>
      <c r="D2341" s="2" t="str">
        <f>TEXT(Table3[[#This Row],[usage_date]],"mmmm")</f>
        <v>November</v>
      </c>
      <c r="E2341" s="9">
        <f>YEAR(Table3[[#This Row],[usage_date]])</f>
        <v>2023</v>
      </c>
      <c r="F2341" s="14">
        <v>1.75</v>
      </c>
      <c r="G2341">
        <v>64</v>
      </c>
      <c r="H2341" t="s">
        <v>13</v>
      </c>
      <c r="I2341" t="str">
        <f t="shared" si="36"/>
        <v>Normal Usage</v>
      </c>
    </row>
    <row r="2342" spans="1:9" x14ac:dyDescent="0.3">
      <c r="A2342">
        <v>12341</v>
      </c>
      <c r="B2342">
        <v>471</v>
      </c>
      <c r="C2342" s="2">
        <v>44902</v>
      </c>
      <c r="D2342" s="2" t="str">
        <f>TEXT(Table3[[#This Row],[usage_date]],"mmmm")</f>
        <v>December</v>
      </c>
      <c r="E2342" s="9">
        <f>YEAR(Table3[[#This Row],[usage_date]])</f>
        <v>2022</v>
      </c>
      <c r="F2342" s="14">
        <v>1.69</v>
      </c>
      <c r="G2342">
        <v>0</v>
      </c>
      <c r="H2342" t="s">
        <v>12</v>
      </c>
      <c r="I2342" t="str">
        <f t="shared" si="36"/>
        <v>Normal Usage</v>
      </c>
    </row>
    <row r="2343" spans="1:9" x14ac:dyDescent="0.3">
      <c r="A2343">
        <v>12342</v>
      </c>
      <c r="B2343">
        <v>311</v>
      </c>
      <c r="C2343" s="2">
        <v>45422</v>
      </c>
      <c r="D2343" s="2" t="str">
        <f>TEXT(Table3[[#This Row],[usage_date]],"mmmm")</f>
        <v>May</v>
      </c>
      <c r="E2343" s="9">
        <f>YEAR(Table3[[#This Row],[usage_date]])</f>
        <v>2024</v>
      </c>
      <c r="F2343" s="14">
        <v>0.47</v>
      </c>
      <c r="G2343">
        <v>242</v>
      </c>
      <c r="H2343" t="s">
        <v>13</v>
      </c>
      <c r="I2343" t="str">
        <f t="shared" si="36"/>
        <v>Normal Usage</v>
      </c>
    </row>
    <row r="2344" spans="1:9" x14ac:dyDescent="0.3">
      <c r="A2344">
        <v>12343</v>
      </c>
      <c r="B2344">
        <v>358</v>
      </c>
      <c r="C2344" s="2">
        <v>44581</v>
      </c>
      <c r="D2344" s="2" t="str">
        <f>TEXT(Table3[[#This Row],[usage_date]],"mmmm")</f>
        <v>January</v>
      </c>
      <c r="E2344" s="9">
        <f>YEAR(Table3[[#This Row],[usage_date]])</f>
        <v>2022</v>
      </c>
      <c r="F2344" s="14">
        <v>0.82</v>
      </c>
      <c r="G2344">
        <v>24</v>
      </c>
      <c r="H2344" t="s">
        <v>12</v>
      </c>
      <c r="I2344" t="str">
        <f t="shared" si="36"/>
        <v>Normal Usage</v>
      </c>
    </row>
    <row r="2345" spans="1:9" x14ac:dyDescent="0.3">
      <c r="A2345">
        <v>12344</v>
      </c>
      <c r="B2345">
        <v>374</v>
      </c>
      <c r="C2345" s="2">
        <v>44816</v>
      </c>
      <c r="D2345" s="2" t="str">
        <f>TEXT(Table3[[#This Row],[usage_date]],"mmmm")</f>
        <v>September</v>
      </c>
      <c r="E2345" s="9">
        <f>YEAR(Table3[[#This Row],[usage_date]])</f>
        <v>2022</v>
      </c>
      <c r="F2345" s="14">
        <v>0.43</v>
      </c>
      <c r="G2345">
        <v>49</v>
      </c>
      <c r="H2345" t="s">
        <v>13</v>
      </c>
      <c r="I2345" t="str">
        <f t="shared" si="36"/>
        <v>Normal Usage</v>
      </c>
    </row>
    <row r="2346" spans="1:9" x14ac:dyDescent="0.3">
      <c r="A2346">
        <v>12345</v>
      </c>
      <c r="B2346">
        <v>466</v>
      </c>
      <c r="C2346" s="2">
        <v>44878</v>
      </c>
      <c r="D2346" s="2" t="str">
        <f>TEXT(Table3[[#This Row],[usage_date]],"mmmm")</f>
        <v>November</v>
      </c>
      <c r="E2346" s="9">
        <f>YEAR(Table3[[#This Row],[usage_date]])</f>
        <v>2022</v>
      </c>
      <c r="F2346" s="14">
        <v>0.54</v>
      </c>
      <c r="G2346">
        <v>240</v>
      </c>
      <c r="H2346" t="s">
        <v>13</v>
      </c>
      <c r="I2346" t="str">
        <f t="shared" si="36"/>
        <v>Normal Usage</v>
      </c>
    </row>
    <row r="2347" spans="1:9" x14ac:dyDescent="0.3">
      <c r="A2347">
        <v>12346</v>
      </c>
      <c r="B2347">
        <v>154</v>
      </c>
      <c r="C2347" s="2">
        <v>44599</v>
      </c>
      <c r="D2347" s="2" t="str">
        <f>TEXT(Table3[[#This Row],[usage_date]],"mmmm")</f>
        <v>February</v>
      </c>
      <c r="E2347" s="9">
        <f>YEAR(Table3[[#This Row],[usage_date]])</f>
        <v>2022</v>
      </c>
      <c r="F2347" s="14">
        <v>9.0299999999999994</v>
      </c>
      <c r="G2347">
        <v>31</v>
      </c>
      <c r="H2347" t="s">
        <v>13</v>
      </c>
      <c r="I2347" t="str">
        <f t="shared" si="36"/>
        <v>High Usage</v>
      </c>
    </row>
    <row r="2348" spans="1:9" x14ac:dyDescent="0.3">
      <c r="A2348">
        <v>12347</v>
      </c>
      <c r="B2348">
        <v>390</v>
      </c>
      <c r="C2348" s="2">
        <v>45221</v>
      </c>
      <c r="D2348" s="2" t="str">
        <f>TEXT(Table3[[#This Row],[usage_date]],"mmmm")</f>
        <v>October</v>
      </c>
      <c r="E2348" s="9">
        <f>YEAR(Table3[[#This Row],[usage_date]])</f>
        <v>2023</v>
      </c>
      <c r="F2348" s="14">
        <v>0.42</v>
      </c>
      <c r="G2348">
        <v>32</v>
      </c>
      <c r="H2348" t="s">
        <v>13</v>
      </c>
      <c r="I2348" t="str">
        <f t="shared" si="36"/>
        <v>Normal Usage</v>
      </c>
    </row>
    <row r="2349" spans="1:9" x14ac:dyDescent="0.3">
      <c r="A2349">
        <v>12348</v>
      </c>
      <c r="B2349">
        <v>260</v>
      </c>
      <c r="C2349" s="2">
        <v>45098</v>
      </c>
      <c r="D2349" s="2" t="str">
        <f>TEXT(Table3[[#This Row],[usage_date]],"mmmm")</f>
        <v>June</v>
      </c>
      <c r="E2349" s="9">
        <f>YEAR(Table3[[#This Row],[usage_date]])</f>
        <v>2023</v>
      </c>
      <c r="F2349" s="14">
        <v>0.78</v>
      </c>
      <c r="G2349">
        <v>199</v>
      </c>
      <c r="H2349" t="s">
        <v>12</v>
      </c>
      <c r="I2349" t="str">
        <f t="shared" si="36"/>
        <v>Normal Usage</v>
      </c>
    </row>
    <row r="2350" spans="1:9" x14ac:dyDescent="0.3">
      <c r="A2350">
        <v>12349</v>
      </c>
      <c r="B2350">
        <v>108</v>
      </c>
      <c r="C2350" s="2">
        <v>44947</v>
      </c>
      <c r="D2350" s="2" t="str">
        <f>TEXT(Table3[[#This Row],[usage_date]],"mmmm")</f>
        <v>January</v>
      </c>
      <c r="E2350" s="9">
        <f>YEAR(Table3[[#This Row],[usage_date]])</f>
        <v>2023</v>
      </c>
      <c r="F2350" s="14">
        <v>2.23</v>
      </c>
      <c r="G2350">
        <v>233</v>
      </c>
      <c r="H2350" t="s">
        <v>12</v>
      </c>
      <c r="I2350" t="str">
        <f t="shared" si="36"/>
        <v>Normal Usage</v>
      </c>
    </row>
    <row r="2351" spans="1:9" x14ac:dyDescent="0.3">
      <c r="A2351">
        <v>12350</v>
      </c>
      <c r="B2351">
        <v>371</v>
      </c>
      <c r="C2351" s="2">
        <v>45194</v>
      </c>
      <c r="D2351" s="2" t="str">
        <f>TEXT(Table3[[#This Row],[usage_date]],"mmmm")</f>
        <v>September</v>
      </c>
      <c r="E2351" s="9">
        <f>YEAR(Table3[[#This Row],[usage_date]])</f>
        <v>2023</v>
      </c>
      <c r="F2351" s="14">
        <v>2.36</v>
      </c>
      <c r="G2351">
        <v>25</v>
      </c>
      <c r="H2351" t="s">
        <v>12</v>
      </c>
      <c r="I2351" t="str">
        <f t="shared" si="36"/>
        <v>Normal Usage</v>
      </c>
    </row>
    <row r="2352" spans="1:9" x14ac:dyDescent="0.3">
      <c r="A2352">
        <v>12351</v>
      </c>
      <c r="B2352">
        <v>285</v>
      </c>
      <c r="C2352" s="2">
        <v>44587</v>
      </c>
      <c r="D2352" s="2" t="str">
        <f>TEXT(Table3[[#This Row],[usage_date]],"mmmm")</f>
        <v>January</v>
      </c>
      <c r="E2352" s="9">
        <f>YEAR(Table3[[#This Row],[usage_date]])</f>
        <v>2022</v>
      </c>
      <c r="F2352" s="14">
        <v>0.42</v>
      </c>
      <c r="G2352">
        <v>41</v>
      </c>
      <c r="H2352" t="s">
        <v>12</v>
      </c>
      <c r="I2352" t="str">
        <f t="shared" si="36"/>
        <v>Normal Usage</v>
      </c>
    </row>
    <row r="2353" spans="1:9" x14ac:dyDescent="0.3">
      <c r="A2353">
        <v>12352</v>
      </c>
      <c r="B2353">
        <v>59</v>
      </c>
      <c r="C2353" s="2">
        <v>45015</v>
      </c>
      <c r="D2353" s="2" t="str">
        <f>TEXT(Table3[[#This Row],[usage_date]],"mmmm")</f>
        <v>March</v>
      </c>
      <c r="E2353" s="9">
        <f>YEAR(Table3[[#This Row],[usage_date]])</f>
        <v>2023</v>
      </c>
      <c r="F2353" s="14">
        <v>3.95</v>
      </c>
      <c r="G2353">
        <v>60</v>
      </c>
      <c r="H2353" t="s">
        <v>12</v>
      </c>
      <c r="I2353" t="str">
        <f t="shared" si="36"/>
        <v>Normal Usage</v>
      </c>
    </row>
    <row r="2354" spans="1:9" x14ac:dyDescent="0.3">
      <c r="A2354">
        <v>12353</v>
      </c>
      <c r="B2354">
        <v>125</v>
      </c>
      <c r="C2354" s="2">
        <v>45242</v>
      </c>
      <c r="D2354" s="2" t="str">
        <f>TEXT(Table3[[#This Row],[usage_date]],"mmmm")</f>
        <v>November</v>
      </c>
      <c r="E2354" s="9">
        <f>YEAR(Table3[[#This Row],[usage_date]])</f>
        <v>2023</v>
      </c>
      <c r="F2354" s="14">
        <v>3.85</v>
      </c>
      <c r="G2354">
        <v>40</v>
      </c>
      <c r="H2354" t="s">
        <v>12</v>
      </c>
      <c r="I2354" t="str">
        <f t="shared" si="36"/>
        <v>Normal Usage</v>
      </c>
    </row>
    <row r="2355" spans="1:9" x14ac:dyDescent="0.3">
      <c r="A2355">
        <v>12354</v>
      </c>
      <c r="B2355">
        <v>354</v>
      </c>
      <c r="C2355" s="2">
        <v>44884</v>
      </c>
      <c r="D2355" s="2" t="str">
        <f>TEXT(Table3[[#This Row],[usage_date]],"mmmm")</f>
        <v>November</v>
      </c>
      <c r="E2355" s="9">
        <f>YEAR(Table3[[#This Row],[usage_date]])</f>
        <v>2022</v>
      </c>
      <c r="F2355" s="14">
        <v>0.68</v>
      </c>
      <c r="G2355">
        <v>129</v>
      </c>
      <c r="H2355" t="s">
        <v>12</v>
      </c>
      <c r="I2355" t="str">
        <f t="shared" si="36"/>
        <v>Normal Usage</v>
      </c>
    </row>
    <row r="2356" spans="1:9" x14ac:dyDescent="0.3">
      <c r="A2356">
        <v>12355</v>
      </c>
      <c r="B2356">
        <v>273</v>
      </c>
      <c r="C2356" s="2">
        <v>45298</v>
      </c>
      <c r="D2356" s="2" t="str">
        <f>TEXT(Table3[[#This Row],[usage_date]],"mmmm")</f>
        <v>January</v>
      </c>
      <c r="E2356" s="9">
        <f>YEAR(Table3[[#This Row],[usage_date]])</f>
        <v>2024</v>
      </c>
      <c r="F2356" s="14">
        <v>0.85</v>
      </c>
      <c r="G2356">
        <v>197</v>
      </c>
      <c r="H2356" t="s">
        <v>12</v>
      </c>
      <c r="I2356" t="str">
        <f t="shared" si="36"/>
        <v>Normal Usage</v>
      </c>
    </row>
    <row r="2357" spans="1:9" x14ac:dyDescent="0.3">
      <c r="A2357">
        <v>12356</v>
      </c>
      <c r="B2357">
        <v>107</v>
      </c>
      <c r="C2357" s="2">
        <v>45074</v>
      </c>
      <c r="D2357" s="2" t="str">
        <f>TEXT(Table3[[#This Row],[usage_date]],"mmmm")</f>
        <v>May</v>
      </c>
      <c r="E2357" s="9">
        <f>YEAR(Table3[[#This Row],[usage_date]])</f>
        <v>2023</v>
      </c>
      <c r="F2357" s="14">
        <v>6.95</v>
      </c>
      <c r="G2357">
        <v>286</v>
      </c>
      <c r="H2357" t="s">
        <v>12</v>
      </c>
      <c r="I2357" t="str">
        <f t="shared" si="36"/>
        <v>High Usage</v>
      </c>
    </row>
    <row r="2358" spans="1:9" x14ac:dyDescent="0.3">
      <c r="A2358">
        <v>12357</v>
      </c>
      <c r="B2358">
        <v>299</v>
      </c>
      <c r="C2358" s="2">
        <v>45380</v>
      </c>
      <c r="D2358" s="2" t="str">
        <f>TEXT(Table3[[#This Row],[usage_date]],"mmmm")</f>
        <v>March</v>
      </c>
      <c r="E2358" s="9">
        <f>YEAR(Table3[[#This Row],[usage_date]])</f>
        <v>2024</v>
      </c>
      <c r="F2358" s="14">
        <v>4.37</v>
      </c>
      <c r="G2358">
        <v>150</v>
      </c>
      <c r="H2358" t="s">
        <v>12</v>
      </c>
      <c r="I2358" t="str">
        <f t="shared" si="36"/>
        <v>Normal Usage</v>
      </c>
    </row>
    <row r="2359" spans="1:9" x14ac:dyDescent="0.3">
      <c r="A2359">
        <v>12358</v>
      </c>
      <c r="B2359">
        <v>245</v>
      </c>
      <c r="C2359" s="2">
        <v>45334</v>
      </c>
      <c r="D2359" s="2" t="str">
        <f>TEXT(Table3[[#This Row],[usage_date]],"mmmm")</f>
        <v>February</v>
      </c>
      <c r="E2359" s="9">
        <f>YEAR(Table3[[#This Row],[usage_date]])</f>
        <v>2024</v>
      </c>
      <c r="F2359" s="14">
        <v>2.99</v>
      </c>
      <c r="G2359">
        <v>203</v>
      </c>
      <c r="H2359" t="s">
        <v>13</v>
      </c>
      <c r="I2359" t="str">
        <f t="shared" si="36"/>
        <v>Normal Usage</v>
      </c>
    </row>
    <row r="2360" spans="1:9" x14ac:dyDescent="0.3">
      <c r="A2360">
        <v>12359</v>
      </c>
      <c r="B2360">
        <v>336</v>
      </c>
      <c r="C2360" s="2">
        <v>44574</v>
      </c>
      <c r="D2360" s="2" t="str">
        <f>TEXT(Table3[[#This Row],[usage_date]],"mmmm")</f>
        <v>January</v>
      </c>
      <c r="E2360" s="9">
        <f>YEAR(Table3[[#This Row],[usage_date]])</f>
        <v>2022</v>
      </c>
      <c r="F2360" s="14">
        <v>0.21</v>
      </c>
      <c r="G2360">
        <v>181</v>
      </c>
      <c r="H2360" t="s">
        <v>12</v>
      </c>
      <c r="I2360" t="str">
        <f t="shared" si="36"/>
        <v>Normal Usage</v>
      </c>
    </row>
    <row r="2361" spans="1:9" x14ac:dyDescent="0.3">
      <c r="A2361">
        <v>12360</v>
      </c>
      <c r="B2361">
        <v>450</v>
      </c>
      <c r="C2361" s="2">
        <v>45121</v>
      </c>
      <c r="D2361" s="2" t="str">
        <f>TEXT(Table3[[#This Row],[usage_date]],"mmmm")</f>
        <v>July</v>
      </c>
      <c r="E2361" s="9">
        <f>YEAR(Table3[[#This Row],[usage_date]])</f>
        <v>2023</v>
      </c>
      <c r="F2361" s="14">
        <v>1.35</v>
      </c>
      <c r="G2361">
        <v>206</v>
      </c>
      <c r="H2361" t="s">
        <v>13</v>
      </c>
      <c r="I2361" t="str">
        <f t="shared" si="36"/>
        <v>Normal Usage</v>
      </c>
    </row>
    <row r="2362" spans="1:9" x14ac:dyDescent="0.3">
      <c r="A2362">
        <v>12361</v>
      </c>
      <c r="B2362">
        <v>418</v>
      </c>
      <c r="C2362" s="2">
        <v>45386</v>
      </c>
      <c r="D2362" s="2" t="str">
        <f>TEXT(Table3[[#This Row],[usage_date]],"mmmm")</f>
        <v>April</v>
      </c>
      <c r="E2362" s="9">
        <f>YEAR(Table3[[#This Row],[usage_date]])</f>
        <v>2024</v>
      </c>
      <c r="F2362" s="14">
        <v>2.0499999999999998</v>
      </c>
      <c r="G2362">
        <v>146</v>
      </c>
      <c r="H2362" t="s">
        <v>12</v>
      </c>
      <c r="I2362" t="str">
        <f t="shared" si="36"/>
        <v>Normal Usage</v>
      </c>
    </row>
    <row r="2363" spans="1:9" x14ac:dyDescent="0.3">
      <c r="A2363">
        <v>12362</v>
      </c>
      <c r="B2363">
        <v>247</v>
      </c>
      <c r="C2363" s="2">
        <v>44932</v>
      </c>
      <c r="D2363" s="2" t="str">
        <f>TEXT(Table3[[#This Row],[usage_date]],"mmmm")</f>
        <v>January</v>
      </c>
      <c r="E2363" s="9">
        <f>YEAR(Table3[[#This Row],[usage_date]])</f>
        <v>2023</v>
      </c>
      <c r="F2363" s="14">
        <v>0.52</v>
      </c>
      <c r="G2363">
        <v>203</v>
      </c>
      <c r="H2363" t="s">
        <v>12</v>
      </c>
      <c r="I2363" t="str">
        <f t="shared" si="36"/>
        <v>Normal Usage</v>
      </c>
    </row>
    <row r="2364" spans="1:9" x14ac:dyDescent="0.3">
      <c r="A2364">
        <v>12363</v>
      </c>
      <c r="B2364">
        <v>8</v>
      </c>
      <c r="C2364" s="2">
        <v>44852</v>
      </c>
      <c r="D2364" s="2" t="str">
        <f>TEXT(Table3[[#This Row],[usage_date]],"mmmm")</f>
        <v>October</v>
      </c>
      <c r="E2364" s="9">
        <f>YEAR(Table3[[#This Row],[usage_date]])</f>
        <v>2022</v>
      </c>
      <c r="F2364" s="14">
        <v>1.49</v>
      </c>
      <c r="G2364">
        <v>47</v>
      </c>
      <c r="H2364" t="s">
        <v>12</v>
      </c>
      <c r="I2364" t="str">
        <f t="shared" si="36"/>
        <v>Normal Usage</v>
      </c>
    </row>
    <row r="2365" spans="1:9" x14ac:dyDescent="0.3">
      <c r="A2365">
        <v>12364</v>
      </c>
      <c r="B2365">
        <v>141</v>
      </c>
      <c r="C2365" s="2">
        <v>44893</v>
      </c>
      <c r="D2365" s="2" t="str">
        <f>TEXT(Table3[[#This Row],[usage_date]],"mmmm")</f>
        <v>November</v>
      </c>
      <c r="E2365" s="9">
        <f>YEAR(Table3[[#This Row],[usage_date]])</f>
        <v>2022</v>
      </c>
      <c r="F2365" s="14">
        <v>2.2999999999999998</v>
      </c>
      <c r="G2365">
        <v>257</v>
      </c>
      <c r="H2365" t="s">
        <v>12</v>
      </c>
      <c r="I2365" t="str">
        <f t="shared" si="36"/>
        <v>Normal Usage</v>
      </c>
    </row>
    <row r="2366" spans="1:9" x14ac:dyDescent="0.3">
      <c r="A2366">
        <v>12365</v>
      </c>
      <c r="B2366">
        <v>362</v>
      </c>
      <c r="C2366" s="2">
        <v>45167</v>
      </c>
      <c r="D2366" s="2" t="str">
        <f>TEXT(Table3[[#This Row],[usage_date]],"mmmm")</f>
        <v>August</v>
      </c>
      <c r="E2366" s="9">
        <f>YEAR(Table3[[#This Row],[usage_date]])</f>
        <v>2023</v>
      </c>
      <c r="F2366" s="14">
        <v>0.99</v>
      </c>
      <c r="G2366">
        <v>138</v>
      </c>
      <c r="H2366" t="s">
        <v>12</v>
      </c>
      <c r="I2366" t="str">
        <f t="shared" si="36"/>
        <v>Normal Usage</v>
      </c>
    </row>
    <row r="2367" spans="1:9" x14ac:dyDescent="0.3">
      <c r="A2367">
        <v>12366</v>
      </c>
      <c r="B2367">
        <v>8</v>
      </c>
      <c r="C2367" s="2">
        <v>44822</v>
      </c>
      <c r="D2367" s="2" t="str">
        <f>TEXT(Table3[[#This Row],[usage_date]],"mmmm")</f>
        <v>September</v>
      </c>
      <c r="E2367" s="9">
        <f>YEAR(Table3[[#This Row],[usage_date]])</f>
        <v>2022</v>
      </c>
      <c r="F2367" s="14">
        <v>3.8</v>
      </c>
      <c r="G2367">
        <v>171</v>
      </c>
      <c r="H2367" t="s">
        <v>12</v>
      </c>
      <c r="I2367" t="str">
        <f t="shared" si="36"/>
        <v>Normal Usage</v>
      </c>
    </row>
    <row r="2368" spans="1:9" x14ac:dyDescent="0.3">
      <c r="A2368">
        <v>12367</v>
      </c>
      <c r="B2368">
        <v>478</v>
      </c>
      <c r="C2368" s="2">
        <v>45351</v>
      </c>
      <c r="D2368" s="2" t="str">
        <f>TEXT(Table3[[#This Row],[usage_date]],"mmmm")</f>
        <v>February</v>
      </c>
      <c r="E2368" s="9">
        <f>YEAR(Table3[[#This Row],[usage_date]])</f>
        <v>2024</v>
      </c>
      <c r="F2368" s="14">
        <v>4.59</v>
      </c>
      <c r="G2368">
        <v>100</v>
      </c>
      <c r="H2368" t="s">
        <v>12</v>
      </c>
      <c r="I2368" t="str">
        <f t="shared" si="36"/>
        <v>Normal Usage</v>
      </c>
    </row>
    <row r="2369" spans="1:9" x14ac:dyDescent="0.3">
      <c r="A2369">
        <v>12368</v>
      </c>
      <c r="B2369">
        <v>352</v>
      </c>
      <c r="C2369" s="2">
        <v>45432</v>
      </c>
      <c r="D2369" s="2" t="str">
        <f>TEXT(Table3[[#This Row],[usage_date]],"mmmm")</f>
        <v>May</v>
      </c>
      <c r="E2369" s="9">
        <f>YEAR(Table3[[#This Row],[usage_date]])</f>
        <v>2024</v>
      </c>
      <c r="F2369" s="14">
        <v>0.98</v>
      </c>
      <c r="G2369">
        <v>186</v>
      </c>
      <c r="H2369" t="s">
        <v>12</v>
      </c>
      <c r="I2369" t="str">
        <f t="shared" si="36"/>
        <v>Normal Usage</v>
      </c>
    </row>
    <row r="2370" spans="1:9" x14ac:dyDescent="0.3">
      <c r="A2370">
        <v>12369</v>
      </c>
      <c r="B2370">
        <v>484</v>
      </c>
      <c r="C2370" s="2">
        <v>44766</v>
      </c>
      <c r="D2370" s="2" t="str">
        <f>TEXT(Table3[[#This Row],[usage_date]],"mmmm")</f>
        <v>July</v>
      </c>
      <c r="E2370" s="9">
        <f>YEAR(Table3[[#This Row],[usage_date]])</f>
        <v>2022</v>
      </c>
      <c r="F2370" s="14">
        <v>4.5599999999999996</v>
      </c>
      <c r="G2370">
        <v>293</v>
      </c>
      <c r="H2370" t="s">
        <v>13</v>
      </c>
      <c r="I2370" t="str">
        <f t="shared" ref="I2370:I2433" si="37">IF(F2370&gt;6,"High Usage","Normal Usage")</f>
        <v>Normal Usage</v>
      </c>
    </row>
    <row r="2371" spans="1:9" x14ac:dyDescent="0.3">
      <c r="A2371">
        <v>12370</v>
      </c>
      <c r="B2371">
        <v>495</v>
      </c>
      <c r="C2371" s="2">
        <v>45258</v>
      </c>
      <c r="D2371" s="2" t="str">
        <f>TEXT(Table3[[#This Row],[usage_date]],"mmmm")</f>
        <v>November</v>
      </c>
      <c r="E2371" s="9">
        <f>YEAR(Table3[[#This Row],[usage_date]])</f>
        <v>2023</v>
      </c>
      <c r="F2371" s="14">
        <v>0.27</v>
      </c>
      <c r="G2371">
        <v>20</v>
      </c>
      <c r="H2371" t="s">
        <v>12</v>
      </c>
      <c r="I2371" t="str">
        <f t="shared" si="37"/>
        <v>Normal Usage</v>
      </c>
    </row>
    <row r="2372" spans="1:9" x14ac:dyDescent="0.3">
      <c r="A2372">
        <v>12371</v>
      </c>
      <c r="B2372">
        <v>94</v>
      </c>
      <c r="C2372" s="2">
        <v>45248</v>
      </c>
      <c r="D2372" s="2" t="str">
        <f>TEXT(Table3[[#This Row],[usage_date]],"mmmm")</f>
        <v>November</v>
      </c>
      <c r="E2372" s="9">
        <f>YEAR(Table3[[#This Row],[usage_date]])</f>
        <v>2023</v>
      </c>
      <c r="F2372" s="14">
        <v>4.55</v>
      </c>
      <c r="G2372">
        <v>297</v>
      </c>
      <c r="H2372" t="s">
        <v>12</v>
      </c>
      <c r="I2372" t="str">
        <f t="shared" si="37"/>
        <v>Normal Usage</v>
      </c>
    </row>
    <row r="2373" spans="1:9" x14ac:dyDescent="0.3">
      <c r="A2373">
        <v>12372</v>
      </c>
      <c r="B2373">
        <v>321</v>
      </c>
      <c r="C2373" s="2">
        <v>44948</v>
      </c>
      <c r="D2373" s="2" t="str">
        <f>TEXT(Table3[[#This Row],[usage_date]],"mmmm")</f>
        <v>January</v>
      </c>
      <c r="E2373" s="9">
        <f>YEAR(Table3[[#This Row],[usage_date]])</f>
        <v>2023</v>
      </c>
      <c r="F2373" s="14">
        <v>0.41</v>
      </c>
      <c r="G2373">
        <v>9</v>
      </c>
      <c r="H2373" t="s">
        <v>12</v>
      </c>
      <c r="I2373" t="str">
        <f t="shared" si="37"/>
        <v>Normal Usage</v>
      </c>
    </row>
    <row r="2374" spans="1:9" x14ac:dyDescent="0.3">
      <c r="A2374">
        <v>12373</v>
      </c>
      <c r="B2374">
        <v>427</v>
      </c>
      <c r="C2374" s="2">
        <v>45453</v>
      </c>
      <c r="D2374" s="2" t="str">
        <f>TEXT(Table3[[#This Row],[usage_date]],"mmmm")</f>
        <v>June</v>
      </c>
      <c r="E2374" s="9">
        <f>YEAR(Table3[[#This Row],[usage_date]])</f>
        <v>2024</v>
      </c>
      <c r="F2374" s="14">
        <v>0.22</v>
      </c>
      <c r="G2374">
        <v>186</v>
      </c>
      <c r="H2374" t="s">
        <v>12</v>
      </c>
      <c r="I2374" t="str">
        <f t="shared" si="37"/>
        <v>Normal Usage</v>
      </c>
    </row>
    <row r="2375" spans="1:9" x14ac:dyDescent="0.3">
      <c r="A2375">
        <v>12374</v>
      </c>
      <c r="B2375">
        <v>39</v>
      </c>
      <c r="C2375" s="2">
        <v>45382</v>
      </c>
      <c r="D2375" s="2" t="str">
        <f>TEXT(Table3[[#This Row],[usage_date]],"mmmm")</f>
        <v>March</v>
      </c>
      <c r="E2375" s="9">
        <f>YEAR(Table3[[#This Row],[usage_date]])</f>
        <v>2024</v>
      </c>
      <c r="F2375" s="14">
        <v>2.57</v>
      </c>
      <c r="G2375">
        <v>132</v>
      </c>
      <c r="H2375" t="s">
        <v>13</v>
      </c>
      <c r="I2375" t="str">
        <f t="shared" si="37"/>
        <v>Normal Usage</v>
      </c>
    </row>
    <row r="2376" spans="1:9" x14ac:dyDescent="0.3">
      <c r="A2376">
        <v>12375</v>
      </c>
      <c r="B2376">
        <v>81</v>
      </c>
      <c r="C2376" s="2">
        <v>45029</v>
      </c>
      <c r="D2376" s="2" t="str">
        <f>TEXT(Table3[[#This Row],[usage_date]],"mmmm")</f>
        <v>April</v>
      </c>
      <c r="E2376" s="9">
        <f>YEAR(Table3[[#This Row],[usage_date]])</f>
        <v>2023</v>
      </c>
      <c r="F2376" s="14">
        <v>1.6</v>
      </c>
      <c r="G2376">
        <v>32</v>
      </c>
      <c r="H2376" t="s">
        <v>12</v>
      </c>
      <c r="I2376" t="str">
        <f t="shared" si="37"/>
        <v>Normal Usage</v>
      </c>
    </row>
    <row r="2377" spans="1:9" x14ac:dyDescent="0.3">
      <c r="A2377">
        <v>12376</v>
      </c>
      <c r="B2377">
        <v>187</v>
      </c>
      <c r="C2377" s="2">
        <v>44976</v>
      </c>
      <c r="D2377" s="2" t="str">
        <f>TEXT(Table3[[#This Row],[usage_date]],"mmmm")</f>
        <v>February</v>
      </c>
      <c r="E2377" s="9">
        <f>YEAR(Table3[[#This Row],[usage_date]])</f>
        <v>2023</v>
      </c>
      <c r="F2377" s="14">
        <v>5.96</v>
      </c>
      <c r="G2377">
        <v>68</v>
      </c>
      <c r="H2377" t="s">
        <v>12</v>
      </c>
      <c r="I2377" t="str">
        <f t="shared" si="37"/>
        <v>Normal Usage</v>
      </c>
    </row>
    <row r="2378" spans="1:9" x14ac:dyDescent="0.3">
      <c r="A2378">
        <v>12377</v>
      </c>
      <c r="B2378">
        <v>84</v>
      </c>
      <c r="C2378" s="2">
        <v>44630</v>
      </c>
      <c r="D2378" s="2" t="str">
        <f>TEXT(Table3[[#This Row],[usage_date]],"mmmm")</f>
        <v>March</v>
      </c>
      <c r="E2378" s="9">
        <f>YEAR(Table3[[#This Row],[usage_date]])</f>
        <v>2022</v>
      </c>
      <c r="F2378" s="14">
        <v>1.1299999999999999</v>
      </c>
      <c r="G2378">
        <v>79</v>
      </c>
      <c r="H2378" t="s">
        <v>12</v>
      </c>
      <c r="I2378" t="str">
        <f t="shared" si="37"/>
        <v>Normal Usage</v>
      </c>
    </row>
    <row r="2379" spans="1:9" x14ac:dyDescent="0.3">
      <c r="A2379">
        <v>12378</v>
      </c>
      <c r="B2379">
        <v>88</v>
      </c>
      <c r="C2379" s="2">
        <v>45033</v>
      </c>
      <c r="D2379" s="2" t="str">
        <f>TEXT(Table3[[#This Row],[usage_date]],"mmmm")</f>
        <v>April</v>
      </c>
      <c r="E2379" s="9">
        <f>YEAR(Table3[[#This Row],[usage_date]])</f>
        <v>2023</v>
      </c>
      <c r="F2379" s="14">
        <v>0.85</v>
      </c>
      <c r="G2379">
        <v>190</v>
      </c>
      <c r="H2379" t="s">
        <v>12</v>
      </c>
      <c r="I2379" t="str">
        <f t="shared" si="37"/>
        <v>Normal Usage</v>
      </c>
    </row>
    <row r="2380" spans="1:9" x14ac:dyDescent="0.3">
      <c r="A2380">
        <v>12379</v>
      </c>
      <c r="B2380">
        <v>242</v>
      </c>
      <c r="C2380" s="2">
        <v>44665</v>
      </c>
      <c r="D2380" s="2" t="str">
        <f>TEXT(Table3[[#This Row],[usage_date]],"mmmm")</f>
        <v>April</v>
      </c>
      <c r="E2380" s="9">
        <f>YEAR(Table3[[#This Row],[usage_date]])</f>
        <v>2022</v>
      </c>
      <c r="F2380" s="14">
        <v>1.74</v>
      </c>
      <c r="G2380">
        <v>100</v>
      </c>
      <c r="H2380" t="s">
        <v>12</v>
      </c>
      <c r="I2380" t="str">
        <f t="shared" si="37"/>
        <v>Normal Usage</v>
      </c>
    </row>
    <row r="2381" spans="1:9" x14ac:dyDescent="0.3">
      <c r="A2381">
        <v>12380</v>
      </c>
      <c r="B2381">
        <v>342</v>
      </c>
      <c r="C2381" s="2">
        <v>45319</v>
      </c>
      <c r="D2381" s="2" t="str">
        <f>TEXT(Table3[[#This Row],[usage_date]],"mmmm")</f>
        <v>January</v>
      </c>
      <c r="E2381" s="9">
        <f>YEAR(Table3[[#This Row],[usage_date]])</f>
        <v>2024</v>
      </c>
      <c r="F2381" s="14">
        <v>1.52</v>
      </c>
      <c r="G2381">
        <v>284</v>
      </c>
      <c r="H2381" t="s">
        <v>13</v>
      </c>
      <c r="I2381" t="str">
        <f t="shared" si="37"/>
        <v>Normal Usage</v>
      </c>
    </row>
    <row r="2382" spans="1:9" x14ac:dyDescent="0.3">
      <c r="A2382">
        <v>12381</v>
      </c>
      <c r="B2382">
        <v>93</v>
      </c>
      <c r="C2382" s="2">
        <v>44722</v>
      </c>
      <c r="D2382" s="2" t="str">
        <f>TEXT(Table3[[#This Row],[usage_date]],"mmmm")</f>
        <v>June</v>
      </c>
      <c r="E2382" s="9">
        <f>YEAR(Table3[[#This Row],[usage_date]])</f>
        <v>2022</v>
      </c>
      <c r="F2382" s="14">
        <v>1.06</v>
      </c>
      <c r="G2382">
        <v>220</v>
      </c>
      <c r="H2382" t="s">
        <v>12</v>
      </c>
      <c r="I2382" t="str">
        <f t="shared" si="37"/>
        <v>Normal Usage</v>
      </c>
    </row>
    <row r="2383" spans="1:9" x14ac:dyDescent="0.3">
      <c r="A2383">
        <v>12382</v>
      </c>
      <c r="B2383">
        <v>86</v>
      </c>
      <c r="C2383" s="2">
        <v>44761</v>
      </c>
      <c r="D2383" s="2" t="str">
        <f>TEXT(Table3[[#This Row],[usage_date]],"mmmm")</f>
        <v>July</v>
      </c>
      <c r="E2383" s="9">
        <f>YEAR(Table3[[#This Row],[usage_date]])</f>
        <v>2022</v>
      </c>
      <c r="F2383" s="14">
        <v>2.96</v>
      </c>
      <c r="G2383">
        <v>52</v>
      </c>
      <c r="H2383" t="s">
        <v>12</v>
      </c>
      <c r="I2383" t="str">
        <f t="shared" si="37"/>
        <v>Normal Usage</v>
      </c>
    </row>
    <row r="2384" spans="1:9" x14ac:dyDescent="0.3">
      <c r="A2384">
        <v>12383</v>
      </c>
      <c r="B2384">
        <v>44</v>
      </c>
      <c r="C2384" s="2">
        <v>44777</v>
      </c>
      <c r="D2384" s="2" t="str">
        <f>TEXT(Table3[[#This Row],[usage_date]],"mmmm")</f>
        <v>August</v>
      </c>
      <c r="E2384" s="9">
        <f>YEAR(Table3[[#This Row],[usage_date]])</f>
        <v>2022</v>
      </c>
      <c r="F2384" s="14">
        <v>3.56</v>
      </c>
      <c r="G2384">
        <v>159</v>
      </c>
      <c r="H2384" t="s">
        <v>12</v>
      </c>
      <c r="I2384" t="str">
        <f t="shared" si="37"/>
        <v>Normal Usage</v>
      </c>
    </row>
    <row r="2385" spans="1:9" x14ac:dyDescent="0.3">
      <c r="A2385">
        <v>12384</v>
      </c>
      <c r="B2385">
        <v>137</v>
      </c>
      <c r="C2385" s="2">
        <v>44773</v>
      </c>
      <c r="D2385" s="2" t="str">
        <f>TEXT(Table3[[#This Row],[usage_date]],"mmmm")</f>
        <v>July</v>
      </c>
      <c r="E2385" s="9">
        <f>YEAR(Table3[[#This Row],[usage_date]])</f>
        <v>2022</v>
      </c>
      <c r="F2385" s="14">
        <v>4.79</v>
      </c>
      <c r="G2385">
        <v>41</v>
      </c>
      <c r="H2385" t="s">
        <v>12</v>
      </c>
      <c r="I2385" t="str">
        <f t="shared" si="37"/>
        <v>Normal Usage</v>
      </c>
    </row>
    <row r="2386" spans="1:9" x14ac:dyDescent="0.3">
      <c r="A2386">
        <v>12385</v>
      </c>
      <c r="B2386">
        <v>421</v>
      </c>
      <c r="C2386" s="2">
        <v>45069</v>
      </c>
      <c r="D2386" s="2" t="str">
        <f>TEXT(Table3[[#This Row],[usage_date]],"mmmm")</f>
        <v>May</v>
      </c>
      <c r="E2386" s="9">
        <f>YEAR(Table3[[#This Row],[usage_date]])</f>
        <v>2023</v>
      </c>
      <c r="F2386" s="14">
        <v>9.02</v>
      </c>
      <c r="G2386">
        <v>46</v>
      </c>
      <c r="H2386" t="s">
        <v>12</v>
      </c>
      <c r="I2386" t="str">
        <f t="shared" si="37"/>
        <v>High Usage</v>
      </c>
    </row>
    <row r="2387" spans="1:9" x14ac:dyDescent="0.3">
      <c r="A2387">
        <v>12386</v>
      </c>
      <c r="B2387">
        <v>74</v>
      </c>
      <c r="C2387" s="2">
        <v>44577</v>
      </c>
      <c r="D2387" s="2" t="str">
        <f>TEXT(Table3[[#This Row],[usage_date]],"mmmm")</f>
        <v>January</v>
      </c>
      <c r="E2387" s="9">
        <f>YEAR(Table3[[#This Row],[usage_date]])</f>
        <v>2022</v>
      </c>
      <c r="F2387" s="14">
        <v>0.78</v>
      </c>
      <c r="G2387">
        <v>158</v>
      </c>
      <c r="H2387" t="s">
        <v>12</v>
      </c>
      <c r="I2387" t="str">
        <f t="shared" si="37"/>
        <v>Normal Usage</v>
      </c>
    </row>
    <row r="2388" spans="1:9" x14ac:dyDescent="0.3">
      <c r="A2388">
        <v>12387</v>
      </c>
      <c r="B2388">
        <v>36</v>
      </c>
      <c r="C2388" s="2">
        <v>45059</v>
      </c>
      <c r="D2388" s="2" t="str">
        <f>TEXT(Table3[[#This Row],[usage_date]],"mmmm")</f>
        <v>May</v>
      </c>
      <c r="E2388" s="9">
        <f>YEAR(Table3[[#This Row],[usage_date]])</f>
        <v>2023</v>
      </c>
      <c r="F2388" s="14">
        <v>3.15</v>
      </c>
      <c r="G2388">
        <v>183</v>
      </c>
      <c r="H2388" t="s">
        <v>12</v>
      </c>
      <c r="I2388" t="str">
        <f t="shared" si="37"/>
        <v>Normal Usage</v>
      </c>
    </row>
    <row r="2389" spans="1:9" x14ac:dyDescent="0.3">
      <c r="A2389">
        <v>12388</v>
      </c>
      <c r="B2389">
        <v>101</v>
      </c>
      <c r="C2389" s="2">
        <v>45445</v>
      </c>
      <c r="D2389" s="2" t="str">
        <f>TEXT(Table3[[#This Row],[usage_date]],"mmmm")</f>
        <v>June</v>
      </c>
      <c r="E2389" s="9">
        <f>YEAR(Table3[[#This Row],[usage_date]])</f>
        <v>2024</v>
      </c>
      <c r="F2389" s="14">
        <v>1.25</v>
      </c>
      <c r="G2389">
        <v>245</v>
      </c>
      <c r="H2389" t="s">
        <v>12</v>
      </c>
      <c r="I2389" t="str">
        <f t="shared" si="37"/>
        <v>Normal Usage</v>
      </c>
    </row>
    <row r="2390" spans="1:9" x14ac:dyDescent="0.3">
      <c r="A2390">
        <v>12389</v>
      </c>
      <c r="B2390">
        <v>476</v>
      </c>
      <c r="C2390" s="2">
        <v>44893</v>
      </c>
      <c r="D2390" s="2" t="str">
        <f>TEXT(Table3[[#This Row],[usage_date]],"mmmm")</f>
        <v>November</v>
      </c>
      <c r="E2390" s="9">
        <f>YEAR(Table3[[#This Row],[usage_date]])</f>
        <v>2022</v>
      </c>
      <c r="F2390" s="14">
        <v>2.83</v>
      </c>
      <c r="G2390">
        <v>10</v>
      </c>
      <c r="H2390" t="s">
        <v>12</v>
      </c>
      <c r="I2390" t="str">
        <f t="shared" si="37"/>
        <v>Normal Usage</v>
      </c>
    </row>
    <row r="2391" spans="1:9" x14ac:dyDescent="0.3">
      <c r="A2391">
        <v>12390</v>
      </c>
      <c r="B2391">
        <v>156</v>
      </c>
      <c r="C2391" s="2">
        <v>45278</v>
      </c>
      <c r="D2391" s="2" t="str">
        <f>TEXT(Table3[[#This Row],[usage_date]],"mmmm")</f>
        <v>December</v>
      </c>
      <c r="E2391" s="9">
        <f>YEAR(Table3[[#This Row],[usage_date]])</f>
        <v>2023</v>
      </c>
      <c r="F2391" s="14">
        <v>1.62</v>
      </c>
      <c r="G2391">
        <v>153</v>
      </c>
      <c r="H2391" t="s">
        <v>12</v>
      </c>
      <c r="I2391" t="str">
        <f t="shared" si="37"/>
        <v>Normal Usage</v>
      </c>
    </row>
    <row r="2392" spans="1:9" x14ac:dyDescent="0.3">
      <c r="A2392">
        <v>12391</v>
      </c>
      <c r="B2392">
        <v>426</v>
      </c>
      <c r="C2392" s="2">
        <v>45438</v>
      </c>
      <c r="D2392" s="2" t="str">
        <f>TEXT(Table3[[#This Row],[usage_date]],"mmmm")</f>
        <v>May</v>
      </c>
      <c r="E2392" s="9">
        <f>YEAR(Table3[[#This Row],[usage_date]])</f>
        <v>2024</v>
      </c>
      <c r="F2392" s="14">
        <v>12.7</v>
      </c>
      <c r="G2392">
        <v>219</v>
      </c>
      <c r="H2392" t="s">
        <v>12</v>
      </c>
      <c r="I2392" t="str">
        <f t="shared" si="37"/>
        <v>High Usage</v>
      </c>
    </row>
    <row r="2393" spans="1:9" x14ac:dyDescent="0.3">
      <c r="A2393">
        <v>12392</v>
      </c>
      <c r="B2393">
        <v>255</v>
      </c>
      <c r="C2393" s="2">
        <v>45112</v>
      </c>
      <c r="D2393" s="2" t="str">
        <f>TEXT(Table3[[#This Row],[usage_date]],"mmmm")</f>
        <v>July</v>
      </c>
      <c r="E2393" s="9">
        <f>YEAR(Table3[[#This Row],[usage_date]])</f>
        <v>2023</v>
      </c>
      <c r="F2393" s="14">
        <v>3.26</v>
      </c>
      <c r="G2393">
        <v>154</v>
      </c>
      <c r="H2393" t="s">
        <v>12</v>
      </c>
      <c r="I2393" t="str">
        <f t="shared" si="37"/>
        <v>Normal Usage</v>
      </c>
    </row>
    <row r="2394" spans="1:9" x14ac:dyDescent="0.3">
      <c r="A2394">
        <v>12393</v>
      </c>
      <c r="B2394">
        <v>171</v>
      </c>
      <c r="C2394" s="2">
        <v>45162</v>
      </c>
      <c r="D2394" s="2" t="str">
        <f>TEXT(Table3[[#This Row],[usage_date]],"mmmm")</f>
        <v>August</v>
      </c>
      <c r="E2394" s="9">
        <f>YEAR(Table3[[#This Row],[usage_date]])</f>
        <v>2023</v>
      </c>
      <c r="F2394" s="14">
        <v>7.62</v>
      </c>
      <c r="G2394">
        <v>282</v>
      </c>
      <c r="H2394" t="s">
        <v>12</v>
      </c>
      <c r="I2394" t="str">
        <f t="shared" si="37"/>
        <v>High Usage</v>
      </c>
    </row>
    <row r="2395" spans="1:9" x14ac:dyDescent="0.3">
      <c r="A2395">
        <v>12394</v>
      </c>
      <c r="B2395">
        <v>469</v>
      </c>
      <c r="C2395" s="2">
        <v>44817</v>
      </c>
      <c r="D2395" s="2" t="str">
        <f>TEXT(Table3[[#This Row],[usage_date]],"mmmm")</f>
        <v>September</v>
      </c>
      <c r="E2395" s="9">
        <f>YEAR(Table3[[#This Row],[usage_date]])</f>
        <v>2022</v>
      </c>
      <c r="F2395" s="14">
        <v>4.5</v>
      </c>
      <c r="G2395">
        <v>186</v>
      </c>
      <c r="H2395" t="s">
        <v>12</v>
      </c>
      <c r="I2395" t="str">
        <f t="shared" si="37"/>
        <v>Normal Usage</v>
      </c>
    </row>
    <row r="2396" spans="1:9" x14ac:dyDescent="0.3">
      <c r="A2396">
        <v>12395</v>
      </c>
      <c r="B2396">
        <v>216</v>
      </c>
      <c r="C2396" s="2">
        <v>45327</v>
      </c>
      <c r="D2396" s="2" t="str">
        <f>TEXT(Table3[[#This Row],[usage_date]],"mmmm")</f>
        <v>February</v>
      </c>
      <c r="E2396" s="9">
        <f>YEAR(Table3[[#This Row],[usage_date]])</f>
        <v>2024</v>
      </c>
      <c r="F2396" s="14">
        <v>5.83</v>
      </c>
      <c r="G2396">
        <v>61</v>
      </c>
      <c r="H2396" t="s">
        <v>13</v>
      </c>
      <c r="I2396" t="str">
        <f t="shared" si="37"/>
        <v>Normal Usage</v>
      </c>
    </row>
    <row r="2397" spans="1:9" x14ac:dyDescent="0.3">
      <c r="A2397">
        <v>12396</v>
      </c>
      <c r="B2397">
        <v>170</v>
      </c>
      <c r="C2397" s="2">
        <v>45289</v>
      </c>
      <c r="D2397" s="2" t="str">
        <f>TEXT(Table3[[#This Row],[usage_date]],"mmmm")</f>
        <v>December</v>
      </c>
      <c r="E2397" s="9">
        <f>YEAR(Table3[[#This Row],[usage_date]])</f>
        <v>2023</v>
      </c>
      <c r="F2397" s="14">
        <v>4.21</v>
      </c>
      <c r="G2397">
        <v>147</v>
      </c>
      <c r="H2397" t="s">
        <v>13</v>
      </c>
      <c r="I2397" t="str">
        <f t="shared" si="37"/>
        <v>Normal Usage</v>
      </c>
    </row>
    <row r="2398" spans="1:9" x14ac:dyDescent="0.3">
      <c r="A2398">
        <v>12397</v>
      </c>
      <c r="B2398">
        <v>252</v>
      </c>
      <c r="C2398" s="2">
        <v>45441</v>
      </c>
      <c r="D2398" s="2" t="str">
        <f>TEXT(Table3[[#This Row],[usage_date]],"mmmm")</f>
        <v>May</v>
      </c>
      <c r="E2398" s="9">
        <f>YEAR(Table3[[#This Row],[usage_date]])</f>
        <v>2024</v>
      </c>
      <c r="F2398" s="14">
        <v>1.54</v>
      </c>
      <c r="G2398">
        <v>143</v>
      </c>
      <c r="H2398" t="s">
        <v>13</v>
      </c>
      <c r="I2398" t="str">
        <f t="shared" si="37"/>
        <v>Normal Usage</v>
      </c>
    </row>
    <row r="2399" spans="1:9" x14ac:dyDescent="0.3">
      <c r="A2399">
        <v>12398</v>
      </c>
      <c r="B2399">
        <v>360</v>
      </c>
      <c r="C2399" s="2">
        <v>45376</v>
      </c>
      <c r="D2399" s="2" t="str">
        <f>TEXT(Table3[[#This Row],[usage_date]],"mmmm")</f>
        <v>March</v>
      </c>
      <c r="E2399" s="9">
        <f>YEAR(Table3[[#This Row],[usage_date]])</f>
        <v>2024</v>
      </c>
      <c r="F2399" s="14">
        <v>0.73</v>
      </c>
      <c r="G2399">
        <v>102</v>
      </c>
      <c r="H2399" t="s">
        <v>13</v>
      </c>
      <c r="I2399" t="str">
        <f t="shared" si="37"/>
        <v>Normal Usage</v>
      </c>
    </row>
    <row r="2400" spans="1:9" x14ac:dyDescent="0.3">
      <c r="A2400">
        <v>12399</v>
      </c>
      <c r="B2400">
        <v>322</v>
      </c>
      <c r="C2400" s="2">
        <v>44733</v>
      </c>
      <c r="D2400" s="2" t="str">
        <f>TEXT(Table3[[#This Row],[usage_date]],"mmmm")</f>
        <v>June</v>
      </c>
      <c r="E2400" s="9">
        <f>YEAR(Table3[[#This Row],[usage_date]])</f>
        <v>2022</v>
      </c>
      <c r="F2400" s="14">
        <v>1.1599999999999999</v>
      </c>
      <c r="G2400">
        <v>299</v>
      </c>
      <c r="H2400" t="s">
        <v>13</v>
      </c>
      <c r="I2400" t="str">
        <f t="shared" si="37"/>
        <v>Normal Usage</v>
      </c>
    </row>
    <row r="2401" spans="1:9" x14ac:dyDescent="0.3">
      <c r="A2401">
        <v>12400</v>
      </c>
      <c r="B2401">
        <v>55</v>
      </c>
      <c r="C2401" s="2">
        <v>45210</v>
      </c>
      <c r="D2401" s="2" t="str">
        <f>TEXT(Table3[[#This Row],[usage_date]],"mmmm")</f>
        <v>October</v>
      </c>
      <c r="E2401" s="9">
        <f>YEAR(Table3[[#This Row],[usage_date]])</f>
        <v>2023</v>
      </c>
      <c r="F2401" s="14">
        <v>0.05</v>
      </c>
      <c r="G2401">
        <v>92</v>
      </c>
      <c r="H2401" t="s">
        <v>13</v>
      </c>
      <c r="I2401" t="str">
        <f t="shared" si="37"/>
        <v>Normal Usage</v>
      </c>
    </row>
    <row r="2402" spans="1:9" x14ac:dyDescent="0.3">
      <c r="A2402">
        <v>12401</v>
      </c>
      <c r="B2402">
        <v>456</v>
      </c>
      <c r="C2402" s="2">
        <v>45059</v>
      </c>
      <c r="D2402" s="2" t="str">
        <f>TEXT(Table3[[#This Row],[usage_date]],"mmmm")</f>
        <v>May</v>
      </c>
      <c r="E2402" s="9">
        <f>YEAR(Table3[[#This Row],[usage_date]])</f>
        <v>2023</v>
      </c>
      <c r="F2402" s="14">
        <v>1.86</v>
      </c>
      <c r="G2402">
        <v>285</v>
      </c>
      <c r="H2402" t="s">
        <v>13</v>
      </c>
      <c r="I2402" t="str">
        <f t="shared" si="37"/>
        <v>Normal Usage</v>
      </c>
    </row>
    <row r="2403" spans="1:9" x14ac:dyDescent="0.3">
      <c r="A2403">
        <v>12402</v>
      </c>
      <c r="B2403">
        <v>432</v>
      </c>
      <c r="C2403" s="2">
        <v>45032</v>
      </c>
      <c r="D2403" s="2" t="str">
        <f>TEXT(Table3[[#This Row],[usage_date]],"mmmm")</f>
        <v>April</v>
      </c>
      <c r="E2403" s="9">
        <f>YEAR(Table3[[#This Row],[usage_date]])</f>
        <v>2023</v>
      </c>
      <c r="F2403" s="14">
        <v>1.76</v>
      </c>
      <c r="G2403">
        <v>118</v>
      </c>
      <c r="H2403" t="s">
        <v>13</v>
      </c>
      <c r="I2403" t="str">
        <f t="shared" si="37"/>
        <v>Normal Usage</v>
      </c>
    </row>
    <row r="2404" spans="1:9" x14ac:dyDescent="0.3">
      <c r="A2404">
        <v>12403</v>
      </c>
      <c r="B2404">
        <v>91</v>
      </c>
      <c r="C2404" s="2">
        <v>44945</v>
      </c>
      <c r="D2404" s="2" t="str">
        <f>TEXT(Table3[[#This Row],[usage_date]],"mmmm")</f>
        <v>January</v>
      </c>
      <c r="E2404" s="9">
        <f>YEAR(Table3[[#This Row],[usage_date]])</f>
        <v>2023</v>
      </c>
      <c r="F2404" s="14">
        <v>1.86</v>
      </c>
      <c r="G2404">
        <v>28</v>
      </c>
      <c r="H2404" t="s">
        <v>12</v>
      </c>
      <c r="I2404" t="str">
        <f t="shared" si="37"/>
        <v>Normal Usage</v>
      </c>
    </row>
    <row r="2405" spans="1:9" x14ac:dyDescent="0.3">
      <c r="A2405">
        <v>12404</v>
      </c>
      <c r="B2405">
        <v>278</v>
      </c>
      <c r="C2405" s="2">
        <v>45251</v>
      </c>
      <c r="D2405" s="2" t="str">
        <f>TEXT(Table3[[#This Row],[usage_date]],"mmmm")</f>
        <v>November</v>
      </c>
      <c r="E2405" s="9">
        <f>YEAR(Table3[[#This Row],[usage_date]])</f>
        <v>2023</v>
      </c>
      <c r="F2405" s="14">
        <v>9.1300000000000008</v>
      </c>
      <c r="G2405">
        <v>29</v>
      </c>
      <c r="H2405" t="s">
        <v>12</v>
      </c>
      <c r="I2405" t="str">
        <f t="shared" si="37"/>
        <v>High Usage</v>
      </c>
    </row>
    <row r="2406" spans="1:9" x14ac:dyDescent="0.3">
      <c r="A2406">
        <v>12405</v>
      </c>
      <c r="B2406">
        <v>101</v>
      </c>
      <c r="C2406" s="2">
        <v>45150</v>
      </c>
      <c r="D2406" s="2" t="str">
        <f>TEXT(Table3[[#This Row],[usage_date]],"mmmm")</f>
        <v>August</v>
      </c>
      <c r="E2406" s="9">
        <f>YEAR(Table3[[#This Row],[usage_date]])</f>
        <v>2023</v>
      </c>
      <c r="F2406" s="14">
        <v>6.06</v>
      </c>
      <c r="G2406">
        <v>287</v>
      </c>
      <c r="H2406" t="s">
        <v>13</v>
      </c>
      <c r="I2406" t="str">
        <f t="shared" si="37"/>
        <v>High Usage</v>
      </c>
    </row>
    <row r="2407" spans="1:9" x14ac:dyDescent="0.3">
      <c r="A2407">
        <v>12406</v>
      </c>
      <c r="B2407">
        <v>155</v>
      </c>
      <c r="C2407" s="2">
        <v>45261</v>
      </c>
      <c r="D2407" s="2" t="str">
        <f>TEXT(Table3[[#This Row],[usage_date]],"mmmm")</f>
        <v>December</v>
      </c>
      <c r="E2407" s="9">
        <f>YEAR(Table3[[#This Row],[usage_date]])</f>
        <v>2023</v>
      </c>
      <c r="F2407" s="14">
        <v>0.44</v>
      </c>
      <c r="G2407">
        <v>137</v>
      </c>
      <c r="H2407" t="s">
        <v>12</v>
      </c>
      <c r="I2407" t="str">
        <f t="shared" si="37"/>
        <v>Normal Usage</v>
      </c>
    </row>
    <row r="2408" spans="1:9" x14ac:dyDescent="0.3">
      <c r="A2408">
        <v>12407</v>
      </c>
      <c r="B2408">
        <v>377</v>
      </c>
      <c r="C2408" s="2">
        <v>45068</v>
      </c>
      <c r="D2408" s="2" t="str">
        <f>TEXT(Table3[[#This Row],[usage_date]],"mmmm")</f>
        <v>May</v>
      </c>
      <c r="E2408" s="9">
        <f>YEAR(Table3[[#This Row],[usage_date]])</f>
        <v>2023</v>
      </c>
      <c r="F2408" s="14">
        <v>1.1499999999999999</v>
      </c>
      <c r="G2408">
        <v>50</v>
      </c>
      <c r="H2408" t="s">
        <v>13</v>
      </c>
      <c r="I2408" t="str">
        <f t="shared" si="37"/>
        <v>Normal Usage</v>
      </c>
    </row>
    <row r="2409" spans="1:9" x14ac:dyDescent="0.3">
      <c r="A2409">
        <v>12408</v>
      </c>
      <c r="B2409">
        <v>349</v>
      </c>
      <c r="C2409" s="2">
        <v>45088</v>
      </c>
      <c r="D2409" s="2" t="str">
        <f>TEXT(Table3[[#This Row],[usage_date]],"mmmm")</f>
        <v>June</v>
      </c>
      <c r="E2409" s="9">
        <f>YEAR(Table3[[#This Row],[usage_date]])</f>
        <v>2023</v>
      </c>
      <c r="F2409" s="14">
        <v>1.38</v>
      </c>
      <c r="G2409">
        <v>291</v>
      </c>
      <c r="H2409" t="s">
        <v>12</v>
      </c>
      <c r="I2409" t="str">
        <f t="shared" si="37"/>
        <v>Normal Usage</v>
      </c>
    </row>
    <row r="2410" spans="1:9" x14ac:dyDescent="0.3">
      <c r="A2410">
        <v>12409</v>
      </c>
      <c r="B2410">
        <v>451</v>
      </c>
      <c r="C2410" s="2">
        <v>45365</v>
      </c>
      <c r="D2410" s="2" t="str">
        <f>TEXT(Table3[[#This Row],[usage_date]],"mmmm")</f>
        <v>March</v>
      </c>
      <c r="E2410" s="9">
        <f>YEAR(Table3[[#This Row],[usage_date]])</f>
        <v>2024</v>
      </c>
      <c r="F2410" s="14">
        <v>1.1200000000000001</v>
      </c>
      <c r="G2410">
        <v>233</v>
      </c>
      <c r="H2410" t="s">
        <v>12</v>
      </c>
      <c r="I2410" t="str">
        <f t="shared" si="37"/>
        <v>Normal Usage</v>
      </c>
    </row>
    <row r="2411" spans="1:9" x14ac:dyDescent="0.3">
      <c r="A2411">
        <v>12410</v>
      </c>
      <c r="B2411">
        <v>364</v>
      </c>
      <c r="C2411" s="2">
        <v>45392</v>
      </c>
      <c r="D2411" s="2" t="str">
        <f>TEXT(Table3[[#This Row],[usage_date]],"mmmm")</f>
        <v>April</v>
      </c>
      <c r="E2411" s="9">
        <f>YEAR(Table3[[#This Row],[usage_date]])</f>
        <v>2024</v>
      </c>
      <c r="F2411" s="14">
        <v>4</v>
      </c>
      <c r="G2411">
        <v>54</v>
      </c>
      <c r="H2411" t="s">
        <v>13</v>
      </c>
      <c r="I2411" t="str">
        <f t="shared" si="37"/>
        <v>Normal Usage</v>
      </c>
    </row>
    <row r="2412" spans="1:9" x14ac:dyDescent="0.3">
      <c r="A2412">
        <v>12411</v>
      </c>
      <c r="B2412">
        <v>141</v>
      </c>
      <c r="C2412" s="2">
        <v>44886</v>
      </c>
      <c r="D2412" s="2" t="str">
        <f>TEXT(Table3[[#This Row],[usage_date]],"mmmm")</f>
        <v>November</v>
      </c>
      <c r="E2412" s="9">
        <f>YEAR(Table3[[#This Row],[usage_date]])</f>
        <v>2022</v>
      </c>
      <c r="F2412" s="14">
        <v>1.86</v>
      </c>
      <c r="G2412">
        <v>291</v>
      </c>
      <c r="H2412" t="s">
        <v>13</v>
      </c>
      <c r="I2412" t="str">
        <f t="shared" si="37"/>
        <v>Normal Usage</v>
      </c>
    </row>
    <row r="2413" spans="1:9" x14ac:dyDescent="0.3">
      <c r="A2413">
        <v>12412</v>
      </c>
      <c r="B2413">
        <v>173</v>
      </c>
      <c r="C2413" s="2">
        <v>44775</v>
      </c>
      <c r="D2413" s="2" t="str">
        <f>TEXT(Table3[[#This Row],[usage_date]],"mmmm")</f>
        <v>August</v>
      </c>
      <c r="E2413" s="9">
        <f>YEAR(Table3[[#This Row],[usage_date]])</f>
        <v>2022</v>
      </c>
      <c r="F2413" s="14">
        <v>2.12</v>
      </c>
      <c r="G2413">
        <v>239</v>
      </c>
      <c r="H2413" t="s">
        <v>12</v>
      </c>
      <c r="I2413" t="str">
        <f t="shared" si="37"/>
        <v>Normal Usage</v>
      </c>
    </row>
    <row r="2414" spans="1:9" x14ac:dyDescent="0.3">
      <c r="A2414">
        <v>12413</v>
      </c>
      <c r="B2414">
        <v>10</v>
      </c>
      <c r="C2414" s="2">
        <v>44769</v>
      </c>
      <c r="D2414" s="2" t="str">
        <f>TEXT(Table3[[#This Row],[usage_date]],"mmmm")</f>
        <v>July</v>
      </c>
      <c r="E2414" s="9">
        <f>YEAR(Table3[[#This Row],[usage_date]])</f>
        <v>2022</v>
      </c>
      <c r="F2414" s="14">
        <v>4.79</v>
      </c>
      <c r="G2414">
        <v>35</v>
      </c>
      <c r="H2414" t="s">
        <v>13</v>
      </c>
      <c r="I2414" t="str">
        <f t="shared" si="37"/>
        <v>Normal Usage</v>
      </c>
    </row>
    <row r="2415" spans="1:9" x14ac:dyDescent="0.3">
      <c r="A2415">
        <v>12414</v>
      </c>
      <c r="B2415">
        <v>228</v>
      </c>
      <c r="C2415" s="2">
        <v>44730</v>
      </c>
      <c r="D2415" s="2" t="str">
        <f>TEXT(Table3[[#This Row],[usage_date]],"mmmm")</f>
        <v>June</v>
      </c>
      <c r="E2415" s="9">
        <f>YEAR(Table3[[#This Row],[usage_date]])</f>
        <v>2022</v>
      </c>
      <c r="F2415" s="14">
        <v>4.0999999999999996</v>
      </c>
      <c r="G2415">
        <v>88</v>
      </c>
      <c r="H2415" t="s">
        <v>13</v>
      </c>
      <c r="I2415" t="str">
        <f t="shared" si="37"/>
        <v>Normal Usage</v>
      </c>
    </row>
    <row r="2416" spans="1:9" x14ac:dyDescent="0.3">
      <c r="A2416">
        <v>12415</v>
      </c>
      <c r="B2416">
        <v>265</v>
      </c>
      <c r="C2416" s="2">
        <v>44891</v>
      </c>
      <c r="D2416" s="2" t="str">
        <f>TEXT(Table3[[#This Row],[usage_date]],"mmmm")</f>
        <v>November</v>
      </c>
      <c r="E2416" s="9">
        <f>YEAR(Table3[[#This Row],[usage_date]])</f>
        <v>2022</v>
      </c>
      <c r="F2416" s="14">
        <v>0.35</v>
      </c>
      <c r="G2416">
        <v>211</v>
      </c>
      <c r="H2416" t="s">
        <v>12</v>
      </c>
      <c r="I2416" t="str">
        <f t="shared" si="37"/>
        <v>Normal Usage</v>
      </c>
    </row>
    <row r="2417" spans="1:9" x14ac:dyDescent="0.3">
      <c r="A2417">
        <v>12416</v>
      </c>
      <c r="B2417">
        <v>438</v>
      </c>
      <c r="C2417" s="2">
        <v>44841</v>
      </c>
      <c r="D2417" s="2" t="str">
        <f>TEXT(Table3[[#This Row],[usage_date]],"mmmm")</f>
        <v>October</v>
      </c>
      <c r="E2417" s="9">
        <f>YEAR(Table3[[#This Row],[usage_date]])</f>
        <v>2022</v>
      </c>
      <c r="F2417" s="14">
        <v>3.13</v>
      </c>
      <c r="G2417">
        <v>244</v>
      </c>
      <c r="H2417" t="s">
        <v>12</v>
      </c>
      <c r="I2417" t="str">
        <f t="shared" si="37"/>
        <v>Normal Usage</v>
      </c>
    </row>
    <row r="2418" spans="1:9" x14ac:dyDescent="0.3">
      <c r="A2418">
        <v>12417</v>
      </c>
      <c r="B2418">
        <v>248</v>
      </c>
      <c r="C2418" s="2">
        <v>44866</v>
      </c>
      <c r="D2418" s="2" t="str">
        <f>TEXT(Table3[[#This Row],[usage_date]],"mmmm")</f>
        <v>November</v>
      </c>
      <c r="E2418" s="9">
        <f>YEAR(Table3[[#This Row],[usage_date]])</f>
        <v>2022</v>
      </c>
      <c r="F2418" s="14">
        <v>1.43</v>
      </c>
      <c r="G2418">
        <v>86</v>
      </c>
      <c r="H2418" t="s">
        <v>12</v>
      </c>
      <c r="I2418" t="str">
        <f t="shared" si="37"/>
        <v>Normal Usage</v>
      </c>
    </row>
    <row r="2419" spans="1:9" x14ac:dyDescent="0.3">
      <c r="A2419">
        <v>12418</v>
      </c>
      <c r="B2419">
        <v>247</v>
      </c>
      <c r="C2419" s="2">
        <v>44707</v>
      </c>
      <c r="D2419" s="2" t="str">
        <f>TEXT(Table3[[#This Row],[usage_date]],"mmmm")</f>
        <v>May</v>
      </c>
      <c r="E2419" s="9">
        <f>YEAR(Table3[[#This Row],[usage_date]])</f>
        <v>2022</v>
      </c>
      <c r="F2419" s="14">
        <v>0.87</v>
      </c>
      <c r="G2419">
        <v>239</v>
      </c>
      <c r="H2419" t="s">
        <v>12</v>
      </c>
      <c r="I2419" t="str">
        <f t="shared" si="37"/>
        <v>Normal Usage</v>
      </c>
    </row>
    <row r="2420" spans="1:9" x14ac:dyDescent="0.3">
      <c r="A2420">
        <v>12419</v>
      </c>
      <c r="B2420">
        <v>155</v>
      </c>
      <c r="C2420" s="2">
        <v>45336</v>
      </c>
      <c r="D2420" s="2" t="str">
        <f>TEXT(Table3[[#This Row],[usage_date]],"mmmm")</f>
        <v>February</v>
      </c>
      <c r="E2420" s="9">
        <f>YEAR(Table3[[#This Row],[usage_date]])</f>
        <v>2024</v>
      </c>
      <c r="F2420" s="14">
        <v>0.13</v>
      </c>
      <c r="G2420">
        <v>187</v>
      </c>
      <c r="H2420" t="s">
        <v>12</v>
      </c>
      <c r="I2420" t="str">
        <f t="shared" si="37"/>
        <v>Normal Usage</v>
      </c>
    </row>
    <row r="2421" spans="1:9" x14ac:dyDescent="0.3">
      <c r="A2421">
        <v>12420</v>
      </c>
      <c r="B2421">
        <v>34</v>
      </c>
      <c r="C2421" s="2">
        <v>45077</v>
      </c>
      <c r="D2421" s="2" t="str">
        <f>TEXT(Table3[[#This Row],[usage_date]],"mmmm")</f>
        <v>May</v>
      </c>
      <c r="E2421" s="9">
        <f>YEAR(Table3[[#This Row],[usage_date]])</f>
        <v>2023</v>
      </c>
      <c r="F2421" s="14">
        <v>1.67</v>
      </c>
      <c r="G2421">
        <v>56</v>
      </c>
      <c r="H2421" t="s">
        <v>12</v>
      </c>
      <c r="I2421" t="str">
        <f t="shared" si="37"/>
        <v>Normal Usage</v>
      </c>
    </row>
    <row r="2422" spans="1:9" x14ac:dyDescent="0.3">
      <c r="A2422">
        <v>12421</v>
      </c>
      <c r="B2422">
        <v>499</v>
      </c>
      <c r="C2422" s="2">
        <v>44651</v>
      </c>
      <c r="D2422" s="2" t="str">
        <f>TEXT(Table3[[#This Row],[usage_date]],"mmmm")</f>
        <v>March</v>
      </c>
      <c r="E2422" s="9">
        <f>YEAR(Table3[[#This Row],[usage_date]])</f>
        <v>2022</v>
      </c>
      <c r="F2422" s="14">
        <v>1.1000000000000001</v>
      </c>
      <c r="G2422">
        <v>112</v>
      </c>
      <c r="H2422" t="s">
        <v>12</v>
      </c>
      <c r="I2422" t="str">
        <f t="shared" si="37"/>
        <v>Normal Usage</v>
      </c>
    </row>
    <row r="2423" spans="1:9" x14ac:dyDescent="0.3">
      <c r="A2423">
        <v>12422</v>
      </c>
      <c r="B2423">
        <v>129</v>
      </c>
      <c r="C2423" s="2">
        <v>45014</v>
      </c>
      <c r="D2423" s="2" t="str">
        <f>TEXT(Table3[[#This Row],[usage_date]],"mmmm")</f>
        <v>March</v>
      </c>
      <c r="E2423" s="9">
        <f>YEAR(Table3[[#This Row],[usage_date]])</f>
        <v>2023</v>
      </c>
      <c r="F2423" s="14">
        <v>0.72</v>
      </c>
      <c r="G2423">
        <v>222</v>
      </c>
      <c r="H2423" t="s">
        <v>13</v>
      </c>
      <c r="I2423" t="str">
        <f t="shared" si="37"/>
        <v>Normal Usage</v>
      </c>
    </row>
    <row r="2424" spans="1:9" x14ac:dyDescent="0.3">
      <c r="A2424">
        <v>12423</v>
      </c>
      <c r="B2424">
        <v>160</v>
      </c>
      <c r="C2424" s="2">
        <v>44621</v>
      </c>
      <c r="D2424" s="2" t="str">
        <f>TEXT(Table3[[#This Row],[usage_date]],"mmmm")</f>
        <v>March</v>
      </c>
      <c r="E2424" s="9">
        <f>YEAR(Table3[[#This Row],[usage_date]])</f>
        <v>2022</v>
      </c>
      <c r="F2424" s="14">
        <v>2.97</v>
      </c>
      <c r="G2424">
        <v>69</v>
      </c>
      <c r="H2424" t="s">
        <v>12</v>
      </c>
      <c r="I2424" t="str">
        <f t="shared" si="37"/>
        <v>Normal Usage</v>
      </c>
    </row>
    <row r="2425" spans="1:9" x14ac:dyDescent="0.3">
      <c r="A2425">
        <v>12424</v>
      </c>
      <c r="B2425">
        <v>89</v>
      </c>
      <c r="C2425" s="2">
        <v>44872</v>
      </c>
      <c r="D2425" s="2" t="str">
        <f>TEXT(Table3[[#This Row],[usage_date]],"mmmm")</f>
        <v>November</v>
      </c>
      <c r="E2425" s="9">
        <f>YEAR(Table3[[#This Row],[usage_date]])</f>
        <v>2022</v>
      </c>
      <c r="F2425" s="14">
        <v>3.67</v>
      </c>
      <c r="G2425">
        <v>226</v>
      </c>
      <c r="H2425" t="s">
        <v>12</v>
      </c>
      <c r="I2425" t="str">
        <f t="shared" si="37"/>
        <v>Normal Usage</v>
      </c>
    </row>
    <row r="2426" spans="1:9" x14ac:dyDescent="0.3">
      <c r="A2426">
        <v>12425</v>
      </c>
      <c r="B2426">
        <v>93</v>
      </c>
      <c r="C2426" s="2">
        <v>45089</v>
      </c>
      <c r="D2426" s="2" t="str">
        <f>TEXT(Table3[[#This Row],[usage_date]],"mmmm")</f>
        <v>June</v>
      </c>
      <c r="E2426" s="9">
        <f>YEAR(Table3[[#This Row],[usage_date]])</f>
        <v>2023</v>
      </c>
      <c r="F2426" s="14">
        <v>0.7</v>
      </c>
      <c r="G2426">
        <v>255</v>
      </c>
      <c r="H2426" t="s">
        <v>12</v>
      </c>
      <c r="I2426" t="str">
        <f t="shared" si="37"/>
        <v>Normal Usage</v>
      </c>
    </row>
    <row r="2427" spans="1:9" x14ac:dyDescent="0.3">
      <c r="A2427">
        <v>12426</v>
      </c>
      <c r="B2427">
        <v>327</v>
      </c>
      <c r="C2427" s="2">
        <v>44788</v>
      </c>
      <c r="D2427" s="2" t="str">
        <f>TEXT(Table3[[#This Row],[usage_date]],"mmmm")</f>
        <v>August</v>
      </c>
      <c r="E2427" s="9">
        <f>YEAR(Table3[[#This Row],[usage_date]])</f>
        <v>2022</v>
      </c>
      <c r="F2427" s="14">
        <v>0.13</v>
      </c>
      <c r="G2427">
        <v>179</v>
      </c>
      <c r="H2427" t="s">
        <v>13</v>
      </c>
      <c r="I2427" t="str">
        <f t="shared" si="37"/>
        <v>Normal Usage</v>
      </c>
    </row>
    <row r="2428" spans="1:9" x14ac:dyDescent="0.3">
      <c r="A2428">
        <v>12427</v>
      </c>
      <c r="B2428">
        <v>241</v>
      </c>
      <c r="C2428" s="2">
        <v>45035</v>
      </c>
      <c r="D2428" s="2" t="str">
        <f>TEXT(Table3[[#This Row],[usage_date]],"mmmm")</f>
        <v>April</v>
      </c>
      <c r="E2428" s="9">
        <f>YEAR(Table3[[#This Row],[usage_date]])</f>
        <v>2023</v>
      </c>
      <c r="F2428" s="14">
        <v>4.72</v>
      </c>
      <c r="G2428">
        <v>183</v>
      </c>
      <c r="H2428" t="s">
        <v>13</v>
      </c>
      <c r="I2428" t="str">
        <f t="shared" si="37"/>
        <v>Normal Usage</v>
      </c>
    </row>
    <row r="2429" spans="1:9" x14ac:dyDescent="0.3">
      <c r="A2429">
        <v>12428</v>
      </c>
      <c r="B2429">
        <v>323</v>
      </c>
      <c r="C2429" s="2">
        <v>45102</v>
      </c>
      <c r="D2429" s="2" t="str">
        <f>TEXT(Table3[[#This Row],[usage_date]],"mmmm")</f>
        <v>June</v>
      </c>
      <c r="E2429" s="9">
        <f>YEAR(Table3[[#This Row],[usage_date]])</f>
        <v>2023</v>
      </c>
      <c r="F2429" s="14">
        <v>0.03</v>
      </c>
      <c r="G2429">
        <v>190</v>
      </c>
      <c r="H2429" t="s">
        <v>12</v>
      </c>
      <c r="I2429" t="str">
        <f t="shared" si="37"/>
        <v>Normal Usage</v>
      </c>
    </row>
    <row r="2430" spans="1:9" x14ac:dyDescent="0.3">
      <c r="A2430">
        <v>12429</v>
      </c>
      <c r="B2430">
        <v>468</v>
      </c>
      <c r="C2430" s="2">
        <v>45224</v>
      </c>
      <c r="D2430" s="2" t="str">
        <f>TEXT(Table3[[#This Row],[usage_date]],"mmmm")</f>
        <v>October</v>
      </c>
      <c r="E2430" s="9">
        <f>YEAR(Table3[[#This Row],[usage_date]])</f>
        <v>2023</v>
      </c>
      <c r="F2430" s="14">
        <v>6.92</v>
      </c>
      <c r="G2430">
        <v>231</v>
      </c>
      <c r="H2430" t="s">
        <v>13</v>
      </c>
      <c r="I2430" t="str">
        <f t="shared" si="37"/>
        <v>High Usage</v>
      </c>
    </row>
    <row r="2431" spans="1:9" x14ac:dyDescent="0.3">
      <c r="A2431">
        <v>12430</v>
      </c>
      <c r="B2431">
        <v>404</v>
      </c>
      <c r="C2431" s="2">
        <v>45318</v>
      </c>
      <c r="D2431" s="2" t="str">
        <f>TEXT(Table3[[#This Row],[usage_date]],"mmmm")</f>
        <v>January</v>
      </c>
      <c r="E2431" s="9">
        <f>YEAR(Table3[[#This Row],[usage_date]])</f>
        <v>2024</v>
      </c>
      <c r="F2431" s="14">
        <v>2.4700000000000002</v>
      </c>
      <c r="G2431">
        <v>275</v>
      </c>
      <c r="H2431" t="s">
        <v>13</v>
      </c>
      <c r="I2431" t="str">
        <f t="shared" si="37"/>
        <v>Normal Usage</v>
      </c>
    </row>
    <row r="2432" spans="1:9" x14ac:dyDescent="0.3">
      <c r="A2432">
        <v>12431</v>
      </c>
      <c r="B2432">
        <v>117</v>
      </c>
      <c r="C2432" s="2">
        <v>45343</v>
      </c>
      <c r="D2432" s="2" t="str">
        <f>TEXT(Table3[[#This Row],[usage_date]],"mmmm")</f>
        <v>February</v>
      </c>
      <c r="E2432" s="9">
        <f>YEAR(Table3[[#This Row],[usage_date]])</f>
        <v>2024</v>
      </c>
      <c r="F2432" s="14">
        <v>0.97</v>
      </c>
      <c r="G2432">
        <v>232</v>
      </c>
      <c r="H2432" t="s">
        <v>13</v>
      </c>
      <c r="I2432" t="str">
        <f t="shared" si="37"/>
        <v>Normal Usage</v>
      </c>
    </row>
    <row r="2433" spans="1:9" x14ac:dyDescent="0.3">
      <c r="A2433">
        <v>12432</v>
      </c>
      <c r="B2433">
        <v>94</v>
      </c>
      <c r="C2433" s="2">
        <v>44640</v>
      </c>
      <c r="D2433" s="2" t="str">
        <f>TEXT(Table3[[#This Row],[usage_date]],"mmmm")</f>
        <v>March</v>
      </c>
      <c r="E2433" s="9">
        <f>YEAR(Table3[[#This Row],[usage_date]])</f>
        <v>2022</v>
      </c>
      <c r="F2433" s="14">
        <v>0.71</v>
      </c>
      <c r="G2433">
        <v>53</v>
      </c>
      <c r="H2433" t="s">
        <v>13</v>
      </c>
      <c r="I2433" t="str">
        <f t="shared" si="37"/>
        <v>Normal Usage</v>
      </c>
    </row>
    <row r="2434" spans="1:9" x14ac:dyDescent="0.3">
      <c r="A2434">
        <v>12433</v>
      </c>
      <c r="B2434">
        <v>163</v>
      </c>
      <c r="C2434" s="2">
        <v>44994</v>
      </c>
      <c r="D2434" s="2" t="str">
        <f>TEXT(Table3[[#This Row],[usage_date]],"mmmm")</f>
        <v>March</v>
      </c>
      <c r="E2434" s="9">
        <f>YEAR(Table3[[#This Row],[usage_date]])</f>
        <v>2023</v>
      </c>
      <c r="F2434" s="14">
        <v>0.02</v>
      </c>
      <c r="G2434">
        <v>256</v>
      </c>
      <c r="H2434" t="s">
        <v>12</v>
      </c>
      <c r="I2434" t="str">
        <f t="shared" ref="I2434:I2497" si="38">IF(F2434&gt;6,"High Usage","Normal Usage")</f>
        <v>Normal Usage</v>
      </c>
    </row>
    <row r="2435" spans="1:9" x14ac:dyDescent="0.3">
      <c r="A2435">
        <v>12434</v>
      </c>
      <c r="B2435">
        <v>99</v>
      </c>
      <c r="C2435" s="2">
        <v>45362</v>
      </c>
      <c r="D2435" s="2" t="str">
        <f>TEXT(Table3[[#This Row],[usage_date]],"mmmm")</f>
        <v>March</v>
      </c>
      <c r="E2435" s="9">
        <f>YEAR(Table3[[#This Row],[usage_date]])</f>
        <v>2024</v>
      </c>
      <c r="F2435" s="14">
        <v>0.67</v>
      </c>
      <c r="G2435">
        <v>89</v>
      </c>
      <c r="H2435" t="s">
        <v>12</v>
      </c>
      <c r="I2435" t="str">
        <f t="shared" si="38"/>
        <v>Normal Usage</v>
      </c>
    </row>
    <row r="2436" spans="1:9" x14ac:dyDescent="0.3">
      <c r="A2436">
        <v>12435</v>
      </c>
      <c r="B2436">
        <v>113</v>
      </c>
      <c r="C2436" s="2">
        <v>44714</v>
      </c>
      <c r="D2436" s="2" t="str">
        <f>TEXT(Table3[[#This Row],[usage_date]],"mmmm")</f>
        <v>June</v>
      </c>
      <c r="E2436" s="9">
        <f>YEAR(Table3[[#This Row],[usage_date]])</f>
        <v>2022</v>
      </c>
      <c r="F2436" s="14">
        <v>0.37</v>
      </c>
      <c r="G2436">
        <v>225</v>
      </c>
      <c r="H2436" t="s">
        <v>12</v>
      </c>
      <c r="I2436" t="str">
        <f t="shared" si="38"/>
        <v>Normal Usage</v>
      </c>
    </row>
    <row r="2437" spans="1:9" x14ac:dyDescent="0.3">
      <c r="A2437">
        <v>12436</v>
      </c>
      <c r="B2437">
        <v>359</v>
      </c>
      <c r="C2437" s="2">
        <v>45350</v>
      </c>
      <c r="D2437" s="2" t="str">
        <f>TEXT(Table3[[#This Row],[usage_date]],"mmmm")</f>
        <v>February</v>
      </c>
      <c r="E2437" s="9">
        <f>YEAR(Table3[[#This Row],[usage_date]])</f>
        <v>2024</v>
      </c>
      <c r="F2437" s="14">
        <v>2.37</v>
      </c>
      <c r="G2437">
        <v>246</v>
      </c>
      <c r="H2437" t="s">
        <v>12</v>
      </c>
      <c r="I2437" t="str">
        <f t="shared" si="38"/>
        <v>Normal Usage</v>
      </c>
    </row>
    <row r="2438" spans="1:9" x14ac:dyDescent="0.3">
      <c r="A2438">
        <v>12437</v>
      </c>
      <c r="B2438">
        <v>91</v>
      </c>
      <c r="C2438" s="2">
        <v>44962</v>
      </c>
      <c r="D2438" s="2" t="str">
        <f>TEXT(Table3[[#This Row],[usage_date]],"mmmm")</f>
        <v>February</v>
      </c>
      <c r="E2438" s="9">
        <f>YEAR(Table3[[#This Row],[usage_date]])</f>
        <v>2023</v>
      </c>
      <c r="F2438" s="14">
        <v>0.46</v>
      </c>
      <c r="G2438">
        <v>150</v>
      </c>
      <c r="H2438" t="s">
        <v>12</v>
      </c>
      <c r="I2438" t="str">
        <f t="shared" si="38"/>
        <v>Normal Usage</v>
      </c>
    </row>
    <row r="2439" spans="1:9" x14ac:dyDescent="0.3">
      <c r="A2439">
        <v>12438</v>
      </c>
      <c r="B2439">
        <v>346</v>
      </c>
      <c r="C2439" s="2">
        <v>44840</v>
      </c>
      <c r="D2439" s="2" t="str">
        <f>TEXT(Table3[[#This Row],[usage_date]],"mmmm")</f>
        <v>October</v>
      </c>
      <c r="E2439" s="9">
        <f>YEAR(Table3[[#This Row],[usage_date]])</f>
        <v>2022</v>
      </c>
      <c r="F2439" s="14">
        <v>1.88</v>
      </c>
      <c r="G2439">
        <v>112</v>
      </c>
      <c r="H2439" t="s">
        <v>13</v>
      </c>
      <c r="I2439" t="str">
        <f t="shared" si="38"/>
        <v>Normal Usage</v>
      </c>
    </row>
    <row r="2440" spans="1:9" x14ac:dyDescent="0.3">
      <c r="A2440">
        <v>12439</v>
      </c>
      <c r="B2440">
        <v>206</v>
      </c>
      <c r="C2440" s="2">
        <v>44618</v>
      </c>
      <c r="D2440" s="2" t="str">
        <f>TEXT(Table3[[#This Row],[usage_date]],"mmmm")</f>
        <v>February</v>
      </c>
      <c r="E2440" s="9">
        <f>YEAR(Table3[[#This Row],[usage_date]])</f>
        <v>2022</v>
      </c>
      <c r="F2440" s="14">
        <v>2.23</v>
      </c>
      <c r="G2440">
        <v>268</v>
      </c>
      <c r="H2440" t="s">
        <v>12</v>
      </c>
      <c r="I2440" t="str">
        <f t="shared" si="38"/>
        <v>Normal Usage</v>
      </c>
    </row>
    <row r="2441" spans="1:9" x14ac:dyDescent="0.3">
      <c r="A2441">
        <v>12440</v>
      </c>
      <c r="B2441">
        <v>17</v>
      </c>
      <c r="C2441" s="2">
        <v>44747</v>
      </c>
      <c r="D2441" s="2" t="str">
        <f>TEXT(Table3[[#This Row],[usage_date]],"mmmm")</f>
        <v>July</v>
      </c>
      <c r="E2441" s="9">
        <f>YEAR(Table3[[#This Row],[usage_date]])</f>
        <v>2022</v>
      </c>
      <c r="F2441" s="14">
        <v>0.88</v>
      </c>
      <c r="G2441">
        <v>156</v>
      </c>
      <c r="H2441" t="s">
        <v>13</v>
      </c>
      <c r="I2441" t="str">
        <f t="shared" si="38"/>
        <v>Normal Usage</v>
      </c>
    </row>
    <row r="2442" spans="1:9" x14ac:dyDescent="0.3">
      <c r="A2442">
        <v>12441</v>
      </c>
      <c r="B2442">
        <v>274</v>
      </c>
      <c r="C2442" s="2">
        <v>44959</v>
      </c>
      <c r="D2442" s="2" t="str">
        <f>TEXT(Table3[[#This Row],[usage_date]],"mmmm")</f>
        <v>February</v>
      </c>
      <c r="E2442" s="9">
        <f>YEAR(Table3[[#This Row],[usage_date]])</f>
        <v>2023</v>
      </c>
      <c r="F2442" s="14">
        <v>0.09</v>
      </c>
      <c r="G2442">
        <v>298</v>
      </c>
      <c r="H2442" t="s">
        <v>12</v>
      </c>
      <c r="I2442" t="str">
        <f t="shared" si="38"/>
        <v>Normal Usage</v>
      </c>
    </row>
    <row r="2443" spans="1:9" x14ac:dyDescent="0.3">
      <c r="A2443">
        <v>12442</v>
      </c>
      <c r="B2443">
        <v>173</v>
      </c>
      <c r="C2443" s="2">
        <v>45166</v>
      </c>
      <c r="D2443" s="2" t="str">
        <f>TEXT(Table3[[#This Row],[usage_date]],"mmmm")</f>
        <v>August</v>
      </c>
      <c r="E2443" s="9">
        <f>YEAR(Table3[[#This Row],[usage_date]])</f>
        <v>2023</v>
      </c>
      <c r="F2443" s="14">
        <v>0.09</v>
      </c>
      <c r="G2443">
        <v>158</v>
      </c>
      <c r="H2443" t="s">
        <v>12</v>
      </c>
      <c r="I2443" t="str">
        <f t="shared" si="38"/>
        <v>Normal Usage</v>
      </c>
    </row>
    <row r="2444" spans="1:9" x14ac:dyDescent="0.3">
      <c r="A2444">
        <v>12443</v>
      </c>
      <c r="B2444">
        <v>116</v>
      </c>
      <c r="C2444" s="2">
        <v>45349</v>
      </c>
      <c r="D2444" s="2" t="str">
        <f>TEXT(Table3[[#This Row],[usage_date]],"mmmm")</f>
        <v>February</v>
      </c>
      <c r="E2444" s="9">
        <f>YEAR(Table3[[#This Row],[usage_date]])</f>
        <v>2024</v>
      </c>
      <c r="F2444" s="14">
        <v>7.0000000000000007E-2</v>
      </c>
      <c r="G2444">
        <v>224</v>
      </c>
      <c r="H2444" t="s">
        <v>12</v>
      </c>
      <c r="I2444" t="str">
        <f t="shared" si="38"/>
        <v>Normal Usage</v>
      </c>
    </row>
    <row r="2445" spans="1:9" x14ac:dyDescent="0.3">
      <c r="A2445">
        <v>12444</v>
      </c>
      <c r="B2445">
        <v>349</v>
      </c>
      <c r="C2445" s="2">
        <v>44719</v>
      </c>
      <c r="D2445" s="2" t="str">
        <f>TEXT(Table3[[#This Row],[usage_date]],"mmmm")</f>
        <v>June</v>
      </c>
      <c r="E2445" s="9">
        <f>YEAR(Table3[[#This Row],[usage_date]])</f>
        <v>2022</v>
      </c>
      <c r="F2445" s="14">
        <v>3.36</v>
      </c>
      <c r="G2445">
        <v>13</v>
      </c>
      <c r="H2445" t="s">
        <v>12</v>
      </c>
      <c r="I2445" t="str">
        <f t="shared" si="38"/>
        <v>Normal Usage</v>
      </c>
    </row>
    <row r="2446" spans="1:9" x14ac:dyDescent="0.3">
      <c r="A2446">
        <v>12445</v>
      </c>
      <c r="B2446">
        <v>468</v>
      </c>
      <c r="C2446" s="2">
        <v>45348</v>
      </c>
      <c r="D2446" s="2" t="str">
        <f>TEXT(Table3[[#This Row],[usage_date]],"mmmm")</f>
        <v>February</v>
      </c>
      <c r="E2446" s="9">
        <f>YEAR(Table3[[#This Row],[usage_date]])</f>
        <v>2024</v>
      </c>
      <c r="F2446" s="14">
        <v>0.96</v>
      </c>
      <c r="G2446">
        <v>108</v>
      </c>
      <c r="H2446" t="s">
        <v>13</v>
      </c>
      <c r="I2446" t="str">
        <f t="shared" si="38"/>
        <v>Normal Usage</v>
      </c>
    </row>
    <row r="2447" spans="1:9" x14ac:dyDescent="0.3">
      <c r="A2447">
        <v>12446</v>
      </c>
      <c r="B2447">
        <v>181</v>
      </c>
      <c r="C2447" s="2">
        <v>45254</v>
      </c>
      <c r="D2447" s="2" t="str">
        <f>TEXT(Table3[[#This Row],[usage_date]],"mmmm")</f>
        <v>November</v>
      </c>
      <c r="E2447" s="9">
        <f>YEAR(Table3[[#This Row],[usage_date]])</f>
        <v>2023</v>
      </c>
      <c r="F2447" s="14">
        <v>3.98</v>
      </c>
      <c r="G2447">
        <v>95</v>
      </c>
      <c r="H2447" t="s">
        <v>13</v>
      </c>
      <c r="I2447" t="str">
        <f t="shared" si="38"/>
        <v>Normal Usage</v>
      </c>
    </row>
    <row r="2448" spans="1:9" x14ac:dyDescent="0.3">
      <c r="A2448">
        <v>12447</v>
      </c>
      <c r="B2448">
        <v>91</v>
      </c>
      <c r="C2448" s="2">
        <v>44920</v>
      </c>
      <c r="D2448" s="2" t="str">
        <f>TEXT(Table3[[#This Row],[usage_date]],"mmmm")</f>
        <v>December</v>
      </c>
      <c r="E2448" s="9">
        <f>YEAR(Table3[[#This Row],[usage_date]])</f>
        <v>2022</v>
      </c>
      <c r="F2448" s="14">
        <v>1.41</v>
      </c>
      <c r="G2448">
        <v>194</v>
      </c>
      <c r="H2448" t="s">
        <v>12</v>
      </c>
      <c r="I2448" t="str">
        <f t="shared" si="38"/>
        <v>Normal Usage</v>
      </c>
    </row>
    <row r="2449" spans="1:9" x14ac:dyDescent="0.3">
      <c r="A2449">
        <v>12448</v>
      </c>
      <c r="B2449">
        <v>82</v>
      </c>
      <c r="C2449" s="2">
        <v>45001</v>
      </c>
      <c r="D2449" s="2" t="str">
        <f>TEXT(Table3[[#This Row],[usage_date]],"mmmm")</f>
        <v>March</v>
      </c>
      <c r="E2449" s="9">
        <f>YEAR(Table3[[#This Row],[usage_date]])</f>
        <v>2023</v>
      </c>
      <c r="F2449" s="14">
        <v>1.51</v>
      </c>
      <c r="G2449">
        <v>57</v>
      </c>
      <c r="H2449" t="s">
        <v>13</v>
      </c>
      <c r="I2449" t="str">
        <f t="shared" si="38"/>
        <v>Normal Usage</v>
      </c>
    </row>
    <row r="2450" spans="1:9" x14ac:dyDescent="0.3">
      <c r="A2450">
        <v>12449</v>
      </c>
      <c r="B2450">
        <v>324</v>
      </c>
      <c r="C2450" s="2">
        <v>45150</v>
      </c>
      <c r="D2450" s="2" t="str">
        <f>TEXT(Table3[[#This Row],[usage_date]],"mmmm")</f>
        <v>August</v>
      </c>
      <c r="E2450" s="9">
        <f>YEAR(Table3[[#This Row],[usage_date]])</f>
        <v>2023</v>
      </c>
      <c r="F2450" s="14">
        <v>1.8</v>
      </c>
      <c r="G2450">
        <v>293</v>
      </c>
      <c r="H2450" t="s">
        <v>13</v>
      </c>
      <c r="I2450" t="str">
        <f t="shared" si="38"/>
        <v>Normal Usage</v>
      </c>
    </row>
    <row r="2451" spans="1:9" x14ac:dyDescent="0.3">
      <c r="A2451">
        <v>12450</v>
      </c>
      <c r="B2451">
        <v>449</v>
      </c>
      <c r="C2451" s="2">
        <v>45027</v>
      </c>
      <c r="D2451" s="2" t="str">
        <f>TEXT(Table3[[#This Row],[usage_date]],"mmmm")</f>
        <v>April</v>
      </c>
      <c r="E2451" s="9">
        <f>YEAR(Table3[[#This Row],[usage_date]])</f>
        <v>2023</v>
      </c>
      <c r="F2451" s="14">
        <v>3.12</v>
      </c>
      <c r="G2451">
        <v>153</v>
      </c>
      <c r="H2451" t="s">
        <v>12</v>
      </c>
      <c r="I2451" t="str">
        <f t="shared" si="38"/>
        <v>Normal Usage</v>
      </c>
    </row>
    <row r="2452" spans="1:9" x14ac:dyDescent="0.3">
      <c r="A2452">
        <v>12451</v>
      </c>
      <c r="B2452">
        <v>114</v>
      </c>
      <c r="C2452" s="2">
        <v>45224</v>
      </c>
      <c r="D2452" s="2" t="str">
        <f>TEXT(Table3[[#This Row],[usage_date]],"mmmm")</f>
        <v>October</v>
      </c>
      <c r="E2452" s="9">
        <f>YEAR(Table3[[#This Row],[usage_date]])</f>
        <v>2023</v>
      </c>
      <c r="F2452" s="14">
        <v>0.8</v>
      </c>
      <c r="G2452">
        <v>63</v>
      </c>
      <c r="H2452" t="s">
        <v>12</v>
      </c>
      <c r="I2452" t="str">
        <f t="shared" si="38"/>
        <v>Normal Usage</v>
      </c>
    </row>
    <row r="2453" spans="1:9" x14ac:dyDescent="0.3">
      <c r="A2453">
        <v>12452</v>
      </c>
      <c r="B2453">
        <v>257</v>
      </c>
      <c r="C2453" s="2">
        <v>45007</v>
      </c>
      <c r="D2453" s="2" t="str">
        <f>TEXT(Table3[[#This Row],[usage_date]],"mmmm")</f>
        <v>March</v>
      </c>
      <c r="E2453" s="9">
        <f>YEAR(Table3[[#This Row],[usage_date]])</f>
        <v>2023</v>
      </c>
      <c r="F2453" s="14">
        <v>0.32</v>
      </c>
      <c r="G2453">
        <v>157</v>
      </c>
      <c r="H2453" t="s">
        <v>12</v>
      </c>
      <c r="I2453" t="str">
        <f t="shared" si="38"/>
        <v>Normal Usage</v>
      </c>
    </row>
    <row r="2454" spans="1:9" x14ac:dyDescent="0.3">
      <c r="A2454">
        <v>12453</v>
      </c>
      <c r="B2454">
        <v>58</v>
      </c>
      <c r="C2454" s="2">
        <v>45311</v>
      </c>
      <c r="D2454" s="2" t="str">
        <f>TEXT(Table3[[#This Row],[usage_date]],"mmmm")</f>
        <v>January</v>
      </c>
      <c r="E2454" s="9">
        <f>YEAR(Table3[[#This Row],[usage_date]])</f>
        <v>2024</v>
      </c>
      <c r="F2454" s="14">
        <v>2.0299999999999998</v>
      </c>
      <c r="G2454">
        <v>264</v>
      </c>
      <c r="H2454" t="s">
        <v>12</v>
      </c>
      <c r="I2454" t="str">
        <f t="shared" si="38"/>
        <v>Normal Usage</v>
      </c>
    </row>
    <row r="2455" spans="1:9" x14ac:dyDescent="0.3">
      <c r="A2455">
        <v>12454</v>
      </c>
      <c r="B2455">
        <v>154</v>
      </c>
      <c r="C2455" s="2">
        <v>45362</v>
      </c>
      <c r="D2455" s="2" t="str">
        <f>TEXT(Table3[[#This Row],[usage_date]],"mmmm")</f>
        <v>March</v>
      </c>
      <c r="E2455" s="9">
        <f>YEAR(Table3[[#This Row],[usage_date]])</f>
        <v>2024</v>
      </c>
      <c r="F2455" s="14">
        <v>0.99</v>
      </c>
      <c r="G2455">
        <v>120</v>
      </c>
      <c r="H2455" t="s">
        <v>13</v>
      </c>
      <c r="I2455" t="str">
        <f t="shared" si="38"/>
        <v>Normal Usage</v>
      </c>
    </row>
    <row r="2456" spans="1:9" x14ac:dyDescent="0.3">
      <c r="A2456">
        <v>12455</v>
      </c>
      <c r="B2456">
        <v>365</v>
      </c>
      <c r="C2456" s="2">
        <v>45304</v>
      </c>
      <c r="D2456" s="2" t="str">
        <f>TEXT(Table3[[#This Row],[usage_date]],"mmmm")</f>
        <v>January</v>
      </c>
      <c r="E2456" s="9">
        <f>YEAR(Table3[[#This Row],[usage_date]])</f>
        <v>2024</v>
      </c>
      <c r="F2456" s="14">
        <v>1.46</v>
      </c>
      <c r="G2456">
        <v>287</v>
      </c>
      <c r="H2456" t="s">
        <v>12</v>
      </c>
      <c r="I2456" t="str">
        <f t="shared" si="38"/>
        <v>Normal Usage</v>
      </c>
    </row>
    <row r="2457" spans="1:9" x14ac:dyDescent="0.3">
      <c r="A2457">
        <v>12456</v>
      </c>
      <c r="B2457">
        <v>404</v>
      </c>
      <c r="C2457" s="2">
        <v>45049</v>
      </c>
      <c r="D2457" s="2" t="str">
        <f>TEXT(Table3[[#This Row],[usage_date]],"mmmm")</f>
        <v>May</v>
      </c>
      <c r="E2457" s="9">
        <f>YEAR(Table3[[#This Row],[usage_date]])</f>
        <v>2023</v>
      </c>
      <c r="F2457" s="14">
        <v>2.6</v>
      </c>
      <c r="G2457">
        <v>10</v>
      </c>
      <c r="H2457" t="s">
        <v>12</v>
      </c>
      <c r="I2457" t="str">
        <f t="shared" si="38"/>
        <v>Normal Usage</v>
      </c>
    </row>
    <row r="2458" spans="1:9" x14ac:dyDescent="0.3">
      <c r="A2458">
        <v>12457</v>
      </c>
      <c r="B2458">
        <v>116</v>
      </c>
      <c r="C2458" s="2">
        <v>45091</v>
      </c>
      <c r="D2458" s="2" t="str">
        <f>TEXT(Table3[[#This Row],[usage_date]],"mmmm")</f>
        <v>June</v>
      </c>
      <c r="E2458" s="9">
        <f>YEAR(Table3[[#This Row],[usage_date]])</f>
        <v>2023</v>
      </c>
      <c r="F2458" s="14">
        <v>1.7</v>
      </c>
      <c r="G2458">
        <v>213</v>
      </c>
      <c r="H2458" t="s">
        <v>12</v>
      </c>
      <c r="I2458" t="str">
        <f t="shared" si="38"/>
        <v>Normal Usage</v>
      </c>
    </row>
    <row r="2459" spans="1:9" x14ac:dyDescent="0.3">
      <c r="A2459">
        <v>12458</v>
      </c>
      <c r="B2459">
        <v>343</v>
      </c>
      <c r="C2459" s="2">
        <v>44634</v>
      </c>
      <c r="D2459" s="2" t="str">
        <f>TEXT(Table3[[#This Row],[usage_date]],"mmmm")</f>
        <v>March</v>
      </c>
      <c r="E2459" s="9">
        <f>YEAR(Table3[[#This Row],[usage_date]])</f>
        <v>2022</v>
      </c>
      <c r="F2459" s="14">
        <v>2.42</v>
      </c>
      <c r="G2459">
        <v>161</v>
      </c>
      <c r="H2459" t="s">
        <v>13</v>
      </c>
      <c r="I2459" t="str">
        <f t="shared" si="38"/>
        <v>Normal Usage</v>
      </c>
    </row>
    <row r="2460" spans="1:9" x14ac:dyDescent="0.3">
      <c r="A2460">
        <v>12459</v>
      </c>
      <c r="B2460">
        <v>266</v>
      </c>
      <c r="C2460" s="2">
        <v>45262</v>
      </c>
      <c r="D2460" s="2" t="str">
        <f>TEXT(Table3[[#This Row],[usage_date]],"mmmm")</f>
        <v>December</v>
      </c>
      <c r="E2460" s="9">
        <f>YEAR(Table3[[#This Row],[usage_date]])</f>
        <v>2023</v>
      </c>
      <c r="F2460" s="14">
        <v>1.96</v>
      </c>
      <c r="G2460">
        <v>104</v>
      </c>
      <c r="H2460" t="s">
        <v>13</v>
      </c>
      <c r="I2460" t="str">
        <f t="shared" si="38"/>
        <v>Normal Usage</v>
      </c>
    </row>
    <row r="2461" spans="1:9" x14ac:dyDescent="0.3">
      <c r="A2461">
        <v>12460</v>
      </c>
      <c r="B2461">
        <v>315</v>
      </c>
      <c r="C2461" s="2">
        <v>44578</v>
      </c>
      <c r="D2461" s="2" t="str">
        <f>TEXT(Table3[[#This Row],[usage_date]],"mmmm")</f>
        <v>January</v>
      </c>
      <c r="E2461" s="9">
        <f>YEAR(Table3[[#This Row],[usage_date]])</f>
        <v>2022</v>
      </c>
      <c r="F2461" s="14">
        <v>3.37</v>
      </c>
      <c r="G2461">
        <v>146</v>
      </c>
      <c r="H2461" t="s">
        <v>12</v>
      </c>
      <c r="I2461" t="str">
        <f t="shared" si="38"/>
        <v>Normal Usage</v>
      </c>
    </row>
    <row r="2462" spans="1:9" x14ac:dyDescent="0.3">
      <c r="A2462">
        <v>12461</v>
      </c>
      <c r="B2462">
        <v>203</v>
      </c>
      <c r="C2462" s="2">
        <v>45092</v>
      </c>
      <c r="D2462" s="2" t="str">
        <f>TEXT(Table3[[#This Row],[usage_date]],"mmmm")</f>
        <v>June</v>
      </c>
      <c r="E2462" s="9">
        <f>YEAR(Table3[[#This Row],[usage_date]])</f>
        <v>2023</v>
      </c>
      <c r="F2462" s="14">
        <v>3.06</v>
      </c>
      <c r="G2462">
        <v>181</v>
      </c>
      <c r="H2462" t="s">
        <v>12</v>
      </c>
      <c r="I2462" t="str">
        <f t="shared" si="38"/>
        <v>Normal Usage</v>
      </c>
    </row>
    <row r="2463" spans="1:9" x14ac:dyDescent="0.3">
      <c r="A2463">
        <v>12462</v>
      </c>
      <c r="B2463">
        <v>41</v>
      </c>
      <c r="C2463" s="2">
        <v>45292</v>
      </c>
      <c r="D2463" s="2" t="str">
        <f>TEXT(Table3[[#This Row],[usage_date]],"mmmm")</f>
        <v>January</v>
      </c>
      <c r="E2463" s="9">
        <f>YEAR(Table3[[#This Row],[usage_date]])</f>
        <v>2024</v>
      </c>
      <c r="F2463" s="14">
        <v>1.91</v>
      </c>
      <c r="G2463">
        <v>36</v>
      </c>
      <c r="H2463" t="s">
        <v>12</v>
      </c>
      <c r="I2463" t="str">
        <f t="shared" si="38"/>
        <v>Normal Usage</v>
      </c>
    </row>
    <row r="2464" spans="1:9" x14ac:dyDescent="0.3">
      <c r="A2464">
        <v>12463</v>
      </c>
      <c r="B2464">
        <v>105</v>
      </c>
      <c r="C2464" s="2">
        <v>44887</v>
      </c>
      <c r="D2464" s="2" t="str">
        <f>TEXT(Table3[[#This Row],[usage_date]],"mmmm")</f>
        <v>November</v>
      </c>
      <c r="E2464" s="9">
        <f>YEAR(Table3[[#This Row],[usage_date]])</f>
        <v>2022</v>
      </c>
      <c r="F2464" s="14">
        <v>2.84</v>
      </c>
      <c r="G2464">
        <v>81</v>
      </c>
      <c r="H2464" t="s">
        <v>13</v>
      </c>
      <c r="I2464" t="str">
        <f t="shared" si="38"/>
        <v>Normal Usage</v>
      </c>
    </row>
    <row r="2465" spans="1:9" x14ac:dyDescent="0.3">
      <c r="A2465">
        <v>12464</v>
      </c>
      <c r="B2465">
        <v>389</v>
      </c>
      <c r="C2465" s="2">
        <v>45193</v>
      </c>
      <c r="D2465" s="2" t="str">
        <f>TEXT(Table3[[#This Row],[usage_date]],"mmmm")</f>
        <v>September</v>
      </c>
      <c r="E2465" s="9">
        <f>YEAR(Table3[[#This Row],[usage_date]])</f>
        <v>2023</v>
      </c>
      <c r="F2465" s="14">
        <v>5.17</v>
      </c>
      <c r="G2465">
        <v>11</v>
      </c>
      <c r="H2465" t="s">
        <v>12</v>
      </c>
      <c r="I2465" t="str">
        <f t="shared" si="38"/>
        <v>Normal Usage</v>
      </c>
    </row>
    <row r="2466" spans="1:9" x14ac:dyDescent="0.3">
      <c r="A2466">
        <v>12465</v>
      </c>
      <c r="B2466">
        <v>378</v>
      </c>
      <c r="C2466" s="2">
        <v>45174</v>
      </c>
      <c r="D2466" s="2" t="str">
        <f>TEXT(Table3[[#This Row],[usage_date]],"mmmm")</f>
        <v>September</v>
      </c>
      <c r="E2466" s="9">
        <f>YEAR(Table3[[#This Row],[usage_date]])</f>
        <v>2023</v>
      </c>
      <c r="F2466" s="14">
        <v>1.42</v>
      </c>
      <c r="G2466">
        <v>3</v>
      </c>
      <c r="H2466" t="s">
        <v>13</v>
      </c>
      <c r="I2466" t="str">
        <f t="shared" si="38"/>
        <v>Normal Usage</v>
      </c>
    </row>
    <row r="2467" spans="1:9" x14ac:dyDescent="0.3">
      <c r="A2467">
        <v>12466</v>
      </c>
      <c r="B2467">
        <v>193</v>
      </c>
      <c r="C2467" s="2">
        <v>45107</v>
      </c>
      <c r="D2467" s="2" t="str">
        <f>TEXT(Table3[[#This Row],[usage_date]],"mmmm")</f>
        <v>June</v>
      </c>
      <c r="E2467" s="9">
        <f>YEAR(Table3[[#This Row],[usage_date]])</f>
        <v>2023</v>
      </c>
      <c r="F2467" s="14">
        <v>1.33</v>
      </c>
      <c r="G2467">
        <v>42</v>
      </c>
      <c r="H2467" t="s">
        <v>13</v>
      </c>
      <c r="I2467" t="str">
        <f t="shared" si="38"/>
        <v>Normal Usage</v>
      </c>
    </row>
    <row r="2468" spans="1:9" x14ac:dyDescent="0.3">
      <c r="A2468">
        <v>12467</v>
      </c>
      <c r="B2468">
        <v>401</v>
      </c>
      <c r="C2468" s="2">
        <v>45157</v>
      </c>
      <c r="D2468" s="2" t="str">
        <f>TEXT(Table3[[#This Row],[usage_date]],"mmmm")</f>
        <v>August</v>
      </c>
      <c r="E2468" s="9">
        <f>YEAR(Table3[[#This Row],[usage_date]])</f>
        <v>2023</v>
      </c>
      <c r="F2468" s="14">
        <v>3.61</v>
      </c>
      <c r="G2468">
        <v>50</v>
      </c>
      <c r="H2468" t="s">
        <v>12</v>
      </c>
      <c r="I2468" t="str">
        <f t="shared" si="38"/>
        <v>Normal Usage</v>
      </c>
    </row>
    <row r="2469" spans="1:9" x14ac:dyDescent="0.3">
      <c r="A2469">
        <v>12468</v>
      </c>
      <c r="B2469">
        <v>278</v>
      </c>
      <c r="C2469" s="2">
        <v>45269</v>
      </c>
      <c r="D2469" s="2" t="str">
        <f>TEXT(Table3[[#This Row],[usage_date]],"mmmm")</f>
        <v>December</v>
      </c>
      <c r="E2469" s="9">
        <f>YEAR(Table3[[#This Row],[usage_date]])</f>
        <v>2023</v>
      </c>
      <c r="F2469" s="14">
        <v>2.1800000000000002</v>
      </c>
      <c r="G2469">
        <v>260</v>
      </c>
      <c r="H2469" t="s">
        <v>12</v>
      </c>
      <c r="I2469" t="str">
        <f t="shared" si="38"/>
        <v>Normal Usage</v>
      </c>
    </row>
    <row r="2470" spans="1:9" x14ac:dyDescent="0.3">
      <c r="A2470">
        <v>12469</v>
      </c>
      <c r="B2470">
        <v>354</v>
      </c>
      <c r="C2470" s="2">
        <v>45403</v>
      </c>
      <c r="D2470" s="2" t="str">
        <f>TEXT(Table3[[#This Row],[usage_date]],"mmmm")</f>
        <v>April</v>
      </c>
      <c r="E2470" s="9">
        <f>YEAR(Table3[[#This Row],[usage_date]])</f>
        <v>2024</v>
      </c>
      <c r="F2470" s="14">
        <v>0.18</v>
      </c>
      <c r="G2470">
        <v>133</v>
      </c>
      <c r="H2470" t="s">
        <v>12</v>
      </c>
      <c r="I2470" t="str">
        <f t="shared" si="38"/>
        <v>Normal Usage</v>
      </c>
    </row>
    <row r="2471" spans="1:9" x14ac:dyDescent="0.3">
      <c r="A2471">
        <v>12470</v>
      </c>
      <c r="B2471">
        <v>237</v>
      </c>
      <c r="C2471" s="2">
        <v>44763</v>
      </c>
      <c r="D2471" s="2" t="str">
        <f>TEXT(Table3[[#This Row],[usage_date]],"mmmm")</f>
        <v>July</v>
      </c>
      <c r="E2471" s="9">
        <f>YEAR(Table3[[#This Row],[usage_date]])</f>
        <v>2022</v>
      </c>
      <c r="F2471" s="14">
        <v>5.57</v>
      </c>
      <c r="G2471">
        <v>86</v>
      </c>
      <c r="H2471" t="s">
        <v>12</v>
      </c>
      <c r="I2471" t="str">
        <f t="shared" si="38"/>
        <v>Normal Usage</v>
      </c>
    </row>
    <row r="2472" spans="1:9" x14ac:dyDescent="0.3">
      <c r="A2472">
        <v>12471</v>
      </c>
      <c r="B2472">
        <v>425</v>
      </c>
      <c r="C2472" s="2">
        <v>44905</v>
      </c>
      <c r="D2472" s="2" t="str">
        <f>TEXT(Table3[[#This Row],[usage_date]],"mmmm")</f>
        <v>December</v>
      </c>
      <c r="E2472" s="9">
        <f>YEAR(Table3[[#This Row],[usage_date]])</f>
        <v>2022</v>
      </c>
      <c r="F2472" s="14">
        <v>0.08</v>
      </c>
      <c r="G2472">
        <v>55</v>
      </c>
      <c r="H2472" t="s">
        <v>12</v>
      </c>
      <c r="I2472" t="str">
        <f t="shared" si="38"/>
        <v>Normal Usage</v>
      </c>
    </row>
    <row r="2473" spans="1:9" x14ac:dyDescent="0.3">
      <c r="A2473">
        <v>12472</v>
      </c>
      <c r="B2473">
        <v>221</v>
      </c>
      <c r="C2473" s="2">
        <v>45414</v>
      </c>
      <c r="D2473" s="2" t="str">
        <f>TEXT(Table3[[#This Row],[usage_date]],"mmmm")</f>
        <v>May</v>
      </c>
      <c r="E2473" s="9">
        <f>YEAR(Table3[[#This Row],[usage_date]])</f>
        <v>2024</v>
      </c>
      <c r="F2473" s="14">
        <v>3.45</v>
      </c>
      <c r="G2473">
        <v>216</v>
      </c>
      <c r="H2473" t="s">
        <v>12</v>
      </c>
      <c r="I2473" t="str">
        <f t="shared" si="38"/>
        <v>Normal Usage</v>
      </c>
    </row>
    <row r="2474" spans="1:9" x14ac:dyDescent="0.3">
      <c r="A2474">
        <v>12473</v>
      </c>
      <c r="B2474">
        <v>68</v>
      </c>
      <c r="C2474" s="2">
        <v>45084</v>
      </c>
      <c r="D2474" s="2" t="str">
        <f>TEXT(Table3[[#This Row],[usage_date]],"mmmm")</f>
        <v>June</v>
      </c>
      <c r="E2474" s="9">
        <f>YEAR(Table3[[#This Row],[usage_date]])</f>
        <v>2023</v>
      </c>
      <c r="F2474" s="14">
        <v>3.56</v>
      </c>
      <c r="G2474">
        <v>67</v>
      </c>
      <c r="H2474" t="s">
        <v>12</v>
      </c>
      <c r="I2474" t="str">
        <f t="shared" si="38"/>
        <v>Normal Usage</v>
      </c>
    </row>
    <row r="2475" spans="1:9" x14ac:dyDescent="0.3">
      <c r="A2475">
        <v>12474</v>
      </c>
      <c r="B2475">
        <v>197</v>
      </c>
      <c r="C2475" s="2">
        <v>45420</v>
      </c>
      <c r="D2475" s="2" t="str">
        <f>TEXT(Table3[[#This Row],[usage_date]],"mmmm")</f>
        <v>May</v>
      </c>
      <c r="E2475" s="9">
        <f>YEAR(Table3[[#This Row],[usage_date]])</f>
        <v>2024</v>
      </c>
      <c r="F2475" s="14">
        <v>7.65</v>
      </c>
      <c r="G2475">
        <v>43</v>
      </c>
      <c r="H2475" t="s">
        <v>12</v>
      </c>
      <c r="I2475" t="str">
        <f t="shared" si="38"/>
        <v>High Usage</v>
      </c>
    </row>
    <row r="2476" spans="1:9" x14ac:dyDescent="0.3">
      <c r="A2476">
        <v>12475</v>
      </c>
      <c r="B2476">
        <v>256</v>
      </c>
      <c r="C2476" s="2">
        <v>44961</v>
      </c>
      <c r="D2476" s="2" t="str">
        <f>TEXT(Table3[[#This Row],[usage_date]],"mmmm")</f>
        <v>February</v>
      </c>
      <c r="E2476" s="9">
        <f>YEAR(Table3[[#This Row],[usage_date]])</f>
        <v>2023</v>
      </c>
      <c r="F2476" s="14">
        <v>0.14000000000000001</v>
      </c>
      <c r="G2476">
        <v>142</v>
      </c>
      <c r="H2476" t="s">
        <v>13</v>
      </c>
      <c r="I2476" t="str">
        <f t="shared" si="38"/>
        <v>Normal Usage</v>
      </c>
    </row>
    <row r="2477" spans="1:9" x14ac:dyDescent="0.3">
      <c r="A2477">
        <v>12476</v>
      </c>
      <c r="B2477">
        <v>139</v>
      </c>
      <c r="C2477" s="2">
        <v>44779</v>
      </c>
      <c r="D2477" s="2" t="str">
        <f>TEXT(Table3[[#This Row],[usage_date]],"mmmm")</f>
        <v>August</v>
      </c>
      <c r="E2477" s="9">
        <f>YEAR(Table3[[#This Row],[usage_date]])</f>
        <v>2022</v>
      </c>
      <c r="F2477" s="14">
        <v>2.27</v>
      </c>
      <c r="G2477">
        <v>41</v>
      </c>
      <c r="H2477" t="s">
        <v>12</v>
      </c>
      <c r="I2477" t="str">
        <f t="shared" si="38"/>
        <v>Normal Usage</v>
      </c>
    </row>
    <row r="2478" spans="1:9" x14ac:dyDescent="0.3">
      <c r="A2478">
        <v>12477</v>
      </c>
      <c r="B2478">
        <v>312</v>
      </c>
      <c r="C2478" s="2">
        <v>45006</v>
      </c>
      <c r="D2478" s="2" t="str">
        <f>TEXT(Table3[[#This Row],[usage_date]],"mmmm")</f>
        <v>March</v>
      </c>
      <c r="E2478" s="9">
        <f>YEAR(Table3[[#This Row],[usage_date]])</f>
        <v>2023</v>
      </c>
      <c r="F2478" s="14">
        <v>1.4</v>
      </c>
      <c r="G2478">
        <v>138</v>
      </c>
      <c r="H2478" t="s">
        <v>12</v>
      </c>
      <c r="I2478" t="str">
        <f t="shared" si="38"/>
        <v>Normal Usage</v>
      </c>
    </row>
    <row r="2479" spans="1:9" x14ac:dyDescent="0.3">
      <c r="A2479">
        <v>12478</v>
      </c>
      <c r="B2479">
        <v>435</v>
      </c>
      <c r="C2479" s="2">
        <v>45326</v>
      </c>
      <c r="D2479" s="2" t="str">
        <f>TEXT(Table3[[#This Row],[usage_date]],"mmmm")</f>
        <v>February</v>
      </c>
      <c r="E2479" s="9">
        <f>YEAR(Table3[[#This Row],[usage_date]])</f>
        <v>2024</v>
      </c>
      <c r="F2479" s="14">
        <v>1</v>
      </c>
      <c r="G2479">
        <v>72</v>
      </c>
      <c r="H2479" t="s">
        <v>13</v>
      </c>
      <c r="I2479" t="str">
        <f t="shared" si="38"/>
        <v>Normal Usage</v>
      </c>
    </row>
    <row r="2480" spans="1:9" x14ac:dyDescent="0.3">
      <c r="A2480">
        <v>12479</v>
      </c>
      <c r="B2480">
        <v>149</v>
      </c>
      <c r="C2480" s="2">
        <v>44783</v>
      </c>
      <c r="D2480" s="2" t="str">
        <f>TEXT(Table3[[#This Row],[usage_date]],"mmmm")</f>
        <v>August</v>
      </c>
      <c r="E2480" s="9">
        <f>YEAR(Table3[[#This Row],[usage_date]])</f>
        <v>2022</v>
      </c>
      <c r="F2480" s="14">
        <v>0.24</v>
      </c>
      <c r="G2480">
        <v>266</v>
      </c>
      <c r="H2480" t="s">
        <v>12</v>
      </c>
      <c r="I2480" t="str">
        <f t="shared" si="38"/>
        <v>Normal Usage</v>
      </c>
    </row>
    <row r="2481" spans="1:9" x14ac:dyDescent="0.3">
      <c r="A2481">
        <v>12480</v>
      </c>
      <c r="B2481">
        <v>99</v>
      </c>
      <c r="C2481" s="2">
        <v>44944</v>
      </c>
      <c r="D2481" s="2" t="str">
        <f>TEXT(Table3[[#This Row],[usage_date]],"mmmm")</f>
        <v>January</v>
      </c>
      <c r="E2481" s="9">
        <f>YEAR(Table3[[#This Row],[usage_date]])</f>
        <v>2023</v>
      </c>
      <c r="F2481" s="14">
        <v>2.0699999999999998</v>
      </c>
      <c r="G2481">
        <v>193</v>
      </c>
      <c r="H2481" t="s">
        <v>13</v>
      </c>
      <c r="I2481" t="str">
        <f t="shared" si="38"/>
        <v>Normal Usage</v>
      </c>
    </row>
    <row r="2482" spans="1:9" x14ac:dyDescent="0.3">
      <c r="A2482">
        <v>12481</v>
      </c>
      <c r="B2482">
        <v>76</v>
      </c>
      <c r="C2482" s="2">
        <v>45442</v>
      </c>
      <c r="D2482" s="2" t="str">
        <f>TEXT(Table3[[#This Row],[usage_date]],"mmmm")</f>
        <v>May</v>
      </c>
      <c r="E2482" s="9">
        <f>YEAR(Table3[[#This Row],[usage_date]])</f>
        <v>2024</v>
      </c>
      <c r="F2482" s="14">
        <v>1.63</v>
      </c>
      <c r="G2482">
        <v>154</v>
      </c>
      <c r="H2482" t="s">
        <v>13</v>
      </c>
      <c r="I2482" t="str">
        <f t="shared" si="38"/>
        <v>Normal Usage</v>
      </c>
    </row>
    <row r="2483" spans="1:9" x14ac:dyDescent="0.3">
      <c r="A2483">
        <v>12482</v>
      </c>
      <c r="B2483">
        <v>282</v>
      </c>
      <c r="C2483" s="2">
        <v>45153</v>
      </c>
      <c r="D2483" s="2" t="str">
        <f>TEXT(Table3[[#This Row],[usage_date]],"mmmm")</f>
        <v>August</v>
      </c>
      <c r="E2483" s="9">
        <f>YEAR(Table3[[#This Row],[usage_date]])</f>
        <v>2023</v>
      </c>
      <c r="F2483" s="14">
        <v>0.28000000000000003</v>
      </c>
      <c r="G2483">
        <v>245</v>
      </c>
      <c r="H2483" t="s">
        <v>12</v>
      </c>
      <c r="I2483" t="str">
        <f t="shared" si="38"/>
        <v>Normal Usage</v>
      </c>
    </row>
    <row r="2484" spans="1:9" x14ac:dyDescent="0.3">
      <c r="A2484">
        <v>12483</v>
      </c>
      <c r="B2484">
        <v>371</v>
      </c>
      <c r="C2484" s="2">
        <v>44568</v>
      </c>
      <c r="D2484" s="2" t="str">
        <f>TEXT(Table3[[#This Row],[usage_date]],"mmmm")</f>
        <v>January</v>
      </c>
      <c r="E2484" s="9">
        <f>YEAR(Table3[[#This Row],[usage_date]])</f>
        <v>2022</v>
      </c>
      <c r="F2484" s="14">
        <v>2.37</v>
      </c>
      <c r="G2484">
        <v>217</v>
      </c>
      <c r="H2484" t="s">
        <v>12</v>
      </c>
      <c r="I2484" t="str">
        <f t="shared" si="38"/>
        <v>Normal Usage</v>
      </c>
    </row>
    <row r="2485" spans="1:9" x14ac:dyDescent="0.3">
      <c r="A2485">
        <v>12484</v>
      </c>
      <c r="B2485">
        <v>403</v>
      </c>
      <c r="C2485" s="2">
        <v>44833</v>
      </c>
      <c r="D2485" s="2" t="str">
        <f>TEXT(Table3[[#This Row],[usage_date]],"mmmm")</f>
        <v>September</v>
      </c>
      <c r="E2485" s="9">
        <f>YEAR(Table3[[#This Row],[usage_date]])</f>
        <v>2022</v>
      </c>
      <c r="F2485" s="14">
        <v>3.35</v>
      </c>
      <c r="G2485">
        <v>252</v>
      </c>
      <c r="H2485" t="s">
        <v>12</v>
      </c>
      <c r="I2485" t="str">
        <f t="shared" si="38"/>
        <v>Normal Usage</v>
      </c>
    </row>
    <row r="2486" spans="1:9" x14ac:dyDescent="0.3">
      <c r="A2486">
        <v>12485</v>
      </c>
      <c r="B2486">
        <v>109</v>
      </c>
      <c r="C2486" s="2">
        <v>45300</v>
      </c>
      <c r="D2486" s="2" t="str">
        <f>TEXT(Table3[[#This Row],[usage_date]],"mmmm")</f>
        <v>January</v>
      </c>
      <c r="E2486" s="9">
        <f>YEAR(Table3[[#This Row],[usage_date]])</f>
        <v>2024</v>
      </c>
      <c r="F2486" s="14">
        <v>3.64</v>
      </c>
      <c r="G2486">
        <v>276</v>
      </c>
      <c r="H2486" t="s">
        <v>12</v>
      </c>
      <c r="I2486" t="str">
        <f t="shared" si="38"/>
        <v>Normal Usage</v>
      </c>
    </row>
    <row r="2487" spans="1:9" x14ac:dyDescent="0.3">
      <c r="A2487">
        <v>12486</v>
      </c>
      <c r="B2487">
        <v>188</v>
      </c>
      <c r="C2487" s="2">
        <v>44577</v>
      </c>
      <c r="D2487" s="2" t="str">
        <f>TEXT(Table3[[#This Row],[usage_date]],"mmmm")</f>
        <v>January</v>
      </c>
      <c r="E2487" s="9">
        <f>YEAR(Table3[[#This Row],[usage_date]])</f>
        <v>2022</v>
      </c>
      <c r="F2487" s="14">
        <v>5.89</v>
      </c>
      <c r="G2487">
        <v>276</v>
      </c>
      <c r="H2487" t="s">
        <v>12</v>
      </c>
      <c r="I2487" t="str">
        <f t="shared" si="38"/>
        <v>Normal Usage</v>
      </c>
    </row>
    <row r="2488" spans="1:9" x14ac:dyDescent="0.3">
      <c r="A2488">
        <v>12487</v>
      </c>
      <c r="B2488">
        <v>199</v>
      </c>
      <c r="C2488" s="2">
        <v>44985</v>
      </c>
      <c r="D2488" s="2" t="str">
        <f>TEXT(Table3[[#This Row],[usage_date]],"mmmm")</f>
        <v>February</v>
      </c>
      <c r="E2488" s="9">
        <f>YEAR(Table3[[#This Row],[usage_date]])</f>
        <v>2023</v>
      </c>
      <c r="F2488" s="14">
        <v>1.32</v>
      </c>
      <c r="G2488">
        <v>71</v>
      </c>
      <c r="H2488" t="s">
        <v>13</v>
      </c>
      <c r="I2488" t="str">
        <f t="shared" si="38"/>
        <v>Normal Usage</v>
      </c>
    </row>
    <row r="2489" spans="1:9" x14ac:dyDescent="0.3">
      <c r="A2489">
        <v>12488</v>
      </c>
      <c r="B2489">
        <v>303</v>
      </c>
      <c r="C2489" s="2">
        <v>45085</v>
      </c>
      <c r="D2489" s="2" t="str">
        <f>TEXT(Table3[[#This Row],[usage_date]],"mmmm")</f>
        <v>June</v>
      </c>
      <c r="E2489" s="9">
        <f>YEAR(Table3[[#This Row],[usage_date]])</f>
        <v>2023</v>
      </c>
      <c r="F2489" s="14">
        <v>7.65</v>
      </c>
      <c r="G2489">
        <v>128</v>
      </c>
      <c r="H2489" t="s">
        <v>12</v>
      </c>
      <c r="I2489" t="str">
        <f t="shared" si="38"/>
        <v>High Usage</v>
      </c>
    </row>
    <row r="2490" spans="1:9" x14ac:dyDescent="0.3">
      <c r="A2490">
        <v>12489</v>
      </c>
      <c r="B2490">
        <v>327</v>
      </c>
      <c r="C2490" s="2">
        <v>45364</v>
      </c>
      <c r="D2490" s="2" t="str">
        <f>TEXT(Table3[[#This Row],[usage_date]],"mmmm")</f>
        <v>March</v>
      </c>
      <c r="E2490" s="9">
        <f>YEAR(Table3[[#This Row],[usage_date]])</f>
        <v>2024</v>
      </c>
      <c r="F2490" s="14">
        <v>5.01</v>
      </c>
      <c r="G2490">
        <v>185</v>
      </c>
      <c r="H2490" t="s">
        <v>12</v>
      </c>
      <c r="I2490" t="str">
        <f t="shared" si="38"/>
        <v>Normal Usage</v>
      </c>
    </row>
    <row r="2491" spans="1:9" x14ac:dyDescent="0.3">
      <c r="A2491">
        <v>12490</v>
      </c>
      <c r="B2491">
        <v>154</v>
      </c>
      <c r="C2491" s="2">
        <v>45314</v>
      </c>
      <c r="D2491" s="2" t="str">
        <f>TEXT(Table3[[#This Row],[usage_date]],"mmmm")</f>
        <v>January</v>
      </c>
      <c r="E2491" s="9">
        <f>YEAR(Table3[[#This Row],[usage_date]])</f>
        <v>2024</v>
      </c>
      <c r="F2491" s="14">
        <v>0.88</v>
      </c>
      <c r="G2491">
        <v>12</v>
      </c>
      <c r="H2491" t="s">
        <v>13</v>
      </c>
      <c r="I2491" t="str">
        <f t="shared" si="38"/>
        <v>Normal Usage</v>
      </c>
    </row>
    <row r="2492" spans="1:9" x14ac:dyDescent="0.3">
      <c r="A2492">
        <v>12491</v>
      </c>
      <c r="B2492">
        <v>40</v>
      </c>
      <c r="C2492" s="2">
        <v>44582</v>
      </c>
      <c r="D2492" s="2" t="str">
        <f>TEXT(Table3[[#This Row],[usage_date]],"mmmm")</f>
        <v>January</v>
      </c>
      <c r="E2492" s="9">
        <f>YEAR(Table3[[#This Row],[usage_date]])</f>
        <v>2022</v>
      </c>
      <c r="F2492" s="14">
        <v>0.43</v>
      </c>
      <c r="G2492">
        <v>219</v>
      </c>
      <c r="H2492" t="s">
        <v>13</v>
      </c>
      <c r="I2492" t="str">
        <f t="shared" si="38"/>
        <v>Normal Usage</v>
      </c>
    </row>
    <row r="2493" spans="1:9" x14ac:dyDescent="0.3">
      <c r="A2493">
        <v>12492</v>
      </c>
      <c r="B2493">
        <v>133</v>
      </c>
      <c r="C2493" s="2">
        <v>45251</v>
      </c>
      <c r="D2493" s="2" t="str">
        <f>TEXT(Table3[[#This Row],[usage_date]],"mmmm")</f>
        <v>November</v>
      </c>
      <c r="E2493" s="9">
        <f>YEAR(Table3[[#This Row],[usage_date]])</f>
        <v>2023</v>
      </c>
      <c r="F2493" s="14">
        <v>1.43</v>
      </c>
      <c r="G2493">
        <v>5</v>
      </c>
      <c r="H2493" t="s">
        <v>12</v>
      </c>
      <c r="I2493" t="str">
        <f t="shared" si="38"/>
        <v>Normal Usage</v>
      </c>
    </row>
    <row r="2494" spans="1:9" x14ac:dyDescent="0.3">
      <c r="A2494">
        <v>12493</v>
      </c>
      <c r="B2494">
        <v>405</v>
      </c>
      <c r="C2494" s="2">
        <v>44789</v>
      </c>
      <c r="D2494" s="2" t="str">
        <f>TEXT(Table3[[#This Row],[usage_date]],"mmmm")</f>
        <v>August</v>
      </c>
      <c r="E2494" s="9">
        <f>YEAR(Table3[[#This Row],[usage_date]])</f>
        <v>2022</v>
      </c>
      <c r="F2494" s="14">
        <v>1.28</v>
      </c>
      <c r="G2494">
        <v>238</v>
      </c>
      <c r="H2494" t="s">
        <v>12</v>
      </c>
      <c r="I2494" t="str">
        <f t="shared" si="38"/>
        <v>Normal Usage</v>
      </c>
    </row>
    <row r="2495" spans="1:9" x14ac:dyDescent="0.3">
      <c r="A2495">
        <v>12494</v>
      </c>
      <c r="B2495">
        <v>462</v>
      </c>
      <c r="C2495" s="2">
        <v>45346</v>
      </c>
      <c r="D2495" s="2" t="str">
        <f>TEXT(Table3[[#This Row],[usage_date]],"mmmm")</f>
        <v>February</v>
      </c>
      <c r="E2495" s="9">
        <f>YEAR(Table3[[#This Row],[usage_date]])</f>
        <v>2024</v>
      </c>
      <c r="F2495" s="14">
        <v>2.14</v>
      </c>
      <c r="G2495">
        <v>111</v>
      </c>
      <c r="H2495" t="s">
        <v>12</v>
      </c>
      <c r="I2495" t="str">
        <f t="shared" si="38"/>
        <v>Normal Usage</v>
      </c>
    </row>
    <row r="2496" spans="1:9" x14ac:dyDescent="0.3">
      <c r="A2496">
        <v>12495</v>
      </c>
      <c r="B2496">
        <v>132</v>
      </c>
      <c r="C2496" s="2">
        <v>44849</v>
      </c>
      <c r="D2496" s="2" t="str">
        <f>TEXT(Table3[[#This Row],[usage_date]],"mmmm")</f>
        <v>October</v>
      </c>
      <c r="E2496" s="9">
        <f>YEAR(Table3[[#This Row],[usage_date]])</f>
        <v>2022</v>
      </c>
      <c r="F2496" s="14">
        <v>2.19</v>
      </c>
      <c r="G2496">
        <v>227</v>
      </c>
      <c r="H2496" t="s">
        <v>13</v>
      </c>
      <c r="I2496" t="str">
        <f t="shared" si="38"/>
        <v>Normal Usage</v>
      </c>
    </row>
    <row r="2497" spans="1:9" x14ac:dyDescent="0.3">
      <c r="A2497">
        <v>12496</v>
      </c>
      <c r="B2497">
        <v>279</v>
      </c>
      <c r="C2497" s="2">
        <v>45370</v>
      </c>
      <c r="D2497" s="2" t="str">
        <f>TEXT(Table3[[#This Row],[usage_date]],"mmmm")</f>
        <v>March</v>
      </c>
      <c r="E2497" s="9">
        <f>YEAR(Table3[[#This Row],[usage_date]])</f>
        <v>2024</v>
      </c>
      <c r="F2497" s="14">
        <v>3.47</v>
      </c>
      <c r="G2497">
        <v>16</v>
      </c>
      <c r="H2497" t="s">
        <v>12</v>
      </c>
      <c r="I2497" t="str">
        <f t="shared" si="38"/>
        <v>Normal Usage</v>
      </c>
    </row>
    <row r="2498" spans="1:9" x14ac:dyDescent="0.3">
      <c r="A2498">
        <v>12497</v>
      </c>
      <c r="B2498">
        <v>362</v>
      </c>
      <c r="C2498" s="2">
        <v>44695</v>
      </c>
      <c r="D2498" s="2" t="str">
        <f>TEXT(Table3[[#This Row],[usage_date]],"mmmm")</f>
        <v>May</v>
      </c>
      <c r="E2498" s="9">
        <f>YEAR(Table3[[#This Row],[usage_date]])</f>
        <v>2022</v>
      </c>
      <c r="F2498" s="14">
        <v>1.78</v>
      </c>
      <c r="G2498">
        <v>72</v>
      </c>
      <c r="H2498" t="s">
        <v>13</v>
      </c>
      <c r="I2498" t="str">
        <f t="shared" ref="I2498:I2561" si="39">IF(F2498&gt;6,"High Usage","Normal Usage")</f>
        <v>Normal Usage</v>
      </c>
    </row>
    <row r="2499" spans="1:9" x14ac:dyDescent="0.3">
      <c r="A2499">
        <v>12498</v>
      </c>
      <c r="B2499">
        <v>84</v>
      </c>
      <c r="C2499" s="2">
        <v>44844</v>
      </c>
      <c r="D2499" s="2" t="str">
        <f>TEXT(Table3[[#This Row],[usage_date]],"mmmm")</f>
        <v>October</v>
      </c>
      <c r="E2499" s="9">
        <f>YEAR(Table3[[#This Row],[usage_date]])</f>
        <v>2022</v>
      </c>
      <c r="F2499" s="14">
        <v>0.28000000000000003</v>
      </c>
      <c r="G2499">
        <v>11</v>
      </c>
      <c r="H2499" t="s">
        <v>12</v>
      </c>
      <c r="I2499" t="str">
        <f t="shared" si="39"/>
        <v>Normal Usage</v>
      </c>
    </row>
    <row r="2500" spans="1:9" x14ac:dyDescent="0.3">
      <c r="A2500">
        <v>12499</v>
      </c>
      <c r="B2500">
        <v>399</v>
      </c>
      <c r="C2500" s="2">
        <v>44965</v>
      </c>
      <c r="D2500" s="2" t="str">
        <f>TEXT(Table3[[#This Row],[usage_date]],"mmmm")</f>
        <v>February</v>
      </c>
      <c r="E2500" s="9">
        <f>YEAR(Table3[[#This Row],[usage_date]])</f>
        <v>2023</v>
      </c>
      <c r="F2500" s="14">
        <v>4.88</v>
      </c>
      <c r="G2500">
        <v>85</v>
      </c>
      <c r="H2500" t="s">
        <v>13</v>
      </c>
      <c r="I2500" t="str">
        <f t="shared" si="39"/>
        <v>Normal Usage</v>
      </c>
    </row>
    <row r="2501" spans="1:9" x14ac:dyDescent="0.3">
      <c r="A2501">
        <v>12500</v>
      </c>
      <c r="B2501">
        <v>242</v>
      </c>
      <c r="C2501" s="2">
        <v>45226</v>
      </c>
      <c r="D2501" s="2" t="str">
        <f>TEXT(Table3[[#This Row],[usage_date]],"mmmm")</f>
        <v>October</v>
      </c>
      <c r="E2501" s="9">
        <f>YEAR(Table3[[#This Row],[usage_date]])</f>
        <v>2023</v>
      </c>
      <c r="F2501" s="14">
        <v>0.93</v>
      </c>
      <c r="G2501">
        <v>179</v>
      </c>
      <c r="H2501" t="s">
        <v>12</v>
      </c>
      <c r="I2501" t="str">
        <f t="shared" si="39"/>
        <v>Normal Usage</v>
      </c>
    </row>
    <row r="2502" spans="1:9" x14ac:dyDescent="0.3">
      <c r="A2502">
        <v>12501</v>
      </c>
      <c r="B2502">
        <v>116</v>
      </c>
      <c r="C2502" s="2">
        <v>44627</v>
      </c>
      <c r="D2502" s="2" t="str">
        <f>TEXT(Table3[[#This Row],[usage_date]],"mmmm")</f>
        <v>March</v>
      </c>
      <c r="E2502" s="9">
        <f>YEAR(Table3[[#This Row],[usage_date]])</f>
        <v>2022</v>
      </c>
      <c r="F2502" s="14">
        <v>8.8800000000000008</v>
      </c>
      <c r="G2502">
        <v>121</v>
      </c>
      <c r="H2502" t="s">
        <v>13</v>
      </c>
      <c r="I2502" t="str">
        <f t="shared" si="39"/>
        <v>High Usage</v>
      </c>
    </row>
    <row r="2503" spans="1:9" x14ac:dyDescent="0.3">
      <c r="A2503">
        <v>12502</v>
      </c>
      <c r="B2503">
        <v>109</v>
      </c>
      <c r="C2503" s="2">
        <v>45210</v>
      </c>
      <c r="D2503" s="2" t="str">
        <f>TEXT(Table3[[#This Row],[usage_date]],"mmmm")</f>
        <v>October</v>
      </c>
      <c r="E2503" s="9">
        <f>YEAR(Table3[[#This Row],[usage_date]])</f>
        <v>2023</v>
      </c>
      <c r="F2503" s="14">
        <v>0.31</v>
      </c>
      <c r="G2503">
        <v>203</v>
      </c>
      <c r="H2503" t="s">
        <v>13</v>
      </c>
      <c r="I2503" t="str">
        <f t="shared" si="39"/>
        <v>Normal Usage</v>
      </c>
    </row>
    <row r="2504" spans="1:9" x14ac:dyDescent="0.3">
      <c r="A2504">
        <v>12503</v>
      </c>
      <c r="B2504">
        <v>221</v>
      </c>
      <c r="C2504" s="2">
        <v>45165</v>
      </c>
      <c r="D2504" s="2" t="str">
        <f>TEXT(Table3[[#This Row],[usage_date]],"mmmm")</f>
        <v>August</v>
      </c>
      <c r="E2504" s="9">
        <f>YEAR(Table3[[#This Row],[usage_date]])</f>
        <v>2023</v>
      </c>
      <c r="F2504" s="14">
        <v>7.94</v>
      </c>
      <c r="G2504">
        <v>69</v>
      </c>
      <c r="H2504" t="s">
        <v>12</v>
      </c>
      <c r="I2504" t="str">
        <f t="shared" si="39"/>
        <v>High Usage</v>
      </c>
    </row>
    <row r="2505" spans="1:9" x14ac:dyDescent="0.3">
      <c r="A2505">
        <v>12504</v>
      </c>
      <c r="B2505">
        <v>392</v>
      </c>
      <c r="C2505" s="2">
        <v>44998</v>
      </c>
      <c r="D2505" s="2" t="str">
        <f>TEXT(Table3[[#This Row],[usage_date]],"mmmm")</f>
        <v>March</v>
      </c>
      <c r="E2505" s="9">
        <f>YEAR(Table3[[#This Row],[usage_date]])</f>
        <v>2023</v>
      </c>
      <c r="F2505" s="14">
        <v>0.24</v>
      </c>
      <c r="G2505">
        <v>107</v>
      </c>
      <c r="H2505" t="s">
        <v>13</v>
      </c>
      <c r="I2505" t="str">
        <f t="shared" si="39"/>
        <v>Normal Usage</v>
      </c>
    </row>
    <row r="2506" spans="1:9" x14ac:dyDescent="0.3">
      <c r="A2506">
        <v>12505</v>
      </c>
      <c r="B2506">
        <v>41</v>
      </c>
      <c r="C2506" s="2">
        <v>45390</v>
      </c>
      <c r="D2506" s="2" t="str">
        <f>TEXT(Table3[[#This Row],[usage_date]],"mmmm")</f>
        <v>April</v>
      </c>
      <c r="E2506" s="9">
        <f>YEAR(Table3[[#This Row],[usage_date]])</f>
        <v>2024</v>
      </c>
      <c r="F2506" s="14">
        <v>0.66</v>
      </c>
      <c r="G2506">
        <v>200</v>
      </c>
      <c r="H2506" t="s">
        <v>13</v>
      </c>
      <c r="I2506" t="str">
        <f t="shared" si="39"/>
        <v>Normal Usage</v>
      </c>
    </row>
    <row r="2507" spans="1:9" x14ac:dyDescent="0.3">
      <c r="A2507">
        <v>12506</v>
      </c>
      <c r="B2507">
        <v>368</v>
      </c>
      <c r="C2507" s="2">
        <v>44820</v>
      </c>
      <c r="D2507" s="2" t="str">
        <f>TEXT(Table3[[#This Row],[usage_date]],"mmmm")</f>
        <v>September</v>
      </c>
      <c r="E2507" s="9">
        <f>YEAR(Table3[[#This Row],[usage_date]])</f>
        <v>2022</v>
      </c>
      <c r="F2507" s="14">
        <v>0.12</v>
      </c>
      <c r="G2507">
        <v>51</v>
      </c>
      <c r="H2507" t="s">
        <v>13</v>
      </c>
      <c r="I2507" t="str">
        <f t="shared" si="39"/>
        <v>Normal Usage</v>
      </c>
    </row>
    <row r="2508" spans="1:9" x14ac:dyDescent="0.3">
      <c r="A2508">
        <v>12507</v>
      </c>
      <c r="B2508">
        <v>147</v>
      </c>
      <c r="C2508" s="2">
        <v>44664</v>
      </c>
      <c r="D2508" s="2" t="str">
        <f>TEXT(Table3[[#This Row],[usage_date]],"mmmm")</f>
        <v>April</v>
      </c>
      <c r="E2508" s="9">
        <f>YEAR(Table3[[#This Row],[usage_date]])</f>
        <v>2022</v>
      </c>
      <c r="F2508" s="14">
        <v>3.05</v>
      </c>
      <c r="G2508">
        <v>36</v>
      </c>
      <c r="H2508" t="s">
        <v>12</v>
      </c>
      <c r="I2508" t="str">
        <f t="shared" si="39"/>
        <v>Normal Usage</v>
      </c>
    </row>
    <row r="2509" spans="1:9" x14ac:dyDescent="0.3">
      <c r="A2509">
        <v>12508</v>
      </c>
      <c r="B2509">
        <v>112</v>
      </c>
      <c r="C2509" s="2">
        <v>45128</v>
      </c>
      <c r="D2509" s="2" t="str">
        <f>TEXT(Table3[[#This Row],[usage_date]],"mmmm")</f>
        <v>July</v>
      </c>
      <c r="E2509" s="9">
        <f>YEAR(Table3[[#This Row],[usage_date]])</f>
        <v>2023</v>
      </c>
      <c r="F2509" s="14">
        <v>4.75</v>
      </c>
      <c r="G2509">
        <v>116</v>
      </c>
      <c r="H2509" t="s">
        <v>12</v>
      </c>
      <c r="I2509" t="str">
        <f t="shared" si="39"/>
        <v>Normal Usage</v>
      </c>
    </row>
    <row r="2510" spans="1:9" x14ac:dyDescent="0.3">
      <c r="A2510">
        <v>12509</v>
      </c>
      <c r="B2510">
        <v>103</v>
      </c>
      <c r="C2510" s="2">
        <v>45330</v>
      </c>
      <c r="D2510" s="2" t="str">
        <f>TEXT(Table3[[#This Row],[usage_date]],"mmmm")</f>
        <v>February</v>
      </c>
      <c r="E2510" s="9">
        <f>YEAR(Table3[[#This Row],[usage_date]])</f>
        <v>2024</v>
      </c>
      <c r="F2510" s="14">
        <v>1.42</v>
      </c>
      <c r="G2510">
        <v>258</v>
      </c>
      <c r="H2510" t="s">
        <v>13</v>
      </c>
      <c r="I2510" t="str">
        <f t="shared" si="39"/>
        <v>Normal Usage</v>
      </c>
    </row>
    <row r="2511" spans="1:9" x14ac:dyDescent="0.3">
      <c r="A2511">
        <v>12510</v>
      </c>
      <c r="B2511">
        <v>46</v>
      </c>
      <c r="C2511" s="2">
        <v>44662</v>
      </c>
      <c r="D2511" s="2" t="str">
        <f>TEXT(Table3[[#This Row],[usage_date]],"mmmm")</f>
        <v>April</v>
      </c>
      <c r="E2511" s="9">
        <f>YEAR(Table3[[#This Row],[usage_date]])</f>
        <v>2022</v>
      </c>
      <c r="F2511" s="14">
        <v>6.6</v>
      </c>
      <c r="G2511">
        <v>263</v>
      </c>
      <c r="H2511" t="s">
        <v>13</v>
      </c>
      <c r="I2511" t="str">
        <f t="shared" si="39"/>
        <v>High Usage</v>
      </c>
    </row>
    <row r="2512" spans="1:9" x14ac:dyDescent="0.3">
      <c r="A2512">
        <v>12511</v>
      </c>
      <c r="B2512">
        <v>412</v>
      </c>
      <c r="C2512" s="2">
        <v>44759</v>
      </c>
      <c r="D2512" s="2" t="str">
        <f>TEXT(Table3[[#This Row],[usage_date]],"mmmm")</f>
        <v>July</v>
      </c>
      <c r="E2512" s="9">
        <f>YEAR(Table3[[#This Row],[usage_date]])</f>
        <v>2022</v>
      </c>
      <c r="F2512" s="14">
        <v>2.23</v>
      </c>
      <c r="G2512">
        <v>63</v>
      </c>
      <c r="H2512" t="s">
        <v>12</v>
      </c>
      <c r="I2512" t="str">
        <f t="shared" si="39"/>
        <v>Normal Usage</v>
      </c>
    </row>
    <row r="2513" spans="1:9" x14ac:dyDescent="0.3">
      <c r="A2513">
        <v>12512</v>
      </c>
      <c r="B2513">
        <v>494</v>
      </c>
      <c r="C2513" s="2">
        <v>45374</v>
      </c>
      <c r="D2513" s="2" t="str">
        <f>TEXT(Table3[[#This Row],[usage_date]],"mmmm")</f>
        <v>March</v>
      </c>
      <c r="E2513" s="9">
        <f>YEAR(Table3[[#This Row],[usage_date]])</f>
        <v>2024</v>
      </c>
      <c r="F2513" s="14">
        <v>2.4900000000000002</v>
      </c>
      <c r="G2513">
        <v>41</v>
      </c>
      <c r="H2513" t="s">
        <v>13</v>
      </c>
      <c r="I2513" t="str">
        <f t="shared" si="39"/>
        <v>Normal Usage</v>
      </c>
    </row>
    <row r="2514" spans="1:9" x14ac:dyDescent="0.3">
      <c r="A2514">
        <v>12513</v>
      </c>
      <c r="B2514">
        <v>475</v>
      </c>
      <c r="C2514" s="2">
        <v>44787</v>
      </c>
      <c r="D2514" s="2" t="str">
        <f>TEXT(Table3[[#This Row],[usage_date]],"mmmm")</f>
        <v>August</v>
      </c>
      <c r="E2514" s="9">
        <f>YEAR(Table3[[#This Row],[usage_date]])</f>
        <v>2022</v>
      </c>
      <c r="F2514" s="14">
        <v>4.67</v>
      </c>
      <c r="G2514">
        <v>42</v>
      </c>
      <c r="H2514" t="s">
        <v>12</v>
      </c>
      <c r="I2514" t="str">
        <f t="shared" si="39"/>
        <v>Normal Usage</v>
      </c>
    </row>
    <row r="2515" spans="1:9" x14ac:dyDescent="0.3">
      <c r="A2515">
        <v>12514</v>
      </c>
      <c r="B2515">
        <v>324</v>
      </c>
      <c r="C2515" s="2">
        <v>45024</v>
      </c>
      <c r="D2515" s="2" t="str">
        <f>TEXT(Table3[[#This Row],[usage_date]],"mmmm")</f>
        <v>April</v>
      </c>
      <c r="E2515" s="9">
        <f>YEAR(Table3[[#This Row],[usage_date]])</f>
        <v>2023</v>
      </c>
      <c r="F2515" s="14">
        <v>0.88</v>
      </c>
      <c r="G2515">
        <v>124</v>
      </c>
      <c r="H2515" t="s">
        <v>13</v>
      </c>
      <c r="I2515" t="str">
        <f t="shared" si="39"/>
        <v>Normal Usage</v>
      </c>
    </row>
    <row r="2516" spans="1:9" x14ac:dyDescent="0.3">
      <c r="A2516">
        <v>12515</v>
      </c>
      <c r="B2516">
        <v>378</v>
      </c>
      <c r="C2516" s="2">
        <v>44798</v>
      </c>
      <c r="D2516" s="2" t="str">
        <f>TEXT(Table3[[#This Row],[usage_date]],"mmmm")</f>
        <v>August</v>
      </c>
      <c r="E2516" s="9">
        <f>YEAR(Table3[[#This Row],[usage_date]])</f>
        <v>2022</v>
      </c>
      <c r="F2516" s="14">
        <v>1.0900000000000001</v>
      </c>
      <c r="G2516">
        <v>269</v>
      </c>
      <c r="H2516" t="s">
        <v>12</v>
      </c>
      <c r="I2516" t="str">
        <f t="shared" si="39"/>
        <v>Normal Usage</v>
      </c>
    </row>
    <row r="2517" spans="1:9" x14ac:dyDescent="0.3">
      <c r="A2517">
        <v>12516</v>
      </c>
      <c r="B2517">
        <v>271</v>
      </c>
      <c r="C2517" s="2">
        <v>44587</v>
      </c>
      <c r="D2517" s="2" t="str">
        <f>TEXT(Table3[[#This Row],[usage_date]],"mmmm")</f>
        <v>January</v>
      </c>
      <c r="E2517" s="9">
        <f>YEAR(Table3[[#This Row],[usage_date]])</f>
        <v>2022</v>
      </c>
      <c r="F2517" s="14">
        <v>5.91</v>
      </c>
      <c r="G2517">
        <v>232</v>
      </c>
      <c r="H2517" t="s">
        <v>12</v>
      </c>
      <c r="I2517" t="str">
        <f t="shared" si="39"/>
        <v>Normal Usage</v>
      </c>
    </row>
    <row r="2518" spans="1:9" x14ac:dyDescent="0.3">
      <c r="A2518">
        <v>12517</v>
      </c>
      <c r="B2518">
        <v>483</v>
      </c>
      <c r="C2518" s="2">
        <v>44682</v>
      </c>
      <c r="D2518" s="2" t="str">
        <f>TEXT(Table3[[#This Row],[usage_date]],"mmmm")</f>
        <v>May</v>
      </c>
      <c r="E2518" s="9">
        <f>YEAR(Table3[[#This Row],[usage_date]])</f>
        <v>2022</v>
      </c>
      <c r="F2518" s="14">
        <v>5.78</v>
      </c>
      <c r="G2518">
        <v>131</v>
      </c>
      <c r="H2518" t="s">
        <v>12</v>
      </c>
      <c r="I2518" t="str">
        <f t="shared" si="39"/>
        <v>Normal Usage</v>
      </c>
    </row>
    <row r="2519" spans="1:9" x14ac:dyDescent="0.3">
      <c r="A2519">
        <v>12518</v>
      </c>
      <c r="B2519">
        <v>421</v>
      </c>
      <c r="C2519" s="2">
        <v>45067</v>
      </c>
      <c r="D2519" s="2" t="str">
        <f>TEXT(Table3[[#This Row],[usage_date]],"mmmm")</f>
        <v>May</v>
      </c>
      <c r="E2519" s="9">
        <f>YEAR(Table3[[#This Row],[usage_date]])</f>
        <v>2023</v>
      </c>
      <c r="F2519" s="14">
        <v>9.3800000000000008</v>
      </c>
      <c r="G2519">
        <v>1</v>
      </c>
      <c r="H2519" t="s">
        <v>12</v>
      </c>
      <c r="I2519" t="str">
        <f t="shared" si="39"/>
        <v>High Usage</v>
      </c>
    </row>
    <row r="2520" spans="1:9" x14ac:dyDescent="0.3">
      <c r="A2520">
        <v>12519</v>
      </c>
      <c r="B2520">
        <v>385</v>
      </c>
      <c r="C2520" s="2">
        <v>44743</v>
      </c>
      <c r="D2520" s="2" t="str">
        <f>TEXT(Table3[[#This Row],[usage_date]],"mmmm")</f>
        <v>July</v>
      </c>
      <c r="E2520" s="9">
        <f>YEAR(Table3[[#This Row],[usage_date]])</f>
        <v>2022</v>
      </c>
      <c r="F2520" s="14">
        <v>5.8</v>
      </c>
      <c r="G2520">
        <v>114</v>
      </c>
      <c r="H2520" t="s">
        <v>12</v>
      </c>
      <c r="I2520" t="str">
        <f t="shared" si="39"/>
        <v>Normal Usage</v>
      </c>
    </row>
    <row r="2521" spans="1:9" x14ac:dyDescent="0.3">
      <c r="A2521">
        <v>12520</v>
      </c>
      <c r="B2521">
        <v>195</v>
      </c>
      <c r="C2521" s="2">
        <v>45272</v>
      </c>
      <c r="D2521" s="2" t="str">
        <f>TEXT(Table3[[#This Row],[usage_date]],"mmmm")</f>
        <v>December</v>
      </c>
      <c r="E2521" s="9">
        <f>YEAR(Table3[[#This Row],[usage_date]])</f>
        <v>2023</v>
      </c>
      <c r="F2521" s="14">
        <v>0.34</v>
      </c>
      <c r="G2521">
        <v>0</v>
      </c>
      <c r="H2521" t="s">
        <v>12</v>
      </c>
      <c r="I2521" t="str">
        <f t="shared" si="39"/>
        <v>Normal Usage</v>
      </c>
    </row>
    <row r="2522" spans="1:9" x14ac:dyDescent="0.3">
      <c r="A2522">
        <v>12521</v>
      </c>
      <c r="B2522">
        <v>367</v>
      </c>
      <c r="C2522" s="2">
        <v>45375</v>
      </c>
      <c r="D2522" s="2" t="str">
        <f>TEXT(Table3[[#This Row],[usage_date]],"mmmm")</f>
        <v>March</v>
      </c>
      <c r="E2522" s="9">
        <f>YEAR(Table3[[#This Row],[usage_date]])</f>
        <v>2024</v>
      </c>
      <c r="F2522" s="14">
        <v>4.34</v>
      </c>
      <c r="G2522">
        <v>64</v>
      </c>
      <c r="H2522" t="s">
        <v>12</v>
      </c>
      <c r="I2522" t="str">
        <f t="shared" si="39"/>
        <v>Normal Usage</v>
      </c>
    </row>
    <row r="2523" spans="1:9" x14ac:dyDescent="0.3">
      <c r="A2523">
        <v>12522</v>
      </c>
      <c r="B2523">
        <v>280</v>
      </c>
      <c r="C2523" s="2">
        <v>45328</v>
      </c>
      <c r="D2523" s="2" t="str">
        <f>TEXT(Table3[[#This Row],[usage_date]],"mmmm")</f>
        <v>February</v>
      </c>
      <c r="E2523" s="9">
        <f>YEAR(Table3[[#This Row],[usage_date]])</f>
        <v>2024</v>
      </c>
      <c r="F2523" s="14">
        <v>1.32</v>
      </c>
      <c r="G2523">
        <v>124</v>
      </c>
      <c r="H2523" t="s">
        <v>12</v>
      </c>
      <c r="I2523" t="str">
        <f t="shared" si="39"/>
        <v>Normal Usage</v>
      </c>
    </row>
    <row r="2524" spans="1:9" x14ac:dyDescent="0.3">
      <c r="A2524">
        <v>12523</v>
      </c>
      <c r="B2524">
        <v>283</v>
      </c>
      <c r="C2524" s="2">
        <v>45195</v>
      </c>
      <c r="D2524" s="2" t="str">
        <f>TEXT(Table3[[#This Row],[usage_date]],"mmmm")</f>
        <v>September</v>
      </c>
      <c r="E2524" s="9">
        <f>YEAR(Table3[[#This Row],[usage_date]])</f>
        <v>2023</v>
      </c>
      <c r="F2524" s="14">
        <v>11.72</v>
      </c>
      <c r="G2524">
        <v>255</v>
      </c>
      <c r="H2524" t="s">
        <v>13</v>
      </c>
      <c r="I2524" t="str">
        <f t="shared" si="39"/>
        <v>High Usage</v>
      </c>
    </row>
    <row r="2525" spans="1:9" x14ac:dyDescent="0.3">
      <c r="A2525">
        <v>12524</v>
      </c>
      <c r="B2525">
        <v>40</v>
      </c>
      <c r="C2525" s="2">
        <v>45104</v>
      </c>
      <c r="D2525" s="2" t="str">
        <f>TEXT(Table3[[#This Row],[usage_date]],"mmmm")</f>
        <v>June</v>
      </c>
      <c r="E2525" s="9">
        <f>YEAR(Table3[[#This Row],[usage_date]])</f>
        <v>2023</v>
      </c>
      <c r="F2525" s="14">
        <v>1.6</v>
      </c>
      <c r="G2525">
        <v>142</v>
      </c>
      <c r="H2525" t="s">
        <v>12</v>
      </c>
      <c r="I2525" t="str">
        <f t="shared" si="39"/>
        <v>Normal Usage</v>
      </c>
    </row>
    <row r="2526" spans="1:9" x14ac:dyDescent="0.3">
      <c r="A2526">
        <v>12525</v>
      </c>
      <c r="B2526">
        <v>447</v>
      </c>
      <c r="C2526" s="2">
        <v>44876</v>
      </c>
      <c r="D2526" s="2" t="str">
        <f>TEXT(Table3[[#This Row],[usage_date]],"mmmm")</f>
        <v>November</v>
      </c>
      <c r="E2526" s="9">
        <f>YEAR(Table3[[#This Row],[usage_date]])</f>
        <v>2022</v>
      </c>
      <c r="F2526" s="14">
        <v>2.02</v>
      </c>
      <c r="G2526">
        <v>245</v>
      </c>
      <c r="H2526" t="s">
        <v>12</v>
      </c>
      <c r="I2526" t="str">
        <f t="shared" si="39"/>
        <v>Normal Usage</v>
      </c>
    </row>
    <row r="2527" spans="1:9" x14ac:dyDescent="0.3">
      <c r="A2527">
        <v>12526</v>
      </c>
      <c r="B2527">
        <v>189</v>
      </c>
      <c r="C2527" s="2">
        <v>45358</v>
      </c>
      <c r="D2527" s="2" t="str">
        <f>TEXT(Table3[[#This Row],[usage_date]],"mmmm")</f>
        <v>March</v>
      </c>
      <c r="E2527" s="9">
        <f>YEAR(Table3[[#This Row],[usage_date]])</f>
        <v>2024</v>
      </c>
      <c r="F2527" s="14">
        <v>1.89</v>
      </c>
      <c r="G2527">
        <v>115</v>
      </c>
      <c r="H2527" t="s">
        <v>12</v>
      </c>
      <c r="I2527" t="str">
        <f t="shared" si="39"/>
        <v>Normal Usage</v>
      </c>
    </row>
    <row r="2528" spans="1:9" x14ac:dyDescent="0.3">
      <c r="A2528">
        <v>12527</v>
      </c>
      <c r="B2528">
        <v>164</v>
      </c>
      <c r="C2528" s="2">
        <v>45179</v>
      </c>
      <c r="D2528" s="2" t="str">
        <f>TEXT(Table3[[#This Row],[usage_date]],"mmmm")</f>
        <v>September</v>
      </c>
      <c r="E2528" s="9">
        <f>YEAR(Table3[[#This Row],[usage_date]])</f>
        <v>2023</v>
      </c>
      <c r="F2528" s="14">
        <v>0.97</v>
      </c>
      <c r="G2528">
        <v>89</v>
      </c>
      <c r="H2528" t="s">
        <v>13</v>
      </c>
      <c r="I2528" t="str">
        <f t="shared" si="39"/>
        <v>Normal Usage</v>
      </c>
    </row>
    <row r="2529" spans="1:9" x14ac:dyDescent="0.3">
      <c r="A2529">
        <v>12528</v>
      </c>
      <c r="B2529">
        <v>482</v>
      </c>
      <c r="C2529" s="2">
        <v>45297</v>
      </c>
      <c r="D2529" s="2" t="str">
        <f>TEXT(Table3[[#This Row],[usage_date]],"mmmm")</f>
        <v>January</v>
      </c>
      <c r="E2529" s="9">
        <f>YEAR(Table3[[#This Row],[usage_date]])</f>
        <v>2024</v>
      </c>
      <c r="F2529" s="14">
        <v>0.19</v>
      </c>
      <c r="G2529">
        <v>295</v>
      </c>
      <c r="H2529" t="s">
        <v>13</v>
      </c>
      <c r="I2529" t="str">
        <f t="shared" si="39"/>
        <v>Normal Usage</v>
      </c>
    </row>
    <row r="2530" spans="1:9" x14ac:dyDescent="0.3">
      <c r="A2530">
        <v>12529</v>
      </c>
      <c r="B2530">
        <v>477</v>
      </c>
      <c r="C2530" s="2">
        <v>44834</v>
      </c>
      <c r="D2530" s="2" t="str">
        <f>TEXT(Table3[[#This Row],[usage_date]],"mmmm")</f>
        <v>September</v>
      </c>
      <c r="E2530" s="9">
        <f>YEAR(Table3[[#This Row],[usage_date]])</f>
        <v>2022</v>
      </c>
      <c r="F2530" s="14">
        <v>5.65</v>
      </c>
      <c r="G2530">
        <v>41</v>
      </c>
      <c r="H2530" t="s">
        <v>12</v>
      </c>
      <c r="I2530" t="str">
        <f t="shared" si="39"/>
        <v>Normal Usage</v>
      </c>
    </row>
    <row r="2531" spans="1:9" x14ac:dyDescent="0.3">
      <c r="A2531">
        <v>12530</v>
      </c>
      <c r="B2531">
        <v>24</v>
      </c>
      <c r="C2531" s="2">
        <v>44793</v>
      </c>
      <c r="D2531" s="2" t="str">
        <f>TEXT(Table3[[#This Row],[usage_date]],"mmmm")</f>
        <v>August</v>
      </c>
      <c r="E2531" s="9">
        <f>YEAR(Table3[[#This Row],[usage_date]])</f>
        <v>2022</v>
      </c>
      <c r="F2531" s="14">
        <v>4.0599999999999996</v>
      </c>
      <c r="G2531">
        <v>34</v>
      </c>
      <c r="H2531" t="s">
        <v>13</v>
      </c>
      <c r="I2531" t="str">
        <f t="shared" si="39"/>
        <v>Normal Usage</v>
      </c>
    </row>
    <row r="2532" spans="1:9" x14ac:dyDescent="0.3">
      <c r="A2532">
        <v>12531</v>
      </c>
      <c r="B2532">
        <v>24</v>
      </c>
      <c r="C2532" s="2">
        <v>44981</v>
      </c>
      <c r="D2532" s="2" t="str">
        <f>TEXT(Table3[[#This Row],[usage_date]],"mmmm")</f>
        <v>February</v>
      </c>
      <c r="E2532" s="9">
        <f>YEAR(Table3[[#This Row],[usage_date]])</f>
        <v>2023</v>
      </c>
      <c r="F2532" s="14">
        <v>0.38</v>
      </c>
      <c r="G2532">
        <v>40</v>
      </c>
      <c r="H2532" t="s">
        <v>13</v>
      </c>
      <c r="I2532" t="str">
        <f t="shared" si="39"/>
        <v>Normal Usage</v>
      </c>
    </row>
    <row r="2533" spans="1:9" x14ac:dyDescent="0.3">
      <c r="A2533">
        <v>12532</v>
      </c>
      <c r="B2533">
        <v>490</v>
      </c>
      <c r="C2533" s="2">
        <v>45329</v>
      </c>
      <c r="D2533" s="2" t="str">
        <f>TEXT(Table3[[#This Row],[usage_date]],"mmmm")</f>
        <v>February</v>
      </c>
      <c r="E2533" s="9">
        <f>YEAR(Table3[[#This Row],[usage_date]])</f>
        <v>2024</v>
      </c>
      <c r="F2533" s="14">
        <v>3.75</v>
      </c>
      <c r="G2533">
        <v>123</v>
      </c>
      <c r="H2533" t="s">
        <v>12</v>
      </c>
      <c r="I2533" t="str">
        <f t="shared" si="39"/>
        <v>Normal Usage</v>
      </c>
    </row>
    <row r="2534" spans="1:9" x14ac:dyDescent="0.3">
      <c r="A2534">
        <v>12533</v>
      </c>
      <c r="B2534">
        <v>4</v>
      </c>
      <c r="C2534" s="2">
        <v>45003</v>
      </c>
      <c r="D2534" s="2" t="str">
        <f>TEXT(Table3[[#This Row],[usage_date]],"mmmm")</f>
        <v>March</v>
      </c>
      <c r="E2534" s="9">
        <f>YEAR(Table3[[#This Row],[usage_date]])</f>
        <v>2023</v>
      </c>
      <c r="F2534" s="14">
        <v>2.46</v>
      </c>
      <c r="G2534">
        <v>56</v>
      </c>
      <c r="H2534" t="s">
        <v>13</v>
      </c>
      <c r="I2534" t="str">
        <f t="shared" si="39"/>
        <v>Normal Usage</v>
      </c>
    </row>
    <row r="2535" spans="1:9" x14ac:dyDescent="0.3">
      <c r="A2535">
        <v>12534</v>
      </c>
      <c r="B2535">
        <v>323</v>
      </c>
      <c r="C2535" s="2">
        <v>45057</v>
      </c>
      <c r="D2535" s="2" t="str">
        <f>TEXT(Table3[[#This Row],[usage_date]],"mmmm")</f>
        <v>May</v>
      </c>
      <c r="E2535" s="9">
        <f>YEAR(Table3[[#This Row],[usage_date]])</f>
        <v>2023</v>
      </c>
      <c r="F2535" s="14">
        <v>1.32</v>
      </c>
      <c r="G2535">
        <v>293</v>
      </c>
      <c r="H2535" t="s">
        <v>12</v>
      </c>
      <c r="I2535" t="str">
        <f t="shared" si="39"/>
        <v>Normal Usage</v>
      </c>
    </row>
    <row r="2536" spans="1:9" x14ac:dyDescent="0.3">
      <c r="A2536">
        <v>12535</v>
      </c>
      <c r="B2536">
        <v>290</v>
      </c>
      <c r="C2536" s="2">
        <v>44585</v>
      </c>
      <c r="D2536" s="2" t="str">
        <f>TEXT(Table3[[#This Row],[usage_date]],"mmmm")</f>
        <v>January</v>
      </c>
      <c r="E2536" s="9">
        <f>YEAR(Table3[[#This Row],[usage_date]])</f>
        <v>2022</v>
      </c>
      <c r="F2536" s="14">
        <v>0.73</v>
      </c>
      <c r="G2536">
        <v>234</v>
      </c>
      <c r="H2536" t="s">
        <v>12</v>
      </c>
      <c r="I2536" t="str">
        <f t="shared" si="39"/>
        <v>Normal Usage</v>
      </c>
    </row>
    <row r="2537" spans="1:9" x14ac:dyDescent="0.3">
      <c r="A2537">
        <v>12536</v>
      </c>
      <c r="B2537">
        <v>441</v>
      </c>
      <c r="C2537" s="2">
        <v>44670</v>
      </c>
      <c r="D2537" s="2" t="str">
        <f>TEXT(Table3[[#This Row],[usage_date]],"mmmm")</f>
        <v>April</v>
      </c>
      <c r="E2537" s="9">
        <f>YEAR(Table3[[#This Row],[usage_date]])</f>
        <v>2022</v>
      </c>
      <c r="F2537" s="14">
        <v>4.91</v>
      </c>
      <c r="G2537">
        <v>95</v>
      </c>
      <c r="H2537" t="s">
        <v>12</v>
      </c>
      <c r="I2537" t="str">
        <f t="shared" si="39"/>
        <v>Normal Usage</v>
      </c>
    </row>
    <row r="2538" spans="1:9" x14ac:dyDescent="0.3">
      <c r="A2538">
        <v>12537</v>
      </c>
      <c r="B2538">
        <v>433</v>
      </c>
      <c r="C2538" s="2">
        <v>45264</v>
      </c>
      <c r="D2538" s="2" t="str">
        <f>TEXT(Table3[[#This Row],[usage_date]],"mmmm")</f>
        <v>December</v>
      </c>
      <c r="E2538" s="9">
        <f>YEAR(Table3[[#This Row],[usage_date]])</f>
        <v>2023</v>
      </c>
      <c r="F2538" s="14">
        <v>3.01</v>
      </c>
      <c r="G2538">
        <v>131</v>
      </c>
      <c r="H2538" t="s">
        <v>12</v>
      </c>
      <c r="I2538" t="str">
        <f t="shared" si="39"/>
        <v>Normal Usage</v>
      </c>
    </row>
    <row r="2539" spans="1:9" x14ac:dyDescent="0.3">
      <c r="A2539">
        <v>12538</v>
      </c>
      <c r="B2539">
        <v>471</v>
      </c>
      <c r="C2539" s="2">
        <v>45063</v>
      </c>
      <c r="D2539" s="2" t="str">
        <f>TEXT(Table3[[#This Row],[usage_date]],"mmmm")</f>
        <v>May</v>
      </c>
      <c r="E2539" s="9">
        <f>YEAR(Table3[[#This Row],[usage_date]])</f>
        <v>2023</v>
      </c>
      <c r="F2539" s="14">
        <v>1.98</v>
      </c>
      <c r="G2539">
        <v>175</v>
      </c>
      <c r="H2539" t="s">
        <v>12</v>
      </c>
      <c r="I2539" t="str">
        <f t="shared" si="39"/>
        <v>Normal Usage</v>
      </c>
    </row>
    <row r="2540" spans="1:9" x14ac:dyDescent="0.3">
      <c r="A2540">
        <v>12539</v>
      </c>
      <c r="B2540">
        <v>181</v>
      </c>
      <c r="C2540" s="2">
        <v>45420</v>
      </c>
      <c r="D2540" s="2" t="str">
        <f>TEXT(Table3[[#This Row],[usage_date]],"mmmm")</f>
        <v>May</v>
      </c>
      <c r="E2540" s="9">
        <f>YEAR(Table3[[#This Row],[usage_date]])</f>
        <v>2024</v>
      </c>
      <c r="F2540" s="14">
        <v>2.35</v>
      </c>
      <c r="G2540">
        <v>51</v>
      </c>
      <c r="H2540" t="s">
        <v>12</v>
      </c>
      <c r="I2540" t="str">
        <f t="shared" si="39"/>
        <v>Normal Usage</v>
      </c>
    </row>
    <row r="2541" spans="1:9" x14ac:dyDescent="0.3">
      <c r="A2541">
        <v>12540</v>
      </c>
      <c r="B2541">
        <v>248</v>
      </c>
      <c r="C2541" s="2">
        <v>44586</v>
      </c>
      <c r="D2541" s="2" t="str">
        <f>TEXT(Table3[[#This Row],[usage_date]],"mmmm")</f>
        <v>January</v>
      </c>
      <c r="E2541" s="9">
        <f>YEAR(Table3[[#This Row],[usage_date]])</f>
        <v>2022</v>
      </c>
      <c r="F2541" s="14">
        <v>0.24</v>
      </c>
      <c r="G2541">
        <v>37</v>
      </c>
      <c r="H2541" t="s">
        <v>12</v>
      </c>
      <c r="I2541" t="str">
        <f t="shared" si="39"/>
        <v>Normal Usage</v>
      </c>
    </row>
    <row r="2542" spans="1:9" x14ac:dyDescent="0.3">
      <c r="A2542">
        <v>12541</v>
      </c>
      <c r="B2542">
        <v>116</v>
      </c>
      <c r="C2542" s="2">
        <v>44748</v>
      </c>
      <c r="D2542" s="2" t="str">
        <f>TEXT(Table3[[#This Row],[usage_date]],"mmmm")</f>
        <v>July</v>
      </c>
      <c r="E2542" s="9">
        <f>YEAR(Table3[[#This Row],[usage_date]])</f>
        <v>2022</v>
      </c>
      <c r="F2542" s="14">
        <v>1.61</v>
      </c>
      <c r="G2542">
        <v>4</v>
      </c>
      <c r="H2542" t="s">
        <v>12</v>
      </c>
      <c r="I2542" t="str">
        <f t="shared" si="39"/>
        <v>Normal Usage</v>
      </c>
    </row>
    <row r="2543" spans="1:9" x14ac:dyDescent="0.3">
      <c r="A2543">
        <v>12542</v>
      </c>
      <c r="B2543">
        <v>279</v>
      </c>
      <c r="C2543" s="2">
        <v>44849</v>
      </c>
      <c r="D2543" s="2" t="str">
        <f>TEXT(Table3[[#This Row],[usage_date]],"mmmm")</f>
        <v>October</v>
      </c>
      <c r="E2543" s="9">
        <f>YEAR(Table3[[#This Row],[usage_date]])</f>
        <v>2022</v>
      </c>
      <c r="F2543" s="14">
        <v>0.54</v>
      </c>
      <c r="G2543">
        <v>212</v>
      </c>
      <c r="H2543" t="s">
        <v>12</v>
      </c>
      <c r="I2543" t="str">
        <f t="shared" si="39"/>
        <v>Normal Usage</v>
      </c>
    </row>
    <row r="2544" spans="1:9" x14ac:dyDescent="0.3">
      <c r="A2544">
        <v>12543</v>
      </c>
      <c r="B2544">
        <v>365</v>
      </c>
      <c r="C2544" s="2">
        <v>45189</v>
      </c>
      <c r="D2544" s="2" t="str">
        <f>TEXT(Table3[[#This Row],[usage_date]],"mmmm")</f>
        <v>September</v>
      </c>
      <c r="E2544" s="9">
        <f>YEAR(Table3[[#This Row],[usage_date]])</f>
        <v>2023</v>
      </c>
      <c r="F2544" s="14">
        <v>0.57999999999999996</v>
      </c>
      <c r="G2544">
        <v>119</v>
      </c>
      <c r="H2544" t="s">
        <v>12</v>
      </c>
      <c r="I2544" t="str">
        <f t="shared" si="39"/>
        <v>Normal Usage</v>
      </c>
    </row>
    <row r="2545" spans="1:9" x14ac:dyDescent="0.3">
      <c r="A2545">
        <v>12544</v>
      </c>
      <c r="B2545">
        <v>69</v>
      </c>
      <c r="C2545" s="2">
        <v>44899</v>
      </c>
      <c r="D2545" s="2" t="str">
        <f>TEXT(Table3[[#This Row],[usage_date]],"mmmm")</f>
        <v>December</v>
      </c>
      <c r="E2545" s="9">
        <f>YEAR(Table3[[#This Row],[usage_date]])</f>
        <v>2022</v>
      </c>
      <c r="F2545" s="14">
        <v>2.71</v>
      </c>
      <c r="G2545">
        <v>208</v>
      </c>
      <c r="H2545" t="s">
        <v>12</v>
      </c>
      <c r="I2545" t="str">
        <f t="shared" si="39"/>
        <v>Normal Usage</v>
      </c>
    </row>
    <row r="2546" spans="1:9" x14ac:dyDescent="0.3">
      <c r="A2546">
        <v>12545</v>
      </c>
      <c r="B2546">
        <v>351</v>
      </c>
      <c r="C2546" s="2">
        <v>45439</v>
      </c>
      <c r="D2546" s="2" t="str">
        <f>TEXT(Table3[[#This Row],[usage_date]],"mmmm")</f>
        <v>May</v>
      </c>
      <c r="E2546" s="9">
        <f>YEAR(Table3[[#This Row],[usage_date]])</f>
        <v>2024</v>
      </c>
      <c r="F2546" s="14">
        <v>6.06</v>
      </c>
      <c r="G2546">
        <v>216</v>
      </c>
      <c r="H2546" t="s">
        <v>13</v>
      </c>
      <c r="I2546" t="str">
        <f t="shared" si="39"/>
        <v>High Usage</v>
      </c>
    </row>
    <row r="2547" spans="1:9" x14ac:dyDescent="0.3">
      <c r="A2547">
        <v>12546</v>
      </c>
      <c r="B2547">
        <v>254</v>
      </c>
      <c r="C2547" s="2">
        <v>44598</v>
      </c>
      <c r="D2547" s="2" t="str">
        <f>TEXT(Table3[[#This Row],[usage_date]],"mmmm")</f>
        <v>February</v>
      </c>
      <c r="E2547" s="9">
        <f>YEAR(Table3[[#This Row],[usage_date]])</f>
        <v>2022</v>
      </c>
      <c r="F2547" s="14">
        <v>1.29</v>
      </c>
      <c r="G2547">
        <v>23</v>
      </c>
      <c r="H2547" t="s">
        <v>12</v>
      </c>
      <c r="I2547" t="str">
        <f t="shared" si="39"/>
        <v>Normal Usage</v>
      </c>
    </row>
    <row r="2548" spans="1:9" x14ac:dyDescent="0.3">
      <c r="A2548">
        <v>12547</v>
      </c>
      <c r="B2548">
        <v>181</v>
      </c>
      <c r="C2548" s="2">
        <v>45355</v>
      </c>
      <c r="D2548" s="2" t="str">
        <f>TEXT(Table3[[#This Row],[usage_date]],"mmmm")</f>
        <v>March</v>
      </c>
      <c r="E2548" s="9">
        <f>YEAR(Table3[[#This Row],[usage_date]])</f>
        <v>2024</v>
      </c>
      <c r="F2548" s="14">
        <v>0.57999999999999996</v>
      </c>
      <c r="G2548">
        <v>204</v>
      </c>
      <c r="H2548" t="s">
        <v>12</v>
      </c>
      <c r="I2548" t="str">
        <f t="shared" si="39"/>
        <v>Normal Usage</v>
      </c>
    </row>
    <row r="2549" spans="1:9" x14ac:dyDescent="0.3">
      <c r="A2549">
        <v>12548</v>
      </c>
      <c r="B2549">
        <v>318</v>
      </c>
      <c r="C2549" s="2">
        <v>44698</v>
      </c>
      <c r="D2549" s="2" t="str">
        <f>TEXT(Table3[[#This Row],[usage_date]],"mmmm")</f>
        <v>May</v>
      </c>
      <c r="E2549" s="9">
        <f>YEAR(Table3[[#This Row],[usage_date]])</f>
        <v>2022</v>
      </c>
      <c r="F2549" s="14">
        <v>2.62</v>
      </c>
      <c r="G2549">
        <v>225</v>
      </c>
      <c r="H2549" t="s">
        <v>12</v>
      </c>
      <c r="I2549" t="str">
        <f t="shared" si="39"/>
        <v>Normal Usage</v>
      </c>
    </row>
    <row r="2550" spans="1:9" x14ac:dyDescent="0.3">
      <c r="A2550">
        <v>12549</v>
      </c>
      <c r="B2550">
        <v>169</v>
      </c>
      <c r="C2550" s="2">
        <v>45069</v>
      </c>
      <c r="D2550" s="2" t="str">
        <f>TEXT(Table3[[#This Row],[usage_date]],"mmmm")</f>
        <v>May</v>
      </c>
      <c r="E2550" s="9">
        <f>YEAR(Table3[[#This Row],[usage_date]])</f>
        <v>2023</v>
      </c>
      <c r="F2550" s="14">
        <v>5.12</v>
      </c>
      <c r="G2550">
        <v>217</v>
      </c>
      <c r="H2550" t="s">
        <v>12</v>
      </c>
      <c r="I2550" t="str">
        <f t="shared" si="39"/>
        <v>Normal Usage</v>
      </c>
    </row>
    <row r="2551" spans="1:9" x14ac:dyDescent="0.3">
      <c r="A2551">
        <v>12550</v>
      </c>
      <c r="B2551">
        <v>313</v>
      </c>
      <c r="C2551" s="2">
        <v>44788</v>
      </c>
      <c r="D2551" s="2" t="str">
        <f>TEXT(Table3[[#This Row],[usage_date]],"mmmm")</f>
        <v>August</v>
      </c>
      <c r="E2551" s="9">
        <f>YEAR(Table3[[#This Row],[usage_date]])</f>
        <v>2022</v>
      </c>
      <c r="F2551" s="14">
        <v>3.45</v>
      </c>
      <c r="G2551">
        <v>210</v>
      </c>
      <c r="H2551" t="s">
        <v>12</v>
      </c>
      <c r="I2551" t="str">
        <f t="shared" si="39"/>
        <v>Normal Usage</v>
      </c>
    </row>
    <row r="2552" spans="1:9" x14ac:dyDescent="0.3">
      <c r="A2552">
        <v>12551</v>
      </c>
      <c r="B2552">
        <v>249</v>
      </c>
      <c r="C2552" s="2">
        <v>44881</v>
      </c>
      <c r="D2552" s="2" t="str">
        <f>TEXT(Table3[[#This Row],[usage_date]],"mmmm")</f>
        <v>November</v>
      </c>
      <c r="E2552" s="9">
        <f>YEAR(Table3[[#This Row],[usage_date]])</f>
        <v>2022</v>
      </c>
      <c r="F2552" s="14">
        <v>5.08</v>
      </c>
      <c r="G2552">
        <v>25</v>
      </c>
      <c r="H2552" t="s">
        <v>12</v>
      </c>
      <c r="I2552" t="str">
        <f t="shared" si="39"/>
        <v>Normal Usage</v>
      </c>
    </row>
    <row r="2553" spans="1:9" x14ac:dyDescent="0.3">
      <c r="A2553">
        <v>12552</v>
      </c>
      <c r="B2553">
        <v>188</v>
      </c>
      <c r="C2553" s="2">
        <v>45401</v>
      </c>
      <c r="D2553" s="2" t="str">
        <f>TEXT(Table3[[#This Row],[usage_date]],"mmmm")</f>
        <v>April</v>
      </c>
      <c r="E2553" s="9">
        <f>YEAR(Table3[[#This Row],[usage_date]])</f>
        <v>2024</v>
      </c>
      <c r="F2553" s="14">
        <v>1.92</v>
      </c>
      <c r="G2553">
        <v>251</v>
      </c>
      <c r="H2553" t="s">
        <v>13</v>
      </c>
      <c r="I2553" t="str">
        <f t="shared" si="39"/>
        <v>Normal Usage</v>
      </c>
    </row>
    <row r="2554" spans="1:9" x14ac:dyDescent="0.3">
      <c r="A2554">
        <v>12553</v>
      </c>
      <c r="B2554">
        <v>54</v>
      </c>
      <c r="C2554" s="2">
        <v>44743</v>
      </c>
      <c r="D2554" s="2" t="str">
        <f>TEXT(Table3[[#This Row],[usage_date]],"mmmm")</f>
        <v>July</v>
      </c>
      <c r="E2554" s="9">
        <f>YEAR(Table3[[#This Row],[usage_date]])</f>
        <v>2022</v>
      </c>
      <c r="F2554" s="14">
        <v>3.48</v>
      </c>
      <c r="G2554">
        <v>2</v>
      </c>
      <c r="H2554" t="s">
        <v>12</v>
      </c>
      <c r="I2554" t="str">
        <f t="shared" si="39"/>
        <v>Normal Usage</v>
      </c>
    </row>
    <row r="2555" spans="1:9" x14ac:dyDescent="0.3">
      <c r="A2555">
        <v>12554</v>
      </c>
      <c r="B2555">
        <v>326</v>
      </c>
      <c r="C2555" s="2">
        <v>45435</v>
      </c>
      <c r="D2555" s="2" t="str">
        <f>TEXT(Table3[[#This Row],[usage_date]],"mmmm")</f>
        <v>May</v>
      </c>
      <c r="E2555" s="9">
        <f>YEAR(Table3[[#This Row],[usage_date]])</f>
        <v>2024</v>
      </c>
      <c r="F2555" s="14">
        <v>0.38</v>
      </c>
      <c r="G2555">
        <v>1</v>
      </c>
      <c r="H2555" t="s">
        <v>12</v>
      </c>
      <c r="I2555" t="str">
        <f t="shared" si="39"/>
        <v>Normal Usage</v>
      </c>
    </row>
    <row r="2556" spans="1:9" x14ac:dyDescent="0.3">
      <c r="A2556">
        <v>12555</v>
      </c>
      <c r="B2556">
        <v>357</v>
      </c>
      <c r="C2556" s="2">
        <v>44647</v>
      </c>
      <c r="D2556" s="2" t="str">
        <f>TEXT(Table3[[#This Row],[usage_date]],"mmmm")</f>
        <v>March</v>
      </c>
      <c r="E2556" s="9">
        <f>YEAR(Table3[[#This Row],[usage_date]])</f>
        <v>2022</v>
      </c>
      <c r="F2556" s="14">
        <v>1.07</v>
      </c>
      <c r="G2556">
        <v>91</v>
      </c>
      <c r="H2556" t="s">
        <v>12</v>
      </c>
      <c r="I2556" t="str">
        <f t="shared" si="39"/>
        <v>Normal Usage</v>
      </c>
    </row>
    <row r="2557" spans="1:9" x14ac:dyDescent="0.3">
      <c r="A2557">
        <v>12556</v>
      </c>
      <c r="B2557">
        <v>313</v>
      </c>
      <c r="C2557" s="2">
        <v>45028</v>
      </c>
      <c r="D2557" s="2" t="str">
        <f>TEXT(Table3[[#This Row],[usage_date]],"mmmm")</f>
        <v>April</v>
      </c>
      <c r="E2557" s="9">
        <f>YEAR(Table3[[#This Row],[usage_date]])</f>
        <v>2023</v>
      </c>
      <c r="F2557" s="14">
        <v>1.23</v>
      </c>
      <c r="G2557">
        <v>1</v>
      </c>
      <c r="H2557" t="s">
        <v>13</v>
      </c>
      <c r="I2557" t="str">
        <f t="shared" si="39"/>
        <v>Normal Usage</v>
      </c>
    </row>
    <row r="2558" spans="1:9" x14ac:dyDescent="0.3">
      <c r="A2558">
        <v>12557</v>
      </c>
      <c r="B2558">
        <v>138</v>
      </c>
      <c r="C2558" s="2">
        <v>44614</v>
      </c>
      <c r="D2558" s="2" t="str">
        <f>TEXT(Table3[[#This Row],[usage_date]],"mmmm")</f>
        <v>February</v>
      </c>
      <c r="E2558" s="9">
        <f>YEAR(Table3[[#This Row],[usage_date]])</f>
        <v>2022</v>
      </c>
      <c r="F2558" s="14">
        <v>1.79</v>
      </c>
      <c r="G2558">
        <v>149</v>
      </c>
      <c r="H2558" t="s">
        <v>13</v>
      </c>
      <c r="I2558" t="str">
        <f t="shared" si="39"/>
        <v>Normal Usage</v>
      </c>
    </row>
    <row r="2559" spans="1:9" x14ac:dyDescent="0.3">
      <c r="A2559">
        <v>12558</v>
      </c>
      <c r="B2559">
        <v>168</v>
      </c>
      <c r="C2559" s="2">
        <v>45421</v>
      </c>
      <c r="D2559" s="2" t="str">
        <f>TEXT(Table3[[#This Row],[usage_date]],"mmmm")</f>
        <v>May</v>
      </c>
      <c r="E2559" s="9">
        <f>YEAR(Table3[[#This Row],[usage_date]])</f>
        <v>2024</v>
      </c>
      <c r="F2559" s="14">
        <v>6.62</v>
      </c>
      <c r="G2559">
        <v>70</v>
      </c>
      <c r="H2559" t="s">
        <v>12</v>
      </c>
      <c r="I2559" t="str">
        <f t="shared" si="39"/>
        <v>High Usage</v>
      </c>
    </row>
    <row r="2560" spans="1:9" x14ac:dyDescent="0.3">
      <c r="A2560">
        <v>12559</v>
      </c>
      <c r="B2560">
        <v>391</v>
      </c>
      <c r="C2560" s="2">
        <v>45428</v>
      </c>
      <c r="D2560" s="2" t="str">
        <f>TEXT(Table3[[#This Row],[usage_date]],"mmmm")</f>
        <v>May</v>
      </c>
      <c r="E2560" s="9">
        <f>YEAR(Table3[[#This Row],[usage_date]])</f>
        <v>2024</v>
      </c>
      <c r="F2560" s="14">
        <v>5.18</v>
      </c>
      <c r="G2560">
        <v>3</v>
      </c>
      <c r="H2560" t="s">
        <v>12</v>
      </c>
      <c r="I2560" t="str">
        <f t="shared" si="39"/>
        <v>Normal Usage</v>
      </c>
    </row>
    <row r="2561" spans="1:9" x14ac:dyDescent="0.3">
      <c r="A2561">
        <v>12560</v>
      </c>
      <c r="B2561">
        <v>103</v>
      </c>
      <c r="C2561" s="2">
        <v>44796</v>
      </c>
      <c r="D2561" s="2" t="str">
        <f>TEXT(Table3[[#This Row],[usage_date]],"mmmm")</f>
        <v>August</v>
      </c>
      <c r="E2561" s="9">
        <f>YEAR(Table3[[#This Row],[usage_date]])</f>
        <v>2022</v>
      </c>
      <c r="F2561" s="14">
        <v>0.36</v>
      </c>
      <c r="G2561">
        <v>37</v>
      </c>
      <c r="H2561" t="s">
        <v>13</v>
      </c>
      <c r="I2561" t="str">
        <f t="shared" si="39"/>
        <v>Normal Usage</v>
      </c>
    </row>
    <row r="2562" spans="1:9" x14ac:dyDescent="0.3">
      <c r="A2562">
        <v>12561</v>
      </c>
      <c r="B2562">
        <v>422</v>
      </c>
      <c r="C2562" s="2">
        <v>45340</v>
      </c>
      <c r="D2562" s="2" t="str">
        <f>TEXT(Table3[[#This Row],[usage_date]],"mmmm")</f>
        <v>February</v>
      </c>
      <c r="E2562" s="9">
        <f>YEAR(Table3[[#This Row],[usage_date]])</f>
        <v>2024</v>
      </c>
      <c r="F2562" s="14">
        <v>0.47</v>
      </c>
      <c r="G2562">
        <v>69</v>
      </c>
      <c r="H2562" t="s">
        <v>12</v>
      </c>
      <c r="I2562" t="str">
        <f t="shared" ref="I2562:I2625" si="40">IF(F2562&gt;6,"High Usage","Normal Usage")</f>
        <v>Normal Usage</v>
      </c>
    </row>
    <row r="2563" spans="1:9" x14ac:dyDescent="0.3">
      <c r="A2563">
        <v>12562</v>
      </c>
      <c r="B2563">
        <v>85</v>
      </c>
      <c r="C2563" s="2">
        <v>45360</v>
      </c>
      <c r="D2563" s="2" t="str">
        <f>TEXT(Table3[[#This Row],[usage_date]],"mmmm")</f>
        <v>March</v>
      </c>
      <c r="E2563" s="9">
        <f>YEAR(Table3[[#This Row],[usage_date]])</f>
        <v>2024</v>
      </c>
      <c r="F2563" s="14">
        <v>1.1100000000000001</v>
      </c>
      <c r="G2563">
        <v>200</v>
      </c>
      <c r="H2563" t="s">
        <v>12</v>
      </c>
      <c r="I2563" t="str">
        <f t="shared" si="40"/>
        <v>Normal Usage</v>
      </c>
    </row>
    <row r="2564" spans="1:9" x14ac:dyDescent="0.3">
      <c r="A2564">
        <v>12563</v>
      </c>
      <c r="B2564">
        <v>317</v>
      </c>
      <c r="C2564" s="2">
        <v>44994</v>
      </c>
      <c r="D2564" s="2" t="str">
        <f>TEXT(Table3[[#This Row],[usage_date]],"mmmm")</f>
        <v>March</v>
      </c>
      <c r="E2564" s="9">
        <f>YEAR(Table3[[#This Row],[usage_date]])</f>
        <v>2023</v>
      </c>
      <c r="F2564" s="14">
        <v>0.86</v>
      </c>
      <c r="G2564">
        <v>251</v>
      </c>
      <c r="H2564" t="s">
        <v>12</v>
      </c>
      <c r="I2564" t="str">
        <f t="shared" si="40"/>
        <v>Normal Usage</v>
      </c>
    </row>
    <row r="2565" spans="1:9" x14ac:dyDescent="0.3">
      <c r="A2565">
        <v>12564</v>
      </c>
      <c r="B2565">
        <v>212</v>
      </c>
      <c r="C2565" s="2">
        <v>45057</v>
      </c>
      <c r="D2565" s="2" t="str">
        <f>TEXT(Table3[[#This Row],[usage_date]],"mmmm")</f>
        <v>May</v>
      </c>
      <c r="E2565" s="9">
        <f>YEAR(Table3[[#This Row],[usage_date]])</f>
        <v>2023</v>
      </c>
      <c r="F2565" s="14">
        <v>2.38</v>
      </c>
      <c r="G2565">
        <v>286</v>
      </c>
      <c r="H2565" t="s">
        <v>12</v>
      </c>
      <c r="I2565" t="str">
        <f t="shared" si="40"/>
        <v>Normal Usage</v>
      </c>
    </row>
    <row r="2566" spans="1:9" x14ac:dyDescent="0.3">
      <c r="A2566">
        <v>12565</v>
      </c>
      <c r="B2566">
        <v>3</v>
      </c>
      <c r="C2566" s="2">
        <v>44661</v>
      </c>
      <c r="D2566" s="2" t="str">
        <f>TEXT(Table3[[#This Row],[usage_date]],"mmmm")</f>
        <v>April</v>
      </c>
      <c r="E2566" s="9">
        <f>YEAR(Table3[[#This Row],[usage_date]])</f>
        <v>2022</v>
      </c>
      <c r="F2566" s="14">
        <v>5.83</v>
      </c>
      <c r="G2566">
        <v>291</v>
      </c>
      <c r="H2566" t="s">
        <v>13</v>
      </c>
      <c r="I2566" t="str">
        <f t="shared" si="40"/>
        <v>Normal Usage</v>
      </c>
    </row>
    <row r="2567" spans="1:9" x14ac:dyDescent="0.3">
      <c r="A2567">
        <v>12566</v>
      </c>
      <c r="B2567">
        <v>384</v>
      </c>
      <c r="C2567" s="2">
        <v>45160</v>
      </c>
      <c r="D2567" s="2" t="str">
        <f>TEXT(Table3[[#This Row],[usage_date]],"mmmm")</f>
        <v>August</v>
      </c>
      <c r="E2567" s="9">
        <f>YEAR(Table3[[#This Row],[usage_date]])</f>
        <v>2023</v>
      </c>
      <c r="F2567" s="14">
        <v>8.19</v>
      </c>
      <c r="G2567">
        <v>153</v>
      </c>
      <c r="H2567" t="s">
        <v>13</v>
      </c>
      <c r="I2567" t="str">
        <f t="shared" si="40"/>
        <v>High Usage</v>
      </c>
    </row>
    <row r="2568" spans="1:9" x14ac:dyDescent="0.3">
      <c r="A2568">
        <v>12567</v>
      </c>
      <c r="B2568">
        <v>179</v>
      </c>
      <c r="C2568" s="2">
        <v>44964</v>
      </c>
      <c r="D2568" s="2" t="str">
        <f>TEXT(Table3[[#This Row],[usage_date]],"mmmm")</f>
        <v>February</v>
      </c>
      <c r="E2568" s="9">
        <f>YEAR(Table3[[#This Row],[usage_date]])</f>
        <v>2023</v>
      </c>
      <c r="F2568" s="14">
        <v>2.65</v>
      </c>
      <c r="G2568">
        <v>132</v>
      </c>
      <c r="H2568" t="s">
        <v>13</v>
      </c>
      <c r="I2568" t="str">
        <f t="shared" si="40"/>
        <v>Normal Usage</v>
      </c>
    </row>
    <row r="2569" spans="1:9" x14ac:dyDescent="0.3">
      <c r="A2569">
        <v>12568</v>
      </c>
      <c r="B2569">
        <v>342</v>
      </c>
      <c r="C2569" s="2">
        <v>44957</v>
      </c>
      <c r="D2569" s="2" t="str">
        <f>TEXT(Table3[[#This Row],[usage_date]],"mmmm")</f>
        <v>January</v>
      </c>
      <c r="E2569" s="9">
        <f>YEAR(Table3[[#This Row],[usage_date]])</f>
        <v>2023</v>
      </c>
      <c r="F2569" s="14">
        <v>4.55</v>
      </c>
      <c r="G2569">
        <v>73</v>
      </c>
      <c r="H2569" t="s">
        <v>12</v>
      </c>
      <c r="I2569" t="str">
        <f t="shared" si="40"/>
        <v>Normal Usage</v>
      </c>
    </row>
    <row r="2570" spans="1:9" x14ac:dyDescent="0.3">
      <c r="A2570">
        <v>12569</v>
      </c>
      <c r="B2570">
        <v>303</v>
      </c>
      <c r="C2570" s="2">
        <v>45088</v>
      </c>
      <c r="D2570" s="2" t="str">
        <f>TEXT(Table3[[#This Row],[usage_date]],"mmmm")</f>
        <v>June</v>
      </c>
      <c r="E2570" s="9">
        <f>YEAR(Table3[[#This Row],[usage_date]])</f>
        <v>2023</v>
      </c>
      <c r="F2570" s="14">
        <v>1.86</v>
      </c>
      <c r="G2570">
        <v>273</v>
      </c>
      <c r="H2570" t="s">
        <v>12</v>
      </c>
      <c r="I2570" t="str">
        <f t="shared" si="40"/>
        <v>Normal Usage</v>
      </c>
    </row>
    <row r="2571" spans="1:9" x14ac:dyDescent="0.3">
      <c r="A2571">
        <v>12570</v>
      </c>
      <c r="B2571">
        <v>452</v>
      </c>
      <c r="C2571" s="2">
        <v>44976</v>
      </c>
      <c r="D2571" s="2" t="str">
        <f>TEXT(Table3[[#This Row],[usage_date]],"mmmm")</f>
        <v>February</v>
      </c>
      <c r="E2571" s="9">
        <f>YEAR(Table3[[#This Row],[usage_date]])</f>
        <v>2023</v>
      </c>
      <c r="F2571" s="14">
        <v>0.57999999999999996</v>
      </c>
      <c r="G2571">
        <v>270</v>
      </c>
      <c r="H2571" t="s">
        <v>12</v>
      </c>
      <c r="I2571" t="str">
        <f t="shared" si="40"/>
        <v>Normal Usage</v>
      </c>
    </row>
    <row r="2572" spans="1:9" x14ac:dyDescent="0.3">
      <c r="A2572">
        <v>12571</v>
      </c>
      <c r="B2572">
        <v>476</v>
      </c>
      <c r="C2572" s="2">
        <v>45174</v>
      </c>
      <c r="D2572" s="2" t="str">
        <f>TEXT(Table3[[#This Row],[usage_date]],"mmmm")</f>
        <v>September</v>
      </c>
      <c r="E2572" s="9">
        <f>YEAR(Table3[[#This Row],[usage_date]])</f>
        <v>2023</v>
      </c>
      <c r="F2572" s="14">
        <v>1.86</v>
      </c>
      <c r="G2572">
        <v>184</v>
      </c>
      <c r="H2572" t="s">
        <v>13</v>
      </c>
      <c r="I2572" t="str">
        <f t="shared" si="40"/>
        <v>Normal Usage</v>
      </c>
    </row>
    <row r="2573" spans="1:9" x14ac:dyDescent="0.3">
      <c r="A2573">
        <v>12572</v>
      </c>
      <c r="B2573">
        <v>332</v>
      </c>
      <c r="C2573" s="2">
        <v>45238</v>
      </c>
      <c r="D2573" s="2" t="str">
        <f>TEXT(Table3[[#This Row],[usage_date]],"mmmm")</f>
        <v>November</v>
      </c>
      <c r="E2573" s="9">
        <f>YEAR(Table3[[#This Row],[usage_date]])</f>
        <v>2023</v>
      </c>
      <c r="F2573" s="14">
        <v>2.02</v>
      </c>
      <c r="G2573">
        <v>4</v>
      </c>
      <c r="H2573" t="s">
        <v>13</v>
      </c>
      <c r="I2573" t="str">
        <f t="shared" si="40"/>
        <v>Normal Usage</v>
      </c>
    </row>
    <row r="2574" spans="1:9" x14ac:dyDescent="0.3">
      <c r="A2574">
        <v>12573</v>
      </c>
      <c r="B2574">
        <v>38</v>
      </c>
      <c r="C2574" s="2">
        <v>45024</v>
      </c>
      <c r="D2574" s="2" t="str">
        <f>TEXT(Table3[[#This Row],[usage_date]],"mmmm")</f>
        <v>April</v>
      </c>
      <c r="E2574" s="9">
        <f>YEAR(Table3[[#This Row],[usage_date]])</f>
        <v>2023</v>
      </c>
      <c r="F2574" s="14">
        <v>3.39</v>
      </c>
      <c r="G2574">
        <v>292</v>
      </c>
      <c r="H2574" t="s">
        <v>12</v>
      </c>
      <c r="I2574" t="str">
        <f t="shared" si="40"/>
        <v>Normal Usage</v>
      </c>
    </row>
    <row r="2575" spans="1:9" x14ac:dyDescent="0.3">
      <c r="A2575">
        <v>12574</v>
      </c>
      <c r="B2575">
        <v>499</v>
      </c>
      <c r="C2575" s="2">
        <v>45102</v>
      </c>
      <c r="D2575" s="2" t="str">
        <f>TEXT(Table3[[#This Row],[usage_date]],"mmmm")</f>
        <v>June</v>
      </c>
      <c r="E2575" s="9">
        <f>YEAR(Table3[[#This Row],[usage_date]])</f>
        <v>2023</v>
      </c>
      <c r="F2575" s="14">
        <v>0.62</v>
      </c>
      <c r="G2575">
        <v>85</v>
      </c>
      <c r="H2575" t="s">
        <v>12</v>
      </c>
      <c r="I2575" t="str">
        <f t="shared" si="40"/>
        <v>Normal Usage</v>
      </c>
    </row>
    <row r="2576" spans="1:9" x14ac:dyDescent="0.3">
      <c r="A2576">
        <v>12575</v>
      </c>
      <c r="B2576">
        <v>420</v>
      </c>
      <c r="C2576" s="2">
        <v>45187</v>
      </c>
      <c r="D2576" s="2" t="str">
        <f>TEXT(Table3[[#This Row],[usage_date]],"mmmm")</f>
        <v>September</v>
      </c>
      <c r="E2576" s="9">
        <f>YEAR(Table3[[#This Row],[usage_date]])</f>
        <v>2023</v>
      </c>
      <c r="F2576" s="14">
        <v>1.1499999999999999</v>
      </c>
      <c r="G2576">
        <v>213</v>
      </c>
      <c r="H2576" t="s">
        <v>12</v>
      </c>
      <c r="I2576" t="str">
        <f t="shared" si="40"/>
        <v>Normal Usage</v>
      </c>
    </row>
    <row r="2577" spans="1:9" x14ac:dyDescent="0.3">
      <c r="A2577">
        <v>12576</v>
      </c>
      <c r="B2577">
        <v>239</v>
      </c>
      <c r="C2577" s="2">
        <v>45180</v>
      </c>
      <c r="D2577" s="2" t="str">
        <f>TEXT(Table3[[#This Row],[usage_date]],"mmmm")</f>
        <v>September</v>
      </c>
      <c r="E2577" s="9">
        <f>YEAR(Table3[[#This Row],[usage_date]])</f>
        <v>2023</v>
      </c>
      <c r="F2577" s="14">
        <v>1.1299999999999999</v>
      </c>
      <c r="G2577">
        <v>14</v>
      </c>
      <c r="H2577" t="s">
        <v>13</v>
      </c>
      <c r="I2577" t="str">
        <f t="shared" si="40"/>
        <v>Normal Usage</v>
      </c>
    </row>
    <row r="2578" spans="1:9" x14ac:dyDescent="0.3">
      <c r="A2578">
        <v>12577</v>
      </c>
      <c r="B2578">
        <v>169</v>
      </c>
      <c r="C2578" s="2">
        <v>44925</v>
      </c>
      <c r="D2578" s="2" t="str">
        <f>TEXT(Table3[[#This Row],[usage_date]],"mmmm")</f>
        <v>December</v>
      </c>
      <c r="E2578" s="9">
        <f>YEAR(Table3[[#This Row],[usage_date]])</f>
        <v>2022</v>
      </c>
      <c r="F2578" s="14">
        <v>8.01</v>
      </c>
      <c r="G2578">
        <v>272</v>
      </c>
      <c r="H2578" t="s">
        <v>12</v>
      </c>
      <c r="I2578" t="str">
        <f t="shared" si="40"/>
        <v>High Usage</v>
      </c>
    </row>
    <row r="2579" spans="1:9" x14ac:dyDescent="0.3">
      <c r="A2579">
        <v>12578</v>
      </c>
      <c r="B2579">
        <v>453</v>
      </c>
      <c r="C2579" s="2">
        <v>44691</v>
      </c>
      <c r="D2579" s="2" t="str">
        <f>TEXT(Table3[[#This Row],[usage_date]],"mmmm")</f>
        <v>May</v>
      </c>
      <c r="E2579" s="9">
        <f>YEAR(Table3[[#This Row],[usage_date]])</f>
        <v>2022</v>
      </c>
      <c r="F2579" s="14">
        <v>1.47</v>
      </c>
      <c r="G2579">
        <v>50</v>
      </c>
      <c r="H2579" t="s">
        <v>12</v>
      </c>
      <c r="I2579" t="str">
        <f t="shared" si="40"/>
        <v>Normal Usage</v>
      </c>
    </row>
    <row r="2580" spans="1:9" x14ac:dyDescent="0.3">
      <c r="A2580">
        <v>12579</v>
      </c>
      <c r="B2580">
        <v>397</v>
      </c>
      <c r="C2580" s="2">
        <v>44645</v>
      </c>
      <c r="D2580" s="2" t="str">
        <f>TEXT(Table3[[#This Row],[usage_date]],"mmmm")</f>
        <v>March</v>
      </c>
      <c r="E2580" s="9">
        <f>YEAR(Table3[[#This Row],[usage_date]])</f>
        <v>2022</v>
      </c>
      <c r="F2580" s="14">
        <v>3.52</v>
      </c>
      <c r="G2580">
        <v>252</v>
      </c>
      <c r="H2580" t="s">
        <v>12</v>
      </c>
      <c r="I2580" t="str">
        <f t="shared" si="40"/>
        <v>Normal Usage</v>
      </c>
    </row>
    <row r="2581" spans="1:9" x14ac:dyDescent="0.3">
      <c r="A2581">
        <v>12580</v>
      </c>
      <c r="B2581">
        <v>343</v>
      </c>
      <c r="C2581" s="2">
        <v>44832</v>
      </c>
      <c r="D2581" s="2" t="str">
        <f>TEXT(Table3[[#This Row],[usage_date]],"mmmm")</f>
        <v>September</v>
      </c>
      <c r="E2581" s="9">
        <f>YEAR(Table3[[#This Row],[usage_date]])</f>
        <v>2022</v>
      </c>
      <c r="F2581" s="14">
        <v>3.47</v>
      </c>
      <c r="G2581">
        <v>44</v>
      </c>
      <c r="H2581" t="s">
        <v>12</v>
      </c>
      <c r="I2581" t="str">
        <f t="shared" si="40"/>
        <v>Normal Usage</v>
      </c>
    </row>
    <row r="2582" spans="1:9" x14ac:dyDescent="0.3">
      <c r="A2582">
        <v>12581</v>
      </c>
      <c r="B2582">
        <v>314</v>
      </c>
      <c r="C2582" s="2">
        <v>44805</v>
      </c>
      <c r="D2582" s="2" t="str">
        <f>TEXT(Table3[[#This Row],[usage_date]],"mmmm")</f>
        <v>September</v>
      </c>
      <c r="E2582" s="9">
        <f>YEAR(Table3[[#This Row],[usage_date]])</f>
        <v>2022</v>
      </c>
      <c r="F2582" s="14">
        <v>0.77</v>
      </c>
      <c r="G2582">
        <v>190</v>
      </c>
      <c r="H2582" t="s">
        <v>13</v>
      </c>
      <c r="I2582" t="str">
        <f t="shared" si="40"/>
        <v>Normal Usage</v>
      </c>
    </row>
    <row r="2583" spans="1:9" x14ac:dyDescent="0.3">
      <c r="A2583">
        <v>12582</v>
      </c>
      <c r="B2583">
        <v>306</v>
      </c>
      <c r="C2583" s="2">
        <v>44949</v>
      </c>
      <c r="D2583" s="2" t="str">
        <f>TEXT(Table3[[#This Row],[usage_date]],"mmmm")</f>
        <v>January</v>
      </c>
      <c r="E2583" s="9">
        <f>YEAR(Table3[[#This Row],[usage_date]])</f>
        <v>2023</v>
      </c>
      <c r="F2583" s="14">
        <v>2.12</v>
      </c>
      <c r="G2583">
        <v>121</v>
      </c>
      <c r="H2583" t="s">
        <v>13</v>
      </c>
      <c r="I2583" t="str">
        <f t="shared" si="40"/>
        <v>Normal Usage</v>
      </c>
    </row>
    <row r="2584" spans="1:9" x14ac:dyDescent="0.3">
      <c r="A2584">
        <v>12583</v>
      </c>
      <c r="B2584">
        <v>30</v>
      </c>
      <c r="C2584" s="2">
        <v>44775</v>
      </c>
      <c r="D2584" s="2" t="str">
        <f>TEXT(Table3[[#This Row],[usage_date]],"mmmm")</f>
        <v>August</v>
      </c>
      <c r="E2584" s="9">
        <f>YEAR(Table3[[#This Row],[usage_date]])</f>
        <v>2022</v>
      </c>
      <c r="F2584" s="14">
        <v>5.62</v>
      </c>
      <c r="G2584">
        <v>186</v>
      </c>
      <c r="H2584" t="s">
        <v>13</v>
      </c>
      <c r="I2584" t="str">
        <f t="shared" si="40"/>
        <v>Normal Usage</v>
      </c>
    </row>
    <row r="2585" spans="1:9" x14ac:dyDescent="0.3">
      <c r="A2585">
        <v>12584</v>
      </c>
      <c r="B2585">
        <v>190</v>
      </c>
      <c r="C2585" s="2">
        <v>45379</v>
      </c>
      <c r="D2585" s="2" t="str">
        <f>TEXT(Table3[[#This Row],[usage_date]],"mmmm")</f>
        <v>March</v>
      </c>
      <c r="E2585" s="9">
        <f>YEAR(Table3[[#This Row],[usage_date]])</f>
        <v>2024</v>
      </c>
      <c r="F2585" s="14">
        <v>1.61</v>
      </c>
      <c r="G2585">
        <v>213</v>
      </c>
      <c r="H2585" t="s">
        <v>13</v>
      </c>
      <c r="I2585" t="str">
        <f t="shared" si="40"/>
        <v>Normal Usage</v>
      </c>
    </row>
    <row r="2586" spans="1:9" x14ac:dyDescent="0.3">
      <c r="A2586">
        <v>12585</v>
      </c>
      <c r="B2586">
        <v>357</v>
      </c>
      <c r="C2586" s="2">
        <v>44727</v>
      </c>
      <c r="D2586" s="2" t="str">
        <f>TEXT(Table3[[#This Row],[usage_date]],"mmmm")</f>
        <v>June</v>
      </c>
      <c r="E2586" s="9">
        <f>YEAR(Table3[[#This Row],[usage_date]])</f>
        <v>2022</v>
      </c>
      <c r="F2586" s="14">
        <v>7.26</v>
      </c>
      <c r="G2586">
        <v>148</v>
      </c>
      <c r="H2586" t="s">
        <v>12</v>
      </c>
      <c r="I2586" t="str">
        <f t="shared" si="40"/>
        <v>High Usage</v>
      </c>
    </row>
    <row r="2587" spans="1:9" x14ac:dyDescent="0.3">
      <c r="A2587">
        <v>12586</v>
      </c>
      <c r="B2587">
        <v>25</v>
      </c>
      <c r="C2587" s="2">
        <v>45352</v>
      </c>
      <c r="D2587" s="2" t="str">
        <f>TEXT(Table3[[#This Row],[usage_date]],"mmmm")</f>
        <v>March</v>
      </c>
      <c r="E2587" s="9">
        <f>YEAR(Table3[[#This Row],[usage_date]])</f>
        <v>2024</v>
      </c>
      <c r="F2587" s="14">
        <v>0.6</v>
      </c>
      <c r="G2587">
        <v>169</v>
      </c>
      <c r="H2587" t="s">
        <v>12</v>
      </c>
      <c r="I2587" t="str">
        <f t="shared" si="40"/>
        <v>Normal Usage</v>
      </c>
    </row>
    <row r="2588" spans="1:9" x14ac:dyDescent="0.3">
      <c r="A2588">
        <v>12587</v>
      </c>
      <c r="B2588">
        <v>112</v>
      </c>
      <c r="C2588" s="2">
        <v>44620</v>
      </c>
      <c r="D2588" s="2" t="str">
        <f>TEXT(Table3[[#This Row],[usage_date]],"mmmm")</f>
        <v>February</v>
      </c>
      <c r="E2588" s="9">
        <f>YEAR(Table3[[#This Row],[usage_date]])</f>
        <v>2022</v>
      </c>
      <c r="F2588" s="14">
        <v>0.19</v>
      </c>
      <c r="G2588">
        <v>208</v>
      </c>
      <c r="H2588" t="s">
        <v>12</v>
      </c>
      <c r="I2588" t="str">
        <f t="shared" si="40"/>
        <v>Normal Usage</v>
      </c>
    </row>
    <row r="2589" spans="1:9" x14ac:dyDescent="0.3">
      <c r="A2589">
        <v>12588</v>
      </c>
      <c r="B2589">
        <v>411</v>
      </c>
      <c r="C2589" s="2">
        <v>45163</v>
      </c>
      <c r="D2589" s="2" t="str">
        <f>TEXT(Table3[[#This Row],[usage_date]],"mmmm")</f>
        <v>August</v>
      </c>
      <c r="E2589" s="9">
        <f>YEAR(Table3[[#This Row],[usage_date]])</f>
        <v>2023</v>
      </c>
      <c r="F2589" s="14">
        <v>5.55</v>
      </c>
      <c r="G2589">
        <v>81</v>
      </c>
      <c r="H2589" t="s">
        <v>13</v>
      </c>
      <c r="I2589" t="str">
        <f t="shared" si="40"/>
        <v>Normal Usage</v>
      </c>
    </row>
    <row r="2590" spans="1:9" x14ac:dyDescent="0.3">
      <c r="A2590">
        <v>12589</v>
      </c>
      <c r="B2590">
        <v>435</v>
      </c>
      <c r="C2590" s="2">
        <v>45444</v>
      </c>
      <c r="D2590" s="2" t="str">
        <f>TEXT(Table3[[#This Row],[usage_date]],"mmmm")</f>
        <v>June</v>
      </c>
      <c r="E2590" s="9">
        <f>YEAR(Table3[[#This Row],[usage_date]])</f>
        <v>2024</v>
      </c>
      <c r="F2590" s="14">
        <v>4.7</v>
      </c>
      <c r="G2590">
        <v>195</v>
      </c>
      <c r="H2590" t="s">
        <v>12</v>
      </c>
      <c r="I2590" t="str">
        <f t="shared" si="40"/>
        <v>Normal Usage</v>
      </c>
    </row>
    <row r="2591" spans="1:9" x14ac:dyDescent="0.3">
      <c r="A2591">
        <v>12590</v>
      </c>
      <c r="B2591">
        <v>206</v>
      </c>
      <c r="C2591" s="2">
        <v>45404</v>
      </c>
      <c r="D2591" s="2" t="str">
        <f>TEXT(Table3[[#This Row],[usage_date]],"mmmm")</f>
        <v>April</v>
      </c>
      <c r="E2591" s="9">
        <f>YEAR(Table3[[#This Row],[usage_date]])</f>
        <v>2024</v>
      </c>
      <c r="F2591" s="14">
        <v>12.26</v>
      </c>
      <c r="G2591">
        <v>245</v>
      </c>
      <c r="H2591" t="s">
        <v>12</v>
      </c>
      <c r="I2591" t="str">
        <f t="shared" si="40"/>
        <v>High Usage</v>
      </c>
    </row>
    <row r="2592" spans="1:9" x14ac:dyDescent="0.3">
      <c r="A2592">
        <v>12591</v>
      </c>
      <c r="B2592">
        <v>185</v>
      </c>
      <c r="C2592" s="2">
        <v>45065</v>
      </c>
      <c r="D2592" s="2" t="str">
        <f>TEXT(Table3[[#This Row],[usage_date]],"mmmm")</f>
        <v>May</v>
      </c>
      <c r="E2592" s="9">
        <f>YEAR(Table3[[#This Row],[usage_date]])</f>
        <v>2023</v>
      </c>
      <c r="F2592" s="14">
        <v>2.84</v>
      </c>
      <c r="G2592">
        <v>39</v>
      </c>
      <c r="H2592" t="s">
        <v>12</v>
      </c>
      <c r="I2592" t="str">
        <f t="shared" si="40"/>
        <v>Normal Usage</v>
      </c>
    </row>
    <row r="2593" spans="1:9" x14ac:dyDescent="0.3">
      <c r="A2593">
        <v>12592</v>
      </c>
      <c r="B2593">
        <v>382</v>
      </c>
      <c r="C2593" s="2">
        <v>45267</v>
      </c>
      <c r="D2593" s="2" t="str">
        <f>TEXT(Table3[[#This Row],[usage_date]],"mmmm")</f>
        <v>December</v>
      </c>
      <c r="E2593" s="9">
        <f>YEAR(Table3[[#This Row],[usage_date]])</f>
        <v>2023</v>
      </c>
      <c r="F2593" s="14">
        <v>6.9</v>
      </c>
      <c r="G2593">
        <v>167</v>
      </c>
      <c r="H2593" t="s">
        <v>12</v>
      </c>
      <c r="I2593" t="str">
        <f t="shared" si="40"/>
        <v>High Usage</v>
      </c>
    </row>
    <row r="2594" spans="1:9" x14ac:dyDescent="0.3">
      <c r="A2594">
        <v>12593</v>
      </c>
      <c r="B2594">
        <v>496</v>
      </c>
      <c r="C2594" s="2">
        <v>44684</v>
      </c>
      <c r="D2594" s="2" t="str">
        <f>TEXT(Table3[[#This Row],[usage_date]],"mmmm")</f>
        <v>May</v>
      </c>
      <c r="E2594" s="9">
        <f>YEAR(Table3[[#This Row],[usage_date]])</f>
        <v>2022</v>
      </c>
      <c r="F2594" s="14">
        <v>4.3899999999999997</v>
      </c>
      <c r="G2594">
        <v>42</v>
      </c>
      <c r="H2594" t="s">
        <v>13</v>
      </c>
      <c r="I2594" t="str">
        <f t="shared" si="40"/>
        <v>Normal Usage</v>
      </c>
    </row>
    <row r="2595" spans="1:9" x14ac:dyDescent="0.3">
      <c r="A2595">
        <v>12594</v>
      </c>
      <c r="B2595">
        <v>379</v>
      </c>
      <c r="C2595" s="2">
        <v>45209</v>
      </c>
      <c r="D2595" s="2" t="str">
        <f>TEXT(Table3[[#This Row],[usage_date]],"mmmm")</f>
        <v>October</v>
      </c>
      <c r="E2595" s="9">
        <f>YEAR(Table3[[#This Row],[usage_date]])</f>
        <v>2023</v>
      </c>
      <c r="F2595" s="14">
        <v>4.6500000000000004</v>
      </c>
      <c r="G2595">
        <v>210</v>
      </c>
      <c r="H2595" t="s">
        <v>13</v>
      </c>
      <c r="I2595" t="str">
        <f t="shared" si="40"/>
        <v>Normal Usage</v>
      </c>
    </row>
    <row r="2596" spans="1:9" x14ac:dyDescent="0.3">
      <c r="A2596">
        <v>12595</v>
      </c>
      <c r="B2596">
        <v>47</v>
      </c>
      <c r="C2596" s="2">
        <v>44974</v>
      </c>
      <c r="D2596" s="2" t="str">
        <f>TEXT(Table3[[#This Row],[usage_date]],"mmmm")</f>
        <v>February</v>
      </c>
      <c r="E2596" s="9">
        <f>YEAR(Table3[[#This Row],[usage_date]])</f>
        <v>2023</v>
      </c>
      <c r="F2596" s="14">
        <v>2.1</v>
      </c>
      <c r="G2596">
        <v>178</v>
      </c>
      <c r="H2596" t="s">
        <v>12</v>
      </c>
      <c r="I2596" t="str">
        <f t="shared" si="40"/>
        <v>Normal Usage</v>
      </c>
    </row>
    <row r="2597" spans="1:9" x14ac:dyDescent="0.3">
      <c r="A2597">
        <v>12596</v>
      </c>
      <c r="B2597">
        <v>374</v>
      </c>
      <c r="C2597" s="2">
        <v>44700</v>
      </c>
      <c r="D2597" s="2" t="str">
        <f>TEXT(Table3[[#This Row],[usage_date]],"mmmm")</f>
        <v>May</v>
      </c>
      <c r="E2597" s="9">
        <f>YEAR(Table3[[#This Row],[usage_date]])</f>
        <v>2022</v>
      </c>
      <c r="F2597" s="14">
        <v>1.2</v>
      </c>
      <c r="G2597">
        <v>22</v>
      </c>
      <c r="H2597" t="s">
        <v>12</v>
      </c>
      <c r="I2597" t="str">
        <f t="shared" si="40"/>
        <v>Normal Usage</v>
      </c>
    </row>
    <row r="2598" spans="1:9" x14ac:dyDescent="0.3">
      <c r="A2598">
        <v>12597</v>
      </c>
      <c r="B2598">
        <v>228</v>
      </c>
      <c r="C2598" s="2">
        <v>44790</v>
      </c>
      <c r="D2598" s="2" t="str">
        <f>TEXT(Table3[[#This Row],[usage_date]],"mmmm")</f>
        <v>August</v>
      </c>
      <c r="E2598" s="9">
        <f>YEAR(Table3[[#This Row],[usage_date]])</f>
        <v>2022</v>
      </c>
      <c r="F2598" s="14">
        <v>6.82</v>
      </c>
      <c r="G2598">
        <v>94</v>
      </c>
      <c r="H2598" t="s">
        <v>13</v>
      </c>
      <c r="I2598" t="str">
        <f t="shared" si="40"/>
        <v>High Usage</v>
      </c>
    </row>
    <row r="2599" spans="1:9" x14ac:dyDescent="0.3">
      <c r="A2599">
        <v>12598</v>
      </c>
      <c r="B2599">
        <v>39</v>
      </c>
      <c r="C2599" s="2">
        <v>44835</v>
      </c>
      <c r="D2599" s="2" t="str">
        <f>TEXT(Table3[[#This Row],[usage_date]],"mmmm")</f>
        <v>October</v>
      </c>
      <c r="E2599" s="9">
        <f>YEAR(Table3[[#This Row],[usage_date]])</f>
        <v>2022</v>
      </c>
      <c r="F2599" s="14">
        <v>1.41</v>
      </c>
      <c r="G2599">
        <v>159</v>
      </c>
      <c r="H2599" t="s">
        <v>13</v>
      </c>
      <c r="I2599" t="str">
        <f t="shared" si="40"/>
        <v>Normal Usage</v>
      </c>
    </row>
    <row r="2600" spans="1:9" x14ac:dyDescent="0.3">
      <c r="A2600">
        <v>12599</v>
      </c>
      <c r="B2600">
        <v>16</v>
      </c>
      <c r="C2600" s="2">
        <v>45000</v>
      </c>
      <c r="D2600" s="2" t="str">
        <f>TEXT(Table3[[#This Row],[usage_date]],"mmmm")</f>
        <v>March</v>
      </c>
      <c r="E2600" s="9">
        <f>YEAR(Table3[[#This Row],[usage_date]])</f>
        <v>2023</v>
      </c>
      <c r="F2600" s="14">
        <v>1.93</v>
      </c>
      <c r="G2600">
        <v>243</v>
      </c>
      <c r="H2600" t="s">
        <v>12</v>
      </c>
      <c r="I2600" t="str">
        <f t="shared" si="40"/>
        <v>Normal Usage</v>
      </c>
    </row>
    <row r="2601" spans="1:9" x14ac:dyDescent="0.3">
      <c r="A2601">
        <v>12600</v>
      </c>
      <c r="B2601">
        <v>22</v>
      </c>
      <c r="C2601" s="2">
        <v>45123</v>
      </c>
      <c r="D2601" s="2" t="str">
        <f>TEXT(Table3[[#This Row],[usage_date]],"mmmm")</f>
        <v>July</v>
      </c>
      <c r="E2601" s="9">
        <f>YEAR(Table3[[#This Row],[usage_date]])</f>
        <v>2023</v>
      </c>
      <c r="F2601" s="14">
        <v>1.48</v>
      </c>
      <c r="G2601">
        <v>16</v>
      </c>
      <c r="H2601" t="s">
        <v>12</v>
      </c>
      <c r="I2601" t="str">
        <f t="shared" si="40"/>
        <v>Normal Usage</v>
      </c>
    </row>
    <row r="2602" spans="1:9" x14ac:dyDescent="0.3">
      <c r="A2602">
        <v>12601</v>
      </c>
      <c r="B2602">
        <v>213</v>
      </c>
      <c r="C2602" s="2">
        <v>44679</v>
      </c>
      <c r="D2602" s="2" t="str">
        <f>TEXT(Table3[[#This Row],[usage_date]],"mmmm")</f>
        <v>April</v>
      </c>
      <c r="E2602" s="9">
        <f>YEAR(Table3[[#This Row],[usage_date]])</f>
        <v>2022</v>
      </c>
      <c r="F2602" s="14">
        <v>2.08</v>
      </c>
      <c r="G2602">
        <v>111</v>
      </c>
      <c r="H2602" t="s">
        <v>12</v>
      </c>
      <c r="I2602" t="str">
        <f t="shared" si="40"/>
        <v>Normal Usage</v>
      </c>
    </row>
    <row r="2603" spans="1:9" x14ac:dyDescent="0.3">
      <c r="A2603">
        <v>12602</v>
      </c>
      <c r="B2603">
        <v>310</v>
      </c>
      <c r="C2603" s="2">
        <v>45275</v>
      </c>
      <c r="D2603" s="2" t="str">
        <f>TEXT(Table3[[#This Row],[usage_date]],"mmmm")</f>
        <v>December</v>
      </c>
      <c r="E2603" s="9">
        <f>YEAR(Table3[[#This Row],[usage_date]])</f>
        <v>2023</v>
      </c>
      <c r="F2603" s="14">
        <v>1.59</v>
      </c>
      <c r="G2603">
        <v>102</v>
      </c>
      <c r="H2603" t="s">
        <v>12</v>
      </c>
      <c r="I2603" t="str">
        <f t="shared" si="40"/>
        <v>Normal Usage</v>
      </c>
    </row>
    <row r="2604" spans="1:9" x14ac:dyDescent="0.3">
      <c r="A2604">
        <v>12603</v>
      </c>
      <c r="B2604">
        <v>149</v>
      </c>
      <c r="C2604" s="2">
        <v>45044</v>
      </c>
      <c r="D2604" s="2" t="str">
        <f>TEXT(Table3[[#This Row],[usage_date]],"mmmm")</f>
        <v>April</v>
      </c>
      <c r="E2604" s="9">
        <f>YEAR(Table3[[#This Row],[usage_date]])</f>
        <v>2023</v>
      </c>
      <c r="F2604" s="14">
        <v>0.12</v>
      </c>
      <c r="G2604">
        <v>85</v>
      </c>
      <c r="H2604" t="s">
        <v>13</v>
      </c>
      <c r="I2604" t="str">
        <f t="shared" si="40"/>
        <v>Normal Usage</v>
      </c>
    </row>
    <row r="2605" spans="1:9" x14ac:dyDescent="0.3">
      <c r="A2605">
        <v>12604</v>
      </c>
      <c r="B2605">
        <v>456</v>
      </c>
      <c r="C2605" s="2">
        <v>44956</v>
      </c>
      <c r="D2605" s="2" t="str">
        <f>TEXT(Table3[[#This Row],[usage_date]],"mmmm")</f>
        <v>January</v>
      </c>
      <c r="E2605" s="9">
        <f>YEAR(Table3[[#This Row],[usage_date]])</f>
        <v>2023</v>
      </c>
      <c r="F2605" s="14">
        <v>5.34</v>
      </c>
      <c r="G2605">
        <v>34</v>
      </c>
      <c r="H2605" t="s">
        <v>12</v>
      </c>
      <c r="I2605" t="str">
        <f t="shared" si="40"/>
        <v>Normal Usage</v>
      </c>
    </row>
    <row r="2606" spans="1:9" x14ac:dyDescent="0.3">
      <c r="A2606">
        <v>12605</v>
      </c>
      <c r="B2606">
        <v>241</v>
      </c>
      <c r="C2606" s="2">
        <v>45264</v>
      </c>
      <c r="D2606" s="2" t="str">
        <f>TEXT(Table3[[#This Row],[usage_date]],"mmmm")</f>
        <v>December</v>
      </c>
      <c r="E2606" s="9">
        <f>YEAR(Table3[[#This Row],[usage_date]])</f>
        <v>2023</v>
      </c>
      <c r="F2606" s="14">
        <v>1.47</v>
      </c>
      <c r="G2606">
        <v>29</v>
      </c>
      <c r="H2606" t="s">
        <v>12</v>
      </c>
      <c r="I2606" t="str">
        <f t="shared" si="40"/>
        <v>Normal Usage</v>
      </c>
    </row>
    <row r="2607" spans="1:9" x14ac:dyDescent="0.3">
      <c r="A2607">
        <v>12606</v>
      </c>
      <c r="B2607">
        <v>272</v>
      </c>
      <c r="C2607" s="2">
        <v>45437</v>
      </c>
      <c r="D2607" s="2" t="str">
        <f>TEXT(Table3[[#This Row],[usage_date]],"mmmm")</f>
        <v>May</v>
      </c>
      <c r="E2607" s="9">
        <f>YEAR(Table3[[#This Row],[usage_date]])</f>
        <v>2024</v>
      </c>
      <c r="F2607" s="14">
        <v>2.2200000000000002</v>
      </c>
      <c r="G2607">
        <v>191</v>
      </c>
      <c r="H2607" t="s">
        <v>12</v>
      </c>
      <c r="I2607" t="str">
        <f t="shared" si="40"/>
        <v>Normal Usage</v>
      </c>
    </row>
    <row r="2608" spans="1:9" x14ac:dyDescent="0.3">
      <c r="A2608">
        <v>12607</v>
      </c>
      <c r="B2608">
        <v>59</v>
      </c>
      <c r="C2608" s="2">
        <v>45021</v>
      </c>
      <c r="D2608" s="2" t="str">
        <f>TEXT(Table3[[#This Row],[usage_date]],"mmmm")</f>
        <v>April</v>
      </c>
      <c r="E2608" s="9">
        <f>YEAR(Table3[[#This Row],[usage_date]])</f>
        <v>2023</v>
      </c>
      <c r="F2608" s="14">
        <v>0.37</v>
      </c>
      <c r="G2608">
        <v>178</v>
      </c>
      <c r="H2608" t="s">
        <v>12</v>
      </c>
      <c r="I2608" t="str">
        <f t="shared" si="40"/>
        <v>Normal Usage</v>
      </c>
    </row>
    <row r="2609" spans="1:9" x14ac:dyDescent="0.3">
      <c r="A2609">
        <v>12608</v>
      </c>
      <c r="B2609">
        <v>287</v>
      </c>
      <c r="C2609" s="2">
        <v>45396</v>
      </c>
      <c r="D2609" s="2" t="str">
        <f>TEXT(Table3[[#This Row],[usage_date]],"mmmm")</f>
        <v>April</v>
      </c>
      <c r="E2609" s="9">
        <f>YEAR(Table3[[#This Row],[usage_date]])</f>
        <v>2024</v>
      </c>
      <c r="F2609" s="14">
        <v>0.01</v>
      </c>
      <c r="G2609">
        <v>103</v>
      </c>
      <c r="H2609" t="s">
        <v>12</v>
      </c>
      <c r="I2609" t="str">
        <f t="shared" si="40"/>
        <v>Normal Usage</v>
      </c>
    </row>
    <row r="2610" spans="1:9" x14ac:dyDescent="0.3">
      <c r="A2610">
        <v>12609</v>
      </c>
      <c r="B2610">
        <v>426</v>
      </c>
      <c r="C2610" s="2">
        <v>45254</v>
      </c>
      <c r="D2610" s="2" t="str">
        <f>TEXT(Table3[[#This Row],[usage_date]],"mmmm")</f>
        <v>November</v>
      </c>
      <c r="E2610" s="9">
        <f>YEAR(Table3[[#This Row],[usage_date]])</f>
        <v>2023</v>
      </c>
      <c r="F2610" s="14">
        <v>0.7</v>
      </c>
      <c r="G2610">
        <v>164</v>
      </c>
      <c r="H2610" t="s">
        <v>12</v>
      </c>
      <c r="I2610" t="str">
        <f t="shared" si="40"/>
        <v>Normal Usage</v>
      </c>
    </row>
    <row r="2611" spans="1:9" x14ac:dyDescent="0.3">
      <c r="A2611">
        <v>12610</v>
      </c>
      <c r="B2611">
        <v>202</v>
      </c>
      <c r="C2611" s="2">
        <v>44639</v>
      </c>
      <c r="D2611" s="2" t="str">
        <f>TEXT(Table3[[#This Row],[usage_date]],"mmmm")</f>
        <v>March</v>
      </c>
      <c r="E2611" s="9">
        <f>YEAR(Table3[[#This Row],[usage_date]])</f>
        <v>2022</v>
      </c>
      <c r="F2611" s="14">
        <v>3.05</v>
      </c>
      <c r="G2611">
        <v>121</v>
      </c>
      <c r="H2611" t="s">
        <v>12</v>
      </c>
      <c r="I2611" t="str">
        <f t="shared" si="40"/>
        <v>Normal Usage</v>
      </c>
    </row>
    <row r="2612" spans="1:9" x14ac:dyDescent="0.3">
      <c r="A2612">
        <v>12611</v>
      </c>
      <c r="B2612">
        <v>32</v>
      </c>
      <c r="C2612" s="2">
        <v>44973</v>
      </c>
      <c r="D2612" s="2" t="str">
        <f>TEXT(Table3[[#This Row],[usage_date]],"mmmm")</f>
        <v>February</v>
      </c>
      <c r="E2612" s="9">
        <f>YEAR(Table3[[#This Row],[usage_date]])</f>
        <v>2023</v>
      </c>
      <c r="F2612" s="14">
        <v>0.26</v>
      </c>
      <c r="G2612">
        <v>133</v>
      </c>
      <c r="H2612" t="s">
        <v>12</v>
      </c>
      <c r="I2612" t="str">
        <f t="shared" si="40"/>
        <v>Normal Usage</v>
      </c>
    </row>
    <row r="2613" spans="1:9" x14ac:dyDescent="0.3">
      <c r="A2613">
        <v>12612</v>
      </c>
      <c r="B2613">
        <v>443</v>
      </c>
      <c r="C2613" s="2">
        <v>44636</v>
      </c>
      <c r="D2613" s="2" t="str">
        <f>TEXT(Table3[[#This Row],[usage_date]],"mmmm")</f>
        <v>March</v>
      </c>
      <c r="E2613" s="9">
        <f>YEAR(Table3[[#This Row],[usage_date]])</f>
        <v>2022</v>
      </c>
      <c r="F2613" s="14">
        <v>5.99</v>
      </c>
      <c r="G2613">
        <v>289</v>
      </c>
      <c r="H2613" t="s">
        <v>12</v>
      </c>
      <c r="I2613" t="str">
        <f t="shared" si="40"/>
        <v>Normal Usage</v>
      </c>
    </row>
    <row r="2614" spans="1:9" x14ac:dyDescent="0.3">
      <c r="A2614">
        <v>12613</v>
      </c>
      <c r="B2614">
        <v>162</v>
      </c>
      <c r="C2614" s="2">
        <v>44856</v>
      </c>
      <c r="D2614" s="2" t="str">
        <f>TEXT(Table3[[#This Row],[usage_date]],"mmmm")</f>
        <v>October</v>
      </c>
      <c r="E2614" s="9">
        <f>YEAR(Table3[[#This Row],[usage_date]])</f>
        <v>2022</v>
      </c>
      <c r="F2614" s="14">
        <v>0.61</v>
      </c>
      <c r="G2614">
        <v>223</v>
      </c>
      <c r="H2614" t="s">
        <v>12</v>
      </c>
      <c r="I2614" t="str">
        <f t="shared" si="40"/>
        <v>Normal Usage</v>
      </c>
    </row>
    <row r="2615" spans="1:9" x14ac:dyDescent="0.3">
      <c r="A2615">
        <v>12614</v>
      </c>
      <c r="B2615">
        <v>255</v>
      </c>
      <c r="C2615" s="2">
        <v>45354</v>
      </c>
      <c r="D2615" s="2" t="str">
        <f>TEXT(Table3[[#This Row],[usage_date]],"mmmm")</f>
        <v>March</v>
      </c>
      <c r="E2615" s="9">
        <f>YEAR(Table3[[#This Row],[usage_date]])</f>
        <v>2024</v>
      </c>
      <c r="F2615" s="14">
        <v>0.56999999999999995</v>
      </c>
      <c r="G2615">
        <v>24</v>
      </c>
      <c r="H2615" t="s">
        <v>12</v>
      </c>
      <c r="I2615" t="str">
        <f t="shared" si="40"/>
        <v>Normal Usage</v>
      </c>
    </row>
    <row r="2616" spans="1:9" x14ac:dyDescent="0.3">
      <c r="A2616">
        <v>12615</v>
      </c>
      <c r="B2616">
        <v>254</v>
      </c>
      <c r="C2616" s="2">
        <v>44582</v>
      </c>
      <c r="D2616" s="2" t="str">
        <f>TEXT(Table3[[#This Row],[usage_date]],"mmmm")</f>
        <v>January</v>
      </c>
      <c r="E2616" s="9">
        <f>YEAR(Table3[[#This Row],[usage_date]])</f>
        <v>2022</v>
      </c>
      <c r="F2616" s="14">
        <v>0.5</v>
      </c>
      <c r="G2616">
        <v>12</v>
      </c>
      <c r="H2616" t="s">
        <v>12</v>
      </c>
      <c r="I2616" t="str">
        <f t="shared" si="40"/>
        <v>Normal Usage</v>
      </c>
    </row>
    <row r="2617" spans="1:9" x14ac:dyDescent="0.3">
      <c r="A2617">
        <v>12616</v>
      </c>
      <c r="B2617">
        <v>9</v>
      </c>
      <c r="C2617" s="2">
        <v>44732</v>
      </c>
      <c r="D2617" s="2" t="str">
        <f>TEXT(Table3[[#This Row],[usage_date]],"mmmm")</f>
        <v>June</v>
      </c>
      <c r="E2617" s="9">
        <f>YEAR(Table3[[#This Row],[usage_date]])</f>
        <v>2022</v>
      </c>
      <c r="F2617" s="14">
        <v>0.04</v>
      </c>
      <c r="G2617">
        <v>229</v>
      </c>
      <c r="H2617" t="s">
        <v>12</v>
      </c>
      <c r="I2617" t="str">
        <f t="shared" si="40"/>
        <v>Normal Usage</v>
      </c>
    </row>
    <row r="2618" spans="1:9" x14ac:dyDescent="0.3">
      <c r="A2618">
        <v>12617</v>
      </c>
      <c r="B2618">
        <v>465</v>
      </c>
      <c r="C2618" s="2">
        <v>44576</v>
      </c>
      <c r="D2618" s="2" t="str">
        <f>TEXT(Table3[[#This Row],[usage_date]],"mmmm")</f>
        <v>January</v>
      </c>
      <c r="E2618" s="9">
        <f>YEAR(Table3[[#This Row],[usage_date]])</f>
        <v>2022</v>
      </c>
      <c r="F2618" s="14">
        <v>3.69</v>
      </c>
      <c r="G2618">
        <v>101</v>
      </c>
      <c r="H2618" t="s">
        <v>12</v>
      </c>
      <c r="I2618" t="str">
        <f t="shared" si="40"/>
        <v>Normal Usage</v>
      </c>
    </row>
    <row r="2619" spans="1:9" x14ac:dyDescent="0.3">
      <c r="A2619">
        <v>12618</v>
      </c>
      <c r="B2619">
        <v>139</v>
      </c>
      <c r="C2619" s="2">
        <v>44772</v>
      </c>
      <c r="D2619" s="2" t="str">
        <f>TEXT(Table3[[#This Row],[usage_date]],"mmmm")</f>
        <v>July</v>
      </c>
      <c r="E2619" s="9">
        <f>YEAR(Table3[[#This Row],[usage_date]])</f>
        <v>2022</v>
      </c>
      <c r="F2619" s="14">
        <v>5.2</v>
      </c>
      <c r="G2619">
        <v>202</v>
      </c>
      <c r="H2619" t="s">
        <v>13</v>
      </c>
      <c r="I2619" t="str">
        <f t="shared" si="40"/>
        <v>Normal Usage</v>
      </c>
    </row>
    <row r="2620" spans="1:9" x14ac:dyDescent="0.3">
      <c r="A2620">
        <v>12619</v>
      </c>
      <c r="B2620">
        <v>480</v>
      </c>
      <c r="C2620" s="2">
        <v>45121</v>
      </c>
      <c r="D2620" s="2" t="str">
        <f>TEXT(Table3[[#This Row],[usage_date]],"mmmm")</f>
        <v>July</v>
      </c>
      <c r="E2620" s="9">
        <f>YEAR(Table3[[#This Row],[usage_date]])</f>
        <v>2023</v>
      </c>
      <c r="F2620" s="14">
        <v>2.38</v>
      </c>
      <c r="G2620">
        <v>266</v>
      </c>
      <c r="H2620" t="s">
        <v>13</v>
      </c>
      <c r="I2620" t="str">
        <f t="shared" si="40"/>
        <v>Normal Usage</v>
      </c>
    </row>
    <row r="2621" spans="1:9" x14ac:dyDescent="0.3">
      <c r="A2621">
        <v>12620</v>
      </c>
      <c r="B2621">
        <v>10</v>
      </c>
      <c r="C2621" s="2">
        <v>44647</v>
      </c>
      <c r="D2621" s="2" t="str">
        <f>TEXT(Table3[[#This Row],[usage_date]],"mmmm")</f>
        <v>March</v>
      </c>
      <c r="E2621" s="9">
        <f>YEAR(Table3[[#This Row],[usage_date]])</f>
        <v>2022</v>
      </c>
      <c r="F2621" s="14">
        <v>0.52</v>
      </c>
      <c r="G2621">
        <v>221</v>
      </c>
      <c r="H2621" t="s">
        <v>12</v>
      </c>
      <c r="I2621" t="str">
        <f t="shared" si="40"/>
        <v>Normal Usage</v>
      </c>
    </row>
    <row r="2622" spans="1:9" x14ac:dyDescent="0.3">
      <c r="A2622">
        <v>12621</v>
      </c>
      <c r="B2622">
        <v>214</v>
      </c>
      <c r="C2622" s="2">
        <v>44710</v>
      </c>
      <c r="D2622" s="2" t="str">
        <f>TEXT(Table3[[#This Row],[usage_date]],"mmmm")</f>
        <v>May</v>
      </c>
      <c r="E2622" s="9">
        <f>YEAR(Table3[[#This Row],[usage_date]])</f>
        <v>2022</v>
      </c>
      <c r="F2622" s="14">
        <v>0.84</v>
      </c>
      <c r="G2622">
        <v>103</v>
      </c>
      <c r="H2622" t="s">
        <v>13</v>
      </c>
      <c r="I2622" t="str">
        <f t="shared" si="40"/>
        <v>Normal Usage</v>
      </c>
    </row>
    <row r="2623" spans="1:9" x14ac:dyDescent="0.3">
      <c r="A2623">
        <v>12622</v>
      </c>
      <c r="B2623">
        <v>273</v>
      </c>
      <c r="C2623" s="2">
        <v>45261</v>
      </c>
      <c r="D2623" s="2" t="str">
        <f>TEXT(Table3[[#This Row],[usage_date]],"mmmm")</f>
        <v>December</v>
      </c>
      <c r="E2623" s="9">
        <f>YEAR(Table3[[#This Row],[usage_date]])</f>
        <v>2023</v>
      </c>
      <c r="F2623" s="14">
        <v>1.62</v>
      </c>
      <c r="G2623">
        <v>110</v>
      </c>
      <c r="H2623" t="s">
        <v>12</v>
      </c>
      <c r="I2623" t="str">
        <f t="shared" si="40"/>
        <v>Normal Usage</v>
      </c>
    </row>
    <row r="2624" spans="1:9" x14ac:dyDescent="0.3">
      <c r="A2624">
        <v>12623</v>
      </c>
      <c r="B2624">
        <v>324</v>
      </c>
      <c r="C2624" s="2">
        <v>44933</v>
      </c>
      <c r="D2624" s="2" t="str">
        <f>TEXT(Table3[[#This Row],[usage_date]],"mmmm")</f>
        <v>January</v>
      </c>
      <c r="E2624" s="9">
        <f>YEAR(Table3[[#This Row],[usage_date]])</f>
        <v>2023</v>
      </c>
      <c r="F2624" s="14">
        <v>7.72</v>
      </c>
      <c r="G2624">
        <v>68</v>
      </c>
      <c r="H2624" t="s">
        <v>12</v>
      </c>
      <c r="I2624" t="str">
        <f t="shared" si="40"/>
        <v>High Usage</v>
      </c>
    </row>
    <row r="2625" spans="1:9" x14ac:dyDescent="0.3">
      <c r="A2625">
        <v>12624</v>
      </c>
      <c r="B2625">
        <v>48</v>
      </c>
      <c r="C2625" s="2">
        <v>45041</v>
      </c>
      <c r="D2625" s="2" t="str">
        <f>TEXT(Table3[[#This Row],[usage_date]],"mmmm")</f>
        <v>April</v>
      </c>
      <c r="E2625" s="9">
        <f>YEAR(Table3[[#This Row],[usage_date]])</f>
        <v>2023</v>
      </c>
      <c r="F2625" s="14">
        <v>0.71</v>
      </c>
      <c r="G2625">
        <v>257</v>
      </c>
      <c r="H2625" t="s">
        <v>12</v>
      </c>
      <c r="I2625" t="str">
        <f t="shared" si="40"/>
        <v>Normal Usage</v>
      </c>
    </row>
    <row r="2626" spans="1:9" x14ac:dyDescent="0.3">
      <c r="A2626">
        <v>12625</v>
      </c>
      <c r="B2626">
        <v>436</v>
      </c>
      <c r="C2626" s="2">
        <v>45379</v>
      </c>
      <c r="D2626" s="2" t="str">
        <f>TEXT(Table3[[#This Row],[usage_date]],"mmmm")</f>
        <v>March</v>
      </c>
      <c r="E2626" s="9">
        <f>YEAR(Table3[[#This Row],[usage_date]])</f>
        <v>2024</v>
      </c>
      <c r="F2626" s="14">
        <v>3.29</v>
      </c>
      <c r="G2626">
        <v>167</v>
      </c>
      <c r="H2626" t="s">
        <v>12</v>
      </c>
      <c r="I2626" t="str">
        <f t="shared" ref="I2626:I2689" si="41">IF(F2626&gt;6,"High Usage","Normal Usage")</f>
        <v>Normal Usage</v>
      </c>
    </row>
    <row r="2627" spans="1:9" x14ac:dyDescent="0.3">
      <c r="A2627">
        <v>12626</v>
      </c>
      <c r="B2627">
        <v>111</v>
      </c>
      <c r="C2627" s="2">
        <v>44712</v>
      </c>
      <c r="D2627" s="2" t="str">
        <f>TEXT(Table3[[#This Row],[usage_date]],"mmmm")</f>
        <v>May</v>
      </c>
      <c r="E2627" s="9">
        <f>YEAR(Table3[[#This Row],[usage_date]])</f>
        <v>2022</v>
      </c>
      <c r="F2627" s="14">
        <v>1.45</v>
      </c>
      <c r="G2627">
        <v>292</v>
      </c>
      <c r="H2627" t="s">
        <v>12</v>
      </c>
      <c r="I2627" t="str">
        <f t="shared" si="41"/>
        <v>Normal Usage</v>
      </c>
    </row>
    <row r="2628" spans="1:9" x14ac:dyDescent="0.3">
      <c r="A2628">
        <v>12627</v>
      </c>
      <c r="B2628">
        <v>153</v>
      </c>
      <c r="C2628" s="2">
        <v>44702</v>
      </c>
      <c r="D2628" s="2" t="str">
        <f>TEXT(Table3[[#This Row],[usage_date]],"mmmm")</f>
        <v>May</v>
      </c>
      <c r="E2628" s="9">
        <f>YEAR(Table3[[#This Row],[usage_date]])</f>
        <v>2022</v>
      </c>
      <c r="F2628" s="14">
        <v>0.88</v>
      </c>
      <c r="G2628">
        <v>48</v>
      </c>
      <c r="H2628" t="s">
        <v>12</v>
      </c>
      <c r="I2628" t="str">
        <f t="shared" si="41"/>
        <v>Normal Usage</v>
      </c>
    </row>
    <row r="2629" spans="1:9" x14ac:dyDescent="0.3">
      <c r="A2629">
        <v>12628</v>
      </c>
      <c r="B2629">
        <v>123</v>
      </c>
      <c r="C2629" s="2">
        <v>44630</v>
      </c>
      <c r="D2629" s="2" t="str">
        <f>TEXT(Table3[[#This Row],[usage_date]],"mmmm")</f>
        <v>March</v>
      </c>
      <c r="E2629" s="9">
        <f>YEAR(Table3[[#This Row],[usage_date]])</f>
        <v>2022</v>
      </c>
      <c r="F2629" s="14">
        <v>1.52</v>
      </c>
      <c r="G2629">
        <v>249</v>
      </c>
      <c r="H2629" t="s">
        <v>13</v>
      </c>
      <c r="I2629" t="str">
        <f t="shared" si="41"/>
        <v>Normal Usage</v>
      </c>
    </row>
    <row r="2630" spans="1:9" x14ac:dyDescent="0.3">
      <c r="A2630">
        <v>12629</v>
      </c>
      <c r="B2630">
        <v>405</v>
      </c>
      <c r="C2630" s="2">
        <v>44821</v>
      </c>
      <c r="D2630" s="2" t="str">
        <f>TEXT(Table3[[#This Row],[usage_date]],"mmmm")</f>
        <v>September</v>
      </c>
      <c r="E2630" s="9">
        <f>YEAR(Table3[[#This Row],[usage_date]])</f>
        <v>2022</v>
      </c>
      <c r="F2630" s="14">
        <v>0.18</v>
      </c>
      <c r="G2630">
        <v>74</v>
      </c>
      <c r="H2630" t="s">
        <v>12</v>
      </c>
      <c r="I2630" t="str">
        <f t="shared" si="41"/>
        <v>Normal Usage</v>
      </c>
    </row>
    <row r="2631" spans="1:9" x14ac:dyDescent="0.3">
      <c r="A2631">
        <v>12630</v>
      </c>
      <c r="B2631">
        <v>357</v>
      </c>
      <c r="C2631" s="2">
        <v>45407</v>
      </c>
      <c r="D2631" s="2" t="str">
        <f>TEXT(Table3[[#This Row],[usage_date]],"mmmm")</f>
        <v>April</v>
      </c>
      <c r="E2631" s="9">
        <f>YEAR(Table3[[#This Row],[usage_date]])</f>
        <v>2024</v>
      </c>
      <c r="F2631" s="14">
        <v>4.01</v>
      </c>
      <c r="G2631">
        <v>200</v>
      </c>
      <c r="H2631" t="s">
        <v>12</v>
      </c>
      <c r="I2631" t="str">
        <f t="shared" si="41"/>
        <v>Normal Usage</v>
      </c>
    </row>
    <row r="2632" spans="1:9" x14ac:dyDescent="0.3">
      <c r="A2632">
        <v>12631</v>
      </c>
      <c r="B2632">
        <v>102</v>
      </c>
      <c r="C2632" s="2">
        <v>45082</v>
      </c>
      <c r="D2632" s="2" t="str">
        <f>TEXT(Table3[[#This Row],[usage_date]],"mmmm")</f>
        <v>June</v>
      </c>
      <c r="E2632" s="9">
        <f>YEAR(Table3[[#This Row],[usage_date]])</f>
        <v>2023</v>
      </c>
      <c r="F2632" s="14">
        <v>0.7</v>
      </c>
      <c r="G2632">
        <v>33</v>
      </c>
      <c r="H2632" t="s">
        <v>12</v>
      </c>
      <c r="I2632" t="str">
        <f t="shared" si="41"/>
        <v>Normal Usage</v>
      </c>
    </row>
    <row r="2633" spans="1:9" x14ac:dyDescent="0.3">
      <c r="A2633">
        <v>12632</v>
      </c>
      <c r="B2633">
        <v>241</v>
      </c>
      <c r="C2633" s="2">
        <v>45194</v>
      </c>
      <c r="D2633" s="2" t="str">
        <f>TEXT(Table3[[#This Row],[usage_date]],"mmmm")</f>
        <v>September</v>
      </c>
      <c r="E2633" s="9">
        <f>YEAR(Table3[[#This Row],[usage_date]])</f>
        <v>2023</v>
      </c>
      <c r="F2633" s="14">
        <v>3.23</v>
      </c>
      <c r="G2633">
        <v>110</v>
      </c>
      <c r="H2633" t="s">
        <v>12</v>
      </c>
      <c r="I2633" t="str">
        <f t="shared" si="41"/>
        <v>Normal Usage</v>
      </c>
    </row>
    <row r="2634" spans="1:9" x14ac:dyDescent="0.3">
      <c r="A2634">
        <v>12633</v>
      </c>
      <c r="B2634">
        <v>321</v>
      </c>
      <c r="C2634" s="2">
        <v>44932</v>
      </c>
      <c r="D2634" s="2" t="str">
        <f>TEXT(Table3[[#This Row],[usage_date]],"mmmm")</f>
        <v>January</v>
      </c>
      <c r="E2634" s="9">
        <f>YEAR(Table3[[#This Row],[usage_date]])</f>
        <v>2023</v>
      </c>
      <c r="F2634" s="14">
        <v>0.18</v>
      </c>
      <c r="G2634">
        <v>236</v>
      </c>
      <c r="H2634" t="s">
        <v>13</v>
      </c>
      <c r="I2634" t="str">
        <f t="shared" si="41"/>
        <v>Normal Usage</v>
      </c>
    </row>
    <row r="2635" spans="1:9" x14ac:dyDescent="0.3">
      <c r="A2635">
        <v>12634</v>
      </c>
      <c r="B2635">
        <v>191</v>
      </c>
      <c r="C2635" s="2">
        <v>44980</v>
      </c>
      <c r="D2635" s="2" t="str">
        <f>TEXT(Table3[[#This Row],[usage_date]],"mmmm")</f>
        <v>February</v>
      </c>
      <c r="E2635" s="9">
        <f>YEAR(Table3[[#This Row],[usage_date]])</f>
        <v>2023</v>
      </c>
      <c r="F2635" s="14">
        <v>7.76</v>
      </c>
      <c r="G2635">
        <v>31</v>
      </c>
      <c r="H2635" t="s">
        <v>13</v>
      </c>
      <c r="I2635" t="str">
        <f t="shared" si="41"/>
        <v>High Usage</v>
      </c>
    </row>
    <row r="2636" spans="1:9" x14ac:dyDescent="0.3">
      <c r="A2636">
        <v>12635</v>
      </c>
      <c r="B2636">
        <v>217</v>
      </c>
      <c r="C2636" s="2">
        <v>44662</v>
      </c>
      <c r="D2636" s="2" t="str">
        <f>TEXT(Table3[[#This Row],[usage_date]],"mmmm")</f>
        <v>April</v>
      </c>
      <c r="E2636" s="9">
        <f>YEAR(Table3[[#This Row],[usage_date]])</f>
        <v>2022</v>
      </c>
      <c r="F2636" s="14">
        <v>0.54</v>
      </c>
      <c r="G2636">
        <v>208</v>
      </c>
      <c r="H2636" t="s">
        <v>13</v>
      </c>
      <c r="I2636" t="str">
        <f t="shared" si="41"/>
        <v>Normal Usage</v>
      </c>
    </row>
    <row r="2637" spans="1:9" x14ac:dyDescent="0.3">
      <c r="A2637">
        <v>12636</v>
      </c>
      <c r="B2637">
        <v>51</v>
      </c>
      <c r="C2637" s="2">
        <v>45222</v>
      </c>
      <c r="D2637" s="2" t="str">
        <f>TEXT(Table3[[#This Row],[usage_date]],"mmmm")</f>
        <v>October</v>
      </c>
      <c r="E2637" s="9">
        <f>YEAR(Table3[[#This Row],[usage_date]])</f>
        <v>2023</v>
      </c>
      <c r="F2637" s="14">
        <v>5.36</v>
      </c>
      <c r="G2637">
        <v>131</v>
      </c>
      <c r="H2637" t="s">
        <v>12</v>
      </c>
      <c r="I2637" t="str">
        <f t="shared" si="41"/>
        <v>Normal Usage</v>
      </c>
    </row>
    <row r="2638" spans="1:9" x14ac:dyDescent="0.3">
      <c r="A2638">
        <v>12637</v>
      </c>
      <c r="B2638">
        <v>292</v>
      </c>
      <c r="C2638" s="2">
        <v>45219</v>
      </c>
      <c r="D2638" s="2" t="str">
        <f>TEXT(Table3[[#This Row],[usage_date]],"mmmm")</f>
        <v>October</v>
      </c>
      <c r="E2638" s="9">
        <f>YEAR(Table3[[#This Row],[usage_date]])</f>
        <v>2023</v>
      </c>
      <c r="F2638" s="14">
        <v>4.1399999999999997</v>
      </c>
      <c r="G2638">
        <v>105</v>
      </c>
      <c r="H2638" t="s">
        <v>12</v>
      </c>
      <c r="I2638" t="str">
        <f t="shared" si="41"/>
        <v>Normal Usage</v>
      </c>
    </row>
    <row r="2639" spans="1:9" x14ac:dyDescent="0.3">
      <c r="A2639">
        <v>12638</v>
      </c>
      <c r="B2639">
        <v>81</v>
      </c>
      <c r="C2639" s="2">
        <v>45426</v>
      </c>
      <c r="D2639" s="2" t="str">
        <f>TEXT(Table3[[#This Row],[usage_date]],"mmmm")</f>
        <v>May</v>
      </c>
      <c r="E2639" s="9">
        <f>YEAR(Table3[[#This Row],[usage_date]])</f>
        <v>2024</v>
      </c>
      <c r="F2639" s="14">
        <v>8.59</v>
      </c>
      <c r="G2639">
        <v>32</v>
      </c>
      <c r="H2639" t="s">
        <v>12</v>
      </c>
      <c r="I2639" t="str">
        <f t="shared" si="41"/>
        <v>High Usage</v>
      </c>
    </row>
    <row r="2640" spans="1:9" x14ac:dyDescent="0.3">
      <c r="A2640">
        <v>12639</v>
      </c>
      <c r="B2640">
        <v>489</v>
      </c>
      <c r="C2640" s="2">
        <v>44804</v>
      </c>
      <c r="D2640" s="2" t="str">
        <f>TEXT(Table3[[#This Row],[usage_date]],"mmmm")</f>
        <v>August</v>
      </c>
      <c r="E2640" s="9">
        <f>YEAR(Table3[[#This Row],[usage_date]])</f>
        <v>2022</v>
      </c>
      <c r="F2640" s="14">
        <v>1.62</v>
      </c>
      <c r="G2640">
        <v>42</v>
      </c>
      <c r="H2640" t="s">
        <v>12</v>
      </c>
      <c r="I2640" t="str">
        <f t="shared" si="41"/>
        <v>Normal Usage</v>
      </c>
    </row>
    <row r="2641" spans="1:9" x14ac:dyDescent="0.3">
      <c r="A2641">
        <v>12640</v>
      </c>
      <c r="B2641">
        <v>383</v>
      </c>
      <c r="C2641" s="2">
        <v>45314</v>
      </c>
      <c r="D2641" s="2" t="str">
        <f>TEXT(Table3[[#This Row],[usage_date]],"mmmm")</f>
        <v>January</v>
      </c>
      <c r="E2641" s="9">
        <f>YEAR(Table3[[#This Row],[usage_date]])</f>
        <v>2024</v>
      </c>
      <c r="F2641" s="14">
        <v>3.25</v>
      </c>
      <c r="G2641">
        <v>106</v>
      </c>
      <c r="H2641" t="s">
        <v>12</v>
      </c>
      <c r="I2641" t="str">
        <f t="shared" si="41"/>
        <v>Normal Usage</v>
      </c>
    </row>
    <row r="2642" spans="1:9" x14ac:dyDescent="0.3">
      <c r="A2642">
        <v>12641</v>
      </c>
      <c r="B2642">
        <v>88</v>
      </c>
      <c r="C2642" s="2">
        <v>45073</v>
      </c>
      <c r="D2642" s="2" t="str">
        <f>TEXT(Table3[[#This Row],[usage_date]],"mmmm")</f>
        <v>May</v>
      </c>
      <c r="E2642" s="9">
        <f>YEAR(Table3[[#This Row],[usage_date]])</f>
        <v>2023</v>
      </c>
      <c r="F2642" s="14">
        <v>1.1599999999999999</v>
      </c>
      <c r="G2642">
        <v>264</v>
      </c>
      <c r="H2642" t="s">
        <v>13</v>
      </c>
      <c r="I2642" t="str">
        <f t="shared" si="41"/>
        <v>Normal Usage</v>
      </c>
    </row>
    <row r="2643" spans="1:9" x14ac:dyDescent="0.3">
      <c r="A2643">
        <v>12642</v>
      </c>
      <c r="B2643">
        <v>194</v>
      </c>
      <c r="C2643" s="2">
        <v>45410</v>
      </c>
      <c r="D2643" s="2" t="str">
        <f>TEXT(Table3[[#This Row],[usage_date]],"mmmm")</f>
        <v>April</v>
      </c>
      <c r="E2643" s="9">
        <f>YEAR(Table3[[#This Row],[usage_date]])</f>
        <v>2024</v>
      </c>
      <c r="F2643" s="14">
        <v>0.51</v>
      </c>
      <c r="G2643">
        <v>225</v>
      </c>
      <c r="H2643" t="s">
        <v>12</v>
      </c>
      <c r="I2643" t="str">
        <f t="shared" si="41"/>
        <v>Normal Usage</v>
      </c>
    </row>
    <row r="2644" spans="1:9" x14ac:dyDescent="0.3">
      <c r="A2644">
        <v>12643</v>
      </c>
      <c r="B2644">
        <v>104</v>
      </c>
      <c r="C2644" s="2">
        <v>45116</v>
      </c>
      <c r="D2644" s="2" t="str">
        <f>TEXT(Table3[[#This Row],[usage_date]],"mmmm")</f>
        <v>July</v>
      </c>
      <c r="E2644" s="9">
        <f>YEAR(Table3[[#This Row],[usage_date]])</f>
        <v>2023</v>
      </c>
      <c r="F2644" s="14">
        <v>1.46</v>
      </c>
      <c r="G2644">
        <v>178</v>
      </c>
      <c r="H2644" t="s">
        <v>12</v>
      </c>
      <c r="I2644" t="str">
        <f t="shared" si="41"/>
        <v>Normal Usage</v>
      </c>
    </row>
    <row r="2645" spans="1:9" x14ac:dyDescent="0.3">
      <c r="A2645">
        <v>12644</v>
      </c>
      <c r="B2645">
        <v>271</v>
      </c>
      <c r="C2645" s="2">
        <v>44656</v>
      </c>
      <c r="D2645" s="2" t="str">
        <f>TEXT(Table3[[#This Row],[usage_date]],"mmmm")</f>
        <v>April</v>
      </c>
      <c r="E2645" s="9">
        <f>YEAR(Table3[[#This Row],[usage_date]])</f>
        <v>2022</v>
      </c>
      <c r="F2645" s="14">
        <v>0.45</v>
      </c>
      <c r="G2645">
        <v>221</v>
      </c>
      <c r="H2645" t="s">
        <v>13</v>
      </c>
      <c r="I2645" t="str">
        <f t="shared" si="41"/>
        <v>Normal Usage</v>
      </c>
    </row>
    <row r="2646" spans="1:9" x14ac:dyDescent="0.3">
      <c r="A2646">
        <v>12645</v>
      </c>
      <c r="B2646">
        <v>96</v>
      </c>
      <c r="C2646" s="2">
        <v>44787</v>
      </c>
      <c r="D2646" s="2" t="str">
        <f>TEXT(Table3[[#This Row],[usage_date]],"mmmm")</f>
        <v>August</v>
      </c>
      <c r="E2646" s="9">
        <f>YEAR(Table3[[#This Row],[usage_date]])</f>
        <v>2022</v>
      </c>
      <c r="F2646" s="14">
        <v>10.050000000000001</v>
      </c>
      <c r="G2646">
        <v>124</v>
      </c>
      <c r="H2646" t="s">
        <v>13</v>
      </c>
      <c r="I2646" t="str">
        <f t="shared" si="41"/>
        <v>High Usage</v>
      </c>
    </row>
    <row r="2647" spans="1:9" x14ac:dyDescent="0.3">
      <c r="A2647">
        <v>12646</v>
      </c>
      <c r="B2647">
        <v>423</v>
      </c>
      <c r="C2647" s="2">
        <v>45079</v>
      </c>
      <c r="D2647" s="2" t="str">
        <f>TEXT(Table3[[#This Row],[usage_date]],"mmmm")</f>
        <v>June</v>
      </c>
      <c r="E2647" s="9">
        <f>YEAR(Table3[[#This Row],[usage_date]])</f>
        <v>2023</v>
      </c>
      <c r="F2647" s="14">
        <v>0.25</v>
      </c>
      <c r="G2647">
        <v>275</v>
      </c>
      <c r="H2647" t="s">
        <v>12</v>
      </c>
      <c r="I2647" t="str">
        <f t="shared" si="41"/>
        <v>Normal Usage</v>
      </c>
    </row>
    <row r="2648" spans="1:9" x14ac:dyDescent="0.3">
      <c r="A2648">
        <v>12647</v>
      </c>
      <c r="B2648">
        <v>379</v>
      </c>
      <c r="C2648" s="2">
        <v>44775</v>
      </c>
      <c r="D2648" s="2" t="str">
        <f>TEXT(Table3[[#This Row],[usage_date]],"mmmm")</f>
        <v>August</v>
      </c>
      <c r="E2648" s="9">
        <f>YEAR(Table3[[#This Row],[usage_date]])</f>
        <v>2022</v>
      </c>
      <c r="F2648" s="14">
        <v>2.2200000000000002</v>
      </c>
      <c r="G2648">
        <v>166</v>
      </c>
      <c r="H2648" t="s">
        <v>12</v>
      </c>
      <c r="I2648" t="str">
        <f t="shared" si="41"/>
        <v>Normal Usage</v>
      </c>
    </row>
    <row r="2649" spans="1:9" x14ac:dyDescent="0.3">
      <c r="A2649">
        <v>12648</v>
      </c>
      <c r="B2649">
        <v>198</v>
      </c>
      <c r="C2649" s="2">
        <v>45279</v>
      </c>
      <c r="D2649" s="2" t="str">
        <f>TEXT(Table3[[#This Row],[usage_date]],"mmmm")</f>
        <v>December</v>
      </c>
      <c r="E2649" s="9">
        <f>YEAR(Table3[[#This Row],[usage_date]])</f>
        <v>2023</v>
      </c>
      <c r="F2649" s="14">
        <v>2.46</v>
      </c>
      <c r="G2649">
        <v>150</v>
      </c>
      <c r="H2649" t="s">
        <v>12</v>
      </c>
      <c r="I2649" t="str">
        <f t="shared" si="41"/>
        <v>Normal Usage</v>
      </c>
    </row>
    <row r="2650" spans="1:9" x14ac:dyDescent="0.3">
      <c r="A2650">
        <v>12649</v>
      </c>
      <c r="B2650">
        <v>1</v>
      </c>
      <c r="C2650" s="2">
        <v>44628</v>
      </c>
      <c r="D2650" s="2" t="str">
        <f>TEXT(Table3[[#This Row],[usage_date]],"mmmm")</f>
        <v>March</v>
      </c>
      <c r="E2650" s="9">
        <f>YEAR(Table3[[#This Row],[usage_date]])</f>
        <v>2022</v>
      </c>
      <c r="F2650" s="14">
        <v>1.93</v>
      </c>
      <c r="G2650">
        <v>40</v>
      </c>
      <c r="H2650" t="s">
        <v>12</v>
      </c>
      <c r="I2650" t="str">
        <f t="shared" si="41"/>
        <v>Normal Usage</v>
      </c>
    </row>
    <row r="2651" spans="1:9" x14ac:dyDescent="0.3">
      <c r="A2651">
        <v>12650</v>
      </c>
      <c r="B2651">
        <v>495</v>
      </c>
      <c r="C2651" s="2">
        <v>44957</v>
      </c>
      <c r="D2651" s="2" t="str">
        <f>TEXT(Table3[[#This Row],[usage_date]],"mmmm")</f>
        <v>January</v>
      </c>
      <c r="E2651" s="9">
        <f>YEAR(Table3[[#This Row],[usage_date]])</f>
        <v>2023</v>
      </c>
      <c r="F2651" s="14">
        <v>2.71</v>
      </c>
      <c r="G2651">
        <v>299</v>
      </c>
      <c r="H2651" t="s">
        <v>12</v>
      </c>
      <c r="I2651" t="str">
        <f t="shared" si="41"/>
        <v>Normal Usage</v>
      </c>
    </row>
    <row r="2652" spans="1:9" x14ac:dyDescent="0.3">
      <c r="A2652">
        <v>12651</v>
      </c>
      <c r="B2652">
        <v>407</v>
      </c>
      <c r="C2652" s="2">
        <v>45173</v>
      </c>
      <c r="D2652" s="2" t="str">
        <f>TEXT(Table3[[#This Row],[usage_date]],"mmmm")</f>
        <v>September</v>
      </c>
      <c r="E2652" s="9">
        <f>YEAR(Table3[[#This Row],[usage_date]])</f>
        <v>2023</v>
      </c>
      <c r="F2652" s="14">
        <v>0.31</v>
      </c>
      <c r="G2652">
        <v>34</v>
      </c>
      <c r="H2652" t="s">
        <v>12</v>
      </c>
      <c r="I2652" t="str">
        <f t="shared" si="41"/>
        <v>Normal Usage</v>
      </c>
    </row>
    <row r="2653" spans="1:9" x14ac:dyDescent="0.3">
      <c r="A2653">
        <v>12652</v>
      </c>
      <c r="B2653">
        <v>378</v>
      </c>
      <c r="C2653" s="2">
        <v>44573</v>
      </c>
      <c r="D2653" s="2" t="str">
        <f>TEXT(Table3[[#This Row],[usage_date]],"mmmm")</f>
        <v>January</v>
      </c>
      <c r="E2653" s="9">
        <f>YEAR(Table3[[#This Row],[usage_date]])</f>
        <v>2022</v>
      </c>
      <c r="F2653" s="14">
        <v>2.02</v>
      </c>
      <c r="G2653">
        <v>230</v>
      </c>
      <c r="H2653" t="s">
        <v>12</v>
      </c>
      <c r="I2653" t="str">
        <f t="shared" si="41"/>
        <v>Normal Usage</v>
      </c>
    </row>
    <row r="2654" spans="1:9" x14ac:dyDescent="0.3">
      <c r="A2654">
        <v>12653</v>
      </c>
      <c r="B2654">
        <v>167</v>
      </c>
      <c r="C2654" s="2">
        <v>44798</v>
      </c>
      <c r="D2654" s="2" t="str">
        <f>TEXT(Table3[[#This Row],[usage_date]],"mmmm")</f>
        <v>August</v>
      </c>
      <c r="E2654" s="9">
        <f>YEAR(Table3[[#This Row],[usage_date]])</f>
        <v>2022</v>
      </c>
      <c r="F2654" s="14">
        <v>0.85</v>
      </c>
      <c r="G2654">
        <v>214</v>
      </c>
      <c r="H2654" t="s">
        <v>12</v>
      </c>
      <c r="I2654" t="str">
        <f t="shared" si="41"/>
        <v>Normal Usage</v>
      </c>
    </row>
    <row r="2655" spans="1:9" x14ac:dyDescent="0.3">
      <c r="A2655">
        <v>12654</v>
      </c>
      <c r="B2655">
        <v>126</v>
      </c>
      <c r="C2655" s="2">
        <v>45395</v>
      </c>
      <c r="D2655" s="2" t="str">
        <f>TEXT(Table3[[#This Row],[usage_date]],"mmmm")</f>
        <v>April</v>
      </c>
      <c r="E2655" s="9">
        <f>YEAR(Table3[[#This Row],[usage_date]])</f>
        <v>2024</v>
      </c>
      <c r="F2655" s="14">
        <v>7.04</v>
      </c>
      <c r="G2655">
        <v>100</v>
      </c>
      <c r="H2655" t="s">
        <v>13</v>
      </c>
      <c r="I2655" t="str">
        <f t="shared" si="41"/>
        <v>High Usage</v>
      </c>
    </row>
    <row r="2656" spans="1:9" x14ac:dyDescent="0.3">
      <c r="A2656">
        <v>12655</v>
      </c>
      <c r="B2656">
        <v>313</v>
      </c>
      <c r="C2656" s="2">
        <v>45331</v>
      </c>
      <c r="D2656" s="2" t="str">
        <f>TEXT(Table3[[#This Row],[usage_date]],"mmmm")</f>
        <v>February</v>
      </c>
      <c r="E2656" s="9">
        <f>YEAR(Table3[[#This Row],[usage_date]])</f>
        <v>2024</v>
      </c>
      <c r="F2656" s="14">
        <v>3.59</v>
      </c>
      <c r="G2656">
        <v>56</v>
      </c>
      <c r="H2656" t="s">
        <v>13</v>
      </c>
      <c r="I2656" t="str">
        <f t="shared" si="41"/>
        <v>Normal Usage</v>
      </c>
    </row>
    <row r="2657" spans="1:9" x14ac:dyDescent="0.3">
      <c r="A2657">
        <v>12656</v>
      </c>
      <c r="B2657">
        <v>81</v>
      </c>
      <c r="C2657" s="2">
        <v>44960</v>
      </c>
      <c r="D2657" s="2" t="str">
        <f>TEXT(Table3[[#This Row],[usage_date]],"mmmm")</f>
        <v>February</v>
      </c>
      <c r="E2657" s="9">
        <f>YEAR(Table3[[#This Row],[usage_date]])</f>
        <v>2023</v>
      </c>
      <c r="F2657" s="14">
        <v>8.99</v>
      </c>
      <c r="G2657">
        <v>214</v>
      </c>
      <c r="H2657" t="s">
        <v>12</v>
      </c>
      <c r="I2657" t="str">
        <f t="shared" si="41"/>
        <v>High Usage</v>
      </c>
    </row>
    <row r="2658" spans="1:9" x14ac:dyDescent="0.3">
      <c r="A2658">
        <v>12657</v>
      </c>
      <c r="B2658">
        <v>418</v>
      </c>
      <c r="C2658" s="2">
        <v>44968</v>
      </c>
      <c r="D2658" s="2" t="str">
        <f>TEXT(Table3[[#This Row],[usage_date]],"mmmm")</f>
        <v>February</v>
      </c>
      <c r="E2658" s="9">
        <f>YEAR(Table3[[#This Row],[usage_date]])</f>
        <v>2023</v>
      </c>
      <c r="F2658" s="14">
        <v>0.1</v>
      </c>
      <c r="G2658">
        <v>155</v>
      </c>
      <c r="H2658" t="s">
        <v>13</v>
      </c>
      <c r="I2658" t="str">
        <f t="shared" si="41"/>
        <v>Normal Usage</v>
      </c>
    </row>
    <row r="2659" spans="1:9" x14ac:dyDescent="0.3">
      <c r="A2659">
        <v>12658</v>
      </c>
      <c r="B2659">
        <v>251</v>
      </c>
      <c r="C2659" s="2">
        <v>45410</v>
      </c>
      <c r="D2659" s="2" t="str">
        <f>TEXT(Table3[[#This Row],[usage_date]],"mmmm")</f>
        <v>April</v>
      </c>
      <c r="E2659" s="9">
        <f>YEAR(Table3[[#This Row],[usage_date]])</f>
        <v>2024</v>
      </c>
      <c r="F2659" s="14">
        <v>0.84</v>
      </c>
      <c r="G2659">
        <v>63</v>
      </c>
      <c r="H2659" t="s">
        <v>12</v>
      </c>
      <c r="I2659" t="str">
        <f t="shared" si="41"/>
        <v>Normal Usage</v>
      </c>
    </row>
    <row r="2660" spans="1:9" x14ac:dyDescent="0.3">
      <c r="A2660">
        <v>12659</v>
      </c>
      <c r="B2660">
        <v>169</v>
      </c>
      <c r="C2660" s="2">
        <v>45041</v>
      </c>
      <c r="D2660" s="2" t="str">
        <f>TEXT(Table3[[#This Row],[usage_date]],"mmmm")</f>
        <v>April</v>
      </c>
      <c r="E2660" s="9">
        <f>YEAR(Table3[[#This Row],[usage_date]])</f>
        <v>2023</v>
      </c>
      <c r="F2660" s="14">
        <v>0.54</v>
      </c>
      <c r="G2660">
        <v>61</v>
      </c>
      <c r="H2660" t="s">
        <v>12</v>
      </c>
      <c r="I2660" t="str">
        <f t="shared" si="41"/>
        <v>Normal Usage</v>
      </c>
    </row>
    <row r="2661" spans="1:9" x14ac:dyDescent="0.3">
      <c r="A2661">
        <v>12660</v>
      </c>
      <c r="B2661">
        <v>477</v>
      </c>
      <c r="C2661" s="2">
        <v>45208</v>
      </c>
      <c r="D2661" s="2" t="str">
        <f>TEXT(Table3[[#This Row],[usage_date]],"mmmm")</f>
        <v>October</v>
      </c>
      <c r="E2661" s="9">
        <f>YEAR(Table3[[#This Row],[usage_date]])</f>
        <v>2023</v>
      </c>
      <c r="F2661" s="14">
        <v>0.03</v>
      </c>
      <c r="G2661">
        <v>61</v>
      </c>
      <c r="H2661" t="s">
        <v>12</v>
      </c>
      <c r="I2661" t="str">
        <f t="shared" si="41"/>
        <v>Normal Usage</v>
      </c>
    </row>
    <row r="2662" spans="1:9" x14ac:dyDescent="0.3">
      <c r="A2662">
        <v>12661</v>
      </c>
      <c r="B2662">
        <v>73</v>
      </c>
      <c r="C2662" s="2">
        <v>44783</v>
      </c>
      <c r="D2662" s="2" t="str">
        <f>TEXT(Table3[[#This Row],[usage_date]],"mmmm")</f>
        <v>August</v>
      </c>
      <c r="E2662" s="9">
        <f>YEAR(Table3[[#This Row],[usage_date]])</f>
        <v>2022</v>
      </c>
      <c r="F2662" s="14">
        <v>0.69</v>
      </c>
      <c r="G2662">
        <v>93</v>
      </c>
      <c r="H2662" t="s">
        <v>12</v>
      </c>
      <c r="I2662" t="str">
        <f t="shared" si="41"/>
        <v>Normal Usage</v>
      </c>
    </row>
    <row r="2663" spans="1:9" x14ac:dyDescent="0.3">
      <c r="A2663">
        <v>12662</v>
      </c>
      <c r="B2663">
        <v>141</v>
      </c>
      <c r="C2663" s="2">
        <v>44717</v>
      </c>
      <c r="D2663" s="2" t="str">
        <f>TEXT(Table3[[#This Row],[usage_date]],"mmmm")</f>
        <v>June</v>
      </c>
      <c r="E2663" s="9">
        <f>YEAR(Table3[[#This Row],[usage_date]])</f>
        <v>2022</v>
      </c>
      <c r="F2663" s="14">
        <v>2.84</v>
      </c>
      <c r="G2663">
        <v>25</v>
      </c>
      <c r="H2663" t="s">
        <v>12</v>
      </c>
      <c r="I2663" t="str">
        <f t="shared" si="41"/>
        <v>Normal Usage</v>
      </c>
    </row>
    <row r="2664" spans="1:9" x14ac:dyDescent="0.3">
      <c r="A2664">
        <v>12663</v>
      </c>
      <c r="B2664">
        <v>70</v>
      </c>
      <c r="C2664" s="2">
        <v>45215</v>
      </c>
      <c r="D2664" s="2" t="str">
        <f>TEXT(Table3[[#This Row],[usage_date]],"mmmm")</f>
        <v>October</v>
      </c>
      <c r="E2664" s="9">
        <f>YEAR(Table3[[#This Row],[usage_date]])</f>
        <v>2023</v>
      </c>
      <c r="F2664" s="14">
        <v>0.66</v>
      </c>
      <c r="G2664">
        <v>120</v>
      </c>
      <c r="H2664" t="s">
        <v>13</v>
      </c>
      <c r="I2664" t="str">
        <f t="shared" si="41"/>
        <v>Normal Usage</v>
      </c>
    </row>
    <row r="2665" spans="1:9" x14ac:dyDescent="0.3">
      <c r="A2665">
        <v>12664</v>
      </c>
      <c r="B2665">
        <v>262</v>
      </c>
      <c r="C2665" s="2">
        <v>44989</v>
      </c>
      <c r="D2665" s="2" t="str">
        <f>TEXT(Table3[[#This Row],[usage_date]],"mmmm")</f>
        <v>March</v>
      </c>
      <c r="E2665" s="9">
        <f>YEAR(Table3[[#This Row],[usage_date]])</f>
        <v>2023</v>
      </c>
      <c r="F2665" s="14">
        <v>1.78</v>
      </c>
      <c r="G2665">
        <v>49</v>
      </c>
      <c r="H2665" t="s">
        <v>12</v>
      </c>
      <c r="I2665" t="str">
        <f t="shared" si="41"/>
        <v>Normal Usage</v>
      </c>
    </row>
    <row r="2666" spans="1:9" x14ac:dyDescent="0.3">
      <c r="A2666">
        <v>12665</v>
      </c>
      <c r="B2666">
        <v>340</v>
      </c>
      <c r="C2666" s="2">
        <v>44719</v>
      </c>
      <c r="D2666" s="2" t="str">
        <f>TEXT(Table3[[#This Row],[usage_date]],"mmmm")</f>
        <v>June</v>
      </c>
      <c r="E2666" s="9">
        <f>YEAR(Table3[[#This Row],[usage_date]])</f>
        <v>2022</v>
      </c>
      <c r="F2666" s="14">
        <v>5.47</v>
      </c>
      <c r="G2666">
        <v>251</v>
      </c>
      <c r="H2666" t="s">
        <v>13</v>
      </c>
      <c r="I2666" t="str">
        <f t="shared" si="41"/>
        <v>Normal Usage</v>
      </c>
    </row>
    <row r="2667" spans="1:9" x14ac:dyDescent="0.3">
      <c r="A2667">
        <v>12666</v>
      </c>
      <c r="B2667">
        <v>308</v>
      </c>
      <c r="C2667" s="2">
        <v>44977</v>
      </c>
      <c r="D2667" s="2" t="str">
        <f>TEXT(Table3[[#This Row],[usage_date]],"mmmm")</f>
        <v>February</v>
      </c>
      <c r="E2667" s="9">
        <f>YEAR(Table3[[#This Row],[usage_date]])</f>
        <v>2023</v>
      </c>
      <c r="F2667" s="14">
        <v>2.96</v>
      </c>
      <c r="G2667">
        <v>35</v>
      </c>
      <c r="H2667" t="s">
        <v>12</v>
      </c>
      <c r="I2667" t="str">
        <f t="shared" si="41"/>
        <v>Normal Usage</v>
      </c>
    </row>
    <row r="2668" spans="1:9" x14ac:dyDescent="0.3">
      <c r="A2668">
        <v>12667</v>
      </c>
      <c r="B2668">
        <v>245</v>
      </c>
      <c r="C2668" s="2">
        <v>44887</v>
      </c>
      <c r="D2668" s="2" t="str">
        <f>TEXT(Table3[[#This Row],[usage_date]],"mmmm")</f>
        <v>November</v>
      </c>
      <c r="E2668" s="9">
        <f>YEAR(Table3[[#This Row],[usage_date]])</f>
        <v>2022</v>
      </c>
      <c r="F2668" s="14">
        <v>1.25</v>
      </c>
      <c r="G2668">
        <v>288</v>
      </c>
      <c r="H2668" t="s">
        <v>12</v>
      </c>
      <c r="I2668" t="str">
        <f t="shared" si="41"/>
        <v>Normal Usage</v>
      </c>
    </row>
    <row r="2669" spans="1:9" x14ac:dyDescent="0.3">
      <c r="A2669">
        <v>12668</v>
      </c>
      <c r="B2669">
        <v>3</v>
      </c>
      <c r="C2669" s="2">
        <v>44932</v>
      </c>
      <c r="D2669" s="2" t="str">
        <f>TEXT(Table3[[#This Row],[usage_date]],"mmmm")</f>
        <v>January</v>
      </c>
      <c r="E2669" s="9">
        <f>YEAR(Table3[[#This Row],[usage_date]])</f>
        <v>2023</v>
      </c>
      <c r="F2669" s="14">
        <v>1.1599999999999999</v>
      </c>
      <c r="G2669">
        <v>99</v>
      </c>
      <c r="H2669" t="s">
        <v>12</v>
      </c>
      <c r="I2669" t="str">
        <f t="shared" si="41"/>
        <v>Normal Usage</v>
      </c>
    </row>
    <row r="2670" spans="1:9" x14ac:dyDescent="0.3">
      <c r="A2670">
        <v>12669</v>
      </c>
      <c r="B2670">
        <v>337</v>
      </c>
      <c r="C2670" s="2">
        <v>44905</v>
      </c>
      <c r="D2670" s="2" t="str">
        <f>TEXT(Table3[[#This Row],[usage_date]],"mmmm")</f>
        <v>December</v>
      </c>
      <c r="E2670" s="9">
        <f>YEAR(Table3[[#This Row],[usage_date]])</f>
        <v>2022</v>
      </c>
      <c r="F2670" s="14">
        <v>1.52</v>
      </c>
      <c r="G2670">
        <v>135</v>
      </c>
      <c r="H2670" t="s">
        <v>12</v>
      </c>
      <c r="I2670" t="str">
        <f t="shared" si="41"/>
        <v>Normal Usage</v>
      </c>
    </row>
    <row r="2671" spans="1:9" x14ac:dyDescent="0.3">
      <c r="A2671">
        <v>12670</v>
      </c>
      <c r="B2671">
        <v>63</v>
      </c>
      <c r="C2671" s="2">
        <v>44823</v>
      </c>
      <c r="D2671" s="2" t="str">
        <f>TEXT(Table3[[#This Row],[usage_date]],"mmmm")</f>
        <v>September</v>
      </c>
      <c r="E2671" s="9">
        <f>YEAR(Table3[[#This Row],[usage_date]])</f>
        <v>2022</v>
      </c>
      <c r="F2671" s="14">
        <v>0.49</v>
      </c>
      <c r="G2671">
        <v>193</v>
      </c>
      <c r="H2671" t="s">
        <v>12</v>
      </c>
      <c r="I2671" t="str">
        <f t="shared" si="41"/>
        <v>Normal Usage</v>
      </c>
    </row>
    <row r="2672" spans="1:9" x14ac:dyDescent="0.3">
      <c r="A2672">
        <v>12671</v>
      </c>
      <c r="B2672">
        <v>49</v>
      </c>
      <c r="C2672" s="2">
        <v>44844</v>
      </c>
      <c r="D2672" s="2" t="str">
        <f>TEXT(Table3[[#This Row],[usage_date]],"mmmm")</f>
        <v>October</v>
      </c>
      <c r="E2672" s="9">
        <f>YEAR(Table3[[#This Row],[usage_date]])</f>
        <v>2022</v>
      </c>
      <c r="F2672" s="14">
        <v>2.5099999999999998</v>
      </c>
      <c r="G2672">
        <v>220</v>
      </c>
      <c r="H2672" t="s">
        <v>12</v>
      </c>
      <c r="I2672" t="str">
        <f t="shared" si="41"/>
        <v>Normal Usage</v>
      </c>
    </row>
    <row r="2673" spans="1:9" x14ac:dyDescent="0.3">
      <c r="A2673">
        <v>12672</v>
      </c>
      <c r="B2673">
        <v>76</v>
      </c>
      <c r="C2673" s="2">
        <v>45411</v>
      </c>
      <c r="D2673" s="2" t="str">
        <f>TEXT(Table3[[#This Row],[usage_date]],"mmmm")</f>
        <v>April</v>
      </c>
      <c r="E2673" s="9">
        <f>YEAR(Table3[[#This Row],[usage_date]])</f>
        <v>2024</v>
      </c>
      <c r="F2673" s="14">
        <v>1.1299999999999999</v>
      </c>
      <c r="G2673">
        <v>278</v>
      </c>
      <c r="H2673" t="s">
        <v>12</v>
      </c>
      <c r="I2673" t="str">
        <f t="shared" si="41"/>
        <v>Normal Usage</v>
      </c>
    </row>
    <row r="2674" spans="1:9" x14ac:dyDescent="0.3">
      <c r="A2674">
        <v>12673</v>
      </c>
      <c r="B2674">
        <v>368</v>
      </c>
      <c r="C2674" s="2">
        <v>45417</v>
      </c>
      <c r="D2674" s="2" t="str">
        <f>TEXT(Table3[[#This Row],[usage_date]],"mmmm")</f>
        <v>May</v>
      </c>
      <c r="E2674" s="9">
        <f>YEAR(Table3[[#This Row],[usage_date]])</f>
        <v>2024</v>
      </c>
      <c r="F2674" s="14">
        <v>4.78</v>
      </c>
      <c r="G2674">
        <v>54</v>
      </c>
      <c r="H2674" t="s">
        <v>12</v>
      </c>
      <c r="I2674" t="str">
        <f t="shared" si="41"/>
        <v>Normal Usage</v>
      </c>
    </row>
    <row r="2675" spans="1:9" x14ac:dyDescent="0.3">
      <c r="A2675">
        <v>12674</v>
      </c>
      <c r="B2675">
        <v>175</v>
      </c>
      <c r="C2675" s="2">
        <v>44790</v>
      </c>
      <c r="D2675" s="2" t="str">
        <f>TEXT(Table3[[#This Row],[usage_date]],"mmmm")</f>
        <v>August</v>
      </c>
      <c r="E2675" s="9">
        <f>YEAR(Table3[[#This Row],[usage_date]])</f>
        <v>2022</v>
      </c>
      <c r="F2675" s="14">
        <v>3.53</v>
      </c>
      <c r="G2675">
        <v>109</v>
      </c>
      <c r="H2675" t="s">
        <v>12</v>
      </c>
      <c r="I2675" t="str">
        <f t="shared" si="41"/>
        <v>Normal Usage</v>
      </c>
    </row>
    <row r="2676" spans="1:9" x14ac:dyDescent="0.3">
      <c r="A2676">
        <v>12675</v>
      </c>
      <c r="B2676">
        <v>109</v>
      </c>
      <c r="C2676" s="2">
        <v>45449</v>
      </c>
      <c r="D2676" s="2" t="str">
        <f>TEXT(Table3[[#This Row],[usage_date]],"mmmm")</f>
        <v>June</v>
      </c>
      <c r="E2676" s="9">
        <f>YEAR(Table3[[#This Row],[usage_date]])</f>
        <v>2024</v>
      </c>
      <c r="F2676" s="14">
        <v>2.36</v>
      </c>
      <c r="G2676">
        <v>148</v>
      </c>
      <c r="H2676" t="s">
        <v>12</v>
      </c>
      <c r="I2676" t="str">
        <f t="shared" si="41"/>
        <v>Normal Usage</v>
      </c>
    </row>
    <row r="2677" spans="1:9" x14ac:dyDescent="0.3">
      <c r="A2677">
        <v>12676</v>
      </c>
      <c r="B2677">
        <v>183</v>
      </c>
      <c r="C2677" s="2">
        <v>44841</v>
      </c>
      <c r="D2677" s="2" t="str">
        <f>TEXT(Table3[[#This Row],[usage_date]],"mmmm")</f>
        <v>October</v>
      </c>
      <c r="E2677" s="9">
        <f>YEAR(Table3[[#This Row],[usage_date]])</f>
        <v>2022</v>
      </c>
      <c r="F2677" s="14">
        <v>1.1299999999999999</v>
      </c>
      <c r="G2677">
        <v>264</v>
      </c>
      <c r="H2677" t="s">
        <v>12</v>
      </c>
      <c r="I2677" t="str">
        <f t="shared" si="41"/>
        <v>Normal Usage</v>
      </c>
    </row>
    <row r="2678" spans="1:9" x14ac:dyDescent="0.3">
      <c r="A2678">
        <v>12677</v>
      </c>
      <c r="B2678">
        <v>192</v>
      </c>
      <c r="C2678" s="2">
        <v>45431</v>
      </c>
      <c r="D2678" s="2" t="str">
        <f>TEXT(Table3[[#This Row],[usage_date]],"mmmm")</f>
        <v>May</v>
      </c>
      <c r="E2678" s="9">
        <f>YEAR(Table3[[#This Row],[usage_date]])</f>
        <v>2024</v>
      </c>
      <c r="F2678" s="14">
        <v>0.59</v>
      </c>
      <c r="G2678">
        <v>161</v>
      </c>
      <c r="H2678" t="s">
        <v>13</v>
      </c>
      <c r="I2678" t="str">
        <f t="shared" si="41"/>
        <v>Normal Usage</v>
      </c>
    </row>
    <row r="2679" spans="1:9" x14ac:dyDescent="0.3">
      <c r="A2679">
        <v>12678</v>
      </c>
      <c r="B2679">
        <v>65</v>
      </c>
      <c r="C2679" s="2">
        <v>44851</v>
      </c>
      <c r="D2679" s="2" t="str">
        <f>TEXT(Table3[[#This Row],[usage_date]],"mmmm")</f>
        <v>October</v>
      </c>
      <c r="E2679" s="9">
        <f>YEAR(Table3[[#This Row],[usage_date]])</f>
        <v>2022</v>
      </c>
      <c r="F2679" s="14">
        <v>3.74</v>
      </c>
      <c r="G2679">
        <v>186</v>
      </c>
      <c r="H2679" t="s">
        <v>13</v>
      </c>
      <c r="I2679" t="str">
        <f t="shared" si="41"/>
        <v>Normal Usage</v>
      </c>
    </row>
    <row r="2680" spans="1:9" x14ac:dyDescent="0.3">
      <c r="A2680">
        <v>12679</v>
      </c>
      <c r="B2680">
        <v>337</v>
      </c>
      <c r="C2680" s="2">
        <v>45241</v>
      </c>
      <c r="D2680" s="2" t="str">
        <f>TEXT(Table3[[#This Row],[usage_date]],"mmmm")</f>
        <v>November</v>
      </c>
      <c r="E2680" s="9">
        <f>YEAR(Table3[[#This Row],[usage_date]])</f>
        <v>2023</v>
      </c>
      <c r="F2680" s="14">
        <v>1.67</v>
      </c>
      <c r="G2680">
        <v>128</v>
      </c>
      <c r="H2680" t="s">
        <v>12</v>
      </c>
      <c r="I2680" t="str">
        <f t="shared" si="41"/>
        <v>Normal Usage</v>
      </c>
    </row>
    <row r="2681" spans="1:9" x14ac:dyDescent="0.3">
      <c r="A2681">
        <v>12680</v>
      </c>
      <c r="B2681">
        <v>451</v>
      </c>
      <c r="C2681" s="2">
        <v>44608</v>
      </c>
      <c r="D2681" s="2" t="str">
        <f>TEXT(Table3[[#This Row],[usage_date]],"mmmm")</f>
        <v>February</v>
      </c>
      <c r="E2681" s="9">
        <f>YEAR(Table3[[#This Row],[usage_date]])</f>
        <v>2022</v>
      </c>
      <c r="F2681" s="14">
        <v>0.64</v>
      </c>
      <c r="G2681">
        <v>107</v>
      </c>
      <c r="H2681" t="s">
        <v>12</v>
      </c>
      <c r="I2681" t="str">
        <f t="shared" si="41"/>
        <v>Normal Usage</v>
      </c>
    </row>
    <row r="2682" spans="1:9" x14ac:dyDescent="0.3">
      <c r="A2682">
        <v>12681</v>
      </c>
      <c r="B2682">
        <v>474</v>
      </c>
      <c r="C2682" s="2">
        <v>45276</v>
      </c>
      <c r="D2682" s="2" t="str">
        <f>TEXT(Table3[[#This Row],[usage_date]],"mmmm")</f>
        <v>December</v>
      </c>
      <c r="E2682" s="9">
        <f>YEAR(Table3[[#This Row],[usage_date]])</f>
        <v>2023</v>
      </c>
      <c r="F2682" s="14">
        <v>0.54</v>
      </c>
      <c r="G2682">
        <v>67</v>
      </c>
      <c r="H2682" t="s">
        <v>12</v>
      </c>
      <c r="I2682" t="str">
        <f t="shared" si="41"/>
        <v>Normal Usage</v>
      </c>
    </row>
    <row r="2683" spans="1:9" x14ac:dyDescent="0.3">
      <c r="A2683">
        <v>12682</v>
      </c>
      <c r="B2683">
        <v>271</v>
      </c>
      <c r="C2683" s="2">
        <v>44775</v>
      </c>
      <c r="D2683" s="2" t="str">
        <f>TEXT(Table3[[#This Row],[usage_date]],"mmmm")</f>
        <v>August</v>
      </c>
      <c r="E2683" s="9">
        <f>YEAR(Table3[[#This Row],[usage_date]])</f>
        <v>2022</v>
      </c>
      <c r="F2683" s="14">
        <v>0.45</v>
      </c>
      <c r="G2683">
        <v>65</v>
      </c>
      <c r="H2683" t="s">
        <v>13</v>
      </c>
      <c r="I2683" t="str">
        <f t="shared" si="41"/>
        <v>Normal Usage</v>
      </c>
    </row>
    <row r="2684" spans="1:9" x14ac:dyDescent="0.3">
      <c r="A2684">
        <v>12683</v>
      </c>
      <c r="B2684">
        <v>100</v>
      </c>
      <c r="C2684" s="2">
        <v>45319</v>
      </c>
      <c r="D2684" s="2" t="str">
        <f>TEXT(Table3[[#This Row],[usage_date]],"mmmm")</f>
        <v>January</v>
      </c>
      <c r="E2684" s="9">
        <f>YEAR(Table3[[#This Row],[usage_date]])</f>
        <v>2024</v>
      </c>
      <c r="F2684" s="14">
        <v>3.75</v>
      </c>
      <c r="G2684">
        <v>143</v>
      </c>
      <c r="H2684" t="s">
        <v>12</v>
      </c>
      <c r="I2684" t="str">
        <f t="shared" si="41"/>
        <v>Normal Usage</v>
      </c>
    </row>
    <row r="2685" spans="1:9" x14ac:dyDescent="0.3">
      <c r="A2685">
        <v>12684</v>
      </c>
      <c r="B2685">
        <v>32</v>
      </c>
      <c r="C2685" s="2">
        <v>44585</v>
      </c>
      <c r="D2685" s="2" t="str">
        <f>TEXT(Table3[[#This Row],[usage_date]],"mmmm")</f>
        <v>January</v>
      </c>
      <c r="E2685" s="9">
        <f>YEAR(Table3[[#This Row],[usage_date]])</f>
        <v>2022</v>
      </c>
      <c r="F2685" s="14">
        <v>0.65</v>
      </c>
      <c r="G2685">
        <v>52</v>
      </c>
      <c r="H2685" t="s">
        <v>12</v>
      </c>
      <c r="I2685" t="str">
        <f t="shared" si="41"/>
        <v>Normal Usage</v>
      </c>
    </row>
    <row r="2686" spans="1:9" x14ac:dyDescent="0.3">
      <c r="A2686">
        <v>12685</v>
      </c>
      <c r="B2686">
        <v>352</v>
      </c>
      <c r="C2686" s="2">
        <v>44882</v>
      </c>
      <c r="D2686" s="2" t="str">
        <f>TEXT(Table3[[#This Row],[usage_date]],"mmmm")</f>
        <v>November</v>
      </c>
      <c r="E2686" s="9">
        <f>YEAR(Table3[[#This Row],[usage_date]])</f>
        <v>2022</v>
      </c>
      <c r="F2686" s="14">
        <v>1.87</v>
      </c>
      <c r="G2686">
        <v>127</v>
      </c>
      <c r="H2686" t="s">
        <v>12</v>
      </c>
      <c r="I2686" t="str">
        <f t="shared" si="41"/>
        <v>Normal Usage</v>
      </c>
    </row>
    <row r="2687" spans="1:9" x14ac:dyDescent="0.3">
      <c r="A2687">
        <v>12686</v>
      </c>
      <c r="B2687">
        <v>128</v>
      </c>
      <c r="C2687" s="2">
        <v>44835</v>
      </c>
      <c r="D2687" s="2" t="str">
        <f>TEXT(Table3[[#This Row],[usage_date]],"mmmm")</f>
        <v>October</v>
      </c>
      <c r="E2687" s="9">
        <f>YEAR(Table3[[#This Row],[usage_date]])</f>
        <v>2022</v>
      </c>
      <c r="F2687" s="14">
        <v>1.5</v>
      </c>
      <c r="G2687">
        <v>206</v>
      </c>
      <c r="H2687" t="s">
        <v>12</v>
      </c>
      <c r="I2687" t="str">
        <f t="shared" si="41"/>
        <v>Normal Usage</v>
      </c>
    </row>
    <row r="2688" spans="1:9" x14ac:dyDescent="0.3">
      <c r="A2688">
        <v>12687</v>
      </c>
      <c r="B2688">
        <v>452</v>
      </c>
      <c r="C2688" s="2">
        <v>45117</v>
      </c>
      <c r="D2688" s="2" t="str">
        <f>TEXT(Table3[[#This Row],[usage_date]],"mmmm")</f>
        <v>July</v>
      </c>
      <c r="E2688" s="9">
        <f>YEAR(Table3[[#This Row],[usage_date]])</f>
        <v>2023</v>
      </c>
      <c r="F2688" s="14">
        <v>2.17</v>
      </c>
      <c r="G2688">
        <v>215</v>
      </c>
      <c r="H2688" t="s">
        <v>13</v>
      </c>
      <c r="I2688" t="str">
        <f t="shared" si="41"/>
        <v>Normal Usage</v>
      </c>
    </row>
    <row r="2689" spans="1:9" x14ac:dyDescent="0.3">
      <c r="A2689">
        <v>12688</v>
      </c>
      <c r="B2689">
        <v>402</v>
      </c>
      <c r="C2689" s="2">
        <v>45405</v>
      </c>
      <c r="D2689" s="2" t="str">
        <f>TEXT(Table3[[#This Row],[usage_date]],"mmmm")</f>
        <v>April</v>
      </c>
      <c r="E2689" s="9">
        <f>YEAR(Table3[[#This Row],[usage_date]])</f>
        <v>2024</v>
      </c>
      <c r="F2689" s="14">
        <v>5.24</v>
      </c>
      <c r="G2689">
        <v>67</v>
      </c>
      <c r="H2689" t="s">
        <v>13</v>
      </c>
      <c r="I2689" t="str">
        <f t="shared" si="41"/>
        <v>Normal Usage</v>
      </c>
    </row>
    <row r="2690" spans="1:9" x14ac:dyDescent="0.3">
      <c r="A2690">
        <v>12689</v>
      </c>
      <c r="B2690">
        <v>369</v>
      </c>
      <c r="C2690" s="2">
        <v>44874</v>
      </c>
      <c r="D2690" s="2" t="str">
        <f>TEXT(Table3[[#This Row],[usage_date]],"mmmm")</f>
        <v>November</v>
      </c>
      <c r="E2690" s="9">
        <f>YEAR(Table3[[#This Row],[usage_date]])</f>
        <v>2022</v>
      </c>
      <c r="F2690" s="14">
        <v>5.0599999999999996</v>
      </c>
      <c r="G2690">
        <v>61</v>
      </c>
      <c r="H2690" t="s">
        <v>12</v>
      </c>
      <c r="I2690" t="str">
        <f t="shared" ref="I2690:I2753" si="42">IF(F2690&gt;6,"High Usage","Normal Usage")</f>
        <v>Normal Usage</v>
      </c>
    </row>
    <row r="2691" spans="1:9" x14ac:dyDescent="0.3">
      <c r="A2691">
        <v>12690</v>
      </c>
      <c r="B2691">
        <v>339</v>
      </c>
      <c r="C2691" s="2">
        <v>44924</v>
      </c>
      <c r="D2691" s="2" t="str">
        <f>TEXT(Table3[[#This Row],[usage_date]],"mmmm")</f>
        <v>December</v>
      </c>
      <c r="E2691" s="9">
        <f>YEAR(Table3[[#This Row],[usage_date]])</f>
        <v>2022</v>
      </c>
      <c r="F2691" s="14">
        <v>1.5</v>
      </c>
      <c r="G2691">
        <v>209</v>
      </c>
      <c r="H2691" t="s">
        <v>13</v>
      </c>
      <c r="I2691" t="str">
        <f t="shared" si="42"/>
        <v>Normal Usage</v>
      </c>
    </row>
    <row r="2692" spans="1:9" x14ac:dyDescent="0.3">
      <c r="A2692">
        <v>12691</v>
      </c>
      <c r="B2692">
        <v>43</v>
      </c>
      <c r="C2692" s="2">
        <v>45229</v>
      </c>
      <c r="D2692" s="2" t="str">
        <f>TEXT(Table3[[#This Row],[usage_date]],"mmmm")</f>
        <v>October</v>
      </c>
      <c r="E2692" s="9">
        <f>YEAR(Table3[[#This Row],[usage_date]])</f>
        <v>2023</v>
      </c>
      <c r="F2692" s="14">
        <v>0.04</v>
      </c>
      <c r="G2692">
        <v>51</v>
      </c>
      <c r="H2692" t="s">
        <v>12</v>
      </c>
      <c r="I2692" t="str">
        <f t="shared" si="42"/>
        <v>Normal Usage</v>
      </c>
    </row>
    <row r="2693" spans="1:9" x14ac:dyDescent="0.3">
      <c r="A2693">
        <v>12692</v>
      </c>
      <c r="B2693">
        <v>372</v>
      </c>
      <c r="C2693" s="2">
        <v>44941</v>
      </c>
      <c r="D2693" s="2" t="str">
        <f>TEXT(Table3[[#This Row],[usage_date]],"mmmm")</f>
        <v>January</v>
      </c>
      <c r="E2693" s="9">
        <f>YEAR(Table3[[#This Row],[usage_date]])</f>
        <v>2023</v>
      </c>
      <c r="F2693" s="14">
        <v>1.39</v>
      </c>
      <c r="G2693">
        <v>115</v>
      </c>
      <c r="H2693" t="s">
        <v>13</v>
      </c>
      <c r="I2693" t="str">
        <f t="shared" si="42"/>
        <v>Normal Usage</v>
      </c>
    </row>
    <row r="2694" spans="1:9" x14ac:dyDescent="0.3">
      <c r="A2694">
        <v>12693</v>
      </c>
      <c r="B2694">
        <v>419</v>
      </c>
      <c r="C2694" s="2">
        <v>45272</v>
      </c>
      <c r="D2694" s="2" t="str">
        <f>TEXT(Table3[[#This Row],[usage_date]],"mmmm")</f>
        <v>December</v>
      </c>
      <c r="E2694" s="9">
        <f>YEAR(Table3[[#This Row],[usage_date]])</f>
        <v>2023</v>
      </c>
      <c r="F2694" s="14">
        <v>2.33</v>
      </c>
      <c r="G2694">
        <v>64</v>
      </c>
      <c r="H2694" t="s">
        <v>13</v>
      </c>
      <c r="I2694" t="str">
        <f t="shared" si="42"/>
        <v>Normal Usage</v>
      </c>
    </row>
    <row r="2695" spans="1:9" x14ac:dyDescent="0.3">
      <c r="A2695">
        <v>12694</v>
      </c>
      <c r="B2695">
        <v>488</v>
      </c>
      <c r="C2695" s="2">
        <v>45235</v>
      </c>
      <c r="D2695" s="2" t="str">
        <f>TEXT(Table3[[#This Row],[usage_date]],"mmmm")</f>
        <v>November</v>
      </c>
      <c r="E2695" s="9">
        <f>YEAR(Table3[[#This Row],[usage_date]])</f>
        <v>2023</v>
      </c>
      <c r="F2695" s="14">
        <v>2.04</v>
      </c>
      <c r="G2695">
        <v>129</v>
      </c>
      <c r="H2695" t="s">
        <v>12</v>
      </c>
      <c r="I2695" t="str">
        <f t="shared" si="42"/>
        <v>Normal Usage</v>
      </c>
    </row>
    <row r="2696" spans="1:9" x14ac:dyDescent="0.3">
      <c r="A2696">
        <v>12695</v>
      </c>
      <c r="B2696">
        <v>78</v>
      </c>
      <c r="C2696" s="2">
        <v>45031</v>
      </c>
      <c r="D2696" s="2" t="str">
        <f>TEXT(Table3[[#This Row],[usage_date]],"mmmm")</f>
        <v>April</v>
      </c>
      <c r="E2696" s="9">
        <f>YEAR(Table3[[#This Row],[usage_date]])</f>
        <v>2023</v>
      </c>
      <c r="F2696" s="14">
        <v>2.63</v>
      </c>
      <c r="G2696">
        <v>176</v>
      </c>
      <c r="H2696" t="s">
        <v>13</v>
      </c>
      <c r="I2696" t="str">
        <f t="shared" si="42"/>
        <v>Normal Usage</v>
      </c>
    </row>
    <row r="2697" spans="1:9" x14ac:dyDescent="0.3">
      <c r="A2697">
        <v>12696</v>
      </c>
      <c r="B2697">
        <v>314</v>
      </c>
      <c r="C2697" s="2">
        <v>45307</v>
      </c>
      <c r="D2697" s="2" t="str">
        <f>TEXT(Table3[[#This Row],[usage_date]],"mmmm")</f>
        <v>January</v>
      </c>
      <c r="E2697" s="9">
        <f>YEAR(Table3[[#This Row],[usage_date]])</f>
        <v>2024</v>
      </c>
      <c r="F2697" s="14">
        <v>0.42</v>
      </c>
      <c r="G2697">
        <v>277</v>
      </c>
      <c r="H2697" t="s">
        <v>12</v>
      </c>
      <c r="I2697" t="str">
        <f t="shared" si="42"/>
        <v>Normal Usage</v>
      </c>
    </row>
    <row r="2698" spans="1:9" x14ac:dyDescent="0.3">
      <c r="A2698">
        <v>12697</v>
      </c>
      <c r="B2698">
        <v>289</v>
      </c>
      <c r="C2698" s="2">
        <v>45236</v>
      </c>
      <c r="D2698" s="2" t="str">
        <f>TEXT(Table3[[#This Row],[usage_date]],"mmmm")</f>
        <v>November</v>
      </c>
      <c r="E2698" s="9">
        <f>YEAR(Table3[[#This Row],[usage_date]])</f>
        <v>2023</v>
      </c>
      <c r="F2698" s="14">
        <v>2.6</v>
      </c>
      <c r="G2698">
        <v>162</v>
      </c>
      <c r="H2698" t="s">
        <v>12</v>
      </c>
      <c r="I2698" t="str">
        <f t="shared" si="42"/>
        <v>Normal Usage</v>
      </c>
    </row>
    <row r="2699" spans="1:9" x14ac:dyDescent="0.3">
      <c r="A2699">
        <v>12698</v>
      </c>
      <c r="B2699">
        <v>270</v>
      </c>
      <c r="C2699" s="2">
        <v>44677</v>
      </c>
      <c r="D2699" s="2" t="str">
        <f>TEXT(Table3[[#This Row],[usage_date]],"mmmm")</f>
        <v>April</v>
      </c>
      <c r="E2699" s="9">
        <f>YEAR(Table3[[#This Row],[usage_date]])</f>
        <v>2022</v>
      </c>
      <c r="F2699" s="14">
        <v>0.5</v>
      </c>
      <c r="G2699">
        <v>151</v>
      </c>
      <c r="H2699" t="s">
        <v>12</v>
      </c>
      <c r="I2699" t="str">
        <f t="shared" si="42"/>
        <v>Normal Usage</v>
      </c>
    </row>
    <row r="2700" spans="1:9" x14ac:dyDescent="0.3">
      <c r="A2700">
        <v>12699</v>
      </c>
      <c r="B2700">
        <v>162</v>
      </c>
      <c r="C2700" s="2">
        <v>45166</v>
      </c>
      <c r="D2700" s="2" t="str">
        <f>TEXT(Table3[[#This Row],[usage_date]],"mmmm")</f>
        <v>August</v>
      </c>
      <c r="E2700" s="9">
        <f>YEAR(Table3[[#This Row],[usage_date]])</f>
        <v>2023</v>
      </c>
      <c r="F2700" s="14">
        <v>3.47</v>
      </c>
      <c r="G2700">
        <v>235</v>
      </c>
      <c r="H2700" t="s">
        <v>12</v>
      </c>
      <c r="I2700" t="str">
        <f t="shared" si="42"/>
        <v>Normal Usage</v>
      </c>
    </row>
    <row r="2701" spans="1:9" x14ac:dyDescent="0.3">
      <c r="A2701">
        <v>12700</v>
      </c>
      <c r="B2701">
        <v>189</v>
      </c>
      <c r="C2701" s="2">
        <v>44603</v>
      </c>
      <c r="D2701" s="2" t="str">
        <f>TEXT(Table3[[#This Row],[usage_date]],"mmmm")</f>
        <v>February</v>
      </c>
      <c r="E2701" s="9">
        <f>YEAR(Table3[[#This Row],[usage_date]])</f>
        <v>2022</v>
      </c>
      <c r="F2701" s="14">
        <v>1.04</v>
      </c>
      <c r="G2701">
        <v>157</v>
      </c>
      <c r="H2701" t="s">
        <v>12</v>
      </c>
      <c r="I2701" t="str">
        <f t="shared" si="42"/>
        <v>Normal Usage</v>
      </c>
    </row>
    <row r="2702" spans="1:9" x14ac:dyDescent="0.3">
      <c r="A2702">
        <v>12701</v>
      </c>
      <c r="B2702">
        <v>247</v>
      </c>
      <c r="C2702" s="2">
        <v>45357</v>
      </c>
      <c r="D2702" s="2" t="str">
        <f>TEXT(Table3[[#This Row],[usage_date]],"mmmm")</f>
        <v>March</v>
      </c>
      <c r="E2702" s="9">
        <f>YEAR(Table3[[#This Row],[usage_date]])</f>
        <v>2024</v>
      </c>
      <c r="F2702" s="14">
        <v>3.09</v>
      </c>
      <c r="G2702">
        <v>105</v>
      </c>
      <c r="H2702" t="s">
        <v>12</v>
      </c>
      <c r="I2702" t="str">
        <f t="shared" si="42"/>
        <v>Normal Usage</v>
      </c>
    </row>
    <row r="2703" spans="1:9" x14ac:dyDescent="0.3">
      <c r="A2703">
        <v>12702</v>
      </c>
      <c r="B2703">
        <v>388</v>
      </c>
      <c r="C2703" s="2">
        <v>44940</v>
      </c>
      <c r="D2703" s="2" t="str">
        <f>TEXT(Table3[[#This Row],[usage_date]],"mmmm")</f>
        <v>January</v>
      </c>
      <c r="E2703" s="9">
        <f>YEAR(Table3[[#This Row],[usage_date]])</f>
        <v>2023</v>
      </c>
      <c r="F2703" s="14">
        <v>0.12</v>
      </c>
      <c r="G2703">
        <v>254</v>
      </c>
      <c r="H2703" t="s">
        <v>13</v>
      </c>
      <c r="I2703" t="str">
        <f t="shared" si="42"/>
        <v>Normal Usage</v>
      </c>
    </row>
    <row r="2704" spans="1:9" x14ac:dyDescent="0.3">
      <c r="A2704">
        <v>12703</v>
      </c>
      <c r="B2704">
        <v>216</v>
      </c>
      <c r="C2704" s="2">
        <v>45283</v>
      </c>
      <c r="D2704" s="2" t="str">
        <f>TEXT(Table3[[#This Row],[usage_date]],"mmmm")</f>
        <v>December</v>
      </c>
      <c r="E2704" s="9">
        <f>YEAR(Table3[[#This Row],[usage_date]])</f>
        <v>2023</v>
      </c>
      <c r="F2704" s="14">
        <v>1.31</v>
      </c>
      <c r="G2704">
        <v>112</v>
      </c>
      <c r="H2704" t="s">
        <v>12</v>
      </c>
      <c r="I2704" t="str">
        <f t="shared" si="42"/>
        <v>Normal Usage</v>
      </c>
    </row>
    <row r="2705" spans="1:9" x14ac:dyDescent="0.3">
      <c r="A2705">
        <v>12704</v>
      </c>
      <c r="B2705">
        <v>315</v>
      </c>
      <c r="C2705" s="2">
        <v>44767</v>
      </c>
      <c r="D2705" s="2" t="str">
        <f>TEXT(Table3[[#This Row],[usage_date]],"mmmm")</f>
        <v>July</v>
      </c>
      <c r="E2705" s="9">
        <f>YEAR(Table3[[#This Row],[usage_date]])</f>
        <v>2022</v>
      </c>
      <c r="F2705" s="14">
        <v>3.05</v>
      </c>
      <c r="G2705">
        <v>29</v>
      </c>
      <c r="H2705" t="s">
        <v>12</v>
      </c>
      <c r="I2705" t="str">
        <f t="shared" si="42"/>
        <v>Normal Usage</v>
      </c>
    </row>
    <row r="2706" spans="1:9" x14ac:dyDescent="0.3">
      <c r="A2706">
        <v>12705</v>
      </c>
      <c r="B2706">
        <v>413</v>
      </c>
      <c r="C2706" s="2">
        <v>45027</v>
      </c>
      <c r="D2706" s="2" t="str">
        <f>TEXT(Table3[[#This Row],[usage_date]],"mmmm")</f>
        <v>April</v>
      </c>
      <c r="E2706" s="9">
        <f>YEAR(Table3[[#This Row],[usage_date]])</f>
        <v>2023</v>
      </c>
      <c r="F2706" s="14">
        <v>0.64</v>
      </c>
      <c r="G2706">
        <v>11</v>
      </c>
      <c r="H2706" t="s">
        <v>12</v>
      </c>
      <c r="I2706" t="str">
        <f t="shared" si="42"/>
        <v>Normal Usage</v>
      </c>
    </row>
    <row r="2707" spans="1:9" x14ac:dyDescent="0.3">
      <c r="A2707">
        <v>12706</v>
      </c>
      <c r="B2707">
        <v>339</v>
      </c>
      <c r="C2707" s="2">
        <v>45293</v>
      </c>
      <c r="D2707" s="2" t="str">
        <f>TEXT(Table3[[#This Row],[usage_date]],"mmmm")</f>
        <v>January</v>
      </c>
      <c r="E2707" s="9">
        <f>YEAR(Table3[[#This Row],[usage_date]])</f>
        <v>2024</v>
      </c>
      <c r="F2707" s="14">
        <v>3.97</v>
      </c>
      <c r="G2707">
        <v>176</v>
      </c>
      <c r="H2707" t="s">
        <v>12</v>
      </c>
      <c r="I2707" t="str">
        <f t="shared" si="42"/>
        <v>Normal Usage</v>
      </c>
    </row>
    <row r="2708" spans="1:9" x14ac:dyDescent="0.3">
      <c r="A2708">
        <v>12707</v>
      </c>
      <c r="B2708">
        <v>390</v>
      </c>
      <c r="C2708" s="2">
        <v>44841</v>
      </c>
      <c r="D2708" s="2" t="str">
        <f>TEXT(Table3[[#This Row],[usage_date]],"mmmm")</f>
        <v>October</v>
      </c>
      <c r="E2708" s="9">
        <f>YEAR(Table3[[#This Row],[usage_date]])</f>
        <v>2022</v>
      </c>
      <c r="F2708" s="14">
        <v>2.4900000000000002</v>
      </c>
      <c r="G2708">
        <v>45</v>
      </c>
      <c r="H2708" t="s">
        <v>12</v>
      </c>
      <c r="I2708" t="str">
        <f t="shared" si="42"/>
        <v>Normal Usage</v>
      </c>
    </row>
    <row r="2709" spans="1:9" x14ac:dyDescent="0.3">
      <c r="A2709">
        <v>12708</v>
      </c>
      <c r="B2709">
        <v>377</v>
      </c>
      <c r="C2709" s="2">
        <v>45209</v>
      </c>
      <c r="D2709" s="2" t="str">
        <f>TEXT(Table3[[#This Row],[usage_date]],"mmmm")</f>
        <v>October</v>
      </c>
      <c r="E2709" s="9">
        <f>YEAR(Table3[[#This Row],[usage_date]])</f>
        <v>2023</v>
      </c>
      <c r="F2709" s="14">
        <v>2.21</v>
      </c>
      <c r="G2709">
        <v>170</v>
      </c>
      <c r="H2709" t="s">
        <v>12</v>
      </c>
      <c r="I2709" t="str">
        <f t="shared" si="42"/>
        <v>Normal Usage</v>
      </c>
    </row>
    <row r="2710" spans="1:9" x14ac:dyDescent="0.3">
      <c r="A2710">
        <v>12709</v>
      </c>
      <c r="B2710">
        <v>481</v>
      </c>
      <c r="C2710" s="2">
        <v>45179</v>
      </c>
      <c r="D2710" s="2" t="str">
        <f>TEXT(Table3[[#This Row],[usage_date]],"mmmm")</f>
        <v>September</v>
      </c>
      <c r="E2710" s="9">
        <f>YEAR(Table3[[#This Row],[usage_date]])</f>
        <v>2023</v>
      </c>
      <c r="F2710" s="14">
        <v>1.0900000000000001</v>
      </c>
      <c r="G2710">
        <v>129</v>
      </c>
      <c r="H2710" t="s">
        <v>13</v>
      </c>
      <c r="I2710" t="str">
        <f t="shared" si="42"/>
        <v>Normal Usage</v>
      </c>
    </row>
    <row r="2711" spans="1:9" x14ac:dyDescent="0.3">
      <c r="A2711">
        <v>12710</v>
      </c>
      <c r="B2711">
        <v>433</v>
      </c>
      <c r="C2711" s="2">
        <v>44679</v>
      </c>
      <c r="D2711" s="2" t="str">
        <f>TEXT(Table3[[#This Row],[usage_date]],"mmmm")</f>
        <v>April</v>
      </c>
      <c r="E2711" s="9">
        <f>YEAR(Table3[[#This Row],[usage_date]])</f>
        <v>2022</v>
      </c>
      <c r="F2711" s="14">
        <v>1.65</v>
      </c>
      <c r="G2711">
        <v>244</v>
      </c>
      <c r="H2711" t="s">
        <v>12</v>
      </c>
      <c r="I2711" t="str">
        <f t="shared" si="42"/>
        <v>Normal Usage</v>
      </c>
    </row>
    <row r="2712" spans="1:9" x14ac:dyDescent="0.3">
      <c r="A2712">
        <v>12711</v>
      </c>
      <c r="B2712">
        <v>168</v>
      </c>
      <c r="C2712" s="2">
        <v>44798</v>
      </c>
      <c r="D2712" s="2" t="str">
        <f>TEXT(Table3[[#This Row],[usage_date]],"mmmm")</f>
        <v>August</v>
      </c>
      <c r="E2712" s="9">
        <f>YEAR(Table3[[#This Row],[usage_date]])</f>
        <v>2022</v>
      </c>
      <c r="F2712" s="14">
        <v>2.27</v>
      </c>
      <c r="G2712">
        <v>202</v>
      </c>
      <c r="H2712" t="s">
        <v>12</v>
      </c>
      <c r="I2712" t="str">
        <f t="shared" si="42"/>
        <v>Normal Usage</v>
      </c>
    </row>
    <row r="2713" spans="1:9" x14ac:dyDescent="0.3">
      <c r="A2713">
        <v>12712</v>
      </c>
      <c r="B2713">
        <v>339</v>
      </c>
      <c r="C2713" s="2">
        <v>44870</v>
      </c>
      <c r="D2713" s="2" t="str">
        <f>TEXT(Table3[[#This Row],[usage_date]],"mmmm")</f>
        <v>November</v>
      </c>
      <c r="E2713" s="9">
        <f>YEAR(Table3[[#This Row],[usage_date]])</f>
        <v>2022</v>
      </c>
      <c r="F2713" s="14">
        <v>1.6</v>
      </c>
      <c r="G2713">
        <v>225</v>
      </c>
      <c r="H2713" t="s">
        <v>13</v>
      </c>
      <c r="I2713" t="str">
        <f t="shared" si="42"/>
        <v>Normal Usage</v>
      </c>
    </row>
    <row r="2714" spans="1:9" x14ac:dyDescent="0.3">
      <c r="A2714">
        <v>12713</v>
      </c>
      <c r="B2714">
        <v>193</v>
      </c>
      <c r="C2714" s="2">
        <v>45017</v>
      </c>
      <c r="D2714" s="2" t="str">
        <f>TEXT(Table3[[#This Row],[usage_date]],"mmmm")</f>
        <v>April</v>
      </c>
      <c r="E2714" s="9">
        <f>YEAR(Table3[[#This Row],[usage_date]])</f>
        <v>2023</v>
      </c>
      <c r="F2714" s="14">
        <v>3</v>
      </c>
      <c r="G2714">
        <v>79</v>
      </c>
      <c r="H2714" t="s">
        <v>12</v>
      </c>
      <c r="I2714" t="str">
        <f t="shared" si="42"/>
        <v>Normal Usage</v>
      </c>
    </row>
    <row r="2715" spans="1:9" x14ac:dyDescent="0.3">
      <c r="A2715">
        <v>12714</v>
      </c>
      <c r="B2715">
        <v>453</v>
      </c>
      <c r="C2715" s="2">
        <v>45461</v>
      </c>
      <c r="D2715" s="2" t="str">
        <f>TEXT(Table3[[#This Row],[usage_date]],"mmmm")</f>
        <v>June</v>
      </c>
      <c r="E2715" s="9">
        <f>YEAR(Table3[[#This Row],[usage_date]])</f>
        <v>2024</v>
      </c>
      <c r="F2715" s="14">
        <v>1.42</v>
      </c>
      <c r="G2715">
        <v>34</v>
      </c>
      <c r="H2715" t="s">
        <v>12</v>
      </c>
      <c r="I2715" t="str">
        <f t="shared" si="42"/>
        <v>Normal Usage</v>
      </c>
    </row>
    <row r="2716" spans="1:9" x14ac:dyDescent="0.3">
      <c r="A2716">
        <v>12715</v>
      </c>
      <c r="B2716">
        <v>283</v>
      </c>
      <c r="C2716" s="2">
        <v>45036</v>
      </c>
      <c r="D2716" s="2" t="str">
        <f>TEXT(Table3[[#This Row],[usage_date]],"mmmm")</f>
        <v>April</v>
      </c>
      <c r="E2716" s="9">
        <f>YEAR(Table3[[#This Row],[usage_date]])</f>
        <v>2023</v>
      </c>
      <c r="F2716" s="14">
        <v>0.56000000000000005</v>
      </c>
      <c r="G2716">
        <v>51</v>
      </c>
      <c r="H2716" t="s">
        <v>12</v>
      </c>
      <c r="I2716" t="str">
        <f t="shared" si="42"/>
        <v>Normal Usage</v>
      </c>
    </row>
    <row r="2717" spans="1:9" x14ac:dyDescent="0.3">
      <c r="A2717">
        <v>12716</v>
      </c>
      <c r="B2717">
        <v>336</v>
      </c>
      <c r="C2717" s="2">
        <v>44661</v>
      </c>
      <c r="D2717" s="2" t="str">
        <f>TEXT(Table3[[#This Row],[usage_date]],"mmmm")</f>
        <v>April</v>
      </c>
      <c r="E2717" s="9">
        <f>YEAR(Table3[[#This Row],[usage_date]])</f>
        <v>2022</v>
      </c>
      <c r="F2717" s="14">
        <v>0.6</v>
      </c>
      <c r="G2717">
        <v>160</v>
      </c>
      <c r="H2717" t="s">
        <v>13</v>
      </c>
      <c r="I2717" t="str">
        <f t="shared" si="42"/>
        <v>Normal Usage</v>
      </c>
    </row>
    <row r="2718" spans="1:9" x14ac:dyDescent="0.3">
      <c r="A2718">
        <v>12717</v>
      </c>
      <c r="B2718">
        <v>390</v>
      </c>
      <c r="C2718" s="2">
        <v>44822</v>
      </c>
      <c r="D2718" s="2" t="str">
        <f>TEXT(Table3[[#This Row],[usage_date]],"mmmm")</f>
        <v>September</v>
      </c>
      <c r="E2718" s="9">
        <f>YEAR(Table3[[#This Row],[usage_date]])</f>
        <v>2022</v>
      </c>
      <c r="F2718" s="14">
        <v>0.01</v>
      </c>
      <c r="G2718">
        <v>83</v>
      </c>
      <c r="H2718" t="s">
        <v>13</v>
      </c>
      <c r="I2718" t="str">
        <f t="shared" si="42"/>
        <v>Normal Usage</v>
      </c>
    </row>
    <row r="2719" spans="1:9" x14ac:dyDescent="0.3">
      <c r="A2719">
        <v>12718</v>
      </c>
      <c r="B2719">
        <v>488</v>
      </c>
      <c r="C2719" s="2">
        <v>44866</v>
      </c>
      <c r="D2719" s="2" t="str">
        <f>TEXT(Table3[[#This Row],[usage_date]],"mmmm")</f>
        <v>November</v>
      </c>
      <c r="E2719" s="9">
        <f>YEAR(Table3[[#This Row],[usage_date]])</f>
        <v>2022</v>
      </c>
      <c r="F2719" s="14">
        <v>0.9</v>
      </c>
      <c r="G2719">
        <v>25</v>
      </c>
      <c r="H2719" t="s">
        <v>13</v>
      </c>
      <c r="I2719" t="str">
        <f t="shared" si="42"/>
        <v>Normal Usage</v>
      </c>
    </row>
    <row r="2720" spans="1:9" x14ac:dyDescent="0.3">
      <c r="A2720">
        <v>12719</v>
      </c>
      <c r="B2720">
        <v>13</v>
      </c>
      <c r="C2720" s="2">
        <v>44915</v>
      </c>
      <c r="D2720" s="2" t="str">
        <f>TEXT(Table3[[#This Row],[usage_date]],"mmmm")</f>
        <v>December</v>
      </c>
      <c r="E2720" s="9">
        <f>YEAR(Table3[[#This Row],[usage_date]])</f>
        <v>2022</v>
      </c>
      <c r="F2720" s="14">
        <v>3.45</v>
      </c>
      <c r="G2720">
        <v>224</v>
      </c>
      <c r="H2720" t="s">
        <v>12</v>
      </c>
      <c r="I2720" t="str">
        <f t="shared" si="42"/>
        <v>Normal Usage</v>
      </c>
    </row>
    <row r="2721" spans="1:9" x14ac:dyDescent="0.3">
      <c r="A2721">
        <v>12720</v>
      </c>
      <c r="B2721">
        <v>240</v>
      </c>
      <c r="C2721" s="2">
        <v>44847</v>
      </c>
      <c r="D2721" s="2" t="str">
        <f>TEXT(Table3[[#This Row],[usage_date]],"mmmm")</f>
        <v>October</v>
      </c>
      <c r="E2721" s="9">
        <f>YEAR(Table3[[#This Row],[usage_date]])</f>
        <v>2022</v>
      </c>
      <c r="F2721" s="14">
        <v>3.95</v>
      </c>
      <c r="G2721">
        <v>153</v>
      </c>
      <c r="H2721" t="s">
        <v>12</v>
      </c>
      <c r="I2721" t="str">
        <f t="shared" si="42"/>
        <v>Normal Usage</v>
      </c>
    </row>
    <row r="2722" spans="1:9" x14ac:dyDescent="0.3">
      <c r="A2722">
        <v>12721</v>
      </c>
      <c r="B2722">
        <v>320</v>
      </c>
      <c r="C2722" s="2">
        <v>44889</v>
      </c>
      <c r="D2722" s="2" t="str">
        <f>TEXT(Table3[[#This Row],[usage_date]],"mmmm")</f>
        <v>November</v>
      </c>
      <c r="E2722" s="9">
        <f>YEAR(Table3[[#This Row],[usage_date]])</f>
        <v>2022</v>
      </c>
      <c r="F2722" s="14">
        <v>0.56999999999999995</v>
      </c>
      <c r="G2722">
        <v>292</v>
      </c>
      <c r="H2722" t="s">
        <v>13</v>
      </c>
      <c r="I2722" t="str">
        <f t="shared" si="42"/>
        <v>Normal Usage</v>
      </c>
    </row>
    <row r="2723" spans="1:9" x14ac:dyDescent="0.3">
      <c r="A2723">
        <v>12722</v>
      </c>
      <c r="B2723">
        <v>446</v>
      </c>
      <c r="C2723" s="2">
        <v>44664</v>
      </c>
      <c r="D2723" s="2" t="str">
        <f>TEXT(Table3[[#This Row],[usage_date]],"mmmm")</f>
        <v>April</v>
      </c>
      <c r="E2723" s="9">
        <f>YEAR(Table3[[#This Row],[usage_date]])</f>
        <v>2022</v>
      </c>
      <c r="F2723" s="14">
        <v>7.99</v>
      </c>
      <c r="G2723">
        <v>94</v>
      </c>
      <c r="H2723" t="s">
        <v>12</v>
      </c>
      <c r="I2723" t="str">
        <f t="shared" si="42"/>
        <v>High Usage</v>
      </c>
    </row>
    <row r="2724" spans="1:9" x14ac:dyDescent="0.3">
      <c r="A2724">
        <v>12723</v>
      </c>
      <c r="B2724">
        <v>483</v>
      </c>
      <c r="C2724" s="2">
        <v>44624</v>
      </c>
      <c r="D2724" s="2" t="str">
        <f>TEXT(Table3[[#This Row],[usage_date]],"mmmm")</f>
        <v>March</v>
      </c>
      <c r="E2724" s="9">
        <f>YEAR(Table3[[#This Row],[usage_date]])</f>
        <v>2022</v>
      </c>
      <c r="F2724" s="14">
        <v>1.74</v>
      </c>
      <c r="G2724">
        <v>224</v>
      </c>
      <c r="H2724" t="s">
        <v>12</v>
      </c>
      <c r="I2724" t="str">
        <f t="shared" si="42"/>
        <v>Normal Usage</v>
      </c>
    </row>
    <row r="2725" spans="1:9" x14ac:dyDescent="0.3">
      <c r="A2725">
        <v>12724</v>
      </c>
      <c r="B2725">
        <v>147</v>
      </c>
      <c r="C2725" s="2">
        <v>45248</v>
      </c>
      <c r="D2725" s="2" t="str">
        <f>TEXT(Table3[[#This Row],[usage_date]],"mmmm")</f>
        <v>November</v>
      </c>
      <c r="E2725" s="9">
        <f>YEAR(Table3[[#This Row],[usage_date]])</f>
        <v>2023</v>
      </c>
      <c r="F2725" s="14">
        <v>6.22</v>
      </c>
      <c r="G2725">
        <v>266</v>
      </c>
      <c r="H2725" t="s">
        <v>13</v>
      </c>
      <c r="I2725" t="str">
        <f t="shared" si="42"/>
        <v>High Usage</v>
      </c>
    </row>
    <row r="2726" spans="1:9" x14ac:dyDescent="0.3">
      <c r="A2726">
        <v>12725</v>
      </c>
      <c r="B2726">
        <v>204</v>
      </c>
      <c r="C2726" s="2">
        <v>44843</v>
      </c>
      <c r="D2726" s="2" t="str">
        <f>TEXT(Table3[[#This Row],[usage_date]],"mmmm")</f>
        <v>October</v>
      </c>
      <c r="E2726" s="9">
        <f>YEAR(Table3[[#This Row],[usage_date]])</f>
        <v>2022</v>
      </c>
      <c r="F2726" s="14">
        <v>3.07</v>
      </c>
      <c r="G2726">
        <v>40</v>
      </c>
      <c r="H2726" t="s">
        <v>12</v>
      </c>
      <c r="I2726" t="str">
        <f t="shared" si="42"/>
        <v>Normal Usage</v>
      </c>
    </row>
    <row r="2727" spans="1:9" x14ac:dyDescent="0.3">
      <c r="A2727">
        <v>12726</v>
      </c>
      <c r="B2727">
        <v>80</v>
      </c>
      <c r="C2727" s="2">
        <v>45002</v>
      </c>
      <c r="D2727" s="2" t="str">
        <f>TEXT(Table3[[#This Row],[usage_date]],"mmmm")</f>
        <v>March</v>
      </c>
      <c r="E2727" s="9">
        <f>YEAR(Table3[[#This Row],[usage_date]])</f>
        <v>2023</v>
      </c>
      <c r="F2727" s="14">
        <v>3.2</v>
      </c>
      <c r="G2727">
        <v>132</v>
      </c>
      <c r="H2727" t="s">
        <v>12</v>
      </c>
      <c r="I2727" t="str">
        <f t="shared" si="42"/>
        <v>Normal Usage</v>
      </c>
    </row>
    <row r="2728" spans="1:9" x14ac:dyDescent="0.3">
      <c r="A2728">
        <v>12727</v>
      </c>
      <c r="B2728">
        <v>379</v>
      </c>
      <c r="C2728" s="2">
        <v>44854</v>
      </c>
      <c r="D2728" s="2" t="str">
        <f>TEXT(Table3[[#This Row],[usage_date]],"mmmm")</f>
        <v>October</v>
      </c>
      <c r="E2728" s="9">
        <f>YEAR(Table3[[#This Row],[usage_date]])</f>
        <v>2022</v>
      </c>
      <c r="F2728" s="14">
        <v>0.22</v>
      </c>
      <c r="G2728">
        <v>65</v>
      </c>
      <c r="H2728" t="s">
        <v>13</v>
      </c>
      <c r="I2728" t="str">
        <f t="shared" si="42"/>
        <v>Normal Usage</v>
      </c>
    </row>
    <row r="2729" spans="1:9" x14ac:dyDescent="0.3">
      <c r="A2729">
        <v>12728</v>
      </c>
      <c r="B2729">
        <v>43</v>
      </c>
      <c r="C2729" s="2">
        <v>45299</v>
      </c>
      <c r="D2729" s="2" t="str">
        <f>TEXT(Table3[[#This Row],[usage_date]],"mmmm")</f>
        <v>January</v>
      </c>
      <c r="E2729" s="9">
        <f>YEAR(Table3[[#This Row],[usage_date]])</f>
        <v>2024</v>
      </c>
      <c r="F2729" s="14">
        <v>0.62</v>
      </c>
      <c r="G2729">
        <v>209</v>
      </c>
      <c r="H2729" t="s">
        <v>12</v>
      </c>
      <c r="I2729" t="str">
        <f t="shared" si="42"/>
        <v>Normal Usage</v>
      </c>
    </row>
    <row r="2730" spans="1:9" x14ac:dyDescent="0.3">
      <c r="A2730">
        <v>12729</v>
      </c>
      <c r="B2730">
        <v>458</v>
      </c>
      <c r="C2730" s="2">
        <v>44568</v>
      </c>
      <c r="D2730" s="2" t="str">
        <f>TEXT(Table3[[#This Row],[usage_date]],"mmmm")</f>
        <v>January</v>
      </c>
      <c r="E2730" s="9">
        <f>YEAR(Table3[[#This Row],[usage_date]])</f>
        <v>2022</v>
      </c>
      <c r="F2730" s="14">
        <v>0.02</v>
      </c>
      <c r="G2730">
        <v>152</v>
      </c>
      <c r="H2730" t="s">
        <v>12</v>
      </c>
      <c r="I2730" t="str">
        <f t="shared" si="42"/>
        <v>Normal Usage</v>
      </c>
    </row>
    <row r="2731" spans="1:9" x14ac:dyDescent="0.3">
      <c r="A2731">
        <v>12730</v>
      </c>
      <c r="B2731">
        <v>89</v>
      </c>
      <c r="C2731" s="2">
        <v>45200</v>
      </c>
      <c r="D2731" s="2" t="str">
        <f>TEXT(Table3[[#This Row],[usage_date]],"mmmm")</f>
        <v>October</v>
      </c>
      <c r="E2731" s="9">
        <f>YEAR(Table3[[#This Row],[usage_date]])</f>
        <v>2023</v>
      </c>
      <c r="F2731" s="14">
        <v>3.15</v>
      </c>
      <c r="G2731">
        <v>171</v>
      </c>
      <c r="H2731" t="s">
        <v>13</v>
      </c>
      <c r="I2731" t="str">
        <f t="shared" si="42"/>
        <v>Normal Usage</v>
      </c>
    </row>
    <row r="2732" spans="1:9" x14ac:dyDescent="0.3">
      <c r="A2732">
        <v>12731</v>
      </c>
      <c r="B2732">
        <v>148</v>
      </c>
      <c r="C2732" s="2">
        <v>44653</v>
      </c>
      <c r="D2732" s="2" t="str">
        <f>TEXT(Table3[[#This Row],[usage_date]],"mmmm")</f>
        <v>April</v>
      </c>
      <c r="E2732" s="9">
        <f>YEAR(Table3[[#This Row],[usage_date]])</f>
        <v>2022</v>
      </c>
      <c r="F2732" s="14">
        <v>1.06</v>
      </c>
      <c r="G2732">
        <v>58</v>
      </c>
      <c r="H2732" t="s">
        <v>13</v>
      </c>
      <c r="I2732" t="str">
        <f t="shared" si="42"/>
        <v>Normal Usage</v>
      </c>
    </row>
    <row r="2733" spans="1:9" x14ac:dyDescent="0.3">
      <c r="A2733">
        <v>12732</v>
      </c>
      <c r="B2733">
        <v>95</v>
      </c>
      <c r="C2733" s="2">
        <v>44751</v>
      </c>
      <c r="D2733" s="2" t="str">
        <f>TEXT(Table3[[#This Row],[usage_date]],"mmmm")</f>
        <v>July</v>
      </c>
      <c r="E2733" s="9">
        <f>YEAR(Table3[[#This Row],[usage_date]])</f>
        <v>2022</v>
      </c>
      <c r="F2733" s="14">
        <v>3.86</v>
      </c>
      <c r="G2733">
        <v>183</v>
      </c>
      <c r="H2733" t="s">
        <v>12</v>
      </c>
      <c r="I2733" t="str">
        <f t="shared" si="42"/>
        <v>Normal Usage</v>
      </c>
    </row>
    <row r="2734" spans="1:9" x14ac:dyDescent="0.3">
      <c r="A2734">
        <v>12733</v>
      </c>
      <c r="B2734">
        <v>452</v>
      </c>
      <c r="C2734" s="2">
        <v>45432</v>
      </c>
      <c r="D2734" s="2" t="str">
        <f>TEXT(Table3[[#This Row],[usage_date]],"mmmm")</f>
        <v>May</v>
      </c>
      <c r="E2734" s="9">
        <f>YEAR(Table3[[#This Row],[usage_date]])</f>
        <v>2024</v>
      </c>
      <c r="F2734" s="14">
        <v>1.03</v>
      </c>
      <c r="G2734">
        <v>179</v>
      </c>
      <c r="H2734" t="s">
        <v>12</v>
      </c>
      <c r="I2734" t="str">
        <f t="shared" si="42"/>
        <v>Normal Usage</v>
      </c>
    </row>
    <row r="2735" spans="1:9" x14ac:dyDescent="0.3">
      <c r="A2735">
        <v>12734</v>
      </c>
      <c r="B2735">
        <v>428</v>
      </c>
      <c r="C2735" s="2">
        <v>45037</v>
      </c>
      <c r="D2735" s="2" t="str">
        <f>TEXT(Table3[[#This Row],[usage_date]],"mmmm")</f>
        <v>April</v>
      </c>
      <c r="E2735" s="9">
        <f>YEAR(Table3[[#This Row],[usage_date]])</f>
        <v>2023</v>
      </c>
      <c r="F2735" s="14">
        <v>4.28</v>
      </c>
      <c r="G2735">
        <v>11</v>
      </c>
      <c r="H2735" t="s">
        <v>13</v>
      </c>
      <c r="I2735" t="str">
        <f t="shared" si="42"/>
        <v>Normal Usage</v>
      </c>
    </row>
    <row r="2736" spans="1:9" x14ac:dyDescent="0.3">
      <c r="A2736">
        <v>12735</v>
      </c>
      <c r="B2736">
        <v>151</v>
      </c>
      <c r="C2736" s="2">
        <v>45072</v>
      </c>
      <c r="D2736" s="2" t="str">
        <f>TEXT(Table3[[#This Row],[usage_date]],"mmmm")</f>
        <v>May</v>
      </c>
      <c r="E2736" s="9">
        <f>YEAR(Table3[[#This Row],[usage_date]])</f>
        <v>2023</v>
      </c>
      <c r="F2736" s="14">
        <v>0.35</v>
      </c>
      <c r="G2736">
        <v>67</v>
      </c>
      <c r="H2736" t="s">
        <v>12</v>
      </c>
      <c r="I2736" t="str">
        <f t="shared" si="42"/>
        <v>Normal Usage</v>
      </c>
    </row>
    <row r="2737" spans="1:9" x14ac:dyDescent="0.3">
      <c r="A2737">
        <v>12736</v>
      </c>
      <c r="B2737">
        <v>2</v>
      </c>
      <c r="C2737" s="2">
        <v>45023</v>
      </c>
      <c r="D2737" s="2" t="str">
        <f>TEXT(Table3[[#This Row],[usage_date]],"mmmm")</f>
        <v>April</v>
      </c>
      <c r="E2737" s="9">
        <f>YEAR(Table3[[#This Row],[usage_date]])</f>
        <v>2023</v>
      </c>
      <c r="F2737" s="14">
        <v>0.48</v>
      </c>
      <c r="G2737">
        <v>201</v>
      </c>
      <c r="H2737" t="s">
        <v>12</v>
      </c>
      <c r="I2737" t="str">
        <f t="shared" si="42"/>
        <v>Normal Usage</v>
      </c>
    </row>
    <row r="2738" spans="1:9" x14ac:dyDescent="0.3">
      <c r="A2738">
        <v>12737</v>
      </c>
      <c r="B2738">
        <v>376</v>
      </c>
      <c r="C2738" s="2">
        <v>44614</v>
      </c>
      <c r="D2738" s="2" t="str">
        <f>TEXT(Table3[[#This Row],[usage_date]],"mmmm")</f>
        <v>February</v>
      </c>
      <c r="E2738" s="9">
        <f>YEAR(Table3[[#This Row],[usage_date]])</f>
        <v>2022</v>
      </c>
      <c r="F2738" s="14">
        <v>1.04</v>
      </c>
      <c r="G2738">
        <v>5</v>
      </c>
      <c r="H2738" t="s">
        <v>12</v>
      </c>
      <c r="I2738" t="str">
        <f t="shared" si="42"/>
        <v>Normal Usage</v>
      </c>
    </row>
    <row r="2739" spans="1:9" x14ac:dyDescent="0.3">
      <c r="A2739">
        <v>12738</v>
      </c>
      <c r="B2739">
        <v>22</v>
      </c>
      <c r="C2739" s="2">
        <v>45315</v>
      </c>
      <c r="D2739" s="2" t="str">
        <f>TEXT(Table3[[#This Row],[usage_date]],"mmmm")</f>
        <v>January</v>
      </c>
      <c r="E2739" s="9">
        <f>YEAR(Table3[[#This Row],[usage_date]])</f>
        <v>2024</v>
      </c>
      <c r="F2739" s="14">
        <v>1.31</v>
      </c>
      <c r="G2739">
        <v>14</v>
      </c>
      <c r="H2739" t="s">
        <v>13</v>
      </c>
      <c r="I2739" t="str">
        <f t="shared" si="42"/>
        <v>Normal Usage</v>
      </c>
    </row>
    <row r="2740" spans="1:9" x14ac:dyDescent="0.3">
      <c r="A2740">
        <v>12739</v>
      </c>
      <c r="B2740">
        <v>371</v>
      </c>
      <c r="C2740" s="2">
        <v>45047</v>
      </c>
      <c r="D2740" s="2" t="str">
        <f>TEXT(Table3[[#This Row],[usage_date]],"mmmm")</f>
        <v>May</v>
      </c>
      <c r="E2740" s="9">
        <f>YEAR(Table3[[#This Row],[usage_date]])</f>
        <v>2023</v>
      </c>
      <c r="F2740" s="14">
        <v>1.07</v>
      </c>
      <c r="G2740">
        <v>41</v>
      </c>
      <c r="H2740" t="s">
        <v>13</v>
      </c>
      <c r="I2740" t="str">
        <f t="shared" si="42"/>
        <v>Normal Usage</v>
      </c>
    </row>
    <row r="2741" spans="1:9" x14ac:dyDescent="0.3">
      <c r="A2741">
        <v>12740</v>
      </c>
      <c r="B2741">
        <v>313</v>
      </c>
      <c r="C2741" s="2">
        <v>45205</v>
      </c>
      <c r="D2741" s="2" t="str">
        <f>TEXT(Table3[[#This Row],[usage_date]],"mmmm")</f>
        <v>October</v>
      </c>
      <c r="E2741" s="9">
        <f>YEAR(Table3[[#This Row],[usage_date]])</f>
        <v>2023</v>
      </c>
      <c r="F2741" s="14">
        <v>3.61</v>
      </c>
      <c r="G2741">
        <v>30</v>
      </c>
      <c r="H2741" t="s">
        <v>12</v>
      </c>
      <c r="I2741" t="str">
        <f t="shared" si="42"/>
        <v>Normal Usage</v>
      </c>
    </row>
    <row r="2742" spans="1:9" x14ac:dyDescent="0.3">
      <c r="A2742">
        <v>12741</v>
      </c>
      <c r="B2742">
        <v>485</v>
      </c>
      <c r="C2742" s="2">
        <v>45051</v>
      </c>
      <c r="D2742" s="2" t="str">
        <f>TEXT(Table3[[#This Row],[usage_date]],"mmmm")</f>
        <v>May</v>
      </c>
      <c r="E2742" s="9">
        <f>YEAR(Table3[[#This Row],[usage_date]])</f>
        <v>2023</v>
      </c>
      <c r="F2742" s="14">
        <v>0.25</v>
      </c>
      <c r="G2742">
        <v>180</v>
      </c>
      <c r="H2742" t="s">
        <v>13</v>
      </c>
      <c r="I2742" t="str">
        <f t="shared" si="42"/>
        <v>Normal Usage</v>
      </c>
    </row>
    <row r="2743" spans="1:9" x14ac:dyDescent="0.3">
      <c r="A2743">
        <v>12742</v>
      </c>
      <c r="B2743">
        <v>328</v>
      </c>
      <c r="C2743" s="2">
        <v>44925</v>
      </c>
      <c r="D2743" s="2" t="str">
        <f>TEXT(Table3[[#This Row],[usage_date]],"mmmm")</f>
        <v>December</v>
      </c>
      <c r="E2743" s="9">
        <f>YEAR(Table3[[#This Row],[usage_date]])</f>
        <v>2022</v>
      </c>
      <c r="F2743" s="14">
        <v>1.08</v>
      </c>
      <c r="G2743">
        <v>261</v>
      </c>
      <c r="H2743" t="s">
        <v>13</v>
      </c>
      <c r="I2743" t="str">
        <f t="shared" si="42"/>
        <v>Normal Usage</v>
      </c>
    </row>
    <row r="2744" spans="1:9" x14ac:dyDescent="0.3">
      <c r="A2744">
        <v>12743</v>
      </c>
      <c r="B2744">
        <v>7</v>
      </c>
      <c r="C2744" s="2">
        <v>44673</v>
      </c>
      <c r="D2744" s="2" t="str">
        <f>TEXT(Table3[[#This Row],[usage_date]],"mmmm")</f>
        <v>April</v>
      </c>
      <c r="E2744" s="9">
        <f>YEAR(Table3[[#This Row],[usage_date]])</f>
        <v>2022</v>
      </c>
      <c r="F2744" s="14">
        <v>4.54</v>
      </c>
      <c r="G2744">
        <v>288</v>
      </c>
      <c r="H2744" t="s">
        <v>12</v>
      </c>
      <c r="I2744" t="str">
        <f t="shared" si="42"/>
        <v>Normal Usage</v>
      </c>
    </row>
    <row r="2745" spans="1:9" x14ac:dyDescent="0.3">
      <c r="A2745">
        <v>12744</v>
      </c>
      <c r="B2745">
        <v>206</v>
      </c>
      <c r="C2745" s="2">
        <v>44970</v>
      </c>
      <c r="D2745" s="2" t="str">
        <f>TEXT(Table3[[#This Row],[usage_date]],"mmmm")</f>
        <v>February</v>
      </c>
      <c r="E2745" s="9">
        <f>YEAR(Table3[[#This Row],[usage_date]])</f>
        <v>2023</v>
      </c>
      <c r="F2745" s="14">
        <v>0.17</v>
      </c>
      <c r="G2745">
        <v>20</v>
      </c>
      <c r="H2745" t="s">
        <v>12</v>
      </c>
      <c r="I2745" t="str">
        <f t="shared" si="42"/>
        <v>Normal Usage</v>
      </c>
    </row>
    <row r="2746" spans="1:9" x14ac:dyDescent="0.3">
      <c r="A2746">
        <v>12745</v>
      </c>
      <c r="B2746">
        <v>440</v>
      </c>
      <c r="C2746" s="2">
        <v>44568</v>
      </c>
      <c r="D2746" s="2" t="str">
        <f>TEXT(Table3[[#This Row],[usage_date]],"mmmm")</f>
        <v>January</v>
      </c>
      <c r="E2746" s="9">
        <f>YEAR(Table3[[#This Row],[usage_date]])</f>
        <v>2022</v>
      </c>
      <c r="F2746" s="14">
        <v>7.13</v>
      </c>
      <c r="G2746">
        <v>181</v>
      </c>
      <c r="H2746" t="s">
        <v>12</v>
      </c>
      <c r="I2746" t="str">
        <f t="shared" si="42"/>
        <v>High Usage</v>
      </c>
    </row>
    <row r="2747" spans="1:9" x14ac:dyDescent="0.3">
      <c r="A2747">
        <v>12746</v>
      </c>
      <c r="B2747">
        <v>375</v>
      </c>
      <c r="C2747" s="2">
        <v>45303</v>
      </c>
      <c r="D2747" s="2" t="str">
        <f>TEXT(Table3[[#This Row],[usage_date]],"mmmm")</f>
        <v>January</v>
      </c>
      <c r="E2747" s="9">
        <f>YEAR(Table3[[#This Row],[usage_date]])</f>
        <v>2024</v>
      </c>
      <c r="F2747" s="14">
        <v>10.73</v>
      </c>
      <c r="G2747">
        <v>183</v>
      </c>
      <c r="H2747" t="s">
        <v>13</v>
      </c>
      <c r="I2747" t="str">
        <f t="shared" si="42"/>
        <v>High Usage</v>
      </c>
    </row>
    <row r="2748" spans="1:9" x14ac:dyDescent="0.3">
      <c r="A2748">
        <v>12747</v>
      </c>
      <c r="B2748">
        <v>451</v>
      </c>
      <c r="C2748" s="2">
        <v>45229</v>
      </c>
      <c r="D2748" s="2" t="str">
        <f>TEXT(Table3[[#This Row],[usage_date]],"mmmm")</f>
        <v>October</v>
      </c>
      <c r="E2748" s="9">
        <f>YEAR(Table3[[#This Row],[usage_date]])</f>
        <v>2023</v>
      </c>
      <c r="F2748" s="14">
        <v>0.23</v>
      </c>
      <c r="G2748">
        <v>243</v>
      </c>
      <c r="H2748" t="s">
        <v>12</v>
      </c>
      <c r="I2748" t="str">
        <f t="shared" si="42"/>
        <v>Normal Usage</v>
      </c>
    </row>
    <row r="2749" spans="1:9" x14ac:dyDescent="0.3">
      <c r="A2749">
        <v>12748</v>
      </c>
      <c r="B2749">
        <v>114</v>
      </c>
      <c r="C2749" s="2">
        <v>44758</v>
      </c>
      <c r="D2749" s="2" t="str">
        <f>TEXT(Table3[[#This Row],[usage_date]],"mmmm")</f>
        <v>July</v>
      </c>
      <c r="E2749" s="9">
        <f>YEAR(Table3[[#This Row],[usage_date]])</f>
        <v>2022</v>
      </c>
      <c r="F2749" s="14">
        <v>0.86</v>
      </c>
      <c r="G2749">
        <v>148</v>
      </c>
      <c r="H2749" t="s">
        <v>12</v>
      </c>
      <c r="I2749" t="str">
        <f t="shared" si="42"/>
        <v>Normal Usage</v>
      </c>
    </row>
    <row r="2750" spans="1:9" x14ac:dyDescent="0.3">
      <c r="A2750">
        <v>12749</v>
      </c>
      <c r="B2750">
        <v>272</v>
      </c>
      <c r="C2750" s="2">
        <v>45396</v>
      </c>
      <c r="D2750" s="2" t="str">
        <f>TEXT(Table3[[#This Row],[usage_date]],"mmmm")</f>
        <v>April</v>
      </c>
      <c r="E2750" s="9">
        <f>YEAR(Table3[[#This Row],[usage_date]])</f>
        <v>2024</v>
      </c>
      <c r="F2750" s="14">
        <v>1.1599999999999999</v>
      </c>
      <c r="G2750">
        <v>255</v>
      </c>
      <c r="H2750" t="s">
        <v>12</v>
      </c>
      <c r="I2750" t="str">
        <f t="shared" si="42"/>
        <v>Normal Usage</v>
      </c>
    </row>
    <row r="2751" spans="1:9" x14ac:dyDescent="0.3">
      <c r="A2751">
        <v>12750</v>
      </c>
      <c r="B2751">
        <v>83</v>
      </c>
      <c r="C2751" s="2">
        <v>45437</v>
      </c>
      <c r="D2751" s="2" t="str">
        <f>TEXT(Table3[[#This Row],[usage_date]],"mmmm")</f>
        <v>May</v>
      </c>
      <c r="E2751" s="9">
        <f>YEAR(Table3[[#This Row],[usage_date]])</f>
        <v>2024</v>
      </c>
      <c r="F2751" s="14">
        <v>3.74</v>
      </c>
      <c r="G2751">
        <v>99</v>
      </c>
      <c r="H2751" t="s">
        <v>12</v>
      </c>
      <c r="I2751" t="str">
        <f t="shared" si="42"/>
        <v>Normal Usage</v>
      </c>
    </row>
    <row r="2752" spans="1:9" x14ac:dyDescent="0.3">
      <c r="A2752">
        <v>12751</v>
      </c>
      <c r="B2752">
        <v>179</v>
      </c>
      <c r="C2752" s="2">
        <v>45296</v>
      </c>
      <c r="D2752" s="2" t="str">
        <f>TEXT(Table3[[#This Row],[usage_date]],"mmmm")</f>
        <v>January</v>
      </c>
      <c r="E2752" s="9">
        <f>YEAR(Table3[[#This Row],[usage_date]])</f>
        <v>2024</v>
      </c>
      <c r="F2752" s="14">
        <v>2.27</v>
      </c>
      <c r="G2752">
        <v>54</v>
      </c>
      <c r="H2752" t="s">
        <v>13</v>
      </c>
      <c r="I2752" t="str">
        <f t="shared" si="42"/>
        <v>Normal Usage</v>
      </c>
    </row>
    <row r="2753" spans="1:9" x14ac:dyDescent="0.3">
      <c r="A2753">
        <v>12752</v>
      </c>
      <c r="B2753">
        <v>210</v>
      </c>
      <c r="C2753" s="2">
        <v>44928</v>
      </c>
      <c r="D2753" s="2" t="str">
        <f>TEXT(Table3[[#This Row],[usage_date]],"mmmm")</f>
        <v>January</v>
      </c>
      <c r="E2753" s="9">
        <f>YEAR(Table3[[#This Row],[usage_date]])</f>
        <v>2023</v>
      </c>
      <c r="F2753" s="14">
        <v>2.58</v>
      </c>
      <c r="G2753">
        <v>185</v>
      </c>
      <c r="H2753" t="s">
        <v>12</v>
      </c>
      <c r="I2753" t="str">
        <f t="shared" si="42"/>
        <v>Normal Usage</v>
      </c>
    </row>
    <row r="2754" spans="1:9" x14ac:dyDescent="0.3">
      <c r="A2754">
        <v>12753</v>
      </c>
      <c r="B2754">
        <v>500</v>
      </c>
      <c r="C2754" s="2">
        <v>44811</v>
      </c>
      <c r="D2754" s="2" t="str">
        <f>TEXT(Table3[[#This Row],[usage_date]],"mmmm")</f>
        <v>September</v>
      </c>
      <c r="E2754" s="9">
        <f>YEAR(Table3[[#This Row],[usage_date]])</f>
        <v>2022</v>
      </c>
      <c r="F2754" s="14">
        <v>3.54</v>
      </c>
      <c r="G2754">
        <v>85</v>
      </c>
      <c r="H2754" t="s">
        <v>13</v>
      </c>
      <c r="I2754" t="str">
        <f t="shared" ref="I2754:I2817" si="43">IF(F2754&gt;6,"High Usage","Normal Usage")</f>
        <v>Normal Usage</v>
      </c>
    </row>
    <row r="2755" spans="1:9" x14ac:dyDescent="0.3">
      <c r="A2755">
        <v>12754</v>
      </c>
      <c r="B2755">
        <v>464</v>
      </c>
      <c r="C2755" s="2">
        <v>45156</v>
      </c>
      <c r="D2755" s="2" t="str">
        <f>TEXT(Table3[[#This Row],[usage_date]],"mmmm")</f>
        <v>August</v>
      </c>
      <c r="E2755" s="9">
        <f>YEAR(Table3[[#This Row],[usage_date]])</f>
        <v>2023</v>
      </c>
      <c r="F2755" s="14">
        <v>0.31</v>
      </c>
      <c r="G2755">
        <v>173</v>
      </c>
      <c r="H2755" t="s">
        <v>12</v>
      </c>
      <c r="I2755" t="str">
        <f t="shared" si="43"/>
        <v>Normal Usage</v>
      </c>
    </row>
    <row r="2756" spans="1:9" x14ac:dyDescent="0.3">
      <c r="A2756">
        <v>12755</v>
      </c>
      <c r="B2756">
        <v>328</v>
      </c>
      <c r="C2756" s="2">
        <v>44801</v>
      </c>
      <c r="D2756" s="2" t="str">
        <f>TEXT(Table3[[#This Row],[usage_date]],"mmmm")</f>
        <v>August</v>
      </c>
      <c r="E2756" s="9">
        <f>YEAR(Table3[[#This Row],[usage_date]])</f>
        <v>2022</v>
      </c>
      <c r="F2756" s="14">
        <v>4.4800000000000004</v>
      </c>
      <c r="G2756">
        <v>21</v>
      </c>
      <c r="H2756" t="s">
        <v>12</v>
      </c>
      <c r="I2756" t="str">
        <f t="shared" si="43"/>
        <v>Normal Usage</v>
      </c>
    </row>
    <row r="2757" spans="1:9" x14ac:dyDescent="0.3">
      <c r="A2757">
        <v>12756</v>
      </c>
      <c r="B2757">
        <v>124</v>
      </c>
      <c r="C2757" s="2">
        <v>44941</v>
      </c>
      <c r="D2757" s="2" t="str">
        <f>TEXT(Table3[[#This Row],[usage_date]],"mmmm")</f>
        <v>January</v>
      </c>
      <c r="E2757" s="9">
        <f>YEAR(Table3[[#This Row],[usage_date]])</f>
        <v>2023</v>
      </c>
      <c r="F2757" s="14">
        <v>3.06</v>
      </c>
      <c r="G2757">
        <v>243</v>
      </c>
      <c r="H2757" t="s">
        <v>13</v>
      </c>
      <c r="I2757" t="str">
        <f t="shared" si="43"/>
        <v>Normal Usage</v>
      </c>
    </row>
    <row r="2758" spans="1:9" x14ac:dyDescent="0.3">
      <c r="A2758">
        <v>12757</v>
      </c>
      <c r="B2758">
        <v>481</v>
      </c>
      <c r="C2758" s="2">
        <v>45433</v>
      </c>
      <c r="D2758" s="2" t="str">
        <f>TEXT(Table3[[#This Row],[usage_date]],"mmmm")</f>
        <v>May</v>
      </c>
      <c r="E2758" s="9">
        <f>YEAR(Table3[[#This Row],[usage_date]])</f>
        <v>2024</v>
      </c>
      <c r="F2758" s="14">
        <v>2.15</v>
      </c>
      <c r="G2758">
        <v>59</v>
      </c>
      <c r="H2758" t="s">
        <v>12</v>
      </c>
      <c r="I2758" t="str">
        <f t="shared" si="43"/>
        <v>Normal Usage</v>
      </c>
    </row>
    <row r="2759" spans="1:9" x14ac:dyDescent="0.3">
      <c r="A2759">
        <v>12758</v>
      </c>
      <c r="B2759">
        <v>113</v>
      </c>
      <c r="C2759" s="2">
        <v>45396</v>
      </c>
      <c r="D2759" s="2" t="str">
        <f>TEXT(Table3[[#This Row],[usage_date]],"mmmm")</f>
        <v>April</v>
      </c>
      <c r="E2759" s="9">
        <f>YEAR(Table3[[#This Row],[usage_date]])</f>
        <v>2024</v>
      </c>
      <c r="F2759" s="14">
        <v>5.51</v>
      </c>
      <c r="G2759">
        <v>103</v>
      </c>
      <c r="H2759" t="s">
        <v>12</v>
      </c>
      <c r="I2759" t="str">
        <f t="shared" si="43"/>
        <v>Normal Usage</v>
      </c>
    </row>
    <row r="2760" spans="1:9" x14ac:dyDescent="0.3">
      <c r="A2760">
        <v>12759</v>
      </c>
      <c r="B2760">
        <v>12</v>
      </c>
      <c r="C2760" s="2">
        <v>45032</v>
      </c>
      <c r="D2760" s="2" t="str">
        <f>TEXT(Table3[[#This Row],[usage_date]],"mmmm")</f>
        <v>April</v>
      </c>
      <c r="E2760" s="9">
        <f>YEAR(Table3[[#This Row],[usage_date]])</f>
        <v>2023</v>
      </c>
      <c r="F2760" s="14">
        <v>3.01</v>
      </c>
      <c r="G2760">
        <v>138</v>
      </c>
      <c r="H2760" t="s">
        <v>13</v>
      </c>
      <c r="I2760" t="str">
        <f t="shared" si="43"/>
        <v>Normal Usage</v>
      </c>
    </row>
    <row r="2761" spans="1:9" x14ac:dyDescent="0.3">
      <c r="A2761">
        <v>12760</v>
      </c>
      <c r="B2761">
        <v>126</v>
      </c>
      <c r="C2761" s="2">
        <v>45336</v>
      </c>
      <c r="D2761" s="2" t="str">
        <f>TEXT(Table3[[#This Row],[usage_date]],"mmmm")</f>
        <v>February</v>
      </c>
      <c r="E2761" s="9">
        <f>YEAR(Table3[[#This Row],[usage_date]])</f>
        <v>2024</v>
      </c>
      <c r="F2761" s="14">
        <v>0.56000000000000005</v>
      </c>
      <c r="G2761">
        <v>158</v>
      </c>
      <c r="H2761" t="s">
        <v>12</v>
      </c>
      <c r="I2761" t="str">
        <f t="shared" si="43"/>
        <v>Normal Usage</v>
      </c>
    </row>
    <row r="2762" spans="1:9" x14ac:dyDescent="0.3">
      <c r="A2762">
        <v>12761</v>
      </c>
      <c r="B2762">
        <v>53</v>
      </c>
      <c r="C2762" s="2">
        <v>45262</v>
      </c>
      <c r="D2762" s="2" t="str">
        <f>TEXT(Table3[[#This Row],[usage_date]],"mmmm")</f>
        <v>December</v>
      </c>
      <c r="E2762" s="9">
        <f>YEAR(Table3[[#This Row],[usage_date]])</f>
        <v>2023</v>
      </c>
      <c r="F2762" s="14">
        <v>1.4</v>
      </c>
      <c r="G2762">
        <v>231</v>
      </c>
      <c r="H2762" t="s">
        <v>12</v>
      </c>
      <c r="I2762" t="str">
        <f t="shared" si="43"/>
        <v>Normal Usage</v>
      </c>
    </row>
    <row r="2763" spans="1:9" x14ac:dyDescent="0.3">
      <c r="A2763">
        <v>12762</v>
      </c>
      <c r="B2763">
        <v>331</v>
      </c>
      <c r="C2763" s="2">
        <v>45016</v>
      </c>
      <c r="D2763" s="2" t="str">
        <f>TEXT(Table3[[#This Row],[usage_date]],"mmmm")</f>
        <v>March</v>
      </c>
      <c r="E2763" s="9">
        <f>YEAR(Table3[[#This Row],[usage_date]])</f>
        <v>2023</v>
      </c>
      <c r="F2763" s="14">
        <v>1.7</v>
      </c>
      <c r="G2763">
        <v>76</v>
      </c>
      <c r="H2763" t="s">
        <v>12</v>
      </c>
      <c r="I2763" t="str">
        <f t="shared" si="43"/>
        <v>Normal Usage</v>
      </c>
    </row>
    <row r="2764" spans="1:9" x14ac:dyDescent="0.3">
      <c r="A2764">
        <v>12763</v>
      </c>
      <c r="B2764">
        <v>389</v>
      </c>
      <c r="C2764" s="2">
        <v>44927</v>
      </c>
      <c r="D2764" s="2" t="str">
        <f>TEXT(Table3[[#This Row],[usage_date]],"mmmm")</f>
        <v>January</v>
      </c>
      <c r="E2764" s="9">
        <f>YEAR(Table3[[#This Row],[usage_date]])</f>
        <v>2023</v>
      </c>
      <c r="F2764" s="14">
        <v>0.14000000000000001</v>
      </c>
      <c r="G2764">
        <v>17</v>
      </c>
      <c r="H2764" t="s">
        <v>12</v>
      </c>
      <c r="I2764" t="str">
        <f t="shared" si="43"/>
        <v>Normal Usage</v>
      </c>
    </row>
    <row r="2765" spans="1:9" x14ac:dyDescent="0.3">
      <c r="A2765">
        <v>12764</v>
      </c>
      <c r="B2765">
        <v>283</v>
      </c>
      <c r="C2765" s="2">
        <v>44851</v>
      </c>
      <c r="D2765" s="2" t="str">
        <f>TEXT(Table3[[#This Row],[usage_date]],"mmmm")</f>
        <v>October</v>
      </c>
      <c r="E2765" s="9">
        <f>YEAR(Table3[[#This Row],[usage_date]])</f>
        <v>2022</v>
      </c>
      <c r="F2765" s="14">
        <v>7.73</v>
      </c>
      <c r="G2765">
        <v>21</v>
      </c>
      <c r="H2765" t="s">
        <v>13</v>
      </c>
      <c r="I2765" t="str">
        <f t="shared" si="43"/>
        <v>High Usage</v>
      </c>
    </row>
    <row r="2766" spans="1:9" x14ac:dyDescent="0.3">
      <c r="A2766">
        <v>12765</v>
      </c>
      <c r="B2766">
        <v>140</v>
      </c>
      <c r="C2766" s="2">
        <v>45435</v>
      </c>
      <c r="D2766" s="2" t="str">
        <f>TEXT(Table3[[#This Row],[usage_date]],"mmmm")</f>
        <v>May</v>
      </c>
      <c r="E2766" s="9">
        <f>YEAR(Table3[[#This Row],[usage_date]])</f>
        <v>2024</v>
      </c>
      <c r="F2766" s="14">
        <v>0.34</v>
      </c>
      <c r="G2766">
        <v>183</v>
      </c>
      <c r="H2766" t="s">
        <v>13</v>
      </c>
      <c r="I2766" t="str">
        <f t="shared" si="43"/>
        <v>Normal Usage</v>
      </c>
    </row>
    <row r="2767" spans="1:9" x14ac:dyDescent="0.3">
      <c r="A2767">
        <v>12766</v>
      </c>
      <c r="B2767">
        <v>401</v>
      </c>
      <c r="C2767" s="2">
        <v>44964</v>
      </c>
      <c r="D2767" s="2" t="str">
        <f>TEXT(Table3[[#This Row],[usage_date]],"mmmm")</f>
        <v>February</v>
      </c>
      <c r="E2767" s="9">
        <f>YEAR(Table3[[#This Row],[usage_date]])</f>
        <v>2023</v>
      </c>
      <c r="F2767" s="14">
        <v>2.99</v>
      </c>
      <c r="G2767">
        <v>144</v>
      </c>
      <c r="H2767" t="s">
        <v>12</v>
      </c>
      <c r="I2767" t="str">
        <f t="shared" si="43"/>
        <v>Normal Usage</v>
      </c>
    </row>
    <row r="2768" spans="1:9" x14ac:dyDescent="0.3">
      <c r="A2768">
        <v>12767</v>
      </c>
      <c r="B2768">
        <v>390</v>
      </c>
      <c r="C2768" s="2">
        <v>44619</v>
      </c>
      <c r="D2768" s="2" t="str">
        <f>TEXT(Table3[[#This Row],[usage_date]],"mmmm")</f>
        <v>February</v>
      </c>
      <c r="E2768" s="9">
        <f>YEAR(Table3[[#This Row],[usage_date]])</f>
        <v>2022</v>
      </c>
      <c r="F2768" s="14">
        <v>1.76</v>
      </c>
      <c r="G2768">
        <v>37</v>
      </c>
      <c r="H2768" t="s">
        <v>13</v>
      </c>
      <c r="I2768" t="str">
        <f t="shared" si="43"/>
        <v>Normal Usage</v>
      </c>
    </row>
    <row r="2769" spans="1:9" x14ac:dyDescent="0.3">
      <c r="A2769">
        <v>12768</v>
      </c>
      <c r="B2769">
        <v>97</v>
      </c>
      <c r="C2769" s="2">
        <v>45082</v>
      </c>
      <c r="D2769" s="2" t="str">
        <f>TEXT(Table3[[#This Row],[usage_date]],"mmmm")</f>
        <v>June</v>
      </c>
      <c r="E2769" s="9">
        <f>YEAR(Table3[[#This Row],[usage_date]])</f>
        <v>2023</v>
      </c>
      <c r="F2769" s="14">
        <v>0.06</v>
      </c>
      <c r="G2769">
        <v>280</v>
      </c>
      <c r="H2769" t="s">
        <v>13</v>
      </c>
      <c r="I2769" t="str">
        <f t="shared" si="43"/>
        <v>Normal Usage</v>
      </c>
    </row>
    <row r="2770" spans="1:9" x14ac:dyDescent="0.3">
      <c r="A2770">
        <v>12769</v>
      </c>
      <c r="B2770">
        <v>5</v>
      </c>
      <c r="C2770" s="2">
        <v>44865</v>
      </c>
      <c r="D2770" s="2" t="str">
        <f>TEXT(Table3[[#This Row],[usage_date]],"mmmm")</f>
        <v>October</v>
      </c>
      <c r="E2770" s="9">
        <f>YEAR(Table3[[#This Row],[usage_date]])</f>
        <v>2022</v>
      </c>
      <c r="F2770" s="14">
        <v>6.47</v>
      </c>
      <c r="G2770">
        <v>287</v>
      </c>
      <c r="H2770" t="s">
        <v>12</v>
      </c>
      <c r="I2770" t="str">
        <f t="shared" si="43"/>
        <v>High Usage</v>
      </c>
    </row>
    <row r="2771" spans="1:9" x14ac:dyDescent="0.3">
      <c r="A2771">
        <v>12770</v>
      </c>
      <c r="B2771">
        <v>57</v>
      </c>
      <c r="C2771" s="2">
        <v>44676</v>
      </c>
      <c r="D2771" s="2" t="str">
        <f>TEXT(Table3[[#This Row],[usage_date]],"mmmm")</f>
        <v>April</v>
      </c>
      <c r="E2771" s="9">
        <f>YEAR(Table3[[#This Row],[usage_date]])</f>
        <v>2022</v>
      </c>
      <c r="F2771" s="14">
        <v>4.7699999999999996</v>
      </c>
      <c r="G2771">
        <v>142</v>
      </c>
      <c r="H2771" t="s">
        <v>12</v>
      </c>
      <c r="I2771" t="str">
        <f t="shared" si="43"/>
        <v>Normal Usage</v>
      </c>
    </row>
    <row r="2772" spans="1:9" x14ac:dyDescent="0.3">
      <c r="A2772">
        <v>12771</v>
      </c>
      <c r="B2772">
        <v>412</v>
      </c>
      <c r="C2772" s="2">
        <v>44771</v>
      </c>
      <c r="D2772" s="2" t="str">
        <f>TEXT(Table3[[#This Row],[usage_date]],"mmmm")</f>
        <v>July</v>
      </c>
      <c r="E2772" s="9">
        <f>YEAR(Table3[[#This Row],[usage_date]])</f>
        <v>2022</v>
      </c>
      <c r="F2772" s="14">
        <v>1.86</v>
      </c>
      <c r="G2772">
        <v>12</v>
      </c>
      <c r="H2772" t="s">
        <v>12</v>
      </c>
      <c r="I2772" t="str">
        <f t="shared" si="43"/>
        <v>Normal Usage</v>
      </c>
    </row>
    <row r="2773" spans="1:9" x14ac:dyDescent="0.3">
      <c r="A2773">
        <v>12772</v>
      </c>
      <c r="B2773">
        <v>334</v>
      </c>
      <c r="C2773" s="2">
        <v>44602</v>
      </c>
      <c r="D2773" s="2" t="str">
        <f>TEXT(Table3[[#This Row],[usage_date]],"mmmm")</f>
        <v>February</v>
      </c>
      <c r="E2773" s="9">
        <f>YEAR(Table3[[#This Row],[usage_date]])</f>
        <v>2022</v>
      </c>
      <c r="F2773" s="14">
        <v>0.65</v>
      </c>
      <c r="G2773">
        <v>185</v>
      </c>
      <c r="H2773" t="s">
        <v>13</v>
      </c>
      <c r="I2773" t="str">
        <f t="shared" si="43"/>
        <v>Normal Usage</v>
      </c>
    </row>
    <row r="2774" spans="1:9" x14ac:dyDescent="0.3">
      <c r="A2774">
        <v>12773</v>
      </c>
      <c r="B2774">
        <v>69</v>
      </c>
      <c r="C2774" s="2">
        <v>45377</v>
      </c>
      <c r="D2774" s="2" t="str">
        <f>TEXT(Table3[[#This Row],[usage_date]],"mmmm")</f>
        <v>March</v>
      </c>
      <c r="E2774" s="9">
        <f>YEAR(Table3[[#This Row],[usage_date]])</f>
        <v>2024</v>
      </c>
      <c r="F2774" s="14">
        <v>0.32</v>
      </c>
      <c r="G2774">
        <v>266</v>
      </c>
      <c r="H2774" t="s">
        <v>13</v>
      </c>
      <c r="I2774" t="str">
        <f t="shared" si="43"/>
        <v>Normal Usage</v>
      </c>
    </row>
    <row r="2775" spans="1:9" x14ac:dyDescent="0.3">
      <c r="A2775">
        <v>12774</v>
      </c>
      <c r="B2775">
        <v>118</v>
      </c>
      <c r="C2775" s="2">
        <v>44734</v>
      </c>
      <c r="D2775" s="2" t="str">
        <f>TEXT(Table3[[#This Row],[usage_date]],"mmmm")</f>
        <v>June</v>
      </c>
      <c r="E2775" s="9">
        <f>YEAR(Table3[[#This Row],[usage_date]])</f>
        <v>2022</v>
      </c>
      <c r="F2775" s="14">
        <v>1.1299999999999999</v>
      </c>
      <c r="G2775">
        <v>268</v>
      </c>
      <c r="H2775" t="s">
        <v>12</v>
      </c>
      <c r="I2775" t="str">
        <f t="shared" si="43"/>
        <v>Normal Usage</v>
      </c>
    </row>
    <row r="2776" spans="1:9" x14ac:dyDescent="0.3">
      <c r="A2776">
        <v>12775</v>
      </c>
      <c r="B2776">
        <v>376</v>
      </c>
      <c r="C2776" s="2">
        <v>44795</v>
      </c>
      <c r="D2776" s="2" t="str">
        <f>TEXT(Table3[[#This Row],[usage_date]],"mmmm")</f>
        <v>August</v>
      </c>
      <c r="E2776" s="9">
        <f>YEAR(Table3[[#This Row],[usage_date]])</f>
        <v>2022</v>
      </c>
      <c r="F2776" s="14">
        <v>0.74</v>
      </c>
      <c r="G2776">
        <v>96</v>
      </c>
      <c r="H2776" t="s">
        <v>13</v>
      </c>
      <c r="I2776" t="str">
        <f t="shared" si="43"/>
        <v>Normal Usage</v>
      </c>
    </row>
    <row r="2777" spans="1:9" x14ac:dyDescent="0.3">
      <c r="A2777">
        <v>12776</v>
      </c>
      <c r="B2777">
        <v>59</v>
      </c>
      <c r="C2777" s="2">
        <v>45354</v>
      </c>
      <c r="D2777" s="2" t="str">
        <f>TEXT(Table3[[#This Row],[usage_date]],"mmmm")</f>
        <v>March</v>
      </c>
      <c r="E2777" s="9">
        <f>YEAR(Table3[[#This Row],[usage_date]])</f>
        <v>2024</v>
      </c>
      <c r="F2777" s="14">
        <v>1.77</v>
      </c>
      <c r="G2777">
        <v>293</v>
      </c>
      <c r="H2777" t="s">
        <v>12</v>
      </c>
      <c r="I2777" t="str">
        <f t="shared" si="43"/>
        <v>Normal Usage</v>
      </c>
    </row>
    <row r="2778" spans="1:9" x14ac:dyDescent="0.3">
      <c r="A2778">
        <v>12777</v>
      </c>
      <c r="B2778">
        <v>33</v>
      </c>
      <c r="C2778" s="2">
        <v>45445</v>
      </c>
      <c r="D2778" s="2" t="str">
        <f>TEXT(Table3[[#This Row],[usage_date]],"mmmm")</f>
        <v>June</v>
      </c>
      <c r="E2778" s="9">
        <f>YEAR(Table3[[#This Row],[usage_date]])</f>
        <v>2024</v>
      </c>
      <c r="F2778" s="14">
        <v>8.48</v>
      </c>
      <c r="G2778">
        <v>0</v>
      </c>
      <c r="H2778" t="s">
        <v>12</v>
      </c>
      <c r="I2778" t="str">
        <f t="shared" si="43"/>
        <v>High Usage</v>
      </c>
    </row>
    <row r="2779" spans="1:9" x14ac:dyDescent="0.3">
      <c r="A2779">
        <v>12778</v>
      </c>
      <c r="B2779">
        <v>318</v>
      </c>
      <c r="C2779" s="2">
        <v>45151</v>
      </c>
      <c r="D2779" s="2" t="str">
        <f>TEXT(Table3[[#This Row],[usage_date]],"mmmm")</f>
        <v>August</v>
      </c>
      <c r="E2779" s="9">
        <f>YEAR(Table3[[#This Row],[usage_date]])</f>
        <v>2023</v>
      </c>
      <c r="F2779" s="14">
        <v>2.14</v>
      </c>
      <c r="G2779">
        <v>294</v>
      </c>
      <c r="H2779" t="s">
        <v>13</v>
      </c>
      <c r="I2779" t="str">
        <f t="shared" si="43"/>
        <v>Normal Usage</v>
      </c>
    </row>
    <row r="2780" spans="1:9" x14ac:dyDescent="0.3">
      <c r="A2780">
        <v>12779</v>
      </c>
      <c r="B2780">
        <v>50</v>
      </c>
      <c r="C2780" s="2">
        <v>45181</v>
      </c>
      <c r="D2780" s="2" t="str">
        <f>TEXT(Table3[[#This Row],[usage_date]],"mmmm")</f>
        <v>September</v>
      </c>
      <c r="E2780" s="9">
        <f>YEAR(Table3[[#This Row],[usage_date]])</f>
        <v>2023</v>
      </c>
      <c r="F2780" s="14">
        <v>5.52</v>
      </c>
      <c r="G2780">
        <v>26</v>
      </c>
      <c r="H2780" t="s">
        <v>12</v>
      </c>
      <c r="I2780" t="str">
        <f t="shared" si="43"/>
        <v>Normal Usage</v>
      </c>
    </row>
    <row r="2781" spans="1:9" x14ac:dyDescent="0.3">
      <c r="A2781">
        <v>12780</v>
      </c>
      <c r="B2781">
        <v>368</v>
      </c>
      <c r="C2781" s="2">
        <v>45354</v>
      </c>
      <c r="D2781" s="2" t="str">
        <f>TEXT(Table3[[#This Row],[usage_date]],"mmmm")</f>
        <v>March</v>
      </c>
      <c r="E2781" s="9">
        <f>YEAR(Table3[[#This Row],[usage_date]])</f>
        <v>2024</v>
      </c>
      <c r="F2781" s="14">
        <v>2.63</v>
      </c>
      <c r="G2781">
        <v>35</v>
      </c>
      <c r="H2781" t="s">
        <v>12</v>
      </c>
      <c r="I2781" t="str">
        <f t="shared" si="43"/>
        <v>Normal Usage</v>
      </c>
    </row>
    <row r="2782" spans="1:9" x14ac:dyDescent="0.3">
      <c r="A2782">
        <v>12781</v>
      </c>
      <c r="B2782">
        <v>489</v>
      </c>
      <c r="C2782" s="2">
        <v>44964</v>
      </c>
      <c r="D2782" s="2" t="str">
        <f>TEXT(Table3[[#This Row],[usage_date]],"mmmm")</f>
        <v>February</v>
      </c>
      <c r="E2782" s="9">
        <f>YEAR(Table3[[#This Row],[usage_date]])</f>
        <v>2023</v>
      </c>
      <c r="F2782" s="14">
        <v>1.61</v>
      </c>
      <c r="G2782">
        <v>159</v>
      </c>
      <c r="H2782" t="s">
        <v>12</v>
      </c>
      <c r="I2782" t="str">
        <f t="shared" si="43"/>
        <v>Normal Usage</v>
      </c>
    </row>
    <row r="2783" spans="1:9" x14ac:dyDescent="0.3">
      <c r="A2783">
        <v>12782</v>
      </c>
      <c r="B2783">
        <v>19</v>
      </c>
      <c r="C2783" s="2">
        <v>44600</v>
      </c>
      <c r="D2783" s="2" t="str">
        <f>TEXT(Table3[[#This Row],[usage_date]],"mmmm")</f>
        <v>February</v>
      </c>
      <c r="E2783" s="9">
        <f>YEAR(Table3[[#This Row],[usage_date]])</f>
        <v>2022</v>
      </c>
      <c r="F2783" s="14">
        <v>4.82</v>
      </c>
      <c r="G2783">
        <v>30</v>
      </c>
      <c r="H2783" t="s">
        <v>12</v>
      </c>
      <c r="I2783" t="str">
        <f t="shared" si="43"/>
        <v>Normal Usage</v>
      </c>
    </row>
    <row r="2784" spans="1:9" x14ac:dyDescent="0.3">
      <c r="A2784">
        <v>12783</v>
      </c>
      <c r="B2784">
        <v>214</v>
      </c>
      <c r="C2784" s="2">
        <v>44680</v>
      </c>
      <c r="D2784" s="2" t="str">
        <f>TEXT(Table3[[#This Row],[usage_date]],"mmmm")</f>
        <v>April</v>
      </c>
      <c r="E2784" s="9">
        <f>YEAR(Table3[[#This Row],[usage_date]])</f>
        <v>2022</v>
      </c>
      <c r="F2784" s="14">
        <v>1.59</v>
      </c>
      <c r="G2784">
        <v>126</v>
      </c>
      <c r="H2784" t="s">
        <v>12</v>
      </c>
      <c r="I2784" t="str">
        <f t="shared" si="43"/>
        <v>Normal Usage</v>
      </c>
    </row>
    <row r="2785" spans="1:9" x14ac:dyDescent="0.3">
      <c r="A2785">
        <v>12784</v>
      </c>
      <c r="B2785">
        <v>197</v>
      </c>
      <c r="C2785" s="2">
        <v>44896</v>
      </c>
      <c r="D2785" s="2" t="str">
        <f>TEXT(Table3[[#This Row],[usage_date]],"mmmm")</f>
        <v>December</v>
      </c>
      <c r="E2785" s="9">
        <f>YEAR(Table3[[#This Row],[usage_date]])</f>
        <v>2022</v>
      </c>
      <c r="F2785" s="14">
        <v>5.07</v>
      </c>
      <c r="G2785">
        <v>261</v>
      </c>
      <c r="H2785" t="s">
        <v>12</v>
      </c>
      <c r="I2785" t="str">
        <f t="shared" si="43"/>
        <v>Normal Usage</v>
      </c>
    </row>
    <row r="2786" spans="1:9" x14ac:dyDescent="0.3">
      <c r="A2786">
        <v>12785</v>
      </c>
      <c r="B2786">
        <v>379</v>
      </c>
      <c r="C2786" s="2">
        <v>44897</v>
      </c>
      <c r="D2786" s="2" t="str">
        <f>TEXT(Table3[[#This Row],[usage_date]],"mmmm")</f>
        <v>December</v>
      </c>
      <c r="E2786" s="9">
        <f>YEAR(Table3[[#This Row],[usage_date]])</f>
        <v>2022</v>
      </c>
      <c r="F2786" s="14">
        <v>0.86</v>
      </c>
      <c r="G2786">
        <v>209</v>
      </c>
      <c r="H2786" t="s">
        <v>13</v>
      </c>
      <c r="I2786" t="str">
        <f t="shared" si="43"/>
        <v>Normal Usage</v>
      </c>
    </row>
    <row r="2787" spans="1:9" x14ac:dyDescent="0.3">
      <c r="A2787">
        <v>12786</v>
      </c>
      <c r="B2787">
        <v>450</v>
      </c>
      <c r="C2787" s="2">
        <v>45100</v>
      </c>
      <c r="D2787" s="2" t="str">
        <f>TEXT(Table3[[#This Row],[usage_date]],"mmmm")</f>
        <v>June</v>
      </c>
      <c r="E2787" s="9">
        <f>YEAR(Table3[[#This Row],[usage_date]])</f>
        <v>2023</v>
      </c>
      <c r="F2787" s="14">
        <v>0.34</v>
      </c>
      <c r="G2787">
        <v>149</v>
      </c>
      <c r="H2787" t="s">
        <v>13</v>
      </c>
      <c r="I2787" t="str">
        <f t="shared" si="43"/>
        <v>Normal Usage</v>
      </c>
    </row>
    <row r="2788" spans="1:9" x14ac:dyDescent="0.3">
      <c r="A2788">
        <v>12787</v>
      </c>
      <c r="B2788">
        <v>478</v>
      </c>
      <c r="C2788" s="2">
        <v>45177</v>
      </c>
      <c r="D2788" s="2" t="str">
        <f>TEXT(Table3[[#This Row],[usage_date]],"mmmm")</f>
        <v>September</v>
      </c>
      <c r="E2788" s="9">
        <f>YEAR(Table3[[#This Row],[usage_date]])</f>
        <v>2023</v>
      </c>
      <c r="F2788" s="14">
        <v>4.83</v>
      </c>
      <c r="G2788">
        <v>30</v>
      </c>
      <c r="H2788" t="s">
        <v>12</v>
      </c>
      <c r="I2788" t="str">
        <f t="shared" si="43"/>
        <v>Normal Usage</v>
      </c>
    </row>
    <row r="2789" spans="1:9" x14ac:dyDescent="0.3">
      <c r="A2789">
        <v>12788</v>
      </c>
      <c r="B2789">
        <v>47</v>
      </c>
      <c r="C2789" s="2">
        <v>44635</v>
      </c>
      <c r="D2789" s="2" t="str">
        <f>TEXT(Table3[[#This Row],[usage_date]],"mmmm")</f>
        <v>March</v>
      </c>
      <c r="E2789" s="9">
        <f>YEAR(Table3[[#This Row],[usage_date]])</f>
        <v>2022</v>
      </c>
      <c r="F2789" s="14">
        <v>2.21</v>
      </c>
      <c r="G2789">
        <v>99</v>
      </c>
      <c r="H2789" t="s">
        <v>12</v>
      </c>
      <c r="I2789" t="str">
        <f t="shared" si="43"/>
        <v>Normal Usage</v>
      </c>
    </row>
    <row r="2790" spans="1:9" x14ac:dyDescent="0.3">
      <c r="A2790">
        <v>12789</v>
      </c>
      <c r="B2790">
        <v>167</v>
      </c>
      <c r="C2790" s="2">
        <v>44752</v>
      </c>
      <c r="D2790" s="2" t="str">
        <f>TEXT(Table3[[#This Row],[usage_date]],"mmmm")</f>
        <v>July</v>
      </c>
      <c r="E2790" s="9">
        <f>YEAR(Table3[[#This Row],[usage_date]])</f>
        <v>2022</v>
      </c>
      <c r="F2790" s="14">
        <v>5.5</v>
      </c>
      <c r="G2790">
        <v>218</v>
      </c>
      <c r="H2790" t="s">
        <v>13</v>
      </c>
      <c r="I2790" t="str">
        <f t="shared" si="43"/>
        <v>Normal Usage</v>
      </c>
    </row>
    <row r="2791" spans="1:9" x14ac:dyDescent="0.3">
      <c r="A2791">
        <v>12790</v>
      </c>
      <c r="B2791">
        <v>452</v>
      </c>
      <c r="C2791" s="2">
        <v>44885</v>
      </c>
      <c r="D2791" s="2" t="str">
        <f>TEXT(Table3[[#This Row],[usage_date]],"mmmm")</f>
        <v>November</v>
      </c>
      <c r="E2791" s="9">
        <f>YEAR(Table3[[#This Row],[usage_date]])</f>
        <v>2022</v>
      </c>
      <c r="F2791" s="14">
        <v>6.94</v>
      </c>
      <c r="G2791">
        <v>252</v>
      </c>
      <c r="H2791" t="s">
        <v>12</v>
      </c>
      <c r="I2791" t="str">
        <f t="shared" si="43"/>
        <v>High Usage</v>
      </c>
    </row>
    <row r="2792" spans="1:9" x14ac:dyDescent="0.3">
      <c r="A2792">
        <v>12791</v>
      </c>
      <c r="B2792">
        <v>289</v>
      </c>
      <c r="C2792" s="2">
        <v>44708</v>
      </c>
      <c r="D2792" s="2" t="str">
        <f>TEXT(Table3[[#This Row],[usage_date]],"mmmm")</f>
        <v>May</v>
      </c>
      <c r="E2792" s="9">
        <f>YEAR(Table3[[#This Row],[usage_date]])</f>
        <v>2022</v>
      </c>
      <c r="F2792" s="14">
        <v>0.14000000000000001</v>
      </c>
      <c r="G2792">
        <v>170</v>
      </c>
      <c r="H2792" t="s">
        <v>12</v>
      </c>
      <c r="I2792" t="str">
        <f t="shared" si="43"/>
        <v>Normal Usage</v>
      </c>
    </row>
    <row r="2793" spans="1:9" x14ac:dyDescent="0.3">
      <c r="A2793">
        <v>12792</v>
      </c>
      <c r="B2793">
        <v>141</v>
      </c>
      <c r="C2793" s="2">
        <v>45328</v>
      </c>
      <c r="D2793" s="2" t="str">
        <f>TEXT(Table3[[#This Row],[usage_date]],"mmmm")</f>
        <v>February</v>
      </c>
      <c r="E2793" s="9">
        <f>YEAR(Table3[[#This Row],[usage_date]])</f>
        <v>2024</v>
      </c>
      <c r="F2793" s="14">
        <v>1.74</v>
      </c>
      <c r="G2793">
        <v>256</v>
      </c>
      <c r="H2793" t="s">
        <v>12</v>
      </c>
      <c r="I2793" t="str">
        <f t="shared" si="43"/>
        <v>Normal Usage</v>
      </c>
    </row>
    <row r="2794" spans="1:9" x14ac:dyDescent="0.3">
      <c r="A2794">
        <v>12793</v>
      </c>
      <c r="B2794">
        <v>84</v>
      </c>
      <c r="C2794" s="2">
        <v>44845</v>
      </c>
      <c r="D2794" s="2" t="str">
        <f>TEXT(Table3[[#This Row],[usage_date]],"mmmm")</f>
        <v>October</v>
      </c>
      <c r="E2794" s="9">
        <f>YEAR(Table3[[#This Row],[usage_date]])</f>
        <v>2022</v>
      </c>
      <c r="F2794" s="14">
        <v>1.17</v>
      </c>
      <c r="G2794">
        <v>56</v>
      </c>
      <c r="H2794" t="s">
        <v>12</v>
      </c>
      <c r="I2794" t="str">
        <f t="shared" si="43"/>
        <v>Normal Usage</v>
      </c>
    </row>
    <row r="2795" spans="1:9" x14ac:dyDescent="0.3">
      <c r="A2795">
        <v>12794</v>
      </c>
      <c r="B2795">
        <v>182</v>
      </c>
      <c r="C2795" s="2">
        <v>44774</v>
      </c>
      <c r="D2795" s="2" t="str">
        <f>TEXT(Table3[[#This Row],[usage_date]],"mmmm")</f>
        <v>August</v>
      </c>
      <c r="E2795" s="9">
        <f>YEAR(Table3[[#This Row],[usage_date]])</f>
        <v>2022</v>
      </c>
      <c r="F2795" s="14">
        <v>2.46</v>
      </c>
      <c r="G2795">
        <v>8</v>
      </c>
      <c r="H2795" t="s">
        <v>12</v>
      </c>
      <c r="I2795" t="str">
        <f t="shared" si="43"/>
        <v>Normal Usage</v>
      </c>
    </row>
    <row r="2796" spans="1:9" x14ac:dyDescent="0.3">
      <c r="A2796">
        <v>12795</v>
      </c>
      <c r="B2796">
        <v>391</v>
      </c>
      <c r="C2796" s="2">
        <v>45196</v>
      </c>
      <c r="D2796" s="2" t="str">
        <f>TEXT(Table3[[#This Row],[usage_date]],"mmmm")</f>
        <v>September</v>
      </c>
      <c r="E2796" s="9">
        <f>YEAR(Table3[[#This Row],[usage_date]])</f>
        <v>2023</v>
      </c>
      <c r="F2796" s="14">
        <v>3.94</v>
      </c>
      <c r="G2796">
        <v>4</v>
      </c>
      <c r="H2796" t="s">
        <v>12</v>
      </c>
      <c r="I2796" t="str">
        <f t="shared" si="43"/>
        <v>Normal Usage</v>
      </c>
    </row>
    <row r="2797" spans="1:9" x14ac:dyDescent="0.3">
      <c r="A2797">
        <v>12796</v>
      </c>
      <c r="B2797">
        <v>79</v>
      </c>
      <c r="C2797" s="2">
        <v>45279</v>
      </c>
      <c r="D2797" s="2" t="str">
        <f>TEXT(Table3[[#This Row],[usage_date]],"mmmm")</f>
        <v>December</v>
      </c>
      <c r="E2797" s="9">
        <f>YEAR(Table3[[#This Row],[usage_date]])</f>
        <v>2023</v>
      </c>
      <c r="F2797" s="14">
        <v>0.82</v>
      </c>
      <c r="G2797">
        <v>113</v>
      </c>
      <c r="H2797" t="s">
        <v>12</v>
      </c>
      <c r="I2797" t="str">
        <f t="shared" si="43"/>
        <v>Normal Usage</v>
      </c>
    </row>
    <row r="2798" spans="1:9" x14ac:dyDescent="0.3">
      <c r="A2798">
        <v>12797</v>
      </c>
      <c r="B2798">
        <v>215</v>
      </c>
      <c r="C2798" s="2">
        <v>45313</v>
      </c>
      <c r="D2798" s="2" t="str">
        <f>TEXT(Table3[[#This Row],[usage_date]],"mmmm")</f>
        <v>January</v>
      </c>
      <c r="E2798" s="9">
        <f>YEAR(Table3[[#This Row],[usage_date]])</f>
        <v>2024</v>
      </c>
      <c r="F2798" s="14">
        <v>2.0299999999999998</v>
      </c>
      <c r="G2798">
        <v>264</v>
      </c>
      <c r="H2798" t="s">
        <v>13</v>
      </c>
      <c r="I2798" t="str">
        <f t="shared" si="43"/>
        <v>Normal Usage</v>
      </c>
    </row>
    <row r="2799" spans="1:9" x14ac:dyDescent="0.3">
      <c r="A2799">
        <v>12798</v>
      </c>
      <c r="B2799">
        <v>14</v>
      </c>
      <c r="C2799" s="2">
        <v>44955</v>
      </c>
      <c r="D2799" s="2" t="str">
        <f>TEXT(Table3[[#This Row],[usage_date]],"mmmm")</f>
        <v>January</v>
      </c>
      <c r="E2799" s="9">
        <f>YEAR(Table3[[#This Row],[usage_date]])</f>
        <v>2023</v>
      </c>
      <c r="F2799" s="14">
        <v>3.08</v>
      </c>
      <c r="G2799">
        <v>172</v>
      </c>
      <c r="H2799" t="s">
        <v>13</v>
      </c>
      <c r="I2799" t="str">
        <f t="shared" si="43"/>
        <v>Normal Usage</v>
      </c>
    </row>
    <row r="2800" spans="1:9" x14ac:dyDescent="0.3">
      <c r="A2800">
        <v>12799</v>
      </c>
      <c r="B2800">
        <v>215</v>
      </c>
      <c r="C2800" s="2">
        <v>44900</v>
      </c>
      <c r="D2800" s="2" t="str">
        <f>TEXT(Table3[[#This Row],[usage_date]],"mmmm")</f>
        <v>December</v>
      </c>
      <c r="E2800" s="9">
        <f>YEAR(Table3[[#This Row],[usage_date]])</f>
        <v>2022</v>
      </c>
      <c r="F2800" s="14">
        <v>0.36</v>
      </c>
      <c r="G2800">
        <v>219</v>
      </c>
      <c r="H2800" t="s">
        <v>12</v>
      </c>
      <c r="I2800" t="str">
        <f t="shared" si="43"/>
        <v>Normal Usage</v>
      </c>
    </row>
    <row r="2801" spans="1:9" x14ac:dyDescent="0.3">
      <c r="A2801">
        <v>12800</v>
      </c>
      <c r="B2801">
        <v>403</v>
      </c>
      <c r="C2801" s="2">
        <v>45359</v>
      </c>
      <c r="D2801" s="2" t="str">
        <f>TEXT(Table3[[#This Row],[usage_date]],"mmmm")</f>
        <v>March</v>
      </c>
      <c r="E2801" s="9">
        <f>YEAR(Table3[[#This Row],[usage_date]])</f>
        <v>2024</v>
      </c>
      <c r="F2801" s="14">
        <v>4.21</v>
      </c>
      <c r="G2801">
        <v>204</v>
      </c>
      <c r="H2801" t="s">
        <v>13</v>
      </c>
      <c r="I2801" t="str">
        <f t="shared" si="43"/>
        <v>Normal Usage</v>
      </c>
    </row>
    <row r="2802" spans="1:9" x14ac:dyDescent="0.3">
      <c r="A2802">
        <v>12801</v>
      </c>
      <c r="B2802">
        <v>128</v>
      </c>
      <c r="C2802" s="2">
        <v>44583</v>
      </c>
      <c r="D2802" s="2" t="str">
        <f>TEXT(Table3[[#This Row],[usage_date]],"mmmm")</f>
        <v>January</v>
      </c>
      <c r="E2802" s="9">
        <f>YEAR(Table3[[#This Row],[usage_date]])</f>
        <v>2022</v>
      </c>
      <c r="F2802" s="14">
        <v>2.33</v>
      </c>
      <c r="G2802">
        <v>23</v>
      </c>
      <c r="H2802" t="s">
        <v>12</v>
      </c>
      <c r="I2802" t="str">
        <f t="shared" si="43"/>
        <v>Normal Usage</v>
      </c>
    </row>
    <row r="2803" spans="1:9" x14ac:dyDescent="0.3">
      <c r="A2803">
        <v>12802</v>
      </c>
      <c r="B2803">
        <v>310</v>
      </c>
      <c r="C2803" s="2">
        <v>45332</v>
      </c>
      <c r="D2803" s="2" t="str">
        <f>TEXT(Table3[[#This Row],[usage_date]],"mmmm")</f>
        <v>February</v>
      </c>
      <c r="E2803" s="9">
        <f>YEAR(Table3[[#This Row],[usage_date]])</f>
        <v>2024</v>
      </c>
      <c r="F2803" s="14">
        <v>7.47</v>
      </c>
      <c r="G2803">
        <v>169</v>
      </c>
      <c r="H2803" t="s">
        <v>12</v>
      </c>
      <c r="I2803" t="str">
        <f t="shared" si="43"/>
        <v>High Usage</v>
      </c>
    </row>
    <row r="2804" spans="1:9" x14ac:dyDescent="0.3">
      <c r="A2804">
        <v>12803</v>
      </c>
      <c r="B2804">
        <v>477</v>
      </c>
      <c r="C2804" s="2">
        <v>45430</v>
      </c>
      <c r="D2804" s="2" t="str">
        <f>TEXT(Table3[[#This Row],[usage_date]],"mmmm")</f>
        <v>May</v>
      </c>
      <c r="E2804" s="9">
        <f>YEAR(Table3[[#This Row],[usage_date]])</f>
        <v>2024</v>
      </c>
      <c r="F2804" s="14">
        <v>1.04</v>
      </c>
      <c r="G2804">
        <v>102</v>
      </c>
      <c r="H2804" t="s">
        <v>13</v>
      </c>
      <c r="I2804" t="str">
        <f t="shared" si="43"/>
        <v>Normal Usage</v>
      </c>
    </row>
    <row r="2805" spans="1:9" x14ac:dyDescent="0.3">
      <c r="A2805">
        <v>12804</v>
      </c>
      <c r="B2805">
        <v>248</v>
      </c>
      <c r="C2805" s="2">
        <v>44666</v>
      </c>
      <c r="D2805" s="2" t="str">
        <f>TEXT(Table3[[#This Row],[usage_date]],"mmmm")</f>
        <v>April</v>
      </c>
      <c r="E2805" s="9">
        <f>YEAR(Table3[[#This Row],[usage_date]])</f>
        <v>2022</v>
      </c>
      <c r="F2805" s="14">
        <v>0.28999999999999998</v>
      </c>
      <c r="G2805">
        <v>59</v>
      </c>
      <c r="H2805" t="s">
        <v>12</v>
      </c>
      <c r="I2805" t="str">
        <f t="shared" si="43"/>
        <v>Normal Usage</v>
      </c>
    </row>
    <row r="2806" spans="1:9" x14ac:dyDescent="0.3">
      <c r="A2806">
        <v>12805</v>
      </c>
      <c r="B2806">
        <v>404</v>
      </c>
      <c r="C2806" s="2">
        <v>45027</v>
      </c>
      <c r="D2806" s="2" t="str">
        <f>TEXT(Table3[[#This Row],[usage_date]],"mmmm")</f>
        <v>April</v>
      </c>
      <c r="E2806" s="9">
        <f>YEAR(Table3[[#This Row],[usage_date]])</f>
        <v>2023</v>
      </c>
      <c r="F2806" s="14">
        <v>1.77</v>
      </c>
      <c r="G2806">
        <v>85</v>
      </c>
      <c r="H2806" t="s">
        <v>12</v>
      </c>
      <c r="I2806" t="str">
        <f t="shared" si="43"/>
        <v>Normal Usage</v>
      </c>
    </row>
    <row r="2807" spans="1:9" x14ac:dyDescent="0.3">
      <c r="A2807">
        <v>12806</v>
      </c>
      <c r="B2807">
        <v>29</v>
      </c>
      <c r="C2807" s="2">
        <v>45020</v>
      </c>
      <c r="D2807" s="2" t="str">
        <f>TEXT(Table3[[#This Row],[usage_date]],"mmmm")</f>
        <v>April</v>
      </c>
      <c r="E2807" s="9">
        <f>YEAR(Table3[[#This Row],[usage_date]])</f>
        <v>2023</v>
      </c>
      <c r="F2807" s="14">
        <v>0.22</v>
      </c>
      <c r="G2807">
        <v>254</v>
      </c>
      <c r="H2807" t="s">
        <v>12</v>
      </c>
      <c r="I2807" t="str">
        <f t="shared" si="43"/>
        <v>Normal Usage</v>
      </c>
    </row>
    <row r="2808" spans="1:9" x14ac:dyDescent="0.3">
      <c r="A2808">
        <v>12807</v>
      </c>
      <c r="B2808">
        <v>280</v>
      </c>
      <c r="C2808" s="2">
        <v>44993</v>
      </c>
      <c r="D2808" s="2" t="str">
        <f>TEXT(Table3[[#This Row],[usage_date]],"mmmm")</f>
        <v>March</v>
      </c>
      <c r="E2808" s="9">
        <f>YEAR(Table3[[#This Row],[usage_date]])</f>
        <v>2023</v>
      </c>
      <c r="F2808" s="14">
        <v>8.73</v>
      </c>
      <c r="G2808">
        <v>164</v>
      </c>
      <c r="H2808" t="s">
        <v>13</v>
      </c>
      <c r="I2808" t="str">
        <f t="shared" si="43"/>
        <v>High Usage</v>
      </c>
    </row>
    <row r="2809" spans="1:9" x14ac:dyDescent="0.3">
      <c r="A2809">
        <v>12808</v>
      </c>
      <c r="B2809">
        <v>338</v>
      </c>
      <c r="C2809" s="2">
        <v>45331</v>
      </c>
      <c r="D2809" s="2" t="str">
        <f>TEXT(Table3[[#This Row],[usage_date]],"mmmm")</f>
        <v>February</v>
      </c>
      <c r="E2809" s="9">
        <f>YEAR(Table3[[#This Row],[usage_date]])</f>
        <v>2024</v>
      </c>
      <c r="F2809" s="14">
        <v>0.1</v>
      </c>
      <c r="G2809">
        <v>166</v>
      </c>
      <c r="H2809" t="s">
        <v>12</v>
      </c>
      <c r="I2809" t="str">
        <f t="shared" si="43"/>
        <v>Normal Usage</v>
      </c>
    </row>
    <row r="2810" spans="1:9" x14ac:dyDescent="0.3">
      <c r="A2810">
        <v>12809</v>
      </c>
      <c r="B2810">
        <v>319</v>
      </c>
      <c r="C2810" s="2">
        <v>45277</v>
      </c>
      <c r="D2810" s="2" t="str">
        <f>TEXT(Table3[[#This Row],[usage_date]],"mmmm")</f>
        <v>December</v>
      </c>
      <c r="E2810" s="9">
        <f>YEAR(Table3[[#This Row],[usage_date]])</f>
        <v>2023</v>
      </c>
      <c r="F2810" s="14">
        <v>3.5</v>
      </c>
      <c r="G2810">
        <v>83</v>
      </c>
      <c r="H2810" t="s">
        <v>13</v>
      </c>
      <c r="I2810" t="str">
        <f t="shared" si="43"/>
        <v>Normal Usage</v>
      </c>
    </row>
    <row r="2811" spans="1:9" x14ac:dyDescent="0.3">
      <c r="A2811">
        <v>12810</v>
      </c>
      <c r="B2811">
        <v>202</v>
      </c>
      <c r="C2811" s="2">
        <v>45383</v>
      </c>
      <c r="D2811" s="2" t="str">
        <f>TEXT(Table3[[#This Row],[usage_date]],"mmmm")</f>
        <v>April</v>
      </c>
      <c r="E2811" s="9">
        <f>YEAR(Table3[[#This Row],[usage_date]])</f>
        <v>2024</v>
      </c>
      <c r="F2811" s="14">
        <v>1.86</v>
      </c>
      <c r="G2811">
        <v>201</v>
      </c>
      <c r="H2811" t="s">
        <v>13</v>
      </c>
      <c r="I2811" t="str">
        <f t="shared" si="43"/>
        <v>Normal Usage</v>
      </c>
    </row>
    <row r="2812" spans="1:9" x14ac:dyDescent="0.3">
      <c r="A2812">
        <v>12811</v>
      </c>
      <c r="B2812">
        <v>361</v>
      </c>
      <c r="C2812" s="2">
        <v>45335</v>
      </c>
      <c r="D2812" s="2" t="str">
        <f>TEXT(Table3[[#This Row],[usage_date]],"mmmm")</f>
        <v>February</v>
      </c>
      <c r="E2812" s="9">
        <f>YEAR(Table3[[#This Row],[usage_date]])</f>
        <v>2024</v>
      </c>
      <c r="F2812" s="14">
        <v>1.1499999999999999</v>
      </c>
      <c r="G2812">
        <v>89</v>
      </c>
      <c r="H2812" t="s">
        <v>13</v>
      </c>
      <c r="I2812" t="str">
        <f t="shared" si="43"/>
        <v>Normal Usage</v>
      </c>
    </row>
    <row r="2813" spans="1:9" x14ac:dyDescent="0.3">
      <c r="A2813">
        <v>12812</v>
      </c>
      <c r="B2813">
        <v>57</v>
      </c>
      <c r="C2813" s="2">
        <v>45180</v>
      </c>
      <c r="D2813" s="2" t="str">
        <f>TEXT(Table3[[#This Row],[usage_date]],"mmmm")</f>
        <v>September</v>
      </c>
      <c r="E2813" s="9">
        <f>YEAR(Table3[[#This Row],[usage_date]])</f>
        <v>2023</v>
      </c>
      <c r="F2813" s="14">
        <v>0.17</v>
      </c>
      <c r="G2813">
        <v>88</v>
      </c>
      <c r="H2813" t="s">
        <v>12</v>
      </c>
      <c r="I2813" t="str">
        <f t="shared" si="43"/>
        <v>Normal Usage</v>
      </c>
    </row>
    <row r="2814" spans="1:9" x14ac:dyDescent="0.3">
      <c r="A2814">
        <v>12813</v>
      </c>
      <c r="B2814">
        <v>392</v>
      </c>
      <c r="C2814" s="2">
        <v>45324</v>
      </c>
      <c r="D2814" s="2" t="str">
        <f>TEXT(Table3[[#This Row],[usage_date]],"mmmm")</f>
        <v>February</v>
      </c>
      <c r="E2814" s="9">
        <f>YEAR(Table3[[#This Row],[usage_date]])</f>
        <v>2024</v>
      </c>
      <c r="F2814" s="14">
        <v>2.4300000000000002</v>
      </c>
      <c r="G2814">
        <v>119</v>
      </c>
      <c r="H2814" t="s">
        <v>12</v>
      </c>
      <c r="I2814" t="str">
        <f t="shared" si="43"/>
        <v>Normal Usage</v>
      </c>
    </row>
    <row r="2815" spans="1:9" x14ac:dyDescent="0.3">
      <c r="A2815">
        <v>12814</v>
      </c>
      <c r="B2815">
        <v>218</v>
      </c>
      <c r="C2815" s="2">
        <v>44782</v>
      </c>
      <c r="D2815" s="2" t="str">
        <f>TEXT(Table3[[#This Row],[usage_date]],"mmmm")</f>
        <v>August</v>
      </c>
      <c r="E2815" s="9">
        <f>YEAR(Table3[[#This Row],[usage_date]])</f>
        <v>2022</v>
      </c>
      <c r="F2815" s="14">
        <v>2.2000000000000002</v>
      </c>
      <c r="G2815">
        <v>155</v>
      </c>
      <c r="H2815" t="s">
        <v>12</v>
      </c>
      <c r="I2815" t="str">
        <f t="shared" si="43"/>
        <v>Normal Usage</v>
      </c>
    </row>
    <row r="2816" spans="1:9" x14ac:dyDescent="0.3">
      <c r="A2816">
        <v>12815</v>
      </c>
      <c r="B2816">
        <v>62</v>
      </c>
      <c r="C2816" s="2">
        <v>44940</v>
      </c>
      <c r="D2816" s="2" t="str">
        <f>TEXT(Table3[[#This Row],[usage_date]],"mmmm")</f>
        <v>January</v>
      </c>
      <c r="E2816" s="9">
        <f>YEAR(Table3[[#This Row],[usage_date]])</f>
        <v>2023</v>
      </c>
      <c r="F2816" s="14">
        <v>0.82</v>
      </c>
      <c r="G2816">
        <v>187</v>
      </c>
      <c r="H2816" t="s">
        <v>12</v>
      </c>
      <c r="I2816" t="str">
        <f t="shared" si="43"/>
        <v>Normal Usage</v>
      </c>
    </row>
    <row r="2817" spans="1:9" x14ac:dyDescent="0.3">
      <c r="A2817">
        <v>12816</v>
      </c>
      <c r="B2817">
        <v>157</v>
      </c>
      <c r="C2817" s="2">
        <v>44783</v>
      </c>
      <c r="D2817" s="2" t="str">
        <f>TEXT(Table3[[#This Row],[usage_date]],"mmmm")</f>
        <v>August</v>
      </c>
      <c r="E2817" s="9">
        <f>YEAR(Table3[[#This Row],[usage_date]])</f>
        <v>2022</v>
      </c>
      <c r="F2817" s="14">
        <v>6.03</v>
      </c>
      <c r="G2817">
        <v>187</v>
      </c>
      <c r="H2817" t="s">
        <v>13</v>
      </c>
      <c r="I2817" t="str">
        <f t="shared" si="43"/>
        <v>High Usage</v>
      </c>
    </row>
    <row r="2818" spans="1:9" x14ac:dyDescent="0.3">
      <c r="A2818">
        <v>12817</v>
      </c>
      <c r="B2818">
        <v>202</v>
      </c>
      <c r="C2818" s="2">
        <v>44819</v>
      </c>
      <c r="D2818" s="2" t="str">
        <f>TEXT(Table3[[#This Row],[usage_date]],"mmmm")</f>
        <v>September</v>
      </c>
      <c r="E2818" s="9">
        <f>YEAR(Table3[[#This Row],[usage_date]])</f>
        <v>2022</v>
      </c>
      <c r="F2818" s="14">
        <v>0.91</v>
      </c>
      <c r="G2818">
        <v>261</v>
      </c>
      <c r="H2818" t="s">
        <v>12</v>
      </c>
      <c r="I2818" t="str">
        <f t="shared" ref="I2818:I2881" si="44">IF(F2818&gt;6,"High Usage","Normal Usage")</f>
        <v>Normal Usage</v>
      </c>
    </row>
    <row r="2819" spans="1:9" x14ac:dyDescent="0.3">
      <c r="A2819">
        <v>12818</v>
      </c>
      <c r="B2819">
        <v>17</v>
      </c>
      <c r="C2819" s="2">
        <v>45274</v>
      </c>
      <c r="D2819" s="2" t="str">
        <f>TEXT(Table3[[#This Row],[usage_date]],"mmmm")</f>
        <v>December</v>
      </c>
      <c r="E2819" s="9">
        <f>YEAR(Table3[[#This Row],[usage_date]])</f>
        <v>2023</v>
      </c>
      <c r="F2819" s="14">
        <v>1.49</v>
      </c>
      <c r="G2819">
        <v>51</v>
      </c>
      <c r="H2819" t="s">
        <v>13</v>
      </c>
      <c r="I2819" t="str">
        <f t="shared" si="44"/>
        <v>Normal Usage</v>
      </c>
    </row>
    <row r="2820" spans="1:9" x14ac:dyDescent="0.3">
      <c r="A2820">
        <v>12819</v>
      </c>
      <c r="B2820">
        <v>322</v>
      </c>
      <c r="C2820" s="2">
        <v>44928</v>
      </c>
      <c r="D2820" s="2" t="str">
        <f>TEXT(Table3[[#This Row],[usage_date]],"mmmm")</f>
        <v>January</v>
      </c>
      <c r="E2820" s="9">
        <f>YEAR(Table3[[#This Row],[usage_date]])</f>
        <v>2023</v>
      </c>
      <c r="F2820" s="14">
        <v>1.96</v>
      </c>
      <c r="G2820">
        <v>139</v>
      </c>
      <c r="H2820" t="s">
        <v>12</v>
      </c>
      <c r="I2820" t="str">
        <f t="shared" si="44"/>
        <v>Normal Usage</v>
      </c>
    </row>
    <row r="2821" spans="1:9" x14ac:dyDescent="0.3">
      <c r="A2821">
        <v>12820</v>
      </c>
      <c r="B2821">
        <v>6</v>
      </c>
      <c r="C2821" s="2">
        <v>45331</v>
      </c>
      <c r="D2821" s="2" t="str">
        <f>TEXT(Table3[[#This Row],[usage_date]],"mmmm")</f>
        <v>February</v>
      </c>
      <c r="E2821" s="9">
        <f>YEAR(Table3[[#This Row],[usage_date]])</f>
        <v>2024</v>
      </c>
      <c r="F2821" s="14">
        <v>0.26</v>
      </c>
      <c r="G2821">
        <v>18</v>
      </c>
      <c r="H2821" t="s">
        <v>13</v>
      </c>
      <c r="I2821" t="str">
        <f t="shared" si="44"/>
        <v>Normal Usage</v>
      </c>
    </row>
    <row r="2822" spans="1:9" x14ac:dyDescent="0.3">
      <c r="A2822">
        <v>12821</v>
      </c>
      <c r="B2822">
        <v>58</v>
      </c>
      <c r="C2822" s="2">
        <v>44910</v>
      </c>
      <c r="D2822" s="2" t="str">
        <f>TEXT(Table3[[#This Row],[usage_date]],"mmmm")</f>
        <v>December</v>
      </c>
      <c r="E2822" s="9">
        <f>YEAR(Table3[[#This Row],[usage_date]])</f>
        <v>2022</v>
      </c>
      <c r="F2822" s="14">
        <v>6.73</v>
      </c>
      <c r="G2822">
        <v>74</v>
      </c>
      <c r="H2822" t="s">
        <v>12</v>
      </c>
      <c r="I2822" t="str">
        <f t="shared" si="44"/>
        <v>High Usage</v>
      </c>
    </row>
    <row r="2823" spans="1:9" x14ac:dyDescent="0.3">
      <c r="A2823">
        <v>12822</v>
      </c>
      <c r="B2823">
        <v>325</v>
      </c>
      <c r="C2823" s="2">
        <v>44786</v>
      </c>
      <c r="D2823" s="2" t="str">
        <f>TEXT(Table3[[#This Row],[usage_date]],"mmmm")</f>
        <v>August</v>
      </c>
      <c r="E2823" s="9">
        <f>YEAR(Table3[[#This Row],[usage_date]])</f>
        <v>2022</v>
      </c>
      <c r="F2823" s="14">
        <v>1.17</v>
      </c>
      <c r="G2823">
        <v>229</v>
      </c>
      <c r="H2823" t="s">
        <v>12</v>
      </c>
      <c r="I2823" t="str">
        <f t="shared" si="44"/>
        <v>Normal Usage</v>
      </c>
    </row>
    <row r="2824" spans="1:9" x14ac:dyDescent="0.3">
      <c r="A2824">
        <v>12823</v>
      </c>
      <c r="B2824">
        <v>412</v>
      </c>
      <c r="C2824" s="2">
        <v>45275</v>
      </c>
      <c r="D2824" s="2" t="str">
        <f>TEXT(Table3[[#This Row],[usage_date]],"mmmm")</f>
        <v>December</v>
      </c>
      <c r="E2824" s="9">
        <f>YEAR(Table3[[#This Row],[usage_date]])</f>
        <v>2023</v>
      </c>
      <c r="F2824" s="14">
        <v>0.21</v>
      </c>
      <c r="G2824">
        <v>129</v>
      </c>
      <c r="H2824" t="s">
        <v>13</v>
      </c>
      <c r="I2824" t="str">
        <f t="shared" si="44"/>
        <v>Normal Usage</v>
      </c>
    </row>
    <row r="2825" spans="1:9" x14ac:dyDescent="0.3">
      <c r="A2825">
        <v>12824</v>
      </c>
      <c r="B2825">
        <v>318</v>
      </c>
      <c r="C2825" s="2">
        <v>45299</v>
      </c>
      <c r="D2825" s="2" t="str">
        <f>TEXT(Table3[[#This Row],[usage_date]],"mmmm")</f>
        <v>January</v>
      </c>
      <c r="E2825" s="9">
        <f>YEAR(Table3[[#This Row],[usage_date]])</f>
        <v>2024</v>
      </c>
      <c r="F2825" s="14">
        <v>1.22</v>
      </c>
      <c r="G2825">
        <v>54</v>
      </c>
      <c r="H2825" t="s">
        <v>12</v>
      </c>
      <c r="I2825" t="str">
        <f t="shared" si="44"/>
        <v>Normal Usage</v>
      </c>
    </row>
    <row r="2826" spans="1:9" x14ac:dyDescent="0.3">
      <c r="A2826">
        <v>12825</v>
      </c>
      <c r="B2826">
        <v>169</v>
      </c>
      <c r="C2826" s="2">
        <v>44797</v>
      </c>
      <c r="D2826" s="2" t="str">
        <f>TEXT(Table3[[#This Row],[usage_date]],"mmmm")</f>
        <v>August</v>
      </c>
      <c r="E2826" s="9">
        <f>YEAR(Table3[[#This Row],[usage_date]])</f>
        <v>2022</v>
      </c>
      <c r="F2826" s="14">
        <v>2.29</v>
      </c>
      <c r="G2826">
        <v>270</v>
      </c>
      <c r="H2826" t="s">
        <v>12</v>
      </c>
      <c r="I2826" t="str">
        <f t="shared" si="44"/>
        <v>Normal Usage</v>
      </c>
    </row>
    <row r="2827" spans="1:9" x14ac:dyDescent="0.3">
      <c r="A2827">
        <v>12826</v>
      </c>
      <c r="B2827">
        <v>453</v>
      </c>
      <c r="C2827" s="2">
        <v>44744</v>
      </c>
      <c r="D2827" s="2" t="str">
        <f>TEXT(Table3[[#This Row],[usage_date]],"mmmm")</f>
        <v>July</v>
      </c>
      <c r="E2827" s="9">
        <f>YEAR(Table3[[#This Row],[usage_date]])</f>
        <v>2022</v>
      </c>
      <c r="F2827" s="14">
        <v>1.8</v>
      </c>
      <c r="G2827">
        <v>99</v>
      </c>
      <c r="H2827" t="s">
        <v>12</v>
      </c>
      <c r="I2827" t="str">
        <f t="shared" si="44"/>
        <v>Normal Usage</v>
      </c>
    </row>
    <row r="2828" spans="1:9" x14ac:dyDescent="0.3">
      <c r="A2828">
        <v>12827</v>
      </c>
      <c r="B2828">
        <v>82</v>
      </c>
      <c r="C2828" s="2">
        <v>45273</v>
      </c>
      <c r="D2828" s="2" t="str">
        <f>TEXT(Table3[[#This Row],[usage_date]],"mmmm")</f>
        <v>December</v>
      </c>
      <c r="E2828" s="9">
        <f>YEAR(Table3[[#This Row],[usage_date]])</f>
        <v>2023</v>
      </c>
      <c r="F2828" s="14">
        <v>2.96</v>
      </c>
      <c r="G2828">
        <v>68</v>
      </c>
      <c r="H2828" t="s">
        <v>12</v>
      </c>
      <c r="I2828" t="str">
        <f t="shared" si="44"/>
        <v>Normal Usage</v>
      </c>
    </row>
    <row r="2829" spans="1:9" x14ac:dyDescent="0.3">
      <c r="A2829">
        <v>12828</v>
      </c>
      <c r="B2829">
        <v>474</v>
      </c>
      <c r="C2829" s="2">
        <v>45430</v>
      </c>
      <c r="D2829" s="2" t="str">
        <f>TEXT(Table3[[#This Row],[usage_date]],"mmmm")</f>
        <v>May</v>
      </c>
      <c r="E2829" s="9">
        <f>YEAR(Table3[[#This Row],[usage_date]])</f>
        <v>2024</v>
      </c>
      <c r="F2829" s="14">
        <v>0.14000000000000001</v>
      </c>
      <c r="G2829">
        <v>298</v>
      </c>
      <c r="H2829" t="s">
        <v>13</v>
      </c>
      <c r="I2829" t="str">
        <f t="shared" si="44"/>
        <v>Normal Usage</v>
      </c>
    </row>
    <row r="2830" spans="1:9" x14ac:dyDescent="0.3">
      <c r="A2830">
        <v>12829</v>
      </c>
      <c r="B2830">
        <v>468</v>
      </c>
      <c r="C2830" s="2">
        <v>45319</v>
      </c>
      <c r="D2830" s="2" t="str">
        <f>TEXT(Table3[[#This Row],[usage_date]],"mmmm")</f>
        <v>January</v>
      </c>
      <c r="E2830" s="9">
        <f>YEAR(Table3[[#This Row],[usage_date]])</f>
        <v>2024</v>
      </c>
      <c r="F2830" s="14">
        <v>0.84</v>
      </c>
      <c r="G2830">
        <v>16</v>
      </c>
      <c r="H2830" t="s">
        <v>13</v>
      </c>
      <c r="I2830" t="str">
        <f t="shared" si="44"/>
        <v>Normal Usage</v>
      </c>
    </row>
    <row r="2831" spans="1:9" x14ac:dyDescent="0.3">
      <c r="A2831">
        <v>12830</v>
      </c>
      <c r="B2831">
        <v>425</v>
      </c>
      <c r="C2831" s="2">
        <v>45005</v>
      </c>
      <c r="D2831" s="2" t="str">
        <f>TEXT(Table3[[#This Row],[usage_date]],"mmmm")</f>
        <v>March</v>
      </c>
      <c r="E2831" s="9">
        <f>YEAR(Table3[[#This Row],[usage_date]])</f>
        <v>2023</v>
      </c>
      <c r="F2831" s="14">
        <v>4.28</v>
      </c>
      <c r="G2831">
        <v>115</v>
      </c>
      <c r="H2831" t="s">
        <v>12</v>
      </c>
      <c r="I2831" t="str">
        <f t="shared" si="44"/>
        <v>Normal Usage</v>
      </c>
    </row>
    <row r="2832" spans="1:9" x14ac:dyDescent="0.3">
      <c r="A2832">
        <v>12831</v>
      </c>
      <c r="B2832">
        <v>433</v>
      </c>
      <c r="C2832" s="2">
        <v>45426</v>
      </c>
      <c r="D2832" s="2" t="str">
        <f>TEXT(Table3[[#This Row],[usage_date]],"mmmm")</f>
        <v>May</v>
      </c>
      <c r="E2832" s="9">
        <f>YEAR(Table3[[#This Row],[usage_date]])</f>
        <v>2024</v>
      </c>
      <c r="F2832" s="14">
        <v>0.21</v>
      </c>
      <c r="G2832">
        <v>151</v>
      </c>
      <c r="H2832" t="s">
        <v>12</v>
      </c>
      <c r="I2832" t="str">
        <f t="shared" si="44"/>
        <v>Normal Usage</v>
      </c>
    </row>
    <row r="2833" spans="1:9" x14ac:dyDescent="0.3">
      <c r="A2833">
        <v>12832</v>
      </c>
      <c r="B2833">
        <v>219</v>
      </c>
      <c r="C2833" s="2">
        <v>45184</v>
      </c>
      <c r="D2833" s="2" t="str">
        <f>TEXT(Table3[[#This Row],[usage_date]],"mmmm")</f>
        <v>September</v>
      </c>
      <c r="E2833" s="9">
        <f>YEAR(Table3[[#This Row],[usage_date]])</f>
        <v>2023</v>
      </c>
      <c r="F2833" s="14">
        <v>4.84</v>
      </c>
      <c r="G2833">
        <v>115</v>
      </c>
      <c r="H2833" t="s">
        <v>12</v>
      </c>
      <c r="I2833" t="str">
        <f t="shared" si="44"/>
        <v>Normal Usage</v>
      </c>
    </row>
    <row r="2834" spans="1:9" x14ac:dyDescent="0.3">
      <c r="A2834">
        <v>12833</v>
      </c>
      <c r="B2834">
        <v>177</v>
      </c>
      <c r="C2834" s="2">
        <v>44567</v>
      </c>
      <c r="D2834" s="2" t="str">
        <f>TEXT(Table3[[#This Row],[usage_date]],"mmmm")</f>
        <v>January</v>
      </c>
      <c r="E2834" s="9">
        <f>YEAR(Table3[[#This Row],[usage_date]])</f>
        <v>2022</v>
      </c>
      <c r="F2834" s="14">
        <v>0.24</v>
      </c>
      <c r="G2834">
        <v>29</v>
      </c>
      <c r="H2834" t="s">
        <v>13</v>
      </c>
      <c r="I2834" t="str">
        <f t="shared" si="44"/>
        <v>Normal Usage</v>
      </c>
    </row>
    <row r="2835" spans="1:9" x14ac:dyDescent="0.3">
      <c r="A2835">
        <v>12834</v>
      </c>
      <c r="B2835">
        <v>204</v>
      </c>
      <c r="C2835" s="2">
        <v>44797</v>
      </c>
      <c r="D2835" s="2" t="str">
        <f>TEXT(Table3[[#This Row],[usage_date]],"mmmm")</f>
        <v>August</v>
      </c>
      <c r="E2835" s="9">
        <f>YEAR(Table3[[#This Row],[usage_date]])</f>
        <v>2022</v>
      </c>
      <c r="F2835" s="14">
        <v>4.5</v>
      </c>
      <c r="G2835">
        <v>50</v>
      </c>
      <c r="H2835" t="s">
        <v>13</v>
      </c>
      <c r="I2835" t="str">
        <f t="shared" si="44"/>
        <v>Normal Usage</v>
      </c>
    </row>
    <row r="2836" spans="1:9" x14ac:dyDescent="0.3">
      <c r="A2836">
        <v>12835</v>
      </c>
      <c r="B2836">
        <v>71</v>
      </c>
      <c r="C2836" s="2">
        <v>44688</v>
      </c>
      <c r="D2836" s="2" t="str">
        <f>TEXT(Table3[[#This Row],[usage_date]],"mmmm")</f>
        <v>May</v>
      </c>
      <c r="E2836" s="9">
        <f>YEAR(Table3[[#This Row],[usage_date]])</f>
        <v>2022</v>
      </c>
      <c r="F2836" s="14">
        <v>1.1200000000000001</v>
      </c>
      <c r="G2836">
        <v>59</v>
      </c>
      <c r="H2836" t="s">
        <v>13</v>
      </c>
      <c r="I2836" t="str">
        <f t="shared" si="44"/>
        <v>Normal Usage</v>
      </c>
    </row>
    <row r="2837" spans="1:9" x14ac:dyDescent="0.3">
      <c r="A2837">
        <v>12836</v>
      </c>
      <c r="B2837">
        <v>387</v>
      </c>
      <c r="C2837" s="2">
        <v>44665</v>
      </c>
      <c r="D2837" s="2" t="str">
        <f>TEXT(Table3[[#This Row],[usage_date]],"mmmm")</f>
        <v>April</v>
      </c>
      <c r="E2837" s="9">
        <f>YEAR(Table3[[#This Row],[usage_date]])</f>
        <v>2022</v>
      </c>
      <c r="F2837" s="14">
        <v>2.37</v>
      </c>
      <c r="G2837">
        <v>228</v>
      </c>
      <c r="H2837" t="s">
        <v>12</v>
      </c>
      <c r="I2837" t="str">
        <f t="shared" si="44"/>
        <v>Normal Usage</v>
      </c>
    </row>
    <row r="2838" spans="1:9" x14ac:dyDescent="0.3">
      <c r="A2838">
        <v>12837</v>
      </c>
      <c r="B2838">
        <v>266</v>
      </c>
      <c r="C2838" s="2">
        <v>45310</v>
      </c>
      <c r="D2838" s="2" t="str">
        <f>TEXT(Table3[[#This Row],[usage_date]],"mmmm")</f>
        <v>January</v>
      </c>
      <c r="E2838" s="9">
        <f>YEAR(Table3[[#This Row],[usage_date]])</f>
        <v>2024</v>
      </c>
      <c r="F2838" s="14">
        <v>0.41</v>
      </c>
      <c r="G2838">
        <v>258</v>
      </c>
      <c r="H2838" t="s">
        <v>12</v>
      </c>
      <c r="I2838" t="str">
        <f t="shared" si="44"/>
        <v>Normal Usage</v>
      </c>
    </row>
    <row r="2839" spans="1:9" x14ac:dyDescent="0.3">
      <c r="A2839">
        <v>12838</v>
      </c>
      <c r="B2839">
        <v>98</v>
      </c>
      <c r="C2839" s="2">
        <v>45041</v>
      </c>
      <c r="D2839" s="2" t="str">
        <f>TEXT(Table3[[#This Row],[usage_date]],"mmmm")</f>
        <v>April</v>
      </c>
      <c r="E2839" s="9">
        <f>YEAR(Table3[[#This Row],[usage_date]])</f>
        <v>2023</v>
      </c>
      <c r="F2839" s="14">
        <v>0.17</v>
      </c>
      <c r="G2839">
        <v>4</v>
      </c>
      <c r="H2839" t="s">
        <v>12</v>
      </c>
      <c r="I2839" t="str">
        <f t="shared" si="44"/>
        <v>Normal Usage</v>
      </c>
    </row>
    <row r="2840" spans="1:9" x14ac:dyDescent="0.3">
      <c r="A2840">
        <v>12839</v>
      </c>
      <c r="B2840">
        <v>345</v>
      </c>
      <c r="C2840" s="2">
        <v>44716</v>
      </c>
      <c r="D2840" s="2" t="str">
        <f>TEXT(Table3[[#This Row],[usage_date]],"mmmm")</f>
        <v>June</v>
      </c>
      <c r="E2840" s="9">
        <f>YEAR(Table3[[#This Row],[usage_date]])</f>
        <v>2022</v>
      </c>
      <c r="F2840" s="14">
        <v>0.61</v>
      </c>
      <c r="G2840">
        <v>27</v>
      </c>
      <c r="H2840" t="s">
        <v>12</v>
      </c>
      <c r="I2840" t="str">
        <f t="shared" si="44"/>
        <v>Normal Usage</v>
      </c>
    </row>
    <row r="2841" spans="1:9" x14ac:dyDescent="0.3">
      <c r="A2841">
        <v>12840</v>
      </c>
      <c r="B2841">
        <v>291</v>
      </c>
      <c r="C2841" s="2">
        <v>44818</v>
      </c>
      <c r="D2841" s="2" t="str">
        <f>TEXT(Table3[[#This Row],[usage_date]],"mmmm")</f>
        <v>September</v>
      </c>
      <c r="E2841" s="9">
        <f>YEAR(Table3[[#This Row],[usage_date]])</f>
        <v>2022</v>
      </c>
      <c r="F2841" s="14">
        <v>0.34</v>
      </c>
      <c r="G2841">
        <v>253</v>
      </c>
      <c r="H2841" t="s">
        <v>13</v>
      </c>
      <c r="I2841" t="str">
        <f t="shared" si="44"/>
        <v>Normal Usage</v>
      </c>
    </row>
    <row r="2842" spans="1:9" x14ac:dyDescent="0.3">
      <c r="A2842">
        <v>12841</v>
      </c>
      <c r="B2842">
        <v>208</v>
      </c>
      <c r="C2842" s="2">
        <v>44796</v>
      </c>
      <c r="D2842" s="2" t="str">
        <f>TEXT(Table3[[#This Row],[usage_date]],"mmmm")</f>
        <v>August</v>
      </c>
      <c r="E2842" s="9">
        <f>YEAR(Table3[[#This Row],[usage_date]])</f>
        <v>2022</v>
      </c>
      <c r="F2842" s="14">
        <v>0.94</v>
      </c>
      <c r="G2842">
        <v>230</v>
      </c>
      <c r="H2842" t="s">
        <v>12</v>
      </c>
      <c r="I2842" t="str">
        <f t="shared" si="44"/>
        <v>Normal Usage</v>
      </c>
    </row>
    <row r="2843" spans="1:9" x14ac:dyDescent="0.3">
      <c r="A2843">
        <v>12842</v>
      </c>
      <c r="B2843">
        <v>2</v>
      </c>
      <c r="C2843" s="2">
        <v>45061</v>
      </c>
      <c r="D2843" s="2" t="str">
        <f>TEXT(Table3[[#This Row],[usage_date]],"mmmm")</f>
        <v>May</v>
      </c>
      <c r="E2843" s="9">
        <f>YEAR(Table3[[#This Row],[usage_date]])</f>
        <v>2023</v>
      </c>
      <c r="F2843" s="14">
        <v>1.81</v>
      </c>
      <c r="G2843">
        <v>199</v>
      </c>
      <c r="H2843" t="s">
        <v>13</v>
      </c>
      <c r="I2843" t="str">
        <f t="shared" si="44"/>
        <v>Normal Usage</v>
      </c>
    </row>
    <row r="2844" spans="1:9" x14ac:dyDescent="0.3">
      <c r="A2844">
        <v>12843</v>
      </c>
      <c r="B2844">
        <v>124</v>
      </c>
      <c r="C2844" s="2">
        <v>44850</v>
      </c>
      <c r="D2844" s="2" t="str">
        <f>TEXT(Table3[[#This Row],[usage_date]],"mmmm")</f>
        <v>October</v>
      </c>
      <c r="E2844" s="9">
        <f>YEAR(Table3[[#This Row],[usage_date]])</f>
        <v>2022</v>
      </c>
      <c r="F2844" s="14">
        <v>2.2200000000000002</v>
      </c>
      <c r="G2844">
        <v>270</v>
      </c>
      <c r="H2844" t="s">
        <v>12</v>
      </c>
      <c r="I2844" t="str">
        <f t="shared" si="44"/>
        <v>Normal Usage</v>
      </c>
    </row>
    <row r="2845" spans="1:9" x14ac:dyDescent="0.3">
      <c r="A2845">
        <v>12844</v>
      </c>
      <c r="B2845">
        <v>280</v>
      </c>
      <c r="C2845" s="2">
        <v>45071</v>
      </c>
      <c r="D2845" s="2" t="str">
        <f>TEXT(Table3[[#This Row],[usage_date]],"mmmm")</f>
        <v>May</v>
      </c>
      <c r="E2845" s="9">
        <f>YEAR(Table3[[#This Row],[usage_date]])</f>
        <v>2023</v>
      </c>
      <c r="F2845" s="14">
        <v>3.9</v>
      </c>
      <c r="G2845">
        <v>45</v>
      </c>
      <c r="H2845" t="s">
        <v>13</v>
      </c>
      <c r="I2845" t="str">
        <f t="shared" si="44"/>
        <v>Normal Usage</v>
      </c>
    </row>
    <row r="2846" spans="1:9" x14ac:dyDescent="0.3">
      <c r="A2846">
        <v>12845</v>
      </c>
      <c r="B2846">
        <v>74</v>
      </c>
      <c r="C2846" s="2">
        <v>45113</v>
      </c>
      <c r="D2846" s="2" t="str">
        <f>TEXT(Table3[[#This Row],[usage_date]],"mmmm")</f>
        <v>July</v>
      </c>
      <c r="E2846" s="9">
        <f>YEAR(Table3[[#This Row],[usage_date]])</f>
        <v>2023</v>
      </c>
      <c r="F2846" s="14">
        <v>2.67</v>
      </c>
      <c r="G2846">
        <v>27</v>
      </c>
      <c r="H2846" t="s">
        <v>12</v>
      </c>
      <c r="I2846" t="str">
        <f t="shared" si="44"/>
        <v>Normal Usage</v>
      </c>
    </row>
    <row r="2847" spans="1:9" x14ac:dyDescent="0.3">
      <c r="A2847">
        <v>12846</v>
      </c>
      <c r="B2847">
        <v>166</v>
      </c>
      <c r="C2847" s="2">
        <v>45361</v>
      </c>
      <c r="D2847" s="2" t="str">
        <f>TEXT(Table3[[#This Row],[usage_date]],"mmmm")</f>
        <v>March</v>
      </c>
      <c r="E2847" s="9">
        <f>YEAR(Table3[[#This Row],[usage_date]])</f>
        <v>2024</v>
      </c>
      <c r="F2847" s="14">
        <v>2.35</v>
      </c>
      <c r="G2847">
        <v>6</v>
      </c>
      <c r="H2847" t="s">
        <v>12</v>
      </c>
      <c r="I2847" t="str">
        <f t="shared" si="44"/>
        <v>Normal Usage</v>
      </c>
    </row>
    <row r="2848" spans="1:9" x14ac:dyDescent="0.3">
      <c r="A2848">
        <v>12847</v>
      </c>
      <c r="B2848">
        <v>22</v>
      </c>
      <c r="C2848" s="2">
        <v>45270</v>
      </c>
      <c r="D2848" s="2" t="str">
        <f>TEXT(Table3[[#This Row],[usage_date]],"mmmm")</f>
        <v>December</v>
      </c>
      <c r="E2848" s="9">
        <f>YEAR(Table3[[#This Row],[usage_date]])</f>
        <v>2023</v>
      </c>
      <c r="F2848" s="14">
        <v>1.33</v>
      </c>
      <c r="G2848">
        <v>231</v>
      </c>
      <c r="H2848" t="s">
        <v>12</v>
      </c>
      <c r="I2848" t="str">
        <f t="shared" si="44"/>
        <v>Normal Usage</v>
      </c>
    </row>
    <row r="2849" spans="1:9" x14ac:dyDescent="0.3">
      <c r="A2849">
        <v>12848</v>
      </c>
      <c r="B2849">
        <v>154</v>
      </c>
      <c r="C2849" s="2">
        <v>45346</v>
      </c>
      <c r="D2849" s="2" t="str">
        <f>TEXT(Table3[[#This Row],[usage_date]],"mmmm")</f>
        <v>February</v>
      </c>
      <c r="E2849" s="9">
        <f>YEAR(Table3[[#This Row],[usage_date]])</f>
        <v>2024</v>
      </c>
      <c r="F2849" s="14">
        <v>1.61</v>
      </c>
      <c r="G2849">
        <v>198</v>
      </c>
      <c r="H2849" t="s">
        <v>13</v>
      </c>
      <c r="I2849" t="str">
        <f t="shared" si="44"/>
        <v>Normal Usage</v>
      </c>
    </row>
    <row r="2850" spans="1:9" x14ac:dyDescent="0.3">
      <c r="A2850">
        <v>12849</v>
      </c>
      <c r="B2850">
        <v>427</v>
      </c>
      <c r="C2850" s="2">
        <v>45455</v>
      </c>
      <c r="D2850" s="2" t="str">
        <f>TEXT(Table3[[#This Row],[usage_date]],"mmmm")</f>
        <v>June</v>
      </c>
      <c r="E2850" s="9">
        <f>YEAR(Table3[[#This Row],[usage_date]])</f>
        <v>2024</v>
      </c>
      <c r="F2850" s="14">
        <v>1.34</v>
      </c>
      <c r="G2850">
        <v>93</v>
      </c>
      <c r="H2850" t="s">
        <v>12</v>
      </c>
      <c r="I2850" t="str">
        <f t="shared" si="44"/>
        <v>Normal Usage</v>
      </c>
    </row>
    <row r="2851" spans="1:9" x14ac:dyDescent="0.3">
      <c r="A2851">
        <v>12850</v>
      </c>
      <c r="B2851">
        <v>439</v>
      </c>
      <c r="C2851" s="2">
        <v>45337</v>
      </c>
      <c r="D2851" s="2" t="str">
        <f>TEXT(Table3[[#This Row],[usage_date]],"mmmm")</f>
        <v>February</v>
      </c>
      <c r="E2851" s="9">
        <f>YEAR(Table3[[#This Row],[usage_date]])</f>
        <v>2024</v>
      </c>
      <c r="F2851" s="14">
        <v>4.62</v>
      </c>
      <c r="G2851">
        <v>81</v>
      </c>
      <c r="H2851" t="s">
        <v>13</v>
      </c>
      <c r="I2851" t="str">
        <f t="shared" si="44"/>
        <v>Normal Usage</v>
      </c>
    </row>
    <row r="2852" spans="1:9" x14ac:dyDescent="0.3">
      <c r="A2852">
        <v>12851</v>
      </c>
      <c r="B2852">
        <v>295</v>
      </c>
      <c r="C2852" s="2">
        <v>45130</v>
      </c>
      <c r="D2852" s="2" t="str">
        <f>TEXT(Table3[[#This Row],[usage_date]],"mmmm")</f>
        <v>July</v>
      </c>
      <c r="E2852" s="9">
        <f>YEAR(Table3[[#This Row],[usage_date]])</f>
        <v>2023</v>
      </c>
      <c r="F2852" s="14">
        <v>0.65</v>
      </c>
      <c r="G2852">
        <v>87</v>
      </c>
      <c r="H2852" t="s">
        <v>12</v>
      </c>
      <c r="I2852" t="str">
        <f t="shared" si="44"/>
        <v>Normal Usage</v>
      </c>
    </row>
    <row r="2853" spans="1:9" x14ac:dyDescent="0.3">
      <c r="A2853">
        <v>12852</v>
      </c>
      <c r="B2853">
        <v>219</v>
      </c>
      <c r="C2853" s="2">
        <v>44859</v>
      </c>
      <c r="D2853" s="2" t="str">
        <f>TEXT(Table3[[#This Row],[usage_date]],"mmmm")</f>
        <v>October</v>
      </c>
      <c r="E2853" s="9">
        <f>YEAR(Table3[[#This Row],[usage_date]])</f>
        <v>2022</v>
      </c>
      <c r="F2853" s="14">
        <v>0.01</v>
      </c>
      <c r="G2853">
        <v>185</v>
      </c>
      <c r="H2853" t="s">
        <v>12</v>
      </c>
      <c r="I2853" t="str">
        <f t="shared" si="44"/>
        <v>Normal Usage</v>
      </c>
    </row>
    <row r="2854" spans="1:9" x14ac:dyDescent="0.3">
      <c r="A2854">
        <v>12853</v>
      </c>
      <c r="B2854">
        <v>157</v>
      </c>
      <c r="C2854" s="2">
        <v>45171</v>
      </c>
      <c r="D2854" s="2" t="str">
        <f>TEXT(Table3[[#This Row],[usage_date]],"mmmm")</f>
        <v>September</v>
      </c>
      <c r="E2854" s="9">
        <f>YEAR(Table3[[#This Row],[usage_date]])</f>
        <v>2023</v>
      </c>
      <c r="F2854" s="14">
        <v>2.63</v>
      </c>
      <c r="G2854">
        <v>242</v>
      </c>
      <c r="H2854" t="s">
        <v>13</v>
      </c>
      <c r="I2854" t="str">
        <f t="shared" si="44"/>
        <v>Normal Usage</v>
      </c>
    </row>
    <row r="2855" spans="1:9" x14ac:dyDescent="0.3">
      <c r="A2855">
        <v>12854</v>
      </c>
      <c r="B2855">
        <v>495</v>
      </c>
      <c r="C2855" s="2">
        <v>44698</v>
      </c>
      <c r="D2855" s="2" t="str">
        <f>TEXT(Table3[[#This Row],[usage_date]],"mmmm")</f>
        <v>May</v>
      </c>
      <c r="E2855" s="9">
        <f>YEAR(Table3[[#This Row],[usage_date]])</f>
        <v>2022</v>
      </c>
      <c r="F2855" s="14">
        <v>0.56999999999999995</v>
      </c>
      <c r="G2855">
        <v>67</v>
      </c>
      <c r="H2855" t="s">
        <v>12</v>
      </c>
      <c r="I2855" t="str">
        <f t="shared" si="44"/>
        <v>Normal Usage</v>
      </c>
    </row>
    <row r="2856" spans="1:9" x14ac:dyDescent="0.3">
      <c r="A2856">
        <v>12855</v>
      </c>
      <c r="B2856">
        <v>230</v>
      </c>
      <c r="C2856" s="2">
        <v>44937</v>
      </c>
      <c r="D2856" s="2" t="str">
        <f>TEXT(Table3[[#This Row],[usage_date]],"mmmm")</f>
        <v>January</v>
      </c>
      <c r="E2856" s="9">
        <f>YEAR(Table3[[#This Row],[usage_date]])</f>
        <v>2023</v>
      </c>
      <c r="F2856" s="14">
        <v>5.52</v>
      </c>
      <c r="G2856">
        <v>186</v>
      </c>
      <c r="H2856" t="s">
        <v>12</v>
      </c>
      <c r="I2856" t="str">
        <f t="shared" si="44"/>
        <v>Normal Usage</v>
      </c>
    </row>
    <row r="2857" spans="1:9" x14ac:dyDescent="0.3">
      <c r="A2857">
        <v>12856</v>
      </c>
      <c r="B2857">
        <v>20</v>
      </c>
      <c r="C2857" s="2">
        <v>44648</v>
      </c>
      <c r="D2857" s="2" t="str">
        <f>TEXT(Table3[[#This Row],[usage_date]],"mmmm")</f>
        <v>March</v>
      </c>
      <c r="E2857" s="9">
        <f>YEAR(Table3[[#This Row],[usage_date]])</f>
        <v>2022</v>
      </c>
      <c r="F2857" s="14">
        <v>4.9000000000000004</v>
      </c>
      <c r="G2857">
        <v>238</v>
      </c>
      <c r="H2857" t="s">
        <v>12</v>
      </c>
      <c r="I2857" t="str">
        <f t="shared" si="44"/>
        <v>Normal Usage</v>
      </c>
    </row>
    <row r="2858" spans="1:9" x14ac:dyDescent="0.3">
      <c r="A2858">
        <v>12857</v>
      </c>
      <c r="B2858">
        <v>475</v>
      </c>
      <c r="C2858" s="2">
        <v>44980</v>
      </c>
      <c r="D2858" s="2" t="str">
        <f>TEXT(Table3[[#This Row],[usage_date]],"mmmm")</f>
        <v>February</v>
      </c>
      <c r="E2858" s="9">
        <f>YEAR(Table3[[#This Row],[usage_date]])</f>
        <v>2023</v>
      </c>
      <c r="F2858" s="14">
        <v>0.2</v>
      </c>
      <c r="G2858">
        <v>217</v>
      </c>
      <c r="H2858" t="s">
        <v>13</v>
      </c>
      <c r="I2858" t="str">
        <f t="shared" si="44"/>
        <v>Normal Usage</v>
      </c>
    </row>
    <row r="2859" spans="1:9" x14ac:dyDescent="0.3">
      <c r="A2859">
        <v>12858</v>
      </c>
      <c r="B2859">
        <v>41</v>
      </c>
      <c r="C2859" s="2">
        <v>45315</v>
      </c>
      <c r="D2859" s="2" t="str">
        <f>TEXT(Table3[[#This Row],[usage_date]],"mmmm")</f>
        <v>January</v>
      </c>
      <c r="E2859" s="9">
        <f>YEAR(Table3[[#This Row],[usage_date]])</f>
        <v>2024</v>
      </c>
      <c r="F2859" s="14">
        <v>0.28000000000000003</v>
      </c>
      <c r="G2859">
        <v>107</v>
      </c>
      <c r="H2859" t="s">
        <v>12</v>
      </c>
      <c r="I2859" t="str">
        <f t="shared" si="44"/>
        <v>Normal Usage</v>
      </c>
    </row>
    <row r="2860" spans="1:9" x14ac:dyDescent="0.3">
      <c r="A2860">
        <v>12859</v>
      </c>
      <c r="B2860">
        <v>438</v>
      </c>
      <c r="C2860" s="2">
        <v>44760</v>
      </c>
      <c r="D2860" s="2" t="str">
        <f>TEXT(Table3[[#This Row],[usage_date]],"mmmm")</f>
        <v>July</v>
      </c>
      <c r="E2860" s="9">
        <f>YEAR(Table3[[#This Row],[usage_date]])</f>
        <v>2022</v>
      </c>
      <c r="F2860" s="14">
        <v>1.71</v>
      </c>
      <c r="G2860">
        <v>37</v>
      </c>
      <c r="H2860" t="s">
        <v>12</v>
      </c>
      <c r="I2860" t="str">
        <f t="shared" si="44"/>
        <v>Normal Usage</v>
      </c>
    </row>
    <row r="2861" spans="1:9" x14ac:dyDescent="0.3">
      <c r="A2861">
        <v>12860</v>
      </c>
      <c r="B2861">
        <v>148</v>
      </c>
      <c r="C2861" s="2">
        <v>45024</v>
      </c>
      <c r="D2861" s="2" t="str">
        <f>TEXT(Table3[[#This Row],[usage_date]],"mmmm")</f>
        <v>April</v>
      </c>
      <c r="E2861" s="9">
        <f>YEAR(Table3[[#This Row],[usage_date]])</f>
        <v>2023</v>
      </c>
      <c r="F2861" s="14">
        <v>2.35</v>
      </c>
      <c r="G2861">
        <v>275</v>
      </c>
      <c r="H2861" t="s">
        <v>12</v>
      </c>
      <c r="I2861" t="str">
        <f t="shared" si="44"/>
        <v>Normal Usage</v>
      </c>
    </row>
    <row r="2862" spans="1:9" x14ac:dyDescent="0.3">
      <c r="A2862">
        <v>12861</v>
      </c>
      <c r="B2862">
        <v>108</v>
      </c>
      <c r="C2862" s="2">
        <v>44998</v>
      </c>
      <c r="D2862" s="2" t="str">
        <f>TEXT(Table3[[#This Row],[usage_date]],"mmmm")</f>
        <v>March</v>
      </c>
      <c r="E2862" s="9">
        <f>YEAR(Table3[[#This Row],[usage_date]])</f>
        <v>2023</v>
      </c>
      <c r="F2862" s="14">
        <v>0.8</v>
      </c>
      <c r="G2862">
        <v>9</v>
      </c>
      <c r="H2862" t="s">
        <v>12</v>
      </c>
      <c r="I2862" t="str">
        <f t="shared" si="44"/>
        <v>Normal Usage</v>
      </c>
    </row>
    <row r="2863" spans="1:9" x14ac:dyDescent="0.3">
      <c r="A2863">
        <v>12862</v>
      </c>
      <c r="B2863">
        <v>403</v>
      </c>
      <c r="C2863" s="2">
        <v>44871</v>
      </c>
      <c r="D2863" s="2" t="str">
        <f>TEXT(Table3[[#This Row],[usage_date]],"mmmm")</f>
        <v>November</v>
      </c>
      <c r="E2863" s="9">
        <f>YEAR(Table3[[#This Row],[usage_date]])</f>
        <v>2022</v>
      </c>
      <c r="F2863" s="14">
        <v>3.15</v>
      </c>
      <c r="G2863">
        <v>25</v>
      </c>
      <c r="H2863" t="s">
        <v>12</v>
      </c>
      <c r="I2863" t="str">
        <f t="shared" si="44"/>
        <v>Normal Usage</v>
      </c>
    </row>
    <row r="2864" spans="1:9" x14ac:dyDescent="0.3">
      <c r="A2864">
        <v>12863</v>
      </c>
      <c r="B2864">
        <v>84</v>
      </c>
      <c r="C2864" s="2">
        <v>45157</v>
      </c>
      <c r="D2864" s="2" t="str">
        <f>TEXT(Table3[[#This Row],[usage_date]],"mmmm")</f>
        <v>August</v>
      </c>
      <c r="E2864" s="9">
        <f>YEAR(Table3[[#This Row],[usage_date]])</f>
        <v>2023</v>
      </c>
      <c r="F2864" s="14">
        <v>2.2599999999999998</v>
      </c>
      <c r="G2864">
        <v>47</v>
      </c>
      <c r="H2864" t="s">
        <v>12</v>
      </c>
      <c r="I2864" t="str">
        <f t="shared" si="44"/>
        <v>Normal Usage</v>
      </c>
    </row>
    <row r="2865" spans="1:9" x14ac:dyDescent="0.3">
      <c r="A2865">
        <v>12864</v>
      </c>
      <c r="B2865">
        <v>483</v>
      </c>
      <c r="C2865" s="2">
        <v>45315</v>
      </c>
      <c r="D2865" s="2" t="str">
        <f>TEXT(Table3[[#This Row],[usage_date]],"mmmm")</f>
        <v>January</v>
      </c>
      <c r="E2865" s="9">
        <f>YEAR(Table3[[#This Row],[usage_date]])</f>
        <v>2024</v>
      </c>
      <c r="F2865" s="14">
        <v>0.98</v>
      </c>
      <c r="G2865">
        <v>13</v>
      </c>
      <c r="H2865" t="s">
        <v>13</v>
      </c>
      <c r="I2865" t="str">
        <f t="shared" si="44"/>
        <v>Normal Usage</v>
      </c>
    </row>
    <row r="2866" spans="1:9" x14ac:dyDescent="0.3">
      <c r="A2866">
        <v>12865</v>
      </c>
      <c r="B2866">
        <v>367</v>
      </c>
      <c r="C2866" s="2">
        <v>44842</v>
      </c>
      <c r="D2866" s="2" t="str">
        <f>TEXT(Table3[[#This Row],[usage_date]],"mmmm")</f>
        <v>October</v>
      </c>
      <c r="E2866" s="9">
        <f>YEAR(Table3[[#This Row],[usage_date]])</f>
        <v>2022</v>
      </c>
      <c r="F2866" s="14">
        <v>0.06</v>
      </c>
      <c r="G2866">
        <v>99</v>
      </c>
      <c r="H2866" t="s">
        <v>12</v>
      </c>
      <c r="I2866" t="str">
        <f t="shared" si="44"/>
        <v>Normal Usage</v>
      </c>
    </row>
    <row r="2867" spans="1:9" x14ac:dyDescent="0.3">
      <c r="A2867">
        <v>12866</v>
      </c>
      <c r="B2867">
        <v>322</v>
      </c>
      <c r="C2867" s="2">
        <v>44884</v>
      </c>
      <c r="D2867" s="2" t="str">
        <f>TEXT(Table3[[#This Row],[usage_date]],"mmmm")</f>
        <v>November</v>
      </c>
      <c r="E2867" s="9">
        <f>YEAR(Table3[[#This Row],[usage_date]])</f>
        <v>2022</v>
      </c>
      <c r="F2867" s="14">
        <v>3.47</v>
      </c>
      <c r="G2867">
        <v>186</v>
      </c>
      <c r="H2867" t="s">
        <v>13</v>
      </c>
      <c r="I2867" t="str">
        <f t="shared" si="44"/>
        <v>Normal Usage</v>
      </c>
    </row>
    <row r="2868" spans="1:9" x14ac:dyDescent="0.3">
      <c r="A2868">
        <v>12867</v>
      </c>
      <c r="B2868">
        <v>414</v>
      </c>
      <c r="C2868" s="2">
        <v>45325</v>
      </c>
      <c r="D2868" s="2" t="str">
        <f>TEXT(Table3[[#This Row],[usage_date]],"mmmm")</f>
        <v>February</v>
      </c>
      <c r="E2868" s="9">
        <f>YEAR(Table3[[#This Row],[usage_date]])</f>
        <v>2024</v>
      </c>
      <c r="F2868" s="14">
        <v>0.6</v>
      </c>
      <c r="G2868">
        <v>11</v>
      </c>
      <c r="H2868" t="s">
        <v>13</v>
      </c>
      <c r="I2868" t="str">
        <f t="shared" si="44"/>
        <v>Normal Usage</v>
      </c>
    </row>
    <row r="2869" spans="1:9" x14ac:dyDescent="0.3">
      <c r="A2869">
        <v>12868</v>
      </c>
      <c r="B2869">
        <v>309</v>
      </c>
      <c r="C2869" s="2">
        <v>45263</v>
      </c>
      <c r="D2869" s="2" t="str">
        <f>TEXT(Table3[[#This Row],[usage_date]],"mmmm")</f>
        <v>December</v>
      </c>
      <c r="E2869" s="9">
        <f>YEAR(Table3[[#This Row],[usage_date]])</f>
        <v>2023</v>
      </c>
      <c r="F2869" s="14">
        <v>4.5</v>
      </c>
      <c r="G2869">
        <v>278</v>
      </c>
      <c r="H2869" t="s">
        <v>13</v>
      </c>
      <c r="I2869" t="str">
        <f t="shared" si="44"/>
        <v>Normal Usage</v>
      </c>
    </row>
    <row r="2870" spans="1:9" x14ac:dyDescent="0.3">
      <c r="A2870">
        <v>12869</v>
      </c>
      <c r="B2870">
        <v>290</v>
      </c>
      <c r="C2870" s="2">
        <v>44713</v>
      </c>
      <c r="D2870" s="2" t="str">
        <f>TEXT(Table3[[#This Row],[usage_date]],"mmmm")</f>
        <v>June</v>
      </c>
      <c r="E2870" s="9">
        <f>YEAR(Table3[[#This Row],[usage_date]])</f>
        <v>2022</v>
      </c>
      <c r="F2870" s="14">
        <v>1.36</v>
      </c>
      <c r="G2870">
        <v>166</v>
      </c>
      <c r="H2870" t="s">
        <v>12</v>
      </c>
      <c r="I2870" t="str">
        <f t="shared" si="44"/>
        <v>Normal Usage</v>
      </c>
    </row>
    <row r="2871" spans="1:9" x14ac:dyDescent="0.3">
      <c r="A2871">
        <v>12870</v>
      </c>
      <c r="B2871">
        <v>406</v>
      </c>
      <c r="C2871" s="2">
        <v>44863</v>
      </c>
      <c r="D2871" s="2" t="str">
        <f>TEXT(Table3[[#This Row],[usage_date]],"mmmm")</f>
        <v>October</v>
      </c>
      <c r="E2871" s="9">
        <f>YEAR(Table3[[#This Row],[usage_date]])</f>
        <v>2022</v>
      </c>
      <c r="F2871" s="14">
        <v>2.15</v>
      </c>
      <c r="G2871">
        <v>121</v>
      </c>
      <c r="H2871" t="s">
        <v>12</v>
      </c>
      <c r="I2871" t="str">
        <f t="shared" si="44"/>
        <v>Normal Usage</v>
      </c>
    </row>
    <row r="2872" spans="1:9" x14ac:dyDescent="0.3">
      <c r="A2872">
        <v>12871</v>
      </c>
      <c r="B2872">
        <v>323</v>
      </c>
      <c r="C2872" s="2">
        <v>44839</v>
      </c>
      <c r="D2872" s="2" t="str">
        <f>TEXT(Table3[[#This Row],[usage_date]],"mmmm")</f>
        <v>October</v>
      </c>
      <c r="E2872" s="9">
        <f>YEAR(Table3[[#This Row],[usage_date]])</f>
        <v>2022</v>
      </c>
      <c r="F2872" s="14">
        <v>5.16</v>
      </c>
      <c r="G2872">
        <v>94</v>
      </c>
      <c r="H2872" t="s">
        <v>13</v>
      </c>
      <c r="I2872" t="str">
        <f t="shared" si="44"/>
        <v>Normal Usage</v>
      </c>
    </row>
    <row r="2873" spans="1:9" x14ac:dyDescent="0.3">
      <c r="A2873">
        <v>12872</v>
      </c>
      <c r="B2873">
        <v>134</v>
      </c>
      <c r="C2873" s="2">
        <v>45212</v>
      </c>
      <c r="D2873" s="2" t="str">
        <f>TEXT(Table3[[#This Row],[usage_date]],"mmmm")</f>
        <v>October</v>
      </c>
      <c r="E2873" s="9">
        <f>YEAR(Table3[[#This Row],[usage_date]])</f>
        <v>2023</v>
      </c>
      <c r="F2873" s="14">
        <v>4.9800000000000004</v>
      </c>
      <c r="G2873">
        <v>24</v>
      </c>
      <c r="H2873" t="s">
        <v>12</v>
      </c>
      <c r="I2873" t="str">
        <f t="shared" si="44"/>
        <v>Normal Usage</v>
      </c>
    </row>
    <row r="2874" spans="1:9" x14ac:dyDescent="0.3">
      <c r="A2874">
        <v>12873</v>
      </c>
      <c r="B2874">
        <v>207</v>
      </c>
      <c r="C2874" s="2">
        <v>45249</v>
      </c>
      <c r="D2874" s="2" t="str">
        <f>TEXT(Table3[[#This Row],[usage_date]],"mmmm")</f>
        <v>November</v>
      </c>
      <c r="E2874" s="9">
        <f>YEAR(Table3[[#This Row],[usage_date]])</f>
        <v>2023</v>
      </c>
      <c r="F2874" s="14">
        <v>1.1599999999999999</v>
      </c>
      <c r="G2874">
        <v>16</v>
      </c>
      <c r="H2874" t="s">
        <v>12</v>
      </c>
      <c r="I2874" t="str">
        <f t="shared" si="44"/>
        <v>Normal Usage</v>
      </c>
    </row>
    <row r="2875" spans="1:9" x14ac:dyDescent="0.3">
      <c r="A2875">
        <v>12874</v>
      </c>
      <c r="B2875">
        <v>283</v>
      </c>
      <c r="C2875" s="2">
        <v>44569</v>
      </c>
      <c r="D2875" s="2" t="str">
        <f>TEXT(Table3[[#This Row],[usage_date]],"mmmm")</f>
        <v>January</v>
      </c>
      <c r="E2875" s="9">
        <f>YEAR(Table3[[#This Row],[usage_date]])</f>
        <v>2022</v>
      </c>
      <c r="F2875" s="14">
        <v>0.59</v>
      </c>
      <c r="G2875">
        <v>28</v>
      </c>
      <c r="H2875" t="s">
        <v>13</v>
      </c>
      <c r="I2875" t="str">
        <f t="shared" si="44"/>
        <v>Normal Usage</v>
      </c>
    </row>
    <row r="2876" spans="1:9" x14ac:dyDescent="0.3">
      <c r="A2876">
        <v>12875</v>
      </c>
      <c r="B2876">
        <v>266</v>
      </c>
      <c r="C2876" s="2">
        <v>45368</v>
      </c>
      <c r="D2876" s="2" t="str">
        <f>TEXT(Table3[[#This Row],[usage_date]],"mmmm")</f>
        <v>March</v>
      </c>
      <c r="E2876" s="9">
        <f>YEAR(Table3[[#This Row],[usage_date]])</f>
        <v>2024</v>
      </c>
      <c r="F2876" s="14">
        <v>3.73</v>
      </c>
      <c r="G2876">
        <v>71</v>
      </c>
      <c r="H2876" t="s">
        <v>12</v>
      </c>
      <c r="I2876" t="str">
        <f t="shared" si="44"/>
        <v>Normal Usage</v>
      </c>
    </row>
    <row r="2877" spans="1:9" x14ac:dyDescent="0.3">
      <c r="A2877">
        <v>12876</v>
      </c>
      <c r="B2877">
        <v>73</v>
      </c>
      <c r="C2877" s="2">
        <v>44796</v>
      </c>
      <c r="D2877" s="2" t="str">
        <f>TEXT(Table3[[#This Row],[usage_date]],"mmmm")</f>
        <v>August</v>
      </c>
      <c r="E2877" s="9">
        <f>YEAR(Table3[[#This Row],[usage_date]])</f>
        <v>2022</v>
      </c>
      <c r="F2877" s="14">
        <v>1.42</v>
      </c>
      <c r="G2877">
        <v>269</v>
      </c>
      <c r="H2877" t="s">
        <v>12</v>
      </c>
      <c r="I2877" t="str">
        <f t="shared" si="44"/>
        <v>Normal Usage</v>
      </c>
    </row>
    <row r="2878" spans="1:9" x14ac:dyDescent="0.3">
      <c r="A2878">
        <v>12877</v>
      </c>
      <c r="B2878">
        <v>481</v>
      </c>
      <c r="C2878" s="2">
        <v>45236</v>
      </c>
      <c r="D2878" s="2" t="str">
        <f>TEXT(Table3[[#This Row],[usage_date]],"mmmm")</f>
        <v>November</v>
      </c>
      <c r="E2878" s="9">
        <f>YEAR(Table3[[#This Row],[usage_date]])</f>
        <v>2023</v>
      </c>
      <c r="F2878" s="14">
        <v>0.53</v>
      </c>
      <c r="G2878">
        <v>249</v>
      </c>
      <c r="H2878" t="s">
        <v>12</v>
      </c>
      <c r="I2878" t="str">
        <f t="shared" si="44"/>
        <v>Normal Usage</v>
      </c>
    </row>
    <row r="2879" spans="1:9" x14ac:dyDescent="0.3">
      <c r="A2879">
        <v>12878</v>
      </c>
      <c r="B2879">
        <v>352</v>
      </c>
      <c r="C2879" s="2">
        <v>45122</v>
      </c>
      <c r="D2879" s="2" t="str">
        <f>TEXT(Table3[[#This Row],[usage_date]],"mmmm")</f>
        <v>July</v>
      </c>
      <c r="E2879" s="9">
        <f>YEAR(Table3[[#This Row],[usage_date]])</f>
        <v>2023</v>
      </c>
      <c r="F2879" s="14">
        <v>5.87</v>
      </c>
      <c r="G2879">
        <v>294</v>
      </c>
      <c r="H2879" t="s">
        <v>13</v>
      </c>
      <c r="I2879" t="str">
        <f t="shared" si="44"/>
        <v>Normal Usage</v>
      </c>
    </row>
    <row r="2880" spans="1:9" x14ac:dyDescent="0.3">
      <c r="A2880">
        <v>12879</v>
      </c>
      <c r="B2880">
        <v>48</v>
      </c>
      <c r="C2880" s="2">
        <v>44863</v>
      </c>
      <c r="D2880" s="2" t="str">
        <f>TEXT(Table3[[#This Row],[usage_date]],"mmmm")</f>
        <v>October</v>
      </c>
      <c r="E2880" s="9">
        <f>YEAR(Table3[[#This Row],[usage_date]])</f>
        <v>2022</v>
      </c>
      <c r="F2880" s="14">
        <v>0.55000000000000004</v>
      </c>
      <c r="G2880">
        <v>143</v>
      </c>
      <c r="H2880" t="s">
        <v>12</v>
      </c>
      <c r="I2880" t="str">
        <f t="shared" si="44"/>
        <v>Normal Usage</v>
      </c>
    </row>
    <row r="2881" spans="1:9" x14ac:dyDescent="0.3">
      <c r="A2881">
        <v>12880</v>
      </c>
      <c r="B2881">
        <v>326</v>
      </c>
      <c r="C2881" s="2">
        <v>44599</v>
      </c>
      <c r="D2881" s="2" t="str">
        <f>TEXT(Table3[[#This Row],[usage_date]],"mmmm")</f>
        <v>February</v>
      </c>
      <c r="E2881" s="9">
        <f>YEAR(Table3[[#This Row],[usage_date]])</f>
        <v>2022</v>
      </c>
      <c r="F2881" s="14">
        <v>7.0000000000000007E-2</v>
      </c>
      <c r="G2881">
        <v>273</v>
      </c>
      <c r="H2881" t="s">
        <v>13</v>
      </c>
      <c r="I2881" t="str">
        <f t="shared" si="44"/>
        <v>Normal Usage</v>
      </c>
    </row>
    <row r="2882" spans="1:9" x14ac:dyDescent="0.3">
      <c r="A2882">
        <v>12881</v>
      </c>
      <c r="B2882">
        <v>233</v>
      </c>
      <c r="C2882" s="2">
        <v>44697</v>
      </c>
      <c r="D2882" s="2" t="str">
        <f>TEXT(Table3[[#This Row],[usage_date]],"mmmm")</f>
        <v>May</v>
      </c>
      <c r="E2882" s="9">
        <f>YEAR(Table3[[#This Row],[usage_date]])</f>
        <v>2022</v>
      </c>
      <c r="F2882" s="14">
        <v>0.05</v>
      </c>
      <c r="G2882">
        <v>222</v>
      </c>
      <c r="H2882" t="s">
        <v>12</v>
      </c>
      <c r="I2882" t="str">
        <f t="shared" ref="I2882:I2945" si="45">IF(F2882&gt;6,"High Usage","Normal Usage")</f>
        <v>Normal Usage</v>
      </c>
    </row>
    <row r="2883" spans="1:9" x14ac:dyDescent="0.3">
      <c r="A2883">
        <v>12882</v>
      </c>
      <c r="B2883">
        <v>443</v>
      </c>
      <c r="C2883" s="2">
        <v>45383</v>
      </c>
      <c r="D2883" s="2" t="str">
        <f>TEXT(Table3[[#This Row],[usage_date]],"mmmm")</f>
        <v>April</v>
      </c>
      <c r="E2883" s="9">
        <f>YEAR(Table3[[#This Row],[usage_date]])</f>
        <v>2024</v>
      </c>
      <c r="F2883" s="14">
        <v>2.4300000000000002</v>
      </c>
      <c r="G2883">
        <v>74</v>
      </c>
      <c r="H2883" t="s">
        <v>12</v>
      </c>
      <c r="I2883" t="str">
        <f t="shared" si="45"/>
        <v>Normal Usage</v>
      </c>
    </row>
    <row r="2884" spans="1:9" x14ac:dyDescent="0.3">
      <c r="A2884">
        <v>12883</v>
      </c>
      <c r="B2884">
        <v>100</v>
      </c>
      <c r="C2884" s="2">
        <v>44982</v>
      </c>
      <c r="D2884" s="2" t="str">
        <f>TEXT(Table3[[#This Row],[usage_date]],"mmmm")</f>
        <v>February</v>
      </c>
      <c r="E2884" s="9">
        <f>YEAR(Table3[[#This Row],[usage_date]])</f>
        <v>2023</v>
      </c>
      <c r="F2884" s="14">
        <v>2.71</v>
      </c>
      <c r="G2884">
        <v>101</v>
      </c>
      <c r="H2884" t="s">
        <v>12</v>
      </c>
      <c r="I2884" t="str">
        <f t="shared" si="45"/>
        <v>Normal Usage</v>
      </c>
    </row>
    <row r="2885" spans="1:9" x14ac:dyDescent="0.3">
      <c r="A2885">
        <v>12884</v>
      </c>
      <c r="B2885">
        <v>59</v>
      </c>
      <c r="C2885" s="2">
        <v>44780</v>
      </c>
      <c r="D2885" s="2" t="str">
        <f>TEXT(Table3[[#This Row],[usage_date]],"mmmm")</f>
        <v>August</v>
      </c>
      <c r="E2885" s="9">
        <f>YEAR(Table3[[#This Row],[usage_date]])</f>
        <v>2022</v>
      </c>
      <c r="F2885" s="14">
        <v>0.93</v>
      </c>
      <c r="G2885">
        <v>19</v>
      </c>
      <c r="H2885" t="s">
        <v>12</v>
      </c>
      <c r="I2885" t="str">
        <f t="shared" si="45"/>
        <v>Normal Usage</v>
      </c>
    </row>
    <row r="2886" spans="1:9" x14ac:dyDescent="0.3">
      <c r="A2886">
        <v>12885</v>
      </c>
      <c r="B2886">
        <v>258</v>
      </c>
      <c r="C2886" s="2">
        <v>44909</v>
      </c>
      <c r="D2886" s="2" t="str">
        <f>TEXT(Table3[[#This Row],[usage_date]],"mmmm")</f>
        <v>December</v>
      </c>
      <c r="E2886" s="9">
        <f>YEAR(Table3[[#This Row],[usage_date]])</f>
        <v>2022</v>
      </c>
      <c r="F2886" s="14">
        <v>0.96</v>
      </c>
      <c r="G2886">
        <v>116</v>
      </c>
      <c r="H2886" t="s">
        <v>12</v>
      </c>
      <c r="I2886" t="str">
        <f t="shared" si="45"/>
        <v>Normal Usage</v>
      </c>
    </row>
    <row r="2887" spans="1:9" x14ac:dyDescent="0.3">
      <c r="A2887">
        <v>12886</v>
      </c>
      <c r="B2887">
        <v>413</v>
      </c>
      <c r="C2887" s="2">
        <v>45369</v>
      </c>
      <c r="D2887" s="2" t="str">
        <f>TEXT(Table3[[#This Row],[usage_date]],"mmmm")</f>
        <v>March</v>
      </c>
      <c r="E2887" s="9">
        <f>YEAR(Table3[[#This Row],[usage_date]])</f>
        <v>2024</v>
      </c>
      <c r="F2887" s="14">
        <v>1.04</v>
      </c>
      <c r="G2887">
        <v>173</v>
      </c>
      <c r="H2887" t="s">
        <v>12</v>
      </c>
      <c r="I2887" t="str">
        <f t="shared" si="45"/>
        <v>Normal Usage</v>
      </c>
    </row>
    <row r="2888" spans="1:9" x14ac:dyDescent="0.3">
      <c r="A2888">
        <v>12887</v>
      </c>
      <c r="B2888">
        <v>452</v>
      </c>
      <c r="C2888" s="2">
        <v>45107</v>
      </c>
      <c r="D2888" s="2" t="str">
        <f>TEXT(Table3[[#This Row],[usage_date]],"mmmm")</f>
        <v>June</v>
      </c>
      <c r="E2888" s="9">
        <f>YEAR(Table3[[#This Row],[usage_date]])</f>
        <v>2023</v>
      </c>
      <c r="F2888" s="14">
        <v>2.85</v>
      </c>
      <c r="G2888">
        <v>172</v>
      </c>
      <c r="H2888" t="s">
        <v>13</v>
      </c>
      <c r="I2888" t="str">
        <f t="shared" si="45"/>
        <v>Normal Usage</v>
      </c>
    </row>
    <row r="2889" spans="1:9" x14ac:dyDescent="0.3">
      <c r="A2889">
        <v>12888</v>
      </c>
      <c r="B2889">
        <v>65</v>
      </c>
      <c r="C2889" s="2">
        <v>45425</v>
      </c>
      <c r="D2889" s="2" t="str">
        <f>TEXT(Table3[[#This Row],[usage_date]],"mmmm")</f>
        <v>May</v>
      </c>
      <c r="E2889" s="9">
        <f>YEAR(Table3[[#This Row],[usage_date]])</f>
        <v>2024</v>
      </c>
      <c r="F2889" s="14">
        <v>0.15</v>
      </c>
      <c r="G2889">
        <v>3</v>
      </c>
      <c r="H2889" t="s">
        <v>12</v>
      </c>
      <c r="I2889" t="str">
        <f t="shared" si="45"/>
        <v>Normal Usage</v>
      </c>
    </row>
    <row r="2890" spans="1:9" x14ac:dyDescent="0.3">
      <c r="A2890">
        <v>12889</v>
      </c>
      <c r="B2890">
        <v>83</v>
      </c>
      <c r="C2890" s="2">
        <v>44640</v>
      </c>
      <c r="D2890" s="2" t="str">
        <f>TEXT(Table3[[#This Row],[usage_date]],"mmmm")</f>
        <v>March</v>
      </c>
      <c r="E2890" s="9">
        <f>YEAR(Table3[[#This Row],[usage_date]])</f>
        <v>2022</v>
      </c>
      <c r="F2890" s="14">
        <v>6.62</v>
      </c>
      <c r="G2890">
        <v>147</v>
      </c>
      <c r="H2890" t="s">
        <v>12</v>
      </c>
      <c r="I2890" t="str">
        <f t="shared" si="45"/>
        <v>High Usage</v>
      </c>
    </row>
    <row r="2891" spans="1:9" x14ac:dyDescent="0.3">
      <c r="A2891">
        <v>12890</v>
      </c>
      <c r="B2891">
        <v>154</v>
      </c>
      <c r="C2891" s="2">
        <v>45309</v>
      </c>
      <c r="D2891" s="2" t="str">
        <f>TEXT(Table3[[#This Row],[usage_date]],"mmmm")</f>
        <v>January</v>
      </c>
      <c r="E2891" s="9">
        <f>YEAR(Table3[[#This Row],[usage_date]])</f>
        <v>2024</v>
      </c>
      <c r="F2891" s="14">
        <v>0.63</v>
      </c>
      <c r="G2891">
        <v>113</v>
      </c>
      <c r="H2891" t="s">
        <v>12</v>
      </c>
      <c r="I2891" t="str">
        <f t="shared" si="45"/>
        <v>Normal Usage</v>
      </c>
    </row>
    <row r="2892" spans="1:9" x14ac:dyDescent="0.3">
      <c r="A2892">
        <v>12891</v>
      </c>
      <c r="B2892">
        <v>473</v>
      </c>
      <c r="C2892" s="2">
        <v>45456</v>
      </c>
      <c r="D2892" s="2" t="str">
        <f>TEXT(Table3[[#This Row],[usage_date]],"mmmm")</f>
        <v>June</v>
      </c>
      <c r="E2892" s="9">
        <f>YEAR(Table3[[#This Row],[usage_date]])</f>
        <v>2024</v>
      </c>
      <c r="F2892" s="14">
        <v>20.07</v>
      </c>
      <c r="G2892">
        <v>166</v>
      </c>
      <c r="H2892" t="s">
        <v>13</v>
      </c>
      <c r="I2892" t="str">
        <f t="shared" si="45"/>
        <v>High Usage</v>
      </c>
    </row>
    <row r="2893" spans="1:9" x14ac:dyDescent="0.3">
      <c r="A2893">
        <v>12892</v>
      </c>
      <c r="B2893">
        <v>266</v>
      </c>
      <c r="C2893" s="2">
        <v>44834</v>
      </c>
      <c r="D2893" s="2" t="str">
        <f>TEXT(Table3[[#This Row],[usage_date]],"mmmm")</f>
        <v>September</v>
      </c>
      <c r="E2893" s="9">
        <f>YEAR(Table3[[#This Row],[usage_date]])</f>
        <v>2022</v>
      </c>
      <c r="F2893" s="14">
        <v>0.47</v>
      </c>
      <c r="G2893">
        <v>299</v>
      </c>
      <c r="H2893" t="s">
        <v>12</v>
      </c>
      <c r="I2893" t="str">
        <f t="shared" si="45"/>
        <v>Normal Usage</v>
      </c>
    </row>
    <row r="2894" spans="1:9" x14ac:dyDescent="0.3">
      <c r="A2894">
        <v>12893</v>
      </c>
      <c r="B2894">
        <v>309</v>
      </c>
      <c r="C2894" s="2">
        <v>44722</v>
      </c>
      <c r="D2894" s="2" t="str">
        <f>TEXT(Table3[[#This Row],[usage_date]],"mmmm")</f>
        <v>June</v>
      </c>
      <c r="E2894" s="9">
        <f>YEAR(Table3[[#This Row],[usage_date]])</f>
        <v>2022</v>
      </c>
      <c r="F2894" s="14">
        <v>3.69</v>
      </c>
      <c r="G2894">
        <v>117</v>
      </c>
      <c r="H2894" t="s">
        <v>12</v>
      </c>
      <c r="I2894" t="str">
        <f t="shared" si="45"/>
        <v>Normal Usage</v>
      </c>
    </row>
    <row r="2895" spans="1:9" x14ac:dyDescent="0.3">
      <c r="A2895">
        <v>12894</v>
      </c>
      <c r="B2895">
        <v>79</v>
      </c>
      <c r="C2895" s="2">
        <v>45248</v>
      </c>
      <c r="D2895" s="2" t="str">
        <f>TEXT(Table3[[#This Row],[usage_date]],"mmmm")</f>
        <v>November</v>
      </c>
      <c r="E2895" s="9">
        <f>YEAR(Table3[[#This Row],[usage_date]])</f>
        <v>2023</v>
      </c>
      <c r="F2895" s="14">
        <v>0.63</v>
      </c>
      <c r="G2895">
        <v>99</v>
      </c>
      <c r="H2895" t="s">
        <v>13</v>
      </c>
      <c r="I2895" t="str">
        <f t="shared" si="45"/>
        <v>Normal Usage</v>
      </c>
    </row>
    <row r="2896" spans="1:9" x14ac:dyDescent="0.3">
      <c r="A2896">
        <v>12895</v>
      </c>
      <c r="B2896">
        <v>315</v>
      </c>
      <c r="C2896" s="2">
        <v>45439</v>
      </c>
      <c r="D2896" s="2" t="str">
        <f>TEXT(Table3[[#This Row],[usage_date]],"mmmm")</f>
        <v>May</v>
      </c>
      <c r="E2896" s="9">
        <f>YEAR(Table3[[#This Row],[usage_date]])</f>
        <v>2024</v>
      </c>
      <c r="F2896" s="14">
        <v>0.21</v>
      </c>
      <c r="G2896">
        <v>273</v>
      </c>
      <c r="H2896" t="s">
        <v>12</v>
      </c>
      <c r="I2896" t="str">
        <f t="shared" si="45"/>
        <v>Normal Usage</v>
      </c>
    </row>
    <row r="2897" spans="1:9" x14ac:dyDescent="0.3">
      <c r="A2897">
        <v>12896</v>
      </c>
      <c r="B2897">
        <v>150</v>
      </c>
      <c r="C2897" s="2">
        <v>44869</v>
      </c>
      <c r="D2897" s="2" t="str">
        <f>TEXT(Table3[[#This Row],[usage_date]],"mmmm")</f>
        <v>November</v>
      </c>
      <c r="E2897" s="9">
        <f>YEAR(Table3[[#This Row],[usage_date]])</f>
        <v>2022</v>
      </c>
      <c r="F2897" s="14">
        <v>5.2</v>
      </c>
      <c r="G2897">
        <v>174</v>
      </c>
      <c r="H2897" t="s">
        <v>12</v>
      </c>
      <c r="I2897" t="str">
        <f t="shared" si="45"/>
        <v>Normal Usage</v>
      </c>
    </row>
    <row r="2898" spans="1:9" x14ac:dyDescent="0.3">
      <c r="A2898">
        <v>12897</v>
      </c>
      <c r="B2898">
        <v>435</v>
      </c>
      <c r="C2898" s="2">
        <v>44935</v>
      </c>
      <c r="D2898" s="2" t="str">
        <f>TEXT(Table3[[#This Row],[usage_date]],"mmmm")</f>
        <v>January</v>
      </c>
      <c r="E2898" s="9">
        <f>YEAR(Table3[[#This Row],[usage_date]])</f>
        <v>2023</v>
      </c>
      <c r="F2898" s="14">
        <v>4.8899999999999997</v>
      </c>
      <c r="G2898">
        <v>158</v>
      </c>
      <c r="H2898" t="s">
        <v>12</v>
      </c>
      <c r="I2898" t="str">
        <f t="shared" si="45"/>
        <v>Normal Usage</v>
      </c>
    </row>
    <row r="2899" spans="1:9" x14ac:dyDescent="0.3">
      <c r="A2899">
        <v>12898</v>
      </c>
      <c r="B2899">
        <v>48</v>
      </c>
      <c r="C2899" s="2">
        <v>45294</v>
      </c>
      <c r="D2899" s="2" t="str">
        <f>TEXT(Table3[[#This Row],[usage_date]],"mmmm")</f>
        <v>January</v>
      </c>
      <c r="E2899" s="9">
        <f>YEAR(Table3[[#This Row],[usage_date]])</f>
        <v>2024</v>
      </c>
      <c r="F2899" s="14">
        <v>1.29</v>
      </c>
      <c r="G2899">
        <v>226</v>
      </c>
      <c r="H2899" t="s">
        <v>13</v>
      </c>
      <c r="I2899" t="str">
        <f t="shared" si="45"/>
        <v>Normal Usage</v>
      </c>
    </row>
    <row r="2900" spans="1:9" x14ac:dyDescent="0.3">
      <c r="A2900">
        <v>12899</v>
      </c>
      <c r="B2900">
        <v>405</v>
      </c>
      <c r="C2900" s="2">
        <v>44570</v>
      </c>
      <c r="D2900" s="2" t="str">
        <f>TEXT(Table3[[#This Row],[usage_date]],"mmmm")</f>
        <v>January</v>
      </c>
      <c r="E2900" s="9">
        <f>YEAR(Table3[[#This Row],[usage_date]])</f>
        <v>2022</v>
      </c>
      <c r="F2900" s="14">
        <v>3.03</v>
      </c>
      <c r="G2900">
        <v>37</v>
      </c>
      <c r="H2900" t="s">
        <v>12</v>
      </c>
      <c r="I2900" t="str">
        <f t="shared" si="45"/>
        <v>Normal Usage</v>
      </c>
    </row>
    <row r="2901" spans="1:9" x14ac:dyDescent="0.3">
      <c r="A2901">
        <v>12900</v>
      </c>
      <c r="B2901">
        <v>379</v>
      </c>
      <c r="C2901" s="2">
        <v>45362</v>
      </c>
      <c r="D2901" s="2" t="str">
        <f>TEXT(Table3[[#This Row],[usage_date]],"mmmm")</f>
        <v>March</v>
      </c>
      <c r="E2901" s="9">
        <f>YEAR(Table3[[#This Row],[usage_date]])</f>
        <v>2024</v>
      </c>
      <c r="F2901" s="14">
        <v>2.04</v>
      </c>
      <c r="G2901">
        <v>197</v>
      </c>
      <c r="H2901" t="s">
        <v>12</v>
      </c>
      <c r="I2901" t="str">
        <f t="shared" si="45"/>
        <v>Normal Usage</v>
      </c>
    </row>
    <row r="2902" spans="1:9" x14ac:dyDescent="0.3">
      <c r="A2902">
        <v>12901</v>
      </c>
      <c r="B2902">
        <v>248</v>
      </c>
      <c r="C2902" s="2">
        <v>45005</v>
      </c>
      <c r="D2902" s="2" t="str">
        <f>TEXT(Table3[[#This Row],[usage_date]],"mmmm")</f>
        <v>March</v>
      </c>
      <c r="E2902" s="9">
        <f>YEAR(Table3[[#This Row],[usage_date]])</f>
        <v>2023</v>
      </c>
      <c r="F2902" s="14">
        <v>4.79</v>
      </c>
      <c r="G2902">
        <v>135</v>
      </c>
      <c r="H2902" t="s">
        <v>13</v>
      </c>
      <c r="I2902" t="str">
        <f t="shared" si="45"/>
        <v>Normal Usage</v>
      </c>
    </row>
    <row r="2903" spans="1:9" x14ac:dyDescent="0.3">
      <c r="A2903">
        <v>12902</v>
      </c>
      <c r="B2903">
        <v>278</v>
      </c>
      <c r="C2903" s="2">
        <v>44674</v>
      </c>
      <c r="D2903" s="2" t="str">
        <f>TEXT(Table3[[#This Row],[usage_date]],"mmmm")</f>
        <v>April</v>
      </c>
      <c r="E2903" s="9">
        <f>YEAR(Table3[[#This Row],[usage_date]])</f>
        <v>2022</v>
      </c>
      <c r="F2903" s="14">
        <v>0.95</v>
      </c>
      <c r="G2903">
        <v>103</v>
      </c>
      <c r="H2903" t="s">
        <v>12</v>
      </c>
      <c r="I2903" t="str">
        <f t="shared" si="45"/>
        <v>Normal Usage</v>
      </c>
    </row>
    <row r="2904" spans="1:9" x14ac:dyDescent="0.3">
      <c r="A2904">
        <v>12903</v>
      </c>
      <c r="B2904">
        <v>356</v>
      </c>
      <c r="C2904" s="2">
        <v>44766</v>
      </c>
      <c r="D2904" s="2" t="str">
        <f>TEXT(Table3[[#This Row],[usage_date]],"mmmm")</f>
        <v>July</v>
      </c>
      <c r="E2904" s="9">
        <f>YEAR(Table3[[#This Row],[usage_date]])</f>
        <v>2022</v>
      </c>
      <c r="F2904" s="14">
        <v>1.85</v>
      </c>
      <c r="G2904">
        <v>192</v>
      </c>
      <c r="H2904" t="s">
        <v>13</v>
      </c>
      <c r="I2904" t="str">
        <f t="shared" si="45"/>
        <v>Normal Usage</v>
      </c>
    </row>
    <row r="2905" spans="1:9" x14ac:dyDescent="0.3">
      <c r="A2905">
        <v>12904</v>
      </c>
      <c r="B2905">
        <v>98</v>
      </c>
      <c r="C2905" s="2">
        <v>44966</v>
      </c>
      <c r="D2905" s="2" t="str">
        <f>TEXT(Table3[[#This Row],[usage_date]],"mmmm")</f>
        <v>February</v>
      </c>
      <c r="E2905" s="9">
        <f>YEAR(Table3[[#This Row],[usage_date]])</f>
        <v>2023</v>
      </c>
      <c r="F2905" s="14">
        <v>1.66</v>
      </c>
      <c r="G2905">
        <v>249</v>
      </c>
      <c r="H2905" t="s">
        <v>12</v>
      </c>
      <c r="I2905" t="str">
        <f t="shared" si="45"/>
        <v>Normal Usage</v>
      </c>
    </row>
    <row r="2906" spans="1:9" x14ac:dyDescent="0.3">
      <c r="A2906">
        <v>12905</v>
      </c>
      <c r="B2906">
        <v>414</v>
      </c>
      <c r="C2906" s="2">
        <v>45259</v>
      </c>
      <c r="D2906" s="2" t="str">
        <f>TEXT(Table3[[#This Row],[usage_date]],"mmmm")</f>
        <v>November</v>
      </c>
      <c r="E2906" s="9">
        <f>YEAR(Table3[[#This Row],[usage_date]])</f>
        <v>2023</v>
      </c>
      <c r="F2906" s="14">
        <v>1.0900000000000001</v>
      </c>
      <c r="G2906">
        <v>12</v>
      </c>
      <c r="H2906" t="s">
        <v>12</v>
      </c>
      <c r="I2906" t="str">
        <f t="shared" si="45"/>
        <v>Normal Usage</v>
      </c>
    </row>
    <row r="2907" spans="1:9" x14ac:dyDescent="0.3">
      <c r="A2907">
        <v>12906</v>
      </c>
      <c r="B2907">
        <v>25</v>
      </c>
      <c r="C2907" s="2">
        <v>45414</v>
      </c>
      <c r="D2907" s="2" t="str">
        <f>TEXT(Table3[[#This Row],[usage_date]],"mmmm")</f>
        <v>May</v>
      </c>
      <c r="E2907" s="9">
        <f>YEAR(Table3[[#This Row],[usage_date]])</f>
        <v>2024</v>
      </c>
      <c r="F2907" s="14">
        <v>5.55</v>
      </c>
      <c r="G2907">
        <v>54</v>
      </c>
      <c r="H2907" t="s">
        <v>12</v>
      </c>
      <c r="I2907" t="str">
        <f t="shared" si="45"/>
        <v>Normal Usage</v>
      </c>
    </row>
    <row r="2908" spans="1:9" x14ac:dyDescent="0.3">
      <c r="A2908">
        <v>12907</v>
      </c>
      <c r="B2908">
        <v>493</v>
      </c>
      <c r="C2908" s="2">
        <v>44758</v>
      </c>
      <c r="D2908" s="2" t="str">
        <f>TEXT(Table3[[#This Row],[usage_date]],"mmmm")</f>
        <v>July</v>
      </c>
      <c r="E2908" s="9">
        <f>YEAR(Table3[[#This Row],[usage_date]])</f>
        <v>2022</v>
      </c>
      <c r="F2908" s="14">
        <v>0.45</v>
      </c>
      <c r="G2908">
        <v>84</v>
      </c>
      <c r="H2908" t="s">
        <v>12</v>
      </c>
      <c r="I2908" t="str">
        <f t="shared" si="45"/>
        <v>Normal Usage</v>
      </c>
    </row>
    <row r="2909" spans="1:9" x14ac:dyDescent="0.3">
      <c r="A2909">
        <v>12908</v>
      </c>
      <c r="B2909">
        <v>284</v>
      </c>
      <c r="C2909" s="2">
        <v>45339</v>
      </c>
      <c r="D2909" s="2" t="str">
        <f>TEXT(Table3[[#This Row],[usage_date]],"mmmm")</f>
        <v>February</v>
      </c>
      <c r="E2909" s="9">
        <f>YEAR(Table3[[#This Row],[usage_date]])</f>
        <v>2024</v>
      </c>
      <c r="F2909" s="14">
        <v>0.4</v>
      </c>
      <c r="G2909">
        <v>108</v>
      </c>
      <c r="H2909" t="s">
        <v>12</v>
      </c>
      <c r="I2909" t="str">
        <f t="shared" si="45"/>
        <v>Normal Usage</v>
      </c>
    </row>
    <row r="2910" spans="1:9" x14ac:dyDescent="0.3">
      <c r="A2910">
        <v>12909</v>
      </c>
      <c r="B2910">
        <v>449</v>
      </c>
      <c r="C2910" s="2">
        <v>45335</v>
      </c>
      <c r="D2910" s="2" t="str">
        <f>TEXT(Table3[[#This Row],[usage_date]],"mmmm")</f>
        <v>February</v>
      </c>
      <c r="E2910" s="9">
        <f>YEAR(Table3[[#This Row],[usage_date]])</f>
        <v>2024</v>
      </c>
      <c r="F2910" s="14">
        <v>2.15</v>
      </c>
      <c r="G2910">
        <v>42</v>
      </c>
      <c r="H2910" t="s">
        <v>12</v>
      </c>
      <c r="I2910" t="str">
        <f t="shared" si="45"/>
        <v>Normal Usage</v>
      </c>
    </row>
    <row r="2911" spans="1:9" x14ac:dyDescent="0.3">
      <c r="A2911">
        <v>12910</v>
      </c>
      <c r="B2911">
        <v>369</v>
      </c>
      <c r="C2911" s="2">
        <v>45321</v>
      </c>
      <c r="D2911" s="2" t="str">
        <f>TEXT(Table3[[#This Row],[usage_date]],"mmmm")</f>
        <v>January</v>
      </c>
      <c r="E2911" s="9">
        <f>YEAR(Table3[[#This Row],[usage_date]])</f>
        <v>2024</v>
      </c>
      <c r="F2911" s="14">
        <v>2.68</v>
      </c>
      <c r="G2911">
        <v>70</v>
      </c>
      <c r="H2911" t="s">
        <v>12</v>
      </c>
      <c r="I2911" t="str">
        <f t="shared" si="45"/>
        <v>Normal Usage</v>
      </c>
    </row>
    <row r="2912" spans="1:9" x14ac:dyDescent="0.3">
      <c r="A2912">
        <v>12911</v>
      </c>
      <c r="B2912">
        <v>301</v>
      </c>
      <c r="C2912" s="2">
        <v>44676</v>
      </c>
      <c r="D2912" s="2" t="str">
        <f>TEXT(Table3[[#This Row],[usage_date]],"mmmm")</f>
        <v>April</v>
      </c>
      <c r="E2912" s="9">
        <f>YEAR(Table3[[#This Row],[usage_date]])</f>
        <v>2022</v>
      </c>
      <c r="F2912" s="14">
        <v>0.54</v>
      </c>
      <c r="G2912">
        <v>267</v>
      </c>
      <c r="H2912" t="s">
        <v>13</v>
      </c>
      <c r="I2912" t="str">
        <f t="shared" si="45"/>
        <v>Normal Usage</v>
      </c>
    </row>
    <row r="2913" spans="1:9" x14ac:dyDescent="0.3">
      <c r="A2913">
        <v>12912</v>
      </c>
      <c r="B2913">
        <v>68</v>
      </c>
      <c r="C2913" s="2">
        <v>44682</v>
      </c>
      <c r="D2913" s="2" t="str">
        <f>TEXT(Table3[[#This Row],[usage_date]],"mmmm")</f>
        <v>May</v>
      </c>
      <c r="E2913" s="9">
        <f>YEAR(Table3[[#This Row],[usage_date]])</f>
        <v>2022</v>
      </c>
      <c r="F2913" s="14">
        <v>1.24</v>
      </c>
      <c r="G2913">
        <v>58</v>
      </c>
      <c r="H2913" t="s">
        <v>12</v>
      </c>
      <c r="I2913" t="str">
        <f t="shared" si="45"/>
        <v>Normal Usage</v>
      </c>
    </row>
    <row r="2914" spans="1:9" x14ac:dyDescent="0.3">
      <c r="A2914">
        <v>12913</v>
      </c>
      <c r="B2914">
        <v>7</v>
      </c>
      <c r="C2914" s="2">
        <v>45214</v>
      </c>
      <c r="D2914" s="2" t="str">
        <f>TEXT(Table3[[#This Row],[usage_date]],"mmmm")</f>
        <v>October</v>
      </c>
      <c r="E2914" s="9">
        <f>YEAR(Table3[[#This Row],[usage_date]])</f>
        <v>2023</v>
      </c>
      <c r="F2914" s="14">
        <v>7.32</v>
      </c>
      <c r="G2914">
        <v>43</v>
      </c>
      <c r="H2914" t="s">
        <v>13</v>
      </c>
      <c r="I2914" t="str">
        <f t="shared" si="45"/>
        <v>High Usage</v>
      </c>
    </row>
    <row r="2915" spans="1:9" x14ac:dyDescent="0.3">
      <c r="A2915">
        <v>12914</v>
      </c>
      <c r="B2915">
        <v>305</v>
      </c>
      <c r="C2915" s="2">
        <v>44626</v>
      </c>
      <c r="D2915" s="2" t="str">
        <f>TEXT(Table3[[#This Row],[usage_date]],"mmmm")</f>
        <v>March</v>
      </c>
      <c r="E2915" s="9">
        <f>YEAR(Table3[[#This Row],[usage_date]])</f>
        <v>2022</v>
      </c>
      <c r="F2915" s="14">
        <v>0.71</v>
      </c>
      <c r="G2915">
        <v>271</v>
      </c>
      <c r="H2915" t="s">
        <v>13</v>
      </c>
      <c r="I2915" t="str">
        <f t="shared" si="45"/>
        <v>Normal Usage</v>
      </c>
    </row>
    <row r="2916" spans="1:9" x14ac:dyDescent="0.3">
      <c r="A2916">
        <v>12915</v>
      </c>
      <c r="B2916">
        <v>137</v>
      </c>
      <c r="C2916" s="2">
        <v>44837</v>
      </c>
      <c r="D2916" s="2" t="str">
        <f>TEXT(Table3[[#This Row],[usage_date]],"mmmm")</f>
        <v>October</v>
      </c>
      <c r="E2916" s="9">
        <f>YEAR(Table3[[#This Row],[usage_date]])</f>
        <v>2022</v>
      </c>
      <c r="F2916" s="14">
        <v>2.76</v>
      </c>
      <c r="G2916">
        <v>13</v>
      </c>
      <c r="H2916" t="s">
        <v>13</v>
      </c>
      <c r="I2916" t="str">
        <f t="shared" si="45"/>
        <v>Normal Usage</v>
      </c>
    </row>
    <row r="2917" spans="1:9" x14ac:dyDescent="0.3">
      <c r="A2917">
        <v>12916</v>
      </c>
      <c r="B2917">
        <v>164</v>
      </c>
      <c r="C2917" s="2">
        <v>45386</v>
      </c>
      <c r="D2917" s="2" t="str">
        <f>TEXT(Table3[[#This Row],[usage_date]],"mmmm")</f>
        <v>April</v>
      </c>
      <c r="E2917" s="9">
        <f>YEAR(Table3[[#This Row],[usage_date]])</f>
        <v>2024</v>
      </c>
      <c r="F2917" s="14">
        <v>3.37</v>
      </c>
      <c r="G2917">
        <v>111</v>
      </c>
      <c r="H2917" t="s">
        <v>13</v>
      </c>
      <c r="I2917" t="str">
        <f t="shared" si="45"/>
        <v>Normal Usage</v>
      </c>
    </row>
    <row r="2918" spans="1:9" x14ac:dyDescent="0.3">
      <c r="A2918">
        <v>12917</v>
      </c>
      <c r="B2918">
        <v>83</v>
      </c>
      <c r="C2918" s="2">
        <v>44800</v>
      </c>
      <c r="D2918" s="2" t="str">
        <f>TEXT(Table3[[#This Row],[usage_date]],"mmmm")</f>
        <v>August</v>
      </c>
      <c r="E2918" s="9">
        <f>YEAR(Table3[[#This Row],[usage_date]])</f>
        <v>2022</v>
      </c>
      <c r="F2918" s="14">
        <v>1.49</v>
      </c>
      <c r="G2918">
        <v>227</v>
      </c>
      <c r="H2918" t="s">
        <v>12</v>
      </c>
      <c r="I2918" t="str">
        <f t="shared" si="45"/>
        <v>Normal Usage</v>
      </c>
    </row>
    <row r="2919" spans="1:9" x14ac:dyDescent="0.3">
      <c r="A2919">
        <v>12918</v>
      </c>
      <c r="B2919">
        <v>385</v>
      </c>
      <c r="C2919" s="2">
        <v>44863</v>
      </c>
      <c r="D2919" s="2" t="str">
        <f>TEXT(Table3[[#This Row],[usage_date]],"mmmm")</f>
        <v>October</v>
      </c>
      <c r="E2919" s="9">
        <f>YEAR(Table3[[#This Row],[usage_date]])</f>
        <v>2022</v>
      </c>
      <c r="F2919" s="14">
        <v>6.93</v>
      </c>
      <c r="G2919">
        <v>168</v>
      </c>
      <c r="H2919" t="s">
        <v>13</v>
      </c>
      <c r="I2919" t="str">
        <f t="shared" si="45"/>
        <v>High Usage</v>
      </c>
    </row>
    <row r="2920" spans="1:9" x14ac:dyDescent="0.3">
      <c r="A2920">
        <v>12919</v>
      </c>
      <c r="B2920">
        <v>138</v>
      </c>
      <c r="C2920" s="2">
        <v>44953</v>
      </c>
      <c r="D2920" s="2" t="str">
        <f>TEXT(Table3[[#This Row],[usage_date]],"mmmm")</f>
        <v>January</v>
      </c>
      <c r="E2920" s="9">
        <f>YEAR(Table3[[#This Row],[usage_date]])</f>
        <v>2023</v>
      </c>
      <c r="F2920" s="14">
        <v>3.34</v>
      </c>
      <c r="G2920">
        <v>290</v>
      </c>
      <c r="H2920" t="s">
        <v>13</v>
      </c>
      <c r="I2920" t="str">
        <f t="shared" si="45"/>
        <v>Normal Usage</v>
      </c>
    </row>
    <row r="2921" spans="1:9" x14ac:dyDescent="0.3">
      <c r="A2921">
        <v>12920</v>
      </c>
      <c r="B2921">
        <v>420</v>
      </c>
      <c r="C2921" s="2">
        <v>45083</v>
      </c>
      <c r="D2921" s="2" t="str">
        <f>TEXT(Table3[[#This Row],[usage_date]],"mmmm")</f>
        <v>June</v>
      </c>
      <c r="E2921" s="9">
        <f>YEAR(Table3[[#This Row],[usage_date]])</f>
        <v>2023</v>
      </c>
      <c r="F2921" s="14">
        <v>1.53</v>
      </c>
      <c r="G2921">
        <v>245</v>
      </c>
      <c r="H2921" t="s">
        <v>13</v>
      </c>
      <c r="I2921" t="str">
        <f t="shared" si="45"/>
        <v>Normal Usage</v>
      </c>
    </row>
    <row r="2922" spans="1:9" x14ac:dyDescent="0.3">
      <c r="A2922">
        <v>12921</v>
      </c>
      <c r="B2922">
        <v>73</v>
      </c>
      <c r="C2922" s="2">
        <v>44930</v>
      </c>
      <c r="D2922" s="2" t="str">
        <f>TEXT(Table3[[#This Row],[usage_date]],"mmmm")</f>
        <v>January</v>
      </c>
      <c r="E2922" s="9">
        <f>YEAR(Table3[[#This Row],[usage_date]])</f>
        <v>2023</v>
      </c>
      <c r="F2922" s="14">
        <v>2.11</v>
      </c>
      <c r="G2922">
        <v>265</v>
      </c>
      <c r="H2922" t="s">
        <v>12</v>
      </c>
      <c r="I2922" t="str">
        <f t="shared" si="45"/>
        <v>Normal Usage</v>
      </c>
    </row>
    <row r="2923" spans="1:9" x14ac:dyDescent="0.3">
      <c r="A2923">
        <v>12922</v>
      </c>
      <c r="B2923">
        <v>237</v>
      </c>
      <c r="C2923" s="2">
        <v>44794</v>
      </c>
      <c r="D2923" s="2" t="str">
        <f>TEXT(Table3[[#This Row],[usage_date]],"mmmm")</f>
        <v>August</v>
      </c>
      <c r="E2923" s="9">
        <f>YEAR(Table3[[#This Row],[usage_date]])</f>
        <v>2022</v>
      </c>
      <c r="F2923" s="14">
        <v>2.95</v>
      </c>
      <c r="G2923">
        <v>242</v>
      </c>
      <c r="H2923" t="s">
        <v>13</v>
      </c>
      <c r="I2923" t="str">
        <f t="shared" si="45"/>
        <v>Normal Usage</v>
      </c>
    </row>
    <row r="2924" spans="1:9" x14ac:dyDescent="0.3">
      <c r="A2924">
        <v>12923</v>
      </c>
      <c r="B2924">
        <v>46</v>
      </c>
      <c r="C2924" s="2">
        <v>44756</v>
      </c>
      <c r="D2924" s="2" t="str">
        <f>TEXT(Table3[[#This Row],[usage_date]],"mmmm")</f>
        <v>July</v>
      </c>
      <c r="E2924" s="9">
        <f>YEAR(Table3[[#This Row],[usage_date]])</f>
        <v>2022</v>
      </c>
      <c r="F2924" s="14">
        <v>2.2400000000000002</v>
      </c>
      <c r="G2924">
        <v>157</v>
      </c>
      <c r="H2924" t="s">
        <v>13</v>
      </c>
      <c r="I2924" t="str">
        <f t="shared" si="45"/>
        <v>Normal Usage</v>
      </c>
    </row>
    <row r="2925" spans="1:9" x14ac:dyDescent="0.3">
      <c r="A2925">
        <v>12924</v>
      </c>
      <c r="B2925">
        <v>106</v>
      </c>
      <c r="C2925" s="2">
        <v>44573</v>
      </c>
      <c r="D2925" s="2" t="str">
        <f>TEXT(Table3[[#This Row],[usage_date]],"mmmm")</f>
        <v>January</v>
      </c>
      <c r="E2925" s="9">
        <f>YEAR(Table3[[#This Row],[usage_date]])</f>
        <v>2022</v>
      </c>
      <c r="F2925" s="14">
        <v>5.27</v>
      </c>
      <c r="G2925">
        <v>299</v>
      </c>
      <c r="H2925" t="s">
        <v>13</v>
      </c>
      <c r="I2925" t="str">
        <f t="shared" si="45"/>
        <v>Normal Usage</v>
      </c>
    </row>
    <row r="2926" spans="1:9" x14ac:dyDescent="0.3">
      <c r="A2926">
        <v>12925</v>
      </c>
      <c r="B2926">
        <v>416</v>
      </c>
      <c r="C2926" s="2">
        <v>45250</v>
      </c>
      <c r="D2926" s="2" t="str">
        <f>TEXT(Table3[[#This Row],[usage_date]],"mmmm")</f>
        <v>November</v>
      </c>
      <c r="E2926" s="9">
        <f>YEAR(Table3[[#This Row],[usage_date]])</f>
        <v>2023</v>
      </c>
      <c r="F2926" s="14">
        <v>1.1000000000000001</v>
      </c>
      <c r="G2926">
        <v>17</v>
      </c>
      <c r="H2926" t="s">
        <v>12</v>
      </c>
      <c r="I2926" t="str">
        <f t="shared" si="45"/>
        <v>Normal Usage</v>
      </c>
    </row>
    <row r="2927" spans="1:9" x14ac:dyDescent="0.3">
      <c r="A2927">
        <v>12926</v>
      </c>
      <c r="B2927">
        <v>288</v>
      </c>
      <c r="C2927" s="2">
        <v>44738</v>
      </c>
      <c r="D2927" s="2" t="str">
        <f>TEXT(Table3[[#This Row],[usage_date]],"mmmm")</f>
        <v>June</v>
      </c>
      <c r="E2927" s="9">
        <f>YEAR(Table3[[#This Row],[usage_date]])</f>
        <v>2022</v>
      </c>
      <c r="F2927" s="14">
        <v>0.89</v>
      </c>
      <c r="G2927">
        <v>82</v>
      </c>
      <c r="H2927" t="s">
        <v>12</v>
      </c>
      <c r="I2927" t="str">
        <f t="shared" si="45"/>
        <v>Normal Usage</v>
      </c>
    </row>
    <row r="2928" spans="1:9" x14ac:dyDescent="0.3">
      <c r="A2928">
        <v>12927</v>
      </c>
      <c r="B2928">
        <v>262</v>
      </c>
      <c r="C2928" s="2">
        <v>44778</v>
      </c>
      <c r="D2928" s="2" t="str">
        <f>TEXT(Table3[[#This Row],[usage_date]],"mmmm")</f>
        <v>August</v>
      </c>
      <c r="E2928" s="9">
        <f>YEAR(Table3[[#This Row],[usage_date]])</f>
        <v>2022</v>
      </c>
      <c r="F2928" s="14">
        <v>0.6</v>
      </c>
      <c r="G2928">
        <v>230</v>
      </c>
      <c r="H2928" t="s">
        <v>13</v>
      </c>
      <c r="I2928" t="str">
        <f t="shared" si="45"/>
        <v>Normal Usage</v>
      </c>
    </row>
    <row r="2929" spans="1:9" x14ac:dyDescent="0.3">
      <c r="A2929">
        <v>12928</v>
      </c>
      <c r="B2929">
        <v>176</v>
      </c>
      <c r="C2929" s="2">
        <v>44572</v>
      </c>
      <c r="D2929" s="2" t="str">
        <f>TEXT(Table3[[#This Row],[usage_date]],"mmmm")</f>
        <v>January</v>
      </c>
      <c r="E2929" s="9">
        <f>YEAR(Table3[[#This Row],[usage_date]])</f>
        <v>2022</v>
      </c>
      <c r="F2929" s="14">
        <v>0.1</v>
      </c>
      <c r="G2929">
        <v>252</v>
      </c>
      <c r="H2929" t="s">
        <v>12</v>
      </c>
      <c r="I2929" t="str">
        <f t="shared" si="45"/>
        <v>Normal Usage</v>
      </c>
    </row>
    <row r="2930" spans="1:9" x14ac:dyDescent="0.3">
      <c r="A2930">
        <v>12929</v>
      </c>
      <c r="B2930">
        <v>166</v>
      </c>
      <c r="C2930" s="2">
        <v>45007</v>
      </c>
      <c r="D2930" s="2" t="str">
        <f>TEXT(Table3[[#This Row],[usage_date]],"mmmm")</f>
        <v>March</v>
      </c>
      <c r="E2930" s="9">
        <f>YEAR(Table3[[#This Row],[usage_date]])</f>
        <v>2023</v>
      </c>
      <c r="F2930" s="14">
        <v>0.11</v>
      </c>
      <c r="G2930">
        <v>166</v>
      </c>
      <c r="H2930" t="s">
        <v>12</v>
      </c>
      <c r="I2930" t="str">
        <f t="shared" si="45"/>
        <v>Normal Usage</v>
      </c>
    </row>
    <row r="2931" spans="1:9" x14ac:dyDescent="0.3">
      <c r="A2931">
        <v>12930</v>
      </c>
      <c r="B2931">
        <v>145</v>
      </c>
      <c r="C2931" s="2">
        <v>45191</v>
      </c>
      <c r="D2931" s="2" t="str">
        <f>TEXT(Table3[[#This Row],[usage_date]],"mmmm")</f>
        <v>September</v>
      </c>
      <c r="E2931" s="9">
        <f>YEAR(Table3[[#This Row],[usage_date]])</f>
        <v>2023</v>
      </c>
      <c r="F2931" s="14">
        <v>5.0999999999999996</v>
      </c>
      <c r="G2931">
        <v>41</v>
      </c>
      <c r="H2931" t="s">
        <v>13</v>
      </c>
      <c r="I2931" t="str">
        <f t="shared" si="45"/>
        <v>Normal Usage</v>
      </c>
    </row>
    <row r="2932" spans="1:9" x14ac:dyDescent="0.3">
      <c r="A2932">
        <v>12931</v>
      </c>
      <c r="B2932">
        <v>330</v>
      </c>
      <c r="C2932" s="2">
        <v>44725</v>
      </c>
      <c r="D2932" s="2" t="str">
        <f>TEXT(Table3[[#This Row],[usage_date]],"mmmm")</f>
        <v>June</v>
      </c>
      <c r="E2932" s="9">
        <f>YEAR(Table3[[#This Row],[usage_date]])</f>
        <v>2022</v>
      </c>
      <c r="F2932" s="14">
        <v>2.84</v>
      </c>
      <c r="G2932">
        <v>248</v>
      </c>
      <c r="H2932" t="s">
        <v>12</v>
      </c>
      <c r="I2932" t="str">
        <f t="shared" si="45"/>
        <v>Normal Usage</v>
      </c>
    </row>
    <row r="2933" spans="1:9" x14ac:dyDescent="0.3">
      <c r="A2933">
        <v>12932</v>
      </c>
      <c r="B2933">
        <v>370</v>
      </c>
      <c r="C2933" s="2">
        <v>45112</v>
      </c>
      <c r="D2933" s="2" t="str">
        <f>TEXT(Table3[[#This Row],[usage_date]],"mmmm")</f>
        <v>July</v>
      </c>
      <c r="E2933" s="9">
        <f>YEAR(Table3[[#This Row],[usage_date]])</f>
        <v>2023</v>
      </c>
      <c r="F2933" s="14">
        <v>2.7</v>
      </c>
      <c r="G2933">
        <v>247</v>
      </c>
      <c r="H2933" t="s">
        <v>12</v>
      </c>
      <c r="I2933" t="str">
        <f t="shared" si="45"/>
        <v>Normal Usage</v>
      </c>
    </row>
    <row r="2934" spans="1:9" x14ac:dyDescent="0.3">
      <c r="A2934">
        <v>12933</v>
      </c>
      <c r="B2934">
        <v>283</v>
      </c>
      <c r="C2934" s="2">
        <v>44614</v>
      </c>
      <c r="D2934" s="2" t="str">
        <f>TEXT(Table3[[#This Row],[usage_date]],"mmmm")</f>
        <v>February</v>
      </c>
      <c r="E2934" s="9">
        <f>YEAR(Table3[[#This Row],[usage_date]])</f>
        <v>2022</v>
      </c>
      <c r="F2934" s="14">
        <v>2.38</v>
      </c>
      <c r="G2934">
        <v>285</v>
      </c>
      <c r="H2934" t="s">
        <v>12</v>
      </c>
      <c r="I2934" t="str">
        <f t="shared" si="45"/>
        <v>Normal Usage</v>
      </c>
    </row>
    <row r="2935" spans="1:9" x14ac:dyDescent="0.3">
      <c r="A2935">
        <v>12934</v>
      </c>
      <c r="B2935">
        <v>54</v>
      </c>
      <c r="C2935" s="2">
        <v>44779</v>
      </c>
      <c r="D2935" s="2" t="str">
        <f>TEXT(Table3[[#This Row],[usage_date]],"mmmm")</f>
        <v>August</v>
      </c>
      <c r="E2935" s="9">
        <f>YEAR(Table3[[#This Row],[usage_date]])</f>
        <v>2022</v>
      </c>
      <c r="F2935" s="14">
        <v>4.7300000000000004</v>
      </c>
      <c r="G2935">
        <v>19</v>
      </c>
      <c r="H2935" t="s">
        <v>12</v>
      </c>
      <c r="I2935" t="str">
        <f t="shared" si="45"/>
        <v>Normal Usage</v>
      </c>
    </row>
    <row r="2936" spans="1:9" x14ac:dyDescent="0.3">
      <c r="A2936">
        <v>12935</v>
      </c>
      <c r="B2936">
        <v>178</v>
      </c>
      <c r="C2936" s="2">
        <v>45279</v>
      </c>
      <c r="D2936" s="2" t="str">
        <f>TEXT(Table3[[#This Row],[usage_date]],"mmmm")</f>
        <v>December</v>
      </c>
      <c r="E2936" s="9">
        <f>YEAR(Table3[[#This Row],[usage_date]])</f>
        <v>2023</v>
      </c>
      <c r="F2936" s="14">
        <v>1.64</v>
      </c>
      <c r="G2936">
        <v>41</v>
      </c>
      <c r="H2936" t="s">
        <v>12</v>
      </c>
      <c r="I2936" t="str">
        <f t="shared" si="45"/>
        <v>Normal Usage</v>
      </c>
    </row>
    <row r="2937" spans="1:9" x14ac:dyDescent="0.3">
      <c r="A2937">
        <v>12936</v>
      </c>
      <c r="B2937">
        <v>419</v>
      </c>
      <c r="C2937" s="2">
        <v>45385</v>
      </c>
      <c r="D2937" s="2" t="str">
        <f>TEXT(Table3[[#This Row],[usage_date]],"mmmm")</f>
        <v>April</v>
      </c>
      <c r="E2937" s="9">
        <f>YEAR(Table3[[#This Row],[usage_date]])</f>
        <v>2024</v>
      </c>
      <c r="F2937" s="14">
        <v>5.1100000000000003</v>
      </c>
      <c r="G2937">
        <v>86</v>
      </c>
      <c r="H2937" t="s">
        <v>12</v>
      </c>
      <c r="I2937" t="str">
        <f t="shared" si="45"/>
        <v>Normal Usage</v>
      </c>
    </row>
    <row r="2938" spans="1:9" x14ac:dyDescent="0.3">
      <c r="A2938">
        <v>12937</v>
      </c>
      <c r="B2938">
        <v>244</v>
      </c>
      <c r="C2938" s="2">
        <v>44921</v>
      </c>
      <c r="D2938" s="2" t="str">
        <f>TEXT(Table3[[#This Row],[usage_date]],"mmmm")</f>
        <v>December</v>
      </c>
      <c r="E2938" s="9">
        <f>YEAR(Table3[[#This Row],[usage_date]])</f>
        <v>2022</v>
      </c>
      <c r="F2938" s="14">
        <v>1.1100000000000001</v>
      </c>
      <c r="G2938">
        <v>260</v>
      </c>
      <c r="H2938" t="s">
        <v>12</v>
      </c>
      <c r="I2938" t="str">
        <f t="shared" si="45"/>
        <v>Normal Usage</v>
      </c>
    </row>
    <row r="2939" spans="1:9" x14ac:dyDescent="0.3">
      <c r="A2939">
        <v>12938</v>
      </c>
      <c r="B2939">
        <v>341</v>
      </c>
      <c r="C2939" s="2">
        <v>44946</v>
      </c>
      <c r="D2939" s="2" t="str">
        <f>TEXT(Table3[[#This Row],[usage_date]],"mmmm")</f>
        <v>January</v>
      </c>
      <c r="E2939" s="9">
        <f>YEAR(Table3[[#This Row],[usage_date]])</f>
        <v>2023</v>
      </c>
      <c r="F2939" s="14">
        <v>6.53</v>
      </c>
      <c r="G2939">
        <v>296</v>
      </c>
      <c r="H2939" t="s">
        <v>12</v>
      </c>
      <c r="I2939" t="str">
        <f t="shared" si="45"/>
        <v>High Usage</v>
      </c>
    </row>
    <row r="2940" spans="1:9" x14ac:dyDescent="0.3">
      <c r="A2940">
        <v>12939</v>
      </c>
      <c r="B2940">
        <v>127</v>
      </c>
      <c r="C2940" s="2">
        <v>44617</v>
      </c>
      <c r="D2940" s="2" t="str">
        <f>TEXT(Table3[[#This Row],[usage_date]],"mmmm")</f>
        <v>February</v>
      </c>
      <c r="E2940" s="9">
        <f>YEAR(Table3[[#This Row],[usage_date]])</f>
        <v>2022</v>
      </c>
      <c r="F2940" s="14">
        <v>3</v>
      </c>
      <c r="G2940">
        <v>239</v>
      </c>
      <c r="H2940" t="s">
        <v>13</v>
      </c>
      <c r="I2940" t="str">
        <f t="shared" si="45"/>
        <v>Normal Usage</v>
      </c>
    </row>
    <row r="2941" spans="1:9" x14ac:dyDescent="0.3">
      <c r="A2941">
        <v>12940</v>
      </c>
      <c r="B2941">
        <v>409</v>
      </c>
      <c r="C2941" s="2">
        <v>44679</v>
      </c>
      <c r="D2941" s="2" t="str">
        <f>TEXT(Table3[[#This Row],[usage_date]],"mmmm")</f>
        <v>April</v>
      </c>
      <c r="E2941" s="9">
        <f>YEAR(Table3[[#This Row],[usage_date]])</f>
        <v>2022</v>
      </c>
      <c r="F2941" s="14">
        <v>0.74</v>
      </c>
      <c r="G2941">
        <v>166</v>
      </c>
      <c r="H2941" t="s">
        <v>12</v>
      </c>
      <c r="I2941" t="str">
        <f t="shared" si="45"/>
        <v>Normal Usage</v>
      </c>
    </row>
    <row r="2942" spans="1:9" x14ac:dyDescent="0.3">
      <c r="A2942">
        <v>12941</v>
      </c>
      <c r="B2942">
        <v>412</v>
      </c>
      <c r="C2942" s="2">
        <v>45461</v>
      </c>
      <c r="D2942" s="2" t="str">
        <f>TEXT(Table3[[#This Row],[usage_date]],"mmmm")</f>
        <v>June</v>
      </c>
      <c r="E2942" s="9">
        <f>YEAR(Table3[[#This Row],[usage_date]])</f>
        <v>2024</v>
      </c>
      <c r="F2942" s="14">
        <v>2.08</v>
      </c>
      <c r="G2942">
        <v>218</v>
      </c>
      <c r="H2942" t="s">
        <v>12</v>
      </c>
      <c r="I2942" t="str">
        <f t="shared" si="45"/>
        <v>Normal Usage</v>
      </c>
    </row>
    <row r="2943" spans="1:9" x14ac:dyDescent="0.3">
      <c r="A2943">
        <v>12942</v>
      </c>
      <c r="B2943">
        <v>367</v>
      </c>
      <c r="C2943" s="2">
        <v>44814</v>
      </c>
      <c r="D2943" s="2" t="str">
        <f>TEXT(Table3[[#This Row],[usage_date]],"mmmm")</f>
        <v>September</v>
      </c>
      <c r="E2943" s="9">
        <f>YEAR(Table3[[#This Row],[usage_date]])</f>
        <v>2022</v>
      </c>
      <c r="F2943" s="14">
        <v>1.9</v>
      </c>
      <c r="G2943">
        <v>132</v>
      </c>
      <c r="H2943" t="s">
        <v>12</v>
      </c>
      <c r="I2943" t="str">
        <f t="shared" si="45"/>
        <v>Normal Usage</v>
      </c>
    </row>
    <row r="2944" spans="1:9" x14ac:dyDescent="0.3">
      <c r="A2944">
        <v>12943</v>
      </c>
      <c r="B2944">
        <v>271</v>
      </c>
      <c r="C2944" s="2">
        <v>45359</v>
      </c>
      <c r="D2944" s="2" t="str">
        <f>TEXT(Table3[[#This Row],[usage_date]],"mmmm")</f>
        <v>March</v>
      </c>
      <c r="E2944" s="9">
        <f>YEAR(Table3[[#This Row],[usage_date]])</f>
        <v>2024</v>
      </c>
      <c r="F2944" s="14">
        <v>0.37</v>
      </c>
      <c r="G2944">
        <v>206</v>
      </c>
      <c r="H2944" t="s">
        <v>13</v>
      </c>
      <c r="I2944" t="str">
        <f t="shared" si="45"/>
        <v>Normal Usage</v>
      </c>
    </row>
    <row r="2945" spans="1:9" x14ac:dyDescent="0.3">
      <c r="A2945">
        <v>12944</v>
      </c>
      <c r="B2945">
        <v>132</v>
      </c>
      <c r="C2945" s="2">
        <v>45341</v>
      </c>
      <c r="D2945" s="2" t="str">
        <f>TEXT(Table3[[#This Row],[usage_date]],"mmmm")</f>
        <v>February</v>
      </c>
      <c r="E2945" s="9">
        <f>YEAR(Table3[[#This Row],[usage_date]])</f>
        <v>2024</v>
      </c>
      <c r="F2945" s="14">
        <v>2.2400000000000002</v>
      </c>
      <c r="G2945">
        <v>50</v>
      </c>
      <c r="H2945" t="s">
        <v>13</v>
      </c>
      <c r="I2945" t="str">
        <f t="shared" si="45"/>
        <v>Normal Usage</v>
      </c>
    </row>
    <row r="2946" spans="1:9" x14ac:dyDescent="0.3">
      <c r="A2946">
        <v>12945</v>
      </c>
      <c r="B2946">
        <v>93</v>
      </c>
      <c r="C2946" s="2">
        <v>45364</v>
      </c>
      <c r="D2946" s="2" t="str">
        <f>TEXT(Table3[[#This Row],[usage_date]],"mmmm")</f>
        <v>March</v>
      </c>
      <c r="E2946" s="9">
        <f>YEAR(Table3[[#This Row],[usage_date]])</f>
        <v>2024</v>
      </c>
      <c r="F2946" s="14">
        <v>0.95</v>
      </c>
      <c r="G2946">
        <v>105</v>
      </c>
      <c r="H2946" t="s">
        <v>12</v>
      </c>
      <c r="I2946" t="str">
        <f t="shared" ref="I2946:I3009" si="46">IF(F2946&gt;6,"High Usage","Normal Usage")</f>
        <v>Normal Usage</v>
      </c>
    </row>
    <row r="2947" spans="1:9" x14ac:dyDescent="0.3">
      <c r="A2947">
        <v>12946</v>
      </c>
      <c r="B2947">
        <v>379</v>
      </c>
      <c r="C2947" s="2">
        <v>45406</v>
      </c>
      <c r="D2947" s="2" t="str">
        <f>TEXT(Table3[[#This Row],[usage_date]],"mmmm")</f>
        <v>April</v>
      </c>
      <c r="E2947" s="9">
        <f>YEAR(Table3[[#This Row],[usage_date]])</f>
        <v>2024</v>
      </c>
      <c r="F2947" s="14">
        <v>0.13</v>
      </c>
      <c r="G2947">
        <v>183</v>
      </c>
      <c r="H2947" t="s">
        <v>12</v>
      </c>
      <c r="I2947" t="str">
        <f t="shared" si="46"/>
        <v>Normal Usage</v>
      </c>
    </row>
    <row r="2948" spans="1:9" x14ac:dyDescent="0.3">
      <c r="A2948">
        <v>12947</v>
      </c>
      <c r="B2948">
        <v>73</v>
      </c>
      <c r="C2948" s="2">
        <v>44741</v>
      </c>
      <c r="D2948" s="2" t="str">
        <f>TEXT(Table3[[#This Row],[usage_date]],"mmmm")</f>
        <v>June</v>
      </c>
      <c r="E2948" s="9">
        <f>YEAR(Table3[[#This Row],[usage_date]])</f>
        <v>2022</v>
      </c>
      <c r="F2948" s="14">
        <v>7.42</v>
      </c>
      <c r="G2948">
        <v>200</v>
      </c>
      <c r="H2948" t="s">
        <v>12</v>
      </c>
      <c r="I2948" t="str">
        <f t="shared" si="46"/>
        <v>High Usage</v>
      </c>
    </row>
    <row r="2949" spans="1:9" x14ac:dyDescent="0.3">
      <c r="A2949">
        <v>12948</v>
      </c>
      <c r="B2949">
        <v>411</v>
      </c>
      <c r="C2949" s="2">
        <v>44976</v>
      </c>
      <c r="D2949" s="2" t="str">
        <f>TEXT(Table3[[#This Row],[usage_date]],"mmmm")</f>
        <v>February</v>
      </c>
      <c r="E2949" s="9">
        <f>YEAR(Table3[[#This Row],[usage_date]])</f>
        <v>2023</v>
      </c>
      <c r="F2949" s="14">
        <v>2.56</v>
      </c>
      <c r="G2949">
        <v>10</v>
      </c>
      <c r="H2949" t="s">
        <v>13</v>
      </c>
      <c r="I2949" t="str">
        <f t="shared" si="46"/>
        <v>Normal Usage</v>
      </c>
    </row>
    <row r="2950" spans="1:9" x14ac:dyDescent="0.3">
      <c r="A2950">
        <v>12949</v>
      </c>
      <c r="B2950">
        <v>410</v>
      </c>
      <c r="C2950" s="2">
        <v>45431</v>
      </c>
      <c r="D2950" s="2" t="str">
        <f>TEXT(Table3[[#This Row],[usage_date]],"mmmm")</f>
        <v>May</v>
      </c>
      <c r="E2950" s="9">
        <f>YEAR(Table3[[#This Row],[usage_date]])</f>
        <v>2024</v>
      </c>
      <c r="F2950" s="14">
        <v>5.24</v>
      </c>
      <c r="G2950">
        <v>253</v>
      </c>
      <c r="H2950" t="s">
        <v>12</v>
      </c>
      <c r="I2950" t="str">
        <f t="shared" si="46"/>
        <v>Normal Usage</v>
      </c>
    </row>
    <row r="2951" spans="1:9" x14ac:dyDescent="0.3">
      <c r="A2951">
        <v>12950</v>
      </c>
      <c r="B2951">
        <v>403</v>
      </c>
      <c r="C2951" s="2">
        <v>44796</v>
      </c>
      <c r="D2951" s="2" t="str">
        <f>TEXT(Table3[[#This Row],[usage_date]],"mmmm")</f>
        <v>August</v>
      </c>
      <c r="E2951" s="9">
        <f>YEAR(Table3[[#This Row],[usage_date]])</f>
        <v>2022</v>
      </c>
      <c r="F2951" s="14">
        <v>2.82</v>
      </c>
      <c r="G2951">
        <v>149</v>
      </c>
      <c r="H2951" t="s">
        <v>12</v>
      </c>
      <c r="I2951" t="str">
        <f t="shared" si="46"/>
        <v>Normal Usage</v>
      </c>
    </row>
    <row r="2952" spans="1:9" x14ac:dyDescent="0.3">
      <c r="A2952">
        <v>12951</v>
      </c>
      <c r="B2952">
        <v>248</v>
      </c>
      <c r="C2952" s="2">
        <v>45416</v>
      </c>
      <c r="D2952" s="2" t="str">
        <f>TEXT(Table3[[#This Row],[usage_date]],"mmmm")</f>
        <v>May</v>
      </c>
      <c r="E2952" s="9">
        <f>YEAR(Table3[[#This Row],[usage_date]])</f>
        <v>2024</v>
      </c>
      <c r="F2952" s="14">
        <v>1.1000000000000001</v>
      </c>
      <c r="G2952">
        <v>95</v>
      </c>
      <c r="H2952" t="s">
        <v>13</v>
      </c>
      <c r="I2952" t="str">
        <f t="shared" si="46"/>
        <v>Normal Usage</v>
      </c>
    </row>
    <row r="2953" spans="1:9" x14ac:dyDescent="0.3">
      <c r="A2953">
        <v>12952</v>
      </c>
      <c r="B2953">
        <v>348</v>
      </c>
      <c r="C2953" s="2">
        <v>45269</v>
      </c>
      <c r="D2953" s="2" t="str">
        <f>TEXT(Table3[[#This Row],[usage_date]],"mmmm")</f>
        <v>December</v>
      </c>
      <c r="E2953" s="9">
        <f>YEAR(Table3[[#This Row],[usage_date]])</f>
        <v>2023</v>
      </c>
      <c r="F2953" s="14">
        <v>1.8</v>
      </c>
      <c r="G2953">
        <v>105</v>
      </c>
      <c r="H2953" t="s">
        <v>13</v>
      </c>
      <c r="I2953" t="str">
        <f t="shared" si="46"/>
        <v>Normal Usage</v>
      </c>
    </row>
    <row r="2954" spans="1:9" x14ac:dyDescent="0.3">
      <c r="A2954">
        <v>12953</v>
      </c>
      <c r="B2954">
        <v>273</v>
      </c>
      <c r="C2954" s="2">
        <v>45381</v>
      </c>
      <c r="D2954" s="2" t="str">
        <f>TEXT(Table3[[#This Row],[usage_date]],"mmmm")</f>
        <v>March</v>
      </c>
      <c r="E2954" s="9">
        <f>YEAR(Table3[[#This Row],[usage_date]])</f>
        <v>2024</v>
      </c>
      <c r="F2954" s="14">
        <v>2.82</v>
      </c>
      <c r="G2954">
        <v>142</v>
      </c>
      <c r="H2954" t="s">
        <v>12</v>
      </c>
      <c r="I2954" t="str">
        <f t="shared" si="46"/>
        <v>Normal Usage</v>
      </c>
    </row>
    <row r="2955" spans="1:9" x14ac:dyDescent="0.3">
      <c r="A2955">
        <v>12954</v>
      </c>
      <c r="B2955">
        <v>43</v>
      </c>
      <c r="C2955" s="2">
        <v>44641</v>
      </c>
      <c r="D2955" s="2" t="str">
        <f>TEXT(Table3[[#This Row],[usage_date]],"mmmm")</f>
        <v>March</v>
      </c>
      <c r="E2955" s="9">
        <f>YEAR(Table3[[#This Row],[usage_date]])</f>
        <v>2022</v>
      </c>
      <c r="F2955" s="14">
        <v>8.06</v>
      </c>
      <c r="G2955">
        <v>165</v>
      </c>
      <c r="H2955" t="s">
        <v>13</v>
      </c>
      <c r="I2955" t="str">
        <f t="shared" si="46"/>
        <v>High Usage</v>
      </c>
    </row>
    <row r="2956" spans="1:9" x14ac:dyDescent="0.3">
      <c r="A2956">
        <v>12955</v>
      </c>
      <c r="B2956">
        <v>377</v>
      </c>
      <c r="C2956" s="2">
        <v>45208</v>
      </c>
      <c r="D2956" s="2" t="str">
        <f>TEXT(Table3[[#This Row],[usage_date]],"mmmm")</f>
        <v>October</v>
      </c>
      <c r="E2956" s="9">
        <f>YEAR(Table3[[#This Row],[usage_date]])</f>
        <v>2023</v>
      </c>
      <c r="F2956" s="14">
        <v>0.73</v>
      </c>
      <c r="G2956">
        <v>0</v>
      </c>
      <c r="H2956" t="s">
        <v>12</v>
      </c>
      <c r="I2956" t="str">
        <f t="shared" si="46"/>
        <v>Normal Usage</v>
      </c>
    </row>
    <row r="2957" spans="1:9" x14ac:dyDescent="0.3">
      <c r="A2957">
        <v>12956</v>
      </c>
      <c r="B2957">
        <v>41</v>
      </c>
      <c r="C2957" s="2">
        <v>44583</v>
      </c>
      <c r="D2957" s="2" t="str">
        <f>TEXT(Table3[[#This Row],[usage_date]],"mmmm")</f>
        <v>January</v>
      </c>
      <c r="E2957" s="9">
        <f>YEAR(Table3[[#This Row],[usage_date]])</f>
        <v>2022</v>
      </c>
      <c r="F2957" s="14">
        <v>5.2</v>
      </c>
      <c r="G2957">
        <v>45</v>
      </c>
      <c r="H2957" t="s">
        <v>13</v>
      </c>
      <c r="I2957" t="str">
        <f t="shared" si="46"/>
        <v>Normal Usage</v>
      </c>
    </row>
    <row r="2958" spans="1:9" x14ac:dyDescent="0.3">
      <c r="A2958">
        <v>12957</v>
      </c>
      <c r="B2958">
        <v>170</v>
      </c>
      <c r="C2958" s="2">
        <v>45038</v>
      </c>
      <c r="D2958" s="2" t="str">
        <f>TEXT(Table3[[#This Row],[usage_date]],"mmmm")</f>
        <v>April</v>
      </c>
      <c r="E2958" s="9">
        <f>YEAR(Table3[[#This Row],[usage_date]])</f>
        <v>2023</v>
      </c>
      <c r="F2958" s="14">
        <v>6.45</v>
      </c>
      <c r="G2958">
        <v>241</v>
      </c>
      <c r="H2958" t="s">
        <v>12</v>
      </c>
      <c r="I2958" t="str">
        <f t="shared" si="46"/>
        <v>High Usage</v>
      </c>
    </row>
    <row r="2959" spans="1:9" x14ac:dyDescent="0.3">
      <c r="A2959">
        <v>12958</v>
      </c>
      <c r="B2959">
        <v>434</v>
      </c>
      <c r="C2959" s="2">
        <v>45404</v>
      </c>
      <c r="D2959" s="2" t="str">
        <f>TEXT(Table3[[#This Row],[usage_date]],"mmmm")</f>
        <v>April</v>
      </c>
      <c r="E2959" s="9">
        <f>YEAR(Table3[[#This Row],[usage_date]])</f>
        <v>2024</v>
      </c>
      <c r="F2959" s="14">
        <v>2.77</v>
      </c>
      <c r="G2959">
        <v>277</v>
      </c>
      <c r="H2959" t="s">
        <v>12</v>
      </c>
      <c r="I2959" t="str">
        <f t="shared" si="46"/>
        <v>Normal Usage</v>
      </c>
    </row>
    <row r="2960" spans="1:9" x14ac:dyDescent="0.3">
      <c r="A2960">
        <v>12959</v>
      </c>
      <c r="B2960">
        <v>212</v>
      </c>
      <c r="C2960" s="2">
        <v>45001</v>
      </c>
      <c r="D2960" s="2" t="str">
        <f>TEXT(Table3[[#This Row],[usage_date]],"mmmm")</f>
        <v>March</v>
      </c>
      <c r="E2960" s="9">
        <f>YEAR(Table3[[#This Row],[usage_date]])</f>
        <v>2023</v>
      </c>
      <c r="F2960" s="14">
        <v>6.69</v>
      </c>
      <c r="G2960">
        <v>2</v>
      </c>
      <c r="H2960" t="s">
        <v>12</v>
      </c>
      <c r="I2960" t="str">
        <f t="shared" si="46"/>
        <v>High Usage</v>
      </c>
    </row>
    <row r="2961" spans="1:9" x14ac:dyDescent="0.3">
      <c r="A2961">
        <v>12960</v>
      </c>
      <c r="B2961">
        <v>493</v>
      </c>
      <c r="C2961" s="2">
        <v>45298</v>
      </c>
      <c r="D2961" s="2" t="str">
        <f>TEXT(Table3[[#This Row],[usage_date]],"mmmm")</f>
        <v>January</v>
      </c>
      <c r="E2961" s="9">
        <f>YEAR(Table3[[#This Row],[usage_date]])</f>
        <v>2024</v>
      </c>
      <c r="F2961" s="14">
        <v>1.27</v>
      </c>
      <c r="G2961">
        <v>141</v>
      </c>
      <c r="H2961" t="s">
        <v>12</v>
      </c>
      <c r="I2961" t="str">
        <f t="shared" si="46"/>
        <v>Normal Usage</v>
      </c>
    </row>
    <row r="2962" spans="1:9" x14ac:dyDescent="0.3">
      <c r="A2962">
        <v>12961</v>
      </c>
      <c r="B2962">
        <v>168</v>
      </c>
      <c r="C2962" s="2">
        <v>45131</v>
      </c>
      <c r="D2962" s="2" t="str">
        <f>TEXT(Table3[[#This Row],[usage_date]],"mmmm")</f>
        <v>July</v>
      </c>
      <c r="E2962" s="9">
        <f>YEAR(Table3[[#This Row],[usage_date]])</f>
        <v>2023</v>
      </c>
      <c r="F2962" s="14">
        <v>7.64</v>
      </c>
      <c r="G2962">
        <v>60</v>
      </c>
      <c r="H2962" t="s">
        <v>12</v>
      </c>
      <c r="I2962" t="str">
        <f t="shared" si="46"/>
        <v>High Usage</v>
      </c>
    </row>
    <row r="2963" spans="1:9" x14ac:dyDescent="0.3">
      <c r="A2963">
        <v>12962</v>
      </c>
      <c r="B2963">
        <v>39</v>
      </c>
      <c r="C2963" s="2">
        <v>44654</v>
      </c>
      <c r="D2963" s="2" t="str">
        <f>TEXT(Table3[[#This Row],[usage_date]],"mmmm")</f>
        <v>April</v>
      </c>
      <c r="E2963" s="9">
        <f>YEAR(Table3[[#This Row],[usage_date]])</f>
        <v>2022</v>
      </c>
      <c r="F2963" s="14">
        <v>3.03</v>
      </c>
      <c r="G2963">
        <v>293</v>
      </c>
      <c r="H2963" t="s">
        <v>12</v>
      </c>
      <c r="I2963" t="str">
        <f t="shared" si="46"/>
        <v>Normal Usage</v>
      </c>
    </row>
    <row r="2964" spans="1:9" x14ac:dyDescent="0.3">
      <c r="A2964">
        <v>12963</v>
      </c>
      <c r="B2964">
        <v>369</v>
      </c>
      <c r="C2964" s="2">
        <v>44753</v>
      </c>
      <c r="D2964" s="2" t="str">
        <f>TEXT(Table3[[#This Row],[usage_date]],"mmmm")</f>
        <v>July</v>
      </c>
      <c r="E2964" s="9">
        <f>YEAR(Table3[[#This Row],[usage_date]])</f>
        <v>2022</v>
      </c>
      <c r="F2964" s="14">
        <v>0.11</v>
      </c>
      <c r="G2964">
        <v>224</v>
      </c>
      <c r="H2964" t="s">
        <v>12</v>
      </c>
      <c r="I2964" t="str">
        <f t="shared" si="46"/>
        <v>Normal Usage</v>
      </c>
    </row>
    <row r="2965" spans="1:9" x14ac:dyDescent="0.3">
      <c r="A2965">
        <v>12964</v>
      </c>
      <c r="B2965">
        <v>245</v>
      </c>
      <c r="C2965" s="2">
        <v>44664</v>
      </c>
      <c r="D2965" s="2" t="str">
        <f>TEXT(Table3[[#This Row],[usage_date]],"mmmm")</f>
        <v>April</v>
      </c>
      <c r="E2965" s="9">
        <f>YEAR(Table3[[#This Row],[usage_date]])</f>
        <v>2022</v>
      </c>
      <c r="F2965" s="14">
        <v>5.93</v>
      </c>
      <c r="G2965">
        <v>169</v>
      </c>
      <c r="H2965" t="s">
        <v>12</v>
      </c>
      <c r="I2965" t="str">
        <f t="shared" si="46"/>
        <v>Normal Usage</v>
      </c>
    </row>
    <row r="2966" spans="1:9" x14ac:dyDescent="0.3">
      <c r="A2966">
        <v>12965</v>
      </c>
      <c r="B2966">
        <v>151</v>
      </c>
      <c r="C2966" s="2">
        <v>44957</v>
      </c>
      <c r="D2966" s="2" t="str">
        <f>TEXT(Table3[[#This Row],[usage_date]],"mmmm")</f>
        <v>January</v>
      </c>
      <c r="E2966" s="9">
        <f>YEAR(Table3[[#This Row],[usage_date]])</f>
        <v>2023</v>
      </c>
      <c r="F2966" s="14">
        <v>1.66</v>
      </c>
      <c r="G2966">
        <v>133</v>
      </c>
      <c r="H2966" t="s">
        <v>13</v>
      </c>
      <c r="I2966" t="str">
        <f t="shared" si="46"/>
        <v>Normal Usage</v>
      </c>
    </row>
    <row r="2967" spans="1:9" x14ac:dyDescent="0.3">
      <c r="A2967">
        <v>12966</v>
      </c>
      <c r="B2967">
        <v>111</v>
      </c>
      <c r="C2967" s="2">
        <v>44568</v>
      </c>
      <c r="D2967" s="2" t="str">
        <f>TEXT(Table3[[#This Row],[usage_date]],"mmmm")</f>
        <v>January</v>
      </c>
      <c r="E2967" s="9">
        <f>YEAR(Table3[[#This Row],[usage_date]])</f>
        <v>2022</v>
      </c>
      <c r="F2967" s="14">
        <v>1.54</v>
      </c>
      <c r="G2967">
        <v>40</v>
      </c>
      <c r="H2967" t="s">
        <v>12</v>
      </c>
      <c r="I2967" t="str">
        <f t="shared" si="46"/>
        <v>Normal Usage</v>
      </c>
    </row>
    <row r="2968" spans="1:9" x14ac:dyDescent="0.3">
      <c r="A2968">
        <v>12967</v>
      </c>
      <c r="B2968">
        <v>480</v>
      </c>
      <c r="C2968" s="2">
        <v>45201</v>
      </c>
      <c r="D2968" s="2" t="str">
        <f>TEXT(Table3[[#This Row],[usage_date]],"mmmm")</f>
        <v>October</v>
      </c>
      <c r="E2968" s="9">
        <f>YEAR(Table3[[#This Row],[usage_date]])</f>
        <v>2023</v>
      </c>
      <c r="F2968" s="14">
        <v>2.09</v>
      </c>
      <c r="G2968">
        <v>230</v>
      </c>
      <c r="H2968" t="s">
        <v>12</v>
      </c>
      <c r="I2968" t="str">
        <f t="shared" si="46"/>
        <v>Normal Usage</v>
      </c>
    </row>
    <row r="2969" spans="1:9" x14ac:dyDescent="0.3">
      <c r="A2969">
        <v>12968</v>
      </c>
      <c r="B2969">
        <v>436</v>
      </c>
      <c r="C2969" s="2">
        <v>45128</v>
      </c>
      <c r="D2969" s="2" t="str">
        <f>TEXT(Table3[[#This Row],[usage_date]],"mmmm")</f>
        <v>July</v>
      </c>
      <c r="E2969" s="9">
        <f>YEAR(Table3[[#This Row],[usage_date]])</f>
        <v>2023</v>
      </c>
      <c r="F2969" s="14">
        <v>0.4</v>
      </c>
      <c r="G2969">
        <v>225</v>
      </c>
      <c r="H2969" t="s">
        <v>12</v>
      </c>
      <c r="I2969" t="str">
        <f t="shared" si="46"/>
        <v>Normal Usage</v>
      </c>
    </row>
    <row r="2970" spans="1:9" x14ac:dyDescent="0.3">
      <c r="A2970">
        <v>12969</v>
      </c>
      <c r="B2970">
        <v>47</v>
      </c>
      <c r="C2970" s="2">
        <v>44792</v>
      </c>
      <c r="D2970" s="2" t="str">
        <f>TEXT(Table3[[#This Row],[usage_date]],"mmmm")</f>
        <v>August</v>
      </c>
      <c r="E2970" s="9">
        <f>YEAR(Table3[[#This Row],[usage_date]])</f>
        <v>2022</v>
      </c>
      <c r="F2970" s="14">
        <v>1.58</v>
      </c>
      <c r="G2970">
        <v>138</v>
      </c>
      <c r="H2970" t="s">
        <v>12</v>
      </c>
      <c r="I2970" t="str">
        <f t="shared" si="46"/>
        <v>Normal Usage</v>
      </c>
    </row>
    <row r="2971" spans="1:9" x14ac:dyDescent="0.3">
      <c r="A2971">
        <v>12970</v>
      </c>
      <c r="B2971">
        <v>63</v>
      </c>
      <c r="C2971" s="2">
        <v>45435</v>
      </c>
      <c r="D2971" s="2" t="str">
        <f>TEXT(Table3[[#This Row],[usage_date]],"mmmm")</f>
        <v>May</v>
      </c>
      <c r="E2971" s="9">
        <f>YEAR(Table3[[#This Row],[usage_date]])</f>
        <v>2024</v>
      </c>
      <c r="F2971" s="14">
        <v>4.45</v>
      </c>
      <c r="G2971">
        <v>109</v>
      </c>
      <c r="H2971" t="s">
        <v>12</v>
      </c>
      <c r="I2971" t="str">
        <f t="shared" si="46"/>
        <v>Normal Usage</v>
      </c>
    </row>
    <row r="2972" spans="1:9" x14ac:dyDescent="0.3">
      <c r="A2972">
        <v>12971</v>
      </c>
      <c r="B2972">
        <v>225</v>
      </c>
      <c r="C2972" s="2">
        <v>45135</v>
      </c>
      <c r="D2972" s="2" t="str">
        <f>TEXT(Table3[[#This Row],[usage_date]],"mmmm")</f>
        <v>July</v>
      </c>
      <c r="E2972" s="9">
        <f>YEAR(Table3[[#This Row],[usage_date]])</f>
        <v>2023</v>
      </c>
      <c r="F2972" s="14">
        <v>0.04</v>
      </c>
      <c r="G2972">
        <v>296</v>
      </c>
      <c r="H2972" t="s">
        <v>12</v>
      </c>
      <c r="I2972" t="str">
        <f t="shared" si="46"/>
        <v>Normal Usage</v>
      </c>
    </row>
    <row r="2973" spans="1:9" x14ac:dyDescent="0.3">
      <c r="A2973">
        <v>12972</v>
      </c>
      <c r="B2973">
        <v>366</v>
      </c>
      <c r="C2973" s="2">
        <v>44801</v>
      </c>
      <c r="D2973" s="2" t="str">
        <f>TEXT(Table3[[#This Row],[usage_date]],"mmmm")</f>
        <v>August</v>
      </c>
      <c r="E2973" s="9">
        <f>YEAR(Table3[[#This Row],[usage_date]])</f>
        <v>2022</v>
      </c>
      <c r="F2973" s="14">
        <v>0.8</v>
      </c>
      <c r="G2973">
        <v>56</v>
      </c>
      <c r="H2973" t="s">
        <v>12</v>
      </c>
      <c r="I2973" t="str">
        <f t="shared" si="46"/>
        <v>Normal Usage</v>
      </c>
    </row>
    <row r="2974" spans="1:9" x14ac:dyDescent="0.3">
      <c r="A2974">
        <v>12973</v>
      </c>
      <c r="B2974">
        <v>69</v>
      </c>
      <c r="C2974" s="2">
        <v>44651</v>
      </c>
      <c r="D2974" s="2" t="str">
        <f>TEXT(Table3[[#This Row],[usage_date]],"mmmm")</f>
        <v>March</v>
      </c>
      <c r="E2974" s="9">
        <f>YEAR(Table3[[#This Row],[usage_date]])</f>
        <v>2022</v>
      </c>
      <c r="F2974" s="14">
        <v>0.01</v>
      </c>
      <c r="G2974">
        <v>122</v>
      </c>
      <c r="H2974" t="s">
        <v>12</v>
      </c>
      <c r="I2974" t="str">
        <f t="shared" si="46"/>
        <v>Normal Usage</v>
      </c>
    </row>
    <row r="2975" spans="1:9" x14ac:dyDescent="0.3">
      <c r="A2975">
        <v>12974</v>
      </c>
      <c r="B2975">
        <v>299</v>
      </c>
      <c r="C2975" s="2">
        <v>44793</v>
      </c>
      <c r="D2975" s="2" t="str">
        <f>TEXT(Table3[[#This Row],[usage_date]],"mmmm")</f>
        <v>August</v>
      </c>
      <c r="E2975" s="9">
        <f>YEAR(Table3[[#This Row],[usage_date]])</f>
        <v>2022</v>
      </c>
      <c r="F2975" s="14">
        <v>1.34</v>
      </c>
      <c r="G2975">
        <v>239</v>
      </c>
      <c r="H2975" t="s">
        <v>13</v>
      </c>
      <c r="I2975" t="str">
        <f t="shared" si="46"/>
        <v>Normal Usage</v>
      </c>
    </row>
    <row r="2976" spans="1:9" x14ac:dyDescent="0.3">
      <c r="A2976">
        <v>12975</v>
      </c>
      <c r="B2976">
        <v>432</v>
      </c>
      <c r="C2976" s="2">
        <v>45018</v>
      </c>
      <c r="D2976" s="2" t="str">
        <f>TEXT(Table3[[#This Row],[usage_date]],"mmmm")</f>
        <v>April</v>
      </c>
      <c r="E2976" s="9">
        <f>YEAR(Table3[[#This Row],[usage_date]])</f>
        <v>2023</v>
      </c>
      <c r="F2976" s="14">
        <v>3.26</v>
      </c>
      <c r="G2976">
        <v>85</v>
      </c>
      <c r="H2976" t="s">
        <v>12</v>
      </c>
      <c r="I2976" t="str">
        <f t="shared" si="46"/>
        <v>Normal Usage</v>
      </c>
    </row>
    <row r="2977" spans="1:9" x14ac:dyDescent="0.3">
      <c r="A2977">
        <v>12976</v>
      </c>
      <c r="B2977">
        <v>290</v>
      </c>
      <c r="C2977" s="2">
        <v>44794</v>
      </c>
      <c r="D2977" s="2" t="str">
        <f>TEXT(Table3[[#This Row],[usage_date]],"mmmm")</f>
        <v>August</v>
      </c>
      <c r="E2977" s="9">
        <f>YEAR(Table3[[#This Row],[usage_date]])</f>
        <v>2022</v>
      </c>
      <c r="F2977" s="14">
        <v>4.01</v>
      </c>
      <c r="G2977">
        <v>175</v>
      </c>
      <c r="H2977" t="s">
        <v>12</v>
      </c>
      <c r="I2977" t="str">
        <f t="shared" si="46"/>
        <v>Normal Usage</v>
      </c>
    </row>
    <row r="2978" spans="1:9" x14ac:dyDescent="0.3">
      <c r="A2978">
        <v>12977</v>
      </c>
      <c r="B2978">
        <v>296</v>
      </c>
      <c r="C2978" s="2">
        <v>44915</v>
      </c>
      <c r="D2978" s="2" t="str">
        <f>TEXT(Table3[[#This Row],[usage_date]],"mmmm")</f>
        <v>December</v>
      </c>
      <c r="E2978" s="9">
        <f>YEAR(Table3[[#This Row],[usage_date]])</f>
        <v>2022</v>
      </c>
      <c r="F2978" s="14">
        <v>7.26</v>
      </c>
      <c r="G2978">
        <v>62</v>
      </c>
      <c r="H2978" t="s">
        <v>12</v>
      </c>
      <c r="I2978" t="str">
        <f t="shared" si="46"/>
        <v>High Usage</v>
      </c>
    </row>
    <row r="2979" spans="1:9" x14ac:dyDescent="0.3">
      <c r="A2979">
        <v>12978</v>
      </c>
      <c r="B2979">
        <v>203</v>
      </c>
      <c r="C2979" s="2">
        <v>44894</v>
      </c>
      <c r="D2979" s="2" t="str">
        <f>TEXT(Table3[[#This Row],[usage_date]],"mmmm")</f>
        <v>November</v>
      </c>
      <c r="E2979" s="9">
        <f>YEAR(Table3[[#This Row],[usage_date]])</f>
        <v>2022</v>
      </c>
      <c r="F2979" s="14">
        <v>2.34</v>
      </c>
      <c r="G2979">
        <v>38</v>
      </c>
      <c r="H2979" t="s">
        <v>13</v>
      </c>
      <c r="I2979" t="str">
        <f t="shared" si="46"/>
        <v>Normal Usage</v>
      </c>
    </row>
    <row r="2980" spans="1:9" x14ac:dyDescent="0.3">
      <c r="A2980">
        <v>12979</v>
      </c>
      <c r="B2980">
        <v>61</v>
      </c>
      <c r="C2980" s="2">
        <v>45000</v>
      </c>
      <c r="D2980" s="2" t="str">
        <f>TEXT(Table3[[#This Row],[usage_date]],"mmmm")</f>
        <v>March</v>
      </c>
      <c r="E2980" s="9">
        <f>YEAR(Table3[[#This Row],[usage_date]])</f>
        <v>2023</v>
      </c>
      <c r="F2980" s="14">
        <v>0.73</v>
      </c>
      <c r="G2980">
        <v>137</v>
      </c>
      <c r="H2980" t="s">
        <v>12</v>
      </c>
      <c r="I2980" t="str">
        <f t="shared" si="46"/>
        <v>Normal Usage</v>
      </c>
    </row>
    <row r="2981" spans="1:9" x14ac:dyDescent="0.3">
      <c r="A2981">
        <v>12980</v>
      </c>
      <c r="B2981">
        <v>434</v>
      </c>
      <c r="C2981" s="2">
        <v>44936</v>
      </c>
      <c r="D2981" s="2" t="str">
        <f>TEXT(Table3[[#This Row],[usage_date]],"mmmm")</f>
        <v>January</v>
      </c>
      <c r="E2981" s="9">
        <f>YEAR(Table3[[#This Row],[usage_date]])</f>
        <v>2023</v>
      </c>
      <c r="F2981" s="14">
        <v>6.45</v>
      </c>
      <c r="G2981">
        <v>240</v>
      </c>
      <c r="H2981" t="s">
        <v>13</v>
      </c>
      <c r="I2981" t="str">
        <f t="shared" si="46"/>
        <v>High Usage</v>
      </c>
    </row>
    <row r="2982" spans="1:9" x14ac:dyDescent="0.3">
      <c r="A2982">
        <v>12981</v>
      </c>
      <c r="B2982">
        <v>451</v>
      </c>
      <c r="C2982" s="2">
        <v>44853</v>
      </c>
      <c r="D2982" s="2" t="str">
        <f>TEXT(Table3[[#This Row],[usage_date]],"mmmm")</f>
        <v>October</v>
      </c>
      <c r="E2982" s="9">
        <f>YEAR(Table3[[#This Row],[usage_date]])</f>
        <v>2022</v>
      </c>
      <c r="F2982" s="14">
        <v>3.73</v>
      </c>
      <c r="G2982">
        <v>225</v>
      </c>
      <c r="H2982" t="s">
        <v>12</v>
      </c>
      <c r="I2982" t="str">
        <f t="shared" si="46"/>
        <v>Normal Usage</v>
      </c>
    </row>
    <row r="2983" spans="1:9" x14ac:dyDescent="0.3">
      <c r="A2983">
        <v>12982</v>
      </c>
      <c r="B2983">
        <v>318</v>
      </c>
      <c r="C2983" s="2">
        <v>44906</v>
      </c>
      <c r="D2983" s="2" t="str">
        <f>TEXT(Table3[[#This Row],[usage_date]],"mmmm")</f>
        <v>December</v>
      </c>
      <c r="E2983" s="9">
        <f>YEAR(Table3[[#This Row],[usage_date]])</f>
        <v>2022</v>
      </c>
      <c r="F2983" s="14">
        <v>2.14</v>
      </c>
      <c r="G2983">
        <v>205</v>
      </c>
      <c r="H2983" t="s">
        <v>12</v>
      </c>
      <c r="I2983" t="str">
        <f t="shared" si="46"/>
        <v>Normal Usage</v>
      </c>
    </row>
    <row r="2984" spans="1:9" x14ac:dyDescent="0.3">
      <c r="A2984">
        <v>12983</v>
      </c>
      <c r="B2984">
        <v>314</v>
      </c>
      <c r="C2984" s="2">
        <v>45225</v>
      </c>
      <c r="D2984" s="2" t="str">
        <f>TEXT(Table3[[#This Row],[usage_date]],"mmmm")</f>
        <v>October</v>
      </c>
      <c r="E2984" s="9">
        <f>YEAR(Table3[[#This Row],[usage_date]])</f>
        <v>2023</v>
      </c>
      <c r="F2984" s="14">
        <v>2.97</v>
      </c>
      <c r="G2984">
        <v>163</v>
      </c>
      <c r="H2984" t="s">
        <v>13</v>
      </c>
      <c r="I2984" t="str">
        <f t="shared" si="46"/>
        <v>Normal Usage</v>
      </c>
    </row>
    <row r="2985" spans="1:9" x14ac:dyDescent="0.3">
      <c r="A2985">
        <v>12984</v>
      </c>
      <c r="B2985">
        <v>161</v>
      </c>
      <c r="C2985" s="2">
        <v>44989</v>
      </c>
      <c r="D2985" s="2" t="str">
        <f>TEXT(Table3[[#This Row],[usage_date]],"mmmm")</f>
        <v>March</v>
      </c>
      <c r="E2985" s="9">
        <f>YEAR(Table3[[#This Row],[usage_date]])</f>
        <v>2023</v>
      </c>
      <c r="F2985" s="14">
        <v>6.45</v>
      </c>
      <c r="G2985">
        <v>26</v>
      </c>
      <c r="H2985" t="s">
        <v>13</v>
      </c>
      <c r="I2985" t="str">
        <f t="shared" si="46"/>
        <v>High Usage</v>
      </c>
    </row>
    <row r="2986" spans="1:9" x14ac:dyDescent="0.3">
      <c r="A2986">
        <v>12985</v>
      </c>
      <c r="B2986">
        <v>331</v>
      </c>
      <c r="C2986" s="2">
        <v>45218</v>
      </c>
      <c r="D2986" s="2" t="str">
        <f>TEXT(Table3[[#This Row],[usage_date]],"mmmm")</f>
        <v>October</v>
      </c>
      <c r="E2986" s="9">
        <f>YEAR(Table3[[#This Row],[usage_date]])</f>
        <v>2023</v>
      </c>
      <c r="F2986" s="14">
        <v>3.12</v>
      </c>
      <c r="G2986">
        <v>182</v>
      </c>
      <c r="H2986" t="s">
        <v>12</v>
      </c>
      <c r="I2986" t="str">
        <f t="shared" si="46"/>
        <v>Normal Usage</v>
      </c>
    </row>
    <row r="2987" spans="1:9" x14ac:dyDescent="0.3">
      <c r="A2987">
        <v>12986</v>
      </c>
      <c r="B2987">
        <v>16</v>
      </c>
      <c r="C2987" s="2">
        <v>44691</v>
      </c>
      <c r="D2987" s="2" t="str">
        <f>TEXT(Table3[[#This Row],[usage_date]],"mmmm")</f>
        <v>May</v>
      </c>
      <c r="E2987" s="9">
        <f>YEAR(Table3[[#This Row],[usage_date]])</f>
        <v>2022</v>
      </c>
      <c r="F2987" s="14">
        <v>1.1499999999999999</v>
      </c>
      <c r="G2987">
        <v>197</v>
      </c>
      <c r="H2987" t="s">
        <v>12</v>
      </c>
      <c r="I2987" t="str">
        <f t="shared" si="46"/>
        <v>Normal Usage</v>
      </c>
    </row>
    <row r="2988" spans="1:9" x14ac:dyDescent="0.3">
      <c r="A2988">
        <v>12987</v>
      </c>
      <c r="B2988">
        <v>338</v>
      </c>
      <c r="C2988" s="2">
        <v>44702</v>
      </c>
      <c r="D2988" s="2" t="str">
        <f>TEXT(Table3[[#This Row],[usage_date]],"mmmm")</f>
        <v>May</v>
      </c>
      <c r="E2988" s="9">
        <f>YEAR(Table3[[#This Row],[usage_date]])</f>
        <v>2022</v>
      </c>
      <c r="F2988" s="14">
        <v>3.12</v>
      </c>
      <c r="G2988">
        <v>106</v>
      </c>
      <c r="H2988" t="s">
        <v>12</v>
      </c>
      <c r="I2988" t="str">
        <f t="shared" si="46"/>
        <v>Normal Usage</v>
      </c>
    </row>
    <row r="2989" spans="1:9" x14ac:dyDescent="0.3">
      <c r="A2989">
        <v>12988</v>
      </c>
      <c r="B2989">
        <v>94</v>
      </c>
      <c r="C2989" s="2">
        <v>44976</v>
      </c>
      <c r="D2989" s="2" t="str">
        <f>TEXT(Table3[[#This Row],[usage_date]],"mmmm")</f>
        <v>February</v>
      </c>
      <c r="E2989" s="9">
        <f>YEAR(Table3[[#This Row],[usage_date]])</f>
        <v>2023</v>
      </c>
      <c r="F2989" s="14">
        <v>0.1</v>
      </c>
      <c r="G2989">
        <v>188</v>
      </c>
      <c r="H2989" t="s">
        <v>13</v>
      </c>
      <c r="I2989" t="str">
        <f t="shared" si="46"/>
        <v>Normal Usage</v>
      </c>
    </row>
    <row r="2990" spans="1:9" x14ac:dyDescent="0.3">
      <c r="A2990">
        <v>12989</v>
      </c>
      <c r="B2990">
        <v>304</v>
      </c>
      <c r="C2990" s="2">
        <v>44654</v>
      </c>
      <c r="D2990" s="2" t="str">
        <f>TEXT(Table3[[#This Row],[usage_date]],"mmmm")</f>
        <v>April</v>
      </c>
      <c r="E2990" s="9">
        <f>YEAR(Table3[[#This Row],[usage_date]])</f>
        <v>2022</v>
      </c>
      <c r="F2990" s="14">
        <v>1.22</v>
      </c>
      <c r="G2990">
        <v>35</v>
      </c>
      <c r="H2990" t="s">
        <v>12</v>
      </c>
      <c r="I2990" t="str">
        <f t="shared" si="46"/>
        <v>Normal Usage</v>
      </c>
    </row>
    <row r="2991" spans="1:9" x14ac:dyDescent="0.3">
      <c r="A2991">
        <v>12990</v>
      </c>
      <c r="B2991">
        <v>138</v>
      </c>
      <c r="C2991" s="2">
        <v>45187</v>
      </c>
      <c r="D2991" s="2" t="str">
        <f>TEXT(Table3[[#This Row],[usage_date]],"mmmm")</f>
        <v>September</v>
      </c>
      <c r="E2991" s="9">
        <f>YEAR(Table3[[#This Row],[usage_date]])</f>
        <v>2023</v>
      </c>
      <c r="F2991" s="14">
        <v>1.3</v>
      </c>
      <c r="G2991">
        <v>84</v>
      </c>
      <c r="H2991" t="s">
        <v>12</v>
      </c>
      <c r="I2991" t="str">
        <f t="shared" si="46"/>
        <v>Normal Usage</v>
      </c>
    </row>
    <row r="2992" spans="1:9" x14ac:dyDescent="0.3">
      <c r="A2992">
        <v>12991</v>
      </c>
      <c r="B2992">
        <v>338</v>
      </c>
      <c r="C2992" s="2">
        <v>44845</v>
      </c>
      <c r="D2992" s="2" t="str">
        <f>TEXT(Table3[[#This Row],[usage_date]],"mmmm")</f>
        <v>October</v>
      </c>
      <c r="E2992" s="9">
        <f>YEAR(Table3[[#This Row],[usage_date]])</f>
        <v>2022</v>
      </c>
      <c r="F2992" s="14">
        <v>0.46</v>
      </c>
      <c r="G2992">
        <v>154</v>
      </c>
      <c r="H2992" t="s">
        <v>12</v>
      </c>
      <c r="I2992" t="str">
        <f t="shared" si="46"/>
        <v>Normal Usage</v>
      </c>
    </row>
    <row r="2993" spans="1:9" x14ac:dyDescent="0.3">
      <c r="A2993">
        <v>12992</v>
      </c>
      <c r="B2993">
        <v>38</v>
      </c>
      <c r="C2993" s="2">
        <v>45216</v>
      </c>
      <c r="D2993" s="2" t="str">
        <f>TEXT(Table3[[#This Row],[usage_date]],"mmmm")</f>
        <v>October</v>
      </c>
      <c r="E2993" s="9">
        <f>YEAR(Table3[[#This Row],[usage_date]])</f>
        <v>2023</v>
      </c>
      <c r="F2993" s="14">
        <v>0.06</v>
      </c>
      <c r="G2993">
        <v>168</v>
      </c>
      <c r="H2993" t="s">
        <v>12</v>
      </c>
      <c r="I2993" t="str">
        <f t="shared" si="46"/>
        <v>Normal Usage</v>
      </c>
    </row>
    <row r="2994" spans="1:9" x14ac:dyDescent="0.3">
      <c r="A2994">
        <v>12993</v>
      </c>
      <c r="B2994">
        <v>127</v>
      </c>
      <c r="C2994" s="2">
        <v>44784</v>
      </c>
      <c r="D2994" s="2" t="str">
        <f>TEXT(Table3[[#This Row],[usage_date]],"mmmm")</f>
        <v>August</v>
      </c>
      <c r="E2994" s="9">
        <f>YEAR(Table3[[#This Row],[usage_date]])</f>
        <v>2022</v>
      </c>
      <c r="F2994" s="14">
        <v>0.36</v>
      </c>
      <c r="G2994">
        <v>283</v>
      </c>
      <c r="H2994" t="s">
        <v>12</v>
      </c>
      <c r="I2994" t="str">
        <f t="shared" si="46"/>
        <v>Normal Usage</v>
      </c>
    </row>
    <row r="2995" spans="1:9" x14ac:dyDescent="0.3">
      <c r="A2995">
        <v>12994</v>
      </c>
      <c r="B2995">
        <v>275</v>
      </c>
      <c r="C2995" s="2">
        <v>45305</v>
      </c>
      <c r="D2995" s="2" t="str">
        <f>TEXT(Table3[[#This Row],[usage_date]],"mmmm")</f>
        <v>January</v>
      </c>
      <c r="E2995" s="9">
        <f>YEAR(Table3[[#This Row],[usage_date]])</f>
        <v>2024</v>
      </c>
      <c r="F2995" s="14">
        <v>2.66</v>
      </c>
      <c r="G2995">
        <v>271</v>
      </c>
      <c r="H2995" t="s">
        <v>12</v>
      </c>
      <c r="I2995" t="str">
        <f t="shared" si="46"/>
        <v>Normal Usage</v>
      </c>
    </row>
    <row r="2996" spans="1:9" x14ac:dyDescent="0.3">
      <c r="A2996">
        <v>12995</v>
      </c>
      <c r="B2996">
        <v>164</v>
      </c>
      <c r="C2996" s="2">
        <v>45024</v>
      </c>
      <c r="D2996" s="2" t="str">
        <f>TEXT(Table3[[#This Row],[usage_date]],"mmmm")</f>
        <v>April</v>
      </c>
      <c r="E2996" s="9">
        <f>YEAR(Table3[[#This Row],[usage_date]])</f>
        <v>2023</v>
      </c>
      <c r="F2996" s="14">
        <v>4.05</v>
      </c>
      <c r="G2996">
        <v>34</v>
      </c>
      <c r="H2996" t="s">
        <v>12</v>
      </c>
      <c r="I2996" t="str">
        <f t="shared" si="46"/>
        <v>Normal Usage</v>
      </c>
    </row>
    <row r="2997" spans="1:9" x14ac:dyDescent="0.3">
      <c r="A2997">
        <v>12996</v>
      </c>
      <c r="B2997">
        <v>443</v>
      </c>
      <c r="C2997" s="2">
        <v>45106</v>
      </c>
      <c r="D2997" s="2" t="str">
        <f>TEXT(Table3[[#This Row],[usage_date]],"mmmm")</f>
        <v>June</v>
      </c>
      <c r="E2997" s="9">
        <f>YEAR(Table3[[#This Row],[usage_date]])</f>
        <v>2023</v>
      </c>
      <c r="F2997" s="14">
        <v>11.1</v>
      </c>
      <c r="G2997">
        <v>183</v>
      </c>
      <c r="H2997" t="s">
        <v>12</v>
      </c>
      <c r="I2997" t="str">
        <f t="shared" si="46"/>
        <v>High Usage</v>
      </c>
    </row>
    <row r="2998" spans="1:9" x14ac:dyDescent="0.3">
      <c r="A2998">
        <v>12997</v>
      </c>
      <c r="B2998">
        <v>319</v>
      </c>
      <c r="C2998" s="2">
        <v>44837</v>
      </c>
      <c r="D2998" s="2" t="str">
        <f>TEXT(Table3[[#This Row],[usage_date]],"mmmm")</f>
        <v>October</v>
      </c>
      <c r="E2998" s="9">
        <f>YEAR(Table3[[#This Row],[usage_date]])</f>
        <v>2022</v>
      </c>
      <c r="F2998" s="14">
        <v>1.06</v>
      </c>
      <c r="G2998">
        <v>98</v>
      </c>
      <c r="H2998" t="s">
        <v>12</v>
      </c>
      <c r="I2998" t="str">
        <f t="shared" si="46"/>
        <v>Normal Usage</v>
      </c>
    </row>
    <row r="2999" spans="1:9" x14ac:dyDescent="0.3">
      <c r="A2999">
        <v>12998</v>
      </c>
      <c r="B2999">
        <v>77</v>
      </c>
      <c r="C2999" s="2">
        <v>45243</v>
      </c>
      <c r="D2999" s="2" t="str">
        <f>TEXT(Table3[[#This Row],[usage_date]],"mmmm")</f>
        <v>November</v>
      </c>
      <c r="E2999" s="9">
        <f>YEAR(Table3[[#This Row],[usage_date]])</f>
        <v>2023</v>
      </c>
      <c r="F2999" s="14">
        <v>2.29</v>
      </c>
      <c r="G2999">
        <v>236</v>
      </c>
      <c r="H2999" t="s">
        <v>12</v>
      </c>
      <c r="I2999" t="str">
        <f t="shared" si="46"/>
        <v>Normal Usage</v>
      </c>
    </row>
    <row r="3000" spans="1:9" x14ac:dyDescent="0.3">
      <c r="A3000">
        <v>12999</v>
      </c>
      <c r="B3000">
        <v>174</v>
      </c>
      <c r="C3000" s="2">
        <v>44701</v>
      </c>
      <c r="D3000" s="2" t="str">
        <f>TEXT(Table3[[#This Row],[usage_date]],"mmmm")</f>
        <v>May</v>
      </c>
      <c r="E3000" s="9">
        <f>YEAR(Table3[[#This Row],[usage_date]])</f>
        <v>2022</v>
      </c>
      <c r="F3000" s="14">
        <v>6.92</v>
      </c>
      <c r="G3000">
        <v>121</v>
      </c>
      <c r="H3000" t="s">
        <v>12</v>
      </c>
      <c r="I3000" t="str">
        <f t="shared" si="46"/>
        <v>High Usage</v>
      </c>
    </row>
    <row r="3001" spans="1:9" x14ac:dyDescent="0.3">
      <c r="A3001">
        <v>13000</v>
      </c>
      <c r="B3001">
        <v>387</v>
      </c>
      <c r="C3001" s="2">
        <v>44918</v>
      </c>
      <c r="D3001" s="2" t="str">
        <f>TEXT(Table3[[#This Row],[usage_date]],"mmmm")</f>
        <v>December</v>
      </c>
      <c r="E3001" s="9">
        <f>YEAR(Table3[[#This Row],[usage_date]])</f>
        <v>2022</v>
      </c>
      <c r="F3001" s="14">
        <v>0.46</v>
      </c>
      <c r="G3001">
        <v>22</v>
      </c>
      <c r="H3001" t="s">
        <v>12</v>
      </c>
      <c r="I3001" t="str">
        <f t="shared" si="46"/>
        <v>Normal Usage</v>
      </c>
    </row>
    <row r="3002" spans="1:9" x14ac:dyDescent="0.3">
      <c r="A3002">
        <v>13001</v>
      </c>
      <c r="B3002">
        <v>458</v>
      </c>
      <c r="C3002" s="2">
        <v>45274</v>
      </c>
      <c r="D3002" s="2" t="str">
        <f>TEXT(Table3[[#This Row],[usage_date]],"mmmm")</f>
        <v>December</v>
      </c>
      <c r="E3002" s="9">
        <f>YEAR(Table3[[#This Row],[usage_date]])</f>
        <v>2023</v>
      </c>
      <c r="F3002" s="14">
        <v>3.16</v>
      </c>
      <c r="G3002">
        <v>62</v>
      </c>
      <c r="H3002" t="s">
        <v>12</v>
      </c>
      <c r="I3002" t="str">
        <f t="shared" si="46"/>
        <v>Normal Usage</v>
      </c>
    </row>
    <row r="3003" spans="1:9" x14ac:dyDescent="0.3">
      <c r="A3003">
        <v>13002</v>
      </c>
      <c r="B3003">
        <v>358</v>
      </c>
      <c r="C3003" s="2">
        <v>44584</v>
      </c>
      <c r="D3003" s="2" t="str">
        <f>TEXT(Table3[[#This Row],[usage_date]],"mmmm")</f>
        <v>January</v>
      </c>
      <c r="E3003" s="9">
        <f>YEAR(Table3[[#This Row],[usage_date]])</f>
        <v>2022</v>
      </c>
      <c r="F3003" s="14">
        <v>3.52</v>
      </c>
      <c r="G3003">
        <v>149</v>
      </c>
      <c r="H3003" t="s">
        <v>12</v>
      </c>
      <c r="I3003" t="str">
        <f t="shared" si="46"/>
        <v>Normal Usage</v>
      </c>
    </row>
    <row r="3004" spans="1:9" x14ac:dyDescent="0.3">
      <c r="A3004">
        <v>13003</v>
      </c>
      <c r="B3004">
        <v>321</v>
      </c>
      <c r="C3004" s="2">
        <v>45297</v>
      </c>
      <c r="D3004" s="2" t="str">
        <f>TEXT(Table3[[#This Row],[usage_date]],"mmmm")</f>
        <v>January</v>
      </c>
      <c r="E3004" s="9">
        <f>YEAR(Table3[[#This Row],[usage_date]])</f>
        <v>2024</v>
      </c>
      <c r="F3004" s="14">
        <v>0.23</v>
      </c>
      <c r="G3004">
        <v>194</v>
      </c>
      <c r="H3004" t="s">
        <v>13</v>
      </c>
      <c r="I3004" t="str">
        <f t="shared" si="46"/>
        <v>Normal Usage</v>
      </c>
    </row>
    <row r="3005" spans="1:9" x14ac:dyDescent="0.3">
      <c r="A3005">
        <v>13004</v>
      </c>
      <c r="B3005">
        <v>376</v>
      </c>
      <c r="C3005" s="2">
        <v>45441</v>
      </c>
      <c r="D3005" s="2" t="str">
        <f>TEXT(Table3[[#This Row],[usage_date]],"mmmm")</f>
        <v>May</v>
      </c>
      <c r="E3005" s="9">
        <f>YEAR(Table3[[#This Row],[usage_date]])</f>
        <v>2024</v>
      </c>
      <c r="F3005" s="14">
        <v>4.9400000000000004</v>
      </c>
      <c r="G3005">
        <v>79</v>
      </c>
      <c r="H3005" t="s">
        <v>12</v>
      </c>
      <c r="I3005" t="str">
        <f t="shared" si="46"/>
        <v>Normal Usage</v>
      </c>
    </row>
    <row r="3006" spans="1:9" x14ac:dyDescent="0.3">
      <c r="A3006">
        <v>13005</v>
      </c>
      <c r="B3006">
        <v>91</v>
      </c>
      <c r="C3006" s="2">
        <v>44831</v>
      </c>
      <c r="D3006" s="2" t="str">
        <f>TEXT(Table3[[#This Row],[usage_date]],"mmmm")</f>
        <v>September</v>
      </c>
      <c r="E3006" s="9">
        <f>YEAR(Table3[[#This Row],[usage_date]])</f>
        <v>2022</v>
      </c>
      <c r="F3006" s="14">
        <v>4.1900000000000004</v>
      </c>
      <c r="G3006">
        <v>152</v>
      </c>
      <c r="H3006" t="s">
        <v>12</v>
      </c>
      <c r="I3006" t="str">
        <f t="shared" si="46"/>
        <v>Normal Usage</v>
      </c>
    </row>
    <row r="3007" spans="1:9" x14ac:dyDescent="0.3">
      <c r="A3007">
        <v>13006</v>
      </c>
      <c r="B3007">
        <v>238</v>
      </c>
      <c r="C3007" s="2">
        <v>45420</v>
      </c>
      <c r="D3007" s="2" t="str">
        <f>TEXT(Table3[[#This Row],[usage_date]],"mmmm")</f>
        <v>May</v>
      </c>
      <c r="E3007" s="9">
        <f>YEAR(Table3[[#This Row],[usage_date]])</f>
        <v>2024</v>
      </c>
      <c r="F3007" s="14">
        <v>0.08</v>
      </c>
      <c r="G3007">
        <v>16</v>
      </c>
      <c r="H3007" t="s">
        <v>12</v>
      </c>
      <c r="I3007" t="str">
        <f t="shared" si="46"/>
        <v>Normal Usage</v>
      </c>
    </row>
    <row r="3008" spans="1:9" x14ac:dyDescent="0.3">
      <c r="A3008">
        <v>13007</v>
      </c>
      <c r="B3008">
        <v>264</v>
      </c>
      <c r="C3008" s="2">
        <v>45226</v>
      </c>
      <c r="D3008" s="2" t="str">
        <f>TEXT(Table3[[#This Row],[usage_date]],"mmmm")</f>
        <v>October</v>
      </c>
      <c r="E3008" s="9">
        <f>YEAR(Table3[[#This Row],[usage_date]])</f>
        <v>2023</v>
      </c>
      <c r="F3008" s="14">
        <v>0.24</v>
      </c>
      <c r="G3008">
        <v>38</v>
      </c>
      <c r="H3008" t="s">
        <v>12</v>
      </c>
      <c r="I3008" t="str">
        <f t="shared" si="46"/>
        <v>Normal Usage</v>
      </c>
    </row>
    <row r="3009" spans="1:9" x14ac:dyDescent="0.3">
      <c r="A3009">
        <v>13008</v>
      </c>
      <c r="B3009">
        <v>179</v>
      </c>
      <c r="C3009" s="2">
        <v>44894</v>
      </c>
      <c r="D3009" s="2" t="str">
        <f>TEXT(Table3[[#This Row],[usage_date]],"mmmm")</f>
        <v>November</v>
      </c>
      <c r="E3009" s="9">
        <f>YEAR(Table3[[#This Row],[usage_date]])</f>
        <v>2022</v>
      </c>
      <c r="F3009" s="14">
        <v>0.13</v>
      </c>
      <c r="G3009">
        <v>201</v>
      </c>
      <c r="H3009" t="s">
        <v>12</v>
      </c>
      <c r="I3009" t="str">
        <f t="shared" si="46"/>
        <v>Normal Usage</v>
      </c>
    </row>
    <row r="3010" spans="1:9" x14ac:dyDescent="0.3">
      <c r="A3010">
        <v>13009</v>
      </c>
      <c r="B3010">
        <v>494</v>
      </c>
      <c r="C3010" s="2">
        <v>44646</v>
      </c>
      <c r="D3010" s="2" t="str">
        <f>TEXT(Table3[[#This Row],[usage_date]],"mmmm")</f>
        <v>March</v>
      </c>
      <c r="E3010" s="9">
        <f>YEAR(Table3[[#This Row],[usage_date]])</f>
        <v>2022</v>
      </c>
      <c r="F3010" s="14">
        <v>1.02</v>
      </c>
      <c r="G3010">
        <v>279</v>
      </c>
      <c r="H3010" t="s">
        <v>12</v>
      </c>
      <c r="I3010" t="str">
        <f t="shared" ref="I3010:I3073" si="47">IF(F3010&gt;6,"High Usage","Normal Usage")</f>
        <v>Normal Usage</v>
      </c>
    </row>
    <row r="3011" spans="1:9" x14ac:dyDescent="0.3">
      <c r="A3011">
        <v>13010</v>
      </c>
      <c r="B3011">
        <v>490</v>
      </c>
      <c r="C3011" s="2">
        <v>45182</v>
      </c>
      <c r="D3011" s="2" t="str">
        <f>TEXT(Table3[[#This Row],[usage_date]],"mmmm")</f>
        <v>September</v>
      </c>
      <c r="E3011" s="9">
        <f>YEAR(Table3[[#This Row],[usage_date]])</f>
        <v>2023</v>
      </c>
      <c r="F3011" s="14">
        <v>1.78</v>
      </c>
      <c r="G3011">
        <v>87</v>
      </c>
      <c r="H3011" t="s">
        <v>12</v>
      </c>
      <c r="I3011" t="str">
        <f t="shared" si="47"/>
        <v>Normal Usage</v>
      </c>
    </row>
    <row r="3012" spans="1:9" x14ac:dyDescent="0.3">
      <c r="A3012">
        <v>13011</v>
      </c>
      <c r="B3012">
        <v>209</v>
      </c>
      <c r="C3012" s="2">
        <v>44592</v>
      </c>
      <c r="D3012" s="2" t="str">
        <f>TEXT(Table3[[#This Row],[usage_date]],"mmmm")</f>
        <v>January</v>
      </c>
      <c r="E3012" s="9">
        <f>YEAR(Table3[[#This Row],[usage_date]])</f>
        <v>2022</v>
      </c>
      <c r="F3012" s="14">
        <v>1.9</v>
      </c>
      <c r="G3012">
        <v>299</v>
      </c>
      <c r="H3012" t="s">
        <v>12</v>
      </c>
      <c r="I3012" t="str">
        <f t="shared" si="47"/>
        <v>Normal Usage</v>
      </c>
    </row>
    <row r="3013" spans="1:9" x14ac:dyDescent="0.3">
      <c r="A3013">
        <v>13012</v>
      </c>
      <c r="B3013">
        <v>73</v>
      </c>
      <c r="C3013" s="2">
        <v>45302</v>
      </c>
      <c r="D3013" s="2" t="str">
        <f>TEXT(Table3[[#This Row],[usage_date]],"mmmm")</f>
        <v>January</v>
      </c>
      <c r="E3013" s="9">
        <f>YEAR(Table3[[#This Row],[usage_date]])</f>
        <v>2024</v>
      </c>
      <c r="F3013" s="14">
        <v>0.78</v>
      </c>
      <c r="G3013">
        <v>291</v>
      </c>
      <c r="H3013" t="s">
        <v>12</v>
      </c>
      <c r="I3013" t="str">
        <f t="shared" si="47"/>
        <v>Normal Usage</v>
      </c>
    </row>
    <row r="3014" spans="1:9" x14ac:dyDescent="0.3">
      <c r="A3014">
        <v>13013</v>
      </c>
      <c r="B3014">
        <v>390</v>
      </c>
      <c r="C3014" s="2">
        <v>44801</v>
      </c>
      <c r="D3014" s="2" t="str">
        <f>TEXT(Table3[[#This Row],[usage_date]],"mmmm")</f>
        <v>August</v>
      </c>
      <c r="E3014" s="9">
        <f>YEAR(Table3[[#This Row],[usage_date]])</f>
        <v>2022</v>
      </c>
      <c r="F3014" s="14">
        <v>6.06</v>
      </c>
      <c r="G3014">
        <v>69</v>
      </c>
      <c r="H3014" t="s">
        <v>13</v>
      </c>
      <c r="I3014" t="str">
        <f t="shared" si="47"/>
        <v>High Usage</v>
      </c>
    </row>
    <row r="3015" spans="1:9" x14ac:dyDescent="0.3">
      <c r="A3015">
        <v>13014</v>
      </c>
      <c r="B3015">
        <v>107</v>
      </c>
      <c r="C3015" s="2">
        <v>45451</v>
      </c>
      <c r="D3015" s="2" t="str">
        <f>TEXT(Table3[[#This Row],[usage_date]],"mmmm")</f>
        <v>June</v>
      </c>
      <c r="E3015" s="9">
        <f>YEAR(Table3[[#This Row],[usage_date]])</f>
        <v>2024</v>
      </c>
      <c r="F3015" s="14">
        <v>1.1499999999999999</v>
      </c>
      <c r="G3015">
        <v>123</v>
      </c>
      <c r="H3015" t="s">
        <v>13</v>
      </c>
      <c r="I3015" t="str">
        <f t="shared" si="47"/>
        <v>Normal Usage</v>
      </c>
    </row>
    <row r="3016" spans="1:9" x14ac:dyDescent="0.3">
      <c r="A3016">
        <v>13015</v>
      </c>
      <c r="B3016">
        <v>345</v>
      </c>
      <c r="C3016" s="2">
        <v>44924</v>
      </c>
      <c r="D3016" s="2" t="str">
        <f>TEXT(Table3[[#This Row],[usage_date]],"mmmm")</f>
        <v>December</v>
      </c>
      <c r="E3016" s="9">
        <f>YEAR(Table3[[#This Row],[usage_date]])</f>
        <v>2022</v>
      </c>
      <c r="F3016" s="14">
        <v>0.12</v>
      </c>
      <c r="G3016">
        <v>79</v>
      </c>
      <c r="H3016" t="s">
        <v>13</v>
      </c>
      <c r="I3016" t="str">
        <f t="shared" si="47"/>
        <v>Normal Usage</v>
      </c>
    </row>
    <row r="3017" spans="1:9" x14ac:dyDescent="0.3">
      <c r="A3017">
        <v>13016</v>
      </c>
      <c r="B3017">
        <v>295</v>
      </c>
      <c r="C3017" s="2">
        <v>45383</v>
      </c>
      <c r="D3017" s="2" t="str">
        <f>TEXT(Table3[[#This Row],[usage_date]],"mmmm")</f>
        <v>April</v>
      </c>
      <c r="E3017" s="9">
        <f>YEAR(Table3[[#This Row],[usage_date]])</f>
        <v>2024</v>
      </c>
      <c r="F3017" s="14">
        <v>0.89</v>
      </c>
      <c r="G3017">
        <v>44</v>
      </c>
      <c r="H3017" t="s">
        <v>12</v>
      </c>
      <c r="I3017" t="str">
        <f t="shared" si="47"/>
        <v>Normal Usage</v>
      </c>
    </row>
    <row r="3018" spans="1:9" x14ac:dyDescent="0.3">
      <c r="A3018">
        <v>13017</v>
      </c>
      <c r="B3018">
        <v>369</v>
      </c>
      <c r="C3018" s="2">
        <v>44950</v>
      </c>
      <c r="D3018" s="2" t="str">
        <f>TEXT(Table3[[#This Row],[usage_date]],"mmmm")</f>
        <v>January</v>
      </c>
      <c r="E3018" s="9">
        <f>YEAR(Table3[[#This Row],[usage_date]])</f>
        <v>2023</v>
      </c>
      <c r="F3018" s="14">
        <v>1.89</v>
      </c>
      <c r="G3018">
        <v>232</v>
      </c>
      <c r="H3018" t="s">
        <v>13</v>
      </c>
      <c r="I3018" t="str">
        <f t="shared" si="47"/>
        <v>Normal Usage</v>
      </c>
    </row>
    <row r="3019" spans="1:9" x14ac:dyDescent="0.3">
      <c r="A3019">
        <v>13018</v>
      </c>
      <c r="B3019">
        <v>444</v>
      </c>
      <c r="C3019" s="2">
        <v>45214</v>
      </c>
      <c r="D3019" s="2" t="str">
        <f>TEXT(Table3[[#This Row],[usage_date]],"mmmm")</f>
        <v>October</v>
      </c>
      <c r="E3019" s="9">
        <f>YEAR(Table3[[#This Row],[usage_date]])</f>
        <v>2023</v>
      </c>
      <c r="F3019" s="14">
        <v>1.31</v>
      </c>
      <c r="G3019">
        <v>153</v>
      </c>
      <c r="H3019" t="s">
        <v>13</v>
      </c>
      <c r="I3019" t="str">
        <f t="shared" si="47"/>
        <v>Normal Usage</v>
      </c>
    </row>
    <row r="3020" spans="1:9" x14ac:dyDescent="0.3">
      <c r="A3020">
        <v>13019</v>
      </c>
      <c r="B3020">
        <v>284</v>
      </c>
      <c r="C3020" s="2">
        <v>45229</v>
      </c>
      <c r="D3020" s="2" t="str">
        <f>TEXT(Table3[[#This Row],[usage_date]],"mmmm")</f>
        <v>October</v>
      </c>
      <c r="E3020" s="9">
        <f>YEAR(Table3[[#This Row],[usage_date]])</f>
        <v>2023</v>
      </c>
      <c r="F3020" s="14">
        <v>0.8</v>
      </c>
      <c r="G3020">
        <v>179</v>
      </c>
      <c r="H3020" t="s">
        <v>13</v>
      </c>
      <c r="I3020" t="str">
        <f t="shared" si="47"/>
        <v>Normal Usage</v>
      </c>
    </row>
    <row r="3021" spans="1:9" x14ac:dyDescent="0.3">
      <c r="A3021">
        <v>13020</v>
      </c>
      <c r="B3021">
        <v>353</v>
      </c>
      <c r="C3021" s="2">
        <v>44860</v>
      </c>
      <c r="D3021" s="2" t="str">
        <f>TEXT(Table3[[#This Row],[usage_date]],"mmmm")</f>
        <v>October</v>
      </c>
      <c r="E3021" s="9">
        <f>YEAR(Table3[[#This Row],[usage_date]])</f>
        <v>2022</v>
      </c>
      <c r="F3021" s="14">
        <v>0.35</v>
      </c>
      <c r="G3021">
        <v>30</v>
      </c>
      <c r="H3021" t="s">
        <v>12</v>
      </c>
      <c r="I3021" t="str">
        <f t="shared" si="47"/>
        <v>Normal Usage</v>
      </c>
    </row>
    <row r="3022" spans="1:9" x14ac:dyDescent="0.3">
      <c r="A3022">
        <v>13021</v>
      </c>
      <c r="B3022">
        <v>182</v>
      </c>
      <c r="C3022" s="2">
        <v>45418</v>
      </c>
      <c r="D3022" s="2" t="str">
        <f>TEXT(Table3[[#This Row],[usage_date]],"mmmm")</f>
        <v>May</v>
      </c>
      <c r="E3022" s="9">
        <f>YEAR(Table3[[#This Row],[usage_date]])</f>
        <v>2024</v>
      </c>
      <c r="F3022" s="14">
        <v>4.28</v>
      </c>
      <c r="G3022">
        <v>84</v>
      </c>
      <c r="H3022" t="s">
        <v>13</v>
      </c>
      <c r="I3022" t="str">
        <f t="shared" si="47"/>
        <v>Normal Usage</v>
      </c>
    </row>
    <row r="3023" spans="1:9" x14ac:dyDescent="0.3">
      <c r="A3023">
        <v>13022</v>
      </c>
      <c r="B3023">
        <v>37</v>
      </c>
      <c r="C3023" s="2">
        <v>44932</v>
      </c>
      <c r="D3023" s="2" t="str">
        <f>TEXT(Table3[[#This Row],[usage_date]],"mmmm")</f>
        <v>January</v>
      </c>
      <c r="E3023" s="9">
        <f>YEAR(Table3[[#This Row],[usage_date]])</f>
        <v>2023</v>
      </c>
      <c r="F3023" s="14">
        <v>13.9</v>
      </c>
      <c r="G3023">
        <v>44</v>
      </c>
      <c r="H3023" t="s">
        <v>12</v>
      </c>
      <c r="I3023" t="str">
        <f t="shared" si="47"/>
        <v>High Usage</v>
      </c>
    </row>
    <row r="3024" spans="1:9" x14ac:dyDescent="0.3">
      <c r="A3024">
        <v>13023</v>
      </c>
      <c r="B3024">
        <v>137</v>
      </c>
      <c r="C3024" s="2">
        <v>44660</v>
      </c>
      <c r="D3024" s="2" t="str">
        <f>TEXT(Table3[[#This Row],[usage_date]],"mmmm")</f>
        <v>April</v>
      </c>
      <c r="E3024" s="9">
        <f>YEAR(Table3[[#This Row],[usage_date]])</f>
        <v>2022</v>
      </c>
      <c r="F3024" s="14">
        <v>1</v>
      </c>
      <c r="G3024">
        <v>242</v>
      </c>
      <c r="H3024" t="s">
        <v>12</v>
      </c>
      <c r="I3024" t="str">
        <f t="shared" si="47"/>
        <v>Normal Usage</v>
      </c>
    </row>
    <row r="3025" spans="1:9" x14ac:dyDescent="0.3">
      <c r="A3025">
        <v>13024</v>
      </c>
      <c r="B3025">
        <v>338</v>
      </c>
      <c r="C3025" s="2">
        <v>44608</v>
      </c>
      <c r="D3025" s="2" t="str">
        <f>TEXT(Table3[[#This Row],[usage_date]],"mmmm")</f>
        <v>February</v>
      </c>
      <c r="E3025" s="9">
        <f>YEAR(Table3[[#This Row],[usage_date]])</f>
        <v>2022</v>
      </c>
      <c r="F3025" s="14">
        <v>1.2</v>
      </c>
      <c r="G3025">
        <v>39</v>
      </c>
      <c r="H3025" t="s">
        <v>12</v>
      </c>
      <c r="I3025" t="str">
        <f t="shared" si="47"/>
        <v>Normal Usage</v>
      </c>
    </row>
    <row r="3026" spans="1:9" x14ac:dyDescent="0.3">
      <c r="A3026">
        <v>13025</v>
      </c>
      <c r="B3026">
        <v>56</v>
      </c>
      <c r="C3026" s="2">
        <v>45400</v>
      </c>
      <c r="D3026" s="2" t="str">
        <f>TEXT(Table3[[#This Row],[usage_date]],"mmmm")</f>
        <v>April</v>
      </c>
      <c r="E3026" s="9">
        <f>YEAR(Table3[[#This Row],[usage_date]])</f>
        <v>2024</v>
      </c>
      <c r="F3026" s="14">
        <v>2.41</v>
      </c>
      <c r="G3026">
        <v>181</v>
      </c>
      <c r="H3026" t="s">
        <v>13</v>
      </c>
      <c r="I3026" t="str">
        <f t="shared" si="47"/>
        <v>Normal Usage</v>
      </c>
    </row>
    <row r="3027" spans="1:9" x14ac:dyDescent="0.3">
      <c r="A3027">
        <v>13026</v>
      </c>
      <c r="B3027">
        <v>187</v>
      </c>
      <c r="C3027" s="2">
        <v>44983</v>
      </c>
      <c r="D3027" s="2" t="str">
        <f>TEXT(Table3[[#This Row],[usage_date]],"mmmm")</f>
        <v>February</v>
      </c>
      <c r="E3027" s="9">
        <f>YEAR(Table3[[#This Row],[usage_date]])</f>
        <v>2023</v>
      </c>
      <c r="F3027" s="14">
        <v>3.17</v>
      </c>
      <c r="G3027">
        <v>296</v>
      </c>
      <c r="H3027" t="s">
        <v>13</v>
      </c>
      <c r="I3027" t="str">
        <f t="shared" si="47"/>
        <v>Normal Usage</v>
      </c>
    </row>
    <row r="3028" spans="1:9" x14ac:dyDescent="0.3">
      <c r="A3028">
        <v>13027</v>
      </c>
      <c r="B3028">
        <v>341</v>
      </c>
      <c r="C3028" s="2">
        <v>45041</v>
      </c>
      <c r="D3028" s="2" t="str">
        <f>TEXT(Table3[[#This Row],[usage_date]],"mmmm")</f>
        <v>April</v>
      </c>
      <c r="E3028" s="9">
        <f>YEAR(Table3[[#This Row],[usage_date]])</f>
        <v>2023</v>
      </c>
      <c r="F3028" s="14">
        <v>1.24</v>
      </c>
      <c r="G3028">
        <v>80</v>
      </c>
      <c r="H3028" t="s">
        <v>12</v>
      </c>
      <c r="I3028" t="str">
        <f t="shared" si="47"/>
        <v>Normal Usage</v>
      </c>
    </row>
    <row r="3029" spans="1:9" x14ac:dyDescent="0.3">
      <c r="A3029">
        <v>13028</v>
      </c>
      <c r="B3029">
        <v>258</v>
      </c>
      <c r="C3029" s="2">
        <v>45140</v>
      </c>
      <c r="D3029" s="2" t="str">
        <f>TEXT(Table3[[#This Row],[usage_date]],"mmmm")</f>
        <v>August</v>
      </c>
      <c r="E3029" s="9">
        <f>YEAR(Table3[[#This Row],[usage_date]])</f>
        <v>2023</v>
      </c>
      <c r="F3029" s="14">
        <v>5.88</v>
      </c>
      <c r="G3029">
        <v>37</v>
      </c>
      <c r="H3029" t="s">
        <v>12</v>
      </c>
      <c r="I3029" t="str">
        <f t="shared" si="47"/>
        <v>Normal Usage</v>
      </c>
    </row>
    <row r="3030" spans="1:9" x14ac:dyDescent="0.3">
      <c r="A3030">
        <v>13029</v>
      </c>
      <c r="B3030">
        <v>445</v>
      </c>
      <c r="C3030" s="2">
        <v>44623</v>
      </c>
      <c r="D3030" s="2" t="str">
        <f>TEXT(Table3[[#This Row],[usage_date]],"mmmm")</f>
        <v>March</v>
      </c>
      <c r="E3030" s="9">
        <f>YEAR(Table3[[#This Row],[usage_date]])</f>
        <v>2022</v>
      </c>
      <c r="F3030" s="14">
        <v>2.0499999999999998</v>
      </c>
      <c r="G3030">
        <v>56</v>
      </c>
      <c r="H3030" t="s">
        <v>12</v>
      </c>
      <c r="I3030" t="str">
        <f t="shared" si="47"/>
        <v>Normal Usage</v>
      </c>
    </row>
    <row r="3031" spans="1:9" x14ac:dyDescent="0.3">
      <c r="A3031">
        <v>13030</v>
      </c>
      <c r="B3031">
        <v>58</v>
      </c>
      <c r="C3031" s="2">
        <v>44670</v>
      </c>
      <c r="D3031" s="2" t="str">
        <f>TEXT(Table3[[#This Row],[usage_date]],"mmmm")</f>
        <v>April</v>
      </c>
      <c r="E3031" s="9">
        <f>YEAR(Table3[[#This Row],[usage_date]])</f>
        <v>2022</v>
      </c>
      <c r="F3031" s="14">
        <v>1.5</v>
      </c>
      <c r="G3031">
        <v>29</v>
      </c>
      <c r="H3031" t="s">
        <v>12</v>
      </c>
      <c r="I3031" t="str">
        <f t="shared" si="47"/>
        <v>Normal Usage</v>
      </c>
    </row>
    <row r="3032" spans="1:9" x14ac:dyDescent="0.3">
      <c r="A3032">
        <v>13031</v>
      </c>
      <c r="B3032">
        <v>363</v>
      </c>
      <c r="C3032" s="2">
        <v>45240</v>
      </c>
      <c r="D3032" s="2" t="str">
        <f>TEXT(Table3[[#This Row],[usage_date]],"mmmm")</f>
        <v>November</v>
      </c>
      <c r="E3032" s="9">
        <f>YEAR(Table3[[#This Row],[usage_date]])</f>
        <v>2023</v>
      </c>
      <c r="F3032" s="14">
        <v>2.6</v>
      </c>
      <c r="G3032">
        <v>265</v>
      </c>
      <c r="H3032" t="s">
        <v>12</v>
      </c>
      <c r="I3032" t="str">
        <f t="shared" si="47"/>
        <v>Normal Usage</v>
      </c>
    </row>
    <row r="3033" spans="1:9" x14ac:dyDescent="0.3">
      <c r="A3033">
        <v>13032</v>
      </c>
      <c r="B3033">
        <v>123</v>
      </c>
      <c r="C3033" s="2">
        <v>45110</v>
      </c>
      <c r="D3033" s="2" t="str">
        <f>TEXT(Table3[[#This Row],[usage_date]],"mmmm")</f>
        <v>July</v>
      </c>
      <c r="E3033" s="9">
        <f>YEAR(Table3[[#This Row],[usage_date]])</f>
        <v>2023</v>
      </c>
      <c r="F3033" s="14">
        <v>7.63</v>
      </c>
      <c r="G3033">
        <v>226</v>
      </c>
      <c r="H3033" t="s">
        <v>12</v>
      </c>
      <c r="I3033" t="str">
        <f t="shared" si="47"/>
        <v>High Usage</v>
      </c>
    </row>
    <row r="3034" spans="1:9" x14ac:dyDescent="0.3">
      <c r="A3034">
        <v>13033</v>
      </c>
      <c r="B3034">
        <v>188</v>
      </c>
      <c r="C3034" s="2">
        <v>44680</v>
      </c>
      <c r="D3034" s="2" t="str">
        <f>TEXT(Table3[[#This Row],[usage_date]],"mmmm")</f>
        <v>April</v>
      </c>
      <c r="E3034" s="9">
        <f>YEAR(Table3[[#This Row],[usage_date]])</f>
        <v>2022</v>
      </c>
      <c r="F3034" s="14">
        <v>3.96</v>
      </c>
      <c r="G3034">
        <v>291</v>
      </c>
      <c r="H3034" t="s">
        <v>13</v>
      </c>
      <c r="I3034" t="str">
        <f t="shared" si="47"/>
        <v>Normal Usage</v>
      </c>
    </row>
    <row r="3035" spans="1:9" x14ac:dyDescent="0.3">
      <c r="A3035">
        <v>13034</v>
      </c>
      <c r="B3035">
        <v>230</v>
      </c>
      <c r="C3035" s="2">
        <v>45159</v>
      </c>
      <c r="D3035" s="2" t="str">
        <f>TEXT(Table3[[#This Row],[usage_date]],"mmmm")</f>
        <v>August</v>
      </c>
      <c r="E3035" s="9">
        <f>YEAR(Table3[[#This Row],[usage_date]])</f>
        <v>2023</v>
      </c>
      <c r="F3035" s="14">
        <v>0.1</v>
      </c>
      <c r="G3035">
        <v>53</v>
      </c>
      <c r="H3035" t="s">
        <v>12</v>
      </c>
      <c r="I3035" t="str">
        <f t="shared" si="47"/>
        <v>Normal Usage</v>
      </c>
    </row>
    <row r="3036" spans="1:9" x14ac:dyDescent="0.3">
      <c r="A3036">
        <v>13035</v>
      </c>
      <c r="B3036">
        <v>168</v>
      </c>
      <c r="C3036" s="2">
        <v>44943</v>
      </c>
      <c r="D3036" s="2" t="str">
        <f>TEXT(Table3[[#This Row],[usage_date]],"mmmm")</f>
        <v>January</v>
      </c>
      <c r="E3036" s="9">
        <f>YEAR(Table3[[#This Row],[usage_date]])</f>
        <v>2023</v>
      </c>
      <c r="F3036" s="14">
        <v>1.01</v>
      </c>
      <c r="G3036">
        <v>96</v>
      </c>
      <c r="H3036" t="s">
        <v>12</v>
      </c>
      <c r="I3036" t="str">
        <f t="shared" si="47"/>
        <v>Normal Usage</v>
      </c>
    </row>
    <row r="3037" spans="1:9" x14ac:dyDescent="0.3">
      <c r="A3037">
        <v>13036</v>
      </c>
      <c r="B3037">
        <v>420</v>
      </c>
      <c r="C3037" s="2">
        <v>44953</v>
      </c>
      <c r="D3037" s="2" t="str">
        <f>TEXT(Table3[[#This Row],[usage_date]],"mmmm")</f>
        <v>January</v>
      </c>
      <c r="E3037" s="9">
        <f>YEAR(Table3[[#This Row],[usage_date]])</f>
        <v>2023</v>
      </c>
      <c r="F3037" s="14">
        <v>1.59</v>
      </c>
      <c r="G3037">
        <v>3</v>
      </c>
      <c r="H3037" t="s">
        <v>13</v>
      </c>
      <c r="I3037" t="str">
        <f t="shared" si="47"/>
        <v>Normal Usage</v>
      </c>
    </row>
    <row r="3038" spans="1:9" x14ac:dyDescent="0.3">
      <c r="A3038">
        <v>13037</v>
      </c>
      <c r="B3038">
        <v>114</v>
      </c>
      <c r="C3038" s="2">
        <v>44613</v>
      </c>
      <c r="D3038" s="2" t="str">
        <f>TEXT(Table3[[#This Row],[usage_date]],"mmmm")</f>
        <v>February</v>
      </c>
      <c r="E3038" s="9">
        <f>YEAR(Table3[[#This Row],[usage_date]])</f>
        <v>2022</v>
      </c>
      <c r="F3038" s="14">
        <v>0.94</v>
      </c>
      <c r="G3038">
        <v>90</v>
      </c>
      <c r="H3038" t="s">
        <v>13</v>
      </c>
      <c r="I3038" t="str">
        <f t="shared" si="47"/>
        <v>Normal Usage</v>
      </c>
    </row>
    <row r="3039" spans="1:9" x14ac:dyDescent="0.3">
      <c r="A3039">
        <v>13038</v>
      </c>
      <c r="B3039">
        <v>252</v>
      </c>
      <c r="C3039" s="2">
        <v>45164</v>
      </c>
      <c r="D3039" s="2" t="str">
        <f>TEXT(Table3[[#This Row],[usage_date]],"mmmm")</f>
        <v>August</v>
      </c>
      <c r="E3039" s="9">
        <f>YEAR(Table3[[#This Row],[usage_date]])</f>
        <v>2023</v>
      </c>
      <c r="F3039" s="14">
        <v>3.01</v>
      </c>
      <c r="G3039">
        <v>88</v>
      </c>
      <c r="H3039" t="s">
        <v>13</v>
      </c>
      <c r="I3039" t="str">
        <f t="shared" si="47"/>
        <v>Normal Usage</v>
      </c>
    </row>
    <row r="3040" spans="1:9" x14ac:dyDescent="0.3">
      <c r="A3040">
        <v>13039</v>
      </c>
      <c r="B3040">
        <v>107</v>
      </c>
      <c r="C3040" s="2">
        <v>44850</v>
      </c>
      <c r="D3040" s="2" t="str">
        <f>TEXT(Table3[[#This Row],[usage_date]],"mmmm")</f>
        <v>October</v>
      </c>
      <c r="E3040" s="9">
        <f>YEAR(Table3[[#This Row],[usage_date]])</f>
        <v>2022</v>
      </c>
      <c r="F3040" s="14">
        <v>4.38</v>
      </c>
      <c r="G3040">
        <v>91</v>
      </c>
      <c r="H3040" t="s">
        <v>12</v>
      </c>
      <c r="I3040" t="str">
        <f t="shared" si="47"/>
        <v>Normal Usage</v>
      </c>
    </row>
    <row r="3041" spans="1:9" x14ac:dyDescent="0.3">
      <c r="A3041">
        <v>13040</v>
      </c>
      <c r="B3041">
        <v>37</v>
      </c>
      <c r="C3041" s="2">
        <v>44898</v>
      </c>
      <c r="D3041" s="2" t="str">
        <f>TEXT(Table3[[#This Row],[usage_date]],"mmmm")</f>
        <v>December</v>
      </c>
      <c r="E3041" s="9">
        <f>YEAR(Table3[[#This Row],[usage_date]])</f>
        <v>2022</v>
      </c>
      <c r="F3041" s="14">
        <v>3.29</v>
      </c>
      <c r="G3041">
        <v>149</v>
      </c>
      <c r="H3041" t="s">
        <v>13</v>
      </c>
      <c r="I3041" t="str">
        <f t="shared" si="47"/>
        <v>Normal Usage</v>
      </c>
    </row>
    <row r="3042" spans="1:9" x14ac:dyDescent="0.3">
      <c r="A3042">
        <v>13041</v>
      </c>
      <c r="B3042">
        <v>335</v>
      </c>
      <c r="C3042" s="2">
        <v>45371</v>
      </c>
      <c r="D3042" s="2" t="str">
        <f>TEXT(Table3[[#This Row],[usage_date]],"mmmm")</f>
        <v>March</v>
      </c>
      <c r="E3042" s="9">
        <f>YEAR(Table3[[#This Row],[usage_date]])</f>
        <v>2024</v>
      </c>
      <c r="F3042" s="14">
        <v>11.35</v>
      </c>
      <c r="G3042">
        <v>233</v>
      </c>
      <c r="H3042" t="s">
        <v>12</v>
      </c>
      <c r="I3042" t="str">
        <f t="shared" si="47"/>
        <v>High Usage</v>
      </c>
    </row>
    <row r="3043" spans="1:9" x14ac:dyDescent="0.3">
      <c r="A3043">
        <v>13042</v>
      </c>
      <c r="B3043">
        <v>92</v>
      </c>
      <c r="C3043" s="2">
        <v>44765</v>
      </c>
      <c r="D3043" s="2" t="str">
        <f>TEXT(Table3[[#This Row],[usage_date]],"mmmm")</f>
        <v>July</v>
      </c>
      <c r="E3043" s="9">
        <f>YEAR(Table3[[#This Row],[usage_date]])</f>
        <v>2022</v>
      </c>
      <c r="F3043" s="14">
        <v>0.8</v>
      </c>
      <c r="G3043">
        <v>58</v>
      </c>
      <c r="H3043" t="s">
        <v>13</v>
      </c>
      <c r="I3043" t="str">
        <f t="shared" si="47"/>
        <v>Normal Usage</v>
      </c>
    </row>
    <row r="3044" spans="1:9" x14ac:dyDescent="0.3">
      <c r="A3044">
        <v>13043</v>
      </c>
      <c r="B3044">
        <v>18</v>
      </c>
      <c r="C3044" s="2">
        <v>45441</v>
      </c>
      <c r="D3044" s="2" t="str">
        <f>TEXT(Table3[[#This Row],[usage_date]],"mmmm")</f>
        <v>May</v>
      </c>
      <c r="E3044" s="9">
        <f>YEAR(Table3[[#This Row],[usage_date]])</f>
        <v>2024</v>
      </c>
      <c r="F3044" s="14">
        <v>5.2</v>
      </c>
      <c r="G3044">
        <v>184</v>
      </c>
      <c r="H3044" t="s">
        <v>13</v>
      </c>
      <c r="I3044" t="str">
        <f t="shared" si="47"/>
        <v>Normal Usage</v>
      </c>
    </row>
    <row r="3045" spans="1:9" x14ac:dyDescent="0.3">
      <c r="A3045">
        <v>13044</v>
      </c>
      <c r="B3045">
        <v>354</v>
      </c>
      <c r="C3045" s="2">
        <v>44799</v>
      </c>
      <c r="D3045" s="2" t="str">
        <f>TEXT(Table3[[#This Row],[usage_date]],"mmmm")</f>
        <v>August</v>
      </c>
      <c r="E3045" s="9">
        <f>YEAR(Table3[[#This Row],[usage_date]])</f>
        <v>2022</v>
      </c>
      <c r="F3045" s="14">
        <v>3.64</v>
      </c>
      <c r="G3045">
        <v>43</v>
      </c>
      <c r="H3045" t="s">
        <v>13</v>
      </c>
      <c r="I3045" t="str">
        <f t="shared" si="47"/>
        <v>Normal Usage</v>
      </c>
    </row>
    <row r="3046" spans="1:9" x14ac:dyDescent="0.3">
      <c r="A3046">
        <v>13045</v>
      </c>
      <c r="B3046">
        <v>63</v>
      </c>
      <c r="C3046" s="2">
        <v>44943</v>
      </c>
      <c r="D3046" s="2" t="str">
        <f>TEXT(Table3[[#This Row],[usage_date]],"mmmm")</f>
        <v>January</v>
      </c>
      <c r="E3046" s="9">
        <f>YEAR(Table3[[#This Row],[usage_date]])</f>
        <v>2023</v>
      </c>
      <c r="F3046" s="14">
        <v>1.1200000000000001</v>
      </c>
      <c r="G3046">
        <v>179</v>
      </c>
      <c r="H3046" t="s">
        <v>12</v>
      </c>
      <c r="I3046" t="str">
        <f t="shared" si="47"/>
        <v>Normal Usage</v>
      </c>
    </row>
    <row r="3047" spans="1:9" x14ac:dyDescent="0.3">
      <c r="A3047">
        <v>13046</v>
      </c>
      <c r="B3047">
        <v>150</v>
      </c>
      <c r="C3047" s="2">
        <v>45228</v>
      </c>
      <c r="D3047" s="2" t="str">
        <f>TEXT(Table3[[#This Row],[usage_date]],"mmmm")</f>
        <v>October</v>
      </c>
      <c r="E3047" s="9">
        <f>YEAR(Table3[[#This Row],[usage_date]])</f>
        <v>2023</v>
      </c>
      <c r="F3047" s="14">
        <v>3.31</v>
      </c>
      <c r="G3047">
        <v>75</v>
      </c>
      <c r="H3047" t="s">
        <v>12</v>
      </c>
      <c r="I3047" t="str">
        <f t="shared" si="47"/>
        <v>Normal Usage</v>
      </c>
    </row>
    <row r="3048" spans="1:9" x14ac:dyDescent="0.3">
      <c r="A3048">
        <v>13047</v>
      </c>
      <c r="B3048">
        <v>139</v>
      </c>
      <c r="C3048" s="2">
        <v>45313</v>
      </c>
      <c r="D3048" s="2" t="str">
        <f>TEXT(Table3[[#This Row],[usage_date]],"mmmm")</f>
        <v>January</v>
      </c>
      <c r="E3048" s="9">
        <f>YEAR(Table3[[#This Row],[usage_date]])</f>
        <v>2024</v>
      </c>
      <c r="F3048" s="14">
        <v>0.27</v>
      </c>
      <c r="G3048">
        <v>143</v>
      </c>
      <c r="H3048" t="s">
        <v>13</v>
      </c>
      <c r="I3048" t="str">
        <f t="shared" si="47"/>
        <v>Normal Usage</v>
      </c>
    </row>
    <row r="3049" spans="1:9" x14ac:dyDescent="0.3">
      <c r="A3049">
        <v>13048</v>
      </c>
      <c r="B3049">
        <v>186</v>
      </c>
      <c r="C3049" s="2">
        <v>44697</v>
      </c>
      <c r="D3049" s="2" t="str">
        <f>TEXT(Table3[[#This Row],[usage_date]],"mmmm")</f>
        <v>May</v>
      </c>
      <c r="E3049" s="9">
        <f>YEAR(Table3[[#This Row],[usage_date]])</f>
        <v>2022</v>
      </c>
      <c r="F3049" s="14">
        <v>3.89</v>
      </c>
      <c r="G3049">
        <v>100</v>
      </c>
      <c r="H3049" t="s">
        <v>13</v>
      </c>
      <c r="I3049" t="str">
        <f t="shared" si="47"/>
        <v>Normal Usage</v>
      </c>
    </row>
    <row r="3050" spans="1:9" x14ac:dyDescent="0.3">
      <c r="A3050">
        <v>13049</v>
      </c>
      <c r="B3050">
        <v>185</v>
      </c>
      <c r="C3050" s="2">
        <v>44968</v>
      </c>
      <c r="D3050" s="2" t="str">
        <f>TEXT(Table3[[#This Row],[usage_date]],"mmmm")</f>
        <v>February</v>
      </c>
      <c r="E3050" s="9">
        <f>YEAR(Table3[[#This Row],[usage_date]])</f>
        <v>2023</v>
      </c>
      <c r="F3050" s="14">
        <v>1.9</v>
      </c>
      <c r="G3050">
        <v>271</v>
      </c>
      <c r="H3050" t="s">
        <v>12</v>
      </c>
      <c r="I3050" t="str">
        <f t="shared" si="47"/>
        <v>Normal Usage</v>
      </c>
    </row>
    <row r="3051" spans="1:9" x14ac:dyDescent="0.3">
      <c r="A3051">
        <v>13050</v>
      </c>
      <c r="B3051">
        <v>205</v>
      </c>
      <c r="C3051" s="2">
        <v>45069</v>
      </c>
      <c r="D3051" s="2" t="str">
        <f>TEXT(Table3[[#This Row],[usage_date]],"mmmm")</f>
        <v>May</v>
      </c>
      <c r="E3051" s="9">
        <f>YEAR(Table3[[#This Row],[usage_date]])</f>
        <v>2023</v>
      </c>
      <c r="F3051" s="14">
        <v>0.86</v>
      </c>
      <c r="G3051">
        <v>54</v>
      </c>
      <c r="H3051" t="s">
        <v>13</v>
      </c>
      <c r="I3051" t="str">
        <f t="shared" si="47"/>
        <v>Normal Usage</v>
      </c>
    </row>
    <row r="3052" spans="1:9" x14ac:dyDescent="0.3">
      <c r="A3052">
        <v>13051</v>
      </c>
      <c r="B3052">
        <v>260</v>
      </c>
      <c r="C3052" s="2">
        <v>44923</v>
      </c>
      <c r="D3052" s="2" t="str">
        <f>TEXT(Table3[[#This Row],[usage_date]],"mmmm")</f>
        <v>December</v>
      </c>
      <c r="E3052" s="9">
        <f>YEAR(Table3[[#This Row],[usage_date]])</f>
        <v>2022</v>
      </c>
      <c r="F3052" s="14">
        <v>2.67</v>
      </c>
      <c r="G3052">
        <v>188</v>
      </c>
      <c r="H3052" t="s">
        <v>12</v>
      </c>
      <c r="I3052" t="str">
        <f t="shared" si="47"/>
        <v>Normal Usage</v>
      </c>
    </row>
    <row r="3053" spans="1:9" x14ac:dyDescent="0.3">
      <c r="A3053">
        <v>13052</v>
      </c>
      <c r="B3053">
        <v>214</v>
      </c>
      <c r="C3053" s="2">
        <v>44942</v>
      </c>
      <c r="D3053" s="2" t="str">
        <f>TEXT(Table3[[#This Row],[usage_date]],"mmmm")</f>
        <v>January</v>
      </c>
      <c r="E3053" s="9">
        <f>YEAR(Table3[[#This Row],[usage_date]])</f>
        <v>2023</v>
      </c>
      <c r="F3053" s="14">
        <v>2.57</v>
      </c>
      <c r="G3053">
        <v>76</v>
      </c>
      <c r="H3053" t="s">
        <v>12</v>
      </c>
      <c r="I3053" t="str">
        <f t="shared" si="47"/>
        <v>Normal Usage</v>
      </c>
    </row>
    <row r="3054" spans="1:9" x14ac:dyDescent="0.3">
      <c r="A3054">
        <v>13053</v>
      </c>
      <c r="B3054">
        <v>256</v>
      </c>
      <c r="C3054" s="2">
        <v>45442</v>
      </c>
      <c r="D3054" s="2" t="str">
        <f>TEXT(Table3[[#This Row],[usage_date]],"mmmm")</f>
        <v>May</v>
      </c>
      <c r="E3054" s="9">
        <f>YEAR(Table3[[#This Row],[usage_date]])</f>
        <v>2024</v>
      </c>
      <c r="F3054" s="14">
        <v>0.59</v>
      </c>
      <c r="G3054">
        <v>295</v>
      </c>
      <c r="H3054" t="s">
        <v>12</v>
      </c>
      <c r="I3054" t="str">
        <f t="shared" si="47"/>
        <v>Normal Usage</v>
      </c>
    </row>
    <row r="3055" spans="1:9" x14ac:dyDescent="0.3">
      <c r="A3055">
        <v>13054</v>
      </c>
      <c r="B3055">
        <v>135</v>
      </c>
      <c r="C3055" s="2">
        <v>45137</v>
      </c>
      <c r="D3055" s="2" t="str">
        <f>TEXT(Table3[[#This Row],[usage_date]],"mmmm")</f>
        <v>July</v>
      </c>
      <c r="E3055" s="9">
        <f>YEAR(Table3[[#This Row],[usage_date]])</f>
        <v>2023</v>
      </c>
      <c r="F3055" s="14">
        <v>0.08</v>
      </c>
      <c r="G3055">
        <v>218</v>
      </c>
      <c r="H3055" t="s">
        <v>12</v>
      </c>
      <c r="I3055" t="str">
        <f t="shared" si="47"/>
        <v>Normal Usage</v>
      </c>
    </row>
    <row r="3056" spans="1:9" x14ac:dyDescent="0.3">
      <c r="A3056">
        <v>13055</v>
      </c>
      <c r="B3056">
        <v>61</v>
      </c>
      <c r="C3056" s="2">
        <v>45196</v>
      </c>
      <c r="D3056" s="2" t="str">
        <f>TEXT(Table3[[#This Row],[usage_date]],"mmmm")</f>
        <v>September</v>
      </c>
      <c r="E3056" s="9">
        <f>YEAR(Table3[[#This Row],[usage_date]])</f>
        <v>2023</v>
      </c>
      <c r="F3056" s="14">
        <v>1.42</v>
      </c>
      <c r="G3056">
        <v>276</v>
      </c>
      <c r="H3056" t="s">
        <v>12</v>
      </c>
      <c r="I3056" t="str">
        <f t="shared" si="47"/>
        <v>Normal Usage</v>
      </c>
    </row>
    <row r="3057" spans="1:9" x14ac:dyDescent="0.3">
      <c r="A3057">
        <v>13056</v>
      </c>
      <c r="B3057">
        <v>363</v>
      </c>
      <c r="C3057" s="2">
        <v>44815</v>
      </c>
      <c r="D3057" s="2" t="str">
        <f>TEXT(Table3[[#This Row],[usage_date]],"mmmm")</f>
        <v>September</v>
      </c>
      <c r="E3057" s="9">
        <f>YEAR(Table3[[#This Row],[usage_date]])</f>
        <v>2022</v>
      </c>
      <c r="F3057" s="14">
        <v>2.11</v>
      </c>
      <c r="G3057">
        <v>65</v>
      </c>
      <c r="H3057" t="s">
        <v>13</v>
      </c>
      <c r="I3057" t="str">
        <f t="shared" si="47"/>
        <v>Normal Usage</v>
      </c>
    </row>
    <row r="3058" spans="1:9" x14ac:dyDescent="0.3">
      <c r="A3058">
        <v>13057</v>
      </c>
      <c r="B3058">
        <v>310</v>
      </c>
      <c r="C3058" s="2">
        <v>45038</v>
      </c>
      <c r="D3058" s="2" t="str">
        <f>TEXT(Table3[[#This Row],[usage_date]],"mmmm")</f>
        <v>April</v>
      </c>
      <c r="E3058" s="9">
        <f>YEAR(Table3[[#This Row],[usage_date]])</f>
        <v>2023</v>
      </c>
      <c r="F3058" s="14">
        <v>5.23</v>
      </c>
      <c r="G3058">
        <v>135</v>
      </c>
      <c r="H3058" t="s">
        <v>12</v>
      </c>
      <c r="I3058" t="str">
        <f t="shared" si="47"/>
        <v>Normal Usage</v>
      </c>
    </row>
    <row r="3059" spans="1:9" x14ac:dyDescent="0.3">
      <c r="A3059">
        <v>13058</v>
      </c>
      <c r="B3059">
        <v>88</v>
      </c>
      <c r="C3059" s="2">
        <v>44675</v>
      </c>
      <c r="D3059" s="2" t="str">
        <f>TEXT(Table3[[#This Row],[usage_date]],"mmmm")</f>
        <v>April</v>
      </c>
      <c r="E3059" s="9">
        <f>YEAR(Table3[[#This Row],[usage_date]])</f>
        <v>2022</v>
      </c>
      <c r="F3059" s="14">
        <v>6.59</v>
      </c>
      <c r="G3059">
        <v>233</v>
      </c>
      <c r="H3059" t="s">
        <v>12</v>
      </c>
      <c r="I3059" t="str">
        <f t="shared" si="47"/>
        <v>High Usage</v>
      </c>
    </row>
    <row r="3060" spans="1:9" x14ac:dyDescent="0.3">
      <c r="A3060">
        <v>13059</v>
      </c>
      <c r="B3060">
        <v>324</v>
      </c>
      <c r="C3060" s="2">
        <v>44581</v>
      </c>
      <c r="D3060" s="2" t="str">
        <f>TEXT(Table3[[#This Row],[usage_date]],"mmmm")</f>
        <v>January</v>
      </c>
      <c r="E3060" s="9">
        <f>YEAR(Table3[[#This Row],[usage_date]])</f>
        <v>2022</v>
      </c>
      <c r="F3060" s="14">
        <v>1.88</v>
      </c>
      <c r="G3060">
        <v>198</v>
      </c>
      <c r="H3060" t="s">
        <v>13</v>
      </c>
      <c r="I3060" t="str">
        <f t="shared" si="47"/>
        <v>Normal Usage</v>
      </c>
    </row>
    <row r="3061" spans="1:9" x14ac:dyDescent="0.3">
      <c r="A3061">
        <v>13060</v>
      </c>
      <c r="B3061">
        <v>476</v>
      </c>
      <c r="C3061" s="2">
        <v>45089</v>
      </c>
      <c r="D3061" s="2" t="str">
        <f>TEXT(Table3[[#This Row],[usage_date]],"mmmm")</f>
        <v>June</v>
      </c>
      <c r="E3061" s="9">
        <f>YEAR(Table3[[#This Row],[usage_date]])</f>
        <v>2023</v>
      </c>
      <c r="F3061" s="14">
        <v>3.5</v>
      </c>
      <c r="G3061">
        <v>265</v>
      </c>
      <c r="H3061" t="s">
        <v>13</v>
      </c>
      <c r="I3061" t="str">
        <f t="shared" si="47"/>
        <v>Normal Usage</v>
      </c>
    </row>
    <row r="3062" spans="1:9" x14ac:dyDescent="0.3">
      <c r="A3062">
        <v>13061</v>
      </c>
      <c r="B3062">
        <v>207</v>
      </c>
      <c r="C3062" s="2">
        <v>44706</v>
      </c>
      <c r="D3062" s="2" t="str">
        <f>TEXT(Table3[[#This Row],[usage_date]],"mmmm")</f>
        <v>May</v>
      </c>
      <c r="E3062" s="9">
        <f>YEAR(Table3[[#This Row],[usage_date]])</f>
        <v>2022</v>
      </c>
      <c r="F3062" s="14">
        <v>1.45</v>
      </c>
      <c r="G3062">
        <v>42</v>
      </c>
      <c r="H3062" t="s">
        <v>12</v>
      </c>
      <c r="I3062" t="str">
        <f t="shared" si="47"/>
        <v>Normal Usage</v>
      </c>
    </row>
    <row r="3063" spans="1:9" x14ac:dyDescent="0.3">
      <c r="A3063">
        <v>13062</v>
      </c>
      <c r="B3063">
        <v>129</v>
      </c>
      <c r="C3063" s="2">
        <v>44769</v>
      </c>
      <c r="D3063" s="2" t="str">
        <f>TEXT(Table3[[#This Row],[usage_date]],"mmmm")</f>
        <v>July</v>
      </c>
      <c r="E3063" s="9">
        <f>YEAR(Table3[[#This Row],[usage_date]])</f>
        <v>2022</v>
      </c>
      <c r="F3063" s="14">
        <v>3.43</v>
      </c>
      <c r="G3063">
        <v>227</v>
      </c>
      <c r="H3063" t="s">
        <v>12</v>
      </c>
      <c r="I3063" t="str">
        <f t="shared" si="47"/>
        <v>Normal Usage</v>
      </c>
    </row>
    <row r="3064" spans="1:9" x14ac:dyDescent="0.3">
      <c r="A3064">
        <v>13063</v>
      </c>
      <c r="B3064">
        <v>311</v>
      </c>
      <c r="C3064" s="2">
        <v>45092</v>
      </c>
      <c r="D3064" s="2" t="str">
        <f>TEXT(Table3[[#This Row],[usage_date]],"mmmm")</f>
        <v>June</v>
      </c>
      <c r="E3064" s="9">
        <f>YEAR(Table3[[#This Row],[usage_date]])</f>
        <v>2023</v>
      </c>
      <c r="F3064" s="14">
        <v>0.56999999999999995</v>
      </c>
      <c r="G3064">
        <v>226</v>
      </c>
      <c r="H3064" t="s">
        <v>12</v>
      </c>
      <c r="I3064" t="str">
        <f t="shared" si="47"/>
        <v>Normal Usage</v>
      </c>
    </row>
    <row r="3065" spans="1:9" x14ac:dyDescent="0.3">
      <c r="A3065">
        <v>13064</v>
      </c>
      <c r="B3065">
        <v>3</v>
      </c>
      <c r="C3065" s="2">
        <v>44937</v>
      </c>
      <c r="D3065" s="2" t="str">
        <f>TEXT(Table3[[#This Row],[usage_date]],"mmmm")</f>
        <v>January</v>
      </c>
      <c r="E3065" s="9">
        <f>YEAR(Table3[[#This Row],[usage_date]])</f>
        <v>2023</v>
      </c>
      <c r="F3065" s="14">
        <v>1.1599999999999999</v>
      </c>
      <c r="G3065">
        <v>62</v>
      </c>
      <c r="H3065" t="s">
        <v>13</v>
      </c>
      <c r="I3065" t="str">
        <f t="shared" si="47"/>
        <v>Normal Usage</v>
      </c>
    </row>
    <row r="3066" spans="1:9" x14ac:dyDescent="0.3">
      <c r="A3066">
        <v>13065</v>
      </c>
      <c r="B3066">
        <v>462</v>
      </c>
      <c r="C3066" s="2">
        <v>45065</v>
      </c>
      <c r="D3066" s="2" t="str">
        <f>TEXT(Table3[[#This Row],[usage_date]],"mmmm")</f>
        <v>May</v>
      </c>
      <c r="E3066" s="9">
        <f>YEAR(Table3[[#This Row],[usage_date]])</f>
        <v>2023</v>
      </c>
      <c r="F3066" s="14">
        <v>2.5099999999999998</v>
      </c>
      <c r="G3066">
        <v>170</v>
      </c>
      <c r="H3066" t="s">
        <v>12</v>
      </c>
      <c r="I3066" t="str">
        <f t="shared" si="47"/>
        <v>Normal Usage</v>
      </c>
    </row>
    <row r="3067" spans="1:9" x14ac:dyDescent="0.3">
      <c r="A3067">
        <v>13066</v>
      </c>
      <c r="B3067">
        <v>422</v>
      </c>
      <c r="C3067" s="2">
        <v>44727</v>
      </c>
      <c r="D3067" s="2" t="str">
        <f>TEXT(Table3[[#This Row],[usage_date]],"mmmm")</f>
        <v>June</v>
      </c>
      <c r="E3067" s="9">
        <f>YEAR(Table3[[#This Row],[usage_date]])</f>
        <v>2022</v>
      </c>
      <c r="F3067" s="14">
        <v>0.05</v>
      </c>
      <c r="G3067">
        <v>249</v>
      </c>
      <c r="H3067" t="s">
        <v>12</v>
      </c>
      <c r="I3067" t="str">
        <f t="shared" si="47"/>
        <v>Normal Usage</v>
      </c>
    </row>
    <row r="3068" spans="1:9" x14ac:dyDescent="0.3">
      <c r="A3068">
        <v>13067</v>
      </c>
      <c r="B3068">
        <v>242</v>
      </c>
      <c r="C3068" s="2">
        <v>45111</v>
      </c>
      <c r="D3068" s="2" t="str">
        <f>TEXT(Table3[[#This Row],[usage_date]],"mmmm")</f>
        <v>July</v>
      </c>
      <c r="E3068" s="9">
        <f>YEAR(Table3[[#This Row],[usage_date]])</f>
        <v>2023</v>
      </c>
      <c r="F3068" s="14">
        <v>3.2</v>
      </c>
      <c r="G3068">
        <v>249</v>
      </c>
      <c r="H3068" t="s">
        <v>13</v>
      </c>
      <c r="I3068" t="str">
        <f t="shared" si="47"/>
        <v>Normal Usage</v>
      </c>
    </row>
    <row r="3069" spans="1:9" x14ac:dyDescent="0.3">
      <c r="A3069">
        <v>13068</v>
      </c>
      <c r="B3069">
        <v>121</v>
      </c>
      <c r="C3069" s="2">
        <v>44742</v>
      </c>
      <c r="D3069" s="2" t="str">
        <f>TEXT(Table3[[#This Row],[usage_date]],"mmmm")</f>
        <v>June</v>
      </c>
      <c r="E3069" s="9">
        <f>YEAR(Table3[[#This Row],[usage_date]])</f>
        <v>2022</v>
      </c>
      <c r="F3069" s="14">
        <v>4.51</v>
      </c>
      <c r="G3069">
        <v>237</v>
      </c>
      <c r="H3069" t="s">
        <v>12</v>
      </c>
      <c r="I3069" t="str">
        <f t="shared" si="47"/>
        <v>Normal Usage</v>
      </c>
    </row>
    <row r="3070" spans="1:9" x14ac:dyDescent="0.3">
      <c r="A3070">
        <v>13069</v>
      </c>
      <c r="B3070">
        <v>385</v>
      </c>
      <c r="C3070" s="2">
        <v>45422</v>
      </c>
      <c r="D3070" s="2" t="str">
        <f>TEXT(Table3[[#This Row],[usage_date]],"mmmm")</f>
        <v>May</v>
      </c>
      <c r="E3070" s="9">
        <f>YEAR(Table3[[#This Row],[usage_date]])</f>
        <v>2024</v>
      </c>
      <c r="F3070" s="14">
        <v>1.27</v>
      </c>
      <c r="G3070">
        <v>55</v>
      </c>
      <c r="H3070" t="s">
        <v>12</v>
      </c>
      <c r="I3070" t="str">
        <f t="shared" si="47"/>
        <v>Normal Usage</v>
      </c>
    </row>
    <row r="3071" spans="1:9" x14ac:dyDescent="0.3">
      <c r="A3071">
        <v>13070</v>
      </c>
      <c r="B3071">
        <v>102</v>
      </c>
      <c r="C3071" s="2">
        <v>45178</v>
      </c>
      <c r="D3071" s="2" t="str">
        <f>TEXT(Table3[[#This Row],[usage_date]],"mmmm")</f>
        <v>September</v>
      </c>
      <c r="E3071" s="9">
        <f>YEAR(Table3[[#This Row],[usage_date]])</f>
        <v>2023</v>
      </c>
      <c r="F3071" s="14">
        <v>1.49</v>
      </c>
      <c r="G3071">
        <v>170</v>
      </c>
      <c r="H3071" t="s">
        <v>13</v>
      </c>
      <c r="I3071" t="str">
        <f t="shared" si="47"/>
        <v>Normal Usage</v>
      </c>
    </row>
    <row r="3072" spans="1:9" x14ac:dyDescent="0.3">
      <c r="A3072">
        <v>13071</v>
      </c>
      <c r="B3072">
        <v>38</v>
      </c>
      <c r="C3072" s="2">
        <v>45173</v>
      </c>
      <c r="D3072" s="2" t="str">
        <f>TEXT(Table3[[#This Row],[usage_date]],"mmmm")</f>
        <v>September</v>
      </c>
      <c r="E3072" s="9">
        <f>YEAR(Table3[[#This Row],[usage_date]])</f>
        <v>2023</v>
      </c>
      <c r="F3072" s="14">
        <v>4.76</v>
      </c>
      <c r="G3072">
        <v>33</v>
      </c>
      <c r="H3072" t="s">
        <v>12</v>
      </c>
      <c r="I3072" t="str">
        <f t="shared" si="47"/>
        <v>Normal Usage</v>
      </c>
    </row>
    <row r="3073" spans="1:9" x14ac:dyDescent="0.3">
      <c r="A3073">
        <v>13072</v>
      </c>
      <c r="B3073">
        <v>341</v>
      </c>
      <c r="C3073" s="2">
        <v>45163</v>
      </c>
      <c r="D3073" s="2" t="str">
        <f>TEXT(Table3[[#This Row],[usage_date]],"mmmm")</f>
        <v>August</v>
      </c>
      <c r="E3073" s="9">
        <f>YEAR(Table3[[#This Row],[usage_date]])</f>
        <v>2023</v>
      </c>
      <c r="F3073" s="14">
        <v>3.74</v>
      </c>
      <c r="G3073">
        <v>129</v>
      </c>
      <c r="H3073" t="s">
        <v>12</v>
      </c>
      <c r="I3073" t="str">
        <f t="shared" si="47"/>
        <v>Normal Usage</v>
      </c>
    </row>
    <row r="3074" spans="1:9" x14ac:dyDescent="0.3">
      <c r="A3074">
        <v>13073</v>
      </c>
      <c r="B3074">
        <v>496</v>
      </c>
      <c r="C3074" s="2">
        <v>45373</v>
      </c>
      <c r="D3074" s="2" t="str">
        <f>TEXT(Table3[[#This Row],[usage_date]],"mmmm")</f>
        <v>March</v>
      </c>
      <c r="E3074" s="9">
        <f>YEAR(Table3[[#This Row],[usage_date]])</f>
        <v>2024</v>
      </c>
      <c r="F3074" s="14">
        <v>0.85</v>
      </c>
      <c r="G3074">
        <v>129</v>
      </c>
      <c r="H3074" t="s">
        <v>13</v>
      </c>
      <c r="I3074" t="str">
        <f t="shared" ref="I3074:I3137" si="48">IF(F3074&gt;6,"High Usage","Normal Usage")</f>
        <v>Normal Usage</v>
      </c>
    </row>
    <row r="3075" spans="1:9" x14ac:dyDescent="0.3">
      <c r="A3075">
        <v>13074</v>
      </c>
      <c r="B3075">
        <v>413</v>
      </c>
      <c r="C3075" s="2">
        <v>45005</v>
      </c>
      <c r="D3075" s="2" t="str">
        <f>TEXT(Table3[[#This Row],[usage_date]],"mmmm")</f>
        <v>March</v>
      </c>
      <c r="E3075" s="9">
        <f>YEAR(Table3[[#This Row],[usage_date]])</f>
        <v>2023</v>
      </c>
      <c r="F3075" s="14">
        <v>0.98</v>
      </c>
      <c r="G3075">
        <v>150</v>
      </c>
      <c r="H3075" t="s">
        <v>13</v>
      </c>
      <c r="I3075" t="str">
        <f t="shared" si="48"/>
        <v>Normal Usage</v>
      </c>
    </row>
    <row r="3076" spans="1:9" x14ac:dyDescent="0.3">
      <c r="A3076">
        <v>13075</v>
      </c>
      <c r="B3076">
        <v>133</v>
      </c>
      <c r="C3076" s="2">
        <v>44893</v>
      </c>
      <c r="D3076" s="2" t="str">
        <f>TEXT(Table3[[#This Row],[usage_date]],"mmmm")</f>
        <v>November</v>
      </c>
      <c r="E3076" s="9">
        <f>YEAR(Table3[[#This Row],[usage_date]])</f>
        <v>2022</v>
      </c>
      <c r="F3076" s="14">
        <v>2.84</v>
      </c>
      <c r="G3076">
        <v>142</v>
      </c>
      <c r="H3076" t="s">
        <v>12</v>
      </c>
      <c r="I3076" t="str">
        <f t="shared" si="48"/>
        <v>Normal Usage</v>
      </c>
    </row>
    <row r="3077" spans="1:9" x14ac:dyDescent="0.3">
      <c r="A3077">
        <v>13076</v>
      </c>
      <c r="B3077">
        <v>497</v>
      </c>
      <c r="C3077" s="2">
        <v>45064</v>
      </c>
      <c r="D3077" s="2" t="str">
        <f>TEXT(Table3[[#This Row],[usage_date]],"mmmm")</f>
        <v>May</v>
      </c>
      <c r="E3077" s="9">
        <f>YEAR(Table3[[#This Row],[usage_date]])</f>
        <v>2023</v>
      </c>
      <c r="F3077" s="14">
        <v>2.0699999999999998</v>
      </c>
      <c r="G3077">
        <v>117</v>
      </c>
      <c r="H3077" t="s">
        <v>12</v>
      </c>
      <c r="I3077" t="str">
        <f t="shared" si="48"/>
        <v>Normal Usage</v>
      </c>
    </row>
    <row r="3078" spans="1:9" x14ac:dyDescent="0.3">
      <c r="A3078">
        <v>13077</v>
      </c>
      <c r="B3078">
        <v>202</v>
      </c>
      <c r="C3078" s="2">
        <v>44640</v>
      </c>
      <c r="D3078" s="2" t="str">
        <f>TEXT(Table3[[#This Row],[usage_date]],"mmmm")</f>
        <v>March</v>
      </c>
      <c r="E3078" s="9">
        <f>YEAR(Table3[[#This Row],[usage_date]])</f>
        <v>2022</v>
      </c>
      <c r="F3078" s="14">
        <v>0.44</v>
      </c>
      <c r="G3078">
        <v>203</v>
      </c>
      <c r="H3078" t="s">
        <v>13</v>
      </c>
      <c r="I3078" t="str">
        <f t="shared" si="48"/>
        <v>Normal Usage</v>
      </c>
    </row>
    <row r="3079" spans="1:9" x14ac:dyDescent="0.3">
      <c r="A3079">
        <v>13078</v>
      </c>
      <c r="B3079">
        <v>348</v>
      </c>
      <c r="C3079" s="2">
        <v>45146</v>
      </c>
      <c r="D3079" s="2" t="str">
        <f>TEXT(Table3[[#This Row],[usage_date]],"mmmm")</f>
        <v>August</v>
      </c>
      <c r="E3079" s="9">
        <f>YEAR(Table3[[#This Row],[usage_date]])</f>
        <v>2023</v>
      </c>
      <c r="F3079" s="14">
        <v>0.93</v>
      </c>
      <c r="G3079">
        <v>234</v>
      </c>
      <c r="H3079" t="s">
        <v>12</v>
      </c>
      <c r="I3079" t="str">
        <f t="shared" si="48"/>
        <v>Normal Usage</v>
      </c>
    </row>
    <row r="3080" spans="1:9" x14ac:dyDescent="0.3">
      <c r="A3080">
        <v>13079</v>
      </c>
      <c r="B3080">
        <v>21</v>
      </c>
      <c r="C3080" s="2">
        <v>45249</v>
      </c>
      <c r="D3080" s="2" t="str">
        <f>TEXT(Table3[[#This Row],[usage_date]],"mmmm")</f>
        <v>November</v>
      </c>
      <c r="E3080" s="9">
        <f>YEAR(Table3[[#This Row],[usage_date]])</f>
        <v>2023</v>
      </c>
      <c r="F3080" s="14">
        <v>5.76</v>
      </c>
      <c r="G3080">
        <v>16</v>
      </c>
      <c r="H3080" t="s">
        <v>12</v>
      </c>
      <c r="I3080" t="str">
        <f t="shared" si="48"/>
        <v>Normal Usage</v>
      </c>
    </row>
    <row r="3081" spans="1:9" x14ac:dyDescent="0.3">
      <c r="A3081">
        <v>13080</v>
      </c>
      <c r="B3081">
        <v>242</v>
      </c>
      <c r="C3081" s="2">
        <v>44957</v>
      </c>
      <c r="D3081" s="2" t="str">
        <f>TEXT(Table3[[#This Row],[usage_date]],"mmmm")</f>
        <v>January</v>
      </c>
      <c r="E3081" s="9">
        <f>YEAR(Table3[[#This Row],[usage_date]])</f>
        <v>2023</v>
      </c>
      <c r="F3081" s="14">
        <v>2.91</v>
      </c>
      <c r="G3081">
        <v>81</v>
      </c>
      <c r="H3081" t="s">
        <v>12</v>
      </c>
      <c r="I3081" t="str">
        <f t="shared" si="48"/>
        <v>Normal Usage</v>
      </c>
    </row>
    <row r="3082" spans="1:9" x14ac:dyDescent="0.3">
      <c r="A3082">
        <v>13081</v>
      </c>
      <c r="B3082">
        <v>455</v>
      </c>
      <c r="C3082" s="2">
        <v>45169</v>
      </c>
      <c r="D3082" s="2" t="str">
        <f>TEXT(Table3[[#This Row],[usage_date]],"mmmm")</f>
        <v>August</v>
      </c>
      <c r="E3082" s="9">
        <f>YEAR(Table3[[#This Row],[usage_date]])</f>
        <v>2023</v>
      </c>
      <c r="F3082" s="14">
        <v>10.67</v>
      </c>
      <c r="G3082">
        <v>13</v>
      </c>
      <c r="H3082" t="s">
        <v>12</v>
      </c>
      <c r="I3082" t="str">
        <f t="shared" si="48"/>
        <v>High Usage</v>
      </c>
    </row>
    <row r="3083" spans="1:9" x14ac:dyDescent="0.3">
      <c r="A3083">
        <v>13082</v>
      </c>
      <c r="B3083">
        <v>451</v>
      </c>
      <c r="C3083" s="2">
        <v>45418</v>
      </c>
      <c r="D3083" s="2" t="str">
        <f>TEXT(Table3[[#This Row],[usage_date]],"mmmm")</f>
        <v>May</v>
      </c>
      <c r="E3083" s="9">
        <f>YEAR(Table3[[#This Row],[usage_date]])</f>
        <v>2024</v>
      </c>
      <c r="F3083" s="14">
        <v>3.64</v>
      </c>
      <c r="G3083">
        <v>80</v>
      </c>
      <c r="H3083" t="s">
        <v>13</v>
      </c>
      <c r="I3083" t="str">
        <f t="shared" si="48"/>
        <v>Normal Usage</v>
      </c>
    </row>
    <row r="3084" spans="1:9" x14ac:dyDescent="0.3">
      <c r="A3084">
        <v>13083</v>
      </c>
      <c r="B3084">
        <v>109</v>
      </c>
      <c r="C3084" s="2">
        <v>44664</v>
      </c>
      <c r="D3084" s="2" t="str">
        <f>TEXT(Table3[[#This Row],[usage_date]],"mmmm")</f>
        <v>April</v>
      </c>
      <c r="E3084" s="9">
        <f>YEAR(Table3[[#This Row],[usage_date]])</f>
        <v>2022</v>
      </c>
      <c r="F3084" s="14">
        <v>7.12</v>
      </c>
      <c r="G3084">
        <v>206</v>
      </c>
      <c r="H3084" t="s">
        <v>12</v>
      </c>
      <c r="I3084" t="str">
        <f t="shared" si="48"/>
        <v>High Usage</v>
      </c>
    </row>
    <row r="3085" spans="1:9" x14ac:dyDescent="0.3">
      <c r="A3085">
        <v>13084</v>
      </c>
      <c r="B3085">
        <v>303</v>
      </c>
      <c r="C3085" s="2">
        <v>44963</v>
      </c>
      <c r="D3085" s="2" t="str">
        <f>TEXT(Table3[[#This Row],[usage_date]],"mmmm")</f>
        <v>February</v>
      </c>
      <c r="E3085" s="9">
        <f>YEAR(Table3[[#This Row],[usage_date]])</f>
        <v>2023</v>
      </c>
      <c r="F3085" s="14">
        <v>0.61</v>
      </c>
      <c r="G3085">
        <v>203</v>
      </c>
      <c r="H3085" t="s">
        <v>13</v>
      </c>
      <c r="I3085" t="str">
        <f t="shared" si="48"/>
        <v>Normal Usage</v>
      </c>
    </row>
    <row r="3086" spans="1:9" x14ac:dyDescent="0.3">
      <c r="A3086">
        <v>13085</v>
      </c>
      <c r="B3086">
        <v>84</v>
      </c>
      <c r="C3086" s="2">
        <v>44785</v>
      </c>
      <c r="D3086" s="2" t="str">
        <f>TEXT(Table3[[#This Row],[usage_date]],"mmmm")</f>
        <v>August</v>
      </c>
      <c r="E3086" s="9">
        <f>YEAR(Table3[[#This Row],[usage_date]])</f>
        <v>2022</v>
      </c>
      <c r="F3086" s="14">
        <v>3.69</v>
      </c>
      <c r="G3086">
        <v>271</v>
      </c>
      <c r="H3086" t="s">
        <v>13</v>
      </c>
      <c r="I3086" t="str">
        <f t="shared" si="48"/>
        <v>Normal Usage</v>
      </c>
    </row>
    <row r="3087" spans="1:9" x14ac:dyDescent="0.3">
      <c r="A3087">
        <v>13086</v>
      </c>
      <c r="B3087">
        <v>83</v>
      </c>
      <c r="C3087" s="2">
        <v>45079</v>
      </c>
      <c r="D3087" s="2" t="str">
        <f>TEXT(Table3[[#This Row],[usage_date]],"mmmm")</f>
        <v>June</v>
      </c>
      <c r="E3087" s="9">
        <f>YEAR(Table3[[#This Row],[usage_date]])</f>
        <v>2023</v>
      </c>
      <c r="F3087" s="14">
        <v>0.05</v>
      </c>
      <c r="G3087">
        <v>31</v>
      </c>
      <c r="H3087" t="s">
        <v>13</v>
      </c>
      <c r="I3087" t="str">
        <f t="shared" si="48"/>
        <v>Normal Usage</v>
      </c>
    </row>
    <row r="3088" spans="1:9" x14ac:dyDescent="0.3">
      <c r="A3088">
        <v>13087</v>
      </c>
      <c r="B3088">
        <v>291</v>
      </c>
      <c r="C3088" s="2">
        <v>45195</v>
      </c>
      <c r="D3088" s="2" t="str">
        <f>TEXT(Table3[[#This Row],[usage_date]],"mmmm")</f>
        <v>September</v>
      </c>
      <c r="E3088" s="9">
        <f>YEAR(Table3[[#This Row],[usage_date]])</f>
        <v>2023</v>
      </c>
      <c r="F3088" s="14">
        <v>2.78</v>
      </c>
      <c r="G3088">
        <v>22</v>
      </c>
      <c r="H3088" t="s">
        <v>13</v>
      </c>
      <c r="I3088" t="str">
        <f t="shared" si="48"/>
        <v>Normal Usage</v>
      </c>
    </row>
    <row r="3089" spans="1:9" x14ac:dyDescent="0.3">
      <c r="A3089">
        <v>13088</v>
      </c>
      <c r="B3089">
        <v>452</v>
      </c>
      <c r="C3089" s="2">
        <v>44797</v>
      </c>
      <c r="D3089" s="2" t="str">
        <f>TEXT(Table3[[#This Row],[usage_date]],"mmmm")</f>
        <v>August</v>
      </c>
      <c r="E3089" s="9">
        <f>YEAR(Table3[[#This Row],[usage_date]])</f>
        <v>2022</v>
      </c>
      <c r="F3089" s="14">
        <v>1.58</v>
      </c>
      <c r="G3089">
        <v>101</v>
      </c>
      <c r="H3089" t="s">
        <v>13</v>
      </c>
      <c r="I3089" t="str">
        <f t="shared" si="48"/>
        <v>Normal Usage</v>
      </c>
    </row>
    <row r="3090" spans="1:9" x14ac:dyDescent="0.3">
      <c r="A3090">
        <v>13089</v>
      </c>
      <c r="B3090">
        <v>69</v>
      </c>
      <c r="C3090" s="2">
        <v>44988</v>
      </c>
      <c r="D3090" s="2" t="str">
        <f>TEXT(Table3[[#This Row],[usage_date]],"mmmm")</f>
        <v>March</v>
      </c>
      <c r="E3090" s="9">
        <f>YEAR(Table3[[#This Row],[usage_date]])</f>
        <v>2023</v>
      </c>
      <c r="F3090" s="14">
        <v>1.06</v>
      </c>
      <c r="G3090">
        <v>161</v>
      </c>
      <c r="H3090" t="s">
        <v>12</v>
      </c>
      <c r="I3090" t="str">
        <f t="shared" si="48"/>
        <v>Normal Usage</v>
      </c>
    </row>
    <row r="3091" spans="1:9" x14ac:dyDescent="0.3">
      <c r="A3091">
        <v>13090</v>
      </c>
      <c r="B3091">
        <v>129</v>
      </c>
      <c r="C3091" s="2">
        <v>44677</v>
      </c>
      <c r="D3091" s="2" t="str">
        <f>TEXT(Table3[[#This Row],[usage_date]],"mmmm")</f>
        <v>April</v>
      </c>
      <c r="E3091" s="9">
        <f>YEAR(Table3[[#This Row],[usage_date]])</f>
        <v>2022</v>
      </c>
      <c r="F3091" s="14">
        <v>4.96</v>
      </c>
      <c r="G3091">
        <v>97</v>
      </c>
      <c r="H3091" t="s">
        <v>12</v>
      </c>
      <c r="I3091" t="str">
        <f t="shared" si="48"/>
        <v>Normal Usage</v>
      </c>
    </row>
    <row r="3092" spans="1:9" x14ac:dyDescent="0.3">
      <c r="A3092">
        <v>13091</v>
      </c>
      <c r="B3092">
        <v>196</v>
      </c>
      <c r="C3092" s="2">
        <v>44724</v>
      </c>
      <c r="D3092" s="2" t="str">
        <f>TEXT(Table3[[#This Row],[usage_date]],"mmmm")</f>
        <v>June</v>
      </c>
      <c r="E3092" s="9">
        <f>YEAR(Table3[[#This Row],[usage_date]])</f>
        <v>2022</v>
      </c>
      <c r="F3092" s="14">
        <v>4.8099999999999996</v>
      </c>
      <c r="G3092">
        <v>143</v>
      </c>
      <c r="H3092" t="s">
        <v>13</v>
      </c>
      <c r="I3092" t="str">
        <f t="shared" si="48"/>
        <v>Normal Usage</v>
      </c>
    </row>
    <row r="3093" spans="1:9" x14ac:dyDescent="0.3">
      <c r="A3093">
        <v>13092</v>
      </c>
      <c r="B3093">
        <v>140</v>
      </c>
      <c r="C3093" s="2">
        <v>44787</v>
      </c>
      <c r="D3093" s="2" t="str">
        <f>TEXT(Table3[[#This Row],[usage_date]],"mmmm")</f>
        <v>August</v>
      </c>
      <c r="E3093" s="9">
        <f>YEAR(Table3[[#This Row],[usage_date]])</f>
        <v>2022</v>
      </c>
      <c r="F3093" s="14">
        <v>0.06</v>
      </c>
      <c r="G3093">
        <v>103</v>
      </c>
      <c r="H3093" t="s">
        <v>12</v>
      </c>
      <c r="I3093" t="str">
        <f t="shared" si="48"/>
        <v>Normal Usage</v>
      </c>
    </row>
    <row r="3094" spans="1:9" x14ac:dyDescent="0.3">
      <c r="A3094">
        <v>13093</v>
      </c>
      <c r="B3094">
        <v>444</v>
      </c>
      <c r="C3094" s="2">
        <v>44791</v>
      </c>
      <c r="D3094" s="2" t="str">
        <f>TEXT(Table3[[#This Row],[usage_date]],"mmmm")</f>
        <v>August</v>
      </c>
      <c r="E3094" s="9">
        <f>YEAR(Table3[[#This Row],[usage_date]])</f>
        <v>2022</v>
      </c>
      <c r="F3094" s="14">
        <v>2.35</v>
      </c>
      <c r="G3094">
        <v>170</v>
      </c>
      <c r="H3094" t="s">
        <v>12</v>
      </c>
      <c r="I3094" t="str">
        <f t="shared" si="48"/>
        <v>Normal Usage</v>
      </c>
    </row>
    <row r="3095" spans="1:9" x14ac:dyDescent="0.3">
      <c r="A3095">
        <v>13094</v>
      </c>
      <c r="B3095">
        <v>283</v>
      </c>
      <c r="C3095" s="2">
        <v>44743</v>
      </c>
      <c r="D3095" s="2" t="str">
        <f>TEXT(Table3[[#This Row],[usage_date]],"mmmm")</f>
        <v>July</v>
      </c>
      <c r="E3095" s="9">
        <f>YEAR(Table3[[#This Row],[usage_date]])</f>
        <v>2022</v>
      </c>
      <c r="F3095" s="14">
        <v>1.1499999999999999</v>
      </c>
      <c r="G3095">
        <v>63</v>
      </c>
      <c r="H3095" t="s">
        <v>12</v>
      </c>
      <c r="I3095" t="str">
        <f t="shared" si="48"/>
        <v>Normal Usage</v>
      </c>
    </row>
    <row r="3096" spans="1:9" x14ac:dyDescent="0.3">
      <c r="A3096">
        <v>13095</v>
      </c>
      <c r="B3096">
        <v>312</v>
      </c>
      <c r="C3096" s="2">
        <v>44810</v>
      </c>
      <c r="D3096" s="2" t="str">
        <f>TEXT(Table3[[#This Row],[usage_date]],"mmmm")</f>
        <v>September</v>
      </c>
      <c r="E3096" s="9">
        <f>YEAR(Table3[[#This Row],[usage_date]])</f>
        <v>2022</v>
      </c>
      <c r="F3096" s="14">
        <v>1.34</v>
      </c>
      <c r="G3096">
        <v>243</v>
      </c>
      <c r="H3096" t="s">
        <v>12</v>
      </c>
      <c r="I3096" t="str">
        <f t="shared" si="48"/>
        <v>Normal Usage</v>
      </c>
    </row>
    <row r="3097" spans="1:9" x14ac:dyDescent="0.3">
      <c r="A3097">
        <v>13096</v>
      </c>
      <c r="B3097">
        <v>234</v>
      </c>
      <c r="C3097" s="2">
        <v>44879</v>
      </c>
      <c r="D3097" s="2" t="str">
        <f>TEXT(Table3[[#This Row],[usage_date]],"mmmm")</f>
        <v>November</v>
      </c>
      <c r="E3097" s="9">
        <f>YEAR(Table3[[#This Row],[usage_date]])</f>
        <v>2022</v>
      </c>
      <c r="F3097" s="14">
        <v>4.46</v>
      </c>
      <c r="G3097">
        <v>70</v>
      </c>
      <c r="H3097" t="s">
        <v>13</v>
      </c>
      <c r="I3097" t="str">
        <f t="shared" si="48"/>
        <v>Normal Usage</v>
      </c>
    </row>
    <row r="3098" spans="1:9" x14ac:dyDescent="0.3">
      <c r="A3098">
        <v>13097</v>
      </c>
      <c r="B3098">
        <v>23</v>
      </c>
      <c r="C3098" s="2">
        <v>44771</v>
      </c>
      <c r="D3098" s="2" t="str">
        <f>TEXT(Table3[[#This Row],[usage_date]],"mmmm")</f>
        <v>July</v>
      </c>
      <c r="E3098" s="9">
        <f>YEAR(Table3[[#This Row],[usage_date]])</f>
        <v>2022</v>
      </c>
      <c r="F3098" s="14">
        <v>0.93</v>
      </c>
      <c r="G3098">
        <v>273</v>
      </c>
      <c r="H3098" t="s">
        <v>13</v>
      </c>
      <c r="I3098" t="str">
        <f t="shared" si="48"/>
        <v>Normal Usage</v>
      </c>
    </row>
    <row r="3099" spans="1:9" x14ac:dyDescent="0.3">
      <c r="A3099">
        <v>13098</v>
      </c>
      <c r="B3099">
        <v>153</v>
      </c>
      <c r="C3099" s="2">
        <v>45217</v>
      </c>
      <c r="D3099" s="2" t="str">
        <f>TEXT(Table3[[#This Row],[usage_date]],"mmmm")</f>
        <v>October</v>
      </c>
      <c r="E3099" s="9">
        <f>YEAR(Table3[[#This Row],[usage_date]])</f>
        <v>2023</v>
      </c>
      <c r="F3099" s="14">
        <v>7.16</v>
      </c>
      <c r="G3099">
        <v>124</v>
      </c>
      <c r="H3099" t="s">
        <v>12</v>
      </c>
      <c r="I3099" t="str">
        <f t="shared" si="48"/>
        <v>High Usage</v>
      </c>
    </row>
    <row r="3100" spans="1:9" x14ac:dyDescent="0.3">
      <c r="A3100">
        <v>13099</v>
      </c>
      <c r="B3100">
        <v>277</v>
      </c>
      <c r="C3100" s="2">
        <v>44953</v>
      </c>
      <c r="D3100" s="2" t="str">
        <f>TEXT(Table3[[#This Row],[usage_date]],"mmmm")</f>
        <v>January</v>
      </c>
      <c r="E3100" s="9">
        <f>YEAR(Table3[[#This Row],[usage_date]])</f>
        <v>2023</v>
      </c>
      <c r="F3100" s="14">
        <v>0.5</v>
      </c>
      <c r="G3100">
        <v>106</v>
      </c>
      <c r="H3100" t="s">
        <v>13</v>
      </c>
      <c r="I3100" t="str">
        <f t="shared" si="48"/>
        <v>Normal Usage</v>
      </c>
    </row>
    <row r="3101" spans="1:9" x14ac:dyDescent="0.3">
      <c r="A3101">
        <v>13100</v>
      </c>
      <c r="B3101">
        <v>61</v>
      </c>
      <c r="C3101" s="2">
        <v>45418</v>
      </c>
      <c r="D3101" s="2" t="str">
        <f>TEXT(Table3[[#This Row],[usage_date]],"mmmm")</f>
        <v>May</v>
      </c>
      <c r="E3101" s="9">
        <f>YEAR(Table3[[#This Row],[usage_date]])</f>
        <v>2024</v>
      </c>
      <c r="F3101" s="14">
        <v>2.72</v>
      </c>
      <c r="G3101">
        <v>147</v>
      </c>
      <c r="H3101" t="s">
        <v>12</v>
      </c>
      <c r="I3101" t="str">
        <f t="shared" si="48"/>
        <v>Normal Usage</v>
      </c>
    </row>
    <row r="3102" spans="1:9" x14ac:dyDescent="0.3">
      <c r="A3102">
        <v>13101</v>
      </c>
      <c r="B3102">
        <v>319</v>
      </c>
      <c r="C3102" s="2">
        <v>44657</v>
      </c>
      <c r="D3102" s="2" t="str">
        <f>TEXT(Table3[[#This Row],[usage_date]],"mmmm")</f>
        <v>April</v>
      </c>
      <c r="E3102" s="9">
        <f>YEAR(Table3[[#This Row],[usage_date]])</f>
        <v>2022</v>
      </c>
      <c r="F3102" s="14">
        <v>2.79</v>
      </c>
      <c r="G3102">
        <v>191</v>
      </c>
      <c r="H3102" t="s">
        <v>13</v>
      </c>
      <c r="I3102" t="str">
        <f t="shared" si="48"/>
        <v>Normal Usage</v>
      </c>
    </row>
    <row r="3103" spans="1:9" x14ac:dyDescent="0.3">
      <c r="A3103">
        <v>13102</v>
      </c>
      <c r="B3103">
        <v>378</v>
      </c>
      <c r="C3103" s="2">
        <v>45455</v>
      </c>
      <c r="D3103" s="2" t="str">
        <f>TEXT(Table3[[#This Row],[usage_date]],"mmmm")</f>
        <v>June</v>
      </c>
      <c r="E3103" s="9">
        <f>YEAR(Table3[[#This Row],[usage_date]])</f>
        <v>2024</v>
      </c>
      <c r="F3103" s="14">
        <v>0.73</v>
      </c>
      <c r="G3103">
        <v>225</v>
      </c>
      <c r="H3103" t="s">
        <v>12</v>
      </c>
      <c r="I3103" t="str">
        <f t="shared" si="48"/>
        <v>Normal Usage</v>
      </c>
    </row>
    <row r="3104" spans="1:9" x14ac:dyDescent="0.3">
      <c r="A3104">
        <v>13103</v>
      </c>
      <c r="B3104">
        <v>52</v>
      </c>
      <c r="C3104" s="2">
        <v>45419</v>
      </c>
      <c r="D3104" s="2" t="str">
        <f>TEXT(Table3[[#This Row],[usage_date]],"mmmm")</f>
        <v>May</v>
      </c>
      <c r="E3104" s="9">
        <f>YEAR(Table3[[#This Row],[usage_date]])</f>
        <v>2024</v>
      </c>
      <c r="F3104" s="14">
        <v>0.98</v>
      </c>
      <c r="G3104">
        <v>241</v>
      </c>
      <c r="H3104" t="s">
        <v>13</v>
      </c>
      <c r="I3104" t="str">
        <f t="shared" si="48"/>
        <v>Normal Usage</v>
      </c>
    </row>
    <row r="3105" spans="1:9" x14ac:dyDescent="0.3">
      <c r="A3105">
        <v>13104</v>
      </c>
      <c r="B3105">
        <v>344</v>
      </c>
      <c r="C3105" s="2">
        <v>45317</v>
      </c>
      <c r="D3105" s="2" t="str">
        <f>TEXT(Table3[[#This Row],[usage_date]],"mmmm")</f>
        <v>January</v>
      </c>
      <c r="E3105" s="9">
        <f>YEAR(Table3[[#This Row],[usage_date]])</f>
        <v>2024</v>
      </c>
      <c r="F3105" s="14">
        <v>4.5</v>
      </c>
      <c r="G3105">
        <v>283</v>
      </c>
      <c r="H3105" t="s">
        <v>12</v>
      </c>
      <c r="I3105" t="str">
        <f t="shared" si="48"/>
        <v>Normal Usage</v>
      </c>
    </row>
    <row r="3106" spans="1:9" x14ac:dyDescent="0.3">
      <c r="A3106">
        <v>13105</v>
      </c>
      <c r="B3106">
        <v>153</v>
      </c>
      <c r="C3106" s="2">
        <v>44647</v>
      </c>
      <c r="D3106" s="2" t="str">
        <f>TEXT(Table3[[#This Row],[usage_date]],"mmmm")</f>
        <v>March</v>
      </c>
      <c r="E3106" s="9">
        <f>YEAR(Table3[[#This Row],[usage_date]])</f>
        <v>2022</v>
      </c>
      <c r="F3106" s="14">
        <v>3.59</v>
      </c>
      <c r="G3106">
        <v>162</v>
      </c>
      <c r="H3106" t="s">
        <v>12</v>
      </c>
      <c r="I3106" t="str">
        <f t="shared" si="48"/>
        <v>Normal Usage</v>
      </c>
    </row>
    <row r="3107" spans="1:9" x14ac:dyDescent="0.3">
      <c r="A3107">
        <v>13106</v>
      </c>
      <c r="B3107">
        <v>237</v>
      </c>
      <c r="C3107" s="2">
        <v>44976</v>
      </c>
      <c r="D3107" s="2" t="str">
        <f>TEXT(Table3[[#This Row],[usage_date]],"mmmm")</f>
        <v>February</v>
      </c>
      <c r="E3107" s="9">
        <f>YEAR(Table3[[#This Row],[usage_date]])</f>
        <v>2023</v>
      </c>
      <c r="F3107" s="14">
        <v>1</v>
      </c>
      <c r="G3107">
        <v>7</v>
      </c>
      <c r="H3107" t="s">
        <v>13</v>
      </c>
      <c r="I3107" t="str">
        <f t="shared" si="48"/>
        <v>Normal Usage</v>
      </c>
    </row>
    <row r="3108" spans="1:9" x14ac:dyDescent="0.3">
      <c r="A3108">
        <v>13107</v>
      </c>
      <c r="B3108">
        <v>311</v>
      </c>
      <c r="C3108" s="2">
        <v>44955</v>
      </c>
      <c r="D3108" s="2" t="str">
        <f>TEXT(Table3[[#This Row],[usage_date]],"mmmm")</f>
        <v>January</v>
      </c>
      <c r="E3108" s="9">
        <f>YEAR(Table3[[#This Row],[usage_date]])</f>
        <v>2023</v>
      </c>
      <c r="F3108" s="14">
        <v>1.91</v>
      </c>
      <c r="G3108">
        <v>151</v>
      </c>
      <c r="H3108" t="s">
        <v>12</v>
      </c>
      <c r="I3108" t="str">
        <f t="shared" si="48"/>
        <v>Normal Usage</v>
      </c>
    </row>
    <row r="3109" spans="1:9" x14ac:dyDescent="0.3">
      <c r="A3109">
        <v>13108</v>
      </c>
      <c r="B3109">
        <v>302</v>
      </c>
      <c r="C3109" s="2">
        <v>45257</v>
      </c>
      <c r="D3109" s="2" t="str">
        <f>TEXT(Table3[[#This Row],[usage_date]],"mmmm")</f>
        <v>November</v>
      </c>
      <c r="E3109" s="9">
        <f>YEAR(Table3[[#This Row],[usage_date]])</f>
        <v>2023</v>
      </c>
      <c r="F3109" s="14">
        <v>0.16</v>
      </c>
      <c r="G3109">
        <v>94</v>
      </c>
      <c r="H3109" t="s">
        <v>13</v>
      </c>
      <c r="I3109" t="str">
        <f t="shared" si="48"/>
        <v>Normal Usage</v>
      </c>
    </row>
    <row r="3110" spans="1:9" x14ac:dyDescent="0.3">
      <c r="A3110">
        <v>13109</v>
      </c>
      <c r="B3110">
        <v>32</v>
      </c>
      <c r="C3110" s="2">
        <v>45194</v>
      </c>
      <c r="D3110" s="2" t="str">
        <f>TEXT(Table3[[#This Row],[usage_date]],"mmmm")</f>
        <v>September</v>
      </c>
      <c r="E3110" s="9">
        <f>YEAR(Table3[[#This Row],[usage_date]])</f>
        <v>2023</v>
      </c>
      <c r="F3110" s="14">
        <v>0.59</v>
      </c>
      <c r="G3110">
        <v>213</v>
      </c>
      <c r="H3110" t="s">
        <v>12</v>
      </c>
      <c r="I3110" t="str">
        <f t="shared" si="48"/>
        <v>Normal Usage</v>
      </c>
    </row>
    <row r="3111" spans="1:9" x14ac:dyDescent="0.3">
      <c r="A3111">
        <v>13110</v>
      </c>
      <c r="B3111">
        <v>55</v>
      </c>
      <c r="C3111" s="2">
        <v>45405</v>
      </c>
      <c r="D3111" s="2" t="str">
        <f>TEXT(Table3[[#This Row],[usage_date]],"mmmm")</f>
        <v>April</v>
      </c>
      <c r="E3111" s="9">
        <f>YEAR(Table3[[#This Row],[usage_date]])</f>
        <v>2024</v>
      </c>
      <c r="F3111" s="14">
        <v>1.66</v>
      </c>
      <c r="G3111">
        <v>63</v>
      </c>
      <c r="H3111" t="s">
        <v>12</v>
      </c>
      <c r="I3111" t="str">
        <f t="shared" si="48"/>
        <v>Normal Usage</v>
      </c>
    </row>
    <row r="3112" spans="1:9" x14ac:dyDescent="0.3">
      <c r="A3112">
        <v>13111</v>
      </c>
      <c r="B3112">
        <v>352</v>
      </c>
      <c r="C3112" s="2">
        <v>45062</v>
      </c>
      <c r="D3112" s="2" t="str">
        <f>TEXT(Table3[[#This Row],[usage_date]],"mmmm")</f>
        <v>May</v>
      </c>
      <c r="E3112" s="9">
        <f>YEAR(Table3[[#This Row],[usage_date]])</f>
        <v>2023</v>
      </c>
      <c r="F3112" s="14">
        <v>0.22</v>
      </c>
      <c r="G3112">
        <v>64</v>
      </c>
      <c r="H3112" t="s">
        <v>12</v>
      </c>
      <c r="I3112" t="str">
        <f t="shared" si="48"/>
        <v>Normal Usage</v>
      </c>
    </row>
    <row r="3113" spans="1:9" x14ac:dyDescent="0.3">
      <c r="A3113">
        <v>13112</v>
      </c>
      <c r="B3113">
        <v>389</v>
      </c>
      <c r="C3113" s="2">
        <v>45165</v>
      </c>
      <c r="D3113" s="2" t="str">
        <f>TEXT(Table3[[#This Row],[usage_date]],"mmmm")</f>
        <v>August</v>
      </c>
      <c r="E3113" s="9">
        <f>YEAR(Table3[[#This Row],[usage_date]])</f>
        <v>2023</v>
      </c>
      <c r="F3113" s="14">
        <v>4.63</v>
      </c>
      <c r="G3113">
        <v>269</v>
      </c>
      <c r="H3113" t="s">
        <v>12</v>
      </c>
      <c r="I3113" t="str">
        <f t="shared" si="48"/>
        <v>Normal Usage</v>
      </c>
    </row>
    <row r="3114" spans="1:9" x14ac:dyDescent="0.3">
      <c r="A3114">
        <v>13113</v>
      </c>
      <c r="B3114">
        <v>36</v>
      </c>
      <c r="C3114" s="2">
        <v>45143</v>
      </c>
      <c r="D3114" s="2" t="str">
        <f>TEXT(Table3[[#This Row],[usage_date]],"mmmm")</f>
        <v>August</v>
      </c>
      <c r="E3114" s="9">
        <f>YEAR(Table3[[#This Row],[usage_date]])</f>
        <v>2023</v>
      </c>
      <c r="F3114" s="14">
        <v>3.16</v>
      </c>
      <c r="G3114">
        <v>24</v>
      </c>
      <c r="H3114" t="s">
        <v>12</v>
      </c>
      <c r="I3114" t="str">
        <f t="shared" si="48"/>
        <v>Normal Usage</v>
      </c>
    </row>
    <row r="3115" spans="1:9" x14ac:dyDescent="0.3">
      <c r="A3115">
        <v>13114</v>
      </c>
      <c r="B3115">
        <v>110</v>
      </c>
      <c r="C3115" s="2">
        <v>44694</v>
      </c>
      <c r="D3115" s="2" t="str">
        <f>TEXT(Table3[[#This Row],[usage_date]],"mmmm")</f>
        <v>May</v>
      </c>
      <c r="E3115" s="9">
        <f>YEAR(Table3[[#This Row],[usage_date]])</f>
        <v>2022</v>
      </c>
      <c r="F3115" s="14">
        <v>7.19</v>
      </c>
      <c r="G3115">
        <v>99</v>
      </c>
      <c r="H3115" t="s">
        <v>13</v>
      </c>
      <c r="I3115" t="str">
        <f t="shared" si="48"/>
        <v>High Usage</v>
      </c>
    </row>
    <row r="3116" spans="1:9" x14ac:dyDescent="0.3">
      <c r="A3116">
        <v>13115</v>
      </c>
      <c r="B3116">
        <v>490</v>
      </c>
      <c r="C3116" s="2">
        <v>45352</v>
      </c>
      <c r="D3116" s="2" t="str">
        <f>TEXT(Table3[[#This Row],[usage_date]],"mmmm")</f>
        <v>March</v>
      </c>
      <c r="E3116" s="9">
        <f>YEAR(Table3[[#This Row],[usage_date]])</f>
        <v>2024</v>
      </c>
      <c r="F3116" s="14">
        <v>2.96</v>
      </c>
      <c r="G3116">
        <v>104</v>
      </c>
      <c r="H3116" t="s">
        <v>12</v>
      </c>
      <c r="I3116" t="str">
        <f t="shared" si="48"/>
        <v>Normal Usage</v>
      </c>
    </row>
    <row r="3117" spans="1:9" x14ac:dyDescent="0.3">
      <c r="A3117">
        <v>13116</v>
      </c>
      <c r="B3117">
        <v>177</v>
      </c>
      <c r="C3117" s="2">
        <v>45210</v>
      </c>
      <c r="D3117" s="2" t="str">
        <f>TEXT(Table3[[#This Row],[usage_date]],"mmmm")</f>
        <v>October</v>
      </c>
      <c r="E3117" s="9">
        <f>YEAR(Table3[[#This Row],[usage_date]])</f>
        <v>2023</v>
      </c>
      <c r="F3117" s="14">
        <v>7.05</v>
      </c>
      <c r="G3117">
        <v>130</v>
      </c>
      <c r="H3117" t="s">
        <v>13</v>
      </c>
      <c r="I3117" t="str">
        <f t="shared" si="48"/>
        <v>High Usage</v>
      </c>
    </row>
    <row r="3118" spans="1:9" x14ac:dyDescent="0.3">
      <c r="A3118">
        <v>13117</v>
      </c>
      <c r="B3118">
        <v>362</v>
      </c>
      <c r="C3118" s="2">
        <v>44875</v>
      </c>
      <c r="D3118" s="2" t="str">
        <f>TEXT(Table3[[#This Row],[usage_date]],"mmmm")</f>
        <v>November</v>
      </c>
      <c r="E3118" s="9">
        <f>YEAR(Table3[[#This Row],[usage_date]])</f>
        <v>2022</v>
      </c>
      <c r="F3118" s="14">
        <v>2.02</v>
      </c>
      <c r="G3118">
        <v>18</v>
      </c>
      <c r="H3118" t="s">
        <v>12</v>
      </c>
      <c r="I3118" t="str">
        <f t="shared" si="48"/>
        <v>Normal Usage</v>
      </c>
    </row>
    <row r="3119" spans="1:9" x14ac:dyDescent="0.3">
      <c r="A3119">
        <v>13118</v>
      </c>
      <c r="B3119">
        <v>314</v>
      </c>
      <c r="C3119" s="2">
        <v>45260</v>
      </c>
      <c r="D3119" s="2" t="str">
        <f>TEXT(Table3[[#This Row],[usage_date]],"mmmm")</f>
        <v>November</v>
      </c>
      <c r="E3119" s="9">
        <f>YEAR(Table3[[#This Row],[usage_date]])</f>
        <v>2023</v>
      </c>
      <c r="F3119" s="14">
        <v>2.29</v>
      </c>
      <c r="G3119">
        <v>224</v>
      </c>
      <c r="H3119" t="s">
        <v>12</v>
      </c>
      <c r="I3119" t="str">
        <f t="shared" si="48"/>
        <v>Normal Usage</v>
      </c>
    </row>
    <row r="3120" spans="1:9" x14ac:dyDescent="0.3">
      <c r="A3120">
        <v>13119</v>
      </c>
      <c r="B3120">
        <v>295</v>
      </c>
      <c r="C3120" s="2">
        <v>44782</v>
      </c>
      <c r="D3120" s="2" t="str">
        <f>TEXT(Table3[[#This Row],[usage_date]],"mmmm")</f>
        <v>August</v>
      </c>
      <c r="E3120" s="9">
        <f>YEAR(Table3[[#This Row],[usage_date]])</f>
        <v>2022</v>
      </c>
      <c r="F3120" s="14">
        <v>9.43</v>
      </c>
      <c r="G3120">
        <v>105</v>
      </c>
      <c r="H3120" t="s">
        <v>12</v>
      </c>
      <c r="I3120" t="str">
        <f t="shared" si="48"/>
        <v>High Usage</v>
      </c>
    </row>
    <row r="3121" spans="1:9" x14ac:dyDescent="0.3">
      <c r="A3121">
        <v>13120</v>
      </c>
      <c r="B3121">
        <v>336</v>
      </c>
      <c r="C3121" s="2">
        <v>44999</v>
      </c>
      <c r="D3121" s="2" t="str">
        <f>TEXT(Table3[[#This Row],[usage_date]],"mmmm")</f>
        <v>March</v>
      </c>
      <c r="E3121" s="9">
        <f>YEAR(Table3[[#This Row],[usage_date]])</f>
        <v>2023</v>
      </c>
      <c r="F3121" s="14">
        <v>2.57</v>
      </c>
      <c r="G3121">
        <v>53</v>
      </c>
      <c r="H3121" t="s">
        <v>12</v>
      </c>
      <c r="I3121" t="str">
        <f t="shared" si="48"/>
        <v>Normal Usage</v>
      </c>
    </row>
    <row r="3122" spans="1:9" x14ac:dyDescent="0.3">
      <c r="A3122">
        <v>13121</v>
      </c>
      <c r="B3122">
        <v>97</v>
      </c>
      <c r="C3122" s="2">
        <v>44607</v>
      </c>
      <c r="D3122" s="2" t="str">
        <f>TEXT(Table3[[#This Row],[usage_date]],"mmmm")</f>
        <v>February</v>
      </c>
      <c r="E3122" s="9">
        <f>YEAR(Table3[[#This Row],[usage_date]])</f>
        <v>2022</v>
      </c>
      <c r="F3122" s="14">
        <v>0.08</v>
      </c>
      <c r="G3122">
        <v>225</v>
      </c>
      <c r="H3122" t="s">
        <v>13</v>
      </c>
      <c r="I3122" t="str">
        <f t="shared" si="48"/>
        <v>Normal Usage</v>
      </c>
    </row>
    <row r="3123" spans="1:9" x14ac:dyDescent="0.3">
      <c r="A3123">
        <v>13122</v>
      </c>
      <c r="B3123">
        <v>369</v>
      </c>
      <c r="C3123" s="2">
        <v>45351</v>
      </c>
      <c r="D3123" s="2" t="str">
        <f>TEXT(Table3[[#This Row],[usage_date]],"mmmm")</f>
        <v>February</v>
      </c>
      <c r="E3123" s="9">
        <f>YEAR(Table3[[#This Row],[usage_date]])</f>
        <v>2024</v>
      </c>
      <c r="F3123" s="14">
        <v>3.22</v>
      </c>
      <c r="G3123">
        <v>14</v>
      </c>
      <c r="H3123" t="s">
        <v>12</v>
      </c>
      <c r="I3123" t="str">
        <f t="shared" si="48"/>
        <v>Normal Usage</v>
      </c>
    </row>
    <row r="3124" spans="1:9" x14ac:dyDescent="0.3">
      <c r="A3124">
        <v>13123</v>
      </c>
      <c r="B3124">
        <v>213</v>
      </c>
      <c r="C3124" s="2">
        <v>44753</v>
      </c>
      <c r="D3124" s="2" t="str">
        <f>TEXT(Table3[[#This Row],[usage_date]],"mmmm")</f>
        <v>July</v>
      </c>
      <c r="E3124" s="9">
        <f>YEAR(Table3[[#This Row],[usage_date]])</f>
        <v>2022</v>
      </c>
      <c r="F3124" s="14">
        <v>5.9</v>
      </c>
      <c r="G3124">
        <v>47</v>
      </c>
      <c r="H3124" t="s">
        <v>12</v>
      </c>
      <c r="I3124" t="str">
        <f t="shared" si="48"/>
        <v>Normal Usage</v>
      </c>
    </row>
    <row r="3125" spans="1:9" x14ac:dyDescent="0.3">
      <c r="A3125">
        <v>13124</v>
      </c>
      <c r="B3125">
        <v>317</v>
      </c>
      <c r="C3125" s="2">
        <v>45081</v>
      </c>
      <c r="D3125" s="2" t="str">
        <f>TEXT(Table3[[#This Row],[usage_date]],"mmmm")</f>
        <v>June</v>
      </c>
      <c r="E3125" s="9">
        <f>YEAR(Table3[[#This Row],[usage_date]])</f>
        <v>2023</v>
      </c>
      <c r="F3125" s="14">
        <v>3.97</v>
      </c>
      <c r="G3125">
        <v>138</v>
      </c>
      <c r="H3125" t="s">
        <v>12</v>
      </c>
      <c r="I3125" t="str">
        <f t="shared" si="48"/>
        <v>Normal Usage</v>
      </c>
    </row>
    <row r="3126" spans="1:9" x14ac:dyDescent="0.3">
      <c r="A3126">
        <v>13125</v>
      </c>
      <c r="B3126">
        <v>137</v>
      </c>
      <c r="C3126" s="2">
        <v>44940</v>
      </c>
      <c r="D3126" s="2" t="str">
        <f>TEXT(Table3[[#This Row],[usage_date]],"mmmm")</f>
        <v>January</v>
      </c>
      <c r="E3126" s="9">
        <f>YEAR(Table3[[#This Row],[usage_date]])</f>
        <v>2023</v>
      </c>
      <c r="F3126" s="14">
        <v>2.19</v>
      </c>
      <c r="G3126">
        <v>33</v>
      </c>
      <c r="H3126" t="s">
        <v>12</v>
      </c>
      <c r="I3126" t="str">
        <f t="shared" si="48"/>
        <v>Normal Usage</v>
      </c>
    </row>
    <row r="3127" spans="1:9" x14ac:dyDescent="0.3">
      <c r="A3127">
        <v>13126</v>
      </c>
      <c r="B3127">
        <v>6</v>
      </c>
      <c r="C3127" s="2">
        <v>45349</v>
      </c>
      <c r="D3127" s="2" t="str">
        <f>TEXT(Table3[[#This Row],[usage_date]],"mmmm")</f>
        <v>February</v>
      </c>
      <c r="E3127" s="9">
        <f>YEAR(Table3[[#This Row],[usage_date]])</f>
        <v>2024</v>
      </c>
      <c r="F3127" s="14">
        <v>2.78</v>
      </c>
      <c r="G3127">
        <v>209</v>
      </c>
      <c r="H3127" t="s">
        <v>12</v>
      </c>
      <c r="I3127" t="str">
        <f t="shared" si="48"/>
        <v>Normal Usage</v>
      </c>
    </row>
    <row r="3128" spans="1:9" x14ac:dyDescent="0.3">
      <c r="A3128">
        <v>13127</v>
      </c>
      <c r="B3128">
        <v>499</v>
      </c>
      <c r="C3128" s="2">
        <v>45252</v>
      </c>
      <c r="D3128" s="2" t="str">
        <f>TEXT(Table3[[#This Row],[usage_date]],"mmmm")</f>
        <v>November</v>
      </c>
      <c r="E3128" s="9">
        <f>YEAR(Table3[[#This Row],[usage_date]])</f>
        <v>2023</v>
      </c>
      <c r="F3128" s="14">
        <v>11.56</v>
      </c>
      <c r="G3128">
        <v>18</v>
      </c>
      <c r="H3128" t="s">
        <v>12</v>
      </c>
      <c r="I3128" t="str">
        <f t="shared" si="48"/>
        <v>High Usage</v>
      </c>
    </row>
    <row r="3129" spans="1:9" x14ac:dyDescent="0.3">
      <c r="A3129">
        <v>13128</v>
      </c>
      <c r="B3129">
        <v>109</v>
      </c>
      <c r="C3129" s="2">
        <v>44895</v>
      </c>
      <c r="D3129" s="2" t="str">
        <f>TEXT(Table3[[#This Row],[usage_date]],"mmmm")</f>
        <v>November</v>
      </c>
      <c r="E3129" s="9">
        <f>YEAR(Table3[[#This Row],[usage_date]])</f>
        <v>2022</v>
      </c>
      <c r="F3129" s="14">
        <v>0.24</v>
      </c>
      <c r="G3129">
        <v>195</v>
      </c>
      <c r="H3129" t="s">
        <v>12</v>
      </c>
      <c r="I3129" t="str">
        <f t="shared" si="48"/>
        <v>Normal Usage</v>
      </c>
    </row>
    <row r="3130" spans="1:9" x14ac:dyDescent="0.3">
      <c r="A3130">
        <v>13129</v>
      </c>
      <c r="B3130">
        <v>35</v>
      </c>
      <c r="C3130" s="2">
        <v>44600</v>
      </c>
      <c r="D3130" s="2" t="str">
        <f>TEXT(Table3[[#This Row],[usage_date]],"mmmm")</f>
        <v>February</v>
      </c>
      <c r="E3130" s="9">
        <f>YEAR(Table3[[#This Row],[usage_date]])</f>
        <v>2022</v>
      </c>
      <c r="F3130" s="14">
        <v>2.75</v>
      </c>
      <c r="G3130">
        <v>114</v>
      </c>
      <c r="H3130" t="s">
        <v>13</v>
      </c>
      <c r="I3130" t="str">
        <f t="shared" si="48"/>
        <v>Normal Usage</v>
      </c>
    </row>
    <row r="3131" spans="1:9" x14ac:dyDescent="0.3">
      <c r="A3131">
        <v>13130</v>
      </c>
      <c r="B3131">
        <v>39</v>
      </c>
      <c r="C3131" s="2">
        <v>44854</v>
      </c>
      <c r="D3131" s="2" t="str">
        <f>TEXT(Table3[[#This Row],[usage_date]],"mmmm")</f>
        <v>October</v>
      </c>
      <c r="E3131" s="9">
        <f>YEAR(Table3[[#This Row],[usage_date]])</f>
        <v>2022</v>
      </c>
      <c r="F3131" s="14">
        <v>0.83</v>
      </c>
      <c r="G3131">
        <v>74</v>
      </c>
      <c r="H3131" t="s">
        <v>13</v>
      </c>
      <c r="I3131" t="str">
        <f t="shared" si="48"/>
        <v>Normal Usage</v>
      </c>
    </row>
    <row r="3132" spans="1:9" x14ac:dyDescent="0.3">
      <c r="A3132">
        <v>13131</v>
      </c>
      <c r="B3132">
        <v>150</v>
      </c>
      <c r="C3132" s="2">
        <v>45251</v>
      </c>
      <c r="D3132" s="2" t="str">
        <f>TEXT(Table3[[#This Row],[usage_date]],"mmmm")</f>
        <v>November</v>
      </c>
      <c r="E3132" s="9">
        <f>YEAR(Table3[[#This Row],[usage_date]])</f>
        <v>2023</v>
      </c>
      <c r="F3132" s="14">
        <v>2.5499999999999998</v>
      </c>
      <c r="G3132">
        <v>149</v>
      </c>
      <c r="H3132" t="s">
        <v>12</v>
      </c>
      <c r="I3132" t="str">
        <f t="shared" si="48"/>
        <v>Normal Usage</v>
      </c>
    </row>
    <row r="3133" spans="1:9" x14ac:dyDescent="0.3">
      <c r="A3133">
        <v>13132</v>
      </c>
      <c r="B3133">
        <v>425</v>
      </c>
      <c r="C3133" s="2">
        <v>44723</v>
      </c>
      <c r="D3133" s="2" t="str">
        <f>TEXT(Table3[[#This Row],[usage_date]],"mmmm")</f>
        <v>June</v>
      </c>
      <c r="E3133" s="9">
        <f>YEAR(Table3[[#This Row],[usage_date]])</f>
        <v>2022</v>
      </c>
      <c r="F3133" s="14">
        <v>2.34</v>
      </c>
      <c r="G3133">
        <v>35</v>
      </c>
      <c r="H3133" t="s">
        <v>12</v>
      </c>
      <c r="I3133" t="str">
        <f t="shared" si="48"/>
        <v>Normal Usage</v>
      </c>
    </row>
    <row r="3134" spans="1:9" x14ac:dyDescent="0.3">
      <c r="A3134">
        <v>13133</v>
      </c>
      <c r="B3134">
        <v>118</v>
      </c>
      <c r="C3134" s="2">
        <v>44892</v>
      </c>
      <c r="D3134" s="2" t="str">
        <f>TEXT(Table3[[#This Row],[usage_date]],"mmmm")</f>
        <v>November</v>
      </c>
      <c r="E3134" s="9">
        <f>YEAR(Table3[[#This Row],[usage_date]])</f>
        <v>2022</v>
      </c>
      <c r="F3134" s="14">
        <v>0.42</v>
      </c>
      <c r="G3134">
        <v>241</v>
      </c>
      <c r="H3134" t="s">
        <v>13</v>
      </c>
      <c r="I3134" t="str">
        <f t="shared" si="48"/>
        <v>Normal Usage</v>
      </c>
    </row>
    <row r="3135" spans="1:9" x14ac:dyDescent="0.3">
      <c r="A3135">
        <v>13134</v>
      </c>
      <c r="B3135">
        <v>261</v>
      </c>
      <c r="C3135" s="2">
        <v>45447</v>
      </c>
      <c r="D3135" s="2" t="str">
        <f>TEXT(Table3[[#This Row],[usage_date]],"mmmm")</f>
        <v>June</v>
      </c>
      <c r="E3135" s="9">
        <f>YEAR(Table3[[#This Row],[usage_date]])</f>
        <v>2024</v>
      </c>
      <c r="F3135" s="14">
        <v>0.57999999999999996</v>
      </c>
      <c r="G3135">
        <v>150</v>
      </c>
      <c r="H3135" t="s">
        <v>13</v>
      </c>
      <c r="I3135" t="str">
        <f t="shared" si="48"/>
        <v>Normal Usage</v>
      </c>
    </row>
    <row r="3136" spans="1:9" x14ac:dyDescent="0.3">
      <c r="A3136">
        <v>13135</v>
      </c>
      <c r="B3136">
        <v>426</v>
      </c>
      <c r="C3136" s="2">
        <v>44665</v>
      </c>
      <c r="D3136" s="2" t="str">
        <f>TEXT(Table3[[#This Row],[usage_date]],"mmmm")</f>
        <v>April</v>
      </c>
      <c r="E3136" s="9">
        <f>YEAR(Table3[[#This Row],[usage_date]])</f>
        <v>2022</v>
      </c>
      <c r="F3136" s="14">
        <v>2.4300000000000002</v>
      </c>
      <c r="G3136">
        <v>62</v>
      </c>
      <c r="H3136" t="s">
        <v>13</v>
      </c>
      <c r="I3136" t="str">
        <f t="shared" si="48"/>
        <v>Normal Usage</v>
      </c>
    </row>
    <row r="3137" spans="1:9" x14ac:dyDescent="0.3">
      <c r="A3137">
        <v>13136</v>
      </c>
      <c r="B3137">
        <v>87</v>
      </c>
      <c r="C3137" s="2">
        <v>44722</v>
      </c>
      <c r="D3137" s="2" t="str">
        <f>TEXT(Table3[[#This Row],[usage_date]],"mmmm")</f>
        <v>June</v>
      </c>
      <c r="E3137" s="9">
        <f>YEAR(Table3[[#This Row],[usage_date]])</f>
        <v>2022</v>
      </c>
      <c r="F3137" s="14">
        <v>0.34</v>
      </c>
      <c r="G3137">
        <v>153</v>
      </c>
      <c r="H3137" t="s">
        <v>13</v>
      </c>
      <c r="I3137" t="str">
        <f t="shared" si="48"/>
        <v>Normal Usage</v>
      </c>
    </row>
    <row r="3138" spans="1:9" x14ac:dyDescent="0.3">
      <c r="A3138">
        <v>13137</v>
      </c>
      <c r="B3138">
        <v>465</v>
      </c>
      <c r="C3138" s="2">
        <v>45360</v>
      </c>
      <c r="D3138" s="2" t="str">
        <f>TEXT(Table3[[#This Row],[usage_date]],"mmmm")</f>
        <v>March</v>
      </c>
      <c r="E3138" s="9">
        <f>YEAR(Table3[[#This Row],[usage_date]])</f>
        <v>2024</v>
      </c>
      <c r="F3138" s="14">
        <v>0.77</v>
      </c>
      <c r="G3138">
        <v>187</v>
      </c>
      <c r="H3138" t="s">
        <v>12</v>
      </c>
      <c r="I3138" t="str">
        <f t="shared" ref="I3138:I3201" si="49">IF(F3138&gt;6,"High Usage","Normal Usage")</f>
        <v>Normal Usage</v>
      </c>
    </row>
    <row r="3139" spans="1:9" x14ac:dyDescent="0.3">
      <c r="A3139">
        <v>13138</v>
      </c>
      <c r="B3139">
        <v>76</v>
      </c>
      <c r="C3139" s="2">
        <v>45196</v>
      </c>
      <c r="D3139" s="2" t="str">
        <f>TEXT(Table3[[#This Row],[usage_date]],"mmmm")</f>
        <v>September</v>
      </c>
      <c r="E3139" s="9">
        <f>YEAR(Table3[[#This Row],[usage_date]])</f>
        <v>2023</v>
      </c>
      <c r="F3139" s="14">
        <v>4.51</v>
      </c>
      <c r="G3139">
        <v>222</v>
      </c>
      <c r="H3139" t="s">
        <v>13</v>
      </c>
      <c r="I3139" t="str">
        <f t="shared" si="49"/>
        <v>Normal Usage</v>
      </c>
    </row>
    <row r="3140" spans="1:9" x14ac:dyDescent="0.3">
      <c r="A3140">
        <v>13139</v>
      </c>
      <c r="B3140">
        <v>471</v>
      </c>
      <c r="C3140" s="2">
        <v>44615</v>
      </c>
      <c r="D3140" s="2" t="str">
        <f>TEXT(Table3[[#This Row],[usage_date]],"mmmm")</f>
        <v>February</v>
      </c>
      <c r="E3140" s="9">
        <f>YEAR(Table3[[#This Row],[usage_date]])</f>
        <v>2022</v>
      </c>
      <c r="F3140" s="14">
        <v>0.99</v>
      </c>
      <c r="G3140">
        <v>92</v>
      </c>
      <c r="H3140" t="s">
        <v>13</v>
      </c>
      <c r="I3140" t="str">
        <f t="shared" si="49"/>
        <v>Normal Usage</v>
      </c>
    </row>
    <row r="3141" spans="1:9" x14ac:dyDescent="0.3">
      <c r="A3141">
        <v>13140</v>
      </c>
      <c r="B3141">
        <v>464</v>
      </c>
      <c r="C3141" s="2">
        <v>44595</v>
      </c>
      <c r="D3141" s="2" t="str">
        <f>TEXT(Table3[[#This Row],[usage_date]],"mmmm")</f>
        <v>February</v>
      </c>
      <c r="E3141" s="9">
        <f>YEAR(Table3[[#This Row],[usage_date]])</f>
        <v>2022</v>
      </c>
      <c r="F3141" s="14">
        <v>1.67</v>
      </c>
      <c r="G3141">
        <v>4</v>
      </c>
      <c r="H3141" t="s">
        <v>12</v>
      </c>
      <c r="I3141" t="str">
        <f t="shared" si="49"/>
        <v>Normal Usage</v>
      </c>
    </row>
    <row r="3142" spans="1:9" x14ac:dyDescent="0.3">
      <c r="A3142">
        <v>13141</v>
      </c>
      <c r="B3142">
        <v>451</v>
      </c>
      <c r="C3142" s="2">
        <v>44803</v>
      </c>
      <c r="D3142" s="2" t="str">
        <f>TEXT(Table3[[#This Row],[usage_date]],"mmmm")</f>
        <v>August</v>
      </c>
      <c r="E3142" s="9">
        <f>YEAR(Table3[[#This Row],[usage_date]])</f>
        <v>2022</v>
      </c>
      <c r="F3142" s="14">
        <v>7.08</v>
      </c>
      <c r="G3142">
        <v>165</v>
      </c>
      <c r="H3142" t="s">
        <v>12</v>
      </c>
      <c r="I3142" t="str">
        <f t="shared" si="49"/>
        <v>High Usage</v>
      </c>
    </row>
    <row r="3143" spans="1:9" x14ac:dyDescent="0.3">
      <c r="A3143">
        <v>13142</v>
      </c>
      <c r="B3143">
        <v>414</v>
      </c>
      <c r="C3143" s="2">
        <v>45451</v>
      </c>
      <c r="D3143" s="2" t="str">
        <f>TEXT(Table3[[#This Row],[usage_date]],"mmmm")</f>
        <v>June</v>
      </c>
      <c r="E3143" s="9">
        <f>YEAR(Table3[[#This Row],[usage_date]])</f>
        <v>2024</v>
      </c>
      <c r="F3143" s="14">
        <v>0.64</v>
      </c>
      <c r="G3143">
        <v>24</v>
      </c>
      <c r="H3143" t="s">
        <v>12</v>
      </c>
      <c r="I3143" t="str">
        <f t="shared" si="49"/>
        <v>Normal Usage</v>
      </c>
    </row>
    <row r="3144" spans="1:9" x14ac:dyDescent="0.3">
      <c r="A3144">
        <v>13143</v>
      </c>
      <c r="B3144">
        <v>313</v>
      </c>
      <c r="C3144" s="2">
        <v>44674</v>
      </c>
      <c r="D3144" s="2" t="str">
        <f>TEXT(Table3[[#This Row],[usage_date]],"mmmm")</f>
        <v>April</v>
      </c>
      <c r="E3144" s="9">
        <f>YEAR(Table3[[#This Row],[usage_date]])</f>
        <v>2022</v>
      </c>
      <c r="F3144" s="14">
        <v>1.23</v>
      </c>
      <c r="G3144">
        <v>97</v>
      </c>
      <c r="H3144" t="s">
        <v>12</v>
      </c>
      <c r="I3144" t="str">
        <f t="shared" si="49"/>
        <v>Normal Usage</v>
      </c>
    </row>
    <row r="3145" spans="1:9" x14ac:dyDescent="0.3">
      <c r="A3145">
        <v>13144</v>
      </c>
      <c r="B3145">
        <v>383</v>
      </c>
      <c r="C3145" s="2">
        <v>44879</v>
      </c>
      <c r="D3145" s="2" t="str">
        <f>TEXT(Table3[[#This Row],[usage_date]],"mmmm")</f>
        <v>November</v>
      </c>
      <c r="E3145" s="9">
        <f>YEAR(Table3[[#This Row],[usage_date]])</f>
        <v>2022</v>
      </c>
      <c r="F3145" s="14">
        <v>2.33</v>
      </c>
      <c r="G3145">
        <v>267</v>
      </c>
      <c r="H3145" t="s">
        <v>12</v>
      </c>
      <c r="I3145" t="str">
        <f t="shared" si="49"/>
        <v>Normal Usage</v>
      </c>
    </row>
    <row r="3146" spans="1:9" x14ac:dyDescent="0.3">
      <c r="A3146">
        <v>13145</v>
      </c>
      <c r="B3146">
        <v>214</v>
      </c>
      <c r="C3146" s="2">
        <v>44584</v>
      </c>
      <c r="D3146" s="2" t="str">
        <f>TEXT(Table3[[#This Row],[usage_date]],"mmmm")</f>
        <v>January</v>
      </c>
      <c r="E3146" s="9">
        <f>YEAR(Table3[[#This Row],[usage_date]])</f>
        <v>2022</v>
      </c>
      <c r="F3146" s="14">
        <v>3.52</v>
      </c>
      <c r="G3146">
        <v>149</v>
      </c>
      <c r="H3146" t="s">
        <v>12</v>
      </c>
      <c r="I3146" t="str">
        <f t="shared" si="49"/>
        <v>Normal Usage</v>
      </c>
    </row>
    <row r="3147" spans="1:9" x14ac:dyDescent="0.3">
      <c r="A3147">
        <v>13146</v>
      </c>
      <c r="B3147">
        <v>457</v>
      </c>
      <c r="C3147" s="2">
        <v>45119</v>
      </c>
      <c r="D3147" s="2" t="str">
        <f>TEXT(Table3[[#This Row],[usage_date]],"mmmm")</f>
        <v>July</v>
      </c>
      <c r="E3147" s="9">
        <f>YEAR(Table3[[#This Row],[usage_date]])</f>
        <v>2023</v>
      </c>
      <c r="F3147" s="14">
        <v>5.8</v>
      </c>
      <c r="G3147">
        <v>251</v>
      </c>
      <c r="H3147" t="s">
        <v>12</v>
      </c>
      <c r="I3147" t="str">
        <f t="shared" si="49"/>
        <v>Normal Usage</v>
      </c>
    </row>
    <row r="3148" spans="1:9" x14ac:dyDescent="0.3">
      <c r="A3148">
        <v>13147</v>
      </c>
      <c r="B3148">
        <v>285</v>
      </c>
      <c r="C3148" s="2">
        <v>45385</v>
      </c>
      <c r="D3148" s="2" t="str">
        <f>TEXT(Table3[[#This Row],[usage_date]],"mmmm")</f>
        <v>April</v>
      </c>
      <c r="E3148" s="9">
        <f>YEAR(Table3[[#This Row],[usage_date]])</f>
        <v>2024</v>
      </c>
      <c r="F3148" s="14">
        <v>6.18</v>
      </c>
      <c r="G3148">
        <v>83</v>
      </c>
      <c r="H3148" t="s">
        <v>12</v>
      </c>
      <c r="I3148" t="str">
        <f t="shared" si="49"/>
        <v>High Usage</v>
      </c>
    </row>
    <row r="3149" spans="1:9" x14ac:dyDescent="0.3">
      <c r="A3149">
        <v>13148</v>
      </c>
      <c r="B3149">
        <v>239</v>
      </c>
      <c r="C3149" s="2">
        <v>45208</v>
      </c>
      <c r="D3149" s="2" t="str">
        <f>TEXT(Table3[[#This Row],[usage_date]],"mmmm")</f>
        <v>October</v>
      </c>
      <c r="E3149" s="9">
        <f>YEAR(Table3[[#This Row],[usage_date]])</f>
        <v>2023</v>
      </c>
      <c r="F3149" s="14">
        <v>3.75</v>
      </c>
      <c r="G3149">
        <v>284</v>
      </c>
      <c r="H3149" t="s">
        <v>12</v>
      </c>
      <c r="I3149" t="str">
        <f t="shared" si="49"/>
        <v>Normal Usage</v>
      </c>
    </row>
    <row r="3150" spans="1:9" x14ac:dyDescent="0.3">
      <c r="A3150">
        <v>13149</v>
      </c>
      <c r="B3150">
        <v>165</v>
      </c>
      <c r="C3150" s="2">
        <v>44679</v>
      </c>
      <c r="D3150" s="2" t="str">
        <f>TEXT(Table3[[#This Row],[usage_date]],"mmmm")</f>
        <v>April</v>
      </c>
      <c r="E3150" s="9">
        <f>YEAR(Table3[[#This Row],[usage_date]])</f>
        <v>2022</v>
      </c>
      <c r="F3150" s="14">
        <v>0.65</v>
      </c>
      <c r="G3150">
        <v>171</v>
      </c>
      <c r="H3150" t="s">
        <v>13</v>
      </c>
      <c r="I3150" t="str">
        <f t="shared" si="49"/>
        <v>Normal Usage</v>
      </c>
    </row>
    <row r="3151" spans="1:9" x14ac:dyDescent="0.3">
      <c r="A3151">
        <v>13150</v>
      </c>
      <c r="B3151">
        <v>87</v>
      </c>
      <c r="C3151" s="2">
        <v>45262</v>
      </c>
      <c r="D3151" s="2" t="str">
        <f>TEXT(Table3[[#This Row],[usage_date]],"mmmm")</f>
        <v>December</v>
      </c>
      <c r="E3151" s="9">
        <f>YEAR(Table3[[#This Row],[usage_date]])</f>
        <v>2023</v>
      </c>
      <c r="F3151" s="14">
        <v>0.06</v>
      </c>
      <c r="G3151">
        <v>220</v>
      </c>
      <c r="H3151" t="s">
        <v>12</v>
      </c>
      <c r="I3151" t="str">
        <f t="shared" si="49"/>
        <v>Normal Usage</v>
      </c>
    </row>
    <row r="3152" spans="1:9" x14ac:dyDescent="0.3">
      <c r="A3152">
        <v>13151</v>
      </c>
      <c r="B3152">
        <v>141</v>
      </c>
      <c r="C3152" s="2">
        <v>45204</v>
      </c>
      <c r="D3152" s="2" t="str">
        <f>TEXT(Table3[[#This Row],[usage_date]],"mmmm")</f>
        <v>October</v>
      </c>
      <c r="E3152" s="9">
        <f>YEAR(Table3[[#This Row],[usage_date]])</f>
        <v>2023</v>
      </c>
      <c r="F3152" s="14">
        <v>1.21</v>
      </c>
      <c r="G3152">
        <v>108</v>
      </c>
      <c r="H3152" t="s">
        <v>13</v>
      </c>
      <c r="I3152" t="str">
        <f t="shared" si="49"/>
        <v>Normal Usage</v>
      </c>
    </row>
    <row r="3153" spans="1:9" x14ac:dyDescent="0.3">
      <c r="A3153">
        <v>13152</v>
      </c>
      <c r="B3153">
        <v>160</v>
      </c>
      <c r="C3153" s="2">
        <v>44773</v>
      </c>
      <c r="D3153" s="2" t="str">
        <f>TEXT(Table3[[#This Row],[usage_date]],"mmmm")</f>
        <v>July</v>
      </c>
      <c r="E3153" s="9">
        <f>YEAR(Table3[[#This Row],[usage_date]])</f>
        <v>2022</v>
      </c>
      <c r="F3153" s="14">
        <v>0.38</v>
      </c>
      <c r="G3153">
        <v>26</v>
      </c>
      <c r="H3153" t="s">
        <v>13</v>
      </c>
      <c r="I3153" t="str">
        <f t="shared" si="49"/>
        <v>Normal Usage</v>
      </c>
    </row>
    <row r="3154" spans="1:9" x14ac:dyDescent="0.3">
      <c r="A3154">
        <v>13153</v>
      </c>
      <c r="B3154">
        <v>46</v>
      </c>
      <c r="C3154" s="2">
        <v>44979</v>
      </c>
      <c r="D3154" s="2" t="str">
        <f>TEXT(Table3[[#This Row],[usage_date]],"mmmm")</f>
        <v>February</v>
      </c>
      <c r="E3154" s="9">
        <f>YEAR(Table3[[#This Row],[usage_date]])</f>
        <v>2023</v>
      </c>
      <c r="F3154" s="14">
        <v>3.1</v>
      </c>
      <c r="G3154">
        <v>245</v>
      </c>
      <c r="H3154" t="s">
        <v>13</v>
      </c>
      <c r="I3154" t="str">
        <f t="shared" si="49"/>
        <v>Normal Usage</v>
      </c>
    </row>
    <row r="3155" spans="1:9" x14ac:dyDescent="0.3">
      <c r="A3155">
        <v>13154</v>
      </c>
      <c r="B3155">
        <v>372</v>
      </c>
      <c r="C3155" s="2">
        <v>44674</v>
      </c>
      <c r="D3155" s="2" t="str">
        <f>TEXT(Table3[[#This Row],[usage_date]],"mmmm")</f>
        <v>April</v>
      </c>
      <c r="E3155" s="9">
        <f>YEAR(Table3[[#This Row],[usage_date]])</f>
        <v>2022</v>
      </c>
      <c r="F3155" s="14">
        <v>2.71</v>
      </c>
      <c r="G3155">
        <v>54</v>
      </c>
      <c r="H3155" t="s">
        <v>13</v>
      </c>
      <c r="I3155" t="str">
        <f t="shared" si="49"/>
        <v>Normal Usage</v>
      </c>
    </row>
    <row r="3156" spans="1:9" x14ac:dyDescent="0.3">
      <c r="A3156">
        <v>13155</v>
      </c>
      <c r="B3156">
        <v>495</v>
      </c>
      <c r="C3156" s="2">
        <v>44605</v>
      </c>
      <c r="D3156" s="2" t="str">
        <f>TEXT(Table3[[#This Row],[usage_date]],"mmmm")</f>
        <v>February</v>
      </c>
      <c r="E3156" s="9">
        <f>YEAR(Table3[[#This Row],[usage_date]])</f>
        <v>2022</v>
      </c>
      <c r="F3156" s="14">
        <v>0.11</v>
      </c>
      <c r="G3156">
        <v>132</v>
      </c>
      <c r="H3156" t="s">
        <v>12</v>
      </c>
      <c r="I3156" t="str">
        <f t="shared" si="49"/>
        <v>Normal Usage</v>
      </c>
    </row>
    <row r="3157" spans="1:9" x14ac:dyDescent="0.3">
      <c r="A3157">
        <v>13156</v>
      </c>
      <c r="B3157">
        <v>112</v>
      </c>
      <c r="C3157" s="2">
        <v>44689</v>
      </c>
      <c r="D3157" s="2" t="str">
        <f>TEXT(Table3[[#This Row],[usage_date]],"mmmm")</f>
        <v>May</v>
      </c>
      <c r="E3157" s="9">
        <f>YEAR(Table3[[#This Row],[usage_date]])</f>
        <v>2022</v>
      </c>
      <c r="F3157" s="14">
        <v>4.53</v>
      </c>
      <c r="G3157">
        <v>51</v>
      </c>
      <c r="H3157" t="s">
        <v>12</v>
      </c>
      <c r="I3157" t="str">
        <f t="shared" si="49"/>
        <v>Normal Usage</v>
      </c>
    </row>
    <row r="3158" spans="1:9" x14ac:dyDescent="0.3">
      <c r="A3158">
        <v>13157</v>
      </c>
      <c r="B3158">
        <v>407</v>
      </c>
      <c r="C3158" s="2">
        <v>45437</v>
      </c>
      <c r="D3158" s="2" t="str">
        <f>TEXT(Table3[[#This Row],[usage_date]],"mmmm")</f>
        <v>May</v>
      </c>
      <c r="E3158" s="9">
        <f>YEAR(Table3[[#This Row],[usage_date]])</f>
        <v>2024</v>
      </c>
      <c r="F3158" s="14">
        <v>0.72</v>
      </c>
      <c r="G3158">
        <v>252</v>
      </c>
      <c r="H3158" t="s">
        <v>12</v>
      </c>
      <c r="I3158" t="str">
        <f t="shared" si="49"/>
        <v>Normal Usage</v>
      </c>
    </row>
    <row r="3159" spans="1:9" x14ac:dyDescent="0.3">
      <c r="A3159">
        <v>13158</v>
      </c>
      <c r="B3159">
        <v>45</v>
      </c>
      <c r="C3159" s="2">
        <v>44719</v>
      </c>
      <c r="D3159" s="2" t="str">
        <f>TEXT(Table3[[#This Row],[usage_date]],"mmmm")</f>
        <v>June</v>
      </c>
      <c r="E3159" s="9">
        <f>YEAR(Table3[[#This Row],[usage_date]])</f>
        <v>2022</v>
      </c>
      <c r="F3159" s="14">
        <v>1.42</v>
      </c>
      <c r="G3159">
        <v>268</v>
      </c>
      <c r="H3159" t="s">
        <v>13</v>
      </c>
      <c r="I3159" t="str">
        <f t="shared" si="49"/>
        <v>Normal Usage</v>
      </c>
    </row>
    <row r="3160" spans="1:9" x14ac:dyDescent="0.3">
      <c r="A3160">
        <v>13159</v>
      </c>
      <c r="B3160">
        <v>401</v>
      </c>
      <c r="C3160" s="2">
        <v>45346</v>
      </c>
      <c r="D3160" s="2" t="str">
        <f>TEXT(Table3[[#This Row],[usage_date]],"mmmm")</f>
        <v>February</v>
      </c>
      <c r="E3160" s="9">
        <f>YEAR(Table3[[#This Row],[usage_date]])</f>
        <v>2024</v>
      </c>
      <c r="F3160" s="14">
        <v>2.76</v>
      </c>
      <c r="G3160">
        <v>297</v>
      </c>
      <c r="H3160" t="s">
        <v>12</v>
      </c>
      <c r="I3160" t="str">
        <f t="shared" si="49"/>
        <v>Normal Usage</v>
      </c>
    </row>
    <row r="3161" spans="1:9" x14ac:dyDescent="0.3">
      <c r="A3161">
        <v>13160</v>
      </c>
      <c r="B3161">
        <v>247</v>
      </c>
      <c r="C3161" s="2">
        <v>45388</v>
      </c>
      <c r="D3161" s="2" t="str">
        <f>TEXT(Table3[[#This Row],[usage_date]],"mmmm")</f>
        <v>April</v>
      </c>
      <c r="E3161" s="9">
        <f>YEAR(Table3[[#This Row],[usage_date]])</f>
        <v>2024</v>
      </c>
      <c r="F3161" s="14">
        <v>1.4</v>
      </c>
      <c r="G3161">
        <v>78</v>
      </c>
      <c r="H3161" t="s">
        <v>12</v>
      </c>
      <c r="I3161" t="str">
        <f t="shared" si="49"/>
        <v>Normal Usage</v>
      </c>
    </row>
    <row r="3162" spans="1:9" x14ac:dyDescent="0.3">
      <c r="A3162">
        <v>13161</v>
      </c>
      <c r="B3162">
        <v>104</v>
      </c>
      <c r="C3162" s="2">
        <v>44955</v>
      </c>
      <c r="D3162" s="2" t="str">
        <f>TEXT(Table3[[#This Row],[usage_date]],"mmmm")</f>
        <v>January</v>
      </c>
      <c r="E3162" s="9">
        <f>YEAR(Table3[[#This Row],[usage_date]])</f>
        <v>2023</v>
      </c>
      <c r="F3162" s="14">
        <v>1.46</v>
      </c>
      <c r="G3162">
        <v>17</v>
      </c>
      <c r="H3162" t="s">
        <v>13</v>
      </c>
      <c r="I3162" t="str">
        <f t="shared" si="49"/>
        <v>Normal Usage</v>
      </c>
    </row>
    <row r="3163" spans="1:9" x14ac:dyDescent="0.3">
      <c r="A3163">
        <v>13162</v>
      </c>
      <c r="B3163">
        <v>85</v>
      </c>
      <c r="C3163" s="2">
        <v>45428</v>
      </c>
      <c r="D3163" s="2" t="str">
        <f>TEXT(Table3[[#This Row],[usage_date]],"mmmm")</f>
        <v>May</v>
      </c>
      <c r="E3163" s="9">
        <f>YEAR(Table3[[#This Row],[usage_date]])</f>
        <v>2024</v>
      </c>
      <c r="F3163" s="14">
        <v>0.17</v>
      </c>
      <c r="G3163">
        <v>257</v>
      </c>
      <c r="H3163" t="s">
        <v>13</v>
      </c>
      <c r="I3163" t="str">
        <f t="shared" si="49"/>
        <v>Normal Usage</v>
      </c>
    </row>
    <row r="3164" spans="1:9" x14ac:dyDescent="0.3">
      <c r="A3164">
        <v>13163</v>
      </c>
      <c r="B3164">
        <v>450</v>
      </c>
      <c r="C3164" s="2">
        <v>45413</v>
      </c>
      <c r="D3164" s="2" t="str">
        <f>TEXT(Table3[[#This Row],[usage_date]],"mmmm")</f>
        <v>May</v>
      </c>
      <c r="E3164" s="9">
        <f>YEAR(Table3[[#This Row],[usage_date]])</f>
        <v>2024</v>
      </c>
      <c r="F3164" s="14">
        <v>1.28</v>
      </c>
      <c r="G3164">
        <v>106</v>
      </c>
      <c r="H3164" t="s">
        <v>13</v>
      </c>
      <c r="I3164" t="str">
        <f t="shared" si="49"/>
        <v>Normal Usage</v>
      </c>
    </row>
    <row r="3165" spans="1:9" x14ac:dyDescent="0.3">
      <c r="A3165">
        <v>13164</v>
      </c>
      <c r="B3165">
        <v>485</v>
      </c>
      <c r="C3165" s="2">
        <v>45073</v>
      </c>
      <c r="D3165" s="2" t="str">
        <f>TEXT(Table3[[#This Row],[usage_date]],"mmmm")</f>
        <v>May</v>
      </c>
      <c r="E3165" s="9">
        <f>YEAR(Table3[[#This Row],[usage_date]])</f>
        <v>2023</v>
      </c>
      <c r="F3165" s="14">
        <v>3.62</v>
      </c>
      <c r="G3165">
        <v>46</v>
      </c>
      <c r="H3165" t="s">
        <v>12</v>
      </c>
      <c r="I3165" t="str">
        <f t="shared" si="49"/>
        <v>Normal Usage</v>
      </c>
    </row>
    <row r="3166" spans="1:9" x14ac:dyDescent="0.3">
      <c r="A3166">
        <v>13165</v>
      </c>
      <c r="B3166">
        <v>134</v>
      </c>
      <c r="C3166" s="2">
        <v>44606</v>
      </c>
      <c r="D3166" s="2" t="str">
        <f>TEXT(Table3[[#This Row],[usage_date]],"mmmm")</f>
        <v>February</v>
      </c>
      <c r="E3166" s="9">
        <f>YEAR(Table3[[#This Row],[usage_date]])</f>
        <v>2022</v>
      </c>
      <c r="F3166" s="14">
        <v>6.17</v>
      </c>
      <c r="G3166">
        <v>245</v>
      </c>
      <c r="H3166" t="s">
        <v>12</v>
      </c>
      <c r="I3166" t="str">
        <f t="shared" si="49"/>
        <v>High Usage</v>
      </c>
    </row>
    <row r="3167" spans="1:9" x14ac:dyDescent="0.3">
      <c r="A3167">
        <v>13166</v>
      </c>
      <c r="B3167">
        <v>108</v>
      </c>
      <c r="C3167" s="2">
        <v>44669</v>
      </c>
      <c r="D3167" s="2" t="str">
        <f>TEXT(Table3[[#This Row],[usage_date]],"mmmm")</f>
        <v>April</v>
      </c>
      <c r="E3167" s="9">
        <f>YEAR(Table3[[#This Row],[usage_date]])</f>
        <v>2022</v>
      </c>
      <c r="F3167" s="14">
        <v>1.33</v>
      </c>
      <c r="G3167">
        <v>88</v>
      </c>
      <c r="H3167" t="s">
        <v>12</v>
      </c>
      <c r="I3167" t="str">
        <f t="shared" si="49"/>
        <v>Normal Usage</v>
      </c>
    </row>
    <row r="3168" spans="1:9" x14ac:dyDescent="0.3">
      <c r="A3168">
        <v>13167</v>
      </c>
      <c r="B3168">
        <v>18</v>
      </c>
      <c r="C3168" s="2">
        <v>44780</v>
      </c>
      <c r="D3168" s="2" t="str">
        <f>TEXT(Table3[[#This Row],[usage_date]],"mmmm")</f>
        <v>August</v>
      </c>
      <c r="E3168" s="9">
        <f>YEAR(Table3[[#This Row],[usage_date]])</f>
        <v>2022</v>
      </c>
      <c r="F3168" s="14">
        <v>1.38</v>
      </c>
      <c r="G3168">
        <v>202</v>
      </c>
      <c r="H3168" t="s">
        <v>12</v>
      </c>
      <c r="I3168" t="str">
        <f t="shared" si="49"/>
        <v>Normal Usage</v>
      </c>
    </row>
    <row r="3169" spans="1:9" x14ac:dyDescent="0.3">
      <c r="A3169">
        <v>13168</v>
      </c>
      <c r="B3169">
        <v>94</v>
      </c>
      <c r="C3169" s="2">
        <v>45004</v>
      </c>
      <c r="D3169" s="2" t="str">
        <f>TEXT(Table3[[#This Row],[usage_date]],"mmmm")</f>
        <v>March</v>
      </c>
      <c r="E3169" s="9">
        <f>YEAR(Table3[[#This Row],[usage_date]])</f>
        <v>2023</v>
      </c>
      <c r="F3169" s="14">
        <v>3.03</v>
      </c>
      <c r="G3169">
        <v>239</v>
      </c>
      <c r="H3169" t="s">
        <v>13</v>
      </c>
      <c r="I3169" t="str">
        <f t="shared" si="49"/>
        <v>Normal Usage</v>
      </c>
    </row>
    <row r="3170" spans="1:9" x14ac:dyDescent="0.3">
      <c r="A3170">
        <v>13169</v>
      </c>
      <c r="B3170">
        <v>150</v>
      </c>
      <c r="C3170" s="2">
        <v>45391</v>
      </c>
      <c r="D3170" s="2" t="str">
        <f>TEXT(Table3[[#This Row],[usage_date]],"mmmm")</f>
        <v>April</v>
      </c>
      <c r="E3170" s="9">
        <f>YEAR(Table3[[#This Row],[usage_date]])</f>
        <v>2024</v>
      </c>
      <c r="F3170" s="14">
        <v>7.15</v>
      </c>
      <c r="G3170">
        <v>267</v>
      </c>
      <c r="H3170" t="s">
        <v>12</v>
      </c>
      <c r="I3170" t="str">
        <f t="shared" si="49"/>
        <v>High Usage</v>
      </c>
    </row>
    <row r="3171" spans="1:9" x14ac:dyDescent="0.3">
      <c r="A3171">
        <v>13170</v>
      </c>
      <c r="B3171">
        <v>246</v>
      </c>
      <c r="C3171" s="2">
        <v>44876</v>
      </c>
      <c r="D3171" s="2" t="str">
        <f>TEXT(Table3[[#This Row],[usage_date]],"mmmm")</f>
        <v>November</v>
      </c>
      <c r="E3171" s="9">
        <f>YEAR(Table3[[#This Row],[usage_date]])</f>
        <v>2022</v>
      </c>
      <c r="F3171" s="14">
        <v>0.78</v>
      </c>
      <c r="G3171">
        <v>12</v>
      </c>
      <c r="H3171" t="s">
        <v>12</v>
      </c>
      <c r="I3171" t="str">
        <f t="shared" si="49"/>
        <v>Normal Usage</v>
      </c>
    </row>
    <row r="3172" spans="1:9" x14ac:dyDescent="0.3">
      <c r="A3172">
        <v>13171</v>
      </c>
      <c r="B3172">
        <v>289</v>
      </c>
      <c r="C3172" s="2">
        <v>44738</v>
      </c>
      <c r="D3172" s="2" t="str">
        <f>TEXT(Table3[[#This Row],[usage_date]],"mmmm")</f>
        <v>June</v>
      </c>
      <c r="E3172" s="9">
        <f>YEAR(Table3[[#This Row],[usage_date]])</f>
        <v>2022</v>
      </c>
      <c r="F3172" s="14">
        <v>1.45</v>
      </c>
      <c r="G3172">
        <v>136</v>
      </c>
      <c r="H3172" t="s">
        <v>13</v>
      </c>
      <c r="I3172" t="str">
        <f t="shared" si="49"/>
        <v>Normal Usage</v>
      </c>
    </row>
    <row r="3173" spans="1:9" x14ac:dyDescent="0.3">
      <c r="A3173">
        <v>13172</v>
      </c>
      <c r="B3173">
        <v>414</v>
      </c>
      <c r="C3173" s="2">
        <v>44789</v>
      </c>
      <c r="D3173" s="2" t="str">
        <f>TEXT(Table3[[#This Row],[usage_date]],"mmmm")</f>
        <v>August</v>
      </c>
      <c r="E3173" s="9">
        <f>YEAR(Table3[[#This Row],[usage_date]])</f>
        <v>2022</v>
      </c>
      <c r="F3173" s="14">
        <v>3.97</v>
      </c>
      <c r="G3173">
        <v>172</v>
      </c>
      <c r="H3173" t="s">
        <v>12</v>
      </c>
      <c r="I3173" t="str">
        <f t="shared" si="49"/>
        <v>Normal Usage</v>
      </c>
    </row>
    <row r="3174" spans="1:9" x14ac:dyDescent="0.3">
      <c r="A3174">
        <v>13173</v>
      </c>
      <c r="B3174">
        <v>209</v>
      </c>
      <c r="C3174" s="2">
        <v>45264</v>
      </c>
      <c r="D3174" s="2" t="str">
        <f>TEXT(Table3[[#This Row],[usage_date]],"mmmm")</f>
        <v>December</v>
      </c>
      <c r="E3174" s="9">
        <f>YEAR(Table3[[#This Row],[usage_date]])</f>
        <v>2023</v>
      </c>
      <c r="F3174" s="14">
        <v>2.35</v>
      </c>
      <c r="G3174">
        <v>229</v>
      </c>
      <c r="H3174" t="s">
        <v>13</v>
      </c>
      <c r="I3174" t="str">
        <f t="shared" si="49"/>
        <v>Normal Usage</v>
      </c>
    </row>
    <row r="3175" spans="1:9" x14ac:dyDescent="0.3">
      <c r="A3175">
        <v>13174</v>
      </c>
      <c r="B3175">
        <v>126</v>
      </c>
      <c r="C3175" s="2">
        <v>45233</v>
      </c>
      <c r="D3175" s="2" t="str">
        <f>TEXT(Table3[[#This Row],[usage_date]],"mmmm")</f>
        <v>November</v>
      </c>
      <c r="E3175" s="9">
        <f>YEAR(Table3[[#This Row],[usage_date]])</f>
        <v>2023</v>
      </c>
      <c r="F3175" s="14">
        <v>0.28999999999999998</v>
      </c>
      <c r="G3175">
        <v>197</v>
      </c>
      <c r="H3175" t="s">
        <v>13</v>
      </c>
      <c r="I3175" t="str">
        <f t="shared" si="49"/>
        <v>Normal Usage</v>
      </c>
    </row>
    <row r="3176" spans="1:9" x14ac:dyDescent="0.3">
      <c r="A3176">
        <v>13175</v>
      </c>
      <c r="B3176">
        <v>235</v>
      </c>
      <c r="C3176" s="2">
        <v>44828</v>
      </c>
      <c r="D3176" s="2" t="str">
        <f>TEXT(Table3[[#This Row],[usage_date]],"mmmm")</f>
        <v>September</v>
      </c>
      <c r="E3176" s="9">
        <f>YEAR(Table3[[#This Row],[usage_date]])</f>
        <v>2022</v>
      </c>
      <c r="F3176" s="14">
        <v>2.4700000000000002</v>
      </c>
      <c r="G3176">
        <v>242</v>
      </c>
      <c r="H3176" t="s">
        <v>13</v>
      </c>
      <c r="I3176" t="str">
        <f t="shared" si="49"/>
        <v>Normal Usage</v>
      </c>
    </row>
    <row r="3177" spans="1:9" x14ac:dyDescent="0.3">
      <c r="A3177">
        <v>13176</v>
      </c>
      <c r="B3177">
        <v>416</v>
      </c>
      <c r="C3177" s="2">
        <v>45431</v>
      </c>
      <c r="D3177" s="2" t="str">
        <f>TEXT(Table3[[#This Row],[usage_date]],"mmmm")</f>
        <v>May</v>
      </c>
      <c r="E3177" s="9">
        <f>YEAR(Table3[[#This Row],[usage_date]])</f>
        <v>2024</v>
      </c>
      <c r="F3177" s="14">
        <v>0.52</v>
      </c>
      <c r="G3177">
        <v>42</v>
      </c>
      <c r="H3177" t="s">
        <v>12</v>
      </c>
      <c r="I3177" t="str">
        <f t="shared" si="49"/>
        <v>Normal Usage</v>
      </c>
    </row>
    <row r="3178" spans="1:9" x14ac:dyDescent="0.3">
      <c r="A3178">
        <v>13177</v>
      </c>
      <c r="B3178">
        <v>426</v>
      </c>
      <c r="C3178" s="2">
        <v>45399</v>
      </c>
      <c r="D3178" s="2" t="str">
        <f>TEXT(Table3[[#This Row],[usage_date]],"mmmm")</f>
        <v>April</v>
      </c>
      <c r="E3178" s="9">
        <f>YEAR(Table3[[#This Row],[usage_date]])</f>
        <v>2024</v>
      </c>
      <c r="F3178" s="14">
        <v>1.78</v>
      </c>
      <c r="G3178">
        <v>278</v>
      </c>
      <c r="H3178" t="s">
        <v>12</v>
      </c>
      <c r="I3178" t="str">
        <f t="shared" si="49"/>
        <v>Normal Usage</v>
      </c>
    </row>
    <row r="3179" spans="1:9" x14ac:dyDescent="0.3">
      <c r="A3179">
        <v>13178</v>
      </c>
      <c r="B3179">
        <v>499</v>
      </c>
      <c r="C3179" s="2">
        <v>44940</v>
      </c>
      <c r="D3179" s="2" t="str">
        <f>TEXT(Table3[[#This Row],[usage_date]],"mmmm")</f>
        <v>January</v>
      </c>
      <c r="E3179" s="9">
        <f>YEAR(Table3[[#This Row],[usage_date]])</f>
        <v>2023</v>
      </c>
      <c r="F3179" s="14">
        <v>1.88</v>
      </c>
      <c r="G3179">
        <v>78</v>
      </c>
      <c r="H3179" t="s">
        <v>13</v>
      </c>
      <c r="I3179" t="str">
        <f t="shared" si="49"/>
        <v>Normal Usage</v>
      </c>
    </row>
    <row r="3180" spans="1:9" x14ac:dyDescent="0.3">
      <c r="A3180">
        <v>13179</v>
      </c>
      <c r="B3180">
        <v>462</v>
      </c>
      <c r="C3180" s="2">
        <v>45050</v>
      </c>
      <c r="D3180" s="2" t="str">
        <f>TEXT(Table3[[#This Row],[usage_date]],"mmmm")</f>
        <v>May</v>
      </c>
      <c r="E3180" s="9">
        <f>YEAR(Table3[[#This Row],[usage_date]])</f>
        <v>2023</v>
      </c>
      <c r="F3180" s="14">
        <v>5.22</v>
      </c>
      <c r="G3180">
        <v>278</v>
      </c>
      <c r="H3180" t="s">
        <v>13</v>
      </c>
      <c r="I3180" t="str">
        <f t="shared" si="49"/>
        <v>Normal Usage</v>
      </c>
    </row>
    <row r="3181" spans="1:9" x14ac:dyDescent="0.3">
      <c r="A3181">
        <v>13180</v>
      </c>
      <c r="B3181">
        <v>122</v>
      </c>
      <c r="C3181" s="2">
        <v>45263</v>
      </c>
      <c r="D3181" s="2" t="str">
        <f>TEXT(Table3[[#This Row],[usage_date]],"mmmm")</f>
        <v>December</v>
      </c>
      <c r="E3181" s="9">
        <f>YEAR(Table3[[#This Row],[usage_date]])</f>
        <v>2023</v>
      </c>
      <c r="F3181" s="14">
        <v>1.55</v>
      </c>
      <c r="G3181">
        <v>231</v>
      </c>
      <c r="H3181" t="s">
        <v>12</v>
      </c>
      <c r="I3181" t="str">
        <f t="shared" si="49"/>
        <v>Normal Usage</v>
      </c>
    </row>
    <row r="3182" spans="1:9" x14ac:dyDescent="0.3">
      <c r="A3182">
        <v>13181</v>
      </c>
      <c r="B3182">
        <v>138</v>
      </c>
      <c r="C3182" s="2">
        <v>45248</v>
      </c>
      <c r="D3182" s="2" t="str">
        <f>TEXT(Table3[[#This Row],[usage_date]],"mmmm")</f>
        <v>November</v>
      </c>
      <c r="E3182" s="9">
        <f>YEAR(Table3[[#This Row],[usage_date]])</f>
        <v>2023</v>
      </c>
      <c r="F3182" s="14">
        <v>0.82</v>
      </c>
      <c r="G3182">
        <v>100</v>
      </c>
      <c r="H3182" t="s">
        <v>12</v>
      </c>
      <c r="I3182" t="str">
        <f t="shared" si="49"/>
        <v>Normal Usage</v>
      </c>
    </row>
    <row r="3183" spans="1:9" x14ac:dyDescent="0.3">
      <c r="A3183">
        <v>13182</v>
      </c>
      <c r="B3183">
        <v>495</v>
      </c>
      <c r="C3183" s="2">
        <v>44851</v>
      </c>
      <c r="D3183" s="2" t="str">
        <f>TEXT(Table3[[#This Row],[usage_date]],"mmmm")</f>
        <v>October</v>
      </c>
      <c r="E3183" s="9">
        <f>YEAR(Table3[[#This Row],[usage_date]])</f>
        <v>2022</v>
      </c>
      <c r="F3183" s="14">
        <v>0.66</v>
      </c>
      <c r="G3183">
        <v>161</v>
      </c>
      <c r="H3183" t="s">
        <v>12</v>
      </c>
      <c r="I3183" t="str">
        <f t="shared" si="49"/>
        <v>Normal Usage</v>
      </c>
    </row>
    <row r="3184" spans="1:9" x14ac:dyDescent="0.3">
      <c r="A3184">
        <v>13183</v>
      </c>
      <c r="B3184">
        <v>115</v>
      </c>
      <c r="C3184" s="2">
        <v>44918</v>
      </c>
      <c r="D3184" s="2" t="str">
        <f>TEXT(Table3[[#This Row],[usage_date]],"mmmm")</f>
        <v>December</v>
      </c>
      <c r="E3184" s="9">
        <f>YEAR(Table3[[#This Row],[usage_date]])</f>
        <v>2022</v>
      </c>
      <c r="F3184" s="14">
        <v>5.18</v>
      </c>
      <c r="G3184">
        <v>143</v>
      </c>
      <c r="H3184" t="s">
        <v>13</v>
      </c>
      <c r="I3184" t="str">
        <f t="shared" si="49"/>
        <v>Normal Usage</v>
      </c>
    </row>
    <row r="3185" spans="1:9" x14ac:dyDescent="0.3">
      <c r="A3185">
        <v>13184</v>
      </c>
      <c r="B3185">
        <v>420</v>
      </c>
      <c r="C3185" s="2">
        <v>45218</v>
      </c>
      <c r="D3185" s="2" t="str">
        <f>TEXT(Table3[[#This Row],[usage_date]],"mmmm")</f>
        <v>October</v>
      </c>
      <c r="E3185" s="9">
        <f>YEAR(Table3[[#This Row],[usage_date]])</f>
        <v>2023</v>
      </c>
      <c r="F3185" s="14">
        <v>0.47</v>
      </c>
      <c r="G3185">
        <v>108</v>
      </c>
      <c r="H3185" t="s">
        <v>12</v>
      </c>
      <c r="I3185" t="str">
        <f t="shared" si="49"/>
        <v>Normal Usage</v>
      </c>
    </row>
    <row r="3186" spans="1:9" x14ac:dyDescent="0.3">
      <c r="A3186">
        <v>13185</v>
      </c>
      <c r="B3186">
        <v>162</v>
      </c>
      <c r="C3186" s="2">
        <v>45305</v>
      </c>
      <c r="D3186" s="2" t="str">
        <f>TEXT(Table3[[#This Row],[usage_date]],"mmmm")</f>
        <v>January</v>
      </c>
      <c r="E3186" s="9">
        <f>YEAR(Table3[[#This Row],[usage_date]])</f>
        <v>2024</v>
      </c>
      <c r="F3186" s="14">
        <v>1.39</v>
      </c>
      <c r="G3186">
        <v>232</v>
      </c>
      <c r="H3186" t="s">
        <v>12</v>
      </c>
      <c r="I3186" t="str">
        <f t="shared" si="49"/>
        <v>Normal Usage</v>
      </c>
    </row>
    <row r="3187" spans="1:9" x14ac:dyDescent="0.3">
      <c r="A3187">
        <v>13186</v>
      </c>
      <c r="B3187">
        <v>201</v>
      </c>
      <c r="C3187" s="2">
        <v>45433</v>
      </c>
      <c r="D3187" s="2" t="str">
        <f>TEXT(Table3[[#This Row],[usage_date]],"mmmm")</f>
        <v>May</v>
      </c>
      <c r="E3187" s="9">
        <f>YEAR(Table3[[#This Row],[usage_date]])</f>
        <v>2024</v>
      </c>
      <c r="F3187" s="14">
        <v>0.52</v>
      </c>
      <c r="G3187">
        <v>110</v>
      </c>
      <c r="H3187" t="s">
        <v>12</v>
      </c>
      <c r="I3187" t="str">
        <f t="shared" si="49"/>
        <v>Normal Usage</v>
      </c>
    </row>
    <row r="3188" spans="1:9" x14ac:dyDescent="0.3">
      <c r="A3188">
        <v>13187</v>
      </c>
      <c r="B3188">
        <v>234</v>
      </c>
      <c r="C3188" s="2">
        <v>44765</v>
      </c>
      <c r="D3188" s="2" t="str">
        <f>TEXT(Table3[[#This Row],[usage_date]],"mmmm")</f>
        <v>July</v>
      </c>
      <c r="E3188" s="9">
        <f>YEAR(Table3[[#This Row],[usage_date]])</f>
        <v>2022</v>
      </c>
      <c r="F3188" s="14">
        <v>3.71</v>
      </c>
      <c r="G3188">
        <v>231</v>
      </c>
      <c r="H3188" t="s">
        <v>12</v>
      </c>
      <c r="I3188" t="str">
        <f t="shared" si="49"/>
        <v>Normal Usage</v>
      </c>
    </row>
    <row r="3189" spans="1:9" x14ac:dyDescent="0.3">
      <c r="A3189">
        <v>13188</v>
      </c>
      <c r="B3189">
        <v>28</v>
      </c>
      <c r="C3189" s="2">
        <v>44774</v>
      </c>
      <c r="D3189" s="2" t="str">
        <f>TEXT(Table3[[#This Row],[usage_date]],"mmmm")</f>
        <v>August</v>
      </c>
      <c r="E3189" s="9">
        <f>YEAR(Table3[[#This Row],[usage_date]])</f>
        <v>2022</v>
      </c>
      <c r="F3189" s="14">
        <v>1.61</v>
      </c>
      <c r="G3189">
        <v>237</v>
      </c>
      <c r="H3189" t="s">
        <v>13</v>
      </c>
      <c r="I3189" t="str">
        <f t="shared" si="49"/>
        <v>Normal Usage</v>
      </c>
    </row>
    <row r="3190" spans="1:9" x14ac:dyDescent="0.3">
      <c r="A3190">
        <v>13189</v>
      </c>
      <c r="B3190">
        <v>11</v>
      </c>
      <c r="C3190" s="2">
        <v>45113</v>
      </c>
      <c r="D3190" s="2" t="str">
        <f>TEXT(Table3[[#This Row],[usage_date]],"mmmm")</f>
        <v>July</v>
      </c>
      <c r="E3190" s="9">
        <f>YEAR(Table3[[#This Row],[usage_date]])</f>
        <v>2023</v>
      </c>
      <c r="F3190" s="14">
        <v>1.08</v>
      </c>
      <c r="G3190">
        <v>196</v>
      </c>
      <c r="H3190" t="s">
        <v>12</v>
      </c>
      <c r="I3190" t="str">
        <f t="shared" si="49"/>
        <v>Normal Usage</v>
      </c>
    </row>
    <row r="3191" spans="1:9" x14ac:dyDescent="0.3">
      <c r="A3191">
        <v>13190</v>
      </c>
      <c r="B3191">
        <v>206</v>
      </c>
      <c r="C3191" s="2">
        <v>45348</v>
      </c>
      <c r="D3191" s="2" t="str">
        <f>TEXT(Table3[[#This Row],[usage_date]],"mmmm")</f>
        <v>February</v>
      </c>
      <c r="E3191" s="9">
        <f>YEAR(Table3[[#This Row],[usage_date]])</f>
        <v>2024</v>
      </c>
      <c r="F3191" s="14">
        <v>1.1200000000000001</v>
      </c>
      <c r="G3191">
        <v>272</v>
      </c>
      <c r="H3191" t="s">
        <v>12</v>
      </c>
      <c r="I3191" t="str">
        <f t="shared" si="49"/>
        <v>Normal Usage</v>
      </c>
    </row>
    <row r="3192" spans="1:9" x14ac:dyDescent="0.3">
      <c r="A3192">
        <v>13191</v>
      </c>
      <c r="B3192">
        <v>167</v>
      </c>
      <c r="C3192" s="2">
        <v>44884</v>
      </c>
      <c r="D3192" s="2" t="str">
        <f>TEXT(Table3[[#This Row],[usage_date]],"mmmm")</f>
        <v>November</v>
      </c>
      <c r="E3192" s="9">
        <f>YEAR(Table3[[#This Row],[usage_date]])</f>
        <v>2022</v>
      </c>
      <c r="F3192" s="14">
        <v>4.78</v>
      </c>
      <c r="G3192">
        <v>85</v>
      </c>
      <c r="H3192" t="s">
        <v>12</v>
      </c>
      <c r="I3192" t="str">
        <f t="shared" si="49"/>
        <v>Normal Usage</v>
      </c>
    </row>
    <row r="3193" spans="1:9" x14ac:dyDescent="0.3">
      <c r="A3193">
        <v>13192</v>
      </c>
      <c r="B3193">
        <v>247</v>
      </c>
      <c r="C3193" s="2">
        <v>45155</v>
      </c>
      <c r="D3193" s="2" t="str">
        <f>TEXT(Table3[[#This Row],[usage_date]],"mmmm")</f>
        <v>August</v>
      </c>
      <c r="E3193" s="9">
        <f>YEAR(Table3[[#This Row],[usage_date]])</f>
        <v>2023</v>
      </c>
      <c r="F3193" s="14">
        <v>2.02</v>
      </c>
      <c r="G3193">
        <v>294</v>
      </c>
      <c r="H3193" t="s">
        <v>12</v>
      </c>
      <c r="I3193" t="str">
        <f t="shared" si="49"/>
        <v>Normal Usage</v>
      </c>
    </row>
    <row r="3194" spans="1:9" x14ac:dyDescent="0.3">
      <c r="A3194">
        <v>13193</v>
      </c>
      <c r="B3194">
        <v>47</v>
      </c>
      <c r="C3194" s="2">
        <v>44742</v>
      </c>
      <c r="D3194" s="2" t="str">
        <f>TEXT(Table3[[#This Row],[usage_date]],"mmmm")</f>
        <v>June</v>
      </c>
      <c r="E3194" s="9">
        <f>YEAR(Table3[[#This Row],[usage_date]])</f>
        <v>2022</v>
      </c>
      <c r="F3194" s="14">
        <v>3.16</v>
      </c>
      <c r="G3194">
        <v>40</v>
      </c>
      <c r="H3194" t="s">
        <v>12</v>
      </c>
      <c r="I3194" t="str">
        <f t="shared" si="49"/>
        <v>Normal Usage</v>
      </c>
    </row>
    <row r="3195" spans="1:9" x14ac:dyDescent="0.3">
      <c r="A3195">
        <v>13194</v>
      </c>
      <c r="B3195">
        <v>246</v>
      </c>
      <c r="C3195" s="2">
        <v>45060</v>
      </c>
      <c r="D3195" s="2" t="str">
        <f>TEXT(Table3[[#This Row],[usage_date]],"mmmm")</f>
        <v>May</v>
      </c>
      <c r="E3195" s="9">
        <f>YEAR(Table3[[#This Row],[usage_date]])</f>
        <v>2023</v>
      </c>
      <c r="F3195" s="14">
        <v>5.68</v>
      </c>
      <c r="G3195">
        <v>47</v>
      </c>
      <c r="H3195" t="s">
        <v>12</v>
      </c>
      <c r="I3195" t="str">
        <f t="shared" si="49"/>
        <v>Normal Usage</v>
      </c>
    </row>
    <row r="3196" spans="1:9" x14ac:dyDescent="0.3">
      <c r="A3196">
        <v>13195</v>
      </c>
      <c r="B3196">
        <v>127</v>
      </c>
      <c r="C3196" s="2">
        <v>44881</v>
      </c>
      <c r="D3196" s="2" t="str">
        <f>TEXT(Table3[[#This Row],[usage_date]],"mmmm")</f>
        <v>November</v>
      </c>
      <c r="E3196" s="9">
        <f>YEAR(Table3[[#This Row],[usage_date]])</f>
        <v>2022</v>
      </c>
      <c r="F3196" s="14">
        <v>5.8</v>
      </c>
      <c r="G3196">
        <v>76</v>
      </c>
      <c r="H3196" t="s">
        <v>12</v>
      </c>
      <c r="I3196" t="str">
        <f t="shared" si="49"/>
        <v>Normal Usage</v>
      </c>
    </row>
    <row r="3197" spans="1:9" x14ac:dyDescent="0.3">
      <c r="A3197">
        <v>13196</v>
      </c>
      <c r="B3197">
        <v>147</v>
      </c>
      <c r="C3197" s="2">
        <v>44644</v>
      </c>
      <c r="D3197" s="2" t="str">
        <f>TEXT(Table3[[#This Row],[usage_date]],"mmmm")</f>
        <v>March</v>
      </c>
      <c r="E3197" s="9">
        <f>YEAR(Table3[[#This Row],[usage_date]])</f>
        <v>2022</v>
      </c>
      <c r="F3197" s="14">
        <v>1</v>
      </c>
      <c r="G3197">
        <v>177</v>
      </c>
      <c r="H3197" t="s">
        <v>13</v>
      </c>
      <c r="I3197" t="str">
        <f t="shared" si="49"/>
        <v>Normal Usage</v>
      </c>
    </row>
    <row r="3198" spans="1:9" x14ac:dyDescent="0.3">
      <c r="A3198">
        <v>13197</v>
      </c>
      <c r="B3198">
        <v>118</v>
      </c>
      <c r="C3198" s="2">
        <v>44864</v>
      </c>
      <c r="D3198" s="2" t="str">
        <f>TEXT(Table3[[#This Row],[usage_date]],"mmmm")</f>
        <v>October</v>
      </c>
      <c r="E3198" s="9">
        <f>YEAR(Table3[[#This Row],[usage_date]])</f>
        <v>2022</v>
      </c>
      <c r="F3198" s="14">
        <v>7.62</v>
      </c>
      <c r="G3198">
        <v>256</v>
      </c>
      <c r="H3198" t="s">
        <v>12</v>
      </c>
      <c r="I3198" t="str">
        <f t="shared" si="49"/>
        <v>High Usage</v>
      </c>
    </row>
    <row r="3199" spans="1:9" x14ac:dyDescent="0.3">
      <c r="A3199">
        <v>13198</v>
      </c>
      <c r="B3199">
        <v>399</v>
      </c>
      <c r="C3199" s="2">
        <v>44823</v>
      </c>
      <c r="D3199" s="2" t="str">
        <f>TEXT(Table3[[#This Row],[usage_date]],"mmmm")</f>
        <v>September</v>
      </c>
      <c r="E3199" s="9">
        <f>YEAR(Table3[[#This Row],[usage_date]])</f>
        <v>2022</v>
      </c>
      <c r="F3199" s="14">
        <v>0.06</v>
      </c>
      <c r="G3199">
        <v>116</v>
      </c>
      <c r="H3199" t="s">
        <v>13</v>
      </c>
      <c r="I3199" t="str">
        <f t="shared" si="49"/>
        <v>Normal Usage</v>
      </c>
    </row>
    <row r="3200" spans="1:9" x14ac:dyDescent="0.3">
      <c r="A3200">
        <v>13199</v>
      </c>
      <c r="B3200">
        <v>382</v>
      </c>
      <c r="C3200" s="2">
        <v>45345</v>
      </c>
      <c r="D3200" s="2" t="str">
        <f>TEXT(Table3[[#This Row],[usage_date]],"mmmm")</f>
        <v>February</v>
      </c>
      <c r="E3200" s="9">
        <f>YEAR(Table3[[#This Row],[usage_date]])</f>
        <v>2024</v>
      </c>
      <c r="F3200" s="14">
        <v>1.18</v>
      </c>
      <c r="G3200">
        <v>18</v>
      </c>
      <c r="H3200" t="s">
        <v>12</v>
      </c>
      <c r="I3200" t="str">
        <f t="shared" si="49"/>
        <v>Normal Usage</v>
      </c>
    </row>
    <row r="3201" spans="1:9" x14ac:dyDescent="0.3">
      <c r="A3201">
        <v>13200</v>
      </c>
      <c r="B3201">
        <v>412</v>
      </c>
      <c r="C3201" s="2">
        <v>44761</v>
      </c>
      <c r="D3201" s="2" t="str">
        <f>TEXT(Table3[[#This Row],[usage_date]],"mmmm")</f>
        <v>July</v>
      </c>
      <c r="E3201" s="9">
        <f>YEAR(Table3[[#This Row],[usage_date]])</f>
        <v>2022</v>
      </c>
      <c r="F3201" s="14">
        <v>5.65</v>
      </c>
      <c r="G3201">
        <v>58</v>
      </c>
      <c r="H3201" t="s">
        <v>12</v>
      </c>
      <c r="I3201" t="str">
        <f t="shared" si="49"/>
        <v>Normal Usage</v>
      </c>
    </row>
    <row r="3202" spans="1:9" x14ac:dyDescent="0.3">
      <c r="A3202">
        <v>13201</v>
      </c>
      <c r="B3202">
        <v>152</v>
      </c>
      <c r="C3202" s="2">
        <v>44801</v>
      </c>
      <c r="D3202" s="2" t="str">
        <f>TEXT(Table3[[#This Row],[usage_date]],"mmmm")</f>
        <v>August</v>
      </c>
      <c r="E3202" s="9">
        <f>YEAR(Table3[[#This Row],[usage_date]])</f>
        <v>2022</v>
      </c>
      <c r="F3202" s="14">
        <v>0.8</v>
      </c>
      <c r="G3202">
        <v>195</v>
      </c>
      <c r="H3202" t="s">
        <v>12</v>
      </c>
      <c r="I3202" t="str">
        <f t="shared" ref="I3202:I3265" si="50">IF(F3202&gt;6,"High Usage","Normal Usage")</f>
        <v>Normal Usage</v>
      </c>
    </row>
    <row r="3203" spans="1:9" x14ac:dyDescent="0.3">
      <c r="A3203">
        <v>13202</v>
      </c>
      <c r="B3203">
        <v>72</v>
      </c>
      <c r="C3203" s="2">
        <v>45253</v>
      </c>
      <c r="D3203" s="2" t="str">
        <f>TEXT(Table3[[#This Row],[usage_date]],"mmmm")</f>
        <v>November</v>
      </c>
      <c r="E3203" s="9">
        <f>YEAR(Table3[[#This Row],[usage_date]])</f>
        <v>2023</v>
      </c>
      <c r="F3203" s="14">
        <v>0.8</v>
      </c>
      <c r="G3203">
        <v>106</v>
      </c>
      <c r="H3203" t="s">
        <v>12</v>
      </c>
      <c r="I3203" t="str">
        <f t="shared" si="50"/>
        <v>Normal Usage</v>
      </c>
    </row>
    <row r="3204" spans="1:9" x14ac:dyDescent="0.3">
      <c r="A3204">
        <v>13203</v>
      </c>
      <c r="B3204">
        <v>363</v>
      </c>
      <c r="C3204" s="2">
        <v>45244</v>
      </c>
      <c r="D3204" s="2" t="str">
        <f>TEXT(Table3[[#This Row],[usage_date]],"mmmm")</f>
        <v>November</v>
      </c>
      <c r="E3204" s="9">
        <f>YEAR(Table3[[#This Row],[usage_date]])</f>
        <v>2023</v>
      </c>
      <c r="F3204" s="14">
        <v>0.9</v>
      </c>
      <c r="G3204">
        <v>283</v>
      </c>
      <c r="H3204" t="s">
        <v>12</v>
      </c>
      <c r="I3204" t="str">
        <f t="shared" si="50"/>
        <v>Normal Usage</v>
      </c>
    </row>
    <row r="3205" spans="1:9" x14ac:dyDescent="0.3">
      <c r="A3205">
        <v>13204</v>
      </c>
      <c r="B3205">
        <v>137</v>
      </c>
      <c r="C3205" s="2">
        <v>44856</v>
      </c>
      <c r="D3205" s="2" t="str">
        <f>TEXT(Table3[[#This Row],[usage_date]],"mmmm")</f>
        <v>October</v>
      </c>
      <c r="E3205" s="9">
        <f>YEAR(Table3[[#This Row],[usage_date]])</f>
        <v>2022</v>
      </c>
      <c r="F3205" s="14">
        <v>2.37</v>
      </c>
      <c r="G3205">
        <v>33</v>
      </c>
      <c r="H3205" t="s">
        <v>12</v>
      </c>
      <c r="I3205" t="str">
        <f t="shared" si="50"/>
        <v>Normal Usage</v>
      </c>
    </row>
    <row r="3206" spans="1:9" x14ac:dyDescent="0.3">
      <c r="A3206">
        <v>13205</v>
      </c>
      <c r="B3206">
        <v>175</v>
      </c>
      <c r="C3206" s="2">
        <v>45073</v>
      </c>
      <c r="D3206" s="2" t="str">
        <f>TEXT(Table3[[#This Row],[usage_date]],"mmmm")</f>
        <v>May</v>
      </c>
      <c r="E3206" s="9">
        <f>YEAR(Table3[[#This Row],[usage_date]])</f>
        <v>2023</v>
      </c>
      <c r="F3206" s="14">
        <v>1.44</v>
      </c>
      <c r="G3206">
        <v>294</v>
      </c>
      <c r="H3206" t="s">
        <v>12</v>
      </c>
      <c r="I3206" t="str">
        <f t="shared" si="50"/>
        <v>Normal Usage</v>
      </c>
    </row>
    <row r="3207" spans="1:9" x14ac:dyDescent="0.3">
      <c r="A3207">
        <v>13206</v>
      </c>
      <c r="B3207">
        <v>289</v>
      </c>
      <c r="C3207" s="2">
        <v>45250</v>
      </c>
      <c r="D3207" s="2" t="str">
        <f>TEXT(Table3[[#This Row],[usage_date]],"mmmm")</f>
        <v>November</v>
      </c>
      <c r="E3207" s="9">
        <f>YEAR(Table3[[#This Row],[usage_date]])</f>
        <v>2023</v>
      </c>
      <c r="F3207" s="14">
        <v>3.24</v>
      </c>
      <c r="G3207">
        <v>250</v>
      </c>
      <c r="H3207" t="s">
        <v>12</v>
      </c>
      <c r="I3207" t="str">
        <f t="shared" si="50"/>
        <v>Normal Usage</v>
      </c>
    </row>
    <row r="3208" spans="1:9" x14ac:dyDescent="0.3">
      <c r="A3208">
        <v>13207</v>
      </c>
      <c r="B3208">
        <v>446</v>
      </c>
      <c r="C3208" s="2">
        <v>45442</v>
      </c>
      <c r="D3208" s="2" t="str">
        <f>TEXT(Table3[[#This Row],[usage_date]],"mmmm")</f>
        <v>May</v>
      </c>
      <c r="E3208" s="9">
        <f>YEAR(Table3[[#This Row],[usage_date]])</f>
        <v>2024</v>
      </c>
      <c r="F3208" s="14">
        <v>5.63</v>
      </c>
      <c r="G3208">
        <v>125</v>
      </c>
      <c r="H3208" t="s">
        <v>12</v>
      </c>
      <c r="I3208" t="str">
        <f t="shared" si="50"/>
        <v>Normal Usage</v>
      </c>
    </row>
    <row r="3209" spans="1:9" x14ac:dyDescent="0.3">
      <c r="A3209">
        <v>13208</v>
      </c>
      <c r="B3209">
        <v>481</v>
      </c>
      <c r="C3209" s="2">
        <v>44957</v>
      </c>
      <c r="D3209" s="2" t="str">
        <f>TEXT(Table3[[#This Row],[usage_date]],"mmmm")</f>
        <v>January</v>
      </c>
      <c r="E3209" s="9">
        <f>YEAR(Table3[[#This Row],[usage_date]])</f>
        <v>2023</v>
      </c>
      <c r="F3209" s="14">
        <v>2.8</v>
      </c>
      <c r="G3209">
        <v>105</v>
      </c>
      <c r="H3209" t="s">
        <v>12</v>
      </c>
      <c r="I3209" t="str">
        <f t="shared" si="50"/>
        <v>Normal Usage</v>
      </c>
    </row>
    <row r="3210" spans="1:9" x14ac:dyDescent="0.3">
      <c r="A3210">
        <v>13209</v>
      </c>
      <c r="B3210">
        <v>19</v>
      </c>
      <c r="C3210" s="2">
        <v>45310</v>
      </c>
      <c r="D3210" s="2" t="str">
        <f>TEXT(Table3[[#This Row],[usage_date]],"mmmm")</f>
        <v>January</v>
      </c>
      <c r="E3210" s="9">
        <f>YEAR(Table3[[#This Row],[usage_date]])</f>
        <v>2024</v>
      </c>
      <c r="F3210" s="14">
        <v>0.56999999999999995</v>
      </c>
      <c r="G3210">
        <v>179</v>
      </c>
      <c r="H3210" t="s">
        <v>12</v>
      </c>
      <c r="I3210" t="str">
        <f t="shared" si="50"/>
        <v>Normal Usage</v>
      </c>
    </row>
    <row r="3211" spans="1:9" x14ac:dyDescent="0.3">
      <c r="A3211">
        <v>13210</v>
      </c>
      <c r="B3211">
        <v>195</v>
      </c>
      <c r="C3211" s="2">
        <v>44699</v>
      </c>
      <c r="D3211" s="2" t="str">
        <f>TEXT(Table3[[#This Row],[usage_date]],"mmmm")</f>
        <v>May</v>
      </c>
      <c r="E3211" s="9">
        <f>YEAR(Table3[[#This Row],[usage_date]])</f>
        <v>2022</v>
      </c>
      <c r="F3211" s="14">
        <v>6.75</v>
      </c>
      <c r="G3211">
        <v>109</v>
      </c>
      <c r="H3211" t="s">
        <v>13</v>
      </c>
      <c r="I3211" t="str">
        <f t="shared" si="50"/>
        <v>High Usage</v>
      </c>
    </row>
    <row r="3212" spans="1:9" x14ac:dyDescent="0.3">
      <c r="A3212">
        <v>13211</v>
      </c>
      <c r="B3212">
        <v>330</v>
      </c>
      <c r="C3212" s="2">
        <v>45400</v>
      </c>
      <c r="D3212" s="2" t="str">
        <f>TEXT(Table3[[#This Row],[usage_date]],"mmmm")</f>
        <v>April</v>
      </c>
      <c r="E3212" s="9">
        <f>YEAR(Table3[[#This Row],[usage_date]])</f>
        <v>2024</v>
      </c>
      <c r="F3212" s="14">
        <v>0.77</v>
      </c>
      <c r="G3212">
        <v>227</v>
      </c>
      <c r="H3212" t="s">
        <v>12</v>
      </c>
      <c r="I3212" t="str">
        <f t="shared" si="50"/>
        <v>Normal Usage</v>
      </c>
    </row>
    <row r="3213" spans="1:9" x14ac:dyDescent="0.3">
      <c r="A3213">
        <v>13212</v>
      </c>
      <c r="B3213">
        <v>424</v>
      </c>
      <c r="C3213" s="2">
        <v>45439</v>
      </c>
      <c r="D3213" s="2" t="str">
        <f>TEXT(Table3[[#This Row],[usage_date]],"mmmm")</f>
        <v>May</v>
      </c>
      <c r="E3213" s="9">
        <f>YEAR(Table3[[#This Row],[usage_date]])</f>
        <v>2024</v>
      </c>
      <c r="F3213" s="14">
        <v>0.41</v>
      </c>
      <c r="G3213">
        <v>120</v>
      </c>
      <c r="H3213" t="s">
        <v>13</v>
      </c>
      <c r="I3213" t="str">
        <f t="shared" si="50"/>
        <v>Normal Usage</v>
      </c>
    </row>
    <row r="3214" spans="1:9" x14ac:dyDescent="0.3">
      <c r="A3214">
        <v>13213</v>
      </c>
      <c r="B3214">
        <v>175</v>
      </c>
      <c r="C3214" s="2">
        <v>45384</v>
      </c>
      <c r="D3214" s="2" t="str">
        <f>TEXT(Table3[[#This Row],[usage_date]],"mmmm")</f>
        <v>April</v>
      </c>
      <c r="E3214" s="9">
        <f>YEAR(Table3[[#This Row],[usage_date]])</f>
        <v>2024</v>
      </c>
      <c r="F3214" s="14">
        <v>0.24</v>
      </c>
      <c r="G3214">
        <v>106</v>
      </c>
      <c r="H3214" t="s">
        <v>12</v>
      </c>
      <c r="I3214" t="str">
        <f t="shared" si="50"/>
        <v>Normal Usage</v>
      </c>
    </row>
    <row r="3215" spans="1:9" x14ac:dyDescent="0.3">
      <c r="A3215">
        <v>13214</v>
      </c>
      <c r="B3215">
        <v>490</v>
      </c>
      <c r="C3215" s="2">
        <v>44690</v>
      </c>
      <c r="D3215" s="2" t="str">
        <f>TEXT(Table3[[#This Row],[usage_date]],"mmmm")</f>
        <v>May</v>
      </c>
      <c r="E3215" s="9">
        <f>YEAR(Table3[[#This Row],[usage_date]])</f>
        <v>2022</v>
      </c>
      <c r="F3215" s="14">
        <v>2.0699999999999998</v>
      </c>
      <c r="G3215">
        <v>130</v>
      </c>
      <c r="H3215" t="s">
        <v>13</v>
      </c>
      <c r="I3215" t="str">
        <f t="shared" si="50"/>
        <v>Normal Usage</v>
      </c>
    </row>
    <row r="3216" spans="1:9" x14ac:dyDescent="0.3">
      <c r="A3216">
        <v>13215</v>
      </c>
      <c r="B3216">
        <v>449</v>
      </c>
      <c r="C3216" s="2">
        <v>44610</v>
      </c>
      <c r="D3216" s="2" t="str">
        <f>TEXT(Table3[[#This Row],[usage_date]],"mmmm")</f>
        <v>February</v>
      </c>
      <c r="E3216" s="9">
        <f>YEAR(Table3[[#This Row],[usage_date]])</f>
        <v>2022</v>
      </c>
      <c r="F3216" s="14">
        <v>0.3</v>
      </c>
      <c r="G3216">
        <v>22</v>
      </c>
      <c r="H3216" t="s">
        <v>12</v>
      </c>
      <c r="I3216" t="str">
        <f t="shared" si="50"/>
        <v>Normal Usage</v>
      </c>
    </row>
    <row r="3217" spans="1:9" x14ac:dyDescent="0.3">
      <c r="A3217">
        <v>13216</v>
      </c>
      <c r="B3217">
        <v>413</v>
      </c>
      <c r="C3217" s="2">
        <v>45237</v>
      </c>
      <c r="D3217" s="2" t="str">
        <f>TEXT(Table3[[#This Row],[usage_date]],"mmmm")</f>
        <v>November</v>
      </c>
      <c r="E3217" s="9">
        <f>YEAR(Table3[[#This Row],[usage_date]])</f>
        <v>2023</v>
      </c>
      <c r="F3217" s="14">
        <v>0.37</v>
      </c>
      <c r="G3217">
        <v>144</v>
      </c>
      <c r="H3217" t="s">
        <v>13</v>
      </c>
      <c r="I3217" t="str">
        <f t="shared" si="50"/>
        <v>Normal Usage</v>
      </c>
    </row>
    <row r="3218" spans="1:9" x14ac:dyDescent="0.3">
      <c r="A3218">
        <v>13217</v>
      </c>
      <c r="B3218">
        <v>434</v>
      </c>
      <c r="C3218" s="2">
        <v>45350</v>
      </c>
      <c r="D3218" s="2" t="str">
        <f>TEXT(Table3[[#This Row],[usage_date]],"mmmm")</f>
        <v>February</v>
      </c>
      <c r="E3218" s="9">
        <f>YEAR(Table3[[#This Row],[usage_date]])</f>
        <v>2024</v>
      </c>
      <c r="F3218" s="14">
        <v>0.89</v>
      </c>
      <c r="G3218">
        <v>153</v>
      </c>
      <c r="H3218" t="s">
        <v>12</v>
      </c>
      <c r="I3218" t="str">
        <f t="shared" si="50"/>
        <v>Normal Usage</v>
      </c>
    </row>
    <row r="3219" spans="1:9" x14ac:dyDescent="0.3">
      <c r="A3219">
        <v>13218</v>
      </c>
      <c r="B3219">
        <v>354</v>
      </c>
      <c r="C3219" s="2">
        <v>44854</v>
      </c>
      <c r="D3219" s="2" t="str">
        <f>TEXT(Table3[[#This Row],[usage_date]],"mmmm")</f>
        <v>October</v>
      </c>
      <c r="E3219" s="9">
        <f>YEAR(Table3[[#This Row],[usage_date]])</f>
        <v>2022</v>
      </c>
      <c r="F3219" s="14">
        <v>0.83</v>
      </c>
      <c r="G3219">
        <v>106</v>
      </c>
      <c r="H3219" t="s">
        <v>12</v>
      </c>
      <c r="I3219" t="str">
        <f t="shared" si="50"/>
        <v>Normal Usage</v>
      </c>
    </row>
    <row r="3220" spans="1:9" x14ac:dyDescent="0.3">
      <c r="A3220">
        <v>13219</v>
      </c>
      <c r="B3220">
        <v>499</v>
      </c>
      <c r="C3220" s="2">
        <v>45189</v>
      </c>
      <c r="D3220" s="2" t="str">
        <f>TEXT(Table3[[#This Row],[usage_date]],"mmmm")</f>
        <v>September</v>
      </c>
      <c r="E3220" s="9">
        <f>YEAR(Table3[[#This Row],[usage_date]])</f>
        <v>2023</v>
      </c>
      <c r="F3220" s="14">
        <v>2.3199999999999998</v>
      </c>
      <c r="G3220">
        <v>145</v>
      </c>
      <c r="H3220" t="s">
        <v>12</v>
      </c>
      <c r="I3220" t="str">
        <f t="shared" si="50"/>
        <v>Normal Usage</v>
      </c>
    </row>
    <row r="3221" spans="1:9" x14ac:dyDescent="0.3">
      <c r="A3221">
        <v>13220</v>
      </c>
      <c r="B3221">
        <v>141</v>
      </c>
      <c r="C3221" s="2">
        <v>45097</v>
      </c>
      <c r="D3221" s="2" t="str">
        <f>TEXT(Table3[[#This Row],[usage_date]],"mmmm")</f>
        <v>June</v>
      </c>
      <c r="E3221" s="9">
        <f>YEAR(Table3[[#This Row],[usage_date]])</f>
        <v>2023</v>
      </c>
      <c r="F3221" s="14">
        <v>4.24</v>
      </c>
      <c r="G3221">
        <v>251</v>
      </c>
      <c r="H3221" t="s">
        <v>12</v>
      </c>
      <c r="I3221" t="str">
        <f t="shared" si="50"/>
        <v>Normal Usage</v>
      </c>
    </row>
    <row r="3222" spans="1:9" x14ac:dyDescent="0.3">
      <c r="A3222">
        <v>13221</v>
      </c>
      <c r="B3222">
        <v>246</v>
      </c>
      <c r="C3222" s="2">
        <v>44872</v>
      </c>
      <c r="D3222" s="2" t="str">
        <f>TEXT(Table3[[#This Row],[usage_date]],"mmmm")</f>
        <v>November</v>
      </c>
      <c r="E3222" s="9">
        <f>YEAR(Table3[[#This Row],[usage_date]])</f>
        <v>2022</v>
      </c>
      <c r="F3222" s="14">
        <v>3.58</v>
      </c>
      <c r="G3222">
        <v>69</v>
      </c>
      <c r="H3222" t="s">
        <v>13</v>
      </c>
      <c r="I3222" t="str">
        <f t="shared" si="50"/>
        <v>Normal Usage</v>
      </c>
    </row>
    <row r="3223" spans="1:9" x14ac:dyDescent="0.3">
      <c r="A3223">
        <v>13222</v>
      </c>
      <c r="B3223">
        <v>385</v>
      </c>
      <c r="C3223" s="2">
        <v>45098</v>
      </c>
      <c r="D3223" s="2" t="str">
        <f>TEXT(Table3[[#This Row],[usage_date]],"mmmm")</f>
        <v>June</v>
      </c>
      <c r="E3223" s="9">
        <f>YEAR(Table3[[#This Row],[usage_date]])</f>
        <v>2023</v>
      </c>
      <c r="F3223" s="14">
        <v>0.76</v>
      </c>
      <c r="G3223">
        <v>30</v>
      </c>
      <c r="H3223" t="s">
        <v>12</v>
      </c>
      <c r="I3223" t="str">
        <f t="shared" si="50"/>
        <v>Normal Usage</v>
      </c>
    </row>
    <row r="3224" spans="1:9" x14ac:dyDescent="0.3">
      <c r="A3224">
        <v>13223</v>
      </c>
      <c r="B3224">
        <v>418</v>
      </c>
      <c r="C3224" s="2">
        <v>45200</v>
      </c>
      <c r="D3224" s="2" t="str">
        <f>TEXT(Table3[[#This Row],[usage_date]],"mmmm")</f>
        <v>October</v>
      </c>
      <c r="E3224" s="9">
        <f>YEAR(Table3[[#This Row],[usage_date]])</f>
        <v>2023</v>
      </c>
      <c r="F3224" s="14">
        <v>0.7</v>
      </c>
      <c r="G3224">
        <v>92</v>
      </c>
      <c r="H3224" t="s">
        <v>12</v>
      </c>
      <c r="I3224" t="str">
        <f t="shared" si="50"/>
        <v>Normal Usage</v>
      </c>
    </row>
    <row r="3225" spans="1:9" x14ac:dyDescent="0.3">
      <c r="A3225">
        <v>13224</v>
      </c>
      <c r="B3225">
        <v>93</v>
      </c>
      <c r="C3225" s="2">
        <v>44795</v>
      </c>
      <c r="D3225" s="2" t="str">
        <f>TEXT(Table3[[#This Row],[usage_date]],"mmmm")</f>
        <v>August</v>
      </c>
      <c r="E3225" s="9">
        <f>YEAR(Table3[[#This Row],[usage_date]])</f>
        <v>2022</v>
      </c>
      <c r="F3225" s="14">
        <v>8.44</v>
      </c>
      <c r="G3225">
        <v>136</v>
      </c>
      <c r="H3225" t="s">
        <v>12</v>
      </c>
      <c r="I3225" t="str">
        <f t="shared" si="50"/>
        <v>High Usage</v>
      </c>
    </row>
    <row r="3226" spans="1:9" x14ac:dyDescent="0.3">
      <c r="A3226">
        <v>13225</v>
      </c>
      <c r="B3226">
        <v>432</v>
      </c>
      <c r="C3226" s="2">
        <v>44770</v>
      </c>
      <c r="D3226" s="2" t="str">
        <f>TEXT(Table3[[#This Row],[usage_date]],"mmmm")</f>
        <v>July</v>
      </c>
      <c r="E3226" s="9">
        <f>YEAR(Table3[[#This Row],[usage_date]])</f>
        <v>2022</v>
      </c>
      <c r="F3226" s="14">
        <v>0.02</v>
      </c>
      <c r="G3226">
        <v>162</v>
      </c>
      <c r="H3226" t="s">
        <v>12</v>
      </c>
      <c r="I3226" t="str">
        <f t="shared" si="50"/>
        <v>Normal Usage</v>
      </c>
    </row>
    <row r="3227" spans="1:9" x14ac:dyDescent="0.3">
      <c r="A3227">
        <v>13226</v>
      </c>
      <c r="B3227">
        <v>239</v>
      </c>
      <c r="C3227" s="2">
        <v>45166</v>
      </c>
      <c r="D3227" s="2" t="str">
        <f>TEXT(Table3[[#This Row],[usage_date]],"mmmm")</f>
        <v>August</v>
      </c>
      <c r="E3227" s="9">
        <f>YEAR(Table3[[#This Row],[usage_date]])</f>
        <v>2023</v>
      </c>
      <c r="F3227" s="14">
        <v>5.29</v>
      </c>
      <c r="G3227">
        <v>80</v>
      </c>
      <c r="H3227" t="s">
        <v>12</v>
      </c>
      <c r="I3227" t="str">
        <f t="shared" si="50"/>
        <v>Normal Usage</v>
      </c>
    </row>
    <row r="3228" spans="1:9" x14ac:dyDescent="0.3">
      <c r="A3228">
        <v>13227</v>
      </c>
      <c r="B3228">
        <v>205</v>
      </c>
      <c r="C3228" s="2">
        <v>44655</v>
      </c>
      <c r="D3228" s="2" t="str">
        <f>TEXT(Table3[[#This Row],[usage_date]],"mmmm")</f>
        <v>April</v>
      </c>
      <c r="E3228" s="9">
        <f>YEAR(Table3[[#This Row],[usage_date]])</f>
        <v>2022</v>
      </c>
      <c r="F3228" s="14">
        <v>0.56000000000000005</v>
      </c>
      <c r="G3228">
        <v>75</v>
      </c>
      <c r="H3228" t="s">
        <v>12</v>
      </c>
      <c r="I3228" t="str">
        <f t="shared" si="50"/>
        <v>Normal Usage</v>
      </c>
    </row>
    <row r="3229" spans="1:9" x14ac:dyDescent="0.3">
      <c r="A3229">
        <v>13228</v>
      </c>
      <c r="B3229">
        <v>48</v>
      </c>
      <c r="C3229" s="2">
        <v>44888</v>
      </c>
      <c r="D3229" s="2" t="str">
        <f>TEXT(Table3[[#This Row],[usage_date]],"mmmm")</f>
        <v>November</v>
      </c>
      <c r="E3229" s="9">
        <f>YEAR(Table3[[#This Row],[usage_date]])</f>
        <v>2022</v>
      </c>
      <c r="F3229" s="14">
        <v>7.36</v>
      </c>
      <c r="G3229">
        <v>62</v>
      </c>
      <c r="H3229" t="s">
        <v>12</v>
      </c>
      <c r="I3229" t="str">
        <f t="shared" si="50"/>
        <v>High Usage</v>
      </c>
    </row>
    <row r="3230" spans="1:9" x14ac:dyDescent="0.3">
      <c r="A3230">
        <v>13229</v>
      </c>
      <c r="B3230">
        <v>433</v>
      </c>
      <c r="C3230" s="2">
        <v>44786</v>
      </c>
      <c r="D3230" s="2" t="str">
        <f>TEXT(Table3[[#This Row],[usage_date]],"mmmm")</f>
        <v>August</v>
      </c>
      <c r="E3230" s="9">
        <f>YEAR(Table3[[#This Row],[usage_date]])</f>
        <v>2022</v>
      </c>
      <c r="F3230" s="14">
        <v>1.05</v>
      </c>
      <c r="G3230">
        <v>99</v>
      </c>
      <c r="H3230" t="s">
        <v>12</v>
      </c>
      <c r="I3230" t="str">
        <f t="shared" si="50"/>
        <v>Normal Usage</v>
      </c>
    </row>
    <row r="3231" spans="1:9" x14ac:dyDescent="0.3">
      <c r="A3231">
        <v>13230</v>
      </c>
      <c r="B3231">
        <v>245</v>
      </c>
      <c r="C3231" s="2">
        <v>45451</v>
      </c>
      <c r="D3231" s="2" t="str">
        <f>TEXT(Table3[[#This Row],[usage_date]],"mmmm")</f>
        <v>June</v>
      </c>
      <c r="E3231" s="9">
        <f>YEAR(Table3[[#This Row],[usage_date]])</f>
        <v>2024</v>
      </c>
      <c r="F3231" s="14">
        <v>1.45</v>
      </c>
      <c r="G3231">
        <v>47</v>
      </c>
      <c r="H3231" t="s">
        <v>12</v>
      </c>
      <c r="I3231" t="str">
        <f t="shared" si="50"/>
        <v>Normal Usage</v>
      </c>
    </row>
    <row r="3232" spans="1:9" x14ac:dyDescent="0.3">
      <c r="A3232">
        <v>13231</v>
      </c>
      <c r="B3232">
        <v>320</v>
      </c>
      <c r="C3232" s="2">
        <v>45353</v>
      </c>
      <c r="D3232" s="2" t="str">
        <f>TEXT(Table3[[#This Row],[usage_date]],"mmmm")</f>
        <v>March</v>
      </c>
      <c r="E3232" s="9">
        <f>YEAR(Table3[[#This Row],[usage_date]])</f>
        <v>2024</v>
      </c>
      <c r="F3232" s="14">
        <v>3.07</v>
      </c>
      <c r="G3232">
        <v>73</v>
      </c>
      <c r="H3232" t="s">
        <v>12</v>
      </c>
      <c r="I3232" t="str">
        <f t="shared" si="50"/>
        <v>Normal Usage</v>
      </c>
    </row>
    <row r="3233" spans="1:9" x14ac:dyDescent="0.3">
      <c r="A3233">
        <v>13232</v>
      </c>
      <c r="B3233">
        <v>317</v>
      </c>
      <c r="C3233" s="2">
        <v>44572</v>
      </c>
      <c r="D3233" s="2" t="str">
        <f>TEXT(Table3[[#This Row],[usage_date]],"mmmm")</f>
        <v>January</v>
      </c>
      <c r="E3233" s="9">
        <f>YEAR(Table3[[#This Row],[usage_date]])</f>
        <v>2022</v>
      </c>
      <c r="F3233" s="14">
        <v>2.21</v>
      </c>
      <c r="G3233">
        <v>191</v>
      </c>
      <c r="H3233" t="s">
        <v>12</v>
      </c>
      <c r="I3233" t="str">
        <f t="shared" si="50"/>
        <v>Normal Usage</v>
      </c>
    </row>
    <row r="3234" spans="1:9" x14ac:dyDescent="0.3">
      <c r="A3234">
        <v>13233</v>
      </c>
      <c r="B3234">
        <v>413</v>
      </c>
      <c r="C3234" s="2">
        <v>44890</v>
      </c>
      <c r="D3234" s="2" t="str">
        <f>TEXT(Table3[[#This Row],[usage_date]],"mmmm")</f>
        <v>November</v>
      </c>
      <c r="E3234" s="9">
        <f>YEAR(Table3[[#This Row],[usage_date]])</f>
        <v>2022</v>
      </c>
      <c r="F3234" s="14">
        <v>0.96</v>
      </c>
      <c r="G3234">
        <v>29</v>
      </c>
      <c r="H3234" t="s">
        <v>12</v>
      </c>
      <c r="I3234" t="str">
        <f t="shared" si="50"/>
        <v>Normal Usage</v>
      </c>
    </row>
    <row r="3235" spans="1:9" x14ac:dyDescent="0.3">
      <c r="A3235">
        <v>13234</v>
      </c>
      <c r="B3235">
        <v>295</v>
      </c>
      <c r="C3235" s="2">
        <v>44573</v>
      </c>
      <c r="D3235" s="2" t="str">
        <f>TEXT(Table3[[#This Row],[usage_date]],"mmmm")</f>
        <v>January</v>
      </c>
      <c r="E3235" s="9">
        <f>YEAR(Table3[[#This Row],[usage_date]])</f>
        <v>2022</v>
      </c>
      <c r="F3235" s="14">
        <v>2.02</v>
      </c>
      <c r="G3235">
        <v>156</v>
      </c>
      <c r="H3235" t="s">
        <v>12</v>
      </c>
      <c r="I3235" t="str">
        <f t="shared" si="50"/>
        <v>Normal Usage</v>
      </c>
    </row>
    <row r="3236" spans="1:9" x14ac:dyDescent="0.3">
      <c r="A3236">
        <v>13235</v>
      </c>
      <c r="B3236">
        <v>128</v>
      </c>
      <c r="C3236" s="2">
        <v>44596</v>
      </c>
      <c r="D3236" s="2" t="str">
        <f>TEXT(Table3[[#This Row],[usage_date]],"mmmm")</f>
        <v>February</v>
      </c>
      <c r="E3236" s="9">
        <f>YEAR(Table3[[#This Row],[usage_date]])</f>
        <v>2022</v>
      </c>
      <c r="F3236" s="14">
        <v>3.28</v>
      </c>
      <c r="G3236">
        <v>265</v>
      </c>
      <c r="H3236" t="s">
        <v>13</v>
      </c>
      <c r="I3236" t="str">
        <f t="shared" si="50"/>
        <v>Normal Usage</v>
      </c>
    </row>
    <row r="3237" spans="1:9" x14ac:dyDescent="0.3">
      <c r="A3237">
        <v>13236</v>
      </c>
      <c r="B3237">
        <v>344</v>
      </c>
      <c r="C3237" s="2">
        <v>45008</v>
      </c>
      <c r="D3237" s="2" t="str">
        <f>TEXT(Table3[[#This Row],[usage_date]],"mmmm")</f>
        <v>March</v>
      </c>
      <c r="E3237" s="9">
        <f>YEAR(Table3[[#This Row],[usage_date]])</f>
        <v>2023</v>
      </c>
      <c r="F3237" s="14">
        <v>0.11</v>
      </c>
      <c r="G3237">
        <v>255</v>
      </c>
      <c r="H3237" t="s">
        <v>13</v>
      </c>
      <c r="I3237" t="str">
        <f t="shared" si="50"/>
        <v>Normal Usage</v>
      </c>
    </row>
    <row r="3238" spans="1:9" x14ac:dyDescent="0.3">
      <c r="A3238">
        <v>13237</v>
      </c>
      <c r="B3238">
        <v>282</v>
      </c>
      <c r="C3238" s="2">
        <v>45013</v>
      </c>
      <c r="D3238" s="2" t="str">
        <f>TEXT(Table3[[#This Row],[usage_date]],"mmmm")</f>
        <v>March</v>
      </c>
      <c r="E3238" s="9">
        <f>YEAR(Table3[[#This Row],[usage_date]])</f>
        <v>2023</v>
      </c>
      <c r="F3238" s="14">
        <v>0.03</v>
      </c>
      <c r="G3238">
        <v>38</v>
      </c>
      <c r="H3238" t="s">
        <v>13</v>
      </c>
      <c r="I3238" t="str">
        <f t="shared" si="50"/>
        <v>Normal Usage</v>
      </c>
    </row>
    <row r="3239" spans="1:9" x14ac:dyDescent="0.3">
      <c r="A3239">
        <v>13238</v>
      </c>
      <c r="B3239">
        <v>17</v>
      </c>
      <c r="C3239" s="2">
        <v>45301</v>
      </c>
      <c r="D3239" s="2" t="str">
        <f>TEXT(Table3[[#This Row],[usage_date]],"mmmm")</f>
        <v>January</v>
      </c>
      <c r="E3239" s="9">
        <f>YEAR(Table3[[#This Row],[usage_date]])</f>
        <v>2024</v>
      </c>
      <c r="F3239" s="14">
        <v>1.53</v>
      </c>
      <c r="G3239">
        <v>54</v>
      </c>
      <c r="H3239" t="s">
        <v>12</v>
      </c>
      <c r="I3239" t="str">
        <f t="shared" si="50"/>
        <v>Normal Usage</v>
      </c>
    </row>
    <row r="3240" spans="1:9" x14ac:dyDescent="0.3">
      <c r="A3240">
        <v>13239</v>
      </c>
      <c r="B3240">
        <v>71</v>
      </c>
      <c r="C3240" s="2">
        <v>44781</v>
      </c>
      <c r="D3240" s="2" t="str">
        <f>TEXT(Table3[[#This Row],[usage_date]],"mmmm")</f>
        <v>August</v>
      </c>
      <c r="E3240" s="9">
        <f>YEAR(Table3[[#This Row],[usage_date]])</f>
        <v>2022</v>
      </c>
      <c r="F3240" s="14">
        <v>0.35</v>
      </c>
      <c r="G3240">
        <v>27</v>
      </c>
      <c r="H3240" t="s">
        <v>13</v>
      </c>
      <c r="I3240" t="str">
        <f t="shared" si="50"/>
        <v>Normal Usage</v>
      </c>
    </row>
    <row r="3241" spans="1:9" x14ac:dyDescent="0.3">
      <c r="A3241">
        <v>13240</v>
      </c>
      <c r="B3241">
        <v>269</v>
      </c>
      <c r="C3241" s="2">
        <v>45002</v>
      </c>
      <c r="D3241" s="2" t="str">
        <f>TEXT(Table3[[#This Row],[usage_date]],"mmmm")</f>
        <v>March</v>
      </c>
      <c r="E3241" s="9">
        <f>YEAR(Table3[[#This Row],[usage_date]])</f>
        <v>2023</v>
      </c>
      <c r="F3241" s="14">
        <v>2.73</v>
      </c>
      <c r="G3241">
        <v>117</v>
      </c>
      <c r="H3241" t="s">
        <v>12</v>
      </c>
      <c r="I3241" t="str">
        <f t="shared" si="50"/>
        <v>Normal Usage</v>
      </c>
    </row>
    <row r="3242" spans="1:9" x14ac:dyDescent="0.3">
      <c r="A3242">
        <v>13241</v>
      </c>
      <c r="B3242">
        <v>325</v>
      </c>
      <c r="C3242" s="2">
        <v>45214</v>
      </c>
      <c r="D3242" s="2" t="str">
        <f>TEXT(Table3[[#This Row],[usage_date]],"mmmm")</f>
        <v>October</v>
      </c>
      <c r="E3242" s="9">
        <f>YEAR(Table3[[#This Row],[usage_date]])</f>
        <v>2023</v>
      </c>
      <c r="F3242" s="14">
        <v>0.6</v>
      </c>
      <c r="G3242">
        <v>208</v>
      </c>
      <c r="H3242" t="s">
        <v>12</v>
      </c>
      <c r="I3242" t="str">
        <f t="shared" si="50"/>
        <v>Normal Usage</v>
      </c>
    </row>
    <row r="3243" spans="1:9" x14ac:dyDescent="0.3">
      <c r="A3243">
        <v>13242</v>
      </c>
      <c r="B3243">
        <v>282</v>
      </c>
      <c r="C3243" s="2">
        <v>45096</v>
      </c>
      <c r="D3243" s="2" t="str">
        <f>TEXT(Table3[[#This Row],[usage_date]],"mmmm")</f>
        <v>June</v>
      </c>
      <c r="E3243" s="9">
        <f>YEAR(Table3[[#This Row],[usage_date]])</f>
        <v>2023</v>
      </c>
      <c r="F3243" s="14">
        <v>1.42</v>
      </c>
      <c r="G3243">
        <v>74</v>
      </c>
      <c r="H3243" t="s">
        <v>12</v>
      </c>
      <c r="I3243" t="str">
        <f t="shared" si="50"/>
        <v>Normal Usage</v>
      </c>
    </row>
    <row r="3244" spans="1:9" x14ac:dyDescent="0.3">
      <c r="A3244">
        <v>13243</v>
      </c>
      <c r="B3244">
        <v>305</v>
      </c>
      <c r="C3244" s="2">
        <v>45156</v>
      </c>
      <c r="D3244" s="2" t="str">
        <f>TEXT(Table3[[#This Row],[usage_date]],"mmmm")</f>
        <v>August</v>
      </c>
      <c r="E3244" s="9">
        <f>YEAR(Table3[[#This Row],[usage_date]])</f>
        <v>2023</v>
      </c>
      <c r="F3244" s="14">
        <v>0.55000000000000004</v>
      </c>
      <c r="G3244">
        <v>64</v>
      </c>
      <c r="H3244" t="s">
        <v>13</v>
      </c>
      <c r="I3244" t="str">
        <f t="shared" si="50"/>
        <v>Normal Usage</v>
      </c>
    </row>
    <row r="3245" spans="1:9" x14ac:dyDescent="0.3">
      <c r="A3245">
        <v>13244</v>
      </c>
      <c r="B3245">
        <v>451</v>
      </c>
      <c r="C3245" s="2">
        <v>44790</v>
      </c>
      <c r="D3245" s="2" t="str">
        <f>TEXT(Table3[[#This Row],[usage_date]],"mmmm")</f>
        <v>August</v>
      </c>
      <c r="E3245" s="9">
        <f>YEAR(Table3[[#This Row],[usage_date]])</f>
        <v>2022</v>
      </c>
      <c r="F3245" s="14">
        <v>1.99</v>
      </c>
      <c r="G3245">
        <v>99</v>
      </c>
      <c r="H3245" t="s">
        <v>13</v>
      </c>
      <c r="I3245" t="str">
        <f t="shared" si="50"/>
        <v>Normal Usage</v>
      </c>
    </row>
    <row r="3246" spans="1:9" x14ac:dyDescent="0.3">
      <c r="A3246">
        <v>13245</v>
      </c>
      <c r="B3246">
        <v>7</v>
      </c>
      <c r="C3246" s="2">
        <v>44905</v>
      </c>
      <c r="D3246" s="2" t="str">
        <f>TEXT(Table3[[#This Row],[usage_date]],"mmmm")</f>
        <v>December</v>
      </c>
      <c r="E3246" s="9">
        <f>YEAR(Table3[[#This Row],[usage_date]])</f>
        <v>2022</v>
      </c>
      <c r="F3246" s="14">
        <v>0.31</v>
      </c>
      <c r="G3246">
        <v>45</v>
      </c>
      <c r="H3246" t="s">
        <v>12</v>
      </c>
      <c r="I3246" t="str">
        <f t="shared" si="50"/>
        <v>Normal Usage</v>
      </c>
    </row>
    <row r="3247" spans="1:9" x14ac:dyDescent="0.3">
      <c r="A3247">
        <v>13246</v>
      </c>
      <c r="B3247">
        <v>314</v>
      </c>
      <c r="C3247" s="2">
        <v>44641</v>
      </c>
      <c r="D3247" s="2" t="str">
        <f>TEXT(Table3[[#This Row],[usage_date]],"mmmm")</f>
        <v>March</v>
      </c>
      <c r="E3247" s="9">
        <f>YEAR(Table3[[#This Row],[usage_date]])</f>
        <v>2022</v>
      </c>
      <c r="F3247" s="14">
        <v>0.06</v>
      </c>
      <c r="G3247">
        <v>155</v>
      </c>
      <c r="H3247" t="s">
        <v>12</v>
      </c>
      <c r="I3247" t="str">
        <f t="shared" si="50"/>
        <v>Normal Usage</v>
      </c>
    </row>
    <row r="3248" spans="1:9" x14ac:dyDescent="0.3">
      <c r="A3248">
        <v>13247</v>
      </c>
      <c r="B3248">
        <v>305</v>
      </c>
      <c r="C3248" s="2">
        <v>44914</v>
      </c>
      <c r="D3248" s="2" t="str">
        <f>TEXT(Table3[[#This Row],[usage_date]],"mmmm")</f>
        <v>December</v>
      </c>
      <c r="E3248" s="9">
        <f>YEAR(Table3[[#This Row],[usage_date]])</f>
        <v>2022</v>
      </c>
      <c r="F3248" s="14">
        <v>0.13</v>
      </c>
      <c r="G3248">
        <v>239</v>
      </c>
      <c r="H3248" t="s">
        <v>12</v>
      </c>
      <c r="I3248" t="str">
        <f t="shared" si="50"/>
        <v>Normal Usage</v>
      </c>
    </row>
    <row r="3249" spans="1:9" x14ac:dyDescent="0.3">
      <c r="A3249">
        <v>13248</v>
      </c>
      <c r="B3249">
        <v>103</v>
      </c>
      <c r="C3249" s="2">
        <v>44957</v>
      </c>
      <c r="D3249" s="2" t="str">
        <f>TEXT(Table3[[#This Row],[usage_date]],"mmmm")</f>
        <v>January</v>
      </c>
      <c r="E3249" s="9">
        <f>YEAR(Table3[[#This Row],[usage_date]])</f>
        <v>2023</v>
      </c>
      <c r="F3249" s="14">
        <v>7.71</v>
      </c>
      <c r="G3249">
        <v>258</v>
      </c>
      <c r="H3249" t="s">
        <v>13</v>
      </c>
      <c r="I3249" t="str">
        <f t="shared" si="50"/>
        <v>High Usage</v>
      </c>
    </row>
    <row r="3250" spans="1:9" x14ac:dyDescent="0.3">
      <c r="A3250">
        <v>13249</v>
      </c>
      <c r="B3250">
        <v>309</v>
      </c>
      <c r="C3250" s="2">
        <v>44851</v>
      </c>
      <c r="D3250" s="2" t="str">
        <f>TEXT(Table3[[#This Row],[usage_date]],"mmmm")</f>
        <v>October</v>
      </c>
      <c r="E3250" s="9">
        <f>YEAR(Table3[[#This Row],[usage_date]])</f>
        <v>2022</v>
      </c>
      <c r="F3250" s="14">
        <v>0.38</v>
      </c>
      <c r="G3250">
        <v>135</v>
      </c>
      <c r="H3250" t="s">
        <v>13</v>
      </c>
      <c r="I3250" t="str">
        <f t="shared" si="50"/>
        <v>Normal Usage</v>
      </c>
    </row>
    <row r="3251" spans="1:9" x14ac:dyDescent="0.3">
      <c r="A3251">
        <v>13250</v>
      </c>
      <c r="B3251">
        <v>193</v>
      </c>
      <c r="C3251" s="2">
        <v>45016</v>
      </c>
      <c r="D3251" s="2" t="str">
        <f>TEXT(Table3[[#This Row],[usage_date]],"mmmm")</f>
        <v>March</v>
      </c>
      <c r="E3251" s="9">
        <f>YEAR(Table3[[#This Row],[usage_date]])</f>
        <v>2023</v>
      </c>
      <c r="F3251" s="14">
        <v>3.08</v>
      </c>
      <c r="G3251">
        <v>197</v>
      </c>
      <c r="H3251" t="s">
        <v>12</v>
      </c>
      <c r="I3251" t="str">
        <f t="shared" si="50"/>
        <v>Normal Usage</v>
      </c>
    </row>
    <row r="3252" spans="1:9" x14ac:dyDescent="0.3">
      <c r="A3252">
        <v>13251</v>
      </c>
      <c r="B3252">
        <v>241</v>
      </c>
      <c r="C3252" s="2">
        <v>45404</v>
      </c>
      <c r="D3252" s="2" t="str">
        <f>TEXT(Table3[[#This Row],[usage_date]],"mmmm")</f>
        <v>April</v>
      </c>
      <c r="E3252" s="9">
        <f>YEAR(Table3[[#This Row],[usage_date]])</f>
        <v>2024</v>
      </c>
      <c r="F3252" s="14">
        <v>0.18</v>
      </c>
      <c r="G3252">
        <v>186</v>
      </c>
      <c r="H3252" t="s">
        <v>12</v>
      </c>
      <c r="I3252" t="str">
        <f t="shared" si="50"/>
        <v>Normal Usage</v>
      </c>
    </row>
    <row r="3253" spans="1:9" x14ac:dyDescent="0.3">
      <c r="A3253">
        <v>13252</v>
      </c>
      <c r="B3253">
        <v>62</v>
      </c>
      <c r="C3253" s="2">
        <v>45232</v>
      </c>
      <c r="D3253" s="2" t="str">
        <f>TEXT(Table3[[#This Row],[usage_date]],"mmmm")</f>
        <v>November</v>
      </c>
      <c r="E3253" s="9">
        <f>YEAR(Table3[[#This Row],[usage_date]])</f>
        <v>2023</v>
      </c>
      <c r="F3253" s="14">
        <v>0.28999999999999998</v>
      </c>
      <c r="G3253">
        <v>115</v>
      </c>
      <c r="H3253" t="s">
        <v>12</v>
      </c>
      <c r="I3253" t="str">
        <f t="shared" si="50"/>
        <v>Normal Usage</v>
      </c>
    </row>
    <row r="3254" spans="1:9" x14ac:dyDescent="0.3">
      <c r="A3254">
        <v>13253</v>
      </c>
      <c r="B3254">
        <v>17</v>
      </c>
      <c r="C3254" s="2">
        <v>44689</v>
      </c>
      <c r="D3254" s="2" t="str">
        <f>TEXT(Table3[[#This Row],[usage_date]],"mmmm")</f>
        <v>May</v>
      </c>
      <c r="E3254" s="9">
        <f>YEAR(Table3[[#This Row],[usage_date]])</f>
        <v>2022</v>
      </c>
      <c r="F3254" s="14">
        <v>1.78</v>
      </c>
      <c r="G3254">
        <v>57</v>
      </c>
      <c r="H3254" t="s">
        <v>13</v>
      </c>
      <c r="I3254" t="str">
        <f t="shared" si="50"/>
        <v>Normal Usage</v>
      </c>
    </row>
    <row r="3255" spans="1:9" x14ac:dyDescent="0.3">
      <c r="A3255">
        <v>13254</v>
      </c>
      <c r="B3255">
        <v>171</v>
      </c>
      <c r="C3255" s="2">
        <v>45263</v>
      </c>
      <c r="D3255" s="2" t="str">
        <f>TEXT(Table3[[#This Row],[usage_date]],"mmmm")</f>
        <v>December</v>
      </c>
      <c r="E3255" s="9">
        <f>YEAR(Table3[[#This Row],[usage_date]])</f>
        <v>2023</v>
      </c>
      <c r="F3255" s="14">
        <v>1.56</v>
      </c>
      <c r="G3255">
        <v>69</v>
      </c>
      <c r="H3255" t="s">
        <v>13</v>
      </c>
      <c r="I3255" t="str">
        <f t="shared" si="50"/>
        <v>Normal Usage</v>
      </c>
    </row>
    <row r="3256" spans="1:9" x14ac:dyDescent="0.3">
      <c r="A3256">
        <v>13255</v>
      </c>
      <c r="B3256">
        <v>25</v>
      </c>
      <c r="C3256" s="2">
        <v>45104</v>
      </c>
      <c r="D3256" s="2" t="str">
        <f>TEXT(Table3[[#This Row],[usage_date]],"mmmm")</f>
        <v>June</v>
      </c>
      <c r="E3256" s="9">
        <f>YEAR(Table3[[#This Row],[usage_date]])</f>
        <v>2023</v>
      </c>
      <c r="F3256" s="14">
        <v>7.57</v>
      </c>
      <c r="G3256">
        <v>92</v>
      </c>
      <c r="H3256" t="s">
        <v>12</v>
      </c>
      <c r="I3256" t="str">
        <f t="shared" si="50"/>
        <v>High Usage</v>
      </c>
    </row>
    <row r="3257" spans="1:9" x14ac:dyDescent="0.3">
      <c r="A3257">
        <v>13256</v>
      </c>
      <c r="B3257">
        <v>251</v>
      </c>
      <c r="C3257" s="2">
        <v>45459</v>
      </c>
      <c r="D3257" s="2" t="str">
        <f>TEXT(Table3[[#This Row],[usage_date]],"mmmm")</f>
        <v>June</v>
      </c>
      <c r="E3257" s="9">
        <f>YEAR(Table3[[#This Row],[usage_date]])</f>
        <v>2024</v>
      </c>
      <c r="F3257" s="14">
        <v>7.24</v>
      </c>
      <c r="G3257">
        <v>228</v>
      </c>
      <c r="H3257" t="s">
        <v>12</v>
      </c>
      <c r="I3257" t="str">
        <f t="shared" si="50"/>
        <v>High Usage</v>
      </c>
    </row>
    <row r="3258" spans="1:9" x14ac:dyDescent="0.3">
      <c r="A3258">
        <v>13257</v>
      </c>
      <c r="B3258">
        <v>253</v>
      </c>
      <c r="C3258" s="2">
        <v>44920</v>
      </c>
      <c r="D3258" s="2" t="str">
        <f>TEXT(Table3[[#This Row],[usage_date]],"mmmm")</f>
        <v>December</v>
      </c>
      <c r="E3258" s="9">
        <f>YEAR(Table3[[#This Row],[usage_date]])</f>
        <v>2022</v>
      </c>
      <c r="F3258" s="14">
        <v>3.78</v>
      </c>
      <c r="G3258">
        <v>136</v>
      </c>
      <c r="H3258" t="s">
        <v>13</v>
      </c>
      <c r="I3258" t="str">
        <f t="shared" si="50"/>
        <v>Normal Usage</v>
      </c>
    </row>
    <row r="3259" spans="1:9" x14ac:dyDescent="0.3">
      <c r="A3259">
        <v>13258</v>
      </c>
      <c r="B3259">
        <v>387</v>
      </c>
      <c r="C3259" s="2">
        <v>45088</v>
      </c>
      <c r="D3259" s="2" t="str">
        <f>TEXT(Table3[[#This Row],[usage_date]],"mmmm")</f>
        <v>June</v>
      </c>
      <c r="E3259" s="9">
        <f>YEAR(Table3[[#This Row],[usage_date]])</f>
        <v>2023</v>
      </c>
      <c r="F3259" s="14">
        <v>2.2999999999999998</v>
      </c>
      <c r="G3259">
        <v>104</v>
      </c>
      <c r="H3259" t="s">
        <v>12</v>
      </c>
      <c r="I3259" t="str">
        <f t="shared" si="50"/>
        <v>Normal Usage</v>
      </c>
    </row>
    <row r="3260" spans="1:9" x14ac:dyDescent="0.3">
      <c r="A3260">
        <v>13259</v>
      </c>
      <c r="B3260">
        <v>207</v>
      </c>
      <c r="C3260" s="2">
        <v>44874</v>
      </c>
      <c r="D3260" s="2" t="str">
        <f>TEXT(Table3[[#This Row],[usage_date]],"mmmm")</f>
        <v>November</v>
      </c>
      <c r="E3260" s="9">
        <f>YEAR(Table3[[#This Row],[usage_date]])</f>
        <v>2022</v>
      </c>
      <c r="F3260" s="14">
        <v>1.52</v>
      </c>
      <c r="G3260">
        <v>16</v>
      </c>
      <c r="H3260" t="s">
        <v>13</v>
      </c>
      <c r="I3260" t="str">
        <f t="shared" si="50"/>
        <v>Normal Usage</v>
      </c>
    </row>
    <row r="3261" spans="1:9" x14ac:dyDescent="0.3">
      <c r="A3261">
        <v>13260</v>
      </c>
      <c r="B3261">
        <v>29</v>
      </c>
      <c r="C3261" s="2">
        <v>44636</v>
      </c>
      <c r="D3261" s="2" t="str">
        <f>TEXT(Table3[[#This Row],[usage_date]],"mmmm")</f>
        <v>March</v>
      </c>
      <c r="E3261" s="9">
        <f>YEAR(Table3[[#This Row],[usage_date]])</f>
        <v>2022</v>
      </c>
      <c r="F3261" s="14">
        <v>1.1000000000000001</v>
      </c>
      <c r="G3261">
        <v>53</v>
      </c>
      <c r="H3261" t="s">
        <v>12</v>
      </c>
      <c r="I3261" t="str">
        <f t="shared" si="50"/>
        <v>Normal Usage</v>
      </c>
    </row>
    <row r="3262" spans="1:9" x14ac:dyDescent="0.3">
      <c r="A3262">
        <v>13261</v>
      </c>
      <c r="B3262">
        <v>117</v>
      </c>
      <c r="C3262" s="2">
        <v>45107</v>
      </c>
      <c r="D3262" s="2" t="str">
        <f>TEXT(Table3[[#This Row],[usage_date]],"mmmm")</f>
        <v>June</v>
      </c>
      <c r="E3262" s="9">
        <f>YEAR(Table3[[#This Row],[usage_date]])</f>
        <v>2023</v>
      </c>
      <c r="F3262" s="14">
        <v>7.35</v>
      </c>
      <c r="G3262">
        <v>111</v>
      </c>
      <c r="H3262" t="s">
        <v>13</v>
      </c>
      <c r="I3262" t="str">
        <f t="shared" si="50"/>
        <v>High Usage</v>
      </c>
    </row>
    <row r="3263" spans="1:9" x14ac:dyDescent="0.3">
      <c r="A3263">
        <v>13262</v>
      </c>
      <c r="B3263">
        <v>491</v>
      </c>
      <c r="C3263" s="2">
        <v>45432</v>
      </c>
      <c r="D3263" s="2" t="str">
        <f>TEXT(Table3[[#This Row],[usage_date]],"mmmm")</f>
        <v>May</v>
      </c>
      <c r="E3263" s="9">
        <f>YEAR(Table3[[#This Row],[usage_date]])</f>
        <v>2024</v>
      </c>
      <c r="F3263" s="14">
        <v>2.31</v>
      </c>
      <c r="G3263">
        <v>171</v>
      </c>
      <c r="H3263" t="s">
        <v>13</v>
      </c>
      <c r="I3263" t="str">
        <f t="shared" si="50"/>
        <v>Normal Usage</v>
      </c>
    </row>
    <row r="3264" spans="1:9" x14ac:dyDescent="0.3">
      <c r="A3264">
        <v>13263</v>
      </c>
      <c r="B3264">
        <v>416</v>
      </c>
      <c r="C3264" s="2">
        <v>44757</v>
      </c>
      <c r="D3264" s="2" t="str">
        <f>TEXT(Table3[[#This Row],[usage_date]],"mmmm")</f>
        <v>July</v>
      </c>
      <c r="E3264" s="9">
        <f>YEAR(Table3[[#This Row],[usage_date]])</f>
        <v>2022</v>
      </c>
      <c r="F3264" s="14">
        <v>2.16</v>
      </c>
      <c r="G3264">
        <v>143</v>
      </c>
      <c r="H3264" t="s">
        <v>12</v>
      </c>
      <c r="I3264" t="str">
        <f t="shared" si="50"/>
        <v>Normal Usage</v>
      </c>
    </row>
    <row r="3265" spans="1:9" x14ac:dyDescent="0.3">
      <c r="A3265">
        <v>13264</v>
      </c>
      <c r="B3265">
        <v>282</v>
      </c>
      <c r="C3265" s="2">
        <v>45404</v>
      </c>
      <c r="D3265" s="2" t="str">
        <f>TEXT(Table3[[#This Row],[usage_date]],"mmmm")</f>
        <v>April</v>
      </c>
      <c r="E3265" s="9">
        <f>YEAR(Table3[[#This Row],[usage_date]])</f>
        <v>2024</v>
      </c>
      <c r="F3265" s="14">
        <v>0.66</v>
      </c>
      <c r="G3265">
        <v>84</v>
      </c>
      <c r="H3265" t="s">
        <v>13</v>
      </c>
      <c r="I3265" t="str">
        <f t="shared" si="50"/>
        <v>Normal Usage</v>
      </c>
    </row>
    <row r="3266" spans="1:9" x14ac:dyDescent="0.3">
      <c r="A3266">
        <v>13265</v>
      </c>
      <c r="B3266">
        <v>380</v>
      </c>
      <c r="C3266" s="2">
        <v>44590</v>
      </c>
      <c r="D3266" s="2" t="str">
        <f>TEXT(Table3[[#This Row],[usage_date]],"mmmm")</f>
        <v>January</v>
      </c>
      <c r="E3266" s="9">
        <f>YEAR(Table3[[#This Row],[usage_date]])</f>
        <v>2022</v>
      </c>
      <c r="F3266" s="14">
        <v>0.12</v>
      </c>
      <c r="G3266">
        <v>11</v>
      </c>
      <c r="H3266" t="s">
        <v>12</v>
      </c>
      <c r="I3266" t="str">
        <f t="shared" ref="I3266:I3329" si="51">IF(F3266&gt;6,"High Usage","Normal Usage")</f>
        <v>Normal Usage</v>
      </c>
    </row>
    <row r="3267" spans="1:9" x14ac:dyDescent="0.3">
      <c r="A3267">
        <v>13266</v>
      </c>
      <c r="B3267">
        <v>144</v>
      </c>
      <c r="C3267" s="2">
        <v>45267</v>
      </c>
      <c r="D3267" s="2" t="str">
        <f>TEXT(Table3[[#This Row],[usage_date]],"mmmm")</f>
        <v>December</v>
      </c>
      <c r="E3267" s="9">
        <f>YEAR(Table3[[#This Row],[usage_date]])</f>
        <v>2023</v>
      </c>
      <c r="F3267" s="14">
        <v>7.26</v>
      </c>
      <c r="G3267">
        <v>251</v>
      </c>
      <c r="H3267" t="s">
        <v>13</v>
      </c>
      <c r="I3267" t="str">
        <f t="shared" si="51"/>
        <v>High Usage</v>
      </c>
    </row>
    <row r="3268" spans="1:9" x14ac:dyDescent="0.3">
      <c r="A3268">
        <v>13267</v>
      </c>
      <c r="B3268">
        <v>25</v>
      </c>
      <c r="C3268" s="2">
        <v>44577</v>
      </c>
      <c r="D3268" s="2" t="str">
        <f>TEXT(Table3[[#This Row],[usage_date]],"mmmm")</f>
        <v>January</v>
      </c>
      <c r="E3268" s="9">
        <f>YEAR(Table3[[#This Row],[usage_date]])</f>
        <v>2022</v>
      </c>
      <c r="F3268" s="14">
        <v>0.94</v>
      </c>
      <c r="G3268">
        <v>215</v>
      </c>
      <c r="H3268" t="s">
        <v>13</v>
      </c>
      <c r="I3268" t="str">
        <f t="shared" si="51"/>
        <v>Normal Usage</v>
      </c>
    </row>
    <row r="3269" spans="1:9" x14ac:dyDescent="0.3">
      <c r="A3269">
        <v>13268</v>
      </c>
      <c r="B3269">
        <v>310</v>
      </c>
      <c r="C3269" s="2">
        <v>44984</v>
      </c>
      <c r="D3269" s="2" t="str">
        <f>TEXT(Table3[[#This Row],[usage_date]],"mmmm")</f>
        <v>February</v>
      </c>
      <c r="E3269" s="9">
        <f>YEAR(Table3[[#This Row],[usage_date]])</f>
        <v>2023</v>
      </c>
      <c r="F3269" s="14">
        <v>1.46</v>
      </c>
      <c r="G3269">
        <v>125</v>
      </c>
      <c r="H3269" t="s">
        <v>12</v>
      </c>
      <c r="I3269" t="str">
        <f t="shared" si="51"/>
        <v>Normal Usage</v>
      </c>
    </row>
    <row r="3270" spans="1:9" x14ac:dyDescent="0.3">
      <c r="A3270">
        <v>13269</v>
      </c>
      <c r="B3270">
        <v>156</v>
      </c>
      <c r="C3270" s="2">
        <v>45150</v>
      </c>
      <c r="D3270" s="2" t="str">
        <f>TEXT(Table3[[#This Row],[usage_date]],"mmmm")</f>
        <v>August</v>
      </c>
      <c r="E3270" s="9">
        <f>YEAR(Table3[[#This Row],[usage_date]])</f>
        <v>2023</v>
      </c>
      <c r="F3270" s="14">
        <v>0.3</v>
      </c>
      <c r="G3270">
        <v>97</v>
      </c>
      <c r="H3270" t="s">
        <v>12</v>
      </c>
      <c r="I3270" t="str">
        <f t="shared" si="51"/>
        <v>Normal Usage</v>
      </c>
    </row>
    <row r="3271" spans="1:9" x14ac:dyDescent="0.3">
      <c r="A3271">
        <v>13270</v>
      </c>
      <c r="B3271">
        <v>73</v>
      </c>
      <c r="C3271" s="2">
        <v>45366</v>
      </c>
      <c r="D3271" s="2" t="str">
        <f>TEXT(Table3[[#This Row],[usage_date]],"mmmm")</f>
        <v>March</v>
      </c>
      <c r="E3271" s="9">
        <f>YEAR(Table3[[#This Row],[usage_date]])</f>
        <v>2024</v>
      </c>
      <c r="F3271" s="14">
        <v>4.53</v>
      </c>
      <c r="G3271">
        <v>27</v>
      </c>
      <c r="H3271" t="s">
        <v>12</v>
      </c>
      <c r="I3271" t="str">
        <f t="shared" si="51"/>
        <v>Normal Usage</v>
      </c>
    </row>
    <row r="3272" spans="1:9" x14ac:dyDescent="0.3">
      <c r="A3272">
        <v>13271</v>
      </c>
      <c r="B3272">
        <v>120</v>
      </c>
      <c r="C3272" s="2">
        <v>45154</v>
      </c>
      <c r="D3272" s="2" t="str">
        <f>TEXT(Table3[[#This Row],[usage_date]],"mmmm")</f>
        <v>August</v>
      </c>
      <c r="E3272" s="9">
        <f>YEAR(Table3[[#This Row],[usage_date]])</f>
        <v>2023</v>
      </c>
      <c r="F3272" s="14">
        <v>7.0000000000000007E-2</v>
      </c>
      <c r="G3272">
        <v>265</v>
      </c>
      <c r="H3272" t="s">
        <v>13</v>
      </c>
      <c r="I3272" t="str">
        <f t="shared" si="51"/>
        <v>Normal Usage</v>
      </c>
    </row>
    <row r="3273" spans="1:9" x14ac:dyDescent="0.3">
      <c r="A3273">
        <v>13272</v>
      </c>
      <c r="B3273">
        <v>312</v>
      </c>
      <c r="C3273" s="2">
        <v>44966</v>
      </c>
      <c r="D3273" s="2" t="str">
        <f>TEXT(Table3[[#This Row],[usage_date]],"mmmm")</f>
        <v>February</v>
      </c>
      <c r="E3273" s="9">
        <f>YEAR(Table3[[#This Row],[usage_date]])</f>
        <v>2023</v>
      </c>
      <c r="F3273" s="14">
        <v>4.49</v>
      </c>
      <c r="G3273">
        <v>51</v>
      </c>
      <c r="H3273" t="s">
        <v>13</v>
      </c>
      <c r="I3273" t="str">
        <f t="shared" si="51"/>
        <v>Normal Usage</v>
      </c>
    </row>
    <row r="3274" spans="1:9" x14ac:dyDescent="0.3">
      <c r="A3274">
        <v>13273</v>
      </c>
      <c r="B3274">
        <v>321</v>
      </c>
      <c r="C3274" s="2">
        <v>45197</v>
      </c>
      <c r="D3274" s="2" t="str">
        <f>TEXT(Table3[[#This Row],[usage_date]],"mmmm")</f>
        <v>September</v>
      </c>
      <c r="E3274" s="9">
        <f>YEAR(Table3[[#This Row],[usage_date]])</f>
        <v>2023</v>
      </c>
      <c r="F3274" s="14">
        <v>0.38</v>
      </c>
      <c r="G3274">
        <v>142</v>
      </c>
      <c r="H3274" t="s">
        <v>12</v>
      </c>
      <c r="I3274" t="str">
        <f t="shared" si="51"/>
        <v>Normal Usage</v>
      </c>
    </row>
    <row r="3275" spans="1:9" x14ac:dyDescent="0.3">
      <c r="A3275">
        <v>13274</v>
      </c>
      <c r="B3275">
        <v>93</v>
      </c>
      <c r="C3275" s="2">
        <v>45092</v>
      </c>
      <c r="D3275" s="2" t="str">
        <f>TEXT(Table3[[#This Row],[usage_date]],"mmmm")</f>
        <v>June</v>
      </c>
      <c r="E3275" s="9">
        <f>YEAR(Table3[[#This Row],[usage_date]])</f>
        <v>2023</v>
      </c>
      <c r="F3275" s="14">
        <v>5.44</v>
      </c>
      <c r="G3275">
        <v>131</v>
      </c>
      <c r="H3275" t="s">
        <v>13</v>
      </c>
      <c r="I3275" t="str">
        <f t="shared" si="51"/>
        <v>Normal Usage</v>
      </c>
    </row>
    <row r="3276" spans="1:9" x14ac:dyDescent="0.3">
      <c r="A3276">
        <v>13275</v>
      </c>
      <c r="B3276">
        <v>86</v>
      </c>
      <c r="C3276" s="2">
        <v>45175</v>
      </c>
      <c r="D3276" s="2" t="str">
        <f>TEXT(Table3[[#This Row],[usage_date]],"mmmm")</f>
        <v>September</v>
      </c>
      <c r="E3276" s="9">
        <f>YEAR(Table3[[#This Row],[usage_date]])</f>
        <v>2023</v>
      </c>
      <c r="F3276" s="14">
        <v>3.27</v>
      </c>
      <c r="G3276">
        <v>206</v>
      </c>
      <c r="H3276" t="s">
        <v>12</v>
      </c>
      <c r="I3276" t="str">
        <f t="shared" si="51"/>
        <v>Normal Usage</v>
      </c>
    </row>
    <row r="3277" spans="1:9" x14ac:dyDescent="0.3">
      <c r="A3277">
        <v>13276</v>
      </c>
      <c r="B3277">
        <v>336</v>
      </c>
      <c r="C3277" s="2">
        <v>44638</v>
      </c>
      <c r="D3277" s="2" t="str">
        <f>TEXT(Table3[[#This Row],[usage_date]],"mmmm")</f>
        <v>March</v>
      </c>
      <c r="E3277" s="9">
        <f>YEAR(Table3[[#This Row],[usage_date]])</f>
        <v>2022</v>
      </c>
      <c r="F3277" s="14">
        <v>0.45</v>
      </c>
      <c r="G3277">
        <v>61</v>
      </c>
      <c r="H3277" t="s">
        <v>12</v>
      </c>
      <c r="I3277" t="str">
        <f t="shared" si="51"/>
        <v>Normal Usage</v>
      </c>
    </row>
    <row r="3278" spans="1:9" x14ac:dyDescent="0.3">
      <c r="A3278">
        <v>13277</v>
      </c>
      <c r="B3278">
        <v>425</v>
      </c>
      <c r="C3278" s="2">
        <v>44790</v>
      </c>
      <c r="D3278" s="2" t="str">
        <f>TEXT(Table3[[#This Row],[usage_date]],"mmmm")</f>
        <v>August</v>
      </c>
      <c r="E3278" s="9">
        <f>YEAR(Table3[[#This Row],[usage_date]])</f>
        <v>2022</v>
      </c>
      <c r="F3278" s="14">
        <v>2.09</v>
      </c>
      <c r="G3278">
        <v>131</v>
      </c>
      <c r="H3278" t="s">
        <v>12</v>
      </c>
      <c r="I3278" t="str">
        <f t="shared" si="51"/>
        <v>Normal Usage</v>
      </c>
    </row>
    <row r="3279" spans="1:9" x14ac:dyDescent="0.3">
      <c r="A3279">
        <v>13278</v>
      </c>
      <c r="B3279">
        <v>499</v>
      </c>
      <c r="C3279" s="2">
        <v>44858</v>
      </c>
      <c r="D3279" s="2" t="str">
        <f>TEXT(Table3[[#This Row],[usage_date]],"mmmm")</f>
        <v>October</v>
      </c>
      <c r="E3279" s="9">
        <f>YEAR(Table3[[#This Row],[usage_date]])</f>
        <v>2022</v>
      </c>
      <c r="F3279" s="14">
        <v>0.94</v>
      </c>
      <c r="G3279">
        <v>40</v>
      </c>
      <c r="H3279" t="s">
        <v>12</v>
      </c>
      <c r="I3279" t="str">
        <f t="shared" si="51"/>
        <v>Normal Usage</v>
      </c>
    </row>
    <row r="3280" spans="1:9" x14ac:dyDescent="0.3">
      <c r="A3280">
        <v>13279</v>
      </c>
      <c r="B3280">
        <v>364</v>
      </c>
      <c r="C3280" s="2">
        <v>45071</v>
      </c>
      <c r="D3280" s="2" t="str">
        <f>TEXT(Table3[[#This Row],[usage_date]],"mmmm")</f>
        <v>May</v>
      </c>
      <c r="E3280" s="9">
        <f>YEAR(Table3[[#This Row],[usage_date]])</f>
        <v>2023</v>
      </c>
      <c r="F3280" s="14">
        <v>0.49</v>
      </c>
      <c r="G3280">
        <v>200</v>
      </c>
      <c r="H3280" t="s">
        <v>12</v>
      </c>
      <c r="I3280" t="str">
        <f t="shared" si="51"/>
        <v>Normal Usage</v>
      </c>
    </row>
    <row r="3281" spans="1:9" x14ac:dyDescent="0.3">
      <c r="A3281">
        <v>13280</v>
      </c>
      <c r="B3281">
        <v>435</v>
      </c>
      <c r="C3281" s="2">
        <v>45276</v>
      </c>
      <c r="D3281" s="2" t="str">
        <f>TEXT(Table3[[#This Row],[usage_date]],"mmmm")</f>
        <v>December</v>
      </c>
      <c r="E3281" s="9">
        <f>YEAR(Table3[[#This Row],[usage_date]])</f>
        <v>2023</v>
      </c>
      <c r="F3281" s="14">
        <v>4.9000000000000004</v>
      </c>
      <c r="G3281">
        <v>98</v>
      </c>
      <c r="H3281" t="s">
        <v>12</v>
      </c>
      <c r="I3281" t="str">
        <f t="shared" si="51"/>
        <v>Normal Usage</v>
      </c>
    </row>
    <row r="3282" spans="1:9" x14ac:dyDescent="0.3">
      <c r="A3282">
        <v>13281</v>
      </c>
      <c r="B3282">
        <v>118</v>
      </c>
      <c r="C3282" s="2">
        <v>45134</v>
      </c>
      <c r="D3282" s="2" t="str">
        <f>TEXT(Table3[[#This Row],[usage_date]],"mmmm")</f>
        <v>July</v>
      </c>
      <c r="E3282" s="9">
        <f>YEAR(Table3[[#This Row],[usage_date]])</f>
        <v>2023</v>
      </c>
      <c r="F3282" s="14">
        <v>1.29</v>
      </c>
      <c r="G3282">
        <v>283</v>
      </c>
      <c r="H3282" t="s">
        <v>12</v>
      </c>
      <c r="I3282" t="str">
        <f t="shared" si="51"/>
        <v>Normal Usage</v>
      </c>
    </row>
    <row r="3283" spans="1:9" x14ac:dyDescent="0.3">
      <c r="A3283">
        <v>13282</v>
      </c>
      <c r="B3283">
        <v>233</v>
      </c>
      <c r="C3283" s="2">
        <v>45099</v>
      </c>
      <c r="D3283" s="2" t="str">
        <f>TEXT(Table3[[#This Row],[usage_date]],"mmmm")</f>
        <v>June</v>
      </c>
      <c r="E3283" s="9">
        <f>YEAR(Table3[[#This Row],[usage_date]])</f>
        <v>2023</v>
      </c>
      <c r="F3283" s="14">
        <v>1.27</v>
      </c>
      <c r="G3283">
        <v>46</v>
      </c>
      <c r="H3283" t="s">
        <v>13</v>
      </c>
      <c r="I3283" t="str">
        <f t="shared" si="51"/>
        <v>Normal Usage</v>
      </c>
    </row>
    <row r="3284" spans="1:9" x14ac:dyDescent="0.3">
      <c r="A3284">
        <v>13283</v>
      </c>
      <c r="B3284">
        <v>199</v>
      </c>
      <c r="C3284" s="2">
        <v>45144</v>
      </c>
      <c r="D3284" s="2" t="str">
        <f>TEXT(Table3[[#This Row],[usage_date]],"mmmm")</f>
        <v>August</v>
      </c>
      <c r="E3284" s="9">
        <f>YEAR(Table3[[#This Row],[usage_date]])</f>
        <v>2023</v>
      </c>
      <c r="F3284" s="14">
        <v>0.47</v>
      </c>
      <c r="G3284">
        <v>136</v>
      </c>
      <c r="H3284" t="s">
        <v>12</v>
      </c>
      <c r="I3284" t="str">
        <f t="shared" si="51"/>
        <v>Normal Usage</v>
      </c>
    </row>
    <row r="3285" spans="1:9" x14ac:dyDescent="0.3">
      <c r="A3285">
        <v>13284</v>
      </c>
      <c r="B3285">
        <v>206</v>
      </c>
      <c r="C3285" s="2">
        <v>45176</v>
      </c>
      <c r="D3285" s="2" t="str">
        <f>TEXT(Table3[[#This Row],[usage_date]],"mmmm")</f>
        <v>September</v>
      </c>
      <c r="E3285" s="9">
        <f>YEAR(Table3[[#This Row],[usage_date]])</f>
        <v>2023</v>
      </c>
      <c r="F3285" s="14">
        <v>1.21</v>
      </c>
      <c r="G3285">
        <v>129</v>
      </c>
      <c r="H3285" t="s">
        <v>12</v>
      </c>
      <c r="I3285" t="str">
        <f t="shared" si="51"/>
        <v>Normal Usage</v>
      </c>
    </row>
    <row r="3286" spans="1:9" x14ac:dyDescent="0.3">
      <c r="A3286">
        <v>13285</v>
      </c>
      <c r="B3286">
        <v>413</v>
      </c>
      <c r="C3286" s="2">
        <v>44887</v>
      </c>
      <c r="D3286" s="2" t="str">
        <f>TEXT(Table3[[#This Row],[usage_date]],"mmmm")</f>
        <v>November</v>
      </c>
      <c r="E3286" s="9">
        <f>YEAR(Table3[[#This Row],[usage_date]])</f>
        <v>2022</v>
      </c>
      <c r="F3286" s="14">
        <v>5.13</v>
      </c>
      <c r="G3286">
        <v>194</v>
      </c>
      <c r="H3286" t="s">
        <v>12</v>
      </c>
      <c r="I3286" t="str">
        <f t="shared" si="51"/>
        <v>Normal Usage</v>
      </c>
    </row>
    <row r="3287" spans="1:9" x14ac:dyDescent="0.3">
      <c r="A3287">
        <v>13286</v>
      </c>
      <c r="B3287">
        <v>339</v>
      </c>
      <c r="C3287" s="2">
        <v>44924</v>
      </c>
      <c r="D3287" s="2" t="str">
        <f>TEXT(Table3[[#This Row],[usage_date]],"mmmm")</f>
        <v>December</v>
      </c>
      <c r="E3287" s="9">
        <f>YEAR(Table3[[#This Row],[usage_date]])</f>
        <v>2022</v>
      </c>
      <c r="F3287" s="14">
        <v>1.1299999999999999</v>
      </c>
      <c r="G3287">
        <v>116</v>
      </c>
      <c r="H3287" t="s">
        <v>13</v>
      </c>
      <c r="I3287" t="str">
        <f t="shared" si="51"/>
        <v>Normal Usage</v>
      </c>
    </row>
    <row r="3288" spans="1:9" x14ac:dyDescent="0.3">
      <c r="A3288">
        <v>13287</v>
      </c>
      <c r="B3288">
        <v>147</v>
      </c>
      <c r="C3288" s="2">
        <v>45230</v>
      </c>
      <c r="D3288" s="2" t="str">
        <f>TEXT(Table3[[#This Row],[usage_date]],"mmmm")</f>
        <v>October</v>
      </c>
      <c r="E3288" s="9">
        <f>YEAR(Table3[[#This Row],[usage_date]])</f>
        <v>2023</v>
      </c>
      <c r="F3288" s="14">
        <v>7.57</v>
      </c>
      <c r="G3288">
        <v>68</v>
      </c>
      <c r="H3288" t="s">
        <v>13</v>
      </c>
      <c r="I3288" t="str">
        <f t="shared" si="51"/>
        <v>High Usage</v>
      </c>
    </row>
    <row r="3289" spans="1:9" x14ac:dyDescent="0.3">
      <c r="A3289">
        <v>13288</v>
      </c>
      <c r="B3289">
        <v>450</v>
      </c>
      <c r="C3289" s="2">
        <v>45436</v>
      </c>
      <c r="D3289" s="2" t="str">
        <f>TEXT(Table3[[#This Row],[usage_date]],"mmmm")</f>
        <v>May</v>
      </c>
      <c r="E3289" s="9">
        <f>YEAR(Table3[[#This Row],[usage_date]])</f>
        <v>2024</v>
      </c>
      <c r="F3289" s="14">
        <v>7.31</v>
      </c>
      <c r="G3289">
        <v>27</v>
      </c>
      <c r="H3289" t="s">
        <v>13</v>
      </c>
      <c r="I3289" t="str">
        <f t="shared" si="51"/>
        <v>High Usage</v>
      </c>
    </row>
    <row r="3290" spans="1:9" x14ac:dyDescent="0.3">
      <c r="A3290">
        <v>13289</v>
      </c>
      <c r="B3290">
        <v>425</v>
      </c>
      <c r="C3290" s="2">
        <v>44920</v>
      </c>
      <c r="D3290" s="2" t="str">
        <f>TEXT(Table3[[#This Row],[usage_date]],"mmmm")</f>
        <v>December</v>
      </c>
      <c r="E3290" s="9">
        <f>YEAR(Table3[[#This Row],[usage_date]])</f>
        <v>2022</v>
      </c>
      <c r="F3290" s="14">
        <v>0.39</v>
      </c>
      <c r="G3290">
        <v>13</v>
      </c>
      <c r="H3290" t="s">
        <v>13</v>
      </c>
      <c r="I3290" t="str">
        <f t="shared" si="51"/>
        <v>Normal Usage</v>
      </c>
    </row>
    <row r="3291" spans="1:9" x14ac:dyDescent="0.3">
      <c r="A3291">
        <v>13290</v>
      </c>
      <c r="B3291">
        <v>429</v>
      </c>
      <c r="C3291" s="2">
        <v>45267</v>
      </c>
      <c r="D3291" s="2" t="str">
        <f>TEXT(Table3[[#This Row],[usage_date]],"mmmm")</f>
        <v>December</v>
      </c>
      <c r="E3291" s="9">
        <f>YEAR(Table3[[#This Row],[usage_date]])</f>
        <v>2023</v>
      </c>
      <c r="F3291" s="14">
        <v>0.49</v>
      </c>
      <c r="G3291">
        <v>45</v>
      </c>
      <c r="H3291" t="s">
        <v>12</v>
      </c>
      <c r="I3291" t="str">
        <f t="shared" si="51"/>
        <v>Normal Usage</v>
      </c>
    </row>
    <row r="3292" spans="1:9" x14ac:dyDescent="0.3">
      <c r="A3292">
        <v>13291</v>
      </c>
      <c r="B3292">
        <v>271</v>
      </c>
      <c r="C3292" s="2">
        <v>45348</v>
      </c>
      <c r="D3292" s="2" t="str">
        <f>TEXT(Table3[[#This Row],[usage_date]],"mmmm")</f>
        <v>February</v>
      </c>
      <c r="E3292" s="9">
        <f>YEAR(Table3[[#This Row],[usage_date]])</f>
        <v>2024</v>
      </c>
      <c r="F3292" s="14">
        <v>4.96</v>
      </c>
      <c r="G3292">
        <v>15</v>
      </c>
      <c r="H3292" t="s">
        <v>12</v>
      </c>
      <c r="I3292" t="str">
        <f t="shared" si="51"/>
        <v>Normal Usage</v>
      </c>
    </row>
    <row r="3293" spans="1:9" x14ac:dyDescent="0.3">
      <c r="A3293">
        <v>13292</v>
      </c>
      <c r="B3293">
        <v>387</v>
      </c>
      <c r="C3293" s="2">
        <v>44885</v>
      </c>
      <c r="D3293" s="2" t="str">
        <f>TEXT(Table3[[#This Row],[usage_date]],"mmmm")</f>
        <v>November</v>
      </c>
      <c r="E3293" s="9">
        <f>YEAR(Table3[[#This Row],[usage_date]])</f>
        <v>2022</v>
      </c>
      <c r="F3293" s="14">
        <v>1.25</v>
      </c>
      <c r="G3293">
        <v>208</v>
      </c>
      <c r="H3293" t="s">
        <v>13</v>
      </c>
      <c r="I3293" t="str">
        <f t="shared" si="51"/>
        <v>Normal Usage</v>
      </c>
    </row>
    <row r="3294" spans="1:9" x14ac:dyDescent="0.3">
      <c r="A3294">
        <v>13293</v>
      </c>
      <c r="B3294">
        <v>139</v>
      </c>
      <c r="C3294" s="2">
        <v>45259</v>
      </c>
      <c r="D3294" s="2" t="str">
        <f>TEXT(Table3[[#This Row],[usage_date]],"mmmm")</f>
        <v>November</v>
      </c>
      <c r="E3294" s="9">
        <f>YEAR(Table3[[#This Row],[usage_date]])</f>
        <v>2023</v>
      </c>
      <c r="F3294" s="14">
        <v>0.01</v>
      </c>
      <c r="G3294">
        <v>157</v>
      </c>
      <c r="H3294" t="s">
        <v>13</v>
      </c>
      <c r="I3294" t="str">
        <f t="shared" si="51"/>
        <v>Normal Usage</v>
      </c>
    </row>
    <row r="3295" spans="1:9" x14ac:dyDescent="0.3">
      <c r="A3295">
        <v>13294</v>
      </c>
      <c r="B3295">
        <v>181</v>
      </c>
      <c r="C3295" s="2">
        <v>44887</v>
      </c>
      <c r="D3295" s="2" t="str">
        <f>TEXT(Table3[[#This Row],[usage_date]],"mmmm")</f>
        <v>November</v>
      </c>
      <c r="E3295" s="9">
        <f>YEAR(Table3[[#This Row],[usage_date]])</f>
        <v>2022</v>
      </c>
      <c r="F3295" s="14">
        <v>0.8</v>
      </c>
      <c r="G3295">
        <v>226</v>
      </c>
      <c r="H3295" t="s">
        <v>12</v>
      </c>
      <c r="I3295" t="str">
        <f t="shared" si="51"/>
        <v>Normal Usage</v>
      </c>
    </row>
    <row r="3296" spans="1:9" x14ac:dyDescent="0.3">
      <c r="A3296">
        <v>13295</v>
      </c>
      <c r="B3296">
        <v>430</v>
      </c>
      <c r="C3296" s="2">
        <v>45186</v>
      </c>
      <c r="D3296" s="2" t="str">
        <f>TEXT(Table3[[#This Row],[usage_date]],"mmmm")</f>
        <v>September</v>
      </c>
      <c r="E3296" s="9">
        <f>YEAR(Table3[[#This Row],[usage_date]])</f>
        <v>2023</v>
      </c>
      <c r="F3296" s="14">
        <v>2.2799999999999998</v>
      </c>
      <c r="G3296">
        <v>240</v>
      </c>
      <c r="H3296" t="s">
        <v>13</v>
      </c>
      <c r="I3296" t="str">
        <f t="shared" si="51"/>
        <v>Normal Usage</v>
      </c>
    </row>
    <row r="3297" spans="1:9" x14ac:dyDescent="0.3">
      <c r="A3297">
        <v>13296</v>
      </c>
      <c r="B3297">
        <v>30</v>
      </c>
      <c r="C3297" s="2">
        <v>45386</v>
      </c>
      <c r="D3297" s="2" t="str">
        <f>TEXT(Table3[[#This Row],[usage_date]],"mmmm")</f>
        <v>April</v>
      </c>
      <c r="E3297" s="9">
        <f>YEAR(Table3[[#This Row],[usage_date]])</f>
        <v>2024</v>
      </c>
      <c r="F3297" s="14">
        <v>4.01</v>
      </c>
      <c r="G3297">
        <v>57</v>
      </c>
      <c r="H3297" t="s">
        <v>13</v>
      </c>
      <c r="I3297" t="str">
        <f t="shared" si="51"/>
        <v>Normal Usage</v>
      </c>
    </row>
    <row r="3298" spans="1:9" x14ac:dyDescent="0.3">
      <c r="A3298">
        <v>13297</v>
      </c>
      <c r="B3298">
        <v>57</v>
      </c>
      <c r="C3298" s="2">
        <v>44726</v>
      </c>
      <c r="D3298" s="2" t="str">
        <f>TEXT(Table3[[#This Row],[usage_date]],"mmmm")</f>
        <v>June</v>
      </c>
      <c r="E3298" s="9">
        <f>YEAR(Table3[[#This Row],[usage_date]])</f>
        <v>2022</v>
      </c>
      <c r="F3298" s="14">
        <v>0.36</v>
      </c>
      <c r="G3298">
        <v>129</v>
      </c>
      <c r="H3298" t="s">
        <v>13</v>
      </c>
      <c r="I3298" t="str">
        <f t="shared" si="51"/>
        <v>Normal Usage</v>
      </c>
    </row>
    <row r="3299" spans="1:9" x14ac:dyDescent="0.3">
      <c r="A3299">
        <v>13298</v>
      </c>
      <c r="B3299">
        <v>232</v>
      </c>
      <c r="C3299" s="2">
        <v>45134</v>
      </c>
      <c r="D3299" s="2" t="str">
        <f>TEXT(Table3[[#This Row],[usage_date]],"mmmm")</f>
        <v>July</v>
      </c>
      <c r="E3299" s="9">
        <f>YEAR(Table3[[#This Row],[usage_date]])</f>
        <v>2023</v>
      </c>
      <c r="F3299" s="14">
        <v>0.28999999999999998</v>
      </c>
      <c r="G3299">
        <v>216</v>
      </c>
      <c r="H3299" t="s">
        <v>13</v>
      </c>
      <c r="I3299" t="str">
        <f t="shared" si="51"/>
        <v>Normal Usage</v>
      </c>
    </row>
    <row r="3300" spans="1:9" x14ac:dyDescent="0.3">
      <c r="A3300">
        <v>13299</v>
      </c>
      <c r="B3300">
        <v>146</v>
      </c>
      <c r="C3300" s="2">
        <v>45165</v>
      </c>
      <c r="D3300" s="2" t="str">
        <f>TEXT(Table3[[#This Row],[usage_date]],"mmmm")</f>
        <v>August</v>
      </c>
      <c r="E3300" s="9">
        <f>YEAR(Table3[[#This Row],[usage_date]])</f>
        <v>2023</v>
      </c>
      <c r="F3300" s="14">
        <v>6.38</v>
      </c>
      <c r="G3300">
        <v>13</v>
      </c>
      <c r="H3300" t="s">
        <v>12</v>
      </c>
      <c r="I3300" t="str">
        <f t="shared" si="51"/>
        <v>High Usage</v>
      </c>
    </row>
    <row r="3301" spans="1:9" x14ac:dyDescent="0.3">
      <c r="A3301">
        <v>13300</v>
      </c>
      <c r="B3301">
        <v>435</v>
      </c>
      <c r="C3301" s="2">
        <v>45359</v>
      </c>
      <c r="D3301" s="2" t="str">
        <f>TEXT(Table3[[#This Row],[usage_date]],"mmmm")</f>
        <v>March</v>
      </c>
      <c r="E3301" s="9">
        <f>YEAR(Table3[[#This Row],[usage_date]])</f>
        <v>2024</v>
      </c>
      <c r="F3301" s="14">
        <v>3.48</v>
      </c>
      <c r="G3301">
        <v>242</v>
      </c>
      <c r="H3301" t="s">
        <v>12</v>
      </c>
      <c r="I3301" t="str">
        <f t="shared" si="51"/>
        <v>Normal Usage</v>
      </c>
    </row>
    <row r="3302" spans="1:9" x14ac:dyDescent="0.3">
      <c r="A3302">
        <v>13301</v>
      </c>
      <c r="B3302">
        <v>384</v>
      </c>
      <c r="C3302" s="2">
        <v>45016</v>
      </c>
      <c r="D3302" s="2" t="str">
        <f>TEXT(Table3[[#This Row],[usage_date]],"mmmm")</f>
        <v>March</v>
      </c>
      <c r="E3302" s="9">
        <f>YEAR(Table3[[#This Row],[usage_date]])</f>
        <v>2023</v>
      </c>
      <c r="F3302" s="14">
        <v>2.23</v>
      </c>
      <c r="G3302">
        <v>144</v>
      </c>
      <c r="H3302" t="s">
        <v>12</v>
      </c>
      <c r="I3302" t="str">
        <f t="shared" si="51"/>
        <v>Normal Usage</v>
      </c>
    </row>
    <row r="3303" spans="1:9" x14ac:dyDescent="0.3">
      <c r="A3303">
        <v>13302</v>
      </c>
      <c r="B3303">
        <v>48</v>
      </c>
      <c r="C3303" s="2">
        <v>44714</v>
      </c>
      <c r="D3303" s="2" t="str">
        <f>TEXT(Table3[[#This Row],[usage_date]],"mmmm")</f>
        <v>June</v>
      </c>
      <c r="E3303" s="9">
        <f>YEAR(Table3[[#This Row],[usage_date]])</f>
        <v>2022</v>
      </c>
      <c r="F3303" s="14">
        <v>3.67</v>
      </c>
      <c r="G3303">
        <v>102</v>
      </c>
      <c r="H3303" t="s">
        <v>12</v>
      </c>
      <c r="I3303" t="str">
        <f t="shared" si="51"/>
        <v>Normal Usage</v>
      </c>
    </row>
    <row r="3304" spans="1:9" x14ac:dyDescent="0.3">
      <c r="A3304">
        <v>13303</v>
      </c>
      <c r="B3304">
        <v>194</v>
      </c>
      <c r="C3304" s="2">
        <v>45298</v>
      </c>
      <c r="D3304" s="2" t="str">
        <f>TEXT(Table3[[#This Row],[usage_date]],"mmmm")</f>
        <v>January</v>
      </c>
      <c r="E3304" s="9">
        <f>YEAR(Table3[[#This Row],[usage_date]])</f>
        <v>2024</v>
      </c>
      <c r="F3304" s="14">
        <v>1.4</v>
      </c>
      <c r="G3304">
        <v>216</v>
      </c>
      <c r="H3304" t="s">
        <v>13</v>
      </c>
      <c r="I3304" t="str">
        <f t="shared" si="51"/>
        <v>Normal Usage</v>
      </c>
    </row>
    <row r="3305" spans="1:9" x14ac:dyDescent="0.3">
      <c r="A3305">
        <v>13304</v>
      </c>
      <c r="B3305">
        <v>224</v>
      </c>
      <c r="C3305" s="2">
        <v>44688</v>
      </c>
      <c r="D3305" s="2" t="str">
        <f>TEXT(Table3[[#This Row],[usage_date]],"mmmm")</f>
        <v>May</v>
      </c>
      <c r="E3305" s="9">
        <f>YEAR(Table3[[#This Row],[usage_date]])</f>
        <v>2022</v>
      </c>
      <c r="F3305" s="14">
        <v>3.55</v>
      </c>
      <c r="G3305">
        <v>63</v>
      </c>
      <c r="H3305" t="s">
        <v>12</v>
      </c>
      <c r="I3305" t="str">
        <f t="shared" si="51"/>
        <v>Normal Usage</v>
      </c>
    </row>
    <row r="3306" spans="1:9" x14ac:dyDescent="0.3">
      <c r="A3306">
        <v>13305</v>
      </c>
      <c r="B3306">
        <v>136</v>
      </c>
      <c r="C3306" s="2">
        <v>44754</v>
      </c>
      <c r="D3306" s="2" t="str">
        <f>TEXT(Table3[[#This Row],[usage_date]],"mmmm")</f>
        <v>July</v>
      </c>
      <c r="E3306" s="9">
        <f>YEAR(Table3[[#This Row],[usage_date]])</f>
        <v>2022</v>
      </c>
      <c r="F3306" s="14">
        <v>1.1599999999999999</v>
      </c>
      <c r="G3306">
        <v>157</v>
      </c>
      <c r="H3306" t="s">
        <v>12</v>
      </c>
      <c r="I3306" t="str">
        <f t="shared" si="51"/>
        <v>Normal Usage</v>
      </c>
    </row>
    <row r="3307" spans="1:9" x14ac:dyDescent="0.3">
      <c r="A3307">
        <v>13306</v>
      </c>
      <c r="B3307">
        <v>22</v>
      </c>
      <c r="C3307" s="2">
        <v>45188</v>
      </c>
      <c r="D3307" s="2" t="str">
        <f>TEXT(Table3[[#This Row],[usage_date]],"mmmm")</f>
        <v>September</v>
      </c>
      <c r="E3307" s="9">
        <f>YEAR(Table3[[#This Row],[usage_date]])</f>
        <v>2023</v>
      </c>
      <c r="F3307" s="14">
        <v>0.7</v>
      </c>
      <c r="G3307">
        <v>161</v>
      </c>
      <c r="H3307" t="s">
        <v>12</v>
      </c>
      <c r="I3307" t="str">
        <f t="shared" si="51"/>
        <v>Normal Usage</v>
      </c>
    </row>
    <row r="3308" spans="1:9" x14ac:dyDescent="0.3">
      <c r="A3308">
        <v>13307</v>
      </c>
      <c r="B3308">
        <v>6</v>
      </c>
      <c r="C3308" s="2">
        <v>45335</v>
      </c>
      <c r="D3308" s="2" t="str">
        <f>TEXT(Table3[[#This Row],[usage_date]],"mmmm")</f>
        <v>February</v>
      </c>
      <c r="E3308" s="9">
        <f>YEAR(Table3[[#This Row],[usage_date]])</f>
        <v>2024</v>
      </c>
      <c r="F3308" s="14">
        <v>3.26</v>
      </c>
      <c r="G3308">
        <v>17</v>
      </c>
      <c r="H3308" t="s">
        <v>13</v>
      </c>
      <c r="I3308" t="str">
        <f t="shared" si="51"/>
        <v>Normal Usage</v>
      </c>
    </row>
    <row r="3309" spans="1:9" x14ac:dyDescent="0.3">
      <c r="A3309">
        <v>13308</v>
      </c>
      <c r="B3309">
        <v>204</v>
      </c>
      <c r="C3309" s="2">
        <v>45091</v>
      </c>
      <c r="D3309" s="2" t="str">
        <f>TEXT(Table3[[#This Row],[usage_date]],"mmmm")</f>
        <v>June</v>
      </c>
      <c r="E3309" s="9">
        <f>YEAR(Table3[[#This Row],[usage_date]])</f>
        <v>2023</v>
      </c>
      <c r="F3309" s="14">
        <v>1.36</v>
      </c>
      <c r="G3309">
        <v>215</v>
      </c>
      <c r="H3309" t="s">
        <v>12</v>
      </c>
      <c r="I3309" t="str">
        <f t="shared" si="51"/>
        <v>Normal Usage</v>
      </c>
    </row>
    <row r="3310" spans="1:9" x14ac:dyDescent="0.3">
      <c r="A3310">
        <v>13309</v>
      </c>
      <c r="B3310">
        <v>239</v>
      </c>
      <c r="C3310" s="2">
        <v>44571</v>
      </c>
      <c r="D3310" s="2" t="str">
        <f>TEXT(Table3[[#This Row],[usage_date]],"mmmm")</f>
        <v>January</v>
      </c>
      <c r="E3310" s="9">
        <f>YEAR(Table3[[#This Row],[usage_date]])</f>
        <v>2022</v>
      </c>
      <c r="F3310" s="14">
        <v>9.9600000000000009</v>
      </c>
      <c r="G3310">
        <v>48</v>
      </c>
      <c r="H3310" t="s">
        <v>12</v>
      </c>
      <c r="I3310" t="str">
        <f t="shared" si="51"/>
        <v>High Usage</v>
      </c>
    </row>
    <row r="3311" spans="1:9" x14ac:dyDescent="0.3">
      <c r="A3311">
        <v>13310</v>
      </c>
      <c r="B3311">
        <v>185</v>
      </c>
      <c r="C3311" s="2">
        <v>44653</v>
      </c>
      <c r="D3311" s="2" t="str">
        <f>TEXT(Table3[[#This Row],[usage_date]],"mmmm")</f>
        <v>April</v>
      </c>
      <c r="E3311" s="9">
        <f>YEAR(Table3[[#This Row],[usage_date]])</f>
        <v>2022</v>
      </c>
      <c r="F3311" s="14">
        <v>1.07</v>
      </c>
      <c r="G3311">
        <v>55</v>
      </c>
      <c r="H3311" t="s">
        <v>12</v>
      </c>
      <c r="I3311" t="str">
        <f t="shared" si="51"/>
        <v>Normal Usage</v>
      </c>
    </row>
    <row r="3312" spans="1:9" x14ac:dyDescent="0.3">
      <c r="A3312">
        <v>13311</v>
      </c>
      <c r="B3312">
        <v>360</v>
      </c>
      <c r="C3312" s="2">
        <v>44700</v>
      </c>
      <c r="D3312" s="2" t="str">
        <f>TEXT(Table3[[#This Row],[usage_date]],"mmmm")</f>
        <v>May</v>
      </c>
      <c r="E3312" s="9">
        <f>YEAR(Table3[[#This Row],[usage_date]])</f>
        <v>2022</v>
      </c>
      <c r="F3312" s="14">
        <v>6.37</v>
      </c>
      <c r="G3312">
        <v>57</v>
      </c>
      <c r="H3312" t="s">
        <v>12</v>
      </c>
      <c r="I3312" t="str">
        <f t="shared" si="51"/>
        <v>High Usage</v>
      </c>
    </row>
    <row r="3313" spans="1:9" x14ac:dyDescent="0.3">
      <c r="A3313">
        <v>13312</v>
      </c>
      <c r="B3313">
        <v>292</v>
      </c>
      <c r="C3313" s="2">
        <v>45042</v>
      </c>
      <c r="D3313" s="2" t="str">
        <f>TEXT(Table3[[#This Row],[usage_date]],"mmmm")</f>
        <v>April</v>
      </c>
      <c r="E3313" s="9">
        <f>YEAR(Table3[[#This Row],[usage_date]])</f>
        <v>2023</v>
      </c>
      <c r="F3313" s="14">
        <v>6.76</v>
      </c>
      <c r="G3313">
        <v>154</v>
      </c>
      <c r="H3313" t="s">
        <v>13</v>
      </c>
      <c r="I3313" t="str">
        <f t="shared" si="51"/>
        <v>High Usage</v>
      </c>
    </row>
    <row r="3314" spans="1:9" x14ac:dyDescent="0.3">
      <c r="A3314">
        <v>13313</v>
      </c>
      <c r="B3314">
        <v>335</v>
      </c>
      <c r="C3314" s="2">
        <v>45010</v>
      </c>
      <c r="D3314" s="2" t="str">
        <f>TEXT(Table3[[#This Row],[usage_date]],"mmmm")</f>
        <v>March</v>
      </c>
      <c r="E3314" s="9">
        <f>YEAR(Table3[[#This Row],[usage_date]])</f>
        <v>2023</v>
      </c>
      <c r="F3314" s="14">
        <v>0.69</v>
      </c>
      <c r="G3314">
        <v>54</v>
      </c>
      <c r="H3314" t="s">
        <v>13</v>
      </c>
      <c r="I3314" t="str">
        <f t="shared" si="51"/>
        <v>Normal Usage</v>
      </c>
    </row>
    <row r="3315" spans="1:9" x14ac:dyDescent="0.3">
      <c r="A3315">
        <v>13314</v>
      </c>
      <c r="B3315">
        <v>220</v>
      </c>
      <c r="C3315" s="2">
        <v>44894</v>
      </c>
      <c r="D3315" s="2" t="str">
        <f>TEXT(Table3[[#This Row],[usage_date]],"mmmm")</f>
        <v>November</v>
      </c>
      <c r="E3315" s="9">
        <f>YEAR(Table3[[#This Row],[usage_date]])</f>
        <v>2022</v>
      </c>
      <c r="F3315" s="14">
        <v>4</v>
      </c>
      <c r="G3315">
        <v>18</v>
      </c>
      <c r="H3315" t="s">
        <v>12</v>
      </c>
      <c r="I3315" t="str">
        <f t="shared" si="51"/>
        <v>Normal Usage</v>
      </c>
    </row>
    <row r="3316" spans="1:9" x14ac:dyDescent="0.3">
      <c r="A3316">
        <v>13315</v>
      </c>
      <c r="B3316">
        <v>116</v>
      </c>
      <c r="C3316" s="2">
        <v>45430</v>
      </c>
      <c r="D3316" s="2" t="str">
        <f>TEXT(Table3[[#This Row],[usage_date]],"mmmm")</f>
        <v>May</v>
      </c>
      <c r="E3316" s="9">
        <f>YEAR(Table3[[#This Row],[usage_date]])</f>
        <v>2024</v>
      </c>
      <c r="F3316" s="14">
        <v>1.42</v>
      </c>
      <c r="G3316">
        <v>150</v>
      </c>
      <c r="H3316" t="s">
        <v>13</v>
      </c>
      <c r="I3316" t="str">
        <f t="shared" si="51"/>
        <v>Normal Usage</v>
      </c>
    </row>
    <row r="3317" spans="1:9" x14ac:dyDescent="0.3">
      <c r="A3317">
        <v>13316</v>
      </c>
      <c r="B3317">
        <v>313</v>
      </c>
      <c r="C3317" s="2">
        <v>44901</v>
      </c>
      <c r="D3317" s="2" t="str">
        <f>TEXT(Table3[[#This Row],[usage_date]],"mmmm")</f>
        <v>December</v>
      </c>
      <c r="E3317" s="9">
        <f>YEAR(Table3[[#This Row],[usage_date]])</f>
        <v>2022</v>
      </c>
      <c r="F3317" s="14">
        <v>6.24</v>
      </c>
      <c r="G3317">
        <v>107</v>
      </c>
      <c r="H3317" t="s">
        <v>12</v>
      </c>
      <c r="I3317" t="str">
        <f t="shared" si="51"/>
        <v>High Usage</v>
      </c>
    </row>
    <row r="3318" spans="1:9" x14ac:dyDescent="0.3">
      <c r="A3318">
        <v>13317</v>
      </c>
      <c r="B3318">
        <v>49</v>
      </c>
      <c r="C3318" s="2">
        <v>44613</v>
      </c>
      <c r="D3318" s="2" t="str">
        <f>TEXT(Table3[[#This Row],[usage_date]],"mmmm")</f>
        <v>February</v>
      </c>
      <c r="E3318" s="9">
        <f>YEAR(Table3[[#This Row],[usage_date]])</f>
        <v>2022</v>
      </c>
      <c r="F3318" s="14">
        <v>1.5</v>
      </c>
      <c r="G3318">
        <v>46</v>
      </c>
      <c r="H3318" t="s">
        <v>13</v>
      </c>
      <c r="I3318" t="str">
        <f t="shared" si="51"/>
        <v>Normal Usage</v>
      </c>
    </row>
    <row r="3319" spans="1:9" x14ac:dyDescent="0.3">
      <c r="A3319">
        <v>13318</v>
      </c>
      <c r="B3319">
        <v>173</v>
      </c>
      <c r="C3319" s="2">
        <v>45268</v>
      </c>
      <c r="D3319" s="2" t="str">
        <f>TEXT(Table3[[#This Row],[usage_date]],"mmmm")</f>
        <v>December</v>
      </c>
      <c r="E3319" s="9">
        <f>YEAR(Table3[[#This Row],[usage_date]])</f>
        <v>2023</v>
      </c>
      <c r="F3319" s="14">
        <v>3.41</v>
      </c>
      <c r="G3319">
        <v>206</v>
      </c>
      <c r="H3319" t="s">
        <v>12</v>
      </c>
      <c r="I3319" t="str">
        <f t="shared" si="51"/>
        <v>Normal Usage</v>
      </c>
    </row>
    <row r="3320" spans="1:9" x14ac:dyDescent="0.3">
      <c r="A3320">
        <v>13319</v>
      </c>
      <c r="B3320">
        <v>82</v>
      </c>
      <c r="C3320" s="2">
        <v>45027</v>
      </c>
      <c r="D3320" s="2" t="str">
        <f>TEXT(Table3[[#This Row],[usage_date]],"mmmm")</f>
        <v>April</v>
      </c>
      <c r="E3320" s="9">
        <f>YEAR(Table3[[#This Row],[usage_date]])</f>
        <v>2023</v>
      </c>
      <c r="F3320" s="14">
        <v>1.57</v>
      </c>
      <c r="G3320">
        <v>127</v>
      </c>
      <c r="H3320" t="s">
        <v>13</v>
      </c>
      <c r="I3320" t="str">
        <f t="shared" si="51"/>
        <v>Normal Usage</v>
      </c>
    </row>
    <row r="3321" spans="1:9" x14ac:dyDescent="0.3">
      <c r="A3321">
        <v>13320</v>
      </c>
      <c r="B3321">
        <v>322</v>
      </c>
      <c r="C3321" s="2">
        <v>45279</v>
      </c>
      <c r="D3321" s="2" t="str">
        <f>TEXT(Table3[[#This Row],[usage_date]],"mmmm")</f>
        <v>December</v>
      </c>
      <c r="E3321" s="9">
        <f>YEAR(Table3[[#This Row],[usage_date]])</f>
        <v>2023</v>
      </c>
      <c r="F3321" s="14">
        <v>0.65</v>
      </c>
      <c r="G3321">
        <v>184</v>
      </c>
      <c r="H3321" t="s">
        <v>12</v>
      </c>
      <c r="I3321" t="str">
        <f t="shared" si="51"/>
        <v>Normal Usage</v>
      </c>
    </row>
    <row r="3322" spans="1:9" x14ac:dyDescent="0.3">
      <c r="A3322">
        <v>13321</v>
      </c>
      <c r="B3322">
        <v>333</v>
      </c>
      <c r="C3322" s="2">
        <v>45360</v>
      </c>
      <c r="D3322" s="2" t="str">
        <f>TEXT(Table3[[#This Row],[usage_date]],"mmmm")</f>
        <v>March</v>
      </c>
      <c r="E3322" s="9">
        <f>YEAR(Table3[[#This Row],[usage_date]])</f>
        <v>2024</v>
      </c>
      <c r="F3322" s="14">
        <v>0.56000000000000005</v>
      </c>
      <c r="G3322">
        <v>57</v>
      </c>
      <c r="H3322" t="s">
        <v>12</v>
      </c>
      <c r="I3322" t="str">
        <f t="shared" si="51"/>
        <v>Normal Usage</v>
      </c>
    </row>
    <row r="3323" spans="1:9" x14ac:dyDescent="0.3">
      <c r="A3323">
        <v>13322</v>
      </c>
      <c r="B3323">
        <v>45</v>
      </c>
      <c r="C3323" s="2">
        <v>45036</v>
      </c>
      <c r="D3323" s="2" t="str">
        <f>TEXT(Table3[[#This Row],[usage_date]],"mmmm")</f>
        <v>April</v>
      </c>
      <c r="E3323" s="9">
        <f>YEAR(Table3[[#This Row],[usage_date]])</f>
        <v>2023</v>
      </c>
      <c r="F3323" s="14">
        <v>1.39</v>
      </c>
      <c r="G3323">
        <v>142</v>
      </c>
      <c r="H3323" t="s">
        <v>12</v>
      </c>
      <c r="I3323" t="str">
        <f t="shared" si="51"/>
        <v>Normal Usage</v>
      </c>
    </row>
    <row r="3324" spans="1:9" x14ac:dyDescent="0.3">
      <c r="A3324">
        <v>13323</v>
      </c>
      <c r="B3324">
        <v>335</v>
      </c>
      <c r="C3324" s="2">
        <v>44962</v>
      </c>
      <c r="D3324" s="2" t="str">
        <f>TEXT(Table3[[#This Row],[usage_date]],"mmmm")</f>
        <v>February</v>
      </c>
      <c r="E3324" s="9">
        <f>YEAR(Table3[[#This Row],[usage_date]])</f>
        <v>2023</v>
      </c>
      <c r="F3324" s="14">
        <v>3.52</v>
      </c>
      <c r="G3324">
        <v>96</v>
      </c>
      <c r="H3324" t="s">
        <v>12</v>
      </c>
      <c r="I3324" t="str">
        <f t="shared" si="51"/>
        <v>Normal Usage</v>
      </c>
    </row>
    <row r="3325" spans="1:9" x14ac:dyDescent="0.3">
      <c r="A3325">
        <v>13324</v>
      </c>
      <c r="B3325">
        <v>20</v>
      </c>
      <c r="C3325" s="2">
        <v>45000</v>
      </c>
      <c r="D3325" s="2" t="str">
        <f>TEXT(Table3[[#This Row],[usage_date]],"mmmm")</f>
        <v>March</v>
      </c>
      <c r="E3325" s="9">
        <f>YEAR(Table3[[#This Row],[usage_date]])</f>
        <v>2023</v>
      </c>
      <c r="F3325" s="14">
        <v>2.3199999999999998</v>
      </c>
      <c r="G3325">
        <v>46</v>
      </c>
      <c r="H3325" t="s">
        <v>13</v>
      </c>
      <c r="I3325" t="str">
        <f t="shared" si="51"/>
        <v>Normal Usage</v>
      </c>
    </row>
    <row r="3326" spans="1:9" x14ac:dyDescent="0.3">
      <c r="A3326">
        <v>13325</v>
      </c>
      <c r="B3326">
        <v>448</v>
      </c>
      <c r="C3326" s="2">
        <v>45439</v>
      </c>
      <c r="D3326" s="2" t="str">
        <f>TEXT(Table3[[#This Row],[usage_date]],"mmmm")</f>
        <v>May</v>
      </c>
      <c r="E3326" s="9">
        <f>YEAR(Table3[[#This Row],[usage_date]])</f>
        <v>2024</v>
      </c>
      <c r="F3326" s="14">
        <v>2.92</v>
      </c>
      <c r="G3326">
        <v>190</v>
      </c>
      <c r="H3326" t="s">
        <v>12</v>
      </c>
      <c r="I3326" t="str">
        <f t="shared" si="51"/>
        <v>Normal Usage</v>
      </c>
    </row>
    <row r="3327" spans="1:9" x14ac:dyDescent="0.3">
      <c r="A3327">
        <v>13326</v>
      </c>
      <c r="B3327">
        <v>221</v>
      </c>
      <c r="C3327" s="2">
        <v>45166</v>
      </c>
      <c r="D3327" s="2" t="str">
        <f>TEXT(Table3[[#This Row],[usage_date]],"mmmm")</f>
        <v>August</v>
      </c>
      <c r="E3327" s="9">
        <f>YEAR(Table3[[#This Row],[usage_date]])</f>
        <v>2023</v>
      </c>
      <c r="F3327" s="14">
        <v>0.83</v>
      </c>
      <c r="G3327">
        <v>139</v>
      </c>
      <c r="H3327" t="s">
        <v>12</v>
      </c>
      <c r="I3327" t="str">
        <f t="shared" si="51"/>
        <v>Normal Usage</v>
      </c>
    </row>
    <row r="3328" spans="1:9" x14ac:dyDescent="0.3">
      <c r="A3328">
        <v>13327</v>
      </c>
      <c r="B3328">
        <v>123</v>
      </c>
      <c r="C3328" s="2">
        <v>45382</v>
      </c>
      <c r="D3328" s="2" t="str">
        <f>TEXT(Table3[[#This Row],[usage_date]],"mmmm")</f>
        <v>March</v>
      </c>
      <c r="E3328" s="9">
        <f>YEAR(Table3[[#This Row],[usage_date]])</f>
        <v>2024</v>
      </c>
      <c r="F3328" s="14">
        <v>1.64</v>
      </c>
      <c r="G3328">
        <v>102</v>
      </c>
      <c r="H3328" t="s">
        <v>13</v>
      </c>
      <c r="I3328" t="str">
        <f t="shared" si="51"/>
        <v>Normal Usage</v>
      </c>
    </row>
    <row r="3329" spans="1:9" x14ac:dyDescent="0.3">
      <c r="A3329">
        <v>13328</v>
      </c>
      <c r="B3329">
        <v>234</v>
      </c>
      <c r="C3329" s="2">
        <v>45218</v>
      </c>
      <c r="D3329" s="2" t="str">
        <f>TEXT(Table3[[#This Row],[usage_date]],"mmmm")</f>
        <v>October</v>
      </c>
      <c r="E3329" s="9">
        <f>YEAR(Table3[[#This Row],[usage_date]])</f>
        <v>2023</v>
      </c>
      <c r="F3329" s="14">
        <v>0.11</v>
      </c>
      <c r="G3329">
        <v>230</v>
      </c>
      <c r="H3329" t="s">
        <v>12</v>
      </c>
      <c r="I3329" t="str">
        <f t="shared" si="51"/>
        <v>Normal Usage</v>
      </c>
    </row>
    <row r="3330" spans="1:9" x14ac:dyDescent="0.3">
      <c r="A3330">
        <v>13329</v>
      </c>
      <c r="B3330">
        <v>221</v>
      </c>
      <c r="C3330" s="2">
        <v>45159</v>
      </c>
      <c r="D3330" s="2" t="str">
        <f>TEXT(Table3[[#This Row],[usage_date]],"mmmm")</f>
        <v>August</v>
      </c>
      <c r="E3330" s="9">
        <f>YEAR(Table3[[#This Row],[usage_date]])</f>
        <v>2023</v>
      </c>
      <c r="F3330" s="14">
        <v>4.25</v>
      </c>
      <c r="G3330">
        <v>48</v>
      </c>
      <c r="H3330" t="s">
        <v>13</v>
      </c>
      <c r="I3330" t="str">
        <f t="shared" ref="I3330:I3393" si="52">IF(F3330&gt;6,"High Usage","Normal Usage")</f>
        <v>Normal Usage</v>
      </c>
    </row>
    <row r="3331" spans="1:9" x14ac:dyDescent="0.3">
      <c r="A3331">
        <v>13330</v>
      </c>
      <c r="B3331">
        <v>323</v>
      </c>
      <c r="C3331" s="2">
        <v>45070</v>
      </c>
      <c r="D3331" s="2" t="str">
        <f>TEXT(Table3[[#This Row],[usage_date]],"mmmm")</f>
        <v>May</v>
      </c>
      <c r="E3331" s="9">
        <f>YEAR(Table3[[#This Row],[usage_date]])</f>
        <v>2023</v>
      </c>
      <c r="F3331" s="14">
        <v>11.49</v>
      </c>
      <c r="G3331">
        <v>111</v>
      </c>
      <c r="H3331" t="s">
        <v>12</v>
      </c>
      <c r="I3331" t="str">
        <f t="shared" si="52"/>
        <v>High Usage</v>
      </c>
    </row>
    <row r="3332" spans="1:9" x14ac:dyDescent="0.3">
      <c r="A3332">
        <v>13331</v>
      </c>
      <c r="B3332">
        <v>339</v>
      </c>
      <c r="C3332" s="2">
        <v>44714</v>
      </c>
      <c r="D3332" s="2" t="str">
        <f>TEXT(Table3[[#This Row],[usage_date]],"mmmm")</f>
        <v>June</v>
      </c>
      <c r="E3332" s="9">
        <f>YEAR(Table3[[#This Row],[usage_date]])</f>
        <v>2022</v>
      </c>
      <c r="F3332" s="14">
        <v>1.31</v>
      </c>
      <c r="G3332">
        <v>86</v>
      </c>
      <c r="H3332" t="s">
        <v>12</v>
      </c>
      <c r="I3332" t="str">
        <f t="shared" si="52"/>
        <v>Normal Usage</v>
      </c>
    </row>
    <row r="3333" spans="1:9" x14ac:dyDescent="0.3">
      <c r="A3333">
        <v>13332</v>
      </c>
      <c r="B3333">
        <v>3</v>
      </c>
      <c r="C3333" s="2">
        <v>45075</v>
      </c>
      <c r="D3333" s="2" t="str">
        <f>TEXT(Table3[[#This Row],[usage_date]],"mmmm")</f>
        <v>May</v>
      </c>
      <c r="E3333" s="9">
        <f>YEAR(Table3[[#This Row],[usage_date]])</f>
        <v>2023</v>
      </c>
      <c r="F3333" s="14">
        <v>0.03</v>
      </c>
      <c r="G3333">
        <v>281</v>
      </c>
      <c r="H3333" t="s">
        <v>13</v>
      </c>
      <c r="I3333" t="str">
        <f t="shared" si="52"/>
        <v>Normal Usage</v>
      </c>
    </row>
    <row r="3334" spans="1:9" x14ac:dyDescent="0.3">
      <c r="A3334">
        <v>13333</v>
      </c>
      <c r="B3334">
        <v>182</v>
      </c>
      <c r="C3334" s="2">
        <v>45064</v>
      </c>
      <c r="D3334" s="2" t="str">
        <f>TEXT(Table3[[#This Row],[usage_date]],"mmmm")</f>
        <v>May</v>
      </c>
      <c r="E3334" s="9">
        <f>YEAR(Table3[[#This Row],[usage_date]])</f>
        <v>2023</v>
      </c>
      <c r="F3334" s="14">
        <v>0.47</v>
      </c>
      <c r="G3334">
        <v>251</v>
      </c>
      <c r="H3334" t="s">
        <v>12</v>
      </c>
      <c r="I3334" t="str">
        <f t="shared" si="52"/>
        <v>Normal Usage</v>
      </c>
    </row>
    <row r="3335" spans="1:9" x14ac:dyDescent="0.3">
      <c r="A3335">
        <v>13334</v>
      </c>
      <c r="B3335">
        <v>206</v>
      </c>
      <c r="C3335" s="2">
        <v>45415</v>
      </c>
      <c r="D3335" s="2" t="str">
        <f>TEXT(Table3[[#This Row],[usage_date]],"mmmm")</f>
        <v>May</v>
      </c>
      <c r="E3335" s="9">
        <f>YEAR(Table3[[#This Row],[usage_date]])</f>
        <v>2024</v>
      </c>
      <c r="F3335" s="14">
        <v>2.64</v>
      </c>
      <c r="G3335">
        <v>73</v>
      </c>
      <c r="H3335" t="s">
        <v>12</v>
      </c>
      <c r="I3335" t="str">
        <f t="shared" si="52"/>
        <v>Normal Usage</v>
      </c>
    </row>
    <row r="3336" spans="1:9" x14ac:dyDescent="0.3">
      <c r="A3336">
        <v>13335</v>
      </c>
      <c r="B3336">
        <v>320</v>
      </c>
      <c r="C3336" s="2">
        <v>45333</v>
      </c>
      <c r="D3336" s="2" t="str">
        <f>TEXT(Table3[[#This Row],[usage_date]],"mmmm")</f>
        <v>February</v>
      </c>
      <c r="E3336" s="9">
        <f>YEAR(Table3[[#This Row],[usage_date]])</f>
        <v>2024</v>
      </c>
      <c r="F3336" s="14">
        <v>2.37</v>
      </c>
      <c r="G3336">
        <v>46</v>
      </c>
      <c r="H3336" t="s">
        <v>13</v>
      </c>
      <c r="I3336" t="str">
        <f t="shared" si="52"/>
        <v>Normal Usage</v>
      </c>
    </row>
    <row r="3337" spans="1:9" x14ac:dyDescent="0.3">
      <c r="A3337">
        <v>13336</v>
      </c>
      <c r="B3337">
        <v>40</v>
      </c>
      <c r="C3337" s="2">
        <v>45237</v>
      </c>
      <c r="D3337" s="2" t="str">
        <f>TEXT(Table3[[#This Row],[usage_date]],"mmmm")</f>
        <v>November</v>
      </c>
      <c r="E3337" s="9">
        <f>YEAR(Table3[[#This Row],[usage_date]])</f>
        <v>2023</v>
      </c>
      <c r="F3337" s="14">
        <v>3.88</v>
      </c>
      <c r="G3337">
        <v>75</v>
      </c>
      <c r="H3337" t="s">
        <v>12</v>
      </c>
      <c r="I3337" t="str">
        <f t="shared" si="52"/>
        <v>Normal Usage</v>
      </c>
    </row>
    <row r="3338" spans="1:9" x14ac:dyDescent="0.3">
      <c r="A3338">
        <v>13337</v>
      </c>
      <c r="B3338">
        <v>59</v>
      </c>
      <c r="C3338" s="2">
        <v>44567</v>
      </c>
      <c r="D3338" s="2" t="str">
        <f>TEXT(Table3[[#This Row],[usage_date]],"mmmm")</f>
        <v>January</v>
      </c>
      <c r="E3338" s="9">
        <f>YEAR(Table3[[#This Row],[usage_date]])</f>
        <v>2022</v>
      </c>
      <c r="F3338" s="14">
        <v>0.73</v>
      </c>
      <c r="G3338">
        <v>95</v>
      </c>
      <c r="H3338" t="s">
        <v>13</v>
      </c>
      <c r="I3338" t="str">
        <f t="shared" si="52"/>
        <v>Normal Usage</v>
      </c>
    </row>
    <row r="3339" spans="1:9" x14ac:dyDescent="0.3">
      <c r="A3339">
        <v>13338</v>
      </c>
      <c r="B3339">
        <v>439</v>
      </c>
      <c r="C3339" s="2">
        <v>45061</v>
      </c>
      <c r="D3339" s="2" t="str">
        <f>TEXT(Table3[[#This Row],[usage_date]],"mmmm")</f>
        <v>May</v>
      </c>
      <c r="E3339" s="9">
        <f>YEAR(Table3[[#This Row],[usage_date]])</f>
        <v>2023</v>
      </c>
      <c r="F3339" s="14">
        <v>3.61</v>
      </c>
      <c r="G3339">
        <v>30</v>
      </c>
      <c r="H3339" t="s">
        <v>13</v>
      </c>
      <c r="I3339" t="str">
        <f t="shared" si="52"/>
        <v>Normal Usage</v>
      </c>
    </row>
    <row r="3340" spans="1:9" x14ac:dyDescent="0.3">
      <c r="A3340">
        <v>13339</v>
      </c>
      <c r="B3340">
        <v>62</v>
      </c>
      <c r="C3340" s="2">
        <v>45222</v>
      </c>
      <c r="D3340" s="2" t="str">
        <f>TEXT(Table3[[#This Row],[usage_date]],"mmmm")</f>
        <v>October</v>
      </c>
      <c r="E3340" s="9">
        <f>YEAR(Table3[[#This Row],[usage_date]])</f>
        <v>2023</v>
      </c>
      <c r="F3340" s="14">
        <v>2.91</v>
      </c>
      <c r="G3340">
        <v>21</v>
      </c>
      <c r="H3340" t="s">
        <v>12</v>
      </c>
      <c r="I3340" t="str">
        <f t="shared" si="52"/>
        <v>Normal Usage</v>
      </c>
    </row>
    <row r="3341" spans="1:9" x14ac:dyDescent="0.3">
      <c r="A3341">
        <v>13340</v>
      </c>
      <c r="B3341">
        <v>132</v>
      </c>
      <c r="C3341" s="2">
        <v>45278</v>
      </c>
      <c r="D3341" s="2" t="str">
        <f>TEXT(Table3[[#This Row],[usage_date]],"mmmm")</f>
        <v>December</v>
      </c>
      <c r="E3341" s="9">
        <f>YEAR(Table3[[#This Row],[usage_date]])</f>
        <v>2023</v>
      </c>
      <c r="F3341" s="14">
        <v>0.97</v>
      </c>
      <c r="G3341">
        <v>16</v>
      </c>
      <c r="H3341" t="s">
        <v>13</v>
      </c>
      <c r="I3341" t="str">
        <f t="shared" si="52"/>
        <v>Normal Usage</v>
      </c>
    </row>
    <row r="3342" spans="1:9" x14ac:dyDescent="0.3">
      <c r="A3342">
        <v>13341</v>
      </c>
      <c r="B3342">
        <v>60</v>
      </c>
      <c r="C3342" s="2">
        <v>44679</v>
      </c>
      <c r="D3342" s="2" t="str">
        <f>TEXT(Table3[[#This Row],[usage_date]],"mmmm")</f>
        <v>April</v>
      </c>
      <c r="E3342" s="9">
        <f>YEAR(Table3[[#This Row],[usage_date]])</f>
        <v>2022</v>
      </c>
      <c r="F3342" s="14">
        <v>1.97</v>
      </c>
      <c r="G3342">
        <v>211</v>
      </c>
      <c r="H3342" t="s">
        <v>12</v>
      </c>
      <c r="I3342" t="str">
        <f t="shared" si="52"/>
        <v>Normal Usage</v>
      </c>
    </row>
    <row r="3343" spans="1:9" x14ac:dyDescent="0.3">
      <c r="A3343">
        <v>13342</v>
      </c>
      <c r="B3343">
        <v>372</v>
      </c>
      <c r="C3343" s="2">
        <v>45046</v>
      </c>
      <c r="D3343" s="2" t="str">
        <f>TEXT(Table3[[#This Row],[usage_date]],"mmmm")</f>
        <v>April</v>
      </c>
      <c r="E3343" s="9">
        <f>YEAR(Table3[[#This Row],[usage_date]])</f>
        <v>2023</v>
      </c>
      <c r="F3343" s="14">
        <v>0.4</v>
      </c>
      <c r="G3343">
        <v>147</v>
      </c>
      <c r="H3343" t="s">
        <v>12</v>
      </c>
      <c r="I3343" t="str">
        <f t="shared" si="52"/>
        <v>Normal Usage</v>
      </c>
    </row>
    <row r="3344" spans="1:9" x14ac:dyDescent="0.3">
      <c r="A3344">
        <v>13343</v>
      </c>
      <c r="B3344">
        <v>331</v>
      </c>
      <c r="C3344" s="2">
        <v>45162</v>
      </c>
      <c r="D3344" s="2" t="str">
        <f>TEXT(Table3[[#This Row],[usage_date]],"mmmm")</f>
        <v>August</v>
      </c>
      <c r="E3344" s="9">
        <f>YEAR(Table3[[#This Row],[usage_date]])</f>
        <v>2023</v>
      </c>
      <c r="F3344" s="14">
        <v>1.51</v>
      </c>
      <c r="G3344">
        <v>234</v>
      </c>
      <c r="H3344" t="s">
        <v>13</v>
      </c>
      <c r="I3344" t="str">
        <f t="shared" si="52"/>
        <v>Normal Usage</v>
      </c>
    </row>
    <row r="3345" spans="1:9" x14ac:dyDescent="0.3">
      <c r="A3345">
        <v>13344</v>
      </c>
      <c r="B3345">
        <v>122</v>
      </c>
      <c r="C3345" s="2">
        <v>45227</v>
      </c>
      <c r="D3345" s="2" t="str">
        <f>TEXT(Table3[[#This Row],[usage_date]],"mmmm")</f>
        <v>October</v>
      </c>
      <c r="E3345" s="9">
        <f>YEAR(Table3[[#This Row],[usage_date]])</f>
        <v>2023</v>
      </c>
      <c r="F3345" s="14">
        <v>5.33</v>
      </c>
      <c r="G3345">
        <v>86</v>
      </c>
      <c r="H3345" t="s">
        <v>13</v>
      </c>
      <c r="I3345" t="str">
        <f t="shared" si="52"/>
        <v>Normal Usage</v>
      </c>
    </row>
    <row r="3346" spans="1:9" x14ac:dyDescent="0.3">
      <c r="A3346">
        <v>13345</v>
      </c>
      <c r="B3346">
        <v>479</v>
      </c>
      <c r="C3346" s="2">
        <v>45240</v>
      </c>
      <c r="D3346" s="2" t="str">
        <f>TEXT(Table3[[#This Row],[usage_date]],"mmmm")</f>
        <v>November</v>
      </c>
      <c r="E3346" s="9">
        <f>YEAR(Table3[[#This Row],[usage_date]])</f>
        <v>2023</v>
      </c>
      <c r="F3346" s="14">
        <v>1.37</v>
      </c>
      <c r="G3346">
        <v>37</v>
      </c>
      <c r="H3346" t="s">
        <v>13</v>
      </c>
      <c r="I3346" t="str">
        <f t="shared" si="52"/>
        <v>Normal Usage</v>
      </c>
    </row>
    <row r="3347" spans="1:9" x14ac:dyDescent="0.3">
      <c r="A3347">
        <v>13346</v>
      </c>
      <c r="B3347">
        <v>107</v>
      </c>
      <c r="C3347" s="2">
        <v>45029</v>
      </c>
      <c r="D3347" s="2" t="str">
        <f>TEXT(Table3[[#This Row],[usage_date]],"mmmm")</f>
        <v>April</v>
      </c>
      <c r="E3347" s="9">
        <f>YEAR(Table3[[#This Row],[usage_date]])</f>
        <v>2023</v>
      </c>
      <c r="F3347" s="14">
        <v>4.57</v>
      </c>
      <c r="G3347">
        <v>52</v>
      </c>
      <c r="H3347" t="s">
        <v>13</v>
      </c>
      <c r="I3347" t="str">
        <f t="shared" si="52"/>
        <v>Normal Usage</v>
      </c>
    </row>
    <row r="3348" spans="1:9" x14ac:dyDescent="0.3">
      <c r="A3348">
        <v>13347</v>
      </c>
      <c r="B3348">
        <v>96</v>
      </c>
      <c r="C3348" s="2">
        <v>44722</v>
      </c>
      <c r="D3348" s="2" t="str">
        <f>TEXT(Table3[[#This Row],[usage_date]],"mmmm")</f>
        <v>June</v>
      </c>
      <c r="E3348" s="9">
        <f>YEAR(Table3[[#This Row],[usage_date]])</f>
        <v>2022</v>
      </c>
      <c r="F3348" s="14">
        <v>2.23</v>
      </c>
      <c r="G3348">
        <v>27</v>
      </c>
      <c r="H3348" t="s">
        <v>12</v>
      </c>
      <c r="I3348" t="str">
        <f t="shared" si="52"/>
        <v>Normal Usage</v>
      </c>
    </row>
    <row r="3349" spans="1:9" x14ac:dyDescent="0.3">
      <c r="A3349">
        <v>13348</v>
      </c>
      <c r="B3349">
        <v>347</v>
      </c>
      <c r="C3349" s="2">
        <v>44831</v>
      </c>
      <c r="D3349" s="2" t="str">
        <f>TEXT(Table3[[#This Row],[usage_date]],"mmmm")</f>
        <v>September</v>
      </c>
      <c r="E3349" s="9">
        <f>YEAR(Table3[[#This Row],[usage_date]])</f>
        <v>2022</v>
      </c>
      <c r="F3349" s="14">
        <v>0.53</v>
      </c>
      <c r="G3349">
        <v>76</v>
      </c>
      <c r="H3349" t="s">
        <v>12</v>
      </c>
      <c r="I3349" t="str">
        <f t="shared" si="52"/>
        <v>Normal Usage</v>
      </c>
    </row>
    <row r="3350" spans="1:9" x14ac:dyDescent="0.3">
      <c r="A3350">
        <v>13349</v>
      </c>
      <c r="B3350">
        <v>414</v>
      </c>
      <c r="C3350" s="2">
        <v>44617</v>
      </c>
      <c r="D3350" s="2" t="str">
        <f>TEXT(Table3[[#This Row],[usage_date]],"mmmm")</f>
        <v>February</v>
      </c>
      <c r="E3350" s="9">
        <f>YEAR(Table3[[#This Row],[usage_date]])</f>
        <v>2022</v>
      </c>
      <c r="F3350" s="14">
        <v>2.1800000000000002</v>
      </c>
      <c r="G3350">
        <v>199</v>
      </c>
      <c r="H3350" t="s">
        <v>12</v>
      </c>
      <c r="I3350" t="str">
        <f t="shared" si="52"/>
        <v>Normal Usage</v>
      </c>
    </row>
    <row r="3351" spans="1:9" x14ac:dyDescent="0.3">
      <c r="A3351">
        <v>13350</v>
      </c>
      <c r="B3351">
        <v>235</v>
      </c>
      <c r="C3351" s="2">
        <v>44789</v>
      </c>
      <c r="D3351" s="2" t="str">
        <f>TEXT(Table3[[#This Row],[usage_date]],"mmmm")</f>
        <v>August</v>
      </c>
      <c r="E3351" s="9">
        <f>YEAR(Table3[[#This Row],[usage_date]])</f>
        <v>2022</v>
      </c>
      <c r="F3351" s="14">
        <v>1.76</v>
      </c>
      <c r="G3351">
        <v>172</v>
      </c>
      <c r="H3351" t="s">
        <v>12</v>
      </c>
      <c r="I3351" t="str">
        <f t="shared" si="52"/>
        <v>Normal Usage</v>
      </c>
    </row>
    <row r="3352" spans="1:9" x14ac:dyDescent="0.3">
      <c r="A3352">
        <v>13351</v>
      </c>
      <c r="B3352">
        <v>386</v>
      </c>
      <c r="C3352" s="2">
        <v>45410</v>
      </c>
      <c r="D3352" s="2" t="str">
        <f>TEXT(Table3[[#This Row],[usage_date]],"mmmm")</f>
        <v>April</v>
      </c>
      <c r="E3352" s="9">
        <f>YEAR(Table3[[#This Row],[usage_date]])</f>
        <v>2024</v>
      </c>
      <c r="F3352" s="14">
        <v>1.27</v>
      </c>
      <c r="G3352">
        <v>273</v>
      </c>
      <c r="H3352" t="s">
        <v>12</v>
      </c>
      <c r="I3352" t="str">
        <f t="shared" si="52"/>
        <v>Normal Usage</v>
      </c>
    </row>
    <row r="3353" spans="1:9" x14ac:dyDescent="0.3">
      <c r="A3353">
        <v>13352</v>
      </c>
      <c r="B3353">
        <v>62</v>
      </c>
      <c r="C3353" s="2">
        <v>44710</v>
      </c>
      <c r="D3353" s="2" t="str">
        <f>TEXT(Table3[[#This Row],[usage_date]],"mmmm")</f>
        <v>May</v>
      </c>
      <c r="E3353" s="9">
        <f>YEAR(Table3[[#This Row],[usage_date]])</f>
        <v>2022</v>
      </c>
      <c r="F3353" s="14">
        <v>0.32</v>
      </c>
      <c r="G3353">
        <v>49</v>
      </c>
      <c r="H3353" t="s">
        <v>13</v>
      </c>
      <c r="I3353" t="str">
        <f t="shared" si="52"/>
        <v>Normal Usage</v>
      </c>
    </row>
    <row r="3354" spans="1:9" x14ac:dyDescent="0.3">
      <c r="A3354">
        <v>13353</v>
      </c>
      <c r="B3354">
        <v>256</v>
      </c>
      <c r="C3354" s="2">
        <v>44607</v>
      </c>
      <c r="D3354" s="2" t="str">
        <f>TEXT(Table3[[#This Row],[usage_date]],"mmmm")</f>
        <v>February</v>
      </c>
      <c r="E3354" s="9">
        <f>YEAR(Table3[[#This Row],[usage_date]])</f>
        <v>2022</v>
      </c>
      <c r="F3354" s="14">
        <v>1.35</v>
      </c>
      <c r="G3354">
        <v>176</v>
      </c>
      <c r="H3354" t="s">
        <v>12</v>
      </c>
      <c r="I3354" t="str">
        <f t="shared" si="52"/>
        <v>Normal Usage</v>
      </c>
    </row>
    <row r="3355" spans="1:9" x14ac:dyDescent="0.3">
      <c r="A3355">
        <v>13354</v>
      </c>
      <c r="B3355">
        <v>49</v>
      </c>
      <c r="C3355" s="2">
        <v>44705</v>
      </c>
      <c r="D3355" s="2" t="str">
        <f>TEXT(Table3[[#This Row],[usage_date]],"mmmm")</f>
        <v>May</v>
      </c>
      <c r="E3355" s="9">
        <f>YEAR(Table3[[#This Row],[usage_date]])</f>
        <v>2022</v>
      </c>
      <c r="F3355" s="14">
        <v>0.19</v>
      </c>
      <c r="G3355">
        <v>226</v>
      </c>
      <c r="H3355" t="s">
        <v>13</v>
      </c>
      <c r="I3355" t="str">
        <f t="shared" si="52"/>
        <v>Normal Usage</v>
      </c>
    </row>
    <row r="3356" spans="1:9" x14ac:dyDescent="0.3">
      <c r="A3356">
        <v>13355</v>
      </c>
      <c r="B3356">
        <v>393</v>
      </c>
      <c r="C3356" s="2">
        <v>45311</v>
      </c>
      <c r="D3356" s="2" t="str">
        <f>TEXT(Table3[[#This Row],[usage_date]],"mmmm")</f>
        <v>January</v>
      </c>
      <c r="E3356" s="9">
        <f>YEAR(Table3[[#This Row],[usage_date]])</f>
        <v>2024</v>
      </c>
      <c r="F3356" s="14">
        <v>0.26</v>
      </c>
      <c r="G3356">
        <v>126</v>
      </c>
      <c r="H3356" t="s">
        <v>13</v>
      </c>
      <c r="I3356" t="str">
        <f t="shared" si="52"/>
        <v>Normal Usage</v>
      </c>
    </row>
    <row r="3357" spans="1:9" x14ac:dyDescent="0.3">
      <c r="A3357">
        <v>13356</v>
      </c>
      <c r="B3357">
        <v>348</v>
      </c>
      <c r="C3357" s="2">
        <v>45345</v>
      </c>
      <c r="D3357" s="2" t="str">
        <f>TEXT(Table3[[#This Row],[usage_date]],"mmmm")</f>
        <v>February</v>
      </c>
      <c r="E3357" s="9">
        <f>YEAR(Table3[[#This Row],[usage_date]])</f>
        <v>2024</v>
      </c>
      <c r="F3357" s="14">
        <v>1.34</v>
      </c>
      <c r="G3357">
        <v>20</v>
      </c>
      <c r="H3357" t="s">
        <v>12</v>
      </c>
      <c r="I3357" t="str">
        <f t="shared" si="52"/>
        <v>Normal Usage</v>
      </c>
    </row>
    <row r="3358" spans="1:9" x14ac:dyDescent="0.3">
      <c r="A3358">
        <v>13357</v>
      </c>
      <c r="B3358">
        <v>159</v>
      </c>
      <c r="C3358" s="2">
        <v>45193</v>
      </c>
      <c r="D3358" s="2" t="str">
        <f>TEXT(Table3[[#This Row],[usage_date]],"mmmm")</f>
        <v>September</v>
      </c>
      <c r="E3358" s="9">
        <f>YEAR(Table3[[#This Row],[usage_date]])</f>
        <v>2023</v>
      </c>
      <c r="F3358" s="14">
        <v>0.91</v>
      </c>
      <c r="G3358">
        <v>198</v>
      </c>
      <c r="H3358" t="s">
        <v>12</v>
      </c>
      <c r="I3358" t="str">
        <f t="shared" si="52"/>
        <v>Normal Usage</v>
      </c>
    </row>
    <row r="3359" spans="1:9" x14ac:dyDescent="0.3">
      <c r="A3359">
        <v>13358</v>
      </c>
      <c r="B3359">
        <v>124</v>
      </c>
      <c r="C3359" s="2">
        <v>44901</v>
      </c>
      <c r="D3359" s="2" t="str">
        <f>TEXT(Table3[[#This Row],[usage_date]],"mmmm")</f>
        <v>December</v>
      </c>
      <c r="E3359" s="9">
        <f>YEAR(Table3[[#This Row],[usage_date]])</f>
        <v>2022</v>
      </c>
      <c r="F3359" s="14">
        <v>6.49</v>
      </c>
      <c r="G3359">
        <v>188</v>
      </c>
      <c r="H3359" t="s">
        <v>12</v>
      </c>
      <c r="I3359" t="str">
        <f t="shared" si="52"/>
        <v>High Usage</v>
      </c>
    </row>
    <row r="3360" spans="1:9" x14ac:dyDescent="0.3">
      <c r="A3360">
        <v>13359</v>
      </c>
      <c r="B3360">
        <v>482</v>
      </c>
      <c r="C3360" s="2">
        <v>44974</v>
      </c>
      <c r="D3360" s="2" t="str">
        <f>TEXT(Table3[[#This Row],[usage_date]],"mmmm")</f>
        <v>February</v>
      </c>
      <c r="E3360" s="9">
        <f>YEAR(Table3[[#This Row],[usage_date]])</f>
        <v>2023</v>
      </c>
      <c r="F3360" s="14">
        <v>1.18</v>
      </c>
      <c r="G3360">
        <v>151</v>
      </c>
      <c r="H3360" t="s">
        <v>12</v>
      </c>
      <c r="I3360" t="str">
        <f t="shared" si="52"/>
        <v>Normal Usage</v>
      </c>
    </row>
    <row r="3361" spans="1:9" x14ac:dyDescent="0.3">
      <c r="A3361">
        <v>13360</v>
      </c>
      <c r="B3361">
        <v>317</v>
      </c>
      <c r="C3361" s="2">
        <v>45293</v>
      </c>
      <c r="D3361" s="2" t="str">
        <f>TEXT(Table3[[#This Row],[usage_date]],"mmmm")</f>
        <v>January</v>
      </c>
      <c r="E3361" s="9">
        <f>YEAR(Table3[[#This Row],[usage_date]])</f>
        <v>2024</v>
      </c>
      <c r="F3361" s="14">
        <v>3.55</v>
      </c>
      <c r="G3361">
        <v>159</v>
      </c>
      <c r="H3361" t="s">
        <v>13</v>
      </c>
      <c r="I3361" t="str">
        <f t="shared" si="52"/>
        <v>Normal Usage</v>
      </c>
    </row>
    <row r="3362" spans="1:9" x14ac:dyDescent="0.3">
      <c r="A3362">
        <v>13361</v>
      </c>
      <c r="B3362">
        <v>207</v>
      </c>
      <c r="C3362" s="2">
        <v>45081</v>
      </c>
      <c r="D3362" s="2" t="str">
        <f>TEXT(Table3[[#This Row],[usage_date]],"mmmm")</f>
        <v>June</v>
      </c>
      <c r="E3362" s="9">
        <f>YEAR(Table3[[#This Row],[usage_date]])</f>
        <v>2023</v>
      </c>
      <c r="F3362" s="14">
        <v>1.89</v>
      </c>
      <c r="G3362">
        <v>95</v>
      </c>
      <c r="H3362" t="s">
        <v>12</v>
      </c>
      <c r="I3362" t="str">
        <f t="shared" si="52"/>
        <v>Normal Usage</v>
      </c>
    </row>
    <row r="3363" spans="1:9" x14ac:dyDescent="0.3">
      <c r="A3363">
        <v>13362</v>
      </c>
      <c r="B3363">
        <v>48</v>
      </c>
      <c r="C3363" s="2">
        <v>44905</v>
      </c>
      <c r="D3363" s="2" t="str">
        <f>TEXT(Table3[[#This Row],[usage_date]],"mmmm")</f>
        <v>December</v>
      </c>
      <c r="E3363" s="9">
        <f>YEAR(Table3[[#This Row],[usage_date]])</f>
        <v>2022</v>
      </c>
      <c r="F3363" s="14">
        <v>3.04</v>
      </c>
      <c r="G3363">
        <v>74</v>
      </c>
      <c r="H3363" t="s">
        <v>13</v>
      </c>
      <c r="I3363" t="str">
        <f t="shared" si="52"/>
        <v>Normal Usage</v>
      </c>
    </row>
    <row r="3364" spans="1:9" x14ac:dyDescent="0.3">
      <c r="A3364">
        <v>13363</v>
      </c>
      <c r="B3364">
        <v>409</v>
      </c>
      <c r="C3364" s="2">
        <v>44948</v>
      </c>
      <c r="D3364" s="2" t="str">
        <f>TEXT(Table3[[#This Row],[usage_date]],"mmmm")</f>
        <v>January</v>
      </c>
      <c r="E3364" s="9">
        <f>YEAR(Table3[[#This Row],[usage_date]])</f>
        <v>2023</v>
      </c>
      <c r="F3364" s="14">
        <v>0.75</v>
      </c>
      <c r="G3364">
        <v>81</v>
      </c>
      <c r="H3364" t="s">
        <v>13</v>
      </c>
      <c r="I3364" t="str">
        <f t="shared" si="52"/>
        <v>Normal Usage</v>
      </c>
    </row>
    <row r="3365" spans="1:9" x14ac:dyDescent="0.3">
      <c r="A3365">
        <v>13364</v>
      </c>
      <c r="B3365">
        <v>420</v>
      </c>
      <c r="C3365" s="2">
        <v>45034</v>
      </c>
      <c r="D3365" s="2" t="str">
        <f>TEXT(Table3[[#This Row],[usage_date]],"mmmm")</f>
        <v>April</v>
      </c>
      <c r="E3365" s="9">
        <f>YEAR(Table3[[#This Row],[usage_date]])</f>
        <v>2023</v>
      </c>
      <c r="F3365" s="14">
        <v>7.11</v>
      </c>
      <c r="G3365">
        <v>127</v>
      </c>
      <c r="H3365" t="s">
        <v>12</v>
      </c>
      <c r="I3365" t="str">
        <f t="shared" si="52"/>
        <v>High Usage</v>
      </c>
    </row>
    <row r="3366" spans="1:9" x14ac:dyDescent="0.3">
      <c r="A3366">
        <v>13365</v>
      </c>
      <c r="B3366">
        <v>136</v>
      </c>
      <c r="C3366" s="2">
        <v>44836</v>
      </c>
      <c r="D3366" s="2" t="str">
        <f>TEXT(Table3[[#This Row],[usage_date]],"mmmm")</f>
        <v>October</v>
      </c>
      <c r="E3366" s="9">
        <f>YEAR(Table3[[#This Row],[usage_date]])</f>
        <v>2022</v>
      </c>
      <c r="F3366" s="14">
        <v>1.89</v>
      </c>
      <c r="G3366">
        <v>132</v>
      </c>
      <c r="H3366" t="s">
        <v>13</v>
      </c>
      <c r="I3366" t="str">
        <f t="shared" si="52"/>
        <v>Normal Usage</v>
      </c>
    </row>
    <row r="3367" spans="1:9" x14ac:dyDescent="0.3">
      <c r="A3367">
        <v>13366</v>
      </c>
      <c r="B3367">
        <v>201</v>
      </c>
      <c r="C3367" s="2">
        <v>44914</v>
      </c>
      <c r="D3367" s="2" t="str">
        <f>TEXT(Table3[[#This Row],[usage_date]],"mmmm")</f>
        <v>December</v>
      </c>
      <c r="E3367" s="9">
        <f>YEAR(Table3[[#This Row],[usage_date]])</f>
        <v>2022</v>
      </c>
      <c r="F3367" s="14">
        <v>4.45</v>
      </c>
      <c r="G3367">
        <v>138</v>
      </c>
      <c r="H3367" t="s">
        <v>12</v>
      </c>
      <c r="I3367" t="str">
        <f t="shared" si="52"/>
        <v>Normal Usage</v>
      </c>
    </row>
    <row r="3368" spans="1:9" x14ac:dyDescent="0.3">
      <c r="A3368">
        <v>13367</v>
      </c>
      <c r="B3368">
        <v>250</v>
      </c>
      <c r="C3368" s="2">
        <v>44627</v>
      </c>
      <c r="D3368" s="2" t="str">
        <f>TEXT(Table3[[#This Row],[usage_date]],"mmmm")</f>
        <v>March</v>
      </c>
      <c r="E3368" s="9">
        <f>YEAR(Table3[[#This Row],[usage_date]])</f>
        <v>2022</v>
      </c>
      <c r="F3368" s="14">
        <v>1.1399999999999999</v>
      </c>
      <c r="G3368">
        <v>245</v>
      </c>
      <c r="H3368" t="s">
        <v>12</v>
      </c>
      <c r="I3368" t="str">
        <f t="shared" si="52"/>
        <v>Normal Usage</v>
      </c>
    </row>
    <row r="3369" spans="1:9" x14ac:dyDescent="0.3">
      <c r="A3369">
        <v>13368</v>
      </c>
      <c r="B3369">
        <v>314</v>
      </c>
      <c r="C3369" s="2">
        <v>44640</v>
      </c>
      <c r="D3369" s="2" t="str">
        <f>TEXT(Table3[[#This Row],[usage_date]],"mmmm")</f>
        <v>March</v>
      </c>
      <c r="E3369" s="9">
        <f>YEAR(Table3[[#This Row],[usage_date]])</f>
        <v>2022</v>
      </c>
      <c r="F3369" s="14">
        <v>0.26</v>
      </c>
      <c r="G3369">
        <v>290</v>
      </c>
      <c r="H3369" t="s">
        <v>12</v>
      </c>
      <c r="I3369" t="str">
        <f t="shared" si="52"/>
        <v>Normal Usage</v>
      </c>
    </row>
    <row r="3370" spans="1:9" x14ac:dyDescent="0.3">
      <c r="A3370">
        <v>13369</v>
      </c>
      <c r="B3370">
        <v>357</v>
      </c>
      <c r="C3370" s="2">
        <v>45159</v>
      </c>
      <c r="D3370" s="2" t="str">
        <f>TEXT(Table3[[#This Row],[usage_date]],"mmmm")</f>
        <v>August</v>
      </c>
      <c r="E3370" s="9">
        <f>YEAR(Table3[[#This Row],[usage_date]])</f>
        <v>2023</v>
      </c>
      <c r="F3370" s="14">
        <v>2.8</v>
      </c>
      <c r="G3370">
        <v>111</v>
      </c>
      <c r="H3370" t="s">
        <v>12</v>
      </c>
      <c r="I3370" t="str">
        <f t="shared" si="52"/>
        <v>Normal Usage</v>
      </c>
    </row>
    <row r="3371" spans="1:9" x14ac:dyDescent="0.3">
      <c r="A3371">
        <v>13370</v>
      </c>
      <c r="B3371">
        <v>368</v>
      </c>
      <c r="C3371" s="2">
        <v>45197</v>
      </c>
      <c r="D3371" s="2" t="str">
        <f>TEXT(Table3[[#This Row],[usage_date]],"mmmm")</f>
        <v>September</v>
      </c>
      <c r="E3371" s="9">
        <f>YEAR(Table3[[#This Row],[usage_date]])</f>
        <v>2023</v>
      </c>
      <c r="F3371" s="14">
        <v>0.02</v>
      </c>
      <c r="G3371">
        <v>202</v>
      </c>
      <c r="H3371" t="s">
        <v>12</v>
      </c>
      <c r="I3371" t="str">
        <f t="shared" si="52"/>
        <v>Normal Usage</v>
      </c>
    </row>
    <row r="3372" spans="1:9" x14ac:dyDescent="0.3">
      <c r="A3372">
        <v>13371</v>
      </c>
      <c r="B3372">
        <v>429</v>
      </c>
      <c r="C3372" s="2">
        <v>44763</v>
      </c>
      <c r="D3372" s="2" t="str">
        <f>TEXT(Table3[[#This Row],[usage_date]],"mmmm")</f>
        <v>July</v>
      </c>
      <c r="E3372" s="9">
        <f>YEAR(Table3[[#This Row],[usage_date]])</f>
        <v>2022</v>
      </c>
      <c r="F3372" s="14">
        <v>1.61</v>
      </c>
      <c r="G3372">
        <v>169</v>
      </c>
      <c r="H3372" t="s">
        <v>13</v>
      </c>
      <c r="I3372" t="str">
        <f t="shared" si="52"/>
        <v>Normal Usage</v>
      </c>
    </row>
    <row r="3373" spans="1:9" x14ac:dyDescent="0.3">
      <c r="A3373">
        <v>13372</v>
      </c>
      <c r="B3373">
        <v>318</v>
      </c>
      <c r="C3373" s="2">
        <v>45223</v>
      </c>
      <c r="D3373" s="2" t="str">
        <f>TEXT(Table3[[#This Row],[usage_date]],"mmmm")</f>
        <v>October</v>
      </c>
      <c r="E3373" s="9">
        <f>YEAR(Table3[[#This Row],[usage_date]])</f>
        <v>2023</v>
      </c>
      <c r="F3373" s="14">
        <v>0.54</v>
      </c>
      <c r="G3373">
        <v>86</v>
      </c>
      <c r="H3373" t="s">
        <v>12</v>
      </c>
      <c r="I3373" t="str">
        <f t="shared" si="52"/>
        <v>Normal Usage</v>
      </c>
    </row>
    <row r="3374" spans="1:9" x14ac:dyDescent="0.3">
      <c r="A3374">
        <v>13373</v>
      </c>
      <c r="B3374">
        <v>295</v>
      </c>
      <c r="C3374" s="2">
        <v>45119</v>
      </c>
      <c r="D3374" s="2" t="str">
        <f>TEXT(Table3[[#This Row],[usage_date]],"mmmm")</f>
        <v>July</v>
      </c>
      <c r="E3374" s="9">
        <f>YEAR(Table3[[#This Row],[usage_date]])</f>
        <v>2023</v>
      </c>
      <c r="F3374" s="14">
        <v>2.4700000000000002</v>
      </c>
      <c r="G3374">
        <v>118</v>
      </c>
      <c r="H3374" t="s">
        <v>12</v>
      </c>
      <c r="I3374" t="str">
        <f t="shared" si="52"/>
        <v>Normal Usage</v>
      </c>
    </row>
    <row r="3375" spans="1:9" x14ac:dyDescent="0.3">
      <c r="A3375">
        <v>13374</v>
      </c>
      <c r="B3375">
        <v>480</v>
      </c>
      <c r="C3375" s="2">
        <v>44674</v>
      </c>
      <c r="D3375" s="2" t="str">
        <f>TEXT(Table3[[#This Row],[usage_date]],"mmmm")</f>
        <v>April</v>
      </c>
      <c r="E3375" s="9">
        <f>YEAR(Table3[[#This Row],[usage_date]])</f>
        <v>2022</v>
      </c>
      <c r="F3375" s="14">
        <v>9.7100000000000009</v>
      </c>
      <c r="G3375">
        <v>97</v>
      </c>
      <c r="H3375" t="s">
        <v>12</v>
      </c>
      <c r="I3375" t="str">
        <f t="shared" si="52"/>
        <v>High Usage</v>
      </c>
    </row>
    <row r="3376" spans="1:9" x14ac:dyDescent="0.3">
      <c r="A3376">
        <v>13375</v>
      </c>
      <c r="B3376">
        <v>314</v>
      </c>
      <c r="C3376" s="2">
        <v>44652</v>
      </c>
      <c r="D3376" s="2" t="str">
        <f>TEXT(Table3[[#This Row],[usage_date]],"mmmm")</f>
        <v>April</v>
      </c>
      <c r="E3376" s="9">
        <f>YEAR(Table3[[#This Row],[usage_date]])</f>
        <v>2022</v>
      </c>
      <c r="F3376" s="14">
        <v>1.56</v>
      </c>
      <c r="G3376">
        <v>239</v>
      </c>
      <c r="H3376" t="s">
        <v>12</v>
      </c>
      <c r="I3376" t="str">
        <f t="shared" si="52"/>
        <v>Normal Usage</v>
      </c>
    </row>
    <row r="3377" spans="1:9" x14ac:dyDescent="0.3">
      <c r="A3377">
        <v>13376</v>
      </c>
      <c r="B3377">
        <v>500</v>
      </c>
      <c r="C3377" s="2">
        <v>44702</v>
      </c>
      <c r="D3377" s="2" t="str">
        <f>TEXT(Table3[[#This Row],[usage_date]],"mmmm")</f>
        <v>May</v>
      </c>
      <c r="E3377" s="9">
        <f>YEAR(Table3[[#This Row],[usage_date]])</f>
        <v>2022</v>
      </c>
      <c r="F3377" s="14">
        <v>4.25</v>
      </c>
      <c r="G3377">
        <v>137</v>
      </c>
      <c r="H3377" t="s">
        <v>12</v>
      </c>
      <c r="I3377" t="str">
        <f t="shared" si="52"/>
        <v>Normal Usage</v>
      </c>
    </row>
    <row r="3378" spans="1:9" x14ac:dyDescent="0.3">
      <c r="A3378">
        <v>13377</v>
      </c>
      <c r="B3378">
        <v>209</v>
      </c>
      <c r="C3378" s="2">
        <v>44850</v>
      </c>
      <c r="D3378" s="2" t="str">
        <f>TEXT(Table3[[#This Row],[usage_date]],"mmmm")</f>
        <v>October</v>
      </c>
      <c r="E3378" s="9">
        <f>YEAR(Table3[[#This Row],[usage_date]])</f>
        <v>2022</v>
      </c>
      <c r="F3378" s="14">
        <v>1.77</v>
      </c>
      <c r="G3378">
        <v>81</v>
      </c>
      <c r="H3378" t="s">
        <v>12</v>
      </c>
      <c r="I3378" t="str">
        <f t="shared" si="52"/>
        <v>Normal Usage</v>
      </c>
    </row>
    <row r="3379" spans="1:9" x14ac:dyDescent="0.3">
      <c r="A3379">
        <v>13378</v>
      </c>
      <c r="B3379">
        <v>355</v>
      </c>
      <c r="C3379" s="2">
        <v>45291</v>
      </c>
      <c r="D3379" s="2" t="str">
        <f>TEXT(Table3[[#This Row],[usage_date]],"mmmm")</f>
        <v>December</v>
      </c>
      <c r="E3379" s="9">
        <f>YEAR(Table3[[#This Row],[usage_date]])</f>
        <v>2023</v>
      </c>
      <c r="F3379" s="14">
        <v>1.71</v>
      </c>
      <c r="G3379">
        <v>235</v>
      </c>
      <c r="H3379" t="s">
        <v>12</v>
      </c>
      <c r="I3379" t="str">
        <f t="shared" si="52"/>
        <v>Normal Usage</v>
      </c>
    </row>
    <row r="3380" spans="1:9" x14ac:dyDescent="0.3">
      <c r="A3380">
        <v>13379</v>
      </c>
      <c r="B3380">
        <v>485</v>
      </c>
      <c r="C3380" s="2">
        <v>45150</v>
      </c>
      <c r="D3380" s="2" t="str">
        <f>TEXT(Table3[[#This Row],[usage_date]],"mmmm")</f>
        <v>August</v>
      </c>
      <c r="E3380" s="9">
        <f>YEAR(Table3[[#This Row],[usage_date]])</f>
        <v>2023</v>
      </c>
      <c r="F3380" s="14">
        <v>6.66</v>
      </c>
      <c r="G3380">
        <v>135</v>
      </c>
      <c r="H3380" t="s">
        <v>12</v>
      </c>
      <c r="I3380" t="str">
        <f t="shared" si="52"/>
        <v>High Usage</v>
      </c>
    </row>
    <row r="3381" spans="1:9" x14ac:dyDescent="0.3">
      <c r="A3381">
        <v>13380</v>
      </c>
      <c r="B3381">
        <v>211</v>
      </c>
      <c r="C3381" s="2">
        <v>44972</v>
      </c>
      <c r="D3381" s="2" t="str">
        <f>TEXT(Table3[[#This Row],[usage_date]],"mmmm")</f>
        <v>February</v>
      </c>
      <c r="E3381" s="9">
        <f>YEAR(Table3[[#This Row],[usage_date]])</f>
        <v>2023</v>
      </c>
      <c r="F3381" s="14">
        <v>5.52</v>
      </c>
      <c r="G3381">
        <v>281</v>
      </c>
      <c r="H3381" t="s">
        <v>12</v>
      </c>
      <c r="I3381" t="str">
        <f t="shared" si="52"/>
        <v>Normal Usage</v>
      </c>
    </row>
    <row r="3382" spans="1:9" x14ac:dyDescent="0.3">
      <c r="A3382">
        <v>13381</v>
      </c>
      <c r="B3382">
        <v>192</v>
      </c>
      <c r="C3382" s="2">
        <v>44938</v>
      </c>
      <c r="D3382" s="2" t="str">
        <f>TEXT(Table3[[#This Row],[usage_date]],"mmmm")</f>
        <v>January</v>
      </c>
      <c r="E3382" s="9">
        <f>YEAR(Table3[[#This Row],[usage_date]])</f>
        <v>2023</v>
      </c>
      <c r="F3382" s="14">
        <v>3.85</v>
      </c>
      <c r="G3382">
        <v>2</v>
      </c>
      <c r="H3382" t="s">
        <v>13</v>
      </c>
      <c r="I3382" t="str">
        <f t="shared" si="52"/>
        <v>Normal Usage</v>
      </c>
    </row>
    <row r="3383" spans="1:9" x14ac:dyDescent="0.3">
      <c r="A3383">
        <v>13382</v>
      </c>
      <c r="B3383">
        <v>44</v>
      </c>
      <c r="C3383" s="2">
        <v>44945</v>
      </c>
      <c r="D3383" s="2" t="str">
        <f>TEXT(Table3[[#This Row],[usage_date]],"mmmm")</f>
        <v>January</v>
      </c>
      <c r="E3383" s="9">
        <f>YEAR(Table3[[#This Row],[usage_date]])</f>
        <v>2023</v>
      </c>
      <c r="F3383" s="14">
        <v>0.88</v>
      </c>
      <c r="G3383">
        <v>58</v>
      </c>
      <c r="H3383" t="s">
        <v>12</v>
      </c>
      <c r="I3383" t="str">
        <f t="shared" si="52"/>
        <v>Normal Usage</v>
      </c>
    </row>
    <row r="3384" spans="1:9" x14ac:dyDescent="0.3">
      <c r="A3384">
        <v>13383</v>
      </c>
      <c r="B3384">
        <v>29</v>
      </c>
      <c r="C3384" s="2">
        <v>45407</v>
      </c>
      <c r="D3384" s="2" t="str">
        <f>TEXT(Table3[[#This Row],[usage_date]],"mmmm")</f>
        <v>April</v>
      </c>
      <c r="E3384" s="9">
        <f>YEAR(Table3[[#This Row],[usage_date]])</f>
        <v>2024</v>
      </c>
      <c r="F3384" s="14">
        <v>1.97</v>
      </c>
      <c r="G3384">
        <v>115</v>
      </c>
      <c r="H3384" t="s">
        <v>13</v>
      </c>
      <c r="I3384" t="str">
        <f t="shared" si="52"/>
        <v>Normal Usage</v>
      </c>
    </row>
    <row r="3385" spans="1:9" x14ac:dyDescent="0.3">
      <c r="A3385">
        <v>13384</v>
      </c>
      <c r="B3385">
        <v>59</v>
      </c>
      <c r="C3385" s="2">
        <v>44713</v>
      </c>
      <c r="D3385" s="2" t="str">
        <f>TEXT(Table3[[#This Row],[usage_date]],"mmmm")</f>
        <v>June</v>
      </c>
      <c r="E3385" s="9">
        <f>YEAR(Table3[[#This Row],[usage_date]])</f>
        <v>2022</v>
      </c>
      <c r="F3385" s="14">
        <v>0.63</v>
      </c>
      <c r="G3385">
        <v>130</v>
      </c>
      <c r="H3385" t="s">
        <v>12</v>
      </c>
      <c r="I3385" t="str">
        <f t="shared" si="52"/>
        <v>Normal Usage</v>
      </c>
    </row>
    <row r="3386" spans="1:9" x14ac:dyDescent="0.3">
      <c r="A3386">
        <v>13385</v>
      </c>
      <c r="B3386">
        <v>71</v>
      </c>
      <c r="C3386" s="2">
        <v>45396</v>
      </c>
      <c r="D3386" s="2" t="str">
        <f>TEXT(Table3[[#This Row],[usage_date]],"mmmm")</f>
        <v>April</v>
      </c>
      <c r="E3386" s="9">
        <f>YEAR(Table3[[#This Row],[usage_date]])</f>
        <v>2024</v>
      </c>
      <c r="F3386" s="14">
        <v>1.47</v>
      </c>
      <c r="G3386">
        <v>200</v>
      </c>
      <c r="H3386" t="s">
        <v>12</v>
      </c>
      <c r="I3386" t="str">
        <f t="shared" si="52"/>
        <v>Normal Usage</v>
      </c>
    </row>
    <row r="3387" spans="1:9" x14ac:dyDescent="0.3">
      <c r="A3387">
        <v>13386</v>
      </c>
      <c r="B3387">
        <v>92</v>
      </c>
      <c r="C3387" s="2">
        <v>45312</v>
      </c>
      <c r="D3387" s="2" t="str">
        <f>TEXT(Table3[[#This Row],[usage_date]],"mmmm")</f>
        <v>January</v>
      </c>
      <c r="E3387" s="9">
        <f>YEAR(Table3[[#This Row],[usage_date]])</f>
        <v>2024</v>
      </c>
      <c r="F3387" s="14">
        <v>1.66</v>
      </c>
      <c r="G3387">
        <v>291</v>
      </c>
      <c r="H3387" t="s">
        <v>12</v>
      </c>
      <c r="I3387" t="str">
        <f t="shared" si="52"/>
        <v>Normal Usage</v>
      </c>
    </row>
    <row r="3388" spans="1:9" x14ac:dyDescent="0.3">
      <c r="A3388">
        <v>13387</v>
      </c>
      <c r="B3388">
        <v>265</v>
      </c>
      <c r="C3388" s="2">
        <v>45188</v>
      </c>
      <c r="D3388" s="2" t="str">
        <f>TEXT(Table3[[#This Row],[usage_date]],"mmmm")</f>
        <v>September</v>
      </c>
      <c r="E3388" s="9">
        <f>YEAR(Table3[[#This Row],[usage_date]])</f>
        <v>2023</v>
      </c>
      <c r="F3388" s="14">
        <v>4.45</v>
      </c>
      <c r="G3388">
        <v>97</v>
      </c>
      <c r="H3388" t="s">
        <v>12</v>
      </c>
      <c r="I3388" t="str">
        <f t="shared" si="52"/>
        <v>Normal Usage</v>
      </c>
    </row>
    <row r="3389" spans="1:9" x14ac:dyDescent="0.3">
      <c r="A3389">
        <v>13388</v>
      </c>
      <c r="B3389">
        <v>383</v>
      </c>
      <c r="C3389" s="2">
        <v>44880</v>
      </c>
      <c r="D3389" s="2" t="str">
        <f>TEXT(Table3[[#This Row],[usage_date]],"mmmm")</f>
        <v>November</v>
      </c>
      <c r="E3389" s="9">
        <f>YEAR(Table3[[#This Row],[usage_date]])</f>
        <v>2022</v>
      </c>
      <c r="F3389" s="14">
        <v>5.66</v>
      </c>
      <c r="G3389">
        <v>215</v>
      </c>
      <c r="H3389" t="s">
        <v>12</v>
      </c>
      <c r="I3389" t="str">
        <f t="shared" si="52"/>
        <v>Normal Usage</v>
      </c>
    </row>
    <row r="3390" spans="1:9" x14ac:dyDescent="0.3">
      <c r="A3390">
        <v>13389</v>
      </c>
      <c r="B3390">
        <v>220</v>
      </c>
      <c r="C3390" s="2">
        <v>44930</v>
      </c>
      <c r="D3390" s="2" t="str">
        <f>TEXT(Table3[[#This Row],[usage_date]],"mmmm")</f>
        <v>January</v>
      </c>
      <c r="E3390" s="9">
        <f>YEAR(Table3[[#This Row],[usage_date]])</f>
        <v>2023</v>
      </c>
      <c r="F3390" s="14">
        <v>1.34</v>
      </c>
      <c r="G3390">
        <v>123</v>
      </c>
      <c r="H3390" t="s">
        <v>13</v>
      </c>
      <c r="I3390" t="str">
        <f t="shared" si="52"/>
        <v>Normal Usage</v>
      </c>
    </row>
    <row r="3391" spans="1:9" x14ac:dyDescent="0.3">
      <c r="A3391">
        <v>13390</v>
      </c>
      <c r="B3391">
        <v>390</v>
      </c>
      <c r="C3391" s="2">
        <v>45167</v>
      </c>
      <c r="D3391" s="2" t="str">
        <f>TEXT(Table3[[#This Row],[usage_date]],"mmmm")</f>
        <v>August</v>
      </c>
      <c r="E3391" s="9">
        <f>YEAR(Table3[[#This Row],[usage_date]])</f>
        <v>2023</v>
      </c>
      <c r="F3391" s="14">
        <v>0.04</v>
      </c>
      <c r="G3391">
        <v>72</v>
      </c>
      <c r="H3391" t="s">
        <v>12</v>
      </c>
      <c r="I3391" t="str">
        <f t="shared" si="52"/>
        <v>Normal Usage</v>
      </c>
    </row>
    <row r="3392" spans="1:9" x14ac:dyDescent="0.3">
      <c r="A3392">
        <v>13391</v>
      </c>
      <c r="B3392">
        <v>413</v>
      </c>
      <c r="C3392" s="2">
        <v>45121</v>
      </c>
      <c r="D3392" s="2" t="str">
        <f>TEXT(Table3[[#This Row],[usage_date]],"mmmm")</f>
        <v>July</v>
      </c>
      <c r="E3392" s="9">
        <f>YEAR(Table3[[#This Row],[usage_date]])</f>
        <v>2023</v>
      </c>
      <c r="F3392" s="14">
        <v>4.95</v>
      </c>
      <c r="G3392">
        <v>129</v>
      </c>
      <c r="H3392" t="s">
        <v>13</v>
      </c>
      <c r="I3392" t="str">
        <f t="shared" si="52"/>
        <v>Normal Usage</v>
      </c>
    </row>
    <row r="3393" spans="1:9" x14ac:dyDescent="0.3">
      <c r="A3393">
        <v>13392</v>
      </c>
      <c r="B3393">
        <v>442</v>
      </c>
      <c r="C3393" s="2">
        <v>45264</v>
      </c>
      <c r="D3393" s="2" t="str">
        <f>TEXT(Table3[[#This Row],[usage_date]],"mmmm")</f>
        <v>December</v>
      </c>
      <c r="E3393" s="9">
        <f>YEAR(Table3[[#This Row],[usage_date]])</f>
        <v>2023</v>
      </c>
      <c r="F3393" s="14">
        <v>0.48</v>
      </c>
      <c r="G3393">
        <v>26</v>
      </c>
      <c r="H3393" t="s">
        <v>12</v>
      </c>
      <c r="I3393" t="str">
        <f t="shared" si="52"/>
        <v>Normal Usage</v>
      </c>
    </row>
    <row r="3394" spans="1:9" x14ac:dyDescent="0.3">
      <c r="A3394">
        <v>13393</v>
      </c>
      <c r="B3394">
        <v>401</v>
      </c>
      <c r="C3394" s="2">
        <v>45023</v>
      </c>
      <c r="D3394" s="2" t="str">
        <f>TEXT(Table3[[#This Row],[usage_date]],"mmmm")</f>
        <v>April</v>
      </c>
      <c r="E3394" s="9">
        <f>YEAR(Table3[[#This Row],[usage_date]])</f>
        <v>2023</v>
      </c>
      <c r="F3394" s="14">
        <v>2.4300000000000002</v>
      </c>
      <c r="G3394">
        <v>164</v>
      </c>
      <c r="H3394" t="s">
        <v>12</v>
      </c>
      <c r="I3394" t="str">
        <f t="shared" ref="I3394:I3457" si="53">IF(F3394&gt;6,"High Usage","Normal Usage")</f>
        <v>Normal Usage</v>
      </c>
    </row>
    <row r="3395" spans="1:9" x14ac:dyDescent="0.3">
      <c r="A3395">
        <v>13394</v>
      </c>
      <c r="B3395">
        <v>400</v>
      </c>
      <c r="C3395" s="2">
        <v>44573</v>
      </c>
      <c r="D3395" s="2" t="str">
        <f>TEXT(Table3[[#This Row],[usage_date]],"mmmm")</f>
        <v>January</v>
      </c>
      <c r="E3395" s="9">
        <f>YEAR(Table3[[#This Row],[usage_date]])</f>
        <v>2022</v>
      </c>
      <c r="F3395" s="14">
        <v>0.06</v>
      </c>
      <c r="G3395">
        <v>67</v>
      </c>
      <c r="H3395" t="s">
        <v>12</v>
      </c>
      <c r="I3395" t="str">
        <f t="shared" si="53"/>
        <v>Normal Usage</v>
      </c>
    </row>
    <row r="3396" spans="1:9" x14ac:dyDescent="0.3">
      <c r="A3396">
        <v>13395</v>
      </c>
      <c r="B3396">
        <v>215</v>
      </c>
      <c r="C3396" s="2">
        <v>44717</v>
      </c>
      <c r="D3396" s="2" t="str">
        <f>TEXT(Table3[[#This Row],[usage_date]],"mmmm")</f>
        <v>June</v>
      </c>
      <c r="E3396" s="9">
        <f>YEAR(Table3[[#This Row],[usage_date]])</f>
        <v>2022</v>
      </c>
      <c r="F3396" s="14">
        <v>1.28</v>
      </c>
      <c r="G3396">
        <v>13</v>
      </c>
      <c r="H3396" t="s">
        <v>12</v>
      </c>
      <c r="I3396" t="str">
        <f t="shared" si="53"/>
        <v>Normal Usage</v>
      </c>
    </row>
    <row r="3397" spans="1:9" x14ac:dyDescent="0.3">
      <c r="A3397">
        <v>13396</v>
      </c>
      <c r="B3397">
        <v>479</v>
      </c>
      <c r="C3397" s="2">
        <v>45245</v>
      </c>
      <c r="D3397" s="2" t="str">
        <f>TEXT(Table3[[#This Row],[usage_date]],"mmmm")</f>
        <v>November</v>
      </c>
      <c r="E3397" s="9">
        <f>YEAR(Table3[[#This Row],[usage_date]])</f>
        <v>2023</v>
      </c>
      <c r="F3397" s="14">
        <v>10.66</v>
      </c>
      <c r="G3397">
        <v>97</v>
      </c>
      <c r="H3397" t="s">
        <v>13</v>
      </c>
      <c r="I3397" t="str">
        <f t="shared" si="53"/>
        <v>High Usage</v>
      </c>
    </row>
    <row r="3398" spans="1:9" x14ac:dyDescent="0.3">
      <c r="A3398">
        <v>13397</v>
      </c>
      <c r="B3398">
        <v>387</v>
      </c>
      <c r="C3398" s="2">
        <v>45038</v>
      </c>
      <c r="D3398" s="2" t="str">
        <f>TEXT(Table3[[#This Row],[usage_date]],"mmmm")</f>
        <v>April</v>
      </c>
      <c r="E3398" s="9">
        <f>YEAR(Table3[[#This Row],[usage_date]])</f>
        <v>2023</v>
      </c>
      <c r="F3398" s="14">
        <v>0.27</v>
      </c>
      <c r="G3398">
        <v>278</v>
      </c>
      <c r="H3398" t="s">
        <v>13</v>
      </c>
      <c r="I3398" t="str">
        <f t="shared" si="53"/>
        <v>Normal Usage</v>
      </c>
    </row>
    <row r="3399" spans="1:9" x14ac:dyDescent="0.3">
      <c r="A3399">
        <v>13398</v>
      </c>
      <c r="B3399">
        <v>277</v>
      </c>
      <c r="C3399" s="2">
        <v>44962</v>
      </c>
      <c r="D3399" s="2" t="str">
        <f>TEXT(Table3[[#This Row],[usage_date]],"mmmm")</f>
        <v>February</v>
      </c>
      <c r="E3399" s="9">
        <f>YEAR(Table3[[#This Row],[usage_date]])</f>
        <v>2023</v>
      </c>
      <c r="F3399" s="14">
        <v>1.38</v>
      </c>
      <c r="G3399">
        <v>246</v>
      </c>
      <c r="H3399" t="s">
        <v>13</v>
      </c>
      <c r="I3399" t="str">
        <f t="shared" si="53"/>
        <v>Normal Usage</v>
      </c>
    </row>
    <row r="3400" spans="1:9" x14ac:dyDescent="0.3">
      <c r="A3400">
        <v>13399</v>
      </c>
      <c r="B3400">
        <v>64</v>
      </c>
      <c r="C3400" s="2">
        <v>45369</v>
      </c>
      <c r="D3400" s="2" t="str">
        <f>TEXT(Table3[[#This Row],[usage_date]],"mmmm")</f>
        <v>March</v>
      </c>
      <c r="E3400" s="9">
        <f>YEAR(Table3[[#This Row],[usage_date]])</f>
        <v>2024</v>
      </c>
      <c r="F3400" s="14">
        <v>0.92</v>
      </c>
      <c r="G3400">
        <v>111</v>
      </c>
      <c r="H3400" t="s">
        <v>12</v>
      </c>
      <c r="I3400" t="str">
        <f t="shared" si="53"/>
        <v>Normal Usage</v>
      </c>
    </row>
    <row r="3401" spans="1:9" x14ac:dyDescent="0.3">
      <c r="A3401">
        <v>13400</v>
      </c>
      <c r="B3401">
        <v>346</v>
      </c>
      <c r="C3401" s="2">
        <v>44738</v>
      </c>
      <c r="D3401" s="2" t="str">
        <f>TEXT(Table3[[#This Row],[usage_date]],"mmmm")</f>
        <v>June</v>
      </c>
      <c r="E3401" s="9">
        <f>YEAR(Table3[[#This Row],[usage_date]])</f>
        <v>2022</v>
      </c>
      <c r="F3401" s="14">
        <v>5.89</v>
      </c>
      <c r="G3401">
        <v>206</v>
      </c>
      <c r="H3401" t="s">
        <v>12</v>
      </c>
      <c r="I3401" t="str">
        <f t="shared" si="53"/>
        <v>Normal Usage</v>
      </c>
    </row>
    <row r="3402" spans="1:9" x14ac:dyDescent="0.3">
      <c r="A3402">
        <v>13401</v>
      </c>
      <c r="B3402">
        <v>292</v>
      </c>
      <c r="C3402" s="2">
        <v>44902</v>
      </c>
      <c r="D3402" s="2" t="str">
        <f>TEXT(Table3[[#This Row],[usage_date]],"mmmm")</f>
        <v>December</v>
      </c>
      <c r="E3402" s="9">
        <f>YEAR(Table3[[#This Row],[usage_date]])</f>
        <v>2022</v>
      </c>
      <c r="F3402" s="14">
        <v>5.09</v>
      </c>
      <c r="G3402">
        <v>232</v>
      </c>
      <c r="H3402" t="s">
        <v>13</v>
      </c>
      <c r="I3402" t="str">
        <f t="shared" si="53"/>
        <v>Normal Usage</v>
      </c>
    </row>
    <row r="3403" spans="1:9" x14ac:dyDescent="0.3">
      <c r="A3403">
        <v>13402</v>
      </c>
      <c r="B3403">
        <v>490</v>
      </c>
      <c r="C3403" s="2">
        <v>44618</v>
      </c>
      <c r="D3403" s="2" t="str">
        <f>TEXT(Table3[[#This Row],[usage_date]],"mmmm")</f>
        <v>February</v>
      </c>
      <c r="E3403" s="9">
        <f>YEAR(Table3[[#This Row],[usage_date]])</f>
        <v>2022</v>
      </c>
      <c r="F3403" s="14">
        <v>0.68</v>
      </c>
      <c r="G3403">
        <v>60</v>
      </c>
      <c r="H3403" t="s">
        <v>12</v>
      </c>
      <c r="I3403" t="str">
        <f t="shared" si="53"/>
        <v>Normal Usage</v>
      </c>
    </row>
    <row r="3404" spans="1:9" x14ac:dyDescent="0.3">
      <c r="A3404">
        <v>13403</v>
      </c>
      <c r="B3404">
        <v>485</v>
      </c>
      <c r="C3404" s="2">
        <v>45416</v>
      </c>
      <c r="D3404" s="2" t="str">
        <f>TEXT(Table3[[#This Row],[usage_date]],"mmmm")</f>
        <v>May</v>
      </c>
      <c r="E3404" s="9">
        <f>YEAR(Table3[[#This Row],[usage_date]])</f>
        <v>2024</v>
      </c>
      <c r="F3404" s="14">
        <v>0.21</v>
      </c>
      <c r="G3404">
        <v>84</v>
      </c>
      <c r="H3404" t="s">
        <v>13</v>
      </c>
      <c r="I3404" t="str">
        <f t="shared" si="53"/>
        <v>Normal Usage</v>
      </c>
    </row>
    <row r="3405" spans="1:9" x14ac:dyDescent="0.3">
      <c r="A3405">
        <v>13404</v>
      </c>
      <c r="B3405">
        <v>245</v>
      </c>
      <c r="C3405" s="2">
        <v>45413</v>
      </c>
      <c r="D3405" s="2" t="str">
        <f>TEXT(Table3[[#This Row],[usage_date]],"mmmm")</f>
        <v>May</v>
      </c>
      <c r="E3405" s="9">
        <f>YEAR(Table3[[#This Row],[usage_date]])</f>
        <v>2024</v>
      </c>
      <c r="F3405" s="14">
        <v>2.4700000000000002</v>
      </c>
      <c r="G3405">
        <v>182</v>
      </c>
      <c r="H3405" t="s">
        <v>12</v>
      </c>
      <c r="I3405" t="str">
        <f t="shared" si="53"/>
        <v>Normal Usage</v>
      </c>
    </row>
    <row r="3406" spans="1:9" x14ac:dyDescent="0.3">
      <c r="A3406">
        <v>13405</v>
      </c>
      <c r="B3406">
        <v>470</v>
      </c>
      <c r="C3406" s="2">
        <v>45009</v>
      </c>
      <c r="D3406" s="2" t="str">
        <f>TEXT(Table3[[#This Row],[usage_date]],"mmmm")</f>
        <v>March</v>
      </c>
      <c r="E3406" s="9">
        <f>YEAR(Table3[[#This Row],[usage_date]])</f>
        <v>2023</v>
      </c>
      <c r="F3406" s="14">
        <v>1.03</v>
      </c>
      <c r="G3406">
        <v>238</v>
      </c>
      <c r="H3406" t="s">
        <v>13</v>
      </c>
      <c r="I3406" t="str">
        <f t="shared" si="53"/>
        <v>Normal Usage</v>
      </c>
    </row>
    <row r="3407" spans="1:9" x14ac:dyDescent="0.3">
      <c r="A3407">
        <v>13406</v>
      </c>
      <c r="B3407">
        <v>62</v>
      </c>
      <c r="C3407" s="2">
        <v>44764</v>
      </c>
      <c r="D3407" s="2" t="str">
        <f>TEXT(Table3[[#This Row],[usage_date]],"mmmm")</f>
        <v>July</v>
      </c>
      <c r="E3407" s="9">
        <f>YEAR(Table3[[#This Row],[usage_date]])</f>
        <v>2022</v>
      </c>
      <c r="F3407" s="14">
        <v>2.79</v>
      </c>
      <c r="G3407">
        <v>249</v>
      </c>
      <c r="H3407" t="s">
        <v>13</v>
      </c>
      <c r="I3407" t="str">
        <f t="shared" si="53"/>
        <v>Normal Usage</v>
      </c>
    </row>
    <row r="3408" spans="1:9" x14ac:dyDescent="0.3">
      <c r="A3408">
        <v>13407</v>
      </c>
      <c r="B3408">
        <v>426</v>
      </c>
      <c r="C3408" s="2">
        <v>45258</v>
      </c>
      <c r="D3408" s="2" t="str">
        <f>TEXT(Table3[[#This Row],[usage_date]],"mmmm")</f>
        <v>November</v>
      </c>
      <c r="E3408" s="9">
        <f>YEAR(Table3[[#This Row],[usage_date]])</f>
        <v>2023</v>
      </c>
      <c r="F3408" s="14">
        <v>0.08</v>
      </c>
      <c r="G3408">
        <v>70</v>
      </c>
      <c r="H3408" t="s">
        <v>13</v>
      </c>
      <c r="I3408" t="str">
        <f t="shared" si="53"/>
        <v>Normal Usage</v>
      </c>
    </row>
    <row r="3409" spans="1:9" x14ac:dyDescent="0.3">
      <c r="A3409">
        <v>13408</v>
      </c>
      <c r="B3409">
        <v>332</v>
      </c>
      <c r="C3409" s="2">
        <v>45194</v>
      </c>
      <c r="D3409" s="2" t="str">
        <f>TEXT(Table3[[#This Row],[usage_date]],"mmmm")</f>
        <v>September</v>
      </c>
      <c r="E3409" s="9">
        <f>YEAR(Table3[[#This Row],[usage_date]])</f>
        <v>2023</v>
      </c>
      <c r="F3409" s="14">
        <v>0.36</v>
      </c>
      <c r="G3409">
        <v>227</v>
      </c>
      <c r="H3409" t="s">
        <v>12</v>
      </c>
      <c r="I3409" t="str">
        <f t="shared" si="53"/>
        <v>Normal Usage</v>
      </c>
    </row>
    <row r="3410" spans="1:9" x14ac:dyDescent="0.3">
      <c r="A3410">
        <v>13409</v>
      </c>
      <c r="B3410">
        <v>170</v>
      </c>
      <c r="C3410" s="2">
        <v>45299</v>
      </c>
      <c r="D3410" s="2" t="str">
        <f>TEXT(Table3[[#This Row],[usage_date]],"mmmm")</f>
        <v>January</v>
      </c>
      <c r="E3410" s="9">
        <f>YEAR(Table3[[#This Row],[usage_date]])</f>
        <v>2024</v>
      </c>
      <c r="F3410" s="14">
        <v>2.9</v>
      </c>
      <c r="G3410">
        <v>84</v>
      </c>
      <c r="H3410" t="s">
        <v>12</v>
      </c>
      <c r="I3410" t="str">
        <f t="shared" si="53"/>
        <v>Normal Usage</v>
      </c>
    </row>
    <row r="3411" spans="1:9" x14ac:dyDescent="0.3">
      <c r="A3411">
        <v>13410</v>
      </c>
      <c r="B3411">
        <v>445</v>
      </c>
      <c r="C3411" s="2">
        <v>44763</v>
      </c>
      <c r="D3411" s="2" t="str">
        <f>TEXT(Table3[[#This Row],[usage_date]],"mmmm")</f>
        <v>July</v>
      </c>
      <c r="E3411" s="9">
        <f>YEAR(Table3[[#This Row],[usage_date]])</f>
        <v>2022</v>
      </c>
      <c r="F3411" s="14">
        <v>0.6</v>
      </c>
      <c r="G3411">
        <v>270</v>
      </c>
      <c r="H3411" t="s">
        <v>12</v>
      </c>
      <c r="I3411" t="str">
        <f t="shared" si="53"/>
        <v>Normal Usage</v>
      </c>
    </row>
    <row r="3412" spans="1:9" x14ac:dyDescent="0.3">
      <c r="A3412">
        <v>13411</v>
      </c>
      <c r="B3412">
        <v>269</v>
      </c>
      <c r="C3412" s="2">
        <v>44891</v>
      </c>
      <c r="D3412" s="2" t="str">
        <f>TEXT(Table3[[#This Row],[usage_date]],"mmmm")</f>
        <v>November</v>
      </c>
      <c r="E3412" s="9">
        <f>YEAR(Table3[[#This Row],[usage_date]])</f>
        <v>2022</v>
      </c>
      <c r="F3412" s="14">
        <v>4.87</v>
      </c>
      <c r="G3412">
        <v>289</v>
      </c>
      <c r="H3412" t="s">
        <v>13</v>
      </c>
      <c r="I3412" t="str">
        <f t="shared" si="53"/>
        <v>Normal Usage</v>
      </c>
    </row>
    <row r="3413" spans="1:9" x14ac:dyDescent="0.3">
      <c r="A3413">
        <v>13412</v>
      </c>
      <c r="B3413">
        <v>267</v>
      </c>
      <c r="C3413" s="2">
        <v>44924</v>
      </c>
      <c r="D3413" s="2" t="str">
        <f>TEXT(Table3[[#This Row],[usage_date]],"mmmm")</f>
        <v>December</v>
      </c>
      <c r="E3413" s="9">
        <f>YEAR(Table3[[#This Row],[usage_date]])</f>
        <v>2022</v>
      </c>
      <c r="F3413" s="14">
        <v>0.15</v>
      </c>
      <c r="G3413">
        <v>235</v>
      </c>
      <c r="H3413" t="s">
        <v>13</v>
      </c>
      <c r="I3413" t="str">
        <f t="shared" si="53"/>
        <v>Normal Usage</v>
      </c>
    </row>
    <row r="3414" spans="1:9" x14ac:dyDescent="0.3">
      <c r="A3414">
        <v>13413</v>
      </c>
      <c r="B3414">
        <v>54</v>
      </c>
      <c r="C3414" s="2">
        <v>45453</v>
      </c>
      <c r="D3414" s="2" t="str">
        <f>TEXT(Table3[[#This Row],[usage_date]],"mmmm")</f>
        <v>June</v>
      </c>
      <c r="E3414" s="9">
        <f>YEAR(Table3[[#This Row],[usage_date]])</f>
        <v>2024</v>
      </c>
      <c r="F3414" s="14">
        <v>0.61</v>
      </c>
      <c r="G3414">
        <v>290</v>
      </c>
      <c r="H3414" t="s">
        <v>12</v>
      </c>
      <c r="I3414" t="str">
        <f t="shared" si="53"/>
        <v>Normal Usage</v>
      </c>
    </row>
    <row r="3415" spans="1:9" x14ac:dyDescent="0.3">
      <c r="A3415">
        <v>13414</v>
      </c>
      <c r="B3415">
        <v>16</v>
      </c>
      <c r="C3415" s="2">
        <v>45015</v>
      </c>
      <c r="D3415" s="2" t="str">
        <f>TEXT(Table3[[#This Row],[usage_date]],"mmmm")</f>
        <v>March</v>
      </c>
      <c r="E3415" s="9">
        <f>YEAR(Table3[[#This Row],[usage_date]])</f>
        <v>2023</v>
      </c>
      <c r="F3415" s="14">
        <v>16.36</v>
      </c>
      <c r="G3415">
        <v>38</v>
      </c>
      <c r="H3415" t="s">
        <v>12</v>
      </c>
      <c r="I3415" t="str">
        <f t="shared" si="53"/>
        <v>High Usage</v>
      </c>
    </row>
    <row r="3416" spans="1:9" x14ac:dyDescent="0.3">
      <c r="A3416">
        <v>13415</v>
      </c>
      <c r="B3416">
        <v>8</v>
      </c>
      <c r="C3416" s="2">
        <v>44917</v>
      </c>
      <c r="D3416" s="2" t="str">
        <f>TEXT(Table3[[#This Row],[usage_date]],"mmmm")</f>
        <v>December</v>
      </c>
      <c r="E3416" s="9">
        <f>YEAR(Table3[[#This Row],[usage_date]])</f>
        <v>2022</v>
      </c>
      <c r="F3416" s="14">
        <v>1.42</v>
      </c>
      <c r="G3416">
        <v>205</v>
      </c>
      <c r="H3416" t="s">
        <v>12</v>
      </c>
      <c r="I3416" t="str">
        <f t="shared" si="53"/>
        <v>Normal Usage</v>
      </c>
    </row>
    <row r="3417" spans="1:9" x14ac:dyDescent="0.3">
      <c r="A3417">
        <v>13416</v>
      </c>
      <c r="B3417">
        <v>104</v>
      </c>
      <c r="C3417" s="2">
        <v>44777</v>
      </c>
      <c r="D3417" s="2" t="str">
        <f>TEXT(Table3[[#This Row],[usage_date]],"mmmm")</f>
        <v>August</v>
      </c>
      <c r="E3417" s="9">
        <f>YEAR(Table3[[#This Row],[usage_date]])</f>
        <v>2022</v>
      </c>
      <c r="F3417" s="14">
        <v>3.03</v>
      </c>
      <c r="G3417">
        <v>182</v>
      </c>
      <c r="H3417" t="s">
        <v>13</v>
      </c>
      <c r="I3417" t="str">
        <f t="shared" si="53"/>
        <v>Normal Usage</v>
      </c>
    </row>
    <row r="3418" spans="1:9" x14ac:dyDescent="0.3">
      <c r="A3418">
        <v>13417</v>
      </c>
      <c r="B3418">
        <v>59</v>
      </c>
      <c r="C3418" s="2">
        <v>45116</v>
      </c>
      <c r="D3418" s="2" t="str">
        <f>TEXT(Table3[[#This Row],[usage_date]],"mmmm")</f>
        <v>July</v>
      </c>
      <c r="E3418" s="9">
        <f>YEAR(Table3[[#This Row],[usage_date]])</f>
        <v>2023</v>
      </c>
      <c r="F3418" s="14">
        <v>0.5</v>
      </c>
      <c r="G3418">
        <v>186</v>
      </c>
      <c r="H3418" t="s">
        <v>12</v>
      </c>
      <c r="I3418" t="str">
        <f t="shared" si="53"/>
        <v>Normal Usage</v>
      </c>
    </row>
    <row r="3419" spans="1:9" x14ac:dyDescent="0.3">
      <c r="A3419">
        <v>13418</v>
      </c>
      <c r="B3419">
        <v>313</v>
      </c>
      <c r="C3419" s="2">
        <v>45448</v>
      </c>
      <c r="D3419" s="2" t="str">
        <f>TEXT(Table3[[#This Row],[usage_date]],"mmmm")</f>
        <v>June</v>
      </c>
      <c r="E3419" s="9">
        <f>YEAR(Table3[[#This Row],[usage_date]])</f>
        <v>2024</v>
      </c>
      <c r="F3419" s="14">
        <v>2.35</v>
      </c>
      <c r="G3419">
        <v>132</v>
      </c>
      <c r="H3419" t="s">
        <v>12</v>
      </c>
      <c r="I3419" t="str">
        <f t="shared" si="53"/>
        <v>Normal Usage</v>
      </c>
    </row>
    <row r="3420" spans="1:9" x14ac:dyDescent="0.3">
      <c r="A3420">
        <v>13419</v>
      </c>
      <c r="B3420">
        <v>40</v>
      </c>
      <c r="C3420" s="2">
        <v>44584</v>
      </c>
      <c r="D3420" s="2" t="str">
        <f>TEXT(Table3[[#This Row],[usage_date]],"mmmm")</f>
        <v>January</v>
      </c>
      <c r="E3420" s="9">
        <f>YEAR(Table3[[#This Row],[usage_date]])</f>
        <v>2022</v>
      </c>
      <c r="F3420" s="14">
        <v>3.24</v>
      </c>
      <c r="G3420">
        <v>29</v>
      </c>
      <c r="H3420" t="s">
        <v>12</v>
      </c>
      <c r="I3420" t="str">
        <f t="shared" si="53"/>
        <v>Normal Usage</v>
      </c>
    </row>
    <row r="3421" spans="1:9" x14ac:dyDescent="0.3">
      <c r="A3421">
        <v>13420</v>
      </c>
      <c r="B3421">
        <v>237</v>
      </c>
      <c r="C3421" s="2">
        <v>44716</v>
      </c>
      <c r="D3421" s="2" t="str">
        <f>TEXT(Table3[[#This Row],[usage_date]],"mmmm")</f>
        <v>June</v>
      </c>
      <c r="E3421" s="9">
        <f>YEAR(Table3[[#This Row],[usage_date]])</f>
        <v>2022</v>
      </c>
      <c r="F3421" s="14">
        <v>0.94</v>
      </c>
      <c r="G3421">
        <v>254</v>
      </c>
      <c r="H3421" t="s">
        <v>12</v>
      </c>
      <c r="I3421" t="str">
        <f t="shared" si="53"/>
        <v>Normal Usage</v>
      </c>
    </row>
    <row r="3422" spans="1:9" x14ac:dyDescent="0.3">
      <c r="A3422">
        <v>13421</v>
      </c>
      <c r="B3422">
        <v>443</v>
      </c>
      <c r="C3422" s="2">
        <v>44747</v>
      </c>
      <c r="D3422" s="2" t="str">
        <f>TEXT(Table3[[#This Row],[usage_date]],"mmmm")</f>
        <v>July</v>
      </c>
      <c r="E3422" s="9">
        <f>YEAR(Table3[[#This Row],[usage_date]])</f>
        <v>2022</v>
      </c>
      <c r="F3422" s="14">
        <v>4.41</v>
      </c>
      <c r="G3422">
        <v>142</v>
      </c>
      <c r="H3422" t="s">
        <v>13</v>
      </c>
      <c r="I3422" t="str">
        <f t="shared" si="53"/>
        <v>Normal Usage</v>
      </c>
    </row>
    <row r="3423" spans="1:9" x14ac:dyDescent="0.3">
      <c r="A3423">
        <v>13422</v>
      </c>
      <c r="B3423">
        <v>386</v>
      </c>
      <c r="C3423" s="2">
        <v>44810</v>
      </c>
      <c r="D3423" s="2" t="str">
        <f>TEXT(Table3[[#This Row],[usage_date]],"mmmm")</f>
        <v>September</v>
      </c>
      <c r="E3423" s="9">
        <f>YEAR(Table3[[#This Row],[usage_date]])</f>
        <v>2022</v>
      </c>
      <c r="F3423" s="14">
        <v>2.31</v>
      </c>
      <c r="G3423">
        <v>102</v>
      </c>
      <c r="H3423" t="s">
        <v>12</v>
      </c>
      <c r="I3423" t="str">
        <f t="shared" si="53"/>
        <v>Normal Usage</v>
      </c>
    </row>
    <row r="3424" spans="1:9" x14ac:dyDescent="0.3">
      <c r="A3424">
        <v>13423</v>
      </c>
      <c r="B3424">
        <v>94</v>
      </c>
      <c r="C3424" s="2">
        <v>45310</v>
      </c>
      <c r="D3424" s="2" t="str">
        <f>TEXT(Table3[[#This Row],[usage_date]],"mmmm")</f>
        <v>January</v>
      </c>
      <c r="E3424" s="9">
        <f>YEAR(Table3[[#This Row],[usage_date]])</f>
        <v>2024</v>
      </c>
      <c r="F3424" s="14">
        <v>1.23</v>
      </c>
      <c r="G3424">
        <v>73</v>
      </c>
      <c r="H3424" t="s">
        <v>12</v>
      </c>
      <c r="I3424" t="str">
        <f t="shared" si="53"/>
        <v>Normal Usage</v>
      </c>
    </row>
    <row r="3425" spans="1:9" x14ac:dyDescent="0.3">
      <c r="A3425">
        <v>13424</v>
      </c>
      <c r="B3425">
        <v>222</v>
      </c>
      <c r="C3425" s="2">
        <v>45366</v>
      </c>
      <c r="D3425" s="2" t="str">
        <f>TEXT(Table3[[#This Row],[usage_date]],"mmmm")</f>
        <v>March</v>
      </c>
      <c r="E3425" s="9">
        <f>YEAR(Table3[[#This Row],[usage_date]])</f>
        <v>2024</v>
      </c>
      <c r="F3425" s="14">
        <v>2.04</v>
      </c>
      <c r="G3425">
        <v>54</v>
      </c>
      <c r="H3425" t="s">
        <v>12</v>
      </c>
      <c r="I3425" t="str">
        <f t="shared" si="53"/>
        <v>Normal Usage</v>
      </c>
    </row>
    <row r="3426" spans="1:9" x14ac:dyDescent="0.3">
      <c r="A3426">
        <v>13425</v>
      </c>
      <c r="B3426">
        <v>204</v>
      </c>
      <c r="C3426" s="2">
        <v>44695</v>
      </c>
      <c r="D3426" s="2" t="str">
        <f>TEXT(Table3[[#This Row],[usage_date]],"mmmm")</f>
        <v>May</v>
      </c>
      <c r="E3426" s="9">
        <f>YEAR(Table3[[#This Row],[usage_date]])</f>
        <v>2022</v>
      </c>
      <c r="F3426" s="14">
        <v>2.15</v>
      </c>
      <c r="G3426">
        <v>235</v>
      </c>
      <c r="H3426" t="s">
        <v>12</v>
      </c>
      <c r="I3426" t="str">
        <f t="shared" si="53"/>
        <v>Normal Usage</v>
      </c>
    </row>
    <row r="3427" spans="1:9" x14ac:dyDescent="0.3">
      <c r="A3427">
        <v>13426</v>
      </c>
      <c r="B3427">
        <v>138</v>
      </c>
      <c r="C3427" s="2">
        <v>44882</v>
      </c>
      <c r="D3427" s="2" t="str">
        <f>TEXT(Table3[[#This Row],[usage_date]],"mmmm")</f>
        <v>November</v>
      </c>
      <c r="E3427" s="9">
        <f>YEAR(Table3[[#This Row],[usage_date]])</f>
        <v>2022</v>
      </c>
      <c r="F3427" s="14">
        <v>0.45</v>
      </c>
      <c r="G3427">
        <v>59</v>
      </c>
      <c r="H3427" t="s">
        <v>12</v>
      </c>
      <c r="I3427" t="str">
        <f t="shared" si="53"/>
        <v>Normal Usage</v>
      </c>
    </row>
    <row r="3428" spans="1:9" x14ac:dyDescent="0.3">
      <c r="A3428">
        <v>13427</v>
      </c>
      <c r="B3428">
        <v>300</v>
      </c>
      <c r="C3428" s="2">
        <v>44951</v>
      </c>
      <c r="D3428" s="2" t="str">
        <f>TEXT(Table3[[#This Row],[usage_date]],"mmmm")</f>
        <v>January</v>
      </c>
      <c r="E3428" s="9">
        <f>YEAR(Table3[[#This Row],[usage_date]])</f>
        <v>2023</v>
      </c>
      <c r="F3428" s="14">
        <v>1.29</v>
      </c>
      <c r="G3428">
        <v>23</v>
      </c>
      <c r="H3428" t="s">
        <v>12</v>
      </c>
      <c r="I3428" t="str">
        <f t="shared" si="53"/>
        <v>Normal Usage</v>
      </c>
    </row>
    <row r="3429" spans="1:9" x14ac:dyDescent="0.3">
      <c r="A3429">
        <v>13428</v>
      </c>
      <c r="B3429">
        <v>395</v>
      </c>
      <c r="C3429" s="2">
        <v>44995</v>
      </c>
      <c r="D3429" s="2" t="str">
        <f>TEXT(Table3[[#This Row],[usage_date]],"mmmm")</f>
        <v>March</v>
      </c>
      <c r="E3429" s="9">
        <f>YEAR(Table3[[#This Row],[usage_date]])</f>
        <v>2023</v>
      </c>
      <c r="F3429" s="14">
        <v>1.05</v>
      </c>
      <c r="G3429">
        <v>21</v>
      </c>
      <c r="H3429" t="s">
        <v>12</v>
      </c>
      <c r="I3429" t="str">
        <f t="shared" si="53"/>
        <v>Normal Usage</v>
      </c>
    </row>
    <row r="3430" spans="1:9" x14ac:dyDescent="0.3">
      <c r="A3430">
        <v>13429</v>
      </c>
      <c r="B3430">
        <v>207</v>
      </c>
      <c r="C3430" s="2">
        <v>44583</v>
      </c>
      <c r="D3430" s="2" t="str">
        <f>TEXT(Table3[[#This Row],[usage_date]],"mmmm")</f>
        <v>January</v>
      </c>
      <c r="E3430" s="9">
        <f>YEAR(Table3[[#This Row],[usage_date]])</f>
        <v>2022</v>
      </c>
      <c r="F3430" s="14">
        <v>1.28</v>
      </c>
      <c r="G3430">
        <v>31</v>
      </c>
      <c r="H3430" t="s">
        <v>12</v>
      </c>
      <c r="I3430" t="str">
        <f t="shared" si="53"/>
        <v>Normal Usage</v>
      </c>
    </row>
    <row r="3431" spans="1:9" x14ac:dyDescent="0.3">
      <c r="A3431">
        <v>13430</v>
      </c>
      <c r="B3431">
        <v>336</v>
      </c>
      <c r="C3431" s="2">
        <v>45434</v>
      </c>
      <c r="D3431" s="2" t="str">
        <f>TEXT(Table3[[#This Row],[usage_date]],"mmmm")</f>
        <v>May</v>
      </c>
      <c r="E3431" s="9">
        <f>YEAR(Table3[[#This Row],[usage_date]])</f>
        <v>2024</v>
      </c>
      <c r="F3431" s="14">
        <v>3.58</v>
      </c>
      <c r="G3431">
        <v>2</v>
      </c>
      <c r="H3431" t="s">
        <v>13</v>
      </c>
      <c r="I3431" t="str">
        <f t="shared" si="53"/>
        <v>Normal Usage</v>
      </c>
    </row>
    <row r="3432" spans="1:9" x14ac:dyDescent="0.3">
      <c r="A3432">
        <v>13431</v>
      </c>
      <c r="B3432">
        <v>81</v>
      </c>
      <c r="C3432" s="2">
        <v>45161</v>
      </c>
      <c r="D3432" s="2" t="str">
        <f>TEXT(Table3[[#This Row],[usage_date]],"mmmm")</f>
        <v>August</v>
      </c>
      <c r="E3432" s="9">
        <f>YEAR(Table3[[#This Row],[usage_date]])</f>
        <v>2023</v>
      </c>
      <c r="F3432" s="14">
        <v>1.65</v>
      </c>
      <c r="G3432">
        <v>69</v>
      </c>
      <c r="H3432" t="s">
        <v>13</v>
      </c>
      <c r="I3432" t="str">
        <f t="shared" si="53"/>
        <v>Normal Usage</v>
      </c>
    </row>
    <row r="3433" spans="1:9" x14ac:dyDescent="0.3">
      <c r="A3433">
        <v>13432</v>
      </c>
      <c r="B3433">
        <v>218</v>
      </c>
      <c r="C3433" s="2">
        <v>45226</v>
      </c>
      <c r="D3433" s="2" t="str">
        <f>TEXT(Table3[[#This Row],[usage_date]],"mmmm")</f>
        <v>October</v>
      </c>
      <c r="E3433" s="9">
        <f>YEAR(Table3[[#This Row],[usage_date]])</f>
        <v>2023</v>
      </c>
      <c r="F3433" s="14">
        <v>7.05</v>
      </c>
      <c r="G3433">
        <v>159</v>
      </c>
      <c r="H3433" t="s">
        <v>13</v>
      </c>
      <c r="I3433" t="str">
        <f t="shared" si="53"/>
        <v>High Usage</v>
      </c>
    </row>
    <row r="3434" spans="1:9" x14ac:dyDescent="0.3">
      <c r="A3434">
        <v>13433</v>
      </c>
      <c r="B3434">
        <v>2</v>
      </c>
      <c r="C3434" s="2">
        <v>44686</v>
      </c>
      <c r="D3434" s="2" t="str">
        <f>TEXT(Table3[[#This Row],[usage_date]],"mmmm")</f>
        <v>May</v>
      </c>
      <c r="E3434" s="9">
        <f>YEAR(Table3[[#This Row],[usage_date]])</f>
        <v>2022</v>
      </c>
      <c r="F3434" s="14">
        <v>0.87</v>
      </c>
      <c r="G3434">
        <v>87</v>
      </c>
      <c r="H3434" t="s">
        <v>13</v>
      </c>
      <c r="I3434" t="str">
        <f t="shared" si="53"/>
        <v>Normal Usage</v>
      </c>
    </row>
    <row r="3435" spans="1:9" x14ac:dyDescent="0.3">
      <c r="A3435">
        <v>13434</v>
      </c>
      <c r="B3435">
        <v>178</v>
      </c>
      <c r="C3435" s="2">
        <v>44640</v>
      </c>
      <c r="D3435" s="2" t="str">
        <f>TEXT(Table3[[#This Row],[usage_date]],"mmmm")</f>
        <v>March</v>
      </c>
      <c r="E3435" s="9">
        <f>YEAR(Table3[[#This Row],[usage_date]])</f>
        <v>2022</v>
      </c>
      <c r="F3435" s="14">
        <v>1.34</v>
      </c>
      <c r="G3435">
        <v>58</v>
      </c>
      <c r="H3435" t="s">
        <v>12</v>
      </c>
      <c r="I3435" t="str">
        <f t="shared" si="53"/>
        <v>Normal Usage</v>
      </c>
    </row>
    <row r="3436" spans="1:9" x14ac:dyDescent="0.3">
      <c r="A3436">
        <v>13435</v>
      </c>
      <c r="B3436">
        <v>396</v>
      </c>
      <c r="C3436" s="2">
        <v>45419</v>
      </c>
      <c r="D3436" s="2" t="str">
        <f>TEXT(Table3[[#This Row],[usage_date]],"mmmm")</f>
        <v>May</v>
      </c>
      <c r="E3436" s="9">
        <f>YEAR(Table3[[#This Row],[usage_date]])</f>
        <v>2024</v>
      </c>
      <c r="F3436" s="14">
        <v>3.87</v>
      </c>
      <c r="G3436">
        <v>251</v>
      </c>
      <c r="H3436" t="s">
        <v>12</v>
      </c>
      <c r="I3436" t="str">
        <f t="shared" si="53"/>
        <v>Normal Usage</v>
      </c>
    </row>
    <row r="3437" spans="1:9" x14ac:dyDescent="0.3">
      <c r="A3437">
        <v>13436</v>
      </c>
      <c r="B3437">
        <v>371</v>
      </c>
      <c r="C3437" s="2">
        <v>44612</v>
      </c>
      <c r="D3437" s="2" t="str">
        <f>TEXT(Table3[[#This Row],[usage_date]],"mmmm")</f>
        <v>February</v>
      </c>
      <c r="E3437" s="9">
        <f>YEAR(Table3[[#This Row],[usage_date]])</f>
        <v>2022</v>
      </c>
      <c r="F3437" s="14">
        <v>1.97</v>
      </c>
      <c r="G3437">
        <v>218</v>
      </c>
      <c r="H3437" t="s">
        <v>13</v>
      </c>
      <c r="I3437" t="str">
        <f t="shared" si="53"/>
        <v>Normal Usage</v>
      </c>
    </row>
    <row r="3438" spans="1:9" x14ac:dyDescent="0.3">
      <c r="A3438">
        <v>13437</v>
      </c>
      <c r="B3438">
        <v>346</v>
      </c>
      <c r="C3438" s="2">
        <v>45289</v>
      </c>
      <c r="D3438" s="2" t="str">
        <f>TEXT(Table3[[#This Row],[usage_date]],"mmmm")</f>
        <v>December</v>
      </c>
      <c r="E3438" s="9">
        <f>YEAR(Table3[[#This Row],[usage_date]])</f>
        <v>2023</v>
      </c>
      <c r="F3438" s="14">
        <v>1.98</v>
      </c>
      <c r="G3438">
        <v>200</v>
      </c>
      <c r="H3438" t="s">
        <v>12</v>
      </c>
      <c r="I3438" t="str">
        <f t="shared" si="53"/>
        <v>Normal Usage</v>
      </c>
    </row>
    <row r="3439" spans="1:9" x14ac:dyDescent="0.3">
      <c r="A3439">
        <v>13438</v>
      </c>
      <c r="B3439">
        <v>279</v>
      </c>
      <c r="C3439" s="2">
        <v>44737</v>
      </c>
      <c r="D3439" s="2" t="str">
        <f>TEXT(Table3[[#This Row],[usage_date]],"mmmm")</f>
        <v>June</v>
      </c>
      <c r="E3439" s="9">
        <f>YEAR(Table3[[#This Row],[usage_date]])</f>
        <v>2022</v>
      </c>
      <c r="F3439" s="14">
        <v>0.14000000000000001</v>
      </c>
      <c r="G3439">
        <v>76</v>
      </c>
      <c r="H3439" t="s">
        <v>12</v>
      </c>
      <c r="I3439" t="str">
        <f t="shared" si="53"/>
        <v>Normal Usage</v>
      </c>
    </row>
    <row r="3440" spans="1:9" x14ac:dyDescent="0.3">
      <c r="A3440">
        <v>13439</v>
      </c>
      <c r="B3440">
        <v>146</v>
      </c>
      <c r="C3440" s="2">
        <v>45431</v>
      </c>
      <c r="D3440" s="2" t="str">
        <f>TEXT(Table3[[#This Row],[usage_date]],"mmmm")</f>
        <v>May</v>
      </c>
      <c r="E3440" s="9">
        <f>YEAR(Table3[[#This Row],[usage_date]])</f>
        <v>2024</v>
      </c>
      <c r="F3440" s="14">
        <v>1.27</v>
      </c>
      <c r="G3440">
        <v>254</v>
      </c>
      <c r="H3440" t="s">
        <v>12</v>
      </c>
      <c r="I3440" t="str">
        <f t="shared" si="53"/>
        <v>Normal Usage</v>
      </c>
    </row>
    <row r="3441" spans="1:9" x14ac:dyDescent="0.3">
      <c r="A3441">
        <v>13440</v>
      </c>
      <c r="B3441">
        <v>318</v>
      </c>
      <c r="C3441" s="2">
        <v>44814</v>
      </c>
      <c r="D3441" s="2" t="str">
        <f>TEXT(Table3[[#This Row],[usage_date]],"mmmm")</f>
        <v>September</v>
      </c>
      <c r="E3441" s="9">
        <f>YEAR(Table3[[#This Row],[usage_date]])</f>
        <v>2022</v>
      </c>
      <c r="F3441" s="14">
        <v>0.79</v>
      </c>
      <c r="G3441">
        <v>246</v>
      </c>
      <c r="H3441" t="s">
        <v>12</v>
      </c>
      <c r="I3441" t="str">
        <f t="shared" si="53"/>
        <v>Normal Usage</v>
      </c>
    </row>
    <row r="3442" spans="1:9" x14ac:dyDescent="0.3">
      <c r="A3442">
        <v>13441</v>
      </c>
      <c r="B3442">
        <v>224</v>
      </c>
      <c r="C3442" s="2">
        <v>44807</v>
      </c>
      <c r="D3442" s="2" t="str">
        <f>TEXT(Table3[[#This Row],[usage_date]],"mmmm")</f>
        <v>September</v>
      </c>
      <c r="E3442" s="9">
        <f>YEAR(Table3[[#This Row],[usage_date]])</f>
        <v>2022</v>
      </c>
      <c r="F3442" s="14">
        <v>18.29</v>
      </c>
      <c r="G3442">
        <v>269</v>
      </c>
      <c r="H3442" t="s">
        <v>12</v>
      </c>
      <c r="I3442" t="str">
        <f t="shared" si="53"/>
        <v>High Usage</v>
      </c>
    </row>
    <row r="3443" spans="1:9" x14ac:dyDescent="0.3">
      <c r="A3443">
        <v>13442</v>
      </c>
      <c r="B3443">
        <v>369</v>
      </c>
      <c r="C3443" s="2">
        <v>45300</v>
      </c>
      <c r="D3443" s="2" t="str">
        <f>TEXT(Table3[[#This Row],[usage_date]],"mmmm")</f>
        <v>January</v>
      </c>
      <c r="E3443" s="9">
        <f>YEAR(Table3[[#This Row],[usage_date]])</f>
        <v>2024</v>
      </c>
      <c r="F3443" s="14">
        <v>0.92</v>
      </c>
      <c r="G3443">
        <v>138</v>
      </c>
      <c r="H3443" t="s">
        <v>12</v>
      </c>
      <c r="I3443" t="str">
        <f t="shared" si="53"/>
        <v>Normal Usage</v>
      </c>
    </row>
    <row r="3444" spans="1:9" x14ac:dyDescent="0.3">
      <c r="A3444">
        <v>13443</v>
      </c>
      <c r="B3444">
        <v>384</v>
      </c>
      <c r="C3444" s="2">
        <v>44667</v>
      </c>
      <c r="D3444" s="2" t="str">
        <f>TEXT(Table3[[#This Row],[usage_date]],"mmmm")</f>
        <v>April</v>
      </c>
      <c r="E3444" s="9">
        <f>YEAR(Table3[[#This Row],[usage_date]])</f>
        <v>2022</v>
      </c>
      <c r="F3444" s="14">
        <v>5.4</v>
      </c>
      <c r="G3444">
        <v>77</v>
      </c>
      <c r="H3444" t="s">
        <v>12</v>
      </c>
      <c r="I3444" t="str">
        <f t="shared" si="53"/>
        <v>Normal Usage</v>
      </c>
    </row>
    <row r="3445" spans="1:9" x14ac:dyDescent="0.3">
      <c r="A3445">
        <v>13444</v>
      </c>
      <c r="B3445">
        <v>62</v>
      </c>
      <c r="C3445" s="2">
        <v>44754</v>
      </c>
      <c r="D3445" s="2" t="str">
        <f>TEXT(Table3[[#This Row],[usage_date]],"mmmm")</f>
        <v>July</v>
      </c>
      <c r="E3445" s="9">
        <f>YEAR(Table3[[#This Row],[usage_date]])</f>
        <v>2022</v>
      </c>
      <c r="F3445" s="14">
        <v>2.82</v>
      </c>
      <c r="G3445">
        <v>79</v>
      </c>
      <c r="H3445" t="s">
        <v>13</v>
      </c>
      <c r="I3445" t="str">
        <f t="shared" si="53"/>
        <v>Normal Usage</v>
      </c>
    </row>
    <row r="3446" spans="1:9" x14ac:dyDescent="0.3">
      <c r="A3446">
        <v>13445</v>
      </c>
      <c r="B3446">
        <v>294</v>
      </c>
      <c r="C3446" s="2">
        <v>44877</v>
      </c>
      <c r="D3446" s="2" t="str">
        <f>TEXT(Table3[[#This Row],[usage_date]],"mmmm")</f>
        <v>November</v>
      </c>
      <c r="E3446" s="9">
        <f>YEAR(Table3[[#This Row],[usage_date]])</f>
        <v>2022</v>
      </c>
      <c r="F3446" s="14">
        <v>1.04</v>
      </c>
      <c r="G3446">
        <v>9</v>
      </c>
      <c r="H3446" t="s">
        <v>12</v>
      </c>
      <c r="I3446" t="str">
        <f t="shared" si="53"/>
        <v>Normal Usage</v>
      </c>
    </row>
    <row r="3447" spans="1:9" x14ac:dyDescent="0.3">
      <c r="A3447">
        <v>13446</v>
      </c>
      <c r="B3447">
        <v>239</v>
      </c>
      <c r="C3447" s="2">
        <v>44863</v>
      </c>
      <c r="D3447" s="2" t="str">
        <f>TEXT(Table3[[#This Row],[usage_date]],"mmmm")</f>
        <v>October</v>
      </c>
      <c r="E3447" s="9">
        <f>YEAR(Table3[[#This Row],[usage_date]])</f>
        <v>2022</v>
      </c>
      <c r="F3447" s="14">
        <v>1.96</v>
      </c>
      <c r="G3447">
        <v>123</v>
      </c>
      <c r="H3447" t="s">
        <v>13</v>
      </c>
      <c r="I3447" t="str">
        <f t="shared" si="53"/>
        <v>Normal Usage</v>
      </c>
    </row>
    <row r="3448" spans="1:9" x14ac:dyDescent="0.3">
      <c r="A3448">
        <v>13447</v>
      </c>
      <c r="B3448">
        <v>195</v>
      </c>
      <c r="C3448" s="2">
        <v>45109</v>
      </c>
      <c r="D3448" s="2" t="str">
        <f>TEXT(Table3[[#This Row],[usage_date]],"mmmm")</f>
        <v>July</v>
      </c>
      <c r="E3448" s="9">
        <f>YEAR(Table3[[#This Row],[usage_date]])</f>
        <v>2023</v>
      </c>
      <c r="F3448" s="14">
        <v>4.59</v>
      </c>
      <c r="G3448">
        <v>185</v>
      </c>
      <c r="H3448" t="s">
        <v>12</v>
      </c>
      <c r="I3448" t="str">
        <f t="shared" si="53"/>
        <v>Normal Usage</v>
      </c>
    </row>
    <row r="3449" spans="1:9" x14ac:dyDescent="0.3">
      <c r="A3449">
        <v>13448</v>
      </c>
      <c r="B3449">
        <v>166</v>
      </c>
      <c r="C3449" s="2">
        <v>45277</v>
      </c>
      <c r="D3449" s="2" t="str">
        <f>TEXT(Table3[[#This Row],[usage_date]],"mmmm")</f>
        <v>December</v>
      </c>
      <c r="E3449" s="9">
        <f>YEAR(Table3[[#This Row],[usage_date]])</f>
        <v>2023</v>
      </c>
      <c r="F3449" s="14">
        <v>5.37</v>
      </c>
      <c r="G3449">
        <v>33</v>
      </c>
      <c r="H3449" t="s">
        <v>12</v>
      </c>
      <c r="I3449" t="str">
        <f t="shared" si="53"/>
        <v>Normal Usage</v>
      </c>
    </row>
    <row r="3450" spans="1:9" x14ac:dyDescent="0.3">
      <c r="A3450">
        <v>13449</v>
      </c>
      <c r="B3450">
        <v>451</v>
      </c>
      <c r="C3450" s="2">
        <v>45340</v>
      </c>
      <c r="D3450" s="2" t="str">
        <f>TEXT(Table3[[#This Row],[usage_date]],"mmmm")</f>
        <v>February</v>
      </c>
      <c r="E3450" s="9">
        <f>YEAR(Table3[[#This Row],[usage_date]])</f>
        <v>2024</v>
      </c>
      <c r="F3450" s="14">
        <v>0.44</v>
      </c>
      <c r="G3450">
        <v>120</v>
      </c>
      <c r="H3450" t="s">
        <v>12</v>
      </c>
      <c r="I3450" t="str">
        <f t="shared" si="53"/>
        <v>Normal Usage</v>
      </c>
    </row>
    <row r="3451" spans="1:9" x14ac:dyDescent="0.3">
      <c r="A3451">
        <v>13450</v>
      </c>
      <c r="B3451">
        <v>222</v>
      </c>
      <c r="C3451" s="2">
        <v>44829</v>
      </c>
      <c r="D3451" s="2" t="str">
        <f>TEXT(Table3[[#This Row],[usage_date]],"mmmm")</f>
        <v>September</v>
      </c>
      <c r="E3451" s="9">
        <f>YEAR(Table3[[#This Row],[usage_date]])</f>
        <v>2022</v>
      </c>
      <c r="F3451" s="14">
        <v>1.04</v>
      </c>
      <c r="G3451">
        <v>79</v>
      </c>
      <c r="H3451" t="s">
        <v>12</v>
      </c>
      <c r="I3451" t="str">
        <f t="shared" si="53"/>
        <v>Normal Usage</v>
      </c>
    </row>
    <row r="3452" spans="1:9" x14ac:dyDescent="0.3">
      <c r="A3452">
        <v>13451</v>
      </c>
      <c r="B3452">
        <v>61</v>
      </c>
      <c r="C3452" s="2">
        <v>44731</v>
      </c>
      <c r="D3452" s="2" t="str">
        <f>TEXT(Table3[[#This Row],[usage_date]],"mmmm")</f>
        <v>June</v>
      </c>
      <c r="E3452" s="9">
        <f>YEAR(Table3[[#This Row],[usage_date]])</f>
        <v>2022</v>
      </c>
      <c r="F3452" s="14">
        <v>1.02</v>
      </c>
      <c r="G3452">
        <v>205</v>
      </c>
      <c r="H3452" t="s">
        <v>12</v>
      </c>
      <c r="I3452" t="str">
        <f t="shared" si="53"/>
        <v>Normal Usage</v>
      </c>
    </row>
    <row r="3453" spans="1:9" x14ac:dyDescent="0.3">
      <c r="A3453">
        <v>13452</v>
      </c>
      <c r="B3453">
        <v>129</v>
      </c>
      <c r="C3453" s="2">
        <v>45112</v>
      </c>
      <c r="D3453" s="2" t="str">
        <f>TEXT(Table3[[#This Row],[usage_date]],"mmmm")</f>
        <v>July</v>
      </c>
      <c r="E3453" s="9">
        <f>YEAR(Table3[[#This Row],[usage_date]])</f>
        <v>2023</v>
      </c>
      <c r="F3453" s="14">
        <v>0.11</v>
      </c>
      <c r="G3453">
        <v>52</v>
      </c>
      <c r="H3453" t="s">
        <v>12</v>
      </c>
      <c r="I3453" t="str">
        <f t="shared" si="53"/>
        <v>Normal Usage</v>
      </c>
    </row>
    <row r="3454" spans="1:9" x14ac:dyDescent="0.3">
      <c r="A3454">
        <v>13453</v>
      </c>
      <c r="B3454">
        <v>478</v>
      </c>
      <c r="C3454" s="2">
        <v>45016</v>
      </c>
      <c r="D3454" s="2" t="str">
        <f>TEXT(Table3[[#This Row],[usage_date]],"mmmm")</f>
        <v>March</v>
      </c>
      <c r="E3454" s="9">
        <f>YEAR(Table3[[#This Row],[usage_date]])</f>
        <v>2023</v>
      </c>
      <c r="F3454" s="14">
        <v>2.2799999999999998</v>
      </c>
      <c r="G3454">
        <v>155</v>
      </c>
      <c r="H3454" t="s">
        <v>13</v>
      </c>
      <c r="I3454" t="str">
        <f t="shared" si="53"/>
        <v>Normal Usage</v>
      </c>
    </row>
    <row r="3455" spans="1:9" x14ac:dyDescent="0.3">
      <c r="A3455">
        <v>13454</v>
      </c>
      <c r="B3455">
        <v>173</v>
      </c>
      <c r="C3455" s="2">
        <v>45212</v>
      </c>
      <c r="D3455" s="2" t="str">
        <f>TEXT(Table3[[#This Row],[usage_date]],"mmmm")</f>
        <v>October</v>
      </c>
      <c r="E3455" s="9">
        <f>YEAR(Table3[[#This Row],[usage_date]])</f>
        <v>2023</v>
      </c>
      <c r="F3455" s="14">
        <v>4.82</v>
      </c>
      <c r="G3455">
        <v>273</v>
      </c>
      <c r="H3455" t="s">
        <v>13</v>
      </c>
      <c r="I3455" t="str">
        <f t="shared" si="53"/>
        <v>Normal Usage</v>
      </c>
    </row>
    <row r="3456" spans="1:9" x14ac:dyDescent="0.3">
      <c r="A3456">
        <v>13455</v>
      </c>
      <c r="B3456">
        <v>480</v>
      </c>
      <c r="C3456" s="2">
        <v>44853</v>
      </c>
      <c r="D3456" s="2" t="str">
        <f>TEXT(Table3[[#This Row],[usage_date]],"mmmm")</f>
        <v>October</v>
      </c>
      <c r="E3456" s="9">
        <f>YEAR(Table3[[#This Row],[usage_date]])</f>
        <v>2022</v>
      </c>
      <c r="F3456" s="14">
        <v>1.2</v>
      </c>
      <c r="G3456">
        <v>134</v>
      </c>
      <c r="H3456" t="s">
        <v>12</v>
      </c>
      <c r="I3456" t="str">
        <f t="shared" si="53"/>
        <v>Normal Usage</v>
      </c>
    </row>
    <row r="3457" spans="1:9" x14ac:dyDescent="0.3">
      <c r="A3457">
        <v>13456</v>
      </c>
      <c r="B3457">
        <v>156</v>
      </c>
      <c r="C3457" s="2">
        <v>45125</v>
      </c>
      <c r="D3457" s="2" t="str">
        <f>TEXT(Table3[[#This Row],[usage_date]],"mmmm")</f>
        <v>July</v>
      </c>
      <c r="E3457" s="9">
        <f>YEAR(Table3[[#This Row],[usage_date]])</f>
        <v>2023</v>
      </c>
      <c r="F3457" s="14">
        <v>3.37</v>
      </c>
      <c r="G3457">
        <v>97</v>
      </c>
      <c r="H3457" t="s">
        <v>12</v>
      </c>
      <c r="I3457" t="str">
        <f t="shared" si="53"/>
        <v>Normal Usage</v>
      </c>
    </row>
    <row r="3458" spans="1:9" x14ac:dyDescent="0.3">
      <c r="A3458">
        <v>13457</v>
      </c>
      <c r="B3458">
        <v>405</v>
      </c>
      <c r="C3458" s="2">
        <v>45360</v>
      </c>
      <c r="D3458" s="2" t="str">
        <f>TEXT(Table3[[#This Row],[usage_date]],"mmmm")</f>
        <v>March</v>
      </c>
      <c r="E3458" s="9">
        <f>YEAR(Table3[[#This Row],[usage_date]])</f>
        <v>2024</v>
      </c>
      <c r="F3458" s="14">
        <v>2.4700000000000002</v>
      </c>
      <c r="G3458">
        <v>240</v>
      </c>
      <c r="H3458" t="s">
        <v>12</v>
      </c>
      <c r="I3458" t="str">
        <f t="shared" ref="I3458:I3521" si="54">IF(F3458&gt;6,"High Usage","Normal Usage")</f>
        <v>Normal Usage</v>
      </c>
    </row>
    <row r="3459" spans="1:9" x14ac:dyDescent="0.3">
      <c r="A3459">
        <v>13458</v>
      </c>
      <c r="B3459">
        <v>378</v>
      </c>
      <c r="C3459" s="2">
        <v>45362</v>
      </c>
      <c r="D3459" s="2" t="str">
        <f>TEXT(Table3[[#This Row],[usage_date]],"mmmm")</f>
        <v>March</v>
      </c>
      <c r="E3459" s="9">
        <f>YEAR(Table3[[#This Row],[usage_date]])</f>
        <v>2024</v>
      </c>
      <c r="F3459" s="14">
        <v>1.18</v>
      </c>
      <c r="G3459">
        <v>44</v>
      </c>
      <c r="H3459" t="s">
        <v>12</v>
      </c>
      <c r="I3459" t="str">
        <f t="shared" si="54"/>
        <v>Normal Usage</v>
      </c>
    </row>
    <row r="3460" spans="1:9" x14ac:dyDescent="0.3">
      <c r="A3460">
        <v>13459</v>
      </c>
      <c r="B3460">
        <v>110</v>
      </c>
      <c r="C3460" s="2">
        <v>44702</v>
      </c>
      <c r="D3460" s="2" t="str">
        <f>TEXT(Table3[[#This Row],[usage_date]],"mmmm")</f>
        <v>May</v>
      </c>
      <c r="E3460" s="9">
        <f>YEAR(Table3[[#This Row],[usage_date]])</f>
        <v>2022</v>
      </c>
      <c r="F3460" s="14">
        <v>0.38</v>
      </c>
      <c r="G3460">
        <v>198</v>
      </c>
      <c r="H3460" t="s">
        <v>12</v>
      </c>
      <c r="I3460" t="str">
        <f t="shared" si="54"/>
        <v>Normal Usage</v>
      </c>
    </row>
    <row r="3461" spans="1:9" x14ac:dyDescent="0.3">
      <c r="A3461">
        <v>13460</v>
      </c>
      <c r="B3461">
        <v>269</v>
      </c>
      <c r="C3461" s="2">
        <v>44707</v>
      </c>
      <c r="D3461" s="2" t="str">
        <f>TEXT(Table3[[#This Row],[usage_date]],"mmmm")</f>
        <v>May</v>
      </c>
      <c r="E3461" s="9">
        <f>YEAR(Table3[[#This Row],[usage_date]])</f>
        <v>2022</v>
      </c>
      <c r="F3461" s="14">
        <v>3.09</v>
      </c>
      <c r="G3461">
        <v>290</v>
      </c>
      <c r="H3461" t="s">
        <v>13</v>
      </c>
      <c r="I3461" t="str">
        <f t="shared" si="54"/>
        <v>Normal Usage</v>
      </c>
    </row>
    <row r="3462" spans="1:9" x14ac:dyDescent="0.3">
      <c r="A3462">
        <v>13461</v>
      </c>
      <c r="B3462">
        <v>411</v>
      </c>
      <c r="C3462" s="2">
        <v>44986</v>
      </c>
      <c r="D3462" s="2" t="str">
        <f>TEXT(Table3[[#This Row],[usage_date]],"mmmm")</f>
        <v>March</v>
      </c>
      <c r="E3462" s="9">
        <f>YEAR(Table3[[#This Row],[usage_date]])</f>
        <v>2023</v>
      </c>
      <c r="F3462" s="14">
        <v>4.82</v>
      </c>
      <c r="G3462">
        <v>113</v>
      </c>
      <c r="H3462" t="s">
        <v>12</v>
      </c>
      <c r="I3462" t="str">
        <f t="shared" si="54"/>
        <v>Normal Usage</v>
      </c>
    </row>
    <row r="3463" spans="1:9" x14ac:dyDescent="0.3">
      <c r="A3463">
        <v>13462</v>
      </c>
      <c r="B3463">
        <v>356</v>
      </c>
      <c r="C3463" s="2">
        <v>44875</v>
      </c>
      <c r="D3463" s="2" t="str">
        <f>TEXT(Table3[[#This Row],[usage_date]],"mmmm")</f>
        <v>November</v>
      </c>
      <c r="E3463" s="9">
        <f>YEAR(Table3[[#This Row],[usage_date]])</f>
        <v>2022</v>
      </c>
      <c r="F3463" s="14">
        <v>2.89</v>
      </c>
      <c r="G3463">
        <v>276</v>
      </c>
      <c r="H3463" t="s">
        <v>13</v>
      </c>
      <c r="I3463" t="str">
        <f t="shared" si="54"/>
        <v>Normal Usage</v>
      </c>
    </row>
    <row r="3464" spans="1:9" x14ac:dyDescent="0.3">
      <c r="A3464">
        <v>13463</v>
      </c>
      <c r="B3464">
        <v>391</v>
      </c>
      <c r="C3464" s="2">
        <v>44745</v>
      </c>
      <c r="D3464" s="2" t="str">
        <f>TEXT(Table3[[#This Row],[usage_date]],"mmmm")</f>
        <v>July</v>
      </c>
      <c r="E3464" s="9">
        <f>YEAR(Table3[[#This Row],[usage_date]])</f>
        <v>2022</v>
      </c>
      <c r="F3464" s="14">
        <v>0.05</v>
      </c>
      <c r="G3464">
        <v>240</v>
      </c>
      <c r="H3464" t="s">
        <v>12</v>
      </c>
      <c r="I3464" t="str">
        <f t="shared" si="54"/>
        <v>Normal Usage</v>
      </c>
    </row>
    <row r="3465" spans="1:9" x14ac:dyDescent="0.3">
      <c r="A3465">
        <v>13464</v>
      </c>
      <c r="B3465">
        <v>278</v>
      </c>
      <c r="C3465" s="2">
        <v>45225</v>
      </c>
      <c r="D3465" s="2" t="str">
        <f>TEXT(Table3[[#This Row],[usage_date]],"mmmm")</f>
        <v>October</v>
      </c>
      <c r="E3465" s="9">
        <f>YEAR(Table3[[#This Row],[usage_date]])</f>
        <v>2023</v>
      </c>
      <c r="F3465" s="14">
        <v>0.61</v>
      </c>
      <c r="G3465">
        <v>155</v>
      </c>
      <c r="H3465" t="s">
        <v>13</v>
      </c>
      <c r="I3465" t="str">
        <f t="shared" si="54"/>
        <v>Normal Usage</v>
      </c>
    </row>
    <row r="3466" spans="1:9" x14ac:dyDescent="0.3">
      <c r="A3466">
        <v>13465</v>
      </c>
      <c r="B3466">
        <v>74</v>
      </c>
      <c r="C3466" s="2">
        <v>45274</v>
      </c>
      <c r="D3466" s="2" t="str">
        <f>TEXT(Table3[[#This Row],[usage_date]],"mmmm")</f>
        <v>December</v>
      </c>
      <c r="E3466" s="9">
        <f>YEAR(Table3[[#This Row],[usage_date]])</f>
        <v>2023</v>
      </c>
      <c r="F3466" s="14">
        <v>0.18</v>
      </c>
      <c r="G3466">
        <v>43</v>
      </c>
      <c r="H3466" t="s">
        <v>12</v>
      </c>
      <c r="I3466" t="str">
        <f t="shared" si="54"/>
        <v>Normal Usage</v>
      </c>
    </row>
    <row r="3467" spans="1:9" x14ac:dyDescent="0.3">
      <c r="A3467">
        <v>13466</v>
      </c>
      <c r="B3467">
        <v>487</v>
      </c>
      <c r="C3467" s="2">
        <v>44689</v>
      </c>
      <c r="D3467" s="2" t="str">
        <f>TEXT(Table3[[#This Row],[usage_date]],"mmmm")</f>
        <v>May</v>
      </c>
      <c r="E3467" s="9">
        <f>YEAR(Table3[[#This Row],[usage_date]])</f>
        <v>2022</v>
      </c>
      <c r="F3467" s="14">
        <v>2.11</v>
      </c>
      <c r="G3467">
        <v>79</v>
      </c>
      <c r="H3467" t="s">
        <v>13</v>
      </c>
      <c r="I3467" t="str">
        <f t="shared" si="54"/>
        <v>Normal Usage</v>
      </c>
    </row>
    <row r="3468" spans="1:9" x14ac:dyDescent="0.3">
      <c r="A3468">
        <v>13467</v>
      </c>
      <c r="B3468">
        <v>437</v>
      </c>
      <c r="C3468" s="2">
        <v>44848</v>
      </c>
      <c r="D3468" s="2" t="str">
        <f>TEXT(Table3[[#This Row],[usage_date]],"mmmm")</f>
        <v>October</v>
      </c>
      <c r="E3468" s="9">
        <f>YEAR(Table3[[#This Row],[usage_date]])</f>
        <v>2022</v>
      </c>
      <c r="F3468" s="14">
        <v>3.53</v>
      </c>
      <c r="G3468">
        <v>137</v>
      </c>
      <c r="H3468" t="s">
        <v>13</v>
      </c>
      <c r="I3468" t="str">
        <f t="shared" si="54"/>
        <v>Normal Usage</v>
      </c>
    </row>
    <row r="3469" spans="1:9" x14ac:dyDescent="0.3">
      <c r="A3469">
        <v>13468</v>
      </c>
      <c r="B3469">
        <v>463</v>
      </c>
      <c r="C3469" s="2">
        <v>45384</v>
      </c>
      <c r="D3469" s="2" t="str">
        <f>TEXT(Table3[[#This Row],[usage_date]],"mmmm")</f>
        <v>April</v>
      </c>
      <c r="E3469" s="9">
        <f>YEAR(Table3[[#This Row],[usage_date]])</f>
        <v>2024</v>
      </c>
      <c r="F3469" s="14">
        <v>0.28999999999999998</v>
      </c>
      <c r="G3469">
        <v>150</v>
      </c>
      <c r="H3469" t="s">
        <v>12</v>
      </c>
      <c r="I3469" t="str">
        <f t="shared" si="54"/>
        <v>Normal Usage</v>
      </c>
    </row>
    <row r="3470" spans="1:9" x14ac:dyDescent="0.3">
      <c r="A3470">
        <v>13469</v>
      </c>
      <c r="B3470">
        <v>207</v>
      </c>
      <c r="C3470" s="2">
        <v>44814</v>
      </c>
      <c r="D3470" s="2" t="str">
        <f>TEXT(Table3[[#This Row],[usage_date]],"mmmm")</f>
        <v>September</v>
      </c>
      <c r="E3470" s="9">
        <f>YEAR(Table3[[#This Row],[usage_date]])</f>
        <v>2022</v>
      </c>
      <c r="F3470" s="14">
        <v>4.5599999999999996</v>
      </c>
      <c r="G3470">
        <v>241</v>
      </c>
      <c r="H3470" t="s">
        <v>12</v>
      </c>
      <c r="I3470" t="str">
        <f t="shared" si="54"/>
        <v>Normal Usage</v>
      </c>
    </row>
    <row r="3471" spans="1:9" x14ac:dyDescent="0.3">
      <c r="A3471">
        <v>13470</v>
      </c>
      <c r="B3471">
        <v>388</v>
      </c>
      <c r="C3471" s="2">
        <v>45339</v>
      </c>
      <c r="D3471" s="2" t="str">
        <f>TEXT(Table3[[#This Row],[usage_date]],"mmmm")</f>
        <v>February</v>
      </c>
      <c r="E3471" s="9">
        <f>YEAR(Table3[[#This Row],[usage_date]])</f>
        <v>2024</v>
      </c>
      <c r="F3471" s="14">
        <v>2.0299999999999998</v>
      </c>
      <c r="G3471">
        <v>142</v>
      </c>
      <c r="H3471" t="s">
        <v>13</v>
      </c>
      <c r="I3471" t="str">
        <f t="shared" si="54"/>
        <v>Normal Usage</v>
      </c>
    </row>
    <row r="3472" spans="1:9" x14ac:dyDescent="0.3">
      <c r="A3472">
        <v>13471</v>
      </c>
      <c r="B3472">
        <v>480</v>
      </c>
      <c r="C3472" s="2">
        <v>45261</v>
      </c>
      <c r="D3472" s="2" t="str">
        <f>TEXT(Table3[[#This Row],[usage_date]],"mmmm")</f>
        <v>December</v>
      </c>
      <c r="E3472" s="9">
        <f>YEAR(Table3[[#This Row],[usage_date]])</f>
        <v>2023</v>
      </c>
      <c r="F3472" s="14">
        <v>2.93</v>
      </c>
      <c r="G3472">
        <v>298</v>
      </c>
      <c r="H3472" t="s">
        <v>13</v>
      </c>
      <c r="I3472" t="str">
        <f t="shared" si="54"/>
        <v>Normal Usage</v>
      </c>
    </row>
    <row r="3473" spans="1:9" x14ac:dyDescent="0.3">
      <c r="A3473">
        <v>13472</v>
      </c>
      <c r="B3473">
        <v>279</v>
      </c>
      <c r="C3473" s="2">
        <v>44947</v>
      </c>
      <c r="D3473" s="2" t="str">
        <f>TEXT(Table3[[#This Row],[usage_date]],"mmmm")</f>
        <v>January</v>
      </c>
      <c r="E3473" s="9">
        <f>YEAR(Table3[[#This Row],[usage_date]])</f>
        <v>2023</v>
      </c>
      <c r="F3473" s="14">
        <v>8.89</v>
      </c>
      <c r="G3473">
        <v>49</v>
      </c>
      <c r="H3473" t="s">
        <v>12</v>
      </c>
      <c r="I3473" t="str">
        <f t="shared" si="54"/>
        <v>High Usage</v>
      </c>
    </row>
    <row r="3474" spans="1:9" x14ac:dyDescent="0.3">
      <c r="A3474">
        <v>13473</v>
      </c>
      <c r="B3474">
        <v>375</v>
      </c>
      <c r="C3474" s="2">
        <v>44791</v>
      </c>
      <c r="D3474" s="2" t="str">
        <f>TEXT(Table3[[#This Row],[usage_date]],"mmmm")</f>
        <v>August</v>
      </c>
      <c r="E3474" s="9">
        <f>YEAR(Table3[[#This Row],[usage_date]])</f>
        <v>2022</v>
      </c>
      <c r="F3474" s="14">
        <v>0.22</v>
      </c>
      <c r="G3474">
        <v>261</v>
      </c>
      <c r="H3474" t="s">
        <v>12</v>
      </c>
      <c r="I3474" t="str">
        <f t="shared" si="54"/>
        <v>Normal Usage</v>
      </c>
    </row>
    <row r="3475" spans="1:9" x14ac:dyDescent="0.3">
      <c r="A3475">
        <v>13474</v>
      </c>
      <c r="B3475">
        <v>326</v>
      </c>
      <c r="C3475" s="2">
        <v>44832</v>
      </c>
      <c r="D3475" s="2" t="str">
        <f>TEXT(Table3[[#This Row],[usage_date]],"mmmm")</f>
        <v>September</v>
      </c>
      <c r="E3475" s="9">
        <f>YEAR(Table3[[#This Row],[usage_date]])</f>
        <v>2022</v>
      </c>
      <c r="F3475" s="14">
        <v>5.79</v>
      </c>
      <c r="G3475">
        <v>160</v>
      </c>
      <c r="H3475" t="s">
        <v>12</v>
      </c>
      <c r="I3475" t="str">
        <f t="shared" si="54"/>
        <v>Normal Usage</v>
      </c>
    </row>
    <row r="3476" spans="1:9" x14ac:dyDescent="0.3">
      <c r="A3476">
        <v>13475</v>
      </c>
      <c r="B3476">
        <v>472</v>
      </c>
      <c r="C3476" s="2">
        <v>45332</v>
      </c>
      <c r="D3476" s="2" t="str">
        <f>TEXT(Table3[[#This Row],[usage_date]],"mmmm")</f>
        <v>February</v>
      </c>
      <c r="E3476" s="9">
        <f>YEAR(Table3[[#This Row],[usage_date]])</f>
        <v>2024</v>
      </c>
      <c r="F3476" s="14">
        <v>0.34</v>
      </c>
      <c r="G3476">
        <v>61</v>
      </c>
      <c r="H3476" t="s">
        <v>12</v>
      </c>
      <c r="I3476" t="str">
        <f t="shared" si="54"/>
        <v>Normal Usage</v>
      </c>
    </row>
    <row r="3477" spans="1:9" x14ac:dyDescent="0.3">
      <c r="A3477">
        <v>13476</v>
      </c>
      <c r="B3477">
        <v>340</v>
      </c>
      <c r="C3477" s="2">
        <v>45372</v>
      </c>
      <c r="D3477" s="2" t="str">
        <f>TEXT(Table3[[#This Row],[usage_date]],"mmmm")</f>
        <v>March</v>
      </c>
      <c r="E3477" s="9">
        <f>YEAR(Table3[[#This Row],[usage_date]])</f>
        <v>2024</v>
      </c>
      <c r="F3477" s="14">
        <v>1.25</v>
      </c>
      <c r="G3477">
        <v>54</v>
      </c>
      <c r="H3477" t="s">
        <v>12</v>
      </c>
      <c r="I3477" t="str">
        <f t="shared" si="54"/>
        <v>Normal Usage</v>
      </c>
    </row>
    <row r="3478" spans="1:9" x14ac:dyDescent="0.3">
      <c r="A3478">
        <v>13477</v>
      </c>
      <c r="B3478">
        <v>357</v>
      </c>
      <c r="C3478" s="2">
        <v>44976</v>
      </c>
      <c r="D3478" s="2" t="str">
        <f>TEXT(Table3[[#This Row],[usage_date]],"mmmm")</f>
        <v>February</v>
      </c>
      <c r="E3478" s="9">
        <f>YEAR(Table3[[#This Row],[usage_date]])</f>
        <v>2023</v>
      </c>
      <c r="F3478" s="14">
        <v>4.7699999999999996</v>
      </c>
      <c r="G3478">
        <v>30</v>
      </c>
      <c r="H3478" t="s">
        <v>12</v>
      </c>
      <c r="I3478" t="str">
        <f t="shared" si="54"/>
        <v>Normal Usage</v>
      </c>
    </row>
    <row r="3479" spans="1:9" x14ac:dyDescent="0.3">
      <c r="A3479">
        <v>13478</v>
      </c>
      <c r="B3479">
        <v>340</v>
      </c>
      <c r="C3479" s="2">
        <v>44759</v>
      </c>
      <c r="D3479" s="2" t="str">
        <f>TEXT(Table3[[#This Row],[usage_date]],"mmmm")</f>
        <v>July</v>
      </c>
      <c r="E3479" s="9">
        <f>YEAR(Table3[[#This Row],[usage_date]])</f>
        <v>2022</v>
      </c>
      <c r="F3479" s="14">
        <v>5.92</v>
      </c>
      <c r="G3479">
        <v>289</v>
      </c>
      <c r="H3479" t="s">
        <v>12</v>
      </c>
      <c r="I3479" t="str">
        <f t="shared" si="54"/>
        <v>Normal Usage</v>
      </c>
    </row>
    <row r="3480" spans="1:9" x14ac:dyDescent="0.3">
      <c r="A3480">
        <v>13479</v>
      </c>
      <c r="B3480">
        <v>204</v>
      </c>
      <c r="C3480" s="2">
        <v>44884</v>
      </c>
      <c r="D3480" s="2" t="str">
        <f>TEXT(Table3[[#This Row],[usage_date]],"mmmm")</f>
        <v>November</v>
      </c>
      <c r="E3480" s="9">
        <f>YEAR(Table3[[#This Row],[usage_date]])</f>
        <v>2022</v>
      </c>
      <c r="F3480" s="14">
        <v>1.76</v>
      </c>
      <c r="G3480">
        <v>168</v>
      </c>
      <c r="H3480" t="s">
        <v>13</v>
      </c>
      <c r="I3480" t="str">
        <f t="shared" si="54"/>
        <v>Normal Usage</v>
      </c>
    </row>
    <row r="3481" spans="1:9" x14ac:dyDescent="0.3">
      <c r="A3481">
        <v>13480</v>
      </c>
      <c r="B3481">
        <v>161</v>
      </c>
      <c r="C3481" s="2">
        <v>44617</v>
      </c>
      <c r="D3481" s="2" t="str">
        <f>TEXT(Table3[[#This Row],[usage_date]],"mmmm")</f>
        <v>February</v>
      </c>
      <c r="E3481" s="9">
        <f>YEAR(Table3[[#This Row],[usage_date]])</f>
        <v>2022</v>
      </c>
      <c r="F3481" s="14">
        <v>2.25</v>
      </c>
      <c r="G3481">
        <v>265</v>
      </c>
      <c r="H3481" t="s">
        <v>13</v>
      </c>
      <c r="I3481" t="str">
        <f t="shared" si="54"/>
        <v>Normal Usage</v>
      </c>
    </row>
    <row r="3482" spans="1:9" x14ac:dyDescent="0.3">
      <c r="A3482">
        <v>13481</v>
      </c>
      <c r="B3482">
        <v>28</v>
      </c>
      <c r="C3482" s="2">
        <v>45392</v>
      </c>
      <c r="D3482" s="2" t="str">
        <f>TEXT(Table3[[#This Row],[usage_date]],"mmmm")</f>
        <v>April</v>
      </c>
      <c r="E3482" s="9">
        <f>YEAR(Table3[[#This Row],[usage_date]])</f>
        <v>2024</v>
      </c>
      <c r="F3482" s="14">
        <v>3.08</v>
      </c>
      <c r="G3482">
        <v>184</v>
      </c>
      <c r="H3482" t="s">
        <v>12</v>
      </c>
      <c r="I3482" t="str">
        <f t="shared" si="54"/>
        <v>Normal Usage</v>
      </c>
    </row>
    <row r="3483" spans="1:9" x14ac:dyDescent="0.3">
      <c r="A3483">
        <v>13482</v>
      </c>
      <c r="B3483">
        <v>392</v>
      </c>
      <c r="C3483" s="2">
        <v>44764</v>
      </c>
      <c r="D3483" s="2" t="str">
        <f>TEXT(Table3[[#This Row],[usage_date]],"mmmm")</f>
        <v>July</v>
      </c>
      <c r="E3483" s="9">
        <f>YEAR(Table3[[#This Row],[usage_date]])</f>
        <v>2022</v>
      </c>
      <c r="F3483" s="14">
        <v>4.47</v>
      </c>
      <c r="G3483">
        <v>2</v>
      </c>
      <c r="H3483" t="s">
        <v>13</v>
      </c>
      <c r="I3483" t="str">
        <f t="shared" si="54"/>
        <v>Normal Usage</v>
      </c>
    </row>
    <row r="3484" spans="1:9" x14ac:dyDescent="0.3">
      <c r="A3484">
        <v>13483</v>
      </c>
      <c r="B3484">
        <v>257</v>
      </c>
      <c r="C3484" s="2">
        <v>45344</v>
      </c>
      <c r="D3484" s="2" t="str">
        <f>TEXT(Table3[[#This Row],[usage_date]],"mmmm")</f>
        <v>February</v>
      </c>
      <c r="E3484" s="9">
        <f>YEAR(Table3[[#This Row],[usage_date]])</f>
        <v>2024</v>
      </c>
      <c r="F3484" s="14">
        <v>0.32</v>
      </c>
      <c r="G3484">
        <v>160</v>
      </c>
      <c r="H3484" t="s">
        <v>12</v>
      </c>
      <c r="I3484" t="str">
        <f t="shared" si="54"/>
        <v>Normal Usage</v>
      </c>
    </row>
    <row r="3485" spans="1:9" x14ac:dyDescent="0.3">
      <c r="A3485">
        <v>13484</v>
      </c>
      <c r="B3485">
        <v>165</v>
      </c>
      <c r="C3485" s="2">
        <v>45182</v>
      </c>
      <c r="D3485" s="2" t="str">
        <f>TEXT(Table3[[#This Row],[usage_date]],"mmmm")</f>
        <v>September</v>
      </c>
      <c r="E3485" s="9">
        <f>YEAR(Table3[[#This Row],[usage_date]])</f>
        <v>2023</v>
      </c>
      <c r="F3485" s="14">
        <v>4.1500000000000004</v>
      </c>
      <c r="G3485">
        <v>259</v>
      </c>
      <c r="H3485" t="s">
        <v>12</v>
      </c>
      <c r="I3485" t="str">
        <f t="shared" si="54"/>
        <v>Normal Usage</v>
      </c>
    </row>
    <row r="3486" spans="1:9" x14ac:dyDescent="0.3">
      <c r="A3486">
        <v>13485</v>
      </c>
      <c r="B3486">
        <v>63</v>
      </c>
      <c r="C3486" s="2">
        <v>45189</v>
      </c>
      <c r="D3486" s="2" t="str">
        <f>TEXT(Table3[[#This Row],[usage_date]],"mmmm")</f>
        <v>September</v>
      </c>
      <c r="E3486" s="9">
        <f>YEAR(Table3[[#This Row],[usage_date]])</f>
        <v>2023</v>
      </c>
      <c r="F3486" s="14">
        <v>1.64</v>
      </c>
      <c r="G3486">
        <v>47</v>
      </c>
      <c r="H3486" t="s">
        <v>13</v>
      </c>
      <c r="I3486" t="str">
        <f t="shared" si="54"/>
        <v>Normal Usage</v>
      </c>
    </row>
    <row r="3487" spans="1:9" x14ac:dyDescent="0.3">
      <c r="A3487">
        <v>13486</v>
      </c>
      <c r="B3487">
        <v>22</v>
      </c>
      <c r="C3487" s="2">
        <v>45165</v>
      </c>
      <c r="D3487" s="2" t="str">
        <f>TEXT(Table3[[#This Row],[usage_date]],"mmmm")</f>
        <v>August</v>
      </c>
      <c r="E3487" s="9">
        <f>YEAR(Table3[[#This Row],[usage_date]])</f>
        <v>2023</v>
      </c>
      <c r="F3487" s="14">
        <v>1.5</v>
      </c>
      <c r="G3487">
        <v>253</v>
      </c>
      <c r="H3487" t="s">
        <v>12</v>
      </c>
      <c r="I3487" t="str">
        <f t="shared" si="54"/>
        <v>Normal Usage</v>
      </c>
    </row>
    <row r="3488" spans="1:9" x14ac:dyDescent="0.3">
      <c r="A3488">
        <v>13487</v>
      </c>
      <c r="B3488">
        <v>70</v>
      </c>
      <c r="C3488" s="2">
        <v>44699</v>
      </c>
      <c r="D3488" s="2" t="str">
        <f>TEXT(Table3[[#This Row],[usage_date]],"mmmm")</f>
        <v>May</v>
      </c>
      <c r="E3488" s="9">
        <f>YEAR(Table3[[#This Row],[usage_date]])</f>
        <v>2022</v>
      </c>
      <c r="F3488" s="14">
        <v>1.38</v>
      </c>
      <c r="G3488">
        <v>73</v>
      </c>
      <c r="H3488" t="s">
        <v>12</v>
      </c>
      <c r="I3488" t="str">
        <f t="shared" si="54"/>
        <v>Normal Usage</v>
      </c>
    </row>
    <row r="3489" spans="1:9" x14ac:dyDescent="0.3">
      <c r="A3489">
        <v>13488</v>
      </c>
      <c r="B3489">
        <v>381</v>
      </c>
      <c r="C3489" s="2">
        <v>44983</v>
      </c>
      <c r="D3489" s="2" t="str">
        <f>TEXT(Table3[[#This Row],[usage_date]],"mmmm")</f>
        <v>February</v>
      </c>
      <c r="E3489" s="9">
        <f>YEAR(Table3[[#This Row],[usage_date]])</f>
        <v>2023</v>
      </c>
      <c r="F3489" s="14">
        <v>1.78</v>
      </c>
      <c r="G3489">
        <v>165</v>
      </c>
      <c r="H3489" t="s">
        <v>12</v>
      </c>
      <c r="I3489" t="str">
        <f t="shared" si="54"/>
        <v>Normal Usage</v>
      </c>
    </row>
    <row r="3490" spans="1:9" x14ac:dyDescent="0.3">
      <c r="A3490">
        <v>13489</v>
      </c>
      <c r="B3490">
        <v>405</v>
      </c>
      <c r="C3490" s="2">
        <v>45376</v>
      </c>
      <c r="D3490" s="2" t="str">
        <f>TEXT(Table3[[#This Row],[usage_date]],"mmmm")</f>
        <v>March</v>
      </c>
      <c r="E3490" s="9">
        <f>YEAR(Table3[[#This Row],[usage_date]])</f>
        <v>2024</v>
      </c>
      <c r="F3490" s="14">
        <v>7.25</v>
      </c>
      <c r="G3490">
        <v>259</v>
      </c>
      <c r="H3490" t="s">
        <v>12</v>
      </c>
      <c r="I3490" t="str">
        <f t="shared" si="54"/>
        <v>High Usage</v>
      </c>
    </row>
    <row r="3491" spans="1:9" x14ac:dyDescent="0.3">
      <c r="A3491">
        <v>13490</v>
      </c>
      <c r="B3491">
        <v>96</v>
      </c>
      <c r="C3491" s="2">
        <v>44618</v>
      </c>
      <c r="D3491" s="2" t="str">
        <f>TEXT(Table3[[#This Row],[usage_date]],"mmmm")</f>
        <v>February</v>
      </c>
      <c r="E3491" s="9">
        <f>YEAR(Table3[[#This Row],[usage_date]])</f>
        <v>2022</v>
      </c>
      <c r="F3491" s="14">
        <v>1.99</v>
      </c>
      <c r="G3491">
        <v>3</v>
      </c>
      <c r="H3491" t="s">
        <v>13</v>
      </c>
      <c r="I3491" t="str">
        <f t="shared" si="54"/>
        <v>Normal Usage</v>
      </c>
    </row>
    <row r="3492" spans="1:9" x14ac:dyDescent="0.3">
      <c r="A3492">
        <v>13491</v>
      </c>
      <c r="B3492">
        <v>163</v>
      </c>
      <c r="C3492" s="2">
        <v>45123</v>
      </c>
      <c r="D3492" s="2" t="str">
        <f>TEXT(Table3[[#This Row],[usage_date]],"mmmm")</f>
        <v>July</v>
      </c>
      <c r="E3492" s="9">
        <f>YEAR(Table3[[#This Row],[usage_date]])</f>
        <v>2023</v>
      </c>
      <c r="F3492" s="14">
        <v>7.65</v>
      </c>
      <c r="G3492">
        <v>118</v>
      </c>
      <c r="H3492" t="s">
        <v>13</v>
      </c>
      <c r="I3492" t="str">
        <f t="shared" si="54"/>
        <v>High Usage</v>
      </c>
    </row>
    <row r="3493" spans="1:9" x14ac:dyDescent="0.3">
      <c r="A3493">
        <v>13492</v>
      </c>
      <c r="B3493">
        <v>79</v>
      </c>
      <c r="C3493" s="2">
        <v>44632</v>
      </c>
      <c r="D3493" s="2" t="str">
        <f>TEXT(Table3[[#This Row],[usage_date]],"mmmm")</f>
        <v>March</v>
      </c>
      <c r="E3493" s="9">
        <f>YEAR(Table3[[#This Row],[usage_date]])</f>
        <v>2022</v>
      </c>
      <c r="F3493" s="14">
        <v>0.5</v>
      </c>
      <c r="G3493">
        <v>272</v>
      </c>
      <c r="H3493" t="s">
        <v>13</v>
      </c>
      <c r="I3493" t="str">
        <f t="shared" si="54"/>
        <v>Normal Usage</v>
      </c>
    </row>
    <row r="3494" spans="1:9" x14ac:dyDescent="0.3">
      <c r="A3494">
        <v>13493</v>
      </c>
      <c r="B3494">
        <v>5</v>
      </c>
      <c r="C3494" s="2">
        <v>45155</v>
      </c>
      <c r="D3494" s="2" t="str">
        <f>TEXT(Table3[[#This Row],[usage_date]],"mmmm")</f>
        <v>August</v>
      </c>
      <c r="E3494" s="9">
        <f>YEAR(Table3[[#This Row],[usage_date]])</f>
        <v>2023</v>
      </c>
      <c r="F3494" s="14">
        <v>3.22</v>
      </c>
      <c r="G3494">
        <v>225</v>
      </c>
      <c r="H3494" t="s">
        <v>13</v>
      </c>
      <c r="I3494" t="str">
        <f t="shared" si="54"/>
        <v>Normal Usage</v>
      </c>
    </row>
    <row r="3495" spans="1:9" x14ac:dyDescent="0.3">
      <c r="A3495">
        <v>13494</v>
      </c>
      <c r="B3495">
        <v>316</v>
      </c>
      <c r="C3495" s="2">
        <v>44933</v>
      </c>
      <c r="D3495" s="2" t="str">
        <f>TEXT(Table3[[#This Row],[usage_date]],"mmmm")</f>
        <v>January</v>
      </c>
      <c r="E3495" s="9">
        <f>YEAR(Table3[[#This Row],[usage_date]])</f>
        <v>2023</v>
      </c>
      <c r="F3495" s="14">
        <v>4.18</v>
      </c>
      <c r="G3495">
        <v>69</v>
      </c>
      <c r="H3495" t="s">
        <v>13</v>
      </c>
      <c r="I3495" t="str">
        <f t="shared" si="54"/>
        <v>Normal Usage</v>
      </c>
    </row>
    <row r="3496" spans="1:9" x14ac:dyDescent="0.3">
      <c r="A3496">
        <v>13495</v>
      </c>
      <c r="B3496">
        <v>120</v>
      </c>
      <c r="C3496" s="2">
        <v>45178</v>
      </c>
      <c r="D3496" s="2" t="str">
        <f>TEXT(Table3[[#This Row],[usage_date]],"mmmm")</f>
        <v>September</v>
      </c>
      <c r="E3496" s="9">
        <f>YEAR(Table3[[#This Row],[usage_date]])</f>
        <v>2023</v>
      </c>
      <c r="F3496" s="14">
        <v>2.84</v>
      </c>
      <c r="G3496">
        <v>181</v>
      </c>
      <c r="H3496" t="s">
        <v>13</v>
      </c>
      <c r="I3496" t="str">
        <f t="shared" si="54"/>
        <v>Normal Usage</v>
      </c>
    </row>
    <row r="3497" spans="1:9" x14ac:dyDescent="0.3">
      <c r="A3497">
        <v>13496</v>
      </c>
      <c r="B3497">
        <v>302</v>
      </c>
      <c r="C3497" s="2">
        <v>45161</v>
      </c>
      <c r="D3497" s="2" t="str">
        <f>TEXT(Table3[[#This Row],[usage_date]],"mmmm")</f>
        <v>August</v>
      </c>
      <c r="E3497" s="9">
        <f>YEAR(Table3[[#This Row],[usage_date]])</f>
        <v>2023</v>
      </c>
      <c r="F3497" s="14">
        <v>2.33</v>
      </c>
      <c r="G3497">
        <v>263</v>
      </c>
      <c r="H3497" t="s">
        <v>12</v>
      </c>
      <c r="I3497" t="str">
        <f t="shared" si="54"/>
        <v>Normal Usage</v>
      </c>
    </row>
    <row r="3498" spans="1:9" x14ac:dyDescent="0.3">
      <c r="A3498">
        <v>13497</v>
      </c>
      <c r="B3498">
        <v>178</v>
      </c>
      <c r="C3498" s="2">
        <v>45075</v>
      </c>
      <c r="D3498" s="2" t="str">
        <f>TEXT(Table3[[#This Row],[usage_date]],"mmmm")</f>
        <v>May</v>
      </c>
      <c r="E3498" s="9">
        <f>YEAR(Table3[[#This Row],[usage_date]])</f>
        <v>2023</v>
      </c>
      <c r="F3498" s="14">
        <v>2.08</v>
      </c>
      <c r="G3498">
        <v>180</v>
      </c>
      <c r="H3498" t="s">
        <v>13</v>
      </c>
      <c r="I3498" t="str">
        <f t="shared" si="54"/>
        <v>Normal Usage</v>
      </c>
    </row>
    <row r="3499" spans="1:9" x14ac:dyDescent="0.3">
      <c r="A3499">
        <v>13498</v>
      </c>
      <c r="B3499">
        <v>176</v>
      </c>
      <c r="C3499" s="2">
        <v>45433</v>
      </c>
      <c r="D3499" s="2" t="str">
        <f>TEXT(Table3[[#This Row],[usage_date]],"mmmm")</f>
        <v>May</v>
      </c>
      <c r="E3499" s="9">
        <f>YEAR(Table3[[#This Row],[usage_date]])</f>
        <v>2024</v>
      </c>
      <c r="F3499" s="14">
        <v>4.93</v>
      </c>
      <c r="G3499">
        <v>4</v>
      </c>
      <c r="H3499" t="s">
        <v>12</v>
      </c>
      <c r="I3499" t="str">
        <f t="shared" si="54"/>
        <v>Normal Usage</v>
      </c>
    </row>
    <row r="3500" spans="1:9" x14ac:dyDescent="0.3">
      <c r="A3500">
        <v>13499</v>
      </c>
      <c r="B3500">
        <v>390</v>
      </c>
      <c r="C3500" s="2">
        <v>44645</v>
      </c>
      <c r="D3500" s="2" t="str">
        <f>TEXT(Table3[[#This Row],[usage_date]],"mmmm")</f>
        <v>March</v>
      </c>
      <c r="E3500" s="9">
        <f>YEAR(Table3[[#This Row],[usage_date]])</f>
        <v>2022</v>
      </c>
      <c r="F3500" s="14">
        <v>4.3099999999999996</v>
      </c>
      <c r="G3500">
        <v>196</v>
      </c>
      <c r="H3500" t="s">
        <v>13</v>
      </c>
      <c r="I3500" t="str">
        <f t="shared" si="54"/>
        <v>Normal Usage</v>
      </c>
    </row>
    <row r="3501" spans="1:9" x14ac:dyDescent="0.3">
      <c r="A3501">
        <v>13500</v>
      </c>
      <c r="B3501">
        <v>217</v>
      </c>
      <c r="C3501" s="2">
        <v>44604</v>
      </c>
      <c r="D3501" s="2" t="str">
        <f>TEXT(Table3[[#This Row],[usage_date]],"mmmm")</f>
        <v>February</v>
      </c>
      <c r="E3501" s="9">
        <f>YEAR(Table3[[#This Row],[usage_date]])</f>
        <v>2022</v>
      </c>
      <c r="F3501" s="14">
        <v>0.33</v>
      </c>
      <c r="G3501">
        <v>46</v>
      </c>
      <c r="H3501" t="s">
        <v>12</v>
      </c>
      <c r="I3501" t="str">
        <f t="shared" si="54"/>
        <v>Normal Usage</v>
      </c>
    </row>
    <row r="3502" spans="1:9" x14ac:dyDescent="0.3">
      <c r="A3502">
        <v>13501</v>
      </c>
      <c r="B3502">
        <v>56</v>
      </c>
      <c r="C3502" s="2">
        <v>45227</v>
      </c>
      <c r="D3502" s="2" t="str">
        <f>TEXT(Table3[[#This Row],[usage_date]],"mmmm")</f>
        <v>October</v>
      </c>
      <c r="E3502" s="9">
        <f>YEAR(Table3[[#This Row],[usage_date]])</f>
        <v>2023</v>
      </c>
      <c r="F3502" s="14">
        <v>4.72</v>
      </c>
      <c r="G3502">
        <v>39</v>
      </c>
      <c r="H3502" t="s">
        <v>13</v>
      </c>
      <c r="I3502" t="str">
        <f t="shared" si="54"/>
        <v>Normal Usage</v>
      </c>
    </row>
    <row r="3503" spans="1:9" x14ac:dyDescent="0.3">
      <c r="A3503">
        <v>13502</v>
      </c>
      <c r="B3503">
        <v>366</v>
      </c>
      <c r="C3503" s="2">
        <v>45400</v>
      </c>
      <c r="D3503" s="2" t="str">
        <f>TEXT(Table3[[#This Row],[usage_date]],"mmmm")</f>
        <v>April</v>
      </c>
      <c r="E3503" s="9">
        <f>YEAR(Table3[[#This Row],[usage_date]])</f>
        <v>2024</v>
      </c>
      <c r="F3503" s="14">
        <v>1.34</v>
      </c>
      <c r="G3503">
        <v>121</v>
      </c>
      <c r="H3503" t="s">
        <v>13</v>
      </c>
      <c r="I3503" t="str">
        <f t="shared" si="54"/>
        <v>Normal Usage</v>
      </c>
    </row>
    <row r="3504" spans="1:9" x14ac:dyDescent="0.3">
      <c r="A3504">
        <v>13503</v>
      </c>
      <c r="B3504">
        <v>187</v>
      </c>
      <c r="C3504" s="2">
        <v>45167</v>
      </c>
      <c r="D3504" s="2" t="str">
        <f>TEXT(Table3[[#This Row],[usage_date]],"mmmm")</f>
        <v>August</v>
      </c>
      <c r="E3504" s="9">
        <f>YEAR(Table3[[#This Row],[usage_date]])</f>
        <v>2023</v>
      </c>
      <c r="F3504" s="14">
        <v>0.73</v>
      </c>
      <c r="G3504">
        <v>134</v>
      </c>
      <c r="H3504" t="s">
        <v>13</v>
      </c>
      <c r="I3504" t="str">
        <f t="shared" si="54"/>
        <v>Normal Usage</v>
      </c>
    </row>
    <row r="3505" spans="1:9" x14ac:dyDescent="0.3">
      <c r="A3505">
        <v>13504</v>
      </c>
      <c r="B3505">
        <v>232</v>
      </c>
      <c r="C3505" s="2">
        <v>45371</v>
      </c>
      <c r="D3505" s="2" t="str">
        <f>TEXT(Table3[[#This Row],[usage_date]],"mmmm")</f>
        <v>March</v>
      </c>
      <c r="E3505" s="9">
        <f>YEAR(Table3[[#This Row],[usage_date]])</f>
        <v>2024</v>
      </c>
      <c r="F3505" s="14">
        <v>5.0999999999999996</v>
      </c>
      <c r="G3505">
        <v>139</v>
      </c>
      <c r="H3505" t="s">
        <v>13</v>
      </c>
      <c r="I3505" t="str">
        <f t="shared" si="54"/>
        <v>Normal Usage</v>
      </c>
    </row>
    <row r="3506" spans="1:9" x14ac:dyDescent="0.3">
      <c r="A3506">
        <v>13505</v>
      </c>
      <c r="B3506">
        <v>255</v>
      </c>
      <c r="C3506" s="2">
        <v>44694</v>
      </c>
      <c r="D3506" s="2" t="str">
        <f>TEXT(Table3[[#This Row],[usage_date]],"mmmm")</f>
        <v>May</v>
      </c>
      <c r="E3506" s="9">
        <f>YEAR(Table3[[#This Row],[usage_date]])</f>
        <v>2022</v>
      </c>
      <c r="F3506" s="14">
        <v>1.41</v>
      </c>
      <c r="G3506">
        <v>152</v>
      </c>
      <c r="H3506" t="s">
        <v>12</v>
      </c>
      <c r="I3506" t="str">
        <f t="shared" si="54"/>
        <v>Normal Usage</v>
      </c>
    </row>
    <row r="3507" spans="1:9" x14ac:dyDescent="0.3">
      <c r="A3507">
        <v>13506</v>
      </c>
      <c r="B3507">
        <v>413</v>
      </c>
      <c r="C3507" s="2">
        <v>44956</v>
      </c>
      <c r="D3507" s="2" t="str">
        <f>TEXT(Table3[[#This Row],[usage_date]],"mmmm")</f>
        <v>January</v>
      </c>
      <c r="E3507" s="9">
        <f>YEAR(Table3[[#This Row],[usage_date]])</f>
        <v>2023</v>
      </c>
      <c r="F3507" s="14">
        <v>4.13</v>
      </c>
      <c r="G3507">
        <v>27</v>
      </c>
      <c r="H3507" t="s">
        <v>12</v>
      </c>
      <c r="I3507" t="str">
        <f t="shared" si="54"/>
        <v>Normal Usage</v>
      </c>
    </row>
    <row r="3508" spans="1:9" x14ac:dyDescent="0.3">
      <c r="A3508">
        <v>13507</v>
      </c>
      <c r="B3508">
        <v>455</v>
      </c>
      <c r="C3508" s="2">
        <v>44626</v>
      </c>
      <c r="D3508" s="2" t="str">
        <f>TEXT(Table3[[#This Row],[usage_date]],"mmmm")</f>
        <v>March</v>
      </c>
      <c r="E3508" s="9">
        <f>YEAR(Table3[[#This Row],[usage_date]])</f>
        <v>2022</v>
      </c>
      <c r="F3508" s="14">
        <v>0.76</v>
      </c>
      <c r="G3508">
        <v>76</v>
      </c>
      <c r="H3508" t="s">
        <v>12</v>
      </c>
      <c r="I3508" t="str">
        <f t="shared" si="54"/>
        <v>Normal Usage</v>
      </c>
    </row>
    <row r="3509" spans="1:9" x14ac:dyDescent="0.3">
      <c r="A3509">
        <v>13508</v>
      </c>
      <c r="B3509">
        <v>104</v>
      </c>
      <c r="C3509" s="2">
        <v>44851</v>
      </c>
      <c r="D3509" s="2" t="str">
        <f>TEXT(Table3[[#This Row],[usage_date]],"mmmm")</f>
        <v>October</v>
      </c>
      <c r="E3509" s="9">
        <f>YEAR(Table3[[#This Row],[usage_date]])</f>
        <v>2022</v>
      </c>
      <c r="F3509" s="14">
        <v>0.01</v>
      </c>
      <c r="G3509">
        <v>174</v>
      </c>
      <c r="H3509" t="s">
        <v>12</v>
      </c>
      <c r="I3509" t="str">
        <f t="shared" si="54"/>
        <v>Normal Usage</v>
      </c>
    </row>
    <row r="3510" spans="1:9" x14ac:dyDescent="0.3">
      <c r="A3510">
        <v>13509</v>
      </c>
      <c r="B3510">
        <v>77</v>
      </c>
      <c r="C3510" s="2">
        <v>44937</v>
      </c>
      <c r="D3510" s="2" t="str">
        <f>TEXT(Table3[[#This Row],[usage_date]],"mmmm")</f>
        <v>January</v>
      </c>
      <c r="E3510" s="9">
        <f>YEAR(Table3[[#This Row],[usage_date]])</f>
        <v>2023</v>
      </c>
      <c r="F3510" s="14">
        <v>1.71</v>
      </c>
      <c r="G3510">
        <v>48</v>
      </c>
      <c r="H3510" t="s">
        <v>12</v>
      </c>
      <c r="I3510" t="str">
        <f t="shared" si="54"/>
        <v>Normal Usage</v>
      </c>
    </row>
    <row r="3511" spans="1:9" x14ac:dyDescent="0.3">
      <c r="A3511">
        <v>13510</v>
      </c>
      <c r="B3511">
        <v>230</v>
      </c>
      <c r="C3511" s="2">
        <v>45330</v>
      </c>
      <c r="D3511" s="2" t="str">
        <f>TEXT(Table3[[#This Row],[usage_date]],"mmmm")</f>
        <v>February</v>
      </c>
      <c r="E3511" s="9">
        <f>YEAR(Table3[[#This Row],[usage_date]])</f>
        <v>2024</v>
      </c>
      <c r="F3511" s="14">
        <v>0.26</v>
      </c>
      <c r="G3511">
        <v>273</v>
      </c>
      <c r="H3511" t="s">
        <v>12</v>
      </c>
      <c r="I3511" t="str">
        <f t="shared" si="54"/>
        <v>Normal Usage</v>
      </c>
    </row>
    <row r="3512" spans="1:9" x14ac:dyDescent="0.3">
      <c r="A3512">
        <v>13511</v>
      </c>
      <c r="B3512">
        <v>402</v>
      </c>
      <c r="C3512" s="2">
        <v>45028</v>
      </c>
      <c r="D3512" s="2" t="str">
        <f>TEXT(Table3[[#This Row],[usage_date]],"mmmm")</f>
        <v>April</v>
      </c>
      <c r="E3512" s="9">
        <f>YEAR(Table3[[#This Row],[usage_date]])</f>
        <v>2023</v>
      </c>
      <c r="F3512" s="14">
        <v>3.51</v>
      </c>
      <c r="G3512">
        <v>26</v>
      </c>
      <c r="H3512" t="s">
        <v>12</v>
      </c>
      <c r="I3512" t="str">
        <f t="shared" si="54"/>
        <v>Normal Usage</v>
      </c>
    </row>
    <row r="3513" spans="1:9" x14ac:dyDescent="0.3">
      <c r="A3513">
        <v>13512</v>
      </c>
      <c r="B3513">
        <v>258</v>
      </c>
      <c r="C3513" s="2">
        <v>45459</v>
      </c>
      <c r="D3513" s="2" t="str">
        <f>TEXT(Table3[[#This Row],[usage_date]],"mmmm")</f>
        <v>June</v>
      </c>
      <c r="E3513" s="9">
        <f>YEAR(Table3[[#This Row],[usage_date]])</f>
        <v>2024</v>
      </c>
      <c r="F3513" s="14">
        <v>0.81</v>
      </c>
      <c r="G3513">
        <v>220</v>
      </c>
      <c r="H3513" t="s">
        <v>13</v>
      </c>
      <c r="I3513" t="str">
        <f t="shared" si="54"/>
        <v>Normal Usage</v>
      </c>
    </row>
    <row r="3514" spans="1:9" x14ac:dyDescent="0.3">
      <c r="A3514">
        <v>13513</v>
      </c>
      <c r="B3514">
        <v>264</v>
      </c>
      <c r="C3514" s="2">
        <v>44774</v>
      </c>
      <c r="D3514" s="2" t="str">
        <f>TEXT(Table3[[#This Row],[usage_date]],"mmmm")</f>
        <v>August</v>
      </c>
      <c r="E3514" s="9">
        <f>YEAR(Table3[[#This Row],[usage_date]])</f>
        <v>2022</v>
      </c>
      <c r="F3514" s="14">
        <v>1.47</v>
      </c>
      <c r="G3514">
        <v>121</v>
      </c>
      <c r="H3514" t="s">
        <v>13</v>
      </c>
      <c r="I3514" t="str">
        <f t="shared" si="54"/>
        <v>Normal Usage</v>
      </c>
    </row>
    <row r="3515" spans="1:9" x14ac:dyDescent="0.3">
      <c r="A3515">
        <v>13514</v>
      </c>
      <c r="B3515">
        <v>331</v>
      </c>
      <c r="C3515" s="2">
        <v>44709</v>
      </c>
      <c r="D3515" s="2" t="str">
        <f>TEXT(Table3[[#This Row],[usage_date]],"mmmm")</f>
        <v>May</v>
      </c>
      <c r="E3515" s="9">
        <f>YEAR(Table3[[#This Row],[usage_date]])</f>
        <v>2022</v>
      </c>
      <c r="F3515" s="14">
        <v>0.23</v>
      </c>
      <c r="G3515">
        <v>68</v>
      </c>
      <c r="H3515" t="s">
        <v>12</v>
      </c>
      <c r="I3515" t="str">
        <f t="shared" si="54"/>
        <v>Normal Usage</v>
      </c>
    </row>
    <row r="3516" spans="1:9" x14ac:dyDescent="0.3">
      <c r="A3516">
        <v>13515</v>
      </c>
      <c r="B3516">
        <v>481</v>
      </c>
      <c r="C3516" s="2">
        <v>45134</v>
      </c>
      <c r="D3516" s="2" t="str">
        <f>TEXT(Table3[[#This Row],[usage_date]],"mmmm")</f>
        <v>July</v>
      </c>
      <c r="E3516" s="9">
        <f>YEAR(Table3[[#This Row],[usage_date]])</f>
        <v>2023</v>
      </c>
      <c r="F3516" s="14">
        <v>0.84</v>
      </c>
      <c r="G3516">
        <v>70</v>
      </c>
      <c r="H3516" t="s">
        <v>12</v>
      </c>
      <c r="I3516" t="str">
        <f t="shared" si="54"/>
        <v>Normal Usage</v>
      </c>
    </row>
    <row r="3517" spans="1:9" x14ac:dyDescent="0.3">
      <c r="A3517">
        <v>13516</v>
      </c>
      <c r="B3517">
        <v>182</v>
      </c>
      <c r="C3517" s="2">
        <v>45032</v>
      </c>
      <c r="D3517" s="2" t="str">
        <f>TEXT(Table3[[#This Row],[usage_date]],"mmmm")</f>
        <v>April</v>
      </c>
      <c r="E3517" s="9">
        <f>YEAR(Table3[[#This Row],[usage_date]])</f>
        <v>2023</v>
      </c>
      <c r="F3517" s="14">
        <v>3.8</v>
      </c>
      <c r="G3517">
        <v>149</v>
      </c>
      <c r="H3517" t="s">
        <v>12</v>
      </c>
      <c r="I3517" t="str">
        <f t="shared" si="54"/>
        <v>Normal Usage</v>
      </c>
    </row>
    <row r="3518" spans="1:9" x14ac:dyDescent="0.3">
      <c r="A3518">
        <v>13517</v>
      </c>
      <c r="B3518">
        <v>381</v>
      </c>
      <c r="C3518" s="2">
        <v>44710</v>
      </c>
      <c r="D3518" s="2" t="str">
        <f>TEXT(Table3[[#This Row],[usage_date]],"mmmm")</f>
        <v>May</v>
      </c>
      <c r="E3518" s="9">
        <f>YEAR(Table3[[#This Row],[usage_date]])</f>
        <v>2022</v>
      </c>
      <c r="F3518" s="14">
        <v>0.41</v>
      </c>
      <c r="G3518">
        <v>186</v>
      </c>
      <c r="H3518" t="s">
        <v>12</v>
      </c>
      <c r="I3518" t="str">
        <f t="shared" si="54"/>
        <v>Normal Usage</v>
      </c>
    </row>
    <row r="3519" spans="1:9" x14ac:dyDescent="0.3">
      <c r="A3519">
        <v>13518</v>
      </c>
      <c r="B3519">
        <v>256</v>
      </c>
      <c r="C3519" s="2">
        <v>44649</v>
      </c>
      <c r="D3519" s="2" t="str">
        <f>TEXT(Table3[[#This Row],[usage_date]],"mmmm")</f>
        <v>March</v>
      </c>
      <c r="E3519" s="9">
        <f>YEAR(Table3[[#This Row],[usage_date]])</f>
        <v>2022</v>
      </c>
      <c r="F3519" s="14">
        <v>2.6</v>
      </c>
      <c r="G3519">
        <v>245</v>
      </c>
      <c r="H3519" t="s">
        <v>12</v>
      </c>
      <c r="I3519" t="str">
        <f t="shared" si="54"/>
        <v>Normal Usage</v>
      </c>
    </row>
    <row r="3520" spans="1:9" x14ac:dyDescent="0.3">
      <c r="A3520">
        <v>13519</v>
      </c>
      <c r="B3520">
        <v>38</v>
      </c>
      <c r="C3520" s="2">
        <v>44885</v>
      </c>
      <c r="D3520" s="2" t="str">
        <f>TEXT(Table3[[#This Row],[usage_date]],"mmmm")</f>
        <v>November</v>
      </c>
      <c r="E3520" s="9">
        <f>YEAR(Table3[[#This Row],[usage_date]])</f>
        <v>2022</v>
      </c>
      <c r="F3520" s="14">
        <v>6.24</v>
      </c>
      <c r="G3520">
        <v>195</v>
      </c>
      <c r="H3520" t="s">
        <v>12</v>
      </c>
      <c r="I3520" t="str">
        <f t="shared" si="54"/>
        <v>High Usage</v>
      </c>
    </row>
    <row r="3521" spans="1:9" x14ac:dyDescent="0.3">
      <c r="A3521">
        <v>13520</v>
      </c>
      <c r="B3521">
        <v>176</v>
      </c>
      <c r="C3521" s="2">
        <v>45456</v>
      </c>
      <c r="D3521" s="2" t="str">
        <f>TEXT(Table3[[#This Row],[usage_date]],"mmmm")</f>
        <v>June</v>
      </c>
      <c r="E3521" s="9">
        <f>YEAR(Table3[[#This Row],[usage_date]])</f>
        <v>2024</v>
      </c>
      <c r="F3521" s="14">
        <v>2.85</v>
      </c>
      <c r="G3521">
        <v>31</v>
      </c>
      <c r="H3521" t="s">
        <v>12</v>
      </c>
      <c r="I3521" t="str">
        <f t="shared" si="54"/>
        <v>Normal Usage</v>
      </c>
    </row>
    <row r="3522" spans="1:9" x14ac:dyDescent="0.3">
      <c r="A3522">
        <v>13521</v>
      </c>
      <c r="B3522">
        <v>27</v>
      </c>
      <c r="C3522" s="2">
        <v>44957</v>
      </c>
      <c r="D3522" s="2" t="str">
        <f>TEXT(Table3[[#This Row],[usage_date]],"mmmm")</f>
        <v>January</v>
      </c>
      <c r="E3522" s="9">
        <f>YEAR(Table3[[#This Row],[usage_date]])</f>
        <v>2023</v>
      </c>
      <c r="F3522" s="14">
        <v>4.17</v>
      </c>
      <c r="G3522">
        <v>108</v>
      </c>
      <c r="H3522" t="s">
        <v>12</v>
      </c>
      <c r="I3522" t="str">
        <f t="shared" ref="I3522:I3585" si="55">IF(F3522&gt;6,"High Usage","Normal Usage")</f>
        <v>Normal Usage</v>
      </c>
    </row>
    <row r="3523" spans="1:9" x14ac:dyDescent="0.3">
      <c r="A3523">
        <v>13522</v>
      </c>
      <c r="B3523">
        <v>276</v>
      </c>
      <c r="C3523" s="2">
        <v>45351</v>
      </c>
      <c r="D3523" s="2" t="str">
        <f>TEXT(Table3[[#This Row],[usage_date]],"mmmm")</f>
        <v>February</v>
      </c>
      <c r="E3523" s="9">
        <f>YEAR(Table3[[#This Row],[usage_date]])</f>
        <v>2024</v>
      </c>
      <c r="F3523" s="14">
        <v>0.28999999999999998</v>
      </c>
      <c r="G3523">
        <v>0</v>
      </c>
      <c r="H3523" t="s">
        <v>12</v>
      </c>
      <c r="I3523" t="str">
        <f t="shared" si="55"/>
        <v>Normal Usage</v>
      </c>
    </row>
    <row r="3524" spans="1:9" x14ac:dyDescent="0.3">
      <c r="A3524">
        <v>13523</v>
      </c>
      <c r="B3524">
        <v>140</v>
      </c>
      <c r="C3524" s="2">
        <v>44965</v>
      </c>
      <c r="D3524" s="2" t="str">
        <f>TEXT(Table3[[#This Row],[usage_date]],"mmmm")</f>
        <v>February</v>
      </c>
      <c r="E3524" s="9">
        <f>YEAR(Table3[[#This Row],[usage_date]])</f>
        <v>2023</v>
      </c>
      <c r="F3524" s="14">
        <v>0.72</v>
      </c>
      <c r="G3524">
        <v>181</v>
      </c>
      <c r="H3524" t="s">
        <v>12</v>
      </c>
      <c r="I3524" t="str">
        <f t="shared" si="55"/>
        <v>Normal Usage</v>
      </c>
    </row>
    <row r="3525" spans="1:9" x14ac:dyDescent="0.3">
      <c r="A3525">
        <v>13524</v>
      </c>
      <c r="B3525">
        <v>299</v>
      </c>
      <c r="C3525" s="2">
        <v>44643</v>
      </c>
      <c r="D3525" s="2" t="str">
        <f>TEXT(Table3[[#This Row],[usage_date]],"mmmm")</f>
        <v>March</v>
      </c>
      <c r="E3525" s="9">
        <f>YEAR(Table3[[#This Row],[usage_date]])</f>
        <v>2022</v>
      </c>
      <c r="F3525" s="14">
        <v>5.62</v>
      </c>
      <c r="G3525">
        <v>173</v>
      </c>
      <c r="H3525" t="s">
        <v>13</v>
      </c>
      <c r="I3525" t="str">
        <f t="shared" si="55"/>
        <v>Normal Usage</v>
      </c>
    </row>
    <row r="3526" spans="1:9" x14ac:dyDescent="0.3">
      <c r="A3526">
        <v>13525</v>
      </c>
      <c r="B3526">
        <v>445</v>
      </c>
      <c r="C3526" s="2">
        <v>45202</v>
      </c>
      <c r="D3526" s="2" t="str">
        <f>TEXT(Table3[[#This Row],[usage_date]],"mmmm")</f>
        <v>October</v>
      </c>
      <c r="E3526" s="9">
        <f>YEAR(Table3[[#This Row],[usage_date]])</f>
        <v>2023</v>
      </c>
      <c r="F3526" s="14">
        <v>3.14</v>
      </c>
      <c r="G3526">
        <v>168</v>
      </c>
      <c r="H3526" t="s">
        <v>13</v>
      </c>
      <c r="I3526" t="str">
        <f t="shared" si="55"/>
        <v>Normal Usage</v>
      </c>
    </row>
    <row r="3527" spans="1:9" x14ac:dyDescent="0.3">
      <c r="A3527">
        <v>13526</v>
      </c>
      <c r="B3527">
        <v>287</v>
      </c>
      <c r="C3527" s="2">
        <v>44847</v>
      </c>
      <c r="D3527" s="2" t="str">
        <f>TEXT(Table3[[#This Row],[usage_date]],"mmmm")</f>
        <v>October</v>
      </c>
      <c r="E3527" s="9">
        <f>YEAR(Table3[[#This Row],[usage_date]])</f>
        <v>2022</v>
      </c>
      <c r="F3527" s="14">
        <v>2.5499999999999998</v>
      </c>
      <c r="G3527">
        <v>247</v>
      </c>
      <c r="H3527" t="s">
        <v>12</v>
      </c>
      <c r="I3527" t="str">
        <f t="shared" si="55"/>
        <v>Normal Usage</v>
      </c>
    </row>
    <row r="3528" spans="1:9" x14ac:dyDescent="0.3">
      <c r="A3528">
        <v>13527</v>
      </c>
      <c r="B3528">
        <v>91</v>
      </c>
      <c r="C3528" s="2">
        <v>44943</v>
      </c>
      <c r="D3528" s="2" t="str">
        <f>TEXT(Table3[[#This Row],[usage_date]],"mmmm")</f>
        <v>January</v>
      </c>
      <c r="E3528" s="9">
        <f>YEAR(Table3[[#This Row],[usage_date]])</f>
        <v>2023</v>
      </c>
      <c r="F3528" s="14">
        <v>2.72</v>
      </c>
      <c r="G3528">
        <v>107</v>
      </c>
      <c r="H3528" t="s">
        <v>12</v>
      </c>
      <c r="I3528" t="str">
        <f t="shared" si="55"/>
        <v>Normal Usage</v>
      </c>
    </row>
    <row r="3529" spans="1:9" x14ac:dyDescent="0.3">
      <c r="A3529">
        <v>13528</v>
      </c>
      <c r="B3529">
        <v>480</v>
      </c>
      <c r="C3529" s="2">
        <v>45426</v>
      </c>
      <c r="D3529" s="2" t="str">
        <f>TEXT(Table3[[#This Row],[usage_date]],"mmmm")</f>
        <v>May</v>
      </c>
      <c r="E3529" s="9">
        <f>YEAR(Table3[[#This Row],[usage_date]])</f>
        <v>2024</v>
      </c>
      <c r="F3529" s="14">
        <v>1.34</v>
      </c>
      <c r="G3529">
        <v>296</v>
      </c>
      <c r="H3529" t="s">
        <v>12</v>
      </c>
      <c r="I3529" t="str">
        <f t="shared" si="55"/>
        <v>Normal Usage</v>
      </c>
    </row>
    <row r="3530" spans="1:9" x14ac:dyDescent="0.3">
      <c r="A3530">
        <v>13529</v>
      </c>
      <c r="B3530">
        <v>61</v>
      </c>
      <c r="C3530" s="2">
        <v>45353</v>
      </c>
      <c r="D3530" s="2" t="str">
        <f>TEXT(Table3[[#This Row],[usage_date]],"mmmm")</f>
        <v>March</v>
      </c>
      <c r="E3530" s="9">
        <f>YEAR(Table3[[#This Row],[usage_date]])</f>
        <v>2024</v>
      </c>
      <c r="F3530" s="14">
        <v>0.11</v>
      </c>
      <c r="G3530">
        <v>263</v>
      </c>
      <c r="H3530" t="s">
        <v>12</v>
      </c>
      <c r="I3530" t="str">
        <f t="shared" si="55"/>
        <v>Normal Usage</v>
      </c>
    </row>
    <row r="3531" spans="1:9" x14ac:dyDescent="0.3">
      <c r="A3531">
        <v>13530</v>
      </c>
      <c r="B3531">
        <v>458</v>
      </c>
      <c r="C3531" s="2">
        <v>44831</v>
      </c>
      <c r="D3531" s="2" t="str">
        <f>TEXT(Table3[[#This Row],[usage_date]],"mmmm")</f>
        <v>September</v>
      </c>
      <c r="E3531" s="9">
        <f>YEAR(Table3[[#This Row],[usage_date]])</f>
        <v>2022</v>
      </c>
      <c r="F3531" s="14">
        <v>3.84</v>
      </c>
      <c r="G3531">
        <v>29</v>
      </c>
      <c r="H3531" t="s">
        <v>12</v>
      </c>
      <c r="I3531" t="str">
        <f t="shared" si="55"/>
        <v>Normal Usage</v>
      </c>
    </row>
    <row r="3532" spans="1:9" x14ac:dyDescent="0.3">
      <c r="A3532">
        <v>13531</v>
      </c>
      <c r="B3532">
        <v>451</v>
      </c>
      <c r="C3532" s="2">
        <v>44853</v>
      </c>
      <c r="D3532" s="2" t="str">
        <f>TEXT(Table3[[#This Row],[usage_date]],"mmmm")</f>
        <v>October</v>
      </c>
      <c r="E3532" s="9">
        <f>YEAR(Table3[[#This Row],[usage_date]])</f>
        <v>2022</v>
      </c>
      <c r="F3532" s="14">
        <v>2.84</v>
      </c>
      <c r="G3532">
        <v>224</v>
      </c>
      <c r="H3532" t="s">
        <v>12</v>
      </c>
      <c r="I3532" t="str">
        <f t="shared" si="55"/>
        <v>Normal Usage</v>
      </c>
    </row>
    <row r="3533" spans="1:9" x14ac:dyDescent="0.3">
      <c r="A3533">
        <v>13532</v>
      </c>
      <c r="B3533">
        <v>365</v>
      </c>
      <c r="C3533" s="2">
        <v>45014</v>
      </c>
      <c r="D3533" s="2" t="str">
        <f>TEXT(Table3[[#This Row],[usage_date]],"mmmm")</f>
        <v>March</v>
      </c>
      <c r="E3533" s="9">
        <f>YEAR(Table3[[#This Row],[usage_date]])</f>
        <v>2023</v>
      </c>
      <c r="F3533" s="14">
        <v>1.6</v>
      </c>
      <c r="G3533">
        <v>88</v>
      </c>
      <c r="H3533" t="s">
        <v>12</v>
      </c>
      <c r="I3533" t="str">
        <f t="shared" si="55"/>
        <v>Normal Usage</v>
      </c>
    </row>
    <row r="3534" spans="1:9" x14ac:dyDescent="0.3">
      <c r="A3534">
        <v>13533</v>
      </c>
      <c r="B3534">
        <v>347</v>
      </c>
      <c r="C3534" s="2">
        <v>45276</v>
      </c>
      <c r="D3534" s="2" t="str">
        <f>TEXT(Table3[[#This Row],[usage_date]],"mmmm")</f>
        <v>December</v>
      </c>
      <c r="E3534" s="9">
        <f>YEAR(Table3[[#This Row],[usage_date]])</f>
        <v>2023</v>
      </c>
      <c r="F3534" s="14">
        <v>5.75</v>
      </c>
      <c r="G3534">
        <v>233</v>
      </c>
      <c r="H3534" t="s">
        <v>12</v>
      </c>
      <c r="I3534" t="str">
        <f t="shared" si="55"/>
        <v>Normal Usage</v>
      </c>
    </row>
    <row r="3535" spans="1:9" x14ac:dyDescent="0.3">
      <c r="A3535">
        <v>13534</v>
      </c>
      <c r="B3535">
        <v>163</v>
      </c>
      <c r="C3535" s="2">
        <v>44585</v>
      </c>
      <c r="D3535" s="2" t="str">
        <f>TEXT(Table3[[#This Row],[usage_date]],"mmmm")</f>
        <v>January</v>
      </c>
      <c r="E3535" s="9">
        <f>YEAR(Table3[[#This Row],[usage_date]])</f>
        <v>2022</v>
      </c>
      <c r="F3535" s="14">
        <v>1.02</v>
      </c>
      <c r="G3535">
        <v>167</v>
      </c>
      <c r="H3535" t="s">
        <v>13</v>
      </c>
      <c r="I3535" t="str">
        <f t="shared" si="55"/>
        <v>Normal Usage</v>
      </c>
    </row>
    <row r="3536" spans="1:9" x14ac:dyDescent="0.3">
      <c r="A3536">
        <v>13535</v>
      </c>
      <c r="B3536">
        <v>351</v>
      </c>
      <c r="C3536" s="2">
        <v>45424</v>
      </c>
      <c r="D3536" s="2" t="str">
        <f>TEXT(Table3[[#This Row],[usage_date]],"mmmm")</f>
        <v>May</v>
      </c>
      <c r="E3536" s="9">
        <f>YEAR(Table3[[#This Row],[usage_date]])</f>
        <v>2024</v>
      </c>
      <c r="F3536" s="14">
        <v>0.87</v>
      </c>
      <c r="G3536">
        <v>230</v>
      </c>
      <c r="H3536" t="s">
        <v>12</v>
      </c>
      <c r="I3536" t="str">
        <f t="shared" si="55"/>
        <v>Normal Usage</v>
      </c>
    </row>
    <row r="3537" spans="1:9" x14ac:dyDescent="0.3">
      <c r="A3537">
        <v>13536</v>
      </c>
      <c r="B3537">
        <v>143</v>
      </c>
      <c r="C3537" s="2">
        <v>44872</v>
      </c>
      <c r="D3537" s="2" t="str">
        <f>TEXT(Table3[[#This Row],[usage_date]],"mmmm")</f>
        <v>November</v>
      </c>
      <c r="E3537" s="9">
        <f>YEAR(Table3[[#This Row],[usage_date]])</f>
        <v>2022</v>
      </c>
      <c r="F3537" s="14">
        <v>5.15</v>
      </c>
      <c r="G3537">
        <v>125</v>
      </c>
      <c r="H3537" t="s">
        <v>12</v>
      </c>
      <c r="I3537" t="str">
        <f t="shared" si="55"/>
        <v>Normal Usage</v>
      </c>
    </row>
    <row r="3538" spans="1:9" x14ac:dyDescent="0.3">
      <c r="A3538">
        <v>13537</v>
      </c>
      <c r="B3538">
        <v>400</v>
      </c>
      <c r="C3538" s="2">
        <v>45022</v>
      </c>
      <c r="D3538" s="2" t="str">
        <f>TEXT(Table3[[#This Row],[usage_date]],"mmmm")</f>
        <v>April</v>
      </c>
      <c r="E3538" s="9">
        <f>YEAR(Table3[[#This Row],[usage_date]])</f>
        <v>2023</v>
      </c>
      <c r="F3538" s="14">
        <v>3.99</v>
      </c>
      <c r="G3538">
        <v>60</v>
      </c>
      <c r="H3538" t="s">
        <v>12</v>
      </c>
      <c r="I3538" t="str">
        <f t="shared" si="55"/>
        <v>Normal Usage</v>
      </c>
    </row>
    <row r="3539" spans="1:9" x14ac:dyDescent="0.3">
      <c r="A3539">
        <v>13538</v>
      </c>
      <c r="B3539">
        <v>253</v>
      </c>
      <c r="C3539" s="2">
        <v>44769</v>
      </c>
      <c r="D3539" s="2" t="str">
        <f>TEXT(Table3[[#This Row],[usage_date]],"mmmm")</f>
        <v>July</v>
      </c>
      <c r="E3539" s="9">
        <f>YEAR(Table3[[#This Row],[usage_date]])</f>
        <v>2022</v>
      </c>
      <c r="F3539" s="14">
        <v>1.81</v>
      </c>
      <c r="G3539">
        <v>119</v>
      </c>
      <c r="H3539" t="s">
        <v>12</v>
      </c>
      <c r="I3539" t="str">
        <f t="shared" si="55"/>
        <v>Normal Usage</v>
      </c>
    </row>
    <row r="3540" spans="1:9" x14ac:dyDescent="0.3">
      <c r="A3540">
        <v>13539</v>
      </c>
      <c r="B3540">
        <v>269</v>
      </c>
      <c r="C3540" s="2">
        <v>45353</v>
      </c>
      <c r="D3540" s="2" t="str">
        <f>TEXT(Table3[[#This Row],[usage_date]],"mmmm")</f>
        <v>March</v>
      </c>
      <c r="E3540" s="9">
        <f>YEAR(Table3[[#This Row],[usage_date]])</f>
        <v>2024</v>
      </c>
      <c r="F3540" s="14">
        <v>0.35</v>
      </c>
      <c r="G3540">
        <v>189</v>
      </c>
      <c r="H3540" t="s">
        <v>13</v>
      </c>
      <c r="I3540" t="str">
        <f t="shared" si="55"/>
        <v>Normal Usage</v>
      </c>
    </row>
    <row r="3541" spans="1:9" x14ac:dyDescent="0.3">
      <c r="A3541">
        <v>13540</v>
      </c>
      <c r="B3541">
        <v>369</v>
      </c>
      <c r="C3541" s="2">
        <v>45278</v>
      </c>
      <c r="D3541" s="2" t="str">
        <f>TEXT(Table3[[#This Row],[usage_date]],"mmmm")</f>
        <v>December</v>
      </c>
      <c r="E3541" s="9">
        <f>YEAR(Table3[[#This Row],[usage_date]])</f>
        <v>2023</v>
      </c>
      <c r="F3541" s="14">
        <v>0.61</v>
      </c>
      <c r="G3541">
        <v>120</v>
      </c>
      <c r="H3541" t="s">
        <v>12</v>
      </c>
      <c r="I3541" t="str">
        <f t="shared" si="55"/>
        <v>Normal Usage</v>
      </c>
    </row>
    <row r="3542" spans="1:9" x14ac:dyDescent="0.3">
      <c r="A3542">
        <v>13541</v>
      </c>
      <c r="B3542">
        <v>291</v>
      </c>
      <c r="C3542" s="2">
        <v>45225</v>
      </c>
      <c r="D3542" s="2" t="str">
        <f>TEXT(Table3[[#This Row],[usage_date]],"mmmm")</f>
        <v>October</v>
      </c>
      <c r="E3542" s="9">
        <f>YEAR(Table3[[#This Row],[usage_date]])</f>
        <v>2023</v>
      </c>
      <c r="F3542" s="14">
        <v>2.67</v>
      </c>
      <c r="G3542">
        <v>47</v>
      </c>
      <c r="H3542" t="s">
        <v>12</v>
      </c>
      <c r="I3542" t="str">
        <f t="shared" si="55"/>
        <v>Normal Usage</v>
      </c>
    </row>
    <row r="3543" spans="1:9" x14ac:dyDescent="0.3">
      <c r="A3543">
        <v>13542</v>
      </c>
      <c r="B3543">
        <v>500</v>
      </c>
      <c r="C3543" s="2">
        <v>44999</v>
      </c>
      <c r="D3543" s="2" t="str">
        <f>TEXT(Table3[[#This Row],[usage_date]],"mmmm")</f>
        <v>March</v>
      </c>
      <c r="E3543" s="9">
        <f>YEAR(Table3[[#This Row],[usage_date]])</f>
        <v>2023</v>
      </c>
      <c r="F3543" s="14">
        <v>1.22</v>
      </c>
      <c r="G3543">
        <v>201</v>
      </c>
      <c r="H3543" t="s">
        <v>12</v>
      </c>
      <c r="I3543" t="str">
        <f t="shared" si="55"/>
        <v>Normal Usage</v>
      </c>
    </row>
    <row r="3544" spans="1:9" x14ac:dyDescent="0.3">
      <c r="A3544">
        <v>13543</v>
      </c>
      <c r="B3544">
        <v>459</v>
      </c>
      <c r="C3544" s="2">
        <v>45099</v>
      </c>
      <c r="D3544" s="2" t="str">
        <f>TEXT(Table3[[#This Row],[usage_date]],"mmmm")</f>
        <v>June</v>
      </c>
      <c r="E3544" s="9">
        <f>YEAR(Table3[[#This Row],[usage_date]])</f>
        <v>2023</v>
      </c>
      <c r="F3544" s="14">
        <v>4.53</v>
      </c>
      <c r="G3544">
        <v>58</v>
      </c>
      <c r="H3544" t="s">
        <v>12</v>
      </c>
      <c r="I3544" t="str">
        <f t="shared" si="55"/>
        <v>Normal Usage</v>
      </c>
    </row>
    <row r="3545" spans="1:9" x14ac:dyDescent="0.3">
      <c r="A3545">
        <v>13544</v>
      </c>
      <c r="B3545">
        <v>187</v>
      </c>
      <c r="C3545" s="2">
        <v>45267</v>
      </c>
      <c r="D3545" s="2" t="str">
        <f>TEXT(Table3[[#This Row],[usage_date]],"mmmm")</f>
        <v>December</v>
      </c>
      <c r="E3545" s="9">
        <f>YEAR(Table3[[#This Row],[usage_date]])</f>
        <v>2023</v>
      </c>
      <c r="F3545" s="14">
        <v>7.49</v>
      </c>
      <c r="G3545">
        <v>184</v>
      </c>
      <c r="H3545" t="s">
        <v>12</v>
      </c>
      <c r="I3545" t="str">
        <f t="shared" si="55"/>
        <v>High Usage</v>
      </c>
    </row>
    <row r="3546" spans="1:9" x14ac:dyDescent="0.3">
      <c r="A3546">
        <v>13545</v>
      </c>
      <c r="B3546">
        <v>405</v>
      </c>
      <c r="C3546" s="2">
        <v>44897</v>
      </c>
      <c r="D3546" s="2" t="str">
        <f>TEXT(Table3[[#This Row],[usage_date]],"mmmm")</f>
        <v>December</v>
      </c>
      <c r="E3546" s="9">
        <f>YEAR(Table3[[#This Row],[usage_date]])</f>
        <v>2022</v>
      </c>
      <c r="F3546" s="14">
        <v>4.0999999999999996</v>
      </c>
      <c r="G3546">
        <v>222</v>
      </c>
      <c r="H3546" t="s">
        <v>12</v>
      </c>
      <c r="I3546" t="str">
        <f t="shared" si="55"/>
        <v>Normal Usage</v>
      </c>
    </row>
    <row r="3547" spans="1:9" x14ac:dyDescent="0.3">
      <c r="A3547">
        <v>13546</v>
      </c>
      <c r="B3547">
        <v>499</v>
      </c>
      <c r="C3547" s="2">
        <v>44983</v>
      </c>
      <c r="D3547" s="2" t="str">
        <f>TEXT(Table3[[#This Row],[usage_date]],"mmmm")</f>
        <v>February</v>
      </c>
      <c r="E3547" s="9">
        <f>YEAR(Table3[[#This Row],[usage_date]])</f>
        <v>2023</v>
      </c>
      <c r="F3547" s="14">
        <v>1.19</v>
      </c>
      <c r="G3547">
        <v>10</v>
      </c>
      <c r="H3547" t="s">
        <v>13</v>
      </c>
      <c r="I3547" t="str">
        <f t="shared" si="55"/>
        <v>Normal Usage</v>
      </c>
    </row>
    <row r="3548" spans="1:9" x14ac:dyDescent="0.3">
      <c r="A3548">
        <v>13547</v>
      </c>
      <c r="B3548">
        <v>438</v>
      </c>
      <c r="C3548" s="2">
        <v>45311</v>
      </c>
      <c r="D3548" s="2" t="str">
        <f>TEXT(Table3[[#This Row],[usage_date]],"mmmm")</f>
        <v>January</v>
      </c>
      <c r="E3548" s="9">
        <f>YEAR(Table3[[#This Row],[usage_date]])</f>
        <v>2024</v>
      </c>
      <c r="F3548" s="14">
        <v>3.89</v>
      </c>
      <c r="G3548">
        <v>280</v>
      </c>
      <c r="H3548" t="s">
        <v>12</v>
      </c>
      <c r="I3548" t="str">
        <f t="shared" si="55"/>
        <v>Normal Usage</v>
      </c>
    </row>
    <row r="3549" spans="1:9" x14ac:dyDescent="0.3">
      <c r="A3549">
        <v>13548</v>
      </c>
      <c r="B3549">
        <v>459</v>
      </c>
      <c r="C3549" s="2">
        <v>44882</v>
      </c>
      <c r="D3549" s="2" t="str">
        <f>TEXT(Table3[[#This Row],[usage_date]],"mmmm")</f>
        <v>November</v>
      </c>
      <c r="E3549" s="9">
        <f>YEAR(Table3[[#This Row],[usage_date]])</f>
        <v>2022</v>
      </c>
      <c r="F3549" s="14">
        <v>1.08</v>
      </c>
      <c r="G3549">
        <v>188</v>
      </c>
      <c r="H3549" t="s">
        <v>12</v>
      </c>
      <c r="I3549" t="str">
        <f t="shared" si="55"/>
        <v>Normal Usage</v>
      </c>
    </row>
    <row r="3550" spans="1:9" x14ac:dyDescent="0.3">
      <c r="A3550">
        <v>13549</v>
      </c>
      <c r="B3550">
        <v>414</v>
      </c>
      <c r="C3550" s="2">
        <v>45058</v>
      </c>
      <c r="D3550" s="2" t="str">
        <f>TEXT(Table3[[#This Row],[usage_date]],"mmmm")</f>
        <v>May</v>
      </c>
      <c r="E3550" s="9">
        <f>YEAR(Table3[[#This Row],[usage_date]])</f>
        <v>2023</v>
      </c>
      <c r="F3550" s="14">
        <v>0.46</v>
      </c>
      <c r="G3550">
        <v>236</v>
      </c>
      <c r="H3550" t="s">
        <v>12</v>
      </c>
      <c r="I3550" t="str">
        <f t="shared" si="55"/>
        <v>Normal Usage</v>
      </c>
    </row>
    <row r="3551" spans="1:9" x14ac:dyDescent="0.3">
      <c r="A3551">
        <v>13550</v>
      </c>
      <c r="B3551">
        <v>304</v>
      </c>
      <c r="C3551" s="2">
        <v>45148</v>
      </c>
      <c r="D3551" s="2" t="str">
        <f>TEXT(Table3[[#This Row],[usage_date]],"mmmm")</f>
        <v>August</v>
      </c>
      <c r="E3551" s="9">
        <f>YEAR(Table3[[#This Row],[usage_date]])</f>
        <v>2023</v>
      </c>
      <c r="F3551" s="14">
        <v>0.08</v>
      </c>
      <c r="G3551">
        <v>33</v>
      </c>
      <c r="H3551" t="s">
        <v>13</v>
      </c>
      <c r="I3551" t="str">
        <f t="shared" si="55"/>
        <v>Normal Usage</v>
      </c>
    </row>
    <row r="3552" spans="1:9" x14ac:dyDescent="0.3">
      <c r="A3552">
        <v>13551</v>
      </c>
      <c r="B3552">
        <v>291</v>
      </c>
      <c r="C3552" s="2">
        <v>44724</v>
      </c>
      <c r="D3552" s="2" t="str">
        <f>TEXT(Table3[[#This Row],[usage_date]],"mmmm")</f>
        <v>June</v>
      </c>
      <c r="E3552" s="9">
        <f>YEAR(Table3[[#This Row],[usage_date]])</f>
        <v>2022</v>
      </c>
      <c r="F3552" s="14">
        <v>1.22</v>
      </c>
      <c r="G3552">
        <v>134</v>
      </c>
      <c r="H3552" t="s">
        <v>13</v>
      </c>
      <c r="I3552" t="str">
        <f t="shared" si="55"/>
        <v>Normal Usage</v>
      </c>
    </row>
    <row r="3553" spans="1:9" x14ac:dyDescent="0.3">
      <c r="A3553">
        <v>13552</v>
      </c>
      <c r="B3553">
        <v>86</v>
      </c>
      <c r="C3553" s="2">
        <v>45372</v>
      </c>
      <c r="D3553" s="2" t="str">
        <f>TEXT(Table3[[#This Row],[usage_date]],"mmmm")</f>
        <v>March</v>
      </c>
      <c r="E3553" s="9">
        <f>YEAR(Table3[[#This Row],[usage_date]])</f>
        <v>2024</v>
      </c>
      <c r="F3553" s="14">
        <v>5.85</v>
      </c>
      <c r="G3553">
        <v>61</v>
      </c>
      <c r="H3553" t="s">
        <v>13</v>
      </c>
      <c r="I3553" t="str">
        <f t="shared" si="55"/>
        <v>Normal Usage</v>
      </c>
    </row>
    <row r="3554" spans="1:9" x14ac:dyDescent="0.3">
      <c r="A3554">
        <v>13553</v>
      </c>
      <c r="B3554">
        <v>166</v>
      </c>
      <c r="C3554" s="2">
        <v>45102</v>
      </c>
      <c r="D3554" s="2" t="str">
        <f>TEXT(Table3[[#This Row],[usage_date]],"mmmm")</f>
        <v>June</v>
      </c>
      <c r="E3554" s="9">
        <f>YEAR(Table3[[#This Row],[usage_date]])</f>
        <v>2023</v>
      </c>
      <c r="F3554" s="14">
        <v>0.68</v>
      </c>
      <c r="G3554">
        <v>226</v>
      </c>
      <c r="H3554" t="s">
        <v>13</v>
      </c>
      <c r="I3554" t="str">
        <f t="shared" si="55"/>
        <v>Normal Usage</v>
      </c>
    </row>
    <row r="3555" spans="1:9" x14ac:dyDescent="0.3">
      <c r="A3555">
        <v>13554</v>
      </c>
      <c r="B3555">
        <v>415</v>
      </c>
      <c r="C3555" s="2">
        <v>44726</v>
      </c>
      <c r="D3555" s="2" t="str">
        <f>TEXT(Table3[[#This Row],[usage_date]],"mmmm")</f>
        <v>June</v>
      </c>
      <c r="E3555" s="9">
        <f>YEAR(Table3[[#This Row],[usage_date]])</f>
        <v>2022</v>
      </c>
      <c r="F3555" s="14">
        <v>0.57999999999999996</v>
      </c>
      <c r="G3555">
        <v>92</v>
      </c>
      <c r="H3555" t="s">
        <v>13</v>
      </c>
      <c r="I3555" t="str">
        <f t="shared" si="55"/>
        <v>Normal Usage</v>
      </c>
    </row>
    <row r="3556" spans="1:9" x14ac:dyDescent="0.3">
      <c r="A3556">
        <v>13555</v>
      </c>
      <c r="B3556">
        <v>462</v>
      </c>
      <c r="C3556" s="2">
        <v>45410</v>
      </c>
      <c r="D3556" s="2" t="str">
        <f>TEXT(Table3[[#This Row],[usage_date]],"mmmm")</f>
        <v>April</v>
      </c>
      <c r="E3556" s="9">
        <f>YEAR(Table3[[#This Row],[usage_date]])</f>
        <v>2024</v>
      </c>
      <c r="F3556" s="14">
        <v>8.75</v>
      </c>
      <c r="G3556">
        <v>115</v>
      </c>
      <c r="H3556" t="s">
        <v>12</v>
      </c>
      <c r="I3556" t="str">
        <f t="shared" si="55"/>
        <v>High Usage</v>
      </c>
    </row>
    <row r="3557" spans="1:9" x14ac:dyDescent="0.3">
      <c r="A3557">
        <v>13556</v>
      </c>
      <c r="B3557">
        <v>408</v>
      </c>
      <c r="C3557" s="2">
        <v>45259</v>
      </c>
      <c r="D3557" s="2" t="str">
        <f>TEXT(Table3[[#This Row],[usage_date]],"mmmm")</f>
        <v>November</v>
      </c>
      <c r="E3557" s="9">
        <f>YEAR(Table3[[#This Row],[usage_date]])</f>
        <v>2023</v>
      </c>
      <c r="F3557" s="14">
        <v>0.06</v>
      </c>
      <c r="G3557">
        <v>132</v>
      </c>
      <c r="H3557" t="s">
        <v>13</v>
      </c>
      <c r="I3557" t="str">
        <f t="shared" si="55"/>
        <v>Normal Usage</v>
      </c>
    </row>
    <row r="3558" spans="1:9" x14ac:dyDescent="0.3">
      <c r="A3558">
        <v>13557</v>
      </c>
      <c r="B3558">
        <v>114</v>
      </c>
      <c r="C3558" s="2">
        <v>45127</v>
      </c>
      <c r="D3558" s="2" t="str">
        <f>TEXT(Table3[[#This Row],[usage_date]],"mmmm")</f>
        <v>July</v>
      </c>
      <c r="E3558" s="9">
        <f>YEAR(Table3[[#This Row],[usage_date]])</f>
        <v>2023</v>
      </c>
      <c r="F3558" s="14">
        <v>3.85</v>
      </c>
      <c r="G3558">
        <v>292</v>
      </c>
      <c r="H3558" t="s">
        <v>13</v>
      </c>
      <c r="I3558" t="str">
        <f t="shared" si="55"/>
        <v>Normal Usage</v>
      </c>
    </row>
    <row r="3559" spans="1:9" x14ac:dyDescent="0.3">
      <c r="A3559">
        <v>13558</v>
      </c>
      <c r="B3559">
        <v>433</v>
      </c>
      <c r="C3559" s="2">
        <v>44856</v>
      </c>
      <c r="D3559" s="2" t="str">
        <f>TEXT(Table3[[#This Row],[usage_date]],"mmmm")</f>
        <v>October</v>
      </c>
      <c r="E3559" s="9">
        <f>YEAR(Table3[[#This Row],[usage_date]])</f>
        <v>2022</v>
      </c>
      <c r="F3559" s="14">
        <v>0.97</v>
      </c>
      <c r="G3559">
        <v>192</v>
      </c>
      <c r="H3559" t="s">
        <v>12</v>
      </c>
      <c r="I3559" t="str">
        <f t="shared" si="55"/>
        <v>Normal Usage</v>
      </c>
    </row>
    <row r="3560" spans="1:9" x14ac:dyDescent="0.3">
      <c r="A3560">
        <v>13559</v>
      </c>
      <c r="B3560">
        <v>480</v>
      </c>
      <c r="C3560" s="2">
        <v>44603</v>
      </c>
      <c r="D3560" s="2" t="str">
        <f>TEXT(Table3[[#This Row],[usage_date]],"mmmm")</f>
        <v>February</v>
      </c>
      <c r="E3560" s="9">
        <f>YEAR(Table3[[#This Row],[usage_date]])</f>
        <v>2022</v>
      </c>
      <c r="F3560" s="14">
        <v>0.1</v>
      </c>
      <c r="G3560">
        <v>29</v>
      </c>
      <c r="H3560" t="s">
        <v>12</v>
      </c>
      <c r="I3560" t="str">
        <f t="shared" si="55"/>
        <v>Normal Usage</v>
      </c>
    </row>
    <row r="3561" spans="1:9" x14ac:dyDescent="0.3">
      <c r="A3561">
        <v>13560</v>
      </c>
      <c r="B3561">
        <v>356</v>
      </c>
      <c r="C3561" s="2">
        <v>44846</v>
      </c>
      <c r="D3561" s="2" t="str">
        <f>TEXT(Table3[[#This Row],[usage_date]],"mmmm")</f>
        <v>October</v>
      </c>
      <c r="E3561" s="9">
        <f>YEAR(Table3[[#This Row],[usage_date]])</f>
        <v>2022</v>
      </c>
      <c r="F3561" s="14">
        <v>6.25</v>
      </c>
      <c r="G3561">
        <v>297</v>
      </c>
      <c r="H3561" t="s">
        <v>13</v>
      </c>
      <c r="I3561" t="str">
        <f t="shared" si="55"/>
        <v>High Usage</v>
      </c>
    </row>
    <row r="3562" spans="1:9" x14ac:dyDescent="0.3">
      <c r="A3562">
        <v>13561</v>
      </c>
      <c r="B3562">
        <v>416</v>
      </c>
      <c r="C3562" s="2">
        <v>44948</v>
      </c>
      <c r="D3562" s="2" t="str">
        <f>TEXT(Table3[[#This Row],[usage_date]],"mmmm")</f>
        <v>January</v>
      </c>
      <c r="E3562" s="9">
        <f>YEAR(Table3[[#This Row],[usage_date]])</f>
        <v>2023</v>
      </c>
      <c r="F3562" s="14">
        <v>0.38</v>
      </c>
      <c r="G3562">
        <v>60</v>
      </c>
      <c r="H3562" t="s">
        <v>13</v>
      </c>
      <c r="I3562" t="str">
        <f t="shared" si="55"/>
        <v>Normal Usage</v>
      </c>
    </row>
    <row r="3563" spans="1:9" x14ac:dyDescent="0.3">
      <c r="A3563">
        <v>13562</v>
      </c>
      <c r="B3563">
        <v>183</v>
      </c>
      <c r="C3563" s="2">
        <v>44699</v>
      </c>
      <c r="D3563" s="2" t="str">
        <f>TEXT(Table3[[#This Row],[usage_date]],"mmmm")</f>
        <v>May</v>
      </c>
      <c r="E3563" s="9">
        <f>YEAR(Table3[[#This Row],[usage_date]])</f>
        <v>2022</v>
      </c>
      <c r="F3563" s="14">
        <v>2.0099999999999998</v>
      </c>
      <c r="G3563">
        <v>27</v>
      </c>
      <c r="H3563" t="s">
        <v>13</v>
      </c>
      <c r="I3563" t="str">
        <f t="shared" si="55"/>
        <v>Normal Usage</v>
      </c>
    </row>
    <row r="3564" spans="1:9" x14ac:dyDescent="0.3">
      <c r="A3564">
        <v>13563</v>
      </c>
      <c r="B3564">
        <v>207</v>
      </c>
      <c r="C3564" s="2">
        <v>44748</v>
      </c>
      <c r="D3564" s="2" t="str">
        <f>TEXT(Table3[[#This Row],[usage_date]],"mmmm")</f>
        <v>July</v>
      </c>
      <c r="E3564" s="9">
        <f>YEAR(Table3[[#This Row],[usage_date]])</f>
        <v>2022</v>
      </c>
      <c r="F3564" s="14">
        <v>0.8</v>
      </c>
      <c r="G3564">
        <v>76</v>
      </c>
      <c r="H3564" t="s">
        <v>13</v>
      </c>
      <c r="I3564" t="str">
        <f t="shared" si="55"/>
        <v>Normal Usage</v>
      </c>
    </row>
    <row r="3565" spans="1:9" x14ac:dyDescent="0.3">
      <c r="A3565">
        <v>13564</v>
      </c>
      <c r="B3565">
        <v>256</v>
      </c>
      <c r="C3565" s="2">
        <v>45277</v>
      </c>
      <c r="D3565" s="2" t="str">
        <f>TEXT(Table3[[#This Row],[usage_date]],"mmmm")</f>
        <v>December</v>
      </c>
      <c r="E3565" s="9">
        <f>YEAR(Table3[[#This Row],[usage_date]])</f>
        <v>2023</v>
      </c>
      <c r="F3565" s="14">
        <v>0.17</v>
      </c>
      <c r="G3565">
        <v>120</v>
      </c>
      <c r="H3565" t="s">
        <v>13</v>
      </c>
      <c r="I3565" t="str">
        <f t="shared" si="55"/>
        <v>Normal Usage</v>
      </c>
    </row>
    <row r="3566" spans="1:9" x14ac:dyDescent="0.3">
      <c r="A3566">
        <v>13565</v>
      </c>
      <c r="B3566">
        <v>235</v>
      </c>
      <c r="C3566" s="2">
        <v>44992</v>
      </c>
      <c r="D3566" s="2" t="str">
        <f>TEXT(Table3[[#This Row],[usage_date]],"mmmm")</f>
        <v>March</v>
      </c>
      <c r="E3566" s="9">
        <f>YEAR(Table3[[#This Row],[usage_date]])</f>
        <v>2023</v>
      </c>
      <c r="F3566" s="14">
        <v>0.13</v>
      </c>
      <c r="G3566">
        <v>2</v>
      </c>
      <c r="H3566" t="s">
        <v>12</v>
      </c>
      <c r="I3566" t="str">
        <f t="shared" si="55"/>
        <v>Normal Usage</v>
      </c>
    </row>
    <row r="3567" spans="1:9" x14ac:dyDescent="0.3">
      <c r="A3567">
        <v>13566</v>
      </c>
      <c r="B3567">
        <v>442</v>
      </c>
      <c r="C3567" s="2">
        <v>45115</v>
      </c>
      <c r="D3567" s="2" t="str">
        <f>TEXT(Table3[[#This Row],[usage_date]],"mmmm")</f>
        <v>July</v>
      </c>
      <c r="E3567" s="9">
        <f>YEAR(Table3[[#This Row],[usage_date]])</f>
        <v>2023</v>
      </c>
      <c r="F3567" s="14">
        <v>0.31</v>
      </c>
      <c r="G3567">
        <v>36</v>
      </c>
      <c r="H3567" t="s">
        <v>12</v>
      </c>
      <c r="I3567" t="str">
        <f t="shared" si="55"/>
        <v>Normal Usage</v>
      </c>
    </row>
    <row r="3568" spans="1:9" x14ac:dyDescent="0.3">
      <c r="A3568">
        <v>13567</v>
      </c>
      <c r="B3568">
        <v>355</v>
      </c>
      <c r="C3568" s="2">
        <v>45423</v>
      </c>
      <c r="D3568" s="2" t="str">
        <f>TEXT(Table3[[#This Row],[usage_date]],"mmmm")</f>
        <v>May</v>
      </c>
      <c r="E3568" s="9">
        <f>YEAR(Table3[[#This Row],[usage_date]])</f>
        <v>2024</v>
      </c>
      <c r="F3568" s="14">
        <v>0.19</v>
      </c>
      <c r="G3568">
        <v>146</v>
      </c>
      <c r="H3568" t="s">
        <v>12</v>
      </c>
      <c r="I3568" t="str">
        <f t="shared" si="55"/>
        <v>Normal Usage</v>
      </c>
    </row>
    <row r="3569" spans="1:9" x14ac:dyDescent="0.3">
      <c r="A3569">
        <v>13568</v>
      </c>
      <c r="B3569">
        <v>3</v>
      </c>
      <c r="C3569" s="2">
        <v>44977</v>
      </c>
      <c r="D3569" s="2" t="str">
        <f>TEXT(Table3[[#This Row],[usage_date]],"mmmm")</f>
        <v>February</v>
      </c>
      <c r="E3569" s="9">
        <f>YEAR(Table3[[#This Row],[usage_date]])</f>
        <v>2023</v>
      </c>
      <c r="F3569" s="14">
        <v>3.57</v>
      </c>
      <c r="G3569">
        <v>91</v>
      </c>
      <c r="H3569" t="s">
        <v>12</v>
      </c>
      <c r="I3569" t="str">
        <f t="shared" si="55"/>
        <v>Normal Usage</v>
      </c>
    </row>
    <row r="3570" spans="1:9" x14ac:dyDescent="0.3">
      <c r="A3570">
        <v>13569</v>
      </c>
      <c r="B3570">
        <v>208</v>
      </c>
      <c r="C3570" s="2">
        <v>45361</v>
      </c>
      <c r="D3570" s="2" t="str">
        <f>TEXT(Table3[[#This Row],[usage_date]],"mmmm")</f>
        <v>March</v>
      </c>
      <c r="E3570" s="9">
        <f>YEAR(Table3[[#This Row],[usage_date]])</f>
        <v>2024</v>
      </c>
      <c r="F3570" s="14">
        <v>1.66</v>
      </c>
      <c r="G3570">
        <v>272</v>
      </c>
      <c r="H3570" t="s">
        <v>12</v>
      </c>
      <c r="I3570" t="str">
        <f t="shared" si="55"/>
        <v>Normal Usage</v>
      </c>
    </row>
    <row r="3571" spans="1:9" x14ac:dyDescent="0.3">
      <c r="A3571">
        <v>13570</v>
      </c>
      <c r="B3571">
        <v>197</v>
      </c>
      <c r="C3571" s="2">
        <v>44987</v>
      </c>
      <c r="D3571" s="2" t="str">
        <f>TEXT(Table3[[#This Row],[usage_date]],"mmmm")</f>
        <v>March</v>
      </c>
      <c r="E3571" s="9">
        <f>YEAR(Table3[[#This Row],[usage_date]])</f>
        <v>2023</v>
      </c>
      <c r="F3571" s="14">
        <v>1.05</v>
      </c>
      <c r="G3571">
        <v>86</v>
      </c>
      <c r="H3571" t="s">
        <v>12</v>
      </c>
      <c r="I3571" t="str">
        <f t="shared" si="55"/>
        <v>Normal Usage</v>
      </c>
    </row>
    <row r="3572" spans="1:9" x14ac:dyDescent="0.3">
      <c r="A3572">
        <v>13571</v>
      </c>
      <c r="B3572">
        <v>341</v>
      </c>
      <c r="C3572" s="2">
        <v>44977</v>
      </c>
      <c r="D3572" s="2" t="str">
        <f>TEXT(Table3[[#This Row],[usage_date]],"mmmm")</f>
        <v>February</v>
      </c>
      <c r="E3572" s="9">
        <f>YEAR(Table3[[#This Row],[usage_date]])</f>
        <v>2023</v>
      </c>
      <c r="F3572" s="14">
        <v>1.35</v>
      </c>
      <c r="G3572">
        <v>39</v>
      </c>
      <c r="H3572" t="s">
        <v>12</v>
      </c>
      <c r="I3572" t="str">
        <f t="shared" si="55"/>
        <v>Normal Usage</v>
      </c>
    </row>
    <row r="3573" spans="1:9" x14ac:dyDescent="0.3">
      <c r="A3573">
        <v>13572</v>
      </c>
      <c r="B3573">
        <v>125</v>
      </c>
      <c r="C3573" s="2">
        <v>44587</v>
      </c>
      <c r="D3573" s="2" t="str">
        <f>TEXT(Table3[[#This Row],[usage_date]],"mmmm")</f>
        <v>January</v>
      </c>
      <c r="E3573" s="9">
        <f>YEAR(Table3[[#This Row],[usage_date]])</f>
        <v>2022</v>
      </c>
      <c r="F3573" s="14">
        <v>6.61</v>
      </c>
      <c r="G3573">
        <v>177</v>
      </c>
      <c r="H3573" t="s">
        <v>13</v>
      </c>
      <c r="I3573" t="str">
        <f t="shared" si="55"/>
        <v>High Usage</v>
      </c>
    </row>
    <row r="3574" spans="1:9" x14ac:dyDescent="0.3">
      <c r="A3574">
        <v>13573</v>
      </c>
      <c r="B3574">
        <v>138</v>
      </c>
      <c r="C3574" s="2">
        <v>44932</v>
      </c>
      <c r="D3574" s="2" t="str">
        <f>TEXT(Table3[[#This Row],[usage_date]],"mmmm")</f>
        <v>January</v>
      </c>
      <c r="E3574" s="9">
        <f>YEAR(Table3[[#This Row],[usage_date]])</f>
        <v>2023</v>
      </c>
      <c r="F3574" s="14">
        <v>6.04</v>
      </c>
      <c r="G3574">
        <v>284</v>
      </c>
      <c r="H3574" t="s">
        <v>12</v>
      </c>
      <c r="I3574" t="str">
        <f t="shared" si="55"/>
        <v>High Usage</v>
      </c>
    </row>
    <row r="3575" spans="1:9" x14ac:dyDescent="0.3">
      <c r="A3575">
        <v>13574</v>
      </c>
      <c r="B3575">
        <v>339</v>
      </c>
      <c r="C3575" s="2">
        <v>44946</v>
      </c>
      <c r="D3575" s="2" t="str">
        <f>TEXT(Table3[[#This Row],[usage_date]],"mmmm")</f>
        <v>January</v>
      </c>
      <c r="E3575" s="9">
        <f>YEAR(Table3[[#This Row],[usage_date]])</f>
        <v>2023</v>
      </c>
      <c r="F3575" s="14">
        <v>3.14</v>
      </c>
      <c r="G3575">
        <v>41</v>
      </c>
      <c r="H3575" t="s">
        <v>13</v>
      </c>
      <c r="I3575" t="str">
        <f t="shared" si="55"/>
        <v>Normal Usage</v>
      </c>
    </row>
    <row r="3576" spans="1:9" x14ac:dyDescent="0.3">
      <c r="A3576">
        <v>13575</v>
      </c>
      <c r="B3576">
        <v>25</v>
      </c>
      <c r="C3576" s="2">
        <v>44617</v>
      </c>
      <c r="D3576" s="2" t="str">
        <f>TEXT(Table3[[#This Row],[usage_date]],"mmmm")</f>
        <v>February</v>
      </c>
      <c r="E3576" s="9">
        <f>YEAR(Table3[[#This Row],[usage_date]])</f>
        <v>2022</v>
      </c>
      <c r="F3576" s="14">
        <v>5.4</v>
      </c>
      <c r="G3576">
        <v>284</v>
      </c>
      <c r="H3576" t="s">
        <v>13</v>
      </c>
      <c r="I3576" t="str">
        <f t="shared" si="55"/>
        <v>Normal Usage</v>
      </c>
    </row>
    <row r="3577" spans="1:9" x14ac:dyDescent="0.3">
      <c r="A3577">
        <v>13576</v>
      </c>
      <c r="B3577">
        <v>68</v>
      </c>
      <c r="C3577" s="2">
        <v>44814</v>
      </c>
      <c r="D3577" s="2" t="str">
        <f>TEXT(Table3[[#This Row],[usage_date]],"mmmm")</f>
        <v>September</v>
      </c>
      <c r="E3577" s="9">
        <f>YEAR(Table3[[#This Row],[usage_date]])</f>
        <v>2022</v>
      </c>
      <c r="F3577" s="14">
        <v>0.96</v>
      </c>
      <c r="G3577">
        <v>65</v>
      </c>
      <c r="H3577" t="s">
        <v>12</v>
      </c>
      <c r="I3577" t="str">
        <f t="shared" si="55"/>
        <v>Normal Usage</v>
      </c>
    </row>
    <row r="3578" spans="1:9" x14ac:dyDescent="0.3">
      <c r="A3578">
        <v>13577</v>
      </c>
      <c r="B3578">
        <v>61</v>
      </c>
      <c r="C3578" s="2">
        <v>45195</v>
      </c>
      <c r="D3578" s="2" t="str">
        <f>TEXT(Table3[[#This Row],[usage_date]],"mmmm")</f>
        <v>September</v>
      </c>
      <c r="E3578" s="9">
        <f>YEAR(Table3[[#This Row],[usage_date]])</f>
        <v>2023</v>
      </c>
      <c r="F3578" s="14">
        <v>1.2</v>
      </c>
      <c r="G3578">
        <v>123</v>
      </c>
      <c r="H3578" t="s">
        <v>12</v>
      </c>
      <c r="I3578" t="str">
        <f t="shared" si="55"/>
        <v>Normal Usage</v>
      </c>
    </row>
    <row r="3579" spans="1:9" x14ac:dyDescent="0.3">
      <c r="A3579">
        <v>13578</v>
      </c>
      <c r="B3579">
        <v>29</v>
      </c>
      <c r="C3579" s="2">
        <v>44667</v>
      </c>
      <c r="D3579" s="2" t="str">
        <f>TEXT(Table3[[#This Row],[usage_date]],"mmmm")</f>
        <v>April</v>
      </c>
      <c r="E3579" s="9">
        <f>YEAR(Table3[[#This Row],[usage_date]])</f>
        <v>2022</v>
      </c>
      <c r="F3579" s="14">
        <v>2.38</v>
      </c>
      <c r="G3579">
        <v>144</v>
      </c>
      <c r="H3579" t="s">
        <v>13</v>
      </c>
      <c r="I3579" t="str">
        <f t="shared" si="55"/>
        <v>Normal Usage</v>
      </c>
    </row>
    <row r="3580" spans="1:9" x14ac:dyDescent="0.3">
      <c r="A3580">
        <v>13579</v>
      </c>
      <c r="B3580">
        <v>383</v>
      </c>
      <c r="C3580" s="2">
        <v>44691</v>
      </c>
      <c r="D3580" s="2" t="str">
        <f>TEXT(Table3[[#This Row],[usage_date]],"mmmm")</f>
        <v>May</v>
      </c>
      <c r="E3580" s="9">
        <f>YEAR(Table3[[#This Row],[usage_date]])</f>
        <v>2022</v>
      </c>
      <c r="F3580" s="14">
        <v>2.44</v>
      </c>
      <c r="G3580">
        <v>119</v>
      </c>
      <c r="H3580" t="s">
        <v>13</v>
      </c>
      <c r="I3580" t="str">
        <f t="shared" si="55"/>
        <v>Normal Usage</v>
      </c>
    </row>
    <row r="3581" spans="1:9" x14ac:dyDescent="0.3">
      <c r="A3581">
        <v>13580</v>
      </c>
      <c r="B3581">
        <v>19</v>
      </c>
      <c r="C3581" s="2">
        <v>45410</v>
      </c>
      <c r="D3581" s="2" t="str">
        <f>TEXT(Table3[[#This Row],[usage_date]],"mmmm")</f>
        <v>April</v>
      </c>
      <c r="E3581" s="9">
        <f>YEAR(Table3[[#This Row],[usage_date]])</f>
        <v>2024</v>
      </c>
      <c r="F3581" s="14">
        <v>1.64</v>
      </c>
      <c r="G3581">
        <v>108</v>
      </c>
      <c r="H3581" t="s">
        <v>12</v>
      </c>
      <c r="I3581" t="str">
        <f t="shared" si="55"/>
        <v>Normal Usage</v>
      </c>
    </row>
    <row r="3582" spans="1:9" x14ac:dyDescent="0.3">
      <c r="A3582">
        <v>13581</v>
      </c>
      <c r="B3582">
        <v>171</v>
      </c>
      <c r="C3582" s="2">
        <v>45231</v>
      </c>
      <c r="D3582" s="2" t="str">
        <f>TEXT(Table3[[#This Row],[usage_date]],"mmmm")</f>
        <v>November</v>
      </c>
      <c r="E3582" s="9">
        <f>YEAR(Table3[[#This Row],[usage_date]])</f>
        <v>2023</v>
      </c>
      <c r="F3582" s="14">
        <v>1.28</v>
      </c>
      <c r="G3582">
        <v>91</v>
      </c>
      <c r="H3582" t="s">
        <v>12</v>
      </c>
      <c r="I3582" t="str">
        <f t="shared" si="55"/>
        <v>Normal Usage</v>
      </c>
    </row>
    <row r="3583" spans="1:9" x14ac:dyDescent="0.3">
      <c r="A3583">
        <v>13582</v>
      </c>
      <c r="B3583">
        <v>450</v>
      </c>
      <c r="C3583" s="2">
        <v>44937</v>
      </c>
      <c r="D3583" s="2" t="str">
        <f>TEXT(Table3[[#This Row],[usage_date]],"mmmm")</f>
        <v>January</v>
      </c>
      <c r="E3583" s="9">
        <f>YEAR(Table3[[#This Row],[usage_date]])</f>
        <v>2023</v>
      </c>
      <c r="F3583" s="14">
        <v>10.7</v>
      </c>
      <c r="G3583">
        <v>59</v>
      </c>
      <c r="H3583" t="s">
        <v>12</v>
      </c>
      <c r="I3583" t="str">
        <f t="shared" si="55"/>
        <v>High Usage</v>
      </c>
    </row>
    <row r="3584" spans="1:9" x14ac:dyDescent="0.3">
      <c r="A3584">
        <v>13583</v>
      </c>
      <c r="B3584">
        <v>74</v>
      </c>
      <c r="C3584" s="2">
        <v>45304</v>
      </c>
      <c r="D3584" s="2" t="str">
        <f>TEXT(Table3[[#This Row],[usage_date]],"mmmm")</f>
        <v>January</v>
      </c>
      <c r="E3584" s="9">
        <f>YEAR(Table3[[#This Row],[usage_date]])</f>
        <v>2024</v>
      </c>
      <c r="F3584" s="14">
        <v>4.3</v>
      </c>
      <c r="G3584">
        <v>226</v>
      </c>
      <c r="H3584" t="s">
        <v>12</v>
      </c>
      <c r="I3584" t="str">
        <f t="shared" si="55"/>
        <v>Normal Usage</v>
      </c>
    </row>
    <row r="3585" spans="1:9" x14ac:dyDescent="0.3">
      <c r="A3585">
        <v>13584</v>
      </c>
      <c r="B3585">
        <v>61</v>
      </c>
      <c r="C3585" s="2">
        <v>44869</v>
      </c>
      <c r="D3585" s="2" t="str">
        <f>TEXT(Table3[[#This Row],[usage_date]],"mmmm")</f>
        <v>November</v>
      </c>
      <c r="E3585" s="9">
        <f>YEAR(Table3[[#This Row],[usage_date]])</f>
        <v>2022</v>
      </c>
      <c r="F3585" s="14">
        <v>1.43</v>
      </c>
      <c r="G3585">
        <v>239</v>
      </c>
      <c r="H3585" t="s">
        <v>12</v>
      </c>
      <c r="I3585" t="str">
        <f t="shared" si="55"/>
        <v>Normal Usage</v>
      </c>
    </row>
    <row r="3586" spans="1:9" x14ac:dyDescent="0.3">
      <c r="A3586">
        <v>13585</v>
      </c>
      <c r="B3586">
        <v>427</v>
      </c>
      <c r="C3586" s="2">
        <v>44652</v>
      </c>
      <c r="D3586" s="2" t="str">
        <f>TEXT(Table3[[#This Row],[usage_date]],"mmmm")</f>
        <v>April</v>
      </c>
      <c r="E3586" s="9">
        <f>YEAR(Table3[[#This Row],[usage_date]])</f>
        <v>2022</v>
      </c>
      <c r="F3586" s="14">
        <v>3.25</v>
      </c>
      <c r="G3586">
        <v>211</v>
      </c>
      <c r="H3586" t="s">
        <v>12</v>
      </c>
      <c r="I3586" t="str">
        <f t="shared" ref="I3586:I3649" si="56">IF(F3586&gt;6,"High Usage","Normal Usage")</f>
        <v>Normal Usage</v>
      </c>
    </row>
    <row r="3587" spans="1:9" x14ac:dyDescent="0.3">
      <c r="A3587">
        <v>13586</v>
      </c>
      <c r="B3587">
        <v>153</v>
      </c>
      <c r="C3587" s="2">
        <v>44954</v>
      </c>
      <c r="D3587" s="2" t="str">
        <f>TEXT(Table3[[#This Row],[usage_date]],"mmmm")</f>
        <v>January</v>
      </c>
      <c r="E3587" s="9">
        <f>YEAR(Table3[[#This Row],[usage_date]])</f>
        <v>2023</v>
      </c>
      <c r="F3587" s="14">
        <v>0.79</v>
      </c>
      <c r="G3587">
        <v>97</v>
      </c>
      <c r="H3587" t="s">
        <v>12</v>
      </c>
      <c r="I3587" t="str">
        <f t="shared" si="56"/>
        <v>Normal Usage</v>
      </c>
    </row>
    <row r="3588" spans="1:9" x14ac:dyDescent="0.3">
      <c r="A3588">
        <v>13587</v>
      </c>
      <c r="B3588">
        <v>276</v>
      </c>
      <c r="C3588" s="2">
        <v>45095</v>
      </c>
      <c r="D3588" s="2" t="str">
        <f>TEXT(Table3[[#This Row],[usage_date]],"mmmm")</f>
        <v>June</v>
      </c>
      <c r="E3588" s="9">
        <f>YEAR(Table3[[#This Row],[usage_date]])</f>
        <v>2023</v>
      </c>
      <c r="F3588" s="14">
        <v>0.26</v>
      </c>
      <c r="G3588">
        <v>13</v>
      </c>
      <c r="H3588" t="s">
        <v>13</v>
      </c>
      <c r="I3588" t="str">
        <f t="shared" si="56"/>
        <v>Normal Usage</v>
      </c>
    </row>
    <row r="3589" spans="1:9" x14ac:dyDescent="0.3">
      <c r="A3589">
        <v>13588</v>
      </c>
      <c r="B3589">
        <v>48</v>
      </c>
      <c r="C3589" s="2">
        <v>45363</v>
      </c>
      <c r="D3589" s="2" t="str">
        <f>TEXT(Table3[[#This Row],[usage_date]],"mmmm")</f>
        <v>March</v>
      </c>
      <c r="E3589" s="9">
        <f>YEAR(Table3[[#This Row],[usage_date]])</f>
        <v>2024</v>
      </c>
      <c r="F3589" s="14">
        <v>1.0900000000000001</v>
      </c>
      <c r="G3589">
        <v>217</v>
      </c>
      <c r="H3589" t="s">
        <v>12</v>
      </c>
      <c r="I3589" t="str">
        <f t="shared" si="56"/>
        <v>Normal Usage</v>
      </c>
    </row>
    <row r="3590" spans="1:9" x14ac:dyDescent="0.3">
      <c r="A3590">
        <v>13589</v>
      </c>
      <c r="B3590">
        <v>211</v>
      </c>
      <c r="C3590" s="2">
        <v>44671</v>
      </c>
      <c r="D3590" s="2" t="str">
        <f>TEXT(Table3[[#This Row],[usage_date]],"mmmm")</f>
        <v>April</v>
      </c>
      <c r="E3590" s="9">
        <f>YEAR(Table3[[#This Row],[usage_date]])</f>
        <v>2022</v>
      </c>
      <c r="F3590" s="14">
        <v>1.29</v>
      </c>
      <c r="G3590">
        <v>169</v>
      </c>
      <c r="H3590" t="s">
        <v>13</v>
      </c>
      <c r="I3590" t="str">
        <f t="shared" si="56"/>
        <v>Normal Usage</v>
      </c>
    </row>
    <row r="3591" spans="1:9" x14ac:dyDescent="0.3">
      <c r="A3591">
        <v>13590</v>
      </c>
      <c r="B3591">
        <v>343</v>
      </c>
      <c r="C3591" s="2">
        <v>45122</v>
      </c>
      <c r="D3591" s="2" t="str">
        <f>TEXT(Table3[[#This Row],[usage_date]],"mmmm")</f>
        <v>July</v>
      </c>
      <c r="E3591" s="9">
        <f>YEAR(Table3[[#This Row],[usage_date]])</f>
        <v>2023</v>
      </c>
      <c r="F3591" s="14">
        <v>0.04</v>
      </c>
      <c r="G3591">
        <v>279</v>
      </c>
      <c r="H3591" t="s">
        <v>13</v>
      </c>
      <c r="I3591" t="str">
        <f t="shared" si="56"/>
        <v>Normal Usage</v>
      </c>
    </row>
    <row r="3592" spans="1:9" x14ac:dyDescent="0.3">
      <c r="A3592">
        <v>13591</v>
      </c>
      <c r="B3592">
        <v>408</v>
      </c>
      <c r="C3592" s="2">
        <v>45202</v>
      </c>
      <c r="D3592" s="2" t="str">
        <f>TEXT(Table3[[#This Row],[usage_date]],"mmmm")</f>
        <v>October</v>
      </c>
      <c r="E3592" s="9">
        <f>YEAR(Table3[[#This Row],[usage_date]])</f>
        <v>2023</v>
      </c>
      <c r="F3592" s="14">
        <v>4.22</v>
      </c>
      <c r="G3592">
        <v>209</v>
      </c>
      <c r="H3592" t="s">
        <v>13</v>
      </c>
      <c r="I3592" t="str">
        <f t="shared" si="56"/>
        <v>Normal Usage</v>
      </c>
    </row>
    <row r="3593" spans="1:9" x14ac:dyDescent="0.3">
      <c r="A3593">
        <v>13592</v>
      </c>
      <c r="B3593">
        <v>139</v>
      </c>
      <c r="C3593" s="2">
        <v>45146</v>
      </c>
      <c r="D3593" s="2" t="str">
        <f>TEXT(Table3[[#This Row],[usage_date]],"mmmm")</f>
        <v>August</v>
      </c>
      <c r="E3593" s="9">
        <f>YEAR(Table3[[#This Row],[usage_date]])</f>
        <v>2023</v>
      </c>
      <c r="F3593" s="14">
        <v>1.1100000000000001</v>
      </c>
      <c r="G3593">
        <v>255</v>
      </c>
      <c r="H3593" t="s">
        <v>12</v>
      </c>
      <c r="I3593" t="str">
        <f t="shared" si="56"/>
        <v>Normal Usage</v>
      </c>
    </row>
    <row r="3594" spans="1:9" x14ac:dyDescent="0.3">
      <c r="A3594">
        <v>13593</v>
      </c>
      <c r="B3594">
        <v>110</v>
      </c>
      <c r="C3594" s="2">
        <v>44901</v>
      </c>
      <c r="D3594" s="2" t="str">
        <f>TEXT(Table3[[#This Row],[usage_date]],"mmmm")</f>
        <v>December</v>
      </c>
      <c r="E3594" s="9">
        <f>YEAR(Table3[[#This Row],[usage_date]])</f>
        <v>2022</v>
      </c>
      <c r="F3594" s="14">
        <v>2.17</v>
      </c>
      <c r="G3594">
        <v>170</v>
      </c>
      <c r="H3594" t="s">
        <v>12</v>
      </c>
      <c r="I3594" t="str">
        <f t="shared" si="56"/>
        <v>Normal Usage</v>
      </c>
    </row>
    <row r="3595" spans="1:9" x14ac:dyDescent="0.3">
      <c r="A3595">
        <v>13594</v>
      </c>
      <c r="B3595">
        <v>482</v>
      </c>
      <c r="C3595" s="2">
        <v>45126</v>
      </c>
      <c r="D3595" s="2" t="str">
        <f>TEXT(Table3[[#This Row],[usage_date]],"mmmm")</f>
        <v>July</v>
      </c>
      <c r="E3595" s="9">
        <f>YEAR(Table3[[#This Row],[usage_date]])</f>
        <v>2023</v>
      </c>
      <c r="F3595" s="14">
        <v>0.19</v>
      </c>
      <c r="G3595">
        <v>72</v>
      </c>
      <c r="H3595" t="s">
        <v>13</v>
      </c>
      <c r="I3595" t="str">
        <f t="shared" si="56"/>
        <v>Normal Usage</v>
      </c>
    </row>
    <row r="3596" spans="1:9" x14ac:dyDescent="0.3">
      <c r="A3596">
        <v>13595</v>
      </c>
      <c r="B3596">
        <v>183</v>
      </c>
      <c r="C3596" s="2">
        <v>44917</v>
      </c>
      <c r="D3596" s="2" t="str">
        <f>TEXT(Table3[[#This Row],[usage_date]],"mmmm")</f>
        <v>December</v>
      </c>
      <c r="E3596" s="9">
        <f>YEAR(Table3[[#This Row],[usage_date]])</f>
        <v>2022</v>
      </c>
      <c r="F3596" s="14">
        <v>0.48</v>
      </c>
      <c r="G3596">
        <v>146</v>
      </c>
      <c r="H3596" t="s">
        <v>13</v>
      </c>
      <c r="I3596" t="str">
        <f t="shared" si="56"/>
        <v>Normal Usage</v>
      </c>
    </row>
    <row r="3597" spans="1:9" x14ac:dyDescent="0.3">
      <c r="A3597">
        <v>13596</v>
      </c>
      <c r="B3597">
        <v>28</v>
      </c>
      <c r="C3597" s="2">
        <v>45453</v>
      </c>
      <c r="D3597" s="2" t="str">
        <f>TEXT(Table3[[#This Row],[usage_date]],"mmmm")</f>
        <v>June</v>
      </c>
      <c r="E3597" s="9">
        <f>YEAR(Table3[[#This Row],[usage_date]])</f>
        <v>2024</v>
      </c>
      <c r="F3597" s="14">
        <v>5.51</v>
      </c>
      <c r="G3597">
        <v>105</v>
      </c>
      <c r="H3597" t="s">
        <v>12</v>
      </c>
      <c r="I3597" t="str">
        <f t="shared" si="56"/>
        <v>Normal Usage</v>
      </c>
    </row>
    <row r="3598" spans="1:9" x14ac:dyDescent="0.3">
      <c r="A3598">
        <v>13597</v>
      </c>
      <c r="B3598">
        <v>197</v>
      </c>
      <c r="C3598" s="2">
        <v>44729</v>
      </c>
      <c r="D3598" s="2" t="str">
        <f>TEXT(Table3[[#This Row],[usage_date]],"mmmm")</f>
        <v>June</v>
      </c>
      <c r="E3598" s="9">
        <f>YEAR(Table3[[#This Row],[usage_date]])</f>
        <v>2022</v>
      </c>
      <c r="F3598" s="14">
        <v>2.35</v>
      </c>
      <c r="G3598">
        <v>93</v>
      </c>
      <c r="H3598" t="s">
        <v>12</v>
      </c>
      <c r="I3598" t="str">
        <f t="shared" si="56"/>
        <v>Normal Usage</v>
      </c>
    </row>
    <row r="3599" spans="1:9" x14ac:dyDescent="0.3">
      <c r="A3599">
        <v>13598</v>
      </c>
      <c r="B3599">
        <v>191</v>
      </c>
      <c r="C3599" s="2">
        <v>45118</v>
      </c>
      <c r="D3599" s="2" t="str">
        <f>TEXT(Table3[[#This Row],[usage_date]],"mmmm")</f>
        <v>July</v>
      </c>
      <c r="E3599" s="9">
        <f>YEAR(Table3[[#This Row],[usage_date]])</f>
        <v>2023</v>
      </c>
      <c r="F3599" s="14">
        <v>7.5</v>
      </c>
      <c r="G3599">
        <v>62</v>
      </c>
      <c r="H3599" t="s">
        <v>13</v>
      </c>
      <c r="I3599" t="str">
        <f t="shared" si="56"/>
        <v>High Usage</v>
      </c>
    </row>
    <row r="3600" spans="1:9" x14ac:dyDescent="0.3">
      <c r="A3600">
        <v>13599</v>
      </c>
      <c r="B3600">
        <v>315</v>
      </c>
      <c r="C3600" s="2">
        <v>45013</v>
      </c>
      <c r="D3600" s="2" t="str">
        <f>TEXT(Table3[[#This Row],[usage_date]],"mmmm")</f>
        <v>March</v>
      </c>
      <c r="E3600" s="9">
        <f>YEAR(Table3[[#This Row],[usage_date]])</f>
        <v>2023</v>
      </c>
      <c r="F3600" s="14">
        <v>16.71</v>
      </c>
      <c r="G3600">
        <v>153</v>
      </c>
      <c r="H3600" t="s">
        <v>12</v>
      </c>
      <c r="I3600" t="str">
        <f t="shared" si="56"/>
        <v>High Usage</v>
      </c>
    </row>
    <row r="3601" spans="1:9" x14ac:dyDescent="0.3">
      <c r="A3601">
        <v>13600</v>
      </c>
      <c r="B3601">
        <v>389</v>
      </c>
      <c r="C3601" s="2">
        <v>44666</v>
      </c>
      <c r="D3601" s="2" t="str">
        <f>TEXT(Table3[[#This Row],[usage_date]],"mmmm")</f>
        <v>April</v>
      </c>
      <c r="E3601" s="9">
        <f>YEAR(Table3[[#This Row],[usage_date]])</f>
        <v>2022</v>
      </c>
      <c r="F3601" s="14">
        <v>1.1599999999999999</v>
      </c>
      <c r="G3601">
        <v>254</v>
      </c>
      <c r="H3601" t="s">
        <v>12</v>
      </c>
      <c r="I3601" t="str">
        <f t="shared" si="56"/>
        <v>Normal Usage</v>
      </c>
    </row>
    <row r="3602" spans="1:9" x14ac:dyDescent="0.3">
      <c r="A3602">
        <v>13601</v>
      </c>
      <c r="B3602">
        <v>51</v>
      </c>
      <c r="C3602" s="2">
        <v>44711</v>
      </c>
      <c r="D3602" s="2" t="str">
        <f>TEXT(Table3[[#This Row],[usage_date]],"mmmm")</f>
        <v>May</v>
      </c>
      <c r="E3602" s="9">
        <f>YEAR(Table3[[#This Row],[usage_date]])</f>
        <v>2022</v>
      </c>
      <c r="F3602" s="14">
        <v>0.89</v>
      </c>
      <c r="G3602">
        <v>34</v>
      </c>
      <c r="H3602" t="s">
        <v>13</v>
      </c>
      <c r="I3602" t="str">
        <f t="shared" si="56"/>
        <v>Normal Usage</v>
      </c>
    </row>
    <row r="3603" spans="1:9" x14ac:dyDescent="0.3">
      <c r="A3603">
        <v>13602</v>
      </c>
      <c r="B3603">
        <v>149</v>
      </c>
      <c r="C3603" s="2">
        <v>44707</v>
      </c>
      <c r="D3603" s="2" t="str">
        <f>TEXT(Table3[[#This Row],[usage_date]],"mmmm")</f>
        <v>May</v>
      </c>
      <c r="E3603" s="9">
        <f>YEAR(Table3[[#This Row],[usage_date]])</f>
        <v>2022</v>
      </c>
      <c r="F3603" s="14">
        <v>4.8899999999999997</v>
      </c>
      <c r="G3603">
        <v>295</v>
      </c>
      <c r="H3603" t="s">
        <v>12</v>
      </c>
      <c r="I3603" t="str">
        <f t="shared" si="56"/>
        <v>Normal Usage</v>
      </c>
    </row>
    <row r="3604" spans="1:9" x14ac:dyDescent="0.3">
      <c r="A3604">
        <v>13603</v>
      </c>
      <c r="B3604">
        <v>268</v>
      </c>
      <c r="C3604" s="2">
        <v>45277</v>
      </c>
      <c r="D3604" s="2" t="str">
        <f>TEXT(Table3[[#This Row],[usage_date]],"mmmm")</f>
        <v>December</v>
      </c>
      <c r="E3604" s="9">
        <f>YEAR(Table3[[#This Row],[usage_date]])</f>
        <v>2023</v>
      </c>
      <c r="F3604" s="14">
        <v>16.45</v>
      </c>
      <c r="G3604">
        <v>252</v>
      </c>
      <c r="H3604" t="s">
        <v>12</v>
      </c>
      <c r="I3604" t="str">
        <f t="shared" si="56"/>
        <v>High Usage</v>
      </c>
    </row>
    <row r="3605" spans="1:9" x14ac:dyDescent="0.3">
      <c r="A3605">
        <v>13604</v>
      </c>
      <c r="B3605">
        <v>50</v>
      </c>
      <c r="C3605" s="2">
        <v>45435</v>
      </c>
      <c r="D3605" s="2" t="str">
        <f>TEXT(Table3[[#This Row],[usage_date]],"mmmm")</f>
        <v>May</v>
      </c>
      <c r="E3605" s="9">
        <f>YEAR(Table3[[#This Row],[usage_date]])</f>
        <v>2024</v>
      </c>
      <c r="F3605" s="14">
        <v>2.48</v>
      </c>
      <c r="G3605">
        <v>156</v>
      </c>
      <c r="H3605" t="s">
        <v>13</v>
      </c>
      <c r="I3605" t="str">
        <f t="shared" si="56"/>
        <v>Normal Usage</v>
      </c>
    </row>
    <row r="3606" spans="1:9" x14ac:dyDescent="0.3">
      <c r="A3606">
        <v>13605</v>
      </c>
      <c r="B3606">
        <v>388</v>
      </c>
      <c r="C3606" s="2">
        <v>44860</v>
      </c>
      <c r="D3606" s="2" t="str">
        <f>TEXT(Table3[[#This Row],[usage_date]],"mmmm")</f>
        <v>October</v>
      </c>
      <c r="E3606" s="9">
        <f>YEAR(Table3[[#This Row],[usage_date]])</f>
        <v>2022</v>
      </c>
      <c r="F3606" s="14">
        <v>3.96</v>
      </c>
      <c r="G3606">
        <v>133</v>
      </c>
      <c r="H3606" t="s">
        <v>12</v>
      </c>
      <c r="I3606" t="str">
        <f t="shared" si="56"/>
        <v>Normal Usage</v>
      </c>
    </row>
    <row r="3607" spans="1:9" x14ac:dyDescent="0.3">
      <c r="A3607">
        <v>13606</v>
      </c>
      <c r="B3607">
        <v>246</v>
      </c>
      <c r="C3607" s="2">
        <v>44728</v>
      </c>
      <c r="D3607" s="2" t="str">
        <f>TEXT(Table3[[#This Row],[usage_date]],"mmmm")</f>
        <v>June</v>
      </c>
      <c r="E3607" s="9">
        <f>YEAR(Table3[[#This Row],[usage_date]])</f>
        <v>2022</v>
      </c>
      <c r="F3607" s="14">
        <v>3.81</v>
      </c>
      <c r="G3607">
        <v>128</v>
      </c>
      <c r="H3607" t="s">
        <v>12</v>
      </c>
      <c r="I3607" t="str">
        <f t="shared" si="56"/>
        <v>Normal Usage</v>
      </c>
    </row>
    <row r="3608" spans="1:9" x14ac:dyDescent="0.3">
      <c r="A3608">
        <v>13607</v>
      </c>
      <c r="B3608">
        <v>113</v>
      </c>
      <c r="C3608" s="2">
        <v>45274</v>
      </c>
      <c r="D3608" s="2" t="str">
        <f>TEXT(Table3[[#This Row],[usage_date]],"mmmm")</f>
        <v>December</v>
      </c>
      <c r="E3608" s="9">
        <f>YEAR(Table3[[#This Row],[usage_date]])</f>
        <v>2023</v>
      </c>
      <c r="F3608" s="14">
        <v>1.1000000000000001</v>
      </c>
      <c r="G3608">
        <v>279</v>
      </c>
      <c r="H3608" t="s">
        <v>12</v>
      </c>
      <c r="I3608" t="str">
        <f t="shared" si="56"/>
        <v>Normal Usage</v>
      </c>
    </row>
    <row r="3609" spans="1:9" x14ac:dyDescent="0.3">
      <c r="A3609">
        <v>13608</v>
      </c>
      <c r="B3609">
        <v>170</v>
      </c>
      <c r="C3609" s="2">
        <v>45207</v>
      </c>
      <c r="D3609" s="2" t="str">
        <f>TEXT(Table3[[#This Row],[usage_date]],"mmmm")</f>
        <v>October</v>
      </c>
      <c r="E3609" s="9">
        <f>YEAR(Table3[[#This Row],[usage_date]])</f>
        <v>2023</v>
      </c>
      <c r="F3609" s="14">
        <v>2.13</v>
      </c>
      <c r="G3609">
        <v>251</v>
      </c>
      <c r="H3609" t="s">
        <v>12</v>
      </c>
      <c r="I3609" t="str">
        <f t="shared" si="56"/>
        <v>Normal Usage</v>
      </c>
    </row>
    <row r="3610" spans="1:9" x14ac:dyDescent="0.3">
      <c r="A3610">
        <v>13609</v>
      </c>
      <c r="B3610">
        <v>468</v>
      </c>
      <c r="C3610" s="2">
        <v>45284</v>
      </c>
      <c r="D3610" s="2" t="str">
        <f>TEXT(Table3[[#This Row],[usage_date]],"mmmm")</f>
        <v>December</v>
      </c>
      <c r="E3610" s="9">
        <f>YEAR(Table3[[#This Row],[usage_date]])</f>
        <v>2023</v>
      </c>
      <c r="F3610" s="14">
        <v>4.4800000000000004</v>
      </c>
      <c r="G3610">
        <v>134</v>
      </c>
      <c r="H3610" t="s">
        <v>13</v>
      </c>
      <c r="I3610" t="str">
        <f t="shared" si="56"/>
        <v>Normal Usage</v>
      </c>
    </row>
    <row r="3611" spans="1:9" x14ac:dyDescent="0.3">
      <c r="A3611">
        <v>13610</v>
      </c>
      <c r="B3611">
        <v>166</v>
      </c>
      <c r="C3611" s="2">
        <v>44609</v>
      </c>
      <c r="D3611" s="2" t="str">
        <f>TEXT(Table3[[#This Row],[usage_date]],"mmmm")</f>
        <v>February</v>
      </c>
      <c r="E3611" s="9">
        <f>YEAR(Table3[[#This Row],[usage_date]])</f>
        <v>2022</v>
      </c>
      <c r="F3611" s="14">
        <v>2.91</v>
      </c>
      <c r="G3611">
        <v>10</v>
      </c>
      <c r="H3611" t="s">
        <v>12</v>
      </c>
      <c r="I3611" t="str">
        <f t="shared" si="56"/>
        <v>Normal Usage</v>
      </c>
    </row>
    <row r="3612" spans="1:9" x14ac:dyDescent="0.3">
      <c r="A3612">
        <v>13611</v>
      </c>
      <c r="B3612">
        <v>409</v>
      </c>
      <c r="C3612" s="2">
        <v>45199</v>
      </c>
      <c r="D3612" s="2" t="str">
        <f>TEXT(Table3[[#This Row],[usage_date]],"mmmm")</f>
        <v>September</v>
      </c>
      <c r="E3612" s="9">
        <f>YEAR(Table3[[#This Row],[usage_date]])</f>
        <v>2023</v>
      </c>
      <c r="F3612" s="14">
        <v>0.05</v>
      </c>
      <c r="G3612">
        <v>291</v>
      </c>
      <c r="H3612" t="s">
        <v>12</v>
      </c>
      <c r="I3612" t="str">
        <f t="shared" si="56"/>
        <v>Normal Usage</v>
      </c>
    </row>
    <row r="3613" spans="1:9" x14ac:dyDescent="0.3">
      <c r="A3613">
        <v>13612</v>
      </c>
      <c r="B3613">
        <v>14</v>
      </c>
      <c r="C3613" s="2">
        <v>44800</v>
      </c>
      <c r="D3613" s="2" t="str">
        <f>TEXT(Table3[[#This Row],[usage_date]],"mmmm")</f>
        <v>August</v>
      </c>
      <c r="E3613" s="9">
        <f>YEAR(Table3[[#This Row],[usage_date]])</f>
        <v>2022</v>
      </c>
      <c r="F3613" s="14">
        <v>1.03</v>
      </c>
      <c r="G3613">
        <v>147</v>
      </c>
      <c r="H3613" t="s">
        <v>12</v>
      </c>
      <c r="I3613" t="str">
        <f t="shared" si="56"/>
        <v>Normal Usage</v>
      </c>
    </row>
    <row r="3614" spans="1:9" x14ac:dyDescent="0.3">
      <c r="A3614">
        <v>13613</v>
      </c>
      <c r="B3614">
        <v>203</v>
      </c>
      <c r="C3614" s="2">
        <v>44568</v>
      </c>
      <c r="D3614" s="2" t="str">
        <f>TEXT(Table3[[#This Row],[usage_date]],"mmmm")</f>
        <v>January</v>
      </c>
      <c r="E3614" s="9">
        <f>YEAR(Table3[[#This Row],[usage_date]])</f>
        <v>2022</v>
      </c>
      <c r="F3614" s="14">
        <v>0.39</v>
      </c>
      <c r="G3614">
        <v>79</v>
      </c>
      <c r="H3614" t="s">
        <v>12</v>
      </c>
      <c r="I3614" t="str">
        <f t="shared" si="56"/>
        <v>Normal Usage</v>
      </c>
    </row>
    <row r="3615" spans="1:9" x14ac:dyDescent="0.3">
      <c r="A3615">
        <v>13614</v>
      </c>
      <c r="B3615">
        <v>288</v>
      </c>
      <c r="C3615" s="2">
        <v>45025</v>
      </c>
      <c r="D3615" s="2" t="str">
        <f>TEXT(Table3[[#This Row],[usage_date]],"mmmm")</f>
        <v>April</v>
      </c>
      <c r="E3615" s="9">
        <f>YEAR(Table3[[#This Row],[usage_date]])</f>
        <v>2023</v>
      </c>
      <c r="F3615" s="14">
        <v>0.66</v>
      </c>
      <c r="G3615">
        <v>190</v>
      </c>
      <c r="H3615" t="s">
        <v>12</v>
      </c>
      <c r="I3615" t="str">
        <f t="shared" si="56"/>
        <v>Normal Usage</v>
      </c>
    </row>
    <row r="3616" spans="1:9" x14ac:dyDescent="0.3">
      <c r="A3616">
        <v>13615</v>
      </c>
      <c r="B3616">
        <v>395</v>
      </c>
      <c r="C3616" s="2">
        <v>45014</v>
      </c>
      <c r="D3616" s="2" t="str">
        <f>TEXT(Table3[[#This Row],[usage_date]],"mmmm")</f>
        <v>March</v>
      </c>
      <c r="E3616" s="9">
        <f>YEAR(Table3[[#This Row],[usage_date]])</f>
        <v>2023</v>
      </c>
      <c r="F3616" s="14">
        <v>5.9</v>
      </c>
      <c r="G3616">
        <v>29</v>
      </c>
      <c r="H3616" t="s">
        <v>12</v>
      </c>
      <c r="I3616" t="str">
        <f t="shared" si="56"/>
        <v>Normal Usage</v>
      </c>
    </row>
    <row r="3617" spans="1:9" x14ac:dyDescent="0.3">
      <c r="A3617">
        <v>13616</v>
      </c>
      <c r="B3617">
        <v>189</v>
      </c>
      <c r="C3617" s="2">
        <v>45345</v>
      </c>
      <c r="D3617" s="2" t="str">
        <f>TEXT(Table3[[#This Row],[usage_date]],"mmmm")</f>
        <v>February</v>
      </c>
      <c r="E3617" s="9">
        <f>YEAR(Table3[[#This Row],[usage_date]])</f>
        <v>2024</v>
      </c>
      <c r="F3617" s="14">
        <v>0.09</v>
      </c>
      <c r="G3617">
        <v>228</v>
      </c>
      <c r="H3617" t="s">
        <v>12</v>
      </c>
      <c r="I3617" t="str">
        <f t="shared" si="56"/>
        <v>Normal Usage</v>
      </c>
    </row>
    <row r="3618" spans="1:9" x14ac:dyDescent="0.3">
      <c r="A3618">
        <v>13617</v>
      </c>
      <c r="B3618">
        <v>402</v>
      </c>
      <c r="C3618" s="2">
        <v>45458</v>
      </c>
      <c r="D3618" s="2" t="str">
        <f>TEXT(Table3[[#This Row],[usage_date]],"mmmm")</f>
        <v>June</v>
      </c>
      <c r="E3618" s="9">
        <f>YEAR(Table3[[#This Row],[usage_date]])</f>
        <v>2024</v>
      </c>
      <c r="F3618" s="14">
        <v>0.62</v>
      </c>
      <c r="G3618">
        <v>83</v>
      </c>
      <c r="H3618" t="s">
        <v>12</v>
      </c>
      <c r="I3618" t="str">
        <f t="shared" si="56"/>
        <v>Normal Usage</v>
      </c>
    </row>
    <row r="3619" spans="1:9" x14ac:dyDescent="0.3">
      <c r="A3619">
        <v>13618</v>
      </c>
      <c r="B3619">
        <v>155</v>
      </c>
      <c r="C3619" s="2">
        <v>44932</v>
      </c>
      <c r="D3619" s="2" t="str">
        <f>TEXT(Table3[[#This Row],[usage_date]],"mmmm")</f>
        <v>January</v>
      </c>
      <c r="E3619" s="9">
        <f>YEAR(Table3[[#This Row],[usage_date]])</f>
        <v>2023</v>
      </c>
      <c r="F3619" s="14">
        <v>0.93</v>
      </c>
      <c r="G3619">
        <v>149</v>
      </c>
      <c r="H3619" t="s">
        <v>12</v>
      </c>
      <c r="I3619" t="str">
        <f t="shared" si="56"/>
        <v>Normal Usage</v>
      </c>
    </row>
    <row r="3620" spans="1:9" x14ac:dyDescent="0.3">
      <c r="A3620">
        <v>13619</v>
      </c>
      <c r="B3620">
        <v>55</v>
      </c>
      <c r="C3620" s="2">
        <v>45110</v>
      </c>
      <c r="D3620" s="2" t="str">
        <f>TEXT(Table3[[#This Row],[usage_date]],"mmmm")</f>
        <v>July</v>
      </c>
      <c r="E3620" s="9">
        <f>YEAR(Table3[[#This Row],[usage_date]])</f>
        <v>2023</v>
      </c>
      <c r="F3620" s="14">
        <v>2.4</v>
      </c>
      <c r="G3620">
        <v>188</v>
      </c>
      <c r="H3620" t="s">
        <v>13</v>
      </c>
      <c r="I3620" t="str">
        <f t="shared" si="56"/>
        <v>Normal Usage</v>
      </c>
    </row>
    <row r="3621" spans="1:9" x14ac:dyDescent="0.3">
      <c r="A3621">
        <v>13620</v>
      </c>
      <c r="B3621">
        <v>182</v>
      </c>
      <c r="C3621" s="2">
        <v>45048</v>
      </c>
      <c r="D3621" s="2" t="str">
        <f>TEXT(Table3[[#This Row],[usage_date]],"mmmm")</f>
        <v>May</v>
      </c>
      <c r="E3621" s="9">
        <f>YEAR(Table3[[#This Row],[usage_date]])</f>
        <v>2023</v>
      </c>
      <c r="F3621" s="14">
        <v>1.91</v>
      </c>
      <c r="G3621">
        <v>20</v>
      </c>
      <c r="H3621" t="s">
        <v>12</v>
      </c>
      <c r="I3621" t="str">
        <f t="shared" si="56"/>
        <v>Normal Usage</v>
      </c>
    </row>
    <row r="3622" spans="1:9" x14ac:dyDescent="0.3">
      <c r="A3622">
        <v>13621</v>
      </c>
      <c r="B3622">
        <v>210</v>
      </c>
      <c r="C3622" s="2">
        <v>44772</v>
      </c>
      <c r="D3622" s="2" t="str">
        <f>TEXT(Table3[[#This Row],[usage_date]],"mmmm")</f>
        <v>July</v>
      </c>
      <c r="E3622" s="9">
        <f>YEAR(Table3[[#This Row],[usage_date]])</f>
        <v>2022</v>
      </c>
      <c r="F3622" s="14">
        <v>0.62</v>
      </c>
      <c r="G3622">
        <v>36</v>
      </c>
      <c r="H3622" t="s">
        <v>12</v>
      </c>
      <c r="I3622" t="str">
        <f t="shared" si="56"/>
        <v>Normal Usage</v>
      </c>
    </row>
    <row r="3623" spans="1:9" x14ac:dyDescent="0.3">
      <c r="A3623">
        <v>13622</v>
      </c>
      <c r="B3623">
        <v>376</v>
      </c>
      <c r="C3623" s="2">
        <v>44726</v>
      </c>
      <c r="D3623" s="2" t="str">
        <f>TEXT(Table3[[#This Row],[usage_date]],"mmmm")</f>
        <v>June</v>
      </c>
      <c r="E3623" s="9">
        <f>YEAR(Table3[[#This Row],[usage_date]])</f>
        <v>2022</v>
      </c>
      <c r="F3623" s="14">
        <v>0.45</v>
      </c>
      <c r="G3623">
        <v>245</v>
      </c>
      <c r="H3623" t="s">
        <v>12</v>
      </c>
      <c r="I3623" t="str">
        <f t="shared" si="56"/>
        <v>Normal Usage</v>
      </c>
    </row>
    <row r="3624" spans="1:9" x14ac:dyDescent="0.3">
      <c r="A3624">
        <v>13623</v>
      </c>
      <c r="B3624">
        <v>471</v>
      </c>
      <c r="C3624" s="2">
        <v>44686</v>
      </c>
      <c r="D3624" s="2" t="str">
        <f>TEXT(Table3[[#This Row],[usage_date]],"mmmm")</f>
        <v>May</v>
      </c>
      <c r="E3624" s="9">
        <f>YEAR(Table3[[#This Row],[usage_date]])</f>
        <v>2022</v>
      </c>
      <c r="F3624" s="14">
        <v>0.68</v>
      </c>
      <c r="G3624">
        <v>282</v>
      </c>
      <c r="H3624" t="s">
        <v>13</v>
      </c>
      <c r="I3624" t="str">
        <f t="shared" si="56"/>
        <v>Normal Usage</v>
      </c>
    </row>
    <row r="3625" spans="1:9" x14ac:dyDescent="0.3">
      <c r="A3625">
        <v>13624</v>
      </c>
      <c r="B3625">
        <v>75</v>
      </c>
      <c r="C3625" s="2">
        <v>44898</v>
      </c>
      <c r="D3625" s="2" t="str">
        <f>TEXT(Table3[[#This Row],[usage_date]],"mmmm")</f>
        <v>December</v>
      </c>
      <c r="E3625" s="9">
        <f>YEAR(Table3[[#This Row],[usage_date]])</f>
        <v>2022</v>
      </c>
      <c r="F3625" s="14">
        <v>1.75</v>
      </c>
      <c r="G3625">
        <v>101</v>
      </c>
      <c r="H3625" t="s">
        <v>12</v>
      </c>
      <c r="I3625" t="str">
        <f t="shared" si="56"/>
        <v>Normal Usage</v>
      </c>
    </row>
    <row r="3626" spans="1:9" x14ac:dyDescent="0.3">
      <c r="A3626">
        <v>13625</v>
      </c>
      <c r="B3626">
        <v>277</v>
      </c>
      <c r="C3626" s="2">
        <v>44753</v>
      </c>
      <c r="D3626" s="2" t="str">
        <f>TEXT(Table3[[#This Row],[usage_date]],"mmmm")</f>
        <v>July</v>
      </c>
      <c r="E3626" s="9">
        <f>YEAR(Table3[[#This Row],[usage_date]])</f>
        <v>2022</v>
      </c>
      <c r="F3626" s="14">
        <v>0.79</v>
      </c>
      <c r="G3626">
        <v>293</v>
      </c>
      <c r="H3626" t="s">
        <v>13</v>
      </c>
      <c r="I3626" t="str">
        <f t="shared" si="56"/>
        <v>Normal Usage</v>
      </c>
    </row>
    <row r="3627" spans="1:9" x14ac:dyDescent="0.3">
      <c r="A3627">
        <v>13626</v>
      </c>
      <c r="B3627">
        <v>428</v>
      </c>
      <c r="C3627" s="2">
        <v>45291</v>
      </c>
      <c r="D3627" s="2" t="str">
        <f>TEXT(Table3[[#This Row],[usage_date]],"mmmm")</f>
        <v>December</v>
      </c>
      <c r="E3627" s="9">
        <f>YEAR(Table3[[#This Row],[usage_date]])</f>
        <v>2023</v>
      </c>
      <c r="F3627" s="14">
        <v>7.37</v>
      </c>
      <c r="G3627">
        <v>231</v>
      </c>
      <c r="H3627" t="s">
        <v>12</v>
      </c>
      <c r="I3627" t="str">
        <f t="shared" si="56"/>
        <v>High Usage</v>
      </c>
    </row>
    <row r="3628" spans="1:9" x14ac:dyDescent="0.3">
      <c r="A3628">
        <v>13627</v>
      </c>
      <c r="B3628">
        <v>133</v>
      </c>
      <c r="C3628" s="2">
        <v>44775</v>
      </c>
      <c r="D3628" s="2" t="str">
        <f>TEXT(Table3[[#This Row],[usage_date]],"mmmm")</f>
        <v>August</v>
      </c>
      <c r="E3628" s="9">
        <f>YEAR(Table3[[#This Row],[usage_date]])</f>
        <v>2022</v>
      </c>
      <c r="F3628" s="14">
        <v>1.56</v>
      </c>
      <c r="G3628">
        <v>287</v>
      </c>
      <c r="H3628" t="s">
        <v>13</v>
      </c>
      <c r="I3628" t="str">
        <f t="shared" si="56"/>
        <v>Normal Usage</v>
      </c>
    </row>
    <row r="3629" spans="1:9" x14ac:dyDescent="0.3">
      <c r="A3629">
        <v>13628</v>
      </c>
      <c r="B3629">
        <v>343</v>
      </c>
      <c r="C3629" s="2">
        <v>45135</v>
      </c>
      <c r="D3629" s="2" t="str">
        <f>TEXT(Table3[[#This Row],[usage_date]],"mmmm")</f>
        <v>July</v>
      </c>
      <c r="E3629" s="9">
        <f>YEAR(Table3[[#This Row],[usage_date]])</f>
        <v>2023</v>
      </c>
      <c r="F3629" s="14">
        <v>0.15</v>
      </c>
      <c r="G3629">
        <v>244</v>
      </c>
      <c r="H3629" t="s">
        <v>12</v>
      </c>
      <c r="I3629" t="str">
        <f t="shared" si="56"/>
        <v>Normal Usage</v>
      </c>
    </row>
    <row r="3630" spans="1:9" x14ac:dyDescent="0.3">
      <c r="A3630">
        <v>13629</v>
      </c>
      <c r="B3630">
        <v>425</v>
      </c>
      <c r="C3630" s="2">
        <v>44889</v>
      </c>
      <c r="D3630" s="2" t="str">
        <f>TEXT(Table3[[#This Row],[usage_date]],"mmmm")</f>
        <v>November</v>
      </c>
      <c r="E3630" s="9">
        <f>YEAR(Table3[[#This Row],[usage_date]])</f>
        <v>2022</v>
      </c>
      <c r="F3630" s="14">
        <v>3.27</v>
      </c>
      <c r="G3630">
        <v>176</v>
      </c>
      <c r="H3630" t="s">
        <v>13</v>
      </c>
      <c r="I3630" t="str">
        <f t="shared" si="56"/>
        <v>Normal Usage</v>
      </c>
    </row>
    <row r="3631" spans="1:9" x14ac:dyDescent="0.3">
      <c r="A3631">
        <v>13630</v>
      </c>
      <c r="B3631">
        <v>59</v>
      </c>
      <c r="C3631" s="2">
        <v>44942</v>
      </c>
      <c r="D3631" s="2" t="str">
        <f>TEXT(Table3[[#This Row],[usage_date]],"mmmm")</f>
        <v>January</v>
      </c>
      <c r="E3631" s="9">
        <f>YEAR(Table3[[#This Row],[usage_date]])</f>
        <v>2023</v>
      </c>
      <c r="F3631" s="14">
        <v>1</v>
      </c>
      <c r="G3631">
        <v>212</v>
      </c>
      <c r="H3631" t="s">
        <v>13</v>
      </c>
      <c r="I3631" t="str">
        <f t="shared" si="56"/>
        <v>Normal Usage</v>
      </c>
    </row>
    <row r="3632" spans="1:9" x14ac:dyDescent="0.3">
      <c r="A3632">
        <v>13631</v>
      </c>
      <c r="B3632">
        <v>345</v>
      </c>
      <c r="C3632" s="2">
        <v>45234</v>
      </c>
      <c r="D3632" s="2" t="str">
        <f>TEXT(Table3[[#This Row],[usage_date]],"mmmm")</f>
        <v>November</v>
      </c>
      <c r="E3632" s="9">
        <f>YEAR(Table3[[#This Row],[usage_date]])</f>
        <v>2023</v>
      </c>
      <c r="F3632" s="14">
        <v>2.65</v>
      </c>
      <c r="G3632">
        <v>101</v>
      </c>
      <c r="H3632" t="s">
        <v>12</v>
      </c>
      <c r="I3632" t="str">
        <f t="shared" si="56"/>
        <v>Normal Usage</v>
      </c>
    </row>
    <row r="3633" spans="1:9" x14ac:dyDescent="0.3">
      <c r="A3633">
        <v>13632</v>
      </c>
      <c r="B3633">
        <v>489</v>
      </c>
      <c r="C3633" s="2">
        <v>45139</v>
      </c>
      <c r="D3633" s="2" t="str">
        <f>TEXT(Table3[[#This Row],[usage_date]],"mmmm")</f>
        <v>August</v>
      </c>
      <c r="E3633" s="9">
        <f>YEAR(Table3[[#This Row],[usage_date]])</f>
        <v>2023</v>
      </c>
      <c r="F3633" s="14">
        <v>0.82</v>
      </c>
      <c r="G3633">
        <v>285</v>
      </c>
      <c r="H3633" t="s">
        <v>12</v>
      </c>
      <c r="I3633" t="str">
        <f t="shared" si="56"/>
        <v>Normal Usage</v>
      </c>
    </row>
    <row r="3634" spans="1:9" x14ac:dyDescent="0.3">
      <c r="A3634">
        <v>13633</v>
      </c>
      <c r="B3634">
        <v>182</v>
      </c>
      <c r="C3634" s="2">
        <v>45359</v>
      </c>
      <c r="D3634" s="2" t="str">
        <f>TEXT(Table3[[#This Row],[usage_date]],"mmmm")</f>
        <v>March</v>
      </c>
      <c r="E3634" s="9">
        <f>YEAR(Table3[[#This Row],[usage_date]])</f>
        <v>2024</v>
      </c>
      <c r="F3634" s="14">
        <v>2.11</v>
      </c>
      <c r="G3634">
        <v>21</v>
      </c>
      <c r="H3634" t="s">
        <v>12</v>
      </c>
      <c r="I3634" t="str">
        <f t="shared" si="56"/>
        <v>Normal Usage</v>
      </c>
    </row>
    <row r="3635" spans="1:9" x14ac:dyDescent="0.3">
      <c r="A3635">
        <v>13634</v>
      </c>
      <c r="B3635">
        <v>458</v>
      </c>
      <c r="C3635" s="2">
        <v>44800</v>
      </c>
      <c r="D3635" s="2" t="str">
        <f>TEXT(Table3[[#This Row],[usage_date]],"mmmm")</f>
        <v>August</v>
      </c>
      <c r="E3635" s="9">
        <f>YEAR(Table3[[#This Row],[usage_date]])</f>
        <v>2022</v>
      </c>
      <c r="F3635" s="14">
        <v>3.7</v>
      </c>
      <c r="G3635">
        <v>18</v>
      </c>
      <c r="H3635" t="s">
        <v>12</v>
      </c>
      <c r="I3635" t="str">
        <f t="shared" si="56"/>
        <v>Normal Usage</v>
      </c>
    </row>
    <row r="3636" spans="1:9" x14ac:dyDescent="0.3">
      <c r="A3636">
        <v>13635</v>
      </c>
      <c r="B3636">
        <v>406</v>
      </c>
      <c r="C3636" s="2">
        <v>45093</v>
      </c>
      <c r="D3636" s="2" t="str">
        <f>TEXT(Table3[[#This Row],[usage_date]],"mmmm")</f>
        <v>June</v>
      </c>
      <c r="E3636" s="9">
        <f>YEAR(Table3[[#This Row],[usage_date]])</f>
        <v>2023</v>
      </c>
      <c r="F3636" s="14">
        <v>6.58</v>
      </c>
      <c r="G3636">
        <v>286</v>
      </c>
      <c r="H3636" t="s">
        <v>13</v>
      </c>
      <c r="I3636" t="str">
        <f t="shared" si="56"/>
        <v>High Usage</v>
      </c>
    </row>
    <row r="3637" spans="1:9" x14ac:dyDescent="0.3">
      <c r="A3637">
        <v>13636</v>
      </c>
      <c r="B3637">
        <v>339</v>
      </c>
      <c r="C3637" s="2">
        <v>45261</v>
      </c>
      <c r="D3637" s="2" t="str">
        <f>TEXT(Table3[[#This Row],[usage_date]],"mmmm")</f>
        <v>December</v>
      </c>
      <c r="E3637" s="9">
        <f>YEAR(Table3[[#This Row],[usage_date]])</f>
        <v>2023</v>
      </c>
      <c r="F3637" s="14">
        <v>0.76</v>
      </c>
      <c r="G3637">
        <v>275</v>
      </c>
      <c r="H3637" t="s">
        <v>12</v>
      </c>
      <c r="I3637" t="str">
        <f t="shared" si="56"/>
        <v>Normal Usage</v>
      </c>
    </row>
    <row r="3638" spans="1:9" x14ac:dyDescent="0.3">
      <c r="A3638">
        <v>13637</v>
      </c>
      <c r="B3638">
        <v>321</v>
      </c>
      <c r="C3638" s="2">
        <v>44643</v>
      </c>
      <c r="D3638" s="2" t="str">
        <f>TEXT(Table3[[#This Row],[usage_date]],"mmmm")</f>
        <v>March</v>
      </c>
      <c r="E3638" s="9">
        <f>YEAR(Table3[[#This Row],[usage_date]])</f>
        <v>2022</v>
      </c>
      <c r="F3638" s="14">
        <v>1.02</v>
      </c>
      <c r="G3638">
        <v>146</v>
      </c>
      <c r="H3638" t="s">
        <v>12</v>
      </c>
      <c r="I3638" t="str">
        <f t="shared" si="56"/>
        <v>Normal Usage</v>
      </c>
    </row>
    <row r="3639" spans="1:9" x14ac:dyDescent="0.3">
      <c r="A3639">
        <v>13638</v>
      </c>
      <c r="B3639">
        <v>64</v>
      </c>
      <c r="C3639" s="2">
        <v>44924</v>
      </c>
      <c r="D3639" s="2" t="str">
        <f>TEXT(Table3[[#This Row],[usage_date]],"mmmm")</f>
        <v>December</v>
      </c>
      <c r="E3639" s="9">
        <f>YEAR(Table3[[#This Row],[usage_date]])</f>
        <v>2022</v>
      </c>
      <c r="F3639" s="14">
        <v>1.56</v>
      </c>
      <c r="G3639">
        <v>39</v>
      </c>
      <c r="H3639" t="s">
        <v>12</v>
      </c>
      <c r="I3639" t="str">
        <f t="shared" si="56"/>
        <v>Normal Usage</v>
      </c>
    </row>
    <row r="3640" spans="1:9" x14ac:dyDescent="0.3">
      <c r="A3640">
        <v>13639</v>
      </c>
      <c r="B3640">
        <v>327</v>
      </c>
      <c r="C3640" s="2">
        <v>45066</v>
      </c>
      <c r="D3640" s="2" t="str">
        <f>TEXT(Table3[[#This Row],[usage_date]],"mmmm")</f>
        <v>May</v>
      </c>
      <c r="E3640" s="9">
        <f>YEAR(Table3[[#This Row],[usage_date]])</f>
        <v>2023</v>
      </c>
      <c r="F3640" s="14">
        <v>6.55</v>
      </c>
      <c r="G3640">
        <v>166</v>
      </c>
      <c r="H3640" t="s">
        <v>12</v>
      </c>
      <c r="I3640" t="str">
        <f t="shared" si="56"/>
        <v>High Usage</v>
      </c>
    </row>
    <row r="3641" spans="1:9" x14ac:dyDescent="0.3">
      <c r="A3641">
        <v>13640</v>
      </c>
      <c r="B3641">
        <v>260</v>
      </c>
      <c r="C3641" s="2">
        <v>44763</v>
      </c>
      <c r="D3641" s="2" t="str">
        <f>TEXT(Table3[[#This Row],[usage_date]],"mmmm")</f>
        <v>July</v>
      </c>
      <c r="E3641" s="9">
        <f>YEAR(Table3[[#This Row],[usage_date]])</f>
        <v>2022</v>
      </c>
      <c r="F3641" s="14">
        <v>5.79</v>
      </c>
      <c r="G3641">
        <v>90</v>
      </c>
      <c r="H3641" t="s">
        <v>13</v>
      </c>
      <c r="I3641" t="str">
        <f t="shared" si="56"/>
        <v>Normal Usage</v>
      </c>
    </row>
    <row r="3642" spans="1:9" x14ac:dyDescent="0.3">
      <c r="A3642">
        <v>13641</v>
      </c>
      <c r="B3642">
        <v>193</v>
      </c>
      <c r="C3642" s="2">
        <v>45065</v>
      </c>
      <c r="D3642" s="2" t="str">
        <f>TEXT(Table3[[#This Row],[usage_date]],"mmmm")</f>
        <v>May</v>
      </c>
      <c r="E3642" s="9">
        <f>YEAR(Table3[[#This Row],[usage_date]])</f>
        <v>2023</v>
      </c>
      <c r="F3642" s="14">
        <v>0.24</v>
      </c>
      <c r="G3642">
        <v>71</v>
      </c>
      <c r="H3642" t="s">
        <v>13</v>
      </c>
      <c r="I3642" t="str">
        <f t="shared" si="56"/>
        <v>Normal Usage</v>
      </c>
    </row>
    <row r="3643" spans="1:9" x14ac:dyDescent="0.3">
      <c r="A3643">
        <v>13642</v>
      </c>
      <c r="B3643">
        <v>143</v>
      </c>
      <c r="C3643" s="2">
        <v>45205</v>
      </c>
      <c r="D3643" s="2" t="str">
        <f>TEXT(Table3[[#This Row],[usage_date]],"mmmm")</f>
        <v>October</v>
      </c>
      <c r="E3643" s="9">
        <f>YEAR(Table3[[#This Row],[usage_date]])</f>
        <v>2023</v>
      </c>
      <c r="F3643" s="14">
        <v>0.35</v>
      </c>
      <c r="G3643">
        <v>282</v>
      </c>
      <c r="H3643" t="s">
        <v>12</v>
      </c>
      <c r="I3643" t="str">
        <f t="shared" si="56"/>
        <v>Normal Usage</v>
      </c>
    </row>
    <row r="3644" spans="1:9" x14ac:dyDescent="0.3">
      <c r="A3644">
        <v>13643</v>
      </c>
      <c r="B3644">
        <v>104</v>
      </c>
      <c r="C3644" s="2">
        <v>44598</v>
      </c>
      <c r="D3644" s="2" t="str">
        <f>TEXT(Table3[[#This Row],[usage_date]],"mmmm")</f>
        <v>February</v>
      </c>
      <c r="E3644" s="9">
        <f>YEAR(Table3[[#This Row],[usage_date]])</f>
        <v>2022</v>
      </c>
      <c r="F3644" s="14">
        <v>1.71</v>
      </c>
      <c r="G3644">
        <v>139</v>
      </c>
      <c r="H3644" t="s">
        <v>13</v>
      </c>
      <c r="I3644" t="str">
        <f t="shared" si="56"/>
        <v>Normal Usage</v>
      </c>
    </row>
    <row r="3645" spans="1:9" x14ac:dyDescent="0.3">
      <c r="A3645">
        <v>13644</v>
      </c>
      <c r="B3645">
        <v>460</v>
      </c>
      <c r="C3645" s="2">
        <v>45205</v>
      </c>
      <c r="D3645" s="2" t="str">
        <f>TEXT(Table3[[#This Row],[usage_date]],"mmmm")</f>
        <v>October</v>
      </c>
      <c r="E3645" s="9">
        <f>YEAR(Table3[[#This Row],[usage_date]])</f>
        <v>2023</v>
      </c>
      <c r="F3645" s="14">
        <v>0.28000000000000003</v>
      </c>
      <c r="G3645">
        <v>238</v>
      </c>
      <c r="H3645" t="s">
        <v>13</v>
      </c>
      <c r="I3645" t="str">
        <f t="shared" si="56"/>
        <v>Normal Usage</v>
      </c>
    </row>
    <row r="3646" spans="1:9" x14ac:dyDescent="0.3">
      <c r="A3646">
        <v>13645</v>
      </c>
      <c r="B3646">
        <v>406</v>
      </c>
      <c r="C3646" s="2">
        <v>45150</v>
      </c>
      <c r="D3646" s="2" t="str">
        <f>TEXT(Table3[[#This Row],[usage_date]],"mmmm")</f>
        <v>August</v>
      </c>
      <c r="E3646" s="9">
        <f>YEAR(Table3[[#This Row],[usage_date]])</f>
        <v>2023</v>
      </c>
      <c r="F3646" s="14">
        <v>1.06</v>
      </c>
      <c r="G3646">
        <v>77</v>
      </c>
      <c r="H3646" t="s">
        <v>12</v>
      </c>
      <c r="I3646" t="str">
        <f t="shared" si="56"/>
        <v>Normal Usage</v>
      </c>
    </row>
    <row r="3647" spans="1:9" x14ac:dyDescent="0.3">
      <c r="A3647">
        <v>13646</v>
      </c>
      <c r="B3647">
        <v>214</v>
      </c>
      <c r="C3647" s="2">
        <v>45162</v>
      </c>
      <c r="D3647" s="2" t="str">
        <f>TEXT(Table3[[#This Row],[usage_date]],"mmmm")</f>
        <v>August</v>
      </c>
      <c r="E3647" s="9">
        <f>YEAR(Table3[[#This Row],[usage_date]])</f>
        <v>2023</v>
      </c>
      <c r="F3647" s="14">
        <v>0.4</v>
      </c>
      <c r="G3647">
        <v>198</v>
      </c>
      <c r="H3647" t="s">
        <v>13</v>
      </c>
      <c r="I3647" t="str">
        <f t="shared" si="56"/>
        <v>Normal Usage</v>
      </c>
    </row>
    <row r="3648" spans="1:9" x14ac:dyDescent="0.3">
      <c r="A3648">
        <v>13647</v>
      </c>
      <c r="B3648">
        <v>242</v>
      </c>
      <c r="C3648" s="2">
        <v>44963</v>
      </c>
      <c r="D3648" s="2" t="str">
        <f>TEXT(Table3[[#This Row],[usage_date]],"mmmm")</f>
        <v>February</v>
      </c>
      <c r="E3648" s="9">
        <f>YEAR(Table3[[#This Row],[usage_date]])</f>
        <v>2023</v>
      </c>
      <c r="F3648" s="14">
        <v>2.5299999999999998</v>
      </c>
      <c r="G3648">
        <v>16</v>
      </c>
      <c r="H3648" t="s">
        <v>12</v>
      </c>
      <c r="I3648" t="str">
        <f t="shared" si="56"/>
        <v>Normal Usage</v>
      </c>
    </row>
    <row r="3649" spans="1:9" x14ac:dyDescent="0.3">
      <c r="A3649">
        <v>13648</v>
      </c>
      <c r="B3649">
        <v>431</v>
      </c>
      <c r="C3649" s="2">
        <v>45326</v>
      </c>
      <c r="D3649" s="2" t="str">
        <f>TEXT(Table3[[#This Row],[usage_date]],"mmmm")</f>
        <v>February</v>
      </c>
      <c r="E3649" s="9">
        <f>YEAR(Table3[[#This Row],[usage_date]])</f>
        <v>2024</v>
      </c>
      <c r="F3649" s="14">
        <v>7.46</v>
      </c>
      <c r="G3649">
        <v>217</v>
      </c>
      <c r="H3649" t="s">
        <v>12</v>
      </c>
      <c r="I3649" t="str">
        <f t="shared" si="56"/>
        <v>High Usage</v>
      </c>
    </row>
    <row r="3650" spans="1:9" x14ac:dyDescent="0.3">
      <c r="A3650">
        <v>13649</v>
      </c>
      <c r="B3650">
        <v>209</v>
      </c>
      <c r="C3650" s="2">
        <v>45417</v>
      </c>
      <c r="D3650" s="2" t="str">
        <f>TEXT(Table3[[#This Row],[usage_date]],"mmmm")</f>
        <v>May</v>
      </c>
      <c r="E3650" s="9">
        <f>YEAR(Table3[[#This Row],[usage_date]])</f>
        <v>2024</v>
      </c>
      <c r="F3650" s="14">
        <v>14.31</v>
      </c>
      <c r="G3650">
        <v>228</v>
      </c>
      <c r="H3650" t="s">
        <v>12</v>
      </c>
      <c r="I3650" t="str">
        <f t="shared" ref="I3650:I3713" si="57">IF(F3650&gt;6,"High Usage","Normal Usage")</f>
        <v>High Usage</v>
      </c>
    </row>
    <row r="3651" spans="1:9" x14ac:dyDescent="0.3">
      <c r="A3651">
        <v>13650</v>
      </c>
      <c r="B3651">
        <v>93</v>
      </c>
      <c r="C3651" s="2">
        <v>45267</v>
      </c>
      <c r="D3651" s="2" t="str">
        <f>TEXT(Table3[[#This Row],[usage_date]],"mmmm")</f>
        <v>December</v>
      </c>
      <c r="E3651" s="9">
        <f>YEAR(Table3[[#This Row],[usage_date]])</f>
        <v>2023</v>
      </c>
      <c r="F3651" s="14">
        <v>1.18</v>
      </c>
      <c r="G3651">
        <v>137</v>
      </c>
      <c r="H3651" t="s">
        <v>13</v>
      </c>
      <c r="I3651" t="str">
        <f t="shared" si="57"/>
        <v>Normal Usage</v>
      </c>
    </row>
    <row r="3652" spans="1:9" x14ac:dyDescent="0.3">
      <c r="A3652">
        <v>13651</v>
      </c>
      <c r="B3652">
        <v>430</v>
      </c>
      <c r="C3652" s="2">
        <v>44737</v>
      </c>
      <c r="D3652" s="2" t="str">
        <f>TEXT(Table3[[#This Row],[usage_date]],"mmmm")</f>
        <v>June</v>
      </c>
      <c r="E3652" s="9">
        <f>YEAR(Table3[[#This Row],[usage_date]])</f>
        <v>2022</v>
      </c>
      <c r="F3652" s="14">
        <v>2.2799999999999998</v>
      </c>
      <c r="G3652">
        <v>146</v>
      </c>
      <c r="H3652" t="s">
        <v>12</v>
      </c>
      <c r="I3652" t="str">
        <f t="shared" si="57"/>
        <v>Normal Usage</v>
      </c>
    </row>
    <row r="3653" spans="1:9" x14ac:dyDescent="0.3">
      <c r="A3653">
        <v>13652</v>
      </c>
      <c r="B3653">
        <v>142</v>
      </c>
      <c r="C3653" s="2">
        <v>45106</v>
      </c>
      <c r="D3653" s="2" t="str">
        <f>TEXT(Table3[[#This Row],[usage_date]],"mmmm")</f>
        <v>June</v>
      </c>
      <c r="E3653" s="9">
        <f>YEAR(Table3[[#This Row],[usage_date]])</f>
        <v>2023</v>
      </c>
      <c r="F3653" s="14">
        <v>4.8499999999999996</v>
      </c>
      <c r="G3653">
        <v>209</v>
      </c>
      <c r="H3653" t="s">
        <v>12</v>
      </c>
      <c r="I3653" t="str">
        <f t="shared" si="57"/>
        <v>Normal Usage</v>
      </c>
    </row>
    <row r="3654" spans="1:9" x14ac:dyDescent="0.3">
      <c r="A3654">
        <v>13653</v>
      </c>
      <c r="B3654">
        <v>434</v>
      </c>
      <c r="C3654" s="2">
        <v>45131</v>
      </c>
      <c r="D3654" s="2" t="str">
        <f>TEXT(Table3[[#This Row],[usage_date]],"mmmm")</f>
        <v>July</v>
      </c>
      <c r="E3654" s="9">
        <f>YEAR(Table3[[#This Row],[usage_date]])</f>
        <v>2023</v>
      </c>
      <c r="F3654" s="14">
        <v>0.31</v>
      </c>
      <c r="G3654">
        <v>157</v>
      </c>
      <c r="H3654" t="s">
        <v>12</v>
      </c>
      <c r="I3654" t="str">
        <f t="shared" si="57"/>
        <v>Normal Usage</v>
      </c>
    </row>
    <row r="3655" spans="1:9" x14ac:dyDescent="0.3">
      <c r="A3655">
        <v>13654</v>
      </c>
      <c r="B3655">
        <v>404</v>
      </c>
      <c r="C3655" s="2">
        <v>45028</v>
      </c>
      <c r="D3655" s="2" t="str">
        <f>TEXT(Table3[[#This Row],[usage_date]],"mmmm")</f>
        <v>April</v>
      </c>
      <c r="E3655" s="9">
        <f>YEAR(Table3[[#This Row],[usage_date]])</f>
        <v>2023</v>
      </c>
      <c r="F3655" s="14">
        <v>2.92</v>
      </c>
      <c r="G3655">
        <v>152</v>
      </c>
      <c r="H3655" t="s">
        <v>12</v>
      </c>
      <c r="I3655" t="str">
        <f t="shared" si="57"/>
        <v>Normal Usage</v>
      </c>
    </row>
    <row r="3656" spans="1:9" x14ac:dyDescent="0.3">
      <c r="A3656">
        <v>13655</v>
      </c>
      <c r="B3656">
        <v>434</v>
      </c>
      <c r="C3656" s="2">
        <v>44762</v>
      </c>
      <c r="D3656" s="2" t="str">
        <f>TEXT(Table3[[#This Row],[usage_date]],"mmmm")</f>
        <v>July</v>
      </c>
      <c r="E3656" s="9">
        <f>YEAR(Table3[[#This Row],[usage_date]])</f>
        <v>2022</v>
      </c>
      <c r="F3656" s="14">
        <v>1.31</v>
      </c>
      <c r="G3656">
        <v>162</v>
      </c>
      <c r="H3656" t="s">
        <v>13</v>
      </c>
      <c r="I3656" t="str">
        <f t="shared" si="57"/>
        <v>Normal Usage</v>
      </c>
    </row>
    <row r="3657" spans="1:9" x14ac:dyDescent="0.3">
      <c r="A3657">
        <v>13656</v>
      </c>
      <c r="B3657">
        <v>112</v>
      </c>
      <c r="C3657" s="2">
        <v>45101</v>
      </c>
      <c r="D3657" s="2" t="str">
        <f>TEXT(Table3[[#This Row],[usage_date]],"mmmm")</f>
        <v>June</v>
      </c>
      <c r="E3657" s="9">
        <f>YEAR(Table3[[#This Row],[usage_date]])</f>
        <v>2023</v>
      </c>
      <c r="F3657" s="14">
        <v>0.57999999999999996</v>
      </c>
      <c r="G3657">
        <v>100</v>
      </c>
      <c r="H3657" t="s">
        <v>12</v>
      </c>
      <c r="I3657" t="str">
        <f t="shared" si="57"/>
        <v>Normal Usage</v>
      </c>
    </row>
    <row r="3658" spans="1:9" x14ac:dyDescent="0.3">
      <c r="A3658">
        <v>13657</v>
      </c>
      <c r="B3658">
        <v>417</v>
      </c>
      <c r="C3658" s="2">
        <v>45108</v>
      </c>
      <c r="D3658" s="2" t="str">
        <f>TEXT(Table3[[#This Row],[usage_date]],"mmmm")</f>
        <v>July</v>
      </c>
      <c r="E3658" s="9">
        <f>YEAR(Table3[[#This Row],[usage_date]])</f>
        <v>2023</v>
      </c>
      <c r="F3658" s="14">
        <v>1.29</v>
      </c>
      <c r="G3658">
        <v>154</v>
      </c>
      <c r="H3658" t="s">
        <v>12</v>
      </c>
      <c r="I3658" t="str">
        <f t="shared" si="57"/>
        <v>Normal Usage</v>
      </c>
    </row>
    <row r="3659" spans="1:9" x14ac:dyDescent="0.3">
      <c r="A3659">
        <v>13658</v>
      </c>
      <c r="B3659">
        <v>375</v>
      </c>
      <c r="C3659" s="2">
        <v>45198</v>
      </c>
      <c r="D3659" s="2" t="str">
        <f>TEXT(Table3[[#This Row],[usage_date]],"mmmm")</f>
        <v>September</v>
      </c>
      <c r="E3659" s="9">
        <f>YEAR(Table3[[#This Row],[usage_date]])</f>
        <v>2023</v>
      </c>
      <c r="F3659" s="14">
        <v>0.2</v>
      </c>
      <c r="G3659">
        <v>9</v>
      </c>
      <c r="H3659" t="s">
        <v>12</v>
      </c>
      <c r="I3659" t="str">
        <f t="shared" si="57"/>
        <v>Normal Usage</v>
      </c>
    </row>
    <row r="3660" spans="1:9" x14ac:dyDescent="0.3">
      <c r="A3660">
        <v>13659</v>
      </c>
      <c r="B3660">
        <v>59</v>
      </c>
      <c r="C3660" s="2">
        <v>44955</v>
      </c>
      <c r="D3660" s="2" t="str">
        <f>TEXT(Table3[[#This Row],[usage_date]],"mmmm")</f>
        <v>January</v>
      </c>
      <c r="E3660" s="9">
        <f>YEAR(Table3[[#This Row],[usage_date]])</f>
        <v>2023</v>
      </c>
      <c r="F3660" s="14">
        <v>2.97</v>
      </c>
      <c r="G3660">
        <v>182</v>
      </c>
      <c r="H3660" t="s">
        <v>12</v>
      </c>
      <c r="I3660" t="str">
        <f t="shared" si="57"/>
        <v>Normal Usage</v>
      </c>
    </row>
    <row r="3661" spans="1:9" x14ac:dyDescent="0.3">
      <c r="A3661">
        <v>13660</v>
      </c>
      <c r="B3661">
        <v>43</v>
      </c>
      <c r="C3661" s="2">
        <v>45394</v>
      </c>
      <c r="D3661" s="2" t="str">
        <f>TEXT(Table3[[#This Row],[usage_date]],"mmmm")</f>
        <v>April</v>
      </c>
      <c r="E3661" s="9">
        <f>YEAR(Table3[[#This Row],[usage_date]])</f>
        <v>2024</v>
      </c>
      <c r="F3661" s="14">
        <v>0.73</v>
      </c>
      <c r="G3661">
        <v>133</v>
      </c>
      <c r="H3661" t="s">
        <v>12</v>
      </c>
      <c r="I3661" t="str">
        <f t="shared" si="57"/>
        <v>Normal Usage</v>
      </c>
    </row>
    <row r="3662" spans="1:9" x14ac:dyDescent="0.3">
      <c r="A3662">
        <v>13661</v>
      </c>
      <c r="B3662">
        <v>207</v>
      </c>
      <c r="C3662" s="2">
        <v>44603</v>
      </c>
      <c r="D3662" s="2" t="str">
        <f>TEXT(Table3[[#This Row],[usage_date]],"mmmm")</f>
        <v>February</v>
      </c>
      <c r="E3662" s="9">
        <f>YEAR(Table3[[#This Row],[usage_date]])</f>
        <v>2022</v>
      </c>
      <c r="F3662" s="14">
        <v>0.93</v>
      </c>
      <c r="G3662">
        <v>5</v>
      </c>
      <c r="H3662" t="s">
        <v>12</v>
      </c>
      <c r="I3662" t="str">
        <f t="shared" si="57"/>
        <v>Normal Usage</v>
      </c>
    </row>
    <row r="3663" spans="1:9" x14ac:dyDescent="0.3">
      <c r="A3663">
        <v>13662</v>
      </c>
      <c r="B3663">
        <v>268</v>
      </c>
      <c r="C3663" s="2">
        <v>45158</v>
      </c>
      <c r="D3663" s="2" t="str">
        <f>TEXT(Table3[[#This Row],[usage_date]],"mmmm")</f>
        <v>August</v>
      </c>
      <c r="E3663" s="9">
        <f>YEAR(Table3[[#This Row],[usage_date]])</f>
        <v>2023</v>
      </c>
      <c r="F3663" s="14">
        <v>0.32</v>
      </c>
      <c r="G3663">
        <v>257</v>
      </c>
      <c r="H3663" t="s">
        <v>12</v>
      </c>
      <c r="I3663" t="str">
        <f t="shared" si="57"/>
        <v>Normal Usage</v>
      </c>
    </row>
    <row r="3664" spans="1:9" x14ac:dyDescent="0.3">
      <c r="A3664">
        <v>13663</v>
      </c>
      <c r="B3664">
        <v>296</v>
      </c>
      <c r="C3664" s="2">
        <v>44954</v>
      </c>
      <c r="D3664" s="2" t="str">
        <f>TEXT(Table3[[#This Row],[usage_date]],"mmmm")</f>
        <v>January</v>
      </c>
      <c r="E3664" s="9">
        <f>YEAR(Table3[[#This Row],[usage_date]])</f>
        <v>2023</v>
      </c>
      <c r="F3664" s="14">
        <v>5</v>
      </c>
      <c r="G3664">
        <v>210</v>
      </c>
      <c r="H3664" t="s">
        <v>12</v>
      </c>
      <c r="I3664" t="str">
        <f t="shared" si="57"/>
        <v>Normal Usage</v>
      </c>
    </row>
    <row r="3665" spans="1:9" x14ac:dyDescent="0.3">
      <c r="A3665">
        <v>13664</v>
      </c>
      <c r="B3665">
        <v>118</v>
      </c>
      <c r="C3665" s="2">
        <v>45261</v>
      </c>
      <c r="D3665" s="2" t="str">
        <f>TEXT(Table3[[#This Row],[usage_date]],"mmmm")</f>
        <v>December</v>
      </c>
      <c r="E3665" s="9">
        <f>YEAR(Table3[[#This Row],[usage_date]])</f>
        <v>2023</v>
      </c>
      <c r="F3665" s="14">
        <v>1.7</v>
      </c>
      <c r="G3665">
        <v>50</v>
      </c>
      <c r="H3665" t="s">
        <v>12</v>
      </c>
      <c r="I3665" t="str">
        <f t="shared" si="57"/>
        <v>Normal Usage</v>
      </c>
    </row>
    <row r="3666" spans="1:9" x14ac:dyDescent="0.3">
      <c r="A3666">
        <v>13665</v>
      </c>
      <c r="B3666">
        <v>20</v>
      </c>
      <c r="C3666" s="2">
        <v>45184</v>
      </c>
      <c r="D3666" s="2" t="str">
        <f>TEXT(Table3[[#This Row],[usage_date]],"mmmm")</f>
        <v>September</v>
      </c>
      <c r="E3666" s="9">
        <f>YEAR(Table3[[#This Row],[usage_date]])</f>
        <v>2023</v>
      </c>
      <c r="F3666" s="14">
        <v>2.12</v>
      </c>
      <c r="G3666">
        <v>146</v>
      </c>
      <c r="H3666" t="s">
        <v>12</v>
      </c>
      <c r="I3666" t="str">
        <f t="shared" si="57"/>
        <v>Normal Usage</v>
      </c>
    </row>
    <row r="3667" spans="1:9" x14ac:dyDescent="0.3">
      <c r="A3667">
        <v>13666</v>
      </c>
      <c r="B3667">
        <v>222</v>
      </c>
      <c r="C3667" s="2">
        <v>45344</v>
      </c>
      <c r="D3667" s="2" t="str">
        <f>TEXT(Table3[[#This Row],[usage_date]],"mmmm")</f>
        <v>February</v>
      </c>
      <c r="E3667" s="9">
        <f>YEAR(Table3[[#This Row],[usage_date]])</f>
        <v>2024</v>
      </c>
      <c r="F3667" s="14">
        <v>2.11</v>
      </c>
      <c r="G3667">
        <v>127</v>
      </c>
      <c r="H3667" t="s">
        <v>13</v>
      </c>
      <c r="I3667" t="str">
        <f t="shared" si="57"/>
        <v>Normal Usage</v>
      </c>
    </row>
    <row r="3668" spans="1:9" x14ac:dyDescent="0.3">
      <c r="A3668">
        <v>13667</v>
      </c>
      <c r="B3668">
        <v>166</v>
      </c>
      <c r="C3668" s="2">
        <v>45002</v>
      </c>
      <c r="D3668" s="2" t="str">
        <f>TEXT(Table3[[#This Row],[usage_date]],"mmmm")</f>
        <v>March</v>
      </c>
      <c r="E3668" s="9">
        <f>YEAR(Table3[[#This Row],[usage_date]])</f>
        <v>2023</v>
      </c>
      <c r="F3668" s="14">
        <v>1.32</v>
      </c>
      <c r="G3668">
        <v>257</v>
      </c>
      <c r="H3668" t="s">
        <v>12</v>
      </c>
      <c r="I3668" t="str">
        <f t="shared" si="57"/>
        <v>Normal Usage</v>
      </c>
    </row>
    <row r="3669" spans="1:9" x14ac:dyDescent="0.3">
      <c r="A3669">
        <v>13668</v>
      </c>
      <c r="B3669">
        <v>131</v>
      </c>
      <c r="C3669" s="2">
        <v>45398</v>
      </c>
      <c r="D3669" s="2" t="str">
        <f>TEXT(Table3[[#This Row],[usage_date]],"mmmm")</f>
        <v>April</v>
      </c>
      <c r="E3669" s="9">
        <f>YEAR(Table3[[#This Row],[usage_date]])</f>
        <v>2024</v>
      </c>
      <c r="F3669" s="14">
        <v>0.53</v>
      </c>
      <c r="G3669">
        <v>50</v>
      </c>
      <c r="H3669" t="s">
        <v>13</v>
      </c>
      <c r="I3669" t="str">
        <f t="shared" si="57"/>
        <v>Normal Usage</v>
      </c>
    </row>
    <row r="3670" spans="1:9" x14ac:dyDescent="0.3">
      <c r="A3670">
        <v>13669</v>
      </c>
      <c r="B3670">
        <v>156</v>
      </c>
      <c r="C3670" s="2">
        <v>45178</v>
      </c>
      <c r="D3670" s="2" t="str">
        <f>TEXT(Table3[[#This Row],[usage_date]],"mmmm")</f>
        <v>September</v>
      </c>
      <c r="E3670" s="9">
        <f>YEAR(Table3[[#This Row],[usage_date]])</f>
        <v>2023</v>
      </c>
      <c r="F3670" s="14">
        <v>3.42</v>
      </c>
      <c r="G3670">
        <v>153</v>
      </c>
      <c r="H3670" t="s">
        <v>12</v>
      </c>
      <c r="I3670" t="str">
        <f t="shared" si="57"/>
        <v>Normal Usage</v>
      </c>
    </row>
    <row r="3671" spans="1:9" x14ac:dyDescent="0.3">
      <c r="A3671">
        <v>13670</v>
      </c>
      <c r="B3671">
        <v>184</v>
      </c>
      <c r="C3671" s="2">
        <v>45067</v>
      </c>
      <c r="D3671" s="2" t="str">
        <f>TEXT(Table3[[#This Row],[usage_date]],"mmmm")</f>
        <v>May</v>
      </c>
      <c r="E3671" s="9">
        <f>YEAR(Table3[[#This Row],[usage_date]])</f>
        <v>2023</v>
      </c>
      <c r="F3671" s="14">
        <v>0.34</v>
      </c>
      <c r="G3671">
        <v>69</v>
      </c>
      <c r="H3671" t="s">
        <v>12</v>
      </c>
      <c r="I3671" t="str">
        <f t="shared" si="57"/>
        <v>Normal Usage</v>
      </c>
    </row>
    <row r="3672" spans="1:9" x14ac:dyDescent="0.3">
      <c r="A3672">
        <v>13671</v>
      </c>
      <c r="B3672">
        <v>90</v>
      </c>
      <c r="C3672" s="2">
        <v>44881</v>
      </c>
      <c r="D3672" s="2" t="str">
        <f>TEXT(Table3[[#This Row],[usage_date]],"mmmm")</f>
        <v>November</v>
      </c>
      <c r="E3672" s="9">
        <f>YEAR(Table3[[#This Row],[usage_date]])</f>
        <v>2022</v>
      </c>
      <c r="F3672" s="14">
        <v>0.27</v>
      </c>
      <c r="G3672">
        <v>275</v>
      </c>
      <c r="H3672" t="s">
        <v>12</v>
      </c>
      <c r="I3672" t="str">
        <f t="shared" si="57"/>
        <v>Normal Usage</v>
      </c>
    </row>
    <row r="3673" spans="1:9" x14ac:dyDescent="0.3">
      <c r="A3673">
        <v>13672</v>
      </c>
      <c r="B3673">
        <v>94</v>
      </c>
      <c r="C3673" s="2">
        <v>45114</v>
      </c>
      <c r="D3673" s="2" t="str">
        <f>TEXT(Table3[[#This Row],[usage_date]],"mmmm")</f>
        <v>July</v>
      </c>
      <c r="E3673" s="9">
        <f>YEAR(Table3[[#This Row],[usage_date]])</f>
        <v>2023</v>
      </c>
      <c r="F3673" s="14">
        <v>3.1</v>
      </c>
      <c r="G3673">
        <v>278</v>
      </c>
      <c r="H3673" t="s">
        <v>12</v>
      </c>
      <c r="I3673" t="str">
        <f t="shared" si="57"/>
        <v>Normal Usage</v>
      </c>
    </row>
    <row r="3674" spans="1:9" x14ac:dyDescent="0.3">
      <c r="A3674">
        <v>13673</v>
      </c>
      <c r="B3674">
        <v>13</v>
      </c>
      <c r="C3674" s="2">
        <v>44776</v>
      </c>
      <c r="D3674" s="2" t="str">
        <f>TEXT(Table3[[#This Row],[usage_date]],"mmmm")</f>
        <v>August</v>
      </c>
      <c r="E3674" s="9">
        <f>YEAR(Table3[[#This Row],[usage_date]])</f>
        <v>2022</v>
      </c>
      <c r="F3674" s="14">
        <v>0.59</v>
      </c>
      <c r="G3674">
        <v>133</v>
      </c>
      <c r="H3674" t="s">
        <v>12</v>
      </c>
      <c r="I3674" t="str">
        <f t="shared" si="57"/>
        <v>Normal Usage</v>
      </c>
    </row>
    <row r="3675" spans="1:9" x14ac:dyDescent="0.3">
      <c r="A3675">
        <v>13674</v>
      </c>
      <c r="B3675">
        <v>461</v>
      </c>
      <c r="C3675" s="2">
        <v>44632</v>
      </c>
      <c r="D3675" s="2" t="str">
        <f>TEXT(Table3[[#This Row],[usage_date]],"mmmm")</f>
        <v>March</v>
      </c>
      <c r="E3675" s="9">
        <f>YEAR(Table3[[#This Row],[usage_date]])</f>
        <v>2022</v>
      </c>
      <c r="F3675" s="14">
        <v>0.92</v>
      </c>
      <c r="G3675">
        <v>219</v>
      </c>
      <c r="H3675" t="s">
        <v>13</v>
      </c>
      <c r="I3675" t="str">
        <f t="shared" si="57"/>
        <v>Normal Usage</v>
      </c>
    </row>
    <row r="3676" spans="1:9" x14ac:dyDescent="0.3">
      <c r="A3676">
        <v>13675</v>
      </c>
      <c r="B3676">
        <v>322</v>
      </c>
      <c r="C3676" s="2">
        <v>45129</v>
      </c>
      <c r="D3676" s="2" t="str">
        <f>TEXT(Table3[[#This Row],[usage_date]],"mmmm")</f>
        <v>July</v>
      </c>
      <c r="E3676" s="9">
        <f>YEAR(Table3[[#This Row],[usage_date]])</f>
        <v>2023</v>
      </c>
      <c r="F3676" s="14">
        <v>1.61</v>
      </c>
      <c r="G3676">
        <v>162</v>
      </c>
      <c r="H3676" t="s">
        <v>12</v>
      </c>
      <c r="I3676" t="str">
        <f t="shared" si="57"/>
        <v>Normal Usage</v>
      </c>
    </row>
    <row r="3677" spans="1:9" x14ac:dyDescent="0.3">
      <c r="A3677">
        <v>13676</v>
      </c>
      <c r="B3677">
        <v>293</v>
      </c>
      <c r="C3677" s="2">
        <v>44797</v>
      </c>
      <c r="D3677" s="2" t="str">
        <f>TEXT(Table3[[#This Row],[usage_date]],"mmmm")</f>
        <v>August</v>
      </c>
      <c r="E3677" s="9">
        <f>YEAR(Table3[[#This Row],[usage_date]])</f>
        <v>2022</v>
      </c>
      <c r="F3677" s="14">
        <v>1.49</v>
      </c>
      <c r="G3677">
        <v>135</v>
      </c>
      <c r="H3677" t="s">
        <v>12</v>
      </c>
      <c r="I3677" t="str">
        <f t="shared" si="57"/>
        <v>Normal Usage</v>
      </c>
    </row>
    <row r="3678" spans="1:9" x14ac:dyDescent="0.3">
      <c r="A3678">
        <v>13677</v>
      </c>
      <c r="B3678">
        <v>433</v>
      </c>
      <c r="C3678" s="2">
        <v>44842</v>
      </c>
      <c r="D3678" s="2" t="str">
        <f>TEXT(Table3[[#This Row],[usage_date]],"mmmm")</f>
        <v>October</v>
      </c>
      <c r="E3678" s="9">
        <f>YEAR(Table3[[#This Row],[usage_date]])</f>
        <v>2022</v>
      </c>
      <c r="F3678" s="14">
        <v>3.08</v>
      </c>
      <c r="G3678">
        <v>56</v>
      </c>
      <c r="H3678" t="s">
        <v>12</v>
      </c>
      <c r="I3678" t="str">
        <f t="shared" si="57"/>
        <v>Normal Usage</v>
      </c>
    </row>
    <row r="3679" spans="1:9" x14ac:dyDescent="0.3">
      <c r="A3679">
        <v>13678</v>
      </c>
      <c r="B3679">
        <v>230</v>
      </c>
      <c r="C3679" s="2">
        <v>45178</v>
      </c>
      <c r="D3679" s="2" t="str">
        <f>TEXT(Table3[[#This Row],[usage_date]],"mmmm")</f>
        <v>September</v>
      </c>
      <c r="E3679" s="9">
        <f>YEAR(Table3[[#This Row],[usage_date]])</f>
        <v>2023</v>
      </c>
      <c r="F3679" s="14">
        <v>2.44</v>
      </c>
      <c r="G3679">
        <v>176</v>
      </c>
      <c r="H3679" t="s">
        <v>13</v>
      </c>
      <c r="I3679" t="str">
        <f t="shared" si="57"/>
        <v>Normal Usage</v>
      </c>
    </row>
    <row r="3680" spans="1:9" x14ac:dyDescent="0.3">
      <c r="A3680">
        <v>13679</v>
      </c>
      <c r="B3680">
        <v>322</v>
      </c>
      <c r="C3680" s="2">
        <v>45448</v>
      </c>
      <c r="D3680" s="2" t="str">
        <f>TEXT(Table3[[#This Row],[usage_date]],"mmmm")</f>
        <v>June</v>
      </c>
      <c r="E3680" s="9">
        <f>YEAR(Table3[[#This Row],[usage_date]])</f>
        <v>2024</v>
      </c>
      <c r="F3680" s="14">
        <v>2.58</v>
      </c>
      <c r="G3680">
        <v>114</v>
      </c>
      <c r="H3680" t="s">
        <v>13</v>
      </c>
      <c r="I3680" t="str">
        <f t="shared" si="57"/>
        <v>Normal Usage</v>
      </c>
    </row>
    <row r="3681" spans="1:9" x14ac:dyDescent="0.3">
      <c r="A3681">
        <v>13680</v>
      </c>
      <c r="B3681">
        <v>292</v>
      </c>
      <c r="C3681" s="2">
        <v>44723</v>
      </c>
      <c r="D3681" s="2" t="str">
        <f>TEXT(Table3[[#This Row],[usage_date]],"mmmm")</f>
        <v>June</v>
      </c>
      <c r="E3681" s="9">
        <f>YEAR(Table3[[#This Row],[usage_date]])</f>
        <v>2022</v>
      </c>
      <c r="F3681" s="14">
        <v>3.13</v>
      </c>
      <c r="G3681">
        <v>148</v>
      </c>
      <c r="H3681" t="s">
        <v>12</v>
      </c>
      <c r="I3681" t="str">
        <f t="shared" si="57"/>
        <v>Normal Usage</v>
      </c>
    </row>
    <row r="3682" spans="1:9" x14ac:dyDescent="0.3">
      <c r="A3682">
        <v>13681</v>
      </c>
      <c r="B3682">
        <v>438</v>
      </c>
      <c r="C3682" s="2">
        <v>44752</v>
      </c>
      <c r="D3682" s="2" t="str">
        <f>TEXT(Table3[[#This Row],[usage_date]],"mmmm")</f>
        <v>July</v>
      </c>
      <c r="E3682" s="9">
        <f>YEAR(Table3[[#This Row],[usage_date]])</f>
        <v>2022</v>
      </c>
      <c r="F3682" s="14">
        <v>0.87</v>
      </c>
      <c r="G3682">
        <v>240</v>
      </c>
      <c r="H3682" t="s">
        <v>12</v>
      </c>
      <c r="I3682" t="str">
        <f t="shared" si="57"/>
        <v>Normal Usage</v>
      </c>
    </row>
    <row r="3683" spans="1:9" x14ac:dyDescent="0.3">
      <c r="A3683">
        <v>13682</v>
      </c>
      <c r="B3683">
        <v>26</v>
      </c>
      <c r="C3683" s="2">
        <v>44570</v>
      </c>
      <c r="D3683" s="2" t="str">
        <f>TEXT(Table3[[#This Row],[usage_date]],"mmmm")</f>
        <v>January</v>
      </c>
      <c r="E3683" s="9">
        <f>YEAR(Table3[[#This Row],[usage_date]])</f>
        <v>2022</v>
      </c>
      <c r="F3683" s="14">
        <v>0.97</v>
      </c>
      <c r="G3683">
        <v>122</v>
      </c>
      <c r="H3683" t="s">
        <v>12</v>
      </c>
      <c r="I3683" t="str">
        <f t="shared" si="57"/>
        <v>Normal Usage</v>
      </c>
    </row>
    <row r="3684" spans="1:9" x14ac:dyDescent="0.3">
      <c r="A3684">
        <v>13683</v>
      </c>
      <c r="B3684">
        <v>75</v>
      </c>
      <c r="C3684" s="2">
        <v>44621</v>
      </c>
      <c r="D3684" s="2" t="str">
        <f>TEXT(Table3[[#This Row],[usage_date]],"mmmm")</f>
        <v>March</v>
      </c>
      <c r="E3684" s="9">
        <f>YEAR(Table3[[#This Row],[usage_date]])</f>
        <v>2022</v>
      </c>
      <c r="F3684" s="14">
        <v>1.44</v>
      </c>
      <c r="G3684">
        <v>291</v>
      </c>
      <c r="H3684" t="s">
        <v>13</v>
      </c>
      <c r="I3684" t="str">
        <f t="shared" si="57"/>
        <v>Normal Usage</v>
      </c>
    </row>
    <row r="3685" spans="1:9" x14ac:dyDescent="0.3">
      <c r="A3685">
        <v>13684</v>
      </c>
      <c r="B3685">
        <v>456</v>
      </c>
      <c r="C3685" s="2">
        <v>45454</v>
      </c>
      <c r="D3685" s="2" t="str">
        <f>TEXT(Table3[[#This Row],[usage_date]],"mmmm")</f>
        <v>June</v>
      </c>
      <c r="E3685" s="9">
        <f>YEAR(Table3[[#This Row],[usage_date]])</f>
        <v>2024</v>
      </c>
      <c r="F3685" s="14">
        <v>0.92</v>
      </c>
      <c r="G3685">
        <v>68</v>
      </c>
      <c r="H3685" t="s">
        <v>13</v>
      </c>
      <c r="I3685" t="str">
        <f t="shared" si="57"/>
        <v>Normal Usage</v>
      </c>
    </row>
    <row r="3686" spans="1:9" x14ac:dyDescent="0.3">
      <c r="A3686">
        <v>13685</v>
      </c>
      <c r="B3686">
        <v>364</v>
      </c>
      <c r="C3686" s="2">
        <v>45378</v>
      </c>
      <c r="D3686" s="2" t="str">
        <f>TEXT(Table3[[#This Row],[usage_date]],"mmmm")</f>
        <v>March</v>
      </c>
      <c r="E3686" s="9">
        <f>YEAR(Table3[[#This Row],[usage_date]])</f>
        <v>2024</v>
      </c>
      <c r="F3686" s="14">
        <v>10.49</v>
      </c>
      <c r="G3686">
        <v>62</v>
      </c>
      <c r="H3686" t="s">
        <v>13</v>
      </c>
      <c r="I3686" t="str">
        <f t="shared" si="57"/>
        <v>High Usage</v>
      </c>
    </row>
    <row r="3687" spans="1:9" x14ac:dyDescent="0.3">
      <c r="A3687">
        <v>13686</v>
      </c>
      <c r="B3687">
        <v>424</v>
      </c>
      <c r="C3687" s="2">
        <v>44786</v>
      </c>
      <c r="D3687" s="2" t="str">
        <f>TEXT(Table3[[#This Row],[usage_date]],"mmmm")</f>
        <v>August</v>
      </c>
      <c r="E3687" s="9">
        <f>YEAR(Table3[[#This Row],[usage_date]])</f>
        <v>2022</v>
      </c>
      <c r="F3687" s="14">
        <v>4.21</v>
      </c>
      <c r="G3687">
        <v>220</v>
      </c>
      <c r="H3687" t="s">
        <v>12</v>
      </c>
      <c r="I3687" t="str">
        <f t="shared" si="57"/>
        <v>Normal Usage</v>
      </c>
    </row>
    <row r="3688" spans="1:9" x14ac:dyDescent="0.3">
      <c r="A3688">
        <v>13687</v>
      </c>
      <c r="B3688">
        <v>299</v>
      </c>
      <c r="C3688" s="2">
        <v>45380</v>
      </c>
      <c r="D3688" s="2" t="str">
        <f>TEXT(Table3[[#This Row],[usage_date]],"mmmm")</f>
        <v>March</v>
      </c>
      <c r="E3688" s="9">
        <f>YEAR(Table3[[#This Row],[usage_date]])</f>
        <v>2024</v>
      </c>
      <c r="F3688" s="14">
        <v>0.45</v>
      </c>
      <c r="G3688">
        <v>15</v>
      </c>
      <c r="H3688" t="s">
        <v>12</v>
      </c>
      <c r="I3688" t="str">
        <f t="shared" si="57"/>
        <v>Normal Usage</v>
      </c>
    </row>
    <row r="3689" spans="1:9" x14ac:dyDescent="0.3">
      <c r="A3689">
        <v>13688</v>
      </c>
      <c r="B3689">
        <v>150</v>
      </c>
      <c r="C3689" s="2">
        <v>45261</v>
      </c>
      <c r="D3689" s="2" t="str">
        <f>TEXT(Table3[[#This Row],[usage_date]],"mmmm")</f>
        <v>December</v>
      </c>
      <c r="E3689" s="9">
        <f>YEAR(Table3[[#This Row],[usage_date]])</f>
        <v>2023</v>
      </c>
      <c r="F3689" s="14">
        <v>0.01</v>
      </c>
      <c r="G3689">
        <v>77</v>
      </c>
      <c r="H3689" t="s">
        <v>13</v>
      </c>
      <c r="I3689" t="str">
        <f t="shared" si="57"/>
        <v>Normal Usage</v>
      </c>
    </row>
    <row r="3690" spans="1:9" x14ac:dyDescent="0.3">
      <c r="A3690">
        <v>13689</v>
      </c>
      <c r="B3690">
        <v>148</v>
      </c>
      <c r="C3690" s="2">
        <v>45143</v>
      </c>
      <c r="D3690" s="2" t="str">
        <f>TEXT(Table3[[#This Row],[usage_date]],"mmmm")</f>
        <v>August</v>
      </c>
      <c r="E3690" s="9">
        <f>YEAR(Table3[[#This Row],[usage_date]])</f>
        <v>2023</v>
      </c>
      <c r="F3690" s="14">
        <v>0.11</v>
      </c>
      <c r="G3690">
        <v>121</v>
      </c>
      <c r="H3690" t="s">
        <v>13</v>
      </c>
      <c r="I3690" t="str">
        <f t="shared" si="57"/>
        <v>Normal Usage</v>
      </c>
    </row>
    <row r="3691" spans="1:9" x14ac:dyDescent="0.3">
      <c r="A3691">
        <v>13690</v>
      </c>
      <c r="B3691">
        <v>8</v>
      </c>
      <c r="C3691" s="2">
        <v>45366</v>
      </c>
      <c r="D3691" s="2" t="str">
        <f>TEXT(Table3[[#This Row],[usage_date]],"mmmm")</f>
        <v>March</v>
      </c>
      <c r="E3691" s="9">
        <f>YEAR(Table3[[#This Row],[usage_date]])</f>
        <v>2024</v>
      </c>
      <c r="F3691" s="14">
        <v>0.7</v>
      </c>
      <c r="G3691">
        <v>257</v>
      </c>
      <c r="H3691" t="s">
        <v>13</v>
      </c>
      <c r="I3691" t="str">
        <f t="shared" si="57"/>
        <v>Normal Usage</v>
      </c>
    </row>
    <row r="3692" spans="1:9" x14ac:dyDescent="0.3">
      <c r="A3692">
        <v>13691</v>
      </c>
      <c r="B3692">
        <v>29</v>
      </c>
      <c r="C3692" s="2">
        <v>44848</v>
      </c>
      <c r="D3692" s="2" t="str">
        <f>TEXT(Table3[[#This Row],[usage_date]],"mmmm")</f>
        <v>October</v>
      </c>
      <c r="E3692" s="9">
        <f>YEAR(Table3[[#This Row],[usage_date]])</f>
        <v>2022</v>
      </c>
      <c r="F3692" s="14">
        <v>0.3</v>
      </c>
      <c r="G3692">
        <v>216</v>
      </c>
      <c r="H3692" t="s">
        <v>12</v>
      </c>
      <c r="I3692" t="str">
        <f t="shared" si="57"/>
        <v>Normal Usage</v>
      </c>
    </row>
    <row r="3693" spans="1:9" x14ac:dyDescent="0.3">
      <c r="A3693">
        <v>13692</v>
      </c>
      <c r="B3693">
        <v>296</v>
      </c>
      <c r="C3693" s="2">
        <v>44730</v>
      </c>
      <c r="D3693" s="2" t="str">
        <f>TEXT(Table3[[#This Row],[usage_date]],"mmmm")</f>
        <v>June</v>
      </c>
      <c r="E3693" s="9">
        <f>YEAR(Table3[[#This Row],[usage_date]])</f>
        <v>2022</v>
      </c>
      <c r="F3693" s="14">
        <v>1.91</v>
      </c>
      <c r="G3693">
        <v>113</v>
      </c>
      <c r="H3693" t="s">
        <v>12</v>
      </c>
      <c r="I3693" t="str">
        <f t="shared" si="57"/>
        <v>Normal Usage</v>
      </c>
    </row>
    <row r="3694" spans="1:9" x14ac:dyDescent="0.3">
      <c r="A3694">
        <v>13693</v>
      </c>
      <c r="B3694">
        <v>474</v>
      </c>
      <c r="C3694" s="2">
        <v>44623</v>
      </c>
      <c r="D3694" s="2" t="str">
        <f>TEXT(Table3[[#This Row],[usage_date]],"mmmm")</f>
        <v>March</v>
      </c>
      <c r="E3694" s="9">
        <f>YEAR(Table3[[#This Row],[usage_date]])</f>
        <v>2022</v>
      </c>
      <c r="F3694" s="14">
        <v>4.88</v>
      </c>
      <c r="G3694">
        <v>145</v>
      </c>
      <c r="H3694" t="s">
        <v>12</v>
      </c>
      <c r="I3694" t="str">
        <f t="shared" si="57"/>
        <v>Normal Usage</v>
      </c>
    </row>
    <row r="3695" spans="1:9" x14ac:dyDescent="0.3">
      <c r="A3695">
        <v>13694</v>
      </c>
      <c r="B3695">
        <v>414</v>
      </c>
      <c r="C3695" s="2">
        <v>44910</v>
      </c>
      <c r="D3695" s="2" t="str">
        <f>TEXT(Table3[[#This Row],[usage_date]],"mmmm")</f>
        <v>December</v>
      </c>
      <c r="E3695" s="9">
        <f>YEAR(Table3[[#This Row],[usage_date]])</f>
        <v>2022</v>
      </c>
      <c r="F3695" s="14">
        <v>3.34</v>
      </c>
      <c r="G3695">
        <v>236</v>
      </c>
      <c r="H3695" t="s">
        <v>13</v>
      </c>
      <c r="I3695" t="str">
        <f t="shared" si="57"/>
        <v>Normal Usage</v>
      </c>
    </row>
    <row r="3696" spans="1:9" x14ac:dyDescent="0.3">
      <c r="A3696">
        <v>13695</v>
      </c>
      <c r="B3696">
        <v>209</v>
      </c>
      <c r="C3696" s="2">
        <v>45003</v>
      </c>
      <c r="D3696" s="2" t="str">
        <f>TEXT(Table3[[#This Row],[usage_date]],"mmmm")</f>
        <v>March</v>
      </c>
      <c r="E3696" s="9">
        <f>YEAR(Table3[[#This Row],[usage_date]])</f>
        <v>2023</v>
      </c>
      <c r="F3696" s="14">
        <v>0.61</v>
      </c>
      <c r="G3696">
        <v>85</v>
      </c>
      <c r="H3696" t="s">
        <v>12</v>
      </c>
      <c r="I3696" t="str">
        <f t="shared" si="57"/>
        <v>Normal Usage</v>
      </c>
    </row>
    <row r="3697" spans="1:9" x14ac:dyDescent="0.3">
      <c r="A3697">
        <v>13696</v>
      </c>
      <c r="B3697">
        <v>128</v>
      </c>
      <c r="C3697" s="2">
        <v>44575</v>
      </c>
      <c r="D3697" s="2" t="str">
        <f>TEXT(Table3[[#This Row],[usage_date]],"mmmm")</f>
        <v>January</v>
      </c>
      <c r="E3697" s="9">
        <f>YEAR(Table3[[#This Row],[usage_date]])</f>
        <v>2022</v>
      </c>
      <c r="F3697" s="14">
        <v>1.27</v>
      </c>
      <c r="G3697">
        <v>166</v>
      </c>
      <c r="H3697" t="s">
        <v>12</v>
      </c>
      <c r="I3697" t="str">
        <f t="shared" si="57"/>
        <v>Normal Usage</v>
      </c>
    </row>
    <row r="3698" spans="1:9" x14ac:dyDescent="0.3">
      <c r="A3698">
        <v>13697</v>
      </c>
      <c r="B3698">
        <v>340</v>
      </c>
      <c r="C3698" s="2">
        <v>44725</v>
      </c>
      <c r="D3698" s="2" t="str">
        <f>TEXT(Table3[[#This Row],[usage_date]],"mmmm")</f>
        <v>June</v>
      </c>
      <c r="E3698" s="9">
        <f>YEAR(Table3[[#This Row],[usage_date]])</f>
        <v>2022</v>
      </c>
      <c r="F3698" s="14">
        <v>1.77</v>
      </c>
      <c r="G3698">
        <v>128</v>
      </c>
      <c r="H3698" t="s">
        <v>12</v>
      </c>
      <c r="I3698" t="str">
        <f t="shared" si="57"/>
        <v>Normal Usage</v>
      </c>
    </row>
    <row r="3699" spans="1:9" x14ac:dyDescent="0.3">
      <c r="A3699">
        <v>13698</v>
      </c>
      <c r="B3699">
        <v>116</v>
      </c>
      <c r="C3699" s="2">
        <v>44981</v>
      </c>
      <c r="D3699" s="2" t="str">
        <f>TEXT(Table3[[#This Row],[usage_date]],"mmmm")</f>
        <v>February</v>
      </c>
      <c r="E3699" s="9">
        <f>YEAR(Table3[[#This Row],[usage_date]])</f>
        <v>2023</v>
      </c>
      <c r="F3699" s="14">
        <v>4.1500000000000004</v>
      </c>
      <c r="G3699">
        <v>164</v>
      </c>
      <c r="H3699" t="s">
        <v>12</v>
      </c>
      <c r="I3699" t="str">
        <f t="shared" si="57"/>
        <v>Normal Usage</v>
      </c>
    </row>
    <row r="3700" spans="1:9" x14ac:dyDescent="0.3">
      <c r="A3700">
        <v>13699</v>
      </c>
      <c r="B3700">
        <v>439</v>
      </c>
      <c r="C3700" s="2">
        <v>45318</v>
      </c>
      <c r="D3700" s="2" t="str">
        <f>TEXT(Table3[[#This Row],[usage_date]],"mmmm")</f>
        <v>January</v>
      </c>
      <c r="E3700" s="9">
        <f>YEAR(Table3[[#This Row],[usage_date]])</f>
        <v>2024</v>
      </c>
      <c r="F3700" s="14">
        <v>4.57</v>
      </c>
      <c r="G3700">
        <v>276</v>
      </c>
      <c r="H3700" t="s">
        <v>12</v>
      </c>
      <c r="I3700" t="str">
        <f t="shared" si="57"/>
        <v>Normal Usage</v>
      </c>
    </row>
    <row r="3701" spans="1:9" x14ac:dyDescent="0.3">
      <c r="A3701">
        <v>13700</v>
      </c>
      <c r="B3701">
        <v>144</v>
      </c>
      <c r="C3701" s="2">
        <v>45408</v>
      </c>
      <c r="D3701" s="2" t="str">
        <f>TEXT(Table3[[#This Row],[usage_date]],"mmmm")</f>
        <v>April</v>
      </c>
      <c r="E3701" s="9">
        <f>YEAR(Table3[[#This Row],[usage_date]])</f>
        <v>2024</v>
      </c>
      <c r="F3701" s="14">
        <v>6.01</v>
      </c>
      <c r="G3701">
        <v>256</v>
      </c>
      <c r="H3701" t="s">
        <v>12</v>
      </c>
      <c r="I3701" t="str">
        <f t="shared" si="57"/>
        <v>High Usage</v>
      </c>
    </row>
    <row r="3702" spans="1:9" x14ac:dyDescent="0.3">
      <c r="A3702">
        <v>13701</v>
      </c>
      <c r="B3702">
        <v>430</v>
      </c>
      <c r="C3702" s="2">
        <v>45081</v>
      </c>
      <c r="D3702" s="2" t="str">
        <f>TEXT(Table3[[#This Row],[usage_date]],"mmmm")</f>
        <v>June</v>
      </c>
      <c r="E3702" s="9">
        <f>YEAR(Table3[[#This Row],[usage_date]])</f>
        <v>2023</v>
      </c>
      <c r="F3702" s="14">
        <v>1.78</v>
      </c>
      <c r="G3702">
        <v>131</v>
      </c>
      <c r="H3702" t="s">
        <v>12</v>
      </c>
      <c r="I3702" t="str">
        <f t="shared" si="57"/>
        <v>Normal Usage</v>
      </c>
    </row>
    <row r="3703" spans="1:9" x14ac:dyDescent="0.3">
      <c r="A3703">
        <v>13702</v>
      </c>
      <c r="B3703">
        <v>318</v>
      </c>
      <c r="C3703" s="2">
        <v>45227</v>
      </c>
      <c r="D3703" s="2" t="str">
        <f>TEXT(Table3[[#This Row],[usage_date]],"mmmm")</f>
        <v>October</v>
      </c>
      <c r="E3703" s="9">
        <f>YEAR(Table3[[#This Row],[usage_date]])</f>
        <v>2023</v>
      </c>
      <c r="F3703" s="14">
        <v>2.96</v>
      </c>
      <c r="G3703">
        <v>57</v>
      </c>
      <c r="H3703" t="s">
        <v>13</v>
      </c>
      <c r="I3703" t="str">
        <f t="shared" si="57"/>
        <v>Normal Usage</v>
      </c>
    </row>
    <row r="3704" spans="1:9" x14ac:dyDescent="0.3">
      <c r="A3704">
        <v>13703</v>
      </c>
      <c r="B3704">
        <v>235</v>
      </c>
      <c r="C3704" s="2">
        <v>45109</v>
      </c>
      <c r="D3704" s="2" t="str">
        <f>TEXT(Table3[[#This Row],[usage_date]],"mmmm")</f>
        <v>July</v>
      </c>
      <c r="E3704" s="9">
        <f>YEAR(Table3[[#This Row],[usage_date]])</f>
        <v>2023</v>
      </c>
      <c r="F3704" s="14">
        <v>0.3</v>
      </c>
      <c r="G3704">
        <v>256</v>
      </c>
      <c r="H3704" t="s">
        <v>13</v>
      </c>
      <c r="I3704" t="str">
        <f t="shared" si="57"/>
        <v>Normal Usage</v>
      </c>
    </row>
    <row r="3705" spans="1:9" x14ac:dyDescent="0.3">
      <c r="A3705">
        <v>13704</v>
      </c>
      <c r="B3705">
        <v>7</v>
      </c>
      <c r="C3705" s="2">
        <v>45121</v>
      </c>
      <c r="D3705" s="2" t="str">
        <f>TEXT(Table3[[#This Row],[usage_date]],"mmmm")</f>
        <v>July</v>
      </c>
      <c r="E3705" s="9">
        <f>YEAR(Table3[[#This Row],[usage_date]])</f>
        <v>2023</v>
      </c>
      <c r="F3705" s="14">
        <v>2.08</v>
      </c>
      <c r="G3705">
        <v>140</v>
      </c>
      <c r="H3705" t="s">
        <v>12</v>
      </c>
      <c r="I3705" t="str">
        <f t="shared" si="57"/>
        <v>Normal Usage</v>
      </c>
    </row>
    <row r="3706" spans="1:9" x14ac:dyDescent="0.3">
      <c r="A3706">
        <v>13705</v>
      </c>
      <c r="B3706">
        <v>464</v>
      </c>
      <c r="C3706" s="2">
        <v>45158</v>
      </c>
      <c r="D3706" s="2" t="str">
        <f>TEXT(Table3[[#This Row],[usage_date]],"mmmm")</f>
        <v>August</v>
      </c>
      <c r="E3706" s="9">
        <f>YEAR(Table3[[#This Row],[usage_date]])</f>
        <v>2023</v>
      </c>
      <c r="F3706" s="14">
        <v>0.71</v>
      </c>
      <c r="G3706">
        <v>173</v>
      </c>
      <c r="H3706" t="s">
        <v>13</v>
      </c>
      <c r="I3706" t="str">
        <f t="shared" si="57"/>
        <v>Normal Usage</v>
      </c>
    </row>
    <row r="3707" spans="1:9" x14ac:dyDescent="0.3">
      <c r="A3707">
        <v>13706</v>
      </c>
      <c r="B3707">
        <v>45</v>
      </c>
      <c r="C3707" s="2">
        <v>44589</v>
      </c>
      <c r="D3707" s="2" t="str">
        <f>TEXT(Table3[[#This Row],[usage_date]],"mmmm")</f>
        <v>January</v>
      </c>
      <c r="E3707" s="9">
        <f>YEAR(Table3[[#This Row],[usage_date]])</f>
        <v>2022</v>
      </c>
      <c r="F3707" s="14">
        <v>1.41</v>
      </c>
      <c r="G3707">
        <v>174</v>
      </c>
      <c r="H3707" t="s">
        <v>12</v>
      </c>
      <c r="I3707" t="str">
        <f t="shared" si="57"/>
        <v>Normal Usage</v>
      </c>
    </row>
    <row r="3708" spans="1:9" x14ac:dyDescent="0.3">
      <c r="A3708">
        <v>13707</v>
      </c>
      <c r="B3708">
        <v>443</v>
      </c>
      <c r="C3708" s="2">
        <v>45269</v>
      </c>
      <c r="D3708" s="2" t="str">
        <f>TEXT(Table3[[#This Row],[usage_date]],"mmmm")</f>
        <v>December</v>
      </c>
      <c r="E3708" s="9">
        <f>YEAR(Table3[[#This Row],[usage_date]])</f>
        <v>2023</v>
      </c>
      <c r="F3708" s="14">
        <v>2.5099999999999998</v>
      </c>
      <c r="G3708">
        <v>208</v>
      </c>
      <c r="H3708" t="s">
        <v>13</v>
      </c>
      <c r="I3708" t="str">
        <f t="shared" si="57"/>
        <v>Normal Usage</v>
      </c>
    </row>
    <row r="3709" spans="1:9" x14ac:dyDescent="0.3">
      <c r="A3709">
        <v>13708</v>
      </c>
      <c r="B3709">
        <v>239</v>
      </c>
      <c r="C3709" s="2">
        <v>45007</v>
      </c>
      <c r="D3709" s="2" t="str">
        <f>TEXT(Table3[[#This Row],[usage_date]],"mmmm")</f>
        <v>March</v>
      </c>
      <c r="E3709" s="9">
        <f>YEAR(Table3[[#This Row],[usage_date]])</f>
        <v>2023</v>
      </c>
      <c r="F3709" s="14">
        <v>0.74</v>
      </c>
      <c r="G3709">
        <v>203</v>
      </c>
      <c r="H3709" t="s">
        <v>13</v>
      </c>
      <c r="I3709" t="str">
        <f t="shared" si="57"/>
        <v>Normal Usage</v>
      </c>
    </row>
    <row r="3710" spans="1:9" x14ac:dyDescent="0.3">
      <c r="A3710">
        <v>13709</v>
      </c>
      <c r="B3710">
        <v>440</v>
      </c>
      <c r="C3710" s="2">
        <v>44769</v>
      </c>
      <c r="D3710" s="2" t="str">
        <f>TEXT(Table3[[#This Row],[usage_date]],"mmmm")</f>
        <v>July</v>
      </c>
      <c r="E3710" s="9">
        <f>YEAR(Table3[[#This Row],[usage_date]])</f>
        <v>2022</v>
      </c>
      <c r="F3710" s="14">
        <v>0.13</v>
      </c>
      <c r="G3710">
        <v>6</v>
      </c>
      <c r="H3710" t="s">
        <v>12</v>
      </c>
      <c r="I3710" t="str">
        <f t="shared" si="57"/>
        <v>Normal Usage</v>
      </c>
    </row>
    <row r="3711" spans="1:9" x14ac:dyDescent="0.3">
      <c r="A3711">
        <v>13710</v>
      </c>
      <c r="B3711">
        <v>432</v>
      </c>
      <c r="C3711" s="2">
        <v>45031</v>
      </c>
      <c r="D3711" s="2" t="str">
        <f>TEXT(Table3[[#This Row],[usage_date]],"mmmm")</f>
        <v>April</v>
      </c>
      <c r="E3711" s="9">
        <f>YEAR(Table3[[#This Row],[usage_date]])</f>
        <v>2023</v>
      </c>
      <c r="F3711" s="14">
        <v>0.03</v>
      </c>
      <c r="G3711">
        <v>50</v>
      </c>
      <c r="H3711" t="s">
        <v>12</v>
      </c>
      <c r="I3711" t="str">
        <f t="shared" si="57"/>
        <v>Normal Usage</v>
      </c>
    </row>
    <row r="3712" spans="1:9" x14ac:dyDescent="0.3">
      <c r="A3712">
        <v>13711</v>
      </c>
      <c r="B3712">
        <v>155</v>
      </c>
      <c r="C3712" s="2">
        <v>45277</v>
      </c>
      <c r="D3712" s="2" t="str">
        <f>TEXT(Table3[[#This Row],[usage_date]],"mmmm")</f>
        <v>December</v>
      </c>
      <c r="E3712" s="9">
        <f>YEAR(Table3[[#This Row],[usage_date]])</f>
        <v>2023</v>
      </c>
      <c r="F3712" s="14">
        <v>0.06</v>
      </c>
      <c r="G3712">
        <v>258</v>
      </c>
      <c r="H3712" t="s">
        <v>12</v>
      </c>
      <c r="I3712" t="str">
        <f t="shared" si="57"/>
        <v>Normal Usage</v>
      </c>
    </row>
    <row r="3713" spans="1:9" x14ac:dyDescent="0.3">
      <c r="A3713">
        <v>13712</v>
      </c>
      <c r="B3713">
        <v>181</v>
      </c>
      <c r="C3713" s="2">
        <v>45380</v>
      </c>
      <c r="D3713" s="2" t="str">
        <f>TEXT(Table3[[#This Row],[usage_date]],"mmmm")</f>
        <v>March</v>
      </c>
      <c r="E3713" s="9">
        <f>YEAR(Table3[[#This Row],[usage_date]])</f>
        <v>2024</v>
      </c>
      <c r="F3713" s="14">
        <v>0.02</v>
      </c>
      <c r="G3713">
        <v>177</v>
      </c>
      <c r="H3713" t="s">
        <v>13</v>
      </c>
      <c r="I3713" t="str">
        <f t="shared" si="57"/>
        <v>Normal Usage</v>
      </c>
    </row>
    <row r="3714" spans="1:9" x14ac:dyDescent="0.3">
      <c r="A3714">
        <v>13713</v>
      </c>
      <c r="B3714">
        <v>215</v>
      </c>
      <c r="C3714" s="2">
        <v>44665</v>
      </c>
      <c r="D3714" s="2" t="str">
        <f>TEXT(Table3[[#This Row],[usage_date]],"mmmm")</f>
        <v>April</v>
      </c>
      <c r="E3714" s="9">
        <f>YEAR(Table3[[#This Row],[usage_date]])</f>
        <v>2022</v>
      </c>
      <c r="F3714" s="14">
        <v>0.28999999999999998</v>
      </c>
      <c r="G3714">
        <v>30</v>
      </c>
      <c r="H3714" t="s">
        <v>12</v>
      </c>
      <c r="I3714" t="str">
        <f t="shared" ref="I3714:I3777" si="58">IF(F3714&gt;6,"High Usage","Normal Usage")</f>
        <v>Normal Usage</v>
      </c>
    </row>
    <row r="3715" spans="1:9" x14ac:dyDescent="0.3">
      <c r="A3715">
        <v>13714</v>
      </c>
      <c r="B3715">
        <v>88</v>
      </c>
      <c r="C3715" s="2">
        <v>45303</v>
      </c>
      <c r="D3715" s="2" t="str">
        <f>TEXT(Table3[[#This Row],[usage_date]],"mmmm")</f>
        <v>January</v>
      </c>
      <c r="E3715" s="9">
        <f>YEAR(Table3[[#This Row],[usage_date]])</f>
        <v>2024</v>
      </c>
      <c r="F3715" s="14">
        <v>0.68</v>
      </c>
      <c r="G3715">
        <v>153</v>
      </c>
      <c r="H3715" t="s">
        <v>12</v>
      </c>
      <c r="I3715" t="str">
        <f t="shared" si="58"/>
        <v>Normal Usage</v>
      </c>
    </row>
    <row r="3716" spans="1:9" x14ac:dyDescent="0.3">
      <c r="A3716">
        <v>13715</v>
      </c>
      <c r="B3716">
        <v>256</v>
      </c>
      <c r="C3716" s="2">
        <v>44987</v>
      </c>
      <c r="D3716" s="2" t="str">
        <f>TEXT(Table3[[#This Row],[usage_date]],"mmmm")</f>
        <v>March</v>
      </c>
      <c r="E3716" s="9">
        <f>YEAR(Table3[[#This Row],[usage_date]])</f>
        <v>2023</v>
      </c>
      <c r="F3716" s="14">
        <v>0.63</v>
      </c>
      <c r="G3716">
        <v>54</v>
      </c>
      <c r="H3716" t="s">
        <v>12</v>
      </c>
      <c r="I3716" t="str">
        <f t="shared" si="58"/>
        <v>Normal Usage</v>
      </c>
    </row>
    <row r="3717" spans="1:9" x14ac:dyDescent="0.3">
      <c r="A3717">
        <v>13716</v>
      </c>
      <c r="B3717">
        <v>73</v>
      </c>
      <c r="C3717" s="2">
        <v>44662</v>
      </c>
      <c r="D3717" s="2" t="str">
        <f>TEXT(Table3[[#This Row],[usage_date]],"mmmm")</f>
        <v>April</v>
      </c>
      <c r="E3717" s="9">
        <f>YEAR(Table3[[#This Row],[usage_date]])</f>
        <v>2022</v>
      </c>
      <c r="F3717" s="14">
        <v>10.82</v>
      </c>
      <c r="G3717">
        <v>155</v>
      </c>
      <c r="H3717" t="s">
        <v>13</v>
      </c>
      <c r="I3717" t="str">
        <f t="shared" si="58"/>
        <v>High Usage</v>
      </c>
    </row>
    <row r="3718" spans="1:9" x14ac:dyDescent="0.3">
      <c r="A3718">
        <v>13717</v>
      </c>
      <c r="B3718">
        <v>419</v>
      </c>
      <c r="C3718" s="2">
        <v>45102</v>
      </c>
      <c r="D3718" s="2" t="str">
        <f>TEXT(Table3[[#This Row],[usage_date]],"mmmm")</f>
        <v>June</v>
      </c>
      <c r="E3718" s="9">
        <f>YEAR(Table3[[#This Row],[usage_date]])</f>
        <v>2023</v>
      </c>
      <c r="F3718" s="14">
        <v>0.91</v>
      </c>
      <c r="G3718">
        <v>43</v>
      </c>
      <c r="H3718" t="s">
        <v>13</v>
      </c>
      <c r="I3718" t="str">
        <f t="shared" si="58"/>
        <v>Normal Usage</v>
      </c>
    </row>
    <row r="3719" spans="1:9" x14ac:dyDescent="0.3">
      <c r="A3719">
        <v>13718</v>
      </c>
      <c r="B3719">
        <v>179</v>
      </c>
      <c r="C3719" s="2">
        <v>45200</v>
      </c>
      <c r="D3719" s="2" t="str">
        <f>TEXT(Table3[[#This Row],[usage_date]],"mmmm")</f>
        <v>October</v>
      </c>
      <c r="E3719" s="9">
        <f>YEAR(Table3[[#This Row],[usage_date]])</f>
        <v>2023</v>
      </c>
      <c r="F3719" s="14">
        <v>0.34</v>
      </c>
      <c r="G3719">
        <v>80</v>
      </c>
      <c r="H3719" t="s">
        <v>12</v>
      </c>
      <c r="I3719" t="str">
        <f t="shared" si="58"/>
        <v>Normal Usage</v>
      </c>
    </row>
    <row r="3720" spans="1:9" x14ac:dyDescent="0.3">
      <c r="A3720">
        <v>13719</v>
      </c>
      <c r="B3720">
        <v>212</v>
      </c>
      <c r="C3720" s="2">
        <v>45411</v>
      </c>
      <c r="D3720" s="2" t="str">
        <f>TEXT(Table3[[#This Row],[usage_date]],"mmmm")</f>
        <v>April</v>
      </c>
      <c r="E3720" s="9">
        <f>YEAR(Table3[[#This Row],[usage_date]])</f>
        <v>2024</v>
      </c>
      <c r="F3720" s="14">
        <v>1.97</v>
      </c>
      <c r="G3720">
        <v>165</v>
      </c>
      <c r="H3720" t="s">
        <v>13</v>
      </c>
      <c r="I3720" t="str">
        <f t="shared" si="58"/>
        <v>Normal Usage</v>
      </c>
    </row>
    <row r="3721" spans="1:9" x14ac:dyDescent="0.3">
      <c r="A3721">
        <v>13720</v>
      </c>
      <c r="B3721">
        <v>293</v>
      </c>
      <c r="C3721" s="2">
        <v>45083</v>
      </c>
      <c r="D3721" s="2" t="str">
        <f>TEXT(Table3[[#This Row],[usage_date]],"mmmm")</f>
        <v>June</v>
      </c>
      <c r="E3721" s="9">
        <f>YEAR(Table3[[#This Row],[usage_date]])</f>
        <v>2023</v>
      </c>
      <c r="F3721" s="14">
        <v>4.88</v>
      </c>
      <c r="G3721">
        <v>29</v>
      </c>
      <c r="H3721" t="s">
        <v>13</v>
      </c>
      <c r="I3721" t="str">
        <f t="shared" si="58"/>
        <v>Normal Usage</v>
      </c>
    </row>
    <row r="3722" spans="1:9" x14ac:dyDescent="0.3">
      <c r="A3722">
        <v>13721</v>
      </c>
      <c r="B3722">
        <v>234</v>
      </c>
      <c r="C3722" s="2">
        <v>44667</v>
      </c>
      <c r="D3722" s="2" t="str">
        <f>TEXT(Table3[[#This Row],[usage_date]],"mmmm")</f>
        <v>April</v>
      </c>
      <c r="E3722" s="9">
        <f>YEAR(Table3[[#This Row],[usage_date]])</f>
        <v>2022</v>
      </c>
      <c r="F3722" s="14">
        <v>2.83</v>
      </c>
      <c r="G3722">
        <v>135</v>
      </c>
      <c r="H3722" t="s">
        <v>13</v>
      </c>
      <c r="I3722" t="str">
        <f t="shared" si="58"/>
        <v>Normal Usage</v>
      </c>
    </row>
    <row r="3723" spans="1:9" x14ac:dyDescent="0.3">
      <c r="A3723">
        <v>13722</v>
      </c>
      <c r="B3723">
        <v>465</v>
      </c>
      <c r="C3723" s="2">
        <v>45240</v>
      </c>
      <c r="D3723" s="2" t="str">
        <f>TEXT(Table3[[#This Row],[usage_date]],"mmmm")</f>
        <v>November</v>
      </c>
      <c r="E3723" s="9">
        <f>YEAR(Table3[[#This Row],[usage_date]])</f>
        <v>2023</v>
      </c>
      <c r="F3723" s="14">
        <v>0.88</v>
      </c>
      <c r="G3723">
        <v>13</v>
      </c>
      <c r="H3723" t="s">
        <v>12</v>
      </c>
      <c r="I3723" t="str">
        <f t="shared" si="58"/>
        <v>Normal Usage</v>
      </c>
    </row>
    <row r="3724" spans="1:9" x14ac:dyDescent="0.3">
      <c r="A3724">
        <v>13723</v>
      </c>
      <c r="B3724">
        <v>239</v>
      </c>
      <c r="C3724" s="2">
        <v>45330</v>
      </c>
      <c r="D3724" s="2" t="str">
        <f>TEXT(Table3[[#This Row],[usage_date]],"mmmm")</f>
        <v>February</v>
      </c>
      <c r="E3724" s="9">
        <f>YEAR(Table3[[#This Row],[usage_date]])</f>
        <v>2024</v>
      </c>
      <c r="F3724" s="14">
        <v>2.06</v>
      </c>
      <c r="G3724">
        <v>105</v>
      </c>
      <c r="H3724" t="s">
        <v>12</v>
      </c>
      <c r="I3724" t="str">
        <f t="shared" si="58"/>
        <v>Normal Usage</v>
      </c>
    </row>
    <row r="3725" spans="1:9" x14ac:dyDescent="0.3">
      <c r="A3725">
        <v>13724</v>
      </c>
      <c r="B3725">
        <v>223</v>
      </c>
      <c r="C3725" s="2">
        <v>45368</v>
      </c>
      <c r="D3725" s="2" t="str">
        <f>TEXT(Table3[[#This Row],[usage_date]],"mmmm")</f>
        <v>March</v>
      </c>
      <c r="E3725" s="9">
        <f>YEAR(Table3[[#This Row],[usage_date]])</f>
        <v>2024</v>
      </c>
      <c r="F3725" s="14">
        <v>3.14</v>
      </c>
      <c r="G3725">
        <v>74</v>
      </c>
      <c r="H3725" t="s">
        <v>12</v>
      </c>
      <c r="I3725" t="str">
        <f t="shared" si="58"/>
        <v>Normal Usage</v>
      </c>
    </row>
    <row r="3726" spans="1:9" x14ac:dyDescent="0.3">
      <c r="A3726">
        <v>13725</v>
      </c>
      <c r="B3726">
        <v>119</v>
      </c>
      <c r="C3726" s="2">
        <v>44838</v>
      </c>
      <c r="D3726" s="2" t="str">
        <f>TEXT(Table3[[#This Row],[usage_date]],"mmmm")</f>
        <v>October</v>
      </c>
      <c r="E3726" s="9">
        <f>YEAR(Table3[[#This Row],[usage_date]])</f>
        <v>2022</v>
      </c>
      <c r="F3726" s="14">
        <v>3.26</v>
      </c>
      <c r="G3726">
        <v>78</v>
      </c>
      <c r="H3726" t="s">
        <v>12</v>
      </c>
      <c r="I3726" t="str">
        <f t="shared" si="58"/>
        <v>Normal Usage</v>
      </c>
    </row>
    <row r="3727" spans="1:9" x14ac:dyDescent="0.3">
      <c r="A3727">
        <v>13726</v>
      </c>
      <c r="B3727">
        <v>313</v>
      </c>
      <c r="C3727" s="2">
        <v>44626</v>
      </c>
      <c r="D3727" s="2" t="str">
        <f>TEXT(Table3[[#This Row],[usage_date]],"mmmm")</f>
        <v>March</v>
      </c>
      <c r="E3727" s="9">
        <f>YEAR(Table3[[#This Row],[usage_date]])</f>
        <v>2022</v>
      </c>
      <c r="F3727" s="14">
        <v>2.75</v>
      </c>
      <c r="G3727">
        <v>193</v>
      </c>
      <c r="H3727" t="s">
        <v>12</v>
      </c>
      <c r="I3727" t="str">
        <f t="shared" si="58"/>
        <v>Normal Usage</v>
      </c>
    </row>
    <row r="3728" spans="1:9" x14ac:dyDescent="0.3">
      <c r="A3728">
        <v>13727</v>
      </c>
      <c r="B3728">
        <v>264</v>
      </c>
      <c r="C3728" s="2">
        <v>45344</v>
      </c>
      <c r="D3728" s="2" t="str">
        <f>TEXT(Table3[[#This Row],[usage_date]],"mmmm")</f>
        <v>February</v>
      </c>
      <c r="E3728" s="9">
        <f>YEAR(Table3[[#This Row],[usage_date]])</f>
        <v>2024</v>
      </c>
      <c r="F3728" s="14">
        <v>5.12</v>
      </c>
      <c r="G3728">
        <v>95</v>
      </c>
      <c r="H3728" t="s">
        <v>12</v>
      </c>
      <c r="I3728" t="str">
        <f t="shared" si="58"/>
        <v>Normal Usage</v>
      </c>
    </row>
    <row r="3729" spans="1:9" x14ac:dyDescent="0.3">
      <c r="A3729">
        <v>13728</v>
      </c>
      <c r="B3729">
        <v>207</v>
      </c>
      <c r="C3729" s="2">
        <v>45461</v>
      </c>
      <c r="D3729" s="2" t="str">
        <f>TEXT(Table3[[#This Row],[usage_date]],"mmmm")</f>
        <v>June</v>
      </c>
      <c r="E3729" s="9">
        <f>YEAR(Table3[[#This Row],[usage_date]])</f>
        <v>2024</v>
      </c>
      <c r="F3729" s="14">
        <v>5.0999999999999996</v>
      </c>
      <c r="G3729">
        <v>39</v>
      </c>
      <c r="H3729" t="s">
        <v>12</v>
      </c>
      <c r="I3729" t="str">
        <f t="shared" si="58"/>
        <v>Normal Usage</v>
      </c>
    </row>
    <row r="3730" spans="1:9" x14ac:dyDescent="0.3">
      <c r="A3730">
        <v>13729</v>
      </c>
      <c r="B3730">
        <v>95</v>
      </c>
      <c r="C3730" s="2">
        <v>44749</v>
      </c>
      <c r="D3730" s="2" t="str">
        <f>TEXT(Table3[[#This Row],[usage_date]],"mmmm")</f>
        <v>July</v>
      </c>
      <c r="E3730" s="9">
        <f>YEAR(Table3[[#This Row],[usage_date]])</f>
        <v>2022</v>
      </c>
      <c r="F3730" s="14">
        <v>2.16</v>
      </c>
      <c r="G3730">
        <v>255</v>
      </c>
      <c r="H3730" t="s">
        <v>12</v>
      </c>
      <c r="I3730" t="str">
        <f t="shared" si="58"/>
        <v>Normal Usage</v>
      </c>
    </row>
    <row r="3731" spans="1:9" x14ac:dyDescent="0.3">
      <c r="A3731">
        <v>13730</v>
      </c>
      <c r="B3731">
        <v>373</v>
      </c>
      <c r="C3731" s="2">
        <v>44878</v>
      </c>
      <c r="D3731" s="2" t="str">
        <f>TEXT(Table3[[#This Row],[usage_date]],"mmmm")</f>
        <v>November</v>
      </c>
      <c r="E3731" s="9">
        <f>YEAR(Table3[[#This Row],[usage_date]])</f>
        <v>2022</v>
      </c>
      <c r="F3731" s="14">
        <v>1.4</v>
      </c>
      <c r="G3731">
        <v>106</v>
      </c>
      <c r="H3731" t="s">
        <v>12</v>
      </c>
      <c r="I3731" t="str">
        <f t="shared" si="58"/>
        <v>Normal Usage</v>
      </c>
    </row>
    <row r="3732" spans="1:9" x14ac:dyDescent="0.3">
      <c r="A3732">
        <v>13731</v>
      </c>
      <c r="B3732">
        <v>222</v>
      </c>
      <c r="C3732" s="2">
        <v>44699</v>
      </c>
      <c r="D3732" s="2" t="str">
        <f>TEXT(Table3[[#This Row],[usage_date]],"mmmm")</f>
        <v>May</v>
      </c>
      <c r="E3732" s="9">
        <f>YEAR(Table3[[#This Row],[usage_date]])</f>
        <v>2022</v>
      </c>
      <c r="F3732" s="14">
        <v>2.57</v>
      </c>
      <c r="G3732">
        <v>16</v>
      </c>
      <c r="H3732" t="s">
        <v>12</v>
      </c>
      <c r="I3732" t="str">
        <f t="shared" si="58"/>
        <v>Normal Usage</v>
      </c>
    </row>
    <row r="3733" spans="1:9" x14ac:dyDescent="0.3">
      <c r="A3733">
        <v>13732</v>
      </c>
      <c r="B3733">
        <v>366</v>
      </c>
      <c r="C3733" s="2">
        <v>44904</v>
      </c>
      <c r="D3733" s="2" t="str">
        <f>TEXT(Table3[[#This Row],[usage_date]],"mmmm")</f>
        <v>December</v>
      </c>
      <c r="E3733" s="9">
        <f>YEAR(Table3[[#This Row],[usage_date]])</f>
        <v>2022</v>
      </c>
      <c r="F3733" s="14">
        <v>4.26</v>
      </c>
      <c r="G3733">
        <v>14</v>
      </c>
      <c r="H3733" t="s">
        <v>13</v>
      </c>
      <c r="I3733" t="str">
        <f t="shared" si="58"/>
        <v>Normal Usage</v>
      </c>
    </row>
    <row r="3734" spans="1:9" x14ac:dyDescent="0.3">
      <c r="A3734">
        <v>13733</v>
      </c>
      <c r="B3734">
        <v>276</v>
      </c>
      <c r="C3734" s="2">
        <v>44666</v>
      </c>
      <c r="D3734" s="2" t="str">
        <f>TEXT(Table3[[#This Row],[usage_date]],"mmmm")</f>
        <v>April</v>
      </c>
      <c r="E3734" s="9">
        <f>YEAR(Table3[[#This Row],[usage_date]])</f>
        <v>2022</v>
      </c>
      <c r="F3734" s="14">
        <v>0.01</v>
      </c>
      <c r="G3734">
        <v>271</v>
      </c>
      <c r="H3734" t="s">
        <v>13</v>
      </c>
      <c r="I3734" t="str">
        <f t="shared" si="58"/>
        <v>Normal Usage</v>
      </c>
    </row>
    <row r="3735" spans="1:9" x14ac:dyDescent="0.3">
      <c r="A3735">
        <v>13734</v>
      </c>
      <c r="B3735">
        <v>380</v>
      </c>
      <c r="C3735" s="2">
        <v>45107</v>
      </c>
      <c r="D3735" s="2" t="str">
        <f>TEXT(Table3[[#This Row],[usage_date]],"mmmm")</f>
        <v>June</v>
      </c>
      <c r="E3735" s="9">
        <f>YEAR(Table3[[#This Row],[usage_date]])</f>
        <v>2023</v>
      </c>
      <c r="F3735" s="14">
        <v>12.07</v>
      </c>
      <c r="G3735">
        <v>12</v>
      </c>
      <c r="H3735" t="s">
        <v>12</v>
      </c>
      <c r="I3735" t="str">
        <f t="shared" si="58"/>
        <v>High Usage</v>
      </c>
    </row>
    <row r="3736" spans="1:9" x14ac:dyDescent="0.3">
      <c r="A3736">
        <v>13735</v>
      </c>
      <c r="B3736">
        <v>231</v>
      </c>
      <c r="C3736" s="2">
        <v>44941</v>
      </c>
      <c r="D3736" s="2" t="str">
        <f>TEXT(Table3[[#This Row],[usage_date]],"mmmm")</f>
        <v>January</v>
      </c>
      <c r="E3736" s="9">
        <f>YEAR(Table3[[#This Row],[usage_date]])</f>
        <v>2023</v>
      </c>
      <c r="F3736" s="14">
        <v>0.5</v>
      </c>
      <c r="G3736">
        <v>246</v>
      </c>
      <c r="H3736" t="s">
        <v>13</v>
      </c>
      <c r="I3736" t="str">
        <f t="shared" si="58"/>
        <v>Normal Usage</v>
      </c>
    </row>
    <row r="3737" spans="1:9" x14ac:dyDescent="0.3">
      <c r="A3737">
        <v>13736</v>
      </c>
      <c r="B3737">
        <v>309</v>
      </c>
      <c r="C3737" s="2">
        <v>44671</v>
      </c>
      <c r="D3737" s="2" t="str">
        <f>TEXT(Table3[[#This Row],[usage_date]],"mmmm")</f>
        <v>April</v>
      </c>
      <c r="E3737" s="9">
        <f>YEAR(Table3[[#This Row],[usage_date]])</f>
        <v>2022</v>
      </c>
      <c r="F3737" s="14">
        <v>1.59</v>
      </c>
      <c r="G3737">
        <v>213</v>
      </c>
      <c r="H3737" t="s">
        <v>12</v>
      </c>
      <c r="I3737" t="str">
        <f t="shared" si="58"/>
        <v>Normal Usage</v>
      </c>
    </row>
    <row r="3738" spans="1:9" x14ac:dyDescent="0.3">
      <c r="A3738">
        <v>13737</v>
      </c>
      <c r="B3738">
        <v>119</v>
      </c>
      <c r="C3738" s="2">
        <v>45106</v>
      </c>
      <c r="D3738" s="2" t="str">
        <f>TEXT(Table3[[#This Row],[usage_date]],"mmmm")</f>
        <v>June</v>
      </c>
      <c r="E3738" s="9">
        <f>YEAR(Table3[[#This Row],[usage_date]])</f>
        <v>2023</v>
      </c>
      <c r="F3738" s="14">
        <v>5.14</v>
      </c>
      <c r="G3738">
        <v>150</v>
      </c>
      <c r="H3738" t="s">
        <v>13</v>
      </c>
      <c r="I3738" t="str">
        <f t="shared" si="58"/>
        <v>Normal Usage</v>
      </c>
    </row>
    <row r="3739" spans="1:9" x14ac:dyDescent="0.3">
      <c r="A3739">
        <v>13738</v>
      </c>
      <c r="B3739">
        <v>268</v>
      </c>
      <c r="C3739" s="2">
        <v>44915</v>
      </c>
      <c r="D3739" s="2" t="str">
        <f>TEXT(Table3[[#This Row],[usage_date]],"mmmm")</f>
        <v>December</v>
      </c>
      <c r="E3739" s="9">
        <f>YEAR(Table3[[#This Row],[usage_date]])</f>
        <v>2022</v>
      </c>
      <c r="F3739" s="14">
        <v>0.64</v>
      </c>
      <c r="G3739">
        <v>291</v>
      </c>
      <c r="H3739" t="s">
        <v>12</v>
      </c>
      <c r="I3739" t="str">
        <f t="shared" si="58"/>
        <v>Normal Usage</v>
      </c>
    </row>
    <row r="3740" spans="1:9" x14ac:dyDescent="0.3">
      <c r="A3740">
        <v>13739</v>
      </c>
      <c r="B3740">
        <v>433</v>
      </c>
      <c r="C3740" s="2">
        <v>45304</v>
      </c>
      <c r="D3740" s="2" t="str">
        <f>TEXT(Table3[[#This Row],[usage_date]],"mmmm")</f>
        <v>January</v>
      </c>
      <c r="E3740" s="9">
        <f>YEAR(Table3[[#This Row],[usage_date]])</f>
        <v>2024</v>
      </c>
      <c r="F3740" s="14">
        <v>1.62</v>
      </c>
      <c r="G3740">
        <v>42</v>
      </c>
      <c r="H3740" t="s">
        <v>12</v>
      </c>
      <c r="I3740" t="str">
        <f t="shared" si="58"/>
        <v>Normal Usage</v>
      </c>
    </row>
    <row r="3741" spans="1:9" x14ac:dyDescent="0.3">
      <c r="A3741">
        <v>13740</v>
      </c>
      <c r="B3741">
        <v>273</v>
      </c>
      <c r="C3741" s="2">
        <v>44878</v>
      </c>
      <c r="D3741" s="2" t="str">
        <f>TEXT(Table3[[#This Row],[usage_date]],"mmmm")</f>
        <v>November</v>
      </c>
      <c r="E3741" s="9">
        <f>YEAR(Table3[[#This Row],[usage_date]])</f>
        <v>2022</v>
      </c>
      <c r="F3741" s="14">
        <v>0.36</v>
      </c>
      <c r="G3741">
        <v>113</v>
      </c>
      <c r="H3741" t="s">
        <v>12</v>
      </c>
      <c r="I3741" t="str">
        <f t="shared" si="58"/>
        <v>Normal Usage</v>
      </c>
    </row>
    <row r="3742" spans="1:9" x14ac:dyDescent="0.3">
      <c r="A3742">
        <v>13741</v>
      </c>
      <c r="B3742">
        <v>64</v>
      </c>
      <c r="C3742" s="2">
        <v>44827</v>
      </c>
      <c r="D3742" s="2" t="str">
        <f>TEXT(Table3[[#This Row],[usage_date]],"mmmm")</f>
        <v>September</v>
      </c>
      <c r="E3742" s="9">
        <f>YEAR(Table3[[#This Row],[usage_date]])</f>
        <v>2022</v>
      </c>
      <c r="F3742" s="14">
        <v>1.26</v>
      </c>
      <c r="G3742">
        <v>80</v>
      </c>
      <c r="H3742" t="s">
        <v>12</v>
      </c>
      <c r="I3742" t="str">
        <f t="shared" si="58"/>
        <v>Normal Usage</v>
      </c>
    </row>
    <row r="3743" spans="1:9" x14ac:dyDescent="0.3">
      <c r="A3743">
        <v>13742</v>
      </c>
      <c r="B3743">
        <v>298</v>
      </c>
      <c r="C3743" s="2">
        <v>45255</v>
      </c>
      <c r="D3743" s="2" t="str">
        <f>TEXT(Table3[[#This Row],[usage_date]],"mmmm")</f>
        <v>November</v>
      </c>
      <c r="E3743" s="9">
        <f>YEAR(Table3[[#This Row],[usage_date]])</f>
        <v>2023</v>
      </c>
      <c r="F3743" s="14">
        <v>0.49</v>
      </c>
      <c r="G3743">
        <v>140</v>
      </c>
      <c r="H3743" t="s">
        <v>12</v>
      </c>
      <c r="I3743" t="str">
        <f t="shared" si="58"/>
        <v>Normal Usage</v>
      </c>
    </row>
    <row r="3744" spans="1:9" x14ac:dyDescent="0.3">
      <c r="A3744">
        <v>13743</v>
      </c>
      <c r="B3744">
        <v>350</v>
      </c>
      <c r="C3744" s="2">
        <v>45413</v>
      </c>
      <c r="D3744" s="2" t="str">
        <f>TEXT(Table3[[#This Row],[usage_date]],"mmmm")</f>
        <v>May</v>
      </c>
      <c r="E3744" s="9">
        <f>YEAR(Table3[[#This Row],[usage_date]])</f>
        <v>2024</v>
      </c>
      <c r="F3744" s="14">
        <v>1.1299999999999999</v>
      </c>
      <c r="G3744">
        <v>29</v>
      </c>
      <c r="H3744" t="s">
        <v>12</v>
      </c>
      <c r="I3744" t="str">
        <f t="shared" si="58"/>
        <v>Normal Usage</v>
      </c>
    </row>
    <row r="3745" spans="1:9" x14ac:dyDescent="0.3">
      <c r="A3745">
        <v>13744</v>
      </c>
      <c r="B3745">
        <v>413</v>
      </c>
      <c r="C3745" s="2">
        <v>44626</v>
      </c>
      <c r="D3745" s="2" t="str">
        <f>TEXT(Table3[[#This Row],[usage_date]],"mmmm")</f>
        <v>March</v>
      </c>
      <c r="E3745" s="9">
        <f>YEAR(Table3[[#This Row],[usage_date]])</f>
        <v>2022</v>
      </c>
      <c r="F3745" s="14">
        <v>1.17</v>
      </c>
      <c r="G3745">
        <v>29</v>
      </c>
      <c r="H3745" t="s">
        <v>12</v>
      </c>
      <c r="I3745" t="str">
        <f t="shared" si="58"/>
        <v>Normal Usage</v>
      </c>
    </row>
    <row r="3746" spans="1:9" x14ac:dyDescent="0.3">
      <c r="A3746">
        <v>13745</v>
      </c>
      <c r="B3746">
        <v>403</v>
      </c>
      <c r="C3746" s="2">
        <v>44894</v>
      </c>
      <c r="D3746" s="2" t="str">
        <f>TEXT(Table3[[#This Row],[usage_date]],"mmmm")</f>
        <v>November</v>
      </c>
      <c r="E3746" s="9">
        <f>YEAR(Table3[[#This Row],[usage_date]])</f>
        <v>2022</v>
      </c>
      <c r="F3746" s="14">
        <v>12.47</v>
      </c>
      <c r="G3746">
        <v>265</v>
      </c>
      <c r="H3746" t="s">
        <v>13</v>
      </c>
      <c r="I3746" t="str">
        <f t="shared" si="58"/>
        <v>High Usage</v>
      </c>
    </row>
    <row r="3747" spans="1:9" x14ac:dyDescent="0.3">
      <c r="A3747">
        <v>13746</v>
      </c>
      <c r="B3747">
        <v>494</v>
      </c>
      <c r="C3747" s="2">
        <v>45074</v>
      </c>
      <c r="D3747" s="2" t="str">
        <f>TEXT(Table3[[#This Row],[usage_date]],"mmmm")</f>
        <v>May</v>
      </c>
      <c r="E3747" s="9">
        <f>YEAR(Table3[[#This Row],[usage_date]])</f>
        <v>2023</v>
      </c>
      <c r="F3747" s="14">
        <v>13.15</v>
      </c>
      <c r="G3747">
        <v>98</v>
      </c>
      <c r="H3747" t="s">
        <v>12</v>
      </c>
      <c r="I3747" t="str">
        <f t="shared" si="58"/>
        <v>High Usage</v>
      </c>
    </row>
    <row r="3748" spans="1:9" x14ac:dyDescent="0.3">
      <c r="A3748">
        <v>13747</v>
      </c>
      <c r="B3748">
        <v>11</v>
      </c>
      <c r="C3748" s="2">
        <v>44694</v>
      </c>
      <c r="D3748" s="2" t="str">
        <f>TEXT(Table3[[#This Row],[usage_date]],"mmmm")</f>
        <v>May</v>
      </c>
      <c r="E3748" s="9">
        <f>YEAR(Table3[[#This Row],[usage_date]])</f>
        <v>2022</v>
      </c>
      <c r="F3748" s="14">
        <v>0.3</v>
      </c>
      <c r="G3748">
        <v>93</v>
      </c>
      <c r="H3748" t="s">
        <v>12</v>
      </c>
      <c r="I3748" t="str">
        <f t="shared" si="58"/>
        <v>Normal Usage</v>
      </c>
    </row>
    <row r="3749" spans="1:9" x14ac:dyDescent="0.3">
      <c r="A3749">
        <v>13748</v>
      </c>
      <c r="B3749">
        <v>98</v>
      </c>
      <c r="C3749" s="2">
        <v>45153</v>
      </c>
      <c r="D3749" s="2" t="str">
        <f>TEXT(Table3[[#This Row],[usage_date]],"mmmm")</f>
        <v>August</v>
      </c>
      <c r="E3749" s="9">
        <f>YEAR(Table3[[#This Row],[usage_date]])</f>
        <v>2023</v>
      </c>
      <c r="F3749" s="14">
        <v>3.24</v>
      </c>
      <c r="G3749">
        <v>210</v>
      </c>
      <c r="H3749" t="s">
        <v>12</v>
      </c>
      <c r="I3749" t="str">
        <f t="shared" si="58"/>
        <v>Normal Usage</v>
      </c>
    </row>
    <row r="3750" spans="1:9" x14ac:dyDescent="0.3">
      <c r="A3750">
        <v>13749</v>
      </c>
      <c r="B3750">
        <v>434</v>
      </c>
      <c r="C3750" s="2">
        <v>45344</v>
      </c>
      <c r="D3750" s="2" t="str">
        <f>TEXT(Table3[[#This Row],[usage_date]],"mmmm")</f>
        <v>February</v>
      </c>
      <c r="E3750" s="9">
        <f>YEAR(Table3[[#This Row],[usage_date]])</f>
        <v>2024</v>
      </c>
      <c r="F3750" s="14">
        <v>0.13</v>
      </c>
      <c r="G3750">
        <v>294</v>
      </c>
      <c r="H3750" t="s">
        <v>13</v>
      </c>
      <c r="I3750" t="str">
        <f t="shared" si="58"/>
        <v>Normal Usage</v>
      </c>
    </row>
    <row r="3751" spans="1:9" x14ac:dyDescent="0.3">
      <c r="A3751">
        <v>13750</v>
      </c>
      <c r="B3751">
        <v>71</v>
      </c>
      <c r="C3751" s="2">
        <v>45314</v>
      </c>
      <c r="D3751" s="2" t="str">
        <f>TEXT(Table3[[#This Row],[usage_date]],"mmmm")</f>
        <v>January</v>
      </c>
      <c r="E3751" s="9">
        <f>YEAR(Table3[[#This Row],[usage_date]])</f>
        <v>2024</v>
      </c>
      <c r="F3751" s="14">
        <v>0.08</v>
      </c>
      <c r="G3751">
        <v>36</v>
      </c>
      <c r="H3751" t="s">
        <v>12</v>
      </c>
      <c r="I3751" t="str">
        <f t="shared" si="58"/>
        <v>Normal Usage</v>
      </c>
    </row>
    <row r="3752" spans="1:9" x14ac:dyDescent="0.3">
      <c r="A3752">
        <v>13751</v>
      </c>
      <c r="B3752">
        <v>364</v>
      </c>
      <c r="C3752" s="2">
        <v>45101</v>
      </c>
      <c r="D3752" s="2" t="str">
        <f>TEXT(Table3[[#This Row],[usage_date]],"mmmm")</f>
        <v>June</v>
      </c>
      <c r="E3752" s="9">
        <f>YEAR(Table3[[#This Row],[usage_date]])</f>
        <v>2023</v>
      </c>
      <c r="F3752" s="14">
        <v>0.28000000000000003</v>
      </c>
      <c r="G3752">
        <v>88</v>
      </c>
      <c r="H3752" t="s">
        <v>12</v>
      </c>
      <c r="I3752" t="str">
        <f t="shared" si="58"/>
        <v>Normal Usage</v>
      </c>
    </row>
    <row r="3753" spans="1:9" x14ac:dyDescent="0.3">
      <c r="A3753">
        <v>13752</v>
      </c>
      <c r="B3753">
        <v>58</v>
      </c>
      <c r="C3753" s="2">
        <v>45296</v>
      </c>
      <c r="D3753" s="2" t="str">
        <f>TEXT(Table3[[#This Row],[usage_date]],"mmmm")</f>
        <v>January</v>
      </c>
      <c r="E3753" s="9">
        <f>YEAR(Table3[[#This Row],[usage_date]])</f>
        <v>2024</v>
      </c>
      <c r="F3753" s="14">
        <v>8.42</v>
      </c>
      <c r="G3753">
        <v>254</v>
      </c>
      <c r="H3753" t="s">
        <v>12</v>
      </c>
      <c r="I3753" t="str">
        <f t="shared" si="58"/>
        <v>High Usage</v>
      </c>
    </row>
    <row r="3754" spans="1:9" x14ac:dyDescent="0.3">
      <c r="A3754">
        <v>13753</v>
      </c>
      <c r="B3754">
        <v>290</v>
      </c>
      <c r="C3754" s="2">
        <v>45096</v>
      </c>
      <c r="D3754" s="2" t="str">
        <f>TEXT(Table3[[#This Row],[usage_date]],"mmmm")</f>
        <v>June</v>
      </c>
      <c r="E3754" s="9">
        <f>YEAR(Table3[[#This Row],[usage_date]])</f>
        <v>2023</v>
      </c>
      <c r="F3754" s="14">
        <v>7.07</v>
      </c>
      <c r="G3754">
        <v>213</v>
      </c>
      <c r="H3754" t="s">
        <v>12</v>
      </c>
      <c r="I3754" t="str">
        <f t="shared" si="58"/>
        <v>High Usage</v>
      </c>
    </row>
    <row r="3755" spans="1:9" x14ac:dyDescent="0.3">
      <c r="A3755">
        <v>13754</v>
      </c>
      <c r="B3755">
        <v>251</v>
      </c>
      <c r="C3755" s="2">
        <v>45057</v>
      </c>
      <c r="D3755" s="2" t="str">
        <f>TEXT(Table3[[#This Row],[usage_date]],"mmmm")</f>
        <v>May</v>
      </c>
      <c r="E3755" s="9">
        <f>YEAR(Table3[[#This Row],[usage_date]])</f>
        <v>2023</v>
      </c>
      <c r="F3755" s="14">
        <v>0.54</v>
      </c>
      <c r="G3755">
        <v>13</v>
      </c>
      <c r="H3755" t="s">
        <v>12</v>
      </c>
      <c r="I3755" t="str">
        <f t="shared" si="58"/>
        <v>Normal Usage</v>
      </c>
    </row>
    <row r="3756" spans="1:9" x14ac:dyDescent="0.3">
      <c r="A3756">
        <v>13755</v>
      </c>
      <c r="B3756">
        <v>276</v>
      </c>
      <c r="C3756" s="2">
        <v>45182</v>
      </c>
      <c r="D3756" s="2" t="str">
        <f>TEXT(Table3[[#This Row],[usage_date]],"mmmm")</f>
        <v>September</v>
      </c>
      <c r="E3756" s="9">
        <f>YEAR(Table3[[#This Row],[usage_date]])</f>
        <v>2023</v>
      </c>
      <c r="F3756" s="14">
        <v>0.44</v>
      </c>
      <c r="G3756">
        <v>191</v>
      </c>
      <c r="H3756" t="s">
        <v>12</v>
      </c>
      <c r="I3756" t="str">
        <f t="shared" si="58"/>
        <v>Normal Usage</v>
      </c>
    </row>
    <row r="3757" spans="1:9" x14ac:dyDescent="0.3">
      <c r="A3757">
        <v>13756</v>
      </c>
      <c r="B3757">
        <v>50</v>
      </c>
      <c r="C3757" s="2">
        <v>45180</v>
      </c>
      <c r="D3757" s="2" t="str">
        <f>TEXT(Table3[[#This Row],[usage_date]],"mmmm")</f>
        <v>September</v>
      </c>
      <c r="E3757" s="9">
        <f>YEAR(Table3[[#This Row],[usage_date]])</f>
        <v>2023</v>
      </c>
      <c r="F3757" s="14">
        <v>0.69</v>
      </c>
      <c r="G3757">
        <v>294</v>
      </c>
      <c r="H3757" t="s">
        <v>12</v>
      </c>
      <c r="I3757" t="str">
        <f t="shared" si="58"/>
        <v>Normal Usage</v>
      </c>
    </row>
    <row r="3758" spans="1:9" x14ac:dyDescent="0.3">
      <c r="A3758">
        <v>13757</v>
      </c>
      <c r="B3758">
        <v>358</v>
      </c>
      <c r="C3758" s="2">
        <v>45218</v>
      </c>
      <c r="D3758" s="2" t="str">
        <f>TEXT(Table3[[#This Row],[usage_date]],"mmmm")</f>
        <v>October</v>
      </c>
      <c r="E3758" s="9">
        <f>YEAR(Table3[[#This Row],[usage_date]])</f>
        <v>2023</v>
      </c>
      <c r="F3758" s="14">
        <v>1.81</v>
      </c>
      <c r="G3758">
        <v>181</v>
      </c>
      <c r="H3758" t="s">
        <v>12</v>
      </c>
      <c r="I3758" t="str">
        <f t="shared" si="58"/>
        <v>Normal Usage</v>
      </c>
    </row>
    <row r="3759" spans="1:9" x14ac:dyDescent="0.3">
      <c r="A3759">
        <v>13758</v>
      </c>
      <c r="B3759">
        <v>216</v>
      </c>
      <c r="C3759" s="2">
        <v>44930</v>
      </c>
      <c r="D3759" s="2" t="str">
        <f>TEXT(Table3[[#This Row],[usage_date]],"mmmm")</f>
        <v>January</v>
      </c>
      <c r="E3759" s="9">
        <f>YEAR(Table3[[#This Row],[usage_date]])</f>
        <v>2023</v>
      </c>
      <c r="F3759" s="14">
        <v>2.11</v>
      </c>
      <c r="G3759">
        <v>129</v>
      </c>
      <c r="H3759" t="s">
        <v>12</v>
      </c>
      <c r="I3759" t="str">
        <f t="shared" si="58"/>
        <v>Normal Usage</v>
      </c>
    </row>
    <row r="3760" spans="1:9" x14ac:dyDescent="0.3">
      <c r="A3760">
        <v>13759</v>
      </c>
      <c r="B3760">
        <v>394</v>
      </c>
      <c r="C3760" s="2">
        <v>45427</v>
      </c>
      <c r="D3760" s="2" t="str">
        <f>TEXT(Table3[[#This Row],[usage_date]],"mmmm")</f>
        <v>May</v>
      </c>
      <c r="E3760" s="9">
        <f>YEAR(Table3[[#This Row],[usage_date]])</f>
        <v>2024</v>
      </c>
      <c r="F3760" s="14">
        <v>0.63</v>
      </c>
      <c r="G3760">
        <v>223</v>
      </c>
      <c r="H3760" t="s">
        <v>12</v>
      </c>
      <c r="I3760" t="str">
        <f t="shared" si="58"/>
        <v>Normal Usage</v>
      </c>
    </row>
    <row r="3761" spans="1:9" x14ac:dyDescent="0.3">
      <c r="A3761">
        <v>13760</v>
      </c>
      <c r="B3761">
        <v>416</v>
      </c>
      <c r="C3761" s="2">
        <v>45212</v>
      </c>
      <c r="D3761" s="2" t="str">
        <f>TEXT(Table3[[#This Row],[usage_date]],"mmmm")</f>
        <v>October</v>
      </c>
      <c r="E3761" s="9">
        <f>YEAR(Table3[[#This Row],[usage_date]])</f>
        <v>2023</v>
      </c>
      <c r="F3761" s="14">
        <v>3.53</v>
      </c>
      <c r="G3761">
        <v>42</v>
      </c>
      <c r="H3761" t="s">
        <v>12</v>
      </c>
      <c r="I3761" t="str">
        <f t="shared" si="58"/>
        <v>Normal Usage</v>
      </c>
    </row>
    <row r="3762" spans="1:9" x14ac:dyDescent="0.3">
      <c r="A3762">
        <v>13761</v>
      </c>
      <c r="B3762">
        <v>52</v>
      </c>
      <c r="C3762" s="2">
        <v>45357</v>
      </c>
      <c r="D3762" s="2" t="str">
        <f>TEXT(Table3[[#This Row],[usage_date]],"mmmm")</f>
        <v>March</v>
      </c>
      <c r="E3762" s="9">
        <f>YEAR(Table3[[#This Row],[usage_date]])</f>
        <v>2024</v>
      </c>
      <c r="F3762" s="14">
        <v>0.93</v>
      </c>
      <c r="G3762">
        <v>180</v>
      </c>
      <c r="H3762" t="s">
        <v>13</v>
      </c>
      <c r="I3762" t="str">
        <f t="shared" si="58"/>
        <v>Normal Usage</v>
      </c>
    </row>
    <row r="3763" spans="1:9" x14ac:dyDescent="0.3">
      <c r="A3763">
        <v>13762</v>
      </c>
      <c r="B3763">
        <v>271</v>
      </c>
      <c r="C3763" s="2">
        <v>45371</v>
      </c>
      <c r="D3763" s="2" t="str">
        <f>TEXT(Table3[[#This Row],[usage_date]],"mmmm")</f>
        <v>March</v>
      </c>
      <c r="E3763" s="9">
        <f>YEAR(Table3[[#This Row],[usage_date]])</f>
        <v>2024</v>
      </c>
      <c r="F3763" s="14">
        <v>6.38</v>
      </c>
      <c r="G3763">
        <v>168</v>
      </c>
      <c r="H3763" t="s">
        <v>12</v>
      </c>
      <c r="I3763" t="str">
        <f t="shared" si="58"/>
        <v>High Usage</v>
      </c>
    </row>
    <row r="3764" spans="1:9" x14ac:dyDescent="0.3">
      <c r="A3764">
        <v>13763</v>
      </c>
      <c r="B3764">
        <v>485</v>
      </c>
      <c r="C3764" s="2">
        <v>44660</v>
      </c>
      <c r="D3764" s="2" t="str">
        <f>TEXT(Table3[[#This Row],[usage_date]],"mmmm")</f>
        <v>April</v>
      </c>
      <c r="E3764" s="9">
        <f>YEAR(Table3[[#This Row],[usage_date]])</f>
        <v>2022</v>
      </c>
      <c r="F3764" s="14">
        <v>2.67</v>
      </c>
      <c r="G3764">
        <v>263</v>
      </c>
      <c r="H3764" t="s">
        <v>13</v>
      </c>
      <c r="I3764" t="str">
        <f t="shared" si="58"/>
        <v>Normal Usage</v>
      </c>
    </row>
    <row r="3765" spans="1:9" x14ac:dyDescent="0.3">
      <c r="A3765">
        <v>13764</v>
      </c>
      <c r="B3765">
        <v>84</v>
      </c>
      <c r="C3765" s="2">
        <v>44878</v>
      </c>
      <c r="D3765" s="2" t="str">
        <f>TEXT(Table3[[#This Row],[usage_date]],"mmmm")</f>
        <v>November</v>
      </c>
      <c r="E3765" s="9">
        <f>YEAR(Table3[[#This Row],[usage_date]])</f>
        <v>2022</v>
      </c>
      <c r="F3765" s="14">
        <v>1.43</v>
      </c>
      <c r="G3765">
        <v>95</v>
      </c>
      <c r="H3765" t="s">
        <v>12</v>
      </c>
      <c r="I3765" t="str">
        <f t="shared" si="58"/>
        <v>Normal Usage</v>
      </c>
    </row>
    <row r="3766" spans="1:9" x14ac:dyDescent="0.3">
      <c r="A3766">
        <v>13765</v>
      </c>
      <c r="B3766">
        <v>387</v>
      </c>
      <c r="C3766" s="2">
        <v>44684</v>
      </c>
      <c r="D3766" s="2" t="str">
        <f>TEXT(Table3[[#This Row],[usage_date]],"mmmm")</f>
        <v>May</v>
      </c>
      <c r="E3766" s="9">
        <f>YEAR(Table3[[#This Row],[usage_date]])</f>
        <v>2022</v>
      </c>
      <c r="F3766" s="14">
        <v>3.9</v>
      </c>
      <c r="G3766">
        <v>202</v>
      </c>
      <c r="H3766" t="s">
        <v>12</v>
      </c>
      <c r="I3766" t="str">
        <f t="shared" si="58"/>
        <v>Normal Usage</v>
      </c>
    </row>
    <row r="3767" spans="1:9" x14ac:dyDescent="0.3">
      <c r="A3767">
        <v>13766</v>
      </c>
      <c r="B3767">
        <v>293</v>
      </c>
      <c r="C3767" s="2">
        <v>44881</v>
      </c>
      <c r="D3767" s="2" t="str">
        <f>TEXT(Table3[[#This Row],[usage_date]],"mmmm")</f>
        <v>November</v>
      </c>
      <c r="E3767" s="9">
        <f>YEAR(Table3[[#This Row],[usage_date]])</f>
        <v>2022</v>
      </c>
      <c r="F3767" s="14">
        <v>4.26</v>
      </c>
      <c r="G3767">
        <v>67</v>
      </c>
      <c r="H3767" t="s">
        <v>13</v>
      </c>
      <c r="I3767" t="str">
        <f t="shared" si="58"/>
        <v>Normal Usage</v>
      </c>
    </row>
    <row r="3768" spans="1:9" x14ac:dyDescent="0.3">
      <c r="A3768">
        <v>13767</v>
      </c>
      <c r="B3768">
        <v>126</v>
      </c>
      <c r="C3768" s="2">
        <v>45360</v>
      </c>
      <c r="D3768" s="2" t="str">
        <f>TEXT(Table3[[#This Row],[usage_date]],"mmmm")</f>
        <v>March</v>
      </c>
      <c r="E3768" s="9">
        <f>YEAR(Table3[[#This Row],[usage_date]])</f>
        <v>2024</v>
      </c>
      <c r="F3768" s="14">
        <v>0.86</v>
      </c>
      <c r="G3768">
        <v>91</v>
      </c>
      <c r="H3768" t="s">
        <v>12</v>
      </c>
      <c r="I3768" t="str">
        <f t="shared" si="58"/>
        <v>Normal Usage</v>
      </c>
    </row>
    <row r="3769" spans="1:9" x14ac:dyDescent="0.3">
      <c r="A3769">
        <v>13768</v>
      </c>
      <c r="B3769">
        <v>296</v>
      </c>
      <c r="C3769" s="2">
        <v>45154</v>
      </c>
      <c r="D3769" s="2" t="str">
        <f>TEXT(Table3[[#This Row],[usage_date]],"mmmm")</f>
        <v>August</v>
      </c>
      <c r="E3769" s="9">
        <f>YEAR(Table3[[#This Row],[usage_date]])</f>
        <v>2023</v>
      </c>
      <c r="F3769" s="14">
        <v>1.04</v>
      </c>
      <c r="G3769">
        <v>265</v>
      </c>
      <c r="H3769" t="s">
        <v>12</v>
      </c>
      <c r="I3769" t="str">
        <f t="shared" si="58"/>
        <v>Normal Usage</v>
      </c>
    </row>
    <row r="3770" spans="1:9" x14ac:dyDescent="0.3">
      <c r="A3770">
        <v>13769</v>
      </c>
      <c r="B3770">
        <v>72</v>
      </c>
      <c r="C3770" s="2">
        <v>45056</v>
      </c>
      <c r="D3770" s="2" t="str">
        <f>TEXT(Table3[[#This Row],[usage_date]],"mmmm")</f>
        <v>May</v>
      </c>
      <c r="E3770" s="9">
        <f>YEAR(Table3[[#This Row],[usage_date]])</f>
        <v>2023</v>
      </c>
      <c r="F3770" s="14">
        <v>6.87</v>
      </c>
      <c r="G3770">
        <v>177</v>
      </c>
      <c r="H3770" t="s">
        <v>12</v>
      </c>
      <c r="I3770" t="str">
        <f t="shared" si="58"/>
        <v>High Usage</v>
      </c>
    </row>
    <row r="3771" spans="1:9" x14ac:dyDescent="0.3">
      <c r="A3771">
        <v>13770</v>
      </c>
      <c r="B3771">
        <v>296</v>
      </c>
      <c r="C3771" s="2">
        <v>45018</v>
      </c>
      <c r="D3771" s="2" t="str">
        <f>TEXT(Table3[[#This Row],[usage_date]],"mmmm")</f>
        <v>April</v>
      </c>
      <c r="E3771" s="9">
        <f>YEAR(Table3[[#This Row],[usage_date]])</f>
        <v>2023</v>
      </c>
      <c r="F3771" s="14">
        <v>0.45</v>
      </c>
      <c r="G3771">
        <v>150</v>
      </c>
      <c r="H3771" t="s">
        <v>12</v>
      </c>
      <c r="I3771" t="str">
        <f t="shared" si="58"/>
        <v>Normal Usage</v>
      </c>
    </row>
    <row r="3772" spans="1:9" x14ac:dyDescent="0.3">
      <c r="A3772">
        <v>13771</v>
      </c>
      <c r="B3772">
        <v>236</v>
      </c>
      <c r="C3772" s="2">
        <v>45083</v>
      </c>
      <c r="D3772" s="2" t="str">
        <f>TEXT(Table3[[#This Row],[usage_date]],"mmmm")</f>
        <v>June</v>
      </c>
      <c r="E3772" s="9">
        <f>YEAR(Table3[[#This Row],[usage_date]])</f>
        <v>2023</v>
      </c>
      <c r="F3772" s="14">
        <v>0.11</v>
      </c>
      <c r="G3772">
        <v>46</v>
      </c>
      <c r="H3772" t="s">
        <v>13</v>
      </c>
      <c r="I3772" t="str">
        <f t="shared" si="58"/>
        <v>Normal Usage</v>
      </c>
    </row>
    <row r="3773" spans="1:9" x14ac:dyDescent="0.3">
      <c r="A3773">
        <v>13772</v>
      </c>
      <c r="B3773">
        <v>56</v>
      </c>
      <c r="C3773" s="2">
        <v>45081</v>
      </c>
      <c r="D3773" s="2" t="str">
        <f>TEXT(Table3[[#This Row],[usage_date]],"mmmm")</f>
        <v>June</v>
      </c>
      <c r="E3773" s="9">
        <f>YEAR(Table3[[#This Row],[usage_date]])</f>
        <v>2023</v>
      </c>
      <c r="F3773" s="14">
        <v>1.51</v>
      </c>
      <c r="G3773">
        <v>2</v>
      </c>
      <c r="H3773" t="s">
        <v>12</v>
      </c>
      <c r="I3773" t="str">
        <f t="shared" si="58"/>
        <v>Normal Usage</v>
      </c>
    </row>
    <row r="3774" spans="1:9" x14ac:dyDescent="0.3">
      <c r="A3774">
        <v>13773</v>
      </c>
      <c r="B3774">
        <v>407</v>
      </c>
      <c r="C3774" s="2">
        <v>45278</v>
      </c>
      <c r="D3774" s="2" t="str">
        <f>TEXT(Table3[[#This Row],[usage_date]],"mmmm")</f>
        <v>December</v>
      </c>
      <c r="E3774" s="9">
        <f>YEAR(Table3[[#This Row],[usage_date]])</f>
        <v>2023</v>
      </c>
      <c r="F3774" s="14">
        <v>4.04</v>
      </c>
      <c r="G3774">
        <v>102</v>
      </c>
      <c r="H3774" t="s">
        <v>12</v>
      </c>
      <c r="I3774" t="str">
        <f t="shared" si="58"/>
        <v>Normal Usage</v>
      </c>
    </row>
    <row r="3775" spans="1:9" x14ac:dyDescent="0.3">
      <c r="A3775">
        <v>13774</v>
      </c>
      <c r="B3775">
        <v>360</v>
      </c>
      <c r="C3775" s="2">
        <v>44876</v>
      </c>
      <c r="D3775" s="2" t="str">
        <f>TEXT(Table3[[#This Row],[usage_date]],"mmmm")</f>
        <v>November</v>
      </c>
      <c r="E3775" s="9">
        <f>YEAR(Table3[[#This Row],[usage_date]])</f>
        <v>2022</v>
      </c>
      <c r="F3775" s="14">
        <v>3.69</v>
      </c>
      <c r="G3775">
        <v>272</v>
      </c>
      <c r="H3775" t="s">
        <v>13</v>
      </c>
      <c r="I3775" t="str">
        <f t="shared" si="58"/>
        <v>Normal Usage</v>
      </c>
    </row>
    <row r="3776" spans="1:9" x14ac:dyDescent="0.3">
      <c r="A3776">
        <v>13775</v>
      </c>
      <c r="B3776">
        <v>395</v>
      </c>
      <c r="C3776" s="2">
        <v>45270</v>
      </c>
      <c r="D3776" s="2" t="str">
        <f>TEXT(Table3[[#This Row],[usage_date]],"mmmm")</f>
        <v>December</v>
      </c>
      <c r="E3776" s="9">
        <f>YEAR(Table3[[#This Row],[usage_date]])</f>
        <v>2023</v>
      </c>
      <c r="F3776" s="14">
        <v>6.3</v>
      </c>
      <c r="G3776">
        <v>21</v>
      </c>
      <c r="H3776" t="s">
        <v>13</v>
      </c>
      <c r="I3776" t="str">
        <f t="shared" si="58"/>
        <v>High Usage</v>
      </c>
    </row>
    <row r="3777" spans="1:9" x14ac:dyDescent="0.3">
      <c r="A3777">
        <v>13776</v>
      </c>
      <c r="B3777">
        <v>110</v>
      </c>
      <c r="C3777" s="2">
        <v>45271</v>
      </c>
      <c r="D3777" s="2" t="str">
        <f>TEXT(Table3[[#This Row],[usage_date]],"mmmm")</f>
        <v>December</v>
      </c>
      <c r="E3777" s="9">
        <f>YEAR(Table3[[#This Row],[usage_date]])</f>
        <v>2023</v>
      </c>
      <c r="F3777" s="14">
        <v>1.9</v>
      </c>
      <c r="G3777">
        <v>115</v>
      </c>
      <c r="H3777" t="s">
        <v>13</v>
      </c>
      <c r="I3777" t="str">
        <f t="shared" si="58"/>
        <v>Normal Usage</v>
      </c>
    </row>
    <row r="3778" spans="1:9" x14ac:dyDescent="0.3">
      <c r="A3778">
        <v>13777</v>
      </c>
      <c r="B3778">
        <v>192</v>
      </c>
      <c r="C3778" s="2">
        <v>45103</v>
      </c>
      <c r="D3778" s="2" t="str">
        <f>TEXT(Table3[[#This Row],[usage_date]],"mmmm")</f>
        <v>June</v>
      </c>
      <c r="E3778" s="9">
        <f>YEAR(Table3[[#This Row],[usage_date]])</f>
        <v>2023</v>
      </c>
      <c r="F3778" s="14">
        <v>0.26</v>
      </c>
      <c r="G3778">
        <v>103</v>
      </c>
      <c r="H3778" t="s">
        <v>12</v>
      </c>
      <c r="I3778" t="str">
        <f t="shared" ref="I3778:I3841" si="59">IF(F3778&gt;6,"High Usage","Normal Usage")</f>
        <v>Normal Usage</v>
      </c>
    </row>
    <row r="3779" spans="1:9" x14ac:dyDescent="0.3">
      <c r="A3779">
        <v>13778</v>
      </c>
      <c r="B3779">
        <v>392</v>
      </c>
      <c r="C3779" s="2">
        <v>45040</v>
      </c>
      <c r="D3779" s="2" t="str">
        <f>TEXT(Table3[[#This Row],[usage_date]],"mmmm")</f>
        <v>April</v>
      </c>
      <c r="E3779" s="9">
        <f>YEAR(Table3[[#This Row],[usage_date]])</f>
        <v>2023</v>
      </c>
      <c r="F3779" s="14">
        <v>2.2200000000000002</v>
      </c>
      <c r="G3779">
        <v>258</v>
      </c>
      <c r="H3779" t="s">
        <v>13</v>
      </c>
      <c r="I3779" t="str">
        <f t="shared" si="59"/>
        <v>Normal Usage</v>
      </c>
    </row>
    <row r="3780" spans="1:9" x14ac:dyDescent="0.3">
      <c r="A3780">
        <v>13779</v>
      </c>
      <c r="B3780">
        <v>93</v>
      </c>
      <c r="C3780" s="2">
        <v>44581</v>
      </c>
      <c r="D3780" s="2" t="str">
        <f>TEXT(Table3[[#This Row],[usage_date]],"mmmm")</f>
        <v>January</v>
      </c>
      <c r="E3780" s="9">
        <f>YEAR(Table3[[#This Row],[usage_date]])</f>
        <v>2022</v>
      </c>
      <c r="F3780" s="14">
        <v>3.77</v>
      </c>
      <c r="G3780">
        <v>297</v>
      </c>
      <c r="H3780" t="s">
        <v>13</v>
      </c>
      <c r="I3780" t="str">
        <f t="shared" si="59"/>
        <v>Normal Usage</v>
      </c>
    </row>
    <row r="3781" spans="1:9" x14ac:dyDescent="0.3">
      <c r="A3781">
        <v>13780</v>
      </c>
      <c r="B3781">
        <v>350</v>
      </c>
      <c r="C3781" s="2">
        <v>45121</v>
      </c>
      <c r="D3781" s="2" t="str">
        <f>TEXT(Table3[[#This Row],[usage_date]],"mmmm")</f>
        <v>July</v>
      </c>
      <c r="E3781" s="9">
        <f>YEAR(Table3[[#This Row],[usage_date]])</f>
        <v>2023</v>
      </c>
      <c r="F3781" s="14">
        <v>0.24</v>
      </c>
      <c r="G3781">
        <v>129</v>
      </c>
      <c r="H3781" t="s">
        <v>13</v>
      </c>
      <c r="I3781" t="str">
        <f t="shared" si="59"/>
        <v>Normal Usage</v>
      </c>
    </row>
    <row r="3782" spans="1:9" x14ac:dyDescent="0.3">
      <c r="A3782">
        <v>13781</v>
      </c>
      <c r="B3782">
        <v>56</v>
      </c>
      <c r="C3782" s="2">
        <v>44691</v>
      </c>
      <c r="D3782" s="2" t="str">
        <f>TEXT(Table3[[#This Row],[usage_date]],"mmmm")</f>
        <v>May</v>
      </c>
      <c r="E3782" s="9">
        <f>YEAR(Table3[[#This Row],[usage_date]])</f>
        <v>2022</v>
      </c>
      <c r="F3782" s="14">
        <v>0.47</v>
      </c>
      <c r="G3782">
        <v>294</v>
      </c>
      <c r="H3782" t="s">
        <v>13</v>
      </c>
      <c r="I3782" t="str">
        <f t="shared" si="59"/>
        <v>Normal Usage</v>
      </c>
    </row>
    <row r="3783" spans="1:9" x14ac:dyDescent="0.3">
      <c r="A3783">
        <v>13782</v>
      </c>
      <c r="B3783">
        <v>60</v>
      </c>
      <c r="C3783" s="2">
        <v>44854</v>
      </c>
      <c r="D3783" s="2" t="str">
        <f>TEXT(Table3[[#This Row],[usage_date]],"mmmm")</f>
        <v>October</v>
      </c>
      <c r="E3783" s="9">
        <f>YEAR(Table3[[#This Row],[usage_date]])</f>
        <v>2022</v>
      </c>
      <c r="F3783" s="14">
        <v>0.03</v>
      </c>
      <c r="G3783">
        <v>47</v>
      </c>
      <c r="H3783" t="s">
        <v>13</v>
      </c>
      <c r="I3783" t="str">
        <f t="shared" si="59"/>
        <v>Normal Usage</v>
      </c>
    </row>
    <row r="3784" spans="1:9" x14ac:dyDescent="0.3">
      <c r="A3784">
        <v>13783</v>
      </c>
      <c r="B3784">
        <v>138</v>
      </c>
      <c r="C3784" s="2">
        <v>45458</v>
      </c>
      <c r="D3784" s="2" t="str">
        <f>TEXT(Table3[[#This Row],[usage_date]],"mmmm")</f>
        <v>June</v>
      </c>
      <c r="E3784" s="9">
        <f>YEAR(Table3[[#This Row],[usage_date]])</f>
        <v>2024</v>
      </c>
      <c r="F3784" s="14">
        <v>2.25</v>
      </c>
      <c r="G3784">
        <v>26</v>
      </c>
      <c r="H3784" t="s">
        <v>12</v>
      </c>
      <c r="I3784" t="str">
        <f t="shared" si="59"/>
        <v>Normal Usage</v>
      </c>
    </row>
    <row r="3785" spans="1:9" x14ac:dyDescent="0.3">
      <c r="A3785">
        <v>13784</v>
      </c>
      <c r="B3785">
        <v>39</v>
      </c>
      <c r="C3785" s="2">
        <v>44693</v>
      </c>
      <c r="D3785" s="2" t="str">
        <f>TEXT(Table3[[#This Row],[usage_date]],"mmmm")</f>
        <v>May</v>
      </c>
      <c r="E3785" s="9">
        <f>YEAR(Table3[[#This Row],[usage_date]])</f>
        <v>2022</v>
      </c>
      <c r="F3785" s="14">
        <v>5.45</v>
      </c>
      <c r="G3785">
        <v>14</v>
      </c>
      <c r="H3785" t="s">
        <v>12</v>
      </c>
      <c r="I3785" t="str">
        <f t="shared" si="59"/>
        <v>Normal Usage</v>
      </c>
    </row>
    <row r="3786" spans="1:9" x14ac:dyDescent="0.3">
      <c r="A3786">
        <v>13785</v>
      </c>
      <c r="B3786">
        <v>28</v>
      </c>
      <c r="C3786" s="2">
        <v>44917</v>
      </c>
      <c r="D3786" s="2" t="str">
        <f>TEXT(Table3[[#This Row],[usage_date]],"mmmm")</f>
        <v>December</v>
      </c>
      <c r="E3786" s="9">
        <f>YEAR(Table3[[#This Row],[usage_date]])</f>
        <v>2022</v>
      </c>
      <c r="F3786" s="14">
        <v>2.78</v>
      </c>
      <c r="G3786">
        <v>262</v>
      </c>
      <c r="H3786" t="s">
        <v>13</v>
      </c>
      <c r="I3786" t="str">
        <f t="shared" si="59"/>
        <v>Normal Usage</v>
      </c>
    </row>
    <row r="3787" spans="1:9" x14ac:dyDescent="0.3">
      <c r="A3787">
        <v>13786</v>
      </c>
      <c r="B3787">
        <v>49</v>
      </c>
      <c r="C3787" s="2">
        <v>44615</v>
      </c>
      <c r="D3787" s="2" t="str">
        <f>TEXT(Table3[[#This Row],[usage_date]],"mmmm")</f>
        <v>February</v>
      </c>
      <c r="E3787" s="9">
        <f>YEAR(Table3[[#This Row],[usage_date]])</f>
        <v>2022</v>
      </c>
      <c r="F3787" s="14">
        <v>10.050000000000001</v>
      </c>
      <c r="G3787">
        <v>297</v>
      </c>
      <c r="H3787" t="s">
        <v>12</v>
      </c>
      <c r="I3787" t="str">
        <f t="shared" si="59"/>
        <v>High Usage</v>
      </c>
    </row>
    <row r="3788" spans="1:9" x14ac:dyDescent="0.3">
      <c r="A3788">
        <v>13787</v>
      </c>
      <c r="B3788">
        <v>420</v>
      </c>
      <c r="C3788" s="2">
        <v>45451</v>
      </c>
      <c r="D3788" s="2" t="str">
        <f>TEXT(Table3[[#This Row],[usage_date]],"mmmm")</f>
        <v>June</v>
      </c>
      <c r="E3788" s="9">
        <f>YEAR(Table3[[#This Row],[usage_date]])</f>
        <v>2024</v>
      </c>
      <c r="F3788" s="14">
        <v>0.16</v>
      </c>
      <c r="G3788">
        <v>264</v>
      </c>
      <c r="H3788" t="s">
        <v>12</v>
      </c>
      <c r="I3788" t="str">
        <f t="shared" si="59"/>
        <v>Normal Usage</v>
      </c>
    </row>
    <row r="3789" spans="1:9" x14ac:dyDescent="0.3">
      <c r="A3789">
        <v>13788</v>
      </c>
      <c r="B3789">
        <v>125</v>
      </c>
      <c r="C3789" s="2">
        <v>45354</v>
      </c>
      <c r="D3789" s="2" t="str">
        <f>TEXT(Table3[[#This Row],[usage_date]],"mmmm")</f>
        <v>March</v>
      </c>
      <c r="E3789" s="9">
        <f>YEAR(Table3[[#This Row],[usage_date]])</f>
        <v>2024</v>
      </c>
      <c r="F3789" s="14">
        <v>5.83</v>
      </c>
      <c r="G3789">
        <v>133</v>
      </c>
      <c r="H3789" t="s">
        <v>12</v>
      </c>
      <c r="I3789" t="str">
        <f t="shared" si="59"/>
        <v>Normal Usage</v>
      </c>
    </row>
    <row r="3790" spans="1:9" x14ac:dyDescent="0.3">
      <c r="A3790">
        <v>13789</v>
      </c>
      <c r="B3790">
        <v>13</v>
      </c>
      <c r="C3790" s="2">
        <v>44948</v>
      </c>
      <c r="D3790" s="2" t="str">
        <f>TEXT(Table3[[#This Row],[usage_date]],"mmmm")</f>
        <v>January</v>
      </c>
      <c r="E3790" s="9">
        <f>YEAR(Table3[[#This Row],[usage_date]])</f>
        <v>2023</v>
      </c>
      <c r="F3790" s="14">
        <v>4.21</v>
      </c>
      <c r="G3790">
        <v>75</v>
      </c>
      <c r="H3790" t="s">
        <v>13</v>
      </c>
      <c r="I3790" t="str">
        <f t="shared" si="59"/>
        <v>Normal Usage</v>
      </c>
    </row>
    <row r="3791" spans="1:9" x14ac:dyDescent="0.3">
      <c r="A3791">
        <v>13790</v>
      </c>
      <c r="B3791">
        <v>480</v>
      </c>
      <c r="C3791" s="2">
        <v>44826</v>
      </c>
      <c r="D3791" s="2" t="str">
        <f>TEXT(Table3[[#This Row],[usage_date]],"mmmm")</f>
        <v>September</v>
      </c>
      <c r="E3791" s="9">
        <f>YEAR(Table3[[#This Row],[usage_date]])</f>
        <v>2022</v>
      </c>
      <c r="F3791" s="14">
        <v>0.94</v>
      </c>
      <c r="G3791">
        <v>29</v>
      </c>
      <c r="H3791" t="s">
        <v>12</v>
      </c>
      <c r="I3791" t="str">
        <f t="shared" si="59"/>
        <v>Normal Usage</v>
      </c>
    </row>
    <row r="3792" spans="1:9" x14ac:dyDescent="0.3">
      <c r="A3792">
        <v>13791</v>
      </c>
      <c r="B3792">
        <v>36</v>
      </c>
      <c r="C3792" s="2">
        <v>44776</v>
      </c>
      <c r="D3792" s="2" t="str">
        <f>TEXT(Table3[[#This Row],[usage_date]],"mmmm")</f>
        <v>August</v>
      </c>
      <c r="E3792" s="9">
        <f>YEAR(Table3[[#This Row],[usage_date]])</f>
        <v>2022</v>
      </c>
      <c r="F3792" s="14">
        <v>9.08</v>
      </c>
      <c r="G3792">
        <v>125</v>
      </c>
      <c r="H3792" t="s">
        <v>12</v>
      </c>
      <c r="I3792" t="str">
        <f t="shared" si="59"/>
        <v>High Usage</v>
      </c>
    </row>
    <row r="3793" spans="1:9" x14ac:dyDescent="0.3">
      <c r="A3793">
        <v>13792</v>
      </c>
      <c r="B3793">
        <v>101</v>
      </c>
      <c r="C3793" s="2">
        <v>45021</v>
      </c>
      <c r="D3793" s="2" t="str">
        <f>TEXT(Table3[[#This Row],[usage_date]],"mmmm")</f>
        <v>April</v>
      </c>
      <c r="E3793" s="9">
        <f>YEAR(Table3[[#This Row],[usage_date]])</f>
        <v>2023</v>
      </c>
      <c r="F3793" s="14">
        <v>0.85</v>
      </c>
      <c r="G3793">
        <v>83</v>
      </c>
      <c r="H3793" t="s">
        <v>12</v>
      </c>
      <c r="I3793" t="str">
        <f t="shared" si="59"/>
        <v>Normal Usage</v>
      </c>
    </row>
    <row r="3794" spans="1:9" x14ac:dyDescent="0.3">
      <c r="A3794">
        <v>13793</v>
      </c>
      <c r="B3794">
        <v>282</v>
      </c>
      <c r="C3794" s="2">
        <v>45019</v>
      </c>
      <c r="D3794" s="2" t="str">
        <f>TEXT(Table3[[#This Row],[usage_date]],"mmmm")</f>
        <v>April</v>
      </c>
      <c r="E3794" s="9">
        <f>YEAR(Table3[[#This Row],[usage_date]])</f>
        <v>2023</v>
      </c>
      <c r="F3794" s="14">
        <v>5.5</v>
      </c>
      <c r="G3794">
        <v>53</v>
      </c>
      <c r="H3794" t="s">
        <v>12</v>
      </c>
      <c r="I3794" t="str">
        <f t="shared" si="59"/>
        <v>Normal Usage</v>
      </c>
    </row>
    <row r="3795" spans="1:9" x14ac:dyDescent="0.3">
      <c r="A3795">
        <v>13794</v>
      </c>
      <c r="B3795">
        <v>86</v>
      </c>
      <c r="C3795" s="2">
        <v>45363</v>
      </c>
      <c r="D3795" s="2" t="str">
        <f>TEXT(Table3[[#This Row],[usage_date]],"mmmm")</f>
        <v>March</v>
      </c>
      <c r="E3795" s="9">
        <f>YEAR(Table3[[#This Row],[usage_date]])</f>
        <v>2024</v>
      </c>
      <c r="F3795" s="14">
        <v>5.32</v>
      </c>
      <c r="G3795">
        <v>282</v>
      </c>
      <c r="H3795" t="s">
        <v>12</v>
      </c>
      <c r="I3795" t="str">
        <f t="shared" si="59"/>
        <v>Normal Usage</v>
      </c>
    </row>
    <row r="3796" spans="1:9" x14ac:dyDescent="0.3">
      <c r="A3796">
        <v>13795</v>
      </c>
      <c r="B3796">
        <v>4</v>
      </c>
      <c r="C3796" s="2">
        <v>44604</v>
      </c>
      <c r="D3796" s="2" t="str">
        <f>TEXT(Table3[[#This Row],[usage_date]],"mmmm")</f>
        <v>February</v>
      </c>
      <c r="E3796" s="9">
        <f>YEAR(Table3[[#This Row],[usage_date]])</f>
        <v>2022</v>
      </c>
      <c r="F3796" s="14">
        <v>3.54</v>
      </c>
      <c r="G3796">
        <v>262</v>
      </c>
      <c r="H3796" t="s">
        <v>12</v>
      </c>
      <c r="I3796" t="str">
        <f t="shared" si="59"/>
        <v>Normal Usage</v>
      </c>
    </row>
    <row r="3797" spans="1:9" x14ac:dyDescent="0.3">
      <c r="A3797">
        <v>13796</v>
      </c>
      <c r="B3797">
        <v>223</v>
      </c>
      <c r="C3797" s="2">
        <v>45147</v>
      </c>
      <c r="D3797" s="2" t="str">
        <f>TEXT(Table3[[#This Row],[usage_date]],"mmmm")</f>
        <v>August</v>
      </c>
      <c r="E3797" s="9">
        <f>YEAR(Table3[[#This Row],[usage_date]])</f>
        <v>2023</v>
      </c>
      <c r="F3797" s="14">
        <v>2.0699999999999998</v>
      </c>
      <c r="G3797">
        <v>221</v>
      </c>
      <c r="H3797" t="s">
        <v>13</v>
      </c>
      <c r="I3797" t="str">
        <f t="shared" si="59"/>
        <v>Normal Usage</v>
      </c>
    </row>
    <row r="3798" spans="1:9" x14ac:dyDescent="0.3">
      <c r="A3798">
        <v>13797</v>
      </c>
      <c r="B3798">
        <v>338</v>
      </c>
      <c r="C3798" s="2">
        <v>45423</v>
      </c>
      <c r="D3798" s="2" t="str">
        <f>TEXT(Table3[[#This Row],[usage_date]],"mmmm")</f>
        <v>May</v>
      </c>
      <c r="E3798" s="9">
        <f>YEAR(Table3[[#This Row],[usage_date]])</f>
        <v>2024</v>
      </c>
      <c r="F3798" s="14">
        <v>0.32</v>
      </c>
      <c r="G3798">
        <v>1</v>
      </c>
      <c r="H3798" t="s">
        <v>13</v>
      </c>
      <c r="I3798" t="str">
        <f t="shared" si="59"/>
        <v>Normal Usage</v>
      </c>
    </row>
    <row r="3799" spans="1:9" x14ac:dyDescent="0.3">
      <c r="A3799">
        <v>13798</v>
      </c>
      <c r="B3799">
        <v>448</v>
      </c>
      <c r="C3799" s="2">
        <v>44839</v>
      </c>
      <c r="D3799" s="2" t="str">
        <f>TEXT(Table3[[#This Row],[usage_date]],"mmmm")</f>
        <v>October</v>
      </c>
      <c r="E3799" s="9">
        <f>YEAR(Table3[[#This Row],[usage_date]])</f>
        <v>2022</v>
      </c>
      <c r="F3799" s="14">
        <v>1.9</v>
      </c>
      <c r="G3799">
        <v>145</v>
      </c>
      <c r="H3799" t="s">
        <v>13</v>
      </c>
      <c r="I3799" t="str">
        <f t="shared" si="59"/>
        <v>Normal Usage</v>
      </c>
    </row>
    <row r="3800" spans="1:9" x14ac:dyDescent="0.3">
      <c r="A3800">
        <v>13799</v>
      </c>
      <c r="B3800">
        <v>166</v>
      </c>
      <c r="C3800" s="2">
        <v>45399</v>
      </c>
      <c r="D3800" s="2" t="str">
        <f>TEXT(Table3[[#This Row],[usage_date]],"mmmm")</f>
        <v>April</v>
      </c>
      <c r="E3800" s="9">
        <f>YEAR(Table3[[#This Row],[usage_date]])</f>
        <v>2024</v>
      </c>
      <c r="F3800" s="14">
        <v>1.1000000000000001</v>
      </c>
      <c r="G3800">
        <v>17</v>
      </c>
      <c r="H3800" t="s">
        <v>12</v>
      </c>
      <c r="I3800" t="str">
        <f t="shared" si="59"/>
        <v>Normal Usage</v>
      </c>
    </row>
    <row r="3801" spans="1:9" x14ac:dyDescent="0.3">
      <c r="A3801">
        <v>13800</v>
      </c>
      <c r="B3801">
        <v>383</v>
      </c>
      <c r="C3801" s="2">
        <v>45315</v>
      </c>
      <c r="D3801" s="2" t="str">
        <f>TEXT(Table3[[#This Row],[usage_date]],"mmmm")</f>
        <v>January</v>
      </c>
      <c r="E3801" s="9">
        <f>YEAR(Table3[[#This Row],[usage_date]])</f>
        <v>2024</v>
      </c>
      <c r="F3801" s="14">
        <v>3.93</v>
      </c>
      <c r="G3801">
        <v>15</v>
      </c>
      <c r="H3801" t="s">
        <v>12</v>
      </c>
      <c r="I3801" t="str">
        <f t="shared" si="59"/>
        <v>Normal Usage</v>
      </c>
    </row>
    <row r="3802" spans="1:9" x14ac:dyDescent="0.3">
      <c r="A3802">
        <v>13801</v>
      </c>
      <c r="B3802">
        <v>344</v>
      </c>
      <c r="C3802" s="2">
        <v>44691</v>
      </c>
      <c r="D3802" s="2" t="str">
        <f>TEXT(Table3[[#This Row],[usage_date]],"mmmm")</f>
        <v>May</v>
      </c>
      <c r="E3802" s="9">
        <f>YEAR(Table3[[#This Row],[usage_date]])</f>
        <v>2022</v>
      </c>
      <c r="F3802" s="14">
        <v>3.55</v>
      </c>
      <c r="G3802">
        <v>158</v>
      </c>
      <c r="H3802" t="s">
        <v>12</v>
      </c>
      <c r="I3802" t="str">
        <f t="shared" si="59"/>
        <v>Normal Usage</v>
      </c>
    </row>
    <row r="3803" spans="1:9" x14ac:dyDescent="0.3">
      <c r="A3803">
        <v>13802</v>
      </c>
      <c r="B3803">
        <v>383</v>
      </c>
      <c r="C3803" s="2">
        <v>44911</v>
      </c>
      <c r="D3803" s="2" t="str">
        <f>TEXT(Table3[[#This Row],[usage_date]],"mmmm")</f>
        <v>December</v>
      </c>
      <c r="E3803" s="9">
        <f>YEAR(Table3[[#This Row],[usage_date]])</f>
        <v>2022</v>
      </c>
      <c r="F3803" s="14">
        <v>6.04</v>
      </c>
      <c r="G3803">
        <v>297</v>
      </c>
      <c r="H3803" t="s">
        <v>12</v>
      </c>
      <c r="I3803" t="str">
        <f t="shared" si="59"/>
        <v>High Usage</v>
      </c>
    </row>
    <row r="3804" spans="1:9" x14ac:dyDescent="0.3">
      <c r="A3804">
        <v>13803</v>
      </c>
      <c r="B3804">
        <v>376</v>
      </c>
      <c r="C3804" s="2">
        <v>45267</v>
      </c>
      <c r="D3804" s="2" t="str">
        <f>TEXT(Table3[[#This Row],[usage_date]],"mmmm")</f>
        <v>December</v>
      </c>
      <c r="E3804" s="9">
        <f>YEAR(Table3[[#This Row],[usage_date]])</f>
        <v>2023</v>
      </c>
      <c r="F3804" s="14">
        <v>0.04</v>
      </c>
      <c r="G3804">
        <v>208</v>
      </c>
      <c r="H3804" t="s">
        <v>12</v>
      </c>
      <c r="I3804" t="str">
        <f t="shared" si="59"/>
        <v>Normal Usage</v>
      </c>
    </row>
    <row r="3805" spans="1:9" x14ac:dyDescent="0.3">
      <c r="A3805">
        <v>13804</v>
      </c>
      <c r="B3805">
        <v>471</v>
      </c>
      <c r="C3805" s="2">
        <v>45105</v>
      </c>
      <c r="D3805" s="2" t="str">
        <f>TEXT(Table3[[#This Row],[usage_date]],"mmmm")</f>
        <v>June</v>
      </c>
      <c r="E3805" s="9">
        <f>YEAR(Table3[[#This Row],[usage_date]])</f>
        <v>2023</v>
      </c>
      <c r="F3805" s="14">
        <v>4.1399999999999997</v>
      </c>
      <c r="G3805">
        <v>204</v>
      </c>
      <c r="H3805" t="s">
        <v>13</v>
      </c>
      <c r="I3805" t="str">
        <f t="shared" si="59"/>
        <v>Normal Usage</v>
      </c>
    </row>
    <row r="3806" spans="1:9" x14ac:dyDescent="0.3">
      <c r="A3806">
        <v>13805</v>
      </c>
      <c r="B3806">
        <v>278</v>
      </c>
      <c r="C3806" s="2">
        <v>44667</v>
      </c>
      <c r="D3806" s="2" t="str">
        <f>TEXT(Table3[[#This Row],[usage_date]],"mmmm")</f>
        <v>April</v>
      </c>
      <c r="E3806" s="9">
        <f>YEAR(Table3[[#This Row],[usage_date]])</f>
        <v>2022</v>
      </c>
      <c r="F3806" s="14">
        <v>6.97</v>
      </c>
      <c r="G3806">
        <v>112</v>
      </c>
      <c r="H3806" t="s">
        <v>12</v>
      </c>
      <c r="I3806" t="str">
        <f t="shared" si="59"/>
        <v>High Usage</v>
      </c>
    </row>
    <row r="3807" spans="1:9" x14ac:dyDescent="0.3">
      <c r="A3807">
        <v>13806</v>
      </c>
      <c r="B3807">
        <v>130</v>
      </c>
      <c r="C3807" s="2">
        <v>45277</v>
      </c>
      <c r="D3807" s="2" t="str">
        <f>TEXT(Table3[[#This Row],[usage_date]],"mmmm")</f>
        <v>December</v>
      </c>
      <c r="E3807" s="9">
        <f>YEAR(Table3[[#This Row],[usage_date]])</f>
        <v>2023</v>
      </c>
      <c r="F3807" s="14">
        <v>3.89</v>
      </c>
      <c r="G3807">
        <v>177</v>
      </c>
      <c r="H3807" t="s">
        <v>12</v>
      </c>
      <c r="I3807" t="str">
        <f t="shared" si="59"/>
        <v>Normal Usage</v>
      </c>
    </row>
    <row r="3808" spans="1:9" x14ac:dyDescent="0.3">
      <c r="A3808">
        <v>13807</v>
      </c>
      <c r="B3808">
        <v>31</v>
      </c>
      <c r="C3808" s="2">
        <v>44562</v>
      </c>
      <c r="D3808" s="2" t="str">
        <f>TEXT(Table3[[#This Row],[usage_date]],"mmmm")</f>
        <v>January</v>
      </c>
      <c r="E3808" s="9">
        <f>YEAR(Table3[[#This Row],[usage_date]])</f>
        <v>2022</v>
      </c>
      <c r="F3808" s="14">
        <v>0.35</v>
      </c>
      <c r="G3808">
        <v>208</v>
      </c>
      <c r="H3808" t="s">
        <v>13</v>
      </c>
      <c r="I3808" t="str">
        <f t="shared" si="59"/>
        <v>Normal Usage</v>
      </c>
    </row>
    <row r="3809" spans="1:9" x14ac:dyDescent="0.3">
      <c r="A3809">
        <v>13808</v>
      </c>
      <c r="B3809">
        <v>375</v>
      </c>
      <c r="C3809" s="2">
        <v>45318</v>
      </c>
      <c r="D3809" s="2" t="str">
        <f>TEXT(Table3[[#This Row],[usage_date]],"mmmm")</f>
        <v>January</v>
      </c>
      <c r="E3809" s="9">
        <f>YEAR(Table3[[#This Row],[usage_date]])</f>
        <v>2024</v>
      </c>
      <c r="F3809" s="14">
        <v>0.21</v>
      </c>
      <c r="G3809">
        <v>123</v>
      </c>
      <c r="H3809" t="s">
        <v>12</v>
      </c>
      <c r="I3809" t="str">
        <f t="shared" si="59"/>
        <v>Normal Usage</v>
      </c>
    </row>
    <row r="3810" spans="1:9" x14ac:dyDescent="0.3">
      <c r="A3810">
        <v>13809</v>
      </c>
      <c r="B3810">
        <v>11</v>
      </c>
      <c r="C3810" s="2">
        <v>45145</v>
      </c>
      <c r="D3810" s="2" t="str">
        <f>TEXT(Table3[[#This Row],[usage_date]],"mmmm")</f>
        <v>August</v>
      </c>
      <c r="E3810" s="9">
        <f>YEAR(Table3[[#This Row],[usage_date]])</f>
        <v>2023</v>
      </c>
      <c r="F3810" s="14">
        <v>0.05</v>
      </c>
      <c r="G3810">
        <v>14</v>
      </c>
      <c r="H3810" t="s">
        <v>13</v>
      </c>
      <c r="I3810" t="str">
        <f t="shared" si="59"/>
        <v>Normal Usage</v>
      </c>
    </row>
    <row r="3811" spans="1:9" x14ac:dyDescent="0.3">
      <c r="A3811">
        <v>13810</v>
      </c>
      <c r="B3811">
        <v>476</v>
      </c>
      <c r="C3811" s="2">
        <v>44993</v>
      </c>
      <c r="D3811" s="2" t="str">
        <f>TEXT(Table3[[#This Row],[usage_date]],"mmmm")</f>
        <v>March</v>
      </c>
      <c r="E3811" s="9">
        <f>YEAR(Table3[[#This Row],[usage_date]])</f>
        <v>2023</v>
      </c>
      <c r="F3811" s="14">
        <v>2.48</v>
      </c>
      <c r="G3811">
        <v>297</v>
      </c>
      <c r="H3811" t="s">
        <v>13</v>
      </c>
      <c r="I3811" t="str">
        <f t="shared" si="59"/>
        <v>Normal Usage</v>
      </c>
    </row>
    <row r="3812" spans="1:9" x14ac:dyDescent="0.3">
      <c r="A3812">
        <v>13811</v>
      </c>
      <c r="B3812">
        <v>302</v>
      </c>
      <c r="C3812" s="2">
        <v>44867</v>
      </c>
      <c r="D3812" s="2" t="str">
        <f>TEXT(Table3[[#This Row],[usage_date]],"mmmm")</f>
        <v>November</v>
      </c>
      <c r="E3812" s="9">
        <f>YEAR(Table3[[#This Row],[usage_date]])</f>
        <v>2022</v>
      </c>
      <c r="F3812" s="14">
        <v>2.48</v>
      </c>
      <c r="G3812">
        <v>44</v>
      </c>
      <c r="H3812" t="s">
        <v>12</v>
      </c>
      <c r="I3812" t="str">
        <f t="shared" si="59"/>
        <v>Normal Usage</v>
      </c>
    </row>
    <row r="3813" spans="1:9" x14ac:dyDescent="0.3">
      <c r="A3813">
        <v>13812</v>
      </c>
      <c r="B3813">
        <v>96</v>
      </c>
      <c r="C3813" s="2">
        <v>45088</v>
      </c>
      <c r="D3813" s="2" t="str">
        <f>TEXT(Table3[[#This Row],[usage_date]],"mmmm")</f>
        <v>June</v>
      </c>
      <c r="E3813" s="9">
        <f>YEAR(Table3[[#This Row],[usage_date]])</f>
        <v>2023</v>
      </c>
      <c r="F3813" s="14">
        <v>10.84</v>
      </c>
      <c r="G3813">
        <v>93</v>
      </c>
      <c r="H3813" t="s">
        <v>12</v>
      </c>
      <c r="I3813" t="str">
        <f t="shared" si="59"/>
        <v>High Usage</v>
      </c>
    </row>
    <row r="3814" spans="1:9" x14ac:dyDescent="0.3">
      <c r="A3814">
        <v>13813</v>
      </c>
      <c r="B3814">
        <v>190</v>
      </c>
      <c r="C3814" s="2">
        <v>44614</v>
      </c>
      <c r="D3814" s="2" t="str">
        <f>TEXT(Table3[[#This Row],[usage_date]],"mmmm")</f>
        <v>February</v>
      </c>
      <c r="E3814" s="9">
        <f>YEAR(Table3[[#This Row],[usage_date]])</f>
        <v>2022</v>
      </c>
      <c r="F3814" s="14">
        <v>1.27</v>
      </c>
      <c r="G3814">
        <v>106</v>
      </c>
      <c r="H3814" t="s">
        <v>13</v>
      </c>
      <c r="I3814" t="str">
        <f t="shared" si="59"/>
        <v>Normal Usage</v>
      </c>
    </row>
    <row r="3815" spans="1:9" x14ac:dyDescent="0.3">
      <c r="A3815">
        <v>13814</v>
      </c>
      <c r="B3815">
        <v>453</v>
      </c>
      <c r="C3815" s="2">
        <v>45081</v>
      </c>
      <c r="D3815" s="2" t="str">
        <f>TEXT(Table3[[#This Row],[usage_date]],"mmmm")</f>
        <v>June</v>
      </c>
      <c r="E3815" s="9">
        <f>YEAR(Table3[[#This Row],[usage_date]])</f>
        <v>2023</v>
      </c>
      <c r="F3815" s="14">
        <v>1.01</v>
      </c>
      <c r="G3815">
        <v>277</v>
      </c>
      <c r="H3815" t="s">
        <v>12</v>
      </c>
      <c r="I3815" t="str">
        <f t="shared" si="59"/>
        <v>Normal Usage</v>
      </c>
    </row>
    <row r="3816" spans="1:9" x14ac:dyDescent="0.3">
      <c r="A3816">
        <v>13815</v>
      </c>
      <c r="B3816">
        <v>192</v>
      </c>
      <c r="C3816" s="2">
        <v>44891</v>
      </c>
      <c r="D3816" s="2" t="str">
        <f>TEXT(Table3[[#This Row],[usage_date]],"mmmm")</f>
        <v>November</v>
      </c>
      <c r="E3816" s="9">
        <f>YEAR(Table3[[#This Row],[usage_date]])</f>
        <v>2022</v>
      </c>
      <c r="F3816" s="14">
        <v>2.4500000000000002</v>
      </c>
      <c r="G3816">
        <v>127</v>
      </c>
      <c r="H3816" t="s">
        <v>12</v>
      </c>
      <c r="I3816" t="str">
        <f t="shared" si="59"/>
        <v>Normal Usage</v>
      </c>
    </row>
    <row r="3817" spans="1:9" x14ac:dyDescent="0.3">
      <c r="A3817">
        <v>13816</v>
      </c>
      <c r="B3817">
        <v>486</v>
      </c>
      <c r="C3817" s="2">
        <v>45119</v>
      </c>
      <c r="D3817" s="2" t="str">
        <f>TEXT(Table3[[#This Row],[usage_date]],"mmmm")</f>
        <v>July</v>
      </c>
      <c r="E3817" s="9">
        <f>YEAR(Table3[[#This Row],[usage_date]])</f>
        <v>2023</v>
      </c>
      <c r="F3817" s="14">
        <v>4.37</v>
      </c>
      <c r="G3817">
        <v>37</v>
      </c>
      <c r="H3817" t="s">
        <v>13</v>
      </c>
      <c r="I3817" t="str">
        <f t="shared" si="59"/>
        <v>Normal Usage</v>
      </c>
    </row>
    <row r="3818" spans="1:9" x14ac:dyDescent="0.3">
      <c r="A3818">
        <v>13817</v>
      </c>
      <c r="B3818">
        <v>266</v>
      </c>
      <c r="C3818" s="2">
        <v>44886</v>
      </c>
      <c r="D3818" s="2" t="str">
        <f>TEXT(Table3[[#This Row],[usage_date]],"mmmm")</f>
        <v>November</v>
      </c>
      <c r="E3818" s="9">
        <f>YEAR(Table3[[#This Row],[usage_date]])</f>
        <v>2022</v>
      </c>
      <c r="F3818" s="14">
        <v>6.9</v>
      </c>
      <c r="G3818">
        <v>96</v>
      </c>
      <c r="H3818" t="s">
        <v>12</v>
      </c>
      <c r="I3818" t="str">
        <f t="shared" si="59"/>
        <v>High Usage</v>
      </c>
    </row>
    <row r="3819" spans="1:9" x14ac:dyDescent="0.3">
      <c r="A3819">
        <v>13818</v>
      </c>
      <c r="B3819">
        <v>424</v>
      </c>
      <c r="C3819" s="2">
        <v>44675</v>
      </c>
      <c r="D3819" s="2" t="str">
        <f>TEXT(Table3[[#This Row],[usage_date]],"mmmm")</f>
        <v>April</v>
      </c>
      <c r="E3819" s="9">
        <f>YEAR(Table3[[#This Row],[usage_date]])</f>
        <v>2022</v>
      </c>
      <c r="F3819" s="14">
        <v>4.0599999999999996</v>
      </c>
      <c r="G3819">
        <v>197</v>
      </c>
      <c r="H3819" t="s">
        <v>12</v>
      </c>
      <c r="I3819" t="str">
        <f t="shared" si="59"/>
        <v>Normal Usage</v>
      </c>
    </row>
    <row r="3820" spans="1:9" x14ac:dyDescent="0.3">
      <c r="A3820">
        <v>13819</v>
      </c>
      <c r="B3820">
        <v>128</v>
      </c>
      <c r="C3820" s="2">
        <v>44708</v>
      </c>
      <c r="D3820" s="2" t="str">
        <f>TEXT(Table3[[#This Row],[usage_date]],"mmmm")</f>
        <v>May</v>
      </c>
      <c r="E3820" s="9">
        <f>YEAR(Table3[[#This Row],[usage_date]])</f>
        <v>2022</v>
      </c>
      <c r="F3820" s="14">
        <v>1.39</v>
      </c>
      <c r="G3820">
        <v>191</v>
      </c>
      <c r="H3820" t="s">
        <v>12</v>
      </c>
      <c r="I3820" t="str">
        <f t="shared" si="59"/>
        <v>Normal Usage</v>
      </c>
    </row>
    <row r="3821" spans="1:9" x14ac:dyDescent="0.3">
      <c r="A3821">
        <v>13820</v>
      </c>
      <c r="B3821">
        <v>238</v>
      </c>
      <c r="C3821" s="2">
        <v>44727</v>
      </c>
      <c r="D3821" s="2" t="str">
        <f>TEXT(Table3[[#This Row],[usage_date]],"mmmm")</f>
        <v>June</v>
      </c>
      <c r="E3821" s="9">
        <f>YEAR(Table3[[#This Row],[usage_date]])</f>
        <v>2022</v>
      </c>
      <c r="F3821" s="14">
        <v>2.52</v>
      </c>
      <c r="G3821">
        <v>6</v>
      </c>
      <c r="H3821" t="s">
        <v>13</v>
      </c>
      <c r="I3821" t="str">
        <f t="shared" si="59"/>
        <v>Normal Usage</v>
      </c>
    </row>
    <row r="3822" spans="1:9" x14ac:dyDescent="0.3">
      <c r="A3822">
        <v>13821</v>
      </c>
      <c r="B3822">
        <v>408</v>
      </c>
      <c r="C3822" s="2">
        <v>44940</v>
      </c>
      <c r="D3822" s="2" t="str">
        <f>TEXT(Table3[[#This Row],[usage_date]],"mmmm")</f>
        <v>January</v>
      </c>
      <c r="E3822" s="9">
        <f>YEAR(Table3[[#This Row],[usage_date]])</f>
        <v>2023</v>
      </c>
      <c r="F3822" s="14">
        <v>4.8499999999999996</v>
      </c>
      <c r="G3822">
        <v>43</v>
      </c>
      <c r="H3822" t="s">
        <v>12</v>
      </c>
      <c r="I3822" t="str">
        <f t="shared" si="59"/>
        <v>Normal Usage</v>
      </c>
    </row>
    <row r="3823" spans="1:9" x14ac:dyDescent="0.3">
      <c r="A3823">
        <v>13822</v>
      </c>
      <c r="B3823">
        <v>355</v>
      </c>
      <c r="C3823" s="2">
        <v>44700</v>
      </c>
      <c r="D3823" s="2" t="str">
        <f>TEXT(Table3[[#This Row],[usage_date]],"mmmm")</f>
        <v>May</v>
      </c>
      <c r="E3823" s="9">
        <f>YEAR(Table3[[#This Row],[usage_date]])</f>
        <v>2022</v>
      </c>
      <c r="F3823" s="14">
        <v>1.69</v>
      </c>
      <c r="G3823">
        <v>6</v>
      </c>
      <c r="H3823" t="s">
        <v>12</v>
      </c>
      <c r="I3823" t="str">
        <f t="shared" si="59"/>
        <v>Normal Usage</v>
      </c>
    </row>
    <row r="3824" spans="1:9" x14ac:dyDescent="0.3">
      <c r="A3824">
        <v>13823</v>
      </c>
      <c r="B3824">
        <v>428</v>
      </c>
      <c r="C3824" s="2">
        <v>45190</v>
      </c>
      <c r="D3824" s="2" t="str">
        <f>TEXT(Table3[[#This Row],[usage_date]],"mmmm")</f>
        <v>September</v>
      </c>
      <c r="E3824" s="9">
        <f>YEAR(Table3[[#This Row],[usage_date]])</f>
        <v>2023</v>
      </c>
      <c r="F3824" s="14">
        <v>0.61</v>
      </c>
      <c r="G3824">
        <v>193</v>
      </c>
      <c r="H3824" t="s">
        <v>12</v>
      </c>
      <c r="I3824" t="str">
        <f t="shared" si="59"/>
        <v>Normal Usage</v>
      </c>
    </row>
    <row r="3825" spans="1:9" x14ac:dyDescent="0.3">
      <c r="A3825">
        <v>13824</v>
      </c>
      <c r="B3825">
        <v>112</v>
      </c>
      <c r="C3825" s="2">
        <v>44860</v>
      </c>
      <c r="D3825" s="2" t="str">
        <f>TEXT(Table3[[#This Row],[usage_date]],"mmmm")</f>
        <v>October</v>
      </c>
      <c r="E3825" s="9">
        <f>YEAR(Table3[[#This Row],[usage_date]])</f>
        <v>2022</v>
      </c>
      <c r="F3825" s="14">
        <v>0.46</v>
      </c>
      <c r="G3825">
        <v>0</v>
      </c>
      <c r="H3825" t="s">
        <v>12</v>
      </c>
      <c r="I3825" t="str">
        <f t="shared" si="59"/>
        <v>Normal Usage</v>
      </c>
    </row>
    <row r="3826" spans="1:9" x14ac:dyDescent="0.3">
      <c r="A3826">
        <v>13825</v>
      </c>
      <c r="B3826">
        <v>316</v>
      </c>
      <c r="C3826" s="2">
        <v>44837</v>
      </c>
      <c r="D3826" s="2" t="str">
        <f>TEXT(Table3[[#This Row],[usage_date]],"mmmm")</f>
        <v>October</v>
      </c>
      <c r="E3826" s="9">
        <f>YEAR(Table3[[#This Row],[usage_date]])</f>
        <v>2022</v>
      </c>
      <c r="F3826" s="14">
        <v>0</v>
      </c>
      <c r="G3826">
        <v>61</v>
      </c>
      <c r="H3826" t="s">
        <v>13</v>
      </c>
      <c r="I3826" t="str">
        <f t="shared" si="59"/>
        <v>Normal Usage</v>
      </c>
    </row>
    <row r="3827" spans="1:9" x14ac:dyDescent="0.3">
      <c r="A3827">
        <v>13826</v>
      </c>
      <c r="B3827">
        <v>446</v>
      </c>
      <c r="C3827" s="2">
        <v>45350</v>
      </c>
      <c r="D3827" s="2" t="str">
        <f>TEXT(Table3[[#This Row],[usage_date]],"mmmm")</f>
        <v>February</v>
      </c>
      <c r="E3827" s="9">
        <f>YEAR(Table3[[#This Row],[usage_date]])</f>
        <v>2024</v>
      </c>
      <c r="F3827" s="14">
        <v>3.17</v>
      </c>
      <c r="G3827">
        <v>88</v>
      </c>
      <c r="H3827" t="s">
        <v>13</v>
      </c>
      <c r="I3827" t="str">
        <f t="shared" si="59"/>
        <v>Normal Usage</v>
      </c>
    </row>
    <row r="3828" spans="1:9" x14ac:dyDescent="0.3">
      <c r="A3828">
        <v>13827</v>
      </c>
      <c r="B3828">
        <v>343</v>
      </c>
      <c r="C3828" s="2">
        <v>45411</v>
      </c>
      <c r="D3828" s="2" t="str">
        <f>TEXT(Table3[[#This Row],[usage_date]],"mmmm")</f>
        <v>April</v>
      </c>
      <c r="E3828" s="9">
        <f>YEAR(Table3[[#This Row],[usage_date]])</f>
        <v>2024</v>
      </c>
      <c r="F3828" s="14">
        <v>0.28999999999999998</v>
      </c>
      <c r="G3828">
        <v>17</v>
      </c>
      <c r="H3828" t="s">
        <v>12</v>
      </c>
      <c r="I3828" t="str">
        <f t="shared" si="59"/>
        <v>Normal Usage</v>
      </c>
    </row>
    <row r="3829" spans="1:9" x14ac:dyDescent="0.3">
      <c r="A3829">
        <v>13828</v>
      </c>
      <c r="B3829">
        <v>145</v>
      </c>
      <c r="C3829" s="2">
        <v>45386</v>
      </c>
      <c r="D3829" s="2" t="str">
        <f>TEXT(Table3[[#This Row],[usage_date]],"mmmm")</f>
        <v>April</v>
      </c>
      <c r="E3829" s="9">
        <f>YEAR(Table3[[#This Row],[usage_date]])</f>
        <v>2024</v>
      </c>
      <c r="F3829" s="14">
        <v>0.7</v>
      </c>
      <c r="G3829">
        <v>107</v>
      </c>
      <c r="H3829" t="s">
        <v>12</v>
      </c>
      <c r="I3829" t="str">
        <f t="shared" si="59"/>
        <v>Normal Usage</v>
      </c>
    </row>
    <row r="3830" spans="1:9" x14ac:dyDescent="0.3">
      <c r="A3830">
        <v>13829</v>
      </c>
      <c r="B3830">
        <v>65</v>
      </c>
      <c r="C3830" s="2">
        <v>44739</v>
      </c>
      <c r="D3830" s="2" t="str">
        <f>TEXT(Table3[[#This Row],[usage_date]],"mmmm")</f>
        <v>June</v>
      </c>
      <c r="E3830" s="9">
        <f>YEAR(Table3[[#This Row],[usage_date]])</f>
        <v>2022</v>
      </c>
      <c r="F3830" s="14">
        <v>0.88</v>
      </c>
      <c r="G3830">
        <v>134</v>
      </c>
      <c r="H3830" t="s">
        <v>12</v>
      </c>
      <c r="I3830" t="str">
        <f t="shared" si="59"/>
        <v>Normal Usage</v>
      </c>
    </row>
    <row r="3831" spans="1:9" x14ac:dyDescent="0.3">
      <c r="A3831">
        <v>13830</v>
      </c>
      <c r="B3831">
        <v>247</v>
      </c>
      <c r="C3831" s="2">
        <v>45403</v>
      </c>
      <c r="D3831" s="2" t="str">
        <f>TEXT(Table3[[#This Row],[usage_date]],"mmmm")</f>
        <v>April</v>
      </c>
      <c r="E3831" s="9">
        <f>YEAR(Table3[[#This Row],[usage_date]])</f>
        <v>2024</v>
      </c>
      <c r="F3831" s="14">
        <v>2.0499999999999998</v>
      </c>
      <c r="G3831">
        <v>66</v>
      </c>
      <c r="H3831" t="s">
        <v>12</v>
      </c>
      <c r="I3831" t="str">
        <f t="shared" si="59"/>
        <v>Normal Usage</v>
      </c>
    </row>
    <row r="3832" spans="1:9" x14ac:dyDescent="0.3">
      <c r="A3832">
        <v>13831</v>
      </c>
      <c r="B3832">
        <v>223</v>
      </c>
      <c r="C3832" s="2">
        <v>44915</v>
      </c>
      <c r="D3832" s="2" t="str">
        <f>TEXT(Table3[[#This Row],[usage_date]],"mmmm")</f>
        <v>December</v>
      </c>
      <c r="E3832" s="9">
        <f>YEAR(Table3[[#This Row],[usage_date]])</f>
        <v>2022</v>
      </c>
      <c r="F3832" s="14">
        <v>1.27</v>
      </c>
      <c r="G3832">
        <v>92</v>
      </c>
      <c r="H3832" t="s">
        <v>12</v>
      </c>
      <c r="I3832" t="str">
        <f t="shared" si="59"/>
        <v>Normal Usage</v>
      </c>
    </row>
    <row r="3833" spans="1:9" x14ac:dyDescent="0.3">
      <c r="A3833">
        <v>13832</v>
      </c>
      <c r="B3833">
        <v>479</v>
      </c>
      <c r="C3833" s="2">
        <v>44715</v>
      </c>
      <c r="D3833" s="2" t="str">
        <f>TEXT(Table3[[#This Row],[usage_date]],"mmmm")</f>
        <v>June</v>
      </c>
      <c r="E3833" s="9">
        <f>YEAR(Table3[[#This Row],[usage_date]])</f>
        <v>2022</v>
      </c>
      <c r="F3833" s="14">
        <v>2.81</v>
      </c>
      <c r="G3833">
        <v>137</v>
      </c>
      <c r="H3833" t="s">
        <v>12</v>
      </c>
      <c r="I3833" t="str">
        <f t="shared" si="59"/>
        <v>Normal Usage</v>
      </c>
    </row>
    <row r="3834" spans="1:9" x14ac:dyDescent="0.3">
      <c r="A3834">
        <v>13833</v>
      </c>
      <c r="B3834">
        <v>490</v>
      </c>
      <c r="C3834" s="2">
        <v>44762</v>
      </c>
      <c r="D3834" s="2" t="str">
        <f>TEXT(Table3[[#This Row],[usage_date]],"mmmm")</f>
        <v>July</v>
      </c>
      <c r="E3834" s="9">
        <f>YEAR(Table3[[#This Row],[usage_date]])</f>
        <v>2022</v>
      </c>
      <c r="F3834" s="14">
        <v>0.14000000000000001</v>
      </c>
      <c r="G3834">
        <v>188</v>
      </c>
      <c r="H3834" t="s">
        <v>12</v>
      </c>
      <c r="I3834" t="str">
        <f t="shared" si="59"/>
        <v>Normal Usage</v>
      </c>
    </row>
    <row r="3835" spans="1:9" x14ac:dyDescent="0.3">
      <c r="A3835">
        <v>13834</v>
      </c>
      <c r="B3835">
        <v>313</v>
      </c>
      <c r="C3835" s="2">
        <v>45439</v>
      </c>
      <c r="D3835" s="2" t="str">
        <f>TEXT(Table3[[#This Row],[usage_date]],"mmmm")</f>
        <v>May</v>
      </c>
      <c r="E3835" s="9">
        <f>YEAR(Table3[[#This Row],[usage_date]])</f>
        <v>2024</v>
      </c>
      <c r="F3835" s="14">
        <v>0.33</v>
      </c>
      <c r="G3835">
        <v>58</v>
      </c>
      <c r="H3835" t="s">
        <v>12</v>
      </c>
      <c r="I3835" t="str">
        <f t="shared" si="59"/>
        <v>Normal Usage</v>
      </c>
    </row>
    <row r="3836" spans="1:9" x14ac:dyDescent="0.3">
      <c r="A3836">
        <v>13835</v>
      </c>
      <c r="B3836">
        <v>439</v>
      </c>
      <c r="C3836" s="2">
        <v>44676</v>
      </c>
      <c r="D3836" s="2" t="str">
        <f>TEXT(Table3[[#This Row],[usage_date]],"mmmm")</f>
        <v>April</v>
      </c>
      <c r="E3836" s="9">
        <f>YEAR(Table3[[#This Row],[usage_date]])</f>
        <v>2022</v>
      </c>
      <c r="F3836" s="14">
        <v>1.73</v>
      </c>
      <c r="G3836">
        <v>186</v>
      </c>
      <c r="H3836" t="s">
        <v>13</v>
      </c>
      <c r="I3836" t="str">
        <f t="shared" si="59"/>
        <v>Normal Usage</v>
      </c>
    </row>
    <row r="3837" spans="1:9" x14ac:dyDescent="0.3">
      <c r="A3837">
        <v>13836</v>
      </c>
      <c r="B3837">
        <v>106</v>
      </c>
      <c r="C3837" s="2">
        <v>45232</v>
      </c>
      <c r="D3837" s="2" t="str">
        <f>TEXT(Table3[[#This Row],[usage_date]],"mmmm")</f>
        <v>November</v>
      </c>
      <c r="E3837" s="9">
        <f>YEAR(Table3[[#This Row],[usage_date]])</f>
        <v>2023</v>
      </c>
      <c r="F3837" s="14">
        <v>1.03</v>
      </c>
      <c r="G3837">
        <v>234</v>
      </c>
      <c r="H3837" t="s">
        <v>13</v>
      </c>
      <c r="I3837" t="str">
        <f t="shared" si="59"/>
        <v>Normal Usage</v>
      </c>
    </row>
    <row r="3838" spans="1:9" x14ac:dyDescent="0.3">
      <c r="A3838">
        <v>13837</v>
      </c>
      <c r="B3838">
        <v>181</v>
      </c>
      <c r="C3838" s="2">
        <v>45115</v>
      </c>
      <c r="D3838" s="2" t="str">
        <f>TEXT(Table3[[#This Row],[usage_date]],"mmmm")</f>
        <v>July</v>
      </c>
      <c r="E3838" s="9">
        <f>YEAR(Table3[[#This Row],[usage_date]])</f>
        <v>2023</v>
      </c>
      <c r="F3838" s="14">
        <v>0.88</v>
      </c>
      <c r="G3838">
        <v>68</v>
      </c>
      <c r="H3838" t="s">
        <v>12</v>
      </c>
      <c r="I3838" t="str">
        <f t="shared" si="59"/>
        <v>Normal Usage</v>
      </c>
    </row>
    <row r="3839" spans="1:9" x14ac:dyDescent="0.3">
      <c r="A3839">
        <v>13838</v>
      </c>
      <c r="B3839">
        <v>184</v>
      </c>
      <c r="C3839" s="2">
        <v>45320</v>
      </c>
      <c r="D3839" s="2" t="str">
        <f>TEXT(Table3[[#This Row],[usage_date]],"mmmm")</f>
        <v>January</v>
      </c>
      <c r="E3839" s="9">
        <f>YEAR(Table3[[#This Row],[usage_date]])</f>
        <v>2024</v>
      </c>
      <c r="F3839" s="14">
        <v>0.17</v>
      </c>
      <c r="G3839">
        <v>97</v>
      </c>
      <c r="H3839" t="s">
        <v>12</v>
      </c>
      <c r="I3839" t="str">
        <f t="shared" si="59"/>
        <v>Normal Usage</v>
      </c>
    </row>
    <row r="3840" spans="1:9" x14ac:dyDescent="0.3">
      <c r="A3840">
        <v>13839</v>
      </c>
      <c r="B3840">
        <v>226</v>
      </c>
      <c r="C3840" s="2">
        <v>44629</v>
      </c>
      <c r="D3840" s="2" t="str">
        <f>TEXT(Table3[[#This Row],[usage_date]],"mmmm")</f>
        <v>March</v>
      </c>
      <c r="E3840" s="9">
        <f>YEAR(Table3[[#This Row],[usage_date]])</f>
        <v>2022</v>
      </c>
      <c r="F3840" s="14">
        <v>5.65</v>
      </c>
      <c r="G3840">
        <v>7</v>
      </c>
      <c r="H3840" t="s">
        <v>13</v>
      </c>
      <c r="I3840" t="str">
        <f t="shared" si="59"/>
        <v>Normal Usage</v>
      </c>
    </row>
    <row r="3841" spans="1:9" x14ac:dyDescent="0.3">
      <c r="A3841">
        <v>13840</v>
      </c>
      <c r="B3841">
        <v>265</v>
      </c>
      <c r="C3841" s="2">
        <v>45006</v>
      </c>
      <c r="D3841" s="2" t="str">
        <f>TEXT(Table3[[#This Row],[usage_date]],"mmmm")</f>
        <v>March</v>
      </c>
      <c r="E3841" s="9">
        <f>YEAR(Table3[[#This Row],[usage_date]])</f>
        <v>2023</v>
      </c>
      <c r="F3841" s="14">
        <v>2.94</v>
      </c>
      <c r="G3841">
        <v>133</v>
      </c>
      <c r="H3841" t="s">
        <v>13</v>
      </c>
      <c r="I3841" t="str">
        <f t="shared" si="59"/>
        <v>Normal Usage</v>
      </c>
    </row>
    <row r="3842" spans="1:9" x14ac:dyDescent="0.3">
      <c r="A3842">
        <v>13841</v>
      </c>
      <c r="B3842">
        <v>278</v>
      </c>
      <c r="C3842" s="2">
        <v>45006</v>
      </c>
      <c r="D3842" s="2" t="str">
        <f>TEXT(Table3[[#This Row],[usage_date]],"mmmm")</f>
        <v>March</v>
      </c>
      <c r="E3842" s="9">
        <f>YEAR(Table3[[#This Row],[usage_date]])</f>
        <v>2023</v>
      </c>
      <c r="F3842" s="14">
        <v>0.32</v>
      </c>
      <c r="G3842">
        <v>55</v>
      </c>
      <c r="H3842" t="s">
        <v>12</v>
      </c>
      <c r="I3842" t="str">
        <f t="shared" ref="I3842:I3905" si="60">IF(F3842&gt;6,"High Usage","Normal Usage")</f>
        <v>Normal Usage</v>
      </c>
    </row>
    <row r="3843" spans="1:9" x14ac:dyDescent="0.3">
      <c r="A3843">
        <v>13842</v>
      </c>
      <c r="B3843">
        <v>397</v>
      </c>
      <c r="C3843" s="2">
        <v>44887</v>
      </c>
      <c r="D3843" s="2" t="str">
        <f>TEXT(Table3[[#This Row],[usage_date]],"mmmm")</f>
        <v>November</v>
      </c>
      <c r="E3843" s="9">
        <f>YEAR(Table3[[#This Row],[usage_date]])</f>
        <v>2022</v>
      </c>
      <c r="F3843" s="14">
        <v>0.17</v>
      </c>
      <c r="G3843">
        <v>113</v>
      </c>
      <c r="H3843" t="s">
        <v>13</v>
      </c>
      <c r="I3843" t="str">
        <f t="shared" si="60"/>
        <v>Normal Usage</v>
      </c>
    </row>
    <row r="3844" spans="1:9" x14ac:dyDescent="0.3">
      <c r="A3844">
        <v>13843</v>
      </c>
      <c r="B3844">
        <v>89</v>
      </c>
      <c r="C3844" s="2">
        <v>45407</v>
      </c>
      <c r="D3844" s="2" t="str">
        <f>TEXT(Table3[[#This Row],[usage_date]],"mmmm")</f>
        <v>April</v>
      </c>
      <c r="E3844" s="9">
        <f>YEAR(Table3[[#This Row],[usage_date]])</f>
        <v>2024</v>
      </c>
      <c r="F3844" s="14">
        <v>9.2100000000000009</v>
      </c>
      <c r="G3844">
        <v>87</v>
      </c>
      <c r="H3844" t="s">
        <v>13</v>
      </c>
      <c r="I3844" t="str">
        <f t="shared" si="60"/>
        <v>High Usage</v>
      </c>
    </row>
    <row r="3845" spans="1:9" x14ac:dyDescent="0.3">
      <c r="A3845">
        <v>13844</v>
      </c>
      <c r="B3845">
        <v>176</v>
      </c>
      <c r="C3845" s="2">
        <v>45269</v>
      </c>
      <c r="D3845" s="2" t="str">
        <f>TEXT(Table3[[#This Row],[usage_date]],"mmmm")</f>
        <v>December</v>
      </c>
      <c r="E3845" s="9">
        <f>YEAR(Table3[[#This Row],[usage_date]])</f>
        <v>2023</v>
      </c>
      <c r="F3845" s="14">
        <v>2.86</v>
      </c>
      <c r="G3845">
        <v>137</v>
      </c>
      <c r="H3845" t="s">
        <v>12</v>
      </c>
      <c r="I3845" t="str">
        <f t="shared" si="60"/>
        <v>Normal Usage</v>
      </c>
    </row>
    <row r="3846" spans="1:9" x14ac:dyDescent="0.3">
      <c r="A3846">
        <v>13845</v>
      </c>
      <c r="B3846">
        <v>18</v>
      </c>
      <c r="C3846" s="2">
        <v>45163</v>
      </c>
      <c r="D3846" s="2" t="str">
        <f>TEXT(Table3[[#This Row],[usage_date]],"mmmm")</f>
        <v>August</v>
      </c>
      <c r="E3846" s="9">
        <f>YEAR(Table3[[#This Row],[usage_date]])</f>
        <v>2023</v>
      </c>
      <c r="F3846" s="14">
        <v>1.35</v>
      </c>
      <c r="G3846">
        <v>107</v>
      </c>
      <c r="H3846" t="s">
        <v>12</v>
      </c>
      <c r="I3846" t="str">
        <f t="shared" si="60"/>
        <v>Normal Usage</v>
      </c>
    </row>
    <row r="3847" spans="1:9" x14ac:dyDescent="0.3">
      <c r="A3847">
        <v>13846</v>
      </c>
      <c r="B3847">
        <v>371</v>
      </c>
      <c r="C3847" s="2">
        <v>45184</v>
      </c>
      <c r="D3847" s="2" t="str">
        <f>TEXT(Table3[[#This Row],[usage_date]],"mmmm")</f>
        <v>September</v>
      </c>
      <c r="E3847" s="9">
        <f>YEAR(Table3[[#This Row],[usage_date]])</f>
        <v>2023</v>
      </c>
      <c r="F3847" s="14">
        <v>3.02</v>
      </c>
      <c r="G3847">
        <v>22</v>
      </c>
      <c r="H3847" t="s">
        <v>12</v>
      </c>
      <c r="I3847" t="str">
        <f t="shared" si="60"/>
        <v>Normal Usage</v>
      </c>
    </row>
    <row r="3848" spans="1:9" x14ac:dyDescent="0.3">
      <c r="A3848">
        <v>13847</v>
      </c>
      <c r="B3848">
        <v>460</v>
      </c>
      <c r="C3848" s="2">
        <v>45441</v>
      </c>
      <c r="D3848" s="2" t="str">
        <f>TEXT(Table3[[#This Row],[usage_date]],"mmmm")</f>
        <v>May</v>
      </c>
      <c r="E3848" s="9">
        <f>YEAR(Table3[[#This Row],[usage_date]])</f>
        <v>2024</v>
      </c>
      <c r="F3848" s="14">
        <v>3.53</v>
      </c>
      <c r="G3848">
        <v>143</v>
      </c>
      <c r="H3848" t="s">
        <v>12</v>
      </c>
      <c r="I3848" t="str">
        <f t="shared" si="60"/>
        <v>Normal Usage</v>
      </c>
    </row>
    <row r="3849" spans="1:9" x14ac:dyDescent="0.3">
      <c r="A3849">
        <v>13848</v>
      </c>
      <c r="B3849">
        <v>424</v>
      </c>
      <c r="C3849" s="2">
        <v>44920</v>
      </c>
      <c r="D3849" s="2" t="str">
        <f>TEXT(Table3[[#This Row],[usage_date]],"mmmm")</f>
        <v>December</v>
      </c>
      <c r="E3849" s="9">
        <f>YEAR(Table3[[#This Row],[usage_date]])</f>
        <v>2022</v>
      </c>
      <c r="F3849" s="14">
        <v>3.78</v>
      </c>
      <c r="G3849">
        <v>143</v>
      </c>
      <c r="H3849" t="s">
        <v>12</v>
      </c>
      <c r="I3849" t="str">
        <f t="shared" si="60"/>
        <v>Normal Usage</v>
      </c>
    </row>
    <row r="3850" spans="1:9" x14ac:dyDescent="0.3">
      <c r="A3850">
        <v>13849</v>
      </c>
      <c r="B3850">
        <v>401</v>
      </c>
      <c r="C3850" s="2">
        <v>44706</v>
      </c>
      <c r="D3850" s="2" t="str">
        <f>TEXT(Table3[[#This Row],[usage_date]],"mmmm")</f>
        <v>May</v>
      </c>
      <c r="E3850" s="9">
        <f>YEAR(Table3[[#This Row],[usage_date]])</f>
        <v>2022</v>
      </c>
      <c r="F3850" s="14">
        <v>1.62</v>
      </c>
      <c r="G3850">
        <v>55</v>
      </c>
      <c r="H3850" t="s">
        <v>13</v>
      </c>
      <c r="I3850" t="str">
        <f t="shared" si="60"/>
        <v>Normal Usage</v>
      </c>
    </row>
    <row r="3851" spans="1:9" x14ac:dyDescent="0.3">
      <c r="A3851">
        <v>13850</v>
      </c>
      <c r="B3851">
        <v>399</v>
      </c>
      <c r="C3851" s="2">
        <v>44836</v>
      </c>
      <c r="D3851" s="2" t="str">
        <f>TEXT(Table3[[#This Row],[usage_date]],"mmmm")</f>
        <v>October</v>
      </c>
      <c r="E3851" s="9">
        <f>YEAR(Table3[[#This Row],[usage_date]])</f>
        <v>2022</v>
      </c>
      <c r="F3851" s="14">
        <v>1.4</v>
      </c>
      <c r="G3851">
        <v>107</v>
      </c>
      <c r="H3851" t="s">
        <v>13</v>
      </c>
      <c r="I3851" t="str">
        <f t="shared" si="60"/>
        <v>Normal Usage</v>
      </c>
    </row>
    <row r="3852" spans="1:9" x14ac:dyDescent="0.3">
      <c r="A3852">
        <v>13851</v>
      </c>
      <c r="B3852">
        <v>106</v>
      </c>
      <c r="C3852" s="2">
        <v>45070</v>
      </c>
      <c r="D3852" s="2" t="str">
        <f>TEXT(Table3[[#This Row],[usage_date]],"mmmm")</f>
        <v>May</v>
      </c>
      <c r="E3852" s="9">
        <f>YEAR(Table3[[#This Row],[usage_date]])</f>
        <v>2023</v>
      </c>
      <c r="F3852" s="14">
        <v>0.03</v>
      </c>
      <c r="G3852">
        <v>5</v>
      </c>
      <c r="H3852" t="s">
        <v>12</v>
      </c>
      <c r="I3852" t="str">
        <f t="shared" si="60"/>
        <v>Normal Usage</v>
      </c>
    </row>
    <row r="3853" spans="1:9" x14ac:dyDescent="0.3">
      <c r="A3853">
        <v>13852</v>
      </c>
      <c r="B3853">
        <v>271</v>
      </c>
      <c r="C3853" s="2">
        <v>44740</v>
      </c>
      <c r="D3853" s="2" t="str">
        <f>TEXT(Table3[[#This Row],[usage_date]],"mmmm")</f>
        <v>June</v>
      </c>
      <c r="E3853" s="9">
        <f>YEAR(Table3[[#This Row],[usage_date]])</f>
        <v>2022</v>
      </c>
      <c r="F3853" s="14">
        <v>6.53</v>
      </c>
      <c r="G3853">
        <v>29</v>
      </c>
      <c r="H3853" t="s">
        <v>12</v>
      </c>
      <c r="I3853" t="str">
        <f t="shared" si="60"/>
        <v>High Usage</v>
      </c>
    </row>
    <row r="3854" spans="1:9" x14ac:dyDescent="0.3">
      <c r="A3854">
        <v>13853</v>
      </c>
      <c r="B3854">
        <v>463</v>
      </c>
      <c r="C3854" s="2">
        <v>45314</v>
      </c>
      <c r="D3854" s="2" t="str">
        <f>TEXT(Table3[[#This Row],[usage_date]],"mmmm")</f>
        <v>January</v>
      </c>
      <c r="E3854" s="9">
        <f>YEAR(Table3[[#This Row],[usage_date]])</f>
        <v>2024</v>
      </c>
      <c r="F3854" s="14">
        <v>2.31</v>
      </c>
      <c r="G3854">
        <v>126</v>
      </c>
      <c r="H3854" t="s">
        <v>12</v>
      </c>
      <c r="I3854" t="str">
        <f t="shared" si="60"/>
        <v>Normal Usage</v>
      </c>
    </row>
    <row r="3855" spans="1:9" x14ac:dyDescent="0.3">
      <c r="A3855">
        <v>13854</v>
      </c>
      <c r="B3855">
        <v>319</v>
      </c>
      <c r="C3855" s="2">
        <v>45399</v>
      </c>
      <c r="D3855" s="2" t="str">
        <f>TEXT(Table3[[#This Row],[usage_date]],"mmmm")</f>
        <v>April</v>
      </c>
      <c r="E3855" s="9">
        <f>YEAR(Table3[[#This Row],[usage_date]])</f>
        <v>2024</v>
      </c>
      <c r="F3855" s="14">
        <v>0.56999999999999995</v>
      </c>
      <c r="G3855">
        <v>120</v>
      </c>
      <c r="H3855" t="s">
        <v>12</v>
      </c>
      <c r="I3855" t="str">
        <f t="shared" si="60"/>
        <v>Normal Usage</v>
      </c>
    </row>
    <row r="3856" spans="1:9" x14ac:dyDescent="0.3">
      <c r="A3856">
        <v>13855</v>
      </c>
      <c r="B3856">
        <v>167</v>
      </c>
      <c r="C3856" s="2">
        <v>45392</v>
      </c>
      <c r="D3856" s="2" t="str">
        <f>TEXT(Table3[[#This Row],[usage_date]],"mmmm")</f>
        <v>April</v>
      </c>
      <c r="E3856" s="9">
        <f>YEAR(Table3[[#This Row],[usage_date]])</f>
        <v>2024</v>
      </c>
      <c r="F3856" s="14">
        <v>6.3</v>
      </c>
      <c r="G3856">
        <v>98</v>
      </c>
      <c r="H3856" t="s">
        <v>12</v>
      </c>
      <c r="I3856" t="str">
        <f t="shared" si="60"/>
        <v>High Usage</v>
      </c>
    </row>
    <row r="3857" spans="1:9" x14ac:dyDescent="0.3">
      <c r="A3857">
        <v>13856</v>
      </c>
      <c r="B3857">
        <v>13</v>
      </c>
      <c r="C3857" s="2">
        <v>45038</v>
      </c>
      <c r="D3857" s="2" t="str">
        <f>TEXT(Table3[[#This Row],[usage_date]],"mmmm")</f>
        <v>April</v>
      </c>
      <c r="E3857" s="9">
        <f>YEAR(Table3[[#This Row],[usage_date]])</f>
        <v>2023</v>
      </c>
      <c r="F3857" s="14">
        <v>6.16</v>
      </c>
      <c r="G3857">
        <v>165</v>
      </c>
      <c r="H3857" t="s">
        <v>13</v>
      </c>
      <c r="I3857" t="str">
        <f t="shared" si="60"/>
        <v>High Usage</v>
      </c>
    </row>
    <row r="3858" spans="1:9" x14ac:dyDescent="0.3">
      <c r="A3858">
        <v>13857</v>
      </c>
      <c r="B3858">
        <v>337</v>
      </c>
      <c r="C3858" s="2">
        <v>45404</v>
      </c>
      <c r="D3858" s="2" t="str">
        <f>TEXT(Table3[[#This Row],[usage_date]],"mmmm")</f>
        <v>April</v>
      </c>
      <c r="E3858" s="9">
        <f>YEAR(Table3[[#This Row],[usage_date]])</f>
        <v>2024</v>
      </c>
      <c r="F3858" s="14">
        <v>11.32</v>
      </c>
      <c r="G3858">
        <v>240</v>
      </c>
      <c r="H3858" t="s">
        <v>12</v>
      </c>
      <c r="I3858" t="str">
        <f t="shared" si="60"/>
        <v>High Usage</v>
      </c>
    </row>
    <row r="3859" spans="1:9" x14ac:dyDescent="0.3">
      <c r="A3859">
        <v>13858</v>
      </c>
      <c r="B3859">
        <v>32</v>
      </c>
      <c r="C3859" s="2">
        <v>44975</v>
      </c>
      <c r="D3859" s="2" t="str">
        <f>TEXT(Table3[[#This Row],[usage_date]],"mmmm")</f>
        <v>February</v>
      </c>
      <c r="E3859" s="9">
        <f>YEAR(Table3[[#This Row],[usage_date]])</f>
        <v>2023</v>
      </c>
      <c r="F3859" s="14">
        <v>5.18</v>
      </c>
      <c r="G3859">
        <v>49</v>
      </c>
      <c r="H3859" t="s">
        <v>12</v>
      </c>
      <c r="I3859" t="str">
        <f t="shared" si="60"/>
        <v>Normal Usage</v>
      </c>
    </row>
    <row r="3860" spans="1:9" x14ac:dyDescent="0.3">
      <c r="A3860">
        <v>13859</v>
      </c>
      <c r="B3860">
        <v>393</v>
      </c>
      <c r="C3860" s="2">
        <v>44714</v>
      </c>
      <c r="D3860" s="2" t="str">
        <f>TEXT(Table3[[#This Row],[usage_date]],"mmmm")</f>
        <v>June</v>
      </c>
      <c r="E3860" s="9">
        <f>YEAR(Table3[[#This Row],[usage_date]])</f>
        <v>2022</v>
      </c>
      <c r="F3860" s="14">
        <v>15.28</v>
      </c>
      <c r="G3860">
        <v>267</v>
      </c>
      <c r="H3860" t="s">
        <v>12</v>
      </c>
      <c r="I3860" t="str">
        <f t="shared" si="60"/>
        <v>High Usage</v>
      </c>
    </row>
    <row r="3861" spans="1:9" x14ac:dyDescent="0.3">
      <c r="A3861">
        <v>13860</v>
      </c>
      <c r="B3861">
        <v>40</v>
      </c>
      <c r="C3861" s="2">
        <v>44665</v>
      </c>
      <c r="D3861" s="2" t="str">
        <f>TEXT(Table3[[#This Row],[usage_date]],"mmmm")</f>
        <v>April</v>
      </c>
      <c r="E3861" s="9">
        <f>YEAR(Table3[[#This Row],[usage_date]])</f>
        <v>2022</v>
      </c>
      <c r="F3861" s="14">
        <v>0.7</v>
      </c>
      <c r="G3861">
        <v>72</v>
      </c>
      <c r="H3861" t="s">
        <v>12</v>
      </c>
      <c r="I3861" t="str">
        <f t="shared" si="60"/>
        <v>Normal Usage</v>
      </c>
    </row>
    <row r="3862" spans="1:9" x14ac:dyDescent="0.3">
      <c r="A3862">
        <v>13861</v>
      </c>
      <c r="B3862">
        <v>148</v>
      </c>
      <c r="C3862" s="2">
        <v>44636</v>
      </c>
      <c r="D3862" s="2" t="str">
        <f>TEXT(Table3[[#This Row],[usage_date]],"mmmm")</f>
        <v>March</v>
      </c>
      <c r="E3862" s="9">
        <f>YEAR(Table3[[#This Row],[usage_date]])</f>
        <v>2022</v>
      </c>
      <c r="F3862" s="14">
        <v>4.62</v>
      </c>
      <c r="G3862">
        <v>299</v>
      </c>
      <c r="H3862" t="s">
        <v>12</v>
      </c>
      <c r="I3862" t="str">
        <f t="shared" si="60"/>
        <v>Normal Usage</v>
      </c>
    </row>
    <row r="3863" spans="1:9" x14ac:dyDescent="0.3">
      <c r="A3863">
        <v>13862</v>
      </c>
      <c r="B3863">
        <v>218</v>
      </c>
      <c r="C3863" s="2">
        <v>44689</v>
      </c>
      <c r="D3863" s="2" t="str">
        <f>TEXT(Table3[[#This Row],[usage_date]],"mmmm")</f>
        <v>May</v>
      </c>
      <c r="E3863" s="9">
        <f>YEAR(Table3[[#This Row],[usage_date]])</f>
        <v>2022</v>
      </c>
      <c r="F3863" s="14">
        <v>4.33</v>
      </c>
      <c r="G3863">
        <v>51</v>
      </c>
      <c r="H3863" t="s">
        <v>12</v>
      </c>
      <c r="I3863" t="str">
        <f t="shared" si="60"/>
        <v>Normal Usage</v>
      </c>
    </row>
    <row r="3864" spans="1:9" x14ac:dyDescent="0.3">
      <c r="A3864">
        <v>13863</v>
      </c>
      <c r="B3864">
        <v>219</v>
      </c>
      <c r="C3864" s="2">
        <v>45272</v>
      </c>
      <c r="D3864" s="2" t="str">
        <f>TEXT(Table3[[#This Row],[usage_date]],"mmmm")</f>
        <v>December</v>
      </c>
      <c r="E3864" s="9">
        <f>YEAR(Table3[[#This Row],[usage_date]])</f>
        <v>2023</v>
      </c>
      <c r="F3864" s="14">
        <v>0.66</v>
      </c>
      <c r="G3864">
        <v>264</v>
      </c>
      <c r="H3864" t="s">
        <v>12</v>
      </c>
      <c r="I3864" t="str">
        <f t="shared" si="60"/>
        <v>Normal Usage</v>
      </c>
    </row>
    <row r="3865" spans="1:9" x14ac:dyDescent="0.3">
      <c r="A3865">
        <v>13864</v>
      </c>
      <c r="B3865">
        <v>469</v>
      </c>
      <c r="C3865" s="2">
        <v>45227</v>
      </c>
      <c r="D3865" s="2" t="str">
        <f>TEXT(Table3[[#This Row],[usage_date]],"mmmm")</f>
        <v>October</v>
      </c>
      <c r="E3865" s="9">
        <f>YEAR(Table3[[#This Row],[usage_date]])</f>
        <v>2023</v>
      </c>
      <c r="F3865" s="14">
        <v>0.26</v>
      </c>
      <c r="G3865">
        <v>226</v>
      </c>
      <c r="H3865" t="s">
        <v>12</v>
      </c>
      <c r="I3865" t="str">
        <f t="shared" si="60"/>
        <v>Normal Usage</v>
      </c>
    </row>
    <row r="3866" spans="1:9" x14ac:dyDescent="0.3">
      <c r="A3866">
        <v>13865</v>
      </c>
      <c r="B3866">
        <v>82</v>
      </c>
      <c r="C3866" s="2">
        <v>45129</v>
      </c>
      <c r="D3866" s="2" t="str">
        <f>TEXT(Table3[[#This Row],[usage_date]],"mmmm")</f>
        <v>July</v>
      </c>
      <c r="E3866" s="9">
        <f>YEAR(Table3[[#This Row],[usage_date]])</f>
        <v>2023</v>
      </c>
      <c r="F3866" s="14">
        <v>9.7100000000000009</v>
      </c>
      <c r="G3866">
        <v>192</v>
      </c>
      <c r="H3866" t="s">
        <v>12</v>
      </c>
      <c r="I3866" t="str">
        <f t="shared" si="60"/>
        <v>High Usage</v>
      </c>
    </row>
    <row r="3867" spans="1:9" x14ac:dyDescent="0.3">
      <c r="A3867">
        <v>13866</v>
      </c>
      <c r="B3867">
        <v>333</v>
      </c>
      <c r="C3867" s="2">
        <v>45351</v>
      </c>
      <c r="D3867" s="2" t="str">
        <f>TEXT(Table3[[#This Row],[usage_date]],"mmmm")</f>
        <v>February</v>
      </c>
      <c r="E3867" s="9">
        <f>YEAR(Table3[[#This Row],[usage_date]])</f>
        <v>2024</v>
      </c>
      <c r="F3867" s="14">
        <v>0.88</v>
      </c>
      <c r="G3867">
        <v>238</v>
      </c>
      <c r="H3867" t="s">
        <v>12</v>
      </c>
      <c r="I3867" t="str">
        <f t="shared" si="60"/>
        <v>Normal Usage</v>
      </c>
    </row>
    <row r="3868" spans="1:9" x14ac:dyDescent="0.3">
      <c r="A3868">
        <v>13867</v>
      </c>
      <c r="B3868">
        <v>208</v>
      </c>
      <c r="C3868" s="2">
        <v>44906</v>
      </c>
      <c r="D3868" s="2" t="str">
        <f>TEXT(Table3[[#This Row],[usage_date]],"mmmm")</f>
        <v>December</v>
      </c>
      <c r="E3868" s="9">
        <f>YEAR(Table3[[#This Row],[usage_date]])</f>
        <v>2022</v>
      </c>
      <c r="F3868" s="14">
        <v>5.12</v>
      </c>
      <c r="G3868">
        <v>9</v>
      </c>
      <c r="H3868" t="s">
        <v>12</v>
      </c>
      <c r="I3868" t="str">
        <f t="shared" si="60"/>
        <v>Normal Usage</v>
      </c>
    </row>
    <row r="3869" spans="1:9" x14ac:dyDescent="0.3">
      <c r="A3869">
        <v>13868</v>
      </c>
      <c r="B3869">
        <v>201</v>
      </c>
      <c r="C3869" s="2">
        <v>45092</v>
      </c>
      <c r="D3869" s="2" t="str">
        <f>TEXT(Table3[[#This Row],[usage_date]],"mmmm")</f>
        <v>June</v>
      </c>
      <c r="E3869" s="9">
        <f>YEAR(Table3[[#This Row],[usage_date]])</f>
        <v>2023</v>
      </c>
      <c r="F3869" s="14">
        <v>0.01</v>
      </c>
      <c r="G3869">
        <v>227</v>
      </c>
      <c r="H3869" t="s">
        <v>13</v>
      </c>
      <c r="I3869" t="str">
        <f t="shared" si="60"/>
        <v>Normal Usage</v>
      </c>
    </row>
    <row r="3870" spans="1:9" x14ac:dyDescent="0.3">
      <c r="A3870">
        <v>13869</v>
      </c>
      <c r="B3870">
        <v>447</v>
      </c>
      <c r="C3870" s="2">
        <v>44720</v>
      </c>
      <c r="D3870" s="2" t="str">
        <f>TEXT(Table3[[#This Row],[usage_date]],"mmmm")</f>
        <v>June</v>
      </c>
      <c r="E3870" s="9">
        <f>YEAR(Table3[[#This Row],[usage_date]])</f>
        <v>2022</v>
      </c>
      <c r="F3870" s="14">
        <v>0.05</v>
      </c>
      <c r="G3870">
        <v>292</v>
      </c>
      <c r="H3870" t="s">
        <v>12</v>
      </c>
      <c r="I3870" t="str">
        <f t="shared" si="60"/>
        <v>Normal Usage</v>
      </c>
    </row>
    <row r="3871" spans="1:9" x14ac:dyDescent="0.3">
      <c r="A3871">
        <v>13870</v>
      </c>
      <c r="B3871">
        <v>332</v>
      </c>
      <c r="C3871" s="2">
        <v>45099</v>
      </c>
      <c r="D3871" s="2" t="str">
        <f>TEXT(Table3[[#This Row],[usage_date]],"mmmm")</f>
        <v>June</v>
      </c>
      <c r="E3871" s="9">
        <f>YEAR(Table3[[#This Row],[usage_date]])</f>
        <v>2023</v>
      </c>
      <c r="F3871" s="14">
        <v>1.57</v>
      </c>
      <c r="G3871">
        <v>51</v>
      </c>
      <c r="H3871" t="s">
        <v>12</v>
      </c>
      <c r="I3871" t="str">
        <f t="shared" si="60"/>
        <v>Normal Usage</v>
      </c>
    </row>
    <row r="3872" spans="1:9" x14ac:dyDescent="0.3">
      <c r="A3872">
        <v>13871</v>
      </c>
      <c r="B3872">
        <v>428</v>
      </c>
      <c r="C3872" s="2">
        <v>44987</v>
      </c>
      <c r="D3872" s="2" t="str">
        <f>TEXT(Table3[[#This Row],[usage_date]],"mmmm")</f>
        <v>March</v>
      </c>
      <c r="E3872" s="9">
        <f>YEAR(Table3[[#This Row],[usage_date]])</f>
        <v>2023</v>
      </c>
      <c r="F3872" s="14">
        <v>0.68</v>
      </c>
      <c r="G3872">
        <v>239</v>
      </c>
      <c r="H3872" t="s">
        <v>12</v>
      </c>
      <c r="I3872" t="str">
        <f t="shared" si="60"/>
        <v>Normal Usage</v>
      </c>
    </row>
    <row r="3873" spans="1:9" x14ac:dyDescent="0.3">
      <c r="A3873">
        <v>13872</v>
      </c>
      <c r="B3873">
        <v>38</v>
      </c>
      <c r="C3873" s="2">
        <v>45242</v>
      </c>
      <c r="D3873" s="2" t="str">
        <f>TEXT(Table3[[#This Row],[usage_date]],"mmmm")</f>
        <v>November</v>
      </c>
      <c r="E3873" s="9">
        <f>YEAR(Table3[[#This Row],[usage_date]])</f>
        <v>2023</v>
      </c>
      <c r="F3873" s="14">
        <v>2.93</v>
      </c>
      <c r="G3873">
        <v>98</v>
      </c>
      <c r="H3873" t="s">
        <v>12</v>
      </c>
      <c r="I3873" t="str">
        <f t="shared" si="60"/>
        <v>Normal Usage</v>
      </c>
    </row>
    <row r="3874" spans="1:9" x14ac:dyDescent="0.3">
      <c r="A3874">
        <v>13873</v>
      </c>
      <c r="B3874">
        <v>211</v>
      </c>
      <c r="C3874" s="2">
        <v>44584</v>
      </c>
      <c r="D3874" s="2" t="str">
        <f>TEXT(Table3[[#This Row],[usage_date]],"mmmm")</f>
        <v>January</v>
      </c>
      <c r="E3874" s="9">
        <f>YEAR(Table3[[#This Row],[usage_date]])</f>
        <v>2022</v>
      </c>
      <c r="F3874" s="14">
        <v>2.08</v>
      </c>
      <c r="G3874">
        <v>80</v>
      </c>
      <c r="H3874" t="s">
        <v>13</v>
      </c>
      <c r="I3874" t="str">
        <f t="shared" si="60"/>
        <v>Normal Usage</v>
      </c>
    </row>
    <row r="3875" spans="1:9" x14ac:dyDescent="0.3">
      <c r="A3875">
        <v>13874</v>
      </c>
      <c r="B3875">
        <v>444</v>
      </c>
      <c r="C3875" s="2">
        <v>44608</v>
      </c>
      <c r="D3875" s="2" t="str">
        <f>TEXT(Table3[[#This Row],[usage_date]],"mmmm")</f>
        <v>February</v>
      </c>
      <c r="E3875" s="9">
        <f>YEAR(Table3[[#This Row],[usage_date]])</f>
        <v>2022</v>
      </c>
      <c r="F3875" s="14">
        <v>0.2</v>
      </c>
      <c r="G3875">
        <v>12</v>
      </c>
      <c r="H3875" t="s">
        <v>12</v>
      </c>
      <c r="I3875" t="str">
        <f t="shared" si="60"/>
        <v>Normal Usage</v>
      </c>
    </row>
    <row r="3876" spans="1:9" x14ac:dyDescent="0.3">
      <c r="A3876">
        <v>13875</v>
      </c>
      <c r="B3876">
        <v>327</v>
      </c>
      <c r="C3876" s="2">
        <v>45086</v>
      </c>
      <c r="D3876" s="2" t="str">
        <f>TEXT(Table3[[#This Row],[usage_date]],"mmmm")</f>
        <v>June</v>
      </c>
      <c r="E3876" s="9">
        <f>YEAR(Table3[[#This Row],[usage_date]])</f>
        <v>2023</v>
      </c>
      <c r="F3876" s="14">
        <v>0.44</v>
      </c>
      <c r="G3876">
        <v>127</v>
      </c>
      <c r="H3876" t="s">
        <v>13</v>
      </c>
      <c r="I3876" t="str">
        <f t="shared" si="60"/>
        <v>Normal Usage</v>
      </c>
    </row>
    <row r="3877" spans="1:9" x14ac:dyDescent="0.3">
      <c r="A3877">
        <v>13876</v>
      </c>
      <c r="B3877">
        <v>249</v>
      </c>
      <c r="C3877" s="2">
        <v>45290</v>
      </c>
      <c r="D3877" s="2" t="str">
        <f>TEXT(Table3[[#This Row],[usage_date]],"mmmm")</f>
        <v>December</v>
      </c>
      <c r="E3877" s="9">
        <f>YEAR(Table3[[#This Row],[usage_date]])</f>
        <v>2023</v>
      </c>
      <c r="F3877" s="14">
        <v>1.23</v>
      </c>
      <c r="G3877">
        <v>10</v>
      </c>
      <c r="H3877" t="s">
        <v>12</v>
      </c>
      <c r="I3877" t="str">
        <f t="shared" si="60"/>
        <v>Normal Usage</v>
      </c>
    </row>
    <row r="3878" spans="1:9" x14ac:dyDescent="0.3">
      <c r="A3878">
        <v>13877</v>
      </c>
      <c r="B3878">
        <v>227</v>
      </c>
      <c r="C3878" s="2">
        <v>45395</v>
      </c>
      <c r="D3878" s="2" t="str">
        <f>TEXT(Table3[[#This Row],[usage_date]],"mmmm")</f>
        <v>April</v>
      </c>
      <c r="E3878" s="9">
        <f>YEAR(Table3[[#This Row],[usage_date]])</f>
        <v>2024</v>
      </c>
      <c r="F3878" s="14">
        <v>0.51</v>
      </c>
      <c r="G3878">
        <v>80</v>
      </c>
      <c r="H3878" t="s">
        <v>12</v>
      </c>
      <c r="I3878" t="str">
        <f t="shared" si="60"/>
        <v>Normal Usage</v>
      </c>
    </row>
    <row r="3879" spans="1:9" x14ac:dyDescent="0.3">
      <c r="A3879">
        <v>13878</v>
      </c>
      <c r="B3879">
        <v>48</v>
      </c>
      <c r="C3879" s="2">
        <v>45267</v>
      </c>
      <c r="D3879" s="2" t="str">
        <f>TEXT(Table3[[#This Row],[usage_date]],"mmmm")</f>
        <v>December</v>
      </c>
      <c r="E3879" s="9">
        <f>YEAR(Table3[[#This Row],[usage_date]])</f>
        <v>2023</v>
      </c>
      <c r="F3879" s="14">
        <v>3.93</v>
      </c>
      <c r="G3879">
        <v>260</v>
      </c>
      <c r="H3879" t="s">
        <v>13</v>
      </c>
      <c r="I3879" t="str">
        <f t="shared" si="60"/>
        <v>Normal Usage</v>
      </c>
    </row>
    <row r="3880" spans="1:9" x14ac:dyDescent="0.3">
      <c r="A3880">
        <v>13879</v>
      </c>
      <c r="B3880">
        <v>18</v>
      </c>
      <c r="C3880" s="2">
        <v>44705</v>
      </c>
      <c r="D3880" s="2" t="str">
        <f>TEXT(Table3[[#This Row],[usage_date]],"mmmm")</f>
        <v>May</v>
      </c>
      <c r="E3880" s="9">
        <f>YEAR(Table3[[#This Row],[usage_date]])</f>
        <v>2022</v>
      </c>
      <c r="F3880" s="14">
        <v>1.34</v>
      </c>
      <c r="G3880">
        <v>5</v>
      </c>
      <c r="H3880" t="s">
        <v>12</v>
      </c>
      <c r="I3880" t="str">
        <f t="shared" si="60"/>
        <v>Normal Usage</v>
      </c>
    </row>
    <row r="3881" spans="1:9" x14ac:dyDescent="0.3">
      <c r="A3881">
        <v>13880</v>
      </c>
      <c r="B3881">
        <v>400</v>
      </c>
      <c r="C3881" s="2">
        <v>45146</v>
      </c>
      <c r="D3881" s="2" t="str">
        <f>TEXT(Table3[[#This Row],[usage_date]],"mmmm")</f>
        <v>August</v>
      </c>
      <c r="E3881" s="9">
        <f>YEAR(Table3[[#This Row],[usage_date]])</f>
        <v>2023</v>
      </c>
      <c r="F3881" s="14">
        <v>0.25</v>
      </c>
      <c r="G3881">
        <v>221</v>
      </c>
      <c r="H3881" t="s">
        <v>12</v>
      </c>
      <c r="I3881" t="str">
        <f t="shared" si="60"/>
        <v>Normal Usage</v>
      </c>
    </row>
    <row r="3882" spans="1:9" x14ac:dyDescent="0.3">
      <c r="A3882">
        <v>13881</v>
      </c>
      <c r="B3882">
        <v>439</v>
      </c>
      <c r="C3882" s="2">
        <v>45229</v>
      </c>
      <c r="D3882" s="2" t="str">
        <f>TEXT(Table3[[#This Row],[usage_date]],"mmmm")</f>
        <v>October</v>
      </c>
      <c r="E3882" s="9">
        <f>YEAR(Table3[[#This Row],[usage_date]])</f>
        <v>2023</v>
      </c>
      <c r="F3882" s="14">
        <v>1.66</v>
      </c>
      <c r="G3882">
        <v>297</v>
      </c>
      <c r="H3882" t="s">
        <v>13</v>
      </c>
      <c r="I3882" t="str">
        <f t="shared" si="60"/>
        <v>Normal Usage</v>
      </c>
    </row>
    <row r="3883" spans="1:9" x14ac:dyDescent="0.3">
      <c r="A3883">
        <v>13882</v>
      </c>
      <c r="B3883">
        <v>295</v>
      </c>
      <c r="C3883" s="2">
        <v>45150</v>
      </c>
      <c r="D3883" s="2" t="str">
        <f>TEXT(Table3[[#This Row],[usage_date]],"mmmm")</f>
        <v>August</v>
      </c>
      <c r="E3883" s="9">
        <f>YEAR(Table3[[#This Row],[usage_date]])</f>
        <v>2023</v>
      </c>
      <c r="F3883" s="14">
        <v>0.24</v>
      </c>
      <c r="G3883">
        <v>80</v>
      </c>
      <c r="H3883" t="s">
        <v>13</v>
      </c>
      <c r="I3883" t="str">
        <f t="shared" si="60"/>
        <v>Normal Usage</v>
      </c>
    </row>
    <row r="3884" spans="1:9" x14ac:dyDescent="0.3">
      <c r="A3884">
        <v>13883</v>
      </c>
      <c r="B3884">
        <v>196</v>
      </c>
      <c r="C3884" s="2">
        <v>44980</v>
      </c>
      <c r="D3884" s="2" t="str">
        <f>TEXT(Table3[[#This Row],[usage_date]],"mmmm")</f>
        <v>February</v>
      </c>
      <c r="E3884" s="9">
        <f>YEAR(Table3[[#This Row],[usage_date]])</f>
        <v>2023</v>
      </c>
      <c r="F3884" s="14">
        <v>0.35</v>
      </c>
      <c r="G3884">
        <v>2</v>
      </c>
      <c r="H3884" t="s">
        <v>12</v>
      </c>
      <c r="I3884" t="str">
        <f t="shared" si="60"/>
        <v>Normal Usage</v>
      </c>
    </row>
    <row r="3885" spans="1:9" x14ac:dyDescent="0.3">
      <c r="A3885">
        <v>13884</v>
      </c>
      <c r="B3885">
        <v>187</v>
      </c>
      <c r="C3885" s="2">
        <v>45242</v>
      </c>
      <c r="D3885" s="2" t="str">
        <f>TEXT(Table3[[#This Row],[usage_date]],"mmmm")</f>
        <v>November</v>
      </c>
      <c r="E3885" s="9">
        <f>YEAR(Table3[[#This Row],[usage_date]])</f>
        <v>2023</v>
      </c>
      <c r="F3885" s="14">
        <v>0.68</v>
      </c>
      <c r="G3885">
        <v>59</v>
      </c>
      <c r="H3885" t="s">
        <v>12</v>
      </c>
      <c r="I3885" t="str">
        <f t="shared" si="60"/>
        <v>Normal Usage</v>
      </c>
    </row>
    <row r="3886" spans="1:9" x14ac:dyDescent="0.3">
      <c r="A3886">
        <v>13885</v>
      </c>
      <c r="B3886">
        <v>345</v>
      </c>
      <c r="C3886" s="2">
        <v>45360</v>
      </c>
      <c r="D3886" s="2" t="str">
        <f>TEXT(Table3[[#This Row],[usage_date]],"mmmm")</f>
        <v>March</v>
      </c>
      <c r="E3886" s="9">
        <f>YEAR(Table3[[#This Row],[usage_date]])</f>
        <v>2024</v>
      </c>
      <c r="F3886" s="14">
        <v>4.91</v>
      </c>
      <c r="G3886">
        <v>220</v>
      </c>
      <c r="H3886" t="s">
        <v>12</v>
      </c>
      <c r="I3886" t="str">
        <f t="shared" si="60"/>
        <v>Normal Usage</v>
      </c>
    </row>
    <row r="3887" spans="1:9" x14ac:dyDescent="0.3">
      <c r="A3887">
        <v>13886</v>
      </c>
      <c r="B3887">
        <v>224</v>
      </c>
      <c r="C3887" s="2">
        <v>44646</v>
      </c>
      <c r="D3887" s="2" t="str">
        <f>TEXT(Table3[[#This Row],[usage_date]],"mmmm")</f>
        <v>March</v>
      </c>
      <c r="E3887" s="9">
        <f>YEAR(Table3[[#This Row],[usage_date]])</f>
        <v>2022</v>
      </c>
      <c r="F3887" s="14">
        <v>6.46</v>
      </c>
      <c r="G3887">
        <v>48</v>
      </c>
      <c r="H3887" t="s">
        <v>12</v>
      </c>
      <c r="I3887" t="str">
        <f t="shared" si="60"/>
        <v>High Usage</v>
      </c>
    </row>
    <row r="3888" spans="1:9" x14ac:dyDescent="0.3">
      <c r="A3888">
        <v>13887</v>
      </c>
      <c r="B3888">
        <v>318</v>
      </c>
      <c r="C3888" s="2">
        <v>44977</v>
      </c>
      <c r="D3888" s="2" t="str">
        <f>TEXT(Table3[[#This Row],[usage_date]],"mmmm")</f>
        <v>February</v>
      </c>
      <c r="E3888" s="9">
        <f>YEAR(Table3[[#This Row],[usage_date]])</f>
        <v>2023</v>
      </c>
      <c r="F3888" s="14">
        <v>4.38</v>
      </c>
      <c r="G3888">
        <v>227</v>
      </c>
      <c r="H3888" t="s">
        <v>12</v>
      </c>
      <c r="I3888" t="str">
        <f t="shared" si="60"/>
        <v>Normal Usage</v>
      </c>
    </row>
    <row r="3889" spans="1:9" x14ac:dyDescent="0.3">
      <c r="A3889">
        <v>13888</v>
      </c>
      <c r="B3889">
        <v>488</v>
      </c>
      <c r="C3889" s="2">
        <v>45255</v>
      </c>
      <c r="D3889" s="2" t="str">
        <f>TEXT(Table3[[#This Row],[usage_date]],"mmmm")</f>
        <v>November</v>
      </c>
      <c r="E3889" s="9">
        <f>YEAR(Table3[[#This Row],[usage_date]])</f>
        <v>2023</v>
      </c>
      <c r="F3889" s="14">
        <v>1.02</v>
      </c>
      <c r="G3889">
        <v>289</v>
      </c>
      <c r="H3889" t="s">
        <v>13</v>
      </c>
      <c r="I3889" t="str">
        <f t="shared" si="60"/>
        <v>Normal Usage</v>
      </c>
    </row>
    <row r="3890" spans="1:9" x14ac:dyDescent="0.3">
      <c r="A3890">
        <v>13889</v>
      </c>
      <c r="B3890">
        <v>397</v>
      </c>
      <c r="C3890" s="2">
        <v>45043</v>
      </c>
      <c r="D3890" s="2" t="str">
        <f>TEXT(Table3[[#This Row],[usage_date]],"mmmm")</f>
        <v>April</v>
      </c>
      <c r="E3890" s="9">
        <f>YEAR(Table3[[#This Row],[usage_date]])</f>
        <v>2023</v>
      </c>
      <c r="F3890" s="14">
        <v>0.8</v>
      </c>
      <c r="G3890">
        <v>292</v>
      </c>
      <c r="H3890" t="s">
        <v>12</v>
      </c>
      <c r="I3890" t="str">
        <f t="shared" si="60"/>
        <v>Normal Usage</v>
      </c>
    </row>
    <row r="3891" spans="1:9" x14ac:dyDescent="0.3">
      <c r="A3891">
        <v>13890</v>
      </c>
      <c r="B3891">
        <v>365</v>
      </c>
      <c r="C3891" s="2">
        <v>45017</v>
      </c>
      <c r="D3891" s="2" t="str">
        <f>TEXT(Table3[[#This Row],[usage_date]],"mmmm")</f>
        <v>April</v>
      </c>
      <c r="E3891" s="9">
        <f>YEAR(Table3[[#This Row],[usage_date]])</f>
        <v>2023</v>
      </c>
      <c r="F3891" s="14">
        <v>1.99</v>
      </c>
      <c r="G3891">
        <v>297</v>
      </c>
      <c r="H3891" t="s">
        <v>13</v>
      </c>
      <c r="I3891" t="str">
        <f t="shared" si="60"/>
        <v>Normal Usage</v>
      </c>
    </row>
    <row r="3892" spans="1:9" x14ac:dyDescent="0.3">
      <c r="A3892">
        <v>13891</v>
      </c>
      <c r="B3892">
        <v>337</v>
      </c>
      <c r="C3892" s="2">
        <v>45388</v>
      </c>
      <c r="D3892" s="2" t="str">
        <f>TEXT(Table3[[#This Row],[usage_date]],"mmmm")</f>
        <v>April</v>
      </c>
      <c r="E3892" s="9">
        <f>YEAR(Table3[[#This Row],[usage_date]])</f>
        <v>2024</v>
      </c>
      <c r="F3892" s="14">
        <v>3.2</v>
      </c>
      <c r="G3892">
        <v>192</v>
      </c>
      <c r="H3892" t="s">
        <v>12</v>
      </c>
      <c r="I3892" t="str">
        <f t="shared" si="60"/>
        <v>Normal Usage</v>
      </c>
    </row>
    <row r="3893" spans="1:9" x14ac:dyDescent="0.3">
      <c r="A3893">
        <v>13892</v>
      </c>
      <c r="B3893">
        <v>497</v>
      </c>
      <c r="C3893" s="2">
        <v>44858</v>
      </c>
      <c r="D3893" s="2" t="str">
        <f>TEXT(Table3[[#This Row],[usage_date]],"mmmm")</f>
        <v>October</v>
      </c>
      <c r="E3893" s="9">
        <f>YEAR(Table3[[#This Row],[usage_date]])</f>
        <v>2022</v>
      </c>
      <c r="F3893" s="14">
        <v>12.54</v>
      </c>
      <c r="G3893">
        <v>256</v>
      </c>
      <c r="H3893" t="s">
        <v>12</v>
      </c>
      <c r="I3893" t="str">
        <f t="shared" si="60"/>
        <v>High Usage</v>
      </c>
    </row>
    <row r="3894" spans="1:9" x14ac:dyDescent="0.3">
      <c r="A3894">
        <v>13893</v>
      </c>
      <c r="B3894">
        <v>229</v>
      </c>
      <c r="C3894" s="2">
        <v>44673</v>
      </c>
      <c r="D3894" s="2" t="str">
        <f>TEXT(Table3[[#This Row],[usage_date]],"mmmm")</f>
        <v>April</v>
      </c>
      <c r="E3894" s="9">
        <f>YEAR(Table3[[#This Row],[usage_date]])</f>
        <v>2022</v>
      </c>
      <c r="F3894" s="14">
        <v>0.35</v>
      </c>
      <c r="G3894">
        <v>102</v>
      </c>
      <c r="H3894" t="s">
        <v>13</v>
      </c>
      <c r="I3894" t="str">
        <f t="shared" si="60"/>
        <v>Normal Usage</v>
      </c>
    </row>
    <row r="3895" spans="1:9" x14ac:dyDescent="0.3">
      <c r="A3895">
        <v>13894</v>
      </c>
      <c r="B3895">
        <v>390</v>
      </c>
      <c r="C3895" s="2">
        <v>44791</v>
      </c>
      <c r="D3895" s="2" t="str">
        <f>TEXT(Table3[[#This Row],[usage_date]],"mmmm")</f>
        <v>August</v>
      </c>
      <c r="E3895" s="9">
        <f>YEAR(Table3[[#This Row],[usage_date]])</f>
        <v>2022</v>
      </c>
      <c r="F3895" s="14">
        <v>0.13</v>
      </c>
      <c r="G3895">
        <v>145</v>
      </c>
      <c r="H3895" t="s">
        <v>12</v>
      </c>
      <c r="I3895" t="str">
        <f t="shared" si="60"/>
        <v>Normal Usage</v>
      </c>
    </row>
    <row r="3896" spans="1:9" x14ac:dyDescent="0.3">
      <c r="A3896">
        <v>13895</v>
      </c>
      <c r="B3896">
        <v>467</v>
      </c>
      <c r="C3896" s="2">
        <v>44657</v>
      </c>
      <c r="D3896" s="2" t="str">
        <f>TEXT(Table3[[#This Row],[usage_date]],"mmmm")</f>
        <v>April</v>
      </c>
      <c r="E3896" s="9">
        <f>YEAR(Table3[[#This Row],[usage_date]])</f>
        <v>2022</v>
      </c>
      <c r="F3896" s="14">
        <v>2.96</v>
      </c>
      <c r="G3896">
        <v>289</v>
      </c>
      <c r="H3896" t="s">
        <v>12</v>
      </c>
      <c r="I3896" t="str">
        <f t="shared" si="60"/>
        <v>Normal Usage</v>
      </c>
    </row>
    <row r="3897" spans="1:9" x14ac:dyDescent="0.3">
      <c r="A3897">
        <v>13896</v>
      </c>
      <c r="B3897">
        <v>77</v>
      </c>
      <c r="C3897" s="2">
        <v>45241</v>
      </c>
      <c r="D3897" s="2" t="str">
        <f>TEXT(Table3[[#This Row],[usage_date]],"mmmm")</f>
        <v>November</v>
      </c>
      <c r="E3897" s="9">
        <f>YEAR(Table3[[#This Row],[usage_date]])</f>
        <v>2023</v>
      </c>
      <c r="F3897" s="14">
        <v>4.46</v>
      </c>
      <c r="G3897">
        <v>256</v>
      </c>
      <c r="H3897" t="s">
        <v>12</v>
      </c>
      <c r="I3897" t="str">
        <f t="shared" si="60"/>
        <v>Normal Usage</v>
      </c>
    </row>
    <row r="3898" spans="1:9" x14ac:dyDescent="0.3">
      <c r="A3898">
        <v>13897</v>
      </c>
      <c r="B3898">
        <v>188</v>
      </c>
      <c r="C3898" s="2">
        <v>44939</v>
      </c>
      <c r="D3898" s="2" t="str">
        <f>TEXT(Table3[[#This Row],[usage_date]],"mmmm")</f>
        <v>January</v>
      </c>
      <c r="E3898" s="9">
        <f>YEAR(Table3[[#This Row],[usage_date]])</f>
        <v>2023</v>
      </c>
      <c r="F3898" s="14">
        <v>4.68</v>
      </c>
      <c r="G3898">
        <v>277</v>
      </c>
      <c r="H3898" t="s">
        <v>13</v>
      </c>
      <c r="I3898" t="str">
        <f t="shared" si="60"/>
        <v>Normal Usage</v>
      </c>
    </row>
    <row r="3899" spans="1:9" x14ac:dyDescent="0.3">
      <c r="A3899">
        <v>13898</v>
      </c>
      <c r="B3899">
        <v>346</v>
      </c>
      <c r="C3899" s="2">
        <v>44717</v>
      </c>
      <c r="D3899" s="2" t="str">
        <f>TEXT(Table3[[#This Row],[usage_date]],"mmmm")</f>
        <v>June</v>
      </c>
      <c r="E3899" s="9">
        <f>YEAR(Table3[[#This Row],[usage_date]])</f>
        <v>2022</v>
      </c>
      <c r="F3899" s="14">
        <v>2.84</v>
      </c>
      <c r="G3899">
        <v>188</v>
      </c>
      <c r="H3899" t="s">
        <v>12</v>
      </c>
      <c r="I3899" t="str">
        <f t="shared" si="60"/>
        <v>Normal Usage</v>
      </c>
    </row>
    <row r="3900" spans="1:9" x14ac:dyDescent="0.3">
      <c r="A3900">
        <v>13899</v>
      </c>
      <c r="B3900">
        <v>270</v>
      </c>
      <c r="C3900" s="2">
        <v>44982</v>
      </c>
      <c r="D3900" s="2" t="str">
        <f>TEXT(Table3[[#This Row],[usage_date]],"mmmm")</f>
        <v>February</v>
      </c>
      <c r="E3900" s="9">
        <f>YEAR(Table3[[#This Row],[usage_date]])</f>
        <v>2023</v>
      </c>
      <c r="F3900" s="14">
        <v>7.7</v>
      </c>
      <c r="G3900">
        <v>177</v>
      </c>
      <c r="H3900" t="s">
        <v>12</v>
      </c>
      <c r="I3900" t="str">
        <f t="shared" si="60"/>
        <v>High Usage</v>
      </c>
    </row>
    <row r="3901" spans="1:9" x14ac:dyDescent="0.3">
      <c r="A3901">
        <v>13900</v>
      </c>
      <c r="B3901">
        <v>95</v>
      </c>
      <c r="C3901" s="2">
        <v>44666</v>
      </c>
      <c r="D3901" s="2" t="str">
        <f>TEXT(Table3[[#This Row],[usage_date]],"mmmm")</f>
        <v>April</v>
      </c>
      <c r="E3901" s="9">
        <f>YEAR(Table3[[#This Row],[usage_date]])</f>
        <v>2022</v>
      </c>
      <c r="F3901" s="14">
        <v>1.79</v>
      </c>
      <c r="G3901">
        <v>15</v>
      </c>
      <c r="H3901" t="s">
        <v>12</v>
      </c>
      <c r="I3901" t="str">
        <f t="shared" si="60"/>
        <v>Normal Usage</v>
      </c>
    </row>
    <row r="3902" spans="1:9" x14ac:dyDescent="0.3">
      <c r="A3902">
        <v>13901</v>
      </c>
      <c r="B3902">
        <v>310</v>
      </c>
      <c r="C3902" s="2">
        <v>45266</v>
      </c>
      <c r="D3902" s="2" t="str">
        <f>TEXT(Table3[[#This Row],[usage_date]],"mmmm")</f>
        <v>December</v>
      </c>
      <c r="E3902" s="9">
        <f>YEAR(Table3[[#This Row],[usage_date]])</f>
        <v>2023</v>
      </c>
      <c r="F3902" s="14">
        <v>6.13</v>
      </c>
      <c r="G3902">
        <v>85</v>
      </c>
      <c r="H3902" t="s">
        <v>12</v>
      </c>
      <c r="I3902" t="str">
        <f t="shared" si="60"/>
        <v>High Usage</v>
      </c>
    </row>
    <row r="3903" spans="1:9" x14ac:dyDescent="0.3">
      <c r="A3903">
        <v>13902</v>
      </c>
      <c r="B3903">
        <v>132</v>
      </c>
      <c r="C3903" s="2">
        <v>44891</v>
      </c>
      <c r="D3903" s="2" t="str">
        <f>TEXT(Table3[[#This Row],[usage_date]],"mmmm")</f>
        <v>November</v>
      </c>
      <c r="E3903" s="9">
        <f>YEAR(Table3[[#This Row],[usage_date]])</f>
        <v>2022</v>
      </c>
      <c r="F3903" s="14">
        <v>8.59</v>
      </c>
      <c r="G3903">
        <v>247</v>
      </c>
      <c r="H3903" t="s">
        <v>13</v>
      </c>
      <c r="I3903" t="str">
        <f t="shared" si="60"/>
        <v>High Usage</v>
      </c>
    </row>
    <row r="3904" spans="1:9" x14ac:dyDescent="0.3">
      <c r="A3904">
        <v>13903</v>
      </c>
      <c r="B3904">
        <v>39</v>
      </c>
      <c r="C3904" s="2">
        <v>45000</v>
      </c>
      <c r="D3904" s="2" t="str">
        <f>TEXT(Table3[[#This Row],[usage_date]],"mmmm")</f>
        <v>March</v>
      </c>
      <c r="E3904" s="9">
        <f>YEAR(Table3[[#This Row],[usage_date]])</f>
        <v>2023</v>
      </c>
      <c r="F3904" s="14">
        <v>4.7</v>
      </c>
      <c r="G3904">
        <v>216</v>
      </c>
      <c r="H3904" t="s">
        <v>12</v>
      </c>
      <c r="I3904" t="str">
        <f t="shared" si="60"/>
        <v>Normal Usage</v>
      </c>
    </row>
    <row r="3905" spans="1:9" x14ac:dyDescent="0.3">
      <c r="A3905">
        <v>13904</v>
      </c>
      <c r="B3905">
        <v>72</v>
      </c>
      <c r="C3905" s="2">
        <v>44693</v>
      </c>
      <c r="D3905" s="2" t="str">
        <f>TEXT(Table3[[#This Row],[usage_date]],"mmmm")</f>
        <v>May</v>
      </c>
      <c r="E3905" s="9">
        <f>YEAR(Table3[[#This Row],[usage_date]])</f>
        <v>2022</v>
      </c>
      <c r="F3905" s="14">
        <v>0.93</v>
      </c>
      <c r="G3905">
        <v>41</v>
      </c>
      <c r="H3905" t="s">
        <v>12</v>
      </c>
      <c r="I3905" t="str">
        <f t="shared" si="60"/>
        <v>Normal Usage</v>
      </c>
    </row>
    <row r="3906" spans="1:9" x14ac:dyDescent="0.3">
      <c r="A3906">
        <v>13905</v>
      </c>
      <c r="B3906">
        <v>281</v>
      </c>
      <c r="C3906" s="2">
        <v>45428</v>
      </c>
      <c r="D3906" s="2" t="str">
        <f>TEXT(Table3[[#This Row],[usage_date]],"mmmm")</f>
        <v>May</v>
      </c>
      <c r="E3906" s="9">
        <f>YEAR(Table3[[#This Row],[usage_date]])</f>
        <v>2024</v>
      </c>
      <c r="F3906" s="14">
        <v>0.55000000000000004</v>
      </c>
      <c r="G3906">
        <v>193</v>
      </c>
      <c r="H3906" t="s">
        <v>12</v>
      </c>
      <c r="I3906" t="str">
        <f t="shared" ref="I3906:I3969" si="61">IF(F3906&gt;6,"High Usage","Normal Usage")</f>
        <v>Normal Usage</v>
      </c>
    </row>
    <row r="3907" spans="1:9" x14ac:dyDescent="0.3">
      <c r="A3907">
        <v>13906</v>
      </c>
      <c r="B3907">
        <v>333</v>
      </c>
      <c r="C3907" s="2">
        <v>44943</v>
      </c>
      <c r="D3907" s="2" t="str">
        <f>TEXT(Table3[[#This Row],[usage_date]],"mmmm")</f>
        <v>January</v>
      </c>
      <c r="E3907" s="9">
        <f>YEAR(Table3[[#This Row],[usage_date]])</f>
        <v>2023</v>
      </c>
      <c r="F3907" s="14">
        <v>1.99</v>
      </c>
      <c r="G3907">
        <v>162</v>
      </c>
      <c r="H3907" t="s">
        <v>13</v>
      </c>
      <c r="I3907" t="str">
        <f t="shared" si="61"/>
        <v>Normal Usage</v>
      </c>
    </row>
    <row r="3908" spans="1:9" x14ac:dyDescent="0.3">
      <c r="A3908">
        <v>13907</v>
      </c>
      <c r="B3908">
        <v>160</v>
      </c>
      <c r="C3908" s="2">
        <v>44699</v>
      </c>
      <c r="D3908" s="2" t="str">
        <f>TEXT(Table3[[#This Row],[usage_date]],"mmmm")</f>
        <v>May</v>
      </c>
      <c r="E3908" s="9">
        <f>YEAR(Table3[[#This Row],[usage_date]])</f>
        <v>2022</v>
      </c>
      <c r="F3908" s="14">
        <v>1.51</v>
      </c>
      <c r="G3908">
        <v>275</v>
      </c>
      <c r="H3908" t="s">
        <v>13</v>
      </c>
      <c r="I3908" t="str">
        <f t="shared" si="61"/>
        <v>Normal Usage</v>
      </c>
    </row>
    <row r="3909" spans="1:9" x14ac:dyDescent="0.3">
      <c r="A3909">
        <v>13908</v>
      </c>
      <c r="B3909">
        <v>187</v>
      </c>
      <c r="C3909" s="2">
        <v>45404</v>
      </c>
      <c r="D3909" s="2" t="str">
        <f>TEXT(Table3[[#This Row],[usage_date]],"mmmm")</f>
        <v>April</v>
      </c>
      <c r="E3909" s="9">
        <f>YEAR(Table3[[#This Row],[usage_date]])</f>
        <v>2024</v>
      </c>
      <c r="F3909" s="14">
        <v>5.25</v>
      </c>
      <c r="G3909">
        <v>129</v>
      </c>
      <c r="H3909" t="s">
        <v>13</v>
      </c>
      <c r="I3909" t="str">
        <f t="shared" si="61"/>
        <v>Normal Usage</v>
      </c>
    </row>
    <row r="3910" spans="1:9" x14ac:dyDescent="0.3">
      <c r="A3910">
        <v>13909</v>
      </c>
      <c r="B3910">
        <v>486</v>
      </c>
      <c r="C3910" s="2">
        <v>44831</v>
      </c>
      <c r="D3910" s="2" t="str">
        <f>TEXT(Table3[[#This Row],[usage_date]],"mmmm")</f>
        <v>September</v>
      </c>
      <c r="E3910" s="9">
        <f>YEAR(Table3[[#This Row],[usage_date]])</f>
        <v>2022</v>
      </c>
      <c r="F3910" s="14">
        <v>0.26</v>
      </c>
      <c r="G3910">
        <v>262</v>
      </c>
      <c r="H3910" t="s">
        <v>12</v>
      </c>
      <c r="I3910" t="str">
        <f t="shared" si="61"/>
        <v>Normal Usage</v>
      </c>
    </row>
    <row r="3911" spans="1:9" x14ac:dyDescent="0.3">
      <c r="A3911">
        <v>13910</v>
      </c>
      <c r="B3911">
        <v>191</v>
      </c>
      <c r="C3911" s="2">
        <v>45111</v>
      </c>
      <c r="D3911" s="2" t="str">
        <f>TEXT(Table3[[#This Row],[usage_date]],"mmmm")</f>
        <v>July</v>
      </c>
      <c r="E3911" s="9">
        <f>YEAR(Table3[[#This Row],[usage_date]])</f>
        <v>2023</v>
      </c>
      <c r="F3911" s="14">
        <v>0.75</v>
      </c>
      <c r="G3911">
        <v>176</v>
      </c>
      <c r="H3911" t="s">
        <v>12</v>
      </c>
      <c r="I3911" t="str">
        <f t="shared" si="61"/>
        <v>Normal Usage</v>
      </c>
    </row>
    <row r="3912" spans="1:9" x14ac:dyDescent="0.3">
      <c r="A3912">
        <v>13911</v>
      </c>
      <c r="B3912">
        <v>422</v>
      </c>
      <c r="C3912" s="2">
        <v>44957</v>
      </c>
      <c r="D3912" s="2" t="str">
        <f>TEXT(Table3[[#This Row],[usage_date]],"mmmm")</f>
        <v>January</v>
      </c>
      <c r="E3912" s="9">
        <f>YEAR(Table3[[#This Row],[usage_date]])</f>
        <v>2023</v>
      </c>
      <c r="F3912" s="14">
        <v>3.48</v>
      </c>
      <c r="G3912">
        <v>264</v>
      </c>
      <c r="H3912" t="s">
        <v>12</v>
      </c>
      <c r="I3912" t="str">
        <f t="shared" si="61"/>
        <v>Normal Usage</v>
      </c>
    </row>
    <row r="3913" spans="1:9" x14ac:dyDescent="0.3">
      <c r="A3913">
        <v>13912</v>
      </c>
      <c r="B3913">
        <v>120</v>
      </c>
      <c r="C3913" s="2">
        <v>45118</v>
      </c>
      <c r="D3913" s="2" t="str">
        <f>TEXT(Table3[[#This Row],[usage_date]],"mmmm")</f>
        <v>July</v>
      </c>
      <c r="E3913" s="9">
        <f>YEAR(Table3[[#This Row],[usage_date]])</f>
        <v>2023</v>
      </c>
      <c r="F3913" s="14">
        <v>0.25</v>
      </c>
      <c r="G3913">
        <v>26</v>
      </c>
      <c r="H3913" t="s">
        <v>13</v>
      </c>
      <c r="I3913" t="str">
        <f t="shared" si="61"/>
        <v>Normal Usage</v>
      </c>
    </row>
    <row r="3914" spans="1:9" x14ac:dyDescent="0.3">
      <c r="A3914">
        <v>13913</v>
      </c>
      <c r="B3914">
        <v>220</v>
      </c>
      <c r="C3914" s="2">
        <v>45025</v>
      </c>
      <c r="D3914" s="2" t="str">
        <f>TEXT(Table3[[#This Row],[usage_date]],"mmmm")</f>
        <v>April</v>
      </c>
      <c r="E3914" s="9">
        <f>YEAR(Table3[[#This Row],[usage_date]])</f>
        <v>2023</v>
      </c>
      <c r="F3914" s="14">
        <v>0.97</v>
      </c>
      <c r="G3914">
        <v>84</v>
      </c>
      <c r="H3914" t="s">
        <v>13</v>
      </c>
      <c r="I3914" t="str">
        <f t="shared" si="61"/>
        <v>Normal Usage</v>
      </c>
    </row>
    <row r="3915" spans="1:9" x14ac:dyDescent="0.3">
      <c r="A3915">
        <v>13914</v>
      </c>
      <c r="B3915">
        <v>53</v>
      </c>
      <c r="C3915" s="2">
        <v>45236</v>
      </c>
      <c r="D3915" s="2" t="str">
        <f>TEXT(Table3[[#This Row],[usage_date]],"mmmm")</f>
        <v>November</v>
      </c>
      <c r="E3915" s="9">
        <f>YEAR(Table3[[#This Row],[usage_date]])</f>
        <v>2023</v>
      </c>
      <c r="F3915" s="14">
        <v>1.22</v>
      </c>
      <c r="G3915">
        <v>195</v>
      </c>
      <c r="H3915" t="s">
        <v>13</v>
      </c>
      <c r="I3915" t="str">
        <f t="shared" si="61"/>
        <v>Normal Usage</v>
      </c>
    </row>
    <row r="3916" spans="1:9" x14ac:dyDescent="0.3">
      <c r="A3916">
        <v>13915</v>
      </c>
      <c r="B3916">
        <v>222</v>
      </c>
      <c r="C3916" s="2">
        <v>45011</v>
      </c>
      <c r="D3916" s="2" t="str">
        <f>TEXT(Table3[[#This Row],[usage_date]],"mmmm")</f>
        <v>March</v>
      </c>
      <c r="E3916" s="9">
        <f>YEAR(Table3[[#This Row],[usage_date]])</f>
        <v>2023</v>
      </c>
      <c r="F3916" s="14">
        <v>2.44</v>
      </c>
      <c r="G3916">
        <v>242</v>
      </c>
      <c r="H3916" t="s">
        <v>12</v>
      </c>
      <c r="I3916" t="str">
        <f t="shared" si="61"/>
        <v>Normal Usage</v>
      </c>
    </row>
    <row r="3917" spans="1:9" x14ac:dyDescent="0.3">
      <c r="A3917">
        <v>13916</v>
      </c>
      <c r="B3917">
        <v>451</v>
      </c>
      <c r="C3917" s="2">
        <v>44892</v>
      </c>
      <c r="D3917" s="2" t="str">
        <f>TEXT(Table3[[#This Row],[usage_date]],"mmmm")</f>
        <v>November</v>
      </c>
      <c r="E3917" s="9">
        <f>YEAR(Table3[[#This Row],[usage_date]])</f>
        <v>2022</v>
      </c>
      <c r="F3917" s="14">
        <v>0.43</v>
      </c>
      <c r="G3917">
        <v>176</v>
      </c>
      <c r="H3917" t="s">
        <v>12</v>
      </c>
      <c r="I3917" t="str">
        <f t="shared" si="61"/>
        <v>Normal Usage</v>
      </c>
    </row>
    <row r="3918" spans="1:9" x14ac:dyDescent="0.3">
      <c r="A3918">
        <v>13917</v>
      </c>
      <c r="B3918">
        <v>412</v>
      </c>
      <c r="C3918" s="2">
        <v>44814</v>
      </c>
      <c r="D3918" s="2" t="str">
        <f>TEXT(Table3[[#This Row],[usage_date]],"mmmm")</f>
        <v>September</v>
      </c>
      <c r="E3918" s="9">
        <f>YEAR(Table3[[#This Row],[usage_date]])</f>
        <v>2022</v>
      </c>
      <c r="F3918" s="14">
        <v>4.93</v>
      </c>
      <c r="G3918">
        <v>129</v>
      </c>
      <c r="H3918" t="s">
        <v>12</v>
      </c>
      <c r="I3918" t="str">
        <f t="shared" si="61"/>
        <v>Normal Usage</v>
      </c>
    </row>
    <row r="3919" spans="1:9" x14ac:dyDescent="0.3">
      <c r="A3919">
        <v>13918</v>
      </c>
      <c r="B3919">
        <v>131</v>
      </c>
      <c r="C3919" s="2">
        <v>45242</v>
      </c>
      <c r="D3919" s="2" t="str">
        <f>TEXT(Table3[[#This Row],[usage_date]],"mmmm")</f>
        <v>November</v>
      </c>
      <c r="E3919" s="9">
        <f>YEAR(Table3[[#This Row],[usage_date]])</f>
        <v>2023</v>
      </c>
      <c r="F3919" s="14">
        <v>1.48</v>
      </c>
      <c r="G3919">
        <v>144</v>
      </c>
      <c r="H3919" t="s">
        <v>13</v>
      </c>
      <c r="I3919" t="str">
        <f t="shared" si="61"/>
        <v>Normal Usage</v>
      </c>
    </row>
    <row r="3920" spans="1:9" x14ac:dyDescent="0.3">
      <c r="A3920">
        <v>13919</v>
      </c>
      <c r="B3920">
        <v>237</v>
      </c>
      <c r="C3920" s="2">
        <v>44846</v>
      </c>
      <c r="D3920" s="2" t="str">
        <f>TEXT(Table3[[#This Row],[usage_date]],"mmmm")</f>
        <v>October</v>
      </c>
      <c r="E3920" s="9">
        <f>YEAR(Table3[[#This Row],[usage_date]])</f>
        <v>2022</v>
      </c>
      <c r="F3920" s="14">
        <v>6.22</v>
      </c>
      <c r="G3920">
        <v>82</v>
      </c>
      <c r="H3920" t="s">
        <v>12</v>
      </c>
      <c r="I3920" t="str">
        <f t="shared" si="61"/>
        <v>High Usage</v>
      </c>
    </row>
    <row r="3921" spans="1:9" x14ac:dyDescent="0.3">
      <c r="A3921">
        <v>13920</v>
      </c>
      <c r="B3921">
        <v>246</v>
      </c>
      <c r="C3921" s="2">
        <v>44835</v>
      </c>
      <c r="D3921" s="2" t="str">
        <f>TEXT(Table3[[#This Row],[usage_date]],"mmmm")</f>
        <v>October</v>
      </c>
      <c r="E3921" s="9">
        <f>YEAR(Table3[[#This Row],[usage_date]])</f>
        <v>2022</v>
      </c>
      <c r="F3921" s="14">
        <v>1.58</v>
      </c>
      <c r="G3921">
        <v>87</v>
      </c>
      <c r="H3921" t="s">
        <v>13</v>
      </c>
      <c r="I3921" t="str">
        <f t="shared" si="61"/>
        <v>Normal Usage</v>
      </c>
    </row>
    <row r="3922" spans="1:9" x14ac:dyDescent="0.3">
      <c r="A3922">
        <v>13921</v>
      </c>
      <c r="B3922">
        <v>226</v>
      </c>
      <c r="C3922" s="2">
        <v>44581</v>
      </c>
      <c r="D3922" s="2" t="str">
        <f>TEXT(Table3[[#This Row],[usage_date]],"mmmm")</f>
        <v>January</v>
      </c>
      <c r="E3922" s="9">
        <f>YEAR(Table3[[#This Row],[usage_date]])</f>
        <v>2022</v>
      </c>
      <c r="F3922" s="14">
        <v>0.8</v>
      </c>
      <c r="G3922">
        <v>19</v>
      </c>
      <c r="H3922" t="s">
        <v>12</v>
      </c>
      <c r="I3922" t="str">
        <f t="shared" si="61"/>
        <v>Normal Usage</v>
      </c>
    </row>
    <row r="3923" spans="1:9" x14ac:dyDescent="0.3">
      <c r="A3923">
        <v>13922</v>
      </c>
      <c r="B3923">
        <v>208</v>
      </c>
      <c r="C3923" s="2">
        <v>44800</v>
      </c>
      <c r="D3923" s="2" t="str">
        <f>TEXT(Table3[[#This Row],[usage_date]],"mmmm")</f>
        <v>August</v>
      </c>
      <c r="E3923" s="9">
        <f>YEAR(Table3[[#This Row],[usage_date]])</f>
        <v>2022</v>
      </c>
      <c r="F3923" s="14">
        <v>0.38</v>
      </c>
      <c r="G3923">
        <v>229</v>
      </c>
      <c r="H3923" t="s">
        <v>12</v>
      </c>
      <c r="I3923" t="str">
        <f t="shared" si="61"/>
        <v>Normal Usage</v>
      </c>
    </row>
    <row r="3924" spans="1:9" x14ac:dyDescent="0.3">
      <c r="A3924">
        <v>13923</v>
      </c>
      <c r="B3924">
        <v>406</v>
      </c>
      <c r="C3924" s="2">
        <v>44831</v>
      </c>
      <c r="D3924" s="2" t="str">
        <f>TEXT(Table3[[#This Row],[usage_date]],"mmmm")</f>
        <v>September</v>
      </c>
      <c r="E3924" s="9">
        <f>YEAR(Table3[[#This Row],[usage_date]])</f>
        <v>2022</v>
      </c>
      <c r="F3924" s="14">
        <v>0.01</v>
      </c>
      <c r="G3924">
        <v>125</v>
      </c>
      <c r="H3924" t="s">
        <v>12</v>
      </c>
      <c r="I3924" t="str">
        <f t="shared" si="61"/>
        <v>Normal Usage</v>
      </c>
    </row>
    <row r="3925" spans="1:9" x14ac:dyDescent="0.3">
      <c r="A3925">
        <v>13924</v>
      </c>
      <c r="B3925">
        <v>96</v>
      </c>
      <c r="C3925" s="2">
        <v>44979</v>
      </c>
      <c r="D3925" s="2" t="str">
        <f>TEXT(Table3[[#This Row],[usage_date]],"mmmm")</f>
        <v>February</v>
      </c>
      <c r="E3925" s="9">
        <f>YEAR(Table3[[#This Row],[usage_date]])</f>
        <v>2023</v>
      </c>
      <c r="F3925" s="14">
        <v>1.9</v>
      </c>
      <c r="G3925">
        <v>50</v>
      </c>
      <c r="H3925" t="s">
        <v>12</v>
      </c>
      <c r="I3925" t="str">
        <f t="shared" si="61"/>
        <v>Normal Usage</v>
      </c>
    </row>
    <row r="3926" spans="1:9" x14ac:dyDescent="0.3">
      <c r="A3926">
        <v>13925</v>
      </c>
      <c r="B3926">
        <v>422</v>
      </c>
      <c r="C3926" s="2">
        <v>44871</v>
      </c>
      <c r="D3926" s="2" t="str">
        <f>TEXT(Table3[[#This Row],[usage_date]],"mmmm")</f>
        <v>November</v>
      </c>
      <c r="E3926" s="9">
        <f>YEAR(Table3[[#This Row],[usage_date]])</f>
        <v>2022</v>
      </c>
      <c r="F3926" s="14">
        <v>0.28000000000000003</v>
      </c>
      <c r="G3926">
        <v>87</v>
      </c>
      <c r="H3926" t="s">
        <v>12</v>
      </c>
      <c r="I3926" t="str">
        <f t="shared" si="61"/>
        <v>Normal Usage</v>
      </c>
    </row>
    <row r="3927" spans="1:9" x14ac:dyDescent="0.3">
      <c r="A3927">
        <v>13926</v>
      </c>
      <c r="B3927">
        <v>200</v>
      </c>
      <c r="C3927" s="2">
        <v>44592</v>
      </c>
      <c r="D3927" s="2" t="str">
        <f>TEXT(Table3[[#This Row],[usage_date]],"mmmm")</f>
        <v>January</v>
      </c>
      <c r="E3927" s="9">
        <f>YEAR(Table3[[#This Row],[usage_date]])</f>
        <v>2022</v>
      </c>
      <c r="F3927" s="14">
        <v>1.24</v>
      </c>
      <c r="G3927">
        <v>169</v>
      </c>
      <c r="H3927" t="s">
        <v>12</v>
      </c>
      <c r="I3927" t="str">
        <f t="shared" si="61"/>
        <v>Normal Usage</v>
      </c>
    </row>
    <row r="3928" spans="1:9" x14ac:dyDescent="0.3">
      <c r="A3928">
        <v>13927</v>
      </c>
      <c r="B3928">
        <v>247</v>
      </c>
      <c r="C3928" s="2">
        <v>45387</v>
      </c>
      <c r="D3928" s="2" t="str">
        <f>TEXT(Table3[[#This Row],[usage_date]],"mmmm")</f>
        <v>April</v>
      </c>
      <c r="E3928" s="9">
        <f>YEAR(Table3[[#This Row],[usage_date]])</f>
        <v>2024</v>
      </c>
      <c r="F3928" s="14">
        <v>2.2200000000000002</v>
      </c>
      <c r="G3928">
        <v>62</v>
      </c>
      <c r="H3928" t="s">
        <v>12</v>
      </c>
      <c r="I3928" t="str">
        <f t="shared" si="61"/>
        <v>Normal Usage</v>
      </c>
    </row>
    <row r="3929" spans="1:9" x14ac:dyDescent="0.3">
      <c r="A3929">
        <v>13928</v>
      </c>
      <c r="B3929">
        <v>72</v>
      </c>
      <c r="C3929" s="2">
        <v>44665</v>
      </c>
      <c r="D3929" s="2" t="str">
        <f>TEXT(Table3[[#This Row],[usage_date]],"mmmm")</f>
        <v>April</v>
      </c>
      <c r="E3929" s="9">
        <f>YEAR(Table3[[#This Row],[usage_date]])</f>
        <v>2022</v>
      </c>
      <c r="F3929" s="14">
        <v>0.81</v>
      </c>
      <c r="G3929">
        <v>88</v>
      </c>
      <c r="H3929" t="s">
        <v>12</v>
      </c>
      <c r="I3929" t="str">
        <f t="shared" si="61"/>
        <v>Normal Usage</v>
      </c>
    </row>
    <row r="3930" spans="1:9" x14ac:dyDescent="0.3">
      <c r="A3930">
        <v>13929</v>
      </c>
      <c r="B3930">
        <v>318</v>
      </c>
      <c r="C3930" s="2">
        <v>45243</v>
      </c>
      <c r="D3930" s="2" t="str">
        <f>TEXT(Table3[[#This Row],[usage_date]],"mmmm")</f>
        <v>November</v>
      </c>
      <c r="E3930" s="9">
        <f>YEAR(Table3[[#This Row],[usage_date]])</f>
        <v>2023</v>
      </c>
      <c r="F3930" s="14">
        <v>0.48</v>
      </c>
      <c r="G3930">
        <v>188</v>
      </c>
      <c r="H3930" t="s">
        <v>13</v>
      </c>
      <c r="I3930" t="str">
        <f t="shared" si="61"/>
        <v>Normal Usage</v>
      </c>
    </row>
    <row r="3931" spans="1:9" x14ac:dyDescent="0.3">
      <c r="A3931">
        <v>13930</v>
      </c>
      <c r="B3931">
        <v>185</v>
      </c>
      <c r="C3931" s="2">
        <v>44747</v>
      </c>
      <c r="D3931" s="2" t="str">
        <f>TEXT(Table3[[#This Row],[usage_date]],"mmmm")</f>
        <v>July</v>
      </c>
      <c r="E3931" s="9">
        <f>YEAR(Table3[[#This Row],[usage_date]])</f>
        <v>2022</v>
      </c>
      <c r="F3931" s="14">
        <v>3.73</v>
      </c>
      <c r="G3931">
        <v>189</v>
      </c>
      <c r="H3931" t="s">
        <v>13</v>
      </c>
      <c r="I3931" t="str">
        <f t="shared" si="61"/>
        <v>Normal Usage</v>
      </c>
    </row>
    <row r="3932" spans="1:9" x14ac:dyDescent="0.3">
      <c r="A3932">
        <v>13931</v>
      </c>
      <c r="B3932">
        <v>6</v>
      </c>
      <c r="C3932" s="2">
        <v>44689</v>
      </c>
      <c r="D3932" s="2" t="str">
        <f>TEXT(Table3[[#This Row],[usage_date]],"mmmm")</f>
        <v>May</v>
      </c>
      <c r="E3932" s="9">
        <f>YEAR(Table3[[#This Row],[usage_date]])</f>
        <v>2022</v>
      </c>
      <c r="F3932" s="14">
        <v>7.33</v>
      </c>
      <c r="G3932">
        <v>88</v>
      </c>
      <c r="H3932" t="s">
        <v>12</v>
      </c>
      <c r="I3932" t="str">
        <f t="shared" si="61"/>
        <v>High Usage</v>
      </c>
    </row>
    <row r="3933" spans="1:9" x14ac:dyDescent="0.3">
      <c r="A3933">
        <v>13932</v>
      </c>
      <c r="B3933">
        <v>206</v>
      </c>
      <c r="C3933" s="2">
        <v>44771</v>
      </c>
      <c r="D3933" s="2" t="str">
        <f>TEXT(Table3[[#This Row],[usage_date]],"mmmm")</f>
        <v>July</v>
      </c>
      <c r="E3933" s="9">
        <f>YEAR(Table3[[#This Row],[usage_date]])</f>
        <v>2022</v>
      </c>
      <c r="F3933" s="14">
        <v>0.26</v>
      </c>
      <c r="G3933">
        <v>25</v>
      </c>
      <c r="H3933" t="s">
        <v>12</v>
      </c>
      <c r="I3933" t="str">
        <f t="shared" si="61"/>
        <v>Normal Usage</v>
      </c>
    </row>
    <row r="3934" spans="1:9" x14ac:dyDescent="0.3">
      <c r="A3934">
        <v>13933</v>
      </c>
      <c r="B3934">
        <v>32</v>
      </c>
      <c r="C3934" s="2">
        <v>44975</v>
      </c>
      <c r="D3934" s="2" t="str">
        <f>TEXT(Table3[[#This Row],[usage_date]],"mmmm")</f>
        <v>February</v>
      </c>
      <c r="E3934" s="9">
        <f>YEAR(Table3[[#This Row],[usage_date]])</f>
        <v>2023</v>
      </c>
      <c r="F3934" s="14">
        <v>0.42</v>
      </c>
      <c r="G3934">
        <v>175</v>
      </c>
      <c r="H3934" t="s">
        <v>12</v>
      </c>
      <c r="I3934" t="str">
        <f t="shared" si="61"/>
        <v>Normal Usage</v>
      </c>
    </row>
    <row r="3935" spans="1:9" x14ac:dyDescent="0.3">
      <c r="A3935">
        <v>13934</v>
      </c>
      <c r="B3935">
        <v>99</v>
      </c>
      <c r="C3935" s="2">
        <v>44842</v>
      </c>
      <c r="D3935" s="2" t="str">
        <f>TEXT(Table3[[#This Row],[usage_date]],"mmmm")</f>
        <v>October</v>
      </c>
      <c r="E3935" s="9">
        <f>YEAR(Table3[[#This Row],[usage_date]])</f>
        <v>2022</v>
      </c>
      <c r="F3935" s="14">
        <v>8.0500000000000007</v>
      </c>
      <c r="G3935">
        <v>263</v>
      </c>
      <c r="H3935" t="s">
        <v>13</v>
      </c>
      <c r="I3935" t="str">
        <f t="shared" si="61"/>
        <v>High Usage</v>
      </c>
    </row>
    <row r="3936" spans="1:9" x14ac:dyDescent="0.3">
      <c r="A3936">
        <v>13935</v>
      </c>
      <c r="B3936">
        <v>394</v>
      </c>
      <c r="C3936" s="2">
        <v>44814</v>
      </c>
      <c r="D3936" s="2" t="str">
        <f>TEXT(Table3[[#This Row],[usage_date]],"mmmm")</f>
        <v>September</v>
      </c>
      <c r="E3936" s="9">
        <f>YEAR(Table3[[#This Row],[usage_date]])</f>
        <v>2022</v>
      </c>
      <c r="F3936" s="14">
        <v>0.1</v>
      </c>
      <c r="G3936">
        <v>41</v>
      </c>
      <c r="H3936" t="s">
        <v>12</v>
      </c>
      <c r="I3936" t="str">
        <f t="shared" si="61"/>
        <v>Normal Usage</v>
      </c>
    </row>
    <row r="3937" spans="1:9" x14ac:dyDescent="0.3">
      <c r="A3937">
        <v>13936</v>
      </c>
      <c r="B3937">
        <v>387</v>
      </c>
      <c r="C3937" s="2">
        <v>44580</v>
      </c>
      <c r="D3937" s="2" t="str">
        <f>TEXT(Table3[[#This Row],[usage_date]],"mmmm")</f>
        <v>January</v>
      </c>
      <c r="E3937" s="9">
        <f>YEAR(Table3[[#This Row],[usage_date]])</f>
        <v>2022</v>
      </c>
      <c r="F3937" s="14">
        <v>9.5</v>
      </c>
      <c r="G3937">
        <v>118</v>
      </c>
      <c r="H3937" t="s">
        <v>12</v>
      </c>
      <c r="I3937" t="str">
        <f t="shared" si="61"/>
        <v>High Usage</v>
      </c>
    </row>
    <row r="3938" spans="1:9" x14ac:dyDescent="0.3">
      <c r="A3938">
        <v>13937</v>
      </c>
      <c r="B3938">
        <v>256</v>
      </c>
      <c r="C3938" s="2">
        <v>45273</v>
      </c>
      <c r="D3938" s="2" t="str">
        <f>TEXT(Table3[[#This Row],[usage_date]],"mmmm")</f>
        <v>December</v>
      </c>
      <c r="E3938" s="9">
        <f>YEAR(Table3[[#This Row],[usage_date]])</f>
        <v>2023</v>
      </c>
      <c r="F3938" s="14">
        <v>0.01</v>
      </c>
      <c r="G3938">
        <v>168</v>
      </c>
      <c r="H3938" t="s">
        <v>13</v>
      </c>
      <c r="I3938" t="str">
        <f t="shared" si="61"/>
        <v>Normal Usage</v>
      </c>
    </row>
    <row r="3939" spans="1:9" x14ac:dyDescent="0.3">
      <c r="A3939">
        <v>13938</v>
      </c>
      <c r="B3939">
        <v>187</v>
      </c>
      <c r="C3939" s="2">
        <v>45293</v>
      </c>
      <c r="D3939" s="2" t="str">
        <f>TEXT(Table3[[#This Row],[usage_date]],"mmmm")</f>
        <v>January</v>
      </c>
      <c r="E3939" s="9">
        <f>YEAR(Table3[[#This Row],[usage_date]])</f>
        <v>2024</v>
      </c>
      <c r="F3939" s="14">
        <v>5.17</v>
      </c>
      <c r="G3939">
        <v>107</v>
      </c>
      <c r="H3939" t="s">
        <v>12</v>
      </c>
      <c r="I3939" t="str">
        <f t="shared" si="61"/>
        <v>Normal Usage</v>
      </c>
    </row>
    <row r="3940" spans="1:9" x14ac:dyDescent="0.3">
      <c r="A3940">
        <v>13939</v>
      </c>
      <c r="B3940">
        <v>76</v>
      </c>
      <c r="C3940" s="2">
        <v>44697</v>
      </c>
      <c r="D3940" s="2" t="str">
        <f>TEXT(Table3[[#This Row],[usage_date]],"mmmm")</f>
        <v>May</v>
      </c>
      <c r="E3940" s="9">
        <f>YEAR(Table3[[#This Row],[usage_date]])</f>
        <v>2022</v>
      </c>
      <c r="F3940" s="14">
        <v>0.92</v>
      </c>
      <c r="G3940">
        <v>146</v>
      </c>
      <c r="H3940" t="s">
        <v>13</v>
      </c>
      <c r="I3940" t="str">
        <f t="shared" si="61"/>
        <v>Normal Usage</v>
      </c>
    </row>
    <row r="3941" spans="1:9" x14ac:dyDescent="0.3">
      <c r="A3941">
        <v>13940</v>
      </c>
      <c r="B3941">
        <v>177</v>
      </c>
      <c r="C3941" s="2">
        <v>44784</v>
      </c>
      <c r="D3941" s="2" t="str">
        <f>TEXT(Table3[[#This Row],[usage_date]],"mmmm")</f>
        <v>August</v>
      </c>
      <c r="E3941" s="9">
        <f>YEAR(Table3[[#This Row],[usage_date]])</f>
        <v>2022</v>
      </c>
      <c r="F3941" s="14">
        <v>6.98</v>
      </c>
      <c r="G3941">
        <v>175</v>
      </c>
      <c r="H3941" t="s">
        <v>12</v>
      </c>
      <c r="I3941" t="str">
        <f t="shared" si="61"/>
        <v>High Usage</v>
      </c>
    </row>
    <row r="3942" spans="1:9" x14ac:dyDescent="0.3">
      <c r="A3942">
        <v>13941</v>
      </c>
      <c r="B3942">
        <v>315</v>
      </c>
      <c r="C3942" s="2">
        <v>44564</v>
      </c>
      <c r="D3942" s="2" t="str">
        <f>TEXT(Table3[[#This Row],[usage_date]],"mmmm")</f>
        <v>January</v>
      </c>
      <c r="E3942" s="9">
        <f>YEAR(Table3[[#This Row],[usage_date]])</f>
        <v>2022</v>
      </c>
      <c r="F3942" s="14">
        <v>0.95</v>
      </c>
      <c r="G3942">
        <v>188</v>
      </c>
      <c r="H3942" t="s">
        <v>12</v>
      </c>
      <c r="I3942" t="str">
        <f t="shared" si="61"/>
        <v>Normal Usage</v>
      </c>
    </row>
    <row r="3943" spans="1:9" x14ac:dyDescent="0.3">
      <c r="A3943">
        <v>13942</v>
      </c>
      <c r="B3943">
        <v>287</v>
      </c>
      <c r="C3943" s="2">
        <v>44797</v>
      </c>
      <c r="D3943" s="2" t="str">
        <f>TEXT(Table3[[#This Row],[usage_date]],"mmmm")</f>
        <v>August</v>
      </c>
      <c r="E3943" s="9">
        <f>YEAR(Table3[[#This Row],[usage_date]])</f>
        <v>2022</v>
      </c>
      <c r="F3943" s="14">
        <v>2.66</v>
      </c>
      <c r="G3943">
        <v>159</v>
      </c>
      <c r="H3943" t="s">
        <v>12</v>
      </c>
      <c r="I3943" t="str">
        <f t="shared" si="61"/>
        <v>Normal Usage</v>
      </c>
    </row>
    <row r="3944" spans="1:9" x14ac:dyDescent="0.3">
      <c r="A3944">
        <v>13943</v>
      </c>
      <c r="B3944">
        <v>349</v>
      </c>
      <c r="C3944" s="2">
        <v>45415</v>
      </c>
      <c r="D3944" s="2" t="str">
        <f>TEXT(Table3[[#This Row],[usage_date]],"mmmm")</f>
        <v>May</v>
      </c>
      <c r="E3944" s="9">
        <f>YEAR(Table3[[#This Row],[usage_date]])</f>
        <v>2024</v>
      </c>
      <c r="F3944" s="14">
        <v>0.21</v>
      </c>
      <c r="G3944">
        <v>73</v>
      </c>
      <c r="H3944" t="s">
        <v>13</v>
      </c>
      <c r="I3944" t="str">
        <f t="shared" si="61"/>
        <v>Normal Usage</v>
      </c>
    </row>
    <row r="3945" spans="1:9" x14ac:dyDescent="0.3">
      <c r="A3945">
        <v>13944</v>
      </c>
      <c r="B3945">
        <v>255</v>
      </c>
      <c r="C3945" s="2">
        <v>45026</v>
      </c>
      <c r="D3945" s="2" t="str">
        <f>TEXT(Table3[[#This Row],[usage_date]],"mmmm")</f>
        <v>April</v>
      </c>
      <c r="E3945" s="9">
        <f>YEAR(Table3[[#This Row],[usage_date]])</f>
        <v>2023</v>
      </c>
      <c r="F3945" s="14">
        <v>0.69</v>
      </c>
      <c r="G3945">
        <v>17</v>
      </c>
      <c r="H3945" t="s">
        <v>13</v>
      </c>
      <c r="I3945" t="str">
        <f t="shared" si="61"/>
        <v>Normal Usage</v>
      </c>
    </row>
    <row r="3946" spans="1:9" x14ac:dyDescent="0.3">
      <c r="A3946">
        <v>13945</v>
      </c>
      <c r="B3946">
        <v>325</v>
      </c>
      <c r="C3946" s="2">
        <v>44789</v>
      </c>
      <c r="D3946" s="2" t="str">
        <f>TEXT(Table3[[#This Row],[usage_date]],"mmmm")</f>
        <v>August</v>
      </c>
      <c r="E3946" s="9">
        <f>YEAR(Table3[[#This Row],[usage_date]])</f>
        <v>2022</v>
      </c>
      <c r="F3946" s="14">
        <v>3.71</v>
      </c>
      <c r="G3946">
        <v>139</v>
      </c>
      <c r="H3946" t="s">
        <v>12</v>
      </c>
      <c r="I3946" t="str">
        <f t="shared" si="61"/>
        <v>Normal Usage</v>
      </c>
    </row>
    <row r="3947" spans="1:9" x14ac:dyDescent="0.3">
      <c r="A3947">
        <v>13946</v>
      </c>
      <c r="B3947">
        <v>190</v>
      </c>
      <c r="C3947" s="2">
        <v>45215</v>
      </c>
      <c r="D3947" s="2" t="str">
        <f>TEXT(Table3[[#This Row],[usage_date]],"mmmm")</f>
        <v>October</v>
      </c>
      <c r="E3947" s="9">
        <f>YEAR(Table3[[#This Row],[usage_date]])</f>
        <v>2023</v>
      </c>
      <c r="F3947" s="14">
        <v>1.88</v>
      </c>
      <c r="G3947">
        <v>114</v>
      </c>
      <c r="H3947" t="s">
        <v>12</v>
      </c>
      <c r="I3947" t="str">
        <f t="shared" si="61"/>
        <v>Normal Usage</v>
      </c>
    </row>
    <row r="3948" spans="1:9" x14ac:dyDescent="0.3">
      <c r="A3948">
        <v>13947</v>
      </c>
      <c r="B3948">
        <v>308</v>
      </c>
      <c r="C3948" s="2">
        <v>45060</v>
      </c>
      <c r="D3948" s="2" t="str">
        <f>TEXT(Table3[[#This Row],[usage_date]],"mmmm")</f>
        <v>May</v>
      </c>
      <c r="E3948" s="9">
        <f>YEAR(Table3[[#This Row],[usage_date]])</f>
        <v>2023</v>
      </c>
      <c r="F3948" s="14">
        <v>6.58</v>
      </c>
      <c r="G3948">
        <v>224</v>
      </c>
      <c r="H3948" t="s">
        <v>12</v>
      </c>
      <c r="I3948" t="str">
        <f t="shared" si="61"/>
        <v>High Usage</v>
      </c>
    </row>
    <row r="3949" spans="1:9" x14ac:dyDescent="0.3">
      <c r="A3949">
        <v>13948</v>
      </c>
      <c r="B3949">
        <v>345</v>
      </c>
      <c r="C3949" s="2">
        <v>45082</v>
      </c>
      <c r="D3949" s="2" t="str">
        <f>TEXT(Table3[[#This Row],[usage_date]],"mmmm")</f>
        <v>June</v>
      </c>
      <c r="E3949" s="9">
        <f>YEAR(Table3[[#This Row],[usage_date]])</f>
        <v>2023</v>
      </c>
      <c r="F3949" s="14">
        <v>1.4</v>
      </c>
      <c r="G3949">
        <v>45</v>
      </c>
      <c r="H3949" t="s">
        <v>13</v>
      </c>
      <c r="I3949" t="str">
        <f t="shared" si="61"/>
        <v>Normal Usage</v>
      </c>
    </row>
    <row r="3950" spans="1:9" x14ac:dyDescent="0.3">
      <c r="A3950">
        <v>13949</v>
      </c>
      <c r="B3950">
        <v>127</v>
      </c>
      <c r="C3950" s="2">
        <v>45263</v>
      </c>
      <c r="D3950" s="2" t="str">
        <f>TEXT(Table3[[#This Row],[usage_date]],"mmmm")</f>
        <v>December</v>
      </c>
      <c r="E3950" s="9">
        <f>YEAR(Table3[[#This Row],[usage_date]])</f>
        <v>2023</v>
      </c>
      <c r="F3950" s="14">
        <v>5.0999999999999996</v>
      </c>
      <c r="G3950">
        <v>37</v>
      </c>
      <c r="H3950" t="s">
        <v>12</v>
      </c>
      <c r="I3950" t="str">
        <f t="shared" si="61"/>
        <v>Normal Usage</v>
      </c>
    </row>
    <row r="3951" spans="1:9" x14ac:dyDescent="0.3">
      <c r="A3951">
        <v>13950</v>
      </c>
      <c r="B3951">
        <v>425</v>
      </c>
      <c r="C3951" s="2">
        <v>45423</v>
      </c>
      <c r="D3951" s="2" t="str">
        <f>TEXT(Table3[[#This Row],[usage_date]],"mmmm")</f>
        <v>May</v>
      </c>
      <c r="E3951" s="9">
        <f>YEAR(Table3[[#This Row],[usage_date]])</f>
        <v>2024</v>
      </c>
      <c r="F3951" s="14">
        <v>1.49</v>
      </c>
      <c r="G3951">
        <v>205</v>
      </c>
      <c r="H3951" t="s">
        <v>13</v>
      </c>
      <c r="I3951" t="str">
        <f t="shared" si="61"/>
        <v>Normal Usage</v>
      </c>
    </row>
    <row r="3952" spans="1:9" x14ac:dyDescent="0.3">
      <c r="A3952">
        <v>13951</v>
      </c>
      <c r="B3952">
        <v>287</v>
      </c>
      <c r="C3952" s="2">
        <v>45238</v>
      </c>
      <c r="D3952" s="2" t="str">
        <f>TEXT(Table3[[#This Row],[usage_date]],"mmmm")</f>
        <v>November</v>
      </c>
      <c r="E3952" s="9">
        <f>YEAR(Table3[[#This Row],[usage_date]])</f>
        <v>2023</v>
      </c>
      <c r="F3952" s="14">
        <v>9.69</v>
      </c>
      <c r="G3952">
        <v>8</v>
      </c>
      <c r="H3952" t="s">
        <v>12</v>
      </c>
      <c r="I3952" t="str">
        <f t="shared" si="61"/>
        <v>High Usage</v>
      </c>
    </row>
    <row r="3953" spans="1:9" x14ac:dyDescent="0.3">
      <c r="A3953">
        <v>13952</v>
      </c>
      <c r="B3953">
        <v>254</v>
      </c>
      <c r="C3953" s="2">
        <v>44700</v>
      </c>
      <c r="D3953" s="2" t="str">
        <f>TEXT(Table3[[#This Row],[usage_date]],"mmmm")</f>
        <v>May</v>
      </c>
      <c r="E3953" s="9">
        <f>YEAR(Table3[[#This Row],[usage_date]])</f>
        <v>2022</v>
      </c>
      <c r="F3953" s="14">
        <v>8.0399999999999991</v>
      </c>
      <c r="G3953">
        <v>252</v>
      </c>
      <c r="H3953" t="s">
        <v>12</v>
      </c>
      <c r="I3953" t="str">
        <f t="shared" si="61"/>
        <v>High Usage</v>
      </c>
    </row>
    <row r="3954" spans="1:9" x14ac:dyDescent="0.3">
      <c r="A3954">
        <v>13953</v>
      </c>
      <c r="B3954">
        <v>213</v>
      </c>
      <c r="C3954" s="2">
        <v>44837</v>
      </c>
      <c r="D3954" s="2" t="str">
        <f>TEXT(Table3[[#This Row],[usage_date]],"mmmm")</f>
        <v>October</v>
      </c>
      <c r="E3954" s="9">
        <f>YEAR(Table3[[#This Row],[usage_date]])</f>
        <v>2022</v>
      </c>
      <c r="F3954" s="14">
        <v>1</v>
      </c>
      <c r="G3954">
        <v>107</v>
      </c>
      <c r="H3954" t="s">
        <v>12</v>
      </c>
      <c r="I3954" t="str">
        <f t="shared" si="61"/>
        <v>Normal Usage</v>
      </c>
    </row>
    <row r="3955" spans="1:9" x14ac:dyDescent="0.3">
      <c r="A3955">
        <v>13954</v>
      </c>
      <c r="B3955">
        <v>250</v>
      </c>
      <c r="C3955" s="2">
        <v>44852</v>
      </c>
      <c r="D3955" s="2" t="str">
        <f>TEXT(Table3[[#This Row],[usage_date]],"mmmm")</f>
        <v>October</v>
      </c>
      <c r="E3955" s="9">
        <f>YEAR(Table3[[#This Row],[usage_date]])</f>
        <v>2022</v>
      </c>
      <c r="F3955" s="14">
        <v>5.43</v>
      </c>
      <c r="G3955">
        <v>97</v>
      </c>
      <c r="H3955" t="s">
        <v>13</v>
      </c>
      <c r="I3955" t="str">
        <f t="shared" si="61"/>
        <v>Normal Usage</v>
      </c>
    </row>
    <row r="3956" spans="1:9" x14ac:dyDescent="0.3">
      <c r="A3956">
        <v>13955</v>
      </c>
      <c r="B3956">
        <v>84</v>
      </c>
      <c r="C3956" s="2">
        <v>44614</v>
      </c>
      <c r="D3956" s="2" t="str">
        <f>TEXT(Table3[[#This Row],[usage_date]],"mmmm")</f>
        <v>February</v>
      </c>
      <c r="E3956" s="9">
        <f>YEAR(Table3[[#This Row],[usage_date]])</f>
        <v>2022</v>
      </c>
      <c r="F3956" s="14">
        <v>4.7</v>
      </c>
      <c r="G3956">
        <v>274</v>
      </c>
      <c r="H3956" t="s">
        <v>13</v>
      </c>
      <c r="I3956" t="str">
        <f t="shared" si="61"/>
        <v>Normal Usage</v>
      </c>
    </row>
    <row r="3957" spans="1:9" x14ac:dyDescent="0.3">
      <c r="A3957">
        <v>13956</v>
      </c>
      <c r="B3957">
        <v>487</v>
      </c>
      <c r="C3957" s="2">
        <v>45248</v>
      </c>
      <c r="D3957" s="2" t="str">
        <f>TEXT(Table3[[#This Row],[usage_date]],"mmmm")</f>
        <v>November</v>
      </c>
      <c r="E3957" s="9">
        <f>YEAR(Table3[[#This Row],[usage_date]])</f>
        <v>2023</v>
      </c>
      <c r="F3957" s="14">
        <v>0.59</v>
      </c>
      <c r="G3957">
        <v>70</v>
      </c>
      <c r="H3957" t="s">
        <v>12</v>
      </c>
      <c r="I3957" t="str">
        <f t="shared" si="61"/>
        <v>Normal Usage</v>
      </c>
    </row>
    <row r="3958" spans="1:9" x14ac:dyDescent="0.3">
      <c r="A3958">
        <v>13957</v>
      </c>
      <c r="B3958">
        <v>383</v>
      </c>
      <c r="C3958" s="2">
        <v>44671</v>
      </c>
      <c r="D3958" s="2" t="str">
        <f>TEXT(Table3[[#This Row],[usage_date]],"mmmm")</f>
        <v>April</v>
      </c>
      <c r="E3958" s="9">
        <f>YEAR(Table3[[#This Row],[usage_date]])</f>
        <v>2022</v>
      </c>
      <c r="F3958" s="14">
        <v>2.4500000000000002</v>
      </c>
      <c r="G3958">
        <v>38</v>
      </c>
      <c r="H3958" t="s">
        <v>12</v>
      </c>
      <c r="I3958" t="str">
        <f t="shared" si="61"/>
        <v>Normal Usage</v>
      </c>
    </row>
    <row r="3959" spans="1:9" x14ac:dyDescent="0.3">
      <c r="A3959">
        <v>13958</v>
      </c>
      <c r="B3959">
        <v>406</v>
      </c>
      <c r="C3959" s="2">
        <v>45276</v>
      </c>
      <c r="D3959" s="2" t="str">
        <f>TEXT(Table3[[#This Row],[usage_date]],"mmmm")</f>
        <v>December</v>
      </c>
      <c r="E3959" s="9">
        <f>YEAR(Table3[[#This Row],[usage_date]])</f>
        <v>2023</v>
      </c>
      <c r="F3959" s="14">
        <v>0.19</v>
      </c>
      <c r="G3959">
        <v>297</v>
      </c>
      <c r="H3959" t="s">
        <v>12</v>
      </c>
      <c r="I3959" t="str">
        <f t="shared" si="61"/>
        <v>Normal Usage</v>
      </c>
    </row>
    <row r="3960" spans="1:9" x14ac:dyDescent="0.3">
      <c r="A3960">
        <v>13959</v>
      </c>
      <c r="B3960">
        <v>388</v>
      </c>
      <c r="C3960" s="2">
        <v>45209</v>
      </c>
      <c r="D3960" s="2" t="str">
        <f>TEXT(Table3[[#This Row],[usage_date]],"mmmm")</f>
        <v>October</v>
      </c>
      <c r="E3960" s="9">
        <f>YEAR(Table3[[#This Row],[usage_date]])</f>
        <v>2023</v>
      </c>
      <c r="F3960" s="14">
        <v>4.53</v>
      </c>
      <c r="G3960">
        <v>89</v>
      </c>
      <c r="H3960" t="s">
        <v>12</v>
      </c>
      <c r="I3960" t="str">
        <f t="shared" si="61"/>
        <v>Normal Usage</v>
      </c>
    </row>
    <row r="3961" spans="1:9" x14ac:dyDescent="0.3">
      <c r="A3961">
        <v>13960</v>
      </c>
      <c r="B3961">
        <v>13</v>
      </c>
      <c r="C3961" s="2">
        <v>44565</v>
      </c>
      <c r="D3961" s="2" t="str">
        <f>TEXT(Table3[[#This Row],[usage_date]],"mmmm")</f>
        <v>January</v>
      </c>
      <c r="E3961" s="9">
        <f>YEAR(Table3[[#This Row],[usage_date]])</f>
        <v>2022</v>
      </c>
      <c r="F3961" s="14">
        <v>0.48</v>
      </c>
      <c r="G3961">
        <v>218</v>
      </c>
      <c r="H3961" t="s">
        <v>13</v>
      </c>
      <c r="I3961" t="str">
        <f t="shared" si="61"/>
        <v>Normal Usage</v>
      </c>
    </row>
    <row r="3962" spans="1:9" x14ac:dyDescent="0.3">
      <c r="A3962">
        <v>13961</v>
      </c>
      <c r="B3962">
        <v>45</v>
      </c>
      <c r="C3962" s="2">
        <v>45228</v>
      </c>
      <c r="D3962" s="2" t="str">
        <f>TEXT(Table3[[#This Row],[usage_date]],"mmmm")</f>
        <v>October</v>
      </c>
      <c r="E3962" s="9">
        <f>YEAR(Table3[[#This Row],[usage_date]])</f>
        <v>2023</v>
      </c>
      <c r="F3962" s="14">
        <v>0.18</v>
      </c>
      <c r="G3962">
        <v>106</v>
      </c>
      <c r="H3962" t="s">
        <v>12</v>
      </c>
      <c r="I3962" t="str">
        <f t="shared" si="61"/>
        <v>Normal Usage</v>
      </c>
    </row>
    <row r="3963" spans="1:9" x14ac:dyDescent="0.3">
      <c r="A3963">
        <v>13962</v>
      </c>
      <c r="B3963">
        <v>127</v>
      </c>
      <c r="C3963" s="2">
        <v>45245</v>
      </c>
      <c r="D3963" s="2" t="str">
        <f>TEXT(Table3[[#This Row],[usage_date]],"mmmm")</f>
        <v>November</v>
      </c>
      <c r="E3963" s="9">
        <f>YEAR(Table3[[#This Row],[usage_date]])</f>
        <v>2023</v>
      </c>
      <c r="F3963" s="14">
        <v>1.28</v>
      </c>
      <c r="G3963">
        <v>95</v>
      </c>
      <c r="H3963" t="s">
        <v>13</v>
      </c>
      <c r="I3963" t="str">
        <f t="shared" si="61"/>
        <v>Normal Usage</v>
      </c>
    </row>
    <row r="3964" spans="1:9" x14ac:dyDescent="0.3">
      <c r="A3964">
        <v>13963</v>
      </c>
      <c r="B3964">
        <v>426</v>
      </c>
      <c r="C3964" s="2">
        <v>45431</v>
      </c>
      <c r="D3964" s="2" t="str">
        <f>TEXT(Table3[[#This Row],[usage_date]],"mmmm")</f>
        <v>May</v>
      </c>
      <c r="E3964" s="9">
        <f>YEAR(Table3[[#This Row],[usage_date]])</f>
        <v>2024</v>
      </c>
      <c r="F3964" s="14">
        <v>2.15</v>
      </c>
      <c r="G3964">
        <v>31</v>
      </c>
      <c r="H3964" t="s">
        <v>13</v>
      </c>
      <c r="I3964" t="str">
        <f t="shared" si="61"/>
        <v>Normal Usage</v>
      </c>
    </row>
    <row r="3965" spans="1:9" x14ac:dyDescent="0.3">
      <c r="A3965">
        <v>13964</v>
      </c>
      <c r="B3965">
        <v>114</v>
      </c>
      <c r="C3965" s="2">
        <v>44608</v>
      </c>
      <c r="D3965" s="2" t="str">
        <f>TEXT(Table3[[#This Row],[usage_date]],"mmmm")</f>
        <v>February</v>
      </c>
      <c r="E3965" s="9">
        <f>YEAR(Table3[[#This Row],[usage_date]])</f>
        <v>2022</v>
      </c>
      <c r="F3965" s="14">
        <v>4.83</v>
      </c>
      <c r="G3965">
        <v>125</v>
      </c>
      <c r="H3965" t="s">
        <v>13</v>
      </c>
      <c r="I3965" t="str">
        <f t="shared" si="61"/>
        <v>Normal Usage</v>
      </c>
    </row>
    <row r="3966" spans="1:9" x14ac:dyDescent="0.3">
      <c r="A3966">
        <v>13965</v>
      </c>
      <c r="B3966">
        <v>433</v>
      </c>
      <c r="C3966" s="2">
        <v>44655</v>
      </c>
      <c r="D3966" s="2" t="str">
        <f>TEXT(Table3[[#This Row],[usage_date]],"mmmm")</f>
        <v>April</v>
      </c>
      <c r="E3966" s="9">
        <f>YEAR(Table3[[#This Row],[usage_date]])</f>
        <v>2022</v>
      </c>
      <c r="F3966" s="14">
        <v>9.15</v>
      </c>
      <c r="G3966">
        <v>146</v>
      </c>
      <c r="H3966" t="s">
        <v>13</v>
      </c>
      <c r="I3966" t="str">
        <f t="shared" si="61"/>
        <v>High Usage</v>
      </c>
    </row>
    <row r="3967" spans="1:9" x14ac:dyDescent="0.3">
      <c r="A3967">
        <v>13966</v>
      </c>
      <c r="B3967">
        <v>276</v>
      </c>
      <c r="C3967" s="2">
        <v>45121</v>
      </c>
      <c r="D3967" s="2" t="str">
        <f>TEXT(Table3[[#This Row],[usage_date]],"mmmm")</f>
        <v>July</v>
      </c>
      <c r="E3967" s="9">
        <f>YEAR(Table3[[#This Row],[usage_date]])</f>
        <v>2023</v>
      </c>
      <c r="F3967" s="14">
        <v>1.45</v>
      </c>
      <c r="G3967">
        <v>279</v>
      </c>
      <c r="H3967" t="s">
        <v>12</v>
      </c>
      <c r="I3967" t="str">
        <f t="shared" si="61"/>
        <v>Normal Usage</v>
      </c>
    </row>
    <row r="3968" spans="1:9" x14ac:dyDescent="0.3">
      <c r="A3968">
        <v>13967</v>
      </c>
      <c r="B3968">
        <v>500</v>
      </c>
      <c r="C3968" s="2">
        <v>45313</v>
      </c>
      <c r="D3968" s="2" t="str">
        <f>TEXT(Table3[[#This Row],[usage_date]],"mmmm")</f>
        <v>January</v>
      </c>
      <c r="E3968" s="9">
        <f>YEAR(Table3[[#This Row],[usage_date]])</f>
        <v>2024</v>
      </c>
      <c r="F3968" s="14">
        <v>0.16</v>
      </c>
      <c r="G3968">
        <v>23</v>
      </c>
      <c r="H3968" t="s">
        <v>13</v>
      </c>
      <c r="I3968" t="str">
        <f t="shared" si="61"/>
        <v>Normal Usage</v>
      </c>
    </row>
    <row r="3969" spans="1:9" x14ac:dyDescent="0.3">
      <c r="A3969">
        <v>13968</v>
      </c>
      <c r="B3969">
        <v>205</v>
      </c>
      <c r="C3969" s="2">
        <v>45420</v>
      </c>
      <c r="D3969" s="2" t="str">
        <f>TEXT(Table3[[#This Row],[usage_date]],"mmmm")</f>
        <v>May</v>
      </c>
      <c r="E3969" s="9">
        <f>YEAR(Table3[[#This Row],[usage_date]])</f>
        <v>2024</v>
      </c>
      <c r="F3969" s="14">
        <v>3.46</v>
      </c>
      <c r="G3969">
        <v>208</v>
      </c>
      <c r="H3969" t="s">
        <v>12</v>
      </c>
      <c r="I3969" t="str">
        <f t="shared" si="61"/>
        <v>Normal Usage</v>
      </c>
    </row>
    <row r="3970" spans="1:9" x14ac:dyDescent="0.3">
      <c r="A3970">
        <v>13969</v>
      </c>
      <c r="B3970">
        <v>337</v>
      </c>
      <c r="C3970" s="2">
        <v>44774</v>
      </c>
      <c r="D3970" s="2" t="str">
        <f>TEXT(Table3[[#This Row],[usage_date]],"mmmm")</f>
        <v>August</v>
      </c>
      <c r="E3970" s="9">
        <f>YEAR(Table3[[#This Row],[usage_date]])</f>
        <v>2022</v>
      </c>
      <c r="F3970" s="14">
        <v>2.08</v>
      </c>
      <c r="G3970">
        <v>119</v>
      </c>
      <c r="H3970" t="s">
        <v>12</v>
      </c>
      <c r="I3970" t="str">
        <f t="shared" ref="I3970:I4033" si="62">IF(F3970&gt;6,"High Usage","Normal Usage")</f>
        <v>Normal Usage</v>
      </c>
    </row>
    <row r="3971" spans="1:9" x14ac:dyDescent="0.3">
      <c r="A3971">
        <v>13970</v>
      </c>
      <c r="B3971">
        <v>438</v>
      </c>
      <c r="C3971" s="2">
        <v>44997</v>
      </c>
      <c r="D3971" s="2" t="str">
        <f>TEXT(Table3[[#This Row],[usage_date]],"mmmm")</f>
        <v>March</v>
      </c>
      <c r="E3971" s="9">
        <f>YEAR(Table3[[#This Row],[usage_date]])</f>
        <v>2023</v>
      </c>
      <c r="F3971" s="14">
        <v>1.49</v>
      </c>
      <c r="G3971">
        <v>273</v>
      </c>
      <c r="H3971" t="s">
        <v>13</v>
      </c>
      <c r="I3971" t="str">
        <f t="shared" si="62"/>
        <v>Normal Usage</v>
      </c>
    </row>
    <row r="3972" spans="1:9" x14ac:dyDescent="0.3">
      <c r="A3972">
        <v>13971</v>
      </c>
      <c r="B3972">
        <v>420</v>
      </c>
      <c r="C3972" s="2">
        <v>45413</v>
      </c>
      <c r="D3972" s="2" t="str">
        <f>TEXT(Table3[[#This Row],[usage_date]],"mmmm")</f>
        <v>May</v>
      </c>
      <c r="E3972" s="9">
        <f>YEAR(Table3[[#This Row],[usage_date]])</f>
        <v>2024</v>
      </c>
      <c r="F3972" s="14">
        <v>0.93</v>
      </c>
      <c r="G3972">
        <v>139</v>
      </c>
      <c r="H3972" t="s">
        <v>12</v>
      </c>
      <c r="I3972" t="str">
        <f t="shared" si="62"/>
        <v>Normal Usage</v>
      </c>
    </row>
    <row r="3973" spans="1:9" x14ac:dyDescent="0.3">
      <c r="A3973">
        <v>13972</v>
      </c>
      <c r="B3973">
        <v>481</v>
      </c>
      <c r="C3973" s="2">
        <v>45069</v>
      </c>
      <c r="D3973" s="2" t="str">
        <f>TEXT(Table3[[#This Row],[usage_date]],"mmmm")</f>
        <v>May</v>
      </c>
      <c r="E3973" s="9">
        <f>YEAR(Table3[[#This Row],[usage_date]])</f>
        <v>2023</v>
      </c>
      <c r="F3973" s="14">
        <v>1.74</v>
      </c>
      <c r="G3973">
        <v>296</v>
      </c>
      <c r="H3973" t="s">
        <v>13</v>
      </c>
      <c r="I3973" t="str">
        <f t="shared" si="62"/>
        <v>Normal Usage</v>
      </c>
    </row>
    <row r="3974" spans="1:9" x14ac:dyDescent="0.3">
      <c r="A3974">
        <v>13973</v>
      </c>
      <c r="B3974">
        <v>385</v>
      </c>
      <c r="C3974" s="2">
        <v>45397</v>
      </c>
      <c r="D3974" s="2" t="str">
        <f>TEXT(Table3[[#This Row],[usage_date]],"mmmm")</f>
        <v>April</v>
      </c>
      <c r="E3974" s="9">
        <f>YEAR(Table3[[#This Row],[usage_date]])</f>
        <v>2024</v>
      </c>
      <c r="F3974" s="14">
        <v>1.03</v>
      </c>
      <c r="G3974">
        <v>81</v>
      </c>
      <c r="H3974" t="s">
        <v>13</v>
      </c>
      <c r="I3974" t="str">
        <f t="shared" si="62"/>
        <v>Normal Usage</v>
      </c>
    </row>
    <row r="3975" spans="1:9" x14ac:dyDescent="0.3">
      <c r="A3975">
        <v>13974</v>
      </c>
      <c r="B3975">
        <v>399</v>
      </c>
      <c r="C3975" s="2">
        <v>45212</v>
      </c>
      <c r="D3975" s="2" t="str">
        <f>TEXT(Table3[[#This Row],[usage_date]],"mmmm")</f>
        <v>October</v>
      </c>
      <c r="E3975" s="9">
        <f>YEAR(Table3[[#This Row],[usage_date]])</f>
        <v>2023</v>
      </c>
      <c r="F3975" s="14">
        <v>3.54</v>
      </c>
      <c r="G3975">
        <v>207</v>
      </c>
      <c r="H3975" t="s">
        <v>13</v>
      </c>
      <c r="I3975" t="str">
        <f t="shared" si="62"/>
        <v>Normal Usage</v>
      </c>
    </row>
    <row r="3976" spans="1:9" x14ac:dyDescent="0.3">
      <c r="A3976">
        <v>13975</v>
      </c>
      <c r="B3976">
        <v>461</v>
      </c>
      <c r="C3976" s="2">
        <v>44766</v>
      </c>
      <c r="D3976" s="2" t="str">
        <f>TEXT(Table3[[#This Row],[usage_date]],"mmmm")</f>
        <v>July</v>
      </c>
      <c r="E3976" s="9">
        <f>YEAR(Table3[[#This Row],[usage_date]])</f>
        <v>2022</v>
      </c>
      <c r="F3976" s="14">
        <v>1.96</v>
      </c>
      <c r="G3976">
        <v>32</v>
      </c>
      <c r="H3976" t="s">
        <v>12</v>
      </c>
      <c r="I3976" t="str">
        <f t="shared" si="62"/>
        <v>Normal Usage</v>
      </c>
    </row>
    <row r="3977" spans="1:9" x14ac:dyDescent="0.3">
      <c r="A3977">
        <v>13976</v>
      </c>
      <c r="B3977">
        <v>273</v>
      </c>
      <c r="C3977" s="2">
        <v>44942</v>
      </c>
      <c r="D3977" s="2" t="str">
        <f>TEXT(Table3[[#This Row],[usage_date]],"mmmm")</f>
        <v>January</v>
      </c>
      <c r="E3977" s="9">
        <f>YEAR(Table3[[#This Row],[usage_date]])</f>
        <v>2023</v>
      </c>
      <c r="F3977" s="14">
        <v>5.24</v>
      </c>
      <c r="G3977">
        <v>23</v>
      </c>
      <c r="H3977" t="s">
        <v>12</v>
      </c>
      <c r="I3977" t="str">
        <f t="shared" si="62"/>
        <v>Normal Usage</v>
      </c>
    </row>
    <row r="3978" spans="1:9" x14ac:dyDescent="0.3">
      <c r="A3978">
        <v>13977</v>
      </c>
      <c r="B3978">
        <v>408</v>
      </c>
      <c r="C3978" s="2">
        <v>44634</v>
      </c>
      <c r="D3978" s="2" t="str">
        <f>TEXT(Table3[[#This Row],[usage_date]],"mmmm")</f>
        <v>March</v>
      </c>
      <c r="E3978" s="9">
        <f>YEAR(Table3[[#This Row],[usage_date]])</f>
        <v>2022</v>
      </c>
      <c r="F3978" s="14">
        <v>1.96</v>
      </c>
      <c r="G3978">
        <v>60</v>
      </c>
      <c r="H3978" t="s">
        <v>12</v>
      </c>
      <c r="I3978" t="str">
        <f t="shared" si="62"/>
        <v>Normal Usage</v>
      </c>
    </row>
    <row r="3979" spans="1:9" x14ac:dyDescent="0.3">
      <c r="A3979">
        <v>13978</v>
      </c>
      <c r="B3979">
        <v>58</v>
      </c>
      <c r="C3979" s="2">
        <v>45077</v>
      </c>
      <c r="D3979" s="2" t="str">
        <f>TEXT(Table3[[#This Row],[usage_date]],"mmmm")</f>
        <v>May</v>
      </c>
      <c r="E3979" s="9">
        <f>YEAR(Table3[[#This Row],[usage_date]])</f>
        <v>2023</v>
      </c>
      <c r="F3979" s="14">
        <v>0.68</v>
      </c>
      <c r="G3979">
        <v>188</v>
      </c>
      <c r="H3979" t="s">
        <v>13</v>
      </c>
      <c r="I3979" t="str">
        <f t="shared" si="62"/>
        <v>Normal Usage</v>
      </c>
    </row>
    <row r="3980" spans="1:9" x14ac:dyDescent="0.3">
      <c r="A3980">
        <v>13979</v>
      </c>
      <c r="B3980">
        <v>328</v>
      </c>
      <c r="C3980" s="2">
        <v>44637</v>
      </c>
      <c r="D3980" s="2" t="str">
        <f>TEXT(Table3[[#This Row],[usage_date]],"mmmm")</f>
        <v>March</v>
      </c>
      <c r="E3980" s="9">
        <f>YEAR(Table3[[#This Row],[usage_date]])</f>
        <v>2022</v>
      </c>
      <c r="F3980" s="14">
        <v>4.76</v>
      </c>
      <c r="G3980">
        <v>83</v>
      </c>
      <c r="H3980" t="s">
        <v>12</v>
      </c>
      <c r="I3980" t="str">
        <f t="shared" si="62"/>
        <v>Normal Usage</v>
      </c>
    </row>
    <row r="3981" spans="1:9" x14ac:dyDescent="0.3">
      <c r="A3981">
        <v>13980</v>
      </c>
      <c r="B3981">
        <v>498</v>
      </c>
      <c r="C3981" s="2">
        <v>45402</v>
      </c>
      <c r="D3981" s="2" t="str">
        <f>TEXT(Table3[[#This Row],[usage_date]],"mmmm")</f>
        <v>April</v>
      </c>
      <c r="E3981" s="9">
        <f>YEAR(Table3[[#This Row],[usage_date]])</f>
        <v>2024</v>
      </c>
      <c r="F3981" s="14">
        <v>2.04</v>
      </c>
      <c r="G3981">
        <v>224</v>
      </c>
      <c r="H3981" t="s">
        <v>12</v>
      </c>
      <c r="I3981" t="str">
        <f t="shared" si="62"/>
        <v>Normal Usage</v>
      </c>
    </row>
    <row r="3982" spans="1:9" x14ac:dyDescent="0.3">
      <c r="A3982">
        <v>13981</v>
      </c>
      <c r="B3982">
        <v>219</v>
      </c>
      <c r="C3982" s="2">
        <v>44638</v>
      </c>
      <c r="D3982" s="2" t="str">
        <f>TEXT(Table3[[#This Row],[usage_date]],"mmmm")</f>
        <v>March</v>
      </c>
      <c r="E3982" s="9">
        <f>YEAR(Table3[[#This Row],[usage_date]])</f>
        <v>2022</v>
      </c>
      <c r="F3982" s="14">
        <v>0.57999999999999996</v>
      </c>
      <c r="G3982">
        <v>167</v>
      </c>
      <c r="H3982" t="s">
        <v>12</v>
      </c>
      <c r="I3982" t="str">
        <f t="shared" si="62"/>
        <v>Normal Usage</v>
      </c>
    </row>
    <row r="3983" spans="1:9" x14ac:dyDescent="0.3">
      <c r="A3983">
        <v>13982</v>
      </c>
      <c r="B3983">
        <v>109</v>
      </c>
      <c r="C3983" s="2">
        <v>45377</v>
      </c>
      <c r="D3983" s="2" t="str">
        <f>TEXT(Table3[[#This Row],[usage_date]],"mmmm")</f>
        <v>March</v>
      </c>
      <c r="E3983" s="9">
        <f>YEAR(Table3[[#This Row],[usage_date]])</f>
        <v>2024</v>
      </c>
      <c r="F3983" s="14">
        <v>2.44</v>
      </c>
      <c r="G3983">
        <v>185</v>
      </c>
      <c r="H3983" t="s">
        <v>12</v>
      </c>
      <c r="I3983" t="str">
        <f t="shared" si="62"/>
        <v>Normal Usage</v>
      </c>
    </row>
    <row r="3984" spans="1:9" x14ac:dyDescent="0.3">
      <c r="A3984">
        <v>13983</v>
      </c>
      <c r="B3984">
        <v>279</v>
      </c>
      <c r="C3984" s="2">
        <v>45329</v>
      </c>
      <c r="D3984" s="2" t="str">
        <f>TEXT(Table3[[#This Row],[usage_date]],"mmmm")</f>
        <v>February</v>
      </c>
      <c r="E3984" s="9">
        <f>YEAR(Table3[[#This Row],[usage_date]])</f>
        <v>2024</v>
      </c>
      <c r="F3984" s="14">
        <v>1.1100000000000001</v>
      </c>
      <c r="G3984">
        <v>71</v>
      </c>
      <c r="H3984" t="s">
        <v>12</v>
      </c>
      <c r="I3984" t="str">
        <f t="shared" si="62"/>
        <v>Normal Usage</v>
      </c>
    </row>
    <row r="3985" spans="1:9" x14ac:dyDescent="0.3">
      <c r="A3985">
        <v>13984</v>
      </c>
      <c r="B3985">
        <v>174</v>
      </c>
      <c r="C3985" s="2">
        <v>44971</v>
      </c>
      <c r="D3985" s="2" t="str">
        <f>TEXT(Table3[[#This Row],[usage_date]],"mmmm")</f>
        <v>February</v>
      </c>
      <c r="E3985" s="9">
        <f>YEAR(Table3[[#This Row],[usage_date]])</f>
        <v>2023</v>
      </c>
      <c r="F3985" s="14">
        <v>4.6500000000000004</v>
      </c>
      <c r="G3985">
        <v>73</v>
      </c>
      <c r="H3985" t="s">
        <v>12</v>
      </c>
      <c r="I3985" t="str">
        <f t="shared" si="62"/>
        <v>Normal Usage</v>
      </c>
    </row>
    <row r="3986" spans="1:9" x14ac:dyDescent="0.3">
      <c r="A3986">
        <v>13985</v>
      </c>
      <c r="B3986">
        <v>328</v>
      </c>
      <c r="C3986" s="2">
        <v>45175</v>
      </c>
      <c r="D3986" s="2" t="str">
        <f>TEXT(Table3[[#This Row],[usage_date]],"mmmm")</f>
        <v>September</v>
      </c>
      <c r="E3986" s="9">
        <f>YEAR(Table3[[#This Row],[usage_date]])</f>
        <v>2023</v>
      </c>
      <c r="F3986" s="14">
        <v>1.51</v>
      </c>
      <c r="G3986">
        <v>152</v>
      </c>
      <c r="H3986" t="s">
        <v>12</v>
      </c>
      <c r="I3986" t="str">
        <f t="shared" si="62"/>
        <v>Normal Usage</v>
      </c>
    </row>
    <row r="3987" spans="1:9" x14ac:dyDescent="0.3">
      <c r="A3987">
        <v>13986</v>
      </c>
      <c r="B3987">
        <v>264</v>
      </c>
      <c r="C3987" s="2">
        <v>44667</v>
      </c>
      <c r="D3987" s="2" t="str">
        <f>TEXT(Table3[[#This Row],[usage_date]],"mmmm")</f>
        <v>April</v>
      </c>
      <c r="E3987" s="9">
        <f>YEAR(Table3[[#This Row],[usage_date]])</f>
        <v>2022</v>
      </c>
      <c r="F3987" s="14">
        <v>3.24</v>
      </c>
      <c r="G3987">
        <v>95</v>
      </c>
      <c r="H3987" t="s">
        <v>13</v>
      </c>
      <c r="I3987" t="str">
        <f t="shared" si="62"/>
        <v>Normal Usage</v>
      </c>
    </row>
    <row r="3988" spans="1:9" x14ac:dyDescent="0.3">
      <c r="A3988">
        <v>13987</v>
      </c>
      <c r="B3988">
        <v>315</v>
      </c>
      <c r="C3988" s="2">
        <v>45406</v>
      </c>
      <c r="D3988" s="2" t="str">
        <f>TEXT(Table3[[#This Row],[usage_date]],"mmmm")</f>
        <v>April</v>
      </c>
      <c r="E3988" s="9">
        <f>YEAR(Table3[[#This Row],[usage_date]])</f>
        <v>2024</v>
      </c>
      <c r="F3988" s="14">
        <v>0.25</v>
      </c>
      <c r="G3988">
        <v>52</v>
      </c>
      <c r="H3988" t="s">
        <v>12</v>
      </c>
      <c r="I3988" t="str">
        <f t="shared" si="62"/>
        <v>Normal Usage</v>
      </c>
    </row>
    <row r="3989" spans="1:9" x14ac:dyDescent="0.3">
      <c r="A3989">
        <v>13988</v>
      </c>
      <c r="B3989">
        <v>474</v>
      </c>
      <c r="C3989" s="2">
        <v>45112</v>
      </c>
      <c r="D3989" s="2" t="str">
        <f>TEXT(Table3[[#This Row],[usage_date]],"mmmm")</f>
        <v>July</v>
      </c>
      <c r="E3989" s="9">
        <f>YEAR(Table3[[#This Row],[usage_date]])</f>
        <v>2023</v>
      </c>
      <c r="F3989" s="14">
        <v>1.26</v>
      </c>
      <c r="G3989">
        <v>173</v>
      </c>
      <c r="H3989" t="s">
        <v>12</v>
      </c>
      <c r="I3989" t="str">
        <f t="shared" si="62"/>
        <v>Normal Usage</v>
      </c>
    </row>
    <row r="3990" spans="1:9" x14ac:dyDescent="0.3">
      <c r="A3990">
        <v>13989</v>
      </c>
      <c r="B3990">
        <v>111</v>
      </c>
      <c r="C3990" s="2">
        <v>45037</v>
      </c>
      <c r="D3990" s="2" t="str">
        <f>TEXT(Table3[[#This Row],[usage_date]],"mmmm")</f>
        <v>April</v>
      </c>
      <c r="E3990" s="9">
        <f>YEAR(Table3[[#This Row],[usage_date]])</f>
        <v>2023</v>
      </c>
      <c r="F3990" s="14">
        <v>10.220000000000001</v>
      </c>
      <c r="G3990">
        <v>109</v>
      </c>
      <c r="H3990" t="s">
        <v>12</v>
      </c>
      <c r="I3990" t="str">
        <f t="shared" si="62"/>
        <v>High Usage</v>
      </c>
    </row>
    <row r="3991" spans="1:9" x14ac:dyDescent="0.3">
      <c r="A3991">
        <v>13990</v>
      </c>
      <c r="B3991">
        <v>187</v>
      </c>
      <c r="C3991" s="2">
        <v>45387</v>
      </c>
      <c r="D3991" s="2" t="str">
        <f>TEXT(Table3[[#This Row],[usage_date]],"mmmm")</f>
        <v>April</v>
      </c>
      <c r="E3991" s="9">
        <f>YEAR(Table3[[#This Row],[usage_date]])</f>
        <v>2024</v>
      </c>
      <c r="F3991" s="14">
        <v>4.13</v>
      </c>
      <c r="G3991">
        <v>50</v>
      </c>
      <c r="H3991" t="s">
        <v>13</v>
      </c>
      <c r="I3991" t="str">
        <f t="shared" si="62"/>
        <v>Normal Usage</v>
      </c>
    </row>
    <row r="3992" spans="1:9" x14ac:dyDescent="0.3">
      <c r="A3992">
        <v>13991</v>
      </c>
      <c r="B3992">
        <v>269</v>
      </c>
      <c r="C3992" s="2">
        <v>44836</v>
      </c>
      <c r="D3992" s="2" t="str">
        <f>TEXT(Table3[[#This Row],[usage_date]],"mmmm")</f>
        <v>October</v>
      </c>
      <c r="E3992" s="9">
        <f>YEAR(Table3[[#This Row],[usage_date]])</f>
        <v>2022</v>
      </c>
      <c r="F3992" s="14">
        <v>0.44</v>
      </c>
      <c r="G3992">
        <v>252</v>
      </c>
      <c r="H3992" t="s">
        <v>12</v>
      </c>
      <c r="I3992" t="str">
        <f t="shared" si="62"/>
        <v>Normal Usage</v>
      </c>
    </row>
    <row r="3993" spans="1:9" x14ac:dyDescent="0.3">
      <c r="A3993">
        <v>13992</v>
      </c>
      <c r="B3993">
        <v>423</v>
      </c>
      <c r="C3993" s="2">
        <v>44649</v>
      </c>
      <c r="D3993" s="2" t="str">
        <f>TEXT(Table3[[#This Row],[usage_date]],"mmmm")</f>
        <v>March</v>
      </c>
      <c r="E3993" s="9">
        <f>YEAR(Table3[[#This Row],[usage_date]])</f>
        <v>2022</v>
      </c>
      <c r="F3993" s="14">
        <v>0.81</v>
      </c>
      <c r="G3993">
        <v>72</v>
      </c>
      <c r="H3993" t="s">
        <v>12</v>
      </c>
      <c r="I3993" t="str">
        <f t="shared" si="62"/>
        <v>Normal Usage</v>
      </c>
    </row>
    <row r="3994" spans="1:9" x14ac:dyDescent="0.3">
      <c r="A3994">
        <v>13993</v>
      </c>
      <c r="B3994">
        <v>229</v>
      </c>
      <c r="C3994" s="2">
        <v>45284</v>
      </c>
      <c r="D3994" s="2" t="str">
        <f>TEXT(Table3[[#This Row],[usage_date]],"mmmm")</f>
        <v>December</v>
      </c>
      <c r="E3994" s="9">
        <f>YEAR(Table3[[#This Row],[usage_date]])</f>
        <v>2023</v>
      </c>
      <c r="F3994" s="14">
        <v>1</v>
      </c>
      <c r="G3994">
        <v>211</v>
      </c>
      <c r="H3994" t="s">
        <v>12</v>
      </c>
      <c r="I3994" t="str">
        <f t="shared" si="62"/>
        <v>Normal Usage</v>
      </c>
    </row>
    <row r="3995" spans="1:9" x14ac:dyDescent="0.3">
      <c r="A3995">
        <v>13994</v>
      </c>
      <c r="B3995">
        <v>497</v>
      </c>
      <c r="C3995" s="2">
        <v>45442</v>
      </c>
      <c r="D3995" s="2" t="str">
        <f>TEXT(Table3[[#This Row],[usage_date]],"mmmm")</f>
        <v>May</v>
      </c>
      <c r="E3995" s="9">
        <f>YEAR(Table3[[#This Row],[usage_date]])</f>
        <v>2024</v>
      </c>
      <c r="F3995" s="14">
        <v>2.63</v>
      </c>
      <c r="G3995">
        <v>211</v>
      </c>
      <c r="H3995" t="s">
        <v>12</v>
      </c>
      <c r="I3995" t="str">
        <f t="shared" si="62"/>
        <v>Normal Usage</v>
      </c>
    </row>
    <row r="3996" spans="1:9" x14ac:dyDescent="0.3">
      <c r="A3996">
        <v>13995</v>
      </c>
      <c r="B3996">
        <v>156</v>
      </c>
      <c r="C3996" s="2">
        <v>44638</v>
      </c>
      <c r="D3996" s="2" t="str">
        <f>TEXT(Table3[[#This Row],[usage_date]],"mmmm")</f>
        <v>March</v>
      </c>
      <c r="E3996" s="9">
        <f>YEAR(Table3[[#This Row],[usage_date]])</f>
        <v>2022</v>
      </c>
      <c r="F3996" s="14">
        <v>3.54</v>
      </c>
      <c r="G3996">
        <v>250</v>
      </c>
      <c r="H3996" t="s">
        <v>12</v>
      </c>
      <c r="I3996" t="str">
        <f t="shared" si="62"/>
        <v>Normal Usage</v>
      </c>
    </row>
    <row r="3997" spans="1:9" x14ac:dyDescent="0.3">
      <c r="A3997">
        <v>13996</v>
      </c>
      <c r="B3997">
        <v>473</v>
      </c>
      <c r="C3997" s="2">
        <v>44638</v>
      </c>
      <c r="D3997" s="2" t="str">
        <f>TEXT(Table3[[#This Row],[usage_date]],"mmmm")</f>
        <v>March</v>
      </c>
      <c r="E3997" s="9">
        <f>YEAR(Table3[[#This Row],[usage_date]])</f>
        <v>2022</v>
      </c>
      <c r="F3997" s="14">
        <v>3.46</v>
      </c>
      <c r="G3997">
        <v>167</v>
      </c>
      <c r="H3997" t="s">
        <v>12</v>
      </c>
      <c r="I3997" t="str">
        <f t="shared" si="62"/>
        <v>Normal Usage</v>
      </c>
    </row>
    <row r="3998" spans="1:9" x14ac:dyDescent="0.3">
      <c r="A3998">
        <v>13997</v>
      </c>
      <c r="B3998">
        <v>189</v>
      </c>
      <c r="C3998" s="2">
        <v>45003</v>
      </c>
      <c r="D3998" s="2" t="str">
        <f>TEXT(Table3[[#This Row],[usage_date]],"mmmm")</f>
        <v>March</v>
      </c>
      <c r="E3998" s="9">
        <f>YEAR(Table3[[#This Row],[usage_date]])</f>
        <v>2023</v>
      </c>
      <c r="F3998" s="14">
        <v>1.78</v>
      </c>
      <c r="G3998">
        <v>262</v>
      </c>
      <c r="H3998" t="s">
        <v>13</v>
      </c>
      <c r="I3998" t="str">
        <f t="shared" si="62"/>
        <v>Normal Usage</v>
      </c>
    </row>
    <row r="3999" spans="1:9" x14ac:dyDescent="0.3">
      <c r="A3999">
        <v>13998</v>
      </c>
      <c r="B3999">
        <v>272</v>
      </c>
      <c r="C3999" s="2">
        <v>45101</v>
      </c>
      <c r="D3999" s="2" t="str">
        <f>TEXT(Table3[[#This Row],[usage_date]],"mmmm")</f>
        <v>June</v>
      </c>
      <c r="E3999" s="9">
        <f>YEAR(Table3[[#This Row],[usage_date]])</f>
        <v>2023</v>
      </c>
      <c r="F3999" s="14">
        <v>4.16</v>
      </c>
      <c r="G3999">
        <v>229</v>
      </c>
      <c r="H3999" t="s">
        <v>12</v>
      </c>
      <c r="I3999" t="str">
        <f t="shared" si="62"/>
        <v>Normal Usage</v>
      </c>
    </row>
    <row r="4000" spans="1:9" x14ac:dyDescent="0.3">
      <c r="A4000">
        <v>13999</v>
      </c>
      <c r="B4000">
        <v>375</v>
      </c>
      <c r="C4000" s="2">
        <v>44806</v>
      </c>
      <c r="D4000" s="2" t="str">
        <f>TEXT(Table3[[#This Row],[usage_date]],"mmmm")</f>
        <v>September</v>
      </c>
      <c r="E4000" s="9">
        <f>YEAR(Table3[[#This Row],[usage_date]])</f>
        <v>2022</v>
      </c>
      <c r="F4000" s="14">
        <v>1.44</v>
      </c>
      <c r="G4000">
        <v>238</v>
      </c>
      <c r="H4000" t="s">
        <v>12</v>
      </c>
      <c r="I4000" t="str">
        <f t="shared" si="62"/>
        <v>Normal Usage</v>
      </c>
    </row>
    <row r="4001" spans="1:9" x14ac:dyDescent="0.3">
      <c r="A4001">
        <v>14000</v>
      </c>
      <c r="B4001">
        <v>2</v>
      </c>
      <c r="C4001" s="2">
        <v>45139</v>
      </c>
      <c r="D4001" s="2" t="str">
        <f>TEXT(Table3[[#This Row],[usage_date]],"mmmm")</f>
        <v>August</v>
      </c>
      <c r="E4001" s="9">
        <f>YEAR(Table3[[#This Row],[usage_date]])</f>
        <v>2023</v>
      </c>
      <c r="F4001" s="14">
        <v>0.33</v>
      </c>
      <c r="G4001">
        <v>274</v>
      </c>
      <c r="H4001" t="s">
        <v>12</v>
      </c>
      <c r="I4001" t="str">
        <f t="shared" si="62"/>
        <v>Normal Usage</v>
      </c>
    </row>
    <row r="4002" spans="1:9" x14ac:dyDescent="0.3">
      <c r="A4002">
        <v>14001</v>
      </c>
      <c r="B4002">
        <v>246</v>
      </c>
      <c r="C4002" s="2">
        <v>45339</v>
      </c>
      <c r="D4002" s="2" t="str">
        <f>TEXT(Table3[[#This Row],[usage_date]],"mmmm")</f>
        <v>February</v>
      </c>
      <c r="E4002" s="9">
        <f>YEAR(Table3[[#This Row],[usage_date]])</f>
        <v>2024</v>
      </c>
      <c r="F4002" s="14">
        <v>2.08</v>
      </c>
      <c r="G4002">
        <v>142</v>
      </c>
      <c r="H4002" t="s">
        <v>12</v>
      </c>
      <c r="I4002" t="str">
        <f t="shared" si="62"/>
        <v>Normal Usage</v>
      </c>
    </row>
    <row r="4003" spans="1:9" x14ac:dyDescent="0.3">
      <c r="A4003">
        <v>14002</v>
      </c>
      <c r="B4003">
        <v>210</v>
      </c>
      <c r="C4003" s="2">
        <v>44943</v>
      </c>
      <c r="D4003" s="2" t="str">
        <f>TEXT(Table3[[#This Row],[usage_date]],"mmmm")</f>
        <v>January</v>
      </c>
      <c r="E4003" s="9">
        <f>YEAR(Table3[[#This Row],[usage_date]])</f>
        <v>2023</v>
      </c>
      <c r="F4003" s="14">
        <v>7.61</v>
      </c>
      <c r="G4003">
        <v>69</v>
      </c>
      <c r="H4003" t="s">
        <v>13</v>
      </c>
      <c r="I4003" t="str">
        <f t="shared" si="62"/>
        <v>High Usage</v>
      </c>
    </row>
    <row r="4004" spans="1:9" x14ac:dyDescent="0.3">
      <c r="A4004">
        <v>14003</v>
      </c>
      <c r="B4004">
        <v>401</v>
      </c>
      <c r="C4004" s="2">
        <v>45278</v>
      </c>
      <c r="D4004" s="2" t="str">
        <f>TEXT(Table3[[#This Row],[usage_date]],"mmmm")</f>
        <v>December</v>
      </c>
      <c r="E4004" s="9">
        <f>YEAR(Table3[[#This Row],[usage_date]])</f>
        <v>2023</v>
      </c>
      <c r="F4004" s="14">
        <v>3.94</v>
      </c>
      <c r="G4004">
        <v>173</v>
      </c>
      <c r="H4004" t="s">
        <v>12</v>
      </c>
      <c r="I4004" t="str">
        <f t="shared" si="62"/>
        <v>Normal Usage</v>
      </c>
    </row>
    <row r="4005" spans="1:9" x14ac:dyDescent="0.3">
      <c r="A4005">
        <v>14004</v>
      </c>
      <c r="B4005">
        <v>286</v>
      </c>
      <c r="C4005" s="2">
        <v>45131</v>
      </c>
      <c r="D4005" s="2" t="str">
        <f>TEXT(Table3[[#This Row],[usage_date]],"mmmm")</f>
        <v>July</v>
      </c>
      <c r="E4005" s="9">
        <f>YEAR(Table3[[#This Row],[usage_date]])</f>
        <v>2023</v>
      </c>
      <c r="F4005" s="14">
        <v>2.16</v>
      </c>
      <c r="G4005">
        <v>108</v>
      </c>
      <c r="H4005" t="s">
        <v>13</v>
      </c>
      <c r="I4005" t="str">
        <f t="shared" si="62"/>
        <v>Normal Usage</v>
      </c>
    </row>
    <row r="4006" spans="1:9" x14ac:dyDescent="0.3">
      <c r="A4006">
        <v>14005</v>
      </c>
      <c r="B4006">
        <v>359</v>
      </c>
      <c r="C4006" s="2">
        <v>45274</v>
      </c>
      <c r="D4006" s="2" t="str">
        <f>TEXT(Table3[[#This Row],[usage_date]],"mmmm")</f>
        <v>December</v>
      </c>
      <c r="E4006" s="9">
        <f>YEAR(Table3[[#This Row],[usage_date]])</f>
        <v>2023</v>
      </c>
      <c r="F4006" s="14">
        <v>2.6</v>
      </c>
      <c r="G4006">
        <v>202</v>
      </c>
      <c r="H4006" t="s">
        <v>13</v>
      </c>
      <c r="I4006" t="str">
        <f t="shared" si="62"/>
        <v>Normal Usage</v>
      </c>
    </row>
    <row r="4007" spans="1:9" x14ac:dyDescent="0.3">
      <c r="A4007">
        <v>14006</v>
      </c>
      <c r="B4007">
        <v>13</v>
      </c>
      <c r="C4007" s="2">
        <v>45298</v>
      </c>
      <c r="D4007" s="2" t="str">
        <f>TEXT(Table3[[#This Row],[usage_date]],"mmmm")</f>
        <v>January</v>
      </c>
      <c r="E4007" s="9">
        <f>YEAR(Table3[[#This Row],[usage_date]])</f>
        <v>2024</v>
      </c>
      <c r="F4007" s="14">
        <v>6.67</v>
      </c>
      <c r="G4007">
        <v>184</v>
      </c>
      <c r="H4007" t="s">
        <v>12</v>
      </c>
      <c r="I4007" t="str">
        <f t="shared" si="62"/>
        <v>High Usage</v>
      </c>
    </row>
    <row r="4008" spans="1:9" x14ac:dyDescent="0.3">
      <c r="A4008">
        <v>14007</v>
      </c>
      <c r="B4008">
        <v>96</v>
      </c>
      <c r="C4008" s="2">
        <v>44703</v>
      </c>
      <c r="D4008" s="2" t="str">
        <f>TEXT(Table3[[#This Row],[usage_date]],"mmmm")</f>
        <v>May</v>
      </c>
      <c r="E4008" s="9">
        <f>YEAR(Table3[[#This Row],[usage_date]])</f>
        <v>2022</v>
      </c>
      <c r="F4008" s="14">
        <v>1.4</v>
      </c>
      <c r="G4008">
        <v>290</v>
      </c>
      <c r="H4008" t="s">
        <v>13</v>
      </c>
      <c r="I4008" t="str">
        <f t="shared" si="62"/>
        <v>Normal Usage</v>
      </c>
    </row>
    <row r="4009" spans="1:9" x14ac:dyDescent="0.3">
      <c r="A4009">
        <v>14008</v>
      </c>
      <c r="B4009">
        <v>498</v>
      </c>
      <c r="C4009" s="2">
        <v>45454</v>
      </c>
      <c r="D4009" s="2" t="str">
        <f>TEXT(Table3[[#This Row],[usage_date]],"mmmm")</f>
        <v>June</v>
      </c>
      <c r="E4009" s="9">
        <f>YEAR(Table3[[#This Row],[usage_date]])</f>
        <v>2024</v>
      </c>
      <c r="F4009" s="14">
        <v>1.01</v>
      </c>
      <c r="G4009">
        <v>91</v>
      </c>
      <c r="H4009" t="s">
        <v>12</v>
      </c>
      <c r="I4009" t="str">
        <f t="shared" si="62"/>
        <v>Normal Usage</v>
      </c>
    </row>
    <row r="4010" spans="1:9" x14ac:dyDescent="0.3">
      <c r="A4010">
        <v>14009</v>
      </c>
      <c r="B4010">
        <v>221</v>
      </c>
      <c r="C4010" s="2">
        <v>44929</v>
      </c>
      <c r="D4010" s="2" t="str">
        <f>TEXT(Table3[[#This Row],[usage_date]],"mmmm")</f>
        <v>January</v>
      </c>
      <c r="E4010" s="9">
        <f>YEAR(Table3[[#This Row],[usage_date]])</f>
        <v>2023</v>
      </c>
      <c r="F4010" s="14">
        <v>9.4600000000000009</v>
      </c>
      <c r="G4010">
        <v>258</v>
      </c>
      <c r="H4010" t="s">
        <v>12</v>
      </c>
      <c r="I4010" t="str">
        <f t="shared" si="62"/>
        <v>High Usage</v>
      </c>
    </row>
    <row r="4011" spans="1:9" x14ac:dyDescent="0.3">
      <c r="A4011">
        <v>14010</v>
      </c>
      <c r="B4011">
        <v>238</v>
      </c>
      <c r="C4011" s="2">
        <v>44645</v>
      </c>
      <c r="D4011" s="2" t="str">
        <f>TEXT(Table3[[#This Row],[usage_date]],"mmmm")</f>
        <v>March</v>
      </c>
      <c r="E4011" s="9">
        <f>YEAR(Table3[[#This Row],[usage_date]])</f>
        <v>2022</v>
      </c>
      <c r="F4011" s="14">
        <v>4.9800000000000004</v>
      </c>
      <c r="G4011">
        <v>205</v>
      </c>
      <c r="H4011" t="s">
        <v>12</v>
      </c>
      <c r="I4011" t="str">
        <f t="shared" si="62"/>
        <v>Normal Usage</v>
      </c>
    </row>
    <row r="4012" spans="1:9" x14ac:dyDescent="0.3">
      <c r="A4012">
        <v>14011</v>
      </c>
      <c r="B4012">
        <v>94</v>
      </c>
      <c r="C4012" s="2">
        <v>44704</v>
      </c>
      <c r="D4012" s="2" t="str">
        <f>TEXT(Table3[[#This Row],[usage_date]],"mmmm")</f>
        <v>May</v>
      </c>
      <c r="E4012" s="9">
        <f>YEAR(Table3[[#This Row],[usage_date]])</f>
        <v>2022</v>
      </c>
      <c r="F4012" s="14">
        <v>0.98</v>
      </c>
      <c r="G4012">
        <v>51</v>
      </c>
      <c r="H4012" t="s">
        <v>12</v>
      </c>
      <c r="I4012" t="str">
        <f t="shared" si="62"/>
        <v>Normal Usage</v>
      </c>
    </row>
    <row r="4013" spans="1:9" x14ac:dyDescent="0.3">
      <c r="A4013">
        <v>14012</v>
      </c>
      <c r="B4013">
        <v>338</v>
      </c>
      <c r="C4013" s="2">
        <v>44913</v>
      </c>
      <c r="D4013" s="2" t="str">
        <f>TEXT(Table3[[#This Row],[usage_date]],"mmmm")</f>
        <v>December</v>
      </c>
      <c r="E4013" s="9">
        <f>YEAR(Table3[[#This Row],[usage_date]])</f>
        <v>2022</v>
      </c>
      <c r="F4013" s="14">
        <v>1.56</v>
      </c>
      <c r="G4013">
        <v>180</v>
      </c>
      <c r="H4013" t="s">
        <v>12</v>
      </c>
      <c r="I4013" t="str">
        <f t="shared" si="62"/>
        <v>Normal Usage</v>
      </c>
    </row>
    <row r="4014" spans="1:9" x14ac:dyDescent="0.3">
      <c r="A4014">
        <v>14013</v>
      </c>
      <c r="B4014">
        <v>269</v>
      </c>
      <c r="C4014" s="2">
        <v>45106</v>
      </c>
      <c r="D4014" s="2" t="str">
        <f>TEXT(Table3[[#This Row],[usage_date]],"mmmm")</f>
        <v>June</v>
      </c>
      <c r="E4014" s="9">
        <f>YEAR(Table3[[#This Row],[usage_date]])</f>
        <v>2023</v>
      </c>
      <c r="F4014" s="14">
        <v>1.34</v>
      </c>
      <c r="G4014">
        <v>2</v>
      </c>
      <c r="H4014" t="s">
        <v>12</v>
      </c>
      <c r="I4014" t="str">
        <f t="shared" si="62"/>
        <v>Normal Usage</v>
      </c>
    </row>
    <row r="4015" spans="1:9" x14ac:dyDescent="0.3">
      <c r="A4015">
        <v>14014</v>
      </c>
      <c r="B4015">
        <v>171</v>
      </c>
      <c r="C4015" s="2">
        <v>44713</v>
      </c>
      <c r="D4015" s="2" t="str">
        <f>TEXT(Table3[[#This Row],[usage_date]],"mmmm")</f>
        <v>June</v>
      </c>
      <c r="E4015" s="9">
        <f>YEAR(Table3[[#This Row],[usage_date]])</f>
        <v>2022</v>
      </c>
      <c r="F4015" s="14">
        <v>0.4</v>
      </c>
      <c r="G4015">
        <v>83</v>
      </c>
      <c r="H4015" t="s">
        <v>12</v>
      </c>
      <c r="I4015" t="str">
        <f t="shared" si="62"/>
        <v>Normal Usage</v>
      </c>
    </row>
    <row r="4016" spans="1:9" x14ac:dyDescent="0.3">
      <c r="A4016">
        <v>14015</v>
      </c>
      <c r="B4016">
        <v>469</v>
      </c>
      <c r="C4016" s="2">
        <v>44719</v>
      </c>
      <c r="D4016" s="2" t="str">
        <f>TEXT(Table3[[#This Row],[usage_date]],"mmmm")</f>
        <v>June</v>
      </c>
      <c r="E4016" s="9">
        <f>YEAR(Table3[[#This Row],[usage_date]])</f>
        <v>2022</v>
      </c>
      <c r="F4016" s="14">
        <v>7.91</v>
      </c>
      <c r="G4016">
        <v>213</v>
      </c>
      <c r="H4016" t="s">
        <v>12</v>
      </c>
      <c r="I4016" t="str">
        <f t="shared" si="62"/>
        <v>High Usage</v>
      </c>
    </row>
    <row r="4017" spans="1:9" x14ac:dyDescent="0.3">
      <c r="A4017">
        <v>14016</v>
      </c>
      <c r="B4017">
        <v>94</v>
      </c>
      <c r="C4017" s="2">
        <v>45007</v>
      </c>
      <c r="D4017" s="2" t="str">
        <f>TEXT(Table3[[#This Row],[usage_date]],"mmmm")</f>
        <v>March</v>
      </c>
      <c r="E4017" s="9">
        <f>YEAR(Table3[[#This Row],[usage_date]])</f>
        <v>2023</v>
      </c>
      <c r="F4017" s="14">
        <v>1.3</v>
      </c>
      <c r="G4017">
        <v>33</v>
      </c>
      <c r="H4017" t="s">
        <v>12</v>
      </c>
      <c r="I4017" t="str">
        <f t="shared" si="62"/>
        <v>Normal Usage</v>
      </c>
    </row>
    <row r="4018" spans="1:9" x14ac:dyDescent="0.3">
      <c r="A4018">
        <v>14017</v>
      </c>
      <c r="B4018">
        <v>149</v>
      </c>
      <c r="C4018" s="2">
        <v>45214</v>
      </c>
      <c r="D4018" s="2" t="str">
        <f>TEXT(Table3[[#This Row],[usage_date]],"mmmm")</f>
        <v>October</v>
      </c>
      <c r="E4018" s="9">
        <f>YEAR(Table3[[#This Row],[usage_date]])</f>
        <v>2023</v>
      </c>
      <c r="F4018" s="14">
        <v>5.21</v>
      </c>
      <c r="G4018">
        <v>49</v>
      </c>
      <c r="H4018" t="s">
        <v>12</v>
      </c>
      <c r="I4018" t="str">
        <f t="shared" si="62"/>
        <v>Normal Usage</v>
      </c>
    </row>
    <row r="4019" spans="1:9" x14ac:dyDescent="0.3">
      <c r="A4019">
        <v>14018</v>
      </c>
      <c r="B4019">
        <v>112</v>
      </c>
      <c r="C4019" s="2">
        <v>45324</v>
      </c>
      <c r="D4019" s="2" t="str">
        <f>TEXT(Table3[[#This Row],[usage_date]],"mmmm")</f>
        <v>February</v>
      </c>
      <c r="E4019" s="9">
        <f>YEAR(Table3[[#This Row],[usage_date]])</f>
        <v>2024</v>
      </c>
      <c r="F4019" s="14">
        <v>0.52</v>
      </c>
      <c r="G4019">
        <v>288</v>
      </c>
      <c r="H4019" t="s">
        <v>12</v>
      </c>
      <c r="I4019" t="str">
        <f t="shared" si="62"/>
        <v>Normal Usage</v>
      </c>
    </row>
    <row r="4020" spans="1:9" x14ac:dyDescent="0.3">
      <c r="A4020">
        <v>14019</v>
      </c>
      <c r="B4020">
        <v>55</v>
      </c>
      <c r="C4020" s="2">
        <v>44864</v>
      </c>
      <c r="D4020" s="2" t="str">
        <f>TEXT(Table3[[#This Row],[usage_date]],"mmmm")</f>
        <v>October</v>
      </c>
      <c r="E4020" s="9">
        <f>YEAR(Table3[[#This Row],[usage_date]])</f>
        <v>2022</v>
      </c>
      <c r="F4020" s="14">
        <v>1.98</v>
      </c>
      <c r="G4020">
        <v>258</v>
      </c>
      <c r="H4020" t="s">
        <v>12</v>
      </c>
      <c r="I4020" t="str">
        <f t="shared" si="62"/>
        <v>Normal Usage</v>
      </c>
    </row>
    <row r="4021" spans="1:9" x14ac:dyDescent="0.3">
      <c r="A4021">
        <v>14020</v>
      </c>
      <c r="B4021">
        <v>337</v>
      </c>
      <c r="C4021" s="2">
        <v>45185</v>
      </c>
      <c r="D4021" s="2" t="str">
        <f>TEXT(Table3[[#This Row],[usage_date]],"mmmm")</f>
        <v>September</v>
      </c>
      <c r="E4021" s="9">
        <f>YEAR(Table3[[#This Row],[usage_date]])</f>
        <v>2023</v>
      </c>
      <c r="F4021" s="14">
        <v>0.06</v>
      </c>
      <c r="G4021">
        <v>257</v>
      </c>
      <c r="H4021" t="s">
        <v>12</v>
      </c>
      <c r="I4021" t="str">
        <f t="shared" si="62"/>
        <v>Normal Usage</v>
      </c>
    </row>
    <row r="4022" spans="1:9" x14ac:dyDescent="0.3">
      <c r="A4022">
        <v>14021</v>
      </c>
      <c r="B4022">
        <v>424</v>
      </c>
      <c r="C4022" s="2">
        <v>45217</v>
      </c>
      <c r="D4022" s="2" t="str">
        <f>TEXT(Table3[[#This Row],[usage_date]],"mmmm")</f>
        <v>October</v>
      </c>
      <c r="E4022" s="9">
        <f>YEAR(Table3[[#This Row],[usage_date]])</f>
        <v>2023</v>
      </c>
      <c r="F4022" s="14">
        <v>3.61</v>
      </c>
      <c r="G4022">
        <v>271</v>
      </c>
      <c r="H4022" t="s">
        <v>12</v>
      </c>
      <c r="I4022" t="str">
        <f t="shared" si="62"/>
        <v>Normal Usage</v>
      </c>
    </row>
    <row r="4023" spans="1:9" x14ac:dyDescent="0.3">
      <c r="A4023">
        <v>14022</v>
      </c>
      <c r="B4023">
        <v>467</v>
      </c>
      <c r="C4023" s="2">
        <v>45011</v>
      </c>
      <c r="D4023" s="2" t="str">
        <f>TEXT(Table3[[#This Row],[usage_date]],"mmmm")</f>
        <v>March</v>
      </c>
      <c r="E4023" s="9">
        <f>YEAR(Table3[[#This Row],[usage_date]])</f>
        <v>2023</v>
      </c>
      <c r="F4023" s="14">
        <v>2.17</v>
      </c>
      <c r="G4023">
        <v>181</v>
      </c>
      <c r="H4023" t="s">
        <v>12</v>
      </c>
      <c r="I4023" t="str">
        <f t="shared" si="62"/>
        <v>Normal Usage</v>
      </c>
    </row>
    <row r="4024" spans="1:9" x14ac:dyDescent="0.3">
      <c r="A4024">
        <v>14023</v>
      </c>
      <c r="B4024">
        <v>116</v>
      </c>
      <c r="C4024" s="2">
        <v>45282</v>
      </c>
      <c r="D4024" s="2" t="str">
        <f>TEXT(Table3[[#This Row],[usage_date]],"mmmm")</f>
        <v>December</v>
      </c>
      <c r="E4024" s="9">
        <f>YEAR(Table3[[#This Row],[usage_date]])</f>
        <v>2023</v>
      </c>
      <c r="F4024" s="14">
        <v>2.46</v>
      </c>
      <c r="G4024">
        <v>32</v>
      </c>
      <c r="H4024" t="s">
        <v>12</v>
      </c>
      <c r="I4024" t="str">
        <f t="shared" si="62"/>
        <v>Normal Usage</v>
      </c>
    </row>
    <row r="4025" spans="1:9" x14ac:dyDescent="0.3">
      <c r="A4025">
        <v>14024</v>
      </c>
      <c r="B4025">
        <v>143</v>
      </c>
      <c r="C4025" s="2">
        <v>44785</v>
      </c>
      <c r="D4025" s="2" t="str">
        <f>TEXT(Table3[[#This Row],[usage_date]],"mmmm")</f>
        <v>August</v>
      </c>
      <c r="E4025" s="9">
        <f>YEAR(Table3[[#This Row],[usage_date]])</f>
        <v>2022</v>
      </c>
      <c r="F4025" s="14">
        <v>0.13</v>
      </c>
      <c r="G4025">
        <v>264</v>
      </c>
      <c r="H4025" t="s">
        <v>12</v>
      </c>
      <c r="I4025" t="str">
        <f t="shared" si="62"/>
        <v>Normal Usage</v>
      </c>
    </row>
    <row r="4026" spans="1:9" x14ac:dyDescent="0.3">
      <c r="A4026">
        <v>14025</v>
      </c>
      <c r="B4026">
        <v>201</v>
      </c>
      <c r="C4026" s="2">
        <v>44604</v>
      </c>
      <c r="D4026" s="2" t="str">
        <f>TEXT(Table3[[#This Row],[usage_date]],"mmmm")</f>
        <v>February</v>
      </c>
      <c r="E4026" s="9">
        <f>YEAR(Table3[[#This Row],[usage_date]])</f>
        <v>2022</v>
      </c>
      <c r="F4026" s="14">
        <v>0.59</v>
      </c>
      <c r="G4026">
        <v>39</v>
      </c>
      <c r="H4026" t="s">
        <v>13</v>
      </c>
      <c r="I4026" t="str">
        <f t="shared" si="62"/>
        <v>Normal Usage</v>
      </c>
    </row>
    <row r="4027" spans="1:9" x14ac:dyDescent="0.3">
      <c r="A4027">
        <v>14026</v>
      </c>
      <c r="B4027">
        <v>180</v>
      </c>
      <c r="C4027" s="2">
        <v>44825</v>
      </c>
      <c r="D4027" s="2" t="str">
        <f>TEXT(Table3[[#This Row],[usage_date]],"mmmm")</f>
        <v>September</v>
      </c>
      <c r="E4027" s="9">
        <f>YEAR(Table3[[#This Row],[usage_date]])</f>
        <v>2022</v>
      </c>
      <c r="F4027" s="14">
        <v>0.19</v>
      </c>
      <c r="G4027">
        <v>209</v>
      </c>
      <c r="H4027" t="s">
        <v>12</v>
      </c>
      <c r="I4027" t="str">
        <f t="shared" si="62"/>
        <v>Normal Usage</v>
      </c>
    </row>
    <row r="4028" spans="1:9" x14ac:dyDescent="0.3">
      <c r="A4028">
        <v>14027</v>
      </c>
      <c r="B4028">
        <v>202</v>
      </c>
      <c r="C4028" s="2">
        <v>45317</v>
      </c>
      <c r="D4028" s="2" t="str">
        <f>TEXT(Table3[[#This Row],[usage_date]],"mmmm")</f>
        <v>January</v>
      </c>
      <c r="E4028" s="9">
        <f>YEAR(Table3[[#This Row],[usage_date]])</f>
        <v>2024</v>
      </c>
      <c r="F4028" s="14">
        <v>0.85</v>
      </c>
      <c r="G4028">
        <v>271</v>
      </c>
      <c r="H4028" t="s">
        <v>12</v>
      </c>
      <c r="I4028" t="str">
        <f t="shared" si="62"/>
        <v>Normal Usage</v>
      </c>
    </row>
    <row r="4029" spans="1:9" x14ac:dyDescent="0.3">
      <c r="A4029">
        <v>14028</v>
      </c>
      <c r="B4029">
        <v>364</v>
      </c>
      <c r="C4029" s="2">
        <v>44564</v>
      </c>
      <c r="D4029" s="2" t="str">
        <f>TEXT(Table3[[#This Row],[usage_date]],"mmmm")</f>
        <v>January</v>
      </c>
      <c r="E4029" s="9">
        <f>YEAR(Table3[[#This Row],[usage_date]])</f>
        <v>2022</v>
      </c>
      <c r="F4029" s="14">
        <v>2.4700000000000002</v>
      </c>
      <c r="G4029">
        <v>135</v>
      </c>
      <c r="H4029" t="s">
        <v>12</v>
      </c>
      <c r="I4029" t="str">
        <f t="shared" si="62"/>
        <v>Normal Usage</v>
      </c>
    </row>
    <row r="4030" spans="1:9" x14ac:dyDescent="0.3">
      <c r="A4030">
        <v>14029</v>
      </c>
      <c r="B4030">
        <v>479</v>
      </c>
      <c r="C4030" s="2">
        <v>45198</v>
      </c>
      <c r="D4030" s="2" t="str">
        <f>TEXT(Table3[[#This Row],[usage_date]],"mmmm")</f>
        <v>September</v>
      </c>
      <c r="E4030" s="9">
        <f>YEAR(Table3[[#This Row],[usage_date]])</f>
        <v>2023</v>
      </c>
      <c r="F4030" s="14">
        <v>2.09</v>
      </c>
      <c r="G4030">
        <v>86</v>
      </c>
      <c r="H4030" t="s">
        <v>12</v>
      </c>
      <c r="I4030" t="str">
        <f t="shared" si="62"/>
        <v>Normal Usage</v>
      </c>
    </row>
    <row r="4031" spans="1:9" x14ac:dyDescent="0.3">
      <c r="A4031">
        <v>14030</v>
      </c>
      <c r="B4031">
        <v>53</v>
      </c>
      <c r="C4031" s="2">
        <v>44829</v>
      </c>
      <c r="D4031" s="2" t="str">
        <f>TEXT(Table3[[#This Row],[usage_date]],"mmmm")</f>
        <v>September</v>
      </c>
      <c r="E4031" s="9">
        <f>YEAR(Table3[[#This Row],[usage_date]])</f>
        <v>2022</v>
      </c>
      <c r="F4031" s="14">
        <v>2.37</v>
      </c>
      <c r="G4031">
        <v>59</v>
      </c>
      <c r="H4031" t="s">
        <v>12</v>
      </c>
      <c r="I4031" t="str">
        <f t="shared" si="62"/>
        <v>Normal Usage</v>
      </c>
    </row>
    <row r="4032" spans="1:9" x14ac:dyDescent="0.3">
      <c r="A4032">
        <v>14031</v>
      </c>
      <c r="B4032">
        <v>471</v>
      </c>
      <c r="C4032" s="2">
        <v>45157</v>
      </c>
      <c r="D4032" s="2" t="str">
        <f>TEXT(Table3[[#This Row],[usage_date]],"mmmm")</f>
        <v>August</v>
      </c>
      <c r="E4032" s="9">
        <f>YEAR(Table3[[#This Row],[usage_date]])</f>
        <v>2023</v>
      </c>
      <c r="F4032" s="14">
        <v>1.99</v>
      </c>
      <c r="G4032">
        <v>163</v>
      </c>
      <c r="H4032" t="s">
        <v>12</v>
      </c>
      <c r="I4032" t="str">
        <f t="shared" si="62"/>
        <v>Normal Usage</v>
      </c>
    </row>
    <row r="4033" spans="1:9" x14ac:dyDescent="0.3">
      <c r="A4033">
        <v>14032</v>
      </c>
      <c r="B4033">
        <v>384</v>
      </c>
      <c r="C4033" s="2">
        <v>44577</v>
      </c>
      <c r="D4033" s="2" t="str">
        <f>TEXT(Table3[[#This Row],[usage_date]],"mmmm")</f>
        <v>January</v>
      </c>
      <c r="E4033" s="9">
        <f>YEAR(Table3[[#This Row],[usage_date]])</f>
        <v>2022</v>
      </c>
      <c r="F4033" s="14">
        <v>0.8</v>
      </c>
      <c r="G4033">
        <v>2</v>
      </c>
      <c r="H4033" t="s">
        <v>12</v>
      </c>
      <c r="I4033" t="str">
        <f t="shared" si="62"/>
        <v>Normal Usage</v>
      </c>
    </row>
    <row r="4034" spans="1:9" x14ac:dyDescent="0.3">
      <c r="A4034">
        <v>14033</v>
      </c>
      <c r="B4034">
        <v>180</v>
      </c>
      <c r="C4034" s="2">
        <v>44895</v>
      </c>
      <c r="D4034" s="2" t="str">
        <f>TEXT(Table3[[#This Row],[usage_date]],"mmmm")</f>
        <v>November</v>
      </c>
      <c r="E4034" s="9">
        <f>YEAR(Table3[[#This Row],[usage_date]])</f>
        <v>2022</v>
      </c>
      <c r="F4034" s="14">
        <v>0.7</v>
      </c>
      <c r="G4034">
        <v>14</v>
      </c>
      <c r="H4034" t="s">
        <v>12</v>
      </c>
      <c r="I4034" t="str">
        <f t="shared" ref="I4034:I4097" si="63">IF(F4034&gt;6,"High Usage","Normal Usage")</f>
        <v>Normal Usage</v>
      </c>
    </row>
    <row r="4035" spans="1:9" x14ac:dyDescent="0.3">
      <c r="A4035">
        <v>14034</v>
      </c>
      <c r="B4035">
        <v>414</v>
      </c>
      <c r="C4035" s="2">
        <v>45025</v>
      </c>
      <c r="D4035" s="2" t="str">
        <f>TEXT(Table3[[#This Row],[usage_date]],"mmmm")</f>
        <v>April</v>
      </c>
      <c r="E4035" s="9">
        <f>YEAR(Table3[[#This Row],[usage_date]])</f>
        <v>2023</v>
      </c>
      <c r="F4035" s="14">
        <v>0.37</v>
      </c>
      <c r="G4035">
        <v>101</v>
      </c>
      <c r="H4035" t="s">
        <v>13</v>
      </c>
      <c r="I4035" t="str">
        <f t="shared" si="63"/>
        <v>Normal Usage</v>
      </c>
    </row>
    <row r="4036" spans="1:9" x14ac:dyDescent="0.3">
      <c r="A4036">
        <v>14035</v>
      </c>
      <c r="B4036">
        <v>417</v>
      </c>
      <c r="C4036" s="2">
        <v>44620</v>
      </c>
      <c r="D4036" s="2" t="str">
        <f>TEXT(Table3[[#This Row],[usage_date]],"mmmm")</f>
        <v>February</v>
      </c>
      <c r="E4036" s="9">
        <f>YEAR(Table3[[#This Row],[usage_date]])</f>
        <v>2022</v>
      </c>
      <c r="F4036" s="14">
        <v>4.7300000000000004</v>
      </c>
      <c r="G4036">
        <v>254</v>
      </c>
      <c r="H4036" t="s">
        <v>12</v>
      </c>
      <c r="I4036" t="str">
        <f t="shared" si="63"/>
        <v>Normal Usage</v>
      </c>
    </row>
    <row r="4037" spans="1:9" x14ac:dyDescent="0.3">
      <c r="A4037">
        <v>14036</v>
      </c>
      <c r="B4037">
        <v>313</v>
      </c>
      <c r="C4037" s="2">
        <v>44738</v>
      </c>
      <c r="D4037" s="2" t="str">
        <f>TEXT(Table3[[#This Row],[usage_date]],"mmmm")</f>
        <v>June</v>
      </c>
      <c r="E4037" s="9">
        <f>YEAR(Table3[[#This Row],[usage_date]])</f>
        <v>2022</v>
      </c>
      <c r="F4037" s="14">
        <v>2.4</v>
      </c>
      <c r="G4037">
        <v>224</v>
      </c>
      <c r="H4037" t="s">
        <v>12</v>
      </c>
      <c r="I4037" t="str">
        <f t="shared" si="63"/>
        <v>Normal Usage</v>
      </c>
    </row>
    <row r="4038" spans="1:9" x14ac:dyDescent="0.3">
      <c r="A4038">
        <v>14037</v>
      </c>
      <c r="B4038">
        <v>308</v>
      </c>
      <c r="C4038" s="2">
        <v>44624</v>
      </c>
      <c r="D4038" s="2" t="str">
        <f>TEXT(Table3[[#This Row],[usage_date]],"mmmm")</f>
        <v>March</v>
      </c>
      <c r="E4038" s="9">
        <f>YEAR(Table3[[#This Row],[usage_date]])</f>
        <v>2022</v>
      </c>
      <c r="F4038" s="14">
        <v>0.52</v>
      </c>
      <c r="G4038">
        <v>209</v>
      </c>
      <c r="H4038" t="s">
        <v>13</v>
      </c>
      <c r="I4038" t="str">
        <f t="shared" si="63"/>
        <v>Normal Usage</v>
      </c>
    </row>
    <row r="4039" spans="1:9" x14ac:dyDescent="0.3">
      <c r="A4039">
        <v>14038</v>
      </c>
      <c r="B4039">
        <v>137</v>
      </c>
      <c r="C4039" s="2">
        <v>45122</v>
      </c>
      <c r="D4039" s="2" t="str">
        <f>TEXT(Table3[[#This Row],[usage_date]],"mmmm")</f>
        <v>July</v>
      </c>
      <c r="E4039" s="9">
        <f>YEAR(Table3[[#This Row],[usage_date]])</f>
        <v>2023</v>
      </c>
      <c r="F4039" s="14">
        <v>0.49</v>
      </c>
      <c r="G4039">
        <v>22</v>
      </c>
      <c r="H4039" t="s">
        <v>12</v>
      </c>
      <c r="I4039" t="str">
        <f t="shared" si="63"/>
        <v>Normal Usage</v>
      </c>
    </row>
    <row r="4040" spans="1:9" x14ac:dyDescent="0.3">
      <c r="A4040">
        <v>14039</v>
      </c>
      <c r="B4040">
        <v>182</v>
      </c>
      <c r="C4040" s="2">
        <v>44868</v>
      </c>
      <c r="D4040" s="2" t="str">
        <f>TEXT(Table3[[#This Row],[usage_date]],"mmmm")</f>
        <v>November</v>
      </c>
      <c r="E4040" s="9">
        <f>YEAR(Table3[[#This Row],[usage_date]])</f>
        <v>2022</v>
      </c>
      <c r="F4040" s="14">
        <v>5.16</v>
      </c>
      <c r="G4040">
        <v>234</v>
      </c>
      <c r="H4040" t="s">
        <v>13</v>
      </c>
      <c r="I4040" t="str">
        <f t="shared" si="63"/>
        <v>Normal Usage</v>
      </c>
    </row>
    <row r="4041" spans="1:9" x14ac:dyDescent="0.3">
      <c r="A4041">
        <v>14040</v>
      </c>
      <c r="B4041">
        <v>367</v>
      </c>
      <c r="C4041" s="2">
        <v>44807</v>
      </c>
      <c r="D4041" s="2" t="str">
        <f>TEXT(Table3[[#This Row],[usage_date]],"mmmm")</f>
        <v>September</v>
      </c>
      <c r="E4041" s="9">
        <f>YEAR(Table3[[#This Row],[usage_date]])</f>
        <v>2022</v>
      </c>
      <c r="F4041" s="14">
        <v>3.39</v>
      </c>
      <c r="G4041">
        <v>130</v>
      </c>
      <c r="H4041" t="s">
        <v>12</v>
      </c>
      <c r="I4041" t="str">
        <f t="shared" si="63"/>
        <v>Normal Usage</v>
      </c>
    </row>
    <row r="4042" spans="1:9" x14ac:dyDescent="0.3">
      <c r="A4042">
        <v>14041</v>
      </c>
      <c r="B4042">
        <v>1</v>
      </c>
      <c r="C4042" s="2">
        <v>44850</v>
      </c>
      <c r="D4042" s="2" t="str">
        <f>TEXT(Table3[[#This Row],[usage_date]],"mmmm")</f>
        <v>October</v>
      </c>
      <c r="E4042" s="9">
        <f>YEAR(Table3[[#This Row],[usage_date]])</f>
        <v>2022</v>
      </c>
      <c r="F4042" s="14">
        <v>2.69</v>
      </c>
      <c r="G4042">
        <v>157</v>
      </c>
      <c r="H4042" t="s">
        <v>12</v>
      </c>
      <c r="I4042" t="str">
        <f t="shared" si="63"/>
        <v>Normal Usage</v>
      </c>
    </row>
    <row r="4043" spans="1:9" x14ac:dyDescent="0.3">
      <c r="A4043">
        <v>14042</v>
      </c>
      <c r="B4043">
        <v>44</v>
      </c>
      <c r="C4043" s="2">
        <v>45359</v>
      </c>
      <c r="D4043" s="2" t="str">
        <f>TEXT(Table3[[#This Row],[usage_date]],"mmmm")</f>
        <v>March</v>
      </c>
      <c r="E4043" s="9">
        <f>YEAR(Table3[[#This Row],[usage_date]])</f>
        <v>2024</v>
      </c>
      <c r="F4043" s="14">
        <v>1.31</v>
      </c>
      <c r="G4043">
        <v>172</v>
      </c>
      <c r="H4043" t="s">
        <v>12</v>
      </c>
      <c r="I4043" t="str">
        <f t="shared" si="63"/>
        <v>Normal Usage</v>
      </c>
    </row>
    <row r="4044" spans="1:9" x14ac:dyDescent="0.3">
      <c r="A4044">
        <v>14043</v>
      </c>
      <c r="B4044">
        <v>227</v>
      </c>
      <c r="C4044" s="2">
        <v>44893</v>
      </c>
      <c r="D4044" s="2" t="str">
        <f>TEXT(Table3[[#This Row],[usage_date]],"mmmm")</f>
        <v>November</v>
      </c>
      <c r="E4044" s="9">
        <f>YEAR(Table3[[#This Row],[usage_date]])</f>
        <v>2022</v>
      </c>
      <c r="F4044" s="14">
        <v>0.76</v>
      </c>
      <c r="G4044">
        <v>16</v>
      </c>
      <c r="H4044" t="s">
        <v>13</v>
      </c>
      <c r="I4044" t="str">
        <f t="shared" si="63"/>
        <v>Normal Usage</v>
      </c>
    </row>
    <row r="4045" spans="1:9" x14ac:dyDescent="0.3">
      <c r="A4045">
        <v>14044</v>
      </c>
      <c r="B4045">
        <v>331</v>
      </c>
      <c r="C4045" s="2">
        <v>45088</v>
      </c>
      <c r="D4045" s="2" t="str">
        <f>TEXT(Table3[[#This Row],[usage_date]],"mmmm")</f>
        <v>June</v>
      </c>
      <c r="E4045" s="9">
        <f>YEAR(Table3[[#This Row],[usage_date]])</f>
        <v>2023</v>
      </c>
      <c r="F4045" s="14">
        <v>9.7100000000000009</v>
      </c>
      <c r="G4045">
        <v>184</v>
      </c>
      <c r="H4045" t="s">
        <v>12</v>
      </c>
      <c r="I4045" t="str">
        <f t="shared" si="63"/>
        <v>High Usage</v>
      </c>
    </row>
    <row r="4046" spans="1:9" x14ac:dyDescent="0.3">
      <c r="A4046">
        <v>14045</v>
      </c>
      <c r="B4046">
        <v>98</v>
      </c>
      <c r="C4046" s="2">
        <v>45411</v>
      </c>
      <c r="D4046" s="2" t="str">
        <f>TEXT(Table3[[#This Row],[usage_date]],"mmmm")</f>
        <v>April</v>
      </c>
      <c r="E4046" s="9">
        <f>YEAR(Table3[[#This Row],[usage_date]])</f>
        <v>2024</v>
      </c>
      <c r="F4046" s="14">
        <v>3.99</v>
      </c>
      <c r="G4046">
        <v>183</v>
      </c>
      <c r="H4046" t="s">
        <v>13</v>
      </c>
      <c r="I4046" t="str">
        <f t="shared" si="63"/>
        <v>Normal Usage</v>
      </c>
    </row>
    <row r="4047" spans="1:9" x14ac:dyDescent="0.3">
      <c r="A4047">
        <v>14046</v>
      </c>
      <c r="B4047">
        <v>208</v>
      </c>
      <c r="C4047" s="2">
        <v>44816</v>
      </c>
      <c r="D4047" s="2" t="str">
        <f>TEXT(Table3[[#This Row],[usage_date]],"mmmm")</f>
        <v>September</v>
      </c>
      <c r="E4047" s="9">
        <f>YEAR(Table3[[#This Row],[usage_date]])</f>
        <v>2022</v>
      </c>
      <c r="F4047" s="14">
        <v>0.9</v>
      </c>
      <c r="G4047">
        <v>142</v>
      </c>
      <c r="H4047" t="s">
        <v>12</v>
      </c>
      <c r="I4047" t="str">
        <f t="shared" si="63"/>
        <v>Normal Usage</v>
      </c>
    </row>
    <row r="4048" spans="1:9" x14ac:dyDescent="0.3">
      <c r="A4048">
        <v>14047</v>
      </c>
      <c r="B4048">
        <v>265</v>
      </c>
      <c r="C4048" s="2">
        <v>45165</v>
      </c>
      <c r="D4048" s="2" t="str">
        <f>TEXT(Table3[[#This Row],[usage_date]],"mmmm")</f>
        <v>August</v>
      </c>
      <c r="E4048" s="9">
        <f>YEAR(Table3[[#This Row],[usage_date]])</f>
        <v>2023</v>
      </c>
      <c r="F4048" s="14">
        <v>4.7</v>
      </c>
      <c r="G4048">
        <v>43</v>
      </c>
      <c r="H4048" t="s">
        <v>12</v>
      </c>
      <c r="I4048" t="str">
        <f t="shared" si="63"/>
        <v>Normal Usage</v>
      </c>
    </row>
    <row r="4049" spans="1:9" x14ac:dyDescent="0.3">
      <c r="A4049">
        <v>14048</v>
      </c>
      <c r="B4049">
        <v>288</v>
      </c>
      <c r="C4049" s="2">
        <v>45071</v>
      </c>
      <c r="D4049" s="2" t="str">
        <f>TEXT(Table3[[#This Row],[usage_date]],"mmmm")</f>
        <v>May</v>
      </c>
      <c r="E4049" s="9">
        <f>YEAR(Table3[[#This Row],[usage_date]])</f>
        <v>2023</v>
      </c>
      <c r="F4049" s="14">
        <v>3.56</v>
      </c>
      <c r="G4049">
        <v>11</v>
      </c>
      <c r="H4049" t="s">
        <v>13</v>
      </c>
      <c r="I4049" t="str">
        <f t="shared" si="63"/>
        <v>Normal Usage</v>
      </c>
    </row>
    <row r="4050" spans="1:9" x14ac:dyDescent="0.3">
      <c r="A4050">
        <v>14049</v>
      </c>
      <c r="B4050">
        <v>271</v>
      </c>
      <c r="C4050" s="2">
        <v>45352</v>
      </c>
      <c r="D4050" s="2" t="str">
        <f>TEXT(Table3[[#This Row],[usage_date]],"mmmm")</f>
        <v>March</v>
      </c>
      <c r="E4050" s="9">
        <f>YEAR(Table3[[#This Row],[usage_date]])</f>
        <v>2024</v>
      </c>
      <c r="F4050" s="14">
        <v>0.88</v>
      </c>
      <c r="G4050">
        <v>7</v>
      </c>
      <c r="H4050" t="s">
        <v>12</v>
      </c>
      <c r="I4050" t="str">
        <f t="shared" si="63"/>
        <v>Normal Usage</v>
      </c>
    </row>
    <row r="4051" spans="1:9" x14ac:dyDescent="0.3">
      <c r="A4051">
        <v>14050</v>
      </c>
      <c r="B4051">
        <v>140</v>
      </c>
      <c r="C4051" s="2">
        <v>45279</v>
      </c>
      <c r="D4051" s="2" t="str">
        <f>TEXT(Table3[[#This Row],[usage_date]],"mmmm")</f>
        <v>December</v>
      </c>
      <c r="E4051" s="9">
        <f>YEAR(Table3[[#This Row],[usage_date]])</f>
        <v>2023</v>
      </c>
      <c r="F4051" s="14">
        <v>1.39</v>
      </c>
      <c r="G4051">
        <v>79</v>
      </c>
      <c r="H4051" t="s">
        <v>13</v>
      </c>
      <c r="I4051" t="str">
        <f t="shared" si="63"/>
        <v>Normal Usage</v>
      </c>
    </row>
    <row r="4052" spans="1:9" x14ac:dyDescent="0.3">
      <c r="A4052">
        <v>14051</v>
      </c>
      <c r="B4052">
        <v>481</v>
      </c>
      <c r="C4052" s="2">
        <v>45167</v>
      </c>
      <c r="D4052" s="2" t="str">
        <f>TEXT(Table3[[#This Row],[usage_date]],"mmmm")</f>
        <v>August</v>
      </c>
      <c r="E4052" s="9">
        <f>YEAR(Table3[[#This Row],[usage_date]])</f>
        <v>2023</v>
      </c>
      <c r="F4052" s="14">
        <v>0.51</v>
      </c>
      <c r="G4052">
        <v>296</v>
      </c>
      <c r="H4052" t="s">
        <v>12</v>
      </c>
      <c r="I4052" t="str">
        <f t="shared" si="63"/>
        <v>Normal Usage</v>
      </c>
    </row>
    <row r="4053" spans="1:9" x14ac:dyDescent="0.3">
      <c r="A4053">
        <v>14052</v>
      </c>
      <c r="B4053">
        <v>237</v>
      </c>
      <c r="C4053" s="2">
        <v>45298</v>
      </c>
      <c r="D4053" s="2" t="str">
        <f>TEXT(Table3[[#This Row],[usage_date]],"mmmm")</f>
        <v>January</v>
      </c>
      <c r="E4053" s="9">
        <f>YEAR(Table3[[#This Row],[usage_date]])</f>
        <v>2024</v>
      </c>
      <c r="F4053" s="14">
        <v>0.28999999999999998</v>
      </c>
      <c r="G4053">
        <v>161</v>
      </c>
      <c r="H4053" t="s">
        <v>13</v>
      </c>
      <c r="I4053" t="str">
        <f t="shared" si="63"/>
        <v>Normal Usage</v>
      </c>
    </row>
    <row r="4054" spans="1:9" x14ac:dyDescent="0.3">
      <c r="A4054">
        <v>14053</v>
      </c>
      <c r="B4054">
        <v>462</v>
      </c>
      <c r="C4054" s="2">
        <v>45374</v>
      </c>
      <c r="D4054" s="2" t="str">
        <f>TEXT(Table3[[#This Row],[usage_date]],"mmmm")</f>
        <v>March</v>
      </c>
      <c r="E4054" s="9">
        <f>YEAR(Table3[[#This Row],[usage_date]])</f>
        <v>2024</v>
      </c>
      <c r="F4054" s="14">
        <v>3.21</v>
      </c>
      <c r="G4054">
        <v>215</v>
      </c>
      <c r="H4054" t="s">
        <v>12</v>
      </c>
      <c r="I4054" t="str">
        <f t="shared" si="63"/>
        <v>Normal Usage</v>
      </c>
    </row>
    <row r="4055" spans="1:9" x14ac:dyDescent="0.3">
      <c r="A4055">
        <v>14054</v>
      </c>
      <c r="B4055">
        <v>441</v>
      </c>
      <c r="C4055" s="2">
        <v>45391</v>
      </c>
      <c r="D4055" s="2" t="str">
        <f>TEXT(Table3[[#This Row],[usage_date]],"mmmm")</f>
        <v>April</v>
      </c>
      <c r="E4055" s="9">
        <f>YEAR(Table3[[#This Row],[usage_date]])</f>
        <v>2024</v>
      </c>
      <c r="F4055" s="14">
        <v>0.78</v>
      </c>
      <c r="G4055">
        <v>247</v>
      </c>
      <c r="H4055" t="s">
        <v>12</v>
      </c>
      <c r="I4055" t="str">
        <f t="shared" si="63"/>
        <v>Normal Usage</v>
      </c>
    </row>
    <row r="4056" spans="1:9" x14ac:dyDescent="0.3">
      <c r="A4056">
        <v>14055</v>
      </c>
      <c r="B4056">
        <v>392</v>
      </c>
      <c r="C4056" s="2">
        <v>45024</v>
      </c>
      <c r="D4056" s="2" t="str">
        <f>TEXT(Table3[[#This Row],[usage_date]],"mmmm")</f>
        <v>April</v>
      </c>
      <c r="E4056" s="9">
        <f>YEAR(Table3[[#This Row],[usage_date]])</f>
        <v>2023</v>
      </c>
      <c r="F4056" s="14">
        <v>4.29</v>
      </c>
      <c r="G4056">
        <v>28</v>
      </c>
      <c r="H4056" t="s">
        <v>13</v>
      </c>
      <c r="I4056" t="str">
        <f t="shared" si="63"/>
        <v>Normal Usage</v>
      </c>
    </row>
    <row r="4057" spans="1:9" x14ac:dyDescent="0.3">
      <c r="A4057">
        <v>14056</v>
      </c>
      <c r="B4057">
        <v>72</v>
      </c>
      <c r="C4057" s="2">
        <v>44760</v>
      </c>
      <c r="D4057" s="2" t="str">
        <f>TEXT(Table3[[#This Row],[usage_date]],"mmmm")</f>
        <v>July</v>
      </c>
      <c r="E4057" s="9">
        <f>YEAR(Table3[[#This Row],[usage_date]])</f>
        <v>2022</v>
      </c>
      <c r="F4057" s="14">
        <v>13.57</v>
      </c>
      <c r="G4057">
        <v>271</v>
      </c>
      <c r="H4057" t="s">
        <v>12</v>
      </c>
      <c r="I4057" t="str">
        <f t="shared" si="63"/>
        <v>High Usage</v>
      </c>
    </row>
    <row r="4058" spans="1:9" x14ac:dyDescent="0.3">
      <c r="A4058">
        <v>14057</v>
      </c>
      <c r="B4058">
        <v>155</v>
      </c>
      <c r="C4058" s="2">
        <v>44832</v>
      </c>
      <c r="D4058" s="2" t="str">
        <f>TEXT(Table3[[#This Row],[usage_date]],"mmmm")</f>
        <v>September</v>
      </c>
      <c r="E4058" s="9">
        <f>YEAR(Table3[[#This Row],[usage_date]])</f>
        <v>2022</v>
      </c>
      <c r="F4058" s="14">
        <v>0.2</v>
      </c>
      <c r="G4058">
        <v>132</v>
      </c>
      <c r="H4058" t="s">
        <v>12</v>
      </c>
      <c r="I4058" t="str">
        <f t="shared" si="63"/>
        <v>Normal Usage</v>
      </c>
    </row>
    <row r="4059" spans="1:9" x14ac:dyDescent="0.3">
      <c r="A4059">
        <v>14058</v>
      </c>
      <c r="B4059">
        <v>190</v>
      </c>
      <c r="C4059" s="2">
        <v>45307</v>
      </c>
      <c r="D4059" s="2" t="str">
        <f>TEXT(Table3[[#This Row],[usage_date]],"mmmm")</f>
        <v>January</v>
      </c>
      <c r="E4059" s="9">
        <f>YEAR(Table3[[#This Row],[usage_date]])</f>
        <v>2024</v>
      </c>
      <c r="F4059" s="14">
        <v>1.6</v>
      </c>
      <c r="G4059">
        <v>4</v>
      </c>
      <c r="H4059" t="s">
        <v>12</v>
      </c>
      <c r="I4059" t="str">
        <f t="shared" si="63"/>
        <v>Normal Usage</v>
      </c>
    </row>
    <row r="4060" spans="1:9" x14ac:dyDescent="0.3">
      <c r="A4060">
        <v>14059</v>
      </c>
      <c r="B4060">
        <v>268</v>
      </c>
      <c r="C4060" s="2">
        <v>45119</v>
      </c>
      <c r="D4060" s="2" t="str">
        <f>TEXT(Table3[[#This Row],[usage_date]],"mmmm")</f>
        <v>July</v>
      </c>
      <c r="E4060" s="9">
        <f>YEAR(Table3[[#This Row],[usage_date]])</f>
        <v>2023</v>
      </c>
      <c r="F4060" s="14">
        <v>4.05</v>
      </c>
      <c r="G4060">
        <v>243</v>
      </c>
      <c r="H4060" t="s">
        <v>12</v>
      </c>
      <c r="I4060" t="str">
        <f t="shared" si="63"/>
        <v>Normal Usage</v>
      </c>
    </row>
    <row r="4061" spans="1:9" x14ac:dyDescent="0.3">
      <c r="A4061">
        <v>14060</v>
      </c>
      <c r="B4061">
        <v>321</v>
      </c>
      <c r="C4061" s="2">
        <v>44625</v>
      </c>
      <c r="D4061" s="2" t="str">
        <f>TEXT(Table3[[#This Row],[usage_date]],"mmmm")</f>
        <v>March</v>
      </c>
      <c r="E4061" s="9">
        <f>YEAR(Table3[[#This Row],[usage_date]])</f>
        <v>2022</v>
      </c>
      <c r="F4061" s="14">
        <v>3.89</v>
      </c>
      <c r="G4061">
        <v>29</v>
      </c>
      <c r="H4061" t="s">
        <v>13</v>
      </c>
      <c r="I4061" t="str">
        <f t="shared" si="63"/>
        <v>Normal Usage</v>
      </c>
    </row>
    <row r="4062" spans="1:9" x14ac:dyDescent="0.3">
      <c r="A4062">
        <v>14061</v>
      </c>
      <c r="B4062">
        <v>107</v>
      </c>
      <c r="C4062" s="2">
        <v>44791</v>
      </c>
      <c r="D4062" s="2" t="str">
        <f>TEXT(Table3[[#This Row],[usage_date]],"mmmm")</f>
        <v>August</v>
      </c>
      <c r="E4062" s="9">
        <f>YEAR(Table3[[#This Row],[usage_date]])</f>
        <v>2022</v>
      </c>
      <c r="F4062" s="14">
        <v>3.57</v>
      </c>
      <c r="G4062">
        <v>116</v>
      </c>
      <c r="H4062" t="s">
        <v>12</v>
      </c>
      <c r="I4062" t="str">
        <f t="shared" si="63"/>
        <v>Normal Usage</v>
      </c>
    </row>
    <row r="4063" spans="1:9" x14ac:dyDescent="0.3">
      <c r="A4063">
        <v>14062</v>
      </c>
      <c r="B4063">
        <v>232</v>
      </c>
      <c r="C4063" s="2">
        <v>44810</v>
      </c>
      <c r="D4063" s="2" t="str">
        <f>TEXT(Table3[[#This Row],[usage_date]],"mmmm")</f>
        <v>September</v>
      </c>
      <c r="E4063" s="9">
        <f>YEAR(Table3[[#This Row],[usage_date]])</f>
        <v>2022</v>
      </c>
      <c r="F4063" s="14">
        <v>1.07</v>
      </c>
      <c r="G4063">
        <v>177</v>
      </c>
      <c r="H4063" t="s">
        <v>12</v>
      </c>
      <c r="I4063" t="str">
        <f t="shared" si="63"/>
        <v>Normal Usage</v>
      </c>
    </row>
    <row r="4064" spans="1:9" x14ac:dyDescent="0.3">
      <c r="A4064">
        <v>14063</v>
      </c>
      <c r="B4064">
        <v>42</v>
      </c>
      <c r="C4064" s="2">
        <v>44807</v>
      </c>
      <c r="D4064" s="2" t="str">
        <f>TEXT(Table3[[#This Row],[usage_date]],"mmmm")</f>
        <v>September</v>
      </c>
      <c r="E4064" s="9">
        <f>YEAR(Table3[[#This Row],[usage_date]])</f>
        <v>2022</v>
      </c>
      <c r="F4064" s="14">
        <v>1.51</v>
      </c>
      <c r="G4064">
        <v>260</v>
      </c>
      <c r="H4064" t="s">
        <v>12</v>
      </c>
      <c r="I4064" t="str">
        <f t="shared" si="63"/>
        <v>Normal Usage</v>
      </c>
    </row>
    <row r="4065" spans="1:9" x14ac:dyDescent="0.3">
      <c r="A4065">
        <v>14064</v>
      </c>
      <c r="B4065">
        <v>190</v>
      </c>
      <c r="C4065" s="2">
        <v>45148</v>
      </c>
      <c r="D4065" s="2" t="str">
        <f>TEXT(Table3[[#This Row],[usage_date]],"mmmm")</f>
        <v>August</v>
      </c>
      <c r="E4065" s="9">
        <f>YEAR(Table3[[#This Row],[usage_date]])</f>
        <v>2023</v>
      </c>
      <c r="F4065" s="14">
        <v>2.2599999999999998</v>
      </c>
      <c r="G4065">
        <v>234</v>
      </c>
      <c r="H4065" t="s">
        <v>13</v>
      </c>
      <c r="I4065" t="str">
        <f t="shared" si="63"/>
        <v>Normal Usage</v>
      </c>
    </row>
    <row r="4066" spans="1:9" x14ac:dyDescent="0.3">
      <c r="A4066">
        <v>14065</v>
      </c>
      <c r="B4066">
        <v>371</v>
      </c>
      <c r="C4066" s="2">
        <v>44718</v>
      </c>
      <c r="D4066" s="2" t="str">
        <f>TEXT(Table3[[#This Row],[usage_date]],"mmmm")</f>
        <v>June</v>
      </c>
      <c r="E4066" s="9">
        <f>YEAR(Table3[[#This Row],[usage_date]])</f>
        <v>2022</v>
      </c>
      <c r="F4066" s="14">
        <v>9.1199999999999992</v>
      </c>
      <c r="G4066">
        <v>140</v>
      </c>
      <c r="H4066" t="s">
        <v>12</v>
      </c>
      <c r="I4066" t="str">
        <f t="shared" si="63"/>
        <v>High Usage</v>
      </c>
    </row>
    <row r="4067" spans="1:9" x14ac:dyDescent="0.3">
      <c r="A4067">
        <v>14066</v>
      </c>
      <c r="B4067">
        <v>139</v>
      </c>
      <c r="C4067" s="2">
        <v>45296</v>
      </c>
      <c r="D4067" s="2" t="str">
        <f>TEXT(Table3[[#This Row],[usage_date]],"mmmm")</f>
        <v>January</v>
      </c>
      <c r="E4067" s="9">
        <f>YEAR(Table3[[#This Row],[usage_date]])</f>
        <v>2024</v>
      </c>
      <c r="F4067" s="14">
        <v>0.99</v>
      </c>
      <c r="G4067">
        <v>49</v>
      </c>
      <c r="H4067" t="s">
        <v>12</v>
      </c>
      <c r="I4067" t="str">
        <f t="shared" si="63"/>
        <v>Normal Usage</v>
      </c>
    </row>
    <row r="4068" spans="1:9" x14ac:dyDescent="0.3">
      <c r="A4068">
        <v>14067</v>
      </c>
      <c r="B4068">
        <v>103</v>
      </c>
      <c r="C4068" s="2">
        <v>45263</v>
      </c>
      <c r="D4068" s="2" t="str">
        <f>TEXT(Table3[[#This Row],[usage_date]],"mmmm")</f>
        <v>December</v>
      </c>
      <c r="E4068" s="9">
        <f>YEAR(Table3[[#This Row],[usage_date]])</f>
        <v>2023</v>
      </c>
      <c r="F4068" s="14">
        <v>6.41</v>
      </c>
      <c r="G4068">
        <v>269</v>
      </c>
      <c r="H4068" t="s">
        <v>12</v>
      </c>
      <c r="I4068" t="str">
        <f t="shared" si="63"/>
        <v>High Usage</v>
      </c>
    </row>
    <row r="4069" spans="1:9" x14ac:dyDescent="0.3">
      <c r="A4069">
        <v>14068</v>
      </c>
      <c r="B4069">
        <v>171</v>
      </c>
      <c r="C4069" s="2">
        <v>45125</v>
      </c>
      <c r="D4069" s="2" t="str">
        <f>TEXT(Table3[[#This Row],[usage_date]],"mmmm")</f>
        <v>July</v>
      </c>
      <c r="E4069" s="9">
        <f>YEAR(Table3[[#This Row],[usage_date]])</f>
        <v>2023</v>
      </c>
      <c r="F4069" s="14">
        <v>0.78</v>
      </c>
      <c r="G4069">
        <v>107</v>
      </c>
      <c r="H4069" t="s">
        <v>12</v>
      </c>
      <c r="I4069" t="str">
        <f t="shared" si="63"/>
        <v>Normal Usage</v>
      </c>
    </row>
    <row r="4070" spans="1:9" x14ac:dyDescent="0.3">
      <c r="A4070">
        <v>14069</v>
      </c>
      <c r="B4070">
        <v>351</v>
      </c>
      <c r="C4070" s="2">
        <v>44649</v>
      </c>
      <c r="D4070" s="2" t="str">
        <f>TEXT(Table3[[#This Row],[usage_date]],"mmmm")</f>
        <v>March</v>
      </c>
      <c r="E4070" s="9">
        <f>YEAR(Table3[[#This Row],[usage_date]])</f>
        <v>2022</v>
      </c>
      <c r="F4070" s="14">
        <v>11.29</v>
      </c>
      <c r="G4070">
        <v>45</v>
      </c>
      <c r="H4070" t="s">
        <v>13</v>
      </c>
      <c r="I4070" t="str">
        <f t="shared" si="63"/>
        <v>High Usage</v>
      </c>
    </row>
    <row r="4071" spans="1:9" x14ac:dyDescent="0.3">
      <c r="A4071">
        <v>14070</v>
      </c>
      <c r="B4071">
        <v>273</v>
      </c>
      <c r="C4071" s="2">
        <v>44874</v>
      </c>
      <c r="D4071" s="2" t="str">
        <f>TEXT(Table3[[#This Row],[usage_date]],"mmmm")</f>
        <v>November</v>
      </c>
      <c r="E4071" s="9">
        <f>YEAR(Table3[[#This Row],[usage_date]])</f>
        <v>2022</v>
      </c>
      <c r="F4071" s="14">
        <v>2.77</v>
      </c>
      <c r="G4071">
        <v>81</v>
      </c>
      <c r="H4071" t="s">
        <v>12</v>
      </c>
      <c r="I4071" t="str">
        <f t="shared" si="63"/>
        <v>Normal Usage</v>
      </c>
    </row>
    <row r="4072" spans="1:9" x14ac:dyDescent="0.3">
      <c r="A4072">
        <v>14071</v>
      </c>
      <c r="B4072">
        <v>481</v>
      </c>
      <c r="C4072" s="2">
        <v>45412</v>
      </c>
      <c r="D4072" s="2" t="str">
        <f>TEXT(Table3[[#This Row],[usage_date]],"mmmm")</f>
        <v>April</v>
      </c>
      <c r="E4072" s="9">
        <f>YEAR(Table3[[#This Row],[usage_date]])</f>
        <v>2024</v>
      </c>
      <c r="F4072" s="14">
        <v>1.56</v>
      </c>
      <c r="G4072">
        <v>125</v>
      </c>
      <c r="H4072" t="s">
        <v>12</v>
      </c>
      <c r="I4072" t="str">
        <f t="shared" si="63"/>
        <v>Normal Usage</v>
      </c>
    </row>
    <row r="4073" spans="1:9" x14ac:dyDescent="0.3">
      <c r="A4073">
        <v>14072</v>
      </c>
      <c r="B4073">
        <v>416</v>
      </c>
      <c r="C4073" s="2">
        <v>44627</v>
      </c>
      <c r="D4073" s="2" t="str">
        <f>TEXT(Table3[[#This Row],[usage_date]],"mmmm")</f>
        <v>March</v>
      </c>
      <c r="E4073" s="9">
        <f>YEAR(Table3[[#This Row],[usage_date]])</f>
        <v>2022</v>
      </c>
      <c r="F4073" s="14">
        <v>2.38</v>
      </c>
      <c r="G4073">
        <v>83</v>
      </c>
      <c r="H4073" t="s">
        <v>12</v>
      </c>
      <c r="I4073" t="str">
        <f t="shared" si="63"/>
        <v>Normal Usage</v>
      </c>
    </row>
    <row r="4074" spans="1:9" x14ac:dyDescent="0.3">
      <c r="A4074">
        <v>14073</v>
      </c>
      <c r="B4074">
        <v>221</v>
      </c>
      <c r="C4074" s="2">
        <v>45223</v>
      </c>
      <c r="D4074" s="2" t="str">
        <f>TEXT(Table3[[#This Row],[usage_date]],"mmmm")</f>
        <v>October</v>
      </c>
      <c r="E4074" s="9">
        <f>YEAR(Table3[[#This Row],[usage_date]])</f>
        <v>2023</v>
      </c>
      <c r="F4074" s="14">
        <v>0.8</v>
      </c>
      <c r="G4074">
        <v>289</v>
      </c>
      <c r="H4074" t="s">
        <v>13</v>
      </c>
      <c r="I4074" t="str">
        <f t="shared" si="63"/>
        <v>Normal Usage</v>
      </c>
    </row>
    <row r="4075" spans="1:9" x14ac:dyDescent="0.3">
      <c r="A4075">
        <v>14074</v>
      </c>
      <c r="B4075">
        <v>213</v>
      </c>
      <c r="C4075" s="2">
        <v>44581</v>
      </c>
      <c r="D4075" s="2" t="str">
        <f>TEXT(Table3[[#This Row],[usage_date]],"mmmm")</f>
        <v>January</v>
      </c>
      <c r="E4075" s="9">
        <f>YEAR(Table3[[#This Row],[usage_date]])</f>
        <v>2022</v>
      </c>
      <c r="F4075" s="14">
        <v>0.8</v>
      </c>
      <c r="G4075">
        <v>70</v>
      </c>
      <c r="H4075" t="s">
        <v>12</v>
      </c>
      <c r="I4075" t="str">
        <f t="shared" si="63"/>
        <v>Normal Usage</v>
      </c>
    </row>
    <row r="4076" spans="1:9" x14ac:dyDescent="0.3">
      <c r="A4076">
        <v>14075</v>
      </c>
      <c r="B4076">
        <v>341</v>
      </c>
      <c r="C4076" s="2">
        <v>44594</v>
      </c>
      <c r="D4076" s="2" t="str">
        <f>TEXT(Table3[[#This Row],[usage_date]],"mmmm")</f>
        <v>February</v>
      </c>
      <c r="E4076" s="9">
        <f>YEAR(Table3[[#This Row],[usage_date]])</f>
        <v>2022</v>
      </c>
      <c r="F4076" s="14">
        <v>0.3</v>
      </c>
      <c r="G4076">
        <v>174</v>
      </c>
      <c r="H4076" t="s">
        <v>12</v>
      </c>
      <c r="I4076" t="str">
        <f t="shared" si="63"/>
        <v>Normal Usage</v>
      </c>
    </row>
    <row r="4077" spans="1:9" x14ac:dyDescent="0.3">
      <c r="A4077">
        <v>14076</v>
      </c>
      <c r="B4077">
        <v>424</v>
      </c>
      <c r="C4077" s="2">
        <v>45401</v>
      </c>
      <c r="D4077" s="2" t="str">
        <f>TEXT(Table3[[#This Row],[usage_date]],"mmmm")</f>
        <v>April</v>
      </c>
      <c r="E4077" s="9">
        <f>YEAR(Table3[[#This Row],[usage_date]])</f>
        <v>2024</v>
      </c>
      <c r="F4077" s="14">
        <v>0.3</v>
      </c>
      <c r="G4077">
        <v>90</v>
      </c>
      <c r="H4077" t="s">
        <v>12</v>
      </c>
      <c r="I4077" t="str">
        <f t="shared" si="63"/>
        <v>Normal Usage</v>
      </c>
    </row>
    <row r="4078" spans="1:9" x14ac:dyDescent="0.3">
      <c r="A4078">
        <v>14077</v>
      </c>
      <c r="B4078">
        <v>407</v>
      </c>
      <c r="C4078" s="2">
        <v>45354</v>
      </c>
      <c r="D4078" s="2" t="str">
        <f>TEXT(Table3[[#This Row],[usage_date]],"mmmm")</f>
        <v>March</v>
      </c>
      <c r="E4078" s="9">
        <f>YEAR(Table3[[#This Row],[usage_date]])</f>
        <v>2024</v>
      </c>
      <c r="F4078" s="14">
        <v>1.07</v>
      </c>
      <c r="G4078">
        <v>248</v>
      </c>
      <c r="H4078" t="s">
        <v>13</v>
      </c>
      <c r="I4078" t="str">
        <f t="shared" si="63"/>
        <v>Normal Usage</v>
      </c>
    </row>
    <row r="4079" spans="1:9" x14ac:dyDescent="0.3">
      <c r="A4079">
        <v>14078</v>
      </c>
      <c r="B4079">
        <v>56</v>
      </c>
      <c r="C4079" s="2">
        <v>45119</v>
      </c>
      <c r="D4079" s="2" t="str">
        <f>TEXT(Table3[[#This Row],[usage_date]],"mmmm")</f>
        <v>July</v>
      </c>
      <c r="E4079" s="9">
        <f>YEAR(Table3[[#This Row],[usage_date]])</f>
        <v>2023</v>
      </c>
      <c r="F4079" s="14">
        <v>3.6</v>
      </c>
      <c r="G4079">
        <v>131</v>
      </c>
      <c r="H4079" t="s">
        <v>12</v>
      </c>
      <c r="I4079" t="str">
        <f t="shared" si="63"/>
        <v>Normal Usage</v>
      </c>
    </row>
    <row r="4080" spans="1:9" x14ac:dyDescent="0.3">
      <c r="A4080">
        <v>14079</v>
      </c>
      <c r="B4080">
        <v>390</v>
      </c>
      <c r="C4080" s="2">
        <v>44634</v>
      </c>
      <c r="D4080" s="2" t="str">
        <f>TEXT(Table3[[#This Row],[usage_date]],"mmmm")</f>
        <v>March</v>
      </c>
      <c r="E4080" s="9">
        <f>YEAR(Table3[[#This Row],[usage_date]])</f>
        <v>2022</v>
      </c>
      <c r="F4080" s="14">
        <v>2.34</v>
      </c>
      <c r="G4080">
        <v>168</v>
      </c>
      <c r="H4080" t="s">
        <v>12</v>
      </c>
      <c r="I4080" t="str">
        <f t="shared" si="63"/>
        <v>Normal Usage</v>
      </c>
    </row>
    <row r="4081" spans="1:9" x14ac:dyDescent="0.3">
      <c r="A4081">
        <v>14080</v>
      </c>
      <c r="B4081">
        <v>342</v>
      </c>
      <c r="C4081" s="2">
        <v>45427</v>
      </c>
      <c r="D4081" s="2" t="str">
        <f>TEXT(Table3[[#This Row],[usage_date]],"mmmm")</f>
        <v>May</v>
      </c>
      <c r="E4081" s="9">
        <f>YEAR(Table3[[#This Row],[usage_date]])</f>
        <v>2024</v>
      </c>
      <c r="F4081" s="14">
        <v>0.27</v>
      </c>
      <c r="G4081">
        <v>59</v>
      </c>
      <c r="H4081" t="s">
        <v>12</v>
      </c>
      <c r="I4081" t="str">
        <f t="shared" si="63"/>
        <v>Normal Usage</v>
      </c>
    </row>
    <row r="4082" spans="1:9" x14ac:dyDescent="0.3">
      <c r="A4082">
        <v>14081</v>
      </c>
      <c r="B4082">
        <v>434</v>
      </c>
      <c r="C4082" s="2">
        <v>45386</v>
      </c>
      <c r="D4082" s="2" t="str">
        <f>TEXT(Table3[[#This Row],[usage_date]],"mmmm")</f>
        <v>April</v>
      </c>
      <c r="E4082" s="9">
        <f>YEAR(Table3[[#This Row],[usage_date]])</f>
        <v>2024</v>
      </c>
      <c r="F4082" s="14">
        <v>4.78</v>
      </c>
      <c r="G4082">
        <v>240</v>
      </c>
      <c r="H4082" t="s">
        <v>12</v>
      </c>
      <c r="I4082" t="str">
        <f t="shared" si="63"/>
        <v>Normal Usage</v>
      </c>
    </row>
    <row r="4083" spans="1:9" x14ac:dyDescent="0.3">
      <c r="A4083">
        <v>14082</v>
      </c>
      <c r="B4083">
        <v>102</v>
      </c>
      <c r="C4083" s="2">
        <v>44904</v>
      </c>
      <c r="D4083" s="2" t="str">
        <f>TEXT(Table3[[#This Row],[usage_date]],"mmmm")</f>
        <v>December</v>
      </c>
      <c r="E4083" s="9">
        <f>YEAR(Table3[[#This Row],[usage_date]])</f>
        <v>2022</v>
      </c>
      <c r="F4083" s="14">
        <v>2.2999999999999998</v>
      </c>
      <c r="G4083">
        <v>189</v>
      </c>
      <c r="H4083" t="s">
        <v>13</v>
      </c>
      <c r="I4083" t="str">
        <f t="shared" si="63"/>
        <v>Normal Usage</v>
      </c>
    </row>
    <row r="4084" spans="1:9" x14ac:dyDescent="0.3">
      <c r="A4084">
        <v>14083</v>
      </c>
      <c r="B4084">
        <v>421</v>
      </c>
      <c r="C4084" s="2">
        <v>44694</v>
      </c>
      <c r="D4084" s="2" t="str">
        <f>TEXT(Table3[[#This Row],[usage_date]],"mmmm")</f>
        <v>May</v>
      </c>
      <c r="E4084" s="9">
        <f>YEAR(Table3[[#This Row],[usage_date]])</f>
        <v>2022</v>
      </c>
      <c r="F4084" s="14">
        <v>8.1</v>
      </c>
      <c r="G4084">
        <v>280</v>
      </c>
      <c r="H4084" t="s">
        <v>12</v>
      </c>
      <c r="I4084" t="str">
        <f t="shared" si="63"/>
        <v>High Usage</v>
      </c>
    </row>
    <row r="4085" spans="1:9" x14ac:dyDescent="0.3">
      <c r="A4085">
        <v>14084</v>
      </c>
      <c r="B4085">
        <v>493</v>
      </c>
      <c r="C4085" s="2">
        <v>44616</v>
      </c>
      <c r="D4085" s="2" t="str">
        <f>TEXT(Table3[[#This Row],[usage_date]],"mmmm")</f>
        <v>February</v>
      </c>
      <c r="E4085" s="9">
        <f>YEAR(Table3[[#This Row],[usage_date]])</f>
        <v>2022</v>
      </c>
      <c r="F4085" s="14">
        <v>2.77</v>
      </c>
      <c r="G4085">
        <v>231</v>
      </c>
      <c r="H4085" t="s">
        <v>13</v>
      </c>
      <c r="I4085" t="str">
        <f t="shared" si="63"/>
        <v>Normal Usage</v>
      </c>
    </row>
    <row r="4086" spans="1:9" x14ac:dyDescent="0.3">
      <c r="A4086">
        <v>14085</v>
      </c>
      <c r="B4086">
        <v>192</v>
      </c>
      <c r="C4086" s="2">
        <v>44622</v>
      </c>
      <c r="D4086" s="2" t="str">
        <f>TEXT(Table3[[#This Row],[usage_date]],"mmmm")</f>
        <v>March</v>
      </c>
      <c r="E4086" s="9">
        <f>YEAR(Table3[[#This Row],[usage_date]])</f>
        <v>2022</v>
      </c>
      <c r="F4086" s="14">
        <v>0.48</v>
      </c>
      <c r="G4086">
        <v>288</v>
      </c>
      <c r="H4086" t="s">
        <v>12</v>
      </c>
      <c r="I4086" t="str">
        <f t="shared" si="63"/>
        <v>Normal Usage</v>
      </c>
    </row>
    <row r="4087" spans="1:9" x14ac:dyDescent="0.3">
      <c r="A4087">
        <v>14086</v>
      </c>
      <c r="B4087">
        <v>499</v>
      </c>
      <c r="C4087" s="2">
        <v>45418</v>
      </c>
      <c r="D4087" s="2" t="str">
        <f>TEXT(Table3[[#This Row],[usage_date]],"mmmm")</f>
        <v>May</v>
      </c>
      <c r="E4087" s="9">
        <f>YEAR(Table3[[#This Row],[usage_date]])</f>
        <v>2024</v>
      </c>
      <c r="F4087" s="14">
        <v>1.61</v>
      </c>
      <c r="G4087">
        <v>274</v>
      </c>
      <c r="H4087" t="s">
        <v>12</v>
      </c>
      <c r="I4087" t="str">
        <f t="shared" si="63"/>
        <v>Normal Usage</v>
      </c>
    </row>
    <row r="4088" spans="1:9" x14ac:dyDescent="0.3">
      <c r="A4088">
        <v>14087</v>
      </c>
      <c r="B4088">
        <v>310</v>
      </c>
      <c r="C4088" s="2">
        <v>45081</v>
      </c>
      <c r="D4088" s="2" t="str">
        <f>TEXT(Table3[[#This Row],[usage_date]],"mmmm")</f>
        <v>June</v>
      </c>
      <c r="E4088" s="9">
        <f>YEAR(Table3[[#This Row],[usage_date]])</f>
        <v>2023</v>
      </c>
      <c r="F4088" s="14">
        <v>2.61</v>
      </c>
      <c r="G4088">
        <v>14</v>
      </c>
      <c r="H4088" t="s">
        <v>12</v>
      </c>
      <c r="I4088" t="str">
        <f t="shared" si="63"/>
        <v>Normal Usage</v>
      </c>
    </row>
    <row r="4089" spans="1:9" x14ac:dyDescent="0.3">
      <c r="A4089">
        <v>14088</v>
      </c>
      <c r="B4089">
        <v>200</v>
      </c>
      <c r="C4089" s="2">
        <v>44833</v>
      </c>
      <c r="D4089" s="2" t="str">
        <f>TEXT(Table3[[#This Row],[usage_date]],"mmmm")</f>
        <v>September</v>
      </c>
      <c r="E4089" s="9">
        <f>YEAR(Table3[[#This Row],[usage_date]])</f>
        <v>2022</v>
      </c>
      <c r="F4089" s="14">
        <v>7.0000000000000007E-2</v>
      </c>
      <c r="G4089">
        <v>40</v>
      </c>
      <c r="H4089" t="s">
        <v>13</v>
      </c>
      <c r="I4089" t="str">
        <f t="shared" si="63"/>
        <v>Normal Usage</v>
      </c>
    </row>
    <row r="4090" spans="1:9" x14ac:dyDescent="0.3">
      <c r="A4090">
        <v>14089</v>
      </c>
      <c r="B4090">
        <v>233</v>
      </c>
      <c r="C4090" s="2">
        <v>44807</v>
      </c>
      <c r="D4090" s="2" t="str">
        <f>TEXT(Table3[[#This Row],[usage_date]],"mmmm")</f>
        <v>September</v>
      </c>
      <c r="E4090" s="9">
        <f>YEAR(Table3[[#This Row],[usage_date]])</f>
        <v>2022</v>
      </c>
      <c r="F4090" s="14">
        <v>0.04</v>
      </c>
      <c r="G4090">
        <v>207</v>
      </c>
      <c r="H4090" t="s">
        <v>12</v>
      </c>
      <c r="I4090" t="str">
        <f t="shared" si="63"/>
        <v>Normal Usage</v>
      </c>
    </row>
    <row r="4091" spans="1:9" x14ac:dyDescent="0.3">
      <c r="A4091">
        <v>14090</v>
      </c>
      <c r="B4091">
        <v>433</v>
      </c>
      <c r="C4091" s="2">
        <v>44737</v>
      </c>
      <c r="D4091" s="2" t="str">
        <f>TEXT(Table3[[#This Row],[usage_date]],"mmmm")</f>
        <v>June</v>
      </c>
      <c r="E4091" s="9">
        <f>YEAR(Table3[[#This Row],[usage_date]])</f>
        <v>2022</v>
      </c>
      <c r="F4091" s="14">
        <v>0.35</v>
      </c>
      <c r="G4091">
        <v>59</v>
      </c>
      <c r="H4091" t="s">
        <v>13</v>
      </c>
      <c r="I4091" t="str">
        <f t="shared" si="63"/>
        <v>Normal Usage</v>
      </c>
    </row>
    <row r="4092" spans="1:9" x14ac:dyDescent="0.3">
      <c r="A4092">
        <v>14091</v>
      </c>
      <c r="B4092">
        <v>227</v>
      </c>
      <c r="C4092" s="2">
        <v>45189</v>
      </c>
      <c r="D4092" s="2" t="str">
        <f>TEXT(Table3[[#This Row],[usage_date]],"mmmm")</f>
        <v>September</v>
      </c>
      <c r="E4092" s="9">
        <f>YEAR(Table3[[#This Row],[usage_date]])</f>
        <v>2023</v>
      </c>
      <c r="F4092" s="14">
        <v>0.72</v>
      </c>
      <c r="G4092">
        <v>239</v>
      </c>
      <c r="H4092" t="s">
        <v>12</v>
      </c>
      <c r="I4092" t="str">
        <f t="shared" si="63"/>
        <v>Normal Usage</v>
      </c>
    </row>
    <row r="4093" spans="1:9" x14ac:dyDescent="0.3">
      <c r="A4093">
        <v>14092</v>
      </c>
      <c r="B4093">
        <v>371</v>
      </c>
      <c r="C4093" s="2">
        <v>44878</v>
      </c>
      <c r="D4093" s="2" t="str">
        <f>TEXT(Table3[[#This Row],[usage_date]],"mmmm")</f>
        <v>November</v>
      </c>
      <c r="E4093" s="9">
        <f>YEAR(Table3[[#This Row],[usage_date]])</f>
        <v>2022</v>
      </c>
      <c r="F4093" s="14">
        <v>1.4</v>
      </c>
      <c r="G4093">
        <v>95</v>
      </c>
      <c r="H4093" t="s">
        <v>12</v>
      </c>
      <c r="I4093" t="str">
        <f t="shared" si="63"/>
        <v>Normal Usage</v>
      </c>
    </row>
    <row r="4094" spans="1:9" x14ac:dyDescent="0.3">
      <c r="A4094">
        <v>14093</v>
      </c>
      <c r="B4094">
        <v>139</v>
      </c>
      <c r="C4094" s="2">
        <v>45344</v>
      </c>
      <c r="D4094" s="2" t="str">
        <f>TEXT(Table3[[#This Row],[usage_date]],"mmmm")</f>
        <v>February</v>
      </c>
      <c r="E4094" s="9">
        <f>YEAR(Table3[[#This Row],[usage_date]])</f>
        <v>2024</v>
      </c>
      <c r="F4094" s="14">
        <v>1.67</v>
      </c>
      <c r="G4094">
        <v>277</v>
      </c>
      <c r="H4094" t="s">
        <v>13</v>
      </c>
      <c r="I4094" t="str">
        <f t="shared" si="63"/>
        <v>Normal Usage</v>
      </c>
    </row>
    <row r="4095" spans="1:9" x14ac:dyDescent="0.3">
      <c r="A4095">
        <v>14094</v>
      </c>
      <c r="B4095">
        <v>344</v>
      </c>
      <c r="C4095" s="2">
        <v>45266</v>
      </c>
      <c r="D4095" s="2" t="str">
        <f>TEXT(Table3[[#This Row],[usage_date]],"mmmm")</f>
        <v>December</v>
      </c>
      <c r="E4095" s="9">
        <f>YEAR(Table3[[#This Row],[usage_date]])</f>
        <v>2023</v>
      </c>
      <c r="F4095" s="14">
        <v>0.37</v>
      </c>
      <c r="G4095">
        <v>159</v>
      </c>
      <c r="H4095" t="s">
        <v>13</v>
      </c>
      <c r="I4095" t="str">
        <f t="shared" si="63"/>
        <v>Normal Usage</v>
      </c>
    </row>
    <row r="4096" spans="1:9" x14ac:dyDescent="0.3">
      <c r="A4096">
        <v>14095</v>
      </c>
      <c r="B4096">
        <v>305</v>
      </c>
      <c r="C4096" s="2">
        <v>45223</v>
      </c>
      <c r="D4096" s="2" t="str">
        <f>TEXT(Table3[[#This Row],[usage_date]],"mmmm")</f>
        <v>October</v>
      </c>
      <c r="E4096" s="9">
        <f>YEAR(Table3[[#This Row],[usage_date]])</f>
        <v>2023</v>
      </c>
      <c r="F4096" s="14">
        <v>2.8</v>
      </c>
      <c r="G4096">
        <v>281</v>
      </c>
      <c r="H4096" t="s">
        <v>12</v>
      </c>
      <c r="I4096" t="str">
        <f t="shared" si="63"/>
        <v>Normal Usage</v>
      </c>
    </row>
    <row r="4097" spans="1:9" x14ac:dyDescent="0.3">
      <c r="A4097">
        <v>14096</v>
      </c>
      <c r="B4097">
        <v>149</v>
      </c>
      <c r="C4097" s="2">
        <v>44692</v>
      </c>
      <c r="D4097" s="2" t="str">
        <f>TEXT(Table3[[#This Row],[usage_date]],"mmmm")</f>
        <v>May</v>
      </c>
      <c r="E4097" s="9">
        <f>YEAR(Table3[[#This Row],[usage_date]])</f>
        <v>2022</v>
      </c>
      <c r="F4097" s="14">
        <v>2.27</v>
      </c>
      <c r="G4097">
        <v>208</v>
      </c>
      <c r="H4097" t="s">
        <v>12</v>
      </c>
      <c r="I4097" t="str">
        <f t="shared" si="63"/>
        <v>Normal Usage</v>
      </c>
    </row>
    <row r="4098" spans="1:9" x14ac:dyDescent="0.3">
      <c r="A4098">
        <v>14097</v>
      </c>
      <c r="B4098">
        <v>115</v>
      </c>
      <c r="C4098" s="2">
        <v>44663</v>
      </c>
      <c r="D4098" s="2" t="str">
        <f>TEXT(Table3[[#This Row],[usage_date]],"mmmm")</f>
        <v>April</v>
      </c>
      <c r="E4098" s="9">
        <f>YEAR(Table3[[#This Row],[usage_date]])</f>
        <v>2022</v>
      </c>
      <c r="F4098" s="14">
        <v>0.87</v>
      </c>
      <c r="G4098">
        <v>132</v>
      </c>
      <c r="H4098" t="s">
        <v>12</v>
      </c>
      <c r="I4098" t="str">
        <f t="shared" ref="I4098:I4161" si="64">IF(F4098&gt;6,"High Usage","Normal Usage")</f>
        <v>Normal Usage</v>
      </c>
    </row>
    <row r="4099" spans="1:9" x14ac:dyDescent="0.3">
      <c r="A4099">
        <v>14098</v>
      </c>
      <c r="B4099">
        <v>450</v>
      </c>
      <c r="C4099" s="2">
        <v>44871</v>
      </c>
      <c r="D4099" s="2" t="str">
        <f>TEXT(Table3[[#This Row],[usage_date]],"mmmm")</f>
        <v>November</v>
      </c>
      <c r="E4099" s="9">
        <f>YEAR(Table3[[#This Row],[usage_date]])</f>
        <v>2022</v>
      </c>
      <c r="F4099" s="14">
        <v>0.03</v>
      </c>
      <c r="G4099">
        <v>96</v>
      </c>
      <c r="H4099" t="s">
        <v>12</v>
      </c>
      <c r="I4099" t="str">
        <f t="shared" si="64"/>
        <v>Normal Usage</v>
      </c>
    </row>
    <row r="4100" spans="1:9" x14ac:dyDescent="0.3">
      <c r="A4100">
        <v>14099</v>
      </c>
      <c r="B4100">
        <v>63</v>
      </c>
      <c r="C4100" s="2">
        <v>45343</v>
      </c>
      <c r="D4100" s="2" t="str">
        <f>TEXT(Table3[[#This Row],[usage_date]],"mmmm")</f>
        <v>February</v>
      </c>
      <c r="E4100" s="9">
        <f>YEAR(Table3[[#This Row],[usage_date]])</f>
        <v>2024</v>
      </c>
      <c r="F4100" s="14">
        <v>0.2</v>
      </c>
      <c r="G4100">
        <v>218</v>
      </c>
      <c r="H4100" t="s">
        <v>12</v>
      </c>
      <c r="I4100" t="str">
        <f t="shared" si="64"/>
        <v>Normal Usage</v>
      </c>
    </row>
    <row r="4101" spans="1:9" x14ac:dyDescent="0.3">
      <c r="A4101">
        <v>14100</v>
      </c>
      <c r="B4101">
        <v>104</v>
      </c>
      <c r="C4101" s="2">
        <v>44853</v>
      </c>
      <c r="D4101" s="2" t="str">
        <f>TEXT(Table3[[#This Row],[usage_date]],"mmmm")</f>
        <v>October</v>
      </c>
      <c r="E4101" s="9">
        <f>YEAR(Table3[[#This Row],[usage_date]])</f>
        <v>2022</v>
      </c>
      <c r="F4101" s="14">
        <v>1.24</v>
      </c>
      <c r="G4101">
        <v>70</v>
      </c>
      <c r="H4101" t="s">
        <v>12</v>
      </c>
      <c r="I4101" t="str">
        <f t="shared" si="64"/>
        <v>Normal Usage</v>
      </c>
    </row>
    <row r="4102" spans="1:9" x14ac:dyDescent="0.3">
      <c r="A4102">
        <v>14101</v>
      </c>
      <c r="B4102">
        <v>339</v>
      </c>
      <c r="C4102" s="2">
        <v>45283</v>
      </c>
      <c r="D4102" s="2" t="str">
        <f>TEXT(Table3[[#This Row],[usage_date]],"mmmm")</f>
        <v>December</v>
      </c>
      <c r="E4102" s="9">
        <f>YEAR(Table3[[#This Row],[usage_date]])</f>
        <v>2023</v>
      </c>
      <c r="F4102" s="14">
        <v>0.42</v>
      </c>
      <c r="G4102">
        <v>273</v>
      </c>
      <c r="H4102" t="s">
        <v>12</v>
      </c>
      <c r="I4102" t="str">
        <f t="shared" si="64"/>
        <v>Normal Usage</v>
      </c>
    </row>
    <row r="4103" spans="1:9" x14ac:dyDescent="0.3">
      <c r="A4103">
        <v>14102</v>
      </c>
      <c r="B4103">
        <v>359</v>
      </c>
      <c r="C4103" s="2">
        <v>45056</v>
      </c>
      <c r="D4103" s="2" t="str">
        <f>TEXT(Table3[[#This Row],[usage_date]],"mmmm")</f>
        <v>May</v>
      </c>
      <c r="E4103" s="9">
        <f>YEAR(Table3[[#This Row],[usage_date]])</f>
        <v>2023</v>
      </c>
      <c r="F4103" s="14">
        <v>1.18</v>
      </c>
      <c r="G4103">
        <v>133</v>
      </c>
      <c r="H4103" t="s">
        <v>12</v>
      </c>
      <c r="I4103" t="str">
        <f t="shared" si="64"/>
        <v>Normal Usage</v>
      </c>
    </row>
    <row r="4104" spans="1:9" x14ac:dyDescent="0.3">
      <c r="A4104">
        <v>14103</v>
      </c>
      <c r="B4104">
        <v>156</v>
      </c>
      <c r="C4104" s="2">
        <v>44922</v>
      </c>
      <c r="D4104" s="2" t="str">
        <f>TEXT(Table3[[#This Row],[usage_date]],"mmmm")</f>
        <v>December</v>
      </c>
      <c r="E4104" s="9">
        <f>YEAR(Table3[[#This Row],[usage_date]])</f>
        <v>2022</v>
      </c>
      <c r="F4104" s="14">
        <v>2.4700000000000002</v>
      </c>
      <c r="G4104">
        <v>65</v>
      </c>
      <c r="H4104" t="s">
        <v>13</v>
      </c>
      <c r="I4104" t="str">
        <f t="shared" si="64"/>
        <v>Normal Usage</v>
      </c>
    </row>
    <row r="4105" spans="1:9" x14ac:dyDescent="0.3">
      <c r="A4105">
        <v>14104</v>
      </c>
      <c r="B4105">
        <v>273</v>
      </c>
      <c r="C4105" s="2">
        <v>44899</v>
      </c>
      <c r="D4105" s="2" t="str">
        <f>TEXT(Table3[[#This Row],[usage_date]],"mmmm")</f>
        <v>December</v>
      </c>
      <c r="E4105" s="9">
        <f>YEAR(Table3[[#This Row],[usage_date]])</f>
        <v>2022</v>
      </c>
      <c r="F4105" s="14">
        <v>1.98</v>
      </c>
      <c r="G4105">
        <v>126</v>
      </c>
      <c r="H4105" t="s">
        <v>12</v>
      </c>
      <c r="I4105" t="str">
        <f t="shared" si="64"/>
        <v>Normal Usage</v>
      </c>
    </row>
    <row r="4106" spans="1:9" x14ac:dyDescent="0.3">
      <c r="A4106">
        <v>14105</v>
      </c>
      <c r="B4106">
        <v>6</v>
      </c>
      <c r="C4106" s="2">
        <v>45140</v>
      </c>
      <c r="D4106" s="2" t="str">
        <f>TEXT(Table3[[#This Row],[usage_date]],"mmmm")</f>
        <v>August</v>
      </c>
      <c r="E4106" s="9">
        <f>YEAR(Table3[[#This Row],[usage_date]])</f>
        <v>2023</v>
      </c>
      <c r="F4106" s="14">
        <v>0.66</v>
      </c>
      <c r="G4106">
        <v>204</v>
      </c>
      <c r="H4106" t="s">
        <v>12</v>
      </c>
      <c r="I4106" t="str">
        <f t="shared" si="64"/>
        <v>Normal Usage</v>
      </c>
    </row>
    <row r="4107" spans="1:9" x14ac:dyDescent="0.3">
      <c r="A4107">
        <v>14106</v>
      </c>
      <c r="B4107">
        <v>147</v>
      </c>
      <c r="C4107" s="2">
        <v>44571</v>
      </c>
      <c r="D4107" s="2" t="str">
        <f>TEXT(Table3[[#This Row],[usage_date]],"mmmm")</f>
        <v>January</v>
      </c>
      <c r="E4107" s="9">
        <f>YEAR(Table3[[#This Row],[usage_date]])</f>
        <v>2022</v>
      </c>
      <c r="F4107" s="14">
        <v>1.05</v>
      </c>
      <c r="G4107">
        <v>297</v>
      </c>
      <c r="H4107" t="s">
        <v>13</v>
      </c>
      <c r="I4107" t="str">
        <f t="shared" si="64"/>
        <v>Normal Usage</v>
      </c>
    </row>
    <row r="4108" spans="1:9" x14ac:dyDescent="0.3">
      <c r="A4108">
        <v>14107</v>
      </c>
      <c r="B4108">
        <v>184</v>
      </c>
      <c r="C4108" s="2">
        <v>44610</v>
      </c>
      <c r="D4108" s="2" t="str">
        <f>TEXT(Table3[[#This Row],[usage_date]],"mmmm")</f>
        <v>February</v>
      </c>
      <c r="E4108" s="9">
        <f>YEAR(Table3[[#This Row],[usage_date]])</f>
        <v>2022</v>
      </c>
      <c r="F4108" s="14">
        <v>2.38</v>
      </c>
      <c r="G4108">
        <v>116</v>
      </c>
      <c r="H4108" t="s">
        <v>12</v>
      </c>
      <c r="I4108" t="str">
        <f t="shared" si="64"/>
        <v>Normal Usage</v>
      </c>
    </row>
    <row r="4109" spans="1:9" x14ac:dyDescent="0.3">
      <c r="A4109">
        <v>14108</v>
      </c>
      <c r="B4109">
        <v>486</v>
      </c>
      <c r="C4109" s="2">
        <v>45048</v>
      </c>
      <c r="D4109" s="2" t="str">
        <f>TEXT(Table3[[#This Row],[usage_date]],"mmmm")</f>
        <v>May</v>
      </c>
      <c r="E4109" s="9">
        <f>YEAR(Table3[[#This Row],[usage_date]])</f>
        <v>2023</v>
      </c>
      <c r="F4109" s="14">
        <v>4.93</v>
      </c>
      <c r="G4109">
        <v>266</v>
      </c>
      <c r="H4109" t="s">
        <v>12</v>
      </c>
      <c r="I4109" t="str">
        <f t="shared" si="64"/>
        <v>Normal Usage</v>
      </c>
    </row>
    <row r="4110" spans="1:9" x14ac:dyDescent="0.3">
      <c r="A4110">
        <v>14109</v>
      </c>
      <c r="B4110">
        <v>28</v>
      </c>
      <c r="C4110" s="2">
        <v>45184</v>
      </c>
      <c r="D4110" s="2" t="str">
        <f>TEXT(Table3[[#This Row],[usage_date]],"mmmm")</f>
        <v>September</v>
      </c>
      <c r="E4110" s="9">
        <f>YEAR(Table3[[#This Row],[usage_date]])</f>
        <v>2023</v>
      </c>
      <c r="F4110" s="14">
        <v>3.5</v>
      </c>
      <c r="G4110">
        <v>281</v>
      </c>
      <c r="H4110" t="s">
        <v>12</v>
      </c>
      <c r="I4110" t="str">
        <f t="shared" si="64"/>
        <v>Normal Usage</v>
      </c>
    </row>
    <row r="4111" spans="1:9" x14ac:dyDescent="0.3">
      <c r="A4111">
        <v>14110</v>
      </c>
      <c r="B4111">
        <v>450</v>
      </c>
      <c r="C4111" s="2">
        <v>44882</v>
      </c>
      <c r="D4111" s="2" t="str">
        <f>TEXT(Table3[[#This Row],[usage_date]],"mmmm")</f>
        <v>November</v>
      </c>
      <c r="E4111" s="9">
        <f>YEAR(Table3[[#This Row],[usage_date]])</f>
        <v>2022</v>
      </c>
      <c r="F4111" s="14">
        <v>2.02</v>
      </c>
      <c r="G4111">
        <v>148</v>
      </c>
      <c r="H4111" t="s">
        <v>12</v>
      </c>
      <c r="I4111" t="str">
        <f t="shared" si="64"/>
        <v>Normal Usage</v>
      </c>
    </row>
    <row r="4112" spans="1:9" x14ac:dyDescent="0.3">
      <c r="A4112">
        <v>14111</v>
      </c>
      <c r="B4112">
        <v>38</v>
      </c>
      <c r="C4112" s="2">
        <v>45292</v>
      </c>
      <c r="D4112" s="2" t="str">
        <f>TEXT(Table3[[#This Row],[usage_date]],"mmmm")</f>
        <v>January</v>
      </c>
      <c r="E4112" s="9">
        <f>YEAR(Table3[[#This Row],[usage_date]])</f>
        <v>2024</v>
      </c>
      <c r="F4112" s="14">
        <v>1.1200000000000001</v>
      </c>
      <c r="G4112">
        <v>193</v>
      </c>
      <c r="H4112" t="s">
        <v>13</v>
      </c>
      <c r="I4112" t="str">
        <f t="shared" si="64"/>
        <v>Normal Usage</v>
      </c>
    </row>
    <row r="4113" spans="1:9" x14ac:dyDescent="0.3">
      <c r="A4113">
        <v>14112</v>
      </c>
      <c r="B4113">
        <v>119</v>
      </c>
      <c r="C4113" s="2">
        <v>45130</v>
      </c>
      <c r="D4113" s="2" t="str">
        <f>TEXT(Table3[[#This Row],[usage_date]],"mmmm")</f>
        <v>July</v>
      </c>
      <c r="E4113" s="9">
        <f>YEAR(Table3[[#This Row],[usage_date]])</f>
        <v>2023</v>
      </c>
      <c r="F4113" s="14">
        <v>1.1399999999999999</v>
      </c>
      <c r="G4113">
        <v>167</v>
      </c>
      <c r="H4113" t="s">
        <v>12</v>
      </c>
      <c r="I4113" t="str">
        <f t="shared" si="64"/>
        <v>Normal Usage</v>
      </c>
    </row>
    <row r="4114" spans="1:9" x14ac:dyDescent="0.3">
      <c r="A4114">
        <v>14113</v>
      </c>
      <c r="B4114">
        <v>293</v>
      </c>
      <c r="C4114" s="2">
        <v>45356</v>
      </c>
      <c r="D4114" s="2" t="str">
        <f>TEXT(Table3[[#This Row],[usage_date]],"mmmm")</f>
        <v>March</v>
      </c>
      <c r="E4114" s="9">
        <f>YEAR(Table3[[#This Row],[usage_date]])</f>
        <v>2024</v>
      </c>
      <c r="F4114" s="14">
        <v>5.29</v>
      </c>
      <c r="G4114">
        <v>178</v>
      </c>
      <c r="H4114" t="s">
        <v>12</v>
      </c>
      <c r="I4114" t="str">
        <f t="shared" si="64"/>
        <v>Normal Usage</v>
      </c>
    </row>
    <row r="4115" spans="1:9" x14ac:dyDescent="0.3">
      <c r="A4115">
        <v>14114</v>
      </c>
      <c r="B4115">
        <v>371</v>
      </c>
      <c r="C4115" s="2">
        <v>45186</v>
      </c>
      <c r="D4115" s="2" t="str">
        <f>TEXT(Table3[[#This Row],[usage_date]],"mmmm")</f>
        <v>September</v>
      </c>
      <c r="E4115" s="9">
        <f>YEAR(Table3[[#This Row],[usage_date]])</f>
        <v>2023</v>
      </c>
      <c r="F4115" s="14">
        <v>0.1</v>
      </c>
      <c r="G4115">
        <v>147</v>
      </c>
      <c r="H4115" t="s">
        <v>12</v>
      </c>
      <c r="I4115" t="str">
        <f t="shared" si="64"/>
        <v>Normal Usage</v>
      </c>
    </row>
    <row r="4116" spans="1:9" x14ac:dyDescent="0.3">
      <c r="A4116">
        <v>14115</v>
      </c>
      <c r="B4116">
        <v>244</v>
      </c>
      <c r="C4116" s="2">
        <v>44694</v>
      </c>
      <c r="D4116" s="2" t="str">
        <f>TEXT(Table3[[#This Row],[usage_date]],"mmmm")</f>
        <v>May</v>
      </c>
      <c r="E4116" s="9">
        <f>YEAR(Table3[[#This Row],[usage_date]])</f>
        <v>2022</v>
      </c>
      <c r="F4116" s="14">
        <v>11.05</v>
      </c>
      <c r="G4116">
        <v>56</v>
      </c>
      <c r="H4116" t="s">
        <v>13</v>
      </c>
      <c r="I4116" t="str">
        <f t="shared" si="64"/>
        <v>High Usage</v>
      </c>
    </row>
    <row r="4117" spans="1:9" x14ac:dyDescent="0.3">
      <c r="A4117">
        <v>14116</v>
      </c>
      <c r="B4117">
        <v>68</v>
      </c>
      <c r="C4117" s="2">
        <v>45144</v>
      </c>
      <c r="D4117" s="2" t="str">
        <f>TEXT(Table3[[#This Row],[usage_date]],"mmmm")</f>
        <v>August</v>
      </c>
      <c r="E4117" s="9">
        <f>YEAR(Table3[[#This Row],[usage_date]])</f>
        <v>2023</v>
      </c>
      <c r="F4117" s="14">
        <v>2.73</v>
      </c>
      <c r="G4117">
        <v>4</v>
      </c>
      <c r="H4117" t="s">
        <v>12</v>
      </c>
      <c r="I4117" t="str">
        <f t="shared" si="64"/>
        <v>Normal Usage</v>
      </c>
    </row>
    <row r="4118" spans="1:9" x14ac:dyDescent="0.3">
      <c r="A4118">
        <v>14117</v>
      </c>
      <c r="B4118">
        <v>214</v>
      </c>
      <c r="C4118" s="2">
        <v>44644</v>
      </c>
      <c r="D4118" s="2" t="str">
        <f>TEXT(Table3[[#This Row],[usage_date]],"mmmm")</f>
        <v>March</v>
      </c>
      <c r="E4118" s="9">
        <f>YEAR(Table3[[#This Row],[usage_date]])</f>
        <v>2022</v>
      </c>
      <c r="F4118" s="14">
        <v>2.86</v>
      </c>
      <c r="G4118">
        <v>13</v>
      </c>
      <c r="H4118" t="s">
        <v>12</v>
      </c>
      <c r="I4118" t="str">
        <f t="shared" si="64"/>
        <v>Normal Usage</v>
      </c>
    </row>
    <row r="4119" spans="1:9" x14ac:dyDescent="0.3">
      <c r="A4119">
        <v>14118</v>
      </c>
      <c r="B4119">
        <v>218</v>
      </c>
      <c r="C4119" s="2">
        <v>44618</v>
      </c>
      <c r="D4119" s="2" t="str">
        <f>TEXT(Table3[[#This Row],[usage_date]],"mmmm")</f>
        <v>February</v>
      </c>
      <c r="E4119" s="9">
        <f>YEAR(Table3[[#This Row],[usage_date]])</f>
        <v>2022</v>
      </c>
      <c r="F4119" s="14">
        <v>0.1</v>
      </c>
      <c r="G4119">
        <v>279</v>
      </c>
      <c r="H4119" t="s">
        <v>12</v>
      </c>
      <c r="I4119" t="str">
        <f t="shared" si="64"/>
        <v>Normal Usage</v>
      </c>
    </row>
    <row r="4120" spans="1:9" x14ac:dyDescent="0.3">
      <c r="A4120">
        <v>14119</v>
      </c>
      <c r="B4120">
        <v>177</v>
      </c>
      <c r="C4120" s="2">
        <v>44937</v>
      </c>
      <c r="D4120" s="2" t="str">
        <f>TEXT(Table3[[#This Row],[usage_date]],"mmmm")</f>
        <v>January</v>
      </c>
      <c r="E4120" s="9">
        <f>YEAR(Table3[[#This Row],[usage_date]])</f>
        <v>2023</v>
      </c>
      <c r="F4120" s="14">
        <v>2.33</v>
      </c>
      <c r="G4120">
        <v>215</v>
      </c>
      <c r="H4120" t="s">
        <v>12</v>
      </c>
      <c r="I4120" t="str">
        <f t="shared" si="64"/>
        <v>Normal Usage</v>
      </c>
    </row>
    <row r="4121" spans="1:9" x14ac:dyDescent="0.3">
      <c r="A4121">
        <v>14120</v>
      </c>
      <c r="B4121">
        <v>299</v>
      </c>
      <c r="C4121" s="2">
        <v>44910</v>
      </c>
      <c r="D4121" s="2" t="str">
        <f>TEXT(Table3[[#This Row],[usage_date]],"mmmm")</f>
        <v>December</v>
      </c>
      <c r="E4121" s="9">
        <f>YEAR(Table3[[#This Row],[usage_date]])</f>
        <v>2022</v>
      </c>
      <c r="F4121" s="14">
        <v>1.66</v>
      </c>
      <c r="G4121">
        <v>174</v>
      </c>
      <c r="H4121" t="s">
        <v>12</v>
      </c>
      <c r="I4121" t="str">
        <f t="shared" si="64"/>
        <v>Normal Usage</v>
      </c>
    </row>
    <row r="4122" spans="1:9" x14ac:dyDescent="0.3">
      <c r="A4122">
        <v>14121</v>
      </c>
      <c r="B4122">
        <v>164</v>
      </c>
      <c r="C4122" s="2">
        <v>44832</v>
      </c>
      <c r="D4122" s="2" t="str">
        <f>TEXT(Table3[[#This Row],[usage_date]],"mmmm")</f>
        <v>September</v>
      </c>
      <c r="E4122" s="9">
        <f>YEAR(Table3[[#This Row],[usage_date]])</f>
        <v>2022</v>
      </c>
      <c r="F4122" s="14">
        <v>0.28000000000000003</v>
      </c>
      <c r="G4122">
        <v>2</v>
      </c>
      <c r="H4122" t="s">
        <v>12</v>
      </c>
      <c r="I4122" t="str">
        <f t="shared" si="64"/>
        <v>Normal Usage</v>
      </c>
    </row>
    <row r="4123" spans="1:9" x14ac:dyDescent="0.3">
      <c r="A4123">
        <v>14122</v>
      </c>
      <c r="B4123">
        <v>58</v>
      </c>
      <c r="C4123" s="2">
        <v>45044</v>
      </c>
      <c r="D4123" s="2" t="str">
        <f>TEXT(Table3[[#This Row],[usage_date]],"mmmm")</f>
        <v>April</v>
      </c>
      <c r="E4123" s="9">
        <f>YEAR(Table3[[#This Row],[usage_date]])</f>
        <v>2023</v>
      </c>
      <c r="F4123" s="14">
        <v>0.81</v>
      </c>
      <c r="G4123">
        <v>136</v>
      </c>
      <c r="H4123" t="s">
        <v>12</v>
      </c>
      <c r="I4123" t="str">
        <f t="shared" si="64"/>
        <v>Normal Usage</v>
      </c>
    </row>
    <row r="4124" spans="1:9" x14ac:dyDescent="0.3">
      <c r="A4124">
        <v>14123</v>
      </c>
      <c r="B4124">
        <v>269</v>
      </c>
      <c r="C4124" s="2">
        <v>44672</v>
      </c>
      <c r="D4124" s="2" t="str">
        <f>TEXT(Table3[[#This Row],[usage_date]],"mmmm")</f>
        <v>April</v>
      </c>
      <c r="E4124" s="9">
        <f>YEAR(Table3[[#This Row],[usage_date]])</f>
        <v>2022</v>
      </c>
      <c r="F4124" s="14">
        <v>5.53</v>
      </c>
      <c r="G4124">
        <v>99</v>
      </c>
      <c r="H4124" t="s">
        <v>12</v>
      </c>
      <c r="I4124" t="str">
        <f t="shared" si="64"/>
        <v>Normal Usage</v>
      </c>
    </row>
    <row r="4125" spans="1:9" x14ac:dyDescent="0.3">
      <c r="A4125">
        <v>14124</v>
      </c>
      <c r="B4125">
        <v>308</v>
      </c>
      <c r="C4125" s="2">
        <v>45430</v>
      </c>
      <c r="D4125" s="2" t="str">
        <f>TEXT(Table3[[#This Row],[usage_date]],"mmmm")</f>
        <v>May</v>
      </c>
      <c r="E4125" s="9">
        <f>YEAR(Table3[[#This Row],[usage_date]])</f>
        <v>2024</v>
      </c>
      <c r="F4125" s="14">
        <v>2</v>
      </c>
      <c r="G4125">
        <v>82</v>
      </c>
      <c r="H4125" t="s">
        <v>12</v>
      </c>
      <c r="I4125" t="str">
        <f t="shared" si="64"/>
        <v>Normal Usage</v>
      </c>
    </row>
    <row r="4126" spans="1:9" x14ac:dyDescent="0.3">
      <c r="A4126">
        <v>14125</v>
      </c>
      <c r="B4126">
        <v>58</v>
      </c>
      <c r="C4126" s="2">
        <v>45448</v>
      </c>
      <c r="D4126" s="2" t="str">
        <f>TEXT(Table3[[#This Row],[usage_date]],"mmmm")</f>
        <v>June</v>
      </c>
      <c r="E4126" s="9">
        <f>YEAR(Table3[[#This Row],[usage_date]])</f>
        <v>2024</v>
      </c>
      <c r="F4126" s="14">
        <v>1.33</v>
      </c>
      <c r="G4126">
        <v>279</v>
      </c>
      <c r="H4126" t="s">
        <v>12</v>
      </c>
      <c r="I4126" t="str">
        <f t="shared" si="64"/>
        <v>Normal Usage</v>
      </c>
    </row>
    <row r="4127" spans="1:9" x14ac:dyDescent="0.3">
      <c r="A4127">
        <v>14126</v>
      </c>
      <c r="B4127">
        <v>288</v>
      </c>
      <c r="C4127" s="2">
        <v>44637</v>
      </c>
      <c r="D4127" s="2" t="str">
        <f>TEXT(Table3[[#This Row],[usage_date]],"mmmm")</f>
        <v>March</v>
      </c>
      <c r="E4127" s="9">
        <f>YEAR(Table3[[#This Row],[usage_date]])</f>
        <v>2022</v>
      </c>
      <c r="F4127" s="14">
        <v>0.19</v>
      </c>
      <c r="G4127">
        <v>131</v>
      </c>
      <c r="H4127" t="s">
        <v>13</v>
      </c>
      <c r="I4127" t="str">
        <f t="shared" si="64"/>
        <v>Normal Usage</v>
      </c>
    </row>
    <row r="4128" spans="1:9" x14ac:dyDescent="0.3">
      <c r="A4128">
        <v>14127</v>
      </c>
      <c r="B4128">
        <v>465</v>
      </c>
      <c r="C4128" s="2">
        <v>44719</v>
      </c>
      <c r="D4128" s="2" t="str">
        <f>TEXT(Table3[[#This Row],[usage_date]],"mmmm")</f>
        <v>June</v>
      </c>
      <c r="E4128" s="9">
        <f>YEAR(Table3[[#This Row],[usage_date]])</f>
        <v>2022</v>
      </c>
      <c r="F4128" s="14">
        <v>3.13</v>
      </c>
      <c r="G4128">
        <v>0</v>
      </c>
      <c r="H4128" t="s">
        <v>12</v>
      </c>
      <c r="I4128" t="str">
        <f t="shared" si="64"/>
        <v>Normal Usage</v>
      </c>
    </row>
    <row r="4129" spans="1:9" x14ac:dyDescent="0.3">
      <c r="A4129">
        <v>14128</v>
      </c>
      <c r="B4129">
        <v>105</v>
      </c>
      <c r="C4129" s="2">
        <v>45093</v>
      </c>
      <c r="D4129" s="2" t="str">
        <f>TEXT(Table3[[#This Row],[usage_date]],"mmmm")</f>
        <v>June</v>
      </c>
      <c r="E4129" s="9">
        <f>YEAR(Table3[[#This Row],[usage_date]])</f>
        <v>2023</v>
      </c>
      <c r="F4129" s="14">
        <v>3.03</v>
      </c>
      <c r="G4129">
        <v>115</v>
      </c>
      <c r="H4129" t="s">
        <v>12</v>
      </c>
      <c r="I4129" t="str">
        <f t="shared" si="64"/>
        <v>Normal Usage</v>
      </c>
    </row>
    <row r="4130" spans="1:9" x14ac:dyDescent="0.3">
      <c r="A4130">
        <v>14129</v>
      </c>
      <c r="B4130">
        <v>228</v>
      </c>
      <c r="C4130" s="2">
        <v>45204</v>
      </c>
      <c r="D4130" s="2" t="str">
        <f>TEXT(Table3[[#This Row],[usage_date]],"mmmm")</f>
        <v>October</v>
      </c>
      <c r="E4130" s="9">
        <f>YEAR(Table3[[#This Row],[usage_date]])</f>
        <v>2023</v>
      </c>
      <c r="F4130" s="14">
        <v>2.38</v>
      </c>
      <c r="G4130">
        <v>201</v>
      </c>
      <c r="H4130" t="s">
        <v>12</v>
      </c>
      <c r="I4130" t="str">
        <f t="shared" si="64"/>
        <v>Normal Usage</v>
      </c>
    </row>
    <row r="4131" spans="1:9" x14ac:dyDescent="0.3">
      <c r="A4131">
        <v>14130</v>
      </c>
      <c r="B4131">
        <v>247</v>
      </c>
      <c r="C4131" s="2">
        <v>44890</v>
      </c>
      <c r="D4131" s="2" t="str">
        <f>TEXT(Table3[[#This Row],[usage_date]],"mmmm")</f>
        <v>November</v>
      </c>
      <c r="E4131" s="9">
        <f>YEAR(Table3[[#This Row],[usage_date]])</f>
        <v>2022</v>
      </c>
      <c r="F4131" s="14">
        <v>1.78</v>
      </c>
      <c r="G4131">
        <v>139</v>
      </c>
      <c r="H4131" t="s">
        <v>12</v>
      </c>
      <c r="I4131" t="str">
        <f t="shared" si="64"/>
        <v>Normal Usage</v>
      </c>
    </row>
    <row r="4132" spans="1:9" x14ac:dyDescent="0.3">
      <c r="A4132">
        <v>14131</v>
      </c>
      <c r="B4132">
        <v>188</v>
      </c>
      <c r="C4132" s="2">
        <v>44683</v>
      </c>
      <c r="D4132" s="2" t="str">
        <f>TEXT(Table3[[#This Row],[usage_date]],"mmmm")</f>
        <v>May</v>
      </c>
      <c r="E4132" s="9">
        <f>YEAR(Table3[[#This Row],[usage_date]])</f>
        <v>2022</v>
      </c>
      <c r="F4132" s="14">
        <v>1.42</v>
      </c>
      <c r="G4132">
        <v>145</v>
      </c>
      <c r="H4132" t="s">
        <v>12</v>
      </c>
      <c r="I4132" t="str">
        <f t="shared" si="64"/>
        <v>Normal Usage</v>
      </c>
    </row>
    <row r="4133" spans="1:9" x14ac:dyDescent="0.3">
      <c r="A4133">
        <v>14132</v>
      </c>
      <c r="B4133">
        <v>494</v>
      </c>
      <c r="C4133" s="2">
        <v>44602</v>
      </c>
      <c r="D4133" s="2" t="str">
        <f>TEXT(Table3[[#This Row],[usage_date]],"mmmm")</f>
        <v>February</v>
      </c>
      <c r="E4133" s="9">
        <f>YEAR(Table3[[#This Row],[usage_date]])</f>
        <v>2022</v>
      </c>
      <c r="F4133" s="14">
        <v>2.25</v>
      </c>
      <c r="G4133">
        <v>265</v>
      </c>
      <c r="H4133" t="s">
        <v>13</v>
      </c>
      <c r="I4133" t="str">
        <f t="shared" si="64"/>
        <v>Normal Usage</v>
      </c>
    </row>
    <row r="4134" spans="1:9" x14ac:dyDescent="0.3">
      <c r="A4134">
        <v>14133</v>
      </c>
      <c r="B4134">
        <v>83</v>
      </c>
      <c r="C4134" s="2">
        <v>44728</v>
      </c>
      <c r="D4134" s="2" t="str">
        <f>TEXT(Table3[[#This Row],[usage_date]],"mmmm")</f>
        <v>June</v>
      </c>
      <c r="E4134" s="9">
        <f>YEAR(Table3[[#This Row],[usage_date]])</f>
        <v>2022</v>
      </c>
      <c r="F4134" s="14">
        <v>0.66</v>
      </c>
      <c r="G4134">
        <v>201</v>
      </c>
      <c r="H4134" t="s">
        <v>12</v>
      </c>
      <c r="I4134" t="str">
        <f t="shared" si="64"/>
        <v>Normal Usage</v>
      </c>
    </row>
    <row r="4135" spans="1:9" x14ac:dyDescent="0.3">
      <c r="A4135">
        <v>14134</v>
      </c>
      <c r="B4135">
        <v>186</v>
      </c>
      <c r="C4135" s="2">
        <v>45203</v>
      </c>
      <c r="D4135" s="2" t="str">
        <f>TEXT(Table3[[#This Row],[usage_date]],"mmmm")</f>
        <v>October</v>
      </c>
      <c r="E4135" s="9">
        <f>YEAR(Table3[[#This Row],[usage_date]])</f>
        <v>2023</v>
      </c>
      <c r="F4135" s="14">
        <v>7.09</v>
      </c>
      <c r="G4135">
        <v>151</v>
      </c>
      <c r="H4135" t="s">
        <v>13</v>
      </c>
      <c r="I4135" t="str">
        <f t="shared" si="64"/>
        <v>High Usage</v>
      </c>
    </row>
    <row r="4136" spans="1:9" x14ac:dyDescent="0.3">
      <c r="A4136">
        <v>14135</v>
      </c>
      <c r="B4136">
        <v>252</v>
      </c>
      <c r="C4136" s="2">
        <v>44584</v>
      </c>
      <c r="D4136" s="2" t="str">
        <f>TEXT(Table3[[#This Row],[usage_date]],"mmmm")</f>
        <v>January</v>
      </c>
      <c r="E4136" s="9">
        <f>YEAR(Table3[[#This Row],[usage_date]])</f>
        <v>2022</v>
      </c>
      <c r="F4136" s="14">
        <v>2.2200000000000002</v>
      </c>
      <c r="G4136">
        <v>221</v>
      </c>
      <c r="H4136" t="s">
        <v>13</v>
      </c>
      <c r="I4136" t="str">
        <f t="shared" si="64"/>
        <v>Normal Usage</v>
      </c>
    </row>
    <row r="4137" spans="1:9" x14ac:dyDescent="0.3">
      <c r="A4137">
        <v>14136</v>
      </c>
      <c r="B4137">
        <v>355</v>
      </c>
      <c r="C4137" s="2">
        <v>44840</v>
      </c>
      <c r="D4137" s="2" t="str">
        <f>TEXT(Table3[[#This Row],[usage_date]],"mmmm")</f>
        <v>October</v>
      </c>
      <c r="E4137" s="9">
        <f>YEAR(Table3[[#This Row],[usage_date]])</f>
        <v>2022</v>
      </c>
      <c r="F4137" s="14">
        <v>0.93</v>
      </c>
      <c r="G4137">
        <v>78</v>
      </c>
      <c r="H4137" t="s">
        <v>12</v>
      </c>
      <c r="I4137" t="str">
        <f t="shared" si="64"/>
        <v>Normal Usage</v>
      </c>
    </row>
    <row r="4138" spans="1:9" x14ac:dyDescent="0.3">
      <c r="A4138">
        <v>14137</v>
      </c>
      <c r="B4138">
        <v>238</v>
      </c>
      <c r="C4138" s="2">
        <v>45324</v>
      </c>
      <c r="D4138" s="2" t="str">
        <f>TEXT(Table3[[#This Row],[usage_date]],"mmmm")</f>
        <v>February</v>
      </c>
      <c r="E4138" s="9">
        <f>YEAR(Table3[[#This Row],[usage_date]])</f>
        <v>2024</v>
      </c>
      <c r="F4138" s="14">
        <v>1.49</v>
      </c>
      <c r="G4138">
        <v>199</v>
      </c>
      <c r="H4138" t="s">
        <v>13</v>
      </c>
      <c r="I4138" t="str">
        <f t="shared" si="64"/>
        <v>Normal Usage</v>
      </c>
    </row>
    <row r="4139" spans="1:9" x14ac:dyDescent="0.3">
      <c r="A4139">
        <v>14138</v>
      </c>
      <c r="B4139">
        <v>360</v>
      </c>
      <c r="C4139" s="2">
        <v>45030</v>
      </c>
      <c r="D4139" s="2" t="str">
        <f>TEXT(Table3[[#This Row],[usage_date]],"mmmm")</f>
        <v>April</v>
      </c>
      <c r="E4139" s="9">
        <f>YEAR(Table3[[#This Row],[usage_date]])</f>
        <v>2023</v>
      </c>
      <c r="F4139" s="14">
        <v>4.0999999999999996</v>
      </c>
      <c r="G4139">
        <v>249</v>
      </c>
      <c r="H4139" t="s">
        <v>12</v>
      </c>
      <c r="I4139" t="str">
        <f t="shared" si="64"/>
        <v>Normal Usage</v>
      </c>
    </row>
    <row r="4140" spans="1:9" x14ac:dyDescent="0.3">
      <c r="A4140">
        <v>14139</v>
      </c>
      <c r="B4140">
        <v>184</v>
      </c>
      <c r="C4140" s="2">
        <v>44961</v>
      </c>
      <c r="D4140" s="2" t="str">
        <f>TEXT(Table3[[#This Row],[usage_date]],"mmmm")</f>
        <v>February</v>
      </c>
      <c r="E4140" s="9">
        <f>YEAR(Table3[[#This Row],[usage_date]])</f>
        <v>2023</v>
      </c>
      <c r="F4140" s="14">
        <v>0.44</v>
      </c>
      <c r="G4140">
        <v>98</v>
      </c>
      <c r="H4140" t="s">
        <v>12</v>
      </c>
      <c r="I4140" t="str">
        <f t="shared" si="64"/>
        <v>Normal Usage</v>
      </c>
    </row>
    <row r="4141" spans="1:9" x14ac:dyDescent="0.3">
      <c r="A4141">
        <v>14140</v>
      </c>
      <c r="B4141">
        <v>284</v>
      </c>
      <c r="C4141" s="2">
        <v>44570</v>
      </c>
      <c r="D4141" s="2" t="str">
        <f>TEXT(Table3[[#This Row],[usage_date]],"mmmm")</f>
        <v>January</v>
      </c>
      <c r="E4141" s="9">
        <f>YEAR(Table3[[#This Row],[usage_date]])</f>
        <v>2022</v>
      </c>
      <c r="F4141" s="14">
        <v>0.87</v>
      </c>
      <c r="G4141">
        <v>212</v>
      </c>
      <c r="H4141" t="s">
        <v>12</v>
      </c>
      <c r="I4141" t="str">
        <f t="shared" si="64"/>
        <v>Normal Usage</v>
      </c>
    </row>
    <row r="4142" spans="1:9" x14ac:dyDescent="0.3">
      <c r="A4142">
        <v>14141</v>
      </c>
      <c r="B4142">
        <v>385</v>
      </c>
      <c r="C4142" s="2">
        <v>44574</v>
      </c>
      <c r="D4142" s="2" t="str">
        <f>TEXT(Table3[[#This Row],[usage_date]],"mmmm")</f>
        <v>January</v>
      </c>
      <c r="E4142" s="9">
        <f>YEAR(Table3[[#This Row],[usage_date]])</f>
        <v>2022</v>
      </c>
      <c r="F4142" s="14">
        <v>2.84</v>
      </c>
      <c r="G4142">
        <v>142</v>
      </c>
      <c r="H4142" t="s">
        <v>12</v>
      </c>
      <c r="I4142" t="str">
        <f t="shared" si="64"/>
        <v>Normal Usage</v>
      </c>
    </row>
    <row r="4143" spans="1:9" x14ac:dyDescent="0.3">
      <c r="A4143">
        <v>14142</v>
      </c>
      <c r="B4143">
        <v>426</v>
      </c>
      <c r="C4143" s="2">
        <v>45380</v>
      </c>
      <c r="D4143" s="2" t="str">
        <f>TEXT(Table3[[#This Row],[usage_date]],"mmmm")</f>
        <v>March</v>
      </c>
      <c r="E4143" s="9">
        <f>YEAR(Table3[[#This Row],[usage_date]])</f>
        <v>2024</v>
      </c>
      <c r="F4143" s="14">
        <v>0.95</v>
      </c>
      <c r="G4143">
        <v>189</v>
      </c>
      <c r="H4143" t="s">
        <v>13</v>
      </c>
      <c r="I4143" t="str">
        <f t="shared" si="64"/>
        <v>Normal Usage</v>
      </c>
    </row>
    <row r="4144" spans="1:9" x14ac:dyDescent="0.3">
      <c r="A4144">
        <v>14143</v>
      </c>
      <c r="B4144">
        <v>210</v>
      </c>
      <c r="C4144" s="2">
        <v>45393</v>
      </c>
      <c r="D4144" s="2" t="str">
        <f>TEXT(Table3[[#This Row],[usage_date]],"mmmm")</f>
        <v>April</v>
      </c>
      <c r="E4144" s="9">
        <f>YEAR(Table3[[#This Row],[usage_date]])</f>
        <v>2024</v>
      </c>
      <c r="F4144" s="14">
        <v>3.93</v>
      </c>
      <c r="G4144">
        <v>51</v>
      </c>
      <c r="H4144" t="s">
        <v>13</v>
      </c>
      <c r="I4144" t="str">
        <f t="shared" si="64"/>
        <v>Normal Usage</v>
      </c>
    </row>
    <row r="4145" spans="1:9" x14ac:dyDescent="0.3">
      <c r="A4145">
        <v>14144</v>
      </c>
      <c r="B4145">
        <v>304</v>
      </c>
      <c r="C4145" s="2">
        <v>44613</v>
      </c>
      <c r="D4145" s="2" t="str">
        <f>TEXT(Table3[[#This Row],[usage_date]],"mmmm")</f>
        <v>February</v>
      </c>
      <c r="E4145" s="9">
        <f>YEAR(Table3[[#This Row],[usage_date]])</f>
        <v>2022</v>
      </c>
      <c r="F4145" s="14">
        <v>0.35</v>
      </c>
      <c r="G4145">
        <v>111</v>
      </c>
      <c r="H4145" t="s">
        <v>13</v>
      </c>
      <c r="I4145" t="str">
        <f t="shared" si="64"/>
        <v>Normal Usage</v>
      </c>
    </row>
    <row r="4146" spans="1:9" x14ac:dyDescent="0.3">
      <c r="A4146">
        <v>14145</v>
      </c>
      <c r="B4146">
        <v>296</v>
      </c>
      <c r="C4146" s="2">
        <v>44770</v>
      </c>
      <c r="D4146" s="2" t="str">
        <f>TEXT(Table3[[#This Row],[usage_date]],"mmmm")</f>
        <v>July</v>
      </c>
      <c r="E4146" s="9">
        <f>YEAR(Table3[[#This Row],[usage_date]])</f>
        <v>2022</v>
      </c>
      <c r="F4146" s="14">
        <v>3.6</v>
      </c>
      <c r="G4146">
        <v>134</v>
      </c>
      <c r="H4146" t="s">
        <v>12</v>
      </c>
      <c r="I4146" t="str">
        <f t="shared" si="64"/>
        <v>Normal Usage</v>
      </c>
    </row>
    <row r="4147" spans="1:9" x14ac:dyDescent="0.3">
      <c r="A4147">
        <v>14146</v>
      </c>
      <c r="B4147">
        <v>97</v>
      </c>
      <c r="C4147" s="2">
        <v>45111</v>
      </c>
      <c r="D4147" s="2" t="str">
        <f>TEXT(Table3[[#This Row],[usage_date]],"mmmm")</f>
        <v>July</v>
      </c>
      <c r="E4147" s="9">
        <f>YEAR(Table3[[#This Row],[usage_date]])</f>
        <v>2023</v>
      </c>
      <c r="F4147" s="14">
        <v>0.18</v>
      </c>
      <c r="G4147">
        <v>111</v>
      </c>
      <c r="H4147" t="s">
        <v>12</v>
      </c>
      <c r="I4147" t="str">
        <f t="shared" si="64"/>
        <v>Normal Usage</v>
      </c>
    </row>
    <row r="4148" spans="1:9" x14ac:dyDescent="0.3">
      <c r="A4148">
        <v>14147</v>
      </c>
      <c r="B4148">
        <v>447</v>
      </c>
      <c r="C4148" s="2">
        <v>45173</v>
      </c>
      <c r="D4148" s="2" t="str">
        <f>TEXT(Table3[[#This Row],[usage_date]],"mmmm")</f>
        <v>September</v>
      </c>
      <c r="E4148" s="9">
        <f>YEAR(Table3[[#This Row],[usage_date]])</f>
        <v>2023</v>
      </c>
      <c r="F4148" s="14">
        <v>0.03</v>
      </c>
      <c r="G4148">
        <v>12</v>
      </c>
      <c r="H4148" t="s">
        <v>12</v>
      </c>
      <c r="I4148" t="str">
        <f t="shared" si="64"/>
        <v>Normal Usage</v>
      </c>
    </row>
    <row r="4149" spans="1:9" x14ac:dyDescent="0.3">
      <c r="A4149">
        <v>14148</v>
      </c>
      <c r="B4149">
        <v>460</v>
      </c>
      <c r="C4149" s="2">
        <v>45266</v>
      </c>
      <c r="D4149" s="2" t="str">
        <f>TEXT(Table3[[#This Row],[usage_date]],"mmmm")</f>
        <v>December</v>
      </c>
      <c r="E4149" s="9">
        <f>YEAR(Table3[[#This Row],[usage_date]])</f>
        <v>2023</v>
      </c>
      <c r="F4149" s="14">
        <v>5.71</v>
      </c>
      <c r="G4149">
        <v>272</v>
      </c>
      <c r="H4149" t="s">
        <v>12</v>
      </c>
      <c r="I4149" t="str">
        <f t="shared" si="64"/>
        <v>Normal Usage</v>
      </c>
    </row>
    <row r="4150" spans="1:9" x14ac:dyDescent="0.3">
      <c r="A4150">
        <v>14149</v>
      </c>
      <c r="B4150">
        <v>456</v>
      </c>
      <c r="C4150" s="2">
        <v>44963</v>
      </c>
      <c r="D4150" s="2" t="str">
        <f>TEXT(Table3[[#This Row],[usage_date]],"mmmm")</f>
        <v>February</v>
      </c>
      <c r="E4150" s="9">
        <f>YEAR(Table3[[#This Row],[usage_date]])</f>
        <v>2023</v>
      </c>
      <c r="F4150" s="14">
        <v>2.1800000000000002</v>
      </c>
      <c r="G4150">
        <v>232</v>
      </c>
      <c r="H4150" t="s">
        <v>12</v>
      </c>
      <c r="I4150" t="str">
        <f t="shared" si="64"/>
        <v>Normal Usage</v>
      </c>
    </row>
    <row r="4151" spans="1:9" x14ac:dyDescent="0.3">
      <c r="A4151">
        <v>14150</v>
      </c>
      <c r="B4151">
        <v>472</v>
      </c>
      <c r="C4151" s="2">
        <v>44752</v>
      </c>
      <c r="D4151" s="2" t="str">
        <f>TEXT(Table3[[#This Row],[usage_date]],"mmmm")</f>
        <v>July</v>
      </c>
      <c r="E4151" s="9">
        <f>YEAR(Table3[[#This Row],[usage_date]])</f>
        <v>2022</v>
      </c>
      <c r="F4151" s="14">
        <v>1.08</v>
      </c>
      <c r="G4151">
        <v>43</v>
      </c>
      <c r="H4151" t="s">
        <v>12</v>
      </c>
      <c r="I4151" t="str">
        <f t="shared" si="64"/>
        <v>Normal Usage</v>
      </c>
    </row>
    <row r="4152" spans="1:9" x14ac:dyDescent="0.3">
      <c r="A4152">
        <v>14151</v>
      </c>
      <c r="B4152">
        <v>208</v>
      </c>
      <c r="C4152" s="2">
        <v>44612</v>
      </c>
      <c r="D4152" s="2" t="str">
        <f>TEXT(Table3[[#This Row],[usage_date]],"mmmm")</f>
        <v>February</v>
      </c>
      <c r="E4152" s="9">
        <f>YEAR(Table3[[#This Row],[usage_date]])</f>
        <v>2022</v>
      </c>
      <c r="F4152" s="14">
        <v>0.66</v>
      </c>
      <c r="G4152">
        <v>72</v>
      </c>
      <c r="H4152" t="s">
        <v>12</v>
      </c>
      <c r="I4152" t="str">
        <f t="shared" si="64"/>
        <v>Normal Usage</v>
      </c>
    </row>
    <row r="4153" spans="1:9" x14ac:dyDescent="0.3">
      <c r="A4153">
        <v>14152</v>
      </c>
      <c r="B4153">
        <v>370</v>
      </c>
      <c r="C4153" s="2">
        <v>44954</v>
      </c>
      <c r="D4153" s="2" t="str">
        <f>TEXT(Table3[[#This Row],[usage_date]],"mmmm")</f>
        <v>January</v>
      </c>
      <c r="E4153" s="9">
        <f>YEAR(Table3[[#This Row],[usage_date]])</f>
        <v>2023</v>
      </c>
      <c r="F4153" s="14">
        <v>2.4</v>
      </c>
      <c r="G4153">
        <v>260</v>
      </c>
      <c r="H4153" t="s">
        <v>12</v>
      </c>
      <c r="I4153" t="str">
        <f t="shared" si="64"/>
        <v>Normal Usage</v>
      </c>
    </row>
    <row r="4154" spans="1:9" x14ac:dyDescent="0.3">
      <c r="A4154">
        <v>14153</v>
      </c>
      <c r="B4154">
        <v>388</v>
      </c>
      <c r="C4154" s="2">
        <v>45214</v>
      </c>
      <c r="D4154" s="2" t="str">
        <f>TEXT(Table3[[#This Row],[usage_date]],"mmmm")</f>
        <v>October</v>
      </c>
      <c r="E4154" s="9">
        <f>YEAR(Table3[[#This Row],[usage_date]])</f>
        <v>2023</v>
      </c>
      <c r="F4154" s="14">
        <v>1.78</v>
      </c>
      <c r="G4154">
        <v>230</v>
      </c>
      <c r="H4154" t="s">
        <v>12</v>
      </c>
      <c r="I4154" t="str">
        <f t="shared" si="64"/>
        <v>Normal Usage</v>
      </c>
    </row>
    <row r="4155" spans="1:9" x14ac:dyDescent="0.3">
      <c r="A4155">
        <v>14154</v>
      </c>
      <c r="B4155">
        <v>422</v>
      </c>
      <c r="C4155" s="2">
        <v>45241</v>
      </c>
      <c r="D4155" s="2" t="str">
        <f>TEXT(Table3[[#This Row],[usage_date]],"mmmm")</f>
        <v>November</v>
      </c>
      <c r="E4155" s="9">
        <f>YEAR(Table3[[#This Row],[usage_date]])</f>
        <v>2023</v>
      </c>
      <c r="F4155" s="14">
        <v>11.95</v>
      </c>
      <c r="G4155">
        <v>32</v>
      </c>
      <c r="H4155" t="s">
        <v>12</v>
      </c>
      <c r="I4155" t="str">
        <f t="shared" si="64"/>
        <v>High Usage</v>
      </c>
    </row>
    <row r="4156" spans="1:9" x14ac:dyDescent="0.3">
      <c r="A4156">
        <v>14155</v>
      </c>
      <c r="B4156">
        <v>492</v>
      </c>
      <c r="C4156" s="2">
        <v>45384</v>
      </c>
      <c r="D4156" s="2" t="str">
        <f>TEXT(Table3[[#This Row],[usage_date]],"mmmm")</f>
        <v>April</v>
      </c>
      <c r="E4156" s="9">
        <f>YEAR(Table3[[#This Row],[usage_date]])</f>
        <v>2024</v>
      </c>
      <c r="F4156" s="14">
        <v>10.220000000000001</v>
      </c>
      <c r="G4156">
        <v>67</v>
      </c>
      <c r="H4156" t="s">
        <v>13</v>
      </c>
      <c r="I4156" t="str">
        <f t="shared" si="64"/>
        <v>High Usage</v>
      </c>
    </row>
    <row r="4157" spans="1:9" x14ac:dyDescent="0.3">
      <c r="A4157">
        <v>14156</v>
      </c>
      <c r="B4157">
        <v>411</v>
      </c>
      <c r="C4157" s="2">
        <v>45182</v>
      </c>
      <c r="D4157" s="2" t="str">
        <f>TEXT(Table3[[#This Row],[usage_date]],"mmmm")</f>
        <v>September</v>
      </c>
      <c r="E4157" s="9">
        <f>YEAR(Table3[[#This Row],[usage_date]])</f>
        <v>2023</v>
      </c>
      <c r="F4157" s="14">
        <v>2.52</v>
      </c>
      <c r="G4157">
        <v>15</v>
      </c>
      <c r="H4157" t="s">
        <v>12</v>
      </c>
      <c r="I4157" t="str">
        <f t="shared" si="64"/>
        <v>Normal Usage</v>
      </c>
    </row>
    <row r="4158" spans="1:9" x14ac:dyDescent="0.3">
      <c r="A4158">
        <v>14157</v>
      </c>
      <c r="B4158">
        <v>137</v>
      </c>
      <c r="C4158" s="2">
        <v>45280</v>
      </c>
      <c r="D4158" s="2" t="str">
        <f>TEXT(Table3[[#This Row],[usage_date]],"mmmm")</f>
        <v>December</v>
      </c>
      <c r="E4158" s="9">
        <f>YEAR(Table3[[#This Row],[usage_date]])</f>
        <v>2023</v>
      </c>
      <c r="F4158" s="14">
        <v>1.46</v>
      </c>
      <c r="G4158">
        <v>149</v>
      </c>
      <c r="H4158" t="s">
        <v>12</v>
      </c>
      <c r="I4158" t="str">
        <f t="shared" si="64"/>
        <v>Normal Usage</v>
      </c>
    </row>
    <row r="4159" spans="1:9" x14ac:dyDescent="0.3">
      <c r="A4159">
        <v>14158</v>
      </c>
      <c r="B4159">
        <v>367</v>
      </c>
      <c r="C4159" s="2">
        <v>44861</v>
      </c>
      <c r="D4159" s="2" t="str">
        <f>TEXT(Table3[[#This Row],[usage_date]],"mmmm")</f>
        <v>October</v>
      </c>
      <c r="E4159" s="9">
        <f>YEAR(Table3[[#This Row],[usage_date]])</f>
        <v>2022</v>
      </c>
      <c r="F4159" s="14">
        <v>1.69</v>
      </c>
      <c r="G4159">
        <v>291</v>
      </c>
      <c r="H4159" t="s">
        <v>13</v>
      </c>
      <c r="I4159" t="str">
        <f t="shared" si="64"/>
        <v>Normal Usage</v>
      </c>
    </row>
    <row r="4160" spans="1:9" x14ac:dyDescent="0.3">
      <c r="A4160">
        <v>14159</v>
      </c>
      <c r="B4160">
        <v>400</v>
      </c>
      <c r="C4160" s="2">
        <v>45183</v>
      </c>
      <c r="D4160" s="2" t="str">
        <f>TEXT(Table3[[#This Row],[usage_date]],"mmmm")</f>
        <v>September</v>
      </c>
      <c r="E4160" s="9">
        <f>YEAR(Table3[[#This Row],[usage_date]])</f>
        <v>2023</v>
      </c>
      <c r="F4160" s="14">
        <v>2.87</v>
      </c>
      <c r="G4160">
        <v>101</v>
      </c>
      <c r="H4160" t="s">
        <v>13</v>
      </c>
      <c r="I4160" t="str">
        <f t="shared" si="64"/>
        <v>Normal Usage</v>
      </c>
    </row>
    <row r="4161" spans="1:9" x14ac:dyDescent="0.3">
      <c r="A4161">
        <v>14160</v>
      </c>
      <c r="B4161">
        <v>184</v>
      </c>
      <c r="C4161" s="2">
        <v>44757</v>
      </c>
      <c r="D4161" s="2" t="str">
        <f>TEXT(Table3[[#This Row],[usage_date]],"mmmm")</f>
        <v>July</v>
      </c>
      <c r="E4161" s="9">
        <f>YEAR(Table3[[#This Row],[usage_date]])</f>
        <v>2022</v>
      </c>
      <c r="F4161" s="14">
        <v>0.27</v>
      </c>
      <c r="G4161">
        <v>185</v>
      </c>
      <c r="H4161" t="s">
        <v>13</v>
      </c>
      <c r="I4161" t="str">
        <f t="shared" si="64"/>
        <v>Normal Usage</v>
      </c>
    </row>
    <row r="4162" spans="1:9" x14ac:dyDescent="0.3">
      <c r="A4162">
        <v>14161</v>
      </c>
      <c r="B4162">
        <v>76</v>
      </c>
      <c r="C4162" s="2">
        <v>44978</v>
      </c>
      <c r="D4162" s="2" t="str">
        <f>TEXT(Table3[[#This Row],[usage_date]],"mmmm")</f>
        <v>February</v>
      </c>
      <c r="E4162" s="9">
        <f>YEAR(Table3[[#This Row],[usage_date]])</f>
        <v>2023</v>
      </c>
      <c r="F4162" s="14">
        <v>1</v>
      </c>
      <c r="G4162">
        <v>24</v>
      </c>
      <c r="H4162" t="s">
        <v>12</v>
      </c>
      <c r="I4162" t="str">
        <f t="shared" ref="I4162:I4225" si="65">IF(F4162&gt;6,"High Usage","Normal Usage")</f>
        <v>Normal Usage</v>
      </c>
    </row>
    <row r="4163" spans="1:9" x14ac:dyDescent="0.3">
      <c r="A4163">
        <v>14162</v>
      </c>
      <c r="B4163">
        <v>287</v>
      </c>
      <c r="C4163" s="2">
        <v>45225</v>
      </c>
      <c r="D4163" s="2" t="str">
        <f>TEXT(Table3[[#This Row],[usage_date]],"mmmm")</f>
        <v>October</v>
      </c>
      <c r="E4163" s="9">
        <f>YEAR(Table3[[#This Row],[usage_date]])</f>
        <v>2023</v>
      </c>
      <c r="F4163" s="14">
        <v>0.2</v>
      </c>
      <c r="G4163">
        <v>71</v>
      </c>
      <c r="H4163" t="s">
        <v>12</v>
      </c>
      <c r="I4163" t="str">
        <f t="shared" si="65"/>
        <v>Normal Usage</v>
      </c>
    </row>
    <row r="4164" spans="1:9" x14ac:dyDescent="0.3">
      <c r="A4164">
        <v>14163</v>
      </c>
      <c r="B4164">
        <v>472</v>
      </c>
      <c r="C4164" s="2">
        <v>44981</v>
      </c>
      <c r="D4164" s="2" t="str">
        <f>TEXT(Table3[[#This Row],[usage_date]],"mmmm")</f>
        <v>February</v>
      </c>
      <c r="E4164" s="9">
        <f>YEAR(Table3[[#This Row],[usage_date]])</f>
        <v>2023</v>
      </c>
      <c r="F4164" s="14">
        <v>0.19</v>
      </c>
      <c r="G4164">
        <v>80</v>
      </c>
      <c r="H4164" t="s">
        <v>13</v>
      </c>
      <c r="I4164" t="str">
        <f t="shared" si="65"/>
        <v>Normal Usage</v>
      </c>
    </row>
    <row r="4165" spans="1:9" x14ac:dyDescent="0.3">
      <c r="A4165">
        <v>14164</v>
      </c>
      <c r="B4165">
        <v>375</v>
      </c>
      <c r="C4165" s="2">
        <v>45316</v>
      </c>
      <c r="D4165" s="2" t="str">
        <f>TEXT(Table3[[#This Row],[usage_date]],"mmmm")</f>
        <v>January</v>
      </c>
      <c r="E4165" s="9">
        <f>YEAR(Table3[[#This Row],[usage_date]])</f>
        <v>2024</v>
      </c>
      <c r="F4165" s="14">
        <v>0.54</v>
      </c>
      <c r="G4165">
        <v>60</v>
      </c>
      <c r="H4165" t="s">
        <v>13</v>
      </c>
      <c r="I4165" t="str">
        <f t="shared" si="65"/>
        <v>Normal Usage</v>
      </c>
    </row>
    <row r="4166" spans="1:9" x14ac:dyDescent="0.3">
      <c r="A4166">
        <v>14165</v>
      </c>
      <c r="B4166">
        <v>142</v>
      </c>
      <c r="C4166" s="2">
        <v>45201</v>
      </c>
      <c r="D4166" s="2" t="str">
        <f>TEXT(Table3[[#This Row],[usage_date]],"mmmm")</f>
        <v>October</v>
      </c>
      <c r="E4166" s="9">
        <f>YEAR(Table3[[#This Row],[usage_date]])</f>
        <v>2023</v>
      </c>
      <c r="F4166" s="14">
        <v>1.66</v>
      </c>
      <c r="G4166">
        <v>17</v>
      </c>
      <c r="H4166" t="s">
        <v>12</v>
      </c>
      <c r="I4166" t="str">
        <f t="shared" si="65"/>
        <v>Normal Usage</v>
      </c>
    </row>
    <row r="4167" spans="1:9" x14ac:dyDescent="0.3">
      <c r="A4167">
        <v>14166</v>
      </c>
      <c r="B4167">
        <v>237</v>
      </c>
      <c r="C4167" s="2">
        <v>45178</v>
      </c>
      <c r="D4167" s="2" t="str">
        <f>TEXT(Table3[[#This Row],[usage_date]],"mmmm")</f>
        <v>September</v>
      </c>
      <c r="E4167" s="9">
        <f>YEAR(Table3[[#This Row],[usage_date]])</f>
        <v>2023</v>
      </c>
      <c r="F4167" s="14">
        <v>3.84</v>
      </c>
      <c r="G4167">
        <v>241</v>
      </c>
      <c r="H4167" t="s">
        <v>12</v>
      </c>
      <c r="I4167" t="str">
        <f t="shared" si="65"/>
        <v>Normal Usage</v>
      </c>
    </row>
    <row r="4168" spans="1:9" x14ac:dyDescent="0.3">
      <c r="A4168">
        <v>14167</v>
      </c>
      <c r="B4168">
        <v>25</v>
      </c>
      <c r="C4168" s="2">
        <v>45083</v>
      </c>
      <c r="D4168" s="2" t="str">
        <f>TEXT(Table3[[#This Row],[usage_date]],"mmmm")</f>
        <v>June</v>
      </c>
      <c r="E4168" s="9">
        <f>YEAR(Table3[[#This Row],[usage_date]])</f>
        <v>2023</v>
      </c>
      <c r="F4168" s="14">
        <v>1.66</v>
      </c>
      <c r="G4168">
        <v>57</v>
      </c>
      <c r="H4168" t="s">
        <v>12</v>
      </c>
      <c r="I4168" t="str">
        <f t="shared" si="65"/>
        <v>Normal Usage</v>
      </c>
    </row>
    <row r="4169" spans="1:9" x14ac:dyDescent="0.3">
      <c r="A4169">
        <v>14168</v>
      </c>
      <c r="B4169">
        <v>290</v>
      </c>
      <c r="C4169" s="2">
        <v>44917</v>
      </c>
      <c r="D4169" s="2" t="str">
        <f>TEXT(Table3[[#This Row],[usage_date]],"mmmm")</f>
        <v>December</v>
      </c>
      <c r="E4169" s="9">
        <f>YEAR(Table3[[#This Row],[usage_date]])</f>
        <v>2022</v>
      </c>
      <c r="F4169" s="14">
        <v>1.02</v>
      </c>
      <c r="G4169">
        <v>56</v>
      </c>
      <c r="H4169" t="s">
        <v>12</v>
      </c>
      <c r="I4169" t="str">
        <f t="shared" si="65"/>
        <v>Normal Usage</v>
      </c>
    </row>
    <row r="4170" spans="1:9" x14ac:dyDescent="0.3">
      <c r="A4170">
        <v>14169</v>
      </c>
      <c r="B4170">
        <v>67</v>
      </c>
      <c r="C4170" s="2">
        <v>44709</v>
      </c>
      <c r="D4170" s="2" t="str">
        <f>TEXT(Table3[[#This Row],[usage_date]],"mmmm")</f>
        <v>May</v>
      </c>
      <c r="E4170" s="9">
        <f>YEAR(Table3[[#This Row],[usage_date]])</f>
        <v>2022</v>
      </c>
      <c r="F4170" s="14">
        <v>0.21</v>
      </c>
      <c r="G4170">
        <v>96</v>
      </c>
      <c r="H4170" t="s">
        <v>12</v>
      </c>
      <c r="I4170" t="str">
        <f t="shared" si="65"/>
        <v>Normal Usage</v>
      </c>
    </row>
    <row r="4171" spans="1:9" x14ac:dyDescent="0.3">
      <c r="A4171">
        <v>14170</v>
      </c>
      <c r="B4171">
        <v>250</v>
      </c>
      <c r="C4171" s="2">
        <v>44926</v>
      </c>
      <c r="D4171" s="2" t="str">
        <f>TEXT(Table3[[#This Row],[usage_date]],"mmmm")</f>
        <v>December</v>
      </c>
      <c r="E4171" s="9">
        <f>YEAR(Table3[[#This Row],[usage_date]])</f>
        <v>2022</v>
      </c>
      <c r="F4171" s="14">
        <v>2</v>
      </c>
      <c r="G4171">
        <v>214</v>
      </c>
      <c r="H4171" t="s">
        <v>12</v>
      </c>
      <c r="I4171" t="str">
        <f t="shared" si="65"/>
        <v>Normal Usage</v>
      </c>
    </row>
    <row r="4172" spans="1:9" x14ac:dyDescent="0.3">
      <c r="A4172">
        <v>14171</v>
      </c>
      <c r="B4172">
        <v>408</v>
      </c>
      <c r="C4172" s="2">
        <v>44925</v>
      </c>
      <c r="D4172" s="2" t="str">
        <f>TEXT(Table3[[#This Row],[usage_date]],"mmmm")</f>
        <v>December</v>
      </c>
      <c r="E4172" s="9">
        <f>YEAR(Table3[[#This Row],[usage_date]])</f>
        <v>2022</v>
      </c>
      <c r="F4172" s="14">
        <v>0.79</v>
      </c>
      <c r="G4172">
        <v>11</v>
      </c>
      <c r="H4172" t="s">
        <v>13</v>
      </c>
      <c r="I4172" t="str">
        <f t="shared" si="65"/>
        <v>Normal Usage</v>
      </c>
    </row>
    <row r="4173" spans="1:9" x14ac:dyDescent="0.3">
      <c r="A4173">
        <v>14172</v>
      </c>
      <c r="B4173">
        <v>118</v>
      </c>
      <c r="C4173" s="2">
        <v>45213</v>
      </c>
      <c r="D4173" s="2" t="str">
        <f>TEXT(Table3[[#This Row],[usage_date]],"mmmm")</f>
        <v>October</v>
      </c>
      <c r="E4173" s="9">
        <f>YEAR(Table3[[#This Row],[usage_date]])</f>
        <v>2023</v>
      </c>
      <c r="F4173" s="14">
        <v>2.39</v>
      </c>
      <c r="G4173">
        <v>10</v>
      </c>
      <c r="H4173" t="s">
        <v>12</v>
      </c>
      <c r="I4173" t="str">
        <f t="shared" si="65"/>
        <v>Normal Usage</v>
      </c>
    </row>
    <row r="4174" spans="1:9" x14ac:dyDescent="0.3">
      <c r="A4174">
        <v>14173</v>
      </c>
      <c r="B4174">
        <v>490</v>
      </c>
      <c r="C4174" s="2">
        <v>45263</v>
      </c>
      <c r="D4174" s="2" t="str">
        <f>TEXT(Table3[[#This Row],[usage_date]],"mmmm")</f>
        <v>December</v>
      </c>
      <c r="E4174" s="9">
        <f>YEAR(Table3[[#This Row],[usage_date]])</f>
        <v>2023</v>
      </c>
      <c r="F4174" s="14">
        <v>9.4499999999999993</v>
      </c>
      <c r="G4174">
        <v>162</v>
      </c>
      <c r="H4174" t="s">
        <v>13</v>
      </c>
      <c r="I4174" t="str">
        <f t="shared" si="65"/>
        <v>High Usage</v>
      </c>
    </row>
    <row r="4175" spans="1:9" x14ac:dyDescent="0.3">
      <c r="A4175">
        <v>14174</v>
      </c>
      <c r="B4175">
        <v>73</v>
      </c>
      <c r="C4175" s="2">
        <v>44963</v>
      </c>
      <c r="D4175" s="2" t="str">
        <f>TEXT(Table3[[#This Row],[usage_date]],"mmmm")</f>
        <v>February</v>
      </c>
      <c r="E4175" s="9">
        <f>YEAR(Table3[[#This Row],[usage_date]])</f>
        <v>2023</v>
      </c>
      <c r="F4175" s="14">
        <v>0.3</v>
      </c>
      <c r="G4175">
        <v>282</v>
      </c>
      <c r="H4175" t="s">
        <v>12</v>
      </c>
      <c r="I4175" t="str">
        <f t="shared" si="65"/>
        <v>Normal Usage</v>
      </c>
    </row>
    <row r="4176" spans="1:9" x14ac:dyDescent="0.3">
      <c r="A4176">
        <v>14175</v>
      </c>
      <c r="B4176">
        <v>282</v>
      </c>
      <c r="C4176" s="2">
        <v>45167</v>
      </c>
      <c r="D4176" s="2" t="str">
        <f>TEXT(Table3[[#This Row],[usage_date]],"mmmm")</f>
        <v>August</v>
      </c>
      <c r="E4176" s="9">
        <f>YEAR(Table3[[#This Row],[usage_date]])</f>
        <v>2023</v>
      </c>
      <c r="F4176" s="14">
        <v>0.6</v>
      </c>
      <c r="G4176">
        <v>216</v>
      </c>
      <c r="H4176" t="s">
        <v>12</v>
      </c>
      <c r="I4176" t="str">
        <f t="shared" si="65"/>
        <v>Normal Usage</v>
      </c>
    </row>
    <row r="4177" spans="1:9" x14ac:dyDescent="0.3">
      <c r="A4177">
        <v>14176</v>
      </c>
      <c r="B4177">
        <v>404</v>
      </c>
      <c r="C4177" s="2">
        <v>45053</v>
      </c>
      <c r="D4177" s="2" t="str">
        <f>TEXT(Table3[[#This Row],[usage_date]],"mmmm")</f>
        <v>May</v>
      </c>
      <c r="E4177" s="9">
        <f>YEAR(Table3[[#This Row],[usage_date]])</f>
        <v>2023</v>
      </c>
      <c r="F4177" s="14">
        <v>1.6</v>
      </c>
      <c r="G4177">
        <v>240</v>
      </c>
      <c r="H4177" t="s">
        <v>12</v>
      </c>
      <c r="I4177" t="str">
        <f t="shared" si="65"/>
        <v>Normal Usage</v>
      </c>
    </row>
    <row r="4178" spans="1:9" x14ac:dyDescent="0.3">
      <c r="A4178">
        <v>14177</v>
      </c>
      <c r="B4178">
        <v>448</v>
      </c>
      <c r="C4178" s="2">
        <v>44790</v>
      </c>
      <c r="D4178" s="2" t="str">
        <f>TEXT(Table3[[#This Row],[usage_date]],"mmmm")</f>
        <v>August</v>
      </c>
      <c r="E4178" s="9">
        <f>YEAR(Table3[[#This Row],[usage_date]])</f>
        <v>2022</v>
      </c>
      <c r="F4178" s="14">
        <v>8.65</v>
      </c>
      <c r="G4178">
        <v>44</v>
      </c>
      <c r="H4178" t="s">
        <v>13</v>
      </c>
      <c r="I4178" t="str">
        <f t="shared" si="65"/>
        <v>High Usage</v>
      </c>
    </row>
    <row r="4179" spans="1:9" x14ac:dyDescent="0.3">
      <c r="A4179">
        <v>14178</v>
      </c>
      <c r="B4179">
        <v>360</v>
      </c>
      <c r="C4179" s="2">
        <v>45136</v>
      </c>
      <c r="D4179" s="2" t="str">
        <f>TEXT(Table3[[#This Row],[usage_date]],"mmmm")</f>
        <v>July</v>
      </c>
      <c r="E4179" s="9">
        <f>YEAR(Table3[[#This Row],[usage_date]])</f>
        <v>2023</v>
      </c>
      <c r="F4179" s="14">
        <v>3.69</v>
      </c>
      <c r="G4179">
        <v>80</v>
      </c>
      <c r="H4179" t="s">
        <v>12</v>
      </c>
      <c r="I4179" t="str">
        <f t="shared" si="65"/>
        <v>Normal Usage</v>
      </c>
    </row>
    <row r="4180" spans="1:9" x14ac:dyDescent="0.3">
      <c r="A4180">
        <v>14179</v>
      </c>
      <c r="B4180">
        <v>10</v>
      </c>
      <c r="C4180" s="2">
        <v>45413</v>
      </c>
      <c r="D4180" s="2" t="str">
        <f>TEXT(Table3[[#This Row],[usage_date]],"mmmm")</f>
        <v>May</v>
      </c>
      <c r="E4180" s="9">
        <f>YEAR(Table3[[#This Row],[usage_date]])</f>
        <v>2024</v>
      </c>
      <c r="F4180" s="14">
        <v>5.71</v>
      </c>
      <c r="G4180">
        <v>254</v>
      </c>
      <c r="H4180" t="s">
        <v>12</v>
      </c>
      <c r="I4180" t="str">
        <f t="shared" si="65"/>
        <v>Normal Usage</v>
      </c>
    </row>
    <row r="4181" spans="1:9" x14ac:dyDescent="0.3">
      <c r="A4181">
        <v>14180</v>
      </c>
      <c r="B4181">
        <v>211</v>
      </c>
      <c r="C4181" s="2">
        <v>45098</v>
      </c>
      <c r="D4181" s="2" t="str">
        <f>TEXT(Table3[[#This Row],[usage_date]],"mmmm")</f>
        <v>June</v>
      </c>
      <c r="E4181" s="9">
        <f>YEAR(Table3[[#This Row],[usage_date]])</f>
        <v>2023</v>
      </c>
      <c r="F4181" s="14">
        <v>1.02</v>
      </c>
      <c r="G4181">
        <v>66</v>
      </c>
      <c r="H4181" t="s">
        <v>13</v>
      </c>
      <c r="I4181" t="str">
        <f t="shared" si="65"/>
        <v>Normal Usage</v>
      </c>
    </row>
    <row r="4182" spans="1:9" x14ac:dyDescent="0.3">
      <c r="A4182">
        <v>14181</v>
      </c>
      <c r="B4182">
        <v>323</v>
      </c>
      <c r="C4182" s="2">
        <v>44829</v>
      </c>
      <c r="D4182" s="2" t="str">
        <f>TEXT(Table3[[#This Row],[usage_date]],"mmmm")</f>
        <v>September</v>
      </c>
      <c r="E4182" s="9">
        <f>YEAR(Table3[[#This Row],[usage_date]])</f>
        <v>2022</v>
      </c>
      <c r="F4182" s="14">
        <v>12.08</v>
      </c>
      <c r="G4182">
        <v>101</v>
      </c>
      <c r="H4182" t="s">
        <v>12</v>
      </c>
      <c r="I4182" t="str">
        <f t="shared" si="65"/>
        <v>High Usage</v>
      </c>
    </row>
    <row r="4183" spans="1:9" x14ac:dyDescent="0.3">
      <c r="A4183">
        <v>14182</v>
      </c>
      <c r="B4183">
        <v>152</v>
      </c>
      <c r="C4183" s="2">
        <v>44966</v>
      </c>
      <c r="D4183" s="2" t="str">
        <f>TEXT(Table3[[#This Row],[usage_date]],"mmmm")</f>
        <v>February</v>
      </c>
      <c r="E4183" s="9">
        <f>YEAR(Table3[[#This Row],[usage_date]])</f>
        <v>2023</v>
      </c>
      <c r="F4183" s="14">
        <v>0.27</v>
      </c>
      <c r="G4183">
        <v>90</v>
      </c>
      <c r="H4183" t="s">
        <v>13</v>
      </c>
      <c r="I4183" t="str">
        <f t="shared" si="65"/>
        <v>Normal Usage</v>
      </c>
    </row>
    <row r="4184" spans="1:9" x14ac:dyDescent="0.3">
      <c r="A4184">
        <v>14183</v>
      </c>
      <c r="B4184">
        <v>5</v>
      </c>
      <c r="C4184" s="2">
        <v>45354</v>
      </c>
      <c r="D4184" s="2" t="str">
        <f>TEXT(Table3[[#This Row],[usage_date]],"mmmm")</f>
        <v>March</v>
      </c>
      <c r="E4184" s="9">
        <f>YEAR(Table3[[#This Row],[usage_date]])</f>
        <v>2024</v>
      </c>
      <c r="F4184" s="14">
        <v>0.14000000000000001</v>
      </c>
      <c r="G4184">
        <v>41</v>
      </c>
      <c r="H4184" t="s">
        <v>13</v>
      </c>
      <c r="I4184" t="str">
        <f t="shared" si="65"/>
        <v>Normal Usage</v>
      </c>
    </row>
    <row r="4185" spans="1:9" x14ac:dyDescent="0.3">
      <c r="A4185">
        <v>14184</v>
      </c>
      <c r="B4185">
        <v>195</v>
      </c>
      <c r="C4185" s="2">
        <v>44572</v>
      </c>
      <c r="D4185" s="2" t="str">
        <f>TEXT(Table3[[#This Row],[usage_date]],"mmmm")</f>
        <v>January</v>
      </c>
      <c r="E4185" s="9">
        <f>YEAR(Table3[[#This Row],[usage_date]])</f>
        <v>2022</v>
      </c>
      <c r="F4185" s="14">
        <v>4.84</v>
      </c>
      <c r="G4185">
        <v>275</v>
      </c>
      <c r="H4185" t="s">
        <v>13</v>
      </c>
      <c r="I4185" t="str">
        <f t="shared" si="65"/>
        <v>Normal Usage</v>
      </c>
    </row>
    <row r="4186" spans="1:9" x14ac:dyDescent="0.3">
      <c r="A4186">
        <v>14185</v>
      </c>
      <c r="B4186">
        <v>442</v>
      </c>
      <c r="C4186" s="2">
        <v>44881</v>
      </c>
      <c r="D4186" s="2" t="str">
        <f>TEXT(Table3[[#This Row],[usage_date]],"mmmm")</f>
        <v>November</v>
      </c>
      <c r="E4186" s="9">
        <f>YEAR(Table3[[#This Row],[usage_date]])</f>
        <v>2022</v>
      </c>
      <c r="F4186" s="14">
        <v>6.55</v>
      </c>
      <c r="G4186">
        <v>273</v>
      </c>
      <c r="H4186" t="s">
        <v>12</v>
      </c>
      <c r="I4186" t="str">
        <f t="shared" si="65"/>
        <v>High Usage</v>
      </c>
    </row>
    <row r="4187" spans="1:9" x14ac:dyDescent="0.3">
      <c r="A4187">
        <v>14186</v>
      </c>
      <c r="B4187">
        <v>283</v>
      </c>
      <c r="C4187" s="2">
        <v>45274</v>
      </c>
      <c r="D4187" s="2" t="str">
        <f>TEXT(Table3[[#This Row],[usage_date]],"mmmm")</f>
        <v>December</v>
      </c>
      <c r="E4187" s="9">
        <f>YEAR(Table3[[#This Row],[usage_date]])</f>
        <v>2023</v>
      </c>
      <c r="F4187" s="14">
        <v>0.24</v>
      </c>
      <c r="G4187">
        <v>76</v>
      </c>
      <c r="H4187" t="s">
        <v>12</v>
      </c>
      <c r="I4187" t="str">
        <f t="shared" si="65"/>
        <v>Normal Usage</v>
      </c>
    </row>
    <row r="4188" spans="1:9" x14ac:dyDescent="0.3">
      <c r="A4188">
        <v>14187</v>
      </c>
      <c r="B4188">
        <v>464</v>
      </c>
      <c r="C4188" s="2">
        <v>44687</v>
      </c>
      <c r="D4188" s="2" t="str">
        <f>TEXT(Table3[[#This Row],[usage_date]],"mmmm")</f>
        <v>May</v>
      </c>
      <c r="E4188" s="9">
        <f>YEAR(Table3[[#This Row],[usage_date]])</f>
        <v>2022</v>
      </c>
      <c r="F4188" s="14">
        <v>0.3</v>
      </c>
      <c r="G4188">
        <v>233</v>
      </c>
      <c r="H4188" t="s">
        <v>13</v>
      </c>
      <c r="I4188" t="str">
        <f t="shared" si="65"/>
        <v>Normal Usage</v>
      </c>
    </row>
    <row r="4189" spans="1:9" x14ac:dyDescent="0.3">
      <c r="A4189">
        <v>14188</v>
      </c>
      <c r="B4189">
        <v>113</v>
      </c>
      <c r="C4189" s="2">
        <v>44867</v>
      </c>
      <c r="D4189" s="2" t="str">
        <f>TEXT(Table3[[#This Row],[usage_date]],"mmmm")</f>
        <v>November</v>
      </c>
      <c r="E4189" s="9">
        <f>YEAR(Table3[[#This Row],[usage_date]])</f>
        <v>2022</v>
      </c>
      <c r="F4189" s="14">
        <v>0.08</v>
      </c>
      <c r="G4189">
        <v>201</v>
      </c>
      <c r="H4189" t="s">
        <v>12</v>
      </c>
      <c r="I4189" t="str">
        <f t="shared" si="65"/>
        <v>Normal Usage</v>
      </c>
    </row>
    <row r="4190" spans="1:9" x14ac:dyDescent="0.3">
      <c r="A4190">
        <v>14189</v>
      </c>
      <c r="B4190">
        <v>271</v>
      </c>
      <c r="C4190" s="2">
        <v>45263</v>
      </c>
      <c r="D4190" s="2" t="str">
        <f>TEXT(Table3[[#This Row],[usage_date]],"mmmm")</f>
        <v>December</v>
      </c>
      <c r="E4190" s="9">
        <f>YEAR(Table3[[#This Row],[usage_date]])</f>
        <v>2023</v>
      </c>
      <c r="F4190" s="14">
        <v>0.28000000000000003</v>
      </c>
      <c r="G4190">
        <v>220</v>
      </c>
      <c r="H4190" t="s">
        <v>12</v>
      </c>
      <c r="I4190" t="str">
        <f t="shared" si="65"/>
        <v>Normal Usage</v>
      </c>
    </row>
    <row r="4191" spans="1:9" x14ac:dyDescent="0.3">
      <c r="A4191">
        <v>14190</v>
      </c>
      <c r="B4191">
        <v>163</v>
      </c>
      <c r="C4191" s="2">
        <v>45072</v>
      </c>
      <c r="D4191" s="2" t="str">
        <f>TEXT(Table3[[#This Row],[usage_date]],"mmmm")</f>
        <v>May</v>
      </c>
      <c r="E4191" s="9">
        <f>YEAR(Table3[[#This Row],[usage_date]])</f>
        <v>2023</v>
      </c>
      <c r="F4191" s="14">
        <v>0.59</v>
      </c>
      <c r="G4191">
        <v>261</v>
      </c>
      <c r="H4191" t="s">
        <v>13</v>
      </c>
      <c r="I4191" t="str">
        <f t="shared" si="65"/>
        <v>Normal Usage</v>
      </c>
    </row>
    <row r="4192" spans="1:9" x14ac:dyDescent="0.3">
      <c r="A4192">
        <v>14191</v>
      </c>
      <c r="B4192">
        <v>460</v>
      </c>
      <c r="C4192" s="2">
        <v>44650</v>
      </c>
      <c r="D4192" s="2" t="str">
        <f>TEXT(Table3[[#This Row],[usage_date]],"mmmm")</f>
        <v>March</v>
      </c>
      <c r="E4192" s="9">
        <f>YEAR(Table3[[#This Row],[usage_date]])</f>
        <v>2022</v>
      </c>
      <c r="F4192" s="14">
        <v>8.77</v>
      </c>
      <c r="G4192">
        <v>38</v>
      </c>
      <c r="H4192" t="s">
        <v>12</v>
      </c>
      <c r="I4192" t="str">
        <f t="shared" si="65"/>
        <v>High Usage</v>
      </c>
    </row>
    <row r="4193" spans="1:9" x14ac:dyDescent="0.3">
      <c r="A4193">
        <v>14192</v>
      </c>
      <c r="B4193">
        <v>105</v>
      </c>
      <c r="C4193" s="2">
        <v>44916</v>
      </c>
      <c r="D4193" s="2" t="str">
        <f>TEXT(Table3[[#This Row],[usage_date]],"mmmm")</f>
        <v>December</v>
      </c>
      <c r="E4193" s="9">
        <f>YEAR(Table3[[#This Row],[usage_date]])</f>
        <v>2022</v>
      </c>
      <c r="F4193" s="14">
        <v>2.76</v>
      </c>
      <c r="G4193">
        <v>10</v>
      </c>
      <c r="H4193" t="s">
        <v>13</v>
      </c>
      <c r="I4193" t="str">
        <f t="shared" si="65"/>
        <v>Normal Usage</v>
      </c>
    </row>
    <row r="4194" spans="1:9" x14ac:dyDescent="0.3">
      <c r="A4194">
        <v>14193</v>
      </c>
      <c r="B4194">
        <v>181</v>
      </c>
      <c r="C4194" s="2">
        <v>45189</v>
      </c>
      <c r="D4194" s="2" t="str">
        <f>TEXT(Table3[[#This Row],[usage_date]],"mmmm")</f>
        <v>September</v>
      </c>
      <c r="E4194" s="9">
        <f>YEAR(Table3[[#This Row],[usage_date]])</f>
        <v>2023</v>
      </c>
      <c r="F4194" s="14">
        <v>3.77</v>
      </c>
      <c r="G4194">
        <v>111</v>
      </c>
      <c r="H4194" t="s">
        <v>13</v>
      </c>
      <c r="I4194" t="str">
        <f t="shared" si="65"/>
        <v>Normal Usage</v>
      </c>
    </row>
    <row r="4195" spans="1:9" x14ac:dyDescent="0.3">
      <c r="A4195">
        <v>14194</v>
      </c>
      <c r="B4195">
        <v>44</v>
      </c>
      <c r="C4195" s="2">
        <v>44913</v>
      </c>
      <c r="D4195" s="2" t="str">
        <f>TEXT(Table3[[#This Row],[usage_date]],"mmmm")</f>
        <v>December</v>
      </c>
      <c r="E4195" s="9">
        <f>YEAR(Table3[[#This Row],[usage_date]])</f>
        <v>2022</v>
      </c>
      <c r="F4195" s="14">
        <v>3.74</v>
      </c>
      <c r="G4195">
        <v>107</v>
      </c>
      <c r="H4195" t="s">
        <v>13</v>
      </c>
      <c r="I4195" t="str">
        <f t="shared" si="65"/>
        <v>Normal Usage</v>
      </c>
    </row>
    <row r="4196" spans="1:9" x14ac:dyDescent="0.3">
      <c r="A4196">
        <v>14195</v>
      </c>
      <c r="B4196">
        <v>282</v>
      </c>
      <c r="C4196" s="2">
        <v>45250</v>
      </c>
      <c r="D4196" s="2" t="str">
        <f>TEXT(Table3[[#This Row],[usage_date]],"mmmm")</f>
        <v>November</v>
      </c>
      <c r="E4196" s="9">
        <f>YEAR(Table3[[#This Row],[usage_date]])</f>
        <v>2023</v>
      </c>
      <c r="F4196" s="14">
        <v>1.91</v>
      </c>
      <c r="G4196">
        <v>93</v>
      </c>
      <c r="H4196" t="s">
        <v>12</v>
      </c>
      <c r="I4196" t="str">
        <f t="shared" si="65"/>
        <v>Normal Usage</v>
      </c>
    </row>
    <row r="4197" spans="1:9" x14ac:dyDescent="0.3">
      <c r="A4197">
        <v>14196</v>
      </c>
      <c r="B4197">
        <v>175</v>
      </c>
      <c r="C4197" s="2">
        <v>44575</v>
      </c>
      <c r="D4197" s="2" t="str">
        <f>TEXT(Table3[[#This Row],[usage_date]],"mmmm")</f>
        <v>January</v>
      </c>
      <c r="E4197" s="9">
        <f>YEAR(Table3[[#This Row],[usage_date]])</f>
        <v>2022</v>
      </c>
      <c r="F4197" s="14">
        <v>3.99</v>
      </c>
      <c r="G4197">
        <v>83</v>
      </c>
      <c r="H4197" t="s">
        <v>12</v>
      </c>
      <c r="I4197" t="str">
        <f t="shared" si="65"/>
        <v>Normal Usage</v>
      </c>
    </row>
    <row r="4198" spans="1:9" x14ac:dyDescent="0.3">
      <c r="A4198">
        <v>14197</v>
      </c>
      <c r="B4198">
        <v>162</v>
      </c>
      <c r="C4198" s="2">
        <v>44818</v>
      </c>
      <c r="D4198" s="2" t="str">
        <f>TEXT(Table3[[#This Row],[usage_date]],"mmmm")</f>
        <v>September</v>
      </c>
      <c r="E4198" s="9">
        <f>YEAR(Table3[[#This Row],[usage_date]])</f>
        <v>2022</v>
      </c>
      <c r="F4198" s="14">
        <v>2.2599999999999998</v>
      </c>
      <c r="G4198">
        <v>57</v>
      </c>
      <c r="H4198" t="s">
        <v>12</v>
      </c>
      <c r="I4198" t="str">
        <f t="shared" si="65"/>
        <v>Normal Usage</v>
      </c>
    </row>
    <row r="4199" spans="1:9" x14ac:dyDescent="0.3">
      <c r="A4199">
        <v>14198</v>
      </c>
      <c r="B4199">
        <v>471</v>
      </c>
      <c r="C4199" s="2">
        <v>44770</v>
      </c>
      <c r="D4199" s="2" t="str">
        <f>TEXT(Table3[[#This Row],[usage_date]],"mmmm")</f>
        <v>July</v>
      </c>
      <c r="E4199" s="9">
        <f>YEAR(Table3[[#This Row],[usage_date]])</f>
        <v>2022</v>
      </c>
      <c r="F4199" s="14">
        <v>0.94</v>
      </c>
      <c r="G4199">
        <v>292</v>
      </c>
      <c r="H4199" t="s">
        <v>12</v>
      </c>
      <c r="I4199" t="str">
        <f t="shared" si="65"/>
        <v>Normal Usage</v>
      </c>
    </row>
    <row r="4200" spans="1:9" x14ac:dyDescent="0.3">
      <c r="A4200">
        <v>14199</v>
      </c>
      <c r="B4200">
        <v>351</v>
      </c>
      <c r="C4200" s="2">
        <v>44842</v>
      </c>
      <c r="D4200" s="2" t="str">
        <f>TEXT(Table3[[#This Row],[usage_date]],"mmmm")</f>
        <v>October</v>
      </c>
      <c r="E4200" s="9">
        <f>YEAR(Table3[[#This Row],[usage_date]])</f>
        <v>2022</v>
      </c>
      <c r="F4200" s="14">
        <v>2.06</v>
      </c>
      <c r="G4200">
        <v>15</v>
      </c>
      <c r="H4200" t="s">
        <v>12</v>
      </c>
      <c r="I4200" t="str">
        <f t="shared" si="65"/>
        <v>Normal Usage</v>
      </c>
    </row>
    <row r="4201" spans="1:9" x14ac:dyDescent="0.3">
      <c r="A4201">
        <v>14200</v>
      </c>
      <c r="B4201">
        <v>434</v>
      </c>
      <c r="C4201" s="2">
        <v>45004</v>
      </c>
      <c r="D4201" s="2" t="str">
        <f>TEXT(Table3[[#This Row],[usage_date]],"mmmm")</f>
        <v>March</v>
      </c>
      <c r="E4201" s="9">
        <f>YEAR(Table3[[#This Row],[usage_date]])</f>
        <v>2023</v>
      </c>
      <c r="F4201" s="14">
        <v>1.91</v>
      </c>
      <c r="G4201">
        <v>92</v>
      </c>
      <c r="H4201" t="s">
        <v>12</v>
      </c>
      <c r="I4201" t="str">
        <f t="shared" si="65"/>
        <v>Normal Usage</v>
      </c>
    </row>
    <row r="4202" spans="1:9" x14ac:dyDescent="0.3">
      <c r="A4202">
        <v>14201</v>
      </c>
      <c r="B4202">
        <v>340</v>
      </c>
      <c r="C4202" s="2">
        <v>45401</v>
      </c>
      <c r="D4202" s="2" t="str">
        <f>TEXT(Table3[[#This Row],[usage_date]],"mmmm")</f>
        <v>April</v>
      </c>
      <c r="E4202" s="9">
        <f>YEAR(Table3[[#This Row],[usage_date]])</f>
        <v>2024</v>
      </c>
      <c r="F4202" s="14">
        <v>4.34</v>
      </c>
      <c r="G4202">
        <v>164</v>
      </c>
      <c r="H4202" t="s">
        <v>12</v>
      </c>
      <c r="I4202" t="str">
        <f t="shared" si="65"/>
        <v>Normal Usage</v>
      </c>
    </row>
    <row r="4203" spans="1:9" x14ac:dyDescent="0.3">
      <c r="A4203">
        <v>14202</v>
      </c>
      <c r="B4203">
        <v>140</v>
      </c>
      <c r="C4203" s="2">
        <v>45398</v>
      </c>
      <c r="D4203" s="2" t="str">
        <f>TEXT(Table3[[#This Row],[usage_date]],"mmmm")</f>
        <v>April</v>
      </c>
      <c r="E4203" s="9">
        <f>YEAR(Table3[[#This Row],[usage_date]])</f>
        <v>2024</v>
      </c>
      <c r="F4203" s="14">
        <v>10.01</v>
      </c>
      <c r="G4203">
        <v>214</v>
      </c>
      <c r="H4203" t="s">
        <v>12</v>
      </c>
      <c r="I4203" t="str">
        <f t="shared" si="65"/>
        <v>High Usage</v>
      </c>
    </row>
    <row r="4204" spans="1:9" x14ac:dyDescent="0.3">
      <c r="A4204">
        <v>14203</v>
      </c>
      <c r="B4204">
        <v>471</v>
      </c>
      <c r="C4204" s="2">
        <v>44950</v>
      </c>
      <c r="D4204" s="2" t="str">
        <f>TEXT(Table3[[#This Row],[usage_date]],"mmmm")</f>
        <v>January</v>
      </c>
      <c r="E4204" s="9">
        <f>YEAR(Table3[[#This Row],[usage_date]])</f>
        <v>2023</v>
      </c>
      <c r="F4204" s="14">
        <v>1.32</v>
      </c>
      <c r="G4204">
        <v>143</v>
      </c>
      <c r="H4204" t="s">
        <v>13</v>
      </c>
      <c r="I4204" t="str">
        <f t="shared" si="65"/>
        <v>Normal Usage</v>
      </c>
    </row>
    <row r="4205" spans="1:9" x14ac:dyDescent="0.3">
      <c r="A4205">
        <v>14204</v>
      </c>
      <c r="B4205">
        <v>132</v>
      </c>
      <c r="C4205" s="2">
        <v>45178</v>
      </c>
      <c r="D4205" s="2" t="str">
        <f>TEXT(Table3[[#This Row],[usage_date]],"mmmm")</f>
        <v>September</v>
      </c>
      <c r="E4205" s="9">
        <f>YEAR(Table3[[#This Row],[usage_date]])</f>
        <v>2023</v>
      </c>
      <c r="F4205" s="14">
        <v>3.6</v>
      </c>
      <c r="G4205">
        <v>273</v>
      </c>
      <c r="H4205" t="s">
        <v>12</v>
      </c>
      <c r="I4205" t="str">
        <f t="shared" si="65"/>
        <v>Normal Usage</v>
      </c>
    </row>
    <row r="4206" spans="1:9" x14ac:dyDescent="0.3">
      <c r="A4206">
        <v>14205</v>
      </c>
      <c r="B4206">
        <v>87</v>
      </c>
      <c r="C4206" s="2">
        <v>45044</v>
      </c>
      <c r="D4206" s="2" t="str">
        <f>TEXT(Table3[[#This Row],[usage_date]],"mmmm")</f>
        <v>April</v>
      </c>
      <c r="E4206" s="9">
        <f>YEAR(Table3[[#This Row],[usage_date]])</f>
        <v>2023</v>
      </c>
      <c r="F4206" s="14">
        <v>0.26</v>
      </c>
      <c r="G4206">
        <v>137</v>
      </c>
      <c r="H4206" t="s">
        <v>12</v>
      </c>
      <c r="I4206" t="str">
        <f t="shared" si="65"/>
        <v>Normal Usage</v>
      </c>
    </row>
    <row r="4207" spans="1:9" x14ac:dyDescent="0.3">
      <c r="A4207">
        <v>14206</v>
      </c>
      <c r="B4207">
        <v>176</v>
      </c>
      <c r="C4207" s="2">
        <v>44708</v>
      </c>
      <c r="D4207" s="2" t="str">
        <f>TEXT(Table3[[#This Row],[usage_date]],"mmmm")</f>
        <v>May</v>
      </c>
      <c r="E4207" s="9">
        <f>YEAR(Table3[[#This Row],[usage_date]])</f>
        <v>2022</v>
      </c>
      <c r="F4207" s="14">
        <v>3.75</v>
      </c>
      <c r="G4207">
        <v>203</v>
      </c>
      <c r="H4207" t="s">
        <v>12</v>
      </c>
      <c r="I4207" t="str">
        <f t="shared" si="65"/>
        <v>Normal Usage</v>
      </c>
    </row>
    <row r="4208" spans="1:9" x14ac:dyDescent="0.3">
      <c r="A4208">
        <v>14207</v>
      </c>
      <c r="B4208">
        <v>183</v>
      </c>
      <c r="C4208" s="2">
        <v>44840</v>
      </c>
      <c r="D4208" s="2" t="str">
        <f>TEXT(Table3[[#This Row],[usage_date]],"mmmm")</f>
        <v>October</v>
      </c>
      <c r="E4208" s="9">
        <f>YEAR(Table3[[#This Row],[usage_date]])</f>
        <v>2022</v>
      </c>
      <c r="F4208" s="14">
        <v>1.1599999999999999</v>
      </c>
      <c r="G4208">
        <v>209</v>
      </c>
      <c r="H4208" t="s">
        <v>13</v>
      </c>
      <c r="I4208" t="str">
        <f t="shared" si="65"/>
        <v>Normal Usage</v>
      </c>
    </row>
    <row r="4209" spans="1:9" x14ac:dyDescent="0.3">
      <c r="A4209">
        <v>14208</v>
      </c>
      <c r="B4209">
        <v>368</v>
      </c>
      <c r="C4209" s="2">
        <v>45082</v>
      </c>
      <c r="D4209" s="2" t="str">
        <f>TEXT(Table3[[#This Row],[usage_date]],"mmmm")</f>
        <v>June</v>
      </c>
      <c r="E4209" s="9">
        <f>YEAR(Table3[[#This Row],[usage_date]])</f>
        <v>2023</v>
      </c>
      <c r="F4209" s="14">
        <v>0.1</v>
      </c>
      <c r="G4209">
        <v>18</v>
      </c>
      <c r="H4209" t="s">
        <v>12</v>
      </c>
      <c r="I4209" t="str">
        <f t="shared" si="65"/>
        <v>Normal Usage</v>
      </c>
    </row>
    <row r="4210" spans="1:9" x14ac:dyDescent="0.3">
      <c r="A4210">
        <v>14209</v>
      </c>
      <c r="B4210">
        <v>129</v>
      </c>
      <c r="C4210" s="2">
        <v>45191</v>
      </c>
      <c r="D4210" s="2" t="str">
        <f>TEXT(Table3[[#This Row],[usage_date]],"mmmm")</f>
        <v>September</v>
      </c>
      <c r="E4210" s="9">
        <f>YEAR(Table3[[#This Row],[usage_date]])</f>
        <v>2023</v>
      </c>
      <c r="F4210" s="14">
        <v>1.1299999999999999</v>
      </c>
      <c r="G4210">
        <v>293</v>
      </c>
      <c r="H4210" t="s">
        <v>12</v>
      </c>
      <c r="I4210" t="str">
        <f t="shared" si="65"/>
        <v>Normal Usage</v>
      </c>
    </row>
    <row r="4211" spans="1:9" x14ac:dyDescent="0.3">
      <c r="A4211">
        <v>14210</v>
      </c>
      <c r="B4211">
        <v>246</v>
      </c>
      <c r="C4211" s="2">
        <v>45167</v>
      </c>
      <c r="D4211" s="2" t="str">
        <f>TEXT(Table3[[#This Row],[usage_date]],"mmmm")</f>
        <v>August</v>
      </c>
      <c r="E4211" s="9">
        <f>YEAR(Table3[[#This Row],[usage_date]])</f>
        <v>2023</v>
      </c>
      <c r="F4211" s="14">
        <v>2.36</v>
      </c>
      <c r="G4211">
        <v>292</v>
      </c>
      <c r="H4211" t="s">
        <v>12</v>
      </c>
      <c r="I4211" t="str">
        <f t="shared" si="65"/>
        <v>Normal Usage</v>
      </c>
    </row>
    <row r="4212" spans="1:9" x14ac:dyDescent="0.3">
      <c r="A4212">
        <v>14211</v>
      </c>
      <c r="B4212">
        <v>89</v>
      </c>
      <c r="C4212" s="2">
        <v>44995</v>
      </c>
      <c r="D4212" s="2" t="str">
        <f>TEXT(Table3[[#This Row],[usage_date]],"mmmm")</f>
        <v>March</v>
      </c>
      <c r="E4212" s="9">
        <f>YEAR(Table3[[#This Row],[usage_date]])</f>
        <v>2023</v>
      </c>
      <c r="F4212" s="14">
        <v>0.32</v>
      </c>
      <c r="G4212">
        <v>161</v>
      </c>
      <c r="H4212" t="s">
        <v>12</v>
      </c>
      <c r="I4212" t="str">
        <f t="shared" si="65"/>
        <v>Normal Usage</v>
      </c>
    </row>
    <row r="4213" spans="1:9" x14ac:dyDescent="0.3">
      <c r="A4213">
        <v>14212</v>
      </c>
      <c r="B4213">
        <v>66</v>
      </c>
      <c r="C4213" s="2">
        <v>44705</v>
      </c>
      <c r="D4213" s="2" t="str">
        <f>TEXT(Table3[[#This Row],[usage_date]],"mmmm")</f>
        <v>May</v>
      </c>
      <c r="E4213" s="9">
        <f>YEAR(Table3[[#This Row],[usage_date]])</f>
        <v>2022</v>
      </c>
      <c r="F4213" s="14">
        <v>6.44</v>
      </c>
      <c r="G4213">
        <v>129</v>
      </c>
      <c r="H4213" t="s">
        <v>13</v>
      </c>
      <c r="I4213" t="str">
        <f t="shared" si="65"/>
        <v>High Usage</v>
      </c>
    </row>
    <row r="4214" spans="1:9" x14ac:dyDescent="0.3">
      <c r="A4214">
        <v>14213</v>
      </c>
      <c r="B4214">
        <v>158</v>
      </c>
      <c r="C4214" s="2">
        <v>44850</v>
      </c>
      <c r="D4214" s="2" t="str">
        <f>TEXT(Table3[[#This Row],[usage_date]],"mmmm")</f>
        <v>October</v>
      </c>
      <c r="E4214" s="9">
        <f>YEAR(Table3[[#This Row],[usage_date]])</f>
        <v>2022</v>
      </c>
      <c r="F4214" s="14">
        <v>0.2</v>
      </c>
      <c r="G4214">
        <v>43</v>
      </c>
      <c r="H4214" t="s">
        <v>13</v>
      </c>
      <c r="I4214" t="str">
        <f t="shared" si="65"/>
        <v>Normal Usage</v>
      </c>
    </row>
    <row r="4215" spans="1:9" x14ac:dyDescent="0.3">
      <c r="A4215">
        <v>14214</v>
      </c>
      <c r="B4215">
        <v>387</v>
      </c>
      <c r="C4215" s="2">
        <v>44947</v>
      </c>
      <c r="D4215" s="2" t="str">
        <f>TEXT(Table3[[#This Row],[usage_date]],"mmmm")</f>
        <v>January</v>
      </c>
      <c r="E4215" s="9">
        <f>YEAR(Table3[[#This Row],[usage_date]])</f>
        <v>2023</v>
      </c>
      <c r="F4215" s="14">
        <v>6.65</v>
      </c>
      <c r="G4215">
        <v>82</v>
      </c>
      <c r="H4215" t="s">
        <v>12</v>
      </c>
      <c r="I4215" t="str">
        <f t="shared" si="65"/>
        <v>High Usage</v>
      </c>
    </row>
    <row r="4216" spans="1:9" x14ac:dyDescent="0.3">
      <c r="A4216">
        <v>14215</v>
      </c>
      <c r="B4216">
        <v>378</v>
      </c>
      <c r="C4216" s="2">
        <v>44575</v>
      </c>
      <c r="D4216" s="2" t="str">
        <f>TEXT(Table3[[#This Row],[usage_date]],"mmmm")</f>
        <v>January</v>
      </c>
      <c r="E4216" s="9">
        <f>YEAR(Table3[[#This Row],[usage_date]])</f>
        <v>2022</v>
      </c>
      <c r="F4216" s="14">
        <v>3.07</v>
      </c>
      <c r="G4216">
        <v>123</v>
      </c>
      <c r="H4216" t="s">
        <v>13</v>
      </c>
      <c r="I4216" t="str">
        <f t="shared" si="65"/>
        <v>Normal Usage</v>
      </c>
    </row>
    <row r="4217" spans="1:9" x14ac:dyDescent="0.3">
      <c r="A4217">
        <v>14216</v>
      </c>
      <c r="B4217">
        <v>149</v>
      </c>
      <c r="C4217" s="2">
        <v>44818</v>
      </c>
      <c r="D4217" s="2" t="str">
        <f>TEXT(Table3[[#This Row],[usage_date]],"mmmm")</f>
        <v>September</v>
      </c>
      <c r="E4217" s="9">
        <f>YEAR(Table3[[#This Row],[usage_date]])</f>
        <v>2022</v>
      </c>
      <c r="F4217" s="14">
        <v>1</v>
      </c>
      <c r="G4217">
        <v>26</v>
      </c>
      <c r="H4217" t="s">
        <v>13</v>
      </c>
      <c r="I4217" t="str">
        <f t="shared" si="65"/>
        <v>Normal Usage</v>
      </c>
    </row>
    <row r="4218" spans="1:9" x14ac:dyDescent="0.3">
      <c r="A4218">
        <v>14217</v>
      </c>
      <c r="B4218">
        <v>473</v>
      </c>
      <c r="C4218" s="2">
        <v>44907</v>
      </c>
      <c r="D4218" s="2" t="str">
        <f>TEXT(Table3[[#This Row],[usage_date]],"mmmm")</f>
        <v>December</v>
      </c>
      <c r="E4218" s="9">
        <f>YEAR(Table3[[#This Row],[usage_date]])</f>
        <v>2022</v>
      </c>
      <c r="F4218" s="14">
        <v>1.24</v>
      </c>
      <c r="G4218">
        <v>6</v>
      </c>
      <c r="H4218" t="s">
        <v>13</v>
      </c>
      <c r="I4218" t="str">
        <f t="shared" si="65"/>
        <v>Normal Usage</v>
      </c>
    </row>
    <row r="4219" spans="1:9" x14ac:dyDescent="0.3">
      <c r="A4219">
        <v>14218</v>
      </c>
      <c r="B4219">
        <v>340</v>
      </c>
      <c r="C4219" s="2">
        <v>45259</v>
      </c>
      <c r="D4219" s="2" t="str">
        <f>TEXT(Table3[[#This Row],[usage_date]],"mmmm")</f>
        <v>November</v>
      </c>
      <c r="E4219" s="9">
        <f>YEAR(Table3[[#This Row],[usage_date]])</f>
        <v>2023</v>
      </c>
      <c r="F4219" s="14">
        <v>3.38</v>
      </c>
      <c r="G4219">
        <v>198</v>
      </c>
      <c r="H4219" t="s">
        <v>12</v>
      </c>
      <c r="I4219" t="str">
        <f t="shared" si="65"/>
        <v>Normal Usage</v>
      </c>
    </row>
    <row r="4220" spans="1:9" x14ac:dyDescent="0.3">
      <c r="A4220">
        <v>14219</v>
      </c>
      <c r="B4220">
        <v>433</v>
      </c>
      <c r="C4220" s="2">
        <v>44906</v>
      </c>
      <c r="D4220" s="2" t="str">
        <f>TEXT(Table3[[#This Row],[usage_date]],"mmmm")</f>
        <v>December</v>
      </c>
      <c r="E4220" s="9">
        <f>YEAR(Table3[[#This Row],[usage_date]])</f>
        <v>2022</v>
      </c>
      <c r="F4220" s="14">
        <v>2.2999999999999998</v>
      </c>
      <c r="G4220">
        <v>111</v>
      </c>
      <c r="H4220" t="s">
        <v>12</v>
      </c>
      <c r="I4220" t="str">
        <f t="shared" si="65"/>
        <v>Normal Usage</v>
      </c>
    </row>
    <row r="4221" spans="1:9" x14ac:dyDescent="0.3">
      <c r="A4221">
        <v>14220</v>
      </c>
      <c r="B4221">
        <v>116</v>
      </c>
      <c r="C4221" s="2">
        <v>44961</v>
      </c>
      <c r="D4221" s="2" t="str">
        <f>TEXT(Table3[[#This Row],[usage_date]],"mmmm")</f>
        <v>February</v>
      </c>
      <c r="E4221" s="9">
        <f>YEAR(Table3[[#This Row],[usage_date]])</f>
        <v>2023</v>
      </c>
      <c r="F4221" s="14">
        <v>2.78</v>
      </c>
      <c r="G4221">
        <v>88</v>
      </c>
      <c r="H4221" t="s">
        <v>12</v>
      </c>
      <c r="I4221" t="str">
        <f t="shared" si="65"/>
        <v>Normal Usage</v>
      </c>
    </row>
    <row r="4222" spans="1:9" x14ac:dyDescent="0.3">
      <c r="A4222">
        <v>14221</v>
      </c>
      <c r="B4222">
        <v>214</v>
      </c>
      <c r="C4222" s="2">
        <v>44768</v>
      </c>
      <c r="D4222" s="2" t="str">
        <f>TEXT(Table3[[#This Row],[usage_date]],"mmmm")</f>
        <v>July</v>
      </c>
      <c r="E4222" s="9">
        <f>YEAR(Table3[[#This Row],[usage_date]])</f>
        <v>2022</v>
      </c>
      <c r="F4222" s="14">
        <v>1.23</v>
      </c>
      <c r="G4222">
        <v>127</v>
      </c>
      <c r="H4222" t="s">
        <v>12</v>
      </c>
      <c r="I4222" t="str">
        <f t="shared" si="65"/>
        <v>Normal Usage</v>
      </c>
    </row>
    <row r="4223" spans="1:9" x14ac:dyDescent="0.3">
      <c r="A4223">
        <v>14222</v>
      </c>
      <c r="B4223">
        <v>469</v>
      </c>
      <c r="C4223" s="2">
        <v>45419</v>
      </c>
      <c r="D4223" s="2" t="str">
        <f>TEXT(Table3[[#This Row],[usage_date]],"mmmm")</f>
        <v>May</v>
      </c>
      <c r="E4223" s="9">
        <f>YEAR(Table3[[#This Row],[usage_date]])</f>
        <v>2024</v>
      </c>
      <c r="F4223" s="14">
        <v>1.67</v>
      </c>
      <c r="G4223">
        <v>229</v>
      </c>
      <c r="H4223" t="s">
        <v>12</v>
      </c>
      <c r="I4223" t="str">
        <f t="shared" si="65"/>
        <v>Normal Usage</v>
      </c>
    </row>
    <row r="4224" spans="1:9" x14ac:dyDescent="0.3">
      <c r="A4224">
        <v>14223</v>
      </c>
      <c r="B4224">
        <v>446</v>
      </c>
      <c r="C4224" s="2">
        <v>44733</v>
      </c>
      <c r="D4224" s="2" t="str">
        <f>TEXT(Table3[[#This Row],[usage_date]],"mmmm")</f>
        <v>June</v>
      </c>
      <c r="E4224" s="9">
        <f>YEAR(Table3[[#This Row],[usage_date]])</f>
        <v>2022</v>
      </c>
      <c r="F4224" s="14">
        <v>11.48</v>
      </c>
      <c r="G4224">
        <v>17</v>
      </c>
      <c r="H4224" t="s">
        <v>13</v>
      </c>
      <c r="I4224" t="str">
        <f t="shared" si="65"/>
        <v>High Usage</v>
      </c>
    </row>
    <row r="4225" spans="1:9" x14ac:dyDescent="0.3">
      <c r="A4225">
        <v>14224</v>
      </c>
      <c r="B4225">
        <v>481</v>
      </c>
      <c r="C4225" s="2">
        <v>45025</v>
      </c>
      <c r="D4225" s="2" t="str">
        <f>TEXT(Table3[[#This Row],[usage_date]],"mmmm")</f>
        <v>April</v>
      </c>
      <c r="E4225" s="9">
        <f>YEAR(Table3[[#This Row],[usage_date]])</f>
        <v>2023</v>
      </c>
      <c r="F4225" s="14">
        <v>0.6</v>
      </c>
      <c r="G4225">
        <v>288</v>
      </c>
      <c r="H4225" t="s">
        <v>13</v>
      </c>
      <c r="I4225" t="str">
        <f t="shared" si="65"/>
        <v>Normal Usage</v>
      </c>
    </row>
    <row r="4226" spans="1:9" x14ac:dyDescent="0.3">
      <c r="A4226">
        <v>14225</v>
      </c>
      <c r="B4226">
        <v>372</v>
      </c>
      <c r="C4226" s="2">
        <v>44831</v>
      </c>
      <c r="D4226" s="2" t="str">
        <f>TEXT(Table3[[#This Row],[usage_date]],"mmmm")</f>
        <v>September</v>
      </c>
      <c r="E4226" s="9">
        <f>YEAR(Table3[[#This Row],[usage_date]])</f>
        <v>2022</v>
      </c>
      <c r="F4226" s="14">
        <v>1.35</v>
      </c>
      <c r="G4226">
        <v>160</v>
      </c>
      <c r="H4226" t="s">
        <v>13</v>
      </c>
      <c r="I4226" t="str">
        <f t="shared" ref="I4226:I4289" si="66">IF(F4226&gt;6,"High Usage","Normal Usage")</f>
        <v>Normal Usage</v>
      </c>
    </row>
    <row r="4227" spans="1:9" x14ac:dyDescent="0.3">
      <c r="A4227">
        <v>14226</v>
      </c>
      <c r="B4227">
        <v>294</v>
      </c>
      <c r="C4227" s="2">
        <v>44782</v>
      </c>
      <c r="D4227" s="2" t="str">
        <f>TEXT(Table3[[#This Row],[usage_date]],"mmmm")</f>
        <v>August</v>
      </c>
      <c r="E4227" s="9">
        <f>YEAR(Table3[[#This Row],[usage_date]])</f>
        <v>2022</v>
      </c>
      <c r="F4227" s="14">
        <v>0.86</v>
      </c>
      <c r="G4227">
        <v>280</v>
      </c>
      <c r="H4227" t="s">
        <v>12</v>
      </c>
      <c r="I4227" t="str">
        <f t="shared" si="66"/>
        <v>Normal Usage</v>
      </c>
    </row>
    <row r="4228" spans="1:9" x14ac:dyDescent="0.3">
      <c r="A4228">
        <v>14227</v>
      </c>
      <c r="B4228">
        <v>253</v>
      </c>
      <c r="C4228" s="2">
        <v>44713</v>
      </c>
      <c r="D4228" s="2" t="str">
        <f>TEXT(Table3[[#This Row],[usage_date]],"mmmm")</f>
        <v>June</v>
      </c>
      <c r="E4228" s="9">
        <f>YEAR(Table3[[#This Row],[usage_date]])</f>
        <v>2022</v>
      </c>
      <c r="F4228" s="14">
        <v>3.62</v>
      </c>
      <c r="G4228">
        <v>165</v>
      </c>
      <c r="H4228" t="s">
        <v>12</v>
      </c>
      <c r="I4228" t="str">
        <f t="shared" si="66"/>
        <v>Normal Usage</v>
      </c>
    </row>
    <row r="4229" spans="1:9" x14ac:dyDescent="0.3">
      <c r="A4229">
        <v>14228</v>
      </c>
      <c r="B4229">
        <v>143</v>
      </c>
      <c r="C4229" s="2">
        <v>45184</v>
      </c>
      <c r="D4229" s="2" t="str">
        <f>TEXT(Table3[[#This Row],[usage_date]],"mmmm")</f>
        <v>September</v>
      </c>
      <c r="E4229" s="9">
        <f>YEAR(Table3[[#This Row],[usage_date]])</f>
        <v>2023</v>
      </c>
      <c r="F4229" s="14">
        <v>3.61</v>
      </c>
      <c r="G4229">
        <v>259</v>
      </c>
      <c r="H4229" t="s">
        <v>12</v>
      </c>
      <c r="I4229" t="str">
        <f t="shared" si="66"/>
        <v>Normal Usage</v>
      </c>
    </row>
    <row r="4230" spans="1:9" x14ac:dyDescent="0.3">
      <c r="A4230">
        <v>14229</v>
      </c>
      <c r="B4230">
        <v>250</v>
      </c>
      <c r="C4230" s="2">
        <v>44744</v>
      </c>
      <c r="D4230" s="2" t="str">
        <f>TEXT(Table3[[#This Row],[usage_date]],"mmmm")</f>
        <v>July</v>
      </c>
      <c r="E4230" s="9">
        <f>YEAR(Table3[[#This Row],[usage_date]])</f>
        <v>2022</v>
      </c>
      <c r="F4230" s="14">
        <v>0.86</v>
      </c>
      <c r="G4230">
        <v>189</v>
      </c>
      <c r="H4230" t="s">
        <v>12</v>
      </c>
      <c r="I4230" t="str">
        <f t="shared" si="66"/>
        <v>Normal Usage</v>
      </c>
    </row>
    <row r="4231" spans="1:9" x14ac:dyDescent="0.3">
      <c r="A4231">
        <v>14230</v>
      </c>
      <c r="B4231">
        <v>366</v>
      </c>
      <c r="C4231" s="2">
        <v>44960</v>
      </c>
      <c r="D4231" s="2" t="str">
        <f>TEXT(Table3[[#This Row],[usage_date]],"mmmm")</f>
        <v>February</v>
      </c>
      <c r="E4231" s="9">
        <f>YEAR(Table3[[#This Row],[usage_date]])</f>
        <v>2023</v>
      </c>
      <c r="F4231" s="14">
        <v>0.21</v>
      </c>
      <c r="G4231">
        <v>265</v>
      </c>
      <c r="H4231" t="s">
        <v>13</v>
      </c>
      <c r="I4231" t="str">
        <f t="shared" si="66"/>
        <v>Normal Usage</v>
      </c>
    </row>
    <row r="4232" spans="1:9" x14ac:dyDescent="0.3">
      <c r="A4232">
        <v>14231</v>
      </c>
      <c r="B4232">
        <v>436</v>
      </c>
      <c r="C4232" s="2">
        <v>45412</v>
      </c>
      <c r="D4232" s="2" t="str">
        <f>TEXT(Table3[[#This Row],[usage_date]],"mmmm")</f>
        <v>April</v>
      </c>
      <c r="E4232" s="9">
        <f>YEAR(Table3[[#This Row],[usage_date]])</f>
        <v>2024</v>
      </c>
      <c r="F4232" s="14">
        <v>0.03</v>
      </c>
      <c r="G4232">
        <v>290</v>
      </c>
      <c r="H4232" t="s">
        <v>12</v>
      </c>
      <c r="I4232" t="str">
        <f t="shared" si="66"/>
        <v>Normal Usage</v>
      </c>
    </row>
    <row r="4233" spans="1:9" x14ac:dyDescent="0.3">
      <c r="A4233">
        <v>14232</v>
      </c>
      <c r="B4233">
        <v>463</v>
      </c>
      <c r="C4233" s="2">
        <v>44633</v>
      </c>
      <c r="D4233" s="2" t="str">
        <f>TEXT(Table3[[#This Row],[usage_date]],"mmmm")</f>
        <v>March</v>
      </c>
      <c r="E4233" s="9">
        <f>YEAR(Table3[[#This Row],[usage_date]])</f>
        <v>2022</v>
      </c>
      <c r="F4233" s="14">
        <v>1.39</v>
      </c>
      <c r="G4233">
        <v>278</v>
      </c>
      <c r="H4233" t="s">
        <v>13</v>
      </c>
      <c r="I4233" t="str">
        <f t="shared" si="66"/>
        <v>Normal Usage</v>
      </c>
    </row>
    <row r="4234" spans="1:9" x14ac:dyDescent="0.3">
      <c r="A4234">
        <v>14233</v>
      </c>
      <c r="B4234">
        <v>302</v>
      </c>
      <c r="C4234" s="2">
        <v>44979</v>
      </c>
      <c r="D4234" s="2" t="str">
        <f>TEXT(Table3[[#This Row],[usage_date]],"mmmm")</f>
        <v>February</v>
      </c>
      <c r="E4234" s="9">
        <f>YEAR(Table3[[#This Row],[usage_date]])</f>
        <v>2023</v>
      </c>
      <c r="F4234" s="14">
        <v>1.32</v>
      </c>
      <c r="G4234">
        <v>216</v>
      </c>
      <c r="H4234" t="s">
        <v>12</v>
      </c>
      <c r="I4234" t="str">
        <f t="shared" si="66"/>
        <v>Normal Usage</v>
      </c>
    </row>
    <row r="4235" spans="1:9" x14ac:dyDescent="0.3">
      <c r="A4235">
        <v>14234</v>
      </c>
      <c r="B4235">
        <v>25</v>
      </c>
      <c r="C4235" s="2">
        <v>45459</v>
      </c>
      <c r="D4235" s="2" t="str">
        <f>TEXT(Table3[[#This Row],[usage_date]],"mmmm")</f>
        <v>June</v>
      </c>
      <c r="E4235" s="9">
        <f>YEAR(Table3[[#This Row],[usage_date]])</f>
        <v>2024</v>
      </c>
      <c r="F4235" s="14">
        <v>11.14</v>
      </c>
      <c r="G4235">
        <v>206</v>
      </c>
      <c r="H4235" t="s">
        <v>12</v>
      </c>
      <c r="I4235" t="str">
        <f t="shared" si="66"/>
        <v>High Usage</v>
      </c>
    </row>
    <row r="4236" spans="1:9" x14ac:dyDescent="0.3">
      <c r="A4236">
        <v>14235</v>
      </c>
      <c r="B4236">
        <v>277</v>
      </c>
      <c r="C4236" s="2">
        <v>44844</v>
      </c>
      <c r="D4236" s="2" t="str">
        <f>TEXT(Table3[[#This Row],[usage_date]],"mmmm")</f>
        <v>October</v>
      </c>
      <c r="E4236" s="9">
        <f>YEAR(Table3[[#This Row],[usage_date]])</f>
        <v>2022</v>
      </c>
      <c r="F4236" s="14">
        <v>1.59</v>
      </c>
      <c r="G4236">
        <v>152</v>
      </c>
      <c r="H4236" t="s">
        <v>12</v>
      </c>
      <c r="I4236" t="str">
        <f t="shared" si="66"/>
        <v>Normal Usage</v>
      </c>
    </row>
    <row r="4237" spans="1:9" x14ac:dyDescent="0.3">
      <c r="A4237">
        <v>14236</v>
      </c>
      <c r="B4237">
        <v>472</v>
      </c>
      <c r="C4237" s="2">
        <v>44635</v>
      </c>
      <c r="D4237" s="2" t="str">
        <f>TEXT(Table3[[#This Row],[usage_date]],"mmmm")</f>
        <v>March</v>
      </c>
      <c r="E4237" s="9">
        <f>YEAR(Table3[[#This Row],[usage_date]])</f>
        <v>2022</v>
      </c>
      <c r="F4237" s="14">
        <v>0.74</v>
      </c>
      <c r="G4237">
        <v>180</v>
      </c>
      <c r="H4237" t="s">
        <v>12</v>
      </c>
      <c r="I4237" t="str">
        <f t="shared" si="66"/>
        <v>Normal Usage</v>
      </c>
    </row>
    <row r="4238" spans="1:9" x14ac:dyDescent="0.3">
      <c r="A4238">
        <v>14237</v>
      </c>
      <c r="B4238">
        <v>377</v>
      </c>
      <c r="C4238" s="2">
        <v>44916</v>
      </c>
      <c r="D4238" s="2" t="str">
        <f>TEXT(Table3[[#This Row],[usage_date]],"mmmm")</f>
        <v>December</v>
      </c>
      <c r="E4238" s="9">
        <f>YEAR(Table3[[#This Row],[usage_date]])</f>
        <v>2022</v>
      </c>
      <c r="F4238" s="14">
        <v>5.55</v>
      </c>
      <c r="G4238">
        <v>211</v>
      </c>
      <c r="H4238" t="s">
        <v>12</v>
      </c>
      <c r="I4238" t="str">
        <f t="shared" si="66"/>
        <v>Normal Usage</v>
      </c>
    </row>
    <row r="4239" spans="1:9" x14ac:dyDescent="0.3">
      <c r="A4239">
        <v>14238</v>
      </c>
      <c r="B4239">
        <v>378</v>
      </c>
      <c r="C4239" s="2">
        <v>45288</v>
      </c>
      <c r="D4239" s="2" t="str">
        <f>TEXT(Table3[[#This Row],[usage_date]],"mmmm")</f>
        <v>December</v>
      </c>
      <c r="E4239" s="9">
        <f>YEAR(Table3[[#This Row],[usage_date]])</f>
        <v>2023</v>
      </c>
      <c r="F4239" s="14">
        <v>1.69</v>
      </c>
      <c r="G4239">
        <v>272</v>
      </c>
      <c r="H4239" t="s">
        <v>12</v>
      </c>
      <c r="I4239" t="str">
        <f t="shared" si="66"/>
        <v>Normal Usage</v>
      </c>
    </row>
    <row r="4240" spans="1:9" x14ac:dyDescent="0.3">
      <c r="A4240">
        <v>14239</v>
      </c>
      <c r="B4240">
        <v>389</v>
      </c>
      <c r="C4240" s="2">
        <v>45058</v>
      </c>
      <c r="D4240" s="2" t="str">
        <f>TEXT(Table3[[#This Row],[usage_date]],"mmmm")</f>
        <v>May</v>
      </c>
      <c r="E4240" s="9">
        <f>YEAR(Table3[[#This Row],[usage_date]])</f>
        <v>2023</v>
      </c>
      <c r="F4240" s="14">
        <v>2.29</v>
      </c>
      <c r="G4240">
        <v>202</v>
      </c>
      <c r="H4240" t="s">
        <v>12</v>
      </c>
      <c r="I4240" t="str">
        <f t="shared" si="66"/>
        <v>Normal Usage</v>
      </c>
    </row>
    <row r="4241" spans="1:9" x14ac:dyDescent="0.3">
      <c r="A4241">
        <v>14240</v>
      </c>
      <c r="B4241">
        <v>70</v>
      </c>
      <c r="C4241" s="2">
        <v>44889</v>
      </c>
      <c r="D4241" s="2" t="str">
        <f>TEXT(Table3[[#This Row],[usage_date]],"mmmm")</f>
        <v>November</v>
      </c>
      <c r="E4241" s="9">
        <f>YEAR(Table3[[#This Row],[usage_date]])</f>
        <v>2022</v>
      </c>
      <c r="F4241" s="14">
        <v>0.25</v>
      </c>
      <c r="G4241">
        <v>204</v>
      </c>
      <c r="H4241" t="s">
        <v>13</v>
      </c>
      <c r="I4241" t="str">
        <f t="shared" si="66"/>
        <v>Normal Usage</v>
      </c>
    </row>
    <row r="4242" spans="1:9" x14ac:dyDescent="0.3">
      <c r="A4242">
        <v>14241</v>
      </c>
      <c r="B4242">
        <v>113</v>
      </c>
      <c r="C4242" s="2">
        <v>45096</v>
      </c>
      <c r="D4242" s="2" t="str">
        <f>TEXT(Table3[[#This Row],[usage_date]],"mmmm")</f>
        <v>June</v>
      </c>
      <c r="E4242" s="9">
        <f>YEAR(Table3[[#This Row],[usage_date]])</f>
        <v>2023</v>
      </c>
      <c r="F4242" s="14">
        <v>1.21</v>
      </c>
      <c r="G4242">
        <v>152</v>
      </c>
      <c r="H4242" t="s">
        <v>13</v>
      </c>
      <c r="I4242" t="str">
        <f t="shared" si="66"/>
        <v>Normal Usage</v>
      </c>
    </row>
    <row r="4243" spans="1:9" x14ac:dyDescent="0.3">
      <c r="A4243">
        <v>14242</v>
      </c>
      <c r="B4243">
        <v>363</v>
      </c>
      <c r="C4243" s="2">
        <v>45141</v>
      </c>
      <c r="D4243" s="2" t="str">
        <f>TEXT(Table3[[#This Row],[usage_date]],"mmmm")</f>
        <v>August</v>
      </c>
      <c r="E4243" s="9">
        <f>YEAR(Table3[[#This Row],[usage_date]])</f>
        <v>2023</v>
      </c>
      <c r="F4243" s="14">
        <v>7.22</v>
      </c>
      <c r="G4243">
        <v>169</v>
      </c>
      <c r="H4243" t="s">
        <v>13</v>
      </c>
      <c r="I4243" t="str">
        <f t="shared" si="66"/>
        <v>High Usage</v>
      </c>
    </row>
    <row r="4244" spans="1:9" x14ac:dyDescent="0.3">
      <c r="A4244">
        <v>14243</v>
      </c>
      <c r="B4244">
        <v>112</v>
      </c>
      <c r="C4244" s="2">
        <v>45008</v>
      </c>
      <c r="D4244" s="2" t="str">
        <f>TEXT(Table3[[#This Row],[usage_date]],"mmmm")</f>
        <v>March</v>
      </c>
      <c r="E4244" s="9">
        <f>YEAR(Table3[[#This Row],[usage_date]])</f>
        <v>2023</v>
      </c>
      <c r="F4244" s="14">
        <v>2.23</v>
      </c>
      <c r="G4244">
        <v>240</v>
      </c>
      <c r="H4244" t="s">
        <v>13</v>
      </c>
      <c r="I4244" t="str">
        <f t="shared" si="66"/>
        <v>Normal Usage</v>
      </c>
    </row>
    <row r="4245" spans="1:9" x14ac:dyDescent="0.3">
      <c r="A4245">
        <v>14244</v>
      </c>
      <c r="B4245">
        <v>364</v>
      </c>
      <c r="C4245" s="2">
        <v>44934</v>
      </c>
      <c r="D4245" s="2" t="str">
        <f>TEXT(Table3[[#This Row],[usage_date]],"mmmm")</f>
        <v>January</v>
      </c>
      <c r="E4245" s="9">
        <f>YEAR(Table3[[#This Row],[usage_date]])</f>
        <v>2023</v>
      </c>
      <c r="F4245" s="14">
        <v>1.06</v>
      </c>
      <c r="G4245">
        <v>286</v>
      </c>
      <c r="H4245" t="s">
        <v>13</v>
      </c>
      <c r="I4245" t="str">
        <f t="shared" si="66"/>
        <v>Normal Usage</v>
      </c>
    </row>
    <row r="4246" spans="1:9" x14ac:dyDescent="0.3">
      <c r="A4246">
        <v>14245</v>
      </c>
      <c r="B4246">
        <v>303</v>
      </c>
      <c r="C4246" s="2">
        <v>44923</v>
      </c>
      <c r="D4246" s="2" t="str">
        <f>TEXT(Table3[[#This Row],[usage_date]],"mmmm")</f>
        <v>December</v>
      </c>
      <c r="E4246" s="9">
        <f>YEAR(Table3[[#This Row],[usage_date]])</f>
        <v>2022</v>
      </c>
      <c r="F4246" s="14">
        <v>2.46</v>
      </c>
      <c r="G4246">
        <v>244</v>
      </c>
      <c r="H4246" t="s">
        <v>12</v>
      </c>
      <c r="I4246" t="str">
        <f t="shared" si="66"/>
        <v>Normal Usage</v>
      </c>
    </row>
    <row r="4247" spans="1:9" x14ac:dyDescent="0.3">
      <c r="A4247">
        <v>14246</v>
      </c>
      <c r="B4247">
        <v>471</v>
      </c>
      <c r="C4247" s="2">
        <v>44654</v>
      </c>
      <c r="D4247" s="2" t="str">
        <f>TEXT(Table3[[#This Row],[usage_date]],"mmmm")</f>
        <v>April</v>
      </c>
      <c r="E4247" s="9">
        <f>YEAR(Table3[[#This Row],[usage_date]])</f>
        <v>2022</v>
      </c>
      <c r="F4247" s="14">
        <v>6.03</v>
      </c>
      <c r="G4247">
        <v>79</v>
      </c>
      <c r="H4247" t="s">
        <v>12</v>
      </c>
      <c r="I4247" t="str">
        <f t="shared" si="66"/>
        <v>High Usage</v>
      </c>
    </row>
    <row r="4248" spans="1:9" x14ac:dyDescent="0.3">
      <c r="A4248">
        <v>14247</v>
      </c>
      <c r="B4248">
        <v>452</v>
      </c>
      <c r="C4248" s="2">
        <v>44882</v>
      </c>
      <c r="D4248" s="2" t="str">
        <f>TEXT(Table3[[#This Row],[usage_date]],"mmmm")</f>
        <v>November</v>
      </c>
      <c r="E4248" s="9">
        <f>YEAR(Table3[[#This Row],[usage_date]])</f>
        <v>2022</v>
      </c>
      <c r="F4248" s="14">
        <v>0.8</v>
      </c>
      <c r="G4248">
        <v>91</v>
      </c>
      <c r="H4248" t="s">
        <v>12</v>
      </c>
      <c r="I4248" t="str">
        <f t="shared" si="66"/>
        <v>Normal Usage</v>
      </c>
    </row>
    <row r="4249" spans="1:9" x14ac:dyDescent="0.3">
      <c r="A4249">
        <v>14248</v>
      </c>
      <c r="B4249">
        <v>91</v>
      </c>
      <c r="C4249" s="2">
        <v>44885</v>
      </c>
      <c r="D4249" s="2" t="str">
        <f>TEXT(Table3[[#This Row],[usage_date]],"mmmm")</f>
        <v>November</v>
      </c>
      <c r="E4249" s="9">
        <f>YEAR(Table3[[#This Row],[usage_date]])</f>
        <v>2022</v>
      </c>
      <c r="F4249" s="14">
        <v>1.76</v>
      </c>
      <c r="G4249">
        <v>148</v>
      </c>
      <c r="H4249" t="s">
        <v>13</v>
      </c>
      <c r="I4249" t="str">
        <f t="shared" si="66"/>
        <v>Normal Usage</v>
      </c>
    </row>
    <row r="4250" spans="1:9" x14ac:dyDescent="0.3">
      <c r="A4250">
        <v>14249</v>
      </c>
      <c r="B4250">
        <v>18</v>
      </c>
      <c r="C4250" s="2">
        <v>44945</v>
      </c>
      <c r="D4250" s="2" t="str">
        <f>TEXT(Table3[[#This Row],[usage_date]],"mmmm")</f>
        <v>January</v>
      </c>
      <c r="E4250" s="9">
        <f>YEAR(Table3[[#This Row],[usage_date]])</f>
        <v>2023</v>
      </c>
      <c r="F4250" s="14">
        <v>7.97</v>
      </c>
      <c r="G4250">
        <v>29</v>
      </c>
      <c r="H4250" t="s">
        <v>12</v>
      </c>
      <c r="I4250" t="str">
        <f t="shared" si="66"/>
        <v>High Usage</v>
      </c>
    </row>
    <row r="4251" spans="1:9" x14ac:dyDescent="0.3">
      <c r="A4251">
        <v>14250</v>
      </c>
      <c r="B4251">
        <v>149</v>
      </c>
      <c r="C4251" s="2">
        <v>45136</v>
      </c>
      <c r="D4251" s="2" t="str">
        <f>TEXT(Table3[[#This Row],[usage_date]],"mmmm")</f>
        <v>July</v>
      </c>
      <c r="E4251" s="9">
        <f>YEAR(Table3[[#This Row],[usage_date]])</f>
        <v>2023</v>
      </c>
      <c r="F4251" s="14">
        <v>0.47</v>
      </c>
      <c r="G4251">
        <v>122</v>
      </c>
      <c r="H4251" t="s">
        <v>12</v>
      </c>
      <c r="I4251" t="str">
        <f t="shared" si="66"/>
        <v>Normal Usage</v>
      </c>
    </row>
    <row r="4252" spans="1:9" x14ac:dyDescent="0.3">
      <c r="A4252">
        <v>14251</v>
      </c>
      <c r="B4252">
        <v>476</v>
      </c>
      <c r="C4252" s="2">
        <v>45297</v>
      </c>
      <c r="D4252" s="2" t="str">
        <f>TEXT(Table3[[#This Row],[usage_date]],"mmmm")</f>
        <v>January</v>
      </c>
      <c r="E4252" s="9">
        <f>YEAR(Table3[[#This Row],[usage_date]])</f>
        <v>2024</v>
      </c>
      <c r="F4252" s="14">
        <v>3.18</v>
      </c>
      <c r="G4252">
        <v>28</v>
      </c>
      <c r="H4252" t="s">
        <v>13</v>
      </c>
      <c r="I4252" t="str">
        <f t="shared" si="66"/>
        <v>Normal Usage</v>
      </c>
    </row>
    <row r="4253" spans="1:9" x14ac:dyDescent="0.3">
      <c r="A4253">
        <v>14252</v>
      </c>
      <c r="B4253">
        <v>227</v>
      </c>
      <c r="C4253" s="2">
        <v>45298</v>
      </c>
      <c r="D4253" s="2" t="str">
        <f>TEXT(Table3[[#This Row],[usage_date]],"mmmm")</f>
        <v>January</v>
      </c>
      <c r="E4253" s="9">
        <f>YEAR(Table3[[#This Row],[usage_date]])</f>
        <v>2024</v>
      </c>
      <c r="F4253" s="14">
        <v>2.38</v>
      </c>
      <c r="G4253">
        <v>258</v>
      </c>
      <c r="H4253" t="s">
        <v>12</v>
      </c>
      <c r="I4253" t="str">
        <f t="shared" si="66"/>
        <v>Normal Usage</v>
      </c>
    </row>
    <row r="4254" spans="1:9" x14ac:dyDescent="0.3">
      <c r="A4254">
        <v>14253</v>
      </c>
      <c r="B4254">
        <v>214</v>
      </c>
      <c r="C4254" s="2">
        <v>45442</v>
      </c>
      <c r="D4254" s="2" t="str">
        <f>TEXT(Table3[[#This Row],[usage_date]],"mmmm")</f>
        <v>May</v>
      </c>
      <c r="E4254" s="9">
        <f>YEAR(Table3[[#This Row],[usage_date]])</f>
        <v>2024</v>
      </c>
      <c r="F4254" s="14">
        <v>2.85</v>
      </c>
      <c r="G4254">
        <v>185</v>
      </c>
      <c r="H4254" t="s">
        <v>13</v>
      </c>
      <c r="I4254" t="str">
        <f t="shared" si="66"/>
        <v>Normal Usage</v>
      </c>
    </row>
    <row r="4255" spans="1:9" x14ac:dyDescent="0.3">
      <c r="A4255">
        <v>14254</v>
      </c>
      <c r="B4255">
        <v>360</v>
      </c>
      <c r="C4255" s="2">
        <v>44907</v>
      </c>
      <c r="D4255" s="2" t="str">
        <f>TEXT(Table3[[#This Row],[usage_date]],"mmmm")</f>
        <v>December</v>
      </c>
      <c r="E4255" s="9">
        <f>YEAR(Table3[[#This Row],[usage_date]])</f>
        <v>2022</v>
      </c>
      <c r="F4255" s="14">
        <v>1.08</v>
      </c>
      <c r="G4255">
        <v>74</v>
      </c>
      <c r="H4255" t="s">
        <v>13</v>
      </c>
      <c r="I4255" t="str">
        <f t="shared" si="66"/>
        <v>Normal Usage</v>
      </c>
    </row>
    <row r="4256" spans="1:9" x14ac:dyDescent="0.3">
      <c r="A4256">
        <v>14255</v>
      </c>
      <c r="B4256">
        <v>151</v>
      </c>
      <c r="C4256" s="2">
        <v>45410</v>
      </c>
      <c r="D4256" s="2" t="str">
        <f>TEXT(Table3[[#This Row],[usage_date]],"mmmm")</f>
        <v>April</v>
      </c>
      <c r="E4256" s="9">
        <f>YEAR(Table3[[#This Row],[usage_date]])</f>
        <v>2024</v>
      </c>
      <c r="F4256" s="14">
        <v>0.94</v>
      </c>
      <c r="G4256">
        <v>44</v>
      </c>
      <c r="H4256" t="s">
        <v>12</v>
      </c>
      <c r="I4256" t="str">
        <f t="shared" si="66"/>
        <v>Normal Usage</v>
      </c>
    </row>
    <row r="4257" spans="1:9" x14ac:dyDescent="0.3">
      <c r="A4257">
        <v>14256</v>
      </c>
      <c r="B4257">
        <v>192</v>
      </c>
      <c r="C4257" s="2">
        <v>44664</v>
      </c>
      <c r="D4257" s="2" t="str">
        <f>TEXT(Table3[[#This Row],[usage_date]],"mmmm")</f>
        <v>April</v>
      </c>
      <c r="E4257" s="9">
        <f>YEAR(Table3[[#This Row],[usage_date]])</f>
        <v>2022</v>
      </c>
      <c r="F4257" s="14">
        <v>2.88</v>
      </c>
      <c r="G4257">
        <v>68</v>
      </c>
      <c r="H4257" t="s">
        <v>12</v>
      </c>
      <c r="I4257" t="str">
        <f t="shared" si="66"/>
        <v>Normal Usage</v>
      </c>
    </row>
    <row r="4258" spans="1:9" x14ac:dyDescent="0.3">
      <c r="A4258">
        <v>14257</v>
      </c>
      <c r="B4258">
        <v>451</v>
      </c>
      <c r="C4258" s="2">
        <v>44776</v>
      </c>
      <c r="D4258" s="2" t="str">
        <f>TEXT(Table3[[#This Row],[usage_date]],"mmmm")</f>
        <v>August</v>
      </c>
      <c r="E4258" s="9">
        <f>YEAR(Table3[[#This Row],[usage_date]])</f>
        <v>2022</v>
      </c>
      <c r="F4258" s="14">
        <v>0.61</v>
      </c>
      <c r="G4258">
        <v>209</v>
      </c>
      <c r="H4258" t="s">
        <v>13</v>
      </c>
      <c r="I4258" t="str">
        <f t="shared" si="66"/>
        <v>Normal Usage</v>
      </c>
    </row>
    <row r="4259" spans="1:9" x14ac:dyDescent="0.3">
      <c r="A4259">
        <v>14258</v>
      </c>
      <c r="B4259">
        <v>40</v>
      </c>
      <c r="C4259" s="2">
        <v>44753</v>
      </c>
      <c r="D4259" s="2" t="str">
        <f>TEXT(Table3[[#This Row],[usage_date]],"mmmm")</f>
        <v>July</v>
      </c>
      <c r="E4259" s="9">
        <f>YEAR(Table3[[#This Row],[usage_date]])</f>
        <v>2022</v>
      </c>
      <c r="F4259" s="14">
        <v>1.36</v>
      </c>
      <c r="G4259">
        <v>238</v>
      </c>
      <c r="H4259" t="s">
        <v>12</v>
      </c>
      <c r="I4259" t="str">
        <f t="shared" si="66"/>
        <v>Normal Usage</v>
      </c>
    </row>
    <row r="4260" spans="1:9" x14ac:dyDescent="0.3">
      <c r="A4260">
        <v>14259</v>
      </c>
      <c r="B4260">
        <v>242</v>
      </c>
      <c r="C4260" s="2">
        <v>45233</v>
      </c>
      <c r="D4260" s="2" t="str">
        <f>TEXT(Table3[[#This Row],[usage_date]],"mmmm")</f>
        <v>November</v>
      </c>
      <c r="E4260" s="9">
        <f>YEAR(Table3[[#This Row],[usage_date]])</f>
        <v>2023</v>
      </c>
      <c r="F4260" s="14">
        <v>0.52</v>
      </c>
      <c r="G4260">
        <v>191</v>
      </c>
      <c r="H4260" t="s">
        <v>13</v>
      </c>
      <c r="I4260" t="str">
        <f t="shared" si="66"/>
        <v>Normal Usage</v>
      </c>
    </row>
    <row r="4261" spans="1:9" x14ac:dyDescent="0.3">
      <c r="A4261">
        <v>14260</v>
      </c>
      <c r="B4261">
        <v>138</v>
      </c>
      <c r="C4261" s="2">
        <v>45445</v>
      </c>
      <c r="D4261" s="2" t="str">
        <f>TEXT(Table3[[#This Row],[usage_date]],"mmmm")</f>
        <v>June</v>
      </c>
      <c r="E4261" s="9">
        <f>YEAR(Table3[[#This Row],[usage_date]])</f>
        <v>2024</v>
      </c>
      <c r="F4261" s="14">
        <v>0.02</v>
      </c>
      <c r="G4261">
        <v>102</v>
      </c>
      <c r="H4261" t="s">
        <v>13</v>
      </c>
      <c r="I4261" t="str">
        <f t="shared" si="66"/>
        <v>Normal Usage</v>
      </c>
    </row>
    <row r="4262" spans="1:9" x14ac:dyDescent="0.3">
      <c r="A4262">
        <v>14261</v>
      </c>
      <c r="B4262">
        <v>345</v>
      </c>
      <c r="C4262" s="2">
        <v>45280</v>
      </c>
      <c r="D4262" s="2" t="str">
        <f>TEXT(Table3[[#This Row],[usage_date]],"mmmm")</f>
        <v>December</v>
      </c>
      <c r="E4262" s="9">
        <f>YEAR(Table3[[#This Row],[usage_date]])</f>
        <v>2023</v>
      </c>
      <c r="F4262" s="14">
        <v>8.77</v>
      </c>
      <c r="G4262">
        <v>240</v>
      </c>
      <c r="H4262" t="s">
        <v>12</v>
      </c>
      <c r="I4262" t="str">
        <f t="shared" si="66"/>
        <v>High Usage</v>
      </c>
    </row>
    <row r="4263" spans="1:9" x14ac:dyDescent="0.3">
      <c r="A4263">
        <v>14262</v>
      </c>
      <c r="B4263">
        <v>180</v>
      </c>
      <c r="C4263" s="2">
        <v>45342</v>
      </c>
      <c r="D4263" s="2" t="str">
        <f>TEXT(Table3[[#This Row],[usage_date]],"mmmm")</f>
        <v>February</v>
      </c>
      <c r="E4263" s="9">
        <f>YEAR(Table3[[#This Row],[usage_date]])</f>
        <v>2024</v>
      </c>
      <c r="F4263" s="14">
        <v>1.41</v>
      </c>
      <c r="G4263">
        <v>252</v>
      </c>
      <c r="H4263" t="s">
        <v>12</v>
      </c>
      <c r="I4263" t="str">
        <f t="shared" si="66"/>
        <v>Normal Usage</v>
      </c>
    </row>
    <row r="4264" spans="1:9" x14ac:dyDescent="0.3">
      <c r="A4264">
        <v>14263</v>
      </c>
      <c r="B4264">
        <v>497</v>
      </c>
      <c r="C4264" s="2">
        <v>44755</v>
      </c>
      <c r="D4264" s="2" t="str">
        <f>TEXT(Table3[[#This Row],[usage_date]],"mmmm")</f>
        <v>July</v>
      </c>
      <c r="E4264" s="9">
        <f>YEAR(Table3[[#This Row],[usage_date]])</f>
        <v>2022</v>
      </c>
      <c r="F4264" s="14">
        <v>8.7100000000000009</v>
      </c>
      <c r="G4264">
        <v>219</v>
      </c>
      <c r="H4264" t="s">
        <v>12</v>
      </c>
      <c r="I4264" t="str">
        <f t="shared" si="66"/>
        <v>High Usage</v>
      </c>
    </row>
    <row r="4265" spans="1:9" x14ac:dyDescent="0.3">
      <c r="A4265">
        <v>14264</v>
      </c>
      <c r="B4265">
        <v>200</v>
      </c>
      <c r="C4265" s="2">
        <v>44941</v>
      </c>
      <c r="D4265" s="2" t="str">
        <f>TEXT(Table3[[#This Row],[usage_date]],"mmmm")</f>
        <v>January</v>
      </c>
      <c r="E4265" s="9">
        <f>YEAR(Table3[[#This Row],[usage_date]])</f>
        <v>2023</v>
      </c>
      <c r="F4265" s="14">
        <v>0.38</v>
      </c>
      <c r="G4265">
        <v>216</v>
      </c>
      <c r="H4265" t="s">
        <v>12</v>
      </c>
      <c r="I4265" t="str">
        <f t="shared" si="66"/>
        <v>Normal Usage</v>
      </c>
    </row>
    <row r="4266" spans="1:9" x14ac:dyDescent="0.3">
      <c r="A4266">
        <v>14265</v>
      </c>
      <c r="B4266">
        <v>203</v>
      </c>
      <c r="C4266" s="2">
        <v>44964</v>
      </c>
      <c r="D4266" s="2" t="str">
        <f>TEXT(Table3[[#This Row],[usage_date]],"mmmm")</f>
        <v>February</v>
      </c>
      <c r="E4266" s="9">
        <f>YEAR(Table3[[#This Row],[usage_date]])</f>
        <v>2023</v>
      </c>
      <c r="F4266" s="14">
        <v>2.21</v>
      </c>
      <c r="G4266">
        <v>201</v>
      </c>
      <c r="H4266" t="s">
        <v>12</v>
      </c>
      <c r="I4266" t="str">
        <f t="shared" si="66"/>
        <v>Normal Usage</v>
      </c>
    </row>
    <row r="4267" spans="1:9" x14ac:dyDescent="0.3">
      <c r="A4267">
        <v>14266</v>
      </c>
      <c r="B4267">
        <v>61</v>
      </c>
      <c r="C4267" s="2">
        <v>45225</v>
      </c>
      <c r="D4267" s="2" t="str">
        <f>TEXT(Table3[[#This Row],[usage_date]],"mmmm")</f>
        <v>October</v>
      </c>
      <c r="E4267" s="9">
        <f>YEAR(Table3[[#This Row],[usage_date]])</f>
        <v>2023</v>
      </c>
      <c r="F4267" s="14">
        <v>0.56000000000000005</v>
      </c>
      <c r="G4267">
        <v>28</v>
      </c>
      <c r="H4267" t="s">
        <v>13</v>
      </c>
      <c r="I4267" t="str">
        <f t="shared" si="66"/>
        <v>Normal Usage</v>
      </c>
    </row>
    <row r="4268" spans="1:9" x14ac:dyDescent="0.3">
      <c r="A4268">
        <v>14267</v>
      </c>
      <c r="B4268">
        <v>192</v>
      </c>
      <c r="C4268" s="2">
        <v>45310</v>
      </c>
      <c r="D4268" s="2" t="str">
        <f>TEXT(Table3[[#This Row],[usage_date]],"mmmm")</f>
        <v>January</v>
      </c>
      <c r="E4268" s="9">
        <f>YEAR(Table3[[#This Row],[usage_date]])</f>
        <v>2024</v>
      </c>
      <c r="F4268" s="14">
        <v>3.9</v>
      </c>
      <c r="G4268">
        <v>211</v>
      </c>
      <c r="H4268" t="s">
        <v>12</v>
      </c>
      <c r="I4268" t="str">
        <f t="shared" si="66"/>
        <v>Normal Usage</v>
      </c>
    </row>
    <row r="4269" spans="1:9" x14ac:dyDescent="0.3">
      <c r="A4269">
        <v>14268</v>
      </c>
      <c r="B4269">
        <v>5</v>
      </c>
      <c r="C4269" s="2">
        <v>45161</v>
      </c>
      <c r="D4269" s="2" t="str">
        <f>TEXT(Table3[[#This Row],[usage_date]],"mmmm")</f>
        <v>August</v>
      </c>
      <c r="E4269" s="9">
        <f>YEAR(Table3[[#This Row],[usage_date]])</f>
        <v>2023</v>
      </c>
      <c r="F4269" s="14">
        <v>3.83</v>
      </c>
      <c r="G4269">
        <v>153</v>
      </c>
      <c r="H4269" t="s">
        <v>13</v>
      </c>
      <c r="I4269" t="str">
        <f t="shared" si="66"/>
        <v>Normal Usage</v>
      </c>
    </row>
    <row r="4270" spans="1:9" x14ac:dyDescent="0.3">
      <c r="A4270">
        <v>14269</v>
      </c>
      <c r="B4270">
        <v>378</v>
      </c>
      <c r="C4270" s="2">
        <v>44572</v>
      </c>
      <c r="D4270" s="2" t="str">
        <f>TEXT(Table3[[#This Row],[usage_date]],"mmmm")</f>
        <v>January</v>
      </c>
      <c r="E4270" s="9">
        <f>YEAR(Table3[[#This Row],[usage_date]])</f>
        <v>2022</v>
      </c>
      <c r="F4270" s="14">
        <v>0.3</v>
      </c>
      <c r="G4270">
        <v>230</v>
      </c>
      <c r="H4270" t="s">
        <v>12</v>
      </c>
      <c r="I4270" t="str">
        <f t="shared" si="66"/>
        <v>Normal Usage</v>
      </c>
    </row>
    <row r="4271" spans="1:9" x14ac:dyDescent="0.3">
      <c r="A4271">
        <v>14270</v>
      </c>
      <c r="B4271">
        <v>237</v>
      </c>
      <c r="C4271" s="2">
        <v>44748</v>
      </c>
      <c r="D4271" s="2" t="str">
        <f>TEXT(Table3[[#This Row],[usage_date]],"mmmm")</f>
        <v>July</v>
      </c>
      <c r="E4271" s="9">
        <f>YEAR(Table3[[#This Row],[usage_date]])</f>
        <v>2022</v>
      </c>
      <c r="F4271" s="14">
        <v>6.08</v>
      </c>
      <c r="G4271">
        <v>101</v>
      </c>
      <c r="H4271" t="s">
        <v>12</v>
      </c>
      <c r="I4271" t="str">
        <f t="shared" si="66"/>
        <v>High Usage</v>
      </c>
    </row>
    <row r="4272" spans="1:9" x14ac:dyDescent="0.3">
      <c r="A4272">
        <v>14271</v>
      </c>
      <c r="B4272">
        <v>181</v>
      </c>
      <c r="C4272" s="2">
        <v>45287</v>
      </c>
      <c r="D4272" s="2" t="str">
        <f>TEXT(Table3[[#This Row],[usage_date]],"mmmm")</f>
        <v>December</v>
      </c>
      <c r="E4272" s="9">
        <f>YEAR(Table3[[#This Row],[usage_date]])</f>
        <v>2023</v>
      </c>
      <c r="F4272" s="14">
        <v>0.54</v>
      </c>
      <c r="G4272">
        <v>176</v>
      </c>
      <c r="H4272" t="s">
        <v>12</v>
      </c>
      <c r="I4272" t="str">
        <f t="shared" si="66"/>
        <v>Normal Usage</v>
      </c>
    </row>
    <row r="4273" spans="1:9" x14ac:dyDescent="0.3">
      <c r="A4273">
        <v>14272</v>
      </c>
      <c r="B4273">
        <v>311</v>
      </c>
      <c r="C4273" s="2">
        <v>44576</v>
      </c>
      <c r="D4273" s="2" t="str">
        <f>TEXT(Table3[[#This Row],[usage_date]],"mmmm")</f>
        <v>January</v>
      </c>
      <c r="E4273" s="9">
        <f>YEAR(Table3[[#This Row],[usage_date]])</f>
        <v>2022</v>
      </c>
      <c r="F4273" s="14">
        <v>2.37</v>
      </c>
      <c r="G4273">
        <v>180</v>
      </c>
      <c r="H4273" t="s">
        <v>13</v>
      </c>
      <c r="I4273" t="str">
        <f t="shared" si="66"/>
        <v>Normal Usage</v>
      </c>
    </row>
    <row r="4274" spans="1:9" x14ac:dyDescent="0.3">
      <c r="A4274">
        <v>14273</v>
      </c>
      <c r="B4274">
        <v>37</v>
      </c>
      <c r="C4274" s="2">
        <v>45339</v>
      </c>
      <c r="D4274" s="2" t="str">
        <f>TEXT(Table3[[#This Row],[usage_date]],"mmmm")</f>
        <v>February</v>
      </c>
      <c r="E4274" s="9">
        <f>YEAR(Table3[[#This Row],[usage_date]])</f>
        <v>2024</v>
      </c>
      <c r="F4274" s="14">
        <v>10.61</v>
      </c>
      <c r="G4274">
        <v>231</v>
      </c>
      <c r="H4274" t="s">
        <v>12</v>
      </c>
      <c r="I4274" t="str">
        <f t="shared" si="66"/>
        <v>High Usage</v>
      </c>
    </row>
    <row r="4275" spans="1:9" x14ac:dyDescent="0.3">
      <c r="A4275">
        <v>14274</v>
      </c>
      <c r="B4275">
        <v>56</v>
      </c>
      <c r="C4275" s="2">
        <v>44858</v>
      </c>
      <c r="D4275" s="2" t="str">
        <f>TEXT(Table3[[#This Row],[usage_date]],"mmmm")</f>
        <v>October</v>
      </c>
      <c r="E4275" s="9">
        <f>YEAR(Table3[[#This Row],[usage_date]])</f>
        <v>2022</v>
      </c>
      <c r="F4275" s="14">
        <v>5.35</v>
      </c>
      <c r="G4275">
        <v>11</v>
      </c>
      <c r="H4275" t="s">
        <v>12</v>
      </c>
      <c r="I4275" t="str">
        <f t="shared" si="66"/>
        <v>Normal Usage</v>
      </c>
    </row>
    <row r="4276" spans="1:9" x14ac:dyDescent="0.3">
      <c r="A4276">
        <v>14275</v>
      </c>
      <c r="B4276">
        <v>443</v>
      </c>
      <c r="C4276" s="2">
        <v>44972</v>
      </c>
      <c r="D4276" s="2" t="str">
        <f>TEXT(Table3[[#This Row],[usage_date]],"mmmm")</f>
        <v>February</v>
      </c>
      <c r="E4276" s="9">
        <f>YEAR(Table3[[#This Row],[usage_date]])</f>
        <v>2023</v>
      </c>
      <c r="F4276" s="14">
        <v>7.84</v>
      </c>
      <c r="G4276">
        <v>185</v>
      </c>
      <c r="H4276" t="s">
        <v>13</v>
      </c>
      <c r="I4276" t="str">
        <f t="shared" si="66"/>
        <v>High Usage</v>
      </c>
    </row>
    <row r="4277" spans="1:9" x14ac:dyDescent="0.3">
      <c r="A4277">
        <v>14276</v>
      </c>
      <c r="B4277">
        <v>237</v>
      </c>
      <c r="C4277" s="2">
        <v>45146</v>
      </c>
      <c r="D4277" s="2" t="str">
        <f>TEXT(Table3[[#This Row],[usage_date]],"mmmm")</f>
        <v>August</v>
      </c>
      <c r="E4277" s="9">
        <f>YEAR(Table3[[#This Row],[usage_date]])</f>
        <v>2023</v>
      </c>
      <c r="F4277" s="14">
        <v>1.05</v>
      </c>
      <c r="G4277">
        <v>248</v>
      </c>
      <c r="H4277" t="s">
        <v>12</v>
      </c>
      <c r="I4277" t="str">
        <f t="shared" si="66"/>
        <v>Normal Usage</v>
      </c>
    </row>
    <row r="4278" spans="1:9" x14ac:dyDescent="0.3">
      <c r="A4278">
        <v>14277</v>
      </c>
      <c r="B4278">
        <v>358</v>
      </c>
      <c r="C4278" s="2">
        <v>44613</v>
      </c>
      <c r="D4278" s="2" t="str">
        <f>TEXT(Table3[[#This Row],[usage_date]],"mmmm")</f>
        <v>February</v>
      </c>
      <c r="E4278" s="9">
        <f>YEAR(Table3[[#This Row],[usage_date]])</f>
        <v>2022</v>
      </c>
      <c r="F4278" s="14">
        <v>0.28000000000000003</v>
      </c>
      <c r="G4278">
        <v>265</v>
      </c>
      <c r="H4278" t="s">
        <v>12</v>
      </c>
      <c r="I4278" t="str">
        <f t="shared" si="66"/>
        <v>Normal Usage</v>
      </c>
    </row>
    <row r="4279" spans="1:9" x14ac:dyDescent="0.3">
      <c r="A4279">
        <v>14278</v>
      </c>
      <c r="B4279">
        <v>349</v>
      </c>
      <c r="C4279" s="2">
        <v>45201</v>
      </c>
      <c r="D4279" s="2" t="str">
        <f>TEXT(Table3[[#This Row],[usage_date]],"mmmm")</f>
        <v>October</v>
      </c>
      <c r="E4279" s="9">
        <f>YEAR(Table3[[#This Row],[usage_date]])</f>
        <v>2023</v>
      </c>
      <c r="F4279" s="14">
        <v>0.52</v>
      </c>
      <c r="G4279">
        <v>134</v>
      </c>
      <c r="H4279" t="s">
        <v>12</v>
      </c>
      <c r="I4279" t="str">
        <f t="shared" si="66"/>
        <v>Normal Usage</v>
      </c>
    </row>
    <row r="4280" spans="1:9" x14ac:dyDescent="0.3">
      <c r="A4280">
        <v>14279</v>
      </c>
      <c r="B4280">
        <v>197</v>
      </c>
      <c r="C4280" s="2">
        <v>44589</v>
      </c>
      <c r="D4280" s="2" t="str">
        <f>TEXT(Table3[[#This Row],[usage_date]],"mmmm")</f>
        <v>January</v>
      </c>
      <c r="E4280" s="9">
        <f>YEAR(Table3[[#This Row],[usage_date]])</f>
        <v>2022</v>
      </c>
      <c r="F4280" s="14">
        <v>1.74</v>
      </c>
      <c r="G4280">
        <v>244</v>
      </c>
      <c r="H4280" t="s">
        <v>13</v>
      </c>
      <c r="I4280" t="str">
        <f t="shared" si="66"/>
        <v>Normal Usage</v>
      </c>
    </row>
    <row r="4281" spans="1:9" x14ac:dyDescent="0.3">
      <c r="A4281">
        <v>14280</v>
      </c>
      <c r="B4281">
        <v>73</v>
      </c>
      <c r="C4281" s="2">
        <v>45138</v>
      </c>
      <c r="D4281" s="2" t="str">
        <f>TEXT(Table3[[#This Row],[usage_date]],"mmmm")</f>
        <v>July</v>
      </c>
      <c r="E4281" s="9">
        <f>YEAR(Table3[[#This Row],[usage_date]])</f>
        <v>2023</v>
      </c>
      <c r="F4281" s="14">
        <v>3.94</v>
      </c>
      <c r="G4281">
        <v>30</v>
      </c>
      <c r="H4281" t="s">
        <v>12</v>
      </c>
      <c r="I4281" t="str">
        <f t="shared" si="66"/>
        <v>Normal Usage</v>
      </c>
    </row>
    <row r="4282" spans="1:9" x14ac:dyDescent="0.3">
      <c r="A4282">
        <v>14281</v>
      </c>
      <c r="B4282">
        <v>59</v>
      </c>
      <c r="C4282" s="2">
        <v>44578</v>
      </c>
      <c r="D4282" s="2" t="str">
        <f>TEXT(Table3[[#This Row],[usage_date]],"mmmm")</f>
        <v>January</v>
      </c>
      <c r="E4282" s="9">
        <f>YEAR(Table3[[#This Row],[usage_date]])</f>
        <v>2022</v>
      </c>
      <c r="F4282" s="14">
        <v>0.41</v>
      </c>
      <c r="G4282">
        <v>258</v>
      </c>
      <c r="H4282" t="s">
        <v>12</v>
      </c>
      <c r="I4282" t="str">
        <f t="shared" si="66"/>
        <v>Normal Usage</v>
      </c>
    </row>
    <row r="4283" spans="1:9" x14ac:dyDescent="0.3">
      <c r="A4283">
        <v>14282</v>
      </c>
      <c r="B4283">
        <v>240</v>
      </c>
      <c r="C4283" s="2">
        <v>44912</v>
      </c>
      <c r="D4283" s="2" t="str">
        <f>TEXT(Table3[[#This Row],[usage_date]],"mmmm")</f>
        <v>December</v>
      </c>
      <c r="E4283" s="9">
        <f>YEAR(Table3[[#This Row],[usage_date]])</f>
        <v>2022</v>
      </c>
      <c r="F4283" s="14">
        <v>2.7</v>
      </c>
      <c r="G4283">
        <v>103</v>
      </c>
      <c r="H4283" t="s">
        <v>12</v>
      </c>
      <c r="I4283" t="str">
        <f t="shared" si="66"/>
        <v>Normal Usage</v>
      </c>
    </row>
    <row r="4284" spans="1:9" x14ac:dyDescent="0.3">
      <c r="A4284">
        <v>14283</v>
      </c>
      <c r="B4284">
        <v>2</v>
      </c>
      <c r="C4284" s="2">
        <v>44989</v>
      </c>
      <c r="D4284" s="2" t="str">
        <f>TEXT(Table3[[#This Row],[usage_date]],"mmmm")</f>
        <v>March</v>
      </c>
      <c r="E4284" s="9">
        <f>YEAR(Table3[[#This Row],[usage_date]])</f>
        <v>2023</v>
      </c>
      <c r="F4284" s="14">
        <v>0.98</v>
      </c>
      <c r="G4284">
        <v>0</v>
      </c>
      <c r="H4284" t="s">
        <v>13</v>
      </c>
      <c r="I4284" t="str">
        <f t="shared" si="66"/>
        <v>Normal Usage</v>
      </c>
    </row>
    <row r="4285" spans="1:9" x14ac:dyDescent="0.3">
      <c r="A4285">
        <v>14284</v>
      </c>
      <c r="B4285">
        <v>449</v>
      </c>
      <c r="C4285" s="2">
        <v>45211</v>
      </c>
      <c r="D4285" s="2" t="str">
        <f>TEXT(Table3[[#This Row],[usage_date]],"mmmm")</f>
        <v>October</v>
      </c>
      <c r="E4285" s="9">
        <f>YEAR(Table3[[#This Row],[usage_date]])</f>
        <v>2023</v>
      </c>
      <c r="F4285" s="14">
        <v>1.04</v>
      </c>
      <c r="G4285">
        <v>206</v>
      </c>
      <c r="H4285" t="s">
        <v>12</v>
      </c>
      <c r="I4285" t="str">
        <f t="shared" si="66"/>
        <v>Normal Usage</v>
      </c>
    </row>
    <row r="4286" spans="1:9" x14ac:dyDescent="0.3">
      <c r="A4286">
        <v>14285</v>
      </c>
      <c r="B4286">
        <v>360</v>
      </c>
      <c r="C4286" s="2">
        <v>45392</v>
      </c>
      <c r="D4286" s="2" t="str">
        <f>TEXT(Table3[[#This Row],[usage_date]],"mmmm")</f>
        <v>April</v>
      </c>
      <c r="E4286" s="9">
        <f>YEAR(Table3[[#This Row],[usage_date]])</f>
        <v>2024</v>
      </c>
      <c r="F4286" s="14">
        <v>2.71</v>
      </c>
      <c r="G4286">
        <v>134</v>
      </c>
      <c r="H4286" t="s">
        <v>12</v>
      </c>
      <c r="I4286" t="str">
        <f t="shared" si="66"/>
        <v>Normal Usage</v>
      </c>
    </row>
    <row r="4287" spans="1:9" x14ac:dyDescent="0.3">
      <c r="A4287">
        <v>14286</v>
      </c>
      <c r="B4287">
        <v>188</v>
      </c>
      <c r="C4287" s="2">
        <v>44790</v>
      </c>
      <c r="D4287" s="2" t="str">
        <f>TEXT(Table3[[#This Row],[usage_date]],"mmmm")</f>
        <v>August</v>
      </c>
      <c r="E4287" s="9">
        <f>YEAR(Table3[[#This Row],[usage_date]])</f>
        <v>2022</v>
      </c>
      <c r="F4287" s="14">
        <v>1.57</v>
      </c>
      <c r="G4287">
        <v>270</v>
      </c>
      <c r="H4287" t="s">
        <v>12</v>
      </c>
      <c r="I4287" t="str">
        <f t="shared" si="66"/>
        <v>Normal Usage</v>
      </c>
    </row>
    <row r="4288" spans="1:9" x14ac:dyDescent="0.3">
      <c r="A4288">
        <v>14287</v>
      </c>
      <c r="B4288">
        <v>307</v>
      </c>
      <c r="C4288" s="2">
        <v>45327</v>
      </c>
      <c r="D4288" s="2" t="str">
        <f>TEXT(Table3[[#This Row],[usage_date]],"mmmm")</f>
        <v>February</v>
      </c>
      <c r="E4288" s="9">
        <f>YEAR(Table3[[#This Row],[usage_date]])</f>
        <v>2024</v>
      </c>
      <c r="F4288" s="14">
        <v>4.18</v>
      </c>
      <c r="G4288">
        <v>88</v>
      </c>
      <c r="H4288" t="s">
        <v>12</v>
      </c>
      <c r="I4288" t="str">
        <f t="shared" si="66"/>
        <v>Normal Usage</v>
      </c>
    </row>
    <row r="4289" spans="1:9" x14ac:dyDescent="0.3">
      <c r="A4289">
        <v>14288</v>
      </c>
      <c r="B4289">
        <v>30</v>
      </c>
      <c r="C4289" s="2">
        <v>44771</v>
      </c>
      <c r="D4289" s="2" t="str">
        <f>TEXT(Table3[[#This Row],[usage_date]],"mmmm")</f>
        <v>July</v>
      </c>
      <c r="E4289" s="9">
        <f>YEAR(Table3[[#This Row],[usage_date]])</f>
        <v>2022</v>
      </c>
      <c r="F4289" s="14">
        <v>0.42</v>
      </c>
      <c r="G4289">
        <v>194</v>
      </c>
      <c r="H4289" t="s">
        <v>13</v>
      </c>
      <c r="I4289" t="str">
        <f t="shared" si="66"/>
        <v>Normal Usage</v>
      </c>
    </row>
    <row r="4290" spans="1:9" x14ac:dyDescent="0.3">
      <c r="A4290">
        <v>14289</v>
      </c>
      <c r="B4290">
        <v>267</v>
      </c>
      <c r="C4290" s="2">
        <v>44992</v>
      </c>
      <c r="D4290" s="2" t="str">
        <f>TEXT(Table3[[#This Row],[usage_date]],"mmmm")</f>
        <v>March</v>
      </c>
      <c r="E4290" s="9">
        <f>YEAR(Table3[[#This Row],[usage_date]])</f>
        <v>2023</v>
      </c>
      <c r="F4290" s="14">
        <v>3.9</v>
      </c>
      <c r="G4290">
        <v>121</v>
      </c>
      <c r="H4290" t="s">
        <v>12</v>
      </c>
      <c r="I4290" t="str">
        <f t="shared" ref="I4290:I4353" si="67">IF(F4290&gt;6,"High Usage","Normal Usage")</f>
        <v>Normal Usage</v>
      </c>
    </row>
    <row r="4291" spans="1:9" x14ac:dyDescent="0.3">
      <c r="A4291">
        <v>14290</v>
      </c>
      <c r="B4291">
        <v>476</v>
      </c>
      <c r="C4291" s="2">
        <v>44855</v>
      </c>
      <c r="D4291" s="2" t="str">
        <f>TEXT(Table3[[#This Row],[usage_date]],"mmmm")</f>
        <v>October</v>
      </c>
      <c r="E4291" s="9">
        <f>YEAR(Table3[[#This Row],[usage_date]])</f>
        <v>2022</v>
      </c>
      <c r="F4291" s="14">
        <v>0.17</v>
      </c>
      <c r="G4291">
        <v>115</v>
      </c>
      <c r="H4291" t="s">
        <v>13</v>
      </c>
      <c r="I4291" t="str">
        <f t="shared" si="67"/>
        <v>Normal Usage</v>
      </c>
    </row>
    <row r="4292" spans="1:9" x14ac:dyDescent="0.3">
      <c r="A4292">
        <v>14291</v>
      </c>
      <c r="B4292">
        <v>108</v>
      </c>
      <c r="C4292" s="2">
        <v>45304</v>
      </c>
      <c r="D4292" s="2" t="str">
        <f>TEXT(Table3[[#This Row],[usage_date]],"mmmm")</f>
        <v>January</v>
      </c>
      <c r="E4292" s="9">
        <f>YEAR(Table3[[#This Row],[usage_date]])</f>
        <v>2024</v>
      </c>
      <c r="F4292" s="14">
        <v>0.54</v>
      </c>
      <c r="G4292">
        <v>195</v>
      </c>
      <c r="H4292" t="s">
        <v>13</v>
      </c>
      <c r="I4292" t="str">
        <f t="shared" si="67"/>
        <v>Normal Usage</v>
      </c>
    </row>
    <row r="4293" spans="1:9" x14ac:dyDescent="0.3">
      <c r="A4293">
        <v>14292</v>
      </c>
      <c r="B4293">
        <v>332</v>
      </c>
      <c r="C4293" s="2">
        <v>45314</v>
      </c>
      <c r="D4293" s="2" t="str">
        <f>TEXT(Table3[[#This Row],[usage_date]],"mmmm")</f>
        <v>January</v>
      </c>
      <c r="E4293" s="9">
        <f>YEAR(Table3[[#This Row],[usage_date]])</f>
        <v>2024</v>
      </c>
      <c r="F4293" s="14">
        <v>2.67</v>
      </c>
      <c r="G4293">
        <v>35</v>
      </c>
      <c r="H4293" t="s">
        <v>13</v>
      </c>
      <c r="I4293" t="str">
        <f t="shared" si="67"/>
        <v>Normal Usage</v>
      </c>
    </row>
    <row r="4294" spans="1:9" x14ac:dyDescent="0.3">
      <c r="A4294">
        <v>14293</v>
      </c>
      <c r="B4294">
        <v>423</v>
      </c>
      <c r="C4294" s="2">
        <v>45143</v>
      </c>
      <c r="D4294" s="2" t="str">
        <f>TEXT(Table3[[#This Row],[usage_date]],"mmmm")</f>
        <v>August</v>
      </c>
      <c r="E4294" s="9">
        <f>YEAR(Table3[[#This Row],[usage_date]])</f>
        <v>2023</v>
      </c>
      <c r="F4294" s="14">
        <v>4.83</v>
      </c>
      <c r="G4294">
        <v>66</v>
      </c>
      <c r="H4294" t="s">
        <v>12</v>
      </c>
      <c r="I4294" t="str">
        <f t="shared" si="67"/>
        <v>Normal Usage</v>
      </c>
    </row>
    <row r="4295" spans="1:9" x14ac:dyDescent="0.3">
      <c r="A4295">
        <v>14294</v>
      </c>
      <c r="B4295">
        <v>90</v>
      </c>
      <c r="C4295" s="2">
        <v>44665</v>
      </c>
      <c r="D4295" s="2" t="str">
        <f>TEXT(Table3[[#This Row],[usage_date]],"mmmm")</f>
        <v>April</v>
      </c>
      <c r="E4295" s="9">
        <f>YEAR(Table3[[#This Row],[usage_date]])</f>
        <v>2022</v>
      </c>
      <c r="F4295" s="14">
        <v>0.73</v>
      </c>
      <c r="G4295">
        <v>132</v>
      </c>
      <c r="H4295" t="s">
        <v>13</v>
      </c>
      <c r="I4295" t="str">
        <f t="shared" si="67"/>
        <v>Normal Usage</v>
      </c>
    </row>
    <row r="4296" spans="1:9" x14ac:dyDescent="0.3">
      <c r="A4296">
        <v>14295</v>
      </c>
      <c r="B4296">
        <v>205</v>
      </c>
      <c r="C4296" s="2">
        <v>44765</v>
      </c>
      <c r="D4296" s="2" t="str">
        <f>TEXT(Table3[[#This Row],[usage_date]],"mmmm")</f>
        <v>July</v>
      </c>
      <c r="E4296" s="9">
        <f>YEAR(Table3[[#This Row],[usage_date]])</f>
        <v>2022</v>
      </c>
      <c r="F4296" s="14">
        <v>0.99</v>
      </c>
      <c r="G4296">
        <v>280</v>
      </c>
      <c r="H4296" t="s">
        <v>12</v>
      </c>
      <c r="I4296" t="str">
        <f t="shared" si="67"/>
        <v>Normal Usage</v>
      </c>
    </row>
    <row r="4297" spans="1:9" x14ac:dyDescent="0.3">
      <c r="A4297">
        <v>14296</v>
      </c>
      <c r="B4297">
        <v>379</v>
      </c>
      <c r="C4297" s="2">
        <v>44614</v>
      </c>
      <c r="D4297" s="2" t="str">
        <f>TEXT(Table3[[#This Row],[usage_date]],"mmmm")</f>
        <v>February</v>
      </c>
      <c r="E4297" s="9">
        <f>YEAR(Table3[[#This Row],[usage_date]])</f>
        <v>2022</v>
      </c>
      <c r="F4297" s="14">
        <v>1.93</v>
      </c>
      <c r="G4297">
        <v>10</v>
      </c>
      <c r="H4297" t="s">
        <v>13</v>
      </c>
      <c r="I4297" t="str">
        <f t="shared" si="67"/>
        <v>Normal Usage</v>
      </c>
    </row>
    <row r="4298" spans="1:9" x14ac:dyDescent="0.3">
      <c r="A4298">
        <v>14297</v>
      </c>
      <c r="B4298">
        <v>456</v>
      </c>
      <c r="C4298" s="2">
        <v>44936</v>
      </c>
      <c r="D4298" s="2" t="str">
        <f>TEXT(Table3[[#This Row],[usage_date]],"mmmm")</f>
        <v>January</v>
      </c>
      <c r="E4298" s="9">
        <f>YEAR(Table3[[#This Row],[usage_date]])</f>
        <v>2023</v>
      </c>
      <c r="F4298" s="14">
        <v>0.59</v>
      </c>
      <c r="G4298">
        <v>217</v>
      </c>
      <c r="H4298" t="s">
        <v>12</v>
      </c>
      <c r="I4298" t="str">
        <f t="shared" si="67"/>
        <v>Normal Usage</v>
      </c>
    </row>
    <row r="4299" spans="1:9" x14ac:dyDescent="0.3">
      <c r="A4299">
        <v>14298</v>
      </c>
      <c r="B4299">
        <v>447</v>
      </c>
      <c r="C4299" s="2">
        <v>45403</v>
      </c>
      <c r="D4299" s="2" t="str">
        <f>TEXT(Table3[[#This Row],[usage_date]],"mmmm")</f>
        <v>April</v>
      </c>
      <c r="E4299" s="9">
        <f>YEAR(Table3[[#This Row],[usage_date]])</f>
        <v>2024</v>
      </c>
      <c r="F4299" s="14">
        <v>4.17</v>
      </c>
      <c r="G4299">
        <v>155</v>
      </c>
      <c r="H4299" t="s">
        <v>13</v>
      </c>
      <c r="I4299" t="str">
        <f t="shared" si="67"/>
        <v>Normal Usage</v>
      </c>
    </row>
    <row r="4300" spans="1:9" x14ac:dyDescent="0.3">
      <c r="A4300">
        <v>14299</v>
      </c>
      <c r="B4300">
        <v>448</v>
      </c>
      <c r="C4300" s="2">
        <v>44615</v>
      </c>
      <c r="D4300" s="2" t="str">
        <f>TEXT(Table3[[#This Row],[usage_date]],"mmmm")</f>
        <v>February</v>
      </c>
      <c r="E4300" s="9">
        <f>YEAR(Table3[[#This Row],[usage_date]])</f>
        <v>2022</v>
      </c>
      <c r="F4300" s="14">
        <v>3.71</v>
      </c>
      <c r="G4300">
        <v>239</v>
      </c>
      <c r="H4300" t="s">
        <v>12</v>
      </c>
      <c r="I4300" t="str">
        <f t="shared" si="67"/>
        <v>Normal Usage</v>
      </c>
    </row>
    <row r="4301" spans="1:9" x14ac:dyDescent="0.3">
      <c r="A4301">
        <v>14300</v>
      </c>
      <c r="B4301">
        <v>445</v>
      </c>
      <c r="C4301" s="2">
        <v>44837</v>
      </c>
      <c r="D4301" s="2" t="str">
        <f>TEXT(Table3[[#This Row],[usage_date]],"mmmm")</f>
        <v>October</v>
      </c>
      <c r="E4301" s="9">
        <f>YEAR(Table3[[#This Row],[usage_date]])</f>
        <v>2022</v>
      </c>
      <c r="F4301" s="14">
        <v>0.39</v>
      </c>
      <c r="G4301">
        <v>59</v>
      </c>
      <c r="H4301" t="s">
        <v>13</v>
      </c>
      <c r="I4301" t="str">
        <f t="shared" si="67"/>
        <v>Normal Usage</v>
      </c>
    </row>
    <row r="4302" spans="1:9" x14ac:dyDescent="0.3">
      <c r="A4302">
        <v>14301</v>
      </c>
      <c r="B4302">
        <v>381</v>
      </c>
      <c r="C4302" s="2">
        <v>44896</v>
      </c>
      <c r="D4302" s="2" t="str">
        <f>TEXT(Table3[[#This Row],[usage_date]],"mmmm")</f>
        <v>December</v>
      </c>
      <c r="E4302" s="9">
        <f>YEAR(Table3[[#This Row],[usage_date]])</f>
        <v>2022</v>
      </c>
      <c r="F4302" s="14">
        <v>1.56</v>
      </c>
      <c r="G4302">
        <v>137</v>
      </c>
      <c r="H4302" t="s">
        <v>13</v>
      </c>
      <c r="I4302" t="str">
        <f t="shared" si="67"/>
        <v>Normal Usage</v>
      </c>
    </row>
    <row r="4303" spans="1:9" x14ac:dyDescent="0.3">
      <c r="A4303">
        <v>14302</v>
      </c>
      <c r="B4303">
        <v>438</v>
      </c>
      <c r="C4303" s="2">
        <v>44592</v>
      </c>
      <c r="D4303" s="2" t="str">
        <f>TEXT(Table3[[#This Row],[usage_date]],"mmmm")</f>
        <v>January</v>
      </c>
      <c r="E4303" s="9">
        <f>YEAR(Table3[[#This Row],[usage_date]])</f>
        <v>2022</v>
      </c>
      <c r="F4303" s="14">
        <v>3.73</v>
      </c>
      <c r="G4303">
        <v>49</v>
      </c>
      <c r="H4303" t="s">
        <v>13</v>
      </c>
      <c r="I4303" t="str">
        <f t="shared" si="67"/>
        <v>Normal Usage</v>
      </c>
    </row>
    <row r="4304" spans="1:9" x14ac:dyDescent="0.3">
      <c r="A4304">
        <v>14303</v>
      </c>
      <c r="B4304">
        <v>220</v>
      </c>
      <c r="C4304" s="2">
        <v>44696</v>
      </c>
      <c r="D4304" s="2" t="str">
        <f>TEXT(Table3[[#This Row],[usage_date]],"mmmm")</f>
        <v>May</v>
      </c>
      <c r="E4304" s="9">
        <f>YEAR(Table3[[#This Row],[usage_date]])</f>
        <v>2022</v>
      </c>
      <c r="F4304" s="14">
        <v>1.03</v>
      </c>
      <c r="G4304">
        <v>166</v>
      </c>
      <c r="H4304" t="s">
        <v>13</v>
      </c>
      <c r="I4304" t="str">
        <f t="shared" si="67"/>
        <v>Normal Usage</v>
      </c>
    </row>
    <row r="4305" spans="1:9" x14ac:dyDescent="0.3">
      <c r="A4305">
        <v>14304</v>
      </c>
      <c r="B4305">
        <v>378</v>
      </c>
      <c r="C4305" s="2">
        <v>44619</v>
      </c>
      <c r="D4305" s="2" t="str">
        <f>TEXT(Table3[[#This Row],[usage_date]],"mmmm")</f>
        <v>February</v>
      </c>
      <c r="E4305" s="9">
        <f>YEAR(Table3[[#This Row],[usage_date]])</f>
        <v>2022</v>
      </c>
      <c r="F4305" s="14">
        <v>2.5099999999999998</v>
      </c>
      <c r="G4305">
        <v>164</v>
      </c>
      <c r="H4305" t="s">
        <v>12</v>
      </c>
      <c r="I4305" t="str">
        <f t="shared" si="67"/>
        <v>Normal Usage</v>
      </c>
    </row>
    <row r="4306" spans="1:9" x14ac:dyDescent="0.3">
      <c r="A4306">
        <v>14305</v>
      </c>
      <c r="B4306">
        <v>94</v>
      </c>
      <c r="C4306" s="2">
        <v>44666</v>
      </c>
      <c r="D4306" s="2" t="str">
        <f>TEXT(Table3[[#This Row],[usage_date]],"mmmm")</f>
        <v>April</v>
      </c>
      <c r="E4306" s="9">
        <f>YEAR(Table3[[#This Row],[usage_date]])</f>
        <v>2022</v>
      </c>
      <c r="F4306" s="14">
        <v>0.13</v>
      </c>
      <c r="G4306">
        <v>188</v>
      </c>
      <c r="H4306" t="s">
        <v>12</v>
      </c>
      <c r="I4306" t="str">
        <f t="shared" si="67"/>
        <v>Normal Usage</v>
      </c>
    </row>
    <row r="4307" spans="1:9" x14ac:dyDescent="0.3">
      <c r="A4307">
        <v>14306</v>
      </c>
      <c r="B4307">
        <v>457</v>
      </c>
      <c r="C4307" s="2">
        <v>44827</v>
      </c>
      <c r="D4307" s="2" t="str">
        <f>TEXT(Table3[[#This Row],[usage_date]],"mmmm")</f>
        <v>September</v>
      </c>
      <c r="E4307" s="9">
        <f>YEAR(Table3[[#This Row],[usage_date]])</f>
        <v>2022</v>
      </c>
      <c r="F4307" s="14">
        <v>2.35</v>
      </c>
      <c r="G4307">
        <v>91</v>
      </c>
      <c r="H4307" t="s">
        <v>13</v>
      </c>
      <c r="I4307" t="str">
        <f t="shared" si="67"/>
        <v>Normal Usage</v>
      </c>
    </row>
    <row r="4308" spans="1:9" x14ac:dyDescent="0.3">
      <c r="A4308">
        <v>14307</v>
      </c>
      <c r="B4308">
        <v>103</v>
      </c>
      <c r="C4308" s="2">
        <v>45083</v>
      </c>
      <c r="D4308" s="2" t="str">
        <f>TEXT(Table3[[#This Row],[usage_date]],"mmmm")</f>
        <v>June</v>
      </c>
      <c r="E4308" s="9">
        <f>YEAR(Table3[[#This Row],[usage_date]])</f>
        <v>2023</v>
      </c>
      <c r="F4308" s="14">
        <v>0.41</v>
      </c>
      <c r="G4308">
        <v>293</v>
      </c>
      <c r="H4308" t="s">
        <v>12</v>
      </c>
      <c r="I4308" t="str">
        <f t="shared" si="67"/>
        <v>Normal Usage</v>
      </c>
    </row>
    <row r="4309" spans="1:9" x14ac:dyDescent="0.3">
      <c r="A4309">
        <v>14308</v>
      </c>
      <c r="B4309">
        <v>223</v>
      </c>
      <c r="C4309" s="2">
        <v>45057</v>
      </c>
      <c r="D4309" s="2" t="str">
        <f>TEXT(Table3[[#This Row],[usage_date]],"mmmm")</f>
        <v>May</v>
      </c>
      <c r="E4309" s="9">
        <f>YEAR(Table3[[#This Row],[usage_date]])</f>
        <v>2023</v>
      </c>
      <c r="F4309" s="14">
        <v>4.4400000000000004</v>
      </c>
      <c r="G4309">
        <v>288</v>
      </c>
      <c r="H4309" t="s">
        <v>12</v>
      </c>
      <c r="I4309" t="str">
        <f t="shared" si="67"/>
        <v>Normal Usage</v>
      </c>
    </row>
    <row r="4310" spans="1:9" x14ac:dyDescent="0.3">
      <c r="A4310">
        <v>14309</v>
      </c>
      <c r="B4310">
        <v>186</v>
      </c>
      <c r="C4310" s="2">
        <v>44814</v>
      </c>
      <c r="D4310" s="2" t="str">
        <f>TEXT(Table3[[#This Row],[usage_date]],"mmmm")</f>
        <v>September</v>
      </c>
      <c r="E4310" s="9">
        <f>YEAR(Table3[[#This Row],[usage_date]])</f>
        <v>2022</v>
      </c>
      <c r="F4310" s="14">
        <v>1.1000000000000001</v>
      </c>
      <c r="G4310">
        <v>74</v>
      </c>
      <c r="H4310" t="s">
        <v>12</v>
      </c>
      <c r="I4310" t="str">
        <f t="shared" si="67"/>
        <v>Normal Usage</v>
      </c>
    </row>
    <row r="4311" spans="1:9" x14ac:dyDescent="0.3">
      <c r="A4311">
        <v>14310</v>
      </c>
      <c r="B4311">
        <v>469</v>
      </c>
      <c r="C4311" s="2">
        <v>44856</v>
      </c>
      <c r="D4311" s="2" t="str">
        <f>TEXT(Table3[[#This Row],[usage_date]],"mmmm")</f>
        <v>October</v>
      </c>
      <c r="E4311" s="9">
        <f>YEAR(Table3[[#This Row],[usage_date]])</f>
        <v>2022</v>
      </c>
      <c r="F4311" s="14">
        <v>0.83</v>
      </c>
      <c r="G4311">
        <v>44</v>
      </c>
      <c r="H4311" t="s">
        <v>12</v>
      </c>
      <c r="I4311" t="str">
        <f t="shared" si="67"/>
        <v>Normal Usage</v>
      </c>
    </row>
    <row r="4312" spans="1:9" x14ac:dyDescent="0.3">
      <c r="A4312">
        <v>14311</v>
      </c>
      <c r="B4312">
        <v>184</v>
      </c>
      <c r="C4312" s="2">
        <v>45229</v>
      </c>
      <c r="D4312" s="2" t="str">
        <f>TEXT(Table3[[#This Row],[usage_date]],"mmmm")</f>
        <v>October</v>
      </c>
      <c r="E4312" s="9">
        <f>YEAR(Table3[[#This Row],[usage_date]])</f>
        <v>2023</v>
      </c>
      <c r="F4312" s="14">
        <v>4.5999999999999996</v>
      </c>
      <c r="G4312">
        <v>52</v>
      </c>
      <c r="H4312" t="s">
        <v>12</v>
      </c>
      <c r="I4312" t="str">
        <f t="shared" si="67"/>
        <v>Normal Usage</v>
      </c>
    </row>
    <row r="4313" spans="1:9" x14ac:dyDescent="0.3">
      <c r="A4313">
        <v>14312</v>
      </c>
      <c r="B4313">
        <v>495</v>
      </c>
      <c r="C4313" s="2">
        <v>44719</v>
      </c>
      <c r="D4313" s="2" t="str">
        <f>TEXT(Table3[[#This Row],[usage_date]],"mmmm")</f>
        <v>June</v>
      </c>
      <c r="E4313" s="9">
        <f>YEAR(Table3[[#This Row],[usage_date]])</f>
        <v>2022</v>
      </c>
      <c r="F4313" s="14">
        <v>0.13</v>
      </c>
      <c r="G4313">
        <v>174</v>
      </c>
      <c r="H4313" t="s">
        <v>12</v>
      </c>
      <c r="I4313" t="str">
        <f t="shared" si="67"/>
        <v>Normal Usage</v>
      </c>
    </row>
    <row r="4314" spans="1:9" x14ac:dyDescent="0.3">
      <c r="A4314">
        <v>14313</v>
      </c>
      <c r="B4314">
        <v>162</v>
      </c>
      <c r="C4314" s="2">
        <v>45110</v>
      </c>
      <c r="D4314" s="2" t="str">
        <f>TEXT(Table3[[#This Row],[usage_date]],"mmmm")</f>
        <v>July</v>
      </c>
      <c r="E4314" s="9">
        <f>YEAR(Table3[[#This Row],[usage_date]])</f>
        <v>2023</v>
      </c>
      <c r="F4314" s="14">
        <v>1.26</v>
      </c>
      <c r="G4314">
        <v>160</v>
      </c>
      <c r="H4314" t="s">
        <v>12</v>
      </c>
      <c r="I4314" t="str">
        <f t="shared" si="67"/>
        <v>Normal Usage</v>
      </c>
    </row>
    <row r="4315" spans="1:9" x14ac:dyDescent="0.3">
      <c r="A4315">
        <v>14314</v>
      </c>
      <c r="B4315">
        <v>247</v>
      </c>
      <c r="C4315" s="2">
        <v>45192</v>
      </c>
      <c r="D4315" s="2" t="str">
        <f>TEXT(Table3[[#This Row],[usage_date]],"mmmm")</f>
        <v>September</v>
      </c>
      <c r="E4315" s="9">
        <f>YEAR(Table3[[#This Row],[usage_date]])</f>
        <v>2023</v>
      </c>
      <c r="F4315" s="14">
        <v>1.1599999999999999</v>
      </c>
      <c r="G4315">
        <v>66</v>
      </c>
      <c r="H4315" t="s">
        <v>12</v>
      </c>
      <c r="I4315" t="str">
        <f t="shared" si="67"/>
        <v>Normal Usage</v>
      </c>
    </row>
    <row r="4316" spans="1:9" x14ac:dyDescent="0.3">
      <c r="A4316">
        <v>14315</v>
      </c>
      <c r="B4316">
        <v>31</v>
      </c>
      <c r="C4316" s="2">
        <v>44628</v>
      </c>
      <c r="D4316" s="2" t="str">
        <f>TEXT(Table3[[#This Row],[usage_date]],"mmmm")</f>
        <v>March</v>
      </c>
      <c r="E4316" s="9">
        <f>YEAR(Table3[[#This Row],[usage_date]])</f>
        <v>2022</v>
      </c>
      <c r="F4316" s="14">
        <v>0.84</v>
      </c>
      <c r="G4316">
        <v>269</v>
      </c>
      <c r="H4316" t="s">
        <v>12</v>
      </c>
      <c r="I4316" t="str">
        <f t="shared" si="67"/>
        <v>Normal Usage</v>
      </c>
    </row>
    <row r="4317" spans="1:9" x14ac:dyDescent="0.3">
      <c r="A4317">
        <v>14316</v>
      </c>
      <c r="B4317">
        <v>52</v>
      </c>
      <c r="C4317" s="2">
        <v>45315</v>
      </c>
      <c r="D4317" s="2" t="str">
        <f>TEXT(Table3[[#This Row],[usage_date]],"mmmm")</f>
        <v>January</v>
      </c>
      <c r="E4317" s="9">
        <f>YEAR(Table3[[#This Row],[usage_date]])</f>
        <v>2024</v>
      </c>
      <c r="F4317" s="14">
        <v>6.07</v>
      </c>
      <c r="G4317">
        <v>123</v>
      </c>
      <c r="H4317" t="s">
        <v>12</v>
      </c>
      <c r="I4317" t="str">
        <f t="shared" si="67"/>
        <v>High Usage</v>
      </c>
    </row>
    <row r="4318" spans="1:9" x14ac:dyDescent="0.3">
      <c r="A4318">
        <v>14317</v>
      </c>
      <c r="B4318">
        <v>345</v>
      </c>
      <c r="C4318" s="2">
        <v>44860</v>
      </c>
      <c r="D4318" s="2" t="str">
        <f>TEXT(Table3[[#This Row],[usage_date]],"mmmm")</f>
        <v>October</v>
      </c>
      <c r="E4318" s="9">
        <f>YEAR(Table3[[#This Row],[usage_date]])</f>
        <v>2022</v>
      </c>
      <c r="F4318" s="14">
        <v>3.48</v>
      </c>
      <c r="G4318">
        <v>181</v>
      </c>
      <c r="H4318" t="s">
        <v>12</v>
      </c>
      <c r="I4318" t="str">
        <f t="shared" si="67"/>
        <v>Normal Usage</v>
      </c>
    </row>
    <row r="4319" spans="1:9" x14ac:dyDescent="0.3">
      <c r="A4319">
        <v>14318</v>
      </c>
      <c r="B4319">
        <v>76</v>
      </c>
      <c r="C4319" s="2">
        <v>45024</v>
      </c>
      <c r="D4319" s="2" t="str">
        <f>TEXT(Table3[[#This Row],[usage_date]],"mmmm")</f>
        <v>April</v>
      </c>
      <c r="E4319" s="9">
        <f>YEAR(Table3[[#This Row],[usage_date]])</f>
        <v>2023</v>
      </c>
      <c r="F4319" s="14">
        <v>0.17</v>
      </c>
      <c r="G4319">
        <v>181</v>
      </c>
      <c r="H4319" t="s">
        <v>12</v>
      </c>
      <c r="I4319" t="str">
        <f t="shared" si="67"/>
        <v>Normal Usage</v>
      </c>
    </row>
    <row r="4320" spans="1:9" x14ac:dyDescent="0.3">
      <c r="A4320">
        <v>14319</v>
      </c>
      <c r="B4320">
        <v>385</v>
      </c>
      <c r="C4320" s="2">
        <v>45286</v>
      </c>
      <c r="D4320" s="2" t="str">
        <f>TEXT(Table3[[#This Row],[usage_date]],"mmmm")</f>
        <v>December</v>
      </c>
      <c r="E4320" s="9">
        <f>YEAR(Table3[[#This Row],[usage_date]])</f>
        <v>2023</v>
      </c>
      <c r="F4320" s="14">
        <v>3.14</v>
      </c>
      <c r="G4320">
        <v>35</v>
      </c>
      <c r="H4320" t="s">
        <v>13</v>
      </c>
      <c r="I4320" t="str">
        <f t="shared" si="67"/>
        <v>Normal Usage</v>
      </c>
    </row>
    <row r="4321" spans="1:9" x14ac:dyDescent="0.3">
      <c r="A4321">
        <v>14320</v>
      </c>
      <c r="B4321">
        <v>439</v>
      </c>
      <c r="C4321" s="2">
        <v>45381</v>
      </c>
      <c r="D4321" s="2" t="str">
        <f>TEXT(Table3[[#This Row],[usage_date]],"mmmm")</f>
        <v>March</v>
      </c>
      <c r="E4321" s="9">
        <f>YEAR(Table3[[#This Row],[usage_date]])</f>
        <v>2024</v>
      </c>
      <c r="F4321" s="14">
        <v>1.87</v>
      </c>
      <c r="G4321">
        <v>211</v>
      </c>
      <c r="H4321" t="s">
        <v>12</v>
      </c>
      <c r="I4321" t="str">
        <f t="shared" si="67"/>
        <v>Normal Usage</v>
      </c>
    </row>
    <row r="4322" spans="1:9" x14ac:dyDescent="0.3">
      <c r="A4322">
        <v>14321</v>
      </c>
      <c r="B4322">
        <v>278</v>
      </c>
      <c r="C4322" s="2">
        <v>44662</v>
      </c>
      <c r="D4322" s="2" t="str">
        <f>TEXT(Table3[[#This Row],[usage_date]],"mmmm")</f>
        <v>April</v>
      </c>
      <c r="E4322" s="9">
        <f>YEAR(Table3[[#This Row],[usage_date]])</f>
        <v>2022</v>
      </c>
      <c r="F4322" s="14">
        <v>5.78</v>
      </c>
      <c r="G4322">
        <v>133</v>
      </c>
      <c r="H4322" t="s">
        <v>13</v>
      </c>
      <c r="I4322" t="str">
        <f t="shared" si="67"/>
        <v>Normal Usage</v>
      </c>
    </row>
    <row r="4323" spans="1:9" x14ac:dyDescent="0.3">
      <c r="A4323">
        <v>14322</v>
      </c>
      <c r="B4323">
        <v>40</v>
      </c>
      <c r="C4323" s="2">
        <v>44617</v>
      </c>
      <c r="D4323" s="2" t="str">
        <f>TEXT(Table3[[#This Row],[usage_date]],"mmmm")</f>
        <v>February</v>
      </c>
      <c r="E4323" s="9">
        <f>YEAR(Table3[[#This Row],[usage_date]])</f>
        <v>2022</v>
      </c>
      <c r="F4323" s="14">
        <v>0.94</v>
      </c>
      <c r="G4323">
        <v>177</v>
      </c>
      <c r="H4323" t="s">
        <v>13</v>
      </c>
      <c r="I4323" t="str">
        <f t="shared" si="67"/>
        <v>Normal Usage</v>
      </c>
    </row>
    <row r="4324" spans="1:9" x14ac:dyDescent="0.3">
      <c r="A4324">
        <v>14323</v>
      </c>
      <c r="B4324">
        <v>101</v>
      </c>
      <c r="C4324" s="2">
        <v>44893</v>
      </c>
      <c r="D4324" s="2" t="str">
        <f>TEXT(Table3[[#This Row],[usage_date]],"mmmm")</f>
        <v>November</v>
      </c>
      <c r="E4324" s="9">
        <f>YEAR(Table3[[#This Row],[usage_date]])</f>
        <v>2022</v>
      </c>
      <c r="F4324" s="14">
        <v>2.13</v>
      </c>
      <c r="G4324">
        <v>165</v>
      </c>
      <c r="H4324" t="s">
        <v>12</v>
      </c>
      <c r="I4324" t="str">
        <f t="shared" si="67"/>
        <v>Normal Usage</v>
      </c>
    </row>
    <row r="4325" spans="1:9" x14ac:dyDescent="0.3">
      <c r="A4325">
        <v>14324</v>
      </c>
      <c r="B4325">
        <v>111</v>
      </c>
      <c r="C4325" s="2">
        <v>45397</v>
      </c>
      <c r="D4325" s="2" t="str">
        <f>TEXT(Table3[[#This Row],[usage_date]],"mmmm")</f>
        <v>April</v>
      </c>
      <c r="E4325" s="9">
        <f>YEAR(Table3[[#This Row],[usage_date]])</f>
        <v>2024</v>
      </c>
      <c r="F4325" s="14">
        <v>1.74</v>
      </c>
      <c r="G4325">
        <v>45</v>
      </c>
      <c r="H4325" t="s">
        <v>12</v>
      </c>
      <c r="I4325" t="str">
        <f t="shared" si="67"/>
        <v>Normal Usage</v>
      </c>
    </row>
    <row r="4326" spans="1:9" x14ac:dyDescent="0.3">
      <c r="A4326">
        <v>14325</v>
      </c>
      <c r="B4326">
        <v>385</v>
      </c>
      <c r="C4326" s="2">
        <v>45312</v>
      </c>
      <c r="D4326" s="2" t="str">
        <f>TEXT(Table3[[#This Row],[usage_date]],"mmmm")</f>
        <v>January</v>
      </c>
      <c r="E4326" s="9">
        <f>YEAR(Table3[[#This Row],[usage_date]])</f>
        <v>2024</v>
      </c>
      <c r="F4326" s="14">
        <v>1.68</v>
      </c>
      <c r="G4326">
        <v>155</v>
      </c>
      <c r="H4326" t="s">
        <v>12</v>
      </c>
      <c r="I4326" t="str">
        <f t="shared" si="67"/>
        <v>Normal Usage</v>
      </c>
    </row>
    <row r="4327" spans="1:9" x14ac:dyDescent="0.3">
      <c r="A4327">
        <v>14326</v>
      </c>
      <c r="B4327">
        <v>321</v>
      </c>
      <c r="C4327" s="2">
        <v>44954</v>
      </c>
      <c r="D4327" s="2" t="str">
        <f>TEXT(Table3[[#This Row],[usage_date]],"mmmm")</f>
        <v>January</v>
      </c>
      <c r="E4327" s="9">
        <f>YEAR(Table3[[#This Row],[usage_date]])</f>
        <v>2023</v>
      </c>
      <c r="F4327" s="14">
        <v>1.52</v>
      </c>
      <c r="G4327">
        <v>235</v>
      </c>
      <c r="H4327" t="s">
        <v>12</v>
      </c>
      <c r="I4327" t="str">
        <f t="shared" si="67"/>
        <v>Normal Usage</v>
      </c>
    </row>
    <row r="4328" spans="1:9" x14ac:dyDescent="0.3">
      <c r="A4328">
        <v>14327</v>
      </c>
      <c r="B4328">
        <v>249</v>
      </c>
      <c r="C4328" s="2">
        <v>45304</v>
      </c>
      <c r="D4328" s="2" t="str">
        <f>TEXT(Table3[[#This Row],[usage_date]],"mmmm")</f>
        <v>January</v>
      </c>
      <c r="E4328" s="9">
        <f>YEAR(Table3[[#This Row],[usage_date]])</f>
        <v>2024</v>
      </c>
      <c r="F4328" s="14">
        <v>0.57999999999999996</v>
      </c>
      <c r="G4328">
        <v>59</v>
      </c>
      <c r="H4328" t="s">
        <v>12</v>
      </c>
      <c r="I4328" t="str">
        <f t="shared" si="67"/>
        <v>Normal Usage</v>
      </c>
    </row>
    <row r="4329" spans="1:9" x14ac:dyDescent="0.3">
      <c r="A4329">
        <v>14328</v>
      </c>
      <c r="B4329">
        <v>191</v>
      </c>
      <c r="C4329" s="2">
        <v>45435</v>
      </c>
      <c r="D4329" s="2" t="str">
        <f>TEXT(Table3[[#This Row],[usage_date]],"mmmm")</f>
        <v>May</v>
      </c>
      <c r="E4329" s="9">
        <f>YEAR(Table3[[#This Row],[usage_date]])</f>
        <v>2024</v>
      </c>
      <c r="F4329" s="14">
        <v>3.52</v>
      </c>
      <c r="G4329">
        <v>4</v>
      </c>
      <c r="H4329" t="s">
        <v>12</v>
      </c>
      <c r="I4329" t="str">
        <f t="shared" si="67"/>
        <v>Normal Usage</v>
      </c>
    </row>
    <row r="4330" spans="1:9" x14ac:dyDescent="0.3">
      <c r="A4330">
        <v>14329</v>
      </c>
      <c r="B4330">
        <v>490</v>
      </c>
      <c r="C4330" s="2">
        <v>44942</v>
      </c>
      <c r="D4330" s="2" t="str">
        <f>TEXT(Table3[[#This Row],[usage_date]],"mmmm")</f>
        <v>January</v>
      </c>
      <c r="E4330" s="9">
        <f>YEAR(Table3[[#This Row],[usage_date]])</f>
        <v>2023</v>
      </c>
      <c r="F4330" s="14">
        <v>1.5</v>
      </c>
      <c r="G4330">
        <v>180</v>
      </c>
      <c r="H4330" t="s">
        <v>12</v>
      </c>
      <c r="I4330" t="str">
        <f t="shared" si="67"/>
        <v>Normal Usage</v>
      </c>
    </row>
    <row r="4331" spans="1:9" x14ac:dyDescent="0.3">
      <c r="A4331">
        <v>14330</v>
      </c>
      <c r="B4331">
        <v>182</v>
      </c>
      <c r="C4331" s="2">
        <v>44653</v>
      </c>
      <c r="D4331" s="2" t="str">
        <f>TEXT(Table3[[#This Row],[usage_date]],"mmmm")</f>
        <v>April</v>
      </c>
      <c r="E4331" s="9">
        <f>YEAR(Table3[[#This Row],[usage_date]])</f>
        <v>2022</v>
      </c>
      <c r="F4331" s="14">
        <v>7.96</v>
      </c>
      <c r="G4331">
        <v>144</v>
      </c>
      <c r="H4331" t="s">
        <v>12</v>
      </c>
      <c r="I4331" t="str">
        <f t="shared" si="67"/>
        <v>High Usage</v>
      </c>
    </row>
    <row r="4332" spans="1:9" x14ac:dyDescent="0.3">
      <c r="A4332">
        <v>14331</v>
      </c>
      <c r="B4332">
        <v>426</v>
      </c>
      <c r="C4332" s="2">
        <v>45352</v>
      </c>
      <c r="D4332" s="2" t="str">
        <f>TEXT(Table3[[#This Row],[usage_date]],"mmmm")</f>
        <v>March</v>
      </c>
      <c r="E4332" s="9">
        <f>YEAR(Table3[[#This Row],[usage_date]])</f>
        <v>2024</v>
      </c>
      <c r="F4332" s="14">
        <v>0.76</v>
      </c>
      <c r="G4332">
        <v>264</v>
      </c>
      <c r="H4332" t="s">
        <v>13</v>
      </c>
      <c r="I4332" t="str">
        <f t="shared" si="67"/>
        <v>Normal Usage</v>
      </c>
    </row>
    <row r="4333" spans="1:9" x14ac:dyDescent="0.3">
      <c r="A4333">
        <v>14332</v>
      </c>
      <c r="B4333">
        <v>405</v>
      </c>
      <c r="C4333" s="2">
        <v>45008</v>
      </c>
      <c r="D4333" s="2" t="str">
        <f>TEXT(Table3[[#This Row],[usage_date]],"mmmm")</f>
        <v>March</v>
      </c>
      <c r="E4333" s="9">
        <f>YEAR(Table3[[#This Row],[usage_date]])</f>
        <v>2023</v>
      </c>
      <c r="F4333" s="14">
        <v>2.87</v>
      </c>
      <c r="G4333">
        <v>222</v>
      </c>
      <c r="H4333" t="s">
        <v>12</v>
      </c>
      <c r="I4333" t="str">
        <f t="shared" si="67"/>
        <v>Normal Usage</v>
      </c>
    </row>
    <row r="4334" spans="1:9" x14ac:dyDescent="0.3">
      <c r="A4334">
        <v>14333</v>
      </c>
      <c r="B4334">
        <v>335</v>
      </c>
      <c r="C4334" s="2">
        <v>44670</v>
      </c>
      <c r="D4334" s="2" t="str">
        <f>TEXT(Table3[[#This Row],[usage_date]],"mmmm")</f>
        <v>April</v>
      </c>
      <c r="E4334" s="9">
        <f>YEAR(Table3[[#This Row],[usage_date]])</f>
        <v>2022</v>
      </c>
      <c r="F4334" s="14">
        <v>7.06</v>
      </c>
      <c r="G4334">
        <v>236</v>
      </c>
      <c r="H4334" t="s">
        <v>13</v>
      </c>
      <c r="I4334" t="str">
        <f t="shared" si="67"/>
        <v>High Usage</v>
      </c>
    </row>
    <row r="4335" spans="1:9" x14ac:dyDescent="0.3">
      <c r="A4335">
        <v>14334</v>
      </c>
      <c r="B4335">
        <v>209</v>
      </c>
      <c r="C4335" s="2">
        <v>44878</v>
      </c>
      <c r="D4335" s="2" t="str">
        <f>TEXT(Table3[[#This Row],[usage_date]],"mmmm")</f>
        <v>November</v>
      </c>
      <c r="E4335" s="9">
        <f>YEAR(Table3[[#This Row],[usage_date]])</f>
        <v>2022</v>
      </c>
      <c r="F4335" s="14">
        <v>2.72</v>
      </c>
      <c r="G4335">
        <v>12</v>
      </c>
      <c r="H4335" t="s">
        <v>12</v>
      </c>
      <c r="I4335" t="str">
        <f t="shared" si="67"/>
        <v>Normal Usage</v>
      </c>
    </row>
    <row r="4336" spans="1:9" x14ac:dyDescent="0.3">
      <c r="A4336">
        <v>14335</v>
      </c>
      <c r="B4336">
        <v>22</v>
      </c>
      <c r="C4336" s="2">
        <v>44729</v>
      </c>
      <c r="D4336" s="2" t="str">
        <f>TEXT(Table3[[#This Row],[usage_date]],"mmmm")</f>
        <v>June</v>
      </c>
      <c r="E4336" s="9">
        <f>YEAR(Table3[[#This Row],[usage_date]])</f>
        <v>2022</v>
      </c>
      <c r="F4336" s="14">
        <v>5.13</v>
      </c>
      <c r="G4336">
        <v>267</v>
      </c>
      <c r="H4336" t="s">
        <v>12</v>
      </c>
      <c r="I4336" t="str">
        <f t="shared" si="67"/>
        <v>Normal Usage</v>
      </c>
    </row>
    <row r="4337" spans="1:9" x14ac:dyDescent="0.3">
      <c r="A4337">
        <v>14336</v>
      </c>
      <c r="B4337">
        <v>166</v>
      </c>
      <c r="C4337" s="2">
        <v>45373</v>
      </c>
      <c r="D4337" s="2" t="str">
        <f>TEXT(Table3[[#This Row],[usage_date]],"mmmm")</f>
        <v>March</v>
      </c>
      <c r="E4337" s="9">
        <f>YEAR(Table3[[#This Row],[usage_date]])</f>
        <v>2024</v>
      </c>
      <c r="F4337" s="14">
        <v>4.3899999999999997</v>
      </c>
      <c r="G4337">
        <v>265</v>
      </c>
      <c r="H4337" t="s">
        <v>12</v>
      </c>
      <c r="I4337" t="str">
        <f t="shared" si="67"/>
        <v>Normal Usage</v>
      </c>
    </row>
    <row r="4338" spans="1:9" x14ac:dyDescent="0.3">
      <c r="A4338">
        <v>14337</v>
      </c>
      <c r="B4338">
        <v>99</v>
      </c>
      <c r="C4338" s="2">
        <v>44996</v>
      </c>
      <c r="D4338" s="2" t="str">
        <f>TEXT(Table3[[#This Row],[usage_date]],"mmmm")</f>
        <v>March</v>
      </c>
      <c r="E4338" s="9">
        <f>YEAR(Table3[[#This Row],[usage_date]])</f>
        <v>2023</v>
      </c>
      <c r="F4338" s="14">
        <v>1.1200000000000001</v>
      </c>
      <c r="G4338">
        <v>15</v>
      </c>
      <c r="H4338" t="s">
        <v>13</v>
      </c>
      <c r="I4338" t="str">
        <f t="shared" si="67"/>
        <v>Normal Usage</v>
      </c>
    </row>
    <row r="4339" spans="1:9" x14ac:dyDescent="0.3">
      <c r="A4339">
        <v>14338</v>
      </c>
      <c r="B4339">
        <v>493</v>
      </c>
      <c r="C4339" s="2">
        <v>45003</v>
      </c>
      <c r="D4339" s="2" t="str">
        <f>TEXT(Table3[[#This Row],[usage_date]],"mmmm")</f>
        <v>March</v>
      </c>
      <c r="E4339" s="9">
        <f>YEAR(Table3[[#This Row],[usage_date]])</f>
        <v>2023</v>
      </c>
      <c r="F4339" s="14">
        <v>2.29</v>
      </c>
      <c r="G4339">
        <v>91</v>
      </c>
      <c r="H4339" t="s">
        <v>12</v>
      </c>
      <c r="I4339" t="str">
        <f t="shared" si="67"/>
        <v>Normal Usage</v>
      </c>
    </row>
    <row r="4340" spans="1:9" x14ac:dyDescent="0.3">
      <c r="A4340">
        <v>14339</v>
      </c>
      <c r="B4340">
        <v>208</v>
      </c>
      <c r="C4340" s="2">
        <v>44779</v>
      </c>
      <c r="D4340" s="2" t="str">
        <f>TEXT(Table3[[#This Row],[usage_date]],"mmmm")</f>
        <v>August</v>
      </c>
      <c r="E4340" s="9">
        <f>YEAR(Table3[[#This Row],[usage_date]])</f>
        <v>2022</v>
      </c>
      <c r="F4340" s="14">
        <v>0.42</v>
      </c>
      <c r="G4340">
        <v>247</v>
      </c>
      <c r="H4340" t="s">
        <v>12</v>
      </c>
      <c r="I4340" t="str">
        <f t="shared" si="67"/>
        <v>Normal Usage</v>
      </c>
    </row>
    <row r="4341" spans="1:9" x14ac:dyDescent="0.3">
      <c r="A4341">
        <v>14340</v>
      </c>
      <c r="B4341">
        <v>8</v>
      </c>
      <c r="C4341" s="2">
        <v>44783</v>
      </c>
      <c r="D4341" s="2" t="str">
        <f>TEXT(Table3[[#This Row],[usage_date]],"mmmm")</f>
        <v>August</v>
      </c>
      <c r="E4341" s="9">
        <f>YEAR(Table3[[#This Row],[usage_date]])</f>
        <v>2022</v>
      </c>
      <c r="F4341" s="14">
        <v>1.92</v>
      </c>
      <c r="G4341">
        <v>18</v>
      </c>
      <c r="H4341" t="s">
        <v>13</v>
      </c>
      <c r="I4341" t="str">
        <f t="shared" si="67"/>
        <v>Normal Usage</v>
      </c>
    </row>
    <row r="4342" spans="1:9" x14ac:dyDescent="0.3">
      <c r="A4342">
        <v>14341</v>
      </c>
      <c r="B4342">
        <v>190</v>
      </c>
      <c r="C4342" s="2">
        <v>45234</v>
      </c>
      <c r="D4342" s="2" t="str">
        <f>TEXT(Table3[[#This Row],[usage_date]],"mmmm")</f>
        <v>November</v>
      </c>
      <c r="E4342" s="9">
        <f>YEAR(Table3[[#This Row],[usage_date]])</f>
        <v>2023</v>
      </c>
      <c r="F4342" s="14">
        <v>0.65</v>
      </c>
      <c r="G4342">
        <v>102</v>
      </c>
      <c r="H4342" t="s">
        <v>12</v>
      </c>
      <c r="I4342" t="str">
        <f t="shared" si="67"/>
        <v>Normal Usage</v>
      </c>
    </row>
    <row r="4343" spans="1:9" x14ac:dyDescent="0.3">
      <c r="A4343">
        <v>14342</v>
      </c>
      <c r="B4343">
        <v>175</v>
      </c>
      <c r="C4343" s="2">
        <v>45089</v>
      </c>
      <c r="D4343" s="2" t="str">
        <f>TEXT(Table3[[#This Row],[usage_date]],"mmmm")</f>
        <v>June</v>
      </c>
      <c r="E4343" s="9">
        <f>YEAR(Table3[[#This Row],[usage_date]])</f>
        <v>2023</v>
      </c>
      <c r="F4343" s="14">
        <v>3.4</v>
      </c>
      <c r="G4343">
        <v>94</v>
      </c>
      <c r="H4343" t="s">
        <v>12</v>
      </c>
      <c r="I4343" t="str">
        <f t="shared" si="67"/>
        <v>Normal Usage</v>
      </c>
    </row>
    <row r="4344" spans="1:9" x14ac:dyDescent="0.3">
      <c r="A4344">
        <v>14343</v>
      </c>
      <c r="B4344">
        <v>273</v>
      </c>
      <c r="C4344" s="2">
        <v>44839</v>
      </c>
      <c r="D4344" s="2" t="str">
        <f>TEXT(Table3[[#This Row],[usage_date]],"mmmm")</f>
        <v>October</v>
      </c>
      <c r="E4344" s="9">
        <f>YEAR(Table3[[#This Row],[usage_date]])</f>
        <v>2022</v>
      </c>
      <c r="F4344" s="14">
        <v>1.88</v>
      </c>
      <c r="G4344">
        <v>282</v>
      </c>
      <c r="H4344" t="s">
        <v>13</v>
      </c>
      <c r="I4344" t="str">
        <f t="shared" si="67"/>
        <v>Normal Usage</v>
      </c>
    </row>
    <row r="4345" spans="1:9" x14ac:dyDescent="0.3">
      <c r="A4345">
        <v>14344</v>
      </c>
      <c r="B4345">
        <v>17</v>
      </c>
      <c r="C4345" s="2">
        <v>45130</v>
      </c>
      <c r="D4345" s="2" t="str">
        <f>TEXT(Table3[[#This Row],[usage_date]],"mmmm")</f>
        <v>July</v>
      </c>
      <c r="E4345" s="9">
        <f>YEAR(Table3[[#This Row],[usage_date]])</f>
        <v>2023</v>
      </c>
      <c r="F4345" s="14">
        <v>1.32</v>
      </c>
      <c r="G4345">
        <v>212</v>
      </c>
      <c r="H4345" t="s">
        <v>13</v>
      </c>
      <c r="I4345" t="str">
        <f t="shared" si="67"/>
        <v>Normal Usage</v>
      </c>
    </row>
    <row r="4346" spans="1:9" x14ac:dyDescent="0.3">
      <c r="A4346">
        <v>14345</v>
      </c>
      <c r="B4346">
        <v>90</v>
      </c>
      <c r="C4346" s="2">
        <v>45135</v>
      </c>
      <c r="D4346" s="2" t="str">
        <f>TEXT(Table3[[#This Row],[usage_date]],"mmmm")</f>
        <v>July</v>
      </c>
      <c r="E4346" s="9">
        <f>YEAR(Table3[[#This Row],[usage_date]])</f>
        <v>2023</v>
      </c>
      <c r="F4346" s="14">
        <v>0.78</v>
      </c>
      <c r="G4346">
        <v>36</v>
      </c>
      <c r="H4346" t="s">
        <v>12</v>
      </c>
      <c r="I4346" t="str">
        <f t="shared" si="67"/>
        <v>Normal Usage</v>
      </c>
    </row>
    <row r="4347" spans="1:9" x14ac:dyDescent="0.3">
      <c r="A4347">
        <v>14346</v>
      </c>
      <c r="B4347">
        <v>141</v>
      </c>
      <c r="C4347" s="2">
        <v>45436</v>
      </c>
      <c r="D4347" s="2" t="str">
        <f>TEXT(Table3[[#This Row],[usage_date]],"mmmm")</f>
        <v>May</v>
      </c>
      <c r="E4347" s="9">
        <f>YEAR(Table3[[#This Row],[usage_date]])</f>
        <v>2024</v>
      </c>
      <c r="F4347" s="14">
        <v>16.61</v>
      </c>
      <c r="G4347">
        <v>60</v>
      </c>
      <c r="H4347" t="s">
        <v>12</v>
      </c>
      <c r="I4347" t="str">
        <f t="shared" si="67"/>
        <v>High Usage</v>
      </c>
    </row>
    <row r="4348" spans="1:9" x14ac:dyDescent="0.3">
      <c r="A4348">
        <v>14347</v>
      </c>
      <c r="B4348">
        <v>145</v>
      </c>
      <c r="C4348" s="2">
        <v>45027</v>
      </c>
      <c r="D4348" s="2" t="str">
        <f>TEXT(Table3[[#This Row],[usage_date]],"mmmm")</f>
        <v>April</v>
      </c>
      <c r="E4348" s="9">
        <f>YEAR(Table3[[#This Row],[usage_date]])</f>
        <v>2023</v>
      </c>
      <c r="F4348" s="14">
        <v>0.19</v>
      </c>
      <c r="G4348">
        <v>290</v>
      </c>
      <c r="H4348" t="s">
        <v>13</v>
      </c>
      <c r="I4348" t="str">
        <f t="shared" si="67"/>
        <v>Normal Usage</v>
      </c>
    </row>
    <row r="4349" spans="1:9" x14ac:dyDescent="0.3">
      <c r="A4349">
        <v>14348</v>
      </c>
      <c r="B4349">
        <v>166</v>
      </c>
      <c r="C4349" s="2">
        <v>45400</v>
      </c>
      <c r="D4349" s="2" t="str">
        <f>TEXT(Table3[[#This Row],[usage_date]],"mmmm")</f>
        <v>April</v>
      </c>
      <c r="E4349" s="9">
        <f>YEAR(Table3[[#This Row],[usage_date]])</f>
        <v>2024</v>
      </c>
      <c r="F4349" s="14">
        <v>0.11</v>
      </c>
      <c r="G4349">
        <v>243</v>
      </c>
      <c r="H4349" t="s">
        <v>13</v>
      </c>
      <c r="I4349" t="str">
        <f t="shared" si="67"/>
        <v>Normal Usage</v>
      </c>
    </row>
    <row r="4350" spans="1:9" x14ac:dyDescent="0.3">
      <c r="A4350">
        <v>14349</v>
      </c>
      <c r="B4350">
        <v>337</v>
      </c>
      <c r="C4350" s="2">
        <v>45315</v>
      </c>
      <c r="D4350" s="2" t="str">
        <f>TEXT(Table3[[#This Row],[usage_date]],"mmmm")</f>
        <v>January</v>
      </c>
      <c r="E4350" s="9">
        <f>YEAR(Table3[[#This Row],[usage_date]])</f>
        <v>2024</v>
      </c>
      <c r="F4350" s="14">
        <v>0.61</v>
      </c>
      <c r="G4350">
        <v>5</v>
      </c>
      <c r="H4350" t="s">
        <v>12</v>
      </c>
      <c r="I4350" t="str">
        <f t="shared" si="67"/>
        <v>Normal Usage</v>
      </c>
    </row>
    <row r="4351" spans="1:9" x14ac:dyDescent="0.3">
      <c r="A4351">
        <v>14350</v>
      </c>
      <c r="B4351">
        <v>496</v>
      </c>
      <c r="C4351" s="2">
        <v>45163</v>
      </c>
      <c r="D4351" s="2" t="str">
        <f>TEXT(Table3[[#This Row],[usage_date]],"mmmm")</f>
        <v>August</v>
      </c>
      <c r="E4351" s="9">
        <f>YEAR(Table3[[#This Row],[usage_date]])</f>
        <v>2023</v>
      </c>
      <c r="F4351" s="14">
        <v>8.86</v>
      </c>
      <c r="G4351">
        <v>164</v>
      </c>
      <c r="H4351" t="s">
        <v>13</v>
      </c>
      <c r="I4351" t="str">
        <f t="shared" si="67"/>
        <v>High Usage</v>
      </c>
    </row>
    <row r="4352" spans="1:9" x14ac:dyDescent="0.3">
      <c r="A4352">
        <v>14351</v>
      </c>
      <c r="B4352">
        <v>78</v>
      </c>
      <c r="C4352" s="2">
        <v>45145</v>
      </c>
      <c r="D4352" s="2" t="str">
        <f>TEXT(Table3[[#This Row],[usage_date]],"mmmm")</f>
        <v>August</v>
      </c>
      <c r="E4352" s="9">
        <f>YEAR(Table3[[#This Row],[usage_date]])</f>
        <v>2023</v>
      </c>
      <c r="F4352" s="14">
        <v>9.69</v>
      </c>
      <c r="G4352">
        <v>12</v>
      </c>
      <c r="H4352" t="s">
        <v>12</v>
      </c>
      <c r="I4352" t="str">
        <f t="shared" si="67"/>
        <v>High Usage</v>
      </c>
    </row>
    <row r="4353" spans="1:9" x14ac:dyDescent="0.3">
      <c r="A4353">
        <v>14352</v>
      </c>
      <c r="B4353">
        <v>429</v>
      </c>
      <c r="C4353" s="2">
        <v>45399</v>
      </c>
      <c r="D4353" s="2" t="str">
        <f>TEXT(Table3[[#This Row],[usage_date]],"mmmm")</f>
        <v>April</v>
      </c>
      <c r="E4353" s="9">
        <f>YEAR(Table3[[#This Row],[usage_date]])</f>
        <v>2024</v>
      </c>
      <c r="F4353" s="14">
        <v>2.66</v>
      </c>
      <c r="G4353">
        <v>24</v>
      </c>
      <c r="H4353" t="s">
        <v>12</v>
      </c>
      <c r="I4353" t="str">
        <f t="shared" si="67"/>
        <v>Normal Usage</v>
      </c>
    </row>
    <row r="4354" spans="1:9" x14ac:dyDescent="0.3">
      <c r="A4354">
        <v>14353</v>
      </c>
      <c r="B4354">
        <v>262</v>
      </c>
      <c r="C4354" s="2">
        <v>44591</v>
      </c>
      <c r="D4354" s="2" t="str">
        <f>TEXT(Table3[[#This Row],[usage_date]],"mmmm")</f>
        <v>January</v>
      </c>
      <c r="E4354" s="9">
        <f>YEAR(Table3[[#This Row],[usage_date]])</f>
        <v>2022</v>
      </c>
      <c r="F4354" s="14">
        <v>5.3</v>
      </c>
      <c r="G4354">
        <v>223</v>
      </c>
      <c r="H4354" t="s">
        <v>12</v>
      </c>
      <c r="I4354" t="str">
        <f t="shared" ref="I4354:I4417" si="68">IF(F4354&gt;6,"High Usage","Normal Usage")</f>
        <v>Normal Usage</v>
      </c>
    </row>
    <row r="4355" spans="1:9" x14ac:dyDescent="0.3">
      <c r="A4355">
        <v>14354</v>
      </c>
      <c r="B4355">
        <v>163</v>
      </c>
      <c r="C4355" s="2">
        <v>44920</v>
      </c>
      <c r="D4355" s="2" t="str">
        <f>TEXT(Table3[[#This Row],[usage_date]],"mmmm")</f>
        <v>December</v>
      </c>
      <c r="E4355" s="9">
        <f>YEAR(Table3[[#This Row],[usage_date]])</f>
        <v>2022</v>
      </c>
      <c r="F4355" s="14">
        <v>0.6</v>
      </c>
      <c r="G4355">
        <v>122</v>
      </c>
      <c r="H4355" t="s">
        <v>12</v>
      </c>
      <c r="I4355" t="str">
        <f t="shared" si="68"/>
        <v>Normal Usage</v>
      </c>
    </row>
    <row r="4356" spans="1:9" x14ac:dyDescent="0.3">
      <c r="A4356">
        <v>14355</v>
      </c>
      <c r="B4356">
        <v>366</v>
      </c>
      <c r="C4356" s="2">
        <v>44849</v>
      </c>
      <c r="D4356" s="2" t="str">
        <f>TEXT(Table3[[#This Row],[usage_date]],"mmmm")</f>
        <v>October</v>
      </c>
      <c r="E4356" s="9">
        <f>YEAR(Table3[[#This Row],[usage_date]])</f>
        <v>2022</v>
      </c>
      <c r="F4356" s="14">
        <v>8.94</v>
      </c>
      <c r="G4356">
        <v>128</v>
      </c>
      <c r="H4356" t="s">
        <v>12</v>
      </c>
      <c r="I4356" t="str">
        <f t="shared" si="68"/>
        <v>High Usage</v>
      </c>
    </row>
    <row r="4357" spans="1:9" x14ac:dyDescent="0.3">
      <c r="A4357">
        <v>14356</v>
      </c>
      <c r="B4357">
        <v>14</v>
      </c>
      <c r="C4357" s="2">
        <v>44647</v>
      </c>
      <c r="D4357" s="2" t="str">
        <f>TEXT(Table3[[#This Row],[usage_date]],"mmmm")</f>
        <v>March</v>
      </c>
      <c r="E4357" s="9">
        <f>YEAR(Table3[[#This Row],[usage_date]])</f>
        <v>2022</v>
      </c>
      <c r="F4357" s="14">
        <v>0.39</v>
      </c>
      <c r="G4357">
        <v>121</v>
      </c>
      <c r="H4357" t="s">
        <v>12</v>
      </c>
      <c r="I4357" t="str">
        <f t="shared" si="68"/>
        <v>Normal Usage</v>
      </c>
    </row>
    <row r="4358" spans="1:9" x14ac:dyDescent="0.3">
      <c r="A4358">
        <v>14357</v>
      </c>
      <c r="B4358">
        <v>239</v>
      </c>
      <c r="C4358" s="2">
        <v>44795</v>
      </c>
      <c r="D4358" s="2" t="str">
        <f>TEXT(Table3[[#This Row],[usage_date]],"mmmm")</f>
        <v>August</v>
      </c>
      <c r="E4358" s="9">
        <f>YEAR(Table3[[#This Row],[usage_date]])</f>
        <v>2022</v>
      </c>
      <c r="F4358" s="14">
        <v>0.27</v>
      </c>
      <c r="G4358">
        <v>34</v>
      </c>
      <c r="H4358" t="s">
        <v>12</v>
      </c>
      <c r="I4358" t="str">
        <f t="shared" si="68"/>
        <v>Normal Usage</v>
      </c>
    </row>
    <row r="4359" spans="1:9" x14ac:dyDescent="0.3">
      <c r="A4359">
        <v>14358</v>
      </c>
      <c r="B4359">
        <v>72</v>
      </c>
      <c r="C4359" s="2">
        <v>45308</v>
      </c>
      <c r="D4359" s="2" t="str">
        <f>TEXT(Table3[[#This Row],[usage_date]],"mmmm")</f>
        <v>January</v>
      </c>
      <c r="E4359" s="9">
        <f>YEAR(Table3[[#This Row],[usage_date]])</f>
        <v>2024</v>
      </c>
      <c r="F4359" s="14">
        <v>0.3</v>
      </c>
      <c r="G4359">
        <v>82</v>
      </c>
      <c r="H4359" t="s">
        <v>12</v>
      </c>
      <c r="I4359" t="str">
        <f t="shared" si="68"/>
        <v>Normal Usage</v>
      </c>
    </row>
    <row r="4360" spans="1:9" x14ac:dyDescent="0.3">
      <c r="A4360">
        <v>14359</v>
      </c>
      <c r="B4360">
        <v>445</v>
      </c>
      <c r="C4360" s="2">
        <v>44874</v>
      </c>
      <c r="D4360" s="2" t="str">
        <f>TEXT(Table3[[#This Row],[usage_date]],"mmmm")</f>
        <v>November</v>
      </c>
      <c r="E4360" s="9">
        <f>YEAR(Table3[[#This Row],[usage_date]])</f>
        <v>2022</v>
      </c>
      <c r="F4360" s="14">
        <v>2.13</v>
      </c>
      <c r="G4360">
        <v>181</v>
      </c>
      <c r="H4360" t="s">
        <v>12</v>
      </c>
      <c r="I4360" t="str">
        <f t="shared" si="68"/>
        <v>Normal Usage</v>
      </c>
    </row>
    <row r="4361" spans="1:9" x14ac:dyDescent="0.3">
      <c r="A4361">
        <v>14360</v>
      </c>
      <c r="B4361">
        <v>143</v>
      </c>
      <c r="C4361" s="2">
        <v>44926</v>
      </c>
      <c r="D4361" s="2" t="str">
        <f>TEXT(Table3[[#This Row],[usage_date]],"mmmm")</f>
        <v>December</v>
      </c>
      <c r="E4361" s="9">
        <f>YEAR(Table3[[#This Row],[usage_date]])</f>
        <v>2022</v>
      </c>
      <c r="F4361" s="14">
        <v>3.8</v>
      </c>
      <c r="G4361">
        <v>75</v>
      </c>
      <c r="H4361" t="s">
        <v>13</v>
      </c>
      <c r="I4361" t="str">
        <f t="shared" si="68"/>
        <v>Normal Usage</v>
      </c>
    </row>
    <row r="4362" spans="1:9" x14ac:dyDescent="0.3">
      <c r="A4362">
        <v>14361</v>
      </c>
      <c r="B4362">
        <v>310</v>
      </c>
      <c r="C4362" s="2">
        <v>45338</v>
      </c>
      <c r="D4362" s="2" t="str">
        <f>TEXT(Table3[[#This Row],[usage_date]],"mmmm")</f>
        <v>February</v>
      </c>
      <c r="E4362" s="9">
        <f>YEAR(Table3[[#This Row],[usage_date]])</f>
        <v>2024</v>
      </c>
      <c r="F4362" s="14">
        <v>1.1399999999999999</v>
      </c>
      <c r="G4362">
        <v>103</v>
      </c>
      <c r="H4362" t="s">
        <v>13</v>
      </c>
      <c r="I4362" t="str">
        <f t="shared" si="68"/>
        <v>Normal Usage</v>
      </c>
    </row>
    <row r="4363" spans="1:9" x14ac:dyDescent="0.3">
      <c r="A4363">
        <v>14362</v>
      </c>
      <c r="B4363">
        <v>283</v>
      </c>
      <c r="C4363" s="2">
        <v>45360</v>
      </c>
      <c r="D4363" s="2" t="str">
        <f>TEXT(Table3[[#This Row],[usage_date]],"mmmm")</f>
        <v>March</v>
      </c>
      <c r="E4363" s="9">
        <f>YEAR(Table3[[#This Row],[usage_date]])</f>
        <v>2024</v>
      </c>
      <c r="F4363" s="14">
        <v>9.5299999999999994</v>
      </c>
      <c r="G4363">
        <v>231</v>
      </c>
      <c r="H4363" t="s">
        <v>12</v>
      </c>
      <c r="I4363" t="str">
        <f t="shared" si="68"/>
        <v>High Usage</v>
      </c>
    </row>
    <row r="4364" spans="1:9" x14ac:dyDescent="0.3">
      <c r="A4364">
        <v>14363</v>
      </c>
      <c r="B4364">
        <v>269</v>
      </c>
      <c r="C4364" s="2">
        <v>45400</v>
      </c>
      <c r="D4364" s="2" t="str">
        <f>TEXT(Table3[[#This Row],[usage_date]],"mmmm")</f>
        <v>April</v>
      </c>
      <c r="E4364" s="9">
        <f>YEAR(Table3[[#This Row],[usage_date]])</f>
        <v>2024</v>
      </c>
      <c r="F4364" s="14">
        <v>1.42</v>
      </c>
      <c r="G4364">
        <v>42</v>
      </c>
      <c r="H4364" t="s">
        <v>13</v>
      </c>
      <c r="I4364" t="str">
        <f t="shared" si="68"/>
        <v>Normal Usage</v>
      </c>
    </row>
    <row r="4365" spans="1:9" x14ac:dyDescent="0.3">
      <c r="A4365">
        <v>14364</v>
      </c>
      <c r="B4365">
        <v>241</v>
      </c>
      <c r="C4365" s="2">
        <v>44830</v>
      </c>
      <c r="D4365" s="2" t="str">
        <f>TEXT(Table3[[#This Row],[usage_date]],"mmmm")</f>
        <v>September</v>
      </c>
      <c r="E4365" s="9">
        <f>YEAR(Table3[[#This Row],[usage_date]])</f>
        <v>2022</v>
      </c>
      <c r="F4365" s="14">
        <v>0.41</v>
      </c>
      <c r="G4365">
        <v>92</v>
      </c>
      <c r="H4365" t="s">
        <v>12</v>
      </c>
      <c r="I4365" t="str">
        <f t="shared" si="68"/>
        <v>Normal Usage</v>
      </c>
    </row>
    <row r="4366" spans="1:9" x14ac:dyDescent="0.3">
      <c r="A4366">
        <v>14365</v>
      </c>
      <c r="B4366">
        <v>415</v>
      </c>
      <c r="C4366" s="2">
        <v>45259</v>
      </c>
      <c r="D4366" s="2" t="str">
        <f>TEXT(Table3[[#This Row],[usage_date]],"mmmm")</f>
        <v>November</v>
      </c>
      <c r="E4366" s="9">
        <f>YEAR(Table3[[#This Row],[usage_date]])</f>
        <v>2023</v>
      </c>
      <c r="F4366" s="14">
        <v>1.57</v>
      </c>
      <c r="G4366">
        <v>143</v>
      </c>
      <c r="H4366" t="s">
        <v>12</v>
      </c>
      <c r="I4366" t="str">
        <f t="shared" si="68"/>
        <v>Normal Usage</v>
      </c>
    </row>
    <row r="4367" spans="1:9" x14ac:dyDescent="0.3">
      <c r="A4367">
        <v>14366</v>
      </c>
      <c r="B4367">
        <v>245</v>
      </c>
      <c r="C4367" s="2">
        <v>44692</v>
      </c>
      <c r="D4367" s="2" t="str">
        <f>TEXT(Table3[[#This Row],[usage_date]],"mmmm")</f>
        <v>May</v>
      </c>
      <c r="E4367" s="9">
        <f>YEAR(Table3[[#This Row],[usage_date]])</f>
        <v>2022</v>
      </c>
      <c r="F4367" s="14">
        <v>2.84</v>
      </c>
      <c r="G4367">
        <v>253</v>
      </c>
      <c r="H4367" t="s">
        <v>13</v>
      </c>
      <c r="I4367" t="str">
        <f t="shared" si="68"/>
        <v>Normal Usage</v>
      </c>
    </row>
    <row r="4368" spans="1:9" x14ac:dyDescent="0.3">
      <c r="A4368">
        <v>14367</v>
      </c>
      <c r="B4368">
        <v>163</v>
      </c>
      <c r="C4368" s="2">
        <v>45364</v>
      </c>
      <c r="D4368" s="2" t="str">
        <f>TEXT(Table3[[#This Row],[usage_date]],"mmmm")</f>
        <v>March</v>
      </c>
      <c r="E4368" s="9">
        <f>YEAR(Table3[[#This Row],[usage_date]])</f>
        <v>2024</v>
      </c>
      <c r="F4368" s="14">
        <v>4.46</v>
      </c>
      <c r="G4368">
        <v>77</v>
      </c>
      <c r="H4368" t="s">
        <v>12</v>
      </c>
      <c r="I4368" t="str">
        <f t="shared" si="68"/>
        <v>Normal Usage</v>
      </c>
    </row>
    <row r="4369" spans="1:9" x14ac:dyDescent="0.3">
      <c r="A4369">
        <v>14368</v>
      </c>
      <c r="B4369">
        <v>60</v>
      </c>
      <c r="C4369" s="2">
        <v>45350</v>
      </c>
      <c r="D4369" s="2" t="str">
        <f>TEXT(Table3[[#This Row],[usage_date]],"mmmm")</f>
        <v>February</v>
      </c>
      <c r="E4369" s="9">
        <f>YEAR(Table3[[#This Row],[usage_date]])</f>
        <v>2024</v>
      </c>
      <c r="F4369" s="14">
        <v>1.53</v>
      </c>
      <c r="G4369">
        <v>262</v>
      </c>
      <c r="H4369" t="s">
        <v>12</v>
      </c>
      <c r="I4369" t="str">
        <f t="shared" si="68"/>
        <v>Normal Usage</v>
      </c>
    </row>
    <row r="4370" spans="1:9" x14ac:dyDescent="0.3">
      <c r="A4370">
        <v>14369</v>
      </c>
      <c r="B4370">
        <v>6</v>
      </c>
      <c r="C4370" s="2">
        <v>45393</v>
      </c>
      <c r="D4370" s="2" t="str">
        <f>TEXT(Table3[[#This Row],[usage_date]],"mmmm")</f>
        <v>April</v>
      </c>
      <c r="E4370" s="9">
        <f>YEAR(Table3[[#This Row],[usage_date]])</f>
        <v>2024</v>
      </c>
      <c r="F4370" s="14">
        <v>2.25</v>
      </c>
      <c r="G4370">
        <v>69</v>
      </c>
      <c r="H4370" t="s">
        <v>12</v>
      </c>
      <c r="I4370" t="str">
        <f t="shared" si="68"/>
        <v>Normal Usage</v>
      </c>
    </row>
    <row r="4371" spans="1:9" x14ac:dyDescent="0.3">
      <c r="A4371">
        <v>14370</v>
      </c>
      <c r="B4371">
        <v>197</v>
      </c>
      <c r="C4371" s="2">
        <v>44912</v>
      </c>
      <c r="D4371" s="2" t="str">
        <f>TEXT(Table3[[#This Row],[usage_date]],"mmmm")</f>
        <v>December</v>
      </c>
      <c r="E4371" s="9">
        <f>YEAR(Table3[[#This Row],[usage_date]])</f>
        <v>2022</v>
      </c>
      <c r="F4371" s="14">
        <v>0.78</v>
      </c>
      <c r="G4371">
        <v>148</v>
      </c>
      <c r="H4371" t="s">
        <v>12</v>
      </c>
      <c r="I4371" t="str">
        <f t="shared" si="68"/>
        <v>Normal Usage</v>
      </c>
    </row>
    <row r="4372" spans="1:9" x14ac:dyDescent="0.3">
      <c r="A4372">
        <v>14371</v>
      </c>
      <c r="B4372">
        <v>470</v>
      </c>
      <c r="C4372" s="2">
        <v>44741</v>
      </c>
      <c r="D4372" s="2" t="str">
        <f>TEXT(Table3[[#This Row],[usage_date]],"mmmm")</f>
        <v>June</v>
      </c>
      <c r="E4372" s="9">
        <f>YEAR(Table3[[#This Row],[usage_date]])</f>
        <v>2022</v>
      </c>
      <c r="F4372" s="14">
        <v>2.6</v>
      </c>
      <c r="G4372">
        <v>291</v>
      </c>
      <c r="H4372" t="s">
        <v>12</v>
      </c>
      <c r="I4372" t="str">
        <f t="shared" si="68"/>
        <v>Normal Usage</v>
      </c>
    </row>
    <row r="4373" spans="1:9" x14ac:dyDescent="0.3">
      <c r="A4373">
        <v>14372</v>
      </c>
      <c r="B4373">
        <v>58</v>
      </c>
      <c r="C4373" s="2">
        <v>45363</v>
      </c>
      <c r="D4373" s="2" t="str">
        <f>TEXT(Table3[[#This Row],[usage_date]],"mmmm")</f>
        <v>March</v>
      </c>
      <c r="E4373" s="9">
        <f>YEAR(Table3[[#This Row],[usage_date]])</f>
        <v>2024</v>
      </c>
      <c r="F4373" s="14">
        <v>10.67</v>
      </c>
      <c r="G4373">
        <v>213</v>
      </c>
      <c r="H4373" t="s">
        <v>13</v>
      </c>
      <c r="I4373" t="str">
        <f t="shared" si="68"/>
        <v>High Usage</v>
      </c>
    </row>
    <row r="4374" spans="1:9" x14ac:dyDescent="0.3">
      <c r="A4374">
        <v>14373</v>
      </c>
      <c r="B4374">
        <v>305</v>
      </c>
      <c r="C4374" s="2">
        <v>45041</v>
      </c>
      <c r="D4374" s="2" t="str">
        <f>TEXT(Table3[[#This Row],[usage_date]],"mmmm")</f>
        <v>April</v>
      </c>
      <c r="E4374" s="9">
        <f>YEAR(Table3[[#This Row],[usage_date]])</f>
        <v>2023</v>
      </c>
      <c r="F4374" s="14">
        <v>0.13</v>
      </c>
      <c r="G4374">
        <v>146</v>
      </c>
      <c r="H4374" t="s">
        <v>12</v>
      </c>
      <c r="I4374" t="str">
        <f t="shared" si="68"/>
        <v>Normal Usage</v>
      </c>
    </row>
    <row r="4375" spans="1:9" x14ac:dyDescent="0.3">
      <c r="A4375">
        <v>14374</v>
      </c>
      <c r="B4375">
        <v>407</v>
      </c>
      <c r="C4375" s="2">
        <v>45450</v>
      </c>
      <c r="D4375" s="2" t="str">
        <f>TEXT(Table3[[#This Row],[usage_date]],"mmmm")</f>
        <v>June</v>
      </c>
      <c r="E4375" s="9">
        <f>YEAR(Table3[[#This Row],[usage_date]])</f>
        <v>2024</v>
      </c>
      <c r="F4375" s="14">
        <v>5.44</v>
      </c>
      <c r="G4375">
        <v>24</v>
      </c>
      <c r="H4375" t="s">
        <v>13</v>
      </c>
      <c r="I4375" t="str">
        <f t="shared" si="68"/>
        <v>Normal Usage</v>
      </c>
    </row>
    <row r="4376" spans="1:9" x14ac:dyDescent="0.3">
      <c r="A4376">
        <v>14375</v>
      </c>
      <c r="B4376">
        <v>217</v>
      </c>
      <c r="C4376" s="2">
        <v>44724</v>
      </c>
      <c r="D4376" s="2" t="str">
        <f>TEXT(Table3[[#This Row],[usage_date]],"mmmm")</f>
        <v>June</v>
      </c>
      <c r="E4376" s="9">
        <f>YEAR(Table3[[#This Row],[usage_date]])</f>
        <v>2022</v>
      </c>
      <c r="F4376" s="14">
        <v>2.0699999999999998</v>
      </c>
      <c r="G4376">
        <v>108</v>
      </c>
      <c r="H4376" t="s">
        <v>13</v>
      </c>
      <c r="I4376" t="str">
        <f t="shared" si="68"/>
        <v>Normal Usage</v>
      </c>
    </row>
    <row r="4377" spans="1:9" x14ac:dyDescent="0.3">
      <c r="A4377">
        <v>14376</v>
      </c>
      <c r="B4377">
        <v>418</v>
      </c>
      <c r="C4377" s="2">
        <v>45344</v>
      </c>
      <c r="D4377" s="2" t="str">
        <f>TEXT(Table3[[#This Row],[usage_date]],"mmmm")</f>
        <v>February</v>
      </c>
      <c r="E4377" s="9">
        <f>YEAR(Table3[[#This Row],[usage_date]])</f>
        <v>2024</v>
      </c>
      <c r="F4377" s="14">
        <v>0.73</v>
      </c>
      <c r="G4377">
        <v>180</v>
      </c>
      <c r="H4377" t="s">
        <v>12</v>
      </c>
      <c r="I4377" t="str">
        <f t="shared" si="68"/>
        <v>Normal Usage</v>
      </c>
    </row>
    <row r="4378" spans="1:9" x14ac:dyDescent="0.3">
      <c r="A4378">
        <v>14377</v>
      </c>
      <c r="B4378">
        <v>26</v>
      </c>
      <c r="C4378" s="2">
        <v>45449</v>
      </c>
      <c r="D4378" s="2" t="str">
        <f>TEXT(Table3[[#This Row],[usage_date]],"mmmm")</f>
        <v>June</v>
      </c>
      <c r="E4378" s="9">
        <f>YEAR(Table3[[#This Row],[usage_date]])</f>
        <v>2024</v>
      </c>
      <c r="F4378" s="14">
        <v>7.75</v>
      </c>
      <c r="G4378">
        <v>250</v>
      </c>
      <c r="H4378" t="s">
        <v>12</v>
      </c>
      <c r="I4378" t="str">
        <f t="shared" si="68"/>
        <v>High Usage</v>
      </c>
    </row>
    <row r="4379" spans="1:9" x14ac:dyDescent="0.3">
      <c r="A4379">
        <v>14378</v>
      </c>
      <c r="B4379">
        <v>303</v>
      </c>
      <c r="C4379" s="2">
        <v>44657</v>
      </c>
      <c r="D4379" s="2" t="str">
        <f>TEXT(Table3[[#This Row],[usage_date]],"mmmm")</f>
        <v>April</v>
      </c>
      <c r="E4379" s="9">
        <f>YEAR(Table3[[#This Row],[usage_date]])</f>
        <v>2022</v>
      </c>
      <c r="F4379" s="14">
        <v>1.65</v>
      </c>
      <c r="G4379">
        <v>202</v>
      </c>
      <c r="H4379" t="s">
        <v>12</v>
      </c>
      <c r="I4379" t="str">
        <f t="shared" si="68"/>
        <v>Normal Usage</v>
      </c>
    </row>
    <row r="4380" spans="1:9" x14ac:dyDescent="0.3">
      <c r="A4380">
        <v>14379</v>
      </c>
      <c r="B4380">
        <v>5</v>
      </c>
      <c r="C4380" s="2">
        <v>45335</v>
      </c>
      <c r="D4380" s="2" t="str">
        <f>TEXT(Table3[[#This Row],[usage_date]],"mmmm")</f>
        <v>February</v>
      </c>
      <c r="E4380" s="9">
        <f>YEAR(Table3[[#This Row],[usage_date]])</f>
        <v>2024</v>
      </c>
      <c r="F4380" s="14">
        <v>1.01</v>
      </c>
      <c r="G4380">
        <v>169</v>
      </c>
      <c r="H4380" t="s">
        <v>12</v>
      </c>
      <c r="I4380" t="str">
        <f t="shared" si="68"/>
        <v>Normal Usage</v>
      </c>
    </row>
    <row r="4381" spans="1:9" x14ac:dyDescent="0.3">
      <c r="A4381">
        <v>14380</v>
      </c>
      <c r="B4381">
        <v>474</v>
      </c>
      <c r="C4381" s="2">
        <v>45071</v>
      </c>
      <c r="D4381" s="2" t="str">
        <f>TEXT(Table3[[#This Row],[usage_date]],"mmmm")</f>
        <v>May</v>
      </c>
      <c r="E4381" s="9">
        <f>YEAR(Table3[[#This Row],[usage_date]])</f>
        <v>2023</v>
      </c>
      <c r="F4381" s="14">
        <v>0.5</v>
      </c>
      <c r="G4381">
        <v>174</v>
      </c>
      <c r="H4381" t="s">
        <v>12</v>
      </c>
      <c r="I4381" t="str">
        <f t="shared" si="68"/>
        <v>Normal Usage</v>
      </c>
    </row>
    <row r="4382" spans="1:9" x14ac:dyDescent="0.3">
      <c r="A4382">
        <v>14381</v>
      </c>
      <c r="B4382">
        <v>20</v>
      </c>
      <c r="C4382" s="2">
        <v>44926</v>
      </c>
      <c r="D4382" s="2" t="str">
        <f>TEXT(Table3[[#This Row],[usage_date]],"mmmm")</f>
        <v>December</v>
      </c>
      <c r="E4382" s="9">
        <f>YEAR(Table3[[#This Row],[usage_date]])</f>
        <v>2022</v>
      </c>
      <c r="F4382" s="14">
        <v>0.7</v>
      </c>
      <c r="G4382">
        <v>169</v>
      </c>
      <c r="H4382" t="s">
        <v>13</v>
      </c>
      <c r="I4382" t="str">
        <f t="shared" si="68"/>
        <v>Normal Usage</v>
      </c>
    </row>
    <row r="4383" spans="1:9" x14ac:dyDescent="0.3">
      <c r="A4383">
        <v>14382</v>
      </c>
      <c r="B4383">
        <v>390</v>
      </c>
      <c r="C4383" s="2">
        <v>44914</v>
      </c>
      <c r="D4383" s="2" t="str">
        <f>TEXT(Table3[[#This Row],[usage_date]],"mmmm")</f>
        <v>December</v>
      </c>
      <c r="E4383" s="9">
        <f>YEAR(Table3[[#This Row],[usage_date]])</f>
        <v>2022</v>
      </c>
      <c r="F4383" s="14">
        <v>4.47</v>
      </c>
      <c r="G4383">
        <v>1</v>
      </c>
      <c r="H4383" t="s">
        <v>13</v>
      </c>
      <c r="I4383" t="str">
        <f t="shared" si="68"/>
        <v>Normal Usage</v>
      </c>
    </row>
    <row r="4384" spans="1:9" x14ac:dyDescent="0.3">
      <c r="A4384">
        <v>14383</v>
      </c>
      <c r="B4384">
        <v>198</v>
      </c>
      <c r="C4384" s="2">
        <v>45361</v>
      </c>
      <c r="D4384" s="2" t="str">
        <f>TEXT(Table3[[#This Row],[usage_date]],"mmmm")</f>
        <v>March</v>
      </c>
      <c r="E4384" s="9">
        <f>YEAR(Table3[[#This Row],[usage_date]])</f>
        <v>2024</v>
      </c>
      <c r="F4384" s="14">
        <v>2.38</v>
      </c>
      <c r="G4384">
        <v>133</v>
      </c>
      <c r="H4384" t="s">
        <v>12</v>
      </c>
      <c r="I4384" t="str">
        <f t="shared" si="68"/>
        <v>Normal Usage</v>
      </c>
    </row>
    <row r="4385" spans="1:9" x14ac:dyDescent="0.3">
      <c r="A4385">
        <v>14384</v>
      </c>
      <c r="B4385">
        <v>59</v>
      </c>
      <c r="C4385" s="2">
        <v>44997</v>
      </c>
      <c r="D4385" s="2" t="str">
        <f>TEXT(Table3[[#This Row],[usage_date]],"mmmm")</f>
        <v>March</v>
      </c>
      <c r="E4385" s="9">
        <f>YEAR(Table3[[#This Row],[usage_date]])</f>
        <v>2023</v>
      </c>
      <c r="F4385" s="14">
        <v>6.11</v>
      </c>
      <c r="G4385">
        <v>126</v>
      </c>
      <c r="H4385" t="s">
        <v>12</v>
      </c>
      <c r="I4385" t="str">
        <f t="shared" si="68"/>
        <v>High Usage</v>
      </c>
    </row>
    <row r="4386" spans="1:9" x14ac:dyDescent="0.3">
      <c r="A4386">
        <v>14385</v>
      </c>
      <c r="B4386">
        <v>448</v>
      </c>
      <c r="C4386" s="2">
        <v>44644</v>
      </c>
      <c r="D4386" s="2" t="str">
        <f>TEXT(Table3[[#This Row],[usage_date]],"mmmm")</f>
        <v>March</v>
      </c>
      <c r="E4386" s="9">
        <f>YEAR(Table3[[#This Row],[usage_date]])</f>
        <v>2022</v>
      </c>
      <c r="F4386" s="14">
        <v>0.66</v>
      </c>
      <c r="G4386">
        <v>45</v>
      </c>
      <c r="H4386" t="s">
        <v>12</v>
      </c>
      <c r="I4386" t="str">
        <f t="shared" si="68"/>
        <v>Normal Usage</v>
      </c>
    </row>
    <row r="4387" spans="1:9" x14ac:dyDescent="0.3">
      <c r="A4387">
        <v>14386</v>
      </c>
      <c r="B4387">
        <v>242</v>
      </c>
      <c r="C4387" s="2">
        <v>44786</v>
      </c>
      <c r="D4387" s="2" t="str">
        <f>TEXT(Table3[[#This Row],[usage_date]],"mmmm")</f>
        <v>August</v>
      </c>
      <c r="E4387" s="9">
        <f>YEAR(Table3[[#This Row],[usage_date]])</f>
        <v>2022</v>
      </c>
      <c r="F4387" s="14">
        <v>0.32</v>
      </c>
      <c r="G4387">
        <v>193</v>
      </c>
      <c r="H4387" t="s">
        <v>12</v>
      </c>
      <c r="I4387" t="str">
        <f t="shared" si="68"/>
        <v>Normal Usage</v>
      </c>
    </row>
    <row r="4388" spans="1:9" x14ac:dyDescent="0.3">
      <c r="A4388">
        <v>14387</v>
      </c>
      <c r="B4388">
        <v>146</v>
      </c>
      <c r="C4388" s="2">
        <v>44973</v>
      </c>
      <c r="D4388" s="2" t="str">
        <f>TEXT(Table3[[#This Row],[usage_date]],"mmmm")</f>
        <v>February</v>
      </c>
      <c r="E4388" s="9">
        <f>YEAR(Table3[[#This Row],[usage_date]])</f>
        <v>2023</v>
      </c>
      <c r="F4388" s="14">
        <v>0.02</v>
      </c>
      <c r="G4388">
        <v>208</v>
      </c>
      <c r="H4388" t="s">
        <v>13</v>
      </c>
      <c r="I4388" t="str">
        <f t="shared" si="68"/>
        <v>Normal Usage</v>
      </c>
    </row>
    <row r="4389" spans="1:9" x14ac:dyDescent="0.3">
      <c r="A4389">
        <v>14388</v>
      </c>
      <c r="B4389">
        <v>388</v>
      </c>
      <c r="C4389" s="2">
        <v>45296</v>
      </c>
      <c r="D4389" s="2" t="str">
        <f>TEXT(Table3[[#This Row],[usage_date]],"mmmm")</f>
        <v>January</v>
      </c>
      <c r="E4389" s="9">
        <f>YEAR(Table3[[#This Row],[usage_date]])</f>
        <v>2024</v>
      </c>
      <c r="F4389" s="14">
        <v>1.77</v>
      </c>
      <c r="G4389">
        <v>295</v>
      </c>
      <c r="H4389" t="s">
        <v>13</v>
      </c>
      <c r="I4389" t="str">
        <f t="shared" si="68"/>
        <v>Normal Usage</v>
      </c>
    </row>
    <row r="4390" spans="1:9" x14ac:dyDescent="0.3">
      <c r="A4390">
        <v>14389</v>
      </c>
      <c r="B4390">
        <v>273</v>
      </c>
      <c r="C4390" s="2">
        <v>44679</v>
      </c>
      <c r="D4390" s="2" t="str">
        <f>TEXT(Table3[[#This Row],[usage_date]],"mmmm")</f>
        <v>April</v>
      </c>
      <c r="E4390" s="9">
        <f>YEAR(Table3[[#This Row],[usage_date]])</f>
        <v>2022</v>
      </c>
      <c r="F4390" s="14">
        <v>15.95</v>
      </c>
      <c r="G4390">
        <v>57</v>
      </c>
      <c r="H4390" t="s">
        <v>12</v>
      </c>
      <c r="I4390" t="str">
        <f t="shared" si="68"/>
        <v>High Usage</v>
      </c>
    </row>
    <row r="4391" spans="1:9" x14ac:dyDescent="0.3">
      <c r="A4391">
        <v>14390</v>
      </c>
      <c r="B4391">
        <v>249</v>
      </c>
      <c r="C4391" s="2">
        <v>45043</v>
      </c>
      <c r="D4391" s="2" t="str">
        <f>TEXT(Table3[[#This Row],[usage_date]],"mmmm")</f>
        <v>April</v>
      </c>
      <c r="E4391" s="9">
        <f>YEAR(Table3[[#This Row],[usage_date]])</f>
        <v>2023</v>
      </c>
      <c r="F4391" s="14">
        <v>2.97</v>
      </c>
      <c r="G4391">
        <v>77</v>
      </c>
      <c r="H4391" t="s">
        <v>12</v>
      </c>
      <c r="I4391" t="str">
        <f t="shared" si="68"/>
        <v>Normal Usage</v>
      </c>
    </row>
    <row r="4392" spans="1:9" x14ac:dyDescent="0.3">
      <c r="A4392">
        <v>14391</v>
      </c>
      <c r="B4392">
        <v>14</v>
      </c>
      <c r="C4392" s="2">
        <v>44753</v>
      </c>
      <c r="D4392" s="2" t="str">
        <f>TEXT(Table3[[#This Row],[usage_date]],"mmmm")</f>
        <v>July</v>
      </c>
      <c r="E4392" s="9">
        <f>YEAR(Table3[[#This Row],[usage_date]])</f>
        <v>2022</v>
      </c>
      <c r="F4392" s="14">
        <v>0.92</v>
      </c>
      <c r="G4392">
        <v>201</v>
      </c>
      <c r="H4392" t="s">
        <v>12</v>
      </c>
      <c r="I4392" t="str">
        <f t="shared" si="68"/>
        <v>Normal Usage</v>
      </c>
    </row>
    <row r="4393" spans="1:9" x14ac:dyDescent="0.3">
      <c r="A4393">
        <v>14392</v>
      </c>
      <c r="B4393">
        <v>462</v>
      </c>
      <c r="C4393" s="2">
        <v>45152</v>
      </c>
      <c r="D4393" s="2" t="str">
        <f>TEXT(Table3[[#This Row],[usage_date]],"mmmm")</f>
        <v>August</v>
      </c>
      <c r="E4393" s="9">
        <f>YEAR(Table3[[#This Row],[usage_date]])</f>
        <v>2023</v>
      </c>
      <c r="F4393" s="14">
        <v>5.24</v>
      </c>
      <c r="G4393">
        <v>288</v>
      </c>
      <c r="H4393" t="s">
        <v>12</v>
      </c>
      <c r="I4393" t="str">
        <f t="shared" si="68"/>
        <v>Normal Usage</v>
      </c>
    </row>
    <row r="4394" spans="1:9" x14ac:dyDescent="0.3">
      <c r="A4394">
        <v>14393</v>
      </c>
      <c r="B4394">
        <v>13</v>
      </c>
      <c r="C4394" s="2">
        <v>45151</v>
      </c>
      <c r="D4394" s="2" t="str">
        <f>TEXT(Table3[[#This Row],[usage_date]],"mmmm")</f>
        <v>August</v>
      </c>
      <c r="E4394" s="9">
        <f>YEAR(Table3[[#This Row],[usage_date]])</f>
        <v>2023</v>
      </c>
      <c r="F4394" s="14">
        <v>3.8</v>
      </c>
      <c r="G4394">
        <v>61</v>
      </c>
      <c r="H4394" t="s">
        <v>12</v>
      </c>
      <c r="I4394" t="str">
        <f t="shared" si="68"/>
        <v>Normal Usage</v>
      </c>
    </row>
    <row r="4395" spans="1:9" x14ac:dyDescent="0.3">
      <c r="A4395">
        <v>14394</v>
      </c>
      <c r="B4395">
        <v>391</v>
      </c>
      <c r="C4395" s="2">
        <v>45220</v>
      </c>
      <c r="D4395" s="2" t="str">
        <f>TEXT(Table3[[#This Row],[usage_date]],"mmmm")</f>
        <v>October</v>
      </c>
      <c r="E4395" s="9">
        <f>YEAR(Table3[[#This Row],[usage_date]])</f>
        <v>2023</v>
      </c>
      <c r="F4395" s="14">
        <v>0.04</v>
      </c>
      <c r="G4395">
        <v>267</v>
      </c>
      <c r="H4395" t="s">
        <v>12</v>
      </c>
      <c r="I4395" t="str">
        <f t="shared" si="68"/>
        <v>Normal Usage</v>
      </c>
    </row>
    <row r="4396" spans="1:9" x14ac:dyDescent="0.3">
      <c r="A4396">
        <v>14395</v>
      </c>
      <c r="B4396">
        <v>384</v>
      </c>
      <c r="C4396" s="2">
        <v>44668</v>
      </c>
      <c r="D4396" s="2" t="str">
        <f>TEXT(Table3[[#This Row],[usage_date]],"mmmm")</f>
        <v>April</v>
      </c>
      <c r="E4396" s="9">
        <f>YEAR(Table3[[#This Row],[usage_date]])</f>
        <v>2022</v>
      </c>
      <c r="F4396" s="14">
        <v>4.24</v>
      </c>
      <c r="G4396">
        <v>125</v>
      </c>
      <c r="H4396" t="s">
        <v>12</v>
      </c>
      <c r="I4396" t="str">
        <f t="shared" si="68"/>
        <v>Normal Usage</v>
      </c>
    </row>
    <row r="4397" spans="1:9" x14ac:dyDescent="0.3">
      <c r="A4397">
        <v>14396</v>
      </c>
      <c r="B4397">
        <v>44</v>
      </c>
      <c r="C4397" s="2">
        <v>44943</v>
      </c>
      <c r="D4397" s="2" t="str">
        <f>TEXT(Table3[[#This Row],[usage_date]],"mmmm")</f>
        <v>January</v>
      </c>
      <c r="E4397" s="9">
        <f>YEAR(Table3[[#This Row],[usage_date]])</f>
        <v>2023</v>
      </c>
      <c r="F4397" s="14">
        <v>0.89</v>
      </c>
      <c r="G4397">
        <v>48</v>
      </c>
      <c r="H4397" t="s">
        <v>12</v>
      </c>
      <c r="I4397" t="str">
        <f t="shared" si="68"/>
        <v>Normal Usage</v>
      </c>
    </row>
    <row r="4398" spans="1:9" x14ac:dyDescent="0.3">
      <c r="A4398">
        <v>14397</v>
      </c>
      <c r="B4398">
        <v>375</v>
      </c>
      <c r="C4398" s="2">
        <v>45344</v>
      </c>
      <c r="D4398" s="2" t="str">
        <f>TEXT(Table3[[#This Row],[usage_date]],"mmmm")</f>
        <v>February</v>
      </c>
      <c r="E4398" s="9">
        <f>YEAR(Table3[[#This Row],[usage_date]])</f>
        <v>2024</v>
      </c>
      <c r="F4398" s="14">
        <v>0.41</v>
      </c>
      <c r="G4398">
        <v>87</v>
      </c>
      <c r="H4398" t="s">
        <v>12</v>
      </c>
      <c r="I4398" t="str">
        <f t="shared" si="68"/>
        <v>Normal Usage</v>
      </c>
    </row>
    <row r="4399" spans="1:9" x14ac:dyDescent="0.3">
      <c r="A4399">
        <v>14398</v>
      </c>
      <c r="B4399">
        <v>399</v>
      </c>
      <c r="C4399" s="2">
        <v>44951</v>
      </c>
      <c r="D4399" s="2" t="str">
        <f>TEXT(Table3[[#This Row],[usage_date]],"mmmm")</f>
        <v>January</v>
      </c>
      <c r="E4399" s="9">
        <f>YEAR(Table3[[#This Row],[usage_date]])</f>
        <v>2023</v>
      </c>
      <c r="F4399" s="14">
        <v>0.64</v>
      </c>
      <c r="G4399">
        <v>260</v>
      </c>
      <c r="H4399" t="s">
        <v>12</v>
      </c>
      <c r="I4399" t="str">
        <f t="shared" si="68"/>
        <v>Normal Usage</v>
      </c>
    </row>
    <row r="4400" spans="1:9" x14ac:dyDescent="0.3">
      <c r="A4400">
        <v>14399</v>
      </c>
      <c r="B4400">
        <v>19</v>
      </c>
      <c r="C4400" s="2">
        <v>44805</v>
      </c>
      <c r="D4400" s="2" t="str">
        <f>TEXT(Table3[[#This Row],[usage_date]],"mmmm")</f>
        <v>September</v>
      </c>
      <c r="E4400" s="9">
        <f>YEAR(Table3[[#This Row],[usage_date]])</f>
        <v>2022</v>
      </c>
      <c r="F4400" s="14">
        <v>1.58</v>
      </c>
      <c r="G4400">
        <v>178</v>
      </c>
      <c r="H4400" t="s">
        <v>12</v>
      </c>
      <c r="I4400" t="str">
        <f t="shared" si="68"/>
        <v>Normal Usage</v>
      </c>
    </row>
    <row r="4401" spans="1:9" x14ac:dyDescent="0.3">
      <c r="A4401">
        <v>14400</v>
      </c>
      <c r="B4401">
        <v>63</v>
      </c>
      <c r="C4401" s="2">
        <v>45146</v>
      </c>
      <c r="D4401" s="2" t="str">
        <f>TEXT(Table3[[#This Row],[usage_date]],"mmmm")</f>
        <v>August</v>
      </c>
      <c r="E4401" s="9">
        <f>YEAR(Table3[[#This Row],[usage_date]])</f>
        <v>2023</v>
      </c>
      <c r="F4401" s="14">
        <v>1.38</v>
      </c>
      <c r="G4401">
        <v>68</v>
      </c>
      <c r="H4401" t="s">
        <v>12</v>
      </c>
      <c r="I4401" t="str">
        <f t="shared" si="68"/>
        <v>Normal Usage</v>
      </c>
    </row>
    <row r="4402" spans="1:9" x14ac:dyDescent="0.3">
      <c r="A4402">
        <v>14401</v>
      </c>
      <c r="B4402">
        <v>491</v>
      </c>
      <c r="C4402" s="2">
        <v>45430</v>
      </c>
      <c r="D4402" s="2" t="str">
        <f>TEXT(Table3[[#This Row],[usage_date]],"mmmm")</f>
        <v>May</v>
      </c>
      <c r="E4402" s="9">
        <f>YEAR(Table3[[#This Row],[usage_date]])</f>
        <v>2024</v>
      </c>
      <c r="F4402" s="14">
        <v>0.85</v>
      </c>
      <c r="G4402">
        <v>59</v>
      </c>
      <c r="H4402" t="s">
        <v>12</v>
      </c>
      <c r="I4402" t="str">
        <f t="shared" si="68"/>
        <v>Normal Usage</v>
      </c>
    </row>
    <row r="4403" spans="1:9" x14ac:dyDescent="0.3">
      <c r="A4403">
        <v>14402</v>
      </c>
      <c r="B4403">
        <v>239</v>
      </c>
      <c r="C4403" s="2">
        <v>45029</v>
      </c>
      <c r="D4403" s="2" t="str">
        <f>TEXT(Table3[[#This Row],[usage_date]],"mmmm")</f>
        <v>April</v>
      </c>
      <c r="E4403" s="9">
        <f>YEAR(Table3[[#This Row],[usage_date]])</f>
        <v>2023</v>
      </c>
      <c r="F4403" s="14">
        <v>0.47</v>
      </c>
      <c r="G4403">
        <v>248</v>
      </c>
      <c r="H4403" t="s">
        <v>12</v>
      </c>
      <c r="I4403" t="str">
        <f t="shared" si="68"/>
        <v>Normal Usage</v>
      </c>
    </row>
    <row r="4404" spans="1:9" x14ac:dyDescent="0.3">
      <c r="A4404">
        <v>14403</v>
      </c>
      <c r="B4404">
        <v>492</v>
      </c>
      <c r="C4404" s="2">
        <v>45427</v>
      </c>
      <c r="D4404" s="2" t="str">
        <f>TEXT(Table3[[#This Row],[usage_date]],"mmmm")</f>
        <v>May</v>
      </c>
      <c r="E4404" s="9">
        <f>YEAR(Table3[[#This Row],[usage_date]])</f>
        <v>2024</v>
      </c>
      <c r="F4404" s="14">
        <v>3.59</v>
      </c>
      <c r="G4404">
        <v>168</v>
      </c>
      <c r="H4404" t="s">
        <v>13</v>
      </c>
      <c r="I4404" t="str">
        <f t="shared" si="68"/>
        <v>Normal Usage</v>
      </c>
    </row>
    <row r="4405" spans="1:9" x14ac:dyDescent="0.3">
      <c r="A4405">
        <v>14404</v>
      </c>
      <c r="B4405">
        <v>419</v>
      </c>
      <c r="C4405" s="2">
        <v>45099</v>
      </c>
      <c r="D4405" s="2" t="str">
        <f>TEXT(Table3[[#This Row],[usage_date]],"mmmm")</f>
        <v>June</v>
      </c>
      <c r="E4405" s="9">
        <f>YEAR(Table3[[#This Row],[usage_date]])</f>
        <v>2023</v>
      </c>
      <c r="F4405" s="14">
        <v>11.54</v>
      </c>
      <c r="G4405">
        <v>268</v>
      </c>
      <c r="H4405" t="s">
        <v>12</v>
      </c>
      <c r="I4405" t="str">
        <f t="shared" si="68"/>
        <v>High Usage</v>
      </c>
    </row>
    <row r="4406" spans="1:9" x14ac:dyDescent="0.3">
      <c r="A4406">
        <v>14405</v>
      </c>
      <c r="B4406">
        <v>337</v>
      </c>
      <c r="C4406" s="2">
        <v>44771</v>
      </c>
      <c r="D4406" s="2" t="str">
        <f>TEXT(Table3[[#This Row],[usage_date]],"mmmm")</f>
        <v>July</v>
      </c>
      <c r="E4406" s="9">
        <f>YEAR(Table3[[#This Row],[usage_date]])</f>
        <v>2022</v>
      </c>
      <c r="F4406" s="14">
        <v>3.76</v>
      </c>
      <c r="G4406">
        <v>111</v>
      </c>
      <c r="H4406" t="s">
        <v>12</v>
      </c>
      <c r="I4406" t="str">
        <f t="shared" si="68"/>
        <v>Normal Usage</v>
      </c>
    </row>
    <row r="4407" spans="1:9" x14ac:dyDescent="0.3">
      <c r="A4407">
        <v>14406</v>
      </c>
      <c r="B4407">
        <v>419</v>
      </c>
      <c r="C4407" s="2">
        <v>45165</v>
      </c>
      <c r="D4407" s="2" t="str">
        <f>TEXT(Table3[[#This Row],[usage_date]],"mmmm")</f>
        <v>August</v>
      </c>
      <c r="E4407" s="9">
        <f>YEAR(Table3[[#This Row],[usage_date]])</f>
        <v>2023</v>
      </c>
      <c r="F4407" s="14">
        <v>0.88</v>
      </c>
      <c r="G4407">
        <v>99</v>
      </c>
      <c r="H4407" t="s">
        <v>13</v>
      </c>
      <c r="I4407" t="str">
        <f t="shared" si="68"/>
        <v>Normal Usage</v>
      </c>
    </row>
    <row r="4408" spans="1:9" x14ac:dyDescent="0.3">
      <c r="A4408">
        <v>14407</v>
      </c>
      <c r="B4408">
        <v>403</v>
      </c>
      <c r="C4408" s="2">
        <v>45198</v>
      </c>
      <c r="D4408" s="2" t="str">
        <f>TEXT(Table3[[#This Row],[usage_date]],"mmmm")</f>
        <v>September</v>
      </c>
      <c r="E4408" s="9">
        <f>YEAR(Table3[[#This Row],[usage_date]])</f>
        <v>2023</v>
      </c>
      <c r="F4408" s="14">
        <v>0.7</v>
      </c>
      <c r="G4408">
        <v>214</v>
      </c>
      <c r="H4408" t="s">
        <v>12</v>
      </c>
      <c r="I4408" t="str">
        <f t="shared" si="68"/>
        <v>Normal Usage</v>
      </c>
    </row>
    <row r="4409" spans="1:9" x14ac:dyDescent="0.3">
      <c r="A4409">
        <v>14408</v>
      </c>
      <c r="B4409">
        <v>404</v>
      </c>
      <c r="C4409" s="2">
        <v>44634</v>
      </c>
      <c r="D4409" s="2" t="str">
        <f>TEXT(Table3[[#This Row],[usage_date]],"mmmm")</f>
        <v>March</v>
      </c>
      <c r="E4409" s="9">
        <f>YEAR(Table3[[#This Row],[usage_date]])</f>
        <v>2022</v>
      </c>
      <c r="F4409" s="14">
        <v>0.61</v>
      </c>
      <c r="G4409">
        <v>112</v>
      </c>
      <c r="H4409" t="s">
        <v>13</v>
      </c>
      <c r="I4409" t="str">
        <f t="shared" si="68"/>
        <v>Normal Usage</v>
      </c>
    </row>
    <row r="4410" spans="1:9" x14ac:dyDescent="0.3">
      <c r="A4410">
        <v>14409</v>
      </c>
      <c r="B4410">
        <v>100</v>
      </c>
      <c r="C4410" s="2">
        <v>45196</v>
      </c>
      <c r="D4410" s="2" t="str">
        <f>TEXT(Table3[[#This Row],[usage_date]],"mmmm")</f>
        <v>September</v>
      </c>
      <c r="E4410" s="9">
        <f>YEAR(Table3[[#This Row],[usage_date]])</f>
        <v>2023</v>
      </c>
      <c r="F4410" s="14">
        <v>0.37</v>
      </c>
      <c r="G4410">
        <v>96</v>
      </c>
      <c r="H4410" t="s">
        <v>12</v>
      </c>
      <c r="I4410" t="str">
        <f t="shared" si="68"/>
        <v>Normal Usage</v>
      </c>
    </row>
    <row r="4411" spans="1:9" x14ac:dyDescent="0.3">
      <c r="A4411">
        <v>14410</v>
      </c>
      <c r="B4411">
        <v>163</v>
      </c>
      <c r="C4411" s="2">
        <v>44870</v>
      </c>
      <c r="D4411" s="2" t="str">
        <f>TEXT(Table3[[#This Row],[usage_date]],"mmmm")</f>
        <v>November</v>
      </c>
      <c r="E4411" s="9">
        <f>YEAR(Table3[[#This Row],[usage_date]])</f>
        <v>2022</v>
      </c>
      <c r="F4411" s="14">
        <v>2</v>
      </c>
      <c r="G4411">
        <v>117</v>
      </c>
      <c r="H4411" t="s">
        <v>12</v>
      </c>
      <c r="I4411" t="str">
        <f t="shared" si="68"/>
        <v>Normal Usage</v>
      </c>
    </row>
    <row r="4412" spans="1:9" x14ac:dyDescent="0.3">
      <c r="A4412">
        <v>14411</v>
      </c>
      <c r="B4412">
        <v>416</v>
      </c>
      <c r="C4412" s="2">
        <v>45257</v>
      </c>
      <c r="D4412" s="2" t="str">
        <f>TEXT(Table3[[#This Row],[usage_date]],"mmmm")</f>
        <v>November</v>
      </c>
      <c r="E4412" s="9">
        <f>YEAR(Table3[[#This Row],[usage_date]])</f>
        <v>2023</v>
      </c>
      <c r="F4412" s="14">
        <v>2.3199999999999998</v>
      </c>
      <c r="G4412">
        <v>35</v>
      </c>
      <c r="H4412" t="s">
        <v>12</v>
      </c>
      <c r="I4412" t="str">
        <f t="shared" si="68"/>
        <v>Normal Usage</v>
      </c>
    </row>
    <row r="4413" spans="1:9" x14ac:dyDescent="0.3">
      <c r="A4413">
        <v>14412</v>
      </c>
      <c r="B4413">
        <v>122</v>
      </c>
      <c r="C4413" s="2">
        <v>45260</v>
      </c>
      <c r="D4413" s="2" t="str">
        <f>TEXT(Table3[[#This Row],[usage_date]],"mmmm")</f>
        <v>November</v>
      </c>
      <c r="E4413" s="9">
        <f>YEAR(Table3[[#This Row],[usage_date]])</f>
        <v>2023</v>
      </c>
      <c r="F4413" s="14">
        <v>3.06</v>
      </c>
      <c r="G4413">
        <v>289</v>
      </c>
      <c r="H4413" t="s">
        <v>12</v>
      </c>
      <c r="I4413" t="str">
        <f t="shared" si="68"/>
        <v>Normal Usage</v>
      </c>
    </row>
    <row r="4414" spans="1:9" x14ac:dyDescent="0.3">
      <c r="A4414">
        <v>14413</v>
      </c>
      <c r="B4414">
        <v>432</v>
      </c>
      <c r="C4414" s="2">
        <v>45271</v>
      </c>
      <c r="D4414" s="2" t="str">
        <f>TEXT(Table3[[#This Row],[usage_date]],"mmmm")</f>
        <v>December</v>
      </c>
      <c r="E4414" s="9">
        <f>YEAR(Table3[[#This Row],[usage_date]])</f>
        <v>2023</v>
      </c>
      <c r="F4414" s="14">
        <v>2.85</v>
      </c>
      <c r="G4414">
        <v>123</v>
      </c>
      <c r="H4414" t="s">
        <v>12</v>
      </c>
      <c r="I4414" t="str">
        <f t="shared" si="68"/>
        <v>Normal Usage</v>
      </c>
    </row>
    <row r="4415" spans="1:9" x14ac:dyDescent="0.3">
      <c r="A4415">
        <v>14414</v>
      </c>
      <c r="B4415">
        <v>44</v>
      </c>
      <c r="C4415" s="2">
        <v>45151</v>
      </c>
      <c r="D4415" s="2" t="str">
        <f>TEXT(Table3[[#This Row],[usage_date]],"mmmm")</f>
        <v>August</v>
      </c>
      <c r="E4415" s="9">
        <f>YEAR(Table3[[#This Row],[usage_date]])</f>
        <v>2023</v>
      </c>
      <c r="F4415" s="14">
        <v>0.86</v>
      </c>
      <c r="G4415">
        <v>39</v>
      </c>
      <c r="H4415" t="s">
        <v>12</v>
      </c>
      <c r="I4415" t="str">
        <f t="shared" si="68"/>
        <v>Normal Usage</v>
      </c>
    </row>
    <row r="4416" spans="1:9" x14ac:dyDescent="0.3">
      <c r="A4416">
        <v>14415</v>
      </c>
      <c r="B4416">
        <v>360</v>
      </c>
      <c r="C4416" s="2">
        <v>45421</v>
      </c>
      <c r="D4416" s="2" t="str">
        <f>TEXT(Table3[[#This Row],[usage_date]],"mmmm")</f>
        <v>May</v>
      </c>
      <c r="E4416" s="9">
        <f>YEAR(Table3[[#This Row],[usage_date]])</f>
        <v>2024</v>
      </c>
      <c r="F4416" s="14">
        <v>1</v>
      </c>
      <c r="G4416">
        <v>140</v>
      </c>
      <c r="H4416" t="s">
        <v>13</v>
      </c>
      <c r="I4416" t="str">
        <f t="shared" si="68"/>
        <v>Normal Usage</v>
      </c>
    </row>
    <row r="4417" spans="1:9" x14ac:dyDescent="0.3">
      <c r="A4417">
        <v>14416</v>
      </c>
      <c r="B4417">
        <v>408</v>
      </c>
      <c r="C4417" s="2">
        <v>44747</v>
      </c>
      <c r="D4417" s="2" t="str">
        <f>TEXT(Table3[[#This Row],[usage_date]],"mmmm")</f>
        <v>July</v>
      </c>
      <c r="E4417" s="9">
        <f>YEAR(Table3[[#This Row],[usage_date]])</f>
        <v>2022</v>
      </c>
      <c r="F4417" s="14">
        <v>2.86</v>
      </c>
      <c r="G4417">
        <v>25</v>
      </c>
      <c r="H4417" t="s">
        <v>12</v>
      </c>
      <c r="I4417" t="str">
        <f t="shared" si="68"/>
        <v>Normal Usage</v>
      </c>
    </row>
    <row r="4418" spans="1:9" x14ac:dyDescent="0.3">
      <c r="A4418">
        <v>14417</v>
      </c>
      <c r="B4418">
        <v>317</v>
      </c>
      <c r="C4418" s="2">
        <v>45417</v>
      </c>
      <c r="D4418" s="2" t="str">
        <f>TEXT(Table3[[#This Row],[usage_date]],"mmmm")</f>
        <v>May</v>
      </c>
      <c r="E4418" s="9">
        <f>YEAR(Table3[[#This Row],[usage_date]])</f>
        <v>2024</v>
      </c>
      <c r="F4418" s="14">
        <v>1.07</v>
      </c>
      <c r="G4418">
        <v>141</v>
      </c>
      <c r="H4418" t="s">
        <v>12</v>
      </c>
      <c r="I4418" t="str">
        <f t="shared" ref="I4418:I4481" si="69">IF(F4418&gt;6,"High Usage","Normal Usage")</f>
        <v>Normal Usage</v>
      </c>
    </row>
    <row r="4419" spans="1:9" x14ac:dyDescent="0.3">
      <c r="A4419">
        <v>14418</v>
      </c>
      <c r="B4419">
        <v>381</v>
      </c>
      <c r="C4419" s="2">
        <v>44814</v>
      </c>
      <c r="D4419" s="2" t="str">
        <f>TEXT(Table3[[#This Row],[usage_date]],"mmmm")</f>
        <v>September</v>
      </c>
      <c r="E4419" s="9">
        <f>YEAR(Table3[[#This Row],[usage_date]])</f>
        <v>2022</v>
      </c>
      <c r="F4419" s="14">
        <v>0.6</v>
      </c>
      <c r="G4419">
        <v>56</v>
      </c>
      <c r="H4419" t="s">
        <v>12</v>
      </c>
      <c r="I4419" t="str">
        <f t="shared" si="69"/>
        <v>Normal Usage</v>
      </c>
    </row>
    <row r="4420" spans="1:9" x14ac:dyDescent="0.3">
      <c r="A4420">
        <v>14419</v>
      </c>
      <c r="B4420">
        <v>145</v>
      </c>
      <c r="C4420" s="2">
        <v>44574</v>
      </c>
      <c r="D4420" s="2" t="str">
        <f>TEXT(Table3[[#This Row],[usage_date]],"mmmm")</f>
        <v>January</v>
      </c>
      <c r="E4420" s="9">
        <f>YEAR(Table3[[#This Row],[usage_date]])</f>
        <v>2022</v>
      </c>
      <c r="F4420" s="14">
        <v>1.17</v>
      </c>
      <c r="G4420">
        <v>149</v>
      </c>
      <c r="H4420" t="s">
        <v>13</v>
      </c>
      <c r="I4420" t="str">
        <f t="shared" si="69"/>
        <v>Normal Usage</v>
      </c>
    </row>
    <row r="4421" spans="1:9" x14ac:dyDescent="0.3">
      <c r="A4421">
        <v>14420</v>
      </c>
      <c r="B4421">
        <v>327</v>
      </c>
      <c r="C4421" s="2">
        <v>44860</v>
      </c>
      <c r="D4421" s="2" t="str">
        <f>TEXT(Table3[[#This Row],[usage_date]],"mmmm")</f>
        <v>October</v>
      </c>
      <c r="E4421" s="9">
        <f>YEAR(Table3[[#This Row],[usage_date]])</f>
        <v>2022</v>
      </c>
      <c r="F4421" s="14">
        <v>0.79</v>
      </c>
      <c r="G4421">
        <v>204</v>
      </c>
      <c r="H4421" t="s">
        <v>13</v>
      </c>
      <c r="I4421" t="str">
        <f t="shared" si="69"/>
        <v>Normal Usage</v>
      </c>
    </row>
    <row r="4422" spans="1:9" x14ac:dyDescent="0.3">
      <c r="A4422">
        <v>14421</v>
      </c>
      <c r="B4422">
        <v>363</v>
      </c>
      <c r="C4422" s="2">
        <v>44637</v>
      </c>
      <c r="D4422" s="2" t="str">
        <f>TEXT(Table3[[#This Row],[usage_date]],"mmmm")</f>
        <v>March</v>
      </c>
      <c r="E4422" s="9">
        <f>YEAR(Table3[[#This Row],[usage_date]])</f>
        <v>2022</v>
      </c>
      <c r="F4422" s="14">
        <v>0.23</v>
      </c>
      <c r="G4422">
        <v>75</v>
      </c>
      <c r="H4422" t="s">
        <v>13</v>
      </c>
      <c r="I4422" t="str">
        <f t="shared" si="69"/>
        <v>Normal Usage</v>
      </c>
    </row>
    <row r="4423" spans="1:9" x14ac:dyDescent="0.3">
      <c r="A4423">
        <v>14422</v>
      </c>
      <c r="B4423">
        <v>50</v>
      </c>
      <c r="C4423" s="2">
        <v>44612</v>
      </c>
      <c r="D4423" s="2" t="str">
        <f>TEXT(Table3[[#This Row],[usage_date]],"mmmm")</f>
        <v>February</v>
      </c>
      <c r="E4423" s="9">
        <f>YEAR(Table3[[#This Row],[usage_date]])</f>
        <v>2022</v>
      </c>
      <c r="F4423" s="14">
        <v>4.43</v>
      </c>
      <c r="G4423">
        <v>284</v>
      </c>
      <c r="H4423" t="s">
        <v>12</v>
      </c>
      <c r="I4423" t="str">
        <f t="shared" si="69"/>
        <v>Normal Usage</v>
      </c>
    </row>
    <row r="4424" spans="1:9" x14ac:dyDescent="0.3">
      <c r="A4424">
        <v>14423</v>
      </c>
      <c r="B4424">
        <v>65</v>
      </c>
      <c r="C4424" s="2">
        <v>45348</v>
      </c>
      <c r="D4424" s="2" t="str">
        <f>TEXT(Table3[[#This Row],[usage_date]],"mmmm")</f>
        <v>February</v>
      </c>
      <c r="E4424" s="9">
        <f>YEAR(Table3[[#This Row],[usage_date]])</f>
        <v>2024</v>
      </c>
      <c r="F4424" s="14">
        <v>4.8</v>
      </c>
      <c r="G4424">
        <v>209</v>
      </c>
      <c r="H4424" t="s">
        <v>12</v>
      </c>
      <c r="I4424" t="str">
        <f t="shared" si="69"/>
        <v>Normal Usage</v>
      </c>
    </row>
    <row r="4425" spans="1:9" x14ac:dyDescent="0.3">
      <c r="A4425">
        <v>14424</v>
      </c>
      <c r="B4425">
        <v>355</v>
      </c>
      <c r="C4425" s="2">
        <v>44710</v>
      </c>
      <c r="D4425" s="2" t="str">
        <f>TEXT(Table3[[#This Row],[usage_date]],"mmmm")</f>
        <v>May</v>
      </c>
      <c r="E4425" s="9">
        <f>YEAR(Table3[[#This Row],[usage_date]])</f>
        <v>2022</v>
      </c>
      <c r="F4425" s="14">
        <v>0.62</v>
      </c>
      <c r="G4425">
        <v>257</v>
      </c>
      <c r="H4425" t="s">
        <v>12</v>
      </c>
      <c r="I4425" t="str">
        <f t="shared" si="69"/>
        <v>Normal Usage</v>
      </c>
    </row>
    <row r="4426" spans="1:9" x14ac:dyDescent="0.3">
      <c r="A4426">
        <v>14425</v>
      </c>
      <c r="B4426">
        <v>288</v>
      </c>
      <c r="C4426" s="2">
        <v>45292</v>
      </c>
      <c r="D4426" s="2" t="str">
        <f>TEXT(Table3[[#This Row],[usage_date]],"mmmm")</f>
        <v>January</v>
      </c>
      <c r="E4426" s="9">
        <f>YEAR(Table3[[#This Row],[usage_date]])</f>
        <v>2024</v>
      </c>
      <c r="F4426" s="14">
        <v>0.17</v>
      </c>
      <c r="G4426">
        <v>258</v>
      </c>
      <c r="H4426" t="s">
        <v>12</v>
      </c>
      <c r="I4426" t="str">
        <f t="shared" si="69"/>
        <v>Normal Usage</v>
      </c>
    </row>
    <row r="4427" spans="1:9" x14ac:dyDescent="0.3">
      <c r="A4427">
        <v>14426</v>
      </c>
      <c r="B4427">
        <v>164</v>
      </c>
      <c r="C4427" s="2">
        <v>44683</v>
      </c>
      <c r="D4427" s="2" t="str">
        <f>TEXT(Table3[[#This Row],[usage_date]],"mmmm")</f>
        <v>May</v>
      </c>
      <c r="E4427" s="9">
        <f>YEAR(Table3[[#This Row],[usage_date]])</f>
        <v>2022</v>
      </c>
      <c r="F4427" s="14">
        <v>3.36</v>
      </c>
      <c r="G4427">
        <v>183</v>
      </c>
      <c r="H4427" t="s">
        <v>13</v>
      </c>
      <c r="I4427" t="str">
        <f t="shared" si="69"/>
        <v>Normal Usage</v>
      </c>
    </row>
    <row r="4428" spans="1:9" x14ac:dyDescent="0.3">
      <c r="A4428">
        <v>14427</v>
      </c>
      <c r="B4428">
        <v>141</v>
      </c>
      <c r="C4428" s="2">
        <v>44772</v>
      </c>
      <c r="D4428" s="2" t="str">
        <f>TEXT(Table3[[#This Row],[usage_date]],"mmmm")</f>
        <v>July</v>
      </c>
      <c r="E4428" s="9">
        <f>YEAR(Table3[[#This Row],[usage_date]])</f>
        <v>2022</v>
      </c>
      <c r="F4428" s="14">
        <v>0.59</v>
      </c>
      <c r="G4428">
        <v>10</v>
      </c>
      <c r="H4428" t="s">
        <v>13</v>
      </c>
      <c r="I4428" t="str">
        <f t="shared" si="69"/>
        <v>Normal Usage</v>
      </c>
    </row>
    <row r="4429" spans="1:9" x14ac:dyDescent="0.3">
      <c r="A4429">
        <v>14428</v>
      </c>
      <c r="B4429">
        <v>454</v>
      </c>
      <c r="C4429" s="2">
        <v>44841</v>
      </c>
      <c r="D4429" s="2" t="str">
        <f>TEXT(Table3[[#This Row],[usage_date]],"mmmm")</f>
        <v>October</v>
      </c>
      <c r="E4429" s="9">
        <f>YEAR(Table3[[#This Row],[usage_date]])</f>
        <v>2022</v>
      </c>
      <c r="F4429" s="14">
        <v>1.25</v>
      </c>
      <c r="G4429">
        <v>159</v>
      </c>
      <c r="H4429" t="s">
        <v>12</v>
      </c>
      <c r="I4429" t="str">
        <f t="shared" si="69"/>
        <v>Normal Usage</v>
      </c>
    </row>
    <row r="4430" spans="1:9" x14ac:dyDescent="0.3">
      <c r="A4430">
        <v>14429</v>
      </c>
      <c r="B4430">
        <v>314</v>
      </c>
      <c r="C4430" s="2">
        <v>45099</v>
      </c>
      <c r="D4430" s="2" t="str">
        <f>TEXT(Table3[[#This Row],[usage_date]],"mmmm")</f>
        <v>June</v>
      </c>
      <c r="E4430" s="9">
        <f>YEAR(Table3[[#This Row],[usage_date]])</f>
        <v>2023</v>
      </c>
      <c r="F4430" s="14">
        <v>0.17</v>
      </c>
      <c r="G4430">
        <v>259</v>
      </c>
      <c r="H4430" t="s">
        <v>12</v>
      </c>
      <c r="I4430" t="str">
        <f t="shared" si="69"/>
        <v>Normal Usage</v>
      </c>
    </row>
    <row r="4431" spans="1:9" x14ac:dyDescent="0.3">
      <c r="A4431">
        <v>14430</v>
      </c>
      <c r="B4431">
        <v>128</v>
      </c>
      <c r="C4431" s="2">
        <v>45246</v>
      </c>
      <c r="D4431" s="2" t="str">
        <f>TEXT(Table3[[#This Row],[usage_date]],"mmmm")</f>
        <v>November</v>
      </c>
      <c r="E4431" s="9">
        <f>YEAR(Table3[[#This Row],[usage_date]])</f>
        <v>2023</v>
      </c>
      <c r="F4431" s="14">
        <v>0.64</v>
      </c>
      <c r="G4431">
        <v>87</v>
      </c>
      <c r="H4431" t="s">
        <v>12</v>
      </c>
      <c r="I4431" t="str">
        <f t="shared" si="69"/>
        <v>Normal Usage</v>
      </c>
    </row>
    <row r="4432" spans="1:9" x14ac:dyDescent="0.3">
      <c r="A4432">
        <v>14431</v>
      </c>
      <c r="B4432">
        <v>398</v>
      </c>
      <c r="C4432" s="2">
        <v>44717</v>
      </c>
      <c r="D4432" s="2" t="str">
        <f>TEXT(Table3[[#This Row],[usage_date]],"mmmm")</f>
        <v>June</v>
      </c>
      <c r="E4432" s="9">
        <f>YEAR(Table3[[#This Row],[usage_date]])</f>
        <v>2022</v>
      </c>
      <c r="F4432" s="14">
        <v>3.94</v>
      </c>
      <c r="G4432">
        <v>183</v>
      </c>
      <c r="H4432" t="s">
        <v>12</v>
      </c>
      <c r="I4432" t="str">
        <f t="shared" si="69"/>
        <v>Normal Usage</v>
      </c>
    </row>
    <row r="4433" spans="1:9" x14ac:dyDescent="0.3">
      <c r="A4433">
        <v>14432</v>
      </c>
      <c r="B4433">
        <v>421</v>
      </c>
      <c r="C4433" s="2">
        <v>44799</v>
      </c>
      <c r="D4433" s="2" t="str">
        <f>TEXT(Table3[[#This Row],[usage_date]],"mmmm")</f>
        <v>August</v>
      </c>
      <c r="E4433" s="9">
        <f>YEAR(Table3[[#This Row],[usage_date]])</f>
        <v>2022</v>
      </c>
      <c r="F4433" s="14">
        <v>4.08</v>
      </c>
      <c r="G4433">
        <v>15</v>
      </c>
      <c r="H4433" t="s">
        <v>12</v>
      </c>
      <c r="I4433" t="str">
        <f t="shared" si="69"/>
        <v>Normal Usage</v>
      </c>
    </row>
    <row r="4434" spans="1:9" x14ac:dyDescent="0.3">
      <c r="A4434">
        <v>14433</v>
      </c>
      <c r="B4434">
        <v>368</v>
      </c>
      <c r="C4434" s="2">
        <v>44937</v>
      </c>
      <c r="D4434" s="2" t="str">
        <f>TEXT(Table3[[#This Row],[usage_date]],"mmmm")</f>
        <v>January</v>
      </c>
      <c r="E4434" s="9">
        <f>YEAR(Table3[[#This Row],[usage_date]])</f>
        <v>2023</v>
      </c>
      <c r="F4434" s="14">
        <v>0.57999999999999996</v>
      </c>
      <c r="G4434">
        <v>243</v>
      </c>
      <c r="H4434" t="s">
        <v>12</v>
      </c>
      <c r="I4434" t="str">
        <f t="shared" si="69"/>
        <v>Normal Usage</v>
      </c>
    </row>
    <row r="4435" spans="1:9" x14ac:dyDescent="0.3">
      <c r="A4435">
        <v>14434</v>
      </c>
      <c r="B4435">
        <v>463</v>
      </c>
      <c r="C4435" s="2">
        <v>44643</v>
      </c>
      <c r="D4435" s="2" t="str">
        <f>TEXT(Table3[[#This Row],[usage_date]],"mmmm")</f>
        <v>March</v>
      </c>
      <c r="E4435" s="9">
        <f>YEAR(Table3[[#This Row],[usage_date]])</f>
        <v>2022</v>
      </c>
      <c r="F4435" s="14">
        <v>1.02</v>
      </c>
      <c r="G4435">
        <v>85</v>
      </c>
      <c r="H4435" t="s">
        <v>13</v>
      </c>
      <c r="I4435" t="str">
        <f t="shared" si="69"/>
        <v>Normal Usage</v>
      </c>
    </row>
    <row r="4436" spans="1:9" x14ac:dyDescent="0.3">
      <c r="A4436">
        <v>14435</v>
      </c>
      <c r="B4436">
        <v>239</v>
      </c>
      <c r="C4436" s="2">
        <v>45053</v>
      </c>
      <c r="D4436" s="2" t="str">
        <f>TEXT(Table3[[#This Row],[usage_date]],"mmmm")</f>
        <v>May</v>
      </c>
      <c r="E4436" s="9">
        <f>YEAR(Table3[[#This Row],[usage_date]])</f>
        <v>2023</v>
      </c>
      <c r="F4436" s="14">
        <v>0.36</v>
      </c>
      <c r="G4436">
        <v>198</v>
      </c>
      <c r="H4436" t="s">
        <v>12</v>
      </c>
      <c r="I4436" t="str">
        <f t="shared" si="69"/>
        <v>Normal Usage</v>
      </c>
    </row>
    <row r="4437" spans="1:9" x14ac:dyDescent="0.3">
      <c r="A4437">
        <v>14436</v>
      </c>
      <c r="B4437">
        <v>324</v>
      </c>
      <c r="C4437" s="2">
        <v>44917</v>
      </c>
      <c r="D4437" s="2" t="str">
        <f>TEXT(Table3[[#This Row],[usage_date]],"mmmm")</f>
        <v>December</v>
      </c>
      <c r="E4437" s="9">
        <f>YEAR(Table3[[#This Row],[usage_date]])</f>
        <v>2022</v>
      </c>
      <c r="F4437" s="14">
        <v>0.19</v>
      </c>
      <c r="G4437">
        <v>9</v>
      </c>
      <c r="H4437" t="s">
        <v>13</v>
      </c>
      <c r="I4437" t="str">
        <f t="shared" si="69"/>
        <v>Normal Usage</v>
      </c>
    </row>
    <row r="4438" spans="1:9" x14ac:dyDescent="0.3">
      <c r="A4438">
        <v>14437</v>
      </c>
      <c r="B4438">
        <v>296</v>
      </c>
      <c r="C4438" s="2">
        <v>44834</v>
      </c>
      <c r="D4438" s="2" t="str">
        <f>TEXT(Table3[[#This Row],[usage_date]],"mmmm")</f>
        <v>September</v>
      </c>
      <c r="E4438" s="9">
        <f>YEAR(Table3[[#This Row],[usage_date]])</f>
        <v>2022</v>
      </c>
      <c r="F4438" s="14">
        <v>12.13</v>
      </c>
      <c r="G4438">
        <v>163</v>
      </c>
      <c r="H4438" t="s">
        <v>12</v>
      </c>
      <c r="I4438" t="str">
        <f t="shared" si="69"/>
        <v>High Usage</v>
      </c>
    </row>
    <row r="4439" spans="1:9" x14ac:dyDescent="0.3">
      <c r="A4439">
        <v>14438</v>
      </c>
      <c r="B4439">
        <v>187</v>
      </c>
      <c r="C4439" s="2">
        <v>45141</v>
      </c>
      <c r="D4439" s="2" t="str">
        <f>TEXT(Table3[[#This Row],[usage_date]],"mmmm")</f>
        <v>August</v>
      </c>
      <c r="E4439" s="9">
        <f>YEAR(Table3[[#This Row],[usage_date]])</f>
        <v>2023</v>
      </c>
      <c r="F4439" s="14">
        <v>2.66</v>
      </c>
      <c r="G4439">
        <v>23</v>
      </c>
      <c r="H4439" t="s">
        <v>12</v>
      </c>
      <c r="I4439" t="str">
        <f t="shared" si="69"/>
        <v>Normal Usage</v>
      </c>
    </row>
    <row r="4440" spans="1:9" x14ac:dyDescent="0.3">
      <c r="A4440">
        <v>14439</v>
      </c>
      <c r="B4440">
        <v>208</v>
      </c>
      <c r="C4440" s="2">
        <v>44605</v>
      </c>
      <c r="D4440" s="2" t="str">
        <f>TEXT(Table3[[#This Row],[usage_date]],"mmmm")</f>
        <v>February</v>
      </c>
      <c r="E4440" s="9">
        <f>YEAR(Table3[[#This Row],[usage_date]])</f>
        <v>2022</v>
      </c>
      <c r="F4440" s="14">
        <v>1.95</v>
      </c>
      <c r="G4440">
        <v>63</v>
      </c>
      <c r="H4440" t="s">
        <v>12</v>
      </c>
      <c r="I4440" t="str">
        <f t="shared" si="69"/>
        <v>Normal Usage</v>
      </c>
    </row>
    <row r="4441" spans="1:9" x14ac:dyDescent="0.3">
      <c r="A4441">
        <v>14440</v>
      </c>
      <c r="B4441">
        <v>220</v>
      </c>
      <c r="C4441" s="2">
        <v>45134</v>
      </c>
      <c r="D4441" s="2" t="str">
        <f>TEXT(Table3[[#This Row],[usage_date]],"mmmm")</f>
        <v>July</v>
      </c>
      <c r="E4441" s="9">
        <f>YEAR(Table3[[#This Row],[usage_date]])</f>
        <v>2023</v>
      </c>
      <c r="F4441" s="14">
        <v>3.63</v>
      </c>
      <c r="G4441">
        <v>237</v>
      </c>
      <c r="H4441" t="s">
        <v>12</v>
      </c>
      <c r="I4441" t="str">
        <f t="shared" si="69"/>
        <v>Normal Usage</v>
      </c>
    </row>
    <row r="4442" spans="1:9" x14ac:dyDescent="0.3">
      <c r="A4442">
        <v>14441</v>
      </c>
      <c r="B4442">
        <v>400</v>
      </c>
      <c r="C4442" s="2">
        <v>44684</v>
      </c>
      <c r="D4442" s="2" t="str">
        <f>TEXT(Table3[[#This Row],[usage_date]],"mmmm")</f>
        <v>May</v>
      </c>
      <c r="E4442" s="9">
        <f>YEAR(Table3[[#This Row],[usage_date]])</f>
        <v>2022</v>
      </c>
      <c r="F4442" s="14">
        <v>4.58</v>
      </c>
      <c r="G4442">
        <v>237</v>
      </c>
      <c r="H4442" t="s">
        <v>12</v>
      </c>
      <c r="I4442" t="str">
        <f t="shared" si="69"/>
        <v>Normal Usage</v>
      </c>
    </row>
    <row r="4443" spans="1:9" x14ac:dyDescent="0.3">
      <c r="A4443">
        <v>14442</v>
      </c>
      <c r="B4443">
        <v>190</v>
      </c>
      <c r="C4443" s="2">
        <v>44910</v>
      </c>
      <c r="D4443" s="2" t="str">
        <f>TEXT(Table3[[#This Row],[usage_date]],"mmmm")</f>
        <v>December</v>
      </c>
      <c r="E4443" s="9">
        <f>YEAR(Table3[[#This Row],[usage_date]])</f>
        <v>2022</v>
      </c>
      <c r="F4443" s="14">
        <v>4.1100000000000003</v>
      </c>
      <c r="G4443">
        <v>21</v>
      </c>
      <c r="H4443" t="s">
        <v>12</v>
      </c>
      <c r="I4443" t="str">
        <f t="shared" si="69"/>
        <v>Normal Usage</v>
      </c>
    </row>
    <row r="4444" spans="1:9" x14ac:dyDescent="0.3">
      <c r="A4444">
        <v>14443</v>
      </c>
      <c r="B4444">
        <v>388</v>
      </c>
      <c r="C4444" s="2">
        <v>45269</v>
      </c>
      <c r="D4444" s="2" t="str">
        <f>TEXT(Table3[[#This Row],[usage_date]],"mmmm")</f>
        <v>December</v>
      </c>
      <c r="E4444" s="9">
        <f>YEAR(Table3[[#This Row],[usage_date]])</f>
        <v>2023</v>
      </c>
      <c r="F4444" s="14">
        <v>0.04</v>
      </c>
      <c r="G4444">
        <v>179</v>
      </c>
      <c r="H4444" t="s">
        <v>12</v>
      </c>
      <c r="I4444" t="str">
        <f t="shared" si="69"/>
        <v>Normal Usage</v>
      </c>
    </row>
    <row r="4445" spans="1:9" x14ac:dyDescent="0.3">
      <c r="A4445">
        <v>14444</v>
      </c>
      <c r="B4445">
        <v>429</v>
      </c>
      <c r="C4445" s="2">
        <v>44891</v>
      </c>
      <c r="D4445" s="2" t="str">
        <f>TEXT(Table3[[#This Row],[usage_date]],"mmmm")</f>
        <v>November</v>
      </c>
      <c r="E4445" s="9">
        <f>YEAR(Table3[[#This Row],[usage_date]])</f>
        <v>2022</v>
      </c>
      <c r="F4445" s="14">
        <v>0.52</v>
      </c>
      <c r="G4445">
        <v>46</v>
      </c>
      <c r="H4445" t="s">
        <v>13</v>
      </c>
      <c r="I4445" t="str">
        <f t="shared" si="69"/>
        <v>Normal Usage</v>
      </c>
    </row>
    <row r="4446" spans="1:9" x14ac:dyDescent="0.3">
      <c r="A4446">
        <v>14445</v>
      </c>
      <c r="B4446">
        <v>346</v>
      </c>
      <c r="C4446" s="2">
        <v>44970</v>
      </c>
      <c r="D4446" s="2" t="str">
        <f>TEXT(Table3[[#This Row],[usage_date]],"mmmm")</f>
        <v>February</v>
      </c>
      <c r="E4446" s="9">
        <f>YEAR(Table3[[#This Row],[usage_date]])</f>
        <v>2023</v>
      </c>
      <c r="F4446" s="14">
        <v>2.66</v>
      </c>
      <c r="G4446">
        <v>278</v>
      </c>
      <c r="H4446" t="s">
        <v>12</v>
      </c>
      <c r="I4446" t="str">
        <f t="shared" si="69"/>
        <v>Normal Usage</v>
      </c>
    </row>
    <row r="4447" spans="1:9" x14ac:dyDescent="0.3">
      <c r="A4447">
        <v>14446</v>
      </c>
      <c r="B4447">
        <v>284</v>
      </c>
      <c r="C4447" s="2">
        <v>44884</v>
      </c>
      <c r="D4447" s="2" t="str">
        <f>TEXT(Table3[[#This Row],[usage_date]],"mmmm")</f>
        <v>November</v>
      </c>
      <c r="E4447" s="9">
        <f>YEAR(Table3[[#This Row],[usage_date]])</f>
        <v>2022</v>
      </c>
      <c r="F4447" s="14">
        <v>1.18</v>
      </c>
      <c r="G4447">
        <v>223</v>
      </c>
      <c r="H4447" t="s">
        <v>13</v>
      </c>
      <c r="I4447" t="str">
        <f t="shared" si="69"/>
        <v>Normal Usage</v>
      </c>
    </row>
    <row r="4448" spans="1:9" x14ac:dyDescent="0.3">
      <c r="A4448">
        <v>14447</v>
      </c>
      <c r="B4448">
        <v>352</v>
      </c>
      <c r="C4448" s="2">
        <v>44672</v>
      </c>
      <c r="D4448" s="2" t="str">
        <f>TEXT(Table3[[#This Row],[usage_date]],"mmmm")</f>
        <v>April</v>
      </c>
      <c r="E4448" s="9">
        <f>YEAR(Table3[[#This Row],[usage_date]])</f>
        <v>2022</v>
      </c>
      <c r="F4448" s="14">
        <v>10.11</v>
      </c>
      <c r="G4448">
        <v>217</v>
      </c>
      <c r="H4448" t="s">
        <v>12</v>
      </c>
      <c r="I4448" t="str">
        <f t="shared" si="69"/>
        <v>High Usage</v>
      </c>
    </row>
    <row r="4449" spans="1:9" x14ac:dyDescent="0.3">
      <c r="A4449">
        <v>14448</v>
      </c>
      <c r="B4449">
        <v>237</v>
      </c>
      <c r="C4449" s="2">
        <v>45331</v>
      </c>
      <c r="D4449" s="2" t="str">
        <f>TEXT(Table3[[#This Row],[usage_date]],"mmmm")</f>
        <v>February</v>
      </c>
      <c r="E4449" s="9">
        <f>YEAR(Table3[[#This Row],[usage_date]])</f>
        <v>2024</v>
      </c>
      <c r="F4449" s="14">
        <v>2.74</v>
      </c>
      <c r="G4449">
        <v>236</v>
      </c>
      <c r="H4449" t="s">
        <v>12</v>
      </c>
      <c r="I4449" t="str">
        <f t="shared" si="69"/>
        <v>Normal Usage</v>
      </c>
    </row>
    <row r="4450" spans="1:9" x14ac:dyDescent="0.3">
      <c r="A4450">
        <v>14449</v>
      </c>
      <c r="B4450">
        <v>194</v>
      </c>
      <c r="C4450" s="2">
        <v>44650</v>
      </c>
      <c r="D4450" s="2" t="str">
        <f>TEXT(Table3[[#This Row],[usage_date]],"mmmm")</f>
        <v>March</v>
      </c>
      <c r="E4450" s="9">
        <f>YEAR(Table3[[#This Row],[usage_date]])</f>
        <v>2022</v>
      </c>
      <c r="F4450" s="14">
        <v>7.84</v>
      </c>
      <c r="G4450">
        <v>203</v>
      </c>
      <c r="H4450" t="s">
        <v>12</v>
      </c>
      <c r="I4450" t="str">
        <f t="shared" si="69"/>
        <v>High Usage</v>
      </c>
    </row>
    <row r="4451" spans="1:9" x14ac:dyDescent="0.3">
      <c r="A4451">
        <v>14450</v>
      </c>
      <c r="B4451">
        <v>287</v>
      </c>
      <c r="C4451" s="2">
        <v>44994</v>
      </c>
      <c r="D4451" s="2" t="str">
        <f>TEXT(Table3[[#This Row],[usage_date]],"mmmm")</f>
        <v>March</v>
      </c>
      <c r="E4451" s="9">
        <f>YEAR(Table3[[#This Row],[usage_date]])</f>
        <v>2023</v>
      </c>
      <c r="F4451" s="14">
        <v>0.56000000000000005</v>
      </c>
      <c r="G4451">
        <v>18</v>
      </c>
      <c r="H4451" t="s">
        <v>13</v>
      </c>
      <c r="I4451" t="str">
        <f t="shared" si="69"/>
        <v>Normal Usage</v>
      </c>
    </row>
    <row r="4452" spans="1:9" x14ac:dyDescent="0.3">
      <c r="A4452">
        <v>14451</v>
      </c>
      <c r="B4452">
        <v>259</v>
      </c>
      <c r="C4452" s="2">
        <v>45271</v>
      </c>
      <c r="D4452" s="2" t="str">
        <f>TEXT(Table3[[#This Row],[usage_date]],"mmmm")</f>
        <v>December</v>
      </c>
      <c r="E4452" s="9">
        <f>YEAR(Table3[[#This Row],[usage_date]])</f>
        <v>2023</v>
      </c>
      <c r="F4452" s="14">
        <v>4.99</v>
      </c>
      <c r="G4452">
        <v>179</v>
      </c>
      <c r="H4452" t="s">
        <v>12</v>
      </c>
      <c r="I4452" t="str">
        <f t="shared" si="69"/>
        <v>Normal Usage</v>
      </c>
    </row>
    <row r="4453" spans="1:9" x14ac:dyDescent="0.3">
      <c r="A4453">
        <v>14452</v>
      </c>
      <c r="B4453">
        <v>246</v>
      </c>
      <c r="C4453" s="2">
        <v>45355</v>
      </c>
      <c r="D4453" s="2" t="str">
        <f>TEXT(Table3[[#This Row],[usage_date]],"mmmm")</f>
        <v>March</v>
      </c>
      <c r="E4453" s="9">
        <f>YEAR(Table3[[#This Row],[usage_date]])</f>
        <v>2024</v>
      </c>
      <c r="F4453" s="14">
        <v>0.97</v>
      </c>
      <c r="G4453">
        <v>161</v>
      </c>
      <c r="H4453" t="s">
        <v>12</v>
      </c>
      <c r="I4453" t="str">
        <f t="shared" si="69"/>
        <v>Normal Usage</v>
      </c>
    </row>
    <row r="4454" spans="1:9" x14ac:dyDescent="0.3">
      <c r="A4454">
        <v>14453</v>
      </c>
      <c r="B4454">
        <v>136</v>
      </c>
      <c r="C4454" s="2">
        <v>45273</v>
      </c>
      <c r="D4454" s="2" t="str">
        <f>TEXT(Table3[[#This Row],[usage_date]],"mmmm")</f>
        <v>December</v>
      </c>
      <c r="E4454" s="9">
        <f>YEAR(Table3[[#This Row],[usage_date]])</f>
        <v>2023</v>
      </c>
      <c r="F4454" s="14">
        <v>11.41</v>
      </c>
      <c r="G4454">
        <v>284</v>
      </c>
      <c r="H4454" t="s">
        <v>12</v>
      </c>
      <c r="I4454" t="str">
        <f t="shared" si="69"/>
        <v>High Usage</v>
      </c>
    </row>
    <row r="4455" spans="1:9" x14ac:dyDescent="0.3">
      <c r="A4455">
        <v>14454</v>
      </c>
      <c r="B4455">
        <v>280</v>
      </c>
      <c r="C4455" s="2">
        <v>44660</v>
      </c>
      <c r="D4455" s="2" t="str">
        <f>TEXT(Table3[[#This Row],[usage_date]],"mmmm")</f>
        <v>April</v>
      </c>
      <c r="E4455" s="9">
        <f>YEAR(Table3[[#This Row],[usage_date]])</f>
        <v>2022</v>
      </c>
      <c r="F4455" s="14">
        <v>0.43</v>
      </c>
      <c r="G4455">
        <v>60</v>
      </c>
      <c r="H4455" t="s">
        <v>12</v>
      </c>
      <c r="I4455" t="str">
        <f t="shared" si="69"/>
        <v>Normal Usage</v>
      </c>
    </row>
    <row r="4456" spans="1:9" x14ac:dyDescent="0.3">
      <c r="A4456">
        <v>14455</v>
      </c>
      <c r="B4456">
        <v>271</v>
      </c>
      <c r="C4456" s="2">
        <v>45100</v>
      </c>
      <c r="D4456" s="2" t="str">
        <f>TEXT(Table3[[#This Row],[usage_date]],"mmmm")</f>
        <v>June</v>
      </c>
      <c r="E4456" s="9">
        <f>YEAR(Table3[[#This Row],[usage_date]])</f>
        <v>2023</v>
      </c>
      <c r="F4456" s="14">
        <v>1.82</v>
      </c>
      <c r="G4456">
        <v>84</v>
      </c>
      <c r="H4456" t="s">
        <v>13</v>
      </c>
      <c r="I4456" t="str">
        <f t="shared" si="69"/>
        <v>Normal Usage</v>
      </c>
    </row>
    <row r="4457" spans="1:9" x14ac:dyDescent="0.3">
      <c r="A4457">
        <v>14456</v>
      </c>
      <c r="B4457">
        <v>171</v>
      </c>
      <c r="C4457" s="2">
        <v>45162</v>
      </c>
      <c r="D4457" s="2" t="str">
        <f>TEXT(Table3[[#This Row],[usage_date]],"mmmm")</f>
        <v>August</v>
      </c>
      <c r="E4457" s="9">
        <f>YEAR(Table3[[#This Row],[usage_date]])</f>
        <v>2023</v>
      </c>
      <c r="F4457" s="14">
        <v>3.94</v>
      </c>
      <c r="G4457">
        <v>34</v>
      </c>
      <c r="H4457" t="s">
        <v>12</v>
      </c>
      <c r="I4457" t="str">
        <f t="shared" si="69"/>
        <v>Normal Usage</v>
      </c>
    </row>
    <row r="4458" spans="1:9" x14ac:dyDescent="0.3">
      <c r="A4458">
        <v>14457</v>
      </c>
      <c r="B4458">
        <v>159</v>
      </c>
      <c r="C4458" s="2">
        <v>44707</v>
      </c>
      <c r="D4458" s="2" t="str">
        <f>TEXT(Table3[[#This Row],[usage_date]],"mmmm")</f>
        <v>May</v>
      </c>
      <c r="E4458" s="9">
        <f>YEAR(Table3[[#This Row],[usage_date]])</f>
        <v>2022</v>
      </c>
      <c r="F4458" s="14">
        <v>1.42</v>
      </c>
      <c r="G4458">
        <v>4</v>
      </c>
      <c r="H4458" t="s">
        <v>12</v>
      </c>
      <c r="I4458" t="str">
        <f t="shared" si="69"/>
        <v>Normal Usage</v>
      </c>
    </row>
    <row r="4459" spans="1:9" x14ac:dyDescent="0.3">
      <c r="A4459">
        <v>14458</v>
      </c>
      <c r="B4459">
        <v>201</v>
      </c>
      <c r="C4459" s="2">
        <v>45255</v>
      </c>
      <c r="D4459" s="2" t="str">
        <f>TEXT(Table3[[#This Row],[usage_date]],"mmmm")</f>
        <v>November</v>
      </c>
      <c r="E4459" s="9">
        <f>YEAR(Table3[[#This Row],[usage_date]])</f>
        <v>2023</v>
      </c>
      <c r="F4459" s="14">
        <v>1.58</v>
      </c>
      <c r="G4459">
        <v>75</v>
      </c>
      <c r="H4459" t="s">
        <v>13</v>
      </c>
      <c r="I4459" t="str">
        <f t="shared" si="69"/>
        <v>Normal Usage</v>
      </c>
    </row>
    <row r="4460" spans="1:9" x14ac:dyDescent="0.3">
      <c r="A4460">
        <v>14459</v>
      </c>
      <c r="B4460">
        <v>487</v>
      </c>
      <c r="C4460" s="2">
        <v>44818</v>
      </c>
      <c r="D4460" s="2" t="str">
        <f>TEXT(Table3[[#This Row],[usage_date]],"mmmm")</f>
        <v>September</v>
      </c>
      <c r="E4460" s="9">
        <f>YEAR(Table3[[#This Row],[usage_date]])</f>
        <v>2022</v>
      </c>
      <c r="F4460" s="14">
        <v>10.74</v>
      </c>
      <c r="G4460">
        <v>252</v>
      </c>
      <c r="H4460" t="s">
        <v>12</v>
      </c>
      <c r="I4460" t="str">
        <f t="shared" si="69"/>
        <v>High Usage</v>
      </c>
    </row>
    <row r="4461" spans="1:9" x14ac:dyDescent="0.3">
      <c r="A4461">
        <v>14460</v>
      </c>
      <c r="B4461">
        <v>45</v>
      </c>
      <c r="C4461" s="2">
        <v>44750</v>
      </c>
      <c r="D4461" s="2" t="str">
        <f>TEXT(Table3[[#This Row],[usage_date]],"mmmm")</f>
        <v>July</v>
      </c>
      <c r="E4461" s="9">
        <f>YEAR(Table3[[#This Row],[usage_date]])</f>
        <v>2022</v>
      </c>
      <c r="F4461" s="14">
        <v>1.38</v>
      </c>
      <c r="G4461">
        <v>6</v>
      </c>
      <c r="H4461" t="s">
        <v>12</v>
      </c>
      <c r="I4461" t="str">
        <f t="shared" si="69"/>
        <v>Normal Usage</v>
      </c>
    </row>
    <row r="4462" spans="1:9" x14ac:dyDescent="0.3">
      <c r="A4462">
        <v>14461</v>
      </c>
      <c r="B4462">
        <v>450</v>
      </c>
      <c r="C4462" s="2">
        <v>44801</v>
      </c>
      <c r="D4462" s="2" t="str">
        <f>TEXT(Table3[[#This Row],[usage_date]],"mmmm")</f>
        <v>August</v>
      </c>
      <c r="E4462" s="9">
        <f>YEAR(Table3[[#This Row],[usage_date]])</f>
        <v>2022</v>
      </c>
      <c r="F4462" s="14">
        <v>2.3199999999999998</v>
      </c>
      <c r="G4462">
        <v>168</v>
      </c>
      <c r="H4462" t="s">
        <v>12</v>
      </c>
      <c r="I4462" t="str">
        <f t="shared" si="69"/>
        <v>Normal Usage</v>
      </c>
    </row>
    <row r="4463" spans="1:9" x14ac:dyDescent="0.3">
      <c r="A4463">
        <v>14462</v>
      </c>
      <c r="B4463">
        <v>264</v>
      </c>
      <c r="C4463" s="2">
        <v>45432</v>
      </c>
      <c r="D4463" s="2" t="str">
        <f>TEXT(Table3[[#This Row],[usage_date]],"mmmm")</f>
        <v>May</v>
      </c>
      <c r="E4463" s="9">
        <f>YEAR(Table3[[#This Row],[usage_date]])</f>
        <v>2024</v>
      </c>
      <c r="F4463" s="14">
        <v>0.14000000000000001</v>
      </c>
      <c r="G4463">
        <v>129</v>
      </c>
      <c r="H4463" t="s">
        <v>13</v>
      </c>
      <c r="I4463" t="str">
        <f t="shared" si="69"/>
        <v>Normal Usage</v>
      </c>
    </row>
    <row r="4464" spans="1:9" x14ac:dyDescent="0.3">
      <c r="A4464">
        <v>14463</v>
      </c>
      <c r="B4464">
        <v>71</v>
      </c>
      <c r="C4464" s="2">
        <v>45460</v>
      </c>
      <c r="D4464" s="2" t="str">
        <f>TEXT(Table3[[#This Row],[usage_date]],"mmmm")</f>
        <v>June</v>
      </c>
      <c r="E4464" s="9">
        <f>YEAR(Table3[[#This Row],[usage_date]])</f>
        <v>2024</v>
      </c>
      <c r="F4464" s="14">
        <v>4.62</v>
      </c>
      <c r="G4464">
        <v>137</v>
      </c>
      <c r="H4464" t="s">
        <v>13</v>
      </c>
      <c r="I4464" t="str">
        <f t="shared" si="69"/>
        <v>Normal Usage</v>
      </c>
    </row>
    <row r="4465" spans="1:9" x14ac:dyDescent="0.3">
      <c r="A4465">
        <v>14464</v>
      </c>
      <c r="B4465">
        <v>364</v>
      </c>
      <c r="C4465" s="2">
        <v>45064</v>
      </c>
      <c r="D4465" s="2" t="str">
        <f>TEXT(Table3[[#This Row],[usage_date]],"mmmm")</f>
        <v>May</v>
      </c>
      <c r="E4465" s="9">
        <f>YEAR(Table3[[#This Row],[usage_date]])</f>
        <v>2023</v>
      </c>
      <c r="F4465" s="14">
        <v>2.61</v>
      </c>
      <c r="G4465">
        <v>299</v>
      </c>
      <c r="H4465" t="s">
        <v>12</v>
      </c>
      <c r="I4465" t="str">
        <f t="shared" si="69"/>
        <v>Normal Usage</v>
      </c>
    </row>
    <row r="4466" spans="1:9" x14ac:dyDescent="0.3">
      <c r="A4466">
        <v>14465</v>
      </c>
      <c r="B4466">
        <v>371</v>
      </c>
      <c r="C4466" s="2">
        <v>45269</v>
      </c>
      <c r="D4466" s="2" t="str">
        <f>TEXT(Table3[[#This Row],[usage_date]],"mmmm")</f>
        <v>December</v>
      </c>
      <c r="E4466" s="9">
        <f>YEAR(Table3[[#This Row],[usage_date]])</f>
        <v>2023</v>
      </c>
      <c r="F4466" s="14">
        <v>1.29</v>
      </c>
      <c r="G4466">
        <v>90</v>
      </c>
      <c r="H4466" t="s">
        <v>13</v>
      </c>
      <c r="I4466" t="str">
        <f t="shared" si="69"/>
        <v>Normal Usage</v>
      </c>
    </row>
    <row r="4467" spans="1:9" x14ac:dyDescent="0.3">
      <c r="A4467">
        <v>14466</v>
      </c>
      <c r="B4467">
        <v>103</v>
      </c>
      <c r="C4467" s="2">
        <v>45370</v>
      </c>
      <c r="D4467" s="2" t="str">
        <f>TEXT(Table3[[#This Row],[usage_date]],"mmmm")</f>
        <v>March</v>
      </c>
      <c r="E4467" s="9">
        <f>YEAR(Table3[[#This Row],[usage_date]])</f>
        <v>2024</v>
      </c>
      <c r="F4467" s="14">
        <v>0.04</v>
      </c>
      <c r="G4467">
        <v>162</v>
      </c>
      <c r="H4467" t="s">
        <v>12</v>
      </c>
      <c r="I4467" t="str">
        <f t="shared" si="69"/>
        <v>Normal Usage</v>
      </c>
    </row>
    <row r="4468" spans="1:9" x14ac:dyDescent="0.3">
      <c r="A4468">
        <v>14467</v>
      </c>
      <c r="B4468">
        <v>490</v>
      </c>
      <c r="C4468" s="2">
        <v>45238</v>
      </c>
      <c r="D4468" s="2" t="str">
        <f>TEXT(Table3[[#This Row],[usage_date]],"mmmm")</f>
        <v>November</v>
      </c>
      <c r="E4468" s="9">
        <f>YEAR(Table3[[#This Row],[usage_date]])</f>
        <v>2023</v>
      </c>
      <c r="F4468" s="14">
        <v>2.2400000000000002</v>
      </c>
      <c r="G4468">
        <v>252</v>
      </c>
      <c r="H4468" t="s">
        <v>12</v>
      </c>
      <c r="I4468" t="str">
        <f t="shared" si="69"/>
        <v>Normal Usage</v>
      </c>
    </row>
    <row r="4469" spans="1:9" x14ac:dyDescent="0.3">
      <c r="A4469">
        <v>14468</v>
      </c>
      <c r="B4469">
        <v>125</v>
      </c>
      <c r="C4469" s="2">
        <v>45380</v>
      </c>
      <c r="D4469" s="2" t="str">
        <f>TEXT(Table3[[#This Row],[usage_date]],"mmmm")</f>
        <v>March</v>
      </c>
      <c r="E4469" s="9">
        <f>YEAR(Table3[[#This Row],[usage_date]])</f>
        <v>2024</v>
      </c>
      <c r="F4469" s="14">
        <v>0.03</v>
      </c>
      <c r="G4469">
        <v>200</v>
      </c>
      <c r="H4469" t="s">
        <v>12</v>
      </c>
      <c r="I4469" t="str">
        <f t="shared" si="69"/>
        <v>Normal Usage</v>
      </c>
    </row>
    <row r="4470" spans="1:9" x14ac:dyDescent="0.3">
      <c r="A4470">
        <v>14469</v>
      </c>
      <c r="B4470">
        <v>313</v>
      </c>
      <c r="C4470" s="2">
        <v>44832</v>
      </c>
      <c r="D4470" s="2" t="str">
        <f>TEXT(Table3[[#This Row],[usage_date]],"mmmm")</f>
        <v>September</v>
      </c>
      <c r="E4470" s="9">
        <f>YEAR(Table3[[#This Row],[usage_date]])</f>
        <v>2022</v>
      </c>
      <c r="F4470" s="14">
        <v>0</v>
      </c>
      <c r="G4470">
        <v>19</v>
      </c>
      <c r="H4470" t="s">
        <v>12</v>
      </c>
      <c r="I4470" t="str">
        <f t="shared" si="69"/>
        <v>Normal Usage</v>
      </c>
    </row>
    <row r="4471" spans="1:9" x14ac:dyDescent="0.3">
      <c r="A4471">
        <v>14470</v>
      </c>
      <c r="B4471">
        <v>464</v>
      </c>
      <c r="C4471" s="2">
        <v>45081</v>
      </c>
      <c r="D4471" s="2" t="str">
        <f>TEXT(Table3[[#This Row],[usage_date]],"mmmm")</f>
        <v>June</v>
      </c>
      <c r="E4471" s="9">
        <f>YEAR(Table3[[#This Row],[usage_date]])</f>
        <v>2023</v>
      </c>
      <c r="F4471" s="14">
        <v>2.39</v>
      </c>
      <c r="G4471">
        <v>228</v>
      </c>
      <c r="H4471" t="s">
        <v>12</v>
      </c>
      <c r="I4471" t="str">
        <f t="shared" si="69"/>
        <v>Normal Usage</v>
      </c>
    </row>
    <row r="4472" spans="1:9" x14ac:dyDescent="0.3">
      <c r="A4472">
        <v>14471</v>
      </c>
      <c r="B4472">
        <v>483</v>
      </c>
      <c r="C4472" s="2">
        <v>45111</v>
      </c>
      <c r="D4472" s="2" t="str">
        <f>TEXT(Table3[[#This Row],[usage_date]],"mmmm")</f>
        <v>July</v>
      </c>
      <c r="E4472" s="9">
        <f>YEAR(Table3[[#This Row],[usage_date]])</f>
        <v>2023</v>
      </c>
      <c r="F4472" s="14">
        <v>0.52</v>
      </c>
      <c r="G4472">
        <v>162</v>
      </c>
      <c r="H4472" t="s">
        <v>13</v>
      </c>
      <c r="I4472" t="str">
        <f t="shared" si="69"/>
        <v>Normal Usage</v>
      </c>
    </row>
    <row r="4473" spans="1:9" x14ac:dyDescent="0.3">
      <c r="A4473">
        <v>14472</v>
      </c>
      <c r="B4473">
        <v>286</v>
      </c>
      <c r="C4473" s="2">
        <v>44675</v>
      </c>
      <c r="D4473" s="2" t="str">
        <f>TEXT(Table3[[#This Row],[usage_date]],"mmmm")</f>
        <v>April</v>
      </c>
      <c r="E4473" s="9">
        <f>YEAR(Table3[[#This Row],[usage_date]])</f>
        <v>2022</v>
      </c>
      <c r="F4473" s="14">
        <v>0.53</v>
      </c>
      <c r="G4473">
        <v>164</v>
      </c>
      <c r="H4473" t="s">
        <v>12</v>
      </c>
      <c r="I4473" t="str">
        <f t="shared" si="69"/>
        <v>Normal Usage</v>
      </c>
    </row>
    <row r="4474" spans="1:9" x14ac:dyDescent="0.3">
      <c r="A4474">
        <v>14473</v>
      </c>
      <c r="B4474">
        <v>458</v>
      </c>
      <c r="C4474" s="2">
        <v>44900</v>
      </c>
      <c r="D4474" s="2" t="str">
        <f>TEXT(Table3[[#This Row],[usage_date]],"mmmm")</f>
        <v>December</v>
      </c>
      <c r="E4474" s="9">
        <f>YEAR(Table3[[#This Row],[usage_date]])</f>
        <v>2022</v>
      </c>
      <c r="F4474" s="14">
        <v>2.65</v>
      </c>
      <c r="G4474">
        <v>231</v>
      </c>
      <c r="H4474" t="s">
        <v>13</v>
      </c>
      <c r="I4474" t="str">
        <f t="shared" si="69"/>
        <v>Normal Usage</v>
      </c>
    </row>
    <row r="4475" spans="1:9" x14ac:dyDescent="0.3">
      <c r="A4475">
        <v>14474</v>
      </c>
      <c r="B4475">
        <v>230</v>
      </c>
      <c r="C4475" s="2">
        <v>45129</v>
      </c>
      <c r="D4475" s="2" t="str">
        <f>TEXT(Table3[[#This Row],[usage_date]],"mmmm")</f>
        <v>July</v>
      </c>
      <c r="E4475" s="9">
        <f>YEAR(Table3[[#This Row],[usage_date]])</f>
        <v>2023</v>
      </c>
      <c r="F4475" s="14">
        <v>0.14000000000000001</v>
      </c>
      <c r="G4475">
        <v>237</v>
      </c>
      <c r="H4475" t="s">
        <v>12</v>
      </c>
      <c r="I4475" t="str">
        <f t="shared" si="69"/>
        <v>Normal Usage</v>
      </c>
    </row>
    <row r="4476" spans="1:9" x14ac:dyDescent="0.3">
      <c r="A4476">
        <v>14475</v>
      </c>
      <c r="B4476">
        <v>146</v>
      </c>
      <c r="C4476" s="2">
        <v>44920</v>
      </c>
      <c r="D4476" s="2" t="str">
        <f>TEXT(Table3[[#This Row],[usage_date]],"mmmm")</f>
        <v>December</v>
      </c>
      <c r="E4476" s="9">
        <f>YEAR(Table3[[#This Row],[usage_date]])</f>
        <v>2022</v>
      </c>
      <c r="F4476" s="14">
        <v>0.94</v>
      </c>
      <c r="G4476">
        <v>119</v>
      </c>
      <c r="H4476" t="s">
        <v>12</v>
      </c>
      <c r="I4476" t="str">
        <f t="shared" si="69"/>
        <v>Normal Usage</v>
      </c>
    </row>
    <row r="4477" spans="1:9" x14ac:dyDescent="0.3">
      <c r="A4477">
        <v>14476</v>
      </c>
      <c r="B4477">
        <v>370</v>
      </c>
      <c r="C4477" s="2">
        <v>45211</v>
      </c>
      <c r="D4477" s="2" t="str">
        <f>TEXT(Table3[[#This Row],[usage_date]],"mmmm")</f>
        <v>October</v>
      </c>
      <c r="E4477" s="9">
        <f>YEAR(Table3[[#This Row],[usage_date]])</f>
        <v>2023</v>
      </c>
      <c r="F4477" s="14">
        <v>0.4</v>
      </c>
      <c r="G4477">
        <v>106</v>
      </c>
      <c r="H4477" t="s">
        <v>12</v>
      </c>
      <c r="I4477" t="str">
        <f t="shared" si="69"/>
        <v>Normal Usage</v>
      </c>
    </row>
    <row r="4478" spans="1:9" x14ac:dyDescent="0.3">
      <c r="A4478">
        <v>14477</v>
      </c>
      <c r="B4478">
        <v>197</v>
      </c>
      <c r="C4478" s="2">
        <v>45175</v>
      </c>
      <c r="D4478" s="2" t="str">
        <f>TEXT(Table3[[#This Row],[usage_date]],"mmmm")</f>
        <v>September</v>
      </c>
      <c r="E4478" s="9">
        <f>YEAR(Table3[[#This Row],[usage_date]])</f>
        <v>2023</v>
      </c>
      <c r="F4478" s="14">
        <v>2.17</v>
      </c>
      <c r="G4478">
        <v>249</v>
      </c>
      <c r="H4478" t="s">
        <v>12</v>
      </c>
      <c r="I4478" t="str">
        <f t="shared" si="69"/>
        <v>Normal Usage</v>
      </c>
    </row>
    <row r="4479" spans="1:9" x14ac:dyDescent="0.3">
      <c r="A4479">
        <v>14478</v>
      </c>
      <c r="B4479">
        <v>373</v>
      </c>
      <c r="C4479" s="2">
        <v>44895</v>
      </c>
      <c r="D4479" s="2" t="str">
        <f>TEXT(Table3[[#This Row],[usage_date]],"mmmm")</f>
        <v>November</v>
      </c>
      <c r="E4479" s="9">
        <f>YEAR(Table3[[#This Row],[usage_date]])</f>
        <v>2022</v>
      </c>
      <c r="F4479" s="14">
        <v>2.71</v>
      </c>
      <c r="G4479">
        <v>283</v>
      </c>
      <c r="H4479" t="s">
        <v>13</v>
      </c>
      <c r="I4479" t="str">
        <f t="shared" si="69"/>
        <v>Normal Usage</v>
      </c>
    </row>
    <row r="4480" spans="1:9" x14ac:dyDescent="0.3">
      <c r="A4480">
        <v>14479</v>
      </c>
      <c r="B4480">
        <v>221</v>
      </c>
      <c r="C4480" s="2">
        <v>45250</v>
      </c>
      <c r="D4480" s="2" t="str">
        <f>TEXT(Table3[[#This Row],[usage_date]],"mmmm")</f>
        <v>November</v>
      </c>
      <c r="E4480" s="9">
        <f>YEAR(Table3[[#This Row],[usage_date]])</f>
        <v>2023</v>
      </c>
      <c r="F4480" s="14">
        <v>3.19</v>
      </c>
      <c r="G4480">
        <v>197</v>
      </c>
      <c r="H4480" t="s">
        <v>12</v>
      </c>
      <c r="I4480" t="str">
        <f t="shared" si="69"/>
        <v>Normal Usage</v>
      </c>
    </row>
    <row r="4481" spans="1:9" x14ac:dyDescent="0.3">
      <c r="A4481">
        <v>14480</v>
      </c>
      <c r="B4481">
        <v>423</v>
      </c>
      <c r="C4481" s="2">
        <v>44730</v>
      </c>
      <c r="D4481" s="2" t="str">
        <f>TEXT(Table3[[#This Row],[usage_date]],"mmmm")</f>
        <v>June</v>
      </c>
      <c r="E4481" s="9">
        <f>YEAR(Table3[[#This Row],[usage_date]])</f>
        <v>2022</v>
      </c>
      <c r="F4481" s="14">
        <v>0.74</v>
      </c>
      <c r="G4481">
        <v>219</v>
      </c>
      <c r="H4481" t="s">
        <v>13</v>
      </c>
      <c r="I4481" t="str">
        <f t="shared" si="69"/>
        <v>Normal Usage</v>
      </c>
    </row>
    <row r="4482" spans="1:9" x14ac:dyDescent="0.3">
      <c r="A4482">
        <v>14481</v>
      </c>
      <c r="B4482">
        <v>60</v>
      </c>
      <c r="C4482" s="2">
        <v>44900</v>
      </c>
      <c r="D4482" s="2" t="str">
        <f>TEXT(Table3[[#This Row],[usage_date]],"mmmm")</f>
        <v>December</v>
      </c>
      <c r="E4482" s="9">
        <f>YEAR(Table3[[#This Row],[usage_date]])</f>
        <v>2022</v>
      </c>
      <c r="F4482" s="14">
        <v>0.23</v>
      </c>
      <c r="G4482">
        <v>150</v>
      </c>
      <c r="H4482" t="s">
        <v>13</v>
      </c>
      <c r="I4482" t="str">
        <f t="shared" ref="I4482:I4545" si="70">IF(F4482&gt;6,"High Usage","Normal Usage")</f>
        <v>Normal Usage</v>
      </c>
    </row>
    <row r="4483" spans="1:9" x14ac:dyDescent="0.3">
      <c r="A4483">
        <v>14482</v>
      </c>
      <c r="B4483">
        <v>98</v>
      </c>
      <c r="C4483" s="2">
        <v>45359</v>
      </c>
      <c r="D4483" s="2" t="str">
        <f>TEXT(Table3[[#This Row],[usage_date]],"mmmm")</f>
        <v>March</v>
      </c>
      <c r="E4483" s="9">
        <f>YEAR(Table3[[#This Row],[usage_date]])</f>
        <v>2024</v>
      </c>
      <c r="F4483" s="14">
        <v>0.2</v>
      </c>
      <c r="G4483">
        <v>285</v>
      </c>
      <c r="H4483" t="s">
        <v>12</v>
      </c>
      <c r="I4483" t="str">
        <f t="shared" si="70"/>
        <v>Normal Usage</v>
      </c>
    </row>
    <row r="4484" spans="1:9" x14ac:dyDescent="0.3">
      <c r="A4484">
        <v>14483</v>
      </c>
      <c r="B4484">
        <v>171</v>
      </c>
      <c r="C4484" s="2">
        <v>44822</v>
      </c>
      <c r="D4484" s="2" t="str">
        <f>TEXT(Table3[[#This Row],[usage_date]],"mmmm")</f>
        <v>September</v>
      </c>
      <c r="E4484" s="9">
        <f>YEAR(Table3[[#This Row],[usage_date]])</f>
        <v>2022</v>
      </c>
      <c r="F4484" s="14">
        <v>1.39</v>
      </c>
      <c r="G4484">
        <v>264</v>
      </c>
      <c r="H4484" t="s">
        <v>12</v>
      </c>
      <c r="I4484" t="str">
        <f t="shared" si="70"/>
        <v>Normal Usage</v>
      </c>
    </row>
    <row r="4485" spans="1:9" x14ac:dyDescent="0.3">
      <c r="A4485">
        <v>14484</v>
      </c>
      <c r="B4485">
        <v>382</v>
      </c>
      <c r="C4485" s="2">
        <v>45448</v>
      </c>
      <c r="D4485" s="2" t="str">
        <f>TEXT(Table3[[#This Row],[usage_date]],"mmmm")</f>
        <v>June</v>
      </c>
      <c r="E4485" s="9">
        <f>YEAR(Table3[[#This Row],[usage_date]])</f>
        <v>2024</v>
      </c>
      <c r="F4485" s="14">
        <v>7.29</v>
      </c>
      <c r="G4485">
        <v>219</v>
      </c>
      <c r="H4485" t="s">
        <v>12</v>
      </c>
      <c r="I4485" t="str">
        <f t="shared" si="70"/>
        <v>High Usage</v>
      </c>
    </row>
    <row r="4486" spans="1:9" x14ac:dyDescent="0.3">
      <c r="A4486">
        <v>14485</v>
      </c>
      <c r="B4486">
        <v>173</v>
      </c>
      <c r="C4486" s="2">
        <v>45296</v>
      </c>
      <c r="D4486" s="2" t="str">
        <f>TEXT(Table3[[#This Row],[usage_date]],"mmmm")</f>
        <v>January</v>
      </c>
      <c r="E4486" s="9">
        <f>YEAR(Table3[[#This Row],[usage_date]])</f>
        <v>2024</v>
      </c>
      <c r="F4486" s="14">
        <v>0.61</v>
      </c>
      <c r="G4486">
        <v>215</v>
      </c>
      <c r="H4486" t="s">
        <v>12</v>
      </c>
      <c r="I4486" t="str">
        <f t="shared" si="70"/>
        <v>Normal Usage</v>
      </c>
    </row>
    <row r="4487" spans="1:9" x14ac:dyDescent="0.3">
      <c r="A4487">
        <v>14486</v>
      </c>
      <c r="B4487">
        <v>151</v>
      </c>
      <c r="C4487" s="2">
        <v>44760</v>
      </c>
      <c r="D4487" s="2" t="str">
        <f>TEXT(Table3[[#This Row],[usage_date]],"mmmm")</f>
        <v>July</v>
      </c>
      <c r="E4487" s="9">
        <f>YEAR(Table3[[#This Row],[usage_date]])</f>
        <v>2022</v>
      </c>
      <c r="F4487" s="14">
        <v>0.74</v>
      </c>
      <c r="G4487">
        <v>155</v>
      </c>
      <c r="H4487" t="s">
        <v>12</v>
      </c>
      <c r="I4487" t="str">
        <f t="shared" si="70"/>
        <v>Normal Usage</v>
      </c>
    </row>
    <row r="4488" spans="1:9" x14ac:dyDescent="0.3">
      <c r="A4488">
        <v>14487</v>
      </c>
      <c r="B4488">
        <v>453</v>
      </c>
      <c r="C4488" s="2">
        <v>44772</v>
      </c>
      <c r="D4488" s="2" t="str">
        <f>TEXT(Table3[[#This Row],[usage_date]],"mmmm")</f>
        <v>July</v>
      </c>
      <c r="E4488" s="9">
        <f>YEAR(Table3[[#This Row],[usage_date]])</f>
        <v>2022</v>
      </c>
      <c r="F4488" s="14">
        <v>0.27</v>
      </c>
      <c r="G4488">
        <v>215</v>
      </c>
      <c r="H4488" t="s">
        <v>12</v>
      </c>
      <c r="I4488" t="str">
        <f t="shared" si="70"/>
        <v>Normal Usage</v>
      </c>
    </row>
    <row r="4489" spans="1:9" x14ac:dyDescent="0.3">
      <c r="A4489">
        <v>14488</v>
      </c>
      <c r="B4489">
        <v>350</v>
      </c>
      <c r="C4489" s="2">
        <v>44848</v>
      </c>
      <c r="D4489" s="2" t="str">
        <f>TEXT(Table3[[#This Row],[usage_date]],"mmmm")</f>
        <v>October</v>
      </c>
      <c r="E4489" s="9">
        <f>YEAR(Table3[[#This Row],[usage_date]])</f>
        <v>2022</v>
      </c>
      <c r="F4489" s="14">
        <v>2.33</v>
      </c>
      <c r="G4489">
        <v>113</v>
      </c>
      <c r="H4489" t="s">
        <v>12</v>
      </c>
      <c r="I4489" t="str">
        <f t="shared" si="70"/>
        <v>Normal Usage</v>
      </c>
    </row>
    <row r="4490" spans="1:9" x14ac:dyDescent="0.3">
      <c r="A4490">
        <v>14489</v>
      </c>
      <c r="B4490">
        <v>390</v>
      </c>
      <c r="C4490" s="2">
        <v>45253</v>
      </c>
      <c r="D4490" s="2" t="str">
        <f>TEXT(Table3[[#This Row],[usage_date]],"mmmm")</f>
        <v>November</v>
      </c>
      <c r="E4490" s="9">
        <f>YEAR(Table3[[#This Row],[usage_date]])</f>
        <v>2023</v>
      </c>
      <c r="F4490" s="14">
        <v>2.85</v>
      </c>
      <c r="G4490">
        <v>160</v>
      </c>
      <c r="H4490" t="s">
        <v>13</v>
      </c>
      <c r="I4490" t="str">
        <f t="shared" si="70"/>
        <v>Normal Usage</v>
      </c>
    </row>
    <row r="4491" spans="1:9" x14ac:dyDescent="0.3">
      <c r="A4491">
        <v>14490</v>
      </c>
      <c r="B4491">
        <v>440</v>
      </c>
      <c r="C4491" s="2">
        <v>45323</v>
      </c>
      <c r="D4491" s="2" t="str">
        <f>TEXT(Table3[[#This Row],[usage_date]],"mmmm")</f>
        <v>February</v>
      </c>
      <c r="E4491" s="9">
        <f>YEAR(Table3[[#This Row],[usage_date]])</f>
        <v>2024</v>
      </c>
      <c r="F4491" s="14">
        <v>2.57</v>
      </c>
      <c r="G4491">
        <v>97</v>
      </c>
      <c r="H4491" t="s">
        <v>12</v>
      </c>
      <c r="I4491" t="str">
        <f t="shared" si="70"/>
        <v>Normal Usage</v>
      </c>
    </row>
    <row r="4492" spans="1:9" x14ac:dyDescent="0.3">
      <c r="A4492">
        <v>14491</v>
      </c>
      <c r="B4492">
        <v>122</v>
      </c>
      <c r="C4492" s="2">
        <v>45304</v>
      </c>
      <c r="D4492" s="2" t="str">
        <f>TEXT(Table3[[#This Row],[usage_date]],"mmmm")</f>
        <v>January</v>
      </c>
      <c r="E4492" s="9">
        <f>YEAR(Table3[[#This Row],[usage_date]])</f>
        <v>2024</v>
      </c>
      <c r="F4492" s="14">
        <v>4.9400000000000004</v>
      </c>
      <c r="G4492">
        <v>156</v>
      </c>
      <c r="H4492" t="s">
        <v>12</v>
      </c>
      <c r="I4492" t="str">
        <f t="shared" si="70"/>
        <v>Normal Usage</v>
      </c>
    </row>
    <row r="4493" spans="1:9" x14ac:dyDescent="0.3">
      <c r="A4493">
        <v>14492</v>
      </c>
      <c r="B4493">
        <v>494</v>
      </c>
      <c r="C4493" s="2">
        <v>45033</v>
      </c>
      <c r="D4493" s="2" t="str">
        <f>TEXT(Table3[[#This Row],[usage_date]],"mmmm")</f>
        <v>April</v>
      </c>
      <c r="E4493" s="9">
        <f>YEAR(Table3[[#This Row],[usage_date]])</f>
        <v>2023</v>
      </c>
      <c r="F4493" s="14">
        <v>1.67</v>
      </c>
      <c r="G4493">
        <v>161</v>
      </c>
      <c r="H4493" t="s">
        <v>12</v>
      </c>
      <c r="I4493" t="str">
        <f t="shared" si="70"/>
        <v>Normal Usage</v>
      </c>
    </row>
    <row r="4494" spans="1:9" x14ac:dyDescent="0.3">
      <c r="A4494">
        <v>14493</v>
      </c>
      <c r="B4494">
        <v>108</v>
      </c>
      <c r="C4494" s="2">
        <v>45043</v>
      </c>
      <c r="D4494" s="2" t="str">
        <f>TEXT(Table3[[#This Row],[usage_date]],"mmmm")</f>
        <v>April</v>
      </c>
      <c r="E4494" s="9">
        <f>YEAR(Table3[[#This Row],[usage_date]])</f>
        <v>2023</v>
      </c>
      <c r="F4494" s="14">
        <v>0.36</v>
      </c>
      <c r="G4494">
        <v>41</v>
      </c>
      <c r="H4494" t="s">
        <v>13</v>
      </c>
      <c r="I4494" t="str">
        <f t="shared" si="70"/>
        <v>Normal Usage</v>
      </c>
    </row>
    <row r="4495" spans="1:9" x14ac:dyDescent="0.3">
      <c r="A4495">
        <v>14494</v>
      </c>
      <c r="B4495">
        <v>4</v>
      </c>
      <c r="C4495" s="2">
        <v>44584</v>
      </c>
      <c r="D4495" s="2" t="str">
        <f>TEXT(Table3[[#This Row],[usage_date]],"mmmm")</f>
        <v>January</v>
      </c>
      <c r="E4495" s="9">
        <f>YEAR(Table3[[#This Row],[usage_date]])</f>
        <v>2022</v>
      </c>
      <c r="F4495" s="14">
        <v>0.85</v>
      </c>
      <c r="G4495">
        <v>179</v>
      </c>
      <c r="H4495" t="s">
        <v>12</v>
      </c>
      <c r="I4495" t="str">
        <f t="shared" si="70"/>
        <v>Normal Usage</v>
      </c>
    </row>
    <row r="4496" spans="1:9" x14ac:dyDescent="0.3">
      <c r="A4496">
        <v>14495</v>
      </c>
      <c r="B4496">
        <v>93</v>
      </c>
      <c r="C4496" s="2">
        <v>45121</v>
      </c>
      <c r="D4496" s="2" t="str">
        <f>TEXT(Table3[[#This Row],[usage_date]],"mmmm")</f>
        <v>July</v>
      </c>
      <c r="E4496" s="9">
        <f>YEAR(Table3[[#This Row],[usage_date]])</f>
        <v>2023</v>
      </c>
      <c r="F4496" s="14">
        <v>2.71</v>
      </c>
      <c r="G4496">
        <v>50</v>
      </c>
      <c r="H4496" t="s">
        <v>12</v>
      </c>
      <c r="I4496" t="str">
        <f t="shared" si="70"/>
        <v>Normal Usage</v>
      </c>
    </row>
    <row r="4497" spans="1:9" x14ac:dyDescent="0.3">
      <c r="A4497">
        <v>14496</v>
      </c>
      <c r="B4497">
        <v>407</v>
      </c>
      <c r="C4497" s="2">
        <v>44670</v>
      </c>
      <c r="D4497" s="2" t="str">
        <f>TEXT(Table3[[#This Row],[usage_date]],"mmmm")</f>
        <v>April</v>
      </c>
      <c r="E4497" s="9">
        <f>YEAR(Table3[[#This Row],[usage_date]])</f>
        <v>2022</v>
      </c>
      <c r="F4497" s="14">
        <v>2.37</v>
      </c>
      <c r="G4497">
        <v>251</v>
      </c>
      <c r="H4497" t="s">
        <v>13</v>
      </c>
      <c r="I4497" t="str">
        <f t="shared" si="70"/>
        <v>Normal Usage</v>
      </c>
    </row>
    <row r="4498" spans="1:9" x14ac:dyDescent="0.3">
      <c r="A4498">
        <v>14497</v>
      </c>
      <c r="B4498">
        <v>6</v>
      </c>
      <c r="C4498" s="2">
        <v>44857</v>
      </c>
      <c r="D4498" s="2" t="str">
        <f>TEXT(Table3[[#This Row],[usage_date]],"mmmm")</f>
        <v>October</v>
      </c>
      <c r="E4498" s="9">
        <f>YEAR(Table3[[#This Row],[usage_date]])</f>
        <v>2022</v>
      </c>
      <c r="F4498" s="14">
        <v>1.89</v>
      </c>
      <c r="G4498">
        <v>119</v>
      </c>
      <c r="H4498" t="s">
        <v>13</v>
      </c>
      <c r="I4498" t="str">
        <f t="shared" si="70"/>
        <v>Normal Usage</v>
      </c>
    </row>
    <row r="4499" spans="1:9" x14ac:dyDescent="0.3">
      <c r="A4499">
        <v>14498</v>
      </c>
      <c r="B4499">
        <v>288</v>
      </c>
      <c r="C4499" s="2">
        <v>44567</v>
      </c>
      <c r="D4499" s="2" t="str">
        <f>TEXT(Table3[[#This Row],[usage_date]],"mmmm")</f>
        <v>January</v>
      </c>
      <c r="E4499" s="9">
        <f>YEAR(Table3[[#This Row],[usage_date]])</f>
        <v>2022</v>
      </c>
      <c r="F4499" s="14">
        <v>2.87</v>
      </c>
      <c r="G4499">
        <v>74</v>
      </c>
      <c r="H4499" t="s">
        <v>13</v>
      </c>
      <c r="I4499" t="str">
        <f t="shared" si="70"/>
        <v>Normal Usage</v>
      </c>
    </row>
    <row r="4500" spans="1:9" x14ac:dyDescent="0.3">
      <c r="A4500">
        <v>14499</v>
      </c>
      <c r="B4500">
        <v>106</v>
      </c>
      <c r="C4500" s="2">
        <v>45111</v>
      </c>
      <c r="D4500" s="2" t="str">
        <f>TEXT(Table3[[#This Row],[usage_date]],"mmmm")</f>
        <v>July</v>
      </c>
      <c r="E4500" s="9">
        <f>YEAR(Table3[[#This Row],[usage_date]])</f>
        <v>2023</v>
      </c>
      <c r="F4500" s="14">
        <v>2.54</v>
      </c>
      <c r="G4500">
        <v>161</v>
      </c>
      <c r="H4500" t="s">
        <v>12</v>
      </c>
      <c r="I4500" t="str">
        <f t="shared" si="70"/>
        <v>Normal Usage</v>
      </c>
    </row>
    <row r="4501" spans="1:9" x14ac:dyDescent="0.3">
      <c r="A4501">
        <v>14500</v>
      </c>
      <c r="B4501">
        <v>146</v>
      </c>
      <c r="C4501" s="2">
        <v>45242</v>
      </c>
      <c r="D4501" s="2" t="str">
        <f>TEXT(Table3[[#This Row],[usage_date]],"mmmm")</f>
        <v>November</v>
      </c>
      <c r="E4501" s="9">
        <f>YEAR(Table3[[#This Row],[usage_date]])</f>
        <v>2023</v>
      </c>
      <c r="F4501" s="14">
        <v>5.33</v>
      </c>
      <c r="G4501">
        <v>148</v>
      </c>
      <c r="H4501" t="s">
        <v>13</v>
      </c>
      <c r="I4501" t="str">
        <f t="shared" si="70"/>
        <v>Normal Usage</v>
      </c>
    </row>
    <row r="4502" spans="1:9" x14ac:dyDescent="0.3">
      <c r="A4502">
        <v>14501</v>
      </c>
      <c r="B4502">
        <v>271</v>
      </c>
      <c r="C4502" s="2">
        <v>45429</v>
      </c>
      <c r="D4502" s="2" t="str">
        <f>TEXT(Table3[[#This Row],[usage_date]],"mmmm")</f>
        <v>May</v>
      </c>
      <c r="E4502" s="9">
        <f>YEAR(Table3[[#This Row],[usage_date]])</f>
        <v>2024</v>
      </c>
      <c r="F4502" s="14">
        <v>2.2000000000000002</v>
      </c>
      <c r="G4502">
        <v>122</v>
      </c>
      <c r="H4502" t="s">
        <v>12</v>
      </c>
      <c r="I4502" t="str">
        <f t="shared" si="70"/>
        <v>Normal Usage</v>
      </c>
    </row>
    <row r="4503" spans="1:9" x14ac:dyDescent="0.3">
      <c r="A4503">
        <v>14502</v>
      </c>
      <c r="B4503">
        <v>424</v>
      </c>
      <c r="C4503" s="2">
        <v>45356</v>
      </c>
      <c r="D4503" s="2" t="str">
        <f>TEXT(Table3[[#This Row],[usage_date]],"mmmm")</f>
        <v>March</v>
      </c>
      <c r="E4503" s="9">
        <f>YEAR(Table3[[#This Row],[usage_date]])</f>
        <v>2024</v>
      </c>
      <c r="F4503" s="14">
        <v>3.77</v>
      </c>
      <c r="G4503">
        <v>140</v>
      </c>
      <c r="H4503" t="s">
        <v>13</v>
      </c>
      <c r="I4503" t="str">
        <f t="shared" si="70"/>
        <v>Normal Usage</v>
      </c>
    </row>
    <row r="4504" spans="1:9" x14ac:dyDescent="0.3">
      <c r="A4504">
        <v>14503</v>
      </c>
      <c r="B4504">
        <v>378</v>
      </c>
      <c r="C4504" s="2">
        <v>44764</v>
      </c>
      <c r="D4504" s="2" t="str">
        <f>TEXT(Table3[[#This Row],[usage_date]],"mmmm")</f>
        <v>July</v>
      </c>
      <c r="E4504" s="9">
        <f>YEAR(Table3[[#This Row],[usage_date]])</f>
        <v>2022</v>
      </c>
      <c r="F4504" s="14">
        <v>0.71</v>
      </c>
      <c r="G4504">
        <v>181</v>
      </c>
      <c r="H4504" t="s">
        <v>12</v>
      </c>
      <c r="I4504" t="str">
        <f t="shared" si="70"/>
        <v>Normal Usage</v>
      </c>
    </row>
    <row r="4505" spans="1:9" x14ac:dyDescent="0.3">
      <c r="A4505">
        <v>14504</v>
      </c>
      <c r="B4505">
        <v>96</v>
      </c>
      <c r="C4505" s="2">
        <v>44886</v>
      </c>
      <c r="D4505" s="2" t="str">
        <f>TEXT(Table3[[#This Row],[usage_date]],"mmmm")</f>
        <v>November</v>
      </c>
      <c r="E4505" s="9">
        <f>YEAR(Table3[[#This Row],[usage_date]])</f>
        <v>2022</v>
      </c>
      <c r="F4505" s="14">
        <v>2.83</v>
      </c>
      <c r="G4505">
        <v>276</v>
      </c>
      <c r="H4505" t="s">
        <v>13</v>
      </c>
      <c r="I4505" t="str">
        <f t="shared" si="70"/>
        <v>Normal Usage</v>
      </c>
    </row>
    <row r="4506" spans="1:9" x14ac:dyDescent="0.3">
      <c r="A4506">
        <v>14505</v>
      </c>
      <c r="B4506">
        <v>457</v>
      </c>
      <c r="C4506" s="2">
        <v>45386</v>
      </c>
      <c r="D4506" s="2" t="str">
        <f>TEXT(Table3[[#This Row],[usage_date]],"mmmm")</f>
        <v>April</v>
      </c>
      <c r="E4506" s="9">
        <f>YEAR(Table3[[#This Row],[usage_date]])</f>
        <v>2024</v>
      </c>
      <c r="F4506" s="14">
        <v>5.81</v>
      </c>
      <c r="G4506">
        <v>256</v>
      </c>
      <c r="H4506" t="s">
        <v>13</v>
      </c>
      <c r="I4506" t="str">
        <f t="shared" si="70"/>
        <v>Normal Usage</v>
      </c>
    </row>
    <row r="4507" spans="1:9" x14ac:dyDescent="0.3">
      <c r="A4507">
        <v>14506</v>
      </c>
      <c r="B4507">
        <v>229</v>
      </c>
      <c r="C4507" s="2">
        <v>45346</v>
      </c>
      <c r="D4507" s="2" t="str">
        <f>TEXT(Table3[[#This Row],[usage_date]],"mmmm")</f>
        <v>February</v>
      </c>
      <c r="E4507" s="9">
        <f>YEAR(Table3[[#This Row],[usage_date]])</f>
        <v>2024</v>
      </c>
      <c r="F4507" s="14">
        <v>1.22</v>
      </c>
      <c r="G4507">
        <v>244</v>
      </c>
      <c r="H4507" t="s">
        <v>12</v>
      </c>
      <c r="I4507" t="str">
        <f t="shared" si="70"/>
        <v>Normal Usage</v>
      </c>
    </row>
    <row r="4508" spans="1:9" x14ac:dyDescent="0.3">
      <c r="A4508">
        <v>14507</v>
      </c>
      <c r="B4508">
        <v>202</v>
      </c>
      <c r="C4508" s="2">
        <v>44805</v>
      </c>
      <c r="D4508" s="2" t="str">
        <f>TEXT(Table3[[#This Row],[usage_date]],"mmmm")</f>
        <v>September</v>
      </c>
      <c r="E4508" s="9">
        <f>YEAR(Table3[[#This Row],[usage_date]])</f>
        <v>2022</v>
      </c>
      <c r="F4508" s="14">
        <v>3.78</v>
      </c>
      <c r="G4508">
        <v>85</v>
      </c>
      <c r="H4508" t="s">
        <v>13</v>
      </c>
      <c r="I4508" t="str">
        <f t="shared" si="70"/>
        <v>Normal Usage</v>
      </c>
    </row>
    <row r="4509" spans="1:9" x14ac:dyDescent="0.3">
      <c r="A4509">
        <v>14508</v>
      </c>
      <c r="B4509">
        <v>212</v>
      </c>
      <c r="C4509" s="2">
        <v>44888</v>
      </c>
      <c r="D4509" s="2" t="str">
        <f>TEXT(Table3[[#This Row],[usage_date]],"mmmm")</f>
        <v>November</v>
      </c>
      <c r="E4509" s="9">
        <f>YEAR(Table3[[#This Row],[usage_date]])</f>
        <v>2022</v>
      </c>
      <c r="F4509" s="14">
        <v>3.23</v>
      </c>
      <c r="G4509">
        <v>70</v>
      </c>
      <c r="H4509" t="s">
        <v>12</v>
      </c>
      <c r="I4509" t="str">
        <f t="shared" si="70"/>
        <v>Normal Usage</v>
      </c>
    </row>
    <row r="4510" spans="1:9" x14ac:dyDescent="0.3">
      <c r="A4510">
        <v>14509</v>
      </c>
      <c r="B4510">
        <v>6</v>
      </c>
      <c r="C4510" s="2">
        <v>44608</v>
      </c>
      <c r="D4510" s="2" t="str">
        <f>TEXT(Table3[[#This Row],[usage_date]],"mmmm")</f>
        <v>February</v>
      </c>
      <c r="E4510" s="9">
        <f>YEAR(Table3[[#This Row],[usage_date]])</f>
        <v>2022</v>
      </c>
      <c r="F4510" s="14">
        <v>0.15</v>
      </c>
      <c r="G4510">
        <v>268</v>
      </c>
      <c r="H4510" t="s">
        <v>12</v>
      </c>
      <c r="I4510" t="str">
        <f t="shared" si="70"/>
        <v>Normal Usage</v>
      </c>
    </row>
    <row r="4511" spans="1:9" x14ac:dyDescent="0.3">
      <c r="A4511">
        <v>14510</v>
      </c>
      <c r="B4511">
        <v>112</v>
      </c>
      <c r="C4511" s="2">
        <v>45322</v>
      </c>
      <c r="D4511" s="2" t="str">
        <f>TEXT(Table3[[#This Row],[usage_date]],"mmmm")</f>
        <v>January</v>
      </c>
      <c r="E4511" s="9">
        <f>YEAR(Table3[[#This Row],[usage_date]])</f>
        <v>2024</v>
      </c>
      <c r="F4511" s="14">
        <v>2.1800000000000002</v>
      </c>
      <c r="G4511">
        <v>179</v>
      </c>
      <c r="H4511" t="s">
        <v>12</v>
      </c>
      <c r="I4511" t="str">
        <f t="shared" si="70"/>
        <v>Normal Usage</v>
      </c>
    </row>
    <row r="4512" spans="1:9" x14ac:dyDescent="0.3">
      <c r="A4512">
        <v>14511</v>
      </c>
      <c r="B4512">
        <v>376</v>
      </c>
      <c r="C4512" s="2">
        <v>45152</v>
      </c>
      <c r="D4512" s="2" t="str">
        <f>TEXT(Table3[[#This Row],[usage_date]],"mmmm")</f>
        <v>August</v>
      </c>
      <c r="E4512" s="9">
        <f>YEAR(Table3[[#This Row],[usage_date]])</f>
        <v>2023</v>
      </c>
      <c r="F4512" s="14">
        <v>0.35</v>
      </c>
      <c r="G4512">
        <v>278</v>
      </c>
      <c r="H4512" t="s">
        <v>13</v>
      </c>
      <c r="I4512" t="str">
        <f t="shared" si="70"/>
        <v>Normal Usage</v>
      </c>
    </row>
    <row r="4513" spans="1:9" x14ac:dyDescent="0.3">
      <c r="A4513">
        <v>14512</v>
      </c>
      <c r="B4513">
        <v>379</v>
      </c>
      <c r="C4513" s="2">
        <v>45183</v>
      </c>
      <c r="D4513" s="2" t="str">
        <f>TEXT(Table3[[#This Row],[usage_date]],"mmmm")</f>
        <v>September</v>
      </c>
      <c r="E4513" s="9">
        <f>YEAR(Table3[[#This Row],[usage_date]])</f>
        <v>2023</v>
      </c>
      <c r="F4513" s="14">
        <v>8.5500000000000007</v>
      </c>
      <c r="G4513">
        <v>148</v>
      </c>
      <c r="H4513" t="s">
        <v>12</v>
      </c>
      <c r="I4513" t="str">
        <f t="shared" si="70"/>
        <v>High Usage</v>
      </c>
    </row>
    <row r="4514" spans="1:9" x14ac:dyDescent="0.3">
      <c r="A4514">
        <v>14513</v>
      </c>
      <c r="B4514">
        <v>447</v>
      </c>
      <c r="C4514" s="2">
        <v>44574</v>
      </c>
      <c r="D4514" s="2" t="str">
        <f>TEXT(Table3[[#This Row],[usage_date]],"mmmm")</f>
        <v>January</v>
      </c>
      <c r="E4514" s="9">
        <f>YEAR(Table3[[#This Row],[usage_date]])</f>
        <v>2022</v>
      </c>
      <c r="F4514" s="14">
        <v>4.17</v>
      </c>
      <c r="G4514">
        <v>5</v>
      </c>
      <c r="H4514" t="s">
        <v>12</v>
      </c>
      <c r="I4514" t="str">
        <f t="shared" si="70"/>
        <v>Normal Usage</v>
      </c>
    </row>
    <row r="4515" spans="1:9" x14ac:dyDescent="0.3">
      <c r="A4515">
        <v>14514</v>
      </c>
      <c r="B4515">
        <v>323</v>
      </c>
      <c r="C4515" s="2">
        <v>44941</v>
      </c>
      <c r="D4515" s="2" t="str">
        <f>TEXT(Table3[[#This Row],[usage_date]],"mmmm")</f>
        <v>January</v>
      </c>
      <c r="E4515" s="9">
        <f>YEAR(Table3[[#This Row],[usage_date]])</f>
        <v>2023</v>
      </c>
      <c r="F4515" s="14">
        <v>0.28999999999999998</v>
      </c>
      <c r="G4515">
        <v>147</v>
      </c>
      <c r="H4515" t="s">
        <v>12</v>
      </c>
      <c r="I4515" t="str">
        <f t="shared" si="70"/>
        <v>Normal Usage</v>
      </c>
    </row>
    <row r="4516" spans="1:9" x14ac:dyDescent="0.3">
      <c r="A4516">
        <v>14515</v>
      </c>
      <c r="B4516">
        <v>106</v>
      </c>
      <c r="C4516" s="2">
        <v>44926</v>
      </c>
      <c r="D4516" s="2" t="str">
        <f>TEXT(Table3[[#This Row],[usage_date]],"mmmm")</f>
        <v>December</v>
      </c>
      <c r="E4516" s="9">
        <f>YEAR(Table3[[#This Row],[usage_date]])</f>
        <v>2022</v>
      </c>
      <c r="F4516" s="14">
        <v>0.32</v>
      </c>
      <c r="G4516">
        <v>167</v>
      </c>
      <c r="H4516" t="s">
        <v>13</v>
      </c>
      <c r="I4516" t="str">
        <f t="shared" si="70"/>
        <v>Normal Usage</v>
      </c>
    </row>
    <row r="4517" spans="1:9" x14ac:dyDescent="0.3">
      <c r="A4517">
        <v>14516</v>
      </c>
      <c r="B4517">
        <v>139</v>
      </c>
      <c r="C4517" s="2">
        <v>45163</v>
      </c>
      <c r="D4517" s="2" t="str">
        <f>TEXT(Table3[[#This Row],[usage_date]],"mmmm")</f>
        <v>August</v>
      </c>
      <c r="E4517" s="9">
        <f>YEAR(Table3[[#This Row],[usage_date]])</f>
        <v>2023</v>
      </c>
      <c r="F4517" s="14">
        <v>2.2599999999999998</v>
      </c>
      <c r="G4517">
        <v>8</v>
      </c>
      <c r="H4517" t="s">
        <v>13</v>
      </c>
      <c r="I4517" t="str">
        <f t="shared" si="70"/>
        <v>Normal Usage</v>
      </c>
    </row>
    <row r="4518" spans="1:9" x14ac:dyDescent="0.3">
      <c r="A4518">
        <v>14517</v>
      </c>
      <c r="B4518">
        <v>299</v>
      </c>
      <c r="C4518" s="2">
        <v>44903</v>
      </c>
      <c r="D4518" s="2" t="str">
        <f>TEXT(Table3[[#This Row],[usage_date]],"mmmm")</f>
        <v>December</v>
      </c>
      <c r="E4518" s="9">
        <f>YEAR(Table3[[#This Row],[usage_date]])</f>
        <v>2022</v>
      </c>
      <c r="F4518" s="14">
        <v>1.06</v>
      </c>
      <c r="G4518">
        <v>177</v>
      </c>
      <c r="H4518" t="s">
        <v>12</v>
      </c>
      <c r="I4518" t="str">
        <f t="shared" si="70"/>
        <v>Normal Usage</v>
      </c>
    </row>
    <row r="4519" spans="1:9" x14ac:dyDescent="0.3">
      <c r="A4519">
        <v>14518</v>
      </c>
      <c r="B4519">
        <v>401</v>
      </c>
      <c r="C4519" s="2">
        <v>45421</v>
      </c>
      <c r="D4519" s="2" t="str">
        <f>TEXT(Table3[[#This Row],[usage_date]],"mmmm")</f>
        <v>May</v>
      </c>
      <c r="E4519" s="9">
        <f>YEAR(Table3[[#This Row],[usage_date]])</f>
        <v>2024</v>
      </c>
      <c r="F4519" s="14">
        <v>0.09</v>
      </c>
      <c r="G4519">
        <v>283</v>
      </c>
      <c r="H4519" t="s">
        <v>12</v>
      </c>
      <c r="I4519" t="str">
        <f t="shared" si="70"/>
        <v>Normal Usage</v>
      </c>
    </row>
    <row r="4520" spans="1:9" x14ac:dyDescent="0.3">
      <c r="A4520">
        <v>14519</v>
      </c>
      <c r="B4520">
        <v>96</v>
      </c>
      <c r="C4520" s="2">
        <v>45353</v>
      </c>
      <c r="D4520" s="2" t="str">
        <f>TEXT(Table3[[#This Row],[usage_date]],"mmmm")</f>
        <v>March</v>
      </c>
      <c r="E4520" s="9">
        <f>YEAR(Table3[[#This Row],[usage_date]])</f>
        <v>2024</v>
      </c>
      <c r="F4520" s="14">
        <v>1.95</v>
      </c>
      <c r="G4520">
        <v>115</v>
      </c>
      <c r="H4520" t="s">
        <v>12</v>
      </c>
      <c r="I4520" t="str">
        <f t="shared" si="70"/>
        <v>Normal Usage</v>
      </c>
    </row>
    <row r="4521" spans="1:9" x14ac:dyDescent="0.3">
      <c r="A4521">
        <v>14520</v>
      </c>
      <c r="B4521">
        <v>388</v>
      </c>
      <c r="C4521" s="2">
        <v>44782</v>
      </c>
      <c r="D4521" s="2" t="str">
        <f>TEXT(Table3[[#This Row],[usage_date]],"mmmm")</f>
        <v>August</v>
      </c>
      <c r="E4521" s="9">
        <f>YEAR(Table3[[#This Row],[usage_date]])</f>
        <v>2022</v>
      </c>
      <c r="F4521" s="14">
        <v>1.23</v>
      </c>
      <c r="G4521">
        <v>95</v>
      </c>
      <c r="H4521" t="s">
        <v>12</v>
      </c>
      <c r="I4521" t="str">
        <f t="shared" si="70"/>
        <v>Normal Usage</v>
      </c>
    </row>
    <row r="4522" spans="1:9" x14ac:dyDescent="0.3">
      <c r="A4522">
        <v>14521</v>
      </c>
      <c r="B4522">
        <v>447</v>
      </c>
      <c r="C4522" s="2">
        <v>44634</v>
      </c>
      <c r="D4522" s="2" t="str">
        <f>TEXT(Table3[[#This Row],[usage_date]],"mmmm")</f>
        <v>March</v>
      </c>
      <c r="E4522" s="9">
        <f>YEAR(Table3[[#This Row],[usage_date]])</f>
        <v>2022</v>
      </c>
      <c r="F4522" s="14">
        <v>0.27</v>
      </c>
      <c r="G4522">
        <v>55</v>
      </c>
      <c r="H4522" t="s">
        <v>12</v>
      </c>
      <c r="I4522" t="str">
        <f t="shared" si="70"/>
        <v>Normal Usage</v>
      </c>
    </row>
    <row r="4523" spans="1:9" x14ac:dyDescent="0.3">
      <c r="A4523">
        <v>14522</v>
      </c>
      <c r="B4523">
        <v>452</v>
      </c>
      <c r="C4523" s="2">
        <v>45307</v>
      </c>
      <c r="D4523" s="2" t="str">
        <f>TEXT(Table3[[#This Row],[usage_date]],"mmmm")</f>
        <v>January</v>
      </c>
      <c r="E4523" s="9">
        <f>YEAR(Table3[[#This Row],[usage_date]])</f>
        <v>2024</v>
      </c>
      <c r="F4523" s="14">
        <v>4.05</v>
      </c>
      <c r="G4523">
        <v>206</v>
      </c>
      <c r="H4523" t="s">
        <v>12</v>
      </c>
      <c r="I4523" t="str">
        <f t="shared" si="70"/>
        <v>Normal Usage</v>
      </c>
    </row>
    <row r="4524" spans="1:9" x14ac:dyDescent="0.3">
      <c r="A4524">
        <v>14523</v>
      </c>
      <c r="B4524">
        <v>337</v>
      </c>
      <c r="C4524" s="2">
        <v>45333</v>
      </c>
      <c r="D4524" s="2" t="str">
        <f>TEXT(Table3[[#This Row],[usage_date]],"mmmm")</f>
        <v>February</v>
      </c>
      <c r="E4524" s="9">
        <f>YEAR(Table3[[#This Row],[usage_date]])</f>
        <v>2024</v>
      </c>
      <c r="F4524" s="14">
        <v>6.17</v>
      </c>
      <c r="G4524">
        <v>104</v>
      </c>
      <c r="H4524" t="s">
        <v>13</v>
      </c>
      <c r="I4524" t="str">
        <f t="shared" si="70"/>
        <v>High Usage</v>
      </c>
    </row>
    <row r="4525" spans="1:9" x14ac:dyDescent="0.3">
      <c r="A4525">
        <v>14524</v>
      </c>
      <c r="B4525">
        <v>297</v>
      </c>
      <c r="C4525" s="2">
        <v>45186</v>
      </c>
      <c r="D4525" s="2" t="str">
        <f>TEXT(Table3[[#This Row],[usage_date]],"mmmm")</f>
        <v>September</v>
      </c>
      <c r="E4525" s="9">
        <f>YEAR(Table3[[#This Row],[usage_date]])</f>
        <v>2023</v>
      </c>
      <c r="F4525" s="14">
        <v>3.53</v>
      </c>
      <c r="G4525">
        <v>34</v>
      </c>
      <c r="H4525" t="s">
        <v>12</v>
      </c>
      <c r="I4525" t="str">
        <f t="shared" si="70"/>
        <v>Normal Usage</v>
      </c>
    </row>
    <row r="4526" spans="1:9" x14ac:dyDescent="0.3">
      <c r="A4526">
        <v>14525</v>
      </c>
      <c r="B4526">
        <v>467</v>
      </c>
      <c r="C4526" s="2">
        <v>44607</v>
      </c>
      <c r="D4526" s="2" t="str">
        <f>TEXT(Table3[[#This Row],[usage_date]],"mmmm")</f>
        <v>February</v>
      </c>
      <c r="E4526" s="9">
        <f>YEAR(Table3[[#This Row],[usage_date]])</f>
        <v>2022</v>
      </c>
      <c r="F4526" s="14">
        <v>4.32</v>
      </c>
      <c r="G4526">
        <v>208</v>
      </c>
      <c r="H4526" t="s">
        <v>12</v>
      </c>
      <c r="I4526" t="str">
        <f t="shared" si="70"/>
        <v>Normal Usage</v>
      </c>
    </row>
    <row r="4527" spans="1:9" x14ac:dyDescent="0.3">
      <c r="A4527">
        <v>14526</v>
      </c>
      <c r="B4527">
        <v>389</v>
      </c>
      <c r="C4527" s="2">
        <v>45065</v>
      </c>
      <c r="D4527" s="2" t="str">
        <f>TEXT(Table3[[#This Row],[usage_date]],"mmmm")</f>
        <v>May</v>
      </c>
      <c r="E4527" s="9">
        <f>YEAR(Table3[[#This Row],[usage_date]])</f>
        <v>2023</v>
      </c>
      <c r="F4527" s="14">
        <v>0.61</v>
      </c>
      <c r="G4527">
        <v>280</v>
      </c>
      <c r="H4527" t="s">
        <v>12</v>
      </c>
      <c r="I4527" t="str">
        <f t="shared" si="70"/>
        <v>Normal Usage</v>
      </c>
    </row>
    <row r="4528" spans="1:9" x14ac:dyDescent="0.3">
      <c r="A4528">
        <v>14527</v>
      </c>
      <c r="B4528">
        <v>416</v>
      </c>
      <c r="C4528" s="2">
        <v>44835</v>
      </c>
      <c r="D4528" s="2" t="str">
        <f>TEXT(Table3[[#This Row],[usage_date]],"mmmm")</f>
        <v>October</v>
      </c>
      <c r="E4528" s="9">
        <f>YEAR(Table3[[#This Row],[usage_date]])</f>
        <v>2022</v>
      </c>
      <c r="F4528" s="14">
        <v>0.76</v>
      </c>
      <c r="G4528">
        <v>146</v>
      </c>
      <c r="H4528" t="s">
        <v>12</v>
      </c>
      <c r="I4528" t="str">
        <f t="shared" si="70"/>
        <v>Normal Usage</v>
      </c>
    </row>
    <row r="4529" spans="1:9" x14ac:dyDescent="0.3">
      <c r="A4529">
        <v>14528</v>
      </c>
      <c r="B4529">
        <v>214</v>
      </c>
      <c r="C4529" s="2">
        <v>45116</v>
      </c>
      <c r="D4529" s="2" t="str">
        <f>TEXT(Table3[[#This Row],[usage_date]],"mmmm")</f>
        <v>July</v>
      </c>
      <c r="E4529" s="9">
        <f>YEAR(Table3[[#This Row],[usage_date]])</f>
        <v>2023</v>
      </c>
      <c r="F4529" s="14">
        <v>0.57999999999999996</v>
      </c>
      <c r="G4529">
        <v>286</v>
      </c>
      <c r="H4529" t="s">
        <v>12</v>
      </c>
      <c r="I4529" t="str">
        <f t="shared" si="70"/>
        <v>Normal Usage</v>
      </c>
    </row>
    <row r="4530" spans="1:9" x14ac:dyDescent="0.3">
      <c r="A4530">
        <v>14529</v>
      </c>
      <c r="B4530">
        <v>454</v>
      </c>
      <c r="C4530" s="2">
        <v>44769</v>
      </c>
      <c r="D4530" s="2" t="str">
        <f>TEXT(Table3[[#This Row],[usage_date]],"mmmm")</f>
        <v>July</v>
      </c>
      <c r="E4530" s="9">
        <f>YEAR(Table3[[#This Row],[usage_date]])</f>
        <v>2022</v>
      </c>
      <c r="F4530" s="14">
        <v>3.62</v>
      </c>
      <c r="G4530">
        <v>80</v>
      </c>
      <c r="H4530" t="s">
        <v>12</v>
      </c>
      <c r="I4530" t="str">
        <f t="shared" si="70"/>
        <v>Normal Usage</v>
      </c>
    </row>
    <row r="4531" spans="1:9" x14ac:dyDescent="0.3">
      <c r="A4531">
        <v>14530</v>
      </c>
      <c r="B4531">
        <v>291</v>
      </c>
      <c r="C4531" s="2">
        <v>45422</v>
      </c>
      <c r="D4531" s="2" t="str">
        <f>TEXT(Table3[[#This Row],[usage_date]],"mmmm")</f>
        <v>May</v>
      </c>
      <c r="E4531" s="9">
        <f>YEAR(Table3[[#This Row],[usage_date]])</f>
        <v>2024</v>
      </c>
      <c r="F4531" s="14">
        <v>7.39</v>
      </c>
      <c r="G4531">
        <v>49</v>
      </c>
      <c r="H4531" t="s">
        <v>13</v>
      </c>
      <c r="I4531" t="str">
        <f t="shared" si="70"/>
        <v>High Usage</v>
      </c>
    </row>
    <row r="4532" spans="1:9" x14ac:dyDescent="0.3">
      <c r="A4532">
        <v>14531</v>
      </c>
      <c r="B4532">
        <v>22</v>
      </c>
      <c r="C4532" s="2">
        <v>45176</v>
      </c>
      <c r="D4532" s="2" t="str">
        <f>TEXT(Table3[[#This Row],[usage_date]],"mmmm")</f>
        <v>September</v>
      </c>
      <c r="E4532" s="9">
        <f>YEAR(Table3[[#This Row],[usage_date]])</f>
        <v>2023</v>
      </c>
      <c r="F4532" s="14">
        <v>3.15</v>
      </c>
      <c r="G4532">
        <v>86</v>
      </c>
      <c r="H4532" t="s">
        <v>12</v>
      </c>
      <c r="I4532" t="str">
        <f t="shared" si="70"/>
        <v>Normal Usage</v>
      </c>
    </row>
    <row r="4533" spans="1:9" x14ac:dyDescent="0.3">
      <c r="A4533">
        <v>14532</v>
      </c>
      <c r="B4533">
        <v>193</v>
      </c>
      <c r="C4533" s="2">
        <v>44685</v>
      </c>
      <c r="D4533" s="2" t="str">
        <f>TEXT(Table3[[#This Row],[usage_date]],"mmmm")</f>
        <v>May</v>
      </c>
      <c r="E4533" s="9">
        <f>YEAR(Table3[[#This Row],[usage_date]])</f>
        <v>2022</v>
      </c>
      <c r="F4533" s="14">
        <v>5.33</v>
      </c>
      <c r="G4533">
        <v>190</v>
      </c>
      <c r="H4533" t="s">
        <v>12</v>
      </c>
      <c r="I4533" t="str">
        <f t="shared" si="70"/>
        <v>Normal Usage</v>
      </c>
    </row>
    <row r="4534" spans="1:9" x14ac:dyDescent="0.3">
      <c r="A4534">
        <v>14533</v>
      </c>
      <c r="B4534">
        <v>468</v>
      </c>
      <c r="C4534" s="2">
        <v>44571</v>
      </c>
      <c r="D4534" s="2" t="str">
        <f>TEXT(Table3[[#This Row],[usage_date]],"mmmm")</f>
        <v>January</v>
      </c>
      <c r="E4534" s="9">
        <f>YEAR(Table3[[#This Row],[usage_date]])</f>
        <v>2022</v>
      </c>
      <c r="F4534" s="14">
        <v>2.5499999999999998</v>
      </c>
      <c r="G4534">
        <v>0</v>
      </c>
      <c r="H4534" t="s">
        <v>13</v>
      </c>
      <c r="I4534" t="str">
        <f t="shared" si="70"/>
        <v>Normal Usage</v>
      </c>
    </row>
    <row r="4535" spans="1:9" x14ac:dyDescent="0.3">
      <c r="A4535">
        <v>14534</v>
      </c>
      <c r="B4535">
        <v>150</v>
      </c>
      <c r="C4535" s="2">
        <v>44890</v>
      </c>
      <c r="D4535" s="2" t="str">
        <f>TEXT(Table3[[#This Row],[usage_date]],"mmmm")</f>
        <v>November</v>
      </c>
      <c r="E4535" s="9">
        <f>YEAR(Table3[[#This Row],[usage_date]])</f>
        <v>2022</v>
      </c>
      <c r="F4535" s="14">
        <v>1.23</v>
      </c>
      <c r="G4535">
        <v>137</v>
      </c>
      <c r="H4535" t="s">
        <v>13</v>
      </c>
      <c r="I4535" t="str">
        <f t="shared" si="70"/>
        <v>Normal Usage</v>
      </c>
    </row>
    <row r="4536" spans="1:9" x14ac:dyDescent="0.3">
      <c r="A4536">
        <v>14535</v>
      </c>
      <c r="B4536">
        <v>368</v>
      </c>
      <c r="C4536" s="2">
        <v>44748</v>
      </c>
      <c r="D4536" s="2" t="str">
        <f>TEXT(Table3[[#This Row],[usage_date]],"mmmm")</f>
        <v>July</v>
      </c>
      <c r="E4536" s="9">
        <f>YEAR(Table3[[#This Row],[usage_date]])</f>
        <v>2022</v>
      </c>
      <c r="F4536" s="14">
        <v>1.39</v>
      </c>
      <c r="G4536">
        <v>135</v>
      </c>
      <c r="H4536" t="s">
        <v>13</v>
      </c>
      <c r="I4536" t="str">
        <f t="shared" si="70"/>
        <v>Normal Usage</v>
      </c>
    </row>
    <row r="4537" spans="1:9" x14ac:dyDescent="0.3">
      <c r="A4537">
        <v>14536</v>
      </c>
      <c r="B4537">
        <v>247</v>
      </c>
      <c r="C4537" s="2">
        <v>45104</v>
      </c>
      <c r="D4537" s="2" t="str">
        <f>TEXT(Table3[[#This Row],[usage_date]],"mmmm")</f>
        <v>June</v>
      </c>
      <c r="E4537" s="9">
        <f>YEAR(Table3[[#This Row],[usage_date]])</f>
        <v>2023</v>
      </c>
      <c r="F4537" s="14">
        <v>0.2</v>
      </c>
      <c r="G4537">
        <v>153</v>
      </c>
      <c r="H4537" t="s">
        <v>13</v>
      </c>
      <c r="I4537" t="str">
        <f t="shared" si="70"/>
        <v>Normal Usage</v>
      </c>
    </row>
    <row r="4538" spans="1:9" x14ac:dyDescent="0.3">
      <c r="A4538">
        <v>14537</v>
      </c>
      <c r="B4538">
        <v>267</v>
      </c>
      <c r="C4538" s="2">
        <v>45229</v>
      </c>
      <c r="D4538" s="2" t="str">
        <f>TEXT(Table3[[#This Row],[usage_date]],"mmmm")</f>
        <v>October</v>
      </c>
      <c r="E4538" s="9">
        <f>YEAR(Table3[[#This Row],[usage_date]])</f>
        <v>2023</v>
      </c>
      <c r="F4538" s="14">
        <v>0.08</v>
      </c>
      <c r="G4538">
        <v>161</v>
      </c>
      <c r="H4538" t="s">
        <v>13</v>
      </c>
      <c r="I4538" t="str">
        <f t="shared" si="70"/>
        <v>Normal Usage</v>
      </c>
    </row>
    <row r="4539" spans="1:9" x14ac:dyDescent="0.3">
      <c r="A4539">
        <v>14538</v>
      </c>
      <c r="B4539">
        <v>461</v>
      </c>
      <c r="C4539" s="2">
        <v>44621</v>
      </c>
      <c r="D4539" s="2" t="str">
        <f>TEXT(Table3[[#This Row],[usage_date]],"mmmm")</f>
        <v>March</v>
      </c>
      <c r="E4539" s="9">
        <f>YEAR(Table3[[#This Row],[usage_date]])</f>
        <v>2022</v>
      </c>
      <c r="F4539" s="14">
        <v>2.97</v>
      </c>
      <c r="G4539">
        <v>18</v>
      </c>
      <c r="H4539" t="s">
        <v>12</v>
      </c>
      <c r="I4539" t="str">
        <f t="shared" si="70"/>
        <v>Normal Usage</v>
      </c>
    </row>
    <row r="4540" spans="1:9" x14ac:dyDescent="0.3">
      <c r="A4540">
        <v>14539</v>
      </c>
      <c r="B4540">
        <v>251</v>
      </c>
      <c r="C4540" s="2">
        <v>45322</v>
      </c>
      <c r="D4540" s="2" t="str">
        <f>TEXT(Table3[[#This Row],[usage_date]],"mmmm")</f>
        <v>January</v>
      </c>
      <c r="E4540" s="9">
        <f>YEAR(Table3[[#This Row],[usage_date]])</f>
        <v>2024</v>
      </c>
      <c r="F4540" s="14">
        <v>1.44</v>
      </c>
      <c r="G4540">
        <v>242</v>
      </c>
      <c r="H4540" t="s">
        <v>13</v>
      </c>
      <c r="I4540" t="str">
        <f t="shared" si="70"/>
        <v>Normal Usage</v>
      </c>
    </row>
    <row r="4541" spans="1:9" x14ac:dyDescent="0.3">
      <c r="A4541">
        <v>14540</v>
      </c>
      <c r="B4541">
        <v>490</v>
      </c>
      <c r="C4541" s="2">
        <v>45460</v>
      </c>
      <c r="D4541" s="2" t="str">
        <f>TEXT(Table3[[#This Row],[usage_date]],"mmmm")</f>
        <v>June</v>
      </c>
      <c r="E4541" s="9">
        <f>YEAR(Table3[[#This Row],[usage_date]])</f>
        <v>2024</v>
      </c>
      <c r="F4541" s="14">
        <v>2.0099999999999998</v>
      </c>
      <c r="G4541">
        <v>128</v>
      </c>
      <c r="H4541" t="s">
        <v>12</v>
      </c>
      <c r="I4541" t="str">
        <f t="shared" si="70"/>
        <v>Normal Usage</v>
      </c>
    </row>
    <row r="4542" spans="1:9" x14ac:dyDescent="0.3">
      <c r="A4542">
        <v>14541</v>
      </c>
      <c r="B4542">
        <v>3</v>
      </c>
      <c r="C4542" s="2">
        <v>45447</v>
      </c>
      <c r="D4542" s="2" t="str">
        <f>TEXT(Table3[[#This Row],[usage_date]],"mmmm")</f>
        <v>June</v>
      </c>
      <c r="E4542" s="9">
        <f>YEAR(Table3[[#This Row],[usage_date]])</f>
        <v>2024</v>
      </c>
      <c r="F4542" s="14">
        <v>2.04</v>
      </c>
      <c r="G4542">
        <v>175</v>
      </c>
      <c r="H4542" t="s">
        <v>12</v>
      </c>
      <c r="I4542" t="str">
        <f t="shared" si="70"/>
        <v>Normal Usage</v>
      </c>
    </row>
    <row r="4543" spans="1:9" x14ac:dyDescent="0.3">
      <c r="A4543">
        <v>14542</v>
      </c>
      <c r="B4543">
        <v>393</v>
      </c>
      <c r="C4543" s="2">
        <v>45343</v>
      </c>
      <c r="D4543" s="2" t="str">
        <f>TEXT(Table3[[#This Row],[usage_date]],"mmmm")</f>
        <v>February</v>
      </c>
      <c r="E4543" s="9">
        <f>YEAR(Table3[[#This Row],[usage_date]])</f>
        <v>2024</v>
      </c>
      <c r="F4543" s="14">
        <v>0.81</v>
      </c>
      <c r="G4543">
        <v>279</v>
      </c>
      <c r="H4543" t="s">
        <v>12</v>
      </c>
      <c r="I4543" t="str">
        <f t="shared" si="70"/>
        <v>Normal Usage</v>
      </c>
    </row>
    <row r="4544" spans="1:9" x14ac:dyDescent="0.3">
      <c r="A4544">
        <v>14543</v>
      </c>
      <c r="B4544">
        <v>316</v>
      </c>
      <c r="C4544" s="2">
        <v>45003</v>
      </c>
      <c r="D4544" s="2" t="str">
        <f>TEXT(Table3[[#This Row],[usage_date]],"mmmm")</f>
        <v>March</v>
      </c>
      <c r="E4544" s="9">
        <f>YEAR(Table3[[#This Row],[usage_date]])</f>
        <v>2023</v>
      </c>
      <c r="F4544" s="14">
        <v>1.62</v>
      </c>
      <c r="G4544">
        <v>83</v>
      </c>
      <c r="H4544" t="s">
        <v>12</v>
      </c>
      <c r="I4544" t="str">
        <f t="shared" si="70"/>
        <v>Normal Usage</v>
      </c>
    </row>
    <row r="4545" spans="1:9" x14ac:dyDescent="0.3">
      <c r="A4545">
        <v>14544</v>
      </c>
      <c r="B4545">
        <v>76</v>
      </c>
      <c r="C4545" s="2">
        <v>44778</v>
      </c>
      <c r="D4545" s="2" t="str">
        <f>TEXT(Table3[[#This Row],[usage_date]],"mmmm")</f>
        <v>August</v>
      </c>
      <c r="E4545" s="9">
        <f>YEAR(Table3[[#This Row],[usage_date]])</f>
        <v>2022</v>
      </c>
      <c r="F4545" s="14">
        <v>1.59</v>
      </c>
      <c r="G4545">
        <v>221</v>
      </c>
      <c r="H4545" t="s">
        <v>12</v>
      </c>
      <c r="I4545" t="str">
        <f t="shared" si="70"/>
        <v>Normal Usage</v>
      </c>
    </row>
    <row r="4546" spans="1:9" x14ac:dyDescent="0.3">
      <c r="A4546">
        <v>14545</v>
      </c>
      <c r="B4546">
        <v>87</v>
      </c>
      <c r="C4546" s="2">
        <v>44563</v>
      </c>
      <c r="D4546" s="2" t="str">
        <f>TEXT(Table3[[#This Row],[usage_date]],"mmmm")</f>
        <v>January</v>
      </c>
      <c r="E4546" s="9">
        <f>YEAR(Table3[[#This Row],[usage_date]])</f>
        <v>2022</v>
      </c>
      <c r="F4546" s="14">
        <v>1.23</v>
      </c>
      <c r="G4546">
        <v>144</v>
      </c>
      <c r="H4546" t="s">
        <v>12</v>
      </c>
      <c r="I4546" t="str">
        <f t="shared" ref="I4546:I4609" si="71">IF(F4546&gt;6,"High Usage","Normal Usage")</f>
        <v>Normal Usage</v>
      </c>
    </row>
    <row r="4547" spans="1:9" x14ac:dyDescent="0.3">
      <c r="A4547">
        <v>14546</v>
      </c>
      <c r="B4547">
        <v>270</v>
      </c>
      <c r="C4547" s="2">
        <v>45097</v>
      </c>
      <c r="D4547" s="2" t="str">
        <f>TEXT(Table3[[#This Row],[usage_date]],"mmmm")</f>
        <v>June</v>
      </c>
      <c r="E4547" s="9">
        <f>YEAR(Table3[[#This Row],[usage_date]])</f>
        <v>2023</v>
      </c>
      <c r="F4547" s="14">
        <v>4.3</v>
      </c>
      <c r="G4547">
        <v>105</v>
      </c>
      <c r="H4547" t="s">
        <v>12</v>
      </c>
      <c r="I4547" t="str">
        <f t="shared" si="71"/>
        <v>Normal Usage</v>
      </c>
    </row>
    <row r="4548" spans="1:9" x14ac:dyDescent="0.3">
      <c r="A4548">
        <v>14547</v>
      </c>
      <c r="B4548">
        <v>225</v>
      </c>
      <c r="C4548" s="2">
        <v>45279</v>
      </c>
      <c r="D4548" s="2" t="str">
        <f>TEXT(Table3[[#This Row],[usage_date]],"mmmm")</f>
        <v>December</v>
      </c>
      <c r="E4548" s="9">
        <f>YEAR(Table3[[#This Row],[usage_date]])</f>
        <v>2023</v>
      </c>
      <c r="F4548" s="14">
        <v>1.5</v>
      </c>
      <c r="G4548">
        <v>10</v>
      </c>
      <c r="H4548" t="s">
        <v>13</v>
      </c>
      <c r="I4548" t="str">
        <f t="shared" si="71"/>
        <v>Normal Usage</v>
      </c>
    </row>
    <row r="4549" spans="1:9" x14ac:dyDescent="0.3">
      <c r="A4549">
        <v>14548</v>
      </c>
      <c r="B4549">
        <v>18</v>
      </c>
      <c r="C4549" s="2">
        <v>45393</v>
      </c>
      <c r="D4549" s="2" t="str">
        <f>TEXT(Table3[[#This Row],[usage_date]],"mmmm")</f>
        <v>April</v>
      </c>
      <c r="E4549" s="9">
        <f>YEAR(Table3[[#This Row],[usage_date]])</f>
        <v>2024</v>
      </c>
      <c r="F4549" s="14">
        <v>2.31</v>
      </c>
      <c r="G4549">
        <v>165</v>
      </c>
      <c r="H4549" t="s">
        <v>13</v>
      </c>
      <c r="I4549" t="str">
        <f t="shared" si="71"/>
        <v>Normal Usage</v>
      </c>
    </row>
    <row r="4550" spans="1:9" x14ac:dyDescent="0.3">
      <c r="A4550">
        <v>14549</v>
      </c>
      <c r="B4550">
        <v>113</v>
      </c>
      <c r="C4550" s="2">
        <v>45272</v>
      </c>
      <c r="D4550" s="2" t="str">
        <f>TEXT(Table3[[#This Row],[usage_date]],"mmmm")</f>
        <v>December</v>
      </c>
      <c r="E4550" s="9">
        <f>YEAR(Table3[[#This Row],[usage_date]])</f>
        <v>2023</v>
      </c>
      <c r="F4550" s="14">
        <v>5.65</v>
      </c>
      <c r="G4550">
        <v>195</v>
      </c>
      <c r="H4550" t="s">
        <v>12</v>
      </c>
      <c r="I4550" t="str">
        <f t="shared" si="71"/>
        <v>Normal Usage</v>
      </c>
    </row>
    <row r="4551" spans="1:9" x14ac:dyDescent="0.3">
      <c r="A4551">
        <v>14550</v>
      </c>
      <c r="B4551">
        <v>251</v>
      </c>
      <c r="C4551" s="2">
        <v>44917</v>
      </c>
      <c r="D4551" s="2" t="str">
        <f>TEXT(Table3[[#This Row],[usage_date]],"mmmm")</f>
        <v>December</v>
      </c>
      <c r="E4551" s="9">
        <f>YEAR(Table3[[#This Row],[usage_date]])</f>
        <v>2022</v>
      </c>
      <c r="F4551" s="14">
        <v>5.03</v>
      </c>
      <c r="G4551">
        <v>230</v>
      </c>
      <c r="H4551" t="s">
        <v>13</v>
      </c>
      <c r="I4551" t="str">
        <f t="shared" si="71"/>
        <v>Normal Usage</v>
      </c>
    </row>
    <row r="4552" spans="1:9" x14ac:dyDescent="0.3">
      <c r="A4552">
        <v>14551</v>
      </c>
      <c r="B4552">
        <v>233</v>
      </c>
      <c r="C4552" s="2">
        <v>45187</v>
      </c>
      <c r="D4552" s="2" t="str">
        <f>TEXT(Table3[[#This Row],[usage_date]],"mmmm")</f>
        <v>September</v>
      </c>
      <c r="E4552" s="9">
        <f>YEAR(Table3[[#This Row],[usage_date]])</f>
        <v>2023</v>
      </c>
      <c r="F4552" s="14">
        <v>5.53</v>
      </c>
      <c r="G4552">
        <v>146</v>
      </c>
      <c r="H4552" t="s">
        <v>12</v>
      </c>
      <c r="I4552" t="str">
        <f t="shared" si="71"/>
        <v>Normal Usage</v>
      </c>
    </row>
    <row r="4553" spans="1:9" x14ac:dyDescent="0.3">
      <c r="A4553">
        <v>14552</v>
      </c>
      <c r="B4553">
        <v>329</v>
      </c>
      <c r="C4553" s="2">
        <v>45353</v>
      </c>
      <c r="D4553" s="2" t="str">
        <f>TEXT(Table3[[#This Row],[usage_date]],"mmmm")</f>
        <v>March</v>
      </c>
      <c r="E4553" s="9">
        <f>YEAR(Table3[[#This Row],[usage_date]])</f>
        <v>2024</v>
      </c>
      <c r="F4553" s="14">
        <v>0.79</v>
      </c>
      <c r="G4553">
        <v>237</v>
      </c>
      <c r="H4553" t="s">
        <v>13</v>
      </c>
      <c r="I4553" t="str">
        <f t="shared" si="71"/>
        <v>Normal Usage</v>
      </c>
    </row>
    <row r="4554" spans="1:9" x14ac:dyDescent="0.3">
      <c r="A4554">
        <v>14553</v>
      </c>
      <c r="B4554">
        <v>279</v>
      </c>
      <c r="C4554" s="2">
        <v>45228</v>
      </c>
      <c r="D4554" s="2" t="str">
        <f>TEXT(Table3[[#This Row],[usage_date]],"mmmm")</f>
        <v>October</v>
      </c>
      <c r="E4554" s="9">
        <f>YEAR(Table3[[#This Row],[usage_date]])</f>
        <v>2023</v>
      </c>
      <c r="F4554" s="14">
        <v>0.09</v>
      </c>
      <c r="G4554">
        <v>12</v>
      </c>
      <c r="H4554" t="s">
        <v>12</v>
      </c>
      <c r="I4554" t="str">
        <f t="shared" si="71"/>
        <v>Normal Usage</v>
      </c>
    </row>
    <row r="4555" spans="1:9" x14ac:dyDescent="0.3">
      <c r="A4555">
        <v>14554</v>
      </c>
      <c r="B4555">
        <v>202</v>
      </c>
      <c r="C4555" s="2">
        <v>44726</v>
      </c>
      <c r="D4555" s="2" t="str">
        <f>TEXT(Table3[[#This Row],[usage_date]],"mmmm")</f>
        <v>June</v>
      </c>
      <c r="E4555" s="9">
        <f>YEAR(Table3[[#This Row],[usage_date]])</f>
        <v>2022</v>
      </c>
      <c r="F4555" s="14">
        <v>0.76</v>
      </c>
      <c r="G4555">
        <v>218</v>
      </c>
      <c r="H4555" t="s">
        <v>12</v>
      </c>
      <c r="I4555" t="str">
        <f t="shared" si="71"/>
        <v>Normal Usage</v>
      </c>
    </row>
    <row r="4556" spans="1:9" x14ac:dyDescent="0.3">
      <c r="A4556">
        <v>14555</v>
      </c>
      <c r="B4556">
        <v>83</v>
      </c>
      <c r="C4556" s="2">
        <v>45295</v>
      </c>
      <c r="D4556" s="2" t="str">
        <f>TEXT(Table3[[#This Row],[usage_date]],"mmmm")</f>
        <v>January</v>
      </c>
      <c r="E4556" s="9">
        <f>YEAR(Table3[[#This Row],[usage_date]])</f>
        <v>2024</v>
      </c>
      <c r="F4556" s="14">
        <v>0.82</v>
      </c>
      <c r="G4556">
        <v>256</v>
      </c>
      <c r="H4556" t="s">
        <v>12</v>
      </c>
      <c r="I4556" t="str">
        <f t="shared" si="71"/>
        <v>Normal Usage</v>
      </c>
    </row>
    <row r="4557" spans="1:9" x14ac:dyDescent="0.3">
      <c r="A4557">
        <v>14556</v>
      </c>
      <c r="B4557">
        <v>125</v>
      </c>
      <c r="C4557" s="2">
        <v>44652</v>
      </c>
      <c r="D4557" s="2" t="str">
        <f>TEXT(Table3[[#This Row],[usage_date]],"mmmm")</f>
        <v>April</v>
      </c>
      <c r="E4557" s="9">
        <f>YEAR(Table3[[#This Row],[usage_date]])</f>
        <v>2022</v>
      </c>
      <c r="F4557" s="14">
        <v>6</v>
      </c>
      <c r="G4557">
        <v>1</v>
      </c>
      <c r="H4557" t="s">
        <v>12</v>
      </c>
      <c r="I4557" t="str">
        <f t="shared" si="71"/>
        <v>Normal Usage</v>
      </c>
    </row>
    <row r="4558" spans="1:9" x14ac:dyDescent="0.3">
      <c r="A4558">
        <v>14557</v>
      </c>
      <c r="B4558">
        <v>175</v>
      </c>
      <c r="C4558" s="2">
        <v>44728</v>
      </c>
      <c r="D4558" s="2" t="str">
        <f>TEXT(Table3[[#This Row],[usage_date]],"mmmm")</f>
        <v>June</v>
      </c>
      <c r="E4558" s="9">
        <f>YEAR(Table3[[#This Row],[usage_date]])</f>
        <v>2022</v>
      </c>
      <c r="F4558" s="14">
        <v>2.62</v>
      </c>
      <c r="G4558">
        <v>209</v>
      </c>
      <c r="H4558" t="s">
        <v>12</v>
      </c>
      <c r="I4558" t="str">
        <f t="shared" si="71"/>
        <v>Normal Usage</v>
      </c>
    </row>
    <row r="4559" spans="1:9" x14ac:dyDescent="0.3">
      <c r="A4559">
        <v>14558</v>
      </c>
      <c r="B4559">
        <v>69</v>
      </c>
      <c r="C4559" s="2">
        <v>44768</v>
      </c>
      <c r="D4559" s="2" t="str">
        <f>TEXT(Table3[[#This Row],[usage_date]],"mmmm")</f>
        <v>July</v>
      </c>
      <c r="E4559" s="9">
        <f>YEAR(Table3[[#This Row],[usage_date]])</f>
        <v>2022</v>
      </c>
      <c r="F4559" s="14">
        <v>0.21</v>
      </c>
      <c r="G4559">
        <v>224</v>
      </c>
      <c r="H4559" t="s">
        <v>12</v>
      </c>
      <c r="I4559" t="str">
        <f t="shared" si="71"/>
        <v>Normal Usage</v>
      </c>
    </row>
    <row r="4560" spans="1:9" x14ac:dyDescent="0.3">
      <c r="A4560">
        <v>14559</v>
      </c>
      <c r="B4560">
        <v>47</v>
      </c>
      <c r="C4560" s="2">
        <v>44843</v>
      </c>
      <c r="D4560" s="2" t="str">
        <f>TEXT(Table3[[#This Row],[usage_date]],"mmmm")</f>
        <v>October</v>
      </c>
      <c r="E4560" s="9">
        <f>YEAR(Table3[[#This Row],[usage_date]])</f>
        <v>2022</v>
      </c>
      <c r="F4560" s="14">
        <v>0.36</v>
      </c>
      <c r="G4560">
        <v>193</v>
      </c>
      <c r="H4560" t="s">
        <v>12</v>
      </c>
      <c r="I4560" t="str">
        <f t="shared" si="71"/>
        <v>Normal Usage</v>
      </c>
    </row>
    <row r="4561" spans="1:9" x14ac:dyDescent="0.3">
      <c r="A4561">
        <v>14560</v>
      </c>
      <c r="B4561">
        <v>372</v>
      </c>
      <c r="C4561" s="2">
        <v>44626</v>
      </c>
      <c r="D4561" s="2" t="str">
        <f>TEXT(Table3[[#This Row],[usage_date]],"mmmm")</f>
        <v>March</v>
      </c>
      <c r="E4561" s="9">
        <f>YEAR(Table3[[#This Row],[usage_date]])</f>
        <v>2022</v>
      </c>
      <c r="F4561" s="14">
        <v>0.42</v>
      </c>
      <c r="G4561">
        <v>195</v>
      </c>
      <c r="H4561" t="s">
        <v>12</v>
      </c>
      <c r="I4561" t="str">
        <f t="shared" si="71"/>
        <v>Normal Usage</v>
      </c>
    </row>
    <row r="4562" spans="1:9" x14ac:dyDescent="0.3">
      <c r="A4562">
        <v>14561</v>
      </c>
      <c r="B4562">
        <v>256</v>
      </c>
      <c r="C4562" s="2">
        <v>45449</v>
      </c>
      <c r="D4562" s="2" t="str">
        <f>TEXT(Table3[[#This Row],[usage_date]],"mmmm")</f>
        <v>June</v>
      </c>
      <c r="E4562" s="9">
        <f>YEAR(Table3[[#This Row],[usage_date]])</f>
        <v>2024</v>
      </c>
      <c r="F4562" s="14">
        <v>2.4900000000000002</v>
      </c>
      <c r="G4562">
        <v>259</v>
      </c>
      <c r="H4562" t="s">
        <v>12</v>
      </c>
      <c r="I4562" t="str">
        <f t="shared" si="71"/>
        <v>Normal Usage</v>
      </c>
    </row>
    <row r="4563" spans="1:9" x14ac:dyDescent="0.3">
      <c r="A4563">
        <v>14562</v>
      </c>
      <c r="B4563">
        <v>215</v>
      </c>
      <c r="C4563" s="2">
        <v>45077</v>
      </c>
      <c r="D4563" s="2" t="str">
        <f>TEXT(Table3[[#This Row],[usage_date]],"mmmm")</f>
        <v>May</v>
      </c>
      <c r="E4563" s="9">
        <f>YEAR(Table3[[#This Row],[usage_date]])</f>
        <v>2023</v>
      </c>
      <c r="F4563" s="14">
        <v>3.32</v>
      </c>
      <c r="G4563">
        <v>56</v>
      </c>
      <c r="H4563" t="s">
        <v>13</v>
      </c>
      <c r="I4563" t="str">
        <f t="shared" si="71"/>
        <v>Normal Usage</v>
      </c>
    </row>
    <row r="4564" spans="1:9" x14ac:dyDescent="0.3">
      <c r="A4564">
        <v>14563</v>
      </c>
      <c r="B4564">
        <v>30</v>
      </c>
      <c r="C4564" s="2">
        <v>44718</v>
      </c>
      <c r="D4564" s="2" t="str">
        <f>TEXT(Table3[[#This Row],[usage_date]],"mmmm")</f>
        <v>June</v>
      </c>
      <c r="E4564" s="9">
        <f>YEAR(Table3[[#This Row],[usage_date]])</f>
        <v>2022</v>
      </c>
      <c r="F4564" s="14">
        <v>4.91</v>
      </c>
      <c r="G4564">
        <v>112</v>
      </c>
      <c r="H4564" t="s">
        <v>12</v>
      </c>
      <c r="I4564" t="str">
        <f t="shared" si="71"/>
        <v>Normal Usage</v>
      </c>
    </row>
    <row r="4565" spans="1:9" x14ac:dyDescent="0.3">
      <c r="A4565">
        <v>14564</v>
      </c>
      <c r="B4565">
        <v>281</v>
      </c>
      <c r="C4565" s="2">
        <v>45322</v>
      </c>
      <c r="D4565" s="2" t="str">
        <f>TEXT(Table3[[#This Row],[usage_date]],"mmmm")</f>
        <v>January</v>
      </c>
      <c r="E4565" s="9">
        <f>YEAR(Table3[[#This Row],[usage_date]])</f>
        <v>2024</v>
      </c>
      <c r="F4565" s="14">
        <v>7.06</v>
      </c>
      <c r="G4565">
        <v>212</v>
      </c>
      <c r="H4565" t="s">
        <v>12</v>
      </c>
      <c r="I4565" t="str">
        <f t="shared" si="71"/>
        <v>High Usage</v>
      </c>
    </row>
    <row r="4566" spans="1:9" x14ac:dyDescent="0.3">
      <c r="A4566">
        <v>14565</v>
      </c>
      <c r="B4566">
        <v>412</v>
      </c>
      <c r="C4566" s="2">
        <v>45330</v>
      </c>
      <c r="D4566" s="2" t="str">
        <f>TEXT(Table3[[#This Row],[usage_date]],"mmmm")</f>
        <v>February</v>
      </c>
      <c r="E4566" s="9">
        <f>YEAR(Table3[[#This Row],[usage_date]])</f>
        <v>2024</v>
      </c>
      <c r="F4566" s="14">
        <v>0.56000000000000005</v>
      </c>
      <c r="G4566">
        <v>278</v>
      </c>
      <c r="H4566" t="s">
        <v>12</v>
      </c>
      <c r="I4566" t="str">
        <f t="shared" si="71"/>
        <v>Normal Usage</v>
      </c>
    </row>
    <row r="4567" spans="1:9" x14ac:dyDescent="0.3">
      <c r="A4567">
        <v>14566</v>
      </c>
      <c r="B4567">
        <v>482</v>
      </c>
      <c r="C4567" s="2">
        <v>45308</v>
      </c>
      <c r="D4567" s="2" t="str">
        <f>TEXT(Table3[[#This Row],[usage_date]],"mmmm")</f>
        <v>January</v>
      </c>
      <c r="E4567" s="9">
        <f>YEAR(Table3[[#This Row],[usage_date]])</f>
        <v>2024</v>
      </c>
      <c r="F4567" s="14">
        <v>0.93</v>
      </c>
      <c r="G4567">
        <v>243</v>
      </c>
      <c r="H4567" t="s">
        <v>13</v>
      </c>
      <c r="I4567" t="str">
        <f t="shared" si="71"/>
        <v>Normal Usage</v>
      </c>
    </row>
    <row r="4568" spans="1:9" x14ac:dyDescent="0.3">
      <c r="A4568">
        <v>14567</v>
      </c>
      <c r="B4568">
        <v>237</v>
      </c>
      <c r="C4568" s="2">
        <v>44867</v>
      </c>
      <c r="D4568" s="2" t="str">
        <f>TEXT(Table3[[#This Row],[usage_date]],"mmmm")</f>
        <v>November</v>
      </c>
      <c r="E4568" s="9">
        <f>YEAR(Table3[[#This Row],[usage_date]])</f>
        <v>2022</v>
      </c>
      <c r="F4568" s="14">
        <v>0.69</v>
      </c>
      <c r="G4568">
        <v>116</v>
      </c>
      <c r="H4568" t="s">
        <v>12</v>
      </c>
      <c r="I4568" t="str">
        <f t="shared" si="71"/>
        <v>Normal Usage</v>
      </c>
    </row>
    <row r="4569" spans="1:9" x14ac:dyDescent="0.3">
      <c r="A4569">
        <v>14568</v>
      </c>
      <c r="B4569">
        <v>248</v>
      </c>
      <c r="C4569" s="2">
        <v>45439</v>
      </c>
      <c r="D4569" s="2" t="str">
        <f>TEXT(Table3[[#This Row],[usage_date]],"mmmm")</f>
        <v>May</v>
      </c>
      <c r="E4569" s="9">
        <f>YEAR(Table3[[#This Row],[usage_date]])</f>
        <v>2024</v>
      </c>
      <c r="F4569" s="14">
        <v>1.1100000000000001</v>
      </c>
      <c r="G4569">
        <v>86</v>
      </c>
      <c r="H4569" t="s">
        <v>13</v>
      </c>
      <c r="I4569" t="str">
        <f t="shared" si="71"/>
        <v>Normal Usage</v>
      </c>
    </row>
    <row r="4570" spans="1:9" x14ac:dyDescent="0.3">
      <c r="A4570">
        <v>14569</v>
      </c>
      <c r="B4570">
        <v>368</v>
      </c>
      <c r="C4570" s="2">
        <v>44956</v>
      </c>
      <c r="D4570" s="2" t="str">
        <f>TEXT(Table3[[#This Row],[usage_date]],"mmmm")</f>
        <v>January</v>
      </c>
      <c r="E4570" s="9">
        <f>YEAR(Table3[[#This Row],[usage_date]])</f>
        <v>2023</v>
      </c>
      <c r="F4570" s="14">
        <v>6.15</v>
      </c>
      <c r="G4570">
        <v>262</v>
      </c>
      <c r="H4570" t="s">
        <v>12</v>
      </c>
      <c r="I4570" t="str">
        <f t="shared" si="71"/>
        <v>High Usage</v>
      </c>
    </row>
    <row r="4571" spans="1:9" x14ac:dyDescent="0.3">
      <c r="A4571">
        <v>14570</v>
      </c>
      <c r="B4571">
        <v>495</v>
      </c>
      <c r="C4571" s="2">
        <v>44635</v>
      </c>
      <c r="D4571" s="2" t="str">
        <f>TEXT(Table3[[#This Row],[usage_date]],"mmmm")</f>
        <v>March</v>
      </c>
      <c r="E4571" s="9">
        <f>YEAR(Table3[[#This Row],[usage_date]])</f>
        <v>2022</v>
      </c>
      <c r="F4571" s="14">
        <v>2.14</v>
      </c>
      <c r="G4571">
        <v>299</v>
      </c>
      <c r="H4571" t="s">
        <v>12</v>
      </c>
      <c r="I4571" t="str">
        <f t="shared" si="71"/>
        <v>Normal Usage</v>
      </c>
    </row>
    <row r="4572" spans="1:9" x14ac:dyDescent="0.3">
      <c r="A4572">
        <v>14571</v>
      </c>
      <c r="B4572">
        <v>25</v>
      </c>
      <c r="C4572" s="2">
        <v>44748</v>
      </c>
      <c r="D4572" s="2" t="str">
        <f>TEXT(Table3[[#This Row],[usage_date]],"mmmm")</f>
        <v>July</v>
      </c>
      <c r="E4572" s="9">
        <f>YEAR(Table3[[#This Row],[usage_date]])</f>
        <v>2022</v>
      </c>
      <c r="F4572" s="14">
        <v>3.35</v>
      </c>
      <c r="G4572">
        <v>112</v>
      </c>
      <c r="H4572" t="s">
        <v>12</v>
      </c>
      <c r="I4572" t="str">
        <f t="shared" si="71"/>
        <v>Normal Usage</v>
      </c>
    </row>
    <row r="4573" spans="1:9" x14ac:dyDescent="0.3">
      <c r="A4573">
        <v>14572</v>
      </c>
      <c r="B4573">
        <v>74</v>
      </c>
      <c r="C4573" s="2">
        <v>45135</v>
      </c>
      <c r="D4573" s="2" t="str">
        <f>TEXT(Table3[[#This Row],[usage_date]],"mmmm")</f>
        <v>July</v>
      </c>
      <c r="E4573" s="9">
        <f>YEAR(Table3[[#This Row],[usage_date]])</f>
        <v>2023</v>
      </c>
      <c r="F4573" s="14">
        <v>1.68</v>
      </c>
      <c r="G4573">
        <v>163</v>
      </c>
      <c r="H4573" t="s">
        <v>12</v>
      </c>
      <c r="I4573" t="str">
        <f t="shared" si="71"/>
        <v>Normal Usage</v>
      </c>
    </row>
    <row r="4574" spans="1:9" x14ac:dyDescent="0.3">
      <c r="A4574">
        <v>14573</v>
      </c>
      <c r="B4574">
        <v>206</v>
      </c>
      <c r="C4574" s="2">
        <v>44898</v>
      </c>
      <c r="D4574" s="2" t="str">
        <f>TEXT(Table3[[#This Row],[usage_date]],"mmmm")</f>
        <v>December</v>
      </c>
      <c r="E4574" s="9">
        <f>YEAR(Table3[[#This Row],[usage_date]])</f>
        <v>2022</v>
      </c>
      <c r="F4574" s="14">
        <v>7.0000000000000007E-2</v>
      </c>
      <c r="G4574">
        <v>3</v>
      </c>
      <c r="H4574" t="s">
        <v>12</v>
      </c>
      <c r="I4574" t="str">
        <f t="shared" si="71"/>
        <v>Normal Usage</v>
      </c>
    </row>
    <row r="4575" spans="1:9" x14ac:dyDescent="0.3">
      <c r="A4575">
        <v>14574</v>
      </c>
      <c r="B4575">
        <v>490</v>
      </c>
      <c r="C4575" s="2">
        <v>45237</v>
      </c>
      <c r="D4575" s="2" t="str">
        <f>TEXT(Table3[[#This Row],[usage_date]],"mmmm")</f>
        <v>November</v>
      </c>
      <c r="E4575" s="9">
        <f>YEAR(Table3[[#This Row],[usage_date]])</f>
        <v>2023</v>
      </c>
      <c r="F4575" s="14">
        <v>0.17</v>
      </c>
      <c r="G4575">
        <v>117</v>
      </c>
      <c r="H4575" t="s">
        <v>12</v>
      </c>
      <c r="I4575" t="str">
        <f t="shared" si="71"/>
        <v>Normal Usage</v>
      </c>
    </row>
    <row r="4576" spans="1:9" x14ac:dyDescent="0.3">
      <c r="A4576">
        <v>14575</v>
      </c>
      <c r="B4576">
        <v>494</v>
      </c>
      <c r="C4576" s="2">
        <v>45129</v>
      </c>
      <c r="D4576" s="2" t="str">
        <f>TEXT(Table3[[#This Row],[usage_date]],"mmmm")</f>
        <v>July</v>
      </c>
      <c r="E4576" s="9">
        <f>YEAR(Table3[[#This Row],[usage_date]])</f>
        <v>2023</v>
      </c>
      <c r="F4576" s="14">
        <v>1.93</v>
      </c>
      <c r="G4576">
        <v>22</v>
      </c>
      <c r="H4576" t="s">
        <v>12</v>
      </c>
      <c r="I4576" t="str">
        <f t="shared" si="71"/>
        <v>Normal Usage</v>
      </c>
    </row>
    <row r="4577" spans="1:9" x14ac:dyDescent="0.3">
      <c r="A4577">
        <v>14576</v>
      </c>
      <c r="B4577">
        <v>314</v>
      </c>
      <c r="C4577" s="2">
        <v>45184</v>
      </c>
      <c r="D4577" s="2" t="str">
        <f>TEXT(Table3[[#This Row],[usage_date]],"mmmm")</f>
        <v>September</v>
      </c>
      <c r="E4577" s="9">
        <f>YEAR(Table3[[#This Row],[usage_date]])</f>
        <v>2023</v>
      </c>
      <c r="F4577" s="14">
        <v>3.17</v>
      </c>
      <c r="G4577">
        <v>232</v>
      </c>
      <c r="H4577" t="s">
        <v>13</v>
      </c>
      <c r="I4577" t="str">
        <f t="shared" si="71"/>
        <v>Normal Usage</v>
      </c>
    </row>
    <row r="4578" spans="1:9" x14ac:dyDescent="0.3">
      <c r="A4578">
        <v>14577</v>
      </c>
      <c r="B4578">
        <v>94</v>
      </c>
      <c r="C4578" s="2">
        <v>45291</v>
      </c>
      <c r="D4578" s="2" t="str">
        <f>TEXT(Table3[[#This Row],[usage_date]],"mmmm")</f>
        <v>December</v>
      </c>
      <c r="E4578" s="9">
        <f>YEAR(Table3[[#This Row],[usage_date]])</f>
        <v>2023</v>
      </c>
      <c r="F4578" s="14">
        <v>0.61</v>
      </c>
      <c r="G4578">
        <v>89</v>
      </c>
      <c r="H4578" t="s">
        <v>12</v>
      </c>
      <c r="I4578" t="str">
        <f t="shared" si="71"/>
        <v>Normal Usage</v>
      </c>
    </row>
    <row r="4579" spans="1:9" x14ac:dyDescent="0.3">
      <c r="A4579">
        <v>14578</v>
      </c>
      <c r="B4579">
        <v>375</v>
      </c>
      <c r="C4579" s="2">
        <v>44801</v>
      </c>
      <c r="D4579" s="2" t="str">
        <f>TEXT(Table3[[#This Row],[usage_date]],"mmmm")</f>
        <v>August</v>
      </c>
      <c r="E4579" s="9">
        <f>YEAR(Table3[[#This Row],[usage_date]])</f>
        <v>2022</v>
      </c>
      <c r="F4579" s="14">
        <v>3.2</v>
      </c>
      <c r="G4579">
        <v>254</v>
      </c>
      <c r="H4579" t="s">
        <v>12</v>
      </c>
      <c r="I4579" t="str">
        <f t="shared" si="71"/>
        <v>Normal Usage</v>
      </c>
    </row>
    <row r="4580" spans="1:9" x14ac:dyDescent="0.3">
      <c r="A4580">
        <v>14579</v>
      </c>
      <c r="B4580">
        <v>127</v>
      </c>
      <c r="C4580" s="2">
        <v>45094</v>
      </c>
      <c r="D4580" s="2" t="str">
        <f>TEXT(Table3[[#This Row],[usage_date]],"mmmm")</f>
        <v>June</v>
      </c>
      <c r="E4580" s="9">
        <f>YEAR(Table3[[#This Row],[usage_date]])</f>
        <v>2023</v>
      </c>
      <c r="F4580" s="14">
        <v>4.16</v>
      </c>
      <c r="G4580">
        <v>91</v>
      </c>
      <c r="H4580" t="s">
        <v>12</v>
      </c>
      <c r="I4580" t="str">
        <f t="shared" si="71"/>
        <v>Normal Usage</v>
      </c>
    </row>
    <row r="4581" spans="1:9" x14ac:dyDescent="0.3">
      <c r="A4581">
        <v>14580</v>
      </c>
      <c r="B4581">
        <v>425</v>
      </c>
      <c r="C4581" s="2">
        <v>44702</v>
      </c>
      <c r="D4581" s="2" t="str">
        <f>TEXT(Table3[[#This Row],[usage_date]],"mmmm")</f>
        <v>May</v>
      </c>
      <c r="E4581" s="9">
        <f>YEAR(Table3[[#This Row],[usage_date]])</f>
        <v>2022</v>
      </c>
      <c r="F4581" s="14">
        <v>1.33</v>
      </c>
      <c r="G4581">
        <v>154</v>
      </c>
      <c r="H4581" t="s">
        <v>12</v>
      </c>
      <c r="I4581" t="str">
        <f t="shared" si="71"/>
        <v>Normal Usage</v>
      </c>
    </row>
    <row r="4582" spans="1:9" x14ac:dyDescent="0.3">
      <c r="A4582">
        <v>14581</v>
      </c>
      <c r="B4582">
        <v>25</v>
      </c>
      <c r="C4582" s="2">
        <v>44826</v>
      </c>
      <c r="D4582" s="2" t="str">
        <f>TEXT(Table3[[#This Row],[usage_date]],"mmmm")</f>
        <v>September</v>
      </c>
      <c r="E4582" s="9">
        <f>YEAR(Table3[[#This Row],[usage_date]])</f>
        <v>2022</v>
      </c>
      <c r="F4582" s="14">
        <v>3.43</v>
      </c>
      <c r="G4582">
        <v>114</v>
      </c>
      <c r="H4582" t="s">
        <v>12</v>
      </c>
      <c r="I4582" t="str">
        <f t="shared" si="71"/>
        <v>Normal Usage</v>
      </c>
    </row>
    <row r="4583" spans="1:9" x14ac:dyDescent="0.3">
      <c r="A4583">
        <v>14582</v>
      </c>
      <c r="B4583">
        <v>334</v>
      </c>
      <c r="C4583" s="2">
        <v>44700</v>
      </c>
      <c r="D4583" s="2" t="str">
        <f>TEXT(Table3[[#This Row],[usage_date]],"mmmm")</f>
        <v>May</v>
      </c>
      <c r="E4583" s="9">
        <f>YEAR(Table3[[#This Row],[usage_date]])</f>
        <v>2022</v>
      </c>
      <c r="F4583" s="14">
        <v>1.29</v>
      </c>
      <c r="G4583">
        <v>206</v>
      </c>
      <c r="H4583" t="s">
        <v>13</v>
      </c>
      <c r="I4583" t="str">
        <f t="shared" si="71"/>
        <v>Normal Usage</v>
      </c>
    </row>
    <row r="4584" spans="1:9" x14ac:dyDescent="0.3">
      <c r="A4584">
        <v>14583</v>
      </c>
      <c r="B4584">
        <v>355</v>
      </c>
      <c r="C4584" s="2">
        <v>45020</v>
      </c>
      <c r="D4584" s="2" t="str">
        <f>TEXT(Table3[[#This Row],[usage_date]],"mmmm")</f>
        <v>April</v>
      </c>
      <c r="E4584" s="9">
        <f>YEAR(Table3[[#This Row],[usage_date]])</f>
        <v>2023</v>
      </c>
      <c r="F4584" s="14">
        <v>2.84</v>
      </c>
      <c r="G4584">
        <v>80</v>
      </c>
      <c r="H4584" t="s">
        <v>13</v>
      </c>
      <c r="I4584" t="str">
        <f t="shared" si="71"/>
        <v>Normal Usage</v>
      </c>
    </row>
    <row r="4585" spans="1:9" x14ac:dyDescent="0.3">
      <c r="A4585">
        <v>14584</v>
      </c>
      <c r="B4585">
        <v>116</v>
      </c>
      <c r="C4585" s="2">
        <v>44631</v>
      </c>
      <c r="D4585" s="2" t="str">
        <f>TEXT(Table3[[#This Row],[usage_date]],"mmmm")</f>
        <v>March</v>
      </c>
      <c r="E4585" s="9">
        <f>YEAR(Table3[[#This Row],[usage_date]])</f>
        <v>2022</v>
      </c>
      <c r="F4585" s="14">
        <v>3.61</v>
      </c>
      <c r="G4585">
        <v>102</v>
      </c>
      <c r="H4585" t="s">
        <v>12</v>
      </c>
      <c r="I4585" t="str">
        <f t="shared" si="71"/>
        <v>Normal Usage</v>
      </c>
    </row>
    <row r="4586" spans="1:9" x14ac:dyDescent="0.3">
      <c r="A4586">
        <v>14585</v>
      </c>
      <c r="B4586">
        <v>48</v>
      </c>
      <c r="C4586" s="2">
        <v>44946</v>
      </c>
      <c r="D4586" s="2" t="str">
        <f>TEXT(Table3[[#This Row],[usage_date]],"mmmm")</f>
        <v>January</v>
      </c>
      <c r="E4586" s="9">
        <f>YEAR(Table3[[#This Row],[usage_date]])</f>
        <v>2023</v>
      </c>
      <c r="F4586" s="14">
        <v>12.05</v>
      </c>
      <c r="G4586">
        <v>79</v>
      </c>
      <c r="H4586" t="s">
        <v>13</v>
      </c>
      <c r="I4586" t="str">
        <f t="shared" si="71"/>
        <v>High Usage</v>
      </c>
    </row>
    <row r="4587" spans="1:9" x14ac:dyDescent="0.3">
      <c r="A4587">
        <v>14586</v>
      </c>
      <c r="B4587">
        <v>226</v>
      </c>
      <c r="C4587" s="2">
        <v>45191</v>
      </c>
      <c r="D4587" s="2" t="str">
        <f>TEXT(Table3[[#This Row],[usage_date]],"mmmm")</f>
        <v>September</v>
      </c>
      <c r="E4587" s="9">
        <f>YEAR(Table3[[#This Row],[usage_date]])</f>
        <v>2023</v>
      </c>
      <c r="F4587" s="14">
        <v>1.06</v>
      </c>
      <c r="G4587">
        <v>102</v>
      </c>
      <c r="H4587" t="s">
        <v>12</v>
      </c>
      <c r="I4587" t="str">
        <f t="shared" si="71"/>
        <v>Normal Usage</v>
      </c>
    </row>
    <row r="4588" spans="1:9" x14ac:dyDescent="0.3">
      <c r="A4588">
        <v>14587</v>
      </c>
      <c r="B4588">
        <v>266</v>
      </c>
      <c r="C4588" s="2">
        <v>44759</v>
      </c>
      <c r="D4588" s="2" t="str">
        <f>TEXT(Table3[[#This Row],[usage_date]],"mmmm")</f>
        <v>July</v>
      </c>
      <c r="E4588" s="9">
        <f>YEAR(Table3[[#This Row],[usage_date]])</f>
        <v>2022</v>
      </c>
      <c r="F4588" s="14">
        <v>1.32</v>
      </c>
      <c r="G4588">
        <v>239</v>
      </c>
      <c r="H4588" t="s">
        <v>12</v>
      </c>
      <c r="I4588" t="str">
        <f t="shared" si="71"/>
        <v>Normal Usage</v>
      </c>
    </row>
    <row r="4589" spans="1:9" x14ac:dyDescent="0.3">
      <c r="A4589">
        <v>14588</v>
      </c>
      <c r="B4589">
        <v>99</v>
      </c>
      <c r="C4589" s="2">
        <v>44766</v>
      </c>
      <c r="D4589" s="2" t="str">
        <f>TEXT(Table3[[#This Row],[usage_date]],"mmmm")</f>
        <v>July</v>
      </c>
      <c r="E4589" s="9">
        <f>YEAR(Table3[[#This Row],[usage_date]])</f>
        <v>2022</v>
      </c>
      <c r="F4589" s="14">
        <v>0.45</v>
      </c>
      <c r="G4589">
        <v>264</v>
      </c>
      <c r="H4589" t="s">
        <v>12</v>
      </c>
      <c r="I4589" t="str">
        <f t="shared" si="71"/>
        <v>Normal Usage</v>
      </c>
    </row>
    <row r="4590" spans="1:9" x14ac:dyDescent="0.3">
      <c r="A4590">
        <v>14589</v>
      </c>
      <c r="B4590">
        <v>459</v>
      </c>
      <c r="C4590" s="2">
        <v>45287</v>
      </c>
      <c r="D4590" s="2" t="str">
        <f>TEXT(Table3[[#This Row],[usage_date]],"mmmm")</f>
        <v>December</v>
      </c>
      <c r="E4590" s="9">
        <f>YEAR(Table3[[#This Row],[usage_date]])</f>
        <v>2023</v>
      </c>
      <c r="F4590" s="14">
        <v>0.56999999999999995</v>
      </c>
      <c r="G4590">
        <v>32</v>
      </c>
      <c r="H4590" t="s">
        <v>12</v>
      </c>
      <c r="I4590" t="str">
        <f t="shared" si="71"/>
        <v>Normal Usage</v>
      </c>
    </row>
    <row r="4591" spans="1:9" x14ac:dyDescent="0.3">
      <c r="A4591">
        <v>14590</v>
      </c>
      <c r="B4591">
        <v>11</v>
      </c>
      <c r="C4591" s="2">
        <v>45129</v>
      </c>
      <c r="D4591" s="2" t="str">
        <f>TEXT(Table3[[#This Row],[usage_date]],"mmmm")</f>
        <v>July</v>
      </c>
      <c r="E4591" s="9">
        <f>YEAR(Table3[[#This Row],[usage_date]])</f>
        <v>2023</v>
      </c>
      <c r="F4591" s="14">
        <v>2.96</v>
      </c>
      <c r="G4591">
        <v>34</v>
      </c>
      <c r="H4591" t="s">
        <v>12</v>
      </c>
      <c r="I4591" t="str">
        <f t="shared" si="71"/>
        <v>Normal Usage</v>
      </c>
    </row>
    <row r="4592" spans="1:9" x14ac:dyDescent="0.3">
      <c r="A4592">
        <v>14591</v>
      </c>
      <c r="B4592">
        <v>85</v>
      </c>
      <c r="C4592" s="2">
        <v>45360</v>
      </c>
      <c r="D4592" s="2" t="str">
        <f>TEXT(Table3[[#This Row],[usage_date]],"mmmm")</f>
        <v>March</v>
      </c>
      <c r="E4592" s="9">
        <f>YEAR(Table3[[#This Row],[usage_date]])</f>
        <v>2024</v>
      </c>
      <c r="F4592" s="14">
        <v>6.22</v>
      </c>
      <c r="G4592">
        <v>248</v>
      </c>
      <c r="H4592" t="s">
        <v>12</v>
      </c>
      <c r="I4592" t="str">
        <f t="shared" si="71"/>
        <v>High Usage</v>
      </c>
    </row>
    <row r="4593" spans="1:9" x14ac:dyDescent="0.3">
      <c r="A4593">
        <v>14592</v>
      </c>
      <c r="B4593">
        <v>405</v>
      </c>
      <c r="C4593" s="2">
        <v>45366</v>
      </c>
      <c r="D4593" s="2" t="str">
        <f>TEXT(Table3[[#This Row],[usage_date]],"mmmm")</f>
        <v>March</v>
      </c>
      <c r="E4593" s="9">
        <f>YEAR(Table3[[#This Row],[usage_date]])</f>
        <v>2024</v>
      </c>
      <c r="F4593" s="14">
        <v>1.25</v>
      </c>
      <c r="G4593">
        <v>49</v>
      </c>
      <c r="H4593" t="s">
        <v>12</v>
      </c>
      <c r="I4593" t="str">
        <f t="shared" si="71"/>
        <v>Normal Usage</v>
      </c>
    </row>
    <row r="4594" spans="1:9" x14ac:dyDescent="0.3">
      <c r="A4594">
        <v>14593</v>
      </c>
      <c r="B4594">
        <v>214</v>
      </c>
      <c r="C4594" s="2">
        <v>45248</v>
      </c>
      <c r="D4594" s="2" t="str">
        <f>TEXT(Table3[[#This Row],[usage_date]],"mmmm")</f>
        <v>November</v>
      </c>
      <c r="E4594" s="9">
        <f>YEAR(Table3[[#This Row],[usage_date]])</f>
        <v>2023</v>
      </c>
      <c r="F4594" s="14">
        <v>0.5</v>
      </c>
      <c r="G4594">
        <v>279</v>
      </c>
      <c r="H4594" t="s">
        <v>13</v>
      </c>
      <c r="I4594" t="str">
        <f t="shared" si="71"/>
        <v>Normal Usage</v>
      </c>
    </row>
    <row r="4595" spans="1:9" x14ac:dyDescent="0.3">
      <c r="A4595">
        <v>14594</v>
      </c>
      <c r="B4595">
        <v>173</v>
      </c>
      <c r="C4595" s="2">
        <v>45420</v>
      </c>
      <c r="D4595" s="2" t="str">
        <f>TEXT(Table3[[#This Row],[usage_date]],"mmmm")</f>
        <v>May</v>
      </c>
      <c r="E4595" s="9">
        <f>YEAR(Table3[[#This Row],[usage_date]])</f>
        <v>2024</v>
      </c>
      <c r="F4595" s="14">
        <v>0.84</v>
      </c>
      <c r="G4595">
        <v>241</v>
      </c>
      <c r="H4595" t="s">
        <v>12</v>
      </c>
      <c r="I4595" t="str">
        <f t="shared" si="71"/>
        <v>Normal Usage</v>
      </c>
    </row>
    <row r="4596" spans="1:9" x14ac:dyDescent="0.3">
      <c r="A4596">
        <v>14595</v>
      </c>
      <c r="B4596">
        <v>391</v>
      </c>
      <c r="C4596" s="2">
        <v>45443</v>
      </c>
      <c r="D4596" s="2" t="str">
        <f>TEXT(Table3[[#This Row],[usage_date]],"mmmm")</f>
        <v>May</v>
      </c>
      <c r="E4596" s="9">
        <f>YEAR(Table3[[#This Row],[usage_date]])</f>
        <v>2024</v>
      </c>
      <c r="F4596" s="14">
        <v>1.52</v>
      </c>
      <c r="G4596">
        <v>151</v>
      </c>
      <c r="H4596" t="s">
        <v>13</v>
      </c>
      <c r="I4596" t="str">
        <f t="shared" si="71"/>
        <v>Normal Usage</v>
      </c>
    </row>
    <row r="4597" spans="1:9" x14ac:dyDescent="0.3">
      <c r="A4597">
        <v>14596</v>
      </c>
      <c r="B4597">
        <v>209</v>
      </c>
      <c r="C4597" s="2">
        <v>45201</v>
      </c>
      <c r="D4597" s="2" t="str">
        <f>TEXT(Table3[[#This Row],[usage_date]],"mmmm")</f>
        <v>October</v>
      </c>
      <c r="E4597" s="9">
        <f>YEAR(Table3[[#This Row],[usage_date]])</f>
        <v>2023</v>
      </c>
      <c r="F4597" s="14">
        <v>0.86</v>
      </c>
      <c r="G4597">
        <v>146</v>
      </c>
      <c r="H4597" t="s">
        <v>12</v>
      </c>
      <c r="I4597" t="str">
        <f t="shared" si="71"/>
        <v>Normal Usage</v>
      </c>
    </row>
    <row r="4598" spans="1:9" x14ac:dyDescent="0.3">
      <c r="A4598">
        <v>14597</v>
      </c>
      <c r="B4598">
        <v>448</v>
      </c>
      <c r="C4598" s="2">
        <v>44992</v>
      </c>
      <c r="D4598" s="2" t="str">
        <f>TEXT(Table3[[#This Row],[usage_date]],"mmmm")</f>
        <v>March</v>
      </c>
      <c r="E4598" s="9">
        <f>YEAR(Table3[[#This Row],[usage_date]])</f>
        <v>2023</v>
      </c>
      <c r="F4598" s="14">
        <v>0.67</v>
      </c>
      <c r="G4598">
        <v>38</v>
      </c>
      <c r="H4598" t="s">
        <v>12</v>
      </c>
      <c r="I4598" t="str">
        <f t="shared" si="71"/>
        <v>Normal Usage</v>
      </c>
    </row>
    <row r="4599" spans="1:9" x14ac:dyDescent="0.3">
      <c r="A4599">
        <v>14598</v>
      </c>
      <c r="B4599">
        <v>382</v>
      </c>
      <c r="C4599" s="2">
        <v>45451</v>
      </c>
      <c r="D4599" s="2" t="str">
        <f>TEXT(Table3[[#This Row],[usage_date]],"mmmm")</f>
        <v>June</v>
      </c>
      <c r="E4599" s="9">
        <f>YEAR(Table3[[#This Row],[usage_date]])</f>
        <v>2024</v>
      </c>
      <c r="F4599" s="14">
        <v>3.33</v>
      </c>
      <c r="G4599">
        <v>188</v>
      </c>
      <c r="H4599" t="s">
        <v>13</v>
      </c>
      <c r="I4599" t="str">
        <f t="shared" si="71"/>
        <v>Normal Usage</v>
      </c>
    </row>
    <row r="4600" spans="1:9" x14ac:dyDescent="0.3">
      <c r="A4600">
        <v>14599</v>
      </c>
      <c r="B4600">
        <v>64</v>
      </c>
      <c r="C4600" s="2">
        <v>44886</v>
      </c>
      <c r="D4600" s="2" t="str">
        <f>TEXT(Table3[[#This Row],[usage_date]],"mmmm")</f>
        <v>November</v>
      </c>
      <c r="E4600" s="9">
        <f>YEAR(Table3[[#This Row],[usage_date]])</f>
        <v>2022</v>
      </c>
      <c r="F4600" s="14">
        <v>0.02</v>
      </c>
      <c r="G4600">
        <v>24</v>
      </c>
      <c r="H4600" t="s">
        <v>12</v>
      </c>
      <c r="I4600" t="str">
        <f t="shared" si="71"/>
        <v>Normal Usage</v>
      </c>
    </row>
    <row r="4601" spans="1:9" x14ac:dyDescent="0.3">
      <c r="A4601">
        <v>14600</v>
      </c>
      <c r="B4601">
        <v>258</v>
      </c>
      <c r="C4601" s="2">
        <v>45003</v>
      </c>
      <c r="D4601" s="2" t="str">
        <f>TEXT(Table3[[#This Row],[usage_date]],"mmmm")</f>
        <v>March</v>
      </c>
      <c r="E4601" s="9">
        <f>YEAR(Table3[[#This Row],[usage_date]])</f>
        <v>2023</v>
      </c>
      <c r="F4601" s="14">
        <v>1.94</v>
      </c>
      <c r="G4601">
        <v>243</v>
      </c>
      <c r="H4601" t="s">
        <v>12</v>
      </c>
      <c r="I4601" t="str">
        <f t="shared" si="71"/>
        <v>Normal Usage</v>
      </c>
    </row>
    <row r="4602" spans="1:9" x14ac:dyDescent="0.3">
      <c r="A4602">
        <v>14601</v>
      </c>
      <c r="B4602">
        <v>332</v>
      </c>
      <c r="C4602" s="2">
        <v>45365</v>
      </c>
      <c r="D4602" s="2" t="str">
        <f>TEXT(Table3[[#This Row],[usage_date]],"mmmm")</f>
        <v>March</v>
      </c>
      <c r="E4602" s="9">
        <f>YEAR(Table3[[#This Row],[usage_date]])</f>
        <v>2024</v>
      </c>
      <c r="F4602" s="14">
        <v>3.95</v>
      </c>
      <c r="G4602">
        <v>222</v>
      </c>
      <c r="H4602" t="s">
        <v>12</v>
      </c>
      <c r="I4602" t="str">
        <f t="shared" si="71"/>
        <v>Normal Usage</v>
      </c>
    </row>
    <row r="4603" spans="1:9" x14ac:dyDescent="0.3">
      <c r="A4603">
        <v>14602</v>
      </c>
      <c r="B4603">
        <v>121</v>
      </c>
      <c r="C4603" s="2">
        <v>44849</v>
      </c>
      <c r="D4603" s="2" t="str">
        <f>TEXT(Table3[[#This Row],[usage_date]],"mmmm")</f>
        <v>October</v>
      </c>
      <c r="E4603" s="9">
        <f>YEAR(Table3[[#This Row],[usage_date]])</f>
        <v>2022</v>
      </c>
      <c r="F4603" s="14">
        <v>0.77</v>
      </c>
      <c r="G4603">
        <v>229</v>
      </c>
      <c r="H4603" t="s">
        <v>12</v>
      </c>
      <c r="I4603" t="str">
        <f t="shared" si="71"/>
        <v>Normal Usage</v>
      </c>
    </row>
    <row r="4604" spans="1:9" x14ac:dyDescent="0.3">
      <c r="A4604">
        <v>14603</v>
      </c>
      <c r="B4604">
        <v>298</v>
      </c>
      <c r="C4604" s="2">
        <v>44787</v>
      </c>
      <c r="D4604" s="2" t="str">
        <f>TEXT(Table3[[#This Row],[usage_date]],"mmmm")</f>
        <v>August</v>
      </c>
      <c r="E4604" s="9">
        <f>YEAR(Table3[[#This Row],[usage_date]])</f>
        <v>2022</v>
      </c>
      <c r="F4604" s="14">
        <v>2.31</v>
      </c>
      <c r="G4604">
        <v>152</v>
      </c>
      <c r="H4604" t="s">
        <v>12</v>
      </c>
      <c r="I4604" t="str">
        <f t="shared" si="71"/>
        <v>Normal Usage</v>
      </c>
    </row>
    <row r="4605" spans="1:9" x14ac:dyDescent="0.3">
      <c r="A4605">
        <v>14604</v>
      </c>
      <c r="B4605">
        <v>466</v>
      </c>
      <c r="C4605" s="2">
        <v>44625</v>
      </c>
      <c r="D4605" s="2" t="str">
        <f>TEXT(Table3[[#This Row],[usage_date]],"mmmm")</f>
        <v>March</v>
      </c>
      <c r="E4605" s="9">
        <f>YEAR(Table3[[#This Row],[usage_date]])</f>
        <v>2022</v>
      </c>
      <c r="F4605" s="14">
        <v>2.76</v>
      </c>
      <c r="G4605">
        <v>287</v>
      </c>
      <c r="H4605" t="s">
        <v>12</v>
      </c>
      <c r="I4605" t="str">
        <f t="shared" si="71"/>
        <v>Normal Usage</v>
      </c>
    </row>
    <row r="4606" spans="1:9" x14ac:dyDescent="0.3">
      <c r="A4606">
        <v>14605</v>
      </c>
      <c r="B4606">
        <v>54</v>
      </c>
      <c r="C4606" s="2">
        <v>45121</v>
      </c>
      <c r="D4606" s="2" t="str">
        <f>TEXT(Table3[[#This Row],[usage_date]],"mmmm")</f>
        <v>July</v>
      </c>
      <c r="E4606" s="9">
        <f>YEAR(Table3[[#This Row],[usage_date]])</f>
        <v>2023</v>
      </c>
      <c r="F4606" s="14">
        <v>2.66</v>
      </c>
      <c r="G4606">
        <v>107</v>
      </c>
      <c r="H4606" t="s">
        <v>13</v>
      </c>
      <c r="I4606" t="str">
        <f t="shared" si="71"/>
        <v>Normal Usage</v>
      </c>
    </row>
    <row r="4607" spans="1:9" x14ac:dyDescent="0.3">
      <c r="A4607">
        <v>14606</v>
      </c>
      <c r="B4607">
        <v>331</v>
      </c>
      <c r="C4607" s="2">
        <v>45275</v>
      </c>
      <c r="D4607" s="2" t="str">
        <f>TEXT(Table3[[#This Row],[usage_date]],"mmmm")</f>
        <v>December</v>
      </c>
      <c r="E4607" s="9">
        <f>YEAR(Table3[[#This Row],[usage_date]])</f>
        <v>2023</v>
      </c>
      <c r="F4607" s="14">
        <v>1.48</v>
      </c>
      <c r="G4607">
        <v>32</v>
      </c>
      <c r="H4607" t="s">
        <v>12</v>
      </c>
      <c r="I4607" t="str">
        <f t="shared" si="71"/>
        <v>Normal Usage</v>
      </c>
    </row>
    <row r="4608" spans="1:9" x14ac:dyDescent="0.3">
      <c r="A4608">
        <v>14607</v>
      </c>
      <c r="B4608">
        <v>272</v>
      </c>
      <c r="C4608" s="2">
        <v>45059</v>
      </c>
      <c r="D4608" s="2" t="str">
        <f>TEXT(Table3[[#This Row],[usage_date]],"mmmm")</f>
        <v>May</v>
      </c>
      <c r="E4608" s="9">
        <f>YEAR(Table3[[#This Row],[usage_date]])</f>
        <v>2023</v>
      </c>
      <c r="F4608" s="14">
        <v>1.06</v>
      </c>
      <c r="G4608">
        <v>110</v>
      </c>
      <c r="H4608" t="s">
        <v>12</v>
      </c>
      <c r="I4608" t="str">
        <f t="shared" si="71"/>
        <v>Normal Usage</v>
      </c>
    </row>
    <row r="4609" spans="1:9" x14ac:dyDescent="0.3">
      <c r="A4609">
        <v>14608</v>
      </c>
      <c r="B4609">
        <v>241</v>
      </c>
      <c r="C4609" s="2">
        <v>45410</v>
      </c>
      <c r="D4609" s="2" t="str">
        <f>TEXT(Table3[[#This Row],[usage_date]],"mmmm")</f>
        <v>April</v>
      </c>
      <c r="E4609" s="9">
        <f>YEAR(Table3[[#This Row],[usage_date]])</f>
        <v>2024</v>
      </c>
      <c r="F4609" s="14">
        <v>4.5199999999999996</v>
      </c>
      <c r="G4609">
        <v>120</v>
      </c>
      <c r="H4609" t="s">
        <v>12</v>
      </c>
      <c r="I4609" t="str">
        <f t="shared" si="71"/>
        <v>Normal Usage</v>
      </c>
    </row>
    <row r="4610" spans="1:9" x14ac:dyDescent="0.3">
      <c r="A4610">
        <v>14609</v>
      </c>
      <c r="B4610">
        <v>243</v>
      </c>
      <c r="C4610" s="2">
        <v>44621</v>
      </c>
      <c r="D4610" s="2" t="str">
        <f>TEXT(Table3[[#This Row],[usage_date]],"mmmm")</f>
        <v>March</v>
      </c>
      <c r="E4610" s="9">
        <f>YEAR(Table3[[#This Row],[usage_date]])</f>
        <v>2022</v>
      </c>
      <c r="F4610" s="14">
        <v>3.55</v>
      </c>
      <c r="G4610">
        <v>15</v>
      </c>
      <c r="H4610" t="s">
        <v>12</v>
      </c>
      <c r="I4610" t="str">
        <f t="shared" ref="I4610:I4673" si="72">IF(F4610&gt;6,"High Usage","Normal Usage")</f>
        <v>Normal Usage</v>
      </c>
    </row>
    <row r="4611" spans="1:9" x14ac:dyDescent="0.3">
      <c r="A4611">
        <v>14610</v>
      </c>
      <c r="B4611">
        <v>18</v>
      </c>
      <c r="C4611" s="2">
        <v>44958</v>
      </c>
      <c r="D4611" s="2" t="str">
        <f>TEXT(Table3[[#This Row],[usage_date]],"mmmm")</f>
        <v>February</v>
      </c>
      <c r="E4611" s="9">
        <f>YEAR(Table3[[#This Row],[usage_date]])</f>
        <v>2023</v>
      </c>
      <c r="F4611" s="14">
        <v>0.97</v>
      </c>
      <c r="G4611">
        <v>226</v>
      </c>
      <c r="H4611" t="s">
        <v>12</v>
      </c>
      <c r="I4611" t="str">
        <f t="shared" si="72"/>
        <v>Normal Usage</v>
      </c>
    </row>
    <row r="4612" spans="1:9" x14ac:dyDescent="0.3">
      <c r="A4612">
        <v>14611</v>
      </c>
      <c r="B4612">
        <v>483</v>
      </c>
      <c r="C4612" s="2">
        <v>44818</v>
      </c>
      <c r="D4612" s="2" t="str">
        <f>TEXT(Table3[[#This Row],[usage_date]],"mmmm")</f>
        <v>September</v>
      </c>
      <c r="E4612" s="9">
        <f>YEAR(Table3[[#This Row],[usage_date]])</f>
        <v>2022</v>
      </c>
      <c r="F4612" s="14">
        <v>0.27</v>
      </c>
      <c r="G4612">
        <v>10</v>
      </c>
      <c r="H4612" t="s">
        <v>12</v>
      </c>
      <c r="I4612" t="str">
        <f t="shared" si="72"/>
        <v>Normal Usage</v>
      </c>
    </row>
    <row r="4613" spans="1:9" x14ac:dyDescent="0.3">
      <c r="A4613">
        <v>14612</v>
      </c>
      <c r="B4613">
        <v>187</v>
      </c>
      <c r="C4613" s="2">
        <v>45138</v>
      </c>
      <c r="D4613" s="2" t="str">
        <f>TEXT(Table3[[#This Row],[usage_date]],"mmmm")</f>
        <v>July</v>
      </c>
      <c r="E4613" s="9">
        <f>YEAR(Table3[[#This Row],[usage_date]])</f>
        <v>2023</v>
      </c>
      <c r="F4613" s="14">
        <v>0.19</v>
      </c>
      <c r="G4613">
        <v>202</v>
      </c>
      <c r="H4613" t="s">
        <v>12</v>
      </c>
      <c r="I4613" t="str">
        <f t="shared" si="72"/>
        <v>Normal Usage</v>
      </c>
    </row>
    <row r="4614" spans="1:9" x14ac:dyDescent="0.3">
      <c r="A4614">
        <v>14613</v>
      </c>
      <c r="B4614">
        <v>346</v>
      </c>
      <c r="C4614" s="2">
        <v>44800</v>
      </c>
      <c r="D4614" s="2" t="str">
        <f>TEXT(Table3[[#This Row],[usage_date]],"mmmm")</f>
        <v>August</v>
      </c>
      <c r="E4614" s="9">
        <f>YEAR(Table3[[#This Row],[usage_date]])</f>
        <v>2022</v>
      </c>
      <c r="F4614" s="14">
        <v>0.25</v>
      </c>
      <c r="G4614">
        <v>201</v>
      </c>
      <c r="H4614" t="s">
        <v>13</v>
      </c>
      <c r="I4614" t="str">
        <f t="shared" si="72"/>
        <v>Normal Usage</v>
      </c>
    </row>
    <row r="4615" spans="1:9" x14ac:dyDescent="0.3">
      <c r="A4615">
        <v>14614</v>
      </c>
      <c r="B4615">
        <v>144</v>
      </c>
      <c r="C4615" s="2">
        <v>45362</v>
      </c>
      <c r="D4615" s="2" t="str">
        <f>TEXT(Table3[[#This Row],[usage_date]],"mmmm")</f>
        <v>March</v>
      </c>
      <c r="E4615" s="9">
        <f>YEAR(Table3[[#This Row],[usage_date]])</f>
        <v>2024</v>
      </c>
      <c r="F4615" s="14">
        <v>2.19</v>
      </c>
      <c r="G4615">
        <v>97</v>
      </c>
      <c r="H4615" t="s">
        <v>12</v>
      </c>
      <c r="I4615" t="str">
        <f t="shared" si="72"/>
        <v>Normal Usage</v>
      </c>
    </row>
    <row r="4616" spans="1:9" x14ac:dyDescent="0.3">
      <c r="A4616">
        <v>14615</v>
      </c>
      <c r="B4616">
        <v>262</v>
      </c>
      <c r="C4616" s="2">
        <v>44599</v>
      </c>
      <c r="D4616" s="2" t="str">
        <f>TEXT(Table3[[#This Row],[usage_date]],"mmmm")</f>
        <v>February</v>
      </c>
      <c r="E4616" s="9">
        <f>YEAR(Table3[[#This Row],[usage_date]])</f>
        <v>2022</v>
      </c>
      <c r="F4616" s="14">
        <v>0.13</v>
      </c>
      <c r="G4616">
        <v>115</v>
      </c>
      <c r="H4616" t="s">
        <v>13</v>
      </c>
      <c r="I4616" t="str">
        <f t="shared" si="72"/>
        <v>Normal Usage</v>
      </c>
    </row>
    <row r="4617" spans="1:9" x14ac:dyDescent="0.3">
      <c r="A4617">
        <v>14616</v>
      </c>
      <c r="B4617">
        <v>441</v>
      </c>
      <c r="C4617" s="2">
        <v>44586</v>
      </c>
      <c r="D4617" s="2" t="str">
        <f>TEXT(Table3[[#This Row],[usage_date]],"mmmm")</f>
        <v>January</v>
      </c>
      <c r="E4617" s="9">
        <f>YEAR(Table3[[#This Row],[usage_date]])</f>
        <v>2022</v>
      </c>
      <c r="F4617" s="14">
        <v>1.03</v>
      </c>
      <c r="G4617">
        <v>280</v>
      </c>
      <c r="H4617" t="s">
        <v>12</v>
      </c>
      <c r="I4617" t="str">
        <f t="shared" si="72"/>
        <v>Normal Usage</v>
      </c>
    </row>
    <row r="4618" spans="1:9" x14ac:dyDescent="0.3">
      <c r="A4618">
        <v>14617</v>
      </c>
      <c r="B4618">
        <v>364</v>
      </c>
      <c r="C4618" s="2">
        <v>44971</v>
      </c>
      <c r="D4618" s="2" t="str">
        <f>TEXT(Table3[[#This Row],[usage_date]],"mmmm")</f>
        <v>February</v>
      </c>
      <c r="E4618" s="9">
        <f>YEAR(Table3[[#This Row],[usage_date]])</f>
        <v>2023</v>
      </c>
      <c r="F4618" s="14">
        <v>3.5</v>
      </c>
      <c r="G4618">
        <v>231</v>
      </c>
      <c r="H4618" t="s">
        <v>12</v>
      </c>
      <c r="I4618" t="str">
        <f t="shared" si="72"/>
        <v>Normal Usage</v>
      </c>
    </row>
    <row r="4619" spans="1:9" x14ac:dyDescent="0.3">
      <c r="A4619">
        <v>14618</v>
      </c>
      <c r="B4619">
        <v>491</v>
      </c>
      <c r="C4619" s="2">
        <v>45022</v>
      </c>
      <c r="D4619" s="2" t="str">
        <f>TEXT(Table3[[#This Row],[usage_date]],"mmmm")</f>
        <v>April</v>
      </c>
      <c r="E4619" s="9">
        <f>YEAR(Table3[[#This Row],[usage_date]])</f>
        <v>2023</v>
      </c>
      <c r="F4619" s="14">
        <v>0.87</v>
      </c>
      <c r="G4619">
        <v>110</v>
      </c>
      <c r="H4619" t="s">
        <v>12</v>
      </c>
      <c r="I4619" t="str">
        <f t="shared" si="72"/>
        <v>Normal Usage</v>
      </c>
    </row>
    <row r="4620" spans="1:9" x14ac:dyDescent="0.3">
      <c r="A4620">
        <v>14619</v>
      </c>
      <c r="B4620">
        <v>431</v>
      </c>
      <c r="C4620" s="2">
        <v>45132</v>
      </c>
      <c r="D4620" s="2" t="str">
        <f>TEXT(Table3[[#This Row],[usage_date]],"mmmm")</f>
        <v>July</v>
      </c>
      <c r="E4620" s="9">
        <f>YEAR(Table3[[#This Row],[usage_date]])</f>
        <v>2023</v>
      </c>
      <c r="F4620" s="14">
        <v>3.6</v>
      </c>
      <c r="G4620">
        <v>11</v>
      </c>
      <c r="H4620" t="s">
        <v>13</v>
      </c>
      <c r="I4620" t="str">
        <f t="shared" si="72"/>
        <v>Normal Usage</v>
      </c>
    </row>
    <row r="4621" spans="1:9" x14ac:dyDescent="0.3">
      <c r="A4621">
        <v>14620</v>
      </c>
      <c r="B4621">
        <v>239</v>
      </c>
      <c r="C4621" s="2">
        <v>44978</v>
      </c>
      <c r="D4621" s="2" t="str">
        <f>TEXT(Table3[[#This Row],[usage_date]],"mmmm")</f>
        <v>February</v>
      </c>
      <c r="E4621" s="9">
        <f>YEAR(Table3[[#This Row],[usage_date]])</f>
        <v>2023</v>
      </c>
      <c r="F4621" s="14">
        <v>3.42</v>
      </c>
      <c r="G4621">
        <v>20</v>
      </c>
      <c r="H4621" t="s">
        <v>12</v>
      </c>
      <c r="I4621" t="str">
        <f t="shared" si="72"/>
        <v>Normal Usage</v>
      </c>
    </row>
    <row r="4622" spans="1:9" x14ac:dyDescent="0.3">
      <c r="A4622">
        <v>14621</v>
      </c>
      <c r="B4622">
        <v>304</v>
      </c>
      <c r="C4622" s="2">
        <v>44918</v>
      </c>
      <c r="D4622" s="2" t="str">
        <f>TEXT(Table3[[#This Row],[usage_date]],"mmmm")</f>
        <v>December</v>
      </c>
      <c r="E4622" s="9">
        <f>YEAR(Table3[[#This Row],[usage_date]])</f>
        <v>2022</v>
      </c>
      <c r="F4622" s="14">
        <v>0.71</v>
      </c>
      <c r="G4622">
        <v>126</v>
      </c>
      <c r="H4622" t="s">
        <v>13</v>
      </c>
      <c r="I4622" t="str">
        <f t="shared" si="72"/>
        <v>Normal Usage</v>
      </c>
    </row>
    <row r="4623" spans="1:9" x14ac:dyDescent="0.3">
      <c r="A4623">
        <v>14622</v>
      </c>
      <c r="B4623">
        <v>298</v>
      </c>
      <c r="C4623" s="2">
        <v>44944</v>
      </c>
      <c r="D4623" s="2" t="str">
        <f>TEXT(Table3[[#This Row],[usage_date]],"mmmm")</f>
        <v>January</v>
      </c>
      <c r="E4623" s="9">
        <f>YEAR(Table3[[#This Row],[usage_date]])</f>
        <v>2023</v>
      </c>
      <c r="F4623" s="14">
        <v>3.26</v>
      </c>
      <c r="G4623">
        <v>284</v>
      </c>
      <c r="H4623" t="s">
        <v>13</v>
      </c>
      <c r="I4623" t="str">
        <f t="shared" si="72"/>
        <v>Normal Usage</v>
      </c>
    </row>
    <row r="4624" spans="1:9" x14ac:dyDescent="0.3">
      <c r="A4624">
        <v>14623</v>
      </c>
      <c r="B4624">
        <v>76</v>
      </c>
      <c r="C4624" s="2">
        <v>45370</v>
      </c>
      <c r="D4624" s="2" t="str">
        <f>TEXT(Table3[[#This Row],[usage_date]],"mmmm")</f>
        <v>March</v>
      </c>
      <c r="E4624" s="9">
        <f>YEAR(Table3[[#This Row],[usage_date]])</f>
        <v>2024</v>
      </c>
      <c r="F4624" s="14">
        <v>3.44</v>
      </c>
      <c r="G4624">
        <v>120</v>
      </c>
      <c r="H4624" t="s">
        <v>13</v>
      </c>
      <c r="I4624" t="str">
        <f t="shared" si="72"/>
        <v>Normal Usage</v>
      </c>
    </row>
    <row r="4625" spans="1:9" x14ac:dyDescent="0.3">
      <c r="A4625">
        <v>14624</v>
      </c>
      <c r="B4625">
        <v>188</v>
      </c>
      <c r="C4625" s="2">
        <v>44719</v>
      </c>
      <c r="D4625" s="2" t="str">
        <f>TEXT(Table3[[#This Row],[usage_date]],"mmmm")</f>
        <v>June</v>
      </c>
      <c r="E4625" s="9">
        <f>YEAR(Table3[[#This Row],[usage_date]])</f>
        <v>2022</v>
      </c>
      <c r="F4625" s="14">
        <v>1.27</v>
      </c>
      <c r="G4625">
        <v>123</v>
      </c>
      <c r="H4625" t="s">
        <v>12</v>
      </c>
      <c r="I4625" t="str">
        <f t="shared" si="72"/>
        <v>Normal Usage</v>
      </c>
    </row>
    <row r="4626" spans="1:9" x14ac:dyDescent="0.3">
      <c r="A4626">
        <v>14625</v>
      </c>
      <c r="B4626">
        <v>333</v>
      </c>
      <c r="C4626" s="2">
        <v>45130</v>
      </c>
      <c r="D4626" s="2" t="str">
        <f>TEXT(Table3[[#This Row],[usage_date]],"mmmm")</f>
        <v>July</v>
      </c>
      <c r="E4626" s="9">
        <f>YEAR(Table3[[#This Row],[usage_date]])</f>
        <v>2023</v>
      </c>
      <c r="F4626" s="14">
        <v>0.59</v>
      </c>
      <c r="G4626">
        <v>32</v>
      </c>
      <c r="H4626" t="s">
        <v>13</v>
      </c>
      <c r="I4626" t="str">
        <f t="shared" si="72"/>
        <v>Normal Usage</v>
      </c>
    </row>
    <row r="4627" spans="1:9" x14ac:dyDescent="0.3">
      <c r="A4627">
        <v>14626</v>
      </c>
      <c r="B4627">
        <v>388</v>
      </c>
      <c r="C4627" s="2">
        <v>44994</v>
      </c>
      <c r="D4627" s="2" t="str">
        <f>TEXT(Table3[[#This Row],[usage_date]],"mmmm")</f>
        <v>March</v>
      </c>
      <c r="E4627" s="9">
        <f>YEAR(Table3[[#This Row],[usage_date]])</f>
        <v>2023</v>
      </c>
      <c r="F4627" s="14">
        <v>1.84</v>
      </c>
      <c r="G4627">
        <v>169</v>
      </c>
      <c r="H4627" t="s">
        <v>13</v>
      </c>
      <c r="I4627" t="str">
        <f t="shared" si="72"/>
        <v>Normal Usage</v>
      </c>
    </row>
    <row r="4628" spans="1:9" x14ac:dyDescent="0.3">
      <c r="A4628">
        <v>14627</v>
      </c>
      <c r="B4628">
        <v>487</v>
      </c>
      <c r="C4628" s="2">
        <v>44609</v>
      </c>
      <c r="D4628" s="2" t="str">
        <f>TEXT(Table3[[#This Row],[usage_date]],"mmmm")</f>
        <v>February</v>
      </c>
      <c r="E4628" s="9">
        <f>YEAR(Table3[[#This Row],[usage_date]])</f>
        <v>2022</v>
      </c>
      <c r="F4628" s="14">
        <v>6.36</v>
      </c>
      <c r="G4628">
        <v>76</v>
      </c>
      <c r="H4628" t="s">
        <v>12</v>
      </c>
      <c r="I4628" t="str">
        <f t="shared" si="72"/>
        <v>High Usage</v>
      </c>
    </row>
    <row r="4629" spans="1:9" x14ac:dyDescent="0.3">
      <c r="A4629">
        <v>14628</v>
      </c>
      <c r="B4629">
        <v>246</v>
      </c>
      <c r="C4629" s="2">
        <v>44889</v>
      </c>
      <c r="D4629" s="2" t="str">
        <f>TEXT(Table3[[#This Row],[usage_date]],"mmmm")</f>
        <v>November</v>
      </c>
      <c r="E4629" s="9">
        <f>YEAR(Table3[[#This Row],[usage_date]])</f>
        <v>2022</v>
      </c>
      <c r="F4629" s="14">
        <v>2.5499999999999998</v>
      </c>
      <c r="G4629">
        <v>296</v>
      </c>
      <c r="H4629" t="s">
        <v>13</v>
      </c>
      <c r="I4629" t="str">
        <f t="shared" si="72"/>
        <v>Normal Usage</v>
      </c>
    </row>
    <row r="4630" spans="1:9" x14ac:dyDescent="0.3">
      <c r="A4630">
        <v>14629</v>
      </c>
      <c r="B4630">
        <v>130</v>
      </c>
      <c r="C4630" s="2">
        <v>44994</v>
      </c>
      <c r="D4630" s="2" t="str">
        <f>TEXT(Table3[[#This Row],[usage_date]],"mmmm")</f>
        <v>March</v>
      </c>
      <c r="E4630" s="9">
        <f>YEAR(Table3[[#This Row],[usage_date]])</f>
        <v>2023</v>
      </c>
      <c r="F4630" s="14">
        <v>0.47</v>
      </c>
      <c r="G4630">
        <v>62</v>
      </c>
      <c r="H4630" t="s">
        <v>13</v>
      </c>
      <c r="I4630" t="str">
        <f t="shared" si="72"/>
        <v>Normal Usage</v>
      </c>
    </row>
    <row r="4631" spans="1:9" x14ac:dyDescent="0.3">
      <c r="A4631">
        <v>14630</v>
      </c>
      <c r="B4631">
        <v>474</v>
      </c>
      <c r="C4631" s="2">
        <v>44992</v>
      </c>
      <c r="D4631" s="2" t="str">
        <f>TEXT(Table3[[#This Row],[usage_date]],"mmmm")</f>
        <v>March</v>
      </c>
      <c r="E4631" s="9">
        <f>YEAR(Table3[[#This Row],[usage_date]])</f>
        <v>2023</v>
      </c>
      <c r="F4631" s="14">
        <v>2.87</v>
      </c>
      <c r="G4631">
        <v>269</v>
      </c>
      <c r="H4631" t="s">
        <v>12</v>
      </c>
      <c r="I4631" t="str">
        <f t="shared" si="72"/>
        <v>Normal Usage</v>
      </c>
    </row>
    <row r="4632" spans="1:9" x14ac:dyDescent="0.3">
      <c r="A4632">
        <v>14631</v>
      </c>
      <c r="B4632">
        <v>315</v>
      </c>
      <c r="C4632" s="2">
        <v>44617</v>
      </c>
      <c r="D4632" s="2" t="str">
        <f>TEXT(Table3[[#This Row],[usage_date]],"mmmm")</f>
        <v>February</v>
      </c>
      <c r="E4632" s="9">
        <f>YEAR(Table3[[#This Row],[usage_date]])</f>
        <v>2022</v>
      </c>
      <c r="F4632" s="14">
        <v>1.39</v>
      </c>
      <c r="G4632">
        <v>215</v>
      </c>
      <c r="H4632" t="s">
        <v>12</v>
      </c>
      <c r="I4632" t="str">
        <f t="shared" si="72"/>
        <v>Normal Usage</v>
      </c>
    </row>
    <row r="4633" spans="1:9" x14ac:dyDescent="0.3">
      <c r="A4633">
        <v>14632</v>
      </c>
      <c r="B4633">
        <v>411</v>
      </c>
      <c r="C4633" s="2">
        <v>45138</v>
      </c>
      <c r="D4633" s="2" t="str">
        <f>TEXT(Table3[[#This Row],[usage_date]],"mmmm")</f>
        <v>July</v>
      </c>
      <c r="E4633" s="9">
        <f>YEAR(Table3[[#This Row],[usage_date]])</f>
        <v>2023</v>
      </c>
      <c r="F4633" s="14">
        <v>2.2400000000000002</v>
      </c>
      <c r="G4633">
        <v>189</v>
      </c>
      <c r="H4633" t="s">
        <v>12</v>
      </c>
      <c r="I4633" t="str">
        <f t="shared" si="72"/>
        <v>Normal Usage</v>
      </c>
    </row>
    <row r="4634" spans="1:9" x14ac:dyDescent="0.3">
      <c r="A4634">
        <v>14633</v>
      </c>
      <c r="B4634">
        <v>283</v>
      </c>
      <c r="C4634" s="2">
        <v>44829</v>
      </c>
      <c r="D4634" s="2" t="str">
        <f>TEXT(Table3[[#This Row],[usage_date]],"mmmm")</f>
        <v>September</v>
      </c>
      <c r="E4634" s="9">
        <f>YEAR(Table3[[#This Row],[usage_date]])</f>
        <v>2022</v>
      </c>
      <c r="F4634" s="14">
        <v>3.31</v>
      </c>
      <c r="G4634">
        <v>74</v>
      </c>
      <c r="H4634" t="s">
        <v>12</v>
      </c>
      <c r="I4634" t="str">
        <f t="shared" si="72"/>
        <v>Normal Usage</v>
      </c>
    </row>
    <row r="4635" spans="1:9" x14ac:dyDescent="0.3">
      <c r="A4635">
        <v>14634</v>
      </c>
      <c r="B4635">
        <v>79</v>
      </c>
      <c r="C4635" s="2">
        <v>44630</v>
      </c>
      <c r="D4635" s="2" t="str">
        <f>TEXT(Table3[[#This Row],[usage_date]],"mmmm")</f>
        <v>March</v>
      </c>
      <c r="E4635" s="9">
        <f>YEAR(Table3[[#This Row],[usage_date]])</f>
        <v>2022</v>
      </c>
      <c r="F4635" s="14">
        <v>1.81</v>
      </c>
      <c r="G4635">
        <v>173</v>
      </c>
      <c r="H4635" t="s">
        <v>12</v>
      </c>
      <c r="I4635" t="str">
        <f t="shared" si="72"/>
        <v>Normal Usage</v>
      </c>
    </row>
    <row r="4636" spans="1:9" x14ac:dyDescent="0.3">
      <c r="A4636">
        <v>14635</v>
      </c>
      <c r="B4636">
        <v>72</v>
      </c>
      <c r="C4636" s="2">
        <v>45289</v>
      </c>
      <c r="D4636" s="2" t="str">
        <f>TEXT(Table3[[#This Row],[usage_date]],"mmmm")</f>
        <v>December</v>
      </c>
      <c r="E4636" s="9">
        <f>YEAR(Table3[[#This Row],[usage_date]])</f>
        <v>2023</v>
      </c>
      <c r="F4636" s="14">
        <v>4.2</v>
      </c>
      <c r="G4636">
        <v>66</v>
      </c>
      <c r="H4636" t="s">
        <v>12</v>
      </c>
      <c r="I4636" t="str">
        <f t="shared" si="72"/>
        <v>Normal Usage</v>
      </c>
    </row>
    <row r="4637" spans="1:9" x14ac:dyDescent="0.3">
      <c r="A4637">
        <v>14636</v>
      </c>
      <c r="B4637">
        <v>263</v>
      </c>
      <c r="C4637" s="2">
        <v>45162</v>
      </c>
      <c r="D4637" s="2" t="str">
        <f>TEXT(Table3[[#This Row],[usage_date]],"mmmm")</f>
        <v>August</v>
      </c>
      <c r="E4637" s="9">
        <f>YEAR(Table3[[#This Row],[usage_date]])</f>
        <v>2023</v>
      </c>
      <c r="F4637" s="14">
        <v>3.2</v>
      </c>
      <c r="G4637">
        <v>92</v>
      </c>
      <c r="H4637" t="s">
        <v>12</v>
      </c>
      <c r="I4637" t="str">
        <f t="shared" si="72"/>
        <v>Normal Usage</v>
      </c>
    </row>
    <row r="4638" spans="1:9" x14ac:dyDescent="0.3">
      <c r="A4638">
        <v>14637</v>
      </c>
      <c r="B4638">
        <v>191</v>
      </c>
      <c r="C4638" s="2">
        <v>45010</v>
      </c>
      <c r="D4638" s="2" t="str">
        <f>TEXT(Table3[[#This Row],[usage_date]],"mmmm")</f>
        <v>March</v>
      </c>
      <c r="E4638" s="9">
        <f>YEAR(Table3[[#This Row],[usage_date]])</f>
        <v>2023</v>
      </c>
      <c r="F4638" s="14">
        <v>2.39</v>
      </c>
      <c r="G4638">
        <v>52</v>
      </c>
      <c r="H4638" t="s">
        <v>12</v>
      </c>
      <c r="I4638" t="str">
        <f t="shared" si="72"/>
        <v>Normal Usage</v>
      </c>
    </row>
    <row r="4639" spans="1:9" x14ac:dyDescent="0.3">
      <c r="A4639">
        <v>14638</v>
      </c>
      <c r="B4639">
        <v>367</v>
      </c>
      <c r="C4639" s="2">
        <v>45354</v>
      </c>
      <c r="D4639" s="2" t="str">
        <f>TEXT(Table3[[#This Row],[usage_date]],"mmmm")</f>
        <v>March</v>
      </c>
      <c r="E4639" s="9">
        <f>YEAR(Table3[[#This Row],[usage_date]])</f>
        <v>2024</v>
      </c>
      <c r="F4639" s="14">
        <v>0.41</v>
      </c>
      <c r="G4639">
        <v>93</v>
      </c>
      <c r="H4639" t="s">
        <v>13</v>
      </c>
      <c r="I4639" t="str">
        <f t="shared" si="72"/>
        <v>Normal Usage</v>
      </c>
    </row>
    <row r="4640" spans="1:9" x14ac:dyDescent="0.3">
      <c r="A4640">
        <v>14639</v>
      </c>
      <c r="B4640">
        <v>375</v>
      </c>
      <c r="C4640" s="2">
        <v>44818</v>
      </c>
      <c r="D4640" s="2" t="str">
        <f>TEXT(Table3[[#This Row],[usage_date]],"mmmm")</f>
        <v>September</v>
      </c>
      <c r="E4640" s="9">
        <f>YEAR(Table3[[#This Row],[usage_date]])</f>
        <v>2022</v>
      </c>
      <c r="F4640" s="14">
        <v>4.5199999999999996</v>
      </c>
      <c r="G4640">
        <v>112</v>
      </c>
      <c r="H4640" t="s">
        <v>12</v>
      </c>
      <c r="I4640" t="str">
        <f t="shared" si="72"/>
        <v>Normal Usage</v>
      </c>
    </row>
    <row r="4641" spans="1:9" x14ac:dyDescent="0.3">
      <c r="A4641">
        <v>14640</v>
      </c>
      <c r="B4641">
        <v>430</v>
      </c>
      <c r="C4641" s="2">
        <v>45233</v>
      </c>
      <c r="D4641" s="2" t="str">
        <f>TEXT(Table3[[#This Row],[usage_date]],"mmmm")</f>
        <v>November</v>
      </c>
      <c r="E4641" s="9">
        <f>YEAR(Table3[[#This Row],[usage_date]])</f>
        <v>2023</v>
      </c>
      <c r="F4641" s="14">
        <v>6.87</v>
      </c>
      <c r="G4641">
        <v>228</v>
      </c>
      <c r="H4641" t="s">
        <v>13</v>
      </c>
      <c r="I4641" t="str">
        <f t="shared" si="72"/>
        <v>High Usage</v>
      </c>
    </row>
    <row r="4642" spans="1:9" x14ac:dyDescent="0.3">
      <c r="A4642">
        <v>14641</v>
      </c>
      <c r="B4642">
        <v>63</v>
      </c>
      <c r="C4642" s="2">
        <v>45051</v>
      </c>
      <c r="D4642" s="2" t="str">
        <f>TEXT(Table3[[#This Row],[usage_date]],"mmmm")</f>
        <v>May</v>
      </c>
      <c r="E4642" s="9">
        <f>YEAR(Table3[[#This Row],[usage_date]])</f>
        <v>2023</v>
      </c>
      <c r="F4642" s="14">
        <v>0.37</v>
      </c>
      <c r="G4642">
        <v>249</v>
      </c>
      <c r="H4642" t="s">
        <v>12</v>
      </c>
      <c r="I4642" t="str">
        <f t="shared" si="72"/>
        <v>Normal Usage</v>
      </c>
    </row>
    <row r="4643" spans="1:9" x14ac:dyDescent="0.3">
      <c r="A4643">
        <v>14642</v>
      </c>
      <c r="B4643">
        <v>488</v>
      </c>
      <c r="C4643" s="2">
        <v>45307</v>
      </c>
      <c r="D4643" s="2" t="str">
        <f>TEXT(Table3[[#This Row],[usage_date]],"mmmm")</f>
        <v>January</v>
      </c>
      <c r="E4643" s="9">
        <f>YEAR(Table3[[#This Row],[usage_date]])</f>
        <v>2024</v>
      </c>
      <c r="F4643" s="14">
        <v>1.67</v>
      </c>
      <c r="G4643">
        <v>208</v>
      </c>
      <c r="H4643" t="s">
        <v>13</v>
      </c>
      <c r="I4643" t="str">
        <f t="shared" si="72"/>
        <v>Normal Usage</v>
      </c>
    </row>
    <row r="4644" spans="1:9" x14ac:dyDescent="0.3">
      <c r="A4644">
        <v>14643</v>
      </c>
      <c r="B4644">
        <v>380</v>
      </c>
      <c r="C4644" s="2">
        <v>45204</v>
      </c>
      <c r="D4644" s="2" t="str">
        <f>TEXT(Table3[[#This Row],[usage_date]],"mmmm")</f>
        <v>October</v>
      </c>
      <c r="E4644" s="9">
        <f>YEAR(Table3[[#This Row],[usage_date]])</f>
        <v>2023</v>
      </c>
      <c r="F4644" s="14">
        <v>0.75</v>
      </c>
      <c r="G4644">
        <v>181</v>
      </c>
      <c r="H4644" t="s">
        <v>13</v>
      </c>
      <c r="I4644" t="str">
        <f t="shared" si="72"/>
        <v>Normal Usage</v>
      </c>
    </row>
    <row r="4645" spans="1:9" x14ac:dyDescent="0.3">
      <c r="A4645">
        <v>14644</v>
      </c>
      <c r="B4645">
        <v>12</v>
      </c>
      <c r="C4645" s="2">
        <v>44610</v>
      </c>
      <c r="D4645" s="2" t="str">
        <f>TEXT(Table3[[#This Row],[usage_date]],"mmmm")</f>
        <v>February</v>
      </c>
      <c r="E4645" s="9">
        <f>YEAR(Table3[[#This Row],[usage_date]])</f>
        <v>2022</v>
      </c>
      <c r="F4645" s="14">
        <v>3.51</v>
      </c>
      <c r="G4645">
        <v>266</v>
      </c>
      <c r="H4645" t="s">
        <v>12</v>
      </c>
      <c r="I4645" t="str">
        <f t="shared" si="72"/>
        <v>Normal Usage</v>
      </c>
    </row>
    <row r="4646" spans="1:9" x14ac:dyDescent="0.3">
      <c r="A4646">
        <v>14645</v>
      </c>
      <c r="B4646">
        <v>141</v>
      </c>
      <c r="C4646" s="2">
        <v>45220</v>
      </c>
      <c r="D4646" s="2" t="str">
        <f>TEXT(Table3[[#This Row],[usage_date]],"mmmm")</f>
        <v>October</v>
      </c>
      <c r="E4646" s="9">
        <f>YEAR(Table3[[#This Row],[usage_date]])</f>
        <v>2023</v>
      </c>
      <c r="F4646" s="14">
        <v>3.2</v>
      </c>
      <c r="G4646">
        <v>280</v>
      </c>
      <c r="H4646" t="s">
        <v>12</v>
      </c>
      <c r="I4646" t="str">
        <f t="shared" si="72"/>
        <v>Normal Usage</v>
      </c>
    </row>
    <row r="4647" spans="1:9" x14ac:dyDescent="0.3">
      <c r="A4647">
        <v>14646</v>
      </c>
      <c r="B4647">
        <v>254</v>
      </c>
      <c r="C4647" s="2">
        <v>44877</v>
      </c>
      <c r="D4647" s="2" t="str">
        <f>TEXT(Table3[[#This Row],[usage_date]],"mmmm")</f>
        <v>November</v>
      </c>
      <c r="E4647" s="9">
        <f>YEAR(Table3[[#This Row],[usage_date]])</f>
        <v>2022</v>
      </c>
      <c r="F4647" s="14">
        <v>0.38</v>
      </c>
      <c r="G4647">
        <v>154</v>
      </c>
      <c r="H4647" t="s">
        <v>12</v>
      </c>
      <c r="I4647" t="str">
        <f t="shared" si="72"/>
        <v>Normal Usage</v>
      </c>
    </row>
    <row r="4648" spans="1:9" x14ac:dyDescent="0.3">
      <c r="A4648">
        <v>14647</v>
      </c>
      <c r="B4648">
        <v>43</v>
      </c>
      <c r="C4648" s="2">
        <v>44974</v>
      </c>
      <c r="D4648" s="2" t="str">
        <f>TEXT(Table3[[#This Row],[usage_date]],"mmmm")</f>
        <v>February</v>
      </c>
      <c r="E4648" s="9">
        <f>YEAR(Table3[[#This Row],[usage_date]])</f>
        <v>2023</v>
      </c>
      <c r="F4648" s="14">
        <v>5.24</v>
      </c>
      <c r="G4648">
        <v>82</v>
      </c>
      <c r="H4648" t="s">
        <v>13</v>
      </c>
      <c r="I4648" t="str">
        <f t="shared" si="72"/>
        <v>Normal Usage</v>
      </c>
    </row>
    <row r="4649" spans="1:9" x14ac:dyDescent="0.3">
      <c r="A4649">
        <v>14648</v>
      </c>
      <c r="B4649">
        <v>17</v>
      </c>
      <c r="C4649" s="2">
        <v>44995</v>
      </c>
      <c r="D4649" s="2" t="str">
        <f>TEXT(Table3[[#This Row],[usage_date]],"mmmm")</f>
        <v>March</v>
      </c>
      <c r="E4649" s="9">
        <f>YEAR(Table3[[#This Row],[usage_date]])</f>
        <v>2023</v>
      </c>
      <c r="F4649" s="14">
        <v>0.5</v>
      </c>
      <c r="G4649">
        <v>185</v>
      </c>
      <c r="H4649" t="s">
        <v>13</v>
      </c>
      <c r="I4649" t="str">
        <f t="shared" si="72"/>
        <v>Normal Usage</v>
      </c>
    </row>
    <row r="4650" spans="1:9" x14ac:dyDescent="0.3">
      <c r="A4650">
        <v>14649</v>
      </c>
      <c r="B4650">
        <v>63</v>
      </c>
      <c r="C4650" s="2">
        <v>44563</v>
      </c>
      <c r="D4650" s="2" t="str">
        <f>TEXT(Table3[[#This Row],[usage_date]],"mmmm")</f>
        <v>January</v>
      </c>
      <c r="E4650" s="9">
        <f>YEAR(Table3[[#This Row],[usage_date]])</f>
        <v>2022</v>
      </c>
      <c r="F4650" s="14">
        <v>3.99</v>
      </c>
      <c r="G4650">
        <v>138</v>
      </c>
      <c r="H4650" t="s">
        <v>12</v>
      </c>
      <c r="I4650" t="str">
        <f t="shared" si="72"/>
        <v>Normal Usage</v>
      </c>
    </row>
    <row r="4651" spans="1:9" x14ac:dyDescent="0.3">
      <c r="A4651">
        <v>14650</v>
      </c>
      <c r="B4651">
        <v>253</v>
      </c>
      <c r="C4651" s="2">
        <v>45402</v>
      </c>
      <c r="D4651" s="2" t="str">
        <f>TEXT(Table3[[#This Row],[usage_date]],"mmmm")</f>
        <v>April</v>
      </c>
      <c r="E4651" s="9">
        <f>YEAR(Table3[[#This Row],[usage_date]])</f>
        <v>2024</v>
      </c>
      <c r="F4651" s="14">
        <v>1.53</v>
      </c>
      <c r="G4651">
        <v>54</v>
      </c>
      <c r="H4651" t="s">
        <v>12</v>
      </c>
      <c r="I4651" t="str">
        <f t="shared" si="72"/>
        <v>Normal Usage</v>
      </c>
    </row>
    <row r="4652" spans="1:9" x14ac:dyDescent="0.3">
      <c r="A4652">
        <v>14651</v>
      </c>
      <c r="B4652">
        <v>465</v>
      </c>
      <c r="C4652" s="2">
        <v>44706</v>
      </c>
      <c r="D4652" s="2" t="str">
        <f>TEXT(Table3[[#This Row],[usage_date]],"mmmm")</f>
        <v>May</v>
      </c>
      <c r="E4652" s="9">
        <f>YEAR(Table3[[#This Row],[usage_date]])</f>
        <v>2022</v>
      </c>
      <c r="F4652" s="14">
        <v>0.99</v>
      </c>
      <c r="G4652">
        <v>18</v>
      </c>
      <c r="H4652" t="s">
        <v>12</v>
      </c>
      <c r="I4652" t="str">
        <f t="shared" si="72"/>
        <v>Normal Usage</v>
      </c>
    </row>
    <row r="4653" spans="1:9" x14ac:dyDescent="0.3">
      <c r="A4653">
        <v>14652</v>
      </c>
      <c r="B4653">
        <v>376</v>
      </c>
      <c r="C4653" s="2">
        <v>44927</v>
      </c>
      <c r="D4653" s="2" t="str">
        <f>TEXT(Table3[[#This Row],[usage_date]],"mmmm")</f>
        <v>January</v>
      </c>
      <c r="E4653" s="9">
        <f>YEAR(Table3[[#This Row],[usage_date]])</f>
        <v>2023</v>
      </c>
      <c r="F4653" s="14">
        <v>0.43</v>
      </c>
      <c r="G4653">
        <v>266</v>
      </c>
      <c r="H4653" t="s">
        <v>12</v>
      </c>
      <c r="I4653" t="str">
        <f t="shared" si="72"/>
        <v>Normal Usage</v>
      </c>
    </row>
    <row r="4654" spans="1:9" x14ac:dyDescent="0.3">
      <c r="A4654">
        <v>14653</v>
      </c>
      <c r="B4654">
        <v>292</v>
      </c>
      <c r="C4654" s="2">
        <v>44981</v>
      </c>
      <c r="D4654" s="2" t="str">
        <f>TEXT(Table3[[#This Row],[usage_date]],"mmmm")</f>
        <v>February</v>
      </c>
      <c r="E4654" s="9">
        <f>YEAR(Table3[[#This Row],[usage_date]])</f>
        <v>2023</v>
      </c>
      <c r="F4654" s="14">
        <v>0.46</v>
      </c>
      <c r="G4654">
        <v>141</v>
      </c>
      <c r="H4654" t="s">
        <v>13</v>
      </c>
      <c r="I4654" t="str">
        <f t="shared" si="72"/>
        <v>Normal Usage</v>
      </c>
    </row>
    <row r="4655" spans="1:9" x14ac:dyDescent="0.3">
      <c r="A4655">
        <v>14654</v>
      </c>
      <c r="B4655">
        <v>469</v>
      </c>
      <c r="C4655" s="2">
        <v>45134</v>
      </c>
      <c r="D4655" s="2" t="str">
        <f>TEXT(Table3[[#This Row],[usage_date]],"mmmm")</f>
        <v>July</v>
      </c>
      <c r="E4655" s="9">
        <f>YEAR(Table3[[#This Row],[usage_date]])</f>
        <v>2023</v>
      </c>
      <c r="F4655" s="14">
        <v>2.71</v>
      </c>
      <c r="G4655">
        <v>163</v>
      </c>
      <c r="H4655" t="s">
        <v>12</v>
      </c>
      <c r="I4655" t="str">
        <f t="shared" si="72"/>
        <v>Normal Usage</v>
      </c>
    </row>
    <row r="4656" spans="1:9" x14ac:dyDescent="0.3">
      <c r="A4656">
        <v>14655</v>
      </c>
      <c r="B4656">
        <v>8</v>
      </c>
      <c r="C4656" s="2">
        <v>45346</v>
      </c>
      <c r="D4656" s="2" t="str">
        <f>TEXT(Table3[[#This Row],[usage_date]],"mmmm")</f>
        <v>February</v>
      </c>
      <c r="E4656" s="9">
        <f>YEAR(Table3[[#This Row],[usage_date]])</f>
        <v>2024</v>
      </c>
      <c r="F4656" s="14">
        <v>2</v>
      </c>
      <c r="G4656">
        <v>251</v>
      </c>
      <c r="H4656" t="s">
        <v>13</v>
      </c>
      <c r="I4656" t="str">
        <f t="shared" si="72"/>
        <v>Normal Usage</v>
      </c>
    </row>
    <row r="4657" spans="1:9" x14ac:dyDescent="0.3">
      <c r="A4657">
        <v>14656</v>
      </c>
      <c r="B4657">
        <v>325</v>
      </c>
      <c r="C4657" s="2">
        <v>45122</v>
      </c>
      <c r="D4657" s="2" t="str">
        <f>TEXT(Table3[[#This Row],[usage_date]],"mmmm")</f>
        <v>July</v>
      </c>
      <c r="E4657" s="9">
        <f>YEAR(Table3[[#This Row],[usage_date]])</f>
        <v>2023</v>
      </c>
      <c r="F4657" s="14">
        <v>0.33</v>
      </c>
      <c r="G4657">
        <v>231</v>
      </c>
      <c r="H4657" t="s">
        <v>13</v>
      </c>
      <c r="I4657" t="str">
        <f t="shared" si="72"/>
        <v>Normal Usage</v>
      </c>
    </row>
    <row r="4658" spans="1:9" x14ac:dyDescent="0.3">
      <c r="A4658">
        <v>14657</v>
      </c>
      <c r="B4658">
        <v>90</v>
      </c>
      <c r="C4658" s="2">
        <v>45405</v>
      </c>
      <c r="D4658" s="2" t="str">
        <f>TEXT(Table3[[#This Row],[usage_date]],"mmmm")</f>
        <v>April</v>
      </c>
      <c r="E4658" s="9">
        <f>YEAR(Table3[[#This Row],[usage_date]])</f>
        <v>2024</v>
      </c>
      <c r="F4658" s="14">
        <v>0.3</v>
      </c>
      <c r="G4658">
        <v>296</v>
      </c>
      <c r="H4658" t="s">
        <v>13</v>
      </c>
      <c r="I4658" t="str">
        <f t="shared" si="72"/>
        <v>Normal Usage</v>
      </c>
    </row>
    <row r="4659" spans="1:9" x14ac:dyDescent="0.3">
      <c r="A4659">
        <v>14658</v>
      </c>
      <c r="B4659">
        <v>208</v>
      </c>
      <c r="C4659" s="2">
        <v>45005</v>
      </c>
      <c r="D4659" s="2" t="str">
        <f>TEXT(Table3[[#This Row],[usage_date]],"mmmm")</f>
        <v>March</v>
      </c>
      <c r="E4659" s="9">
        <f>YEAR(Table3[[#This Row],[usage_date]])</f>
        <v>2023</v>
      </c>
      <c r="F4659" s="14">
        <v>0.19</v>
      </c>
      <c r="G4659">
        <v>59</v>
      </c>
      <c r="H4659" t="s">
        <v>12</v>
      </c>
      <c r="I4659" t="str">
        <f t="shared" si="72"/>
        <v>Normal Usage</v>
      </c>
    </row>
    <row r="4660" spans="1:9" x14ac:dyDescent="0.3">
      <c r="A4660">
        <v>14659</v>
      </c>
      <c r="B4660">
        <v>292</v>
      </c>
      <c r="C4660" s="2">
        <v>44995</v>
      </c>
      <c r="D4660" s="2" t="str">
        <f>TEXT(Table3[[#This Row],[usage_date]],"mmmm")</f>
        <v>March</v>
      </c>
      <c r="E4660" s="9">
        <f>YEAR(Table3[[#This Row],[usage_date]])</f>
        <v>2023</v>
      </c>
      <c r="F4660" s="14">
        <v>3.4</v>
      </c>
      <c r="G4660">
        <v>21</v>
      </c>
      <c r="H4660" t="s">
        <v>12</v>
      </c>
      <c r="I4660" t="str">
        <f t="shared" si="72"/>
        <v>Normal Usage</v>
      </c>
    </row>
    <row r="4661" spans="1:9" x14ac:dyDescent="0.3">
      <c r="A4661">
        <v>14660</v>
      </c>
      <c r="B4661">
        <v>284</v>
      </c>
      <c r="C4661" s="2">
        <v>45204</v>
      </c>
      <c r="D4661" s="2" t="str">
        <f>TEXT(Table3[[#This Row],[usage_date]],"mmmm")</f>
        <v>October</v>
      </c>
      <c r="E4661" s="9">
        <f>YEAR(Table3[[#This Row],[usage_date]])</f>
        <v>2023</v>
      </c>
      <c r="F4661" s="14">
        <v>3.11</v>
      </c>
      <c r="G4661">
        <v>125</v>
      </c>
      <c r="H4661" t="s">
        <v>12</v>
      </c>
      <c r="I4661" t="str">
        <f t="shared" si="72"/>
        <v>Normal Usage</v>
      </c>
    </row>
    <row r="4662" spans="1:9" x14ac:dyDescent="0.3">
      <c r="A4662">
        <v>14661</v>
      </c>
      <c r="B4662">
        <v>118</v>
      </c>
      <c r="C4662" s="2">
        <v>45116</v>
      </c>
      <c r="D4662" s="2" t="str">
        <f>TEXT(Table3[[#This Row],[usage_date]],"mmmm")</f>
        <v>July</v>
      </c>
      <c r="E4662" s="9">
        <f>YEAR(Table3[[#This Row],[usage_date]])</f>
        <v>2023</v>
      </c>
      <c r="F4662" s="14">
        <v>0.15</v>
      </c>
      <c r="G4662">
        <v>102</v>
      </c>
      <c r="H4662" t="s">
        <v>13</v>
      </c>
      <c r="I4662" t="str">
        <f t="shared" si="72"/>
        <v>Normal Usage</v>
      </c>
    </row>
    <row r="4663" spans="1:9" x14ac:dyDescent="0.3">
      <c r="A4663">
        <v>14662</v>
      </c>
      <c r="B4663">
        <v>349</v>
      </c>
      <c r="C4663" s="2">
        <v>44618</v>
      </c>
      <c r="D4663" s="2" t="str">
        <f>TEXT(Table3[[#This Row],[usage_date]],"mmmm")</f>
        <v>February</v>
      </c>
      <c r="E4663" s="9">
        <f>YEAR(Table3[[#This Row],[usage_date]])</f>
        <v>2022</v>
      </c>
      <c r="F4663" s="14">
        <v>2.0499999999999998</v>
      </c>
      <c r="G4663">
        <v>220</v>
      </c>
      <c r="H4663" t="s">
        <v>12</v>
      </c>
      <c r="I4663" t="str">
        <f t="shared" si="72"/>
        <v>Normal Usage</v>
      </c>
    </row>
    <row r="4664" spans="1:9" x14ac:dyDescent="0.3">
      <c r="A4664">
        <v>14663</v>
      </c>
      <c r="B4664">
        <v>175</v>
      </c>
      <c r="C4664" s="2">
        <v>45123</v>
      </c>
      <c r="D4664" s="2" t="str">
        <f>TEXT(Table3[[#This Row],[usage_date]],"mmmm")</f>
        <v>July</v>
      </c>
      <c r="E4664" s="9">
        <f>YEAR(Table3[[#This Row],[usage_date]])</f>
        <v>2023</v>
      </c>
      <c r="F4664" s="14">
        <v>0.22</v>
      </c>
      <c r="G4664">
        <v>109</v>
      </c>
      <c r="H4664" t="s">
        <v>12</v>
      </c>
      <c r="I4664" t="str">
        <f t="shared" si="72"/>
        <v>Normal Usage</v>
      </c>
    </row>
    <row r="4665" spans="1:9" x14ac:dyDescent="0.3">
      <c r="A4665">
        <v>14664</v>
      </c>
      <c r="B4665">
        <v>76</v>
      </c>
      <c r="C4665" s="2">
        <v>44739</v>
      </c>
      <c r="D4665" s="2" t="str">
        <f>TEXT(Table3[[#This Row],[usage_date]],"mmmm")</f>
        <v>June</v>
      </c>
      <c r="E4665" s="9">
        <f>YEAR(Table3[[#This Row],[usage_date]])</f>
        <v>2022</v>
      </c>
      <c r="F4665" s="14">
        <v>5.85</v>
      </c>
      <c r="G4665">
        <v>57</v>
      </c>
      <c r="H4665" t="s">
        <v>13</v>
      </c>
      <c r="I4665" t="str">
        <f t="shared" si="72"/>
        <v>Normal Usage</v>
      </c>
    </row>
    <row r="4666" spans="1:9" x14ac:dyDescent="0.3">
      <c r="A4666">
        <v>14665</v>
      </c>
      <c r="B4666">
        <v>101</v>
      </c>
      <c r="C4666" s="2">
        <v>44854</v>
      </c>
      <c r="D4666" s="2" t="str">
        <f>TEXT(Table3[[#This Row],[usage_date]],"mmmm")</f>
        <v>October</v>
      </c>
      <c r="E4666" s="9">
        <f>YEAR(Table3[[#This Row],[usage_date]])</f>
        <v>2022</v>
      </c>
      <c r="F4666" s="14">
        <v>5.94</v>
      </c>
      <c r="G4666">
        <v>64</v>
      </c>
      <c r="H4666" t="s">
        <v>12</v>
      </c>
      <c r="I4666" t="str">
        <f t="shared" si="72"/>
        <v>Normal Usage</v>
      </c>
    </row>
    <row r="4667" spans="1:9" x14ac:dyDescent="0.3">
      <c r="A4667">
        <v>14666</v>
      </c>
      <c r="B4667">
        <v>414</v>
      </c>
      <c r="C4667" s="2">
        <v>44607</v>
      </c>
      <c r="D4667" s="2" t="str">
        <f>TEXT(Table3[[#This Row],[usage_date]],"mmmm")</f>
        <v>February</v>
      </c>
      <c r="E4667" s="9">
        <f>YEAR(Table3[[#This Row],[usage_date]])</f>
        <v>2022</v>
      </c>
      <c r="F4667" s="14">
        <v>3</v>
      </c>
      <c r="G4667">
        <v>57</v>
      </c>
      <c r="H4667" t="s">
        <v>12</v>
      </c>
      <c r="I4667" t="str">
        <f t="shared" si="72"/>
        <v>Normal Usage</v>
      </c>
    </row>
    <row r="4668" spans="1:9" x14ac:dyDescent="0.3">
      <c r="A4668">
        <v>14667</v>
      </c>
      <c r="B4668">
        <v>151</v>
      </c>
      <c r="C4668" s="2">
        <v>44731</v>
      </c>
      <c r="D4668" s="2" t="str">
        <f>TEXT(Table3[[#This Row],[usage_date]],"mmmm")</f>
        <v>June</v>
      </c>
      <c r="E4668" s="9">
        <f>YEAR(Table3[[#This Row],[usage_date]])</f>
        <v>2022</v>
      </c>
      <c r="F4668" s="14">
        <v>6.52</v>
      </c>
      <c r="G4668">
        <v>157</v>
      </c>
      <c r="H4668" t="s">
        <v>12</v>
      </c>
      <c r="I4668" t="str">
        <f t="shared" si="72"/>
        <v>High Usage</v>
      </c>
    </row>
    <row r="4669" spans="1:9" x14ac:dyDescent="0.3">
      <c r="A4669">
        <v>14668</v>
      </c>
      <c r="B4669">
        <v>400</v>
      </c>
      <c r="C4669" s="2">
        <v>44832</v>
      </c>
      <c r="D4669" s="2" t="str">
        <f>TEXT(Table3[[#This Row],[usage_date]],"mmmm")</f>
        <v>September</v>
      </c>
      <c r="E4669" s="9">
        <f>YEAR(Table3[[#This Row],[usage_date]])</f>
        <v>2022</v>
      </c>
      <c r="F4669" s="14">
        <v>4.17</v>
      </c>
      <c r="G4669">
        <v>75</v>
      </c>
      <c r="H4669" t="s">
        <v>12</v>
      </c>
      <c r="I4669" t="str">
        <f t="shared" si="72"/>
        <v>Normal Usage</v>
      </c>
    </row>
    <row r="4670" spans="1:9" x14ac:dyDescent="0.3">
      <c r="A4670">
        <v>14669</v>
      </c>
      <c r="B4670">
        <v>270</v>
      </c>
      <c r="C4670" s="2">
        <v>44978</v>
      </c>
      <c r="D4670" s="2" t="str">
        <f>TEXT(Table3[[#This Row],[usage_date]],"mmmm")</f>
        <v>February</v>
      </c>
      <c r="E4670" s="9">
        <f>YEAR(Table3[[#This Row],[usage_date]])</f>
        <v>2023</v>
      </c>
      <c r="F4670" s="14">
        <v>4.41</v>
      </c>
      <c r="G4670">
        <v>18</v>
      </c>
      <c r="H4670" t="s">
        <v>12</v>
      </c>
      <c r="I4670" t="str">
        <f t="shared" si="72"/>
        <v>Normal Usage</v>
      </c>
    </row>
    <row r="4671" spans="1:9" x14ac:dyDescent="0.3">
      <c r="A4671">
        <v>14670</v>
      </c>
      <c r="B4671">
        <v>458</v>
      </c>
      <c r="C4671" s="2">
        <v>45409</v>
      </c>
      <c r="D4671" s="2" t="str">
        <f>TEXT(Table3[[#This Row],[usage_date]],"mmmm")</f>
        <v>April</v>
      </c>
      <c r="E4671" s="9">
        <f>YEAR(Table3[[#This Row],[usage_date]])</f>
        <v>2024</v>
      </c>
      <c r="F4671" s="14">
        <v>2.11</v>
      </c>
      <c r="G4671">
        <v>189</v>
      </c>
      <c r="H4671" t="s">
        <v>12</v>
      </c>
      <c r="I4671" t="str">
        <f t="shared" si="72"/>
        <v>Normal Usage</v>
      </c>
    </row>
    <row r="4672" spans="1:9" x14ac:dyDescent="0.3">
      <c r="A4672">
        <v>14671</v>
      </c>
      <c r="B4672">
        <v>71</v>
      </c>
      <c r="C4672" s="2">
        <v>44700</v>
      </c>
      <c r="D4672" s="2" t="str">
        <f>TEXT(Table3[[#This Row],[usage_date]],"mmmm")</f>
        <v>May</v>
      </c>
      <c r="E4672" s="9">
        <f>YEAR(Table3[[#This Row],[usage_date]])</f>
        <v>2022</v>
      </c>
      <c r="F4672" s="14">
        <v>0.91</v>
      </c>
      <c r="G4672">
        <v>249</v>
      </c>
      <c r="H4672" t="s">
        <v>13</v>
      </c>
      <c r="I4672" t="str">
        <f t="shared" si="72"/>
        <v>Normal Usage</v>
      </c>
    </row>
    <row r="4673" spans="1:9" x14ac:dyDescent="0.3">
      <c r="A4673">
        <v>14672</v>
      </c>
      <c r="B4673">
        <v>493</v>
      </c>
      <c r="C4673" s="2">
        <v>44808</v>
      </c>
      <c r="D4673" s="2" t="str">
        <f>TEXT(Table3[[#This Row],[usage_date]],"mmmm")</f>
        <v>September</v>
      </c>
      <c r="E4673" s="9">
        <f>YEAR(Table3[[#This Row],[usage_date]])</f>
        <v>2022</v>
      </c>
      <c r="F4673" s="14">
        <v>0.61</v>
      </c>
      <c r="G4673">
        <v>78</v>
      </c>
      <c r="H4673" t="s">
        <v>13</v>
      </c>
      <c r="I4673" t="str">
        <f t="shared" si="72"/>
        <v>Normal Usage</v>
      </c>
    </row>
    <row r="4674" spans="1:9" x14ac:dyDescent="0.3">
      <c r="A4674">
        <v>14673</v>
      </c>
      <c r="B4674">
        <v>180</v>
      </c>
      <c r="C4674" s="2">
        <v>44709</v>
      </c>
      <c r="D4674" s="2" t="str">
        <f>TEXT(Table3[[#This Row],[usage_date]],"mmmm")</f>
        <v>May</v>
      </c>
      <c r="E4674" s="9">
        <f>YEAR(Table3[[#This Row],[usage_date]])</f>
        <v>2022</v>
      </c>
      <c r="F4674" s="14">
        <v>0.99</v>
      </c>
      <c r="G4674">
        <v>83</v>
      </c>
      <c r="H4674" t="s">
        <v>12</v>
      </c>
      <c r="I4674" t="str">
        <f t="shared" ref="I4674:I4737" si="73">IF(F4674&gt;6,"High Usage","Normal Usage")</f>
        <v>Normal Usage</v>
      </c>
    </row>
    <row r="4675" spans="1:9" x14ac:dyDescent="0.3">
      <c r="A4675">
        <v>14674</v>
      </c>
      <c r="B4675">
        <v>124</v>
      </c>
      <c r="C4675" s="2">
        <v>44791</v>
      </c>
      <c r="D4675" s="2" t="str">
        <f>TEXT(Table3[[#This Row],[usage_date]],"mmmm")</f>
        <v>August</v>
      </c>
      <c r="E4675" s="9">
        <f>YEAR(Table3[[#This Row],[usage_date]])</f>
        <v>2022</v>
      </c>
      <c r="F4675" s="14">
        <v>2.48</v>
      </c>
      <c r="G4675">
        <v>171</v>
      </c>
      <c r="H4675" t="s">
        <v>13</v>
      </c>
      <c r="I4675" t="str">
        <f t="shared" si="73"/>
        <v>Normal Usage</v>
      </c>
    </row>
    <row r="4676" spans="1:9" x14ac:dyDescent="0.3">
      <c r="A4676">
        <v>14675</v>
      </c>
      <c r="B4676">
        <v>381</v>
      </c>
      <c r="C4676" s="2">
        <v>45353</v>
      </c>
      <c r="D4676" s="2" t="str">
        <f>TEXT(Table3[[#This Row],[usage_date]],"mmmm")</f>
        <v>March</v>
      </c>
      <c r="E4676" s="9">
        <f>YEAR(Table3[[#This Row],[usage_date]])</f>
        <v>2024</v>
      </c>
      <c r="F4676" s="14">
        <v>0.47</v>
      </c>
      <c r="G4676">
        <v>211</v>
      </c>
      <c r="H4676" t="s">
        <v>12</v>
      </c>
      <c r="I4676" t="str">
        <f t="shared" si="73"/>
        <v>Normal Usage</v>
      </c>
    </row>
    <row r="4677" spans="1:9" x14ac:dyDescent="0.3">
      <c r="A4677">
        <v>14676</v>
      </c>
      <c r="B4677">
        <v>293</v>
      </c>
      <c r="C4677" s="2">
        <v>45198</v>
      </c>
      <c r="D4677" s="2" t="str">
        <f>TEXT(Table3[[#This Row],[usage_date]],"mmmm")</f>
        <v>September</v>
      </c>
      <c r="E4677" s="9">
        <f>YEAR(Table3[[#This Row],[usage_date]])</f>
        <v>2023</v>
      </c>
      <c r="F4677" s="14">
        <v>0.75</v>
      </c>
      <c r="G4677">
        <v>148</v>
      </c>
      <c r="H4677" t="s">
        <v>12</v>
      </c>
      <c r="I4677" t="str">
        <f t="shared" si="73"/>
        <v>Normal Usage</v>
      </c>
    </row>
    <row r="4678" spans="1:9" x14ac:dyDescent="0.3">
      <c r="A4678">
        <v>14677</v>
      </c>
      <c r="B4678">
        <v>285</v>
      </c>
      <c r="C4678" s="2">
        <v>45265</v>
      </c>
      <c r="D4678" s="2" t="str">
        <f>TEXT(Table3[[#This Row],[usage_date]],"mmmm")</f>
        <v>December</v>
      </c>
      <c r="E4678" s="9">
        <f>YEAR(Table3[[#This Row],[usage_date]])</f>
        <v>2023</v>
      </c>
      <c r="F4678" s="14">
        <v>1.58</v>
      </c>
      <c r="G4678">
        <v>9</v>
      </c>
      <c r="H4678" t="s">
        <v>13</v>
      </c>
      <c r="I4678" t="str">
        <f t="shared" si="73"/>
        <v>Normal Usage</v>
      </c>
    </row>
    <row r="4679" spans="1:9" x14ac:dyDescent="0.3">
      <c r="A4679">
        <v>14678</v>
      </c>
      <c r="B4679">
        <v>195</v>
      </c>
      <c r="C4679" s="2">
        <v>44935</v>
      </c>
      <c r="D4679" s="2" t="str">
        <f>TEXT(Table3[[#This Row],[usage_date]],"mmmm")</f>
        <v>January</v>
      </c>
      <c r="E4679" s="9">
        <f>YEAR(Table3[[#This Row],[usage_date]])</f>
        <v>2023</v>
      </c>
      <c r="F4679" s="14">
        <v>0.66</v>
      </c>
      <c r="G4679">
        <v>29</v>
      </c>
      <c r="H4679" t="s">
        <v>12</v>
      </c>
      <c r="I4679" t="str">
        <f t="shared" si="73"/>
        <v>Normal Usage</v>
      </c>
    </row>
    <row r="4680" spans="1:9" x14ac:dyDescent="0.3">
      <c r="A4680">
        <v>14679</v>
      </c>
      <c r="B4680">
        <v>399</v>
      </c>
      <c r="C4680" s="2">
        <v>44641</v>
      </c>
      <c r="D4680" s="2" t="str">
        <f>TEXT(Table3[[#This Row],[usage_date]],"mmmm")</f>
        <v>March</v>
      </c>
      <c r="E4680" s="9">
        <f>YEAR(Table3[[#This Row],[usage_date]])</f>
        <v>2022</v>
      </c>
      <c r="F4680" s="14">
        <v>2.2200000000000002</v>
      </c>
      <c r="G4680">
        <v>279</v>
      </c>
      <c r="H4680" t="s">
        <v>12</v>
      </c>
      <c r="I4680" t="str">
        <f t="shared" si="73"/>
        <v>Normal Usage</v>
      </c>
    </row>
    <row r="4681" spans="1:9" x14ac:dyDescent="0.3">
      <c r="A4681">
        <v>14680</v>
      </c>
      <c r="B4681">
        <v>228</v>
      </c>
      <c r="C4681" s="2">
        <v>45167</v>
      </c>
      <c r="D4681" s="2" t="str">
        <f>TEXT(Table3[[#This Row],[usage_date]],"mmmm")</f>
        <v>August</v>
      </c>
      <c r="E4681" s="9">
        <f>YEAR(Table3[[#This Row],[usage_date]])</f>
        <v>2023</v>
      </c>
      <c r="F4681" s="14">
        <v>6.42</v>
      </c>
      <c r="G4681">
        <v>54</v>
      </c>
      <c r="H4681" t="s">
        <v>12</v>
      </c>
      <c r="I4681" t="str">
        <f t="shared" si="73"/>
        <v>High Usage</v>
      </c>
    </row>
    <row r="4682" spans="1:9" x14ac:dyDescent="0.3">
      <c r="A4682">
        <v>14681</v>
      </c>
      <c r="B4682">
        <v>431</v>
      </c>
      <c r="C4682" s="2">
        <v>45299</v>
      </c>
      <c r="D4682" s="2" t="str">
        <f>TEXT(Table3[[#This Row],[usage_date]],"mmmm")</f>
        <v>January</v>
      </c>
      <c r="E4682" s="9">
        <f>YEAR(Table3[[#This Row],[usage_date]])</f>
        <v>2024</v>
      </c>
      <c r="F4682" s="14">
        <v>3.45</v>
      </c>
      <c r="G4682">
        <v>126</v>
      </c>
      <c r="H4682" t="s">
        <v>12</v>
      </c>
      <c r="I4682" t="str">
        <f t="shared" si="73"/>
        <v>Normal Usage</v>
      </c>
    </row>
    <row r="4683" spans="1:9" x14ac:dyDescent="0.3">
      <c r="A4683">
        <v>14682</v>
      </c>
      <c r="B4683">
        <v>430</v>
      </c>
      <c r="C4683" s="2">
        <v>44626</v>
      </c>
      <c r="D4683" s="2" t="str">
        <f>TEXT(Table3[[#This Row],[usage_date]],"mmmm")</f>
        <v>March</v>
      </c>
      <c r="E4683" s="9">
        <f>YEAR(Table3[[#This Row],[usage_date]])</f>
        <v>2022</v>
      </c>
      <c r="F4683" s="14">
        <v>2.74</v>
      </c>
      <c r="G4683">
        <v>179</v>
      </c>
      <c r="H4683" t="s">
        <v>12</v>
      </c>
      <c r="I4683" t="str">
        <f t="shared" si="73"/>
        <v>Normal Usage</v>
      </c>
    </row>
    <row r="4684" spans="1:9" x14ac:dyDescent="0.3">
      <c r="A4684">
        <v>14683</v>
      </c>
      <c r="B4684">
        <v>436</v>
      </c>
      <c r="C4684" s="2">
        <v>44649</v>
      </c>
      <c r="D4684" s="2" t="str">
        <f>TEXT(Table3[[#This Row],[usage_date]],"mmmm")</f>
        <v>March</v>
      </c>
      <c r="E4684" s="9">
        <f>YEAR(Table3[[#This Row],[usage_date]])</f>
        <v>2022</v>
      </c>
      <c r="F4684" s="14">
        <v>2.19</v>
      </c>
      <c r="G4684">
        <v>231</v>
      </c>
      <c r="H4684" t="s">
        <v>13</v>
      </c>
      <c r="I4684" t="str">
        <f t="shared" si="73"/>
        <v>Normal Usage</v>
      </c>
    </row>
    <row r="4685" spans="1:9" x14ac:dyDescent="0.3">
      <c r="A4685">
        <v>14684</v>
      </c>
      <c r="B4685">
        <v>275</v>
      </c>
      <c r="C4685" s="2">
        <v>44649</v>
      </c>
      <c r="D4685" s="2" t="str">
        <f>TEXT(Table3[[#This Row],[usage_date]],"mmmm")</f>
        <v>March</v>
      </c>
      <c r="E4685" s="9">
        <f>YEAR(Table3[[#This Row],[usage_date]])</f>
        <v>2022</v>
      </c>
      <c r="F4685" s="14">
        <v>1.67</v>
      </c>
      <c r="G4685">
        <v>92</v>
      </c>
      <c r="H4685" t="s">
        <v>12</v>
      </c>
      <c r="I4685" t="str">
        <f t="shared" si="73"/>
        <v>Normal Usage</v>
      </c>
    </row>
    <row r="4686" spans="1:9" x14ac:dyDescent="0.3">
      <c r="A4686">
        <v>14685</v>
      </c>
      <c r="B4686">
        <v>461</v>
      </c>
      <c r="C4686" s="2">
        <v>45274</v>
      </c>
      <c r="D4686" s="2" t="str">
        <f>TEXT(Table3[[#This Row],[usage_date]],"mmmm")</f>
        <v>December</v>
      </c>
      <c r="E4686" s="9">
        <f>YEAR(Table3[[#This Row],[usage_date]])</f>
        <v>2023</v>
      </c>
      <c r="F4686" s="14">
        <v>0.52</v>
      </c>
      <c r="G4686">
        <v>7</v>
      </c>
      <c r="H4686" t="s">
        <v>13</v>
      </c>
      <c r="I4686" t="str">
        <f t="shared" si="73"/>
        <v>Normal Usage</v>
      </c>
    </row>
    <row r="4687" spans="1:9" x14ac:dyDescent="0.3">
      <c r="A4687">
        <v>14686</v>
      </c>
      <c r="B4687">
        <v>106</v>
      </c>
      <c r="C4687" s="2">
        <v>45287</v>
      </c>
      <c r="D4687" s="2" t="str">
        <f>TEXT(Table3[[#This Row],[usage_date]],"mmmm")</f>
        <v>December</v>
      </c>
      <c r="E4687" s="9">
        <f>YEAR(Table3[[#This Row],[usage_date]])</f>
        <v>2023</v>
      </c>
      <c r="F4687" s="14">
        <v>5.63</v>
      </c>
      <c r="G4687">
        <v>246</v>
      </c>
      <c r="H4687" t="s">
        <v>12</v>
      </c>
      <c r="I4687" t="str">
        <f t="shared" si="73"/>
        <v>Normal Usage</v>
      </c>
    </row>
    <row r="4688" spans="1:9" x14ac:dyDescent="0.3">
      <c r="A4688">
        <v>14687</v>
      </c>
      <c r="B4688">
        <v>21</v>
      </c>
      <c r="C4688" s="2">
        <v>44765</v>
      </c>
      <c r="D4688" s="2" t="str">
        <f>TEXT(Table3[[#This Row],[usage_date]],"mmmm")</f>
        <v>July</v>
      </c>
      <c r="E4688" s="9">
        <f>YEAR(Table3[[#This Row],[usage_date]])</f>
        <v>2022</v>
      </c>
      <c r="F4688" s="14">
        <v>0.71</v>
      </c>
      <c r="G4688">
        <v>195</v>
      </c>
      <c r="H4688" t="s">
        <v>12</v>
      </c>
      <c r="I4688" t="str">
        <f t="shared" si="73"/>
        <v>Normal Usage</v>
      </c>
    </row>
    <row r="4689" spans="1:9" x14ac:dyDescent="0.3">
      <c r="A4689">
        <v>14688</v>
      </c>
      <c r="B4689">
        <v>64</v>
      </c>
      <c r="C4689" s="2">
        <v>44943</v>
      </c>
      <c r="D4689" s="2" t="str">
        <f>TEXT(Table3[[#This Row],[usage_date]],"mmmm")</f>
        <v>January</v>
      </c>
      <c r="E4689" s="9">
        <f>YEAR(Table3[[#This Row],[usage_date]])</f>
        <v>2023</v>
      </c>
      <c r="F4689" s="14">
        <v>0.24</v>
      </c>
      <c r="G4689">
        <v>162</v>
      </c>
      <c r="H4689" t="s">
        <v>12</v>
      </c>
      <c r="I4689" t="str">
        <f t="shared" si="73"/>
        <v>Normal Usage</v>
      </c>
    </row>
    <row r="4690" spans="1:9" x14ac:dyDescent="0.3">
      <c r="A4690">
        <v>14689</v>
      </c>
      <c r="B4690">
        <v>165</v>
      </c>
      <c r="C4690" s="2">
        <v>45162</v>
      </c>
      <c r="D4690" s="2" t="str">
        <f>TEXT(Table3[[#This Row],[usage_date]],"mmmm")</f>
        <v>August</v>
      </c>
      <c r="E4690" s="9">
        <f>YEAR(Table3[[#This Row],[usage_date]])</f>
        <v>2023</v>
      </c>
      <c r="F4690" s="14">
        <v>3.47</v>
      </c>
      <c r="G4690">
        <v>39</v>
      </c>
      <c r="H4690" t="s">
        <v>12</v>
      </c>
      <c r="I4690" t="str">
        <f t="shared" si="73"/>
        <v>Normal Usage</v>
      </c>
    </row>
    <row r="4691" spans="1:9" x14ac:dyDescent="0.3">
      <c r="A4691">
        <v>14690</v>
      </c>
      <c r="B4691">
        <v>27</v>
      </c>
      <c r="C4691" s="2">
        <v>45037</v>
      </c>
      <c r="D4691" s="2" t="str">
        <f>TEXT(Table3[[#This Row],[usage_date]],"mmmm")</f>
        <v>April</v>
      </c>
      <c r="E4691" s="9">
        <f>YEAR(Table3[[#This Row],[usage_date]])</f>
        <v>2023</v>
      </c>
      <c r="F4691" s="14">
        <v>0.48</v>
      </c>
      <c r="G4691">
        <v>253</v>
      </c>
      <c r="H4691" t="s">
        <v>13</v>
      </c>
      <c r="I4691" t="str">
        <f t="shared" si="73"/>
        <v>Normal Usage</v>
      </c>
    </row>
    <row r="4692" spans="1:9" x14ac:dyDescent="0.3">
      <c r="A4692">
        <v>14691</v>
      </c>
      <c r="B4692">
        <v>311</v>
      </c>
      <c r="C4692" s="2">
        <v>45134</v>
      </c>
      <c r="D4692" s="2" t="str">
        <f>TEXT(Table3[[#This Row],[usage_date]],"mmmm")</f>
        <v>July</v>
      </c>
      <c r="E4692" s="9">
        <f>YEAR(Table3[[#This Row],[usage_date]])</f>
        <v>2023</v>
      </c>
      <c r="F4692" s="14">
        <v>1.1599999999999999</v>
      </c>
      <c r="G4692">
        <v>84</v>
      </c>
      <c r="H4692" t="s">
        <v>12</v>
      </c>
      <c r="I4692" t="str">
        <f t="shared" si="73"/>
        <v>Normal Usage</v>
      </c>
    </row>
    <row r="4693" spans="1:9" x14ac:dyDescent="0.3">
      <c r="A4693">
        <v>14692</v>
      </c>
      <c r="B4693">
        <v>500</v>
      </c>
      <c r="C4693" s="2">
        <v>45344</v>
      </c>
      <c r="D4693" s="2" t="str">
        <f>TEXT(Table3[[#This Row],[usage_date]],"mmmm")</f>
        <v>February</v>
      </c>
      <c r="E4693" s="9">
        <f>YEAR(Table3[[#This Row],[usage_date]])</f>
        <v>2024</v>
      </c>
      <c r="F4693" s="14">
        <v>7.0000000000000007E-2</v>
      </c>
      <c r="G4693">
        <v>271</v>
      </c>
      <c r="H4693" t="s">
        <v>12</v>
      </c>
      <c r="I4693" t="str">
        <f t="shared" si="73"/>
        <v>Normal Usage</v>
      </c>
    </row>
    <row r="4694" spans="1:9" x14ac:dyDescent="0.3">
      <c r="A4694">
        <v>14693</v>
      </c>
      <c r="B4694">
        <v>285</v>
      </c>
      <c r="C4694" s="2">
        <v>45167</v>
      </c>
      <c r="D4694" s="2" t="str">
        <f>TEXT(Table3[[#This Row],[usage_date]],"mmmm")</f>
        <v>August</v>
      </c>
      <c r="E4694" s="9">
        <f>YEAR(Table3[[#This Row],[usage_date]])</f>
        <v>2023</v>
      </c>
      <c r="F4694" s="14">
        <v>0.37</v>
      </c>
      <c r="G4694">
        <v>77</v>
      </c>
      <c r="H4694" t="s">
        <v>12</v>
      </c>
      <c r="I4694" t="str">
        <f t="shared" si="73"/>
        <v>Normal Usage</v>
      </c>
    </row>
    <row r="4695" spans="1:9" x14ac:dyDescent="0.3">
      <c r="A4695">
        <v>14694</v>
      </c>
      <c r="B4695">
        <v>148</v>
      </c>
      <c r="C4695" s="2">
        <v>45380</v>
      </c>
      <c r="D4695" s="2" t="str">
        <f>TEXT(Table3[[#This Row],[usage_date]],"mmmm")</f>
        <v>March</v>
      </c>
      <c r="E4695" s="9">
        <f>YEAR(Table3[[#This Row],[usage_date]])</f>
        <v>2024</v>
      </c>
      <c r="F4695" s="14">
        <v>0.48</v>
      </c>
      <c r="G4695">
        <v>212</v>
      </c>
      <c r="H4695" t="s">
        <v>12</v>
      </c>
      <c r="I4695" t="str">
        <f t="shared" si="73"/>
        <v>Normal Usage</v>
      </c>
    </row>
    <row r="4696" spans="1:9" x14ac:dyDescent="0.3">
      <c r="A4696">
        <v>14695</v>
      </c>
      <c r="B4696">
        <v>281</v>
      </c>
      <c r="C4696" s="2">
        <v>45100</v>
      </c>
      <c r="D4696" s="2" t="str">
        <f>TEXT(Table3[[#This Row],[usage_date]],"mmmm")</f>
        <v>June</v>
      </c>
      <c r="E4696" s="9">
        <f>YEAR(Table3[[#This Row],[usage_date]])</f>
        <v>2023</v>
      </c>
      <c r="F4696" s="14">
        <v>0.14000000000000001</v>
      </c>
      <c r="G4696">
        <v>254</v>
      </c>
      <c r="H4696" t="s">
        <v>12</v>
      </c>
      <c r="I4696" t="str">
        <f t="shared" si="73"/>
        <v>Normal Usage</v>
      </c>
    </row>
    <row r="4697" spans="1:9" x14ac:dyDescent="0.3">
      <c r="A4697">
        <v>14696</v>
      </c>
      <c r="B4697">
        <v>326</v>
      </c>
      <c r="C4697" s="2">
        <v>44775</v>
      </c>
      <c r="D4697" s="2" t="str">
        <f>TEXT(Table3[[#This Row],[usage_date]],"mmmm")</f>
        <v>August</v>
      </c>
      <c r="E4697" s="9">
        <f>YEAR(Table3[[#This Row],[usage_date]])</f>
        <v>2022</v>
      </c>
      <c r="F4697" s="14">
        <v>2.67</v>
      </c>
      <c r="G4697">
        <v>90</v>
      </c>
      <c r="H4697" t="s">
        <v>12</v>
      </c>
      <c r="I4697" t="str">
        <f t="shared" si="73"/>
        <v>Normal Usage</v>
      </c>
    </row>
    <row r="4698" spans="1:9" x14ac:dyDescent="0.3">
      <c r="A4698">
        <v>14697</v>
      </c>
      <c r="B4698">
        <v>319</v>
      </c>
      <c r="C4698" s="2">
        <v>44635</v>
      </c>
      <c r="D4698" s="2" t="str">
        <f>TEXT(Table3[[#This Row],[usage_date]],"mmmm")</f>
        <v>March</v>
      </c>
      <c r="E4698" s="9">
        <f>YEAR(Table3[[#This Row],[usage_date]])</f>
        <v>2022</v>
      </c>
      <c r="F4698" s="14">
        <v>4.54</v>
      </c>
      <c r="G4698">
        <v>192</v>
      </c>
      <c r="H4698" t="s">
        <v>12</v>
      </c>
      <c r="I4698" t="str">
        <f t="shared" si="73"/>
        <v>Normal Usage</v>
      </c>
    </row>
    <row r="4699" spans="1:9" x14ac:dyDescent="0.3">
      <c r="A4699">
        <v>14698</v>
      </c>
      <c r="B4699">
        <v>164</v>
      </c>
      <c r="C4699" s="2">
        <v>44622</v>
      </c>
      <c r="D4699" s="2" t="str">
        <f>TEXT(Table3[[#This Row],[usage_date]],"mmmm")</f>
        <v>March</v>
      </c>
      <c r="E4699" s="9">
        <f>YEAR(Table3[[#This Row],[usage_date]])</f>
        <v>2022</v>
      </c>
      <c r="F4699" s="14">
        <v>1.17</v>
      </c>
      <c r="G4699">
        <v>252</v>
      </c>
      <c r="H4699" t="s">
        <v>12</v>
      </c>
      <c r="I4699" t="str">
        <f t="shared" si="73"/>
        <v>Normal Usage</v>
      </c>
    </row>
    <row r="4700" spans="1:9" x14ac:dyDescent="0.3">
      <c r="A4700">
        <v>14699</v>
      </c>
      <c r="B4700">
        <v>386</v>
      </c>
      <c r="C4700" s="2">
        <v>45259</v>
      </c>
      <c r="D4700" s="2" t="str">
        <f>TEXT(Table3[[#This Row],[usage_date]],"mmmm")</f>
        <v>November</v>
      </c>
      <c r="E4700" s="9">
        <f>YEAR(Table3[[#This Row],[usage_date]])</f>
        <v>2023</v>
      </c>
      <c r="F4700" s="14">
        <v>5.19</v>
      </c>
      <c r="G4700">
        <v>277</v>
      </c>
      <c r="H4700" t="s">
        <v>13</v>
      </c>
      <c r="I4700" t="str">
        <f t="shared" si="73"/>
        <v>Normal Usage</v>
      </c>
    </row>
    <row r="4701" spans="1:9" x14ac:dyDescent="0.3">
      <c r="A4701">
        <v>14700</v>
      </c>
      <c r="B4701">
        <v>406</v>
      </c>
      <c r="C4701" s="2">
        <v>45104</v>
      </c>
      <c r="D4701" s="2" t="str">
        <f>TEXT(Table3[[#This Row],[usage_date]],"mmmm")</f>
        <v>June</v>
      </c>
      <c r="E4701" s="9">
        <f>YEAR(Table3[[#This Row],[usage_date]])</f>
        <v>2023</v>
      </c>
      <c r="F4701" s="14">
        <v>0.6</v>
      </c>
      <c r="G4701">
        <v>142</v>
      </c>
      <c r="H4701" t="s">
        <v>12</v>
      </c>
      <c r="I4701" t="str">
        <f t="shared" si="73"/>
        <v>Normal Usage</v>
      </c>
    </row>
    <row r="4702" spans="1:9" x14ac:dyDescent="0.3">
      <c r="A4702">
        <v>14701</v>
      </c>
      <c r="B4702">
        <v>224</v>
      </c>
      <c r="C4702" s="2">
        <v>44780</v>
      </c>
      <c r="D4702" s="2" t="str">
        <f>TEXT(Table3[[#This Row],[usage_date]],"mmmm")</f>
        <v>August</v>
      </c>
      <c r="E4702" s="9">
        <f>YEAR(Table3[[#This Row],[usage_date]])</f>
        <v>2022</v>
      </c>
      <c r="F4702" s="14">
        <v>0.98</v>
      </c>
      <c r="G4702">
        <v>243</v>
      </c>
      <c r="H4702" t="s">
        <v>13</v>
      </c>
      <c r="I4702" t="str">
        <f t="shared" si="73"/>
        <v>Normal Usage</v>
      </c>
    </row>
    <row r="4703" spans="1:9" x14ac:dyDescent="0.3">
      <c r="A4703">
        <v>14702</v>
      </c>
      <c r="B4703">
        <v>272</v>
      </c>
      <c r="C4703" s="2">
        <v>44573</v>
      </c>
      <c r="D4703" s="2" t="str">
        <f>TEXT(Table3[[#This Row],[usage_date]],"mmmm")</f>
        <v>January</v>
      </c>
      <c r="E4703" s="9">
        <f>YEAR(Table3[[#This Row],[usage_date]])</f>
        <v>2022</v>
      </c>
      <c r="F4703" s="14">
        <v>0.41</v>
      </c>
      <c r="G4703">
        <v>211</v>
      </c>
      <c r="H4703" t="s">
        <v>12</v>
      </c>
      <c r="I4703" t="str">
        <f t="shared" si="73"/>
        <v>Normal Usage</v>
      </c>
    </row>
    <row r="4704" spans="1:9" x14ac:dyDescent="0.3">
      <c r="A4704">
        <v>14703</v>
      </c>
      <c r="B4704">
        <v>146</v>
      </c>
      <c r="C4704" s="2">
        <v>45375</v>
      </c>
      <c r="D4704" s="2" t="str">
        <f>TEXT(Table3[[#This Row],[usage_date]],"mmmm")</f>
        <v>March</v>
      </c>
      <c r="E4704" s="9">
        <f>YEAR(Table3[[#This Row],[usage_date]])</f>
        <v>2024</v>
      </c>
      <c r="F4704" s="14">
        <v>2.42</v>
      </c>
      <c r="G4704">
        <v>194</v>
      </c>
      <c r="H4704" t="s">
        <v>12</v>
      </c>
      <c r="I4704" t="str">
        <f t="shared" si="73"/>
        <v>Normal Usage</v>
      </c>
    </row>
    <row r="4705" spans="1:9" x14ac:dyDescent="0.3">
      <c r="A4705">
        <v>14704</v>
      </c>
      <c r="B4705">
        <v>453</v>
      </c>
      <c r="C4705" s="2">
        <v>44976</v>
      </c>
      <c r="D4705" s="2" t="str">
        <f>TEXT(Table3[[#This Row],[usage_date]],"mmmm")</f>
        <v>February</v>
      </c>
      <c r="E4705" s="9">
        <f>YEAR(Table3[[#This Row],[usage_date]])</f>
        <v>2023</v>
      </c>
      <c r="F4705" s="14">
        <v>1.36</v>
      </c>
      <c r="G4705">
        <v>269</v>
      </c>
      <c r="H4705" t="s">
        <v>12</v>
      </c>
      <c r="I4705" t="str">
        <f t="shared" si="73"/>
        <v>Normal Usage</v>
      </c>
    </row>
    <row r="4706" spans="1:9" x14ac:dyDescent="0.3">
      <c r="A4706">
        <v>14705</v>
      </c>
      <c r="B4706">
        <v>438</v>
      </c>
      <c r="C4706" s="2">
        <v>44593</v>
      </c>
      <c r="D4706" s="2" t="str">
        <f>TEXT(Table3[[#This Row],[usage_date]],"mmmm")</f>
        <v>February</v>
      </c>
      <c r="E4706" s="9">
        <f>YEAR(Table3[[#This Row],[usage_date]])</f>
        <v>2022</v>
      </c>
      <c r="F4706" s="14">
        <v>2.38</v>
      </c>
      <c r="G4706">
        <v>18</v>
      </c>
      <c r="H4706" t="s">
        <v>12</v>
      </c>
      <c r="I4706" t="str">
        <f t="shared" si="73"/>
        <v>Normal Usage</v>
      </c>
    </row>
    <row r="4707" spans="1:9" x14ac:dyDescent="0.3">
      <c r="A4707">
        <v>14706</v>
      </c>
      <c r="B4707">
        <v>356</v>
      </c>
      <c r="C4707" s="2">
        <v>44721</v>
      </c>
      <c r="D4707" s="2" t="str">
        <f>TEXT(Table3[[#This Row],[usage_date]],"mmmm")</f>
        <v>June</v>
      </c>
      <c r="E4707" s="9">
        <f>YEAR(Table3[[#This Row],[usage_date]])</f>
        <v>2022</v>
      </c>
      <c r="F4707" s="14">
        <v>3.59</v>
      </c>
      <c r="G4707">
        <v>39</v>
      </c>
      <c r="H4707" t="s">
        <v>12</v>
      </c>
      <c r="I4707" t="str">
        <f t="shared" si="73"/>
        <v>Normal Usage</v>
      </c>
    </row>
    <row r="4708" spans="1:9" x14ac:dyDescent="0.3">
      <c r="A4708">
        <v>14707</v>
      </c>
      <c r="B4708">
        <v>30</v>
      </c>
      <c r="C4708" s="2">
        <v>44798</v>
      </c>
      <c r="D4708" s="2" t="str">
        <f>TEXT(Table3[[#This Row],[usage_date]],"mmmm")</f>
        <v>August</v>
      </c>
      <c r="E4708" s="9">
        <f>YEAR(Table3[[#This Row],[usage_date]])</f>
        <v>2022</v>
      </c>
      <c r="F4708" s="14">
        <v>1.97</v>
      </c>
      <c r="G4708">
        <v>97</v>
      </c>
      <c r="H4708" t="s">
        <v>12</v>
      </c>
      <c r="I4708" t="str">
        <f t="shared" si="73"/>
        <v>Normal Usage</v>
      </c>
    </row>
    <row r="4709" spans="1:9" x14ac:dyDescent="0.3">
      <c r="A4709">
        <v>14708</v>
      </c>
      <c r="B4709">
        <v>45</v>
      </c>
      <c r="C4709" s="2">
        <v>45300</v>
      </c>
      <c r="D4709" s="2" t="str">
        <f>TEXT(Table3[[#This Row],[usage_date]],"mmmm")</f>
        <v>January</v>
      </c>
      <c r="E4709" s="9">
        <f>YEAR(Table3[[#This Row],[usage_date]])</f>
        <v>2024</v>
      </c>
      <c r="F4709" s="14">
        <v>2.4700000000000002</v>
      </c>
      <c r="G4709">
        <v>3</v>
      </c>
      <c r="H4709" t="s">
        <v>12</v>
      </c>
      <c r="I4709" t="str">
        <f t="shared" si="73"/>
        <v>Normal Usage</v>
      </c>
    </row>
    <row r="4710" spans="1:9" x14ac:dyDescent="0.3">
      <c r="A4710">
        <v>14709</v>
      </c>
      <c r="B4710">
        <v>275</v>
      </c>
      <c r="C4710" s="2">
        <v>44742</v>
      </c>
      <c r="D4710" s="2" t="str">
        <f>TEXT(Table3[[#This Row],[usage_date]],"mmmm")</f>
        <v>June</v>
      </c>
      <c r="E4710" s="9">
        <f>YEAR(Table3[[#This Row],[usage_date]])</f>
        <v>2022</v>
      </c>
      <c r="F4710" s="14">
        <v>6.84</v>
      </c>
      <c r="G4710">
        <v>32</v>
      </c>
      <c r="H4710" t="s">
        <v>13</v>
      </c>
      <c r="I4710" t="str">
        <f t="shared" si="73"/>
        <v>High Usage</v>
      </c>
    </row>
    <row r="4711" spans="1:9" x14ac:dyDescent="0.3">
      <c r="A4711">
        <v>14710</v>
      </c>
      <c r="B4711">
        <v>471</v>
      </c>
      <c r="C4711" s="2">
        <v>45390</v>
      </c>
      <c r="D4711" s="2" t="str">
        <f>TEXT(Table3[[#This Row],[usage_date]],"mmmm")</f>
        <v>April</v>
      </c>
      <c r="E4711" s="9">
        <f>YEAR(Table3[[#This Row],[usage_date]])</f>
        <v>2024</v>
      </c>
      <c r="F4711" s="14">
        <v>0.89</v>
      </c>
      <c r="G4711">
        <v>298</v>
      </c>
      <c r="H4711" t="s">
        <v>13</v>
      </c>
      <c r="I4711" t="str">
        <f t="shared" si="73"/>
        <v>Normal Usage</v>
      </c>
    </row>
    <row r="4712" spans="1:9" x14ac:dyDescent="0.3">
      <c r="A4712">
        <v>14711</v>
      </c>
      <c r="B4712">
        <v>34</v>
      </c>
      <c r="C4712" s="2">
        <v>45119</v>
      </c>
      <c r="D4712" s="2" t="str">
        <f>TEXT(Table3[[#This Row],[usage_date]],"mmmm")</f>
        <v>July</v>
      </c>
      <c r="E4712" s="9">
        <f>YEAR(Table3[[#This Row],[usage_date]])</f>
        <v>2023</v>
      </c>
      <c r="F4712" s="14">
        <v>1.1100000000000001</v>
      </c>
      <c r="G4712">
        <v>164</v>
      </c>
      <c r="H4712" t="s">
        <v>13</v>
      </c>
      <c r="I4712" t="str">
        <f t="shared" si="73"/>
        <v>Normal Usage</v>
      </c>
    </row>
    <row r="4713" spans="1:9" x14ac:dyDescent="0.3">
      <c r="A4713">
        <v>14712</v>
      </c>
      <c r="B4713">
        <v>141</v>
      </c>
      <c r="C4713" s="2">
        <v>44902</v>
      </c>
      <c r="D4713" s="2" t="str">
        <f>TEXT(Table3[[#This Row],[usage_date]],"mmmm")</f>
        <v>December</v>
      </c>
      <c r="E4713" s="9">
        <f>YEAR(Table3[[#This Row],[usage_date]])</f>
        <v>2022</v>
      </c>
      <c r="F4713" s="14">
        <v>3.16</v>
      </c>
      <c r="G4713">
        <v>26</v>
      </c>
      <c r="H4713" t="s">
        <v>12</v>
      </c>
      <c r="I4713" t="str">
        <f t="shared" si="73"/>
        <v>Normal Usage</v>
      </c>
    </row>
    <row r="4714" spans="1:9" x14ac:dyDescent="0.3">
      <c r="A4714">
        <v>14713</v>
      </c>
      <c r="B4714">
        <v>427</v>
      </c>
      <c r="C4714" s="2">
        <v>45019</v>
      </c>
      <c r="D4714" s="2" t="str">
        <f>TEXT(Table3[[#This Row],[usage_date]],"mmmm")</f>
        <v>April</v>
      </c>
      <c r="E4714" s="9">
        <f>YEAR(Table3[[#This Row],[usage_date]])</f>
        <v>2023</v>
      </c>
      <c r="F4714" s="14">
        <v>2.36</v>
      </c>
      <c r="G4714">
        <v>172</v>
      </c>
      <c r="H4714" t="s">
        <v>12</v>
      </c>
      <c r="I4714" t="str">
        <f t="shared" si="73"/>
        <v>Normal Usage</v>
      </c>
    </row>
    <row r="4715" spans="1:9" x14ac:dyDescent="0.3">
      <c r="A4715">
        <v>14714</v>
      </c>
      <c r="B4715">
        <v>318</v>
      </c>
      <c r="C4715" s="2">
        <v>44641</v>
      </c>
      <c r="D4715" s="2" t="str">
        <f>TEXT(Table3[[#This Row],[usage_date]],"mmmm")</f>
        <v>March</v>
      </c>
      <c r="E4715" s="9">
        <f>YEAR(Table3[[#This Row],[usage_date]])</f>
        <v>2022</v>
      </c>
      <c r="F4715" s="14">
        <v>0.49</v>
      </c>
      <c r="G4715">
        <v>112</v>
      </c>
      <c r="H4715" t="s">
        <v>12</v>
      </c>
      <c r="I4715" t="str">
        <f t="shared" si="73"/>
        <v>Normal Usage</v>
      </c>
    </row>
    <row r="4716" spans="1:9" x14ac:dyDescent="0.3">
      <c r="A4716">
        <v>14715</v>
      </c>
      <c r="B4716">
        <v>374</v>
      </c>
      <c r="C4716" s="2">
        <v>45208</v>
      </c>
      <c r="D4716" s="2" t="str">
        <f>TEXT(Table3[[#This Row],[usage_date]],"mmmm")</f>
        <v>October</v>
      </c>
      <c r="E4716" s="9">
        <f>YEAR(Table3[[#This Row],[usage_date]])</f>
        <v>2023</v>
      </c>
      <c r="F4716" s="14">
        <v>1.18</v>
      </c>
      <c r="G4716">
        <v>94</v>
      </c>
      <c r="H4716" t="s">
        <v>12</v>
      </c>
      <c r="I4716" t="str">
        <f t="shared" si="73"/>
        <v>Normal Usage</v>
      </c>
    </row>
    <row r="4717" spans="1:9" x14ac:dyDescent="0.3">
      <c r="A4717">
        <v>14716</v>
      </c>
      <c r="B4717">
        <v>221</v>
      </c>
      <c r="C4717" s="2">
        <v>45333</v>
      </c>
      <c r="D4717" s="2" t="str">
        <f>TEXT(Table3[[#This Row],[usage_date]],"mmmm")</f>
        <v>February</v>
      </c>
      <c r="E4717" s="9">
        <f>YEAR(Table3[[#This Row],[usage_date]])</f>
        <v>2024</v>
      </c>
      <c r="F4717" s="14">
        <v>1.58</v>
      </c>
      <c r="G4717">
        <v>232</v>
      </c>
      <c r="H4717" t="s">
        <v>12</v>
      </c>
      <c r="I4717" t="str">
        <f t="shared" si="73"/>
        <v>Normal Usage</v>
      </c>
    </row>
    <row r="4718" spans="1:9" x14ac:dyDescent="0.3">
      <c r="A4718">
        <v>14717</v>
      </c>
      <c r="B4718">
        <v>356</v>
      </c>
      <c r="C4718" s="2">
        <v>45381</v>
      </c>
      <c r="D4718" s="2" t="str">
        <f>TEXT(Table3[[#This Row],[usage_date]],"mmmm")</f>
        <v>March</v>
      </c>
      <c r="E4718" s="9">
        <f>YEAR(Table3[[#This Row],[usage_date]])</f>
        <v>2024</v>
      </c>
      <c r="F4718" s="14">
        <v>1.36</v>
      </c>
      <c r="G4718">
        <v>133</v>
      </c>
      <c r="H4718" t="s">
        <v>12</v>
      </c>
      <c r="I4718" t="str">
        <f t="shared" si="73"/>
        <v>Normal Usage</v>
      </c>
    </row>
    <row r="4719" spans="1:9" x14ac:dyDescent="0.3">
      <c r="A4719">
        <v>14718</v>
      </c>
      <c r="B4719">
        <v>22</v>
      </c>
      <c r="C4719" s="2">
        <v>45320</v>
      </c>
      <c r="D4719" s="2" t="str">
        <f>TEXT(Table3[[#This Row],[usage_date]],"mmmm")</f>
        <v>January</v>
      </c>
      <c r="E4719" s="9">
        <f>YEAR(Table3[[#This Row],[usage_date]])</f>
        <v>2024</v>
      </c>
      <c r="F4719" s="14">
        <v>0.49</v>
      </c>
      <c r="G4719">
        <v>123</v>
      </c>
      <c r="H4719" t="s">
        <v>12</v>
      </c>
      <c r="I4719" t="str">
        <f t="shared" si="73"/>
        <v>Normal Usage</v>
      </c>
    </row>
    <row r="4720" spans="1:9" x14ac:dyDescent="0.3">
      <c r="A4720">
        <v>14719</v>
      </c>
      <c r="B4720">
        <v>180</v>
      </c>
      <c r="C4720" s="2">
        <v>45034</v>
      </c>
      <c r="D4720" s="2" t="str">
        <f>TEXT(Table3[[#This Row],[usage_date]],"mmmm")</f>
        <v>April</v>
      </c>
      <c r="E4720" s="9">
        <f>YEAR(Table3[[#This Row],[usage_date]])</f>
        <v>2023</v>
      </c>
      <c r="F4720" s="14">
        <v>6.46</v>
      </c>
      <c r="G4720">
        <v>115</v>
      </c>
      <c r="H4720" t="s">
        <v>13</v>
      </c>
      <c r="I4720" t="str">
        <f t="shared" si="73"/>
        <v>High Usage</v>
      </c>
    </row>
    <row r="4721" spans="1:9" x14ac:dyDescent="0.3">
      <c r="A4721">
        <v>14720</v>
      </c>
      <c r="B4721">
        <v>436</v>
      </c>
      <c r="C4721" s="2">
        <v>45232</v>
      </c>
      <c r="D4721" s="2" t="str">
        <f>TEXT(Table3[[#This Row],[usage_date]],"mmmm")</f>
        <v>November</v>
      </c>
      <c r="E4721" s="9">
        <f>YEAR(Table3[[#This Row],[usage_date]])</f>
        <v>2023</v>
      </c>
      <c r="F4721" s="14">
        <v>3.59</v>
      </c>
      <c r="G4721">
        <v>12</v>
      </c>
      <c r="H4721" t="s">
        <v>13</v>
      </c>
      <c r="I4721" t="str">
        <f t="shared" si="73"/>
        <v>Normal Usage</v>
      </c>
    </row>
    <row r="4722" spans="1:9" x14ac:dyDescent="0.3">
      <c r="A4722">
        <v>14721</v>
      </c>
      <c r="B4722">
        <v>367</v>
      </c>
      <c r="C4722" s="2">
        <v>45276</v>
      </c>
      <c r="D4722" s="2" t="str">
        <f>TEXT(Table3[[#This Row],[usage_date]],"mmmm")</f>
        <v>December</v>
      </c>
      <c r="E4722" s="9">
        <f>YEAR(Table3[[#This Row],[usage_date]])</f>
        <v>2023</v>
      </c>
      <c r="F4722" s="14">
        <v>1.64</v>
      </c>
      <c r="G4722">
        <v>164</v>
      </c>
      <c r="H4722" t="s">
        <v>12</v>
      </c>
      <c r="I4722" t="str">
        <f t="shared" si="73"/>
        <v>Normal Usage</v>
      </c>
    </row>
    <row r="4723" spans="1:9" x14ac:dyDescent="0.3">
      <c r="A4723">
        <v>14722</v>
      </c>
      <c r="B4723">
        <v>420</v>
      </c>
      <c r="C4723" s="2">
        <v>44673</v>
      </c>
      <c r="D4723" s="2" t="str">
        <f>TEXT(Table3[[#This Row],[usage_date]],"mmmm")</f>
        <v>April</v>
      </c>
      <c r="E4723" s="9">
        <f>YEAR(Table3[[#This Row],[usage_date]])</f>
        <v>2022</v>
      </c>
      <c r="F4723" s="14">
        <v>2.85</v>
      </c>
      <c r="G4723">
        <v>207</v>
      </c>
      <c r="H4723" t="s">
        <v>12</v>
      </c>
      <c r="I4723" t="str">
        <f t="shared" si="73"/>
        <v>Normal Usage</v>
      </c>
    </row>
    <row r="4724" spans="1:9" x14ac:dyDescent="0.3">
      <c r="A4724">
        <v>14723</v>
      </c>
      <c r="B4724">
        <v>329</v>
      </c>
      <c r="C4724" s="2">
        <v>44853</v>
      </c>
      <c r="D4724" s="2" t="str">
        <f>TEXT(Table3[[#This Row],[usage_date]],"mmmm")</f>
        <v>October</v>
      </c>
      <c r="E4724" s="9">
        <f>YEAR(Table3[[#This Row],[usage_date]])</f>
        <v>2022</v>
      </c>
      <c r="F4724" s="14">
        <v>5.69</v>
      </c>
      <c r="G4724">
        <v>84</v>
      </c>
      <c r="H4724" t="s">
        <v>13</v>
      </c>
      <c r="I4724" t="str">
        <f t="shared" si="73"/>
        <v>Normal Usage</v>
      </c>
    </row>
    <row r="4725" spans="1:9" x14ac:dyDescent="0.3">
      <c r="A4725">
        <v>14724</v>
      </c>
      <c r="B4725">
        <v>231</v>
      </c>
      <c r="C4725" s="2">
        <v>45383</v>
      </c>
      <c r="D4725" s="2" t="str">
        <f>TEXT(Table3[[#This Row],[usage_date]],"mmmm")</f>
        <v>April</v>
      </c>
      <c r="E4725" s="9">
        <f>YEAR(Table3[[#This Row],[usage_date]])</f>
        <v>2024</v>
      </c>
      <c r="F4725" s="14">
        <v>0.37</v>
      </c>
      <c r="G4725">
        <v>247</v>
      </c>
      <c r="H4725" t="s">
        <v>12</v>
      </c>
      <c r="I4725" t="str">
        <f t="shared" si="73"/>
        <v>Normal Usage</v>
      </c>
    </row>
    <row r="4726" spans="1:9" x14ac:dyDescent="0.3">
      <c r="A4726">
        <v>14725</v>
      </c>
      <c r="B4726">
        <v>499</v>
      </c>
      <c r="C4726" s="2">
        <v>45192</v>
      </c>
      <c r="D4726" s="2" t="str">
        <f>TEXT(Table3[[#This Row],[usage_date]],"mmmm")</f>
        <v>September</v>
      </c>
      <c r="E4726" s="9">
        <f>YEAR(Table3[[#This Row],[usage_date]])</f>
        <v>2023</v>
      </c>
      <c r="F4726" s="14">
        <v>0.72</v>
      </c>
      <c r="G4726">
        <v>55</v>
      </c>
      <c r="H4726" t="s">
        <v>12</v>
      </c>
      <c r="I4726" t="str">
        <f t="shared" si="73"/>
        <v>Normal Usage</v>
      </c>
    </row>
    <row r="4727" spans="1:9" x14ac:dyDescent="0.3">
      <c r="A4727">
        <v>14726</v>
      </c>
      <c r="B4727">
        <v>403</v>
      </c>
      <c r="C4727" s="2">
        <v>44944</v>
      </c>
      <c r="D4727" s="2" t="str">
        <f>TEXT(Table3[[#This Row],[usage_date]],"mmmm")</f>
        <v>January</v>
      </c>
      <c r="E4727" s="9">
        <f>YEAR(Table3[[#This Row],[usage_date]])</f>
        <v>2023</v>
      </c>
      <c r="F4727" s="14">
        <v>1.96</v>
      </c>
      <c r="G4727">
        <v>171</v>
      </c>
      <c r="H4727" t="s">
        <v>12</v>
      </c>
      <c r="I4727" t="str">
        <f t="shared" si="73"/>
        <v>Normal Usage</v>
      </c>
    </row>
    <row r="4728" spans="1:9" x14ac:dyDescent="0.3">
      <c r="A4728">
        <v>14727</v>
      </c>
      <c r="B4728">
        <v>38</v>
      </c>
      <c r="C4728" s="2">
        <v>44578</v>
      </c>
      <c r="D4728" s="2" t="str">
        <f>TEXT(Table3[[#This Row],[usage_date]],"mmmm")</f>
        <v>January</v>
      </c>
      <c r="E4728" s="9">
        <f>YEAR(Table3[[#This Row],[usage_date]])</f>
        <v>2022</v>
      </c>
      <c r="F4728" s="14">
        <v>4.01</v>
      </c>
      <c r="G4728">
        <v>140</v>
      </c>
      <c r="H4728" t="s">
        <v>12</v>
      </c>
      <c r="I4728" t="str">
        <f t="shared" si="73"/>
        <v>Normal Usage</v>
      </c>
    </row>
    <row r="4729" spans="1:9" x14ac:dyDescent="0.3">
      <c r="A4729">
        <v>14728</v>
      </c>
      <c r="B4729">
        <v>70</v>
      </c>
      <c r="C4729" s="2">
        <v>45054</v>
      </c>
      <c r="D4729" s="2" t="str">
        <f>TEXT(Table3[[#This Row],[usage_date]],"mmmm")</f>
        <v>May</v>
      </c>
      <c r="E4729" s="9">
        <f>YEAR(Table3[[#This Row],[usage_date]])</f>
        <v>2023</v>
      </c>
      <c r="F4729" s="14">
        <v>0.09</v>
      </c>
      <c r="G4729">
        <v>131</v>
      </c>
      <c r="H4729" t="s">
        <v>12</v>
      </c>
      <c r="I4729" t="str">
        <f t="shared" si="73"/>
        <v>Normal Usage</v>
      </c>
    </row>
    <row r="4730" spans="1:9" x14ac:dyDescent="0.3">
      <c r="A4730">
        <v>14729</v>
      </c>
      <c r="B4730">
        <v>116</v>
      </c>
      <c r="C4730" s="2">
        <v>44892</v>
      </c>
      <c r="D4730" s="2" t="str">
        <f>TEXT(Table3[[#This Row],[usage_date]],"mmmm")</f>
        <v>November</v>
      </c>
      <c r="E4730" s="9">
        <f>YEAR(Table3[[#This Row],[usage_date]])</f>
        <v>2022</v>
      </c>
      <c r="F4730" s="14">
        <v>10.34</v>
      </c>
      <c r="G4730">
        <v>200</v>
      </c>
      <c r="H4730" t="s">
        <v>13</v>
      </c>
      <c r="I4730" t="str">
        <f t="shared" si="73"/>
        <v>High Usage</v>
      </c>
    </row>
    <row r="4731" spans="1:9" x14ac:dyDescent="0.3">
      <c r="A4731">
        <v>14730</v>
      </c>
      <c r="B4731">
        <v>239</v>
      </c>
      <c r="C4731" s="2">
        <v>45300</v>
      </c>
      <c r="D4731" s="2" t="str">
        <f>TEXT(Table3[[#This Row],[usage_date]],"mmmm")</f>
        <v>January</v>
      </c>
      <c r="E4731" s="9">
        <f>YEAR(Table3[[#This Row],[usage_date]])</f>
        <v>2024</v>
      </c>
      <c r="F4731" s="14">
        <v>1.52</v>
      </c>
      <c r="G4731">
        <v>288</v>
      </c>
      <c r="H4731" t="s">
        <v>12</v>
      </c>
      <c r="I4731" t="str">
        <f t="shared" si="73"/>
        <v>Normal Usage</v>
      </c>
    </row>
    <row r="4732" spans="1:9" x14ac:dyDescent="0.3">
      <c r="A4732">
        <v>14731</v>
      </c>
      <c r="B4732">
        <v>335</v>
      </c>
      <c r="C4732" s="2">
        <v>45434</v>
      </c>
      <c r="D4732" s="2" t="str">
        <f>TEXT(Table3[[#This Row],[usage_date]],"mmmm")</f>
        <v>May</v>
      </c>
      <c r="E4732" s="9">
        <f>YEAR(Table3[[#This Row],[usage_date]])</f>
        <v>2024</v>
      </c>
      <c r="F4732" s="14">
        <v>1.1100000000000001</v>
      </c>
      <c r="G4732">
        <v>178</v>
      </c>
      <c r="H4732" t="s">
        <v>12</v>
      </c>
      <c r="I4732" t="str">
        <f t="shared" si="73"/>
        <v>Normal Usage</v>
      </c>
    </row>
    <row r="4733" spans="1:9" x14ac:dyDescent="0.3">
      <c r="A4733">
        <v>14732</v>
      </c>
      <c r="B4733">
        <v>441</v>
      </c>
      <c r="C4733" s="2">
        <v>45047</v>
      </c>
      <c r="D4733" s="2" t="str">
        <f>TEXT(Table3[[#This Row],[usage_date]],"mmmm")</f>
        <v>May</v>
      </c>
      <c r="E4733" s="9">
        <f>YEAR(Table3[[#This Row],[usage_date]])</f>
        <v>2023</v>
      </c>
      <c r="F4733" s="14">
        <v>0.87</v>
      </c>
      <c r="G4733">
        <v>28</v>
      </c>
      <c r="H4733" t="s">
        <v>12</v>
      </c>
      <c r="I4733" t="str">
        <f t="shared" si="73"/>
        <v>Normal Usage</v>
      </c>
    </row>
    <row r="4734" spans="1:9" x14ac:dyDescent="0.3">
      <c r="A4734">
        <v>14733</v>
      </c>
      <c r="B4734">
        <v>148</v>
      </c>
      <c r="C4734" s="2">
        <v>44967</v>
      </c>
      <c r="D4734" s="2" t="str">
        <f>TEXT(Table3[[#This Row],[usage_date]],"mmmm")</f>
        <v>February</v>
      </c>
      <c r="E4734" s="9">
        <f>YEAR(Table3[[#This Row],[usage_date]])</f>
        <v>2023</v>
      </c>
      <c r="F4734" s="14">
        <v>0.48</v>
      </c>
      <c r="G4734">
        <v>35</v>
      </c>
      <c r="H4734" t="s">
        <v>13</v>
      </c>
      <c r="I4734" t="str">
        <f t="shared" si="73"/>
        <v>Normal Usage</v>
      </c>
    </row>
    <row r="4735" spans="1:9" x14ac:dyDescent="0.3">
      <c r="A4735">
        <v>14734</v>
      </c>
      <c r="B4735">
        <v>9</v>
      </c>
      <c r="C4735" s="2">
        <v>44678</v>
      </c>
      <c r="D4735" s="2" t="str">
        <f>TEXT(Table3[[#This Row],[usage_date]],"mmmm")</f>
        <v>April</v>
      </c>
      <c r="E4735" s="9">
        <f>YEAR(Table3[[#This Row],[usage_date]])</f>
        <v>2022</v>
      </c>
      <c r="F4735" s="14">
        <v>3.92</v>
      </c>
      <c r="G4735">
        <v>108</v>
      </c>
      <c r="H4735" t="s">
        <v>12</v>
      </c>
      <c r="I4735" t="str">
        <f t="shared" si="73"/>
        <v>Normal Usage</v>
      </c>
    </row>
    <row r="4736" spans="1:9" x14ac:dyDescent="0.3">
      <c r="A4736">
        <v>14735</v>
      </c>
      <c r="B4736">
        <v>288</v>
      </c>
      <c r="C4736" s="2">
        <v>45116</v>
      </c>
      <c r="D4736" s="2" t="str">
        <f>TEXT(Table3[[#This Row],[usage_date]],"mmmm")</f>
        <v>July</v>
      </c>
      <c r="E4736" s="9">
        <f>YEAR(Table3[[#This Row],[usage_date]])</f>
        <v>2023</v>
      </c>
      <c r="F4736" s="14">
        <v>7.78</v>
      </c>
      <c r="G4736">
        <v>145</v>
      </c>
      <c r="H4736" t="s">
        <v>12</v>
      </c>
      <c r="I4736" t="str">
        <f t="shared" si="73"/>
        <v>High Usage</v>
      </c>
    </row>
    <row r="4737" spans="1:9" x14ac:dyDescent="0.3">
      <c r="A4737">
        <v>14736</v>
      </c>
      <c r="B4737">
        <v>388</v>
      </c>
      <c r="C4737" s="2">
        <v>45441</v>
      </c>
      <c r="D4737" s="2" t="str">
        <f>TEXT(Table3[[#This Row],[usage_date]],"mmmm")</f>
        <v>May</v>
      </c>
      <c r="E4737" s="9">
        <f>YEAR(Table3[[#This Row],[usage_date]])</f>
        <v>2024</v>
      </c>
      <c r="F4737" s="14">
        <v>1.33</v>
      </c>
      <c r="G4737">
        <v>275</v>
      </c>
      <c r="H4737" t="s">
        <v>12</v>
      </c>
      <c r="I4737" t="str">
        <f t="shared" si="73"/>
        <v>Normal Usage</v>
      </c>
    </row>
    <row r="4738" spans="1:9" x14ac:dyDescent="0.3">
      <c r="A4738">
        <v>14737</v>
      </c>
      <c r="B4738">
        <v>50</v>
      </c>
      <c r="C4738" s="2">
        <v>44676</v>
      </c>
      <c r="D4738" s="2" t="str">
        <f>TEXT(Table3[[#This Row],[usage_date]],"mmmm")</f>
        <v>April</v>
      </c>
      <c r="E4738" s="9">
        <f>YEAR(Table3[[#This Row],[usage_date]])</f>
        <v>2022</v>
      </c>
      <c r="F4738" s="14">
        <v>7.61</v>
      </c>
      <c r="G4738">
        <v>145</v>
      </c>
      <c r="H4738" t="s">
        <v>12</v>
      </c>
      <c r="I4738" t="str">
        <f t="shared" ref="I4738:I4801" si="74">IF(F4738&gt;6,"High Usage","Normal Usage")</f>
        <v>High Usage</v>
      </c>
    </row>
    <row r="4739" spans="1:9" x14ac:dyDescent="0.3">
      <c r="A4739">
        <v>14738</v>
      </c>
      <c r="B4739">
        <v>338</v>
      </c>
      <c r="C4739" s="2">
        <v>45356</v>
      </c>
      <c r="D4739" s="2" t="str">
        <f>TEXT(Table3[[#This Row],[usage_date]],"mmmm")</f>
        <v>March</v>
      </c>
      <c r="E4739" s="9">
        <f>YEAR(Table3[[#This Row],[usage_date]])</f>
        <v>2024</v>
      </c>
      <c r="F4739" s="14">
        <v>4.34</v>
      </c>
      <c r="G4739">
        <v>167</v>
      </c>
      <c r="H4739" t="s">
        <v>12</v>
      </c>
      <c r="I4739" t="str">
        <f t="shared" si="74"/>
        <v>Normal Usage</v>
      </c>
    </row>
    <row r="4740" spans="1:9" x14ac:dyDescent="0.3">
      <c r="A4740">
        <v>14739</v>
      </c>
      <c r="B4740">
        <v>5</v>
      </c>
      <c r="C4740" s="2">
        <v>45110</v>
      </c>
      <c r="D4740" s="2" t="str">
        <f>TEXT(Table3[[#This Row],[usage_date]],"mmmm")</f>
        <v>July</v>
      </c>
      <c r="E4740" s="9">
        <f>YEAR(Table3[[#This Row],[usage_date]])</f>
        <v>2023</v>
      </c>
      <c r="F4740" s="14">
        <v>1.64</v>
      </c>
      <c r="G4740">
        <v>256</v>
      </c>
      <c r="H4740" t="s">
        <v>12</v>
      </c>
      <c r="I4740" t="str">
        <f t="shared" si="74"/>
        <v>Normal Usage</v>
      </c>
    </row>
    <row r="4741" spans="1:9" x14ac:dyDescent="0.3">
      <c r="A4741">
        <v>14740</v>
      </c>
      <c r="B4741">
        <v>404</v>
      </c>
      <c r="C4741" s="2">
        <v>45375</v>
      </c>
      <c r="D4741" s="2" t="str">
        <f>TEXT(Table3[[#This Row],[usage_date]],"mmmm")</f>
        <v>March</v>
      </c>
      <c r="E4741" s="9">
        <f>YEAR(Table3[[#This Row],[usage_date]])</f>
        <v>2024</v>
      </c>
      <c r="F4741" s="14">
        <v>2.8</v>
      </c>
      <c r="G4741">
        <v>274</v>
      </c>
      <c r="H4741" t="s">
        <v>13</v>
      </c>
      <c r="I4741" t="str">
        <f t="shared" si="74"/>
        <v>Normal Usage</v>
      </c>
    </row>
    <row r="4742" spans="1:9" x14ac:dyDescent="0.3">
      <c r="A4742">
        <v>14741</v>
      </c>
      <c r="B4742">
        <v>343</v>
      </c>
      <c r="C4742" s="2">
        <v>45186</v>
      </c>
      <c r="D4742" s="2" t="str">
        <f>TEXT(Table3[[#This Row],[usage_date]],"mmmm")</f>
        <v>September</v>
      </c>
      <c r="E4742" s="9">
        <f>YEAR(Table3[[#This Row],[usage_date]])</f>
        <v>2023</v>
      </c>
      <c r="F4742" s="14">
        <v>1.43</v>
      </c>
      <c r="G4742">
        <v>86</v>
      </c>
      <c r="H4742" t="s">
        <v>13</v>
      </c>
      <c r="I4742" t="str">
        <f t="shared" si="74"/>
        <v>Normal Usage</v>
      </c>
    </row>
    <row r="4743" spans="1:9" x14ac:dyDescent="0.3">
      <c r="A4743">
        <v>14742</v>
      </c>
      <c r="B4743">
        <v>126</v>
      </c>
      <c r="C4743" s="2">
        <v>45108</v>
      </c>
      <c r="D4743" s="2" t="str">
        <f>TEXT(Table3[[#This Row],[usage_date]],"mmmm")</f>
        <v>July</v>
      </c>
      <c r="E4743" s="9">
        <f>YEAR(Table3[[#This Row],[usage_date]])</f>
        <v>2023</v>
      </c>
      <c r="F4743" s="14">
        <v>2.0499999999999998</v>
      </c>
      <c r="G4743">
        <v>153</v>
      </c>
      <c r="H4743" t="s">
        <v>12</v>
      </c>
      <c r="I4743" t="str">
        <f t="shared" si="74"/>
        <v>Normal Usage</v>
      </c>
    </row>
    <row r="4744" spans="1:9" x14ac:dyDescent="0.3">
      <c r="A4744">
        <v>14743</v>
      </c>
      <c r="B4744">
        <v>75</v>
      </c>
      <c r="C4744" s="2">
        <v>45205</v>
      </c>
      <c r="D4744" s="2" t="str">
        <f>TEXT(Table3[[#This Row],[usage_date]],"mmmm")</f>
        <v>October</v>
      </c>
      <c r="E4744" s="9">
        <f>YEAR(Table3[[#This Row],[usage_date]])</f>
        <v>2023</v>
      </c>
      <c r="F4744" s="14">
        <v>0.15</v>
      </c>
      <c r="G4744">
        <v>284</v>
      </c>
      <c r="H4744" t="s">
        <v>12</v>
      </c>
      <c r="I4744" t="str">
        <f t="shared" si="74"/>
        <v>Normal Usage</v>
      </c>
    </row>
    <row r="4745" spans="1:9" x14ac:dyDescent="0.3">
      <c r="A4745">
        <v>14744</v>
      </c>
      <c r="B4745">
        <v>165</v>
      </c>
      <c r="C4745" s="2">
        <v>44897</v>
      </c>
      <c r="D4745" s="2" t="str">
        <f>TEXT(Table3[[#This Row],[usage_date]],"mmmm")</f>
        <v>December</v>
      </c>
      <c r="E4745" s="9">
        <f>YEAR(Table3[[#This Row],[usage_date]])</f>
        <v>2022</v>
      </c>
      <c r="F4745" s="14">
        <v>2.98</v>
      </c>
      <c r="G4745">
        <v>97</v>
      </c>
      <c r="H4745" t="s">
        <v>12</v>
      </c>
      <c r="I4745" t="str">
        <f t="shared" si="74"/>
        <v>Normal Usage</v>
      </c>
    </row>
    <row r="4746" spans="1:9" x14ac:dyDescent="0.3">
      <c r="A4746">
        <v>14745</v>
      </c>
      <c r="B4746">
        <v>278</v>
      </c>
      <c r="C4746" s="2">
        <v>44897</v>
      </c>
      <c r="D4746" s="2" t="str">
        <f>TEXT(Table3[[#This Row],[usage_date]],"mmmm")</f>
        <v>December</v>
      </c>
      <c r="E4746" s="9">
        <f>YEAR(Table3[[#This Row],[usage_date]])</f>
        <v>2022</v>
      </c>
      <c r="F4746" s="14">
        <v>0.14000000000000001</v>
      </c>
      <c r="G4746">
        <v>210</v>
      </c>
      <c r="H4746" t="s">
        <v>13</v>
      </c>
      <c r="I4746" t="str">
        <f t="shared" si="74"/>
        <v>Normal Usage</v>
      </c>
    </row>
    <row r="4747" spans="1:9" x14ac:dyDescent="0.3">
      <c r="A4747">
        <v>14746</v>
      </c>
      <c r="B4747">
        <v>442</v>
      </c>
      <c r="C4747" s="2">
        <v>45450</v>
      </c>
      <c r="D4747" s="2" t="str">
        <f>TEXT(Table3[[#This Row],[usage_date]],"mmmm")</f>
        <v>June</v>
      </c>
      <c r="E4747" s="9">
        <f>YEAR(Table3[[#This Row],[usage_date]])</f>
        <v>2024</v>
      </c>
      <c r="F4747" s="14">
        <v>4.25</v>
      </c>
      <c r="G4747">
        <v>47</v>
      </c>
      <c r="H4747" t="s">
        <v>12</v>
      </c>
      <c r="I4747" t="str">
        <f t="shared" si="74"/>
        <v>Normal Usage</v>
      </c>
    </row>
    <row r="4748" spans="1:9" x14ac:dyDescent="0.3">
      <c r="A4748">
        <v>14747</v>
      </c>
      <c r="B4748">
        <v>324</v>
      </c>
      <c r="C4748" s="2">
        <v>45301</v>
      </c>
      <c r="D4748" s="2" t="str">
        <f>TEXT(Table3[[#This Row],[usage_date]],"mmmm")</f>
        <v>January</v>
      </c>
      <c r="E4748" s="9">
        <f>YEAR(Table3[[#This Row],[usage_date]])</f>
        <v>2024</v>
      </c>
      <c r="F4748" s="14">
        <v>4.3600000000000003</v>
      </c>
      <c r="G4748">
        <v>273</v>
      </c>
      <c r="H4748" t="s">
        <v>13</v>
      </c>
      <c r="I4748" t="str">
        <f t="shared" si="74"/>
        <v>Normal Usage</v>
      </c>
    </row>
    <row r="4749" spans="1:9" x14ac:dyDescent="0.3">
      <c r="A4749">
        <v>14748</v>
      </c>
      <c r="B4749">
        <v>477</v>
      </c>
      <c r="C4749" s="2">
        <v>44708</v>
      </c>
      <c r="D4749" s="2" t="str">
        <f>TEXT(Table3[[#This Row],[usage_date]],"mmmm")</f>
        <v>May</v>
      </c>
      <c r="E4749" s="9">
        <f>YEAR(Table3[[#This Row],[usage_date]])</f>
        <v>2022</v>
      </c>
      <c r="F4749" s="14">
        <v>0.68</v>
      </c>
      <c r="G4749">
        <v>193</v>
      </c>
      <c r="H4749" t="s">
        <v>12</v>
      </c>
      <c r="I4749" t="str">
        <f t="shared" si="74"/>
        <v>Normal Usage</v>
      </c>
    </row>
    <row r="4750" spans="1:9" x14ac:dyDescent="0.3">
      <c r="A4750">
        <v>14749</v>
      </c>
      <c r="B4750">
        <v>300</v>
      </c>
      <c r="C4750" s="2">
        <v>44683</v>
      </c>
      <c r="D4750" s="2" t="str">
        <f>TEXT(Table3[[#This Row],[usage_date]],"mmmm")</f>
        <v>May</v>
      </c>
      <c r="E4750" s="9">
        <f>YEAR(Table3[[#This Row],[usage_date]])</f>
        <v>2022</v>
      </c>
      <c r="F4750" s="14">
        <v>0.98</v>
      </c>
      <c r="G4750">
        <v>251</v>
      </c>
      <c r="H4750" t="s">
        <v>13</v>
      </c>
      <c r="I4750" t="str">
        <f t="shared" si="74"/>
        <v>Normal Usage</v>
      </c>
    </row>
    <row r="4751" spans="1:9" x14ac:dyDescent="0.3">
      <c r="A4751">
        <v>14750</v>
      </c>
      <c r="B4751">
        <v>290</v>
      </c>
      <c r="C4751" s="2">
        <v>44642</v>
      </c>
      <c r="D4751" s="2" t="str">
        <f>TEXT(Table3[[#This Row],[usage_date]],"mmmm")</f>
        <v>March</v>
      </c>
      <c r="E4751" s="9">
        <f>YEAR(Table3[[#This Row],[usage_date]])</f>
        <v>2022</v>
      </c>
      <c r="F4751" s="14">
        <v>1.64</v>
      </c>
      <c r="G4751">
        <v>282</v>
      </c>
      <c r="H4751" t="s">
        <v>13</v>
      </c>
      <c r="I4751" t="str">
        <f t="shared" si="74"/>
        <v>Normal Usage</v>
      </c>
    </row>
    <row r="4752" spans="1:9" x14ac:dyDescent="0.3">
      <c r="A4752">
        <v>14751</v>
      </c>
      <c r="B4752">
        <v>77</v>
      </c>
      <c r="C4752" s="2">
        <v>45246</v>
      </c>
      <c r="D4752" s="2" t="str">
        <f>TEXT(Table3[[#This Row],[usage_date]],"mmmm")</f>
        <v>November</v>
      </c>
      <c r="E4752" s="9">
        <f>YEAR(Table3[[#This Row],[usage_date]])</f>
        <v>2023</v>
      </c>
      <c r="F4752" s="14">
        <v>2.27</v>
      </c>
      <c r="G4752">
        <v>261</v>
      </c>
      <c r="H4752" t="s">
        <v>13</v>
      </c>
      <c r="I4752" t="str">
        <f t="shared" si="74"/>
        <v>Normal Usage</v>
      </c>
    </row>
    <row r="4753" spans="1:9" x14ac:dyDescent="0.3">
      <c r="A4753">
        <v>14752</v>
      </c>
      <c r="B4753">
        <v>298</v>
      </c>
      <c r="C4753" s="2">
        <v>45227</v>
      </c>
      <c r="D4753" s="2" t="str">
        <f>TEXT(Table3[[#This Row],[usage_date]],"mmmm")</f>
        <v>October</v>
      </c>
      <c r="E4753" s="9">
        <f>YEAR(Table3[[#This Row],[usage_date]])</f>
        <v>2023</v>
      </c>
      <c r="F4753" s="14">
        <v>0.85</v>
      </c>
      <c r="G4753">
        <v>261</v>
      </c>
      <c r="H4753" t="s">
        <v>12</v>
      </c>
      <c r="I4753" t="str">
        <f t="shared" si="74"/>
        <v>Normal Usage</v>
      </c>
    </row>
    <row r="4754" spans="1:9" x14ac:dyDescent="0.3">
      <c r="A4754">
        <v>14753</v>
      </c>
      <c r="B4754">
        <v>137</v>
      </c>
      <c r="C4754" s="2">
        <v>45223</v>
      </c>
      <c r="D4754" s="2" t="str">
        <f>TEXT(Table3[[#This Row],[usage_date]],"mmmm")</f>
        <v>October</v>
      </c>
      <c r="E4754" s="9">
        <f>YEAR(Table3[[#This Row],[usage_date]])</f>
        <v>2023</v>
      </c>
      <c r="F4754" s="14">
        <v>2.2400000000000002</v>
      </c>
      <c r="G4754">
        <v>30</v>
      </c>
      <c r="H4754" t="s">
        <v>12</v>
      </c>
      <c r="I4754" t="str">
        <f t="shared" si="74"/>
        <v>Normal Usage</v>
      </c>
    </row>
    <row r="4755" spans="1:9" x14ac:dyDescent="0.3">
      <c r="A4755">
        <v>14754</v>
      </c>
      <c r="B4755">
        <v>106</v>
      </c>
      <c r="C4755" s="2">
        <v>44936</v>
      </c>
      <c r="D4755" s="2" t="str">
        <f>TEXT(Table3[[#This Row],[usage_date]],"mmmm")</f>
        <v>January</v>
      </c>
      <c r="E4755" s="9">
        <f>YEAR(Table3[[#This Row],[usage_date]])</f>
        <v>2023</v>
      </c>
      <c r="F4755" s="14">
        <v>0.88</v>
      </c>
      <c r="G4755">
        <v>104</v>
      </c>
      <c r="H4755" t="s">
        <v>12</v>
      </c>
      <c r="I4755" t="str">
        <f t="shared" si="74"/>
        <v>Normal Usage</v>
      </c>
    </row>
    <row r="4756" spans="1:9" x14ac:dyDescent="0.3">
      <c r="A4756">
        <v>14755</v>
      </c>
      <c r="B4756">
        <v>95</v>
      </c>
      <c r="C4756" s="2">
        <v>45131</v>
      </c>
      <c r="D4756" s="2" t="str">
        <f>TEXT(Table3[[#This Row],[usage_date]],"mmmm")</f>
        <v>July</v>
      </c>
      <c r="E4756" s="9">
        <f>YEAR(Table3[[#This Row],[usage_date]])</f>
        <v>2023</v>
      </c>
      <c r="F4756" s="14">
        <v>0.14000000000000001</v>
      </c>
      <c r="G4756">
        <v>168</v>
      </c>
      <c r="H4756" t="s">
        <v>12</v>
      </c>
      <c r="I4756" t="str">
        <f t="shared" si="74"/>
        <v>Normal Usage</v>
      </c>
    </row>
    <row r="4757" spans="1:9" x14ac:dyDescent="0.3">
      <c r="A4757">
        <v>14756</v>
      </c>
      <c r="B4757">
        <v>135</v>
      </c>
      <c r="C4757" s="2">
        <v>44624</v>
      </c>
      <c r="D4757" s="2" t="str">
        <f>TEXT(Table3[[#This Row],[usage_date]],"mmmm")</f>
        <v>March</v>
      </c>
      <c r="E4757" s="9">
        <f>YEAR(Table3[[#This Row],[usage_date]])</f>
        <v>2022</v>
      </c>
      <c r="F4757" s="14">
        <v>0.01</v>
      </c>
      <c r="G4757">
        <v>235</v>
      </c>
      <c r="H4757" t="s">
        <v>12</v>
      </c>
      <c r="I4757" t="str">
        <f t="shared" si="74"/>
        <v>Normal Usage</v>
      </c>
    </row>
    <row r="4758" spans="1:9" x14ac:dyDescent="0.3">
      <c r="A4758">
        <v>14757</v>
      </c>
      <c r="B4758">
        <v>68</v>
      </c>
      <c r="C4758" s="2">
        <v>45065</v>
      </c>
      <c r="D4758" s="2" t="str">
        <f>TEXT(Table3[[#This Row],[usage_date]],"mmmm")</f>
        <v>May</v>
      </c>
      <c r="E4758" s="9">
        <f>YEAR(Table3[[#This Row],[usage_date]])</f>
        <v>2023</v>
      </c>
      <c r="F4758" s="14">
        <v>0.27</v>
      </c>
      <c r="G4758">
        <v>273</v>
      </c>
      <c r="H4758" t="s">
        <v>12</v>
      </c>
      <c r="I4758" t="str">
        <f t="shared" si="74"/>
        <v>Normal Usage</v>
      </c>
    </row>
    <row r="4759" spans="1:9" x14ac:dyDescent="0.3">
      <c r="A4759">
        <v>14758</v>
      </c>
      <c r="B4759">
        <v>147</v>
      </c>
      <c r="C4759" s="2">
        <v>45229</v>
      </c>
      <c r="D4759" s="2" t="str">
        <f>TEXT(Table3[[#This Row],[usage_date]],"mmmm")</f>
        <v>October</v>
      </c>
      <c r="E4759" s="9">
        <f>YEAR(Table3[[#This Row],[usage_date]])</f>
        <v>2023</v>
      </c>
      <c r="F4759" s="14">
        <v>3.93</v>
      </c>
      <c r="G4759">
        <v>229</v>
      </c>
      <c r="H4759" t="s">
        <v>12</v>
      </c>
      <c r="I4759" t="str">
        <f t="shared" si="74"/>
        <v>Normal Usage</v>
      </c>
    </row>
    <row r="4760" spans="1:9" x14ac:dyDescent="0.3">
      <c r="A4760">
        <v>14759</v>
      </c>
      <c r="B4760">
        <v>490</v>
      </c>
      <c r="C4760" s="2">
        <v>45010</v>
      </c>
      <c r="D4760" s="2" t="str">
        <f>TEXT(Table3[[#This Row],[usage_date]],"mmmm")</f>
        <v>March</v>
      </c>
      <c r="E4760" s="9">
        <f>YEAR(Table3[[#This Row],[usage_date]])</f>
        <v>2023</v>
      </c>
      <c r="F4760" s="14">
        <v>8.14</v>
      </c>
      <c r="G4760">
        <v>22</v>
      </c>
      <c r="H4760" t="s">
        <v>12</v>
      </c>
      <c r="I4760" t="str">
        <f t="shared" si="74"/>
        <v>High Usage</v>
      </c>
    </row>
    <row r="4761" spans="1:9" x14ac:dyDescent="0.3">
      <c r="A4761">
        <v>14760</v>
      </c>
      <c r="B4761">
        <v>478</v>
      </c>
      <c r="C4761" s="2">
        <v>44989</v>
      </c>
      <c r="D4761" s="2" t="str">
        <f>TEXT(Table3[[#This Row],[usage_date]],"mmmm")</f>
        <v>March</v>
      </c>
      <c r="E4761" s="9">
        <f>YEAR(Table3[[#This Row],[usage_date]])</f>
        <v>2023</v>
      </c>
      <c r="F4761" s="14">
        <v>1.39</v>
      </c>
      <c r="G4761">
        <v>163</v>
      </c>
      <c r="H4761" t="s">
        <v>12</v>
      </c>
      <c r="I4761" t="str">
        <f t="shared" si="74"/>
        <v>Normal Usage</v>
      </c>
    </row>
    <row r="4762" spans="1:9" x14ac:dyDescent="0.3">
      <c r="A4762">
        <v>14761</v>
      </c>
      <c r="B4762">
        <v>159</v>
      </c>
      <c r="C4762" s="2">
        <v>45429</v>
      </c>
      <c r="D4762" s="2" t="str">
        <f>TEXT(Table3[[#This Row],[usage_date]],"mmmm")</f>
        <v>May</v>
      </c>
      <c r="E4762" s="9">
        <f>YEAR(Table3[[#This Row],[usage_date]])</f>
        <v>2024</v>
      </c>
      <c r="F4762" s="14">
        <v>1.8</v>
      </c>
      <c r="G4762">
        <v>280</v>
      </c>
      <c r="H4762" t="s">
        <v>12</v>
      </c>
      <c r="I4762" t="str">
        <f t="shared" si="74"/>
        <v>Normal Usage</v>
      </c>
    </row>
    <row r="4763" spans="1:9" x14ac:dyDescent="0.3">
      <c r="A4763">
        <v>14762</v>
      </c>
      <c r="B4763">
        <v>384</v>
      </c>
      <c r="C4763" s="2">
        <v>44988</v>
      </c>
      <c r="D4763" s="2" t="str">
        <f>TEXT(Table3[[#This Row],[usage_date]],"mmmm")</f>
        <v>March</v>
      </c>
      <c r="E4763" s="9">
        <f>YEAR(Table3[[#This Row],[usage_date]])</f>
        <v>2023</v>
      </c>
      <c r="F4763" s="14">
        <v>0.4</v>
      </c>
      <c r="G4763">
        <v>6</v>
      </c>
      <c r="H4763" t="s">
        <v>12</v>
      </c>
      <c r="I4763" t="str">
        <f t="shared" si="74"/>
        <v>Normal Usage</v>
      </c>
    </row>
    <row r="4764" spans="1:9" x14ac:dyDescent="0.3">
      <c r="A4764">
        <v>14763</v>
      </c>
      <c r="B4764">
        <v>163</v>
      </c>
      <c r="C4764" s="2">
        <v>44982</v>
      </c>
      <c r="D4764" s="2" t="str">
        <f>TEXT(Table3[[#This Row],[usage_date]],"mmmm")</f>
        <v>February</v>
      </c>
      <c r="E4764" s="9">
        <f>YEAR(Table3[[#This Row],[usage_date]])</f>
        <v>2023</v>
      </c>
      <c r="F4764" s="14">
        <v>2</v>
      </c>
      <c r="G4764">
        <v>209</v>
      </c>
      <c r="H4764" t="s">
        <v>12</v>
      </c>
      <c r="I4764" t="str">
        <f t="shared" si="74"/>
        <v>Normal Usage</v>
      </c>
    </row>
    <row r="4765" spans="1:9" x14ac:dyDescent="0.3">
      <c r="A4765">
        <v>14764</v>
      </c>
      <c r="B4765">
        <v>441</v>
      </c>
      <c r="C4765" s="2">
        <v>44883</v>
      </c>
      <c r="D4765" s="2" t="str">
        <f>TEXT(Table3[[#This Row],[usage_date]],"mmmm")</f>
        <v>November</v>
      </c>
      <c r="E4765" s="9">
        <f>YEAR(Table3[[#This Row],[usage_date]])</f>
        <v>2022</v>
      </c>
      <c r="F4765" s="14">
        <v>0.39</v>
      </c>
      <c r="G4765">
        <v>252</v>
      </c>
      <c r="H4765" t="s">
        <v>13</v>
      </c>
      <c r="I4765" t="str">
        <f t="shared" si="74"/>
        <v>Normal Usage</v>
      </c>
    </row>
    <row r="4766" spans="1:9" x14ac:dyDescent="0.3">
      <c r="A4766">
        <v>14765</v>
      </c>
      <c r="B4766">
        <v>341</v>
      </c>
      <c r="C4766" s="2">
        <v>45241</v>
      </c>
      <c r="D4766" s="2" t="str">
        <f>TEXT(Table3[[#This Row],[usage_date]],"mmmm")</f>
        <v>November</v>
      </c>
      <c r="E4766" s="9">
        <f>YEAR(Table3[[#This Row],[usage_date]])</f>
        <v>2023</v>
      </c>
      <c r="F4766" s="14">
        <v>2.36</v>
      </c>
      <c r="G4766">
        <v>132</v>
      </c>
      <c r="H4766" t="s">
        <v>12</v>
      </c>
      <c r="I4766" t="str">
        <f t="shared" si="74"/>
        <v>Normal Usage</v>
      </c>
    </row>
    <row r="4767" spans="1:9" x14ac:dyDescent="0.3">
      <c r="A4767">
        <v>14766</v>
      </c>
      <c r="B4767">
        <v>189</v>
      </c>
      <c r="C4767" s="2">
        <v>44727</v>
      </c>
      <c r="D4767" s="2" t="str">
        <f>TEXT(Table3[[#This Row],[usage_date]],"mmmm")</f>
        <v>June</v>
      </c>
      <c r="E4767" s="9">
        <f>YEAR(Table3[[#This Row],[usage_date]])</f>
        <v>2022</v>
      </c>
      <c r="F4767" s="14">
        <v>6.77</v>
      </c>
      <c r="G4767">
        <v>273</v>
      </c>
      <c r="H4767" t="s">
        <v>12</v>
      </c>
      <c r="I4767" t="str">
        <f t="shared" si="74"/>
        <v>High Usage</v>
      </c>
    </row>
    <row r="4768" spans="1:9" x14ac:dyDescent="0.3">
      <c r="A4768">
        <v>14767</v>
      </c>
      <c r="B4768">
        <v>415</v>
      </c>
      <c r="C4768" s="2">
        <v>45158</v>
      </c>
      <c r="D4768" s="2" t="str">
        <f>TEXT(Table3[[#This Row],[usage_date]],"mmmm")</f>
        <v>August</v>
      </c>
      <c r="E4768" s="9">
        <f>YEAR(Table3[[#This Row],[usage_date]])</f>
        <v>2023</v>
      </c>
      <c r="F4768" s="14">
        <v>0.54</v>
      </c>
      <c r="G4768">
        <v>105</v>
      </c>
      <c r="H4768" t="s">
        <v>12</v>
      </c>
      <c r="I4768" t="str">
        <f t="shared" si="74"/>
        <v>Normal Usage</v>
      </c>
    </row>
    <row r="4769" spans="1:9" x14ac:dyDescent="0.3">
      <c r="A4769">
        <v>14768</v>
      </c>
      <c r="B4769">
        <v>339</v>
      </c>
      <c r="C4769" s="2">
        <v>45210</v>
      </c>
      <c r="D4769" s="2" t="str">
        <f>TEXT(Table3[[#This Row],[usage_date]],"mmmm")</f>
        <v>October</v>
      </c>
      <c r="E4769" s="9">
        <f>YEAR(Table3[[#This Row],[usage_date]])</f>
        <v>2023</v>
      </c>
      <c r="F4769" s="14">
        <v>3.62</v>
      </c>
      <c r="G4769">
        <v>231</v>
      </c>
      <c r="H4769" t="s">
        <v>12</v>
      </c>
      <c r="I4769" t="str">
        <f t="shared" si="74"/>
        <v>Normal Usage</v>
      </c>
    </row>
    <row r="4770" spans="1:9" x14ac:dyDescent="0.3">
      <c r="A4770">
        <v>14769</v>
      </c>
      <c r="B4770">
        <v>95</v>
      </c>
      <c r="C4770" s="2">
        <v>45022</v>
      </c>
      <c r="D4770" s="2" t="str">
        <f>TEXT(Table3[[#This Row],[usage_date]],"mmmm")</f>
        <v>April</v>
      </c>
      <c r="E4770" s="9">
        <f>YEAR(Table3[[#This Row],[usage_date]])</f>
        <v>2023</v>
      </c>
      <c r="F4770" s="14">
        <v>0.06</v>
      </c>
      <c r="G4770">
        <v>32</v>
      </c>
      <c r="H4770" t="s">
        <v>12</v>
      </c>
      <c r="I4770" t="str">
        <f t="shared" si="74"/>
        <v>Normal Usage</v>
      </c>
    </row>
    <row r="4771" spans="1:9" x14ac:dyDescent="0.3">
      <c r="A4771">
        <v>14770</v>
      </c>
      <c r="B4771">
        <v>181</v>
      </c>
      <c r="C4771" s="2">
        <v>45020</v>
      </c>
      <c r="D4771" s="2" t="str">
        <f>TEXT(Table3[[#This Row],[usage_date]],"mmmm")</f>
        <v>April</v>
      </c>
      <c r="E4771" s="9">
        <f>YEAR(Table3[[#This Row],[usage_date]])</f>
        <v>2023</v>
      </c>
      <c r="F4771" s="14">
        <v>1.18</v>
      </c>
      <c r="G4771">
        <v>78</v>
      </c>
      <c r="H4771" t="s">
        <v>13</v>
      </c>
      <c r="I4771" t="str">
        <f t="shared" si="74"/>
        <v>Normal Usage</v>
      </c>
    </row>
    <row r="4772" spans="1:9" x14ac:dyDescent="0.3">
      <c r="A4772">
        <v>14771</v>
      </c>
      <c r="B4772">
        <v>288</v>
      </c>
      <c r="C4772" s="2">
        <v>44750</v>
      </c>
      <c r="D4772" s="2" t="str">
        <f>TEXT(Table3[[#This Row],[usage_date]],"mmmm")</f>
        <v>July</v>
      </c>
      <c r="E4772" s="9">
        <f>YEAR(Table3[[#This Row],[usage_date]])</f>
        <v>2022</v>
      </c>
      <c r="F4772" s="14">
        <v>0.28999999999999998</v>
      </c>
      <c r="G4772">
        <v>34</v>
      </c>
      <c r="H4772" t="s">
        <v>12</v>
      </c>
      <c r="I4772" t="str">
        <f t="shared" si="74"/>
        <v>Normal Usage</v>
      </c>
    </row>
    <row r="4773" spans="1:9" x14ac:dyDescent="0.3">
      <c r="A4773">
        <v>14772</v>
      </c>
      <c r="B4773">
        <v>322</v>
      </c>
      <c r="C4773" s="2">
        <v>45025</v>
      </c>
      <c r="D4773" s="2" t="str">
        <f>TEXT(Table3[[#This Row],[usage_date]],"mmmm")</f>
        <v>April</v>
      </c>
      <c r="E4773" s="9">
        <f>YEAR(Table3[[#This Row],[usage_date]])</f>
        <v>2023</v>
      </c>
      <c r="F4773" s="14">
        <v>1.0900000000000001</v>
      </c>
      <c r="G4773">
        <v>109</v>
      </c>
      <c r="H4773" t="s">
        <v>12</v>
      </c>
      <c r="I4773" t="str">
        <f t="shared" si="74"/>
        <v>Normal Usage</v>
      </c>
    </row>
    <row r="4774" spans="1:9" x14ac:dyDescent="0.3">
      <c r="A4774">
        <v>14773</v>
      </c>
      <c r="B4774">
        <v>187</v>
      </c>
      <c r="C4774" s="2">
        <v>44940</v>
      </c>
      <c r="D4774" s="2" t="str">
        <f>TEXT(Table3[[#This Row],[usage_date]],"mmmm")</f>
        <v>January</v>
      </c>
      <c r="E4774" s="9">
        <f>YEAR(Table3[[#This Row],[usage_date]])</f>
        <v>2023</v>
      </c>
      <c r="F4774" s="14">
        <v>0.48</v>
      </c>
      <c r="G4774">
        <v>62</v>
      </c>
      <c r="H4774" t="s">
        <v>12</v>
      </c>
      <c r="I4774" t="str">
        <f t="shared" si="74"/>
        <v>Normal Usage</v>
      </c>
    </row>
    <row r="4775" spans="1:9" x14ac:dyDescent="0.3">
      <c r="A4775">
        <v>14774</v>
      </c>
      <c r="B4775">
        <v>372</v>
      </c>
      <c r="C4775" s="2">
        <v>44563</v>
      </c>
      <c r="D4775" s="2" t="str">
        <f>TEXT(Table3[[#This Row],[usage_date]],"mmmm")</f>
        <v>January</v>
      </c>
      <c r="E4775" s="9">
        <f>YEAR(Table3[[#This Row],[usage_date]])</f>
        <v>2022</v>
      </c>
      <c r="F4775" s="14">
        <v>1.17</v>
      </c>
      <c r="G4775">
        <v>296</v>
      </c>
      <c r="H4775" t="s">
        <v>12</v>
      </c>
      <c r="I4775" t="str">
        <f t="shared" si="74"/>
        <v>Normal Usage</v>
      </c>
    </row>
    <row r="4776" spans="1:9" x14ac:dyDescent="0.3">
      <c r="A4776">
        <v>14775</v>
      </c>
      <c r="B4776">
        <v>138</v>
      </c>
      <c r="C4776" s="2">
        <v>45179</v>
      </c>
      <c r="D4776" s="2" t="str">
        <f>TEXT(Table3[[#This Row],[usage_date]],"mmmm")</f>
        <v>September</v>
      </c>
      <c r="E4776" s="9">
        <f>YEAR(Table3[[#This Row],[usage_date]])</f>
        <v>2023</v>
      </c>
      <c r="F4776" s="14">
        <v>1.35</v>
      </c>
      <c r="G4776">
        <v>177</v>
      </c>
      <c r="H4776" t="s">
        <v>13</v>
      </c>
      <c r="I4776" t="str">
        <f t="shared" si="74"/>
        <v>Normal Usage</v>
      </c>
    </row>
    <row r="4777" spans="1:9" x14ac:dyDescent="0.3">
      <c r="A4777">
        <v>14776</v>
      </c>
      <c r="B4777">
        <v>130</v>
      </c>
      <c r="C4777" s="2">
        <v>44925</v>
      </c>
      <c r="D4777" s="2" t="str">
        <f>TEXT(Table3[[#This Row],[usage_date]],"mmmm")</f>
        <v>December</v>
      </c>
      <c r="E4777" s="9">
        <f>YEAR(Table3[[#This Row],[usage_date]])</f>
        <v>2022</v>
      </c>
      <c r="F4777" s="14">
        <v>0.89</v>
      </c>
      <c r="G4777">
        <v>231</v>
      </c>
      <c r="H4777" t="s">
        <v>12</v>
      </c>
      <c r="I4777" t="str">
        <f t="shared" si="74"/>
        <v>Normal Usage</v>
      </c>
    </row>
    <row r="4778" spans="1:9" x14ac:dyDescent="0.3">
      <c r="A4778">
        <v>14777</v>
      </c>
      <c r="B4778">
        <v>194</v>
      </c>
      <c r="C4778" s="2">
        <v>44633</v>
      </c>
      <c r="D4778" s="2" t="str">
        <f>TEXT(Table3[[#This Row],[usage_date]],"mmmm")</f>
        <v>March</v>
      </c>
      <c r="E4778" s="9">
        <f>YEAR(Table3[[#This Row],[usage_date]])</f>
        <v>2022</v>
      </c>
      <c r="F4778" s="14">
        <v>2.67</v>
      </c>
      <c r="G4778">
        <v>103</v>
      </c>
      <c r="H4778" t="s">
        <v>13</v>
      </c>
      <c r="I4778" t="str">
        <f t="shared" si="74"/>
        <v>Normal Usage</v>
      </c>
    </row>
    <row r="4779" spans="1:9" x14ac:dyDescent="0.3">
      <c r="A4779">
        <v>14778</v>
      </c>
      <c r="B4779">
        <v>316</v>
      </c>
      <c r="C4779" s="2">
        <v>44988</v>
      </c>
      <c r="D4779" s="2" t="str">
        <f>TEXT(Table3[[#This Row],[usage_date]],"mmmm")</f>
        <v>March</v>
      </c>
      <c r="E4779" s="9">
        <f>YEAR(Table3[[#This Row],[usage_date]])</f>
        <v>2023</v>
      </c>
      <c r="F4779" s="14">
        <v>6.28</v>
      </c>
      <c r="G4779">
        <v>293</v>
      </c>
      <c r="H4779" t="s">
        <v>12</v>
      </c>
      <c r="I4779" t="str">
        <f t="shared" si="74"/>
        <v>High Usage</v>
      </c>
    </row>
    <row r="4780" spans="1:9" x14ac:dyDescent="0.3">
      <c r="A4780">
        <v>14779</v>
      </c>
      <c r="B4780">
        <v>472</v>
      </c>
      <c r="C4780" s="2">
        <v>45199</v>
      </c>
      <c r="D4780" s="2" t="str">
        <f>TEXT(Table3[[#This Row],[usage_date]],"mmmm")</f>
        <v>September</v>
      </c>
      <c r="E4780" s="9">
        <f>YEAR(Table3[[#This Row],[usage_date]])</f>
        <v>2023</v>
      </c>
      <c r="F4780" s="14">
        <v>1.28</v>
      </c>
      <c r="G4780">
        <v>34</v>
      </c>
      <c r="H4780" t="s">
        <v>13</v>
      </c>
      <c r="I4780" t="str">
        <f t="shared" si="74"/>
        <v>Normal Usage</v>
      </c>
    </row>
    <row r="4781" spans="1:9" x14ac:dyDescent="0.3">
      <c r="A4781">
        <v>14780</v>
      </c>
      <c r="B4781">
        <v>273</v>
      </c>
      <c r="C4781" s="2">
        <v>44731</v>
      </c>
      <c r="D4781" s="2" t="str">
        <f>TEXT(Table3[[#This Row],[usage_date]],"mmmm")</f>
        <v>June</v>
      </c>
      <c r="E4781" s="9">
        <f>YEAR(Table3[[#This Row],[usage_date]])</f>
        <v>2022</v>
      </c>
      <c r="F4781" s="14">
        <v>0.53</v>
      </c>
      <c r="G4781">
        <v>193</v>
      </c>
      <c r="H4781" t="s">
        <v>12</v>
      </c>
      <c r="I4781" t="str">
        <f t="shared" si="74"/>
        <v>Normal Usage</v>
      </c>
    </row>
    <row r="4782" spans="1:9" x14ac:dyDescent="0.3">
      <c r="A4782">
        <v>14781</v>
      </c>
      <c r="B4782">
        <v>352</v>
      </c>
      <c r="C4782" s="2">
        <v>44766</v>
      </c>
      <c r="D4782" s="2" t="str">
        <f>TEXT(Table3[[#This Row],[usage_date]],"mmmm")</f>
        <v>July</v>
      </c>
      <c r="E4782" s="9">
        <f>YEAR(Table3[[#This Row],[usage_date]])</f>
        <v>2022</v>
      </c>
      <c r="F4782" s="14">
        <v>0.79</v>
      </c>
      <c r="G4782">
        <v>173</v>
      </c>
      <c r="H4782" t="s">
        <v>12</v>
      </c>
      <c r="I4782" t="str">
        <f t="shared" si="74"/>
        <v>Normal Usage</v>
      </c>
    </row>
    <row r="4783" spans="1:9" x14ac:dyDescent="0.3">
      <c r="A4783">
        <v>14782</v>
      </c>
      <c r="B4783">
        <v>144</v>
      </c>
      <c r="C4783" s="2">
        <v>45386</v>
      </c>
      <c r="D4783" s="2" t="str">
        <f>TEXT(Table3[[#This Row],[usage_date]],"mmmm")</f>
        <v>April</v>
      </c>
      <c r="E4783" s="9">
        <f>YEAR(Table3[[#This Row],[usage_date]])</f>
        <v>2024</v>
      </c>
      <c r="F4783" s="14">
        <v>4.8099999999999996</v>
      </c>
      <c r="G4783">
        <v>101</v>
      </c>
      <c r="H4783" t="s">
        <v>13</v>
      </c>
      <c r="I4783" t="str">
        <f t="shared" si="74"/>
        <v>Normal Usage</v>
      </c>
    </row>
    <row r="4784" spans="1:9" x14ac:dyDescent="0.3">
      <c r="A4784">
        <v>14783</v>
      </c>
      <c r="B4784">
        <v>16</v>
      </c>
      <c r="C4784" s="2">
        <v>44898</v>
      </c>
      <c r="D4784" s="2" t="str">
        <f>TEXT(Table3[[#This Row],[usage_date]],"mmmm")</f>
        <v>December</v>
      </c>
      <c r="E4784" s="9">
        <f>YEAR(Table3[[#This Row],[usage_date]])</f>
        <v>2022</v>
      </c>
      <c r="F4784" s="14">
        <v>2.12</v>
      </c>
      <c r="G4784">
        <v>292</v>
      </c>
      <c r="H4784" t="s">
        <v>12</v>
      </c>
      <c r="I4784" t="str">
        <f t="shared" si="74"/>
        <v>Normal Usage</v>
      </c>
    </row>
    <row r="4785" spans="1:9" x14ac:dyDescent="0.3">
      <c r="A4785">
        <v>14784</v>
      </c>
      <c r="B4785">
        <v>302</v>
      </c>
      <c r="C4785" s="2">
        <v>45033</v>
      </c>
      <c r="D4785" s="2" t="str">
        <f>TEXT(Table3[[#This Row],[usage_date]],"mmmm")</f>
        <v>April</v>
      </c>
      <c r="E4785" s="9">
        <f>YEAR(Table3[[#This Row],[usage_date]])</f>
        <v>2023</v>
      </c>
      <c r="F4785" s="14">
        <v>1.52</v>
      </c>
      <c r="G4785">
        <v>84</v>
      </c>
      <c r="H4785" t="s">
        <v>12</v>
      </c>
      <c r="I4785" t="str">
        <f t="shared" si="74"/>
        <v>Normal Usage</v>
      </c>
    </row>
    <row r="4786" spans="1:9" x14ac:dyDescent="0.3">
      <c r="A4786">
        <v>14785</v>
      </c>
      <c r="B4786">
        <v>423</v>
      </c>
      <c r="C4786" s="2">
        <v>44756</v>
      </c>
      <c r="D4786" s="2" t="str">
        <f>TEXT(Table3[[#This Row],[usage_date]],"mmmm")</f>
        <v>July</v>
      </c>
      <c r="E4786" s="9">
        <f>YEAR(Table3[[#This Row],[usage_date]])</f>
        <v>2022</v>
      </c>
      <c r="F4786" s="14">
        <v>0.41</v>
      </c>
      <c r="G4786">
        <v>200</v>
      </c>
      <c r="H4786" t="s">
        <v>12</v>
      </c>
      <c r="I4786" t="str">
        <f t="shared" si="74"/>
        <v>Normal Usage</v>
      </c>
    </row>
    <row r="4787" spans="1:9" x14ac:dyDescent="0.3">
      <c r="A4787">
        <v>14786</v>
      </c>
      <c r="B4787">
        <v>245</v>
      </c>
      <c r="C4787" s="2">
        <v>45231</v>
      </c>
      <c r="D4787" s="2" t="str">
        <f>TEXT(Table3[[#This Row],[usage_date]],"mmmm")</f>
        <v>November</v>
      </c>
      <c r="E4787" s="9">
        <f>YEAR(Table3[[#This Row],[usage_date]])</f>
        <v>2023</v>
      </c>
      <c r="F4787" s="14">
        <v>1.49</v>
      </c>
      <c r="G4787">
        <v>172</v>
      </c>
      <c r="H4787" t="s">
        <v>12</v>
      </c>
      <c r="I4787" t="str">
        <f t="shared" si="74"/>
        <v>Normal Usage</v>
      </c>
    </row>
    <row r="4788" spans="1:9" x14ac:dyDescent="0.3">
      <c r="A4788">
        <v>14787</v>
      </c>
      <c r="B4788">
        <v>415</v>
      </c>
      <c r="C4788" s="2">
        <v>45214</v>
      </c>
      <c r="D4788" s="2" t="str">
        <f>TEXT(Table3[[#This Row],[usage_date]],"mmmm")</f>
        <v>October</v>
      </c>
      <c r="E4788" s="9">
        <f>YEAR(Table3[[#This Row],[usage_date]])</f>
        <v>2023</v>
      </c>
      <c r="F4788" s="14">
        <v>0.82</v>
      </c>
      <c r="G4788">
        <v>28</v>
      </c>
      <c r="H4788" t="s">
        <v>12</v>
      </c>
      <c r="I4788" t="str">
        <f t="shared" si="74"/>
        <v>Normal Usage</v>
      </c>
    </row>
    <row r="4789" spans="1:9" x14ac:dyDescent="0.3">
      <c r="A4789">
        <v>14788</v>
      </c>
      <c r="B4789">
        <v>107</v>
      </c>
      <c r="C4789" s="2">
        <v>44836</v>
      </c>
      <c r="D4789" s="2" t="str">
        <f>TEXT(Table3[[#This Row],[usage_date]],"mmmm")</f>
        <v>October</v>
      </c>
      <c r="E4789" s="9">
        <f>YEAR(Table3[[#This Row],[usage_date]])</f>
        <v>2022</v>
      </c>
      <c r="F4789" s="14">
        <v>7.17</v>
      </c>
      <c r="G4789">
        <v>296</v>
      </c>
      <c r="H4789" t="s">
        <v>12</v>
      </c>
      <c r="I4789" t="str">
        <f t="shared" si="74"/>
        <v>High Usage</v>
      </c>
    </row>
    <row r="4790" spans="1:9" x14ac:dyDescent="0.3">
      <c r="A4790">
        <v>14789</v>
      </c>
      <c r="B4790">
        <v>88</v>
      </c>
      <c r="C4790" s="2">
        <v>44568</v>
      </c>
      <c r="D4790" s="2" t="str">
        <f>TEXT(Table3[[#This Row],[usage_date]],"mmmm")</f>
        <v>January</v>
      </c>
      <c r="E4790" s="9">
        <f>YEAR(Table3[[#This Row],[usage_date]])</f>
        <v>2022</v>
      </c>
      <c r="F4790" s="14">
        <v>5.39</v>
      </c>
      <c r="G4790">
        <v>55</v>
      </c>
      <c r="H4790" t="s">
        <v>12</v>
      </c>
      <c r="I4790" t="str">
        <f t="shared" si="74"/>
        <v>Normal Usage</v>
      </c>
    </row>
    <row r="4791" spans="1:9" x14ac:dyDescent="0.3">
      <c r="A4791">
        <v>14790</v>
      </c>
      <c r="B4791">
        <v>129</v>
      </c>
      <c r="C4791" s="2">
        <v>45127</v>
      </c>
      <c r="D4791" s="2" t="str">
        <f>TEXT(Table3[[#This Row],[usage_date]],"mmmm")</f>
        <v>July</v>
      </c>
      <c r="E4791" s="9">
        <f>YEAR(Table3[[#This Row],[usage_date]])</f>
        <v>2023</v>
      </c>
      <c r="F4791" s="14">
        <v>0.22</v>
      </c>
      <c r="G4791">
        <v>15</v>
      </c>
      <c r="H4791" t="s">
        <v>12</v>
      </c>
      <c r="I4791" t="str">
        <f t="shared" si="74"/>
        <v>Normal Usage</v>
      </c>
    </row>
    <row r="4792" spans="1:9" x14ac:dyDescent="0.3">
      <c r="A4792">
        <v>14791</v>
      </c>
      <c r="B4792">
        <v>395</v>
      </c>
      <c r="C4792" s="2">
        <v>45177</v>
      </c>
      <c r="D4792" s="2" t="str">
        <f>TEXT(Table3[[#This Row],[usage_date]],"mmmm")</f>
        <v>September</v>
      </c>
      <c r="E4792" s="9">
        <f>YEAR(Table3[[#This Row],[usage_date]])</f>
        <v>2023</v>
      </c>
      <c r="F4792" s="14">
        <v>1.82</v>
      </c>
      <c r="G4792">
        <v>139</v>
      </c>
      <c r="H4792" t="s">
        <v>12</v>
      </c>
      <c r="I4792" t="str">
        <f t="shared" si="74"/>
        <v>Normal Usage</v>
      </c>
    </row>
    <row r="4793" spans="1:9" x14ac:dyDescent="0.3">
      <c r="A4793">
        <v>14792</v>
      </c>
      <c r="B4793">
        <v>375</v>
      </c>
      <c r="C4793" s="2">
        <v>45415</v>
      </c>
      <c r="D4793" s="2" t="str">
        <f>TEXT(Table3[[#This Row],[usage_date]],"mmmm")</f>
        <v>May</v>
      </c>
      <c r="E4793" s="9">
        <f>YEAR(Table3[[#This Row],[usage_date]])</f>
        <v>2024</v>
      </c>
      <c r="F4793" s="14">
        <v>0.64</v>
      </c>
      <c r="G4793">
        <v>65</v>
      </c>
      <c r="H4793" t="s">
        <v>12</v>
      </c>
      <c r="I4793" t="str">
        <f t="shared" si="74"/>
        <v>Normal Usage</v>
      </c>
    </row>
    <row r="4794" spans="1:9" x14ac:dyDescent="0.3">
      <c r="A4794">
        <v>14793</v>
      </c>
      <c r="B4794">
        <v>341</v>
      </c>
      <c r="C4794" s="2">
        <v>45411</v>
      </c>
      <c r="D4794" s="2" t="str">
        <f>TEXT(Table3[[#This Row],[usage_date]],"mmmm")</f>
        <v>April</v>
      </c>
      <c r="E4794" s="9">
        <f>YEAR(Table3[[#This Row],[usage_date]])</f>
        <v>2024</v>
      </c>
      <c r="F4794" s="14">
        <v>1.32</v>
      </c>
      <c r="G4794">
        <v>146</v>
      </c>
      <c r="H4794" t="s">
        <v>13</v>
      </c>
      <c r="I4794" t="str">
        <f t="shared" si="74"/>
        <v>Normal Usage</v>
      </c>
    </row>
    <row r="4795" spans="1:9" x14ac:dyDescent="0.3">
      <c r="A4795">
        <v>14794</v>
      </c>
      <c r="B4795">
        <v>4</v>
      </c>
      <c r="C4795" s="2">
        <v>45134</v>
      </c>
      <c r="D4795" s="2" t="str">
        <f>TEXT(Table3[[#This Row],[usage_date]],"mmmm")</f>
        <v>July</v>
      </c>
      <c r="E4795" s="9">
        <f>YEAR(Table3[[#This Row],[usage_date]])</f>
        <v>2023</v>
      </c>
      <c r="F4795" s="14">
        <v>5.24</v>
      </c>
      <c r="G4795">
        <v>157</v>
      </c>
      <c r="H4795" t="s">
        <v>12</v>
      </c>
      <c r="I4795" t="str">
        <f t="shared" si="74"/>
        <v>Normal Usage</v>
      </c>
    </row>
    <row r="4796" spans="1:9" x14ac:dyDescent="0.3">
      <c r="A4796">
        <v>14795</v>
      </c>
      <c r="B4796">
        <v>327</v>
      </c>
      <c r="C4796" s="2">
        <v>45160</v>
      </c>
      <c r="D4796" s="2" t="str">
        <f>TEXT(Table3[[#This Row],[usage_date]],"mmmm")</f>
        <v>August</v>
      </c>
      <c r="E4796" s="9">
        <f>YEAR(Table3[[#This Row],[usage_date]])</f>
        <v>2023</v>
      </c>
      <c r="F4796" s="14">
        <v>1.87</v>
      </c>
      <c r="G4796">
        <v>68</v>
      </c>
      <c r="H4796" t="s">
        <v>13</v>
      </c>
      <c r="I4796" t="str">
        <f t="shared" si="74"/>
        <v>Normal Usage</v>
      </c>
    </row>
    <row r="4797" spans="1:9" x14ac:dyDescent="0.3">
      <c r="A4797">
        <v>14796</v>
      </c>
      <c r="B4797">
        <v>410</v>
      </c>
      <c r="C4797" s="2">
        <v>45331</v>
      </c>
      <c r="D4797" s="2" t="str">
        <f>TEXT(Table3[[#This Row],[usage_date]],"mmmm")</f>
        <v>February</v>
      </c>
      <c r="E4797" s="9">
        <f>YEAR(Table3[[#This Row],[usage_date]])</f>
        <v>2024</v>
      </c>
      <c r="F4797" s="14">
        <v>1.02</v>
      </c>
      <c r="G4797">
        <v>22</v>
      </c>
      <c r="H4797" t="s">
        <v>12</v>
      </c>
      <c r="I4797" t="str">
        <f t="shared" si="74"/>
        <v>Normal Usage</v>
      </c>
    </row>
    <row r="4798" spans="1:9" x14ac:dyDescent="0.3">
      <c r="A4798">
        <v>14797</v>
      </c>
      <c r="B4798">
        <v>367</v>
      </c>
      <c r="C4798" s="2">
        <v>44739</v>
      </c>
      <c r="D4798" s="2" t="str">
        <f>TEXT(Table3[[#This Row],[usage_date]],"mmmm")</f>
        <v>June</v>
      </c>
      <c r="E4798" s="9">
        <f>YEAR(Table3[[#This Row],[usage_date]])</f>
        <v>2022</v>
      </c>
      <c r="F4798" s="14">
        <v>0.57999999999999996</v>
      </c>
      <c r="G4798">
        <v>189</v>
      </c>
      <c r="H4798" t="s">
        <v>12</v>
      </c>
      <c r="I4798" t="str">
        <f t="shared" si="74"/>
        <v>Normal Usage</v>
      </c>
    </row>
    <row r="4799" spans="1:9" x14ac:dyDescent="0.3">
      <c r="A4799">
        <v>14798</v>
      </c>
      <c r="B4799">
        <v>306</v>
      </c>
      <c r="C4799" s="2">
        <v>44803</v>
      </c>
      <c r="D4799" s="2" t="str">
        <f>TEXT(Table3[[#This Row],[usage_date]],"mmmm")</f>
        <v>August</v>
      </c>
      <c r="E4799" s="9">
        <f>YEAR(Table3[[#This Row],[usage_date]])</f>
        <v>2022</v>
      </c>
      <c r="F4799" s="14">
        <v>4.03</v>
      </c>
      <c r="G4799">
        <v>247</v>
      </c>
      <c r="H4799" t="s">
        <v>12</v>
      </c>
      <c r="I4799" t="str">
        <f t="shared" si="74"/>
        <v>Normal Usage</v>
      </c>
    </row>
    <row r="4800" spans="1:9" x14ac:dyDescent="0.3">
      <c r="A4800">
        <v>14799</v>
      </c>
      <c r="B4800">
        <v>396</v>
      </c>
      <c r="C4800" s="2">
        <v>44764</v>
      </c>
      <c r="D4800" s="2" t="str">
        <f>TEXT(Table3[[#This Row],[usage_date]],"mmmm")</f>
        <v>July</v>
      </c>
      <c r="E4800" s="9">
        <f>YEAR(Table3[[#This Row],[usage_date]])</f>
        <v>2022</v>
      </c>
      <c r="F4800" s="14">
        <v>2.4500000000000002</v>
      </c>
      <c r="G4800">
        <v>144</v>
      </c>
      <c r="H4800" t="s">
        <v>12</v>
      </c>
      <c r="I4800" t="str">
        <f t="shared" si="74"/>
        <v>Normal Usage</v>
      </c>
    </row>
    <row r="4801" spans="1:9" x14ac:dyDescent="0.3">
      <c r="A4801">
        <v>14800</v>
      </c>
      <c r="B4801">
        <v>95</v>
      </c>
      <c r="C4801" s="2">
        <v>45104</v>
      </c>
      <c r="D4801" s="2" t="str">
        <f>TEXT(Table3[[#This Row],[usage_date]],"mmmm")</f>
        <v>June</v>
      </c>
      <c r="E4801" s="9">
        <f>YEAR(Table3[[#This Row],[usage_date]])</f>
        <v>2023</v>
      </c>
      <c r="F4801" s="14">
        <v>1.58</v>
      </c>
      <c r="G4801">
        <v>176</v>
      </c>
      <c r="H4801" t="s">
        <v>12</v>
      </c>
      <c r="I4801" t="str">
        <f t="shared" si="74"/>
        <v>Normal Usage</v>
      </c>
    </row>
    <row r="4802" spans="1:9" x14ac:dyDescent="0.3">
      <c r="A4802">
        <v>14801</v>
      </c>
      <c r="B4802">
        <v>209</v>
      </c>
      <c r="C4802" s="2">
        <v>45362</v>
      </c>
      <c r="D4802" s="2" t="str">
        <f>TEXT(Table3[[#This Row],[usage_date]],"mmmm")</f>
        <v>March</v>
      </c>
      <c r="E4802" s="9">
        <f>YEAR(Table3[[#This Row],[usage_date]])</f>
        <v>2024</v>
      </c>
      <c r="F4802" s="14">
        <v>0.61</v>
      </c>
      <c r="G4802">
        <v>194</v>
      </c>
      <c r="H4802" t="s">
        <v>12</v>
      </c>
      <c r="I4802" t="str">
        <f t="shared" ref="I4802:I4865" si="75">IF(F4802&gt;6,"High Usage","Normal Usage")</f>
        <v>Normal Usage</v>
      </c>
    </row>
    <row r="4803" spans="1:9" x14ac:dyDescent="0.3">
      <c r="A4803">
        <v>14802</v>
      </c>
      <c r="B4803">
        <v>225</v>
      </c>
      <c r="C4803" s="2">
        <v>45023</v>
      </c>
      <c r="D4803" s="2" t="str">
        <f>TEXT(Table3[[#This Row],[usage_date]],"mmmm")</f>
        <v>April</v>
      </c>
      <c r="E4803" s="9">
        <f>YEAR(Table3[[#This Row],[usage_date]])</f>
        <v>2023</v>
      </c>
      <c r="F4803" s="14">
        <v>1.02</v>
      </c>
      <c r="G4803">
        <v>12</v>
      </c>
      <c r="H4803" t="s">
        <v>12</v>
      </c>
      <c r="I4803" t="str">
        <f t="shared" si="75"/>
        <v>Normal Usage</v>
      </c>
    </row>
    <row r="4804" spans="1:9" x14ac:dyDescent="0.3">
      <c r="A4804">
        <v>14803</v>
      </c>
      <c r="B4804">
        <v>459</v>
      </c>
      <c r="C4804" s="2">
        <v>44641</v>
      </c>
      <c r="D4804" s="2" t="str">
        <f>TEXT(Table3[[#This Row],[usage_date]],"mmmm")</f>
        <v>March</v>
      </c>
      <c r="E4804" s="9">
        <f>YEAR(Table3[[#This Row],[usage_date]])</f>
        <v>2022</v>
      </c>
      <c r="F4804" s="14">
        <v>8.0399999999999991</v>
      </c>
      <c r="G4804">
        <v>165</v>
      </c>
      <c r="H4804" t="s">
        <v>13</v>
      </c>
      <c r="I4804" t="str">
        <f t="shared" si="75"/>
        <v>High Usage</v>
      </c>
    </row>
    <row r="4805" spans="1:9" x14ac:dyDescent="0.3">
      <c r="A4805">
        <v>14804</v>
      </c>
      <c r="B4805">
        <v>348</v>
      </c>
      <c r="C4805" s="2">
        <v>45084</v>
      </c>
      <c r="D4805" s="2" t="str">
        <f>TEXT(Table3[[#This Row],[usage_date]],"mmmm")</f>
        <v>June</v>
      </c>
      <c r="E4805" s="9">
        <f>YEAR(Table3[[#This Row],[usage_date]])</f>
        <v>2023</v>
      </c>
      <c r="F4805" s="14">
        <v>1.84</v>
      </c>
      <c r="G4805">
        <v>149</v>
      </c>
      <c r="H4805" t="s">
        <v>13</v>
      </c>
      <c r="I4805" t="str">
        <f t="shared" si="75"/>
        <v>Normal Usage</v>
      </c>
    </row>
    <row r="4806" spans="1:9" x14ac:dyDescent="0.3">
      <c r="A4806">
        <v>14805</v>
      </c>
      <c r="B4806">
        <v>480</v>
      </c>
      <c r="C4806" s="2">
        <v>44978</v>
      </c>
      <c r="D4806" s="2" t="str">
        <f>TEXT(Table3[[#This Row],[usage_date]],"mmmm")</f>
        <v>February</v>
      </c>
      <c r="E4806" s="9">
        <f>YEAR(Table3[[#This Row],[usage_date]])</f>
        <v>2023</v>
      </c>
      <c r="F4806" s="14">
        <v>1.28</v>
      </c>
      <c r="G4806">
        <v>44</v>
      </c>
      <c r="H4806" t="s">
        <v>12</v>
      </c>
      <c r="I4806" t="str">
        <f t="shared" si="75"/>
        <v>Normal Usage</v>
      </c>
    </row>
    <row r="4807" spans="1:9" x14ac:dyDescent="0.3">
      <c r="A4807">
        <v>14806</v>
      </c>
      <c r="B4807">
        <v>321</v>
      </c>
      <c r="C4807" s="2">
        <v>45327</v>
      </c>
      <c r="D4807" s="2" t="str">
        <f>TEXT(Table3[[#This Row],[usage_date]],"mmmm")</f>
        <v>February</v>
      </c>
      <c r="E4807" s="9">
        <f>YEAR(Table3[[#This Row],[usage_date]])</f>
        <v>2024</v>
      </c>
      <c r="F4807" s="14">
        <v>1.84</v>
      </c>
      <c r="G4807">
        <v>173</v>
      </c>
      <c r="H4807" t="s">
        <v>12</v>
      </c>
      <c r="I4807" t="str">
        <f t="shared" si="75"/>
        <v>Normal Usage</v>
      </c>
    </row>
    <row r="4808" spans="1:9" x14ac:dyDescent="0.3">
      <c r="A4808">
        <v>14807</v>
      </c>
      <c r="B4808">
        <v>47</v>
      </c>
      <c r="C4808" s="2">
        <v>44945</v>
      </c>
      <c r="D4808" s="2" t="str">
        <f>TEXT(Table3[[#This Row],[usage_date]],"mmmm")</f>
        <v>January</v>
      </c>
      <c r="E4808" s="9">
        <f>YEAR(Table3[[#This Row],[usage_date]])</f>
        <v>2023</v>
      </c>
      <c r="F4808" s="14">
        <v>3.77</v>
      </c>
      <c r="G4808">
        <v>166</v>
      </c>
      <c r="H4808" t="s">
        <v>12</v>
      </c>
      <c r="I4808" t="str">
        <f t="shared" si="75"/>
        <v>Normal Usage</v>
      </c>
    </row>
    <row r="4809" spans="1:9" x14ac:dyDescent="0.3">
      <c r="A4809">
        <v>14808</v>
      </c>
      <c r="B4809">
        <v>476</v>
      </c>
      <c r="C4809" s="2">
        <v>44952</v>
      </c>
      <c r="D4809" s="2" t="str">
        <f>TEXT(Table3[[#This Row],[usage_date]],"mmmm")</f>
        <v>January</v>
      </c>
      <c r="E4809" s="9">
        <f>YEAR(Table3[[#This Row],[usage_date]])</f>
        <v>2023</v>
      </c>
      <c r="F4809" s="14">
        <v>1.04</v>
      </c>
      <c r="G4809">
        <v>196</v>
      </c>
      <c r="H4809" t="s">
        <v>12</v>
      </c>
      <c r="I4809" t="str">
        <f t="shared" si="75"/>
        <v>Normal Usage</v>
      </c>
    </row>
    <row r="4810" spans="1:9" x14ac:dyDescent="0.3">
      <c r="A4810">
        <v>14809</v>
      </c>
      <c r="B4810">
        <v>181</v>
      </c>
      <c r="C4810" s="2">
        <v>45457</v>
      </c>
      <c r="D4810" s="2" t="str">
        <f>TEXT(Table3[[#This Row],[usage_date]],"mmmm")</f>
        <v>June</v>
      </c>
      <c r="E4810" s="9">
        <f>YEAR(Table3[[#This Row],[usage_date]])</f>
        <v>2024</v>
      </c>
      <c r="F4810" s="14">
        <v>0.49</v>
      </c>
      <c r="G4810">
        <v>205</v>
      </c>
      <c r="H4810" t="s">
        <v>12</v>
      </c>
      <c r="I4810" t="str">
        <f t="shared" si="75"/>
        <v>Normal Usage</v>
      </c>
    </row>
    <row r="4811" spans="1:9" x14ac:dyDescent="0.3">
      <c r="A4811">
        <v>14810</v>
      </c>
      <c r="B4811">
        <v>106</v>
      </c>
      <c r="C4811" s="2">
        <v>45360</v>
      </c>
      <c r="D4811" s="2" t="str">
        <f>TEXT(Table3[[#This Row],[usage_date]],"mmmm")</f>
        <v>March</v>
      </c>
      <c r="E4811" s="9">
        <f>YEAR(Table3[[#This Row],[usage_date]])</f>
        <v>2024</v>
      </c>
      <c r="F4811" s="14">
        <v>2.2000000000000002</v>
      </c>
      <c r="G4811">
        <v>81</v>
      </c>
      <c r="H4811" t="s">
        <v>12</v>
      </c>
      <c r="I4811" t="str">
        <f t="shared" si="75"/>
        <v>Normal Usage</v>
      </c>
    </row>
    <row r="4812" spans="1:9" x14ac:dyDescent="0.3">
      <c r="A4812">
        <v>14811</v>
      </c>
      <c r="B4812">
        <v>199</v>
      </c>
      <c r="C4812" s="2">
        <v>45249</v>
      </c>
      <c r="D4812" s="2" t="str">
        <f>TEXT(Table3[[#This Row],[usage_date]],"mmmm")</f>
        <v>November</v>
      </c>
      <c r="E4812" s="9">
        <f>YEAR(Table3[[#This Row],[usage_date]])</f>
        <v>2023</v>
      </c>
      <c r="F4812" s="14">
        <v>2.74</v>
      </c>
      <c r="G4812">
        <v>67</v>
      </c>
      <c r="H4812" t="s">
        <v>13</v>
      </c>
      <c r="I4812" t="str">
        <f t="shared" si="75"/>
        <v>Normal Usage</v>
      </c>
    </row>
    <row r="4813" spans="1:9" x14ac:dyDescent="0.3">
      <c r="A4813">
        <v>14812</v>
      </c>
      <c r="B4813">
        <v>386</v>
      </c>
      <c r="C4813" s="2">
        <v>44687</v>
      </c>
      <c r="D4813" s="2" t="str">
        <f>TEXT(Table3[[#This Row],[usage_date]],"mmmm")</f>
        <v>May</v>
      </c>
      <c r="E4813" s="9">
        <f>YEAR(Table3[[#This Row],[usage_date]])</f>
        <v>2022</v>
      </c>
      <c r="F4813" s="14">
        <v>3.12</v>
      </c>
      <c r="G4813">
        <v>96</v>
      </c>
      <c r="H4813" t="s">
        <v>12</v>
      </c>
      <c r="I4813" t="str">
        <f t="shared" si="75"/>
        <v>Normal Usage</v>
      </c>
    </row>
    <row r="4814" spans="1:9" x14ac:dyDescent="0.3">
      <c r="A4814">
        <v>14813</v>
      </c>
      <c r="B4814">
        <v>106</v>
      </c>
      <c r="C4814" s="2">
        <v>45055</v>
      </c>
      <c r="D4814" s="2" t="str">
        <f>TEXT(Table3[[#This Row],[usage_date]],"mmmm")</f>
        <v>May</v>
      </c>
      <c r="E4814" s="9">
        <f>YEAR(Table3[[#This Row],[usage_date]])</f>
        <v>2023</v>
      </c>
      <c r="F4814" s="14">
        <v>5.34</v>
      </c>
      <c r="G4814">
        <v>166</v>
      </c>
      <c r="H4814" t="s">
        <v>12</v>
      </c>
      <c r="I4814" t="str">
        <f t="shared" si="75"/>
        <v>Normal Usage</v>
      </c>
    </row>
    <row r="4815" spans="1:9" x14ac:dyDescent="0.3">
      <c r="A4815">
        <v>14814</v>
      </c>
      <c r="B4815">
        <v>280</v>
      </c>
      <c r="C4815" s="2">
        <v>44608</v>
      </c>
      <c r="D4815" s="2" t="str">
        <f>TEXT(Table3[[#This Row],[usage_date]],"mmmm")</f>
        <v>February</v>
      </c>
      <c r="E4815" s="9">
        <f>YEAR(Table3[[#This Row],[usage_date]])</f>
        <v>2022</v>
      </c>
      <c r="F4815" s="14">
        <v>1.1599999999999999</v>
      </c>
      <c r="G4815">
        <v>76</v>
      </c>
      <c r="H4815" t="s">
        <v>13</v>
      </c>
      <c r="I4815" t="str">
        <f t="shared" si="75"/>
        <v>Normal Usage</v>
      </c>
    </row>
    <row r="4816" spans="1:9" x14ac:dyDescent="0.3">
      <c r="A4816">
        <v>14815</v>
      </c>
      <c r="B4816">
        <v>260</v>
      </c>
      <c r="C4816" s="2">
        <v>45279</v>
      </c>
      <c r="D4816" s="2" t="str">
        <f>TEXT(Table3[[#This Row],[usage_date]],"mmmm")</f>
        <v>December</v>
      </c>
      <c r="E4816" s="9">
        <f>YEAR(Table3[[#This Row],[usage_date]])</f>
        <v>2023</v>
      </c>
      <c r="F4816" s="14">
        <v>0.2</v>
      </c>
      <c r="G4816">
        <v>236</v>
      </c>
      <c r="H4816" t="s">
        <v>12</v>
      </c>
      <c r="I4816" t="str">
        <f t="shared" si="75"/>
        <v>Normal Usage</v>
      </c>
    </row>
    <row r="4817" spans="1:9" x14ac:dyDescent="0.3">
      <c r="A4817">
        <v>14816</v>
      </c>
      <c r="B4817">
        <v>108</v>
      </c>
      <c r="C4817" s="2">
        <v>45037</v>
      </c>
      <c r="D4817" s="2" t="str">
        <f>TEXT(Table3[[#This Row],[usage_date]],"mmmm")</f>
        <v>April</v>
      </c>
      <c r="E4817" s="9">
        <f>YEAR(Table3[[#This Row],[usage_date]])</f>
        <v>2023</v>
      </c>
      <c r="F4817" s="14">
        <v>7.95</v>
      </c>
      <c r="G4817">
        <v>195</v>
      </c>
      <c r="H4817" t="s">
        <v>12</v>
      </c>
      <c r="I4817" t="str">
        <f t="shared" si="75"/>
        <v>High Usage</v>
      </c>
    </row>
    <row r="4818" spans="1:9" x14ac:dyDescent="0.3">
      <c r="A4818">
        <v>14817</v>
      </c>
      <c r="B4818">
        <v>19</v>
      </c>
      <c r="C4818" s="2">
        <v>45180</v>
      </c>
      <c r="D4818" s="2" t="str">
        <f>TEXT(Table3[[#This Row],[usage_date]],"mmmm")</f>
        <v>September</v>
      </c>
      <c r="E4818" s="9">
        <f>YEAR(Table3[[#This Row],[usage_date]])</f>
        <v>2023</v>
      </c>
      <c r="F4818" s="14">
        <v>1.43</v>
      </c>
      <c r="G4818">
        <v>290</v>
      </c>
      <c r="H4818" t="s">
        <v>13</v>
      </c>
      <c r="I4818" t="str">
        <f t="shared" si="75"/>
        <v>Normal Usage</v>
      </c>
    </row>
    <row r="4819" spans="1:9" x14ac:dyDescent="0.3">
      <c r="A4819">
        <v>14818</v>
      </c>
      <c r="B4819">
        <v>410</v>
      </c>
      <c r="C4819" s="2">
        <v>45025</v>
      </c>
      <c r="D4819" s="2" t="str">
        <f>TEXT(Table3[[#This Row],[usage_date]],"mmmm")</f>
        <v>April</v>
      </c>
      <c r="E4819" s="9">
        <f>YEAR(Table3[[#This Row],[usage_date]])</f>
        <v>2023</v>
      </c>
      <c r="F4819" s="14">
        <v>2.44</v>
      </c>
      <c r="G4819">
        <v>135</v>
      </c>
      <c r="H4819" t="s">
        <v>12</v>
      </c>
      <c r="I4819" t="str">
        <f t="shared" si="75"/>
        <v>Normal Usage</v>
      </c>
    </row>
    <row r="4820" spans="1:9" x14ac:dyDescent="0.3">
      <c r="A4820">
        <v>14819</v>
      </c>
      <c r="B4820">
        <v>459</v>
      </c>
      <c r="C4820" s="2">
        <v>45348</v>
      </c>
      <c r="D4820" s="2" t="str">
        <f>TEXT(Table3[[#This Row],[usage_date]],"mmmm")</f>
        <v>February</v>
      </c>
      <c r="E4820" s="9">
        <f>YEAR(Table3[[#This Row],[usage_date]])</f>
        <v>2024</v>
      </c>
      <c r="F4820" s="14">
        <v>2.74</v>
      </c>
      <c r="G4820">
        <v>295</v>
      </c>
      <c r="H4820" t="s">
        <v>12</v>
      </c>
      <c r="I4820" t="str">
        <f t="shared" si="75"/>
        <v>Normal Usage</v>
      </c>
    </row>
    <row r="4821" spans="1:9" x14ac:dyDescent="0.3">
      <c r="A4821">
        <v>14820</v>
      </c>
      <c r="B4821">
        <v>296</v>
      </c>
      <c r="C4821" s="2">
        <v>45410</v>
      </c>
      <c r="D4821" s="2" t="str">
        <f>TEXT(Table3[[#This Row],[usage_date]],"mmmm")</f>
        <v>April</v>
      </c>
      <c r="E4821" s="9">
        <f>YEAR(Table3[[#This Row],[usage_date]])</f>
        <v>2024</v>
      </c>
      <c r="F4821" s="14">
        <v>1.98</v>
      </c>
      <c r="G4821">
        <v>35</v>
      </c>
      <c r="H4821" t="s">
        <v>12</v>
      </c>
      <c r="I4821" t="str">
        <f t="shared" si="75"/>
        <v>Normal Usage</v>
      </c>
    </row>
    <row r="4822" spans="1:9" x14ac:dyDescent="0.3">
      <c r="A4822">
        <v>14821</v>
      </c>
      <c r="B4822">
        <v>306</v>
      </c>
      <c r="C4822" s="2">
        <v>44684</v>
      </c>
      <c r="D4822" s="2" t="str">
        <f>TEXT(Table3[[#This Row],[usage_date]],"mmmm")</f>
        <v>May</v>
      </c>
      <c r="E4822" s="9">
        <f>YEAR(Table3[[#This Row],[usage_date]])</f>
        <v>2022</v>
      </c>
      <c r="F4822" s="14">
        <v>0.56999999999999995</v>
      </c>
      <c r="G4822">
        <v>247</v>
      </c>
      <c r="H4822" t="s">
        <v>12</v>
      </c>
      <c r="I4822" t="str">
        <f t="shared" si="75"/>
        <v>Normal Usage</v>
      </c>
    </row>
    <row r="4823" spans="1:9" x14ac:dyDescent="0.3">
      <c r="A4823">
        <v>14822</v>
      </c>
      <c r="B4823">
        <v>171</v>
      </c>
      <c r="C4823" s="2">
        <v>45035</v>
      </c>
      <c r="D4823" s="2" t="str">
        <f>TEXT(Table3[[#This Row],[usage_date]],"mmmm")</f>
        <v>April</v>
      </c>
      <c r="E4823" s="9">
        <f>YEAR(Table3[[#This Row],[usage_date]])</f>
        <v>2023</v>
      </c>
      <c r="F4823" s="14">
        <v>3.52</v>
      </c>
      <c r="G4823">
        <v>253</v>
      </c>
      <c r="H4823" t="s">
        <v>13</v>
      </c>
      <c r="I4823" t="str">
        <f t="shared" si="75"/>
        <v>Normal Usage</v>
      </c>
    </row>
    <row r="4824" spans="1:9" x14ac:dyDescent="0.3">
      <c r="A4824">
        <v>14823</v>
      </c>
      <c r="B4824">
        <v>331</v>
      </c>
      <c r="C4824" s="2">
        <v>44695</v>
      </c>
      <c r="D4824" s="2" t="str">
        <f>TEXT(Table3[[#This Row],[usage_date]],"mmmm")</f>
        <v>May</v>
      </c>
      <c r="E4824" s="9">
        <f>YEAR(Table3[[#This Row],[usage_date]])</f>
        <v>2022</v>
      </c>
      <c r="F4824" s="14">
        <v>4.07</v>
      </c>
      <c r="G4824">
        <v>213</v>
      </c>
      <c r="H4824" t="s">
        <v>12</v>
      </c>
      <c r="I4824" t="str">
        <f t="shared" si="75"/>
        <v>Normal Usage</v>
      </c>
    </row>
    <row r="4825" spans="1:9" x14ac:dyDescent="0.3">
      <c r="A4825">
        <v>14824</v>
      </c>
      <c r="B4825">
        <v>493</v>
      </c>
      <c r="C4825" s="2">
        <v>45180</v>
      </c>
      <c r="D4825" s="2" t="str">
        <f>TEXT(Table3[[#This Row],[usage_date]],"mmmm")</f>
        <v>September</v>
      </c>
      <c r="E4825" s="9">
        <f>YEAR(Table3[[#This Row],[usage_date]])</f>
        <v>2023</v>
      </c>
      <c r="F4825" s="14">
        <v>2.0099999999999998</v>
      </c>
      <c r="G4825">
        <v>251</v>
      </c>
      <c r="H4825" t="s">
        <v>12</v>
      </c>
      <c r="I4825" t="str">
        <f t="shared" si="75"/>
        <v>Normal Usage</v>
      </c>
    </row>
    <row r="4826" spans="1:9" x14ac:dyDescent="0.3">
      <c r="A4826">
        <v>14825</v>
      </c>
      <c r="B4826">
        <v>195</v>
      </c>
      <c r="C4826" s="2">
        <v>45378</v>
      </c>
      <c r="D4826" s="2" t="str">
        <f>TEXT(Table3[[#This Row],[usage_date]],"mmmm")</f>
        <v>March</v>
      </c>
      <c r="E4826" s="9">
        <f>YEAR(Table3[[#This Row],[usage_date]])</f>
        <v>2024</v>
      </c>
      <c r="F4826" s="14">
        <v>1.68</v>
      </c>
      <c r="G4826">
        <v>69</v>
      </c>
      <c r="H4826" t="s">
        <v>12</v>
      </c>
      <c r="I4826" t="str">
        <f t="shared" si="75"/>
        <v>Normal Usage</v>
      </c>
    </row>
    <row r="4827" spans="1:9" x14ac:dyDescent="0.3">
      <c r="A4827">
        <v>14826</v>
      </c>
      <c r="B4827">
        <v>12</v>
      </c>
      <c r="C4827" s="2">
        <v>45402</v>
      </c>
      <c r="D4827" s="2" t="str">
        <f>TEXT(Table3[[#This Row],[usage_date]],"mmmm")</f>
        <v>April</v>
      </c>
      <c r="E4827" s="9">
        <f>YEAR(Table3[[#This Row],[usage_date]])</f>
        <v>2024</v>
      </c>
      <c r="F4827" s="14">
        <v>0.3</v>
      </c>
      <c r="G4827">
        <v>233</v>
      </c>
      <c r="H4827" t="s">
        <v>13</v>
      </c>
      <c r="I4827" t="str">
        <f t="shared" si="75"/>
        <v>Normal Usage</v>
      </c>
    </row>
    <row r="4828" spans="1:9" x14ac:dyDescent="0.3">
      <c r="A4828">
        <v>14827</v>
      </c>
      <c r="B4828">
        <v>195</v>
      </c>
      <c r="C4828" s="2">
        <v>45123</v>
      </c>
      <c r="D4828" s="2" t="str">
        <f>TEXT(Table3[[#This Row],[usage_date]],"mmmm")</f>
        <v>July</v>
      </c>
      <c r="E4828" s="9">
        <f>YEAR(Table3[[#This Row],[usage_date]])</f>
        <v>2023</v>
      </c>
      <c r="F4828" s="14">
        <v>0.22</v>
      </c>
      <c r="G4828">
        <v>15</v>
      </c>
      <c r="H4828" t="s">
        <v>12</v>
      </c>
      <c r="I4828" t="str">
        <f t="shared" si="75"/>
        <v>Normal Usage</v>
      </c>
    </row>
    <row r="4829" spans="1:9" x14ac:dyDescent="0.3">
      <c r="A4829">
        <v>14828</v>
      </c>
      <c r="B4829">
        <v>490</v>
      </c>
      <c r="C4829" s="2">
        <v>45410</v>
      </c>
      <c r="D4829" s="2" t="str">
        <f>TEXT(Table3[[#This Row],[usage_date]],"mmmm")</f>
        <v>April</v>
      </c>
      <c r="E4829" s="9">
        <f>YEAR(Table3[[#This Row],[usage_date]])</f>
        <v>2024</v>
      </c>
      <c r="F4829" s="14">
        <v>1.04</v>
      </c>
      <c r="G4829">
        <v>173</v>
      </c>
      <c r="H4829" t="s">
        <v>12</v>
      </c>
      <c r="I4829" t="str">
        <f t="shared" si="75"/>
        <v>Normal Usage</v>
      </c>
    </row>
    <row r="4830" spans="1:9" x14ac:dyDescent="0.3">
      <c r="A4830">
        <v>14829</v>
      </c>
      <c r="B4830">
        <v>283</v>
      </c>
      <c r="C4830" s="2">
        <v>45168</v>
      </c>
      <c r="D4830" s="2" t="str">
        <f>TEXT(Table3[[#This Row],[usage_date]],"mmmm")</f>
        <v>August</v>
      </c>
      <c r="E4830" s="9">
        <f>YEAR(Table3[[#This Row],[usage_date]])</f>
        <v>2023</v>
      </c>
      <c r="F4830" s="14">
        <v>0.93</v>
      </c>
      <c r="G4830">
        <v>186</v>
      </c>
      <c r="H4830" t="s">
        <v>13</v>
      </c>
      <c r="I4830" t="str">
        <f t="shared" si="75"/>
        <v>Normal Usage</v>
      </c>
    </row>
    <row r="4831" spans="1:9" x14ac:dyDescent="0.3">
      <c r="A4831">
        <v>14830</v>
      </c>
      <c r="B4831">
        <v>369</v>
      </c>
      <c r="C4831" s="2">
        <v>45341</v>
      </c>
      <c r="D4831" s="2" t="str">
        <f>TEXT(Table3[[#This Row],[usage_date]],"mmmm")</f>
        <v>February</v>
      </c>
      <c r="E4831" s="9">
        <f>YEAR(Table3[[#This Row],[usage_date]])</f>
        <v>2024</v>
      </c>
      <c r="F4831" s="14">
        <v>7.68</v>
      </c>
      <c r="G4831">
        <v>293</v>
      </c>
      <c r="H4831" t="s">
        <v>13</v>
      </c>
      <c r="I4831" t="str">
        <f t="shared" si="75"/>
        <v>High Usage</v>
      </c>
    </row>
    <row r="4832" spans="1:9" x14ac:dyDescent="0.3">
      <c r="A4832">
        <v>14831</v>
      </c>
      <c r="B4832">
        <v>182</v>
      </c>
      <c r="C4832" s="2">
        <v>44584</v>
      </c>
      <c r="D4832" s="2" t="str">
        <f>TEXT(Table3[[#This Row],[usage_date]],"mmmm")</f>
        <v>January</v>
      </c>
      <c r="E4832" s="9">
        <f>YEAR(Table3[[#This Row],[usage_date]])</f>
        <v>2022</v>
      </c>
      <c r="F4832" s="14">
        <v>3.83</v>
      </c>
      <c r="G4832">
        <v>224</v>
      </c>
      <c r="H4832" t="s">
        <v>12</v>
      </c>
      <c r="I4832" t="str">
        <f t="shared" si="75"/>
        <v>Normal Usage</v>
      </c>
    </row>
    <row r="4833" spans="1:9" x14ac:dyDescent="0.3">
      <c r="A4833">
        <v>14832</v>
      </c>
      <c r="B4833">
        <v>450</v>
      </c>
      <c r="C4833" s="2">
        <v>45127</v>
      </c>
      <c r="D4833" s="2" t="str">
        <f>TEXT(Table3[[#This Row],[usage_date]],"mmmm")</f>
        <v>July</v>
      </c>
      <c r="E4833" s="9">
        <f>YEAR(Table3[[#This Row],[usage_date]])</f>
        <v>2023</v>
      </c>
      <c r="F4833" s="14">
        <v>2.7</v>
      </c>
      <c r="G4833">
        <v>273</v>
      </c>
      <c r="H4833" t="s">
        <v>12</v>
      </c>
      <c r="I4833" t="str">
        <f t="shared" si="75"/>
        <v>Normal Usage</v>
      </c>
    </row>
    <row r="4834" spans="1:9" x14ac:dyDescent="0.3">
      <c r="A4834">
        <v>14833</v>
      </c>
      <c r="B4834">
        <v>305</v>
      </c>
      <c r="C4834" s="2">
        <v>45447</v>
      </c>
      <c r="D4834" s="2" t="str">
        <f>TEXT(Table3[[#This Row],[usage_date]],"mmmm")</f>
        <v>June</v>
      </c>
      <c r="E4834" s="9">
        <f>YEAR(Table3[[#This Row],[usage_date]])</f>
        <v>2024</v>
      </c>
      <c r="F4834" s="14">
        <v>1.82</v>
      </c>
      <c r="G4834">
        <v>11</v>
      </c>
      <c r="H4834" t="s">
        <v>12</v>
      </c>
      <c r="I4834" t="str">
        <f t="shared" si="75"/>
        <v>Normal Usage</v>
      </c>
    </row>
    <row r="4835" spans="1:9" x14ac:dyDescent="0.3">
      <c r="A4835">
        <v>14834</v>
      </c>
      <c r="B4835">
        <v>144</v>
      </c>
      <c r="C4835" s="2">
        <v>45327</v>
      </c>
      <c r="D4835" s="2" t="str">
        <f>TEXT(Table3[[#This Row],[usage_date]],"mmmm")</f>
        <v>February</v>
      </c>
      <c r="E4835" s="9">
        <f>YEAR(Table3[[#This Row],[usage_date]])</f>
        <v>2024</v>
      </c>
      <c r="F4835" s="14">
        <v>0.46</v>
      </c>
      <c r="G4835">
        <v>218</v>
      </c>
      <c r="H4835" t="s">
        <v>12</v>
      </c>
      <c r="I4835" t="str">
        <f t="shared" si="75"/>
        <v>Normal Usage</v>
      </c>
    </row>
    <row r="4836" spans="1:9" x14ac:dyDescent="0.3">
      <c r="A4836">
        <v>14835</v>
      </c>
      <c r="B4836">
        <v>386</v>
      </c>
      <c r="C4836" s="2">
        <v>44796</v>
      </c>
      <c r="D4836" s="2" t="str">
        <f>TEXT(Table3[[#This Row],[usage_date]],"mmmm")</f>
        <v>August</v>
      </c>
      <c r="E4836" s="9">
        <f>YEAR(Table3[[#This Row],[usage_date]])</f>
        <v>2022</v>
      </c>
      <c r="F4836" s="14">
        <v>9.59</v>
      </c>
      <c r="G4836">
        <v>0</v>
      </c>
      <c r="H4836" t="s">
        <v>12</v>
      </c>
      <c r="I4836" t="str">
        <f t="shared" si="75"/>
        <v>High Usage</v>
      </c>
    </row>
    <row r="4837" spans="1:9" x14ac:dyDescent="0.3">
      <c r="A4837">
        <v>14836</v>
      </c>
      <c r="B4837">
        <v>316</v>
      </c>
      <c r="C4837" s="2">
        <v>44620</v>
      </c>
      <c r="D4837" s="2" t="str">
        <f>TEXT(Table3[[#This Row],[usage_date]],"mmmm")</f>
        <v>February</v>
      </c>
      <c r="E4837" s="9">
        <f>YEAR(Table3[[#This Row],[usage_date]])</f>
        <v>2022</v>
      </c>
      <c r="F4837" s="14">
        <v>1.18</v>
      </c>
      <c r="G4837">
        <v>110</v>
      </c>
      <c r="H4837" t="s">
        <v>12</v>
      </c>
      <c r="I4837" t="str">
        <f t="shared" si="75"/>
        <v>Normal Usage</v>
      </c>
    </row>
    <row r="4838" spans="1:9" x14ac:dyDescent="0.3">
      <c r="A4838">
        <v>14837</v>
      </c>
      <c r="B4838">
        <v>182</v>
      </c>
      <c r="C4838" s="2">
        <v>44725</v>
      </c>
      <c r="D4838" s="2" t="str">
        <f>TEXT(Table3[[#This Row],[usage_date]],"mmmm")</f>
        <v>June</v>
      </c>
      <c r="E4838" s="9">
        <f>YEAR(Table3[[#This Row],[usage_date]])</f>
        <v>2022</v>
      </c>
      <c r="F4838" s="14">
        <v>0.28000000000000003</v>
      </c>
      <c r="G4838">
        <v>276</v>
      </c>
      <c r="H4838" t="s">
        <v>12</v>
      </c>
      <c r="I4838" t="str">
        <f t="shared" si="75"/>
        <v>Normal Usage</v>
      </c>
    </row>
    <row r="4839" spans="1:9" x14ac:dyDescent="0.3">
      <c r="A4839">
        <v>14838</v>
      </c>
      <c r="B4839">
        <v>30</v>
      </c>
      <c r="C4839" s="2">
        <v>45332</v>
      </c>
      <c r="D4839" s="2" t="str">
        <f>TEXT(Table3[[#This Row],[usage_date]],"mmmm")</f>
        <v>February</v>
      </c>
      <c r="E4839" s="9">
        <f>YEAR(Table3[[#This Row],[usage_date]])</f>
        <v>2024</v>
      </c>
      <c r="F4839" s="14">
        <v>1.7</v>
      </c>
      <c r="G4839">
        <v>128</v>
      </c>
      <c r="H4839" t="s">
        <v>12</v>
      </c>
      <c r="I4839" t="str">
        <f t="shared" si="75"/>
        <v>Normal Usage</v>
      </c>
    </row>
    <row r="4840" spans="1:9" x14ac:dyDescent="0.3">
      <c r="A4840">
        <v>14839</v>
      </c>
      <c r="B4840">
        <v>84</v>
      </c>
      <c r="C4840" s="2">
        <v>45387</v>
      </c>
      <c r="D4840" s="2" t="str">
        <f>TEXT(Table3[[#This Row],[usage_date]],"mmmm")</f>
        <v>April</v>
      </c>
      <c r="E4840" s="9">
        <f>YEAR(Table3[[#This Row],[usage_date]])</f>
        <v>2024</v>
      </c>
      <c r="F4840" s="14">
        <v>5.18</v>
      </c>
      <c r="G4840">
        <v>92</v>
      </c>
      <c r="H4840" t="s">
        <v>13</v>
      </c>
      <c r="I4840" t="str">
        <f t="shared" si="75"/>
        <v>Normal Usage</v>
      </c>
    </row>
    <row r="4841" spans="1:9" x14ac:dyDescent="0.3">
      <c r="A4841">
        <v>14840</v>
      </c>
      <c r="B4841">
        <v>166</v>
      </c>
      <c r="C4841" s="2">
        <v>44777</v>
      </c>
      <c r="D4841" s="2" t="str">
        <f>TEXT(Table3[[#This Row],[usage_date]],"mmmm")</f>
        <v>August</v>
      </c>
      <c r="E4841" s="9">
        <f>YEAR(Table3[[#This Row],[usage_date]])</f>
        <v>2022</v>
      </c>
      <c r="F4841" s="14">
        <v>5.46</v>
      </c>
      <c r="G4841">
        <v>38</v>
      </c>
      <c r="H4841" t="s">
        <v>12</v>
      </c>
      <c r="I4841" t="str">
        <f t="shared" si="75"/>
        <v>Normal Usage</v>
      </c>
    </row>
    <row r="4842" spans="1:9" x14ac:dyDescent="0.3">
      <c r="A4842">
        <v>14841</v>
      </c>
      <c r="B4842">
        <v>284</v>
      </c>
      <c r="C4842" s="2">
        <v>44744</v>
      </c>
      <c r="D4842" s="2" t="str">
        <f>TEXT(Table3[[#This Row],[usage_date]],"mmmm")</f>
        <v>July</v>
      </c>
      <c r="E4842" s="9">
        <f>YEAR(Table3[[#This Row],[usage_date]])</f>
        <v>2022</v>
      </c>
      <c r="F4842" s="14">
        <v>0.03</v>
      </c>
      <c r="G4842">
        <v>158</v>
      </c>
      <c r="H4842" t="s">
        <v>12</v>
      </c>
      <c r="I4842" t="str">
        <f t="shared" si="75"/>
        <v>Normal Usage</v>
      </c>
    </row>
    <row r="4843" spans="1:9" x14ac:dyDescent="0.3">
      <c r="A4843">
        <v>14842</v>
      </c>
      <c r="B4843">
        <v>281</v>
      </c>
      <c r="C4843" s="2">
        <v>45130</v>
      </c>
      <c r="D4843" s="2" t="str">
        <f>TEXT(Table3[[#This Row],[usage_date]],"mmmm")</f>
        <v>July</v>
      </c>
      <c r="E4843" s="9">
        <f>YEAR(Table3[[#This Row],[usage_date]])</f>
        <v>2023</v>
      </c>
      <c r="F4843" s="14">
        <v>5.44</v>
      </c>
      <c r="G4843">
        <v>185</v>
      </c>
      <c r="H4843" t="s">
        <v>13</v>
      </c>
      <c r="I4843" t="str">
        <f t="shared" si="75"/>
        <v>Normal Usage</v>
      </c>
    </row>
    <row r="4844" spans="1:9" x14ac:dyDescent="0.3">
      <c r="A4844">
        <v>14843</v>
      </c>
      <c r="B4844">
        <v>96</v>
      </c>
      <c r="C4844" s="2">
        <v>45218</v>
      </c>
      <c r="D4844" s="2" t="str">
        <f>TEXT(Table3[[#This Row],[usage_date]],"mmmm")</f>
        <v>October</v>
      </c>
      <c r="E4844" s="9">
        <f>YEAR(Table3[[#This Row],[usage_date]])</f>
        <v>2023</v>
      </c>
      <c r="F4844" s="14">
        <v>0.79</v>
      </c>
      <c r="G4844">
        <v>255</v>
      </c>
      <c r="H4844" t="s">
        <v>12</v>
      </c>
      <c r="I4844" t="str">
        <f t="shared" si="75"/>
        <v>Normal Usage</v>
      </c>
    </row>
    <row r="4845" spans="1:9" x14ac:dyDescent="0.3">
      <c r="A4845">
        <v>14844</v>
      </c>
      <c r="B4845">
        <v>381</v>
      </c>
      <c r="C4845" s="2">
        <v>44651</v>
      </c>
      <c r="D4845" s="2" t="str">
        <f>TEXT(Table3[[#This Row],[usage_date]],"mmmm")</f>
        <v>March</v>
      </c>
      <c r="E4845" s="9">
        <f>YEAR(Table3[[#This Row],[usage_date]])</f>
        <v>2022</v>
      </c>
      <c r="F4845" s="14">
        <v>0.1</v>
      </c>
      <c r="G4845">
        <v>238</v>
      </c>
      <c r="H4845" t="s">
        <v>12</v>
      </c>
      <c r="I4845" t="str">
        <f t="shared" si="75"/>
        <v>Normal Usage</v>
      </c>
    </row>
    <row r="4846" spans="1:9" x14ac:dyDescent="0.3">
      <c r="A4846">
        <v>14845</v>
      </c>
      <c r="B4846">
        <v>266</v>
      </c>
      <c r="C4846" s="2">
        <v>44872</v>
      </c>
      <c r="D4846" s="2" t="str">
        <f>TEXT(Table3[[#This Row],[usage_date]],"mmmm")</f>
        <v>November</v>
      </c>
      <c r="E4846" s="9">
        <f>YEAR(Table3[[#This Row],[usage_date]])</f>
        <v>2022</v>
      </c>
      <c r="F4846" s="14">
        <v>4.71</v>
      </c>
      <c r="G4846">
        <v>103</v>
      </c>
      <c r="H4846" t="s">
        <v>12</v>
      </c>
      <c r="I4846" t="str">
        <f t="shared" si="75"/>
        <v>Normal Usage</v>
      </c>
    </row>
    <row r="4847" spans="1:9" x14ac:dyDescent="0.3">
      <c r="A4847">
        <v>14846</v>
      </c>
      <c r="B4847">
        <v>444</v>
      </c>
      <c r="C4847" s="2">
        <v>45118</v>
      </c>
      <c r="D4847" s="2" t="str">
        <f>TEXT(Table3[[#This Row],[usage_date]],"mmmm")</f>
        <v>July</v>
      </c>
      <c r="E4847" s="9">
        <f>YEAR(Table3[[#This Row],[usage_date]])</f>
        <v>2023</v>
      </c>
      <c r="F4847" s="14">
        <v>4.99</v>
      </c>
      <c r="G4847">
        <v>28</v>
      </c>
      <c r="H4847" t="s">
        <v>12</v>
      </c>
      <c r="I4847" t="str">
        <f t="shared" si="75"/>
        <v>Normal Usage</v>
      </c>
    </row>
    <row r="4848" spans="1:9" x14ac:dyDescent="0.3">
      <c r="A4848">
        <v>14847</v>
      </c>
      <c r="B4848">
        <v>298</v>
      </c>
      <c r="C4848" s="2">
        <v>44818</v>
      </c>
      <c r="D4848" s="2" t="str">
        <f>TEXT(Table3[[#This Row],[usage_date]],"mmmm")</f>
        <v>September</v>
      </c>
      <c r="E4848" s="9">
        <f>YEAR(Table3[[#This Row],[usage_date]])</f>
        <v>2022</v>
      </c>
      <c r="F4848" s="14">
        <v>2.27</v>
      </c>
      <c r="G4848">
        <v>88</v>
      </c>
      <c r="H4848" t="s">
        <v>12</v>
      </c>
      <c r="I4848" t="str">
        <f t="shared" si="75"/>
        <v>Normal Usage</v>
      </c>
    </row>
    <row r="4849" spans="1:9" x14ac:dyDescent="0.3">
      <c r="A4849">
        <v>14848</v>
      </c>
      <c r="B4849">
        <v>296</v>
      </c>
      <c r="C4849" s="2">
        <v>45094</v>
      </c>
      <c r="D4849" s="2" t="str">
        <f>TEXT(Table3[[#This Row],[usage_date]],"mmmm")</f>
        <v>June</v>
      </c>
      <c r="E4849" s="9">
        <f>YEAR(Table3[[#This Row],[usage_date]])</f>
        <v>2023</v>
      </c>
      <c r="F4849" s="14">
        <v>2.14</v>
      </c>
      <c r="G4849">
        <v>50</v>
      </c>
      <c r="H4849" t="s">
        <v>12</v>
      </c>
      <c r="I4849" t="str">
        <f t="shared" si="75"/>
        <v>Normal Usage</v>
      </c>
    </row>
    <row r="4850" spans="1:9" x14ac:dyDescent="0.3">
      <c r="A4850">
        <v>14849</v>
      </c>
      <c r="B4850">
        <v>225</v>
      </c>
      <c r="C4850" s="2">
        <v>45094</v>
      </c>
      <c r="D4850" s="2" t="str">
        <f>TEXT(Table3[[#This Row],[usage_date]],"mmmm")</f>
        <v>June</v>
      </c>
      <c r="E4850" s="9">
        <f>YEAR(Table3[[#This Row],[usage_date]])</f>
        <v>2023</v>
      </c>
      <c r="F4850" s="14">
        <v>4.1900000000000004</v>
      </c>
      <c r="G4850">
        <v>146</v>
      </c>
      <c r="H4850" t="s">
        <v>12</v>
      </c>
      <c r="I4850" t="str">
        <f t="shared" si="75"/>
        <v>Normal Usage</v>
      </c>
    </row>
    <row r="4851" spans="1:9" x14ac:dyDescent="0.3">
      <c r="A4851">
        <v>14850</v>
      </c>
      <c r="B4851">
        <v>333</v>
      </c>
      <c r="C4851" s="2">
        <v>44613</v>
      </c>
      <c r="D4851" s="2" t="str">
        <f>TEXT(Table3[[#This Row],[usage_date]],"mmmm")</f>
        <v>February</v>
      </c>
      <c r="E4851" s="9">
        <f>YEAR(Table3[[#This Row],[usage_date]])</f>
        <v>2022</v>
      </c>
      <c r="F4851" s="14">
        <v>3.86</v>
      </c>
      <c r="G4851">
        <v>35</v>
      </c>
      <c r="H4851" t="s">
        <v>12</v>
      </c>
      <c r="I4851" t="str">
        <f t="shared" si="75"/>
        <v>Normal Usage</v>
      </c>
    </row>
    <row r="4852" spans="1:9" x14ac:dyDescent="0.3">
      <c r="A4852">
        <v>14851</v>
      </c>
      <c r="B4852">
        <v>361</v>
      </c>
      <c r="C4852" s="2">
        <v>44899</v>
      </c>
      <c r="D4852" s="2" t="str">
        <f>TEXT(Table3[[#This Row],[usage_date]],"mmmm")</f>
        <v>December</v>
      </c>
      <c r="E4852" s="9">
        <f>YEAR(Table3[[#This Row],[usage_date]])</f>
        <v>2022</v>
      </c>
      <c r="F4852" s="14">
        <v>5.52</v>
      </c>
      <c r="G4852">
        <v>283</v>
      </c>
      <c r="H4852" t="s">
        <v>12</v>
      </c>
      <c r="I4852" t="str">
        <f t="shared" si="75"/>
        <v>Normal Usage</v>
      </c>
    </row>
    <row r="4853" spans="1:9" x14ac:dyDescent="0.3">
      <c r="A4853">
        <v>14852</v>
      </c>
      <c r="B4853">
        <v>374</v>
      </c>
      <c r="C4853" s="2">
        <v>44732</v>
      </c>
      <c r="D4853" s="2" t="str">
        <f>TEXT(Table3[[#This Row],[usage_date]],"mmmm")</f>
        <v>June</v>
      </c>
      <c r="E4853" s="9">
        <f>YEAR(Table3[[#This Row],[usage_date]])</f>
        <v>2022</v>
      </c>
      <c r="F4853" s="14">
        <v>2.0099999999999998</v>
      </c>
      <c r="G4853">
        <v>100</v>
      </c>
      <c r="H4853" t="s">
        <v>12</v>
      </c>
      <c r="I4853" t="str">
        <f t="shared" si="75"/>
        <v>Normal Usage</v>
      </c>
    </row>
    <row r="4854" spans="1:9" x14ac:dyDescent="0.3">
      <c r="A4854">
        <v>14853</v>
      </c>
      <c r="B4854">
        <v>42</v>
      </c>
      <c r="C4854" s="2">
        <v>44628</v>
      </c>
      <c r="D4854" s="2" t="str">
        <f>TEXT(Table3[[#This Row],[usage_date]],"mmmm")</f>
        <v>March</v>
      </c>
      <c r="E4854" s="9">
        <f>YEAR(Table3[[#This Row],[usage_date]])</f>
        <v>2022</v>
      </c>
      <c r="F4854" s="14">
        <v>8.58</v>
      </c>
      <c r="G4854">
        <v>106</v>
      </c>
      <c r="H4854" t="s">
        <v>12</v>
      </c>
      <c r="I4854" t="str">
        <f t="shared" si="75"/>
        <v>High Usage</v>
      </c>
    </row>
    <row r="4855" spans="1:9" x14ac:dyDescent="0.3">
      <c r="A4855">
        <v>14854</v>
      </c>
      <c r="B4855">
        <v>303</v>
      </c>
      <c r="C4855" s="2">
        <v>45186</v>
      </c>
      <c r="D4855" s="2" t="str">
        <f>TEXT(Table3[[#This Row],[usage_date]],"mmmm")</f>
        <v>September</v>
      </c>
      <c r="E4855" s="9">
        <f>YEAR(Table3[[#This Row],[usage_date]])</f>
        <v>2023</v>
      </c>
      <c r="F4855" s="14">
        <v>13.9</v>
      </c>
      <c r="G4855">
        <v>290</v>
      </c>
      <c r="H4855" t="s">
        <v>12</v>
      </c>
      <c r="I4855" t="str">
        <f t="shared" si="75"/>
        <v>High Usage</v>
      </c>
    </row>
    <row r="4856" spans="1:9" x14ac:dyDescent="0.3">
      <c r="A4856">
        <v>14855</v>
      </c>
      <c r="B4856">
        <v>421</v>
      </c>
      <c r="C4856" s="2">
        <v>44861</v>
      </c>
      <c r="D4856" s="2" t="str">
        <f>TEXT(Table3[[#This Row],[usage_date]],"mmmm")</f>
        <v>October</v>
      </c>
      <c r="E4856" s="9">
        <f>YEAR(Table3[[#This Row],[usage_date]])</f>
        <v>2022</v>
      </c>
      <c r="F4856" s="14">
        <v>0.31</v>
      </c>
      <c r="G4856">
        <v>104</v>
      </c>
      <c r="H4856" t="s">
        <v>13</v>
      </c>
      <c r="I4856" t="str">
        <f t="shared" si="75"/>
        <v>Normal Usage</v>
      </c>
    </row>
    <row r="4857" spans="1:9" x14ac:dyDescent="0.3">
      <c r="A4857">
        <v>14856</v>
      </c>
      <c r="B4857">
        <v>246</v>
      </c>
      <c r="C4857" s="2">
        <v>45233</v>
      </c>
      <c r="D4857" s="2" t="str">
        <f>TEXT(Table3[[#This Row],[usage_date]],"mmmm")</f>
        <v>November</v>
      </c>
      <c r="E4857" s="9">
        <f>YEAR(Table3[[#This Row],[usage_date]])</f>
        <v>2023</v>
      </c>
      <c r="F4857" s="14">
        <v>4.74</v>
      </c>
      <c r="G4857">
        <v>220</v>
      </c>
      <c r="H4857" t="s">
        <v>12</v>
      </c>
      <c r="I4857" t="str">
        <f t="shared" si="75"/>
        <v>Normal Usage</v>
      </c>
    </row>
    <row r="4858" spans="1:9" x14ac:dyDescent="0.3">
      <c r="A4858">
        <v>14857</v>
      </c>
      <c r="B4858">
        <v>208</v>
      </c>
      <c r="C4858" s="2">
        <v>45339</v>
      </c>
      <c r="D4858" s="2" t="str">
        <f>TEXT(Table3[[#This Row],[usage_date]],"mmmm")</f>
        <v>February</v>
      </c>
      <c r="E4858" s="9">
        <f>YEAR(Table3[[#This Row],[usage_date]])</f>
        <v>2024</v>
      </c>
      <c r="F4858" s="14">
        <v>1.73</v>
      </c>
      <c r="G4858">
        <v>75</v>
      </c>
      <c r="H4858" t="s">
        <v>12</v>
      </c>
      <c r="I4858" t="str">
        <f t="shared" si="75"/>
        <v>Normal Usage</v>
      </c>
    </row>
    <row r="4859" spans="1:9" x14ac:dyDescent="0.3">
      <c r="A4859">
        <v>14858</v>
      </c>
      <c r="B4859">
        <v>237</v>
      </c>
      <c r="C4859" s="2">
        <v>45393</v>
      </c>
      <c r="D4859" s="2" t="str">
        <f>TEXT(Table3[[#This Row],[usage_date]],"mmmm")</f>
        <v>April</v>
      </c>
      <c r="E4859" s="9">
        <f>YEAR(Table3[[#This Row],[usage_date]])</f>
        <v>2024</v>
      </c>
      <c r="F4859" s="14">
        <v>1.23</v>
      </c>
      <c r="G4859">
        <v>226</v>
      </c>
      <c r="H4859" t="s">
        <v>12</v>
      </c>
      <c r="I4859" t="str">
        <f t="shared" si="75"/>
        <v>Normal Usage</v>
      </c>
    </row>
    <row r="4860" spans="1:9" x14ac:dyDescent="0.3">
      <c r="A4860">
        <v>14859</v>
      </c>
      <c r="B4860">
        <v>22</v>
      </c>
      <c r="C4860" s="2">
        <v>44793</v>
      </c>
      <c r="D4860" s="2" t="str">
        <f>TEXT(Table3[[#This Row],[usage_date]],"mmmm")</f>
        <v>August</v>
      </c>
      <c r="E4860" s="9">
        <f>YEAR(Table3[[#This Row],[usage_date]])</f>
        <v>2022</v>
      </c>
      <c r="F4860" s="14">
        <v>2.37</v>
      </c>
      <c r="G4860">
        <v>83</v>
      </c>
      <c r="H4860" t="s">
        <v>12</v>
      </c>
      <c r="I4860" t="str">
        <f t="shared" si="75"/>
        <v>Normal Usage</v>
      </c>
    </row>
    <row r="4861" spans="1:9" x14ac:dyDescent="0.3">
      <c r="A4861">
        <v>14860</v>
      </c>
      <c r="B4861">
        <v>185</v>
      </c>
      <c r="C4861" s="2">
        <v>45398</v>
      </c>
      <c r="D4861" s="2" t="str">
        <f>TEXT(Table3[[#This Row],[usage_date]],"mmmm")</f>
        <v>April</v>
      </c>
      <c r="E4861" s="9">
        <f>YEAR(Table3[[#This Row],[usage_date]])</f>
        <v>2024</v>
      </c>
      <c r="F4861" s="14">
        <v>0.14000000000000001</v>
      </c>
      <c r="G4861">
        <v>75</v>
      </c>
      <c r="H4861" t="s">
        <v>13</v>
      </c>
      <c r="I4861" t="str">
        <f t="shared" si="75"/>
        <v>Normal Usage</v>
      </c>
    </row>
    <row r="4862" spans="1:9" x14ac:dyDescent="0.3">
      <c r="A4862">
        <v>14861</v>
      </c>
      <c r="B4862">
        <v>468</v>
      </c>
      <c r="C4862" s="2">
        <v>44629</v>
      </c>
      <c r="D4862" s="2" t="str">
        <f>TEXT(Table3[[#This Row],[usage_date]],"mmmm")</f>
        <v>March</v>
      </c>
      <c r="E4862" s="9">
        <f>YEAR(Table3[[#This Row],[usage_date]])</f>
        <v>2022</v>
      </c>
      <c r="F4862" s="14">
        <v>1.77</v>
      </c>
      <c r="G4862">
        <v>248</v>
      </c>
      <c r="H4862" t="s">
        <v>13</v>
      </c>
      <c r="I4862" t="str">
        <f t="shared" si="75"/>
        <v>Normal Usage</v>
      </c>
    </row>
    <row r="4863" spans="1:9" x14ac:dyDescent="0.3">
      <c r="A4863">
        <v>14862</v>
      </c>
      <c r="B4863">
        <v>242</v>
      </c>
      <c r="C4863" s="2">
        <v>45067</v>
      </c>
      <c r="D4863" s="2" t="str">
        <f>TEXT(Table3[[#This Row],[usage_date]],"mmmm")</f>
        <v>May</v>
      </c>
      <c r="E4863" s="9">
        <f>YEAR(Table3[[#This Row],[usage_date]])</f>
        <v>2023</v>
      </c>
      <c r="F4863" s="14">
        <v>5.12</v>
      </c>
      <c r="G4863">
        <v>254</v>
      </c>
      <c r="H4863" t="s">
        <v>12</v>
      </c>
      <c r="I4863" t="str">
        <f t="shared" si="75"/>
        <v>Normal Usage</v>
      </c>
    </row>
    <row r="4864" spans="1:9" x14ac:dyDescent="0.3">
      <c r="A4864">
        <v>14863</v>
      </c>
      <c r="B4864">
        <v>363</v>
      </c>
      <c r="C4864" s="2">
        <v>44589</v>
      </c>
      <c r="D4864" s="2" t="str">
        <f>TEXT(Table3[[#This Row],[usage_date]],"mmmm")</f>
        <v>January</v>
      </c>
      <c r="E4864" s="9">
        <f>YEAR(Table3[[#This Row],[usage_date]])</f>
        <v>2022</v>
      </c>
      <c r="F4864" s="14">
        <v>0.6</v>
      </c>
      <c r="G4864">
        <v>49</v>
      </c>
      <c r="H4864" t="s">
        <v>13</v>
      </c>
      <c r="I4864" t="str">
        <f t="shared" si="75"/>
        <v>Normal Usage</v>
      </c>
    </row>
    <row r="4865" spans="1:9" x14ac:dyDescent="0.3">
      <c r="A4865">
        <v>14864</v>
      </c>
      <c r="B4865">
        <v>283</v>
      </c>
      <c r="C4865" s="2">
        <v>45189</v>
      </c>
      <c r="D4865" s="2" t="str">
        <f>TEXT(Table3[[#This Row],[usage_date]],"mmmm")</f>
        <v>September</v>
      </c>
      <c r="E4865" s="9">
        <f>YEAR(Table3[[#This Row],[usage_date]])</f>
        <v>2023</v>
      </c>
      <c r="F4865" s="14">
        <v>1.39</v>
      </c>
      <c r="G4865">
        <v>209</v>
      </c>
      <c r="H4865" t="s">
        <v>12</v>
      </c>
      <c r="I4865" t="str">
        <f t="shared" si="75"/>
        <v>Normal Usage</v>
      </c>
    </row>
    <row r="4866" spans="1:9" x14ac:dyDescent="0.3">
      <c r="A4866">
        <v>14865</v>
      </c>
      <c r="B4866">
        <v>41</v>
      </c>
      <c r="C4866" s="2">
        <v>44612</v>
      </c>
      <c r="D4866" s="2" t="str">
        <f>TEXT(Table3[[#This Row],[usage_date]],"mmmm")</f>
        <v>February</v>
      </c>
      <c r="E4866" s="9">
        <f>YEAR(Table3[[#This Row],[usage_date]])</f>
        <v>2022</v>
      </c>
      <c r="F4866" s="14">
        <v>7.01</v>
      </c>
      <c r="G4866">
        <v>157</v>
      </c>
      <c r="H4866" t="s">
        <v>13</v>
      </c>
      <c r="I4866" t="str">
        <f t="shared" ref="I4866:I4929" si="76">IF(F4866&gt;6,"High Usage","Normal Usage")</f>
        <v>High Usage</v>
      </c>
    </row>
    <row r="4867" spans="1:9" x14ac:dyDescent="0.3">
      <c r="A4867">
        <v>14866</v>
      </c>
      <c r="B4867">
        <v>336</v>
      </c>
      <c r="C4867" s="2">
        <v>45254</v>
      </c>
      <c r="D4867" s="2" t="str">
        <f>TEXT(Table3[[#This Row],[usage_date]],"mmmm")</f>
        <v>November</v>
      </c>
      <c r="E4867" s="9">
        <f>YEAR(Table3[[#This Row],[usage_date]])</f>
        <v>2023</v>
      </c>
      <c r="F4867" s="14">
        <v>1.4</v>
      </c>
      <c r="G4867">
        <v>232</v>
      </c>
      <c r="H4867" t="s">
        <v>12</v>
      </c>
      <c r="I4867" t="str">
        <f t="shared" si="76"/>
        <v>Normal Usage</v>
      </c>
    </row>
    <row r="4868" spans="1:9" x14ac:dyDescent="0.3">
      <c r="A4868">
        <v>14867</v>
      </c>
      <c r="B4868">
        <v>162</v>
      </c>
      <c r="C4868" s="2">
        <v>44821</v>
      </c>
      <c r="D4868" s="2" t="str">
        <f>TEXT(Table3[[#This Row],[usage_date]],"mmmm")</f>
        <v>September</v>
      </c>
      <c r="E4868" s="9">
        <f>YEAR(Table3[[#This Row],[usage_date]])</f>
        <v>2022</v>
      </c>
      <c r="F4868" s="14">
        <v>1.1100000000000001</v>
      </c>
      <c r="G4868">
        <v>76</v>
      </c>
      <c r="H4868" t="s">
        <v>12</v>
      </c>
      <c r="I4868" t="str">
        <f t="shared" si="76"/>
        <v>Normal Usage</v>
      </c>
    </row>
    <row r="4869" spans="1:9" x14ac:dyDescent="0.3">
      <c r="A4869">
        <v>14868</v>
      </c>
      <c r="B4869">
        <v>160</v>
      </c>
      <c r="C4869" s="2">
        <v>45152</v>
      </c>
      <c r="D4869" s="2" t="str">
        <f>TEXT(Table3[[#This Row],[usage_date]],"mmmm")</f>
        <v>August</v>
      </c>
      <c r="E4869" s="9">
        <f>YEAR(Table3[[#This Row],[usage_date]])</f>
        <v>2023</v>
      </c>
      <c r="F4869" s="14">
        <v>1.45</v>
      </c>
      <c r="G4869">
        <v>222</v>
      </c>
      <c r="H4869" t="s">
        <v>13</v>
      </c>
      <c r="I4869" t="str">
        <f t="shared" si="76"/>
        <v>Normal Usage</v>
      </c>
    </row>
    <row r="4870" spans="1:9" x14ac:dyDescent="0.3">
      <c r="A4870">
        <v>14869</v>
      </c>
      <c r="B4870">
        <v>474</v>
      </c>
      <c r="C4870" s="2">
        <v>45346</v>
      </c>
      <c r="D4870" s="2" t="str">
        <f>TEXT(Table3[[#This Row],[usage_date]],"mmmm")</f>
        <v>February</v>
      </c>
      <c r="E4870" s="9">
        <f>YEAR(Table3[[#This Row],[usage_date]])</f>
        <v>2024</v>
      </c>
      <c r="F4870" s="14">
        <v>1.83</v>
      </c>
      <c r="G4870">
        <v>120</v>
      </c>
      <c r="H4870" t="s">
        <v>12</v>
      </c>
      <c r="I4870" t="str">
        <f t="shared" si="76"/>
        <v>Normal Usage</v>
      </c>
    </row>
    <row r="4871" spans="1:9" x14ac:dyDescent="0.3">
      <c r="A4871">
        <v>14870</v>
      </c>
      <c r="B4871">
        <v>89</v>
      </c>
      <c r="C4871" s="2">
        <v>45181</v>
      </c>
      <c r="D4871" s="2" t="str">
        <f>TEXT(Table3[[#This Row],[usage_date]],"mmmm")</f>
        <v>September</v>
      </c>
      <c r="E4871" s="9">
        <f>YEAR(Table3[[#This Row],[usage_date]])</f>
        <v>2023</v>
      </c>
      <c r="F4871" s="14">
        <v>2.5</v>
      </c>
      <c r="G4871">
        <v>106</v>
      </c>
      <c r="H4871" t="s">
        <v>13</v>
      </c>
      <c r="I4871" t="str">
        <f t="shared" si="76"/>
        <v>Normal Usage</v>
      </c>
    </row>
    <row r="4872" spans="1:9" x14ac:dyDescent="0.3">
      <c r="A4872">
        <v>14871</v>
      </c>
      <c r="B4872">
        <v>322</v>
      </c>
      <c r="C4872" s="2">
        <v>45147</v>
      </c>
      <c r="D4872" s="2" t="str">
        <f>TEXT(Table3[[#This Row],[usage_date]],"mmmm")</f>
        <v>August</v>
      </c>
      <c r="E4872" s="9">
        <f>YEAR(Table3[[#This Row],[usage_date]])</f>
        <v>2023</v>
      </c>
      <c r="F4872" s="14">
        <v>4.03</v>
      </c>
      <c r="G4872">
        <v>240</v>
      </c>
      <c r="H4872" t="s">
        <v>12</v>
      </c>
      <c r="I4872" t="str">
        <f t="shared" si="76"/>
        <v>Normal Usage</v>
      </c>
    </row>
    <row r="4873" spans="1:9" x14ac:dyDescent="0.3">
      <c r="A4873">
        <v>14872</v>
      </c>
      <c r="B4873">
        <v>12</v>
      </c>
      <c r="C4873" s="2">
        <v>45248</v>
      </c>
      <c r="D4873" s="2" t="str">
        <f>TEXT(Table3[[#This Row],[usage_date]],"mmmm")</f>
        <v>November</v>
      </c>
      <c r="E4873" s="9">
        <f>YEAR(Table3[[#This Row],[usage_date]])</f>
        <v>2023</v>
      </c>
      <c r="F4873" s="14">
        <v>1.5</v>
      </c>
      <c r="G4873">
        <v>27</v>
      </c>
      <c r="H4873" t="s">
        <v>12</v>
      </c>
      <c r="I4873" t="str">
        <f t="shared" si="76"/>
        <v>Normal Usage</v>
      </c>
    </row>
    <row r="4874" spans="1:9" x14ac:dyDescent="0.3">
      <c r="A4874">
        <v>14873</v>
      </c>
      <c r="B4874">
        <v>424</v>
      </c>
      <c r="C4874" s="2">
        <v>44745</v>
      </c>
      <c r="D4874" s="2" t="str">
        <f>TEXT(Table3[[#This Row],[usage_date]],"mmmm")</f>
        <v>July</v>
      </c>
      <c r="E4874" s="9">
        <f>YEAR(Table3[[#This Row],[usage_date]])</f>
        <v>2022</v>
      </c>
      <c r="F4874" s="14">
        <v>4.25</v>
      </c>
      <c r="G4874">
        <v>191</v>
      </c>
      <c r="H4874" t="s">
        <v>12</v>
      </c>
      <c r="I4874" t="str">
        <f t="shared" si="76"/>
        <v>Normal Usage</v>
      </c>
    </row>
    <row r="4875" spans="1:9" x14ac:dyDescent="0.3">
      <c r="A4875">
        <v>14874</v>
      </c>
      <c r="B4875">
        <v>73</v>
      </c>
      <c r="C4875" s="2">
        <v>44584</v>
      </c>
      <c r="D4875" s="2" t="str">
        <f>TEXT(Table3[[#This Row],[usage_date]],"mmmm")</f>
        <v>January</v>
      </c>
      <c r="E4875" s="9">
        <f>YEAR(Table3[[#This Row],[usage_date]])</f>
        <v>2022</v>
      </c>
      <c r="F4875" s="14">
        <v>1.91</v>
      </c>
      <c r="G4875">
        <v>248</v>
      </c>
      <c r="H4875" t="s">
        <v>12</v>
      </c>
      <c r="I4875" t="str">
        <f t="shared" si="76"/>
        <v>Normal Usage</v>
      </c>
    </row>
    <row r="4876" spans="1:9" x14ac:dyDescent="0.3">
      <c r="A4876">
        <v>14875</v>
      </c>
      <c r="B4876">
        <v>76</v>
      </c>
      <c r="C4876" s="2">
        <v>45347</v>
      </c>
      <c r="D4876" s="2" t="str">
        <f>TEXT(Table3[[#This Row],[usage_date]],"mmmm")</f>
        <v>February</v>
      </c>
      <c r="E4876" s="9">
        <f>YEAR(Table3[[#This Row],[usage_date]])</f>
        <v>2024</v>
      </c>
      <c r="F4876" s="14">
        <v>1.03</v>
      </c>
      <c r="G4876">
        <v>212</v>
      </c>
      <c r="H4876" t="s">
        <v>12</v>
      </c>
      <c r="I4876" t="str">
        <f t="shared" si="76"/>
        <v>Normal Usage</v>
      </c>
    </row>
    <row r="4877" spans="1:9" x14ac:dyDescent="0.3">
      <c r="A4877">
        <v>14876</v>
      </c>
      <c r="B4877">
        <v>346</v>
      </c>
      <c r="C4877" s="2">
        <v>44690</v>
      </c>
      <c r="D4877" s="2" t="str">
        <f>TEXT(Table3[[#This Row],[usage_date]],"mmmm")</f>
        <v>May</v>
      </c>
      <c r="E4877" s="9">
        <f>YEAR(Table3[[#This Row],[usage_date]])</f>
        <v>2022</v>
      </c>
      <c r="F4877" s="14">
        <v>2.68</v>
      </c>
      <c r="G4877">
        <v>20</v>
      </c>
      <c r="H4877" t="s">
        <v>12</v>
      </c>
      <c r="I4877" t="str">
        <f t="shared" si="76"/>
        <v>Normal Usage</v>
      </c>
    </row>
    <row r="4878" spans="1:9" x14ac:dyDescent="0.3">
      <c r="A4878">
        <v>14877</v>
      </c>
      <c r="B4878">
        <v>201</v>
      </c>
      <c r="C4878" s="2">
        <v>44852</v>
      </c>
      <c r="D4878" s="2" t="str">
        <f>TEXT(Table3[[#This Row],[usage_date]],"mmmm")</f>
        <v>October</v>
      </c>
      <c r="E4878" s="9">
        <f>YEAR(Table3[[#This Row],[usage_date]])</f>
        <v>2022</v>
      </c>
      <c r="F4878" s="14">
        <v>3.16</v>
      </c>
      <c r="G4878">
        <v>154</v>
      </c>
      <c r="H4878" t="s">
        <v>12</v>
      </c>
      <c r="I4878" t="str">
        <f t="shared" si="76"/>
        <v>Normal Usage</v>
      </c>
    </row>
    <row r="4879" spans="1:9" x14ac:dyDescent="0.3">
      <c r="A4879">
        <v>14878</v>
      </c>
      <c r="B4879">
        <v>10</v>
      </c>
      <c r="C4879" s="2">
        <v>45393</v>
      </c>
      <c r="D4879" s="2" t="str">
        <f>TEXT(Table3[[#This Row],[usage_date]],"mmmm")</f>
        <v>April</v>
      </c>
      <c r="E4879" s="9">
        <f>YEAR(Table3[[#This Row],[usage_date]])</f>
        <v>2024</v>
      </c>
      <c r="F4879" s="14">
        <v>2.04</v>
      </c>
      <c r="G4879">
        <v>26</v>
      </c>
      <c r="H4879" t="s">
        <v>13</v>
      </c>
      <c r="I4879" t="str">
        <f t="shared" si="76"/>
        <v>Normal Usage</v>
      </c>
    </row>
    <row r="4880" spans="1:9" x14ac:dyDescent="0.3">
      <c r="A4880">
        <v>14879</v>
      </c>
      <c r="B4880">
        <v>352</v>
      </c>
      <c r="C4880" s="2">
        <v>45062</v>
      </c>
      <c r="D4880" s="2" t="str">
        <f>TEXT(Table3[[#This Row],[usage_date]],"mmmm")</f>
        <v>May</v>
      </c>
      <c r="E4880" s="9">
        <f>YEAR(Table3[[#This Row],[usage_date]])</f>
        <v>2023</v>
      </c>
      <c r="F4880" s="14">
        <v>0.15</v>
      </c>
      <c r="G4880">
        <v>76</v>
      </c>
      <c r="H4880" t="s">
        <v>12</v>
      </c>
      <c r="I4880" t="str">
        <f t="shared" si="76"/>
        <v>Normal Usage</v>
      </c>
    </row>
    <row r="4881" spans="1:9" x14ac:dyDescent="0.3">
      <c r="A4881">
        <v>14880</v>
      </c>
      <c r="B4881">
        <v>226</v>
      </c>
      <c r="C4881" s="2">
        <v>44747</v>
      </c>
      <c r="D4881" s="2" t="str">
        <f>TEXT(Table3[[#This Row],[usage_date]],"mmmm")</f>
        <v>July</v>
      </c>
      <c r="E4881" s="9">
        <f>YEAR(Table3[[#This Row],[usage_date]])</f>
        <v>2022</v>
      </c>
      <c r="F4881" s="14">
        <v>0.47</v>
      </c>
      <c r="G4881">
        <v>56</v>
      </c>
      <c r="H4881" t="s">
        <v>13</v>
      </c>
      <c r="I4881" t="str">
        <f t="shared" si="76"/>
        <v>Normal Usage</v>
      </c>
    </row>
    <row r="4882" spans="1:9" x14ac:dyDescent="0.3">
      <c r="A4882">
        <v>14881</v>
      </c>
      <c r="B4882">
        <v>176</v>
      </c>
      <c r="C4882" s="2">
        <v>45040</v>
      </c>
      <c r="D4882" s="2" t="str">
        <f>TEXT(Table3[[#This Row],[usage_date]],"mmmm")</f>
        <v>April</v>
      </c>
      <c r="E4882" s="9">
        <f>YEAR(Table3[[#This Row],[usage_date]])</f>
        <v>2023</v>
      </c>
      <c r="F4882" s="14">
        <v>0.84</v>
      </c>
      <c r="G4882">
        <v>118</v>
      </c>
      <c r="H4882" t="s">
        <v>12</v>
      </c>
      <c r="I4882" t="str">
        <f t="shared" si="76"/>
        <v>Normal Usage</v>
      </c>
    </row>
    <row r="4883" spans="1:9" x14ac:dyDescent="0.3">
      <c r="A4883">
        <v>14882</v>
      </c>
      <c r="B4883">
        <v>276</v>
      </c>
      <c r="C4883" s="2">
        <v>45132</v>
      </c>
      <c r="D4883" s="2" t="str">
        <f>TEXT(Table3[[#This Row],[usage_date]],"mmmm")</f>
        <v>July</v>
      </c>
      <c r="E4883" s="9">
        <f>YEAR(Table3[[#This Row],[usage_date]])</f>
        <v>2023</v>
      </c>
      <c r="F4883" s="14">
        <v>0.83</v>
      </c>
      <c r="G4883">
        <v>164</v>
      </c>
      <c r="H4883" t="s">
        <v>12</v>
      </c>
      <c r="I4883" t="str">
        <f t="shared" si="76"/>
        <v>Normal Usage</v>
      </c>
    </row>
    <row r="4884" spans="1:9" x14ac:dyDescent="0.3">
      <c r="A4884">
        <v>14883</v>
      </c>
      <c r="B4884">
        <v>39</v>
      </c>
      <c r="C4884" s="2">
        <v>45053</v>
      </c>
      <c r="D4884" s="2" t="str">
        <f>TEXT(Table3[[#This Row],[usage_date]],"mmmm")</f>
        <v>May</v>
      </c>
      <c r="E4884" s="9">
        <f>YEAR(Table3[[#This Row],[usage_date]])</f>
        <v>2023</v>
      </c>
      <c r="F4884" s="14">
        <v>2.8</v>
      </c>
      <c r="G4884">
        <v>63</v>
      </c>
      <c r="H4884" t="s">
        <v>12</v>
      </c>
      <c r="I4884" t="str">
        <f t="shared" si="76"/>
        <v>Normal Usage</v>
      </c>
    </row>
    <row r="4885" spans="1:9" x14ac:dyDescent="0.3">
      <c r="A4885">
        <v>14884</v>
      </c>
      <c r="B4885">
        <v>60</v>
      </c>
      <c r="C4885" s="2">
        <v>45074</v>
      </c>
      <c r="D4885" s="2" t="str">
        <f>TEXT(Table3[[#This Row],[usage_date]],"mmmm")</f>
        <v>May</v>
      </c>
      <c r="E4885" s="9">
        <f>YEAR(Table3[[#This Row],[usage_date]])</f>
        <v>2023</v>
      </c>
      <c r="F4885" s="14">
        <v>0.05</v>
      </c>
      <c r="G4885">
        <v>47</v>
      </c>
      <c r="H4885" t="s">
        <v>13</v>
      </c>
      <c r="I4885" t="str">
        <f t="shared" si="76"/>
        <v>Normal Usage</v>
      </c>
    </row>
    <row r="4886" spans="1:9" x14ac:dyDescent="0.3">
      <c r="A4886">
        <v>14885</v>
      </c>
      <c r="B4886">
        <v>66</v>
      </c>
      <c r="C4886" s="2">
        <v>45204</v>
      </c>
      <c r="D4886" s="2" t="str">
        <f>TEXT(Table3[[#This Row],[usage_date]],"mmmm")</f>
        <v>October</v>
      </c>
      <c r="E4886" s="9">
        <f>YEAR(Table3[[#This Row],[usage_date]])</f>
        <v>2023</v>
      </c>
      <c r="F4886" s="14">
        <v>3.52</v>
      </c>
      <c r="G4886">
        <v>149</v>
      </c>
      <c r="H4886" t="s">
        <v>12</v>
      </c>
      <c r="I4886" t="str">
        <f t="shared" si="76"/>
        <v>Normal Usage</v>
      </c>
    </row>
    <row r="4887" spans="1:9" x14ac:dyDescent="0.3">
      <c r="A4887">
        <v>14886</v>
      </c>
      <c r="B4887">
        <v>321</v>
      </c>
      <c r="C4887" s="2">
        <v>44628</v>
      </c>
      <c r="D4887" s="2" t="str">
        <f>TEXT(Table3[[#This Row],[usage_date]],"mmmm")</f>
        <v>March</v>
      </c>
      <c r="E4887" s="9">
        <f>YEAR(Table3[[#This Row],[usage_date]])</f>
        <v>2022</v>
      </c>
      <c r="F4887" s="14">
        <v>0.77</v>
      </c>
      <c r="G4887">
        <v>157</v>
      </c>
      <c r="H4887" t="s">
        <v>12</v>
      </c>
      <c r="I4887" t="str">
        <f t="shared" si="76"/>
        <v>Normal Usage</v>
      </c>
    </row>
    <row r="4888" spans="1:9" x14ac:dyDescent="0.3">
      <c r="A4888">
        <v>14887</v>
      </c>
      <c r="B4888">
        <v>435</v>
      </c>
      <c r="C4888" s="2">
        <v>45366</v>
      </c>
      <c r="D4888" s="2" t="str">
        <f>TEXT(Table3[[#This Row],[usage_date]],"mmmm")</f>
        <v>March</v>
      </c>
      <c r="E4888" s="9">
        <f>YEAR(Table3[[#This Row],[usage_date]])</f>
        <v>2024</v>
      </c>
      <c r="F4888" s="14">
        <v>0.93</v>
      </c>
      <c r="G4888">
        <v>155</v>
      </c>
      <c r="H4888" t="s">
        <v>13</v>
      </c>
      <c r="I4888" t="str">
        <f t="shared" si="76"/>
        <v>Normal Usage</v>
      </c>
    </row>
    <row r="4889" spans="1:9" x14ac:dyDescent="0.3">
      <c r="A4889">
        <v>14888</v>
      </c>
      <c r="B4889">
        <v>124</v>
      </c>
      <c r="C4889" s="2">
        <v>45028</v>
      </c>
      <c r="D4889" s="2" t="str">
        <f>TEXT(Table3[[#This Row],[usage_date]],"mmmm")</f>
        <v>April</v>
      </c>
      <c r="E4889" s="9">
        <f>YEAR(Table3[[#This Row],[usage_date]])</f>
        <v>2023</v>
      </c>
      <c r="F4889" s="14">
        <v>1.88</v>
      </c>
      <c r="G4889">
        <v>150</v>
      </c>
      <c r="H4889" t="s">
        <v>12</v>
      </c>
      <c r="I4889" t="str">
        <f t="shared" si="76"/>
        <v>Normal Usage</v>
      </c>
    </row>
    <row r="4890" spans="1:9" x14ac:dyDescent="0.3">
      <c r="A4890">
        <v>14889</v>
      </c>
      <c r="B4890">
        <v>164</v>
      </c>
      <c r="C4890" s="2">
        <v>44846</v>
      </c>
      <c r="D4890" s="2" t="str">
        <f>TEXT(Table3[[#This Row],[usage_date]],"mmmm")</f>
        <v>October</v>
      </c>
      <c r="E4890" s="9">
        <f>YEAR(Table3[[#This Row],[usage_date]])</f>
        <v>2022</v>
      </c>
      <c r="F4890" s="14">
        <v>0.61</v>
      </c>
      <c r="G4890">
        <v>224</v>
      </c>
      <c r="H4890" t="s">
        <v>13</v>
      </c>
      <c r="I4890" t="str">
        <f t="shared" si="76"/>
        <v>Normal Usage</v>
      </c>
    </row>
    <row r="4891" spans="1:9" x14ac:dyDescent="0.3">
      <c r="A4891">
        <v>14890</v>
      </c>
      <c r="B4891">
        <v>408</v>
      </c>
      <c r="C4891" s="2">
        <v>45162</v>
      </c>
      <c r="D4891" s="2" t="str">
        <f>TEXT(Table3[[#This Row],[usage_date]],"mmmm")</f>
        <v>August</v>
      </c>
      <c r="E4891" s="9">
        <f>YEAR(Table3[[#This Row],[usage_date]])</f>
        <v>2023</v>
      </c>
      <c r="F4891" s="14">
        <v>5.4</v>
      </c>
      <c r="G4891">
        <v>259</v>
      </c>
      <c r="H4891" t="s">
        <v>12</v>
      </c>
      <c r="I4891" t="str">
        <f t="shared" si="76"/>
        <v>Normal Usage</v>
      </c>
    </row>
    <row r="4892" spans="1:9" x14ac:dyDescent="0.3">
      <c r="A4892">
        <v>14891</v>
      </c>
      <c r="B4892">
        <v>411</v>
      </c>
      <c r="C4892" s="2">
        <v>44978</v>
      </c>
      <c r="D4892" s="2" t="str">
        <f>TEXT(Table3[[#This Row],[usage_date]],"mmmm")</f>
        <v>February</v>
      </c>
      <c r="E4892" s="9">
        <f>YEAR(Table3[[#This Row],[usage_date]])</f>
        <v>2023</v>
      </c>
      <c r="F4892" s="14">
        <v>0.22</v>
      </c>
      <c r="G4892">
        <v>255</v>
      </c>
      <c r="H4892" t="s">
        <v>12</v>
      </c>
      <c r="I4892" t="str">
        <f t="shared" si="76"/>
        <v>Normal Usage</v>
      </c>
    </row>
    <row r="4893" spans="1:9" x14ac:dyDescent="0.3">
      <c r="A4893">
        <v>14892</v>
      </c>
      <c r="B4893">
        <v>386</v>
      </c>
      <c r="C4893" s="2">
        <v>44661</v>
      </c>
      <c r="D4893" s="2" t="str">
        <f>TEXT(Table3[[#This Row],[usage_date]],"mmmm")</f>
        <v>April</v>
      </c>
      <c r="E4893" s="9">
        <f>YEAR(Table3[[#This Row],[usage_date]])</f>
        <v>2022</v>
      </c>
      <c r="F4893" s="14">
        <v>1.47</v>
      </c>
      <c r="G4893">
        <v>60</v>
      </c>
      <c r="H4893" t="s">
        <v>12</v>
      </c>
      <c r="I4893" t="str">
        <f t="shared" si="76"/>
        <v>Normal Usage</v>
      </c>
    </row>
    <row r="4894" spans="1:9" x14ac:dyDescent="0.3">
      <c r="A4894">
        <v>14893</v>
      </c>
      <c r="B4894">
        <v>159</v>
      </c>
      <c r="C4894" s="2">
        <v>44750</v>
      </c>
      <c r="D4894" s="2" t="str">
        <f>TEXT(Table3[[#This Row],[usage_date]],"mmmm")</f>
        <v>July</v>
      </c>
      <c r="E4894" s="9">
        <f>YEAR(Table3[[#This Row],[usage_date]])</f>
        <v>2022</v>
      </c>
      <c r="F4894" s="14">
        <v>4.7300000000000004</v>
      </c>
      <c r="G4894">
        <v>259</v>
      </c>
      <c r="H4894" t="s">
        <v>12</v>
      </c>
      <c r="I4894" t="str">
        <f t="shared" si="76"/>
        <v>Normal Usage</v>
      </c>
    </row>
    <row r="4895" spans="1:9" x14ac:dyDescent="0.3">
      <c r="A4895">
        <v>14894</v>
      </c>
      <c r="B4895">
        <v>57</v>
      </c>
      <c r="C4895" s="2">
        <v>45451</v>
      </c>
      <c r="D4895" s="2" t="str">
        <f>TEXT(Table3[[#This Row],[usage_date]],"mmmm")</f>
        <v>June</v>
      </c>
      <c r="E4895" s="9">
        <f>YEAR(Table3[[#This Row],[usage_date]])</f>
        <v>2024</v>
      </c>
      <c r="F4895" s="14">
        <v>2.39</v>
      </c>
      <c r="G4895">
        <v>161</v>
      </c>
      <c r="H4895" t="s">
        <v>13</v>
      </c>
      <c r="I4895" t="str">
        <f t="shared" si="76"/>
        <v>Normal Usage</v>
      </c>
    </row>
    <row r="4896" spans="1:9" x14ac:dyDescent="0.3">
      <c r="A4896">
        <v>14895</v>
      </c>
      <c r="B4896">
        <v>78</v>
      </c>
      <c r="C4896" s="2">
        <v>45419</v>
      </c>
      <c r="D4896" s="2" t="str">
        <f>TEXT(Table3[[#This Row],[usage_date]],"mmmm")</f>
        <v>May</v>
      </c>
      <c r="E4896" s="9">
        <f>YEAR(Table3[[#This Row],[usage_date]])</f>
        <v>2024</v>
      </c>
      <c r="F4896" s="14">
        <v>0.86</v>
      </c>
      <c r="G4896">
        <v>30</v>
      </c>
      <c r="H4896" t="s">
        <v>13</v>
      </c>
      <c r="I4896" t="str">
        <f t="shared" si="76"/>
        <v>Normal Usage</v>
      </c>
    </row>
    <row r="4897" spans="1:9" x14ac:dyDescent="0.3">
      <c r="A4897">
        <v>14896</v>
      </c>
      <c r="B4897">
        <v>194</v>
      </c>
      <c r="C4897" s="2">
        <v>44949</v>
      </c>
      <c r="D4897" s="2" t="str">
        <f>TEXT(Table3[[#This Row],[usage_date]],"mmmm")</f>
        <v>January</v>
      </c>
      <c r="E4897" s="9">
        <f>YEAR(Table3[[#This Row],[usage_date]])</f>
        <v>2023</v>
      </c>
      <c r="F4897" s="14">
        <v>1.37</v>
      </c>
      <c r="G4897">
        <v>70</v>
      </c>
      <c r="H4897" t="s">
        <v>12</v>
      </c>
      <c r="I4897" t="str">
        <f t="shared" si="76"/>
        <v>Normal Usage</v>
      </c>
    </row>
    <row r="4898" spans="1:9" x14ac:dyDescent="0.3">
      <c r="A4898">
        <v>14897</v>
      </c>
      <c r="B4898">
        <v>285</v>
      </c>
      <c r="C4898" s="2">
        <v>44802</v>
      </c>
      <c r="D4898" s="2" t="str">
        <f>TEXT(Table3[[#This Row],[usage_date]],"mmmm")</f>
        <v>August</v>
      </c>
      <c r="E4898" s="9">
        <f>YEAR(Table3[[#This Row],[usage_date]])</f>
        <v>2022</v>
      </c>
      <c r="F4898" s="14">
        <v>3.07</v>
      </c>
      <c r="G4898">
        <v>1</v>
      </c>
      <c r="H4898" t="s">
        <v>13</v>
      </c>
      <c r="I4898" t="str">
        <f t="shared" si="76"/>
        <v>Normal Usage</v>
      </c>
    </row>
    <row r="4899" spans="1:9" x14ac:dyDescent="0.3">
      <c r="A4899">
        <v>14898</v>
      </c>
      <c r="B4899">
        <v>15</v>
      </c>
      <c r="C4899" s="2">
        <v>45343</v>
      </c>
      <c r="D4899" s="2" t="str">
        <f>TEXT(Table3[[#This Row],[usage_date]],"mmmm")</f>
        <v>February</v>
      </c>
      <c r="E4899" s="9">
        <f>YEAR(Table3[[#This Row],[usage_date]])</f>
        <v>2024</v>
      </c>
      <c r="F4899" s="14">
        <v>9.0500000000000007</v>
      </c>
      <c r="G4899">
        <v>49</v>
      </c>
      <c r="H4899" t="s">
        <v>12</v>
      </c>
      <c r="I4899" t="str">
        <f t="shared" si="76"/>
        <v>High Usage</v>
      </c>
    </row>
    <row r="4900" spans="1:9" x14ac:dyDescent="0.3">
      <c r="A4900">
        <v>14899</v>
      </c>
      <c r="B4900">
        <v>12</v>
      </c>
      <c r="C4900" s="2">
        <v>45292</v>
      </c>
      <c r="D4900" s="2" t="str">
        <f>TEXT(Table3[[#This Row],[usage_date]],"mmmm")</f>
        <v>January</v>
      </c>
      <c r="E4900" s="9">
        <f>YEAR(Table3[[#This Row],[usage_date]])</f>
        <v>2024</v>
      </c>
      <c r="F4900" s="14">
        <v>5.59</v>
      </c>
      <c r="G4900">
        <v>134</v>
      </c>
      <c r="H4900" t="s">
        <v>12</v>
      </c>
      <c r="I4900" t="str">
        <f t="shared" si="76"/>
        <v>Normal Usage</v>
      </c>
    </row>
    <row r="4901" spans="1:9" x14ac:dyDescent="0.3">
      <c r="A4901">
        <v>14900</v>
      </c>
      <c r="B4901">
        <v>101</v>
      </c>
      <c r="C4901" s="2">
        <v>44978</v>
      </c>
      <c r="D4901" s="2" t="str">
        <f>TEXT(Table3[[#This Row],[usage_date]],"mmmm")</f>
        <v>February</v>
      </c>
      <c r="E4901" s="9">
        <f>YEAR(Table3[[#This Row],[usage_date]])</f>
        <v>2023</v>
      </c>
      <c r="F4901" s="14">
        <v>1.05</v>
      </c>
      <c r="G4901">
        <v>145</v>
      </c>
      <c r="H4901" t="s">
        <v>12</v>
      </c>
      <c r="I4901" t="str">
        <f t="shared" si="76"/>
        <v>Normal Usage</v>
      </c>
    </row>
    <row r="4902" spans="1:9" x14ac:dyDescent="0.3">
      <c r="A4902">
        <v>14901</v>
      </c>
      <c r="B4902">
        <v>156</v>
      </c>
      <c r="C4902" s="2">
        <v>44737</v>
      </c>
      <c r="D4902" s="2" t="str">
        <f>TEXT(Table3[[#This Row],[usage_date]],"mmmm")</f>
        <v>June</v>
      </c>
      <c r="E4902" s="9">
        <f>YEAR(Table3[[#This Row],[usage_date]])</f>
        <v>2022</v>
      </c>
      <c r="F4902" s="14">
        <v>15.8</v>
      </c>
      <c r="G4902">
        <v>178</v>
      </c>
      <c r="H4902" t="s">
        <v>12</v>
      </c>
      <c r="I4902" t="str">
        <f t="shared" si="76"/>
        <v>High Usage</v>
      </c>
    </row>
    <row r="4903" spans="1:9" x14ac:dyDescent="0.3">
      <c r="A4903">
        <v>14902</v>
      </c>
      <c r="B4903">
        <v>340</v>
      </c>
      <c r="C4903" s="2">
        <v>44948</v>
      </c>
      <c r="D4903" s="2" t="str">
        <f>TEXT(Table3[[#This Row],[usage_date]],"mmmm")</f>
        <v>January</v>
      </c>
      <c r="E4903" s="9">
        <f>YEAR(Table3[[#This Row],[usage_date]])</f>
        <v>2023</v>
      </c>
      <c r="F4903" s="14">
        <v>0.01</v>
      </c>
      <c r="G4903">
        <v>263</v>
      </c>
      <c r="H4903" t="s">
        <v>12</v>
      </c>
      <c r="I4903" t="str">
        <f t="shared" si="76"/>
        <v>Normal Usage</v>
      </c>
    </row>
    <row r="4904" spans="1:9" x14ac:dyDescent="0.3">
      <c r="A4904">
        <v>14903</v>
      </c>
      <c r="B4904">
        <v>125</v>
      </c>
      <c r="C4904" s="2">
        <v>45032</v>
      </c>
      <c r="D4904" s="2" t="str">
        <f>TEXT(Table3[[#This Row],[usage_date]],"mmmm")</f>
        <v>April</v>
      </c>
      <c r="E4904" s="9">
        <f>YEAR(Table3[[#This Row],[usage_date]])</f>
        <v>2023</v>
      </c>
      <c r="F4904" s="14">
        <v>7.0000000000000007E-2</v>
      </c>
      <c r="G4904">
        <v>203</v>
      </c>
      <c r="H4904" t="s">
        <v>12</v>
      </c>
      <c r="I4904" t="str">
        <f t="shared" si="76"/>
        <v>Normal Usage</v>
      </c>
    </row>
    <row r="4905" spans="1:9" x14ac:dyDescent="0.3">
      <c r="A4905">
        <v>14904</v>
      </c>
      <c r="B4905">
        <v>359</v>
      </c>
      <c r="C4905" s="2">
        <v>45414</v>
      </c>
      <c r="D4905" s="2" t="str">
        <f>TEXT(Table3[[#This Row],[usage_date]],"mmmm")</f>
        <v>May</v>
      </c>
      <c r="E4905" s="9">
        <f>YEAR(Table3[[#This Row],[usage_date]])</f>
        <v>2024</v>
      </c>
      <c r="F4905" s="14">
        <v>4.34</v>
      </c>
      <c r="G4905">
        <v>298</v>
      </c>
      <c r="H4905" t="s">
        <v>12</v>
      </c>
      <c r="I4905" t="str">
        <f t="shared" si="76"/>
        <v>Normal Usage</v>
      </c>
    </row>
    <row r="4906" spans="1:9" x14ac:dyDescent="0.3">
      <c r="A4906">
        <v>14905</v>
      </c>
      <c r="B4906">
        <v>280</v>
      </c>
      <c r="C4906" s="2">
        <v>44794</v>
      </c>
      <c r="D4906" s="2" t="str">
        <f>TEXT(Table3[[#This Row],[usage_date]],"mmmm")</f>
        <v>August</v>
      </c>
      <c r="E4906" s="9">
        <f>YEAR(Table3[[#This Row],[usage_date]])</f>
        <v>2022</v>
      </c>
      <c r="F4906" s="14">
        <v>0.56000000000000005</v>
      </c>
      <c r="G4906">
        <v>186</v>
      </c>
      <c r="H4906" t="s">
        <v>13</v>
      </c>
      <c r="I4906" t="str">
        <f t="shared" si="76"/>
        <v>Normal Usage</v>
      </c>
    </row>
    <row r="4907" spans="1:9" x14ac:dyDescent="0.3">
      <c r="A4907">
        <v>14906</v>
      </c>
      <c r="B4907">
        <v>405</v>
      </c>
      <c r="C4907" s="2">
        <v>45224</v>
      </c>
      <c r="D4907" s="2" t="str">
        <f>TEXT(Table3[[#This Row],[usage_date]],"mmmm")</f>
        <v>October</v>
      </c>
      <c r="E4907" s="9">
        <f>YEAR(Table3[[#This Row],[usage_date]])</f>
        <v>2023</v>
      </c>
      <c r="F4907" s="14">
        <v>0.16</v>
      </c>
      <c r="G4907">
        <v>29</v>
      </c>
      <c r="H4907" t="s">
        <v>13</v>
      </c>
      <c r="I4907" t="str">
        <f t="shared" si="76"/>
        <v>Normal Usage</v>
      </c>
    </row>
    <row r="4908" spans="1:9" x14ac:dyDescent="0.3">
      <c r="A4908">
        <v>14907</v>
      </c>
      <c r="B4908">
        <v>394</v>
      </c>
      <c r="C4908" s="2">
        <v>45013</v>
      </c>
      <c r="D4908" s="2" t="str">
        <f>TEXT(Table3[[#This Row],[usage_date]],"mmmm")</f>
        <v>March</v>
      </c>
      <c r="E4908" s="9">
        <f>YEAR(Table3[[#This Row],[usage_date]])</f>
        <v>2023</v>
      </c>
      <c r="F4908" s="14">
        <v>0.68</v>
      </c>
      <c r="G4908">
        <v>58</v>
      </c>
      <c r="H4908" t="s">
        <v>12</v>
      </c>
      <c r="I4908" t="str">
        <f t="shared" si="76"/>
        <v>Normal Usage</v>
      </c>
    </row>
    <row r="4909" spans="1:9" x14ac:dyDescent="0.3">
      <c r="A4909">
        <v>14908</v>
      </c>
      <c r="B4909">
        <v>110</v>
      </c>
      <c r="C4909" s="2">
        <v>44838</v>
      </c>
      <c r="D4909" s="2" t="str">
        <f>TEXT(Table3[[#This Row],[usage_date]],"mmmm")</f>
        <v>October</v>
      </c>
      <c r="E4909" s="9">
        <f>YEAR(Table3[[#This Row],[usage_date]])</f>
        <v>2022</v>
      </c>
      <c r="F4909" s="14">
        <v>1.39</v>
      </c>
      <c r="G4909">
        <v>8</v>
      </c>
      <c r="H4909" t="s">
        <v>12</v>
      </c>
      <c r="I4909" t="str">
        <f t="shared" si="76"/>
        <v>Normal Usage</v>
      </c>
    </row>
    <row r="4910" spans="1:9" x14ac:dyDescent="0.3">
      <c r="A4910">
        <v>14909</v>
      </c>
      <c r="B4910">
        <v>334</v>
      </c>
      <c r="C4910" s="2">
        <v>44790</v>
      </c>
      <c r="D4910" s="2" t="str">
        <f>TEXT(Table3[[#This Row],[usage_date]],"mmmm")</f>
        <v>August</v>
      </c>
      <c r="E4910" s="9">
        <f>YEAR(Table3[[#This Row],[usage_date]])</f>
        <v>2022</v>
      </c>
      <c r="F4910" s="14">
        <v>3.28</v>
      </c>
      <c r="G4910">
        <v>166</v>
      </c>
      <c r="H4910" t="s">
        <v>12</v>
      </c>
      <c r="I4910" t="str">
        <f t="shared" si="76"/>
        <v>Normal Usage</v>
      </c>
    </row>
    <row r="4911" spans="1:9" x14ac:dyDescent="0.3">
      <c r="A4911">
        <v>14910</v>
      </c>
      <c r="B4911">
        <v>357</v>
      </c>
      <c r="C4911" s="2">
        <v>44732</v>
      </c>
      <c r="D4911" s="2" t="str">
        <f>TEXT(Table3[[#This Row],[usage_date]],"mmmm")</f>
        <v>June</v>
      </c>
      <c r="E4911" s="9">
        <f>YEAR(Table3[[#This Row],[usage_date]])</f>
        <v>2022</v>
      </c>
      <c r="F4911" s="14">
        <v>2.4500000000000002</v>
      </c>
      <c r="G4911">
        <v>278</v>
      </c>
      <c r="H4911" t="s">
        <v>13</v>
      </c>
      <c r="I4911" t="str">
        <f t="shared" si="76"/>
        <v>Normal Usage</v>
      </c>
    </row>
    <row r="4912" spans="1:9" x14ac:dyDescent="0.3">
      <c r="A4912">
        <v>14911</v>
      </c>
      <c r="B4912">
        <v>146</v>
      </c>
      <c r="C4912" s="2">
        <v>45296</v>
      </c>
      <c r="D4912" s="2" t="str">
        <f>TEXT(Table3[[#This Row],[usage_date]],"mmmm")</f>
        <v>January</v>
      </c>
      <c r="E4912" s="9">
        <f>YEAR(Table3[[#This Row],[usage_date]])</f>
        <v>2024</v>
      </c>
      <c r="F4912" s="14">
        <v>0.68</v>
      </c>
      <c r="G4912">
        <v>190</v>
      </c>
      <c r="H4912" t="s">
        <v>12</v>
      </c>
      <c r="I4912" t="str">
        <f t="shared" si="76"/>
        <v>Normal Usage</v>
      </c>
    </row>
    <row r="4913" spans="1:9" x14ac:dyDescent="0.3">
      <c r="A4913">
        <v>14912</v>
      </c>
      <c r="B4913">
        <v>216</v>
      </c>
      <c r="C4913" s="2">
        <v>44774</v>
      </c>
      <c r="D4913" s="2" t="str">
        <f>TEXT(Table3[[#This Row],[usage_date]],"mmmm")</f>
        <v>August</v>
      </c>
      <c r="E4913" s="9">
        <f>YEAR(Table3[[#This Row],[usage_date]])</f>
        <v>2022</v>
      </c>
      <c r="F4913" s="14">
        <v>1.75</v>
      </c>
      <c r="G4913">
        <v>241</v>
      </c>
      <c r="H4913" t="s">
        <v>12</v>
      </c>
      <c r="I4913" t="str">
        <f t="shared" si="76"/>
        <v>Normal Usage</v>
      </c>
    </row>
    <row r="4914" spans="1:9" x14ac:dyDescent="0.3">
      <c r="A4914">
        <v>14913</v>
      </c>
      <c r="B4914">
        <v>398</v>
      </c>
      <c r="C4914" s="2">
        <v>44843</v>
      </c>
      <c r="D4914" s="2" t="str">
        <f>TEXT(Table3[[#This Row],[usage_date]],"mmmm")</f>
        <v>October</v>
      </c>
      <c r="E4914" s="9">
        <f>YEAR(Table3[[#This Row],[usage_date]])</f>
        <v>2022</v>
      </c>
      <c r="F4914" s="14">
        <v>6.52</v>
      </c>
      <c r="G4914">
        <v>277</v>
      </c>
      <c r="H4914" t="s">
        <v>13</v>
      </c>
      <c r="I4914" t="str">
        <f t="shared" si="76"/>
        <v>High Usage</v>
      </c>
    </row>
    <row r="4915" spans="1:9" x14ac:dyDescent="0.3">
      <c r="A4915">
        <v>14914</v>
      </c>
      <c r="B4915">
        <v>162</v>
      </c>
      <c r="C4915" s="2">
        <v>44602</v>
      </c>
      <c r="D4915" s="2" t="str">
        <f>TEXT(Table3[[#This Row],[usage_date]],"mmmm")</f>
        <v>February</v>
      </c>
      <c r="E4915" s="9">
        <f>YEAR(Table3[[#This Row],[usage_date]])</f>
        <v>2022</v>
      </c>
      <c r="F4915" s="14">
        <v>4.22</v>
      </c>
      <c r="G4915">
        <v>153</v>
      </c>
      <c r="H4915" t="s">
        <v>12</v>
      </c>
      <c r="I4915" t="str">
        <f t="shared" si="76"/>
        <v>Normal Usage</v>
      </c>
    </row>
    <row r="4916" spans="1:9" x14ac:dyDescent="0.3">
      <c r="A4916">
        <v>14915</v>
      </c>
      <c r="B4916">
        <v>128</v>
      </c>
      <c r="C4916" s="2">
        <v>44683</v>
      </c>
      <c r="D4916" s="2" t="str">
        <f>TEXT(Table3[[#This Row],[usage_date]],"mmmm")</f>
        <v>May</v>
      </c>
      <c r="E4916" s="9">
        <f>YEAR(Table3[[#This Row],[usage_date]])</f>
        <v>2022</v>
      </c>
      <c r="F4916" s="14">
        <v>0.98</v>
      </c>
      <c r="G4916">
        <v>159</v>
      </c>
      <c r="H4916" t="s">
        <v>12</v>
      </c>
      <c r="I4916" t="str">
        <f t="shared" si="76"/>
        <v>Normal Usage</v>
      </c>
    </row>
    <row r="4917" spans="1:9" x14ac:dyDescent="0.3">
      <c r="A4917">
        <v>14916</v>
      </c>
      <c r="B4917">
        <v>314</v>
      </c>
      <c r="C4917" s="2">
        <v>44788</v>
      </c>
      <c r="D4917" s="2" t="str">
        <f>TEXT(Table3[[#This Row],[usage_date]],"mmmm")</f>
        <v>August</v>
      </c>
      <c r="E4917" s="9">
        <f>YEAR(Table3[[#This Row],[usage_date]])</f>
        <v>2022</v>
      </c>
      <c r="F4917" s="14">
        <v>10.08</v>
      </c>
      <c r="G4917">
        <v>264</v>
      </c>
      <c r="H4917" t="s">
        <v>12</v>
      </c>
      <c r="I4917" t="str">
        <f t="shared" si="76"/>
        <v>High Usage</v>
      </c>
    </row>
    <row r="4918" spans="1:9" x14ac:dyDescent="0.3">
      <c r="A4918">
        <v>14917</v>
      </c>
      <c r="B4918">
        <v>332</v>
      </c>
      <c r="C4918" s="2">
        <v>44855</v>
      </c>
      <c r="D4918" s="2" t="str">
        <f>TEXT(Table3[[#This Row],[usage_date]],"mmmm")</f>
        <v>October</v>
      </c>
      <c r="E4918" s="9">
        <f>YEAR(Table3[[#This Row],[usage_date]])</f>
        <v>2022</v>
      </c>
      <c r="F4918" s="14">
        <v>3.08</v>
      </c>
      <c r="G4918">
        <v>234</v>
      </c>
      <c r="H4918" t="s">
        <v>12</v>
      </c>
      <c r="I4918" t="str">
        <f t="shared" si="76"/>
        <v>Normal Usage</v>
      </c>
    </row>
    <row r="4919" spans="1:9" x14ac:dyDescent="0.3">
      <c r="A4919">
        <v>14918</v>
      </c>
      <c r="B4919">
        <v>150</v>
      </c>
      <c r="C4919" s="2">
        <v>45161</v>
      </c>
      <c r="D4919" s="2" t="str">
        <f>TEXT(Table3[[#This Row],[usage_date]],"mmmm")</f>
        <v>August</v>
      </c>
      <c r="E4919" s="9">
        <f>YEAR(Table3[[#This Row],[usage_date]])</f>
        <v>2023</v>
      </c>
      <c r="F4919" s="14">
        <v>0.16</v>
      </c>
      <c r="G4919">
        <v>198</v>
      </c>
      <c r="H4919" t="s">
        <v>13</v>
      </c>
      <c r="I4919" t="str">
        <f t="shared" si="76"/>
        <v>Normal Usage</v>
      </c>
    </row>
    <row r="4920" spans="1:9" x14ac:dyDescent="0.3">
      <c r="A4920">
        <v>14919</v>
      </c>
      <c r="B4920">
        <v>454</v>
      </c>
      <c r="C4920" s="2">
        <v>44828</v>
      </c>
      <c r="D4920" s="2" t="str">
        <f>TEXT(Table3[[#This Row],[usage_date]],"mmmm")</f>
        <v>September</v>
      </c>
      <c r="E4920" s="9">
        <f>YEAR(Table3[[#This Row],[usage_date]])</f>
        <v>2022</v>
      </c>
      <c r="F4920" s="14">
        <v>0.09</v>
      </c>
      <c r="G4920">
        <v>32</v>
      </c>
      <c r="H4920" t="s">
        <v>12</v>
      </c>
      <c r="I4920" t="str">
        <f t="shared" si="76"/>
        <v>Normal Usage</v>
      </c>
    </row>
    <row r="4921" spans="1:9" x14ac:dyDescent="0.3">
      <c r="A4921">
        <v>14920</v>
      </c>
      <c r="B4921">
        <v>36</v>
      </c>
      <c r="C4921" s="2">
        <v>45102</v>
      </c>
      <c r="D4921" s="2" t="str">
        <f>TEXT(Table3[[#This Row],[usage_date]],"mmmm")</f>
        <v>June</v>
      </c>
      <c r="E4921" s="9">
        <f>YEAR(Table3[[#This Row],[usage_date]])</f>
        <v>2023</v>
      </c>
      <c r="F4921" s="14">
        <v>0.46</v>
      </c>
      <c r="G4921">
        <v>88</v>
      </c>
      <c r="H4921" t="s">
        <v>12</v>
      </c>
      <c r="I4921" t="str">
        <f t="shared" si="76"/>
        <v>Normal Usage</v>
      </c>
    </row>
    <row r="4922" spans="1:9" x14ac:dyDescent="0.3">
      <c r="A4922">
        <v>14921</v>
      </c>
      <c r="B4922">
        <v>173</v>
      </c>
      <c r="C4922" s="2">
        <v>45320</v>
      </c>
      <c r="D4922" s="2" t="str">
        <f>TEXT(Table3[[#This Row],[usage_date]],"mmmm")</f>
        <v>January</v>
      </c>
      <c r="E4922" s="9">
        <f>YEAR(Table3[[#This Row],[usage_date]])</f>
        <v>2024</v>
      </c>
      <c r="F4922" s="14">
        <v>3.25</v>
      </c>
      <c r="G4922">
        <v>94</v>
      </c>
      <c r="H4922" t="s">
        <v>12</v>
      </c>
      <c r="I4922" t="str">
        <f t="shared" si="76"/>
        <v>Normal Usage</v>
      </c>
    </row>
    <row r="4923" spans="1:9" x14ac:dyDescent="0.3">
      <c r="A4923">
        <v>14922</v>
      </c>
      <c r="B4923">
        <v>420</v>
      </c>
      <c r="C4923" s="2">
        <v>45389</v>
      </c>
      <c r="D4923" s="2" t="str">
        <f>TEXT(Table3[[#This Row],[usage_date]],"mmmm")</f>
        <v>April</v>
      </c>
      <c r="E4923" s="9">
        <f>YEAR(Table3[[#This Row],[usage_date]])</f>
        <v>2024</v>
      </c>
      <c r="F4923" s="14">
        <v>0.51</v>
      </c>
      <c r="G4923">
        <v>220</v>
      </c>
      <c r="H4923" t="s">
        <v>12</v>
      </c>
      <c r="I4923" t="str">
        <f t="shared" si="76"/>
        <v>Normal Usage</v>
      </c>
    </row>
    <row r="4924" spans="1:9" x14ac:dyDescent="0.3">
      <c r="A4924">
        <v>14923</v>
      </c>
      <c r="B4924">
        <v>22</v>
      </c>
      <c r="C4924" s="2">
        <v>45012</v>
      </c>
      <c r="D4924" s="2" t="str">
        <f>TEXT(Table3[[#This Row],[usage_date]],"mmmm")</f>
        <v>March</v>
      </c>
      <c r="E4924" s="9">
        <f>YEAR(Table3[[#This Row],[usage_date]])</f>
        <v>2023</v>
      </c>
      <c r="F4924" s="14">
        <v>1.79</v>
      </c>
      <c r="G4924">
        <v>68</v>
      </c>
      <c r="H4924" t="s">
        <v>12</v>
      </c>
      <c r="I4924" t="str">
        <f t="shared" si="76"/>
        <v>Normal Usage</v>
      </c>
    </row>
    <row r="4925" spans="1:9" x14ac:dyDescent="0.3">
      <c r="A4925">
        <v>14924</v>
      </c>
      <c r="B4925">
        <v>206</v>
      </c>
      <c r="C4925" s="2">
        <v>45010</v>
      </c>
      <c r="D4925" s="2" t="str">
        <f>TEXT(Table3[[#This Row],[usage_date]],"mmmm")</f>
        <v>March</v>
      </c>
      <c r="E4925" s="9">
        <f>YEAR(Table3[[#This Row],[usage_date]])</f>
        <v>2023</v>
      </c>
      <c r="F4925" s="14">
        <v>0.24</v>
      </c>
      <c r="G4925">
        <v>293</v>
      </c>
      <c r="H4925" t="s">
        <v>12</v>
      </c>
      <c r="I4925" t="str">
        <f t="shared" si="76"/>
        <v>Normal Usage</v>
      </c>
    </row>
    <row r="4926" spans="1:9" x14ac:dyDescent="0.3">
      <c r="A4926">
        <v>14925</v>
      </c>
      <c r="B4926">
        <v>127</v>
      </c>
      <c r="C4926" s="2">
        <v>45317</v>
      </c>
      <c r="D4926" s="2" t="str">
        <f>TEXT(Table3[[#This Row],[usage_date]],"mmmm")</f>
        <v>January</v>
      </c>
      <c r="E4926" s="9">
        <f>YEAR(Table3[[#This Row],[usage_date]])</f>
        <v>2024</v>
      </c>
      <c r="F4926" s="14">
        <v>6.34</v>
      </c>
      <c r="G4926">
        <v>236</v>
      </c>
      <c r="H4926" t="s">
        <v>12</v>
      </c>
      <c r="I4926" t="str">
        <f t="shared" si="76"/>
        <v>High Usage</v>
      </c>
    </row>
    <row r="4927" spans="1:9" x14ac:dyDescent="0.3">
      <c r="A4927">
        <v>14926</v>
      </c>
      <c r="B4927">
        <v>336</v>
      </c>
      <c r="C4927" s="2">
        <v>44622</v>
      </c>
      <c r="D4927" s="2" t="str">
        <f>TEXT(Table3[[#This Row],[usage_date]],"mmmm")</f>
        <v>March</v>
      </c>
      <c r="E4927" s="9">
        <f>YEAR(Table3[[#This Row],[usage_date]])</f>
        <v>2022</v>
      </c>
      <c r="F4927" s="14">
        <v>1.05</v>
      </c>
      <c r="G4927">
        <v>159</v>
      </c>
      <c r="H4927" t="s">
        <v>12</v>
      </c>
      <c r="I4927" t="str">
        <f t="shared" si="76"/>
        <v>Normal Usage</v>
      </c>
    </row>
    <row r="4928" spans="1:9" x14ac:dyDescent="0.3">
      <c r="A4928">
        <v>14927</v>
      </c>
      <c r="B4928">
        <v>445</v>
      </c>
      <c r="C4928" s="2">
        <v>45063</v>
      </c>
      <c r="D4928" s="2" t="str">
        <f>TEXT(Table3[[#This Row],[usage_date]],"mmmm")</f>
        <v>May</v>
      </c>
      <c r="E4928" s="9">
        <f>YEAR(Table3[[#This Row],[usage_date]])</f>
        <v>2023</v>
      </c>
      <c r="F4928" s="14">
        <v>5.97</v>
      </c>
      <c r="G4928">
        <v>275</v>
      </c>
      <c r="H4928" t="s">
        <v>12</v>
      </c>
      <c r="I4928" t="str">
        <f t="shared" si="76"/>
        <v>Normal Usage</v>
      </c>
    </row>
    <row r="4929" spans="1:9" x14ac:dyDescent="0.3">
      <c r="A4929">
        <v>14928</v>
      </c>
      <c r="B4929">
        <v>356</v>
      </c>
      <c r="C4929" s="2">
        <v>44708</v>
      </c>
      <c r="D4929" s="2" t="str">
        <f>TEXT(Table3[[#This Row],[usage_date]],"mmmm")</f>
        <v>May</v>
      </c>
      <c r="E4929" s="9">
        <f>YEAR(Table3[[#This Row],[usage_date]])</f>
        <v>2022</v>
      </c>
      <c r="F4929" s="14">
        <v>7.25</v>
      </c>
      <c r="G4929">
        <v>289</v>
      </c>
      <c r="H4929" t="s">
        <v>12</v>
      </c>
      <c r="I4929" t="str">
        <f t="shared" si="76"/>
        <v>High Usage</v>
      </c>
    </row>
    <row r="4930" spans="1:9" x14ac:dyDescent="0.3">
      <c r="A4930">
        <v>14929</v>
      </c>
      <c r="B4930">
        <v>440</v>
      </c>
      <c r="C4930" s="2">
        <v>45247</v>
      </c>
      <c r="D4930" s="2" t="str">
        <f>TEXT(Table3[[#This Row],[usage_date]],"mmmm")</f>
        <v>November</v>
      </c>
      <c r="E4930" s="9">
        <f>YEAR(Table3[[#This Row],[usage_date]])</f>
        <v>2023</v>
      </c>
      <c r="F4930" s="14">
        <v>0.02</v>
      </c>
      <c r="G4930">
        <v>41</v>
      </c>
      <c r="H4930" t="s">
        <v>13</v>
      </c>
      <c r="I4930" t="str">
        <f t="shared" ref="I4930:I4993" si="77">IF(F4930&gt;6,"High Usage","Normal Usage")</f>
        <v>Normal Usage</v>
      </c>
    </row>
    <row r="4931" spans="1:9" x14ac:dyDescent="0.3">
      <c r="A4931">
        <v>14930</v>
      </c>
      <c r="B4931">
        <v>217</v>
      </c>
      <c r="C4931" s="2">
        <v>45351</v>
      </c>
      <c r="D4931" s="2" t="str">
        <f>TEXT(Table3[[#This Row],[usage_date]],"mmmm")</f>
        <v>February</v>
      </c>
      <c r="E4931" s="9">
        <f>YEAR(Table3[[#This Row],[usage_date]])</f>
        <v>2024</v>
      </c>
      <c r="F4931" s="14">
        <v>1.56</v>
      </c>
      <c r="G4931">
        <v>65</v>
      </c>
      <c r="H4931" t="s">
        <v>12</v>
      </c>
      <c r="I4931" t="str">
        <f t="shared" si="77"/>
        <v>Normal Usage</v>
      </c>
    </row>
    <row r="4932" spans="1:9" x14ac:dyDescent="0.3">
      <c r="A4932">
        <v>14931</v>
      </c>
      <c r="B4932">
        <v>96</v>
      </c>
      <c r="C4932" s="2">
        <v>44895</v>
      </c>
      <c r="D4932" s="2" t="str">
        <f>TEXT(Table3[[#This Row],[usage_date]],"mmmm")</f>
        <v>November</v>
      </c>
      <c r="E4932" s="9">
        <f>YEAR(Table3[[#This Row],[usage_date]])</f>
        <v>2022</v>
      </c>
      <c r="F4932" s="14">
        <v>0.06</v>
      </c>
      <c r="G4932">
        <v>20</v>
      </c>
      <c r="H4932" t="s">
        <v>13</v>
      </c>
      <c r="I4932" t="str">
        <f t="shared" si="77"/>
        <v>Normal Usage</v>
      </c>
    </row>
    <row r="4933" spans="1:9" x14ac:dyDescent="0.3">
      <c r="A4933">
        <v>14932</v>
      </c>
      <c r="B4933">
        <v>417</v>
      </c>
      <c r="C4933" s="2">
        <v>45442</v>
      </c>
      <c r="D4933" s="2" t="str">
        <f>TEXT(Table3[[#This Row],[usage_date]],"mmmm")</f>
        <v>May</v>
      </c>
      <c r="E4933" s="9">
        <f>YEAR(Table3[[#This Row],[usage_date]])</f>
        <v>2024</v>
      </c>
      <c r="F4933" s="14">
        <v>5.98</v>
      </c>
      <c r="G4933">
        <v>69</v>
      </c>
      <c r="H4933" t="s">
        <v>12</v>
      </c>
      <c r="I4933" t="str">
        <f t="shared" si="77"/>
        <v>Normal Usage</v>
      </c>
    </row>
    <row r="4934" spans="1:9" x14ac:dyDescent="0.3">
      <c r="A4934">
        <v>14933</v>
      </c>
      <c r="B4934">
        <v>429</v>
      </c>
      <c r="C4934" s="2">
        <v>45452</v>
      </c>
      <c r="D4934" s="2" t="str">
        <f>TEXT(Table3[[#This Row],[usage_date]],"mmmm")</f>
        <v>June</v>
      </c>
      <c r="E4934" s="9">
        <f>YEAR(Table3[[#This Row],[usage_date]])</f>
        <v>2024</v>
      </c>
      <c r="F4934" s="14">
        <v>1.83</v>
      </c>
      <c r="G4934">
        <v>260</v>
      </c>
      <c r="H4934" t="s">
        <v>13</v>
      </c>
      <c r="I4934" t="str">
        <f t="shared" si="77"/>
        <v>Normal Usage</v>
      </c>
    </row>
    <row r="4935" spans="1:9" x14ac:dyDescent="0.3">
      <c r="A4935">
        <v>14934</v>
      </c>
      <c r="B4935">
        <v>164</v>
      </c>
      <c r="C4935" s="2">
        <v>44703</v>
      </c>
      <c r="D4935" s="2" t="str">
        <f>TEXT(Table3[[#This Row],[usage_date]],"mmmm")</f>
        <v>May</v>
      </c>
      <c r="E4935" s="9">
        <f>YEAR(Table3[[#This Row],[usage_date]])</f>
        <v>2022</v>
      </c>
      <c r="F4935" s="14">
        <v>0.19</v>
      </c>
      <c r="G4935">
        <v>245</v>
      </c>
      <c r="H4935" t="s">
        <v>12</v>
      </c>
      <c r="I4935" t="str">
        <f t="shared" si="77"/>
        <v>Normal Usage</v>
      </c>
    </row>
    <row r="4936" spans="1:9" x14ac:dyDescent="0.3">
      <c r="A4936">
        <v>14935</v>
      </c>
      <c r="B4936">
        <v>148</v>
      </c>
      <c r="C4936" s="2">
        <v>44605</v>
      </c>
      <c r="D4936" s="2" t="str">
        <f>TEXT(Table3[[#This Row],[usage_date]],"mmmm")</f>
        <v>February</v>
      </c>
      <c r="E4936" s="9">
        <f>YEAR(Table3[[#This Row],[usage_date]])</f>
        <v>2022</v>
      </c>
      <c r="F4936" s="14">
        <v>0.28999999999999998</v>
      </c>
      <c r="G4936">
        <v>234</v>
      </c>
      <c r="H4936" t="s">
        <v>12</v>
      </c>
      <c r="I4936" t="str">
        <f t="shared" si="77"/>
        <v>Normal Usage</v>
      </c>
    </row>
    <row r="4937" spans="1:9" x14ac:dyDescent="0.3">
      <c r="A4937">
        <v>14936</v>
      </c>
      <c r="B4937">
        <v>18</v>
      </c>
      <c r="C4937" s="2">
        <v>44705</v>
      </c>
      <c r="D4937" s="2" t="str">
        <f>TEXT(Table3[[#This Row],[usage_date]],"mmmm")</f>
        <v>May</v>
      </c>
      <c r="E4937" s="9">
        <f>YEAR(Table3[[#This Row],[usage_date]])</f>
        <v>2022</v>
      </c>
      <c r="F4937" s="14">
        <v>1.21</v>
      </c>
      <c r="G4937">
        <v>271</v>
      </c>
      <c r="H4937" t="s">
        <v>12</v>
      </c>
      <c r="I4937" t="str">
        <f t="shared" si="77"/>
        <v>Normal Usage</v>
      </c>
    </row>
    <row r="4938" spans="1:9" x14ac:dyDescent="0.3">
      <c r="A4938">
        <v>14937</v>
      </c>
      <c r="B4938">
        <v>294</v>
      </c>
      <c r="C4938" s="2">
        <v>45426</v>
      </c>
      <c r="D4938" s="2" t="str">
        <f>TEXT(Table3[[#This Row],[usage_date]],"mmmm")</f>
        <v>May</v>
      </c>
      <c r="E4938" s="9">
        <f>YEAR(Table3[[#This Row],[usage_date]])</f>
        <v>2024</v>
      </c>
      <c r="F4938" s="14">
        <v>7.04</v>
      </c>
      <c r="G4938">
        <v>98</v>
      </c>
      <c r="H4938" t="s">
        <v>12</v>
      </c>
      <c r="I4938" t="str">
        <f t="shared" si="77"/>
        <v>High Usage</v>
      </c>
    </row>
    <row r="4939" spans="1:9" x14ac:dyDescent="0.3">
      <c r="A4939">
        <v>14938</v>
      </c>
      <c r="B4939">
        <v>195</v>
      </c>
      <c r="C4939" s="2">
        <v>44894</v>
      </c>
      <c r="D4939" s="2" t="str">
        <f>TEXT(Table3[[#This Row],[usage_date]],"mmmm")</f>
        <v>November</v>
      </c>
      <c r="E4939" s="9">
        <f>YEAR(Table3[[#This Row],[usage_date]])</f>
        <v>2022</v>
      </c>
      <c r="F4939" s="14">
        <v>2.95</v>
      </c>
      <c r="G4939">
        <v>34</v>
      </c>
      <c r="H4939" t="s">
        <v>13</v>
      </c>
      <c r="I4939" t="str">
        <f t="shared" si="77"/>
        <v>Normal Usage</v>
      </c>
    </row>
    <row r="4940" spans="1:9" x14ac:dyDescent="0.3">
      <c r="A4940">
        <v>14939</v>
      </c>
      <c r="B4940">
        <v>151</v>
      </c>
      <c r="C4940" s="2">
        <v>45058</v>
      </c>
      <c r="D4940" s="2" t="str">
        <f>TEXT(Table3[[#This Row],[usage_date]],"mmmm")</f>
        <v>May</v>
      </c>
      <c r="E4940" s="9">
        <f>YEAR(Table3[[#This Row],[usage_date]])</f>
        <v>2023</v>
      </c>
      <c r="F4940" s="14">
        <v>5.0599999999999996</v>
      </c>
      <c r="G4940">
        <v>170</v>
      </c>
      <c r="H4940" t="s">
        <v>12</v>
      </c>
      <c r="I4940" t="str">
        <f t="shared" si="77"/>
        <v>Normal Usage</v>
      </c>
    </row>
    <row r="4941" spans="1:9" x14ac:dyDescent="0.3">
      <c r="A4941">
        <v>14940</v>
      </c>
      <c r="B4941">
        <v>480</v>
      </c>
      <c r="C4941" s="2">
        <v>44957</v>
      </c>
      <c r="D4941" s="2" t="str">
        <f>TEXT(Table3[[#This Row],[usage_date]],"mmmm")</f>
        <v>January</v>
      </c>
      <c r="E4941" s="9">
        <f>YEAR(Table3[[#This Row],[usage_date]])</f>
        <v>2023</v>
      </c>
      <c r="F4941" s="14">
        <v>1.1399999999999999</v>
      </c>
      <c r="G4941">
        <v>109</v>
      </c>
      <c r="H4941" t="s">
        <v>12</v>
      </c>
      <c r="I4941" t="str">
        <f t="shared" si="77"/>
        <v>Normal Usage</v>
      </c>
    </row>
    <row r="4942" spans="1:9" x14ac:dyDescent="0.3">
      <c r="A4942">
        <v>14941</v>
      </c>
      <c r="B4942">
        <v>365</v>
      </c>
      <c r="C4942" s="2">
        <v>44616</v>
      </c>
      <c r="D4942" s="2" t="str">
        <f>TEXT(Table3[[#This Row],[usage_date]],"mmmm")</f>
        <v>February</v>
      </c>
      <c r="E4942" s="9">
        <f>YEAR(Table3[[#This Row],[usage_date]])</f>
        <v>2022</v>
      </c>
      <c r="F4942" s="14">
        <v>0.11</v>
      </c>
      <c r="G4942">
        <v>294</v>
      </c>
      <c r="H4942" t="s">
        <v>13</v>
      </c>
      <c r="I4942" t="str">
        <f t="shared" si="77"/>
        <v>Normal Usage</v>
      </c>
    </row>
    <row r="4943" spans="1:9" x14ac:dyDescent="0.3">
      <c r="A4943">
        <v>14942</v>
      </c>
      <c r="B4943">
        <v>123</v>
      </c>
      <c r="C4943" s="2">
        <v>44868</v>
      </c>
      <c r="D4943" s="2" t="str">
        <f>TEXT(Table3[[#This Row],[usage_date]],"mmmm")</f>
        <v>November</v>
      </c>
      <c r="E4943" s="9">
        <f>YEAR(Table3[[#This Row],[usage_date]])</f>
        <v>2022</v>
      </c>
      <c r="F4943" s="14">
        <v>9.15</v>
      </c>
      <c r="G4943">
        <v>9</v>
      </c>
      <c r="H4943" t="s">
        <v>12</v>
      </c>
      <c r="I4943" t="str">
        <f t="shared" si="77"/>
        <v>High Usage</v>
      </c>
    </row>
    <row r="4944" spans="1:9" x14ac:dyDescent="0.3">
      <c r="A4944">
        <v>14943</v>
      </c>
      <c r="B4944">
        <v>400</v>
      </c>
      <c r="C4944" s="2">
        <v>45431</v>
      </c>
      <c r="D4944" s="2" t="str">
        <f>TEXT(Table3[[#This Row],[usage_date]],"mmmm")</f>
        <v>May</v>
      </c>
      <c r="E4944" s="9">
        <f>YEAR(Table3[[#This Row],[usage_date]])</f>
        <v>2024</v>
      </c>
      <c r="F4944" s="14">
        <v>0.04</v>
      </c>
      <c r="G4944">
        <v>201</v>
      </c>
      <c r="H4944" t="s">
        <v>12</v>
      </c>
      <c r="I4944" t="str">
        <f t="shared" si="77"/>
        <v>Normal Usage</v>
      </c>
    </row>
    <row r="4945" spans="1:9" x14ac:dyDescent="0.3">
      <c r="A4945">
        <v>14944</v>
      </c>
      <c r="B4945">
        <v>187</v>
      </c>
      <c r="C4945" s="2">
        <v>44984</v>
      </c>
      <c r="D4945" s="2" t="str">
        <f>TEXT(Table3[[#This Row],[usage_date]],"mmmm")</f>
        <v>February</v>
      </c>
      <c r="E4945" s="9">
        <f>YEAR(Table3[[#This Row],[usage_date]])</f>
        <v>2023</v>
      </c>
      <c r="F4945" s="14">
        <v>7.37</v>
      </c>
      <c r="G4945">
        <v>256</v>
      </c>
      <c r="H4945" t="s">
        <v>12</v>
      </c>
      <c r="I4945" t="str">
        <f t="shared" si="77"/>
        <v>High Usage</v>
      </c>
    </row>
    <row r="4946" spans="1:9" x14ac:dyDescent="0.3">
      <c r="A4946">
        <v>14945</v>
      </c>
      <c r="B4946">
        <v>453</v>
      </c>
      <c r="C4946" s="2">
        <v>44978</v>
      </c>
      <c r="D4946" s="2" t="str">
        <f>TEXT(Table3[[#This Row],[usage_date]],"mmmm")</f>
        <v>February</v>
      </c>
      <c r="E4946" s="9">
        <f>YEAR(Table3[[#This Row],[usage_date]])</f>
        <v>2023</v>
      </c>
      <c r="F4946" s="14">
        <v>1.1499999999999999</v>
      </c>
      <c r="G4946">
        <v>261</v>
      </c>
      <c r="H4946" t="s">
        <v>12</v>
      </c>
      <c r="I4946" t="str">
        <f t="shared" si="77"/>
        <v>Normal Usage</v>
      </c>
    </row>
    <row r="4947" spans="1:9" x14ac:dyDescent="0.3">
      <c r="A4947">
        <v>14946</v>
      </c>
      <c r="B4947">
        <v>452</v>
      </c>
      <c r="C4947" s="2">
        <v>45234</v>
      </c>
      <c r="D4947" s="2" t="str">
        <f>TEXT(Table3[[#This Row],[usage_date]],"mmmm")</f>
        <v>November</v>
      </c>
      <c r="E4947" s="9">
        <f>YEAR(Table3[[#This Row],[usage_date]])</f>
        <v>2023</v>
      </c>
      <c r="F4947" s="14">
        <v>0.03</v>
      </c>
      <c r="G4947">
        <v>180</v>
      </c>
      <c r="H4947" t="s">
        <v>13</v>
      </c>
      <c r="I4947" t="str">
        <f t="shared" si="77"/>
        <v>Normal Usage</v>
      </c>
    </row>
    <row r="4948" spans="1:9" x14ac:dyDescent="0.3">
      <c r="A4948">
        <v>14947</v>
      </c>
      <c r="B4948">
        <v>149</v>
      </c>
      <c r="C4948" s="2">
        <v>45358</v>
      </c>
      <c r="D4948" s="2" t="str">
        <f>TEXT(Table3[[#This Row],[usage_date]],"mmmm")</f>
        <v>March</v>
      </c>
      <c r="E4948" s="9">
        <f>YEAR(Table3[[#This Row],[usage_date]])</f>
        <v>2024</v>
      </c>
      <c r="F4948" s="14">
        <v>2.92</v>
      </c>
      <c r="G4948">
        <v>65</v>
      </c>
      <c r="H4948" t="s">
        <v>12</v>
      </c>
      <c r="I4948" t="str">
        <f t="shared" si="77"/>
        <v>Normal Usage</v>
      </c>
    </row>
    <row r="4949" spans="1:9" x14ac:dyDescent="0.3">
      <c r="A4949">
        <v>14948</v>
      </c>
      <c r="B4949">
        <v>104</v>
      </c>
      <c r="C4949" s="2">
        <v>44886</v>
      </c>
      <c r="D4949" s="2" t="str">
        <f>TEXT(Table3[[#This Row],[usage_date]],"mmmm")</f>
        <v>November</v>
      </c>
      <c r="E4949" s="9">
        <f>YEAR(Table3[[#This Row],[usage_date]])</f>
        <v>2022</v>
      </c>
      <c r="F4949" s="14">
        <v>9.85</v>
      </c>
      <c r="G4949">
        <v>293</v>
      </c>
      <c r="H4949" t="s">
        <v>12</v>
      </c>
      <c r="I4949" t="str">
        <f t="shared" si="77"/>
        <v>High Usage</v>
      </c>
    </row>
    <row r="4950" spans="1:9" x14ac:dyDescent="0.3">
      <c r="A4950">
        <v>14949</v>
      </c>
      <c r="B4950">
        <v>243</v>
      </c>
      <c r="C4950" s="2">
        <v>45271</v>
      </c>
      <c r="D4950" s="2" t="str">
        <f>TEXT(Table3[[#This Row],[usage_date]],"mmmm")</f>
        <v>December</v>
      </c>
      <c r="E4950" s="9">
        <f>YEAR(Table3[[#This Row],[usage_date]])</f>
        <v>2023</v>
      </c>
      <c r="F4950" s="14">
        <v>8.43</v>
      </c>
      <c r="G4950">
        <v>160</v>
      </c>
      <c r="H4950" t="s">
        <v>12</v>
      </c>
      <c r="I4950" t="str">
        <f t="shared" si="77"/>
        <v>High Usage</v>
      </c>
    </row>
    <row r="4951" spans="1:9" x14ac:dyDescent="0.3">
      <c r="A4951">
        <v>14950</v>
      </c>
      <c r="B4951">
        <v>462</v>
      </c>
      <c r="C4951" s="2">
        <v>45232</v>
      </c>
      <c r="D4951" s="2" t="str">
        <f>TEXT(Table3[[#This Row],[usage_date]],"mmmm")</f>
        <v>November</v>
      </c>
      <c r="E4951" s="9">
        <f>YEAR(Table3[[#This Row],[usage_date]])</f>
        <v>2023</v>
      </c>
      <c r="F4951" s="14">
        <v>0.44</v>
      </c>
      <c r="G4951">
        <v>66</v>
      </c>
      <c r="H4951" t="s">
        <v>12</v>
      </c>
      <c r="I4951" t="str">
        <f t="shared" si="77"/>
        <v>Normal Usage</v>
      </c>
    </row>
    <row r="4952" spans="1:9" x14ac:dyDescent="0.3">
      <c r="A4952">
        <v>14951</v>
      </c>
      <c r="B4952">
        <v>231</v>
      </c>
      <c r="C4952" s="2">
        <v>44641</v>
      </c>
      <c r="D4952" s="2" t="str">
        <f>TEXT(Table3[[#This Row],[usage_date]],"mmmm")</f>
        <v>March</v>
      </c>
      <c r="E4952" s="9">
        <f>YEAR(Table3[[#This Row],[usage_date]])</f>
        <v>2022</v>
      </c>
      <c r="F4952" s="14">
        <v>0.5</v>
      </c>
      <c r="G4952">
        <v>99</v>
      </c>
      <c r="H4952" t="s">
        <v>12</v>
      </c>
      <c r="I4952" t="str">
        <f t="shared" si="77"/>
        <v>Normal Usage</v>
      </c>
    </row>
    <row r="4953" spans="1:9" x14ac:dyDescent="0.3">
      <c r="A4953">
        <v>14952</v>
      </c>
      <c r="B4953">
        <v>479</v>
      </c>
      <c r="C4953" s="2">
        <v>44592</v>
      </c>
      <c r="D4953" s="2" t="str">
        <f>TEXT(Table3[[#This Row],[usage_date]],"mmmm")</f>
        <v>January</v>
      </c>
      <c r="E4953" s="9">
        <f>YEAR(Table3[[#This Row],[usage_date]])</f>
        <v>2022</v>
      </c>
      <c r="F4953" s="14">
        <v>2.08</v>
      </c>
      <c r="G4953">
        <v>76</v>
      </c>
      <c r="H4953" t="s">
        <v>12</v>
      </c>
      <c r="I4953" t="str">
        <f t="shared" si="77"/>
        <v>Normal Usage</v>
      </c>
    </row>
    <row r="4954" spans="1:9" x14ac:dyDescent="0.3">
      <c r="A4954">
        <v>14953</v>
      </c>
      <c r="B4954">
        <v>206</v>
      </c>
      <c r="C4954" s="2">
        <v>44673</v>
      </c>
      <c r="D4954" s="2" t="str">
        <f>TEXT(Table3[[#This Row],[usage_date]],"mmmm")</f>
        <v>April</v>
      </c>
      <c r="E4954" s="9">
        <f>YEAR(Table3[[#This Row],[usage_date]])</f>
        <v>2022</v>
      </c>
      <c r="F4954" s="14">
        <v>2.54</v>
      </c>
      <c r="G4954">
        <v>34</v>
      </c>
      <c r="H4954" t="s">
        <v>12</v>
      </c>
      <c r="I4954" t="str">
        <f t="shared" si="77"/>
        <v>Normal Usage</v>
      </c>
    </row>
    <row r="4955" spans="1:9" x14ac:dyDescent="0.3">
      <c r="A4955">
        <v>14954</v>
      </c>
      <c r="B4955">
        <v>198</v>
      </c>
      <c r="C4955" s="2">
        <v>45119</v>
      </c>
      <c r="D4955" s="2" t="str">
        <f>TEXT(Table3[[#This Row],[usage_date]],"mmmm")</f>
        <v>July</v>
      </c>
      <c r="E4955" s="9">
        <f>YEAR(Table3[[#This Row],[usage_date]])</f>
        <v>2023</v>
      </c>
      <c r="F4955" s="14">
        <v>3.36</v>
      </c>
      <c r="G4955">
        <v>44</v>
      </c>
      <c r="H4955" t="s">
        <v>13</v>
      </c>
      <c r="I4955" t="str">
        <f t="shared" si="77"/>
        <v>Normal Usage</v>
      </c>
    </row>
    <row r="4956" spans="1:9" x14ac:dyDescent="0.3">
      <c r="A4956">
        <v>14955</v>
      </c>
      <c r="B4956">
        <v>396</v>
      </c>
      <c r="C4956" s="2">
        <v>45426</v>
      </c>
      <c r="D4956" s="2" t="str">
        <f>TEXT(Table3[[#This Row],[usage_date]],"mmmm")</f>
        <v>May</v>
      </c>
      <c r="E4956" s="9">
        <f>YEAR(Table3[[#This Row],[usage_date]])</f>
        <v>2024</v>
      </c>
      <c r="F4956" s="14">
        <v>0.5</v>
      </c>
      <c r="G4956">
        <v>149</v>
      </c>
      <c r="H4956" t="s">
        <v>12</v>
      </c>
      <c r="I4956" t="str">
        <f t="shared" si="77"/>
        <v>Normal Usage</v>
      </c>
    </row>
    <row r="4957" spans="1:9" x14ac:dyDescent="0.3">
      <c r="A4957">
        <v>14956</v>
      </c>
      <c r="B4957">
        <v>400</v>
      </c>
      <c r="C4957" s="2">
        <v>45278</v>
      </c>
      <c r="D4957" s="2" t="str">
        <f>TEXT(Table3[[#This Row],[usage_date]],"mmmm")</f>
        <v>December</v>
      </c>
      <c r="E4957" s="9">
        <f>YEAR(Table3[[#This Row],[usage_date]])</f>
        <v>2023</v>
      </c>
      <c r="F4957" s="14">
        <v>7.99</v>
      </c>
      <c r="G4957">
        <v>67</v>
      </c>
      <c r="H4957" t="s">
        <v>12</v>
      </c>
      <c r="I4957" t="str">
        <f t="shared" si="77"/>
        <v>High Usage</v>
      </c>
    </row>
    <row r="4958" spans="1:9" x14ac:dyDescent="0.3">
      <c r="A4958">
        <v>14957</v>
      </c>
      <c r="B4958">
        <v>337</v>
      </c>
      <c r="C4958" s="2">
        <v>45125</v>
      </c>
      <c r="D4958" s="2" t="str">
        <f>TEXT(Table3[[#This Row],[usage_date]],"mmmm")</f>
        <v>July</v>
      </c>
      <c r="E4958" s="9">
        <f>YEAR(Table3[[#This Row],[usage_date]])</f>
        <v>2023</v>
      </c>
      <c r="F4958" s="14">
        <v>2.5499999999999998</v>
      </c>
      <c r="G4958">
        <v>253</v>
      </c>
      <c r="H4958" t="s">
        <v>12</v>
      </c>
      <c r="I4958" t="str">
        <f t="shared" si="77"/>
        <v>Normal Usage</v>
      </c>
    </row>
    <row r="4959" spans="1:9" x14ac:dyDescent="0.3">
      <c r="A4959">
        <v>14958</v>
      </c>
      <c r="B4959">
        <v>493</v>
      </c>
      <c r="C4959" s="2">
        <v>45211</v>
      </c>
      <c r="D4959" s="2" t="str">
        <f>TEXT(Table3[[#This Row],[usage_date]],"mmmm")</f>
        <v>October</v>
      </c>
      <c r="E4959" s="9">
        <f>YEAR(Table3[[#This Row],[usage_date]])</f>
        <v>2023</v>
      </c>
      <c r="F4959" s="14">
        <v>4.6900000000000004</v>
      </c>
      <c r="G4959">
        <v>16</v>
      </c>
      <c r="H4959" t="s">
        <v>13</v>
      </c>
      <c r="I4959" t="str">
        <f t="shared" si="77"/>
        <v>Normal Usage</v>
      </c>
    </row>
    <row r="4960" spans="1:9" x14ac:dyDescent="0.3">
      <c r="A4960">
        <v>14959</v>
      </c>
      <c r="B4960">
        <v>87</v>
      </c>
      <c r="C4960" s="2">
        <v>45033</v>
      </c>
      <c r="D4960" s="2" t="str">
        <f>TEXT(Table3[[#This Row],[usage_date]],"mmmm")</f>
        <v>April</v>
      </c>
      <c r="E4960" s="9">
        <f>YEAR(Table3[[#This Row],[usage_date]])</f>
        <v>2023</v>
      </c>
      <c r="F4960" s="14">
        <v>1.94</v>
      </c>
      <c r="G4960">
        <v>260</v>
      </c>
      <c r="H4960" t="s">
        <v>12</v>
      </c>
      <c r="I4960" t="str">
        <f t="shared" si="77"/>
        <v>Normal Usage</v>
      </c>
    </row>
    <row r="4961" spans="1:9" x14ac:dyDescent="0.3">
      <c r="A4961">
        <v>14960</v>
      </c>
      <c r="B4961">
        <v>142</v>
      </c>
      <c r="C4961" s="2">
        <v>44635</v>
      </c>
      <c r="D4961" s="2" t="str">
        <f>TEXT(Table3[[#This Row],[usage_date]],"mmmm")</f>
        <v>March</v>
      </c>
      <c r="E4961" s="9">
        <f>YEAR(Table3[[#This Row],[usage_date]])</f>
        <v>2022</v>
      </c>
      <c r="F4961" s="14">
        <v>1.34</v>
      </c>
      <c r="G4961">
        <v>212</v>
      </c>
      <c r="H4961" t="s">
        <v>13</v>
      </c>
      <c r="I4961" t="str">
        <f t="shared" si="77"/>
        <v>Normal Usage</v>
      </c>
    </row>
    <row r="4962" spans="1:9" x14ac:dyDescent="0.3">
      <c r="A4962">
        <v>14961</v>
      </c>
      <c r="B4962">
        <v>317</v>
      </c>
      <c r="C4962" s="2">
        <v>45114</v>
      </c>
      <c r="D4962" s="2" t="str">
        <f>TEXT(Table3[[#This Row],[usage_date]],"mmmm")</f>
        <v>July</v>
      </c>
      <c r="E4962" s="9">
        <f>YEAR(Table3[[#This Row],[usage_date]])</f>
        <v>2023</v>
      </c>
      <c r="F4962" s="14">
        <v>9.4499999999999993</v>
      </c>
      <c r="G4962">
        <v>255</v>
      </c>
      <c r="H4962" t="s">
        <v>13</v>
      </c>
      <c r="I4962" t="str">
        <f t="shared" si="77"/>
        <v>High Usage</v>
      </c>
    </row>
    <row r="4963" spans="1:9" x14ac:dyDescent="0.3">
      <c r="A4963">
        <v>14962</v>
      </c>
      <c r="B4963">
        <v>199</v>
      </c>
      <c r="C4963" s="2">
        <v>45040</v>
      </c>
      <c r="D4963" s="2" t="str">
        <f>TEXT(Table3[[#This Row],[usage_date]],"mmmm")</f>
        <v>April</v>
      </c>
      <c r="E4963" s="9">
        <f>YEAR(Table3[[#This Row],[usage_date]])</f>
        <v>2023</v>
      </c>
      <c r="F4963" s="14">
        <v>2.1800000000000002</v>
      </c>
      <c r="G4963">
        <v>215</v>
      </c>
      <c r="H4963" t="s">
        <v>13</v>
      </c>
      <c r="I4963" t="str">
        <f t="shared" si="77"/>
        <v>Normal Usage</v>
      </c>
    </row>
    <row r="4964" spans="1:9" x14ac:dyDescent="0.3">
      <c r="A4964">
        <v>14963</v>
      </c>
      <c r="B4964">
        <v>46</v>
      </c>
      <c r="C4964" s="2">
        <v>45150</v>
      </c>
      <c r="D4964" s="2" t="str">
        <f>TEXT(Table3[[#This Row],[usage_date]],"mmmm")</f>
        <v>August</v>
      </c>
      <c r="E4964" s="9">
        <f>YEAR(Table3[[#This Row],[usage_date]])</f>
        <v>2023</v>
      </c>
      <c r="F4964" s="14">
        <v>5.04</v>
      </c>
      <c r="G4964">
        <v>285</v>
      </c>
      <c r="H4964" t="s">
        <v>12</v>
      </c>
      <c r="I4964" t="str">
        <f t="shared" si="77"/>
        <v>Normal Usage</v>
      </c>
    </row>
    <row r="4965" spans="1:9" x14ac:dyDescent="0.3">
      <c r="A4965">
        <v>14964</v>
      </c>
      <c r="B4965">
        <v>288</v>
      </c>
      <c r="C4965" s="2">
        <v>44948</v>
      </c>
      <c r="D4965" s="2" t="str">
        <f>TEXT(Table3[[#This Row],[usage_date]],"mmmm")</f>
        <v>January</v>
      </c>
      <c r="E4965" s="9">
        <f>YEAR(Table3[[#This Row],[usage_date]])</f>
        <v>2023</v>
      </c>
      <c r="F4965" s="14">
        <v>7.66</v>
      </c>
      <c r="G4965">
        <v>6</v>
      </c>
      <c r="H4965" t="s">
        <v>12</v>
      </c>
      <c r="I4965" t="str">
        <f t="shared" si="77"/>
        <v>High Usage</v>
      </c>
    </row>
    <row r="4966" spans="1:9" x14ac:dyDescent="0.3">
      <c r="A4966">
        <v>14965</v>
      </c>
      <c r="B4966">
        <v>15</v>
      </c>
      <c r="C4966" s="2">
        <v>45260</v>
      </c>
      <c r="D4966" s="2" t="str">
        <f>TEXT(Table3[[#This Row],[usage_date]],"mmmm")</f>
        <v>November</v>
      </c>
      <c r="E4966" s="9">
        <f>YEAR(Table3[[#This Row],[usage_date]])</f>
        <v>2023</v>
      </c>
      <c r="F4966" s="14">
        <v>2.81</v>
      </c>
      <c r="G4966">
        <v>198</v>
      </c>
      <c r="H4966" t="s">
        <v>12</v>
      </c>
      <c r="I4966" t="str">
        <f t="shared" si="77"/>
        <v>Normal Usage</v>
      </c>
    </row>
    <row r="4967" spans="1:9" x14ac:dyDescent="0.3">
      <c r="A4967">
        <v>14966</v>
      </c>
      <c r="B4967">
        <v>44</v>
      </c>
      <c r="C4967" s="2">
        <v>45443</v>
      </c>
      <c r="D4967" s="2" t="str">
        <f>TEXT(Table3[[#This Row],[usage_date]],"mmmm")</f>
        <v>May</v>
      </c>
      <c r="E4967" s="9">
        <f>YEAR(Table3[[#This Row],[usage_date]])</f>
        <v>2024</v>
      </c>
      <c r="F4967" s="14">
        <v>1.99</v>
      </c>
      <c r="G4967">
        <v>90</v>
      </c>
      <c r="H4967" t="s">
        <v>13</v>
      </c>
      <c r="I4967" t="str">
        <f t="shared" si="77"/>
        <v>Normal Usage</v>
      </c>
    </row>
    <row r="4968" spans="1:9" x14ac:dyDescent="0.3">
      <c r="A4968">
        <v>14967</v>
      </c>
      <c r="B4968">
        <v>401</v>
      </c>
      <c r="C4968" s="2">
        <v>45125</v>
      </c>
      <c r="D4968" s="2" t="str">
        <f>TEXT(Table3[[#This Row],[usage_date]],"mmmm")</f>
        <v>July</v>
      </c>
      <c r="E4968" s="9">
        <f>YEAR(Table3[[#This Row],[usage_date]])</f>
        <v>2023</v>
      </c>
      <c r="F4968" s="14">
        <v>0.01</v>
      </c>
      <c r="G4968">
        <v>146</v>
      </c>
      <c r="H4968" t="s">
        <v>13</v>
      </c>
      <c r="I4968" t="str">
        <f t="shared" si="77"/>
        <v>Normal Usage</v>
      </c>
    </row>
    <row r="4969" spans="1:9" x14ac:dyDescent="0.3">
      <c r="A4969">
        <v>14968</v>
      </c>
      <c r="B4969">
        <v>169</v>
      </c>
      <c r="C4969" s="2">
        <v>44994</v>
      </c>
      <c r="D4969" s="2" t="str">
        <f>TEXT(Table3[[#This Row],[usage_date]],"mmmm")</f>
        <v>March</v>
      </c>
      <c r="E4969" s="9">
        <f>YEAR(Table3[[#This Row],[usage_date]])</f>
        <v>2023</v>
      </c>
      <c r="F4969" s="14">
        <v>0.1</v>
      </c>
      <c r="G4969">
        <v>149</v>
      </c>
      <c r="H4969" t="s">
        <v>13</v>
      </c>
      <c r="I4969" t="str">
        <f t="shared" si="77"/>
        <v>Normal Usage</v>
      </c>
    </row>
    <row r="4970" spans="1:9" x14ac:dyDescent="0.3">
      <c r="A4970">
        <v>14969</v>
      </c>
      <c r="B4970">
        <v>310</v>
      </c>
      <c r="C4970" s="2">
        <v>44973</v>
      </c>
      <c r="D4970" s="2" t="str">
        <f>TEXT(Table3[[#This Row],[usage_date]],"mmmm")</f>
        <v>February</v>
      </c>
      <c r="E4970" s="9">
        <f>YEAR(Table3[[#This Row],[usage_date]])</f>
        <v>2023</v>
      </c>
      <c r="F4970" s="14">
        <v>0.56000000000000005</v>
      </c>
      <c r="G4970">
        <v>51</v>
      </c>
      <c r="H4970" t="s">
        <v>12</v>
      </c>
      <c r="I4970" t="str">
        <f t="shared" si="77"/>
        <v>Normal Usage</v>
      </c>
    </row>
    <row r="4971" spans="1:9" x14ac:dyDescent="0.3">
      <c r="A4971">
        <v>14970</v>
      </c>
      <c r="B4971">
        <v>495</v>
      </c>
      <c r="C4971" s="2">
        <v>45028</v>
      </c>
      <c r="D4971" s="2" t="str">
        <f>TEXT(Table3[[#This Row],[usage_date]],"mmmm")</f>
        <v>April</v>
      </c>
      <c r="E4971" s="9">
        <f>YEAR(Table3[[#This Row],[usage_date]])</f>
        <v>2023</v>
      </c>
      <c r="F4971" s="14">
        <v>0.51</v>
      </c>
      <c r="G4971">
        <v>242</v>
      </c>
      <c r="H4971" t="s">
        <v>12</v>
      </c>
      <c r="I4971" t="str">
        <f t="shared" si="77"/>
        <v>Normal Usage</v>
      </c>
    </row>
    <row r="4972" spans="1:9" x14ac:dyDescent="0.3">
      <c r="A4972">
        <v>14971</v>
      </c>
      <c r="B4972">
        <v>44</v>
      </c>
      <c r="C4972" s="2">
        <v>45160</v>
      </c>
      <c r="D4972" s="2" t="str">
        <f>TEXT(Table3[[#This Row],[usage_date]],"mmmm")</f>
        <v>August</v>
      </c>
      <c r="E4972" s="9">
        <f>YEAR(Table3[[#This Row],[usage_date]])</f>
        <v>2023</v>
      </c>
      <c r="F4972" s="14">
        <v>0.74</v>
      </c>
      <c r="G4972">
        <v>218</v>
      </c>
      <c r="H4972" t="s">
        <v>12</v>
      </c>
      <c r="I4972" t="str">
        <f t="shared" si="77"/>
        <v>Normal Usage</v>
      </c>
    </row>
    <row r="4973" spans="1:9" x14ac:dyDescent="0.3">
      <c r="A4973">
        <v>14972</v>
      </c>
      <c r="B4973">
        <v>98</v>
      </c>
      <c r="C4973" s="2">
        <v>45182</v>
      </c>
      <c r="D4973" s="2" t="str">
        <f>TEXT(Table3[[#This Row],[usage_date]],"mmmm")</f>
        <v>September</v>
      </c>
      <c r="E4973" s="9">
        <f>YEAR(Table3[[#This Row],[usage_date]])</f>
        <v>2023</v>
      </c>
      <c r="F4973" s="14">
        <v>0.91</v>
      </c>
      <c r="G4973">
        <v>5</v>
      </c>
      <c r="H4973" t="s">
        <v>12</v>
      </c>
      <c r="I4973" t="str">
        <f t="shared" si="77"/>
        <v>Normal Usage</v>
      </c>
    </row>
    <row r="4974" spans="1:9" x14ac:dyDescent="0.3">
      <c r="A4974">
        <v>14973</v>
      </c>
      <c r="B4974">
        <v>261</v>
      </c>
      <c r="C4974" s="2">
        <v>45298</v>
      </c>
      <c r="D4974" s="2" t="str">
        <f>TEXT(Table3[[#This Row],[usage_date]],"mmmm")</f>
        <v>January</v>
      </c>
      <c r="E4974" s="9">
        <f>YEAR(Table3[[#This Row],[usage_date]])</f>
        <v>2024</v>
      </c>
      <c r="F4974" s="14">
        <v>1.1200000000000001</v>
      </c>
      <c r="G4974">
        <v>108</v>
      </c>
      <c r="H4974" t="s">
        <v>12</v>
      </c>
      <c r="I4974" t="str">
        <f t="shared" si="77"/>
        <v>Normal Usage</v>
      </c>
    </row>
    <row r="4975" spans="1:9" x14ac:dyDescent="0.3">
      <c r="A4975">
        <v>14974</v>
      </c>
      <c r="B4975">
        <v>109</v>
      </c>
      <c r="C4975" s="2">
        <v>44809</v>
      </c>
      <c r="D4975" s="2" t="str">
        <f>TEXT(Table3[[#This Row],[usage_date]],"mmmm")</f>
        <v>September</v>
      </c>
      <c r="E4975" s="9">
        <f>YEAR(Table3[[#This Row],[usage_date]])</f>
        <v>2022</v>
      </c>
      <c r="F4975" s="14">
        <v>1.36</v>
      </c>
      <c r="G4975">
        <v>65</v>
      </c>
      <c r="H4975" t="s">
        <v>12</v>
      </c>
      <c r="I4975" t="str">
        <f t="shared" si="77"/>
        <v>Normal Usage</v>
      </c>
    </row>
    <row r="4976" spans="1:9" x14ac:dyDescent="0.3">
      <c r="A4976">
        <v>14975</v>
      </c>
      <c r="B4976">
        <v>283</v>
      </c>
      <c r="C4976" s="2">
        <v>45142</v>
      </c>
      <c r="D4976" s="2" t="str">
        <f>TEXT(Table3[[#This Row],[usage_date]],"mmmm")</f>
        <v>August</v>
      </c>
      <c r="E4976" s="9">
        <f>YEAR(Table3[[#This Row],[usage_date]])</f>
        <v>2023</v>
      </c>
      <c r="F4976" s="14">
        <v>0.26</v>
      </c>
      <c r="G4976">
        <v>9</v>
      </c>
      <c r="H4976" t="s">
        <v>13</v>
      </c>
      <c r="I4976" t="str">
        <f t="shared" si="77"/>
        <v>Normal Usage</v>
      </c>
    </row>
    <row r="4977" spans="1:9" x14ac:dyDescent="0.3">
      <c r="A4977">
        <v>14976</v>
      </c>
      <c r="B4977">
        <v>372</v>
      </c>
      <c r="C4977" s="2">
        <v>44681</v>
      </c>
      <c r="D4977" s="2" t="str">
        <f>TEXT(Table3[[#This Row],[usage_date]],"mmmm")</f>
        <v>April</v>
      </c>
      <c r="E4977" s="9">
        <f>YEAR(Table3[[#This Row],[usage_date]])</f>
        <v>2022</v>
      </c>
      <c r="F4977" s="14">
        <v>0.11</v>
      </c>
      <c r="G4977">
        <v>201</v>
      </c>
      <c r="H4977" t="s">
        <v>12</v>
      </c>
      <c r="I4977" t="str">
        <f t="shared" si="77"/>
        <v>Normal Usage</v>
      </c>
    </row>
    <row r="4978" spans="1:9" x14ac:dyDescent="0.3">
      <c r="A4978">
        <v>14977</v>
      </c>
      <c r="B4978">
        <v>343</v>
      </c>
      <c r="C4978" s="2">
        <v>44628</v>
      </c>
      <c r="D4978" s="2" t="str">
        <f>TEXT(Table3[[#This Row],[usage_date]],"mmmm")</f>
        <v>March</v>
      </c>
      <c r="E4978" s="9">
        <f>YEAR(Table3[[#This Row],[usage_date]])</f>
        <v>2022</v>
      </c>
      <c r="F4978" s="14">
        <v>2.8</v>
      </c>
      <c r="G4978">
        <v>281</v>
      </c>
      <c r="H4978" t="s">
        <v>13</v>
      </c>
      <c r="I4978" t="str">
        <f t="shared" si="77"/>
        <v>Normal Usage</v>
      </c>
    </row>
    <row r="4979" spans="1:9" x14ac:dyDescent="0.3">
      <c r="A4979">
        <v>14978</v>
      </c>
      <c r="B4979">
        <v>104</v>
      </c>
      <c r="C4979" s="2">
        <v>45134</v>
      </c>
      <c r="D4979" s="2" t="str">
        <f>TEXT(Table3[[#This Row],[usage_date]],"mmmm")</f>
        <v>July</v>
      </c>
      <c r="E4979" s="9">
        <f>YEAR(Table3[[#This Row],[usage_date]])</f>
        <v>2023</v>
      </c>
      <c r="F4979" s="14">
        <v>1.93</v>
      </c>
      <c r="G4979">
        <v>213</v>
      </c>
      <c r="H4979" t="s">
        <v>13</v>
      </c>
      <c r="I4979" t="str">
        <f t="shared" si="77"/>
        <v>Normal Usage</v>
      </c>
    </row>
    <row r="4980" spans="1:9" x14ac:dyDescent="0.3">
      <c r="A4980">
        <v>14979</v>
      </c>
      <c r="B4980">
        <v>256</v>
      </c>
      <c r="C4980" s="2">
        <v>44888</v>
      </c>
      <c r="D4980" s="2" t="str">
        <f>TEXT(Table3[[#This Row],[usage_date]],"mmmm")</f>
        <v>November</v>
      </c>
      <c r="E4980" s="9">
        <f>YEAR(Table3[[#This Row],[usage_date]])</f>
        <v>2022</v>
      </c>
      <c r="F4980" s="14">
        <v>1.47</v>
      </c>
      <c r="G4980">
        <v>67</v>
      </c>
      <c r="H4980" t="s">
        <v>12</v>
      </c>
      <c r="I4980" t="str">
        <f t="shared" si="77"/>
        <v>Normal Usage</v>
      </c>
    </row>
    <row r="4981" spans="1:9" x14ac:dyDescent="0.3">
      <c r="A4981">
        <v>14980</v>
      </c>
      <c r="B4981">
        <v>379</v>
      </c>
      <c r="C4981" s="2">
        <v>45264</v>
      </c>
      <c r="D4981" s="2" t="str">
        <f>TEXT(Table3[[#This Row],[usage_date]],"mmmm")</f>
        <v>December</v>
      </c>
      <c r="E4981" s="9">
        <f>YEAR(Table3[[#This Row],[usage_date]])</f>
        <v>2023</v>
      </c>
      <c r="F4981" s="14">
        <v>2.52</v>
      </c>
      <c r="G4981">
        <v>246</v>
      </c>
      <c r="H4981" t="s">
        <v>12</v>
      </c>
      <c r="I4981" t="str">
        <f t="shared" si="77"/>
        <v>Normal Usage</v>
      </c>
    </row>
    <row r="4982" spans="1:9" x14ac:dyDescent="0.3">
      <c r="A4982">
        <v>14981</v>
      </c>
      <c r="B4982">
        <v>206</v>
      </c>
      <c r="C4982" s="2">
        <v>45031</v>
      </c>
      <c r="D4982" s="2" t="str">
        <f>TEXT(Table3[[#This Row],[usage_date]],"mmmm")</f>
        <v>April</v>
      </c>
      <c r="E4982" s="9">
        <f>YEAR(Table3[[#This Row],[usage_date]])</f>
        <v>2023</v>
      </c>
      <c r="F4982" s="14">
        <v>4.4000000000000004</v>
      </c>
      <c r="G4982">
        <v>49</v>
      </c>
      <c r="H4982" t="s">
        <v>12</v>
      </c>
      <c r="I4982" t="str">
        <f t="shared" si="77"/>
        <v>Normal Usage</v>
      </c>
    </row>
    <row r="4983" spans="1:9" x14ac:dyDescent="0.3">
      <c r="A4983">
        <v>14982</v>
      </c>
      <c r="B4983">
        <v>335</v>
      </c>
      <c r="C4983" s="2">
        <v>45054</v>
      </c>
      <c r="D4983" s="2" t="str">
        <f>TEXT(Table3[[#This Row],[usage_date]],"mmmm")</f>
        <v>May</v>
      </c>
      <c r="E4983" s="9">
        <f>YEAR(Table3[[#This Row],[usage_date]])</f>
        <v>2023</v>
      </c>
      <c r="F4983" s="14">
        <v>1.4</v>
      </c>
      <c r="G4983">
        <v>16</v>
      </c>
      <c r="H4983" t="s">
        <v>12</v>
      </c>
      <c r="I4983" t="str">
        <f t="shared" si="77"/>
        <v>Normal Usage</v>
      </c>
    </row>
    <row r="4984" spans="1:9" x14ac:dyDescent="0.3">
      <c r="A4984">
        <v>14983</v>
      </c>
      <c r="B4984">
        <v>43</v>
      </c>
      <c r="C4984" s="2">
        <v>45262</v>
      </c>
      <c r="D4984" s="2" t="str">
        <f>TEXT(Table3[[#This Row],[usage_date]],"mmmm")</f>
        <v>December</v>
      </c>
      <c r="E4984" s="9">
        <f>YEAR(Table3[[#This Row],[usage_date]])</f>
        <v>2023</v>
      </c>
      <c r="F4984" s="14">
        <v>2.56</v>
      </c>
      <c r="G4984">
        <v>10</v>
      </c>
      <c r="H4984" t="s">
        <v>12</v>
      </c>
      <c r="I4984" t="str">
        <f t="shared" si="77"/>
        <v>Normal Usage</v>
      </c>
    </row>
    <row r="4985" spans="1:9" x14ac:dyDescent="0.3">
      <c r="A4985">
        <v>14984</v>
      </c>
      <c r="B4985">
        <v>353</v>
      </c>
      <c r="C4985" s="2">
        <v>45224</v>
      </c>
      <c r="D4985" s="2" t="str">
        <f>TEXT(Table3[[#This Row],[usage_date]],"mmmm")</f>
        <v>October</v>
      </c>
      <c r="E4985" s="9">
        <f>YEAR(Table3[[#This Row],[usage_date]])</f>
        <v>2023</v>
      </c>
      <c r="F4985" s="14">
        <v>7.67</v>
      </c>
      <c r="G4985">
        <v>123</v>
      </c>
      <c r="H4985" t="s">
        <v>12</v>
      </c>
      <c r="I4985" t="str">
        <f t="shared" si="77"/>
        <v>High Usage</v>
      </c>
    </row>
    <row r="4986" spans="1:9" x14ac:dyDescent="0.3">
      <c r="A4986">
        <v>14985</v>
      </c>
      <c r="B4986">
        <v>245</v>
      </c>
      <c r="C4986" s="2">
        <v>44847</v>
      </c>
      <c r="D4986" s="2" t="str">
        <f>TEXT(Table3[[#This Row],[usage_date]],"mmmm")</f>
        <v>October</v>
      </c>
      <c r="E4986" s="9">
        <f>YEAR(Table3[[#This Row],[usage_date]])</f>
        <v>2022</v>
      </c>
      <c r="F4986" s="14">
        <v>4.58</v>
      </c>
      <c r="G4986">
        <v>224</v>
      </c>
      <c r="H4986" t="s">
        <v>13</v>
      </c>
      <c r="I4986" t="str">
        <f t="shared" si="77"/>
        <v>Normal Usage</v>
      </c>
    </row>
    <row r="4987" spans="1:9" x14ac:dyDescent="0.3">
      <c r="A4987">
        <v>14986</v>
      </c>
      <c r="B4987">
        <v>287</v>
      </c>
      <c r="C4987" s="2">
        <v>45169</v>
      </c>
      <c r="D4987" s="2" t="str">
        <f>TEXT(Table3[[#This Row],[usage_date]],"mmmm")</f>
        <v>August</v>
      </c>
      <c r="E4987" s="9">
        <f>YEAR(Table3[[#This Row],[usage_date]])</f>
        <v>2023</v>
      </c>
      <c r="F4987" s="14">
        <v>1.39</v>
      </c>
      <c r="G4987">
        <v>243</v>
      </c>
      <c r="H4987" t="s">
        <v>12</v>
      </c>
      <c r="I4987" t="str">
        <f t="shared" si="77"/>
        <v>Normal Usage</v>
      </c>
    </row>
    <row r="4988" spans="1:9" x14ac:dyDescent="0.3">
      <c r="A4988">
        <v>14987</v>
      </c>
      <c r="B4988">
        <v>355</v>
      </c>
      <c r="C4988" s="2">
        <v>44873</v>
      </c>
      <c r="D4988" s="2" t="str">
        <f>TEXT(Table3[[#This Row],[usage_date]],"mmmm")</f>
        <v>November</v>
      </c>
      <c r="E4988" s="9">
        <f>YEAR(Table3[[#This Row],[usage_date]])</f>
        <v>2022</v>
      </c>
      <c r="F4988" s="14">
        <v>2.59</v>
      </c>
      <c r="G4988">
        <v>28</v>
      </c>
      <c r="H4988" t="s">
        <v>12</v>
      </c>
      <c r="I4988" t="str">
        <f t="shared" si="77"/>
        <v>Normal Usage</v>
      </c>
    </row>
    <row r="4989" spans="1:9" x14ac:dyDescent="0.3">
      <c r="A4989">
        <v>14988</v>
      </c>
      <c r="B4989">
        <v>273</v>
      </c>
      <c r="C4989" s="2">
        <v>44870</v>
      </c>
      <c r="D4989" s="2" t="str">
        <f>TEXT(Table3[[#This Row],[usage_date]],"mmmm")</f>
        <v>November</v>
      </c>
      <c r="E4989" s="9">
        <f>YEAR(Table3[[#This Row],[usage_date]])</f>
        <v>2022</v>
      </c>
      <c r="F4989" s="14">
        <v>0.49</v>
      </c>
      <c r="G4989">
        <v>284</v>
      </c>
      <c r="H4989" t="s">
        <v>13</v>
      </c>
      <c r="I4989" t="str">
        <f t="shared" si="77"/>
        <v>Normal Usage</v>
      </c>
    </row>
    <row r="4990" spans="1:9" x14ac:dyDescent="0.3">
      <c r="A4990">
        <v>14989</v>
      </c>
      <c r="B4990">
        <v>476</v>
      </c>
      <c r="C4990" s="2">
        <v>45336</v>
      </c>
      <c r="D4990" s="2" t="str">
        <f>TEXT(Table3[[#This Row],[usage_date]],"mmmm")</f>
        <v>February</v>
      </c>
      <c r="E4990" s="9">
        <f>YEAR(Table3[[#This Row],[usage_date]])</f>
        <v>2024</v>
      </c>
      <c r="F4990" s="14">
        <v>2.06</v>
      </c>
      <c r="G4990">
        <v>58</v>
      </c>
      <c r="H4990" t="s">
        <v>12</v>
      </c>
      <c r="I4990" t="str">
        <f t="shared" si="77"/>
        <v>Normal Usage</v>
      </c>
    </row>
    <row r="4991" spans="1:9" x14ac:dyDescent="0.3">
      <c r="A4991">
        <v>14990</v>
      </c>
      <c r="B4991">
        <v>83</v>
      </c>
      <c r="C4991" s="2">
        <v>44658</v>
      </c>
      <c r="D4991" s="2" t="str">
        <f>TEXT(Table3[[#This Row],[usage_date]],"mmmm")</f>
        <v>April</v>
      </c>
      <c r="E4991" s="9">
        <f>YEAR(Table3[[#This Row],[usage_date]])</f>
        <v>2022</v>
      </c>
      <c r="F4991" s="14">
        <v>9.9499999999999993</v>
      </c>
      <c r="G4991">
        <v>142</v>
      </c>
      <c r="H4991" t="s">
        <v>12</v>
      </c>
      <c r="I4991" t="str">
        <f t="shared" si="77"/>
        <v>High Usage</v>
      </c>
    </row>
    <row r="4992" spans="1:9" x14ac:dyDescent="0.3">
      <c r="A4992">
        <v>14991</v>
      </c>
      <c r="B4992">
        <v>110</v>
      </c>
      <c r="C4992" s="2">
        <v>44674</v>
      </c>
      <c r="D4992" s="2" t="str">
        <f>TEXT(Table3[[#This Row],[usage_date]],"mmmm")</f>
        <v>April</v>
      </c>
      <c r="E4992" s="9">
        <f>YEAR(Table3[[#This Row],[usage_date]])</f>
        <v>2022</v>
      </c>
      <c r="F4992" s="14">
        <v>1.83</v>
      </c>
      <c r="G4992">
        <v>299</v>
      </c>
      <c r="H4992" t="s">
        <v>13</v>
      </c>
      <c r="I4992" t="str">
        <f t="shared" si="77"/>
        <v>Normal Usage</v>
      </c>
    </row>
    <row r="4993" spans="1:9" x14ac:dyDescent="0.3">
      <c r="A4993">
        <v>14992</v>
      </c>
      <c r="B4993">
        <v>438</v>
      </c>
      <c r="C4993" s="2">
        <v>45198</v>
      </c>
      <c r="D4993" s="2" t="str">
        <f>TEXT(Table3[[#This Row],[usage_date]],"mmmm")</f>
        <v>September</v>
      </c>
      <c r="E4993" s="9">
        <f>YEAR(Table3[[#This Row],[usage_date]])</f>
        <v>2023</v>
      </c>
      <c r="F4993" s="14">
        <v>6.57</v>
      </c>
      <c r="G4993">
        <v>225</v>
      </c>
      <c r="H4993" t="s">
        <v>12</v>
      </c>
      <c r="I4993" t="str">
        <f t="shared" si="77"/>
        <v>High Usage</v>
      </c>
    </row>
    <row r="4994" spans="1:9" x14ac:dyDescent="0.3">
      <c r="A4994">
        <v>14993</v>
      </c>
      <c r="B4994">
        <v>190</v>
      </c>
      <c r="C4994" s="2">
        <v>45017</v>
      </c>
      <c r="D4994" s="2" t="str">
        <f>TEXT(Table3[[#This Row],[usage_date]],"mmmm")</f>
        <v>April</v>
      </c>
      <c r="E4994" s="9">
        <f>YEAR(Table3[[#This Row],[usage_date]])</f>
        <v>2023</v>
      </c>
      <c r="F4994" s="14">
        <v>1.31</v>
      </c>
      <c r="G4994">
        <v>163</v>
      </c>
      <c r="H4994" t="s">
        <v>12</v>
      </c>
      <c r="I4994" t="str">
        <f t="shared" ref="I4994:I5057" si="78">IF(F4994&gt;6,"High Usage","Normal Usage")</f>
        <v>Normal Usage</v>
      </c>
    </row>
    <row r="4995" spans="1:9" x14ac:dyDescent="0.3">
      <c r="A4995">
        <v>14994</v>
      </c>
      <c r="B4995">
        <v>471</v>
      </c>
      <c r="C4995" s="2">
        <v>45024</v>
      </c>
      <c r="D4995" s="2" t="str">
        <f>TEXT(Table3[[#This Row],[usage_date]],"mmmm")</f>
        <v>April</v>
      </c>
      <c r="E4995" s="9">
        <f>YEAR(Table3[[#This Row],[usage_date]])</f>
        <v>2023</v>
      </c>
      <c r="F4995" s="14">
        <v>16.91</v>
      </c>
      <c r="G4995">
        <v>83</v>
      </c>
      <c r="H4995" t="s">
        <v>13</v>
      </c>
      <c r="I4995" t="str">
        <f t="shared" si="78"/>
        <v>High Usage</v>
      </c>
    </row>
    <row r="4996" spans="1:9" x14ac:dyDescent="0.3">
      <c r="A4996">
        <v>14995</v>
      </c>
      <c r="B4996">
        <v>288</v>
      </c>
      <c r="C4996" s="2">
        <v>44693</v>
      </c>
      <c r="D4996" s="2" t="str">
        <f>TEXT(Table3[[#This Row],[usage_date]],"mmmm")</f>
        <v>May</v>
      </c>
      <c r="E4996" s="9">
        <f>YEAR(Table3[[#This Row],[usage_date]])</f>
        <v>2022</v>
      </c>
      <c r="F4996" s="14">
        <v>2.16</v>
      </c>
      <c r="G4996">
        <v>116</v>
      </c>
      <c r="H4996" t="s">
        <v>12</v>
      </c>
      <c r="I4996" t="str">
        <f t="shared" si="78"/>
        <v>Normal Usage</v>
      </c>
    </row>
    <row r="4997" spans="1:9" x14ac:dyDescent="0.3">
      <c r="A4997">
        <v>14996</v>
      </c>
      <c r="B4997">
        <v>424</v>
      </c>
      <c r="C4997" s="2">
        <v>44682</v>
      </c>
      <c r="D4997" s="2" t="str">
        <f>TEXT(Table3[[#This Row],[usage_date]],"mmmm")</f>
        <v>May</v>
      </c>
      <c r="E4997" s="9">
        <f>YEAR(Table3[[#This Row],[usage_date]])</f>
        <v>2022</v>
      </c>
      <c r="F4997" s="14">
        <v>0.11</v>
      </c>
      <c r="G4997">
        <v>203</v>
      </c>
      <c r="H4997" t="s">
        <v>12</v>
      </c>
      <c r="I4997" t="str">
        <f t="shared" si="78"/>
        <v>Normal Usage</v>
      </c>
    </row>
    <row r="4998" spans="1:9" x14ac:dyDescent="0.3">
      <c r="A4998">
        <v>14997</v>
      </c>
      <c r="B4998">
        <v>397</v>
      </c>
      <c r="C4998" s="2">
        <v>44758</v>
      </c>
      <c r="D4998" s="2" t="str">
        <f>TEXT(Table3[[#This Row],[usage_date]],"mmmm")</f>
        <v>July</v>
      </c>
      <c r="E4998" s="9">
        <f>YEAR(Table3[[#This Row],[usage_date]])</f>
        <v>2022</v>
      </c>
      <c r="F4998" s="14">
        <v>2.21</v>
      </c>
      <c r="G4998">
        <v>293</v>
      </c>
      <c r="H4998" t="s">
        <v>12</v>
      </c>
      <c r="I4998" t="str">
        <f t="shared" si="78"/>
        <v>Normal Usage</v>
      </c>
    </row>
    <row r="4999" spans="1:9" x14ac:dyDescent="0.3">
      <c r="A4999">
        <v>14998</v>
      </c>
      <c r="B4999">
        <v>251</v>
      </c>
      <c r="C4999" s="2">
        <v>45367</v>
      </c>
      <c r="D4999" s="2" t="str">
        <f>TEXT(Table3[[#This Row],[usage_date]],"mmmm")</f>
        <v>March</v>
      </c>
      <c r="E4999" s="9">
        <f>YEAR(Table3[[#This Row],[usage_date]])</f>
        <v>2024</v>
      </c>
      <c r="F4999" s="14">
        <v>0.8</v>
      </c>
      <c r="G4999">
        <v>144</v>
      </c>
      <c r="H4999" t="s">
        <v>12</v>
      </c>
      <c r="I4999" t="str">
        <f t="shared" si="78"/>
        <v>Normal Usage</v>
      </c>
    </row>
    <row r="5000" spans="1:9" x14ac:dyDescent="0.3">
      <c r="A5000">
        <v>14999</v>
      </c>
      <c r="B5000">
        <v>212</v>
      </c>
      <c r="C5000" s="2">
        <v>45043</v>
      </c>
      <c r="D5000" s="2" t="str">
        <f>TEXT(Table3[[#This Row],[usage_date]],"mmmm")</f>
        <v>April</v>
      </c>
      <c r="E5000" s="9">
        <f>YEAR(Table3[[#This Row],[usage_date]])</f>
        <v>2023</v>
      </c>
      <c r="F5000" s="14">
        <v>0.08</v>
      </c>
      <c r="G5000">
        <v>26</v>
      </c>
      <c r="H5000" t="s">
        <v>13</v>
      </c>
      <c r="I5000" t="str">
        <f t="shared" si="78"/>
        <v>Normal Usage</v>
      </c>
    </row>
    <row r="5001" spans="1:9" x14ac:dyDescent="0.3">
      <c r="A5001">
        <v>15000</v>
      </c>
      <c r="B5001">
        <v>291</v>
      </c>
      <c r="C5001" s="2">
        <v>45195</v>
      </c>
      <c r="D5001" s="2" t="str">
        <f>TEXT(Table3[[#This Row],[usage_date]],"mmmm")</f>
        <v>September</v>
      </c>
      <c r="E5001" s="9">
        <f>YEAR(Table3[[#This Row],[usage_date]])</f>
        <v>2023</v>
      </c>
      <c r="F5001" s="14">
        <v>4.3</v>
      </c>
      <c r="G5001">
        <v>16</v>
      </c>
      <c r="H5001" t="s">
        <v>13</v>
      </c>
      <c r="I5001" t="str">
        <f t="shared" si="78"/>
        <v>Normal Usage</v>
      </c>
    </row>
    <row r="5002" spans="1:9" x14ac:dyDescent="0.3">
      <c r="A5002">
        <v>15001</v>
      </c>
      <c r="B5002">
        <v>133</v>
      </c>
      <c r="C5002" s="2">
        <v>45355</v>
      </c>
      <c r="D5002" s="2" t="str">
        <f>TEXT(Table3[[#This Row],[usage_date]],"mmmm")</f>
        <v>March</v>
      </c>
      <c r="E5002" s="9">
        <f>YEAR(Table3[[#This Row],[usage_date]])</f>
        <v>2024</v>
      </c>
      <c r="F5002" s="14">
        <v>0.81</v>
      </c>
      <c r="G5002">
        <v>62</v>
      </c>
      <c r="H5002" t="s">
        <v>12</v>
      </c>
      <c r="I5002" t="str">
        <f t="shared" si="78"/>
        <v>Normal Usage</v>
      </c>
    </row>
    <row r="5003" spans="1:9" x14ac:dyDescent="0.3">
      <c r="A5003">
        <v>15002</v>
      </c>
      <c r="B5003">
        <v>201</v>
      </c>
      <c r="C5003" s="2">
        <v>45458</v>
      </c>
      <c r="D5003" s="2" t="str">
        <f>TEXT(Table3[[#This Row],[usage_date]],"mmmm")</f>
        <v>June</v>
      </c>
      <c r="E5003" s="9">
        <f>YEAR(Table3[[#This Row],[usage_date]])</f>
        <v>2024</v>
      </c>
      <c r="F5003" s="14">
        <v>3.98</v>
      </c>
      <c r="G5003">
        <v>266</v>
      </c>
      <c r="H5003" t="s">
        <v>13</v>
      </c>
      <c r="I5003" t="str">
        <f t="shared" si="78"/>
        <v>Normal Usage</v>
      </c>
    </row>
    <row r="5004" spans="1:9" x14ac:dyDescent="0.3">
      <c r="A5004">
        <v>15003</v>
      </c>
      <c r="B5004">
        <v>285</v>
      </c>
      <c r="C5004" s="2">
        <v>45333</v>
      </c>
      <c r="D5004" s="2" t="str">
        <f>TEXT(Table3[[#This Row],[usage_date]],"mmmm")</f>
        <v>February</v>
      </c>
      <c r="E5004" s="9">
        <f>YEAR(Table3[[#This Row],[usage_date]])</f>
        <v>2024</v>
      </c>
      <c r="F5004" s="14">
        <v>0.85</v>
      </c>
      <c r="G5004">
        <v>63</v>
      </c>
      <c r="H5004" t="s">
        <v>13</v>
      </c>
      <c r="I5004" t="str">
        <f t="shared" si="78"/>
        <v>Normal Usage</v>
      </c>
    </row>
    <row r="5005" spans="1:9" x14ac:dyDescent="0.3">
      <c r="A5005">
        <v>15004</v>
      </c>
      <c r="B5005">
        <v>326</v>
      </c>
      <c r="C5005" s="2">
        <v>44600</v>
      </c>
      <c r="D5005" s="2" t="str">
        <f>TEXT(Table3[[#This Row],[usage_date]],"mmmm")</f>
        <v>February</v>
      </c>
      <c r="E5005" s="9">
        <f>YEAR(Table3[[#This Row],[usage_date]])</f>
        <v>2022</v>
      </c>
      <c r="F5005" s="14">
        <v>0.54</v>
      </c>
      <c r="G5005">
        <v>38</v>
      </c>
      <c r="H5005" t="s">
        <v>12</v>
      </c>
      <c r="I5005" t="str">
        <f t="shared" si="78"/>
        <v>Normal Usage</v>
      </c>
    </row>
    <row r="5006" spans="1:9" x14ac:dyDescent="0.3">
      <c r="A5006">
        <v>15005</v>
      </c>
      <c r="B5006">
        <v>409</v>
      </c>
      <c r="C5006" s="2">
        <v>45127</v>
      </c>
      <c r="D5006" s="2" t="str">
        <f>TEXT(Table3[[#This Row],[usage_date]],"mmmm")</f>
        <v>July</v>
      </c>
      <c r="E5006" s="9">
        <f>YEAR(Table3[[#This Row],[usage_date]])</f>
        <v>2023</v>
      </c>
      <c r="F5006" s="14">
        <v>9.1199999999999992</v>
      </c>
      <c r="G5006">
        <v>129</v>
      </c>
      <c r="H5006" t="s">
        <v>12</v>
      </c>
      <c r="I5006" t="str">
        <f t="shared" si="78"/>
        <v>High Usage</v>
      </c>
    </row>
    <row r="5007" spans="1:9" x14ac:dyDescent="0.3">
      <c r="A5007">
        <v>15006</v>
      </c>
      <c r="B5007">
        <v>95</v>
      </c>
      <c r="C5007" s="2">
        <v>45073</v>
      </c>
      <c r="D5007" s="2" t="str">
        <f>TEXT(Table3[[#This Row],[usage_date]],"mmmm")</f>
        <v>May</v>
      </c>
      <c r="E5007" s="9">
        <f>YEAR(Table3[[#This Row],[usage_date]])</f>
        <v>2023</v>
      </c>
      <c r="F5007" s="14">
        <v>1.1200000000000001</v>
      </c>
      <c r="G5007">
        <v>114</v>
      </c>
      <c r="H5007" t="s">
        <v>12</v>
      </c>
      <c r="I5007" t="str">
        <f t="shared" si="78"/>
        <v>Normal Usage</v>
      </c>
    </row>
    <row r="5008" spans="1:9" x14ac:dyDescent="0.3">
      <c r="A5008">
        <v>15007</v>
      </c>
      <c r="B5008">
        <v>278</v>
      </c>
      <c r="C5008" s="2">
        <v>45035</v>
      </c>
      <c r="D5008" s="2" t="str">
        <f>TEXT(Table3[[#This Row],[usage_date]],"mmmm")</f>
        <v>April</v>
      </c>
      <c r="E5008" s="9">
        <f>YEAR(Table3[[#This Row],[usage_date]])</f>
        <v>2023</v>
      </c>
      <c r="F5008" s="14">
        <v>2.2999999999999998</v>
      </c>
      <c r="G5008">
        <v>44</v>
      </c>
      <c r="H5008" t="s">
        <v>12</v>
      </c>
      <c r="I5008" t="str">
        <f t="shared" si="78"/>
        <v>Normal Usage</v>
      </c>
    </row>
    <row r="5009" spans="1:9" x14ac:dyDescent="0.3">
      <c r="A5009">
        <v>15008</v>
      </c>
      <c r="B5009">
        <v>450</v>
      </c>
      <c r="C5009" s="2">
        <v>44722</v>
      </c>
      <c r="D5009" s="2" t="str">
        <f>TEXT(Table3[[#This Row],[usage_date]],"mmmm")</f>
        <v>June</v>
      </c>
      <c r="E5009" s="9">
        <f>YEAR(Table3[[#This Row],[usage_date]])</f>
        <v>2022</v>
      </c>
      <c r="F5009" s="14">
        <v>2.35</v>
      </c>
      <c r="G5009">
        <v>215</v>
      </c>
      <c r="H5009" t="s">
        <v>12</v>
      </c>
      <c r="I5009" t="str">
        <f t="shared" si="78"/>
        <v>Normal Usage</v>
      </c>
    </row>
    <row r="5010" spans="1:9" x14ac:dyDescent="0.3">
      <c r="A5010">
        <v>15009</v>
      </c>
      <c r="B5010">
        <v>429</v>
      </c>
      <c r="C5010" s="2">
        <v>44850</v>
      </c>
      <c r="D5010" s="2" t="str">
        <f>TEXT(Table3[[#This Row],[usage_date]],"mmmm")</f>
        <v>October</v>
      </c>
      <c r="E5010" s="9">
        <f>YEAR(Table3[[#This Row],[usage_date]])</f>
        <v>2022</v>
      </c>
      <c r="F5010" s="14">
        <v>2.06</v>
      </c>
      <c r="G5010">
        <v>87</v>
      </c>
      <c r="H5010" t="s">
        <v>12</v>
      </c>
      <c r="I5010" t="str">
        <f t="shared" si="78"/>
        <v>Normal Usage</v>
      </c>
    </row>
    <row r="5011" spans="1:9" x14ac:dyDescent="0.3">
      <c r="A5011">
        <v>15010</v>
      </c>
      <c r="B5011">
        <v>325</v>
      </c>
      <c r="C5011" s="2">
        <v>44761</v>
      </c>
      <c r="D5011" s="2" t="str">
        <f>TEXT(Table3[[#This Row],[usage_date]],"mmmm")</f>
        <v>July</v>
      </c>
      <c r="E5011" s="9">
        <f>YEAR(Table3[[#This Row],[usage_date]])</f>
        <v>2022</v>
      </c>
      <c r="F5011" s="14">
        <v>6.15</v>
      </c>
      <c r="G5011">
        <v>176</v>
      </c>
      <c r="H5011" t="s">
        <v>12</v>
      </c>
      <c r="I5011" t="str">
        <f t="shared" si="78"/>
        <v>High Usage</v>
      </c>
    </row>
    <row r="5012" spans="1:9" x14ac:dyDescent="0.3">
      <c r="A5012">
        <v>15011</v>
      </c>
      <c r="B5012">
        <v>219</v>
      </c>
      <c r="C5012" s="2">
        <v>45349</v>
      </c>
      <c r="D5012" s="2" t="str">
        <f>TEXT(Table3[[#This Row],[usage_date]],"mmmm")</f>
        <v>February</v>
      </c>
      <c r="E5012" s="9">
        <f>YEAR(Table3[[#This Row],[usage_date]])</f>
        <v>2024</v>
      </c>
      <c r="F5012" s="14">
        <v>2.81</v>
      </c>
      <c r="G5012">
        <v>264</v>
      </c>
      <c r="H5012" t="s">
        <v>13</v>
      </c>
      <c r="I5012" t="str">
        <f t="shared" si="78"/>
        <v>Normal Usage</v>
      </c>
    </row>
    <row r="5013" spans="1:9" x14ac:dyDescent="0.3">
      <c r="A5013">
        <v>15012</v>
      </c>
      <c r="B5013">
        <v>89</v>
      </c>
      <c r="C5013" s="2">
        <v>45089</v>
      </c>
      <c r="D5013" s="2" t="str">
        <f>TEXT(Table3[[#This Row],[usage_date]],"mmmm")</f>
        <v>June</v>
      </c>
      <c r="E5013" s="9">
        <f>YEAR(Table3[[#This Row],[usage_date]])</f>
        <v>2023</v>
      </c>
      <c r="F5013" s="14">
        <v>1.29</v>
      </c>
      <c r="G5013">
        <v>104</v>
      </c>
      <c r="H5013" t="s">
        <v>13</v>
      </c>
      <c r="I5013" t="str">
        <f t="shared" si="78"/>
        <v>Normal Usage</v>
      </c>
    </row>
    <row r="5014" spans="1:9" x14ac:dyDescent="0.3">
      <c r="A5014">
        <v>15013</v>
      </c>
      <c r="B5014">
        <v>72</v>
      </c>
      <c r="C5014" s="2">
        <v>45246</v>
      </c>
      <c r="D5014" s="2" t="str">
        <f>TEXT(Table3[[#This Row],[usage_date]],"mmmm")</f>
        <v>November</v>
      </c>
      <c r="E5014" s="9">
        <f>YEAR(Table3[[#This Row],[usage_date]])</f>
        <v>2023</v>
      </c>
      <c r="F5014" s="14">
        <v>4.96</v>
      </c>
      <c r="G5014">
        <v>170</v>
      </c>
      <c r="H5014" t="s">
        <v>12</v>
      </c>
      <c r="I5014" t="str">
        <f t="shared" si="78"/>
        <v>Normal Usage</v>
      </c>
    </row>
    <row r="5015" spans="1:9" x14ac:dyDescent="0.3">
      <c r="A5015">
        <v>15014</v>
      </c>
      <c r="B5015">
        <v>247</v>
      </c>
      <c r="C5015" s="2">
        <v>45064</v>
      </c>
      <c r="D5015" s="2" t="str">
        <f>TEXT(Table3[[#This Row],[usage_date]],"mmmm")</f>
        <v>May</v>
      </c>
      <c r="E5015" s="9">
        <f>YEAR(Table3[[#This Row],[usage_date]])</f>
        <v>2023</v>
      </c>
      <c r="F5015" s="14">
        <v>0.5</v>
      </c>
      <c r="G5015">
        <v>107</v>
      </c>
      <c r="H5015" t="s">
        <v>13</v>
      </c>
      <c r="I5015" t="str">
        <f t="shared" si="78"/>
        <v>Normal Usage</v>
      </c>
    </row>
    <row r="5016" spans="1:9" x14ac:dyDescent="0.3">
      <c r="A5016">
        <v>15015</v>
      </c>
      <c r="B5016">
        <v>129</v>
      </c>
      <c r="C5016" s="2">
        <v>44809</v>
      </c>
      <c r="D5016" s="2" t="str">
        <f>TEXT(Table3[[#This Row],[usage_date]],"mmmm")</f>
        <v>September</v>
      </c>
      <c r="E5016" s="9">
        <f>YEAR(Table3[[#This Row],[usage_date]])</f>
        <v>2022</v>
      </c>
      <c r="F5016" s="14">
        <v>1.96</v>
      </c>
      <c r="G5016">
        <v>160</v>
      </c>
      <c r="H5016" t="s">
        <v>12</v>
      </c>
      <c r="I5016" t="str">
        <f t="shared" si="78"/>
        <v>Normal Usage</v>
      </c>
    </row>
    <row r="5017" spans="1:9" x14ac:dyDescent="0.3">
      <c r="A5017">
        <v>15016</v>
      </c>
      <c r="B5017">
        <v>212</v>
      </c>
      <c r="C5017" s="2">
        <v>44944</v>
      </c>
      <c r="D5017" s="2" t="str">
        <f>TEXT(Table3[[#This Row],[usage_date]],"mmmm")</f>
        <v>January</v>
      </c>
      <c r="E5017" s="9">
        <f>YEAR(Table3[[#This Row],[usage_date]])</f>
        <v>2023</v>
      </c>
      <c r="F5017" s="14">
        <v>7.52</v>
      </c>
      <c r="G5017">
        <v>282</v>
      </c>
      <c r="H5017" t="s">
        <v>12</v>
      </c>
      <c r="I5017" t="str">
        <f t="shared" si="78"/>
        <v>High Usage</v>
      </c>
    </row>
    <row r="5018" spans="1:9" x14ac:dyDescent="0.3">
      <c r="A5018">
        <v>15017</v>
      </c>
      <c r="B5018">
        <v>428</v>
      </c>
      <c r="C5018" s="2">
        <v>44779</v>
      </c>
      <c r="D5018" s="2" t="str">
        <f>TEXT(Table3[[#This Row],[usage_date]],"mmmm")</f>
        <v>August</v>
      </c>
      <c r="E5018" s="9">
        <f>YEAR(Table3[[#This Row],[usage_date]])</f>
        <v>2022</v>
      </c>
      <c r="F5018" s="14">
        <v>2.4500000000000002</v>
      </c>
      <c r="G5018">
        <v>39</v>
      </c>
      <c r="H5018" t="s">
        <v>12</v>
      </c>
      <c r="I5018" t="str">
        <f t="shared" si="78"/>
        <v>Normal Usage</v>
      </c>
    </row>
    <row r="5019" spans="1:9" x14ac:dyDescent="0.3">
      <c r="A5019">
        <v>15018</v>
      </c>
      <c r="B5019">
        <v>343</v>
      </c>
      <c r="C5019" s="2">
        <v>44648</v>
      </c>
      <c r="D5019" s="2" t="str">
        <f>TEXT(Table3[[#This Row],[usage_date]],"mmmm")</f>
        <v>March</v>
      </c>
      <c r="E5019" s="9">
        <f>YEAR(Table3[[#This Row],[usage_date]])</f>
        <v>2022</v>
      </c>
      <c r="F5019" s="14">
        <v>4.25</v>
      </c>
      <c r="G5019">
        <v>25</v>
      </c>
      <c r="H5019" t="s">
        <v>13</v>
      </c>
      <c r="I5019" t="str">
        <f t="shared" si="78"/>
        <v>Normal Usage</v>
      </c>
    </row>
    <row r="5020" spans="1:9" x14ac:dyDescent="0.3">
      <c r="A5020">
        <v>15019</v>
      </c>
      <c r="B5020">
        <v>96</v>
      </c>
      <c r="C5020" s="2">
        <v>44643</v>
      </c>
      <c r="D5020" s="2" t="str">
        <f>TEXT(Table3[[#This Row],[usage_date]],"mmmm")</f>
        <v>March</v>
      </c>
      <c r="E5020" s="9">
        <f>YEAR(Table3[[#This Row],[usage_date]])</f>
        <v>2022</v>
      </c>
      <c r="F5020" s="14">
        <v>2.65</v>
      </c>
      <c r="G5020">
        <v>82</v>
      </c>
      <c r="H5020" t="s">
        <v>13</v>
      </c>
      <c r="I5020" t="str">
        <f t="shared" si="78"/>
        <v>Normal Usage</v>
      </c>
    </row>
    <row r="5021" spans="1:9" x14ac:dyDescent="0.3">
      <c r="A5021">
        <v>15020</v>
      </c>
      <c r="B5021">
        <v>75</v>
      </c>
      <c r="C5021" s="2">
        <v>44623</v>
      </c>
      <c r="D5021" s="2" t="str">
        <f>TEXT(Table3[[#This Row],[usage_date]],"mmmm")</f>
        <v>March</v>
      </c>
      <c r="E5021" s="9">
        <f>YEAR(Table3[[#This Row],[usage_date]])</f>
        <v>2022</v>
      </c>
      <c r="F5021" s="14">
        <v>4.57</v>
      </c>
      <c r="G5021">
        <v>172</v>
      </c>
      <c r="H5021" t="s">
        <v>13</v>
      </c>
      <c r="I5021" t="str">
        <f t="shared" si="78"/>
        <v>Normal Usage</v>
      </c>
    </row>
    <row r="5022" spans="1:9" x14ac:dyDescent="0.3">
      <c r="A5022">
        <v>15021</v>
      </c>
      <c r="B5022">
        <v>423</v>
      </c>
      <c r="C5022" s="2">
        <v>45360</v>
      </c>
      <c r="D5022" s="2" t="str">
        <f>TEXT(Table3[[#This Row],[usage_date]],"mmmm")</f>
        <v>March</v>
      </c>
      <c r="E5022" s="9">
        <f>YEAR(Table3[[#This Row],[usage_date]])</f>
        <v>2024</v>
      </c>
      <c r="F5022" s="14">
        <v>7.23</v>
      </c>
      <c r="G5022">
        <v>172</v>
      </c>
      <c r="H5022" t="s">
        <v>13</v>
      </c>
      <c r="I5022" t="str">
        <f t="shared" si="78"/>
        <v>High Usage</v>
      </c>
    </row>
    <row r="5023" spans="1:9" x14ac:dyDescent="0.3">
      <c r="A5023">
        <v>15022</v>
      </c>
      <c r="B5023">
        <v>495</v>
      </c>
      <c r="C5023" s="2">
        <v>45061</v>
      </c>
      <c r="D5023" s="2" t="str">
        <f>TEXT(Table3[[#This Row],[usage_date]],"mmmm")</f>
        <v>May</v>
      </c>
      <c r="E5023" s="9">
        <f>YEAR(Table3[[#This Row],[usage_date]])</f>
        <v>2023</v>
      </c>
      <c r="F5023" s="14">
        <v>0.8</v>
      </c>
      <c r="G5023">
        <v>281</v>
      </c>
      <c r="H5023" t="s">
        <v>12</v>
      </c>
      <c r="I5023" t="str">
        <f t="shared" si="78"/>
        <v>Normal Usage</v>
      </c>
    </row>
    <row r="5024" spans="1:9" x14ac:dyDescent="0.3">
      <c r="A5024">
        <v>15023</v>
      </c>
      <c r="B5024">
        <v>54</v>
      </c>
      <c r="C5024" s="2">
        <v>44603</v>
      </c>
      <c r="D5024" s="2" t="str">
        <f>TEXT(Table3[[#This Row],[usage_date]],"mmmm")</f>
        <v>February</v>
      </c>
      <c r="E5024" s="9">
        <f>YEAR(Table3[[#This Row],[usage_date]])</f>
        <v>2022</v>
      </c>
      <c r="F5024" s="14">
        <v>0.46</v>
      </c>
      <c r="G5024">
        <v>69</v>
      </c>
      <c r="H5024" t="s">
        <v>13</v>
      </c>
      <c r="I5024" t="str">
        <f t="shared" si="78"/>
        <v>Normal Usage</v>
      </c>
    </row>
    <row r="5025" spans="1:9" x14ac:dyDescent="0.3">
      <c r="A5025">
        <v>15024</v>
      </c>
      <c r="B5025">
        <v>344</v>
      </c>
      <c r="C5025" s="2">
        <v>44573</v>
      </c>
      <c r="D5025" s="2" t="str">
        <f>TEXT(Table3[[#This Row],[usage_date]],"mmmm")</f>
        <v>January</v>
      </c>
      <c r="E5025" s="9">
        <f>YEAR(Table3[[#This Row],[usage_date]])</f>
        <v>2022</v>
      </c>
      <c r="F5025" s="14">
        <v>1.65</v>
      </c>
      <c r="G5025">
        <v>5</v>
      </c>
      <c r="H5025" t="s">
        <v>12</v>
      </c>
      <c r="I5025" t="str">
        <f t="shared" si="78"/>
        <v>Normal Usage</v>
      </c>
    </row>
    <row r="5026" spans="1:9" x14ac:dyDescent="0.3">
      <c r="A5026">
        <v>15025</v>
      </c>
      <c r="B5026">
        <v>459</v>
      </c>
      <c r="C5026" s="2">
        <v>45394</v>
      </c>
      <c r="D5026" s="2" t="str">
        <f>TEXT(Table3[[#This Row],[usage_date]],"mmmm")</f>
        <v>April</v>
      </c>
      <c r="E5026" s="9">
        <f>YEAR(Table3[[#This Row],[usage_date]])</f>
        <v>2024</v>
      </c>
      <c r="F5026" s="14">
        <v>3.03</v>
      </c>
      <c r="G5026">
        <v>283</v>
      </c>
      <c r="H5026" t="s">
        <v>12</v>
      </c>
      <c r="I5026" t="str">
        <f t="shared" si="78"/>
        <v>Normal Usage</v>
      </c>
    </row>
    <row r="5027" spans="1:9" x14ac:dyDescent="0.3">
      <c r="A5027">
        <v>15026</v>
      </c>
      <c r="B5027">
        <v>413</v>
      </c>
      <c r="C5027" s="2">
        <v>45307</v>
      </c>
      <c r="D5027" s="2" t="str">
        <f>TEXT(Table3[[#This Row],[usage_date]],"mmmm")</f>
        <v>January</v>
      </c>
      <c r="E5027" s="9">
        <f>YEAR(Table3[[#This Row],[usage_date]])</f>
        <v>2024</v>
      </c>
      <c r="F5027" s="14">
        <v>0.64</v>
      </c>
      <c r="G5027">
        <v>194</v>
      </c>
      <c r="H5027" t="s">
        <v>12</v>
      </c>
      <c r="I5027" t="str">
        <f t="shared" si="78"/>
        <v>Normal Usage</v>
      </c>
    </row>
    <row r="5028" spans="1:9" x14ac:dyDescent="0.3">
      <c r="A5028">
        <v>15027</v>
      </c>
      <c r="B5028">
        <v>54</v>
      </c>
      <c r="C5028" s="2">
        <v>45402</v>
      </c>
      <c r="D5028" s="2" t="str">
        <f>TEXT(Table3[[#This Row],[usage_date]],"mmmm")</f>
        <v>April</v>
      </c>
      <c r="E5028" s="9">
        <f>YEAR(Table3[[#This Row],[usage_date]])</f>
        <v>2024</v>
      </c>
      <c r="F5028" s="14">
        <v>0.01</v>
      </c>
      <c r="G5028">
        <v>12</v>
      </c>
      <c r="H5028" t="s">
        <v>12</v>
      </c>
      <c r="I5028" t="str">
        <f t="shared" si="78"/>
        <v>Normal Usage</v>
      </c>
    </row>
    <row r="5029" spans="1:9" x14ac:dyDescent="0.3">
      <c r="A5029">
        <v>15028</v>
      </c>
      <c r="B5029">
        <v>218</v>
      </c>
      <c r="C5029" s="2">
        <v>45204</v>
      </c>
      <c r="D5029" s="2" t="str">
        <f>TEXT(Table3[[#This Row],[usage_date]],"mmmm")</f>
        <v>October</v>
      </c>
      <c r="E5029" s="9">
        <f>YEAR(Table3[[#This Row],[usage_date]])</f>
        <v>2023</v>
      </c>
      <c r="F5029" s="14">
        <v>1.05</v>
      </c>
      <c r="G5029">
        <v>62</v>
      </c>
      <c r="H5029" t="s">
        <v>12</v>
      </c>
      <c r="I5029" t="str">
        <f t="shared" si="78"/>
        <v>Normal Usage</v>
      </c>
    </row>
    <row r="5030" spans="1:9" x14ac:dyDescent="0.3">
      <c r="A5030">
        <v>15029</v>
      </c>
      <c r="B5030">
        <v>16</v>
      </c>
      <c r="C5030" s="2">
        <v>44676</v>
      </c>
      <c r="D5030" s="2" t="str">
        <f>TEXT(Table3[[#This Row],[usage_date]],"mmmm")</f>
        <v>April</v>
      </c>
      <c r="E5030" s="9">
        <f>YEAR(Table3[[#This Row],[usage_date]])</f>
        <v>2022</v>
      </c>
      <c r="F5030" s="14">
        <v>8.67</v>
      </c>
      <c r="G5030">
        <v>12</v>
      </c>
      <c r="H5030" t="s">
        <v>12</v>
      </c>
      <c r="I5030" t="str">
        <f t="shared" si="78"/>
        <v>High Usage</v>
      </c>
    </row>
    <row r="5031" spans="1:9" x14ac:dyDescent="0.3">
      <c r="A5031">
        <v>15030</v>
      </c>
      <c r="B5031">
        <v>99</v>
      </c>
      <c r="C5031" s="2">
        <v>44779</v>
      </c>
      <c r="D5031" s="2" t="str">
        <f>TEXT(Table3[[#This Row],[usage_date]],"mmmm")</f>
        <v>August</v>
      </c>
      <c r="E5031" s="9">
        <f>YEAR(Table3[[#This Row],[usage_date]])</f>
        <v>2022</v>
      </c>
      <c r="F5031" s="14">
        <v>2.97</v>
      </c>
      <c r="G5031">
        <v>248</v>
      </c>
      <c r="H5031" t="s">
        <v>12</v>
      </c>
      <c r="I5031" t="str">
        <f t="shared" si="78"/>
        <v>Normal Usage</v>
      </c>
    </row>
    <row r="5032" spans="1:9" x14ac:dyDescent="0.3">
      <c r="A5032">
        <v>15031</v>
      </c>
      <c r="B5032">
        <v>20</v>
      </c>
      <c r="C5032" s="2">
        <v>45210</v>
      </c>
      <c r="D5032" s="2" t="str">
        <f>TEXT(Table3[[#This Row],[usage_date]],"mmmm")</f>
        <v>October</v>
      </c>
      <c r="E5032" s="9">
        <f>YEAR(Table3[[#This Row],[usage_date]])</f>
        <v>2023</v>
      </c>
      <c r="F5032" s="14">
        <v>1.28</v>
      </c>
      <c r="G5032">
        <v>204</v>
      </c>
      <c r="H5032" t="s">
        <v>12</v>
      </c>
      <c r="I5032" t="str">
        <f t="shared" si="78"/>
        <v>Normal Usage</v>
      </c>
    </row>
    <row r="5033" spans="1:9" x14ac:dyDescent="0.3">
      <c r="A5033">
        <v>15032</v>
      </c>
      <c r="B5033">
        <v>46</v>
      </c>
      <c r="C5033" s="2">
        <v>44667</v>
      </c>
      <c r="D5033" s="2" t="str">
        <f>TEXT(Table3[[#This Row],[usage_date]],"mmmm")</f>
        <v>April</v>
      </c>
      <c r="E5033" s="9">
        <f>YEAR(Table3[[#This Row],[usage_date]])</f>
        <v>2022</v>
      </c>
      <c r="F5033" s="14">
        <v>0.53</v>
      </c>
      <c r="G5033">
        <v>252</v>
      </c>
      <c r="H5033" t="s">
        <v>12</v>
      </c>
      <c r="I5033" t="str">
        <f t="shared" si="78"/>
        <v>Normal Usage</v>
      </c>
    </row>
    <row r="5034" spans="1:9" x14ac:dyDescent="0.3">
      <c r="A5034">
        <v>15033</v>
      </c>
      <c r="B5034">
        <v>451</v>
      </c>
      <c r="C5034" s="2">
        <v>45252</v>
      </c>
      <c r="D5034" s="2" t="str">
        <f>TEXT(Table3[[#This Row],[usage_date]],"mmmm")</f>
        <v>November</v>
      </c>
      <c r="E5034" s="9">
        <f>YEAR(Table3[[#This Row],[usage_date]])</f>
        <v>2023</v>
      </c>
      <c r="F5034" s="14">
        <v>1.1000000000000001</v>
      </c>
      <c r="G5034">
        <v>39</v>
      </c>
      <c r="H5034" t="s">
        <v>12</v>
      </c>
      <c r="I5034" t="str">
        <f t="shared" si="78"/>
        <v>Normal Usage</v>
      </c>
    </row>
    <row r="5035" spans="1:9" x14ac:dyDescent="0.3">
      <c r="A5035">
        <v>15034</v>
      </c>
      <c r="B5035">
        <v>193</v>
      </c>
      <c r="C5035" s="2">
        <v>45089</v>
      </c>
      <c r="D5035" s="2" t="str">
        <f>TEXT(Table3[[#This Row],[usage_date]],"mmmm")</f>
        <v>June</v>
      </c>
      <c r="E5035" s="9">
        <f>YEAR(Table3[[#This Row],[usage_date]])</f>
        <v>2023</v>
      </c>
      <c r="F5035" s="14">
        <v>0.47</v>
      </c>
      <c r="G5035">
        <v>164</v>
      </c>
      <c r="H5035" t="s">
        <v>12</v>
      </c>
      <c r="I5035" t="str">
        <f t="shared" si="78"/>
        <v>Normal Usage</v>
      </c>
    </row>
    <row r="5036" spans="1:9" x14ac:dyDescent="0.3">
      <c r="A5036">
        <v>15035</v>
      </c>
      <c r="B5036">
        <v>383</v>
      </c>
      <c r="C5036" s="2">
        <v>45033</v>
      </c>
      <c r="D5036" s="2" t="str">
        <f>TEXT(Table3[[#This Row],[usage_date]],"mmmm")</f>
        <v>April</v>
      </c>
      <c r="E5036" s="9">
        <f>YEAR(Table3[[#This Row],[usage_date]])</f>
        <v>2023</v>
      </c>
      <c r="F5036" s="14">
        <v>0.28000000000000003</v>
      </c>
      <c r="G5036">
        <v>30</v>
      </c>
      <c r="H5036" t="s">
        <v>13</v>
      </c>
      <c r="I5036" t="str">
        <f t="shared" si="78"/>
        <v>Normal Usage</v>
      </c>
    </row>
    <row r="5037" spans="1:9" x14ac:dyDescent="0.3">
      <c r="A5037">
        <v>15036</v>
      </c>
      <c r="B5037">
        <v>58</v>
      </c>
      <c r="C5037" s="2">
        <v>45315</v>
      </c>
      <c r="D5037" s="2" t="str">
        <f>TEXT(Table3[[#This Row],[usage_date]],"mmmm")</f>
        <v>January</v>
      </c>
      <c r="E5037" s="9">
        <f>YEAR(Table3[[#This Row],[usage_date]])</f>
        <v>2024</v>
      </c>
      <c r="F5037" s="14">
        <v>5.93</v>
      </c>
      <c r="G5037">
        <v>16</v>
      </c>
      <c r="H5037" t="s">
        <v>13</v>
      </c>
      <c r="I5037" t="str">
        <f t="shared" si="78"/>
        <v>Normal Usage</v>
      </c>
    </row>
    <row r="5038" spans="1:9" x14ac:dyDescent="0.3">
      <c r="A5038">
        <v>15037</v>
      </c>
      <c r="B5038">
        <v>437</v>
      </c>
      <c r="C5038" s="2">
        <v>45407</v>
      </c>
      <c r="D5038" s="2" t="str">
        <f>TEXT(Table3[[#This Row],[usage_date]],"mmmm")</f>
        <v>April</v>
      </c>
      <c r="E5038" s="9">
        <f>YEAR(Table3[[#This Row],[usage_date]])</f>
        <v>2024</v>
      </c>
      <c r="F5038" s="14">
        <v>15.13</v>
      </c>
      <c r="G5038">
        <v>136</v>
      </c>
      <c r="H5038" t="s">
        <v>12</v>
      </c>
      <c r="I5038" t="str">
        <f t="shared" si="78"/>
        <v>High Usage</v>
      </c>
    </row>
    <row r="5039" spans="1:9" x14ac:dyDescent="0.3">
      <c r="A5039">
        <v>15038</v>
      </c>
      <c r="B5039">
        <v>111</v>
      </c>
      <c r="C5039" s="2">
        <v>45454</v>
      </c>
      <c r="D5039" s="2" t="str">
        <f>TEXT(Table3[[#This Row],[usage_date]],"mmmm")</f>
        <v>June</v>
      </c>
      <c r="E5039" s="9">
        <f>YEAR(Table3[[#This Row],[usage_date]])</f>
        <v>2024</v>
      </c>
      <c r="F5039" s="14">
        <v>0.45</v>
      </c>
      <c r="G5039">
        <v>164</v>
      </c>
      <c r="H5039" t="s">
        <v>13</v>
      </c>
      <c r="I5039" t="str">
        <f t="shared" si="78"/>
        <v>Normal Usage</v>
      </c>
    </row>
    <row r="5040" spans="1:9" x14ac:dyDescent="0.3">
      <c r="A5040">
        <v>15039</v>
      </c>
      <c r="B5040">
        <v>129</v>
      </c>
      <c r="C5040" s="2">
        <v>44948</v>
      </c>
      <c r="D5040" s="2" t="str">
        <f>TEXT(Table3[[#This Row],[usage_date]],"mmmm")</f>
        <v>January</v>
      </c>
      <c r="E5040" s="9">
        <f>YEAR(Table3[[#This Row],[usage_date]])</f>
        <v>2023</v>
      </c>
      <c r="F5040" s="14">
        <v>0.14000000000000001</v>
      </c>
      <c r="G5040">
        <v>280</v>
      </c>
      <c r="H5040" t="s">
        <v>12</v>
      </c>
      <c r="I5040" t="str">
        <f t="shared" si="78"/>
        <v>Normal Usage</v>
      </c>
    </row>
    <row r="5041" spans="1:9" x14ac:dyDescent="0.3">
      <c r="A5041">
        <v>15040</v>
      </c>
      <c r="B5041">
        <v>337</v>
      </c>
      <c r="C5041" s="2">
        <v>44787</v>
      </c>
      <c r="D5041" s="2" t="str">
        <f>TEXT(Table3[[#This Row],[usage_date]],"mmmm")</f>
        <v>August</v>
      </c>
      <c r="E5041" s="9">
        <f>YEAR(Table3[[#This Row],[usage_date]])</f>
        <v>2022</v>
      </c>
      <c r="F5041" s="14">
        <v>1</v>
      </c>
      <c r="G5041">
        <v>222</v>
      </c>
      <c r="H5041" t="s">
        <v>12</v>
      </c>
      <c r="I5041" t="str">
        <f t="shared" si="78"/>
        <v>Normal Usage</v>
      </c>
    </row>
    <row r="5042" spans="1:9" x14ac:dyDescent="0.3">
      <c r="A5042">
        <v>15041</v>
      </c>
      <c r="B5042">
        <v>194</v>
      </c>
      <c r="C5042" s="2">
        <v>45042</v>
      </c>
      <c r="D5042" s="2" t="str">
        <f>TEXT(Table3[[#This Row],[usage_date]],"mmmm")</f>
        <v>April</v>
      </c>
      <c r="E5042" s="9">
        <f>YEAR(Table3[[#This Row],[usage_date]])</f>
        <v>2023</v>
      </c>
      <c r="F5042" s="14">
        <v>1.55</v>
      </c>
      <c r="G5042">
        <v>121</v>
      </c>
      <c r="H5042" t="s">
        <v>12</v>
      </c>
      <c r="I5042" t="str">
        <f t="shared" si="78"/>
        <v>Normal Usage</v>
      </c>
    </row>
    <row r="5043" spans="1:9" x14ac:dyDescent="0.3">
      <c r="A5043">
        <v>15042</v>
      </c>
      <c r="B5043">
        <v>413</v>
      </c>
      <c r="C5043" s="2">
        <v>45315</v>
      </c>
      <c r="D5043" s="2" t="str">
        <f>TEXT(Table3[[#This Row],[usage_date]],"mmmm")</f>
        <v>January</v>
      </c>
      <c r="E5043" s="9">
        <f>YEAR(Table3[[#This Row],[usage_date]])</f>
        <v>2024</v>
      </c>
      <c r="F5043" s="14">
        <v>0.56999999999999995</v>
      </c>
      <c r="G5043">
        <v>77</v>
      </c>
      <c r="H5043" t="s">
        <v>12</v>
      </c>
      <c r="I5043" t="str">
        <f t="shared" si="78"/>
        <v>Normal Usage</v>
      </c>
    </row>
    <row r="5044" spans="1:9" x14ac:dyDescent="0.3">
      <c r="A5044">
        <v>15043</v>
      </c>
      <c r="B5044">
        <v>340</v>
      </c>
      <c r="C5044" s="2">
        <v>44969</v>
      </c>
      <c r="D5044" s="2" t="str">
        <f>TEXT(Table3[[#This Row],[usage_date]],"mmmm")</f>
        <v>February</v>
      </c>
      <c r="E5044" s="9">
        <f>YEAR(Table3[[#This Row],[usage_date]])</f>
        <v>2023</v>
      </c>
      <c r="F5044" s="14">
        <v>0.9</v>
      </c>
      <c r="G5044">
        <v>87</v>
      </c>
      <c r="H5044" t="s">
        <v>12</v>
      </c>
      <c r="I5044" t="str">
        <f t="shared" si="78"/>
        <v>Normal Usage</v>
      </c>
    </row>
    <row r="5045" spans="1:9" x14ac:dyDescent="0.3">
      <c r="A5045">
        <v>15044</v>
      </c>
      <c r="B5045">
        <v>326</v>
      </c>
      <c r="C5045" s="2">
        <v>45018</v>
      </c>
      <c r="D5045" s="2" t="str">
        <f>TEXT(Table3[[#This Row],[usage_date]],"mmmm")</f>
        <v>April</v>
      </c>
      <c r="E5045" s="9">
        <f>YEAR(Table3[[#This Row],[usage_date]])</f>
        <v>2023</v>
      </c>
      <c r="F5045" s="14">
        <v>0.56000000000000005</v>
      </c>
      <c r="G5045">
        <v>112</v>
      </c>
      <c r="H5045" t="s">
        <v>12</v>
      </c>
      <c r="I5045" t="str">
        <f t="shared" si="78"/>
        <v>Normal Usage</v>
      </c>
    </row>
    <row r="5046" spans="1:9" x14ac:dyDescent="0.3">
      <c r="A5046">
        <v>15045</v>
      </c>
      <c r="B5046">
        <v>8</v>
      </c>
      <c r="C5046" s="2">
        <v>45214</v>
      </c>
      <c r="D5046" s="2" t="str">
        <f>TEXT(Table3[[#This Row],[usage_date]],"mmmm")</f>
        <v>October</v>
      </c>
      <c r="E5046" s="9">
        <f>YEAR(Table3[[#This Row],[usage_date]])</f>
        <v>2023</v>
      </c>
      <c r="F5046" s="14">
        <v>3.72</v>
      </c>
      <c r="G5046">
        <v>99</v>
      </c>
      <c r="H5046" t="s">
        <v>12</v>
      </c>
      <c r="I5046" t="str">
        <f t="shared" si="78"/>
        <v>Normal Usage</v>
      </c>
    </row>
    <row r="5047" spans="1:9" x14ac:dyDescent="0.3">
      <c r="A5047">
        <v>15046</v>
      </c>
      <c r="B5047">
        <v>29</v>
      </c>
      <c r="C5047" s="2">
        <v>45459</v>
      </c>
      <c r="D5047" s="2" t="str">
        <f>TEXT(Table3[[#This Row],[usage_date]],"mmmm")</f>
        <v>June</v>
      </c>
      <c r="E5047" s="9">
        <f>YEAR(Table3[[#This Row],[usage_date]])</f>
        <v>2024</v>
      </c>
      <c r="F5047" s="14">
        <v>3.12</v>
      </c>
      <c r="G5047">
        <v>238</v>
      </c>
      <c r="H5047" t="s">
        <v>12</v>
      </c>
      <c r="I5047" t="str">
        <f t="shared" si="78"/>
        <v>Normal Usage</v>
      </c>
    </row>
    <row r="5048" spans="1:9" x14ac:dyDescent="0.3">
      <c r="A5048">
        <v>15047</v>
      </c>
      <c r="B5048">
        <v>112</v>
      </c>
      <c r="C5048" s="2">
        <v>45272</v>
      </c>
      <c r="D5048" s="2" t="str">
        <f>TEXT(Table3[[#This Row],[usage_date]],"mmmm")</f>
        <v>December</v>
      </c>
      <c r="E5048" s="9">
        <f>YEAR(Table3[[#This Row],[usage_date]])</f>
        <v>2023</v>
      </c>
      <c r="F5048" s="14">
        <v>2.52</v>
      </c>
      <c r="G5048">
        <v>110</v>
      </c>
      <c r="H5048" t="s">
        <v>13</v>
      </c>
      <c r="I5048" t="str">
        <f t="shared" si="78"/>
        <v>Normal Usage</v>
      </c>
    </row>
    <row r="5049" spans="1:9" x14ac:dyDescent="0.3">
      <c r="A5049">
        <v>15048</v>
      </c>
      <c r="B5049">
        <v>435</v>
      </c>
      <c r="C5049" s="2">
        <v>45185</v>
      </c>
      <c r="D5049" s="2" t="str">
        <f>TEXT(Table3[[#This Row],[usage_date]],"mmmm")</f>
        <v>September</v>
      </c>
      <c r="E5049" s="9">
        <f>YEAR(Table3[[#This Row],[usage_date]])</f>
        <v>2023</v>
      </c>
      <c r="F5049" s="14">
        <v>1.22</v>
      </c>
      <c r="G5049">
        <v>89</v>
      </c>
      <c r="H5049" t="s">
        <v>12</v>
      </c>
      <c r="I5049" t="str">
        <f t="shared" si="78"/>
        <v>Normal Usage</v>
      </c>
    </row>
    <row r="5050" spans="1:9" x14ac:dyDescent="0.3">
      <c r="A5050">
        <v>15049</v>
      </c>
      <c r="B5050">
        <v>161</v>
      </c>
      <c r="C5050" s="2">
        <v>45200</v>
      </c>
      <c r="D5050" s="2" t="str">
        <f>TEXT(Table3[[#This Row],[usage_date]],"mmmm")</f>
        <v>October</v>
      </c>
      <c r="E5050" s="9">
        <f>YEAR(Table3[[#This Row],[usage_date]])</f>
        <v>2023</v>
      </c>
      <c r="F5050" s="14">
        <v>5.99</v>
      </c>
      <c r="G5050">
        <v>138</v>
      </c>
      <c r="H5050" t="s">
        <v>13</v>
      </c>
      <c r="I5050" t="str">
        <f t="shared" si="78"/>
        <v>Normal Usage</v>
      </c>
    </row>
    <row r="5051" spans="1:9" x14ac:dyDescent="0.3">
      <c r="A5051">
        <v>15050</v>
      </c>
      <c r="B5051">
        <v>131</v>
      </c>
      <c r="C5051" s="2">
        <v>44582</v>
      </c>
      <c r="D5051" s="2" t="str">
        <f>TEXT(Table3[[#This Row],[usage_date]],"mmmm")</f>
        <v>January</v>
      </c>
      <c r="E5051" s="9">
        <f>YEAR(Table3[[#This Row],[usage_date]])</f>
        <v>2022</v>
      </c>
      <c r="F5051" s="14">
        <v>8.73</v>
      </c>
      <c r="G5051">
        <v>134</v>
      </c>
      <c r="H5051" t="s">
        <v>12</v>
      </c>
      <c r="I5051" t="str">
        <f t="shared" si="78"/>
        <v>High Usage</v>
      </c>
    </row>
    <row r="5052" spans="1:9" x14ac:dyDescent="0.3">
      <c r="A5052">
        <v>15051</v>
      </c>
      <c r="B5052">
        <v>188</v>
      </c>
      <c r="C5052" s="2">
        <v>45220</v>
      </c>
      <c r="D5052" s="2" t="str">
        <f>TEXT(Table3[[#This Row],[usage_date]],"mmmm")</f>
        <v>October</v>
      </c>
      <c r="E5052" s="9">
        <f>YEAR(Table3[[#This Row],[usage_date]])</f>
        <v>2023</v>
      </c>
      <c r="F5052" s="14">
        <v>0.48</v>
      </c>
      <c r="G5052">
        <v>11</v>
      </c>
      <c r="H5052" t="s">
        <v>13</v>
      </c>
      <c r="I5052" t="str">
        <f t="shared" si="78"/>
        <v>Normal Usage</v>
      </c>
    </row>
    <row r="5053" spans="1:9" x14ac:dyDescent="0.3">
      <c r="A5053">
        <v>15052</v>
      </c>
      <c r="B5053">
        <v>163</v>
      </c>
      <c r="C5053" s="2">
        <v>45162</v>
      </c>
      <c r="D5053" s="2" t="str">
        <f>TEXT(Table3[[#This Row],[usage_date]],"mmmm")</f>
        <v>August</v>
      </c>
      <c r="E5053" s="9">
        <f>YEAR(Table3[[#This Row],[usage_date]])</f>
        <v>2023</v>
      </c>
      <c r="F5053" s="14">
        <v>0.63</v>
      </c>
      <c r="G5053">
        <v>243</v>
      </c>
      <c r="H5053" t="s">
        <v>12</v>
      </c>
      <c r="I5053" t="str">
        <f t="shared" si="78"/>
        <v>Normal Usage</v>
      </c>
    </row>
    <row r="5054" spans="1:9" x14ac:dyDescent="0.3">
      <c r="A5054">
        <v>15053</v>
      </c>
      <c r="B5054">
        <v>197</v>
      </c>
      <c r="C5054" s="2">
        <v>45376</v>
      </c>
      <c r="D5054" s="2" t="str">
        <f>TEXT(Table3[[#This Row],[usage_date]],"mmmm")</f>
        <v>March</v>
      </c>
      <c r="E5054" s="9">
        <f>YEAR(Table3[[#This Row],[usage_date]])</f>
        <v>2024</v>
      </c>
      <c r="F5054" s="14">
        <v>1.86</v>
      </c>
      <c r="G5054">
        <v>181</v>
      </c>
      <c r="H5054" t="s">
        <v>13</v>
      </c>
      <c r="I5054" t="str">
        <f t="shared" si="78"/>
        <v>Normal Usage</v>
      </c>
    </row>
    <row r="5055" spans="1:9" x14ac:dyDescent="0.3">
      <c r="A5055">
        <v>15054</v>
      </c>
      <c r="B5055">
        <v>475</v>
      </c>
      <c r="C5055" s="2">
        <v>44764</v>
      </c>
      <c r="D5055" s="2" t="str">
        <f>TEXT(Table3[[#This Row],[usage_date]],"mmmm")</f>
        <v>July</v>
      </c>
      <c r="E5055" s="9">
        <f>YEAR(Table3[[#This Row],[usage_date]])</f>
        <v>2022</v>
      </c>
      <c r="F5055" s="14">
        <v>0.24</v>
      </c>
      <c r="G5055">
        <v>194</v>
      </c>
      <c r="H5055" t="s">
        <v>13</v>
      </c>
      <c r="I5055" t="str">
        <f t="shared" si="78"/>
        <v>Normal Usage</v>
      </c>
    </row>
    <row r="5056" spans="1:9" x14ac:dyDescent="0.3">
      <c r="A5056">
        <v>15055</v>
      </c>
      <c r="B5056">
        <v>364</v>
      </c>
      <c r="C5056" s="2">
        <v>44978</v>
      </c>
      <c r="D5056" s="2" t="str">
        <f>TEXT(Table3[[#This Row],[usage_date]],"mmmm")</f>
        <v>February</v>
      </c>
      <c r="E5056" s="9">
        <f>YEAR(Table3[[#This Row],[usage_date]])</f>
        <v>2023</v>
      </c>
      <c r="F5056" s="14">
        <v>1.43</v>
      </c>
      <c r="G5056">
        <v>121</v>
      </c>
      <c r="H5056" t="s">
        <v>12</v>
      </c>
      <c r="I5056" t="str">
        <f t="shared" si="78"/>
        <v>Normal Usage</v>
      </c>
    </row>
    <row r="5057" spans="1:9" x14ac:dyDescent="0.3">
      <c r="A5057">
        <v>15056</v>
      </c>
      <c r="B5057">
        <v>204</v>
      </c>
      <c r="C5057" s="2">
        <v>44977</v>
      </c>
      <c r="D5057" s="2" t="str">
        <f>TEXT(Table3[[#This Row],[usage_date]],"mmmm")</f>
        <v>February</v>
      </c>
      <c r="E5057" s="9">
        <f>YEAR(Table3[[#This Row],[usage_date]])</f>
        <v>2023</v>
      </c>
      <c r="F5057" s="14">
        <v>2.1800000000000002</v>
      </c>
      <c r="G5057">
        <v>52</v>
      </c>
      <c r="H5057" t="s">
        <v>12</v>
      </c>
      <c r="I5057" t="str">
        <f t="shared" si="78"/>
        <v>Normal Usage</v>
      </c>
    </row>
    <row r="5058" spans="1:9" x14ac:dyDescent="0.3">
      <c r="A5058">
        <v>15057</v>
      </c>
      <c r="B5058">
        <v>212</v>
      </c>
      <c r="C5058" s="2">
        <v>45009</v>
      </c>
      <c r="D5058" s="2" t="str">
        <f>TEXT(Table3[[#This Row],[usage_date]],"mmmm")</f>
        <v>March</v>
      </c>
      <c r="E5058" s="9">
        <f>YEAR(Table3[[#This Row],[usage_date]])</f>
        <v>2023</v>
      </c>
      <c r="F5058" s="14">
        <v>1.85</v>
      </c>
      <c r="G5058">
        <v>172</v>
      </c>
      <c r="H5058" t="s">
        <v>12</v>
      </c>
      <c r="I5058" t="str">
        <f t="shared" ref="I5058:I5121" si="79">IF(F5058&gt;6,"High Usage","Normal Usage")</f>
        <v>Normal Usage</v>
      </c>
    </row>
    <row r="5059" spans="1:9" x14ac:dyDescent="0.3">
      <c r="A5059">
        <v>15058</v>
      </c>
      <c r="B5059">
        <v>109</v>
      </c>
      <c r="C5059" s="2">
        <v>45073</v>
      </c>
      <c r="D5059" s="2" t="str">
        <f>TEXT(Table3[[#This Row],[usage_date]],"mmmm")</f>
        <v>May</v>
      </c>
      <c r="E5059" s="9">
        <f>YEAR(Table3[[#This Row],[usage_date]])</f>
        <v>2023</v>
      </c>
      <c r="F5059" s="14">
        <v>1</v>
      </c>
      <c r="G5059">
        <v>178</v>
      </c>
      <c r="H5059" t="s">
        <v>13</v>
      </c>
      <c r="I5059" t="str">
        <f t="shared" si="79"/>
        <v>Normal Usage</v>
      </c>
    </row>
    <row r="5060" spans="1:9" x14ac:dyDescent="0.3">
      <c r="A5060">
        <v>15059</v>
      </c>
      <c r="B5060">
        <v>276</v>
      </c>
      <c r="C5060" s="2">
        <v>44646</v>
      </c>
      <c r="D5060" s="2" t="str">
        <f>TEXT(Table3[[#This Row],[usage_date]],"mmmm")</f>
        <v>March</v>
      </c>
      <c r="E5060" s="9">
        <f>YEAR(Table3[[#This Row],[usage_date]])</f>
        <v>2022</v>
      </c>
      <c r="F5060" s="14">
        <v>1.95</v>
      </c>
      <c r="G5060">
        <v>292</v>
      </c>
      <c r="H5060" t="s">
        <v>12</v>
      </c>
      <c r="I5060" t="str">
        <f t="shared" si="79"/>
        <v>Normal Usage</v>
      </c>
    </row>
    <row r="5061" spans="1:9" x14ac:dyDescent="0.3">
      <c r="A5061">
        <v>15060</v>
      </c>
      <c r="B5061">
        <v>73</v>
      </c>
      <c r="C5061" s="2">
        <v>44728</v>
      </c>
      <c r="D5061" s="2" t="str">
        <f>TEXT(Table3[[#This Row],[usage_date]],"mmmm")</f>
        <v>June</v>
      </c>
      <c r="E5061" s="9">
        <f>YEAR(Table3[[#This Row],[usage_date]])</f>
        <v>2022</v>
      </c>
      <c r="F5061" s="14">
        <v>7.97</v>
      </c>
      <c r="G5061">
        <v>58</v>
      </c>
      <c r="H5061" t="s">
        <v>12</v>
      </c>
      <c r="I5061" t="str">
        <f t="shared" si="79"/>
        <v>High Usage</v>
      </c>
    </row>
    <row r="5062" spans="1:9" x14ac:dyDescent="0.3">
      <c r="A5062">
        <v>15061</v>
      </c>
      <c r="B5062">
        <v>167</v>
      </c>
      <c r="C5062" s="2">
        <v>44945</v>
      </c>
      <c r="D5062" s="2" t="str">
        <f>TEXT(Table3[[#This Row],[usage_date]],"mmmm")</f>
        <v>January</v>
      </c>
      <c r="E5062" s="9">
        <f>YEAR(Table3[[#This Row],[usage_date]])</f>
        <v>2023</v>
      </c>
      <c r="F5062" s="14">
        <v>0.57999999999999996</v>
      </c>
      <c r="G5062">
        <v>53</v>
      </c>
      <c r="H5062" t="s">
        <v>12</v>
      </c>
      <c r="I5062" t="str">
        <f t="shared" si="79"/>
        <v>Normal Usage</v>
      </c>
    </row>
    <row r="5063" spans="1:9" x14ac:dyDescent="0.3">
      <c r="A5063">
        <v>15062</v>
      </c>
      <c r="B5063">
        <v>260</v>
      </c>
      <c r="C5063" s="2">
        <v>45029</v>
      </c>
      <c r="D5063" s="2" t="str">
        <f>TEXT(Table3[[#This Row],[usage_date]],"mmmm")</f>
        <v>April</v>
      </c>
      <c r="E5063" s="9">
        <f>YEAR(Table3[[#This Row],[usage_date]])</f>
        <v>2023</v>
      </c>
      <c r="F5063" s="14">
        <v>2.66</v>
      </c>
      <c r="G5063">
        <v>256</v>
      </c>
      <c r="H5063" t="s">
        <v>12</v>
      </c>
      <c r="I5063" t="str">
        <f t="shared" si="79"/>
        <v>Normal Usage</v>
      </c>
    </row>
    <row r="5064" spans="1:9" x14ac:dyDescent="0.3">
      <c r="A5064">
        <v>15063</v>
      </c>
      <c r="B5064">
        <v>243</v>
      </c>
      <c r="C5064" s="2">
        <v>44633</v>
      </c>
      <c r="D5064" s="2" t="str">
        <f>TEXT(Table3[[#This Row],[usage_date]],"mmmm")</f>
        <v>March</v>
      </c>
      <c r="E5064" s="9">
        <f>YEAR(Table3[[#This Row],[usage_date]])</f>
        <v>2022</v>
      </c>
      <c r="F5064" s="14">
        <v>0.11</v>
      </c>
      <c r="G5064">
        <v>244</v>
      </c>
      <c r="H5064" t="s">
        <v>12</v>
      </c>
      <c r="I5064" t="str">
        <f t="shared" si="79"/>
        <v>Normal Usage</v>
      </c>
    </row>
    <row r="5065" spans="1:9" x14ac:dyDescent="0.3">
      <c r="A5065">
        <v>15064</v>
      </c>
      <c r="B5065">
        <v>275</v>
      </c>
      <c r="C5065" s="2">
        <v>45371</v>
      </c>
      <c r="D5065" s="2" t="str">
        <f>TEXT(Table3[[#This Row],[usage_date]],"mmmm")</f>
        <v>March</v>
      </c>
      <c r="E5065" s="9">
        <f>YEAR(Table3[[#This Row],[usage_date]])</f>
        <v>2024</v>
      </c>
      <c r="F5065" s="14">
        <v>0.17</v>
      </c>
      <c r="G5065">
        <v>148</v>
      </c>
      <c r="H5065" t="s">
        <v>13</v>
      </c>
      <c r="I5065" t="str">
        <f t="shared" si="79"/>
        <v>Normal Usage</v>
      </c>
    </row>
    <row r="5066" spans="1:9" x14ac:dyDescent="0.3">
      <c r="A5066">
        <v>15065</v>
      </c>
      <c r="B5066">
        <v>102</v>
      </c>
      <c r="C5066" s="2">
        <v>45082</v>
      </c>
      <c r="D5066" s="2" t="str">
        <f>TEXT(Table3[[#This Row],[usage_date]],"mmmm")</f>
        <v>June</v>
      </c>
      <c r="E5066" s="9">
        <f>YEAR(Table3[[#This Row],[usage_date]])</f>
        <v>2023</v>
      </c>
      <c r="F5066" s="14">
        <v>2.0099999999999998</v>
      </c>
      <c r="G5066">
        <v>283</v>
      </c>
      <c r="H5066" t="s">
        <v>12</v>
      </c>
      <c r="I5066" t="str">
        <f t="shared" si="79"/>
        <v>Normal Usage</v>
      </c>
    </row>
    <row r="5067" spans="1:9" x14ac:dyDescent="0.3">
      <c r="A5067">
        <v>15066</v>
      </c>
      <c r="B5067">
        <v>475</v>
      </c>
      <c r="C5067" s="2">
        <v>45354</v>
      </c>
      <c r="D5067" s="2" t="str">
        <f>TEXT(Table3[[#This Row],[usage_date]],"mmmm")</f>
        <v>March</v>
      </c>
      <c r="E5067" s="9">
        <f>YEAR(Table3[[#This Row],[usage_date]])</f>
        <v>2024</v>
      </c>
      <c r="F5067" s="14">
        <v>0.28000000000000003</v>
      </c>
      <c r="G5067">
        <v>15</v>
      </c>
      <c r="H5067" t="s">
        <v>13</v>
      </c>
      <c r="I5067" t="str">
        <f t="shared" si="79"/>
        <v>Normal Usage</v>
      </c>
    </row>
    <row r="5068" spans="1:9" x14ac:dyDescent="0.3">
      <c r="A5068">
        <v>15067</v>
      </c>
      <c r="B5068">
        <v>173</v>
      </c>
      <c r="C5068" s="2">
        <v>45034</v>
      </c>
      <c r="D5068" s="2" t="str">
        <f>TEXT(Table3[[#This Row],[usage_date]],"mmmm")</f>
        <v>April</v>
      </c>
      <c r="E5068" s="9">
        <f>YEAR(Table3[[#This Row],[usage_date]])</f>
        <v>2023</v>
      </c>
      <c r="F5068" s="14">
        <v>0.06</v>
      </c>
      <c r="G5068">
        <v>175</v>
      </c>
      <c r="H5068" t="s">
        <v>12</v>
      </c>
      <c r="I5068" t="str">
        <f t="shared" si="79"/>
        <v>Normal Usage</v>
      </c>
    </row>
    <row r="5069" spans="1:9" x14ac:dyDescent="0.3">
      <c r="A5069">
        <v>15068</v>
      </c>
      <c r="B5069">
        <v>171</v>
      </c>
      <c r="C5069" s="2">
        <v>44819</v>
      </c>
      <c r="D5069" s="2" t="str">
        <f>TEXT(Table3[[#This Row],[usage_date]],"mmmm")</f>
        <v>September</v>
      </c>
      <c r="E5069" s="9">
        <f>YEAR(Table3[[#This Row],[usage_date]])</f>
        <v>2022</v>
      </c>
      <c r="F5069" s="14">
        <v>0.47</v>
      </c>
      <c r="G5069">
        <v>27</v>
      </c>
      <c r="H5069" t="s">
        <v>12</v>
      </c>
      <c r="I5069" t="str">
        <f t="shared" si="79"/>
        <v>Normal Usage</v>
      </c>
    </row>
    <row r="5070" spans="1:9" x14ac:dyDescent="0.3">
      <c r="A5070">
        <v>15069</v>
      </c>
      <c r="B5070">
        <v>141</v>
      </c>
      <c r="C5070" s="2">
        <v>44836</v>
      </c>
      <c r="D5070" s="2" t="str">
        <f>TEXT(Table3[[#This Row],[usage_date]],"mmmm")</f>
        <v>October</v>
      </c>
      <c r="E5070" s="9">
        <f>YEAR(Table3[[#This Row],[usage_date]])</f>
        <v>2022</v>
      </c>
      <c r="F5070" s="14">
        <v>2.08</v>
      </c>
      <c r="G5070">
        <v>128</v>
      </c>
      <c r="H5070" t="s">
        <v>12</v>
      </c>
      <c r="I5070" t="str">
        <f t="shared" si="79"/>
        <v>Normal Usage</v>
      </c>
    </row>
    <row r="5071" spans="1:9" x14ac:dyDescent="0.3">
      <c r="A5071">
        <v>15070</v>
      </c>
      <c r="B5071">
        <v>397</v>
      </c>
      <c r="C5071" s="2">
        <v>45311</v>
      </c>
      <c r="D5071" s="2" t="str">
        <f>TEXT(Table3[[#This Row],[usage_date]],"mmmm")</f>
        <v>January</v>
      </c>
      <c r="E5071" s="9">
        <f>YEAR(Table3[[#This Row],[usage_date]])</f>
        <v>2024</v>
      </c>
      <c r="F5071" s="14">
        <v>3.04</v>
      </c>
      <c r="G5071">
        <v>222</v>
      </c>
      <c r="H5071" t="s">
        <v>13</v>
      </c>
      <c r="I5071" t="str">
        <f t="shared" si="79"/>
        <v>Normal Usage</v>
      </c>
    </row>
    <row r="5072" spans="1:9" x14ac:dyDescent="0.3">
      <c r="A5072">
        <v>15071</v>
      </c>
      <c r="B5072">
        <v>188</v>
      </c>
      <c r="C5072" s="2">
        <v>44581</v>
      </c>
      <c r="D5072" s="2" t="str">
        <f>TEXT(Table3[[#This Row],[usage_date]],"mmmm")</f>
        <v>January</v>
      </c>
      <c r="E5072" s="9">
        <f>YEAR(Table3[[#This Row],[usage_date]])</f>
        <v>2022</v>
      </c>
      <c r="F5072" s="14">
        <v>0.56999999999999995</v>
      </c>
      <c r="G5072">
        <v>243</v>
      </c>
      <c r="H5072" t="s">
        <v>12</v>
      </c>
      <c r="I5072" t="str">
        <f t="shared" si="79"/>
        <v>Normal Usage</v>
      </c>
    </row>
    <row r="5073" spans="1:9" x14ac:dyDescent="0.3">
      <c r="A5073">
        <v>15072</v>
      </c>
      <c r="B5073">
        <v>441</v>
      </c>
      <c r="C5073" s="2">
        <v>45051</v>
      </c>
      <c r="D5073" s="2" t="str">
        <f>TEXT(Table3[[#This Row],[usage_date]],"mmmm")</f>
        <v>May</v>
      </c>
      <c r="E5073" s="9">
        <f>YEAR(Table3[[#This Row],[usage_date]])</f>
        <v>2023</v>
      </c>
      <c r="F5073" s="14">
        <v>2.76</v>
      </c>
      <c r="G5073">
        <v>237</v>
      </c>
      <c r="H5073" t="s">
        <v>12</v>
      </c>
      <c r="I5073" t="str">
        <f t="shared" si="79"/>
        <v>Normal Usage</v>
      </c>
    </row>
    <row r="5074" spans="1:9" x14ac:dyDescent="0.3">
      <c r="A5074">
        <v>15073</v>
      </c>
      <c r="B5074">
        <v>86</v>
      </c>
      <c r="C5074" s="2">
        <v>45306</v>
      </c>
      <c r="D5074" s="2" t="str">
        <f>TEXT(Table3[[#This Row],[usage_date]],"mmmm")</f>
        <v>January</v>
      </c>
      <c r="E5074" s="9">
        <f>YEAR(Table3[[#This Row],[usage_date]])</f>
        <v>2024</v>
      </c>
      <c r="F5074" s="14">
        <v>0.5</v>
      </c>
      <c r="G5074">
        <v>231</v>
      </c>
      <c r="H5074" t="s">
        <v>12</v>
      </c>
      <c r="I5074" t="str">
        <f t="shared" si="79"/>
        <v>Normal Usage</v>
      </c>
    </row>
    <row r="5075" spans="1:9" x14ac:dyDescent="0.3">
      <c r="A5075">
        <v>15074</v>
      </c>
      <c r="B5075">
        <v>476</v>
      </c>
      <c r="C5075" s="2">
        <v>45051</v>
      </c>
      <c r="D5075" s="2" t="str">
        <f>TEXT(Table3[[#This Row],[usage_date]],"mmmm")</f>
        <v>May</v>
      </c>
      <c r="E5075" s="9">
        <f>YEAR(Table3[[#This Row],[usage_date]])</f>
        <v>2023</v>
      </c>
      <c r="F5075" s="14">
        <v>2.38</v>
      </c>
      <c r="G5075">
        <v>91</v>
      </c>
      <c r="H5075" t="s">
        <v>12</v>
      </c>
      <c r="I5075" t="str">
        <f t="shared" si="79"/>
        <v>Normal Usage</v>
      </c>
    </row>
    <row r="5076" spans="1:9" x14ac:dyDescent="0.3">
      <c r="A5076">
        <v>15075</v>
      </c>
      <c r="B5076">
        <v>52</v>
      </c>
      <c r="C5076" s="2">
        <v>45294</v>
      </c>
      <c r="D5076" s="2" t="str">
        <f>TEXT(Table3[[#This Row],[usage_date]],"mmmm")</f>
        <v>January</v>
      </c>
      <c r="E5076" s="9">
        <f>YEAR(Table3[[#This Row],[usage_date]])</f>
        <v>2024</v>
      </c>
      <c r="F5076" s="14">
        <v>1.33</v>
      </c>
      <c r="G5076">
        <v>2</v>
      </c>
      <c r="H5076" t="s">
        <v>13</v>
      </c>
      <c r="I5076" t="str">
        <f t="shared" si="79"/>
        <v>Normal Usage</v>
      </c>
    </row>
    <row r="5077" spans="1:9" x14ac:dyDescent="0.3">
      <c r="A5077">
        <v>15076</v>
      </c>
      <c r="B5077">
        <v>111</v>
      </c>
      <c r="C5077" s="2">
        <v>44887</v>
      </c>
      <c r="D5077" s="2" t="str">
        <f>TEXT(Table3[[#This Row],[usage_date]],"mmmm")</f>
        <v>November</v>
      </c>
      <c r="E5077" s="9">
        <f>YEAR(Table3[[#This Row],[usage_date]])</f>
        <v>2022</v>
      </c>
      <c r="F5077" s="14">
        <v>2.65</v>
      </c>
      <c r="G5077">
        <v>80</v>
      </c>
      <c r="H5077" t="s">
        <v>12</v>
      </c>
      <c r="I5077" t="str">
        <f t="shared" si="79"/>
        <v>Normal Usage</v>
      </c>
    </row>
    <row r="5078" spans="1:9" x14ac:dyDescent="0.3">
      <c r="A5078">
        <v>15077</v>
      </c>
      <c r="B5078">
        <v>437</v>
      </c>
      <c r="C5078" s="2">
        <v>45090</v>
      </c>
      <c r="D5078" s="2" t="str">
        <f>TEXT(Table3[[#This Row],[usage_date]],"mmmm")</f>
        <v>June</v>
      </c>
      <c r="E5078" s="9">
        <f>YEAR(Table3[[#This Row],[usage_date]])</f>
        <v>2023</v>
      </c>
      <c r="F5078" s="14">
        <v>13.27</v>
      </c>
      <c r="G5078">
        <v>43</v>
      </c>
      <c r="H5078" t="s">
        <v>12</v>
      </c>
      <c r="I5078" t="str">
        <f t="shared" si="79"/>
        <v>High Usage</v>
      </c>
    </row>
    <row r="5079" spans="1:9" x14ac:dyDescent="0.3">
      <c r="A5079">
        <v>15078</v>
      </c>
      <c r="B5079">
        <v>365</v>
      </c>
      <c r="C5079" s="2">
        <v>45453</v>
      </c>
      <c r="D5079" s="2" t="str">
        <f>TEXT(Table3[[#This Row],[usage_date]],"mmmm")</f>
        <v>June</v>
      </c>
      <c r="E5079" s="9">
        <f>YEAR(Table3[[#This Row],[usage_date]])</f>
        <v>2024</v>
      </c>
      <c r="F5079" s="14">
        <v>6.94</v>
      </c>
      <c r="G5079">
        <v>154</v>
      </c>
      <c r="H5079" t="s">
        <v>12</v>
      </c>
      <c r="I5079" t="str">
        <f t="shared" si="79"/>
        <v>High Usage</v>
      </c>
    </row>
    <row r="5080" spans="1:9" x14ac:dyDescent="0.3">
      <c r="A5080">
        <v>15079</v>
      </c>
      <c r="B5080">
        <v>342</v>
      </c>
      <c r="C5080" s="2">
        <v>44650</v>
      </c>
      <c r="D5080" s="2" t="str">
        <f>TEXT(Table3[[#This Row],[usage_date]],"mmmm")</f>
        <v>March</v>
      </c>
      <c r="E5080" s="9">
        <f>YEAR(Table3[[#This Row],[usage_date]])</f>
        <v>2022</v>
      </c>
      <c r="F5080" s="14">
        <v>0.01</v>
      </c>
      <c r="G5080">
        <v>23</v>
      </c>
      <c r="H5080" t="s">
        <v>12</v>
      </c>
      <c r="I5080" t="str">
        <f t="shared" si="79"/>
        <v>Normal Usage</v>
      </c>
    </row>
    <row r="5081" spans="1:9" x14ac:dyDescent="0.3">
      <c r="A5081">
        <v>15080</v>
      </c>
      <c r="B5081">
        <v>43</v>
      </c>
      <c r="C5081" s="2">
        <v>45047</v>
      </c>
      <c r="D5081" s="2" t="str">
        <f>TEXT(Table3[[#This Row],[usage_date]],"mmmm")</f>
        <v>May</v>
      </c>
      <c r="E5081" s="9">
        <f>YEAR(Table3[[#This Row],[usage_date]])</f>
        <v>2023</v>
      </c>
      <c r="F5081" s="14">
        <v>5.42</v>
      </c>
      <c r="G5081">
        <v>98</v>
      </c>
      <c r="H5081" t="s">
        <v>12</v>
      </c>
      <c r="I5081" t="str">
        <f t="shared" si="79"/>
        <v>Normal Usage</v>
      </c>
    </row>
    <row r="5082" spans="1:9" x14ac:dyDescent="0.3">
      <c r="A5082">
        <v>15081</v>
      </c>
      <c r="B5082">
        <v>211</v>
      </c>
      <c r="C5082" s="2">
        <v>45269</v>
      </c>
      <c r="D5082" s="2" t="str">
        <f>TEXT(Table3[[#This Row],[usage_date]],"mmmm")</f>
        <v>December</v>
      </c>
      <c r="E5082" s="9">
        <f>YEAR(Table3[[#This Row],[usage_date]])</f>
        <v>2023</v>
      </c>
      <c r="F5082" s="14">
        <v>0.17</v>
      </c>
      <c r="G5082">
        <v>170</v>
      </c>
      <c r="H5082" t="s">
        <v>12</v>
      </c>
      <c r="I5082" t="str">
        <f t="shared" si="79"/>
        <v>Normal Usage</v>
      </c>
    </row>
    <row r="5083" spans="1:9" x14ac:dyDescent="0.3">
      <c r="A5083">
        <v>15082</v>
      </c>
      <c r="B5083">
        <v>456</v>
      </c>
      <c r="C5083" s="2">
        <v>44911</v>
      </c>
      <c r="D5083" s="2" t="str">
        <f>TEXT(Table3[[#This Row],[usage_date]],"mmmm")</f>
        <v>December</v>
      </c>
      <c r="E5083" s="9">
        <f>YEAR(Table3[[#This Row],[usage_date]])</f>
        <v>2022</v>
      </c>
      <c r="F5083" s="14">
        <v>7.65</v>
      </c>
      <c r="G5083">
        <v>147</v>
      </c>
      <c r="H5083" t="s">
        <v>12</v>
      </c>
      <c r="I5083" t="str">
        <f t="shared" si="79"/>
        <v>High Usage</v>
      </c>
    </row>
    <row r="5084" spans="1:9" x14ac:dyDescent="0.3">
      <c r="A5084">
        <v>15083</v>
      </c>
      <c r="B5084">
        <v>500</v>
      </c>
      <c r="C5084" s="2">
        <v>44645</v>
      </c>
      <c r="D5084" s="2" t="str">
        <f>TEXT(Table3[[#This Row],[usage_date]],"mmmm")</f>
        <v>March</v>
      </c>
      <c r="E5084" s="9">
        <f>YEAR(Table3[[#This Row],[usage_date]])</f>
        <v>2022</v>
      </c>
      <c r="F5084" s="14">
        <v>0.83</v>
      </c>
      <c r="G5084">
        <v>122</v>
      </c>
      <c r="H5084" t="s">
        <v>12</v>
      </c>
      <c r="I5084" t="str">
        <f t="shared" si="79"/>
        <v>Normal Usage</v>
      </c>
    </row>
    <row r="5085" spans="1:9" x14ac:dyDescent="0.3">
      <c r="A5085">
        <v>15084</v>
      </c>
      <c r="B5085">
        <v>200</v>
      </c>
      <c r="C5085" s="2">
        <v>44948</v>
      </c>
      <c r="D5085" s="2" t="str">
        <f>TEXT(Table3[[#This Row],[usage_date]],"mmmm")</f>
        <v>January</v>
      </c>
      <c r="E5085" s="9">
        <f>YEAR(Table3[[#This Row],[usage_date]])</f>
        <v>2023</v>
      </c>
      <c r="F5085" s="14">
        <v>1.2</v>
      </c>
      <c r="G5085">
        <v>111</v>
      </c>
      <c r="H5085" t="s">
        <v>12</v>
      </c>
      <c r="I5085" t="str">
        <f t="shared" si="79"/>
        <v>Normal Usage</v>
      </c>
    </row>
    <row r="5086" spans="1:9" x14ac:dyDescent="0.3">
      <c r="A5086">
        <v>15085</v>
      </c>
      <c r="B5086">
        <v>298</v>
      </c>
      <c r="C5086" s="2">
        <v>44648</v>
      </c>
      <c r="D5086" s="2" t="str">
        <f>TEXT(Table3[[#This Row],[usage_date]],"mmmm")</f>
        <v>March</v>
      </c>
      <c r="E5086" s="9">
        <f>YEAR(Table3[[#This Row],[usage_date]])</f>
        <v>2022</v>
      </c>
      <c r="F5086" s="14">
        <v>0.24</v>
      </c>
      <c r="G5086">
        <v>129</v>
      </c>
      <c r="H5086" t="s">
        <v>12</v>
      </c>
      <c r="I5086" t="str">
        <f t="shared" si="79"/>
        <v>Normal Usage</v>
      </c>
    </row>
    <row r="5087" spans="1:9" x14ac:dyDescent="0.3">
      <c r="A5087">
        <v>15086</v>
      </c>
      <c r="B5087">
        <v>346</v>
      </c>
      <c r="C5087" s="2">
        <v>44868</v>
      </c>
      <c r="D5087" s="2" t="str">
        <f>TEXT(Table3[[#This Row],[usage_date]],"mmmm")</f>
        <v>November</v>
      </c>
      <c r="E5087" s="9">
        <f>YEAR(Table3[[#This Row],[usage_date]])</f>
        <v>2022</v>
      </c>
      <c r="F5087" s="14">
        <v>0.3</v>
      </c>
      <c r="G5087">
        <v>67</v>
      </c>
      <c r="H5087" t="s">
        <v>12</v>
      </c>
      <c r="I5087" t="str">
        <f t="shared" si="79"/>
        <v>Normal Usage</v>
      </c>
    </row>
    <row r="5088" spans="1:9" x14ac:dyDescent="0.3">
      <c r="A5088">
        <v>15087</v>
      </c>
      <c r="B5088">
        <v>240</v>
      </c>
      <c r="C5088" s="2">
        <v>45411</v>
      </c>
      <c r="D5088" s="2" t="str">
        <f>TEXT(Table3[[#This Row],[usage_date]],"mmmm")</f>
        <v>April</v>
      </c>
      <c r="E5088" s="9">
        <f>YEAR(Table3[[#This Row],[usage_date]])</f>
        <v>2024</v>
      </c>
      <c r="F5088" s="14">
        <v>3.24</v>
      </c>
      <c r="G5088">
        <v>216</v>
      </c>
      <c r="H5088" t="s">
        <v>12</v>
      </c>
      <c r="I5088" t="str">
        <f t="shared" si="79"/>
        <v>Normal Usage</v>
      </c>
    </row>
    <row r="5089" spans="1:9" x14ac:dyDescent="0.3">
      <c r="A5089">
        <v>15088</v>
      </c>
      <c r="B5089">
        <v>115</v>
      </c>
      <c r="C5089" s="2">
        <v>44715</v>
      </c>
      <c r="D5089" s="2" t="str">
        <f>TEXT(Table3[[#This Row],[usage_date]],"mmmm")</f>
        <v>June</v>
      </c>
      <c r="E5089" s="9">
        <f>YEAR(Table3[[#This Row],[usage_date]])</f>
        <v>2022</v>
      </c>
      <c r="F5089" s="14">
        <v>7.22</v>
      </c>
      <c r="G5089">
        <v>95</v>
      </c>
      <c r="H5089" t="s">
        <v>12</v>
      </c>
      <c r="I5089" t="str">
        <f t="shared" si="79"/>
        <v>High Usage</v>
      </c>
    </row>
    <row r="5090" spans="1:9" x14ac:dyDescent="0.3">
      <c r="A5090">
        <v>15089</v>
      </c>
      <c r="B5090">
        <v>26</v>
      </c>
      <c r="C5090" s="2">
        <v>45001</v>
      </c>
      <c r="D5090" s="2" t="str">
        <f>TEXT(Table3[[#This Row],[usage_date]],"mmmm")</f>
        <v>March</v>
      </c>
      <c r="E5090" s="9">
        <f>YEAR(Table3[[#This Row],[usage_date]])</f>
        <v>2023</v>
      </c>
      <c r="F5090" s="14">
        <v>2.36</v>
      </c>
      <c r="G5090">
        <v>144</v>
      </c>
      <c r="H5090" t="s">
        <v>12</v>
      </c>
      <c r="I5090" t="str">
        <f t="shared" si="79"/>
        <v>Normal Usage</v>
      </c>
    </row>
    <row r="5091" spans="1:9" x14ac:dyDescent="0.3">
      <c r="A5091">
        <v>15090</v>
      </c>
      <c r="B5091">
        <v>407</v>
      </c>
      <c r="C5091" s="2">
        <v>45301</v>
      </c>
      <c r="D5091" s="2" t="str">
        <f>TEXT(Table3[[#This Row],[usage_date]],"mmmm")</f>
        <v>January</v>
      </c>
      <c r="E5091" s="9">
        <f>YEAR(Table3[[#This Row],[usage_date]])</f>
        <v>2024</v>
      </c>
      <c r="F5091" s="14">
        <v>3.15</v>
      </c>
      <c r="G5091">
        <v>32</v>
      </c>
      <c r="H5091" t="s">
        <v>13</v>
      </c>
      <c r="I5091" t="str">
        <f t="shared" si="79"/>
        <v>Normal Usage</v>
      </c>
    </row>
    <row r="5092" spans="1:9" x14ac:dyDescent="0.3">
      <c r="A5092">
        <v>15091</v>
      </c>
      <c r="B5092">
        <v>299</v>
      </c>
      <c r="C5092" s="2">
        <v>44825</v>
      </c>
      <c r="D5092" s="2" t="str">
        <f>TEXT(Table3[[#This Row],[usage_date]],"mmmm")</f>
        <v>September</v>
      </c>
      <c r="E5092" s="9">
        <f>YEAR(Table3[[#This Row],[usage_date]])</f>
        <v>2022</v>
      </c>
      <c r="F5092" s="14">
        <v>3.59</v>
      </c>
      <c r="G5092">
        <v>285</v>
      </c>
      <c r="H5092" t="s">
        <v>12</v>
      </c>
      <c r="I5092" t="str">
        <f t="shared" si="79"/>
        <v>Normal Usage</v>
      </c>
    </row>
    <row r="5093" spans="1:9" x14ac:dyDescent="0.3">
      <c r="A5093">
        <v>15092</v>
      </c>
      <c r="B5093">
        <v>77</v>
      </c>
      <c r="C5093" s="2">
        <v>45296</v>
      </c>
      <c r="D5093" s="2" t="str">
        <f>TEXT(Table3[[#This Row],[usage_date]],"mmmm")</f>
        <v>January</v>
      </c>
      <c r="E5093" s="9">
        <f>YEAR(Table3[[#This Row],[usage_date]])</f>
        <v>2024</v>
      </c>
      <c r="F5093" s="14">
        <v>0.76</v>
      </c>
      <c r="G5093">
        <v>4</v>
      </c>
      <c r="H5093" t="s">
        <v>12</v>
      </c>
      <c r="I5093" t="str">
        <f t="shared" si="79"/>
        <v>Normal Usage</v>
      </c>
    </row>
    <row r="5094" spans="1:9" x14ac:dyDescent="0.3">
      <c r="A5094">
        <v>15093</v>
      </c>
      <c r="B5094">
        <v>412</v>
      </c>
      <c r="C5094" s="2">
        <v>44982</v>
      </c>
      <c r="D5094" s="2" t="str">
        <f>TEXT(Table3[[#This Row],[usage_date]],"mmmm")</f>
        <v>February</v>
      </c>
      <c r="E5094" s="9">
        <f>YEAR(Table3[[#This Row],[usage_date]])</f>
        <v>2023</v>
      </c>
      <c r="F5094" s="14">
        <v>0.12</v>
      </c>
      <c r="G5094">
        <v>117</v>
      </c>
      <c r="H5094" t="s">
        <v>12</v>
      </c>
      <c r="I5094" t="str">
        <f t="shared" si="79"/>
        <v>Normal Usage</v>
      </c>
    </row>
    <row r="5095" spans="1:9" x14ac:dyDescent="0.3">
      <c r="A5095">
        <v>15094</v>
      </c>
      <c r="B5095">
        <v>137</v>
      </c>
      <c r="C5095" s="2">
        <v>45054</v>
      </c>
      <c r="D5095" s="2" t="str">
        <f>TEXT(Table3[[#This Row],[usage_date]],"mmmm")</f>
        <v>May</v>
      </c>
      <c r="E5095" s="9">
        <f>YEAR(Table3[[#This Row],[usage_date]])</f>
        <v>2023</v>
      </c>
      <c r="F5095" s="14">
        <v>0</v>
      </c>
      <c r="G5095">
        <v>139</v>
      </c>
      <c r="H5095" t="s">
        <v>12</v>
      </c>
      <c r="I5095" t="str">
        <f t="shared" si="79"/>
        <v>Normal Usage</v>
      </c>
    </row>
    <row r="5096" spans="1:9" x14ac:dyDescent="0.3">
      <c r="A5096">
        <v>15095</v>
      </c>
      <c r="B5096">
        <v>20</v>
      </c>
      <c r="C5096" s="2">
        <v>45194</v>
      </c>
      <c r="D5096" s="2" t="str">
        <f>TEXT(Table3[[#This Row],[usage_date]],"mmmm")</f>
        <v>September</v>
      </c>
      <c r="E5096" s="9">
        <f>YEAR(Table3[[#This Row],[usage_date]])</f>
        <v>2023</v>
      </c>
      <c r="F5096" s="14">
        <v>1.08</v>
      </c>
      <c r="G5096">
        <v>229</v>
      </c>
      <c r="H5096" t="s">
        <v>13</v>
      </c>
      <c r="I5096" t="str">
        <f t="shared" si="79"/>
        <v>Normal Usage</v>
      </c>
    </row>
    <row r="5097" spans="1:9" x14ac:dyDescent="0.3">
      <c r="A5097">
        <v>15096</v>
      </c>
      <c r="B5097">
        <v>440</v>
      </c>
      <c r="C5097" s="2">
        <v>44972</v>
      </c>
      <c r="D5097" s="2" t="str">
        <f>TEXT(Table3[[#This Row],[usage_date]],"mmmm")</f>
        <v>February</v>
      </c>
      <c r="E5097" s="9">
        <f>YEAR(Table3[[#This Row],[usage_date]])</f>
        <v>2023</v>
      </c>
      <c r="F5097" s="14">
        <v>0.69</v>
      </c>
      <c r="G5097">
        <v>159</v>
      </c>
      <c r="H5097" t="s">
        <v>12</v>
      </c>
      <c r="I5097" t="str">
        <f t="shared" si="79"/>
        <v>Normal Usage</v>
      </c>
    </row>
    <row r="5098" spans="1:9" x14ac:dyDescent="0.3">
      <c r="A5098">
        <v>15097</v>
      </c>
      <c r="B5098">
        <v>211</v>
      </c>
      <c r="C5098" s="2">
        <v>44734</v>
      </c>
      <c r="D5098" s="2" t="str">
        <f>TEXT(Table3[[#This Row],[usage_date]],"mmmm")</f>
        <v>June</v>
      </c>
      <c r="E5098" s="9">
        <f>YEAR(Table3[[#This Row],[usage_date]])</f>
        <v>2022</v>
      </c>
      <c r="F5098" s="14">
        <v>0.16</v>
      </c>
      <c r="G5098">
        <v>293</v>
      </c>
      <c r="H5098" t="s">
        <v>12</v>
      </c>
      <c r="I5098" t="str">
        <f t="shared" si="79"/>
        <v>Normal Usage</v>
      </c>
    </row>
    <row r="5099" spans="1:9" x14ac:dyDescent="0.3">
      <c r="A5099">
        <v>15098</v>
      </c>
      <c r="B5099">
        <v>240</v>
      </c>
      <c r="C5099" s="2">
        <v>44565</v>
      </c>
      <c r="D5099" s="2" t="str">
        <f>TEXT(Table3[[#This Row],[usage_date]],"mmmm")</f>
        <v>January</v>
      </c>
      <c r="E5099" s="9">
        <f>YEAR(Table3[[#This Row],[usage_date]])</f>
        <v>2022</v>
      </c>
      <c r="F5099" s="14">
        <v>0.49</v>
      </c>
      <c r="G5099">
        <v>248</v>
      </c>
      <c r="H5099" t="s">
        <v>12</v>
      </c>
      <c r="I5099" t="str">
        <f t="shared" si="79"/>
        <v>Normal Usage</v>
      </c>
    </row>
    <row r="5100" spans="1:9" x14ac:dyDescent="0.3">
      <c r="A5100">
        <v>15099</v>
      </c>
      <c r="B5100">
        <v>39</v>
      </c>
      <c r="C5100" s="2">
        <v>45415</v>
      </c>
      <c r="D5100" s="2" t="str">
        <f>TEXT(Table3[[#This Row],[usage_date]],"mmmm")</f>
        <v>May</v>
      </c>
      <c r="E5100" s="9">
        <f>YEAR(Table3[[#This Row],[usage_date]])</f>
        <v>2024</v>
      </c>
      <c r="F5100" s="14">
        <v>0.33</v>
      </c>
      <c r="G5100">
        <v>272</v>
      </c>
      <c r="H5100" t="s">
        <v>13</v>
      </c>
      <c r="I5100" t="str">
        <f t="shared" si="79"/>
        <v>Normal Usage</v>
      </c>
    </row>
    <row r="5101" spans="1:9" x14ac:dyDescent="0.3">
      <c r="A5101">
        <v>15100</v>
      </c>
      <c r="B5101">
        <v>435</v>
      </c>
      <c r="C5101" s="2">
        <v>45201</v>
      </c>
      <c r="D5101" s="2" t="str">
        <f>TEXT(Table3[[#This Row],[usage_date]],"mmmm")</f>
        <v>October</v>
      </c>
      <c r="E5101" s="9">
        <f>YEAR(Table3[[#This Row],[usage_date]])</f>
        <v>2023</v>
      </c>
      <c r="F5101" s="14">
        <v>6.16</v>
      </c>
      <c r="G5101">
        <v>185</v>
      </c>
      <c r="H5101" t="s">
        <v>13</v>
      </c>
      <c r="I5101" t="str">
        <f t="shared" si="79"/>
        <v>High Usage</v>
      </c>
    </row>
    <row r="5102" spans="1:9" x14ac:dyDescent="0.3">
      <c r="A5102">
        <v>15101</v>
      </c>
      <c r="B5102">
        <v>268</v>
      </c>
      <c r="C5102" s="2">
        <v>45033</v>
      </c>
      <c r="D5102" s="2" t="str">
        <f>TEXT(Table3[[#This Row],[usage_date]],"mmmm")</f>
        <v>April</v>
      </c>
      <c r="E5102" s="9">
        <f>YEAR(Table3[[#This Row],[usage_date]])</f>
        <v>2023</v>
      </c>
      <c r="F5102" s="14">
        <v>0.38</v>
      </c>
      <c r="G5102">
        <v>39</v>
      </c>
      <c r="H5102" t="s">
        <v>12</v>
      </c>
      <c r="I5102" t="str">
        <f t="shared" si="79"/>
        <v>Normal Usage</v>
      </c>
    </row>
    <row r="5103" spans="1:9" x14ac:dyDescent="0.3">
      <c r="A5103">
        <v>15102</v>
      </c>
      <c r="B5103">
        <v>207</v>
      </c>
      <c r="C5103" s="2">
        <v>44671</v>
      </c>
      <c r="D5103" s="2" t="str">
        <f>TEXT(Table3[[#This Row],[usage_date]],"mmmm")</f>
        <v>April</v>
      </c>
      <c r="E5103" s="9">
        <f>YEAR(Table3[[#This Row],[usage_date]])</f>
        <v>2022</v>
      </c>
      <c r="F5103" s="14">
        <v>1.93</v>
      </c>
      <c r="G5103">
        <v>223</v>
      </c>
      <c r="H5103" t="s">
        <v>13</v>
      </c>
      <c r="I5103" t="str">
        <f t="shared" si="79"/>
        <v>Normal Usage</v>
      </c>
    </row>
    <row r="5104" spans="1:9" x14ac:dyDescent="0.3">
      <c r="A5104">
        <v>15103</v>
      </c>
      <c r="B5104">
        <v>479</v>
      </c>
      <c r="C5104" s="2">
        <v>45428</v>
      </c>
      <c r="D5104" s="2" t="str">
        <f>TEXT(Table3[[#This Row],[usage_date]],"mmmm")</f>
        <v>May</v>
      </c>
      <c r="E5104" s="9">
        <f>YEAR(Table3[[#This Row],[usage_date]])</f>
        <v>2024</v>
      </c>
      <c r="F5104" s="14">
        <v>2.25</v>
      </c>
      <c r="G5104">
        <v>151</v>
      </c>
      <c r="H5104" t="s">
        <v>12</v>
      </c>
      <c r="I5104" t="str">
        <f t="shared" si="79"/>
        <v>Normal Usage</v>
      </c>
    </row>
    <row r="5105" spans="1:9" x14ac:dyDescent="0.3">
      <c r="A5105">
        <v>15104</v>
      </c>
      <c r="B5105">
        <v>439</v>
      </c>
      <c r="C5105" s="2">
        <v>44598</v>
      </c>
      <c r="D5105" s="2" t="str">
        <f>TEXT(Table3[[#This Row],[usage_date]],"mmmm")</f>
        <v>February</v>
      </c>
      <c r="E5105" s="9">
        <f>YEAR(Table3[[#This Row],[usage_date]])</f>
        <v>2022</v>
      </c>
      <c r="F5105" s="14">
        <v>1.96</v>
      </c>
      <c r="G5105">
        <v>139</v>
      </c>
      <c r="H5105" t="s">
        <v>12</v>
      </c>
      <c r="I5105" t="str">
        <f t="shared" si="79"/>
        <v>Normal Usage</v>
      </c>
    </row>
    <row r="5106" spans="1:9" x14ac:dyDescent="0.3">
      <c r="A5106">
        <v>15105</v>
      </c>
      <c r="B5106">
        <v>462</v>
      </c>
      <c r="C5106" s="2">
        <v>45144</v>
      </c>
      <c r="D5106" s="2" t="str">
        <f>TEXT(Table3[[#This Row],[usage_date]],"mmmm")</f>
        <v>August</v>
      </c>
      <c r="E5106" s="9">
        <f>YEAR(Table3[[#This Row],[usage_date]])</f>
        <v>2023</v>
      </c>
      <c r="F5106" s="14">
        <v>0.26</v>
      </c>
      <c r="G5106">
        <v>127</v>
      </c>
      <c r="H5106" t="s">
        <v>12</v>
      </c>
      <c r="I5106" t="str">
        <f t="shared" si="79"/>
        <v>Normal Usage</v>
      </c>
    </row>
    <row r="5107" spans="1:9" x14ac:dyDescent="0.3">
      <c r="A5107">
        <v>15106</v>
      </c>
      <c r="B5107">
        <v>267</v>
      </c>
      <c r="C5107" s="2">
        <v>45362</v>
      </c>
      <c r="D5107" s="2" t="str">
        <f>TEXT(Table3[[#This Row],[usage_date]],"mmmm")</f>
        <v>March</v>
      </c>
      <c r="E5107" s="9">
        <f>YEAR(Table3[[#This Row],[usage_date]])</f>
        <v>2024</v>
      </c>
      <c r="F5107" s="14">
        <v>0.96</v>
      </c>
      <c r="G5107">
        <v>146</v>
      </c>
      <c r="H5107" t="s">
        <v>12</v>
      </c>
      <c r="I5107" t="str">
        <f t="shared" si="79"/>
        <v>Normal Usage</v>
      </c>
    </row>
    <row r="5108" spans="1:9" x14ac:dyDescent="0.3">
      <c r="A5108">
        <v>15107</v>
      </c>
      <c r="B5108">
        <v>154</v>
      </c>
      <c r="C5108" s="2">
        <v>44592</v>
      </c>
      <c r="D5108" s="2" t="str">
        <f>TEXT(Table3[[#This Row],[usage_date]],"mmmm")</f>
        <v>January</v>
      </c>
      <c r="E5108" s="9">
        <f>YEAR(Table3[[#This Row],[usage_date]])</f>
        <v>2022</v>
      </c>
      <c r="F5108" s="14">
        <v>0.13</v>
      </c>
      <c r="G5108">
        <v>284</v>
      </c>
      <c r="H5108" t="s">
        <v>12</v>
      </c>
      <c r="I5108" t="str">
        <f t="shared" si="79"/>
        <v>Normal Usage</v>
      </c>
    </row>
    <row r="5109" spans="1:9" x14ac:dyDescent="0.3">
      <c r="A5109">
        <v>15108</v>
      </c>
      <c r="B5109">
        <v>42</v>
      </c>
      <c r="C5109" s="2">
        <v>44942</v>
      </c>
      <c r="D5109" s="2" t="str">
        <f>TEXT(Table3[[#This Row],[usage_date]],"mmmm")</f>
        <v>January</v>
      </c>
      <c r="E5109" s="9">
        <f>YEAR(Table3[[#This Row],[usage_date]])</f>
        <v>2023</v>
      </c>
      <c r="F5109" s="14">
        <v>1.26</v>
      </c>
      <c r="G5109">
        <v>217</v>
      </c>
      <c r="H5109" t="s">
        <v>13</v>
      </c>
      <c r="I5109" t="str">
        <f t="shared" si="79"/>
        <v>Normal Usage</v>
      </c>
    </row>
    <row r="5110" spans="1:9" x14ac:dyDescent="0.3">
      <c r="A5110">
        <v>15109</v>
      </c>
      <c r="B5110">
        <v>411</v>
      </c>
      <c r="C5110" s="2">
        <v>44829</v>
      </c>
      <c r="D5110" s="2" t="str">
        <f>TEXT(Table3[[#This Row],[usage_date]],"mmmm")</f>
        <v>September</v>
      </c>
      <c r="E5110" s="9">
        <f>YEAR(Table3[[#This Row],[usage_date]])</f>
        <v>2022</v>
      </c>
      <c r="F5110" s="14">
        <v>0.52</v>
      </c>
      <c r="G5110">
        <v>219</v>
      </c>
      <c r="H5110" t="s">
        <v>12</v>
      </c>
      <c r="I5110" t="str">
        <f t="shared" si="79"/>
        <v>Normal Usage</v>
      </c>
    </row>
    <row r="5111" spans="1:9" x14ac:dyDescent="0.3">
      <c r="A5111">
        <v>15110</v>
      </c>
      <c r="B5111">
        <v>11</v>
      </c>
      <c r="C5111" s="2">
        <v>44572</v>
      </c>
      <c r="D5111" s="2" t="str">
        <f>TEXT(Table3[[#This Row],[usage_date]],"mmmm")</f>
        <v>January</v>
      </c>
      <c r="E5111" s="9">
        <f>YEAR(Table3[[#This Row],[usage_date]])</f>
        <v>2022</v>
      </c>
      <c r="F5111" s="14">
        <v>2.06</v>
      </c>
      <c r="G5111">
        <v>144</v>
      </c>
      <c r="H5111" t="s">
        <v>12</v>
      </c>
      <c r="I5111" t="str">
        <f t="shared" si="79"/>
        <v>Normal Usage</v>
      </c>
    </row>
    <row r="5112" spans="1:9" x14ac:dyDescent="0.3">
      <c r="A5112">
        <v>15111</v>
      </c>
      <c r="B5112">
        <v>294</v>
      </c>
      <c r="C5112" s="2">
        <v>44905</v>
      </c>
      <c r="D5112" s="2" t="str">
        <f>TEXT(Table3[[#This Row],[usage_date]],"mmmm")</f>
        <v>December</v>
      </c>
      <c r="E5112" s="9">
        <f>YEAR(Table3[[#This Row],[usage_date]])</f>
        <v>2022</v>
      </c>
      <c r="F5112" s="14">
        <v>2.95</v>
      </c>
      <c r="G5112">
        <v>276</v>
      </c>
      <c r="H5112" t="s">
        <v>12</v>
      </c>
      <c r="I5112" t="str">
        <f t="shared" si="79"/>
        <v>Normal Usage</v>
      </c>
    </row>
    <row r="5113" spans="1:9" x14ac:dyDescent="0.3">
      <c r="A5113">
        <v>15112</v>
      </c>
      <c r="B5113">
        <v>98</v>
      </c>
      <c r="C5113" s="2">
        <v>45401</v>
      </c>
      <c r="D5113" s="2" t="str">
        <f>TEXT(Table3[[#This Row],[usage_date]],"mmmm")</f>
        <v>April</v>
      </c>
      <c r="E5113" s="9">
        <f>YEAR(Table3[[#This Row],[usage_date]])</f>
        <v>2024</v>
      </c>
      <c r="F5113" s="14">
        <v>1.9</v>
      </c>
      <c r="G5113">
        <v>241</v>
      </c>
      <c r="H5113" t="s">
        <v>12</v>
      </c>
      <c r="I5113" t="str">
        <f t="shared" si="79"/>
        <v>Normal Usage</v>
      </c>
    </row>
    <row r="5114" spans="1:9" x14ac:dyDescent="0.3">
      <c r="A5114">
        <v>15113</v>
      </c>
      <c r="B5114">
        <v>427</v>
      </c>
      <c r="C5114" s="2">
        <v>45105</v>
      </c>
      <c r="D5114" s="2" t="str">
        <f>TEXT(Table3[[#This Row],[usage_date]],"mmmm")</f>
        <v>June</v>
      </c>
      <c r="E5114" s="9">
        <f>YEAR(Table3[[#This Row],[usage_date]])</f>
        <v>2023</v>
      </c>
      <c r="F5114" s="14">
        <v>1.42</v>
      </c>
      <c r="G5114">
        <v>59</v>
      </c>
      <c r="H5114" t="s">
        <v>12</v>
      </c>
      <c r="I5114" t="str">
        <f t="shared" si="79"/>
        <v>Normal Usage</v>
      </c>
    </row>
    <row r="5115" spans="1:9" x14ac:dyDescent="0.3">
      <c r="A5115">
        <v>15114</v>
      </c>
      <c r="B5115">
        <v>275</v>
      </c>
      <c r="C5115" s="2">
        <v>45130</v>
      </c>
      <c r="D5115" s="2" t="str">
        <f>TEXT(Table3[[#This Row],[usage_date]],"mmmm")</f>
        <v>July</v>
      </c>
      <c r="E5115" s="9">
        <f>YEAR(Table3[[#This Row],[usage_date]])</f>
        <v>2023</v>
      </c>
      <c r="F5115" s="14">
        <v>1.22</v>
      </c>
      <c r="G5115">
        <v>97</v>
      </c>
      <c r="H5115" t="s">
        <v>12</v>
      </c>
      <c r="I5115" t="str">
        <f t="shared" si="79"/>
        <v>Normal Usage</v>
      </c>
    </row>
    <row r="5116" spans="1:9" x14ac:dyDescent="0.3">
      <c r="A5116">
        <v>15115</v>
      </c>
      <c r="B5116">
        <v>448</v>
      </c>
      <c r="C5116" s="2">
        <v>44727</v>
      </c>
      <c r="D5116" s="2" t="str">
        <f>TEXT(Table3[[#This Row],[usage_date]],"mmmm")</f>
        <v>June</v>
      </c>
      <c r="E5116" s="9">
        <f>YEAR(Table3[[#This Row],[usage_date]])</f>
        <v>2022</v>
      </c>
      <c r="F5116" s="14">
        <v>4.6100000000000003</v>
      </c>
      <c r="G5116">
        <v>180</v>
      </c>
      <c r="H5116" t="s">
        <v>12</v>
      </c>
      <c r="I5116" t="str">
        <f t="shared" si="79"/>
        <v>Normal Usage</v>
      </c>
    </row>
    <row r="5117" spans="1:9" x14ac:dyDescent="0.3">
      <c r="A5117">
        <v>15116</v>
      </c>
      <c r="B5117">
        <v>390</v>
      </c>
      <c r="C5117" s="2">
        <v>45261</v>
      </c>
      <c r="D5117" s="2" t="str">
        <f>TEXT(Table3[[#This Row],[usage_date]],"mmmm")</f>
        <v>December</v>
      </c>
      <c r="E5117" s="9">
        <f>YEAR(Table3[[#This Row],[usage_date]])</f>
        <v>2023</v>
      </c>
      <c r="F5117" s="14">
        <v>0.62</v>
      </c>
      <c r="G5117">
        <v>113</v>
      </c>
      <c r="H5117" t="s">
        <v>12</v>
      </c>
      <c r="I5117" t="str">
        <f t="shared" si="79"/>
        <v>Normal Usage</v>
      </c>
    </row>
    <row r="5118" spans="1:9" x14ac:dyDescent="0.3">
      <c r="A5118">
        <v>15117</v>
      </c>
      <c r="B5118">
        <v>430</v>
      </c>
      <c r="C5118" s="2">
        <v>44903</v>
      </c>
      <c r="D5118" s="2" t="str">
        <f>TEXT(Table3[[#This Row],[usage_date]],"mmmm")</f>
        <v>December</v>
      </c>
      <c r="E5118" s="9">
        <f>YEAR(Table3[[#This Row],[usage_date]])</f>
        <v>2022</v>
      </c>
      <c r="F5118" s="14">
        <v>3.31</v>
      </c>
      <c r="G5118">
        <v>102</v>
      </c>
      <c r="H5118" t="s">
        <v>12</v>
      </c>
      <c r="I5118" t="str">
        <f t="shared" si="79"/>
        <v>Normal Usage</v>
      </c>
    </row>
    <row r="5119" spans="1:9" x14ac:dyDescent="0.3">
      <c r="A5119">
        <v>15118</v>
      </c>
      <c r="B5119">
        <v>372</v>
      </c>
      <c r="C5119" s="2">
        <v>45043</v>
      </c>
      <c r="D5119" s="2" t="str">
        <f>TEXT(Table3[[#This Row],[usage_date]],"mmmm")</f>
        <v>April</v>
      </c>
      <c r="E5119" s="9">
        <f>YEAR(Table3[[#This Row],[usage_date]])</f>
        <v>2023</v>
      </c>
      <c r="F5119" s="14">
        <v>3.54</v>
      </c>
      <c r="G5119">
        <v>56</v>
      </c>
      <c r="H5119" t="s">
        <v>12</v>
      </c>
      <c r="I5119" t="str">
        <f t="shared" si="79"/>
        <v>Normal Usage</v>
      </c>
    </row>
    <row r="5120" spans="1:9" x14ac:dyDescent="0.3">
      <c r="A5120">
        <v>15119</v>
      </c>
      <c r="B5120">
        <v>230</v>
      </c>
      <c r="C5120" s="2">
        <v>44580</v>
      </c>
      <c r="D5120" s="2" t="str">
        <f>TEXT(Table3[[#This Row],[usage_date]],"mmmm")</f>
        <v>January</v>
      </c>
      <c r="E5120" s="9">
        <f>YEAR(Table3[[#This Row],[usage_date]])</f>
        <v>2022</v>
      </c>
      <c r="F5120" s="14">
        <v>1.36</v>
      </c>
      <c r="G5120">
        <v>284</v>
      </c>
      <c r="H5120" t="s">
        <v>12</v>
      </c>
      <c r="I5120" t="str">
        <f t="shared" si="79"/>
        <v>Normal Usage</v>
      </c>
    </row>
    <row r="5121" spans="1:9" x14ac:dyDescent="0.3">
      <c r="A5121">
        <v>15120</v>
      </c>
      <c r="B5121">
        <v>369</v>
      </c>
      <c r="C5121" s="2">
        <v>45189</v>
      </c>
      <c r="D5121" s="2" t="str">
        <f>TEXT(Table3[[#This Row],[usage_date]],"mmmm")</f>
        <v>September</v>
      </c>
      <c r="E5121" s="9">
        <f>YEAR(Table3[[#This Row],[usage_date]])</f>
        <v>2023</v>
      </c>
      <c r="F5121" s="14">
        <v>0.88</v>
      </c>
      <c r="G5121">
        <v>128</v>
      </c>
      <c r="H5121" t="s">
        <v>12</v>
      </c>
      <c r="I5121" t="str">
        <f t="shared" si="79"/>
        <v>Normal Usage</v>
      </c>
    </row>
    <row r="5122" spans="1:9" x14ac:dyDescent="0.3">
      <c r="A5122">
        <v>15121</v>
      </c>
      <c r="B5122">
        <v>426</v>
      </c>
      <c r="C5122" s="2">
        <v>44745</v>
      </c>
      <c r="D5122" s="2" t="str">
        <f>TEXT(Table3[[#This Row],[usage_date]],"mmmm")</f>
        <v>July</v>
      </c>
      <c r="E5122" s="9">
        <f>YEAR(Table3[[#This Row],[usage_date]])</f>
        <v>2022</v>
      </c>
      <c r="F5122" s="14">
        <v>1.59</v>
      </c>
      <c r="G5122">
        <v>85</v>
      </c>
      <c r="H5122" t="s">
        <v>12</v>
      </c>
      <c r="I5122" t="str">
        <f t="shared" ref="I5122:I5185" si="80">IF(F5122&gt;6,"High Usage","Normal Usage")</f>
        <v>Normal Usage</v>
      </c>
    </row>
    <row r="5123" spans="1:9" x14ac:dyDescent="0.3">
      <c r="A5123">
        <v>15122</v>
      </c>
      <c r="B5123">
        <v>220</v>
      </c>
      <c r="C5123" s="2">
        <v>45343</v>
      </c>
      <c r="D5123" s="2" t="str">
        <f>TEXT(Table3[[#This Row],[usage_date]],"mmmm")</f>
        <v>February</v>
      </c>
      <c r="E5123" s="9">
        <f>YEAR(Table3[[#This Row],[usage_date]])</f>
        <v>2024</v>
      </c>
      <c r="F5123" s="14">
        <v>0.24</v>
      </c>
      <c r="G5123">
        <v>199</v>
      </c>
      <c r="H5123" t="s">
        <v>12</v>
      </c>
      <c r="I5123" t="str">
        <f t="shared" si="80"/>
        <v>Normal Usage</v>
      </c>
    </row>
    <row r="5124" spans="1:9" x14ac:dyDescent="0.3">
      <c r="A5124">
        <v>15123</v>
      </c>
      <c r="B5124">
        <v>65</v>
      </c>
      <c r="C5124" s="2">
        <v>45106</v>
      </c>
      <c r="D5124" s="2" t="str">
        <f>TEXT(Table3[[#This Row],[usage_date]],"mmmm")</f>
        <v>June</v>
      </c>
      <c r="E5124" s="9">
        <f>YEAR(Table3[[#This Row],[usage_date]])</f>
        <v>2023</v>
      </c>
      <c r="F5124" s="14">
        <v>0.12</v>
      </c>
      <c r="G5124">
        <v>70</v>
      </c>
      <c r="H5124" t="s">
        <v>12</v>
      </c>
      <c r="I5124" t="str">
        <f t="shared" si="80"/>
        <v>Normal Usage</v>
      </c>
    </row>
    <row r="5125" spans="1:9" x14ac:dyDescent="0.3">
      <c r="A5125">
        <v>15124</v>
      </c>
      <c r="B5125">
        <v>355</v>
      </c>
      <c r="C5125" s="2">
        <v>44571</v>
      </c>
      <c r="D5125" s="2" t="str">
        <f>TEXT(Table3[[#This Row],[usage_date]],"mmmm")</f>
        <v>January</v>
      </c>
      <c r="E5125" s="9">
        <f>YEAR(Table3[[#This Row],[usage_date]])</f>
        <v>2022</v>
      </c>
      <c r="F5125" s="14">
        <v>0.3</v>
      </c>
      <c r="G5125">
        <v>97</v>
      </c>
      <c r="H5125" t="s">
        <v>13</v>
      </c>
      <c r="I5125" t="str">
        <f t="shared" si="80"/>
        <v>Normal Usage</v>
      </c>
    </row>
    <row r="5126" spans="1:9" x14ac:dyDescent="0.3">
      <c r="A5126">
        <v>15125</v>
      </c>
      <c r="B5126">
        <v>232</v>
      </c>
      <c r="C5126" s="2">
        <v>45153</v>
      </c>
      <c r="D5126" s="2" t="str">
        <f>TEXT(Table3[[#This Row],[usage_date]],"mmmm")</f>
        <v>August</v>
      </c>
      <c r="E5126" s="9">
        <f>YEAR(Table3[[#This Row],[usage_date]])</f>
        <v>2023</v>
      </c>
      <c r="F5126" s="14">
        <v>0.52</v>
      </c>
      <c r="G5126">
        <v>299</v>
      </c>
      <c r="H5126" t="s">
        <v>13</v>
      </c>
      <c r="I5126" t="str">
        <f t="shared" si="80"/>
        <v>Normal Usage</v>
      </c>
    </row>
    <row r="5127" spans="1:9" x14ac:dyDescent="0.3">
      <c r="A5127">
        <v>15126</v>
      </c>
      <c r="B5127">
        <v>328</v>
      </c>
      <c r="C5127" s="2">
        <v>44753</v>
      </c>
      <c r="D5127" s="2" t="str">
        <f>TEXT(Table3[[#This Row],[usage_date]],"mmmm")</f>
        <v>July</v>
      </c>
      <c r="E5127" s="9">
        <f>YEAR(Table3[[#This Row],[usage_date]])</f>
        <v>2022</v>
      </c>
      <c r="F5127" s="14">
        <v>1.75</v>
      </c>
      <c r="G5127">
        <v>175</v>
      </c>
      <c r="H5127" t="s">
        <v>13</v>
      </c>
      <c r="I5127" t="str">
        <f t="shared" si="80"/>
        <v>Normal Usage</v>
      </c>
    </row>
    <row r="5128" spans="1:9" x14ac:dyDescent="0.3">
      <c r="A5128">
        <v>15127</v>
      </c>
      <c r="B5128">
        <v>443</v>
      </c>
      <c r="C5128" s="2">
        <v>44881</v>
      </c>
      <c r="D5128" s="2" t="str">
        <f>TEXT(Table3[[#This Row],[usage_date]],"mmmm")</f>
        <v>November</v>
      </c>
      <c r="E5128" s="9">
        <f>YEAR(Table3[[#This Row],[usage_date]])</f>
        <v>2022</v>
      </c>
      <c r="F5128" s="14">
        <v>4.7300000000000004</v>
      </c>
      <c r="G5128">
        <v>232</v>
      </c>
      <c r="H5128" t="s">
        <v>12</v>
      </c>
      <c r="I5128" t="str">
        <f t="shared" si="80"/>
        <v>Normal Usage</v>
      </c>
    </row>
    <row r="5129" spans="1:9" x14ac:dyDescent="0.3">
      <c r="A5129">
        <v>15128</v>
      </c>
      <c r="B5129">
        <v>52</v>
      </c>
      <c r="C5129" s="2">
        <v>45263</v>
      </c>
      <c r="D5129" s="2" t="str">
        <f>TEXT(Table3[[#This Row],[usage_date]],"mmmm")</f>
        <v>December</v>
      </c>
      <c r="E5129" s="9">
        <f>YEAR(Table3[[#This Row],[usage_date]])</f>
        <v>2023</v>
      </c>
      <c r="F5129" s="14">
        <v>0.67</v>
      </c>
      <c r="G5129">
        <v>74</v>
      </c>
      <c r="H5129" t="s">
        <v>12</v>
      </c>
      <c r="I5129" t="str">
        <f t="shared" si="80"/>
        <v>Normal Usage</v>
      </c>
    </row>
    <row r="5130" spans="1:9" x14ac:dyDescent="0.3">
      <c r="A5130">
        <v>15129</v>
      </c>
      <c r="B5130">
        <v>374</v>
      </c>
      <c r="C5130" s="2">
        <v>45141</v>
      </c>
      <c r="D5130" s="2" t="str">
        <f>TEXT(Table3[[#This Row],[usage_date]],"mmmm")</f>
        <v>August</v>
      </c>
      <c r="E5130" s="9">
        <f>YEAR(Table3[[#This Row],[usage_date]])</f>
        <v>2023</v>
      </c>
      <c r="F5130" s="14">
        <v>6.84</v>
      </c>
      <c r="G5130">
        <v>142</v>
      </c>
      <c r="H5130" t="s">
        <v>12</v>
      </c>
      <c r="I5130" t="str">
        <f t="shared" si="80"/>
        <v>High Usage</v>
      </c>
    </row>
    <row r="5131" spans="1:9" x14ac:dyDescent="0.3">
      <c r="A5131">
        <v>15130</v>
      </c>
      <c r="B5131">
        <v>431</v>
      </c>
      <c r="C5131" s="2">
        <v>45036</v>
      </c>
      <c r="D5131" s="2" t="str">
        <f>TEXT(Table3[[#This Row],[usage_date]],"mmmm")</f>
        <v>April</v>
      </c>
      <c r="E5131" s="9">
        <f>YEAR(Table3[[#This Row],[usage_date]])</f>
        <v>2023</v>
      </c>
      <c r="F5131" s="14">
        <v>7.75</v>
      </c>
      <c r="G5131">
        <v>22</v>
      </c>
      <c r="H5131" t="s">
        <v>12</v>
      </c>
      <c r="I5131" t="str">
        <f t="shared" si="80"/>
        <v>High Usage</v>
      </c>
    </row>
    <row r="5132" spans="1:9" x14ac:dyDescent="0.3">
      <c r="A5132">
        <v>15131</v>
      </c>
      <c r="B5132">
        <v>376</v>
      </c>
      <c r="C5132" s="2">
        <v>45421</v>
      </c>
      <c r="D5132" s="2" t="str">
        <f>TEXT(Table3[[#This Row],[usage_date]],"mmmm")</f>
        <v>May</v>
      </c>
      <c r="E5132" s="9">
        <f>YEAR(Table3[[#This Row],[usage_date]])</f>
        <v>2024</v>
      </c>
      <c r="F5132" s="14">
        <v>7.98</v>
      </c>
      <c r="G5132">
        <v>180</v>
      </c>
      <c r="H5132" t="s">
        <v>12</v>
      </c>
      <c r="I5132" t="str">
        <f t="shared" si="80"/>
        <v>High Usage</v>
      </c>
    </row>
    <row r="5133" spans="1:9" x14ac:dyDescent="0.3">
      <c r="A5133">
        <v>15132</v>
      </c>
      <c r="B5133">
        <v>263</v>
      </c>
      <c r="C5133" s="2">
        <v>45198</v>
      </c>
      <c r="D5133" s="2" t="str">
        <f>TEXT(Table3[[#This Row],[usage_date]],"mmmm")</f>
        <v>September</v>
      </c>
      <c r="E5133" s="9">
        <f>YEAR(Table3[[#This Row],[usage_date]])</f>
        <v>2023</v>
      </c>
      <c r="F5133" s="14">
        <v>4.54</v>
      </c>
      <c r="G5133">
        <v>44</v>
      </c>
      <c r="H5133" t="s">
        <v>13</v>
      </c>
      <c r="I5133" t="str">
        <f t="shared" si="80"/>
        <v>Normal Usage</v>
      </c>
    </row>
    <row r="5134" spans="1:9" x14ac:dyDescent="0.3">
      <c r="A5134">
        <v>15133</v>
      </c>
      <c r="B5134">
        <v>267</v>
      </c>
      <c r="C5134" s="2">
        <v>44988</v>
      </c>
      <c r="D5134" s="2" t="str">
        <f>TEXT(Table3[[#This Row],[usage_date]],"mmmm")</f>
        <v>March</v>
      </c>
      <c r="E5134" s="9">
        <f>YEAR(Table3[[#This Row],[usage_date]])</f>
        <v>2023</v>
      </c>
      <c r="F5134" s="14">
        <v>1.1299999999999999</v>
      </c>
      <c r="G5134">
        <v>91</v>
      </c>
      <c r="H5134" t="s">
        <v>12</v>
      </c>
      <c r="I5134" t="str">
        <f t="shared" si="80"/>
        <v>Normal Usage</v>
      </c>
    </row>
    <row r="5135" spans="1:9" x14ac:dyDescent="0.3">
      <c r="A5135">
        <v>15134</v>
      </c>
      <c r="B5135">
        <v>359</v>
      </c>
      <c r="C5135" s="2">
        <v>45409</v>
      </c>
      <c r="D5135" s="2" t="str">
        <f>TEXT(Table3[[#This Row],[usage_date]],"mmmm")</f>
        <v>April</v>
      </c>
      <c r="E5135" s="9">
        <f>YEAR(Table3[[#This Row],[usage_date]])</f>
        <v>2024</v>
      </c>
      <c r="F5135" s="14">
        <v>0.19</v>
      </c>
      <c r="G5135">
        <v>268</v>
      </c>
      <c r="H5135" t="s">
        <v>12</v>
      </c>
      <c r="I5135" t="str">
        <f t="shared" si="80"/>
        <v>Normal Usage</v>
      </c>
    </row>
    <row r="5136" spans="1:9" x14ac:dyDescent="0.3">
      <c r="A5136">
        <v>15135</v>
      </c>
      <c r="B5136">
        <v>317</v>
      </c>
      <c r="C5136" s="2">
        <v>44620</v>
      </c>
      <c r="D5136" s="2" t="str">
        <f>TEXT(Table3[[#This Row],[usage_date]],"mmmm")</f>
        <v>February</v>
      </c>
      <c r="E5136" s="9">
        <f>YEAR(Table3[[#This Row],[usage_date]])</f>
        <v>2022</v>
      </c>
      <c r="F5136" s="14">
        <v>2.1</v>
      </c>
      <c r="G5136">
        <v>33</v>
      </c>
      <c r="H5136" t="s">
        <v>12</v>
      </c>
      <c r="I5136" t="str">
        <f t="shared" si="80"/>
        <v>Normal Usage</v>
      </c>
    </row>
    <row r="5137" spans="1:9" x14ac:dyDescent="0.3">
      <c r="A5137">
        <v>15136</v>
      </c>
      <c r="B5137">
        <v>324</v>
      </c>
      <c r="C5137" s="2">
        <v>44997</v>
      </c>
      <c r="D5137" s="2" t="str">
        <f>TEXT(Table3[[#This Row],[usage_date]],"mmmm")</f>
        <v>March</v>
      </c>
      <c r="E5137" s="9">
        <f>YEAR(Table3[[#This Row],[usage_date]])</f>
        <v>2023</v>
      </c>
      <c r="F5137" s="14">
        <v>2.04</v>
      </c>
      <c r="G5137">
        <v>165</v>
      </c>
      <c r="H5137" t="s">
        <v>12</v>
      </c>
      <c r="I5137" t="str">
        <f t="shared" si="80"/>
        <v>Normal Usage</v>
      </c>
    </row>
    <row r="5138" spans="1:9" x14ac:dyDescent="0.3">
      <c r="A5138">
        <v>15137</v>
      </c>
      <c r="B5138">
        <v>409</v>
      </c>
      <c r="C5138" s="2">
        <v>44658</v>
      </c>
      <c r="D5138" s="2" t="str">
        <f>TEXT(Table3[[#This Row],[usage_date]],"mmmm")</f>
        <v>April</v>
      </c>
      <c r="E5138" s="9">
        <f>YEAR(Table3[[#This Row],[usage_date]])</f>
        <v>2022</v>
      </c>
      <c r="F5138" s="14">
        <v>4.74</v>
      </c>
      <c r="G5138">
        <v>69</v>
      </c>
      <c r="H5138" t="s">
        <v>12</v>
      </c>
      <c r="I5138" t="str">
        <f t="shared" si="80"/>
        <v>Normal Usage</v>
      </c>
    </row>
    <row r="5139" spans="1:9" x14ac:dyDescent="0.3">
      <c r="A5139">
        <v>15138</v>
      </c>
      <c r="B5139">
        <v>396</v>
      </c>
      <c r="C5139" s="2">
        <v>45057</v>
      </c>
      <c r="D5139" s="2" t="str">
        <f>TEXT(Table3[[#This Row],[usage_date]],"mmmm")</f>
        <v>May</v>
      </c>
      <c r="E5139" s="9">
        <f>YEAR(Table3[[#This Row],[usage_date]])</f>
        <v>2023</v>
      </c>
      <c r="F5139" s="14">
        <v>13.8</v>
      </c>
      <c r="G5139">
        <v>195</v>
      </c>
      <c r="H5139" t="s">
        <v>12</v>
      </c>
      <c r="I5139" t="str">
        <f t="shared" si="80"/>
        <v>High Usage</v>
      </c>
    </row>
    <row r="5140" spans="1:9" x14ac:dyDescent="0.3">
      <c r="A5140">
        <v>15139</v>
      </c>
      <c r="B5140">
        <v>154</v>
      </c>
      <c r="C5140" s="2">
        <v>45348</v>
      </c>
      <c r="D5140" s="2" t="str">
        <f>TEXT(Table3[[#This Row],[usage_date]],"mmmm")</f>
        <v>February</v>
      </c>
      <c r="E5140" s="9">
        <f>YEAR(Table3[[#This Row],[usage_date]])</f>
        <v>2024</v>
      </c>
      <c r="F5140" s="14">
        <v>1.77</v>
      </c>
      <c r="G5140">
        <v>132</v>
      </c>
      <c r="H5140" t="s">
        <v>12</v>
      </c>
      <c r="I5140" t="str">
        <f t="shared" si="80"/>
        <v>Normal Usage</v>
      </c>
    </row>
    <row r="5141" spans="1:9" x14ac:dyDescent="0.3">
      <c r="A5141">
        <v>15140</v>
      </c>
      <c r="B5141">
        <v>358</v>
      </c>
      <c r="C5141" s="2">
        <v>45222</v>
      </c>
      <c r="D5141" s="2" t="str">
        <f>TEXT(Table3[[#This Row],[usage_date]],"mmmm")</f>
        <v>October</v>
      </c>
      <c r="E5141" s="9">
        <f>YEAR(Table3[[#This Row],[usage_date]])</f>
        <v>2023</v>
      </c>
      <c r="F5141" s="14">
        <v>1.06</v>
      </c>
      <c r="G5141">
        <v>246</v>
      </c>
      <c r="H5141" t="s">
        <v>13</v>
      </c>
      <c r="I5141" t="str">
        <f t="shared" si="80"/>
        <v>Normal Usage</v>
      </c>
    </row>
    <row r="5142" spans="1:9" x14ac:dyDescent="0.3">
      <c r="A5142">
        <v>15141</v>
      </c>
      <c r="B5142">
        <v>366</v>
      </c>
      <c r="C5142" s="2">
        <v>44839</v>
      </c>
      <c r="D5142" s="2" t="str">
        <f>TEXT(Table3[[#This Row],[usage_date]],"mmmm")</f>
        <v>October</v>
      </c>
      <c r="E5142" s="9">
        <f>YEAR(Table3[[#This Row],[usage_date]])</f>
        <v>2022</v>
      </c>
      <c r="F5142" s="14">
        <v>0.51</v>
      </c>
      <c r="G5142">
        <v>167</v>
      </c>
      <c r="H5142" t="s">
        <v>12</v>
      </c>
      <c r="I5142" t="str">
        <f t="shared" si="80"/>
        <v>Normal Usage</v>
      </c>
    </row>
    <row r="5143" spans="1:9" x14ac:dyDescent="0.3">
      <c r="A5143">
        <v>15142</v>
      </c>
      <c r="B5143">
        <v>140</v>
      </c>
      <c r="C5143" s="2">
        <v>44826</v>
      </c>
      <c r="D5143" s="2" t="str">
        <f>TEXT(Table3[[#This Row],[usage_date]],"mmmm")</f>
        <v>September</v>
      </c>
      <c r="E5143" s="9">
        <f>YEAR(Table3[[#This Row],[usage_date]])</f>
        <v>2022</v>
      </c>
      <c r="F5143" s="14">
        <v>0.01</v>
      </c>
      <c r="G5143">
        <v>276</v>
      </c>
      <c r="H5143" t="s">
        <v>13</v>
      </c>
      <c r="I5143" t="str">
        <f t="shared" si="80"/>
        <v>Normal Usage</v>
      </c>
    </row>
    <row r="5144" spans="1:9" x14ac:dyDescent="0.3">
      <c r="A5144">
        <v>15143</v>
      </c>
      <c r="B5144">
        <v>427</v>
      </c>
      <c r="C5144" s="2">
        <v>44570</v>
      </c>
      <c r="D5144" s="2" t="str">
        <f>TEXT(Table3[[#This Row],[usage_date]],"mmmm")</f>
        <v>January</v>
      </c>
      <c r="E5144" s="9">
        <f>YEAR(Table3[[#This Row],[usage_date]])</f>
        <v>2022</v>
      </c>
      <c r="F5144" s="14">
        <v>1.78</v>
      </c>
      <c r="G5144">
        <v>155</v>
      </c>
      <c r="H5144" t="s">
        <v>12</v>
      </c>
      <c r="I5144" t="str">
        <f t="shared" si="80"/>
        <v>Normal Usage</v>
      </c>
    </row>
    <row r="5145" spans="1:9" x14ac:dyDescent="0.3">
      <c r="A5145">
        <v>15144</v>
      </c>
      <c r="B5145">
        <v>51</v>
      </c>
      <c r="C5145" s="2">
        <v>45018</v>
      </c>
      <c r="D5145" s="2" t="str">
        <f>TEXT(Table3[[#This Row],[usage_date]],"mmmm")</f>
        <v>April</v>
      </c>
      <c r="E5145" s="9">
        <f>YEAR(Table3[[#This Row],[usage_date]])</f>
        <v>2023</v>
      </c>
      <c r="F5145" s="14">
        <v>2.0299999999999998</v>
      </c>
      <c r="G5145">
        <v>22</v>
      </c>
      <c r="H5145" t="s">
        <v>12</v>
      </c>
      <c r="I5145" t="str">
        <f t="shared" si="80"/>
        <v>Normal Usage</v>
      </c>
    </row>
    <row r="5146" spans="1:9" x14ac:dyDescent="0.3">
      <c r="A5146">
        <v>15145</v>
      </c>
      <c r="B5146">
        <v>117</v>
      </c>
      <c r="C5146" s="2">
        <v>45356</v>
      </c>
      <c r="D5146" s="2" t="str">
        <f>TEXT(Table3[[#This Row],[usage_date]],"mmmm")</f>
        <v>March</v>
      </c>
      <c r="E5146" s="9">
        <f>YEAR(Table3[[#This Row],[usage_date]])</f>
        <v>2024</v>
      </c>
      <c r="F5146" s="14">
        <v>4.3600000000000003</v>
      </c>
      <c r="G5146">
        <v>199</v>
      </c>
      <c r="H5146" t="s">
        <v>12</v>
      </c>
      <c r="I5146" t="str">
        <f t="shared" si="80"/>
        <v>Normal Usage</v>
      </c>
    </row>
    <row r="5147" spans="1:9" x14ac:dyDescent="0.3">
      <c r="A5147">
        <v>15146</v>
      </c>
      <c r="B5147">
        <v>421</v>
      </c>
      <c r="C5147" s="2">
        <v>44834</v>
      </c>
      <c r="D5147" s="2" t="str">
        <f>TEXT(Table3[[#This Row],[usage_date]],"mmmm")</f>
        <v>September</v>
      </c>
      <c r="E5147" s="9">
        <f>YEAR(Table3[[#This Row],[usage_date]])</f>
        <v>2022</v>
      </c>
      <c r="F5147" s="14">
        <v>1.76</v>
      </c>
      <c r="G5147">
        <v>274</v>
      </c>
      <c r="H5147" t="s">
        <v>13</v>
      </c>
      <c r="I5147" t="str">
        <f t="shared" si="80"/>
        <v>Normal Usage</v>
      </c>
    </row>
    <row r="5148" spans="1:9" x14ac:dyDescent="0.3">
      <c r="A5148">
        <v>15147</v>
      </c>
      <c r="B5148">
        <v>46</v>
      </c>
      <c r="C5148" s="2">
        <v>45374</v>
      </c>
      <c r="D5148" s="2" t="str">
        <f>TEXT(Table3[[#This Row],[usage_date]],"mmmm")</f>
        <v>March</v>
      </c>
      <c r="E5148" s="9">
        <f>YEAR(Table3[[#This Row],[usage_date]])</f>
        <v>2024</v>
      </c>
      <c r="F5148" s="14">
        <v>6.21</v>
      </c>
      <c r="G5148">
        <v>49</v>
      </c>
      <c r="H5148" t="s">
        <v>12</v>
      </c>
      <c r="I5148" t="str">
        <f t="shared" si="80"/>
        <v>High Usage</v>
      </c>
    </row>
    <row r="5149" spans="1:9" x14ac:dyDescent="0.3">
      <c r="A5149">
        <v>15148</v>
      </c>
      <c r="B5149">
        <v>309</v>
      </c>
      <c r="C5149" s="2">
        <v>44569</v>
      </c>
      <c r="D5149" s="2" t="str">
        <f>TEXT(Table3[[#This Row],[usage_date]],"mmmm")</f>
        <v>January</v>
      </c>
      <c r="E5149" s="9">
        <f>YEAR(Table3[[#This Row],[usage_date]])</f>
        <v>2022</v>
      </c>
      <c r="F5149" s="14">
        <v>2.4700000000000002</v>
      </c>
      <c r="G5149">
        <v>185</v>
      </c>
      <c r="H5149" t="s">
        <v>12</v>
      </c>
      <c r="I5149" t="str">
        <f t="shared" si="80"/>
        <v>Normal Usage</v>
      </c>
    </row>
    <row r="5150" spans="1:9" x14ac:dyDescent="0.3">
      <c r="A5150">
        <v>15149</v>
      </c>
      <c r="B5150">
        <v>88</v>
      </c>
      <c r="C5150" s="2">
        <v>44769</v>
      </c>
      <c r="D5150" s="2" t="str">
        <f>TEXT(Table3[[#This Row],[usage_date]],"mmmm")</f>
        <v>July</v>
      </c>
      <c r="E5150" s="9">
        <f>YEAR(Table3[[#This Row],[usage_date]])</f>
        <v>2022</v>
      </c>
      <c r="F5150" s="14">
        <v>4.59</v>
      </c>
      <c r="G5150">
        <v>19</v>
      </c>
      <c r="H5150" t="s">
        <v>12</v>
      </c>
      <c r="I5150" t="str">
        <f t="shared" si="80"/>
        <v>Normal Usage</v>
      </c>
    </row>
    <row r="5151" spans="1:9" x14ac:dyDescent="0.3">
      <c r="A5151">
        <v>15150</v>
      </c>
      <c r="B5151">
        <v>208</v>
      </c>
      <c r="C5151" s="2">
        <v>45198</v>
      </c>
      <c r="D5151" s="2" t="str">
        <f>TEXT(Table3[[#This Row],[usage_date]],"mmmm")</f>
        <v>September</v>
      </c>
      <c r="E5151" s="9">
        <f>YEAR(Table3[[#This Row],[usage_date]])</f>
        <v>2023</v>
      </c>
      <c r="F5151" s="14">
        <v>0.4</v>
      </c>
      <c r="G5151">
        <v>115</v>
      </c>
      <c r="H5151" t="s">
        <v>12</v>
      </c>
      <c r="I5151" t="str">
        <f t="shared" si="80"/>
        <v>Normal Usage</v>
      </c>
    </row>
    <row r="5152" spans="1:9" x14ac:dyDescent="0.3">
      <c r="A5152">
        <v>15151</v>
      </c>
      <c r="B5152">
        <v>377</v>
      </c>
      <c r="C5152" s="2">
        <v>44684</v>
      </c>
      <c r="D5152" s="2" t="str">
        <f>TEXT(Table3[[#This Row],[usage_date]],"mmmm")</f>
        <v>May</v>
      </c>
      <c r="E5152" s="9">
        <f>YEAR(Table3[[#This Row],[usage_date]])</f>
        <v>2022</v>
      </c>
      <c r="F5152" s="14">
        <v>4.83</v>
      </c>
      <c r="G5152">
        <v>91</v>
      </c>
      <c r="H5152" t="s">
        <v>12</v>
      </c>
      <c r="I5152" t="str">
        <f t="shared" si="80"/>
        <v>Normal Usage</v>
      </c>
    </row>
    <row r="5153" spans="1:9" x14ac:dyDescent="0.3">
      <c r="A5153">
        <v>15152</v>
      </c>
      <c r="B5153">
        <v>269</v>
      </c>
      <c r="C5153" s="2">
        <v>44594</v>
      </c>
      <c r="D5153" s="2" t="str">
        <f>TEXT(Table3[[#This Row],[usage_date]],"mmmm")</f>
        <v>February</v>
      </c>
      <c r="E5153" s="9">
        <f>YEAR(Table3[[#This Row],[usage_date]])</f>
        <v>2022</v>
      </c>
      <c r="F5153" s="14">
        <v>2.81</v>
      </c>
      <c r="G5153">
        <v>52</v>
      </c>
      <c r="H5153" t="s">
        <v>13</v>
      </c>
      <c r="I5153" t="str">
        <f t="shared" si="80"/>
        <v>Normal Usage</v>
      </c>
    </row>
    <row r="5154" spans="1:9" x14ac:dyDescent="0.3">
      <c r="A5154">
        <v>15153</v>
      </c>
      <c r="B5154">
        <v>89</v>
      </c>
      <c r="C5154" s="2">
        <v>45074</v>
      </c>
      <c r="D5154" s="2" t="str">
        <f>TEXT(Table3[[#This Row],[usage_date]],"mmmm")</f>
        <v>May</v>
      </c>
      <c r="E5154" s="9">
        <f>YEAR(Table3[[#This Row],[usage_date]])</f>
        <v>2023</v>
      </c>
      <c r="F5154" s="14">
        <v>0.47</v>
      </c>
      <c r="G5154">
        <v>122</v>
      </c>
      <c r="H5154" t="s">
        <v>12</v>
      </c>
      <c r="I5154" t="str">
        <f t="shared" si="80"/>
        <v>Normal Usage</v>
      </c>
    </row>
    <row r="5155" spans="1:9" x14ac:dyDescent="0.3">
      <c r="A5155">
        <v>15154</v>
      </c>
      <c r="B5155">
        <v>381</v>
      </c>
      <c r="C5155" s="2">
        <v>44765</v>
      </c>
      <c r="D5155" s="2" t="str">
        <f>TEXT(Table3[[#This Row],[usage_date]],"mmmm")</f>
        <v>July</v>
      </c>
      <c r="E5155" s="9">
        <f>YEAR(Table3[[#This Row],[usage_date]])</f>
        <v>2022</v>
      </c>
      <c r="F5155" s="14">
        <v>0.53</v>
      </c>
      <c r="G5155">
        <v>264</v>
      </c>
      <c r="H5155" t="s">
        <v>12</v>
      </c>
      <c r="I5155" t="str">
        <f t="shared" si="80"/>
        <v>Normal Usage</v>
      </c>
    </row>
    <row r="5156" spans="1:9" x14ac:dyDescent="0.3">
      <c r="A5156">
        <v>15155</v>
      </c>
      <c r="B5156">
        <v>118</v>
      </c>
      <c r="C5156" s="2">
        <v>45079</v>
      </c>
      <c r="D5156" s="2" t="str">
        <f>TEXT(Table3[[#This Row],[usage_date]],"mmmm")</f>
        <v>June</v>
      </c>
      <c r="E5156" s="9">
        <f>YEAR(Table3[[#This Row],[usage_date]])</f>
        <v>2023</v>
      </c>
      <c r="F5156" s="14">
        <v>6.53</v>
      </c>
      <c r="G5156">
        <v>3</v>
      </c>
      <c r="H5156" t="s">
        <v>13</v>
      </c>
      <c r="I5156" t="str">
        <f t="shared" si="80"/>
        <v>High Usage</v>
      </c>
    </row>
    <row r="5157" spans="1:9" x14ac:dyDescent="0.3">
      <c r="A5157">
        <v>15156</v>
      </c>
      <c r="B5157">
        <v>54</v>
      </c>
      <c r="C5157" s="2">
        <v>45370</v>
      </c>
      <c r="D5157" s="2" t="str">
        <f>TEXT(Table3[[#This Row],[usage_date]],"mmmm")</f>
        <v>March</v>
      </c>
      <c r="E5157" s="9">
        <f>YEAR(Table3[[#This Row],[usage_date]])</f>
        <v>2024</v>
      </c>
      <c r="F5157" s="14">
        <v>0.08</v>
      </c>
      <c r="G5157">
        <v>168</v>
      </c>
      <c r="H5157" t="s">
        <v>13</v>
      </c>
      <c r="I5157" t="str">
        <f t="shared" si="80"/>
        <v>Normal Usage</v>
      </c>
    </row>
    <row r="5158" spans="1:9" x14ac:dyDescent="0.3">
      <c r="A5158">
        <v>15157</v>
      </c>
      <c r="B5158">
        <v>441</v>
      </c>
      <c r="C5158" s="2">
        <v>45078</v>
      </c>
      <c r="D5158" s="2" t="str">
        <f>TEXT(Table3[[#This Row],[usage_date]],"mmmm")</f>
        <v>June</v>
      </c>
      <c r="E5158" s="9">
        <f>YEAR(Table3[[#This Row],[usage_date]])</f>
        <v>2023</v>
      </c>
      <c r="F5158" s="14">
        <v>1.55</v>
      </c>
      <c r="G5158">
        <v>280</v>
      </c>
      <c r="H5158" t="s">
        <v>12</v>
      </c>
      <c r="I5158" t="str">
        <f t="shared" si="80"/>
        <v>Normal Usage</v>
      </c>
    </row>
    <row r="5159" spans="1:9" x14ac:dyDescent="0.3">
      <c r="A5159">
        <v>15158</v>
      </c>
      <c r="B5159">
        <v>116</v>
      </c>
      <c r="C5159" s="2">
        <v>45004</v>
      </c>
      <c r="D5159" s="2" t="str">
        <f>TEXT(Table3[[#This Row],[usage_date]],"mmmm")</f>
        <v>March</v>
      </c>
      <c r="E5159" s="9">
        <f>YEAR(Table3[[#This Row],[usage_date]])</f>
        <v>2023</v>
      </c>
      <c r="F5159" s="14">
        <v>0.94</v>
      </c>
      <c r="G5159">
        <v>289</v>
      </c>
      <c r="H5159" t="s">
        <v>12</v>
      </c>
      <c r="I5159" t="str">
        <f t="shared" si="80"/>
        <v>Normal Usage</v>
      </c>
    </row>
    <row r="5160" spans="1:9" x14ac:dyDescent="0.3">
      <c r="A5160">
        <v>15159</v>
      </c>
      <c r="B5160">
        <v>118</v>
      </c>
      <c r="C5160" s="2">
        <v>45153</v>
      </c>
      <c r="D5160" s="2" t="str">
        <f>TEXT(Table3[[#This Row],[usage_date]],"mmmm")</f>
        <v>August</v>
      </c>
      <c r="E5160" s="9">
        <f>YEAR(Table3[[#This Row],[usage_date]])</f>
        <v>2023</v>
      </c>
      <c r="F5160" s="14">
        <v>2.73</v>
      </c>
      <c r="G5160">
        <v>72</v>
      </c>
      <c r="H5160" t="s">
        <v>12</v>
      </c>
      <c r="I5160" t="str">
        <f t="shared" si="80"/>
        <v>Normal Usage</v>
      </c>
    </row>
    <row r="5161" spans="1:9" x14ac:dyDescent="0.3">
      <c r="A5161">
        <v>15160</v>
      </c>
      <c r="B5161">
        <v>260</v>
      </c>
      <c r="C5161" s="2">
        <v>45347</v>
      </c>
      <c r="D5161" s="2" t="str">
        <f>TEXT(Table3[[#This Row],[usage_date]],"mmmm")</f>
        <v>February</v>
      </c>
      <c r="E5161" s="9">
        <f>YEAR(Table3[[#This Row],[usage_date]])</f>
        <v>2024</v>
      </c>
      <c r="F5161" s="14">
        <v>4.58</v>
      </c>
      <c r="G5161">
        <v>136</v>
      </c>
      <c r="H5161" t="s">
        <v>13</v>
      </c>
      <c r="I5161" t="str">
        <f t="shared" si="80"/>
        <v>Normal Usage</v>
      </c>
    </row>
    <row r="5162" spans="1:9" x14ac:dyDescent="0.3">
      <c r="A5162">
        <v>15161</v>
      </c>
      <c r="B5162">
        <v>75</v>
      </c>
      <c r="C5162" s="2">
        <v>45250</v>
      </c>
      <c r="D5162" s="2" t="str">
        <f>TEXT(Table3[[#This Row],[usage_date]],"mmmm")</f>
        <v>November</v>
      </c>
      <c r="E5162" s="9">
        <f>YEAR(Table3[[#This Row],[usage_date]])</f>
        <v>2023</v>
      </c>
      <c r="F5162" s="14">
        <v>1.1200000000000001</v>
      </c>
      <c r="G5162">
        <v>255</v>
      </c>
      <c r="H5162" t="s">
        <v>13</v>
      </c>
      <c r="I5162" t="str">
        <f t="shared" si="80"/>
        <v>Normal Usage</v>
      </c>
    </row>
    <row r="5163" spans="1:9" x14ac:dyDescent="0.3">
      <c r="A5163">
        <v>15162</v>
      </c>
      <c r="B5163">
        <v>480</v>
      </c>
      <c r="C5163" s="2">
        <v>45411</v>
      </c>
      <c r="D5163" s="2" t="str">
        <f>TEXT(Table3[[#This Row],[usage_date]],"mmmm")</f>
        <v>April</v>
      </c>
      <c r="E5163" s="9">
        <f>YEAR(Table3[[#This Row],[usage_date]])</f>
        <v>2024</v>
      </c>
      <c r="F5163" s="14">
        <v>1.39</v>
      </c>
      <c r="G5163">
        <v>140</v>
      </c>
      <c r="H5163" t="s">
        <v>13</v>
      </c>
      <c r="I5163" t="str">
        <f t="shared" si="80"/>
        <v>Normal Usage</v>
      </c>
    </row>
    <row r="5164" spans="1:9" x14ac:dyDescent="0.3">
      <c r="A5164">
        <v>15163</v>
      </c>
      <c r="B5164">
        <v>305</v>
      </c>
      <c r="C5164" s="2">
        <v>45394</v>
      </c>
      <c r="D5164" s="2" t="str">
        <f>TEXT(Table3[[#This Row],[usage_date]],"mmmm")</f>
        <v>April</v>
      </c>
      <c r="E5164" s="9">
        <f>YEAR(Table3[[#This Row],[usage_date]])</f>
        <v>2024</v>
      </c>
      <c r="F5164" s="14">
        <v>10.029999999999999</v>
      </c>
      <c r="G5164">
        <v>207</v>
      </c>
      <c r="H5164" t="s">
        <v>12</v>
      </c>
      <c r="I5164" t="str">
        <f t="shared" si="80"/>
        <v>High Usage</v>
      </c>
    </row>
    <row r="5165" spans="1:9" x14ac:dyDescent="0.3">
      <c r="A5165">
        <v>15164</v>
      </c>
      <c r="B5165">
        <v>7</v>
      </c>
      <c r="C5165" s="2">
        <v>44900</v>
      </c>
      <c r="D5165" s="2" t="str">
        <f>TEXT(Table3[[#This Row],[usage_date]],"mmmm")</f>
        <v>December</v>
      </c>
      <c r="E5165" s="9">
        <f>YEAR(Table3[[#This Row],[usage_date]])</f>
        <v>2022</v>
      </c>
      <c r="F5165" s="14">
        <v>3.83</v>
      </c>
      <c r="G5165">
        <v>259</v>
      </c>
      <c r="H5165" t="s">
        <v>12</v>
      </c>
      <c r="I5165" t="str">
        <f t="shared" si="80"/>
        <v>Normal Usage</v>
      </c>
    </row>
    <row r="5166" spans="1:9" x14ac:dyDescent="0.3">
      <c r="A5166">
        <v>15165</v>
      </c>
      <c r="B5166">
        <v>366</v>
      </c>
      <c r="C5166" s="2">
        <v>44999</v>
      </c>
      <c r="D5166" s="2" t="str">
        <f>TEXT(Table3[[#This Row],[usage_date]],"mmmm")</f>
        <v>March</v>
      </c>
      <c r="E5166" s="9">
        <f>YEAR(Table3[[#This Row],[usage_date]])</f>
        <v>2023</v>
      </c>
      <c r="F5166" s="14">
        <v>5.69</v>
      </c>
      <c r="G5166">
        <v>262</v>
      </c>
      <c r="H5166" t="s">
        <v>12</v>
      </c>
      <c r="I5166" t="str">
        <f t="shared" si="80"/>
        <v>Normal Usage</v>
      </c>
    </row>
    <row r="5167" spans="1:9" x14ac:dyDescent="0.3">
      <c r="A5167">
        <v>15166</v>
      </c>
      <c r="B5167">
        <v>122</v>
      </c>
      <c r="C5167" s="2">
        <v>45006</v>
      </c>
      <c r="D5167" s="2" t="str">
        <f>TEXT(Table3[[#This Row],[usage_date]],"mmmm")</f>
        <v>March</v>
      </c>
      <c r="E5167" s="9">
        <f>YEAR(Table3[[#This Row],[usage_date]])</f>
        <v>2023</v>
      </c>
      <c r="F5167" s="14">
        <v>1.44</v>
      </c>
      <c r="G5167">
        <v>270</v>
      </c>
      <c r="H5167" t="s">
        <v>12</v>
      </c>
      <c r="I5167" t="str">
        <f t="shared" si="80"/>
        <v>Normal Usage</v>
      </c>
    </row>
    <row r="5168" spans="1:9" x14ac:dyDescent="0.3">
      <c r="A5168">
        <v>15167</v>
      </c>
      <c r="B5168">
        <v>11</v>
      </c>
      <c r="C5168" s="2">
        <v>44697</v>
      </c>
      <c r="D5168" s="2" t="str">
        <f>TEXT(Table3[[#This Row],[usage_date]],"mmmm")</f>
        <v>May</v>
      </c>
      <c r="E5168" s="9">
        <f>YEAR(Table3[[#This Row],[usage_date]])</f>
        <v>2022</v>
      </c>
      <c r="F5168" s="14">
        <v>0.67</v>
      </c>
      <c r="G5168">
        <v>37</v>
      </c>
      <c r="H5168" t="s">
        <v>13</v>
      </c>
      <c r="I5168" t="str">
        <f t="shared" si="80"/>
        <v>Normal Usage</v>
      </c>
    </row>
    <row r="5169" spans="1:9" x14ac:dyDescent="0.3">
      <c r="A5169">
        <v>15168</v>
      </c>
      <c r="B5169">
        <v>348</v>
      </c>
      <c r="C5169" s="2">
        <v>44948</v>
      </c>
      <c r="D5169" s="2" t="str">
        <f>TEXT(Table3[[#This Row],[usage_date]],"mmmm")</f>
        <v>January</v>
      </c>
      <c r="E5169" s="9">
        <f>YEAR(Table3[[#This Row],[usage_date]])</f>
        <v>2023</v>
      </c>
      <c r="F5169" s="14">
        <v>1.33</v>
      </c>
      <c r="G5169">
        <v>202</v>
      </c>
      <c r="H5169" t="s">
        <v>12</v>
      </c>
      <c r="I5169" t="str">
        <f t="shared" si="80"/>
        <v>Normal Usage</v>
      </c>
    </row>
    <row r="5170" spans="1:9" x14ac:dyDescent="0.3">
      <c r="A5170">
        <v>15169</v>
      </c>
      <c r="B5170">
        <v>438</v>
      </c>
      <c r="C5170" s="2">
        <v>44586</v>
      </c>
      <c r="D5170" s="2" t="str">
        <f>TEXT(Table3[[#This Row],[usage_date]],"mmmm")</f>
        <v>January</v>
      </c>
      <c r="E5170" s="9">
        <f>YEAR(Table3[[#This Row],[usage_date]])</f>
        <v>2022</v>
      </c>
      <c r="F5170" s="14">
        <v>3.15</v>
      </c>
      <c r="G5170">
        <v>223</v>
      </c>
      <c r="H5170" t="s">
        <v>12</v>
      </c>
      <c r="I5170" t="str">
        <f t="shared" si="80"/>
        <v>Normal Usage</v>
      </c>
    </row>
    <row r="5171" spans="1:9" x14ac:dyDescent="0.3">
      <c r="A5171">
        <v>15170</v>
      </c>
      <c r="B5171">
        <v>489</v>
      </c>
      <c r="C5171" s="2">
        <v>45067</v>
      </c>
      <c r="D5171" s="2" t="str">
        <f>TEXT(Table3[[#This Row],[usage_date]],"mmmm")</f>
        <v>May</v>
      </c>
      <c r="E5171" s="9">
        <f>YEAR(Table3[[#This Row],[usage_date]])</f>
        <v>2023</v>
      </c>
      <c r="F5171" s="14">
        <v>0.28999999999999998</v>
      </c>
      <c r="G5171">
        <v>51</v>
      </c>
      <c r="H5171" t="s">
        <v>13</v>
      </c>
      <c r="I5171" t="str">
        <f t="shared" si="80"/>
        <v>Normal Usage</v>
      </c>
    </row>
    <row r="5172" spans="1:9" x14ac:dyDescent="0.3">
      <c r="A5172">
        <v>15171</v>
      </c>
      <c r="B5172">
        <v>215</v>
      </c>
      <c r="C5172" s="2">
        <v>44886</v>
      </c>
      <c r="D5172" s="2" t="str">
        <f>TEXT(Table3[[#This Row],[usage_date]],"mmmm")</f>
        <v>November</v>
      </c>
      <c r="E5172" s="9">
        <f>YEAR(Table3[[#This Row],[usage_date]])</f>
        <v>2022</v>
      </c>
      <c r="F5172" s="14">
        <v>0.79</v>
      </c>
      <c r="G5172">
        <v>80</v>
      </c>
      <c r="H5172" t="s">
        <v>12</v>
      </c>
      <c r="I5172" t="str">
        <f t="shared" si="80"/>
        <v>Normal Usage</v>
      </c>
    </row>
    <row r="5173" spans="1:9" x14ac:dyDescent="0.3">
      <c r="A5173">
        <v>15172</v>
      </c>
      <c r="B5173">
        <v>429</v>
      </c>
      <c r="C5173" s="2">
        <v>45256</v>
      </c>
      <c r="D5173" s="2" t="str">
        <f>TEXT(Table3[[#This Row],[usage_date]],"mmmm")</f>
        <v>November</v>
      </c>
      <c r="E5173" s="9">
        <f>YEAR(Table3[[#This Row],[usage_date]])</f>
        <v>2023</v>
      </c>
      <c r="F5173" s="14">
        <v>0.12</v>
      </c>
      <c r="G5173">
        <v>210</v>
      </c>
      <c r="H5173" t="s">
        <v>12</v>
      </c>
      <c r="I5173" t="str">
        <f t="shared" si="80"/>
        <v>Normal Usage</v>
      </c>
    </row>
    <row r="5174" spans="1:9" x14ac:dyDescent="0.3">
      <c r="A5174">
        <v>15173</v>
      </c>
      <c r="B5174">
        <v>279</v>
      </c>
      <c r="C5174" s="2">
        <v>45241</v>
      </c>
      <c r="D5174" s="2" t="str">
        <f>TEXT(Table3[[#This Row],[usage_date]],"mmmm")</f>
        <v>November</v>
      </c>
      <c r="E5174" s="9">
        <f>YEAR(Table3[[#This Row],[usage_date]])</f>
        <v>2023</v>
      </c>
      <c r="F5174" s="14">
        <v>1.42</v>
      </c>
      <c r="G5174">
        <v>6</v>
      </c>
      <c r="H5174" t="s">
        <v>13</v>
      </c>
      <c r="I5174" t="str">
        <f t="shared" si="80"/>
        <v>Normal Usage</v>
      </c>
    </row>
    <row r="5175" spans="1:9" x14ac:dyDescent="0.3">
      <c r="A5175">
        <v>15174</v>
      </c>
      <c r="B5175">
        <v>498</v>
      </c>
      <c r="C5175" s="2">
        <v>44899</v>
      </c>
      <c r="D5175" s="2" t="str">
        <f>TEXT(Table3[[#This Row],[usage_date]],"mmmm")</f>
        <v>December</v>
      </c>
      <c r="E5175" s="9">
        <f>YEAR(Table3[[#This Row],[usage_date]])</f>
        <v>2022</v>
      </c>
      <c r="F5175" s="14">
        <v>4.3899999999999997</v>
      </c>
      <c r="G5175">
        <v>44</v>
      </c>
      <c r="H5175" t="s">
        <v>13</v>
      </c>
      <c r="I5175" t="str">
        <f t="shared" si="80"/>
        <v>Normal Usage</v>
      </c>
    </row>
    <row r="5176" spans="1:9" x14ac:dyDescent="0.3">
      <c r="A5176">
        <v>15175</v>
      </c>
      <c r="B5176">
        <v>28</v>
      </c>
      <c r="C5176" s="2">
        <v>45251</v>
      </c>
      <c r="D5176" s="2" t="str">
        <f>TEXT(Table3[[#This Row],[usage_date]],"mmmm")</f>
        <v>November</v>
      </c>
      <c r="E5176" s="9">
        <f>YEAR(Table3[[#This Row],[usage_date]])</f>
        <v>2023</v>
      </c>
      <c r="F5176" s="14">
        <v>0.06</v>
      </c>
      <c r="G5176">
        <v>276</v>
      </c>
      <c r="H5176" t="s">
        <v>13</v>
      </c>
      <c r="I5176" t="str">
        <f t="shared" si="80"/>
        <v>Normal Usage</v>
      </c>
    </row>
    <row r="5177" spans="1:9" x14ac:dyDescent="0.3">
      <c r="A5177">
        <v>15176</v>
      </c>
      <c r="B5177">
        <v>235</v>
      </c>
      <c r="C5177" s="2">
        <v>45446</v>
      </c>
      <c r="D5177" s="2" t="str">
        <f>TEXT(Table3[[#This Row],[usage_date]],"mmmm")</f>
        <v>June</v>
      </c>
      <c r="E5177" s="9">
        <f>YEAR(Table3[[#This Row],[usage_date]])</f>
        <v>2024</v>
      </c>
      <c r="F5177" s="14">
        <v>2.81</v>
      </c>
      <c r="G5177">
        <v>258</v>
      </c>
      <c r="H5177" t="s">
        <v>12</v>
      </c>
      <c r="I5177" t="str">
        <f t="shared" si="80"/>
        <v>Normal Usage</v>
      </c>
    </row>
    <row r="5178" spans="1:9" x14ac:dyDescent="0.3">
      <c r="A5178">
        <v>15177</v>
      </c>
      <c r="B5178">
        <v>367</v>
      </c>
      <c r="C5178" s="2">
        <v>44656</v>
      </c>
      <c r="D5178" s="2" t="str">
        <f>TEXT(Table3[[#This Row],[usage_date]],"mmmm")</f>
        <v>April</v>
      </c>
      <c r="E5178" s="9">
        <f>YEAR(Table3[[#This Row],[usage_date]])</f>
        <v>2022</v>
      </c>
      <c r="F5178" s="14">
        <v>6.74</v>
      </c>
      <c r="G5178">
        <v>141</v>
      </c>
      <c r="H5178" t="s">
        <v>12</v>
      </c>
      <c r="I5178" t="str">
        <f t="shared" si="80"/>
        <v>High Usage</v>
      </c>
    </row>
    <row r="5179" spans="1:9" x14ac:dyDescent="0.3">
      <c r="A5179">
        <v>15178</v>
      </c>
      <c r="B5179">
        <v>313</v>
      </c>
      <c r="C5179" s="2">
        <v>45106</v>
      </c>
      <c r="D5179" s="2" t="str">
        <f>TEXT(Table3[[#This Row],[usage_date]],"mmmm")</f>
        <v>June</v>
      </c>
      <c r="E5179" s="9">
        <f>YEAR(Table3[[#This Row],[usage_date]])</f>
        <v>2023</v>
      </c>
      <c r="F5179" s="14">
        <v>0.68</v>
      </c>
      <c r="G5179">
        <v>257</v>
      </c>
      <c r="H5179" t="s">
        <v>12</v>
      </c>
      <c r="I5179" t="str">
        <f t="shared" si="80"/>
        <v>Normal Usage</v>
      </c>
    </row>
    <row r="5180" spans="1:9" x14ac:dyDescent="0.3">
      <c r="A5180">
        <v>15179</v>
      </c>
      <c r="B5180">
        <v>26</v>
      </c>
      <c r="C5180" s="2">
        <v>45184</v>
      </c>
      <c r="D5180" s="2" t="str">
        <f>TEXT(Table3[[#This Row],[usage_date]],"mmmm")</f>
        <v>September</v>
      </c>
      <c r="E5180" s="9">
        <f>YEAR(Table3[[#This Row],[usage_date]])</f>
        <v>2023</v>
      </c>
      <c r="F5180" s="14">
        <v>2.96</v>
      </c>
      <c r="G5180">
        <v>284</v>
      </c>
      <c r="H5180" t="s">
        <v>12</v>
      </c>
      <c r="I5180" t="str">
        <f t="shared" si="80"/>
        <v>Normal Usage</v>
      </c>
    </row>
    <row r="5181" spans="1:9" x14ac:dyDescent="0.3">
      <c r="A5181">
        <v>15180</v>
      </c>
      <c r="B5181">
        <v>409</v>
      </c>
      <c r="C5181" s="2">
        <v>44707</v>
      </c>
      <c r="D5181" s="2" t="str">
        <f>TEXT(Table3[[#This Row],[usage_date]],"mmmm")</f>
        <v>May</v>
      </c>
      <c r="E5181" s="9">
        <f>YEAR(Table3[[#This Row],[usage_date]])</f>
        <v>2022</v>
      </c>
      <c r="F5181" s="14">
        <v>9.23</v>
      </c>
      <c r="G5181">
        <v>36</v>
      </c>
      <c r="H5181" t="s">
        <v>12</v>
      </c>
      <c r="I5181" t="str">
        <f t="shared" si="80"/>
        <v>High Usage</v>
      </c>
    </row>
    <row r="5182" spans="1:9" x14ac:dyDescent="0.3">
      <c r="A5182">
        <v>15181</v>
      </c>
      <c r="B5182">
        <v>54</v>
      </c>
      <c r="C5182" s="2">
        <v>45454</v>
      </c>
      <c r="D5182" s="2" t="str">
        <f>TEXT(Table3[[#This Row],[usage_date]],"mmmm")</f>
        <v>June</v>
      </c>
      <c r="E5182" s="9">
        <f>YEAR(Table3[[#This Row],[usage_date]])</f>
        <v>2024</v>
      </c>
      <c r="F5182" s="14">
        <v>8.19</v>
      </c>
      <c r="G5182">
        <v>44</v>
      </c>
      <c r="H5182" t="s">
        <v>13</v>
      </c>
      <c r="I5182" t="str">
        <f t="shared" si="80"/>
        <v>High Usage</v>
      </c>
    </row>
    <row r="5183" spans="1:9" x14ac:dyDescent="0.3">
      <c r="A5183">
        <v>15182</v>
      </c>
      <c r="B5183">
        <v>29</v>
      </c>
      <c r="C5183" s="2">
        <v>44792</v>
      </c>
      <c r="D5183" s="2" t="str">
        <f>TEXT(Table3[[#This Row],[usage_date]],"mmmm")</f>
        <v>August</v>
      </c>
      <c r="E5183" s="9">
        <f>YEAR(Table3[[#This Row],[usage_date]])</f>
        <v>2022</v>
      </c>
      <c r="F5183" s="14">
        <v>0.67</v>
      </c>
      <c r="G5183">
        <v>119</v>
      </c>
      <c r="H5183" t="s">
        <v>12</v>
      </c>
      <c r="I5183" t="str">
        <f t="shared" si="80"/>
        <v>Normal Usage</v>
      </c>
    </row>
    <row r="5184" spans="1:9" x14ac:dyDescent="0.3">
      <c r="A5184">
        <v>15183</v>
      </c>
      <c r="B5184">
        <v>467</v>
      </c>
      <c r="C5184" s="2">
        <v>45345</v>
      </c>
      <c r="D5184" s="2" t="str">
        <f>TEXT(Table3[[#This Row],[usage_date]],"mmmm")</f>
        <v>February</v>
      </c>
      <c r="E5184" s="9">
        <f>YEAR(Table3[[#This Row],[usage_date]])</f>
        <v>2024</v>
      </c>
      <c r="F5184" s="14">
        <v>0.26</v>
      </c>
      <c r="G5184">
        <v>45</v>
      </c>
      <c r="H5184" t="s">
        <v>12</v>
      </c>
      <c r="I5184" t="str">
        <f t="shared" si="80"/>
        <v>Normal Usage</v>
      </c>
    </row>
    <row r="5185" spans="1:9" x14ac:dyDescent="0.3">
      <c r="A5185">
        <v>15184</v>
      </c>
      <c r="B5185">
        <v>353</v>
      </c>
      <c r="C5185" s="2">
        <v>45409</v>
      </c>
      <c r="D5185" s="2" t="str">
        <f>TEXT(Table3[[#This Row],[usage_date]],"mmmm")</f>
        <v>April</v>
      </c>
      <c r="E5185" s="9">
        <f>YEAR(Table3[[#This Row],[usage_date]])</f>
        <v>2024</v>
      </c>
      <c r="F5185" s="14">
        <v>0.4</v>
      </c>
      <c r="G5185">
        <v>139</v>
      </c>
      <c r="H5185" t="s">
        <v>13</v>
      </c>
      <c r="I5185" t="str">
        <f t="shared" si="80"/>
        <v>Normal Usage</v>
      </c>
    </row>
    <row r="5186" spans="1:9" x14ac:dyDescent="0.3">
      <c r="A5186">
        <v>15185</v>
      </c>
      <c r="B5186">
        <v>164</v>
      </c>
      <c r="C5186" s="2">
        <v>45056</v>
      </c>
      <c r="D5186" s="2" t="str">
        <f>TEXT(Table3[[#This Row],[usage_date]],"mmmm")</f>
        <v>May</v>
      </c>
      <c r="E5186" s="9">
        <f>YEAR(Table3[[#This Row],[usage_date]])</f>
        <v>2023</v>
      </c>
      <c r="F5186" s="14">
        <v>3.03</v>
      </c>
      <c r="G5186">
        <v>52</v>
      </c>
      <c r="H5186" t="s">
        <v>13</v>
      </c>
      <c r="I5186" t="str">
        <f t="shared" ref="I5186:I5249" si="81">IF(F5186&gt;6,"High Usage","Normal Usage")</f>
        <v>Normal Usage</v>
      </c>
    </row>
    <row r="5187" spans="1:9" x14ac:dyDescent="0.3">
      <c r="A5187">
        <v>15186</v>
      </c>
      <c r="B5187">
        <v>270</v>
      </c>
      <c r="C5187" s="2">
        <v>44599</v>
      </c>
      <c r="D5187" s="2" t="str">
        <f>TEXT(Table3[[#This Row],[usage_date]],"mmmm")</f>
        <v>February</v>
      </c>
      <c r="E5187" s="9">
        <f>YEAR(Table3[[#This Row],[usage_date]])</f>
        <v>2022</v>
      </c>
      <c r="F5187" s="14">
        <v>3.23</v>
      </c>
      <c r="G5187">
        <v>287</v>
      </c>
      <c r="H5187" t="s">
        <v>12</v>
      </c>
      <c r="I5187" t="str">
        <f t="shared" si="81"/>
        <v>Normal Usage</v>
      </c>
    </row>
    <row r="5188" spans="1:9" x14ac:dyDescent="0.3">
      <c r="A5188">
        <v>15187</v>
      </c>
      <c r="B5188">
        <v>334</v>
      </c>
      <c r="C5188" s="2">
        <v>44986</v>
      </c>
      <c r="D5188" s="2" t="str">
        <f>TEXT(Table3[[#This Row],[usage_date]],"mmmm")</f>
        <v>March</v>
      </c>
      <c r="E5188" s="9">
        <f>YEAR(Table3[[#This Row],[usage_date]])</f>
        <v>2023</v>
      </c>
      <c r="F5188" s="14">
        <v>2.8</v>
      </c>
      <c r="G5188">
        <v>273</v>
      </c>
      <c r="H5188" t="s">
        <v>13</v>
      </c>
      <c r="I5188" t="str">
        <f t="shared" si="81"/>
        <v>Normal Usage</v>
      </c>
    </row>
    <row r="5189" spans="1:9" x14ac:dyDescent="0.3">
      <c r="A5189">
        <v>15188</v>
      </c>
      <c r="B5189">
        <v>35</v>
      </c>
      <c r="C5189" s="2">
        <v>45208</v>
      </c>
      <c r="D5189" s="2" t="str">
        <f>TEXT(Table3[[#This Row],[usage_date]],"mmmm")</f>
        <v>October</v>
      </c>
      <c r="E5189" s="9">
        <f>YEAR(Table3[[#This Row],[usage_date]])</f>
        <v>2023</v>
      </c>
      <c r="F5189" s="14">
        <v>1.02</v>
      </c>
      <c r="G5189">
        <v>268</v>
      </c>
      <c r="H5189" t="s">
        <v>13</v>
      </c>
      <c r="I5189" t="str">
        <f t="shared" si="81"/>
        <v>Normal Usage</v>
      </c>
    </row>
    <row r="5190" spans="1:9" x14ac:dyDescent="0.3">
      <c r="A5190">
        <v>15189</v>
      </c>
      <c r="B5190">
        <v>286</v>
      </c>
      <c r="C5190" s="2">
        <v>45407</v>
      </c>
      <c r="D5190" s="2" t="str">
        <f>TEXT(Table3[[#This Row],[usage_date]],"mmmm")</f>
        <v>April</v>
      </c>
      <c r="E5190" s="9">
        <f>YEAR(Table3[[#This Row],[usage_date]])</f>
        <v>2024</v>
      </c>
      <c r="F5190" s="14">
        <v>0.47</v>
      </c>
      <c r="G5190">
        <v>278</v>
      </c>
      <c r="H5190" t="s">
        <v>13</v>
      </c>
      <c r="I5190" t="str">
        <f t="shared" si="81"/>
        <v>Normal Usage</v>
      </c>
    </row>
    <row r="5191" spans="1:9" x14ac:dyDescent="0.3">
      <c r="A5191">
        <v>15190</v>
      </c>
      <c r="B5191">
        <v>348</v>
      </c>
      <c r="C5191" s="2">
        <v>45308</v>
      </c>
      <c r="D5191" s="2" t="str">
        <f>TEXT(Table3[[#This Row],[usage_date]],"mmmm")</f>
        <v>January</v>
      </c>
      <c r="E5191" s="9">
        <f>YEAR(Table3[[#This Row],[usage_date]])</f>
        <v>2024</v>
      </c>
      <c r="F5191" s="14">
        <v>2.17</v>
      </c>
      <c r="G5191">
        <v>61</v>
      </c>
      <c r="H5191" t="s">
        <v>13</v>
      </c>
      <c r="I5191" t="str">
        <f t="shared" si="81"/>
        <v>Normal Usage</v>
      </c>
    </row>
    <row r="5192" spans="1:9" x14ac:dyDescent="0.3">
      <c r="A5192">
        <v>15191</v>
      </c>
      <c r="B5192">
        <v>273</v>
      </c>
      <c r="C5192" s="2">
        <v>44998</v>
      </c>
      <c r="D5192" s="2" t="str">
        <f>TEXT(Table3[[#This Row],[usage_date]],"mmmm")</f>
        <v>March</v>
      </c>
      <c r="E5192" s="9">
        <f>YEAR(Table3[[#This Row],[usage_date]])</f>
        <v>2023</v>
      </c>
      <c r="F5192" s="14">
        <v>1.65</v>
      </c>
      <c r="G5192">
        <v>53</v>
      </c>
      <c r="H5192" t="s">
        <v>13</v>
      </c>
      <c r="I5192" t="str">
        <f t="shared" si="81"/>
        <v>Normal Usage</v>
      </c>
    </row>
    <row r="5193" spans="1:9" x14ac:dyDescent="0.3">
      <c r="A5193">
        <v>15192</v>
      </c>
      <c r="B5193">
        <v>451</v>
      </c>
      <c r="C5193" s="2">
        <v>45392</v>
      </c>
      <c r="D5193" s="2" t="str">
        <f>TEXT(Table3[[#This Row],[usage_date]],"mmmm")</f>
        <v>April</v>
      </c>
      <c r="E5193" s="9">
        <f>YEAR(Table3[[#This Row],[usage_date]])</f>
        <v>2024</v>
      </c>
      <c r="F5193" s="14">
        <v>3.26</v>
      </c>
      <c r="G5193">
        <v>68</v>
      </c>
      <c r="H5193" t="s">
        <v>12</v>
      </c>
      <c r="I5193" t="str">
        <f t="shared" si="81"/>
        <v>Normal Usage</v>
      </c>
    </row>
    <row r="5194" spans="1:9" x14ac:dyDescent="0.3">
      <c r="A5194">
        <v>15193</v>
      </c>
      <c r="B5194">
        <v>208</v>
      </c>
      <c r="C5194" s="2">
        <v>44929</v>
      </c>
      <c r="D5194" s="2" t="str">
        <f>TEXT(Table3[[#This Row],[usage_date]],"mmmm")</f>
        <v>January</v>
      </c>
      <c r="E5194" s="9">
        <f>YEAR(Table3[[#This Row],[usage_date]])</f>
        <v>2023</v>
      </c>
      <c r="F5194" s="14">
        <v>1.46</v>
      </c>
      <c r="G5194">
        <v>241</v>
      </c>
      <c r="H5194" t="s">
        <v>12</v>
      </c>
      <c r="I5194" t="str">
        <f t="shared" si="81"/>
        <v>Normal Usage</v>
      </c>
    </row>
    <row r="5195" spans="1:9" x14ac:dyDescent="0.3">
      <c r="A5195">
        <v>15194</v>
      </c>
      <c r="B5195">
        <v>238</v>
      </c>
      <c r="C5195" s="2">
        <v>44906</v>
      </c>
      <c r="D5195" s="2" t="str">
        <f>TEXT(Table3[[#This Row],[usage_date]],"mmmm")</f>
        <v>December</v>
      </c>
      <c r="E5195" s="9">
        <f>YEAR(Table3[[#This Row],[usage_date]])</f>
        <v>2022</v>
      </c>
      <c r="F5195" s="14">
        <v>1.03</v>
      </c>
      <c r="G5195">
        <v>269</v>
      </c>
      <c r="H5195" t="s">
        <v>12</v>
      </c>
      <c r="I5195" t="str">
        <f t="shared" si="81"/>
        <v>Normal Usage</v>
      </c>
    </row>
    <row r="5196" spans="1:9" x14ac:dyDescent="0.3">
      <c r="A5196">
        <v>15195</v>
      </c>
      <c r="B5196">
        <v>414</v>
      </c>
      <c r="C5196" s="2">
        <v>44721</v>
      </c>
      <c r="D5196" s="2" t="str">
        <f>TEXT(Table3[[#This Row],[usage_date]],"mmmm")</f>
        <v>June</v>
      </c>
      <c r="E5196" s="9">
        <f>YEAR(Table3[[#This Row],[usage_date]])</f>
        <v>2022</v>
      </c>
      <c r="F5196" s="14">
        <v>0.87</v>
      </c>
      <c r="G5196">
        <v>251</v>
      </c>
      <c r="H5196" t="s">
        <v>12</v>
      </c>
      <c r="I5196" t="str">
        <f t="shared" si="81"/>
        <v>Normal Usage</v>
      </c>
    </row>
    <row r="5197" spans="1:9" x14ac:dyDescent="0.3">
      <c r="A5197">
        <v>15196</v>
      </c>
      <c r="B5197">
        <v>500</v>
      </c>
      <c r="C5197" s="2">
        <v>45111</v>
      </c>
      <c r="D5197" s="2" t="str">
        <f>TEXT(Table3[[#This Row],[usage_date]],"mmmm")</f>
        <v>July</v>
      </c>
      <c r="E5197" s="9">
        <f>YEAR(Table3[[#This Row],[usage_date]])</f>
        <v>2023</v>
      </c>
      <c r="F5197" s="14">
        <v>0.59</v>
      </c>
      <c r="G5197">
        <v>283</v>
      </c>
      <c r="H5197" t="s">
        <v>12</v>
      </c>
      <c r="I5197" t="str">
        <f t="shared" si="81"/>
        <v>Normal Usage</v>
      </c>
    </row>
    <row r="5198" spans="1:9" x14ac:dyDescent="0.3">
      <c r="A5198">
        <v>15197</v>
      </c>
      <c r="B5198">
        <v>93</v>
      </c>
      <c r="C5198" s="2">
        <v>45223</v>
      </c>
      <c r="D5198" s="2" t="str">
        <f>TEXT(Table3[[#This Row],[usage_date]],"mmmm")</f>
        <v>October</v>
      </c>
      <c r="E5198" s="9">
        <f>YEAR(Table3[[#This Row],[usage_date]])</f>
        <v>2023</v>
      </c>
      <c r="F5198" s="14">
        <v>0.77</v>
      </c>
      <c r="G5198">
        <v>70</v>
      </c>
      <c r="H5198" t="s">
        <v>12</v>
      </c>
      <c r="I5198" t="str">
        <f t="shared" si="81"/>
        <v>Normal Usage</v>
      </c>
    </row>
    <row r="5199" spans="1:9" x14ac:dyDescent="0.3">
      <c r="A5199">
        <v>15198</v>
      </c>
      <c r="B5199">
        <v>173</v>
      </c>
      <c r="C5199" s="2">
        <v>45381</v>
      </c>
      <c r="D5199" s="2" t="str">
        <f>TEXT(Table3[[#This Row],[usage_date]],"mmmm")</f>
        <v>March</v>
      </c>
      <c r="E5199" s="9">
        <f>YEAR(Table3[[#This Row],[usage_date]])</f>
        <v>2024</v>
      </c>
      <c r="F5199" s="14">
        <v>0.25</v>
      </c>
      <c r="G5199">
        <v>99</v>
      </c>
      <c r="H5199" t="s">
        <v>12</v>
      </c>
      <c r="I5199" t="str">
        <f t="shared" si="81"/>
        <v>Normal Usage</v>
      </c>
    </row>
    <row r="5200" spans="1:9" x14ac:dyDescent="0.3">
      <c r="A5200">
        <v>15199</v>
      </c>
      <c r="B5200">
        <v>79</v>
      </c>
      <c r="C5200" s="2">
        <v>45102</v>
      </c>
      <c r="D5200" s="2" t="str">
        <f>TEXT(Table3[[#This Row],[usage_date]],"mmmm")</f>
        <v>June</v>
      </c>
      <c r="E5200" s="9">
        <f>YEAR(Table3[[#This Row],[usage_date]])</f>
        <v>2023</v>
      </c>
      <c r="F5200" s="14">
        <v>1.06</v>
      </c>
      <c r="G5200">
        <v>60</v>
      </c>
      <c r="H5200" t="s">
        <v>13</v>
      </c>
      <c r="I5200" t="str">
        <f t="shared" si="81"/>
        <v>Normal Usage</v>
      </c>
    </row>
    <row r="5201" spans="1:9" x14ac:dyDescent="0.3">
      <c r="A5201">
        <v>15200</v>
      </c>
      <c r="B5201">
        <v>110</v>
      </c>
      <c r="C5201" s="2">
        <v>44705</v>
      </c>
      <c r="D5201" s="2" t="str">
        <f>TEXT(Table3[[#This Row],[usage_date]],"mmmm")</f>
        <v>May</v>
      </c>
      <c r="E5201" s="9">
        <f>YEAR(Table3[[#This Row],[usage_date]])</f>
        <v>2022</v>
      </c>
      <c r="F5201" s="14">
        <v>0.09</v>
      </c>
      <c r="G5201">
        <v>102</v>
      </c>
      <c r="H5201" t="s">
        <v>13</v>
      </c>
      <c r="I5201" t="str">
        <f t="shared" si="81"/>
        <v>Normal Usage</v>
      </c>
    </row>
    <row r="5202" spans="1:9" x14ac:dyDescent="0.3">
      <c r="A5202">
        <v>15201</v>
      </c>
      <c r="B5202">
        <v>217</v>
      </c>
      <c r="C5202" s="2">
        <v>45149</v>
      </c>
      <c r="D5202" s="2" t="str">
        <f>TEXT(Table3[[#This Row],[usage_date]],"mmmm")</f>
        <v>August</v>
      </c>
      <c r="E5202" s="9">
        <f>YEAR(Table3[[#This Row],[usage_date]])</f>
        <v>2023</v>
      </c>
      <c r="F5202" s="14">
        <v>0.52</v>
      </c>
      <c r="G5202">
        <v>118</v>
      </c>
      <c r="H5202" t="s">
        <v>12</v>
      </c>
      <c r="I5202" t="str">
        <f t="shared" si="81"/>
        <v>Normal Usage</v>
      </c>
    </row>
    <row r="5203" spans="1:9" x14ac:dyDescent="0.3">
      <c r="A5203">
        <v>15202</v>
      </c>
      <c r="B5203">
        <v>435</v>
      </c>
      <c r="C5203" s="2">
        <v>45218</v>
      </c>
      <c r="D5203" s="2" t="str">
        <f>TEXT(Table3[[#This Row],[usage_date]],"mmmm")</f>
        <v>October</v>
      </c>
      <c r="E5203" s="9">
        <f>YEAR(Table3[[#This Row],[usage_date]])</f>
        <v>2023</v>
      </c>
      <c r="F5203" s="14">
        <v>3.43</v>
      </c>
      <c r="G5203">
        <v>16</v>
      </c>
      <c r="H5203" t="s">
        <v>12</v>
      </c>
      <c r="I5203" t="str">
        <f t="shared" si="81"/>
        <v>Normal Usage</v>
      </c>
    </row>
    <row r="5204" spans="1:9" x14ac:dyDescent="0.3">
      <c r="A5204">
        <v>15203</v>
      </c>
      <c r="B5204">
        <v>358</v>
      </c>
      <c r="C5204" s="2">
        <v>45302</v>
      </c>
      <c r="D5204" s="2" t="str">
        <f>TEXT(Table3[[#This Row],[usage_date]],"mmmm")</f>
        <v>January</v>
      </c>
      <c r="E5204" s="9">
        <f>YEAR(Table3[[#This Row],[usage_date]])</f>
        <v>2024</v>
      </c>
      <c r="F5204" s="14">
        <v>0.98</v>
      </c>
      <c r="G5204">
        <v>190</v>
      </c>
      <c r="H5204" t="s">
        <v>13</v>
      </c>
      <c r="I5204" t="str">
        <f t="shared" si="81"/>
        <v>Normal Usage</v>
      </c>
    </row>
    <row r="5205" spans="1:9" x14ac:dyDescent="0.3">
      <c r="A5205">
        <v>15204</v>
      </c>
      <c r="B5205">
        <v>106</v>
      </c>
      <c r="C5205" s="2">
        <v>45137</v>
      </c>
      <c r="D5205" s="2" t="str">
        <f>TEXT(Table3[[#This Row],[usage_date]],"mmmm")</f>
        <v>July</v>
      </c>
      <c r="E5205" s="9">
        <f>YEAR(Table3[[#This Row],[usage_date]])</f>
        <v>2023</v>
      </c>
      <c r="F5205" s="14">
        <v>2.76</v>
      </c>
      <c r="G5205">
        <v>211</v>
      </c>
      <c r="H5205" t="s">
        <v>13</v>
      </c>
      <c r="I5205" t="str">
        <f t="shared" si="81"/>
        <v>Normal Usage</v>
      </c>
    </row>
    <row r="5206" spans="1:9" x14ac:dyDescent="0.3">
      <c r="A5206">
        <v>15205</v>
      </c>
      <c r="B5206">
        <v>47</v>
      </c>
      <c r="C5206" s="2">
        <v>45420</v>
      </c>
      <c r="D5206" s="2" t="str">
        <f>TEXT(Table3[[#This Row],[usage_date]],"mmmm")</f>
        <v>May</v>
      </c>
      <c r="E5206" s="9">
        <f>YEAR(Table3[[#This Row],[usage_date]])</f>
        <v>2024</v>
      </c>
      <c r="F5206" s="14">
        <v>3.15</v>
      </c>
      <c r="G5206">
        <v>77</v>
      </c>
      <c r="H5206" t="s">
        <v>13</v>
      </c>
      <c r="I5206" t="str">
        <f t="shared" si="81"/>
        <v>Normal Usage</v>
      </c>
    </row>
    <row r="5207" spans="1:9" x14ac:dyDescent="0.3">
      <c r="A5207">
        <v>15206</v>
      </c>
      <c r="B5207">
        <v>181</v>
      </c>
      <c r="C5207" s="2">
        <v>44906</v>
      </c>
      <c r="D5207" s="2" t="str">
        <f>TEXT(Table3[[#This Row],[usage_date]],"mmmm")</f>
        <v>December</v>
      </c>
      <c r="E5207" s="9">
        <f>YEAR(Table3[[#This Row],[usage_date]])</f>
        <v>2022</v>
      </c>
      <c r="F5207" s="14">
        <v>2.1800000000000002</v>
      </c>
      <c r="G5207">
        <v>45</v>
      </c>
      <c r="H5207" t="s">
        <v>13</v>
      </c>
      <c r="I5207" t="str">
        <f t="shared" si="81"/>
        <v>Normal Usage</v>
      </c>
    </row>
    <row r="5208" spans="1:9" x14ac:dyDescent="0.3">
      <c r="A5208">
        <v>15207</v>
      </c>
      <c r="B5208">
        <v>64</v>
      </c>
      <c r="C5208" s="2">
        <v>44830</v>
      </c>
      <c r="D5208" s="2" t="str">
        <f>TEXT(Table3[[#This Row],[usage_date]],"mmmm")</f>
        <v>September</v>
      </c>
      <c r="E5208" s="9">
        <f>YEAR(Table3[[#This Row],[usage_date]])</f>
        <v>2022</v>
      </c>
      <c r="F5208" s="14">
        <v>7.97</v>
      </c>
      <c r="G5208">
        <v>92</v>
      </c>
      <c r="H5208" t="s">
        <v>13</v>
      </c>
      <c r="I5208" t="str">
        <f t="shared" si="81"/>
        <v>High Usage</v>
      </c>
    </row>
    <row r="5209" spans="1:9" x14ac:dyDescent="0.3">
      <c r="A5209">
        <v>15208</v>
      </c>
      <c r="B5209">
        <v>246</v>
      </c>
      <c r="C5209" s="2">
        <v>45401</v>
      </c>
      <c r="D5209" s="2" t="str">
        <f>TEXT(Table3[[#This Row],[usage_date]],"mmmm")</f>
        <v>April</v>
      </c>
      <c r="E5209" s="9">
        <f>YEAR(Table3[[#This Row],[usage_date]])</f>
        <v>2024</v>
      </c>
      <c r="F5209" s="14">
        <v>0.05</v>
      </c>
      <c r="G5209">
        <v>12</v>
      </c>
      <c r="H5209" t="s">
        <v>12</v>
      </c>
      <c r="I5209" t="str">
        <f t="shared" si="81"/>
        <v>Normal Usage</v>
      </c>
    </row>
    <row r="5210" spans="1:9" x14ac:dyDescent="0.3">
      <c r="A5210">
        <v>15209</v>
      </c>
      <c r="B5210">
        <v>244</v>
      </c>
      <c r="C5210" s="2">
        <v>45257</v>
      </c>
      <c r="D5210" s="2" t="str">
        <f>TEXT(Table3[[#This Row],[usage_date]],"mmmm")</f>
        <v>November</v>
      </c>
      <c r="E5210" s="9">
        <f>YEAR(Table3[[#This Row],[usage_date]])</f>
        <v>2023</v>
      </c>
      <c r="F5210" s="14">
        <v>3.35</v>
      </c>
      <c r="G5210">
        <v>227</v>
      </c>
      <c r="H5210" t="s">
        <v>12</v>
      </c>
      <c r="I5210" t="str">
        <f t="shared" si="81"/>
        <v>Normal Usage</v>
      </c>
    </row>
    <row r="5211" spans="1:9" x14ac:dyDescent="0.3">
      <c r="A5211">
        <v>15210</v>
      </c>
      <c r="B5211">
        <v>422</v>
      </c>
      <c r="C5211" s="2">
        <v>45334</v>
      </c>
      <c r="D5211" s="2" t="str">
        <f>TEXT(Table3[[#This Row],[usage_date]],"mmmm")</f>
        <v>February</v>
      </c>
      <c r="E5211" s="9">
        <f>YEAR(Table3[[#This Row],[usage_date]])</f>
        <v>2024</v>
      </c>
      <c r="F5211" s="14">
        <v>7.97</v>
      </c>
      <c r="G5211">
        <v>16</v>
      </c>
      <c r="H5211" t="s">
        <v>13</v>
      </c>
      <c r="I5211" t="str">
        <f t="shared" si="81"/>
        <v>High Usage</v>
      </c>
    </row>
    <row r="5212" spans="1:9" x14ac:dyDescent="0.3">
      <c r="A5212">
        <v>15211</v>
      </c>
      <c r="B5212">
        <v>320</v>
      </c>
      <c r="C5212" s="2">
        <v>44829</v>
      </c>
      <c r="D5212" s="2" t="str">
        <f>TEXT(Table3[[#This Row],[usage_date]],"mmmm")</f>
        <v>September</v>
      </c>
      <c r="E5212" s="9">
        <f>YEAR(Table3[[#This Row],[usage_date]])</f>
        <v>2022</v>
      </c>
      <c r="F5212" s="14">
        <v>4.96</v>
      </c>
      <c r="G5212">
        <v>61</v>
      </c>
      <c r="H5212" t="s">
        <v>12</v>
      </c>
      <c r="I5212" t="str">
        <f t="shared" si="81"/>
        <v>Normal Usage</v>
      </c>
    </row>
    <row r="5213" spans="1:9" x14ac:dyDescent="0.3">
      <c r="A5213">
        <v>15212</v>
      </c>
      <c r="B5213">
        <v>87</v>
      </c>
      <c r="C5213" s="2">
        <v>44730</v>
      </c>
      <c r="D5213" s="2" t="str">
        <f>TEXT(Table3[[#This Row],[usage_date]],"mmmm")</f>
        <v>June</v>
      </c>
      <c r="E5213" s="9">
        <f>YEAR(Table3[[#This Row],[usage_date]])</f>
        <v>2022</v>
      </c>
      <c r="F5213" s="14">
        <v>0.46</v>
      </c>
      <c r="G5213">
        <v>42</v>
      </c>
      <c r="H5213" t="s">
        <v>13</v>
      </c>
      <c r="I5213" t="str">
        <f t="shared" si="81"/>
        <v>Normal Usage</v>
      </c>
    </row>
    <row r="5214" spans="1:9" x14ac:dyDescent="0.3">
      <c r="A5214">
        <v>15213</v>
      </c>
      <c r="B5214">
        <v>217</v>
      </c>
      <c r="C5214" s="2">
        <v>45332</v>
      </c>
      <c r="D5214" s="2" t="str">
        <f>TEXT(Table3[[#This Row],[usage_date]],"mmmm")</f>
        <v>February</v>
      </c>
      <c r="E5214" s="9">
        <f>YEAR(Table3[[#This Row],[usage_date]])</f>
        <v>2024</v>
      </c>
      <c r="F5214" s="14">
        <v>0.99</v>
      </c>
      <c r="G5214">
        <v>67</v>
      </c>
      <c r="H5214" t="s">
        <v>12</v>
      </c>
      <c r="I5214" t="str">
        <f t="shared" si="81"/>
        <v>Normal Usage</v>
      </c>
    </row>
    <row r="5215" spans="1:9" x14ac:dyDescent="0.3">
      <c r="A5215">
        <v>15214</v>
      </c>
      <c r="B5215">
        <v>490</v>
      </c>
      <c r="C5215" s="2">
        <v>45300</v>
      </c>
      <c r="D5215" s="2" t="str">
        <f>TEXT(Table3[[#This Row],[usage_date]],"mmmm")</f>
        <v>January</v>
      </c>
      <c r="E5215" s="9">
        <f>YEAR(Table3[[#This Row],[usage_date]])</f>
        <v>2024</v>
      </c>
      <c r="F5215" s="14">
        <v>0.47</v>
      </c>
      <c r="G5215">
        <v>211</v>
      </c>
      <c r="H5215" t="s">
        <v>13</v>
      </c>
      <c r="I5215" t="str">
        <f t="shared" si="81"/>
        <v>Normal Usage</v>
      </c>
    </row>
    <row r="5216" spans="1:9" x14ac:dyDescent="0.3">
      <c r="A5216">
        <v>15215</v>
      </c>
      <c r="B5216">
        <v>7</v>
      </c>
      <c r="C5216" s="2">
        <v>44594</v>
      </c>
      <c r="D5216" s="2" t="str">
        <f>TEXT(Table3[[#This Row],[usage_date]],"mmmm")</f>
        <v>February</v>
      </c>
      <c r="E5216" s="9">
        <f>YEAR(Table3[[#This Row],[usage_date]])</f>
        <v>2022</v>
      </c>
      <c r="F5216" s="14">
        <v>2.2999999999999998</v>
      </c>
      <c r="G5216">
        <v>202</v>
      </c>
      <c r="H5216" t="s">
        <v>12</v>
      </c>
      <c r="I5216" t="str">
        <f t="shared" si="81"/>
        <v>Normal Usage</v>
      </c>
    </row>
    <row r="5217" spans="1:9" x14ac:dyDescent="0.3">
      <c r="A5217">
        <v>15216</v>
      </c>
      <c r="B5217">
        <v>278</v>
      </c>
      <c r="C5217" s="2">
        <v>44938</v>
      </c>
      <c r="D5217" s="2" t="str">
        <f>TEXT(Table3[[#This Row],[usage_date]],"mmmm")</f>
        <v>January</v>
      </c>
      <c r="E5217" s="9">
        <f>YEAR(Table3[[#This Row],[usage_date]])</f>
        <v>2023</v>
      </c>
      <c r="F5217" s="14">
        <v>3.11</v>
      </c>
      <c r="G5217">
        <v>213</v>
      </c>
      <c r="H5217" t="s">
        <v>12</v>
      </c>
      <c r="I5217" t="str">
        <f t="shared" si="81"/>
        <v>Normal Usage</v>
      </c>
    </row>
    <row r="5218" spans="1:9" x14ac:dyDescent="0.3">
      <c r="A5218">
        <v>15217</v>
      </c>
      <c r="B5218">
        <v>337</v>
      </c>
      <c r="C5218" s="2">
        <v>44775</v>
      </c>
      <c r="D5218" s="2" t="str">
        <f>TEXT(Table3[[#This Row],[usage_date]],"mmmm")</f>
        <v>August</v>
      </c>
      <c r="E5218" s="9">
        <f>YEAR(Table3[[#This Row],[usage_date]])</f>
        <v>2022</v>
      </c>
      <c r="F5218" s="14">
        <v>0.95</v>
      </c>
      <c r="G5218">
        <v>108</v>
      </c>
      <c r="H5218" t="s">
        <v>12</v>
      </c>
      <c r="I5218" t="str">
        <f t="shared" si="81"/>
        <v>Normal Usage</v>
      </c>
    </row>
    <row r="5219" spans="1:9" x14ac:dyDescent="0.3">
      <c r="A5219">
        <v>15218</v>
      </c>
      <c r="B5219">
        <v>210</v>
      </c>
      <c r="C5219" s="2">
        <v>45123</v>
      </c>
      <c r="D5219" s="2" t="str">
        <f>TEXT(Table3[[#This Row],[usage_date]],"mmmm")</f>
        <v>July</v>
      </c>
      <c r="E5219" s="9">
        <f>YEAR(Table3[[#This Row],[usage_date]])</f>
        <v>2023</v>
      </c>
      <c r="F5219" s="14">
        <v>1.94</v>
      </c>
      <c r="G5219">
        <v>283</v>
      </c>
      <c r="H5219" t="s">
        <v>13</v>
      </c>
      <c r="I5219" t="str">
        <f t="shared" si="81"/>
        <v>Normal Usage</v>
      </c>
    </row>
    <row r="5220" spans="1:9" x14ac:dyDescent="0.3">
      <c r="A5220">
        <v>15219</v>
      </c>
      <c r="B5220">
        <v>497</v>
      </c>
      <c r="C5220" s="2">
        <v>45001</v>
      </c>
      <c r="D5220" s="2" t="str">
        <f>TEXT(Table3[[#This Row],[usage_date]],"mmmm")</f>
        <v>March</v>
      </c>
      <c r="E5220" s="9">
        <f>YEAR(Table3[[#This Row],[usage_date]])</f>
        <v>2023</v>
      </c>
      <c r="F5220" s="14">
        <v>2.94</v>
      </c>
      <c r="G5220">
        <v>93</v>
      </c>
      <c r="H5220" t="s">
        <v>12</v>
      </c>
      <c r="I5220" t="str">
        <f t="shared" si="81"/>
        <v>Normal Usage</v>
      </c>
    </row>
    <row r="5221" spans="1:9" x14ac:dyDescent="0.3">
      <c r="A5221">
        <v>15220</v>
      </c>
      <c r="B5221">
        <v>169</v>
      </c>
      <c r="C5221" s="2">
        <v>45053</v>
      </c>
      <c r="D5221" s="2" t="str">
        <f>TEXT(Table3[[#This Row],[usage_date]],"mmmm")</f>
        <v>May</v>
      </c>
      <c r="E5221" s="9">
        <f>YEAR(Table3[[#This Row],[usage_date]])</f>
        <v>2023</v>
      </c>
      <c r="F5221" s="14">
        <v>1.37</v>
      </c>
      <c r="G5221">
        <v>224</v>
      </c>
      <c r="H5221" t="s">
        <v>13</v>
      </c>
      <c r="I5221" t="str">
        <f t="shared" si="81"/>
        <v>Normal Usage</v>
      </c>
    </row>
    <row r="5222" spans="1:9" x14ac:dyDescent="0.3">
      <c r="A5222">
        <v>15221</v>
      </c>
      <c r="B5222">
        <v>330</v>
      </c>
      <c r="C5222" s="2">
        <v>44954</v>
      </c>
      <c r="D5222" s="2" t="str">
        <f>TEXT(Table3[[#This Row],[usage_date]],"mmmm")</f>
        <v>January</v>
      </c>
      <c r="E5222" s="9">
        <f>YEAR(Table3[[#This Row],[usage_date]])</f>
        <v>2023</v>
      </c>
      <c r="F5222" s="14">
        <v>4.8099999999999996</v>
      </c>
      <c r="G5222">
        <v>224</v>
      </c>
      <c r="H5222" t="s">
        <v>13</v>
      </c>
      <c r="I5222" t="str">
        <f t="shared" si="81"/>
        <v>Normal Usage</v>
      </c>
    </row>
    <row r="5223" spans="1:9" x14ac:dyDescent="0.3">
      <c r="A5223">
        <v>15222</v>
      </c>
      <c r="B5223">
        <v>138</v>
      </c>
      <c r="C5223" s="2">
        <v>45050</v>
      </c>
      <c r="D5223" s="2" t="str">
        <f>TEXT(Table3[[#This Row],[usage_date]],"mmmm")</f>
        <v>May</v>
      </c>
      <c r="E5223" s="9">
        <f>YEAR(Table3[[#This Row],[usage_date]])</f>
        <v>2023</v>
      </c>
      <c r="F5223" s="14">
        <v>3.69</v>
      </c>
      <c r="G5223">
        <v>238</v>
      </c>
      <c r="H5223" t="s">
        <v>13</v>
      </c>
      <c r="I5223" t="str">
        <f t="shared" si="81"/>
        <v>Normal Usage</v>
      </c>
    </row>
    <row r="5224" spans="1:9" x14ac:dyDescent="0.3">
      <c r="A5224">
        <v>15223</v>
      </c>
      <c r="B5224">
        <v>441</v>
      </c>
      <c r="C5224" s="2">
        <v>45283</v>
      </c>
      <c r="D5224" s="2" t="str">
        <f>TEXT(Table3[[#This Row],[usage_date]],"mmmm")</f>
        <v>December</v>
      </c>
      <c r="E5224" s="9">
        <f>YEAR(Table3[[#This Row],[usage_date]])</f>
        <v>2023</v>
      </c>
      <c r="F5224" s="14">
        <v>0.17</v>
      </c>
      <c r="G5224">
        <v>117</v>
      </c>
      <c r="H5224" t="s">
        <v>13</v>
      </c>
      <c r="I5224" t="str">
        <f t="shared" si="81"/>
        <v>Normal Usage</v>
      </c>
    </row>
    <row r="5225" spans="1:9" x14ac:dyDescent="0.3">
      <c r="A5225">
        <v>15224</v>
      </c>
      <c r="B5225">
        <v>391</v>
      </c>
      <c r="C5225" s="2">
        <v>44590</v>
      </c>
      <c r="D5225" s="2" t="str">
        <f>TEXT(Table3[[#This Row],[usage_date]],"mmmm")</f>
        <v>January</v>
      </c>
      <c r="E5225" s="9">
        <f>YEAR(Table3[[#This Row],[usage_date]])</f>
        <v>2022</v>
      </c>
      <c r="F5225" s="14">
        <v>2.4300000000000002</v>
      </c>
      <c r="G5225">
        <v>90</v>
      </c>
      <c r="H5225" t="s">
        <v>12</v>
      </c>
      <c r="I5225" t="str">
        <f t="shared" si="81"/>
        <v>Normal Usage</v>
      </c>
    </row>
    <row r="5226" spans="1:9" x14ac:dyDescent="0.3">
      <c r="A5226">
        <v>15225</v>
      </c>
      <c r="B5226">
        <v>496</v>
      </c>
      <c r="C5226" s="2">
        <v>44600</v>
      </c>
      <c r="D5226" s="2" t="str">
        <f>TEXT(Table3[[#This Row],[usage_date]],"mmmm")</f>
        <v>February</v>
      </c>
      <c r="E5226" s="9">
        <f>YEAR(Table3[[#This Row],[usage_date]])</f>
        <v>2022</v>
      </c>
      <c r="F5226" s="14">
        <v>0.67</v>
      </c>
      <c r="G5226">
        <v>288</v>
      </c>
      <c r="H5226" t="s">
        <v>12</v>
      </c>
      <c r="I5226" t="str">
        <f t="shared" si="81"/>
        <v>Normal Usage</v>
      </c>
    </row>
    <row r="5227" spans="1:9" x14ac:dyDescent="0.3">
      <c r="A5227">
        <v>15226</v>
      </c>
      <c r="B5227">
        <v>381</v>
      </c>
      <c r="C5227" s="2">
        <v>45420</v>
      </c>
      <c r="D5227" s="2" t="str">
        <f>TEXT(Table3[[#This Row],[usage_date]],"mmmm")</f>
        <v>May</v>
      </c>
      <c r="E5227" s="9">
        <f>YEAR(Table3[[#This Row],[usage_date]])</f>
        <v>2024</v>
      </c>
      <c r="F5227" s="14">
        <v>2.04</v>
      </c>
      <c r="G5227">
        <v>280</v>
      </c>
      <c r="H5227" t="s">
        <v>12</v>
      </c>
      <c r="I5227" t="str">
        <f t="shared" si="81"/>
        <v>Normal Usage</v>
      </c>
    </row>
    <row r="5228" spans="1:9" x14ac:dyDescent="0.3">
      <c r="A5228">
        <v>15227</v>
      </c>
      <c r="B5228">
        <v>306</v>
      </c>
      <c r="C5228" s="2">
        <v>45173</v>
      </c>
      <c r="D5228" s="2" t="str">
        <f>TEXT(Table3[[#This Row],[usage_date]],"mmmm")</f>
        <v>September</v>
      </c>
      <c r="E5228" s="9">
        <f>YEAR(Table3[[#This Row],[usage_date]])</f>
        <v>2023</v>
      </c>
      <c r="F5228" s="14">
        <v>7.86</v>
      </c>
      <c r="G5228">
        <v>18</v>
      </c>
      <c r="H5228" t="s">
        <v>13</v>
      </c>
      <c r="I5228" t="str">
        <f t="shared" si="81"/>
        <v>High Usage</v>
      </c>
    </row>
    <row r="5229" spans="1:9" x14ac:dyDescent="0.3">
      <c r="A5229">
        <v>15228</v>
      </c>
      <c r="B5229">
        <v>230</v>
      </c>
      <c r="C5229" s="2">
        <v>44734</v>
      </c>
      <c r="D5229" s="2" t="str">
        <f>TEXT(Table3[[#This Row],[usage_date]],"mmmm")</f>
        <v>June</v>
      </c>
      <c r="E5229" s="9">
        <f>YEAR(Table3[[#This Row],[usage_date]])</f>
        <v>2022</v>
      </c>
      <c r="F5229" s="14">
        <v>5.28</v>
      </c>
      <c r="G5229">
        <v>174</v>
      </c>
      <c r="H5229" t="s">
        <v>13</v>
      </c>
      <c r="I5229" t="str">
        <f t="shared" si="81"/>
        <v>Normal Usage</v>
      </c>
    </row>
    <row r="5230" spans="1:9" x14ac:dyDescent="0.3">
      <c r="A5230">
        <v>15229</v>
      </c>
      <c r="B5230">
        <v>475</v>
      </c>
      <c r="C5230" s="2">
        <v>44578</v>
      </c>
      <c r="D5230" s="2" t="str">
        <f>TEXT(Table3[[#This Row],[usage_date]],"mmmm")</f>
        <v>January</v>
      </c>
      <c r="E5230" s="9">
        <f>YEAR(Table3[[#This Row],[usage_date]])</f>
        <v>2022</v>
      </c>
      <c r="F5230" s="14">
        <v>1.3</v>
      </c>
      <c r="G5230">
        <v>105</v>
      </c>
      <c r="H5230" t="s">
        <v>12</v>
      </c>
      <c r="I5230" t="str">
        <f t="shared" si="81"/>
        <v>Normal Usage</v>
      </c>
    </row>
    <row r="5231" spans="1:9" x14ac:dyDescent="0.3">
      <c r="A5231">
        <v>15230</v>
      </c>
      <c r="B5231">
        <v>308</v>
      </c>
      <c r="C5231" s="2">
        <v>44617</v>
      </c>
      <c r="D5231" s="2" t="str">
        <f>TEXT(Table3[[#This Row],[usage_date]],"mmmm")</f>
        <v>February</v>
      </c>
      <c r="E5231" s="9">
        <f>YEAR(Table3[[#This Row],[usage_date]])</f>
        <v>2022</v>
      </c>
      <c r="F5231" s="14">
        <v>0.86</v>
      </c>
      <c r="G5231">
        <v>288</v>
      </c>
      <c r="H5231" t="s">
        <v>12</v>
      </c>
      <c r="I5231" t="str">
        <f t="shared" si="81"/>
        <v>Normal Usage</v>
      </c>
    </row>
    <row r="5232" spans="1:9" x14ac:dyDescent="0.3">
      <c r="A5232">
        <v>15231</v>
      </c>
      <c r="B5232">
        <v>161</v>
      </c>
      <c r="C5232" s="2">
        <v>44787</v>
      </c>
      <c r="D5232" s="2" t="str">
        <f>TEXT(Table3[[#This Row],[usage_date]],"mmmm")</f>
        <v>August</v>
      </c>
      <c r="E5232" s="9">
        <f>YEAR(Table3[[#This Row],[usage_date]])</f>
        <v>2022</v>
      </c>
      <c r="F5232" s="14">
        <v>0.67</v>
      </c>
      <c r="G5232">
        <v>247</v>
      </c>
      <c r="H5232" t="s">
        <v>12</v>
      </c>
      <c r="I5232" t="str">
        <f t="shared" si="81"/>
        <v>Normal Usage</v>
      </c>
    </row>
    <row r="5233" spans="1:9" x14ac:dyDescent="0.3">
      <c r="A5233">
        <v>15232</v>
      </c>
      <c r="B5233">
        <v>1</v>
      </c>
      <c r="C5233" s="2">
        <v>45119</v>
      </c>
      <c r="D5233" s="2" t="str">
        <f>TEXT(Table3[[#This Row],[usage_date]],"mmmm")</f>
        <v>July</v>
      </c>
      <c r="E5233" s="9">
        <f>YEAR(Table3[[#This Row],[usage_date]])</f>
        <v>2023</v>
      </c>
      <c r="F5233" s="14">
        <v>1.9</v>
      </c>
      <c r="G5233">
        <v>141</v>
      </c>
      <c r="H5233" t="s">
        <v>12</v>
      </c>
      <c r="I5233" t="str">
        <f t="shared" si="81"/>
        <v>Normal Usage</v>
      </c>
    </row>
    <row r="5234" spans="1:9" x14ac:dyDescent="0.3">
      <c r="A5234">
        <v>15233</v>
      </c>
      <c r="B5234">
        <v>236</v>
      </c>
      <c r="C5234" s="2">
        <v>44628</v>
      </c>
      <c r="D5234" s="2" t="str">
        <f>TEXT(Table3[[#This Row],[usage_date]],"mmmm")</f>
        <v>March</v>
      </c>
      <c r="E5234" s="9">
        <f>YEAR(Table3[[#This Row],[usage_date]])</f>
        <v>2022</v>
      </c>
      <c r="F5234" s="14">
        <v>0.3</v>
      </c>
      <c r="G5234">
        <v>297</v>
      </c>
      <c r="H5234" t="s">
        <v>12</v>
      </c>
      <c r="I5234" t="str">
        <f t="shared" si="81"/>
        <v>Normal Usage</v>
      </c>
    </row>
    <row r="5235" spans="1:9" x14ac:dyDescent="0.3">
      <c r="A5235">
        <v>15234</v>
      </c>
      <c r="B5235">
        <v>437</v>
      </c>
      <c r="C5235" s="2">
        <v>44758</v>
      </c>
      <c r="D5235" s="2" t="str">
        <f>TEXT(Table3[[#This Row],[usage_date]],"mmmm")</f>
        <v>July</v>
      </c>
      <c r="E5235" s="9">
        <f>YEAR(Table3[[#This Row],[usage_date]])</f>
        <v>2022</v>
      </c>
      <c r="F5235" s="14">
        <v>1.99</v>
      </c>
      <c r="G5235">
        <v>192</v>
      </c>
      <c r="H5235" t="s">
        <v>12</v>
      </c>
      <c r="I5235" t="str">
        <f t="shared" si="81"/>
        <v>Normal Usage</v>
      </c>
    </row>
    <row r="5236" spans="1:9" x14ac:dyDescent="0.3">
      <c r="A5236">
        <v>15235</v>
      </c>
      <c r="B5236">
        <v>188</v>
      </c>
      <c r="C5236" s="2">
        <v>45215</v>
      </c>
      <c r="D5236" s="2" t="str">
        <f>TEXT(Table3[[#This Row],[usage_date]],"mmmm")</f>
        <v>October</v>
      </c>
      <c r="E5236" s="9">
        <f>YEAR(Table3[[#This Row],[usage_date]])</f>
        <v>2023</v>
      </c>
      <c r="F5236" s="14">
        <v>0</v>
      </c>
      <c r="G5236">
        <v>290</v>
      </c>
      <c r="H5236" t="s">
        <v>12</v>
      </c>
      <c r="I5236" t="str">
        <f t="shared" si="81"/>
        <v>Normal Usage</v>
      </c>
    </row>
    <row r="5237" spans="1:9" x14ac:dyDescent="0.3">
      <c r="A5237">
        <v>15236</v>
      </c>
      <c r="B5237">
        <v>418</v>
      </c>
      <c r="C5237" s="2">
        <v>45396</v>
      </c>
      <c r="D5237" s="2" t="str">
        <f>TEXT(Table3[[#This Row],[usage_date]],"mmmm")</f>
        <v>April</v>
      </c>
      <c r="E5237" s="9">
        <f>YEAR(Table3[[#This Row],[usage_date]])</f>
        <v>2024</v>
      </c>
      <c r="F5237" s="14">
        <v>0.98</v>
      </c>
      <c r="G5237">
        <v>207</v>
      </c>
      <c r="H5237" t="s">
        <v>12</v>
      </c>
      <c r="I5237" t="str">
        <f t="shared" si="81"/>
        <v>Normal Usage</v>
      </c>
    </row>
    <row r="5238" spans="1:9" x14ac:dyDescent="0.3">
      <c r="A5238">
        <v>15237</v>
      </c>
      <c r="B5238">
        <v>4</v>
      </c>
      <c r="C5238" s="2">
        <v>44584</v>
      </c>
      <c r="D5238" s="2" t="str">
        <f>TEXT(Table3[[#This Row],[usage_date]],"mmmm")</f>
        <v>January</v>
      </c>
      <c r="E5238" s="9">
        <f>YEAR(Table3[[#This Row],[usage_date]])</f>
        <v>2022</v>
      </c>
      <c r="F5238" s="14">
        <v>0.62</v>
      </c>
      <c r="G5238">
        <v>247</v>
      </c>
      <c r="H5238" t="s">
        <v>12</v>
      </c>
      <c r="I5238" t="str">
        <f t="shared" si="81"/>
        <v>Normal Usage</v>
      </c>
    </row>
    <row r="5239" spans="1:9" x14ac:dyDescent="0.3">
      <c r="A5239">
        <v>15238</v>
      </c>
      <c r="B5239">
        <v>401</v>
      </c>
      <c r="C5239" s="2">
        <v>45167</v>
      </c>
      <c r="D5239" s="2" t="str">
        <f>TEXT(Table3[[#This Row],[usage_date]],"mmmm")</f>
        <v>August</v>
      </c>
      <c r="E5239" s="9">
        <f>YEAR(Table3[[#This Row],[usage_date]])</f>
        <v>2023</v>
      </c>
      <c r="F5239" s="14">
        <v>8.8699999999999992</v>
      </c>
      <c r="G5239">
        <v>141</v>
      </c>
      <c r="H5239" t="s">
        <v>12</v>
      </c>
      <c r="I5239" t="str">
        <f t="shared" si="81"/>
        <v>High Usage</v>
      </c>
    </row>
    <row r="5240" spans="1:9" x14ac:dyDescent="0.3">
      <c r="A5240">
        <v>15239</v>
      </c>
      <c r="B5240">
        <v>132</v>
      </c>
      <c r="C5240" s="2">
        <v>45315</v>
      </c>
      <c r="D5240" s="2" t="str">
        <f>TEXT(Table3[[#This Row],[usage_date]],"mmmm")</f>
        <v>January</v>
      </c>
      <c r="E5240" s="9">
        <f>YEAR(Table3[[#This Row],[usage_date]])</f>
        <v>2024</v>
      </c>
      <c r="F5240" s="14">
        <v>3.25</v>
      </c>
      <c r="G5240">
        <v>221</v>
      </c>
      <c r="H5240" t="s">
        <v>12</v>
      </c>
      <c r="I5240" t="str">
        <f t="shared" si="81"/>
        <v>Normal Usage</v>
      </c>
    </row>
    <row r="5241" spans="1:9" x14ac:dyDescent="0.3">
      <c r="A5241">
        <v>15240</v>
      </c>
      <c r="B5241">
        <v>427</v>
      </c>
      <c r="C5241" s="2">
        <v>44798</v>
      </c>
      <c r="D5241" s="2" t="str">
        <f>TEXT(Table3[[#This Row],[usage_date]],"mmmm")</f>
        <v>August</v>
      </c>
      <c r="E5241" s="9">
        <f>YEAR(Table3[[#This Row],[usage_date]])</f>
        <v>2022</v>
      </c>
      <c r="F5241" s="14">
        <v>1.08</v>
      </c>
      <c r="G5241">
        <v>224</v>
      </c>
      <c r="H5241" t="s">
        <v>12</v>
      </c>
      <c r="I5241" t="str">
        <f t="shared" si="81"/>
        <v>Normal Usage</v>
      </c>
    </row>
    <row r="5242" spans="1:9" x14ac:dyDescent="0.3">
      <c r="A5242">
        <v>15241</v>
      </c>
      <c r="B5242">
        <v>218</v>
      </c>
      <c r="C5242" s="2">
        <v>45127</v>
      </c>
      <c r="D5242" s="2" t="str">
        <f>TEXT(Table3[[#This Row],[usage_date]],"mmmm")</f>
        <v>July</v>
      </c>
      <c r="E5242" s="9">
        <f>YEAR(Table3[[#This Row],[usage_date]])</f>
        <v>2023</v>
      </c>
      <c r="F5242" s="14">
        <v>0.24</v>
      </c>
      <c r="G5242">
        <v>183</v>
      </c>
      <c r="H5242" t="s">
        <v>12</v>
      </c>
      <c r="I5242" t="str">
        <f t="shared" si="81"/>
        <v>Normal Usage</v>
      </c>
    </row>
    <row r="5243" spans="1:9" x14ac:dyDescent="0.3">
      <c r="A5243">
        <v>15242</v>
      </c>
      <c r="B5243">
        <v>260</v>
      </c>
      <c r="C5243" s="2">
        <v>44699</v>
      </c>
      <c r="D5243" s="2" t="str">
        <f>TEXT(Table3[[#This Row],[usage_date]],"mmmm")</f>
        <v>May</v>
      </c>
      <c r="E5243" s="9">
        <f>YEAR(Table3[[#This Row],[usage_date]])</f>
        <v>2022</v>
      </c>
      <c r="F5243" s="14">
        <v>1.82</v>
      </c>
      <c r="G5243">
        <v>187</v>
      </c>
      <c r="H5243" t="s">
        <v>12</v>
      </c>
      <c r="I5243" t="str">
        <f t="shared" si="81"/>
        <v>Normal Usage</v>
      </c>
    </row>
    <row r="5244" spans="1:9" x14ac:dyDescent="0.3">
      <c r="A5244">
        <v>15243</v>
      </c>
      <c r="B5244">
        <v>1</v>
      </c>
      <c r="C5244" s="2">
        <v>45034</v>
      </c>
      <c r="D5244" s="2" t="str">
        <f>TEXT(Table3[[#This Row],[usage_date]],"mmmm")</f>
        <v>April</v>
      </c>
      <c r="E5244" s="9">
        <f>YEAR(Table3[[#This Row],[usage_date]])</f>
        <v>2023</v>
      </c>
      <c r="F5244" s="14">
        <v>0.6</v>
      </c>
      <c r="G5244">
        <v>112</v>
      </c>
      <c r="H5244" t="s">
        <v>12</v>
      </c>
      <c r="I5244" t="str">
        <f t="shared" si="81"/>
        <v>Normal Usage</v>
      </c>
    </row>
    <row r="5245" spans="1:9" x14ac:dyDescent="0.3">
      <c r="A5245">
        <v>15244</v>
      </c>
      <c r="B5245">
        <v>71</v>
      </c>
      <c r="C5245" s="2">
        <v>45406</v>
      </c>
      <c r="D5245" s="2" t="str">
        <f>TEXT(Table3[[#This Row],[usage_date]],"mmmm")</f>
        <v>April</v>
      </c>
      <c r="E5245" s="9">
        <f>YEAR(Table3[[#This Row],[usage_date]])</f>
        <v>2024</v>
      </c>
      <c r="F5245" s="14">
        <v>1.92</v>
      </c>
      <c r="G5245">
        <v>180</v>
      </c>
      <c r="H5245" t="s">
        <v>12</v>
      </c>
      <c r="I5245" t="str">
        <f t="shared" si="81"/>
        <v>Normal Usage</v>
      </c>
    </row>
    <row r="5246" spans="1:9" x14ac:dyDescent="0.3">
      <c r="A5246">
        <v>15245</v>
      </c>
      <c r="B5246">
        <v>478</v>
      </c>
      <c r="C5246" s="2">
        <v>45345</v>
      </c>
      <c r="D5246" s="2" t="str">
        <f>TEXT(Table3[[#This Row],[usage_date]],"mmmm")</f>
        <v>February</v>
      </c>
      <c r="E5246" s="9">
        <f>YEAR(Table3[[#This Row],[usage_date]])</f>
        <v>2024</v>
      </c>
      <c r="F5246" s="14">
        <v>4.51</v>
      </c>
      <c r="G5246">
        <v>198</v>
      </c>
      <c r="H5246" t="s">
        <v>13</v>
      </c>
      <c r="I5246" t="str">
        <f t="shared" si="81"/>
        <v>Normal Usage</v>
      </c>
    </row>
    <row r="5247" spans="1:9" x14ac:dyDescent="0.3">
      <c r="A5247">
        <v>15246</v>
      </c>
      <c r="B5247">
        <v>178</v>
      </c>
      <c r="C5247" s="2">
        <v>45114</v>
      </c>
      <c r="D5247" s="2" t="str">
        <f>TEXT(Table3[[#This Row],[usage_date]],"mmmm")</f>
        <v>July</v>
      </c>
      <c r="E5247" s="9">
        <f>YEAR(Table3[[#This Row],[usage_date]])</f>
        <v>2023</v>
      </c>
      <c r="F5247" s="14">
        <v>2.39</v>
      </c>
      <c r="G5247">
        <v>69</v>
      </c>
      <c r="H5247" t="s">
        <v>12</v>
      </c>
      <c r="I5247" t="str">
        <f t="shared" si="81"/>
        <v>Normal Usage</v>
      </c>
    </row>
    <row r="5248" spans="1:9" x14ac:dyDescent="0.3">
      <c r="A5248">
        <v>15247</v>
      </c>
      <c r="B5248">
        <v>457</v>
      </c>
      <c r="C5248" s="2">
        <v>45171</v>
      </c>
      <c r="D5248" s="2" t="str">
        <f>TEXT(Table3[[#This Row],[usage_date]],"mmmm")</f>
        <v>September</v>
      </c>
      <c r="E5248" s="9">
        <f>YEAR(Table3[[#This Row],[usage_date]])</f>
        <v>2023</v>
      </c>
      <c r="F5248" s="14">
        <v>2.5099999999999998</v>
      </c>
      <c r="G5248">
        <v>85</v>
      </c>
      <c r="H5248" t="s">
        <v>12</v>
      </c>
      <c r="I5248" t="str">
        <f t="shared" si="81"/>
        <v>Normal Usage</v>
      </c>
    </row>
    <row r="5249" spans="1:9" x14ac:dyDescent="0.3">
      <c r="A5249">
        <v>15248</v>
      </c>
      <c r="B5249">
        <v>189</v>
      </c>
      <c r="C5249" s="2">
        <v>45256</v>
      </c>
      <c r="D5249" s="2" t="str">
        <f>TEXT(Table3[[#This Row],[usage_date]],"mmmm")</f>
        <v>November</v>
      </c>
      <c r="E5249" s="9">
        <f>YEAR(Table3[[#This Row],[usage_date]])</f>
        <v>2023</v>
      </c>
      <c r="F5249" s="14">
        <v>1.95</v>
      </c>
      <c r="G5249">
        <v>38</v>
      </c>
      <c r="H5249" t="s">
        <v>12</v>
      </c>
      <c r="I5249" t="str">
        <f t="shared" si="81"/>
        <v>Normal Usage</v>
      </c>
    </row>
    <row r="5250" spans="1:9" x14ac:dyDescent="0.3">
      <c r="A5250">
        <v>15249</v>
      </c>
      <c r="B5250">
        <v>291</v>
      </c>
      <c r="C5250" s="2">
        <v>45201</v>
      </c>
      <c r="D5250" s="2" t="str">
        <f>TEXT(Table3[[#This Row],[usage_date]],"mmmm")</f>
        <v>October</v>
      </c>
      <c r="E5250" s="9">
        <f>YEAR(Table3[[#This Row],[usage_date]])</f>
        <v>2023</v>
      </c>
      <c r="F5250" s="14">
        <v>6.55</v>
      </c>
      <c r="G5250">
        <v>130</v>
      </c>
      <c r="H5250" t="s">
        <v>12</v>
      </c>
      <c r="I5250" t="str">
        <f t="shared" ref="I5250:I5313" si="82">IF(F5250&gt;6,"High Usage","Normal Usage")</f>
        <v>High Usage</v>
      </c>
    </row>
    <row r="5251" spans="1:9" x14ac:dyDescent="0.3">
      <c r="A5251">
        <v>15250</v>
      </c>
      <c r="B5251">
        <v>8</v>
      </c>
      <c r="C5251" s="2">
        <v>44790</v>
      </c>
      <c r="D5251" s="2" t="str">
        <f>TEXT(Table3[[#This Row],[usage_date]],"mmmm")</f>
        <v>August</v>
      </c>
      <c r="E5251" s="9">
        <f>YEAR(Table3[[#This Row],[usage_date]])</f>
        <v>2022</v>
      </c>
      <c r="F5251" s="14">
        <v>6.72</v>
      </c>
      <c r="G5251">
        <v>9</v>
      </c>
      <c r="H5251" t="s">
        <v>13</v>
      </c>
      <c r="I5251" t="str">
        <f t="shared" si="82"/>
        <v>High Usage</v>
      </c>
    </row>
    <row r="5252" spans="1:9" x14ac:dyDescent="0.3">
      <c r="A5252">
        <v>15251</v>
      </c>
      <c r="B5252">
        <v>253</v>
      </c>
      <c r="C5252" s="2">
        <v>44878</v>
      </c>
      <c r="D5252" s="2" t="str">
        <f>TEXT(Table3[[#This Row],[usage_date]],"mmmm")</f>
        <v>November</v>
      </c>
      <c r="E5252" s="9">
        <f>YEAR(Table3[[#This Row],[usage_date]])</f>
        <v>2022</v>
      </c>
      <c r="F5252" s="14">
        <v>1.8</v>
      </c>
      <c r="G5252">
        <v>2</v>
      </c>
      <c r="H5252" t="s">
        <v>12</v>
      </c>
      <c r="I5252" t="str">
        <f t="shared" si="82"/>
        <v>Normal Usage</v>
      </c>
    </row>
    <row r="5253" spans="1:9" x14ac:dyDescent="0.3">
      <c r="A5253">
        <v>15252</v>
      </c>
      <c r="B5253">
        <v>408</v>
      </c>
      <c r="C5253" s="2">
        <v>45159</v>
      </c>
      <c r="D5253" s="2" t="str">
        <f>TEXT(Table3[[#This Row],[usage_date]],"mmmm")</f>
        <v>August</v>
      </c>
      <c r="E5253" s="9">
        <f>YEAR(Table3[[#This Row],[usage_date]])</f>
        <v>2023</v>
      </c>
      <c r="F5253" s="14">
        <v>0.91</v>
      </c>
      <c r="G5253">
        <v>149</v>
      </c>
      <c r="H5253" t="s">
        <v>12</v>
      </c>
      <c r="I5253" t="str">
        <f t="shared" si="82"/>
        <v>Normal Usage</v>
      </c>
    </row>
    <row r="5254" spans="1:9" x14ac:dyDescent="0.3">
      <c r="A5254">
        <v>15253</v>
      </c>
      <c r="B5254">
        <v>467</v>
      </c>
      <c r="C5254" s="2">
        <v>45329</v>
      </c>
      <c r="D5254" s="2" t="str">
        <f>TEXT(Table3[[#This Row],[usage_date]],"mmmm")</f>
        <v>February</v>
      </c>
      <c r="E5254" s="9">
        <f>YEAR(Table3[[#This Row],[usage_date]])</f>
        <v>2024</v>
      </c>
      <c r="F5254" s="14">
        <v>1.54</v>
      </c>
      <c r="G5254">
        <v>66</v>
      </c>
      <c r="H5254" t="s">
        <v>12</v>
      </c>
      <c r="I5254" t="str">
        <f t="shared" si="82"/>
        <v>Normal Usage</v>
      </c>
    </row>
    <row r="5255" spans="1:9" x14ac:dyDescent="0.3">
      <c r="A5255">
        <v>15254</v>
      </c>
      <c r="B5255">
        <v>292</v>
      </c>
      <c r="C5255" s="2">
        <v>45282</v>
      </c>
      <c r="D5255" s="2" t="str">
        <f>TEXT(Table3[[#This Row],[usage_date]],"mmmm")</f>
        <v>December</v>
      </c>
      <c r="E5255" s="9">
        <f>YEAR(Table3[[#This Row],[usage_date]])</f>
        <v>2023</v>
      </c>
      <c r="F5255" s="14">
        <v>0.52</v>
      </c>
      <c r="G5255">
        <v>192</v>
      </c>
      <c r="H5255" t="s">
        <v>12</v>
      </c>
      <c r="I5255" t="str">
        <f t="shared" si="82"/>
        <v>Normal Usage</v>
      </c>
    </row>
    <row r="5256" spans="1:9" x14ac:dyDescent="0.3">
      <c r="A5256">
        <v>15255</v>
      </c>
      <c r="B5256">
        <v>434</v>
      </c>
      <c r="C5256" s="2">
        <v>45288</v>
      </c>
      <c r="D5256" s="2" t="str">
        <f>TEXT(Table3[[#This Row],[usage_date]],"mmmm")</f>
        <v>December</v>
      </c>
      <c r="E5256" s="9">
        <f>YEAR(Table3[[#This Row],[usage_date]])</f>
        <v>2023</v>
      </c>
      <c r="F5256" s="14">
        <v>2.5299999999999998</v>
      </c>
      <c r="G5256">
        <v>96</v>
      </c>
      <c r="H5256" t="s">
        <v>12</v>
      </c>
      <c r="I5256" t="str">
        <f t="shared" si="82"/>
        <v>Normal Usage</v>
      </c>
    </row>
    <row r="5257" spans="1:9" x14ac:dyDescent="0.3">
      <c r="A5257">
        <v>15256</v>
      </c>
      <c r="B5257">
        <v>244</v>
      </c>
      <c r="C5257" s="2">
        <v>45447</v>
      </c>
      <c r="D5257" s="2" t="str">
        <f>TEXT(Table3[[#This Row],[usage_date]],"mmmm")</f>
        <v>June</v>
      </c>
      <c r="E5257" s="9">
        <f>YEAR(Table3[[#This Row],[usage_date]])</f>
        <v>2024</v>
      </c>
      <c r="F5257" s="14">
        <v>1.73</v>
      </c>
      <c r="G5257">
        <v>18</v>
      </c>
      <c r="H5257" t="s">
        <v>12</v>
      </c>
      <c r="I5257" t="str">
        <f t="shared" si="82"/>
        <v>Normal Usage</v>
      </c>
    </row>
    <row r="5258" spans="1:9" x14ac:dyDescent="0.3">
      <c r="A5258">
        <v>15257</v>
      </c>
      <c r="B5258">
        <v>123</v>
      </c>
      <c r="C5258" s="2">
        <v>45173</v>
      </c>
      <c r="D5258" s="2" t="str">
        <f>TEXT(Table3[[#This Row],[usage_date]],"mmmm")</f>
        <v>September</v>
      </c>
      <c r="E5258" s="9">
        <f>YEAR(Table3[[#This Row],[usage_date]])</f>
        <v>2023</v>
      </c>
      <c r="F5258" s="14">
        <v>0.27</v>
      </c>
      <c r="G5258">
        <v>97</v>
      </c>
      <c r="H5258" t="s">
        <v>12</v>
      </c>
      <c r="I5258" t="str">
        <f t="shared" si="82"/>
        <v>Normal Usage</v>
      </c>
    </row>
    <row r="5259" spans="1:9" x14ac:dyDescent="0.3">
      <c r="A5259">
        <v>15258</v>
      </c>
      <c r="B5259">
        <v>299</v>
      </c>
      <c r="C5259" s="2">
        <v>45122</v>
      </c>
      <c r="D5259" s="2" t="str">
        <f>TEXT(Table3[[#This Row],[usage_date]],"mmmm")</f>
        <v>July</v>
      </c>
      <c r="E5259" s="9">
        <f>YEAR(Table3[[#This Row],[usage_date]])</f>
        <v>2023</v>
      </c>
      <c r="F5259" s="14">
        <v>0.55000000000000004</v>
      </c>
      <c r="G5259">
        <v>56</v>
      </c>
      <c r="H5259" t="s">
        <v>12</v>
      </c>
      <c r="I5259" t="str">
        <f t="shared" si="82"/>
        <v>Normal Usage</v>
      </c>
    </row>
    <row r="5260" spans="1:9" x14ac:dyDescent="0.3">
      <c r="A5260">
        <v>15259</v>
      </c>
      <c r="B5260">
        <v>283</v>
      </c>
      <c r="C5260" s="2">
        <v>44762</v>
      </c>
      <c r="D5260" s="2" t="str">
        <f>TEXT(Table3[[#This Row],[usage_date]],"mmmm")</f>
        <v>July</v>
      </c>
      <c r="E5260" s="9">
        <f>YEAR(Table3[[#This Row],[usage_date]])</f>
        <v>2022</v>
      </c>
      <c r="F5260" s="14">
        <v>1.63</v>
      </c>
      <c r="G5260">
        <v>106</v>
      </c>
      <c r="H5260" t="s">
        <v>12</v>
      </c>
      <c r="I5260" t="str">
        <f t="shared" si="82"/>
        <v>Normal Usage</v>
      </c>
    </row>
    <row r="5261" spans="1:9" x14ac:dyDescent="0.3">
      <c r="A5261">
        <v>15260</v>
      </c>
      <c r="B5261">
        <v>32</v>
      </c>
      <c r="C5261" s="2">
        <v>44819</v>
      </c>
      <c r="D5261" s="2" t="str">
        <f>TEXT(Table3[[#This Row],[usage_date]],"mmmm")</f>
        <v>September</v>
      </c>
      <c r="E5261" s="9">
        <f>YEAR(Table3[[#This Row],[usage_date]])</f>
        <v>2022</v>
      </c>
      <c r="F5261" s="14">
        <v>5.46</v>
      </c>
      <c r="G5261">
        <v>87</v>
      </c>
      <c r="H5261" t="s">
        <v>13</v>
      </c>
      <c r="I5261" t="str">
        <f t="shared" si="82"/>
        <v>Normal Usage</v>
      </c>
    </row>
    <row r="5262" spans="1:9" x14ac:dyDescent="0.3">
      <c r="A5262">
        <v>15261</v>
      </c>
      <c r="B5262">
        <v>334</v>
      </c>
      <c r="C5262" s="2">
        <v>45041</v>
      </c>
      <c r="D5262" s="2" t="str">
        <f>TEXT(Table3[[#This Row],[usage_date]],"mmmm")</f>
        <v>April</v>
      </c>
      <c r="E5262" s="9">
        <f>YEAR(Table3[[#This Row],[usage_date]])</f>
        <v>2023</v>
      </c>
      <c r="F5262" s="14">
        <v>2.09</v>
      </c>
      <c r="G5262">
        <v>140</v>
      </c>
      <c r="H5262" t="s">
        <v>12</v>
      </c>
      <c r="I5262" t="str">
        <f t="shared" si="82"/>
        <v>Normal Usage</v>
      </c>
    </row>
    <row r="5263" spans="1:9" x14ac:dyDescent="0.3">
      <c r="A5263">
        <v>15262</v>
      </c>
      <c r="B5263">
        <v>377</v>
      </c>
      <c r="C5263" s="2">
        <v>45449</v>
      </c>
      <c r="D5263" s="2" t="str">
        <f>TEXT(Table3[[#This Row],[usage_date]],"mmmm")</f>
        <v>June</v>
      </c>
      <c r="E5263" s="9">
        <f>YEAR(Table3[[#This Row],[usage_date]])</f>
        <v>2024</v>
      </c>
      <c r="F5263" s="14">
        <v>2.86</v>
      </c>
      <c r="G5263">
        <v>143</v>
      </c>
      <c r="H5263" t="s">
        <v>12</v>
      </c>
      <c r="I5263" t="str">
        <f t="shared" si="82"/>
        <v>Normal Usage</v>
      </c>
    </row>
    <row r="5264" spans="1:9" x14ac:dyDescent="0.3">
      <c r="A5264">
        <v>15263</v>
      </c>
      <c r="B5264">
        <v>146</v>
      </c>
      <c r="C5264" s="2">
        <v>44739</v>
      </c>
      <c r="D5264" s="2" t="str">
        <f>TEXT(Table3[[#This Row],[usage_date]],"mmmm")</f>
        <v>June</v>
      </c>
      <c r="E5264" s="9">
        <f>YEAR(Table3[[#This Row],[usage_date]])</f>
        <v>2022</v>
      </c>
      <c r="F5264" s="14">
        <v>1.04</v>
      </c>
      <c r="G5264">
        <v>51</v>
      </c>
      <c r="H5264" t="s">
        <v>12</v>
      </c>
      <c r="I5264" t="str">
        <f t="shared" si="82"/>
        <v>Normal Usage</v>
      </c>
    </row>
    <row r="5265" spans="1:9" x14ac:dyDescent="0.3">
      <c r="A5265">
        <v>15264</v>
      </c>
      <c r="B5265">
        <v>156</v>
      </c>
      <c r="C5265" s="2">
        <v>45318</v>
      </c>
      <c r="D5265" s="2" t="str">
        <f>TEXT(Table3[[#This Row],[usage_date]],"mmmm")</f>
        <v>January</v>
      </c>
      <c r="E5265" s="9">
        <f>YEAR(Table3[[#This Row],[usage_date]])</f>
        <v>2024</v>
      </c>
      <c r="F5265" s="14">
        <v>2.12</v>
      </c>
      <c r="G5265">
        <v>211</v>
      </c>
      <c r="H5265" t="s">
        <v>12</v>
      </c>
      <c r="I5265" t="str">
        <f t="shared" si="82"/>
        <v>Normal Usage</v>
      </c>
    </row>
    <row r="5266" spans="1:9" x14ac:dyDescent="0.3">
      <c r="A5266">
        <v>15265</v>
      </c>
      <c r="B5266">
        <v>413</v>
      </c>
      <c r="C5266" s="2">
        <v>44684</v>
      </c>
      <c r="D5266" s="2" t="str">
        <f>TEXT(Table3[[#This Row],[usage_date]],"mmmm")</f>
        <v>May</v>
      </c>
      <c r="E5266" s="9">
        <f>YEAR(Table3[[#This Row],[usage_date]])</f>
        <v>2022</v>
      </c>
      <c r="F5266" s="14">
        <v>1.48</v>
      </c>
      <c r="G5266">
        <v>40</v>
      </c>
      <c r="H5266" t="s">
        <v>13</v>
      </c>
      <c r="I5266" t="str">
        <f t="shared" si="82"/>
        <v>Normal Usage</v>
      </c>
    </row>
    <row r="5267" spans="1:9" x14ac:dyDescent="0.3">
      <c r="A5267">
        <v>15266</v>
      </c>
      <c r="B5267">
        <v>16</v>
      </c>
      <c r="C5267" s="2">
        <v>44903</v>
      </c>
      <c r="D5267" s="2" t="str">
        <f>TEXT(Table3[[#This Row],[usage_date]],"mmmm")</f>
        <v>December</v>
      </c>
      <c r="E5267" s="9">
        <f>YEAR(Table3[[#This Row],[usage_date]])</f>
        <v>2022</v>
      </c>
      <c r="F5267" s="14">
        <v>2.69</v>
      </c>
      <c r="G5267">
        <v>90</v>
      </c>
      <c r="H5267" t="s">
        <v>12</v>
      </c>
      <c r="I5267" t="str">
        <f t="shared" si="82"/>
        <v>Normal Usage</v>
      </c>
    </row>
    <row r="5268" spans="1:9" x14ac:dyDescent="0.3">
      <c r="A5268">
        <v>15267</v>
      </c>
      <c r="B5268">
        <v>355</v>
      </c>
      <c r="C5268" s="2">
        <v>44732</v>
      </c>
      <c r="D5268" s="2" t="str">
        <f>TEXT(Table3[[#This Row],[usage_date]],"mmmm")</f>
        <v>June</v>
      </c>
      <c r="E5268" s="9">
        <f>YEAR(Table3[[#This Row],[usage_date]])</f>
        <v>2022</v>
      </c>
      <c r="F5268" s="14">
        <v>0.13</v>
      </c>
      <c r="G5268">
        <v>38</v>
      </c>
      <c r="H5268" t="s">
        <v>12</v>
      </c>
      <c r="I5268" t="str">
        <f t="shared" si="82"/>
        <v>Normal Usage</v>
      </c>
    </row>
    <row r="5269" spans="1:9" x14ac:dyDescent="0.3">
      <c r="A5269">
        <v>15268</v>
      </c>
      <c r="B5269">
        <v>47</v>
      </c>
      <c r="C5269" s="2">
        <v>45406</v>
      </c>
      <c r="D5269" s="2" t="str">
        <f>TEXT(Table3[[#This Row],[usage_date]],"mmmm")</f>
        <v>April</v>
      </c>
      <c r="E5269" s="9">
        <f>YEAR(Table3[[#This Row],[usage_date]])</f>
        <v>2024</v>
      </c>
      <c r="F5269" s="14">
        <v>1.7</v>
      </c>
      <c r="G5269">
        <v>12</v>
      </c>
      <c r="H5269" t="s">
        <v>12</v>
      </c>
      <c r="I5269" t="str">
        <f t="shared" si="82"/>
        <v>Normal Usage</v>
      </c>
    </row>
    <row r="5270" spans="1:9" x14ac:dyDescent="0.3">
      <c r="A5270">
        <v>15269</v>
      </c>
      <c r="B5270">
        <v>251</v>
      </c>
      <c r="C5270" s="2">
        <v>45209</v>
      </c>
      <c r="D5270" s="2" t="str">
        <f>TEXT(Table3[[#This Row],[usage_date]],"mmmm")</f>
        <v>October</v>
      </c>
      <c r="E5270" s="9">
        <f>YEAR(Table3[[#This Row],[usage_date]])</f>
        <v>2023</v>
      </c>
      <c r="F5270" s="14">
        <v>0.88</v>
      </c>
      <c r="G5270">
        <v>95</v>
      </c>
      <c r="H5270" t="s">
        <v>12</v>
      </c>
      <c r="I5270" t="str">
        <f t="shared" si="82"/>
        <v>Normal Usage</v>
      </c>
    </row>
    <row r="5271" spans="1:9" x14ac:dyDescent="0.3">
      <c r="A5271">
        <v>15270</v>
      </c>
      <c r="B5271">
        <v>187</v>
      </c>
      <c r="C5271" s="2">
        <v>44620</v>
      </c>
      <c r="D5271" s="2" t="str">
        <f>TEXT(Table3[[#This Row],[usage_date]],"mmmm")</f>
        <v>February</v>
      </c>
      <c r="E5271" s="9">
        <f>YEAR(Table3[[#This Row],[usage_date]])</f>
        <v>2022</v>
      </c>
      <c r="F5271" s="14">
        <v>0.99</v>
      </c>
      <c r="G5271">
        <v>108</v>
      </c>
      <c r="H5271" t="s">
        <v>12</v>
      </c>
      <c r="I5271" t="str">
        <f t="shared" si="82"/>
        <v>Normal Usage</v>
      </c>
    </row>
    <row r="5272" spans="1:9" x14ac:dyDescent="0.3">
      <c r="A5272">
        <v>15271</v>
      </c>
      <c r="B5272">
        <v>31</v>
      </c>
      <c r="C5272" s="2">
        <v>45266</v>
      </c>
      <c r="D5272" s="2" t="str">
        <f>TEXT(Table3[[#This Row],[usage_date]],"mmmm")</f>
        <v>December</v>
      </c>
      <c r="E5272" s="9">
        <f>YEAR(Table3[[#This Row],[usage_date]])</f>
        <v>2023</v>
      </c>
      <c r="F5272" s="14">
        <v>8.11</v>
      </c>
      <c r="G5272">
        <v>103</v>
      </c>
      <c r="H5272" t="s">
        <v>13</v>
      </c>
      <c r="I5272" t="str">
        <f t="shared" si="82"/>
        <v>High Usage</v>
      </c>
    </row>
    <row r="5273" spans="1:9" x14ac:dyDescent="0.3">
      <c r="A5273">
        <v>15272</v>
      </c>
      <c r="B5273">
        <v>260</v>
      </c>
      <c r="C5273" s="2">
        <v>45026</v>
      </c>
      <c r="D5273" s="2" t="str">
        <f>TEXT(Table3[[#This Row],[usage_date]],"mmmm")</f>
        <v>April</v>
      </c>
      <c r="E5273" s="9">
        <f>YEAR(Table3[[#This Row],[usage_date]])</f>
        <v>2023</v>
      </c>
      <c r="F5273" s="14">
        <v>0.5</v>
      </c>
      <c r="G5273">
        <v>230</v>
      </c>
      <c r="H5273" t="s">
        <v>13</v>
      </c>
      <c r="I5273" t="str">
        <f t="shared" si="82"/>
        <v>Normal Usage</v>
      </c>
    </row>
    <row r="5274" spans="1:9" x14ac:dyDescent="0.3">
      <c r="A5274">
        <v>15273</v>
      </c>
      <c r="B5274">
        <v>421</v>
      </c>
      <c r="C5274" s="2">
        <v>45341</v>
      </c>
      <c r="D5274" s="2" t="str">
        <f>TEXT(Table3[[#This Row],[usage_date]],"mmmm")</f>
        <v>February</v>
      </c>
      <c r="E5274" s="9">
        <f>YEAR(Table3[[#This Row],[usage_date]])</f>
        <v>2024</v>
      </c>
      <c r="F5274" s="14">
        <v>0.93</v>
      </c>
      <c r="G5274">
        <v>42</v>
      </c>
      <c r="H5274" t="s">
        <v>12</v>
      </c>
      <c r="I5274" t="str">
        <f t="shared" si="82"/>
        <v>Normal Usage</v>
      </c>
    </row>
    <row r="5275" spans="1:9" x14ac:dyDescent="0.3">
      <c r="A5275">
        <v>15274</v>
      </c>
      <c r="B5275">
        <v>17</v>
      </c>
      <c r="C5275" s="2">
        <v>44821</v>
      </c>
      <c r="D5275" s="2" t="str">
        <f>TEXT(Table3[[#This Row],[usage_date]],"mmmm")</f>
        <v>September</v>
      </c>
      <c r="E5275" s="9">
        <f>YEAR(Table3[[#This Row],[usage_date]])</f>
        <v>2022</v>
      </c>
      <c r="F5275" s="14">
        <v>1.78</v>
      </c>
      <c r="G5275">
        <v>208</v>
      </c>
      <c r="H5275" t="s">
        <v>13</v>
      </c>
      <c r="I5275" t="str">
        <f t="shared" si="82"/>
        <v>Normal Usage</v>
      </c>
    </row>
    <row r="5276" spans="1:9" x14ac:dyDescent="0.3">
      <c r="A5276">
        <v>15275</v>
      </c>
      <c r="B5276">
        <v>39</v>
      </c>
      <c r="C5276" s="2">
        <v>44934</v>
      </c>
      <c r="D5276" s="2" t="str">
        <f>TEXT(Table3[[#This Row],[usage_date]],"mmmm")</f>
        <v>January</v>
      </c>
      <c r="E5276" s="9">
        <f>YEAR(Table3[[#This Row],[usage_date]])</f>
        <v>2023</v>
      </c>
      <c r="F5276" s="14">
        <v>4.97</v>
      </c>
      <c r="G5276">
        <v>87</v>
      </c>
      <c r="H5276" t="s">
        <v>12</v>
      </c>
      <c r="I5276" t="str">
        <f t="shared" si="82"/>
        <v>Normal Usage</v>
      </c>
    </row>
    <row r="5277" spans="1:9" x14ac:dyDescent="0.3">
      <c r="A5277">
        <v>15276</v>
      </c>
      <c r="B5277">
        <v>304</v>
      </c>
      <c r="C5277" s="2">
        <v>44656</v>
      </c>
      <c r="D5277" s="2" t="str">
        <f>TEXT(Table3[[#This Row],[usage_date]],"mmmm")</f>
        <v>April</v>
      </c>
      <c r="E5277" s="9">
        <f>YEAR(Table3[[#This Row],[usage_date]])</f>
        <v>2022</v>
      </c>
      <c r="F5277" s="14">
        <v>1.35</v>
      </c>
      <c r="G5277">
        <v>92</v>
      </c>
      <c r="H5277" t="s">
        <v>13</v>
      </c>
      <c r="I5277" t="str">
        <f t="shared" si="82"/>
        <v>Normal Usage</v>
      </c>
    </row>
    <row r="5278" spans="1:9" x14ac:dyDescent="0.3">
      <c r="A5278">
        <v>15277</v>
      </c>
      <c r="B5278">
        <v>430</v>
      </c>
      <c r="C5278" s="2">
        <v>44686</v>
      </c>
      <c r="D5278" s="2" t="str">
        <f>TEXT(Table3[[#This Row],[usage_date]],"mmmm")</f>
        <v>May</v>
      </c>
      <c r="E5278" s="9">
        <f>YEAR(Table3[[#This Row],[usage_date]])</f>
        <v>2022</v>
      </c>
      <c r="F5278" s="14">
        <v>3.41</v>
      </c>
      <c r="G5278">
        <v>173</v>
      </c>
      <c r="H5278" t="s">
        <v>13</v>
      </c>
      <c r="I5278" t="str">
        <f t="shared" si="82"/>
        <v>Normal Usage</v>
      </c>
    </row>
    <row r="5279" spans="1:9" x14ac:dyDescent="0.3">
      <c r="A5279">
        <v>15278</v>
      </c>
      <c r="B5279">
        <v>474</v>
      </c>
      <c r="C5279" s="2">
        <v>44602</v>
      </c>
      <c r="D5279" s="2" t="str">
        <f>TEXT(Table3[[#This Row],[usage_date]],"mmmm")</f>
        <v>February</v>
      </c>
      <c r="E5279" s="9">
        <f>YEAR(Table3[[#This Row],[usage_date]])</f>
        <v>2022</v>
      </c>
      <c r="F5279" s="14">
        <v>4.8499999999999996</v>
      </c>
      <c r="G5279">
        <v>125</v>
      </c>
      <c r="H5279" t="s">
        <v>12</v>
      </c>
      <c r="I5279" t="str">
        <f t="shared" si="82"/>
        <v>Normal Usage</v>
      </c>
    </row>
    <row r="5280" spans="1:9" x14ac:dyDescent="0.3">
      <c r="A5280">
        <v>15279</v>
      </c>
      <c r="B5280">
        <v>432</v>
      </c>
      <c r="C5280" s="2">
        <v>45452</v>
      </c>
      <c r="D5280" s="2" t="str">
        <f>TEXT(Table3[[#This Row],[usage_date]],"mmmm")</f>
        <v>June</v>
      </c>
      <c r="E5280" s="9">
        <f>YEAR(Table3[[#This Row],[usage_date]])</f>
        <v>2024</v>
      </c>
      <c r="F5280" s="14">
        <v>0.93</v>
      </c>
      <c r="G5280">
        <v>108</v>
      </c>
      <c r="H5280" t="s">
        <v>12</v>
      </c>
      <c r="I5280" t="str">
        <f t="shared" si="82"/>
        <v>Normal Usage</v>
      </c>
    </row>
    <row r="5281" spans="1:9" x14ac:dyDescent="0.3">
      <c r="A5281">
        <v>15280</v>
      </c>
      <c r="B5281">
        <v>39</v>
      </c>
      <c r="C5281" s="2">
        <v>44815</v>
      </c>
      <c r="D5281" s="2" t="str">
        <f>TEXT(Table3[[#This Row],[usage_date]],"mmmm")</f>
        <v>September</v>
      </c>
      <c r="E5281" s="9">
        <f>YEAR(Table3[[#This Row],[usage_date]])</f>
        <v>2022</v>
      </c>
      <c r="F5281" s="14">
        <v>1.25</v>
      </c>
      <c r="G5281">
        <v>46</v>
      </c>
      <c r="H5281" t="s">
        <v>13</v>
      </c>
      <c r="I5281" t="str">
        <f t="shared" si="82"/>
        <v>Normal Usage</v>
      </c>
    </row>
    <row r="5282" spans="1:9" x14ac:dyDescent="0.3">
      <c r="A5282">
        <v>15281</v>
      </c>
      <c r="B5282">
        <v>489</v>
      </c>
      <c r="C5282" s="2">
        <v>44568</v>
      </c>
      <c r="D5282" s="2" t="str">
        <f>TEXT(Table3[[#This Row],[usage_date]],"mmmm")</f>
        <v>January</v>
      </c>
      <c r="E5282" s="9">
        <f>YEAR(Table3[[#This Row],[usage_date]])</f>
        <v>2022</v>
      </c>
      <c r="F5282" s="14">
        <v>1.1000000000000001</v>
      </c>
      <c r="G5282">
        <v>213</v>
      </c>
      <c r="H5282" t="s">
        <v>12</v>
      </c>
      <c r="I5282" t="str">
        <f t="shared" si="82"/>
        <v>Normal Usage</v>
      </c>
    </row>
    <row r="5283" spans="1:9" x14ac:dyDescent="0.3">
      <c r="A5283">
        <v>15282</v>
      </c>
      <c r="B5283">
        <v>132</v>
      </c>
      <c r="C5283" s="2">
        <v>45032</v>
      </c>
      <c r="D5283" s="2" t="str">
        <f>TEXT(Table3[[#This Row],[usage_date]],"mmmm")</f>
        <v>April</v>
      </c>
      <c r="E5283" s="9">
        <f>YEAR(Table3[[#This Row],[usage_date]])</f>
        <v>2023</v>
      </c>
      <c r="F5283" s="14">
        <v>4.47</v>
      </c>
      <c r="G5283">
        <v>91</v>
      </c>
      <c r="H5283" t="s">
        <v>12</v>
      </c>
      <c r="I5283" t="str">
        <f t="shared" si="82"/>
        <v>Normal Usage</v>
      </c>
    </row>
    <row r="5284" spans="1:9" x14ac:dyDescent="0.3">
      <c r="A5284">
        <v>15283</v>
      </c>
      <c r="B5284">
        <v>30</v>
      </c>
      <c r="C5284" s="2">
        <v>45289</v>
      </c>
      <c r="D5284" s="2" t="str">
        <f>TEXT(Table3[[#This Row],[usage_date]],"mmmm")</f>
        <v>December</v>
      </c>
      <c r="E5284" s="9">
        <f>YEAR(Table3[[#This Row],[usage_date]])</f>
        <v>2023</v>
      </c>
      <c r="F5284" s="14">
        <v>0.11</v>
      </c>
      <c r="G5284">
        <v>180</v>
      </c>
      <c r="H5284" t="s">
        <v>12</v>
      </c>
      <c r="I5284" t="str">
        <f t="shared" si="82"/>
        <v>Normal Usage</v>
      </c>
    </row>
    <row r="5285" spans="1:9" x14ac:dyDescent="0.3">
      <c r="A5285">
        <v>15284</v>
      </c>
      <c r="B5285">
        <v>158</v>
      </c>
      <c r="C5285" s="2">
        <v>45072</v>
      </c>
      <c r="D5285" s="2" t="str">
        <f>TEXT(Table3[[#This Row],[usage_date]],"mmmm")</f>
        <v>May</v>
      </c>
      <c r="E5285" s="9">
        <f>YEAR(Table3[[#This Row],[usage_date]])</f>
        <v>2023</v>
      </c>
      <c r="F5285" s="14">
        <v>0.92</v>
      </c>
      <c r="G5285">
        <v>40</v>
      </c>
      <c r="H5285" t="s">
        <v>13</v>
      </c>
      <c r="I5285" t="str">
        <f t="shared" si="82"/>
        <v>Normal Usage</v>
      </c>
    </row>
    <row r="5286" spans="1:9" x14ac:dyDescent="0.3">
      <c r="A5286">
        <v>15285</v>
      </c>
      <c r="B5286">
        <v>278</v>
      </c>
      <c r="C5286" s="2">
        <v>45142</v>
      </c>
      <c r="D5286" s="2" t="str">
        <f>TEXT(Table3[[#This Row],[usage_date]],"mmmm")</f>
        <v>August</v>
      </c>
      <c r="E5286" s="9">
        <f>YEAR(Table3[[#This Row],[usage_date]])</f>
        <v>2023</v>
      </c>
      <c r="F5286" s="14">
        <v>2.84</v>
      </c>
      <c r="G5286">
        <v>258</v>
      </c>
      <c r="H5286" t="s">
        <v>13</v>
      </c>
      <c r="I5286" t="str">
        <f t="shared" si="82"/>
        <v>Normal Usage</v>
      </c>
    </row>
    <row r="5287" spans="1:9" x14ac:dyDescent="0.3">
      <c r="A5287">
        <v>15286</v>
      </c>
      <c r="B5287">
        <v>203</v>
      </c>
      <c r="C5287" s="2">
        <v>44630</v>
      </c>
      <c r="D5287" s="2" t="str">
        <f>TEXT(Table3[[#This Row],[usage_date]],"mmmm")</f>
        <v>March</v>
      </c>
      <c r="E5287" s="9">
        <f>YEAR(Table3[[#This Row],[usage_date]])</f>
        <v>2022</v>
      </c>
      <c r="F5287" s="14">
        <v>2.08</v>
      </c>
      <c r="G5287">
        <v>120</v>
      </c>
      <c r="H5287" t="s">
        <v>12</v>
      </c>
      <c r="I5287" t="str">
        <f t="shared" si="82"/>
        <v>Normal Usage</v>
      </c>
    </row>
    <row r="5288" spans="1:9" x14ac:dyDescent="0.3">
      <c r="A5288">
        <v>15287</v>
      </c>
      <c r="B5288">
        <v>66</v>
      </c>
      <c r="C5288" s="2">
        <v>44642</v>
      </c>
      <c r="D5288" s="2" t="str">
        <f>TEXT(Table3[[#This Row],[usage_date]],"mmmm")</f>
        <v>March</v>
      </c>
      <c r="E5288" s="9">
        <f>YEAR(Table3[[#This Row],[usage_date]])</f>
        <v>2022</v>
      </c>
      <c r="F5288" s="14">
        <v>1.43</v>
      </c>
      <c r="G5288">
        <v>76</v>
      </c>
      <c r="H5288" t="s">
        <v>13</v>
      </c>
      <c r="I5288" t="str">
        <f t="shared" si="82"/>
        <v>Normal Usage</v>
      </c>
    </row>
    <row r="5289" spans="1:9" x14ac:dyDescent="0.3">
      <c r="A5289">
        <v>15288</v>
      </c>
      <c r="B5289">
        <v>108</v>
      </c>
      <c r="C5289" s="2">
        <v>45103</v>
      </c>
      <c r="D5289" s="2" t="str">
        <f>TEXT(Table3[[#This Row],[usage_date]],"mmmm")</f>
        <v>June</v>
      </c>
      <c r="E5289" s="9">
        <f>YEAR(Table3[[#This Row],[usage_date]])</f>
        <v>2023</v>
      </c>
      <c r="F5289" s="14">
        <v>1.94</v>
      </c>
      <c r="G5289">
        <v>94</v>
      </c>
      <c r="H5289" t="s">
        <v>12</v>
      </c>
      <c r="I5289" t="str">
        <f t="shared" si="82"/>
        <v>Normal Usage</v>
      </c>
    </row>
    <row r="5290" spans="1:9" x14ac:dyDescent="0.3">
      <c r="A5290">
        <v>15289</v>
      </c>
      <c r="B5290">
        <v>268</v>
      </c>
      <c r="C5290" s="2">
        <v>45146</v>
      </c>
      <c r="D5290" s="2" t="str">
        <f>TEXT(Table3[[#This Row],[usage_date]],"mmmm")</f>
        <v>August</v>
      </c>
      <c r="E5290" s="9">
        <f>YEAR(Table3[[#This Row],[usage_date]])</f>
        <v>2023</v>
      </c>
      <c r="F5290" s="14">
        <v>0.55000000000000004</v>
      </c>
      <c r="G5290">
        <v>268</v>
      </c>
      <c r="H5290" t="s">
        <v>13</v>
      </c>
      <c r="I5290" t="str">
        <f t="shared" si="82"/>
        <v>Normal Usage</v>
      </c>
    </row>
    <row r="5291" spans="1:9" x14ac:dyDescent="0.3">
      <c r="A5291">
        <v>15290</v>
      </c>
      <c r="B5291">
        <v>222</v>
      </c>
      <c r="C5291" s="2">
        <v>44823</v>
      </c>
      <c r="D5291" s="2" t="str">
        <f>TEXT(Table3[[#This Row],[usage_date]],"mmmm")</f>
        <v>September</v>
      </c>
      <c r="E5291" s="9">
        <f>YEAR(Table3[[#This Row],[usage_date]])</f>
        <v>2022</v>
      </c>
      <c r="F5291" s="14">
        <v>1.41</v>
      </c>
      <c r="G5291">
        <v>17</v>
      </c>
      <c r="H5291" t="s">
        <v>12</v>
      </c>
      <c r="I5291" t="str">
        <f t="shared" si="82"/>
        <v>Normal Usage</v>
      </c>
    </row>
    <row r="5292" spans="1:9" x14ac:dyDescent="0.3">
      <c r="A5292">
        <v>15291</v>
      </c>
      <c r="B5292">
        <v>292</v>
      </c>
      <c r="C5292" s="2">
        <v>44650</v>
      </c>
      <c r="D5292" s="2" t="str">
        <f>TEXT(Table3[[#This Row],[usage_date]],"mmmm")</f>
        <v>March</v>
      </c>
      <c r="E5292" s="9">
        <f>YEAR(Table3[[#This Row],[usage_date]])</f>
        <v>2022</v>
      </c>
      <c r="F5292" s="14">
        <v>1.74</v>
      </c>
      <c r="G5292">
        <v>292</v>
      </c>
      <c r="H5292" t="s">
        <v>12</v>
      </c>
      <c r="I5292" t="str">
        <f t="shared" si="82"/>
        <v>Normal Usage</v>
      </c>
    </row>
    <row r="5293" spans="1:9" x14ac:dyDescent="0.3">
      <c r="A5293">
        <v>15292</v>
      </c>
      <c r="B5293">
        <v>18</v>
      </c>
      <c r="C5293" s="2">
        <v>44769</v>
      </c>
      <c r="D5293" s="2" t="str">
        <f>TEXT(Table3[[#This Row],[usage_date]],"mmmm")</f>
        <v>July</v>
      </c>
      <c r="E5293" s="9">
        <f>YEAR(Table3[[#This Row],[usage_date]])</f>
        <v>2022</v>
      </c>
      <c r="F5293" s="14">
        <v>5.79</v>
      </c>
      <c r="G5293">
        <v>170</v>
      </c>
      <c r="H5293" t="s">
        <v>12</v>
      </c>
      <c r="I5293" t="str">
        <f t="shared" si="82"/>
        <v>Normal Usage</v>
      </c>
    </row>
    <row r="5294" spans="1:9" x14ac:dyDescent="0.3">
      <c r="A5294">
        <v>15293</v>
      </c>
      <c r="B5294">
        <v>90</v>
      </c>
      <c r="C5294" s="2">
        <v>44774</v>
      </c>
      <c r="D5294" s="2" t="str">
        <f>TEXT(Table3[[#This Row],[usage_date]],"mmmm")</f>
        <v>August</v>
      </c>
      <c r="E5294" s="9">
        <f>YEAR(Table3[[#This Row],[usage_date]])</f>
        <v>2022</v>
      </c>
      <c r="F5294" s="14">
        <v>0.76</v>
      </c>
      <c r="G5294">
        <v>161</v>
      </c>
      <c r="H5294" t="s">
        <v>12</v>
      </c>
      <c r="I5294" t="str">
        <f t="shared" si="82"/>
        <v>Normal Usage</v>
      </c>
    </row>
    <row r="5295" spans="1:9" x14ac:dyDescent="0.3">
      <c r="A5295">
        <v>15294</v>
      </c>
      <c r="B5295">
        <v>181</v>
      </c>
      <c r="C5295" s="2">
        <v>45395</v>
      </c>
      <c r="D5295" s="2" t="str">
        <f>TEXT(Table3[[#This Row],[usage_date]],"mmmm")</f>
        <v>April</v>
      </c>
      <c r="E5295" s="9">
        <f>YEAR(Table3[[#This Row],[usage_date]])</f>
        <v>2024</v>
      </c>
      <c r="F5295" s="14">
        <v>5.0599999999999996</v>
      </c>
      <c r="G5295">
        <v>51</v>
      </c>
      <c r="H5295" t="s">
        <v>12</v>
      </c>
      <c r="I5295" t="str">
        <f t="shared" si="82"/>
        <v>Normal Usage</v>
      </c>
    </row>
    <row r="5296" spans="1:9" x14ac:dyDescent="0.3">
      <c r="A5296">
        <v>15295</v>
      </c>
      <c r="B5296">
        <v>255</v>
      </c>
      <c r="C5296" s="2">
        <v>44827</v>
      </c>
      <c r="D5296" s="2" t="str">
        <f>TEXT(Table3[[#This Row],[usage_date]],"mmmm")</f>
        <v>September</v>
      </c>
      <c r="E5296" s="9">
        <f>YEAR(Table3[[#This Row],[usage_date]])</f>
        <v>2022</v>
      </c>
      <c r="F5296" s="14">
        <v>2.58</v>
      </c>
      <c r="G5296">
        <v>35</v>
      </c>
      <c r="H5296" t="s">
        <v>13</v>
      </c>
      <c r="I5296" t="str">
        <f t="shared" si="82"/>
        <v>Normal Usage</v>
      </c>
    </row>
    <row r="5297" spans="1:9" x14ac:dyDescent="0.3">
      <c r="A5297">
        <v>15296</v>
      </c>
      <c r="B5297">
        <v>455</v>
      </c>
      <c r="C5297" s="2">
        <v>44854</v>
      </c>
      <c r="D5297" s="2" t="str">
        <f>TEXT(Table3[[#This Row],[usage_date]],"mmmm")</f>
        <v>October</v>
      </c>
      <c r="E5297" s="9">
        <f>YEAR(Table3[[#This Row],[usage_date]])</f>
        <v>2022</v>
      </c>
      <c r="F5297" s="14">
        <v>0.05</v>
      </c>
      <c r="G5297">
        <v>186</v>
      </c>
      <c r="H5297" t="s">
        <v>12</v>
      </c>
      <c r="I5297" t="str">
        <f t="shared" si="82"/>
        <v>Normal Usage</v>
      </c>
    </row>
    <row r="5298" spans="1:9" x14ac:dyDescent="0.3">
      <c r="A5298">
        <v>15297</v>
      </c>
      <c r="B5298">
        <v>253</v>
      </c>
      <c r="C5298" s="2">
        <v>44768</v>
      </c>
      <c r="D5298" s="2" t="str">
        <f>TEXT(Table3[[#This Row],[usage_date]],"mmmm")</f>
        <v>July</v>
      </c>
      <c r="E5298" s="9">
        <f>YEAR(Table3[[#This Row],[usage_date]])</f>
        <v>2022</v>
      </c>
      <c r="F5298" s="14">
        <v>3.22</v>
      </c>
      <c r="G5298">
        <v>247</v>
      </c>
      <c r="H5298" t="s">
        <v>13</v>
      </c>
      <c r="I5298" t="str">
        <f t="shared" si="82"/>
        <v>Normal Usage</v>
      </c>
    </row>
    <row r="5299" spans="1:9" x14ac:dyDescent="0.3">
      <c r="A5299">
        <v>15298</v>
      </c>
      <c r="B5299">
        <v>257</v>
      </c>
      <c r="C5299" s="2">
        <v>44894</v>
      </c>
      <c r="D5299" s="2" t="str">
        <f>TEXT(Table3[[#This Row],[usage_date]],"mmmm")</f>
        <v>November</v>
      </c>
      <c r="E5299" s="9">
        <f>YEAR(Table3[[#This Row],[usage_date]])</f>
        <v>2022</v>
      </c>
      <c r="F5299" s="14">
        <v>0.09</v>
      </c>
      <c r="G5299">
        <v>51</v>
      </c>
      <c r="H5299" t="s">
        <v>12</v>
      </c>
      <c r="I5299" t="str">
        <f t="shared" si="82"/>
        <v>Normal Usage</v>
      </c>
    </row>
    <row r="5300" spans="1:9" x14ac:dyDescent="0.3">
      <c r="A5300">
        <v>15299</v>
      </c>
      <c r="B5300">
        <v>383</v>
      </c>
      <c r="C5300" s="2">
        <v>44638</v>
      </c>
      <c r="D5300" s="2" t="str">
        <f>TEXT(Table3[[#This Row],[usage_date]],"mmmm")</f>
        <v>March</v>
      </c>
      <c r="E5300" s="9">
        <f>YEAR(Table3[[#This Row],[usage_date]])</f>
        <v>2022</v>
      </c>
      <c r="F5300" s="14">
        <v>14.86</v>
      </c>
      <c r="G5300">
        <v>18</v>
      </c>
      <c r="H5300" t="s">
        <v>12</v>
      </c>
      <c r="I5300" t="str">
        <f t="shared" si="82"/>
        <v>High Usage</v>
      </c>
    </row>
    <row r="5301" spans="1:9" x14ac:dyDescent="0.3">
      <c r="A5301">
        <v>15300</v>
      </c>
      <c r="B5301">
        <v>442</v>
      </c>
      <c r="C5301" s="2">
        <v>44849</v>
      </c>
      <c r="D5301" s="2" t="str">
        <f>TEXT(Table3[[#This Row],[usage_date]],"mmmm")</f>
        <v>October</v>
      </c>
      <c r="E5301" s="9">
        <f>YEAR(Table3[[#This Row],[usage_date]])</f>
        <v>2022</v>
      </c>
      <c r="F5301" s="14">
        <v>5.15</v>
      </c>
      <c r="G5301">
        <v>91</v>
      </c>
      <c r="H5301" t="s">
        <v>12</v>
      </c>
      <c r="I5301" t="str">
        <f t="shared" si="82"/>
        <v>Normal Usage</v>
      </c>
    </row>
    <row r="5302" spans="1:9" x14ac:dyDescent="0.3">
      <c r="A5302">
        <v>15301</v>
      </c>
      <c r="B5302">
        <v>346</v>
      </c>
      <c r="C5302" s="2">
        <v>44608</v>
      </c>
      <c r="D5302" s="2" t="str">
        <f>TEXT(Table3[[#This Row],[usage_date]],"mmmm")</f>
        <v>February</v>
      </c>
      <c r="E5302" s="9">
        <f>YEAR(Table3[[#This Row],[usage_date]])</f>
        <v>2022</v>
      </c>
      <c r="F5302" s="14">
        <v>0.88</v>
      </c>
      <c r="G5302">
        <v>138</v>
      </c>
      <c r="H5302" t="s">
        <v>13</v>
      </c>
      <c r="I5302" t="str">
        <f t="shared" si="82"/>
        <v>Normal Usage</v>
      </c>
    </row>
    <row r="5303" spans="1:9" x14ac:dyDescent="0.3">
      <c r="A5303">
        <v>15302</v>
      </c>
      <c r="B5303">
        <v>87</v>
      </c>
      <c r="C5303" s="2">
        <v>45183</v>
      </c>
      <c r="D5303" s="2" t="str">
        <f>TEXT(Table3[[#This Row],[usage_date]],"mmmm")</f>
        <v>September</v>
      </c>
      <c r="E5303" s="9">
        <f>YEAR(Table3[[#This Row],[usage_date]])</f>
        <v>2023</v>
      </c>
      <c r="F5303" s="14">
        <v>0.74</v>
      </c>
      <c r="G5303">
        <v>219</v>
      </c>
      <c r="H5303" t="s">
        <v>12</v>
      </c>
      <c r="I5303" t="str">
        <f t="shared" si="82"/>
        <v>Normal Usage</v>
      </c>
    </row>
    <row r="5304" spans="1:9" x14ac:dyDescent="0.3">
      <c r="A5304">
        <v>15303</v>
      </c>
      <c r="B5304">
        <v>90</v>
      </c>
      <c r="C5304" s="2">
        <v>44761</v>
      </c>
      <c r="D5304" s="2" t="str">
        <f>TEXT(Table3[[#This Row],[usage_date]],"mmmm")</f>
        <v>July</v>
      </c>
      <c r="E5304" s="9">
        <f>YEAR(Table3[[#This Row],[usage_date]])</f>
        <v>2022</v>
      </c>
      <c r="F5304" s="14">
        <v>1.2</v>
      </c>
      <c r="G5304">
        <v>98</v>
      </c>
      <c r="H5304" t="s">
        <v>13</v>
      </c>
      <c r="I5304" t="str">
        <f t="shared" si="82"/>
        <v>Normal Usage</v>
      </c>
    </row>
    <row r="5305" spans="1:9" x14ac:dyDescent="0.3">
      <c r="A5305">
        <v>15304</v>
      </c>
      <c r="B5305">
        <v>237</v>
      </c>
      <c r="C5305" s="2">
        <v>44988</v>
      </c>
      <c r="D5305" s="2" t="str">
        <f>TEXT(Table3[[#This Row],[usage_date]],"mmmm")</f>
        <v>March</v>
      </c>
      <c r="E5305" s="9">
        <f>YEAR(Table3[[#This Row],[usage_date]])</f>
        <v>2023</v>
      </c>
      <c r="F5305" s="14">
        <v>1.1000000000000001</v>
      </c>
      <c r="G5305">
        <v>235</v>
      </c>
      <c r="H5305" t="s">
        <v>13</v>
      </c>
      <c r="I5305" t="str">
        <f t="shared" si="82"/>
        <v>Normal Usage</v>
      </c>
    </row>
    <row r="5306" spans="1:9" x14ac:dyDescent="0.3">
      <c r="A5306">
        <v>15305</v>
      </c>
      <c r="B5306">
        <v>390</v>
      </c>
      <c r="C5306" s="2">
        <v>44771</v>
      </c>
      <c r="D5306" s="2" t="str">
        <f>TEXT(Table3[[#This Row],[usage_date]],"mmmm")</f>
        <v>July</v>
      </c>
      <c r="E5306" s="9">
        <f>YEAR(Table3[[#This Row],[usage_date]])</f>
        <v>2022</v>
      </c>
      <c r="F5306" s="14">
        <v>1.1599999999999999</v>
      </c>
      <c r="G5306">
        <v>206</v>
      </c>
      <c r="H5306" t="s">
        <v>12</v>
      </c>
      <c r="I5306" t="str">
        <f t="shared" si="82"/>
        <v>Normal Usage</v>
      </c>
    </row>
    <row r="5307" spans="1:9" x14ac:dyDescent="0.3">
      <c r="A5307">
        <v>15306</v>
      </c>
      <c r="B5307">
        <v>70</v>
      </c>
      <c r="C5307" s="2">
        <v>45449</v>
      </c>
      <c r="D5307" s="2" t="str">
        <f>TEXT(Table3[[#This Row],[usage_date]],"mmmm")</f>
        <v>June</v>
      </c>
      <c r="E5307" s="9">
        <f>YEAR(Table3[[#This Row],[usage_date]])</f>
        <v>2024</v>
      </c>
      <c r="F5307" s="14">
        <v>0.96</v>
      </c>
      <c r="G5307">
        <v>143</v>
      </c>
      <c r="H5307" t="s">
        <v>12</v>
      </c>
      <c r="I5307" t="str">
        <f t="shared" si="82"/>
        <v>Normal Usage</v>
      </c>
    </row>
    <row r="5308" spans="1:9" x14ac:dyDescent="0.3">
      <c r="A5308">
        <v>15307</v>
      </c>
      <c r="B5308">
        <v>44</v>
      </c>
      <c r="C5308" s="2">
        <v>44981</v>
      </c>
      <c r="D5308" s="2" t="str">
        <f>TEXT(Table3[[#This Row],[usage_date]],"mmmm")</f>
        <v>February</v>
      </c>
      <c r="E5308" s="9">
        <f>YEAR(Table3[[#This Row],[usage_date]])</f>
        <v>2023</v>
      </c>
      <c r="F5308" s="14">
        <v>2.4300000000000002</v>
      </c>
      <c r="G5308">
        <v>198</v>
      </c>
      <c r="H5308" t="s">
        <v>13</v>
      </c>
      <c r="I5308" t="str">
        <f t="shared" si="82"/>
        <v>Normal Usage</v>
      </c>
    </row>
    <row r="5309" spans="1:9" x14ac:dyDescent="0.3">
      <c r="A5309">
        <v>15308</v>
      </c>
      <c r="B5309">
        <v>200</v>
      </c>
      <c r="C5309" s="2">
        <v>44715</v>
      </c>
      <c r="D5309" s="2" t="str">
        <f>TEXT(Table3[[#This Row],[usage_date]],"mmmm")</f>
        <v>June</v>
      </c>
      <c r="E5309" s="9">
        <f>YEAR(Table3[[#This Row],[usage_date]])</f>
        <v>2022</v>
      </c>
      <c r="F5309" s="14">
        <v>0.45</v>
      </c>
      <c r="G5309">
        <v>286</v>
      </c>
      <c r="H5309" t="s">
        <v>13</v>
      </c>
      <c r="I5309" t="str">
        <f t="shared" si="82"/>
        <v>Normal Usage</v>
      </c>
    </row>
    <row r="5310" spans="1:9" x14ac:dyDescent="0.3">
      <c r="A5310">
        <v>15309</v>
      </c>
      <c r="B5310">
        <v>152</v>
      </c>
      <c r="C5310" s="2">
        <v>45083</v>
      </c>
      <c r="D5310" s="2" t="str">
        <f>TEXT(Table3[[#This Row],[usage_date]],"mmmm")</f>
        <v>June</v>
      </c>
      <c r="E5310" s="9">
        <f>YEAR(Table3[[#This Row],[usage_date]])</f>
        <v>2023</v>
      </c>
      <c r="F5310" s="14">
        <v>4.68</v>
      </c>
      <c r="G5310">
        <v>263</v>
      </c>
      <c r="H5310" t="s">
        <v>12</v>
      </c>
      <c r="I5310" t="str">
        <f t="shared" si="82"/>
        <v>Normal Usage</v>
      </c>
    </row>
    <row r="5311" spans="1:9" x14ac:dyDescent="0.3">
      <c r="A5311">
        <v>15310</v>
      </c>
      <c r="B5311">
        <v>86</v>
      </c>
      <c r="C5311" s="2">
        <v>44976</v>
      </c>
      <c r="D5311" s="2" t="str">
        <f>TEXT(Table3[[#This Row],[usage_date]],"mmmm")</f>
        <v>February</v>
      </c>
      <c r="E5311" s="9">
        <f>YEAR(Table3[[#This Row],[usage_date]])</f>
        <v>2023</v>
      </c>
      <c r="F5311" s="14">
        <v>4.18</v>
      </c>
      <c r="G5311">
        <v>216</v>
      </c>
      <c r="H5311" t="s">
        <v>12</v>
      </c>
      <c r="I5311" t="str">
        <f t="shared" si="82"/>
        <v>Normal Usage</v>
      </c>
    </row>
    <row r="5312" spans="1:9" x14ac:dyDescent="0.3">
      <c r="A5312">
        <v>15311</v>
      </c>
      <c r="B5312">
        <v>19</v>
      </c>
      <c r="C5312" s="2">
        <v>44914</v>
      </c>
      <c r="D5312" s="2" t="str">
        <f>TEXT(Table3[[#This Row],[usage_date]],"mmmm")</f>
        <v>December</v>
      </c>
      <c r="E5312" s="9">
        <f>YEAR(Table3[[#This Row],[usage_date]])</f>
        <v>2022</v>
      </c>
      <c r="F5312" s="14">
        <v>1.62</v>
      </c>
      <c r="G5312">
        <v>188</v>
      </c>
      <c r="H5312" t="s">
        <v>12</v>
      </c>
      <c r="I5312" t="str">
        <f t="shared" si="82"/>
        <v>Normal Usage</v>
      </c>
    </row>
    <row r="5313" spans="1:9" x14ac:dyDescent="0.3">
      <c r="A5313">
        <v>15312</v>
      </c>
      <c r="B5313">
        <v>101</v>
      </c>
      <c r="C5313" s="2">
        <v>44718</v>
      </c>
      <c r="D5313" s="2" t="str">
        <f>TEXT(Table3[[#This Row],[usage_date]],"mmmm")</f>
        <v>June</v>
      </c>
      <c r="E5313" s="9">
        <f>YEAR(Table3[[#This Row],[usage_date]])</f>
        <v>2022</v>
      </c>
      <c r="F5313" s="14">
        <v>4.79</v>
      </c>
      <c r="G5313">
        <v>43</v>
      </c>
      <c r="H5313" t="s">
        <v>12</v>
      </c>
      <c r="I5313" t="str">
        <f t="shared" si="82"/>
        <v>Normal Usage</v>
      </c>
    </row>
    <row r="5314" spans="1:9" x14ac:dyDescent="0.3">
      <c r="A5314">
        <v>15313</v>
      </c>
      <c r="B5314">
        <v>402</v>
      </c>
      <c r="C5314" s="2">
        <v>44822</v>
      </c>
      <c r="D5314" s="2" t="str">
        <f>TEXT(Table3[[#This Row],[usage_date]],"mmmm")</f>
        <v>September</v>
      </c>
      <c r="E5314" s="9">
        <f>YEAR(Table3[[#This Row],[usage_date]])</f>
        <v>2022</v>
      </c>
      <c r="F5314" s="14">
        <v>0.71</v>
      </c>
      <c r="G5314">
        <v>290</v>
      </c>
      <c r="H5314" t="s">
        <v>12</v>
      </c>
      <c r="I5314" t="str">
        <f t="shared" ref="I5314:I5377" si="83">IF(F5314&gt;6,"High Usage","Normal Usage")</f>
        <v>Normal Usage</v>
      </c>
    </row>
    <row r="5315" spans="1:9" x14ac:dyDescent="0.3">
      <c r="A5315">
        <v>15314</v>
      </c>
      <c r="B5315">
        <v>95</v>
      </c>
      <c r="C5315" s="2">
        <v>44638</v>
      </c>
      <c r="D5315" s="2" t="str">
        <f>TEXT(Table3[[#This Row],[usage_date]],"mmmm")</f>
        <v>March</v>
      </c>
      <c r="E5315" s="9">
        <f>YEAR(Table3[[#This Row],[usage_date]])</f>
        <v>2022</v>
      </c>
      <c r="F5315" s="14">
        <v>0.04</v>
      </c>
      <c r="G5315">
        <v>188</v>
      </c>
      <c r="H5315" t="s">
        <v>12</v>
      </c>
      <c r="I5315" t="str">
        <f t="shared" si="83"/>
        <v>Normal Usage</v>
      </c>
    </row>
    <row r="5316" spans="1:9" x14ac:dyDescent="0.3">
      <c r="A5316">
        <v>15315</v>
      </c>
      <c r="B5316">
        <v>254</v>
      </c>
      <c r="C5316" s="2">
        <v>45330</v>
      </c>
      <c r="D5316" s="2" t="str">
        <f>TEXT(Table3[[#This Row],[usage_date]],"mmmm")</f>
        <v>February</v>
      </c>
      <c r="E5316" s="9">
        <f>YEAR(Table3[[#This Row],[usage_date]])</f>
        <v>2024</v>
      </c>
      <c r="F5316" s="14">
        <v>2.41</v>
      </c>
      <c r="G5316">
        <v>193</v>
      </c>
      <c r="H5316" t="s">
        <v>12</v>
      </c>
      <c r="I5316" t="str">
        <f t="shared" si="83"/>
        <v>Normal Usage</v>
      </c>
    </row>
    <row r="5317" spans="1:9" x14ac:dyDescent="0.3">
      <c r="A5317">
        <v>15316</v>
      </c>
      <c r="B5317">
        <v>357</v>
      </c>
      <c r="C5317" s="2">
        <v>45049</v>
      </c>
      <c r="D5317" s="2" t="str">
        <f>TEXT(Table3[[#This Row],[usage_date]],"mmmm")</f>
        <v>May</v>
      </c>
      <c r="E5317" s="9">
        <f>YEAR(Table3[[#This Row],[usage_date]])</f>
        <v>2023</v>
      </c>
      <c r="F5317" s="14">
        <v>1.53</v>
      </c>
      <c r="G5317">
        <v>269</v>
      </c>
      <c r="H5317" t="s">
        <v>12</v>
      </c>
      <c r="I5317" t="str">
        <f t="shared" si="83"/>
        <v>Normal Usage</v>
      </c>
    </row>
    <row r="5318" spans="1:9" x14ac:dyDescent="0.3">
      <c r="A5318">
        <v>15317</v>
      </c>
      <c r="B5318">
        <v>30</v>
      </c>
      <c r="C5318" s="2">
        <v>44692</v>
      </c>
      <c r="D5318" s="2" t="str">
        <f>TEXT(Table3[[#This Row],[usage_date]],"mmmm")</f>
        <v>May</v>
      </c>
      <c r="E5318" s="9">
        <f>YEAR(Table3[[#This Row],[usage_date]])</f>
        <v>2022</v>
      </c>
      <c r="F5318" s="14">
        <v>2.09</v>
      </c>
      <c r="G5318">
        <v>259</v>
      </c>
      <c r="H5318" t="s">
        <v>13</v>
      </c>
      <c r="I5318" t="str">
        <f t="shared" si="83"/>
        <v>Normal Usage</v>
      </c>
    </row>
    <row r="5319" spans="1:9" x14ac:dyDescent="0.3">
      <c r="A5319">
        <v>15318</v>
      </c>
      <c r="B5319">
        <v>249</v>
      </c>
      <c r="C5319" s="2">
        <v>45140</v>
      </c>
      <c r="D5319" s="2" t="str">
        <f>TEXT(Table3[[#This Row],[usage_date]],"mmmm")</f>
        <v>August</v>
      </c>
      <c r="E5319" s="9">
        <f>YEAR(Table3[[#This Row],[usage_date]])</f>
        <v>2023</v>
      </c>
      <c r="F5319" s="14">
        <v>5.74</v>
      </c>
      <c r="G5319">
        <v>238</v>
      </c>
      <c r="H5319" t="s">
        <v>13</v>
      </c>
      <c r="I5319" t="str">
        <f t="shared" si="83"/>
        <v>Normal Usage</v>
      </c>
    </row>
    <row r="5320" spans="1:9" x14ac:dyDescent="0.3">
      <c r="A5320">
        <v>15319</v>
      </c>
      <c r="B5320">
        <v>426</v>
      </c>
      <c r="C5320" s="2">
        <v>45016</v>
      </c>
      <c r="D5320" s="2" t="str">
        <f>TEXT(Table3[[#This Row],[usage_date]],"mmmm")</f>
        <v>March</v>
      </c>
      <c r="E5320" s="9">
        <f>YEAR(Table3[[#This Row],[usage_date]])</f>
        <v>2023</v>
      </c>
      <c r="F5320" s="14">
        <v>8.76</v>
      </c>
      <c r="G5320">
        <v>111</v>
      </c>
      <c r="H5320" t="s">
        <v>13</v>
      </c>
      <c r="I5320" t="str">
        <f t="shared" si="83"/>
        <v>High Usage</v>
      </c>
    </row>
    <row r="5321" spans="1:9" x14ac:dyDescent="0.3">
      <c r="A5321">
        <v>15320</v>
      </c>
      <c r="B5321">
        <v>33</v>
      </c>
      <c r="C5321" s="2">
        <v>45301</v>
      </c>
      <c r="D5321" s="2" t="str">
        <f>TEXT(Table3[[#This Row],[usage_date]],"mmmm")</f>
        <v>January</v>
      </c>
      <c r="E5321" s="9">
        <f>YEAR(Table3[[#This Row],[usage_date]])</f>
        <v>2024</v>
      </c>
      <c r="F5321" s="14">
        <v>2.52</v>
      </c>
      <c r="G5321">
        <v>68</v>
      </c>
      <c r="H5321" t="s">
        <v>13</v>
      </c>
      <c r="I5321" t="str">
        <f t="shared" si="83"/>
        <v>Normal Usage</v>
      </c>
    </row>
    <row r="5322" spans="1:9" x14ac:dyDescent="0.3">
      <c r="A5322">
        <v>15321</v>
      </c>
      <c r="B5322">
        <v>458</v>
      </c>
      <c r="C5322" s="2">
        <v>44724</v>
      </c>
      <c r="D5322" s="2" t="str">
        <f>TEXT(Table3[[#This Row],[usage_date]],"mmmm")</f>
        <v>June</v>
      </c>
      <c r="E5322" s="9">
        <f>YEAR(Table3[[#This Row],[usage_date]])</f>
        <v>2022</v>
      </c>
      <c r="F5322" s="14">
        <v>3.61</v>
      </c>
      <c r="G5322">
        <v>48</v>
      </c>
      <c r="H5322" t="s">
        <v>12</v>
      </c>
      <c r="I5322" t="str">
        <f t="shared" si="83"/>
        <v>Normal Usage</v>
      </c>
    </row>
    <row r="5323" spans="1:9" x14ac:dyDescent="0.3">
      <c r="A5323">
        <v>15322</v>
      </c>
      <c r="B5323">
        <v>229</v>
      </c>
      <c r="C5323" s="2">
        <v>44576</v>
      </c>
      <c r="D5323" s="2" t="str">
        <f>TEXT(Table3[[#This Row],[usage_date]],"mmmm")</f>
        <v>January</v>
      </c>
      <c r="E5323" s="9">
        <f>YEAR(Table3[[#This Row],[usage_date]])</f>
        <v>2022</v>
      </c>
      <c r="F5323" s="14">
        <v>0.22</v>
      </c>
      <c r="G5323">
        <v>150</v>
      </c>
      <c r="H5323" t="s">
        <v>13</v>
      </c>
      <c r="I5323" t="str">
        <f t="shared" si="83"/>
        <v>Normal Usage</v>
      </c>
    </row>
    <row r="5324" spans="1:9" x14ac:dyDescent="0.3">
      <c r="A5324">
        <v>15323</v>
      </c>
      <c r="B5324">
        <v>12</v>
      </c>
      <c r="C5324" s="2">
        <v>44793</v>
      </c>
      <c r="D5324" s="2" t="str">
        <f>TEXT(Table3[[#This Row],[usage_date]],"mmmm")</f>
        <v>August</v>
      </c>
      <c r="E5324" s="9">
        <f>YEAR(Table3[[#This Row],[usage_date]])</f>
        <v>2022</v>
      </c>
      <c r="F5324" s="14">
        <v>0.44</v>
      </c>
      <c r="G5324">
        <v>238</v>
      </c>
      <c r="H5324" t="s">
        <v>13</v>
      </c>
      <c r="I5324" t="str">
        <f t="shared" si="83"/>
        <v>Normal Usage</v>
      </c>
    </row>
    <row r="5325" spans="1:9" x14ac:dyDescent="0.3">
      <c r="A5325">
        <v>15324</v>
      </c>
      <c r="B5325">
        <v>118</v>
      </c>
      <c r="C5325" s="2">
        <v>44756</v>
      </c>
      <c r="D5325" s="2" t="str">
        <f>TEXT(Table3[[#This Row],[usage_date]],"mmmm")</f>
        <v>July</v>
      </c>
      <c r="E5325" s="9">
        <f>YEAR(Table3[[#This Row],[usage_date]])</f>
        <v>2022</v>
      </c>
      <c r="F5325" s="14">
        <v>3.3</v>
      </c>
      <c r="G5325">
        <v>114</v>
      </c>
      <c r="H5325" t="s">
        <v>13</v>
      </c>
      <c r="I5325" t="str">
        <f t="shared" si="83"/>
        <v>Normal Usage</v>
      </c>
    </row>
    <row r="5326" spans="1:9" x14ac:dyDescent="0.3">
      <c r="A5326">
        <v>15325</v>
      </c>
      <c r="B5326">
        <v>350</v>
      </c>
      <c r="C5326" s="2">
        <v>45422</v>
      </c>
      <c r="D5326" s="2" t="str">
        <f>TEXT(Table3[[#This Row],[usage_date]],"mmmm")</f>
        <v>May</v>
      </c>
      <c r="E5326" s="9">
        <f>YEAR(Table3[[#This Row],[usage_date]])</f>
        <v>2024</v>
      </c>
      <c r="F5326" s="14">
        <v>1.41</v>
      </c>
      <c r="G5326">
        <v>74</v>
      </c>
      <c r="H5326" t="s">
        <v>12</v>
      </c>
      <c r="I5326" t="str">
        <f t="shared" si="83"/>
        <v>Normal Usage</v>
      </c>
    </row>
    <row r="5327" spans="1:9" x14ac:dyDescent="0.3">
      <c r="A5327">
        <v>15326</v>
      </c>
      <c r="B5327">
        <v>155</v>
      </c>
      <c r="C5327" s="2">
        <v>45103</v>
      </c>
      <c r="D5327" s="2" t="str">
        <f>TEXT(Table3[[#This Row],[usage_date]],"mmmm")</f>
        <v>June</v>
      </c>
      <c r="E5327" s="9">
        <f>YEAR(Table3[[#This Row],[usage_date]])</f>
        <v>2023</v>
      </c>
      <c r="F5327" s="14">
        <v>1.48</v>
      </c>
      <c r="G5327">
        <v>97</v>
      </c>
      <c r="H5327" t="s">
        <v>12</v>
      </c>
      <c r="I5327" t="str">
        <f t="shared" si="83"/>
        <v>Normal Usage</v>
      </c>
    </row>
    <row r="5328" spans="1:9" x14ac:dyDescent="0.3">
      <c r="A5328">
        <v>15327</v>
      </c>
      <c r="B5328">
        <v>423</v>
      </c>
      <c r="C5328" s="2">
        <v>44920</v>
      </c>
      <c r="D5328" s="2" t="str">
        <f>TEXT(Table3[[#This Row],[usage_date]],"mmmm")</f>
        <v>December</v>
      </c>
      <c r="E5328" s="9">
        <f>YEAR(Table3[[#This Row],[usage_date]])</f>
        <v>2022</v>
      </c>
      <c r="F5328" s="14">
        <v>0.92</v>
      </c>
      <c r="G5328">
        <v>110</v>
      </c>
      <c r="H5328" t="s">
        <v>12</v>
      </c>
      <c r="I5328" t="str">
        <f t="shared" si="83"/>
        <v>Normal Usage</v>
      </c>
    </row>
    <row r="5329" spans="1:9" x14ac:dyDescent="0.3">
      <c r="A5329">
        <v>15328</v>
      </c>
      <c r="B5329">
        <v>393</v>
      </c>
      <c r="C5329" s="2">
        <v>45411</v>
      </c>
      <c r="D5329" s="2" t="str">
        <f>TEXT(Table3[[#This Row],[usage_date]],"mmmm")</f>
        <v>April</v>
      </c>
      <c r="E5329" s="9">
        <f>YEAR(Table3[[#This Row],[usage_date]])</f>
        <v>2024</v>
      </c>
      <c r="F5329" s="14">
        <v>2.34</v>
      </c>
      <c r="G5329">
        <v>284</v>
      </c>
      <c r="H5329" t="s">
        <v>12</v>
      </c>
      <c r="I5329" t="str">
        <f t="shared" si="83"/>
        <v>Normal Usage</v>
      </c>
    </row>
    <row r="5330" spans="1:9" x14ac:dyDescent="0.3">
      <c r="A5330">
        <v>15329</v>
      </c>
      <c r="B5330">
        <v>246</v>
      </c>
      <c r="C5330" s="2">
        <v>44892</v>
      </c>
      <c r="D5330" s="2" t="str">
        <f>TEXT(Table3[[#This Row],[usage_date]],"mmmm")</f>
        <v>November</v>
      </c>
      <c r="E5330" s="9">
        <f>YEAR(Table3[[#This Row],[usage_date]])</f>
        <v>2022</v>
      </c>
      <c r="F5330" s="14">
        <v>0.51</v>
      </c>
      <c r="G5330">
        <v>255</v>
      </c>
      <c r="H5330" t="s">
        <v>13</v>
      </c>
      <c r="I5330" t="str">
        <f t="shared" si="83"/>
        <v>Normal Usage</v>
      </c>
    </row>
    <row r="5331" spans="1:9" x14ac:dyDescent="0.3">
      <c r="A5331">
        <v>15330</v>
      </c>
      <c r="B5331">
        <v>405</v>
      </c>
      <c r="C5331" s="2">
        <v>44988</v>
      </c>
      <c r="D5331" s="2" t="str">
        <f>TEXT(Table3[[#This Row],[usage_date]],"mmmm")</f>
        <v>March</v>
      </c>
      <c r="E5331" s="9">
        <f>YEAR(Table3[[#This Row],[usage_date]])</f>
        <v>2023</v>
      </c>
      <c r="F5331" s="14">
        <v>2.46</v>
      </c>
      <c r="G5331">
        <v>116</v>
      </c>
      <c r="H5331" t="s">
        <v>12</v>
      </c>
      <c r="I5331" t="str">
        <f t="shared" si="83"/>
        <v>Normal Usage</v>
      </c>
    </row>
    <row r="5332" spans="1:9" x14ac:dyDescent="0.3">
      <c r="A5332">
        <v>15331</v>
      </c>
      <c r="B5332">
        <v>332</v>
      </c>
      <c r="C5332" s="2">
        <v>45058</v>
      </c>
      <c r="D5332" s="2" t="str">
        <f>TEXT(Table3[[#This Row],[usage_date]],"mmmm")</f>
        <v>May</v>
      </c>
      <c r="E5332" s="9">
        <f>YEAR(Table3[[#This Row],[usage_date]])</f>
        <v>2023</v>
      </c>
      <c r="F5332" s="14">
        <v>0.48</v>
      </c>
      <c r="G5332">
        <v>175</v>
      </c>
      <c r="H5332" t="s">
        <v>13</v>
      </c>
      <c r="I5332" t="str">
        <f t="shared" si="83"/>
        <v>Normal Usage</v>
      </c>
    </row>
    <row r="5333" spans="1:9" x14ac:dyDescent="0.3">
      <c r="A5333">
        <v>15332</v>
      </c>
      <c r="B5333">
        <v>247</v>
      </c>
      <c r="C5333" s="2">
        <v>45389</v>
      </c>
      <c r="D5333" s="2" t="str">
        <f>TEXT(Table3[[#This Row],[usage_date]],"mmmm")</f>
        <v>April</v>
      </c>
      <c r="E5333" s="9">
        <f>YEAR(Table3[[#This Row],[usage_date]])</f>
        <v>2024</v>
      </c>
      <c r="F5333" s="14">
        <v>0.16</v>
      </c>
      <c r="G5333">
        <v>227</v>
      </c>
      <c r="H5333" t="s">
        <v>12</v>
      </c>
      <c r="I5333" t="str">
        <f t="shared" si="83"/>
        <v>Normal Usage</v>
      </c>
    </row>
    <row r="5334" spans="1:9" x14ac:dyDescent="0.3">
      <c r="A5334">
        <v>15333</v>
      </c>
      <c r="B5334">
        <v>29</v>
      </c>
      <c r="C5334" s="2">
        <v>45047</v>
      </c>
      <c r="D5334" s="2" t="str">
        <f>TEXT(Table3[[#This Row],[usage_date]],"mmmm")</f>
        <v>May</v>
      </c>
      <c r="E5334" s="9">
        <f>YEAR(Table3[[#This Row],[usage_date]])</f>
        <v>2023</v>
      </c>
      <c r="F5334" s="14">
        <v>1</v>
      </c>
      <c r="G5334">
        <v>105</v>
      </c>
      <c r="H5334" t="s">
        <v>12</v>
      </c>
      <c r="I5334" t="str">
        <f t="shared" si="83"/>
        <v>Normal Usage</v>
      </c>
    </row>
    <row r="5335" spans="1:9" x14ac:dyDescent="0.3">
      <c r="A5335">
        <v>15334</v>
      </c>
      <c r="B5335">
        <v>161</v>
      </c>
      <c r="C5335" s="2">
        <v>45369</v>
      </c>
      <c r="D5335" s="2" t="str">
        <f>TEXT(Table3[[#This Row],[usage_date]],"mmmm")</f>
        <v>March</v>
      </c>
      <c r="E5335" s="9">
        <f>YEAR(Table3[[#This Row],[usage_date]])</f>
        <v>2024</v>
      </c>
      <c r="F5335" s="14">
        <v>0.66</v>
      </c>
      <c r="G5335">
        <v>238</v>
      </c>
      <c r="H5335" t="s">
        <v>12</v>
      </c>
      <c r="I5335" t="str">
        <f t="shared" si="83"/>
        <v>Normal Usage</v>
      </c>
    </row>
    <row r="5336" spans="1:9" x14ac:dyDescent="0.3">
      <c r="A5336">
        <v>15335</v>
      </c>
      <c r="B5336">
        <v>235</v>
      </c>
      <c r="C5336" s="2">
        <v>45010</v>
      </c>
      <c r="D5336" s="2" t="str">
        <f>TEXT(Table3[[#This Row],[usage_date]],"mmmm")</f>
        <v>March</v>
      </c>
      <c r="E5336" s="9">
        <f>YEAR(Table3[[#This Row],[usage_date]])</f>
        <v>2023</v>
      </c>
      <c r="F5336" s="14">
        <v>5.5</v>
      </c>
      <c r="G5336">
        <v>99</v>
      </c>
      <c r="H5336" t="s">
        <v>12</v>
      </c>
      <c r="I5336" t="str">
        <f t="shared" si="83"/>
        <v>Normal Usage</v>
      </c>
    </row>
    <row r="5337" spans="1:9" x14ac:dyDescent="0.3">
      <c r="A5337">
        <v>15336</v>
      </c>
      <c r="B5337">
        <v>190</v>
      </c>
      <c r="C5337" s="2">
        <v>44974</v>
      </c>
      <c r="D5337" s="2" t="str">
        <f>TEXT(Table3[[#This Row],[usage_date]],"mmmm")</f>
        <v>February</v>
      </c>
      <c r="E5337" s="9">
        <f>YEAR(Table3[[#This Row],[usage_date]])</f>
        <v>2023</v>
      </c>
      <c r="F5337" s="14">
        <v>0.14000000000000001</v>
      </c>
      <c r="G5337">
        <v>175</v>
      </c>
      <c r="H5337" t="s">
        <v>12</v>
      </c>
      <c r="I5337" t="str">
        <f t="shared" si="83"/>
        <v>Normal Usage</v>
      </c>
    </row>
    <row r="5338" spans="1:9" x14ac:dyDescent="0.3">
      <c r="A5338">
        <v>15337</v>
      </c>
      <c r="B5338">
        <v>117</v>
      </c>
      <c r="C5338" s="2">
        <v>44891</v>
      </c>
      <c r="D5338" s="2" t="str">
        <f>TEXT(Table3[[#This Row],[usage_date]],"mmmm")</f>
        <v>November</v>
      </c>
      <c r="E5338" s="9">
        <f>YEAR(Table3[[#This Row],[usage_date]])</f>
        <v>2022</v>
      </c>
      <c r="F5338" s="14">
        <v>0.49</v>
      </c>
      <c r="G5338">
        <v>248</v>
      </c>
      <c r="H5338" t="s">
        <v>12</v>
      </c>
      <c r="I5338" t="str">
        <f t="shared" si="83"/>
        <v>Normal Usage</v>
      </c>
    </row>
    <row r="5339" spans="1:9" x14ac:dyDescent="0.3">
      <c r="A5339">
        <v>15338</v>
      </c>
      <c r="B5339">
        <v>271</v>
      </c>
      <c r="C5339" s="2">
        <v>45293</v>
      </c>
      <c r="D5339" s="2" t="str">
        <f>TEXT(Table3[[#This Row],[usage_date]],"mmmm")</f>
        <v>January</v>
      </c>
      <c r="E5339" s="9">
        <f>YEAR(Table3[[#This Row],[usage_date]])</f>
        <v>2024</v>
      </c>
      <c r="F5339" s="14">
        <v>1.99</v>
      </c>
      <c r="G5339">
        <v>75</v>
      </c>
      <c r="H5339" t="s">
        <v>12</v>
      </c>
      <c r="I5339" t="str">
        <f t="shared" si="83"/>
        <v>Normal Usage</v>
      </c>
    </row>
    <row r="5340" spans="1:9" x14ac:dyDescent="0.3">
      <c r="A5340">
        <v>15339</v>
      </c>
      <c r="B5340">
        <v>258</v>
      </c>
      <c r="C5340" s="2">
        <v>45450</v>
      </c>
      <c r="D5340" s="2" t="str">
        <f>TEXT(Table3[[#This Row],[usage_date]],"mmmm")</f>
        <v>June</v>
      </c>
      <c r="E5340" s="9">
        <f>YEAR(Table3[[#This Row],[usage_date]])</f>
        <v>2024</v>
      </c>
      <c r="F5340" s="14">
        <v>1.64</v>
      </c>
      <c r="G5340">
        <v>2</v>
      </c>
      <c r="H5340" t="s">
        <v>13</v>
      </c>
      <c r="I5340" t="str">
        <f t="shared" si="83"/>
        <v>Normal Usage</v>
      </c>
    </row>
    <row r="5341" spans="1:9" x14ac:dyDescent="0.3">
      <c r="A5341">
        <v>15340</v>
      </c>
      <c r="B5341">
        <v>180</v>
      </c>
      <c r="C5341" s="2">
        <v>44708</v>
      </c>
      <c r="D5341" s="2" t="str">
        <f>TEXT(Table3[[#This Row],[usage_date]],"mmmm")</f>
        <v>May</v>
      </c>
      <c r="E5341" s="9">
        <f>YEAR(Table3[[#This Row],[usage_date]])</f>
        <v>2022</v>
      </c>
      <c r="F5341" s="14">
        <v>0.12</v>
      </c>
      <c r="G5341">
        <v>80</v>
      </c>
      <c r="H5341" t="s">
        <v>12</v>
      </c>
      <c r="I5341" t="str">
        <f t="shared" si="83"/>
        <v>Normal Usage</v>
      </c>
    </row>
    <row r="5342" spans="1:9" x14ac:dyDescent="0.3">
      <c r="A5342">
        <v>15341</v>
      </c>
      <c r="B5342">
        <v>487</v>
      </c>
      <c r="C5342" s="2">
        <v>44820</v>
      </c>
      <c r="D5342" s="2" t="str">
        <f>TEXT(Table3[[#This Row],[usage_date]],"mmmm")</f>
        <v>September</v>
      </c>
      <c r="E5342" s="9">
        <f>YEAR(Table3[[#This Row],[usage_date]])</f>
        <v>2022</v>
      </c>
      <c r="F5342" s="14">
        <v>0.02</v>
      </c>
      <c r="G5342">
        <v>287</v>
      </c>
      <c r="H5342" t="s">
        <v>13</v>
      </c>
      <c r="I5342" t="str">
        <f t="shared" si="83"/>
        <v>Normal Usage</v>
      </c>
    </row>
    <row r="5343" spans="1:9" x14ac:dyDescent="0.3">
      <c r="A5343">
        <v>15342</v>
      </c>
      <c r="B5343">
        <v>373</v>
      </c>
      <c r="C5343" s="2">
        <v>44853</v>
      </c>
      <c r="D5343" s="2" t="str">
        <f>TEXT(Table3[[#This Row],[usage_date]],"mmmm")</f>
        <v>October</v>
      </c>
      <c r="E5343" s="9">
        <f>YEAR(Table3[[#This Row],[usage_date]])</f>
        <v>2022</v>
      </c>
      <c r="F5343" s="14">
        <v>11.07</v>
      </c>
      <c r="G5343">
        <v>7</v>
      </c>
      <c r="H5343" t="s">
        <v>12</v>
      </c>
      <c r="I5343" t="str">
        <f t="shared" si="83"/>
        <v>High Usage</v>
      </c>
    </row>
    <row r="5344" spans="1:9" x14ac:dyDescent="0.3">
      <c r="A5344">
        <v>15343</v>
      </c>
      <c r="B5344">
        <v>172</v>
      </c>
      <c r="C5344" s="2">
        <v>45372</v>
      </c>
      <c r="D5344" s="2" t="str">
        <f>TEXT(Table3[[#This Row],[usage_date]],"mmmm")</f>
        <v>March</v>
      </c>
      <c r="E5344" s="9">
        <f>YEAR(Table3[[#This Row],[usage_date]])</f>
        <v>2024</v>
      </c>
      <c r="F5344" s="14">
        <v>2.69</v>
      </c>
      <c r="G5344">
        <v>86</v>
      </c>
      <c r="H5344" t="s">
        <v>12</v>
      </c>
      <c r="I5344" t="str">
        <f t="shared" si="83"/>
        <v>Normal Usage</v>
      </c>
    </row>
    <row r="5345" spans="1:9" x14ac:dyDescent="0.3">
      <c r="A5345">
        <v>15344</v>
      </c>
      <c r="B5345">
        <v>438</v>
      </c>
      <c r="C5345" s="2">
        <v>44704</v>
      </c>
      <c r="D5345" s="2" t="str">
        <f>TEXT(Table3[[#This Row],[usage_date]],"mmmm")</f>
        <v>May</v>
      </c>
      <c r="E5345" s="9">
        <f>YEAR(Table3[[#This Row],[usage_date]])</f>
        <v>2022</v>
      </c>
      <c r="F5345" s="14">
        <v>1.1399999999999999</v>
      </c>
      <c r="G5345">
        <v>285</v>
      </c>
      <c r="H5345" t="s">
        <v>12</v>
      </c>
      <c r="I5345" t="str">
        <f t="shared" si="83"/>
        <v>Normal Usage</v>
      </c>
    </row>
    <row r="5346" spans="1:9" x14ac:dyDescent="0.3">
      <c r="A5346">
        <v>15345</v>
      </c>
      <c r="B5346">
        <v>274</v>
      </c>
      <c r="C5346" s="2">
        <v>45308</v>
      </c>
      <c r="D5346" s="2" t="str">
        <f>TEXT(Table3[[#This Row],[usage_date]],"mmmm")</f>
        <v>January</v>
      </c>
      <c r="E5346" s="9">
        <f>YEAR(Table3[[#This Row],[usage_date]])</f>
        <v>2024</v>
      </c>
      <c r="F5346" s="14">
        <v>1.59</v>
      </c>
      <c r="G5346">
        <v>73</v>
      </c>
      <c r="H5346" t="s">
        <v>13</v>
      </c>
      <c r="I5346" t="str">
        <f t="shared" si="83"/>
        <v>Normal Usage</v>
      </c>
    </row>
    <row r="5347" spans="1:9" x14ac:dyDescent="0.3">
      <c r="A5347">
        <v>15346</v>
      </c>
      <c r="B5347">
        <v>259</v>
      </c>
      <c r="C5347" s="2">
        <v>45188</v>
      </c>
      <c r="D5347" s="2" t="str">
        <f>TEXT(Table3[[#This Row],[usage_date]],"mmmm")</f>
        <v>September</v>
      </c>
      <c r="E5347" s="9">
        <f>YEAR(Table3[[#This Row],[usage_date]])</f>
        <v>2023</v>
      </c>
      <c r="F5347" s="14">
        <v>0.77</v>
      </c>
      <c r="G5347">
        <v>122</v>
      </c>
      <c r="H5347" t="s">
        <v>12</v>
      </c>
      <c r="I5347" t="str">
        <f t="shared" si="83"/>
        <v>Normal Usage</v>
      </c>
    </row>
    <row r="5348" spans="1:9" x14ac:dyDescent="0.3">
      <c r="A5348">
        <v>15347</v>
      </c>
      <c r="B5348">
        <v>135</v>
      </c>
      <c r="C5348" s="2">
        <v>44926</v>
      </c>
      <c r="D5348" s="2" t="str">
        <f>TEXT(Table3[[#This Row],[usage_date]],"mmmm")</f>
        <v>December</v>
      </c>
      <c r="E5348" s="9">
        <f>YEAR(Table3[[#This Row],[usage_date]])</f>
        <v>2022</v>
      </c>
      <c r="F5348" s="14">
        <v>1.06</v>
      </c>
      <c r="G5348">
        <v>293</v>
      </c>
      <c r="H5348" t="s">
        <v>12</v>
      </c>
      <c r="I5348" t="str">
        <f t="shared" si="83"/>
        <v>Normal Usage</v>
      </c>
    </row>
    <row r="5349" spans="1:9" x14ac:dyDescent="0.3">
      <c r="A5349">
        <v>15348</v>
      </c>
      <c r="B5349">
        <v>171</v>
      </c>
      <c r="C5349" s="2">
        <v>44651</v>
      </c>
      <c r="D5349" s="2" t="str">
        <f>TEXT(Table3[[#This Row],[usage_date]],"mmmm")</f>
        <v>March</v>
      </c>
      <c r="E5349" s="9">
        <f>YEAR(Table3[[#This Row],[usage_date]])</f>
        <v>2022</v>
      </c>
      <c r="F5349" s="14">
        <v>2.62</v>
      </c>
      <c r="G5349">
        <v>142</v>
      </c>
      <c r="H5349" t="s">
        <v>13</v>
      </c>
      <c r="I5349" t="str">
        <f t="shared" si="83"/>
        <v>Normal Usage</v>
      </c>
    </row>
    <row r="5350" spans="1:9" x14ac:dyDescent="0.3">
      <c r="A5350">
        <v>15349</v>
      </c>
      <c r="B5350">
        <v>210</v>
      </c>
      <c r="C5350" s="2">
        <v>45281</v>
      </c>
      <c r="D5350" s="2" t="str">
        <f>TEXT(Table3[[#This Row],[usage_date]],"mmmm")</f>
        <v>December</v>
      </c>
      <c r="E5350" s="9">
        <f>YEAR(Table3[[#This Row],[usage_date]])</f>
        <v>2023</v>
      </c>
      <c r="F5350" s="14">
        <v>5.36</v>
      </c>
      <c r="G5350">
        <v>157</v>
      </c>
      <c r="H5350" t="s">
        <v>12</v>
      </c>
      <c r="I5350" t="str">
        <f t="shared" si="83"/>
        <v>Normal Usage</v>
      </c>
    </row>
    <row r="5351" spans="1:9" x14ac:dyDescent="0.3">
      <c r="A5351">
        <v>15350</v>
      </c>
      <c r="B5351">
        <v>236</v>
      </c>
      <c r="C5351" s="2">
        <v>44725</v>
      </c>
      <c r="D5351" s="2" t="str">
        <f>TEXT(Table3[[#This Row],[usage_date]],"mmmm")</f>
        <v>June</v>
      </c>
      <c r="E5351" s="9">
        <f>YEAR(Table3[[#This Row],[usage_date]])</f>
        <v>2022</v>
      </c>
      <c r="F5351" s="14">
        <v>0.51</v>
      </c>
      <c r="G5351">
        <v>108</v>
      </c>
      <c r="H5351" t="s">
        <v>12</v>
      </c>
      <c r="I5351" t="str">
        <f t="shared" si="83"/>
        <v>Normal Usage</v>
      </c>
    </row>
    <row r="5352" spans="1:9" x14ac:dyDescent="0.3">
      <c r="A5352">
        <v>15351</v>
      </c>
      <c r="B5352">
        <v>422</v>
      </c>
      <c r="C5352" s="2">
        <v>45042</v>
      </c>
      <c r="D5352" s="2" t="str">
        <f>TEXT(Table3[[#This Row],[usage_date]],"mmmm")</f>
        <v>April</v>
      </c>
      <c r="E5352" s="9">
        <f>YEAR(Table3[[#This Row],[usage_date]])</f>
        <v>2023</v>
      </c>
      <c r="F5352" s="14">
        <v>4.59</v>
      </c>
      <c r="G5352">
        <v>194</v>
      </c>
      <c r="H5352" t="s">
        <v>13</v>
      </c>
      <c r="I5352" t="str">
        <f t="shared" si="83"/>
        <v>Normal Usage</v>
      </c>
    </row>
    <row r="5353" spans="1:9" x14ac:dyDescent="0.3">
      <c r="A5353">
        <v>15352</v>
      </c>
      <c r="B5353">
        <v>421</v>
      </c>
      <c r="C5353" s="2">
        <v>44645</v>
      </c>
      <c r="D5353" s="2" t="str">
        <f>TEXT(Table3[[#This Row],[usage_date]],"mmmm")</f>
        <v>March</v>
      </c>
      <c r="E5353" s="9">
        <f>YEAR(Table3[[#This Row],[usage_date]])</f>
        <v>2022</v>
      </c>
      <c r="F5353" s="14">
        <v>0.32</v>
      </c>
      <c r="G5353">
        <v>35</v>
      </c>
      <c r="H5353" t="s">
        <v>12</v>
      </c>
      <c r="I5353" t="str">
        <f t="shared" si="83"/>
        <v>Normal Usage</v>
      </c>
    </row>
    <row r="5354" spans="1:9" x14ac:dyDescent="0.3">
      <c r="A5354">
        <v>15353</v>
      </c>
      <c r="B5354">
        <v>186</v>
      </c>
      <c r="C5354" s="2">
        <v>44638</v>
      </c>
      <c r="D5354" s="2" t="str">
        <f>TEXT(Table3[[#This Row],[usage_date]],"mmmm")</f>
        <v>March</v>
      </c>
      <c r="E5354" s="9">
        <f>YEAR(Table3[[#This Row],[usage_date]])</f>
        <v>2022</v>
      </c>
      <c r="F5354" s="14">
        <v>0.61</v>
      </c>
      <c r="G5354">
        <v>89</v>
      </c>
      <c r="H5354" t="s">
        <v>12</v>
      </c>
      <c r="I5354" t="str">
        <f t="shared" si="83"/>
        <v>Normal Usage</v>
      </c>
    </row>
    <row r="5355" spans="1:9" x14ac:dyDescent="0.3">
      <c r="A5355">
        <v>15354</v>
      </c>
      <c r="B5355">
        <v>417</v>
      </c>
      <c r="C5355" s="2">
        <v>45234</v>
      </c>
      <c r="D5355" s="2" t="str">
        <f>TEXT(Table3[[#This Row],[usage_date]],"mmmm")</f>
        <v>November</v>
      </c>
      <c r="E5355" s="9">
        <f>YEAR(Table3[[#This Row],[usage_date]])</f>
        <v>2023</v>
      </c>
      <c r="F5355" s="14">
        <v>0.09</v>
      </c>
      <c r="G5355">
        <v>295</v>
      </c>
      <c r="H5355" t="s">
        <v>12</v>
      </c>
      <c r="I5355" t="str">
        <f t="shared" si="83"/>
        <v>Normal Usage</v>
      </c>
    </row>
    <row r="5356" spans="1:9" x14ac:dyDescent="0.3">
      <c r="A5356">
        <v>15355</v>
      </c>
      <c r="B5356">
        <v>364</v>
      </c>
      <c r="C5356" s="2">
        <v>45078</v>
      </c>
      <c r="D5356" s="2" t="str">
        <f>TEXT(Table3[[#This Row],[usage_date]],"mmmm")</f>
        <v>June</v>
      </c>
      <c r="E5356" s="9">
        <f>YEAR(Table3[[#This Row],[usage_date]])</f>
        <v>2023</v>
      </c>
      <c r="F5356" s="14">
        <v>0.38</v>
      </c>
      <c r="G5356">
        <v>200</v>
      </c>
      <c r="H5356" t="s">
        <v>12</v>
      </c>
      <c r="I5356" t="str">
        <f t="shared" si="83"/>
        <v>Normal Usage</v>
      </c>
    </row>
    <row r="5357" spans="1:9" x14ac:dyDescent="0.3">
      <c r="A5357">
        <v>15356</v>
      </c>
      <c r="B5357">
        <v>443</v>
      </c>
      <c r="C5357" s="2">
        <v>45046</v>
      </c>
      <c r="D5357" s="2" t="str">
        <f>TEXT(Table3[[#This Row],[usage_date]],"mmmm")</f>
        <v>April</v>
      </c>
      <c r="E5357" s="9">
        <f>YEAR(Table3[[#This Row],[usage_date]])</f>
        <v>2023</v>
      </c>
      <c r="F5357" s="14">
        <v>6.23</v>
      </c>
      <c r="G5357">
        <v>45</v>
      </c>
      <c r="H5357" t="s">
        <v>12</v>
      </c>
      <c r="I5357" t="str">
        <f t="shared" si="83"/>
        <v>High Usage</v>
      </c>
    </row>
    <row r="5358" spans="1:9" x14ac:dyDescent="0.3">
      <c r="A5358">
        <v>15357</v>
      </c>
      <c r="B5358">
        <v>95</v>
      </c>
      <c r="C5358" s="2">
        <v>45151</v>
      </c>
      <c r="D5358" s="2" t="str">
        <f>TEXT(Table3[[#This Row],[usage_date]],"mmmm")</f>
        <v>August</v>
      </c>
      <c r="E5358" s="9">
        <f>YEAR(Table3[[#This Row],[usage_date]])</f>
        <v>2023</v>
      </c>
      <c r="F5358" s="14">
        <v>1.54</v>
      </c>
      <c r="G5358">
        <v>106</v>
      </c>
      <c r="H5358" t="s">
        <v>12</v>
      </c>
      <c r="I5358" t="str">
        <f t="shared" si="83"/>
        <v>Normal Usage</v>
      </c>
    </row>
    <row r="5359" spans="1:9" x14ac:dyDescent="0.3">
      <c r="A5359">
        <v>15358</v>
      </c>
      <c r="B5359">
        <v>378</v>
      </c>
      <c r="C5359" s="2">
        <v>45164</v>
      </c>
      <c r="D5359" s="2" t="str">
        <f>TEXT(Table3[[#This Row],[usage_date]],"mmmm")</f>
        <v>August</v>
      </c>
      <c r="E5359" s="9">
        <f>YEAR(Table3[[#This Row],[usage_date]])</f>
        <v>2023</v>
      </c>
      <c r="F5359" s="14">
        <v>0.2</v>
      </c>
      <c r="G5359">
        <v>169</v>
      </c>
      <c r="H5359" t="s">
        <v>13</v>
      </c>
      <c r="I5359" t="str">
        <f t="shared" si="83"/>
        <v>Normal Usage</v>
      </c>
    </row>
    <row r="5360" spans="1:9" x14ac:dyDescent="0.3">
      <c r="A5360">
        <v>15359</v>
      </c>
      <c r="B5360">
        <v>11</v>
      </c>
      <c r="C5360" s="2">
        <v>45160</v>
      </c>
      <c r="D5360" s="2" t="str">
        <f>TEXT(Table3[[#This Row],[usage_date]],"mmmm")</f>
        <v>August</v>
      </c>
      <c r="E5360" s="9">
        <f>YEAR(Table3[[#This Row],[usage_date]])</f>
        <v>2023</v>
      </c>
      <c r="F5360" s="14">
        <v>8.0299999999999994</v>
      </c>
      <c r="G5360">
        <v>145</v>
      </c>
      <c r="H5360" t="s">
        <v>12</v>
      </c>
      <c r="I5360" t="str">
        <f t="shared" si="83"/>
        <v>High Usage</v>
      </c>
    </row>
    <row r="5361" spans="1:9" x14ac:dyDescent="0.3">
      <c r="A5361">
        <v>15360</v>
      </c>
      <c r="B5361">
        <v>68</v>
      </c>
      <c r="C5361" s="2">
        <v>45343</v>
      </c>
      <c r="D5361" s="2" t="str">
        <f>TEXT(Table3[[#This Row],[usage_date]],"mmmm")</f>
        <v>February</v>
      </c>
      <c r="E5361" s="9">
        <f>YEAR(Table3[[#This Row],[usage_date]])</f>
        <v>2024</v>
      </c>
      <c r="F5361" s="14">
        <v>5.28</v>
      </c>
      <c r="G5361">
        <v>177</v>
      </c>
      <c r="H5361" t="s">
        <v>12</v>
      </c>
      <c r="I5361" t="str">
        <f t="shared" si="83"/>
        <v>Normal Usage</v>
      </c>
    </row>
    <row r="5362" spans="1:9" x14ac:dyDescent="0.3">
      <c r="A5362">
        <v>15361</v>
      </c>
      <c r="B5362">
        <v>379</v>
      </c>
      <c r="C5362" s="2">
        <v>44665</v>
      </c>
      <c r="D5362" s="2" t="str">
        <f>TEXT(Table3[[#This Row],[usage_date]],"mmmm")</f>
        <v>April</v>
      </c>
      <c r="E5362" s="9">
        <f>YEAR(Table3[[#This Row],[usage_date]])</f>
        <v>2022</v>
      </c>
      <c r="F5362" s="14">
        <v>3.51</v>
      </c>
      <c r="G5362">
        <v>60</v>
      </c>
      <c r="H5362" t="s">
        <v>13</v>
      </c>
      <c r="I5362" t="str">
        <f t="shared" si="83"/>
        <v>Normal Usage</v>
      </c>
    </row>
    <row r="5363" spans="1:9" x14ac:dyDescent="0.3">
      <c r="A5363">
        <v>15362</v>
      </c>
      <c r="B5363">
        <v>210</v>
      </c>
      <c r="C5363" s="2">
        <v>45013</v>
      </c>
      <c r="D5363" s="2" t="str">
        <f>TEXT(Table3[[#This Row],[usage_date]],"mmmm")</f>
        <v>March</v>
      </c>
      <c r="E5363" s="9">
        <f>YEAR(Table3[[#This Row],[usage_date]])</f>
        <v>2023</v>
      </c>
      <c r="F5363" s="14">
        <v>6.78</v>
      </c>
      <c r="G5363">
        <v>2</v>
      </c>
      <c r="H5363" t="s">
        <v>12</v>
      </c>
      <c r="I5363" t="str">
        <f t="shared" si="83"/>
        <v>High Usage</v>
      </c>
    </row>
    <row r="5364" spans="1:9" x14ac:dyDescent="0.3">
      <c r="A5364">
        <v>15363</v>
      </c>
      <c r="B5364">
        <v>196</v>
      </c>
      <c r="C5364" s="2">
        <v>45048</v>
      </c>
      <c r="D5364" s="2" t="str">
        <f>TEXT(Table3[[#This Row],[usage_date]],"mmmm")</f>
        <v>May</v>
      </c>
      <c r="E5364" s="9">
        <f>YEAR(Table3[[#This Row],[usage_date]])</f>
        <v>2023</v>
      </c>
      <c r="F5364" s="14">
        <v>0.62</v>
      </c>
      <c r="G5364">
        <v>81</v>
      </c>
      <c r="H5364" t="s">
        <v>13</v>
      </c>
      <c r="I5364" t="str">
        <f t="shared" si="83"/>
        <v>Normal Usage</v>
      </c>
    </row>
    <row r="5365" spans="1:9" x14ac:dyDescent="0.3">
      <c r="A5365">
        <v>15364</v>
      </c>
      <c r="B5365">
        <v>369</v>
      </c>
      <c r="C5365" s="2">
        <v>44900</v>
      </c>
      <c r="D5365" s="2" t="str">
        <f>TEXT(Table3[[#This Row],[usage_date]],"mmmm")</f>
        <v>December</v>
      </c>
      <c r="E5365" s="9">
        <f>YEAR(Table3[[#This Row],[usage_date]])</f>
        <v>2022</v>
      </c>
      <c r="F5365" s="14">
        <v>4.53</v>
      </c>
      <c r="G5365">
        <v>262</v>
      </c>
      <c r="H5365" t="s">
        <v>13</v>
      </c>
      <c r="I5365" t="str">
        <f t="shared" si="83"/>
        <v>Normal Usage</v>
      </c>
    </row>
    <row r="5366" spans="1:9" x14ac:dyDescent="0.3">
      <c r="A5366">
        <v>15365</v>
      </c>
      <c r="B5366">
        <v>98</v>
      </c>
      <c r="C5366" s="2">
        <v>45248</v>
      </c>
      <c r="D5366" s="2" t="str">
        <f>TEXT(Table3[[#This Row],[usage_date]],"mmmm")</f>
        <v>November</v>
      </c>
      <c r="E5366" s="9">
        <f>YEAR(Table3[[#This Row],[usage_date]])</f>
        <v>2023</v>
      </c>
      <c r="F5366" s="14">
        <v>2.93</v>
      </c>
      <c r="G5366">
        <v>286</v>
      </c>
      <c r="H5366" t="s">
        <v>12</v>
      </c>
      <c r="I5366" t="str">
        <f t="shared" si="83"/>
        <v>Normal Usage</v>
      </c>
    </row>
    <row r="5367" spans="1:9" x14ac:dyDescent="0.3">
      <c r="A5367">
        <v>15366</v>
      </c>
      <c r="B5367">
        <v>93</v>
      </c>
      <c r="C5367" s="2">
        <v>45127</v>
      </c>
      <c r="D5367" s="2" t="str">
        <f>TEXT(Table3[[#This Row],[usage_date]],"mmmm")</f>
        <v>July</v>
      </c>
      <c r="E5367" s="9">
        <f>YEAR(Table3[[#This Row],[usage_date]])</f>
        <v>2023</v>
      </c>
      <c r="F5367" s="14">
        <v>5.0999999999999996</v>
      </c>
      <c r="G5367">
        <v>94</v>
      </c>
      <c r="H5367" t="s">
        <v>12</v>
      </c>
      <c r="I5367" t="str">
        <f t="shared" si="83"/>
        <v>Normal Usage</v>
      </c>
    </row>
    <row r="5368" spans="1:9" x14ac:dyDescent="0.3">
      <c r="A5368">
        <v>15367</v>
      </c>
      <c r="B5368">
        <v>472</v>
      </c>
      <c r="C5368" s="2">
        <v>45461</v>
      </c>
      <c r="D5368" s="2" t="str">
        <f>TEXT(Table3[[#This Row],[usage_date]],"mmmm")</f>
        <v>June</v>
      </c>
      <c r="E5368" s="9">
        <f>YEAR(Table3[[#This Row],[usage_date]])</f>
        <v>2024</v>
      </c>
      <c r="F5368" s="14">
        <v>3.99</v>
      </c>
      <c r="G5368">
        <v>63</v>
      </c>
      <c r="H5368" t="s">
        <v>13</v>
      </c>
      <c r="I5368" t="str">
        <f t="shared" si="83"/>
        <v>Normal Usage</v>
      </c>
    </row>
    <row r="5369" spans="1:9" x14ac:dyDescent="0.3">
      <c r="A5369">
        <v>15368</v>
      </c>
      <c r="B5369">
        <v>22</v>
      </c>
      <c r="C5369" s="2">
        <v>45039</v>
      </c>
      <c r="D5369" s="2" t="str">
        <f>TEXT(Table3[[#This Row],[usage_date]],"mmmm")</f>
        <v>April</v>
      </c>
      <c r="E5369" s="9">
        <f>YEAR(Table3[[#This Row],[usage_date]])</f>
        <v>2023</v>
      </c>
      <c r="F5369" s="14">
        <v>1.06</v>
      </c>
      <c r="G5369">
        <v>245</v>
      </c>
      <c r="H5369" t="s">
        <v>13</v>
      </c>
      <c r="I5369" t="str">
        <f t="shared" si="83"/>
        <v>Normal Usage</v>
      </c>
    </row>
    <row r="5370" spans="1:9" x14ac:dyDescent="0.3">
      <c r="A5370">
        <v>15369</v>
      </c>
      <c r="B5370">
        <v>450</v>
      </c>
      <c r="C5370" s="2">
        <v>45284</v>
      </c>
      <c r="D5370" s="2" t="str">
        <f>TEXT(Table3[[#This Row],[usage_date]],"mmmm")</f>
        <v>December</v>
      </c>
      <c r="E5370" s="9">
        <f>YEAR(Table3[[#This Row],[usage_date]])</f>
        <v>2023</v>
      </c>
      <c r="F5370" s="14">
        <v>3.72</v>
      </c>
      <c r="G5370">
        <v>76</v>
      </c>
      <c r="H5370" t="s">
        <v>12</v>
      </c>
      <c r="I5370" t="str">
        <f t="shared" si="83"/>
        <v>Normal Usage</v>
      </c>
    </row>
    <row r="5371" spans="1:9" x14ac:dyDescent="0.3">
      <c r="A5371">
        <v>15370</v>
      </c>
      <c r="B5371">
        <v>172</v>
      </c>
      <c r="C5371" s="2">
        <v>45168</v>
      </c>
      <c r="D5371" s="2" t="str">
        <f>TEXT(Table3[[#This Row],[usage_date]],"mmmm")</f>
        <v>August</v>
      </c>
      <c r="E5371" s="9">
        <f>YEAR(Table3[[#This Row],[usage_date]])</f>
        <v>2023</v>
      </c>
      <c r="F5371" s="14">
        <v>0.76</v>
      </c>
      <c r="G5371">
        <v>258</v>
      </c>
      <c r="H5371" t="s">
        <v>12</v>
      </c>
      <c r="I5371" t="str">
        <f t="shared" si="83"/>
        <v>Normal Usage</v>
      </c>
    </row>
    <row r="5372" spans="1:9" x14ac:dyDescent="0.3">
      <c r="A5372">
        <v>15371</v>
      </c>
      <c r="B5372">
        <v>383</v>
      </c>
      <c r="C5372" s="2">
        <v>44784</v>
      </c>
      <c r="D5372" s="2" t="str">
        <f>TEXT(Table3[[#This Row],[usage_date]],"mmmm")</f>
        <v>August</v>
      </c>
      <c r="E5372" s="9">
        <f>YEAR(Table3[[#This Row],[usage_date]])</f>
        <v>2022</v>
      </c>
      <c r="F5372" s="14">
        <v>1</v>
      </c>
      <c r="G5372">
        <v>92</v>
      </c>
      <c r="H5372" t="s">
        <v>12</v>
      </c>
      <c r="I5372" t="str">
        <f t="shared" si="83"/>
        <v>Normal Usage</v>
      </c>
    </row>
    <row r="5373" spans="1:9" x14ac:dyDescent="0.3">
      <c r="A5373">
        <v>15372</v>
      </c>
      <c r="B5373">
        <v>134</v>
      </c>
      <c r="C5373" s="2">
        <v>44570</v>
      </c>
      <c r="D5373" s="2" t="str">
        <f>TEXT(Table3[[#This Row],[usage_date]],"mmmm")</f>
        <v>January</v>
      </c>
      <c r="E5373" s="9">
        <f>YEAR(Table3[[#This Row],[usage_date]])</f>
        <v>2022</v>
      </c>
      <c r="F5373" s="14">
        <v>0.28999999999999998</v>
      </c>
      <c r="G5373">
        <v>290</v>
      </c>
      <c r="H5373" t="s">
        <v>12</v>
      </c>
      <c r="I5373" t="str">
        <f t="shared" si="83"/>
        <v>Normal Usage</v>
      </c>
    </row>
    <row r="5374" spans="1:9" x14ac:dyDescent="0.3">
      <c r="A5374">
        <v>15373</v>
      </c>
      <c r="B5374">
        <v>426</v>
      </c>
      <c r="C5374" s="2">
        <v>44614</v>
      </c>
      <c r="D5374" s="2" t="str">
        <f>TEXT(Table3[[#This Row],[usage_date]],"mmmm")</f>
        <v>February</v>
      </c>
      <c r="E5374" s="9">
        <f>YEAR(Table3[[#This Row],[usage_date]])</f>
        <v>2022</v>
      </c>
      <c r="F5374" s="14">
        <v>6.84</v>
      </c>
      <c r="G5374">
        <v>270</v>
      </c>
      <c r="H5374" t="s">
        <v>12</v>
      </c>
      <c r="I5374" t="str">
        <f t="shared" si="83"/>
        <v>High Usage</v>
      </c>
    </row>
    <row r="5375" spans="1:9" x14ac:dyDescent="0.3">
      <c r="A5375">
        <v>15374</v>
      </c>
      <c r="B5375">
        <v>25</v>
      </c>
      <c r="C5375" s="2">
        <v>44638</v>
      </c>
      <c r="D5375" s="2" t="str">
        <f>TEXT(Table3[[#This Row],[usage_date]],"mmmm")</f>
        <v>March</v>
      </c>
      <c r="E5375" s="9">
        <f>YEAR(Table3[[#This Row],[usage_date]])</f>
        <v>2022</v>
      </c>
      <c r="F5375" s="14">
        <v>0.86</v>
      </c>
      <c r="G5375">
        <v>20</v>
      </c>
      <c r="H5375" t="s">
        <v>12</v>
      </c>
      <c r="I5375" t="str">
        <f t="shared" si="83"/>
        <v>Normal Usage</v>
      </c>
    </row>
    <row r="5376" spans="1:9" x14ac:dyDescent="0.3">
      <c r="A5376">
        <v>15375</v>
      </c>
      <c r="B5376">
        <v>185</v>
      </c>
      <c r="C5376" s="2">
        <v>45279</v>
      </c>
      <c r="D5376" s="2" t="str">
        <f>TEXT(Table3[[#This Row],[usage_date]],"mmmm")</f>
        <v>December</v>
      </c>
      <c r="E5376" s="9">
        <f>YEAR(Table3[[#This Row],[usage_date]])</f>
        <v>2023</v>
      </c>
      <c r="F5376" s="14">
        <v>1.84</v>
      </c>
      <c r="G5376">
        <v>61</v>
      </c>
      <c r="H5376" t="s">
        <v>13</v>
      </c>
      <c r="I5376" t="str">
        <f t="shared" si="83"/>
        <v>Normal Usage</v>
      </c>
    </row>
    <row r="5377" spans="1:9" x14ac:dyDescent="0.3">
      <c r="A5377">
        <v>15376</v>
      </c>
      <c r="B5377">
        <v>85</v>
      </c>
      <c r="C5377" s="2">
        <v>45064</v>
      </c>
      <c r="D5377" s="2" t="str">
        <f>TEXT(Table3[[#This Row],[usage_date]],"mmmm")</f>
        <v>May</v>
      </c>
      <c r="E5377" s="9">
        <f>YEAR(Table3[[#This Row],[usage_date]])</f>
        <v>2023</v>
      </c>
      <c r="F5377" s="14">
        <v>1.24</v>
      </c>
      <c r="G5377">
        <v>259</v>
      </c>
      <c r="H5377" t="s">
        <v>12</v>
      </c>
      <c r="I5377" t="str">
        <f t="shared" si="83"/>
        <v>Normal Usage</v>
      </c>
    </row>
    <row r="5378" spans="1:9" x14ac:dyDescent="0.3">
      <c r="A5378">
        <v>15377</v>
      </c>
      <c r="B5378">
        <v>55</v>
      </c>
      <c r="C5378" s="2">
        <v>44877</v>
      </c>
      <c r="D5378" s="2" t="str">
        <f>TEXT(Table3[[#This Row],[usage_date]],"mmmm")</f>
        <v>November</v>
      </c>
      <c r="E5378" s="9">
        <f>YEAR(Table3[[#This Row],[usage_date]])</f>
        <v>2022</v>
      </c>
      <c r="F5378" s="14">
        <v>8.0399999999999991</v>
      </c>
      <c r="G5378">
        <v>236</v>
      </c>
      <c r="H5378" t="s">
        <v>13</v>
      </c>
      <c r="I5378" t="str">
        <f t="shared" ref="I5378:I5441" si="84">IF(F5378&gt;6,"High Usage","Normal Usage")</f>
        <v>High Usage</v>
      </c>
    </row>
    <row r="5379" spans="1:9" x14ac:dyDescent="0.3">
      <c r="A5379">
        <v>15378</v>
      </c>
      <c r="B5379">
        <v>251</v>
      </c>
      <c r="C5379" s="2">
        <v>45375</v>
      </c>
      <c r="D5379" s="2" t="str">
        <f>TEXT(Table3[[#This Row],[usage_date]],"mmmm")</f>
        <v>March</v>
      </c>
      <c r="E5379" s="9">
        <f>YEAR(Table3[[#This Row],[usage_date]])</f>
        <v>2024</v>
      </c>
      <c r="F5379" s="14">
        <v>1.02</v>
      </c>
      <c r="G5379">
        <v>140</v>
      </c>
      <c r="H5379" t="s">
        <v>12</v>
      </c>
      <c r="I5379" t="str">
        <f t="shared" si="84"/>
        <v>Normal Usage</v>
      </c>
    </row>
    <row r="5380" spans="1:9" x14ac:dyDescent="0.3">
      <c r="A5380">
        <v>15379</v>
      </c>
      <c r="B5380">
        <v>144</v>
      </c>
      <c r="C5380" s="2">
        <v>45383</v>
      </c>
      <c r="D5380" s="2" t="str">
        <f>TEXT(Table3[[#This Row],[usage_date]],"mmmm")</f>
        <v>April</v>
      </c>
      <c r="E5380" s="9">
        <f>YEAR(Table3[[#This Row],[usage_date]])</f>
        <v>2024</v>
      </c>
      <c r="F5380" s="14">
        <v>3.77</v>
      </c>
      <c r="G5380">
        <v>166</v>
      </c>
      <c r="H5380" t="s">
        <v>12</v>
      </c>
      <c r="I5380" t="str">
        <f t="shared" si="84"/>
        <v>Normal Usage</v>
      </c>
    </row>
    <row r="5381" spans="1:9" x14ac:dyDescent="0.3">
      <c r="A5381">
        <v>15380</v>
      </c>
      <c r="B5381">
        <v>351</v>
      </c>
      <c r="C5381" s="2">
        <v>45403</v>
      </c>
      <c r="D5381" s="2" t="str">
        <f>TEXT(Table3[[#This Row],[usage_date]],"mmmm")</f>
        <v>April</v>
      </c>
      <c r="E5381" s="9">
        <f>YEAR(Table3[[#This Row],[usage_date]])</f>
        <v>2024</v>
      </c>
      <c r="F5381" s="14">
        <v>4.83</v>
      </c>
      <c r="G5381">
        <v>66</v>
      </c>
      <c r="H5381" t="s">
        <v>12</v>
      </c>
      <c r="I5381" t="str">
        <f t="shared" si="84"/>
        <v>Normal Usage</v>
      </c>
    </row>
    <row r="5382" spans="1:9" x14ac:dyDescent="0.3">
      <c r="A5382">
        <v>15381</v>
      </c>
      <c r="B5382">
        <v>398</v>
      </c>
      <c r="C5382" s="2">
        <v>45185</v>
      </c>
      <c r="D5382" s="2" t="str">
        <f>TEXT(Table3[[#This Row],[usage_date]],"mmmm")</f>
        <v>September</v>
      </c>
      <c r="E5382" s="9">
        <f>YEAR(Table3[[#This Row],[usage_date]])</f>
        <v>2023</v>
      </c>
      <c r="F5382" s="14">
        <v>1.43</v>
      </c>
      <c r="G5382">
        <v>57</v>
      </c>
      <c r="H5382" t="s">
        <v>12</v>
      </c>
      <c r="I5382" t="str">
        <f t="shared" si="84"/>
        <v>Normal Usage</v>
      </c>
    </row>
    <row r="5383" spans="1:9" x14ac:dyDescent="0.3">
      <c r="A5383">
        <v>15382</v>
      </c>
      <c r="B5383">
        <v>167</v>
      </c>
      <c r="C5383" s="2">
        <v>45424</v>
      </c>
      <c r="D5383" s="2" t="str">
        <f>TEXT(Table3[[#This Row],[usage_date]],"mmmm")</f>
        <v>May</v>
      </c>
      <c r="E5383" s="9">
        <f>YEAR(Table3[[#This Row],[usage_date]])</f>
        <v>2024</v>
      </c>
      <c r="F5383" s="14">
        <v>1.19</v>
      </c>
      <c r="G5383">
        <v>211</v>
      </c>
      <c r="H5383" t="s">
        <v>12</v>
      </c>
      <c r="I5383" t="str">
        <f t="shared" si="84"/>
        <v>Normal Usage</v>
      </c>
    </row>
    <row r="5384" spans="1:9" x14ac:dyDescent="0.3">
      <c r="A5384">
        <v>15383</v>
      </c>
      <c r="B5384">
        <v>412</v>
      </c>
      <c r="C5384" s="2">
        <v>44726</v>
      </c>
      <c r="D5384" s="2" t="str">
        <f>TEXT(Table3[[#This Row],[usage_date]],"mmmm")</f>
        <v>June</v>
      </c>
      <c r="E5384" s="9">
        <f>YEAR(Table3[[#This Row],[usage_date]])</f>
        <v>2022</v>
      </c>
      <c r="F5384" s="14">
        <v>3.44</v>
      </c>
      <c r="G5384">
        <v>129</v>
      </c>
      <c r="H5384" t="s">
        <v>13</v>
      </c>
      <c r="I5384" t="str">
        <f t="shared" si="84"/>
        <v>Normal Usage</v>
      </c>
    </row>
    <row r="5385" spans="1:9" x14ac:dyDescent="0.3">
      <c r="A5385">
        <v>15384</v>
      </c>
      <c r="B5385">
        <v>224</v>
      </c>
      <c r="C5385" s="2">
        <v>44840</v>
      </c>
      <c r="D5385" s="2" t="str">
        <f>TEXT(Table3[[#This Row],[usage_date]],"mmmm")</f>
        <v>October</v>
      </c>
      <c r="E5385" s="9">
        <f>YEAR(Table3[[#This Row],[usage_date]])</f>
        <v>2022</v>
      </c>
      <c r="F5385" s="14">
        <v>6.1</v>
      </c>
      <c r="G5385">
        <v>24</v>
      </c>
      <c r="H5385" t="s">
        <v>12</v>
      </c>
      <c r="I5385" t="str">
        <f t="shared" si="84"/>
        <v>High Usage</v>
      </c>
    </row>
    <row r="5386" spans="1:9" x14ac:dyDescent="0.3">
      <c r="A5386">
        <v>15385</v>
      </c>
      <c r="B5386">
        <v>220</v>
      </c>
      <c r="C5386" s="2">
        <v>44588</v>
      </c>
      <c r="D5386" s="2" t="str">
        <f>TEXT(Table3[[#This Row],[usage_date]],"mmmm")</f>
        <v>January</v>
      </c>
      <c r="E5386" s="9">
        <f>YEAR(Table3[[#This Row],[usage_date]])</f>
        <v>2022</v>
      </c>
      <c r="F5386" s="14">
        <v>3.52</v>
      </c>
      <c r="G5386">
        <v>10</v>
      </c>
      <c r="H5386" t="s">
        <v>13</v>
      </c>
      <c r="I5386" t="str">
        <f t="shared" si="84"/>
        <v>Normal Usage</v>
      </c>
    </row>
    <row r="5387" spans="1:9" x14ac:dyDescent="0.3">
      <c r="A5387">
        <v>15386</v>
      </c>
      <c r="B5387">
        <v>179</v>
      </c>
      <c r="C5387" s="2">
        <v>44631</v>
      </c>
      <c r="D5387" s="2" t="str">
        <f>TEXT(Table3[[#This Row],[usage_date]],"mmmm")</f>
        <v>March</v>
      </c>
      <c r="E5387" s="9">
        <f>YEAR(Table3[[#This Row],[usage_date]])</f>
        <v>2022</v>
      </c>
      <c r="F5387" s="14">
        <v>0.64</v>
      </c>
      <c r="G5387">
        <v>256</v>
      </c>
      <c r="H5387" t="s">
        <v>12</v>
      </c>
      <c r="I5387" t="str">
        <f t="shared" si="84"/>
        <v>Normal Usage</v>
      </c>
    </row>
    <row r="5388" spans="1:9" x14ac:dyDescent="0.3">
      <c r="A5388">
        <v>15387</v>
      </c>
      <c r="B5388">
        <v>119</v>
      </c>
      <c r="C5388" s="2">
        <v>44779</v>
      </c>
      <c r="D5388" s="2" t="str">
        <f>TEXT(Table3[[#This Row],[usage_date]],"mmmm")</f>
        <v>August</v>
      </c>
      <c r="E5388" s="9">
        <f>YEAR(Table3[[#This Row],[usage_date]])</f>
        <v>2022</v>
      </c>
      <c r="F5388" s="14">
        <v>5.48</v>
      </c>
      <c r="G5388">
        <v>80</v>
      </c>
      <c r="H5388" t="s">
        <v>12</v>
      </c>
      <c r="I5388" t="str">
        <f t="shared" si="84"/>
        <v>Normal Usage</v>
      </c>
    </row>
    <row r="5389" spans="1:9" x14ac:dyDescent="0.3">
      <c r="A5389">
        <v>15388</v>
      </c>
      <c r="B5389">
        <v>433</v>
      </c>
      <c r="C5389" s="2">
        <v>44926</v>
      </c>
      <c r="D5389" s="2" t="str">
        <f>TEXT(Table3[[#This Row],[usage_date]],"mmmm")</f>
        <v>December</v>
      </c>
      <c r="E5389" s="9">
        <f>YEAR(Table3[[#This Row],[usage_date]])</f>
        <v>2022</v>
      </c>
      <c r="F5389" s="14">
        <v>1.23</v>
      </c>
      <c r="G5389">
        <v>285</v>
      </c>
      <c r="H5389" t="s">
        <v>12</v>
      </c>
      <c r="I5389" t="str">
        <f t="shared" si="84"/>
        <v>Normal Usage</v>
      </c>
    </row>
    <row r="5390" spans="1:9" x14ac:dyDescent="0.3">
      <c r="A5390">
        <v>15389</v>
      </c>
      <c r="B5390">
        <v>265</v>
      </c>
      <c r="C5390" s="2">
        <v>45262</v>
      </c>
      <c r="D5390" s="2" t="str">
        <f>TEXT(Table3[[#This Row],[usage_date]],"mmmm")</f>
        <v>December</v>
      </c>
      <c r="E5390" s="9">
        <f>YEAR(Table3[[#This Row],[usage_date]])</f>
        <v>2023</v>
      </c>
      <c r="F5390" s="14">
        <v>2.15</v>
      </c>
      <c r="G5390">
        <v>18</v>
      </c>
      <c r="H5390" t="s">
        <v>13</v>
      </c>
      <c r="I5390" t="str">
        <f t="shared" si="84"/>
        <v>Normal Usage</v>
      </c>
    </row>
    <row r="5391" spans="1:9" x14ac:dyDescent="0.3">
      <c r="A5391">
        <v>15390</v>
      </c>
      <c r="B5391">
        <v>442</v>
      </c>
      <c r="C5391" s="2">
        <v>45406</v>
      </c>
      <c r="D5391" s="2" t="str">
        <f>TEXT(Table3[[#This Row],[usage_date]],"mmmm")</f>
        <v>April</v>
      </c>
      <c r="E5391" s="9">
        <f>YEAR(Table3[[#This Row],[usage_date]])</f>
        <v>2024</v>
      </c>
      <c r="F5391" s="14">
        <v>4.45</v>
      </c>
      <c r="G5391">
        <v>109</v>
      </c>
      <c r="H5391" t="s">
        <v>12</v>
      </c>
      <c r="I5391" t="str">
        <f t="shared" si="84"/>
        <v>Normal Usage</v>
      </c>
    </row>
    <row r="5392" spans="1:9" x14ac:dyDescent="0.3">
      <c r="A5392">
        <v>15391</v>
      </c>
      <c r="B5392">
        <v>429</v>
      </c>
      <c r="C5392" s="2">
        <v>44867</v>
      </c>
      <c r="D5392" s="2" t="str">
        <f>TEXT(Table3[[#This Row],[usage_date]],"mmmm")</f>
        <v>November</v>
      </c>
      <c r="E5392" s="9">
        <f>YEAR(Table3[[#This Row],[usage_date]])</f>
        <v>2022</v>
      </c>
      <c r="F5392" s="14">
        <v>0.52</v>
      </c>
      <c r="G5392">
        <v>33</v>
      </c>
      <c r="H5392" t="s">
        <v>12</v>
      </c>
      <c r="I5392" t="str">
        <f t="shared" si="84"/>
        <v>Normal Usage</v>
      </c>
    </row>
    <row r="5393" spans="1:9" x14ac:dyDescent="0.3">
      <c r="A5393">
        <v>15392</v>
      </c>
      <c r="B5393">
        <v>150</v>
      </c>
      <c r="C5393" s="2">
        <v>44685</v>
      </c>
      <c r="D5393" s="2" t="str">
        <f>TEXT(Table3[[#This Row],[usage_date]],"mmmm")</f>
        <v>May</v>
      </c>
      <c r="E5393" s="9">
        <f>YEAR(Table3[[#This Row],[usage_date]])</f>
        <v>2022</v>
      </c>
      <c r="F5393" s="14">
        <v>3.84</v>
      </c>
      <c r="G5393">
        <v>287</v>
      </c>
      <c r="H5393" t="s">
        <v>13</v>
      </c>
      <c r="I5393" t="str">
        <f t="shared" si="84"/>
        <v>Normal Usage</v>
      </c>
    </row>
    <row r="5394" spans="1:9" x14ac:dyDescent="0.3">
      <c r="A5394">
        <v>15393</v>
      </c>
      <c r="B5394">
        <v>416</v>
      </c>
      <c r="C5394" s="2">
        <v>44580</v>
      </c>
      <c r="D5394" s="2" t="str">
        <f>TEXT(Table3[[#This Row],[usage_date]],"mmmm")</f>
        <v>January</v>
      </c>
      <c r="E5394" s="9">
        <f>YEAR(Table3[[#This Row],[usage_date]])</f>
        <v>2022</v>
      </c>
      <c r="F5394" s="14">
        <v>2.27</v>
      </c>
      <c r="G5394">
        <v>254</v>
      </c>
      <c r="H5394" t="s">
        <v>13</v>
      </c>
      <c r="I5394" t="str">
        <f t="shared" si="84"/>
        <v>Normal Usage</v>
      </c>
    </row>
    <row r="5395" spans="1:9" x14ac:dyDescent="0.3">
      <c r="A5395">
        <v>15394</v>
      </c>
      <c r="B5395">
        <v>453</v>
      </c>
      <c r="C5395" s="2">
        <v>44818</v>
      </c>
      <c r="D5395" s="2" t="str">
        <f>TEXT(Table3[[#This Row],[usage_date]],"mmmm")</f>
        <v>September</v>
      </c>
      <c r="E5395" s="9">
        <f>YEAR(Table3[[#This Row],[usage_date]])</f>
        <v>2022</v>
      </c>
      <c r="F5395" s="14">
        <v>5.6</v>
      </c>
      <c r="G5395">
        <v>125</v>
      </c>
      <c r="H5395" t="s">
        <v>12</v>
      </c>
      <c r="I5395" t="str">
        <f t="shared" si="84"/>
        <v>Normal Usage</v>
      </c>
    </row>
    <row r="5396" spans="1:9" x14ac:dyDescent="0.3">
      <c r="A5396">
        <v>15395</v>
      </c>
      <c r="B5396">
        <v>215</v>
      </c>
      <c r="C5396" s="2">
        <v>44857</v>
      </c>
      <c r="D5396" s="2" t="str">
        <f>TEXT(Table3[[#This Row],[usage_date]],"mmmm")</f>
        <v>October</v>
      </c>
      <c r="E5396" s="9">
        <f>YEAR(Table3[[#This Row],[usage_date]])</f>
        <v>2022</v>
      </c>
      <c r="F5396" s="14">
        <v>0.47</v>
      </c>
      <c r="G5396">
        <v>208</v>
      </c>
      <c r="H5396" t="s">
        <v>13</v>
      </c>
      <c r="I5396" t="str">
        <f t="shared" si="84"/>
        <v>Normal Usage</v>
      </c>
    </row>
    <row r="5397" spans="1:9" x14ac:dyDescent="0.3">
      <c r="A5397">
        <v>15396</v>
      </c>
      <c r="B5397">
        <v>197</v>
      </c>
      <c r="C5397" s="2">
        <v>44583</v>
      </c>
      <c r="D5397" s="2" t="str">
        <f>TEXT(Table3[[#This Row],[usage_date]],"mmmm")</f>
        <v>January</v>
      </c>
      <c r="E5397" s="9">
        <f>YEAR(Table3[[#This Row],[usage_date]])</f>
        <v>2022</v>
      </c>
      <c r="F5397" s="14">
        <v>1.36</v>
      </c>
      <c r="G5397">
        <v>133</v>
      </c>
      <c r="H5397" t="s">
        <v>12</v>
      </c>
      <c r="I5397" t="str">
        <f t="shared" si="84"/>
        <v>Normal Usage</v>
      </c>
    </row>
    <row r="5398" spans="1:9" x14ac:dyDescent="0.3">
      <c r="A5398">
        <v>15397</v>
      </c>
      <c r="B5398">
        <v>42</v>
      </c>
      <c r="C5398" s="2">
        <v>45441</v>
      </c>
      <c r="D5398" s="2" t="str">
        <f>TEXT(Table3[[#This Row],[usage_date]],"mmmm")</f>
        <v>May</v>
      </c>
      <c r="E5398" s="9">
        <f>YEAR(Table3[[#This Row],[usage_date]])</f>
        <v>2024</v>
      </c>
      <c r="F5398" s="14">
        <v>4.47</v>
      </c>
      <c r="G5398">
        <v>85</v>
      </c>
      <c r="H5398" t="s">
        <v>13</v>
      </c>
      <c r="I5398" t="str">
        <f t="shared" si="84"/>
        <v>Normal Usage</v>
      </c>
    </row>
    <row r="5399" spans="1:9" x14ac:dyDescent="0.3">
      <c r="A5399">
        <v>15398</v>
      </c>
      <c r="B5399">
        <v>53</v>
      </c>
      <c r="C5399" s="2">
        <v>45011</v>
      </c>
      <c r="D5399" s="2" t="str">
        <f>TEXT(Table3[[#This Row],[usage_date]],"mmmm")</f>
        <v>March</v>
      </c>
      <c r="E5399" s="9">
        <f>YEAR(Table3[[#This Row],[usage_date]])</f>
        <v>2023</v>
      </c>
      <c r="F5399" s="14">
        <v>0.05</v>
      </c>
      <c r="G5399">
        <v>74</v>
      </c>
      <c r="H5399" t="s">
        <v>12</v>
      </c>
      <c r="I5399" t="str">
        <f t="shared" si="84"/>
        <v>Normal Usage</v>
      </c>
    </row>
    <row r="5400" spans="1:9" x14ac:dyDescent="0.3">
      <c r="A5400">
        <v>15399</v>
      </c>
      <c r="B5400">
        <v>480</v>
      </c>
      <c r="C5400" s="2">
        <v>45113</v>
      </c>
      <c r="D5400" s="2" t="str">
        <f>TEXT(Table3[[#This Row],[usage_date]],"mmmm")</f>
        <v>July</v>
      </c>
      <c r="E5400" s="9">
        <f>YEAR(Table3[[#This Row],[usage_date]])</f>
        <v>2023</v>
      </c>
      <c r="F5400" s="14">
        <v>0.3</v>
      </c>
      <c r="G5400">
        <v>134</v>
      </c>
      <c r="H5400" t="s">
        <v>12</v>
      </c>
      <c r="I5400" t="str">
        <f t="shared" si="84"/>
        <v>Normal Usage</v>
      </c>
    </row>
    <row r="5401" spans="1:9" x14ac:dyDescent="0.3">
      <c r="A5401">
        <v>15400</v>
      </c>
      <c r="B5401">
        <v>443</v>
      </c>
      <c r="C5401" s="2">
        <v>45111</v>
      </c>
      <c r="D5401" s="2" t="str">
        <f>TEXT(Table3[[#This Row],[usage_date]],"mmmm")</f>
        <v>July</v>
      </c>
      <c r="E5401" s="9">
        <f>YEAR(Table3[[#This Row],[usage_date]])</f>
        <v>2023</v>
      </c>
      <c r="F5401" s="14">
        <v>11.66</v>
      </c>
      <c r="G5401">
        <v>172</v>
      </c>
      <c r="H5401" t="s">
        <v>12</v>
      </c>
      <c r="I5401" t="str">
        <f t="shared" si="84"/>
        <v>High Usage</v>
      </c>
    </row>
    <row r="5402" spans="1:9" x14ac:dyDescent="0.3">
      <c r="A5402">
        <v>15401</v>
      </c>
      <c r="B5402">
        <v>330</v>
      </c>
      <c r="C5402" s="2">
        <v>44609</v>
      </c>
      <c r="D5402" s="2" t="str">
        <f>TEXT(Table3[[#This Row],[usage_date]],"mmmm")</f>
        <v>February</v>
      </c>
      <c r="E5402" s="9">
        <f>YEAR(Table3[[#This Row],[usage_date]])</f>
        <v>2022</v>
      </c>
      <c r="F5402" s="14">
        <v>0.82</v>
      </c>
      <c r="G5402">
        <v>212</v>
      </c>
      <c r="H5402" t="s">
        <v>12</v>
      </c>
      <c r="I5402" t="str">
        <f t="shared" si="84"/>
        <v>Normal Usage</v>
      </c>
    </row>
    <row r="5403" spans="1:9" x14ac:dyDescent="0.3">
      <c r="A5403">
        <v>15402</v>
      </c>
      <c r="B5403">
        <v>251</v>
      </c>
      <c r="C5403" s="2">
        <v>45256</v>
      </c>
      <c r="D5403" s="2" t="str">
        <f>TEXT(Table3[[#This Row],[usage_date]],"mmmm")</f>
        <v>November</v>
      </c>
      <c r="E5403" s="9">
        <f>YEAR(Table3[[#This Row],[usage_date]])</f>
        <v>2023</v>
      </c>
      <c r="F5403" s="14">
        <v>9.2799999999999994</v>
      </c>
      <c r="G5403">
        <v>18</v>
      </c>
      <c r="H5403" t="s">
        <v>12</v>
      </c>
      <c r="I5403" t="str">
        <f t="shared" si="84"/>
        <v>High Usage</v>
      </c>
    </row>
    <row r="5404" spans="1:9" x14ac:dyDescent="0.3">
      <c r="A5404">
        <v>15403</v>
      </c>
      <c r="B5404">
        <v>295</v>
      </c>
      <c r="C5404" s="2">
        <v>45148</v>
      </c>
      <c r="D5404" s="2" t="str">
        <f>TEXT(Table3[[#This Row],[usage_date]],"mmmm")</f>
        <v>August</v>
      </c>
      <c r="E5404" s="9">
        <f>YEAR(Table3[[#This Row],[usage_date]])</f>
        <v>2023</v>
      </c>
      <c r="F5404" s="14">
        <v>0.5</v>
      </c>
      <c r="G5404">
        <v>118</v>
      </c>
      <c r="H5404" t="s">
        <v>13</v>
      </c>
      <c r="I5404" t="str">
        <f t="shared" si="84"/>
        <v>Normal Usage</v>
      </c>
    </row>
    <row r="5405" spans="1:9" x14ac:dyDescent="0.3">
      <c r="A5405">
        <v>15404</v>
      </c>
      <c r="B5405">
        <v>378</v>
      </c>
      <c r="C5405" s="2">
        <v>45282</v>
      </c>
      <c r="D5405" s="2" t="str">
        <f>TEXT(Table3[[#This Row],[usage_date]],"mmmm")</f>
        <v>December</v>
      </c>
      <c r="E5405" s="9">
        <f>YEAR(Table3[[#This Row],[usage_date]])</f>
        <v>2023</v>
      </c>
      <c r="F5405" s="14">
        <v>1.1200000000000001</v>
      </c>
      <c r="G5405">
        <v>284</v>
      </c>
      <c r="H5405" t="s">
        <v>13</v>
      </c>
      <c r="I5405" t="str">
        <f t="shared" si="84"/>
        <v>Normal Usage</v>
      </c>
    </row>
    <row r="5406" spans="1:9" x14ac:dyDescent="0.3">
      <c r="A5406">
        <v>15405</v>
      </c>
      <c r="B5406">
        <v>271</v>
      </c>
      <c r="C5406" s="2">
        <v>44744</v>
      </c>
      <c r="D5406" s="2" t="str">
        <f>TEXT(Table3[[#This Row],[usage_date]],"mmmm")</f>
        <v>July</v>
      </c>
      <c r="E5406" s="9">
        <f>YEAR(Table3[[#This Row],[usage_date]])</f>
        <v>2022</v>
      </c>
      <c r="F5406" s="14">
        <v>3.49</v>
      </c>
      <c r="G5406">
        <v>226</v>
      </c>
      <c r="H5406" t="s">
        <v>12</v>
      </c>
      <c r="I5406" t="str">
        <f t="shared" si="84"/>
        <v>Normal Usage</v>
      </c>
    </row>
    <row r="5407" spans="1:9" x14ac:dyDescent="0.3">
      <c r="A5407">
        <v>15406</v>
      </c>
      <c r="B5407">
        <v>455</v>
      </c>
      <c r="C5407" s="2">
        <v>44996</v>
      </c>
      <c r="D5407" s="2" t="str">
        <f>TEXT(Table3[[#This Row],[usage_date]],"mmmm")</f>
        <v>March</v>
      </c>
      <c r="E5407" s="9">
        <f>YEAR(Table3[[#This Row],[usage_date]])</f>
        <v>2023</v>
      </c>
      <c r="F5407" s="14">
        <v>2.68</v>
      </c>
      <c r="G5407">
        <v>211</v>
      </c>
      <c r="H5407" t="s">
        <v>12</v>
      </c>
      <c r="I5407" t="str">
        <f t="shared" si="84"/>
        <v>Normal Usage</v>
      </c>
    </row>
    <row r="5408" spans="1:9" x14ac:dyDescent="0.3">
      <c r="A5408">
        <v>15407</v>
      </c>
      <c r="B5408">
        <v>413</v>
      </c>
      <c r="C5408" s="2">
        <v>44668</v>
      </c>
      <c r="D5408" s="2" t="str">
        <f>TEXT(Table3[[#This Row],[usage_date]],"mmmm")</f>
        <v>April</v>
      </c>
      <c r="E5408" s="9">
        <f>YEAR(Table3[[#This Row],[usage_date]])</f>
        <v>2022</v>
      </c>
      <c r="F5408" s="14">
        <v>2.1800000000000002</v>
      </c>
      <c r="G5408">
        <v>188</v>
      </c>
      <c r="H5408" t="s">
        <v>12</v>
      </c>
      <c r="I5408" t="str">
        <f t="shared" si="84"/>
        <v>Normal Usage</v>
      </c>
    </row>
    <row r="5409" spans="1:9" x14ac:dyDescent="0.3">
      <c r="A5409">
        <v>15408</v>
      </c>
      <c r="B5409">
        <v>123</v>
      </c>
      <c r="C5409" s="2">
        <v>44749</v>
      </c>
      <c r="D5409" s="2" t="str">
        <f>TEXT(Table3[[#This Row],[usage_date]],"mmmm")</f>
        <v>July</v>
      </c>
      <c r="E5409" s="9">
        <f>YEAR(Table3[[#This Row],[usage_date]])</f>
        <v>2022</v>
      </c>
      <c r="F5409" s="14">
        <v>1.89</v>
      </c>
      <c r="G5409">
        <v>150</v>
      </c>
      <c r="H5409" t="s">
        <v>12</v>
      </c>
      <c r="I5409" t="str">
        <f t="shared" si="84"/>
        <v>Normal Usage</v>
      </c>
    </row>
    <row r="5410" spans="1:9" x14ac:dyDescent="0.3">
      <c r="A5410">
        <v>15409</v>
      </c>
      <c r="B5410">
        <v>367</v>
      </c>
      <c r="C5410" s="2">
        <v>45337</v>
      </c>
      <c r="D5410" s="2" t="str">
        <f>TEXT(Table3[[#This Row],[usage_date]],"mmmm")</f>
        <v>February</v>
      </c>
      <c r="E5410" s="9">
        <f>YEAR(Table3[[#This Row],[usage_date]])</f>
        <v>2024</v>
      </c>
      <c r="F5410" s="14">
        <v>4.6399999999999997</v>
      </c>
      <c r="G5410">
        <v>222</v>
      </c>
      <c r="H5410" t="s">
        <v>13</v>
      </c>
      <c r="I5410" t="str">
        <f t="shared" si="84"/>
        <v>Normal Usage</v>
      </c>
    </row>
    <row r="5411" spans="1:9" x14ac:dyDescent="0.3">
      <c r="A5411">
        <v>15410</v>
      </c>
      <c r="B5411">
        <v>387</v>
      </c>
      <c r="C5411" s="2">
        <v>44647</v>
      </c>
      <c r="D5411" s="2" t="str">
        <f>TEXT(Table3[[#This Row],[usage_date]],"mmmm")</f>
        <v>March</v>
      </c>
      <c r="E5411" s="9">
        <f>YEAR(Table3[[#This Row],[usage_date]])</f>
        <v>2022</v>
      </c>
      <c r="F5411" s="14">
        <v>0.67</v>
      </c>
      <c r="G5411">
        <v>127</v>
      </c>
      <c r="H5411" t="s">
        <v>12</v>
      </c>
      <c r="I5411" t="str">
        <f t="shared" si="84"/>
        <v>Normal Usage</v>
      </c>
    </row>
    <row r="5412" spans="1:9" x14ac:dyDescent="0.3">
      <c r="A5412">
        <v>15411</v>
      </c>
      <c r="B5412">
        <v>339</v>
      </c>
      <c r="C5412" s="2">
        <v>45397</v>
      </c>
      <c r="D5412" s="2" t="str">
        <f>TEXT(Table3[[#This Row],[usage_date]],"mmmm")</f>
        <v>April</v>
      </c>
      <c r="E5412" s="9">
        <f>YEAR(Table3[[#This Row],[usage_date]])</f>
        <v>2024</v>
      </c>
      <c r="F5412" s="14">
        <v>1.46</v>
      </c>
      <c r="G5412">
        <v>247</v>
      </c>
      <c r="H5412" t="s">
        <v>12</v>
      </c>
      <c r="I5412" t="str">
        <f t="shared" si="84"/>
        <v>Normal Usage</v>
      </c>
    </row>
    <row r="5413" spans="1:9" x14ac:dyDescent="0.3">
      <c r="A5413">
        <v>15412</v>
      </c>
      <c r="B5413">
        <v>266</v>
      </c>
      <c r="C5413" s="2">
        <v>45404</v>
      </c>
      <c r="D5413" s="2" t="str">
        <f>TEXT(Table3[[#This Row],[usage_date]],"mmmm")</f>
        <v>April</v>
      </c>
      <c r="E5413" s="9">
        <f>YEAR(Table3[[#This Row],[usage_date]])</f>
        <v>2024</v>
      </c>
      <c r="F5413" s="14">
        <v>0.42</v>
      </c>
      <c r="G5413">
        <v>50</v>
      </c>
      <c r="H5413" t="s">
        <v>12</v>
      </c>
      <c r="I5413" t="str">
        <f t="shared" si="84"/>
        <v>Normal Usage</v>
      </c>
    </row>
    <row r="5414" spans="1:9" x14ac:dyDescent="0.3">
      <c r="A5414">
        <v>15413</v>
      </c>
      <c r="B5414">
        <v>348</v>
      </c>
      <c r="C5414" s="2">
        <v>45017</v>
      </c>
      <c r="D5414" s="2" t="str">
        <f>TEXT(Table3[[#This Row],[usage_date]],"mmmm")</f>
        <v>April</v>
      </c>
      <c r="E5414" s="9">
        <f>YEAR(Table3[[#This Row],[usage_date]])</f>
        <v>2023</v>
      </c>
      <c r="F5414" s="14">
        <v>2.27</v>
      </c>
      <c r="G5414">
        <v>190</v>
      </c>
      <c r="H5414" t="s">
        <v>12</v>
      </c>
      <c r="I5414" t="str">
        <f t="shared" si="84"/>
        <v>Normal Usage</v>
      </c>
    </row>
    <row r="5415" spans="1:9" x14ac:dyDescent="0.3">
      <c r="A5415">
        <v>15414</v>
      </c>
      <c r="B5415">
        <v>29</v>
      </c>
      <c r="C5415" s="2">
        <v>44698</v>
      </c>
      <c r="D5415" s="2" t="str">
        <f>TEXT(Table3[[#This Row],[usage_date]],"mmmm")</f>
        <v>May</v>
      </c>
      <c r="E5415" s="9">
        <f>YEAR(Table3[[#This Row],[usage_date]])</f>
        <v>2022</v>
      </c>
      <c r="F5415" s="14">
        <v>0.72</v>
      </c>
      <c r="G5415">
        <v>236</v>
      </c>
      <c r="H5415" t="s">
        <v>12</v>
      </c>
      <c r="I5415" t="str">
        <f t="shared" si="84"/>
        <v>Normal Usage</v>
      </c>
    </row>
    <row r="5416" spans="1:9" x14ac:dyDescent="0.3">
      <c r="A5416">
        <v>15415</v>
      </c>
      <c r="B5416">
        <v>463</v>
      </c>
      <c r="C5416" s="2">
        <v>45419</v>
      </c>
      <c r="D5416" s="2" t="str">
        <f>TEXT(Table3[[#This Row],[usage_date]],"mmmm")</f>
        <v>May</v>
      </c>
      <c r="E5416" s="9">
        <f>YEAR(Table3[[#This Row],[usage_date]])</f>
        <v>2024</v>
      </c>
      <c r="F5416" s="14">
        <v>1.02</v>
      </c>
      <c r="G5416">
        <v>21</v>
      </c>
      <c r="H5416" t="s">
        <v>12</v>
      </c>
      <c r="I5416" t="str">
        <f t="shared" si="84"/>
        <v>Normal Usage</v>
      </c>
    </row>
    <row r="5417" spans="1:9" x14ac:dyDescent="0.3">
      <c r="A5417">
        <v>15416</v>
      </c>
      <c r="B5417">
        <v>35</v>
      </c>
      <c r="C5417" s="2">
        <v>45459</v>
      </c>
      <c r="D5417" s="2" t="str">
        <f>TEXT(Table3[[#This Row],[usage_date]],"mmmm")</f>
        <v>June</v>
      </c>
      <c r="E5417" s="9">
        <f>YEAR(Table3[[#This Row],[usage_date]])</f>
        <v>2024</v>
      </c>
      <c r="F5417" s="14">
        <v>1.59</v>
      </c>
      <c r="G5417">
        <v>109</v>
      </c>
      <c r="H5417" t="s">
        <v>12</v>
      </c>
      <c r="I5417" t="str">
        <f t="shared" si="84"/>
        <v>Normal Usage</v>
      </c>
    </row>
    <row r="5418" spans="1:9" x14ac:dyDescent="0.3">
      <c r="A5418">
        <v>15417</v>
      </c>
      <c r="B5418">
        <v>6</v>
      </c>
      <c r="C5418" s="2">
        <v>44897</v>
      </c>
      <c r="D5418" s="2" t="str">
        <f>TEXT(Table3[[#This Row],[usage_date]],"mmmm")</f>
        <v>December</v>
      </c>
      <c r="E5418" s="9">
        <f>YEAR(Table3[[#This Row],[usage_date]])</f>
        <v>2022</v>
      </c>
      <c r="F5418" s="14">
        <v>7.0000000000000007E-2</v>
      </c>
      <c r="G5418">
        <v>32</v>
      </c>
      <c r="H5418" t="s">
        <v>12</v>
      </c>
      <c r="I5418" t="str">
        <f t="shared" si="84"/>
        <v>Normal Usage</v>
      </c>
    </row>
    <row r="5419" spans="1:9" x14ac:dyDescent="0.3">
      <c r="A5419">
        <v>15418</v>
      </c>
      <c r="B5419">
        <v>396</v>
      </c>
      <c r="C5419" s="2">
        <v>45168</v>
      </c>
      <c r="D5419" s="2" t="str">
        <f>TEXT(Table3[[#This Row],[usage_date]],"mmmm")</f>
        <v>August</v>
      </c>
      <c r="E5419" s="9">
        <f>YEAR(Table3[[#This Row],[usage_date]])</f>
        <v>2023</v>
      </c>
      <c r="F5419" s="14">
        <v>0.24</v>
      </c>
      <c r="G5419">
        <v>126</v>
      </c>
      <c r="H5419" t="s">
        <v>12</v>
      </c>
      <c r="I5419" t="str">
        <f t="shared" si="84"/>
        <v>Normal Usage</v>
      </c>
    </row>
    <row r="5420" spans="1:9" x14ac:dyDescent="0.3">
      <c r="A5420">
        <v>15419</v>
      </c>
      <c r="B5420">
        <v>111</v>
      </c>
      <c r="C5420" s="2">
        <v>45399</v>
      </c>
      <c r="D5420" s="2" t="str">
        <f>TEXT(Table3[[#This Row],[usage_date]],"mmmm")</f>
        <v>April</v>
      </c>
      <c r="E5420" s="9">
        <f>YEAR(Table3[[#This Row],[usage_date]])</f>
        <v>2024</v>
      </c>
      <c r="F5420" s="14">
        <v>2.9</v>
      </c>
      <c r="G5420">
        <v>43</v>
      </c>
      <c r="H5420" t="s">
        <v>12</v>
      </c>
      <c r="I5420" t="str">
        <f t="shared" si="84"/>
        <v>Normal Usage</v>
      </c>
    </row>
    <row r="5421" spans="1:9" x14ac:dyDescent="0.3">
      <c r="A5421">
        <v>15420</v>
      </c>
      <c r="B5421">
        <v>294</v>
      </c>
      <c r="C5421" s="2">
        <v>45318</v>
      </c>
      <c r="D5421" s="2" t="str">
        <f>TEXT(Table3[[#This Row],[usage_date]],"mmmm")</f>
        <v>January</v>
      </c>
      <c r="E5421" s="9">
        <f>YEAR(Table3[[#This Row],[usage_date]])</f>
        <v>2024</v>
      </c>
      <c r="F5421" s="14">
        <v>1.4</v>
      </c>
      <c r="G5421">
        <v>6</v>
      </c>
      <c r="H5421" t="s">
        <v>12</v>
      </c>
      <c r="I5421" t="str">
        <f t="shared" si="84"/>
        <v>Normal Usage</v>
      </c>
    </row>
    <row r="5422" spans="1:9" x14ac:dyDescent="0.3">
      <c r="A5422">
        <v>15421</v>
      </c>
      <c r="B5422">
        <v>77</v>
      </c>
      <c r="C5422" s="2">
        <v>45030</v>
      </c>
      <c r="D5422" s="2" t="str">
        <f>TEXT(Table3[[#This Row],[usage_date]],"mmmm")</f>
        <v>April</v>
      </c>
      <c r="E5422" s="9">
        <f>YEAR(Table3[[#This Row],[usage_date]])</f>
        <v>2023</v>
      </c>
      <c r="F5422" s="14">
        <v>5</v>
      </c>
      <c r="G5422">
        <v>127</v>
      </c>
      <c r="H5422" t="s">
        <v>13</v>
      </c>
      <c r="I5422" t="str">
        <f t="shared" si="84"/>
        <v>Normal Usage</v>
      </c>
    </row>
    <row r="5423" spans="1:9" x14ac:dyDescent="0.3">
      <c r="A5423">
        <v>15422</v>
      </c>
      <c r="B5423">
        <v>349</v>
      </c>
      <c r="C5423" s="2">
        <v>45163</v>
      </c>
      <c r="D5423" s="2" t="str">
        <f>TEXT(Table3[[#This Row],[usage_date]],"mmmm")</f>
        <v>August</v>
      </c>
      <c r="E5423" s="9">
        <f>YEAR(Table3[[#This Row],[usage_date]])</f>
        <v>2023</v>
      </c>
      <c r="F5423" s="14">
        <v>2.97</v>
      </c>
      <c r="G5423">
        <v>90</v>
      </c>
      <c r="H5423" t="s">
        <v>12</v>
      </c>
      <c r="I5423" t="str">
        <f t="shared" si="84"/>
        <v>Normal Usage</v>
      </c>
    </row>
    <row r="5424" spans="1:9" x14ac:dyDescent="0.3">
      <c r="A5424">
        <v>15423</v>
      </c>
      <c r="B5424">
        <v>147</v>
      </c>
      <c r="C5424" s="2">
        <v>45132</v>
      </c>
      <c r="D5424" s="2" t="str">
        <f>TEXT(Table3[[#This Row],[usage_date]],"mmmm")</f>
        <v>July</v>
      </c>
      <c r="E5424" s="9">
        <f>YEAR(Table3[[#This Row],[usage_date]])</f>
        <v>2023</v>
      </c>
      <c r="F5424" s="14">
        <v>0.02</v>
      </c>
      <c r="G5424">
        <v>129</v>
      </c>
      <c r="H5424" t="s">
        <v>13</v>
      </c>
      <c r="I5424" t="str">
        <f t="shared" si="84"/>
        <v>Normal Usage</v>
      </c>
    </row>
    <row r="5425" spans="1:9" x14ac:dyDescent="0.3">
      <c r="A5425">
        <v>15424</v>
      </c>
      <c r="B5425">
        <v>67</v>
      </c>
      <c r="C5425" s="2">
        <v>44964</v>
      </c>
      <c r="D5425" s="2" t="str">
        <f>TEXT(Table3[[#This Row],[usage_date]],"mmmm")</f>
        <v>February</v>
      </c>
      <c r="E5425" s="9">
        <f>YEAR(Table3[[#This Row],[usage_date]])</f>
        <v>2023</v>
      </c>
      <c r="F5425" s="14">
        <v>2.4</v>
      </c>
      <c r="G5425">
        <v>16</v>
      </c>
      <c r="H5425" t="s">
        <v>12</v>
      </c>
      <c r="I5425" t="str">
        <f t="shared" si="84"/>
        <v>Normal Usage</v>
      </c>
    </row>
    <row r="5426" spans="1:9" x14ac:dyDescent="0.3">
      <c r="A5426">
        <v>15425</v>
      </c>
      <c r="B5426">
        <v>392</v>
      </c>
      <c r="C5426" s="2">
        <v>45101</v>
      </c>
      <c r="D5426" s="2" t="str">
        <f>TEXT(Table3[[#This Row],[usage_date]],"mmmm")</f>
        <v>June</v>
      </c>
      <c r="E5426" s="9">
        <f>YEAR(Table3[[#This Row],[usage_date]])</f>
        <v>2023</v>
      </c>
      <c r="F5426" s="14">
        <v>0.25</v>
      </c>
      <c r="G5426">
        <v>185</v>
      </c>
      <c r="H5426" t="s">
        <v>12</v>
      </c>
      <c r="I5426" t="str">
        <f t="shared" si="84"/>
        <v>Normal Usage</v>
      </c>
    </row>
    <row r="5427" spans="1:9" x14ac:dyDescent="0.3">
      <c r="A5427">
        <v>15426</v>
      </c>
      <c r="B5427">
        <v>8</v>
      </c>
      <c r="C5427" s="2">
        <v>44633</v>
      </c>
      <c r="D5427" s="2" t="str">
        <f>TEXT(Table3[[#This Row],[usage_date]],"mmmm")</f>
        <v>March</v>
      </c>
      <c r="E5427" s="9">
        <f>YEAR(Table3[[#This Row],[usage_date]])</f>
        <v>2022</v>
      </c>
      <c r="F5427" s="14">
        <v>3.8</v>
      </c>
      <c r="G5427">
        <v>109</v>
      </c>
      <c r="H5427" t="s">
        <v>12</v>
      </c>
      <c r="I5427" t="str">
        <f t="shared" si="84"/>
        <v>Normal Usage</v>
      </c>
    </row>
    <row r="5428" spans="1:9" x14ac:dyDescent="0.3">
      <c r="A5428">
        <v>15427</v>
      </c>
      <c r="B5428">
        <v>122</v>
      </c>
      <c r="C5428" s="2">
        <v>45343</v>
      </c>
      <c r="D5428" s="2" t="str">
        <f>TEXT(Table3[[#This Row],[usage_date]],"mmmm")</f>
        <v>February</v>
      </c>
      <c r="E5428" s="9">
        <f>YEAR(Table3[[#This Row],[usage_date]])</f>
        <v>2024</v>
      </c>
      <c r="F5428" s="14">
        <v>11.92</v>
      </c>
      <c r="G5428">
        <v>285</v>
      </c>
      <c r="H5428" t="s">
        <v>12</v>
      </c>
      <c r="I5428" t="str">
        <f t="shared" si="84"/>
        <v>High Usage</v>
      </c>
    </row>
    <row r="5429" spans="1:9" x14ac:dyDescent="0.3">
      <c r="A5429">
        <v>15428</v>
      </c>
      <c r="B5429">
        <v>340</v>
      </c>
      <c r="C5429" s="2">
        <v>44585</v>
      </c>
      <c r="D5429" s="2" t="str">
        <f>TEXT(Table3[[#This Row],[usage_date]],"mmmm")</f>
        <v>January</v>
      </c>
      <c r="E5429" s="9">
        <f>YEAR(Table3[[#This Row],[usage_date]])</f>
        <v>2022</v>
      </c>
      <c r="F5429" s="14">
        <v>1.89</v>
      </c>
      <c r="G5429">
        <v>162</v>
      </c>
      <c r="H5429" t="s">
        <v>13</v>
      </c>
      <c r="I5429" t="str">
        <f t="shared" si="84"/>
        <v>Normal Usage</v>
      </c>
    </row>
    <row r="5430" spans="1:9" x14ac:dyDescent="0.3">
      <c r="A5430">
        <v>15429</v>
      </c>
      <c r="B5430">
        <v>175</v>
      </c>
      <c r="C5430" s="2">
        <v>45185</v>
      </c>
      <c r="D5430" s="2" t="str">
        <f>TEXT(Table3[[#This Row],[usage_date]],"mmmm")</f>
        <v>September</v>
      </c>
      <c r="E5430" s="9">
        <f>YEAR(Table3[[#This Row],[usage_date]])</f>
        <v>2023</v>
      </c>
      <c r="F5430" s="14">
        <v>2.87</v>
      </c>
      <c r="G5430">
        <v>74</v>
      </c>
      <c r="H5430" t="s">
        <v>12</v>
      </c>
      <c r="I5430" t="str">
        <f t="shared" si="84"/>
        <v>Normal Usage</v>
      </c>
    </row>
    <row r="5431" spans="1:9" x14ac:dyDescent="0.3">
      <c r="A5431">
        <v>15430</v>
      </c>
      <c r="B5431">
        <v>388</v>
      </c>
      <c r="C5431" s="2">
        <v>45373</v>
      </c>
      <c r="D5431" s="2" t="str">
        <f>TEXT(Table3[[#This Row],[usage_date]],"mmmm")</f>
        <v>March</v>
      </c>
      <c r="E5431" s="9">
        <f>YEAR(Table3[[#This Row],[usage_date]])</f>
        <v>2024</v>
      </c>
      <c r="F5431" s="14">
        <v>0.68</v>
      </c>
      <c r="G5431">
        <v>198</v>
      </c>
      <c r="H5431" t="s">
        <v>12</v>
      </c>
      <c r="I5431" t="str">
        <f t="shared" si="84"/>
        <v>Normal Usage</v>
      </c>
    </row>
    <row r="5432" spans="1:9" x14ac:dyDescent="0.3">
      <c r="A5432">
        <v>15431</v>
      </c>
      <c r="B5432">
        <v>179</v>
      </c>
      <c r="C5432" s="2">
        <v>45046</v>
      </c>
      <c r="D5432" s="2" t="str">
        <f>TEXT(Table3[[#This Row],[usage_date]],"mmmm")</f>
        <v>April</v>
      </c>
      <c r="E5432" s="9">
        <f>YEAR(Table3[[#This Row],[usage_date]])</f>
        <v>2023</v>
      </c>
      <c r="F5432" s="14">
        <v>1.44</v>
      </c>
      <c r="G5432">
        <v>286</v>
      </c>
      <c r="H5432" t="s">
        <v>13</v>
      </c>
      <c r="I5432" t="str">
        <f t="shared" si="84"/>
        <v>Normal Usage</v>
      </c>
    </row>
    <row r="5433" spans="1:9" x14ac:dyDescent="0.3">
      <c r="A5433">
        <v>15432</v>
      </c>
      <c r="B5433">
        <v>85</v>
      </c>
      <c r="C5433" s="2">
        <v>44617</v>
      </c>
      <c r="D5433" s="2" t="str">
        <f>TEXT(Table3[[#This Row],[usage_date]],"mmmm")</f>
        <v>February</v>
      </c>
      <c r="E5433" s="9">
        <f>YEAR(Table3[[#This Row],[usage_date]])</f>
        <v>2022</v>
      </c>
      <c r="F5433" s="14">
        <v>4.8499999999999996</v>
      </c>
      <c r="G5433">
        <v>181</v>
      </c>
      <c r="H5433" t="s">
        <v>12</v>
      </c>
      <c r="I5433" t="str">
        <f t="shared" si="84"/>
        <v>Normal Usage</v>
      </c>
    </row>
    <row r="5434" spans="1:9" x14ac:dyDescent="0.3">
      <c r="A5434">
        <v>15433</v>
      </c>
      <c r="B5434">
        <v>451</v>
      </c>
      <c r="C5434" s="2">
        <v>44784</v>
      </c>
      <c r="D5434" s="2" t="str">
        <f>TEXT(Table3[[#This Row],[usage_date]],"mmmm")</f>
        <v>August</v>
      </c>
      <c r="E5434" s="9">
        <f>YEAR(Table3[[#This Row],[usage_date]])</f>
        <v>2022</v>
      </c>
      <c r="F5434" s="14">
        <v>0.46</v>
      </c>
      <c r="G5434">
        <v>96</v>
      </c>
      <c r="H5434" t="s">
        <v>12</v>
      </c>
      <c r="I5434" t="str">
        <f t="shared" si="84"/>
        <v>Normal Usage</v>
      </c>
    </row>
    <row r="5435" spans="1:9" x14ac:dyDescent="0.3">
      <c r="A5435">
        <v>15434</v>
      </c>
      <c r="B5435">
        <v>45</v>
      </c>
      <c r="C5435" s="2">
        <v>45193</v>
      </c>
      <c r="D5435" s="2" t="str">
        <f>TEXT(Table3[[#This Row],[usage_date]],"mmmm")</f>
        <v>September</v>
      </c>
      <c r="E5435" s="9">
        <f>YEAR(Table3[[#This Row],[usage_date]])</f>
        <v>2023</v>
      </c>
      <c r="F5435" s="14">
        <v>0.77</v>
      </c>
      <c r="G5435">
        <v>50</v>
      </c>
      <c r="H5435" t="s">
        <v>12</v>
      </c>
      <c r="I5435" t="str">
        <f t="shared" si="84"/>
        <v>Normal Usage</v>
      </c>
    </row>
    <row r="5436" spans="1:9" x14ac:dyDescent="0.3">
      <c r="A5436">
        <v>15435</v>
      </c>
      <c r="B5436">
        <v>136</v>
      </c>
      <c r="C5436" s="2">
        <v>44740</v>
      </c>
      <c r="D5436" s="2" t="str">
        <f>TEXT(Table3[[#This Row],[usage_date]],"mmmm")</f>
        <v>June</v>
      </c>
      <c r="E5436" s="9">
        <f>YEAR(Table3[[#This Row],[usage_date]])</f>
        <v>2022</v>
      </c>
      <c r="F5436" s="14">
        <v>1.47</v>
      </c>
      <c r="G5436">
        <v>33</v>
      </c>
      <c r="H5436" t="s">
        <v>12</v>
      </c>
      <c r="I5436" t="str">
        <f t="shared" si="84"/>
        <v>Normal Usage</v>
      </c>
    </row>
    <row r="5437" spans="1:9" x14ac:dyDescent="0.3">
      <c r="A5437">
        <v>15436</v>
      </c>
      <c r="B5437">
        <v>343</v>
      </c>
      <c r="C5437" s="2">
        <v>45361</v>
      </c>
      <c r="D5437" s="2" t="str">
        <f>TEXT(Table3[[#This Row],[usage_date]],"mmmm")</f>
        <v>March</v>
      </c>
      <c r="E5437" s="9">
        <f>YEAR(Table3[[#This Row],[usage_date]])</f>
        <v>2024</v>
      </c>
      <c r="F5437" s="14">
        <v>3.11</v>
      </c>
      <c r="G5437">
        <v>20</v>
      </c>
      <c r="H5437" t="s">
        <v>12</v>
      </c>
      <c r="I5437" t="str">
        <f t="shared" si="84"/>
        <v>Normal Usage</v>
      </c>
    </row>
    <row r="5438" spans="1:9" x14ac:dyDescent="0.3">
      <c r="A5438">
        <v>15437</v>
      </c>
      <c r="B5438">
        <v>16</v>
      </c>
      <c r="C5438" s="2">
        <v>44995</v>
      </c>
      <c r="D5438" s="2" t="str">
        <f>TEXT(Table3[[#This Row],[usage_date]],"mmmm")</f>
        <v>March</v>
      </c>
      <c r="E5438" s="9">
        <f>YEAR(Table3[[#This Row],[usage_date]])</f>
        <v>2023</v>
      </c>
      <c r="F5438" s="14">
        <v>1.18</v>
      </c>
      <c r="G5438">
        <v>183</v>
      </c>
      <c r="H5438" t="s">
        <v>12</v>
      </c>
      <c r="I5438" t="str">
        <f t="shared" si="84"/>
        <v>Normal Usage</v>
      </c>
    </row>
    <row r="5439" spans="1:9" x14ac:dyDescent="0.3">
      <c r="A5439">
        <v>15438</v>
      </c>
      <c r="B5439">
        <v>333</v>
      </c>
      <c r="C5439" s="2">
        <v>45011</v>
      </c>
      <c r="D5439" s="2" t="str">
        <f>TEXT(Table3[[#This Row],[usage_date]],"mmmm")</f>
        <v>March</v>
      </c>
      <c r="E5439" s="9">
        <f>YEAR(Table3[[#This Row],[usage_date]])</f>
        <v>2023</v>
      </c>
      <c r="F5439" s="14">
        <v>6.57</v>
      </c>
      <c r="G5439">
        <v>292</v>
      </c>
      <c r="H5439" t="s">
        <v>13</v>
      </c>
      <c r="I5439" t="str">
        <f t="shared" si="84"/>
        <v>High Usage</v>
      </c>
    </row>
    <row r="5440" spans="1:9" x14ac:dyDescent="0.3">
      <c r="A5440">
        <v>15439</v>
      </c>
      <c r="B5440">
        <v>195</v>
      </c>
      <c r="C5440" s="2">
        <v>45354</v>
      </c>
      <c r="D5440" s="2" t="str">
        <f>TEXT(Table3[[#This Row],[usage_date]],"mmmm")</f>
        <v>March</v>
      </c>
      <c r="E5440" s="9">
        <f>YEAR(Table3[[#This Row],[usage_date]])</f>
        <v>2024</v>
      </c>
      <c r="F5440" s="14">
        <v>0.25</v>
      </c>
      <c r="G5440">
        <v>63</v>
      </c>
      <c r="H5440" t="s">
        <v>13</v>
      </c>
      <c r="I5440" t="str">
        <f t="shared" si="84"/>
        <v>Normal Usage</v>
      </c>
    </row>
    <row r="5441" spans="1:9" x14ac:dyDescent="0.3">
      <c r="A5441">
        <v>15440</v>
      </c>
      <c r="B5441">
        <v>496</v>
      </c>
      <c r="C5441" s="2">
        <v>45445</v>
      </c>
      <c r="D5441" s="2" t="str">
        <f>TEXT(Table3[[#This Row],[usage_date]],"mmmm")</f>
        <v>June</v>
      </c>
      <c r="E5441" s="9">
        <f>YEAR(Table3[[#This Row],[usage_date]])</f>
        <v>2024</v>
      </c>
      <c r="F5441" s="14">
        <v>1.1599999999999999</v>
      </c>
      <c r="G5441">
        <v>123</v>
      </c>
      <c r="H5441" t="s">
        <v>12</v>
      </c>
      <c r="I5441" t="str">
        <f t="shared" si="84"/>
        <v>Normal Usage</v>
      </c>
    </row>
    <row r="5442" spans="1:9" x14ac:dyDescent="0.3">
      <c r="A5442">
        <v>15441</v>
      </c>
      <c r="B5442">
        <v>9</v>
      </c>
      <c r="C5442" s="2">
        <v>45053</v>
      </c>
      <c r="D5442" s="2" t="str">
        <f>TEXT(Table3[[#This Row],[usage_date]],"mmmm")</f>
        <v>May</v>
      </c>
      <c r="E5442" s="9">
        <f>YEAR(Table3[[#This Row],[usage_date]])</f>
        <v>2023</v>
      </c>
      <c r="F5442" s="14">
        <v>3.09</v>
      </c>
      <c r="G5442">
        <v>100</v>
      </c>
      <c r="H5442" t="s">
        <v>12</v>
      </c>
      <c r="I5442" t="str">
        <f t="shared" ref="I5442:I5505" si="85">IF(F5442&gt;6,"High Usage","Normal Usage")</f>
        <v>Normal Usage</v>
      </c>
    </row>
    <row r="5443" spans="1:9" x14ac:dyDescent="0.3">
      <c r="A5443">
        <v>15442</v>
      </c>
      <c r="B5443">
        <v>316</v>
      </c>
      <c r="C5443" s="2">
        <v>44750</v>
      </c>
      <c r="D5443" s="2" t="str">
        <f>TEXT(Table3[[#This Row],[usage_date]],"mmmm")</f>
        <v>July</v>
      </c>
      <c r="E5443" s="9">
        <f>YEAR(Table3[[#This Row],[usage_date]])</f>
        <v>2022</v>
      </c>
      <c r="F5443" s="14">
        <v>0.64</v>
      </c>
      <c r="G5443">
        <v>118</v>
      </c>
      <c r="H5443" t="s">
        <v>12</v>
      </c>
      <c r="I5443" t="str">
        <f t="shared" si="85"/>
        <v>Normal Usage</v>
      </c>
    </row>
    <row r="5444" spans="1:9" x14ac:dyDescent="0.3">
      <c r="A5444">
        <v>15443</v>
      </c>
      <c r="B5444">
        <v>334</v>
      </c>
      <c r="C5444" s="2">
        <v>45139</v>
      </c>
      <c r="D5444" s="2" t="str">
        <f>TEXT(Table3[[#This Row],[usage_date]],"mmmm")</f>
        <v>August</v>
      </c>
      <c r="E5444" s="9">
        <f>YEAR(Table3[[#This Row],[usage_date]])</f>
        <v>2023</v>
      </c>
      <c r="F5444" s="14">
        <v>2.67</v>
      </c>
      <c r="G5444">
        <v>77</v>
      </c>
      <c r="H5444" t="s">
        <v>12</v>
      </c>
      <c r="I5444" t="str">
        <f t="shared" si="85"/>
        <v>Normal Usage</v>
      </c>
    </row>
    <row r="5445" spans="1:9" x14ac:dyDescent="0.3">
      <c r="A5445">
        <v>15444</v>
      </c>
      <c r="B5445">
        <v>333</v>
      </c>
      <c r="C5445" s="2">
        <v>45371</v>
      </c>
      <c r="D5445" s="2" t="str">
        <f>TEXT(Table3[[#This Row],[usage_date]],"mmmm")</f>
        <v>March</v>
      </c>
      <c r="E5445" s="9">
        <f>YEAR(Table3[[#This Row],[usage_date]])</f>
        <v>2024</v>
      </c>
      <c r="F5445" s="14">
        <v>0.45</v>
      </c>
      <c r="G5445">
        <v>180</v>
      </c>
      <c r="H5445" t="s">
        <v>12</v>
      </c>
      <c r="I5445" t="str">
        <f t="shared" si="85"/>
        <v>Normal Usage</v>
      </c>
    </row>
    <row r="5446" spans="1:9" x14ac:dyDescent="0.3">
      <c r="A5446">
        <v>15445</v>
      </c>
      <c r="B5446">
        <v>327</v>
      </c>
      <c r="C5446" s="2">
        <v>44981</v>
      </c>
      <c r="D5446" s="2" t="str">
        <f>TEXT(Table3[[#This Row],[usage_date]],"mmmm")</f>
        <v>February</v>
      </c>
      <c r="E5446" s="9">
        <f>YEAR(Table3[[#This Row],[usage_date]])</f>
        <v>2023</v>
      </c>
      <c r="F5446" s="14">
        <v>0.14000000000000001</v>
      </c>
      <c r="G5446">
        <v>198</v>
      </c>
      <c r="H5446" t="s">
        <v>13</v>
      </c>
      <c r="I5446" t="str">
        <f t="shared" si="85"/>
        <v>Normal Usage</v>
      </c>
    </row>
    <row r="5447" spans="1:9" x14ac:dyDescent="0.3">
      <c r="A5447">
        <v>15446</v>
      </c>
      <c r="B5447">
        <v>15</v>
      </c>
      <c r="C5447" s="2">
        <v>44810</v>
      </c>
      <c r="D5447" s="2" t="str">
        <f>TEXT(Table3[[#This Row],[usage_date]],"mmmm")</f>
        <v>September</v>
      </c>
      <c r="E5447" s="9">
        <f>YEAR(Table3[[#This Row],[usage_date]])</f>
        <v>2022</v>
      </c>
      <c r="F5447" s="14">
        <v>0.32</v>
      </c>
      <c r="G5447">
        <v>189</v>
      </c>
      <c r="H5447" t="s">
        <v>13</v>
      </c>
      <c r="I5447" t="str">
        <f t="shared" si="85"/>
        <v>Normal Usage</v>
      </c>
    </row>
    <row r="5448" spans="1:9" x14ac:dyDescent="0.3">
      <c r="A5448">
        <v>15447</v>
      </c>
      <c r="B5448">
        <v>327</v>
      </c>
      <c r="C5448" s="2">
        <v>45149</v>
      </c>
      <c r="D5448" s="2" t="str">
        <f>TEXT(Table3[[#This Row],[usage_date]],"mmmm")</f>
        <v>August</v>
      </c>
      <c r="E5448" s="9">
        <f>YEAR(Table3[[#This Row],[usage_date]])</f>
        <v>2023</v>
      </c>
      <c r="F5448" s="14">
        <v>6.65</v>
      </c>
      <c r="G5448">
        <v>102</v>
      </c>
      <c r="H5448" t="s">
        <v>12</v>
      </c>
      <c r="I5448" t="str">
        <f t="shared" si="85"/>
        <v>High Usage</v>
      </c>
    </row>
    <row r="5449" spans="1:9" x14ac:dyDescent="0.3">
      <c r="A5449">
        <v>15448</v>
      </c>
      <c r="B5449">
        <v>102</v>
      </c>
      <c r="C5449" s="2">
        <v>45210</v>
      </c>
      <c r="D5449" s="2" t="str">
        <f>TEXT(Table3[[#This Row],[usage_date]],"mmmm")</f>
        <v>October</v>
      </c>
      <c r="E5449" s="9">
        <f>YEAR(Table3[[#This Row],[usage_date]])</f>
        <v>2023</v>
      </c>
      <c r="F5449" s="14">
        <v>2.0099999999999998</v>
      </c>
      <c r="G5449">
        <v>274</v>
      </c>
      <c r="H5449" t="s">
        <v>12</v>
      </c>
      <c r="I5449" t="str">
        <f t="shared" si="85"/>
        <v>Normal Usage</v>
      </c>
    </row>
    <row r="5450" spans="1:9" x14ac:dyDescent="0.3">
      <c r="A5450">
        <v>15449</v>
      </c>
      <c r="B5450">
        <v>226</v>
      </c>
      <c r="C5450" s="2">
        <v>44725</v>
      </c>
      <c r="D5450" s="2" t="str">
        <f>TEXT(Table3[[#This Row],[usage_date]],"mmmm")</f>
        <v>June</v>
      </c>
      <c r="E5450" s="9">
        <f>YEAR(Table3[[#This Row],[usage_date]])</f>
        <v>2022</v>
      </c>
      <c r="F5450" s="14">
        <v>3.98</v>
      </c>
      <c r="G5450">
        <v>129</v>
      </c>
      <c r="H5450" t="s">
        <v>12</v>
      </c>
      <c r="I5450" t="str">
        <f t="shared" si="85"/>
        <v>Normal Usage</v>
      </c>
    </row>
    <row r="5451" spans="1:9" x14ac:dyDescent="0.3">
      <c r="A5451">
        <v>15450</v>
      </c>
      <c r="B5451">
        <v>425</v>
      </c>
      <c r="C5451" s="2">
        <v>45306</v>
      </c>
      <c r="D5451" s="2" t="str">
        <f>TEXT(Table3[[#This Row],[usage_date]],"mmmm")</f>
        <v>January</v>
      </c>
      <c r="E5451" s="9">
        <f>YEAR(Table3[[#This Row],[usage_date]])</f>
        <v>2024</v>
      </c>
      <c r="F5451" s="14">
        <v>1.01</v>
      </c>
      <c r="G5451">
        <v>240</v>
      </c>
      <c r="H5451" t="s">
        <v>12</v>
      </c>
      <c r="I5451" t="str">
        <f t="shared" si="85"/>
        <v>Normal Usage</v>
      </c>
    </row>
    <row r="5452" spans="1:9" x14ac:dyDescent="0.3">
      <c r="A5452">
        <v>15451</v>
      </c>
      <c r="B5452">
        <v>278</v>
      </c>
      <c r="C5452" s="2">
        <v>44816</v>
      </c>
      <c r="D5452" s="2" t="str">
        <f>TEXT(Table3[[#This Row],[usage_date]],"mmmm")</f>
        <v>September</v>
      </c>
      <c r="E5452" s="9">
        <f>YEAR(Table3[[#This Row],[usage_date]])</f>
        <v>2022</v>
      </c>
      <c r="F5452" s="14">
        <v>2.25</v>
      </c>
      <c r="G5452">
        <v>133</v>
      </c>
      <c r="H5452" t="s">
        <v>12</v>
      </c>
      <c r="I5452" t="str">
        <f t="shared" si="85"/>
        <v>Normal Usage</v>
      </c>
    </row>
    <row r="5453" spans="1:9" x14ac:dyDescent="0.3">
      <c r="A5453">
        <v>15452</v>
      </c>
      <c r="B5453">
        <v>408</v>
      </c>
      <c r="C5453" s="2">
        <v>45037</v>
      </c>
      <c r="D5453" s="2" t="str">
        <f>TEXT(Table3[[#This Row],[usage_date]],"mmmm")</f>
        <v>April</v>
      </c>
      <c r="E5453" s="9">
        <f>YEAR(Table3[[#This Row],[usage_date]])</f>
        <v>2023</v>
      </c>
      <c r="F5453" s="14">
        <v>1.71</v>
      </c>
      <c r="G5453">
        <v>156</v>
      </c>
      <c r="H5453" t="s">
        <v>12</v>
      </c>
      <c r="I5453" t="str">
        <f t="shared" si="85"/>
        <v>Normal Usage</v>
      </c>
    </row>
    <row r="5454" spans="1:9" x14ac:dyDescent="0.3">
      <c r="A5454">
        <v>15453</v>
      </c>
      <c r="B5454">
        <v>113</v>
      </c>
      <c r="C5454" s="2">
        <v>45367</v>
      </c>
      <c r="D5454" s="2" t="str">
        <f>TEXT(Table3[[#This Row],[usage_date]],"mmmm")</f>
        <v>March</v>
      </c>
      <c r="E5454" s="9">
        <f>YEAR(Table3[[#This Row],[usage_date]])</f>
        <v>2024</v>
      </c>
      <c r="F5454" s="14">
        <v>7.28</v>
      </c>
      <c r="G5454">
        <v>157</v>
      </c>
      <c r="H5454" t="s">
        <v>12</v>
      </c>
      <c r="I5454" t="str">
        <f t="shared" si="85"/>
        <v>High Usage</v>
      </c>
    </row>
    <row r="5455" spans="1:9" x14ac:dyDescent="0.3">
      <c r="A5455">
        <v>15454</v>
      </c>
      <c r="B5455">
        <v>485</v>
      </c>
      <c r="C5455" s="2">
        <v>44978</v>
      </c>
      <c r="D5455" s="2" t="str">
        <f>TEXT(Table3[[#This Row],[usage_date]],"mmmm")</f>
        <v>February</v>
      </c>
      <c r="E5455" s="9">
        <f>YEAR(Table3[[#This Row],[usage_date]])</f>
        <v>2023</v>
      </c>
      <c r="F5455" s="14">
        <v>3.44</v>
      </c>
      <c r="G5455">
        <v>189</v>
      </c>
      <c r="H5455" t="s">
        <v>12</v>
      </c>
      <c r="I5455" t="str">
        <f t="shared" si="85"/>
        <v>Normal Usage</v>
      </c>
    </row>
    <row r="5456" spans="1:9" x14ac:dyDescent="0.3">
      <c r="A5456">
        <v>15455</v>
      </c>
      <c r="B5456">
        <v>428</v>
      </c>
      <c r="C5456" s="2">
        <v>44731</v>
      </c>
      <c r="D5456" s="2" t="str">
        <f>TEXT(Table3[[#This Row],[usage_date]],"mmmm")</f>
        <v>June</v>
      </c>
      <c r="E5456" s="9">
        <f>YEAR(Table3[[#This Row],[usage_date]])</f>
        <v>2022</v>
      </c>
      <c r="F5456" s="14">
        <v>3.28</v>
      </c>
      <c r="G5456">
        <v>99</v>
      </c>
      <c r="H5456" t="s">
        <v>12</v>
      </c>
      <c r="I5456" t="str">
        <f t="shared" si="85"/>
        <v>Normal Usage</v>
      </c>
    </row>
    <row r="5457" spans="1:9" x14ac:dyDescent="0.3">
      <c r="A5457">
        <v>15456</v>
      </c>
      <c r="B5457">
        <v>1</v>
      </c>
      <c r="C5457" s="2">
        <v>44878</v>
      </c>
      <c r="D5457" s="2" t="str">
        <f>TEXT(Table3[[#This Row],[usage_date]],"mmmm")</f>
        <v>November</v>
      </c>
      <c r="E5457" s="9">
        <f>YEAR(Table3[[#This Row],[usage_date]])</f>
        <v>2022</v>
      </c>
      <c r="F5457" s="14">
        <v>0.12</v>
      </c>
      <c r="G5457">
        <v>51</v>
      </c>
      <c r="H5457" t="s">
        <v>13</v>
      </c>
      <c r="I5457" t="str">
        <f t="shared" si="85"/>
        <v>Normal Usage</v>
      </c>
    </row>
    <row r="5458" spans="1:9" x14ac:dyDescent="0.3">
      <c r="A5458">
        <v>15457</v>
      </c>
      <c r="B5458">
        <v>266</v>
      </c>
      <c r="C5458" s="2">
        <v>44735</v>
      </c>
      <c r="D5458" s="2" t="str">
        <f>TEXT(Table3[[#This Row],[usage_date]],"mmmm")</f>
        <v>June</v>
      </c>
      <c r="E5458" s="9">
        <f>YEAR(Table3[[#This Row],[usage_date]])</f>
        <v>2022</v>
      </c>
      <c r="F5458" s="14">
        <v>1.99</v>
      </c>
      <c r="G5458">
        <v>48</v>
      </c>
      <c r="H5458" t="s">
        <v>12</v>
      </c>
      <c r="I5458" t="str">
        <f t="shared" si="85"/>
        <v>Normal Usage</v>
      </c>
    </row>
    <row r="5459" spans="1:9" x14ac:dyDescent="0.3">
      <c r="A5459">
        <v>15458</v>
      </c>
      <c r="B5459">
        <v>491</v>
      </c>
      <c r="C5459" s="2">
        <v>45031</v>
      </c>
      <c r="D5459" s="2" t="str">
        <f>TEXT(Table3[[#This Row],[usage_date]],"mmmm")</f>
        <v>April</v>
      </c>
      <c r="E5459" s="9">
        <f>YEAR(Table3[[#This Row],[usage_date]])</f>
        <v>2023</v>
      </c>
      <c r="F5459" s="14">
        <v>1.57</v>
      </c>
      <c r="G5459">
        <v>99</v>
      </c>
      <c r="H5459" t="s">
        <v>12</v>
      </c>
      <c r="I5459" t="str">
        <f t="shared" si="85"/>
        <v>Normal Usage</v>
      </c>
    </row>
    <row r="5460" spans="1:9" x14ac:dyDescent="0.3">
      <c r="A5460">
        <v>15459</v>
      </c>
      <c r="B5460">
        <v>208</v>
      </c>
      <c r="C5460" s="2">
        <v>44906</v>
      </c>
      <c r="D5460" s="2" t="str">
        <f>TEXT(Table3[[#This Row],[usage_date]],"mmmm")</f>
        <v>December</v>
      </c>
      <c r="E5460" s="9">
        <f>YEAR(Table3[[#This Row],[usage_date]])</f>
        <v>2022</v>
      </c>
      <c r="F5460" s="14">
        <v>6.57</v>
      </c>
      <c r="G5460">
        <v>250</v>
      </c>
      <c r="H5460" t="s">
        <v>12</v>
      </c>
      <c r="I5460" t="str">
        <f t="shared" si="85"/>
        <v>High Usage</v>
      </c>
    </row>
    <row r="5461" spans="1:9" x14ac:dyDescent="0.3">
      <c r="A5461">
        <v>15460</v>
      </c>
      <c r="B5461">
        <v>110</v>
      </c>
      <c r="C5461" s="2">
        <v>45006</v>
      </c>
      <c r="D5461" s="2" t="str">
        <f>TEXT(Table3[[#This Row],[usage_date]],"mmmm")</f>
        <v>March</v>
      </c>
      <c r="E5461" s="9">
        <f>YEAR(Table3[[#This Row],[usage_date]])</f>
        <v>2023</v>
      </c>
      <c r="F5461" s="14">
        <v>0.74</v>
      </c>
      <c r="G5461">
        <v>53</v>
      </c>
      <c r="H5461" t="s">
        <v>12</v>
      </c>
      <c r="I5461" t="str">
        <f t="shared" si="85"/>
        <v>Normal Usage</v>
      </c>
    </row>
    <row r="5462" spans="1:9" x14ac:dyDescent="0.3">
      <c r="A5462">
        <v>15461</v>
      </c>
      <c r="B5462">
        <v>200</v>
      </c>
      <c r="C5462" s="2">
        <v>44579</v>
      </c>
      <c r="D5462" s="2" t="str">
        <f>TEXT(Table3[[#This Row],[usage_date]],"mmmm")</f>
        <v>January</v>
      </c>
      <c r="E5462" s="9">
        <f>YEAR(Table3[[#This Row],[usage_date]])</f>
        <v>2022</v>
      </c>
      <c r="F5462" s="14">
        <v>0.79</v>
      </c>
      <c r="G5462">
        <v>136</v>
      </c>
      <c r="H5462" t="s">
        <v>13</v>
      </c>
      <c r="I5462" t="str">
        <f t="shared" si="85"/>
        <v>Normal Usage</v>
      </c>
    </row>
    <row r="5463" spans="1:9" x14ac:dyDescent="0.3">
      <c r="A5463">
        <v>15462</v>
      </c>
      <c r="B5463">
        <v>440</v>
      </c>
      <c r="C5463" s="2">
        <v>44631</v>
      </c>
      <c r="D5463" s="2" t="str">
        <f>TEXT(Table3[[#This Row],[usage_date]],"mmmm")</f>
        <v>March</v>
      </c>
      <c r="E5463" s="9">
        <f>YEAR(Table3[[#This Row],[usage_date]])</f>
        <v>2022</v>
      </c>
      <c r="F5463" s="14">
        <v>1.32</v>
      </c>
      <c r="G5463">
        <v>161</v>
      </c>
      <c r="H5463" t="s">
        <v>12</v>
      </c>
      <c r="I5463" t="str">
        <f t="shared" si="85"/>
        <v>Normal Usage</v>
      </c>
    </row>
    <row r="5464" spans="1:9" x14ac:dyDescent="0.3">
      <c r="A5464">
        <v>15463</v>
      </c>
      <c r="B5464">
        <v>369</v>
      </c>
      <c r="C5464" s="2">
        <v>44899</v>
      </c>
      <c r="D5464" s="2" t="str">
        <f>TEXT(Table3[[#This Row],[usage_date]],"mmmm")</f>
        <v>December</v>
      </c>
      <c r="E5464" s="9">
        <f>YEAR(Table3[[#This Row],[usage_date]])</f>
        <v>2022</v>
      </c>
      <c r="F5464" s="14">
        <v>0.7</v>
      </c>
      <c r="G5464">
        <v>291</v>
      </c>
      <c r="H5464" t="s">
        <v>13</v>
      </c>
      <c r="I5464" t="str">
        <f t="shared" si="85"/>
        <v>Normal Usage</v>
      </c>
    </row>
    <row r="5465" spans="1:9" x14ac:dyDescent="0.3">
      <c r="A5465">
        <v>15464</v>
      </c>
      <c r="B5465">
        <v>473</v>
      </c>
      <c r="C5465" s="2">
        <v>45189</v>
      </c>
      <c r="D5465" s="2" t="str">
        <f>TEXT(Table3[[#This Row],[usage_date]],"mmmm")</f>
        <v>September</v>
      </c>
      <c r="E5465" s="9">
        <f>YEAR(Table3[[#This Row],[usage_date]])</f>
        <v>2023</v>
      </c>
      <c r="F5465" s="14">
        <v>0.35</v>
      </c>
      <c r="G5465">
        <v>80</v>
      </c>
      <c r="H5465" t="s">
        <v>12</v>
      </c>
      <c r="I5465" t="str">
        <f t="shared" si="85"/>
        <v>Normal Usage</v>
      </c>
    </row>
    <row r="5466" spans="1:9" x14ac:dyDescent="0.3">
      <c r="A5466">
        <v>15465</v>
      </c>
      <c r="B5466">
        <v>306</v>
      </c>
      <c r="C5466" s="2">
        <v>45153</v>
      </c>
      <c r="D5466" s="2" t="str">
        <f>TEXT(Table3[[#This Row],[usage_date]],"mmmm")</f>
        <v>August</v>
      </c>
      <c r="E5466" s="9">
        <f>YEAR(Table3[[#This Row],[usage_date]])</f>
        <v>2023</v>
      </c>
      <c r="F5466" s="14">
        <v>4.87</v>
      </c>
      <c r="G5466">
        <v>219</v>
      </c>
      <c r="H5466" t="s">
        <v>12</v>
      </c>
      <c r="I5466" t="str">
        <f t="shared" si="85"/>
        <v>Normal Usage</v>
      </c>
    </row>
    <row r="5467" spans="1:9" x14ac:dyDescent="0.3">
      <c r="A5467">
        <v>15466</v>
      </c>
      <c r="B5467">
        <v>12</v>
      </c>
      <c r="C5467" s="2">
        <v>45088</v>
      </c>
      <c r="D5467" s="2" t="str">
        <f>TEXT(Table3[[#This Row],[usage_date]],"mmmm")</f>
        <v>June</v>
      </c>
      <c r="E5467" s="9">
        <f>YEAR(Table3[[#This Row],[usage_date]])</f>
        <v>2023</v>
      </c>
      <c r="F5467" s="14">
        <v>2.04</v>
      </c>
      <c r="G5467">
        <v>84</v>
      </c>
      <c r="H5467" t="s">
        <v>12</v>
      </c>
      <c r="I5467" t="str">
        <f t="shared" si="85"/>
        <v>Normal Usage</v>
      </c>
    </row>
    <row r="5468" spans="1:9" x14ac:dyDescent="0.3">
      <c r="A5468">
        <v>15467</v>
      </c>
      <c r="B5468">
        <v>345</v>
      </c>
      <c r="C5468" s="2">
        <v>45249</v>
      </c>
      <c r="D5468" s="2" t="str">
        <f>TEXT(Table3[[#This Row],[usage_date]],"mmmm")</f>
        <v>November</v>
      </c>
      <c r="E5468" s="9">
        <f>YEAR(Table3[[#This Row],[usage_date]])</f>
        <v>2023</v>
      </c>
      <c r="F5468" s="14">
        <v>4.9400000000000004</v>
      </c>
      <c r="G5468">
        <v>82</v>
      </c>
      <c r="H5468" t="s">
        <v>12</v>
      </c>
      <c r="I5468" t="str">
        <f t="shared" si="85"/>
        <v>Normal Usage</v>
      </c>
    </row>
    <row r="5469" spans="1:9" x14ac:dyDescent="0.3">
      <c r="A5469">
        <v>15468</v>
      </c>
      <c r="B5469">
        <v>465</v>
      </c>
      <c r="C5469" s="2">
        <v>45017</v>
      </c>
      <c r="D5469" s="2" t="str">
        <f>TEXT(Table3[[#This Row],[usage_date]],"mmmm")</f>
        <v>April</v>
      </c>
      <c r="E5469" s="9">
        <f>YEAR(Table3[[#This Row],[usage_date]])</f>
        <v>2023</v>
      </c>
      <c r="F5469" s="14">
        <v>4.45</v>
      </c>
      <c r="G5469">
        <v>66</v>
      </c>
      <c r="H5469" t="s">
        <v>12</v>
      </c>
      <c r="I5469" t="str">
        <f t="shared" si="85"/>
        <v>Normal Usage</v>
      </c>
    </row>
    <row r="5470" spans="1:9" x14ac:dyDescent="0.3">
      <c r="A5470">
        <v>15469</v>
      </c>
      <c r="B5470">
        <v>188</v>
      </c>
      <c r="C5470" s="2">
        <v>44830</v>
      </c>
      <c r="D5470" s="2" t="str">
        <f>TEXT(Table3[[#This Row],[usage_date]],"mmmm")</f>
        <v>September</v>
      </c>
      <c r="E5470" s="9">
        <f>YEAR(Table3[[#This Row],[usage_date]])</f>
        <v>2022</v>
      </c>
      <c r="F5470" s="14">
        <v>0.83</v>
      </c>
      <c r="G5470">
        <v>233</v>
      </c>
      <c r="H5470" t="s">
        <v>13</v>
      </c>
      <c r="I5470" t="str">
        <f t="shared" si="85"/>
        <v>Normal Usage</v>
      </c>
    </row>
    <row r="5471" spans="1:9" x14ac:dyDescent="0.3">
      <c r="A5471">
        <v>15470</v>
      </c>
      <c r="B5471">
        <v>154</v>
      </c>
      <c r="C5471" s="2">
        <v>45192</v>
      </c>
      <c r="D5471" s="2" t="str">
        <f>TEXT(Table3[[#This Row],[usage_date]],"mmmm")</f>
        <v>September</v>
      </c>
      <c r="E5471" s="9">
        <f>YEAR(Table3[[#This Row],[usage_date]])</f>
        <v>2023</v>
      </c>
      <c r="F5471" s="14">
        <v>1.98</v>
      </c>
      <c r="G5471">
        <v>197</v>
      </c>
      <c r="H5471" t="s">
        <v>12</v>
      </c>
      <c r="I5471" t="str">
        <f t="shared" si="85"/>
        <v>Normal Usage</v>
      </c>
    </row>
    <row r="5472" spans="1:9" x14ac:dyDescent="0.3">
      <c r="A5472">
        <v>15471</v>
      </c>
      <c r="B5472">
        <v>494</v>
      </c>
      <c r="C5472" s="2">
        <v>45372</v>
      </c>
      <c r="D5472" s="2" t="str">
        <f>TEXT(Table3[[#This Row],[usage_date]],"mmmm")</f>
        <v>March</v>
      </c>
      <c r="E5472" s="9">
        <f>YEAR(Table3[[#This Row],[usage_date]])</f>
        <v>2024</v>
      </c>
      <c r="F5472" s="14">
        <v>0.22</v>
      </c>
      <c r="G5472">
        <v>258</v>
      </c>
      <c r="H5472" t="s">
        <v>12</v>
      </c>
      <c r="I5472" t="str">
        <f t="shared" si="85"/>
        <v>Normal Usage</v>
      </c>
    </row>
    <row r="5473" spans="1:9" x14ac:dyDescent="0.3">
      <c r="A5473">
        <v>15472</v>
      </c>
      <c r="B5473">
        <v>368</v>
      </c>
      <c r="C5473" s="2">
        <v>44749</v>
      </c>
      <c r="D5473" s="2" t="str">
        <f>TEXT(Table3[[#This Row],[usage_date]],"mmmm")</f>
        <v>July</v>
      </c>
      <c r="E5473" s="9">
        <f>YEAR(Table3[[#This Row],[usage_date]])</f>
        <v>2022</v>
      </c>
      <c r="F5473" s="14">
        <v>6.17</v>
      </c>
      <c r="G5473">
        <v>176</v>
      </c>
      <c r="H5473" t="s">
        <v>12</v>
      </c>
      <c r="I5473" t="str">
        <f t="shared" si="85"/>
        <v>High Usage</v>
      </c>
    </row>
    <row r="5474" spans="1:9" x14ac:dyDescent="0.3">
      <c r="A5474">
        <v>15473</v>
      </c>
      <c r="B5474">
        <v>334</v>
      </c>
      <c r="C5474" s="2">
        <v>45130</v>
      </c>
      <c r="D5474" s="2" t="str">
        <f>TEXT(Table3[[#This Row],[usage_date]],"mmmm")</f>
        <v>July</v>
      </c>
      <c r="E5474" s="9">
        <f>YEAR(Table3[[#This Row],[usage_date]])</f>
        <v>2023</v>
      </c>
      <c r="F5474" s="14">
        <v>1.29</v>
      </c>
      <c r="G5474">
        <v>297</v>
      </c>
      <c r="H5474" t="s">
        <v>12</v>
      </c>
      <c r="I5474" t="str">
        <f t="shared" si="85"/>
        <v>Normal Usage</v>
      </c>
    </row>
    <row r="5475" spans="1:9" x14ac:dyDescent="0.3">
      <c r="A5475">
        <v>15474</v>
      </c>
      <c r="B5475">
        <v>425</v>
      </c>
      <c r="C5475" s="2">
        <v>45272</v>
      </c>
      <c r="D5475" s="2" t="str">
        <f>TEXT(Table3[[#This Row],[usage_date]],"mmmm")</f>
        <v>December</v>
      </c>
      <c r="E5475" s="9">
        <f>YEAR(Table3[[#This Row],[usage_date]])</f>
        <v>2023</v>
      </c>
      <c r="F5475" s="14">
        <v>1.25</v>
      </c>
      <c r="G5475">
        <v>279</v>
      </c>
      <c r="H5475" t="s">
        <v>12</v>
      </c>
      <c r="I5475" t="str">
        <f t="shared" si="85"/>
        <v>Normal Usage</v>
      </c>
    </row>
    <row r="5476" spans="1:9" x14ac:dyDescent="0.3">
      <c r="A5476">
        <v>15475</v>
      </c>
      <c r="B5476">
        <v>420</v>
      </c>
      <c r="C5476" s="2">
        <v>45090</v>
      </c>
      <c r="D5476" s="2" t="str">
        <f>TEXT(Table3[[#This Row],[usage_date]],"mmmm")</f>
        <v>June</v>
      </c>
      <c r="E5476" s="9">
        <f>YEAR(Table3[[#This Row],[usage_date]])</f>
        <v>2023</v>
      </c>
      <c r="F5476" s="14">
        <v>0.9</v>
      </c>
      <c r="G5476">
        <v>299</v>
      </c>
      <c r="H5476" t="s">
        <v>12</v>
      </c>
      <c r="I5476" t="str">
        <f t="shared" si="85"/>
        <v>Normal Usage</v>
      </c>
    </row>
    <row r="5477" spans="1:9" x14ac:dyDescent="0.3">
      <c r="A5477">
        <v>15476</v>
      </c>
      <c r="B5477">
        <v>377</v>
      </c>
      <c r="C5477" s="2">
        <v>44995</v>
      </c>
      <c r="D5477" s="2" t="str">
        <f>TEXT(Table3[[#This Row],[usage_date]],"mmmm")</f>
        <v>March</v>
      </c>
      <c r="E5477" s="9">
        <f>YEAR(Table3[[#This Row],[usage_date]])</f>
        <v>2023</v>
      </c>
      <c r="F5477" s="14">
        <v>1.54</v>
      </c>
      <c r="G5477">
        <v>128</v>
      </c>
      <c r="H5477" t="s">
        <v>12</v>
      </c>
      <c r="I5477" t="str">
        <f t="shared" si="85"/>
        <v>Normal Usage</v>
      </c>
    </row>
    <row r="5478" spans="1:9" x14ac:dyDescent="0.3">
      <c r="A5478">
        <v>15477</v>
      </c>
      <c r="B5478">
        <v>279</v>
      </c>
      <c r="C5478" s="2">
        <v>44849</v>
      </c>
      <c r="D5478" s="2" t="str">
        <f>TEXT(Table3[[#This Row],[usage_date]],"mmmm")</f>
        <v>October</v>
      </c>
      <c r="E5478" s="9">
        <f>YEAR(Table3[[#This Row],[usage_date]])</f>
        <v>2022</v>
      </c>
      <c r="F5478" s="14">
        <v>0.73</v>
      </c>
      <c r="G5478">
        <v>179</v>
      </c>
      <c r="H5478" t="s">
        <v>12</v>
      </c>
      <c r="I5478" t="str">
        <f t="shared" si="85"/>
        <v>Normal Usage</v>
      </c>
    </row>
    <row r="5479" spans="1:9" x14ac:dyDescent="0.3">
      <c r="A5479">
        <v>15478</v>
      </c>
      <c r="B5479">
        <v>171</v>
      </c>
      <c r="C5479" s="2">
        <v>45128</v>
      </c>
      <c r="D5479" s="2" t="str">
        <f>TEXT(Table3[[#This Row],[usage_date]],"mmmm")</f>
        <v>July</v>
      </c>
      <c r="E5479" s="9">
        <f>YEAR(Table3[[#This Row],[usage_date]])</f>
        <v>2023</v>
      </c>
      <c r="F5479" s="14">
        <v>1.17</v>
      </c>
      <c r="G5479">
        <v>291</v>
      </c>
      <c r="H5479" t="s">
        <v>13</v>
      </c>
      <c r="I5479" t="str">
        <f t="shared" si="85"/>
        <v>Normal Usage</v>
      </c>
    </row>
    <row r="5480" spans="1:9" x14ac:dyDescent="0.3">
      <c r="A5480">
        <v>15479</v>
      </c>
      <c r="B5480">
        <v>134</v>
      </c>
      <c r="C5480" s="2">
        <v>45060</v>
      </c>
      <c r="D5480" s="2" t="str">
        <f>TEXT(Table3[[#This Row],[usage_date]],"mmmm")</f>
        <v>May</v>
      </c>
      <c r="E5480" s="9">
        <f>YEAR(Table3[[#This Row],[usage_date]])</f>
        <v>2023</v>
      </c>
      <c r="F5480" s="14">
        <v>4.0199999999999996</v>
      </c>
      <c r="G5480">
        <v>206</v>
      </c>
      <c r="H5480" t="s">
        <v>13</v>
      </c>
      <c r="I5480" t="str">
        <f t="shared" si="85"/>
        <v>Normal Usage</v>
      </c>
    </row>
    <row r="5481" spans="1:9" x14ac:dyDescent="0.3">
      <c r="A5481">
        <v>15480</v>
      </c>
      <c r="B5481">
        <v>495</v>
      </c>
      <c r="C5481" s="2">
        <v>45002</v>
      </c>
      <c r="D5481" s="2" t="str">
        <f>TEXT(Table3[[#This Row],[usage_date]],"mmmm")</f>
        <v>March</v>
      </c>
      <c r="E5481" s="9">
        <f>YEAR(Table3[[#This Row],[usage_date]])</f>
        <v>2023</v>
      </c>
      <c r="F5481" s="14">
        <v>4.49</v>
      </c>
      <c r="G5481">
        <v>293</v>
      </c>
      <c r="H5481" t="s">
        <v>12</v>
      </c>
      <c r="I5481" t="str">
        <f t="shared" si="85"/>
        <v>Normal Usage</v>
      </c>
    </row>
    <row r="5482" spans="1:9" x14ac:dyDescent="0.3">
      <c r="A5482">
        <v>15481</v>
      </c>
      <c r="B5482">
        <v>453</v>
      </c>
      <c r="C5482" s="2">
        <v>45342</v>
      </c>
      <c r="D5482" s="2" t="str">
        <f>TEXT(Table3[[#This Row],[usage_date]],"mmmm")</f>
        <v>February</v>
      </c>
      <c r="E5482" s="9">
        <f>YEAR(Table3[[#This Row],[usage_date]])</f>
        <v>2024</v>
      </c>
      <c r="F5482" s="14">
        <v>0.91</v>
      </c>
      <c r="G5482">
        <v>174</v>
      </c>
      <c r="H5482" t="s">
        <v>13</v>
      </c>
      <c r="I5482" t="str">
        <f t="shared" si="85"/>
        <v>Normal Usage</v>
      </c>
    </row>
    <row r="5483" spans="1:9" x14ac:dyDescent="0.3">
      <c r="A5483">
        <v>15482</v>
      </c>
      <c r="B5483">
        <v>427</v>
      </c>
      <c r="C5483" s="2">
        <v>44864</v>
      </c>
      <c r="D5483" s="2" t="str">
        <f>TEXT(Table3[[#This Row],[usage_date]],"mmmm")</f>
        <v>October</v>
      </c>
      <c r="E5483" s="9">
        <f>YEAR(Table3[[#This Row],[usage_date]])</f>
        <v>2022</v>
      </c>
      <c r="F5483" s="14">
        <v>1.58</v>
      </c>
      <c r="G5483">
        <v>28</v>
      </c>
      <c r="H5483" t="s">
        <v>13</v>
      </c>
      <c r="I5483" t="str">
        <f t="shared" si="85"/>
        <v>Normal Usage</v>
      </c>
    </row>
    <row r="5484" spans="1:9" x14ac:dyDescent="0.3">
      <c r="A5484">
        <v>15483</v>
      </c>
      <c r="B5484">
        <v>25</v>
      </c>
      <c r="C5484" s="2">
        <v>44648</v>
      </c>
      <c r="D5484" s="2" t="str">
        <f>TEXT(Table3[[#This Row],[usage_date]],"mmmm")</f>
        <v>March</v>
      </c>
      <c r="E5484" s="9">
        <f>YEAR(Table3[[#This Row],[usage_date]])</f>
        <v>2022</v>
      </c>
      <c r="F5484" s="14">
        <v>5.18</v>
      </c>
      <c r="G5484">
        <v>178</v>
      </c>
      <c r="H5484" t="s">
        <v>12</v>
      </c>
      <c r="I5484" t="str">
        <f t="shared" si="85"/>
        <v>Normal Usage</v>
      </c>
    </row>
    <row r="5485" spans="1:9" x14ac:dyDescent="0.3">
      <c r="A5485">
        <v>15484</v>
      </c>
      <c r="B5485">
        <v>18</v>
      </c>
      <c r="C5485" s="2">
        <v>45391</v>
      </c>
      <c r="D5485" s="2" t="str">
        <f>TEXT(Table3[[#This Row],[usage_date]],"mmmm")</f>
        <v>April</v>
      </c>
      <c r="E5485" s="9">
        <f>YEAR(Table3[[#This Row],[usage_date]])</f>
        <v>2024</v>
      </c>
      <c r="F5485" s="14">
        <v>0.14000000000000001</v>
      </c>
      <c r="G5485">
        <v>40</v>
      </c>
      <c r="H5485" t="s">
        <v>12</v>
      </c>
      <c r="I5485" t="str">
        <f t="shared" si="85"/>
        <v>Normal Usage</v>
      </c>
    </row>
    <row r="5486" spans="1:9" x14ac:dyDescent="0.3">
      <c r="A5486">
        <v>15485</v>
      </c>
      <c r="B5486">
        <v>190</v>
      </c>
      <c r="C5486" s="2">
        <v>44999</v>
      </c>
      <c r="D5486" s="2" t="str">
        <f>TEXT(Table3[[#This Row],[usage_date]],"mmmm")</f>
        <v>March</v>
      </c>
      <c r="E5486" s="9">
        <f>YEAR(Table3[[#This Row],[usage_date]])</f>
        <v>2023</v>
      </c>
      <c r="F5486" s="14">
        <v>5.5</v>
      </c>
      <c r="G5486">
        <v>191</v>
      </c>
      <c r="H5486" t="s">
        <v>12</v>
      </c>
      <c r="I5486" t="str">
        <f t="shared" si="85"/>
        <v>Normal Usage</v>
      </c>
    </row>
    <row r="5487" spans="1:9" x14ac:dyDescent="0.3">
      <c r="A5487">
        <v>15486</v>
      </c>
      <c r="B5487">
        <v>141</v>
      </c>
      <c r="C5487" s="2">
        <v>45102</v>
      </c>
      <c r="D5487" s="2" t="str">
        <f>TEXT(Table3[[#This Row],[usage_date]],"mmmm")</f>
        <v>June</v>
      </c>
      <c r="E5487" s="9">
        <f>YEAR(Table3[[#This Row],[usage_date]])</f>
        <v>2023</v>
      </c>
      <c r="F5487" s="14">
        <v>0.62</v>
      </c>
      <c r="G5487">
        <v>236</v>
      </c>
      <c r="H5487" t="s">
        <v>12</v>
      </c>
      <c r="I5487" t="str">
        <f t="shared" si="85"/>
        <v>Normal Usage</v>
      </c>
    </row>
    <row r="5488" spans="1:9" x14ac:dyDescent="0.3">
      <c r="A5488">
        <v>15487</v>
      </c>
      <c r="B5488">
        <v>43</v>
      </c>
      <c r="C5488" s="2">
        <v>44583</v>
      </c>
      <c r="D5488" s="2" t="str">
        <f>TEXT(Table3[[#This Row],[usage_date]],"mmmm")</f>
        <v>January</v>
      </c>
      <c r="E5488" s="9">
        <f>YEAR(Table3[[#This Row],[usage_date]])</f>
        <v>2022</v>
      </c>
      <c r="F5488" s="14">
        <v>2.84</v>
      </c>
      <c r="G5488">
        <v>224</v>
      </c>
      <c r="H5488" t="s">
        <v>13</v>
      </c>
      <c r="I5488" t="str">
        <f t="shared" si="85"/>
        <v>Normal Usage</v>
      </c>
    </row>
    <row r="5489" spans="1:9" x14ac:dyDescent="0.3">
      <c r="A5489">
        <v>15488</v>
      </c>
      <c r="B5489">
        <v>334</v>
      </c>
      <c r="C5489" s="2">
        <v>45394</v>
      </c>
      <c r="D5489" s="2" t="str">
        <f>TEXT(Table3[[#This Row],[usage_date]],"mmmm")</f>
        <v>April</v>
      </c>
      <c r="E5489" s="9">
        <f>YEAR(Table3[[#This Row],[usage_date]])</f>
        <v>2024</v>
      </c>
      <c r="F5489" s="14">
        <v>2.1800000000000002</v>
      </c>
      <c r="G5489">
        <v>113</v>
      </c>
      <c r="H5489" t="s">
        <v>13</v>
      </c>
      <c r="I5489" t="str">
        <f t="shared" si="85"/>
        <v>Normal Usage</v>
      </c>
    </row>
    <row r="5490" spans="1:9" x14ac:dyDescent="0.3">
      <c r="A5490">
        <v>15489</v>
      </c>
      <c r="B5490">
        <v>284</v>
      </c>
      <c r="C5490" s="2">
        <v>45358</v>
      </c>
      <c r="D5490" s="2" t="str">
        <f>TEXT(Table3[[#This Row],[usage_date]],"mmmm")</f>
        <v>March</v>
      </c>
      <c r="E5490" s="9">
        <f>YEAR(Table3[[#This Row],[usage_date]])</f>
        <v>2024</v>
      </c>
      <c r="F5490" s="14">
        <v>2.0099999999999998</v>
      </c>
      <c r="G5490">
        <v>277</v>
      </c>
      <c r="H5490" t="s">
        <v>13</v>
      </c>
      <c r="I5490" t="str">
        <f t="shared" si="85"/>
        <v>Normal Usage</v>
      </c>
    </row>
    <row r="5491" spans="1:9" x14ac:dyDescent="0.3">
      <c r="A5491">
        <v>15490</v>
      </c>
      <c r="B5491">
        <v>146</v>
      </c>
      <c r="C5491" s="2">
        <v>45121</v>
      </c>
      <c r="D5491" s="2" t="str">
        <f>TEXT(Table3[[#This Row],[usage_date]],"mmmm")</f>
        <v>July</v>
      </c>
      <c r="E5491" s="9">
        <f>YEAR(Table3[[#This Row],[usage_date]])</f>
        <v>2023</v>
      </c>
      <c r="F5491" s="14">
        <v>4.9000000000000004</v>
      </c>
      <c r="G5491">
        <v>16</v>
      </c>
      <c r="H5491" t="s">
        <v>12</v>
      </c>
      <c r="I5491" t="str">
        <f t="shared" si="85"/>
        <v>Normal Usage</v>
      </c>
    </row>
    <row r="5492" spans="1:9" x14ac:dyDescent="0.3">
      <c r="A5492">
        <v>15491</v>
      </c>
      <c r="B5492">
        <v>315</v>
      </c>
      <c r="C5492" s="2">
        <v>45078</v>
      </c>
      <c r="D5492" s="2" t="str">
        <f>TEXT(Table3[[#This Row],[usage_date]],"mmmm")</f>
        <v>June</v>
      </c>
      <c r="E5492" s="9">
        <f>YEAR(Table3[[#This Row],[usage_date]])</f>
        <v>2023</v>
      </c>
      <c r="F5492" s="14">
        <v>0.27</v>
      </c>
      <c r="G5492">
        <v>85</v>
      </c>
      <c r="H5492" t="s">
        <v>12</v>
      </c>
      <c r="I5492" t="str">
        <f t="shared" si="85"/>
        <v>Normal Usage</v>
      </c>
    </row>
    <row r="5493" spans="1:9" x14ac:dyDescent="0.3">
      <c r="A5493">
        <v>15492</v>
      </c>
      <c r="B5493">
        <v>444</v>
      </c>
      <c r="C5493" s="2">
        <v>45323</v>
      </c>
      <c r="D5493" s="2" t="str">
        <f>TEXT(Table3[[#This Row],[usage_date]],"mmmm")</f>
        <v>February</v>
      </c>
      <c r="E5493" s="9">
        <f>YEAR(Table3[[#This Row],[usage_date]])</f>
        <v>2024</v>
      </c>
      <c r="F5493" s="14">
        <v>1.07</v>
      </c>
      <c r="G5493">
        <v>180</v>
      </c>
      <c r="H5493" t="s">
        <v>12</v>
      </c>
      <c r="I5493" t="str">
        <f t="shared" si="85"/>
        <v>Normal Usage</v>
      </c>
    </row>
    <row r="5494" spans="1:9" x14ac:dyDescent="0.3">
      <c r="A5494">
        <v>15493</v>
      </c>
      <c r="B5494">
        <v>319</v>
      </c>
      <c r="C5494" s="2">
        <v>45236</v>
      </c>
      <c r="D5494" s="2" t="str">
        <f>TEXT(Table3[[#This Row],[usage_date]],"mmmm")</f>
        <v>November</v>
      </c>
      <c r="E5494" s="9">
        <f>YEAR(Table3[[#This Row],[usage_date]])</f>
        <v>2023</v>
      </c>
      <c r="F5494" s="14">
        <v>1.93</v>
      </c>
      <c r="G5494">
        <v>144</v>
      </c>
      <c r="H5494" t="s">
        <v>12</v>
      </c>
      <c r="I5494" t="str">
        <f t="shared" si="85"/>
        <v>Normal Usage</v>
      </c>
    </row>
    <row r="5495" spans="1:9" x14ac:dyDescent="0.3">
      <c r="A5495">
        <v>15494</v>
      </c>
      <c r="B5495">
        <v>441</v>
      </c>
      <c r="C5495" s="2">
        <v>45064</v>
      </c>
      <c r="D5495" s="2" t="str">
        <f>TEXT(Table3[[#This Row],[usage_date]],"mmmm")</f>
        <v>May</v>
      </c>
      <c r="E5495" s="9">
        <f>YEAR(Table3[[#This Row],[usage_date]])</f>
        <v>2023</v>
      </c>
      <c r="F5495" s="14">
        <v>4.17</v>
      </c>
      <c r="G5495">
        <v>224</v>
      </c>
      <c r="H5495" t="s">
        <v>12</v>
      </c>
      <c r="I5495" t="str">
        <f t="shared" si="85"/>
        <v>Normal Usage</v>
      </c>
    </row>
    <row r="5496" spans="1:9" x14ac:dyDescent="0.3">
      <c r="A5496">
        <v>15495</v>
      </c>
      <c r="B5496">
        <v>92</v>
      </c>
      <c r="C5496" s="2">
        <v>45275</v>
      </c>
      <c r="D5496" s="2" t="str">
        <f>TEXT(Table3[[#This Row],[usage_date]],"mmmm")</f>
        <v>December</v>
      </c>
      <c r="E5496" s="9">
        <f>YEAR(Table3[[#This Row],[usage_date]])</f>
        <v>2023</v>
      </c>
      <c r="F5496" s="14">
        <v>0.61</v>
      </c>
      <c r="G5496">
        <v>53</v>
      </c>
      <c r="H5496" t="s">
        <v>12</v>
      </c>
      <c r="I5496" t="str">
        <f t="shared" si="85"/>
        <v>Normal Usage</v>
      </c>
    </row>
    <row r="5497" spans="1:9" x14ac:dyDescent="0.3">
      <c r="A5497">
        <v>15496</v>
      </c>
      <c r="B5497">
        <v>179</v>
      </c>
      <c r="C5497" s="2">
        <v>45028</v>
      </c>
      <c r="D5497" s="2" t="str">
        <f>TEXT(Table3[[#This Row],[usage_date]],"mmmm")</f>
        <v>April</v>
      </c>
      <c r="E5497" s="9">
        <f>YEAR(Table3[[#This Row],[usage_date]])</f>
        <v>2023</v>
      </c>
      <c r="F5497" s="14">
        <v>4.0599999999999996</v>
      </c>
      <c r="G5497">
        <v>67</v>
      </c>
      <c r="H5497" t="s">
        <v>12</v>
      </c>
      <c r="I5497" t="str">
        <f t="shared" si="85"/>
        <v>Normal Usage</v>
      </c>
    </row>
    <row r="5498" spans="1:9" x14ac:dyDescent="0.3">
      <c r="A5498">
        <v>15497</v>
      </c>
      <c r="B5498">
        <v>56</v>
      </c>
      <c r="C5498" s="2">
        <v>44662</v>
      </c>
      <c r="D5498" s="2" t="str">
        <f>TEXT(Table3[[#This Row],[usage_date]],"mmmm")</f>
        <v>April</v>
      </c>
      <c r="E5498" s="9">
        <f>YEAR(Table3[[#This Row],[usage_date]])</f>
        <v>2022</v>
      </c>
      <c r="F5498" s="14">
        <v>1.28</v>
      </c>
      <c r="G5498">
        <v>106</v>
      </c>
      <c r="H5498" t="s">
        <v>12</v>
      </c>
      <c r="I5498" t="str">
        <f t="shared" si="85"/>
        <v>Normal Usage</v>
      </c>
    </row>
    <row r="5499" spans="1:9" x14ac:dyDescent="0.3">
      <c r="A5499">
        <v>15498</v>
      </c>
      <c r="B5499">
        <v>155</v>
      </c>
      <c r="C5499" s="2">
        <v>45144</v>
      </c>
      <c r="D5499" s="2" t="str">
        <f>TEXT(Table3[[#This Row],[usage_date]],"mmmm")</f>
        <v>August</v>
      </c>
      <c r="E5499" s="9">
        <f>YEAR(Table3[[#This Row],[usage_date]])</f>
        <v>2023</v>
      </c>
      <c r="F5499" s="14">
        <v>0.52</v>
      </c>
      <c r="G5499">
        <v>76</v>
      </c>
      <c r="H5499" t="s">
        <v>13</v>
      </c>
      <c r="I5499" t="str">
        <f t="shared" si="85"/>
        <v>Normal Usage</v>
      </c>
    </row>
    <row r="5500" spans="1:9" x14ac:dyDescent="0.3">
      <c r="A5500">
        <v>15499</v>
      </c>
      <c r="B5500">
        <v>160</v>
      </c>
      <c r="C5500" s="2">
        <v>45236</v>
      </c>
      <c r="D5500" s="2" t="str">
        <f>TEXT(Table3[[#This Row],[usage_date]],"mmmm")</f>
        <v>November</v>
      </c>
      <c r="E5500" s="9">
        <f>YEAR(Table3[[#This Row],[usage_date]])</f>
        <v>2023</v>
      </c>
      <c r="F5500" s="14">
        <v>3.56</v>
      </c>
      <c r="G5500">
        <v>26</v>
      </c>
      <c r="H5500" t="s">
        <v>12</v>
      </c>
      <c r="I5500" t="str">
        <f t="shared" si="85"/>
        <v>Normal Usage</v>
      </c>
    </row>
    <row r="5501" spans="1:9" x14ac:dyDescent="0.3">
      <c r="A5501">
        <v>15500</v>
      </c>
      <c r="B5501">
        <v>111</v>
      </c>
      <c r="C5501" s="2">
        <v>45246</v>
      </c>
      <c r="D5501" s="2" t="str">
        <f>TEXT(Table3[[#This Row],[usage_date]],"mmmm")</f>
        <v>November</v>
      </c>
      <c r="E5501" s="9">
        <f>YEAR(Table3[[#This Row],[usage_date]])</f>
        <v>2023</v>
      </c>
      <c r="F5501" s="14">
        <v>0.24</v>
      </c>
      <c r="G5501">
        <v>154</v>
      </c>
      <c r="H5501" t="s">
        <v>13</v>
      </c>
      <c r="I5501" t="str">
        <f t="shared" si="85"/>
        <v>Normal Usage</v>
      </c>
    </row>
    <row r="5502" spans="1:9" x14ac:dyDescent="0.3">
      <c r="A5502">
        <v>15501</v>
      </c>
      <c r="B5502">
        <v>137</v>
      </c>
      <c r="C5502" s="2">
        <v>44702</v>
      </c>
      <c r="D5502" s="2" t="str">
        <f>TEXT(Table3[[#This Row],[usage_date]],"mmmm")</f>
        <v>May</v>
      </c>
      <c r="E5502" s="9">
        <f>YEAR(Table3[[#This Row],[usage_date]])</f>
        <v>2022</v>
      </c>
      <c r="F5502" s="14">
        <v>1.81</v>
      </c>
      <c r="G5502">
        <v>71</v>
      </c>
      <c r="H5502" t="s">
        <v>13</v>
      </c>
      <c r="I5502" t="str">
        <f t="shared" si="85"/>
        <v>Normal Usage</v>
      </c>
    </row>
    <row r="5503" spans="1:9" x14ac:dyDescent="0.3">
      <c r="A5503">
        <v>15502</v>
      </c>
      <c r="B5503">
        <v>232</v>
      </c>
      <c r="C5503" s="2">
        <v>44699</v>
      </c>
      <c r="D5503" s="2" t="str">
        <f>TEXT(Table3[[#This Row],[usage_date]],"mmmm")</f>
        <v>May</v>
      </c>
      <c r="E5503" s="9">
        <f>YEAR(Table3[[#This Row],[usage_date]])</f>
        <v>2022</v>
      </c>
      <c r="F5503" s="14">
        <v>0.17</v>
      </c>
      <c r="G5503">
        <v>179</v>
      </c>
      <c r="H5503" t="s">
        <v>13</v>
      </c>
      <c r="I5503" t="str">
        <f t="shared" si="85"/>
        <v>Normal Usage</v>
      </c>
    </row>
    <row r="5504" spans="1:9" x14ac:dyDescent="0.3">
      <c r="A5504">
        <v>15503</v>
      </c>
      <c r="B5504">
        <v>480</v>
      </c>
      <c r="C5504" s="2">
        <v>45139</v>
      </c>
      <c r="D5504" s="2" t="str">
        <f>TEXT(Table3[[#This Row],[usage_date]],"mmmm")</f>
        <v>August</v>
      </c>
      <c r="E5504" s="9">
        <f>YEAR(Table3[[#This Row],[usage_date]])</f>
        <v>2023</v>
      </c>
      <c r="F5504" s="14">
        <v>1.1000000000000001</v>
      </c>
      <c r="G5504">
        <v>46</v>
      </c>
      <c r="H5504" t="s">
        <v>13</v>
      </c>
      <c r="I5504" t="str">
        <f t="shared" si="85"/>
        <v>Normal Usage</v>
      </c>
    </row>
    <row r="5505" spans="1:9" x14ac:dyDescent="0.3">
      <c r="A5505">
        <v>15504</v>
      </c>
      <c r="B5505">
        <v>468</v>
      </c>
      <c r="C5505" s="2">
        <v>45271</v>
      </c>
      <c r="D5505" s="2" t="str">
        <f>TEXT(Table3[[#This Row],[usage_date]],"mmmm")</f>
        <v>December</v>
      </c>
      <c r="E5505" s="9">
        <f>YEAR(Table3[[#This Row],[usage_date]])</f>
        <v>2023</v>
      </c>
      <c r="F5505" s="14">
        <v>2.2999999999999998</v>
      </c>
      <c r="G5505">
        <v>241</v>
      </c>
      <c r="H5505" t="s">
        <v>12</v>
      </c>
      <c r="I5505" t="str">
        <f t="shared" si="85"/>
        <v>Normal Usage</v>
      </c>
    </row>
    <row r="5506" spans="1:9" x14ac:dyDescent="0.3">
      <c r="A5506">
        <v>15505</v>
      </c>
      <c r="B5506">
        <v>220</v>
      </c>
      <c r="C5506" s="2">
        <v>45401</v>
      </c>
      <c r="D5506" s="2" t="str">
        <f>TEXT(Table3[[#This Row],[usage_date]],"mmmm")</f>
        <v>April</v>
      </c>
      <c r="E5506" s="9">
        <f>YEAR(Table3[[#This Row],[usage_date]])</f>
        <v>2024</v>
      </c>
      <c r="F5506" s="14">
        <v>2.0299999999999998</v>
      </c>
      <c r="G5506">
        <v>276</v>
      </c>
      <c r="H5506" t="s">
        <v>12</v>
      </c>
      <c r="I5506" t="str">
        <f t="shared" ref="I5506:I5569" si="86">IF(F5506&gt;6,"High Usage","Normal Usage")</f>
        <v>Normal Usage</v>
      </c>
    </row>
    <row r="5507" spans="1:9" x14ac:dyDescent="0.3">
      <c r="A5507">
        <v>15506</v>
      </c>
      <c r="B5507">
        <v>481</v>
      </c>
      <c r="C5507" s="2">
        <v>44789</v>
      </c>
      <c r="D5507" s="2" t="str">
        <f>TEXT(Table3[[#This Row],[usage_date]],"mmmm")</f>
        <v>August</v>
      </c>
      <c r="E5507" s="9">
        <f>YEAR(Table3[[#This Row],[usage_date]])</f>
        <v>2022</v>
      </c>
      <c r="F5507" s="14">
        <v>1.3</v>
      </c>
      <c r="G5507">
        <v>104</v>
      </c>
      <c r="H5507" t="s">
        <v>13</v>
      </c>
      <c r="I5507" t="str">
        <f t="shared" si="86"/>
        <v>Normal Usage</v>
      </c>
    </row>
    <row r="5508" spans="1:9" x14ac:dyDescent="0.3">
      <c r="A5508">
        <v>15507</v>
      </c>
      <c r="B5508">
        <v>68</v>
      </c>
      <c r="C5508" s="2">
        <v>44842</v>
      </c>
      <c r="D5508" s="2" t="str">
        <f>TEXT(Table3[[#This Row],[usage_date]],"mmmm")</f>
        <v>October</v>
      </c>
      <c r="E5508" s="9">
        <f>YEAR(Table3[[#This Row],[usage_date]])</f>
        <v>2022</v>
      </c>
      <c r="F5508" s="14">
        <v>1.4</v>
      </c>
      <c r="G5508">
        <v>94</v>
      </c>
      <c r="H5508" t="s">
        <v>13</v>
      </c>
      <c r="I5508" t="str">
        <f t="shared" si="86"/>
        <v>Normal Usage</v>
      </c>
    </row>
    <row r="5509" spans="1:9" x14ac:dyDescent="0.3">
      <c r="A5509">
        <v>15508</v>
      </c>
      <c r="B5509">
        <v>302</v>
      </c>
      <c r="C5509" s="2">
        <v>45245</v>
      </c>
      <c r="D5509" s="2" t="str">
        <f>TEXT(Table3[[#This Row],[usage_date]],"mmmm")</f>
        <v>November</v>
      </c>
      <c r="E5509" s="9">
        <f>YEAR(Table3[[#This Row],[usage_date]])</f>
        <v>2023</v>
      </c>
      <c r="F5509" s="14">
        <v>0.64</v>
      </c>
      <c r="G5509">
        <v>218</v>
      </c>
      <c r="H5509" t="s">
        <v>12</v>
      </c>
      <c r="I5509" t="str">
        <f t="shared" si="86"/>
        <v>Normal Usage</v>
      </c>
    </row>
    <row r="5510" spans="1:9" x14ac:dyDescent="0.3">
      <c r="A5510">
        <v>15509</v>
      </c>
      <c r="B5510">
        <v>249</v>
      </c>
      <c r="C5510" s="2">
        <v>45389</v>
      </c>
      <c r="D5510" s="2" t="str">
        <f>TEXT(Table3[[#This Row],[usage_date]],"mmmm")</f>
        <v>April</v>
      </c>
      <c r="E5510" s="9">
        <f>YEAR(Table3[[#This Row],[usage_date]])</f>
        <v>2024</v>
      </c>
      <c r="F5510" s="14">
        <v>1.52</v>
      </c>
      <c r="G5510">
        <v>169</v>
      </c>
      <c r="H5510" t="s">
        <v>13</v>
      </c>
      <c r="I5510" t="str">
        <f t="shared" si="86"/>
        <v>Normal Usage</v>
      </c>
    </row>
    <row r="5511" spans="1:9" x14ac:dyDescent="0.3">
      <c r="A5511">
        <v>15510</v>
      </c>
      <c r="B5511">
        <v>482</v>
      </c>
      <c r="C5511" s="2">
        <v>44992</v>
      </c>
      <c r="D5511" s="2" t="str">
        <f>TEXT(Table3[[#This Row],[usage_date]],"mmmm")</f>
        <v>March</v>
      </c>
      <c r="E5511" s="9">
        <f>YEAR(Table3[[#This Row],[usage_date]])</f>
        <v>2023</v>
      </c>
      <c r="F5511" s="14">
        <v>7.66</v>
      </c>
      <c r="G5511">
        <v>282</v>
      </c>
      <c r="H5511" t="s">
        <v>12</v>
      </c>
      <c r="I5511" t="str">
        <f t="shared" si="86"/>
        <v>High Usage</v>
      </c>
    </row>
    <row r="5512" spans="1:9" x14ac:dyDescent="0.3">
      <c r="A5512">
        <v>15511</v>
      </c>
      <c r="B5512">
        <v>496</v>
      </c>
      <c r="C5512" s="2">
        <v>44601</v>
      </c>
      <c r="D5512" s="2" t="str">
        <f>TEXT(Table3[[#This Row],[usage_date]],"mmmm")</f>
        <v>February</v>
      </c>
      <c r="E5512" s="9">
        <f>YEAR(Table3[[#This Row],[usage_date]])</f>
        <v>2022</v>
      </c>
      <c r="F5512" s="14">
        <v>4.75</v>
      </c>
      <c r="G5512">
        <v>127</v>
      </c>
      <c r="H5512" t="s">
        <v>12</v>
      </c>
      <c r="I5512" t="str">
        <f t="shared" si="86"/>
        <v>Normal Usage</v>
      </c>
    </row>
    <row r="5513" spans="1:9" x14ac:dyDescent="0.3">
      <c r="A5513">
        <v>15512</v>
      </c>
      <c r="B5513">
        <v>323</v>
      </c>
      <c r="C5513" s="2">
        <v>45080</v>
      </c>
      <c r="D5513" s="2" t="str">
        <f>TEXT(Table3[[#This Row],[usage_date]],"mmmm")</f>
        <v>June</v>
      </c>
      <c r="E5513" s="9">
        <f>YEAR(Table3[[#This Row],[usage_date]])</f>
        <v>2023</v>
      </c>
      <c r="F5513" s="14">
        <v>0.39</v>
      </c>
      <c r="G5513">
        <v>199</v>
      </c>
      <c r="H5513" t="s">
        <v>12</v>
      </c>
      <c r="I5513" t="str">
        <f t="shared" si="86"/>
        <v>Normal Usage</v>
      </c>
    </row>
    <row r="5514" spans="1:9" x14ac:dyDescent="0.3">
      <c r="A5514">
        <v>15513</v>
      </c>
      <c r="B5514">
        <v>410</v>
      </c>
      <c r="C5514" s="2">
        <v>45247</v>
      </c>
      <c r="D5514" s="2" t="str">
        <f>TEXT(Table3[[#This Row],[usage_date]],"mmmm")</f>
        <v>November</v>
      </c>
      <c r="E5514" s="9">
        <f>YEAR(Table3[[#This Row],[usage_date]])</f>
        <v>2023</v>
      </c>
      <c r="F5514" s="14">
        <v>0.08</v>
      </c>
      <c r="G5514">
        <v>34</v>
      </c>
      <c r="H5514" t="s">
        <v>12</v>
      </c>
      <c r="I5514" t="str">
        <f t="shared" si="86"/>
        <v>Normal Usage</v>
      </c>
    </row>
    <row r="5515" spans="1:9" x14ac:dyDescent="0.3">
      <c r="A5515">
        <v>15514</v>
      </c>
      <c r="B5515">
        <v>392</v>
      </c>
      <c r="C5515" s="2">
        <v>45224</v>
      </c>
      <c r="D5515" s="2" t="str">
        <f>TEXT(Table3[[#This Row],[usage_date]],"mmmm")</f>
        <v>October</v>
      </c>
      <c r="E5515" s="9">
        <f>YEAR(Table3[[#This Row],[usage_date]])</f>
        <v>2023</v>
      </c>
      <c r="F5515" s="14">
        <v>6.78</v>
      </c>
      <c r="G5515">
        <v>143</v>
      </c>
      <c r="H5515" t="s">
        <v>12</v>
      </c>
      <c r="I5515" t="str">
        <f t="shared" si="86"/>
        <v>High Usage</v>
      </c>
    </row>
    <row r="5516" spans="1:9" x14ac:dyDescent="0.3">
      <c r="A5516">
        <v>15515</v>
      </c>
      <c r="B5516">
        <v>6</v>
      </c>
      <c r="C5516" s="2">
        <v>44772</v>
      </c>
      <c r="D5516" s="2" t="str">
        <f>TEXT(Table3[[#This Row],[usage_date]],"mmmm")</f>
        <v>July</v>
      </c>
      <c r="E5516" s="9">
        <f>YEAR(Table3[[#This Row],[usage_date]])</f>
        <v>2022</v>
      </c>
      <c r="F5516" s="14">
        <v>1.87</v>
      </c>
      <c r="G5516">
        <v>291</v>
      </c>
      <c r="H5516" t="s">
        <v>12</v>
      </c>
      <c r="I5516" t="str">
        <f t="shared" si="86"/>
        <v>Normal Usage</v>
      </c>
    </row>
    <row r="5517" spans="1:9" x14ac:dyDescent="0.3">
      <c r="A5517">
        <v>15516</v>
      </c>
      <c r="B5517">
        <v>464</v>
      </c>
      <c r="C5517" s="2">
        <v>44863</v>
      </c>
      <c r="D5517" s="2" t="str">
        <f>TEXT(Table3[[#This Row],[usage_date]],"mmmm")</f>
        <v>October</v>
      </c>
      <c r="E5517" s="9">
        <f>YEAR(Table3[[#This Row],[usage_date]])</f>
        <v>2022</v>
      </c>
      <c r="F5517" s="14">
        <v>1.93</v>
      </c>
      <c r="G5517">
        <v>65</v>
      </c>
      <c r="H5517" t="s">
        <v>12</v>
      </c>
      <c r="I5517" t="str">
        <f t="shared" si="86"/>
        <v>Normal Usage</v>
      </c>
    </row>
    <row r="5518" spans="1:9" x14ac:dyDescent="0.3">
      <c r="A5518">
        <v>15517</v>
      </c>
      <c r="B5518">
        <v>280</v>
      </c>
      <c r="C5518" s="2">
        <v>44647</v>
      </c>
      <c r="D5518" s="2" t="str">
        <f>TEXT(Table3[[#This Row],[usage_date]],"mmmm")</f>
        <v>March</v>
      </c>
      <c r="E5518" s="9">
        <f>YEAR(Table3[[#This Row],[usage_date]])</f>
        <v>2022</v>
      </c>
      <c r="F5518" s="14">
        <v>3.79</v>
      </c>
      <c r="G5518">
        <v>218</v>
      </c>
      <c r="H5518" t="s">
        <v>13</v>
      </c>
      <c r="I5518" t="str">
        <f t="shared" si="86"/>
        <v>Normal Usage</v>
      </c>
    </row>
    <row r="5519" spans="1:9" x14ac:dyDescent="0.3">
      <c r="A5519">
        <v>15518</v>
      </c>
      <c r="B5519">
        <v>432</v>
      </c>
      <c r="C5519" s="2">
        <v>44958</v>
      </c>
      <c r="D5519" s="2" t="str">
        <f>TEXT(Table3[[#This Row],[usage_date]],"mmmm")</f>
        <v>February</v>
      </c>
      <c r="E5519" s="9">
        <f>YEAR(Table3[[#This Row],[usage_date]])</f>
        <v>2023</v>
      </c>
      <c r="F5519" s="14">
        <v>0.94</v>
      </c>
      <c r="G5519">
        <v>55</v>
      </c>
      <c r="H5519" t="s">
        <v>12</v>
      </c>
      <c r="I5519" t="str">
        <f t="shared" si="86"/>
        <v>Normal Usage</v>
      </c>
    </row>
    <row r="5520" spans="1:9" x14ac:dyDescent="0.3">
      <c r="A5520">
        <v>15519</v>
      </c>
      <c r="B5520">
        <v>487</v>
      </c>
      <c r="C5520" s="2">
        <v>44814</v>
      </c>
      <c r="D5520" s="2" t="str">
        <f>TEXT(Table3[[#This Row],[usage_date]],"mmmm")</f>
        <v>September</v>
      </c>
      <c r="E5520" s="9">
        <f>YEAR(Table3[[#This Row],[usage_date]])</f>
        <v>2022</v>
      </c>
      <c r="F5520" s="14">
        <v>1.64</v>
      </c>
      <c r="G5520">
        <v>144</v>
      </c>
      <c r="H5520" t="s">
        <v>12</v>
      </c>
      <c r="I5520" t="str">
        <f t="shared" si="86"/>
        <v>Normal Usage</v>
      </c>
    </row>
    <row r="5521" spans="1:9" x14ac:dyDescent="0.3">
      <c r="A5521">
        <v>15520</v>
      </c>
      <c r="B5521">
        <v>94</v>
      </c>
      <c r="C5521" s="2">
        <v>45094</v>
      </c>
      <c r="D5521" s="2" t="str">
        <f>TEXT(Table3[[#This Row],[usage_date]],"mmmm")</f>
        <v>June</v>
      </c>
      <c r="E5521" s="9">
        <f>YEAR(Table3[[#This Row],[usage_date]])</f>
        <v>2023</v>
      </c>
      <c r="F5521" s="14">
        <v>8.66</v>
      </c>
      <c r="G5521">
        <v>212</v>
      </c>
      <c r="H5521" t="s">
        <v>12</v>
      </c>
      <c r="I5521" t="str">
        <f t="shared" si="86"/>
        <v>High Usage</v>
      </c>
    </row>
    <row r="5522" spans="1:9" x14ac:dyDescent="0.3">
      <c r="A5522">
        <v>15521</v>
      </c>
      <c r="B5522">
        <v>429</v>
      </c>
      <c r="C5522" s="2">
        <v>45330</v>
      </c>
      <c r="D5522" s="2" t="str">
        <f>TEXT(Table3[[#This Row],[usage_date]],"mmmm")</f>
        <v>February</v>
      </c>
      <c r="E5522" s="9">
        <f>YEAR(Table3[[#This Row],[usage_date]])</f>
        <v>2024</v>
      </c>
      <c r="F5522" s="14">
        <v>2.79</v>
      </c>
      <c r="G5522">
        <v>93</v>
      </c>
      <c r="H5522" t="s">
        <v>12</v>
      </c>
      <c r="I5522" t="str">
        <f t="shared" si="86"/>
        <v>Normal Usage</v>
      </c>
    </row>
    <row r="5523" spans="1:9" x14ac:dyDescent="0.3">
      <c r="A5523">
        <v>15522</v>
      </c>
      <c r="B5523">
        <v>269</v>
      </c>
      <c r="C5523" s="2">
        <v>45452</v>
      </c>
      <c r="D5523" s="2" t="str">
        <f>TEXT(Table3[[#This Row],[usage_date]],"mmmm")</f>
        <v>June</v>
      </c>
      <c r="E5523" s="9">
        <f>YEAR(Table3[[#This Row],[usage_date]])</f>
        <v>2024</v>
      </c>
      <c r="F5523" s="14">
        <v>0.42</v>
      </c>
      <c r="G5523">
        <v>105</v>
      </c>
      <c r="H5523" t="s">
        <v>12</v>
      </c>
      <c r="I5523" t="str">
        <f t="shared" si="86"/>
        <v>Normal Usage</v>
      </c>
    </row>
    <row r="5524" spans="1:9" x14ac:dyDescent="0.3">
      <c r="A5524">
        <v>15523</v>
      </c>
      <c r="B5524">
        <v>197</v>
      </c>
      <c r="C5524" s="2">
        <v>44942</v>
      </c>
      <c r="D5524" s="2" t="str">
        <f>TEXT(Table3[[#This Row],[usage_date]],"mmmm")</f>
        <v>January</v>
      </c>
      <c r="E5524" s="9">
        <f>YEAR(Table3[[#This Row],[usage_date]])</f>
        <v>2023</v>
      </c>
      <c r="F5524" s="14">
        <v>0.36</v>
      </c>
      <c r="G5524">
        <v>83</v>
      </c>
      <c r="H5524" t="s">
        <v>12</v>
      </c>
      <c r="I5524" t="str">
        <f t="shared" si="86"/>
        <v>Normal Usage</v>
      </c>
    </row>
    <row r="5525" spans="1:9" x14ac:dyDescent="0.3">
      <c r="A5525">
        <v>15524</v>
      </c>
      <c r="B5525">
        <v>25</v>
      </c>
      <c r="C5525" s="2">
        <v>45005</v>
      </c>
      <c r="D5525" s="2" t="str">
        <f>TEXT(Table3[[#This Row],[usage_date]],"mmmm")</f>
        <v>March</v>
      </c>
      <c r="E5525" s="9">
        <f>YEAR(Table3[[#This Row],[usage_date]])</f>
        <v>2023</v>
      </c>
      <c r="F5525" s="14">
        <v>0.56999999999999995</v>
      </c>
      <c r="G5525">
        <v>135</v>
      </c>
      <c r="H5525" t="s">
        <v>13</v>
      </c>
      <c r="I5525" t="str">
        <f t="shared" si="86"/>
        <v>Normal Usage</v>
      </c>
    </row>
    <row r="5526" spans="1:9" x14ac:dyDescent="0.3">
      <c r="A5526">
        <v>15525</v>
      </c>
      <c r="B5526">
        <v>148</v>
      </c>
      <c r="C5526" s="2">
        <v>44594</v>
      </c>
      <c r="D5526" s="2" t="str">
        <f>TEXT(Table3[[#This Row],[usage_date]],"mmmm")</f>
        <v>February</v>
      </c>
      <c r="E5526" s="9">
        <f>YEAR(Table3[[#This Row],[usage_date]])</f>
        <v>2022</v>
      </c>
      <c r="F5526" s="14">
        <v>3.64</v>
      </c>
      <c r="G5526">
        <v>145</v>
      </c>
      <c r="H5526" t="s">
        <v>12</v>
      </c>
      <c r="I5526" t="str">
        <f t="shared" si="86"/>
        <v>Normal Usage</v>
      </c>
    </row>
    <row r="5527" spans="1:9" x14ac:dyDescent="0.3">
      <c r="A5527">
        <v>15526</v>
      </c>
      <c r="B5527">
        <v>118</v>
      </c>
      <c r="C5527" s="2">
        <v>44821</v>
      </c>
      <c r="D5527" s="2" t="str">
        <f>TEXT(Table3[[#This Row],[usage_date]],"mmmm")</f>
        <v>September</v>
      </c>
      <c r="E5527" s="9">
        <f>YEAR(Table3[[#This Row],[usage_date]])</f>
        <v>2022</v>
      </c>
      <c r="F5527" s="14">
        <v>0.88</v>
      </c>
      <c r="G5527">
        <v>248</v>
      </c>
      <c r="H5527" t="s">
        <v>12</v>
      </c>
      <c r="I5527" t="str">
        <f t="shared" si="86"/>
        <v>Normal Usage</v>
      </c>
    </row>
    <row r="5528" spans="1:9" x14ac:dyDescent="0.3">
      <c r="A5528">
        <v>15527</v>
      </c>
      <c r="B5528">
        <v>338</v>
      </c>
      <c r="C5528" s="2">
        <v>44795</v>
      </c>
      <c r="D5528" s="2" t="str">
        <f>TEXT(Table3[[#This Row],[usage_date]],"mmmm")</f>
        <v>August</v>
      </c>
      <c r="E5528" s="9">
        <f>YEAR(Table3[[#This Row],[usage_date]])</f>
        <v>2022</v>
      </c>
      <c r="F5528" s="14">
        <v>0.05</v>
      </c>
      <c r="G5528">
        <v>17</v>
      </c>
      <c r="H5528" t="s">
        <v>13</v>
      </c>
      <c r="I5528" t="str">
        <f t="shared" si="86"/>
        <v>Normal Usage</v>
      </c>
    </row>
    <row r="5529" spans="1:9" x14ac:dyDescent="0.3">
      <c r="A5529">
        <v>15528</v>
      </c>
      <c r="B5529">
        <v>367</v>
      </c>
      <c r="C5529" s="2">
        <v>45076</v>
      </c>
      <c r="D5529" s="2" t="str">
        <f>TEXT(Table3[[#This Row],[usage_date]],"mmmm")</f>
        <v>May</v>
      </c>
      <c r="E5529" s="9">
        <f>YEAR(Table3[[#This Row],[usage_date]])</f>
        <v>2023</v>
      </c>
      <c r="F5529" s="14">
        <v>7.21</v>
      </c>
      <c r="G5529">
        <v>124</v>
      </c>
      <c r="H5529" t="s">
        <v>13</v>
      </c>
      <c r="I5529" t="str">
        <f t="shared" si="86"/>
        <v>High Usage</v>
      </c>
    </row>
    <row r="5530" spans="1:9" x14ac:dyDescent="0.3">
      <c r="A5530">
        <v>15529</v>
      </c>
      <c r="B5530">
        <v>338</v>
      </c>
      <c r="C5530" s="2">
        <v>45420</v>
      </c>
      <c r="D5530" s="2" t="str">
        <f>TEXT(Table3[[#This Row],[usage_date]],"mmmm")</f>
        <v>May</v>
      </c>
      <c r="E5530" s="9">
        <f>YEAR(Table3[[#This Row],[usage_date]])</f>
        <v>2024</v>
      </c>
      <c r="F5530" s="14">
        <v>0.46</v>
      </c>
      <c r="G5530">
        <v>1</v>
      </c>
      <c r="H5530" t="s">
        <v>12</v>
      </c>
      <c r="I5530" t="str">
        <f t="shared" si="86"/>
        <v>Normal Usage</v>
      </c>
    </row>
    <row r="5531" spans="1:9" x14ac:dyDescent="0.3">
      <c r="A5531">
        <v>15530</v>
      </c>
      <c r="B5531">
        <v>66</v>
      </c>
      <c r="C5531" s="2">
        <v>44869</v>
      </c>
      <c r="D5531" s="2" t="str">
        <f>TEXT(Table3[[#This Row],[usage_date]],"mmmm")</f>
        <v>November</v>
      </c>
      <c r="E5531" s="9">
        <f>YEAR(Table3[[#This Row],[usage_date]])</f>
        <v>2022</v>
      </c>
      <c r="F5531" s="14">
        <v>0.02</v>
      </c>
      <c r="G5531">
        <v>199</v>
      </c>
      <c r="H5531" t="s">
        <v>12</v>
      </c>
      <c r="I5531" t="str">
        <f t="shared" si="86"/>
        <v>Normal Usage</v>
      </c>
    </row>
    <row r="5532" spans="1:9" x14ac:dyDescent="0.3">
      <c r="A5532">
        <v>15531</v>
      </c>
      <c r="B5532">
        <v>458</v>
      </c>
      <c r="C5532" s="2">
        <v>45300</v>
      </c>
      <c r="D5532" s="2" t="str">
        <f>TEXT(Table3[[#This Row],[usage_date]],"mmmm")</f>
        <v>January</v>
      </c>
      <c r="E5532" s="9">
        <f>YEAR(Table3[[#This Row],[usage_date]])</f>
        <v>2024</v>
      </c>
      <c r="F5532" s="14">
        <v>0.68</v>
      </c>
      <c r="G5532">
        <v>137</v>
      </c>
      <c r="H5532" t="s">
        <v>12</v>
      </c>
      <c r="I5532" t="str">
        <f t="shared" si="86"/>
        <v>Normal Usage</v>
      </c>
    </row>
    <row r="5533" spans="1:9" x14ac:dyDescent="0.3">
      <c r="A5533">
        <v>15532</v>
      </c>
      <c r="B5533">
        <v>301</v>
      </c>
      <c r="C5533" s="2">
        <v>45357</v>
      </c>
      <c r="D5533" s="2" t="str">
        <f>TEXT(Table3[[#This Row],[usage_date]],"mmmm")</f>
        <v>March</v>
      </c>
      <c r="E5533" s="9">
        <f>YEAR(Table3[[#This Row],[usage_date]])</f>
        <v>2024</v>
      </c>
      <c r="F5533" s="14">
        <v>0.67</v>
      </c>
      <c r="G5533">
        <v>202</v>
      </c>
      <c r="H5533" t="s">
        <v>12</v>
      </c>
      <c r="I5533" t="str">
        <f t="shared" si="86"/>
        <v>Normal Usage</v>
      </c>
    </row>
    <row r="5534" spans="1:9" x14ac:dyDescent="0.3">
      <c r="A5534">
        <v>15533</v>
      </c>
      <c r="B5534">
        <v>370</v>
      </c>
      <c r="C5534" s="2">
        <v>44631</v>
      </c>
      <c r="D5534" s="2" t="str">
        <f>TEXT(Table3[[#This Row],[usage_date]],"mmmm")</f>
        <v>March</v>
      </c>
      <c r="E5534" s="9">
        <f>YEAR(Table3[[#This Row],[usage_date]])</f>
        <v>2022</v>
      </c>
      <c r="F5534" s="14">
        <v>1.37</v>
      </c>
      <c r="G5534">
        <v>281</v>
      </c>
      <c r="H5534" t="s">
        <v>12</v>
      </c>
      <c r="I5534" t="str">
        <f t="shared" si="86"/>
        <v>Normal Usage</v>
      </c>
    </row>
    <row r="5535" spans="1:9" x14ac:dyDescent="0.3">
      <c r="A5535">
        <v>15534</v>
      </c>
      <c r="B5535">
        <v>175</v>
      </c>
      <c r="C5535" s="2">
        <v>45015</v>
      </c>
      <c r="D5535" s="2" t="str">
        <f>TEXT(Table3[[#This Row],[usage_date]],"mmmm")</f>
        <v>March</v>
      </c>
      <c r="E5535" s="9">
        <f>YEAR(Table3[[#This Row],[usage_date]])</f>
        <v>2023</v>
      </c>
      <c r="F5535" s="14">
        <v>6.33</v>
      </c>
      <c r="G5535">
        <v>29</v>
      </c>
      <c r="H5535" t="s">
        <v>13</v>
      </c>
      <c r="I5535" t="str">
        <f t="shared" si="86"/>
        <v>High Usage</v>
      </c>
    </row>
    <row r="5536" spans="1:9" x14ac:dyDescent="0.3">
      <c r="A5536">
        <v>15535</v>
      </c>
      <c r="B5536">
        <v>319</v>
      </c>
      <c r="C5536" s="2">
        <v>45000</v>
      </c>
      <c r="D5536" s="2" t="str">
        <f>TEXT(Table3[[#This Row],[usage_date]],"mmmm")</f>
        <v>March</v>
      </c>
      <c r="E5536" s="9">
        <f>YEAR(Table3[[#This Row],[usage_date]])</f>
        <v>2023</v>
      </c>
      <c r="F5536" s="14">
        <v>5.28</v>
      </c>
      <c r="G5536">
        <v>55</v>
      </c>
      <c r="H5536" t="s">
        <v>12</v>
      </c>
      <c r="I5536" t="str">
        <f t="shared" si="86"/>
        <v>Normal Usage</v>
      </c>
    </row>
    <row r="5537" spans="1:9" x14ac:dyDescent="0.3">
      <c r="A5537">
        <v>15536</v>
      </c>
      <c r="B5537">
        <v>76</v>
      </c>
      <c r="C5537" s="2">
        <v>45386</v>
      </c>
      <c r="D5537" s="2" t="str">
        <f>TEXT(Table3[[#This Row],[usage_date]],"mmmm")</f>
        <v>April</v>
      </c>
      <c r="E5537" s="9">
        <f>YEAR(Table3[[#This Row],[usage_date]])</f>
        <v>2024</v>
      </c>
      <c r="F5537" s="14">
        <v>1.53</v>
      </c>
      <c r="G5537">
        <v>118</v>
      </c>
      <c r="H5537" t="s">
        <v>12</v>
      </c>
      <c r="I5537" t="str">
        <f t="shared" si="86"/>
        <v>Normal Usage</v>
      </c>
    </row>
    <row r="5538" spans="1:9" x14ac:dyDescent="0.3">
      <c r="A5538">
        <v>15537</v>
      </c>
      <c r="B5538">
        <v>495</v>
      </c>
      <c r="C5538" s="2">
        <v>44925</v>
      </c>
      <c r="D5538" s="2" t="str">
        <f>TEXT(Table3[[#This Row],[usage_date]],"mmmm")</f>
        <v>December</v>
      </c>
      <c r="E5538" s="9">
        <f>YEAR(Table3[[#This Row],[usage_date]])</f>
        <v>2022</v>
      </c>
      <c r="F5538" s="14">
        <v>1.32</v>
      </c>
      <c r="G5538">
        <v>131</v>
      </c>
      <c r="H5538" t="s">
        <v>12</v>
      </c>
      <c r="I5538" t="str">
        <f t="shared" si="86"/>
        <v>Normal Usage</v>
      </c>
    </row>
    <row r="5539" spans="1:9" x14ac:dyDescent="0.3">
      <c r="A5539">
        <v>15538</v>
      </c>
      <c r="B5539">
        <v>461</v>
      </c>
      <c r="C5539" s="2">
        <v>45327</v>
      </c>
      <c r="D5539" s="2" t="str">
        <f>TEXT(Table3[[#This Row],[usage_date]],"mmmm")</f>
        <v>February</v>
      </c>
      <c r="E5539" s="9">
        <f>YEAR(Table3[[#This Row],[usage_date]])</f>
        <v>2024</v>
      </c>
      <c r="F5539" s="14">
        <v>2.02</v>
      </c>
      <c r="G5539">
        <v>230</v>
      </c>
      <c r="H5539" t="s">
        <v>13</v>
      </c>
      <c r="I5539" t="str">
        <f t="shared" si="86"/>
        <v>Normal Usage</v>
      </c>
    </row>
    <row r="5540" spans="1:9" x14ac:dyDescent="0.3">
      <c r="A5540">
        <v>15539</v>
      </c>
      <c r="B5540">
        <v>114</v>
      </c>
      <c r="C5540" s="2">
        <v>45042</v>
      </c>
      <c r="D5540" s="2" t="str">
        <f>TEXT(Table3[[#This Row],[usage_date]],"mmmm")</f>
        <v>April</v>
      </c>
      <c r="E5540" s="9">
        <f>YEAR(Table3[[#This Row],[usage_date]])</f>
        <v>2023</v>
      </c>
      <c r="F5540" s="14">
        <v>0.7</v>
      </c>
      <c r="G5540">
        <v>151</v>
      </c>
      <c r="H5540" t="s">
        <v>12</v>
      </c>
      <c r="I5540" t="str">
        <f t="shared" si="86"/>
        <v>Normal Usage</v>
      </c>
    </row>
    <row r="5541" spans="1:9" x14ac:dyDescent="0.3">
      <c r="A5541">
        <v>15540</v>
      </c>
      <c r="B5541">
        <v>111</v>
      </c>
      <c r="C5541" s="2">
        <v>44705</v>
      </c>
      <c r="D5541" s="2" t="str">
        <f>TEXT(Table3[[#This Row],[usage_date]],"mmmm")</f>
        <v>May</v>
      </c>
      <c r="E5541" s="9">
        <f>YEAR(Table3[[#This Row],[usage_date]])</f>
        <v>2022</v>
      </c>
      <c r="F5541" s="14">
        <v>0.13</v>
      </c>
      <c r="G5541">
        <v>20</v>
      </c>
      <c r="H5541" t="s">
        <v>12</v>
      </c>
      <c r="I5541" t="str">
        <f t="shared" si="86"/>
        <v>Normal Usage</v>
      </c>
    </row>
    <row r="5542" spans="1:9" x14ac:dyDescent="0.3">
      <c r="A5542">
        <v>15541</v>
      </c>
      <c r="B5542">
        <v>249</v>
      </c>
      <c r="C5542" s="2">
        <v>44585</v>
      </c>
      <c r="D5542" s="2" t="str">
        <f>TEXT(Table3[[#This Row],[usage_date]],"mmmm")</f>
        <v>January</v>
      </c>
      <c r="E5542" s="9">
        <f>YEAR(Table3[[#This Row],[usage_date]])</f>
        <v>2022</v>
      </c>
      <c r="F5542" s="14">
        <v>7</v>
      </c>
      <c r="G5542">
        <v>67</v>
      </c>
      <c r="H5542" t="s">
        <v>12</v>
      </c>
      <c r="I5542" t="str">
        <f t="shared" si="86"/>
        <v>High Usage</v>
      </c>
    </row>
    <row r="5543" spans="1:9" x14ac:dyDescent="0.3">
      <c r="A5543">
        <v>15542</v>
      </c>
      <c r="B5543">
        <v>439</v>
      </c>
      <c r="C5543" s="2">
        <v>44986</v>
      </c>
      <c r="D5543" s="2" t="str">
        <f>TEXT(Table3[[#This Row],[usage_date]],"mmmm")</f>
        <v>March</v>
      </c>
      <c r="E5543" s="9">
        <f>YEAR(Table3[[#This Row],[usage_date]])</f>
        <v>2023</v>
      </c>
      <c r="F5543" s="14">
        <v>0.52</v>
      </c>
      <c r="G5543">
        <v>125</v>
      </c>
      <c r="H5543" t="s">
        <v>12</v>
      </c>
      <c r="I5543" t="str">
        <f t="shared" si="86"/>
        <v>Normal Usage</v>
      </c>
    </row>
    <row r="5544" spans="1:9" x14ac:dyDescent="0.3">
      <c r="A5544">
        <v>15543</v>
      </c>
      <c r="B5544">
        <v>203</v>
      </c>
      <c r="C5544" s="2">
        <v>45307</v>
      </c>
      <c r="D5544" s="2" t="str">
        <f>TEXT(Table3[[#This Row],[usage_date]],"mmmm")</f>
        <v>January</v>
      </c>
      <c r="E5544" s="9">
        <f>YEAR(Table3[[#This Row],[usage_date]])</f>
        <v>2024</v>
      </c>
      <c r="F5544" s="14">
        <v>0.55000000000000004</v>
      </c>
      <c r="G5544">
        <v>42</v>
      </c>
      <c r="H5544" t="s">
        <v>13</v>
      </c>
      <c r="I5544" t="str">
        <f t="shared" si="86"/>
        <v>Normal Usage</v>
      </c>
    </row>
    <row r="5545" spans="1:9" x14ac:dyDescent="0.3">
      <c r="A5545">
        <v>15544</v>
      </c>
      <c r="B5545">
        <v>147</v>
      </c>
      <c r="C5545" s="2">
        <v>45406</v>
      </c>
      <c r="D5545" s="2" t="str">
        <f>TEXT(Table3[[#This Row],[usage_date]],"mmmm")</f>
        <v>April</v>
      </c>
      <c r="E5545" s="9">
        <f>YEAR(Table3[[#This Row],[usage_date]])</f>
        <v>2024</v>
      </c>
      <c r="F5545" s="14">
        <v>1.6</v>
      </c>
      <c r="G5545">
        <v>181</v>
      </c>
      <c r="H5545" t="s">
        <v>12</v>
      </c>
      <c r="I5545" t="str">
        <f t="shared" si="86"/>
        <v>Normal Usage</v>
      </c>
    </row>
    <row r="5546" spans="1:9" x14ac:dyDescent="0.3">
      <c r="A5546">
        <v>15545</v>
      </c>
      <c r="B5546">
        <v>35</v>
      </c>
      <c r="C5546" s="2">
        <v>44736</v>
      </c>
      <c r="D5546" s="2" t="str">
        <f>TEXT(Table3[[#This Row],[usage_date]],"mmmm")</f>
        <v>June</v>
      </c>
      <c r="E5546" s="9">
        <f>YEAR(Table3[[#This Row],[usage_date]])</f>
        <v>2022</v>
      </c>
      <c r="F5546" s="14">
        <v>1.69</v>
      </c>
      <c r="G5546">
        <v>99</v>
      </c>
      <c r="H5546" t="s">
        <v>12</v>
      </c>
      <c r="I5546" t="str">
        <f t="shared" si="86"/>
        <v>Normal Usage</v>
      </c>
    </row>
    <row r="5547" spans="1:9" x14ac:dyDescent="0.3">
      <c r="A5547">
        <v>15546</v>
      </c>
      <c r="B5547">
        <v>487</v>
      </c>
      <c r="C5547" s="2">
        <v>45405</v>
      </c>
      <c r="D5547" s="2" t="str">
        <f>TEXT(Table3[[#This Row],[usage_date]],"mmmm")</f>
        <v>April</v>
      </c>
      <c r="E5547" s="9">
        <f>YEAR(Table3[[#This Row],[usage_date]])</f>
        <v>2024</v>
      </c>
      <c r="F5547" s="14">
        <v>0.05</v>
      </c>
      <c r="G5547">
        <v>239</v>
      </c>
      <c r="H5547" t="s">
        <v>12</v>
      </c>
      <c r="I5547" t="str">
        <f t="shared" si="86"/>
        <v>Normal Usage</v>
      </c>
    </row>
    <row r="5548" spans="1:9" x14ac:dyDescent="0.3">
      <c r="A5548">
        <v>15547</v>
      </c>
      <c r="B5548">
        <v>309</v>
      </c>
      <c r="C5548" s="2">
        <v>44886</v>
      </c>
      <c r="D5548" s="2" t="str">
        <f>TEXT(Table3[[#This Row],[usage_date]],"mmmm")</f>
        <v>November</v>
      </c>
      <c r="E5548" s="9">
        <f>YEAR(Table3[[#This Row],[usage_date]])</f>
        <v>2022</v>
      </c>
      <c r="F5548" s="14">
        <v>0.4</v>
      </c>
      <c r="G5548">
        <v>199</v>
      </c>
      <c r="H5548" t="s">
        <v>13</v>
      </c>
      <c r="I5548" t="str">
        <f t="shared" si="86"/>
        <v>Normal Usage</v>
      </c>
    </row>
    <row r="5549" spans="1:9" x14ac:dyDescent="0.3">
      <c r="A5549">
        <v>15548</v>
      </c>
      <c r="B5549">
        <v>26</v>
      </c>
      <c r="C5549" s="2">
        <v>45430</v>
      </c>
      <c r="D5549" s="2" t="str">
        <f>TEXT(Table3[[#This Row],[usage_date]],"mmmm")</f>
        <v>May</v>
      </c>
      <c r="E5549" s="9">
        <f>YEAR(Table3[[#This Row],[usage_date]])</f>
        <v>2024</v>
      </c>
      <c r="F5549" s="14">
        <v>1.19</v>
      </c>
      <c r="G5549">
        <v>115</v>
      </c>
      <c r="H5549" t="s">
        <v>12</v>
      </c>
      <c r="I5549" t="str">
        <f t="shared" si="86"/>
        <v>Normal Usage</v>
      </c>
    </row>
    <row r="5550" spans="1:9" x14ac:dyDescent="0.3">
      <c r="A5550">
        <v>15549</v>
      </c>
      <c r="B5550">
        <v>238</v>
      </c>
      <c r="C5550" s="2">
        <v>45232</v>
      </c>
      <c r="D5550" s="2" t="str">
        <f>TEXT(Table3[[#This Row],[usage_date]],"mmmm")</f>
        <v>November</v>
      </c>
      <c r="E5550" s="9">
        <f>YEAR(Table3[[#This Row],[usage_date]])</f>
        <v>2023</v>
      </c>
      <c r="F5550" s="14">
        <v>2.88</v>
      </c>
      <c r="G5550">
        <v>114</v>
      </c>
      <c r="H5550" t="s">
        <v>13</v>
      </c>
      <c r="I5550" t="str">
        <f t="shared" si="86"/>
        <v>Normal Usage</v>
      </c>
    </row>
    <row r="5551" spans="1:9" x14ac:dyDescent="0.3">
      <c r="A5551">
        <v>15550</v>
      </c>
      <c r="B5551">
        <v>14</v>
      </c>
      <c r="C5551" s="2">
        <v>45421</v>
      </c>
      <c r="D5551" s="2" t="str">
        <f>TEXT(Table3[[#This Row],[usage_date]],"mmmm")</f>
        <v>May</v>
      </c>
      <c r="E5551" s="9">
        <f>YEAR(Table3[[#This Row],[usage_date]])</f>
        <v>2024</v>
      </c>
      <c r="F5551" s="14">
        <v>0.65</v>
      </c>
      <c r="G5551">
        <v>141</v>
      </c>
      <c r="H5551" t="s">
        <v>12</v>
      </c>
      <c r="I5551" t="str">
        <f t="shared" si="86"/>
        <v>Normal Usage</v>
      </c>
    </row>
    <row r="5552" spans="1:9" x14ac:dyDescent="0.3">
      <c r="A5552">
        <v>15551</v>
      </c>
      <c r="B5552">
        <v>374</v>
      </c>
      <c r="C5552" s="2">
        <v>44909</v>
      </c>
      <c r="D5552" s="2" t="str">
        <f>TEXT(Table3[[#This Row],[usage_date]],"mmmm")</f>
        <v>December</v>
      </c>
      <c r="E5552" s="9">
        <f>YEAR(Table3[[#This Row],[usage_date]])</f>
        <v>2022</v>
      </c>
      <c r="F5552" s="14">
        <v>1.37</v>
      </c>
      <c r="G5552">
        <v>118</v>
      </c>
      <c r="H5552" t="s">
        <v>12</v>
      </c>
      <c r="I5552" t="str">
        <f t="shared" si="86"/>
        <v>Normal Usage</v>
      </c>
    </row>
    <row r="5553" spans="1:9" x14ac:dyDescent="0.3">
      <c r="A5553">
        <v>15552</v>
      </c>
      <c r="B5553">
        <v>45</v>
      </c>
      <c r="C5553" s="2">
        <v>45359</v>
      </c>
      <c r="D5553" s="2" t="str">
        <f>TEXT(Table3[[#This Row],[usage_date]],"mmmm")</f>
        <v>March</v>
      </c>
      <c r="E5553" s="9">
        <f>YEAR(Table3[[#This Row],[usage_date]])</f>
        <v>2024</v>
      </c>
      <c r="F5553" s="14">
        <v>2.04</v>
      </c>
      <c r="G5553">
        <v>92</v>
      </c>
      <c r="H5553" t="s">
        <v>12</v>
      </c>
      <c r="I5553" t="str">
        <f t="shared" si="86"/>
        <v>Normal Usage</v>
      </c>
    </row>
    <row r="5554" spans="1:9" x14ac:dyDescent="0.3">
      <c r="A5554">
        <v>15553</v>
      </c>
      <c r="B5554">
        <v>428</v>
      </c>
      <c r="C5554" s="2">
        <v>44579</v>
      </c>
      <c r="D5554" s="2" t="str">
        <f>TEXT(Table3[[#This Row],[usage_date]],"mmmm")</f>
        <v>January</v>
      </c>
      <c r="E5554" s="9">
        <f>YEAR(Table3[[#This Row],[usage_date]])</f>
        <v>2022</v>
      </c>
      <c r="F5554" s="14">
        <v>5.49</v>
      </c>
      <c r="G5554">
        <v>8</v>
      </c>
      <c r="H5554" t="s">
        <v>12</v>
      </c>
      <c r="I5554" t="str">
        <f t="shared" si="86"/>
        <v>Normal Usage</v>
      </c>
    </row>
    <row r="5555" spans="1:9" x14ac:dyDescent="0.3">
      <c r="A5555">
        <v>15554</v>
      </c>
      <c r="B5555">
        <v>216</v>
      </c>
      <c r="C5555" s="2">
        <v>44605</v>
      </c>
      <c r="D5555" s="2" t="str">
        <f>TEXT(Table3[[#This Row],[usage_date]],"mmmm")</f>
        <v>February</v>
      </c>
      <c r="E5555" s="9">
        <f>YEAR(Table3[[#This Row],[usage_date]])</f>
        <v>2022</v>
      </c>
      <c r="F5555" s="14">
        <v>0.99</v>
      </c>
      <c r="G5555">
        <v>72</v>
      </c>
      <c r="H5555" t="s">
        <v>13</v>
      </c>
      <c r="I5555" t="str">
        <f t="shared" si="86"/>
        <v>Normal Usage</v>
      </c>
    </row>
    <row r="5556" spans="1:9" x14ac:dyDescent="0.3">
      <c r="A5556">
        <v>15555</v>
      </c>
      <c r="B5556">
        <v>233</v>
      </c>
      <c r="C5556" s="2">
        <v>44716</v>
      </c>
      <c r="D5556" s="2" t="str">
        <f>TEXT(Table3[[#This Row],[usage_date]],"mmmm")</f>
        <v>June</v>
      </c>
      <c r="E5556" s="9">
        <f>YEAR(Table3[[#This Row],[usage_date]])</f>
        <v>2022</v>
      </c>
      <c r="F5556" s="14">
        <v>0.36</v>
      </c>
      <c r="G5556">
        <v>25</v>
      </c>
      <c r="H5556" t="s">
        <v>13</v>
      </c>
      <c r="I5556" t="str">
        <f t="shared" si="86"/>
        <v>Normal Usage</v>
      </c>
    </row>
    <row r="5557" spans="1:9" x14ac:dyDescent="0.3">
      <c r="A5557">
        <v>15556</v>
      </c>
      <c r="B5557">
        <v>193</v>
      </c>
      <c r="C5557" s="2">
        <v>45428</v>
      </c>
      <c r="D5557" s="2" t="str">
        <f>TEXT(Table3[[#This Row],[usage_date]],"mmmm")</f>
        <v>May</v>
      </c>
      <c r="E5557" s="9">
        <f>YEAR(Table3[[#This Row],[usage_date]])</f>
        <v>2024</v>
      </c>
      <c r="F5557" s="14">
        <v>1.68</v>
      </c>
      <c r="G5557">
        <v>238</v>
      </c>
      <c r="H5557" t="s">
        <v>12</v>
      </c>
      <c r="I5557" t="str">
        <f t="shared" si="86"/>
        <v>Normal Usage</v>
      </c>
    </row>
    <row r="5558" spans="1:9" x14ac:dyDescent="0.3">
      <c r="A5558">
        <v>15557</v>
      </c>
      <c r="B5558">
        <v>51</v>
      </c>
      <c r="C5558" s="2">
        <v>44938</v>
      </c>
      <c r="D5558" s="2" t="str">
        <f>TEXT(Table3[[#This Row],[usage_date]],"mmmm")</f>
        <v>January</v>
      </c>
      <c r="E5558" s="9">
        <f>YEAR(Table3[[#This Row],[usage_date]])</f>
        <v>2023</v>
      </c>
      <c r="F5558" s="14">
        <v>3.43</v>
      </c>
      <c r="G5558">
        <v>144</v>
      </c>
      <c r="H5558" t="s">
        <v>12</v>
      </c>
      <c r="I5558" t="str">
        <f t="shared" si="86"/>
        <v>Normal Usage</v>
      </c>
    </row>
    <row r="5559" spans="1:9" x14ac:dyDescent="0.3">
      <c r="A5559">
        <v>15558</v>
      </c>
      <c r="B5559">
        <v>427</v>
      </c>
      <c r="C5559" s="2">
        <v>45304</v>
      </c>
      <c r="D5559" s="2" t="str">
        <f>TEXT(Table3[[#This Row],[usage_date]],"mmmm")</f>
        <v>January</v>
      </c>
      <c r="E5559" s="9">
        <f>YEAR(Table3[[#This Row],[usage_date]])</f>
        <v>2024</v>
      </c>
      <c r="F5559" s="14">
        <v>0.28999999999999998</v>
      </c>
      <c r="G5559">
        <v>67</v>
      </c>
      <c r="H5559" t="s">
        <v>12</v>
      </c>
      <c r="I5559" t="str">
        <f t="shared" si="86"/>
        <v>Normal Usage</v>
      </c>
    </row>
    <row r="5560" spans="1:9" x14ac:dyDescent="0.3">
      <c r="A5560">
        <v>15559</v>
      </c>
      <c r="B5560">
        <v>375</v>
      </c>
      <c r="C5560" s="2">
        <v>45444</v>
      </c>
      <c r="D5560" s="2" t="str">
        <f>TEXT(Table3[[#This Row],[usage_date]],"mmmm")</f>
        <v>June</v>
      </c>
      <c r="E5560" s="9">
        <f>YEAR(Table3[[#This Row],[usage_date]])</f>
        <v>2024</v>
      </c>
      <c r="F5560" s="14">
        <v>1.38</v>
      </c>
      <c r="G5560">
        <v>187</v>
      </c>
      <c r="H5560" t="s">
        <v>13</v>
      </c>
      <c r="I5560" t="str">
        <f t="shared" si="86"/>
        <v>Normal Usage</v>
      </c>
    </row>
    <row r="5561" spans="1:9" x14ac:dyDescent="0.3">
      <c r="A5561">
        <v>15560</v>
      </c>
      <c r="B5561">
        <v>214</v>
      </c>
      <c r="C5561" s="2">
        <v>45389</v>
      </c>
      <c r="D5561" s="2" t="str">
        <f>TEXT(Table3[[#This Row],[usage_date]],"mmmm")</f>
        <v>April</v>
      </c>
      <c r="E5561" s="9">
        <f>YEAR(Table3[[#This Row],[usage_date]])</f>
        <v>2024</v>
      </c>
      <c r="F5561" s="14">
        <v>0.04</v>
      </c>
      <c r="G5561">
        <v>130</v>
      </c>
      <c r="H5561" t="s">
        <v>12</v>
      </c>
      <c r="I5561" t="str">
        <f t="shared" si="86"/>
        <v>Normal Usage</v>
      </c>
    </row>
    <row r="5562" spans="1:9" x14ac:dyDescent="0.3">
      <c r="A5562">
        <v>15561</v>
      </c>
      <c r="B5562">
        <v>151</v>
      </c>
      <c r="C5562" s="2">
        <v>44963</v>
      </c>
      <c r="D5562" s="2" t="str">
        <f>TEXT(Table3[[#This Row],[usage_date]],"mmmm")</f>
        <v>February</v>
      </c>
      <c r="E5562" s="9">
        <f>YEAR(Table3[[#This Row],[usage_date]])</f>
        <v>2023</v>
      </c>
      <c r="F5562" s="14">
        <v>0.09</v>
      </c>
      <c r="G5562">
        <v>220</v>
      </c>
      <c r="H5562" t="s">
        <v>12</v>
      </c>
      <c r="I5562" t="str">
        <f t="shared" si="86"/>
        <v>Normal Usage</v>
      </c>
    </row>
    <row r="5563" spans="1:9" x14ac:dyDescent="0.3">
      <c r="A5563">
        <v>15562</v>
      </c>
      <c r="B5563">
        <v>440</v>
      </c>
      <c r="C5563" s="2">
        <v>44786</v>
      </c>
      <c r="D5563" s="2" t="str">
        <f>TEXT(Table3[[#This Row],[usage_date]],"mmmm")</f>
        <v>August</v>
      </c>
      <c r="E5563" s="9">
        <f>YEAR(Table3[[#This Row],[usage_date]])</f>
        <v>2022</v>
      </c>
      <c r="F5563" s="14">
        <v>1.65</v>
      </c>
      <c r="G5563">
        <v>280</v>
      </c>
      <c r="H5563" t="s">
        <v>12</v>
      </c>
      <c r="I5563" t="str">
        <f t="shared" si="86"/>
        <v>Normal Usage</v>
      </c>
    </row>
    <row r="5564" spans="1:9" x14ac:dyDescent="0.3">
      <c r="A5564">
        <v>15563</v>
      </c>
      <c r="B5564">
        <v>275</v>
      </c>
      <c r="C5564" s="2">
        <v>44778</v>
      </c>
      <c r="D5564" s="2" t="str">
        <f>TEXT(Table3[[#This Row],[usage_date]],"mmmm")</f>
        <v>August</v>
      </c>
      <c r="E5564" s="9">
        <f>YEAR(Table3[[#This Row],[usage_date]])</f>
        <v>2022</v>
      </c>
      <c r="F5564" s="14">
        <v>0.89</v>
      </c>
      <c r="G5564">
        <v>276</v>
      </c>
      <c r="H5564" t="s">
        <v>12</v>
      </c>
      <c r="I5564" t="str">
        <f t="shared" si="86"/>
        <v>Normal Usage</v>
      </c>
    </row>
    <row r="5565" spans="1:9" x14ac:dyDescent="0.3">
      <c r="A5565">
        <v>15564</v>
      </c>
      <c r="B5565">
        <v>338</v>
      </c>
      <c r="C5565" s="2">
        <v>45129</v>
      </c>
      <c r="D5565" s="2" t="str">
        <f>TEXT(Table3[[#This Row],[usage_date]],"mmmm")</f>
        <v>July</v>
      </c>
      <c r="E5565" s="9">
        <f>YEAR(Table3[[#This Row],[usage_date]])</f>
        <v>2023</v>
      </c>
      <c r="F5565" s="14">
        <v>4.66</v>
      </c>
      <c r="G5565">
        <v>139</v>
      </c>
      <c r="H5565" t="s">
        <v>13</v>
      </c>
      <c r="I5565" t="str">
        <f t="shared" si="86"/>
        <v>Normal Usage</v>
      </c>
    </row>
    <row r="5566" spans="1:9" x14ac:dyDescent="0.3">
      <c r="A5566">
        <v>15565</v>
      </c>
      <c r="B5566">
        <v>76</v>
      </c>
      <c r="C5566" s="2">
        <v>44592</v>
      </c>
      <c r="D5566" s="2" t="str">
        <f>TEXT(Table3[[#This Row],[usage_date]],"mmmm")</f>
        <v>January</v>
      </c>
      <c r="E5566" s="9">
        <f>YEAR(Table3[[#This Row],[usage_date]])</f>
        <v>2022</v>
      </c>
      <c r="F5566" s="14">
        <v>2.2999999999999998</v>
      </c>
      <c r="G5566">
        <v>53</v>
      </c>
      <c r="H5566" t="s">
        <v>13</v>
      </c>
      <c r="I5566" t="str">
        <f t="shared" si="86"/>
        <v>Normal Usage</v>
      </c>
    </row>
    <row r="5567" spans="1:9" x14ac:dyDescent="0.3">
      <c r="A5567">
        <v>15566</v>
      </c>
      <c r="B5567">
        <v>439</v>
      </c>
      <c r="C5567" s="2">
        <v>45430</v>
      </c>
      <c r="D5567" s="2" t="str">
        <f>TEXT(Table3[[#This Row],[usage_date]],"mmmm")</f>
        <v>May</v>
      </c>
      <c r="E5567" s="9">
        <f>YEAR(Table3[[#This Row],[usage_date]])</f>
        <v>2024</v>
      </c>
      <c r="F5567" s="14">
        <v>1.51</v>
      </c>
      <c r="G5567">
        <v>0</v>
      </c>
      <c r="H5567" t="s">
        <v>12</v>
      </c>
      <c r="I5567" t="str">
        <f t="shared" si="86"/>
        <v>Normal Usage</v>
      </c>
    </row>
    <row r="5568" spans="1:9" x14ac:dyDescent="0.3">
      <c r="A5568">
        <v>15567</v>
      </c>
      <c r="B5568">
        <v>220</v>
      </c>
      <c r="C5568" s="2">
        <v>44620</v>
      </c>
      <c r="D5568" s="2" t="str">
        <f>TEXT(Table3[[#This Row],[usage_date]],"mmmm")</f>
        <v>February</v>
      </c>
      <c r="E5568" s="9">
        <f>YEAR(Table3[[#This Row],[usage_date]])</f>
        <v>2022</v>
      </c>
      <c r="F5568" s="14">
        <v>1.31</v>
      </c>
      <c r="G5568">
        <v>127</v>
      </c>
      <c r="H5568" t="s">
        <v>12</v>
      </c>
      <c r="I5568" t="str">
        <f t="shared" si="86"/>
        <v>Normal Usage</v>
      </c>
    </row>
    <row r="5569" spans="1:9" x14ac:dyDescent="0.3">
      <c r="A5569">
        <v>15568</v>
      </c>
      <c r="B5569">
        <v>348</v>
      </c>
      <c r="C5569" s="2">
        <v>45453</v>
      </c>
      <c r="D5569" s="2" t="str">
        <f>TEXT(Table3[[#This Row],[usage_date]],"mmmm")</f>
        <v>June</v>
      </c>
      <c r="E5569" s="9">
        <f>YEAR(Table3[[#This Row],[usage_date]])</f>
        <v>2024</v>
      </c>
      <c r="F5569" s="14">
        <v>1.72</v>
      </c>
      <c r="G5569">
        <v>0</v>
      </c>
      <c r="H5569" t="s">
        <v>12</v>
      </c>
      <c r="I5569" t="str">
        <f t="shared" si="86"/>
        <v>Normal Usage</v>
      </c>
    </row>
    <row r="5570" spans="1:9" x14ac:dyDescent="0.3">
      <c r="A5570">
        <v>15569</v>
      </c>
      <c r="B5570">
        <v>444</v>
      </c>
      <c r="C5570" s="2">
        <v>45459</v>
      </c>
      <c r="D5570" s="2" t="str">
        <f>TEXT(Table3[[#This Row],[usage_date]],"mmmm")</f>
        <v>June</v>
      </c>
      <c r="E5570" s="9">
        <f>YEAR(Table3[[#This Row],[usage_date]])</f>
        <v>2024</v>
      </c>
      <c r="F5570" s="14">
        <v>0.1</v>
      </c>
      <c r="G5570">
        <v>172</v>
      </c>
      <c r="H5570" t="s">
        <v>13</v>
      </c>
      <c r="I5570" t="str">
        <f t="shared" ref="I5570:I5633" si="87">IF(F5570&gt;6,"High Usage","Normal Usage")</f>
        <v>Normal Usage</v>
      </c>
    </row>
    <row r="5571" spans="1:9" x14ac:dyDescent="0.3">
      <c r="A5571">
        <v>15570</v>
      </c>
      <c r="B5571">
        <v>187</v>
      </c>
      <c r="C5571" s="2">
        <v>44914</v>
      </c>
      <c r="D5571" s="2" t="str">
        <f>TEXT(Table3[[#This Row],[usage_date]],"mmmm")</f>
        <v>December</v>
      </c>
      <c r="E5571" s="9">
        <f>YEAR(Table3[[#This Row],[usage_date]])</f>
        <v>2022</v>
      </c>
      <c r="F5571" s="14">
        <v>5.58</v>
      </c>
      <c r="G5571">
        <v>265</v>
      </c>
      <c r="H5571" t="s">
        <v>12</v>
      </c>
      <c r="I5571" t="str">
        <f t="shared" si="87"/>
        <v>Normal Usage</v>
      </c>
    </row>
    <row r="5572" spans="1:9" x14ac:dyDescent="0.3">
      <c r="A5572">
        <v>15571</v>
      </c>
      <c r="B5572">
        <v>289</v>
      </c>
      <c r="C5572" s="2">
        <v>45006</v>
      </c>
      <c r="D5572" s="2" t="str">
        <f>TEXT(Table3[[#This Row],[usage_date]],"mmmm")</f>
        <v>March</v>
      </c>
      <c r="E5572" s="9">
        <f>YEAR(Table3[[#This Row],[usage_date]])</f>
        <v>2023</v>
      </c>
      <c r="F5572" s="14">
        <v>15.95</v>
      </c>
      <c r="G5572">
        <v>295</v>
      </c>
      <c r="H5572" t="s">
        <v>12</v>
      </c>
      <c r="I5572" t="str">
        <f t="shared" si="87"/>
        <v>High Usage</v>
      </c>
    </row>
    <row r="5573" spans="1:9" x14ac:dyDescent="0.3">
      <c r="A5573">
        <v>15572</v>
      </c>
      <c r="B5573">
        <v>403</v>
      </c>
      <c r="C5573" s="2">
        <v>44796</v>
      </c>
      <c r="D5573" s="2" t="str">
        <f>TEXT(Table3[[#This Row],[usage_date]],"mmmm")</f>
        <v>August</v>
      </c>
      <c r="E5573" s="9">
        <f>YEAR(Table3[[#This Row],[usage_date]])</f>
        <v>2022</v>
      </c>
      <c r="F5573" s="14">
        <v>0.5</v>
      </c>
      <c r="G5573">
        <v>255</v>
      </c>
      <c r="H5573" t="s">
        <v>12</v>
      </c>
      <c r="I5573" t="str">
        <f t="shared" si="87"/>
        <v>Normal Usage</v>
      </c>
    </row>
    <row r="5574" spans="1:9" x14ac:dyDescent="0.3">
      <c r="A5574">
        <v>15573</v>
      </c>
      <c r="B5574">
        <v>28</v>
      </c>
      <c r="C5574" s="2">
        <v>44668</v>
      </c>
      <c r="D5574" s="2" t="str">
        <f>TEXT(Table3[[#This Row],[usage_date]],"mmmm")</f>
        <v>April</v>
      </c>
      <c r="E5574" s="9">
        <f>YEAR(Table3[[#This Row],[usage_date]])</f>
        <v>2022</v>
      </c>
      <c r="F5574" s="14">
        <v>0.32</v>
      </c>
      <c r="G5574">
        <v>173</v>
      </c>
      <c r="H5574" t="s">
        <v>12</v>
      </c>
      <c r="I5574" t="str">
        <f t="shared" si="87"/>
        <v>Normal Usage</v>
      </c>
    </row>
    <row r="5575" spans="1:9" x14ac:dyDescent="0.3">
      <c r="A5575">
        <v>15574</v>
      </c>
      <c r="B5575">
        <v>379</v>
      </c>
      <c r="C5575" s="2">
        <v>44752</v>
      </c>
      <c r="D5575" s="2" t="str">
        <f>TEXT(Table3[[#This Row],[usage_date]],"mmmm")</f>
        <v>July</v>
      </c>
      <c r="E5575" s="9">
        <f>YEAR(Table3[[#This Row],[usage_date]])</f>
        <v>2022</v>
      </c>
      <c r="F5575" s="14">
        <v>0.39</v>
      </c>
      <c r="G5575">
        <v>44</v>
      </c>
      <c r="H5575" t="s">
        <v>12</v>
      </c>
      <c r="I5575" t="str">
        <f t="shared" si="87"/>
        <v>Normal Usage</v>
      </c>
    </row>
    <row r="5576" spans="1:9" x14ac:dyDescent="0.3">
      <c r="A5576">
        <v>15575</v>
      </c>
      <c r="B5576">
        <v>180</v>
      </c>
      <c r="C5576" s="2">
        <v>45091</v>
      </c>
      <c r="D5576" s="2" t="str">
        <f>TEXT(Table3[[#This Row],[usage_date]],"mmmm")</f>
        <v>June</v>
      </c>
      <c r="E5576" s="9">
        <f>YEAR(Table3[[#This Row],[usage_date]])</f>
        <v>2023</v>
      </c>
      <c r="F5576" s="14">
        <v>2.7</v>
      </c>
      <c r="G5576">
        <v>140</v>
      </c>
      <c r="H5576" t="s">
        <v>12</v>
      </c>
      <c r="I5576" t="str">
        <f t="shared" si="87"/>
        <v>Normal Usage</v>
      </c>
    </row>
    <row r="5577" spans="1:9" x14ac:dyDescent="0.3">
      <c r="A5577">
        <v>15576</v>
      </c>
      <c r="B5577">
        <v>253</v>
      </c>
      <c r="C5577" s="2">
        <v>45299</v>
      </c>
      <c r="D5577" s="2" t="str">
        <f>TEXT(Table3[[#This Row],[usage_date]],"mmmm")</f>
        <v>January</v>
      </c>
      <c r="E5577" s="9">
        <f>YEAR(Table3[[#This Row],[usage_date]])</f>
        <v>2024</v>
      </c>
      <c r="F5577" s="14">
        <v>2.71</v>
      </c>
      <c r="G5577">
        <v>26</v>
      </c>
      <c r="H5577" t="s">
        <v>13</v>
      </c>
      <c r="I5577" t="str">
        <f t="shared" si="87"/>
        <v>Normal Usage</v>
      </c>
    </row>
    <row r="5578" spans="1:9" x14ac:dyDescent="0.3">
      <c r="A5578">
        <v>15577</v>
      </c>
      <c r="B5578">
        <v>126</v>
      </c>
      <c r="C5578" s="2">
        <v>45240</v>
      </c>
      <c r="D5578" s="2" t="str">
        <f>TEXT(Table3[[#This Row],[usage_date]],"mmmm")</f>
        <v>November</v>
      </c>
      <c r="E5578" s="9">
        <f>YEAR(Table3[[#This Row],[usage_date]])</f>
        <v>2023</v>
      </c>
      <c r="F5578" s="14">
        <v>4.71</v>
      </c>
      <c r="G5578">
        <v>232</v>
      </c>
      <c r="H5578" t="s">
        <v>12</v>
      </c>
      <c r="I5578" t="str">
        <f t="shared" si="87"/>
        <v>Normal Usage</v>
      </c>
    </row>
    <row r="5579" spans="1:9" x14ac:dyDescent="0.3">
      <c r="A5579">
        <v>15578</v>
      </c>
      <c r="B5579">
        <v>177</v>
      </c>
      <c r="C5579" s="2">
        <v>45144</v>
      </c>
      <c r="D5579" s="2" t="str">
        <f>TEXT(Table3[[#This Row],[usage_date]],"mmmm")</f>
        <v>August</v>
      </c>
      <c r="E5579" s="9">
        <f>YEAR(Table3[[#This Row],[usage_date]])</f>
        <v>2023</v>
      </c>
      <c r="F5579" s="14">
        <v>3.48</v>
      </c>
      <c r="G5579">
        <v>208</v>
      </c>
      <c r="H5579" t="s">
        <v>12</v>
      </c>
      <c r="I5579" t="str">
        <f t="shared" si="87"/>
        <v>Normal Usage</v>
      </c>
    </row>
    <row r="5580" spans="1:9" x14ac:dyDescent="0.3">
      <c r="A5580">
        <v>15579</v>
      </c>
      <c r="B5580">
        <v>37</v>
      </c>
      <c r="C5580" s="2">
        <v>45435</v>
      </c>
      <c r="D5580" s="2" t="str">
        <f>TEXT(Table3[[#This Row],[usage_date]],"mmmm")</f>
        <v>May</v>
      </c>
      <c r="E5580" s="9">
        <f>YEAR(Table3[[#This Row],[usage_date]])</f>
        <v>2024</v>
      </c>
      <c r="F5580" s="14">
        <v>1.49</v>
      </c>
      <c r="G5580">
        <v>49</v>
      </c>
      <c r="H5580" t="s">
        <v>12</v>
      </c>
      <c r="I5580" t="str">
        <f t="shared" si="87"/>
        <v>Normal Usage</v>
      </c>
    </row>
    <row r="5581" spans="1:9" x14ac:dyDescent="0.3">
      <c r="A5581">
        <v>15580</v>
      </c>
      <c r="B5581">
        <v>410</v>
      </c>
      <c r="C5581" s="2">
        <v>45127</v>
      </c>
      <c r="D5581" s="2" t="str">
        <f>TEXT(Table3[[#This Row],[usage_date]],"mmmm")</f>
        <v>July</v>
      </c>
      <c r="E5581" s="9">
        <f>YEAR(Table3[[#This Row],[usage_date]])</f>
        <v>2023</v>
      </c>
      <c r="F5581" s="14">
        <v>2.37</v>
      </c>
      <c r="G5581">
        <v>60</v>
      </c>
      <c r="H5581" t="s">
        <v>12</v>
      </c>
      <c r="I5581" t="str">
        <f t="shared" si="87"/>
        <v>Normal Usage</v>
      </c>
    </row>
    <row r="5582" spans="1:9" x14ac:dyDescent="0.3">
      <c r="A5582">
        <v>15581</v>
      </c>
      <c r="B5582">
        <v>99</v>
      </c>
      <c r="C5582" s="2">
        <v>44806</v>
      </c>
      <c r="D5582" s="2" t="str">
        <f>TEXT(Table3[[#This Row],[usage_date]],"mmmm")</f>
        <v>September</v>
      </c>
      <c r="E5582" s="9">
        <f>YEAR(Table3[[#This Row],[usage_date]])</f>
        <v>2022</v>
      </c>
      <c r="F5582" s="14">
        <v>2.91</v>
      </c>
      <c r="G5582">
        <v>242</v>
      </c>
      <c r="H5582" t="s">
        <v>12</v>
      </c>
      <c r="I5582" t="str">
        <f t="shared" si="87"/>
        <v>Normal Usage</v>
      </c>
    </row>
    <row r="5583" spans="1:9" x14ac:dyDescent="0.3">
      <c r="A5583">
        <v>15582</v>
      </c>
      <c r="B5583">
        <v>98</v>
      </c>
      <c r="C5583" s="2">
        <v>45423</v>
      </c>
      <c r="D5583" s="2" t="str">
        <f>TEXT(Table3[[#This Row],[usage_date]],"mmmm")</f>
        <v>May</v>
      </c>
      <c r="E5583" s="9">
        <f>YEAR(Table3[[#This Row],[usage_date]])</f>
        <v>2024</v>
      </c>
      <c r="F5583" s="14">
        <v>1.8</v>
      </c>
      <c r="G5583">
        <v>268</v>
      </c>
      <c r="H5583" t="s">
        <v>12</v>
      </c>
      <c r="I5583" t="str">
        <f t="shared" si="87"/>
        <v>Normal Usage</v>
      </c>
    </row>
    <row r="5584" spans="1:9" x14ac:dyDescent="0.3">
      <c r="A5584">
        <v>15583</v>
      </c>
      <c r="B5584">
        <v>127</v>
      </c>
      <c r="C5584" s="2">
        <v>44637</v>
      </c>
      <c r="D5584" s="2" t="str">
        <f>TEXT(Table3[[#This Row],[usage_date]],"mmmm")</f>
        <v>March</v>
      </c>
      <c r="E5584" s="9">
        <f>YEAR(Table3[[#This Row],[usage_date]])</f>
        <v>2022</v>
      </c>
      <c r="F5584" s="14">
        <v>1.61</v>
      </c>
      <c r="G5584">
        <v>139</v>
      </c>
      <c r="H5584" t="s">
        <v>12</v>
      </c>
      <c r="I5584" t="str">
        <f t="shared" si="87"/>
        <v>Normal Usage</v>
      </c>
    </row>
    <row r="5585" spans="1:9" x14ac:dyDescent="0.3">
      <c r="A5585">
        <v>15584</v>
      </c>
      <c r="B5585">
        <v>483</v>
      </c>
      <c r="C5585" s="2">
        <v>45108</v>
      </c>
      <c r="D5585" s="2" t="str">
        <f>TEXT(Table3[[#This Row],[usage_date]],"mmmm")</f>
        <v>July</v>
      </c>
      <c r="E5585" s="9">
        <f>YEAR(Table3[[#This Row],[usage_date]])</f>
        <v>2023</v>
      </c>
      <c r="F5585" s="14">
        <v>2.59</v>
      </c>
      <c r="G5585">
        <v>156</v>
      </c>
      <c r="H5585" t="s">
        <v>12</v>
      </c>
      <c r="I5585" t="str">
        <f t="shared" si="87"/>
        <v>Normal Usage</v>
      </c>
    </row>
    <row r="5586" spans="1:9" x14ac:dyDescent="0.3">
      <c r="A5586">
        <v>15585</v>
      </c>
      <c r="B5586">
        <v>168</v>
      </c>
      <c r="C5586" s="2">
        <v>44828</v>
      </c>
      <c r="D5586" s="2" t="str">
        <f>TEXT(Table3[[#This Row],[usage_date]],"mmmm")</f>
        <v>September</v>
      </c>
      <c r="E5586" s="9">
        <f>YEAR(Table3[[#This Row],[usage_date]])</f>
        <v>2022</v>
      </c>
      <c r="F5586" s="14">
        <v>2.04</v>
      </c>
      <c r="G5586">
        <v>84</v>
      </c>
      <c r="H5586" t="s">
        <v>12</v>
      </c>
      <c r="I5586" t="str">
        <f t="shared" si="87"/>
        <v>Normal Usage</v>
      </c>
    </row>
    <row r="5587" spans="1:9" x14ac:dyDescent="0.3">
      <c r="A5587">
        <v>15586</v>
      </c>
      <c r="B5587">
        <v>80</v>
      </c>
      <c r="C5587" s="2">
        <v>44878</v>
      </c>
      <c r="D5587" s="2" t="str">
        <f>TEXT(Table3[[#This Row],[usage_date]],"mmmm")</f>
        <v>November</v>
      </c>
      <c r="E5587" s="9">
        <f>YEAR(Table3[[#This Row],[usage_date]])</f>
        <v>2022</v>
      </c>
      <c r="F5587" s="14">
        <v>2.58</v>
      </c>
      <c r="G5587">
        <v>83</v>
      </c>
      <c r="H5587" t="s">
        <v>12</v>
      </c>
      <c r="I5587" t="str">
        <f t="shared" si="87"/>
        <v>Normal Usage</v>
      </c>
    </row>
    <row r="5588" spans="1:9" x14ac:dyDescent="0.3">
      <c r="A5588">
        <v>15587</v>
      </c>
      <c r="B5588">
        <v>294</v>
      </c>
      <c r="C5588" s="2">
        <v>45373</v>
      </c>
      <c r="D5588" s="2" t="str">
        <f>TEXT(Table3[[#This Row],[usage_date]],"mmmm")</f>
        <v>March</v>
      </c>
      <c r="E5588" s="9">
        <f>YEAR(Table3[[#This Row],[usage_date]])</f>
        <v>2024</v>
      </c>
      <c r="F5588" s="14">
        <v>2.37</v>
      </c>
      <c r="G5588">
        <v>275</v>
      </c>
      <c r="H5588" t="s">
        <v>13</v>
      </c>
      <c r="I5588" t="str">
        <f t="shared" si="87"/>
        <v>Normal Usage</v>
      </c>
    </row>
    <row r="5589" spans="1:9" x14ac:dyDescent="0.3">
      <c r="A5589">
        <v>15588</v>
      </c>
      <c r="B5589">
        <v>333</v>
      </c>
      <c r="C5589" s="2">
        <v>44682</v>
      </c>
      <c r="D5589" s="2" t="str">
        <f>TEXT(Table3[[#This Row],[usage_date]],"mmmm")</f>
        <v>May</v>
      </c>
      <c r="E5589" s="9">
        <f>YEAR(Table3[[#This Row],[usage_date]])</f>
        <v>2022</v>
      </c>
      <c r="F5589" s="14">
        <v>3.18</v>
      </c>
      <c r="G5589">
        <v>30</v>
      </c>
      <c r="H5589" t="s">
        <v>12</v>
      </c>
      <c r="I5589" t="str">
        <f t="shared" si="87"/>
        <v>Normal Usage</v>
      </c>
    </row>
    <row r="5590" spans="1:9" x14ac:dyDescent="0.3">
      <c r="A5590">
        <v>15589</v>
      </c>
      <c r="B5590">
        <v>126</v>
      </c>
      <c r="C5590" s="2">
        <v>45397</v>
      </c>
      <c r="D5590" s="2" t="str">
        <f>TEXT(Table3[[#This Row],[usage_date]],"mmmm")</f>
        <v>April</v>
      </c>
      <c r="E5590" s="9">
        <f>YEAR(Table3[[#This Row],[usage_date]])</f>
        <v>2024</v>
      </c>
      <c r="F5590" s="14">
        <v>2.57</v>
      </c>
      <c r="G5590">
        <v>7</v>
      </c>
      <c r="H5590" t="s">
        <v>12</v>
      </c>
      <c r="I5590" t="str">
        <f t="shared" si="87"/>
        <v>Normal Usage</v>
      </c>
    </row>
    <row r="5591" spans="1:9" x14ac:dyDescent="0.3">
      <c r="A5591">
        <v>15590</v>
      </c>
      <c r="B5591">
        <v>343</v>
      </c>
      <c r="C5591" s="2">
        <v>44586</v>
      </c>
      <c r="D5591" s="2" t="str">
        <f>TEXT(Table3[[#This Row],[usage_date]],"mmmm")</f>
        <v>January</v>
      </c>
      <c r="E5591" s="9">
        <f>YEAR(Table3[[#This Row],[usage_date]])</f>
        <v>2022</v>
      </c>
      <c r="F5591" s="14">
        <v>1.83</v>
      </c>
      <c r="G5591">
        <v>279</v>
      </c>
      <c r="H5591" t="s">
        <v>12</v>
      </c>
      <c r="I5591" t="str">
        <f t="shared" si="87"/>
        <v>Normal Usage</v>
      </c>
    </row>
    <row r="5592" spans="1:9" x14ac:dyDescent="0.3">
      <c r="A5592">
        <v>15591</v>
      </c>
      <c r="B5592">
        <v>310</v>
      </c>
      <c r="C5592" s="2">
        <v>44993</v>
      </c>
      <c r="D5592" s="2" t="str">
        <f>TEXT(Table3[[#This Row],[usage_date]],"mmmm")</f>
        <v>March</v>
      </c>
      <c r="E5592" s="9">
        <f>YEAR(Table3[[#This Row],[usage_date]])</f>
        <v>2023</v>
      </c>
      <c r="F5592" s="14">
        <v>2.86</v>
      </c>
      <c r="G5592">
        <v>202</v>
      </c>
      <c r="H5592" t="s">
        <v>12</v>
      </c>
      <c r="I5592" t="str">
        <f t="shared" si="87"/>
        <v>Normal Usage</v>
      </c>
    </row>
    <row r="5593" spans="1:9" x14ac:dyDescent="0.3">
      <c r="A5593">
        <v>15592</v>
      </c>
      <c r="B5593">
        <v>150</v>
      </c>
      <c r="C5593" s="2">
        <v>44721</v>
      </c>
      <c r="D5593" s="2" t="str">
        <f>TEXT(Table3[[#This Row],[usage_date]],"mmmm")</f>
        <v>June</v>
      </c>
      <c r="E5593" s="9">
        <f>YEAR(Table3[[#This Row],[usage_date]])</f>
        <v>2022</v>
      </c>
      <c r="F5593" s="14">
        <v>1.49</v>
      </c>
      <c r="G5593">
        <v>32</v>
      </c>
      <c r="H5593" t="s">
        <v>13</v>
      </c>
      <c r="I5593" t="str">
        <f t="shared" si="87"/>
        <v>Normal Usage</v>
      </c>
    </row>
    <row r="5594" spans="1:9" x14ac:dyDescent="0.3">
      <c r="A5594">
        <v>15593</v>
      </c>
      <c r="B5594">
        <v>16</v>
      </c>
      <c r="C5594" s="2">
        <v>45157</v>
      </c>
      <c r="D5594" s="2" t="str">
        <f>TEXT(Table3[[#This Row],[usage_date]],"mmmm")</f>
        <v>August</v>
      </c>
      <c r="E5594" s="9">
        <f>YEAR(Table3[[#This Row],[usage_date]])</f>
        <v>2023</v>
      </c>
      <c r="F5594" s="14">
        <v>0.69</v>
      </c>
      <c r="G5594">
        <v>297</v>
      </c>
      <c r="H5594" t="s">
        <v>12</v>
      </c>
      <c r="I5594" t="str">
        <f t="shared" si="87"/>
        <v>Normal Usage</v>
      </c>
    </row>
    <row r="5595" spans="1:9" x14ac:dyDescent="0.3">
      <c r="A5595">
        <v>15594</v>
      </c>
      <c r="B5595">
        <v>28</v>
      </c>
      <c r="C5595" s="2">
        <v>44675</v>
      </c>
      <c r="D5595" s="2" t="str">
        <f>TEXT(Table3[[#This Row],[usage_date]],"mmmm")</f>
        <v>April</v>
      </c>
      <c r="E5595" s="9">
        <f>YEAR(Table3[[#This Row],[usage_date]])</f>
        <v>2022</v>
      </c>
      <c r="F5595" s="14">
        <v>0</v>
      </c>
      <c r="G5595">
        <v>142</v>
      </c>
      <c r="H5595" t="s">
        <v>13</v>
      </c>
      <c r="I5595" t="str">
        <f t="shared" si="87"/>
        <v>Normal Usage</v>
      </c>
    </row>
    <row r="5596" spans="1:9" x14ac:dyDescent="0.3">
      <c r="A5596">
        <v>15595</v>
      </c>
      <c r="B5596">
        <v>496</v>
      </c>
      <c r="C5596" s="2">
        <v>45296</v>
      </c>
      <c r="D5596" s="2" t="str">
        <f>TEXT(Table3[[#This Row],[usage_date]],"mmmm")</f>
        <v>January</v>
      </c>
      <c r="E5596" s="9">
        <f>YEAR(Table3[[#This Row],[usage_date]])</f>
        <v>2024</v>
      </c>
      <c r="F5596" s="14">
        <v>2.0499999999999998</v>
      </c>
      <c r="G5596">
        <v>36</v>
      </c>
      <c r="H5596" t="s">
        <v>12</v>
      </c>
      <c r="I5596" t="str">
        <f t="shared" si="87"/>
        <v>Normal Usage</v>
      </c>
    </row>
    <row r="5597" spans="1:9" x14ac:dyDescent="0.3">
      <c r="A5597">
        <v>15596</v>
      </c>
      <c r="B5597">
        <v>419</v>
      </c>
      <c r="C5597" s="2">
        <v>45461</v>
      </c>
      <c r="D5597" s="2" t="str">
        <f>TEXT(Table3[[#This Row],[usage_date]],"mmmm")</f>
        <v>June</v>
      </c>
      <c r="E5597" s="9">
        <f>YEAR(Table3[[#This Row],[usage_date]])</f>
        <v>2024</v>
      </c>
      <c r="F5597" s="14">
        <v>2.23</v>
      </c>
      <c r="G5597">
        <v>146</v>
      </c>
      <c r="H5597" t="s">
        <v>13</v>
      </c>
      <c r="I5597" t="str">
        <f t="shared" si="87"/>
        <v>Normal Usage</v>
      </c>
    </row>
    <row r="5598" spans="1:9" x14ac:dyDescent="0.3">
      <c r="A5598">
        <v>15597</v>
      </c>
      <c r="B5598">
        <v>444</v>
      </c>
      <c r="C5598" s="2">
        <v>45063</v>
      </c>
      <c r="D5598" s="2" t="str">
        <f>TEXT(Table3[[#This Row],[usage_date]],"mmmm")</f>
        <v>May</v>
      </c>
      <c r="E5598" s="9">
        <f>YEAR(Table3[[#This Row],[usage_date]])</f>
        <v>2023</v>
      </c>
      <c r="F5598" s="14">
        <v>8.94</v>
      </c>
      <c r="G5598">
        <v>227</v>
      </c>
      <c r="H5598" t="s">
        <v>13</v>
      </c>
      <c r="I5598" t="str">
        <f t="shared" si="87"/>
        <v>High Usage</v>
      </c>
    </row>
    <row r="5599" spans="1:9" x14ac:dyDescent="0.3">
      <c r="A5599">
        <v>15598</v>
      </c>
      <c r="B5599">
        <v>173</v>
      </c>
      <c r="C5599" s="2">
        <v>44727</v>
      </c>
      <c r="D5599" s="2" t="str">
        <f>TEXT(Table3[[#This Row],[usage_date]],"mmmm")</f>
        <v>June</v>
      </c>
      <c r="E5599" s="9">
        <f>YEAR(Table3[[#This Row],[usage_date]])</f>
        <v>2022</v>
      </c>
      <c r="F5599" s="14">
        <v>1.1200000000000001</v>
      </c>
      <c r="G5599">
        <v>33</v>
      </c>
      <c r="H5599" t="s">
        <v>12</v>
      </c>
      <c r="I5599" t="str">
        <f t="shared" si="87"/>
        <v>Normal Usage</v>
      </c>
    </row>
    <row r="5600" spans="1:9" x14ac:dyDescent="0.3">
      <c r="A5600">
        <v>15599</v>
      </c>
      <c r="B5600">
        <v>46</v>
      </c>
      <c r="C5600" s="2">
        <v>45264</v>
      </c>
      <c r="D5600" s="2" t="str">
        <f>TEXT(Table3[[#This Row],[usage_date]],"mmmm")</f>
        <v>December</v>
      </c>
      <c r="E5600" s="9">
        <f>YEAR(Table3[[#This Row],[usage_date]])</f>
        <v>2023</v>
      </c>
      <c r="F5600" s="14">
        <v>1.25</v>
      </c>
      <c r="G5600">
        <v>236</v>
      </c>
      <c r="H5600" t="s">
        <v>13</v>
      </c>
      <c r="I5600" t="str">
        <f t="shared" si="87"/>
        <v>Normal Usage</v>
      </c>
    </row>
    <row r="5601" spans="1:9" x14ac:dyDescent="0.3">
      <c r="A5601">
        <v>15600</v>
      </c>
      <c r="B5601">
        <v>328</v>
      </c>
      <c r="C5601" s="2">
        <v>44736</v>
      </c>
      <c r="D5601" s="2" t="str">
        <f>TEXT(Table3[[#This Row],[usage_date]],"mmmm")</f>
        <v>June</v>
      </c>
      <c r="E5601" s="9">
        <f>YEAR(Table3[[#This Row],[usage_date]])</f>
        <v>2022</v>
      </c>
      <c r="F5601" s="14">
        <v>0.56000000000000005</v>
      </c>
      <c r="G5601">
        <v>211</v>
      </c>
      <c r="H5601" t="s">
        <v>12</v>
      </c>
      <c r="I5601" t="str">
        <f t="shared" si="87"/>
        <v>Normal Usage</v>
      </c>
    </row>
    <row r="5602" spans="1:9" x14ac:dyDescent="0.3">
      <c r="A5602">
        <v>15601</v>
      </c>
      <c r="B5602">
        <v>236</v>
      </c>
      <c r="C5602" s="2">
        <v>44562</v>
      </c>
      <c r="D5602" s="2" t="str">
        <f>TEXT(Table3[[#This Row],[usage_date]],"mmmm")</f>
        <v>January</v>
      </c>
      <c r="E5602" s="9">
        <f>YEAR(Table3[[#This Row],[usage_date]])</f>
        <v>2022</v>
      </c>
      <c r="F5602" s="14">
        <v>0.18</v>
      </c>
      <c r="G5602">
        <v>139</v>
      </c>
      <c r="H5602" t="s">
        <v>13</v>
      </c>
      <c r="I5602" t="str">
        <f t="shared" si="87"/>
        <v>Normal Usage</v>
      </c>
    </row>
    <row r="5603" spans="1:9" x14ac:dyDescent="0.3">
      <c r="A5603">
        <v>15602</v>
      </c>
      <c r="B5603">
        <v>439</v>
      </c>
      <c r="C5603" s="2">
        <v>45460</v>
      </c>
      <c r="D5603" s="2" t="str">
        <f>TEXT(Table3[[#This Row],[usage_date]],"mmmm")</f>
        <v>June</v>
      </c>
      <c r="E5603" s="9">
        <f>YEAR(Table3[[#This Row],[usage_date]])</f>
        <v>2024</v>
      </c>
      <c r="F5603" s="14">
        <v>3.7</v>
      </c>
      <c r="G5603">
        <v>189</v>
      </c>
      <c r="H5603" t="s">
        <v>13</v>
      </c>
      <c r="I5603" t="str">
        <f t="shared" si="87"/>
        <v>Normal Usage</v>
      </c>
    </row>
    <row r="5604" spans="1:9" x14ac:dyDescent="0.3">
      <c r="A5604">
        <v>15603</v>
      </c>
      <c r="B5604">
        <v>214</v>
      </c>
      <c r="C5604" s="2">
        <v>45302</v>
      </c>
      <c r="D5604" s="2" t="str">
        <f>TEXT(Table3[[#This Row],[usage_date]],"mmmm")</f>
        <v>January</v>
      </c>
      <c r="E5604" s="9">
        <f>YEAR(Table3[[#This Row],[usage_date]])</f>
        <v>2024</v>
      </c>
      <c r="F5604" s="14">
        <v>0.72</v>
      </c>
      <c r="G5604">
        <v>95</v>
      </c>
      <c r="H5604" t="s">
        <v>13</v>
      </c>
      <c r="I5604" t="str">
        <f t="shared" si="87"/>
        <v>Normal Usage</v>
      </c>
    </row>
    <row r="5605" spans="1:9" x14ac:dyDescent="0.3">
      <c r="A5605">
        <v>15604</v>
      </c>
      <c r="B5605">
        <v>85</v>
      </c>
      <c r="C5605" s="2">
        <v>44647</v>
      </c>
      <c r="D5605" s="2" t="str">
        <f>TEXT(Table3[[#This Row],[usage_date]],"mmmm")</f>
        <v>March</v>
      </c>
      <c r="E5605" s="9">
        <f>YEAR(Table3[[#This Row],[usage_date]])</f>
        <v>2022</v>
      </c>
      <c r="F5605" s="14">
        <v>2.35</v>
      </c>
      <c r="G5605">
        <v>193</v>
      </c>
      <c r="H5605" t="s">
        <v>12</v>
      </c>
      <c r="I5605" t="str">
        <f t="shared" si="87"/>
        <v>Normal Usage</v>
      </c>
    </row>
    <row r="5606" spans="1:9" x14ac:dyDescent="0.3">
      <c r="A5606">
        <v>15605</v>
      </c>
      <c r="B5606">
        <v>282</v>
      </c>
      <c r="C5606" s="2">
        <v>45135</v>
      </c>
      <c r="D5606" s="2" t="str">
        <f>TEXT(Table3[[#This Row],[usage_date]],"mmmm")</f>
        <v>July</v>
      </c>
      <c r="E5606" s="9">
        <f>YEAR(Table3[[#This Row],[usage_date]])</f>
        <v>2023</v>
      </c>
      <c r="F5606" s="14">
        <v>2.91</v>
      </c>
      <c r="G5606">
        <v>295</v>
      </c>
      <c r="H5606" t="s">
        <v>13</v>
      </c>
      <c r="I5606" t="str">
        <f t="shared" si="87"/>
        <v>Normal Usage</v>
      </c>
    </row>
    <row r="5607" spans="1:9" x14ac:dyDescent="0.3">
      <c r="A5607">
        <v>15606</v>
      </c>
      <c r="B5607">
        <v>232</v>
      </c>
      <c r="C5607" s="2">
        <v>44881</v>
      </c>
      <c r="D5607" s="2" t="str">
        <f>TEXT(Table3[[#This Row],[usage_date]],"mmmm")</f>
        <v>November</v>
      </c>
      <c r="E5607" s="9">
        <f>YEAR(Table3[[#This Row],[usage_date]])</f>
        <v>2022</v>
      </c>
      <c r="F5607" s="14">
        <v>1.59</v>
      </c>
      <c r="G5607">
        <v>151</v>
      </c>
      <c r="H5607" t="s">
        <v>12</v>
      </c>
      <c r="I5607" t="str">
        <f t="shared" si="87"/>
        <v>Normal Usage</v>
      </c>
    </row>
    <row r="5608" spans="1:9" x14ac:dyDescent="0.3">
      <c r="A5608">
        <v>15607</v>
      </c>
      <c r="B5608">
        <v>85</v>
      </c>
      <c r="C5608" s="2">
        <v>44962</v>
      </c>
      <c r="D5608" s="2" t="str">
        <f>TEXT(Table3[[#This Row],[usage_date]],"mmmm")</f>
        <v>February</v>
      </c>
      <c r="E5608" s="9">
        <f>YEAR(Table3[[#This Row],[usage_date]])</f>
        <v>2023</v>
      </c>
      <c r="F5608" s="14">
        <v>5.23</v>
      </c>
      <c r="G5608">
        <v>222</v>
      </c>
      <c r="H5608" t="s">
        <v>12</v>
      </c>
      <c r="I5608" t="str">
        <f t="shared" si="87"/>
        <v>Normal Usage</v>
      </c>
    </row>
    <row r="5609" spans="1:9" x14ac:dyDescent="0.3">
      <c r="A5609">
        <v>15608</v>
      </c>
      <c r="B5609">
        <v>409</v>
      </c>
      <c r="C5609" s="2">
        <v>44943</v>
      </c>
      <c r="D5609" s="2" t="str">
        <f>TEXT(Table3[[#This Row],[usage_date]],"mmmm")</f>
        <v>January</v>
      </c>
      <c r="E5609" s="9">
        <f>YEAR(Table3[[#This Row],[usage_date]])</f>
        <v>2023</v>
      </c>
      <c r="F5609" s="14">
        <v>1.47</v>
      </c>
      <c r="G5609">
        <v>195</v>
      </c>
      <c r="H5609" t="s">
        <v>12</v>
      </c>
      <c r="I5609" t="str">
        <f t="shared" si="87"/>
        <v>Normal Usage</v>
      </c>
    </row>
    <row r="5610" spans="1:9" x14ac:dyDescent="0.3">
      <c r="A5610">
        <v>15609</v>
      </c>
      <c r="B5610">
        <v>489</v>
      </c>
      <c r="C5610" s="2">
        <v>45279</v>
      </c>
      <c r="D5610" s="2" t="str">
        <f>TEXT(Table3[[#This Row],[usage_date]],"mmmm")</f>
        <v>December</v>
      </c>
      <c r="E5610" s="9">
        <f>YEAR(Table3[[#This Row],[usage_date]])</f>
        <v>2023</v>
      </c>
      <c r="F5610" s="14">
        <v>0.84</v>
      </c>
      <c r="G5610">
        <v>87</v>
      </c>
      <c r="H5610" t="s">
        <v>13</v>
      </c>
      <c r="I5610" t="str">
        <f t="shared" si="87"/>
        <v>Normal Usage</v>
      </c>
    </row>
    <row r="5611" spans="1:9" x14ac:dyDescent="0.3">
      <c r="A5611">
        <v>15610</v>
      </c>
      <c r="B5611">
        <v>65</v>
      </c>
      <c r="C5611" s="2">
        <v>45178</v>
      </c>
      <c r="D5611" s="2" t="str">
        <f>TEXT(Table3[[#This Row],[usage_date]],"mmmm")</f>
        <v>September</v>
      </c>
      <c r="E5611" s="9">
        <f>YEAR(Table3[[#This Row],[usage_date]])</f>
        <v>2023</v>
      </c>
      <c r="F5611" s="14">
        <v>5.66</v>
      </c>
      <c r="G5611">
        <v>298</v>
      </c>
      <c r="H5611" t="s">
        <v>12</v>
      </c>
      <c r="I5611" t="str">
        <f t="shared" si="87"/>
        <v>Normal Usage</v>
      </c>
    </row>
    <row r="5612" spans="1:9" x14ac:dyDescent="0.3">
      <c r="A5612">
        <v>15611</v>
      </c>
      <c r="B5612">
        <v>134</v>
      </c>
      <c r="C5612" s="2">
        <v>44879</v>
      </c>
      <c r="D5612" s="2" t="str">
        <f>TEXT(Table3[[#This Row],[usage_date]],"mmmm")</f>
        <v>November</v>
      </c>
      <c r="E5612" s="9">
        <f>YEAR(Table3[[#This Row],[usage_date]])</f>
        <v>2022</v>
      </c>
      <c r="F5612" s="14">
        <v>4.9400000000000004</v>
      </c>
      <c r="G5612">
        <v>16</v>
      </c>
      <c r="H5612" t="s">
        <v>12</v>
      </c>
      <c r="I5612" t="str">
        <f t="shared" si="87"/>
        <v>Normal Usage</v>
      </c>
    </row>
    <row r="5613" spans="1:9" x14ac:dyDescent="0.3">
      <c r="A5613">
        <v>15612</v>
      </c>
      <c r="B5613">
        <v>151</v>
      </c>
      <c r="C5613" s="2">
        <v>45364</v>
      </c>
      <c r="D5613" s="2" t="str">
        <f>TEXT(Table3[[#This Row],[usage_date]],"mmmm")</f>
        <v>March</v>
      </c>
      <c r="E5613" s="9">
        <f>YEAR(Table3[[#This Row],[usage_date]])</f>
        <v>2024</v>
      </c>
      <c r="F5613" s="14">
        <v>0.45</v>
      </c>
      <c r="G5613">
        <v>210</v>
      </c>
      <c r="H5613" t="s">
        <v>12</v>
      </c>
      <c r="I5613" t="str">
        <f t="shared" si="87"/>
        <v>Normal Usage</v>
      </c>
    </row>
    <row r="5614" spans="1:9" x14ac:dyDescent="0.3">
      <c r="A5614">
        <v>15613</v>
      </c>
      <c r="B5614">
        <v>115</v>
      </c>
      <c r="C5614" s="2">
        <v>44811</v>
      </c>
      <c r="D5614" s="2" t="str">
        <f>TEXT(Table3[[#This Row],[usage_date]],"mmmm")</f>
        <v>September</v>
      </c>
      <c r="E5614" s="9">
        <f>YEAR(Table3[[#This Row],[usage_date]])</f>
        <v>2022</v>
      </c>
      <c r="F5614" s="14">
        <v>7.0000000000000007E-2</v>
      </c>
      <c r="G5614">
        <v>231</v>
      </c>
      <c r="H5614" t="s">
        <v>12</v>
      </c>
      <c r="I5614" t="str">
        <f t="shared" si="87"/>
        <v>Normal Usage</v>
      </c>
    </row>
    <row r="5615" spans="1:9" x14ac:dyDescent="0.3">
      <c r="A5615">
        <v>15614</v>
      </c>
      <c r="B5615">
        <v>64</v>
      </c>
      <c r="C5615" s="2">
        <v>45086</v>
      </c>
      <c r="D5615" s="2" t="str">
        <f>TEXT(Table3[[#This Row],[usage_date]],"mmmm")</f>
        <v>June</v>
      </c>
      <c r="E5615" s="9">
        <f>YEAR(Table3[[#This Row],[usage_date]])</f>
        <v>2023</v>
      </c>
      <c r="F5615" s="14">
        <v>0.24</v>
      </c>
      <c r="G5615">
        <v>182</v>
      </c>
      <c r="H5615" t="s">
        <v>13</v>
      </c>
      <c r="I5615" t="str">
        <f t="shared" si="87"/>
        <v>Normal Usage</v>
      </c>
    </row>
    <row r="5616" spans="1:9" x14ac:dyDescent="0.3">
      <c r="A5616">
        <v>15615</v>
      </c>
      <c r="B5616">
        <v>343</v>
      </c>
      <c r="C5616" s="2">
        <v>45236</v>
      </c>
      <c r="D5616" s="2" t="str">
        <f>TEXT(Table3[[#This Row],[usage_date]],"mmmm")</f>
        <v>November</v>
      </c>
      <c r="E5616" s="9">
        <f>YEAR(Table3[[#This Row],[usage_date]])</f>
        <v>2023</v>
      </c>
      <c r="F5616" s="14">
        <v>0.84</v>
      </c>
      <c r="G5616">
        <v>161</v>
      </c>
      <c r="H5616" t="s">
        <v>13</v>
      </c>
      <c r="I5616" t="str">
        <f t="shared" si="87"/>
        <v>Normal Usage</v>
      </c>
    </row>
    <row r="5617" spans="1:9" x14ac:dyDescent="0.3">
      <c r="A5617">
        <v>15616</v>
      </c>
      <c r="B5617">
        <v>427</v>
      </c>
      <c r="C5617" s="2">
        <v>45116</v>
      </c>
      <c r="D5617" s="2" t="str">
        <f>TEXT(Table3[[#This Row],[usage_date]],"mmmm")</f>
        <v>July</v>
      </c>
      <c r="E5617" s="9">
        <f>YEAR(Table3[[#This Row],[usage_date]])</f>
        <v>2023</v>
      </c>
      <c r="F5617" s="14">
        <v>8.9600000000000009</v>
      </c>
      <c r="G5617">
        <v>69</v>
      </c>
      <c r="H5617" t="s">
        <v>12</v>
      </c>
      <c r="I5617" t="str">
        <f t="shared" si="87"/>
        <v>High Usage</v>
      </c>
    </row>
    <row r="5618" spans="1:9" x14ac:dyDescent="0.3">
      <c r="A5618">
        <v>15617</v>
      </c>
      <c r="B5618">
        <v>363</v>
      </c>
      <c r="C5618" s="2">
        <v>45459</v>
      </c>
      <c r="D5618" s="2" t="str">
        <f>TEXT(Table3[[#This Row],[usage_date]],"mmmm")</f>
        <v>June</v>
      </c>
      <c r="E5618" s="9">
        <f>YEAR(Table3[[#This Row],[usage_date]])</f>
        <v>2024</v>
      </c>
      <c r="F5618" s="14">
        <v>2.04</v>
      </c>
      <c r="G5618">
        <v>59</v>
      </c>
      <c r="H5618" t="s">
        <v>12</v>
      </c>
      <c r="I5618" t="str">
        <f t="shared" si="87"/>
        <v>Normal Usage</v>
      </c>
    </row>
    <row r="5619" spans="1:9" x14ac:dyDescent="0.3">
      <c r="A5619">
        <v>15618</v>
      </c>
      <c r="B5619">
        <v>407</v>
      </c>
      <c r="C5619" s="2">
        <v>45184</v>
      </c>
      <c r="D5619" s="2" t="str">
        <f>TEXT(Table3[[#This Row],[usage_date]],"mmmm")</f>
        <v>September</v>
      </c>
      <c r="E5619" s="9">
        <f>YEAR(Table3[[#This Row],[usage_date]])</f>
        <v>2023</v>
      </c>
      <c r="F5619" s="14">
        <v>1.17</v>
      </c>
      <c r="G5619">
        <v>178</v>
      </c>
      <c r="H5619" t="s">
        <v>12</v>
      </c>
      <c r="I5619" t="str">
        <f t="shared" si="87"/>
        <v>Normal Usage</v>
      </c>
    </row>
    <row r="5620" spans="1:9" x14ac:dyDescent="0.3">
      <c r="A5620">
        <v>15619</v>
      </c>
      <c r="B5620">
        <v>352</v>
      </c>
      <c r="C5620" s="2">
        <v>45278</v>
      </c>
      <c r="D5620" s="2" t="str">
        <f>TEXT(Table3[[#This Row],[usage_date]],"mmmm")</f>
        <v>December</v>
      </c>
      <c r="E5620" s="9">
        <f>YEAR(Table3[[#This Row],[usage_date]])</f>
        <v>2023</v>
      </c>
      <c r="F5620" s="14">
        <v>5.49</v>
      </c>
      <c r="G5620">
        <v>76</v>
      </c>
      <c r="H5620" t="s">
        <v>12</v>
      </c>
      <c r="I5620" t="str">
        <f t="shared" si="87"/>
        <v>Normal Usage</v>
      </c>
    </row>
    <row r="5621" spans="1:9" x14ac:dyDescent="0.3">
      <c r="A5621">
        <v>15620</v>
      </c>
      <c r="B5621">
        <v>158</v>
      </c>
      <c r="C5621" s="2">
        <v>45457</v>
      </c>
      <c r="D5621" s="2" t="str">
        <f>TEXT(Table3[[#This Row],[usage_date]],"mmmm")</f>
        <v>June</v>
      </c>
      <c r="E5621" s="9">
        <f>YEAR(Table3[[#This Row],[usage_date]])</f>
        <v>2024</v>
      </c>
      <c r="F5621" s="14">
        <v>1.51</v>
      </c>
      <c r="G5621">
        <v>34</v>
      </c>
      <c r="H5621" t="s">
        <v>12</v>
      </c>
      <c r="I5621" t="str">
        <f t="shared" si="87"/>
        <v>Normal Usage</v>
      </c>
    </row>
    <row r="5622" spans="1:9" x14ac:dyDescent="0.3">
      <c r="A5622">
        <v>15621</v>
      </c>
      <c r="B5622">
        <v>77</v>
      </c>
      <c r="C5622" s="2">
        <v>44817</v>
      </c>
      <c r="D5622" s="2" t="str">
        <f>TEXT(Table3[[#This Row],[usage_date]],"mmmm")</f>
        <v>September</v>
      </c>
      <c r="E5622" s="9">
        <f>YEAR(Table3[[#This Row],[usage_date]])</f>
        <v>2022</v>
      </c>
      <c r="F5622" s="14">
        <v>0.95</v>
      </c>
      <c r="G5622">
        <v>15</v>
      </c>
      <c r="H5622" t="s">
        <v>12</v>
      </c>
      <c r="I5622" t="str">
        <f t="shared" si="87"/>
        <v>Normal Usage</v>
      </c>
    </row>
    <row r="5623" spans="1:9" x14ac:dyDescent="0.3">
      <c r="A5623">
        <v>15622</v>
      </c>
      <c r="B5623">
        <v>491</v>
      </c>
      <c r="C5623" s="2">
        <v>44868</v>
      </c>
      <c r="D5623" s="2" t="str">
        <f>TEXT(Table3[[#This Row],[usage_date]],"mmmm")</f>
        <v>November</v>
      </c>
      <c r="E5623" s="9">
        <f>YEAR(Table3[[#This Row],[usage_date]])</f>
        <v>2022</v>
      </c>
      <c r="F5623" s="14">
        <v>7.08</v>
      </c>
      <c r="G5623">
        <v>293</v>
      </c>
      <c r="H5623" t="s">
        <v>12</v>
      </c>
      <c r="I5623" t="str">
        <f t="shared" si="87"/>
        <v>High Usage</v>
      </c>
    </row>
    <row r="5624" spans="1:9" x14ac:dyDescent="0.3">
      <c r="A5624">
        <v>15623</v>
      </c>
      <c r="B5624">
        <v>146</v>
      </c>
      <c r="C5624" s="2">
        <v>44705</v>
      </c>
      <c r="D5624" s="2" t="str">
        <f>TEXT(Table3[[#This Row],[usage_date]],"mmmm")</f>
        <v>May</v>
      </c>
      <c r="E5624" s="9">
        <f>YEAR(Table3[[#This Row],[usage_date]])</f>
        <v>2022</v>
      </c>
      <c r="F5624" s="14">
        <v>4.7300000000000004</v>
      </c>
      <c r="G5624">
        <v>170</v>
      </c>
      <c r="H5624" t="s">
        <v>12</v>
      </c>
      <c r="I5624" t="str">
        <f t="shared" si="87"/>
        <v>Normal Usage</v>
      </c>
    </row>
    <row r="5625" spans="1:9" x14ac:dyDescent="0.3">
      <c r="A5625">
        <v>15624</v>
      </c>
      <c r="B5625">
        <v>343</v>
      </c>
      <c r="C5625" s="2">
        <v>45219</v>
      </c>
      <c r="D5625" s="2" t="str">
        <f>TEXT(Table3[[#This Row],[usage_date]],"mmmm")</f>
        <v>October</v>
      </c>
      <c r="E5625" s="9">
        <f>YEAR(Table3[[#This Row],[usage_date]])</f>
        <v>2023</v>
      </c>
      <c r="F5625" s="14">
        <v>4.6399999999999997</v>
      </c>
      <c r="G5625">
        <v>31</v>
      </c>
      <c r="H5625" t="s">
        <v>12</v>
      </c>
      <c r="I5625" t="str">
        <f t="shared" si="87"/>
        <v>Normal Usage</v>
      </c>
    </row>
    <row r="5626" spans="1:9" x14ac:dyDescent="0.3">
      <c r="A5626">
        <v>15625</v>
      </c>
      <c r="B5626">
        <v>463</v>
      </c>
      <c r="C5626" s="2">
        <v>44952</v>
      </c>
      <c r="D5626" s="2" t="str">
        <f>TEXT(Table3[[#This Row],[usage_date]],"mmmm")</f>
        <v>January</v>
      </c>
      <c r="E5626" s="9">
        <f>YEAR(Table3[[#This Row],[usage_date]])</f>
        <v>2023</v>
      </c>
      <c r="F5626" s="14">
        <v>1.8</v>
      </c>
      <c r="G5626">
        <v>262</v>
      </c>
      <c r="H5626" t="s">
        <v>12</v>
      </c>
      <c r="I5626" t="str">
        <f t="shared" si="87"/>
        <v>Normal Usage</v>
      </c>
    </row>
    <row r="5627" spans="1:9" x14ac:dyDescent="0.3">
      <c r="A5627">
        <v>15626</v>
      </c>
      <c r="B5627">
        <v>225</v>
      </c>
      <c r="C5627" s="2">
        <v>45374</v>
      </c>
      <c r="D5627" s="2" t="str">
        <f>TEXT(Table3[[#This Row],[usage_date]],"mmmm")</f>
        <v>March</v>
      </c>
      <c r="E5627" s="9">
        <f>YEAR(Table3[[#This Row],[usage_date]])</f>
        <v>2024</v>
      </c>
      <c r="F5627" s="14">
        <v>3.89</v>
      </c>
      <c r="G5627">
        <v>214</v>
      </c>
      <c r="H5627" t="s">
        <v>12</v>
      </c>
      <c r="I5627" t="str">
        <f t="shared" si="87"/>
        <v>Normal Usage</v>
      </c>
    </row>
    <row r="5628" spans="1:9" x14ac:dyDescent="0.3">
      <c r="A5628">
        <v>15627</v>
      </c>
      <c r="B5628">
        <v>405</v>
      </c>
      <c r="C5628" s="2">
        <v>45237</v>
      </c>
      <c r="D5628" s="2" t="str">
        <f>TEXT(Table3[[#This Row],[usage_date]],"mmmm")</f>
        <v>November</v>
      </c>
      <c r="E5628" s="9">
        <f>YEAR(Table3[[#This Row],[usage_date]])</f>
        <v>2023</v>
      </c>
      <c r="F5628" s="14">
        <v>0.49</v>
      </c>
      <c r="G5628">
        <v>45</v>
      </c>
      <c r="H5628" t="s">
        <v>12</v>
      </c>
      <c r="I5628" t="str">
        <f t="shared" si="87"/>
        <v>Normal Usage</v>
      </c>
    </row>
    <row r="5629" spans="1:9" x14ac:dyDescent="0.3">
      <c r="A5629">
        <v>15628</v>
      </c>
      <c r="B5629">
        <v>313</v>
      </c>
      <c r="C5629" s="2">
        <v>44730</v>
      </c>
      <c r="D5629" s="2" t="str">
        <f>TEXT(Table3[[#This Row],[usage_date]],"mmmm")</f>
        <v>June</v>
      </c>
      <c r="E5629" s="9">
        <f>YEAR(Table3[[#This Row],[usage_date]])</f>
        <v>2022</v>
      </c>
      <c r="F5629" s="14">
        <v>2.13</v>
      </c>
      <c r="G5629">
        <v>188</v>
      </c>
      <c r="H5629" t="s">
        <v>13</v>
      </c>
      <c r="I5629" t="str">
        <f t="shared" si="87"/>
        <v>Normal Usage</v>
      </c>
    </row>
    <row r="5630" spans="1:9" x14ac:dyDescent="0.3">
      <c r="A5630">
        <v>15629</v>
      </c>
      <c r="B5630">
        <v>103</v>
      </c>
      <c r="C5630" s="2">
        <v>44859</v>
      </c>
      <c r="D5630" s="2" t="str">
        <f>TEXT(Table3[[#This Row],[usage_date]],"mmmm")</f>
        <v>October</v>
      </c>
      <c r="E5630" s="9">
        <f>YEAR(Table3[[#This Row],[usage_date]])</f>
        <v>2022</v>
      </c>
      <c r="F5630" s="14">
        <v>10.31</v>
      </c>
      <c r="G5630">
        <v>273</v>
      </c>
      <c r="H5630" t="s">
        <v>12</v>
      </c>
      <c r="I5630" t="str">
        <f t="shared" si="87"/>
        <v>High Usage</v>
      </c>
    </row>
    <row r="5631" spans="1:9" x14ac:dyDescent="0.3">
      <c r="A5631">
        <v>15630</v>
      </c>
      <c r="B5631">
        <v>407</v>
      </c>
      <c r="C5631" s="2">
        <v>44794</v>
      </c>
      <c r="D5631" s="2" t="str">
        <f>TEXT(Table3[[#This Row],[usage_date]],"mmmm")</f>
        <v>August</v>
      </c>
      <c r="E5631" s="9">
        <f>YEAR(Table3[[#This Row],[usage_date]])</f>
        <v>2022</v>
      </c>
      <c r="F5631" s="14">
        <v>0.86</v>
      </c>
      <c r="G5631">
        <v>70</v>
      </c>
      <c r="H5631" t="s">
        <v>12</v>
      </c>
      <c r="I5631" t="str">
        <f t="shared" si="87"/>
        <v>Normal Usage</v>
      </c>
    </row>
    <row r="5632" spans="1:9" x14ac:dyDescent="0.3">
      <c r="A5632">
        <v>15631</v>
      </c>
      <c r="B5632">
        <v>347</v>
      </c>
      <c r="C5632" s="2">
        <v>44832</v>
      </c>
      <c r="D5632" s="2" t="str">
        <f>TEXT(Table3[[#This Row],[usage_date]],"mmmm")</f>
        <v>September</v>
      </c>
      <c r="E5632" s="9">
        <f>YEAR(Table3[[#This Row],[usage_date]])</f>
        <v>2022</v>
      </c>
      <c r="F5632" s="14">
        <v>3.95</v>
      </c>
      <c r="G5632">
        <v>295</v>
      </c>
      <c r="H5632" t="s">
        <v>12</v>
      </c>
      <c r="I5632" t="str">
        <f t="shared" si="87"/>
        <v>Normal Usage</v>
      </c>
    </row>
    <row r="5633" spans="1:9" x14ac:dyDescent="0.3">
      <c r="A5633">
        <v>15632</v>
      </c>
      <c r="B5633">
        <v>301</v>
      </c>
      <c r="C5633" s="2">
        <v>44621</v>
      </c>
      <c r="D5633" s="2" t="str">
        <f>TEXT(Table3[[#This Row],[usage_date]],"mmmm")</f>
        <v>March</v>
      </c>
      <c r="E5633" s="9">
        <f>YEAR(Table3[[#This Row],[usage_date]])</f>
        <v>2022</v>
      </c>
      <c r="F5633" s="14">
        <v>1.69</v>
      </c>
      <c r="G5633">
        <v>87</v>
      </c>
      <c r="H5633" t="s">
        <v>13</v>
      </c>
      <c r="I5633" t="str">
        <f t="shared" si="87"/>
        <v>Normal Usage</v>
      </c>
    </row>
    <row r="5634" spans="1:9" x14ac:dyDescent="0.3">
      <c r="A5634">
        <v>15633</v>
      </c>
      <c r="B5634">
        <v>428</v>
      </c>
      <c r="C5634" s="2">
        <v>44857</v>
      </c>
      <c r="D5634" s="2" t="str">
        <f>TEXT(Table3[[#This Row],[usage_date]],"mmmm")</f>
        <v>October</v>
      </c>
      <c r="E5634" s="9">
        <f>YEAR(Table3[[#This Row],[usage_date]])</f>
        <v>2022</v>
      </c>
      <c r="F5634" s="14">
        <v>0.1</v>
      </c>
      <c r="G5634">
        <v>260</v>
      </c>
      <c r="H5634" t="s">
        <v>13</v>
      </c>
      <c r="I5634" t="str">
        <f t="shared" ref="I5634:I5697" si="88">IF(F5634&gt;6,"High Usage","Normal Usage")</f>
        <v>Normal Usage</v>
      </c>
    </row>
    <row r="5635" spans="1:9" x14ac:dyDescent="0.3">
      <c r="A5635">
        <v>15634</v>
      </c>
      <c r="B5635">
        <v>466</v>
      </c>
      <c r="C5635" s="2">
        <v>45028</v>
      </c>
      <c r="D5635" s="2" t="str">
        <f>TEXT(Table3[[#This Row],[usage_date]],"mmmm")</f>
        <v>April</v>
      </c>
      <c r="E5635" s="9">
        <f>YEAR(Table3[[#This Row],[usage_date]])</f>
        <v>2023</v>
      </c>
      <c r="F5635" s="14">
        <v>3.6</v>
      </c>
      <c r="G5635">
        <v>181</v>
      </c>
      <c r="H5635" t="s">
        <v>13</v>
      </c>
      <c r="I5635" t="str">
        <f t="shared" si="88"/>
        <v>Normal Usage</v>
      </c>
    </row>
    <row r="5636" spans="1:9" x14ac:dyDescent="0.3">
      <c r="A5636">
        <v>15635</v>
      </c>
      <c r="B5636">
        <v>88</v>
      </c>
      <c r="C5636" s="2">
        <v>44796</v>
      </c>
      <c r="D5636" s="2" t="str">
        <f>TEXT(Table3[[#This Row],[usage_date]],"mmmm")</f>
        <v>August</v>
      </c>
      <c r="E5636" s="9">
        <f>YEAR(Table3[[#This Row],[usage_date]])</f>
        <v>2022</v>
      </c>
      <c r="F5636" s="14">
        <v>0.46</v>
      </c>
      <c r="G5636">
        <v>21</v>
      </c>
      <c r="H5636" t="s">
        <v>12</v>
      </c>
      <c r="I5636" t="str">
        <f t="shared" si="88"/>
        <v>Normal Usage</v>
      </c>
    </row>
    <row r="5637" spans="1:9" x14ac:dyDescent="0.3">
      <c r="A5637">
        <v>15636</v>
      </c>
      <c r="B5637">
        <v>371</v>
      </c>
      <c r="C5637" s="2">
        <v>45238</v>
      </c>
      <c r="D5637" s="2" t="str">
        <f>TEXT(Table3[[#This Row],[usage_date]],"mmmm")</f>
        <v>November</v>
      </c>
      <c r="E5637" s="9">
        <f>YEAR(Table3[[#This Row],[usage_date]])</f>
        <v>2023</v>
      </c>
      <c r="F5637" s="14">
        <v>2.5</v>
      </c>
      <c r="G5637">
        <v>73</v>
      </c>
      <c r="H5637" t="s">
        <v>12</v>
      </c>
      <c r="I5637" t="str">
        <f t="shared" si="88"/>
        <v>Normal Usage</v>
      </c>
    </row>
    <row r="5638" spans="1:9" x14ac:dyDescent="0.3">
      <c r="A5638">
        <v>15637</v>
      </c>
      <c r="B5638">
        <v>303</v>
      </c>
      <c r="C5638" s="2">
        <v>45267</v>
      </c>
      <c r="D5638" s="2" t="str">
        <f>TEXT(Table3[[#This Row],[usage_date]],"mmmm")</f>
        <v>December</v>
      </c>
      <c r="E5638" s="9">
        <f>YEAR(Table3[[#This Row],[usage_date]])</f>
        <v>2023</v>
      </c>
      <c r="F5638" s="14">
        <v>0.22</v>
      </c>
      <c r="G5638">
        <v>89</v>
      </c>
      <c r="H5638" t="s">
        <v>13</v>
      </c>
      <c r="I5638" t="str">
        <f t="shared" si="88"/>
        <v>Normal Usage</v>
      </c>
    </row>
    <row r="5639" spans="1:9" x14ac:dyDescent="0.3">
      <c r="A5639">
        <v>15638</v>
      </c>
      <c r="B5639">
        <v>168</v>
      </c>
      <c r="C5639" s="2">
        <v>44795</v>
      </c>
      <c r="D5639" s="2" t="str">
        <f>TEXT(Table3[[#This Row],[usage_date]],"mmmm")</f>
        <v>August</v>
      </c>
      <c r="E5639" s="9">
        <f>YEAR(Table3[[#This Row],[usage_date]])</f>
        <v>2022</v>
      </c>
      <c r="F5639" s="14">
        <v>7.34</v>
      </c>
      <c r="G5639">
        <v>165</v>
      </c>
      <c r="H5639" t="s">
        <v>12</v>
      </c>
      <c r="I5639" t="str">
        <f t="shared" si="88"/>
        <v>High Usage</v>
      </c>
    </row>
    <row r="5640" spans="1:9" x14ac:dyDescent="0.3">
      <c r="A5640">
        <v>15639</v>
      </c>
      <c r="B5640">
        <v>435</v>
      </c>
      <c r="C5640" s="2">
        <v>44929</v>
      </c>
      <c r="D5640" s="2" t="str">
        <f>TEXT(Table3[[#This Row],[usage_date]],"mmmm")</f>
        <v>January</v>
      </c>
      <c r="E5640" s="9">
        <f>YEAR(Table3[[#This Row],[usage_date]])</f>
        <v>2023</v>
      </c>
      <c r="F5640" s="14">
        <v>0.86</v>
      </c>
      <c r="G5640">
        <v>233</v>
      </c>
      <c r="H5640" t="s">
        <v>13</v>
      </c>
      <c r="I5640" t="str">
        <f t="shared" si="88"/>
        <v>Normal Usage</v>
      </c>
    </row>
    <row r="5641" spans="1:9" x14ac:dyDescent="0.3">
      <c r="A5641">
        <v>15640</v>
      </c>
      <c r="B5641">
        <v>170</v>
      </c>
      <c r="C5641" s="2">
        <v>45256</v>
      </c>
      <c r="D5641" s="2" t="str">
        <f>TEXT(Table3[[#This Row],[usage_date]],"mmmm")</f>
        <v>November</v>
      </c>
      <c r="E5641" s="9">
        <f>YEAR(Table3[[#This Row],[usage_date]])</f>
        <v>2023</v>
      </c>
      <c r="F5641" s="14">
        <v>0.64</v>
      </c>
      <c r="G5641">
        <v>128</v>
      </c>
      <c r="H5641" t="s">
        <v>12</v>
      </c>
      <c r="I5641" t="str">
        <f t="shared" si="88"/>
        <v>Normal Usage</v>
      </c>
    </row>
    <row r="5642" spans="1:9" x14ac:dyDescent="0.3">
      <c r="A5642">
        <v>15641</v>
      </c>
      <c r="B5642">
        <v>135</v>
      </c>
      <c r="C5642" s="2">
        <v>45406</v>
      </c>
      <c r="D5642" s="2" t="str">
        <f>TEXT(Table3[[#This Row],[usage_date]],"mmmm")</f>
        <v>April</v>
      </c>
      <c r="E5642" s="9">
        <f>YEAR(Table3[[#This Row],[usage_date]])</f>
        <v>2024</v>
      </c>
      <c r="F5642" s="14">
        <v>0.35</v>
      </c>
      <c r="G5642">
        <v>291</v>
      </c>
      <c r="H5642" t="s">
        <v>12</v>
      </c>
      <c r="I5642" t="str">
        <f t="shared" si="88"/>
        <v>Normal Usage</v>
      </c>
    </row>
    <row r="5643" spans="1:9" x14ac:dyDescent="0.3">
      <c r="A5643">
        <v>15642</v>
      </c>
      <c r="B5643">
        <v>50</v>
      </c>
      <c r="C5643" s="2">
        <v>44793</v>
      </c>
      <c r="D5643" s="2" t="str">
        <f>TEXT(Table3[[#This Row],[usage_date]],"mmmm")</f>
        <v>August</v>
      </c>
      <c r="E5643" s="9">
        <f>YEAR(Table3[[#This Row],[usage_date]])</f>
        <v>2022</v>
      </c>
      <c r="F5643" s="14">
        <v>7.3</v>
      </c>
      <c r="G5643">
        <v>94</v>
      </c>
      <c r="H5643" t="s">
        <v>13</v>
      </c>
      <c r="I5643" t="str">
        <f t="shared" si="88"/>
        <v>High Usage</v>
      </c>
    </row>
    <row r="5644" spans="1:9" x14ac:dyDescent="0.3">
      <c r="A5644">
        <v>15643</v>
      </c>
      <c r="B5644">
        <v>432</v>
      </c>
      <c r="C5644" s="2">
        <v>45434</v>
      </c>
      <c r="D5644" s="2" t="str">
        <f>TEXT(Table3[[#This Row],[usage_date]],"mmmm")</f>
        <v>May</v>
      </c>
      <c r="E5644" s="9">
        <f>YEAR(Table3[[#This Row],[usage_date]])</f>
        <v>2024</v>
      </c>
      <c r="F5644" s="14">
        <v>3.11</v>
      </c>
      <c r="G5644">
        <v>27</v>
      </c>
      <c r="H5644" t="s">
        <v>12</v>
      </c>
      <c r="I5644" t="str">
        <f t="shared" si="88"/>
        <v>Normal Usage</v>
      </c>
    </row>
    <row r="5645" spans="1:9" x14ac:dyDescent="0.3">
      <c r="A5645">
        <v>15644</v>
      </c>
      <c r="B5645">
        <v>340</v>
      </c>
      <c r="C5645" s="2">
        <v>45052</v>
      </c>
      <c r="D5645" s="2" t="str">
        <f>TEXT(Table3[[#This Row],[usage_date]],"mmmm")</f>
        <v>May</v>
      </c>
      <c r="E5645" s="9">
        <f>YEAR(Table3[[#This Row],[usage_date]])</f>
        <v>2023</v>
      </c>
      <c r="F5645" s="14">
        <v>3.38</v>
      </c>
      <c r="G5645">
        <v>34</v>
      </c>
      <c r="H5645" t="s">
        <v>12</v>
      </c>
      <c r="I5645" t="str">
        <f t="shared" si="88"/>
        <v>Normal Usage</v>
      </c>
    </row>
    <row r="5646" spans="1:9" x14ac:dyDescent="0.3">
      <c r="A5646">
        <v>15645</v>
      </c>
      <c r="B5646">
        <v>347</v>
      </c>
      <c r="C5646" s="2">
        <v>45180</v>
      </c>
      <c r="D5646" s="2" t="str">
        <f>TEXT(Table3[[#This Row],[usage_date]],"mmmm")</f>
        <v>September</v>
      </c>
      <c r="E5646" s="9">
        <f>YEAR(Table3[[#This Row],[usage_date]])</f>
        <v>2023</v>
      </c>
      <c r="F5646" s="14">
        <v>1.73</v>
      </c>
      <c r="G5646">
        <v>230</v>
      </c>
      <c r="H5646" t="s">
        <v>12</v>
      </c>
      <c r="I5646" t="str">
        <f t="shared" si="88"/>
        <v>Normal Usage</v>
      </c>
    </row>
    <row r="5647" spans="1:9" x14ac:dyDescent="0.3">
      <c r="A5647">
        <v>15646</v>
      </c>
      <c r="B5647">
        <v>134</v>
      </c>
      <c r="C5647" s="2">
        <v>45064</v>
      </c>
      <c r="D5647" s="2" t="str">
        <f>TEXT(Table3[[#This Row],[usage_date]],"mmmm")</f>
        <v>May</v>
      </c>
      <c r="E5647" s="9">
        <f>YEAR(Table3[[#This Row],[usage_date]])</f>
        <v>2023</v>
      </c>
      <c r="F5647" s="14">
        <v>1.61</v>
      </c>
      <c r="G5647">
        <v>124</v>
      </c>
      <c r="H5647" t="s">
        <v>13</v>
      </c>
      <c r="I5647" t="str">
        <f t="shared" si="88"/>
        <v>Normal Usage</v>
      </c>
    </row>
    <row r="5648" spans="1:9" x14ac:dyDescent="0.3">
      <c r="A5648">
        <v>15647</v>
      </c>
      <c r="B5648">
        <v>347</v>
      </c>
      <c r="C5648" s="2">
        <v>45451</v>
      </c>
      <c r="D5648" s="2" t="str">
        <f>TEXT(Table3[[#This Row],[usage_date]],"mmmm")</f>
        <v>June</v>
      </c>
      <c r="E5648" s="9">
        <f>YEAR(Table3[[#This Row],[usage_date]])</f>
        <v>2024</v>
      </c>
      <c r="F5648" s="14">
        <v>0.28999999999999998</v>
      </c>
      <c r="G5648">
        <v>78</v>
      </c>
      <c r="H5648" t="s">
        <v>12</v>
      </c>
      <c r="I5648" t="str">
        <f t="shared" si="88"/>
        <v>Normal Usage</v>
      </c>
    </row>
    <row r="5649" spans="1:9" x14ac:dyDescent="0.3">
      <c r="A5649">
        <v>15648</v>
      </c>
      <c r="B5649">
        <v>137</v>
      </c>
      <c r="C5649" s="2">
        <v>45296</v>
      </c>
      <c r="D5649" s="2" t="str">
        <f>TEXT(Table3[[#This Row],[usage_date]],"mmmm")</f>
        <v>January</v>
      </c>
      <c r="E5649" s="9">
        <f>YEAR(Table3[[#This Row],[usage_date]])</f>
        <v>2024</v>
      </c>
      <c r="F5649" s="14">
        <v>2.0499999999999998</v>
      </c>
      <c r="G5649">
        <v>60</v>
      </c>
      <c r="H5649" t="s">
        <v>12</v>
      </c>
      <c r="I5649" t="str">
        <f t="shared" si="88"/>
        <v>Normal Usage</v>
      </c>
    </row>
    <row r="5650" spans="1:9" x14ac:dyDescent="0.3">
      <c r="A5650">
        <v>15649</v>
      </c>
      <c r="B5650">
        <v>245</v>
      </c>
      <c r="C5650" s="2">
        <v>45153</v>
      </c>
      <c r="D5650" s="2" t="str">
        <f>TEXT(Table3[[#This Row],[usage_date]],"mmmm")</f>
        <v>August</v>
      </c>
      <c r="E5650" s="9">
        <f>YEAR(Table3[[#This Row],[usage_date]])</f>
        <v>2023</v>
      </c>
      <c r="F5650" s="14">
        <v>0.71</v>
      </c>
      <c r="G5650">
        <v>216</v>
      </c>
      <c r="H5650" t="s">
        <v>12</v>
      </c>
      <c r="I5650" t="str">
        <f t="shared" si="88"/>
        <v>Normal Usage</v>
      </c>
    </row>
    <row r="5651" spans="1:9" x14ac:dyDescent="0.3">
      <c r="A5651">
        <v>15650</v>
      </c>
      <c r="B5651">
        <v>109</v>
      </c>
      <c r="C5651" s="2">
        <v>45307</v>
      </c>
      <c r="D5651" s="2" t="str">
        <f>TEXT(Table3[[#This Row],[usage_date]],"mmmm")</f>
        <v>January</v>
      </c>
      <c r="E5651" s="9">
        <f>YEAR(Table3[[#This Row],[usage_date]])</f>
        <v>2024</v>
      </c>
      <c r="F5651" s="14">
        <v>9.4499999999999993</v>
      </c>
      <c r="G5651">
        <v>281</v>
      </c>
      <c r="H5651" t="s">
        <v>13</v>
      </c>
      <c r="I5651" t="str">
        <f t="shared" si="88"/>
        <v>High Usage</v>
      </c>
    </row>
    <row r="5652" spans="1:9" x14ac:dyDescent="0.3">
      <c r="A5652">
        <v>15651</v>
      </c>
      <c r="B5652">
        <v>313</v>
      </c>
      <c r="C5652" s="2">
        <v>44942</v>
      </c>
      <c r="D5652" s="2" t="str">
        <f>TEXT(Table3[[#This Row],[usage_date]],"mmmm")</f>
        <v>January</v>
      </c>
      <c r="E5652" s="9">
        <f>YEAR(Table3[[#This Row],[usage_date]])</f>
        <v>2023</v>
      </c>
      <c r="F5652" s="14">
        <v>3.98</v>
      </c>
      <c r="G5652">
        <v>162</v>
      </c>
      <c r="H5652" t="s">
        <v>13</v>
      </c>
      <c r="I5652" t="str">
        <f t="shared" si="88"/>
        <v>Normal Usage</v>
      </c>
    </row>
    <row r="5653" spans="1:9" x14ac:dyDescent="0.3">
      <c r="A5653">
        <v>15652</v>
      </c>
      <c r="B5653">
        <v>287</v>
      </c>
      <c r="C5653" s="2">
        <v>45257</v>
      </c>
      <c r="D5653" s="2" t="str">
        <f>TEXT(Table3[[#This Row],[usage_date]],"mmmm")</f>
        <v>November</v>
      </c>
      <c r="E5653" s="9">
        <f>YEAR(Table3[[#This Row],[usage_date]])</f>
        <v>2023</v>
      </c>
      <c r="F5653" s="14">
        <v>1.33</v>
      </c>
      <c r="G5653">
        <v>56</v>
      </c>
      <c r="H5653" t="s">
        <v>12</v>
      </c>
      <c r="I5653" t="str">
        <f t="shared" si="88"/>
        <v>Normal Usage</v>
      </c>
    </row>
    <row r="5654" spans="1:9" x14ac:dyDescent="0.3">
      <c r="A5654">
        <v>15653</v>
      </c>
      <c r="B5654">
        <v>21</v>
      </c>
      <c r="C5654" s="2">
        <v>44989</v>
      </c>
      <c r="D5654" s="2" t="str">
        <f>TEXT(Table3[[#This Row],[usage_date]],"mmmm")</f>
        <v>March</v>
      </c>
      <c r="E5654" s="9">
        <f>YEAR(Table3[[#This Row],[usage_date]])</f>
        <v>2023</v>
      </c>
      <c r="F5654" s="14">
        <v>0.41</v>
      </c>
      <c r="G5654">
        <v>190</v>
      </c>
      <c r="H5654" t="s">
        <v>12</v>
      </c>
      <c r="I5654" t="str">
        <f t="shared" si="88"/>
        <v>Normal Usage</v>
      </c>
    </row>
    <row r="5655" spans="1:9" x14ac:dyDescent="0.3">
      <c r="A5655">
        <v>15654</v>
      </c>
      <c r="B5655">
        <v>90</v>
      </c>
      <c r="C5655" s="2">
        <v>45258</v>
      </c>
      <c r="D5655" s="2" t="str">
        <f>TEXT(Table3[[#This Row],[usage_date]],"mmmm")</f>
        <v>November</v>
      </c>
      <c r="E5655" s="9">
        <f>YEAR(Table3[[#This Row],[usage_date]])</f>
        <v>2023</v>
      </c>
      <c r="F5655" s="14">
        <v>3.85</v>
      </c>
      <c r="G5655">
        <v>131</v>
      </c>
      <c r="H5655" t="s">
        <v>12</v>
      </c>
      <c r="I5655" t="str">
        <f t="shared" si="88"/>
        <v>Normal Usage</v>
      </c>
    </row>
    <row r="5656" spans="1:9" x14ac:dyDescent="0.3">
      <c r="A5656">
        <v>15655</v>
      </c>
      <c r="B5656">
        <v>296</v>
      </c>
      <c r="C5656" s="2">
        <v>45207</v>
      </c>
      <c r="D5656" s="2" t="str">
        <f>TEXT(Table3[[#This Row],[usage_date]],"mmmm")</f>
        <v>October</v>
      </c>
      <c r="E5656" s="9">
        <f>YEAR(Table3[[#This Row],[usage_date]])</f>
        <v>2023</v>
      </c>
      <c r="F5656" s="14">
        <v>0.33</v>
      </c>
      <c r="G5656">
        <v>41</v>
      </c>
      <c r="H5656" t="s">
        <v>12</v>
      </c>
      <c r="I5656" t="str">
        <f t="shared" si="88"/>
        <v>Normal Usage</v>
      </c>
    </row>
    <row r="5657" spans="1:9" x14ac:dyDescent="0.3">
      <c r="A5657">
        <v>15656</v>
      </c>
      <c r="B5657">
        <v>112</v>
      </c>
      <c r="C5657" s="2">
        <v>45293</v>
      </c>
      <c r="D5657" s="2" t="str">
        <f>TEXT(Table3[[#This Row],[usage_date]],"mmmm")</f>
        <v>January</v>
      </c>
      <c r="E5657" s="9">
        <f>YEAR(Table3[[#This Row],[usage_date]])</f>
        <v>2024</v>
      </c>
      <c r="F5657" s="14">
        <v>0.52</v>
      </c>
      <c r="G5657">
        <v>172</v>
      </c>
      <c r="H5657" t="s">
        <v>13</v>
      </c>
      <c r="I5657" t="str">
        <f t="shared" si="88"/>
        <v>Normal Usage</v>
      </c>
    </row>
    <row r="5658" spans="1:9" x14ac:dyDescent="0.3">
      <c r="A5658">
        <v>15657</v>
      </c>
      <c r="B5658">
        <v>301</v>
      </c>
      <c r="C5658" s="2">
        <v>45361</v>
      </c>
      <c r="D5658" s="2" t="str">
        <f>TEXT(Table3[[#This Row],[usage_date]],"mmmm")</f>
        <v>March</v>
      </c>
      <c r="E5658" s="9">
        <f>YEAR(Table3[[#This Row],[usage_date]])</f>
        <v>2024</v>
      </c>
      <c r="F5658" s="14">
        <v>0.59</v>
      </c>
      <c r="G5658">
        <v>166</v>
      </c>
      <c r="H5658" t="s">
        <v>12</v>
      </c>
      <c r="I5658" t="str">
        <f t="shared" si="88"/>
        <v>Normal Usage</v>
      </c>
    </row>
    <row r="5659" spans="1:9" x14ac:dyDescent="0.3">
      <c r="A5659">
        <v>15658</v>
      </c>
      <c r="B5659">
        <v>77</v>
      </c>
      <c r="C5659" s="2">
        <v>44925</v>
      </c>
      <c r="D5659" s="2" t="str">
        <f>TEXT(Table3[[#This Row],[usage_date]],"mmmm")</f>
        <v>December</v>
      </c>
      <c r="E5659" s="9">
        <f>YEAR(Table3[[#This Row],[usage_date]])</f>
        <v>2022</v>
      </c>
      <c r="F5659" s="14">
        <v>2.0299999999999998</v>
      </c>
      <c r="G5659">
        <v>249</v>
      </c>
      <c r="H5659" t="s">
        <v>12</v>
      </c>
      <c r="I5659" t="str">
        <f t="shared" si="88"/>
        <v>Normal Usage</v>
      </c>
    </row>
    <row r="5660" spans="1:9" x14ac:dyDescent="0.3">
      <c r="A5660">
        <v>15659</v>
      </c>
      <c r="B5660">
        <v>177</v>
      </c>
      <c r="C5660" s="2">
        <v>44763</v>
      </c>
      <c r="D5660" s="2" t="str">
        <f>TEXT(Table3[[#This Row],[usage_date]],"mmmm")</f>
        <v>July</v>
      </c>
      <c r="E5660" s="9">
        <f>YEAR(Table3[[#This Row],[usage_date]])</f>
        <v>2022</v>
      </c>
      <c r="F5660" s="14">
        <v>3.87</v>
      </c>
      <c r="G5660">
        <v>192</v>
      </c>
      <c r="H5660" t="s">
        <v>12</v>
      </c>
      <c r="I5660" t="str">
        <f t="shared" si="88"/>
        <v>Normal Usage</v>
      </c>
    </row>
    <row r="5661" spans="1:9" x14ac:dyDescent="0.3">
      <c r="A5661">
        <v>15660</v>
      </c>
      <c r="B5661">
        <v>343</v>
      </c>
      <c r="C5661" s="2">
        <v>45443</v>
      </c>
      <c r="D5661" s="2" t="str">
        <f>TEXT(Table3[[#This Row],[usage_date]],"mmmm")</f>
        <v>May</v>
      </c>
      <c r="E5661" s="9">
        <f>YEAR(Table3[[#This Row],[usage_date]])</f>
        <v>2024</v>
      </c>
      <c r="F5661" s="14">
        <v>0.94</v>
      </c>
      <c r="G5661">
        <v>277</v>
      </c>
      <c r="H5661" t="s">
        <v>12</v>
      </c>
      <c r="I5661" t="str">
        <f t="shared" si="88"/>
        <v>Normal Usage</v>
      </c>
    </row>
    <row r="5662" spans="1:9" x14ac:dyDescent="0.3">
      <c r="A5662">
        <v>15661</v>
      </c>
      <c r="B5662">
        <v>148</v>
      </c>
      <c r="C5662" s="2">
        <v>44707</v>
      </c>
      <c r="D5662" s="2" t="str">
        <f>TEXT(Table3[[#This Row],[usage_date]],"mmmm")</f>
        <v>May</v>
      </c>
      <c r="E5662" s="9">
        <f>YEAR(Table3[[#This Row],[usage_date]])</f>
        <v>2022</v>
      </c>
      <c r="F5662" s="14">
        <v>0.22</v>
      </c>
      <c r="G5662">
        <v>237</v>
      </c>
      <c r="H5662" t="s">
        <v>12</v>
      </c>
      <c r="I5662" t="str">
        <f t="shared" si="88"/>
        <v>Normal Usage</v>
      </c>
    </row>
    <row r="5663" spans="1:9" x14ac:dyDescent="0.3">
      <c r="A5663">
        <v>15662</v>
      </c>
      <c r="B5663">
        <v>101</v>
      </c>
      <c r="C5663" s="2">
        <v>45397</v>
      </c>
      <c r="D5663" s="2" t="str">
        <f>TEXT(Table3[[#This Row],[usage_date]],"mmmm")</f>
        <v>April</v>
      </c>
      <c r="E5663" s="9">
        <f>YEAR(Table3[[#This Row],[usage_date]])</f>
        <v>2024</v>
      </c>
      <c r="F5663" s="14">
        <v>1.56</v>
      </c>
      <c r="G5663">
        <v>229</v>
      </c>
      <c r="H5663" t="s">
        <v>12</v>
      </c>
      <c r="I5663" t="str">
        <f t="shared" si="88"/>
        <v>Normal Usage</v>
      </c>
    </row>
    <row r="5664" spans="1:9" x14ac:dyDescent="0.3">
      <c r="A5664">
        <v>15663</v>
      </c>
      <c r="B5664">
        <v>246</v>
      </c>
      <c r="C5664" s="2">
        <v>45200</v>
      </c>
      <c r="D5664" s="2" t="str">
        <f>TEXT(Table3[[#This Row],[usage_date]],"mmmm")</f>
        <v>October</v>
      </c>
      <c r="E5664" s="9">
        <f>YEAR(Table3[[#This Row],[usage_date]])</f>
        <v>2023</v>
      </c>
      <c r="F5664" s="14">
        <v>3.45</v>
      </c>
      <c r="G5664">
        <v>164</v>
      </c>
      <c r="H5664" t="s">
        <v>13</v>
      </c>
      <c r="I5664" t="str">
        <f t="shared" si="88"/>
        <v>Normal Usage</v>
      </c>
    </row>
    <row r="5665" spans="1:9" x14ac:dyDescent="0.3">
      <c r="A5665">
        <v>15664</v>
      </c>
      <c r="B5665">
        <v>117</v>
      </c>
      <c r="C5665" s="2">
        <v>45018</v>
      </c>
      <c r="D5665" s="2" t="str">
        <f>TEXT(Table3[[#This Row],[usage_date]],"mmmm")</f>
        <v>April</v>
      </c>
      <c r="E5665" s="9">
        <f>YEAR(Table3[[#This Row],[usage_date]])</f>
        <v>2023</v>
      </c>
      <c r="F5665" s="14">
        <v>0.63</v>
      </c>
      <c r="G5665">
        <v>242</v>
      </c>
      <c r="H5665" t="s">
        <v>12</v>
      </c>
      <c r="I5665" t="str">
        <f t="shared" si="88"/>
        <v>Normal Usage</v>
      </c>
    </row>
    <row r="5666" spans="1:9" x14ac:dyDescent="0.3">
      <c r="A5666">
        <v>15665</v>
      </c>
      <c r="B5666">
        <v>92</v>
      </c>
      <c r="C5666" s="2">
        <v>44696</v>
      </c>
      <c r="D5666" s="2" t="str">
        <f>TEXT(Table3[[#This Row],[usage_date]],"mmmm")</f>
        <v>May</v>
      </c>
      <c r="E5666" s="9">
        <f>YEAR(Table3[[#This Row],[usage_date]])</f>
        <v>2022</v>
      </c>
      <c r="F5666" s="14">
        <v>0.62</v>
      </c>
      <c r="G5666">
        <v>89</v>
      </c>
      <c r="H5666" t="s">
        <v>12</v>
      </c>
      <c r="I5666" t="str">
        <f t="shared" si="88"/>
        <v>Normal Usage</v>
      </c>
    </row>
    <row r="5667" spans="1:9" x14ac:dyDescent="0.3">
      <c r="A5667">
        <v>15666</v>
      </c>
      <c r="B5667">
        <v>401</v>
      </c>
      <c r="C5667" s="2">
        <v>45187</v>
      </c>
      <c r="D5667" s="2" t="str">
        <f>TEXT(Table3[[#This Row],[usage_date]],"mmmm")</f>
        <v>September</v>
      </c>
      <c r="E5667" s="9">
        <f>YEAR(Table3[[#This Row],[usage_date]])</f>
        <v>2023</v>
      </c>
      <c r="F5667" s="14">
        <v>7.35</v>
      </c>
      <c r="G5667">
        <v>178</v>
      </c>
      <c r="H5667" t="s">
        <v>12</v>
      </c>
      <c r="I5667" t="str">
        <f t="shared" si="88"/>
        <v>High Usage</v>
      </c>
    </row>
    <row r="5668" spans="1:9" x14ac:dyDescent="0.3">
      <c r="A5668">
        <v>15667</v>
      </c>
      <c r="B5668">
        <v>28</v>
      </c>
      <c r="C5668" s="2">
        <v>44825</v>
      </c>
      <c r="D5668" s="2" t="str">
        <f>TEXT(Table3[[#This Row],[usage_date]],"mmmm")</f>
        <v>September</v>
      </c>
      <c r="E5668" s="9">
        <f>YEAR(Table3[[#This Row],[usage_date]])</f>
        <v>2022</v>
      </c>
      <c r="F5668" s="14">
        <v>7.71</v>
      </c>
      <c r="G5668">
        <v>57</v>
      </c>
      <c r="H5668" t="s">
        <v>13</v>
      </c>
      <c r="I5668" t="str">
        <f t="shared" si="88"/>
        <v>High Usage</v>
      </c>
    </row>
    <row r="5669" spans="1:9" x14ac:dyDescent="0.3">
      <c r="A5669">
        <v>15668</v>
      </c>
      <c r="B5669">
        <v>425</v>
      </c>
      <c r="C5669" s="2">
        <v>44625</v>
      </c>
      <c r="D5669" s="2" t="str">
        <f>TEXT(Table3[[#This Row],[usage_date]],"mmmm")</f>
        <v>March</v>
      </c>
      <c r="E5669" s="9">
        <f>YEAR(Table3[[#This Row],[usage_date]])</f>
        <v>2022</v>
      </c>
      <c r="F5669" s="14">
        <v>11.63</v>
      </c>
      <c r="G5669">
        <v>262</v>
      </c>
      <c r="H5669" t="s">
        <v>12</v>
      </c>
      <c r="I5669" t="str">
        <f t="shared" si="88"/>
        <v>High Usage</v>
      </c>
    </row>
    <row r="5670" spans="1:9" x14ac:dyDescent="0.3">
      <c r="A5670">
        <v>15669</v>
      </c>
      <c r="B5670">
        <v>450</v>
      </c>
      <c r="C5670" s="2">
        <v>45052</v>
      </c>
      <c r="D5670" s="2" t="str">
        <f>TEXT(Table3[[#This Row],[usage_date]],"mmmm")</f>
        <v>May</v>
      </c>
      <c r="E5670" s="9">
        <f>YEAR(Table3[[#This Row],[usage_date]])</f>
        <v>2023</v>
      </c>
      <c r="F5670" s="14">
        <v>4.12</v>
      </c>
      <c r="G5670">
        <v>135</v>
      </c>
      <c r="H5670" t="s">
        <v>13</v>
      </c>
      <c r="I5670" t="str">
        <f t="shared" si="88"/>
        <v>Normal Usage</v>
      </c>
    </row>
    <row r="5671" spans="1:9" x14ac:dyDescent="0.3">
      <c r="A5671">
        <v>15670</v>
      </c>
      <c r="B5671">
        <v>25</v>
      </c>
      <c r="C5671" s="2">
        <v>45208</v>
      </c>
      <c r="D5671" s="2" t="str">
        <f>TEXT(Table3[[#This Row],[usage_date]],"mmmm")</f>
        <v>October</v>
      </c>
      <c r="E5671" s="9">
        <f>YEAR(Table3[[#This Row],[usage_date]])</f>
        <v>2023</v>
      </c>
      <c r="F5671" s="14">
        <v>0.52</v>
      </c>
      <c r="G5671">
        <v>237</v>
      </c>
      <c r="H5671" t="s">
        <v>13</v>
      </c>
      <c r="I5671" t="str">
        <f t="shared" si="88"/>
        <v>Normal Usage</v>
      </c>
    </row>
    <row r="5672" spans="1:9" x14ac:dyDescent="0.3">
      <c r="A5672">
        <v>15671</v>
      </c>
      <c r="B5672">
        <v>58</v>
      </c>
      <c r="C5672" s="2">
        <v>44602</v>
      </c>
      <c r="D5672" s="2" t="str">
        <f>TEXT(Table3[[#This Row],[usage_date]],"mmmm")</f>
        <v>February</v>
      </c>
      <c r="E5672" s="9">
        <f>YEAR(Table3[[#This Row],[usage_date]])</f>
        <v>2022</v>
      </c>
      <c r="F5672" s="14">
        <v>0.6</v>
      </c>
      <c r="G5672">
        <v>242</v>
      </c>
      <c r="H5672" t="s">
        <v>13</v>
      </c>
      <c r="I5672" t="str">
        <f t="shared" si="88"/>
        <v>Normal Usage</v>
      </c>
    </row>
    <row r="5673" spans="1:9" x14ac:dyDescent="0.3">
      <c r="A5673">
        <v>15672</v>
      </c>
      <c r="B5673">
        <v>498</v>
      </c>
      <c r="C5673" s="2">
        <v>44857</v>
      </c>
      <c r="D5673" s="2" t="str">
        <f>TEXT(Table3[[#This Row],[usage_date]],"mmmm")</f>
        <v>October</v>
      </c>
      <c r="E5673" s="9">
        <f>YEAR(Table3[[#This Row],[usage_date]])</f>
        <v>2022</v>
      </c>
      <c r="F5673" s="14">
        <v>1.04</v>
      </c>
      <c r="G5673">
        <v>150</v>
      </c>
      <c r="H5673" t="s">
        <v>12</v>
      </c>
      <c r="I5673" t="str">
        <f t="shared" si="88"/>
        <v>Normal Usage</v>
      </c>
    </row>
    <row r="5674" spans="1:9" x14ac:dyDescent="0.3">
      <c r="A5674">
        <v>15673</v>
      </c>
      <c r="B5674">
        <v>297</v>
      </c>
      <c r="C5674" s="2">
        <v>44564</v>
      </c>
      <c r="D5674" s="2" t="str">
        <f>TEXT(Table3[[#This Row],[usage_date]],"mmmm")</f>
        <v>January</v>
      </c>
      <c r="E5674" s="9">
        <f>YEAR(Table3[[#This Row],[usage_date]])</f>
        <v>2022</v>
      </c>
      <c r="F5674" s="14">
        <v>0.96</v>
      </c>
      <c r="G5674">
        <v>246</v>
      </c>
      <c r="H5674" t="s">
        <v>12</v>
      </c>
      <c r="I5674" t="str">
        <f t="shared" si="88"/>
        <v>Normal Usage</v>
      </c>
    </row>
    <row r="5675" spans="1:9" x14ac:dyDescent="0.3">
      <c r="A5675">
        <v>15674</v>
      </c>
      <c r="B5675">
        <v>134</v>
      </c>
      <c r="C5675" s="2">
        <v>45267</v>
      </c>
      <c r="D5675" s="2" t="str">
        <f>TEXT(Table3[[#This Row],[usage_date]],"mmmm")</f>
        <v>December</v>
      </c>
      <c r="E5675" s="9">
        <f>YEAR(Table3[[#This Row],[usage_date]])</f>
        <v>2023</v>
      </c>
      <c r="F5675" s="14">
        <v>7.84</v>
      </c>
      <c r="G5675">
        <v>218</v>
      </c>
      <c r="H5675" t="s">
        <v>12</v>
      </c>
      <c r="I5675" t="str">
        <f t="shared" si="88"/>
        <v>High Usage</v>
      </c>
    </row>
    <row r="5676" spans="1:9" x14ac:dyDescent="0.3">
      <c r="A5676">
        <v>15675</v>
      </c>
      <c r="B5676">
        <v>331</v>
      </c>
      <c r="C5676" s="2">
        <v>44671</v>
      </c>
      <c r="D5676" s="2" t="str">
        <f>TEXT(Table3[[#This Row],[usage_date]],"mmmm")</f>
        <v>April</v>
      </c>
      <c r="E5676" s="9">
        <f>YEAR(Table3[[#This Row],[usage_date]])</f>
        <v>2022</v>
      </c>
      <c r="F5676" s="14">
        <v>3.89</v>
      </c>
      <c r="G5676">
        <v>8</v>
      </c>
      <c r="H5676" t="s">
        <v>12</v>
      </c>
      <c r="I5676" t="str">
        <f t="shared" si="88"/>
        <v>Normal Usage</v>
      </c>
    </row>
    <row r="5677" spans="1:9" x14ac:dyDescent="0.3">
      <c r="A5677">
        <v>15676</v>
      </c>
      <c r="B5677">
        <v>249</v>
      </c>
      <c r="C5677" s="2">
        <v>44782</v>
      </c>
      <c r="D5677" s="2" t="str">
        <f>TEXT(Table3[[#This Row],[usage_date]],"mmmm")</f>
        <v>August</v>
      </c>
      <c r="E5677" s="9">
        <f>YEAR(Table3[[#This Row],[usage_date]])</f>
        <v>2022</v>
      </c>
      <c r="F5677" s="14">
        <v>3.22</v>
      </c>
      <c r="G5677">
        <v>293</v>
      </c>
      <c r="H5677" t="s">
        <v>13</v>
      </c>
      <c r="I5677" t="str">
        <f t="shared" si="88"/>
        <v>Normal Usage</v>
      </c>
    </row>
    <row r="5678" spans="1:9" x14ac:dyDescent="0.3">
      <c r="A5678">
        <v>15677</v>
      </c>
      <c r="B5678">
        <v>38</v>
      </c>
      <c r="C5678" s="2">
        <v>44931</v>
      </c>
      <c r="D5678" s="2" t="str">
        <f>TEXT(Table3[[#This Row],[usage_date]],"mmmm")</f>
        <v>January</v>
      </c>
      <c r="E5678" s="9">
        <f>YEAR(Table3[[#This Row],[usage_date]])</f>
        <v>2023</v>
      </c>
      <c r="F5678" s="14">
        <v>0.51</v>
      </c>
      <c r="G5678">
        <v>12</v>
      </c>
      <c r="H5678" t="s">
        <v>12</v>
      </c>
      <c r="I5678" t="str">
        <f t="shared" si="88"/>
        <v>Normal Usage</v>
      </c>
    </row>
    <row r="5679" spans="1:9" x14ac:dyDescent="0.3">
      <c r="A5679">
        <v>15678</v>
      </c>
      <c r="B5679">
        <v>390</v>
      </c>
      <c r="C5679" s="2">
        <v>44929</v>
      </c>
      <c r="D5679" s="2" t="str">
        <f>TEXT(Table3[[#This Row],[usage_date]],"mmmm")</f>
        <v>January</v>
      </c>
      <c r="E5679" s="9">
        <f>YEAR(Table3[[#This Row],[usage_date]])</f>
        <v>2023</v>
      </c>
      <c r="F5679" s="14">
        <v>6.01</v>
      </c>
      <c r="G5679">
        <v>262</v>
      </c>
      <c r="H5679" t="s">
        <v>12</v>
      </c>
      <c r="I5679" t="str">
        <f t="shared" si="88"/>
        <v>High Usage</v>
      </c>
    </row>
    <row r="5680" spans="1:9" x14ac:dyDescent="0.3">
      <c r="A5680">
        <v>15679</v>
      </c>
      <c r="B5680">
        <v>429</v>
      </c>
      <c r="C5680" s="2">
        <v>44997</v>
      </c>
      <c r="D5680" s="2" t="str">
        <f>TEXT(Table3[[#This Row],[usage_date]],"mmmm")</f>
        <v>March</v>
      </c>
      <c r="E5680" s="9">
        <f>YEAR(Table3[[#This Row],[usage_date]])</f>
        <v>2023</v>
      </c>
      <c r="F5680" s="14">
        <v>4.4000000000000004</v>
      </c>
      <c r="G5680">
        <v>224</v>
      </c>
      <c r="H5680" t="s">
        <v>12</v>
      </c>
      <c r="I5680" t="str">
        <f t="shared" si="88"/>
        <v>Normal Usage</v>
      </c>
    </row>
    <row r="5681" spans="1:9" x14ac:dyDescent="0.3">
      <c r="A5681">
        <v>15680</v>
      </c>
      <c r="B5681">
        <v>75</v>
      </c>
      <c r="C5681" s="2">
        <v>44565</v>
      </c>
      <c r="D5681" s="2" t="str">
        <f>TEXT(Table3[[#This Row],[usage_date]],"mmmm")</f>
        <v>January</v>
      </c>
      <c r="E5681" s="9">
        <f>YEAR(Table3[[#This Row],[usage_date]])</f>
        <v>2022</v>
      </c>
      <c r="F5681" s="14">
        <v>0.45</v>
      </c>
      <c r="G5681">
        <v>230</v>
      </c>
      <c r="H5681" t="s">
        <v>13</v>
      </c>
      <c r="I5681" t="str">
        <f t="shared" si="88"/>
        <v>Normal Usage</v>
      </c>
    </row>
    <row r="5682" spans="1:9" x14ac:dyDescent="0.3">
      <c r="A5682">
        <v>15681</v>
      </c>
      <c r="B5682">
        <v>142</v>
      </c>
      <c r="C5682" s="2">
        <v>44805</v>
      </c>
      <c r="D5682" s="2" t="str">
        <f>TEXT(Table3[[#This Row],[usage_date]],"mmmm")</f>
        <v>September</v>
      </c>
      <c r="E5682" s="9">
        <f>YEAR(Table3[[#This Row],[usage_date]])</f>
        <v>2022</v>
      </c>
      <c r="F5682" s="14">
        <v>5.12</v>
      </c>
      <c r="G5682">
        <v>177</v>
      </c>
      <c r="H5682" t="s">
        <v>12</v>
      </c>
      <c r="I5682" t="str">
        <f t="shared" si="88"/>
        <v>Normal Usage</v>
      </c>
    </row>
    <row r="5683" spans="1:9" x14ac:dyDescent="0.3">
      <c r="A5683">
        <v>15682</v>
      </c>
      <c r="B5683">
        <v>322</v>
      </c>
      <c r="C5683" s="2">
        <v>44727</v>
      </c>
      <c r="D5683" s="2" t="str">
        <f>TEXT(Table3[[#This Row],[usage_date]],"mmmm")</f>
        <v>June</v>
      </c>
      <c r="E5683" s="9">
        <f>YEAR(Table3[[#This Row],[usage_date]])</f>
        <v>2022</v>
      </c>
      <c r="F5683" s="14">
        <v>0.79</v>
      </c>
      <c r="G5683">
        <v>246</v>
      </c>
      <c r="H5683" t="s">
        <v>12</v>
      </c>
      <c r="I5683" t="str">
        <f t="shared" si="88"/>
        <v>Normal Usage</v>
      </c>
    </row>
    <row r="5684" spans="1:9" x14ac:dyDescent="0.3">
      <c r="A5684">
        <v>15683</v>
      </c>
      <c r="B5684">
        <v>168</v>
      </c>
      <c r="C5684" s="2">
        <v>44587</v>
      </c>
      <c r="D5684" s="2" t="str">
        <f>TEXT(Table3[[#This Row],[usage_date]],"mmmm")</f>
        <v>January</v>
      </c>
      <c r="E5684" s="9">
        <f>YEAR(Table3[[#This Row],[usage_date]])</f>
        <v>2022</v>
      </c>
      <c r="F5684" s="14">
        <v>0.21</v>
      </c>
      <c r="G5684">
        <v>66</v>
      </c>
      <c r="H5684" t="s">
        <v>12</v>
      </c>
      <c r="I5684" t="str">
        <f t="shared" si="88"/>
        <v>Normal Usage</v>
      </c>
    </row>
    <row r="5685" spans="1:9" x14ac:dyDescent="0.3">
      <c r="A5685">
        <v>15684</v>
      </c>
      <c r="B5685">
        <v>259</v>
      </c>
      <c r="C5685" s="2">
        <v>44956</v>
      </c>
      <c r="D5685" s="2" t="str">
        <f>TEXT(Table3[[#This Row],[usage_date]],"mmmm")</f>
        <v>January</v>
      </c>
      <c r="E5685" s="9">
        <f>YEAR(Table3[[#This Row],[usage_date]])</f>
        <v>2023</v>
      </c>
      <c r="F5685" s="14">
        <v>2.67</v>
      </c>
      <c r="G5685">
        <v>296</v>
      </c>
      <c r="H5685" t="s">
        <v>13</v>
      </c>
      <c r="I5685" t="str">
        <f t="shared" si="88"/>
        <v>Normal Usage</v>
      </c>
    </row>
    <row r="5686" spans="1:9" x14ac:dyDescent="0.3">
      <c r="A5686">
        <v>15685</v>
      </c>
      <c r="B5686">
        <v>373</v>
      </c>
      <c r="C5686" s="2">
        <v>45035</v>
      </c>
      <c r="D5686" s="2" t="str">
        <f>TEXT(Table3[[#This Row],[usage_date]],"mmmm")</f>
        <v>April</v>
      </c>
      <c r="E5686" s="9">
        <f>YEAR(Table3[[#This Row],[usage_date]])</f>
        <v>2023</v>
      </c>
      <c r="F5686" s="14">
        <v>2.65</v>
      </c>
      <c r="G5686">
        <v>156</v>
      </c>
      <c r="H5686" t="s">
        <v>12</v>
      </c>
      <c r="I5686" t="str">
        <f t="shared" si="88"/>
        <v>Normal Usage</v>
      </c>
    </row>
    <row r="5687" spans="1:9" x14ac:dyDescent="0.3">
      <c r="A5687">
        <v>15686</v>
      </c>
      <c r="B5687">
        <v>355</v>
      </c>
      <c r="C5687" s="2">
        <v>44578</v>
      </c>
      <c r="D5687" s="2" t="str">
        <f>TEXT(Table3[[#This Row],[usage_date]],"mmmm")</f>
        <v>January</v>
      </c>
      <c r="E5687" s="9">
        <f>YEAR(Table3[[#This Row],[usage_date]])</f>
        <v>2022</v>
      </c>
      <c r="F5687" s="14">
        <v>0.25</v>
      </c>
      <c r="G5687">
        <v>164</v>
      </c>
      <c r="H5687" t="s">
        <v>12</v>
      </c>
      <c r="I5687" t="str">
        <f t="shared" si="88"/>
        <v>Normal Usage</v>
      </c>
    </row>
    <row r="5688" spans="1:9" x14ac:dyDescent="0.3">
      <c r="A5688">
        <v>15687</v>
      </c>
      <c r="B5688">
        <v>225</v>
      </c>
      <c r="C5688" s="2">
        <v>45289</v>
      </c>
      <c r="D5688" s="2" t="str">
        <f>TEXT(Table3[[#This Row],[usage_date]],"mmmm")</f>
        <v>December</v>
      </c>
      <c r="E5688" s="9">
        <f>YEAR(Table3[[#This Row],[usage_date]])</f>
        <v>2023</v>
      </c>
      <c r="F5688" s="14">
        <v>0.96</v>
      </c>
      <c r="G5688">
        <v>183</v>
      </c>
      <c r="H5688" t="s">
        <v>12</v>
      </c>
      <c r="I5688" t="str">
        <f t="shared" si="88"/>
        <v>Normal Usage</v>
      </c>
    </row>
    <row r="5689" spans="1:9" x14ac:dyDescent="0.3">
      <c r="A5689">
        <v>15688</v>
      </c>
      <c r="B5689">
        <v>152</v>
      </c>
      <c r="C5689" s="2">
        <v>44653</v>
      </c>
      <c r="D5689" s="2" t="str">
        <f>TEXT(Table3[[#This Row],[usage_date]],"mmmm")</f>
        <v>April</v>
      </c>
      <c r="E5689" s="9">
        <f>YEAR(Table3[[#This Row],[usage_date]])</f>
        <v>2022</v>
      </c>
      <c r="F5689" s="14">
        <v>12.34</v>
      </c>
      <c r="G5689">
        <v>207</v>
      </c>
      <c r="H5689" t="s">
        <v>13</v>
      </c>
      <c r="I5689" t="str">
        <f t="shared" si="88"/>
        <v>High Usage</v>
      </c>
    </row>
    <row r="5690" spans="1:9" x14ac:dyDescent="0.3">
      <c r="A5690">
        <v>15689</v>
      </c>
      <c r="B5690">
        <v>19</v>
      </c>
      <c r="C5690" s="2">
        <v>45044</v>
      </c>
      <c r="D5690" s="2" t="str">
        <f>TEXT(Table3[[#This Row],[usage_date]],"mmmm")</f>
        <v>April</v>
      </c>
      <c r="E5690" s="9">
        <f>YEAR(Table3[[#This Row],[usage_date]])</f>
        <v>2023</v>
      </c>
      <c r="F5690" s="14">
        <v>2.84</v>
      </c>
      <c r="G5690">
        <v>15</v>
      </c>
      <c r="H5690" t="s">
        <v>12</v>
      </c>
      <c r="I5690" t="str">
        <f t="shared" si="88"/>
        <v>Normal Usage</v>
      </c>
    </row>
    <row r="5691" spans="1:9" x14ac:dyDescent="0.3">
      <c r="A5691">
        <v>15690</v>
      </c>
      <c r="B5691">
        <v>146</v>
      </c>
      <c r="C5691" s="2">
        <v>45104</v>
      </c>
      <c r="D5691" s="2" t="str">
        <f>TEXT(Table3[[#This Row],[usage_date]],"mmmm")</f>
        <v>June</v>
      </c>
      <c r="E5691" s="9">
        <f>YEAR(Table3[[#This Row],[usage_date]])</f>
        <v>2023</v>
      </c>
      <c r="F5691" s="14">
        <v>3.27</v>
      </c>
      <c r="G5691">
        <v>299</v>
      </c>
      <c r="H5691" t="s">
        <v>13</v>
      </c>
      <c r="I5691" t="str">
        <f t="shared" si="88"/>
        <v>Normal Usage</v>
      </c>
    </row>
    <row r="5692" spans="1:9" x14ac:dyDescent="0.3">
      <c r="A5692">
        <v>15691</v>
      </c>
      <c r="B5692">
        <v>448</v>
      </c>
      <c r="C5692" s="2">
        <v>44766</v>
      </c>
      <c r="D5692" s="2" t="str">
        <f>TEXT(Table3[[#This Row],[usage_date]],"mmmm")</f>
        <v>July</v>
      </c>
      <c r="E5692" s="9">
        <f>YEAR(Table3[[#This Row],[usage_date]])</f>
        <v>2022</v>
      </c>
      <c r="F5692" s="14">
        <v>0.6</v>
      </c>
      <c r="G5692">
        <v>240</v>
      </c>
      <c r="H5692" t="s">
        <v>12</v>
      </c>
      <c r="I5692" t="str">
        <f t="shared" si="88"/>
        <v>Normal Usage</v>
      </c>
    </row>
    <row r="5693" spans="1:9" x14ac:dyDescent="0.3">
      <c r="A5693">
        <v>15692</v>
      </c>
      <c r="B5693">
        <v>241</v>
      </c>
      <c r="C5693" s="2">
        <v>45063</v>
      </c>
      <c r="D5693" s="2" t="str">
        <f>TEXT(Table3[[#This Row],[usage_date]],"mmmm")</f>
        <v>May</v>
      </c>
      <c r="E5693" s="9">
        <f>YEAR(Table3[[#This Row],[usage_date]])</f>
        <v>2023</v>
      </c>
      <c r="F5693" s="14">
        <v>0.21</v>
      </c>
      <c r="G5693">
        <v>229</v>
      </c>
      <c r="H5693" t="s">
        <v>12</v>
      </c>
      <c r="I5693" t="str">
        <f t="shared" si="88"/>
        <v>Normal Usage</v>
      </c>
    </row>
    <row r="5694" spans="1:9" x14ac:dyDescent="0.3">
      <c r="A5694">
        <v>15693</v>
      </c>
      <c r="B5694">
        <v>372</v>
      </c>
      <c r="C5694" s="2">
        <v>44961</v>
      </c>
      <c r="D5694" s="2" t="str">
        <f>TEXT(Table3[[#This Row],[usage_date]],"mmmm")</f>
        <v>February</v>
      </c>
      <c r="E5694" s="9">
        <f>YEAR(Table3[[#This Row],[usage_date]])</f>
        <v>2023</v>
      </c>
      <c r="F5694" s="14">
        <v>0.81</v>
      </c>
      <c r="G5694">
        <v>17</v>
      </c>
      <c r="H5694" t="s">
        <v>12</v>
      </c>
      <c r="I5694" t="str">
        <f t="shared" si="88"/>
        <v>Normal Usage</v>
      </c>
    </row>
    <row r="5695" spans="1:9" x14ac:dyDescent="0.3">
      <c r="A5695">
        <v>15694</v>
      </c>
      <c r="B5695">
        <v>381</v>
      </c>
      <c r="C5695" s="2">
        <v>44768</v>
      </c>
      <c r="D5695" s="2" t="str">
        <f>TEXT(Table3[[#This Row],[usage_date]],"mmmm")</f>
        <v>July</v>
      </c>
      <c r="E5695" s="9">
        <f>YEAR(Table3[[#This Row],[usage_date]])</f>
        <v>2022</v>
      </c>
      <c r="F5695" s="14">
        <v>0.72</v>
      </c>
      <c r="G5695">
        <v>146</v>
      </c>
      <c r="H5695" t="s">
        <v>12</v>
      </c>
      <c r="I5695" t="str">
        <f t="shared" si="88"/>
        <v>Normal Usage</v>
      </c>
    </row>
    <row r="5696" spans="1:9" x14ac:dyDescent="0.3">
      <c r="A5696">
        <v>15695</v>
      </c>
      <c r="B5696">
        <v>344</v>
      </c>
      <c r="C5696" s="2">
        <v>45180</v>
      </c>
      <c r="D5696" s="2" t="str">
        <f>TEXT(Table3[[#This Row],[usage_date]],"mmmm")</f>
        <v>September</v>
      </c>
      <c r="E5696" s="9">
        <f>YEAR(Table3[[#This Row],[usage_date]])</f>
        <v>2023</v>
      </c>
      <c r="F5696" s="14">
        <v>0.67</v>
      </c>
      <c r="G5696">
        <v>243</v>
      </c>
      <c r="H5696" t="s">
        <v>12</v>
      </c>
      <c r="I5696" t="str">
        <f t="shared" si="88"/>
        <v>Normal Usage</v>
      </c>
    </row>
    <row r="5697" spans="1:9" x14ac:dyDescent="0.3">
      <c r="A5697">
        <v>15696</v>
      </c>
      <c r="B5697">
        <v>237</v>
      </c>
      <c r="C5697" s="2">
        <v>44707</v>
      </c>
      <c r="D5697" s="2" t="str">
        <f>TEXT(Table3[[#This Row],[usage_date]],"mmmm")</f>
        <v>May</v>
      </c>
      <c r="E5697" s="9">
        <f>YEAR(Table3[[#This Row],[usage_date]])</f>
        <v>2022</v>
      </c>
      <c r="F5697" s="14">
        <v>0.54</v>
      </c>
      <c r="G5697">
        <v>50</v>
      </c>
      <c r="H5697" t="s">
        <v>12</v>
      </c>
      <c r="I5697" t="str">
        <f t="shared" si="88"/>
        <v>Normal Usage</v>
      </c>
    </row>
    <row r="5698" spans="1:9" x14ac:dyDescent="0.3">
      <c r="A5698">
        <v>15697</v>
      </c>
      <c r="B5698">
        <v>35</v>
      </c>
      <c r="C5698" s="2">
        <v>45440</v>
      </c>
      <c r="D5698" s="2" t="str">
        <f>TEXT(Table3[[#This Row],[usage_date]],"mmmm")</f>
        <v>May</v>
      </c>
      <c r="E5698" s="9">
        <f>YEAR(Table3[[#This Row],[usage_date]])</f>
        <v>2024</v>
      </c>
      <c r="F5698" s="14">
        <v>2.14</v>
      </c>
      <c r="G5698">
        <v>258</v>
      </c>
      <c r="H5698" t="s">
        <v>12</v>
      </c>
      <c r="I5698" t="str">
        <f t="shared" ref="I5698:I5761" si="89">IF(F5698&gt;6,"High Usage","Normal Usage")</f>
        <v>Normal Usage</v>
      </c>
    </row>
    <row r="5699" spans="1:9" x14ac:dyDescent="0.3">
      <c r="A5699">
        <v>15698</v>
      </c>
      <c r="B5699">
        <v>190</v>
      </c>
      <c r="C5699" s="2">
        <v>44662</v>
      </c>
      <c r="D5699" s="2" t="str">
        <f>TEXT(Table3[[#This Row],[usage_date]],"mmmm")</f>
        <v>April</v>
      </c>
      <c r="E5699" s="9">
        <f>YEAR(Table3[[#This Row],[usage_date]])</f>
        <v>2022</v>
      </c>
      <c r="F5699" s="14">
        <v>0.99</v>
      </c>
      <c r="G5699">
        <v>237</v>
      </c>
      <c r="H5699" t="s">
        <v>12</v>
      </c>
      <c r="I5699" t="str">
        <f t="shared" si="89"/>
        <v>Normal Usage</v>
      </c>
    </row>
    <row r="5700" spans="1:9" x14ac:dyDescent="0.3">
      <c r="A5700">
        <v>15699</v>
      </c>
      <c r="B5700">
        <v>1</v>
      </c>
      <c r="C5700" s="2">
        <v>45441</v>
      </c>
      <c r="D5700" s="2" t="str">
        <f>TEXT(Table3[[#This Row],[usage_date]],"mmmm")</f>
        <v>May</v>
      </c>
      <c r="E5700" s="9">
        <f>YEAR(Table3[[#This Row],[usage_date]])</f>
        <v>2024</v>
      </c>
      <c r="F5700" s="14">
        <v>4.29</v>
      </c>
      <c r="G5700">
        <v>245</v>
      </c>
      <c r="H5700" t="s">
        <v>12</v>
      </c>
      <c r="I5700" t="str">
        <f t="shared" si="89"/>
        <v>Normal Usage</v>
      </c>
    </row>
    <row r="5701" spans="1:9" x14ac:dyDescent="0.3">
      <c r="A5701">
        <v>15700</v>
      </c>
      <c r="B5701">
        <v>484</v>
      </c>
      <c r="C5701" s="2">
        <v>45391</v>
      </c>
      <c r="D5701" s="2" t="str">
        <f>TEXT(Table3[[#This Row],[usage_date]],"mmmm")</f>
        <v>April</v>
      </c>
      <c r="E5701" s="9">
        <f>YEAR(Table3[[#This Row],[usage_date]])</f>
        <v>2024</v>
      </c>
      <c r="F5701" s="14">
        <v>0.51</v>
      </c>
      <c r="G5701">
        <v>48</v>
      </c>
      <c r="H5701" t="s">
        <v>13</v>
      </c>
      <c r="I5701" t="str">
        <f t="shared" si="89"/>
        <v>Normal Usage</v>
      </c>
    </row>
    <row r="5702" spans="1:9" x14ac:dyDescent="0.3">
      <c r="A5702">
        <v>15701</v>
      </c>
      <c r="B5702">
        <v>153</v>
      </c>
      <c r="C5702" s="2">
        <v>45441</v>
      </c>
      <c r="D5702" s="2" t="str">
        <f>TEXT(Table3[[#This Row],[usage_date]],"mmmm")</f>
        <v>May</v>
      </c>
      <c r="E5702" s="9">
        <f>YEAR(Table3[[#This Row],[usage_date]])</f>
        <v>2024</v>
      </c>
      <c r="F5702" s="14">
        <v>1.56</v>
      </c>
      <c r="G5702">
        <v>283</v>
      </c>
      <c r="H5702" t="s">
        <v>13</v>
      </c>
      <c r="I5702" t="str">
        <f t="shared" si="89"/>
        <v>Normal Usage</v>
      </c>
    </row>
    <row r="5703" spans="1:9" x14ac:dyDescent="0.3">
      <c r="A5703">
        <v>15702</v>
      </c>
      <c r="B5703">
        <v>429</v>
      </c>
      <c r="C5703" s="2">
        <v>44802</v>
      </c>
      <c r="D5703" s="2" t="str">
        <f>TEXT(Table3[[#This Row],[usage_date]],"mmmm")</f>
        <v>August</v>
      </c>
      <c r="E5703" s="9">
        <f>YEAR(Table3[[#This Row],[usage_date]])</f>
        <v>2022</v>
      </c>
      <c r="F5703" s="14">
        <v>0.03</v>
      </c>
      <c r="G5703">
        <v>37</v>
      </c>
      <c r="H5703" t="s">
        <v>12</v>
      </c>
      <c r="I5703" t="str">
        <f t="shared" si="89"/>
        <v>Normal Usage</v>
      </c>
    </row>
    <row r="5704" spans="1:9" x14ac:dyDescent="0.3">
      <c r="A5704">
        <v>15703</v>
      </c>
      <c r="B5704">
        <v>433</v>
      </c>
      <c r="C5704" s="2">
        <v>45320</v>
      </c>
      <c r="D5704" s="2" t="str">
        <f>TEXT(Table3[[#This Row],[usage_date]],"mmmm")</f>
        <v>January</v>
      </c>
      <c r="E5704" s="9">
        <f>YEAR(Table3[[#This Row],[usage_date]])</f>
        <v>2024</v>
      </c>
      <c r="F5704" s="14">
        <v>1.64</v>
      </c>
      <c r="G5704">
        <v>283</v>
      </c>
      <c r="H5704" t="s">
        <v>12</v>
      </c>
      <c r="I5704" t="str">
        <f t="shared" si="89"/>
        <v>Normal Usage</v>
      </c>
    </row>
    <row r="5705" spans="1:9" x14ac:dyDescent="0.3">
      <c r="A5705">
        <v>15704</v>
      </c>
      <c r="B5705">
        <v>126</v>
      </c>
      <c r="C5705" s="2">
        <v>44724</v>
      </c>
      <c r="D5705" s="2" t="str">
        <f>TEXT(Table3[[#This Row],[usage_date]],"mmmm")</f>
        <v>June</v>
      </c>
      <c r="E5705" s="9">
        <f>YEAR(Table3[[#This Row],[usage_date]])</f>
        <v>2022</v>
      </c>
      <c r="F5705" s="14">
        <v>0.14000000000000001</v>
      </c>
      <c r="G5705">
        <v>31</v>
      </c>
      <c r="H5705" t="s">
        <v>13</v>
      </c>
      <c r="I5705" t="str">
        <f t="shared" si="89"/>
        <v>Normal Usage</v>
      </c>
    </row>
    <row r="5706" spans="1:9" x14ac:dyDescent="0.3">
      <c r="A5706">
        <v>15705</v>
      </c>
      <c r="B5706">
        <v>491</v>
      </c>
      <c r="C5706" s="2">
        <v>45445</v>
      </c>
      <c r="D5706" s="2" t="str">
        <f>TEXT(Table3[[#This Row],[usage_date]],"mmmm")</f>
        <v>June</v>
      </c>
      <c r="E5706" s="9">
        <f>YEAR(Table3[[#This Row],[usage_date]])</f>
        <v>2024</v>
      </c>
      <c r="F5706" s="14">
        <v>9.51</v>
      </c>
      <c r="G5706">
        <v>242</v>
      </c>
      <c r="H5706" t="s">
        <v>13</v>
      </c>
      <c r="I5706" t="str">
        <f t="shared" si="89"/>
        <v>High Usage</v>
      </c>
    </row>
    <row r="5707" spans="1:9" x14ac:dyDescent="0.3">
      <c r="A5707">
        <v>15706</v>
      </c>
      <c r="B5707">
        <v>482</v>
      </c>
      <c r="C5707" s="2">
        <v>44734</v>
      </c>
      <c r="D5707" s="2" t="str">
        <f>TEXT(Table3[[#This Row],[usage_date]],"mmmm")</f>
        <v>June</v>
      </c>
      <c r="E5707" s="9">
        <f>YEAR(Table3[[#This Row],[usage_date]])</f>
        <v>2022</v>
      </c>
      <c r="F5707" s="14">
        <v>3.91</v>
      </c>
      <c r="G5707">
        <v>40</v>
      </c>
      <c r="H5707" t="s">
        <v>13</v>
      </c>
      <c r="I5707" t="str">
        <f t="shared" si="89"/>
        <v>Normal Usage</v>
      </c>
    </row>
    <row r="5708" spans="1:9" x14ac:dyDescent="0.3">
      <c r="A5708">
        <v>15707</v>
      </c>
      <c r="B5708">
        <v>345</v>
      </c>
      <c r="C5708" s="2">
        <v>45063</v>
      </c>
      <c r="D5708" s="2" t="str">
        <f>TEXT(Table3[[#This Row],[usage_date]],"mmmm")</f>
        <v>May</v>
      </c>
      <c r="E5708" s="9">
        <f>YEAR(Table3[[#This Row],[usage_date]])</f>
        <v>2023</v>
      </c>
      <c r="F5708" s="14">
        <v>1.68</v>
      </c>
      <c r="G5708">
        <v>291</v>
      </c>
      <c r="H5708" t="s">
        <v>12</v>
      </c>
      <c r="I5708" t="str">
        <f t="shared" si="89"/>
        <v>Normal Usage</v>
      </c>
    </row>
    <row r="5709" spans="1:9" x14ac:dyDescent="0.3">
      <c r="A5709">
        <v>15708</v>
      </c>
      <c r="B5709">
        <v>400</v>
      </c>
      <c r="C5709" s="2">
        <v>45108</v>
      </c>
      <c r="D5709" s="2" t="str">
        <f>TEXT(Table3[[#This Row],[usage_date]],"mmmm")</f>
        <v>July</v>
      </c>
      <c r="E5709" s="9">
        <f>YEAR(Table3[[#This Row],[usage_date]])</f>
        <v>2023</v>
      </c>
      <c r="F5709" s="14">
        <v>0.23</v>
      </c>
      <c r="G5709">
        <v>102</v>
      </c>
      <c r="H5709" t="s">
        <v>12</v>
      </c>
      <c r="I5709" t="str">
        <f t="shared" si="89"/>
        <v>Normal Usage</v>
      </c>
    </row>
    <row r="5710" spans="1:9" x14ac:dyDescent="0.3">
      <c r="A5710">
        <v>15709</v>
      </c>
      <c r="B5710">
        <v>226</v>
      </c>
      <c r="C5710" s="2">
        <v>44845</v>
      </c>
      <c r="D5710" s="2" t="str">
        <f>TEXT(Table3[[#This Row],[usage_date]],"mmmm")</f>
        <v>October</v>
      </c>
      <c r="E5710" s="9">
        <f>YEAR(Table3[[#This Row],[usage_date]])</f>
        <v>2022</v>
      </c>
      <c r="F5710" s="14">
        <v>2.2400000000000002</v>
      </c>
      <c r="G5710">
        <v>291</v>
      </c>
      <c r="H5710" t="s">
        <v>12</v>
      </c>
      <c r="I5710" t="str">
        <f t="shared" si="89"/>
        <v>Normal Usage</v>
      </c>
    </row>
    <row r="5711" spans="1:9" x14ac:dyDescent="0.3">
      <c r="A5711">
        <v>15710</v>
      </c>
      <c r="B5711">
        <v>221</v>
      </c>
      <c r="C5711" s="2">
        <v>44920</v>
      </c>
      <c r="D5711" s="2" t="str">
        <f>TEXT(Table3[[#This Row],[usage_date]],"mmmm")</f>
        <v>December</v>
      </c>
      <c r="E5711" s="9">
        <f>YEAR(Table3[[#This Row],[usage_date]])</f>
        <v>2022</v>
      </c>
      <c r="F5711" s="14">
        <v>3.55</v>
      </c>
      <c r="G5711">
        <v>106</v>
      </c>
      <c r="H5711" t="s">
        <v>12</v>
      </c>
      <c r="I5711" t="str">
        <f t="shared" si="89"/>
        <v>Normal Usage</v>
      </c>
    </row>
    <row r="5712" spans="1:9" x14ac:dyDescent="0.3">
      <c r="A5712">
        <v>15711</v>
      </c>
      <c r="B5712">
        <v>403</v>
      </c>
      <c r="C5712" s="2">
        <v>44942</v>
      </c>
      <c r="D5712" s="2" t="str">
        <f>TEXT(Table3[[#This Row],[usage_date]],"mmmm")</f>
        <v>January</v>
      </c>
      <c r="E5712" s="9">
        <f>YEAR(Table3[[#This Row],[usage_date]])</f>
        <v>2023</v>
      </c>
      <c r="F5712" s="14">
        <v>0.53</v>
      </c>
      <c r="G5712">
        <v>245</v>
      </c>
      <c r="H5712" t="s">
        <v>12</v>
      </c>
      <c r="I5712" t="str">
        <f t="shared" si="89"/>
        <v>Normal Usage</v>
      </c>
    </row>
    <row r="5713" spans="1:9" x14ac:dyDescent="0.3">
      <c r="A5713">
        <v>15712</v>
      </c>
      <c r="B5713">
        <v>407</v>
      </c>
      <c r="C5713" s="2">
        <v>45431</v>
      </c>
      <c r="D5713" s="2" t="str">
        <f>TEXT(Table3[[#This Row],[usage_date]],"mmmm")</f>
        <v>May</v>
      </c>
      <c r="E5713" s="9">
        <f>YEAR(Table3[[#This Row],[usage_date]])</f>
        <v>2024</v>
      </c>
      <c r="F5713" s="14">
        <v>2.1</v>
      </c>
      <c r="G5713">
        <v>86</v>
      </c>
      <c r="H5713" t="s">
        <v>12</v>
      </c>
      <c r="I5713" t="str">
        <f t="shared" si="89"/>
        <v>Normal Usage</v>
      </c>
    </row>
    <row r="5714" spans="1:9" x14ac:dyDescent="0.3">
      <c r="A5714">
        <v>15713</v>
      </c>
      <c r="B5714">
        <v>211</v>
      </c>
      <c r="C5714" s="2">
        <v>45094</v>
      </c>
      <c r="D5714" s="2" t="str">
        <f>TEXT(Table3[[#This Row],[usage_date]],"mmmm")</f>
        <v>June</v>
      </c>
      <c r="E5714" s="9">
        <f>YEAR(Table3[[#This Row],[usage_date]])</f>
        <v>2023</v>
      </c>
      <c r="F5714" s="14">
        <v>4.21</v>
      </c>
      <c r="G5714">
        <v>65</v>
      </c>
      <c r="H5714" t="s">
        <v>12</v>
      </c>
      <c r="I5714" t="str">
        <f t="shared" si="89"/>
        <v>Normal Usage</v>
      </c>
    </row>
    <row r="5715" spans="1:9" x14ac:dyDescent="0.3">
      <c r="A5715">
        <v>15714</v>
      </c>
      <c r="B5715">
        <v>25</v>
      </c>
      <c r="C5715" s="2">
        <v>45381</v>
      </c>
      <c r="D5715" s="2" t="str">
        <f>TEXT(Table3[[#This Row],[usage_date]],"mmmm")</f>
        <v>March</v>
      </c>
      <c r="E5715" s="9">
        <f>YEAR(Table3[[#This Row],[usage_date]])</f>
        <v>2024</v>
      </c>
      <c r="F5715" s="14">
        <v>3.66</v>
      </c>
      <c r="G5715">
        <v>137</v>
      </c>
      <c r="H5715" t="s">
        <v>12</v>
      </c>
      <c r="I5715" t="str">
        <f t="shared" si="89"/>
        <v>Normal Usage</v>
      </c>
    </row>
    <row r="5716" spans="1:9" x14ac:dyDescent="0.3">
      <c r="A5716">
        <v>15715</v>
      </c>
      <c r="B5716">
        <v>16</v>
      </c>
      <c r="C5716" s="2">
        <v>44724</v>
      </c>
      <c r="D5716" s="2" t="str">
        <f>TEXT(Table3[[#This Row],[usage_date]],"mmmm")</f>
        <v>June</v>
      </c>
      <c r="E5716" s="9">
        <f>YEAR(Table3[[#This Row],[usage_date]])</f>
        <v>2022</v>
      </c>
      <c r="F5716" s="14">
        <v>4.0599999999999996</v>
      </c>
      <c r="G5716">
        <v>199</v>
      </c>
      <c r="H5716" t="s">
        <v>12</v>
      </c>
      <c r="I5716" t="str">
        <f t="shared" si="89"/>
        <v>Normal Usage</v>
      </c>
    </row>
    <row r="5717" spans="1:9" x14ac:dyDescent="0.3">
      <c r="A5717">
        <v>15716</v>
      </c>
      <c r="B5717">
        <v>182</v>
      </c>
      <c r="C5717" s="2">
        <v>45170</v>
      </c>
      <c r="D5717" s="2" t="str">
        <f>TEXT(Table3[[#This Row],[usage_date]],"mmmm")</f>
        <v>September</v>
      </c>
      <c r="E5717" s="9">
        <f>YEAR(Table3[[#This Row],[usage_date]])</f>
        <v>2023</v>
      </c>
      <c r="F5717" s="14">
        <v>5.29</v>
      </c>
      <c r="G5717">
        <v>92</v>
      </c>
      <c r="H5717" t="s">
        <v>12</v>
      </c>
      <c r="I5717" t="str">
        <f t="shared" si="89"/>
        <v>Normal Usage</v>
      </c>
    </row>
    <row r="5718" spans="1:9" x14ac:dyDescent="0.3">
      <c r="A5718">
        <v>15717</v>
      </c>
      <c r="B5718">
        <v>499</v>
      </c>
      <c r="C5718" s="2">
        <v>44868</v>
      </c>
      <c r="D5718" s="2" t="str">
        <f>TEXT(Table3[[#This Row],[usage_date]],"mmmm")</f>
        <v>November</v>
      </c>
      <c r="E5718" s="9">
        <f>YEAR(Table3[[#This Row],[usage_date]])</f>
        <v>2022</v>
      </c>
      <c r="F5718" s="14">
        <v>6.94</v>
      </c>
      <c r="G5718">
        <v>277</v>
      </c>
      <c r="H5718" t="s">
        <v>13</v>
      </c>
      <c r="I5718" t="str">
        <f t="shared" si="89"/>
        <v>High Usage</v>
      </c>
    </row>
    <row r="5719" spans="1:9" x14ac:dyDescent="0.3">
      <c r="A5719">
        <v>15718</v>
      </c>
      <c r="B5719">
        <v>329</v>
      </c>
      <c r="C5719" s="2">
        <v>44900</v>
      </c>
      <c r="D5719" s="2" t="str">
        <f>TEXT(Table3[[#This Row],[usage_date]],"mmmm")</f>
        <v>December</v>
      </c>
      <c r="E5719" s="9">
        <f>YEAR(Table3[[#This Row],[usage_date]])</f>
        <v>2022</v>
      </c>
      <c r="F5719" s="14">
        <v>1.3</v>
      </c>
      <c r="G5719">
        <v>19</v>
      </c>
      <c r="H5719" t="s">
        <v>13</v>
      </c>
      <c r="I5719" t="str">
        <f t="shared" si="89"/>
        <v>Normal Usage</v>
      </c>
    </row>
    <row r="5720" spans="1:9" x14ac:dyDescent="0.3">
      <c r="A5720">
        <v>15719</v>
      </c>
      <c r="B5720">
        <v>129</v>
      </c>
      <c r="C5720" s="2">
        <v>44616</v>
      </c>
      <c r="D5720" s="2" t="str">
        <f>TEXT(Table3[[#This Row],[usage_date]],"mmmm")</f>
        <v>February</v>
      </c>
      <c r="E5720" s="9">
        <f>YEAR(Table3[[#This Row],[usage_date]])</f>
        <v>2022</v>
      </c>
      <c r="F5720" s="14">
        <v>2.1</v>
      </c>
      <c r="G5720">
        <v>288</v>
      </c>
      <c r="H5720" t="s">
        <v>12</v>
      </c>
      <c r="I5720" t="str">
        <f t="shared" si="89"/>
        <v>Normal Usage</v>
      </c>
    </row>
    <row r="5721" spans="1:9" x14ac:dyDescent="0.3">
      <c r="A5721">
        <v>15720</v>
      </c>
      <c r="B5721">
        <v>42</v>
      </c>
      <c r="C5721" s="2">
        <v>44894</v>
      </c>
      <c r="D5721" s="2" t="str">
        <f>TEXT(Table3[[#This Row],[usage_date]],"mmmm")</f>
        <v>November</v>
      </c>
      <c r="E5721" s="9">
        <f>YEAR(Table3[[#This Row],[usage_date]])</f>
        <v>2022</v>
      </c>
      <c r="F5721" s="14">
        <v>3.91</v>
      </c>
      <c r="G5721">
        <v>89</v>
      </c>
      <c r="H5721" t="s">
        <v>13</v>
      </c>
      <c r="I5721" t="str">
        <f t="shared" si="89"/>
        <v>Normal Usage</v>
      </c>
    </row>
    <row r="5722" spans="1:9" x14ac:dyDescent="0.3">
      <c r="A5722">
        <v>15721</v>
      </c>
      <c r="B5722">
        <v>403</v>
      </c>
      <c r="C5722" s="2">
        <v>44688</v>
      </c>
      <c r="D5722" s="2" t="str">
        <f>TEXT(Table3[[#This Row],[usage_date]],"mmmm")</f>
        <v>May</v>
      </c>
      <c r="E5722" s="9">
        <f>YEAR(Table3[[#This Row],[usage_date]])</f>
        <v>2022</v>
      </c>
      <c r="F5722" s="14">
        <v>2.99</v>
      </c>
      <c r="G5722">
        <v>49</v>
      </c>
      <c r="H5722" t="s">
        <v>12</v>
      </c>
      <c r="I5722" t="str">
        <f t="shared" si="89"/>
        <v>Normal Usage</v>
      </c>
    </row>
    <row r="5723" spans="1:9" x14ac:dyDescent="0.3">
      <c r="A5723">
        <v>15722</v>
      </c>
      <c r="B5723">
        <v>481</v>
      </c>
      <c r="C5723" s="2">
        <v>45266</v>
      </c>
      <c r="D5723" s="2" t="str">
        <f>TEXT(Table3[[#This Row],[usage_date]],"mmmm")</f>
        <v>December</v>
      </c>
      <c r="E5723" s="9">
        <f>YEAR(Table3[[#This Row],[usage_date]])</f>
        <v>2023</v>
      </c>
      <c r="F5723" s="14">
        <v>13.52</v>
      </c>
      <c r="G5723">
        <v>9</v>
      </c>
      <c r="H5723" t="s">
        <v>12</v>
      </c>
      <c r="I5723" t="str">
        <f t="shared" si="89"/>
        <v>High Usage</v>
      </c>
    </row>
    <row r="5724" spans="1:9" x14ac:dyDescent="0.3">
      <c r="A5724">
        <v>15723</v>
      </c>
      <c r="B5724">
        <v>418</v>
      </c>
      <c r="C5724" s="2">
        <v>44804</v>
      </c>
      <c r="D5724" s="2" t="str">
        <f>TEXT(Table3[[#This Row],[usage_date]],"mmmm")</f>
        <v>August</v>
      </c>
      <c r="E5724" s="9">
        <f>YEAR(Table3[[#This Row],[usage_date]])</f>
        <v>2022</v>
      </c>
      <c r="F5724" s="14">
        <v>0.03</v>
      </c>
      <c r="G5724">
        <v>78</v>
      </c>
      <c r="H5724" t="s">
        <v>13</v>
      </c>
      <c r="I5724" t="str">
        <f t="shared" si="89"/>
        <v>Normal Usage</v>
      </c>
    </row>
    <row r="5725" spans="1:9" x14ac:dyDescent="0.3">
      <c r="A5725">
        <v>15724</v>
      </c>
      <c r="B5725">
        <v>336</v>
      </c>
      <c r="C5725" s="2">
        <v>45422</v>
      </c>
      <c r="D5725" s="2" t="str">
        <f>TEXT(Table3[[#This Row],[usage_date]],"mmmm")</f>
        <v>May</v>
      </c>
      <c r="E5725" s="9">
        <f>YEAR(Table3[[#This Row],[usage_date]])</f>
        <v>2024</v>
      </c>
      <c r="F5725" s="14">
        <v>1.1000000000000001</v>
      </c>
      <c r="G5725">
        <v>36</v>
      </c>
      <c r="H5725" t="s">
        <v>12</v>
      </c>
      <c r="I5725" t="str">
        <f t="shared" si="89"/>
        <v>Normal Usage</v>
      </c>
    </row>
    <row r="5726" spans="1:9" x14ac:dyDescent="0.3">
      <c r="A5726">
        <v>15725</v>
      </c>
      <c r="B5726">
        <v>236</v>
      </c>
      <c r="C5726" s="2">
        <v>45161</v>
      </c>
      <c r="D5726" s="2" t="str">
        <f>TEXT(Table3[[#This Row],[usage_date]],"mmmm")</f>
        <v>August</v>
      </c>
      <c r="E5726" s="9">
        <f>YEAR(Table3[[#This Row],[usage_date]])</f>
        <v>2023</v>
      </c>
      <c r="F5726" s="14">
        <v>0.82</v>
      </c>
      <c r="G5726">
        <v>58</v>
      </c>
      <c r="H5726" t="s">
        <v>12</v>
      </c>
      <c r="I5726" t="str">
        <f t="shared" si="89"/>
        <v>Normal Usage</v>
      </c>
    </row>
    <row r="5727" spans="1:9" x14ac:dyDescent="0.3">
      <c r="A5727">
        <v>15726</v>
      </c>
      <c r="B5727">
        <v>360</v>
      </c>
      <c r="C5727" s="2">
        <v>45409</v>
      </c>
      <c r="D5727" s="2" t="str">
        <f>TEXT(Table3[[#This Row],[usage_date]],"mmmm")</f>
        <v>April</v>
      </c>
      <c r="E5727" s="9">
        <f>YEAR(Table3[[#This Row],[usage_date]])</f>
        <v>2024</v>
      </c>
      <c r="F5727" s="14">
        <v>0.76</v>
      </c>
      <c r="G5727">
        <v>87</v>
      </c>
      <c r="H5727" t="s">
        <v>12</v>
      </c>
      <c r="I5727" t="str">
        <f t="shared" si="89"/>
        <v>Normal Usage</v>
      </c>
    </row>
    <row r="5728" spans="1:9" x14ac:dyDescent="0.3">
      <c r="A5728">
        <v>15727</v>
      </c>
      <c r="B5728">
        <v>439</v>
      </c>
      <c r="C5728" s="2">
        <v>44970</v>
      </c>
      <c r="D5728" s="2" t="str">
        <f>TEXT(Table3[[#This Row],[usage_date]],"mmmm")</f>
        <v>February</v>
      </c>
      <c r="E5728" s="9">
        <f>YEAR(Table3[[#This Row],[usage_date]])</f>
        <v>2023</v>
      </c>
      <c r="F5728" s="14">
        <v>0.63</v>
      </c>
      <c r="G5728">
        <v>103</v>
      </c>
      <c r="H5728" t="s">
        <v>12</v>
      </c>
      <c r="I5728" t="str">
        <f t="shared" si="89"/>
        <v>Normal Usage</v>
      </c>
    </row>
    <row r="5729" spans="1:9" x14ac:dyDescent="0.3">
      <c r="A5729">
        <v>15728</v>
      </c>
      <c r="B5729">
        <v>402</v>
      </c>
      <c r="C5729" s="2">
        <v>45064</v>
      </c>
      <c r="D5729" s="2" t="str">
        <f>TEXT(Table3[[#This Row],[usage_date]],"mmmm")</f>
        <v>May</v>
      </c>
      <c r="E5729" s="9">
        <f>YEAR(Table3[[#This Row],[usage_date]])</f>
        <v>2023</v>
      </c>
      <c r="F5729" s="14">
        <v>3.09</v>
      </c>
      <c r="G5729">
        <v>276</v>
      </c>
      <c r="H5729" t="s">
        <v>12</v>
      </c>
      <c r="I5729" t="str">
        <f t="shared" si="89"/>
        <v>Normal Usage</v>
      </c>
    </row>
    <row r="5730" spans="1:9" x14ac:dyDescent="0.3">
      <c r="A5730">
        <v>15729</v>
      </c>
      <c r="B5730">
        <v>34</v>
      </c>
      <c r="C5730" s="2">
        <v>45288</v>
      </c>
      <c r="D5730" s="2" t="str">
        <f>TEXT(Table3[[#This Row],[usage_date]],"mmmm")</f>
        <v>December</v>
      </c>
      <c r="E5730" s="9">
        <f>YEAR(Table3[[#This Row],[usage_date]])</f>
        <v>2023</v>
      </c>
      <c r="F5730" s="14">
        <v>0.22</v>
      </c>
      <c r="G5730">
        <v>103</v>
      </c>
      <c r="H5730" t="s">
        <v>12</v>
      </c>
      <c r="I5730" t="str">
        <f t="shared" si="89"/>
        <v>Normal Usage</v>
      </c>
    </row>
    <row r="5731" spans="1:9" x14ac:dyDescent="0.3">
      <c r="A5731">
        <v>15730</v>
      </c>
      <c r="B5731">
        <v>345</v>
      </c>
      <c r="C5731" s="2">
        <v>45165</v>
      </c>
      <c r="D5731" s="2" t="str">
        <f>TEXT(Table3[[#This Row],[usage_date]],"mmmm")</f>
        <v>August</v>
      </c>
      <c r="E5731" s="9">
        <f>YEAR(Table3[[#This Row],[usage_date]])</f>
        <v>2023</v>
      </c>
      <c r="F5731" s="14">
        <v>3.38</v>
      </c>
      <c r="G5731">
        <v>253</v>
      </c>
      <c r="H5731" t="s">
        <v>12</v>
      </c>
      <c r="I5731" t="str">
        <f t="shared" si="89"/>
        <v>Normal Usage</v>
      </c>
    </row>
    <row r="5732" spans="1:9" x14ac:dyDescent="0.3">
      <c r="A5732">
        <v>15731</v>
      </c>
      <c r="B5732">
        <v>381</v>
      </c>
      <c r="C5732" s="2">
        <v>44864</v>
      </c>
      <c r="D5732" s="2" t="str">
        <f>TEXT(Table3[[#This Row],[usage_date]],"mmmm")</f>
        <v>October</v>
      </c>
      <c r="E5732" s="9">
        <f>YEAR(Table3[[#This Row],[usage_date]])</f>
        <v>2022</v>
      </c>
      <c r="F5732" s="14">
        <v>2.96</v>
      </c>
      <c r="G5732">
        <v>229</v>
      </c>
      <c r="H5732" t="s">
        <v>13</v>
      </c>
      <c r="I5732" t="str">
        <f t="shared" si="89"/>
        <v>Normal Usage</v>
      </c>
    </row>
    <row r="5733" spans="1:9" x14ac:dyDescent="0.3">
      <c r="A5733">
        <v>15732</v>
      </c>
      <c r="B5733">
        <v>45</v>
      </c>
      <c r="C5733" s="2">
        <v>45025</v>
      </c>
      <c r="D5733" s="2" t="str">
        <f>TEXT(Table3[[#This Row],[usage_date]],"mmmm")</f>
        <v>April</v>
      </c>
      <c r="E5733" s="9">
        <f>YEAR(Table3[[#This Row],[usage_date]])</f>
        <v>2023</v>
      </c>
      <c r="F5733" s="14">
        <v>0.72</v>
      </c>
      <c r="G5733">
        <v>36</v>
      </c>
      <c r="H5733" t="s">
        <v>12</v>
      </c>
      <c r="I5733" t="str">
        <f t="shared" si="89"/>
        <v>Normal Usage</v>
      </c>
    </row>
    <row r="5734" spans="1:9" x14ac:dyDescent="0.3">
      <c r="A5734">
        <v>15733</v>
      </c>
      <c r="B5734">
        <v>134</v>
      </c>
      <c r="C5734" s="2">
        <v>44796</v>
      </c>
      <c r="D5734" s="2" t="str">
        <f>TEXT(Table3[[#This Row],[usage_date]],"mmmm")</f>
        <v>August</v>
      </c>
      <c r="E5734" s="9">
        <f>YEAR(Table3[[#This Row],[usage_date]])</f>
        <v>2022</v>
      </c>
      <c r="F5734" s="14">
        <v>0.73</v>
      </c>
      <c r="G5734">
        <v>141</v>
      </c>
      <c r="H5734" t="s">
        <v>12</v>
      </c>
      <c r="I5734" t="str">
        <f t="shared" si="89"/>
        <v>Normal Usage</v>
      </c>
    </row>
    <row r="5735" spans="1:9" x14ac:dyDescent="0.3">
      <c r="A5735">
        <v>15734</v>
      </c>
      <c r="B5735">
        <v>21</v>
      </c>
      <c r="C5735" s="2">
        <v>45257</v>
      </c>
      <c r="D5735" s="2" t="str">
        <f>TEXT(Table3[[#This Row],[usage_date]],"mmmm")</f>
        <v>November</v>
      </c>
      <c r="E5735" s="9">
        <f>YEAR(Table3[[#This Row],[usage_date]])</f>
        <v>2023</v>
      </c>
      <c r="F5735" s="14">
        <v>2.48</v>
      </c>
      <c r="G5735">
        <v>42</v>
      </c>
      <c r="H5735" t="s">
        <v>12</v>
      </c>
      <c r="I5735" t="str">
        <f t="shared" si="89"/>
        <v>Normal Usage</v>
      </c>
    </row>
    <row r="5736" spans="1:9" x14ac:dyDescent="0.3">
      <c r="A5736">
        <v>15735</v>
      </c>
      <c r="B5736">
        <v>122</v>
      </c>
      <c r="C5736" s="2">
        <v>44599</v>
      </c>
      <c r="D5736" s="2" t="str">
        <f>TEXT(Table3[[#This Row],[usage_date]],"mmmm")</f>
        <v>February</v>
      </c>
      <c r="E5736" s="9">
        <f>YEAR(Table3[[#This Row],[usage_date]])</f>
        <v>2022</v>
      </c>
      <c r="F5736" s="14">
        <v>3.59</v>
      </c>
      <c r="G5736">
        <v>115</v>
      </c>
      <c r="H5736" t="s">
        <v>13</v>
      </c>
      <c r="I5736" t="str">
        <f t="shared" si="89"/>
        <v>Normal Usage</v>
      </c>
    </row>
    <row r="5737" spans="1:9" x14ac:dyDescent="0.3">
      <c r="A5737">
        <v>15736</v>
      </c>
      <c r="B5737">
        <v>70</v>
      </c>
      <c r="C5737" s="2">
        <v>44700</v>
      </c>
      <c r="D5737" s="2" t="str">
        <f>TEXT(Table3[[#This Row],[usage_date]],"mmmm")</f>
        <v>May</v>
      </c>
      <c r="E5737" s="9">
        <f>YEAR(Table3[[#This Row],[usage_date]])</f>
        <v>2022</v>
      </c>
      <c r="F5737" s="14">
        <v>5.23</v>
      </c>
      <c r="G5737">
        <v>83</v>
      </c>
      <c r="H5737" t="s">
        <v>13</v>
      </c>
      <c r="I5737" t="str">
        <f t="shared" si="89"/>
        <v>Normal Usage</v>
      </c>
    </row>
    <row r="5738" spans="1:9" x14ac:dyDescent="0.3">
      <c r="A5738">
        <v>15737</v>
      </c>
      <c r="B5738">
        <v>352</v>
      </c>
      <c r="C5738" s="2">
        <v>44756</v>
      </c>
      <c r="D5738" s="2" t="str">
        <f>TEXT(Table3[[#This Row],[usage_date]],"mmmm")</f>
        <v>July</v>
      </c>
      <c r="E5738" s="9">
        <f>YEAR(Table3[[#This Row],[usage_date]])</f>
        <v>2022</v>
      </c>
      <c r="F5738" s="14">
        <v>4.78</v>
      </c>
      <c r="G5738">
        <v>258</v>
      </c>
      <c r="H5738" t="s">
        <v>13</v>
      </c>
      <c r="I5738" t="str">
        <f t="shared" si="89"/>
        <v>Normal Usage</v>
      </c>
    </row>
    <row r="5739" spans="1:9" x14ac:dyDescent="0.3">
      <c r="A5739">
        <v>15738</v>
      </c>
      <c r="B5739">
        <v>361</v>
      </c>
      <c r="C5739" s="2">
        <v>45088</v>
      </c>
      <c r="D5739" s="2" t="str">
        <f>TEXT(Table3[[#This Row],[usage_date]],"mmmm")</f>
        <v>June</v>
      </c>
      <c r="E5739" s="9">
        <f>YEAR(Table3[[#This Row],[usage_date]])</f>
        <v>2023</v>
      </c>
      <c r="F5739" s="14">
        <v>8.3699999999999992</v>
      </c>
      <c r="G5739">
        <v>86</v>
      </c>
      <c r="H5739" t="s">
        <v>12</v>
      </c>
      <c r="I5739" t="str">
        <f t="shared" si="89"/>
        <v>High Usage</v>
      </c>
    </row>
    <row r="5740" spans="1:9" x14ac:dyDescent="0.3">
      <c r="A5740">
        <v>15739</v>
      </c>
      <c r="B5740">
        <v>48</v>
      </c>
      <c r="C5740" s="2">
        <v>45330</v>
      </c>
      <c r="D5740" s="2" t="str">
        <f>TEXT(Table3[[#This Row],[usage_date]],"mmmm")</f>
        <v>February</v>
      </c>
      <c r="E5740" s="9">
        <f>YEAR(Table3[[#This Row],[usage_date]])</f>
        <v>2024</v>
      </c>
      <c r="F5740" s="14">
        <v>2.1800000000000002</v>
      </c>
      <c r="G5740">
        <v>290</v>
      </c>
      <c r="H5740" t="s">
        <v>12</v>
      </c>
      <c r="I5740" t="str">
        <f t="shared" si="89"/>
        <v>Normal Usage</v>
      </c>
    </row>
    <row r="5741" spans="1:9" x14ac:dyDescent="0.3">
      <c r="A5741">
        <v>15740</v>
      </c>
      <c r="B5741">
        <v>491</v>
      </c>
      <c r="C5741" s="2">
        <v>45208</v>
      </c>
      <c r="D5741" s="2" t="str">
        <f>TEXT(Table3[[#This Row],[usage_date]],"mmmm")</f>
        <v>October</v>
      </c>
      <c r="E5741" s="9">
        <f>YEAR(Table3[[#This Row],[usage_date]])</f>
        <v>2023</v>
      </c>
      <c r="F5741" s="14">
        <v>5.98</v>
      </c>
      <c r="G5741">
        <v>95</v>
      </c>
      <c r="H5741" t="s">
        <v>12</v>
      </c>
      <c r="I5741" t="str">
        <f t="shared" si="89"/>
        <v>Normal Usage</v>
      </c>
    </row>
    <row r="5742" spans="1:9" x14ac:dyDescent="0.3">
      <c r="A5742">
        <v>15741</v>
      </c>
      <c r="B5742">
        <v>39</v>
      </c>
      <c r="C5742" s="2">
        <v>44562</v>
      </c>
      <c r="D5742" s="2" t="str">
        <f>TEXT(Table3[[#This Row],[usage_date]],"mmmm")</f>
        <v>January</v>
      </c>
      <c r="E5742" s="9">
        <f>YEAR(Table3[[#This Row],[usage_date]])</f>
        <v>2022</v>
      </c>
      <c r="F5742" s="14">
        <v>4.13</v>
      </c>
      <c r="G5742">
        <v>254</v>
      </c>
      <c r="H5742" t="s">
        <v>12</v>
      </c>
      <c r="I5742" t="str">
        <f t="shared" si="89"/>
        <v>Normal Usage</v>
      </c>
    </row>
    <row r="5743" spans="1:9" x14ac:dyDescent="0.3">
      <c r="A5743">
        <v>15742</v>
      </c>
      <c r="B5743">
        <v>287</v>
      </c>
      <c r="C5743" s="2">
        <v>45122</v>
      </c>
      <c r="D5743" s="2" t="str">
        <f>TEXT(Table3[[#This Row],[usage_date]],"mmmm")</f>
        <v>July</v>
      </c>
      <c r="E5743" s="9">
        <f>YEAR(Table3[[#This Row],[usage_date]])</f>
        <v>2023</v>
      </c>
      <c r="F5743" s="14">
        <v>5.63</v>
      </c>
      <c r="G5743">
        <v>135</v>
      </c>
      <c r="H5743" t="s">
        <v>12</v>
      </c>
      <c r="I5743" t="str">
        <f t="shared" si="89"/>
        <v>Normal Usage</v>
      </c>
    </row>
    <row r="5744" spans="1:9" x14ac:dyDescent="0.3">
      <c r="A5744">
        <v>15743</v>
      </c>
      <c r="B5744">
        <v>490</v>
      </c>
      <c r="C5744" s="2">
        <v>44657</v>
      </c>
      <c r="D5744" s="2" t="str">
        <f>TEXT(Table3[[#This Row],[usage_date]],"mmmm")</f>
        <v>April</v>
      </c>
      <c r="E5744" s="9">
        <f>YEAR(Table3[[#This Row],[usage_date]])</f>
        <v>2022</v>
      </c>
      <c r="F5744" s="14">
        <v>0.03</v>
      </c>
      <c r="G5744">
        <v>247</v>
      </c>
      <c r="H5744" t="s">
        <v>13</v>
      </c>
      <c r="I5744" t="str">
        <f t="shared" si="89"/>
        <v>Normal Usage</v>
      </c>
    </row>
    <row r="5745" spans="1:9" x14ac:dyDescent="0.3">
      <c r="A5745">
        <v>15744</v>
      </c>
      <c r="B5745">
        <v>10</v>
      </c>
      <c r="C5745" s="2">
        <v>45274</v>
      </c>
      <c r="D5745" s="2" t="str">
        <f>TEXT(Table3[[#This Row],[usage_date]],"mmmm")</f>
        <v>December</v>
      </c>
      <c r="E5745" s="9">
        <f>YEAR(Table3[[#This Row],[usage_date]])</f>
        <v>2023</v>
      </c>
      <c r="F5745" s="14">
        <v>8.4499999999999993</v>
      </c>
      <c r="G5745">
        <v>91</v>
      </c>
      <c r="H5745" t="s">
        <v>12</v>
      </c>
      <c r="I5745" t="str">
        <f t="shared" si="89"/>
        <v>High Usage</v>
      </c>
    </row>
    <row r="5746" spans="1:9" x14ac:dyDescent="0.3">
      <c r="A5746">
        <v>15745</v>
      </c>
      <c r="B5746">
        <v>30</v>
      </c>
      <c r="C5746" s="2">
        <v>44974</v>
      </c>
      <c r="D5746" s="2" t="str">
        <f>TEXT(Table3[[#This Row],[usage_date]],"mmmm")</f>
        <v>February</v>
      </c>
      <c r="E5746" s="9">
        <f>YEAR(Table3[[#This Row],[usage_date]])</f>
        <v>2023</v>
      </c>
      <c r="F5746" s="14">
        <v>1.6</v>
      </c>
      <c r="G5746">
        <v>246</v>
      </c>
      <c r="H5746" t="s">
        <v>13</v>
      </c>
      <c r="I5746" t="str">
        <f t="shared" si="89"/>
        <v>Normal Usage</v>
      </c>
    </row>
    <row r="5747" spans="1:9" x14ac:dyDescent="0.3">
      <c r="A5747">
        <v>15746</v>
      </c>
      <c r="B5747">
        <v>244</v>
      </c>
      <c r="C5747" s="2">
        <v>45099</v>
      </c>
      <c r="D5747" s="2" t="str">
        <f>TEXT(Table3[[#This Row],[usage_date]],"mmmm")</f>
        <v>June</v>
      </c>
      <c r="E5747" s="9">
        <f>YEAR(Table3[[#This Row],[usage_date]])</f>
        <v>2023</v>
      </c>
      <c r="F5747" s="14">
        <v>4</v>
      </c>
      <c r="G5747">
        <v>257</v>
      </c>
      <c r="H5747" t="s">
        <v>12</v>
      </c>
      <c r="I5747" t="str">
        <f t="shared" si="89"/>
        <v>Normal Usage</v>
      </c>
    </row>
    <row r="5748" spans="1:9" x14ac:dyDescent="0.3">
      <c r="A5748">
        <v>15747</v>
      </c>
      <c r="B5748">
        <v>274</v>
      </c>
      <c r="C5748" s="2">
        <v>45416</v>
      </c>
      <c r="D5748" s="2" t="str">
        <f>TEXT(Table3[[#This Row],[usage_date]],"mmmm")</f>
        <v>May</v>
      </c>
      <c r="E5748" s="9">
        <f>YEAR(Table3[[#This Row],[usage_date]])</f>
        <v>2024</v>
      </c>
      <c r="F5748" s="14">
        <v>0.34</v>
      </c>
      <c r="G5748">
        <v>186</v>
      </c>
      <c r="H5748" t="s">
        <v>13</v>
      </c>
      <c r="I5748" t="str">
        <f t="shared" si="89"/>
        <v>Normal Usage</v>
      </c>
    </row>
    <row r="5749" spans="1:9" x14ac:dyDescent="0.3">
      <c r="A5749">
        <v>15748</v>
      </c>
      <c r="B5749">
        <v>444</v>
      </c>
      <c r="C5749" s="2">
        <v>44990</v>
      </c>
      <c r="D5749" s="2" t="str">
        <f>TEXT(Table3[[#This Row],[usage_date]],"mmmm")</f>
        <v>March</v>
      </c>
      <c r="E5749" s="9">
        <f>YEAR(Table3[[#This Row],[usage_date]])</f>
        <v>2023</v>
      </c>
      <c r="F5749" s="14">
        <v>1.26</v>
      </c>
      <c r="G5749">
        <v>123</v>
      </c>
      <c r="H5749" t="s">
        <v>12</v>
      </c>
      <c r="I5749" t="str">
        <f t="shared" si="89"/>
        <v>Normal Usage</v>
      </c>
    </row>
    <row r="5750" spans="1:9" x14ac:dyDescent="0.3">
      <c r="A5750">
        <v>15749</v>
      </c>
      <c r="B5750">
        <v>88</v>
      </c>
      <c r="C5750" s="2">
        <v>44796</v>
      </c>
      <c r="D5750" s="2" t="str">
        <f>TEXT(Table3[[#This Row],[usage_date]],"mmmm")</f>
        <v>August</v>
      </c>
      <c r="E5750" s="9">
        <f>YEAR(Table3[[#This Row],[usage_date]])</f>
        <v>2022</v>
      </c>
      <c r="F5750" s="14">
        <v>0.79</v>
      </c>
      <c r="G5750">
        <v>259</v>
      </c>
      <c r="H5750" t="s">
        <v>13</v>
      </c>
      <c r="I5750" t="str">
        <f t="shared" si="89"/>
        <v>Normal Usage</v>
      </c>
    </row>
    <row r="5751" spans="1:9" x14ac:dyDescent="0.3">
      <c r="A5751">
        <v>15750</v>
      </c>
      <c r="B5751">
        <v>244</v>
      </c>
      <c r="C5751" s="2">
        <v>44910</v>
      </c>
      <c r="D5751" s="2" t="str">
        <f>TEXT(Table3[[#This Row],[usage_date]],"mmmm")</f>
        <v>December</v>
      </c>
      <c r="E5751" s="9">
        <f>YEAR(Table3[[#This Row],[usage_date]])</f>
        <v>2022</v>
      </c>
      <c r="F5751" s="14">
        <v>0.86</v>
      </c>
      <c r="G5751">
        <v>168</v>
      </c>
      <c r="H5751" t="s">
        <v>12</v>
      </c>
      <c r="I5751" t="str">
        <f t="shared" si="89"/>
        <v>Normal Usage</v>
      </c>
    </row>
    <row r="5752" spans="1:9" x14ac:dyDescent="0.3">
      <c r="A5752">
        <v>15751</v>
      </c>
      <c r="B5752">
        <v>381</v>
      </c>
      <c r="C5752" s="2">
        <v>45317</v>
      </c>
      <c r="D5752" s="2" t="str">
        <f>TEXT(Table3[[#This Row],[usage_date]],"mmmm")</f>
        <v>January</v>
      </c>
      <c r="E5752" s="9">
        <f>YEAR(Table3[[#This Row],[usage_date]])</f>
        <v>2024</v>
      </c>
      <c r="F5752" s="14">
        <v>0.33</v>
      </c>
      <c r="G5752">
        <v>110</v>
      </c>
      <c r="H5752" t="s">
        <v>13</v>
      </c>
      <c r="I5752" t="str">
        <f t="shared" si="89"/>
        <v>Normal Usage</v>
      </c>
    </row>
    <row r="5753" spans="1:9" x14ac:dyDescent="0.3">
      <c r="A5753">
        <v>15752</v>
      </c>
      <c r="B5753">
        <v>329</v>
      </c>
      <c r="C5753" s="2">
        <v>45431</v>
      </c>
      <c r="D5753" s="2" t="str">
        <f>TEXT(Table3[[#This Row],[usage_date]],"mmmm")</f>
        <v>May</v>
      </c>
      <c r="E5753" s="9">
        <f>YEAR(Table3[[#This Row],[usage_date]])</f>
        <v>2024</v>
      </c>
      <c r="F5753" s="14">
        <v>4.0999999999999996</v>
      </c>
      <c r="G5753">
        <v>289</v>
      </c>
      <c r="H5753" t="s">
        <v>12</v>
      </c>
      <c r="I5753" t="str">
        <f t="shared" si="89"/>
        <v>Normal Usage</v>
      </c>
    </row>
    <row r="5754" spans="1:9" x14ac:dyDescent="0.3">
      <c r="A5754">
        <v>15753</v>
      </c>
      <c r="B5754">
        <v>479</v>
      </c>
      <c r="C5754" s="2">
        <v>45042</v>
      </c>
      <c r="D5754" s="2" t="str">
        <f>TEXT(Table3[[#This Row],[usage_date]],"mmmm")</f>
        <v>April</v>
      </c>
      <c r="E5754" s="9">
        <f>YEAR(Table3[[#This Row],[usage_date]])</f>
        <v>2023</v>
      </c>
      <c r="F5754" s="14">
        <v>0.02</v>
      </c>
      <c r="G5754">
        <v>86</v>
      </c>
      <c r="H5754" t="s">
        <v>12</v>
      </c>
      <c r="I5754" t="str">
        <f t="shared" si="89"/>
        <v>Normal Usage</v>
      </c>
    </row>
    <row r="5755" spans="1:9" x14ac:dyDescent="0.3">
      <c r="A5755">
        <v>15754</v>
      </c>
      <c r="B5755">
        <v>15</v>
      </c>
      <c r="C5755" s="2">
        <v>45400</v>
      </c>
      <c r="D5755" s="2" t="str">
        <f>TEXT(Table3[[#This Row],[usage_date]],"mmmm")</f>
        <v>April</v>
      </c>
      <c r="E5755" s="9">
        <f>YEAR(Table3[[#This Row],[usage_date]])</f>
        <v>2024</v>
      </c>
      <c r="F5755" s="14">
        <v>0.94</v>
      </c>
      <c r="G5755">
        <v>12</v>
      </c>
      <c r="H5755" t="s">
        <v>12</v>
      </c>
      <c r="I5755" t="str">
        <f t="shared" si="89"/>
        <v>Normal Usage</v>
      </c>
    </row>
    <row r="5756" spans="1:9" x14ac:dyDescent="0.3">
      <c r="A5756">
        <v>15755</v>
      </c>
      <c r="B5756">
        <v>4</v>
      </c>
      <c r="C5756" s="2">
        <v>44957</v>
      </c>
      <c r="D5756" s="2" t="str">
        <f>TEXT(Table3[[#This Row],[usage_date]],"mmmm")</f>
        <v>January</v>
      </c>
      <c r="E5756" s="9">
        <f>YEAR(Table3[[#This Row],[usage_date]])</f>
        <v>2023</v>
      </c>
      <c r="F5756" s="14">
        <v>0.48</v>
      </c>
      <c r="G5756">
        <v>262</v>
      </c>
      <c r="H5756" t="s">
        <v>12</v>
      </c>
      <c r="I5756" t="str">
        <f t="shared" si="89"/>
        <v>Normal Usage</v>
      </c>
    </row>
    <row r="5757" spans="1:9" x14ac:dyDescent="0.3">
      <c r="A5757">
        <v>15756</v>
      </c>
      <c r="B5757">
        <v>191</v>
      </c>
      <c r="C5757" s="2">
        <v>44912</v>
      </c>
      <c r="D5757" s="2" t="str">
        <f>TEXT(Table3[[#This Row],[usage_date]],"mmmm")</f>
        <v>December</v>
      </c>
      <c r="E5757" s="9">
        <f>YEAR(Table3[[#This Row],[usage_date]])</f>
        <v>2022</v>
      </c>
      <c r="F5757" s="14">
        <v>2.2200000000000002</v>
      </c>
      <c r="G5757">
        <v>287</v>
      </c>
      <c r="H5757" t="s">
        <v>12</v>
      </c>
      <c r="I5757" t="str">
        <f t="shared" si="89"/>
        <v>Normal Usage</v>
      </c>
    </row>
    <row r="5758" spans="1:9" x14ac:dyDescent="0.3">
      <c r="A5758">
        <v>15757</v>
      </c>
      <c r="B5758">
        <v>168</v>
      </c>
      <c r="C5758" s="2">
        <v>44977</v>
      </c>
      <c r="D5758" s="2" t="str">
        <f>TEXT(Table3[[#This Row],[usage_date]],"mmmm")</f>
        <v>February</v>
      </c>
      <c r="E5758" s="9">
        <f>YEAR(Table3[[#This Row],[usage_date]])</f>
        <v>2023</v>
      </c>
      <c r="F5758" s="14">
        <v>0.73</v>
      </c>
      <c r="G5758">
        <v>22</v>
      </c>
      <c r="H5758" t="s">
        <v>13</v>
      </c>
      <c r="I5758" t="str">
        <f t="shared" si="89"/>
        <v>Normal Usage</v>
      </c>
    </row>
    <row r="5759" spans="1:9" x14ac:dyDescent="0.3">
      <c r="A5759">
        <v>15758</v>
      </c>
      <c r="B5759">
        <v>9</v>
      </c>
      <c r="C5759" s="2">
        <v>45447</v>
      </c>
      <c r="D5759" s="2" t="str">
        <f>TEXT(Table3[[#This Row],[usage_date]],"mmmm")</f>
        <v>June</v>
      </c>
      <c r="E5759" s="9">
        <f>YEAR(Table3[[#This Row],[usage_date]])</f>
        <v>2024</v>
      </c>
      <c r="F5759" s="14">
        <v>0.75</v>
      </c>
      <c r="G5759">
        <v>199</v>
      </c>
      <c r="H5759" t="s">
        <v>12</v>
      </c>
      <c r="I5759" t="str">
        <f t="shared" si="89"/>
        <v>Normal Usage</v>
      </c>
    </row>
    <row r="5760" spans="1:9" x14ac:dyDescent="0.3">
      <c r="A5760">
        <v>15759</v>
      </c>
      <c r="B5760">
        <v>109</v>
      </c>
      <c r="C5760" s="2">
        <v>45448</v>
      </c>
      <c r="D5760" s="2" t="str">
        <f>TEXT(Table3[[#This Row],[usage_date]],"mmmm")</f>
        <v>June</v>
      </c>
      <c r="E5760" s="9">
        <f>YEAR(Table3[[#This Row],[usage_date]])</f>
        <v>2024</v>
      </c>
      <c r="F5760" s="14">
        <v>1.68</v>
      </c>
      <c r="G5760">
        <v>241</v>
      </c>
      <c r="H5760" t="s">
        <v>13</v>
      </c>
      <c r="I5760" t="str">
        <f t="shared" si="89"/>
        <v>Normal Usage</v>
      </c>
    </row>
    <row r="5761" spans="1:9" x14ac:dyDescent="0.3">
      <c r="A5761">
        <v>15760</v>
      </c>
      <c r="B5761">
        <v>137</v>
      </c>
      <c r="C5761" s="2">
        <v>44612</v>
      </c>
      <c r="D5761" s="2" t="str">
        <f>TEXT(Table3[[#This Row],[usage_date]],"mmmm")</f>
        <v>February</v>
      </c>
      <c r="E5761" s="9">
        <f>YEAR(Table3[[#This Row],[usage_date]])</f>
        <v>2022</v>
      </c>
      <c r="F5761" s="14">
        <v>2.64</v>
      </c>
      <c r="G5761">
        <v>238</v>
      </c>
      <c r="H5761" t="s">
        <v>12</v>
      </c>
      <c r="I5761" t="str">
        <f t="shared" si="89"/>
        <v>Normal Usage</v>
      </c>
    </row>
    <row r="5762" spans="1:9" x14ac:dyDescent="0.3">
      <c r="A5762">
        <v>15761</v>
      </c>
      <c r="B5762">
        <v>154</v>
      </c>
      <c r="C5762" s="2">
        <v>44642</v>
      </c>
      <c r="D5762" s="2" t="str">
        <f>TEXT(Table3[[#This Row],[usage_date]],"mmmm")</f>
        <v>March</v>
      </c>
      <c r="E5762" s="9">
        <f>YEAR(Table3[[#This Row],[usage_date]])</f>
        <v>2022</v>
      </c>
      <c r="F5762" s="14">
        <v>0.32</v>
      </c>
      <c r="G5762">
        <v>164</v>
      </c>
      <c r="H5762" t="s">
        <v>12</v>
      </c>
      <c r="I5762" t="str">
        <f t="shared" ref="I5762:I5825" si="90">IF(F5762&gt;6,"High Usage","Normal Usage")</f>
        <v>Normal Usage</v>
      </c>
    </row>
    <row r="5763" spans="1:9" x14ac:dyDescent="0.3">
      <c r="A5763">
        <v>15762</v>
      </c>
      <c r="B5763">
        <v>388</v>
      </c>
      <c r="C5763" s="2">
        <v>44597</v>
      </c>
      <c r="D5763" s="2" t="str">
        <f>TEXT(Table3[[#This Row],[usage_date]],"mmmm")</f>
        <v>February</v>
      </c>
      <c r="E5763" s="9">
        <f>YEAR(Table3[[#This Row],[usage_date]])</f>
        <v>2022</v>
      </c>
      <c r="F5763" s="14">
        <v>0.48</v>
      </c>
      <c r="G5763">
        <v>225</v>
      </c>
      <c r="H5763" t="s">
        <v>12</v>
      </c>
      <c r="I5763" t="str">
        <f t="shared" si="90"/>
        <v>Normal Usage</v>
      </c>
    </row>
    <row r="5764" spans="1:9" x14ac:dyDescent="0.3">
      <c r="A5764">
        <v>15763</v>
      </c>
      <c r="B5764">
        <v>209</v>
      </c>
      <c r="C5764" s="2">
        <v>44628</v>
      </c>
      <c r="D5764" s="2" t="str">
        <f>TEXT(Table3[[#This Row],[usage_date]],"mmmm")</f>
        <v>March</v>
      </c>
      <c r="E5764" s="9">
        <f>YEAR(Table3[[#This Row],[usage_date]])</f>
        <v>2022</v>
      </c>
      <c r="F5764" s="14">
        <v>0.71</v>
      </c>
      <c r="G5764">
        <v>175</v>
      </c>
      <c r="H5764" t="s">
        <v>13</v>
      </c>
      <c r="I5764" t="str">
        <f t="shared" si="90"/>
        <v>Normal Usage</v>
      </c>
    </row>
    <row r="5765" spans="1:9" x14ac:dyDescent="0.3">
      <c r="A5765">
        <v>15764</v>
      </c>
      <c r="B5765">
        <v>272</v>
      </c>
      <c r="C5765" s="2">
        <v>45202</v>
      </c>
      <c r="D5765" s="2" t="str">
        <f>TEXT(Table3[[#This Row],[usage_date]],"mmmm")</f>
        <v>October</v>
      </c>
      <c r="E5765" s="9">
        <f>YEAR(Table3[[#This Row],[usage_date]])</f>
        <v>2023</v>
      </c>
      <c r="F5765" s="14">
        <v>9.1</v>
      </c>
      <c r="G5765">
        <v>28</v>
      </c>
      <c r="H5765" t="s">
        <v>12</v>
      </c>
      <c r="I5765" t="str">
        <f t="shared" si="90"/>
        <v>High Usage</v>
      </c>
    </row>
    <row r="5766" spans="1:9" x14ac:dyDescent="0.3">
      <c r="A5766">
        <v>15765</v>
      </c>
      <c r="B5766">
        <v>143</v>
      </c>
      <c r="C5766" s="2">
        <v>45443</v>
      </c>
      <c r="D5766" s="2" t="str">
        <f>TEXT(Table3[[#This Row],[usage_date]],"mmmm")</f>
        <v>May</v>
      </c>
      <c r="E5766" s="9">
        <f>YEAR(Table3[[#This Row],[usage_date]])</f>
        <v>2024</v>
      </c>
      <c r="F5766" s="14">
        <v>1.27</v>
      </c>
      <c r="G5766">
        <v>164</v>
      </c>
      <c r="H5766" t="s">
        <v>12</v>
      </c>
      <c r="I5766" t="str">
        <f t="shared" si="90"/>
        <v>Normal Usage</v>
      </c>
    </row>
    <row r="5767" spans="1:9" x14ac:dyDescent="0.3">
      <c r="A5767">
        <v>15766</v>
      </c>
      <c r="B5767">
        <v>99</v>
      </c>
      <c r="C5767" s="2">
        <v>45228</v>
      </c>
      <c r="D5767" s="2" t="str">
        <f>TEXT(Table3[[#This Row],[usage_date]],"mmmm")</f>
        <v>October</v>
      </c>
      <c r="E5767" s="9">
        <f>YEAR(Table3[[#This Row],[usage_date]])</f>
        <v>2023</v>
      </c>
      <c r="F5767" s="14">
        <v>2.2799999999999998</v>
      </c>
      <c r="G5767">
        <v>22</v>
      </c>
      <c r="H5767" t="s">
        <v>12</v>
      </c>
      <c r="I5767" t="str">
        <f t="shared" si="90"/>
        <v>Normal Usage</v>
      </c>
    </row>
    <row r="5768" spans="1:9" x14ac:dyDescent="0.3">
      <c r="A5768">
        <v>15767</v>
      </c>
      <c r="B5768">
        <v>377</v>
      </c>
      <c r="C5768" s="2">
        <v>45318</v>
      </c>
      <c r="D5768" s="2" t="str">
        <f>TEXT(Table3[[#This Row],[usage_date]],"mmmm")</f>
        <v>January</v>
      </c>
      <c r="E5768" s="9">
        <f>YEAR(Table3[[#This Row],[usage_date]])</f>
        <v>2024</v>
      </c>
      <c r="F5768" s="14">
        <v>0.69</v>
      </c>
      <c r="G5768">
        <v>293</v>
      </c>
      <c r="H5768" t="s">
        <v>12</v>
      </c>
      <c r="I5768" t="str">
        <f t="shared" si="90"/>
        <v>Normal Usage</v>
      </c>
    </row>
    <row r="5769" spans="1:9" x14ac:dyDescent="0.3">
      <c r="A5769">
        <v>15768</v>
      </c>
      <c r="B5769">
        <v>308</v>
      </c>
      <c r="C5769" s="2">
        <v>45184</v>
      </c>
      <c r="D5769" s="2" t="str">
        <f>TEXT(Table3[[#This Row],[usage_date]],"mmmm")</f>
        <v>September</v>
      </c>
      <c r="E5769" s="9">
        <f>YEAR(Table3[[#This Row],[usage_date]])</f>
        <v>2023</v>
      </c>
      <c r="F5769" s="14">
        <v>1.69</v>
      </c>
      <c r="G5769">
        <v>43</v>
      </c>
      <c r="H5769" t="s">
        <v>12</v>
      </c>
      <c r="I5769" t="str">
        <f t="shared" si="90"/>
        <v>Normal Usage</v>
      </c>
    </row>
    <row r="5770" spans="1:9" x14ac:dyDescent="0.3">
      <c r="A5770">
        <v>15769</v>
      </c>
      <c r="B5770">
        <v>69</v>
      </c>
      <c r="C5770" s="2">
        <v>45241</v>
      </c>
      <c r="D5770" s="2" t="str">
        <f>TEXT(Table3[[#This Row],[usage_date]],"mmmm")</f>
        <v>November</v>
      </c>
      <c r="E5770" s="9">
        <f>YEAR(Table3[[#This Row],[usage_date]])</f>
        <v>2023</v>
      </c>
      <c r="F5770" s="14">
        <v>0.19</v>
      </c>
      <c r="G5770">
        <v>260</v>
      </c>
      <c r="H5770" t="s">
        <v>12</v>
      </c>
      <c r="I5770" t="str">
        <f t="shared" si="90"/>
        <v>Normal Usage</v>
      </c>
    </row>
    <row r="5771" spans="1:9" x14ac:dyDescent="0.3">
      <c r="A5771">
        <v>15770</v>
      </c>
      <c r="B5771">
        <v>247</v>
      </c>
      <c r="C5771" s="2">
        <v>45042</v>
      </c>
      <c r="D5771" s="2" t="str">
        <f>TEXT(Table3[[#This Row],[usage_date]],"mmmm")</f>
        <v>April</v>
      </c>
      <c r="E5771" s="9">
        <f>YEAR(Table3[[#This Row],[usage_date]])</f>
        <v>2023</v>
      </c>
      <c r="F5771" s="14">
        <v>0.09</v>
      </c>
      <c r="G5771">
        <v>179</v>
      </c>
      <c r="H5771" t="s">
        <v>12</v>
      </c>
      <c r="I5771" t="str">
        <f t="shared" si="90"/>
        <v>Normal Usage</v>
      </c>
    </row>
    <row r="5772" spans="1:9" x14ac:dyDescent="0.3">
      <c r="A5772">
        <v>15771</v>
      </c>
      <c r="B5772">
        <v>261</v>
      </c>
      <c r="C5772" s="2">
        <v>45029</v>
      </c>
      <c r="D5772" s="2" t="str">
        <f>TEXT(Table3[[#This Row],[usage_date]],"mmmm")</f>
        <v>April</v>
      </c>
      <c r="E5772" s="9">
        <f>YEAR(Table3[[#This Row],[usage_date]])</f>
        <v>2023</v>
      </c>
      <c r="F5772" s="14">
        <v>1.58</v>
      </c>
      <c r="G5772">
        <v>295</v>
      </c>
      <c r="H5772" t="s">
        <v>12</v>
      </c>
      <c r="I5772" t="str">
        <f t="shared" si="90"/>
        <v>Normal Usage</v>
      </c>
    </row>
    <row r="5773" spans="1:9" x14ac:dyDescent="0.3">
      <c r="A5773">
        <v>15772</v>
      </c>
      <c r="B5773">
        <v>276</v>
      </c>
      <c r="C5773" s="2">
        <v>44703</v>
      </c>
      <c r="D5773" s="2" t="str">
        <f>TEXT(Table3[[#This Row],[usage_date]],"mmmm")</f>
        <v>May</v>
      </c>
      <c r="E5773" s="9">
        <f>YEAR(Table3[[#This Row],[usage_date]])</f>
        <v>2022</v>
      </c>
      <c r="F5773" s="14">
        <v>1.27</v>
      </c>
      <c r="G5773">
        <v>138</v>
      </c>
      <c r="H5773" t="s">
        <v>13</v>
      </c>
      <c r="I5773" t="str">
        <f t="shared" si="90"/>
        <v>Normal Usage</v>
      </c>
    </row>
    <row r="5774" spans="1:9" x14ac:dyDescent="0.3">
      <c r="A5774">
        <v>15773</v>
      </c>
      <c r="B5774">
        <v>79</v>
      </c>
      <c r="C5774" s="2">
        <v>44917</v>
      </c>
      <c r="D5774" s="2" t="str">
        <f>TEXT(Table3[[#This Row],[usage_date]],"mmmm")</f>
        <v>December</v>
      </c>
      <c r="E5774" s="9">
        <f>YEAR(Table3[[#This Row],[usage_date]])</f>
        <v>2022</v>
      </c>
      <c r="F5774" s="14">
        <v>0.37</v>
      </c>
      <c r="G5774">
        <v>247</v>
      </c>
      <c r="H5774" t="s">
        <v>12</v>
      </c>
      <c r="I5774" t="str">
        <f t="shared" si="90"/>
        <v>Normal Usage</v>
      </c>
    </row>
    <row r="5775" spans="1:9" x14ac:dyDescent="0.3">
      <c r="A5775">
        <v>15774</v>
      </c>
      <c r="B5775">
        <v>146</v>
      </c>
      <c r="C5775" s="2">
        <v>45270</v>
      </c>
      <c r="D5775" s="2" t="str">
        <f>TEXT(Table3[[#This Row],[usage_date]],"mmmm")</f>
        <v>December</v>
      </c>
      <c r="E5775" s="9">
        <f>YEAR(Table3[[#This Row],[usage_date]])</f>
        <v>2023</v>
      </c>
      <c r="F5775" s="14">
        <v>2.91</v>
      </c>
      <c r="G5775">
        <v>240</v>
      </c>
      <c r="H5775" t="s">
        <v>13</v>
      </c>
      <c r="I5775" t="str">
        <f t="shared" si="90"/>
        <v>Normal Usage</v>
      </c>
    </row>
    <row r="5776" spans="1:9" x14ac:dyDescent="0.3">
      <c r="A5776">
        <v>15775</v>
      </c>
      <c r="B5776">
        <v>111</v>
      </c>
      <c r="C5776" s="2">
        <v>45032</v>
      </c>
      <c r="D5776" s="2" t="str">
        <f>TEXT(Table3[[#This Row],[usage_date]],"mmmm")</f>
        <v>April</v>
      </c>
      <c r="E5776" s="9">
        <f>YEAR(Table3[[#This Row],[usage_date]])</f>
        <v>2023</v>
      </c>
      <c r="F5776" s="14">
        <v>12.37</v>
      </c>
      <c r="G5776">
        <v>105</v>
      </c>
      <c r="H5776" t="s">
        <v>12</v>
      </c>
      <c r="I5776" t="str">
        <f t="shared" si="90"/>
        <v>High Usage</v>
      </c>
    </row>
    <row r="5777" spans="1:9" x14ac:dyDescent="0.3">
      <c r="A5777">
        <v>15776</v>
      </c>
      <c r="B5777">
        <v>258</v>
      </c>
      <c r="C5777" s="2">
        <v>45182</v>
      </c>
      <c r="D5777" s="2" t="str">
        <f>TEXT(Table3[[#This Row],[usage_date]],"mmmm")</f>
        <v>September</v>
      </c>
      <c r="E5777" s="9">
        <f>YEAR(Table3[[#This Row],[usage_date]])</f>
        <v>2023</v>
      </c>
      <c r="F5777" s="14">
        <v>1.26</v>
      </c>
      <c r="G5777">
        <v>172</v>
      </c>
      <c r="H5777" t="s">
        <v>12</v>
      </c>
      <c r="I5777" t="str">
        <f t="shared" si="90"/>
        <v>Normal Usage</v>
      </c>
    </row>
    <row r="5778" spans="1:9" x14ac:dyDescent="0.3">
      <c r="A5778">
        <v>15777</v>
      </c>
      <c r="B5778">
        <v>93</v>
      </c>
      <c r="C5778" s="2">
        <v>45449</v>
      </c>
      <c r="D5778" s="2" t="str">
        <f>TEXT(Table3[[#This Row],[usage_date]],"mmmm")</f>
        <v>June</v>
      </c>
      <c r="E5778" s="9">
        <f>YEAR(Table3[[#This Row],[usage_date]])</f>
        <v>2024</v>
      </c>
      <c r="F5778" s="14">
        <v>2.4500000000000002</v>
      </c>
      <c r="G5778">
        <v>48</v>
      </c>
      <c r="H5778" t="s">
        <v>12</v>
      </c>
      <c r="I5778" t="str">
        <f t="shared" si="90"/>
        <v>Normal Usage</v>
      </c>
    </row>
    <row r="5779" spans="1:9" x14ac:dyDescent="0.3">
      <c r="A5779">
        <v>15778</v>
      </c>
      <c r="B5779">
        <v>13</v>
      </c>
      <c r="C5779" s="2">
        <v>45152</v>
      </c>
      <c r="D5779" s="2" t="str">
        <f>TEXT(Table3[[#This Row],[usage_date]],"mmmm")</f>
        <v>August</v>
      </c>
      <c r="E5779" s="9">
        <f>YEAR(Table3[[#This Row],[usage_date]])</f>
        <v>2023</v>
      </c>
      <c r="F5779" s="14">
        <v>8.24</v>
      </c>
      <c r="G5779">
        <v>122</v>
      </c>
      <c r="H5779" t="s">
        <v>12</v>
      </c>
      <c r="I5779" t="str">
        <f t="shared" si="90"/>
        <v>High Usage</v>
      </c>
    </row>
    <row r="5780" spans="1:9" x14ac:dyDescent="0.3">
      <c r="A5780">
        <v>15779</v>
      </c>
      <c r="B5780">
        <v>260</v>
      </c>
      <c r="C5780" s="2">
        <v>45234</v>
      </c>
      <c r="D5780" s="2" t="str">
        <f>TEXT(Table3[[#This Row],[usage_date]],"mmmm")</f>
        <v>November</v>
      </c>
      <c r="E5780" s="9">
        <f>YEAR(Table3[[#This Row],[usage_date]])</f>
        <v>2023</v>
      </c>
      <c r="F5780" s="14">
        <v>4.45</v>
      </c>
      <c r="G5780">
        <v>34</v>
      </c>
      <c r="H5780" t="s">
        <v>12</v>
      </c>
      <c r="I5780" t="str">
        <f t="shared" si="90"/>
        <v>Normal Usage</v>
      </c>
    </row>
    <row r="5781" spans="1:9" x14ac:dyDescent="0.3">
      <c r="A5781">
        <v>15780</v>
      </c>
      <c r="B5781">
        <v>426</v>
      </c>
      <c r="C5781" s="2">
        <v>45000</v>
      </c>
      <c r="D5781" s="2" t="str">
        <f>TEXT(Table3[[#This Row],[usage_date]],"mmmm")</f>
        <v>March</v>
      </c>
      <c r="E5781" s="9">
        <f>YEAR(Table3[[#This Row],[usage_date]])</f>
        <v>2023</v>
      </c>
      <c r="F5781" s="14">
        <v>1.56</v>
      </c>
      <c r="G5781">
        <v>105</v>
      </c>
      <c r="H5781" t="s">
        <v>12</v>
      </c>
      <c r="I5781" t="str">
        <f t="shared" si="90"/>
        <v>Normal Usage</v>
      </c>
    </row>
    <row r="5782" spans="1:9" x14ac:dyDescent="0.3">
      <c r="A5782">
        <v>15781</v>
      </c>
      <c r="B5782">
        <v>109</v>
      </c>
      <c r="C5782" s="2">
        <v>45092</v>
      </c>
      <c r="D5782" s="2" t="str">
        <f>TEXT(Table3[[#This Row],[usage_date]],"mmmm")</f>
        <v>June</v>
      </c>
      <c r="E5782" s="9">
        <f>YEAR(Table3[[#This Row],[usage_date]])</f>
        <v>2023</v>
      </c>
      <c r="F5782" s="14">
        <v>3.34</v>
      </c>
      <c r="G5782">
        <v>195</v>
      </c>
      <c r="H5782" t="s">
        <v>12</v>
      </c>
      <c r="I5782" t="str">
        <f t="shared" si="90"/>
        <v>Normal Usage</v>
      </c>
    </row>
    <row r="5783" spans="1:9" x14ac:dyDescent="0.3">
      <c r="A5783">
        <v>15782</v>
      </c>
      <c r="B5783">
        <v>330</v>
      </c>
      <c r="C5783" s="2">
        <v>44688</v>
      </c>
      <c r="D5783" s="2" t="str">
        <f>TEXT(Table3[[#This Row],[usage_date]],"mmmm")</f>
        <v>May</v>
      </c>
      <c r="E5783" s="9">
        <f>YEAR(Table3[[#This Row],[usage_date]])</f>
        <v>2022</v>
      </c>
      <c r="F5783" s="14">
        <v>0.34</v>
      </c>
      <c r="G5783">
        <v>108</v>
      </c>
      <c r="H5783" t="s">
        <v>12</v>
      </c>
      <c r="I5783" t="str">
        <f t="shared" si="90"/>
        <v>Normal Usage</v>
      </c>
    </row>
    <row r="5784" spans="1:9" x14ac:dyDescent="0.3">
      <c r="A5784">
        <v>15783</v>
      </c>
      <c r="B5784">
        <v>189</v>
      </c>
      <c r="C5784" s="2">
        <v>44766</v>
      </c>
      <c r="D5784" s="2" t="str">
        <f>TEXT(Table3[[#This Row],[usage_date]],"mmmm")</f>
        <v>July</v>
      </c>
      <c r="E5784" s="9">
        <f>YEAR(Table3[[#This Row],[usage_date]])</f>
        <v>2022</v>
      </c>
      <c r="F5784" s="14">
        <v>1.79</v>
      </c>
      <c r="G5784">
        <v>124</v>
      </c>
      <c r="H5784" t="s">
        <v>12</v>
      </c>
      <c r="I5784" t="str">
        <f t="shared" si="90"/>
        <v>Normal Usage</v>
      </c>
    </row>
    <row r="5785" spans="1:9" x14ac:dyDescent="0.3">
      <c r="A5785">
        <v>15784</v>
      </c>
      <c r="B5785">
        <v>95</v>
      </c>
      <c r="C5785" s="2">
        <v>44590</v>
      </c>
      <c r="D5785" s="2" t="str">
        <f>TEXT(Table3[[#This Row],[usage_date]],"mmmm")</f>
        <v>January</v>
      </c>
      <c r="E5785" s="9">
        <f>YEAR(Table3[[#This Row],[usage_date]])</f>
        <v>2022</v>
      </c>
      <c r="F5785" s="14">
        <v>0.82</v>
      </c>
      <c r="G5785">
        <v>294</v>
      </c>
      <c r="H5785" t="s">
        <v>12</v>
      </c>
      <c r="I5785" t="str">
        <f t="shared" si="90"/>
        <v>Normal Usage</v>
      </c>
    </row>
    <row r="5786" spans="1:9" x14ac:dyDescent="0.3">
      <c r="A5786">
        <v>15785</v>
      </c>
      <c r="B5786">
        <v>105</v>
      </c>
      <c r="C5786" s="2">
        <v>45006</v>
      </c>
      <c r="D5786" s="2" t="str">
        <f>TEXT(Table3[[#This Row],[usage_date]],"mmmm")</f>
        <v>March</v>
      </c>
      <c r="E5786" s="9">
        <f>YEAR(Table3[[#This Row],[usage_date]])</f>
        <v>2023</v>
      </c>
      <c r="F5786" s="14">
        <v>0.44</v>
      </c>
      <c r="G5786">
        <v>36</v>
      </c>
      <c r="H5786" t="s">
        <v>13</v>
      </c>
      <c r="I5786" t="str">
        <f t="shared" si="90"/>
        <v>Normal Usage</v>
      </c>
    </row>
    <row r="5787" spans="1:9" x14ac:dyDescent="0.3">
      <c r="A5787">
        <v>15786</v>
      </c>
      <c r="B5787">
        <v>8</v>
      </c>
      <c r="C5787" s="2">
        <v>45280</v>
      </c>
      <c r="D5787" s="2" t="str">
        <f>TEXT(Table3[[#This Row],[usage_date]],"mmmm")</f>
        <v>December</v>
      </c>
      <c r="E5787" s="9">
        <f>YEAR(Table3[[#This Row],[usage_date]])</f>
        <v>2023</v>
      </c>
      <c r="F5787" s="14">
        <v>1.39</v>
      </c>
      <c r="G5787">
        <v>187</v>
      </c>
      <c r="H5787" t="s">
        <v>13</v>
      </c>
      <c r="I5787" t="str">
        <f t="shared" si="90"/>
        <v>Normal Usage</v>
      </c>
    </row>
    <row r="5788" spans="1:9" x14ac:dyDescent="0.3">
      <c r="A5788">
        <v>15787</v>
      </c>
      <c r="B5788">
        <v>67</v>
      </c>
      <c r="C5788" s="2">
        <v>45025</v>
      </c>
      <c r="D5788" s="2" t="str">
        <f>TEXT(Table3[[#This Row],[usage_date]],"mmmm")</f>
        <v>April</v>
      </c>
      <c r="E5788" s="9">
        <f>YEAR(Table3[[#This Row],[usage_date]])</f>
        <v>2023</v>
      </c>
      <c r="F5788" s="14">
        <v>0.35</v>
      </c>
      <c r="G5788">
        <v>22</v>
      </c>
      <c r="H5788" t="s">
        <v>12</v>
      </c>
      <c r="I5788" t="str">
        <f t="shared" si="90"/>
        <v>Normal Usage</v>
      </c>
    </row>
    <row r="5789" spans="1:9" x14ac:dyDescent="0.3">
      <c r="A5789">
        <v>15788</v>
      </c>
      <c r="B5789">
        <v>496</v>
      </c>
      <c r="C5789" s="2">
        <v>44841</v>
      </c>
      <c r="D5789" s="2" t="str">
        <f>TEXT(Table3[[#This Row],[usage_date]],"mmmm")</f>
        <v>October</v>
      </c>
      <c r="E5789" s="9">
        <f>YEAR(Table3[[#This Row],[usage_date]])</f>
        <v>2022</v>
      </c>
      <c r="F5789" s="14">
        <v>3</v>
      </c>
      <c r="G5789">
        <v>260</v>
      </c>
      <c r="H5789" t="s">
        <v>13</v>
      </c>
      <c r="I5789" t="str">
        <f t="shared" si="90"/>
        <v>Normal Usage</v>
      </c>
    </row>
    <row r="5790" spans="1:9" x14ac:dyDescent="0.3">
      <c r="A5790">
        <v>15789</v>
      </c>
      <c r="B5790">
        <v>191</v>
      </c>
      <c r="C5790" s="2">
        <v>44712</v>
      </c>
      <c r="D5790" s="2" t="str">
        <f>TEXT(Table3[[#This Row],[usage_date]],"mmmm")</f>
        <v>May</v>
      </c>
      <c r="E5790" s="9">
        <f>YEAR(Table3[[#This Row],[usage_date]])</f>
        <v>2022</v>
      </c>
      <c r="F5790" s="14">
        <v>1.52</v>
      </c>
      <c r="G5790">
        <v>193</v>
      </c>
      <c r="H5790" t="s">
        <v>13</v>
      </c>
      <c r="I5790" t="str">
        <f t="shared" si="90"/>
        <v>Normal Usage</v>
      </c>
    </row>
    <row r="5791" spans="1:9" x14ac:dyDescent="0.3">
      <c r="A5791">
        <v>15790</v>
      </c>
      <c r="B5791">
        <v>366</v>
      </c>
      <c r="C5791" s="2">
        <v>44801</v>
      </c>
      <c r="D5791" s="2" t="str">
        <f>TEXT(Table3[[#This Row],[usage_date]],"mmmm")</f>
        <v>August</v>
      </c>
      <c r="E5791" s="9">
        <f>YEAR(Table3[[#This Row],[usage_date]])</f>
        <v>2022</v>
      </c>
      <c r="F5791" s="14">
        <v>1.89</v>
      </c>
      <c r="G5791">
        <v>151</v>
      </c>
      <c r="H5791" t="s">
        <v>12</v>
      </c>
      <c r="I5791" t="str">
        <f t="shared" si="90"/>
        <v>Normal Usage</v>
      </c>
    </row>
    <row r="5792" spans="1:9" x14ac:dyDescent="0.3">
      <c r="A5792">
        <v>15791</v>
      </c>
      <c r="B5792">
        <v>256</v>
      </c>
      <c r="C5792" s="2">
        <v>44827</v>
      </c>
      <c r="D5792" s="2" t="str">
        <f>TEXT(Table3[[#This Row],[usage_date]],"mmmm")</f>
        <v>September</v>
      </c>
      <c r="E5792" s="9">
        <f>YEAR(Table3[[#This Row],[usage_date]])</f>
        <v>2022</v>
      </c>
      <c r="F5792" s="14">
        <v>0.4</v>
      </c>
      <c r="G5792">
        <v>17</v>
      </c>
      <c r="H5792" t="s">
        <v>12</v>
      </c>
      <c r="I5792" t="str">
        <f t="shared" si="90"/>
        <v>Normal Usage</v>
      </c>
    </row>
    <row r="5793" spans="1:9" x14ac:dyDescent="0.3">
      <c r="A5793">
        <v>15792</v>
      </c>
      <c r="B5793">
        <v>9</v>
      </c>
      <c r="C5793" s="2">
        <v>45255</v>
      </c>
      <c r="D5793" s="2" t="str">
        <f>TEXT(Table3[[#This Row],[usage_date]],"mmmm")</f>
        <v>November</v>
      </c>
      <c r="E5793" s="9">
        <f>YEAR(Table3[[#This Row],[usage_date]])</f>
        <v>2023</v>
      </c>
      <c r="F5793" s="14">
        <v>0.38</v>
      </c>
      <c r="G5793">
        <v>26</v>
      </c>
      <c r="H5793" t="s">
        <v>13</v>
      </c>
      <c r="I5793" t="str">
        <f t="shared" si="90"/>
        <v>Normal Usage</v>
      </c>
    </row>
    <row r="5794" spans="1:9" x14ac:dyDescent="0.3">
      <c r="A5794">
        <v>15793</v>
      </c>
      <c r="B5794">
        <v>478</v>
      </c>
      <c r="C5794" s="2">
        <v>44666</v>
      </c>
      <c r="D5794" s="2" t="str">
        <f>TEXT(Table3[[#This Row],[usage_date]],"mmmm")</f>
        <v>April</v>
      </c>
      <c r="E5794" s="9">
        <f>YEAR(Table3[[#This Row],[usage_date]])</f>
        <v>2022</v>
      </c>
      <c r="F5794" s="14">
        <v>2.19</v>
      </c>
      <c r="G5794">
        <v>23</v>
      </c>
      <c r="H5794" t="s">
        <v>12</v>
      </c>
      <c r="I5794" t="str">
        <f t="shared" si="90"/>
        <v>Normal Usage</v>
      </c>
    </row>
    <row r="5795" spans="1:9" x14ac:dyDescent="0.3">
      <c r="A5795">
        <v>15794</v>
      </c>
      <c r="B5795">
        <v>117</v>
      </c>
      <c r="C5795" s="2">
        <v>44994</v>
      </c>
      <c r="D5795" s="2" t="str">
        <f>TEXT(Table3[[#This Row],[usage_date]],"mmmm")</f>
        <v>March</v>
      </c>
      <c r="E5795" s="9">
        <f>YEAR(Table3[[#This Row],[usage_date]])</f>
        <v>2023</v>
      </c>
      <c r="F5795" s="14">
        <v>10.5</v>
      </c>
      <c r="G5795">
        <v>28</v>
      </c>
      <c r="H5795" t="s">
        <v>12</v>
      </c>
      <c r="I5795" t="str">
        <f t="shared" si="90"/>
        <v>High Usage</v>
      </c>
    </row>
    <row r="5796" spans="1:9" x14ac:dyDescent="0.3">
      <c r="A5796">
        <v>15795</v>
      </c>
      <c r="B5796">
        <v>267</v>
      </c>
      <c r="C5796" s="2">
        <v>45058</v>
      </c>
      <c r="D5796" s="2" t="str">
        <f>TEXT(Table3[[#This Row],[usage_date]],"mmmm")</f>
        <v>May</v>
      </c>
      <c r="E5796" s="9">
        <f>YEAR(Table3[[#This Row],[usage_date]])</f>
        <v>2023</v>
      </c>
      <c r="F5796" s="14">
        <v>0.25</v>
      </c>
      <c r="G5796">
        <v>138</v>
      </c>
      <c r="H5796" t="s">
        <v>12</v>
      </c>
      <c r="I5796" t="str">
        <f t="shared" si="90"/>
        <v>Normal Usage</v>
      </c>
    </row>
    <row r="5797" spans="1:9" x14ac:dyDescent="0.3">
      <c r="A5797">
        <v>15796</v>
      </c>
      <c r="B5797">
        <v>99</v>
      </c>
      <c r="C5797" s="2">
        <v>45001</v>
      </c>
      <c r="D5797" s="2" t="str">
        <f>TEXT(Table3[[#This Row],[usage_date]],"mmmm")</f>
        <v>March</v>
      </c>
      <c r="E5797" s="9">
        <f>YEAR(Table3[[#This Row],[usage_date]])</f>
        <v>2023</v>
      </c>
      <c r="F5797" s="14">
        <v>0.84</v>
      </c>
      <c r="G5797">
        <v>145</v>
      </c>
      <c r="H5797" t="s">
        <v>13</v>
      </c>
      <c r="I5797" t="str">
        <f t="shared" si="90"/>
        <v>Normal Usage</v>
      </c>
    </row>
    <row r="5798" spans="1:9" x14ac:dyDescent="0.3">
      <c r="A5798">
        <v>15797</v>
      </c>
      <c r="B5798">
        <v>485</v>
      </c>
      <c r="C5798" s="2">
        <v>45309</v>
      </c>
      <c r="D5798" s="2" t="str">
        <f>TEXT(Table3[[#This Row],[usage_date]],"mmmm")</f>
        <v>January</v>
      </c>
      <c r="E5798" s="9">
        <f>YEAR(Table3[[#This Row],[usage_date]])</f>
        <v>2024</v>
      </c>
      <c r="F5798" s="14">
        <v>5.09</v>
      </c>
      <c r="G5798">
        <v>122</v>
      </c>
      <c r="H5798" t="s">
        <v>13</v>
      </c>
      <c r="I5798" t="str">
        <f t="shared" si="90"/>
        <v>Normal Usage</v>
      </c>
    </row>
    <row r="5799" spans="1:9" x14ac:dyDescent="0.3">
      <c r="A5799">
        <v>15798</v>
      </c>
      <c r="B5799">
        <v>298</v>
      </c>
      <c r="C5799" s="2">
        <v>45246</v>
      </c>
      <c r="D5799" s="2" t="str">
        <f>TEXT(Table3[[#This Row],[usage_date]],"mmmm")</f>
        <v>November</v>
      </c>
      <c r="E5799" s="9">
        <f>YEAR(Table3[[#This Row],[usage_date]])</f>
        <v>2023</v>
      </c>
      <c r="F5799" s="14">
        <v>0.19</v>
      </c>
      <c r="G5799">
        <v>127</v>
      </c>
      <c r="H5799" t="s">
        <v>12</v>
      </c>
      <c r="I5799" t="str">
        <f t="shared" si="90"/>
        <v>Normal Usage</v>
      </c>
    </row>
    <row r="5800" spans="1:9" x14ac:dyDescent="0.3">
      <c r="A5800">
        <v>15799</v>
      </c>
      <c r="B5800">
        <v>397</v>
      </c>
      <c r="C5800" s="2">
        <v>44719</v>
      </c>
      <c r="D5800" s="2" t="str">
        <f>TEXT(Table3[[#This Row],[usage_date]],"mmmm")</f>
        <v>June</v>
      </c>
      <c r="E5800" s="9">
        <f>YEAR(Table3[[#This Row],[usage_date]])</f>
        <v>2022</v>
      </c>
      <c r="F5800" s="14">
        <v>5.22</v>
      </c>
      <c r="G5800">
        <v>116</v>
      </c>
      <c r="H5800" t="s">
        <v>13</v>
      </c>
      <c r="I5800" t="str">
        <f t="shared" si="90"/>
        <v>Normal Usage</v>
      </c>
    </row>
    <row r="5801" spans="1:9" x14ac:dyDescent="0.3">
      <c r="A5801">
        <v>15800</v>
      </c>
      <c r="B5801">
        <v>164</v>
      </c>
      <c r="C5801" s="2">
        <v>44733</v>
      </c>
      <c r="D5801" s="2" t="str">
        <f>TEXT(Table3[[#This Row],[usage_date]],"mmmm")</f>
        <v>June</v>
      </c>
      <c r="E5801" s="9">
        <f>YEAR(Table3[[#This Row],[usage_date]])</f>
        <v>2022</v>
      </c>
      <c r="F5801" s="14">
        <v>1.86</v>
      </c>
      <c r="G5801">
        <v>131</v>
      </c>
      <c r="H5801" t="s">
        <v>12</v>
      </c>
      <c r="I5801" t="str">
        <f t="shared" si="90"/>
        <v>Normal Usage</v>
      </c>
    </row>
    <row r="5802" spans="1:9" x14ac:dyDescent="0.3">
      <c r="A5802">
        <v>15801</v>
      </c>
      <c r="B5802">
        <v>376</v>
      </c>
      <c r="C5802" s="2">
        <v>45055</v>
      </c>
      <c r="D5802" s="2" t="str">
        <f>TEXT(Table3[[#This Row],[usage_date]],"mmmm")</f>
        <v>May</v>
      </c>
      <c r="E5802" s="9">
        <f>YEAR(Table3[[#This Row],[usage_date]])</f>
        <v>2023</v>
      </c>
      <c r="F5802" s="14">
        <v>1.31</v>
      </c>
      <c r="G5802">
        <v>288</v>
      </c>
      <c r="H5802" t="s">
        <v>12</v>
      </c>
      <c r="I5802" t="str">
        <f t="shared" si="90"/>
        <v>Normal Usage</v>
      </c>
    </row>
    <row r="5803" spans="1:9" x14ac:dyDescent="0.3">
      <c r="A5803">
        <v>15802</v>
      </c>
      <c r="B5803">
        <v>141</v>
      </c>
      <c r="C5803" s="2">
        <v>44872</v>
      </c>
      <c r="D5803" s="2" t="str">
        <f>TEXT(Table3[[#This Row],[usage_date]],"mmmm")</f>
        <v>November</v>
      </c>
      <c r="E5803" s="9">
        <f>YEAR(Table3[[#This Row],[usage_date]])</f>
        <v>2022</v>
      </c>
      <c r="F5803" s="14">
        <v>0.93</v>
      </c>
      <c r="G5803">
        <v>205</v>
      </c>
      <c r="H5803" t="s">
        <v>12</v>
      </c>
      <c r="I5803" t="str">
        <f t="shared" si="90"/>
        <v>Normal Usage</v>
      </c>
    </row>
    <row r="5804" spans="1:9" x14ac:dyDescent="0.3">
      <c r="A5804">
        <v>15803</v>
      </c>
      <c r="B5804">
        <v>268</v>
      </c>
      <c r="C5804" s="2">
        <v>44964</v>
      </c>
      <c r="D5804" s="2" t="str">
        <f>TEXT(Table3[[#This Row],[usage_date]],"mmmm")</f>
        <v>February</v>
      </c>
      <c r="E5804" s="9">
        <f>YEAR(Table3[[#This Row],[usage_date]])</f>
        <v>2023</v>
      </c>
      <c r="F5804" s="14">
        <v>0.88</v>
      </c>
      <c r="G5804">
        <v>235</v>
      </c>
      <c r="H5804" t="s">
        <v>13</v>
      </c>
      <c r="I5804" t="str">
        <f t="shared" si="90"/>
        <v>Normal Usage</v>
      </c>
    </row>
    <row r="5805" spans="1:9" x14ac:dyDescent="0.3">
      <c r="A5805">
        <v>15804</v>
      </c>
      <c r="B5805">
        <v>37</v>
      </c>
      <c r="C5805" s="2">
        <v>45230</v>
      </c>
      <c r="D5805" s="2" t="str">
        <f>TEXT(Table3[[#This Row],[usage_date]],"mmmm")</f>
        <v>October</v>
      </c>
      <c r="E5805" s="9">
        <f>YEAR(Table3[[#This Row],[usage_date]])</f>
        <v>2023</v>
      </c>
      <c r="F5805" s="14">
        <v>0.91</v>
      </c>
      <c r="G5805">
        <v>41</v>
      </c>
      <c r="H5805" t="s">
        <v>12</v>
      </c>
      <c r="I5805" t="str">
        <f t="shared" si="90"/>
        <v>Normal Usage</v>
      </c>
    </row>
    <row r="5806" spans="1:9" x14ac:dyDescent="0.3">
      <c r="A5806">
        <v>15805</v>
      </c>
      <c r="B5806">
        <v>74</v>
      </c>
      <c r="C5806" s="2">
        <v>45331</v>
      </c>
      <c r="D5806" s="2" t="str">
        <f>TEXT(Table3[[#This Row],[usage_date]],"mmmm")</f>
        <v>February</v>
      </c>
      <c r="E5806" s="9">
        <f>YEAR(Table3[[#This Row],[usage_date]])</f>
        <v>2024</v>
      </c>
      <c r="F5806" s="14">
        <v>5.4</v>
      </c>
      <c r="G5806">
        <v>159</v>
      </c>
      <c r="H5806" t="s">
        <v>12</v>
      </c>
      <c r="I5806" t="str">
        <f t="shared" si="90"/>
        <v>Normal Usage</v>
      </c>
    </row>
    <row r="5807" spans="1:9" x14ac:dyDescent="0.3">
      <c r="A5807">
        <v>15806</v>
      </c>
      <c r="B5807">
        <v>73</v>
      </c>
      <c r="C5807" s="2">
        <v>45237</v>
      </c>
      <c r="D5807" s="2" t="str">
        <f>TEXT(Table3[[#This Row],[usage_date]],"mmmm")</f>
        <v>November</v>
      </c>
      <c r="E5807" s="9">
        <f>YEAR(Table3[[#This Row],[usage_date]])</f>
        <v>2023</v>
      </c>
      <c r="F5807" s="14">
        <v>3.22</v>
      </c>
      <c r="G5807">
        <v>251</v>
      </c>
      <c r="H5807" t="s">
        <v>12</v>
      </c>
      <c r="I5807" t="str">
        <f t="shared" si="90"/>
        <v>Normal Usage</v>
      </c>
    </row>
    <row r="5808" spans="1:9" x14ac:dyDescent="0.3">
      <c r="A5808">
        <v>15807</v>
      </c>
      <c r="B5808">
        <v>308</v>
      </c>
      <c r="C5808" s="2">
        <v>45220</v>
      </c>
      <c r="D5808" s="2" t="str">
        <f>TEXT(Table3[[#This Row],[usage_date]],"mmmm")</f>
        <v>October</v>
      </c>
      <c r="E5808" s="9">
        <f>YEAR(Table3[[#This Row],[usage_date]])</f>
        <v>2023</v>
      </c>
      <c r="F5808" s="14">
        <v>2.77</v>
      </c>
      <c r="G5808">
        <v>178</v>
      </c>
      <c r="H5808" t="s">
        <v>12</v>
      </c>
      <c r="I5808" t="str">
        <f t="shared" si="90"/>
        <v>Normal Usage</v>
      </c>
    </row>
    <row r="5809" spans="1:9" x14ac:dyDescent="0.3">
      <c r="A5809">
        <v>15808</v>
      </c>
      <c r="B5809">
        <v>199</v>
      </c>
      <c r="C5809" s="2">
        <v>45227</v>
      </c>
      <c r="D5809" s="2" t="str">
        <f>TEXT(Table3[[#This Row],[usage_date]],"mmmm")</f>
        <v>October</v>
      </c>
      <c r="E5809" s="9">
        <f>YEAR(Table3[[#This Row],[usage_date]])</f>
        <v>2023</v>
      </c>
      <c r="F5809" s="14">
        <v>4.01</v>
      </c>
      <c r="G5809">
        <v>124</v>
      </c>
      <c r="H5809" t="s">
        <v>12</v>
      </c>
      <c r="I5809" t="str">
        <f t="shared" si="90"/>
        <v>Normal Usage</v>
      </c>
    </row>
    <row r="5810" spans="1:9" x14ac:dyDescent="0.3">
      <c r="A5810">
        <v>15809</v>
      </c>
      <c r="B5810">
        <v>130</v>
      </c>
      <c r="C5810" s="2">
        <v>45024</v>
      </c>
      <c r="D5810" s="2" t="str">
        <f>TEXT(Table3[[#This Row],[usage_date]],"mmmm")</f>
        <v>April</v>
      </c>
      <c r="E5810" s="9">
        <f>YEAR(Table3[[#This Row],[usage_date]])</f>
        <v>2023</v>
      </c>
      <c r="F5810" s="14">
        <v>0.74</v>
      </c>
      <c r="G5810">
        <v>259</v>
      </c>
      <c r="H5810" t="s">
        <v>12</v>
      </c>
      <c r="I5810" t="str">
        <f t="shared" si="90"/>
        <v>Normal Usage</v>
      </c>
    </row>
    <row r="5811" spans="1:9" x14ac:dyDescent="0.3">
      <c r="A5811">
        <v>15810</v>
      </c>
      <c r="B5811">
        <v>246</v>
      </c>
      <c r="C5811" s="2">
        <v>44928</v>
      </c>
      <c r="D5811" s="2" t="str">
        <f>TEXT(Table3[[#This Row],[usage_date]],"mmmm")</f>
        <v>January</v>
      </c>
      <c r="E5811" s="9">
        <f>YEAR(Table3[[#This Row],[usage_date]])</f>
        <v>2023</v>
      </c>
      <c r="F5811" s="14">
        <v>2.41</v>
      </c>
      <c r="G5811">
        <v>275</v>
      </c>
      <c r="H5811" t="s">
        <v>13</v>
      </c>
      <c r="I5811" t="str">
        <f t="shared" si="90"/>
        <v>Normal Usage</v>
      </c>
    </row>
    <row r="5812" spans="1:9" x14ac:dyDescent="0.3">
      <c r="A5812">
        <v>15811</v>
      </c>
      <c r="B5812">
        <v>312</v>
      </c>
      <c r="C5812" s="2">
        <v>45111</v>
      </c>
      <c r="D5812" s="2" t="str">
        <f>TEXT(Table3[[#This Row],[usage_date]],"mmmm")</f>
        <v>July</v>
      </c>
      <c r="E5812" s="9">
        <f>YEAR(Table3[[#This Row],[usage_date]])</f>
        <v>2023</v>
      </c>
      <c r="F5812" s="14">
        <v>1.54</v>
      </c>
      <c r="G5812">
        <v>212</v>
      </c>
      <c r="H5812" t="s">
        <v>12</v>
      </c>
      <c r="I5812" t="str">
        <f t="shared" si="90"/>
        <v>Normal Usage</v>
      </c>
    </row>
    <row r="5813" spans="1:9" x14ac:dyDescent="0.3">
      <c r="A5813">
        <v>15812</v>
      </c>
      <c r="B5813">
        <v>60</v>
      </c>
      <c r="C5813" s="2">
        <v>45204</v>
      </c>
      <c r="D5813" s="2" t="str">
        <f>TEXT(Table3[[#This Row],[usage_date]],"mmmm")</f>
        <v>October</v>
      </c>
      <c r="E5813" s="9">
        <f>YEAR(Table3[[#This Row],[usage_date]])</f>
        <v>2023</v>
      </c>
      <c r="F5813" s="14">
        <v>3.81</v>
      </c>
      <c r="G5813">
        <v>189</v>
      </c>
      <c r="H5813" t="s">
        <v>12</v>
      </c>
      <c r="I5813" t="str">
        <f t="shared" si="90"/>
        <v>Normal Usage</v>
      </c>
    </row>
    <row r="5814" spans="1:9" x14ac:dyDescent="0.3">
      <c r="A5814">
        <v>15813</v>
      </c>
      <c r="B5814">
        <v>279</v>
      </c>
      <c r="C5814" s="2">
        <v>45431</v>
      </c>
      <c r="D5814" s="2" t="str">
        <f>TEXT(Table3[[#This Row],[usage_date]],"mmmm")</f>
        <v>May</v>
      </c>
      <c r="E5814" s="9">
        <f>YEAR(Table3[[#This Row],[usage_date]])</f>
        <v>2024</v>
      </c>
      <c r="F5814" s="14">
        <v>0.92</v>
      </c>
      <c r="G5814">
        <v>57</v>
      </c>
      <c r="H5814" t="s">
        <v>12</v>
      </c>
      <c r="I5814" t="str">
        <f t="shared" si="90"/>
        <v>Normal Usage</v>
      </c>
    </row>
    <row r="5815" spans="1:9" x14ac:dyDescent="0.3">
      <c r="A5815">
        <v>15814</v>
      </c>
      <c r="B5815">
        <v>103</v>
      </c>
      <c r="C5815" s="2">
        <v>44816</v>
      </c>
      <c r="D5815" s="2" t="str">
        <f>TEXT(Table3[[#This Row],[usage_date]],"mmmm")</f>
        <v>September</v>
      </c>
      <c r="E5815" s="9">
        <f>YEAR(Table3[[#This Row],[usage_date]])</f>
        <v>2022</v>
      </c>
      <c r="F5815" s="14">
        <v>2.58</v>
      </c>
      <c r="G5815">
        <v>202</v>
      </c>
      <c r="H5815" t="s">
        <v>12</v>
      </c>
      <c r="I5815" t="str">
        <f t="shared" si="90"/>
        <v>Normal Usage</v>
      </c>
    </row>
    <row r="5816" spans="1:9" x14ac:dyDescent="0.3">
      <c r="A5816">
        <v>15815</v>
      </c>
      <c r="B5816">
        <v>296</v>
      </c>
      <c r="C5816" s="2">
        <v>44769</v>
      </c>
      <c r="D5816" s="2" t="str">
        <f>TEXT(Table3[[#This Row],[usage_date]],"mmmm")</f>
        <v>July</v>
      </c>
      <c r="E5816" s="9">
        <f>YEAR(Table3[[#This Row],[usage_date]])</f>
        <v>2022</v>
      </c>
      <c r="F5816" s="14">
        <v>5.35</v>
      </c>
      <c r="G5816">
        <v>79</v>
      </c>
      <c r="H5816" t="s">
        <v>12</v>
      </c>
      <c r="I5816" t="str">
        <f t="shared" si="90"/>
        <v>Normal Usage</v>
      </c>
    </row>
    <row r="5817" spans="1:9" x14ac:dyDescent="0.3">
      <c r="A5817">
        <v>15816</v>
      </c>
      <c r="B5817">
        <v>320</v>
      </c>
      <c r="C5817" s="2">
        <v>45011</v>
      </c>
      <c r="D5817" s="2" t="str">
        <f>TEXT(Table3[[#This Row],[usage_date]],"mmmm")</f>
        <v>March</v>
      </c>
      <c r="E5817" s="9">
        <f>YEAR(Table3[[#This Row],[usage_date]])</f>
        <v>2023</v>
      </c>
      <c r="F5817" s="14">
        <v>1.29</v>
      </c>
      <c r="G5817">
        <v>227</v>
      </c>
      <c r="H5817" t="s">
        <v>13</v>
      </c>
      <c r="I5817" t="str">
        <f t="shared" si="90"/>
        <v>Normal Usage</v>
      </c>
    </row>
    <row r="5818" spans="1:9" x14ac:dyDescent="0.3">
      <c r="A5818">
        <v>15817</v>
      </c>
      <c r="B5818">
        <v>487</v>
      </c>
      <c r="C5818" s="2">
        <v>44656</v>
      </c>
      <c r="D5818" s="2" t="str">
        <f>TEXT(Table3[[#This Row],[usage_date]],"mmmm")</f>
        <v>April</v>
      </c>
      <c r="E5818" s="9">
        <f>YEAR(Table3[[#This Row],[usage_date]])</f>
        <v>2022</v>
      </c>
      <c r="F5818" s="14">
        <v>0.17</v>
      </c>
      <c r="G5818">
        <v>94</v>
      </c>
      <c r="H5818" t="s">
        <v>12</v>
      </c>
      <c r="I5818" t="str">
        <f t="shared" si="90"/>
        <v>Normal Usage</v>
      </c>
    </row>
    <row r="5819" spans="1:9" x14ac:dyDescent="0.3">
      <c r="A5819">
        <v>15818</v>
      </c>
      <c r="B5819">
        <v>341</v>
      </c>
      <c r="C5819" s="2">
        <v>45421</v>
      </c>
      <c r="D5819" s="2" t="str">
        <f>TEXT(Table3[[#This Row],[usage_date]],"mmmm")</f>
        <v>May</v>
      </c>
      <c r="E5819" s="9">
        <f>YEAR(Table3[[#This Row],[usage_date]])</f>
        <v>2024</v>
      </c>
      <c r="F5819" s="14">
        <v>1.81</v>
      </c>
      <c r="G5819">
        <v>3</v>
      </c>
      <c r="H5819" t="s">
        <v>13</v>
      </c>
      <c r="I5819" t="str">
        <f t="shared" si="90"/>
        <v>Normal Usage</v>
      </c>
    </row>
    <row r="5820" spans="1:9" x14ac:dyDescent="0.3">
      <c r="A5820">
        <v>15819</v>
      </c>
      <c r="B5820">
        <v>151</v>
      </c>
      <c r="C5820" s="2">
        <v>45400</v>
      </c>
      <c r="D5820" s="2" t="str">
        <f>TEXT(Table3[[#This Row],[usage_date]],"mmmm")</f>
        <v>April</v>
      </c>
      <c r="E5820" s="9">
        <f>YEAR(Table3[[#This Row],[usage_date]])</f>
        <v>2024</v>
      </c>
      <c r="F5820" s="14">
        <v>1.06</v>
      </c>
      <c r="G5820">
        <v>164</v>
      </c>
      <c r="H5820" t="s">
        <v>13</v>
      </c>
      <c r="I5820" t="str">
        <f t="shared" si="90"/>
        <v>Normal Usage</v>
      </c>
    </row>
    <row r="5821" spans="1:9" x14ac:dyDescent="0.3">
      <c r="A5821">
        <v>15820</v>
      </c>
      <c r="B5821">
        <v>157</v>
      </c>
      <c r="C5821" s="2">
        <v>45039</v>
      </c>
      <c r="D5821" s="2" t="str">
        <f>TEXT(Table3[[#This Row],[usage_date]],"mmmm")</f>
        <v>April</v>
      </c>
      <c r="E5821" s="9">
        <f>YEAR(Table3[[#This Row],[usage_date]])</f>
        <v>2023</v>
      </c>
      <c r="F5821" s="14">
        <v>2.79</v>
      </c>
      <c r="G5821">
        <v>299</v>
      </c>
      <c r="H5821" t="s">
        <v>12</v>
      </c>
      <c r="I5821" t="str">
        <f t="shared" si="90"/>
        <v>Normal Usage</v>
      </c>
    </row>
    <row r="5822" spans="1:9" x14ac:dyDescent="0.3">
      <c r="A5822">
        <v>15821</v>
      </c>
      <c r="B5822">
        <v>206</v>
      </c>
      <c r="C5822" s="2">
        <v>45244</v>
      </c>
      <c r="D5822" s="2" t="str">
        <f>TEXT(Table3[[#This Row],[usage_date]],"mmmm")</f>
        <v>November</v>
      </c>
      <c r="E5822" s="9">
        <f>YEAR(Table3[[#This Row],[usage_date]])</f>
        <v>2023</v>
      </c>
      <c r="F5822" s="14">
        <v>7.54</v>
      </c>
      <c r="G5822">
        <v>41</v>
      </c>
      <c r="H5822" t="s">
        <v>12</v>
      </c>
      <c r="I5822" t="str">
        <f t="shared" si="90"/>
        <v>High Usage</v>
      </c>
    </row>
    <row r="5823" spans="1:9" x14ac:dyDescent="0.3">
      <c r="A5823">
        <v>15822</v>
      </c>
      <c r="B5823">
        <v>474</v>
      </c>
      <c r="C5823" s="2">
        <v>45323</v>
      </c>
      <c r="D5823" s="2" t="str">
        <f>TEXT(Table3[[#This Row],[usage_date]],"mmmm")</f>
        <v>February</v>
      </c>
      <c r="E5823" s="9">
        <f>YEAR(Table3[[#This Row],[usage_date]])</f>
        <v>2024</v>
      </c>
      <c r="F5823" s="14">
        <v>1.66</v>
      </c>
      <c r="G5823">
        <v>284</v>
      </c>
      <c r="H5823" t="s">
        <v>12</v>
      </c>
      <c r="I5823" t="str">
        <f t="shared" si="90"/>
        <v>Normal Usage</v>
      </c>
    </row>
    <row r="5824" spans="1:9" x14ac:dyDescent="0.3">
      <c r="A5824">
        <v>15823</v>
      </c>
      <c r="B5824">
        <v>179</v>
      </c>
      <c r="C5824" s="2">
        <v>44751</v>
      </c>
      <c r="D5824" s="2" t="str">
        <f>TEXT(Table3[[#This Row],[usage_date]],"mmmm")</f>
        <v>July</v>
      </c>
      <c r="E5824" s="9">
        <f>YEAR(Table3[[#This Row],[usage_date]])</f>
        <v>2022</v>
      </c>
      <c r="F5824" s="14">
        <v>1.57</v>
      </c>
      <c r="G5824">
        <v>228</v>
      </c>
      <c r="H5824" t="s">
        <v>12</v>
      </c>
      <c r="I5824" t="str">
        <f t="shared" si="90"/>
        <v>Normal Usage</v>
      </c>
    </row>
    <row r="5825" spans="1:9" x14ac:dyDescent="0.3">
      <c r="A5825">
        <v>15824</v>
      </c>
      <c r="B5825">
        <v>197</v>
      </c>
      <c r="C5825" s="2">
        <v>45272</v>
      </c>
      <c r="D5825" s="2" t="str">
        <f>TEXT(Table3[[#This Row],[usage_date]],"mmmm")</f>
        <v>December</v>
      </c>
      <c r="E5825" s="9">
        <f>YEAR(Table3[[#This Row],[usage_date]])</f>
        <v>2023</v>
      </c>
      <c r="F5825" s="14">
        <v>2.66</v>
      </c>
      <c r="G5825">
        <v>242</v>
      </c>
      <c r="H5825" t="s">
        <v>12</v>
      </c>
      <c r="I5825" t="str">
        <f t="shared" si="90"/>
        <v>Normal Usage</v>
      </c>
    </row>
    <row r="5826" spans="1:9" x14ac:dyDescent="0.3">
      <c r="A5826">
        <v>15825</v>
      </c>
      <c r="B5826">
        <v>223</v>
      </c>
      <c r="C5826" s="2">
        <v>45045</v>
      </c>
      <c r="D5826" s="2" t="str">
        <f>TEXT(Table3[[#This Row],[usage_date]],"mmmm")</f>
        <v>April</v>
      </c>
      <c r="E5826" s="9">
        <f>YEAR(Table3[[#This Row],[usage_date]])</f>
        <v>2023</v>
      </c>
      <c r="F5826" s="14">
        <v>0.27</v>
      </c>
      <c r="G5826">
        <v>211</v>
      </c>
      <c r="H5826" t="s">
        <v>12</v>
      </c>
      <c r="I5826" t="str">
        <f t="shared" ref="I5826:I5889" si="91">IF(F5826&gt;6,"High Usage","Normal Usage")</f>
        <v>Normal Usage</v>
      </c>
    </row>
    <row r="5827" spans="1:9" x14ac:dyDescent="0.3">
      <c r="A5827">
        <v>15826</v>
      </c>
      <c r="B5827">
        <v>89</v>
      </c>
      <c r="C5827" s="2">
        <v>45294</v>
      </c>
      <c r="D5827" s="2" t="str">
        <f>TEXT(Table3[[#This Row],[usage_date]],"mmmm")</f>
        <v>January</v>
      </c>
      <c r="E5827" s="9">
        <f>YEAR(Table3[[#This Row],[usage_date]])</f>
        <v>2024</v>
      </c>
      <c r="F5827" s="14">
        <v>0.73</v>
      </c>
      <c r="G5827">
        <v>299</v>
      </c>
      <c r="H5827" t="s">
        <v>12</v>
      </c>
      <c r="I5827" t="str">
        <f t="shared" si="91"/>
        <v>Normal Usage</v>
      </c>
    </row>
    <row r="5828" spans="1:9" x14ac:dyDescent="0.3">
      <c r="A5828">
        <v>15827</v>
      </c>
      <c r="B5828">
        <v>287</v>
      </c>
      <c r="C5828" s="2">
        <v>45097</v>
      </c>
      <c r="D5828" s="2" t="str">
        <f>TEXT(Table3[[#This Row],[usage_date]],"mmmm")</f>
        <v>June</v>
      </c>
      <c r="E5828" s="9">
        <f>YEAR(Table3[[#This Row],[usage_date]])</f>
        <v>2023</v>
      </c>
      <c r="F5828" s="14">
        <v>6.28</v>
      </c>
      <c r="G5828">
        <v>54</v>
      </c>
      <c r="H5828" t="s">
        <v>13</v>
      </c>
      <c r="I5828" t="str">
        <f t="shared" si="91"/>
        <v>High Usage</v>
      </c>
    </row>
    <row r="5829" spans="1:9" x14ac:dyDescent="0.3">
      <c r="A5829">
        <v>15828</v>
      </c>
      <c r="B5829">
        <v>434</v>
      </c>
      <c r="C5829" s="2">
        <v>45317</v>
      </c>
      <c r="D5829" s="2" t="str">
        <f>TEXT(Table3[[#This Row],[usage_date]],"mmmm")</f>
        <v>January</v>
      </c>
      <c r="E5829" s="9">
        <f>YEAR(Table3[[#This Row],[usage_date]])</f>
        <v>2024</v>
      </c>
      <c r="F5829" s="14">
        <v>2.77</v>
      </c>
      <c r="G5829">
        <v>172</v>
      </c>
      <c r="H5829" t="s">
        <v>12</v>
      </c>
      <c r="I5829" t="str">
        <f t="shared" si="91"/>
        <v>Normal Usage</v>
      </c>
    </row>
    <row r="5830" spans="1:9" x14ac:dyDescent="0.3">
      <c r="A5830">
        <v>15829</v>
      </c>
      <c r="B5830">
        <v>276</v>
      </c>
      <c r="C5830" s="2">
        <v>44984</v>
      </c>
      <c r="D5830" s="2" t="str">
        <f>TEXT(Table3[[#This Row],[usage_date]],"mmmm")</f>
        <v>February</v>
      </c>
      <c r="E5830" s="9">
        <f>YEAR(Table3[[#This Row],[usage_date]])</f>
        <v>2023</v>
      </c>
      <c r="F5830" s="14">
        <v>0.03</v>
      </c>
      <c r="G5830">
        <v>276</v>
      </c>
      <c r="H5830" t="s">
        <v>12</v>
      </c>
      <c r="I5830" t="str">
        <f t="shared" si="91"/>
        <v>Normal Usage</v>
      </c>
    </row>
    <row r="5831" spans="1:9" x14ac:dyDescent="0.3">
      <c r="A5831">
        <v>15830</v>
      </c>
      <c r="B5831">
        <v>236</v>
      </c>
      <c r="C5831" s="2">
        <v>45397</v>
      </c>
      <c r="D5831" s="2" t="str">
        <f>TEXT(Table3[[#This Row],[usage_date]],"mmmm")</f>
        <v>April</v>
      </c>
      <c r="E5831" s="9">
        <f>YEAR(Table3[[#This Row],[usage_date]])</f>
        <v>2024</v>
      </c>
      <c r="F5831" s="14">
        <v>0.56999999999999995</v>
      </c>
      <c r="G5831">
        <v>228</v>
      </c>
      <c r="H5831" t="s">
        <v>12</v>
      </c>
      <c r="I5831" t="str">
        <f t="shared" si="91"/>
        <v>Normal Usage</v>
      </c>
    </row>
    <row r="5832" spans="1:9" x14ac:dyDescent="0.3">
      <c r="A5832">
        <v>15831</v>
      </c>
      <c r="B5832">
        <v>183</v>
      </c>
      <c r="C5832" s="2">
        <v>45201</v>
      </c>
      <c r="D5832" s="2" t="str">
        <f>TEXT(Table3[[#This Row],[usage_date]],"mmmm")</f>
        <v>October</v>
      </c>
      <c r="E5832" s="9">
        <f>YEAR(Table3[[#This Row],[usage_date]])</f>
        <v>2023</v>
      </c>
      <c r="F5832" s="14">
        <v>2.87</v>
      </c>
      <c r="G5832">
        <v>29</v>
      </c>
      <c r="H5832" t="s">
        <v>12</v>
      </c>
      <c r="I5832" t="str">
        <f t="shared" si="91"/>
        <v>Normal Usage</v>
      </c>
    </row>
    <row r="5833" spans="1:9" x14ac:dyDescent="0.3">
      <c r="A5833">
        <v>15832</v>
      </c>
      <c r="B5833">
        <v>209</v>
      </c>
      <c r="C5833" s="2">
        <v>45166</v>
      </c>
      <c r="D5833" s="2" t="str">
        <f>TEXT(Table3[[#This Row],[usage_date]],"mmmm")</f>
        <v>August</v>
      </c>
      <c r="E5833" s="9">
        <f>YEAR(Table3[[#This Row],[usage_date]])</f>
        <v>2023</v>
      </c>
      <c r="F5833" s="14">
        <v>3.61</v>
      </c>
      <c r="G5833">
        <v>22</v>
      </c>
      <c r="H5833" t="s">
        <v>12</v>
      </c>
      <c r="I5833" t="str">
        <f t="shared" si="91"/>
        <v>Normal Usage</v>
      </c>
    </row>
    <row r="5834" spans="1:9" x14ac:dyDescent="0.3">
      <c r="A5834">
        <v>15833</v>
      </c>
      <c r="B5834">
        <v>493</v>
      </c>
      <c r="C5834" s="2">
        <v>45373</v>
      </c>
      <c r="D5834" s="2" t="str">
        <f>TEXT(Table3[[#This Row],[usage_date]],"mmmm")</f>
        <v>March</v>
      </c>
      <c r="E5834" s="9">
        <f>YEAR(Table3[[#This Row],[usage_date]])</f>
        <v>2024</v>
      </c>
      <c r="F5834" s="14">
        <v>4.58</v>
      </c>
      <c r="G5834">
        <v>4</v>
      </c>
      <c r="H5834" t="s">
        <v>13</v>
      </c>
      <c r="I5834" t="str">
        <f t="shared" si="91"/>
        <v>Normal Usage</v>
      </c>
    </row>
    <row r="5835" spans="1:9" x14ac:dyDescent="0.3">
      <c r="A5835">
        <v>15834</v>
      </c>
      <c r="B5835">
        <v>130</v>
      </c>
      <c r="C5835" s="2">
        <v>44694</v>
      </c>
      <c r="D5835" s="2" t="str">
        <f>TEXT(Table3[[#This Row],[usage_date]],"mmmm")</f>
        <v>May</v>
      </c>
      <c r="E5835" s="9">
        <f>YEAR(Table3[[#This Row],[usage_date]])</f>
        <v>2022</v>
      </c>
      <c r="F5835" s="14">
        <v>0.86</v>
      </c>
      <c r="G5835">
        <v>62</v>
      </c>
      <c r="H5835" t="s">
        <v>13</v>
      </c>
      <c r="I5835" t="str">
        <f t="shared" si="91"/>
        <v>Normal Usage</v>
      </c>
    </row>
    <row r="5836" spans="1:9" x14ac:dyDescent="0.3">
      <c r="A5836">
        <v>15835</v>
      </c>
      <c r="B5836">
        <v>153</v>
      </c>
      <c r="C5836" s="2">
        <v>44616</v>
      </c>
      <c r="D5836" s="2" t="str">
        <f>TEXT(Table3[[#This Row],[usage_date]],"mmmm")</f>
        <v>February</v>
      </c>
      <c r="E5836" s="9">
        <f>YEAR(Table3[[#This Row],[usage_date]])</f>
        <v>2022</v>
      </c>
      <c r="F5836" s="14">
        <v>6.69</v>
      </c>
      <c r="G5836">
        <v>220</v>
      </c>
      <c r="H5836" t="s">
        <v>12</v>
      </c>
      <c r="I5836" t="str">
        <f t="shared" si="91"/>
        <v>High Usage</v>
      </c>
    </row>
    <row r="5837" spans="1:9" x14ac:dyDescent="0.3">
      <c r="A5837">
        <v>15836</v>
      </c>
      <c r="B5837">
        <v>13</v>
      </c>
      <c r="C5837" s="2">
        <v>45071</v>
      </c>
      <c r="D5837" s="2" t="str">
        <f>TEXT(Table3[[#This Row],[usage_date]],"mmmm")</f>
        <v>May</v>
      </c>
      <c r="E5837" s="9">
        <f>YEAR(Table3[[#This Row],[usage_date]])</f>
        <v>2023</v>
      </c>
      <c r="F5837" s="14">
        <v>2.0099999999999998</v>
      </c>
      <c r="G5837">
        <v>81</v>
      </c>
      <c r="H5837" t="s">
        <v>12</v>
      </c>
      <c r="I5837" t="str">
        <f t="shared" si="91"/>
        <v>Normal Usage</v>
      </c>
    </row>
    <row r="5838" spans="1:9" x14ac:dyDescent="0.3">
      <c r="A5838">
        <v>15837</v>
      </c>
      <c r="B5838">
        <v>122</v>
      </c>
      <c r="C5838" s="2">
        <v>45231</v>
      </c>
      <c r="D5838" s="2" t="str">
        <f>TEXT(Table3[[#This Row],[usage_date]],"mmmm")</f>
        <v>November</v>
      </c>
      <c r="E5838" s="9">
        <f>YEAR(Table3[[#This Row],[usage_date]])</f>
        <v>2023</v>
      </c>
      <c r="F5838" s="14">
        <v>2.98</v>
      </c>
      <c r="G5838">
        <v>241</v>
      </c>
      <c r="H5838" t="s">
        <v>12</v>
      </c>
      <c r="I5838" t="str">
        <f t="shared" si="91"/>
        <v>Normal Usage</v>
      </c>
    </row>
    <row r="5839" spans="1:9" x14ac:dyDescent="0.3">
      <c r="A5839">
        <v>15838</v>
      </c>
      <c r="B5839">
        <v>359</v>
      </c>
      <c r="C5839" s="2">
        <v>45102</v>
      </c>
      <c r="D5839" s="2" t="str">
        <f>TEXT(Table3[[#This Row],[usage_date]],"mmmm")</f>
        <v>June</v>
      </c>
      <c r="E5839" s="9">
        <f>YEAR(Table3[[#This Row],[usage_date]])</f>
        <v>2023</v>
      </c>
      <c r="F5839" s="14">
        <v>2.27</v>
      </c>
      <c r="G5839">
        <v>252</v>
      </c>
      <c r="H5839" t="s">
        <v>12</v>
      </c>
      <c r="I5839" t="str">
        <f t="shared" si="91"/>
        <v>Normal Usage</v>
      </c>
    </row>
    <row r="5840" spans="1:9" x14ac:dyDescent="0.3">
      <c r="A5840">
        <v>15839</v>
      </c>
      <c r="B5840">
        <v>220</v>
      </c>
      <c r="C5840" s="2">
        <v>44971</v>
      </c>
      <c r="D5840" s="2" t="str">
        <f>TEXT(Table3[[#This Row],[usage_date]],"mmmm")</f>
        <v>February</v>
      </c>
      <c r="E5840" s="9">
        <f>YEAR(Table3[[#This Row],[usage_date]])</f>
        <v>2023</v>
      </c>
      <c r="F5840" s="14">
        <v>0.33</v>
      </c>
      <c r="G5840">
        <v>51</v>
      </c>
      <c r="H5840" t="s">
        <v>13</v>
      </c>
      <c r="I5840" t="str">
        <f t="shared" si="91"/>
        <v>Normal Usage</v>
      </c>
    </row>
    <row r="5841" spans="1:9" x14ac:dyDescent="0.3">
      <c r="A5841">
        <v>15840</v>
      </c>
      <c r="B5841">
        <v>106</v>
      </c>
      <c r="C5841" s="2">
        <v>44772</v>
      </c>
      <c r="D5841" s="2" t="str">
        <f>TEXT(Table3[[#This Row],[usage_date]],"mmmm")</f>
        <v>July</v>
      </c>
      <c r="E5841" s="9">
        <f>YEAR(Table3[[#This Row],[usage_date]])</f>
        <v>2022</v>
      </c>
      <c r="F5841" s="14">
        <v>8.25</v>
      </c>
      <c r="G5841">
        <v>38</v>
      </c>
      <c r="H5841" t="s">
        <v>13</v>
      </c>
      <c r="I5841" t="str">
        <f t="shared" si="91"/>
        <v>High Usage</v>
      </c>
    </row>
    <row r="5842" spans="1:9" x14ac:dyDescent="0.3">
      <c r="A5842">
        <v>15841</v>
      </c>
      <c r="B5842">
        <v>375</v>
      </c>
      <c r="C5842" s="2">
        <v>45227</v>
      </c>
      <c r="D5842" s="2" t="str">
        <f>TEXT(Table3[[#This Row],[usage_date]],"mmmm")</f>
        <v>October</v>
      </c>
      <c r="E5842" s="9">
        <f>YEAR(Table3[[#This Row],[usage_date]])</f>
        <v>2023</v>
      </c>
      <c r="F5842" s="14">
        <v>0.33</v>
      </c>
      <c r="G5842">
        <v>258</v>
      </c>
      <c r="H5842" t="s">
        <v>12</v>
      </c>
      <c r="I5842" t="str">
        <f t="shared" si="91"/>
        <v>Normal Usage</v>
      </c>
    </row>
    <row r="5843" spans="1:9" x14ac:dyDescent="0.3">
      <c r="A5843">
        <v>15842</v>
      </c>
      <c r="B5843">
        <v>70</v>
      </c>
      <c r="C5843" s="2">
        <v>44854</v>
      </c>
      <c r="D5843" s="2" t="str">
        <f>TEXT(Table3[[#This Row],[usage_date]],"mmmm")</f>
        <v>October</v>
      </c>
      <c r="E5843" s="9">
        <f>YEAR(Table3[[#This Row],[usage_date]])</f>
        <v>2022</v>
      </c>
      <c r="F5843" s="14">
        <v>0.74</v>
      </c>
      <c r="G5843">
        <v>270</v>
      </c>
      <c r="H5843" t="s">
        <v>12</v>
      </c>
      <c r="I5843" t="str">
        <f t="shared" si="91"/>
        <v>Normal Usage</v>
      </c>
    </row>
    <row r="5844" spans="1:9" x14ac:dyDescent="0.3">
      <c r="A5844">
        <v>15843</v>
      </c>
      <c r="B5844">
        <v>195</v>
      </c>
      <c r="C5844" s="2">
        <v>45295</v>
      </c>
      <c r="D5844" s="2" t="str">
        <f>TEXT(Table3[[#This Row],[usage_date]],"mmmm")</f>
        <v>January</v>
      </c>
      <c r="E5844" s="9">
        <f>YEAR(Table3[[#This Row],[usage_date]])</f>
        <v>2024</v>
      </c>
      <c r="F5844" s="14">
        <v>4.2</v>
      </c>
      <c r="G5844">
        <v>71</v>
      </c>
      <c r="H5844" t="s">
        <v>12</v>
      </c>
      <c r="I5844" t="str">
        <f t="shared" si="91"/>
        <v>Normal Usage</v>
      </c>
    </row>
    <row r="5845" spans="1:9" x14ac:dyDescent="0.3">
      <c r="A5845">
        <v>15844</v>
      </c>
      <c r="B5845">
        <v>186</v>
      </c>
      <c r="C5845" s="2">
        <v>44676</v>
      </c>
      <c r="D5845" s="2" t="str">
        <f>TEXT(Table3[[#This Row],[usage_date]],"mmmm")</f>
        <v>April</v>
      </c>
      <c r="E5845" s="9">
        <f>YEAR(Table3[[#This Row],[usage_date]])</f>
        <v>2022</v>
      </c>
      <c r="F5845" s="14">
        <v>2.41</v>
      </c>
      <c r="G5845">
        <v>69</v>
      </c>
      <c r="H5845" t="s">
        <v>12</v>
      </c>
      <c r="I5845" t="str">
        <f t="shared" si="91"/>
        <v>Normal Usage</v>
      </c>
    </row>
    <row r="5846" spans="1:9" x14ac:dyDescent="0.3">
      <c r="A5846">
        <v>15845</v>
      </c>
      <c r="B5846">
        <v>99</v>
      </c>
      <c r="C5846" s="2">
        <v>45231</v>
      </c>
      <c r="D5846" s="2" t="str">
        <f>TEXT(Table3[[#This Row],[usage_date]],"mmmm")</f>
        <v>November</v>
      </c>
      <c r="E5846" s="9">
        <f>YEAR(Table3[[#This Row],[usage_date]])</f>
        <v>2023</v>
      </c>
      <c r="F5846" s="14">
        <v>4.55</v>
      </c>
      <c r="G5846">
        <v>219</v>
      </c>
      <c r="H5846" t="s">
        <v>12</v>
      </c>
      <c r="I5846" t="str">
        <f t="shared" si="91"/>
        <v>Normal Usage</v>
      </c>
    </row>
    <row r="5847" spans="1:9" x14ac:dyDescent="0.3">
      <c r="A5847">
        <v>15846</v>
      </c>
      <c r="B5847">
        <v>82</v>
      </c>
      <c r="C5847" s="2">
        <v>44820</v>
      </c>
      <c r="D5847" s="2" t="str">
        <f>TEXT(Table3[[#This Row],[usage_date]],"mmmm")</f>
        <v>September</v>
      </c>
      <c r="E5847" s="9">
        <f>YEAR(Table3[[#This Row],[usage_date]])</f>
        <v>2022</v>
      </c>
      <c r="F5847" s="14">
        <v>1.81</v>
      </c>
      <c r="G5847">
        <v>3</v>
      </c>
      <c r="H5847" t="s">
        <v>12</v>
      </c>
      <c r="I5847" t="str">
        <f t="shared" si="91"/>
        <v>Normal Usage</v>
      </c>
    </row>
    <row r="5848" spans="1:9" x14ac:dyDescent="0.3">
      <c r="A5848">
        <v>15847</v>
      </c>
      <c r="B5848">
        <v>75</v>
      </c>
      <c r="C5848" s="2">
        <v>45324</v>
      </c>
      <c r="D5848" s="2" t="str">
        <f>TEXT(Table3[[#This Row],[usage_date]],"mmmm")</f>
        <v>February</v>
      </c>
      <c r="E5848" s="9">
        <f>YEAR(Table3[[#This Row],[usage_date]])</f>
        <v>2024</v>
      </c>
      <c r="F5848" s="14">
        <v>1.18</v>
      </c>
      <c r="G5848">
        <v>289</v>
      </c>
      <c r="H5848" t="s">
        <v>12</v>
      </c>
      <c r="I5848" t="str">
        <f t="shared" si="91"/>
        <v>Normal Usage</v>
      </c>
    </row>
    <row r="5849" spans="1:9" x14ac:dyDescent="0.3">
      <c r="A5849">
        <v>15848</v>
      </c>
      <c r="B5849">
        <v>374</v>
      </c>
      <c r="C5849" s="2">
        <v>44683</v>
      </c>
      <c r="D5849" s="2" t="str">
        <f>TEXT(Table3[[#This Row],[usage_date]],"mmmm")</f>
        <v>May</v>
      </c>
      <c r="E5849" s="9">
        <f>YEAR(Table3[[#This Row],[usage_date]])</f>
        <v>2022</v>
      </c>
      <c r="F5849" s="14">
        <v>6.37</v>
      </c>
      <c r="G5849">
        <v>291</v>
      </c>
      <c r="H5849" t="s">
        <v>12</v>
      </c>
      <c r="I5849" t="str">
        <f t="shared" si="91"/>
        <v>High Usage</v>
      </c>
    </row>
    <row r="5850" spans="1:9" x14ac:dyDescent="0.3">
      <c r="A5850">
        <v>15849</v>
      </c>
      <c r="B5850">
        <v>340</v>
      </c>
      <c r="C5850" s="2">
        <v>44860</v>
      </c>
      <c r="D5850" s="2" t="str">
        <f>TEXT(Table3[[#This Row],[usage_date]],"mmmm")</f>
        <v>October</v>
      </c>
      <c r="E5850" s="9">
        <f>YEAR(Table3[[#This Row],[usage_date]])</f>
        <v>2022</v>
      </c>
      <c r="F5850" s="14">
        <v>0.09</v>
      </c>
      <c r="G5850">
        <v>230</v>
      </c>
      <c r="H5850" t="s">
        <v>12</v>
      </c>
      <c r="I5850" t="str">
        <f t="shared" si="91"/>
        <v>Normal Usage</v>
      </c>
    </row>
    <row r="5851" spans="1:9" x14ac:dyDescent="0.3">
      <c r="A5851">
        <v>15850</v>
      </c>
      <c r="B5851">
        <v>192</v>
      </c>
      <c r="C5851" s="2">
        <v>45336</v>
      </c>
      <c r="D5851" s="2" t="str">
        <f>TEXT(Table3[[#This Row],[usage_date]],"mmmm")</f>
        <v>February</v>
      </c>
      <c r="E5851" s="9">
        <f>YEAR(Table3[[#This Row],[usage_date]])</f>
        <v>2024</v>
      </c>
      <c r="F5851" s="14">
        <v>4.8499999999999996</v>
      </c>
      <c r="G5851">
        <v>79</v>
      </c>
      <c r="H5851" t="s">
        <v>12</v>
      </c>
      <c r="I5851" t="str">
        <f t="shared" si="91"/>
        <v>Normal Usage</v>
      </c>
    </row>
    <row r="5852" spans="1:9" x14ac:dyDescent="0.3">
      <c r="A5852">
        <v>15851</v>
      </c>
      <c r="B5852">
        <v>325</v>
      </c>
      <c r="C5852" s="2">
        <v>44942</v>
      </c>
      <c r="D5852" s="2" t="str">
        <f>TEXT(Table3[[#This Row],[usage_date]],"mmmm")</f>
        <v>January</v>
      </c>
      <c r="E5852" s="9">
        <f>YEAR(Table3[[#This Row],[usage_date]])</f>
        <v>2023</v>
      </c>
      <c r="F5852" s="14">
        <v>0.66</v>
      </c>
      <c r="G5852">
        <v>65</v>
      </c>
      <c r="H5852" t="s">
        <v>12</v>
      </c>
      <c r="I5852" t="str">
        <f t="shared" si="91"/>
        <v>Normal Usage</v>
      </c>
    </row>
    <row r="5853" spans="1:9" x14ac:dyDescent="0.3">
      <c r="A5853">
        <v>15852</v>
      </c>
      <c r="B5853">
        <v>467</v>
      </c>
      <c r="C5853" s="2">
        <v>45122</v>
      </c>
      <c r="D5853" s="2" t="str">
        <f>TEXT(Table3[[#This Row],[usage_date]],"mmmm")</f>
        <v>July</v>
      </c>
      <c r="E5853" s="9">
        <f>YEAR(Table3[[#This Row],[usage_date]])</f>
        <v>2023</v>
      </c>
      <c r="F5853" s="14">
        <v>4.72</v>
      </c>
      <c r="G5853">
        <v>135</v>
      </c>
      <c r="H5853" t="s">
        <v>12</v>
      </c>
      <c r="I5853" t="str">
        <f t="shared" si="91"/>
        <v>Normal Usage</v>
      </c>
    </row>
    <row r="5854" spans="1:9" x14ac:dyDescent="0.3">
      <c r="A5854">
        <v>15853</v>
      </c>
      <c r="B5854">
        <v>214</v>
      </c>
      <c r="C5854" s="2">
        <v>45450</v>
      </c>
      <c r="D5854" s="2" t="str">
        <f>TEXT(Table3[[#This Row],[usage_date]],"mmmm")</f>
        <v>June</v>
      </c>
      <c r="E5854" s="9">
        <f>YEAR(Table3[[#This Row],[usage_date]])</f>
        <v>2024</v>
      </c>
      <c r="F5854" s="14">
        <v>0.37</v>
      </c>
      <c r="G5854">
        <v>190</v>
      </c>
      <c r="H5854" t="s">
        <v>12</v>
      </c>
      <c r="I5854" t="str">
        <f t="shared" si="91"/>
        <v>Normal Usage</v>
      </c>
    </row>
    <row r="5855" spans="1:9" x14ac:dyDescent="0.3">
      <c r="A5855">
        <v>15854</v>
      </c>
      <c r="B5855">
        <v>315</v>
      </c>
      <c r="C5855" s="2">
        <v>45402</v>
      </c>
      <c r="D5855" s="2" t="str">
        <f>TEXT(Table3[[#This Row],[usage_date]],"mmmm")</f>
        <v>April</v>
      </c>
      <c r="E5855" s="9">
        <f>YEAR(Table3[[#This Row],[usage_date]])</f>
        <v>2024</v>
      </c>
      <c r="F5855" s="14">
        <v>2.17</v>
      </c>
      <c r="G5855">
        <v>58</v>
      </c>
      <c r="H5855" t="s">
        <v>13</v>
      </c>
      <c r="I5855" t="str">
        <f t="shared" si="91"/>
        <v>Normal Usage</v>
      </c>
    </row>
    <row r="5856" spans="1:9" x14ac:dyDescent="0.3">
      <c r="A5856">
        <v>15855</v>
      </c>
      <c r="B5856">
        <v>444</v>
      </c>
      <c r="C5856" s="2">
        <v>45062</v>
      </c>
      <c r="D5856" s="2" t="str">
        <f>TEXT(Table3[[#This Row],[usage_date]],"mmmm")</f>
        <v>May</v>
      </c>
      <c r="E5856" s="9">
        <f>YEAR(Table3[[#This Row],[usage_date]])</f>
        <v>2023</v>
      </c>
      <c r="F5856" s="14">
        <v>5.48</v>
      </c>
      <c r="G5856">
        <v>265</v>
      </c>
      <c r="H5856" t="s">
        <v>12</v>
      </c>
      <c r="I5856" t="str">
        <f t="shared" si="91"/>
        <v>Normal Usage</v>
      </c>
    </row>
    <row r="5857" spans="1:9" x14ac:dyDescent="0.3">
      <c r="A5857">
        <v>15856</v>
      </c>
      <c r="B5857">
        <v>467</v>
      </c>
      <c r="C5857" s="2">
        <v>44858</v>
      </c>
      <c r="D5857" s="2" t="str">
        <f>TEXT(Table3[[#This Row],[usage_date]],"mmmm")</f>
        <v>October</v>
      </c>
      <c r="E5857" s="9">
        <f>YEAR(Table3[[#This Row],[usage_date]])</f>
        <v>2022</v>
      </c>
      <c r="F5857" s="14">
        <v>1.6</v>
      </c>
      <c r="G5857">
        <v>6</v>
      </c>
      <c r="H5857" t="s">
        <v>13</v>
      </c>
      <c r="I5857" t="str">
        <f t="shared" si="91"/>
        <v>Normal Usage</v>
      </c>
    </row>
    <row r="5858" spans="1:9" x14ac:dyDescent="0.3">
      <c r="A5858">
        <v>15857</v>
      </c>
      <c r="B5858">
        <v>382</v>
      </c>
      <c r="C5858" s="2">
        <v>44923</v>
      </c>
      <c r="D5858" s="2" t="str">
        <f>TEXT(Table3[[#This Row],[usage_date]],"mmmm")</f>
        <v>December</v>
      </c>
      <c r="E5858" s="9">
        <f>YEAR(Table3[[#This Row],[usage_date]])</f>
        <v>2022</v>
      </c>
      <c r="F5858" s="14">
        <v>3.43</v>
      </c>
      <c r="G5858">
        <v>201</v>
      </c>
      <c r="H5858" t="s">
        <v>12</v>
      </c>
      <c r="I5858" t="str">
        <f t="shared" si="91"/>
        <v>Normal Usage</v>
      </c>
    </row>
    <row r="5859" spans="1:9" x14ac:dyDescent="0.3">
      <c r="A5859">
        <v>15858</v>
      </c>
      <c r="B5859">
        <v>367</v>
      </c>
      <c r="C5859" s="2">
        <v>45150</v>
      </c>
      <c r="D5859" s="2" t="str">
        <f>TEXT(Table3[[#This Row],[usage_date]],"mmmm")</f>
        <v>August</v>
      </c>
      <c r="E5859" s="9">
        <f>YEAR(Table3[[#This Row],[usage_date]])</f>
        <v>2023</v>
      </c>
      <c r="F5859" s="14">
        <v>4.08</v>
      </c>
      <c r="G5859">
        <v>236</v>
      </c>
      <c r="H5859" t="s">
        <v>12</v>
      </c>
      <c r="I5859" t="str">
        <f t="shared" si="91"/>
        <v>Normal Usage</v>
      </c>
    </row>
    <row r="5860" spans="1:9" x14ac:dyDescent="0.3">
      <c r="A5860">
        <v>15859</v>
      </c>
      <c r="B5860">
        <v>318</v>
      </c>
      <c r="C5860" s="2">
        <v>45024</v>
      </c>
      <c r="D5860" s="2" t="str">
        <f>TEXT(Table3[[#This Row],[usage_date]],"mmmm")</f>
        <v>April</v>
      </c>
      <c r="E5860" s="9">
        <f>YEAR(Table3[[#This Row],[usage_date]])</f>
        <v>2023</v>
      </c>
      <c r="F5860" s="14">
        <v>3.33</v>
      </c>
      <c r="G5860">
        <v>267</v>
      </c>
      <c r="H5860" t="s">
        <v>12</v>
      </c>
      <c r="I5860" t="str">
        <f t="shared" si="91"/>
        <v>Normal Usage</v>
      </c>
    </row>
    <row r="5861" spans="1:9" x14ac:dyDescent="0.3">
      <c r="A5861">
        <v>15860</v>
      </c>
      <c r="B5861">
        <v>144</v>
      </c>
      <c r="C5861" s="2">
        <v>44999</v>
      </c>
      <c r="D5861" s="2" t="str">
        <f>TEXT(Table3[[#This Row],[usage_date]],"mmmm")</f>
        <v>March</v>
      </c>
      <c r="E5861" s="9">
        <f>YEAR(Table3[[#This Row],[usage_date]])</f>
        <v>2023</v>
      </c>
      <c r="F5861" s="14">
        <v>6.49</v>
      </c>
      <c r="G5861">
        <v>78</v>
      </c>
      <c r="H5861" t="s">
        <v>12</v>
      </c>
      <c r="I5861" t="str">
        <f t="shared" si="91"/>
        <v>High Usage</v>
      </c>
    </row>
    <row r="5862" spans="1:9" x14ac:dyDescent="0.3">
      <c r="A5862">
        <v>15861</v>
      </c>
      <c r="B5862">
        <v>384</v>
      </c>
      <c r="C5862" s="2">
        <v>44688</v>
      </c>
      <c r="D5862" s="2" t="str">
        <f>TEXT(Table3[[#This Row],[usage_date]],"mmmm")</f>
        <v>May</v>
      </c>
      <c r="E5862" s="9">
        <f>YEAR(Table3[[#This Row],[usage_date]])</f>
        <v>2022</v>
      </c>
      <c r="F5862" s="14">
        <v>1.48</v>
      </c>
      <c r="G5862">
        <v>45</v>
      </c>
      <c r="H5862" t="s">
        <v>12</v>
      </c>
      <c r="I5862" t="str">
        <f t="shared" si="91"/>
        <v>Normal Usage</v>
      </c>
    </row>
    <row r="5863" spans="1:9" x14ac:dyDescent="0.3">
      <c r="A5863">
        <v>15862</v>
      </c>
      <c r="B5863">
        <v>216</v>
      </c>
      <c r="C5863" s="2">
        <v>44758</v>
      </c>
      <c r="D5863" s="2" t="str">
        <f>TEXT(Table3[[#This Row],[usage_date]],"mmmm")</f>
        <v>July</v>
      </c>
      <c r="E5863" s="9">
        <f>YEAR(Table3[[#This Row],[usage_date]])</f>
        <v>2022</v>
      </c>
      <c r="F5863" s="14">
        <v>0.48</v>
      </c>
      <c r="G5863">
        <v>242</v>
      </c>
      <c r="H5863" t="s">
        <v>13</v>
      </c>
      <c r="I5863" t="str">
        <f t="shared" si="91"/>
        <v>Normal Usage</v>
      </c>
    </row>
    <row r="5864" spans="1:9" x14ac:dyDescent="0.3">
      <c r="A5864">
        <v>15863</v>
      </c>
      <c r="B5864">
        <v>361</v>
      </c>
      <c r="C5864" s="2">
        <v>44782</v>
      </c>
      <c r="D5864" s="2" t="str">
        <f>TEXT(Table3[[#This Row],[usage_date]],"mmmm")</f>
        <v>August</v>
      </c>
      <c r="E5864" s="9">
        <f>YEAR(Table3[[#This Row],[usage_date]])</f>
        <v>2022</v>
      </c>
      <c r="F5864" s="14">
        <v>0.12</v>
      </c>
      <c r="G5864">
        <v>287</v>
      </c>
      <c r="H5864" t="s">
        <v>12</v>
      </c>
      <c r="I5864" t="str">
        <f t="shared" si="91"/>
        <v>Normal Usage</v>
      </c>
    </row>
    <row r="5865" spans="1:9" x14ac:dyDescent="0.3">
      <c r="A5865">
        <v>15864</v>
      </c>
      <c r="B5865">
        <v>324</v>
      </c>
      <c r="C5865" s="2">
        <v>44652</v>
      </c>
      <c r="D5865" s="2" t="str">
        <f>TEXT(Table3[[#This Row],[usage_date]],"mmmm")</f>
        <v>April</v>
      </c>
      <c r="E5865" s="9">
        <f>YEAR(Table3[[#This Row],[usage_date]])</f>
        <v>2022</v>
      </c>
      <c r="F5865" s="14">
        <v>0.71</v>
      </c>
      <c r="G5865">
        <v>159</v>
      </c>
      <c r="H5865" t="s">
        <v>12</v>
      </c>
      <c r="I5865" t="str">
        <f t="shared" si="91"/>
        <v>Normal Usage</v>
      </c>
    </row>
    <row r="5866" spans="1:9" x14ac:dyDescent="0.3">
      <c r="A5866">
        <v>15865</v>
      </c>
      <c r="B5866">
        <v>15</v>
      </c>
      <c r="C5866" s="2">
        <v>44972</v>
      </c>
      <c r="D5866" s="2" t="str">
        <f>TEXT(Table3[[#This Row],[usage_date]],"mmmm")</f>
        <v>February</v>
      </c>
      <c r="E5866" s="9">
        <f>YEAR(Table3[[#This Row],[usage_date]])</f>
        <v>2023</v>
      </c>
      <c r="F5866" s="14">
        <v>0.39</v>
      </c>
      <c r="G5866">
        <v>114</v>
      </c>
      <c r="H5866" t="s">
        <v>12</v>
      </c>
      <c r="I5866" t="str">
        <f t="shared" si="91"/>
        <v>Normal Usage</v>
      </c>
    </row>
    <row r="5867" spans="1:9" x14ac:dyDescent="0.3">
      <c r="A5867">
        <v>15866</v>
      </c>
      <c r="B5867">
        <v>217</v>
      </c>
      <c r="C5867" s="2">
        <v>44569</v>
      </c>
      <c r="D5867" s="2" t="str">
        <f>TEXT(Table3[[#This Row],[usage_date]],"mmmm")</f>
        <v>January</v>
      </c>
      <c r="E5867" s="9">
        <f>YEAR(Table3[[#This Row],[usage_date]])</f>
        <v>2022</v>
      </c>
      <c r="F5867" s="14">
        <v>2.04</v>
      </c>
      <c r="G5867">
        <v>113</v>
      </c>
      <c r="H5867" t="s">
        <v>12</v>
      </c>
      <c r="I5867" t="str">
        <f t="shared" si="91"/>
        <v>Normal Usage</v>
      </c>
    </row>
    <row r="5868" spans="1:9" x14ac:dyDescent="0.3">
      <c r="A5868">
        <v>15867</v>
      </c>
      <c r="B5868">
        <v>492</v>
      </c>
      <c r="C5868" s="2">
        <v>45105</v>
      </c>
      <c r="D5868" s="2" t="str">
        <f>TEXT(Table3[[#This Row],[usage_date]],"mmmm")</f>
        <v>June</v>
      </c>
      <c r="E5868" s="9">
        <f>YEAR(Table3[[#This Row],[usage_date]])</f>
        <v>2023</v>
      </c>
      <c r="F5868" s="14">
        <v>0.51</v>
      </c>
      <c r="G5868">
        <v>125</v>
      </c>
      <c r="H5868" t="s">
        <v>13</v>
      </c>
      <c r="I5868" t="str">
        <f t="shared" si="91"/>
        <v>Normal Usage</v>
      </c>
    </row>
    <row r="5869" spans="1:9" x14ac:dyDescent="0.3">
      <c r="A5869">
        <v>15868</v>
      </c>
      <c r="B5869">
        <v>439</v>
      </c>
      <c r="C5869" s="2">
        <v>45029</v>
      </c>
      <c r="D5869" s="2" t="str">
        <f>TEXT(Table3[[#This Row],[usage_date]],"mmmm")</f>
        <v>April</v>
      </c>
      <c r="E5869" s="9">
        <f>YEAR(Table3[[#This Row],[usage_date]])</f>
        <v>2023</v>
      </c>
      <c r="F5869" s="14">
        <v>0.1</v>
      </c>
      <c r="G5869">
        <v>89</v>
      </c>
      <c r="H5869" t="s">
        <v>13</v>
      </c>
      <c r="I5869" t="str">
        <f t="shared" si="91"/>
        <v>Normal Usage</v>
      </c>
    </row>
    <row r="5870" spans="1:9" x14ac:dyDescent="0.3">
      <c r="A5870">
        <v>15869</v>
      </c>
      <c r="B5870">
        <v>35</v>
      </c>
      <c r="C5870" s="2">
        <v>44881</v>
      </c>
      <c r="D5870" s="2" t="str">
        <f>TEXT(Table3[[#This Row],[usage_date]],"mmmm")</f>
        <v>November</v>
      </c>
      <c r="E5870" s="9">
        <f>YEAR(Table3[[#This Row],[usage_date]])</f>
        <v>2022</v>
      </c>
      <c r="F5870" s="14">
        <v>0.09</v>
      </c>
      <c r="G5870">
        <v>60</v>
      </c>
      <c r="H5870" t="s">
        <v>12</v>
      </c>
      <c r="I5870" t="str">
        <f t="shared" si="91"/>
        <v>Normal Usage</v>
      </c>
    </row>
    <row r="5871" spans="1:9" x14ac:dyDescent="0.3">
      <c r="A5871">
        <v>15870</v>
      </c>
      <c r="B5871">
        <v>183</v>
      </c>
      <c r="C5871" s="2">
        <v>44955</v>
      </c>
      <c r="D5871" s="2" t="str">
        <f>TEXT(Table3[[#This Row],[usage_date]],"mmmm")</f>
        <v>January</v>
      </c>
      <c r="E5871" s="9">
        <f>YEAR(Table3[[#This Row],[usage_date]])</f>
        <v>2023</v>
      </c>
      <c r="F5871" s="14">
        <v>4.45</v>
      </c>
      <c r="G5871">
        <v>101</v>
      </c>
      <c r="H5871" t="s">
        <v>12</v>
      </c>
      <c r="I5871" t="str">
        <f t="shared" si="91"/>
        <v>Normal Usage</v>
      </c>
    </row>
    <row r="5872" spans="1:9" x14ac:dyDescent="0.3">
      <c r="A5872">
        <v>15871</v>
      </c>
      <c r="B5872">
        <v>270</v>
      </c>
      <c r="C5872" s="2">
        <v>44830</v>
      </c>
      <c r="D5872" s="2" t="str">
        <f>TEXT(Table3[[#This Row],[usage_date]],"mmmm")</f>
        <v>September</v>
      </c>
      <c r="E5872" s="9">
        <f>YEAR(Table3[[#This Row],[usage_date]])</f>
        <v>2022</v>
      </c>
      <c r="F5872" s="14">
        <v>2.2400000000000002</v>
      </c>
      <c r="G5872">
        <v>113</v>
      </c>
      <c r="H5872" t="s">
        <v>12</v>
      </c>
      <c r="I5872" t="str">
        <f t="shared" si="91"/>
        <v>Normal Usage</v>
      </c>
    </row>
    <row r="5873" spans="1:9" x14ac:dyDescent="0.3">
      <c r="A5873">
        <v>15872</v>
      </c>
      <c r="B5873">
        <v>433</v>
      </c>
      <c r="C5873" s="2">
        <v>44752</v>
      </c>
      <c r="D5873" s="2" t="str">
        <f>TEXT(Table3[[#This Row],[usage_date]],"mmmm")</f>
        <v>July</v>
      </c>
      <c r="E5873" s="9">
        <f>YEAR(Table3[[#This Row],[usage_date]])</f>
        <v>2022</v>
      </c>
      <c r="F5873" s="14">
        <v>1.1100000000000001</v>
      </c>
      <c r="G5873">
        <v>173</v>
      </c>
      <c r="H5873" t="s">
        <v>13</v>
      </c>
      <c r="I5873" t="str">
        <f t="shared" si="91"/>
        <v>Normal Usage</v>
      </c>
    </row>
    <row r="5874" spans="1:9" x14ac:dyDescent="0.3">
      <c r="A5874">
        <v>15873</v>
      </c>
      <c r="B5874">
        <v>467</v>
      </c>
      <c r="C5874" s="2">
        <v>45422</v>
      </c>
      <c r="D5874" s="2" t="str">
        <f>TEXT(Table3[[#This Row],[usage_date]],"mmmm")</f>
        <v>May</v>
      </c>
      <c r="E5874" s="9">
        <f>YEAR(Table3[[#This Row],[usage_date]])</f>
        <v>2024</v>
      </c>
      <c r="F5874" s="14">
        <v>5.62</v>
      </c>
      <c r="G5874">
        <v>91</v>
      </c>
      <c r="H5874" t="s">
        <v>12</v>
      </c>
      <c r="I5874" t="str">
        <f t="shared" si="91"/>
        <v>Normal Usage</v>
      </c>
    </row>
    <row r="5875" spans="1:9" x14ac:dyDescent="0.3">
      <c r="A5875">
        <v>15874</v>
      </c>
      <c r="B5875">
        <v>358</v>
      </c>
      <c r="C5875" s="2">
        <v>45236</v>
      </c>
      <c r="D5875" s="2" t="str">
        <f>TEXT(Table3[[#This Row],[usage_date]],"mmmm")</f>
        <v>November</v>
      </c>
      <c r="E5875" s="9">
        <f>YEAR(Table3[[#This Row],[usage_date]])</f>
        <v>2023</v>
      </c>
      <c r="F5875" s="14">
        <v>0.18</v>
      </c>
      <c r="G5875">
        <v>182</v>
      </c>
      <c r="H5875" t="s">
        <v>13</v>
      </c>
      <c r="I5875" t="str">
        <f t="shared" si="91"/>
        <v>Normal Usage</v>
      </c>
    </row>
    <row r="5876" spans="1:9" x14ac:dyDescent="0.3">
      <c r="A5876">
        <v>15875</v>
      </c>
      <c r="B5876">
        <v>100</v>
      </c>
      <c r="C5876" s="2">
        <v>44622</v>
      </c>
      <c r="D5876" s="2" t="str">
        <f>TEXT(Table3[[#This Row],[usage_date]],"mmmm")</f>
        <v>March</v>
      </c>
      <c r="E5876" s="9">
        <f>YEAR(Table3[[#This Row],[usage_date]])</f>
        <v>2022</v>
      </c>
      <c r="F5876" s="14">
        <v>9.82</v>
      </c>
      <c r="G5876">
        <v>204</v>
      </c>
      <c r="H5876" t="s">
        <v>12</v>
      </c>
      <c r="I5876" t="str">
        <f t="shared" si="91"/>
        <v>High Usage</v>
      </c>
    </row>
    <row r="5877" spans="1:9" x14ac:dyDescent="0.3">
      <c r="A5877">
        <v>15876</v>
      </c>
      <c r="B5877">
        <v>7</v>
      </c>
      <c r="C5877" s="2">
        <v>44999</v>
      </c>
      <c r="D5877" s="2" t="str">
        <f>TEXT(Table3[[#This Row],[usage_date]],"mmmm")</f>
        <v>March</v>
      </c>
      <c r="E5877" s="9">
        <f>YEAR(Table3[[#This Row],[usage_date]])</f>
        <v>2023</v>
      </c>
      <c r="F5877" s="14">
        <v>2.39</v>
      </c>
      <c r="G5877">
        <v>194</v>
      </c>
      <c r="H5877" t="s">
        <v>13</v>
      </c>
      <c r="I5877" t="str">
        <f t="shared" si="91"/>
        <v>Normal Usage</v>
      </c>
    </row>
    <row r="5878" spans="1:9" x14ac:dyDescent="0.3">
      <c r="A5878">
        <v>15877</v>
      </c>
      <c r="B5878">
        <v>30</v>
      </c>
      <c r="C5878" s="2">
        <v>44825</v>
      </c>
      <c r="D5878" s="2" t="str">
        <f>TEXT(Table3[[#This Row],[usage_date]],"mmmm")</f>
        <v>September</v>
      </c>
      <c r="E5878" s="9">
        <f>YEAR(Table3[[#This Row],[usage_date]])</f>
        <v>2022</v>
      </c>
      <c r="F5878" s="14">
        <v>0.51</v>
      </c>
      <c r="G5878">
        <v>24</v>
      </c>
      <c r="H5878" t="s">
        <v>12</v>
      </c>
      <c r="I5878" t="str">
        <f t="shared" si="91"/>
        <v>Normal Usage</v>
      </c>
    </row>
    <row r="5879" spans="1:9" x14ac:dyDescent="0.3">
      <c r="A5879">
        <v>15878</v>
      </c>
      <c r="B5879">
        <v>467</v>
      </c>
      <c r="C5879" s="2">
        <v>45358</v>
      </c>
      <c r="D5879" s="2" t="str">
        <f>TEXT(Table3[[#This Row],[usage_date]],"mmmm")</f>
        <v>March</v>
      </c>
      <c r="E5879" s="9">
        <f>YEAR(Table3[[#This Row],[usage_date]])</f>
        <v>2024</v>
      </c>
      <c r="F5879" s="14">
        <v>2.84</v>
      </c>
      <c r="G5879">
        <v>233</v>
      </c>
      <c r="H5879" t="s">
        <v>12</v>
      </c>
      <c r="I5879" t="str">
        <f t="shared" si="91"/>
        <v>Normal Usage</v>
      </c>
    </row>
    <row r="5880" spans="1:9" x14ac:dyDescent="0.3">
      <c r="A5880">
        <v>15879</v>
      </c>
      <c r="B5880">
        <v>305</v>
      </c>
      <c r="C5880" s="2">
        <v>44656</v>
      </c>
      <c r="D5880" s="2" t="str">
        <f>TEXT(Table3[[#This Row],[usage_date]],"mmmm")</f>
        <v>April</v>
      </c>
      <c r="E5880" s="9">
        <f>YEAR(Table3[[#This Row],[usage_date]])</f>
        <v>2022</v>
      </c>
      <c r="F5880" s="14">
        <v>3.6</v>
      </c>
      <c r="G5880">
        <v>15</v>
      </c>
      <c r="H5880" t="s">
        <v>12</v>
      </c>
      <c r="I5880" t="str">
        <f t="shared" si="91"/>
        <v>Normal Usage</v>
      </c>
    </row>
    <row r="5881" spans="1:9" x14ac:dyDescent="0.3">
      <c r="A5881">
        <v>15880</v>
      </c>
      <c r="B5881">
        <v>473</v>
      </c>
      <c r="C5881" s="2">
        <v>45114</v>
      </c>
      <c r="D5881" s="2" t="str">
        <f>TEXT(Table3[[#This Row],[usage_date]],"mmmm")</f>
        <v>July</v>
      </c>
      <c r="E5881" s="9">
        <f>YEAR(Table3[[#This Row],[usage_date]])</f>
        <v>2023</v>
      </c>
      <c r="F5881" s="14">
        <v>1.4</v>
      </c>
      <c r="G5881">
        <v>140</v>
      </c>
      <c r="H5881" t="s">
        <v>13</v>
      </c>
      <c r="I5881" t="str">
        <f t="shared" si="91"/>
        <v>Normal Usage</v>
      </c>
    </row>
    <row r="5882" spans="1:9" x14ac:dyDescent="0.3">
      <c r="A5882">
        <v>15881</v>
      </c>
      <c r="B5882">
        <v>144</v>
      </c>
      <c r="C5882" s="2">
        <v>45031</v>
      </c>
      <c r="D5882" s="2" t="str">
        <f>TEXT(Table3[[#This Row],[usage_date]],"mmmm")</f>
        <v>April</v>
      </c>
      <c r="E5882" s="9">
        <f>YEAR(Table3[[#This Row],[usage_date]])</f>
        <v>2023</v>
      </c>
      <c r="F5882" s="14">
        <v>4.9400000000000004</v>
      </c>
      <c r="G5882">
        <v>107</v>
      </c>
      <c r="H5882" t="s">
        <v>13</v>
      </c>
      <c r="I5882" t="str">
        <f t="shared" si="91"/>
        <v>Normal Usage</v>
      </c>
    </row>
    <row r="5883" spans="1:9" x14ac:dyDescent="0.3">
      <c r="A5883">
        <v>15882</v>
      </c>
      <c r="B5883">
        <v>111</v>
      </c>
      <c r="C5883" s="2">
        <v>45222</v>
      </c>
      <c r="D5883" s="2" t="str">
        <f>TEXT(Table3[[#This Row],[usage_date]],"mmmm")</f>
        <v>October</v>
      </c>
      <c r="E5883" s="9">
        <f>YEAR(Table3[[#This Row],[usage_date]])</f>
        <v>2023</v>
      </c>
      <c r="F5883" s="14">
        <v>0.41</v>
      </c>
      <c r="G5883">
        <v>299</v>
      </c>
      <c r="H5883" t="s">
        <v>13</v>
      </c>
      <c r="I5883" t="str">
        <f t="shared" si="91"/>
        <v>Normal Usage</v>
      </c>
    </row>
    <row r="5884" spans="1:9" x14ac:dyDescent="0.3">
      <c r="A5884">
        <v>15883</v>
      </c>
      <c r="B5884">
        <v>232</v>
      </c>
      <c r="C5884" s="2">
        <v>45277</v>
      </c>
      <c r="D5884" s="2" t="str">
        <f>TEXT(Table3[[#This Row],[usage_date]],"mmmm")</f>
        <v>December</v>
      </c>
      <c r="E5884" s="9">
        <f>YEAR(Table3[[#This Row],[usage_date]])</f>
        <v>2023</v>
      </c>
      <c r="F5884" s="14">
        <v>0.82</v>
      </c>
      <c r="G5884">
        <v>79</v>
      </c>
      <c r="H5884" t="s">
        <v>13</v>
      </c>
      <c r="I5884" t="str">
        <f t="shared" si="91"/>
        <v>Normal Usage</v>
      </c>
    </row>
    <row r="5885" spans="1:9" x14ac:dyDescent="0.3">
      <c r="A5885">
        <v>15884</v>
      </c>
      <c r="B5885">
        <v>179</v>
      </c>
      <c r="C5885" s="2">
        <v>45340</v>
      </c>
      <c r="D5885" s="2" t="str">
        <f>TEXT(Table3[[#This Row],[usage_date]],"mmmm")</f>
        <v>February</v>
      </c>
      <c r="E5885" s="9">
        <f>YEAR(Table3[[#This Row],[usage_date]])</f>
        <v>2024</v>
      </c>
      <c r="F5885" s="14">
        <v>0.25</v>
      </c>
      <c r="G5885">
        <v>75</v>
      </c>
      <c r="H5885" t="s">
        <v>12</v>
      </c>
      <c r="I5885" t="str">
        <f t="shared" si="91"/>
        <v>Normal Usage</v>
      </c>
    </row>
    <row r="5886" spans="1:9" x14ac:dyDescent="0.3">
      <c r="A5886">
        <v>15885</v>
      </c>
      <c r="B5886">
        <v>72</v>
      </c>
      <c r="C5886" s="2">
        <v>45075</v>
      </c>
      <c r="D5886" s="2" t="str">
        <f>TEXT(Table3[[#This Row],[usage_date]],"mmmm")</f>
        <v>May</v>
      </c>
      <c r="E5886" s="9">
        <f>YEAR(Table3[[#This Row],[usage_date]])</f>
        <v>2023</v>
      </c>
      <c r="F5886" s="14">
        <v>0.59</v>
      </c>
      <c r="G5886">
        <v>275</v>
      </c>
      <c r="H5886" t="s">
        <v>13</v>
      </c>
      <c r="I5886" t="str">
        <f t="shared" si="91"/>
        <v>Normal Usage</v>
      </c>
    </row>
    <row r="5887" spans="1:9" x14ac:dyDescent="0.3">
      <c r="A5887">
        <v>15886</v>
      </c>
      <c r="B5887">
        <v>210</v>
      </c>
      <c r="C5887" s="2">
        <v>45251</v>
      </c>
      <c r="D5887" s="2" t="str">
        <f>TEXT(Table3[[#This Row],[usage_date]],"mmmm")</f>
        <v>November</v>
      </c>
      <c r="E5887" s="9">
        <f>YEAR(Table3[[#This Row],[usage_date]])</f>
        <v>2023</v>
      </c>
      <c r="F5887" s="14">
        <v>0.68</v>
      </c>
      <c r="G5887">
        <v>267</v>
      </c>
      <c r="H5887" t="s">
        <v>13</v>
      </c>
      <c r="I5887" t="str">
        <f t="shared" si="91"/>
        <v>Normal Usage</v>
      </c>
    </row>
    <row r="5888" spans="1:9" x14ac:dyDescent="0.3">
      <c r="A5888">
        <v>15887</v>
      </c>
      <c r="B5888">
        <v>220</v>
      </c>
      <c r="C5888" s="2">
        <v>44755</v>
      </c>
      <c r="D5888" s="2" t="str">
        <f>TEXT(Table3[[#This Row],[usage_date]],"mmmm")</f>
        <v>July</v>
      </c>
      <c r="E5888" s="9">
        <f>YEAR(Table3[[#This Row],[usage_date]])</f>
        <v>2022</v>
      </c>
      <c r="F5888" s="14">
        <v>6.24</v>
      </c>
      <c r="G5888">
        <v>111</v>
      </c>
      <c r="H5888" t="s">
        <v>12</v>
      </c>
      <c r="I5888" t="str">
        <f t="shared" si="91"/>
        <v>High Usage</v>
      </c>
    </row>
    <row r="5889" spans="1:9" x14ac:dyDescent="0.3">
      <c r="A5889">
        <v>15888</v>
      </c>
      <c r="B5889">
        <v>80</v>
      </c>
      <c r="C5889" s="2">
        <v>45043</v>
      </c>
      <c r="D5889" s="2" t="str">
        <f>TEXT(Table3[[#This Row],[usage_date]],"mmmm")</f>
        <v>April</v>
      </c>
      <c r="E5889" s="9">
        <f>YEAR(Table3[[#This Row],[usage_date]])</f>
        <v>2023</v>
      </c>
      <c r="F5889" s="14">
        <v>0.2</v>
      </c>
      <c r="G5889">
        <v>74</v>
      </c>
      <c r="H5889" t="s">
        <v>12</v>
      </c>
      <c r="I5889" t="str">
        <f t="shared" si="91"/>
        <v>Normal Usage</v>
      </c>
    </row>
    <row r="5890" spans="1:9" x14ac:dyDescent="0.3">
      <c r="A5890">
        <v>15889</v>
      </c>
      <c r="B5890">
        <v>500</v>
      </c>
      <c r="C5890" s="2">
        <v>45460</v>
      </c>
      <c r="D5890" s="2" t="str">
        <f>TEXT(Table3[[#This Row],[usage_date]],"mmmm")</f>
        <v>June</v>
      </c>
      <c r="E5890" s="9">
        <f>YEAR(Table3[[#This Row],[usage_date]])</f>
        <v>2024</v>
      </c>
      <c r="F5890" s="14">
        <v>1.39</v>
      </c>
      <c r="G5890">
        <v>213</v>
      </c>
      <c r="H5890" t="s">
        <v>12</v>
      </c>
      <c r="I5890" t="str">
        <f t="shared" ref="I5890:I5953" si="92">IF(F5890&gt;6,"High Usage","Normal Usage")</f>
        <v>Normal Usage</v>
      </c>
    </row>
    <row r="5891" spans="1:9" x14ac:dyDescent="0.3">
      <c r="A5891">
        <v>15890</v>
      </c>
      <c r="B5891">
        <v>83</v>
      </c>
      <c r="C5891" s="2">
        <v>44897</v>
      </c>
      <c r="D5891" s="2" t="str">
        <f>TEXT(Table3[[#This Row],[usage_date]],"mmmm")</f>
        <v>December</v>
      </c>
      <c r="E5891" s="9">
        <f>YEAR(Table3[[#This Row],[usage_date]])</f>
        <v>2022</v>
      </c>
      <c r="F5891" s="14">
        <v>1.9</v>
      </c>
      <c r="G5891">
        <v>33</v>
      </c>
      <c r="H5891" t="s">
        <v>12</v>
      </c>
      <c r="I5891" t="str">
        <f t="shared" si="92"/>
        <v>Normal Usage</v>
      </c>
    </row>
    <row r="5892" spans="1:9" x14ac:dyDescent="0.3">
      <c r="A5892">
        <v>15891</v>
      </c>
      <c r="B5892">
        <v>42</v>
      </c>
      <c r="C5892" s="2">
        <v>44996</v>
      </c>
      <c r="D5892" s="2" t="str">
        <f>TEXT(Table3[[#This Row],[usage_date]],"mmmm")</f>
        <v>March</v>
      </c>
      <c r="E5892" s="9">
        <f>YEAR(Table3[[#This Row],[usage_date]])</f>
        <v>2023</v>
      </c>
      <c r="F5892" s="14">
        <v>5.72</v>
      </c>
      <c r="G5892">
        <v>140</v>
      </c>
      <c r="H5892" t="s">
        <v>13</v>
      </c>
      <c r="I5892" t="str">
        <f t="shared" si="92"/>
        <v>Normal Usage</v>
      </c>
    </row>
    <row r="5893" spans="1:9" x14ac:dyDescent="0.3">
      <c r="A5893">
        <v>15892</v>
      </c>
      <c r="B5893">
        <v>273</v>
      </c>
      <c r="C5893" s="2">
        <v>44757</v>
      </c>
      <c r="D5893" s="2" t="str">
        <f>TEXT(Table3[[#This Row],[usage_date]],"mmmm")</f>
        <v>July</v>
      </c>
      <c r="E5893" s="9">
        <f>YEAR(Table3[[#This Row],[usage_date]])</f>
        <v>2022</v>
      </c>
      <c r="F5893" s="14">
        <v>15.18</v>
      </c>
      <c r="G5893">
        <v>165</v>
      </c>
      <c r="H5893" t="s">
        <v>12</v>
      </c>
      <c r="I5893" t="str">
        <f t="shared" si="92"/>
        <v>High Usage</v>
      </c>
    </row>
    <row r="5894" spans="1:9" x14ac:dyDescent="0.3">
      <c r="A5894">
        <v>15893</v>
      </c>
      <c r="B5894">
        <v>191</v>
      </c>
      <c r="C5894" s="2">
        <v>45416</v>
      </c>
      <c r="D5894" s="2" t="str">
        <f>TEXT(Table3[[#This Row],[usage_date]],"mmmm")</f>
        <v>May</v>
      </c>
      <c r="E5894" s="9">
        <f>YEAR(Table3[[#This Row],[usage_date]])</f>
        <v>2024</v>
      </c>
      <c r="F5894" s="14">
        <v>3.5</v>
      </c>
      <c r="G5894">
        <v>230</v>
      </c>
      <c r="H5894" t="s">
        <v>12</v>
      </c>
      <c r="I5894" t="str">
        <f t="shared" si="92"/>
        <v>Normal Usage</v>
      </c>
    </row>
    <row r="5895" spans="1:9" x14ac:dyDescent="0.3">
      <c r="A5895">
        <v>15894</v>
      </c>
      <c r="B5895">
        <v>173</v>
      </c>
      <c r="C5895" s="2">
        <v>44810</v>
      </c>
      <c r="D5895" s="2" t="str">
        <f>TEXT(Table3[[#This Row],[usage_date]],"mmmm")</f>
        <v>September</v>
      </c>
      <c r="E5895" s="9">
        <f>YEAR(Table3[[#This Row],[usage_date]])</f>
        <v>2022</v>
      </c>
      <c r="F5895" s="14">
        <v>8.83</v>
      </c>
      <c r="G5895">
        <v>291</v>
      </c>
      <c r="H5895" t="s">
        <v>12</v>
      </c>
      <c r="I5895" t="str">
        <f t="shared" si="92"/>
        <v>High Usage</v>
      </c>
    </row>
    <row r="5896" spans="1:9" x14ac:dyDescent="0.3">
      <c r="A5896">
        <v>15895</v>
      </c>
      <c r="B5896">
        <v>461</v>
      </c>
      <c r="C5896" s="2">
        <v>45059</v>
      </c>
      <c r="D5896" s="2" t="str">
        <f>TEXT(Table3[[#This Row],[usage_date]],"mmmm")</f>
        <v>May</v>
      </c>
      <c r="E5896" s="9">
        <f>YEAR(Table3[[#This Row],[usage_date]])</f>
        <v>2023</v>
      </c>
      <c r="F5896" s="14">
        <v>3.87</v>
      </c>
      <c r="G5896">
        <v>27</v>
      </c>
      <c r="H5896" t="s">
        <v>12</v>
      </c>
      <c r="I5896" t="str">
        <f t="shared" si="92"/>
        <v>Normal Usage</v>
      </c>
    </row>
    <row r="5897" spans="1:9" x14ac:dyDescent="0.3">
      <c r="A5897">
        <v>15896</v>
      </c>
      <c r="B5897">
        <v>7</v>
      </c>
      <c r="C5897" s="2">
        <v>44773</v>
      </c>
      <c r="D5897" s="2" t="str">
        <f>TEXT(Table3[[#This Row],[usage_date]],"mmmm")</f>
        <v>July</v>
      </c>
      <c r="E5897" s="9">
        <f>YEAR(Table3[[#This Row],[usage_date]])</f>
        <v>2022</v>
      </c>
      <c r="F5897" s="14">
        <v>8.26</v>
      </c>
      <c r="G5897">
        <v>294</v>
      </c>
      <c r="H5897" t="s">
        <v>12</v>
      </c>
      <c r="I5897" t="str">
        <f t="shared" si="92"/>
        <v>High Usage</v>
      </c>
    </row>
    <row r="5898" spans="1:9" x14ac:dyDescent="0.3">
      <c r="A5898">
        <v>15897</v>
      </c>
      <c r="B5898">
        <v>155</v>
      </c>
      <c r="C5898" s="2">
        <v>45226</v>
      </c>
      <c r="D5898" s="2" t="str">
        <f>TEXT(Table3[[#This Row],[usage_date]],"mmmm")</f>
        <v>October</v>
      </c>
      <c r="E5898" s="9">
        <f>YEAR(Table3[[#This Row],[usage_date]])</f>
        <v>2023</v>
      </c>
      <c r="F5898" s="14">
        <v>3.07</v>
      </c>
      <c r="G5898">
        <v>90</v>
      </c>
      <c r="H5898" t="s">
        <v>13</v>
      </c>
      <c r="I5898" t="str">
        <f t="shared" si="92"/>
        <v>Normal Usage</v>
      </c>
    </row>
    <row r="5899" spans="1:9" x14ac:dyDescent="0.3">
      <c r="A5899">
        <v>15898</v>
      </c>
      <c r="B5899">
        <v>10</v>
      </c>
      <c r="C5899" s="2">
        <v>45231</v>
      </c>
      <c r="D5899" s="2" t="str">
        <f>TEXT(Table3[[#This Row],[usage_date]],"mmmm")</f>
        <v>November</v>
      </c>
      <c r="E5899" s="9">
        <f>YEAR(Table3[[#This Row],[usage_date]])</f>
        <v>2023</v>
      </c>
      <c r="F5899" s="14">
        <v>0.21</v>
      </c>
      <c r="G5899">
        <v>114</v>
      </c>
      <c r="H5899" t="s">
        <v>12</v>
      </c>
      <c r="I5899" t="str">
        <f t="shared" si="92"/>
        <v>Normal Usage</v>
      </c>
    </row>
    <row r="5900" spans="1:9" x14ac:dyDescent="0.3">
      <c r="A5900">
        <v>15899</v>
      </c>
      <c r="B5900">
        <v>34</v>
      </c>
      <c r="C5900" s="2">
        <v>45027</v>
      </c>
      <c r="D5900" s="2" t="str">
        <f>TEXT(Table3[[#This Row],[usage_date]],"mmmm")</f>
        <v>April</v>
      </c>
      <c r="E5900" s="9">
        <f>YEAR(Table3[[#This Row],[usage_date]])</f>
        <v>2023</v>
      </c>
      <c r="F5900" s="14">
        <v>1.29</v>
      </c>
      <c r="G5900">
        <v>158</v>
      </c>
      <c r="H5900" t="s">
        <v>13</v>
      </c>
      <c r="I5900" t="str">
        <f t="shared" si="92"/>
        <v>Normal Usage</v>
      </c>
    </row>
    <row r="5901" spans="1:9" x14ac:dyDescent="0.3">
      <c r="A5901">
        <v>15900</v>
      </c>
      <c r="B5901">
        <v>36</v>
      </c>
      <c r="C5901" s="2">
        <v>45435</v>
      </c>
      <c r="D5901" s="2" t="str">
        <f>TEXT(Table3[[#This Row],[usage_date]],"mmmm")</f>
        <v>May</v>
      </c>
      <c r="E5901" s="9">
        <f>YEAR(Table3[[#This Row],[usage_date]])</f>
        <v>2024</v>
      </c>
      <c r="F5901" s="14">
        <v>2.6</v>
      </c>
      <c r="G5901">
        <v>257</v>
      </c>
      <c r="H5901" t="s">
        <v>12</v>
      </c>
      <c r="I5901" t="str">
        <f t="shared" si="92"/>
        <v>Normal Usage</v>
      </c>
    </row>
    <row r="5902" spans="1:9" x14ac:dyDescent="0.3">
      <c r="A5902">
        <v>15901</v>
      </c>
      <c r="B5902">
        <v>409</v>
      </c>
      <c r="C5902" s="2">
        <v>45212</v>
      </c>
      <c r="D5902" s="2" t="str">
        <f>TEXT(Table3[[#This Row],[usage_date]],"mmmm")</f>
        <v>October</v>
      </c>
      <c r="E5902" s="9">
        <f>YEAR(Table3[[#This Row],[usage_date]])</f>
        <v>2023</v>
      </c>
      <c r="F5902" s="14">
        <v>1.08</v>
      </c>
      <c r="G5902">
        <v>89</v>
      </c>
      <c r="H5902" t="s">
        <v>13</v>
      </c>
      <c r="I5902" t="str">
        <f t="shared" si="92"/>
        <v>Normal Usage</v>
      </c>
    </row>
    <row r="5903" spans="1:9" x14ac:dyDescent="0.3">
      <c r="A5903">
        <v>15902</v>
      </c>
      <c r="B5903">
        <v>6</v>
      </c>
      <c r="C5903" s="2">
        <v>44782</v>
      </c>
      <c r="D5903" s="2" t="str">
        <f>TEXT(Table3[[#This Row],[usage_date]],"mmmm")</f>
        <v>August</v>
      </c>
      <c r="E5903" s="9">
        <f>YEAR(Table3[[#This Row],[usage_date]])</f>
        <v>2022</v>
      </c>
      <c r="F5903" s="14">
        <v>0.8</v>
      </c>
      <c r="G5903">
        <v>244</v>
      </c>
      <c r="H5903" t="s">
        <v>12</v>
      </c>
      <c r="I5903" t="str">
        <f t="shared" si="92"/>
        <v>Normal Usage</v>
      </c>
    </row>
    <row r="5904" spans="1:9" x14ac:dyDescent="0.3">
      <c r="A5904">
        <v>15903</v>
      </c>
      <c r="B5904">
        <v>408</v>
      </c>
      <c r="C5904" s="2">
        <v>44834</v>
      </c>
      <c r="D5904" s="2" t="str">
        <f>TEXT(Table3[[#This Row],[usage_date]],"mmmm")</f>
        <v>September</v>
      </c>
      <c r="E5904" s="9">
        <f>YEAR(Table3[[#This Row],[usage_date]])</f>
        <v>2022</v>
      </c>
      <c r="F5904" s="14">
        <v>2.15</v>
      </c>
      <c r="G5904">
        <v>297</v>
      </c>
      <c r="H5904" t="s">
        <v>12</v>
      </c>
      <c r="I5904" t="str">
        <f t="shared" si="92"/>
        <v>Normal Usage</v>
      </c>
    </row>
    <row r="5905" spans="1:9" x14ac:dyDescent="0.3">
      <c r="A5905">
        <v>15904</v>
      </c>
      <c r="B5905">
        <v>402</v>
      </c>
      <c r="C5905" s="2">
        <v>44715</v>
      </c>
      <c r="D5905" s="2" t="str">
        <f>TEXT(Table3[[#This Row],[usage_date]],"mmmm")</f>
        <v>June</v>
      </c>
      <c r="E5905" s="9">
        <f>YEAR(Table3[[#This Row],[usage_date]])</f>
        <v>2022</v>
      </c>
      <c r="F5905" s="14">
        <v>6.78</v>
      </c>
      <c r="G5905">
        <v>30</v>
      </c>
      <c r="H5905" t="s">
        <v>12</v>
      </c>
      <c r="I5905" t="str">
        <f t="shared" si="92"/>
        <v>High Usage</v>
      </c>
    </row>
    <row r="5906" spans="1:9" x14ac:dyDescent="0.3">
      <c r="A5906">
        <v>15905</v>
      </c>
      <c r="B5906">
        <v>215</v>
      </c>
      <c r="C5906" s="2">
        <v>44810</v>
      </c>
      <c r="D5906" s="2" t="str">
        <f>TEXT(Table3[[#This Row],[usage_date]],"mmmm")</f>
        <v>September</v>
      </c>
      <c r="E5906" s="9">
        <f>YEAR(Table3[[#This Row],[usage_date]])</f>
        <v>2022</v>
      </c>
      <c r="F5906" s="14">
        <v>0.09</v>
      </c>
      <c r="G5906">
        <v>227</v>
      </c>
      <c r="H5906" t="s">
        <v>13</v>
      </c>
      <c r="I5906" t="str">
        <f t="shared" si="92"/>
        <v>Normal Usage</v>
      </c>
    </row>
    <row r="5907" spans="1:9" x14ac:dyDescent="0.3">
      <c r="A5907">
        <v>15906</v>
      </c>
      <c r="B5907">
        <v>134</v>
      </c>
      <c r="C5907" s="2">
        <v>44840</v>
      </c>
      <c r="D5907" s="2" t="str">
        <f>TEXT(Table3[[#This Row],[usage_date]],"mmmm")</f>
        <v>October</v>
      </c>
      <c r="E5907" s="9">
        <f>YEAR(Table3[[#This Row],[usage_date]])</f>
        <v>2022</v>
      </c>
      <c r="F5907" s="14">
        <v>3.67</v>
      </c>
      <c r="G5907">
        <v>127</v>
      </c>
      <c r="H5907" t="s">
        <v>12</v>
      </c>
      <c r="I5907" t="str">
        <f t="shared" si="92"/>
        <v>Normal Usage</v>
      </c>
    </row>
    <row r="5908" spans="1:9" x14ac:dyDescent="0.3">
      <c r="A5908">
        <v>15907</v>
      </c>
      <c r="B5908">
        <v>285</v>
      </c>
      <c r="C5908" s="2">
        <v>45001</v>
      </c>
      <c r="D5908" s="2" t="str">
        <f>TEXT(Table3[[#This Row],[usage_date]],"mmmm")</f>
        <v>March</v>
      </c>
      <c r="E5908" s="9">
        <f>YEAR(Table3[[#This Row],[usage_date]])</f>
        <v>2023</v>
      </c>
      <c r="F5908" s="14">
        <v>3.21</v>
      </c>
      <c r="G5908">
        <v>269</v>
      </c>
      <c r="H5908" t="s">
        <v>12</v>
      </c>
      <c r="I5908" t="str">
        <f t="shared" si="92"/>
        <v>Normal Usage</v>
      </c>
    </row>
    <row r="5909" spans="1:9" x14ac:dyDescent="0.3">
      <c r="A5909">
        <v>15908</v>
      </c>
      <c r="B5909">
        <v>126</v>
      </c>
      <c r="C5909" s="2">
        <v>45377</v>
      </c>
      <c r="D5909" s="2" t="str">
        <f>TEXT(Table3[[#This Row],[usage_date]],"mmmm")</f>
        <v>March</v>
      </c>
      <c r="E5909" s="9">
        <f>YEAR(Table3[[#This Row],[usage_date]])</f>
        <v>2024</v>
      </c>
      <c r="F5909" s="14">
        <v>8.31</v>
      </c>
      <c r="G5909">
        <v>269</v>
      </c>
      <c r="H5909" t="s">
        <v>13</v>
      </c>
      <c r="I5909" t="str">
        <f t="shared" si="92"/>
        <v>High Usage</v>
      </c>
    </row>
    <row r="5910" spans="1:9" x14ac:dyDescent="0.3">
      <c r="A5910">
        <v>15909</v>
      </c>
      <c r="B5910">
        <v>409</v>
      </c>
      <c r="C5910" s="2">
        <v>44837</v>
      </c>
      <c r="D5910" s="2" t="str">
        <f>TEXT(Table3[[#This Row],[usage_date]],"mmmm")</f>
        <v>October</v>
      </c>
      <c r="E5910" s="9">
        <f>YEAR(Table3[[#This Row],[usage_date]])</f>
        <v>2022</v>
      </c>
      <c r="F5910" s="14">
        <v>6.67</v>
      </c>
      <c r="G5910">
        <v>208</v>
      </c>
      <c r="H5910" t="s">
        <v>12</v>
      </c>
      <c r="I5910" t="str">
        <f t="shared" si="92"/>
        <v>High Usage</v>
      </c>
    </row>
    <row r="5911" spans="1:9" x14ac:dyDescent="0.3">
      <c r="A5911">
        <v>15910</v>
      </c>
      <c r="B5911">
        <v>439</v>
      </c>
      <c r="C5911" s="2">
        <v>45075</v>
      </c>
      <c r="D5911" s="2" t="str">
        <f>TEXT(Table3[[#This Row],[usage_date]],"mmmm")</f>
        <v>May</v>
      </c>
      <c r="E5911" s="9">
        <f>YEAR(Table3[[#This Row],[usage_date]])</f>
        <v>2023</v>
      </c>
      <c r="F5911" s="14">
        <v>3.59</v>
      </c>
      <c r="G5911">
        <v>177</v>
      </c>
      <c r="H5911" t="s">
        <v>12</v>
      </c>
      <c r="I5911" t="str">
        <f t="shared" si="92"/>
        <v>Normal Usage</v>
      </c>
    </row>
    <row r="5912" spans="1:9" x14ac:dyDescent="0.3">
      <c r="A5912">
        <v>15911</v>
      </c>
      <c r="B5912">
        <v>337</v>
      </c>
      <c r="C5912" s="2">
        <v>44649</v>
      </c>
      <c r="D5912" s="2" t="str">
        <f>TEXT(Table3[[#This Row],[usage_date]],"mmmm")</f>
        <v>March</v>
      </c>
      <c r="E5912" s="9">
        <f>YEAR(Table3[[#This Row],[usage_date]])</f>
        <v>2022</v>
      </c>
      <c r="F5912" s="14">
        <v>1.84</v>
      </c>
      <c r="G5912">
        <v>190</v>
      </c>
      <c r="H5912" t="s">
        <v>12</v>
      </c>
      <c r="I5912" t="str">
        <f t="shared" si="92"/>
        <v>Normal Usage</v>
      </c>
    </row>
    <row r="5913" spans="1:9" x14ac:dyDescent="0.3">
      <c r="A5913">
        <v>15912</v>
      </c>
      <c r="B5913">
        <v>174</v>
      </c>
      <c r="C5913" s="2">
        <v>45360</v>
      </c>
      <c r="D5913" s="2" t="str">
        <f>TEXT(Table3[[#This Row],[usage_date]],"mmmm")</f>
        <v>March</v>
      </c>
      <c r="E5913" s="9">
        <f>YEAR(Table3[[#This Row],[usage_date]])</f>
        <v>2024</v>
      </c>
      <c r="F5913" s="14">
        <v>0.56999999999999995</v>
      </c>
      <c r="G5913">
        <v>67</v>
      </c>
      <c r="H5913" t="s">
        <v>12</v>
      </c>
      <c r="I5913" t="str">
        <f t="shared" si="92"/>
        <v>Normal Usage</v>
      </c>
    </row>
    <row r="5914" spans="1:9" x14ac:dyDescent="0.3">
      <c r="A5914">
        <v>15913</v>
      </c>
      <c r="B5914">
        <v>152</v>
      </c>
      <c r="C5914" s="2">
        <v>45203</v>
      </c>
      <c r="D5914" s="2" t="str">
        <f>TEXT(Table3[[#This Row],[usage_date]],"mmmm")</f>
        <v>October</v>
      </c>
      <c r="E5914" s="9">
        <f>YEAR(Table3[[#This Row],[usage_date]])</f>
        <v>2023</v>
      </c>
      <c r="F5914" s="14">
        <v>1.97</v>
      </c>
      <c r="G5914">
        <v>266</v>
      </c>
      <c r="H5914" t="s">
        <v>12</v>
      </c>
      <c r="I5914" t="str">
        <f t="shared" si="92"/>
        <v>Normal Usage</v>
      </c>
    </row>
    <row r="5915" spans="1:9" x14ac:dyDescent="0.3">
      <c r="A5915">
        <v>15914</v>
      </c>
      <c r="B5915">
        <v>331</v>
      </c>
      <c r="C5915" s="2">
        <v>45066</v>
      </c>
      <c r="D5915" s="2" t="str">
        <f>TEXT(Table3[[#This Row],[usage_date]],"mmmm")</f>
        <v>May</v>
      </c>
      <c r="E5915" s="9">
        <f>YEAR(Table3[[#This Row],[usage_date]])</f>
        <v>2023</v>
      </c>
      <c r="F5915" s="14">
        <v>3.62</v>
      </c>
      <c r="G5915">
        <v>269</v>
      </c>
      <c r="H5915" t="s">
        <v>12</v>
      </c>
      <c r="I5915" t="str">
        <f t="shared" si="92"/>
        <v>Normal Usage</v>
      </c>
    </row>
    <row r="5916" spans="1:9" x14ac:dyDescent="0.3">
      <c r="A5916">
        <v>15915</v>
      </c>
      <c r="B5916">
        <v>26</v>
      </c>
      <c r="C5916" s="2">
        <v>45151</v>
      </c>
      <c r="D5916" s="2" t="str">
        <f>TEXT(Table3[[#This Row],[usage_date]],"mmmm")</f>
        <v>August</v>
      </c>
      <c r="E5916" s="9">
        <f>YEAR(Table3[[#This Row],[usage_date]])</f>
        <v>2023</v>
      </c>
      <c r="F5916" s="14">
        <v>5.65</v>
      </c>
      <c r="G5916">
        <v>127</v>
      </c>
      <c r="H5916" t="s">
        <v>13</v>
      </c>
      <c r="I5916" t="str">
        <f t="shared" si="92"/>
        <v>Normal Usage</v>
      </c>
    </row>
    <row r="5917" spans="1:9" x14ac:dyDescent="0.3">
      <c r="A5917">
        <v>15916</v>
      </c>
      <c r="B5917">
        <v>383</v>
      </c>
      <c r="C5917" s="2">
        <v>45333</v>
      </c>
      <c r="D5917" s="2" t="str">
        <f>TEXT(Table3[[#This Row],[usage_date]],"mmmm")</f>
        <v>February</v>
      </c>
      <c r="E5917" s="9">
        <f>YEAR(Table3[[#This Row],[usage_date]])</f>
        <v>2024</v>
      </c>
      <c r="F5917" s="14">
        <v>3.9</v>
      </c>
      <c r="G5917">
        <v>263</v>
      </c>
      <c r="H5917" t="s">
        <v>12</v>
      </c>
      <c r="I5917" t="str">
        <f t="shared" si="92"/>
        <v>Normal Usage</v>
      </c>
    </row>
    <row r="5918" spans="1:9" x14ac:dyDescent="0.3">
      <c r="A5918">
        <v>15917</v>
      </c>
      <c r="B5918">
        <v>115</v>
      </c>
      <c r="C5918" s="2">
        <v>44802</v>
      </c>
      <c r="D5918" s="2" t="str">
        <f>TEXT(Table3[[#This Row],[usage_date]],"mmmm")</f>
        <v>August</v>
      </c>
      <c r="E5918" s="9">
        <f>YEAR(Table3[[#This Row],[usage_date]])</f>
        <v>2022</v>
      </c>
      <c r="F5918" s="14">
        <v>0.54</v>
      </c>
      <c r="G5918">
        <v>220</v>
      </c>
      <c r="H5918" t="s">
        <v>12</v>
      </c>
      <c r="I5918" t="str">
        <f t="shared" si="92"/>
        <v>Normal Usage</v>
      </c>
    </row>
    <row r="5919" spans="1:9" x14ac:dyDescent="0.3">
      <c r="A5919">
        <v>15918</v>
      </c>
      <c r="B5919">
        <v>382</v>
      </c>
      <c r="C5919" s="2">
        <v>45214</v>
      </c>
      <c r="D5919" s="2" t="str">
        <f>TEXT(Table3[[#This Row],[usage_date]],"mmmm")</f>
        <v>October</v>
      </c>
      <c r="E5919" s="9">
        <f>YEAR(Table3[[#This Row],[usage_date]])</f>
        <v>2023</v>
      </c>
      <c r="F5919" s="14">
        <v>2.29</v>
      </c>
      <c r="G5919">
        <v>241</v>
      </c>
      <c r="H5919" t="s">
        <v>12</v>
      </c>
      <c r="I5919" t="str">
        <f t="shared" si="92"/>
        <v>Normal Usage</v>
      </c>
    </row>
    <row r="5920" spans="1:9" x14ac:dyDescent="0.3">
      <c r="A5920">
        <v>15919</v>
      </c>
      <c r="B5920">
        <v>482</v>
      </c>
      <c r="C5920" s="2">
        <v>45301</v>
      </c>
      <c r="D5920" s="2" t="str">
        <f>TEXT(Table3[[#This Row],[usage_date]],"mmmm")</f>
        <v>January</v>
      </c>
      <c r="E5920" s="9">
        <f>YEAR(Table3[[#This Row],[usage_date]])</f>
        <v>2024</v>
      </c>
      <c r="F5920" s="14">
        <v>1.01</v>
      </c>
      <c r="G5920">
        <v>243</v>
      </c>
      <c r="H5920" t="s">
        <v>12</v>
      </c>
      <c r="I5920" t="str">
        <f t="shared" si="92"/>
        <v>Normal Usage</v>
      </c>
    </row>
    <row r="5921" spans="1:9" x14ac:dyDescent="0.3">
      <c r="A5921">
        <v>15920</v>
      </c>
      <c r="B5921">
        <v>284</v>
      </c>
      <c r="C5921" s="2">
        <v>45236</v>
      </c>
      <c r="D5921" s="2" t="str">
        <f>TEXT(Table3[[#This Row],[usage_date]],"mmmm")</f>
        <v>November</v>
      </c>
      <c r="E5921" s="9">
        <f>YEAR(Table3[[#This Row],[usage_date]])</f>
        <v>2023</v>
      </c>
      <c r="F5921" s="14">
        <v>0.02</v>
      </c>
      <c r="G5921">
        <v>18</v>
      </c>
      <c r="H5921" t="s">
        <v>12</v>
      </c>
      <c r="I5921" t="str">
        <f t="shared" si="92"/>
        <v>Normal Usage</v>
      </c>
    </row>
    <row r="5922" spans="1:9" x14ac:dyDescent="0.3">
      <c r="A5922">
        <v>15921</v>
      </c>
      <c r="B5922">
        <v>387</v>
      </c>
      <c r="C5922" s="2">
        <v>44797</v>
      </c>
      <c r="D5922" s="2" t="str">
        <f>TEXT(Table3[[#This Row],[usage_date]],"mmmm")</f>
        <v>August</v>
      </c>
      <c r="E5922" s="9">
        <f>YEAR(Table3[[#This Row],[usage_date]])</f>
        <v>2022</v>
      </c>
      <c r="F5922" s="14">
        <v>0.56000000000000005</v>
      </c>
      <c r="G5922">
        <v>154</v>
      </c>
      <c r="H5922" t="s">
        <v>13</v>
      </c>
      <c r="I5922" t="str">
        <f t="shared" si="92"/>
        <v>Normal Usage</v>
      </c>
    </row>
    <row r="5923" spans="1:9" x14ac:dyDescent="0.3">
      <c r="A5923">
        <v>15922</v>
      </c>
      <c r="B5923">
        <v>75</v>
      </c>
      <c r="C5923" s="2">
        <v>44689</v>
      </c>
      <c r="D5923" s="2" t="str">
        <f>TEXT(Table3[[#This Row],[usage_date]],"mmmm")</f>
        <v>May</v>
      </c>
      <c r="E5923" s="9">
        <f>YEAR(Table3[[#This Row],[usage_date]])</f>
        <v>2022</v>
      </c>
      <c r="F5923" s="14">
        <v>0.3</v>
      </c>
      <c r="G5923">
        <v>228</v>
      </c>
      <c r="H5923" t="s">
        <v>13</v>
      </c>
      <c r="I5923" t="str">
        <f t="shared" si="92"/>
        <v>Normal Usage</v>
      </c>
    </row>
    <row r="5924" spans="1:9" x14ac:dyDescent="0.3">
      <c r="A5924">
        <v>15923</v>
      </c>
      <c r="B5924">
        <v>166</v>
      </c>
      <c r="C5924" s="2">
        <v>45064</v>
      </c>
      <c r="D5924" s="2" t="str">
        <f>TEXT(Table3[[#This Row],[usage_date]],"mmmm")</f>
        <v>May</v>
      </c>
      <c r="E5924" s="9">
        <f>YEAR(Table3[[#This Row],[usage_date]])</f>
        <v>2023</v>
      </c>
      <c r="F5924" s="14">
        <v>4.62</v>
      </c>
      <c r="G5924">
        <v>57</v>
      </c>
      <c r="H5924" t="s">
        <v>13</v>
      </c>
      <c r="I5924" t="str">
        <f t="shared" si="92"/>
        <v>Normal Usage</v>
      </c>
    </row>
    <row r="5925" spans="1:9" x14ac:dyDescent="0.3">
      <c r="A5925">
        <v>15924</v>
      </c>
      <c r="B5925">
        <v>189</v>
      </c>
      <c r="C5925" s="2">
        <v>44761</v>
      </c>
      <c r="D5925" s="2" t="str">
        <f>TEXT(Table3[[#This Row],[usage_date]],"mmmm")</f>
        <v>July</v>
      </c>
      <c r="E5925" s="9">
        <f>YEAR(Table3[[#This Row],[usage_date]])</f>
        <v>2022</v>
      </c>
      <c r="F5925" s="14">
        <v>0.75</v>
      </c>
      <c r="G5925">
        <v>280</v>
      </c>
      <c r="H5925" t="s">
        <v>12</v>
      </c>
      <c r="I5925" t="str">
        <f t="shared" si="92"/>
        <v>Normal Usage</v>
      </c>
    </row>
    <row r="5926" spans="1:9" x14ac:dyDescent="0.3">
      <c r="A5926">
        <v>15925</v>
      </c>
      <c r="B5926">
        <v>78</v>
      </c>
      <c r="C5926" s="2">
        <v>45104</v>
      </c>
      <c r="D5926" s="2" t="str">
        <f>TEXT(Table3[[#This Row],[usage_date]],"mmmm")</f>
        <v>June</v>
      </c>
      <c r="E5926" s="9">
        <f>YEAR(Table3[[#This Row],[usage_date]])</f>
        <v>2023</v>
      </c>
      <c r="F5926" s="14">
        <v>0.84</v>
      </c>
      <c r="G5926">
        <v>44</v>
      </c>
      <c r="H5926" t="s">
        <v>13</v>
      </c>
      <c r="I5926" t="str">
        <f t="shared" si="92"/>
        <v>Normal Usage</v>
      </c>
    </row>
    <row r="5927" spans="1:9" x14ac:dyDescent="0.3">
      <c r="A5927">
        <v>15926</v>
      </c>
      <c r="B5927">
        <v>435</v>
      </c>
      <c r="C5927" s="2">
        <v>45063</v>
      </c>
      <c r="D5927" s="2" t="str">
        <f>TEXT(Table3[[#This Row],[usage_date]],"mmmm")</f>
        <v>May</v>
      </c>
      <c r="E5927" s="9">
        <f>YEAR(Table3[[#This Row],[usage_date]])</f>
        <v>2023</v>
      </c>
      <c r="F5927" s="14">
        <v>8.0399999999999991</v>
      </c>
      <c r="G5927">
        <v>101</v>
      </c>
      <c r="H5927" t="s">
        <v>13</v>
      </c>
      <c r="I5927" t="str">
        <f t="shared" si="92"/>
        <v>High Usage</v>
      </c>
    </row>
    <row r="5928" spans="1:9" x14ac:dyDescent="0.3">
      <c r="A5928">
        <v>15927</v>
      </c>
      <c r="B5928">
        <v>90</v>
      </c>
      <c r="C5928" s="2">
        <v>45211</v>
      </c>
      <c r="D5928" s="2" t="str">
        <f>TEXT(Table3[[#This Row],[usage_date]],"mmmm")</f>
        <v>October</v>
      </c>
      <c r="E5928" s="9">
        <f>YEAR(Table3[[#This Row],[usage_date]])</f>
        <v>2023</v>
      </c>
      <c r="F5928" s="14">
        <v>1.19</v>
      </c>
      <c r="G5928">
        <v>47</v>
      </c>
      <c r="H5928" t="s">
        <v>12</v>
      </c>
      <c r="I5928" t="str">
        <f t="shared" si="92"/>
        <v>Normal Usage</v>
      </c>
    </row>
    <row r="5929" spans="1:9" x14ac:dyDescent="0.3">
      <c r="A5929">
        <v>15928</v>
      </c>
      <c r="B5929">
        <v>176</v>
      </c>
      <c r="C5929" s="2">
        <v>45053</v>
      </c>
      <c r="D5929" s="2" t="str">
        <f>TEXT(Table3[[#This Row],[usage_date]],"mmmm")</f>
        <v>May</v>
      </c>
      <c r="E5929" s="9">
        <f>YEAR(Table3[[#This Row],[usage_date]])</f>
        <v>2023</v>
      </c>
      <c r="F5929" s="14">
        <v>0.02</v>
      </c>
      <c r="G5929">
        <v>49</v>
      </c>
      <c r="H5929" t="s">
        <v>12</v>
      </c>
      <c r="I5929" t="str">
        <f t="shared" si="92"/>
        <v>Normal Usage</v>
      </c>
    </row>
    <row r="5930" spans="1:9" x14ac:dyDescent="0.3">
      <c r="A5930">
        <v>15929</v>
      </c>
      <c r="B5930">
        <v>21</v>
      </c>
      <c r="C5930" s="2">
        <v>44582</v>
      </c>
      <c r="D5930" s="2" t="str">
        <f>TEXT(Table3[[#This Row],[usage_date]],"mmmm")</f>
        <v>January</v>
      </c>
      <c r="E5930" s="9">
        <f>YEAR(Table3[[#This Row],[usage_date]])</f>
        <v>2022</v>
      </c>
      <c r="F5930" s="14">
        <v>0.83</v>
      </c>
      <c r="G5930">
        <v>80</v>
      </c>
      <c r="H5930" t="s">
        <v>12</v>
      </c>
      <c r="I5930" t="str">
        <f t="shared" si="92"/>
        <v>Normal Usage</v>
      </c>
    </row>
    <row r="5931" spans="1:9" x14ac:dyDescent="0.3">
      <c r="A5931">
        <v>15930</v>
      </c>
      <c r="B5931">
        <v>54</v>
      </c>
      <c r="C5931" s="2">
        <v>44795</v>
      </c>
      <c r="D5931" s="2" t="str">
        <f>TEXT(Table3[[#This Row],[usage_date]],"mmmm")</f>
        <v>August</v>
      </c>
      <c r="E5931" s="9">
        <f>YEAR(Table3[[#This Row],[usage_date]])</f>
        <v>2022</v>
      </c>
      <c r="F5931" s="14">
        <v>0.32</v>
      </c>
      <c r="G5931">
        <v>299</v>
      </c>
      <c r="H5931" t="s">
        <v>12</v>
      </c>
      <c r="I5931" t="str">
        <f t="shared" si="92"/>
        <v>Normal Usage</v>
      </c>
    </row>
    <row r="5932" spans="1:9" x14ac:dyDescent="0.3">
      <c r="A5932">
        <v>15931</v>
      </c>
      <c r="B5932">
        <v>184</v>
      </c>
      <c r="C5932" s="2">
        <v>45275</v>
      </c>
      <c r="D5932" s="2" t="str">
        <f>TEXT(Table3[[#This Row],[usage_date]],"mmmm")</f>
        <v>December</v>
      </c>
      <c r="E5932" s="9">
        <f>YEAR(Table3[[#This Row],[usage_date]])</f>
        <v>2023</v>
      </c>
      <c r="F5932" s="14">
        <v>0.27</v>
      </c>
      <c r="G5932">
        <v>58</v>
      </c>
      <c r="H5932" t="s">
        <v>13</v>
      </c>
      <c r="I5932" t="str">
        <f t="shared" si="92"/>
        <v>Normal Usage</v>
      </c>
    </row>
    <row r="5933" spans="1:9" x14ac:dyDescent="0.3">
      <c r="A5933">
        <v>15932</v>
      </c>
      <c r="B5933">
        <v>359</v>
      </c>
      <c r="C5933" s="2">
        <v>45352</v>
      </c>
      <c r="D5933" s="2" t="str">
        <f>TEXT(Table3[[#This Row],[usage_date]],"mmmm")</f>
        <v>March</v>
      </c>
      <c r="E5933" s="9">
        <f>YEAR(Table3[[#This Row],[usage_date]])</f>
        <v>2024</v>
      </c>
      <c r="F5933" s="14">
        <v>0.2</v>
      </c>
      <c r="G5933">
        <v>160</v>
      </c>
      <c r="H5933" t="s">
        <v>12</v>
      </c>
      <c r="I5933" t="str">
        <f t="shared" si="92"/>
        <v>Normal Usage</v>
      </c>
    </row>
    <row r="5934" spans="1:9" x14ac:dyDescent="0.3">
      <c r="A5934">
        <v>15933</v>
      </c>
      <c r="B5934">
        <v>222</v>
      </c>
      <c r="C5934" s="2">
        <v>45204</v>
      </c>
      <c r="D5934" s="2" t="str">
        <f>TEXT(Table3[[#This Row],[usage_date]],"mmmm")</f>
        <v>October</v>
      </c>
      <c r="E5934" s="9">
        <f>YEAR(Table3[[#This Row],[usage_date]])</f>
        <v>2023</v>
      </c>
      <c r="F5934" s="14">
        <v>2.25</v>
      </c>
      <c r="G5934">
        <v>102</v>
      </c>
      <c r="H5934" t="s">
        <v>12</v>
      </c>
      <c r="I5934" t="str">
        <f t="shared" si="92"/>
        <v>Normal Usage</v>
      </c>
    </row>
    <row r="5935" spans="1:9" x14ac:dyDescent="0.3">
      <c r="A5935">
        <v>15934</v>
      </c>
      <c r="B5935">
        <v>315</v>
      </c>
      <c r="C5935" s="2">
        <v>44977</v>
      </c>
      <c r="D5935" s="2" t="str">
        <f>TEXT(Table3[[#This Row],[usage_date]],"mmmm")</f>
        <v>February</v>
      </c>
      <c r="E5935" s="9">
        <f>YEAR(Table3[[#This Row],[usage_date]])</f>
        <v>2023</v>
      </c>
      <c r="F5935" s="14">
        <v>0.52</v>
      </c>
      <c r="G5935">
        <v>273</v>
      </c>
      <c r="H5935" t="s">
        <v>12</v>
      </c>
      <c r="I5935" t="str">
        <f t="shared" si="92"/>
        <v>Normal Usage</v>
      </c>
    </row>
    <row r="5936" spans="1:9" x14ac:dyDescent="0.3">
      <c r="A5936">
        <v>15935</v>
      </c>
      <c r="B5936">
        <v>328</v>
      </c>
      <c r="C5936" s="2">
        <v>44709</v>
      </c>
      <c r="D5936" s="2" t="str">
        <f>TEXT(Table3[[#This Row],[usage_date]],"mmmm")</f>
        <v>May</v>
      </c>
      <c r="E5936" s="9">
        <f>YEAR(Table3[[#This Row],[usage_date]])</f>
        <v>2022</v>
      </c>
      <c r="F5936" s="14">
        <v>1.1200000000000001</v>
      </c>
      <c r="G5936">
        <v>182</v>
      </c>
      <c r="H5936" t="s">
        <v>12</v>
      </c>
      <c r="I5936" t="str">
        <f t="shared" si="92"/>
        <v>Normal Usage</v>
      </c>
    </row>
    <row r="5937" spans="1:9" x14ac:dyDescent="0.3">
      <c r="A5937">
        <v>15936</v>
      </c>
      <c r="B5937">
        <v>179</v>
      </c>
      <c r="C5937" s="2">
        <v>44590</v>
      </c>
      <c r="D5937" s="2" t="str">
        <f>TEXT(Table3[[#This Row],[usage_date]],"mmmm")</f>
        <v>January</v>
      </c>
      <c r="E5937" s="9">
        <f>YEAR(Table3[[#This Row],[usage_date]])</f>
        <v>2022</v>
      </c>
      <c r="F5937" s="14">
        <v>4.95</v>
      </c>
      <c r="G5937">
        <v>115</v>
      </c>
      <c r="H5937" t="s">
        <v>12</v>
      </c>
      <c r="I5937" t="str">
        <f t="shared" si="92"/>
        <v>Normal Usage</v>
      </c>
    </row>
    <row r="5938" spans="1:9" x14ac:dyDescent="0.3">
      <c r="A5938">
        <v>15937</v>
      </c>
      <c r="B5938">
        <v>276</v>
      </c>
      <c r="C5938" s="2">
        <v>44922</v>
      </c>
      <c r="D5938" s="2" t="str">
        <f>TEXT(Table3[[#This Row],[usage_date]],"mmmm")</f>
        <v>December</v>
      </c>
      <c r="E5938" s="9">
        <f>YEAR(Table3[[#This Row],[usage_date]])</f>
        <v>2022</v>
      </c>
      <c r="F5938" s="14">
        <v>1.38</v>
      </c>
      <c r="G5938">
        <v>266</v>
      </c>
      <c r="H5938" t="s">
        <v>13</v>
      </c>
      <c r="I5938" t="str">
        <f t="shared" si="92"/>
        <v>Normal Usage</v>
      </c>
    </row>
    <row r="5939" spans="1:9" x14ac:dyDescent="0.3">
      <c r="A5939">
        <v>15938</v>
      </c>
      <c r="B5939">
        <v>112</v>
      </c>
      <c r="C5939" s="2">
        <v>44869</v>
      </c>
      <c r="D5939" s="2" t="str">
        <f>TEXT(Table3[[#This Row],[usage_date]],"mmmm")</f>
        <v>November</v>
      </c>
      <c r="E5939" s="9">
        <f>YEAR(Table3[[#This Row],[usage_date]])</f>
        <v>2022</v>
      </c>
      <c r="F5939" s="14">
        <v>6.18</v>
      </c>
      <c r="G5939">
        <v>163</v>
      </c>
      <c r="H5939" t="s">
        <v>12</v>
      </c>
      <c r="I5939" t="str">
        <f t="shared" si="92"/>
        <v>High Usage</v>
      </c>
    </row>
    <row r="5940" spans="1:9" x14ac:dyDescent="0.3">
      <c r="A5940">
        <v>15939</v>
      </c>
      <c r="B5940">
        <v>224</v>
      </c>
      <c r="C5940" s="2">
        <v>45444</v>
      </c>
      <c r="D5940" s="2" t="str">
        <f>TEXT(Table3[[#This Row],[usage_date]],"mmmm")</f>
        <v>June</v>
      </c>
      <c r="E5940" s="9">
        <f>YEAR(Table3[[#This Row],[usage_date]])</f>
        <v>2024</v>
      </c>
      <c r="F5940" s="14">
        <v>1.72</v>
      </c>
      <c r="G5940">
        <v>142</v>
      </c>
      <c r="H5940" t="s">
        <v>13</v>
      </c>
      <c r="I5940" t="str">
        <f t="shared" si="92"/>
        <v>Normal Usage</v>
      </c>
    </row>
    <row r="5941" spans="1:9" x14ac:dyDescent="0.3">
      <c r="A5941">
        <v>15940</v>
      </c>
      <c r="B5941">
        <v>214</v>
      </c>
      <c r="C5941" s="2">
        <v>44723</v>
      </c>
      <c r="D5941" s="2" t="str">
        <f>TEXT(Table3[[#This Row],[usage_date]],"mmmm")</f>
        <v>June</v>
      </c>
      <c r="E5941" s="9">
        <f>YEAR(Table3[[#This Row],[usage_date]])</f>
        <v>2022</v>
      </c>
      <c r="F5941" s="14">
        <v>1.27</v>
      </c>
      <c r="G5941">
        <v>93</v>
      </c>
      <c r="H5941" t="s">
        <v>12</v>
      </c>
      <c r="I5941" t="str">
        <f t="shared" si="92"/>
        <v>Normal Usage</v>
      </c>
    </row>
    <row r="5942" spans="1:9" x14ac:dyDescent="0.3">
      <c r="A5942">
        <v>15941</v>
      </c>
      <c r="B5942">
        <v>59</v>
      </c>
      <c r="C5942" s="2">
        <v>45430</v>
      </c>
      <c r="D5942" s="2" t="str">
        <f>TEXT(Table3[[#This Row],[usage_date]],"mmmm")</f>
        <v>May</v>
      </c>
      <c r="E5942" s="9">
        <f>YEAR(Table3[[#This Row],[usage_date]])</f>
        <v>2024</v>
      </c>
      <c r="F5942" s="14">
        <v>3.47</v>
      </c>
      <c r="G5942">
        <v>249</v>
      </c>
      <c r="H5942" t="s">
        <v>12</v>
      </c>
      <c r="I5942" t="str">
        <f t="shared" si="92"/>
        <v>Normal Usage</v>
      </c>
    </row>
    <row r="5943" spans="1:9" x14ac:dyDescent="0.3">
      <c r="A5943">
        <v>15942</v>
      </c>
      <c r="B5943">
        <v>327</v>
      </c>
      <c r="C5943" s="2">
        <v>45413</v>
      </c>
      <c r="D5943" s="2" t="str">
        <f>TEXT(Table3[[#This Row],[usage_date]],"mmmm")</f>
        <v>May</v>
      </c>
      <c r="E5943" s="9">
        <f>YEAR(Table3[[#This Row],[usage_date]])</f>
        <v>2024</v>
      </c>
      <c r="F5943" s="14">
        <v>0.19</v>
      </c>
      <c r="G5943">
        <v>239</v>
      </c>
      <c r="H5943" t="s">
        <v>12</v>
      </c>
      <c r="I5943" t="str">
        <f t="shared" si="92"/>
        <v>Normal Usage</v>
      </c>
    </row>
    <row r="5944" spans="1:9" x14ac:dyDescent="0.3">
      <c r="A5944">
        <v>15943</v>
      </c>
      <c r="B5944">
        <v>393</v>
      </c>
      <c r="C5944" s="2">
        <v>44622</v>
      </c>
      <c r="D5944" s="2" t="str">
        <f>TEXT(Table3[[#This Row],[usage_date]],"mmmm")</f>
        <v>March</v>
      </c>
      <c r="E5944" s="9">
        <f>YEAR(Table3[[#This Row],[usage_date]])</f>
        <v>2022</v>
      </c>
      <c r="F5944" s="14">
        <v>0.23</v>
      </c>
      <c r="G5944">
        <v>58</v>
      </c>
      <c r="H5944" t="s">
        <v>13</v>
      </c>
      <c r="I5944" t="str">
        <f t="shared" si="92"/>
        <v>Normal Usage</v>
      </c>
    </row>
    <row r="5945" spans="1:9" x14ac:dyDescent="0.3">
      <c r="A5945">
        <v>15944</v>
      </c>
      <c r="B5945">
        <v>109</v>
      </c>
      <c r="C5945" s="2">
        <v>44686</v>
      </c>
      <c r="D5945" s="2" t="str">
        <f>TEXT(Table3[[#This Row],[usage_date]],"mmmm")</f>
        <v>May</v>
      </c>
      <c r="E5945" s="9">
        <f>YEAR(Table3[[#This Row],[usage_date]])</f>
        <v>2022</v>
      </c>
      <c r="F5945" s="14">
        <v>2.64</v>
      </c>
      <c r="G5945">
        <v>14</v>
      </c>
      <c r="H5945" t="s">
        <v>12</v>
      </c>
      <c r="I5945" t="str">
        <f t="shared" si="92"/>
        <v>Normal Usage</v>
      </c>
    </row>
    <row r="5946" spans="1:9" x14ac:dyDescent="0.3">
      <c r="A5946">
        <v>15945</v>
      </c>
      <c r="B5946">
        <v>385</v>
      </c>
      <c r="C5946" s="2">
        <v>45017</v>
      </c>
      <c r="D5946" s="2" t="str">
        <f>TEXT(Table3[[#This Row],[usage_date]],"mmmm")</f>
        <v>April</v>
      </c>
      <c r="E5946" s="9">
        <f>YEAR(Table3[[#This Row],[usage_date]])</f>
        <v>2023</v>
      </c>
      <c r="F5946" s="14">
        <v>1.67</v>
      </c>
      <c r="G5946">
        <v>284</v>
      </c>
      <c r="H5946" t="s">
        <v>12</v>
      </c>
      <c r="I5946" t="str">
        <f t="shared" si="92"/>
        <v>Normal Usage</v>
      </c>
    </row>
    <row r="5947" spans="1:9" x14ac:dyDescent="0.3">
      <c r="A5947">
        <v>15946</v>
      </c>
      <c r="B5947">
        <v>157</v>
      </c>
      <c r="C5947" s="2">
        <v>44632</v>
      </c>
      <c r="D5947" s="2" t="str">
        <f>TEXT(Table3[[#This Row],[usage_date]],"mmmm")</f>
        <v>March</v>
      </c>
      <c r="E5947" s="9">
        <f>YEAR(Table3[[#This Row],[usage_date]])</f>
        <v>2022</v>
      </c>
      <c r="F5947" s="14">
        <v>3.91</v>
      </c>
      <c r="G5947">
        <v>202</v>
      </c>
      <c r="H5947" t="s">
        <v>12</v>
      </c>
      <c r="I5947" t="str">
        <f t="shared" si="92"/>
        <v>Normal Usage</v>
      </c>
    </row>
    <row r="5948" spans="1:9" x14ac:dyDescent="0.3">
      <c r="A5948">
        <v>15947</v>
      </c>
      <c r="B5948">
        <v>191</v>
      </c>
      <c r="C5948" s="2">
        <v>45399</v>
      </c>
      <c r="D5948" s="2" t="str">
        <f>TEXT(Table3[[#This Row],[usage_date]],"mmmm")</f>
        <v>April</v>
      </c>
      <c r="E5948" s="9">
        <f>YEAR(Table3[[#This Row],[usage_date]])</f>
        <v>2024</v>
      </c>
      <c r="F5948" s="14">
        <v>6.2</v>
      </c>
      <c r="G5948">
        <v>236</v>
      </c>
      <c r="H5948" t="s">
        <v>13</v>
      </c>
      <c r="I5948" t="str">
        <f t="shared" si="92"/>
        <v>High Usage</v>
      </c>
    </row>
    <row r="5949" spans="1:9" x14ac:dyDescent="0.3">
      <c r="A5949">
        <v>15948</v>
      </c>
      <c r="B5949">
        <v>200</v>
      </c>
      <c r="C5949" s="2">
        <v>45437</v>
      </c>
      <c r="D5949" s="2" t="str">
        <f>TEXT(Table3[[#This Row],[usage_date]],"mmmm")</f>
        <v>May</v>
      </c>
      <c r="E5949" s="9">
        <f>YEAR(Table3[[#This Row],[usage_date]])</f>
        <v>2024</v>
      </c>
      <c r="F5949" s="14">
        <v>1.23</v>
      </c>
      <c r="G5949">
        <v>295</v>
      </c>
      <c r="H5949" t="s">
        <v>12</v>
      </c>
      <c r="I5949" t="str">
        <f t="shared" si="92"/>
        <v>Normal Usage</v>
      </c>
    </row>
    <row r="5950" spans="1:9" x14ac:dyDescent="0.3">
      <c r="A5950">
        <v>15949</v>
      </c>
      <c r="B5950">
        <v>312</v>
      </c>
      <c r="C5950" s="2">
        <v>45027</v>
      </c>
      <c r="D5950" s="2" t="str">
        <f>TEXT(Table3[[#This Row],[usage_date]],"mmmm")</f>
        <v>April</v>
      </c>
      <c r="E5950" s="9">
        <f>YEAR(Table3[[#This Row],[usage_date]])</f>
        <v>2023</v>
      </c>
      <c r="F5950" s="14">
        <v>2.27</v>
      </c>
      <c r="G5950">
        <v>286</v>
      </c>
      <c r="H5950" t="s">
        <v>12</v>
      </c>
      <c r="I5950" t="str">
        <f t="shared" si="92"/>
        <v>Normal Usage</v>
      </c>
    </row>
    <row r="5951" spans="1:9" x14ac:dyDescent="0.3">
      <c r="A5951">
        <v>15950</v>
      </c>
      <c r="B5951">
        <v>196</v>
      </c>
      <c r="C5951" s="2">
        <v>44804</v>
      </c>
      <c r="D5951" s="2" t="str">
        <f>TEXT(Table3[[#This Row],[usage_date]],"mmmm")</f>
        <v>August</v>
      </c>
      <c r="E5951" s="9">
        <f>YEAR(Table3[[#This Row],[usage_date]])</f>
        <v>2022</v>
      </c>
      <c r="F5951" s="14">
        <v>1.74</v>
      </c>
      <c r="G5951">
        <v>72</v>
      </c>
      <c r="H5951" t="s">
        <v>12</v>
      </c>
      <c r="I5951" t="str">
        <f t="shared" si="92"/>
        <v>Normal Usage</v>
      </c>
    </row>
    <row r="5952" spans="1:9" x14ac:dyDescent="0.3">
      <c r="A5952">
        <v>15951</v>
      </c>
      <c r="B5952">
        <v>35</v>
      </c>
      <c r="C5952" s="2">
        <v>45051</v>
      </c>
      <c r="D5952" s="2" t="str">
        <f>TEXT(Table3[[#This Row],[usage_date]],"mmmm")</f>
        <v>May</v>
      </c>
      <c r="E5952" s="9">
        <f>YEAR(Table3[[#This Row],[usage_date]])</f>
        <v>2023</v>
      </c>
      <c r="F5952" s="14">
        <v>9.99</v>
      </c>
      <c r="G5952">
        <v>213</v>
      </c>
      <c r="H5952" t="s">
        <v>12</v>
      </c>
      <c r="I5952" t="str">
        <f t="shared" si="92"/>
        <v>High Usage</v>
      </c>
    </row>
    <row r="5953" spans="1:9" x14ac:dyDescent="0.3">
      <c r="A5953">
        <v>15952</v>
      </c>
      <c r="B5953">
        <v>379</v>
      </c>
      <c r="C5953" s="2">
        <v>45322</v>
      </c>
      <c r="D5953" s="2" t="str">
        <f>TEXT(Table3[[#This Row],[usage_date]],"mmmm")</f>
        <v>January</v>
      </c>
      <c r="E5953" s="9">
        <f>YEAR(Table3[[#This Row],[usage_date]])</f>
        <v>2024</v>
      </c>
      <c r="F5953" s="14">
        <v>4.45</v>
      </c>
      <c r="G5953">
        <v>10</v>
      </c>
      <c r="H5953" t="s">
        <v>13</v>
      </c>
      <c r="I5953" t="str">
        <f t="shared" si="92"/>
        <v>Normal Usage</v>
      </c>
    </row>
    <row r="5954" spans="1:9" x14ac:dyDescent="0.3">
      <c r="A5954">
        <v>15953</v>
      </c>
      <c r="B5954">
        <v>387</v>
      </c>
      <c r="C5954" s="2">
        <v>44782</v>
      </c>
      <c r="D5954" s="2" t="str">
        <f>TEXT(Table3[[#This Row],[usage_date]],"mmmm")</f>
        <v>August</v>
      </c>
      <c r="E5954" s="9">
        <f>YEAR(Table3[[#This Row],[usage_date]])</f>
        <v>2022</v>
      </c>
      <c r="F5954" s="14">
        <v>6.07</v>
      </c>
      <c r="G5954">
        <v>224</v>
      </c>
      <c r="H5954" t="s">
        <v>13</v>
      </c>
      <c r="I5954" t="str">
        <f t="shared" ref="I5954:I6001" si="93">IF(F5954&gt;6,"High Usage","Normal Usage")</f>
        <v>High Usage</v>
      </c>
    </row>
    <row r="5955" spans="1:9" x14ac:dyDescent="0.3">
      <c r="A5955">
        <v>15954</v>
      </c>
      <c r="B5955">
        <v>246</v>
      </c>
      <c r="C5955" s="2">
        <v>45034</v>
      </c>
      <c r="D5955" s="2" t="str">
        <f>TEXT(Table3[[#This Row],[usage_date]],"mmmm")</f>
        <v>April</v>
      </c>
      <c r="E5955" s="9">
        <f>YEAR(Table3[[#This Row],[usage_date]])</f>
        <v>2023</v>
      </c>
      <c r="F5955" s="14">
        <v>0.73</v>
      </c>
      <c r="G5955">
        <v>202</v>
      </c>
      <c r="H5955" t="s">
        <v>12</v>
      </c>
      <c r="I5955" t="str">
        <f t="shared" si="93"/>
        <v>Normal Usage</v>
      </c>
    </row>
    <row r="5956" spans="1:9" x14ac:dyDescent="0.3">
      <c r="A5956">
        <v>15955</v>
      </c>
      <c r="B5956">
        <v>237</v>
      </c>
      <c r="C5956" s="2">
        <v>45094</v>
      </c>
      <c r="D5956" s="2" t="str">
        <f>TEXT(Table3[[#This Row],[usage_date]],"mmmm")</f>
        <v>June</v>
      </c>
      <c r="E5956" s="9">
        <f>YEAR(Table3[[#This Row],[usage_date]])</f>
        <v>2023</v>
      </c>
      <c r="F5956" s="14">
        <v>3.7</v>
      </c>
      <c r="G5956">
        <v>230</v>
      </c>
      <c r="H5956" t="s">
        <v>13</v>
      </c>
      <c r="I5956" t="str">
        <f t="shared" si="93"/>
        <v>Normal Usage</v>
      </c>
    </row>
    <row r="5957" spans="1:9" x14ac:dyDescent="0.3">
      <c r="A5957">
        <v>15956</v>
      </c>
      <c r="B5957">
        <v>104</v>
      </c>
      <c r="C5957" s="2">
        <v>45055</v>
      </c>
      <c r="D5957" s="2" t="str">
        <f>TEXT(Table3[[#This Row],[usage_date]],"mmmm")</f>
        <v>May</v>
      </c>
      <c r="E5957" s="9">
        <f>YEAR(Table3[[#This Row],[usage_date]])</f>
        <v>2023</v>
      </c>
      <c r="F5957" s="14">
        <v>0.77</v>
      </c>
      <c r="G5957">
        <v>50</v>
      </c>
      <c r="H5957" t="s">
        <v>13</v>
      </c>
      <c r="I5957" t="str">
        <f t="shared" si="93"/>
        <v>Normal Usage</v>
      </c>
    </row>
    <row r="5958" spans="1:9" x14ac:dyDescent="0.3">
      <c r="A5958">
        <v>15957</v>
      </c>
      <c r="B5958">
        <v>7</v>
      </c>
      <c r="C5958" s="2">
        <v>45460</v>
      </c>
      <c r="D5958" s="2" t="str">
        <f>TEXT(Table3[[#This Row],[usage_date]],"mmmm")</f>
        <v>June</v>
      </c>
      <c r="E5958" s="9">
        <f>YEAR(Table3[[#This Row],[usage_date]])</f>
        <v>2024</v>
      </c>
      <c r="F5958" s="14">
        <v>0.59</v>
      </c>
      <c r="G5958">
        <v>56</v>
      </c>
      <c r="H5958" t="s">
        <v>12</v>
      </c>
      <c r="I5958" t="str">
        <f t="shared" si="93"/>
        <v>Normal Usage</v>
      </c>
    </row>
    <row r="5959" spans="1:9" x14ac:dyDescent="0.3">
      <c r="A5959">
        <v>15958</v>
      </c>
      <c r="B5959">
        <v>283</v>
      </c>
      <c r="C5959" s="2">
        <v>44643</v>
      </c>
      <c r="D5959" s="2" t="str">
        <f>TEXT(Table3[[#This Row],[usage_date]],"mmmm")</f>
        <v>March</v>
      </c>
      <c r="E5959" s="9">
        <f>YEAR(Table3[[#This Row],[usage_date]])</f>
        <v>2022</v>
      </c>
      <c r="F5959" s="14">
        <v>7.22</v>
      </c>
      <c r="G5959">
        <v>131</v>
      </c>
      <c r="H5959" t="s">
        <v>13</v>
      </c>
      <c r="I5959" t="str">
        <f t="shared" si="93"/>
        <v>High Usage</v>
      </c>
    </row>
    <row r="5960" spans="1:9" x14ac:dyDescent="0.3">
      <c r="A5960">
        <v>15959</v>
      </c>
      <c r="B5960">
        <v>1</v>
      </c>
      <c r="C5960" s="2">
        <v>45417</v>
      </c>
      <c r="D5960" s="2" t="str">
        <f>TEXT(Table3[[#This Row],[usage_date]],"mmmm")</f>
        <v>May</v>
      </c>
      <c r="E5960" s="9">
        <f>YEAR(Table3[[#This Row],[usage_date]])</f>
        <v>2024</v>
      </c>
      <c r="F5960" s="14">
        <v>0.05</v>
      </c>
      <c r="G5960">
        <v>279</v>
      </c>
      <c r="H5960" t="s">
        <v>12</v>
      </c>
      <c r="I5960" t="str">
        <f t="shared" si="93"/>
        <v>Normal Usage</v>
      </c>
    </row>
    <row r="5961" spans="1:9" x14ac:dyDescent="0.3">
      <c r="A5961">
        <v>15960</v>
      </c>
      <c r="B5961">
        <v>219</v>
      </c>
      <c r="C5961" s="2">
        <v>45440</v>
      </c>
      <c r="D5961" s="2" t="str">
        <f>TEXT(Table3[[#This Row],[usage_date]],"mmmm")</f>
        <v>May</v>
      </c>
      <c r="E5961" s="9">
        <f>YEAR(Table3[[#This Row],[usage_date]])</f>
        <v>2024</v>
      </c>
      <c r="F5961" s="14">
        <v>8.41</v>
      </c>
      <c r="G5961">
        <v>296</v>
      </c>
      <c r="H5961" t="s">
        <v>12</v>
      </c>
      <c r="I5961" t="str">
        <f t="shared" si="93"/>
        <v>High Usage</v>
      </c>
    </row>
    <row r="5962" spans="1:9" x14ac:dyDescent="0.3">
      <c r="A5962">
        <v>15961</v>
      </c>
      <c r="B5962">
        <v>464</v>
      </c>
      <c r="C5962" s="2">
        <v>45083</v>
      </c>
      <c r="D5962" s="2" t="str">
        <f>TEXT(Table3[[#This Row],[usage_date]],"mmmm")</f>
        <v>June</v>
      </c>
      <c r="E5962" s="9">
        <f>YEAR(Table3[[#This Row],[usage_date]])</f>
        <v>2023</v>
      </c>
      <c r="F5962" s="14">
        <v>0.4</v>
      </c>
      <c r="G5962">
        <v>224</v>
      </c>
      <c r="H5962" t="s">
        <v>12</v>
      </c>
      <c r="I5962" t="str">
        <f t="shared" si="93"/>
        <v>Normal Usage</v>
      </c>
    </row>
    <row r="5963" spans="1:9" x14ac:dyDescent="0.3">
      <c r="A5963">
        <v>15962</v>
      </c>
      <c r="B5963">
        <v>230</v>
      </c>
      <c r="C5963" s="2">
        <v>44573</v>
      </c>
      <c r="D5963" s="2" t="str">
        <f>TEXT(Table3[[#This Row],[usage_date]],"mmmm")</f>
        <v>January</v>
      </c>
      <c r="E5963" s="9">
        <f>YEAR(Table3[[#This Row],[usage_date]])</f>
        <v>2022</v>
      </c>
      <c r="F5963" s="14">
        <v>4.28</v>
      </c>
      <c r="G5963">
        <v>173</v>
      </c>
      <c r="H5963" t="s">
        <v>12</v>
      </c>
      <c r="I5963" t="str">
        <f t="shared" si="93"/>
        <v>Normal Usage</v>
      </c>
    </row>
    <row r="5964" spans="1:9" x14ac:dyDescent="0.3">
      <c r="A5964">
        <v>15963</v>
      </c>
      <c r="B5964">
        <v>455</v>
      </c>
      <c r="C5964" s="2">
        <v>44824</v>
      </c>
      <c r="D5964" s="2" t="str">
        <f>TEXT(Table3[[#This Row],[usage_date]],"mmmm")</f>
        <v>September</v>
      </c>
      <c r="E5964" s="9">
        <f>YEAR(Table3[[#This Row],[usage_date]])</f>
        <v>2022</v>
      </c>
      <c r="F5964" s="14">
        <v>0.81</v>
      </c>
      <c r="G5964">
        <v>291</v>
      </c>
      <c r="H5964" t="s">
        <v>12</v>
      </c>
      <c r="I5964" t="str">
        <f t="shared" si="93"/>
        <v>Normal Usage</v>
      </c>
    </row>
    <row r="5965" spans="1:9" x14ac:dyDescent="0.3">
      <c r="A5965">
        <v>15964</v>
      </c>
      <c r="B5965">
        <v>172</v>
      </c>
      <c r="C5965" s="2">
        <v>45218</v>
      </c>
      <c r="D5965" s="2" t="str">
        <f>TEXT(Table3[[#This Row],[usage_date]],"mmmm")</f>
        <v>October</v>
      </c>
      <c r="E5965" s="9">
        <f>YEAR(Table3[[#This Row],[usage_date]])</f>
        <v>2023</v>
      </c>
      <c r="F5965" s="14">
        <v>1.08</v>
      </c>
      <c r="G5965">
        <v>265</v>
      </c>
      <c r="H5965" t="s">
        <v>13</v>
      </c>
      <c r="I5965" t="str">
        <f t="shared" si="93"/>
        <v>Normal Usage</v>
      </c>
    </row>
    <row r="5966" spans="1:9" x14ac:dyDescent="0.3">
      <c r="A5966">
        <v>15965</v>
      </c>
      <c r="B5966">
        <v>87</v>
      </c>
      <c r="C5966" s="2">
        <v>45010</v>
      </c>
      <c r="D5966" s="2" t="str">
        <f>TEXT(Table3[[#This Row],[usage_date]],"mmmm")</f>
        <v>March</v>
      </c>
      <c r="E5966" s="9">
        <f>YEAR(Table3[[#This Row],[usage_date]])</f>
        <v>2023</v>
      </c>
      <c r="F5966" s="14">
        <v>0.61</v>
      </c>
      <c r="G5966">
        <v>246</v>
      </c>
      <c r="H5966" t="s">
        <v>13</v>
      </c>
      <c r="I5966" t="str">
        <f t="shared" si="93"/>
        <v>Normal Usage</v>
      </c>
    </row>
    <row r="5967" spans="1:9" x14ac:dyDescent="0.3">
      <c r="A5967">
        <v>15966</v>
      </c>
      <c r="B5967">
        <v>41</v>
      </c>
      <c r="C5967" s="2">
        <v>44753</v>
      </c>
      <c r="D5967" s="2" t="str">
        <f>TEXT(Table3[[#This Row],[usage_date]],"mmmm")</f>
        <v>July</v>
      </c>
      <c r="E5967" s="9">
        <f>YEAR(Table3[[#This Row],[usage_date]])</f>
        <v>2022</v>
      </c>
      <c r="F5967" s="14">
        <v>2.2000000000000002</v>
      </c>
      <c r="G5967">
        <v>77</v>
      </c>
      <c r="H5967" t="s">
        <v>13</v>
      </c>
      <c r="I5967" t="str">
        <f t="shared" si="93"/>
        <v>Normal Usage</v>
      </c>
    </row>
    <row r="5968" spans="1:9" x14ac:dyDescent="0.3">
      <c r="A5968">
        <v>15967</v>
      </c>
      <c r="B5968">
        <v>123</v>
      </c>
      <c r="C5968" s="2">
        <v>45323</v>
      </c>
      <c r="D5968" s="2" t="str">
        <f>TEXT(Table3[[#This Row],[usage_date]],"mmmm")</f>
        <v>February</v>
      </c>
      <c r="E5968" s="9">
        <f>YEAR(Table3[[#This Row],[usage_date]])</f>
        <v>2024</v>
      </c>
      <c r="F5968" s="14">
        <v>1.07</v>
      </c>
      <c r="G5968">
        <v>134</v>
      </c>
      <c r="H5968" t="s">
        <v>12</v>
      </c>
      <c r="I5968" t="str">
        <f t="shared" si="93"/>
        <v>Normal Usage</v>
      </c>
    </row>
    <row r="5969" spans="1:9" x14ac:dyDescent="0.3">
      <c r="A5969">
        <v>15968</v>
      </c>
      <c r="B5969">
        <v>331</v>
      </c>
      <c r="C5969" s="2">
        <v>44675</v>
      </c>
      <c r="D5969" s="2" t="str">
        <f>TEXT(Table3[[#This Row],[usage_date]],"mmmm")</f>
        <v>April</v>
      </c>
      <c r="E5969" s="9">
        <f>YEAR(Table3[[#This Row],[usage_date]])</f>
        <v>2022</v>
      </c>
      <c r="F5969" s="14">
        <v>2.68</v>
      </c>
      <c r="G5969">
        <v>139</v>
      </c>
      <c r="H5969" t="s">
        <v>13</v>
      </c>
      <c r="I5969" t="str">
        <f t="shared" si="93"/>
        <v>Normal Usage</v>
      </c>
    </row>
    <row r="5970" spans="1:9" x14ac:dyDescent="0.3">
      <c r="A5970">
        <v>15969</v>
      </c>
      <c r="B5970">
        <v>298</v>
      </c>
      <c r="C5970" s="2">
        <v>44587</v>
      </c>
      <c r="D5970" s="2" t="str">
        <f>TEXT(Table3[[#This Row],[usage_date]],"mmmm")</f>
        <v>January</v>
      </c>
      <c r="E5970" s="9">
        <f>YEAR(Table3[[#This Row],[usage_date]])</f>
        <v>2022</v>
      </c>
      <c r="F5970" s="14">
        <v>0.04</v>
      </c>
      <c r="G5970">
        <v>252</v>
      </c>
      <c r="H5970" t="s">
        <v>12</v>
      </c>
      <c r="I5970" t="str">
        <f t="shared" si="93"/>
        <v>Normal Usage</v>
      </c>
    </row>
    <row r="5971" spans="1:9" x14ac:dyDescent="0.3">
      <c r="A5971">
        <v>15970</v>
      </c>
      <c r="B5971">
        <v>373</v>
      </c>
      <c r="C5971" s="2">
        <v>45344</v>
      </c>
      <c r="D5971" s="2" t="str">
        <f>TEXT(Table3[[#This Row],[usage_date]],"mmmm")</f>
        <v>February</v>
      </c>
      <c r="E5971" s="9">
        <f>YEAR(Table3[[#This Row],[usage_date]])</f>
        <v>2024</v>
      </c>
      <c r="F5971" s="14">
        <v>0.17</v>
      </c>
      <c r="G5971">
        <v>175</v>
      </c>
      <c r="H5971" t="s">
        <v>12</v>
      </c>
      <c r="I5971" t="str">
        <f t="shared" si="93"/>
        <v>Normal Usage</v>
      </c>
    </row>
    <row r="5972" spans="1:9" x14ac:dyDescent="0.3">
      <c r="A5972">
        <v>15971</v>
      </c>
      <c r="B5972">
        <v>417</v>
      </c>
      <c r="C5972" s="2">
        <v>45060</v>
      </c>
      <c r="D5972" s="2" t="str">
        <f>TEXT(Table3[[#This Row],[usage_date]],"mmmm")</f>
        <v>May</v>
      </c>
      <c r="E5972" s="9">
        <f>YEAR(Table3[[#This Row],[usage_date]])</f>
        <v>2023</v>
      </c>
      <c r="F5972" s="14">
        <v>0.26</v>
      </c>
      <c r="G5972">
        <v>59</v>
      </c>
      <c r="H5972" t="s">
        <v>12</v>
      </c>
      <c r="I5972" t="str">
        <f t="shared" si="93"/>
        <v>Normal Usage</v>
      </c>
    </row>
    <row r="5973" spans="1:9" x14ac:dyDescent="0.3">
      <c r="A5973">
        <v>15972</v>
      </c>
      <c r="B5973">
        <v>178</v>
      </c>
      <c r="C5973" s="2">
        <v>45069</v>
      </c>
      <c r="D5973" s="2" t="str">
        <f>TEXT(Table3[[#This Row],[usage_date]],"mmmm")</f>
        <v>May</v>
      </c>
      <c r="E5973" s="9">
        <f>YEAR(Table3[[#This Row],[usage_date]])</f>
        <v>2023</v>
      </c>
      <c r="F5973" s="14">
        <v>1.36</v>
      </c>
      <c r="G5973">
        <v>253</v>
      </c>
      <c r="H5973" t="s">
        <v>12</v>
      </c>
      <c r="I5973" t="str">
        <f t="shared" si="93"/>
        <v>Normal Usage</v>
      </c>
    </row>
    <row r="5974" spans="1:9" x14ac:dyDescent="0.3">
      <c r="A5974">
        <v>15973</v>
      </c>
      <c r="B5974">
        <v>63</v>
      </c>
      <c r="C5974" s="2">
        <v>45106</v>
      </c>
      <c r="D5974" s="2" t="str">
        <f>TEXT(Table3[[#This Row],[usage_date]],"mmmm")</f>
        <v>June</v>
      </c>
      <c r="E5974" s="9">
        <f>YEAR(Table3[[#This Row],[usage_date]])</f>
        <v>2023</v>
      </c>
      <c r="F5974" s="14">
        <v>4.22</v>
      </c>
      <c r="G5974">
        <v>7</v>
      </c>
      <c r="H5974" t="s">
        <v>12</v>
      </c>
      <c r="I5974" t="str">
        <f t="shared" si="93"/>
        <v>Normal Usage</v>
      </c>
    </row>
    <row r="5975" spans="1:9" x14ac:dyDescent="0.3">
      <c r="A5975">
        <v>15974</v>
      </c>
      <c r="B5975">
        <v>484</v>
      </c>
      <c r="C5975" s="2">
        <v>44623</v>
      </c>
      <c r="D5975" s="2" t="str">
        <f>TEXT(Table3[[#This Row],[usage_date]],"mmmm")</f>
        <v>March</v>
      </c>
      <c r="E5975" s="9">
        <f>YEAR(Table3[[#This Row],[usage_date]])</f>
        <v>2022</v>
      </c>
      <c r="F5975" s="14">
        <v>5.48</v>
      </c>
      <c r="G5975">
        <v>106</v>
      </c>
      <c r="H5975" t="s">
        <v>12</v>
      </c>
      <c r="I5975" t="str">
        <f t="shared" si="93"/>
        <v>Normal Usage</v>
      </c>
    </row>
    <row r="5976" spans="1:9" x14ac:dyDescent="0.3">
      <c r="A5976">
        <v>15975</v>
      </c>
      <c r="B5976">
        <v>165</v>
      </c>
      <c r="C5976" s="2">
        <v>44790</v>
      </c>
      <c r="D5976" s="2" t="str">
        <f>TEXT(Table3[[#This Row],[usage_date]],"mmmm")</f>
        <v>August</v>
      </c>
      <c r="E5976" s="9">
        <f>YEAR(Table3[[#This Row],[usage_date]])</f>
        <v>2022</v>
      </c>
      <c r="F5976" s="14">
        <v>0.7</v>
      </c>
      <c r="G5976">
        <v>170</v>
      </c>
      <c r="H5976" t="s">
        <v>13</v>
      </c>
      <c r="I5976" t="str">
        <f t="shared" si="93"/>
        <v>Normal Usage</v>
      </c>
    </row>
    <row r="5977" spans="1:9" x14ac:dyDescent="0.3">
      <c r="A5977">
        <v>15976</v>
      </c>
      <c r="B5977">
        <v>489</v>
      </c>
      <c r="C5977" s="2">
        <v>45376</v>
      </c>
      <c r="D5977" s="2" t="str">
        <f>TEXT(Table3[[#This Row],[usage_date]],"mmmm")</f>
        <v>March</v>
      </c>
      <c r="E5977" s="9">
        <f>YEAR(Table3[[#This Row],[usage_date]])</f>
        <v>2024</v>
      </c>
      <c r="F5977" s="14">
        <v>2.14</v>
      </c>
      <c r="G5977">
        <v>57</v>
      </c>
      <c r="H5977" t="s">
        <v>13</v>
      </c>
      <c r="I5977" t="str">
        <f t="shared" si="93"/>
        <v>Normal Usage</v>
      </c>
    </row>
    <row r="5978" spans="1:9" x14ac:dyDescent="0.3">
      <c r="A5978">
        <v>15977</v>
      </c>
      <c r="B5978">
        <v>187</v>
      </c>
      <c r="C5978" s="2">
        <v>45168</v>
      </c>
      <c r="D5978" s="2" t="str">
        <f>TEXT(Table3[[#This Row],[usage_date]],"mmmm")</f>
        <v>August</v>
      </c>
      <c r="E5978" s="9">
        <f>YEAR(Table3[[#This Row],[usage_date]])</f>
        <v>2023</v>
      </c>
      <c r="F5978" s="14">
        <v>3.66</v>
      </c>
      <c r="G5978">
        <v>289</v>
      </c>
      <c r="H5978" t="s">
        <v>13</v>
      </c>
      <c r="I5978" t="str">
        <f t="shared" si="93"/>
        <v>Normal Usage</v>
      </c>
    </row>
    <row r="5979" spans="1:9" x14ac:dyDescent="0.3">
      <c r="A5979">
        <v>15978</v>
      </c>
      <c r="B5979">
        <v>383</v>
      </c>
      <c r="C5979" s="2">
        <v>44596</v>
      </c>
      <c r="D5979" s="2" t="str">
        <f>TEXT(Table3[[#This Row],[usage_date]],"mmmm")</f>
        <v>February</v>
      </c>
      <c r="E5979" s="9">
        <f>YEAR(Table3[[#This Row],[usage_date]])</f>
        <v>2022</v>
      </c>
      <c r="F5979" s="14">
        <v>0.85</v>
      </c>
      <c r="G5979">
        <v>83</v>
      </c>
      <c r="H5979" t="s">
        <v>12</v>
      </c>
      <c r="I5979" t="str">
        <f t="shared" si="93"/>
        <v>Normal Usage</v>
      </c>
    </row>
    <row r="5980" spans="1:9" x14ac:dyDescent="0.3">
      <c r="A5980">
        <v>15979</v>
      </c>
      <c r="B5980">
        <v>209</v>
      </c>
      <c r="C5980" s="2">
        <v>45266</v>
      </c>
      <c r="D5980" s="2" t="str">
        <f>TEXT(Table3[[#This Row],[usage_date]],"mmmm")</f>
        <v>December</v>
      </c>
      <c r="E5980" s="9">
        <f>YEAR(Table3[[#This Row],[usage_date]])</f>
        <v>2023</v>
      </c>
      <c r="F5980" s="14">
        <v>1.31</v>
      </c>
      <c r="G5980">
        <v>116</v>
      </c>
      <c r="H5980" t="s">
        <v>13</v>
      </c>
      <c r="I5980" t="str">
        <f t="shared" si="93"/>
        <v>Normal Usage</v>
      </c>
    </row>
    <row r="5981" spans="1:9" x14ac:dyDescent="0.3">
      <c r="A5981">
        <v>15980</v>
      </c>
      <c r="B5981">
        <v>227</v>
      </c>
      <c r="C5981" s="2">
        <v>45017</v>
      </c>
      <c r="D5981" s="2" t="str">
        <f>TEXT(Table3[[#This Row],[usage_date]],"mmmm")</f>
        <v>April</v>
      </c>
      <c r="E5981" s="9">
        <f>YEAR(Table3[[#This Row],[usage_date]])</f>
        <v>2023</v>
      </c>
      <c r="F5981" s="14">
        <v>1.86</v>
      </c>
      <c r="G5981">
        <v>199</v>
      </c>
      <c r="H5981" t="s">
        <v>13</v>
      </c>
      <c r="I5981" t="str">
        <f t="shared" si="93"/>
        <v>Normal Usage</v>
      </c>
    </row>
    <row r="5982" spans="1:9" x14ac:dyDescent="0.3">
      <c r="A5982">
        <v>15981</v>
      </c>
      <c r="B5982">
        <v>432</v>
      </c>
      <c r="C5982" s="2">
        <v>45149</v>
      </c>
      <c r="D5982" s="2" t="str">
        <f>TEXT(Table3[[#This Row],[usage_date]],"mmmm")</f>
        <v>August</v>
      </c>
      <c r="E5982" s="9">
        <f>YEAR(Table3[[#This Row],[usage_date]])</f>
        <v>2023</v>
      </c>
      <c r="F5982" s="14">
        <v>0.36</v>
      </c>
      <c r="G5982">
        <v>21</v>
      </c>
      <c r="H5982" t="s">
        <v>12</v>
      </c>
      <c r="I5982" t="str">
        <f t="shared" si="93"/>
        <v>Normal Usage</v>
      </c>
    </row>
    <row r="5983" spans="1:9" x14ac:dyDescent="0.3">
      <c r="A5983">
        <v>15982</v>
      </c>
      <c r="B5983">
        <v>389</v>
      </c>
      <c r="C5983" s="2">
        <v>45452</v>
      </c>
      <c r="D5983" s="2" t="str">
        <f>TEXT(Table3[[#This Row],[usage_date]],"mmmm")</f>
        <v>June</v>
      </c>
      <c r="E5983" s="9">
        <f>YEAR(Table3[[#This Row],[usage_date]])</f>
        <v>2024</v>
      </c>
      <c r="F5983" s="14">
        <v>7.0000000000000007E-2</v>
      </c>
      <c r="G5983">
        <v>218</v>
      </c>
      <c r="H5983" t="s">
        <v>13</v>
      </c>
      <c r="I5983" t="str">
        <f t="shared" si="93"/>
        <v>Normal Usage</v>
      </c>
    </row>
    <row r="5984" spans="1:9" x14ac:dyDescent="0.3">
      <c r="A5984">
        <v>15983</v>
      </c>
      <c r="B5984">
        <v>48</v>
      </c>
      <c r="C5984" s="2">
        <v>45063</v>
      </c>
      <c r="D5984" s="2" t="str">
        <f>TEXT(Table3[[#This Row],[usage_date]],"mmmm")</f>
        <v>May</v>
      </c>
      <c r="E5984" s="9">
        <f>YEAR(Table3[[#This Row],[usage_date]])</f>
        <v>2023</v>
      </c>
      <c r="F5984" s="14">
        <v>0.41</v>
      </c>
      <c r="G5984">
        <v>225</v>
      </c>
      <c r="H5984" t="s">
        <v>12</v>
      </c>
      <c r="I5984" t="str">
        <f t="shared" si="93"/>
        <v>Normal Usage</v>
      </c>
    </row>
    <row r="5985" spans="1:9" x14ac:dyDescent="0.3">
      <c r="A5985">
        <v>15984</v>
      </c>
      <c r="B5985">
        <v>224</v>
      </c>
      <c r="C5985" s="2">
        <v>45322</v>
      </c>
      <c r="D5985" s="2" t="str">
        <f>TEXT(Table3[[#This Row],[usage_date]],"mmmm")</f>
        <v>January</v>
      </c>
      <c r="E5985" s="9">
        <f>YEAR(Table3[[#This Row],[usage_date]])</f>
        <v>2024</v>
      </c>
      <c r="F5985" s="14">
        <v>2.46</v>
      </c>
      <c r="G5985">
        <v>270</v>
      </c>
      <c r="H5985" t="s">
        <v>12</v>
      </c>
      <c r="I5985" t="str">
        <f t="shared" si="93"/>
        <v>Normal Usage</v>
      </c>
    </row>
    <row r="5986" spans="1:9" x14ac:dyDescent="0.3">
      <c r="A5986">
        <v>15985</v>
      </c>
      <c r="B5986">
        <v>3</v>
      </c>
      <c r="C5986" s="2">
        <v>45156</v>
      </c>
      <c r="D5986" s="2" t="str">
        <f>TEXT(Table3[[#This Row],[usage_date]],"mmmm")</f>
        <v>August</v>
      </c>
      <c r="E5986" s="9">
        <f>YEAR(Table3[[#This Row],[usage_date]])</f>
        <v>2023</v>
      </c>
      <c r="F5986" s="14">
        <v>0.19</v>
      </c>
      <c r="G5986">
        <v>101</v>
      </c>
      <c r="H5986" t="s">
        <v>12</v>
      </c>
      <c r="I5986" t="str">
        <f t="shared" si="93"/>
        <v>Normal Usage</v>
      </c>
    </row>
    <row r="5987" spans="1:9" x14ac:dyDescent="0.3">
      <c r="A5987">
        <v>15986</v>
      </c>
      <c r="B5987">
        <v>372</v>
      </c>
      <c r="C5987" s="2">
        <v>44586</v>
      </c>
      <c r="D5987" s="2" t="str">
        <f>TEXT(Table3[[#This Row],[usage_date]],"mmmm")</f>
        <v>January</v>
      </c>
      <c r="E5987" s="9">
        <f>YEAR(Table3[[#This Row],[usage_date]])</f>
        <v>2022</v>
      </c>
      <c r="F5987" s="14">
        <v>0.53</v>
      </c>
      <c r="G5987">
        <v>144</v>
      </c>
      <c r="H5987" t="s">
        <v>12</v>
      </c>
      <c r="I5987" t="str">
        <f t="shared" si="93"/>
        <v>Normal Usage</v>
      </c>
    </row>
    <row r="5988" spans="1:9" x14ac:dyDescent="0.3">
      <c r="A5988">
        <v>15987</v>
      </c>
      <c r="B5988">
        <v>175</v>
      </c>
      <c r="C5988" s="2">
        <v>45130</v>
      </c>
      <c r="D5988" s="2" t="str">
        <f>TEXT(Table3[[#This Row],[usage_date]],"mmmm")</f>
        <v>July</v>
      </c>
      <c r="E5988" s="9">
        <f>YEAR(Table3[[#This Row],[usage_date]])</f>
        <v>2023</v>
      </c>
      <c r="F5988" s="14">
        <v>1.03</v>
      </c>
      <c r="G5988">
        <v>146</v>
      </c>
      <c r="H5988" t="s">
        <v>13</v>
      </c>
      <c r="I5988" t="str">
        <f t="shared" si="93"/>
        <v>Normal Usage</v>
      </c>
    </row>
    <row r="5989" spans="1:9" x14ac:dyDescent="0.3">
      <c r="A5989">
        <v>15988</v>
      </c>
      <c r="B5989">
        <v>446</v>
      </c>
      <c r="C5989" s="2">
        <v>44593</v>
      </c>
      <c r="D5989" s="2" t="str">
        <f>TEXT(Table3[[#This Row],[usage_date]],"mmmm")</f>
        <v>February</v>
      </c>
      <c r="E5989" s="9">
        <f>YEAR(Table3[[#This Row],[usage_date]])</f>
        <v>2022</v>
      </c>
      <c r="F5989" s="14">
        <v>0.2</v>
      </c>
      <c r="G5989">
        <v>260</v>
      </c>
      <c r="H5989" t="s">
        <v>12</v>
      </c>
      <c r="I5989" t="str">
        <f t="shared" si="93"/>
        <v>Normal Usage</v>
      </c>
    </row>
    <row r="5990" spans="1:9" x14ac:dyDescent="0.3">
      <c r="A5990">
        <v>15989</v>
      </c>
      <c r="B5990">
        <v>99</v>
      </c>
      <c r="C5990" s="2">
        <v>45392</v>
      </c>
      <c r="D5990" s="2" t="str">
        <f>TEXT(Table3[[#This Row],[usage_date]],"mmmm")</f>
        <v>April</v>
      </c>
      <c r="E5990" s="9">
        <f>YEAR(Table3[[#This Row],[usage_date]])</f>
        <v>2024</v>
      </c>
      <c r="F5990" s="14">
        <v>0.53</v>
      </c>
      <c r="G5990">
        <v>278</v>
      </c>
      <c r="H5990" t="s">
        <v>12</v>
      </c>
      <c r="I5990" t="str">
        <f t="shared" si="93"/>
        <v>Normal Usage</v>
      </c>
    </row>
    <row r="5991" spans="1:9" x14ac:dyDescent="0.3">
      <c r="A5991">
        <v>15990</v>
      </c>
      <c r="B5991">
        <v>116</v>
      </c>
      <c r="C5991" s="2">
        <v>44573</v>
      </c>
      <c r="D5991" s="2" t="str">
        <f>TEXT(Table3[[#This Row],[usage_date]],"mmmm")</f>
        <v>January</v>
      </c>
      <c r="E5991" s="9">
        <f>YEAR(Table3[[#This Row],[usage_date]])</f>
        <v>2022</v>
      </c>
      <c r="F5991" s="14">
        <v>6.06</v>
      </c>
      <c r="G5991">
        <v>13</v>
      </c>
      <c r="H5991" t="s">
        <v>13</v>
      </c>
      <c r="I5991" t="str">
        <f t="shared" si="93"/>
        <v>High Usage</v>
      </c>
    </row>
    <row r="5992" spans="1:9" x14ac:dyDescent="0.3">
      <c r="A5992">
        <v>15991</v>
      </c>
      <c r="B5992">
        <v>270</v>
      </c>
      <c r="C5992" s="2">
        <v>44880</v>
      </c>
      <c r="D5992" s="2" t="str">
        <f>TEXT(Table3[[#This Row],[usage_date]],"mmmm")</f>
        <v>November</v>
      </c>
      <c r="E5992" s="9">
        <f>YEAR(Table3[[#This Row],[usage_date]])</f>
        <v>2022</v>
      </c>
      <c r="F5992" s="14">
        <v>0.05</v>
      </c>
      <c r="G5992">
        <v>265</v>
      </c>
      <c r="H5992" t="s">
        <v>13</v>
      </c>
      <c r="I5992" t="str">
        <f t="shared" si="93"/>
        <v>Normal Usage</v>
      </c>
    </row>
    <row r="5993" spans="1:9" x14ac:dyDescent="0.3">
      <c r="A5993">
        <v>15992</v>
      </c>
      <c r="B5993">
        <v>447</v>
      </c>
      <c r="C5993" s="2">
        <v>45406</v>
      </c>
      <c r="D5993" s="2" t="str">
        <f>TEXT(Table3[[#This Row],[usage_date]],"mmmm")</f>
        <v>April</v>
      </c>
      <c r="E5993" s="9">
        <f>YEAR(Table3[[#This Row],[usage_date]])</f>
        <v>2024</v>
      </c>
      <c r="F5993" s="14">
        <v>2.65</v>
      </c>
      <c r="G5993">
        <v>286</v>
      </c>
      <c r="H5993" t="s">
        <v>12</v>
      </c>
      <c r="I5993" t="str">
        <f t="shared" si="93"/>
        <v>Normal Usage</v>
      </c>
    </row>
    <row r="5994" spans="1:9" x14ac:dyDescent="0.3">
      <c r="A5994">
        <v>15993</v>
      </c>
      <c r="B5994">
        <v>368</v>
      </c>
      <c r="C5994" s="2">
        <v>45165</v>
      </c>
      <c r="D5994" s="2" t="str">
        <f>TEXT(Table3[[#This Row],[usage_date]],"mmmm")</f>
        <v>August</v>
      </c>
      <c r="E5994" s="9">
        <f>YEAR(Table3[[#This Row],[usage_date]])</f>
        <v>2023</v>
      </c>
      <c r="F5994" s="14">
        <v>1.21</v>
      </c>
      <c r="G5994">
        <v>140</v>
      </c>
      <c r="H5994" t="s">
        <v>12</v>
      </c>
      <c r="I5994" t="str">
        <f t="shared" si="93"/>
        <v>Normal Usage</v>
      </c>
    </row>
    <row r="5995" spans="1:9" x14ac:dyDescent="0.3">
      <c r="A5995">
        <v>15994</v>
      </c>
      <c r="B5995">
        <v>253</v>
      </c>
      <c r="C5995" s="2">
        <v>44562</v>
      </c>
      <c r="D5995" s="2" t="str">
        <f>TEXT(Table3[[#This Row],[usage_date]],"mmmm")</f>
        <v>January</v>
      </c>
      <c r="E5995" s="9">
        <f>YEAR(Table3[[#This Row],[usage_date]])</f>
        <v>2022</v>
      </c>
      <c r="F5995" s="14">
        <v>2.79</v>
      </c>
      <c r="G5995">
        <v>292</v>
      </c>
      <c r="H5995" t="s">
        <v>12</v>
      </c>
      <c r="I5995" t="str">
        <f t="shared" si="93"/>
        <v>Normal Usage</v>
      </c>
    </row>
    <row r="5996" spans="1:9" x14ac:dyDescent="0.3">
      <c r="A5996">
        <v>15995</v>
      </c>
      <c r="B5996">
        <v>317</v>
      </c>
      <c r="C5996" s="2">
        <v>44996</v>
      </c>
      <c r="D5996" s="2" t="str">
        <f>TEXT(Table3[[#This Row],[usage_date]],"mmmm")</f>
        <v>March</v>
      </c>
      <c r="E5996" s="9">
        <f>YEAR(Table3[[#This Row],[usage_date]])</f>
        <v>2023</v>
      </c>
      <c r="F5996" s="14">
        <v>2.2200000000000002</v>
      </c>
      <c r="G5996">
        <v>30</v>
      </c>
      <c r="H5996" t="s">
        <v>12</v>
      </c>
      <c r="I5996" t="str">
        <f t="shared" si="93"/>
        <v>Normal Usage</v>
      </c>
    </row>
    <row r="5997" spans="1:9" x14ac:dyDescent="0.3">
      <c r="A5997">
        <v>15996</v>
      </c>
      <c r="B5997">
        <v>415</v>
      </c>
      <c r="C5997" s="2">
        <v>45399</v>
      </c>
      <c r="D5997" s="2" t="str">
        <f>TEXT(Table3[[#This Row],[usage_date]],"mmmm")</f>
        <v>April</v>
      </c>
      <c r="E5997" s="9">
        <f>YEAR(Table3[[#This Row],[usage_date]])</f>
        <v>2024</v>
      </c>
      <c r="F5997" s="14">
        <v>0.63</v>
      </c>
      <c r="G5997">
        <v>170</v>
      </c>
      <c r="H5997" t="s">
        <v>12</v>
      </c>
      <c r="I5997" t="str">
        <f t="shared" si="93"/>
        <v>Normal Usage</v>
      </c>
    </row>
    <row r="5998" spans="1:9" x14ac:dyDescent="0.3">
      <c r="A5998">
        <v>15997</v>
      </c>
      <c r="B5998">
        <v>95</v>
      </c>
      <c r="C5998" s="2">
        <v>44697</v>
      </c>
      <c r="D5998" s="2" t="str">
        <f>TEXT(Table3[[#This Row],[usage_date]],"mmmm")</f>
        <v>May</v>
      </c>
      <c r="E5998" s="9">
        <f>YEAR(Table3[[#This Row],[usage_date]])</f>
        <v>2022</v>
      </c>
      <c r="F5998" s="14">
        <v>4.7</v>
      </c>
      <c r="G5998">
        <v>204</v>
      </c>
      <c r="H5998" t="s">
        <v>12</v>
      </c>
      <c r="I5998" t="str">
        <f t="shared" si="93"/>
        <v>Normal Usage</v>
      </c>
    </row>
    <row r="5999" spans="1:9" x14ac:dyDescent="0.3">
      <c r="A5999">
        <v>15998</v>
      </c>
      <c r="B5999">
        <v>273</v>
      </c>
      <c r="C5999" s="2">
        <v>44757</v>
      </c>
      <c r="D5999" s="2" t="str">
        <f>TEXT(Table3[[#This Row],[usage_date]],"mmmm")</f>
        <v>July</v>
      </c>
      <c r="E5999" s="9">
        <f>YEAR(Table3[[#This Row],[usage_date]])</f>
        <v>2022</v>
      </c>
      <c r="F5999" s="14">
        <v>1.69</v>
      </c>
      <c r="G5999">
        <v>290</v>
      </c>
      <c r="H5999" t="s">
        <v>13</v>
      </c>
      <c r="I5999" t="str">
        <f t="shared" si="93"/>
        <v>Normal Usage</v>
      </c>
    </row>
    <row r="6000" spans="1:9" x14ac:dyDescent="0.3">
      <c r="A6000">
        <v>15999</v>
      </c>
      <c r="B6000">
        <v>380</v>
      </c>
      <c r="C6000" s="2">
        <v>44694</v>
      </c>
      <c r="D6000" s="2" t="str">
        <f>TEXT(Table3[[#This Row],[usage_date]],"mmmm")</f>
        <v>May</v>
      </c>
      <c r="E6000" s="9">
        <f>YEAR(Table3[[#This Row],[usage_date]])</f>
        <v>2022</v>
      </c>
      <c r="F6000" s="14">
        <v>4.32</v>
      </c>
      <c r="G6000">
        <v>110</v>
      </c>
      <c r="H6000" t="s">
        <v>13</v>
      </c>
      <c r="I6000" t="str">
        <f t="shared" si="93"/>
        <v>Normal Usage</v>
      </c>
    </row>
    <row r="6001" spans="1:9" x14ac:dyDescent="0.3">
      <c r="A6001">
        <v>16000</v>
      </c>
      <c r="B6001">
        <v>24</v>
      </c>
      <c r="C6001" s="2">
        <v>44647</v>
      </c>
      <c r="D6001" s="2" t="str">
        <f>TEXT(Table3[[#This Row],[usage_date]],"mmmm")</f>
        <v>March</v>
      </c>
      <c r="E6001" s="9">
        <f>YEAR(Table3[[#This Row],[usage_date]])</f>
        <v>2022</v>
      </c>
      <c r="F6001" s="14">
        <v>1.3</v>
      </c>
      <c r="G6001">
        <v>67</v>
      </c>
      <c r="H6001" t="s">
        <v>12</v>
      </c>
      <c r="I6001" t="str">
        <f t="shared" si="93"/>
        <v>Normal Usage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01"/>
  <sheetViews>
    <sheetView topLeftCell="A2" workbookViewId="0">
      <selection activeCell="G10" sqref="G10"/>
    </sheetView>
  </sheetViews>
  <sheetFormatPr defaultRowHeight="14.4" x14ac:dyDescent="0.3"/>
  <cols>
    <col min="1" max="1" width="11" customWidth="1"/>
    <col min="2" max="2" width="15.5546875" customWidth="1"/>
    <col min="3" max="4" width="30.109375" style="2" customWidth="1"/>
    <col min="5" max="5" width="30.109375" style="9" customWidth="1"/>
    <col min="6" max="6" width="18.77734375" customWidth="1"/>
    <col min="7" max="7" width="19.6640625" customWidth="1"/>
    <col min="8" max="8" width="10" customWidth="1"/>
    <col min="9" max="9" width="15.33203125" customWidth="1"/>
  </cols>
  <sheetData>
    <row r="1" spans="1:9" x14ac:dyDescent="0.3">
      <c r="A1" s="3" t="s">
        <v>14</v>
      </c>
      <c r="B1" s="3" t="s">
        <v>0</v>
      </c>
      <c r="C1" s="5" t="s">
        <v>15</v>
      </c>
      <c r="D1" s="5" t="s">
        <v>44</v>
      </c>
      <c r="E1" s="8" t="s">
        <v>45</v>
      </c>
      <c r="F1" s="3" t="s">
        <v>16</v>
      </c>
      <c r="G1" s="3" t="s">
        <v>17</v>
      </c>
      <c r="H1" s="3" t="s">
        <v>18</v>
      </c>
      <c r="I1" s="10" t="s">
        <v>3</v>
      </c>
    </row>
    <row r="2" spans="1:9" x14ac:dyDescent="0.3">
      <c r="A2">
        <v>20001</v>
      </c>
      <c r="B2">
        <v>17</v>
      </c>
      <c r="C2" s="2">
        <v>45221</v>
      </c>
      <c r="D2" s="2" t="str">
        <f>TEXT(Table4[[#This Row],[issue_date]],"mmmm")</f>
        <v>October</v>
      </c>
      <c r="E2" s="9">
        <f>YEAR(Table4[[#This Row],[issue_date]])</f>
        <v>2023</v>
      </c>
      <c r="F2" t="s">
        <v>19</v>
      </c>
      <c r="G2">
        <v>2</v>
      </c>
      <c r="H2" t="s">
        <v>20</v>
      </c>
      <c r="I2" t="str">
        <f>VLOOKUP(Table4[[#This Row],[customer_id]],customers!A:G,4,)</f>
        <v>bangalore</v>
      </c>
    </row>
    <row r="3" spans="1:9" x14ac:dyDescent="0.3">
      <c r="A3">
        <v>20002</v>
      </c>
      <c r="B3">
        <v>366</v>
      </c>
      <c r="C3" s="2">
        <v>44820</v>
      </c>
      <c r="D3" s="2" t="str">
        <f>TEXT(Table4[[#This Row],[issue_date]],"mmmm")</f>
        <v>September</v>
      </c>
      <c r="E3" s="9">
        <f>YEAR(Table4[[#This Row],[issue_date]])</f>
        <v>2022</v>
      </c>
      <c r="F3" t="s">
        <v>21</v>
      </c>
      <c r="G3">
        <v>67</v>
      </c>
      <c r="H3" t="s">
        <v>20</v>
      </c>
      <c r="I3" t="str">
        <f>VLOOKUP(Table4[[#This Row],[customer_id]],customers!A:G,4,)</f>
        <v>mumbai</v>
      </c>
    </row>
    <row r="4" spans="1:9" x14ac:dyDescent="0.3">
      <c r="A4">
        <v>20003</v>
      </c>
      <c r="B4">
        <v>389</v>
      </c>
      <c r="C4" s="2">
        <v>45103</v>
      </c>
      <c r="D4" s="2" t="str">
        <f>TEXT(Table4[[#This Row],[issue_date]],"mmmm")</f>
        <v>June</v>
      </c>
      <c r="E4" s="9">
        <f>YEAR(Table4[[#This Row],[issue_date]])</f>
        <v>2023</v>
      </c>
      <c r="F4" t="s">
        <v>22</v>
      </c>
      <c r="G4">
        <v>15</v>
      </c>
      <c r="H4" t="s">
        <v>20</v>
      </c>
      <c r="I4" t="str">
        <f>VLOOKUP(Table4[[#This Row],[customer_id]],customers!A:G,4,)</f>
        <v>bangalore</v>
      </c>
    </row>
    <row r="5" spans="1:9" x14ac:dyDescent="0.3">
      <c r="A5">
        <v>20004</v>
      </c>
      <c r="B5">
        <v>26</v>
      </c>
      <c r="C5" s="2">
        <v>45091</v>
      </c>
      <c r="D5" s="2" t="str">
        <f>TEXT(Table4[[#This Row],[issue_date]],"mmmm")</f>
        <v>June</v>
      </c>
      <c r="E5" s="9">
        <f>YEAR(Table4[[#This Row],[issue_date]])</f>
        <v>2023</v>
      </c>
      <c r="F5" t="s">
        <v>21</v>
      </c>
      <c r="G5">
        <v>21</v>
      </c>
      <c r="H5" t="s">
        <v>20</v>
      </c>
      <c r="I5" t="str">
        <f>VLOOKUP(Table4[[#This Row],[customer_id]],customers!A:G,4,)</f>
        <v>bangalore</v>
      </c>
    </row>
    <row r="6" spans="1:9" x14ac:dyDescent="0.3">
      <c r="A6">
        <v>20005</v>
      </c>
      <c r="B6">
        <v>213</v>
      </c>
      <c r="C6" s="2">
        <v>44748</v>
      </c>
      <c r="D6" s="2" t="str">
        <f>TEXT(Table4[[#This Row],[issue_date]],"mmmm")</f>
        <v>July</v>
      </c>
      <c r="E6" s="9">
        <f>YEAR(Table4[[#This Row],[issue_date]])</f>
        <v>2022</v>
      </c>
      <c r="F6" t="s">
        <v>19</v>
      </c>
      <c r="G6">
        <v>59</v>
      </c>
      <c r="H6" t="s">
        <v>20</v>
      </c>
      <c r="I6" t="str">
        <f>VLOOKUP(Table4[[#This Row],[customer_id]],customers!A:G,4,)</f>
        <v>hyderabad</v>
      </c>
    </row>
    <row r="7" spans="1:9" x14ac:dyDescent="0.3">
      <c r="A7">
        <v>20006</v>
      </c>
      <c r="B7">
        <v>385</v>
      </c>
      <c r="C7" s="2">
        <v>44773</v>
      </c>
      <c r="D7" s="2" t="str">
        <f>TEXT(Table4[[#This Row],[issue_date]],"mmmm")</f>
        <v>July</v>
      </c>
      <c r="E7" s="9">
        <f>YEAR(Table4[[#This Row],[issue_date]])</f>
        <v>2022</v>
      </c>
      <c r="F7" t="s">
        <v>22</v>
      </c>
      <c r="G7">
        <v>39</v>
      </c>
      <c r="H7" t="s">
        <v>20</v>
      </c>
      <c r="I7" t="str">
        <f>VLOOKUP(Table4[[#This Row],[customer_id]],customers!A:G,4,)</f>
        <v>hyderabad</v>
      </c>
    </row>
    <row r="8" spans="1:9" x14ac:dyDescent="0.3">
      <c r="A8">
        <v>20007</v>
      </c>
      <c r="B8">
        <v>1</v>
      </c>
      <c r="C8" s="2">
        <v>44596</v>
      </c>
      <c r="D8" s="2" t="str">
        <f>TEXT(Table4[[#This Row],[issue_date]],"mmmm")</f>
        <v>February</v>
      </c>
      <c r="E8" s="9">
        <f>YEAR(Table4[[#This Row],[issue_date]])</f>
        <v>2022</v>
      </c>
      <c r="F8" t="s">
        <v>19</v>
      </c>
      <c r="G8">
        <v>20</v>
      </c>
      <c r="H8" t="s">
        <v>20</v>
      </c>
      <c r="I8" t="str">
        <f>VLOOKUP(Table4[[#This Row],[customer_id]],customers!A:G,4,)</f>
        <v>kolkata</v>
      </c>
    </row>
    <row r="9" spans="1:9" x14ac:dyDescent="0.3">
      <c r="A9">
        <v>20008</v>
      </c>
      <c r="B9">
        <v>291</v>
      </c>
      <c r="C9" s="2">
        <v>44708</v>
      </c>
      <c r="D9" s="2" t="str">
        <f>TEXT(Table4[[#This Row],[issue_date]],"mmmm")</f>
        <v>May</v>
      </c>
      <c r="E9" s="9">
        <f>YEAR(Table4[[#This Row],[issue_date]])</f>
        <v>2022</v>
      </c>
      <c r="F9" t="s">
        <v>21</v>
      </c>
      <c r="G9">
        <v>1</v>
      </c>
      <c r="H9" t="s">
        <v>20</v>
      </c>
      <c r="I9" t="str">
        <f>VLOOKUP(Table4[[#This Row],[customer_id]],customers!A:G,4,)</f>
        <v>mumbai</v>
      </c>
    </row>
    <row r="10" spans="1:9" x14ac:dyDescent="0.3">
      <c r="A10">
        <v>20009</v>
      </c>
      <c r="B10">
        <v>265</v>
      </c>
      <c r="C10" s="2">
        <v>44843</v>
      </c>
      <c r="D10" s="2" t="str">
        <f>TEXT(Table4[[#This Row],[issue_date]],"mmmm")</f>
        <v>October</v>
      </c>
      <c r="E10" s="9">
        <f>YEAR(Table4[[#This Row],[issue_date]])</f>
        <v>2022</v>
      </c>
      <c r="F10" t="s">
        <v>21</v>
      </c>
      <c r="G10">
        <v>9</v>
      </c>
      <c r="H10" t="s">
        <v>20</v>
      </c>
      <c r="I10" t="str">
        <f>VLOOKUP(Table4[[#This Row],[customer_id]],customers!A:G,4,)</f>
        <v>delhi</v>
      </c>
    </row>
    <row r="11" spans="1:9" x14ac:dyDescent="0.3">
      <c r="A11">
        <v>20010</v>
      </c>
      <c r="B11">
        <v>343</v>
      </c>
      <c r="C11" s="2">
        <v>45108</v>
      </c>
      <c r="D11" s="2" t="str">
        <f>TEXT(Table4[[#This Row],[issue_date]],"mmmm")</f>
        <v>July</v>
      </c>
      <c r="E11" s="9">
        <f>YEAR(Table4[[#This Row],[issue_date]])</f>
        <v>2023</v>
      </c>
      <c r="F11" t="s">
        <v>19</v>
      </c>
      <c r="G11">
        <v>51</v>
      </c>
      <c r="H11" t="s">
        <v>20</v>
      </c>
      <c r="I11" t="str">
        <f>VLOOKUP(Table4[[#This Row],[customer_id]],customers!A:G,4,)</f>
        <v>delhi</v>
      </c>
    </row>
    <row r="12" spans="1:9" x14ac:dyDescent="0.3">
      <c r="A12">
        <v>20011</v>
      </c>
      <c r="B12">
        <v>38</v>
      </c>
      <c r="C12" s="2">
        <v>45149</v>
      </c>
      <c r="D12" s="2" t="str">
        <f>TEXT(Table4[[#This Row],[issue_date]],"mmmm")</f>
        <v>August</v>
      </c>
      <c r="E12" s="9">
        <f>YEAR(Table4[[#This Row],[issue_date]])</f>
        <v>2023</v>
      </c>
      <c r="F12" t="s">
        <v>22</v>
      </c>
      <c r="G12">
        <v>38</v>
      </c>
      <c r="H12" t="s">
        <v>20</v>
      </c>
      <c r="I12" t="str">
        <f>VLOOKUP(Table4[[#This Row],[customer_id]],customers!A:G,4,)</f>
        <v>mumbai</v>
      </c>
    </row>
    <row r="13" spans="1:9" x14ac:dyDescent="0.3">
      <c r="A13">
        <v>20012</v>
      </c>
      <c r="B13">
        <v>233</v>
      </c>
      <c r="C13" s="2">
        <v>45145</v>
      </c>
      <c r="D13" s="2" t="str">
        <f>TEXT(Table4[[#This Row],[issue_date]],"mmmm")</f>
        <v>August</v>
      </c>
      <c r="E13" s="9">
        <f>YEAR(Table4[[#This Row],[issue_date]])</f>
        <v>2023</v>
      </c>
      <c r="F13" t="s">
        <v>19</v>
      </c>
      <c r="G13">
        <v>15</v>
      </c>
      <c r="H13" t="s">
        <v>20</v>
      </c>
      <c r="I13" t="str">
        <f>VLOOKUP(Table4[[#This Row],[customer_id]],customers!A:G,4,)</f>
        <v>mumbai</v>
      </c>
    </row>
    <row r="14" spans="1:9" x14ac:dyDescent="0.3">
      <c r="A14">
        <v>20013</v>
      </c>
      <c r="B14">
        <v>260</v>
      </c>
      <c r="C14" s="2">
        <v>44810</v>
      </c>
      <c r="D14" s="2" t="str">
        <f>TEXT(Table4[[#This Row],[issue_date]],"mmmm")</f>
        <v>September</v>
      </c>
      <c r="E14" s="9">
        <f>YEAR(Table4[[#This Row],[issue_date]])</f>
        <v>2022</v>
      </c>
      <c r="F14" t="s">
        <v>21</v>
      </c>
      <c r="G14">
        <v>41</v>
      </c>
      <c r="H14" t="s">
        <v>20</v>
      </c>
      <c r="I14" t="str">
        <f>VLOOKUP(Table4[[#This Row],[customer_id]],customers!A:G,4,)</f>
        <v>bangalore</v>
      </c>
    </row>
    <row r="15" spans="1:9" x14ac:dyDescent="0.3">
      <c r="A15">
        <v>20014</v>
      </c>
      <c r="B15">
        <v>308</v>
      </c>
      <c r="C15" s="2">
        <v>44618</v>
      </c>
      <c r="D15" s="2" t="str">
        <f>TEXT(Table4[[#This Row],[issue_date]],"mmmm")</f>
        <v>February</v>
      </c>
      <c r="E15" s="9">
        <f>YEAR(Table4[[#This Row],[issue_date]])</f>
        <v>2022</v>
      </c>
      <c r="F15" t="s">
        <v>22</v>
      </c>
      <c r="G15">
        <v>47</v>
      </c>
      <c r="H15" t="s">
        <v>20</v>
      </c>
      <c r="I15" t="str">
        <f>VLOOKUP(Table4[[#This Row],[customer_id]],customers!A:G,4,)</f>
        <v>chennai</v>
      </c>
    </row>
    <row r="16" spans="1:9" x14ac:dyDescent="0.3">
      <c r="A16">
        <v>20015</v>
      </c>
      <c r="B16">
        <v>403</v>
      </c>
      <c r="C16" s="2">
        <v>45430</v>
      </c>
      <c r="D16" s="2" t="str">
        <f>TEXT(Table4[[#This Row],[issue_date]],"mmmm")</f>
        <v>May</v>
      </c>
      <c r="E16" s="9">
        <f>YEAR(Table4[[#This Row],[issue_date]])</f>
        <v>2024</v>
      </c>
      <c r="F16" t="s">
        <v>19</v>
      </c>
      <c r="G16">
        <v>26</v>
      </c>
      <c r="H16" t="s">
        <v>20</v>
      </c>
      <c r="I16" t="str">
        <f>VLOOKUP(Table4[[#This Row],[customer_id]],customers!A:G,4,)</f>
        <v>delhi</v>
      </c>
    </row>
    <row r="17" spans="1:9" x14ac:dyDescent="0.3">
      <c r="A17">
        <v>20016</v>
      </c>
      <c r="B17">
        <v>485</v>
      </c>
      <c r="C17" s="2">
        <v>44866</v>
      </c>
      <c r="D17" s="2" t="str">
        <f>TEXT(Table4[[#This Row],[issue_date]],"mmmm")</f>
        <v>November</v>
      </c>
      <c r="E17" s="9">
        <f>YEAR(Table4[[#This Row],[issue_date]])</f>
        <v>2022</v>
      </c>
      <c r="F17" t="s">
        <v>21</v>
      </c>
      <c r="G17">
        <v>54</v>
      </c>
      <c r="H17" t="s">
        <v>20</v>
      </c>
      <c r="I17" t="str">
        <f>VLOOKUP(Table4[[#This Row],[customer_id]],customers!A:G,4,)</f>
        <v>delhi</v>
      </c>
    </row>
    <row r="18" spans="1:9" x14ac:dyDescent="0.3">
      <c r="A18">
        <v>20017</v>
      </c>
      <c r="B18">
        <v>261</v>
      </c>
      <c r="C18" s="2">
        <v>45083</v>
      </c>
      <c r="D18" s="2" t="str">
        <f>TEXT(Table4[[#This Row],[issue_date]],"mmmm")</f>
        <v>June</v>
      </c>
      <c r="E18" s="9">
        <f>YEAR(Table4[[#This Row],[issue_date]])</f>
        <v>2023</v>
      </c>
      <c r="F18" t="s">
        <v>22</v>
      </c>
      <c r="G18">
        <v>70</v>
      </c>
      <c r="H18" t="s">
        <v>20</v>
      </c>
      <c r="I18" t="str">
        <f>VLOOKUP(Table4[[#This Row],[customer_id]],customers!A:G,4,)</f>
        <v>mumbai</v>
      </c>
    </row>
    <row r="19" spans="1:9" x14ac:dyDescent="0.3">
      <c r="A19">
        <v>20018</v>
      </c>
      <c r="B19">
        <v>476</v>
      </c>
      <c r="C19" s="2">
        <v>45286</v>
      </c>
      <c r="D19" s="2" t="str">
        <f>TEXT(Table4[[#This Row],[issue_date]],"mmmm")</f>
        <v>December</v>
      </c>
      <c r="E19" s="9">
        <f>YEAR(Table4[[#This Row],[issue_date]])</f>
        <v>2023</v>
      </c>
      <c r="F19" t="s">
        <v>19</v>
      </c>
      <c r="G19">
        <v>39</v>
      </c>
      <c r="H19" t="s">
        <v>20</v>
      </c>
      <c r="I19" t="str">
        <f>VLOOKUP(Table4[[#This Row],[customer_id]],customers!A:G,4,)</f>
        <v>bangalore</v>
      </c>
    </row>
    <row r="20" spans="1:9" x14ac:dyDescent="0.3">
      <c r="A20">
        <v>20019</v>
      </c>
      <c r="B20">
        <v>238</v>
      </c>
      <c r="C20" s="2">
        <v>44922</v>
      </c>
      <c r="D20" s="2" t="str">
        <f>TEXT(Table4[[#This Row],[issue_date]],"mmmm")</f>
        <v>December</v>
      </c>
      <c r="E20" s="9">
        <f>YEAR(Table4[[#This Row],[issue_date]])</f>
        <v>2022</v>
      </c>
      <c r="F20" t="s">
        <v>22</v>
      </c>
      <c r="G20">
        <v>17</v>
      </c>
      <c r="H20" t="s">
        <v>23</v>
      </c>
      <c r="I20" t="str">
        <f>VLOOKUP(Table4[[#This Row],[customer_id]],customers!A:G,4,)</f>
        <v>mumbai</v>
      </c>
    </row>
    <row r="21" spans="1:9" x14ac:dyDescent="0.3">
      <c r="A21">
        <v>20020</v>
      </c>
      <c r="B21">
        <v>106</v>
      </c>
      <c r="C21" s="2">
        <v>44798</v>
      </c>
      <c r="D21" s="2" t="str">
        <f>TEXT(Table4[[#This Row],[issue_date]],"mmmm")</f>
        <v>August</v>
      </c>
      <c r="E21" s="9">
        <f>YEAR(Table4[[#This Row],[issue_date]])</f>
        <v>2022</v>
      </c>
      <c r="F21" t="s">
        <v>21</v>
      </c>
      <c r="G21">
        <v>70</v>
      </c>
      <c r="H21" t="s">
        <v>20</v>
      </c>
      <c r="I21" t="str">
        <f>VLOOKUP(Table4[[#This Row],[customer_id]],customers!A:G,4,)</f>
        <v>bangalore</v>
      </c>
    </row>
    <row r="22" spans="1:9" x14ac:dyDescent="0.3">
      <c r="A22">
        <v>20021</v>
      </c>
      <c r="B22">
        <v>247</v>
      </c>
      <c r="C22" s="2">
        <v>44795</v>
      </c>
      <c r="D22" s="2" t="str">
        <f>TEXT(Table4[[#This Row],[issue_date]],"mmmm")</f>
        <v>August</v>
      </c>
      <c r="E22" s="9">
        <f>YEAR(Table4[[#This Row],[issue_date]])</f>
        <v>2022</v>
      </c>
      <c r="F22" t="s">
        <v>19</v>
      </c>
      <c r="G22">
        <v>9</v>
      </c>
      <c r="H22" t="s">
        <v>20</v>
      </c>
      <c r="I22" t="str">
        <f>VLOOKUP(Table4[[#This Row],[customer_id]],customers!A:G,4,)</f>
        <v>chennai</v>
      </c>
    </row>
    <row r="23" spans="1:9" x14ac:dyDescent="0.3">
      <c r="A23">
        <v>20022</v>
      </c>
      <c r="B23">
        <v>304</v>
      </c>
      <c r="C23" s="2">
        <v>44784</v>
      </c>
      <c r="D23" s="2" t="str">
        <f>TEXT(Table4[[#This Row],[issue_date]],"mmmm")</f>
        <v>August</v>
      </c>
      <c r="E23" s="9">
        <f>YEAR(Table4[[#This Row],[issue_date]])</f>
        <v>2022</v>
      </c>
      <c r="F23" t="s">
        <v>19</v>
      </c>
      <c r="G23">
        <v>46</v>
      </c>
      <c r="H23" t="s">
        <v>20</v>
      </c>
      <c r="I23" t="str">
        <f>VLOOKUP(Table4[[#This Row],[customer_id]],customers!A:G,4,)</f>
        <v>delhi</v>
      </c>
    </row>
    <row r="24" spans="1:9" x14ac:dyDescent="0.3">
      <c r="A24">
        <v>20023</v>
      </c>
      <c r="B24">
        <v>343</v>
      </c>
      <c r="C24" s="2">
        <v>45177</v>
      </c>
      <c r="D24" s="2" t="str">
        <f>TEXT(Table4[[#This Row],[issue_date]],"mmmm")</f>
        <v>September</v>
      </c>
      <c r="E24" s="9">
        <f>YEAR(Table4[[#This Row],[issue_date]])</f>
        <v>2023</v>
      </c>
      <c r="F24" t="s">
        <v>21</v>
      </c>
      <c r="G24">
        <v>6</v>
      </c>
      <c r="H24" t="s">
        <v>23</v>
      </c>
      <c r="I24" t="str">
        <f>VLOOKUP(Table4[[#This Row],[customer_id]],customers!A:G,4,)</f>
        <v>delhi</v>
      </c>
    </row>
    <row r="25" spans="1:9" x14ac:dyDescent="0.3">
      <c r="A25">
        <v>20024</v>
      </c>
      <c r="B25">
        <v>447</v>
      </c>
      <c r="C25" s="2">
        <v>44888</v>
      </c>
      <c r="D25" s="2" t="str">
        <f>TEXT(Table4[[#This Row],[issue_date]],"mmmm")</f>
        <v>November</v>
      </c>
      <c r="E25" s="9">
        <f>YEAR(Table4[[#This Row],[issue_date]])</f>
        <v>2022</v>
      </c>
      <c r="F25" t="s">
        <v>21</v>
      </c>
      <c r="G25">
        <v>68</v>
      </c>
      <c r="H25" t="s">
        <v>20</v>
      </c>
      <c r="I25" t="str">
        <f>VLOOKUP(Table4[[#This Row],[customer_id]],customers!A:G,4,)</f>
        <v>delhi</v>
      </c>
    </row>
    <row r="26" spans="1:9" x14ac:dyDescent="0.3">
      <c r="A26">
        <v>20025</v>
      </c>
      <c r="B26">
        <v>38</v>
      </c>
      <c r="C26" s="2">
        <v>44659</v>
      </c>
      <c r="D26" s="2" t="str">
        <f>TEXT(Table4[[#This Row],[issue_date]],"mmmm")</f>
        <v>April</v>
      </c>
      <c r="E26" s="9">
        <f>YEAR(Table4[[#This Row],[issue_date]])</f>
        <v>2022</v>
      </c>
      <c r="F26" t="s">
        <v>21</v>
      </c>
      <c r="G26">
        <v>16</v>
      </c>
      <c r="H26" t="s">
        <v>20</v>
      </c>
      <c r="I26" t="str">
        <f>VLOOKUP(Table4[[#This Row],[customer_id]],customers!A:G,4,)</f>
        <v>mumbai</v>
      </c>
    </row>
    <row r="27" spans="1:9" x14ac:dyDescent="0.3">
      <c r="A27">
        <v>20026</v>
      </c>
      <c r="B27">
        <v>308</v>
      </c>
      <c r="C27" s="2">
        <v>44787</v>
      </c>
      <c r="D27" s="2" t="str">
        <f>TEXT(Table4[[#This Row],[issue_date]],"mmmm")</f>
        <v>August</v>
      </c>
      <c r="E27" s="9">
        <f>YEAR(Table4[[#This Row],[issue_date]])</f>
        <v>2022</v>
      </c>
      <c r="F27" t="s">
        <v>19</v>
      </c>
      <c r="G27">
        <v>29</v>
      </c>
      <c r="H27" t="s">
        <v>20</v>
      </c>
      <c r="I27" t="str">
        <f>VLOOKUP(Table4[[#This Row],[customer_id]],customers!A:G,4,)</f>
        <v>chennai</v>
      </c>
    </row>
    <row r="28" spans="1:9" x14ac:dyDescent="0.3">
      <c r="A28">
        <v>20027</v>
      </c>
      <c r="B28">
        <v>343</v>
      </c>
      <c r="C28" s="2">
        <v>45295</v>
      </c>
      <c r="D28" s="2" t="str">
        <f>TEXT(Table4[[#This Row],[issue_date]],"mmmm")</f>
        <v>January</v>
      </c>
      <c r="E28" s="9">
        <f>YEAR(Table4[[#This Row],[issue_date]])</f>
        <v>2024</v>
      </c>
      <c r="F28" t="s">
        <v>21</v>
      </c>
      <c r="G28">
        <v>41</v>
      </c>
      <c r="H28" t="s">
        <v>20</v>
      </c>
      <c r="I28" t="str">
        <f>VLOOKUP(Table4[[#This Row],[customer_id]],customers!A:G,4,)</f>
        <v>delhi</v>
      </c>
    </row>
    <row r="29" spans="1:9" x14ac:dyDescent="0.3">
      <c r="A29">
        <v>20028</v>
      </c>
      <c r="B29">
        <v>46</v>
      </c>
      <c r="C29" s="2">
        <v>45397</v>
      </c>
      <c r="D29" s="2" t="str">
        <f>TEXT(Table4[[#This Row],[issue_date]],"mmmm")</f>
        <v>April</v>
      </c>
      <c r="E29" s="9">
        <f>YEAR(Table4[[#This Row],[issue_date]])</f>
        <v>2024</v>
      </c>
      <c r="F29" t="s">
        <v>19</v>
      </c>
      <c r="G29">
        <v>68</v>
      </c>
      <c r="H29" t="s">
        <v>20</v>
      </c>
      <c r="I29" t="str">
        <f>VLOOKUP(Table4[[#This Row],[customer_id]],customers!A:G,4,)</f>
        <v>delhi</v>
      </c>
    </row>
    <row r="30" spans="1:9" x14ac:dyDescent="0.3">
      <c r="A30">
        <v>20029</v>
      </c>
      <c r="B30">
        <v>210</v>
      </c>
      <c r="C30" s="2">
        <v>45050</v>
      </c>
      <c r="D30" s="2" t="str">
        <f>TEXT(Table4[[#This Row],[issue_date]],"mmmm")</f>
        <v>May</v>
      </c>
      <c r="E30" s="9">
        <f>YEAR(Table4[[#This Row],[issue_date]])</f>
        <v>2023</v>
      </c>
      <c r="F30" t="s">
        <v>19</v>
      </c>
      <c r="G30">
        <v>62</v>
      </c>
      <c r="H30" t="s">
        <v>20</v>
      </c>
      <c r="I30" t="str">
        <f>VLOOKUP(Table4[[#This Row],[customer_id]],customers!A:G,4,)</f>
        <v>kolkata</v>
      </c>
    </row>
    <row r="31" spans="1:9" x14ac:dyDescent="0.3">
      <c r="A31">
        <v>20030</v>
      </c>
      <c r="B31">
        <v>93</v>
      </c>
      <c r="C31" s="2">
        <v>45039</v>
      </c>
      <c r="D31" s="2" t="str">
        <f>TEXT(Table4[[#This Row],[issue_date]],"mmmm")</f>
        <v>April</v>
      </c>
      <c r="E31" s="9">
        <f>YEAR(Table4[[#This Row],[issue_date]])</f>
        <v>2023</v>
      </c>
      <c r="F31" t="s">
        <v>22</v>
      </c>
      <c r="G31">
        <v>40</v>
      </c>
      <c r="H31" t="s">
        <v>20</v>
      </c>
      <c r="I31" t="str">
        <f>VLOOKUP(Table4[[#This Row],[customer_id]],customers!A:G,4,)</f>
        <v>bangalore</v>
      </c>
    </row>
    <row r="32" spans="1:9" x14ac:dyDescent="0.3">
      <c r="A32">
        <v>20031</v>
      </c>
      <c r="B32">
        <v>220</v>
      </c>
      <c r="C32" s="2">
        <v>44895</v>
      </c>
      <c r="D32" s="2" t="str">
        <f>TEXT(Table4[[#This Row],[issue_date]],"mmmm")</f>
        <v>November</v>
      </c>
      <c r="E32" s="9">
        <f>YEAR(Table4[[#This Row],[issue_date]])</f>
        <v>2022</v>
      </c>
      <c r="F32" t="s">
        <v>21</v>
      </c>
      <c r="G32">
        <v>62</v>
      </c>
      <c r="H32" t="s">
        <v>20</v>
      </c>
      <c r="I32" t="str">
        <f>VLOOKUP(Table4[[#This Row],[customer_id]],customers!A:G,4,)</f>
        <v>bangalore</v>
      </c>
    </row>
    <row r="33" spans="1:9" x14ac:dyDescent="0.3">
      <c r="A33">
        <v>20032</v>
      </c>
      <c r="B33">
        <v>256</v>
      </c>
      <c r="C33" s="2">
        <v>45353</v>
      </c>
      <c r="D33" s="2" t="str">
        <f>TEXT(Table4[[#This Row],[issue_date]],"mmmm")</f>
        <v>March</v>
      </c>
      <c r="E33" s="9">
        <f>YEAR(Table4[[#This Row],[issue_date]])</f>
        <v>2024</v>
      </c>
      <c r="F33" t="s">
        <v>21</v>
      </c>
      <c r="G33">
        <v>24</v>
      </c>
      <c r="H33" t="s">
        <v>20</v>
      </c>
      <c r="I33" t="str">
        <f>VLOOKUP(Table4[[#This Row],[customer_id]],customers!A:G,4,)</f>
        <v>kolkata</v>
      </c>
    </row>
    <row r="34" spans="1:9" x14ac:dyDescent="0.3">
      <c r="A34">
        <v>20033</v>
      </c>
      <c r="B34">
        <v>137</v>
      </c>
      <c r="C34" s="2">
        <v>45116</v>
      </c>
      <c r="D34" s="2" t="str">
        <f>TEXT(Table4[[#This Row],[issue_date]],"mmmm")</f>
        <v>July</v>
      </c>
      <c r="E34" s="9">
        <f>YEAR(Table4[[#This Row],[issue_date]])</f>
        <v>2023</v>
      </c>
      <c r="F34" t="s">
        <v>22</v>
      </c>
      <c r="G34">
        <v>6</v>
      </c>
      <c r="H34" t="s">
        <v>20</v>
      </c>
      <c r="I34" t="str">
        <f>VLOOKUP(Table4[[#This Row],[customer_id]],customers!A:G,4,)</f>
        <v>delhi</v>
      </c>
    </row>
    <row r="35" spans="1:9" x14ac:dyDescent="0.3">
      <c r="A35">
        <v>20034</v>
      </c>
      <c r="B35">
        <v>231</v>
      </c>
      <c r="C35" s="2">
        <v>45424</v>
      </c>
      <c r="D35" s="2" t="str">
        <f>TEXT(Table4[[#This Row],[issue_date]],"mmmm")</f>
        <v>May</v>
      </c>
      <c r="E35" s="9">
        <f>YEAR(Table4[[#This Row],[issue_date]])</f>
        <v>2024</v>
      </c>
      <c r="F35" t="s">
        <v>19</v>
      </c>
      <c r="G35">
        <v>40</v>
      </c>
      <c r="H35" t="s">
        <v>20</v>
      </c>
      <c r="I35" t="str">
        <f>VLOOKUP(Table4[[#This Row],[customer_id]],customers!A:G,4,)</f>
        <v>delhi</v>
      </c>
    </row>
    <row r="36" spans="1:9" x14ac:dyDescent="0.3">
      <c r="A36">
        <v>20035</v>
      </c>
      <c r="B36">
        <v>306</v>
      </c>
      <c r="C36" s="2">
        <v>45073</v>
      </c>
      <c r="D36" s="2" t="str">
        <f>TEXT(Table4[[#This Row],[issue_date]],"mmmm")</f>
        <v>May</v>
      </c>
      <c r="E36" s="9">
        <f>YEAR(Table4[[#This Row],[issue_date]])</f>
        <v>2023</v>
      </c>
      <c r="F36" t="s">
        <v>19</v>
      </c>
      <c r="G36">
        <v>70</v>
      </c>
      <c r="H36" t="s">
        <v>20</v>
      </c>
      <c r="I36" t="str">
        <f>VLOOKUP(Table4[[#This Row],[customer_id]],customers!A:G,4,)</f>
        <v>bangalore</v>
      </c>
    </row>
    <row r="37" spans="1:9" x14ac:dyDescent="0.3">
      <c r="A37">
        <v>20036</v>
      </c>
      <c r="B37">
        <v>202</v>
      </c>
      <c r="C37" s="2">
        <v>44943</v>
      </c>
      <c r="D37" s="2" t="str">
        <f>TEXT(Table4[[#This Row],[issue_date]],"mmmm")</f>
        <v>January</v>
      </c>
      <c r="E37" s="9">
        <f>YEAR(Table4[[#This Row],[issue_date]])</f>
        <v>2023</v>
      </c>
      <c r="F37" t="s">
        <v>19</v>
      </c>
      <c r="G37">
        <v>58</v>
      </c>
      <c r="H37" t="s">
        <v>20</v>
      </c>
      <c r="I37" t="str">
        <f>VLOOKUP(Table4[[#This Row],[customer_id]],customers!A:G,4,)</f>
        <v>chennai</v>
      </c>
    </row>
    <row r="38" spans="1:9" x14ac:dyDescent="0.3">
      <c r="A38">
        <v>20037</v>
      </c>
      <c r="B38">
        <v>66</v>
      </c>
      <c r="C38" s="2">
        <v>44984</v>
      </c>
      <c r="D38" s="2" t="str">
        <f>TEXT(Table4[[#This Row],[issue_date]],"mmmm")</f>
        <v>February</v>
      </c>
      <c r="E38" s="9">
        <f>YEAR(Table4[[#This Row],[issue_date]])</f>
        <v>2023</v>
      </c>
      <c r="F38" t="s">
        <v>21</v>
      </c>
      <c r="G38">
        <v>14</v>
      </c>
      <c r="H38" t="s">
        <v>20</v>
      </c>
      <c r="I38" t="str">
        <f>VLOOKUP(Table4[[#This Row],[customer_id]],customers!A:G,4,)</f>
        <v>hyderabad</v>
      </c>
    </row>
    <row r="39" spans="1:9" x14ac:dyDescent="0.3">
      <c r="A39">
        <v>20038</v>
      </c>
      <c r="B39">
        <v>461</v>
      </c>
      <c r="C39" s="2">
        <v>44909</v>
      </c>
      <c r="D39" s="2" t="str">
        <f>TEXT(Table4[[#This Row],[issue_date]],"mmmm")</f>
        <v>December</v>
      </c>
      <c r="E39" s="9">
        <f>YEAR(Table4[[#This Row],[issue_date]])</f>
        <v>2022</v>
      </c>
      <c r="F39" t="s">
        <v>19</v>
      </c>
      <c r="G39">
        <v>45</v>
      </c>
      <c r="H39" t="s">
        <v>20</v>
      </c>
      <c r="I39" t="str">
        <f>VLOOKUP(Table4[[#This Row],[customer_id]],customers!A:G,4,)</f>
        <v>chennai</v>
      </c>
    </row>
    <row r="40" spans="1:9" x14ac:dyDescent="0.3">
      <c r="A40">
        <v>20039</v>
      </c>
      <c r="B40">
        <v>38</v>
      </c>
      <c r="C40" s="2">
        <v>44714</v>
      </c>
      <c r="D40" s="2" t="str">
        <f>TEXT(Table4[[#This Row],[issue_date]],"mmmm")</f>
        <v>June</v>
      </c>
      <c r="E40" s="9">
        <f>YEAR(Table4[[#This Row],[issue_date]])</f>
        <v>2022</v>
      </c>
      <c r="F40" t="s">
        <v>22</v>
      </c>
      <c r="G40">
        <v>6</v>
      </c>
      <c r="H40" t="s">
        <v>20</v>
      </c>
      <c r="I40" t="str">
        <f>VLOOKUP(Table4[[#This Row],[customer_id]],customers!A:G,4,)</f>
        <v>mumbai</v>
      </c>
    </row>
    <row r="41" spans="1:9" x14ac:dyDescent="0.3">
      <c r="A41">
        <v>20040</v>
      </c>
      <c r="B41">
        <v>155</v>
      </c>
      <c r="C41" s="2">
        <v>45412</v>
      </c>
      <c r="D41" s="2" t="str">
        <f>TEXT(Table4[[#This Row],[issue_date]],"mmmm")</f>
        <v>April</v>
      </c>
      <c r="E41" s="9">
        <f>YEAR(Table4[[#This Row],[issue_date]])</f>
        <v>2024</v>
      </c>
      <c r="F41" t="s">
        <v>19</v>
      </c>
      <c r="G41">
        <v>23</v>
      </c>
      <c r="H41" t="s">
        <v>20</v>
      </c>
      <c r="I41" t="str">
        <f>VLOOKUP(Table4[[#This Row],[customer_id]],customers!A:G,4,)</f>
        <v>mumbai</v>
      </c>
    </row>
    <row r="42" spans="1:9" x14ac:dyDescent="0.3">
      <c r="A42">
        <v>20041</v>
      </c>
      <c r="B42">
        <v>105</v>
      </c>
      <c r="C42" s="2">
        <v>45013</v>
      </c>
      <c r="D42" s="2" t="str">
        <f>TEXT(Table4[[#This Row],[issue_date]],"mmmm")</f>
        <v>March</v>
      </c>
      <c r="E42" s="9">
        <f>YEAR(Table4[[#This Row],[issue_date]])</f>
        <v>2023</v>
      </c>
      <c r="F42" t="s">
        <v>21</v>
      </c>
      <c r="G42">
        <v>62</v>
      </c>
      <c r="H42" t="s">
        <v>20</v>
      </c>
      <c r="I42" t="str">
        <f>VLOOKUP(Table4[[#This Row],[customer_id]],customers!A:G,4,)</f>
        <v>kolkata</v>
      </c>
    </row>
    <row r="43" spans="1:9" x14ac:dyDescent="0.3">
      <c r="A43">
        <v>20042</v>
      </c>
      <c r="B43">
        <v>255</v>
      </c>
      <c r="C43" s="2">
        <v>44851</v>
      </c>
      <c r="D43" s="2" t="str">
        <f>TEXT(Table4[[#This Row],[issue_date]],"mmmm")</f>
        <v>October</v>
      </c>
      <c r="E43" s="9">
        <f>YEAR(Table4[[#This Row],[issue_date]])</f>
        <v>2022</v>
      </c>
      <c r="F43" t="s">
        <v>21</v>
      </c>
      <c r="G43">
        <v>17</v>
      </c>
      <c r="H43" t="s">
        <v>20</v>
      </c>
      <c r="I43" t="str">
        <f>VLOOKUP(Table4[[#This Row],[customer_id]],customers!A:G,4,)</f>
        <v>delhi</v>
      </c>
    </row>
    <row r="44" spans="1:9" x14ac:dyDescent="0.3">
      <c r="A44">
        <v>20043</v>
      </c>
      <c r="B44">
        <v>404</v>
      </c>
      <c r="C44" s="2">
        <v>45297</v>
      </c>
      <c r="D44" s="2" t="str">
        <f>TEXT(Table4[[#This Row],[issue_date]],"mmmm")</f>
        <v>January</v>
      </c>
      <c r="E44" s="9">
        <f>YEAR(Table4[[#This Row],[issue_date]])</f>
        <v>2024</v>
      </c>
      <c r="F44" t="s">
        <v>19</v>
      </c>
      <c r="G44">
        <v>70</v>
      </c>
      <c r="H44" t="s">
        <v>23</v>
      </c>
      <c r="I44" t="str">
        <f>VLOOKUP(Table4[[#This Row],[customer_id]],customers!A:G,4,)</f>
        <v>hyderabad</v>
      </c>
    </row>
    <row r="45" spans="1:9" x14ac:dyDescent="0.3">
      <c r="A45">
        <v>20044</v>
      </c>
      <c r="B45">
        <v>488</v>
      </c>
      <c r="C45" s="2">
        <v>44680</v>
      </c>
      <c r="D45" s="2" t="str">
        <f>TEXT(Table4[[#This Row],[issue_date]],"mmmm")</f>
        <v>April</v>
      </c>
      <c r="E45" s="9">
        <f>YEAR(Table4[[#This Row],[issue_date]])</f>
        <v>2022</v>
      </c>
      <c r="F45" t="s">
        <v>19</v>
      </c>
      <c r="G45">
        <v>28</v>
      </c>
      <c r="H45" t="s">
        <v>23</v>
      </c>
      <c r="I45" t="str">
        <f>VLOOKUP(Table4[[#This Row],[customer_id]],customers!A:G,4,)</f>
        <v>hyderabad</v>
      </c>
    </row>
    <row r="46" spans="1:9" x14ac:dyDescent="0.3">
      <c r="A46">
        <v>20045</v>
      </c>
      <c r="B46">
        <v>446</v>
      </c>
      <c r="C46" s="2">
        <v>44775</v>
      </c>
      <c r="D46" s="2" t="str">
        <f>TEXT(Table4[[#This Row],[issue_date]],"mmmm")</f>
        <v>August</v>
      </c>
      <c r="E46" s="9">
        <f>YEAR(Table4[[#This Row],[issue_date]])</f>
        <v>2022</v>
      </c>
      <c r="F46" t="s">
        <v>21</v>
      </c>
      <c r="G46">
        <v>13</v>
      </c>
      <c r="H46" t="s">
        <v>20</v>
      </c>
      <c r="I46" t="str">
        <f>VLOOKUP(Table4[[#This Row],[customer_id]],customers!A:G,4,)</f>
        <v>kolkata</v>
      </c>
    </row>
    <row r="47" spans="1:9" x14ac:dyDescent="0.3">
      <c r="A47">
        <v>20046</v>
      </c>
      <c r="B47">
        <v>458</v>
      </c>
      <c r="C47" s="2">
        <v>45126</v>
      </c>
      <c r="D47" s="2" t="str">
        <f>TEXT(Table4[[#This Row],[issue_date]],"mmmm")</f>
        <v>July</v>
      </c>
      <c r="E47" s="9">
        <f>YEAR(Table4[[#This Row],[issue_date]])</f>
        <v>2023</v>
      </c>
      <c r="F47" t="s">
        <v>19</v>
      </c>
      <c r="G47">
        <v>29</v>
      </c>
      <c r="H47" t="s">
        <v>20</v>
      </c>
      <c r="I47" t="str">
        <f>VLOOKUP(Table4[[#This Row],[customer_id]],customers!A:G,4,)</f>
        <v>hyderabad</v>
      </c>
    </row>
    <row r="48" spans="1:9" x14ac:dyDescent="0.3">
      <c r="A48">
        <v>20047</v>
      </c>
      <c r="B48">
        <v>16</v>
      </c>
      <c r="C48" s="2">
        <v>45293</v>
      </c>
      <c r="D48" s="2" t="str">
        <f>TEXT(Table4[[#This Row],[issue_date]],"mmmm")</f>
        <v>January</v>
      </c>
      <c r="E48" s="9">
        <f>YEAR(Table4[[#This Row],[issue_date]])</f>
        <v>2024</v>
      </c>
      <c r="F48" t="s">
        <v>22</v>
      </c>
      <c r="G48">
        <v>45</v>
      </c>
      <c r="H48" t="s">
        <v>20</v>
      </c>
      <c r="I48" t="str">
        <f>VLOOKUP(Table4[[#This Row],[customer_id]],customers!A:G,4,)</f>
        <v>bangalore</v>
      </c>
    </row>
    <row r="49" spans="1:9" x14ac:dyDescent="0.3">
      <c r="A49">
        <v>20048</v>
      </c>
      <c r="B49">
        <v>79</v>
      </c>
      <c r="C49" s="2">
        <v>45000</v>
      </c>
      <c r="D49" s="2" t="str">
        <f>TEXT(Table4[[#This Row],[issue_date]],"mmmm")</f>
        <v>March</v>
      </c>
      <c r="E49" s="9">
        <f>YEAR(Table4[[#This Row],[issue_date]])</f>
        <v>2023</v>
      </c>
      <c r="F49" t="s">
        <v>21</v>
      </c>
      <c r="G49">
        <v>20</v>
      </c>
      <c r="H49" t="s">
        <v>20</v>
      </c>
      <c r="I49" t="str">
        <f>VLOOKUP(Table4[[#This Row],[customer_id]],customers!A:G,4,)</f>
        <v>delhi</v>
      </c>
    </row>
    <row r="50" spans="1:9" x14ac:dyDescent="0.3">
      <c r="A50">
        <v>20049</v>
      </c>
      <c r="B50">
        <v>13</v>
      </c>
      <c r="C50" s="2">
        <v>45316</v>
      </c>
      <c r="D50" s="2" t="str">
        <f>TEXT(Table4[[#This Row],[issue_date]],"mmmm")</f>
        <v>January</v>
      </c>
      <c r="E50" s="9">
        <f>YEAR(Table4[[#This Row],[issue_date]])</f>
        <v>2024</v>
      </c>
      <c r="F50" t="s">
        <v>19</v>
      </c>
      <c r="G50">
        <v>58</v>
      </c>
      <c r="H50" t="s">
        <v>20</v>
      </c>
      <c r="I50" t="str">
        <f>VLOOKUP(Table4[[#This Row],[customer_id]],customers!A:G,4,)</f>
        <v>kolkata</v>
      </c>
    </row>
    <row r="51" spans="1:9" x14ac:dyDescent="0.3">
      <c r="A51">
        <v>20050</v>
      </c>
      <c r="B51">
        <v>370</v>
      </c>
      <c r="C51" s="2">
        <v>45126</v>
      </c>
      <c r="D51" s="2" t="str">
        <f>TEXT(Table4[[#This Row],[issue_date]],"mmmm")</f>
        <v>July</v>
      </c>
      <c r="E51" s="9">
        <f>YEAR(Table4[[#This Row],[issue_date]])</f>
        <v>2023</v>
      </c>
      <c r="F51" t="s">
        <v>19</v>
      </c>
      <c r="G51">
        <v>54</v>
      </c>
      <c r="H51" t="s">
        <v>20</v>
      </c>
      <c r="I51" t="str">
        <f>VLOOKUP(Table4[[#This Row],[customer_id]],customers!A:G,4,)</f>
        <v>kolkata</v>
      </c>
    </row>
    <row r="52" spans="1:9" x14ac:dyDescent="0.3">
      <c r="A52">
        <v>20051</v>
      </c>
      <c r="B52">
        <v>102</v>
      </c>
      <c r="C52" s="2">
        <v>45190</v>
      </c>
      <c r="D52" s="2" t="str">
        <f>TEXT(Table4[[#This Row],[issue_date]],"mmmm")</f>
        <v>September</v>
      </c>
      <c r="E52" s="9">
        <f>YEAR(Table4[[#This Row],[issue_date]])</f>
        <v>2023</v>
      </c>
      <c r="F52" t="s">
        <v>19</v>
      </c>
      <c r="G52">
        <v>64</v>
      </c>
      <c r="H52" t="s">
        <v>20</v>
      </c>
      <c r="I52" t="str">
        <f>VLOOKUP(Table4[[#This Row],[customer_id]],customers!A:G,4,)</f>
        <v>delhi</v>
      </c>
    </row>
    <row r="53" spans="1:9" x14ac:dyDescent="0.3">
      <c r="A53">
        <v>20052</v>
      </c>
      <c r="B53">
        <v>404</v>
      </c>
      <c r="C53" s="2">
        <v>45008</v>
      </c>
      <c r="D53" s="2" t="str">
        <f>TEXT(Table4[[#This Row],[issue_date]],"mmmm")</f>
        <v>March</v>
      </c>
      <c r="E53" s="9">
        <f>YEAR(Table4[[#This Row],[issue_date]])</f>
        <v>2023</v>
      </c>
      <c r="F53" t="s">
        <v>22</v>
      </c>
      <c r="G53">
        <v>52</v>
      </c>
      <c r="H53" t="s">
        <v>20</v>
      </c>
      <c r="I53" t="str">
        <f>VLOOKUP(Table4[[#This Row],[customer_id]],customers!A:G,4,)</f>
        <v>hyderabad</v>
      </c>
    </row>
    <row r="54" spans="1:9" x14ac:dyDescent="0.3">
      <c r="A54">
        <v>20053</v>
      </c>
      <c r="B54">
        <v>152</v>
      </c>
      <c r="C54" s="2">
        <v>45404</v>
      </c>
      <c r="D54" s="2" t="str">
        <f>TEXT(Table4[[#This Row],[issue_date]],"mmmm")</f>
        <v>April</v>
      </c>
      <c r="E54" s="9">
        <f>YEAR(Table4[[#This Row],[issue_date]])</f>
        <v>2024</v>
      </c>
      <c r="F54" t="s">
        <v>21</v>
      </c>
      <c r="G54">
        <v>43</v>
      </c>
      <c r="H54" t="s">
        <v>20</v>
      </c>
      <c r="I54" t="str">
        <f>VLOOKUP(Table4[[#This Row],[customer_id]],customers!A:G,4,)</f>
        <v>bangalore</v>
      </c>
    </row>
    <row r="55" spans="1:9" x14ac:dyDescent="0.3">
      <c r="A55">
        <v>20054</v>
      </c>
      <c r="B55">
        <v>489</v>
      </c>
      <c r="C55" s="2">
        <v>44603</v>
      </c>
      <c r="D55" s="2" t="str">
        <f>TEXT(Table4[[#This Row],[issue_date]],"mmmm")</f>
        <v>February</v>
      </c>
      <c r="E55" s="9">
        <f>YEAR(Table4[[#This Row],[issue_date]])</f>
        <v>2022</v>
      </c>
      <c r="F55" t="s">
        <v>22</v>
      </c>
      <c r="G55">
        <v>18</v>
      </c>
      <c r="H55" t="s">
        <v>20</v>
      </c>
      <c r="I55" t="str">
        <f>VLOOKUP(Table4[[#This Row],[customer_id]],customers!A:G,4,)</f>
        <v>chennai</v>
      </c>
    </row>
    <row r="56" spans="1:9" x14ac:dyDescent="0.3">
      <c r="A56">
        <v>20055</v>
      </c>
      <c r="B56">
        <v>178</v>
      </c>
      <c r="C56" s="2">
        <v>44956</v>
      </c>
      <c r="D56" s="2" t="str">
        <f>TEXT(Table4[[#This Row],[issue_date]],"mmmm")</f>
        <v>January</v>
      </c>
      <c r="E56" s="9">
        <f>YEAR(Table4[[#This Row],[issue_date]])</f>
        <v>2023</v>
      </c>
      <c r="F56" t="s">
        <v>19</v>
      </c>
      <c r="G56">
        <v>54</v>
      </c>
      <c r="H56" t="s">
        <v>20</v>
      </c>
      <c r="I56" t="str">
        <f>VLOOKUP(Table4[[#This Row],[customer_id]],customers!A:G,4,)</f>
        <v>chennai</v>
      </c>
    </row>
    <row r="57" spans="1:9" x14ac:dyDescent="0.3">
      <c r="A57">
        <v>20056</v>
      </c>
      <c r="B57">
        <v>391</v>
      </c>
      <c r="C57" s="2">
        <v>44808</v>
      </c>
      <c r="D57" s="2" t="str">
        <f>TEXT(Table4[[#This Row],[issue_date]],"mmmm")</f>
        <v>September</v>
      </c>
      <c r="E57" s="9">
        <f>YEAR(Table4[[#This Row],[issue_date]])</f>
        <v>2022</v>
      </c>
      <c r="F57" t="s">
        <v>22</v>
      </c>
      <c r="G57">
        <v>60</v>
      </c>
      <c r="H57" t="s">
        <v>20</v>
      </c>
      <c r="I57" t="str">
        <f>VLOOKUP(Table4[[#This Row],[customer_id]],customers!A:G,4,)</f>
        <v>chennai</v>
      </c>
    </row>
    <row r="58" spans="1:9" x14ac:dyDescent="0.3">
      <c r="A58">
        <v>20057</v>
      </c>
      <c r="B58">
        <v>87</v>
      </c>
      <c r="C58" s="2">
        <v>44852</v>
      </c>
      <c r="D58" s="2" t="str">
        <f>TEXT(Table4[[#This Row],[issue_date]],"mmmm")</f>
        <v>October</v>
      </c>
      <c r="E58" s="9">
        <f>YEAR(Table4[[#This Row],[issue_date]])</f>
        <v>2022</v>
      </c>
      <c r="F58" t="s">
        <v>19</v>
      </c>
      <c r="G58">
        <v>71</v>
      </c>
      <c r="H58" t="s">
        <v>23</v>
      </c>
      <c r="I58" t="str">
        <f>VLOOKUP(Table4[[#This Row],[customer_id]],customers!A:G,4,)</f>
        <v>hyderabad</v>
      </c>
    </row>
    <row r="59" spans="1:9" x14ac:dyDescent="0.3">
      <c r="A59">
        <v>20058</v>
      </c>
      <c r="B59">
        <v>88</v>
      </c>
      <c r="C59" s="2">
        <v>44809</v>
      </c>
      <c r="D59" s="2" t="str">
        <f>TEXT(Table4[[#This Row],[issue_date]],"mmmm")</f>
        <v>September</v>
      </c>
      <c r="E59" s="9">
        <f>YEAR(Table4[[#This Row],[issue_date]])</f>
        <v>2022</v>
      </c>
      <c r="F59" t="s">
        <v>19</v>
      </c>
      <c r="G59">
        <v>1</v>
      </c>
      <c r="H59" t="s">
        <v>20</v>
      </c>
      <c r="I59" t="str">
        <f>VLOOKUP(Table4[[#This Row],[customer_id]],customers!A:G,4,)</f>
        <v>mumbai</v>
      </c>
    </row>
    <row r="60" spans="1:9" x14ac:dyDescent="0.3">
      <c r="A60">
        <v>20059</v>
      </c>
      <c r="B60">
        <v>29</v>
      </c>
      <c r="C60" s="2">
        <v>45174</v>
      </c>
      <c r="D60" s="2" t="str">
        <f>TEXT(Table4[[#This Row],[issue_date]],"mmmm")</f>
        <v>September</v>
      </c>
      <c r="E60" s="9">
        <f>YEAR(Table4[[#This Row],[issue_date]])</f>
        <v>2023</v>
      </c>
      <c r="F60" t="s">
        <v>21</v>
      </c>
      <c r="G60">
        <v>37</v>
      </c>
      <c r="H60" t="s">
        <v>20</v>
      </c>
      <c r="I60" t="str">
        <f>VLOOKUP(Table4[[#This Row],[customer_id]],customers!A:G,4,)</f>
        <v>kolkata</v>
      </c>
    </row>
    <row r="61" spans="1:9" x14ac:dyDescent="0.3">
      <c r="A61">
        <v>20060</v>
      </c>
      <c r="B61">
        <v>389</v>
      </c>
      <c r="C61" s="2">
        <v>45160</v>
      </c>
      <c r="D61" s="2" t="str">
        <f>TEXT(Table4[[#This Row],[issue_date]],"mmmm")</f>
        <v>August</v>
      </c>
      <c r="E61" s="9">
        <f>YEAR(Table4[[#This Row],[issue_date]])</f>
        <v>2023</v>
      </c>
      <c r="F61" t="s">
        <v>21</v>
      </c>
      <c r="G61">
        <v>49</v>
      </c>
      <c r="H61" t="s">
        <v>23</v>
      </c>
      <c r="I61" t="str">
        <f>VLOOKUP(Table4[[#This Row],[customer_id]],customers!A:G,4,)</f>
        <v>bangalore</v>
      </c>
    </row>
    <row r="62" spans="1:9" x14ac:dyDescent="0.3">
      <c r="A62">
        <v>20061</v>
      </c>
      <c r="B62">
        <v>363</v>
      </c>
      <c r="C62" s="2">
        <v>45426</v>
      </c>
      <c r="D62" s="2" t="str">
        <f>TEXT(Table4[[#This Row],[issue_date]],"mmmm")</f>
        <v>May</v>
      </c>
      <c r="E62" s="9">
        <f>YEAR(Table4[[#This Row],[issue_date]])</f>
        <v>2024</v>
      </c>
      <c r="F62" t="s">
        <v>19</v>
      </c>
      <c r="G62">
        <v>35</v>
      </c>
      <c r="H62" t="s">
        <v>20</v>
      </c>
      <c r="I62" t="str">
        <f>VLOOKUP(Table4[[#This Row],[customer_id]],customers!A:G,4,)</f>
        <v>delhi</v>
      </c>
    </row>
    <row r="63" spans="1:9" x14ac:dyDescent="0.3">
      <c r="A63">
        <v>20062</v>
      </c>
      <c r="B63">
        <v>493</v>
      </c>
      <c r="C63" s="2">
        <v>45010</v>
      </c>
      <c r="D63" s="2" t="str">
        <f>TEXT(Table4[[#This Row],[issue_date]],"mmmm")</f>
        <v>March</v>
      </c>
      <c r="E63" s="9">
        <f>YEAR(Table4[[#This Row],[issue_date]])</f>
        <v>2023</v>
      </c>
      <c r="F63" t="s">
        <v>19</v>
      </c>
      <c r="G63">
        <v>67</v>
      </c>
      <c r="H63" t="s">
        <v>20</v>
      </c>
      <c r="I63" t="str">
        <f>VLOOKUP(Table4[[#This Row],[customer_id]],customers!A:G,4,)</f>
        <v>kolkata</v>
      </c>
    </row>
    <row r="64" spans="1:9" x14ac:dyDescent="0.3">
      <c r="A64">
        <v>20063</v>
      </c>
      <c r="B64">
        <v>419</v>
      </c>
      <c r="C64" s="2">
        <v>44645</v>
      </c>
      <c r="D64" s="2" t="str">
        <f>TEXT(Table4[[#This Row],[issue_date]],"mmmm")</f>
        <v>March</v>
      </c>
      <c r="E64" s="9">
        <f>YEAR(Table4[[#This Row],[issue_date]])</f>
        <v>2022</v>
      </c>
      <c r="F64" t="s">
        <v>19</v>
      </c>
      <c r="G64">
        <v>35</v>
      </c>
      <c r="H64" t="s">
        <v>20</v>
      </c>
      <c r="I64" t="str">
        <f>VLOOKUP(Table4[[#This Row],[customer_id]],customers!A:G,4,)</f>
        <v>kolkata</v>
      </c>
    </row>
    <row r="65" spans="1:9" x14ac:dyDescent="0.3">
      <c r="A65">
        <v>20064</v>
      </c>
      <c r="B65">
        <v>321</v>
      </c>
      <c r="C65" s="2">
        <v>45334</v>
      </c>
      <c r="D65" s="2" t="str">
        <f>TEXT(Table4[[#This Row],[issue_date]],"mmmm")</f>
        <v>February</v>
      </c>
      <c r="E65" s="9">
        <f>YEAR(Table4[[#This Row],[issue_date]])</f>
        <v>2024</v>
      </c>
      <c r="F65" t="s">
        <v>21</v>
      </c>
      <c r="G65">
        <v>9</v>
      </c>
      <c r="H65" t="s">
        <v>20</v>
      </c>
      <c r="I65" t="str">
        <f>VLOOKUP(Table4[[#This Row],[customer_id]],customers!A:G,4,)</f>
        <v>hyderabad</v>
      </c>
    </row>
    <row r="66" spans="1:9" x14ac:dyDescent="0.3">
      <c r="A66">
        <v>20065</v>
      </c>
      <c r="B66">
        <v>100</v>
      </c>
      <c r="C66" s="2">
        <v>44782</v>
      </c>
      <c r="D66" s="2" t="str">
        <f>TEXT(Table4[[#This Row],[issue_date]],"mmmm")</f>
        <v>August</v>
      </c>
      <c r="E66" s="9">
        <f>YEAR(Table4[[#This Row],[issue_date]])</f>
        <v>2022</v>
      </c>
      <c r="F66" t="s">
        <v>21</v>
      </c>
      <c r="G66">
        <v>37</v>
      </c>
      <c r="H66" t="s">
        <v>20</v>
      </c>
      <c r="I66" t="str">
        <f>VLOOKUP(Table4[[#This Row],[customer_id]],customers!A:G,4,)</f>
        <v>mumbai</v>
      </c>
    </row>
    <row r="67" spans="1:9" x14ac:dyDescent="0.3">
      <c r="A67">
        <v>20066</v>
      </c>
      <c r="B67">
        <v>115</v>
      </c>
      <c r="C67" s="2">
        <v>45227</v>
      </c>
      <c r="D67" s="2" t="str">
        <f>TEXT(Table4[[#This Row],[issue_date]],"mmmm")</f>
        <v>October</v>
      </c>
      <c r="E67" s="9">
        <f>YEAR(Table4[[#This Row],[issue_date]])</f>
        <v>2023</v>
      </c>
      <c r="F67" t="s">
        <v>19</v>
      </c>
      <c r="G67">
        <v>60</v>
      </c>
      <c r="H67" t="s">
        <v>20</v>
      </c>
      <c r="I67" t="str">
        <f>VLOOKUP(Table4[[#This Row],[customer_id]],customers!A:G,4,)</f>
        <v>bangalore</v>
      </c>
    </row>
    <row r="68" spans="1:9" x14ac:dyDescent="0.3">
      <c r="A68">
        <v>20067</v>
      </c>
      <c r="B68">
        <v>210</v>
      </c>
      <c r="C68" s="2">
        <v>44612</v>
      </c>
      <c r="D68" s="2" t="str">
        <f>TEXT(Table4[[#This Row],[issue_date]],"mmmm")</f>
        <v>February</v>
      </c>
      <c r="E68" s="9">
        <f>YEAR(Table4[[#This Row],[issue_date]])</f>
        <v>2022</v>
      </c>
      <c r="F68" t="s">
        <v>21</v>
      </c>
      <c r="G68">
        <v>56</v>
      </c>
      <c r="H68" t="s">
        <v>20</v>
      </c>
      <c r="I68" t="str">
        <f>VLOOKUP(Table4[[#This Row],[customer_id]],customers!A:G,4,)</f>
        <v>kolkata</v>
      </c>
    </row>
    <row r="69" spans="1:9" x14ac:dyDescent="0.3">
      <c r="A69">
        <v>20068</v>
      </c>
      <c r="B69">
        <v>454</v>
      </c>
      <c r="C69" s="2">
        <v>45111</v>
      </c>
      <c r="D69" s="2" t="str">
        <f>TEXT(Table4[[#This Row],[issue_date]],"mmmm")</f>
        <v>July</v>
      </c>
      <c r="E69" s="9">
        <f>YEAR(Table4[[#This Row],[issue_date]])</f>
        <v>2023</v>
      </c>
      <c r="F69" t="s">
        <v>19</v>
      </c>
      <c r="G69">
        <v>12</v>
      </c>
      <c r="H69" t="s">
        <v>23</v>
      </c>
      <c r="I69" t="str">
        <f>VLOOKUP(Table4[[#This Row],[customer_id]],customers!A:G,4,)</f>
        <v>chennai</v>
      </c>
    </row>
    <row r="70" spans="1:9" x14ac:dyDescent="0.3">
      <c r="A70">
        <v>20069</v>
      </c>
      <c r="B70">
        <v>343</v>
      </c>
      <c r="C70" s="2">
        <v>45332</v>
      </c>
      <c r="D70" s="2" t="str">
        <f>TEXT(Table4[[#This Row],[issue_date]],"mmmm")</f>
        <v>February</v>
      </c>
      <c r="E70" s="9">
        <f>YEAR(Table4[[#This Row],[issue_date]])</f>
        <v>2024</v>
      </c>
      <c r="F70" t="s">
        <v>22</v>
      </c>
      <c r="G70">
        <v>71</v>
      </c>
      <c r="H70" t="s">
        <v>20</v>
      </c>
      <c r="I70" t="str">
        <f>VLOOKUP(Table4[[#This Row],[customer_id]],customers!A:G,4,)</f>
        <v>delhi</v>
      </c>
    </row>
    <row r="71" spans="1:9" x14ac:dyDescent="0.3">
      <c r="A71">
        <v>20070</v>
      </c>
      <c r="B71">
        <v>74</v>
      </c>
      <c r="C71" s="2">
        <v>44748</v>
      </c>
      <c r="D71" s="2" t="str">
        <f>TEXT(Table4[[#This Row],[issue_date]],"mmmm")</f>
        <v>July</v>
      </c>
      <c r="E71" s="9">
        <f>YEAR(Table4[[#This Row],[issue_date]])</f>
        <v>2022</v>
      </c>
      <c r="F71" t="s">
        <v>21</v>
      </c>
      <c r="G71">
        <v>71</v>
      </c>
      <c r="H71" t="s">
        <v>23</v>
      </c>
      <c r="I71" t="str">
        <f>VLOOKUP(Table4[[#This Row],[customer_id]],customers!A:G,4,)</f>
        <v>hyderabad</v>
      </c>
    </row>
    <row r="72" spans="1:9" x14ac:dyDescent="0.3">
      <c r="A72">
        <v>20071</v>
      </c>
      <c r="B72">
        <v>135</v>
      </c>
      <c r="C72" s="2">
        <v>45086</v>
      </c>
      <c r="D72" s="2" t="str">
        <f>TEXT(Table4[[#This Row],[issue_date]],"mmmm")</f>
        <v>June</v>
      </c>
      <c r="E72" s="9">
        <f>YEAR(Table4[[#This Row],[issue_date]])</f>
        <v>2023</v>
      </c>
      <c r="F72" t="s">
        <v>19</v>
      </c>
      <c r="G72">
        <v>4</v>
      </c>
      <c r="H72" t="s">
        <v>20</v>
      </c>
      <c r="I72" t="str">
        <f>VLOOKUP(Table4[[#This Row],[customer_id]],customers!A:G,4,)</f>
        <v>chennai</v>
      </c>
    </row>
    <row r="73" spans="1:9" x14ac:dyDescent="0.3">
      <c r="A73">
        <v>20072</v>
      </c>
      <c r="B73">
        <v>428</v>
      </c>
      <c r="C73" s="2">
        <v>44784</v>
      </c>
      <c r="D73" s="2" t="str">
        <f>TEXT(Table4[[#This Row],[issue_date]],"mmmm")</f>
        <v>August</v>
      </c>
      <c r="E73" s="9">
        <f>YEAR(Table4[[#This Row],[issue_date]])</f>
        <v>2022</v>
      </c>
      <c r="F73" t="s">
        <v>22</v>
      </c>
      <c r="G73">
        <v>61</v>
      </c>
      <c r="H73" t="s">
        <v>23</v>
      </c>
      <c r="I73" t="str">
        <f>VLOOKUP(Table4[[#This Row],[customer_id]],customers!A:G,4,)</f>
        <v>bangalore</v>
      </c>
    </row>
    <row r="74" spans="1:9" x14ac:dyDescent="0.3">
      <c r="A74">
        <v>20073</v>
      </c>
      <c r="B74">
        <v>456</v>
      </c>
      <c r="C74" s="2">
        <v>45026</v>
      </c>
      <c r="D74" s="2" t="str">
        <f>TEXT(Table4[[#This Row],[issue_date]],"mmmm")</f>
        <v>April</v>
      </c>
      <c r="E74" s="9">
        <f>YEAR(Table4[[#This Row],[issue_date]])</f>
        <v>2023</v>
      </c>
      <c r="F74" t="s">
        <v>19</v>
      </c>
      <c r="G74">
        <v>45</v>
      </c>
      <c r="H74" t="s">
        <v>20</v>
      </c>
      <c r="I74" t="str">
        <f>VLOOKUP(Table4[[#This Row],[customer_id]],customers!A:G,4,)</f>
        <v>kolkata</v>
      </c>
    </row>
    <row r="75" spans="1:9" x14ac:dyDescent="0.3">
      <c r="A75">
        <v>20074</v>
      </c>
      <c r="B75">
        <v>269</v>
      </c>
      <c r="C75" s="2">
        <v>44980</v>
      </c>
      <c r="D75" s="2" t="str">
        <f>TEXT(Table4[[#This Row],[issue_date]],"mmmm")</f>
        <v>February</v>
      </c>
      <c r="E75" s="9">
        <f>YEAR(Table4[[#This Row],[issue_date]])</f>
        <v>2023</v>
      </c>
      <c r="F75" t="s">
        <v>22</v>
      </c>
      <c r="G75">
        <v>50</v>
      </c>
      <c r="H75" t="s">
        <v>20</v>
      </c>
      <c r="I75" t="str">
        <f>VLOOKUP(Table4[[#This Row],[customer_id]],customers!A:G,4,)</f>
        <v>chennai</v>
      </c>
    </row>
    <row r="76" spans="1:9" x14ac:dyDescent="0.3">
      <c r="A76">
        <v>20075</v>
      </c>
      <c r="B76">
        <v>350</v>
      </c>
      <c r="C76" s="2">
        <v>44648</v>
      </c>
      <c r="D76" s="2" t="str">
        <f>TEXT(Table4[[#This Row],[issue_date]],"mmmm")</f>
        <v>March</v>
      </c>
      <c r="E76" s="9">
        <f>YEAR(Table4[[#This Row],[issue_date]])</f>
        <v>2022</v>
      </c>
      <c r="F76" t="s">
        <v>21</v>
      </c>
      <c r="G76">
        <v>50</v>
      </c>
      <c r="H76" t="s">
        <v>20</v>
      </c>
      <c r="I76" t="str">
        <f>VLOOKUP(Table4[[#This Row],[customer_id]],customers!A:G,4,)</f>
        <v>delhi</v>
      </c>
    </row>
    <row r="77" spans="1:9" x14ac:dyDescent="0.3">
      <c r="A77">
        <v>20076</v>
      </c>
      <c r="B77">
        <v>466</v>
      </c>
      <c r="C77" s="2">
        <v>44820</v>
      </c>
      <c r="D77" s="2" t="str">
        <f>TEXT(Table4[[#This Row],[issue_date]],"mmmm")</f>
        <v>September</v>
      </c>
      <c r="E77" s="9">
        <f>YEAR(Table4[[#This Row],[issue_date]])</f>
        <v>2022</v>
      </c>
      <c r="F77" t="s">
        <v>21</v>
      </c>
      <c r="G77">
        <v>48</v>
      </c>
      <c r="H77" t="s">
        <v>20</v>
      </c>
      <c r="I77" t="str">
        <f>VLOOKUP(Table4[[#This Row],[customer_id]],customers!A:G,4,)</f>
        <v>kolkata</v>
      </c>
    </row>
    <row r="78" spans="1:9" x14ac:dyDescent="0.3">
      <c r="A78">
        <v>20077</v>
      </c>
      <c r="B78">
        <v>78</v>
      </c>
      <c r="C78" s="2">
        <v>44742</v>
      </c>
      <c r="D78" s="2" t="str">
        <f>TEXT(Table4[[#This Row],[issue_date]],"mmmm")</f>
        <v>June</v>
      </c>
      <c r="E78" s="9">
        <f>YEAR(Table4[[#This Row],[issue_date]])</f>
        <v>2022</v>
      </c>
      <c r="F78" t="s">
        <v>19</v>
      </c>
      <c r="G78">
        <v>23</v>
      </c>
      <c r="H78" t="s">
        <v>20</v>
      </c>
      <c r="I78" t="str">
        <f>VLOOKUP(Table4[[#This Row],[customer_id]],customers!A:G,4,)</f>
        <v>kolkata</v>
      </c>
    </row>
    <row r="79" spans="1:9" x14ac:dyDescent="0.3">
      <c r="A79">
        <v>20078</v>
      </c>
      <c r="B79">
        <v>459</v>
      </c>
      <c r="C79" s="2">
        <v>44872</v>
      </c>
      <c r="D79" s="2" t="str">
        <f>TEXT(Table4[[#This Row],[issue_date]],"mmmm")</f>
        <v>November</v>
      </c>
      <c r="E79" s="9">
        <f>YEAR(Table4[[#This Row],[issue_date]])</f>
        <v>2022</v>
      </c>
      <c r="F79" t="s">
        <v>21</v>
      </c>
      <c r="G79">
        <v>8</v>
      </c>
      <c r="H79" t="s">
        <v>20</v>
      </c>
      <c r="I79" t="str">
        <f>VLOOKUP(Table4[[#This Row],[customer_id]],customers!A:G,4,)</f>
        <v>chennai</v>
      </c>
    </row>
    <row r="80" spans="1:9" x14ac:dyDescent="0.3">
      <c r="A80">
        <v>20079</v>
      </c>
      <c r="B80">
        <v>380</v>
      </c>
      <c r="C80" s="2">
        <v>44734</v>
      </c>
      <c r="D80" s="2" t="str">
        <f>TEXT(Table4[[#This Row],[issue_date]],"mmmm")</f>
        <v>June</v>
      </c>
      <c r="E80" s="9">
        <f>YEAR(Table4[[#This Row],[issue_date]])</f>
        <v>2022</v>
      </c>
      <c r="F80" t="s">
        <v>21</v>
      </c>
      <c r="G80">
        <v>29</v>
      </c>
      <c r="H80" t="s">
        <v>20</v>
      </c>
      <c r="I80" t="str">
        <f>VLOOKUP(Table4[[#This Row],[customer_id]],customers!A:G,4,)</f>
        <v>delhi</v>
      </c>
    </row>
    <row r="81" spans="1:9" x14ac:dyDescent="0.3">
      <c r="A81">
        <v>20080</v>
      </c>
      <c r="B81">
        <v>490</v>
      </c>
      <c r="C81" s="2">
        <v>44883</v>
      </c>
      <c r="D81" s="2" t="str">
        <f>TEXT(Table4[[#This Row],[issue_date]],"mmmm")</f>
        <v>November</v>
      </c>
      <c r="E81" s="9">
        <f>YEAR(Table4[[#This Row],[issue_date]])</f>
        <v>2022</v>
      </c>
      <c r="F81" t="s">
        <v>22</v>
      </c>
      <c r="G81">
        <v>43</v>
      </c>
      <c r="H81" t="s">
        <v>20</v>
      </c>
      <c r="I81" t="str">
        <f>VLOOKUP(Table4[[#This Row],[customer_id]],customers!A:G,4,)</f>
        <v>chennai</v>
      </c>
    </row>
    <row r="82" spans="1:9" x14ac:dyDescent="0.3">
      <c r="A82">
        <v>20081</v>
      </c>
      <c r="B82">
        <v>125</v>
      </c>
      <c r="C82" s="2">
        <v>45268</v>
      </c>
      <c r="D82" s="2" t="str">
        <f>TEXT(Table4[[#This Row],[issue_date]],"mmmm")</f>
        <v>December</v>
      </c>
      <c r="E82" s="9">
        <f>YEAR(Table4[[#This Row],[issue_date]])</f>
        <v>2023</v>
      </c>
      <c r="F82" t="s">
        <v>21</v>
      </c>
      <c r="G82">
        <v>53</v>
      </c>
      <c r="H82" t="s">
        <v>20</v>
      </c>
      <c r="I82" t="str">
        <f>VLOOKUP(Table4[[#This Row],[customer_id]],customers!A:G,4,)</f>
        <v>bangalore</v>
      </c>
    </row>
    <row r="83" spans="1:9" x14ac:dyDescent="0.3">
      <c r="A83">
        <v>20082</v>
      </c>
      <c r="B83">
        <v>38</v>
      </c>
      <c r="C83" s="2">
        <v>44901</v>
      </c>
      <c r="D83" s="2" t="str">
        <f>TEXT(Table4[[#This Row],[issue_date]],"mmmm")</f>
        <v>December</v>
      </c>
      <c r="E83" s="9">
        <f>YEAR(Table4[[#This Row],[issue_date]])</f>
        <v>2022</v>
      </c>
      <c r="F83" t="s">
        <v>22</v>
      </c>
      <c r="G83">
        <v>6</v>
      </c>
      <c r="H83" t="s">
        <v>20</v>
      </c>
      <c r="I83" t="str">
        <f>VLOOKUP(Table4[[#This Row],[customer_id]],customers!A:G,4,)</f>
        <v>mumbai</v>
      </c>
    </row>
    <row r="84" spans="1:9" x14ac:dyDescent="0.3">
      <c r="A84">
        <v>20083</v>
      </c>
      <c r="B84">
        <v>269</v>
      </c>
      <c r="C84" s="2">
        <v>45057</v>
      </c>
      <c r="D84" s="2" t="str">
        <f>TEXT(Table4[[#This Row],[issue_date]],"mmmm")</f>
        <v>May</v>
      </c>
      <c r="E84" s="9">
        <f>YEAR(Table4[[#This Row],[issue_date]])</f>
        <v>2023</v>
      </c>
      <c r="F84" t="s">
        <v>22</v>
      </c>
      <c r="G84">
        <v>24</v>
      </c>
      <c r="H84" t="s">
        <v>20</v>
      </c>
      <c r="I84" t="str">
        <f>VLOOKUP(Table4[[#This Row],[customer_id]],customers!A:G,4,)</f>
        <v>chennai</v>
      </c>
    </row>
    <row r="85" spans="1:9" x14ac:dyDescent="0.3">
      <c r="A85">
        <v>20084</v>
      </c>
      <c r="B85">
        <v>310</v>
      </c>
      <c r="C85" s="2">
        <v>44806</v>
      </c>
      <c r="D85" s="2" t="str">
        <f>TEXT(Table4[[#This Row],[issue_date]],"mmmm")</f>
        <v>September</v>
      </c>
      <c r="E85" s="9">
        <f>YEAR(Table4[[#This Row],[issue_date]])</f>
        <v>2022</v>
      </c>
      <c r="F85" t="s">
        <v>22</v>
      </c>
      <c r="G85">
        <v>14</v>
      </c>
      <c r="H85" t="s">
        <v>20</v>
      </c>
      <c r="I85" t="str">
        <f>VLOOKUP(Table4[[#This Row],[customer_id]],customers!A:G,4,)</f>
        <v>kolkata</v>
      </c>
    </row>
    <row r="86" spans="1:9" x14ac:dyDescent="0.3">
      <c r="A86">
        <v>20085</v>
      </c>
      <c r="B86">
        <v>106</v>
      </c>
      <c r="C86" s="2">
        <v>45066</v>
      </c>
      <c r="D86" s="2" t="str">
        <f>TEXT(Table4[[#This Row],[issue_date]],"mmmm")</f>
        <v>May</v>
      </c>
      <c r="E86" s="9">
        <f>YEAR(Table4[[#This Row],[issue_date]])</f>
        <v>2023</v>
      </c>
      <c r="F86" t="s">
        <v>21</v>
      </c>
      <c r="G86">
        <v>52</v>
      </c>
      <c r="H86" t="s">
        <v>20</v>
      </c>
      <c r="I86" t="str">
        <f>VLOOKUP(Table4[[#This Row],[customer_id]],customers!A:G,4,)</f>
        <v>bangalore</v>
      </c>
    </row>
    <row r="87" spans="1:9" x14ac:dyDescent="0.3">
      <c r="A87">
        <v>20086</v>
      </c>
      <c r="B87">
        <v>44</v>
      </c>
      <c r="C87" s="2">
        <v>44890</v>
      </c>
      <c r="D87" s="2" t="str">
        <f>TEXT(Table4[[#This Row],[issue_date]],"mmmm")</f>
        <v>November</v>
      </c>
      <c r="E87" s="9">
        <f>YEAR(Table4[[#This Row],[issue_date]])</f>
        <v>2022</v>
      </c>
      <c r="F87" t="s">
        <v>19</v>
      </c>
      <c r="G87">
        <v>70</v>
      </c>
      <c r="H87" t="s">
        <v>20</v>
      </c>
      <c r="I87" t="str">
        <f>VLOOKUP(Table4[[#This Row],[customer_id]],customers!A:G,4,)</f>
        <v>mumbai</v>
      </c>
    </row>
    <row r="88" spans="1:9" x14ac:dyDescent="0.3">
      <c r="A88">
        <v>20087</v>
      </c>
      <c r="B88">
        <v>225</v>
      </c>
      <c r="C88" s="2">
        <v>45441</v>
      </c>
      <c r="D88" s="2" t="str">
        <f>TEXT(Table4[[#This Row],[issue_date]],"mmmm")</f>
        <v>May</v>
      </c>
      <c r="E88" s="9">
        <f>YEAR(Table4[[#This Row],[issue_date]])</f>
        <v>2024</v>
      </c>
      <c r="F88" t="s">
        <v>19</v>
      </c>
      <c r="G88">
        <v>4</v>
      </c>
      <c r="H88" t="s">
        <v>20</v>
      </c>
      <c r="I88" t="str">
        <f>VLOOKUP(Table4[[#This Row],[customer_id]],customers!A:G,4,)</f>
        <v>hyderabad</v>
      </c>
    </row>
    <row r="89" spans="1:9" x14ac:dyDescent="0.3">
      <c r="A89">
        <v>20088</v>
      </c>
      <c r="B89">
        <v>242</v>
      </c>
      <c r="C89" s="2">
        <v>44757</v>
      </c>
      <c r="D89" s="2" t="str">
        <f>TEXT(Table4[[#This Row],[issue_date]],"mmmm")</f>
        <v>July</v>
      </c>
      <c r="E89" s="9">
        <f>YEAR(Table4[[#This Row],[issue_date]])</f>
        <v>2022</v>
      </c>
      <c r="F89" t="s">
        <v>21</v>
      </c>
      <c r="G89">
        <v>58</v>
      </c>
      <c r="H89" t="s">
        <v>20</v>
      </c>
      <c r="I89" t="str">
        <f>VLOOKUP(Table4[[#This Row],[customer_id]],customers!A:G,4,)</f>
        <v>hyderabad</v>
      </c>
    </row>
    <row r="90" spans="1:9" x14ac:dyDescent="0.3">
      <c r="A90">
        <v>20089</v>
      </c>
      <c r="B90">
        <v>397</v>
      </c>
      <c r="C90" s="2">
        <v>44623</v>
      </c>
      <c r="D90" s="2" t="str">
        <f>TEXT(Table4[[#This Row],[issue_date]],"mmmm")</f>
        <v>March</v>
      </c>
      <c r="E90" s="9">
        <f>YEAR(Table4[[#This Row],[issue_date]])</f>
        <v>2022</v>
      </c>
      <c r="F90" t="s">
        <v>22</v>
      </c>
      <c r="G90">
        <v>37</v>
      </c>
      <c r="H90" t="s">
        <v>20</v>
      </c>
      <c r="I90" t="str">
        <f>VLOOKUP(Table4[[#This Row],[customer_id]],customers!A:G,4,)</f>
        <v>bangalore</v>
      </c>
    </row>
    <row r="91" spans="1:9" x14ac:dyDescent="0.3">
      <c r="A91">
        <v>20090</v>
      </c>
      <c r="B91">
        <v>153</v>
      </c>
      <c r="C91" s="2">
        <v>44586</v>
      </c>
      <c r="D91" s="2" t="str">
        <f>TEXT(Table4[[#This Row],[issue_date]],"mmmm")</f>
        <v>January</v>
      </c>
      <c r="E91" s="9">
        <f>YEAR(Table4[[#This Row],[issue_date]])</f>
        <v>2022</v>
      </c>
      <c r="F91" t="s">
        <v>21</v>
      </c>
      <c r="G91">
        <v>48</v>
      </c>
      <c r="H91" t="s">
        <v>20</v>
      </c>
      <c r="I91" t="str">
        <f>VLOOKUP(Table4[[#This Row],[customer_id]],customers!A:G,4,)</f>
        <v>kolkata</v>
      </c>
    </row>
    <row r="92" spans="1:9" x14ac:dyDescent="0.3">
      <c r="A92">
        <v>20091</v>
      </c>
      <c r="B92">
        <v>24</v>
      </c>
      <c r="C92" s="2">
        <v>45125</v>
      </c>
      <c r="D92" s="2" t="str">
        <f>TEXT(Table4[[#This Row],[issue_date]],"mmmm")</f>
        <v>July</v>
      </c>
      <c r="E92" s="9">
        <f>YEAR(Table4[[#This Row],[issue_date]])</f>
        <v>2023</v>
      </c>
      <c r="F92" t="s">
        <v>19</v>
      </c>
      <c r="G92">
        <v>39</v>
      </c>
      <c r="H92" t="s">
        <v>20</v>
      </c>
      <c r="I92" t="str">
        <f>VLOOKUP(Table4[[#This Row],[customer_id]],customers!A:G,4,)</f>
        <v>kolkata</v>
      </c>
    </row>
    <row r="93" spans="1:9" x14ac:dyDescent="0.3">
      <c r="A93">
        <v>20092</v>
      </c>
      <c r="B93">
        <v>124</v>
      </c>
      <c r="C93" s="2">
        <v>45123</v>
      </c>
      <c r="D93" s="2" t="str">
        <f>TEXT(Table4[[#This Row],[issue_date]],"mmmm")</f>
        <v>July</v>
      </c>
      <c r="E93" s="9">
        <f>YEAR(Table4[[#This Row],[issue_date]])</f>
        <v>2023</v>
      </c>
      <c r="F93" t="s">
        <v>22</v>
      </c>
      <c r="G93">
        <v>66</v>
      </c>
      <c r="H93" t="s">
        <v>20</v>
      </c>
      <c r="I93" t="str">
        <f>VLOOKUP(Table4[[#This Row],[customer_id]],customers!A:G,4,)</f>
        <v>kolkata</v>
      </c>
    </row>
    <row r="94" spans="1:9" x14ac:dyDescent="0.3">
      <c r="A94">
        <v>20093</v>
      </c>
      <c r="B94">
        <v>285</v>
      </c>
      <c r="C94" s="2">
        <v>44939</v>
      </c>
      <c r="D94" s="2" t="str">
        <f>TEXT(Table4[[#This Row],[issue_date]],"mmmm")</f>
        <v>January</v>
      </c>
      <c r="E94" s="9">
        <f>YEAR(Table4[[#This Row],[issue_date]])</f>
        <v>2023</v>
      </c>
      <c r="F94" t="s">
        <v>21</v>
      </c>
      <c r="G94">
        <v>13</v>
      </c>
      <c r="H94" t="s">
        <v>20</v>
      </c>
      <c r="I94" t="str">
        <f>VLOOKUP(Table4[[#This Row],[customer_id]],customers!A:G,4,)</f>
        <v>hyderabad</v>
      </c>
    </row>
    <row r="95" spans="1:9" x14ac:dyDescent="0.3">
      <c r="A95">
        <v>20094</v>
      </c>
      <c r="B95">
        <v>484</v>
      </c>
      <c r="C95" s="2">
        <v>45458</v>
      </c>
      <c r="D95" s="2" t="str">
        <f>TEXT(Table4[[#This Row],[issue_date]],"mmmm")</f>
        <v>June</v>
      </c>
      <c r="E95" s="9">
        <f>YEAR(Table4[[#This Row],[issue_date]])</f>
        <v>2024</v>
      </c>
      <c r="F95" t="s">
        <v>22</v>
      </c>
      <c r="G95">
        <v>66</v>
      </c>
      <c r="H95" t="s">
        <v>20</v>
      </c>
      <c r="I95" t="str">
        <f>VLOOKUP(Table4[[#This Row],[customer_id]],customers!A:G,4,)</f>
        <v>hyderabad</v>
      </c>
    </row>
    <row r="96" spans="1:9" x14ac:dyDescent="0.3">
      <c r="A96">
        <v>20095</v>
      </c>
      <c r="B96">
        <v>454</v>
      </c>
      <c r="C96" s="2">
        <v>44856</v>
      </c>
      <c r="D96" s="2" t="str">
        <f>TEXT(Table4[[#This Row],[issue_date]],"mmmm")</f>
        <v>October</v>
      </c>
      <c r="E96" s="9">
        <f>YEAR(Table4[[#This Row],[issue_date]])</f>
        <v>2022</v>
      </c>
      <c r="F96" t="s">
        <v>22</v>
      </c>
      <c r="G96">
        <v>60</v>
      </c>
      <c r="H96" t="s">
        <v>20</v>
      </c>
      <c r="I96" t="str">
        <f>VLOOKUP(Table4[[#This Row],[customer_id]],customers!A:G,4,)</f>
        <v>chennai</v>
      </c>
    </row>
    <row r="97" spans="1:9" x14ac:dyDescent="0.3">
      <c r="A97">
        <v>20096</v>
      </c>
      <c r="B97">
        <v>402</v>
      </c>
      <c r="C97" s="2">
        <v>44613</v>
      </c>
      <c r="D97" s="2" t="str">
        <f>TEXT(Table4[[#This Row],[issue_date]],"mmmm")</f>
        <v>February</v>
      </c>
      <c r="E97" s="9">
        <f>YEAR(Table4[[#This Row],[issue_date]])</f>
        <v>2022</v>
      </c>
      <c r="F97" t="s">
        <v>19</v>
      </c>
      <c r="G97">
        <v>41</v>
      </c>
      <c r="H97" t="s">
        <v>20</v>
      </c>
      <c r="I97" t="str">
        <f>VLOOKUP(Table4[[#This Row],[customer_id]],customers!A:G,4,)</f>
        <v>bangalore</v>
      </c>
    </row>
    <row r="98" spans="1:9" x14ac:dyDescent="0.3">
      <c r="A98">
        <v>20097</v>
      </c>
      <c r="B98">
        <v>348</v>
      </c>
      <c r="C98" s="2">
        <v>45405</v>
      </c>
      <c r="D98" s="2" t="str">
        <f>TEXT(Table4[[#This Row],[issue_date]],"mmmm")</f>
        <v>April</v>
      </c>
      <c r="E98" s="9">
        <f>YEAR(Table4[[#This Row],[issue_date]])</f>
        <v>2024</v>
      </c>
      <c r="F98" t="s">
        <v>22</v>
      </c>
      <c r="G98">
        <v>32</v>
      </c>
      <c r="H98" t="s">
        <v>20</v>
      </c>
      <c r="I98" t="str">
        <f>VLOOKUP(Table4[[#This Row],[customer_id]],customers!A:G,4,)</f>
        <v>chennai</v>
      </c>
    </row>
    <row r="99" spans="1:9" x14ac:dyDescent="0.3">
      <c r="A99">
        <v>20098</v>
      </c>
      <c r="B99">
        <v>261</v>
      </c>
      <c r="C99" s="2">
        <v>44601</v>
      </c>
      <c r="D99" s="2" t="str">
        <f>TEXT(Table4[[#This Row],[issue_date]],"mmmm")</f>
        <v>February</v>
      </c>
      <c r="E99" s="9">
        <f>YEAR(Table4[[#This Row],[issue_date]])</f>
        <v>2022</v>
      </c>
      <c r="F99" t="s">
        <v>21</v>
      </c>
      <c r="G99">
        <v>52</v>
      </c>
      <c r="H99" t="s">
        <v>20</v>
      </c>
      <c r="I99" t="str">
        <f>VLOOKUP(Table4[[#This Row],[customer_id]],customers!A:G,4,)</f>
        <v>mumbai</v>
      </c>
    </row>
    <row r="100" spans="1:9" x14ac:dyDescent="0.3">
      <c r="A100">
        <v>20099</v>
      </c>
      <c r="B100">
        <v>146</v>
      </c>
      <c r="C100" s="2">
        <v>45305</v>
      </c>
      <c r="D100" s="2" t="str">
        <f>TEXT(Table4[[#This Row],[issue_date]],"mmmm")</f>
        <v>January</v>
      </c>
      <c r="E100" s="9">
        <f>YEAR(Table4[[#This Row],[issue_date]])</f>
        <v>2024</v>
      </c>
      <c r="F100" t="s">
        <v>22</v>
      </c>
      <c r="G100">
        <v>5</v>
      </c>
      <c r="H100" t="s">
        <v>20</v>
      </c>
      <c r="I100" t="str">
        <f>VLOOKUP(Table4[[#This Row],[customer_id]],customers!A:G,4,)</f>
        <v>mumbai</v>
      </c>
    </row>
    <row r="101" spans="1:9" x14ac:dyDescent="0.3">
      <c r="A101">
        <v>20100</v>
      </c>
      <c r="B101">
        <v>191</v>
      </c>
      <c r="C101" s="2">
        <v>45133</v>
      </c>
      <c r="D101" s="2" t="str">
        <f>TEXT(Table4[[#This Row],[issue_date]],"mmmm")</f>
        <v>July</v>
      </c>
      <c r="E101" s="9">
        <f>YEAR(Table4[[#This Row],[issue_date]])</f>
        <v>2023</v>
      </c>
      <c r="F101" t="s">
        <v>22</v>
      </c>
      <c r="G101">
        <v>67</v>
      </c>
      <c r="H101" t="s">
        <v>20</v>
      </c>
      <c r="I101" t="str">
        <f>VLOOKUP(Table4[[#This Row],[customer_id]],customers!A:G,4,)</f>
        <v>hyderabad</v>
      </c>
    </row>
    <row r="102" spans="1:9" x14ac:dyDescent="0.3">
      <c r="A102">
        <v>20101</v>
      </c>
      <c r="B102">
        <v>381</v>
      </c>
      <c r="C102" s="2">
        <v>45289</v>
      </c>
      <c r="D102" s="2" t="str">
        <f>TEXT(Table4[[#This Row],[issue_date]],"mmmm")</f>
        <v>December</v>
      </c>
      <c r="E102" s="9">
        <f>YEAR(Table4[[#This Row],[issue_date]])</f>
        <v>2023</v>
      </c>
      <c r="F102" t="s">
        <v>21</v>
      </c>
      <c r="G102">
        <v>66</v>
      </c>
      <c r="H102" t="s">
        <v>20</v>
      </c>
      <c r="I102" t="str">
        <f>VLOOKUP(Table4[[#This Row],[customer_id]],customers!A:G,4,)</f>
        <v>hyderabad</v>
      </c>
    </row>
    <row r="103" spans="1:9" x14ac:dyDescent="0.3">
      <c r="A103">
        <v>20102</v>
      </c>
      <c r="B103">
        <v>165</v>
      </c>
      <c r="C103" s="2">
        <v>45018</v>
      </c>
      <c r="D103" s="2" t="str">
        <f>TEXT(Table4[[#This Row],[issue_date]],"mmmm")</f>
        <v>April</v>
      </c>
      <c r="E103" s="9">
        <f>YEAR(Table4[[#This Row],[issue_date]])</f>
        <v>2023</v>
      </c>
      <c r="F103" t="s">
        <v>19</v>
      </c>
      <c r="G103">
        <v>52</v>
      </c>
      <c r="H103" t="s">
        <v>20</v>
      </c>
      <c r="I103" t="str">
        <f>VLOOKUP(Table4[[#This Row],[customer_id]],customers!A:G,4,)</f>
        <v>mumbai</v>
      </c>
    </row>
    <row r="104" spans="1:9" x14ac:dyDescent="0.3">
      <c r="A104">
        <v>20103</v>
      </c>
      <c r="B104">
        <v>71</v>
      </c>
      <c r="C104" s="2">
        <v>45439</v>
      </c>
      <c r="D104" s="2" t="str">
        <f>TEXT(Table4[[#This Row],[issue_date]],"mmmm")</f>
        <v>May</v>
      </c>
      <c r="E104" s="9">
        <f>YEAR(Table4[[#This Row],[issue_date]])</f>
        <v>2024</v>
      </c>
      <c r="F104" t="s">
        <v>19</v>
      </c>
      <c r="G104">
        <v>49</v>
      </c>
      <c r="H104" t="s">
        <v>20</v>
      </c>
      <c r="I104" t="str">
        <f>VLOOKUP(Table4[[#This Row],[customer_id]],customers!A:G,4,)</f>
        <v>hyderabad</v>
      </c>
    </row>
    <row r="105" spans="1:9" x14ac:dyDescent="0.3">
      <c r="A105">
        <v>20104</v>
      </c>
      <c r="B105">
        <v>439</v>
      </c>
      <c r="C105" s="2">
        <v>45413</v>
      </c>
      <c r="D105" s="2" t="str">
        <f>TEXT(Table4[[#This Row],[issue_date]],"mmmm")</f>
        <v>May</v>
      </c>
      <c r="E105" s="9">
        <f>YEAR(Table4[[#This Row],[issue_date]])</f>
        <v>2024</v>
      </c>
      <c r="F105" t="s">
        <v>21</v>
      </c>
      <c r="G105">
        <v>29</v>
      </c>
      <c r="H105" t="s">
        <v>20</v>
      </c>
      <c r="I105" t="str">
        <f>VLOOKUP(Table4[[#This Row],[customer_id]],customers!A:G,4,)</f>
        <v>chennai</v>
      </c>
    </row>
    <row r="106" spans="1:9" x14ac:dyDescent="0.3">
      <c r="A106">
        <v>20105</v>
      </c>
      <c r="B106">
        <v>201</v>
      </c>
      <c r="C106" s="2">
        <v>45270</v>
      </c>
      <c r="D106" s="2" t="str">
        <f>TEXT(Table4[[#This Row],[issue_date]],"mmmm")</f>
        <v>December</v>
      </c>
      <c r="E106" s="9">
        <f>YEAR(Table4[[#This Row],[issue_date]])</f>
        <v>2023</v>
      </c>
      <c r="F106" t="s">
        <v>22</v>
      </c>
      <c r="G106">
        <v>38</v>
      </c>
      <c r="H106" t="s">
        <v>20</v>
      </c>
      <c r="I106" t="str">
        <f>VLOOKUP(Table4[[#This Row],[customer_id]],customers!A:G,4,)</f>
        <v>bangalore</v>
      </c>
    </row>
    <row r="107" spans="1:9" x14ac:dyDescent="0.3">
      <c r="A107">
        <v>20106</v>
      </c>
      <c r="B107">
        <v>355</v>
      </c>
      <c r="C107" s="2">
        <v>45349</v>
      </c>
      <c r="D107" s="2" t="str">
        <f>TEXT(Table4[[#This Row],[issue_date]],"mmmm")</f>
        <v>February</v>
      </c>
      <c r="E107" s="9">
        <f>YEAR(Table4[[#This Row],[issue_date]])</f>
        <v>2024</v>
      </c>
      <c r="F107" t="s">
        <v>21</v>
      </c>
      <c r="G107">
        <v>70</v>
      </c>
      <c r="H107" t="s">
        <v>20</v>
      </c>
      <c r="I107" t="str">
        <f>VLOOKUP(Table4[[#This Row],[customer_id]],customers!A:G,4,)</f>
        <v>bangalore</v>
      </c>
    </row>
    <row r="108" spans="1:9" x14ac:dyDescent="0.3">
      <c r="A108">
        <v>20107</v>
      </c>
      <c r="B108">
        <v>12</v>
      </c>
      <c r="C108" s="2">
        <v>45414</v>
      </c>
      <c r="D108" s="2" t="str">
        <f>TEXT(Table4[[#This Row],[issue_date]],"mmmm")</f>
        <v>May</v>
      </c>
      <c r="E108" s="9">
        <f>YEAR(Table4[[#This Row],[issue_date]])</f>
        <v>2024</v>
      </c>
      <c r="F108" t="s">
        <v>21</v>
      </c>
      <c r="G108">
        <v>8</v>
      </c>
      <c r="H108" t="s">
        <v>20</v>
      </c>
      <c r="I108" t="str">
        <f>VLOOKUP(Table4[[#This Row],[customer_id]],customers!A:G,4,)</f>
        <v>kolkata</v>
      </c>
    </row>
    <row r="109" spans="1:9" x14ac:dyDescent="0.3">
      <c r="A109">
        <v>20108</v>
      </c>
      <c r="B109">
        <v>52</v>
      </c>
      <c r="C109" s="2">
        <v>44563</v>
      </c>
      <c r="D109" s="2" t="str">
        <f>TEXT(Table4[[#This Row],[issue_date]],"mmmm")</f>
        <v>January</v>
      </c>
      <c r="E109" s="9">
        <f>YEAR(Table4[[#This Row],[issue_date]])</f>
        <v>2022</v>
      </c>
      <c r="F109" t="s">
        <v>21</v>
      </c>
      <c r="G109">
        <v>59</v>
      </c>
      <c r="H109" t="s">
        <v>20</v>
      </c>
      <c r="I109" t="str">
        <f>VLOOKUP(Table4[[#This Row],[customer_id]],customers!A:G,4,)</f>
        <v>chennai</v>
      </c>
    </row>
    <row r="110" spans="1:9" x14ac:dyDescent="0.3">
      <c r="A110">
        <v>20109</v>
      </c>
      <c r="B110">
        <v>441</v>
      </c>
      <c r="C110" s="2">
        <v>45030</v>
      </c>
      <c r="D110" s="2" t="str">
        <f>TEXT(Table4[[#This Row],[issue_date]],"mmmm")</f>
        <v>April</v>
      </c>
      <c r="E110" s="9">
        <f>YEAR(Table4[[#This Row],[issue_date]])</f>
        <v>2023</v>
      </c>
      <c r="F110" t="s">
        <v>19</v>
      </c>
      <c r="G110">
        <v>55</v>
      </c>
      <c r="H110" t="s">
        <v>20</v>
      </c>
      <c r="I110" t="str">
        <f>VLOOKUP(Table4[[#This Row],[customer_id]],customers!A:G,4,)</f>
        <v>kolkata</v>
      </c>
    </row>
    <row r="111" spans="1:9" x14ac:dyDescent="0.3">
      <c r="A111">
        <v>20110</v>
      </c>
      <c r="B111">
        <v>256</v>
      </c>
      <c r="C111" s="2">
        <v>44667</v>
      </c>
      <c r="D111" s="2" t="str">
        <f>TEXT(Table4[[#This Row],[issue_date]],"mmmm")</f>
        <v>April</v>
      </c>
      <c r="E111" s="9">
        <f>YEAR(Table4[[#This Row],[issue_date]])</f>
        <v>2022</v>
      </c>
      <c r="F111" t="s">
        <v>22</v>
      </c>
      <c r="G111">
        <v>2</v>
      </c>
      <c r="H111" t="s">
        <v>20</v>
      </c>
      <c r="I111" t="str">
        <f>VLOOKUP(Table4[[#This Row],[customer_id]],customers!A:G,4,)</f>
        <v>kolkata</v>
      </c>
    </row>
    <row r="112" spans="1:9" x14ac:dyDescent="0.3">
      <c r="A112">
        <v>20111</v>
      </c>
      <c r="B112">
        <v>302</v>
      </c>
      <c r="C112" s="2">
        <v>44777</v>
      </c>
      <c r="D112" s="2" t="str">
        <f>TEXT(Table4[[#This Row],[issue_date]],"mmmm")</f>
        <v>August</v>
      </c>
      <c r="E112" s="9">
        <f>YEAR(Table4[[#This Row],[issue_date]])</f>
        <v>2022</v>
      </c>
      <c r="F112" t="s">
        <v>21</v>
      </c>
      <c r="G112">
        <v>26</v>
      </c>
      <c r="H112" t="s">
        <v>20</v>
      </c>
      <c r="I112" t="str">
        <f>VLOOKUP(Table4[[#This Row],[customer_id]],customers!A:G,4,)</f>
        <v>kolkata</v>
      </c>
    </row>
    <row r="113" spans="1:9" x14ac:dyDescent="0.3">
      <c r="A113">
        <v>20112</v>
      </c>
      <c r="B113">
        <v>360</v>
      </c>
      <c r="C113" s="2">
        <v>45338</v>
      </c>
      <c r="D113" s="2" t="str">
        <f>TEXT(Table4[[#This Row],[issue_date]],"mmmm")</f>
        <v>February</v>
      </c>
      <c r="E113" s="9">
        <f>YEAR(Table4[[#This Row],[issue_date]])</f>
        <v>2024</v>
      </c>
      <c r="F113" t="s">
        <v>19</v>
      </c>
      <c r="G113">
        <v>63</v>
      </c>
      <c r="H113" t="s">
        <v>23</v>
      </c>
      <c r="I113" t="str">
        <f>VLOOKUP(Table4[[#This Row],[customer_id]],customers!A:G,4,)</f>
        <v>hyderabad</v>
      </c>
    </row>
    <row r="114" spans="1:9" x14ac:dyDescent="0.3">
      <c r="A114">
        <v>20113</v>
      </c>
      <c r="B114">
        <v>300</v>
      </c>
      <c r="C114" s="2">
        <v>45240</v>
      </c>
      <c r="D114" s="2" t="str">
        <f>TEXT(Table4[[#This Row],[issue_date]],"mmmm")</f>
        <v>November</v>
      </c>
      <c r="E114" s="9">
        <f>YEAR(Table4[[#This Row],[issue_date]])</f>
        <v>2023</v>
      </c>
      <c r="F114" t="s">
        <v>19</v>
      </c>
      <c r="G114">
        <v>17</v>
      </c>
      <c r="H114" t="s">
        <v>20</v>
      </c>
      <c r="I114" t="str">
        <f>VLOOKUP(Table4[[#This Row],[customer_id]],customers!A:G,4,)</f>
        <v>mumbai</v>
      </c>
    </row>
    <row r="115" spans="1:9" x14ac:dyDescent="0.3">
      <c r="A115">
        <v>20114</v>
      </c>
      <c r="B115">
        <v>487</v>
      </c>
      <c r="C115" s="2">
        <v>45320</v>
      </c>
      <c r="D115" s="2" t="str">
        <f>TEXT(Table4[[#This Row],[issue_date]],"mmmm")</f>
        <v>January</v>
      </c>
      <c r="E115" s="9">
        <f>YEAR(Table4[[#This Row],[issue_date]])</f>
        <v>2024</v>
      </c>
      <c r="F115" t="s">
        <v>22</v>
      </c>
      <c r="G115">
        <v>59</v>
      </c>
      <c r="H115" t="s">
        <v>20</v>
      </c>
      <c r="I115" t="str">
        <f>VLOOKUP(Table4[[#This Row],[customer_id]],customers!A:G,4,)</f>
        <v>bangalore</v>
      </c>
    </row>
    <row r="116" spans="1:9" x14ac:dyDescent="0.3">
      <c r="A116">
        <v>20115</v>
      </c>
      <c r="B116">
        <v>408</v>
      </c>
      <c r="C116" s="2">
        <v>44975</v>
      </c>
      <c r="D116" s="2" t="str">
        <f>TEXT(Table4[[#This Row],[issue_date]],"mmmm")</f>
        <v>February</v>
      </c>
      <c r="E116" s="9">
        <f>YEAR(Table4[[#This Row],[issue_date]])</f>
        <v>2023</v>
      </c>
      <c r="F116" t="s">
        <v>21</v>
      </c>
      <c r="G116">
        <v>16</v>
      </c>
      <c r="H116" t="s">
        <v>20</v>
      </c>
      <c r="I116" t="str">
        <f>VLOOKUP(Table4[[#This Row],[customer_id]],customers!A:G,4,)</f>
        <v>chennai</v>
      </c>
    </row>
    <row r="117" spans="1:9" x14ac:dyDescent="0.3">
      <c r="A117">
        <v>20116</v>
      </c>
      <c r="B117">
        <v>9</v>
      </c>
      <c r="C117" s="2">
        <v>44771</v>
      </c>
      <c r="D117" s="2" t="str">
        <f>TEXT(Table4[[#This Row],[issue_date]],"mmmm")</f>
        <v>July</v>
      </c>
      <c r="E117" s="9">
        <f>YEAR(Table4[[#This Row],[issue_date]])</f>
        <v>2022</v>
      </c>
      <c r="F117" t="s">
        <v>22</v>
      </c>
      <c r="G117">
        <v>58</v>
      </c>
      <c r="H117" t="s">
        <v>20</v>
      </c>
      <c r="I117" t="str">
        <f>VLOOKUP(Table4[[#This Row],[customer_id]],customers!A:G,4,)</f>
        <v>bangalore</v>
      </c>
    </row>
    <row r="118" spans="1:9" x14ac:dyDescent="0.3">
      <c r="A118">
        <v>20117</v>
      </c>
      <c r="B118">
        <v>140</v>
      </c>
      <c r="C118" s="2">
        <v>44619</v>
      </c>
      <c r="D118" s="2" t="str">
        <f>TEXT(Table4[[#This Row],[issue_date]],"mmmm")</f>
        <v>February</v>
      </c>
      <c r="E118" s="9">
        <f>YEAR(Table4[[#This Row],[issue_date]])</f>
        <v>2022</v>
      </c>
      <c r="F118" t="s">
        <v>21</v>
      </c>
      <c r="G118">
        <v>64</v>
      </c>
      <c r="H118" t="s">
        <v>23</v>
      </c>
      <c r="I118" t="str">
        <f>VLOOKUP(Table4[[#This Row],[customer_id]],customers!A:G,4,)</f>
        <v>delhi</v>
      </c>
    </row>
    <row r="119" spans="1:9" x14ac:dyDescent="0.3">
      <c r="A119">
        <v>20118</v>
      </c>
      <c r="B119">
        <v>100</v>
      </c>
      <c r="C119" s="2">
        <v>44604</v>
      </c>
      <c r="D119" s="2" t="str">
        <f>TEXT(Table4[[#This Row],[issue_date]],"mmmm")</f>
        <v>February</v>
      </c>
      <c r="E119" s="9">
        <f>YEAR(Table4[[#This Row],[issue_date]])</f>
        <v>2022</v>
      </c>
      <c r="F119" t="s">
        <v>19</v>
      </c>
      <c r="G119">
        <v>50</v>
      </c>
      <c r="H119" t="s">
        <v>20</v>
      </c>
      <c r="I119" t="str">
        <f>VLOOKUP(Table4[[#This Row],[customer_id]],customers!A:G,4,)</f>
        <v>mumbai</v>
      </c>
    </row>
    <row r="120" spans="1:9" x14ac:dyDescent="0.3">
      <c r="A120">
        <v>20119</v>
      </c>
      <c r="B120">
        <v>485</v>
      </c>
      <c r="C120" s="2">
        <v>44699</v>
      </c>
      <c r="D120" s="2" t="str">
        <f>TEXT(Table4[[#This Row],[issue_date]],"mmmm")</f>
        <v>May</v>
      </c>
      <c r="E120" s="9">
        <f>YEAR(Table4[[#This Row],[issue_date]])</f>
        <v>2022</v>
      </c>
      <c r="F120" t="s">
        <v>19</v>
      </c>
      <c r="G120">
        <v>26</v>
      </c>
      <c r="H120" t="s">
        <v>20</v>
      </c>
      <c r="I120" t="str">
        <f>VLOOKUP(Table4[[#This Row],[customer_id]],customers!A:G,4,)</f>
        <v>delhi</v>
      </c>
    </row>
    <row r="121" spans="1:9" x14ac:dyDescent="0.3">
      <c r="A121">
        <v>20120</v>
      </c>
      <c r="B121">
        <v>137</v>
      </c>
      <c r="C121" s="2">
        <v>45182</v>
      </c>
      <c r="D121" s="2" t="str">
        <f>TEXT(Table4[[#This Row],[issue_date]],"mmmm")</f>
        <v>September</v>
      </c>
      <c r="E121" s="9">
        <f>YEAR(Table4[[#This Row],[issue_date]])</f>
        <v>2023</v>
      </c>
      <c r="F121" t="s">
        <v>22</v>
      </c>
      <c r="G121">
        <v>17</v>
      </c>
      <c r="H121" t="s">
        <v>23</v>
      </c>
      <c r="I121" t="str">
        <f>VLOOKUP(Table4[[#This Row],[customer_id]],customers!A:G,4,)</f>
        <v>delhi</v>
      </c>
    </row>
    <row r="122" spans="1:9" x14ac:dyDescent="0.3">
      <c r="A122">
        <v>20121</v>
      </c>
      <c r="B122">
        <v>359</v>
      </c>
      <c r="C122" s="2">
        <v>45050</v>
      </c>
      <c r="D122" s="2" t="str">
        <f>TEXT(Table4[[#This Row],[issue_date]],"mmmm")</f>
        <v>May</v>
      </c>
      <c r="E122" s="9">
        <f>YEAR(Table4[[#This Row],[issue_date]])</f>
        <v>2023</v>
      </c>
      <c r="F122" t="s">
        <v>21</v>
      </c>
      <c r="G122">
        <v>46</v>
      </c>
      <c r="H122" t="s">
        <v>20</v>
      </c>
      <c r="I122" t="str">
        <f>VLOOKUP(Table4[[#This Row],[customer_id]],customers!A:G,4,)</f>
        <v>mumbai</v>
      </c>
    </row>
    <row r="123" spans="1:9" x14ac:dyDescent="0.3">
      <c r="A123">
        <v>20122</v>
      </c>
      <c r="B123">
        <v>366</v>
      </c>
      <c r="C123" s="2">
        <v>45121</v>
      </c>
      <c r="D123" s="2" t="str">
        <f>TEXT(Table4[[#This Row],[issue_date]],"mmmm")</f>
        <v>July</v>
      </c>
      <c r="E123" s="9">
        <f>YEAR(Table4[[#This Row],[issue_date]])</f>
        <v>2023</v>
      </c>
      <c r="F123" t="s">
        <v>22</v>
      </c>
      <c r="G123">
        <v>68</v>
      </c>
      <c r="H123" t="s">
        <v>20</v>
      </c>
      <c r="I123" t="str">
        <f>VLOOKUP(Table4[[#This Row],[customer_id]],customers!A:G,4,)</f>
        <v>mumbai</v>
      </c>
    </row>
    <row r="124" spans="1:9" x14ac:dyDescent="0.3">
      <c r="A124">
        <v>20123</v>
      </c>
      <c r="B124">
        <v>372</v>
      </c>
      <c r="C124" s="2">
        <v>45199</v>
      </c>
      <c r="D124" s="2" t="str">
        <f>TEXT(Table4[[#This Row],[issue_date]],"mmmm")</f>
        <v>September</v>
      </c>
      <c r="E124" s="9">
        <f>YEAR(Table4[[#This Row],[issue_date]])</f>
        <v>2023</v>
      </c>
      <c r="F124" t="s">
        <v>21</v>
      </c>
      <c r="G124">
        <v>50</v>
      </c>
      <c r="H124" t="s">
        <v>23</v>
      </c>
      <c r="I124" t="str">
        <f>VLOOKUP(Table4[[#This Row],[customer_id]],customers!A:G,4,)</f>
        <v>chennai</v>
      </c>
    </row>
    <row r="125" spans="1:9" x14ac:dyDescent="0.3">
      <c r="A125">
        <v>20124</v>
      </c>
      <c r="B125">
        <v>22</v>
      </c>
      <c r="C125" s="2">
        <v>45030</v>
      </c>
      <c r="D125" s="2" t="str">
        <f>TEXT(Table4[[#This Row],[issue_date]],"mmmm")</f>
        <v>April</v>
      </c>
      <c r="E125" s="9">
        <f>YEAR(Table4[[#This Row],[issue_date]])</f>
        <v>2023</v>
      </c>
      <c r="F125" t="s">
        <v>22</v>
      </c>
      <c r="G125">
        <v>43</v>
      </c>
      <c r="H125" t="s">
        <v>20</v>
      </c>
      <c r="I125" t="str">
        <f>VLOOKUP(Table4[[#This Row],[customer_id]],customers!A:G,4,)</f>
        <v>hyderabad</v>
      </c>
    </row>
    <row r="126" spans="1:9" x14ac:dyDescent="0.3">
      <c r="A126">
        <v>20125</v>
      </c>
      <c r="B126">
        <v>145</v>
      </c>
      <c r="C126" s="2">
        <v>45287</v>
      </c>
      <c r="D126" s="2" t="str">
        <f>TEXT(Table4[[#This Row],[issue_date]],"mmmm")</f>
        <v>December</v>
      </c>
      <c r="E126" s="9">
        <f>YEAR(Table4[[#This Row],[issue_date]])</f>
        <v>2023</v>
      </c>
      <c r="F126" t="s">
        <v>19</v>
      </c>
      <c r="G126">
        <v>48</v>
      </c>
      <c r="H126" t="s">
        <v>20</v>
      </c>
      <c r="I126" t="str">
        <f>VLOOKUP(Table4[[#This Row],[customer_id]],customers!A:G,4,)</f>
        <v>chennai</v>
      </c>
    </row>
    <row r="127" spans="1:9" x14ac:dyDescent="0.3">
      <c r="A127">
        <v>20126</v>
      </c>
      <c r="B127">
        <v>161</v>
      </c>
      <c r="C127" s="2">
        <v>45201</v>
      </c>
      <c r="D127" s="2" t="str">
        <f>TEXT(Table4[[#This Row],[issue_date]],"mmmm")</f>
        <v>October</v>
      </c>
      <c r="E127" s="9">
        <f>YEAR(Table4[[#This Row],[issue_date]])</f>
        <v>2023</v>
      </c>
      <c r="F127" t="s">
        <v>22</v>
      </c>
      <c r="G127">
        <v>68</v>
      </c>
      <c r="H127" t="s">
        <v>20</v>
      </c>
      <c r="I127" t="str">
        <f>VLOOKUP(Table4[[#This Row],[customer_id]],customers!A:G,4,)</f>
        <v>bangalore</v>
      </c>
    </row>
    <row r="128" spans="1:9" x14ac:dyDescent="0.3">
      <c r="A128">
        <v>20127</v>
      </c>
      <c r="B128">
        <v>249</v>
      </c>
      <c r="C128" s="2">
        <v>44950</v>
      </c>
      <c r="D128" s="2" t="str">
        <f>TEXT(Table4[[#This Row],[issue_date]],"mmmm")</f>
        <v>January</v>
      </c>
      <c r="E128" s="9">
        <f>YEAR(Table4[[#This Row],[issue_date]])</f>
        <v>2023</v>
      </c>
      <c r="F128" t="s">
        <v>21</v>
      </c>
      <c r="G128">
        <v>19</v>
      </c>
      <c r="H128" t="s">
        <v>20</v>
      </c>
      <c r="I128" t="str">
        <f>VLOOKUP(Table4[[#This Row],[customer_id]],customers!A:G,4,)</f>
        <v>bangalore</v>
      </c>
    </row>
    <row r="129" spans="1:9" x14ac:dyDescent="0.3">
      <c r="A129">
        <v>20128</v>
      </c>
      <c r="B129">
        <v>175</v>
      </c>
      <c r="C129" s="2">
        <v>44759</v>
      </c>
      <c r="D129" s="2" t="str">
        <f>TEXT(Table4[[#This Row],[issue_date]],"mmmm")</f>
        <v>July</v>
      </c>
      <c r="E129" s="9">
        <f>YEAR(Table4[[#This Row],[issue_date]])</f>
        <v>2022</v>
      </c>
      <c r="F129" t="s">
        <v>22</v>
      </c>
      <c r="G129">
        <v>25</v>
      </c>
      <c r="H129" t="s">
        <v>20</v>
      </c>
      <c r="I129" t="str">
        <f>VLOOKUP(Table4[[#This Row],[customer_id]],customers!A:G,4,)</f>
        <v>kolkata</v>
      </c>
    </row>
    <row r="130" spans="1:9" x14ac:dyDescent="0.3">
      <c r="A130">
        <v>20129</v>
      </c>
      <c r="B130">
        <v>88</v>
      </c>
      <c r="C130" s="2">
        <v>44763</v>
      </c>
      <c r="D130" s="2" t="str">
        <f>TEXT(Table4[[#This Row],[issue_date]],"mmmm")</f>
        <v>July</v>
      </c>
      <c r="E130" s="9">
        <f>YEAR(Table4[[#This Row],[issue_date]])</f>
        <v>2022</v>
      </c>
      <c r="F130" t="s">
        <v>21</v>
      </c>
      <c r="G130">
        <v>18</v>
      </c>
      <c r="H130" t="s">
        <v>20</v>
      </c>
      <c r="I130" t="str">
        <f>VLOOKUP(Table4[[#This Row],[customer_id]],customers!A:G,4,)</f>
        <v>mumbai</v>
      </c>
    </row>
    <row r="131" spans="1:9" x14ac:dyDescent="0.3">
      <c r="A131">
        <v>20130</v>
      </c>
      <c r="B131">
        <v>399</v>
      </c>
      <c r="C131" s="2">
        <v>44753</v>
      </c>
      <c r="D131" s="2" t="str">
        <f>TEXT(Table4[[#This Row],[issue_date]],"mmmm")</f>
        <v>July</v>
      </c>
      <c r="E131" s="9">
        <f>YEAR(Table4[[#This Row],[issue_date]])</f>
        <v>2022</v>
      </c>
      <c r="F131" t="s">
        <v>22</v>
      </c>
      <c r="G131">
        <v>51</v>
      </c>
      <c r="H131" t="s">
        <v>20</v>
      </c>
      <c r="I131" t="str">
        <f>VLOOKUP(Table4[[#This Row],[customer_id]],customers!A:G,4,)</f>
        <v>hyderabad</v>
      </c>
    </row>
    <row r="132" spans="1:9" x14ac:dyDescent="0.3">
      <c r="A132">
        <v>20131</v>
      </c>
      <c r="B132">
        <v>477</v>
      </c>
      <c r="C132" s="2">
        <v>44668</v>
      </c>
      <c r="D132" s="2" t="str">
        <f>TEXT(Table4[[#This Row],[issue_date]],"mmmm")</f>
        <v>April</v>
      </c>
      <c r="E132" s="9">
        <f>YEAR(Table4[[#This Row],[issue_date]])</f>
        <v>2022</v>
      </c>
      <c r="F132" t="s">
        <v>21</v>
      </c>
      <c r="G132">
        <v>18</v>
      </c>
      <c r="H132" t="s">
        <v>20</v>
      </c>
      <c r="I132" t="str">
        <f>VLOOKUP(Table4[[#This Row],[customer_id]],customers!A:G,4,)</f>
        <v>delhi</v>
      </c>
    </row>
    <row r="133" spans="1:9" x14ac:dyDescent="0.3">
      <c r="A133">
        <v>20132</v>
      </c>
      <c r="B133">
        <v>480</v>
      </c>
      <c r="C133" s="2">
        <v>45267</v>
      </c>
      <c r="D133" s="2" t="str">
        <f>TEXT(Table4[[#This Row],[issue_date]],"mmmm")</f>
        <v>December</v>
      </c>
      <c r="E133" s="9">
        <f>YEAR(Table4[[#This Row],[issue_date]])</f>
        <v>2023</v>
      </c>
      <c r="F133" t="s">
        <v>21</v>
      </c>
      <c r="G133">
        <v>58</v>
      </c>
      <c r="H133" t="s">
        <v>20</v>
      </c>
      <c r="I133" t="str">
        <f>VLOOKUP(Table4[[#This Row],[customer_id]],customers!A:G,4,)</f>
        <v>hyderabad</v>
      </c>
    </row>
    <row r="134" spans="1:9" x14ac:dyDescent="0.3">
      <c r="A134">
        <v>20133</v>
      </c>
      <c r="B134">
        <v>33</v>
      </c>
      <c r="C134" s="2">
        <v>44888</v>
      </c>
      <c r="D134" s="2" t="str">
        <f>TEXT(Table4[[#This Row],[issue_date]],"mmmm")</f>
        <v>November</v>
      </c>
      <c r="E134" s="9">
        <f>YEAR(Table4[[#This Row],[issue_date]])</f>
        <v>2022</v>
      </c>
      <c r="F134" t="s">
        <v>21</v>
      </c>
      <c r="G134">
        <v>64</v>
      </c>
      <c r="H134" t="s">
        <v>20</v>
      </c>
      <c r="I134" t="str">
        <f>VLOOKUP(Table4[[#This Row],[customer_id]],customers!A:G,4,)</f>
        <v>kolkata</v>
      </c>
    </row>
    <row r="135" spans="1:9" x14ac:dyDescent="0.3">
      <c r="A135">
        <v>20134</v>
      </c>
      <c r="B135">
        <v>477</v>
      </c>
      <c r="C135" s="2">
        <v>45311</v>
      </c>
      <c r="D135" s="2" t="str">
        <f>TEXT(Table4[[#This Row],[issue_date]],"mmmm")</f>
        <v>January</v>
      </c>
      <c r="E135" s="9">
        <f>YEAR(Table4[[#This Row],[issue_date]])</f>
        <v>2024</v>
      </c>
      <c r="F135" t="s">
        <v>22</v>
      </c>
      <c r="G135">
        <v>71</v>
      </c>
      <c r="H135" t="s">
        <v>20</v>
      </c>
      <c r="I135" t="str">
        <f>VLOOKUP(Table4[[#This Row],[customer_id]],customers!A:G,4,)</f>
        <v>delhi</v>
      </c>
    </row>
    <row r="136" spans="1:9" x14ac:dyDescent="0.3">
      <c r="A136">
        <v>20135</v>
      </c>
      <c r="B136">
        <v>271</v>
      </c>
      <c r="C136" s="2">
        <v>45205</v>
      </c>
      <c r="D136" s="2" t="str">
        <f>TEXT(Table4[[#This Row],[issue_date]],"mmmm")</f>
        <v>October</v>
      </c>
      <c r="E136" s="9">
        <f>YEAR(Table4[[#This Row],[issue_date]])</f>
        <v>2023</v>
      </c>
      <c r="F136" t="s">
        <v>22</v>
      </c>
      <c r="G136">
        <v>57</v>
      </c>
      <c r="H136" t="s">
        <v>20</v>
      </c>
      <c r="I136" t="str">
        <f>VLOOKUP(Table4[[#This Row],[customer_id]],customers!A:G,4,)</f>
        <v>kolkata</v>
      </c>
    </row>
    <row r="137" spans="1:9" x14ac:dyDescent="0.3">
      <c r="A137">
        <v>20136</v>
      </c>
      <c r="B137">
        <v>283</v>
      </c>
      <c r="C137" s="2">
        <v>44918</v>
      </c>
      <c r="D137" s="2" t="str">
        <f>TEXT(Table4[[#This Row],[issue_date]],"mmmm")</f>
        <v>December</v>
      </c>
      <c r="E137" s="9">
        <f>YEAR(Table4[[#This Row],[issue_date]])</f>
        <v>2022</v>
      </c>
      <c r="F137" t="s">
        <v>19</v>
      </c>
      <c r="G137">
        <v>17</v>
      </c>
      <c r="H137" t="s">
        <v>20</v>
      </c>
      <c r="I137" t="str">
        <f>VLOOKUP(Table4[[#This Row],[customer_id]],customers!A:G,4,)</f>
        <v>hyderabad</v>
      </c>
    </row>
    <row r="138" spans="1:9" x14ac:dyDescent="0.3">
      <c r="A138">
        <v>20137</v>
      </c>
      <c r="B138">
        <v>226</v>
      </c>
      <c r="C138" s="2">
        <v>45156</v>
      </c>
      <c r="D138" s="2" t="str">
        <f>TEXT(Table4[[#This Row],[issue_date]],"mmmm")</f>
        <v>August</v>
      </c>
      <c r="E138" s="9">
        <f>YEAR(Table4[[#This Row],[issue_date]])</f>
        <v>2023</v>
      </c>
      <c r="F138" t="s">
        <v>21</v>
      </c>
      <c r="G138">
        <v>59</v>
      </c>
      <c r="H138" t="s">
        <v>20</v>
      </c>
      <c r="I138" t="str">
        <f>VLOOKUP(Table4[[#This Row],[customer_id]],customers!A:G,4,)</f>
        <v>chennai</v>
      </c>
    </row>
    <row r="139" spans="1:9" x14ac:dyDescent="0.3">
      <c r="A139">
        <v>20138</v>
      </c>
      <c r="B139">
        <v>445</v>
      </c>
      <c r="C139" s="2">
        <v>45062</v>
      </c>
      <c r="D139" s="2" t="str">
        <f>TEXT(Table4[[#This Row],[issue_date]],"mmmm")</f>
        <v>May</v>
      </c>
      <c r="E139" s="9">
        <f>YEAR(Table4[[#This Row],[issue_date]])</f>
        <v>2023</v>
      </c>
      <c r="F139" t="s">
        <v>19</v>
      </c>
      <c r="G139">
        <v>67</v>
      </c>
      <c r="H139" t="s">
        <v>20</v>
      </c>
      <c r="I139" t="str">
        <f>VLOOKUP(Table4[[#This Row],[customer_id]],customers!A:G,4,)</f>
        <v>chennai</v>
      </c>
    </row>
    <row r="140" spans="1:9" x14ac:dyDescent="0.3">
      <c r="A140">
        <v>20139</v>
      </c>
      <c r="B140">
        <v>452</v>
      </c>
      <c r="C140" s="2">
        <v>44845</v>
      </c>
      <c r="D140" s="2" t="str">
        <f>TEXT(Table4[[#This Row],[issue_date]],"mmmm")</f>
        <v>October</v>
      </c>
      <c r="E140" s="9">
        <f>YEAR(Table4[[#This Row],[issue_date]])</f>
        <v>2022</v>
      </c>
      <c r="F140" t="s">
        <v>19</v>
      </c>
      <c r="G140">
        <v>15</v>
      </c>
      <c r="H140" t="s">
        <v>23</v>
      </c>
      <c r="I140" t="str">
        <f>VLOOKUP(Table4[[#This Row],[customer_id]],customers!A:G,4,)</f>
        <v>delhi</v>
      </c>
    </row>
    <row r="141" spans="1:9" x14ac:dyDescent="0.3">
      <c r="A141">
        <v>20140</v>
      </c>
      <c r="B141">
        <v>497</v>
      </c>
      <c r="C141" s="2">
        <v>45029</v>
      </c>
      <c r="D141" s="2" t="str">
        <f>TEXT(Table4[[#This Row],[issue_date]],"mmmm")</f>
        <v>April</v>
      </c>
      <c r="E141" s="9">
        <f>YEAR(Table4[[#This Row],[issue_date]])</f>
        <v>2023</v>
      </c>
      <c r="F141" t="s">
        <v>21</v>
      </c>
      <c r="G141">
        <v>26</v>
      </c>
      <c r="H141" t="s">
        <v>20</v>
      </c>
      <c r="I141" t="str">
        <f>VLOOKUP(Table4[[#This Row],[customer_id]],customers!A:G,4,)</f>
        <v>kolkata</v>
      </c>
    </row>
    <row r="142" spans="1:9" x14ac:dyDescent="0.3">
      <c r="A142">
        <v>20141</v>
      </c>
      <c r="B142">
        <v>112</v>
      </c>
      <c r="C142" s="2">
        <v>45069</v>
      </c>
      <c r="D142" s="2" t="str">
        <f>TEXT(Table4[[#This Row],[issue_date]],"mmmm")</f>
        <v>May</v>
      </c>
      <c r="E142" s="9">
        <f>YEAR(Table4[[#This Row],[issue_date]])</f>
        <v>2023</v>
      </c>
      <c r="F142" t="s">
        <v>19</v>
      </c>
      <c r="G142">
        <v>48</v>
      </c>
      <c r="H142" t="s">
        <v>20</v>
      </c>
      <c r="I142" t="str">
        <f>VLOOKUP(Table4[[#This Row],[customer_id]],customers!A:G,4,)</f>
        <v>chennai</v>
      </c>
    </row>
    <row r="143" spans="1:9" x14ac:dyDescent="0.3">
      <c r="A143">
        <v>20142</v>
      </c>
      <c r="B143">
        <v>82</v>
      </c>
      <c r="C143" s="2">
        <v>45295</v>
      </c>
      <c r="D143" s="2" t="str">
        <f>TEXT(Table4[[#This Row],[issue_date]],"mmmm")</f>
        <v>January</v>
      </c>
      <c r="E143" s="9">
        <f>YEAR(Table4[[#This Row],[issue_date]])</f>
        <v>2024</v>
      </c>
      <c r="F143" t="s">
        <v>22</v>
      </c>
      <c r="G143">
        <v>14</v>
      </c>
      <c r="H143" t="s">
        <v>20</v>
      </c>
      <c r="I143" t="str">
        <f>VLOOKUP(Table4[[#This Row],[customer_id]],customers!A:G,4,)</f>
        <v>chennai</v>
      </c>
    </row>
    <row r="144" spans="1:9" x14ac:dyDescent="0.3">
      <c r="A144">
        <v>20143</v>
      </c>
      <c r="B144">
        <v>213</v>
      </c>
      <c r="C144" s="2">
        <v>44667</v>
      </c>
      <c r="D144" s="2" t="str">
        <f>TEXT(Table4[[#This Row],[issue_date]],"mmmm")</f>
        <v>April</v>
      </c>
      <c r="E144" s="9">
        <f>YEAR(Table4[[#This Row],[issue_date]])</f>
        <v>2022</v>
      </c>
      <c r="F144" t="s">
        <v>19</v>
      </c>
      <c r="G144">
        <v>9</v>
      </c>
      <c r="H144" t="s">
        <v>20</v>
      </c>
      <c r="I144" t="str">
        <f>VLOOKUP(Table4[[#This Row],[customer_id]],customers!A:G,4,)</f>
        <v>hyderabad</v>
      </c>
    </row>
    <row r="145" spans="1:9" x14ac:dyDescent="0.3">
      <c r="A145">
        <v>20144</v>
      </c>
      <c r="B145">
        <v>304</v>
      </c>
      <c r="C145" s="2">
        <v>44855</v>
      </c>
      <c r="D145" s="2" t="str">
        <f>TEXT(Table4[[#This Row],[issue_date]],"mmmm")</f>
        <v>October</v>
      </c>
      <c r="E145" s="9">
        <f>YEAR(Table4[[#This Row],[issue_date]])</f>
        <v>2022</v>
      </c>
      <c r="F145" t="s">
        <v>22</v>
      </c>
      <c r="G145">
        <v>7</v>
      </c>
      <c r="H145" t="s">
        <v>20</v>
      </c>
      <c r="I145" t="str">
        <f>VLOOKUP(Table4[[#This Row],[customer_id]],customers!A:G,4,)</f>
        <v>delhi</v>
      </c>
    </row>
    <row r="146" spans="1:9" x14ac:dyDescent="0.3">
      <c r="A146">
        <v>20145</v>
      </c>
      <c r="B146">
        <v>8</v>
      </c>
      <c r="C146" s="2">
        <v>44627</v>
      </c>
      <c r="D146" s="2" t="str">
        <f>TEXT(Table4[[#This Row],[issue_date]],"mmmm")</f>
        <v>March</v>
      </c>
      <c r="E146" s="9">
        <f>YEAR(Table4[[#This Row],[issue_date]])</f>
        <v>2022</v>
      </c>
      <c r="F146" t="s">
        <v>21</v>
      </c>
      <c r="G146">
        <v>55</v>
      </c>
      <c r="H146" t="s">
        <v>20</v>
      </c>
      <c r="I146" t="str">
        <f>VLOOKUP(Table4[[#This Row],[customer_id]],customers!A:G,4,)</f>
        <v>mumbai</v>
      </c>
    </row>
    <row r="147" spans="1:9" x14ac:dyDescent="0.3">
      <c r="A147">
        <v>20146</v>
      </c>
      <c r="B147">
        <v>134</v>
      </c>
      <c r="C147" s="2">
        <v>44756</v>
      </c>
      <c r="D147" s="2" t="str">
        <f>TEXT(Table4[[#This Row],[issue_date]],"mmmm")</f>
        <v>July</v>
      </c>
      <c r="E147" s="9">
        <f>YEAR(Table4[[#This Row],[issue_date]])</f>
        <v>2022</v>
      </c>
      <c r="F147" t="s">
        <v>21</v>
      </c>
      <c r="G147">
        <v>12</v>
      </c>
      <c r="H147" t="s">
        <v>20</v>
      </c>
      <c r="I147" t="str">
        <f>VLOOKUP(Table4[[#This Row],[customer_id]],customers!A:G,4,)</f>
        <v>mumbai</v>
      </c>
    </row>
    <row r="148" spans="1:9" x14ac:dyDescent="0.3">
      <c r="A148">
        <v>20147</v>
      </c>
      <c r="B148">
        <v>447</v>
      </c>
      <c r="C148" s="2">
        <v>44749</v>
      </c>
      <c r="D148" s="2" t="str">
        <f>TEXT(Table4[[#This Row],[issue_date]],"mmmm")</f>
        <v>July</v>
      </c>
      <c r="E148" s="9">
        <f>YEAR(Table4[[#This Row],[issue_date]])</f>
        <v>2022</v>
      </c>
      <c r="F148" t="s">
        <v>21</v>
      </c>
      <c r="G148">
        <v>17</v>
      </c>
      <c r="H148" t="s">
        <v>20</v>
      </c>
      <c r="I148" t="str">
        <f>VLOOKUP(Table4[[#This Row],[customer_id]],customers!A:G,4,)</f>
        <v>delhi</v>
      </c>
    </row>
    <row r="149" spans="1:9" x14ac:dyDescent="0.3">
      <c r="A149">
        <v>20148</v>
      </c>
      <c r="B149">
        <v>118</v>
      </c>
      <c r="C149" s="2">
        <v>44608</v>
      </c>
      <c r="D149" s="2" t="str">
        <f>TEXT(Table4[[#This Row],[issue_date]],"mmmm")</f>
        <v>February</v>
      </c>
      <c r="E149" s="9">
        <f>YEAR(Table4[[#This Row],[issue_date]])</f>
        <v>2022</v>
      </c>
      <c r="F149" t="s">
        <v>19</v>
      </c>
      <c r="G149">
        <v>8</v>
      </c>
      <c r="H149" t="s">
        <v>20</v>
      </c>
      <c r="I149" t="str">
        <f>VLOOKUP(Table4[[#This Row],[customer_id]],customers!A:G,4,)</f>
        <v>hyderabad</v>
      </c>
    </row>
    <row r="150" spans="1:9" x14ac:dyDescent="0.3">
      <c r="A150">
        <v>20149</v>
      </c>
      <c r="B150">
        <v>84</v>
      </c>
      <c r="C150" s="2">
        <v>44923</v>
      </c>
      <c r="D150" s="2" t="str">
        <f>TEXT(Table4[[#This Row],[issue_date]],"mmmm")</f>
        <v>December</v>
      </c>
      <c r="E150" s="9">
        <f>YEAR(Table4[[#This Row],[issue_date]])</f>
        <v>2022</v>
      </c>
      <c r="F150" t="s">
        <v>21</v>
      </c>
      <c r="G150">
        <v>42</v>
      </c>
      <c r="H150" t="s">
        <v>20</v>
      </c>
      <c r="I150" t="str">
        <f>VLOOKUP(Table4[[#This Row],[customer_id]],customers!A:G,4,)</f>
        <v>delhi</v>
      </c>
    </row>
    <row r="151" spans="1:9" x14ac:dyDescent="0.3">
      <c r="A151">
        <v>20150</v>
      </c>
      <c r="B151">
        <v>258</v>
      </c>
      <c r="C151" s="2">
        <v>45432</v>
      </c>
      <c r="D151" s="2" t="str">
        <f>TEXT(Table4[[#This Row],[issue_date]],"mmmm")</f>
        <v>May</v>
      </c>
      <c r="E151" s="9">
        <f>YEAR(Table4[[#This Row],[issue_date]])</f>
        <v>2024</v>
      </c>
      <c r="F151" t="s">
        <v>21</v>
      </c>
      <c r="G151">
        <v>37</v>
      </c>
      <c r="H151" t="s">
        <v>20</v>
      </c>
      <c r="I151" t="str">
        <f>VLOOKUP(Table4[[#This Row],[customer_id]],customers!A:G,4,)</f>
        <v>bangalore</v>
      </c>
    </row>
    <row r="152" spans="1:9" x14ac:dyDescent="0.3">
      <c r="A152">
        <v>20151</v>
      </c>
      <c r="B152">
        <v>243</v>
      </c>
      <c r="C152" s="2">
        <v>45098</v>
      </c>
      <c r="D152" s="2" t="str">
        <f>TEXT(Table4[[#This Row],[issue_date]],"mmmm")</f>
        <v>June</v>
      </c>
      <c r="E152" s="9">
        <f>YEAR(Table4[[#This Row],[issue_date]])</f>
        <v>2023</v>
      </c>
      <c r="F152" t="s">
        <v>22</v>
      </c>
      <c r="G152">
        <v>20</v>
      </c>
      <c r="H152" t="s">
        <v>20</v>
      </c>
      <c r="I152" t="str">
        <f>VLOOKUP(Table4[[#This Row],[customer_id]],customers!A:G,4,)</f>
        <v>hyderabad</v>
      </c>
    </row>
    <row r="153" spans="1:9" x14ac:dyDescent="0.3">
      <c r="A153">
        <v>20152</v>
      </c>
      <c r="B153">
        <v>237</v>
      </c>
      <c r="C153" s="2">
        <v>45139</v>
      </c>
      <c r="D153" s="2" t="str">
        <f>TEXT(Table4[[#This Row],[issue_date]],"mmmm")</f>
        <v>August</v>
      </c>
      <c r="E153" s="9">
        <f>YEAR(Table4[[#This Row],[issue_date]])</f>
        <v>2023</v>
      </c>
      <c r="F153" t="s">
        <v>19</v>
      </c>
      <c r="G153">
        <v>1</v>
      </c>
      <c r="H153" t="s">
        <v>20</v>
      </c>
      <c r="I153" t="str">
        <f>VLOOKUP(Table4[[#This Row],[customer_id]],customers!A:G,4,)</f>
        <v>chennai</v>
      </c>
    </row>
    <row r="154" spans="1:9" x14ac:dyDescent="0.3">
      <c r="A154">
        <v>20153</v>
      </c>
      <c r="B154">
        <v>150</v>
      </c>
      <c r="C154" s="2">
        <v>45048</v>
      </c>
      <c r="D154" s="2" t="str">
        <f>TEXT(Table4[[#This Row],[issue_date]],"mmmm")</f>
        <v>May</v>
      </c>
      <c r="E154" s="9">
        <f>YEAR(Table4[[#This Row],[issue_date]])</f>
        <v>2023</v>
      </c>
      <c r="F154" t="s">
        <v>19</v>
      </c>
      <c r="G154">
        <v>9</v>
      </c>
      <c r="H154" t="s">
        <v>20</v>
      </c>
      <c r="I154" t="str">
        <f>VLOOKUP(Table4[[#This Row],[customer_id]],customers!A:G,4,)</f>
        <v>bangalore</v>
      </c>
    </row>
    <row r="155" spans="1:9" x14ac:dyDescent="0.3">
      <c r="A155">
        <v>20154</v>
      </c>
      <c r="B155">
        <v>374</v>
      </c>
      <c r="C155" s="2">
        <v>45408</v>
      </c>
      <c r="D155" s="2" t="str">
        <f>TEXT(Table4[[#This Row],[issue_date]],"mmmm")</f>
        <v>April</v>
      </c>
      <c r="E155" s="9">
        <f>YEAR(Table4[[#This Row],[issue_date]])</f>
        <v>2024</v>
      </c>
      <c r="F155" t="s">
        <v>21</v>
      </c>
      <c r="G155">
        <v>24</v>
      </c>
      <c r="H155" t="s">
        <v>20</v>
      </c>
      <c r="I155" t="str">
        <f>VLOOKUP(Table4[[#This Row],[customer_id]],customers!A:G,4,)</f>
        <v>mumbai</v>
      </c>
    </row>
    <row r="156" spans="1:9" x14ac:dyDescent="0.3">
      <c r="A156">
        <v>20155</v>
      </c>
      <c r="B156">
        <v>21</v>
      </c>
      <c r="C156" s="2">
        <v>45140</v>
      </c>
      <c r="D156" s="2" t="str">
        <f>TEXT(Table4[[#This Row],[issue_date]],"mmmm")</f>
        <v>August</v>
      </c>
      <c r="E156" s="9">
        <f>YEAR(Table4[[#This Row],[issue_date]])</f>
        <v>2023</v>
      </c>
      <c r="F156" t="s">
        <v>19</v>
      </c>
      <c r="G156">
        <v>34</v>
      </c>
      <c r="H156" t="s">
        <v>20</v>
      </c>
      <c r="I156" t="str">
        <f>VLOOKUP(Table4[[#This Row],[customer_id]],customers!A:G,4,)</f>
        <v>hyderabad</v>
      </c>
    </row>
    <row r="157" spans="1:9" x14ac:dyDescent="0.3">
      <c r="A157">
        <v>20156</v>
      </c>
      <c r="B157">
        <v>134</v>
      </c>
      <c r="C157" s="2">
        <v>45270</v>
      </c>
      <c r="D157" s="2" t="str">
        <f>TEXT(Table4[[#This Row],[issue_date]],"mmmm")</f>
        <v>December</v>
      </c>
      <c r="E157" s="9">
        <f>YEAR(Table4[[#This Row],[issue_date]])</f>
        <v>2023</v>
      </c>
      <c r="F157" t="s">
        <v>21</v>
      </c>
      <c r="G157">
        <v>36</v>
      </c>
      <c r="H157" t="s">
        <v>20</v>
      </c>
      <c r="I157" t="str">
        <f>VLOOKUP(Table4[[#This Row],[customer_id]],customers!A:G,4,)</f>
        <v>mumbai</v>
      </c>
    </row>
    <row r="158" spans="1:9" x14ac:dyDescent="0.3">
      <c r="A158">
        <v>20157</v>
      </c>
      <c r="B158">
        <v>379</v>
      </c>
      <c r="C158" s="2">
        <v>44807</v>
      </c>
      <c r="D158" s="2" t="str">
        <f>TEXT(Table4[[#This Row],[issue_date]],"mmmm")</f>
        <v>September</v>
      </c>
      <c r="E158" s="9">
        <f>YEAR(Table4[[#This Row],[issue_date]])</f>
        <v>2022</v>
      </c>
      <c r="F158" t="s">
        <v>22</v>
      </c>
      <c r="G158">
        <v>4</v>
      </c>
      <c r="H158" t="s">
        <v>20</v>
      </c>
      <c r="I158" t="str">
        <f>VLOOKUP(Table4[[#This Row],[customer_id]],customers!A:G,4,)</f>
        <v>kolkata</v>
      </c>
    </row>
    <row r="159" spans="1:9" x14ac:dyDescent="0.3">
      <c r="A159">
        <v>20158</v>
      </c>
      <c r="B159">
        <v>96</v>
      </c>
      <c r="C159" s="2">
        <v>45369</v>
      </c>
      <c r="D159" s="2" t="str">
        <f>TEXT(Table4[[#This Row],[issue_date]],"mmmm")</f>
        <v>March</v>
      </c>
      <c r="E159" s="9">
        <f>YEAR(Table4[[#This Row],[issue_date]])</f>
        <v>2024</v>
      </c>
      <c r="F159" t="s">
        <v>19</v>
      </c>
      <c r="G159">
        <v>29</v>
      </c>
      <c r="H159" t="s">
        <v>20</v>
      </c>
      <c r="I159" t="str">
        <f>VLOOKUP(Table4[[#This Row],[customer_id]],customers!A:G,4,)</f>
        <v>hyderabad</v>
      </c>
    </row>
    <row r="160" spans="1:9" x14ac:dyDescent="0.3">
      <c r="A160">
        <v>20159</v>
      </c>
      <c r="B160">
        <v>454</v>
      </c>
      <c r="C160" s="2">
        <v>45173</v>
      </c>
      <c r="D160" s="2" t="str">
        <f>TEXT(Table4[[#This Row],[issue_date]],"mmmm")</f>
        <v>September</v>
      </c>
      <c r="E160" s="9">
        <f>YEAR(Table4[[#This Row],[issue_date]])</f>
        <v>2023</v>
      </c>
      <c r="F160" t="s">
        <v>19</v>
      </c>
      <c r="G160">
        <v>16</v>
      </c>
      <c r="H160" t="s">
        <v>20</v>
      </c>
      <c r="I160" t="str">
        <f>VLOOKUP(Table4[[#This Row],[customer_id]],customers!A:G,4,)</f>
        <v>chennai</v>
      </c>
    </row>
    <row r="161" spans="1:9" x14ac:dyDescent="0.3">
      <c r="A161">
        <v>20160</v>
      </c>
      <c r="B161">
        <v>13</v>
      </c>
      <c r="C161" s="2">
        <v>44739</v>
      </c>
      <c r="D161" s="2" t="str">
        <f>TEXT(Table4[[#This Row],[issue_date]],"mmmm")</f>
        <v>June</v>
      </c>
      <c r="E161" s="9">
        <f>YEAR(Table4[[#This Row],[issue_date]])</f>
        <v>2022</v>
      </c>
      <c r="F161" t="s">
        <v>22</v>
      </c>
      <c r="G161">
        <v>8</v>
      </c>
      <c r="H161" t="s">
        <v>20</v>
      </c>
      <c r="I161" t="str">
        <f>VLOOKUP(Table4[[#This Row],[customer_id]],customers!A:G,4,)</f>
        <v>kolkata</v>
      </c>
    </row>
    <row r="162" spans="1:9" x14ac:dyDescent="0.3">
      <c r="A162">
        <v>20161</v>
      </c>
      <c r="B162">
        <v>1</v>
      </c>
      <c r="C162" s="2">
        <v>44676</v>
      </c>
      <c r="D162" s="2" t="str">
        <f>TEXT(Table4[[#This Row],[issue_date]],"mmmm")</f>
        <v>April</v>
      </c>
      <c r="E162" s="9">
        <f>YEAR(Table4[[#This Row],[issue_date]])</f>
        <v>2022</v>
      </c>
      <c r="F162" t="s">
        <v>19</v>
      </c>
      <c r="G162">
        <v>39</v>
      </c>
      <c r="H162" t="s">
        <v>20</v>
      </c>
      <c r="I162" t="str">
        <f>VLOOKUP(Table4[[#This Row],[customer_id]],customers!A:G,4,)</f>
        <v>kolkata</v>
      </c>
    </row>
    <row r="163" spans="1:9" x14ac:dyDescent="0.3">
      <c r="A163">
        <v>20162</v>
      </c>
      <c r="B163">
        <v>150</v>
      </c>
      <c r="C163" s="2">
        <v>45241</v>
      </c>
      <c r="D163" s="2" t="str">
        <f>TEXT(Table4[[#This Row],[issue_date]],"mmmm")</f>
        <v>November</v>
      </c>
      <c r="E163" s="9">
        <f>YEAR(Table4[[#This Row],[issue_date]])</f>
        <v>2023</v>
      </c>
      <c r="F163" t="s">
        <v>21</v>
      </c>
      <c r="G163">
        <v>58</v>
      </c>
      <c r="H163" t="s">
        <v>20</v>
      </c>
      <c r="I163" t="str">
        <f>VLOOKUP(Table4[[#This Row],[customer_id]],customers!A:G,4,)</f>
        <v>bangalore</v>
      </c>
    </row>
    <row r="164" spans="1:9" x14ac:dyDescent="0.3">
      <c r="A164">
        <v>20163</v>
      </c>
      <c r="B164">
        <v>117</v>
      </c>
      <c r="C164" s="2">
        <v>45192</v>
      </c>
      <c r="D164" s="2" t="str">
        <f>TEXT(Table4[[#This Row],[issue_date]],"mmmm")</f>
        <v>September</v>
      </c>
      <c r="E164" s="9">
        <f>YEAR(Table4[[#This Row],[issue_date]])</f>
        <v>2023</v>
      </c>
      <c r="F164" t="s">
        <v>19</v>
      </c>
      <c r="G164">
        <v>12</v>
      </c>
      <c r="H164" t="s">
        <v>20</v>
      </c>
      <c r="I164" t="str">
        <f>VLOOKUP(Table4[[#This Row],[customer_id]],customers!A:G,4,)</f>
        <v>kolkata</v>
      </c>
    </row>
    <row r="165" spans="1:9" x14ac:dyDescent="0.3">
      <c r="A165">
        <v>20164</v>
      </c>
      <c r="B165">
        <v>152</v>
      </c>
      <c r="C165" s="2">
        <v>44726</v>
      </c>
      <c r="D165" s="2" t="str">
        <f>TEXT(Table4[[#This Row],[issue_date]],"mmmm")</f>
        <v>June</v>
      </c>
      <c r="E165" s="9">
        <f>YEAR(Table4[[#This Row],[issue_date]])</f>
        <v>2022</v>
      </c>
      <c r="F165" t="s">
        <v>19</v>
      </c>
      <c r="G165">
        <v>44</v>
      </c>
      <c r="H165" t="s">
        <v>20</v>
      </c>
      <c r="I165" t="str">
        <f>VLOOKUP(Table4[[#This Row],[customer_id]],customers!A:G,4,)</f>
        <v>bangalore</v>
      </c>
    </row>
    <row r="166" spans="1:9" x14ac:dyDescent="0.3">
      <c r="A166">
        <v>20165</v>
      </c>
      <c r="B166">
        <v>64</v>
      </c>
      <c r="C166" s="2">
        <v>44780</v>
      </c>
      <c r="D166" s="2" t="str">
        <f>TEXT(Table4[[#This Row],[issue_date]],"mmmm")</f>
        <v>August</v>
      </c>
      <c r="E166" s="9">
        <f>YEAR(Table4[[#This Row],[issue_date]])</f>
        <v>2022</v>
      </c>
      <c r="F166" t="s">
        <v>22</v>
      </c>
      <c r="G166">
        <v>4</v>
      </c>
      <c r="H166" t="s">
        <v>20</v>
      </c>
      <c r="I166" t="str">
        <f>VLOOKUP(Table4[[#This Row],[customer_id]],customers!A:G,4,)</f>
        <v>bangalore</v>
      </c>
    </row>
    <row r="167" spans="1:9" x14ac:dyDescent="0.3">
      <c r="A167">
        <v>20166</v>
      </c>
      <c r="B167">
        <v>425</v>
      </c>
      <c r="C167" s="2">
        <v>44758</v>
      </c>
      <c r="D167" s="2" t="str">
        <f>TEXT(Table4[[#This Row],[issue_date]],"mmmm")</f>
        <v>July</v>
      </c>
      <c r="E167" s="9">
        <f>YEAR(Table4[[#This Row],[issue_date]])</f>
        <v>2022</v>
      </c>
      <c r="F167" t="s">
        <v>22</v>
      </c>
      <c r="G167">
        <v>25</v>
      </c>
      <c r="H167" t="s">
        <v>20</v>
      </c>
      <c r="I167" t="str">
        <f>VLOOKUP(Table4[[#This Row],[customer_id]],customers!A:G,4,)</f>
        <v>hyderabad</v>
      </c>
    </row>
    <row r="168" spans="1:9" x14ac:dyDescent="0.3">
      <c r="A168">
        <v>20167</v>
      </c>
      <c r="B168">
        <v>478</v>
      </c>
      <c r="C168" s="2">
        <v>44962</v>
      </c>
      <c r="D168" s="2" t="str">
        <f>TEXT(Table4[[#This Row],[issue_date]],"mmmm")</f>
        <v>February</v>
      </c>
      <c r="E168" s="9">
        <f>YEAR(Table4[[#This Row],[issue_date]])</f>
        <v>2023</v>
      </c>
      <c r="F168" t="s">
        <v>21</v>
      </c>
      <c r="G168">
        <v>70</v>
      </c>
      <c r="H168" t="s">
        <v>20</v>
      </c>
      <c r="I168" t="str">
        <f>VLOOKUP(Table4[[#This Row],[customer_id]],customers!A:G,4,)</f>
        <v>chennai</v>
      </c>
    </row>
    <row r="169" spans="1:9" x14ac:dyDescent="0.3">
      <c r="A169">
        <v>20168</v>
      </c>
      <c r="B169">
        <v>150</v>
      </c>
      <c r="C169" s="2">
        <v>45391</v>
      </c>
      <c r="D169" s="2" t="str">
        <f>TEXT(Table4[[#This Row],[issue_date]],"mmmm")</f>
        <v>April</v>
      </c>
      <c r="E169" s="9">
        <f>YEAR(Table4[[#This Row],[issue_date]])</f>
        <v>2024</v>
      </c>
      <c r="F169" t="s">
        <v>19</v>
      </c>
      <c r="G169">
        <v>67</v>
      </c>
      <c r="H169" t="s">
        <v>20</v>
      </c>
      <c r="I169" t="str">
        <f>VLOOKUP(Table4[[#This Row],[customer_id]],customers!A:G,4,)</f>
        <v>bangalore</v>
      </c>
    </row>
    <row r="170" spans="1:9" x14ac:dyDescent="0.3">
      <c r="A170">
        <v>20169</v>
      </c>
      <c r="B170">
        <v>317</v>
      </c>
      <c r="C170" s="2">
        <v>45310</v>
      </c>
      <c r="D170" s="2" t="str">
        <f>TEXT(Table4[[#This Row],[issue_date]],"mmmm")</f>
        <v>January</v>
      </c>
      <c r="E170" s="9">
        <f>YEAR(Table4[[#This Row],[issue_date]])</f>
        <v>2024</v>
      </c>
      <c r="F170" t="s">
        <v>19</v>
      </c>
      <c r="G170">
        <v>39</v>
      </c>
      <c r="H170" t="s">
        <v>20</v>
      </c>
      <c r="I170" t="str">
        <f>VLOOKUP(Table4[[#This Row],[customer_id]],customers!A:G,4,)</f>
        <v>delhi</v>
      </c>
    </row>
    <row r="171" spans="1:9" x14ac:dyDescent="0.3">
      <c r="A171">
        <v>20170</v>
      </c>
      <c r="B171">
        <v>364</v>
      </c>
      <c r="C171" s="2">
        <v>45242</v>
      </c>
      <c r="D171" s="2" t="str">
        <f>TEXT(Table4[[#This Row],[issue_date]],"mmmm")</f>
        <v>November</v>
      </c>
      <c r="E171" s="9">
        <f>YEAR(Table4[[#This Row],[issue_date]])</f>
        <v>2023</v>
      </c>
      <c r="F171" t="s">
        <v>22</v>
      </c>
      <c r="G171">
        <v>24</v>
      </c>
      <c r="H171" t="s">
        <v>20</v>
      </c>
      <c r="I171" t="str">
        <f>VLOOKUP(Table4[[#This Row],[customer_id]],customers!A:G,4,)</f>
        <v>delhi</v>
      </c>
    </row>
    <row r="172" spans="1:9" x14ac:dyDescent="0.3">
      <c r="A172">
        <v>20171</v>
      </c>
      <c r="B172">
        <v>12</v>
      </c>
      <c r="C172" s="2">
        <v>44637</v>
      </c>
      <c r="D172" s="2" t="str">
        <f>TEXT(Table4[[#This Row],[issue_date]],"mmmm")</f>
        <v>March</v>
      </c>
      <c r="E172" s="9">
        <f>YEAR(Table4[[#This Row],[issue_date]])</f>
        <v>2022</v>
      </c>
      <c r="F172" t="s">
        <v>21</v>
      </c>
      <c r="G172">
        <v>6</v>
      </c>
      <c r="H172" t="s">
        <v>20</v>
      </c>
      <c r="I172" t="str">
        <f>VLOOKUP(Table4[[#This Row],[customer_id]],customers!A:G,4,)</f>
        <v>kolkata</v>
      </c>
    </row>
    <row r="173" spans="1:9" x14ac:dyDescent="0.3">
      <c r="A173">
        <v>20172</v>
      </c>
      <c r="B173">
        <v>90</v>
      </c>
      <c r="C173" s="2">
        <v>44987</v>
      </c>
      <c r="D173" s="2" t="str">
        <f>TEXT(Table4[[#This Row],[issue_date]],"mmmm")</f>
        <v>March</v>
      </c>
      <c r="E173" s="9">
        <f>YEAR(Table4[[#This Row],[issue_date]])</f>
        <v>2023</v>
      </c>
      <c r="F173" t="s">
        <v>19</v>
      </c>
      <c r="G173">
        <v>33</v>
      </c>
      <c r="H173" t="s">
        <v>20</v>
      </c>
      <c r="I173" t="str">
        <f>VLOOKUP(Table4[[#This Row],[customer_id]],customers!A:G,4,)</f>
        <v>mumbai</v>
      </c>
    </row>
    <row r="174" spans="1:9" x14ac:dyDescent="0.3">
      <c r="A174">
        <v>20173</v>
      </c>
      <c r="B174">
        <v>388</v>
      </c>
      <c r="C174" s="2">
        <v>44848</v>
      </c>
      <c r="D174" s="2" t="str">
        <f>TEXT(Table4[[#This Row],[issue_date]],"mmmm")</f>
        <v>October</v>
      </c>
      <c r="E174" s="9">
        <f>YEAR(Table4[[#This Row],[issue_date]])</f>
        <v>2022</v>
      </c>
      <c r="F174" t="s">
        <v>21</v>
      </c>
      <c r="G174">
        <v>48</v>
      </c>
      <c r="H174" t="s">
        <v>20</v>
      </c>
      <c r="I174" t="str">
        <f>VLOOKUP(Table4[[#This Row],[customer_id]],customers!A:G,4,)</f>
        <v>chennai</v>
      </c>
    </row>
    <row r="175" spans="1:9" x14ac:dyDescent="0.3">
      <c r="A175">
        <v>20174</v>
      </c>
      <c r="B175">
        <v>83</v>
      </c>
      <c r="C175" s="2">
        <v>45106</v>
      </c>
      <c r="D175" s="2" t="str">
        <f>TEXT(Table4[[#This Row],[issue_date]],"mmmm")</f>
        <v>June</v>
      </c>
      <c r="E175" s="9">
        <f>YEAR(Table4[[#This Row],[issue_date]])</f>
        <v>2023</v>
      </c>
      <c r="F175" t="s">
        <v>19</v>
      </c>
      <c r="G175">
        <v>67</v>
      </c>
      <c r="H175" t="s">
        <v>20</v>
      </c>
      <c r="I175" t="str">
        <f>VLOOKUP(Table4[[#This Row],[customer_id]],customers!A:G,4,)</f>
        <v>bangalore</v>
      </c>
    </row>
    <row r="176" spans="1:9" x14ac:dyDescent="0.3">
      <c r="A176">
        <v>20175</v>
      </c>
      <c r="B176">
        <v>464</v>
      </c>
      <c r="C176" s="2">
        <v>44860</v>
      </c>
      <c r="D176" s="2" t="str">
        <f>TEXT(Table4[[#This Row],[issue_date]],"mmmm")</f>
        <v>October</v>
      </c>
      <c r="E176" s="9">
        <f>YEAR(Table4[[#This Row],[issue_date]])</f>
        <v>2022</v>
      </c>
      <c r="F176" t="s">
        <v>22</v>
      </c>
      <c r="G176">
        <v>2</v>
      </c>
      <c r="H176" t="s">
        <v>23</v>
      </c>
      <c r="I176" t="str">
        <f>VLOOKUP(Table4[[#This Row],[customer_id]],customers!A:G,4,)</f>
        <v>delhi</v>
      </c>
    </row>
    <row r="177" spans="1:9" x14ac:dyDescent="0.3">
      <c r="A177">
        <v>20176</v>
      </c>
      <c r="B177">
        <v>250</v>
      </c>
      <c r="C177" s="2">
        <v>45422</v>
      </c>
      <c r="D177" s="2" t="str">
        <f>TEXT(Table4[[#This Row],[issue_date]],"mmmm")</f>
        <v>May</v>
      </c>
      <c r="E177" s="9">
        <f>YEAR(Table4[[#This Row],[issue_date]])</f>
        <v>2024</v>
      </c>
      <c r="F177" t="s">
        <v>22</v>
      </c>
      <c r="G177">
        <v>38</v>
      </c>
      <c r="H177" t="s">
        <v>20</v>
      </c>
      <c r="I177" t="str">
        <f>VLOOKUP(Table4[[#This Row],[customer_id]],customers!A:G,4,)</f>
        <v>mumbai</v>
      </c>
    </row>
    <row r="178" spans="1:9" x14ac:dyDescent="0.3">
      <c r="A178">
        <v>20177</v>
      </c>
      <c r="B178">
        <v>384</v>
      </c>
      <c r="C178" s="2">
        <v>45303</v>
      </c>
      <c r="D178" s="2" t="str">
        <f>TEXT(Table4[[#This Row],[issue_date]],"mmmm")</f>
        <v>January</v>
      </c>
      <c r="E178" s="9">
        <f>YEAR(Table4[[#This Row],[issue_date]])</f>
        <v>2024</v>
      </c>
      <c r="F178" t="s">
        <v>22</v>
      </c>
      <c r="G178">
        <v>40</v>
      </c>
      <c r="H178" t="s">
        <v>20</v>
      </c>
      <c r="I178" t="str">
        <f>VLOOKUP(Table4[[#This Row],[customer_id]],customers!A:G,4,)</f>
        <v>chennai</v>
      </c>
    </row>
    <row r="179" spans="1:9" x14ac:dyDescent="0.3">
      <c r="A179">
        <v>20178</v>
      </c>
      <c r="B179">
        <v>396</v>
      </c>
      <c r="C179" s="2">
        <v>45268</v>
      </c>
      <c r="D179" s="2" t="str">
        <f>TEXT(Table4[[#This Row],[issue_date]],"mmmm")</f>
        <v>December</v>
      </c>
      <c r="E179" s="9">
        <f>YEAR(Table4[[#This Row],[issue_date]])</f>
        <v>2023</v>
      </c>
      <c r="F179" t="s">
        <v>22</v>
      </c>
      <c r="G179">
        <v>56</v>
      </c>
      <c r="H179" t="s">
        <v>20</v>
      </c>
      <c r="I179" t="str">
        <f>VLOOKUP(Table4[[#This Row],[customer_id]],customers!A:G,4,)</f>
        <v>kolkata</v>
      </c>
    </row>
    <row r="180" spans="1:9" x14ac:dyDescent="0.3">
      <c r="A180">
        <v>20179</v>
      </c>
      <c r="B180">
        <v>33</v>
      </c>
      <c r="C180" s="2">
        <v>44855</v>
      </c>
      <c r="D180" s="2" t="str">
        <f>TEXT(Table4[[#This Row],[issue_date]],"mmmm")</f>
        <v>October</v>
      </c>
      <c r="E180" s="9">
        <f>YEAR(Table4[[#This Row],[issue_date]])</f>
        <v>2022</v>
      </c>
      <c r="F180" t="s">
        <v>22</v>
      </c>
      <c r="G180">
        <v>21</v>
      </c>
      <c r="H180" t="s">
        <v>20</v>
      </c>
      <c r="I180" t="str">
        <f>VLOOKUP(Table4[[#This Row],[customer_id]],customers!A:G,4,)</f>
        <v>kolkata</v>
      </c>
    </row>
    <row r="181" spans="1:9" x14ac:dyDescent="0.3">
      <c r="A181">
        <v>20180</v>
      </c>
      <c r="B181">
        <v>149</v>
      </c>
      <c r="C181" s="2">
        <v>45370</v>
      </c>
      <c r="D181" s="2" t="str">
        <f>TEXT(Table4[[#This Row],[issue_date]],"mmmm")</f>
        <v>March</v>
      </c>
      <c r="E181" s="9">
        <f>YEAR(Table4[[#This Row],[issue_date]])</f>
        <v>2024</v>
      </c>
      <c r="F181" t="s">
        <v>22</v>
      </c>
      <c r="G181">
        <v>35</v>
      </c>
      <c r="H181" t="s">
        <v>20</v>
      </c>
      <c r="I181" t="str">
        <f>VLOOKUP(Table4[[#This Row],[customer_id]],customers!A:G,4,)</f>
        <v>chennai</v>
      </c>
    </row>
    <row r="182" spans="1:9" x14ac:dyDescent="0.3">
      <c r="A182">
        <v>20181</v>
      </c>
      <c r="B182">
        <v>128</v>
      </c>
      <c r="C182" s="2">
        <v>45447</v>
      </c>
      <c r="D182" s="2" t="str">
        <f>TEXT(Table4[[#This Row],[issue_date]],"mmmm")</f>
        <v>June</v>
      </c>
      <c r="E182" s="9">
        <f>YEAR(Table4[[#This Row],[issue_date]])</f>
        <v>2024</v>
      </c>
      <c r="F182" t="s">
        <v>21</v>
      </c>
      <c r="G182">
        <v>67</v>
      </c>
      <c r="H182" t="s">
        <v>20</v>
      </c>
      <c r="I182" t="str">
        <f>VLOOKUP(Table4[[#This Row],[customer_id]],customers!A:G,4,)</f>
        <v>bangalore</v>
      </c>
    </row>
    <row r="183" spans="1:9" x14ac:dyDescent="0.3">
      <c r="A183">
        <v>20182</v>
      </c>
      <c r="B183">
        <v>100</v>
      </c>
      <c r="C183" s="2">
        <v>45008</v>
      </c>
      <c r="D183" s="2" t="str">
        <f>TEXT(Table4[[#This Row],[issue_date]],"mmmm")</f>
        <v>March</v>
      </c>
      <c r="E183" s="9">
        <f>YEAR(Table4[[#This Row],[issue_date]])</f>
        <v>2023</v>
      </c>
      <c r="F183" t="s">
        <v>22</v>
      </c>
      <c r="G183">
        <v>60</v>
      </c>
      <c r="H183" t="s">
        <v>20</v>
      </c>
      <c r="I183" t="str">
        <f>VLOOKUP(Table4[[#This Row],[customer_id]],customers!A:G,4,)</f>
        <v>mumbai</v>
      </c>
    </row>
    <row r="184" spans="1:9" x14ac:dyDescent="0.3">
      <c r="A184">
        <v>20183</v>
      </c>
      <c r="B184">
        <v>457</v>
      </c>
      <c r="C184" s="2">
        <v>44975</v>
      </c>
      <c r="D184" s="2" t="str">
        <f>TEXT(Table4[[#This Row],[issue_date]],"mmmm")</f>
        <v>February</v>
      </c>
      <c r="E184" s="9">
        <f>YEAR(Table4[[#This Row],[issue_date]])</f>
        <v>2023</v>
      </c>
      <c r="F184" t="s">
        <v>21</v>
      </c>
      <c r="G184">
        <v>23</v>
      </c>
      <c r="H184" t="s">
        <v>20</v>
      </c>
      <c r="I184" t="str">
        <f>VLOOKUP(Table4[[#This Row],[customer_id]],customers!A:G,4,)</f>
        <v>delhi</v>
      </c>
    </row>
    <row r="185" spans="1:9" x14ac:dyDescent="0.3">
      <c r="A185">
        <v>20184</v>
      </c>
      <c r="B185">
        <v>487</v>
      </c>
      <c r="C185" s="2">
        <v>44992</v>
      </c>
      <c r="D185" s="2" t="str">
        <f>TEXT(Table4[[#This Row],[issue_date]],"mmmm")</f>
        <v>March</v>
      </c>
      <c r="E185" s="9">
        <f>YEAR(Table4[[#This Row],[issue_date]])</f>
        <v>2023</v>
      </c>
      <c r="F185" t="s">
        <v>22</v>
      </c>
      <c r="G185">
        <v>65</v>
      </c>
      <c r="H185" t="s">
        <v>20</v>
      </c>
      <c r="I185" t="str">
        <f>VLOOKUP(Table4[[#This Row],[customer_id]],customers!A:G,4,)</f>
        <v>bangalore</v>
      </c>
    </row>
    <row r="186" spans="1:9" x14ac:dyDescent="0.3">
      <c r="A186">
        <v>20185</v>
      </c>
      <c r="B186">
        <v>362</v>
      </c>
      <c r="C186" s="2">
        <v>45351</v>
      </c>
      <c r="D186" s="2" t="str">
        <f>TEXT(Table4[[#This Row],[issue_date]],"mmmm")</f>
        <v>February</v>
      </c>
      <c r="E186" s="9">
        <f>YEAR(Table4[[#This Row],[issue_date]])</f>
        <v>2024</v>
      </c>
      <c r="F186" t="s">
        <v>19</v>
      </c>
      <c r="G186">
        <v>63</v>
      </c>
      <c r="H186" t="s">
        <v>20</v>
      </c>
      <c r="I186" t="str">
        <f>VLOOKUP(Table4[[#This Row],[customer_id]],customers!A:G,4,)</f>
        <v>delhi</v>
      </c>
    </row>
    <row r="187" spans="1:9" x14ac:dyDescent="0.3">
      <c r="A187">
        <v>20186</v>
      </c>
      <c r="B187">
        <v>493</v>
      </c>
      <c r="C187" s="2">
        <v>44791</v>
      </c>
      <c r="D187" s="2" t="str">
        <f>TEXT(Table4[[#This Row],[issue_date]],"mmmm")</f>
        <v>August</v>
      </c>
      <c r="E187" s="9">
        <f>YEAR(Table4[[#This Row],[issue_date]])</f>
        <v>2022</v>
      </c>
      <c r="F187" t="s">
        <v>19</v>
      </c>
      <c r="G187">
        <v>23</v>
      </c>
      <c r="H187" t="s">
        <v>23</v>
      </c>
      <c r="I187" t="str">
        <f>VLOOKUP(Table4[[#This Row],[customer_id]],customers!A:G,4,)</f>
        <v>kolkata</v>
      </c>
    </row>
    <row r="188" spans="1:9" x14ac:dyDescent="0.3">
      <c r="A188">
        <v>20187</v>
      </c>
      <c r="B188">
        <v>328</v>
      </c>
      <c r="C188" s="2">
        <v>44657</v>
      </c>
      <c r="D188" s="2" t="str">
        <f>TEXT(Table4[[#This Row],[issue_date]],"mmmm")</f>
        <v>April</v>
      </c>
      <c r="E188" s="9">
        <f>YEAR(Table4[[#This Row],[issue_date]])</f>
        <v>2022</v>
      </c>
      <c r="F188" t="s">
        <v>19</v>
      </c>
      <c r="G188">
        <v>42</v>
      </c>
      <c r="H188" t="s">
        <v>20</v>
      </c>
      <c r="I188" t="str">
        <f>VLOOKUP(Table4[[#This Row],[customer_id]],customers!A:G,4,)</f>
        <v>kolkata</v>
      </c>
    </row>
    <row r="189" spans="1:9" x14ac:dyDescent="0.3">
      <c r="A189">
        <v>20188</v>
      </c>
      <c r="B189">
        <v>212</v>
      </c>
      <c r="C189" s="2">
        <v>45456</v>
      </c>
      <c r="D189" s="2" t="str">
        <f>TEXT(Table4[[#This Row],[issue_date]],"mmmm")</f>
        <v>June</v>
      </c>
      <c r="E189" s="9">
        <f>YEAR(Table4[[#This Row],[issue_date]])</f>
        <v>2024</v>
      </c>
      <c r="F189" t="s">
        <v>21</v>
      </c>
      <c r="G189">
        <v>64</v>
      </c>
      <c r="H189" t="s">
        <v>20</v>
      </c>
      <c r="I189" t="str">
        <f>VLOOKUP(Table4[[#This Row],[customer_id]],customers!A:G,4,)</f>
        <v>delhi</v>
      </c>
    </row>
    <row r="190" spans="1:9" x14ac:dyDescent="0.3">
      <c r="A190">
        <v>20189</v>
      </c>
      <c r="B190">
        <v>74</v>
      </c>
      <c r="C190" s="2">
        <v>45000</v>
      </c>
      <c r="D190" s="2" t="str">
        <f>TEXT(Table4[[#This Row],[issue_date]],"mmmm")</f>
        <v>March</v>
      </c>
      <c r="E190" s="9">
        <f>YEAR(Table4[[#This Row],[issue_date]])</f>
        <v>2023</v>
      </c>
      <c r="F190" t="s">
        <v>22</v>
      </c>
      <c r="G190">
        <v>66</v>
      </c>
      <c r="H190" t="s">
        <v>20</v>
      </c>
      <c r="I190" t="str">
        <f>VLOOKUP(Table4[[#This Row],[customer_id]],customers!A:G,4,)</f>
        <v>hyderabad</v>
      </c>
    </row>
    <row r="191" spans="1:9" x14ac:dyDescent="0.3">
      <c r="A191">
        <v>20190</v>
      </c>
      <c r="B191">
        <v>96</v>
      </c>
      <c r="C191" s="2">
        <v>44732</v>
      </c>
      <c r="D191" s="2" t="str">
        <f>TEXT(Table4[[#This Row],[issue_date]],"mmmm")</f>
        <v>June</v>
      </c>
      <c r="E191" s="9">
        <f>YEAR(Table4[[#This Row],[issue_date]])</f>
        <v>2022</v>
      </c>
      <c r="F191" t="s">
        <v>21</v>
      </c>
      <c r="G191">
        <v>41</v>
      </c>
      <c r="H191" t="s">
        <v>20</v>
      </c>
      <c r="I191" t="str">
        <f>VLOOKUP(Table4[[#This Row],[customer_id]],customers!A:G,4,)</f>
        <v>hyderabad</v>
      </c>
    </row>
    <row r="192" spans="1:9" x14ac:dyDescent="0.3">
      <c r="A192">
        <v>20191</v>
      </c>
      <c r="B192">
        <v>92</v>
      </c>
      <c r="C192" s="2">
        <v>44878</v>
      </c>
      <c r="D192" s="2" t="str">
        <f>TEXT(Table4[[#This Row],[issue_date]],"mmmm")</f>
        <v>November</v>
      </c>
      <c r="E192" s="9">
        <f>YEAR(Table4[[#This Row],[issue_date]])</f>
        <v>2022</v>
      </c>
      <c r="F192" t="s">
        <v>22</v>
      </c>
      <c r="G192">
        <v>20</v>
      </c>
      <c r="H192" t="s">
        <v>20</v>
      </c>
      <c r="I192" t="str">
        <f>VLOOKUP(Table4[[#This Row],[customer_id]],customers!A:G,4,)</f>
        <v>chennai</v>
      </c>
    </row>
    <row r="193" spans="1:9" x14ac:dyDescent="0.3">
      <c r="A193">
        <v>20192</v>
      </c>
      <c r="B193">
        <v>330</v>
      </c>
      <c r="C193" s="2">
        <v>45403</v>
      </c>
      <c r="D193" s="2" t="str">
        <f>TEXT(Table4[[#This Row],[issue_date]],"mmmm")</f>
        <v>April</v>
      </c>
      <c r="E193" s="9">
        <f>YEAR(Table4[[#This Row],[issue_date]])</f>
        <v>2024</v>
      </c>
      <c r="F193" t="s">
        <v>19</v>
      </c>
      <c r="G193">
        <v>9</v>
      </c>
      <c r="H193" t="s">
        <v>20</v>
      </c>
      <c r="I193" t="str">
        <f>VLOOKUP(Table4[[#This Row],[customer_id]],customers!A:G,4,)</f>
        <v>mumbai</v>
      </c>
    </row>
    <row r="194" spans="1:9" x14ac:dyDescent="0.3">
      <c r="A194">
        <v>20193</v>
      </c>
      <c r="B194">
        <v>328</v>
      </c>
      <c r="C194" s="2">
        <v>45105</v>
      </c>
      <c r="D194" s="2" t="str">
        <f>TEXT(Table4[[#This Row],[issue_date]],"mmmm")</f>
        <v>June</v>
      </c>
      <c r="E194" s="9">
        <f>YEAR(Table4[[#This Row],[issue_date]])</f>
        <v>2023</v>
      </c>
      <c r="F194" t="s">
        <v>21</v>
      </c>
      <c r="G194">
        <v>57</v>
      </c>
      <c r="H194" t="s">
        <v>20</v>
      </c>
      <c r="I194" t="str">
        <f>VLOOKUP(Table4[[#This Row],[customer_id]],customers!A:G,4,)</f>
        <v>kolkata</v>
      </c>
    </row>
    <row r="195" spans="1:9" x14ac:dyDescent="0.3">
      <c r="A195">
        <v>20194</v>
      </c>
      <c r="B195">
        <v>436</v>
      </c>
      <c r="C195" s="2">
        <v>45052</v>
      </c>
      <c r="D195" s="2" t="str">
        <f>TEXT(Table4[[#This Row],[issue_date]],"mmmm")</f>
        <v>May</v>
      </c>
      <c r="E195" s="9">
        <f>YEAR(Table4[[#This Row],[issue_date]])</f>
        <v>2023</v>
      </c>
      <c r="F195" t="s">
        <v>22</v>
      </c>
      <c r="G195">
        <v>17</v>
      </c>
      <c r="H195" t="s">
        <v>20</v>
      </c>
      <c r="I195" t="str">
        <f>VLOOKUP(Table4[[#This Row],[customer_id]],customers!A:G,4,)</f>
        <v>delhi</v>
      </c>
    </row>
    <row r="196" spans="1:9" x14ac:dyDescent="0.3">
      <c r="A196">
        <v>20195</v>
      </c>
      <c r="B196">
        <v>175</v>
      </c>
      <c r="C196" s="2">
        <v>44949</v>
      </c>
      <c r="D196" s="2" t="str">
        <f>TEXT(Table4[[#This Row],[issue_date]],"mmmm")</f>
        <v>January</v>
      </c>
      <c r="E196" s="9">
        <f>YEAR(Table4[[#This Row],[issue_date]])</f>
        <v>2023</v>
      </c>
      <c r="F196" t="s">
        <v>21</v>
      </c>
      <c r="G196">
        <v>18</v>
      </c>
      <c r="H196" t="s">
        <v>20</v>
      </c>
      <c r="I196" t="str">
        <f>VLOOKUP(Table4[[#This Row],[customer_id]],customers!A:G,4,)</f>
        <v>kolkata</v>
      </c>
    </row>
    <row r="197" spans="1:9" x14ac:dyDescent="0.3">
      <c r="A197">
        <v>20196</v>
      </c>
      <c r="B197">
        <v>225</v>
      </c>
      <c r="C197" s="2">
        <v>45118</v>
      </c>
      <c r="D197" s="2" t="str">
        <f>TEXT(Table4[[#This Row],[issue_date]],"mmmm")</f>
        <v>July</v>
      </c>
      <c r="E197" s="9">
        <f>YEAR(Table4[[#This Row],[issue_date]])</f>
        <v>2023</v>
      </c>
      <c r="F197" t="s">
        <v>21</v>
      </c>
      <c r="G197">
        <v>63</v>
      </c>
      <c r="H197" t="s">
        <v>20</v>
      </c>
      <c r="I197" t="str">
        <f>VLOOKUP(Table4[[#This Row],[customer_id]],customers!A:G,4,)</f>
        <v>hyderabad</v>
      </c>
    </row>
    <row r="198" spans="1:9" x14ac:dyDescent="0.3">
      <c r="A198">
        <v>20197</v>
      </c>
      <c r="B198">
        <v>315</v>
      </c>
      <c r="C198" s="2">
        <v>44633</v>
      </c>
      <c r="D198" s="2" t="str">
        <f>TEXT(Table4[[#This Row],[issue_date]],"mmmm")</f>
        <v>March</v>
      </c>
      <c r="E198" s="9">
        <f>YEAR(Table4[[#This Row],[issue_date]])</f>
        <v>2022</v>
      </c>
      <c r="F198" t="s">
        <v>19</v>
      </c>
      <c r="G198">
        <v>26</v>
      </c>
      <c r="H198" t="s">
        <v>20</v>
      </c>
      <c r="I198" t="str">
        <f>VLOOKUP(Table4[[#This Row],[customer_id]],customers!A:G,4,)</f>
        <v>kolkata</v>
      </c>
    </row>
    <row r="199" spans="1:9" x14ac:dyDescent="0.3">
      <c r="A199">
        <v>20198</v>
      </c>
      <c r="B199">
        <v>175</v>
      </c>
      <c r="C199" s="2">
        <v>45093</v>
      </c>
      <c r="D199" s="2" t="str">
        <f>TEXT(Table4[[#This Row],[issue_date]],"mmmm")</f>
        <v>June</v>
      </c>
      <c r="E199" s="9">
        <f>YEAR(Table4[[#This Row],[issue_date]])</f>
        <v>2023</v>
      </c>
      <c r="F199" t="s">
        <v>19</v>
      </c>
      <c r="G199">
        <v>13</v>
      </c>
      <c r="H199" t="s">
        <v>20</v>
      </c>
      <c r="I199" t="str">
        <f>VLOOKUP(Table4[[#This Row],[customer_id]],customers!A:G,4,)</f>
        <v>kolkata</v>
      </c>
    </row>
    <row r="200" spans="1:9" x14ac:dyDescent="0.3">
      <c r="A200">
        <v>20199</v>
      </c>
      <c r="B200">
        <v>56</v>
      </c>
      <c r="C200" s="2">
        <v>44800</v>
      </c>
      <c r="D200" s="2" t="str">
        <f>TEXT(Table4[[#This Row],[issue_date]],"mmmm")</f>
        <v>August</v>
      </c>
      <c r="E200" s="9">
        <f>YEAR(Table4[[#This Row],[issue_date]])</f>
        <v>2022</v>
      </c>
      <c r="F200" t="s">
        <v>19</v>
      </c>
      <c r="G200">
        <v>17</v>
      </c>
      <c r="H200" t="s">
        <v>20</v>
      </c>
      <c r="I200" t="str">
        <f>VLOOKUP(Table4[[#This Row],[customer_id]],customers!A:G,4,)</f>
        <v>chennai</v>
      </c>
    </row>
    <row r="201" spans="1:9" x14ac:dyDescent="0.3">
      <c r="A201">
        <v>20200</v>
      </c>
      <c r="B201">
        <v>497</v>
      </c>
      <c r="C201" s="2">
        <v>45272</v>
      </c>
      <c r="D201" s="2" t="str">
        <f>TEXT(Table4[[#This Row],[issue_date]],"mmmm")</f>
        <v>December</v>
      </c>
      <c r="E201" s="9">
        <f>YEAR(Table4[[#This Row],[issue_date]])</f>
        <v>2023</v>
      </c>
      <c r="F201" t="s">
        <v>19</v>
      </c>
      <c r="G201">
        <v>26</v>
      </c>
      <c r="H201" t="s">
        <v>20</v>
      </c>
      <c r="I201" t="str">
        <f>VLOOKUP(Table4[[#This Row],[customer_id]],customers!A:G,4,)</f>
        <v>kolkata</v>
      </c>
    </row>
    <row r="202" spans="1:9" x14ac:dyDescent="0.3">
      <c r="A202">
        <v>20201</v>
      </c>
      <c r="B202">
        <v>269</v>
      </c>
      <c r="C202" s="2">
        <v>45138</v>
      </c>
      <c r="D202" s="2" t="str">
        <f>TEXT(Table4[[#This Row],[issue_date]],"mmmm")</f>
        <v>July</v>
      </c>
      <c r="E202" s="9">
        <f>YEAR(Table4[[#This Row],[issue_date]])</f>
        <v>2023</v>
      </c>
      <c r="F202" t="s">
        <v>19</v>
      </c>
      <c r="G202">
        <v>6</v>
      </c>
      <c r="H202" t="s">
        <v>20</v>
      </c>
      <c r="I202" t="str">
        <f>VLOOKUP(Table4[[#This Row],[customer_id]],customers!A:G,4,)</f>
        <v>chennai</v>
      </c>
    </row>
    <row r="203" spans="1:9" x14ac:dyDescent="0.3">
      <c r="A203">
        <v>20202</v>
      </c>
      <c r="B203">
        <v>428</v>
      </c>
      <c r="C203" s="2">
        <v>45261</v>
      </c>
      <c r="D203" s="2" t="str">
        <f>TEXT(Table4[[#This Row],[issue_date]],"mmmm")</f>
        <v>December</v>
      </c>
      <c r="E203" s="9">
        <f>YEAR(Table4[[#This Row],[issue_date]])</f>
        <v>2023</v>
      </c>
      <c r="F203" t="s">
        <v>22</v>
      </c>
      <c r="G203">
        <v>4</v>
      </c>
      <c r="H203" t="s">
        <v>20</v>
      </c>
      <c r="I203" t="str">
        <f>VLOOKUP(Table4[[#This Row],[customer_id]],customers!A:G,4,)</f>
        <v>bangalore</v>
      </c>
    </row>
    <row r="204" spans="1:9" x14ac:dyDescent="0.3">
      <c r="A204">
        <v>20203</v>
      </c>
      <c r="B204">
        <v>35</v>
      </c>
      <c r="C204" s="2">
        <v>44650</v>
      </c>
      <c r="D204" s="2" t="str">
        <f>TEXT(Table4[[#This Row],[issue_date]],"mmmm")</f>
        <v>March</v>
      </c>
      <c r="E204" s="9">
        <f>YEAR(Table4[[#This Row],[issue_date]])</f>
        <v>2022</v>
      </c>
      <c r="F204" t="s">
        <v>22</v>
      </c>
      <c r="G204">
        <v>7</v>
      </c>
      <c r="H204" t="s">
        <v>20</v>
      </c>
      <c r="I204" t="str">
        <f>VLOOKUP(Table4[[#This Row],[customer_id]],customers!A:G,4,)</f>
        <v>chennai</v>
      </c>
    </row>
    <row r="205" spans="1:9" x14ac:dyDescent="0.3">
      <c r="A205">
        <v>20204</v>
      </c>
      <c r="B205">
        <v>119</v>
      </c>
      <c r="C205" s="2">
        <v>45274</v>
      </c>
      <c r="D205" s="2" t="str">
        <f>TEXT(Table4[[#This Row],[issue_date]],"mmmm")</f>
        <v>December</v>
      </c>
      <c r="E205" s="9">
        <f>YEAR(Table4[[#This Row],[issue_date]])</f>
        <v>2023</v>
      </c>
      <c r="F205" t="s">
        <v>19</v>
      </c>
      <c r="G205">
        <v>17</v>
      </c>
      <c r="H205" t="s">
        <v>23</v>
      </c>
      <c r="I205" t="str">
        <f>VLOOKUP(Table4[[#This Row],[customer_id]],customers!A:G,4,)</f>
        <v>kolkata</v>
      </c>
    </row>
    <row r="206" spans="1:9" x14ac:dyDescent="0.3">
      <c r="A206">
        <v>20205</v>
      </c>
      <c r="B206">
        <v>371</v>
      </c>
      <c r="C206" s="2">
        <v>45096</v>
      </c>
      <c r="D206" s="2" t="str">
        <f>TEXT(Table4[[#This Row],[issue_date]],"mmmm")</f>
        <v>June</v>
      </c>
      <c r="E206" s="9">
        <f>YEAR(Table4[[#This Row],[issue_date]])</f>
        <v>2023</v>
      </c>
      <c r="F206" t="s">
        <v>19</v>
      </c>
      <c r="G206">
        <v>50</v>
      </c>
      <c r="H206" t="s">
        <v>20</v>
      </c>
      <c r="I206" t="str">
        <f>VLOOKUP(Table4[[#This Row],[customer_id]],customers!A:G,4,)</f>
        <v>delhi</v>
      </c>
    </row>
    <row r="207" spans="1:9" x14ac:dyDescent="0.3">
      <c r="A207">
        <v>20206</v>
      </c>
      <c r="B207">
        <v>413</v>
      </c>
      <c r="C207" s="2">
        <v>45369</v>
      </c>
      <c r="D207" s="2" t="str">
        <f>TEXT(Table4[[#This Row],[issue_date]],"mmmm")</f>
        <v>March</v>
      </c>
      <c r="E207" s="9">
        <f>YEAR(Table4[[#This Row],[issue_date]])</f>
        <v>2024</v>
      </c>
      <c r="F207" t="s">
        <v>19</v>
      </c>
      <c r="G207">
        <v>6</v>
      </c>
      <c r="H207" t="s">
        <v>20</v>
      </c>
      <c r="I207" t="str">
        <f>VLOOKUP(Table4[[#This Row],[customer_id]],customers!A:G,4,)</f>
        <v>kolkata</v>
      </c>
    </row>
    <row r="208" spans="1:9" x14ac:dyDescent="0.3">
      <c r="A208">
        <v>20207</v>
      </c>
      <c r="B208">
        <v>56</v>
      </c>
      <c r="C208" s="2">
        <v>45203</v>
      </c>
      <c r="D208" s="2" t="str">
        <f>TEXT(Table4[[#This Row],[issue_date]],"mmmm")</f>
        <v>October</v>
      </c>
      <c r="E208" s="9">
        <f>YEAR(Table4[[#This Row],[issue_date]])</f>
        <v>2023</v>
      </c>
      <c r="F208" t="s">
        <v>21</v>
      </c>
      <c r="G208">
        <v>30</v>
      </c>
      <c r="H208" t="s">
        <v>20</v>
      </c>
      <c r="I208" t="str">
        <f>VLOOKUP(Table4[[#This Row],[customer_id]],customers!A:G,4,)</f>
        <v>chennai</v>
      </c>
    </row>
    <row r="209" spans="1:9" x14ac:dyDescent="0.3">
      <c r="A209">
        <v>20208</v>
      </c>
      <c r="B209">
        <v>389</v>
      </c>
      <c r="C209" s="2">
        <v>44715</v>
      </c>
      <c r="D209" s="2" t="str">
        <f>TEXT(Table4[[#This Row],[issue_date]],"mmmm")</f>
        <v>June</v>
      </c>
      <c r="E209" s="9">
        <f>YEAR(Table4[[#This Row],[issue_date]])</f>
        <v>2022</v>
      </c>
      <c r="F209" t="s">
        <v>19</v>
      </c>
      <c r="G209">
        <v>56</v>
      </c>
      <c r="H209" t="s">
        <v>20</v>
      </c>
      <c r="I209" t="str">
        <f>VLOOKUP(Table4[[#This Row],[customer_id]],customers!A:G,4,)</f>
        <v>bangalore</v>
      </c>
    </row>
    <row r="210" spans="1:9" x14ac:dyDescent="0.3">
      <c r="A210">
        <v>20209</v>
      </c>
      <c r="B210">
        <v>451</v>
      </c>
      <c r="C210" s="2">
        <v>45151</v>
      </c>
      <c r="D210" s="2" t="str">
        <f>TEXT(Table4[[#This Row],[issue_date]],"mmmm")</f>
        <v>August</v>
      </c>
      <c r="E210" s="9">
        <f>YEAR(Table4[[#This Row],[issue_date]])</f>
        <v>2023</v>
      </c>
      <c r="F210" t="s">
        <v>22</v>
      </c>
      <c r="G210">
        <v>39</v>
      </c>
      <c r="H210" t="s">
        <v>20</v>
      </c>
      <c r="I210" t="str">
        <f>VLOOKUP(Table4[[#This Row],[customer_id]],customers!A:G,4,)</f>
        <v>delhi</v>
      </c>
    </row>
    <row r="211" spans="1:9" x14ac:dyDescent="0.3">
      <c r="A211">
        <v>20210</v>
      </c>
      <c r="B211">
        <v>309</v>
      </c>
      <c r="C211" s="2">
        <v>44751</v>
      </c>
      <c r="D211" s="2" t="str">
        <f>TEXT(Table4[[#This Row],[issue_date]],"mmmm")</f>
        <v>July</v>
      </c>
      <c r="E211" s="9">
        <f>YEAR(Table4[[#This Row],[issue_date]])</f>
        <v>2022</v>
      </c>
      <c r="F211" t="s">
        <v>22</v>
      </c>
      <c r="G211">
        <v>14</v>
      </c>
      <c r="H211" t="s">
        <v>20</v>
      </c>
      <c r="I211" t="str">
        <f>VLOOKUP(Table4[[#This Row],[customer_id]],customers!A:G,4,)</f>
        <v>mumbai</v>
      </c>
    </row>
    <row r="212" spans="1:9" x14ac:dyDescent="0.3">
      <c r="A212">
        <v>20211</v>
      </c>
      <c r="B212">
        <v>357</v>
      </c>
      <c r="C212" s="2">
        <v>45373</v>
      </c>
      <c r="D212" s="2" t="str">
        <f>TEXT(Table4[[#This Row],[issue_date]],"mmmm")</f>
        <v>March</v>
      </c>
      <c r="E212" s="9">
        <f>YEAR(Table4[[#This Row],[issue_date]])</f>
        <v>2024</v>
      </c>
      <c r="F212" t="s">
        <v>21</v>
      </c>
      <c r="G212">
        <v>54</v>
      </c>
      <c r="H212" t="s">
        <v>23</v>
      </c>
      <c r="I212" t="str">
        <f>VLOOKUP(Table4[[#This Row],[customer_id]],customers!A:G,4,)</f>
        <v>bangalore</v>
      </c>
    </row>
    <row r="213" spans="1:9" x14ac:dyDescent="0.3">
      <c r="A213">
        <v>20212</v>
      </c>
      <c r="B213">
        <v>376</v>
      </c>
      <c r="C213" s="2">
        <v>44976</v>
      </c>
      <c r="D213" s="2" t="str">
        <f>TEXT(Table4[[#This Row],[issue_date]],"mmmm")</f>
        <v>February</v>
      </c>
      <c r="E213" s="9">
        <f>YEAR(Table4[[#This Row],[issue_date]])</f>
        <v>2023</v>
      </c>
      <c r="F213" t="s">
        <v>22</v>
      </c>
      <c r="G213">
        <v>22</v>
      </c>
      <c r="H213" t="s">
        <v>20</v>
      </c>
      <c r="I213" t="str">
        <f>VLOOKUP(Table4[[#This Row],[customer_id]],customers!A:G,4,)</f>
        <v>hyderabad</v>
      </c>
    </row>
    <row r="214" spans="1:9" x14ac:dyDescent="0.3">
      <c r="A214">
        <v>20213</v>
      </c>
      <c r="B214">
        <v>316</v>
      </c>
      <c r="C214" s="2">
        <v>44715</v>
      </c>
      <c r="D214" s="2" t="str">
        <f>TEXT(Table4[[#This Row],[issue_date]],"mmmm")</f>
        <v>June</v>
      </c>
      <c r="E214" s="9">
        <f>YEAR(Table4[[#This Row],[issue_date]])</f>
        <v>2022</v>
      </c>
      <c r="F214" t="s">
        <v>19</v>
      </c>
      <c r="G214">
        <v>57</v>
      </c>
      <c r="H214" t="s">
        <v>20</v>
      </c>
      <c r="I214" t="str">
        <f>VLOOKUP(Table4[[#This Row],[customer_id]],customers!A:G,4,)</f>
        <v>hyderabad</v>
      </c>
    </row>
    <row r="215" spans="1:9" x14ac:dyDescent="0.3">
      <c r="A215">
        <v>20214</v>
      </c>
      <c r="B215">
        <v>105</v>
      </c>
      <c r="C215" s="2">
        <v>45186</v>
      </c>
      <c r="D215" s="2" t="str">
        <f>TEXT(Table4[[#This Row],[issue_date]],"mmmm")</f>
        <v>September</v>
      </c>
      <c r="E215" s="9">
        <f>YEAR(Table4[[#This Row],[issue_date]])</f>
        <v>2023</v>
      </c>
      <c r="F215" t="s">
        <v>21</v>
      </c>
      <c r="G215">
        <v>41</v>
      </c>
      <c r="H215" t="s">
        <v>20</v>
      </c>
      <c r="I215" t="str">
        <f>VLOOKUP(Table4[[#This Row],[customer_id]],customers!A:G,4,)</f>
        <v>kolkata</v>
      </c>
    </row>
    <row r="216" spans="1:9" x14ac:dyDescent="0.3">
      <c r="A216">
        <v>20215</v>
      </c>
      <c r="B216">
        <v>390</v>
      </c>
      <c r="C216" s="2">
        <v>44900</v>
      </c>
      <c r="D216" s="2" t="str">
        <f>TEXT(Table4[[#This Row],[issue_date]],"mmmm")</f>
        <v>December</v>
      </c>
      <c r="E216" s="9">
        <f>YEAR(Table4[[#This Row],[issue_date]])</f>
        <v>2022</v>
      </c>
      <c r="F216" t="s">
        <v>21</v>
      </c>
      <c r="G216">
        <v>10</v>
      </c>
      <c r="H216" t="s">
        <v>20</v>
      </c>
      <c r="I216" t="str">
        <f>VLOOKUP(Table4[[#This Row],[customer_id]],customers!A:G,4,)</f>
        <v>bangalore</v>
      </c>
    </row>
    <row r="217" spans="1:9" x14ac:dyDescent="0.3">
      <c r="A217">
        <v>20216</v>
      </c>
      <c r="B217">
        <v>176</v>
      </c>
      <c r="C217" s="2">
        <v>45190</v>
      </c>
      <c r="D217" s="2" t="str">
        <f>TEXT(Table4[[#This Row],[issue_date]],"mmmm")</f>
        <v>September</v>
      </c>
      <c r="E217" s="9">
        <f>YEAR(Table4[[#This Row],[issue_date]])</f>
        <v>2023</v>
      </c>
      <c r="F217" t="s">
        <v>22</v>
      </c>
      <c r="G217">
        <v>2</v>
      </c>
      <c r="H217" t="s">
        <v>20</v>
      </c>
      <c r="I217" t="str">
        <f>VLOOKUP(Table4[[#This Row],[customer_id]],customers!A:G,4,)</f>
        <v>chennai</v>
      </c>
    </row>
    <row r="218" spans="1:9" x14ac:dyDescent="0.3">
      <c r="A218">
        <v>20217</v>
      </c>
      <c r="B218">
        <v>106</v>
      </c>
      <c r="C218" s="2">
        <v>45078</v>
      </c>
      <c r="D218" s="2" t="str">
        <f>TEXT(Table4[[#This Row],[issue_date]],"mmmm")</f>
        <v>June</v>
      </c>
      <c r="E218" s="9">
        <f>YEAR(Table4[[#This Row],[issue_date]])</f>
        <v>2023</v>
      </c>
      <c r="F218" t="s">
        <v>19</v>
      </c>
      <c r="G218">
        <v>67</v>
      </c>
      <c r="H218" t="s">
        <v>23</v>
      </c>
      <c r="I218" t="str">
        <f>VLOOKUP(Table4[[#This Row],[customer_id]],customers!A:G,4,)</f>
        <v>bangalore</v>
      </c>
    </row>
    <row r="219" spans="1:9" x14ac:dyDescent="0.3">
      <c r="A219">
        <v>20218</v>
      </c>
      <c r="B219">
        <v>80</v>
      </c>
      <c r="C219" s="2">
        <v>45450</v>
      </c>
      <c r="D219" s="2" t="str">
        <f>TEXT(Table4[[#This Row],[issue_date]],"mmmm")</f>
        <v>June</v>
      </c>
      <c r="E219" s="9">
        <f>YEAR(Table4[[#This Row],[issue_date]])</f>
        <v>2024</v>
      </c>
      <c r="F219" t="s">
        <v>19</v>
      </c>
      <c r="G219">
        <v>48</v>
      </c>
      <c r="H219" t="s">
        <v>23</v>
      </c>
      <c r="I219" t="str">
        <f>VLOOKUP(Table4[[#This Row],[customer_id]],customers!A:G,4,)</f>
        <v>kolkata</v>
      </c>
    </row>
    <row r="220" spans="1:9" x14ac:dyDescent="0.3">
      <c r="A220">
        <v>20219</v>
      </c>
      <c r="B220">
        <v>163</v>
      </c>
      <c r="C220" s="2">
        <v>45399</v>
      </c>
      <c r="D220" s="2" t="str">
        <f>TEXT(Table4[[#This Row],[issue_date]],"mmmm")</f>
        <v>April</v>
      </c>
      <c r="E220" s="9">
        <f>YEAR(Table4[[#This Row],[issue_date]])</f>
        <v>2024</v>
      </c>
      <c r="F220" t="s">
        <v>19</v>
      </c>
      <c r="G220">
        <v>42</v>
      </c>
      <c r="H220" t="s">
        <v>23</v>
      </c>
      <c r="I220" t="str">
        <f>VLOOKUP(Table4[[#This Row],[customer_id]],customers!A:G,4,)</f>
        <v>hyderabad</v>
      </c>
    </row>
    <row r="221" spans="1:9" x14ac:dyDescent="0.3">
      <c r="A221">
        <v>20220</v>
      </c>
      <c r="B221">
        <v>402</v>
      </c>
      <c r="C221" s="2">
        <v>44596</v>
      </c>
      <c r="D221" s="2" t="str">
        <f>TEXT(Table4[[#This Row],[issue_date]],"mmmm")</f>
        <v>February</v>
      </c>
      <c r="E221" s="9">
        <f>YEAR(Table4[[#This Row],[issue_date]])</f>
        <v>2022</v>
      </c>
      <c r="F221" t="s">
        <v>21</v>
      </c>
      <c r="G221">
        <v>11</v>
      </c>
      <c r="H221" t="s">
        <v>20</v>
      </c>
      <c r="I221" t="str">
        <f>VLOOKUP(Table4[[#This Row],[customer_id]],customers!A:G,4,)</f>
        <v>bangalore</v>
      </c>
    </row>
    <row r="222" spans="1:9" x14ac:dyDescent="0.3">
      <c r="A222">
        <v>20221</v>
      </c>
      <c r="B222">
        <v>267</v>
      </c>
      <c r="C222" s="2">
        <v>45345</v>
      </c>
      <c r="D222" s="2" t="str">
        <f>TEXT(Table4[[#This Row],[issue_date]],"mmmm")</f>
        <v>February</v>
      </c>
      <c r="E222" s="9">
        <f>YEAR(Table4[[#This Row],[issue_date]])</f>
        <v>2024</v>
      </c>
      <c r="F222" t="s">
        <v>22</v>
      </c>
      <c r="G222">
        <v>12</v>
      </c>
      <c r="H222" t="s">
        <v>20</v>
      </c>
      <c r="I222" t="str">
        <f>VLOOKUP(Table4[[#This Row],[customer_id]],customers!A:G,4,)</f>
        <v>chennai</v>
      </c>
    </row>
    <row r="223" spans="1:9" x14ac:dyDescent="0.3">
      <c r="A223">
        <v>20222</v>
      </c>
      <c r="B223">
        <v>51</v>
      </c>
      <c r="C223" s="2">
        <v>45232</v>
      </c>
      <c r="D223" s="2" t="str">
        <f>TEXT(Table4[[#This Row],[issue_date]],"mmmm")</f>
        <v>November</v>
      </c>
      <c r="E223" s="9">
        <f>YEAR(Table4[[#This Row],[issue_date]])</f>
        <v>2023</v>
      </c>
      <c r="F223" t="s">
        <v>22</v>
      </c>
      <c r="G223">
        <v>14</v>
      </c>
      <c r="H223" t="s">
        <v>20</v>
      </c>
      <c r="I223" t="str">
        <f>VLOOKUP(Table4[[#This Row],[customer_id]],customers!A:G,4,)</f>
        <v>kolkata</v>
      </c>
    </row>
    <row r="224" spans="1:9" x14ac:dyDescent="0.3">
      <c r="A224">
        <v>20223</v>
      </c>
      <c r="B224">
        <v>377</v>
      </c>
      <c r="C224" s="2">
        <v>45283</v>
      </c>
      <c r="D224" s="2" t="str">
        <f>TEXT(Table4[[#This Row],[issue_date]],"mmmm")</f>
        <v>December</v>
      </c>
      <c r="E224" s="9">
        <f>YEAR(Table4[[#This Row],[issue_date]])</f>
        <v>2023</v>
      </c>
      <c r="F224" t="s">
        <v>22</v>
      </c>
      <c r="G224">
        <v>30</v>
      </c>
      <c r="H224" t="s">
        <v>20</v>
      </c>
      <c r="I224" t="str">
        <f>VLOOKUP(Table4[[#This Row],[customer_id]],customers!A:G,4,)</f>
        <v>mumbai</v>
      </c>
    </row>
    <row r="225" spans="1:9" x14ac:dyDescent="0.3">
      <c r="A225">
        <v>20224</v>
      </c>
      <c r="B225">
        <v>279</v>
      </c>
      <c r="C225" s="2">
        <v>45087</v>
      </c>
      <c r="D225" s="2" t="str">
        <f>TEXT(Table4[[#This Row],[issue_date]],"mmmm")</f>
        <v>June</v>
      </c>
      <c r="E225" s="9">
        <f>YEAR(Table4[[#This Row],[issue_date]])</f>
        <v>2023</v>
      </c>
      <c r="F225" t="s">
        <v>19</v>
      </c>
      <c r="G225">
        <v>60</v>
      </c>
      <c r="H225" t="s">
        <v>20</v>
      </c>
      <c r="I225" t="str">
        <f>VLOOKUP(Table4[[#This Row],[customer_id]],customers!A:G,4,)</f>
        <v>delhi</v>
      </c>
    </row>
    <row r="226" spans="1:9" x14ac:dyDescent="0.3">
      <c r="A226">
        <v>20225</v>
      </c>
      <c r="B226">
        <v>303</v>
      </c>
      <c r="C226" s="2">
        <v>45098</v>
      </c>
      <c r="D226" s="2" t="str">
        <f>TEXT(Table4[[#This Row],[issue_date]],"mmmm")</f>
        <v>June</v>
      </c>
      <c r="E226" s="9">
        <f>YEAR(Table4[[#This Row],[issue_date]])</f>
        <v>2023</v>
      </c>
      <c r="F226" t="s">
        <v>21</v>
      </c>
      <c r="G226">
        <v>30</v>
      </c>
      <c r="H226" t="s">
        <v>20</v>
      </c>
      <c r="I226" t="str">
        <f>VLOOKUP(Table4[[#This Row],[customer_id]],customers!A:G,4,)</f>
        <v>bangalore</v>
      </c>
    </row>
    <row r="227" spans="1:9" x14ac:dyDescent="0.3">
      <c r="A227">
        <v>20226</v>
      </c>
      <c r="B227">
        <v>75</v>
      </c>
      <c r="C227" s="2">
        <v>45408</v>
      </c>
      <c r="D227" s="2" t="str">
        <f>TEXT(Table4[[#This Row],[issue_date]],"mmmm")</f>
        <v>April</v>
      </c>
      <c r="E227" s="9">
        <f>YEAR(Table4[[#This Row],[issue_date]])</f>
        <v>2024</v>
      </c>
      <c r="F227" t="s">
        <v>21</v>
      </c>
      <c r="G227">
        <v>38</v>
      </c>
      <c r="H227" t="s">
        <v>20</v>
      </c>
      <c r="I227" t="str">
        <f>VLOOKUP(Table4[[#This Row],[customer_id]],customers!A:G,4,)</f>
        <v>mumbai</v>
      </c>
    </row>
    <row r="228" spans="1:9" x14ac:dyDescent="0.3">
      <c r="A228">
        <v>20227</v>
      </c>
      <c r="B228">
        <v>443</v>
      </c>
      <c r="C228" s="2">
        <v>44779</v>
      </c>
      <c r="D228" s="2" t="str">
        <f>TEXT(Table4[[#This Row],[issue_date]],"mmmm")</f>
        <v>August</v>
      </c>
      <c r="E228" s="9">
        <f>YEAR(Table4[[#This Row],[issue_date]])</f>
        <v>2022</v>
      </c>
      <c r="F228" t="s">
        <v>22</v>
      </c>
      <c r="G228">
        <v>65</v>
      </c>
      <c r="H228" t="s">
        <v>23</v>
      </c>
      <c r="I228" t="str">
        <f>VLOOKUP(Table4[[#This Row],[customer_id]],customers!A:G,4,)</f>
        <v>delhi</v>
      </c>
    </row>
    <row r="229" spans="1:9" x14ac:dyDescent="0.3">
      <c r="A229">
        <v>20228</v>
      </c>
      <c r="B229">
        <v>441</v>
      </c>
      <c r="C229" s="2">
        <v>44815</v>
      </c>
      <c r="D229" s="2" t="str">
        <f>TEXT(Table4[[#This Row],[issue_date]],"mmmm")</f>
        <v>September</v>
      </c>
      <c r="E229" s="9">
        <f>YEAR(Table4[[#This Row],[issue_date]])</f>
        <v>2022</v>
      </c>
      <c r="F229" t="s">
        <v>22</v>
      </c>
      <c r="G229">
        <v>47</v>
      </c>
      <c r="H229" t="s">
        <v>20</v>
      </c>
      <c r="I229" t="str">
        <f>VLOOKUP(Table4[[#This Row],[customer_id]],customers!A:G,4,)</f>
        <v>kolkata</v>
      </c>
    </row>
    <row r="230" spans="1:9" x14ac:dyDescent="0.3">
      <c r="A230">
        <v>20229</v>
      </c>
      <c r="B230">
        <v>349</v>
      </c>
      <c r="C230" s="2">
        <v>44764</v>
      </c>
      <c r="D230" s="2" t="str">
        <f>TEXT(Table4[[#This Row],[issue_date]],"mmmm")</f>
        <v>July</v>
      </c>
      <c r="E230" s="9">
        <f>YEAR(Table4[[#This Row],[issue_date]])</f>
        <v>2022</v>
      </c>
      <c r="F230" t="s">
        <v>21</v>
      </c>
      <c r="G230">
        <v>39</v>
      </c>
      <c r="H230" t="s">
        <v>20</v>
      </c>
      <c r="I230" t="str">
        <f>VLOOKUP(Table4[[#This Row],[customer_id]],customers!A:G,4,)</f>
        <v>kolkata</v>
      </c>
    </row>
    <row r="231" spans="1:9" x14ac:dyDescent="0.3">
      <c r="A231">
        <v>20230</v>
      </c>
      <c r="B231">
        <v>127</v>
      </c>
      <c r="C231" s="2">
        <v>44662</v>
      </c>
      <c r="D231" s="2" t="str">
        <f>TEXT(Table4[[#This Row],[issue_date]],"mmmm")</f>
        <v>April</v>
      </c>
      <c r="E231" s="9">
        <f>YEAR(Table4[[#This Row],[issue_date]])</f>
        <v>2022</v>
      </c>
      <c r="F231" t="s">
        <v>22</v>
      </c>
      <c r="G231">
        <v>49</v>
      </c>
      <c r="H231" t="s">
        <v>20</v>
      </c>
      <c r="I231" t="str">
        <f>VLOOKUP(Table4[[#This Row],[customer_id]],customers!A:G,4,)</f>
        <v>delhi</v>
      </c>
    </row>
    <row r="232" spans="1:9" x14ac:dyDescent="0.3">
      <c r="A232">
        <v>20231</v>
      </c>
      <c r="B232">
        <v>246</v>
      </c>
      <c r="C232" s="2">
        <v>44922</v>
      </c>
      <c r="D232" s="2" t="str">
        <f>TEXT(Table4[[#This Row],[issue_date]],"mmmm")</f>
        <v>December</v>
      </c>
      <c r="E232" s="9">
        <f>YEAR(Table4[[#This Row],[issue_date]])</f>
        <v>2022</v>
      </c>
      <c r="F232" t="s">
        <v>21</v>
      </c>
      <c r="G232">
        <v>58</v>
      </c>
      <c r="H232" t="s">
        <v>20</v>
      </c>
      <c r="I232" t="str">
        <f>VLOOKUP(Table4[[#This Row],[customer_id]],customers!A:G,4,)</f>
        <v>bangalore</v>
      </c>
    </row>
    <row r="233" spans="1:9" x14ac:dyDescent="0.3">
      <c r="A233">
        <v>20232</v>
      </c>
      <c r="B233">
        <v>312</v>
      </c>
      <c r="C233" s="2">
        <v>45302</v>
      </c>
      <c r="D233" s="2" t="str">
        <f>TEXT(Table4[[#This Row],[issue_date]],"mmmm")</f>
        <v>January</v>
      </c>
      <c r="E233" s="9">
        <f>YEAR(Table4[[#This Row],[issue_date]])</f>
        <v>2024</v>
      </c>
      <c r="F233" t="s">
        <v>21</v>
      </c>
      <c r="G233">
        <v>17</v>
      </c>
      <c r="H233" t="s">
        <v>20</v>
      </c>
      <c r="I233" t="str">
        <f>VLOOKUP(Table4[[#This Row],[customer_id]],customers!A:G,4,)</f>
        <v>hyderabad</v>
      </c>
    </row>
    <row r="234" spans="1:9" x14ac:dyDescent="0.3">
      <c r="A234">
        <v>20233</v>
      </c>
      <c r="B234">
        <v>234</v>
      </c>
      <c r="C234" s="2">
        <v>45272</v>
      </c>
      <c r="D234" s="2" t="str">
        <f>TEXT(Table4[[#This Row],[issue_date]],"mmmm")</f>
        <v>December</v>
      </c>
      <c r="E234" s="9">
        <f>YEAR(Table4[[#This Row],[issue_date]])</f>
        <v>2023</v>
      </c>
      <c r="F234" t="s">
        <v>22</v>
      </c>
      <c r="G234">
        <v>6</v>
      </c>
      <c r="H234" t="s">
        <v>20</v>
      </c>
      <c r="I234" t="str">
        <f>VLOOKUP(Table4[[#This Row],[customer_id]],customers!A:G,4,)</f>
        <v>hyderabad</v>
      </c>
    </row>
    <row r="235" spans="1:9" x14ac:dyDescent="0.3">
      <c r="A235">
        <v>20234</v>
      </c>
      <c r="B235">
        <v>155</v>
      </c>
      <c r="C235" s="2">
        <v>44739</v>
      </c>
      <c r="D235" s="2" t="str">
        <f>TEXT(Table4[[#This Row],[issue_date]],"mmmm")</f>
        <v>June</v>
      </c>
      <c r="E235" s="9">
        <f>YEAR(Table4[[#This Row],[issue_date]])</f>
        <v>2022</v>
      </c>
      <c r="F235" t="s">
        <v>21</v>
      </c>
      <c r="G235">
        <v>15</v>
      </c>
      <c r="H235" t="s">
        <v>23</v>
      </c>
      <c r="I235" t="str">
        <f>VLOOKUP(Table4[[#This Row],[customer_id]],customers!A:G,4,)</f>
        <v>mumbai</v>
      </c>
    </row>
    <row r="236" spans="1:9" x14ac:dyDescent="0.3">
      <c r="A236">
        <v>20235</v>
      </c>
      <c r="B236">
        <v>73</v>
      </c>
      <c r="C236" s="2">
        <v>44837</v>
      </c>
      <c r="D236" s="2" t="str">
        <f>TEXT(Table4[[#This Row],[issue_date]],"mmmm")</f>
        <v>October</v>
      </c>
      <c r="E236" s="9">
        <f>YEAR(Table4[[#This Row],[issue_date]])</f>
        <v>2022</v>
      </c>
      <c r="F236" t="s">
        <v>21</v>
      </c>
      <c r="G236">
        <v>67</v>
      </c>
      <c r="H236" t="s">
        <v>20</v>
      </c>
      <c r="I236" t="str">
        <f>VLOOKUP(Table4[[#This Row],[customer_id]],customers!A:G,4,)</f>
        <v>kolkata</v>
      </c>
    </row>
    <row r="237" spans="1:9" x14ac:dyDescent="0.3">
      <c r="A237">
        <v>20236</v>
      </c>
      <c r="B237">
        <v>419</v>
      </c>
      <c r="C237" s="2">
        <v>44873</v>
      </c>
      <c r="D237" s="2" t="str">
        <f>TEXT(Table4[[#This Row],[issue_date]],"mmmm")</f>
        <v>November</v>
      </c>
      <c r="E237" s="9">
        <f>YEAR(Table4[[#This Row],[issue_date]])</f>
        <v>2022</v>
      </c>
      <c r="F237" t="s">
        <v>22</v>
      </c>
      <c r="G237">
        <v>28</v>
      </c>
      <c r="H237" t="s">
        <v>20</v>
      </c>
      <c r="I237" t="str">
        <f>VLOOKUP(Table4[[#This Row],[customer_id]],customers!A:G,4,)</f>
        <v>kolkata</v>
      </c>
    </row>
    <row r="238" spans="1:9" x14ac:dyDescent="0.3">
      <c r="A238">
        <v>20237</v>
      </c>
      <c r="B238">
        <v>439</v>
      </c>
      <c r="C238" s="2">
        <v>45203</v>
      </c>
      <c r="D238" s="2" t="str">
        <f>TEXT(Table4[[#This Row],[issue_date]],"mmmm")</f>
        <v>October</v>
      </c>
      <c r="E238" s="9">
        <f>YEAR(Table4[[#This Row],[issue_date]])</f>
        <v>2023</v>
      </c>
      <c r="F238" t="s">
        <v>22</v>
      </c>
      <c r="G238">
        <v>44</v>
      </c>
      <c r="H238" t="s">
        <v>20</v>
      </c>
      <c r="I238" t="str">
        <f>VLOOKUP(Table4[[#This Row],[customer_id]],customers!A:G,4,)</f>
        <v>chennai</v>
      </c>
    </row>
    <row r="239" spans="1:9" x14ac:dyDescent="0.3">
      <c r="A239">
        <v>20238</v>
      </c>
      <c r="B239">
        <v>137</v>
      </c>
      <c r="C239" s="2">
        <v>44971</v>
      </c>
      <c r="D239" s="2" t="str">
        <f>TEXT(Table4[[#This Row],[issue_date]],"mmmm")</f>
        <v>February</v>
      </c>
      <c r="E239" s="9">
        <f>YEAR(Table4[[#This Row],[issue_date]])</f>
        <v>2023</v>
      </c>
      <c r="F239" t="s">
        <v>22</v>
      </c>
      <c r="G239">
        <v>18</v>
      </c>
      <c r="H239" t="s">
        <v>23</v>
      </c>
      <c r="I239" t="str">
        <f>VLOOKUP(Table4[[#This Row],[customer_id]],customers!A:G,4,)</f>
        <v>delhi</v>
      </c>
    </row>
    <row r="240" spans="1:9" x14ac:dyDescent="0.3">
      <c r="A240">
        <v>20239</v>
      </c>
      <c r="B240">
        <v>274</v>
      </c>
      <c r="C240" s="2">
        <v>45352</v>
      </c>
      <c r="D240" s="2" t="str">
        <f>TEXT(Table4[[#This Row],[issue_date]],"mmmm")</f>
        <v>March</v>
      </c>
      <c r="E240" s="9">
        <f>YEAR(Table4[[#This Row],[issue_date]])</f>
        <v>2024</v>
      </c>
      <c r="F240" t="s">
        <v>21</v>
      </c>
      <c r="G240">
        <v>32</v>
      </c>
      <c r="H240" t="s">
        <v>20</v>
      </c>
      <c r="I240" t="str">
        <f>VLOOKUP(Table4[[#This Row],[customer_id]],customers!A:G,4,)</f>
        <v>delhi</v>
      </c>
    </row>
    <row r="241" spans="1:9" x14ac:dyDescent="0.3">
      <c r="A241">
        <v>20240</v>
      </c>
      <c r="B241">
        <v>44</v>
      </c>
      <c r="C241" s="2">
        <v>44849</v>
      </c>
      <c r="D241" s="2" t="str">
        <f>TEXT(Table4[[#This Row],[issue_date]],"mmmm")</f>
        <v>October</v>
      </c>
      <c r="E241" s="9">
        <f>YEAR(Table4[[#This Row],[issue_date]])</f>
        <v>2022</v>
      </c>
      <c r="F241" t="s">
        <v>22</v>
      </c>
      <c r="G241">
        <v>69</v>
      </c>
      <c r="H241" t="s">
        <v>20</v>
      </c>
      <c r="I241" t="str">
        <f>VLOOKUP(Table4[[#This Row],[customer_id]],customers!A:G,4,)</f>
        <v>mumbai</v>
      </c>
    </row>
    <row r="242" spans="1:9" x14ac:dyDescent="0.3">
      <c r="A242">
        <v>20241</v>
      </c>
      <c r="B242">
        <v>247</v>
      </c>
      <c r="C242" s="2">
        <v>45214</v>
      </c>
      <c r="D242" s="2" t="str">
        <f>TEXT(Table4[[#This Row],[issue_date]],"mmmm")</f>
        <v>October</v>
      </c>
      <c r="E242" s="9">
        <f>YEAR(Table4[[#This Row],[issue_date]])</f>
        <v>2023</v>
      </c>
      <c r="F242" t="s">
        <v>22</v>
      </c>
      <c r="G242">
        <v>44</v>
      </c>
      <c r="H242" t="s">
        <v>20</v>
      </c>
      <c r="I242" t="str">
        <f>VLOOKUP(Table4[[#This Row],[customer_id]],customers!A:G,4,)</f>
        <v>chennai</v>
      </c>
    </row>
    <row r="243" spans="1:9" x14ac:dyDescent="0.3">
      <c r="A243">
        <v>20242</v>
      </c>
      <c r="B243">
        <v>149</v>
      </c>
      <c r="C243" s="2">
        <v>45086</v>
      </c>
      <c r="D243" s="2" t="str">
        <f>TEXT(Table4[[#This Row],[issue_date]],"mmmm")</f>
        <v>June</v>
      </c>
      <c r="E243" s="9">
        <f>YEAR(Table4[[#This Row],[issue_date]])</f>
        <v>2023</v>
      </c>
      <c r="F243" t="s">
        <v>21</v>
      </c>
      <c r="G243">
        <v>70</v>
      </c>
      <c r="H243" t="s">
        <v>20</v>
      </c>
      <c r="I243" t="str">
        <f>VLOOKUP(Table4[[#This Row],[customer_id]],customers!A:G,4,)</f>
        <v>chennai</v>
      </c>
    </row>
    <row r="244" spans="1:9" x14ac:dyDescent="0.3">
      <c r="A244">
        <v>20243</v>
      </c>
      <c r="B244">
        <v>56</v>
      </c>
      <c r="C244" s="2">
        <v>44962</v>
      </c>
      <c r="D244" s="2" t="str">
        <f>TEXT(Table4[[#This Row],[issue_date]],"mmmm")</f>
        <v>February</v>
      </c>
      <c r="E244" s="9">
        <f>YEAR(Table4[[#This Row],[issue_date]])</f>
        <v>2023</v>
      </c>
      <c r="F244" t="s">
        <v>21</v>
      </c>
      <c r="G244">
        <v>63</v>
      </c>
      <c r="H244" t="s">
        <v>20</v>
      </c>
      <c r="I244" t="str">
        <f>VLOOKUP(Table4[[#This Row],[customer_id]],customers!A:G,4,)</f>
        <v>chennai</v>
      </c>
    </row>
    <row r="245" spans="1:9" x14ac:dyDescent="0.3">
      <c r="A245">
        <v>20244</v>
      </c>
      <c r="B245">
        <v>176</v>
      </c>
      <c r="C245" s="2">
        <v>44778</v>
      </c>
      <c r="D245" s="2" t="str">
        <f>TEXT(Table4[[#This Row],[issue_date]],"mmmm")</f>
        <v>August</v>
      </c>
      <c r="E245" s="9">
        <f>YEAR(Table4[[#This Row],[issue_date]])</f>
        <v>2022</v>
      </c>
      <c r="F245" t="s">
        <v>22</v>
      </c>
      <c r="G245">
        <v>58</v>
      </c>
      <c r="H245" t="s">
        <v>20</v>
      </c>
      <c r="I245" t="str">
        <f>VLOOKUP(Table4[[#This Row],[customer_id]],customers!A:G,4,)</f>
        <v>chennai</v>
      </c>
    </row>
    <row r="246" spans="1:9" x14ac:dyDescent="0.3">
      <c r="A246">
        <v>20245</v>
      </c>
      <c r="B246">
        <v>356</v>
      </c>
      <c r="C246" s="2">
        <v>45259</v>
      </c>
      <c r="D246" s="2" t="str">
        <f>TEXT(Table4[[#This Row],[issue_date]],"mmmm")</f>
        <v>November</v>
      </c>
      <c r="E246" s="9">
        <f>YEAR(Table4[[#This Row],[issue_date]])</f>
        <v>2023</v>
      </c>
      <c r="F246" t="s">
        <v>22</v>
      </c>
      <c r="G246">
        <v>47</v>
      </c>
      <c r="H246" t="s">
        <v>23</v>
      </c>
      <c r="I246" t="str">
        <f>VLOOKUP(Table4[[#This Row],[customer_id]],customers!A:G,4,)</f>
        <v>bangalore</v>
      </c>
    </row>
    <row r="247" spans="1:9" x14ac:dyDescent="0.3">
      <c r="A247">
        <v>20246</v>
      </c>
      <c r="B247">
        <v>257</v>
      </c>
      <c r="C247" s="2">
        <v>45031</v>
      </c>
      <c r="D247" s="2" t="str">
        <f>TEXT(Table4[[#This Row],[issue_date]],"mmmm")</f>
        <v>April</v>
      </c>
      <c r="E247" s="9">
        <f>YEAR(Table4[[#This Row],[issue_date]])</f>
        <v>2023</v>
      </c>
      <c r="F247" t="s">
        <v>21</v>
      </c>
      <c r="G247">
        <v>17</v>
      </c>
      <c r="H247" t="s">
        <v>20</v>
      </c>
      <c r="I247" t="str">
        <f>VLOOKUP(Table4[[#This Row],[customer_id]],customers!A:G,4,)</f>
        <v>kolkata</v>
      </c>
    </row>
    <row r="248" spans="1:9" x14ac:dyDescent="0.3">
      <c r="A248">
        <v>20247</v>
      </c>
      <c r="B248">
        <v>411</v>
      </c>
      <c r="C248" s="2">
        <v>44588</v>
      </c>
      <c r="D248" s="2" t="str">
        <f>TEXT(Table4[[#This Row],[issue_date]],"mmmm")</f>
        <v>January</v>
      </c>
      <c r="E248" s="9">
        <f>YEAR(Table4[[#This Row],[issue_date]])</f>
        <v>2022</v>
      </c>
      <c r="F248" t="s">
        <v>21</v>
      </c>
      <c r="G248">
        <v>39</v>
      </c>
      <c r="H248" t="s">
        <v>20</v>
      </c>
      <c r="I248" t="str">
        <f>VLOOKUP(Table4[[#This Row],[customer_id]],customers!A:G,4,)</f>
        <v>hyderabad</v>
      </c>
    </row>
    <row r="249" spans="1:9" x14ac:dyDescent="0.3">
      <c r="A249">
        <v>20248</v>
      </c>
      <c r="B249">
        <v>301</v>
      </c>
      <c r="C249" s="2">
        <v>45291</v>
      </c>
      <c r="D249" s="2" t="str">
        <f>TEXT(Table4[[#This Row],[issue_date]],"mmmm")</f>
        <v>December</v>
      </c>
      <c r="E249" s="9">
        <f>YEAR(Table4[[#This Row],[issue_date]])</f>
        <v>2023</v>
      </c>
      <c r="F249" t="s">
        <v>19</v>
      </c>
      <c r="G249">
        <v>59</v>
      </c>
      <c r="H249" t="s">
        <v>23</v>
      </c>
      <c r="I249" t="str">
        <f>VLOOKUP(Table4[[#This Row],[customer_id]],customers!A:G,4,)</f>
        <v>delhi</v>
      </c>
    </row>
    <row r="250" spans="1:9" x14ac:dyDescent="0.3">
      <c r="A250">
        <v>20249</v>
      </c>
      <c r="B250">
        <v>63</v>
      </c>
      <c r="C250" s="2">
        <v>44983</v>
      </c>
      <c r="D250" s="2" t="str">
        <f>TEXT(Table4[[#This Row],[issue_date]],"mmmm")</f>
        <v>February</v>
      </c>
      <c r="E250" s="9">
        <f>YEAR(Table4[[#This Row],[issue_date]])</f>
        <v>2023</v>
      </c>
      <c r="F250" t="s">
        <v>21</v>
      </c>
      <c r="G250">
        <v>7</v>
      </c>
      <c r="H250" t="s">
        <v>20</v>
      </c>
      <c r="I250" t="str">
        <f>VLOOKUP(Table4[[#This Row],[customer_id]],customers!A:G,4,)</f>
        <v>kolkata</v>
      </c>
    </row>
    <row r="251" spans="1:9" x14ac:dyDescent="0.3">
      <c r="A251">
        <v>20250</v>
      </c>
      <c r="B251">
        <v>314</v>
      </c>
      <c r="C251" s="2">
        <v>44575</v>
      </c>
      <c r="D251" s="2" t="str">
        <f>TEXT(Table4[[#This Row],[issue_date]],"mmmm")</f>
        <v>January</v>
      </c>
      <c r="E251" s="9">
        <f>YEAR(Table4[[#This Row],[issue_date]])</f>
        <v>2022</v>
      </c>
      <c r="F251" t="s">
        <v>21</v>
      </c>
      <c r="G251">
        <v>63</v>
      </c>
      <c r="H251" t="s">
        <v>20</v>
      </c>
      <c r="I251" t="str">
        <f>VLOOKUP(Table4[[#This Row],[customer_id]],customers!A:G,4,)</f>
        <v>chennai</v>
      </c>
    </row>
    <row r="252" spans="1:9" x14ac:dyDescent="0.3">
      <c r="A252">
        <v>20251</v>
      </c>
      <c r="B252">
        <v>424</v>
      </c>
      <c r="C252" s="2">
        <v>45062</v>
      </c>
      <c r="D252" s="2" t="str">
        <f>TEXT(Table4[[#This Row],[issue_date]],"mmmm")</f>
        <v>May</v>
      </c>
      <c r="E252" s="9">
        <f>YEAR(Table4[[#This Row],[issue_date]])</f>
        <v>2023</v>
      </c>
      <c r="F252" t="s">
        <v>19</v>
      </c>
      <c r="G252">
        <v>57</v>
      </c>
      <c r="H252" t="s">
        <v>20</v>
      </c>
      <c r="I252" t="str">
        <f>VLOOKUP(Table4[[#This Row],[customer_id]],customers!A:G,4,)</f>
        <v>hyderabad</v>
      </c>
    </row>
    <row r="253" spans="1:9" x14ac:dyDescent="0.3">
      <c r="A253">
        <v>20252</v>
      </c>
      <c r="B253">
        <v>63</v>
      </c>
      <c r="C253" s="2">
        <v>45215</v>
      </c>
      <c r="D253" s="2" t="str">
        <f>TEXT(Table4[[#This Row],[issue_date]],"mmmm")</f>
        <v>October</v>
      </c>
      <c r="E253" s="9">
        <f>YEAR(Table4[[#This Row],[issue_date]])</f>
        <v>2023</v>
      </c>
      <c r="F253" t="s">
        <v>22</v>
      </c>
      <c r="G253">
        <v>34</v>
      </c>
      <c r="H253" t="s">
        <v>20</v>
      </c>
      <c r="I253" t="str">
        <f>VLOOKUP(Table4[[#This Row],[customer_id]],customers!A:G,4,)</f>
        <v>kolkata</v>
      </c>
    </row>
    <row r="254" spans="1:9" x14ac:dyDescent="0.3">
      <c r="A254">
        <v>20253</v>
      </c>
      <c r="B254">
        <v>294</v>
      </c>
      <c r="C254" s="2">
        <v>44886</v>
      </c>
      <c r="D254" s="2" t="str">
        <f>TEXT(Table4[[#This Row],[issue_date]],"mmmm")</f>
        <v>November</v>
      </c>
      <c r="E254" s="9">
        <f>YEAR(Table4[[#This Row],[issue_date]])</f>
        <v>2022</v>
      </c>
      <c r="F254" t="s">
        <v>19</v>
      </c>
      <c r="G254">
        <v>53</v>
      </c>
      <c r="H254" t="s">
        <v>20</v>
      </c>
      <c r="I254" t="str">
        <f>VLOOKUP(Table4[[#This Row],[customer_id]],customers!A:G,4,)</f>
        <v>hyderabad</v>
      </c>
    </row>
    <row r="255" spans="1:9" x14ac:dyDescent="0.3">
      <c r="A255">
        <v>20254</v>
      </c>
      <c r="B255">
        <v>29</v>
      </c>
      <c r="C255" s="2">
        <v>44885</v>
      </c>
      <c r="D255" s="2" t="str">
        <f>TEXT(Table4[[#This Row],[issue_date]],"mmmm")</f>
        <v>November</v>
      </c>
      <c r="E255" s="9">
        <f>YEAR(Table4[[#This Row],[issue_date]])</f>
        <v>2022</v>
      </c>
      <c r="F255" t="s">
        <v>21</v>
      </c>
      <c r="G255">
        <v>66</v>
      </c>
      <c r="H255" t="s">
        <v>20</v>
      </c>
      <c r="I255" t="str">
        <f>VLOOKUP(Table4[[#This Row],[customer_id]],customers!A:G,4,)</f>
        <v>kolkata</v>
      </c>
    </row>
    <row r="256" spans="1:9" x14ac:dyDescent="0.3">
      <c r="A256">
        <v>20255</v>
      </c>
      <c r="B256">
        <v>40</v>
      </c>
      <c r="C256" s="2">
        <v>45128</v>
      </c>
      <c r="D256" s="2" t="str">
        <f>TEXT(Table4[[#This Row],[issue_date]],"mmmm")</f>
        <v>July</v>
      </c>
      <c r="E256" s="9">
        <f>YEAR(Table4[[#This Row],[issue_date]])</f>
        <v>2023</v>
      </c>
      <c r="F256" t="s">
        <v>19</v>
      </c>
      <c r="G256">
        <v>48</v>
      </c>
      <c r="H256" t="s">
        <v>20</v>
      </c>
      <c r="I256" t="str">
        <f>VLOOKUP(Table4[[#This Row],[customer_id]],customers!A:G,4,)</f>
        <v>chennai</v>
      </c>
    </row>
    <row r="257" spans="1:9" x14ac:dyDescent="0.3">
      <c r="A257">
        <v>20256</v>
      </c>
      <c r="B257">
        <v>147</v>
      </c>
      <c r="C257" s="2">
        <v>45264</v>
      </c>
      <c r="D257" s="2" t="str">
        <f>TEXT(Table4[[#This Row],[issue_date]],"mmmm")</f>
        <v>December</v>
      </c>
      <c r="E257" s="9">
        <f>YEAR(Table4[[#This Row],[issue_date]])</f>
        <v>2023</v>
      </c>
      <c r="F257" t="s">
        <v>19</v>
      </c>
      <c r="G257">
        <v>60</v>
      </c>
      <c r="H257" t="s">
        <v>23</v>
      </c>
      <c r="I257" t="str">
        <f>VLOOKUP(Table4[[#This Row],[customer_id]],customers!A:G,4,)</f>
        <v>bangalore</v>
      </c>
    </row>
    <row r="258" spans="1:9" x14ac:dyDescent="0.3">
      <c r="A258">
        <v>20257</v>
      </c>
      <c r="B258">
        <v>88</v>
      </c>
      <c r="C258" s="2">
        <v>44846</v>
      </c>
      <c r="D258" s="2" t="str">
        <f>TEXT(Table4[[#This Row],[issue_date]],"mmmm")</f>
        <v>October</v>
      </c>
      <c r="E258" s="9">
        <f>YEAR(Table4[[#This Row],[issue_date]])</f>
        <v>2022</v>
      </c>
      <c r="F258" t="s">
        <v>19</v>
      </c>
      <c r="G258">
        <v>43</v>
      </c>
      <c r="H258" t="s">
        <v>20</v>
      </c>
      <c r="I258" t="str">
        <f>VLOOKUP(Table4[[#This Row],[customer_id]],customers!A:G,4,)</f>
        <v>mumbai</v>
      </c>
    </row>
    <row r="259" spans="1:9" x14ac:dyDescent="0.3">
      <c r="A259">
        <v>20258</v>
      </c>
      <c r="B259">
        <v>56</v>
      </c>
      <c r="C259" s="2">
        <v>44650</v>
      </c>
      <c r="D259" s="2" t="str">
        <f>TEXT(Table4[[#This Row],[issue_date]],"mmmm")</f>
        <v>March</v>
      </c>
      <c r="E259" s="9">
        <f>YEAR(Table4[[#This Row],[issue_date]])</f>
        <v>2022</v>
      </c>
      <c r="F259" t="s">
        <v>19</v>
      </c>
      <c r="G259">
        <v>4</v>
      </c>
      <c r="H259" t="s">
        <v>20</v>
      </c>
      <c r="I259" t="str">
        <f>VLOOKUP(Table4[[#This Row],[customer_id]],customers!A:G,4,)</f>
        <v>chennai</v>
      </c>
    </row>
    <row r="260" spans="1:9" x14ac:dyDescent="0.3">
      <c r="A260">
        <v>20259</v>
      </c>
      <c r="B260">
        <v>300</v>
      </c>
      <c r="C260" s="2">
        <v>44606</v>
      </c>
      <c r="D260" s="2" t="str">
        <f>TEXT(Table4[[#This Row],[issue_date]],"mmmm")</f>
        <v>February</v>
      </c>
      <c r="E260" s="9">
        <f>YEAR(Table4[[#This Row],[issue_date]])</f>
        <v>2022</v>
      </c>
      <c r="F260" t="s">
        <v>19</v>
      </c>
      <c r="G260">
        <v>52</v>
      </c>
      <c r="H260" t="s">
        <v>20</v>
      </c>
      <c r="I260" t="str">
        <f>VLOOKUP(Table4[[#This Row],[customer_id]],customers!A:G,4,)</f>
        <v>mumbai</v>
      </c>
    </row>
    <row r="261" spans="1:9" x14ac:dyDescent="0.3">
      <c r="A261">
        <v>20260</v>
      </c>
      <c r="B261">
        <v>193</v>
      </c>
      <c r="C261" s="2">
        <v>45205</v>
      </c>
      <c r="D261" s="2" t="str">
        <f>TEXT(Table4[[#This Row],[issue_date]],"mmmm")</f>
        <v>October</v>
      </c>
      <c r="E261" s="9">
        <f>YEAR(Table4[[#This Row],[issue_date]])</f>
        <v>2023</v>
      </c>
      <c r="F261" t="s">
        <v>19</v>
      </c>
      <c r="G261">
        <v>32</v>
      </c>
      <c r="H261" t="s">
        <v>20</v>
      </c>
      <c r="I261" t="str">
        <f>VLOOKUP(Table4[[#This Row],[customer_id]],customers!A:G,4,)</f>
        <v>bangalore</v>
      </c>
    </row>
    <row r="262" spans="1:9" x14ac:dyDescent="0.3">
      <c r="A262">
        <v>20261</v>
      </c>
      <c r="B262">
        <v>100</v>
      </c>
      <c r="C262" s="2">
        <v>45059</v>
      </c>
      <c r="D262" s="2" t="str">
        <f>TEXT(Table4[[#This Row],[issue_date]],"mmmm")</f>
        <v>May</v>
      </c>
      <c r="E262" s="9">
        <f>YEAR(Table4[[#This Row],[issue_date]])</f>
        <v>2023</v>
      </c>
      <c r="F262" t="s">
        <v>22</v>
      </c>
      <c r="G262">
        <v>51</v>
      </c>
      <c r="H262" t="s">
        <v>20</v>
      </c>
      <c r="I262" t="str">
        <f>VLOOKUP(Table4[[#This Row],[customer_id]],customers!A:G,4,)</f>
        <v>mumbai</v>
      </c>
    </row>
    <row r="263" spans="1:9" x14ac:dyDescent="0.3">
      <c r="A263">
        <v>20262</v>
      </c>
      <c r="B263">
        <v>215</v>
      </c>
      <c r="C263" s="2">
        <v>45059</v>
      </c>
      <c r="D263" s="2" t="str">
        <f>TEXT(Table4[[#This Row],[issue_date]],"mmmm")</f>
        <v>May</v>
      </c>
      <c r="E263" s="9">
        <f>YEAR(Table4[[#This Row],[issue_date]])</f>
        <v>2023</v>
      </c>
      <c r="F263" t="s">
        <v>19</v>
      </c>
      <c r="G263">
        <v>10</v>
      </c>
      <c r="H263" t="s">
        <v>20</v>
      </c>
      <c r="I263" t="str">
        <f>VLOOKUP(Table4[[#This Row],[customer_id]],customers!A:G,4,)</f>
        <v>bangalore</v>
      </c>
    </row>
    <row r="264" spans="1:9" x14ac:dyDescent="0.3">
      <c r="A264">
        <v>20263</v>
      </c>
      <c r="B264">
        <v>141</v>
      </c>
      <c r="C264" s="2">
        <v>45139</v>
      </c>
      <c r="D264" s="2" t="str">
        <f>TEXT(Table4[[#This Row],[issue_date]],"mmmm")</f>
        <v>August</v>
      </c>
      <c r="E264" s="9">
        <f>YEAR(Table4[[#This Row],[issue_date]])</f>
        <v>2023</v>
      </c>
      <c r="F264" t="s">
        <v>19</v>
      </c>
      <c r="G264">
        <v>12</v>
      </c>
      <c r="H264" t="s">
        <v>20</v>
      </c>
      <c r="I264" t="str">
        <f>VLOOKUP(Table4[[#This Row],[customer_id]],customers!A:G,4,)</f>
        <v>hyderabad</v>
      </c>
    </row>
    <row r="265" spans="1:9" x14ac:dyDescent="0.3">
      <c r="A265">
        <v>20264</v>
      </c>
      <c r="B265">
        <v>414</v>
      </c>
      <c r="C265" s="2">
        <v>45352</v>
      </c>
      <c r="D265" s="2" t="str">
        <f>TEXT(Table4[[#This Row],[issue_date]],"mmmm")</f>
        <v>March</v>
      </c>
      <c r="E265" s="9">
        <f>YEAR(Table4[[#This Row],[issue_date]])</f>
        <v>2024</v>
      </c>
      <c r="F265" t="s">
        <v>19</v>
      </c>
      <c r="G265">
        <v>39</v>
      </c>
      <c r="H265" t="s">
        <v>20</v>
      </c>
      <c r="I265" t="str">
        <f>VLOOKUP(Table4[[#This Row],[customer_id]],customers!A:G,4,)</f>
        <v>delhi</v>
      </c>
    </row>
    <row r="266" spans="1:9" x14ac:dyDescent="0.3">
      <c r="A266">
        <v>20265</v>
      </c>
      <c r="B266">
        <v>49</v>
      </c>
      <c r="C266" s="2">
        <v>45397</v>
      </c>
      <c r="D266" s="2" t="str">
        <f>TEXT(Table4[[#This Row],[issue_date]],"mmmm")</f>
        <v>April</v>
      </c>
      <c r="E266" s="9">
        <f>YEAR(Table4[[#This Row],[issue_date]])</f>
        <v>2024</v>
      </c>
      <c r="F266" t="s">
        <v>19</v>
      </c>
      <c r="G266">
        <v>68</v>
      </c>
      <c r="H266" t="s">
        <v>23</v>
      </c>
      <c r="I266" t="str">
        <f>VLOOKUP(Table4[[#This Row],[customer_id]],customers!A:G,4,)</f>
        <v>chennai</v>
      </c>
    </row>
    <row r="267" spans="1:9" x14ac:dyDescent="0.3">
      <c r="A267">
        <v>20266</v>
      </c>
      <c r="B267">
        <v>499</v>
      </c>
      <c r="C267" s="2">
        <v>45221</v>
      </c>
      <c r="D267" s="2" t="str">
        <f>TEXT(Table4[[#This Row],[issue_date]],"mmmm")</f>
        <v>October</v>
      </c>
      <c r="E267" s="9">
        <f>YEAR(Table4[[#This Row],[issue_date]])</f>
        <v>2023</v>
      </c>
      <c r="F267" t="s">
        <v>21</v>
      </c>
      <c r="G267">
        <v>10</v>
      </c>
      <c r="H267" t="s">
        <v>20</v>
      </c>
      <c r="I267" t="str">
        <f>VLOOKUP(Table4[[#This Row],[customer_id]],customers!A:G,4,)</f>
        <v>delhi</v>
      </c>
    </row>
    <row r="268" spans="1:9" x14ac:dyDescent="0.3">
      <c r="A268">
        <v>20267</v>
      </c>
      <c r="B268">
        <v>115</v>
      </c>
      <c r="C268" s="2">
        <v>44706</v>
      </c>
      <c r="D268" s="2" t="str">
        <f>TEXT(Table4[[#This Row],[issue_date]],"mmmm")</f>
        <v>May</v>
      </c>
      <c r="E268" s="9">
        <f>YEAR(Table4[[#This Row],[issue_date]])</f>
        <v>2022</v>
      </c>
      <c r="F268" t="s">
        <v>19</v>
      </c>
      <c r="G268">
        <v>10</v>
      </c>
      <c r="H268" t="s">
        <v>23</v>
      </c>
      <c r="I268" t="str">
        <f>VLOOKUP(Table4[[#This Row],[customer_id]],customers!A:G,4,)</f>
        <v>bangalore</v>
      </c>
    </row>
    <row r="269" spans="1:9" x14ac:dyDescent="0.3">
      <c r="A269">
        <v>20268</v>
      </c>
      <c r="B269">
        <v>229</v>
      </c>
      <c r="C269" s="2">
        <v>45079</v>
      </c>
      <c r="D269" s="2" t="str">
        <f>TEXT(Table4[[#This Row],[issue_date]],"mmmm")</f>
        <v>June</v>
      </c>
      <c r="E269" s="9">
        <f>YEAR(Table4[[#This Row],[issue_date]])</f>
        <v>2023</v>
      </c>
      <c r="F269" t="s">
        <v>19</v>
      </c>
      <c r="G269">
        <v>23</v>
      </c>
      <c r="H269" t="s">
        <v>20</v>
      </c>
      <c r="I269" t="str">
        <f>VLOOKUP(Table4[[#This Row],[customer_id]],customers!A:G,4,)</f>
        <v>hyderabad</v>
      </c>
    </row>
    <row r="270" spans="1:9" x14ac:dyDescent="0.3">
      <c r="A270">
        <v>20269</v>
      </c>
      <c r="B270">
        <v>252</v>
      </c>
      <c r="C270" s="2">
        <v>44643</v>
      </c>
      <c r="D270" s="2" t="str">
        <f>TEXT(Table4[[#This Row],[issue_date]],"mmmm")</f>
        <v>March</v>
      </c>
      <c r="E270" s="9">
        <f>YEAR(Table4[[#This Row],[issue_date]])</f>
        <v>2022</v>
      </c>
      <c r="F270" t="s">
        <v>19</v>
      </c>
      <c r="G270">
        <v>13</v>
      </c>
      <c r="H270" t="s">
        <v>20</v>
      </c>
      <c r="I270" t="str">
        <f>VLOOKUP(Table4[[#This Row],[customer_id]],customers!A:G,4,)</f>
        <v>hyderabad</v>
      </c>
    </row>
    <row r="271" spans="1:9" x14ac:dyDescent="0.3">
      <c r="A271">
        <v>20270</v>
      </c>
      <c r="B271">
        <v>75</v>
      </c>
      <c r="C271" s="2">
        <v>45196</v>
      </c>
      <c r="D271" s="2" t="str">
        <f>TEXT(Table4[[#This Row],[issue_date]],"mmmm")</f>
        <v>September</v>
      </c>
      <c r="E271" s="9">
        <f>YEAR(Table4[[#This Row],[issue_date]])</f>
        <v>2023</v>
      </c>
      <c r="F271" t="s">
        <v>22</v>
      </c>
      <c r="G271">
        <v>48</v>
      </c>
      <c r="H271" t="s">
        <v>20</v>
      </c>
      <c r="I271" t="str">
        <f>VLOOKUP(Table4[[#This Row],[customer_id]],customers!A:G,4,)</f>
        <v>mumbai</v>
      </c>
    </row>
    <row r="272" spans="1:9" x14ac:dyDescent="0.3">
      <c r="A272">
        <v>20271</v>
      </c>
      <c r="B272">
        <v>191</v>
      </c>
      <c r="C272" s="2">
        <v>44728</v>
      </c>
      <c r="D272" s="2" t="str">
        <f>TEXT(Table4[[#This Row],[issue_date]],"mmmm")</f>
        <v>June</v>
      </c>
      <c r="E272" s="9">
        <f>YEAR(Table4[[#This Row],[issue_date]])</f>
        <v>2022</v>
      </c>
      <c r="F272" t="s">
        <v>19</v>
      </c>
      <c r="G272">
        <v>44</v>
      </c>
      <c r="H272" t="s">
        <v>20</v>
      </c>
      <c r="I272" t="str">
        <f>VLOOKUP(Table4[[#This Row],[customer_id]],customers!A:G,4,)</f>
        <v>hyderabad</v>
      </c>
    </row>
    <row r="273" spans="1:9" x14ac:dyDescent="0.3">
      <c r="A273">
        <v>20272</v>
      </c>
      <c r="B273">
        <v>199</v>
      </c>
      <c r="C273" s="2">
        <v>45310</v>
      </c>
      <c r="D273" s="2" t="str">
        <f>TEXT(Table4[[#This Row],[issue_date]],"mmmm")</f>
        <v>January</v>
      </c>
      <c r="E273" s="9">
        <f>YEAR(Table4[[#This Row],[issue_date]])</f>
        <v>2024</v>
      </c>
      <c r="F273" t="s">
        <v>21</v>
      </c>
      <c r="G273">
        <v>64</v>
      </c>
      <c r="H273" t="s">
        <v>20</v>
      </c>
      <c r="I273" t="str">
        <f>VLOOKUP(Table4[[#This Row],[customer_id]],customers!A:G,4,)</f>
        <v>kolkata</v>
      </c>
    </row>
    <row r="274" spans="1:9" x14ac:dyDescent="0.3">
      <c r="A274">
        <v>20273</v>
      </c>
      <c r="B274">
        <v>163</v>
      </c>
      <c r="C274" s="2">
        <v>44666</v>
      </c>
      <c r="D274" s="2" t="str">
        <f>TEXT(Table4[[#This Row],[issue_date]],"mmmm")</f>
        <v>April</v>
      </c>
      <c r="E274" s="9">
        <f>YEAR(Table4[[#This Row],[issue_date]])</f>
        <v>2022</v>
      </c>
      <c r="F274" t="s">
        <v>22</v>
      </c>
      <c r="G274">
        <v>40</v>
      </c>
      <c r="H274" t="s">
        <v>20</v>
      </c>
      <c r="I274" t="str">
        <f>VLOOKUP(Table4[[#This Row],[customer_id]],customers!A:G,4,)</f>
        <v>hyderabad</v>
      </c>
    </row>
    <row r="275" spans="1:9" x14ac:dyDescent="0.3">
      <c r="A275">
        <v>20274</v>
      </c>
      <c r="B275">
        <v>139</v>
      </c>
      <c r="C275" s="2">
        <v>45363</v>
      </c>
      <c r="D275" s="2" t="str">
        <f>TEXT(Table4[[#This Row],[issue_date]],"mmmm")</f>
        <v>March</v>
      </c>
      <c r="E275" s="9">
        <f>YEAR(Table4[[#This Row],[issue_date]])</f>
        <v>2024</v>
      </c>
      <c r="F275" t="s">
        <v>21</v>
      </c>
      <c r="G275">
        <v>6</v>
      </c>
      <c r="H275" t="s">
        <v>20</v>
      </c>
      <c r="I275" t="str">
        <f>VLOOKUP(Table4[[#This Row],[customer_id]],customers!A:G,4,)</f>
        <v>chennai</v>
      </c>
    </row>
    <row r="276" spans="1:9" x14ac:dyDescent="0.3">
      <c r="A276">
        <v>20275</v>
      </c>
      <c r="B276">
        <v>49</v>
      </c>
      <c r="C276" s="2">
        <v>45049</v>
      </c>
      <c r="D276" s="2" t="str">
        <f>TEXT(Table4[[#This Row],[issue_date]],"mmmm")</f>
        <v>May</v>
      </c>
      <c r="E276" s="9">
        <f>YEAR(Table4[[#This Row],[issue_date]])</f>
        <v>2023</v>
      </c>
      <c r="F276" t="s">
        <v>22</v>
      </c>
      <c r="G276">
        <v>43</v>
      </c>
      <c r="H276" t="s">
        <v>20</v>
      </c>
      <c r="I276" t="str">
        <f>VLOOKUP(Table4[[#This Row],[customer_id]],customers!A:G,4,)</f>
        <v>chennai</v>
      </c>
    </row>
    <row r="277" spans="1:9" x14ac:dyDescent="0.3">
      <c r="A277">
        <v>20276</v>
      </c>
      <c r="B277">
        <v>363</v>
      </c>
      <c r="C277" s="2">
        <v>45311</v>
      </c>
      <c r="D277" s="2" t="str">
        <f>TEXT(Table4[[#This Row],[issue_date]],"mmmm")</f>
        <v>January</v>
      </c>
      <c r="E277" s="9">
        <f>YEAR(Table4[[#This Row],[issue_date]])</f>
        <v>2024</v>
      </c>
      <c r="F277" t="s">
        <v>22</v>
      </c>
      <c r="G277">
        <v>32</v>
      </c>
      <c r="H277" t="s">
        <v>20</v>
      </c>
      <c r="I277" t="str">
        <f>VLOOKUP(Table4[[#This Row],[customer_id]],customers!A:G,4,)</f>
        <v>delhi</v>
      </c>
    </row>
    <row r="278" spans="1:9" x14ac:dyDescent="0.3">
      <c r="A278">
        <v>20277</v>
      </c>
      <c r="B278">
        <v>367</v>
      </c>
      <c r="C278" s="2">
        <v>44871</v>
      </c>
      <c r="D278" s="2" t="str">
        <f>TEXT(Table4[[#This Row],[issue_date]],"mmmm")</f>
        <v>November</v>
      </c>
      <c r="E278" s="9">
        <f>YEAR(Table4[[#This Row],[issue_date]])</f>
        <v>2022</v>
      </c>
      <c r="F278" t="s">
        <v>19</v>
      </c>
      <c r="G278">
        <v>49</v>
      </c>
      <c r="H278" t="s">
        <v>20</v>
      </c>
      <c r="I278" t="str">
        <f>VLOOKUP(Table4[[#This Row],[customer_id]],customers!A:G,4,)</f>
        <v>kolkata</v>
      </c>
    </row>
    <row r="279" spans="1:9" x14ac:dyDescent="0.3">
      <c r="A279">
        <v>20278</v>
      </c>
      <c r="B279">
        <v>115</v>
      </c>
      <c r="C279" s="2">
        <v>44643</v>
      </c>
      <c r="D279" s="2" t="str">
        <f>TEXT(Table4[[#This Row],[issue_date]],"mmmm")</f>
        <v>March</v>
      </c>
      <c r="E279" s="9">
        <f>YEAR(Table4[[#This Row],[issue_date]])</f>
        <v>2022</v>
      </c>
      <c r="F279" t="s">
        <v>19</v>
      </c>
      <c r="G279">
        <v>19</v>
      </c>
      <c r="H279" t="s">
        <v>20</v>
      </c>
      <c r="I279" t="str">
        <f>VLOOKUP(Table4[[#This Row],[customer_id]],customers!A:G,4,)</f>
        <v>bangalore</v>
      </c>
    </row>
    <row r="280" spans="1:9" x14ac:dyDescent="0.3">
      <c r="A280">
        <v>20279</v>
      </c>
      <c r="B280">
        <v>168</v>
      </c>
      <c r="C280" s="2">
        <v>44655</v>
      </c>
      <c r="D280" s="2" t="str">
        <f>TEXT(Table4[[#This Row],[issue_date]],"mmmm")</f>
        <v>April</v>
      </c>
      <c r="E280" s="9">
        <f>YEAR(Table4[[#This Row],[issue_date]])</f>
        <v>2022</v>
      </c>
      <c r="F280" t="s">
        <v>22</v>
      </c>
      <c r="G280">
        <v>52</v>
      </c>
      <c r="H280" t="s">
        <v>20</v>
      </c>
      <c r="I280" t="str">
        <f>VLOOKUP(Table4[[#This Row],[customer_id]],customers!A:G,4,)</f>
        <v>delhi</v>
      </c>
    </row>
    <row r="281" spans="1:9" x14ac:dyDescent="0.3">
      <c r="A281">
        <v>20280</v>
      </c>
      <c r="B281">
        <v>496</v>
      </c>
      <c r="C281" s="2">
        <v>44882</v>
      </c>
      <c r="D281" s="2" t="str">
        <f>TEXT(Table4[[#This Row],[issue_date]],"mmmm")</f>
        <v>November</v>
      </c>
      <c r="E281" s="9">
        <f>YEAR(Table4[[#This Row],[issue_date]])</f>
        <v>2022</v>
      </c>
      <c r="F281" t="s">
        <v>19</v>
      </c>
      <c r="G281">
        <v>52</v>
      </c>
      <c r="H281" t="s">
        <v>20</v>
      </c>
      <c r="I281" t="str">
        <f>VLOOKUP(Table4[[#This Row],[customer_id]],customers!A:G,4,)</f>
        <v>chennai</v>
      </c>
    </row>
    <row r="282" spans="1:9" x14ac:dyDescent="0.3">
      <c r="A282">
        <v>20281</v>
      </c>
      <c r="B282">
        <v>277</v>
      </c>
      <c r="C282" s="2">
        <v>44904</v>
      </c>
      <c r="D282" s="2" t="str">
        <f>TEXT(Table4[[#This Row],[issue_date]],"mmmm")</f>
        <v>December</v>
      </c>
      <c r="E282" s="9">
        <f>YEAR(Table4[[#This Row],[issue_date]])</f>
        <v>2022</v>
      </c>
      <c r="F282" t="s">
        <v>19</v>
      </c>
      <c r="G282">
        <v>34</v>
      </c>
      <c r="H282" t="s">
        <v>23</v>
      </c>
      <c r="I282" t="str">
        <f>VLOOKUP(Table4[[#This Row],[customer_id]],customers!A:G,4,)</f>
        <v>chennai</v>
      </c>
    </row>
    <row r="283" spans="1:9" x14ac:dyDescent="0.3">
      <c r="A283">
        <v>20282</v>
      </c>
      <c r="B283">
        <v>47</v>
      </c>
      <c r="C283" s="2">
        <v>45358</v>
      </c>
      <c r="D283" s="2" t="str">
        <f>TEXT(Table4[[#This Row],[issue_date]],"mmmm")</f>
        <v>March</v>
      </c>
      <c r="E283" s="9">
        <f>YEAR(Table4[[#This Row],[issue_date]])</f>
        <v>2024</v>
      </c>
      <c r="F283" t="s">
        <v>22</v>
      </c>
      <c r="G283">
        <v>59</v>
      </c>
      <c r="H283" t="s">
        <v>20</v>
      </c>
      <c r="I283" t="str">
        <f>VLOOKUP(Table4[[#This Row],[customer_id]],customers!A:G,4,)</f>
        <v>hyderabad</v>
      </c>
    </row>
    <row r="284" spans="1:9" x14ac:dyDescent="0.3">
      <c r="A284">
        <v>20283</v>
      </c>
      <c r="B284">
        <v>259</v>
      </c>
      <c r="C284" s="2">
        <v>45370</v>
      </c>
      <c r="D284" s="2" t="str">
        <f>TEXT(Table4[[#This Row],[issue_date]],"mmmm")</f>
        <v>March</v>
      </c>
      <c r="E284" s="9">
        <f>YEAR(Table4[[#This Row],[issue_date]])</f>
        <v>2024</v>
      </c>
      <c r="F284" t="s">
        <v>22</v>
      </c>
      <c r="G284">
        <v>5</v>
      </c>
      <c r="H284" t="s">
        <v>20</v>
      </c>
      <c r="I284" t="str">
        <f>VLOOKUP(Table4[[#This Row],[customer_id]],customers!A:G,4,)</f>
        <v>chennai</v>
      </c>
    </row>
    <row r="285" spans="1:9" x14ac:dyDescent="0.3">
      <c r="A285">
        <v>20284</v>
      </c>
      <c r="B285">
        <v>414</v>
      </c>
      <c r="C285" s="2">
        <v>44922</v>
      </c>
      <c r="D285" s="2" t="str">
        <f>TEXT(Table4[[#This Row],[issue_date]],"mmmm")</f>
        <v>December</v>
      </c>
      <c r="E285" s="9">
        <f>YEAR(Table4[[#This Row],[issue_date]])</f>
        <v>2022</v>
      </c>
      <c r="F285" t="s">
        <v>21</v>
      </c>
      <c r="G285">
        <v>66</v>
      </c>
      <c r="H285" t="s">
        <v>20</v>
      </c>
      <c r="I285" t="str">
        <f>VLOOKUP(Table4[[#This Row],[customer_id]],customers!A:G,4,)</f>
        <v>delhi</v>
      </c>
    </row>
    <row r="286" spans="1:9" x14ac:dyDescent="0.3">
      <c r="A286">
        <v>20285</v>
      </c>
      <c r="B286">
        <v>216</v>
      </c>
      <c r="C286" s="2">
        <v>45392</v>
      </c>
      <c r="D286" s="2" t="str">
        <f>TEXT(Table4[[#This Row],[issue_date]],"mmmm")</f>
        <v>April</v>
      </c>
      <c r="E286" s="9">
        <f>YEAR(Table4[[#This Row],[issue_date]])</f>
        <v>2024</v>
      </c>
      <c r="F286" t="s">
        <v>22</v>
      </c>
      <c r="G286">
        <v>41</v>
      </c>
      <c r="H286" t="s">
        <v>20</v>
      </c>
      <c r="I286" t="str">
        <f>VLOOKUP(Table4[[#This Row],[customer_id]],customers!A:G,4,)</f>
        <v>chennai</v>
      </c>
    </row>
    <row r="287" spans="1:9" x14ac:dyDescent="0.3">
      <c r="A287">
        <v>20286</v>
      </c>
      <c r="B287">
        <v>230</v>
      </c>
      <c r="C287" s="2">
        <v>44627</v>
      </c>
      <c r="D287" s="2" t="str">
        <f>TEXT(Table4[[#This Row],[issue_date]],"mmmm")</f>
        <v>March</v>
      </c>
      <c r="E287" s="9">
        <f>YEAR(Table4[[#This Row],[issue_date]])</f>
        <v>2022</v>
      </c>
      <c r="F287" t="s">
        <v>21</v>
      </c>
      <c r="G287">
        <v>34</v>
      </c>
      <c r="H287" t="s">
        <v>20</v>
      </c>
      <c r="I287" t="str">
        <f>VLOOKUP(Table4[[#This Row],[customer_id]],customers!A:G,4,)</f>
        <v>chennai</v>
      </c>
    </row>
    <row r="288" spans="1:9" x14ac:dyDescent="0.3">
      <c r="A288">
        <v>20287</v>
      </c>
      <c r="B288">
        <v>127</v>
      </c>
      <c r="C288" s="2">
        <v>45185</v>
      </c>
      <c r="D288" s="2" t="str">
        <f>TEXT(Table4[[#This Row],[issue_date]],"mmmm")</f>
        <v>September</v>
      </c>
      <c r="E288" s="9">
        <f>YEAR(Table4[[#This Row],[issue_date]])</f>
        <v>2023</v>
      </c>
      <c r="F288" t="s">
        <v>21</v>
      </c>
      <c r="G288">
        <v>54</v>
      </c>
      <c r="H288" t="s">
        <v>20</v>
      </c>
      <c r="I288" t="str">
        <f>VLOOKUP(Table4[[#This Row],[customer_id]],customers!A:G,4,)</f>
        <v>delhi</v>
      </c>
    </row>
    <row r="289" spans="1:9" x14ac:dyDescent="0.3">
      <c r="A289">
        <v>20288</v>
      </c>
      <c r="B289">
        <v>323</v>
      </c>
      <c r="C289" s="2">
        <v>45429</v>
      </c>
      <c r="D289" s="2" t="str">
        <f>TEXT(Table4[[#This Row],[issue_date]],"mmmm")</f>
        <v>May</v>
      </c>
      <c r="E289" s="9">
        <f>YEAR(Table4[[#This Row],[issue_date]])</f>
        <v>2024</v>
      </c>
      <c r="F289" t="s">
        <v>19</v>
      </c>
      <c r="G289">
        <v>20</v>
      </c>
      <c r="H289" t="s">
        <v>20</v>
      </c>
      <c r="I289" t="str">
        <f>VLOOKUP(Table4[[#This Row],[customer_id]],customers!A:G,4,)</f>
        <v>mumbai</v>
      </c>
    </row>
    <row r="290" spans="1:9" x14ac:dyDescent="0.3">
      <c r="A290">
        <v>20289</v>
      </c>
      <c r="B290">
        <v>318</v>
      </c>
      <c r="C290" s="2">
        <v>44990</v>
      </c>
      <c r="D290" s="2" t="str">
        <f>TEXT(Table4[[#This Row],[issue_date]],"mmmm")</f>
        <v>March</v>
      </c>
      <c r="E290" s="9">
        <f>YEAR(Table4[[#This Row],[issue_date]])</f>
        <v>2023</v>
      </c>
      <c r="F290" t="s">
        <v>19</v>
      </c>
      <c r="G290">
        <v>54</v>
      </c>
      <c r="H290" t="s">
        <v>23</v>
      </c>
      <c r="I290" t="str">
        <f>VLOOKUP(Table4[[#This Row],[customer_id]],customers!A:G,4,)</f>
        <v>delhi</v>
      </c>
    </row>
    <row r="291" spans="1:9" x14ac:dyDescent="0.3">
      <c r="A291">
        <v>20290</v>
      </c>
      <c r="B291">
        <v>421</v>
      </c>
      <c r="C291" s="2">
        <v>44962</v>
      </c>
      <c r="D291" s="2" t="str">
        <f>TEXT(Table4[[#This Row],[issue_date]],"mmmm")</f>
        <v>February</v>
      </c>
      <c r="E291" s="9">
        <f>YEAR(Table4[[#This Row],[issue_date]])</f>
        <v>2023</v>
      </c>
      <c r="F291" t="s">
        <v>22</v>
      </c>
      <c r="G291">
        <v>66</v>
      </c>
      <c r="H291" t="s">
        <v>20</v>
      </c>
      <c r="I291" t="str">
        <f>VLOOKUP(Table4[[#This Row],[customer_id]],customers!A:G,4,)</f>
        <v>chennai</v>
      </c>
    </row>
    <row r="292" spans="1:9" x14ac:dyDescent="0.3">
      <c r="A292">
        <v>20291</v>
      </c>
      <c r="B292">
        <v>225</v>
      </c>
      <c r="C292" s="2">
        <v>44732</v>
      </c>
      <c r="D292" s="2" t="str">
        <f>TEXT(Table4[[#This Row],[issue_date]],"mmmm")</f>
        <v>June</v>
      </c>
      <c r="E292" s="9">
        <f>YEAR(Table4[[#This Row],[issue_date]])</f>
        <v>2022</v>
      </c>
      <c r="F292" t="s">
        <v>22</v>
      </c>
      <c r="G292">
        <v>18</v>
      </c>
      <c r="H292" t="s">
        <v>20</v>
      </c>
      <c r="I292" t="str">
        <f>VLOOKUP(Table4[[#This Row],[customer_id]],customers!A:G,4,)</f>
        <v>hyderabad</v>
      </c>
    </row>
    <row r="293" spans="1:9" x14ac:dyDescent="0.3">
      <c r="A293">
        <v>20292</v>
      </c>
      <c r="B293">
        <v>150</v>
      </c>
      <c r="C293" s="2">
        <v>45320</v>
      </c>
      <c r="D293" s="2" t="str">
        <f>TEXT(Table4[[#This Row],[issue_date]],"mmmm")</f>
        <v>January</v>
      </c>
      <c r="E293" s="9">
        <f>YEAR(Table4[[#This Row],[issue_date]])</f>
        <v>2024</v>
      </c>
      <c r="F293" t="s">
        <v>21</v>
      </c>
      <c r="G293">
        <v>44</v>
      </c>
      <c r="H293" t="s">
        <v>20</v>
      </c>
      <c r="I293" t="str">
        <f>VLOOKUP(Table4[[#This Row],[customer_id]],customers!A:G,4,)</f>
        <v>bangalore</v>
      </c>
    </row>
    <row r="294" spans="1:9" x14ac:dyDescent="0.3">
      <c r="A294">
        <v>20293</v>
      </c>
      <c r="B294">
        <v>287</v>
      </c>
      <c r="C294" s="2">
        <v>45139</v>
      </c>
      <c r="D294" s="2" t="str">
        <f>TEXT(Table4[[#This Row],[issue_date]],"mmmm")</f>
        <v>August</v>
      </c>
      <c r="E294" s="9">
        <f>YEAR(Table4[[#This Row],[issue_date]])</f>
        <v>2023</v>
      </c>
      <c r="F294" t="s">
        <v>21</v>
      </c>
      <c r="G294">
        <v>48</v>
      </c>
      <c r="H294" t="s">
        <v>20</v>
      </c>
      <c r="I294" t="str">
        <f>VLOOKUP(Table4[[#This Row],[customer_id]],customers!A:G,4,)</f>
        <v>bangalore</v>
      </c>
    </row>
    <row r="295" spans="1:9" x14ac:dyDescent="0.3">
      <c r="A295">
        <v>20294</v>
      </c>
      <c r="B295">
        <v>46</v>
      </c>
      <c r="C295" s="2">
        <v>44629</v>
      </c>
      <c r="D295" s="2" t="str">
        <f>TEXT(Table4[[#This Row],[issue_date]],"mmmm")</f>
        <v>March</v>
      </c>
      <c r="E295" s="9">
        <f>YEAR(Table4[[#This Row],[issue_date]])</f>
        <v>2022</v>
      </c>
      <c r="F295" t="s">
        <v>19</v>
      </c>
      <c r="G295">
        <v>35</v>
      </c>
      <c r="H295" t="s">
        <v>23</v>
      </c>
      <c r="I295" t="str">
        <f>VLOOKUP(Table4[[#This Row],[customer_id]],customers!A:G,4,)</f>
        <v>delhi</v>
      </c>
    </row>
    <row r="296" spans="1:9" x14ac:dyDescent="0.3">
      <c r="A296">
        <v>20295</v>
      </c>
      <c r="B296">
        <v>460</v>
      </c>
      <c r="C296" s="2">
        <v>45053</v>
      </c>
      <c r="D296" s="2" t="str">
        <f>TEXT(Table4[[#This Row],[issue_date]],"mmmm")</f>
        <v>May</v>
      </c>
      <c r="E296" s="9">
        <f>YEAR(Table4[[#This Row],[issue_date]])</f>
        <v>2023</v>
      </c>
      <c r="F296" t="s">
        <v>22</v>
      </c>
      <c r="G296">
        <v>39</v>
      </c>
      <c r="H296" t="s">
        <v>20</v>
      </c>
      <c r="I296" t="str">
        <f>VLOOKUP(Table4[[#This Row],[customer_id]],customers!A:G,4,)</f>
        <v>hyderabad</v>
      </c>
    </row>
    <row r="297" spans="1:9" x14ac:dyDescent="0.3">
      <c r="A297">
        <v>20296</v>
      </c>
      <c r="B297">
        <v>301</v>
      </c>
      <c r="C297" s="2">
        <v>44595</v>
      </c>
      <c r="D297" s="2" t="str">
        <f>TEXT(Table4[[#This Row],[issue_date]],"mmmm")</f>
        <v>February</v>
      </c>
      <c r="E297" s="9">
        <f>YEAR(Table4[[#This Row],[issue_date]])</f>
        <v>2022</v>
      </c>
      <c r="F297" t="s">
        <v>22</v>
      </c>
      <c r="G297">
        <v>3</v>
      </c>
      <c r="H297" t="s">
        <v>20</v>
      </c>
      <c r="I297" t="str">
        <f>VLOOKUP(Table4[[#This Row],[customer_id]],customers!A:G,4,)</f>
        <v>delhi</v>
      </c>
    </row>
    <row r="298" spans="1:9" x14ac:dyDescent="0.3">
      <c r="A298">
        <v>20297</v>
      </c>
      <c r="B298">
        <v>14</v>
      </c>
      <c r="C298" s="2">
        <v>44562</v>
      </c>
      <c r="D298" s="2" t="str">
        <f>TEXT(Table4[[#This Row],[issue_date]],"mmmm")</f>
        <v>January</v>
      </c>
      <c r="E298" s="9">
        <f>YEAR(Table4[[#This Row],[issue_date]])</f>
        <v>2022</v>
      </c>
      <c r="F298" t="s">
        <v>22</v>
      </c>
      <c r="G298">
        <v>19</v>
      </c>
      <c r="H298" t="s">
        <v>20</v>
      </c>
      <c r="I298" t="str">
        <f>VLOOKUP(Table4[[#This Row],[customer_id]],customers!A:G,4,)</f>
        <v>mumbai</v>
      </c>
    </row>
    <row r="299" spans="1:9" x14ac:dyDescent="0.3">
      <c r="A299">
        <v>20298</v>
      </c>
      <c r="B299">
        <v>121</v>
      </c>
      <c r="C299" s="2">
        <v>44712</v>
      </c>
      <c r="D299" s="2" t="str">
        <f>TEXT(Table4[[#This Row],[issue_date]],"mmmm")</f>
        <v>May</v>
      </c>
      <c r="E299" s="9">
        <f>YEAR(Table4[[#This Row],[issue_date]])</f>
        <v>2022</v>
      </c>
      <c r="F299" t="s">
        <v>22</v>
      </c>
      <c r="G299">
        <v>18</v>
      </c>
      <c r="H299" t="s">
        <v>20</v>
      </c>
      <c r="I299" t="str">
        <f>VLOOKUP(Table4[[#This Row],[customer_id]],customers!A:G,4,)</f>
        <v>chennai</v>
      </c>
    </row>
    <row r="300" spans="1:9" x14ac:dyDescent="0.3">
      <c r="A300">
        <v>20299</v>
      </c>
      <c r="B300">
        <v>396</v>
      </c>
      <c r="C300" s="2">
        <v>45345</v>
      </c>
      <c r="D300" s="2" t="str">
        <f>TEXT(Table4[[#This Row],[issue_date]],"mmmm")</f>
        <v>February</v>
      </c>
      <c r="E300" s="9">
        <f>YEAR(Table4[[#This Row],[issue_date]])</f>
        <v>2024</v>
      </c>
      <c r="F300" t="s">
        <v>19</v>
      </c>
      <c r="G300">
        <v>5</v>
      </c>
      <c r="H300" t="s">
        <v>20</v>
      </c>
      <c r="I300" t="str">
        <f>VLOOKUP(Table4[[#This Row],[customer_id]],customers!A:G,4,)</f>
        <v>kolkata</v>
      </c>
    </row>
    <row r="301" spans="1:9" x14ac:dyDescent="0.3">
      <c r="A301">
        <v>20300</v>
      </c>
      <c r="B301">
        <v>375</v>
      </c>
      <c r="C301" s="2">
        <v>44819</v>
      </c>
      <c r="D301" s="2" t="str">
        <f>TEXT(Table4[[#This Row],[issue_date]],"mmmm")</f>
        <v>September</v>
      </c>
      <c r="E301" s="9">
        <f>YEAR(Table4[[#This Row],[issue_date]])</f>
        <v>2022</v>
      </c>
      <c r="F301" t="s">
        <v>19</v>
      </c>
      <c r="G301">
        <v>55</v>
      </c>
      <c r="H301" t="s">
        <v>20</v>
      </c>
      <c r="I301" t="str">
        <f>VLOOKUP(Table4[[#This Row],[customer_id]],customers!A:G,4,)</f>
        <v>mumbai</v>
      </c>
    </row>
    <row r="302" spans="1:9" x14ac:dyDescent="0.3">
      <c r="A302">
        <v>20301</v>
      </c>
      <c r="B302">
        <v>191</v>
      </c>
      <c r="C302" s="2">
        <v>45311</v>
      </c>
      <c r="D302" s="2" t="str">
        <f>TEXT(Table4[[#This Row],[issue_date]],"mmmm")</f>
        <v>January</v>
      </c>
      <c r="E302" s="9">
        <f>YEAR(Table4[[#This Row],[issue_date]])</f>
        <v>2024</v>
      </c>
      <c r="F302" t="s">
        <v>21</v>
      </c>
      <c r="G302">
        <v>13</v>
      </c>
      <c r="H302" t="s">
        <v>20</v>
      </c>
      <c r="I302" t="str">
        <f>VLOOKUP(Table4[[#This Row],[customer_id]],customers!A:G,4,)</f>
        <v>hyderabad</v>
      </c>
    </row>
    <row r="303" spans="1:9" x14ac:dyDescent="0.3">
      <c r="A303">
        <v>20302</v>
      </c>
      <c r="B303">
        <v>475</v>
      </c>
      <c r="C303" s="2">
        <v>45189</v>
      </c>
      <c r="D303" s="2" t="str">
        <f>TEXT(Table4[[#This Row],[issue_date]],"mmmm")</f>
        <v>September</v>
      </c>
      <c r="E303" s="9">
        <f>YEAR(Table4[[#This Row],[issue_date]])</f>
        <v>2023</v>
      </c>
      <c r="F303" t="s">
        <v>19</v>
      </c>
      <c r="G303">
        <v>34</v>
      </c>
      <c r="H303" t="s">
        <v>20</v>
      </c>
      <c r="I303" t="str">
        <f>VLOOKUP(Table4[[#This Row],[customer_id]],customers!A:G,4,)</f>
        <v>delhi</v>
      </c>
    </row>
    <row r="304" spans="1:9" x14ac:dyDescent="0.3">
      <c r="A304">
        <v>20303</v>
      </c>
      <c r="B304">
        <v>333</v>
      </c>
      <c r="C304" s="2">
        <v>45149</v>
      </c>
      <c r="D304" s="2" t="str">
        <f>TEXT(Table4[[#This Row],[issue_date]],"mmmm")</f>
        <v>August</v>
      </c>
      <c r="E304" s="9">
        <f>YEAR(Table4[[#This Row],[issue_date]])</f>
        <v>2023</v>
      </c>
      <c r="F304" t="s">
        <v>21</v>
      </c>
      <c r="G304">
        <v>18</v>
      </c>
      <c r="H304" t="s">
        <v>20</v>
      </c>
      <c r="I304" t="str">
        <f>VLOOKUP(Table4[[#This Row],[customer_id]],customers!A:G,4,)</f>
        <v>bangalore</v>
      </c>
    </row>
    <row r="305" spans="1:9" x14ac:dyDescent="0.3">
      <c r="A305">
        <v>20304</v>
      </c>
      <c r="B305">
        <v>344</v>
      </c>
      <c r="C305" s="2">
        <v>45356</v>
      </c>
      <c r="D305" s="2" t="str">
        <f>TEXT(Table4[[#This Row],[issue_date]],"mmmm")</f>
        <v>March</v>
      </c>
      <c r="E305" s="9">
        <f>YEAR(Table4[[#This Row],[issue_date]])</f>
        <v>2024</v>
      </c>
      <c r="F305" t="s">
        <v>19</v>
      </c>
      <c r="G305">
        <v>68</v>
      </c>
      <c r="H305" t="s">
        <v>20</v>
      </c>
      <c r="I305" t="str">
        <f>VLOOKUP(Table4[[#This Row],[customer_id]],customers!A:G,4,)</f>
        <v>kolkata</v>
      </c>
    </row>
    <row r="306" spans="1:9" x14ac:dyDescent="0.3">
      <c r="A306">
        <v>20305</v>
      </c>
      <c r="B306">
        <v>166</v>
      </c>
      <c r="C306" s="2">
        <v>44580</v>
      </c>
      <c r="D306" s="2" t="str">
        <f>TEXT(Table4[[#This Row],[issue_date]],"mmmm")</f>
        <v>January</v>
      </c>
      <c r="E306" s="9">
        <f>YEAR(Table4[[#This Row],[issue_date]])</f>
        <v>2022</v>
      </c>
      <c r="F306" t="s">
        <v>19</v>
      </c>
      <c r="G306">
        <v>43</v>
      </c>
      <c r="H306" t="s">
        <v>20</v>
      </c>
      <c r="I306" t="str">
        <f>VLOOKUP(Table4[[#This Row],[customer_id]],customers!A:G,4,)</f>
        <v>delhi</v>
      </c>
    </row>
    <row r="307" spans="1:9" x14ac:dyDescent="0.3">
      <c r="A307">
        <v>20306</v>
      </c>
      <c r="B307">
        <v>117</v>
      </c>
      <c r="C307" s="2">
        <v>45357</v>
      </c>
      <c r="D307" s="2" t="str">
        <f>TEXT(Table4[[#This Row],[issue_date]],"mmmm")</f>
        <v>March</v>
      </c>
      <c r="E307" s="9">
        <f>YEAR(Table4[[#This Row],[issue_date]])</f>
        <v>2024</v>
      </c>
      <c r="F307" t="s">
        <v>22</v>
      </c>
      <c r="G307">
        <v>65</v>
      </c>
      <c r="H307" t="s">
        <v>20</v>
      </c>
      <c r="I307" t="str">
        <f>VLOOKUP(Table4[[#This Row],[customer_id]],customers!A:G,4,)</f>
        <v>kolkata</v>
      </c>
    </row>
    <row r="308" spans="1:9" x14ac:dyDescent="0.3">
      <c r="A308">
        <v>20307</v>
      </c>
      <c r="B308">
        <v>431</v>
      </c>
      <c r="C308" s="2">
        <v>44596</v>
      </c>
      <c r="D308" s="2" t="str">
        <f>TEXT(Table4[[#This Row],[issue_date]],"mmmm")</f>
        <v>February</v>
      </c>
      <c r="E308" s="9">
        <f>YEAR(Table4[[#This Row],[issue_date]])</f>
        <v>2022</v>
      </c>
      <c r="F308" t="s">
        <v>21</v>
      </c>
      <c r="G308">
        <v>41</v>
      </c>
      <c r="H308" t="s">
        <v>20</v>
      </c>
      <c r="I308" t="str">
        <f>VLOOKUP(Table4[[#This Row],[customer_id]],customers!A:G,4,)</f>
        <v>chennai</v>
      </c>
    </row>
    <row r="309" spans="1:9" x14ac:dyDescent="0.3">
      <c r="A309">
        <v>20308</v>
      </c>
      <c r="B309">
        <v>124</v>
      </c>
      <c r="C309" s="2">
        <v>44932</v>
      </c>
      <c r="D309" s="2" t="str">
        <f>TEXT(Table4[[#This Row],[issue_date]],"mmmm")</f>
        <v>January</v>
      </c>
      <c r="E309" s="9">
        <f>YEAR(Table4[[#This Row],[issue_date]])</f>
        <v>2023</v>
      </c>
      <c r="F309" t="s">
        <v>21</v>
      </c>
      <c r="G309">
        <v>38</v>
      </c>
      <c r="H309" t="s">
        <v>20</v>
      </c>
      <c r="I309" t="str">
        <f>VLOOKUP(Table4[[#This Row],[customer_id]],customers!A:G,4,)</f>
        <v>kolkata</v>
      </c>
    </row>
    <row r="310" spans="1:9" x14ac:dyDescent="0.3">
      <c r="A310">
        <v>20309</v>
      </c>
      <c r="B310">
        <v>54</v>
      </c>
      <c r="C310" s="2">
        <v>45052</v>
      </c>
      <c r="D310" s="2" t="str">
        <f>TEXT(Table4[[#This Row],[issue_date]],"mmmm")</f>
        <v>May</v>
      </c>
      <c r="E310" s="9">
        <f>YEAR(Table4[[#This Row],[issue_date]])</f>
        <v>2023</v>
      </c>
      <c r="F310" t="s">
        <v>21</v>
      </c>
      <c r="G310">
        <v>38</v>
      </c>
      <c r="H310" t="s">
        <v>20</v>
      </c>
      <c r="I310" t="str">
        <f>VLOOKUP(Table4[[#This Row],[customer_id]],customers!A:G,4,)</f>
        <v>bangalore</v>
      </c>
    </row>
    <row r="311" spans="1:9" x14ac:dyDescent="0.3">
      <c r="A311">
        <v>20310</v>
      </c>
      <c r="B311">
        <v>439</v>
      </c>
      <c r="C311" s="2">
        <v>45397</v>
      </c>
      <c r="D311" s="2" t="str">
        <f>TEXT(Table4[[#This Row],[issue_date]],"mmmm")</f>
        <v>April</v>
      </c>
      <c r="E311" s="9">
        <f>YEAR(Table4[[#This Row],[issue_date]])</f>
        <v>2024</v>
      </c>
      <c r="F311" t="s">
        <v>19</v>
      </c>
      <c r="G311">
        <v>13</v>
      </c>
      <c r="H311" t="s">
        <v>20</v>
      </c>
      <c r="I311" t="str">
        <f>VLOOKUP(Table4[[#This Row],[customer_id]],customers!A:G,4,)</f>
        <v>chennai</v>
      </c>
    </row>
    <row r="312" spans="1:9" x14ac:dyDescent="0.3">
      <c r="A312">
        <v>20311</v>
      </c>
      <c r="B312">
        <v>304</v>
      </c>
      <c r="C312" s="2">
        <v>45378</v>
      </c>
      <c r="D312" s="2" t="str">
        <f>TEXT(Table4[[#This Row],[issue_date]],"mmmm")</f>
        <v>March</v>
      </c>
      <c r="E312" s="9">
        <f>YEAR(Table4[[#This Row],[issue_date]])</f>
        <v>2024</v>
      </c>
      <c r="F312" t="s">
        <v>22</v>
      </c>
      <c r="G312">
        <v>22</v>
      </c>
      <c r="H312" t="s">
        <v>20</v>
      </c>
      <c r="I312" t="str">
        <f>VLOOKUP(Table4[[#This Row],[customer_id]],customers!A:G,4,)</f>
        <v>delhi</v>
      </c>
    </row>
    <row r="313" spans="1:9" x14ac:dyDescent="0.3">
      <c r="A313">
        <v>20312</v>
      </c>
      <c r="B313">
        <v>457</v>
      </c>
      <c r="C313" s="2">
        <v>44802</v>
      </c>
      <c r="D313" s="2" t="str">
        <f>TEXT(Table4[[#This Row],[issue_date]],"mmmm")</f>
        <v>August</v>
      </c>
      <c r="E313" s="9">
        <f>YEAR(Table4[[#This Row],[issue_date]])</f>
        <v>2022</v>
      </c>
      <c r="F313" t="s">
        <v>19</v>
      </c>
      <c r="G313">
        <v>29</v>
      </c>
      <c r="H313" t="s">
        <v>20</v>
      </c>
      <c r="I313" t="str">
        <f>VLOOKUP(Table4[[#This Row],[customer_id]],customers!A:G,4,)</f>
        <v>delhi</v>
      </c>
    </row>
    <row r="314" spans="1:9" x14ac:dyDescent="0.3">
      <c r="A314">
        <v>20313</v>
      </c>
      <c r="B314">
        <v>456</v>
      </c>
      <c r="C314" s="2">
        <v>44568</v>
      </c>
      <c r="D314" s="2" t="str">
        <f>TEXT(Table4[[#This Row],[issue_date]],"mmmm")</f>
        <v>January</v>
      </c>
      <c r="E314" s="9">
        <f>YEAR(Table4[[#This Row],[issue_date]])</f>
        <v>2022</v>
      </c>
      <c r="F314" t="s">
        <v>22</v>
      </c>
      <c r="G314">
        <v>9</v>
      </c>
      <c r="H314" t="s">
        <v>20</v>
      </c>
      <c r="I314" t="str">
        <f>VLOOKUP(Table4[[#This Row],[customer_id]],customers!A:G,4,)</f>
        <v>kolkata</v>
      </c>
    </row>
    <row r="315" spans="1:9" x14ac:dyDescent="0.3">
      <c r="A315">
        <v>20314</v>
      </c>
      <c r="B315">
        <v>357</v>
      </c>
      <c r="C315" s="2">
        <v>45110</v>
      </c>
      <c r="D315" s="2" t="str">
        <f>TEXT(Table4[[#This Row],[issue_date]],"mmmm")</f>
        <v>July</v>
      </c>
      <c r="E315" s="9">
        <f>YEAR(Table4[[#This Row],[issue_date]])</f>
        <v>2023</v>
      </c>
      <c r="F315" t="s">
        <v>19</v>
      </c>
      <c r="G315">
        <v>68</v>
      </c>
      <c r="H315" t="s">
        <v>20</v>
      </c>
      <c r="I315" t="str">
        <f>VLOOKUP(Table4[[#This Row],[customer_id]],customers!A:G,4,)</f>
        <v>bangalore</v>
      </c>
    </row>
    <row r="316" spans="1:9" x14ac:dyDescent="0.3">
      <c r="A316">
        <v>20315</v>
      </c>
      <c r="B316">
        <v>271</v>
      </c>
      <c r="C316" s="2">
        <v>44932</v>
      </c>
      <c r="D316" s="2" t="str">
        <f>TEXT(Table4[[#This Row],[issue_date]],"mmmm")</f>
        <v>January</v>
      </c>
      <c r="E316" s="9">
        <f>YEAR(Table4[[#This Row],[issue_date]])</f>
        <v>2023</v>
      </c>
      <c r="F316" t="s">
        <v>21</v>
      </c>
      <c r="G316">
        <v>17</v>
      </c>
      <c r="H316" t="s">
        <v>20</v>
      </c>
      <c r="I316" t="str">
        <f>VLOOKUP(Table4[[#This Row],[customer_id]],customers!A:G,4,)</f>
        <v>kolkata</v>
      </c>
    </row>
    <row r="317" spans="1:9" x14ac:dyDescent="0.3">
      <c r="A317">
        <v>20316</v>
      </c>
      <c r="B317">
        <v>199</v>
      </c>
      <c r="C317" s="2">
        <v>45226</v>
      </c>
      <c r="D317" s="2" t="str">
        <f>TEXT(Table4[[#This Row],[issue_date]],"mmmm")</f>
        <v>October</v>
      </c>
      <c r="E317" s="9">
        <f>YEAR(Table4[[#This Row],[issue_date]])</f>
        <v>2023</v>
      </c>
      <c r="F317" t="s">
        <v>19</v>
      </c>
      <c r="G317">
        <v>37</v>
      </c>
      <c r="H317" t="s">
        <v>20</v>
      </c>
      <c r="I317" t="str">
        <f>VLOOKUP(Table4[[#This Row],[customer_id]],customers!A:G,4,)</f>
        <v>kolkata</v>
      </c>
    </row>
    <row r="318" spans="1:9" x14ac:dyDescent="0.3">
      <c r="A318">
        <v>20317</v>
      </c>
      <c r="B318">
        <v>216</v>
      </c>
      <c r="C318" s="2">
        <v>45318</v>
      </c>
      <c r="D318" s="2" t="str">
        <f>TEXT(Table4[[#This Row],[issue_date]],"mmmm")</f>
        <v>January</v>
      </c>
      <c r="E318" s="9">
        <f>YEAR(Table4[[#This Row],[issue_date]])</f>
        <v>2024</v>
      </c>
      <c r="F318" t="s">
        <v>21</v>
      </c>
      <c r="G318">
        <v>64</v>
      </c>
      <c r="H318" t="s">
        <v>20</v>
      </c>
      <c r="I318" t="str">
        <f>VLOOKUP(Table4[[#This Row],[customer_id]],customers!A:G,4,)</f>
        <v>chennai</v>
      </c>
    </row>
    <row r="319" spans="1:9" x14ac:dyDescent="0.3">
      <c r="A319">
        <v>20318</v>
      </c>
      <c r="B319">
        <v>113</v>
      </c>
      <c r="C319" s="2">
        <v>44811</v>
      </c>
      <c r="D319" s="2" t="str">
        <f>TEXT(Table4[[#This Row],[issue_date]],"mmmm")</f>
        <v>September</v>
      </c>
      <c r="E319" s="9">
        <f>YEAR(Table4[[#This Row],[issue_date]])</f>
        <v>2022</v>
      </c>
      <c r="F319" t="s">
        <v>22</v>
      </c>
      <c r="G319">
        <v>67</v>
      </c>
      <c r="H319" t="s">
        <v>20</v>
      </c>
      <c r="I319" t="str">
        <f>VLOOKUP(Table4[[#This Row],[customer_id]],customers!A:G,4,)</f>
        <v>kolkata</v>
      </c>
    </row>
    <row r="320" spans="1:9" x14ac:dyDescent="0.3">
      <c r="A320">
        <v>20319</v>
      </c>
      <c r="B320">
        <v>16</v>
      </c>
      <c r="C320" s="2">
        <v>44676</v>
      </c>
      <c r="D320" s="2" t="str">
        <f>TEXT(Table4[[#This Row],[issue_date]],"mmmm")</f>
        <v>April</v>
      </c>
      <c r="E320" s="9">
        <f>YEAR(Table4[[#This Row],[issue_date]])</f>
        <v>2022</v>
      </c>
      <c r="F320" t="s">
        <v>21</v>
      </c>
      <c r="G320">
        <v>4</v>
      </c>
      <c r="H320" t="s">
        <v>23</v>
      </c>
      <c r="I320" t="str">
        <f>VLOOKUP(Table4[[#This Row],[customer_id]],customers!A:G,4,)</f>
        <v>bangalore</v>
      </c>
    </row>
    <row r="321" spans="1:9" x14ac:dyDescent="0.3">
      <c r="A321">
        <v>20320</v>
      </c>
      <c r="B321">
        <v>216</v>
      </c>
      <c r="C321" s="2">
        <v>45114</v>
      </c>
      <c r="D321" s="2" t="str">
        <f>TEXT(Table4[[#This Row],[issue_date]],"mmmm")</f>
        <v>July</v>
      </c>
      <c r="E321" s="9">
        <f>YEAR(Table4[[#This Row],[issue_date]])</f>
        <v>2023</v>
      </c>
      <c r="F321" t="s">
        <v>21</v>
      </c>
      <c r="G321">
        <v>40</v>
      </c>
      <c r="H321" t="s">
        <v>23</v>
      </c>
      <c r="I321" t="str">
        <f>VLOOKUP(Table4[[#This Row],[customer_id]],customers!A:G,4,)</f>
        <v>chennai</v>
      </c>
    </row>
    <row r="322" spans="1:9" x14ac:dyDescent="0.3">
      <c r="A322">
        <v>20321</v>
      </c>
      <c r="B322">
        <v>427</v>
      </c>
      <c r="C322" s="2">
        <v>44898</v>
      </c>
      <c r="D322" s="2" t="str">
        <f>TEXT(Table4[[#This Row],[issue_date]],"mmmm")</f>
        <v>December</v>
      </c>
      <c r="E322" s="9">
        <f>YEAR(Table4[[#This Row],[issue_date]])</f>
        <v>2022</v>
      </c>
      <c r="F322" t="s">
        <v>21</v>
      </c>
      <c r="G322">
        <v>16</v>
      </c>
      <c r="H322" t="s">
        <v>20</v>
      </c>
      <c r="I322" t="str">
        <f>VLOOKUP(Table4[[#This Row],[customer_id]],customers!A:G,4,)</f>
        <v>delhi</v>
      </c>
    </row>
    <row r="323" spans="1:9" x14ac:dyDescent="0.3">
      <c r="A323">
        <v>20322</v>
      </c>
      <c r="B323">
        <v>135</v>
      </c>
      <c r="C323" s="2">
        <v>45135</v>
      </c>
      <c r="D323" s="2" t="str">
        <f>TEXT(Table4[[#This Row],[issue_date]],"mmmm")</f>
        <v>July</v>
      </c>
      <c r="E323" s="9">
        <f>YEAR(Table4[[#This Row],[issue_date]])</f>
        <v>2023</v>
      </c>
      <c r="F323" t="s">
        <v>21</v>
      </c>
      <c r="G323">
        <v>11</v>
      </c>
      <c r="H323" t="s">
        <v>20</v>
      </c>
      <c r="I323" t="str">
        <f>VLOOKUP(Table4[[#This Row],[customer_id]],customers!A:G,4,)</f>
        <v>chennai</v>
      </c>
    </row>
    <row r="324" spans="1:9" x14ac:dyDescent="0.3">
      <c r="A324">
        <v>20323</v>
      </c>
      <c r="B324">
        <v>43</v>
      </c>
      <c r="C324" s="2">
        <v>45242</v>
      </c>
      <c r="D324" s="2" t="str">
        <f>TEXT(Table4[[#This Row],[issue_date]],"mmmm")</f>
        <v>November</v>
      </c>
      <c r="E324" s="9">
        <f>YEAR(Table4[[#This Row],[issue_date]])</f>
        <v>2023</v>
      </c>
      <c r="F324" t="s">
        <v>22</v>
      </c>
      <c r="G324">
        <v>26</v>
      </c>
      <c r="H324" t="s">
        <v>20</v>
      </c>
      <c r="I324" t="str">
        <f>VLOOKUP(Table4[[#This Row],[customer_id]],customers!A:G,4,)</f>
        <v>hyderabad</v>
      </c>
    </row>
    <row r="325" spans="1:9" x14ac:dyDescent="0.3">
      <c r="A325">
        <v>20324</v>
      </c>
      <c r="B325">
        <v>252</v>
      </c>
      <c r="C325" s="2">
        <v>44703</v>
      </c>
      <c r="D325" s="2" t="str">
        <f>TEXT(Table4[[#This Row],[issue_date]],"mmmm")</f>
        <v>May</v>
      </c>
      <c r="E325" s="9">
        <f>YEAR(Table4[[#This Row],[issue_date]])</f>
        <v>2022</v>
      </c>
      <c r="F325" t="s">
        <v>19</v>
      </c>
      <c r="G325">
        <v>65</v>
      </c>
      <c r="H325" t="s">
        <v>20</v>
      </c>
      <c r="I325" t="str">
        <f>VLOOKUP(Table4[[#This Row],[customer_id]],customers!A:G,4,)</f>
        <v>hyderabad</v>
      </c>
    </row>
    <row r="326" spans="1:9" x14ac:dyDescent="0.3">
      <c r="A326">
        <v>20325</v>
      </c>
      <c r="B326">
        <v>284</v>
      </c>
      <c r="C326" s="2">
        <v>45046</v>
      </c>
      <c r="D326" s="2" t="str">
        <f>TEXT(Table4[[#This Row],[issue_date]],"mmmm")</f>
        <v>April</v>
      </c>
      <c r="E326" s="9">
        <f>YEAR(Table4[[#This Row],[issue_date]])</f>
        <v>2023</v>
      </c>
      <c r="F326" t="s">
        <v>19</v>
      </c>
      <c r="G326">
        <v>2</v>
      </c>
      <c r="H326" t="s">
        <v>20</v>
      </c>
      <c r="I326" t="str">
        <f>VLOOKUP(Table4[[#This Row],[customer_id]],customers!A:G,4,)</f>
        <v>chennai</v>
      </c>
    </row>
    <row r="327" spans="1:9" x14ac:dyDescent="0.3">
      <c r="A327">
        <v>20326</v>
      </c>
      <c r="B327">
        <v>322</v>
      </c>
      <c r="C327" s="2">
        <v>44999</v>
      </c>
      <c r="D327" s="2" t="str">
        <f>TEXT(Table4[[#This Row],[issue_date]],"mmmm")</f>
        <v>March</v>
      </c>
      <c r="E327" s="9">
        <f>YEAR(Table4[[#This Row],[issue_date]])</f>
        <v>2023</v>
      </c>
      <c r="F327" t="s">
        <v>19</v>
      </c>
      <c r="G327">
        <v>45</v>
      </c>
      <c r="H327" t="s">
        <v>20</v>
      </c>
      <c r="I327" t="str">
        <f>VLOOKUP(Table4[[#This Row],[customer_id]],customers!A:G,4,)</f>
        <v>kolkata</v>
      </c>
    </row>
    <row r="328" spans="1:9" x14ac:dyDescent="0.3">
      <c r="A328">
        <v>20327</v>
      </c>
      <c r="B328">
        <v>98</v>
      </c>
      <c r="C328" s="2">
        <v>45331</v>
      </c>
      <c r="D328" s="2" t="str">
        <f>TEXT(Table4[[#This Row],[issue_date]],"mmmm")</f>
        <v>February</v>
      </c>
      <c r="E328" s="9">
        <f>YEAR(Table4[[#This Row],[issue_date]])</f>
        <v>2024</v>
      </c>
      <c r="F328" t="s">
        <v>19</v>
      </c>
      <c r="G328">
        <v>43</v>
      </c>
      <c r="H328" t="s">
        <v>20</v>
      </c>
      <c r="I328" t="str">
        <f>VLOOKUP(Table4[[#This Row],[customer_id]],customers!A:G,4,)</f>
        <v>chennai</v>
      </c>
    </row>
    <row r="329" spans="1:9" x14ac:dyDescent="0.3">
      <c r="A329">
        <v>20328</v>
      </c>
      <c r="B329">
        <v>60</v>
      </c>
      <c r="C329" s="2">
        <v>44649</v>
      </c>
      <c r="D329" s="2" t="str">
        <f>TEXT(Table4[[#This Row],[issue_date]],"mmmm")</f>
        <v>March</v>
      </c>
      <c r="E329" s="9">
        <f>YEAR(Table4[[#This Row],[issue_date]])</f>
        <v>2022</v>
      </c>
      <c r="F329" t="s">
        <v>21</v>
      </c>
      <c r="G329">
        <v>3</v>
      </c>
      <c r="H329" t="s">
        <v>20</v>
      </c>
      <c r="I329" t="str">
        <f>VLOOKUP(Table4[[#This Row],[customer_id]],customers!A:G,4,)</f>
        <v>hyderabad</v>
      </c>
    </row>
    <row r="330" spans="1:9" x14ac:dyDescent="0.3">
      <c r="A330">
        <v>20329</v>
      </c>
      <c r="B330">
        <v>230</v>
      </c>
      <c r="C330" s="2">
        <v>45024</v>
      </c>
      <c r="D330" s="2" t="str">
        <f>TEXT(Table4[[#This Row],[issue_date]],"mmmm")</f>
        <v>April</v>
      </c>
      <c r="E330" s="9">
        <f>YEAR(Table4[[#This Row],[issue_date]])</f>
        <v>2023</v>
      </c>
      <c r="F330" t="s">
        <v>22</v>
      </c>
      <c r="G330">
        <v>34</v>
      </c>
      <c r="H330" t="s">
        <v>20</v>
      </c>
      <c r="I330" t="str">
        <f>VLOOKUP(Table4[[#This Row],[customer_id]],customers!A:G,4,)</f>
        <v>chennai</v>
      </c>
    </row>
    <row r="331" spans="1:9" x14ac:dyDescent="0.3">
      <c r="A331">
        <v>20330</v>
      </c>
      <c r="B331">
        <v>384</v>
      </c>
      <c r="C331" s="2">
        <v>44609</v>
      </c>
      <c r="D331" s="2" t="str">
        <f>TEXT(Table4[[#This Row],[issue_date]],"mmmm")</f>
        <v>February</v>
      </c>
      <c r="E331" s="9">
        <f>YEAR(Table4[[#This Row],[issue_date]])</f>
        <v>2022</v>
      </c>
      <c r="F331" t="s">
        <v>22</v>
      </c>
      <c r="G331">
        <v>65</v>
      </c>
      <c r="H331" t="s">
        <v>20</v>
      </c>
      <c r="I331" t="str">
        <f>VLOOKUP(Table4[[#This Row],[customer_id]],customers!A:G,4,)</f>
        <v>chennai</v>
      </c>
    </row>
    <row r="332" spans="1:9" x14ac:dyDescent="0.3">
      <c r="A332">
        <v>20331</v>
      </c>
      <c r="B332">
        <v>131</v>
      </c>
      <c r="C332" s="2">
        <v>45042</v>
      </c>
      <c r="D332" s="2" t="str">
        <f>TEXT(Table4[[#This Row],[issue_date]],"mmmm")</f>
        <v>April</v>
      </c>
      <c r="E332" s="9">
        <f>YEAR(Table4[[#This Row],[issue_date]])</f>
        <v>2023</v>
      </c>
      <c r="F332" t="s">
        <v>19</v>
      </c>
      <c r="G332">
        <v>64</v>
      </c>
      <c r="H332" t="s">
        <v>20</v>
      </c>
      <c r="I332" t="str">
        <f>VLOOKUP(Table4[[#This Row],[customer_id]],customers!A:G,4,)</f>
        <v>kolkata</v>
      </c>
    </row>
    <row r="333" spans="1:9" x14ac:dyDescent="0.3">
      <c r="A333">
        <v>20332</v>
      </c>
      <c r="B333">
        <v>385</v>
      </c>
      <c r="C333" s="2">
        <v>45384</v>
      </c>
      <c r="D333" s="2" t="str">
        <f>TEXT(Table4[[#This Row],[issue_date]],"mmmm")</f>
        <v>April</v>
      </c>
      <c r="E333" s="9">
        <f>YEAR(Table4[[#This Row],[issue_date]])</f>
        <v>2024</v>
      </c>
      <c r="F333" t="s">
        <v>19</v>
      </c>
      <c r="G333">
        <v>7</v>
      </c>
      <c r="H333" t="s">
        <v>20</v>
      </c>
      <c r="I333" t="str">
        <f>VLOOKUP(Table4[[#This Row],[customer_id]],customers!A:G,4,)</f>
        <v>hyderabad</v>
      </c>
    </row>
    <row r="334" spans="1:9" x14ac:dyDescent="0.3">
      <c r="A334">
        <v>20333</v>
      </c>
      <c r="B334">
        <v>159</v>
      </c>
      <c r="C334" s="2">
        <v>45085</v>
      </c>
      <c r="D334" s="2" t="str">
        <f>TEXT(Table4[[#This Row],[issue_date]],"mmmm")</f>
        <v>June</v>
      </c>
      <c r="E334" s="9">
        <f>YEAR(Table4[[#This Row],[issue_date]])</f>
        <v>2023</v>
      </c>
      <c r="F334" t="s">
        <v>22</v>
      </c>
      <c r="G334">
        <v>35</v>
      </c>
      <c r="H334" t="s">
        <v>20</v>
      </c>
      <c r="I334" t="str">
        <f>VLOOKUP(Table4[[#This Row],[customer_id]],customers!A:G,4,)</f>
        <v>delhi</v>
      </c>
    </row>
    <row r="335" spans="1:9" x14ac:dyDescent="0.3">
      <c r="A335">
        <v>20334</v>
      </c>
      <c r="B335">
        <v>312</v>
      </c>
      <c r="C335" s="2">
        <v>44772</v>
      </c>
      <c r="D335" s="2" t="str">
        <f>TEXT(Table4[[#This Row],[issue_date]],"mmmm")</f>
        <v>July</v>
      </c>
      <c r="E335" s="9">
        <f>YEAR(Table4[[#This Row],[issue_date]])</f>
        <v>2022</v>
      </c>
      <c r="F335" t="s">
        <v>22</v>
      </c>
      <c r="G335">
        <v>22</v>
      </c>
      <c r="H335" t="s">
        <v>20</v>
      </c>
      <c r="I335" t="str">
        <f>VLOOKUP(Table4[[#This Row],[customer_id]],customers!A:G,4,)</f>
        <v>hyderabad</v>
      </c>
    </row>
    <row r="336" spans="1:9" x14ac:dyDescent="0.3">
      <c r="A336">
        <v>20335</v>
      </c>
      <c r="B336">
        <v>471</v>
      </c>
      <c r="C336" s="2">
        <v>44805</v>
      </c>
      <c r="D336" s="2" t="str">
        <f>TEXT(Table4[[#This Row],[issue_date]],"mmmm")</f>
        <v>September</v>
      </c>
      <c r="E336" s="9">
        <f>YEAR(Table4[[#This Row],[issue_date]])</f>
        <v>2022</v>
      </c>
      <c r="F336" t="s">
        <v>21</v>
      </c>
      <c r="G336">
        <v>48</v>
      </c>
      <c r="H336" t="s">
        <v>20</v>
      </c>
      <c r="I336" t="str">
        <f>VLOOKUP(Table4[[#This Row],[customer_id]],customers!A:G,4,)</f>
        <v>hyderabad</v>
      </c>
    </row>
    <row r="337" spans="1:9" x14ac:dyDescent="0.3">
      <c r="A337">
        <v>20336</v>
      </c>
      <c r="B337">
        <v>84</v>
      </c>
      <c r="C337" s="2">
        <v>44800</v>
      </c>
      <c r="D337" s="2" t="str">
        <f>TEXT(Table4[[#This Row],[issue_date]],"mmmm")</f>
        <v>August</v>
      </c>
      <c r="E337" s="9">
        <f>YEAR(Table4[[#This Row],[issue_date]])</f>
        <v>2022</v>
      </c>
      <c r="F337" t="s">
        <v>22</v>
      </c>
      <c r="G337">
        <v>32</v>
      </c>
      <c r="H337" t="s">
        <v>20</v>
      </c>
      <c r="I337" t="str">
        <f>VLOOKUP(Table4[[#This Row],[customer_id]],customers!A:G,4,)</f>
        <v>delhi</v>
      </c>
    </row>
    <row r="338" spans="1:9" x14ac:dyDescent="0.3">
      <c r="A338">
        <v>20337</v>
      </c>
      <c r="B338">
        <v>208</v>
      </c>
      <c r="C338" s="2">
        <v>44758</v>
      </c>
      <c r="D338" s="2" t="str">
        <f>TEXT(Table4[[#This Row],[issue_date]],"mmmm")</f>
        <v>July</v>
      </c>
      <c r="E338" s="9">
        <f>YEAR(Table4[[#This Row],[issue_date]])</f>
        <v>2022</v>
      </c>
      <c r="F338" t="s">
        <v>22</v>
      </c>
      <c r="G338">
        <v>26</v>
      </c>
      <c r="H338" t="s">
        <v>20</v>
      </c>
      <c r="I338" t="str">
        <f>VLOOKUP(Table4[[#This Row],[customer_id]],customers!A:G,4,)</f>
        <v>hyderabad</v>
      </c>
    </row>
    <row r="339" spans="1:9" x14ac:dyDescent="0.3">
      <c r="A339">
        <v>20338</v>
      </c>
      <c r="B339">
        <v>174</v>
      </c>
      <c r="C339" s="2">
        <v>45330</v>
      </c>
      <c r="D339" s="2" t="str">
        <f>TEXT(Table4[[#This Row],[issue_date]],"mmmm")</f>
        <v>February</v>
      </c>
      <c r="E339" s="9">
        <f>YEAR(Table4[[#This Row],[issue_date]])</f>
        <v>2024</v>
      </c>
      <c r="F339" t="s">
        <v>21</v>
      </c>
      <c r="G339">
        <v>6</v>
      </c>
      <c r="H339" t="s">
        <v>20</v>
      </c>
      <c r="I339" t="str">
        <f>VLOOKUP(Table4[[#This Row],[customer_id]],customers!A:G,4,)</f>
        <v>mumbai</v>
      </c>
    </row>
    <row r="340" spans="1:9" x14ac:dyDescent="0.3">
      <c r="A340">
        <v>20339</v>
      </c>
      <c r="B340">
        <v>288</v>
      </c>
      <c r="C340" s="2">
        <v>44796</v>
      </c>
      <c r="D340" s="2" t="str">
        <f>TEXT(Table4[[#This Row],[issue_date]],"mmmm")</f>
        <v>August</v>
      </c>
      <c r="E340" s="9">
        <f>YEAR(Table4[[#This Row],[issue_date]])</f>
        <v>2022</v>
      </c>
      <c r="F340" t="s">
        <v>21</v>
      </c>
      <c r="G340">
        <v>46</v>
      </c>
      <c r="H340" t="s">
        <v>20</v>
      </c>
      <c r="I340" t="str">
        <f>VLOOKUP(Table4[[#This Row],[customer_id]],customers!A:G,4,)</f>
        <v>kolkata</v>
      </c>
    </row>
    <row r="341" spans="1:9" x14ac:dyDescent="0.3">
      <c r="A341">
        <v>20340</v>
      </c>
      <c r="B341">
        <v>81</v>
      </c>
      <c r="C341" s="2">
        <v>44748</v>
      </c>
      <c r="D341" s="2" t="str">
        <f>TEXT(Table4[[#This Row],[issue_date]],"mmmm")</f>
        <v>July</v>
      </c>
      <c r="E341" s="9">
        <f>YEAR(Table4[[#This Row],[issue_date]])</f>
        <v>2022</v>
      </c>
      <c r="F341" t="s">
        <v>21</v>
      </c>
      <c r="G341">
        <v>55</v>
      </c>
      <c r="H341" t="s">
        <v>20</v>
      </c>
      <c r="I341" t="str">
        <f>VLOOKUP(Table4[[#This Row],[customer_id]],customers!A:G,4,)</f>
        <v>chennai</v>
      </c>
    </row>
    <row r="342" spans="1:9" x14ac:dyDescent="0.3">
      <c r="A342">
        <v>20341</v>
      </c>
      <c r="B342">
        <v>18</v>
      </c>
      <c r="C342" s="2">
        <v>45274</v>
      </c>
      <c r="D342" s="2" t="str">
        <f>TEXT(Table4[[#This Row],[issue_date]],"mmmm")</f>
        <v>December</v>
      </c>
      <c r="E342" s="9">
        <f>YEAR(Table4[[#This Row],[issue_date]])</f>
        <v>2023</v>
      </c>
      <c r="F342" t="s">
        <v>22</v>
      </c>
      <c r="G342">
        <v>55</v>
      </c>
      <c r="H342" t="s">
        <v>20</v>
      </c>
      <c r="I342" t="str">
        <f>VLOOKUP(Table4[[#This Row],[customer_id]],customers!A:G,4,)</f>
        <v>delhi</v>
      </c>
    </row>
    <row r="343" spans="1:9" x14ac:dyDescent="0.3">
      <c r="A343">
        <v>20342</v>
      </c>
      <c r="B343">
        <v>196</v>
      </c>
      <c r="C343" s="2">
        <v>45176</v>
      </c>
      <c r="D343" s="2" t="str">
        <f>TEXT(Table4[[#This Row],[issue_date]],"mmmm")</f>
        <v>September</v>
      </c>
      <c r="E343" s="9">
        <f>YEAR(Table4[[#This Row],[issue_date]])</f>
        <v>2023</v>
      </c>
      <c r="F343" t="s">
        <v>22</v>
      </c>
      <c r="G343">
        <v>57</v>
      </c>
      <c r="H343" t="s">
        <v>23</v>
      </c>
      <c r="I343" t="str">
        <f>VLOOKUP(Table4[[#This Row],[customer_id]],customers!A:G,4,)</f>
        <v>kolkata</v>
      </c>
    </row>
    <row r="344" spans="1:9" x14ac:dyDescent="0.3">
      <c r="A344">
        <v>20343</v>
      </c>
      <c r="B344">
        <v>291</v>
      </c>
      <c r="C344" s="2">
        <v>44851</v>
      </c>
      <c r="D344" s="2" t="str">
        <f>TEXT(Table4[[#This Row],[issue_date]],"mmmm")</f>
        <v>October</v>
      </c>
      <c r="E344" s="9">
        <f>YEAR(Table4[[#This Row],[issue_date]])</f>
        <v>2022</v>
      </c>
      <c r="F344" t="s">
        <v>22</v>
      </c>
      <c r="G344">
        <v>63</v>
      </c>
      <c r="H344" t="s">
        <v>20</v>
      </c>
      <c r="I344" t="str">
        <f>VLOOKUP(Table4[[#This Row],[customer_id]],customers!A:G,4,)</f>
        <v>mumbai</v>
      </c>
    </row>
    <row r="345" spans="1:9" x14ac:dyDescent="0.3">
      <c r="A345">
        <v>20344</v>
      </c>
      <c r="B345">
        <v>360</v>
      </c>
      <c r="C345" s="2">
        <v>44782</v>
      </c>
      <c r="D345" s="2" t="str">
        <f>TEXT(Table4[[#This Row],[issue_date]],"mmmm")</f>
        <v>August</v>
      </c>
      <c r="E345" s="9">
        <f>YEAR(Table4[[#This Row],[issue_date]])</f>
        <v>2022</v>
      </c>
      <c r="F345" t="s">
        <v>21</v>
      </c>
      <c r="G345">
        <v>1</v>
      </c>
      <c r="H345" t="s">
        <v>20</v>
      </c>
      <c r="I345" t="str">
        <f>VLOOKUP(Table4[[#This Row],[customer_id]],customers!A:G,4,)</f>
        <v>hyderabad</v>
      </c>
    </row>
    <row r="346" spans="1:9" x14ac:dyDescent="0.3">
      <c r="A346">
        <v>20345</v>
      </c>
      <c r="B346">
        <v>356</v>
      </c>
      <c r="C346" s="2">
        <v>45058</v>
      </c>
      <c r="D346" s="2" t="str">
        <f>TEXT(Table4[[#This Row],[issue_date]],"mmmm")</f>
        <v>May</v>
      </c>
      <c r="E346" s="9">
        <f>YEAR(Table4[[#This Row],[issue_date]])</f>
        <v>2023</v>
      </c>
      <c r="F346" t="s">
        <v>22</v>
      </c>
      <c r="G346">
        <v>21</v>
      </c>
      <c r="H346" t="s">
        <v>20</v>
      </c>
      <c r="I346" t="str">
        <f>VLOOKUP(Table4[[#This Row],[customer_id]],customers!A:G,4,)</f>
        <v>bangalore</v>
      </c>
    </row>
    <row r="347" spans="1:9" x14ac:dyDescent="0.3">
      <c r="A347">
        <v>20346</v>
      </c>
      <c r="B347">
        <v>279</v>
      </c>
      <c r="C347" s="2">
        <v>45057</v>
      </c>
      <c r="D347" s="2" t="str">
        <f>TEXT(Table4[[#This Row],[issue_date]],"mmmm")</f>
        <v>May</v>
      </c>
      <c r="E347" s="9">
        <f>YEAR(Table4[[#This Row],[issue_date]])</f>
        <v>2023</v>
      </c>
      <c r="F347" t="s">
        <v>22</v>
      </c>
      <c r="G347">
        <v>20</v>
      </c>
      <c r="H347" t="s">
        <v>20</v>
      </c>
      <c r="I347" t="str">
        <f>VLOOKUP(Table4[[#This Row],[customer_id]],customers!A:G,4,)</f>
        <v>delhi</v>
      </c>
    </row>
    <row r="348" spans="1:9" x14ac:dyDescent="0.3">
      <c r="A348">
        <v>20347</v>
      </c>
      <c r="B348">
        <v>463</v>
      </c>
      <c r="C348" s="2">
        <v>45441</v>
      </c>
      <c r="D348" s="2" t="str">
        <f>TEXT(Table4[[#This Row],[issue_date]],"mmmm")</f>
        <v>May</v>
      </c>
      <c r="E348" s="9">
        <f>YEAR(Table4[[#This Row],[issue_date]])</f>
        <v>2024</v>
      </c>
      <c r="F348" t="s">
        <v>21</v>
      </c>
      <c r="G348">
        <v>29</v>
      </c>
      <c r="H348" t="s">
        <v>20</v>
      </c>
      <c r="I348" t="str">
        <f>VLOOKUP(Table4[[#This Row],[customer_id]],customers!A:G,4,)</f>
        <v>delhi</v>
      </c>
    </row>
    <row r="349" spans="1:9" x14ac:dyDescent="0.3">
      <c r="A349">
        <v>20348</v>
      </c>
      <c r="B349">
        <v>397</v>
      </c>
      <c r="C349" s="2">
        <v>44863</v>
      </c>
      <c r="D349" s="2" t="str">
        <f>TEXT(Table4[[#This Row],[issue_date]],"mmmm")</f>
        <v>October</v>
      </c>
      <c r="E349" s="9">
        <f>YEAR(Table4[[#This Row],[issue_date]])</f>
        <v>2022</v>
      </c>
      <c r="F349" t="s">
        <v>19</v>
      </c>
      <c r="G349">
        <v>43</v>
      </c>
      <c r="H349" t="s">
        <v>20</v>
      </c>
      <c r="I349" t="str">
        <f>VLOOKUP(Table4[[#This Row],[customer_id]],customers!A:G,4,)</f>
        <v>bangalore</v>
      </c>
    </row>
    <row r="350" spans="1:9" x14ac:dyDescent="0.3">
      <c r="A350">
        <v>20349</v>
      </c>
      <c r="B350">
        <v>462</v>
      </c>
      <c r="C350" s="2">
        <v>44748</v>
      </c>
      <c r="D350" s="2" t="str">
        <f>TEXT(Table4[[#This Row],[issue_date]],"mmmm")</f>
        <v>July</v>
      </c>
      <c r="E350" s="9">
        <f>YEAR(Table4[[#This Row],[issue_date]])</f>
        <v>2022</v>
      </c>
      <c r="F350" t="s">
        <v>19</v>
      </c>
      <c r="G350">
        <v>45</v>
      </c>
      <c r="H350" t="s">
        <v>20</v>
      </c>
      <c r="I350" t="str">
        <f>VLOOKUP(Table4[[#This Row],[customer_id]],customers!A:G,4,)</f>
        <v>hyderabad</v>
      </c>
    </row>
    <row r="351" spans="1:9" x14ac:dyDescent="0.3">
      <c r="A351">
        <v>20350</v>
      </c>
      <c r="B351">
        <v>254</v>
      </c>
      <c r="C351" s="2">
        <v>45011</v>
      </c>
      <c r="D351" s="2" t="str">
        <f>TEXT(Table4[[#This Row],[issue_date]],"mmmm")</f>
        <v>March</v>
      </c>
      <c r="E351" s="9">
        <f>YEAR(Table4[[#This Row],[issue_date]])</f>
        <v>2023</v>
      </c>
      <c r="F351" t="s">
        <v>22</v>
      </c>
      <c r="G351">
        <v>65</v>
      </c>
      <c r="H351" t="s">
        <v>23</v>
      </c>
      <c r="I351" t="str">
        <f>VLOOKUP(Table4[[#This Row],[customer_id]],customers!A:G,4,)</f>
        <v>bangalore</v>
      </c>
    </row>
    <row r="352" spans="1:9" x14ac:dyDescent="0.3">
      <c r="A352">
        <v>20351</v>
      </c>
      <c r="B352">
        <v>142</v>
      </c>
      <c r="C352" s="2">
        <v>44973</v>
      </c>
      <c r="D352" s="2" t="str">
        <f>TEXT(Table4[[#This Row],[issue_date]],"mmmm")</f>
        <v>February</v>
      </c>
      <c r="E352" s="9">
        <f>YEAR(Table4[[#This Row],[issue_date]])</f>
        <v>2023</v>
      </c>
      <c r="F352" t="s">
        <v>21</v>
      </c>
      <c r="G352">
        <v>3</v>
      </c>
      <c r="H352" t="s">
        <v>20</v>
      </c>
      <c r="I352" t="str">
        <f>VLOOKUP(Table4[[#This Row],[customer_id]],customers!A:G,4,)</f>
        <v>kolkata</v>
      </c>
    </row>
    <row r="353" spans="1:9" x14ac:dyDescent="0.3">
      <c r="A353">
        <v>20352</v>
      </c>
      <c r="B353">
        <v>165</v>
      </c>
      <c r="C353" s="2">
        <v>45172</v>
      </c>
      <c r="D353" s="2" t="str">
        <f>TEXT(Table4[[#This Row],[issue_date]],"mmmm")</f>
        <v>September</v>
      </c>
      <c r="E353" s="9">
        <f>YEAR(Table4[[#This Row],[issue_date]])</f>
        <v>2023</v>
      </c>
      <c r="F353" t="s">
        <v>21</v>
      </c>
      <c r="G353">
        <v>20</v>
      </c>
      <c r="H353" t="s">
        <v>20</v>
      </c>
      <c r="I353" t="str">
        <f>VLOOKUP(Table4[[#This Row],[customer_id]],customers!A:G,4,)</f>
        <v>mumbai</v>
      </c>
    </row>
    <row r="354" spans="1:9" x14ac:dyDescent="0.3">
      <c r="A354">
        <v>20353</v>
      </c>
      <c r="B354">
        <v>5</v>
      </c>
      <c r="C354" s="2">
        <v>44806</v>
      </c>
      <c r="D354" s="2" t="str">
        <f>TEXT(Table4[[#This Row],[issue_date]],"mmmm")</f>
        <v>September</v>
      </c>
      <c r="E354" s="9">
        <f>YEAR(Table4[[#This Row],[issue_date]])</f>
        <v>2022</v>
      </c>
      <c r="F354" t="s">
        <v>22</v>
      </c>
      <c r="G354">
        <v>37</v>
      </c>
      <c r="H354" t="s">
        <v>20</v>
      </c>
      <c r="I354" t="str">
        <f>VLOOKUP(Table4[[#This Row],[customer_id]],customers!A:G,4,)</f>
        <v>delhi</v>
      </c>
    </row>
    <row r="355" spans="1:9" x14ac:dyDescent="0.3">
      <c r="A355">
        <v>20354</v>
      </c>
      <c r="B355">
        <v>251</v>
      </c>
      <c r="C355" s="2">
        <v>44874</v>
      </c>
      <c r="D355" s="2" t="str">
        <f>TEXT(Table4[[#This Row],[issue_date]],"mmmm")</f>
        <v>November</v>
      </c>
      <c r="E355" s="9">
        <f>YEAR(Table4[[#This Row],[issue_date]])</f>
        <v>2022</v>
      </c>
      <c r="F355" t="s">
        <v>22</v>
      </c>
      <c r="G355">
        <v>38</v>
      </c>
      <c r="H355" t="s">
        <v>23</v>
      </c>
      <c r="I355" t="str">
        <f>VLOOKUP(Table4[[#This Row],[customer_id]],customers!A:G,4,)</f>
        <v>kolkata</v>
      </c>
    </row>
    <row r="356" spans="1:9" x14ac:dyDescent="0.3">
      <c r="A356">
        <v>20355</v>
      </c>
      <c r="B356">
        <v>150</v>
      </c>
      <c r="C356" s="2">
        <v>45380</v>
      </c>
      <c r="D356" s="2" t="str">
        <f>TEXT(Table4[[#This Row],[issue_date]],"mmmm")</f>
        <v>March</v>
      </c>
      <c r="E356" s="9">
        <f>YEAR(Table4[[#This Row],[issue_date]])</f>
        <v>2024</v>
      </c>
      <c r="F356" t="s">
        <v>19</v>
      </c>
      <c r="G356">
        <v>45</v>
      </c>
      <c r="H356" t="s">
        <v>20</v>
      </c>
      <c r="I356" t="str">
        <f>VLOOKUP(Table4[[#This Row],[customer_id]],customers!A:G,4,)</f>
        <v>bangalore</v>
      </c>
    </row>
    <row r="357" spans="1:9" x14ac:dyDescent="0.3">
      <c r="A357">
        <v>20356</v>
      </c>
      <c r="B357">
        <v>28</v>
      </c>
      <c r="C357" s="2">
        <v>45057</v>
      </c>
      <c r="D357" s="2" t="str">
        <f>TEXT(Table4[[#This Row],[issue_date]],"mmmm")</f>
        <v>May</v>
      </c>
      <c r="E357" s="9">
        <f>YEAR(Table4[[#This Row],[issue_date]])</f>
        <v>2023</v>
      </c>
      <c r="F357" t="s">
        <v>21</v>
      </c>
      <c r="G357">
        <v>42</v>
      </c>
      <c r="H357" t="s">
        <v>20</v>
      </c>
      <c r="I357" t="str">
        <f>VLOOKUP(Table4[[#This Row],[customer_id]],customers!A:G,4,)</f>
        <v>delhi</v>
      </c>
    </row>
    <row r="358" spans="1:9" x14ac:dyDescent="0.3">
      <c r="A358">
        <v>20357</v>
      </c>
      <c r="B358">
        <v>237</v>
      </c>
      <c r="C358" s="2">
        <v>44583</v>
      </c>
      <c r="D358" s="2" t="str">
        <f>TEXT(Table4[[#This Row],[issue_date]],"mmmm")</f>
        <v>January</v>
      </c>
      <c r="E358" s="9">
        <f>YEAR(Table4[[#This Row],[issue_date]])</f>
        <v>2022</v>
      </c>
      <c r="F358" t="s">
        <v>22</v>
      </c>
      <c r="G358">
        <v>46</v>
      </c>
      <c r="H358" t="s">
        <v>23</v>
      </c>
      <c r="I358" t="str">
        <f>VLOOKUP(Table4[[#This Row],[customer_id]],customers!A:G,4,)</f>
        <v>chennai</v>
      </c>
    </row>
    <row r="359" spans="1:9" x14ac:dyDescent="0.3">
      <c r="A359">
        <v>20358</v>
      </c>
      <c r="B359">
        <v>132</v>
      </c>
      <c r="C359" s="2">
        <v>44629</v>
      </c>
      <c r="D359" s="2" t="str">
        <f>TEXT(Table4[[#This Row],[issue_date]],"mmmm")</f>
        <v>March</v>
      </c>
      <c r="E359" s="9">
        <f>YEAR(Table4[[#This Row],[issue_date]])</f>
        <v>2022</v>
      </c>
      <c r="F359" t="s">
        <v>21</v>
      </c>
      <c r="G359">
        <v>60</v>
      </c>
      <c r="H359" t="s">
        <v>20</v>
      </c>
      <c r="I359" t="str">
        <f>VLOOKUP(Table4[[#This Row],[customer_id]],customers!A:G,4,)</f>
        <v>hyderabad</v>
      </c>
    </row>
    <row r="360" spans="1:9" x14ac:dyDescent="0.3">
      <c r="A360">
        <v>20359</v>
      </c>
      <c r="B360">
        <v>306</v>
      </c>
      <c r="C360" s="2">
        <v>44953</v>
      </c>
      <c r="D360" s="2" t="str">
        <f>TEXT(Table4[[#This Row],[issue_date]],"mmmm")</f>
        <v>January</v>
      </c>
      <c r="E360" s="9">
        <f>YEAR(Table4[[#This Row],[issue_date]])</f>
        <v>2023</v>
      </c>
      <c r="F360" t="s">
        <v>22</v>
      </c>
      <c r="G360">
        <v>13</v>
      </c>
      <c r="H360" t="s">
        <v>20</v>
      </c>
      <c r="I360" t="str">
        <f>VLOOKUP(Table4[[#This Row],[customer_id]],customers!A:G,4,)</f>
        <v>bangalore</v>
      </c>
    </row>
    <row r="361" spans="1:9" x14ac:dyDescent="0.3">
      <c r="A361">
        <v>20360</v>
      </c>
      <c r="B361">
        <v>358</v>
      </c>
      <c r="C361" s="2">
        <v>44877</v>
      </c>
      <c r="D361" s="2" t="str">
        <f>TEXT(Table4[[#This Row],[issue_date]],"mmmm")</f>
        <v>November</v>
      </c>
      <c r="E361" s="9">
        <f>YEAR(Table4[[#This Row],[issue_date]])</f>
        <v>2022</v>
      </c>
      <c r="F361" t="s">
        <v>19</v>
      </c>
      <c r="G361">
        <v>31</v>
      </c>
      <c r="H361" t="s">
        <v>20</v>
      </c>
      <c r="I361" t="str">
        <f>VLOOKUP(Table4[[#This Row],[customer_id]],customers!A:G,4,)</f>
        <v>mumbai</v>
      </c>
    </row>
    <row r="362" spans="1:9" x14ac:dyDescent="0.3">
      <c r="A362">
        <v>20361</v>
      </c>
      <c r="B362">
        <v>285</v>
      </c>
      <c r="C362" s="2">
        <v>44626</v>
      </c>
      <c r="D362" s="2" t="str">
        <f>TEXT(Table4[[#This Row],[issue_date]],"mmmm")</f>
        <v>March</v>
      </c>
      <c r="E362" s="9">
        <f>YEAR(Table4[[#This Row],[issue_date]])</f>
        <v>2022</v>
      </c>
      <c r="F362" t="s">
        <v>22</v>
      </c>
      <c r="G362">
        <v>68</v>
      </c>
      <c r="H362" t="s">
        <v>20</v>
      </c>
      <c r="I362" t="str">
        <f>VLOOKUP(Table4[[#This Row],[customer_id]],customers!A:G,4,)</f>
        <v>hyderabad</v>
      </c>
    </row>
    <row r="363" spans="1:9" x14ac:dyDescent="0.3">
      <c r="A363">
        <v>20362</v>
      </c>
      <c r="B363">
        <v>293</v>
      </c>
      <c r="C363" s="2">
        <v>45365</v>
      </c>
      <c r="D363" s="2" t="str">
        <f>TEXT(Table4[[#This Row],[issue_date]],"mmmm")</f>
        <v>March</v>
      </c>
      <c r="E363" s="9">
        <f>YEAR(Table4[[#This Row],[issue_date]])</f>
        <v>2024</v>
      </c>
      <c r="F363" t="s">
        <v>19</v>
      </c>
      <c r="G363">
        <v>62</v>
      </c>
      <c r="H363" t="s">
        <v>20</v>
      </c>
      <c r="I363" t="str">
        <f>VLOOKUP(Table4[[#This Row],[customer_id]],customers!A:G,4,)</f>
        <v>chennai</v>
      </c>
    </row>
    <row r="364" spans="1:9" x14ac:dyDescent="0.3">
      <c r="A364">
        <v>20363</v>
      </c>
      <c r="B364">
        <v>163</v>
      </c>
      <c r="C364" s="2">
        <v>45290</v>
      </c>
      <c r="D364" s="2" t="str">
        <f>TEXT(Table4[[#This Row],[issue_date]],"mmmm")</f>
        <v>December</v>
      </c>
      <c r="E364" s="9">
        <f>YEAR(Table4[[#This Row],[issue_date]])</f>
        <v>2023</v>
      </c>
      <c r="F364" t="s">
        <v>19</v>
      </c>
      <c r="G364">
        <v>49</v>
      </c>
      <c r="H364" t="s">
        <v>20</v>
      </c>
      <c r="I364" t="str">
        <f>VLOOKUP(Table4[[#This Row],[customer_id]],customers!A:G,4,)</f>
        <v>hyderabad</v>
      </c>
    </row>
    <row r="365" spans="1:9" x14ac:dyDescent="0.3">
      <c r="A365">
        <v>20364</v>
      </c>
      <c r="B365">
        <v>404</v>
      </c>
      <c r="C365" s="2">
        <v>45102</v>
      </c>
      <c r="D365" s="2" t="str">
        <f>TEXT(Table4[[#This Row],[issue_date]],"mmmm")</f>
        <v>June</v>
      </c>
      <c r="E365" s="9">
        <f>YEAR(Table4[[#This Row],[issue_date]])</f>
        <v>2023</v>
      </c>
      <c r="F365" t="s">
        <v>22</v>
      </c>
      <c r="G365">
        <v>18</v>
      </c>
      <c r="H365" t="s">
        <v>20</v>
      </c>
      <c r="I365" t="str">
        <f>VLOOKUP(Table4[[#This Row],[customer_id]],customers!A:G,4,)</f>
        <v>hyderabad</v>
      </c>
    </row>
    <row r="366" spans="1:9" x14ac:dyDescent="0.3">
      <c r="A366">
        <v>20365</v>
      </c>
      <c r="B366">
        <v>419</v>
      </c>
      <c r="C366" s="2">
        <v>45266</v>
      </c>
      <c r="D366" s="2" t="str">
        <f>TEXT(Table4[[#This Row],[issue_date]],"mmmm")</f>
        <v>December</v>
      </c>
      <c r="E366" s="9">
        <f>YEAR(Table4[[#This Row],[issue_date]])</f>
        <v>2023</v>
      </c>
      <c r="F366" t="s">
        <v>22</v>
      </c>
      <c r="G366">
        <v>53</v>
      </c>
      <c r="H366" t="s">
        <v>23</v>
      </c>
      <c r="I366" t="str">
        <f>VLOOKUP(Table4[[#This Row],[customer_id]],customers!A:G,4,)</f>
        <v>kolkata</v>
      </c>
    </row>
    <row r="367" spans="1:9" x14ac:dyDescent="0.3">
      <c r="A367">
        <v>20366</v>
      </c>
      <c r="B367">
        <v>227</v>
      </c>
      <c r="C367" s="2">
        <v>45129</v>
      </c>
      <c r="D367" s="2" t="str">
        <f>TEXT(Table4[[#This Row],[issue_date]],"mmmm")</f>
        <v>July</v>
      </c>
      <c r="E367" s="9">
        <f>YEAR(Table4[[#This Row],[issue_date]])</f>
        <v>2023</v>
      </c>
      <c r="F367" t="s">
        <v>19</v>
      </c>
      <c r="G367">
        <v>18</v>
      </c>
      <c r="H367" t="s">
        <v>20</v>
      </c>
      <c r="I367" t="str">
        <f>VLOOKUP(Table4[[#This Row],[customer_id]],customers!A:G,4,)</f>
        <v>bangalore</v>
      </c>
    </row>
    <row r="368" spans="1:9" x14ac:dyDescent="0.3">
      <c r="A368">
        <v>20367</v>
      </c>
      <c r="B368">
        <v>468</v>
      </c>
      <c r="C368" s="2">
        <v>45411</v>
      </c>
      <c r="D368" s="2" t="str">
        <f>TEXT(Table4[[#This Row],[issue_date]],"mmmm")</f>
        <v>April</v>
      </c>
      <c r="E368" s="9">
        <f>YEAR(Table4[[#This Row],[issue_date]])</f>
        <v>2024</v>
      </c>
      <c r="F368" t="s">
        <v>21</v>
      </c>
      <c r="G368">
        <v>51</v>
      </c>
      <c r="H368" t="s">
        <v>20</v>
      </c>
      <c r="I368" t="str">
        <f>VLOOKUP(Table4[[#This Row],[customer_id]],customers!A:G,4,)</f>
        <v>mumbai</v>
      </c>
    </row>
    <row r="369" spans="1:9" x14ac:dyDescent="0.3">
      <c r="A369">
        <v>20368</v>
      </c>
      <c r="B369">
        <v>130</v>
      </c>
      <c r="C369" s="2">
        <v>45461</v>
      </c>
      <c r="D369" s="2" t="str">
        <f>TEXT(Table4[[#This Row],[issue_date]],"mmmm")</f>
        <v>June</v>
      </c>
      <c r="E369" s="9">
        <f>YEAR(Table4[[#This Row],[issue_date]])</f>
        <v>2024</v>
      </c>
      <c r="F369" t="s">
        <v>21</v>
      </c>
      <c r="G369">
        <v>41</v>
      </c>
      <c r="H369" t="s">
        <v>20</v>
      </c>
      <c r="I369" t="str">
        <f>VLOOKUP(Table4[[#This Row],[customer_id]],customers!A:G,4,)</f>
        <v>kolkata</v>
      </c>
    </row>
    <row r="370" spans="1:9" x14ac:dyDescent="0.3">
      <c r="A370">
        <v>20369</v>
      </c>
      <c r="B370">
        <v>372</v>
      </c>
      <c r="C370" s="2">
        <v>44773</v>
      </c>
      <c r="D370" s="2" t="str">
        <f>TEXT(Table4[[#This Row],[issue_date]],"mmmm")</f>
        <v>July</v>
      </c>
      <c r="E370" s="9">
        <f>YEAR(Table4[[#This Row],[issue_date]])</f>
        <v>2022</v>
      </c>
      <c r="F370" t="s">
        <v>19</v>
      </c>
      <c r="G370">
        <v>67</v>
      </c>
      <c r="H370" t="s">
        <v>20</v>
      </c>
      <c r="I370" t="str">
        <f>VLOOKUP(Table4[[#This Row],[customer_id]],customers!A:G,4,)</f>
        <v>chennai</v>
      </c>
    </row>
    <row r="371" spans="1:9" x14ac:dyDescent="0.3">
      <c r="A371">
        <v>20370</v>
      </c>
      <c r="B371">
        <v>58</v>
      </c>
      <c r="C371" s="2">
        <v>45311</v>
      </c>
      <c r="D371" s="2" t="str">
        <f>TEXT(Table4[[#This Row],[issue_date]],"mmmm")</f>
        <v>January</v>
      </c>
      <c r="E371" s="9">
        <f>YEAR(Table4[[#This Row],[issue_date]])</f>
        <v>2024</v>
      </c>
      <c r="F371" t="s">
        <v>19</v>
      </c>
      <c r="G371">
        <v>65</v>
      </c>
      <c r="H371" t="s">
        <v>20</v>
      </c>
      <c r="I371" t="str">
        <f>VLOOKUP(Table4[[#This Row],[customer_id]],customers!A:G,4,)</f>
        <v>bangalore</v>
      </c>
    </row>
    <row r="372" spans="1:9" x14ac:dyDescent="0.3">
      <c r="A372">
        <v>20371</v>
      </c>
      <c r="B372">
        <v>146</v>
      </c>
      <c r="C372" s="2">
        <v>44761</v>
      </c>
      <c r="D372" s="2" t="str">
        <f>TEXT(Table4[[#This Row],[issue_date]],"mmmm")</f>
        <v>July</v>
      </c>
      <c r="E372" s="9">
        <f>YEAR(Table4[[#This Row],[issue_date]])</f>
        <v>2022</v>
      </c>
      <c r="F372" t="s">
        <v>22</v>
      </c>
      <c r="G372">
        <v>6</v>
      </c>
      <c r="H372" t="s">
        <v>23</v>
      </c>
      <c r="I372" t="str">
        <f>VLOOKUP(Table4[[#This Row],[customer_id]],customers!A:G,4,)</f>
        <v>mumbai</v>
      </c>
    </row>
    <row r="373" spans="1:9" x14ac:dyDescent="0.3">
      <c r="A373">
        <v>20372</v>
      </c>
      <c r="B373">
        <v>478</v>
      </c>
      <c r="C373" s="2">
        <v>44739</v>
      </c>
      <c r="D373" s="2" t="str">
        <f>TEXT(Table4[[#This Row],[issue_date]],"mmmm")</f>
        <v>June</v>
      </c>
      <c r="E373" s="9">
        <f>YEAR(Table4[[#This Row],[issue_date]])</f>
        <v>2022</v>
      </c>
      <c r="F373" t="s">
        <v>22</v>
      </c>
      <c r="G373">
        <v>37</v>
      </c>
      <c r="H373" t="s">
        <v>20</v>
      </c>
      <c r="I373" t="str">
        <f>VLOOKUP(Table4[[#This Row],[customer_id]],customers!A:G,4,)</f>
        <v>chennai</v>
      </c>
    </row>
    <row r="374" spans="1:9" x14ac:dyDescent="0.3">
      <c r="A374">
        <v>20373</v>
      </c>
      <c r="B374">
        <v>362</v>
      </c>
      <c r="C374" s="2">
        <v>44984</v>
      </c>
      <c r="D374" s="2" t="str">
        <f>TEXT(Table4[[#This Row],[issue_date]],"mmmm")</f>
        <v>February</v>
      </c>
      <c r="E374" s="9">
        <f>YEAR(Table4[[#This Row],[issue_date]])</f>
        <v>2023</v>
      </c>
      <c r="F374" t="s">
        <v>19</v>
      </c>
      <c r="G374">
        <v>12</v>
      </c>
      <c r="H374" t="s">
        <v>20</v>
      </c>
      <c r="I374" t="str">
        <f>VLOOKUP(Table4[[#This Row],[customer_id]],customers!A:G,4,)</f>
        <v>delhi</v>
      </c>
    </row>
    <row r="375" spans="1:9" x14ac:dyDescent="0.3">
      <c r="A375">
        <v>20374</v>
      </c>
      <c r="B375">
        <v>312</v>
      </c>
      <c r="C375" s="2">
        <v>45226</v>
      </c>
      <c r="D375" s="2" t="str">
        <f>TEXT(Table4[[#This Row],[issue_date]],"mmmm")</f>
        <v>October</v>
      </c>
      <c r="E375" s="9">
        <f>YEAR(Table4[[#This Row],[issue_date]])</f>
        <v>2023</v>
      </c>
      <c r="F375" t="s">
        <v>19</v>
      </c>
      <c r="G375">
        <v>2</v>
      </c>
      <c r="H375" t="s">
        <v>23</v>
      </c>
      <c r="I375" t="str">
        <f>VLOOKUP(Table4[[#This Row],[customer_id]],customers!A:G,4,)</f>
        <v>hyderabad</v>
      </c>
    </row>
    <row r="376" spans="1:9" x14ac:dyDescent="0.3">
      <c r="A376">
        <v>20375</v>
      </c>
      <c r="B376">
        <v>122</v>
      </c>
      <c r="C376" s="2">
        <v>45023</v>
      </c>
      <c r="D376" s="2" t="str">
        <f>TEXT(Table4[[#This Row],[issue_date]],"mmmm")</f>
        <v>April</v>
      </c>
      <c r="E376" s="9">
        <f>YEAR(Table4[[#This Row],[issue_date]])</f>
        <v>2023</v>
      </c>
      <c r="F376" t="s">
        <v>21</v>
      </c>
      <c r="G376">
        <v>53</v>
      </c>
      <c r="H376" t="s">
        <v>20</v>
      </c>
      <c r="I376" t="str">
        <f>VLOOKUP(Table4[[#This Row],[customer_id]],customers!A:G,4,)</f>
        <v>hyderabad</v>
      </c>
    </row>
    <row r="377" spans="1:9" x14ac:dyDescent="0.3">
      <c r="A377">
        <v>20376</v>
      </c>
      <c r="B377">
        <v>192</v>
      </c>
      <c r="C377" s="2">
        <v>44605</v>
      </c>
      <c r="D377" s="2" t="str">
        <f>TEXT(Table4[[#This Row],[issue_date]],"mmmm")</f>
        <v>February</v>
      </c>
      <c r="E377" s="9">
        <f>YEAR(Table4[[#This Row],[issue_date]])</f>
        <v>2022</v>
      </c>
      <c r="F377" t="s">
        <v>21</v>
      </c>
      <c r="G377">
        <v>25</v>
      </c>
      <c r="H377" t="s">
        <v>20</v>
      </c>
      <c r="I377" t="str">
        <f>VLOOKUP(Table4[[#This Row],[customer_id]],customers!A:G,4,)</f>
        <v>mumbai</v>
      </c>
    </row>
    <row r="378" spans="1:9" x14ac:dyDescent="0.3">
      <c r="A378">
        <v>20377</v>
      </c>
      <c r="B378">
        <v>245</v>
      </c>
      <c r="C378" s="2">
        <v>44992</v>
      </c>
      <c r="D378" s="2" t="str">
        <f>TEXT(Table4[[#This Row],[issue_date]],"mmmm")</f>
        <v>March</v>
      </c>
      <c r="E378" s="9">
        <f>YEAR(Table4[[#This Row],[issue_date]])</f>
        <v>2023</v>
      </c>
      <c r="F378" t="s">
        <v>21</v>
      </c>
      <c r="G378">
        <v>28</v>
      </c>
      <c r="H378" t="s">
        <v>23</v>
      </c>
      <c r="I378" t="str">
        <f>VLOOKUP(Table4[[#This Row],[customer_id]],customers!A:G,4,)</f>
        <v>delhi</v>
      </c>
    </row>
    <row r="379" spans="1:9" x14ac:dyDescent="0.3">
      <c r="A379">
        <v>20378</v>
      </c>
      <c r="B379">
        <v>477</v>
      </c>
      <c r="C379" s="2">
        <v>44729</v>
      </c>
      <c r="D379" s="2" t="str">
        <f>TEXT(Table4[[#This Row],[issue_date]],"mmmm")</f>
        <v>June</v>
      </c>
      <c r="E379" s="9">
        <f>YEAR(Table4[[#This Row],[issue_date]])</f>
        <v>2022</v>
      </c>
      <c r="F379" t="s">
        <v>19</v>
      </c>
      <c r="G379">
        <v>45</v>
      </c>
      <c r="H379" t="s">
        <v>20</v>
      </c>
      <c r="I379" t="str">
        <f>VLOOKUP(Table4[[#This Row],[customer_id]],customers!A:G,4,)</f>
        <v>delhi</v>
      </c>
    </row>
    <row r="380" spans="1:9" x14ac:dyDescent="0.3">
      <c r="A380">
        <v>20379</v>
      </c>
      <c r="B380">
        <v>103</v>
      </c>
      <c r="C380" s="2">
        <v>44848</v>
      </c>
      <c r="D380" s="2" t="str">
        <f>TEXT(Table4[[#This Row],[issue_date]],"mmmm")</f>
        <v>October</v>
      </c>
      <c r="E380" s="9">
        <f>YEAR(Table4[[#This Row],[issue_date]])</f>
        <v>2022</v>
      </c>
      <c r="F380" t="s">
        <v>19</v>
      </c>
      <c r="G380">
        <v>37</v>
      </c>
      <c r="H380" t="s">
        <v>20</v>
      </c>
      <c r="I380" t="str">
        <f>VLOOKUP(Table4[[#This Row],[customer_id]],customers!A:G,4,)</f>
        <v>delhi</v>
      </c>
    </row>
    <row r="381" spans="1:9" x14ac:dyDescent="0.3">
      <c r="A381">
        <v>20380</v>
      </c>
      <c r="B381">
        <v>379</v>
      </c>
      <c r="C381" s="2">
        <v>45270</v>
      </c>
      <c r="D381" s="2" t="str">
        <f>TEXT(Table4[[#This Row],[issue_date]],"mmmm")</f>
        <v>December</v>
      </c>
      <c r="E381" s="9">
        <f>YEAR(Table4[[#This Row],[issue_date]])</f>
        <v>2023</v>
      </c>
      <c r="F381" t="s">
        <v>21</v>
      </c>
      <c r="G381">
        <v>17</v>
      </c>
      <c r="H381" t="s">
        <v>20</v>
      </c>
      <c r="I381" t="str">
        <f>VLOOKUP(Table4[[#This Row],[customer_id]],customers!A:G,4,)</f>
        <v>kolkata</v>
      </c>
    </row>
    <row r="382" spans="1:9" x14ac:dyDescent="0.3">
      <c r="A382">
        <v>20381</v>
      </c>
      <c r="B382">
        <v>436</v>
      </c>
      <c r="C382" s="2">
        <v>44898</v>
      </c>
      <c r="D382" s="2" t="str">
        <f>TEXT(Table4[[#This Row],[issue_date]],"mmmm")</f>
        <v>December</v>
      </c>
      <c r="E382" s="9">
        <f>YEAR(Table4[[#This Row],[issue_date]])</f>
        <v>2022</v>
      </c>
      <c r="F382" t="s">
        <v>21</v>
      </c>
      <c r="G382">
        <v>69</v>
      </c>
      <c r="H382" t="s">
        <v>20</v>
      </c>
      <c r="I382" t="str">
        <f>VLOOKUP(Table4[[#This Row],[customer_id]],customers!A:G,4,)</f>
        <v>delhi</v>
      </c>
    </row>
    <row r="383" spans="1:9" x14ac:dyDescent="0.3">
      <c r="A383">
        <v>20382</v>
      </c>
      <c r="B383">
        <v>250</v>
      </c>
      <c r="C383" s="2">
        <v>45147</v>
      </c>
      <c r="D383" s="2" t="str">
        <f>TEXT(Table4[[#This Row],[issue_date]],"mmmm")</f>
        <v>August</v>
      </c>
      <c r="E383" s="9">
        <f>YEAR(Table4[[#This Row],[issue_date]])</f>
        <v>2023</v>
      </c>
      <c r="F383" t="s">
        <v>22</v>
      </c>
      <c r="G383">
        <v>56</v>
      </c>
      <c r="H383" t="s">
        <v>20</v>
      </c>
      <c r="I383" t="str">
        <f>VLOOKUP(Table4[[#This Row],[customer_id]],customers!A:G,4,)</f>
        <v>mumbai</v>
      </c>
    </row>
    <row r="384" spans="1:9" x14ac:dyDescent="0.3">
      <c r="A384">
        <v>20383</v>
      </c>
      <c r="B384">
        <v>22</v>
      </c>
      <c r="C384" s="2">
        <v>44732</v>
      </c>
      <c r="D384" s="2" t="str">
        <f>TEXT(Table4[[#This Row],[issue_date]],"mmmm")</f>
        <v>June</v>
      </c>
      <c r="E384" s="9">
        <f>YEAR(Table4[[#This Row],[issue_date]])</f>
        <v>2022</v>
      </c>
      <c r="F384" t="s">
        <v>22</v>
      </c>
      <c r="G384">
        <v>58</v>
      </c>
      <c r="H384" t="s">
        <v>20</v>
      </c>
      <c r="I384" t="str">
        <f>VLOOKUP(Table4[[#This Row],[customer_id]],customers!A:G,4,)</f>
        <v>hyderabad</v>
      </c>
    </row>
    <row r="385" spans="1:9" x14ac:dyDescent="0.3">
      <c r="A385">
        <v>20384</v>
      </c>
      <c r="B385">
        <v>477</v>
      </c>
      <c r="C385" s="2">
        <v>45453</v>
      </c>
      <c r="D385" s="2" t="str">
        <f>TEXT(Table4[[#This Row],[issue_date]],"mmmm")</f>
        <v>June</v>
      </c>
      <c r="E385" s="9">
        <f>YEAR(Table4[[#This Row],[issue_date]])</f>
        <v>2024</v>
      </c>
      <c r="F385" t="s">
        <v>19</v>
      </c>
      <c r="G385">
        <v>4</v>
      </c>
      <c r="H385" t="s">
        <v>20</v>
      </c>
      <c r="I385" t="str">
        <f>VLOOKUP(Table4[[#This Row],[customer_id]],customers!A:G,4,)</f>
        <v>delhi</v>
      </c>
    </row>
    <row r="386" spans="1:9" x14ac:dyDescent="0.3">
      <c r="A386">
        <v>20385</v>
      </c>
      <c r="B386">
        <v>60</v>
      </c>
      <c r="C386" s="2">
        <v>44744</v>
      </c>
      <c r="D386" s="2" t="str">
        <f>TEXT(Table4[[#This Row],[issue_date]],"mmmm")</f>
        <v>July</v>
      </c>
      <c r="E386" s="9">
        <f>YEAR(Table4[[#This Row],[issue_date]])</f>
        <v>2022</v>
      </c>
      <c r="F386" t="s">
        <v>22</v>
      </c>
      <c r="G386">
        <v>55</v>
      </c>
      <c r="H386" t="s">
        <v>20</v>
      </c>
      <c r="I386" t="str">
        <f>VLOOKUP(Table4[[#This Row],[customer_id]],customers!A:G,4,)</f>
        <v>hyderabad</v>
      </c>
    </row>
    <row r="387" spans="1:9" x14ac:dyDescent="0.3">
      <c r="A387">
        <v>20386</v>
      </c>
      <c r="B387">
        <v>238</v>
      </c>
      <c r="C387" s="2">
        <v>44577</v>
      </c>
      <c r="D387" s="2" t="str">
        <f>TEXT(Table4[[#This Row],[issue_date]],"mmmm")</f>
        <v>January</v>
      </c>
      <c r="E387" s="9">
        <f>YEAR(Table4[[#This Row],[issue_date]])</f>
        <v>2022</v>
      </c>
      <c r="F387" t="s">
        <v>19</v>
      </c>
      <c r="G387">
        <v>49</v>
      </c>
      <c r="H387" t="s">
        <v>23</v>
      </c>
      <c r="I387" t="str">
        <f>VLOOKUP(Table4[[#This Row],[customer_id]],customers!A:G,4,)</f>
        <v>mumbai</v>
      </c>
    </row>
    <row r="388" spans="1:9" x14ac:dyDescent="0.3">
      <c r="A388">
        <v>20387</v>
      </c>
      <c r="B388">
        <v>394</v>
      </c>
      <c r="C388" s="2">
        <v>45057</v>
      </c>
      <c r="D388" s="2" t="str">
        <f>TEXT(Table4[[#This Row],[issue_date]],"mmmm")</f>
        <v>May</v>
      </c>
      <c r="E388" s="9">
        <f>YEAR(Table4[[#This Row],[issue_date]])</f>
        <v>2023</v>
      </c>
      <c r="F388" t="s">
        <v>19</v>
      </c>
      <c r="G388">
        <v>38</v>
      </c>
      <c r="H388" t="s">
        <v>20</v>
      </c>
      <c r="I388" t="str">
        <f>VLOOKUP(Table4[[#This Row],[customer_id]],customers!A:G,4,)</f>
        <v>delhi</v>
      </c>
    </row>
    <row r="389" spans="1:9" x14ac:dyDescent="0.3">
      <c r="A389">
        <v>20388</v>
      </c>
      <c r="B389">
        <v>340</v>
      </c>
      <c r="C389" s="2">
        <v>45141</v>
      </c>
      <c r="D389" s="2" t="str">
        <f>TEXT(Table4[[#This Row],[issue_date]],"mmmm")</f>
        <v>August</v>
      </c>
      <c r="E389" s="9">
        <f>YEAR(Table4[[#This Row],[issue_date]])</f>
        <v>2023</v>
      </c>
      <c r="F389" t="s">
        <v>19</v>
      </c>
      <c r="G389">
        <v>45</v>
      </c>
      <c r="H389" t="s">
        <v>20</v>
      </c>
      <c r="I389" t="str">
        <f>VLOOKUP(Table4[[#This Row],[customer_id]],customers!A:G,4,)</f>
        <v>kolkata</v>
      </c>
    </row>
    <row r="390" spans="1:9" x14ac:dyDescent="0.3">
      <c r="A390">
        <v>20389</v>
      </c>
      <c r="B390">
        <v>384</v>
      </c>
      <c r="C390" s="2">
        <v>45448</v>
      </c>
      <c r="D390" s="2" t="str">
        <f>TEXT(Table4[[#This Row],[issue_date]],"mmmm")</f>
        <v>June</v>
      </c>
      <c r="E390" s="9">
        <f>YEAR(Table4[[#This Row],[issue_date]])</f>
        <v>2024</v>
      </c>
      <c r="F390" t="s">
        <v>21</v>
      </c>
      <c r="G390">
        <v>30</v>
      </c>
      <c r="H390" t="s">
        <v>20</v>
      </c>
      <c r="I390" t="str">
        <f>VLOOKUP(Table4[[#This Row],[customer_id]],customers!A:G,4,)</f>
        <v>chennai</v>
      </c>
    </row>
    <row r="391" spans="1:9" x14ac:dyDescent="0.3">
      <c r="A391">
        <v>20390</v>
      </c>
      <c r="B391">
        <v>336</v>
      </c>
      <c r="C391" s="2">
        <v>45398</v>
      </c>
      <c r="D391" s="2" t="str">
        <f>TEXT(Table4[[#This Row],[issue_date]],"mmmm")</f>
        <v>April</v>
      </c>
      <c r="E391" s="9">
        <f>YEAR(Table4[[#This Row],[issue_date]])</f>
        <v>2024</v>
      </c>
      <c r="F391" t="s">
        <v>22</v>
      </c>
      <c r="G391">
        <v>37</v>
      </c>
      <c r="H391" t="s">
        <v>20</v>
      </c>
      <c r="I391" t="str">
        <f>VLOOKUP(Table4[[#This Row],[customer_id]],customers!A:G,4,)</f>
        <v>bangalore</v>
      </c>
    </row>
    <row r="392" spans="1:9" x14ac:dyDescent="0.3">
      <c r="A392">
        <v>20391</v>
      </c>
      <c r="B392">
        <v>134</v>
      </c>
      <c r="C392" s="2">
        <v>45115</v>
      </c>
      <c r="D392" s="2" t="str">
        <f>TEXT(Table4[[#This Row],[issue_date]],"mmmm")</f>
        <v>July</v>
      </c>
      <c r="E392" s="9">
        <f>YEAR(Table4[[#This Row],[issue_date]])</f>
        <v>2023</v>
      </c>
      <c r="F392" t="s">
        <v>22</v>
      </c>
      <c r="G392">
        <v>56</v>
      </c>
      <c r="H392" t="s">
        <v>20</v>
      </c>
      <c r="I392" t="str">
        <f>VLOOKUP(Table4[[#This Row],[customer_id]],customers!A:G,4,)</f>
        <v>mumbai</v>
      </c>
    </row>
    <row r="393" spans="1:9" x14ac:dyDescent="0.3">
      <c r="A393">
        <v>20392</v>
      </c>
      <c r="B393">
        <v>337</v>
      </c>
      <c r="C393" s="2">
        <v>44671</v>
      </c>
      <c r="D393" s="2" t="str">
        <f>TEXT(Table4[[#This Row],[issue_date]],"mmmm")</f>
        <v>April</v>
      </c>
      <c r="E393" s="9">
        <f>YEAR(Table4[[#This Row],[issue_date]])</f>
        <v>2022</v>
      </c>
      <c r="F393" t="s">
        <v>22</v>
      </c>
      <c r="G393">
        <v>27</v>
      </c>
      <c r="H393" t="s">
        <v>20</v>
      </c>
      <c r="I393" t="str">
        <f>VLOOKUP(Table4[[#This Row],[customer_id]],customers!A:G,4,)</f>
        <v>mumbai</v>
      </c>
    </row>
    <row r="394" spans="1:9" x14ac:dyDescent="0.3">
      <c r="A394">
        <v>20393</v>
      </c>
      <c r="B394">
        <v>262</v>
      </c>
      <c r="C394" s="2">
        <v>45114</v>
      </c>
      <c r="D394" s="2" t="str">
        <f>TEXT(Table4[[#This Row],[issue_date]],"mmmm")</f>
        <v>July</v>
      </c>
      <c r="E394" s="9">
        <f>YEAR(Table4[[#This Row],[issue_date]])</f>
        <v>2023</v>
      </c>
      <c r="F394" t="s">
        <v>22</v>
      </c>
      <c r="G394">
        <v>32</v>
      </c>
      <c r="H394" t="s">
        <v>20</v>
      </c>
      <c r="I394" t="str">
        <f>VLOOKUP(Table4[[#This Row],[customer_id]],customers!A:G,4,)</f>
        <v>hyderabad</v>
      </c>
    </row>
    <row r="395" spans="1:9" x14ac:dyDescent="0.3">
      <c r="A395">
        <v>20394</v>
      </c>
      <c r="B395">
        <v>342</v>
      </c>
      <c r="C395" s="2">
        <v>44867</v>
      </c>
      <c r="D395" s="2" t="str">
        <f>TEXT(Table4[[#This Row],[issue_date]],"mmmm")</f>
        <v>November</v>
      </c>
      <c r="E395" s="9">
        <f>YEAR(Table4[[#This Row],[issue_date]])</f>
        <v>2022</v>
      </c>
      <c r="F395" t="s">
        <v>21</v>
      </c>
      <c r="G395">
        <v>11</v>
      </c>
      <c r="H395" t="s">
        <v>20</v>
      </c>
      <c r="I395" t="str">
        <f>VLOOKUP(Table4[[#This Row],[customer_id]],customers!A:G,4,)</f>
        <v>hyderabad</v>
      </c>
    </row>
    <row r="396" spans="1:9" x14ac:dyDescent="0.3">
      <c r="A396">
        <v>20395</v>
      </c>
      <c r="B396">
        <v>338</v>
      </c>
      <c r="C396" s="2">
        <v>44567</v>
      </c>
      <c r="D396" s="2" t="str">
        <f>TEXT(Table4[[#This Row],[issue_date]],"mmmm")</f>
        <v>January</v>
      </c>
      <c r="E396" s="9">
        <f>YEAR(Table4[[#This Row],[issue_date]])</f>
        <v>2022</v>
      </c>
      <c r="F396" t="s">
        <v>22</v>
      </c>
      <c r="G396">
        <v>58</v>
      </c>
      <c r="H396" t="s">
        <v>20</v>
      </c>
      <c r="I396" t="str">
        <f>VLOOKUP(Table4[[#This Row],[customer_id]],customers!A:G,4,)</f>
        <v>delhi</v>
      </c>
    </row>
    <row r="397" spans="1:9" x14ac:dyDescent="0.3">
      <c r="A397">
        <v>20396</v>
      </c>
      <c r="B397">
        <v>480</v>
      </c>
      <c r="C397" s="2">
        <v>45404</v>
      </c>
      <c r="D397" s="2" t="str">
        <f>TEXT(Table4[[#This Row],[issue_date]],"mmmm")</f>
        <v>April</v>
      </c>
      <c r="E397" s="9">
        <f>YEAR(Table4[[#This Row],[issue_date]])</f>
        <v>2024</v>
      </c>
      <c r="F397" t="s">
        <v>22</v>
      </c>
      <c r="G397">
        <v>35</v>
      </c>
      <c r="H397" t="s">
        <v>20</v>
      </c>
      <c r="I397" t="str">
        <f>VLOOKUP(Table4[[#This Row],[customer_id]],customers!A:G,4,)</f>
        <v>hyderabad</v>
      </c>
    </row>
    <row r="398" spans="1:9" x14ac:dyDescent="0.3">
      <c r="A398">
        <v>20397</v>
      </c>
      <c r="B398">
        <v>412</v>
      </c>
      <c r="C398" s="2">
        <v>45254</v>
      </c>
      <c r="D398" s="2" t="str">
        <f>TEXT(Table4[[#This Row],[issue_date]],"mmmm")</f>
        <v>November</v>
      </c>
      <c r="E398" s="9">
        <f>YEAR(Table4[[#This Row],[issue_date]])</f>
        <v>2023</v>
      </c>
      <c r="F398" t="s">
        <v>21</v>
      </c>
      <c r="G398">
        <v>17</v>
      </c>
      <c r="H398" t="s">
        <v>20</v>
      </c>
      <c r="I398" t="str">
        <f>VLOOKUP(Table4[[#This Row],[customer_id]],customers!A:G,4,)</f>
        <v>hyderabad</v>
      </c>
    </row>
    <row r="399" spans="1:9" x14ac:dyDescent="0.3">
      <c r="A399">
        <v>20398</v>
      </c>
      <c r="B399">
        <v>42</v>
      </c>
      <c r="C399" s="2">
        <v>44834</v>
      </c>
      <c r="D399" s="2" t="str">
        <f>TEXT(Table4[[#This Row],[issue_date]],"mmmm")</f>
        <v>September</v>
      </c>
      <c r="E399" s="9">
        <f>YEAR(Table4[[#This Row],[issue_date]])</f>
        <v>2022</v>
      </c>
      <c r="F399" t="s">
        <v>22</v>
      </c>
      <c r="G399">
        <v>30</v>
      </c>
      <c r="H399" t="s">
        <v>20</v>
      </c>
      <c r="I399" t="str">
        <f>VLOOKUP(Table4[[#This Row],[customer_id]],customers!A:G,4,)</f>
        <v>kolkata</v>
      </c>
    </row>
    <row r="400" spans="1:9" x14ac:dyDescent="0.3">
      <c r="A400">
        <v>20399</v>
      </c>
      <c r="B400">
        <v>74</v>
      </c>
      <c r="C400" s="2">
        <v>44922</v>
      </c>
      <c r="D400" s="2" t="str">
        <f>TEXT(Table4[[#This Row],[issue_date]],"mmmm")</f>
        <v>December</v>
      </c>
      <c r="E400" s="9">
        <f>YEAR(Table4[[#This Row],[issue_date]])</f>
        <v>2022</v>
      </c>
      <c r="F400" t="s">
        <v>22</v>
      </c>
      <c r="G400">
        <v>18</v>
      </c>
      <c r="H400" t="s">
        <v>20</v>
      </c>
      <c r="I400" t="str">
        <f>VLOOKUP(Table4[[#This Row],[customer_id]],customers!A:G,4,)</f>
        <v>hyderabad</v>
      </c>
    </row>
    <row r="401" spans="1:9" x14ac:dyDescent="0.3">
      <c r="A401">
        <v>20400</v>
      </c>
      <c r="B401">
        <v>297</v>
      </c>
      <c r="C401" s="2">
        <v>44746</v>
      </c>
      <c r="D401" s="2" t="str">
        <f>TEXT(Table4[[#This Row],[issue_date]],"mmmm")</f>
        <v>July</v>
      </c>
      <c r="E401" s="9">
        <f>YEAR(Table4[[#This Row],[issue_date]])</f>
        <v>2022</v>
      </c>
      <c r="F401" t="s">
        <v>21</v>
      </c>
      <c r="G401">
        <v>30</v>
      </c>
      <c r="H401" t="s">
        <v>20</v>
      </c>
      <c r="I401" t="str">
        <f>VLOOKUP(Table4[[#This Row],[customer_id]],customers!A:G,4,)</f>
        <v>chennai</v>
      </c>
    </row>
    <row r="402" spans="1:9" x14ac:dyDescent="0.3">
      <c r="A402">
        <v>20401</v>
      </c>
      <c r="B402">
        <v>319</v>
      </c>
      <c r="C402" s="2">
        <v>45396</v>
      </c>
      <c r="D402" s="2" t="str">
        <f>TEXT(Table4[[#This Row],[issue_date]],"mmmm")</f>
        <v>April</v>
      </c>
      <c r="E402" s="9">
        <f>YEAR(Table4[[#This Row],[issue_date]])</f>
        <v>2024</v>
      </c>
      <c r="F402" t="s">
        <v>21</v>
      </c>
      <c r="G402">
        <v>16</v>
      </c>
      <c r="H402" t="s">
        <v>20</v>
      </c>
      <c r="I402" t="str">
        <f>VLOOKUP(Table4[[#This Row],[customer_id]],customers!A:G,4,)</f>
        <v>chennai</v>
      </c>
    </row>
    <row r="403" spans="1:9" x14ac:dyDescent="0.3">
      <c r="A403">
        <v>20402</v>
      </c>
      <c r="B403">
        <v>22</v>
      </c>
      <c r="C403" s="2">
        <v>45217</v>
      </c>
      <c r="D403" s="2" t="str">
        <f>TEXT(Table4[[#This Row],[issue_date]],"mmmm")</f>
        <v>October</v>
      </c>
      <c r="E403" s="9">
        <f>YEAR(Table4[[#This Row],[issue_date]])</f>
        <v>2023</v>
      </c>
      <c r="F403" t="s">
        <v>21</v>
      </c>
      <c r="G403">
        <v>54</v>
      </c>
      <c r="H403" t="s">
        <v>20</v>
      </c>
      <c r="I403" t="str">
        <f>VLOOKUP(Table4[[#This Row],[customer_id]],customers!A:G,4,)</f>
        <v>hyderabad</v>
      </c>
    </row>
    <row r="404" spans="1:9" x14ac:dyDescent="0.3">
      <c r="A404">
        <v>20403</v>
      </c>
      <c r="B404">
        <v>220</v>
      </c>
      <c r="C404" s="2">
        <v>44661</v>
      </c>
      <c r="D404" s="2" t="str">
        <f>TEXT(Table4[[#This Row],[issue_date]],"mmmm")</f>
        <v>April</v>
      </c>
      <c r="E404" s="9">
        <f>YEAR(Table4[[#This Row],[issue_date]])</f>
        <v>2022</v>
      </c>
      <c r="F404" t="s">
        <v>21</v>
      </c>
      <c r="G404">
        <v>4</v>
      </c>
      <c r="H404" t="s">
        <v>20</v>
      </c>
      <c r="I404" t="str">
        <f>VLOOKUP(Table4[[#This Row],[customer_id]],customers!A:G,4,)</f>
        <v>bangalore</v>
      </c>
    </row>
    <row r="405" spans="1:9" x14ac:dyDescent="0.3">
      <c r="A405">
        <v>20404</v>
      </c>
      <c r="B405">
        <v>79</v>
      </c>
      <c r="C405" s="2">
        <v>44651</v>
      </c>
      <c r="D405" s="2" t="str">
        <f>TEXT(Table4[[#This Row],[issue_date]],"mmmm")</f>
        <v>March</v>
      </c>
      <c r="E405" s="9">
        <f>YEAR(Table4[[#This Row],[issue_date]])</f>
        <v>2022</v>
      </c>
      <c r="F405" t="s">
        <v>19</v>
      </c>
      <c r="G405">
        <v>15</v>
      </c>
      <c r="H405" t="s">
        <v>20</v>
      </c>
      <c r="I405" t="str">
        <f>VLOOKUP(Table4[[#This Row],[customer_id]],customers!A:G,4,)</f>
        <v>delhi</v>
      </c>
    </row>
    <row r="406" spans="1:9" x14ac:dyDescent="0.3">
      <c r="A406">
        <v>20405</v>
      </c>
      <c r="B406">
        <v>235</v>
      </c>
      <c r="C406" s="2">
        <v>44807</v>
      </c>
      <c r="D406" s="2" t="str">
        <f>TEXT(Table4[[#This Row],[issue_date]],"mmmm")</f>
        <v>September</v>
      </c>
      <c r="E406" s="9">
        <f>YEAR(Table4[[#This Row],[issue_date]])</f>
        <v>2022</v>
      </c>
      <c r="F406" t="s">
        <v>21</v>
      </c>
      <c r="G406">
        <v>27</v>
      </c>
      <c r="H406" t="s">
        <v>20</v>
      </c>
      <c r="I406" t="str">
        <f>VLOOKUP(Table4[[#This Row],[customer_id]],customers!A:G,4,)</f>
        <v>kolkata</v>
      </c>
    </row>
    <row r="407" spans="1:9" x14ac:dyDescent="0.3">
      <c r="A407">
        <v>20406</v>
      </c>
      <c r="B407">
        <v>157</v>
      </c>
      <c r="C407" s="2">
        <v>44800</v>
      </c>
      <c r="D407" s="2" t="str">
        <f>TEXT(Table4[[#This Row],[issue_date]],"mmmm")</f>
        <v>August</v>
      </c>
      <c r="E407" s="9">
        <f>YEAR(Table4[[#This Row],[issue_date]])</f>
        <v>2022</v>
      </c>
      <c r="F407" t="s">
        <v>22</v>
      </c>
      <c r="G407">
        <v>4</v>
      </c>
      <c r="H407" t="s">
        <v>20</v>
      </c>
      <c r="I407" t="str">
        <f>VLOOKUP(Table4[[#This Row],[customer_id]],customers!A:G,4,)</f>
        <v>chennai</v>
      </c>
    </row>
    <row r="408" spans="1:9" x14ac:dyDescent="0.3">
      <c r="A408">
        <v>20407</v>
      </c>
      <c r="B408">
        <v>327</v>
      </c>
      <c r="C408" s="2">
        <v>45285</v>
      </c>
      <c r="D408" s="2" t="str">
        <f>TEXT(Table4[[#This Row],[issue_date]],"mmmm")</f>
        <v>December</v>
      </c>
      <c r="E408" s="9">
        <f>YEAR(Table4[[#This Row],[issue_date]])</f>
        <v>2023</v>
      </c>
      <c r="F408" t="s">
        <v>22</v>
      </c>
      <c r="G408">
        <v>35</v>
      </c>
      <c r="H408" t="s">
        <v>20</v>
      </c>
      <c r="I408" t="str">
        <f>VLOOKUP(Table4[[#This Row],[customer_id]],customers!A:G,4,)</f>
        <v>delhi</v>
      </c>
    </row>
    <row r="409" spans="1:9" x14ac:dyDescent="0.3">
      <c r="A409">
        <v>20408</v>
      </c>
      <c r="B409">
        <v>114</v>
      </c>
      <c r="C409" s="2">
        <v>44642</v>
      </c>
      <c r="D409" s="2" t="str">
        <f>TEXT(Table4[[#This Row],[issue_date]],"mmmm")</f>
        <v>March</v>
      </c>
      <c r="E409" s="9">
        <f>YEAR(Table4[[#This Row],[issue_date]])</f>
        <v>2022</v>
      </c>
      <c r="F409" t="s">
        <v>22</v>
      </c>
      <c r="G409">
        <v>63</v>
      </c>
      <c r="H409" t="s">
        <v>20</v>
      </c>
      <c r="I409" t="str">
        <f>VLOOKUP(Table4[[#This Row],[customer_id]],customers!A:G,4,)</f>
        <v>mumbai</v>
      </c>
    </row>
    <row r="410" spans="1:9" x14ac:dyDescent="0.3">
      <c r="A410">
        <v>20409</v>
      </c>
      <c r="B410">
        <v>290</v>
      </c>
      <c r="C410" s="2">
        <v>44676</v>
      </c>
      <c r="D410" s="2" t="str">
        <f>TEXT(Table4[[#This Row],[issue_date]],"mmmm")</f>
        <v>April</v>
      </c>
      <c r="E410" s="9">
        <f>YEAR(Table4[[#This Row],[issue_date]])</f>
        <v>2022</v>
      </c>
      <c r="F410" t="s">
        <v>22</v>
      </c>
      <c r="G410">
        <v>66</v>
      </c>
      <c r="H410" t="s">
        <v>20</v>
      </c>
      <c r="I410" t="str">
        <f>VLOOKUP(Table4[[#This Row],[customer_id]],customers!A:G,4,)</f>
        <v>mumbai</v>
      </c>
    </row>
    <row r="411" spans="1:9" x14ac:dyDescent="0.3">
      <c r="A411">
        <v>20410</v>
      </c>
      <c r="B411">
        <v>96</v>
      </c>
      <c r="C411" s="2">
        <v>44837</v>
      </c>
      <c r="D411" s="2" t="str">
        <f>TEXT(Table4[[#This Row],[issue_date]],"mmmm")</f>
        <v>October</v>
      </c>
      <c r="E411" s="9">
        <f>YEAR(Table4[[#This Row],[issue_date]])</f>
        <v>2022</v>
      </c>
      <c r="F411" t="s">
        <v>19</v>
      </c>
      <c r="G411">
        <v>39</v>
      </c>
      <c r="H411" t="s">
        <v>20</v>
      </c>
      <c r="I411" t="str">
        <f>VLOOKUP(Table4[[#This Row],[customer_id]],customers!A:G,4,)</f>
        <v>hyderabad</v>
      </c>
    </row>
    <row r="412" spans="1:9" x14ac:dyDescent="0.3">
      <c r="A412">
        <v>20411</v>
      </c>
      <c r="B412">
        <v>130</v>
      </c>
      <c r="C412" s="2">
        <v>44641</v>
      </c>
      <c r="D412" s="2" t="str">
        <f>TEXT(Table4[[#This Row],[issue_date]],"mmmm")</f>
        <v>March</v>
      </c>
      <c r="E412" s="9">
        <f>YEAR(Table4[[#This Row],[issue_date]])</f>
        <v>2022</v>
      </c>
      <c r="F412" t="s">
        <v>19</v>
      </c>
      <c r="G412">
        <v>28</v>
      </c>
      <c r="H412" t="s">
        <v>20</v>
      </c>
      <c r="I412" t="str">
        <f>VLOOKUP(Table4[[#This Row],[customer_id]],customers!A:G,4,)</f>
        <v>kolkata</v>
      </c>
    </row>
    <row r="413" spans="1:9" x14ac:dyDescent="0.3">
      <c r="A413">
        <v>20412</v>
      </c>
      <c r="B413">
        <v>410</v>
      </c>
      <c r="C413" s="2">
        <v>45129</v>
      </c>
      <c r="D413" s="2" t="str">
        <f>TEXT(Table4[[#This Row],[issue_date]],"mmmm")</f>
        <v>July</v>
      </c>
      <c r="E413" s="9">
        <f>YEAR(Table4[[#This Row],[issue_date]])</f>
        <v>2023</v>
      </c>
      <c r="F413" t="s">
        <v>19</v>
      </c>
      <c r="G413">
        <v>34</v>
      </c>
      <c r="H413" t="s">
        <v>20</v>
      </c>
      <c r="I413" t="str">
        <f>VLOOKUP(Table4[[#This Row],[customer_id]],customers!A:G,4,)</f>
        <v>bangalore</v>
      </c>
    </row>
    <row r="414" spans="1:9" x14ac:dyDescent="0.3">
      <c r="A414">
        <v>20413</v>
      </c>
      <c r="B414">
        <v>109</v>
      </c>
      <c r="C414" s="2">
        <v>44740</v>
      </c>
      <c r="D414" s="2" t="str">
        <f>TEXT(Table4[[#This Row],[issue_date]],"mmmm")</f>
        <v>June</v>
      </c>
      <c r="E414" s="9">
        <f>YEAR(Table4[[#This Row],[issue_date]])</f>
        <v>2022</v>
      </c>
      <c r="F414" t="s">
        <v>22</v>
      </c>
      <c r="G414">
        <v>33</v>
      </c>
      <c r="H414" t="s">
        <v>20</v>
      </c>
      <c r="I414" t="str">
        <f>VLOOKUP(Table4[[#This Row],[customer_id]],customers!A:G,4,)</f>
        <v>mumbai</v>
      </c>
    </row>
    <row r="415" spans="1:9" x14ac:dyDescent="0.3">
      <c r="A415">
        <v>20414</v>
      </c>
      <c r="B415">
        <v>75</v>
      </c>
      <c r="C415" s="2">
        <v>44870</v>
      </c>
      <c r="D415" s="2" t="str">
        <f>TEXT(Table4[[#This Row],[issue_date]],"mmmm")</f>
        <v>November</v>
      </c>
      <c r="E415" s="9">
        <f>YEAR(Table4[[#This Row],[issue_date]])</f>
        <v>2022</v>
      </c>
      <c r="F415" t="s">
        <v>22</v>
      </c>
      <c r="G415">
        <v>50</v>
      </c>
      <c r="H415" t="s">
        <v>20</v>
      </c>
      <c r="I415" t="str">
        <f>VLOOKUP(Table4[[#This Row],[customer_id]],customers!A:G,4,)</f>
        <v>mumbai</v>
      </c>
    </row>
    <row r="416" spans="1:9" x14ac:dyDescent="0.3">
      <c r="A416">
        <v>20415</v>
      </c>
      <c r="B416">
        <v>473</v>
      </c>
      <c r="C416" s="2">
        <v>45122</v>
      </c>
      <c r="D416" s="2" t="str">
        <f>TEXT(Table4[[#This Row],[issue_date]],"mmmm")</f>
        <v>July</v>
      </c>
      <c r="E416" s="9">
        <f>YEAR(Table4[[#This Row],[issue_date]])</f>
        <v>2023</v>
      </c>
      <c r="F416" t="s">
        <v>21</v>
      </c>
      <c r="G416">
        <v>60</v>
      </c>
      <c r="H416" t="s">
        <v>20</v>
      </c>
      <c r="I416" t="str">
        <f>VLOOKUP(Table4[[#This Row],[customer_id]],customers!A:G,4,)</f>
        <v>delhi</v>
      </c>
    </row>
    <row r="417" spans="1:9" x14ac:dyDescent="0.3">
      <c r="A417">
        <v>20416</v>
      </c>
      <c r="B417">
        <v>275</v>
      </c>
      <c r="C417" s="2">
        <v>45070</v>
      </c>
      <c r="D417" s="2" t="str">
        <f>TEXT(Table4[[#This Row],[issue_date]],"mmmm")</f>
        <v>May</v>
      </c>
      <c r="E417" s="9">
        <f>YEAR(Table4[[#This Row],[issue_date]])</f>
        <v>2023</v>
      </c>
      <c r="F417" t="s">
        <v>21</v>
      </c>
      <c r="G417">
        <v>42</v>
      </c>
      <c r="H417" t="s">
        <v>20</v>
      </c>
      <c r="I417" t="str">
        <f>VLOOKUP(Table4[[#This Row],[customer_id]],customers!A:G,4,)</f>
        <v>bangalore</v>
      </c>
    </row>
    <row r="418" spans="1:9" x14ac:dyDescent="0.3">
      <c r="A418">
        <v>20417</v>
      </c>
      <c r="B418">
        <v>381</v>
      </c>
      <c r="C418" s="2">
        <v>44821</v>
      </c>
      <c r="D418" s="2" t="str">
        <f>TEXT(Table4[[#This Row],[issue_date]],"mmmm")</f>
        <v>September</v>
      </c>
      <c r="E418" s="9">
        <f>YEAR(Table4[[#This Row],[issue_date]])</f>
        <v>2022</v>
      </c>
      <c r="F418" t="s">
        <v>22</v>
      </c>
      <c r="G418">
        <v>28</v>
      </c>
      <c r="H418" t="s">
        <v>20</v>
      </c>
      <c r="I418" t="str">
        <f>VLOOKUP(Table4[[#This Row],[customer_id]],customers!A:G,4,)</f>
        <v>hyderabad</v>
      </c>
    </row>
    <row r="419" spans="1:9" x14ac:dyDescent="0.3">
      <c r="A419">
        <v>20418</v>
      </c>
      <c r="B419">
        <v>20</v>
      </c>
      <c r="C419" s="2">
        <v>45347</v>
      </c>
      <c r="D419" s="2" t="str">
        <f>TEXT(Table4[[#This Row],[issue_date]],"mmmm")</f>
        <v>February</v>
      </c>
      <c r="E419" s="9">
        <f>YEAR(Table4[[#This Row],[issue_date]])</f>
        <v>2024</v>
      </c>
      <c r="F419" t="s">
        <v>21</v>
      </c>
      <c r="G419">
        <v>27</v>
      </c>
      <c r="H419" t="s">
        <v>20</v>
      </c>
      <c r="I419" t="str">
        <f>VLOOKUP(Table4[[#This Row],[customer_id]],customers!A:G,4,)</f>
        <v>hyderabad</v>
      </c>
    </row>
    <row r="420" spans="1:9" x14ac:dyDescent="0.3">
      <c r="A420">
        <v>20419</v>
      </c>
      <c r="B420">
        <v>161</v>
      </c>
      <c r="C420" s="2">
        <v>44853</v>
      </c>
      <c r="D420" s="2" t="str">
        <f>TEXT(Table4[[#This Row],[issue_date]],"mmmm")</f>
        <v>October</v>
      </c>
      <c r="E420" s="9">
        <f>YEAR(Table4[[#This Row],[issue_date]])</f>
        <v>2022</v>
      </c>
      <c r="F420" t="s">
        <v>21</v>
      </c>
      <c r="G420">
        <v>1</v>
      </c>
      <c r="H420" t="s">
        <v>20</v>
      </c>
      <c r="I420" t="str">
        <f>VLOOKUP(Table4[[#This Row],[customer_id]],customers!A:G,4,)</f>
        <v>bangalore</v>
      </c>
    </row>
    <row r="421" spans="1:9" x14ac:dyDescent="0.3">
      <c r="A421">
        <v>20420</v>
      </c>
      <c r="B421">
        <v>209</v>
      </c>
      <c r="C421" s="2">
        <v>45446</v>
      </c>
      <c r="D421" s="2" t="str">
        <f>TEXT(Table4[[#This Row],[issue_date]],"mmmm")</f>
        <v>June</v>
      </c>
      <c r="E421" s="9">
        <f>YEAR(Table4[[#This Row],[issue_date]])</f>
        <v>2024</v>
      </c>
      <c r="F421" t="s">
        <v>22</v>
      </c>
      <c r="G421">
        <v>8</v>
      </c>
      <c r="H421" t="s">
        <v>20</v>
      </c>
      <c r="I421" t="str">
        <f>VLOOKUP(Table4[[#This Row],[customer_id]],customers!A:G,4,)</f>
        <v>bangalore</v>
      </c>
    </row>
    <row r="422" spans="1:9" x14ac:dyDescent="0.3">
      <c r="A422">
        <v>20421</v>
      </c>
      <c r="B422">
        <v>372</v>
      </c>
      <c r="C422" s="2">
        <v>44852</v>
      </c>
      <c r="D422" s="2" t="str">
        <f>TEXT(Table4[[#This Row],[issue_date]],"mmmm")</f>
        <v>October</v>
      </c>
      <c r="E422" s="9">
        <f>YEAR(Table4[[#This Row],[issue_date]])</f>
        <v>2022</v>
      </c>
      <c r="F422" t="s">
        <v>19</v>
      </c>
      <c r="G422">
        <v>46</v>
      </c>
      <c r="H422" t="s">
        <v>20</v>
      </c>
      <c r="I422" t="str">
        <f>VLOOKUP(Table4[[#This Row],[customer_id]],customers!A:G,4,)</f>
        <v>chennai</v>
      </c>
    </row>
    <row r="423" spans="1:9" x14ac:dyDescent="0.3">
      <c r="A423">
        <v>20422</v>
      </c>
      <c r="B423">
        <v>94</v>
      </c>
      <c r="C423" s="2">
        <v>45103</v>
      </c>
      <c r="D423" s="2" t="str">
        <f>TEXT(Table4[[#This Row],[issue_date]],"mmmm")</f>
        <v>June</v>
      </c>
      <c r="E423" s="9">
        <f>YEAR(Table4[[#This Row],[issue_date]])</f>
        <v>2023</v>
      </c>
      <c r="F423" t="s">
        <v>22</v>
      </c>
      <c r="G423">
        <v>24</v>
      </c>
      <c r="H423" t="s">
        <v>20</v>
      </c>
      <c r="I423" t="str">
        <f>VLOOKUP(Table4[[#This Row],[customer_id]],customers!A:G,4,)</f>
        <v>delhi</v>
      </c>
    </row>
    <row r="424" spans="1:9" x14ac:dyDescent="0.3">
      <c r="A424">
        <v>20423</v>
      </c>
      <c r="B424">
        <v>82</v>
      </c>
      <c r="C424" s="2">
        <v>45447</v>
      </c>
      <c r="D424" s="2" t="str">
        <f>TEXT(Table4[[#This Row],[issue_date]],"mmmm")</f>
        <v>June</v>
      </c>
      <c r="E424" s="9">
        <f>YEAR(Table4[[#This Row],[issue_date]])</f>
        <v>2024</v>
      </c>
      <c r="F424" t="s">
        <v>22</v>
      </c>
      <c r="G424">
        <v>40</v>
      </c>
      <c r="H424" t="s">
        <v>20</v>
      </c>
      <c r="I424" t="str">
        <f>VLOOKUP(Table4[[#This Row],[customer_id]],customers!A:G,4,)</f>
        <v>chennai</v>
      </c>
    </row>
    <row r="425" spans="1:9" x14ac:dyDescent="0.3">
      <c r="A425">
        <v>20424</v>
      </c>
      <c r="B425">
        <v>352</v>
      </c>
      <c r="C425" s="2">
        <v>45325</v>
      </c>
      <c r="D425" s="2" t="str">
        <f>TEXT(Table4[[#This Row],[issue_date]],"mmmm")</f>
        <v>February</v>
      </c>
      <c r="E425" s="9">
        <f>YEAR(Table4[[#This Row],[issue_date]])</f>
        <v>2024</v>
      </c>
      <c r="F425" t="s">
        <v>21</v>
      </c>
      <c r="G425">
        <v>51</v>
      </c>
      <c r="H425" t="s">
        <v>20</v>
      </c>
      <c r="I425" t="str">
        <f>VLOOKUP(Table4[[#This Row],[customer_id]],customers!A:G,4,)</f>
        <v>bangalore</v>
      </c>
    </row>
    <row r="426" spans="1:9" x14ac:dyDescent="0.3">
      <c r="A426">
        <v>20425</v>
      </c>
      <c r="B426">
        <v>104</v>
      </c>
      <c r="C426" s="2">
        <v>44624</v>
      </c>
      <c r="D426" s="2" t="str">
        <f>TEXT(Table4[[#This Row],[issue_date]],"mmmm")</f>
        <v>March</v>
      </c>
      <c r="E426" s="9">
        <f>YEAR(Table4[[#This Row],[issue_date]])</f>
        <v>2022</v>
      </c>
      <c r="F426" t="s">
        <v>21</v>
      </c>
      <c r="G426">
        <v>24</v>
      </c>
      <c r="H426" t="s">
        <v>20</v>
      </c>
      <c r="I426" t="str">
        <f>VLOOKUP(Table4[[#This Row],[customer_id]],customers!A:G,4,)</f>
        <v>kolkata</v>
      </c>
    </row>
    <row r="427" spans="1:9" x14ac:dyDescent="0.3">
      <c r="A427">
        <v>20426</v>
      </c>
      <c r="B427">
        <v>237</v>
      </c>
      <c r="C427" s="2">
        <v>45155</v>
      </c>
      <c r="D427" s="2" t="str">
        <f>TEXT(Table4[[#This Row],[issue_date]],"mmmm")</f>
        <v>August</v>
      </c>
      <c r="E427" s="9">
        <f>YEAR(Table4[[#This Row],[issue_date]])</f>
        <v>2023</v>
      </c>
      <c r="F427" t="s">
        <v>22</v>
      </c>
      <c r="G427">
        <v>22</v>
      </c>
      <c r="H427" t="s">
        <v>23</v>
      </c>
      <c r="I427" t="str">
        <f>VLOOKUP(Table4[[#This Row],[customer_id]],customers!A:G,4,)</f>
        <v>chennai</v>
      </c>
    </row>
    <row r="428" spans="1:9" x14ac:dyDescent="0.3">
      <c r="A428">
        <v>20427</v>
      </c>
      <c r="B428">
        <v>260</v>
      </c>
      <c r="C428" s="2">
        <v>44966</v>
      </c>
      <c r="D428" s="2" t="str">
        <f>TEXT(Table4[[#This Row],[issue_date]],"mmmm")</f>
        <v>February</v>
      </c>
      <c r="E428" s="9">
        <f>YEAR(Table4[[#This Row],[issue_date]])</f>
        <v>2023</v>
      </c>
      <c r="F428" t="s">
        <v>19</v>
      </c>
      <c r="G428">
        <v>68</v>
      </c>
      <c r="H428" t="s">
        <v>23</v>
      </c>
      <c r="I428" t="str">
        <f>VLOOKUP(Table4[[#This Row],[customer_id]],customers!A:G,4,)</f>
        <v>bangalore</v>
      </c>
    </row>
    <row r="429" spans="1:9" x14ac:dyDescent="0.3">
      <c r="A429">
        <v>20428</v>
      </c>
      <c r="B429">
        <v>160</v>
      </c>
      <c r="C429" s="2">
        <v>45041</v>
      </c>
      <c r="D429" s="2" t="str">
        <f>TEXT(Table4[[#This Row],[issue_date]],"mmmm")</f>
        <v>April</v>
      </c>
      <c r="E429" s="9">
        <f>YEAR(Table4[[#This Row],[issue_date]])</f>
        <v>2023</v>
      </c>
      <c r="F429" t="s">
        <v>22</v>
      </c>
      <c r="G429">
        <v>8</v>
      </c>
      <c r="H429" t="s">
        <v>20</v>
      </c>
      <c r="I429" t="str">
        <f>VLOOKUP(Table4[[#This Row],[customer_id]],customers!A:G,4,)</f>
        <v>hyderabad</v>
      </c>
    </row>
    <row r="430" spans="1:9" x14ac:dyDescent="0.3">
      <c r="A430">
        <v>20429</v>
      </c>
      <c r="B430">
        <v>403</v>
      </c>
      <c r="C430" s="2">
        <v>44886</v>
      </c>
      <c r="D430" s="2" t="str">
        <f>TEXT(Table4[[#This Row],[issue_date]],"mmmm")</f>
        <v>November</v>
      </c>
      <c r="E430" s="9">
        <f>YEAR(Table4[[#This Row],[issue_date]])</f>
        <v>2022</v>
      </c>
      <c r="F430" t="s">
        <v>19</v>
      </c>
      <c r="G430">
        <v>58</v>
      </c>
      <c r="H430" t="s">
        <v>20</v>
      </c>
      <c r="I430" t="str">
        <f>VLOOKUP(Table4[[#This Row],[customer_id]],customers!A:G,4,)</f>
        <v>delhi</v>
      </c>
    </row>
    <row r="431" spans="1:9" x14ac:dyDescent="0.3">
      <c r="A431">
        <v>20430</v>
      </c>
      <c r="B431">
        <v>387</v>
      </c>
      <c r="C431" s="2">
        <v>44942</v>
      </c>
      <c r="D431" s="2" t="str">
        <f>TEXT(Table4[[#This Row],[issue_date]],"mmmm")</f>
        <v>January</v>
      </c>
      <c r="E431" s="9">
        <f>YEAR(Table4[[#This Row],[issue_date]])</f>
        <v>2023</v>
      </c>
      <c r="F431" t="s">
        <v>19</v>
      </c>
      <c r="G431">
        <v>15</v>
      </c>
      <c r="H431" t="s">
        <v>20</v>
      </c>
      <c r="I431" t="str">
        <f>VLOOKUP(Table4[[#This Row],[customer_id]],customers!A:G,4,)</f>
        <v>bangalore</v>
      </c>
    </row>
    <row r="432" spans="1:9" x14ac:dyDescent="0.3">
      <c r="A432">
        <v>20431</v>
      </c>
      <c r="B432">
        <v>486</v>
      </c>
      <c r="C432" s="2">
        <v>45242</v>
      </c>
      <c r="D432" s="2" t="str">
        <f>TEXT(Table4[[#This Row],[issue_date]],"mmmm")</f>
        <v>November</v>
      </c>
      <c r="E432" s="9">
        <f>YEAR(Table4[[#This Row],[issue_date]])</f>
        <v>2023</v>
      </c>
      <c r="F432" t="s">
        <v>22</v>
      </c>
      <c r="G432">
        <v>8</v>
      </c>
      <c r="H432" t="s">
        <v>23</v>
      </c>
      <c r="I432" t="str">
        <f>VLOOKUP(Table4[[#This Row],[customer_id]],customers!A:G,4,)</f>
        <v>chennai</v>
      </c>
    </row>
    <row r="433" spans="1:9" x14ac:dyDescent="0.3">
      <c r="A433">
        <v>20432</v>
      </c>
      <c r="B433">
        <v>348</v>
      </c>
      <c r="C433" s="2">
        <v>44871</v>
      </c>
      <c r="D433" s="2" t="str">
        <f>TEXT(Table4[[#This Row],[issue_date]],"mmmm")</f>
        <v>November</v>
      </c>
      <c r="E433" s="9">
        <f>YEAR(Table4[[#This Row],[issue_date]])</f>
        <v>2022</v>
      </c>
      <c r="F433" t="s">
        <v>22</v>
      </c>
      <c r="G433">
        <v>42</v>
      </c>
      <c r="H433" t="s">
        <v>20</v>
      </c>
      <c r="I433" t="str">
        <f>VLOOKUP(Table4[[#This Row],[customer_id]],customers!A:G,4,)</f>
        <v>chennai</v>
      </c>
    </row>
    <row r="434" spans="1:9" x14ac:dyDescent="0.3">
      <c r="A434">
        <v>20433</v>
      </c>
      <c r="B434">
        <v>61</v>
      </c>
      <c r="C434" s="2">
        <v>44904</v>
      </c>
      <c r="D434" s="2" t="str">
        <f>TEXT(Table4[[#This Row],[issue_date]],"mmmm")</f>
        <v>December</v>
      </c>
      <c r="E434" s="9">
        <f>YEAR(Table4[[#This Row],[issue_date]])</f>
        <v>2022</v>
      </c>
      <c r="F434" t="s">
        <v>22</v>
      </c>
      <c r="G434">
        <v>39</v>
      </c>
      <c r="H434" t="s">
        <v>20</v>
      </c>
      <c r="I434" t="str">
        <f>VLOOKUP(Table4[[#This Row],[customer_id]],customers!A:G,4,)</f>
        <v>hyderabad</v>
      </c>
    </row>
    <row r="435" spans="1:9" x14ac:dyDescent="0.3">
      <c r="A435">
        <v>20434</v>
      </c>
      <c r="B435">
        <v>38</v>
      </c>
      <c r="C435" s="2">
        <v>45231</v>
      </c>
      <c r="D435" s="2" t="str">
        <f>TEXT(Table4[[#This Row],[issue_date]],"mmmm")</f>
        <v>November</v>
      </c>
      <c r="E435" s="9">
        <f>YEAR(Table4[[#This Row],[issue_date]])</f>
        <v>2023</v>
      </c>
      <c r="F435" t="s">
        <v>19</v>
      </c>
      <c r="G435">
        <v>35</v>
      </c>
      <c r="H435" t="s">
        <v>20</v>
      </c>
      <c r="I435" t="str">
        <f>VLOOKUP(Table4[[#This Row],[customer_id]],customers!A:G,4,)</f>
        <v>mumbai</v>
      </c>
    </row>
    <row r="436" spans="1:9" x14ac:dyDescent="0.3">
      <c r="A436">
        <v>20435</v>
      </c>
      <c r="B436">
        <v>118</v>
      </c>
      <c r="C436" s="2">
        <v>45036</v>
      </c>
      <c r="D436" s="2" t="str">
        <f>TEXT(Table4[[#This Row],[issue_date]],"mmmm")</f>
        <v>April</v>
      </c>
      <c r="E436" s="9">
        <f>YEAR(Table4[[#This Row],[issue_date]])</f>
        <v>2023</v>
      </c>
      <c r="F436" t="s">
        <v>21</v>
      </c>
      <c r="G436">
        <v>41</v>
      </c>
      <c r="H436" t="s">
        <v>20</v>
      </c>
      <c r="I436" t="str">
        <f>VLOOKUP(Table4[[#This Row],[customer_id]],customers!A:G,4,)</f>
        <v>hyderabad</v>
      </c>
    </row>
    <row r="437" spans="1:9" x14ac:dyDescent="0.3">
      <c r="A437">
        <v>20436</v>
      </c>
      <c r="B437">
        <v>390</v>
      </c>
      <c r="C437" s="2">
        <v>44617</v>
      </c>
      <c r="D437" s="2" t="str">
        <f>TEXT(Table4[[#This Row],[issue_date]],"mmmm")</f>
        <v>February</v>
      </c>
      <c r="E437" s="9">
        <f>YEAR(Table4[[#This Row],[issue_date]])</f>
        <v>2022</v>
      </c>
      <c r="F437" t="s">
        <v>19</v>
      </c>
      <c r="G437">
        <v>48</v>
      </c>
      <c r="H437" t="s">
        <v>20</v>
      </c>
      <c r="I437" t="str">
        <f>VLOOKUP(Table4[[#This Row],[customer_id]],customers!A:G,4,)</f>
        <v>bangalore</v>
      </c>
    </row>
    <row r="438" spans="1:9" x14ac:dyDescent="0.3">
      <c r="A438">
        <v>20437</v>
      </c>
      <c r="B438">
        <v>312</v>
      </c>
      <c r="C438" s="2">
        <v>45408</v>
      </c>
      <c r="D438" s="2" t="str">
        <f>TEXT(Table4[[#This Row],[issue_date]],"mmmm")</f>
        <v>April</v>
      </c>
      <c r="E438" s="9">
        <f>YEAR(Table4[[#This Row],[issue_date]])</f>
        <v>2024</v>
      </c>
      <c r="F438" t="s">
        <v>19</v>
      </c>
      <c r="G438">
        <v>71</v>
      </c>
      <c r="H438" t="s">
        <v>23</v>
      </c>
      <c r="I438" t="str">
        <f>VLOOKUP(Table4[[#This Row],[customer_id]],customers!A:G,4,)</f>
        <v>hyderabad</v>
      </c>
    </row>
    <row r="439" spans="1:9" x14ac:dyDescent="0.3">
      <c r="A439">
        <v>20438</v>
      </c>
      <c r="B439">
        <v>168</v>
      </c>
      <c r="C439" s="2">
        <v>44986</v>
      </c>
      <c r="D439" s="2" t="str">
        <f>TEXT(Table4[[#This Row],[issue_date]],"mmmm")</f>
        <v>March</v>
      </c>
      <c r="E439" s="9">
        <f>YEAR(Table4[[#This Row],[issue_date]])</f>
        <v>2023</v>
      </c>
      <c r="F439" t="s">
        <v>19</v>
      </c>
      <c r="G439">
        <v>44</v>
      </c>
      <c r="H439" t="s">
        <v>20</v>
      </c>
      <c r="I439" t="str">
        <f>VLOOKUP(Table4[[#This Row],[customer_id]],customers!A:G,4,)</f>
        <v>delhi</v>
      </c>
    </row>
    <row r="440" spans="1:9" x14ac:dyDescent="0.3">
      <c r="A440">
        <v>20439</v>
      </c>
      <c r="B440">
        <v>377</v>
      </c>
      <c r="C440" s="2">
        <v>44703</v>
      </c>
      <c r="D440" s="2" t="str">
        <f>TEXT(Table4[[#This Row],[issue_date]],"mmmm")</f>
        <v>May</v>
      </c>
      <c r="E440" s="9">
        <f>YEAR(Table4[[#This Row],[issue_date]])</f>
        <v>2022</v>
      </c>
      <c r="F440" t="s">
        <v>21</v>
      </c>
      <c r="G440">
        <v>35</v>
      </c>
      <c r="H440" t="s">
        <v>20</v>
      </c>
      <c r="I440" t="str">
        <f>VLOOKUP(Table4[[#This Row],[customer_id]],customers!A:G,4,)</f>
        <v>mumbai</v>
      </c>
    </row>
    <row r="441" spans="1:9" x14ac:dyDescent="0.3">
      <c r="A441">
        <v>20440</v>
      </c>
      <c r="B441">
        <v>337</v>
      </c>
      <c r="C441" s="2">
        <v>45222</v>
      </c>
      <c r="D441" s="2" t="str">
        <f>TEXT(Table4[[#This Row],[issue_date]],"mmmm")</f>
        <v>October</v>
      </c>
      <c r="E441" s="9">
        <f>YEAR(Table4[[#This Row],[issue_date]])</f>
        <v>2023</v>
      </c>
      <c r="F441" t="s">
        <v>19</v>
      </c>
      <c r="G441">
        <v>27</v>
      </c>
      <c r="H441" t="s">
        <v>20</v>
      </c>
      <c r="I441" t="str">
        <f>VLOOKUP(Table4[[#This Row],[customer_id]],customers!A:G,4,)</f>
        <v>mumbai</v>
      </c>
    </row>
    <row r="442" spans="1:9" x14ac:dyDescent="0.3">
      <c r="A442">
        <v>20441</v>
      </c>
      <c r="B442">
        <v>362</v>
      </c>
      <c r="C442" s="2">
        <v>44937</v>
      </c>
      <c r="D442" s="2" t="str">
        <f>TEXT(Table4[[#This Row],[issue_date]],"mmmm")</f>
        <v>January</v>
      </c>
      <c r="E442" s="9">
        <f>YEAR(Table4[[#This Row],[issue_date]])</f>
        <v>2023</v>
      </c>
      <c r="F442" t="s">
        <v>19</v>
      </c>
      <c r="G442">
        <v>65</v>
      </c>
      <c r="H442" t="s">
        <v>20</v>
      </c>
      <c r="I442" t="str">
        <f>VLOOKUP(Table4[[#This Row],[customer_id]],customers!A:G,4,)</f>
        <v>delhi</v>
      </c>
    </row>
    <row r="443" spans="1:9" x14ac:dyDescent="0.3">
      <c r="A443">
        <v>20442</v>
      </c>
      <c r="B443">
        <v>376</v>
      </c>
      <c r="C443" s="2">
        <v>44787</v>
      </c>
      <c r="D443" s="2" t="str">
        <f>TEXT(Table4[[#This Row],[issue_date]],"mmmm")</f>
        <v>August</v>
      </c>
      <c r="E443" s="9">
        <f>YEAR(Table4[[#This Row],[issue_date]])</f>
        <v>2022</v>
      </c>
      <c r="F443" t="s">
        <v>19</v>
      </c>
      <c r="G443">
        <v>70</v>
      </c>
      <c r="H443" t="s">
        <v>20</v>
      </c>
      <c r="I443" t="str">
        <f>VLOOKUP(Table4[[#This Row],[customer_id]],customers!A:G,4,)</f>
        <v>hyderabad</v>
      </c>
    </row>
    <row r="444" spans="1:9" x14ac:dyDescent="0.3">
      <c r="A444">
        <v>20443</v>
      </c>
      <c r="B444">
        <v>69</v>
      </c>
      <c r="C444" s="2">
        <v>45035</v>
      </c>
      <c r="D444" s="2" t="str">
        <f>TEXT(Table4[[#This Row],[issue_date]],"mmmm")</f>
        <v>April</v>
      </c>
      <c r="E444" s="9">
        <f>YEAR(Table4[[#This Row],[issue_date]])</f>
        <v>2023</v>
      </c>
      <c r="F444" t="s">
        <v>21</v>
      </c>
      <c r="G444">
        <v>66</v>
      </c>
      <c r="H444" t="s">
        <v>20</v>
      </c>
      <c r="I444" t="str">
        <f>VLOOKUP(Table4[[#This Row],[customer_id]],customers!A:G,4,)</f>
        <v>mumbai</v>
      </c>
    </row>
    <row r="445" spans="1:9" x14ac:dyDescent="0.3">
      <c r="A445">
        <v>20444</v>
      </c>
      <c r="B445">
        <v>83</v>
      </c>
      <c r="C445" s="2">
        <v>44586</v>
      </c>
      <c r="D445" s="2" t="str">
        <f>TEXT(Table4[[#This Row],[issue_date]],"mmmm")</f>
        <v>January</v>
      </c>
      <c r="E445" s="9">
        <f>YEAR(Table4[[#This Row],[issue_date]])</f>
        <v>2022</v>
      </c>
      <c r="F445" t="s">
        <v>19</v>
      </c>
      <c r="G445">
        <v>71</v>
      </c>
      <c r="H445" t="s">
        <v>20</v>
      </c>
      <c r="I445" t="str">
        <f>VLOOKUP(Table4[[#This Row],[customer_id]],customers!A:G,4,)</f>
        <v>bangalore</v>
      </c>
    </row>
    <row r="446" spans="1:9" x14ac:dyDescent="0.3">
      <c r="A446">
        <v>20445</v>
      </c>
      <c r="B446">
        <v>235</v>
      </c>
      <c r="C446" s="2">
        <v>45251</v>
      </c>
      <c r="D446" s="2" t="str">
        <f>TEXT(Table4[[#This Row],[issue_date]],"mmmm")</f>
        <v>November</v>
      </c>
      <c r="E446" s="9">
        <f>YEAR(Table4[[#This Row],[issue_date]])</f>
        <v>2023</v>
      </c>
      <c r="F446" t="s">
        <v>21</v>
      </c>
      <c r="G446">
        <v>63</v>
      </c>
      <c r="H446" t="s">
        <v>20</v>
      </c>
      <c r="I446" t="str">
        <f>VLOOKUP(Table4[[#This Row],[customer_id]],customers!A:G,4,)</f>
        <v>kolkata</v>
      </c>
    </row>
    <row r="447" spans="1:9" x14ac:dyDescent="0.3">
      <c r="A447">
        <v>20446</v>
      </c>
      <c r="B447">
        <v>42</v>
      </c>
      <c r="C447" s="2">
        <v>44926</v>
      </c>
      <c r="D447" s="2" t="str">
        <f>TEXT(Table4[[#This Row],[issue_date]],"mmmm")</f>
        <v>December</v>
      </c>
      <c r="E447" s="9">
        <f>YEAR(Table4[[#This Row],[issue_date]])</f>
        <v>2022</v>
      </c>
      <c r="F447" t="s">
        <v>21</v>
      </c>
      <c r="G447">
        <v>29</v>
      </c>
      <c r="H447" t="s">
        <v>20</v>
      </c>
      <c r="I447" t="str">
        <f>VLOOKUP(Table4[[#This Row],[customer_id]],customers!A:G,4,)</f>
        <v>kolkata</v>
      </c>
    </row>
    <row r="448" spans="1:9" x14ac:dyDescent="0.3">
      <c r="A448">
        <v>20447</v>
      </c>
      <c r="B448">
        <v>99</v>
      </c>
      <c r="C448" s="2">
        <v>44656</v>
      </c>
      <c r="D448" s="2" t="str">
        <f>TEXT(Table4[[#This Row],[issue_date]],"mmmm")</f>
        <v>April</v>
      </c>
      <c r="E448" s="9">
        <f>YEAR(Table4[[#This Row],[issue_date]])</f>
        <v>2022</v>
      </c>
      <c r="F448" t="s">
        <v>22</v>
      </c>
      <c r="G448">
        <v>31</v>
      </c>
      <c r="H448" t="s">
        <v>23</v>
      </c>
      <c r="I448" t="str">
        <f>VLOOKUP(Table4[[#This Row],[customer_id]],customers!A:G,4,)</f>
        <v>hyderabad</v>
      </c>
    </row>
    <row r="449" spans="1:9" x14ac:dyDescent="0.3">
      <c r="A449">
        <v>20448</v>
      </c>
      <c r="B449">
        <v>470</v>
      </c>
      <c r="C449" s="2">
        <v>45069</v>
      </c>
      <c r="D449" s="2" t="str">
        <f>TEXT(Table4[[#This Row],[issue_date]],"mmmm")</f>
        <v>May</v>
      </c>
      <c r="E449" s="9">
        <f>YEAR(Table4[[#This Row],[issue_date]])</f>
        <v>2023</v>
      </c>
      <c r="F449" t="s">
        <v>22</v>
      </c>
      <c r="G449">
        <v>64</v>
      </c>
      <c r="H449" t="s">
        <v>23</v>
      </c>
      <c r="I449" t="str">
        <f>VLOOKUP(Table4[[#This Row],[customer_id]],customers!A:G,4,)</f>
        <v>hyderabad</v>
      </c>
    </row>
    <row r="450" spans="1:9" x14ac:dyDescent="0.3">
      <c r="A450">
        <v>20449</v>
      </c>
      <c r="B450">
        <v>472</v>
      </c>
      <c r="C450" s="2">
        <v>45126</v>
      </c>
      <c r="D450" s="2" t="str">
        <f>TEXT(Table4[[#This Row],[issue_date]],"mmmm")</f>
        <v>July</v>
      </c>
      <c r="E450" s="9">
        <f>YEAR(Table4[[#This Row],[issue_date]])</f>
        <v>2023</v>
      </c>
      <c r="F450" t="s">
        <v>22</v>
      </c>
      <c r="G450">
        <v>53</v>
      </c>
      <c r="H450" t="s">
        <v>20</v>
      </c>
      <c r="I450" t="str">
        <f>VLOOKUP(Table4[[#This Row],[customer_id]],customers!A:G,4,)</f>
        <v>bangalore</v>
      </c>
    </row>
    <row r="451" spans="1:9" x14ac:dyDescent="0.3">
      <c r="A451">
        <v>20450</v>
      </c>
      <c r="B451">
        <v>458</v>
      </c>
      <c r="C451" s="2">
        <v>45377</v>
      </c>
      <c r="D451" s="2" t="str">
        <f>TEXT(Table4[[#This Row],[issue_date]],"mmmm")</f>
        <v>March</v>
      </c>
      <c r="E451" s="9">
        <f>YEAR(Table4[[#This Row],[issue_date]])</f>
        <v>2024</v>
      </c>
      <c r="F451" t="s">
        <v>21</v>
      </c>
      <c r="G451">
        <v>68</v>
      </c>
      <c r="H451" t="s">
        <v>20</v>
      </c>
      <c r="I451" t="str">
        <f>VLOOKUP(Table4[[#This Row],[customer_id]],customers!A:G,4,)</f>
        <v>hyderabad</v>
      </c>
    </row>
    <row r="452" spans="1:9" x14ac:dyDescent="0.3">
      <c r="A452">
        <v>20451</v>
      </c>
      <c r="B452">
        <v>130</v>
      </c>
      <c r="C452" s="2">
        <v>45143</v>
      </c>
      <c r="D452" s="2" t="str">
        <f>TEXT(Table4[[#This Row],[issue_date]],"mmmm")</f>
        <v>August</v>
      </c>
      <c r="E452" s="9">
        <f>YEAR(Table4[[#This Row],[issue_date]])</f>
        <v>2023</v>
      </c>
      <c r="F452" t="s">
        <v>22</v>
      </c>
      <c r="G452">
        <v>25</v>
      </c>
      <c r="H452" t="s">
        <v>20</v>
      </c>
      <c r="I452" t="str">
        <f>VLOOKUP(Table4[[#This Row],[customer_id]],customers!A:G,4,)</f>
        <v>kolkata</v>
      </c>
    </row>
    <row r="453" spans="1:9" x14ac:dyDescent="0.3">
      <c r="A453">
        <v>20452</v>
      </c>
      <c r="B453">
        <v>28</v>
      </c>
      <c r="C453" s="2">
        <v>44737</v>
      </c>
      <c r="D453" s="2" t="str">
        <f>TEXT(Table4[[#This Row],[issue_date]],"mmmm")</f>
        <v>June</v>
      </c>
      <c r="E453" s="9">
        <f>YEAR(Table4[[#This Row],[issue_date]])</f>
        <v>2022</v>
      </c>
      <c r="F453" t="s">
        <v>22</v>
      </c>
      <c r="G453">
        <v>13</v>
      </c>
      <c r="H453" t="s">
        <v>23</v>
      </c>
      <c r="I453" t="str">
        <f>VLOOKUP(Table4[[#This Row],[customer_id]],customers!A:G,4,)</f>
        <v>delhi</v>
      </c>
    </row>
    <row r="454" spans="1:9" x14ac:dyDescent="0.3">
      <c r="A454">
        <v>20453</v>
      </c>
      <c r="B454">
        <v>233</v>
      </c>
      <c r="C454" s="2">
        <v>45205</v>
      </c>
      <c r="D454" s="2" t="str">
        <f>TEXT(Table4[[#This Row],[issue_date]],"mmmm")</f>
        <v>October</v>
      </c>
      <c r="E454" s="9">
        <f>YEAR(Table4[[#This Row],[issue_date]])</f>
        <v>2023</v>
      </c>
      <c r="F454" t="s">
        <v>22</v>
      </c>
      <c r="G454">
        <v>40</v>
      </c>
      <c r="H454" t="s">
        <v>20</v>
      </c>
      <c r="I454" t="str">
        <f>VLOOKUP(Table4[[#This Row],[customer_id]],customers!A:G,4,)</f>
        <v>mumbai</v>
      </c>
    </row>
    <row r="455" spans="1:9" x14ac:dyDescent="0.3">
      <c r="A455">
        <v>20454</v>
      </c>
      <c r="B455">
        <v>229</v>
      </c>
      <c r="C455" s="2">
        <v>44969</v>
      </c>
      <c r="D455" s="2" t="str">
        <f>TEXT(Table4[[#This Row],[issue_date]],"mmmm")</f>
        <v>February</v>
      </c>
      <c r="E455" s="9">
        <f>YEAR(Table4[[#This Row],[issue_date]])</f>
        <v>2023</v>
      </c>
      <c r="F455" t="s">
        <v>21</v>
      </c>
      <c r="G455">
        <v>7</v>
      </c>
      <c r="H455" t="s">
        <v>20</v>
      </c>
      <c r="I455" t="str">
        <f>VLOOKUP(Table4[[#This Row],[customer_id]],customers!A:G,4,)</f>
        <v>hyderabad</v>
      </c>
    </row>
    <row r="456" spans="1:9" x14ac:dyDescent="0.3">
      <c r="A456">
        <v>20455</v>
      </c>
      <c r="B456">
        <v>117</v>
      </c>
      <c r="C456" s="2">
        <v>45051</v>
      </c>
      <c r="D456" s="2" t="str">
        <f>TEXT(Table4[[#This Row],[issue_date]],"mmmm")</f>
        <v>May</v>
      </c>
      <c r="E456" s="9">
        <f>YEAR(Table4[[#This Row],[issue_date]])</f>
        <v>2023</v>
      </c>
      <c r="F456" t="s">
        <v>19</v>
      </c>
      <c r="G456">
        <v>32</v>
      </c>
      <c r="H456" t="s">
        <v>20</v>
      </c>
      <c r="I456" t="str">
        <f>VLOOKUP(Table4[[#This Row],[customer_id]],customers!A:G,4,)</f>
        <v>kolkata</v>
      </c>
    </row>
    <row r="457" spans="1:9" x14ac:dyDescent="0.3">
      <c r="A457">
        <v>20456</v>
      </c>
      <c r="B457">
        <v>401</v>
      </c>
      <c r="C457" s="2">
        <v>45412</v>
      </c>
      <c r="D457" s="2" t="str">
        <f>TEXT(Table4[[#This Row],[issue_date]],"mmmm")</f>
        <v>April</v>
      </c>
      <c r="E457" s="9">
        <f>YEAR(Table4[[#This Row],[issue_date]])</f>
        <v>2024</v>
      </c>
      <c r="F457" t="s">
        <v>22</v>
      </c>
      <c r="G457">
        <v>24</v>
      </c>
      <c r="H457" t="s">
        <v>20</v>
      </c>
      <c r="I457" t="str">
        <f>VLOOKUP(Table4[[#This Row],[customer_id]],customers!A:G,4,)</f>
        <v>chennai</v>
      </c>
    </row>
    <row r="458" spans="1:9" x14ac:dyDescent="0.3">
      <c r="A458">
        <v>20457</v>
      </c>
      <c r="B458">
        <v>326</v>
      </c>
      <c r="C458" s="2">
        <v>45020</v>
      </c>
      <c r="D458" s="2" t="str">
        <f>TEXT(Table4[[#This Row],[issue_date]],"mmmm")</f>
        <v>April</v>
      </c>
      <c r="E458" s="9">
        <f>YEAR(Table4[[#This Row],[issue_date]])</f>
        <v>2023</v>
      </c>
      <c r="F458" t="s">
        <v>22</v>
      </c>
      <c r="G458">
        <v>1</v>
      </c>
      <c r="H458" t="s">
        <v>20</v>
      </c>
      <c r="I458" t="str">
        <f>VLOOKUP(Table4[[#This Row],[customer_id]],customers!A:G,4,)</f>
        <v>bangalore</v>
      </c>
    </row>
    <row r="459" spans="1:9" x14ac:dyDescent="0.3">
      <c r="A459">
        <v>20458</v>
      </c>
      <c r="B459">
        <v>107</v>
      </c>
      <c r="C459" s="2">
        <v>44974</v>
      </c>
      <c r="D459" s="2" t="str">
        <f>TEXT(Table4[[#This Row],[issue_date]],"mmmm")</f>
        <v>February</v>
      </c>
      <c r="E459" s="9">
        <f>YEAR(Table4[[#This Row],[issue_date]])</f>
        <v>2023</v>
      </c>
      <c r="F459" t="s">
        <v>22</v>
      </c>
      <c r="G459">
        <v>47</v>
      </c>
      <c r="H459" t="s">
        <v>20</v>
      </c>
      <c r="I459" t="str">
        <f>VLOOKUP(Table4[[#This Row],[customer_id]],customers!A:G,4,)</f>
        <v>chennai</v>
      </c>
    </row>
    <row r="460" spans="1:9" x14ac:dyDescent="0.3">
      <c r="A460">
        <v>20459</v>
      </c>
      <c r="B460">
        <v>379</v>
      </c>
      <c r="C460" s="2">
        <v>44899</v>
      </c>
      <c r="D460" s="2" t="str">
        <f>TEXT(Table4[[#This Row],[issue_date]],"mmmm")</f>
        <v>December</v>
      </c>
      <c r="E460" s="9">
        <f>YEAR(Table4[[#This Row],[issue_date]])</f>
        <v>2022</v>
      </c>
      <c r="F460" t="s">
        <v>22</v>
      </c>
      <c r="G460">
        <v>51</v>
      </c>
      <c r="H460" t="s">
        <v>20</v>
      </c>
      <c r="I460" t="str">
        <f>VLOOKUP(Table4[[#This Row],[customer_id]],customers!A:G,4,)</f>
        <v>kolkata</v>
      </c>
    </row>
    <row r="461" spans="1:9" x14ac:dyDescent="0.3">
      <c r="A461">
        <v>20460</v>
      </c>
      <c r="B461">
        <v>325</v>
      </c>
      <c r="C461" s="2">
        <v>45433</v>
      </c>
      <c r="D461" s="2" t="str">
        <f>TEXT(Table4[[#This Row],[issue_date]],"mmmm")</f>
        <v>May</v>
      </c>
      <c r="E461" s="9">
        <f>YEAR(Table4[[#This Row],[issue_date]])</f>
        <v>2024</v>
      </c>
      <c r="F461" t="s">
        <v>21</v>
      </c>
      <c r="G461">
        <v>36</v>
      </c>
      <c r="H461" t="s">
        <v>20</v>
      </c>
      <c r="I461" t="str">
        <f>VLOOKUP(Table4[[#This Row],[customer_id]],customers!A:G,4,)</f>
        <v>kolkata</v>
      </c>
    </row>
    <row r="462" spans="1:9" x14ac:dyDescent="0.3">
      <c r="A462">
        <v>20461</v>
      </c>
      <c r="B462">
        <v>295</v>
      </c>
      <c r="C462" s="2">
        <v>44892</v>
      </c>
      <c r="D462" s="2" t="str">
        <f>TEXT(Table4[[#This Row],[issue_date]],"mmmm")</f>
        <v>November</v>
      </c>
      <c r="E462" s="9">
        <f>YEAR(Table4[[#This Row],[issue_date]])</f>
        <v>2022</v>
      </c>
      <c r="F462" t="s">
        <v>19</v>
      </c>
      <c r="G462">
        <v>27</v>
      </c>
      <c r="H462" t="s">
        <v>20</v>
      </c>
      <c r="I462" t="str">
        <f>VLOOKUP(Table4[[#This Row],[customer_id]],customers!A:G,4,)</f>
        <v>delhi</v>
      </c>
    </row>
    <row r="463" spans="1:9" x14ac:dyDescent="0.3">
      <c r="A463">
        <v>20462</v>
      </c>
      <c r="B463">
        <v>391</v>
      </c>
      <c r="C463" s="2">
        <v>44774</v>
      </c>
      <c r="D463" s="2" t="str">
        <f>TEXT(Table4[[#This Row],[issue_date]],"mmmm")</f>
        <v>August</v>
      </c>
      <c r="E463" s="9">
        <f>YEAR(Table4[[#This Row],[issue_date]])</f>
        <v>2022</v>
      </c>
      <c r="F463" t="s">
        <v>19</v>
      </c>
      <c r="G463">
        <v>70</v>
      </c>
      <c r="H463" t="s">
        <v>20</v>
      </c>
      <c r="I463" t="str">
        <f>VLOOKUP(Table4[[#This Row],[customer_id]],customers!A:G,4,)</f>
        <v>chennai</v>
      </c>
    </row>
    <row r="464" spans="1:9" x14ac:dyDescent="0.3">
      <c r="A464">
        <v>20463</v>
      </c>
      <c r="B464">
        <v>160</v>
      </c>
      <c r="C464" s="2">
        <v>45284</v>
      </c>
      <c r="D464" s="2" t="str">
        <f>TEXT(Table4[[#This Row],[issue_date]],"mmmm")</f>
        <v>December</v>
      </c>
      <c r="E464" s="9">
        <f>YEAR(Table4[[#This Row],[issue_date]])</f>
        <v>2023</v>
      </c>
      <c r="F464" t="s">
        <v>22</v>
      </c>
      <c r="G464">
        <v>42</v>
      </c>
      <c r="H464" t="s">
        <v>20</v>
      </c>
      <c r="I464" t="str">
        <f>VLOOKUP(Table4[[#This Row],[customer_id]],customers!A:G,4,)</f>
        <v>hyderabad</v>
      </c>
    </row>
    <row r="465" spans="1:9" x14ac:dyDescent="0.3">
      <c r="A465">
        <v>20464</v>
      </c>
      <c r="B465">
        <v>4</v>
      </c>
      <c r="C465" s="2">
        <v>44906</v>
      </c>
      <c r="D465" s="2" t="str">
        <f>TEXT(Table4[[#This Row],[issue_date]],"mmmm")</f>
        <v>December</v>
      </c>
      <c r="E465" s="9">
        <f>YEAR(Table4[[#This Row],[issue_date]])</f>
        <v>2022</v>
      </c>
      <c r="F465" t="s">
        <v>19</v>
      </c>
      <c r="G465">
        <v>68</v>
      </c>
      <c r="H465" t="s">
        <v>20</v>
      </c>
      <c r="I465" t="str">
        <f>VLOOKUP(Table4[[#This Row],[customer_id]],customers!A:G,4,)</f>
        <v>chennai</v>
      </c>
    </row>
    <row r="466" spans="1:9" x14ac:dyDescent="0.3">
      <c r="A466">
        <v>20465</v>
      </c>
      <c r="B466">
        <v>149</v>
      </c>
      <c r="C466" s="2">
        <v>45137</v>
      </c>
      <c r="D466" s="2" t="str">
        <f>TEXT(Table4[[#This Row],[issue_date]],"mmmm")</f>
        <v>July</v>
      </c>
      <c r="E466" s="9">
        <f>YEAR(Table4[[#This Row],[issue_date]])</f>
        <v>2023</v>
      </c>
      <c r="F466" t="s">
        <v>22</v>
      </c>
      <c r="G466">
        <v>70</v>
      </c>
      <c r="H466" t="s">
        <v>20</v>
      </c>
      <c r="I466" t="str">
        <f>VLOOKUP(Table4[[#This Row],[customer_id]],customers!A:G,4,)</f>
        <v>chennai</v>
      </c>
    </row>
    <row r="467" spans="1:9" x14ac:dyDescent="0.3">
      <c r="A467">
        <v>20466</v>
      </c>
      <c r="B467">
        <v>234</v>
      </c>
      <c r="C467" s="2">
        <v>45108</v>
      </c>
      <c r="D467" s="2" t="str">
        <f>TEXT(Table4[[#This Row],[issue_date]],"mmmm")</f>
        <v>July</v>
      </c>
      <c r="E467" s="9">
        <f>YEAR(Table4[[#This Row],[issue_date]])</f>
        <v>2023</v>
      </c>
      <c r="F467" t="s">
        <v>22</v>
      </c>
      <c r="G467">
        <v>13</v>
      </c>
      <c r="H467" t="s">
        <v>20</v>
      </c>
      <c r="I467" t="str">
        <f>VLOOKUP(Table4[[#This Row],[customer_id]],customers!A:G,4,)</f>
        <v>hyderabad</v>
      </c>
    </row>
    <row r="468" spans="1:9" x14ac:dyDescent="0.3">
      <c r="A468">
        <v>20467</v>
      </c>
      <c r="B468">
        <v>254</v>
      </c>
      <c r="C468" s="2">
        <v>45085</v>
      </c>
      <c r="D468" s="2" t="str">
        <f>TEXT(Table4[[#This Row],[issue_date]],"mmmm")</f>
        <v>June</v>
      </c>
      <c r="E468" s="9">
        <f>YEAR(Table4[[#This Row],[issue_date]])</f>
        <v>2023</v>
      </c>
      <c r="F468" t="s">
        <v>19</v>
      </c>
      <c r="G468">
        <v>25</v>
      </c>
      <c r="H468" t="s">
        <v>20</v>
      </c>
      <c r="I468" t="str">
        <f>VLOOKUP(Table4[[#This Row],[customer_id]],customers!A:G,4,)</f>
        <v>bangalore</v>
      </c>
    </row>
    <row r="469" spans="1:9" x14ac:dyDescent="0.3">
      <c r="A469">
        <v>20468</v>
      </c>
      <c r="B469">
        <v>416</v>
      </c>
      <c r="C469" s="2">
        <v>44907</v>
      </c>
      <c r="D469" s="2" t="str">
        <f>TEXT(Table4[[#This Row],[issue_date]],"mmmm")</f>
        <v>December</v>
      </c>
      <c r="E469" s="9">
        <f>YEAR(Table4[[#This Row],[issue_date]])</f>
        <v>2022</v>
      </c>
      <c r="F469" t="s">
        <v>19</v>
      </c>
      <c r="G469">
        <v>22</v>
      </c>
      <c r="H469" t="s">
        <v>20</v>
      </c>
      <c r="I469" t="str">
        <f>VLOOKUP(Table4[[#This Row],[customer_id]],customers!A:G,4,)</f>
        <v>bangalore</v>
      </c>
    </row>
    <row r="470" spans="1:9" x14ac:dyDescent="0.3">
      <c r="A470">
        <v>20469</v>
      </c>
      <c r="B470">
        <v>248</v>
      </c>
      <c r="C470" s="2">
        <v>45384</v>
      </c>
      <c r="D470" s="2" t="str">
        <f>TEXT(Table4[[#This Row],[issue_date]],"mmmm")</f>
        <v>April</v>
      </c>
      <c r="E470" s="9">
        <f>YEAR(Table4[[#This Row],[issue_date]])</f>
        <v>2024</v>
      </c>
      <c r="F470" t="s">
        <v>21</v>
      </c>
      <c r="G470">
        <v>21</v>
      </c>
      <c r="H470" t="s">
        <v>23</v>
      </c>
      <c r="I470" t="str">
        <f>VLOOKUP(Table4[[#This Row],[customer_id]],customers!A:G,4,)</f>
        <v>bangalore</v>
      </c>
    </row>
    <row r="471" spans="1:9" x14ac:dyDescent="0.3">
      <c r="A471">
        <v>20470</v>
      </c>
      <c r="B471">
        <v>338</v>
      </c>
      <c r="C471" s="2">
        <v>44809</v>
      </c>
      <c r="D471" s="2" t="str">
        <f>TEXT(Table4[[#This Row],[issue_date]],"mmmm")</f>
        <v>September</v>
      </c>
      <c r="E471" s="9">
        <f>YEAR(Table4[[#This Row],[issue_date]])</f>
        <v>2022</v>
      </c>
      <c r="F471" t="s">
        <v>22</v>
      </c>
      <c r="G471">
        <v>15</v>
      </c>
      <c r="H471" t="s">
        <v>20</v>
      </c>
      <c r="I471" t="str">
        <f>VLOOKUP(Table4[[#This Row],[customer_id]],customers!A:G,4,)</f>
        <v>delhi</v>
      </c>
    </row>
    <row r="472" spans="1:9" x14ac:dyDescent="0.3">
      <c r="A472">
        <v>20471</v>
      </c>
      <c r="B472">
        <v>353</v>
      </c>
      <c r="C472" s="2">
        <v>45185</v>
      </c>
      <c r="D472" s="2" t="str">
        <f>TEXT(Table4[[#This Row],[issue_date]],"mmmm")</f>
        <v>September</v>
      </c>
      <c r="E472" s="9">
        <f>YEAR(Table4[[#This Row],[issue_date]])</f>
        <v>2023</v>
      </c>
      <c r="F472" t="s">
        <v>19</v>
      </c>
      <c r="G472">
        <v>67</v>
      </c>
      <c r="H472" t="s">
        <v>20</v>
      </c>
      <c r="I472" t="str">
        <f>VLOOKUP(Table4[[#This Row],[customer_id]],customers!A:G,4,)</f>
        <v>delhi</v>
      </c>
    </row>
    <row r="473" spans="1:9" x14ac:dyDescent="0.3">
      <c r="A473">
        <v>20472</v>
      </c>
      <c r="B473">
        <v>398</v>
      </c>
      <c r="C473" s="2">
        <v>44886</v>
      </c>
      <c r="D473" s="2" t="str">
        <f>TEXT(Table4[[#This Row],[issue_date]],"mmmm")</f>
        <v>November</v>
      </c>
      <c r="E473" s="9">
        <f>YEAR(Table4[[#This Row],[issue_date]])</f>
        <v>2022</v>
      </c>
      <c r="F473" t="s">
        <v>21</v>
      </c>
      <c r="G473">
        <v>37</v>
      </c>
      <c r="H473" t="s">
        <v>20</v>
      </c>
      <c r="I473" t="str">
        <f>VLOOKUP(Table4[[#This Row],[customer_id]],customers!A:G,4,)</f>
        <v>bangalore</v>
      </c>
    </row>
    <row r="474" spans="1:9" x14ac:dyDescent="0.3">
      <c r="A474">
        <v>20473</v>
      </c>
      <c r="B474">
        <v>70</v>
      </c>
      <c r="C474" s="2">
        <v>45028</v>
      </c>
      <c r="D474" s="2" t="str">
        <f>TEXT(Table4[[#This Row],[issue_date]],"mmmm")</f>
        <v>April</v>
      </c>
      <c r="E474" s="9">
        <f>YEAR(Table4[[#This Row],[issue_date]])</f>
        <v>2023</v>
      </c>
      <c r="F474" t="s">
        <v>19</v>
      </c>
      <c r="G474">
        <v>45</v>
      </c>
      <c r="H474" t="s">
        <v>20</v>
      </c>
      <c r="I474" t="str">
        <f>VLOOKUP(Table4[[#This Row],[customer_id]],customers!A:G,4,)</f>
        <v>chennai</v>
      </c>
    </row>
    <row r="475" spans="1:9" x14ac:dyDescent="0.3">
      <c r="A475">
        <v>20474</v>
      </c>
      <c r="B475">
        <v>203</v>
      </c>
      <c r="C475" s="2">
        <v>44652</v>
      </c>
      <c r="D475" s="2" t="str">
        <f>TEXT(Table4[[#This Row],[issue_date]],"mmmm")</f>
        <v>April</v>
      </c>
      <c r="E475" s="9">
        <f>YEAR(Table4[[#This Row],[issue_date]])</f>
        <v>2022</v>
      </c>
      <c r="F475" t="s">
        <v>19</v>
      </c>
      <c r="G475">
        <v>26</v>
      </c>
      <c r="H475" t="s">
        <v>20</v>
      </c>
      <c r="I475" t="str">
        <f>VLOOKUP(Table4[[#This Row],[customer_id]],customers!A:G,4,)</f>
        <v>mumbai</v>
      </c>
    </row>
    <row r="476" spans="1:9" x14ac:dyDescent="0.3">
      <c r="A476">
        <v>20475</v>
      </c>
      <c r="B476">
        <v>302</v>
      </c>
      <c r="C476" s="2">
        <v>44855</v>
      </c>
      <c r="D476" s="2" t="str">
        <f>TEXT(Table4[[#This Row],[issue_date]],"mmmm")</f>
        <v>October</v>
      </c>
      <c r="E476" s="9">
        <f>YEAR(Table4[[#This Row],[issue_date]])</f>
        <v>2022</v>
      </c>
      <c r="F476" t="s">
        <v>22</v>
      </c>
      <c r="G476">
        <v>55</v>
      </c>
      <c r="H476" t="s">
        <v>23</v>
      </c>
      <c r="I476" t="str">
        <f>VLOOKUP(Table4[[#This Row],[customer_id]],customers!A:G,4,)</f>
        <v>kolkata</v>
      </c>
    </row>
    <row r="477" spans="1:9" x14ac:dyDescent="0.3">
      <c r="A477">
        <v>20476</v>
      </c>
      <c r="B477">
        <v>148</v>
      </c>
      <c r="C477" s="2">
        <v>45102</v>
      </c>
      <c r="D477" s="2" t="str">
        <f>TEXT(Table4[[#This Row],[issue_date]],"mmmm")</f>
        <v>June</v>
      </c>
      <c r="E477" s="9">
        <f>YEAR(Table4[[#This Row],[issue_date]])</f>
        <v>2023</v>
      </c>
      <c r="F477" t="s">
        <v>21</v>
      </c>
      <c r="G477">
        <v>50</v>
      </c>
      <c r="H477" t="s">
        <v>20</v>
      </c>
      <c r="I477" t="str">
        <f>VLOOKUP(Table4[[#This Row],[customer_id]],customers!A:G,4,)</f>
        <v>kolkata</v>
      </c>
    </row>
    <row r="478" spans="1:9" x14ac:dyDescent="0.3">
      <c r="A478">
        <v>20477</v>
      </c>
      <c r="B478">
        <v>221</v>
      </c>
      <c r="C478" s="2">
        <v>45085</v>
      </c>
      <c r="D478" s="2" t="str">
        <f>TEXT(Table4[[#This Row],[issue_date]],"mmmm")</f>
        <v>June</v>
      </c>
      <c r="E478" s="9">
        <f>YEAR(Table4[[#This Row],[issue_date]])</f>
        <v>2023</v>
      </c>
      <c r="F478" t="s">
        <v>22</v>
      </c>
      <c r="G478">
        <v>35</v>
      </c>
      <c r="H478" t="s">
        <v>20</v>
      </c>
      <c r="I478" t="str">
        <f>VLOOKUP(Table4[[#This Row],[customer_id]],customers!A:G,4,)</f>
        <v>bangalore</v>
      </c>
    </row>
    <row r="479" spans="1:9" x14ac:dyDescent="0.3">
      <c r="A479">
        <v>20478</v>
      </c>
      <c r="B479">
        <v>186</v>
      </c>
      <c r="C479" s="2">
        <v>45220</v>
      </c>
      <c r="D479" s="2" t="str">
        <f>TEXT(Table4[[#This Row],[issue_date]],"mmmm")</f>
        <v>October</v>
      </c>
      <c r="E479" s="9">
        <f>YEAR(Table4[[#This Row],[issue_date]])</f>
        <v>2023</v>
      </c>
      <c r="F479" t="s">
        <v>19</v>
      </c>
      <c r="G479">
        <v>41</v>
      </c>
      <c r="H479" t="s">
        <v>20</v>
      </c>
      <c r="I479" t="str">
        <f>VLOOKUP(Table4[[#This Row],[customer_id]],customers!A:G,4,)</f>
        <v>hyderabad</v>
      </c>
    </row>
    <row r="480" spans="1:9" x14ac:dyDescent="0.3">
      <c r="A480">
        <v>20479</v>
      </c>
      <c r="B480">
        <v>355</v>
      </c>
      <c r="C480" s="2">
        <v>45210</v>
      </c>
      <c r="D480" s="2" t="str">
        <f>TEXT(Table4[[#This Row],[issue_date]],"mmmm")</f>
        <v>October</v>
      </c>
      <c r="E480" s="9">
        <f>YEAR(Table4[[#This Row],[issue_date]])</f>
        <v>2023</v>
      </c>
      <c r="F480" t="s">
        <v>21</v>
      </c>
      <c r="G480">
        <v>11</v>
      </c>
      <c r="H480" t="s">
        <v>23</v>
      </c>
      <c r="I480" t="str">
        <f>VLOOKUP(Table4[[#This Row],[customer_id]],customers!A:G,4,)</f>
        <v>bangalore</v>
      </c>
    </row>
    <row r="481" spans="1:9" x14ac:dyDescent="0.3">
      <c r="A481">
        <v>20480</v>
      </c>
      <c r="B481">
        <v>336</v>
      </c>
      <c r="C481" s="2">
        <v>45411</v>
      </c>
      <c r="D481" s="2" t="str">
        <f>TEXT(Table4[[#This Row],[issue_date]],"mmmm")</f>
        <v>April</v>
      </c>
      <c r="E481" s="9">
        <f>YEAR(Table4[[#This Row],[issue_date]])</f>
        <v>2024</v>
      </c>
      <c r="F481" t="s">
        <v>22</v>
      </c>
      <c r="G481">
        <v>8</v>
      </c>
      <c r="H481" t="s">
        <v>20</v>
      </c>
      <c r="I481" t="str">
        <f>VLOOKUP(Table4[[#This Row],[customer_id]],customers!A:G,4,)</f>
        <v>bangalore</v>
      </c>
    </row>
    <row r="482" spans="1:9" x14ac:dyDescent="0.3">
      <c r="A482">
        <v>20481</v>
      </c>
      <c r="B482">
        <v>48</v>
      </c>
      <c r="C482" s="2">
        <v>45230</v>
      </c>
      <c r="D482" s="2" t="str">
        <f>TEXT(Table4[[#This Row],[issue_date]],"mmmm")</f>
        <v>October</v>
      </c>
      <c r="E482" s="9">
        <f>YEAR(Table4[[#This Row],[issue_date]])</f>
        <v>2023</v>
      </c>
      <c r="F482" t="s">
        <v>21</v>
      </c>
      <c r="G482">
        <v>54</v>
      </c>
      <c r="H482" t="s">
        <v>20</v>
      </c>
      <c r="I482" t="str">
        <f>VLOOKUP(Table4[[#This Row],[customer_id]],customers!A:G,4,)</f>
        <v>chennai</v>
      </c>
    </row>
    <row r="483" spans="1:9" x14ac:dyDescent="0.3">
      <c r="A483">
        <v>20482</v>
      </c>
      <c r="B483">
        <v>263</v>
      </c>
      <c r="C483" s="2">
        <v>44820</v>
      </c>
      <c r="D483" s="2" t="str">
        <f>TEXT(Table4[[#This Row],[issue_date]],"mmmm")</f>
        <v>September</v>
      </c>
      <c r="E483" s="9">
        <f>YEAR(Table4[[#This Row],[issue_date]])</f>
        <v>2022</v>
      </c>
      <c r="F483" t="s">
        <v>19</v>
      </c>
      <c r="G483">
        <v>1</v>
      </c>
      <c r="H483" t="s">
        <v>20</v>
      </c>
      <c r="I483" t="str">
        <f>VLOOKUP(Table4[[#This Row],[customer_id]],customers!A:G,4,)</f>
        <v>chennai</v>
      </c>
    </row>
    <row r="484" spans="1:9" x14ac:dyDescent="0.3">
      <c r="A484">
        <v>20483</v>
      </c>
      <c r="B484">
        <v>296</v>
      </c>
      <c r="C484" s="2">
        <v>44648</v>
      </c>
      <c r="D484" s="2" t="str">
        <f>TEXT(Table4[[#This Row],[issue_date]],"mmmm")</f>
        <v>March</v>
      </c>
      <c r="E484" s="9">
        <f>YEAR(Table4[[#This Row],[issue_date]])</f>
        <v>2022</v>
      </c>
      <c r="F484" t="s">
        <v>21</v>
      </c>
      <c r="G484">
        <v>20</v>
      </c>
      <c r="H484" t="s">
        <v>20</v>
      </c>
      <c r="I484" t="str">
        <f>VLOOKUP(Table4[[#This Row],[customer_id]],customers!A:G,4,)</f>
        <v>hyderabad</v>
      </c>
    </row>
    <row r="485" spans="1:9" x14ac:dyDescent="0.3">
      <c r="A485">
        <v>20484</v>
      </c>
      <c r="B485">
        <v>315</v>
      </c>
      <c r="C485" s="2">
        <v>44719</v>
      </c>
      <c r="D485" s="2" t="str">
        <f>TEXT(Table4[[#This Row],[issue_date]],"mmmm")</f>
        <v>June</v>
      </c>
      <c r="E485" s="9">
        <f>YEAR(Table4[[#This Row],[issue_date]])</f>
        <v>2022</v>
      </c>
      <c r="F485" t="s">
        <v>19</v>
      </c>
      <c r="G485">
        <v>34</v>
      </c>
      <c r="H485" t="s">
        <v>20</v>
      </c>
      <c r="I485" t="str">
        <f>VLOOKUP(Table4[[#This Row],[customer_id]],customers!A:G,4,)</f>
        <v>kolkata</v>
      </c>
    </row>
    <row r="486" spans="1:9" x14ac:dyDescent="0.3">
      <c r="A486">
        <v>20485</v>
      </c>
      <c r="B486">
        <v>292</v>
      </c>
      <c r="C486" s="2">
        <v>45055</v>
      </c>
      <c r="D486" s="2" t="str">
        <f>TEXT(Table4[[#This Row],[issue_date]],"mmmm")</f>
        <v>May</v>
      </c>
      <c r="E486" s="9">
        <f>YEAR(Table4[[#This Row],[issue_date]])</f>
        <v>2023</v>
      </c>
      <c r="F486" t="s">
        <v>22</v>
      </c>
      <c r="G486">
        <v>57</v>
      </c>
      <c r="H486" t="s">
        <v>20</v>
      </c>
      <c r="I486" t="str">
        <f>VLOOKUP(Table4[[#This Row],[customer_id]],customers!A:G,4,)</f>
        <v>delhi</v>
      </c>
    </row>
    <row r="487" spans="1:9" x14ac:dyDescent="0.3">
      <c r="A487">
        <v>20486</v>
      </c>
      <c r="B487">
        <v>172</v>
      </c>
      <c r="C487" s="2">
        <v>44747</v>
      </c>
      <c r="D487" s="2" t="str">
        <f>TEXT(Table4[[#This Row],[issue_date]],"mmmm")</f>
        <v>July</v>
      </c>
      <c r="E487" s="9">
        <f>YEAR(Table4[[#This Row],[issue_date]])</f>
        <v>2022</v>
      </c>
      <c r="F487" t="s">
        <v>19</v>
      </c>
      <c r="G487">
        <v>13</v>
      </c>
      <c r="H487" t="s">
        <v>20</v>
      </c>
      <c r="I487" t="str">
        <f>VLOOKUP(Table4[[#This Row],[customer_id]],customers!A:G,4,)</f>
        <v>chennai</v>
      </c>
    </row>
    <row r="488" spans="1:9" x14ac:dyDescent="0.3">
      <c r="A488">
        <v>20487</v>
      </c>
      <c r="B488">
        <v>364</v>
      </c>
      <c r="C488" s="2">
        <v>44905</v>
      </c>
      <c r="D488" s="2" t="str">
        <f>TEXT(Table4[[#This Row],[issue_date]],"mmmm")</f>
        <v>December</v>
      </c>
      <c r="E488" s="9">
        <f>YEAR(Table4[[#This Row],[issue_date]])</f>
        <v>2022</v>
      </c>
      <c r="F488" t="s">
        <v>19</v>
      </c>
      <c r="G488">
        <v>54</v>
      </c>
      <c r="H488" t="s">
        <v>20</v>
      </c>
      <c r="I488" t="str">
        <f>VLOOKUP(Table4[[#This Row],[customer_id]],customers!A:G,4,)</f>
        <v>delhi</v>
      </c>
    </row>
    <row r="489" spans="1:9" x14ac:dyDescent="0.3">
      <c r="A489">
        <v>20488</v>
      </c>
      <c r="B489">
        <v>31</v>
      </c>
      <c r="C489" s="2">
        <v>45382</v>
      </c>
      <c r="D489" s="2" t="str">
        <f>TEXT(Table4[[#This Row],[issue_date]],"mmmm")</f>
        <v>March</v>
      </c>
      <c r="E489" s="9">
        <f>YEAR(Table4[[#This Row],[issue_date]])</f>
        <v>2024</v>
      </c>
      <c r="F489" t="s">
        <v>21</v>
      </c>
      <c r="G489">
        <v>53</v>
      </c>
      <c r="H489" t="s">
        <v>20</v>
      </c>
      <c r="I489" t="str">
        <f>VLOOKUP(Table4[[#This Row],[customer_id]],customers!A:G,4,)</f>
        <v>chennai</v>
      </c>
    </row>
    <row r="490" spans="1:9" x14ac:dyDescent="0.3">
      <c r="A490">
        <v>20489</v>
      </c>
      <c r="B490">
        <v>170</v>
      </c>
      <c r="C490" s="2">
        <v>45430</v>
      </c>
      <c r="D490" s="2" t="str">
        <f>TEXT(Table4[[#This Row],[issue_date]],"mmmm")</f>
        <v>May</v>
      </c>
      <c r="E490" s="9">
        <f>YEAR(Table4[[#This Row],[issue_date]])</f>
        <v>2024</v>
      </c>
      <c r="F490" t="s">
        <v>21</v>
      </c>
      <c r="G490">
        <v>52</v>
      </c>
      <c r="H490" t="s">
        <v>20</v>
      </c>
      <c r="I490" t="str">
        <f>VLOOKUP(Table4[[#This Row],[customer_id]],customers!A:G,4,)</f>
        <v>delhi</v>
      </c>
    </row>
    <row r="491" spans="1:9" x14ac:dyDescent="0.3">
      <c r="A491">
        <v>20490</v>
      </c>
      <c r="B491">
        <v>44</v>
      </c>
      <c r="C491" s="2">
        <v>45302</v>
      </c>
      <c r="D491" s="2" t="str">
        <f>TEXT(Table4[[#This Row],[issue_date]],"mmmm")</f>
        <v>January</v>
      </c>
      <c r="E491" s="9">
        <f>YEAR(Table4[[#This Row],[issue_date]])</f>
        <v>2024</v>
      </c>
      <c r="F491" t="s">
        <v>22</v>
      </c>
      <c r="G491">
        <v>6</v>
      </c>
      <c r="H491" t="s">
        <v>23</v>
      </c>
      <c r="I491" t="str">
        <f>VLOOKUP(Table4[[#This Row],[customer_id]],customers!A:G,4,)</f>
        <v>mumbai</v>
      </c>
    </row>
    <row r="492" spans="1:9" x14ac:dyDescent="0.3">
      <c r="A492">
        <v>20491</v>
      </c>
      <c r="B492">
        <v>427</v>
      </c>
      <c r="C492" s="2">
        <v>45077</v>
      </c>
      <c r="D492" s="2" t="str">
        <f>TEXT(Table4[[#This Row],[issue_date]],"mmmm")</f>
        <v>May</v>
      </c>
      <c r="E492" s="9">
        <f>YEAR(Table4[[#This Row],[issue_date]])</f>
        <v>2023</v>
      </c>
      <c r="F492" t="s">
        <v>21</v>
      </c>
      <c r="G492">
        <v>36</v>
      </c>
      <c r="H492" t="s">
        <v>20</v>
      </c>
      <c r="I492" t="str">
        <f>VLOOKUP(Table4[[#This Row],[customer_id]],customers!A:G,4,)</f>
        <v>delhi</v>
      </c>
    </row>
    <row r="493" spans="1:9" x14ac:dyDescent="0.3">
      <c r="A493">
        <v>20492</v>
      </c>
      <c r="B493">
        <v>43</v>
      </c>
      <c r="C493" s="2">
        <v>45130</v>
      </c>
      <c r="D493" s="2" t="str">
        <f>TEXT(Table4[[#This Row],[issue_date]],"mmmm")</f>
        <v>July</v>
      </c>
      <c r="E493" s="9">
        <f>YEAR(Table4[[#This Row],[issue_date]])</f>
        <v>2023</v>
      </c>
      <c r="F493" t="s">
        <v>22</v>
      </c>
      <c r="G493">
        <v>25</v>
      </c>
      <c r="H493" t="s">
        <v>20</v>
      </c>
      <c r="I493" t="str">
        <f>VLOOKUP(Table4[[#This Row],[customer_id]],customers!A:G,4,)</f>
        <v>hyderabad</v>
      </c>
    </row>
    <row r="494" spans="1:9" x14ac:dyDescent="0.3">
      <c r="A494">
        <v>20493</v>
      </c>
      <c r="B494">
        <v>431</v>
      </c>
      <c r="C494" s="2">
        <v>45070</v>
      </c>
      <c r="D494" s="2" t="str">
        <f>TEXT(Table4[[#This Row],[issue_date]],"mmmm")</f>
        <v>May</v>
      </c>
      <c r="E494" s="9">
        <f>YEAR(Table4[[#This Row],[issue_date]])</f>
        <v>2023</v>
      </c>
      <c r="F494" t="s">
        <v>19</v>
      </c>
      <c r="G494">
        <v>58</v>
      </c>
      <c r="H494" t="s">
        <v>20</v>
      </c>
      <c r="I494" t="str">
        <f>VLOOKUP(Table4[[#This Row],[customer_id]],customers!A:G,4,)</f>
        <v>chennai</v>
      </c>
    </row>
    <row r="495" spans="1:9" x14ac:dyDescent="0.3">
      <c r="A495">
        <v>20494</v>
      </c>
      <c r="B495">
        <v>134</v>
      </c>
      <c r="C495" s="2">
        <v>45101</v>
      </c>
      <c r="D495" s="2" t="str">
        <f>TEXT(Table4[[#This Row],[issue_date]],"mmmm")</f>
        <v>June</v>
      </c>
      <c r="E495" s="9">
        <f>YEAR(Table4[[#This Row],[issue_date]])</f>
        <v>2023</v>
      </c>
      <c r="F495" t="s">
        <v>19</v>
      </c>
      <c r="G495">
        <v>55</v>
      </c>
      <c r="H495" t="s">
        <v>20</v>
      </c>
      <c r="I495" t="str">
        <f>VLOOKUP(Table4[[#This Row],[customer_id]],customers!A:G,4,)</f>
        <v>mumbai</v>
      </c>
    </row>
    <row r="496" spans="1:9" x14ac:dyDescent="0.3">
      <c r="A496">
        <v>20495</v>
      </c>
      <c r="B496">
        <v>349</v>
      </c>
      <c r="C496" s="2">
        <v>44577</v>
      </c>
      <c r="D496" s="2" t="str">
        <f>TEXT(Table4[[#This Row],[issue_date]],"mmmm")</f>
        <v>January</v>
      </c>
      <c r="E496" s="9">
        <f>YEAR(Table4[[#This Row],[issue_date]])</f>
        <v>2022</v>
      </c>
      <c r="F496" t="s">
        <v>21</v>
      </c>
      <c r="G496">
        <v>3</v>
      </c>
      <c r="H496" t="s">
        <v>20</v>
      </c>
      <c r="I496" t="str">
        <f>VLOOKUP(Table4[[#This Row],[customer_id]],customers!A:G,4,)</f>
        <v>kolkata</v>
      </c>
    </row>
    <row r="497" spans="1:9" x14ac:dyDescent="0.3">
      <c r="A497">
        <v>20496</v>
      </c>
      <c r="B497">
        <v>219</v>
      </c>
      <c r="C497" s="2">
        <v>45086</v>
      </c>
      <c r="D497" s="2" t="str">
        <f>TEXT(Table4[[#This Row],[issue_date]],"mmmm")</f>
        <v>June</v>
      </c>
      <c r="E497" s="9">
        <f>YEAR(Table4[[#This Row],[issue_date]])</f>
        <v>2023</v>
      </c>
      <c r="F497" t="s">
        <v>19</v>
      </c>
      <c r="G497">
        <v>28</v>
      </c>
      <c r="H497" t="s">
        <v>20</v>
      </c>
      <c r="I497" t="str">
        <f>VLOOKUP(Table4[[#This Row],[customer_id]],customers!A:G,4,)</f>
        <v>bangalore</v>
      </c>
    </row>
    <row r="498" spans="1:9" x14ac:dyDescent="0.3">
      <c r="A498">
        <v>20497</v>
      </c>
      <c r="B498">
        <v>491</v>
      </c>
      <c r="C498" s="2">
        <v>44761</v>
      </c>
      <c r="D498" s="2" t="str">
        <f>TEXT(Table4[[#This Row],[issue_date]],"mmmm")</f>
        <v>July</v>
      </c>
      <c r="E498" s="9">
        <f>YEAR(Table4[[#This Row],[issue_date]])</f>
        <v>2022</v>
      </c>
      <c r="F498" t="s">
        <v>19</v>
      </c>
      <c r="G498">
        <v>68</v>
      </c>
      <c r="H498" t="s">
        <v>20</v>
      </c>
      <c r="I498" t="str">
        <f>VLOOKUP(Table4[[#This Row],[customer_id]],customers!A:G,4,)</f>
        <v>hyderabad</v>
      </c>
    </row>
    <row r="499" spans="1:9" x14ac:dyDescent="0.3">
      <c r="A499">
        <v>20498</v>
      </c>
      <c r="B499">
        <v>450</v>
      </c>
      <c r="C499" s="2">
        <v>44745</v>
      </c>
      <c r="D499" s="2" t="str">
        <f>TEXT(Table4[[#This Row],[issue_date]],"mmmm")</f>
        <v>July</v>
      </c>
      <c r="E499" s="9">
        <f>YEAR(Table4[[#This Row],[issue_date]])</f>
        <v>2022</v>
      </c>
      <c r="F499" t="s">
        <v>22</v>
      </c>
      <c r="G499">
        <v>38</v>
      </c>
      <c r="H499" t="s">
        <v>20</v>
      </c>
      <c r="I499" t="str">
        <f>VLOOKUP(Table4[[#This Row],[customer_id]],customers!A:G,4,)</f>
        <v>mumbai</v>
      </c>
    </row>
    <row r="500" spans="1:9" x14ac:dyDescent="0.3">
      <c r="A500">
        <v>20499</v>
      </c>
      <c r="B500">
        <v>86</v>
      </c>
      <c r="C500" s="2">
        <v>44870</v>
      </c>
      <c r="D500" s="2" t="str">
        <f>TEXT(Table4[[#This Row],[issue_date]],"mmmm")</f>
        <v>November</v>
      </c>
      <c r="E500" s="9">
        <f>YEAR(Table4[[#This Row],[issue_date]])</f>
        <v>2022</v>
      </c>
      <c r="F500" t="s">
        <v>21</v>
      </c>
      <c r="G500">
        <v>34</v>
      </c>
      <c r="H500" t="s">
        <v>20</v>
      </c>
      <c r="I500" t="str">
        <f>VLOOKUP(Table4[[#This Row],[customer_id]],customers!A:G,4,)</f>
        <v>delhi</v>
      </c>
    </row>
    <row r="501" spans="1:9" x14ac:dyDescent="0.3">
      <c r="A501">
        <v>20500</v>
      </c>
      <c r="B501">
        <v>251</v>
      </c>
      <c r="C501" s="2">
        <v>45377</v>
      </c>
      <c r="D501" s="2" t="str">
        <f>TEXT(Table4[[#This Row],[issue_date]],"mmmm")</f>
        <v>March</v>
      </c>
      <c r="E501" s="9">
        <f>YEAR(Table4[[#This Row],[issue_date]])</f>
        <v>2024</v>
      </c>
      <c r="F501" t="s">
        <v>22</v>
      </c>
      <c r="G501">
        <v>13</v>
      </c>
      <c r="H501" t="s">
        <v>20</v>
      </c>
      <c r="I501" t="str">
        <f>VLOOKUP(Table4[[#This Row],[customer_id]],customers!A:G,4,)</f>
        <v>kolkata</v>
      </c>
    </row>
    <row r="502" spans="1:9" x14ac:dyDescent="0.3">
      <c r="A502">
        <v>20501</v>
      </c>
      <c r="B502">
        <v>265</v>
      </c>
      <c r="C502" s="2">
        <v>45069</v>
      </c>
      <c r="D502" s="2" t="str">
        <f>TEXT(Table4[[#This Row],[issue_date]],"mmmm")</f>
        <v>May</v>
      </c>
      <c r="E502" s="9">
        <f>YEAR(Table4[[#This Row],[issue_date]])</f>
        <v>2023</v>
      </c>
      <c r="F502" t="s">
        <v>19</v>
      </c>
      <c r="G502">
        <v>5</v>
      </c>
      <c r="H502" t="s">
        <v>20</v>
      </c>
      <c r="I502" t="str">
        <f>VLOOKUP(Table4[[#This Row],[customer_id]],customers!A:G,4,)</f>
        <v>delhi</v>
      </c>
    </row>
    <row r="503" spans="1:9" x14ac:dyDescent="0.3">
      <c r="A503">
        <v>20502</v>
      </c>
      <c r="B503">
        <v>11</v>
      </c>
      <c r="C503" s="2">
        <v>44842</v>
      </c>
      <c r="D503" s="2" t="str">
        <f>TEXT(Table4[[#This Row],[issue_date]],"mmmm")</f>
        <v>October</v>
      </c>
      <c r="E503" s="9">
        <f>YEAR(Table4[[#This Row],[issue_date]])</f>
        <v>2022</v>
      </c>
      <c r="F503" t="s">
        <v>19</v>
      </c>
      <c r="G503">
        <v>60</v>
      </c>
      <c r="H503" t="s">
        <v>20</v>
      </c>
      <c r="I503" t="str">
        <f>VLOOKUP(Table4[[#This Row],[customer_id]],customers!A:G,4,)</f>
        <v>mumbai</v>
      </c>
    </row>
    <row r="504" spans="1:9" x14ac:dyDescent="0.3">
      <c r="A504">
        <v>20503</v>
      </c>
      <c r="B504">
        <v>80</v>
      </c>
      <c r="C504" s="2">
        <v>45395</v>
      </c>
      <c r="D504" s="2" t="str">
        <f>TEXT(Table4[[#This Row],[issue_date]],"mmmm")</f>
        <v>April</v>
      </c>
      <c r="E504" s="9">
        <f>YEAR(Table4[[#This Row],[issue_date]])</f>
        <v>2024</v>
      </c>
      <c r="F504" t="s">
        <v>19</v>
      </c>
      <c r="G504">
        <v>17</v>
      </c>
      <c r="H504" t="s">
        <v>20</v>
      </c>
      <c r="I504" t="str">
        <f>VLOOKUP(Table4[[#This Row],[customer_id]],customers!A:G,4,)</f>
        <v>kolkata</v>
      </c>
    </row>
    <row r="505" spans="1:9" x14ac:dyDescent="0.3">
      <c r="A505">
        <v>20504</v>
      </c>
      <c r="B505">
        <v>109</v>
      </c>
      <c r="C505" s="2">
        <v>44719</v>
      </c>
      <c r="D505" s="2" t="str">
        <f>TEXT(Table4[[#This Row],[issue_date]],"mmmm")</f>
        <v>June</v>
      </c>
      <c r="E505" s="9">
        <f>YEAR(Table4[[#This Row],[issue_date]])</f>
        <v>2022</v>
      </c>
      <c r="F505" t="s">
        <v>21</v>
      </c>
      <c r="G505">
        <v>57</v>
      </c>
      <c r="H505" t="s">
        <v>20</v>
      </c>
      <c r="I505" t="str">
        <f>VLOOKUP(Table4[[#This Row],[customer_id]],customers!A:G,4,)</f>
        <v>mumbai</v>
      </c>
    </row>
    <row r="506" spans="1:9" x14ac:dyDescent="0.3">
      <c r="A506">
        <v>20505</v>
      </c>
      <c r="B506">
        <v>461</v>
      </c>
      <c r="C506" s="2">
        <v>44921</v>
      </c>
      <c r="D506" s="2" t="str">
        <f>TEXT(Table4[[#This Row],[issue_date]],"mmmm")</f>
        <v>December</v>
      </c>
      <c r="E506" s="9">
        <f>YEAR(Table4[[#This Row],[issue_date]])</f>
        <v>2022</v>
      </c>
      <c r="F506" t="s">
        <v>19</v>
      </c>
      <c r="G506">
        <v>31</v>
      </c>
      <c r="H506" t="s">
        <v>20</v>
      </c>
      <c r="I506" t="str">
        <f>VLOOKUP(Table4[[#This Row],[customer_id]],customers!A:G,4,)</f>
        <v>chennai</v>
      </c>
    </row>
    <row r="507" spans="1:9" x14ac:dyDescent="0.3">
      <c r="A507">
        <v>20506</v>
      </c>
      <c r="B507">
        <v>118</v>
      </c>
      <c r="C507" s="2">
        <v>44820</v>
      </c>
      <c r="D507" s="2" t="str">
        <f>TEXT(Table4[[#This Row],[issue_date]],"mmmm")</f>
        <v>September</v>
      </c>
      <c r="E507" s="9">
        <f>YEAR(Table4[[#This Row],[issue_date]])</f>
        <v>2022</v>
      </c>
      <c r="F507" t="s">
        <v>19</v>
      </c>
      <c r="G507">
        <v>65</v>
      </c>
      <c r="H507" t="s">
        <v>20</v>
      </c>
      <c r="I507" t="str">
        <f>VLOOKUP(Table4[[#This Row],[customer_id]],customers!A:G,4,)</f>
        <v>hyderabad</v>
      </c>
    </row>
    <row r="508" spans="1:9" x14ac:dyDescent="0.3">
      <c r="A508">
        <v>20507</v>
      </c>
      <c r="B508">
        <v>252</v>
      </c>
      <c r="C508" s="2">
        <v>44718</v>
      </c>
      <c r="D508" s="2" t="str">
        <f>TEXT(Table4[[#This Row],[issue_date]],"mmmm")</f>
        <v>June</v>
      </c>
      <c r="E508" s="9">
        <f>YEAR(Table4[[#This Row],[issue_date]])</f>
        <v>2022</v>
      </c>
      <c r="F508" t="s">
        <v>22</v>
      </c>
      <c r="G508">
        <v>66</v>
      </c>
      <c r="H508" t="s">
        <v>20</v>
      </c>
      <c r="I508" t="str">
        <f>VLOOKUP(Table4[[#This Row],[customer_id]],customers!A:G,4,)</f>
        <v>hyderabad</v>
      </c>
    </row>
    <row r="509" spans="1:9" x14ac:dyDescent="0.3">
      <c r="A509">
        <v>20508</v>
      </c>
      <c r="B509">
        <v>18</v>
      </c>
      <c r="C509" s="2">
        <v>44986</v>
      </c>
      <c r="D509" s="2" t="str">
        <f>TEXT(Table4[[#This Row],[issue_date]],"mmmm")</f>
        <v>March</v>
      </c>
      <c r="E509" s="9">
        <f>YEAR(Table4[[#This Row],[issue_date]])</f>
        <v>2023</v>
      </c>
      <c r="F509" t="s">
        <v>21</v>
      </c>
      <c r="G509">
        <v>33</v>
      </c>
      <c r="H509" t="s">
        <v>20</v>
      </c>
      <c r="I509" t="str">
        <f>VLOOKUP(Table4[[#This Row],[customer_id]],customers!A:G,4,)</f>
        <v>delhi</v>
      </c>
    </row>
    <row r="510" spans="1:9" x14ac:dyDescent="0.3">
      <c r="A510">
        <v>20509</v>
      </c>
      <c r="B510">
        <v>256</v>
      </c>
      <c r="C510" s="2">
        <v>45167</v>
      </c>
      <c r="D510" s="2" t="str">
        <f>TEXT(Table4[[#This Row],[issue_date]],"mmmm")</f>
        <v>August</v>
      </c>
      <c r="E510" s="9">
        <f>YEAR(Table4[[#This Row],[issue_date]])</f>
        <v>2023</v>
      </c>
      <c r="F510" t="s">
        <v>19</v>
      </c>
      <c r="G510">
        <v>4</v>
      </c>
      <c r="H510" t="s">
        <v>20</v>
      </c>
      <c r="I510" t="str">
        <f>VLOOKUP(Table4[[#This Row],[customer_id]],customers!A:G,4,)</f>
        <v>kolkata</v>
      </c>
    </row>
    <row r="511" spans="1:9" x14ac:dyDescent="0.3">
      <c r="A511">
        <v>20510</v>
      </c>
      <c r="B511">
        <v>245</v>
      </c>
      <c r="C511" s="2">
        <v>45340</v>
      </c>
      <c r="D511" s="2" t="str">
        <f>TEXT(Table4[[#This Row],[issue_date]],"mmmm")</f>
        <v>February</v>
      </c>
      <c r="E511" s="9">
        <f>YEAR(Table4[[#This Row],[issue_date]])</f>
        <v>2024</v>
      </c>
      <c r="F511" t="s">
        <v>22</v>
      </c>
      <c r="G511">
        <v>55</v>
      </c>
      <c r="H511" t="s">
        <v>20</v>
      </c>
      <c r="I511" t="str">
        <f>VLOOKUP(Table4[[#This Row],[customer_id]],customers!A:G,4,)</f>
        <v>delhi</v>
      </c>
    </row>
    <row r="512" spans="1:9" x14ac:dyDescent="0.3">
      <c r="A512">
        <v>20511</v>
      </c>
      <c r="B512">
        <v>153</v>
      </c>
      <c r="C512" s="2">
        <v>44582</v>
      </c>
      <c r="D512" s="2" t="str">
        <f>TEXT(Table4[[#This Row],[issue_date]],"mmmm")</f>
        <v>January</v>
      </c>
      <c r="E512" s="9">
        <f>YEAR(Table4[[#This Row],[issue_date]])</f>
        <v>2022</v>
      </c>
      <c r="F512" t="s">
        <v>19</v>
      </c>
      <c r="G512">
        <v>24</v>
      </c>
      <c r="H512" t="s">
        <v>20</v>
      </c>
      <c r="I512" t="str">
        <f>VLOOKUP(Table4[[#This Row],[customer_id]],customers!A:G,4,)</f>
        <v>kolkata</v>
      </c>
    </row>
    <row r="513" spans="1:9" x14ac:dyDescent="0.3">
      <c r="A513">
        <v>20512</v>
      </c>
      <c r="B513">
        <v>97</v>
      </c>
      <c r="C513" s="2">
        <v>45200</v>
      </c>
      <c r="D513" s="2" t="str">
        <f>TEXT(Table4[[#This Row],[issue_date]],"mmmm")</f>
        <v>October</v>
      </c>
      <c r="E513" s="9">
        <f>YEAR(Table4[[#This Row],[issue_date]])</f>
        <v>2023</v>
      </c>
      <c r="F513" t="s">
        <v>22</v>
      </c>
      <c r="G513">
        <v>32</v>
      </c>
      <c r="H513" t="s">
        <v>20</v>
      </c>
      <c r="I513" t="str">
        <f>VLOOKUP(Table4[[#This Row],[customer_id]],customers!A:G,4,)</f>
        <v>chennai</v>
      </c>
    </row>
    <row r="514" spans="1:9" x14ac:dyDescent="0.3">
      <c r="A514">
        <v>20513</v>
      </c>
      <c r="B514">
        <v>500</v>
      </c>
      <c r="C514" s="2">
        <v>44908</v>
      </c>
      <c r="D514" s="2" t="str">
        <f>TEXT(Table4[[#This Row],[issue_date]],"mmmm")</f>
        <v>December</v>
      </c>
      <c r="E514" s="9">
        <f>YEAR(Table4[[#This Row],[issue_date]])</f>
        <v>2022</v>
      </c>
      <c r="F514" t="s">
        <v>19</v>
      </c>
      <c r="G514">
        <v>47</v>
      </c>
      <c r="H514" t="s">
        <v>20</v>
      </c>
      <c r="I514" t="str">
        <f>VLOOKUP(Table4[[#This Row],[customer_id]],customers!A:G,4,)</f>
        <v>mumbai</v>
      </c>
    </row>
    <row r="515" spans="1:9" x14ac:dyDescent="0.3">
      <c r="A515">
        <v>20514</v>
      </c>
      <c r="B515">
        <v>458</v>
      </c>
      <c r="C515" s="2">
        <v>45424</v>
      </c>
      <c r="D515" s="2" t="str">
        <f>TEXT(Table4[[#This Row],[issue_date]],"mmmm")</f>
        <v>May</v>
      </c>
      <c r="E515" s="9">
        <f>YEAR(Table4[[#This Row],[issue_date]])</f>
        <v>2024</v>
      </c>
      <c r="F515" t="s">
        <v>21</v>
      </c>
      <c r="G515">
        <v>16</v>
      </c>
      <c r="H515" t="s">
        <v>20</v>
      </c>
      <c r="I515" t="str">
        <f>VLOOKUP(Table4[[#This Row],[customer_id]],customers!A:G,4,)</f>
        <v>hyderabad</v>
      </c>
    </row>
    <row r="516" spans="1:9" x14ac:dyDescent="0.3">
      <c r="A516">
        <v>20515</v>
      </c>
      <c r="B516">
        <v>186</v>
      </c>
      <c r="C516" s="2">
        <v>44911</v>
      </c>
      <c r="D516" s="2" t="str">
        <f>TEXT(Table4[[#This Row],[issue_date]],"mmmm")</f>
        <v>December</v>
      </c>
      <c r="E516" s="9">
        <f>YEAR(Table4[[#This Row],[issue_date]])</f>
        <v>2022</v>
      </c>
      <c r="F516" t="s">
        <v>21</v>
      </c>
      <c r="G516">
        <v>21</v>
      </c>
      <c r="H516" t="s">
        <v>20</v>
      </c>
      <c r="I516" t="str">
        <f>VLOOKUP(Table4[[#This Row],[customer_id]],customers!A:G,4,)</f>
        <v>hyderabad</v>
      </c>
    </row>
    <row r="517" spans="1:9" x14ac:dyDescent="0.3">
      <c r="A517">
        <v>20516</v>
      </c>
      <c r="B517">
        <v>30</v>
      </c>
      <c r="C517" s="2">
        <v>44946</v>
      </c>
      <c r="D517" s="2" t="str">
        <f>TEXT(Table4[[#This Row],[issue_date]],"mmmm")</f>
        <v>January</v>
      </c>
      <c r="E517" s="9">
        <f>YEAR(Table4[[#This Row],[issue_date]])</f>
        <v>2023</v>
      </c>
      <c r="F517" t="s">
        <v>22</v>
      </c>
      <c r="G517">
        <v>67</v>
      </c>
      <c r="H517" t="s">
        <v>20</v>
      </c>
      <c r="I517" t="str">
        <f>VLOOKUP(Table4[[#This Row],[customer_id]],customers!A:G,4,)</f>
        <v>hyderabad</v>
      </c>
    </row>
    <row r="518" spans="1:9" x14ac:dyDescent="0.3">
      <c r="A518">
        <v>20517</v>
      </c>
      <c r="B518">
        <v>115</v>
      </c>
      <c r="C518" s="2">
        <v>44999</v>
      </c>
      <c r="D518" s="2" t="str">
        <f>TEXT(Table4[[#This Row],[issue_date]],"mmmm")</f>
        <v>March</v>
      </c>
      <c r="E518" s="9">
        <f>YEAR(Table4[[#This Row],[issue_date]])</f>
        <v>2023</v>
      </c>
      <c r="F518" t="s">
        <v>19</v>
      </c>
      <c r="G518">
        <v>31</v>
      </c>
      <c r="H518" t="s">
        <v>20</v>
      </c>
      <c r="I518" t="str">
        <f>VLOOKUP(Table4[[#This Row],[customer_id]],customers!A:G,4,)</f>
        <v>bangalore</v>
      </c>
    </row>
    <row r="519" spans="1:9" x14ac:dyDescent="0.3">
      <c r="A519">
        <v>20518</v>
      </c>
      <c r="B519">
        <v>241</v>
      </c>
      <c r="C519" s="2">
        <v>45017</v>
      </c>
      <c r="D519" s="2" t="str">
        <f>TEXT(Table4[[#This Row],[issue_date]],"mmmm")</f>
        <v>April</v>
      </c>
      <c r="E519" s="9">
        <f>YEAR(Table4[[#This Row],[issue_date]])</f>
        <v>2023</v>
      </c>
      <c r="F519" t="s">
        <v>21</v>
      </c>
      <c r="G519">
        <v>14</v>
      </c>
      <c r="H519" t="s">
        <v>20</v>
      </c>
      <c r="I519" t="str">
        <f>VLOOKUP(Table4[[#This Row],[customer_id]],customers!A:G,4,)</f>
        <v>mumbai</v>
      </c>
    </row>
    <row r="520" spans="1:9" x14ac:dyDescent="0.3">
      <c r="A520">
        <v>20519</v>
      </c>
      <c r="B520">
        <v>257</v>
      </c>
      <c r="C520" s="2">
        <v>45185</v>
      </c>
      <c r="D520" s="2" t="str">
        <f>TEXT(Table4[[#This Row],[issue_date]],"mmmm")</f>
        <v>September</v>
      </c>
      <c r="E520" s="9">
        <f>YEAR(Table4[[#This Row],[issue_date]])</f>
        <v>2023</v>
      </c>
      <c r="F520" t="s">
        <v>19</v>
      </c>
      <c r="G520">
        <v>6</v>
      </c>
      <c r="H520" t="s">
        <v>20</v>
      </c>
      <c r="I520" t="str">
        <f>VLOOKUP(Table4[[#This Row],[customer_id]],customers!A:G,4,)</f>
        <v>kolkata</v>
      </c>
    </row>
    <row r="521" spans="1:9" x14ac:dyDescent="0.3">
      <c r="A521">
        <v>20520</v>
      </c>
      <c r="B521">
        <v>447</v>
      </c>
      <c r="C521" s="2">
        <v>45307</v>
      </c>
      <c r="D521" s="2" t="str">
        <f>TEXT(Table4[[#This Row],[issue_date]],"mmmm")</f>
        <v>January</v>
      </c>
      <c r="E521" s="9">
        <f>YEAR(Table4[[#This Row],[issue_date]])</f>
        <v>2024</v>
      </c>
      <c r="F521" t="s">
        <v>21</v>
      </c>
      <c r="G521">
        <v>69</v>
      </c>
      <c r="H521" t="s">
        <v>20</v>
      </c>
      <c r="I521" t="str">
        <f>VLOOKUP(Table4[[#This Row],[customer_id]],customers!A:G,4,)</f>
        <v>delhi</v>
      </c>
    </row>
    <row r="522" spans="1:9" x14ac:dyDescent="0.3">
      <c r="A522">
        <v>20521</v>
      </c>
      <c r="B522">
        <v>353</v>
      </c>
      <c r="C522" s="2">
        <v>45107</v>
      </c>
      <c r="D522" s="2" t="str">
        <f>TEXT(Table4[[#This Row],[issue_date]],"mmmm")</f>
        <v>June</v>
      </c>
      <c r="E522" s="9">
        <f>YEAR(Table4[[#This Row],[issue_date]])</f>
        <v>2023</v>
      </c>
      <c r="F522" t="s">
        <v>22</v>
      </c>
      <c r="G522">
        <v>29</v>
      </c>
      <c r="H522" t="s">
        <v>20</v>
      </c>
      <c r="I522" t="str">
        <f>VLOOKUP(Table4[[#This Row],[customer_id]],customers!A:G,4,)</f>
        <v>delhi</v>
      </c>
    </row>
    <row r="523" spans="1:9" x14ac:dyDescent="0.3">
      <c r="A523">
        <v>20522</v>
      </c>
      <c r="B523">
        <v>113</v>
      </c>
      <c r="C523" s="2">
        <v>44641</v>
      </c>
      <c r="D523" s="2" t="str">
        <f>TEXT(Table4[[#This Row],[issue_date]],"mmmm")</f>
        <v>March</v>
      </c>
      <c r="E523" s="9">
        <f>YEAR(Table4[[#This Row],[issue_date]])</f>
        <v>2022</v>
      </c>
      <c r="F523" t="s">
        <v>21</v>
      </c>
      <c r="G523">
        <v>55</v>
      </c>
      <c r="H523" t="s">
        <v>20</v>
      </c>
      <c r="I523" t="str">
        <f>VLOOKUP(Table4[[#This Row],[customer_id]],customers!A:G,4,)</f>
        <v>kolkata</v>
      </c>
    </row>
    <row r="524" spans="1:9" x14ac:dyDescent="0.3">
      <c r="A524">
        <v>20523</v>
      </c>
      <c r="B524">
        <v>335</v>
      </c>
      <c r="C524" s="2">
        <v>45013</v>
      </c>
      <c r="D524" s="2" t="str">
        <f>TEXT(Table4[[#This Row],[issue_date]],"mmmm")</f>
        <v>March</v>
      </c>
      <c r="E524" s="9">
        <f>YEAR(Table4[[#This Row],[issue_date]])</f>
        <v>2023</v>
      </c>
      <c r="F524" t="s">
        <v>19</v>
      </c>
      <c r="G524">
        <v>37</v>
      </c>
      <c r="H524" t="s">
        <v>20</v>
      </c>
      <c r="I524" t="str">
        <f>VLOOKUP(Table4[[#This Row],[customer_id]],customers!A:G,4,)</f>
        <v>kolkata</v>
      </c>
    </row>
    <row r="525" spans="1:9" x14ac:dyDescent="0.3">
      <c r="A525">
        <v>20524</v>
      </c>
      <c r="B525">
        <v>29</v>
      </c>
      <c r="C525" s="2">
        <v>45156</v>
      </c>
      <c r="D525" s="2" t="str">
        <f>TEXT(Table4[[#This Row],[issue_date]],"mmmm")</f>
        <v>August</v>
      </c>
      <c r="E525" s="9">
        <f>YEAR(Table4[[#This Row],[issue_date]])</f>
        <v>2023</v>
      </c>
      <c r="F525" t="s">
        <v>19</v>
      </c>
      <c r="G525">
        <v>59</v>
      </c>
      <c r="H525" t="s">
        <v>23</v>
      </c>
      <c r="I525" t="str">
        <f>VLOOKUP(Table4[[#This Row],[customer_id]],customers!A:G,4,)</f>
        <v>kolkata</v>
      </c>
    </row>
    <row r="526" spans="1:9" x14ac:dyDescent="0.3">
      <c r="A526">
        <v>20525</v>
      </c>
      <c r="B526">
        <v>322</v>
      </c>
      <c r="C526" s="2">
        <v>45102</v>
      </c>
      <c r="D526" s="2" t="str">
        <f>TEXT(Table4[[#This Row],[issue_date]],"mmmm")</f>
        <v>June</v>
      </c>
      <c r="E526" s="9">
        <f>YEAR(Table4[[#This Row],[issue_date]])</f>
        <v>2023</v>
      </c>
      <c r="F526" t="s">
        <v>19</v>
      </c>
      <c r="G526">
        <v>36</v>
      </c>
      <c r="H526" t="s">
        <v>20</v>
      </c>
      <c r="I526" t="str">
        <f>VLOOKUP(Table4[[#This Row],[customer_id]],customers!A:G,4,)</f>
        <v>kolkata</v>
      </c>
    </row>
    <row r="527" spans="1:9" x14ac:dyDescent="0.3">
      <c r="A527">
        <v>20526</v>
      </c>
      <c r="B527">
        <v>459</v>
      </c>
      <c r="C527" s="2">
        <v>45050</v>
      </c>
      <c r="D527" s="2" t="str">
        <f>TEXT(Table4[[#This Row],[issue_date]],"mmmm")</f>
        <v>May</v>
      </c>
      <c r="E527" s="9">
        <f>YEAR(Table4[[#This Row],[issue_date]])</f>
        <v>2023</v>
      </c>
      <c r="F527" t="s">
        <v>22</v>
      </c>
      <c r="G527">
        <v>59</v>
      </c>
      <c r="H527" t="s">
        <v>20</v>
      </c>
      <c r="I527" t="str">
        <f>VLOOKUP(Table4[[#This Row],[customer_id]],customers!A:G,4,)</f>
        <v>chennai</v>
      </c>
    </row>
    <row r="528" spans="1:9" x14ac:dyDescent="0.3">
      <c r="A528">
        <v>20527</v>
      </c>
      <c r="B528">
        <v>437</v>
      </c>
      <c r="C528" s="2">
        <v>45204</v>
      </c>
      <c r="D528" s="2" t="str">
        <f>TEXT(Table4[[#This Row],[issue_date]],"mmmm")</f>
        <v>October</v>
      </c>
      <c r="E528" s="9">
        <f>YEAR(Table4[[#This Row],[issue_date]])</f>
        <v>2023</v>
      </c>
      <c r="F528" t="s">
        <v>22</v>
      </c>
      <c r="G528">
        <v>64</v>
      </c>
      <c r="H528" t="s">
        <v>20</v>
      </c>
      <c r="I528" t="str">
        <f>VLOOKUP(Table4[[#This Row],[customer_id]],customers!A:G,4,)</f>
        <v>hyderabad</v>
      </c>
    </row>
    <row r="529" spans="1:9" x14ac:dyDescent="0.3">
      <c r="A529">
        <v>20528</v>
      </c>
      <c r="B529">
        <v>226</v>
      </c>
      <c r="C529" s="2">
        <v>45084</v>
      </c>
      <c r="D529" s="2" t="str">
        <f>TEXT(Table4[[#This Row],[issue_date]],"mmmm")</f>
        <v>June</v>
      </c>
      <c r="E529" s="9">
        <f>YEAR(Table4[[#This Row],[issue_date]])</f>
        <v>2023</v>
      </c>
      <c r="F529" t="s">
        <v>19</v>
      </c>
      <c r="G529">
        <v>43</v>
      </c>
      <c r="H529" t="s">
        <v>20</v>
      </c>
      <c r="I529" t="str">
        <f>VLOOKUP(Table4[[#This Row],[customer_id]],customers!A:G,4,)</f>
        <v>chennai</v>
      </c>
    </row>
    <row r="530" spans="1:9" x14ac:dyDescent="0.3">
      <c r="A530">
        <v>20529</v>
      </c>
      <c r="B530">
        <v>244</v>
      </c>
      <c r="C530" s="2">
        <v>44953</v>
      </c>
      <c r="D530" s="2" t="str">
        <f>TEXT(Table4[[#This Row],[issue_date]],"mmmm")</f>
        <v>January</v>
      </c>
      <c r="E530" s="9">
        <f>YEAR(Table4[[#This Row],[issue_date]])</f>
        <v>2023</v>
      </c>
      <c r="F530" t="s">
        <v>19</v>
      </c>
      <c r="G530">
        <v>42</v>
      </c>
      <c r="H530" t="s">
        <v>20</v>
      </c>
      <c r="I530" t="str">
        <f>VLOOKUP(Table4[[#This Row],[customer_id]],customers!A:G,4,)</f>
        <v>bangalore</v>
      </c>
    </row>
    <row r="531" spans="1:9" x14ac:dyDescent="0.3">
      <c r="A531">
        <v>20530</v>
      </c>
      <c r="B531">
        <v>361</v>
      </c>
      <c r="C531" s="2">
        <v>45135</v>
      </c>
      <c r="D531" s="2" t="str">
        <f>TEXT(Table4[[#This Row],[issue_date]],"mmmm")</f>
        <v>July</v>
      </c>
      <c r="E531" s="9">
        <f>YEAR(Table4[[#This Row],[issue_date]])</f>
        <v>2023</v>
      </c>
      <c r="F531" t="s">
        <v>21</v>
      </c>
      <c r="G531">
        <v>60</v>
      </c>
      <c r="H531" t="s">
        <v>20</v>
      </c>
      <c r="I531" t="str">
        <f>VLOOKUP(Table4[[#This Row],[customer_id]],customers!A:G,4,)</f>
        <v>chennai</v>
      </c>
    </row>
    <row r="532" spans="1:9" x14ac:dyDescent="0.3">
      <c r="A532">
        <v>20531</v>
      </c>
      <c r="B532">
        <v>19</v>
      </c>
      <c r="C532" s="2">
        <v>44920</v>
      </c>
      <c r="D532" s="2" t="str">
        <f>TEXT(Table4[[#This Row],[issue_date]],"mmmm")</f>
        <v>December</v>
      </c>
      <c r="E532" s="9">
        <f>YEAR(Table4[[#This Row],[issue_date]])</f>
        <v>2022</v>
      </c>
      <c r="F532" t="s">
        <v>21</v>
      </c>
      <c r="G532">
        <v>62</v>
      </c>
      <c r="H532" t="s">
        <v>20</v>
      </c>
      <c r="I532" t="str">
        <f>VLOOKUP(Table4[[#This Row],[customer_id]],customers!A:G,4,)</f>
        <v>kolkata</v>
      </c>
    </row>
    <row r="533" spans="1:9" x14ac:dyDescent="0.3">
      <c r="A533">
        <v>20532</v>
      </c>
      <c r="B533">
        <v>322</v>
      </c>
      <c r="C533" s="2">
        <v>44594</v>
      </c>
      <c r="D533" s="2" t="str">
        <f>TEXT(Table4[[#This Row],[issue_date]],"mmmm")</f>
        <v>February</v>
      </c>
      <c r="E533" s="9">
        <f>YEAR(Table4[[#This Row],[issue_date]])</f>
        <v>2022</v>
      </c>
      <c r="F533" t="s">
        <v>21</v>
      </c>
      <c r="G533">
        <v>64</v>
      </c>
      <c r="H533" t="s">
        <v>20</v>
      </c>
      <c r="I533" t="str">
        <f>VLOOKUP(Table4[[#This Row],[customer_id]],customers!A:G,4,)</f>
        <v>kolkata</v>
      </c>
    </row>
    <row r="534" spans="1:9" x14ac:dyDescent="0.3">
      <c r="A534">
        <v>20533</v>
      </c>
      <c r="B534">
        <v>112</v>
      </c>
      <c r="C534" s="2">
        <v>44697</v>
      </c>
      <c r="D534" s="2" t="str">
        <f>TEXT(Table4[[#This Row],[issue_date]],"mmmm")</f>
        <v>May</v>
      </c>
      <c r="E534" s="9">
        <f>YEAR(Table4[[#This Row],[issue_date]])</f>
        <v>2022</v>
      </c>
      <c r="F534" t="s">
        <v>19</v>
      </c>
      <c r="G534">
        <v>58</v>
      </c>
      <c r="H534" t="s">
        <v>20</v>
      </c>
      <c r="I534" t="str">
        <f>VLOOKUP(Table4[[#This Row],[customer_id]],customers!A:G,4,)</f>
        <v>chennai</v>
      </c>
    </row>
    <row r="535" spans="1:9" x14ac:dyDescent="0.3">
      <c r="A535">
        <v>20534</v>
      </c>
      <c r="B535">
        <v>212</v>
      </c>
      <c r="C535" s="2">
        <v>45161</v>
      </c>
      <c r="D535" s="2" t="str">
        <f>TEXT(Table4[[#This Row],[issue_date]],"mmmm")</f>
        <v>August</v>
      </c>
      <c r="E535" s="9">
        <f>YEAR(Table4[[#This Row],[issue_date]])</f>
        <v>2023</v>
      </c>
      <c r="F535" t="s">
        <v>21</v>
      </c>
      <c r="G535">
        <v>2</v>
      </c>
      <c r="H535" t="s">
        <v>20</v>
      </c>
      <c r="I535" t="str">
        <f>VLOOKUP(Table4[[#This Row],[customer_id]],customers!A:G,4,)</f>
        <v>delhi</v>
      </c>
    </row>
    <row r="536" spans="1:9" x14ac:dyDescent="0.3">
      <c r="A536">
        <v>20535</v>
      </c>
      <c r="B536">
        <v>233</v>
      </c>
      <c r="C536" s="2">
        <v>44971</v>
      </c>
      <c r="D536" s="2" t="str">
        <f>TEXT(Table4[[#This Row],[issue_date]],"mmmm")</f>
        <v>February</v>
      </c>
      <c r="E536" s="9">
        <f>YEAR(Table4[[#This Row],[issue_date]])</f>
        <v>2023</v>
      </c>
      <c r="F536" t="s">
        <v>19</v>
      </c>
      <c r="G536">
        <v>71</v>
      </c>
      <c r="H536" t="s">
        <v>20</v>
      </c>
      <c r="I536" t="str">
        <f>VLOOKUP(Table4[[#This Row],[customer_id]],customers!A:G,4,)</f>
        <v>mumbai</v>
      </c>
    </row>
    <row r="537" spans="1:9" x14ac:dyDescent="0.3">
      <c r="A537">
        <v>20536</v>
      </c>
      <c r="B537">
        <v>436</v>
      </c>
      <c r="C537" s="2">
        <v>45090</v>
      </c>
      <c r="D537" s="2" t="str">
        <f>TEXT(Table4[[#This Row],[issue_date]],"mmmm")</f>
        <v>June</v>
      </c>
      <c r="E537" s="9">
        <f>YEAR(Table4[[#This Row],[issue_date]])</f>
        <v>2023</v>
      </c>
      <c r="F537" t="s">
        <v>22</v>
      </c>
      <c r="G537">
        <v>8</v>
      </c>
      <c r="H537" t="s">
        <v>20</v>
      </c>
      <c r="I537" t="str">
        <f>VLOOKUP(Table4[[#This Row],[customer_id]],customers!A:G,4,)</f>
        <v>delhi</v>
      </c>
    </row>
    <row r="538" spans="1:9" x14ac:dyDescent="0.3">
      <c r="A538">
        <v>20537</v>
      </c>
      <c r="B538">
        <v>159</v>
      </c>
      <c r="C538" s="2">
        <v>44652</v>
      </c>
      <c r="D538" s="2" t="str">
        <f>TEXT(Table4[[#This Row],[issue_date]],"mmmm")</f>
        <v>April</v>
      </c>
      <c r="E538" s="9">
        <f>YEAR(Table4[[#This Row],[issue_date]])</f>
        <v>2022</v>
      </c>
      <c r="F538" t="s">
        <v>21</v>
      </c>
      <c r="G538">
        <v>56</v>
      </c>
      <c r="H538" t="s">
        <v>20</v>
      </c>
      <c r="I538" t="str">
        <f>VLOOKUP(Table4[[#This Row],[customer_id]],customers!A:G,4,)</f>
        <v>delhi</v>
      </c>
    </row>
    <row r="539" spans="1:9" x14ac:dyDescent="0.3">
      <c r="A539">
        <v>20538</v>
      </c>
      <c r="B539">
        <v>60</v>
      </c>
      <c r="C539" s="2">
        <v>44974</v>
      </c>
      <c r="D539" s="2" t="str">
        <f>TEXT(Table4[[#This Row],[issue_date]],"mmmm")</f>
        <v>February</v>
      </c>
      <c r="E539" s="9">
        <f>YEAR(Table4[[#This Row],[issue_date]])</f>
        <v>2023</v>
      </c>
      <c r="F539" t="s">
        <v>19</v>
      </c>
      <c r="G539">
        <v>36</v>
      </c>
      <c r="H539" t="s">
        <v>20</v>
      </c>
      <c r="I539" t="str">
        <f>VLOOKUP(Table4[[#This Row],[customer_id]],customers!A:G,4,)</f>
        <v>hyderabad</v>
      </c>
    </row>
    <row r="540" spans="1:9" x14ac:dyDescent="0.3">
      <c r="A540">
        <v>20539</v>
      </c>
      <c r="B540">
        <v>373</v>
      </c>
      <c r="C540" s="2">
        <v>44860</v>
      </c>
      <c r="D540" s="2" t="str">
        <f>TEXT(Table4[[#This Row],[issue_date]],"mmmm")</f>
        <v>October</v>
      </c>
      <c r="E540" s="9">
        <f>YEAR(Table4[[#This Row],[issue_date]])</f>
        <v>2022</v>
      </c>
      <c r="F540" t="s">
        <v>19</v>
      </c>
      <c r="G540">
        <v>69</v>
      </c>
      <c r="H540" t="s">
        <v>20</v>
      </c>
      <c r="I540" t="str">
        <f>VLOOKUP(Table4[[#This Row],[customer_id]],customers!A:G,4,)</f>
        <v>bangalore</v>
      </c>
    </row>
    <row r="541" spans="1:9" x14ac:dyDescent="0.3">
      <c r="A541">
        <v>20540</v>
      </c>
      <c r="B541">
        <v>324</v>
      </c>
      <c r="C541" s="2">
        <v>45048</v>
      </c>
      <c r="D541" s="2" t="str">
        <f>TEXT(Table4[[#This Row],[issue_date]],"mmmm")</f>
        <v>May</v>
      </c>
      <c r="E541" s="9">
        <f>YEAR(Table4[[#This Row],[issue_date]])</f>
        <v>2023</v>
      </c>
      <c r="F541" t="s">
        <v>22</v>
      </c>
      <c r="G541">
        <v>13</v>
      </c>
      <c r="H541" t="s">
        <v>23</v>
      </c>
      <c r="I541" t="str">
        <f>VLOOKUP(Table4[[#This Row],[customer_id]],customers!A:G,4,)</f>
        <v>delhi</v>
      </c>
    </row>
    <row r="542" spans="1:9" x14ac:dyDescent="0.3">
      <c r="A542">
        <v>20541</v>
      </c>
      <c r="B542">
        <v>93</v>
      </c>
      <c r="C542" s="2">
        <v>45326</v>
      </c>
      <c r="D542" s="2" t="str">
        <f>TEXT(Table4[[#This Row],[issue_date]],"mmmm")</f>
        <v>February</v>
      </c>
      <c r="E542" s="9">
        <f>YEAR(Table4[[#This Row],[issue_date]])</f>
        <v>2024</v>
      </c>
      <c r="F542" t="s">
        <v>22</v>
      </c>
      <c r="G542">
        <v>39</v>
      </c>
      <c r="H542" t="s">
        <v>20</v>
      </c>
      <c r="I542" t="str">
        <f>VLOOKUP(Table4[[#This Row],[customer_id]],customers!A:G,4,)</f>
        <v>bangalore</v>
      </c>
    </row>
    <row r="543" spans="1:9" x14ac:dyDescent="0.3">
      <c r="A543">
        <v>20542</v>
      </c>
      <c r="B543">
        <v>248</v>
      </c>
      <c r="C543" s="2">
        <v>44634</v>
      </c>
      <c r="D543" s="2" t="str">
        <f>TEXT(Table4[[#This Row],[issue_date]],"mmmm")</f>
        <v>March</v>
      </c>
      <c r="E543" s="9">
        <f>YEAR(Table4[[#This Row],[issue_date]])</f>
        <v>2022</v>
      </c>
      <c r="F543" t="s">
        <v>22</v>
      </c>
      <c r="G543">
        <v>6</v>
      </c>
      <c r="H543" t="s">
        <v>20</v>
      </c>
      <c r="I543" t="str">
        <f>VLOOKUP(Table4[[#This Row],[customer_id]],customers!A:G,4,)</f>
        <v>bangalore</v>
      </c>
    </row>
    <row r="544" spans="1:9" x14ac:dyDescent="0.3">
      <c r="A544">
        <v>20543</v>
      </c>
      <c r="B544">
        <v>158</v>
      </c>
      <c r="C544" s="2">
        <v>45279</v>
      </c>
      <c r="D544" s="2" t="str">
        <f>TEXT(Table4[[#This Row],[issue_date]],"mmmm")</f>
        <v>December</v>
      </c>
      <c r="E544" s="9">
        <f>YEAR(Table4[[#This Row],[issue_date]])</f>
        <v>2023</v>
      </c>
      <c r="F544" t="s">
        <v>22</v>
      </c>
      <c r="G544">
        <v>19</v>
      </c>
      <c r="H544" t="s">
        <v>20</v>
      </c>
      <c r="I544" t="str">
        <f>VLOOKUP(Table4[[#This Row],[customer_id]],customers!A:G,4,)</f>
        <v>kolkata</v>
      </c>
    </row>
    <row r="545" spans="1:9" x14ac:dyDescent="0.3">
      <c r="A545">
        <v>20544</v>
      </c>
      <c r="B545">
        <v>141</v>
      </c>
      <c r="C545" s="2">
        <v>44822</v>
      </c>
      <c r="D545" s="2" t="str">
        <f>TEXT(Table4[[#This Row],[issue_date]],"mmmm")</f>
        <v>September</v>
      </c>
      <c r="E545" s="9">
        <f>YEAR(Table4[[#This Row],[issue_date]])</f>
        <v>2022</v>
      </c>
      <c r="F545" t="s">
        <v>21</v>
      </c>
      <c r="G545">
        <v>25</v>
      </c>
      <c r="H545" t="s">
        <v>20</v>
      </c>
      <c r="I545" t="str">
        <f>VLOOKUP(Table4[[#This Row],[customer_id]],customers!A:G,4,)</f>
        <v>hyderabad</v>
      </c>
    </row>
    <row r="546" spans="1:9" x14ac:dyDescent="0.3">
      <c r="A546">
        <v>20545</v>
      </c>
      <c r="B546">
        <v>399</v>
      </c>
      <c r="C546" s="2">
        <v>45251</v>
      </c>
      <c r="D546" s="2" t="str">
        <f>TEXT(Table4[[#This Row],[issue_date]],"mmmm")</f>
        <v>November</v>
      </c>
      <c r="E546" s="9">
        <f>YEAR(Table4[[#This Row],[issue_date]])</f>
        <v>2023</v>
      </c>
      <c r="F546" t="s">
        <v>22</v>
      </c>
      <c r="G546">
        <v>3</v>
      </c>
      <c r="H546" t="s">
        <v>20</v>
      </c>
      <c r="I546" t="str">
        <f>VLOOKUP(Table4[[#This Row],[customer_id]],customers!A:G,4,)</f>
        <v>hyderabad</v>
      </c>
    </row>
    <row r="547" spans="1:9" x14ac:dyDescent="0.3">
      <c r="A547">
        <v>20546</v>
      </c>
      <c r="B547">
        <v>404</v>
      </c>
      <c r="C547" s="2">
        <v>44873</v>
      </c>
      <c r="D547" s="2" t="str">
        <f>TEXT(Table4[[#This Row],[issue_date]],"mmmm")</f>
        <v>November</v>
      </c>
      <c r="E547" s="9">
        <f>YEAR(Table4[[#This Row],[issue_date]])</f>
        <v>2022</v>
      </c>
      <c r="F547" t="s">
        <v>19</v>
      </c>
      <c r="G547">
        <v>53</v>
      </c>
      <c r="H547" t="s">
        <v>20</v>
      </c>
      <c r="I547" t="str">
        <f>VLOOKUP(Table4[[#This Row],[customer_id]],customers!A:G,4,)</f>
        <v>hyderabad</v>
      </c>
    </row>
    <row r="548" spans="1:9" x14ac:dyDescent="0.3">
      <c r="A548">
        <v>20547</v>
      </c>
      <c r="B548">
        <v>418</v>
      </c>
      <c r="C548" s="2">
        <v>45386</v>
      </c>
      <c r="D548" s="2" t="str">
        <f>TEXT(Table4[[#This Row],[issue_date]],"mmmm")</f>
        <v>April</v>
      </c>
      <c r="E548" s="9">
        <f>YEAR(Table4[[#This Row],[issue_date]])</f>
        <v>2024</v>
      </c>
      <c r="F548" t="s">
        <v>19</v>
      </c>
      <c r="G548">
        <v>28</v>
      </c>
      <c r="H548" t="s">
        <v>20</v>
      </c>
      <c r="I548" t="str">
        <f>VLOOKUP(Table4[[#This Row],[customer_id]],customers!A:G,4,)</f>
        <v>mumbai</v>
      </c>
    </row>
    <row r="549" spans="1:9" x14ac:dyDescent="0.3">
      <c r="A549">
        <v>20548</v>
      </c>
      <c r="B549">
        <v>220</v>
      </c>
      <c r="C549" s="2">
        <v>45293</v>
      </c>
      <c r="D549" s="2" t="str">
        <f>TEXT(Table4[[#This Row],[issue_date]],"mmmm")</f>
        <v>January</v>
      </c>
      <c r="E549" s="9">
        <f>YEAR(Table4[[#This Row],[issue_date]])</f>
        <v>2024</v>
      </c>
      <c r="F549" t="s">
        <v>19</v>
      </c>
      <c r="G549">
        <v>26</v>
      </c>
      <c r="H549" t="s">
        <v>20</v>
      </c>
      <c r="I549" t="str">
        <f>VLOOKUP(Table4[[#This Row],[customer_id]],customers!A:G,4,)</f>
        <v>bangalore</v>
      </c>
    </row>
    <row r="550" spans="1:9" x14ac:dyDescent="0.3">
      <c r="A550">
        <v>20549</v>
      </c>
      <c r="B550">
        <v>404</v>
      </c>
      <c r="C550" s="2">
        <v>45246</v>
      </c>
      <c r="D550" s="2" t="str">
        <f>TEXT(Table4[[#This Row],[issue_date]],"mmmm")</f>
        <v>November</v>
      </c>
      <c r="E550" s="9">
        <f>YEAR(Table4[[#This Row],[issue_date]])</f>
        <v>2023</v>
      </c>
      <c r="F550" t="s">
        <v>19</v>
      </c>
      <c r="G550">
        <v>47</v>
      </c>
      <c r="H550" t="s">
        <v>20</v>
      </c>
      <c r="I550" t="str">
        <f>VLOOKUP(Table4[[#This Row],[customer_id]],customers!A:G,4,)</f>
        <v>hyderabad</v>
      </c>
    </row>
    <row r="551" spans="1:9" x14ac:dyDescent="0.3">
      <c r="A551">
        <v>20550</v>
      </c>
      <c r="B551">
        <v>306</v>
      </c>
      <c r="C551" s="2">
        <v>44726</v>
      </c>
      <c r="D551" s="2" t="str">
        <f>TEXT(Table4[[#This Row],[issue_date]],"mmmm")</f>
        <v>June</v>
      </c>
      <c r="E551" s="9">
        <f>YEAR(Table4[[#This Row],[issue_date]])</f>
        <v>2022</v>
      </c>
      <c r="F551" t="s">
        <v>19</v>
      </c>
      <c r="G551">
        <v>8</v>
      </c>
      <c r="H551" t="s">
        <v>20</v>
      </c>
      <c r="I551" t="str">
        <f>VLOOKUP(Table4[[#This Row],[customer_id]],customers!A:G,4,)</f>
        <v>bangalore</v>
      </c>
    </row>
    <row r="552" spans="1:9" x14ac:dyDescent="0.3">
      <c r="A552">
        <v>20551</v>
      </c>
      <c r="B552">
        <v>89</v>
      </c>
      <c r="C552" s="2">
        <v>45401</v>
      </c>
      <c r="D552" s="2" t="str">
        <f>TEXT(Table4[[#This Row],[issue_date]],"mmmm")</f>
        <v>April</v>
      </c>
      <c r="E552" s="9">
        <f>YEAR(Table4[[#This Row],[issue_date]])</f>
        <v>2024</v>
      </c>
      <c r="F552" t="s">
        <v>22</v>
      </c>
      <c r="G552">
        <v>57</v>
      </c>
      <c r="H552" t="s">
        <v>23</v>
      </c>
      <c r="I552" t="str">
        <f>VLOOKUP(Table4[[#This Row],[customer_id]],customers!A:G,4,)</f>
        <v>delhi</v>
      </c>
    </row>
    <row r="553" spans="1:9" x14ac:dyDescent="0.3">
      <c r="A553">
        <v>20552</v>
      </c>
      <c r="B553">
        <v>155</v>
      </c>
      <c r="C553" s="2">
        <v>44896</v>
      </c>
      <c r="D553" s="2" t="str">
        <f>TEXT(Table4[[#This Row],[issue_date]],"mmmm")</f>
        <v>December</v>
      </c>
      <c r="E553" s="9">
        <f>YEAR(Table4[[#This Row],[issue_date]])</f>
        <v>2022</v>
      </c>
      <c r="F553" t="s">
        <v>19</v>
      </c>
      <c r="G553">
        <v>55</v>
      </c>
      <c r="H553" t="s">
        <v>20</v>
      </c>
      <c r="I553" t="str">
        <f>VLOOKUP(Table4[[#This Row],[customer_id]],customers!A:G,4,)</f>
        <v>mumbai</v>
      </c>
    </row>
    <row r="554" spans="1:9" x14ac:dyDescent="0.3">
      <c r="A554">
        <v>20553</v>
      </c>
      <c r="B554">
        <v>414</v>
      </c>
      <c r="C554" s="2">
        <v>45063</v>
      </c>
      <c r="D554" s="2" t="str">
        <f>TEXT(Table4[[#This Row],[issue_date]],"mmmm")</f>
        <v>May</v>
      </c>
      <c r="E554" s="9">
        <f>YEAR(Table4[[#This Row],[issue_date]])</f>
        <v>2023</v>
      </c>
      <c r="F554" t="s">
        <v>22</v>
      </c>
      <c r="G554">
        <v>1</v>
      </c>
      <c r="H554" t="s">
        <v>20</v>
      </c>
      <c r="I554" t="str">
        <f>VLOOKUP(Table4[[#This Row],[customer_id]],customers!A:G,4,)</f>
        <v>delhi</v>
      </c>
    </row>
    <row r="555" spans="1:9" x14ac:dyDescent="0.3">
      <c r="A555">
        <v>20554</v>
      </c>
      <c r="B555">
        <v>440</v>
      </c>
      <c r="C555" s="2">
        <v>45293</v>
      </c>
      <c r="D555" s="2" t="str">
        <f>TEXT(Table4[[#This Row],[issue_date]],"mmmm")</f>
        <v>January</v>
      </c>
      <c r="E555" s="9">
        <f>YEAR(Table4[[#This Row],[issue_date]])</f>
        <v>2024</v>
      </c>
      <c r="F555" t="s">
        <v>22</v>
      </c>
      <c r="G555">
        <v>40</v>
      </c>
      <c r="H555" t="s">
        <v>20</v>
      </c>
      <c r="I555" t="str">
        <f>VLOOKUP(Table4[[#This Row],[customer_id]],customers!A:G,4,)</f>
        <v>mumbai</v>
      </c>
    </row>
    <row r="556" spans="1:9" x14ac:dyDescent="0.3">
      <c r="A556">
        <v>20555</v>
      </c>
      <c r="B556">
        <v>233</v>
      </c>
      <c r="C556" s="2">
        <v>45365</v>
      </c>
      <c r="D556" s="2" t="str">
        <f>TEXT(Table4[[#This Row],[issue_date]],"mmmm")</f>
        <v>March</v>
      </c>
      <c r="E556" s="9">
        <f>YEAR(Table4[[#This Row],[issue_date]])</f>
        <v>2024</v>
      </c>
      <c r="F556" t="s">
        <v>22</v>
      </c>
      <c r="G556">
        <v>23</v>
      </c>
      <c r="H556" t="s">
        <v>20</v>
      </c>
      <c r="I556" t="str">
        <f>VLOOKUP(Table4[[#This Row],[customer_id]],customers!A:G,4,)</f>
        <v>mumbai</v>
      </c>
    </row>
    <row r="557" spans="1:9" x14ac:dyDescent="0.3">
      <c r="A557">
        <v>20556</v>
      </c>
      <c r="B557">
        <v>468</v>
      </c>
      <c r="C557" s="2">
        <v>44722</v>
      </c>
      <c r="D557" s="2" t="str">
        <f>TEXT(Table4[[#This Row],[issue_date]],"mmmm")</f>
        <v>June</v>
      </c>
      <c r="E557" s="9">
        <f>YEAR(Table4[[#This Row],[issue_date]])</f>
        <v>2022</v>
      </c>
      <c r="F557" t="s">
        <v>22</v>
      </c>
      <c r="G557">
        <v>54</v>
      </c>
      <c r="H557" t="s">
        <v>20</v>
      </c>
      <c r="I557" t="str">
        <f>VLOOKUP(Table4[[#This Row],[customer_id]],customers!A:G,4,)</f>
        <v>mumbai</v>
      </c>
    </row>
    <row r="558" spans="1:9" x14ac:dyDescent="0.3">
      <c r="A558">
        <v>20557</v>
      </c>
      <c r="B558">
        <v>193</v>
      </c>
      <c r="C558" s="2">
        <v>44951</v>
      </c>
      <c r="D558" s="2" t="str">
        <f>TEXT(Table4[[#This Row],[issue_date]],"mmmm")</f>
        <v>January</v>
      </c>
      <c r="E558" s="9">
        <f>YEAR(Table4[[#This Row],[issue_date]])</f>
        <v>2023</v>
      </c>
      <c r="F558" t="s">
        <v>21</v>
      </c>
      <c r="G558">
        <v>42</v>
      </c>
      <c r="H558" t="s">
        <v>20</v>
      </c>
      <c r="I558" t="str">
        <f>VLOOKUP(Table4[[#This Row],[customer_id]],customers!A:G,4,)</f>
        <v>bangalore</v>
      </c>
    </row>
    <row r="559" spans="1:9" x14ac:dyDescent="0.3">
      <c r="A559">
        <v>20558</v>
      </c>
      <c r="B559">
        <v>99</v>
      </c>
      <c r="C559" s="2">
        <v>45321</v>
      </c>
      <c r="D559" s="2" t="str">
        <f>TEXT(Table4[[#This Row],[issue_date]],"mmmm")</f>
        <v>January</v>
      </c>
      <c r="E559" s="9">
        <f>YEAR(Table4[[#This Row],[issue_date]])</f>
        <v>2024</v>
      </c>
      <c r="F559" t="s">
        <v>21</v>
      </c>
      <c r="G559">
        <v>50</v>
      </c>
      <c r="H559" t="s">
        <v>23</v>
      </c>
      <c r="I559" t="str">
        <f>VLOOKUP(Table4[[#This Row],[customer_id]],customers!A:G,4,)</f>
        <v>hyderabad</v>
      </c>
    </row>
    <row r="560" spans="1:9" x14ac:dyDescent="0.3">
      <c r="A560">
        <v>20559</v>
      </c>
      <c r="B560">
        <v>439</v>
      </c>
      <c r="C560" s="2">
        <v>45444</v>
      </c>
      <c r="D560" s="2" t="str">
        <f>TEXT(Table4[[#This Row],[issue_date]],"mmmm")</f>
        <v>June</v>
      </c>
      <c r="E560" s="9">
        <f>YEAR(Table4[[#This Row],[issue_date]])</f>
        <v>2024</v>
      </c>
      <c r="F560" t="s">
        <v>21</v>
      </c>
      <c r="G560">
        <v>4</v>
      </c>
      <c r="H560" t="s">
        <v>20</v>
      </c>
      <c r="I560" t="str">
        <f>VLOOKUP(Table4[[#This Row],[customer_id]],customers!A:G,4,)</f>
        <v>chennai</v>
      </c>
    </row>
    <row r="561" spans="1:9" x14ac:dyDescent="0.3">
      <c r="A561">
        <v>20560</v>
      </c>
      <c r="B561">
        <v>113</v>
      </c>
      <c r="C561" s="2">
        <v>44632</v>
      </c>
      <c r="D561" s="2" t="str">
        <f>TEXT(Table4[[#This Row],[issue_date]],"mmmm")</f>
        <v>March</v>
      </c>
      <c r="E561" s="9">
        <f>YEAR(Table4[[#This Row],[issue_date]])</f>
        <v>2022</v>
      </c>
      <c r="F561" t="s">
        <v>21</v>
      </c>
      <c r="G561">
        <v>8</v>
      </c>
      <c r="H561" t="s">
        <v>20</v>
      </c>
      <c r="I561" t="str">
        <f>VLOOKUP(Table4[[#This Row],[customer_id]],customers!A:G,4,)</f>
        <v>kolkata</v>
      </c>
    </row>
    <row r="562" spans="1:9" x14ac:dyDescent="0.3">
      <c r="A562">
        <v>20561</v>
      </c>
      <c r="B562">
        <v>107</v>
      </c>
      <c r="C562" s="2">
        <v>44653</v>
      </c>
      <c r="D562" s="2" t="str">
        <f>TEXT(Table4[[#This Row],[issue_date]],"mmmm")</f>
        <v>April</v>
      </c>
      <c r="E562" s="9">
        <f>YEAR(Table4[[#This Row],[issue_date]])</f>
        <v>2022</v>
      </c>
      <c r="F562" t="s">
        <v>21</v>
      </c>
      <c r="G562">
        <v>36</v>
      </c>
      <c r="H562" t="s">
        <v>20</v>
      </c>
      <c r="I562" t="str">
        <f>VLOOKUP(Table4[[#This Row],[customer_id]],customers!A:G,4,)</f>
        <v>chennai</v>
      </c>
    </row>
    <row r="563" spans="1:9" x14ac:dyDescent="0.3">
      <c r="A563">
        <v>20562</v>
      </c>
      <c r="B563">
        <v>24</v>
      </c>
      <c r="C563" s="2">
        <v>44922</v>
      </c>
      <c r="D563" s="2" t="str">
        <f>TEXT(Table4[[#This Row],[issue_date]],"mmmm")</f>
        <v>December</v>
      </c>
      <c r="E563" s="9">
        <f>YEAR(Table4[[#This Row],[issue_date]])</f>
        <v>2022</v>
      </c>
      <c r="F563" t="s">
        <v>19</v>
      </c>
      <c r="G563">
        <v>10</v>
      </c>
      <c r="H563" t="s">
        <v>23</v>
      </c>
      <c r="I563" t="str">
        <f>VLOOKUP(Table4[[#This Row],[customer_id]],customers!A:G,4,)</f>
        <v>kolkata</v>
      </c>
    </row>
    <row r="564" spans="1:9" x14ac:dyDescent="0.3">
      <c r="A564">
        <v>20563</v>
      </c>
      <c r="B564">
        <v>281</v>
      </c>
      <c r="C564" s="2">
        <v>44882</v>
      </c>
      <c r="D564" s="2" t="str">
        <f>TEXT(Table4[[#This Row],[issue_date]],"mmmm")</f>
        <v>November</v>
      </c>
      <c r="E564" s="9">
        <f>YEAR(Table4[[#This Row],[issue_date]])</f>
        <v>2022</v>
      </c>
      <c r="F564" t="s">
        <v>21</v>
      </c>
      <c r="G564">
        <v>30</v>
      </c>
      <c r="H564" t="s">
        <v>20</v>
      </c>
      <c r="I564" t="str">
        <f>VLOOKUP(Table4[[#This Row],[customer_id]],customers!A:G,4,)</f>
        <v>kolkata</v>
      </c>
    </row>
    <row r="565" spans="1:9" x14ac:dyDescent="0.3">
      <c r="A565">
        <v>20564</v>
      </c>
      <c r="B565">
        <v>488</v>
      </c>
      <c r="C565" s="2">
        <v>44806</v>
      </c>
      <c r="D565" s="2" t="str">
        <f>TEXT(Table4[[#This Row],[issue_date]],"mmmm")</f>
        <v>September</v>
      </c>
      <c r="E565" s="9">
        <f>YEAR(Table4[[#This Row],[issue_date]])</f>
        <v>2022</v>
      </c>
      <c r="F565" t="s">
        <v>19</v>
      </c>
      <c r="G565">
        <v>16</v>
      </c>
      <c r="H565" t="s">
        <v>20</v>
      </c>
      <c r="I565" t="str">
        <f>VLOOKUP(Table4[[#This Row],[customer_id]],customers!A:G,4,)</f>
        <v>hyderabad</v>
      </c>
    </row>
    <row r="566" spans="1:9" x14ac:dyDescent="0.3">
      <c r="A566">
        <v>20565</v>
      </c>
      <c r="B566">
        <v>437</v>
      </c>
      <c r="C566" s="2">
        <v>44585</v>
      </c>
      <c r="D566" s="2" t="str">
        <f>TEXT(Table4[[#This Row],[issue_date]],"mmmm")</f>
        <v>January</v>
      </c>
      <c r="E566" s="9">
        <f>YEAR(Table4[[#This Row],[issue_date]])</f>
        <v>2022</v>
      </c>
      <c r="F566" t="s">
        <v>19</v>
      </c>
      <c r="G566">
        <v>30</v>
      </c>
      <c r="H566" t="s">
        <v>23</v>
      </c>
      <c r="I566" t="str">
        <f>VLOOKUP(Table4[[#This Row],[customer_id]],customers!A:G,4,)</f>
        <v>hyderabad</v>
      </c>
    </row>
    <row r="567" spans="1:9" x14ac:dyDescent="0.3">
      <c r="A567">
        <v>20566</v>
      </c>
      <c r="B567">
        <v>204</v>
      </c>
      <c r="C567" s="2">
        <v>45118</v>
      </c>
      <c r="D567" s="2" t="str">
        <f>TEXT(Table4[[#This Row],[issue_date]],"mmmm")</f>
        <v>July</v>
      </c>
      <c r="E567" s="9">
        <f>YEAR(Table4[[#This Row],[issue_date]])</f>
        <v>2023</v>
      </c>
      <c r="F567" t="s">
        <v>22</v>
      </c>
      <c r="G567">
        <v>64</v>
      </c>
      <c r="H567" t="s">
        <v>20</v>
      </c>
      <c r="I567" t="str">
        <f>VLOOKUP(Table4[[#This Row],[customer_id]],customers!A:G,4,)</f>
        <v>mumbai</v>
      </c>
    </row>
    <row r="568" spans="1:9" x14ac:dyDescent="0.3">
      <c r="A568">
        <v>20567</v>
      </c>
      <c r="B568">
        <v>11</v>
      </c>
      <c r="C568" s="2">
        <v>45262</v>
      </c>
      <c r="D568" s="2" t="str">
        <f>TEXT(Table4[[#This Row],[issue_date]],"mmmm")</f>
        <v>December</v>
      </c>
      <c r="E568" s="9">
        <f>YEAR(Table4[[#This Row],[issue_date]])</f>
        <v>2023</v>
      </c>
      <c r="F568" t="s">
        <v>22</v>
      </c>
      <c r="G568">
        <v>11</v>
      </c>
      <c r="H568" t="s">
        <v>20</v>
      </c>
      <c r="I568" t="str">
        <f>VLOOKUP(Table4[[#This Row],[customer_id]],customers!A:G,4,)</f>
        <v>mumbai</v>
      </c>
    </row>
    <row r="569" spans="1:9" x14ac:dyDescent="0.3">
      <c r="A569">
        <v>20568</v>
      </c>
      <c r="B569">
        <v>350</v>
      </c>
      <c r="C569" s="2">
        <v>44964</v>
      </c>
      <c r="D569" s="2" t="str">
        <f>TEXT(Table4[[#This Row],[issue_date]],"mmmm")</f>
        <v>February</v>
      </c>
      <c r="E569" s="9">
        <f>YEAR(Table4[[#This Row],[issue_date]])</f>
        <v>2023</v>
      </c>
      <c r="F569" t="s">
        <v>22</v>
      </c>
      <c r="G569">
        <v>34</v>
      </c>
      <c r="H569" t="s">
        <v>20</v>
      </c>
      <c r="I569" t="str">
        <f>VLOOKUP(Table4[[#This Row],[customer_id]],customers!A:G,4,)</f>
        <v>delhi</v>
      </c>
    </row>
    <row r="570" spans="1:9" x14ac:dyDescent="0.3">
      <c r="A570">
        <v>20569</v>
      </c>
      <c r="B570">
        <v>316</v>
      </c>
      <c r="C570" s="2">
        <v>44934</v>
      </c>
      <c r="D570" s="2" t="str">
        <f>TEXT(Table4[[#This Row],[issue_date]],"mmmm")</f>
        <v>January</v>
      </c>
      <c r="E570" s="9">
        <f>YEAR(Table4[[#This Row],[issue_date]])</f>
        <v>2023</v>
      </c>
      <c r="F570" t="s">
        <v>21</v>
      </c>
      <c r="G570">
        <v>55</v>
      </c>
      <c r="H570" t="s">
        <v>20</v>
      </c>
      <c r="I570" t="str">
        <f>VLOOKUP(Table4[[#This Row],[customer_id]],customers!A:G,4,)</f>
        <v>hyderabad</v>
      </c>
    </row>
    <row r="571" spans="1:9" x14ac:dyDescent="0.3">
      <c r="A571">
        <v>20570</v>
      </c>
      <c r="B571">
        <v>205</v>
      </c>
      <c r="C571" s="2">
        <v>44847</v>
      </c>
      <c r="D571" s="2" t="str">
        <f>TEXT(Table4[[#This Row],[issue_date]],"mmmm")</f>
        <v>October</v>
      </c>
      <c r="E571" s="9">
        <f>YEAR(Table4[[#This Row],[issue_date]])</f>
        <v>2022</v>
      </c>
      <c r="F571" t="s">
        <v>19</v>
      </c>
      <c r="G571">
        <v>4</v>
      </c>
      <c r="H571" t="s">
        <v>20</v>
      </c>
      <c r="I571" t="str">
        <f>VLOOKUP(Table4[[#This Row],[customer_id]],customers!A:G,4,)</f>
        <v>hyderabad</v>
      </c>
    </row>
    <row r="572" spans="1:9" x14ac:dyDescent="0.3">
      <c r="A572">
        <v>20571</v>
      </c>
      <c r="B572">
        <v>431</v>
      </c>
      <c r="C572" s="2">
        <v>45394</v>
      </c>
      <c r="D572" s="2" t="str">
        <f>TEXT(Table4[[#This Row],[issue_date]],"mmmm")</f>
        <v>April</v>
      </c>
      <c r="E572" s="9">
        <f>YEAR(Table4[[#This Row],[issue_date]])</f>
        <v>2024</v>
      </c>
      <c r="F572" t="s">
        <v>21</v>
      </c>
      <c r="G572">
        <v>49</v>
      </c>
      <c r="H572" t="s">
        <v>20</v>
      </c>
      <c r="I572" t="str">
        <f>VLOOKUP(Table4[[#This Row],[customer_id]],customers!A:G,4,)</f>
        <v>chennai</v>
      </c>
    </row>
    <row r="573" spans="1:9" x14ac:dyDescent="0.3">
      <c r="A573">
        <v>20572</v>
      </c>
      <c r="B573">
        <v>409</v>
      </c>
      <c r="C573" s="2">
        <v>45002</v>
      </c>
      <c r="D573" s="2" t="str">
        <f>TEXT(Table4[[#This Row],[issue_date]],"mmmm")</f>
        <v>March</v>
      </c>
      <c r="E573" s="9">
        <f>YEAR(Table4[[#This Row],[issue_date]])</f>
        <v>2023</v>
      </c>
      <c r="F573" t="s">
        <v>22</v>
      </c>
      <c r="G573">
        <v>44</v>
      </c>
      <c r="H573" t="s">
        <v>20</v>
      </c>
      <c r="I573" t="str">
        <f>VLOOKUP(Table4[[#This Row],[customer_id]],customers!A:G,4,)</f>
        <v>kolkata</v>
      </c>
    </row>
    <row r="574" spans="1:9" x14ac:dyDescent="0.3">
      <c r="A574">
        <v>20573</v>
      </c>
      <c r="B574">
        <v>500</v>
      </c>
      <c r="C574" s="2">
        <v>45414</v>
      </c>
      <c r="D574" s="2" t="str">
        <f>TEXT(Table4[[#This Row],[issue_date]],"mmmm")</f>
        <v>May</v>
      </c>
      <c r="E574" s="9">
        <f>YEAR(Table4[[#This Row],[issue_date]])</f>
        <v>2024</v>
      </c>
      <c r="F574" t="s">
        <v>22</v>
      </c>
      <c r="G574">
        <v>31</v>
      </c>
      <c r="H574" t="s">
        <v>20</v>
      </c>
      <c r="I574" t="str">
        <f>VLOOKUP(Table4[[#This Row],[customer_id]],customers!A:G,4,)</f>
        <v>mumbai</v>
      </c>
    </row>
    <row r="575" spans="1:9" x14ac:dyDescent="0.3">
      <c r="A575">
        <v>20574</v>
      </c>
      <c r="B575">
        <v>25</v>
      </c>
      <c r="C575" s="2">
        <v>45156</v>
      </c>
      <c r="D575" s="2" t="str">
        <f>TEXT(Table4[[#This Row],[issue_date]],"mmmm")</f>
        <v>August</v>
      </c>
      <c r="E575" s="9">
        <f>YEAR(Table4[[#This Row],[issue_date]])</f>
        <v>2023</v>
      </c>
      <c r="F575" t="s">
        <v>19</v>
      </c>
      <c r="G575">
        <v>48</v>
      </c>
      <c r="H575" t="s">
        <v>20</v>
      </c>
      <c r="I575" t="str">
        <f>VLOOKUP(Table4[[#This Row],[customer_id]],customers!A:G,4,)</f>
        <v>delhi</v>
      </c>
    </row>
    <row r="576" spans="1:9" x14ac:dyDescent="0.3">
      <c r="A576">
        <v>20575</v>
      </c>
      <c r="B576">
        <v>401</v>
      </c>
      <c r="C576" s="2">
        <v>45295</v>
      </c>
      <c r="D576" s="2" t="str">
        <f>TEXT(Table4[[#This Row],[issue_date]],"mmmm")</f>
        <v>January</v>
      </c>
      <c r="E576" s="9">
        <f>YEAR(Table4[[#This Row],[issue_date]])</f>
        <v>2024</v>
      </c>
      <c r="F576" t="s">
        <v>19</v>
      </c>
      <c r="G576">
        <v>26</v>
      </c>
      <c r="H576" t="s">
        <v>20</v>
      </c>
      <c r="I576" t="str">
        <f>VLOOKUP(Table4[[#This Row],[customer_id]],customers!A:G,4,)</f>
        <v>chennai</v>
      </c>
    </row>
    <row r="577" spans="1:9" x14ac:dyDescent="0.3">
      <c r="A577">
        <v>20576</v>
      </c>
      <c r="B577">
        <v>140</v>
      </c>
      <c r="C577" s="2">
        <v>45443</v>
      </c>
      <c r="D577" s="2" t="str">
        <f>TEXT(Table4[[#This Row],[issue_date]],"mmmm")</f>
        <v>May</v>
      </c>
      <c r="E577" s="9">
        <f>YEAR(Table4[[#This Row],[issue_date]])</f>
        <v>2024</v>
      </c>
      <c r="F577" t="s">
        <v>22</v>
      </c>
      <c r="G577">
        <v>70</v>
      </c>
      <c r="H577" t="s">
        <v>20</v>
      </c>
      <c r="I577" t="str">
        <f>VLOOKUP(Table4[[#This Row],[customer_id]],customers!A:G,4,)</f>
        <v>delhi</v>
      </c>
    </row>
    <row r="578" spans="1:9" x14ac:dyDescent="0.3">
      <c r="A578">
        <v>20577</v>
      </c>
      <c r="B578">
        <v>123</v>
      </c>
      <c r="C578" s="2">
        <v>44913</v>
      </c>
      <c r="D578" s="2" t="str">
        <f>TEXT(Table4[[#This Row],[issue_date]],"mmmm")</f>
        <v>December</v>
      </c>
      <c r="E578" s="9">
        <f>YEAR(Table4[[#This Row],[issue_date]])</f>
        <v>2022</v>
      </c>
      <c r="F578" t="s">
        <v>21</v>
      </c>
      <c r="G578">
        <v>12</v>
      </c>
      <c r="H578" t="s">
        <v>20</v>
      </c>
      <c r="I578" t="str">
        <f>VLOOKUP(Table4[[#This Row],[customer_id]],customers!A:G,4,)</f>
        <v>bangalore</v>
      </c>
    </row>
    <row r="579" spans="1:9" x14ac:dyDescent="0.3">
      <c r="A579">
        <v>20578</v>
      </c>
      <c r="B579">
        <v>499</v>
      </c>
      <c r="C579" s="2">
        <v>45416</v>
      </c>
      <c r="D579" s="2" t="str">
        <f>TEXT(Table4[[#This Row],[issue_date]],"mmmm")</f>
        <v>May</v>
      </c>
      <c r="E579" s="9">
        <f>YEAR(Table4[[#This Row],[issue_date]])</f>
        <v>2024</v>
      </c>
      <c r="F579" t="s">
        <v>21</v>
      </c>
      <c r="G579">
        <v>45</v>
      </c>
      <c r="H579" t="s">
        <v>20</v>
      </c>
      <c r="I579" t="str">
        <f>VLOOKUP(Table4[[#This Row],[customer_id]],customers!A:G,4,)</f>
        <v>delhi</v>
      </c>
    </row>
    <row r="580" spans="1:9" x14ac:dyDescent="0.3">
      <c r="A580">
        <v>20579</v>
      </c>
      <c r="B580">
        <v>436</v>
      </c>
      <c r="C580" s="2">
        <v>44780</v>
      </c>
      <c r="D580" s="2" t="str">
        <f>TEXT(Table4[[#This Row],[issue_date]],"mmmm")</f>
        <v>August</v>
      </c>
      <c r="E580" s="9">
        <f>YEAR(Table4[[#This Row],[issue_date]])</f>
        <v>2022</v>
      </c>
      <c r="F580" t="s">
        <v>19</v>
      </c>
      <c r="G580">
        <v>8</v>
      </c>
      <c r="H580" t="s">
        <v>23</v>
      </c>
      <c r="I580" t="str">
        <f>VLOOKUP(Table4[[#This Row],[customer_id]],customers!A:G,4,)</f>
        <v>delhi</v>
      </c>
    </row>
    <row r="581" spans="1:9" x14ac:dyDescent="0.3">
      <c r="A581">
        <v>20580</v>
      </c>
      <c r="B581">
        <v>11</v>
      </c>
      <c r="C581" s="2">
        <v>45046</v>
      </c>
      <c r="D581" s="2" t="str">
        <f>TEXT(Table4[[#This Row],[issue_date]],"mmmm")</f>
        <v>April</v>
      </c>
      <c r="E581" s="9">
        <f>YEAR(Table4[[#This Row],[issue_date]])</f>
        <v>2023</v>
      </c>
      <c r="F581" t="s">
        <v>22</v>
      </c>
      <c r="G581">
        <v>9</v>
      </c>
      <c r="H581" t="s">
        <v>20</v>
      </c>
      <c r="I581" t="str">
        <f>VLOOKUP(Table4[[#This Row],[customer_id]],customers!A:G,4,)</f>
        <v>mumbai</v>
      </c>
    </row>
    <row r="582" spans="1:9" x14ac:dyDescent="0.3">
      <c r="A582">
        <v>20581</v>
      </c>
      <c r="B582">
        <v>266</v>
      </c>
      <c r="C582" s="2">
        <v>45004</v>
      </c>
      <c r="D582" s="2" t="str">
        <f>TEXT(Table4[[#This Row],[issue_date]],"mmmm")</f>
        <v>March</v>
      </c>
      <c r="E582" s="9">
        <f>YEAR(Table4[[#This Row],[issue_date]])</f>
        <v>2023</v>
      </c>
      <c r="F582" t="s">
        <v>21</v>
      </c>
      <c r="G582">
        <v>1</v>
      </c>
      <c r="H582" t="s">
        <v>20</v>
      </c>
      <c r="I582" t="str">
        <f>VLOOKUP(Table4[[#This Row],[customer_id]],customers!A:G,4,)</f>
        <v>chennai</v>
      </c>
    </row>
    <row r="583" spans="1:9" x14ac:dyDescent="0.3">
      <c r="A583">
        <v>20582</v>
      </c>
      <c r="B583">
        <v>81</v>
      </c>
      <c r="C583" s="2">
        <v>44779</v>
      </c>
      <c r="D583" s="2" t="str">
        <f>TEXT(Table4[[#This Row],[issue_date]],"mmmm")</f>
        <v>August</v>
      </c>
      <c r="E583" s="9">
        <f>YEAR(Table4[[#This Row],[issue_date]])</f>
        <v>2022</v>
      </c>
      <c r="F583" t="s">
        <v>19</v>
      </c>
      <c r="G583">
        <v>5</v>
      </c>
      <c r="H583" t="s">
        <v>20</v>
      </c>
      <c r="I583" t="str">
        <f>VLOOKUP(Table4[[#This Row],[customer_id]],customers!A:G,4,)</f>
        <v>chennai</v>
      </c>
    </row>
    <row r="584" spans="1:9" x14ac:dyDescent="0.3">
      <c r="A584">
        <v>20583</v>
      </c>
      <c r="B584">
        <v>444</v>
      </c>
      <c r="C584" s="2">
        <v>45263</v>
      </c>
      <c r="D584" s="2" t="str">
        <f>TEXT(Table4[[#This Row],[issue_date]],"mmmm")</f>
        <v>December</v>
      </c>
      <c r="E584" s="9">
        <f>YEAR(Table4[[#This Row],[issue_date]])</f>
        <v>2023</v>
      </c>
      <c r="F584" t="s">
        <v>19</v>
      </c>
      <c r="G584">
        <v>71</v>
      </c>
      <c r="H584" t="s">
        <v>20</v>
      </c>
      <c r="I584" t="str">
        <f>VLOOKUP(Table4[[#This Row],[customer_id]],customers!A:G,4,)</f>
        <v>chennai</v>
      </c>
    </row>
    <row r="585" spans="1:9" x14ac:dyDescent="0.3">
      <c r="A585">
        <v>20584</v>
      </c>
      <c r="B585">
        <v>310</v>
      </c>
      <c r="C585" s="2">
        <v>44628</v>
      </c>
      <c r="D585" s="2" t="str">
        <f>TEXT(Table4[[#This Row],[issue_date]],"mmmm")</f>
        <v>March</v>
      </c>
      <c r="E585" s="9">
        <f>YEAR(Table4[[#This Row],[issue_date]])</f>
        <v>2022</v>
      </c>
      <c r="F585" t="s">
        <v>19</v>
      </c>
      <c r="G585">
        <v>54</v>
      </c>
      <c r="H585" t="s">
        <v>20</v>
      </c>
      <c r="I585" t="str">
        <f>VLOOKUP(Table4[[#This Row],[customer_id]],customers!A:G,4,)</f>
        <v>kolkata</v>
      </c>
    </row>
    <row r="586" spans="1:9" x14ac:dyDescent="0.3">
      <c r="A586">
        <v>20585</v>
      </c>
      <c r="B586">
        <v>109</v>
      </c>
      <c r="C586" s="2">
        <v>44592</v>
      </c>
      <c r="D586" s="2" t="str">
        <f>TEXT(Table4[[#This Row],[issue_date]],"mmmm")</f>
        <v>January</v>
      </c>
      <c r="E586" s="9">
        <f>YEAR(Table4[[#This Row],[issue_date]])</f>
        <v>2022</v>
      </c>
      <c r="F586" t="s">
        <v>21</v>
      </c>
      <c r="G586">
        <v>24</v>
      </c>
      <c r="H586" t="s">
        <v>20</v>
      </c>
      <c r="I586" t="str">
        <f>VLOOKUP(Table4[[#This Row],[customer_id]],customers!A:G,4,)</f>
        <v>mumbai</v>
      </c>
    </row>
    <row r="587" spans="1:9" x14ac:dyDescent="0.3">
      <c r="A587">
        <v>20586</v>
      </c>
      <c r="B587">
        <v>208</v>
      </c>
      <c r="C587" s="2">
        <v>44883</v>
      </c>
      <c r="D587" s="2" t="str">
        <f>TEXT(Table4[[#This Row],[issue_date]],"mmmm")</f>
        <v>November</v>
      </c>
      <c r="E587" s="9">
        <f>YEAR(Table4[[#This Row],[issue_date]])</f>
        <v>2022</v>
      </c>
      <c r="F587" t="s">
        <v>19</v>
      </c>
      <c r="G587">
        <v>26</v>
      </c>
      <c r="H587" t="s">
        <v>20</v>
      </c>
      <c r="I587" t="str">
        <f>VLOOKUP(Table4[[#This Row],[customer_id]],customers!A:G,4,)</f>
        <v>hyderabad</v>
      </c>
    </row>
    <row r="588" spans="1:9" x14ac:dyDescent="0.3">
      <c r="A588">
        <v>20587</v>
      </c>
      <c r="B588">
        <v>319</v>
      </c>
      <c r="C588" s="2">
        <v>44811</v>
      </c>
      <c r="D588" s="2" t="str">
        <f>TEXT(Table4[[#This Row],[issue_date]],"mmmm")</f>
        <v>September</v>
      </c>
      <c r="E588" s="9">
        <f>YEAR(Table4[[#This Row],[issue_date]])</f>
        <v>2022</v>
      </c>
      <c r="F588" t="s">
        <v>21</v>
      </c>
      <c r="G588">
        <v>10</v>
      </c>
      <c r="H588" t="s">
        <v>20</v>
      </c>
      <c r="I588" t="str">
        <f>VLOOKUP(Table4[[#This Row],[customer_id]],customers!A:G,4,)</f>
        <v>chennai</v>
      </c>
    </row>
    <row r="589" spans="1:9" x14ac:dyDescent="0.3">
      <c r="A589">
        <v>20588</v>
      </c>
      <c r="B589">
        <v>244</v>
      </c>
      <c r="C589" s="2">
        <v>45127</v>
      </c>
      <c r="D589" s="2" t="str">
        <f>TEXT(Table4[[#This Row],[issue_date]],"mmmm")</f>
        <v>July</v>
      </c>
      <c r="E589" s="9">
        <f>YEAR(Table4[[#This Row],[issue_date]])</f>
        <v>2023</v>
      </c>
      <c r="F589" t="s">
        <v>19</v>
      </c>
      <c r="G589">
        <v>61</v>
      </c>
      <c r="H589" t="s">
        <v>20</v>
      </c>
      <c r="I589" t="str">
        <f>VLOOKUP(Table4[[#This Row],[customer_id]],customers!A:G,4,)</f>
        <v>bangalore</v>
      </c>
    </row>
    <row r="590" spans="1:9" x14ac:dyDescent="0.3">
      <c r="A590">
        <v>20589</v>
      </c>
      <c r="B590">
        <v>276</v>
      </c>
      <c r="C590" s="2">
        <v>44571</v>
      </c>
      <c r="D590" s="2" t="str">
        <f>TEXT(Table4[[#This Row],[issue_date]],"mmmm")</f>
        <v>January</v>
      </c>
      <c r="E590" s="9">
        <f>YEAR(Table4[[#This Row],[issue_date]])</f>
        <v>2022</v>
      </c>
      <c r="F590" t="s">
        <v>21</v>
      </c>
      <c r="G590">
        <v>40</v>
      </c>
      <c r="H590" t="s">
        <v>20</v>
      </c>
      <c r="I590" t="str">
        <f>VLOOKUP(Table4[[#This Row],[customer_id]],customers!A:G,4,)</f>
        <v>hyderabad</v>
      </c>
    </row>
    <row r="591" spans="1:9" x14ac:dyDescent="0.3">
      <c r="A591">
        <v>20590</v>
      </c>
      <c r="B591">
        <v>497</v>
      </c>
      <c r="C591" s="2">
        <v>45239</v>
      </c>
      <c r="D591" s="2" t="str">
        <f>TEXT(Table4[[#This Row],[issue_date]],"mmmm")</f>
        <v>November</v>
      </c>
      <c r="E591" s="9">
        <f>YEAR(Table4[[#This Row],[issue_date]])</f>
        <v>2023</v>
      </c>
      <c r="F591" t="s">
        <v>22</v>
      </c>
      <c r="G591">
        <v>44</v>
      </c>
      <c r="H591" t="s">
        <v>20</v>
      </c>
      <c r="I591" t="str">
        <f>VLOOKUP(Table4[[#This Row],[customer_id]],customers!A:G,4,)</f>
        <v>kolkata</v>
      </c>
    </row>
    <row r="592" spans="1:9" x14ac:dyDescent="0.3">
      <c r="A592">
        <v>20591</v>
      </c>
      <c r="B592">
        <v>261</v>
      </c>
      <c r="C592" s="2">
        <v>45412</v>
      </c>
      <c r="D592" s="2" t="str">
        <f>TEXT(Table4[[#This Row],[issue_date]],"mmmm")</f>
        <v>April</v>
      </c>
      <c r="E592" s="9">
        <f>YEAR(Table4[[#This Row],[issue_date]])</f>
        <v>2024</v>
      </c>
      <c r="F592" t="s">
        <v>21</v>
      </c>
      <c r="G592">
        <v>12</v>
      </c>
      <c r="H592" t="s">
        <v>20</v>
      </c>
      <c r="I592" t="str">
        <f>VLOOKUP(Table4[[#This Row],[customer_id]],customers!A:G,4,)</f>
        <v>mumbai</v>
      </c>
    </row>
    <row r="593" spans="1:9" x14ac:dyDescent="0.3">
      <c r="A593">
        <v>20592</v>
      </c>
      <c r="B593">
        <v>297</v>
      </c>
      <c r="C593" s="2">
        <v>44846</v>
      </c>
      <c r="D593" s="2" t="str">
        <f>TEXT(Table4[[#This Row],[issue_date]],"mmmm")</f>
        <v>October</v>
      </c>
      <c r="E593" s="9">
        <f>YEAR(Table4[[#This Row],[issue_date]])</f>
        <v>2022</v>
      </c>
      <c r="F593" t="s">
        <v>22</v>
      </c>
      <c r="G593">
        <v>22</v>
      </c>
      <c r="H593" t="s">
        <v>20</v>
      </c>
      <c r="I593" t="str">
        <f>VLOOKUP(Table4[[#This Row],[customer_id]],customers!A:G,4,)</f>
        <v>chennai</v>
      </c>
    </row>
    <row r="594" spans="1:9" x14ac:dyDescent="0.3">
      <c r="A594">
        <v>20593</v>
      </c>
      <c r="B594">
        <v>374</v>
      </c>
      <c r="C594" s="2">
        <v>44714</v>
      </c>
      <c r="D594" s="2" t="str">
        <f>TEXT(Table4[[#This Row],[issue_date]],"mmmm")</f>
        <v>June</v>
      </c>
      <c r="E594" s="9">
        <f>YEAR(Table4[[#This Row],[issue_date]])</f>
        <v>2022</v>
      </c>
      <c r="F594" t="s">
        <v>19</v>
      </c>
      <c r="G594">
        <v>27</v>
      </c>
      <c r="H594" t="s">
        <v>20</v>
      </c>
      <c r="I594" t="str">
        <f>VLOOKUP(Table4[[#This Row],[customer_id]],customers!A:G,4,)</f>
        <v>mumbai</v>
      </c>
    </row>
    <row r="595" spans="1:9" x14ac:dyDescent="0.3">
      <c r="A595">
        <v>20594</v>
      </c>
      <c r="B595">
        <v>63</v>
      </c>
      <c r="C595" s="2">
        <v>45105</v>
      </c>
      <c r="D595" s="2" t="str">
        <f>TEXT(Table4[[#This Row],[issue_date]],"mmmm")</f>
        <v>June</v>
      </c>
      <c r="E595" s="9">
        <f>YEAR(Table4[[#This Row],[issue_date]])</f>
        <v>2023</v>
      </c>
      <c r="F595" t="s">
        <v>21</v>
      </c>
      <c r="G595">
        <v>67</v>
      </c>
      <c r="H595" t="s">
        <v>20</v>
      </c>
      <c r="I595" t="str">
        <f>VLOOKUP(Table4[[#This Row],[customer_id]],customers!A:G,4,)</f>
        <v>kolkata</v>
      </c>
    </row>
    <row r="596" spans="1:9" x14ac:dyDescent="0.3">
      <c r="A596">
        <v>20595</v>
      </c>
      <c r="B596">
        <v>184</v>
      </c>
      <c r="C596" s="2">
        <v>45090</v>
      </c>
      <c r="D596" s="2" t="str">
        <f>TEXT(Table4[[#This Row],[issue_date]],"mmmm")</f>
        <v>June</v>
      </c>
      <c r="E596" s="9">
        <f>YEAR(Table4[[#This Row],[issue_date]])</f>
        <v>2023</v>
      </c>
      <c r="F596" t="s">
        <v>19</v>
      </c>
      <c r="G596">
        <v>69</v>
      </c>
      <c r="H596" t="s">
        <v>20</v>
      </c>
      <c r="I596" t="str">
        <f>VLOOKUP(Table4[[#This Row],[customer_id]],customers!A:G,4,)</f>
        <v>delhi</v>
      </c>
    </row>
    <row r="597" spans="1:9" x14ac:dyDescent="0.3">
      <c r="A597">
        <v>20596</v>
      </c>
      <c r="B597">
        <v>32</v>
      </c>
      <c r="C597" s="2">
        <v>44932</v>
      </c>
      <c r="D597" s="2" t="str">
        <f>TEXT(Table4[[#This Row],[issue_date]],"mmmm")</f>
        <v>January</v>
      </c>
      <c r="E597" s="9">
        <f>YEAR(Table4[[#This Row],[issue_date]])</f>
        <v>2023</v>
      </c>
      <c r="F597" t="s">
        <v>22</v>
      </c>
      <c r="G597">
        <v>14</v>
      </c>
      <c r="H597" t="s">
        <v>23</v>
      </c>
      <c r="I597" t="str">
        <f>VLOOKUP(Table4[[#This Row],[customer_id]],customers!A:G,4,)</f>
        <v>bangalore</v>
      </c>
    </row>
    <row r="598" spans="1:9" x14ac:dyDescent="0.3">
      <c r="A598">
        <v>20597</v>
      </c>
      <c r="B598">
        <v>283</v>
      </c>
      <c r="C598" s="2">
        <v>44862</v>
      </c>
      <c r="D598" s="2" t="str">
        <f>TEXT(Table4[[#This Row],[issue_date]],"mmmm")</f>
        <v>October</v>
      </c>
      <c r="E598" s="9">
        <f>YEAR(Table4[[#This Row],[issue_date]])</f>
        <v>2022</v>
      </c>
      <c r="F598" t="s">
        <v>19</v>
      </c>
      <c r="G598">
        <v>25</v>
      </c>
      <c r="H598" t="s">
        <v>20</v>
      </c>
      <c r="I598" t="str">
        <f>VLOOKUP(Table4[[#This Row],[customer_id]],customers!A:G,4,)</f>
        <v>hyderabad</v>
      </c>
    </row>
    <row r="599" spans="1:9" x14ac:dyDescent="0.3">
      <c r="A599">
        <v>20598</v>
      </c>
      <c r="B599">
        <v>324</v>
      </c>
      <c r="C599" s="2">
        <v>45378</v>
      </c>
      <c r="D599" s="2" t="str">
        <f>TEXT(Table4[[#This Row],[issue_date]],"mmmm")</f>
        <v>March</v>
      </c>
      <c r="E599" s="9">
        <f>YEAR(Table4[[#This Row],[issue_date]])</f>
        <v>2024</v>
      </c>
      <c r="F599" t="s">
        <v>19</v>
      </c>
      <c r="G599">
        <v>52</v>
      </c>
      <c r="H599" t="s">
        <v>20</v>
      </c>
      <c r="I599" t="str">
        <f>VLOOKUP(Table4[[#This Row],[customer_id]],customers!A:G,4,)</f>
        <v>delhi</v>
      </c>
    </row>
    <row r="600" spans="1:9" x14ac:dyDescent="0.3">
      <c r="A600">
        <v>20599</v>
      </c>
      <c r="B600">
        <v>361</v>
      </c>
      <c r="C600" s="2">
        <v>45416</v>
      </c>
      <c r="D600" s="2" t="str">
        <f>TEXT(Table4[[#This Row],[issue_date]],"mmmm")</f>
        <v>May</v>
      </c>
      <c r="E600" s="9">
        <f>YEAR(Table4[[#This Row],[issue_date]])</f>
        <v>2024</v>
      </c>
      <c r="F600" t="s">
        <v>19</v>
      </c>
      <c r="G600">
        <v>59</v>
      </c>
      <c r="H600" t="s">
        <v>20</v>
      </c>
      <c r="I600" t="str">
        <f>VLOOKUP(Table4[[#This Row],[customer_id]],customers!A:G,4,)</f>
        <v>chennai</v>
      </c>
    </row>
    <row r="601" spans="1:9" x14ac:dyDescent="0.3">
      <c r="A601">
        <v>20600</v>
      </c>
      <c r="B601">
        <v>432</v>
      </c>
      <c r="C601" s="2">
        <v>44707</v>
      </c>
      <c r="D601" s="2" t="str">
        <f>TEXT(Table4[[#This Row],[issue_date]],"mmmm")</f>
        <v>May</v>
      </c>
      <c r="E601" s="9">
        <f>YEAR(Table4[[#This Row],[issue_date]])</f>
        <v>2022</v>
      </c>
      <c r="F601" t="s">
        <v>22</v>
      </c>
      <c r="G601">
        <v>38</v>
      </c>
      <c r="H601" t="s">
        <v>20</v>
      </c>
      <c r="I601" t="str">
        <f>VLOOKUP(Table4[[#This Row],[customer_id]],customers!A:G,4,)</f>
        <v>mumbai</v>
      </c>
    </row>
    <row r="602" spans="1:9" x14ac:dyDescent="0.3">
      <c r="A602">
        <v>20601</v>
      </c>
      <c r="B602">
        <v>7</v>
      </c>
      <c r="C602" s="2">
        <v>45148</v>
      </c>
      <c r="D602" s="2" t="str">
        <f>TEXT(Table4[[#This Row],[issue_date]],"mmmm")</f>
        <v>August</v>
      </c>
      <c r="E602" s="9">
        <f>YEAR(Table4[[#This Row],[issue_date]])</f>
        <v>2023</v>
      </c>
      <c r="F602" t="s">
        <v>22</v>
      </c>
      <c r="G602">
        <v>20</v>
      </c>
      <c r="H602" t="s">
        <v>23</v>
      </c>
      <c r="I602" t="str">
        <f>VLOOKUP(Table4[[#This Row],[customer_id]],customers!A:G,4,)</f>
        <v>bangalore</v>
      </c>
    </row>
    <row r="603" spans="1:9" x14ac:dyDescent="0.3">
      <c r="A603">
        <v>20602</v>
      </c>
      <c r="B603">
        <v>174</v>
      </c>
      <c r="C603" s="2">
        <v>45452</v>
      </c>
      <c r="D603" s="2" t="str">
        <f>TEXT(Table4[[#This Row],[issue_date]],"mmmm")</f>
        <v>June</v>
      </c>
      <c r="E603" s="9">
        <f>YEAR(Table4[[#This Row],[issue_date]])</f>
        <v>2024</v>
      </c>
      <c r="F603" t="s">
        <v>21</v>
      </c>
      <c r="G603">
        <v>20</v>
      </c>
      <c r="H603" t="s">
        <v>20</v>
      </c>
      <c r="I603" t="str">
        <f>VLOOKUP(Table4[[#This Row],[customer_id]],customers!A:G,4,)</f>
        <v>mumbai</v>
      </c>
    </row>
    <row r="604" spans="1:9" x14ac:dyDescent="0.3">
      <c r="A604">
        <v>20603</v>
      </c>
      <c r="B604">
        <v>462</v>
      </c>
      <c r="C604" s="2">
        <v>45197</v>
      </c>
      <c r="D604" s="2" t="str">
        <f>TEXT(Table4[[#This Row],[issue_date]],"mmmm")</f>
        <v>September</v>
      </c>
      <c r="E604" s="9">
        <f>YEAR(Table4[[#This Row],[issue_date]])</f>
        <v>2023</v>
      </c>
      <c r="F604" t="s">
        <v>21</v>
      </c>
      <c r="G604">
        <v>56</v>
      </c>
      <c r="H604" t="s">
        <v>20</v>
      </c>
      <c r="I604" t="str">
        <f>VLOOKUP(Table4[[#This Row],[customer_id]],customers!A:G,4,)</f>
        <v>hyderabad</v>
      </c>
    </row>
    <row r="605" spans="1:9" x14ac:dyDescent="0.3">
      <c r="A605">
        <v>20604</v>
      </c>
      <c r="B605">
        <v>359</v>
      </c>
      <c r="C605" s="2">
        <v>44613</v>
      </c>
      <c r="D605" s="2" t="str">
        <f>TEXT(Table4[[#This Row],[issue_date]],"mmmm")</f>
        <v>February</v>
      </c>
      <c r="E605" s="9">
        <f>YEAR(Table4[[#This Row],[issue_date]])</f>
        <v>2022</v>
      </c>
      <c r="F605" t="s">
        <v>21</v>
      </c>
      <c r="G605">
        <v>30</v>
      </c>
      <c r="H605" t="s">
        <v>20</v>
      </c>
      <c r="I605" t="str">
        <f>VLOOKUP(Table4[[#This Row],[customer_id]],customers!A:G,4,)</f>
        <v>mumbai</v>
      </c>
    </row>
    <row r="606" spans="1:9" x14ac:dyDescent="0.3">
      <c r="A606">
        <v>20605</v>
      </c>
      <c r="B606">
        <v>472</v>
      </c>
      <c r="C606" s="2">
        <v>44965</v>
      </c>
      <c r="D606" s="2" t="str">
        <f>TEXT(Table4[[#This Row],[issue_date]],"mmmm")</f>
        <v>February</v>
      </c>
      <c r="E606" s="9">
        <f>YEAR(Table4[[#This Row],[issue_date]])</f>
        <v>2023</v>
      </c>
      <c r="F606" t="s">
        <v>21</v>
      </c>
      <c r="G606">
        <v>41</v>
      </c>
      <c r="H606" t="s">
        <v>20</v>
      </c>
      <c r="I606" t="str">
        <f>VLOOKUP(Table4[[#This Row],[customer_id]],customers!A:G,4,)</f>
        <v>bangalore</v>
      </c>
    </row>
    <row r="607" spans="1:9" x14ac:dyDescent="0.3">
      <c r="A607">
        <v>20606</v>
      </c>
      <c r="B607">
        <v>368</v>
      </c>
      <c r="C607" s="2">
        <v>45263</v>
      </c>
      <c r="D607" s="2" t="str">
        <f>TEXT(Table4[[#This Row],[issue_date]],"mmmm")</f>
        <v>December</v>
      </c>
      <c r="E607" s="9">
        <f>YEAR(Table4[[#This Row],[issue_date]])</f>
        <v>2023</v>
      </c>
      <c r="F607" t="s">
        <v>19</v>
      </c>
      <c r="G607">
        <v>71</v>
      </c>
      <c r="H607" t="s">
        <v>20</v>
      </c>
      <c r="I607" t="str">
        <f>VLOOKUP(Table4[[#This Row],[customer_id]],customers!A:G,4,)</f>
        <v>kolkata</v>
      </c>
    </row>
    <row r="608" spans="1:9" x14ac:dyDescent="0.3">
      <c r="A608">
        <v>20607</v>
      </c>
      <c r="B608">
        <v>146</v>
      </c>
      <c r="C608" s="2">
        <v>44702</v>
      </c>
      <c r="D608" s="2" t="str">
        <f>TEXT(Table4[[#This Row],[issue_date]],"mmmm")</f>
        <v>May</v>
      </c>
      <c r="E608" s="9">
        <f>YEAR(Table4[[#This Row],[issue_date]])</f>
        <v>2022</v>
      </c>
      <c r="F608" t="s">
        <v>22</v>
      </c>
      <c r="G608">
        <v>63</v>
      </c>
      <c r="H608" t="s">
        <v>20</v>
      </c>
      <c r="I608" t="str">
        <f>VLOOKUP(Table4[[#This Row],[customer_id]],customers!A:G,4,)</f>
        <v>mumbai</v>
      </c>
    </row>
    <row r="609" spans="1:9" x14ac:dyDescent="0.3">
      <c r="A609">
        <v>20608</v>
      </c>
      <c r="B609">
        <v>252</v>
      </c>
      <c r="C609" s="2">
        <v>44649</v>
      </c>
      <c r="D609" s="2" t="str">
        <f>TEXT(Table4[[#This Row],[issue_date]],"mmmm")</f>
        <v>March</v>
      </c>
      <c r="E609" s="9">
        <f>YEAR(Table4[[#This Row],[issue_date]])</f>
        <v>2022</v>
      </c>
      <c r="F609" t="s">
        <v>22</v>
      </c>
      <c r="G609">
        <v>69</v>
      </c>
      <c r="H609" t="s">
        <v>20</v>
      </c>
      <c r="I609" t="str">
        <f>VLOOKUP(Table4[[#This Row],[customer_id]],customers!A:G,4,)</f>
        <v>hyderabad</v>
      </c>
    </row>
    <row r="610" spans="1:9" x14ac:dyDescent="0.3">
      <c r="A610">
        <v>20609</v>
      </c>
      <c r="B610">
        <v>166</v>
      </c>
      <c r="C610" s="2">
        <v>44988</v>
      </c>
      <c r="D610" s="2" t="str">
        <f>TEXT(Table4[[#This Row],[issue_date]],"mmmm")</f>
        <v>March</v>
      </c>
      <c r="E610" s="9">
        <f>YEAR(Table4[[#This Row],[issue_date]])</f>
        <v>2023</v>
      </c>
      <c r="F610" t="s">
        <v>19</v>
      </c>
      <c r="G610">
        <v>29</v>
      </c>
      <c r="H610" t="s">
        <v>23</v>
      </c>
      <c r="I610" t="str">
        <f>VLOOKUP(Table4[[#This Row],[customer_id]],customers!A:G,4,)</f>
        <v>delhi</v>
      </c>
    </row>
    <row r="611" spans="1:9" x14ac:dyDescent="0.3">
      <c r="A611">
        <v>20610</v>
      </c>
      <c r="B611">
        <v>103</v>
      </c>
      <c r="C611" s="2">
        <v>44645</v>
      </c>
      <c r="D611" s="2" t="str">
        <f>TEXT(Table4[[#This Row],[issue_date]],"mmmm")</f>
        <v>March</v>
      </c>
      <c r="E611" s="9">
        <f>YEAR(Table4[[#This Row],[issue_date]])</f>
        <v>2022</v>
      </c>
      <c r="F611" t="s">
        <v>21</v>
      </c>
      <c r="G611">
        <v>44</v>
      </c>
      <c r="H611" t="s">
        <v>20</v>
      </c>
      <c r="I611" t="str">
        <f>VLOOKUP(Table4[[#This Row],[customer_id]],customers!A:G,4,)</f>
        <v>delhi</v>
      </c>
    </row>
    <row r="612" spans="1:9" x14ac:dyDescent="0.3">
      <c r="A612">
        <v>20611</v>
      </c>
      <c r="B612">
        <v>499</v>
      </c>
      <c r="C612" s="2">
        <v>44804</v>
      </c>
      <c r="D612" s="2" t="str">
        <f>TEXT(Table4[[#This Row],[issue_date]],"mmmm")</f>
        <v>August</v>
      </c>
      <c r="E612" s="9">
        <f>YEAR(Table4[[#This Row],[issue_date]])</f>
        <v>2022</v>
      </c>
      <c r="F612" t="s">
        <v>22</v>
      </c>
      <c r="G612">
        <v>57</v>
      </c>
      <c r="H612" t="s">
        <v>20</v>
      </c>
      <c r="I612" t="str">
        <f>VLOOKUP(Table4[[#This Row],[customer_id]],customers!A:G,4,)</f>
        <v>delhi</v>
      </c>
    </row>
    <row r="613" spans="1:9" x14ac:dyDescent="0.3">
      <c r="A613">
        <v>20612</v>
      </c>
      <c r="B613">
        <v>488</v>
      </c>
      <c r="C613" s="2">
        <v>44667</v>
      </c>
      <c r="D613" s="2" t="str">
        <f>TEXT(Table4[[#This Row],[issue_date]],"mmmm")</f>
        <v>April</v>
      </c>
      <c r="E613" s="9">
        <f>YEAR(Table4[[#This Row],[issue_date]])</f>
        <v>2022</v>
      </c>
      <c r="F613" t="s">
        <v>19</v>
      </c>
      <c r="G613">
        <v>24</v>
      </c>
      <c r="H613" t="s">
        <v>20</v>
      </c>
      <c r="I613" t="str">
        <f>VLOOKUP(Table4[[#This Row],[customer_id]],customers!A:G,4,)</f>
        <v>hyderabad</v>
      </c>
    </row>
    <row r="614" spans="1:9" x14ac:dyDescent="0.3">
      <c r="A614">
        <v>20613</v>
      </c>
      <c r="B614">
        <v>193</v>
      </c>
      <c r="C614" s="2">
        <v>45165</v>
      </c>
      <c r="D614" s="2" t="str">
        <f>TEXT(Table4[[#This Row],[issue_date]],"mmmm")</f>
        <v>August</v>
      </c>
      <c r="E614" s="9">
        <f>YEAR(Table4[[#This Row],[issue_date]])</f>
        <v>2023</v>
      </c>
      <c r="F614" t="s">
        <v>19</v>
      </c>
      <c r="G614">
        <v>19</v>
      </c>
      <c r="H614" t="s">
        <v>20</v>
      </c>
      <c r="I614" t="str">
        <f>VLOOKUP(Table4[[#This Row],[customer_id]],customers!A:G,4,)</f>
        <v>bangalore</v>
      </c>
    </row>
    <row r="615" spans="1:9" x14ac:dyDescent="0.3">
      <c r="A615">
        <v>20614</v>
      </c>
      <c r="B615">
        <v>17</v>
      </c>
      <c r="C615" s="2">
        <v>44916</v>
      </c>
      <c r="D615" s="2" t="str">
        <f>TEXT(Table4[[#This Row],[issue_date]],"mmmm")</f>
        <v>December</v>
      </c>
      <c r="E615" s="9">
        <f>YEAR(Table4[[#This Row],[issue_date]])</f>
        <v>2022</v>
      </c>
      <c r="F615" t="s">
        <v>21</v>
      </c>
      <c r="G615">
        <v>17</v>
      </c>
      <c r="H615" t="s">
        <v>20</v>
      </c>
      <c r="I615" t="str">
        <f>VLOOKUP(Table4[[#This Row],[customer_id]],customers!A:G,4,)</f>
        <v>bangalore</v>
      </c>
    </row>
    <row r="616" spans="1:9" x14ac:dyDescent="0.3">
      <c r="A616">
        <v>20615</v>
      </c>
      <c r="B616">
        <v>90</v>
      </c>
      <c r="C616" s="2">
        <v>44582</v>
      </c>
      <c r="D616" s="2" t="str">
        <f>TEXT(Table4[[#This Row],[issue_date]],"mmmm")</f>
        <v>January</v>
      </c>
      <c r="E616" s="9">
        <f>YEAR(Table4[[#This Row],[issue_date]])</f>
        <v>2022</v>
      </c>
      <c r="F616" t="s">
        <v>21</v>
      </c>
      <c r="G616">
        <v>69</v>
      </c>
      <c r="H616" t="s">
        <v>20</v>
      </c>
      <c r="I616" t="str">
        <f>VLOOKUP(Table4[[#This Row],[customer_id]],customers!A:G,4,)</f>
        <v>mumbai</v>
      </c>
    </row>
    <row r="617" spans="1:9" x14ac:dyDescent="0.3">
      <c r="A617">
        <v>20616</v>
      </c>
      <c r="B617">
        <v>371</v>
      </c>
      <c r="C617" s="2">
        <v>44567</v>
      </c>
      <c r="D617" s="2" t="str">
        <f>TEXT(Table4[[#This Row],[issue_date]],"mmmm")</f>
        <v>January</v>
      </c>
      <c r="E617" s="9">
        <f>YEAR(Table4[[#This Row],[issue_date]])</f>
        <v>2022</v>
      </c>
      <c r="F617" t="s">
        <v>22</v>
      </c>
      <c r="G617">
        <v>61</v>
      </c>
      <c r="H617" t="s">
        <v>20</v>
      </c>
      <c r="I617" t="str">
        <f>VLOOKUP(Table4[[#This Row],[customer_id]],customers!A:G,4,)</f>
        <v>delhi</v>
      </c>
    </row>
    <row r="618" spans="1:9" x14ac:dyDescent="0.3">
      <c r="A618">
        <v>20617</v>
      </c>
      <c r="B618">
        <v>86</v>
      </c>
      <c r="C618" s="2">
        <v>44782</v>
      </c>
      <c r="D618" s="2" t="str">
        <f>TEXT(Table4[[#This Row],[issue_date]],"mmmm")</f>
        <v>August</v>
      </c>
      <c r="E618" s="9">
        <f>YEAR(Table4[[#This Row],[issue_date]])</f>
        <v>2022</v>
      </c>
      <c r="F618" t="s">
        <v>22</v>
      </c>
      <c r="G618">
        <v>4</v>
      </c>
      <c r="H618" t="s">
        <v>23</v>
      </c>
      <c r="I618" t="str">
        <f>VLOOKUP(Table4[[#This Row],[customer_id]],customers!A:G,4,)</f>
        <v>delhi</v>
      </c>
    </row>
    <row r="619" spans="1:9" x14ac:dyDescent="0.3">
      <c r="A619">
        <v>20618</v>
      </c>
      <c r="B619">
        <v>103</v>
      </c>
      <c r="C619" s="2">
        <v>45382</v>
      </c>
      <c r="D619" s="2" t="str">
        <f>TEXT(Table4[[#This Row],[issue_date]],"mmmm")</f>
        <v>March</v>
      </c>
      <c r="E619" s="9">
        <f>YEAR(Table4[[#This Row],[issue_date]])</f>
        <v>2024</v>
      </c>
      <c r="F619" t="s">
        <v>21</v>
      </c>
      <c r="G619">
        <v>22</v>
      </c>
      <c r="H619" t="s">
        <v>20</v>
      </c>
      <c r="I619" t="str">
        <f>VLOOKUP(Table4[[#This Row],[customer_id]],customers!A:G,4,)</f>
        <v>delhi</v>
      </c>
    </row>
    <row r="620" spans="1:9" x14ac:dyDescent="0.3">
      <c r="A620">
        <v>20619</v>
      </c>
      <c r="B620">
        <v>82</v>
      </c>
      <c r="C620" s="2">
        <v>44648</v>
      </c>
      <c r="D620" s="2" t="str">
        <f>TEXT(Table4[[#This Row],[issue_date]],"mmmm")</f>
        <v>March</v>
      </c>
      <c r="E620" s="9">
        <f>YEAR(Table4[[#This Row],[issue_date]])</f>
        <v>2022</v>
      </c>
      <c r="F620" t="s">
        <v>22</v>
      </c>
      <c r="G620">
        <v>6</v>
      </c>
      <c r="H620" t="s">
        <v>20</v>
      </c>
      <c r="I620" t="str">
        <f>VLOOKUP(Table4[[#This Row],[customer_id]],customers!A:G,4,)</f>
        <v>chennai</v>
      </c>
    </row>
    <row r="621" spans="1:9" x14ac:dyDescent="0.3">
      <c r="A621">
        <v>20620</v>
      </c>
      <c r="B621">
        <v>126</v>
      </c>
      <c r="C621" s="2">
        <v>45253</v>
      </c>
      <c r="D621" s="2" t="str">
        <f>TEXT(Table4[[#This Row],[issue_date]],"mmmm")</f>
        <v>November</v>
      </c>
      <c r="E621" s="9">
        <f>YEAR(Table4[[#This Row],[issue_date]])</f>
        <v>2023</v>
      </c>
      <c r="F621" t="s">
        <v>21</v>
      </c>
      <c r="G621">
        <v>30</v>
      </c>
      <c r="H621" t="s">
        <v>20</v>
      </c>
      <c r="I621" t="str">
        <f>VLOOKUP(Table4[[#This Row],[customer_id]],customers!A:G,4,)</f>
        <v>chennai</v>
      </c>
    </row>
    <row r="622" spans="1:9" x14ac:dyDescent="0.3">
      <c r="A622">
        <v>20621</v>
      </c>
      <c r="B622">
        <v>38</v>
      </c>
      <c r="C622" s="2">
        <v>45014</v>
      </c>
      <c r="D622" s="2" t="str">
        <f>TEXT(Table4[[#This Row],[issue_date]],"mmmm")</f>
        <v>March</v>
      </c>
      <c r="E622" s="9">
        <f>YEAR(Table4[[#This Row],[issue_date]])</f>
        <v>2023</v>
      </c>
      <c r="F622" t="s">
        <v>19</v>
      </c>
      <c r="G622">
        <v>11</v>
      </c>
      <c r="H622" t="s">
        <v>20</v>
      </c>
      <c r="I622" t="str">
        <f>VLOOKUP(Table4[[#This Row],[customer_id]],customers!A:G,4,)</f>
        <v>mumbai</v>
      </c>
    </row>
    <row r="623" spans="1:9" x14ac:dyDescent="0.3">
      <c r="A623">
        <v>20622</v>
      </c>
      <c r="B623">
        <v>348</v>
      </c>
      <c r="C623" s="2">
        <v>44903</v>
      </c>
      <c r="D623" s="2" t="str">
        <f>TEXT(Table4[[#This Row],[issue_date]],"mmmm")</f>
        <v>December</v>
      </c>
      <c r="E623" s="9">
        <f>YEAR(Table4[[#This Row],[issue_date]])</f>
        <v>2022</v>
      </c>
      <c r="F623" t="s">
        <v>19</v>
      </c>
      <c r="G623">
        <v>48</v>
      </c>
      <c r="H623" t="s">
        <v>20</v>
      </c>
      <c r="I623" t="str">
        <f>VLOOKUP(Table4[[#This Row],[customer_id]],customers!A:G,4,)</f>
        <v>chennai</v>
      </c>
    </row>
    <row r="624" spans="1:9" x14ac:dyDescent="0.3">
      <c r="A624">
        <v>20623</v>
      </c>
      <c r="B624">
        <v>213</v>
      </c>
      <c r="C624" s="2">
        <v>44954</v>
      </c>
      <c r="D624" s="2" t="str">
        <f>TEXT(Table4[[#This Row],[issue_date]],"mmmm")</f>
        <v>January</v>
      </c>
      <c r="E624" s="9">
        <f>YEAR(Table4[[#This Row],[issue_date]])</f>
        <v>2023</v>
      </c>
      <c r="F624" t="s">
        <v>19</v>
      </c>
      <c r="G624">
        <v>46</v>
      </c>
      <c r="H624" t="s">
        <v>20</v>
      </c>
      <c r="I624" t="str">
        <f>VLOOKUP(Table4[[#This Row],[customer_id]],customers!A:G,4,)</f>
        <v>hyderabad</v>
      </c>
    </row>
    <row r="625" spans="1:9" x14ac:dyDescent="0.3">
      <c r="A625">
        <v>20624</v>
      </c>
      <c r="B625">
        <v>319</v>
      </c>
      <c r="C625" s="2">
        <v>44913</v>
      </c>
      <c r="D625" s="2" t="str">
        <f>TEXT(Table4[[#This Row],[issue_date]],"mmmm")</f>
        <v>December</v>
      </c>
      <c r="E625" s="9">
        <f>YEAR(Table4[[#This Row],[issue_date]])</f>
        <v>2022</v>
      </c>
      <c r="F625" t="s">
        <v>22</v>
      </c>
      <c r="G625">
        <v>27</v>
      </c>
      <c r="H625" t="s">
        <v>20</v>
      </c>
      <c r="I625" t="str">
        <f>VLOOKUP(Table4[[#This Row],[customer_id]],customers!A:G,4,)</f>
        <v>chennai</v>
      </c>
    </row>
    <row r="626" spans="1:9" x14ac:dyDescent="0.3">
      <c r="A626">
        <v>20625</v>
      </c>
      <c r="B626">
        <v>486</v>
      </c>
      <c r="C626" s="2">
        <v>44807</v>
      </c>
      <c r="D626" s="2" t="str">
        <f>TEXT(Table4[[#This Row],[issue_date]],"mmmm")</f>
        <v>September</v>
      </c>
      <c r="E626" s="9">
        <f>YEAR(Table4[[#This Row],[issue_date]])</f>
        <v>2022</v>
      </c>
      <c r="F626" t="s">
        <v>21</v>
      </c>
      <c r="G626">
        <v>19</v>
      </c>
      <c r="H626" t="s">
        <v>20</v>
      </c>
      <c r="I626" t="str">
        <f>VLOOKUP(Table4[[#This Row],[customer_id]],customers!A:G,4,)</f>
        <v>chennai</v>
      </c>
    </row>
    <row r="627" spans="1:9" x14ac:dyDescent="0.3">
      <c r="A627">
        <v>20626</v>
      </c>
      <c r="B627">
        <v>225</v>
      </c>
      <c r="C627" s="2">
        <v>45247</v>
      </c>
      <c r="D627" s="2" t="str">
        <f>TEXT(Table4[[#This Row],[issue_date]],"mmmm")</f>
        <v>November</v>
      </c>
      <c r="E627" s="9">
        <f>YEAR(Table4[[#This Row],[issue_date]])</f>
        <v>2023</v>
      </c>
      <c r="F627" t="s">
        <v>19</v>
      </c>
      <c r="G627">
        <v>59</v>
      </c>
      <c r="H627" t="s">
        <v>20</v>
      </c>
      <c r="I627" t="str">
        <f>VLOOKUP(Table4[[#This Row],[customer_id]],customers!A:G,4,)</f>
        <v>hyderabad</v>
      </c>
    </row>
    <row r="628" spans="1:9" x14ac:dyDescent="0.3">
      <c r="A628">
        <v>20627</v>
      </c>
      <c r="B628">
        <v>222</v>
      </c>
      <c r="C628" s="2">
        <v>44674</v>
      </c>
      <c r="D628" s="2" t="str">
        <f>TEXT(Table4[[#This Row],[issue_date]],"mmmm")</f>
        <v>April</v>
      </c>
      <c r="E628" s="9">
        <f>YEAR(Table4[[#This Row],[issue_date]])</f>
        <v>2022</v>
      </c>
      <c r="F628" t="s">
        <v>19</v>
      </c>
      <c r="G628">
        <v>68</v>
      </c>
      <c r="H628" t="s">
        <v>20</v>
      </c>
      <c r="I628" t="str">
        <f>VLOOKUP(Table4[[#This Row],[customer_id]],customers!A:G,4,)</f>
        <v>bangalore</v>
      </c>
    </row>
    <row r="629" spans="1:9" x14ac:dyDescent="0.3">
      <c r="A629">
        <v>20628</v>
      </c>
      <c r="B629">
        <v>426</v>
      </c>
      <c r="C629" s="2">
        <v>45144</v>
      </c>
      <c r="D629" s="2" t="str">
        <f>TEXT(Table4[[#This Row],[issue_date]],"mmmm")</f>
        <v>August</v>
      </c>
      <c r="E629" s="9">
        <f>YEAR(Table4[[#This Row],[issue_date]])</f>
        <v>2023</v>
      </c>
      <c r="F629" t="s">
        <v>22</v>
      </c>
      <c r="G629">
        <v>54</v>
      </c>
      <c r="H629" t="s">
        <v>20</v>
      </c>
      <c r="I629" t="str">
        <f>VLOOKUP(Table4[[#This Row],[customer_id]],customers!A:G,4,)</f>
        <v>mumbai</v>
      </c>
    </row>
    <row r="630" spans="1:9" x14ac:dyDescent="0.3">
      <c r="A630">
        <v>20629</v>
      </c>
      <c r="B630">
        <v>247</v>
      </c>
      <c r="C630" s="2">
        <v>44719</v>
      </c>
      <c r="D630" s="2" t="str">
        <f>TEXT(Table4[[#This Row],[issue_date]],"mmmm")</f>
        <v>June</v>
      </c>
      <c r="E630" s="9">
        <f>YEAR(Table4[[#This Row],[issue_date]])</f>
        <v>2022</v>
      </c>
      <c r="F630" t="s">
        <v>22</v>
      </c>
      <c r="G630">
        <v>17</v>
      </c>
      <c r="H630" t="s">
        <v>20</v>
      </c>
      <c r="I630" t="str">
        <f>VLOOKUP(Table4[[#This Row],[customer_id]],customers!A:G,4,)</f>
        <v>chennai</v>
      </c>
    </row>
    <row r="631" spans="1:9" x14ac:dyDescent="0.3">
      <c r="A631">
        <v>20630</v>
      </c>
      <c r="B631">
        <v>136</v>
      </c>
      <c r="C631" s="2">
        <v>45372</v>
      </c>
      <c r="D631" s="2" t="str">
        <f>TEXT(Table4[[#This Row],[issue_date]],"mmmm")</f>
        <v>March</v>
      </c>
      <c r="E631" s="9">
        <f>YEAR(Table4[[#This Row],[issue_date]])</f>
        <v>2024</v>
      </c>
      <c r="F631" t="s">
        <v>19</v>
      </c>
      <c r="G631">
        <v>50</v>
      </c>
      <c r="H631" t="s">
        <v>20</v>
      </c>
      <c r="I631" t="str">
        <f>VLOOKUP(Table4[[#This Row],[customer_id]],customers!A:G,4,)</f>
        <v>chennai</v>
      </c>
    </row>
    <row r="632" spans="1:9" x14ac:dyDescent="0.3">
      <c r="A632">
        <v>20631</v>
      </c>
      <c r="B632">
        <v>286</v>
      </c>
      <c r="C632" s="2">
        <v>44798</v>
      </c>
      <c r="D632" s="2" t="str">
        <f>TEXT(Table4[[#This Row],[issue_date]],"mmmm")</f>
        <v>August</v>
      </c>
      <c r="E632" s="9">
        <f>YEAR(Table4[[#This Row],[issue_date]])</f>
        <v>2022</v>
      </c>
      <c r="F632" t="s">
        <v>22</v>
      </c>
      <c r="G632">
        <v>40</v>
      </c>
      <c r="H632" t="s">
        <v>20</v>
      </c>
      <c r="I632" t="str">
        <f>VLOOKUP(Table4[[#This Row],[customer_id]],customers!A:G,4,)</f>
        <v>chennai</v>
      </c>
    </row>
    <row r="633" spans="1:9" x14ac:dyDescent="0.3">
      <c r="A633">
        <v>20632</v>
      </c>
      <c r="B633">
        <v>231</v>
      </c>
      <c r="C633" s="2">
        <v>45260</v>
      </c>
      <c r="D633" s="2" t="str">
        <f>TEXT(Table4[[#This Row],[issue_date]],"mmmm")</f>
        <v>November</v>
      </c>
      <c r="E633" s="9">
        <f>YEAR(Table4[[#This Row],[issue_date]])</f>
        <v>2023</v>
      </c>
      <c r="F633" t="s">
        <v>22</v>
      </c>
      <c r="G633">
        <v>11</v>
      </c>
      <c r="H633" t="s">
        <v>23</v>
      </c>
      <c r="I633" t="str">
        <f>VLOOKUP(Table4[[#This Row],[customer_id]],customers!A:G,4,)</f>
        <v>delhi</v>
      </c>
    </row>
    <row r="634" spans="1:9" x14ac:dyDescent="0.3">
      <c r="A634">
        <v>20633</v>
      </c>
      <c r="B634">
        <v>320</v>
      </c>
      <c r="C634" s="2">
        <v>44804</v>
      </c>
      <c r="D634" s="2" t="str">
        <f>TEXT(Table4[[#This Row],[issue_date]],"mmmm")</f>
        <v>August</v>
      </c>
      <c r="E634" s="9">
        <f>YEAR(Table4[[#This Row],[issue_date]])</f>
        <v>2022</v>
      </c>
      <c r="F634" t="s">
        <v>22</v>
      </c>
      <c r="G634">
        <v>14</v>
      </c>
      <c r="H634" t="s">
        <v>23</v>
      </c>
      <c r="I634" t="str">
        <f>VLOOKUP(Table4[[#This Row],[customer_id]],customers!A:G,4,)</f>
        <v>hyderabad</v>
      </c>
    </row>
    <row r="635" spans="1:9" x14ac:dyDescent="0.3">
      <c r="A635">
        <v>20634</v>
      </c>
      <c r="B635">
        <v>9</v>
      </c>
      <c r="C635" s="2">
        <v>44727</v>
      </c>
      <c r="D635" s="2" t="str">
        <f>TEXT(Table4[[#This Row],[issue_date]],"mmmm")</f>
        <v>June</v>
      </c>
      <c r="E635" s="9">
        <f>YEAR(Table4[[#This Row],[issue_date]])</f>
        <v>2022</v>
      </c>
      <c r="F635" t="s">
        <v>22</v>
      </c>
      <c r="G635">
        <v>13</v>
      </c>
      <c r="H635" t="s">
        <v>20</v>
      </c>
      <c r="I635" t="str">
        <f>VLOOKUP(Table4[[#This Row],[customer_id]],customers!A:G,4,)</f>
        <v>bangalore</v>
      </c>
    </row>
    <row r="636" spans="1:9" x14ac:dyDescent="0.3">
      <c r="A636">
        <v>20635</v>
      </c>
      <c r="B636">
        <v>225</v>
      </c>
      <c r="C636" s="2">
        <v>44595</v>
      </c>
      <c r="D636" s="2" t="str">
        <f>TEXT(Table4[[#This Row],[issue_date]],"mmmm")</f>
        <v>February</v>
      </c>
      <c r="E636" s="9">
        <f>YEAR(Table4[[#This Row],[issue_date]])</f>
        <v>2022</v>
      </c>
      <c r="F636" t="s">
        <v>21</v>
      </c>
      <c r="G636">
        <v>28</v>
      </c>
      <c r="H636" t="s">
        <v>20</v>
      </c>
      <c r="I636" t="str">
        <f>VLOOKUP(Table4[[#This Row],[customer_id]],customers!A:G,4,)</f>
        <v>hyderabad</v>
      </c>
    </row>
    <row r="637" spans="1:9" x14ac:dyDescent="0.3">
      <c r="A637">
        <v>20636</v>
      </c>
      <c r="B637">
        <v>313</v>
      </c>
      <c r="C637" s="2">
        <v>44816</v>
      </c>
      <c r="D637" s="2" t="str">
        <f>TEXT(Table4[[#This Row],[issue_date]],"mmmm")</f>
        <v>September</v>
      </c>
      <c r="E637" s="9">
        <f>YEAR(Table4[[#This Row],[issue_date]])</f>
        <v>2022</v>
      </c>
      <c r="F637" t="s">
        <v>22</v>
      </c>
      <c r="G637">
        <v>44</v>
      </c>
      <c r="H637" t="s">
        <v>20</v>
      </c>
      <c r="I637" t="str">
        <f>VLOOKUP(Table4[[#This Row],[customer_id]],customers!A:G,4,)</f>
        <v>chennai</v>
      </c>
    </row>
    <row r="638" spans="1:9" x14ac:dyDescent="0.3">
      <c r="A638">
        <v>20637</v>
      </c>
      <c r="B638">
        <v>107</v>
      </c>
      <c r="C638" s="2">
        <v>44863</v>
      </c>
      <c r="D638" s="2" t="str">
        <f>TEXT(Table4[[#This Row],[issue_date]],"mmmm")</f>
        <v>October</v>
      </c>
      <c r="E638" s="9">
        <f>YEAR(Table4[[#This Row],[issue_date]])</f>
        <v>2022</v>
      </c>
      <c r="F638" t="s">
        <v>22</v>
      </c>
      <c r="G638">
        <v>63</v>
      </c>
      <c r="H638" t="s">
        <v>20</v>
      </c>
      <c r="I638" t="str">
        <f>VLOOKUP(Table4[[#This Row],[customer_id]],customers!A:G,4,)</f>
        <v>chennai</v>
      </c>
    </row>
    <row r="639" spans="1:9" x14ac:dyDescent="0.3">
      <c r="A639">
        <v>20638</v>
      </c>
      <c r="B639">
        <v>187</v>
      </c>
      <c r="C639" s="2">
        <v>44781</v>
      </c>
      <c r="D639" s="2" t="str">
        <f>TEXT(Table4[[#This Row],[issue_date]],"mmmm")</f>
        <v>August</v>
      </c>
      <c r="E639" s="9">
        <f>YEAR(Table4[[#This Row],[issue_date]])</f>
        <v>2022</v>
      </c>
      <c r="F639" t="s">
        <v>21</v>
      </c>
      <c r="G639">
        <v>61</v>
      </c>
      <c r="H639" t="s">
        <v>20</v>
      </c>
      <c r="I639" t="str">
        <f>VLOOKUP(Table4[[#This Row],[customer_id]],customers!A:G,4,)</f>
        <v>chennai</v>
      </c>
    </row>
    <row r="640" spans="1:9" x14ac:dyDescent="0.3">
      <c r="A640">
        <v>20639</v>
      </c>
      <c r="B640">
        <v>221</v>
      </c>
      <c r="C640" s="2">
        <v>44593</v>
      </c>
      <c r="D640" s="2" t="str">
        <f>TEXT(Table4[[#This Row],[issue_date]],"mmmm")</f>
        <v>February</v>
      </c>
      <c r="E640" s="9">
        <f>YEAR(Table4[[#This Row],[issue_date]])</f>
        <v>2022</v>
      </c>
      <c r="F640" t="s">
        <v>22</v>
      </c>
      <c r="G640">
        <v>17</v>
      </c>
      <c r="H640" t="s">
        <v>23</v>
      </c>
      <c r="I640" t="str">
        <f>VLOOKUP(Table4[[#This Row],[customer_id]],customers!A:G,4,)</f>
        <v>bangalore</v>
      </c>
    </row>
    <row r="641" spans="1:9" x14ac:dyDescent="0.3">
      <c r="A641">
        <v>20640</v>
      </c>
      <c r="B641">
        <v>95</v>
      </c>
      <c r="C641" s="2">
        <v>45330</v>
      </c>
      <c r="D641" s="2" t="str">
        <f>TEXT(Table4[[#This Row],[issue_date]],"mmmm")</f>
        <v>February</v>
      </c>
      <c r="E641" s="9">
        <f>YEAR(Table4[[#This Row],[issue_date]])</f>
        <v>2024</v>
      </c>
      <c r="F641" t="s">
        <v>22</v>
      </c>
      <c r="G641">
        <v>50</v>
      </c>
      <c r="H641" t="s">
        <v>20</v>
      </c>
      <c r="I641" t="str">
        <f>VLOOKUP(Table4[[#This Row],[customer_id]],customers!A:G,4,)</f>
        <v>mumbai</v>
      </c>
    </row>
    <row r="642" spans="1:9" x14ac:dyDescent="0.3">
      <c r="A642">
        <v>20641</v>
      </c>
      <c r="B642">
        <v>195</v>
      </c>
      <c r="C642" s="2">
        <v>45070</v>
      </c>
      <c r="D642" s="2" t="str">
        <f>TEXT(Table4[[#This Row],[issue_date]],"mmmm")</f>
        <v>May</v>
      </c>
      <c r="E642" s="9">
        <f>YEAR(Table4[[#This Row],[issue_date]])</f>
        <v>2023</v>
      </c>
      <c r="F642" t="s">
        <v>19</v>
      </c>
      <c r="G642">
        <v>26</v>
      </c>
      <c r="H642" t="s">
        <v>20</v>
      </c>
      <c r="I642" t="str">
        <f>VLOOKUP(Table4[[#This Row],[customer_id]],customers!A:G,4,)</f>
        <v>hyderabad</v>
      </c>
    </row>
    <row r="643" spans="1:9" x14ac:dyDescent="0.3">
      <c r="A643">
        <v>20642</v>
      </c>
      <c r="B643">
        <v>242</v>
      </c>
      <c r="C643" s="2">
        <v>45043</v>
      </c>
      <c r="D643" s="2" t="str">
        <f>TEXT(Table4[[#This Row],[issue_date]],"mmmm")</f>
        <v>April</v>
      </c>
      <c r="E643" s="9">
        <f>YEAR(Table4[[#This Row],[issue_date]])</f>
        <v>2023</v>
      </c>
      <c r="F643" t="s">
        <v>19</v>
      </c>
      <c r="G643">
        <v>7</v>
      </c>
      <c r="H643" t="s">
        <v>23</v>
      </c>
      <c r="I643" t="str">
        <f>VLOOKUP(Table4[[#This Row],[customer_id]],customers!A:G,4,)</f>
        <v>hyderabad</v>
      </c>
    </row>
    <row r="644" spans="1:9" x14ac:dyDescent="0.3">
      <c r="A644">
        <v>20643</v>
      </c>
      <c r="B644">
        <v>230</v>
      </c>
      <c r="C644" s="2">
        <v>44794</v>
      </c>
      <c r="D644" s="2" t="str">
        <f>TEXT(Table4[[#This Row],[issue_date]],"mmmm")</f>
        <v>August</v>
      </c>
      <c r="E644" s="9">
        <f>YEAR(Table4[[#This Row],[issue_date]])</f>
        <v>2022</v>
      </c>
      <c r="F644" t="s">
        <v>19</v>
      </c>
      <c r="G644">
        <v>16</v>
      </c>
      <c r="H644" t="s">
        <v>20</v>
      </c>
      <c r="I644" t="str">
        <f>VLOOKUP(Table4[[#This Row],[customer_id]],customers!A:G,4,)</f>
        <v>chennai</v>
      </c>
    </row>
    <row r="645" spans="1:9" x14ac:dyDescent="0.3">
      <c r="A645">
        <v>20644</v>
      </c>
      <c r="B645">
        <v>331</v>
      </c>
      <c r="C645" s="2">
        <v>44776</v>
      </c>
      <c r="D645" s="2" t="str">
        <f>TEXT(Table4[[#This Row],[issue_date]],"mmmm")</f>
        <v>August</v>
      </c>
      <c r="E645" s="9">
        <f>YEAR(Table4[[#This Row],[issue_date]])</f>
        <v>2022</v>
      </c>
      <c r="F645" t="s">
        <v>21</v>
      </c>
      <c r="G645">
        <v>17</v>
      </c>
      <c r="H645" t="s">
        <v>20</v>
      </c>
      <c r="I645" t="str">
        <f>VLOOKUP(Table4[[#This Row],[customer_id]],customers!A:G,4,)</f>
        <v>bangalore</v>
      </c>
    </row>
    <row r="646" spans="1:9" x14ac:dyDescent="0.3">
      <c r="A646">
        <v>20645</v>
      </c>
      <c r="B646">
        <v>5</v>
      </c>
      <c r="C646" s="2">
        <v>44803</v>
      </c>
      <c r="D646" s="2" t="str">
        <f>TEXT(Table4[[#This Row],[issue_date]],"mmmm")</f>
        <v>August</v>
      </c>
      <c r="E646" s="9">
        <f>YEAR(Table4[[#This Row],[issue_date]])</f>
        <v>2022</v>
      </c>
      <c r="F646" t="s">
        <v>22</v>
      </c>
      <c r="G646">
        <v>35</v>
      </c>
      <c r="H646" t="s">
        <v>20</v>
      </c>
      <c r="I646" t="str">
        <f>VLOOKUP(Table4[[#This Row],[customer_id]],customers!A:G,4,)</f>
        <v>delhi</v>
      </c>
    </row>
    <row r="647" spans="1:9" x14ac:dyDescent="0.3">
      <c r="A647">
        <v>20646</v>
      </c>
      <c r="B647">
        <v>351</v>
      </c>
      <c r="C647" s="2">
        <v>44806</v>
      </c>
      <c r="D647" s="2" t="str">
        <f>TEXT(Table4[[#This Row],[issue_date]],"mmmm")</f>
        <v>September</v>
      </c>
      <c r="E647" s="9">
        <f>YEAR(Table4[[#This Row],[issue_date]])</f>
        <v>2022</v>
      </c>
      <c r="F647" t="s">
        <v>21</v>
      </c>
      <c r="G647">
        <v>23</v>
      </c>
      <c r="H647" t="s">
        <v>20</v>
      </c>
      <c r="I647" t="str">
        <f>VLOOKUP(Table4[[#This Row],[customer_id]],customers!A:G,4,)</f>
        <v>bangalore</v>
      </c>
    </row>
    <row r="648" spans="1:9" x14ac:dyDescent="0.3">
      <c r="A648">
        <v>20647</v>
      </c>
      <c r="B648">
        <v>468</v>
      </c>
      <c r="C648" s="2">
        <v>44581</v>
      </c>
      <c r="D648" s="2" t="str">
        <f>TEXT(Table4[[#This Row],[issue_date]],"mmmm")</f>
        <v>January</v>
      </c>
      <c r="E648" s="9">
        <f>YEAR(Table4[[#This Row],[issue_date]])</f>
        <v>2022</v>
      </c>
      <c r="F648" t="s">
        <v>21</v>
      </c>
      <c r="G648">
        <v>69</v>
      </c>
      <c r="H648" t="s">
        <v>20</v>
      </c>
      <c r="I648" t="str">
        <f>VLOOKUP(Table4[[#This Row],[customer_id]],customers!A:G,4,)</f>
        <v>mumbai</v>
      </c>
    </row>
    <row r="649" spans="1:9" x14ac:dyDescent="0.3">
      <c r="A649">
        <v>20648</v>
      </c>
      <c r="B649">
        <v>4</v>
      </c>
      <c r="C649" s="2">
        <v>44771</v>
      </c>
      <c r="D649" s="2" t="str">
        <f>TEXT(Table4[[#This Row],[issue_date]],"mmmm")</f>
        <v>July</v>
      </c>
      <c r="E649" s="9">
        <f>YEAR(Table4[[#This Row],[issue_date]])</f>
        <v>2022</v>
      </c>
      <c r="F649" t="s">
        <v>22</v>
      </c>
      <c r="G649">
        <v>9</v>
      </c>
      <c r="H649" t="s">
        <v>20</v>
      </c>
      <c r="I649" t="str">
        <f>VLOOKUP(Table4[[#This Row],[customer_id]],customers!A:G,4,)</f>
        <v>chennai</v>
      </c>
    </row>
    <row r="650" spans="1:9" x14ac:dyDescent="0.3">
      <c r="A650">
        <v>20649</v>
      </c>
      <c r="B650">
        <v>264</v>
      </c>
      <c r="C650" s="2">
        <v>45283</v>
      </c>
      <c r="D650" s="2" t="str">
        <f>TEXT(Table4[[#This Row],[issue_date]],"mmmm")</f>
        <v>December</v>
      </c>
      <c r="E650" s="9">
        <f>YEAR(Table4[[#This Row],[issue_date]])</f>
        <v>2023</v>
      </c>
      <c r="F650" t="s">
        <v>22</v>
      </c>
      <c r="G650">
        <v>18</v>
      </c>
      <c r="H650" t="s">
        <v>20</v>
      </c>
      <c r="I650" t="str">
        <f>VLOOKUP(Table4[[#This Row],[customer_id]],customers!A:G,4,)</f>
        <v>bangalore</v>
      </c>
    </row>
    <row r="651" spans="1:9" x14ac:dyDescent="0.3">
      <c r="A651">
        <v>20650</v>
      </c>
      <c r="B651">
        <v>426</v>
      </c>
      <c r="C651" s="2">
        <v>44987</v>
      </c>
      <c r="D651" s="2" t="str">
        <f>TEXT(Table4[[#This Row],[issue_date]],"mmmm")</f>
        <v>March</v>
      </c>
      <c r="E651" s="9">
        <f>YEAR(Table4[[#This Row],[issue_date]])</f>
        <v>2023</v>
      </c>
      <c r="F651" t="s">
        <v>19</v>
      </c>
      <c r="G651">
        <v>48</v>
      </c>
      <c r="H651" t="s">
        <v>20</v>
      </c>
      <c r="I651" t="str">
        <f>VLOOKUP(Table4[[#This Row],[customer_id]],customers!A:G,4,)</f>
        <v>mumbai</v>
      </c>
    </row>
    <row r="652" spans="1:9" x14ac:dyDescent="0.3">
      <c r="A652">
        <v>20651</v>
      </c>
      <c r="B652">
        <v>253</v>
      </c>
      <c r="C652" s="2">
        <v>44633</v>
      </c>
      <c r="D652" s="2" t="str">
        <f>TEXT(Table4[[#This Row],[issue_date]],"mmmm")</f>
        <v>March</v>
      </c>
      <c r="E652" s="9">
        <f>YEAR(Table4[[#This Row],[issue_date]])</f>
        <v>2022</v>
      </c>
      <c r="F652" t="s">
        <v>22</v>
      </c>
      <c r="G652">
        <v>66</v>
      </c>
      <c r="H652" t="s">
        <v>20</v>
      </c>
      <c r="I652" t="str">
        <f>VLOOKUP(Table4[[#This Row],[customer_id]],customers!A:G,4,)</f>
        <v>delhi</v>
      </c>
    </row>
    <row r="653" spans="1:9" x14ac:dyDescent="0.3">
      <c r="A653">
        <v>20652</v>
      </c>
      <c r="B653">
        <v>163</v>
      </c>
      <c r="C653" s="2">
        <v>45235</v>
      </c>
      <c r="D653" s="2" t="str">
        <f>TEXT(Table4[[#This Row],[issue_date]],"mmmm")</f>
        <v>November</v>
      </c>
      <c r="E653" s="9">
        <f>YEAR(Table4[[#This Row],[issue_date]])</f>
        <v>2023</v>
      </c>
      <c r="F653" t="s">
        <v>21</v>
      </c>
      <c r="G653">
        <v>23</v>
      </c>
      <c r="H653" t="s">
        <v>20</v>
      </c>
      <c r="I653" t="str">
        <f>VLOOKUP(Table4[[#This Row],[customer_id]],customers!A:G,4,)</f>
        <v>hyderabad</v>
      </c>
    </row>
    <row r="654" spans="1:9" x14ac:dyDescent="0.3">
      <c r="A654">
        <v>20653</v>
      </c>
      <c r="B654">
        <v>141</v>
      </c>
      <c r="C654" s="2">
        <v>44739</v>
      </c>
      <c r="D654" s="2" t="str">
        <f>TEXT(Table4[[#This Row],[issue_date]],"mmmm")</f>
        <v>June</v>
      </c>
      <c r="E654" s="9">
        <f>YEAR(Table4[[#This Row],[issue_date]])</f>
        <v>2022</v>
      </c>
      <c r="F654" t="s">
        <v>19</v>
      </c>
      <c r="G654">
        <v>10</v>
      </c>
      <c r="H654" t="s">
        <v>20</v>
      </c>
      <c r="I654" t="str">
        <f>VLOOKUP(Table4[[#This Row],[customer_id]],customers!A:G,4,)</f>
        <v>hyderabad</v>
      </c>
    </row>
    <row r="655" spans="1:9" x14ac:dyDescent="0.3">
      <c r="A655">
        <v>20654</v>
      </c>
      <c r="B655">
        <v>497</v>
      </c>
      <c r="C655" s="2">
        <v>45084</v>
      </c>
      <c r="D655" s="2" t="str">
        <f>TEXT(Table4[[#This Row],[issue_date]],"mmmm")</f>
        <v>June</v>
      </c>
      <c r="E655" s="9">
        <f>YEAR(Table4[[#This Row],[issue_date]])</f>
        <v>2023</v>
      </c>
      <c r="F655" t="s">
        <v>21</v>
      </c>
      <c r="G655">
        <v>38</v>
      </c>
      <c r="H655" t="s">
        <v>23</v>
      </c>
      <c r="I655" t="str">
        <f>VLOOKUP(Table4[[#This Row],[customer_id]],customers!A:G,4,)</f>
        <v>kolkata</v>
      </c>
    </row>
    <row r="656" spans="1:9" x14ac:dyDescent="0.3">
      <c r="A656">
        <v>20655</v>
      </c>
      <c r="B656">
        <v>389</v>
      </c>
      <c r="C656" s="2">
        <v>45436</v>
      </c>
      <c r="D656" s="2" t="str">
        <f>TEXT(Table4[[#This Row],[issue_date]],"mmmm")</f>
        <v>May</v>
      </c>
      <c r="E656" s="9">
        <f>YEAR(Table4[[#This Row],[issue_date]])</f>
        <v>2024</v>
      </c>
      <c r="F656" t="s">
        <v>22</v>
      </c>
      <c r="G656">
        <v>59</v>
      </c>
      <c r="H656" t="s">
        <v>20</v>
      </c>
      <c r="I656" t="str">
        <f>VLOOKUP(Table4[[#This Row],[customer_id]],customers!A:G,4,)</f>
        <v>bangalore</v>
      </c>
    </row>
    <row r="657" spans="1:9" x14ac:dyDescent="0.3">
      <c r="A657">
        <v>20656</v>
      </c>
      <c r="B657">
        <v>296</v>
      </c>
      <c r="C657" s="2">
        <v>44860</v>
      </c>
      <c r="D657" s="2" t="str">
        <f>TEXT(Table4[[#This Row],[issue_date]],"mmmm")</f>
        <v>October</v>
      </c>
      <c r="E657" s="9">
        <f>YEAR(Table4[[#This Row],[issue_date]])</f>
        <v>2022</v>
      </c>
      <c r="F657" t="s">
        <v>19</v>
      </c>
      <c r="G657">
        <v>68</v>
      </c>
      <c r="H657" t="s">
        <v>20</v>
      </c>
      <c r="I657" t="str">
        <f>VLOOKUP(Table4[[#This Row],[customer_id]],customers!A:G,4,)</f>
        <v>hyderabad</v>
      </c>
    </row>
    <row r="658" spans="1:9" x14ac:dyDescent="0.3">
      <c r="A658">
        <v>20657</v>
      </c>
      <c r="B658">
        <v>19</v>
      </c>
      <c r="C658" s="2">
        <v>44827</v>
      </c>
      <c r="D658" s="2" t="str">
        <f>TEXT(Table4[[#This Row],[issue_date]],"mmmm")</f>
        <v>September</v>
      </c>
      <c r="E658" s="9">
        <f>YEAR(Table4[[#This Row],[issue_date]])</f>
        <v>2022</v>
      </c>
      <c r="F658" t="s">
        <v>22</v>
      </c>
      <c r="G658">
        <v>43</v>
      </c>
      <c r="H658" t="s">
        <v>20</v>
      </c>
      <c r="I658" t="str">
        <f>VLOOKUP(Table4[[#This Row],[customer_id]],customers!A:G,4,)</f>
        <v>kolkata</v>
      </c>
    </row>
    <row r="659" spans="1:9" x14ac:dyDescent="0.3">
      <c r="A659">
        <v>20658</v>
      </c>
      <c r="B659">
        <v>82</v>
      </c>
      <c r="C659" s="2">
        <v>45081</v>
      </c>
      <c r="D659" s="2" t="str">
        <f>TEXT(Table4[[#This Row],[issue_date]],"mmmm")</f>
        <v>June</v>
      </c>
      <c r="E659" s="9">
        <f>YEAR(Table4[[#This Row],[issue_date]])</f>
        <v>2023</v>
      </c>
      <c r="F659" t="s">
        <v>19</v>
      </c>
      <c r="G659">
        <v>12</v>
      </c>
      <c r="H659" t="s">
        <v>20</v>
      </c>
      <c r="I659" t="str">
        <f>VLOOKUP(Table4[[#This Row],[customer_id]],customers!A:G,4,)</f>
        <v>chennai</v>
      </c>
    </row>
    <row r="660" spans="1:9" x14ac:dyDescent="0.3">
      <c r="A660">
        <v>20659</v>
      </c>
      <c r="B660">
        <v>481</v>
      </c>
      <c r="C660" s="2">
        <v>45056</v>
      </c>
      <c r="D660" s="2" t="str">
        <f>TEXT(Table4[[#This Row],[issue_date]],"mmmm")</f>
        <v>May</v>
      </c>
      <c r="E660" s="9">
        <f>YEAR(Table4[[#This Row],[issue_date]])</f>
        <v>2023</v>
      </c>
      <c r="F660" t="s">
        <v>19</v>
      </c>
      <c r="G660">
        <v>53</v>
      </c>
      <c r="H660" t="s">
        <v>20</v>
      </c>
      <c r="I660" t="str">
        <f>VLOOKUP(Table4[[#This Row],[customer_id]],customers!A:G,4,)</f>
        <v>kolkata</v>
      </c>
    </row>
    <row r="661" spans="1:9" x14ac:dyDescent="0.3">
      <c r="A661">
        <v>20660</v>
      </c>
      <c r="B661">
        <v>381</v>
      </c>
      <c r="C661" s="2">
        <v>44836</v>
      </c>
      <c r="D661" s="2" t="str">
        <f>TEXT(Table4[[#This Row],[issue_date]],"mmmm")</f>
        <v>October</v>
      </c>
      <c r="E661" s="9">
        <f>YEAR(Table4[[#This Row],[issue_date]])</f>
        <v>2022</v>
      </c>
      <c r="F661" t="s">
        <v>19</v>
      </c>
      <c r="G661">
        <v>14</v>
      </c>
      <c r="H661" t="s">
        <v>20</v>
      </c>
      <c r="I661" t="str">
        <f>VLOOKUP(Table4[[#This Row],[customer_id]],customers!A:G,4,)</f>
        <v>hyderabad</v>
      </c>
    </row>
    <row r="662" spans="1:9" x14ac:dyDescent="0.3">
      <c r="A662">
        <v>20661</v>
      </c>
      <c r="B662">
        <v>4</v>
      </c>
      <c r="C662" s="2">
        <v>45266</v>
      </c>
      <c r="D662" s="2" t="str">
        <f>TEXT(Table4[[#This Row],[issue_date]],"mmmm")</f>
        <v>December</v>
      </c>
      <c r="E662" s="9">
        <f>YEAR(Table4[[#This Row],[issue_date]])</f>
        <v>2023</v>
      </c>
      <c r="F662" t="s">
        <v>22</v>
      </c>
      <c r="G662">
        <v>52</v>
      </c>
      <c r="H662" t="s">
        <v>20</v>
      </c>
      <c r="I662" t="str">
        <f>VLOOKUP(Table4[[#This Row],[customer_id]],customers!A:G,4,)</f>
        <v>chennai</v>
      </c>
    </row>
    <row r="663" spans="1:9" x14ac:dyDescent="0.3">
      <c r="A663">
        <v>20662</v>
      </c>
      <c r="B663">
        <v>128</v>
      </c>
      <c r="C663" s="2">
        <v>45384</v>
      </c>
      <c r="D663" s="2" t="str">
        <f>TEXT(Table4[[#This Row],[issue_date]],"mmmm")</f>
        <v>April</v>
      </c>
      <c r="E663" s="9">
        <f>YEAR(Table4[[#This Row],[issue_date]])</f>
        <v>2024</v>
      </c>
      <c r="F663" t="s">
        <v>19</v>
      </c>
      <c r="G663">
        <v>61</v>
      </c>
      <c r="H663" t="s">
        <v>20</v>
      </c>
      <c r="I663" t="str">
        <f>VLOOKUP(Table4[[#This Row],[customer_id]],customers!A:G,4,)</f>
        <v>bangalore</v>
      </c>
    </row>
    <row r="664" spans="1:9" x14ac:dyDescent="0.3">
      <c r="A664">
        <v>20663</v>
      </c>
      <c r="B664">
        <v>187</v>
      </c>
      <c r="C664" s="2">
        <v>45332</v>
      </c>
      <c r="D664" s="2" t="str">
        <f>TEXT(Table4[[#This Row],[issue_date]],"mmmm")</f>
        <v>February</v>
      </c>
      <c r="E664" s="9">
        <f>YEAR(Table4[[#This Row],[issue_date]])</f>
        <v>2024</v>
      </c>
      <c r="F664" t="s">
        <v>19</v>
      </c>
      <c r="G664">
        <v>41</v>
      </c>
      <c r="H664" t="s">
        <v>20</v>
      </c>
      <c r="I664" t="str">
        <f>VLOOKUP(Table4[[#This Row],[customer_id]],customers!A:G,4,)</f>
        <v>chennai</v>
      </c>
    </row>
    <row r="665" spans="1:9" x14ac:dyDescent="0.3">
      <c r="A665">
        <v>20664</v>
      </c>
      <c r="B665">
        <v>146</v>
      </c>
      <c r="C665" s="2">
        <v>44614</v>
      </c>
      <c r="D665" s="2" t="str">
        <f>TEXT(Table4[[#This Row],[issue_date]],"mmmm")</f>
        <v>February</v>
      </c>
      <c r="E665" s="9">
        <f>YEAR(Table4[[#This Row],[issue_date]])</f>
        <v>2022</v>
      </c>
      <c r="F665" t="s">
        <v>22</v>
      </c>
      <c r="G665">
        <v>21</v>
      </c>
      <c r="H665" t="s">
        <v>23</v>
      </c>
      <c r="I665" t="str">
        <f>VLOOKUP(Table4[[#This Row],[customer_id]],customers!A:G,4,)</f>
        <v>mumbai</v>
      </c>
    </row>
    <row r="666" spans="1:9" x14ac:dyDescent="0.3">
      <c r="A666">
        <v>20665</v>
      </c>
      <c r="B666">
        <v>494</v>
      </c>
      <c r="C666" s="2">
        <v>45373</v>
      </c>
      <c r="D666" s="2" t="str">
        <f>TEXT(Table4[[#This Row],[issue_date]],"mmmm")</f>
        <v>March</v>
      </c>
      <c r="E666" s="9">
        <f>YEAR(Table4[[#This Row],[issue_date]])</f>
        <v>2024</v>
      </c>
      <c r="F666" t="s">
        <v>21</v>
      </c>
      <c r="G666">
        <v>48</v>
      </c>
      <c r="H666" t="s">
        <v>20</v>
      </c>
      <c r="I666" t="str">
        <f>VLOOKUP(Table4[[#This Row],[customer_id]],customers!A:G,4,)</f>
        <v>chennai</v>
      </c>
    </row>
    <row r="667" spans="1:9" x14ac:dyDescent="0.3">
      <c r="A667">
        <v>20666</v>
      </c>
      <c r="B667">
        <v>152</v>
      </c>
      <c r="C667" s="2">
        <v>45169</v>
      </c>
      <c r="D667" s="2" t="str">
        <f>TEXT(Table4[[#This Row],[issue_date]],"mmmm")</f>
        <v>August</v>
      </c>
      <c r="E667" s="9">
        <f>YEAR(Table4[[#This Row],[issue_date]])</f>
        <v>2023</v>
      </c>
      <c r="F667" t="s">
        <v>22</v>
      </c>
      <c r="G667">
        <v>56</v>
      </c>
      <c r="H667" t="s">
        <v>20</v>
      </c>
      <c r="I667" t="str">
        <f>VLOOKUP(Table4[[#This Row],[customer_id]],customers!A:G,4,)</f>
        <v>bangalore</v>
      </c>
    </row>
    <row r="668" spans="1:9" x14ac:dyDescent="0.3">
      <c r="A668">
        <v>20667</v>
      </c>
      <c r="B668">
        <v>363</v>
      </c>
      <c r="C668" s="2">
        <v>45377</v>
      </c>
      <c r="D668" s="2" t="str">
        <f>TEXT(Table4[[#This Row],[issue_date]],"mmmm")</f>
        <v>March</v>
      </c>
      <c r="E668" s="9">
        <f>YEAR(Table4[[#This Row],[issue_date]])</f>
        <v>2024</v>
      </c>
      <c r="F668" t="s">
        <v>22</v>
      </c>
      <c r="G668">
        <v>35</v>
      </c>
      <c r="H668" t="s">
        <v>20</v>
      </c>
      <c r="I668" t="str">
        <f>VLOOKUP(Table4[[#This Row],[customer_id]],customers!A:G,4,)</f>
        <v>delhi</v>
      </c>
    </row>
    <row r="669" spans="1:9" x14ac:dyDescent="0.3">
      <c r="A669">
        <v>20668</v>
      </c>
      <c r="B669">
        <v>93</v>
      </c>
      <c r="C669" s="2">
        <v>45383</v>
      </c>
      <c r="D669" s="2" t="str">
        <f>TEXT(Table4[[#This Row],[issue_date]],"mmmm")</f>
        <v>April</v>
      </c>
      <c r="E669" s="9">
        <f>YEAR(Table4[[#This Row],[issue_date]])</f>
        <v>2024</v>
      </c>
      <c r="F669" t="s">
        <v>19</v>
      </c>
      <c r="G669">
        <v>44</v>
      </c>
      <c r="H669" t="s">
        <v>20</v>
      </c>
      <c r="I669" t="str">
        <f>VLOOKUP(Table4[[#This Row],[customer_id]],customers!A:G,4,)</f>
        <v>bangalore</v>
      </c>
    </row>
    <row r="670" spans="1:9" x14ac:dyDescent="0.3">
      <c r="A670">
        <v>20669</v>
      </c>
      <c r="B670">
        <v>31</v>
      </c>
      <c r="C670" s="2">
        <v>44961</v>
      </c>
      <c r="D670" s="2" t="str">
        <f>TEXT(Table4[[#This Row],[issue_date]],"mmmm")</f>
        <v>February</v>
      </c>
      <c r="E670" s="9">
        <f>YEAR(Table4[[#This Row],[issue_date]])</f>
        <v>2023</v>
      </c>
      <c r="F670" t="s">
        <v>22</v>
      </c>
      <c r="G670">
        <v>39</v>
      </c>
      <c r="H670" t="s">
        <v>20</v>
      </c>
      <c r="I670" t="str">
        <f>VLOOKUP(Table4[[#This Row],[customer_id]],customers!A:G,4,)</f>
        <v>chennai</v>
      </c>
    </row>
    <row r="671" spans="1:9" x14ac:dyDescent="0.3">
      <c r="A671">
        <v>20670</v>
      </c>
      <c r="B671">
        <v>314</v>
      </c>
      <c r="C671" s="2">
        <v>44975</v>
      </c>
      <c r="D671" s="2" t="str">
        <f>TEXT(Table4[[#This Row],[issue_date]],"mmmm")</f>
        <v>February</v>
      </c>
      <c r="E671" s="9">
        <f>YEAR(Table4[[#This Row],[issue_date]])</f>
        <v>2023</v>
      </c>
      <c r="F671" t="s">
        <v>22</v>
      </c>
      <c r="G671">
        <v>15</v>
      </c>
      <c r="H671" t="s">
        <v>20</v>
      </c>
      <c r="I671" t="str">
        <f>VLOOKUP(Table4[[#This Row],[customer_id]],customers!A:G,4,)</f>
        <v>chennai</v>
      </c>
    </row>
    <row r="672" spans="1:9" x14ac:dyDescent="0.3">
      <c r="A672">
        <v>20671</v>
      </c>
      <c r="B672">
        <v>28</v>
      </c>
      <c r="C672" s="2">
        <v>45165</v>
      </c>
      <c r="D672" s="2" t="str">
        <f>TEXT(Table4[[#This Row],[issue_date]],"mmmm")</f>
        <v>August</v>
      </c>
      <c r="E672" s="9">
        <f>YEAR(Table4[[#This Row],[issue_date]])</f>
        <v>2023</v>
      </c>
      <c r="F672" t="s">
        <v>22</v>
      </c>
      <c r="G672">
        <v>12</v>
      </c>
      <c r="H672" t="s">
        <v>23</v>
      </c>
      <c r="I672" t="str">
        <f>VLOOKUP(Table4[[#This Row],[customer_id]],customers!A:G,4,)</f>
        <v>delhi</v>
      </c>
    </row>
    <row r="673" spans="1:9" x14ac:dyDescent="0.3">
      <c r="A673">
        <v>20672</v>
      </c>
      <c r="B673">
        <v>137</v>
      </c>
      <c r="C673" s="2">
        <v>45217</v>
      </c>
      <c r="D673" s="2" t="str">
        <f>TEXT(Table4[[#This Row],[issue_date]],"mmmm")</f>
        <v>October</v>
      </c>
      <c r="E673" s="9">
        <f>YEAR(Table4[[#This Row],[issue_date]])</f>
        <v>2023</v>
      </c>
      <c r="F673" t="s">
        <v>19</v>
      </c>
      <c r="G673">
        <v>8</v>
      </c>
      <c r="H673" t="s">
        <v>20</v>
      </c>
      <c r="I673" t="str">
        <f>VLOOKUP(Table4[[#This Row],[customer_id]],customers!A:G,4,)</f>
        <v>delhi</v>
      </c>
    </row>
    <row r="674" spans="1:9" x14ac:dyDescent="0.3">
      <c r="A674">
        <v>20673</v>
      </c>
      <c r="B674">
        <v>429</v>
      </c>
      <c r="C674" s="2">
        <v>45050</v>
      </c>
      <c r="D674" s="2" t="str">
        <f>TEXT(Table4[[#This Row],[issue_date]],"mmmm")</f>
        <v>May</v>
      </c>
      <c r="E674" s="9">
        <f>YEAR(Table4[[#This Row],[issue_date]])</f>
        <v>2023</v>
      </c>
      <c r="F674" t="s">
        <v>22</v>
      </c>
      <c r="G674">
        <v>67</v>
      </c>
      <c r="H674" t="s">
        <v>23</v>
      </c>
      <c r="I674" t="str">
        <f>VLOOKUP(Table4[[#This Row],[customer_id]],customers!A:G,4,)</f>
        <v>hyderabad</v>
      </c>
    </row>
    <row r="675" spans="1:9" x14ac:dyDescent="0.3">
      <c r="A675">
        <v>20674</v>
      </c>
      <c r="B675">
        <v>90</v>
      </c>
      <c r="C675" s="2">
        <v>45063</v>
      </c>
      <c r="D675" s="2" t="str">
        <f>TEXT(Table4[[#This Row],[issue_date]],"mmmm")</f>
        <v>May</v>
      </c>
      <c r="E675" s="9">
        <f>YEAR(Table4[[#This Row],[issue_date]])</f>
        <v>2023</v>
      </c>
      <c r="F675" t="s">
        <v>19</v>
      </c>
      <c r="G675">
        <v>1</v>
      </c>
      <c r="H675" t="s">
        <v>20</v>
      </c>
      <c r="I675" t="str">
        <f>VLOOKUP(Table4[[#This Row],[customer_id]],customers!A:G,4,)</f>
        <v>mumbai</v>
      </c>
    </row>
    <row r="676" spans="1:9" x14ac:dyDescent="0.3">
      <c r="A676">
        <v>20675</v>
      </c>
      <c r="B676">
        <v>49</v>
      </c>
      <c r="C676" s="2">
        <v>44868</v>
      </c>
      <c r="D676" s="2" t="str">
        <f>TEXT(Table4[[#This Row],[issue_date]],"mmmm")</f>
        <v>November</v>
      </c>
      <c r="E676" s="9">
        <f>YEAR(Table4[[#This Row],[issue_date]])</f>
        <v>2022</v>
      </c>
      <c r="F676" t="s">
        <v>22</v>
      </c>
      <c r="G676">
        <v>42</v>
      </c>
      <c r="H676" t="s">
        <v>20</v>
      </c>
      <c r="I676" t="str">
        <f>VLOOKUP(Table4[[#This Row],[customer_id]],customers!A:G,4,)</f>
        <v>chennai</v>
      </c>
    </row>
    <row r="677" spans="1:9" x14ac:dyDescent="0.3">
      <c r="A677">
        <v>20676</v>
      </c>
      <c r="B677">
        <v>367</v>
      </c>
      <c r="C677" s="2">
        <v>44978</v>
      </c>
      <c r="D677" s="2" t="str">
        <f>TEXT(Table4[[#This Row],[issue_date]],"mmmm")</f>
        <v>February</v>
      </c>
      <c r="E677" s="9">
        <f>YEAR(Table4[[#This Row],[issue_date]])</f>
        <v>2023</v>
      </c>
      <c r="F677" t="s">
        <v>19</v>
      </c>
      <c r="G677">
        <v>31</v>
      </c>
      <c r="H677" t="s">
        <v>20</v>
      </c>
      <c r="I677" t="str">
        <f>VLOOKUP(Table4[[#This Row],[customer_id]],customers!A:G,4,)</f>
        <v>kolkata</v>
      </c>
    </row>
    <row r="678" spans="1:9" x14ac:dyDescent="0.3">
      <c r="A678">
        <v>20677</v>
      </c>
      <c r="B678">
        <v>258</v>
      </c>
      <c r="C678" s="2">
        <v>45070</v>
      </c>
      <c r="D678" s="2" t="str">
        <f>TEXT(Table4[[#This Row],[issue_date]],"mmmm")</f>
        <v>May</v>
      </c>
      <c r="E678" s="9">
        <f>YEAR(Table4[[#This Row],[issue_date]])</f>
        <v>2023</v>
      </c>
      <c r="F678" t="s">
        <v>19</v>
      </c>
      <c r="G678">
        <v>30</v>
      </c>
      <c r="H678" t="s">
        <v>20</v>
      </c>
      <c r="I678" t="str">
        <f>VLOOKUP(Table4[[#This Row],[customer_id]],customers!A:G,4,)</f>
        <v>bangalore</v>
      </c>
    </row>
    <row r="679" spans="1:9" x14ac:dyDescent="0.3">
      <c r="A679">
        <v>20678</v>
      </c>
      <c r="B679">
        <v>6</v>
      </c>
      <c r="C679" s="2">
        <v>45091</v>
      </c>
      <c r="D679" s="2" t="str">
        <f>TEXT(Table4[[#This Row],[issue_date]],"mmmm")</f>
        <v>June</v>
      </c>
      <c r="E679" s="9">
        <f>YEAR(Table4[[#This Row],[issue_date]])</f>
        <v>2023</v>
      </c>
      <c r="F679" t="s">
        <v>22</v>
      </c>
      <c r="G679">
        <v>43</v>
      </c>
      <c r="H679" t="s">
        <v>20</v>
      </c>
      <c r="I679" t="str">
        <f>VLOOKUP(Table4[[#This Row],[customer_id]],customers!A:G,4,)</f>
        <v>bangalore</v>
      </c>
    </row>
    <row r="680" spans="1:9" x14ac:dyDescent="0.3">
      <c r="A680">
        <v>20679</v>
      </c>
      <c r="B680">
        <v>29</v>
      </c>
      <c r="C680" s="2">
        <v>45199</v>
      </c>
      <c r="D680" s="2" t="str">
        <f>TEXT(Table4[[#This Row],[issue_date]],"mmmm")</f>
        <v>September</v>
      </c>
      <c r="E680" s="9">
        <f>YEAR(Table4[[#This Row],[issue_date]])</f>
        <v>2023</v>
      </c>
      <c r="F680" t="s">
        <v>21</v>
      </c>
      <c r="G680">
        <v>26</v>
      </c>
      <c r="H680" t="s">
        <v>20</v>
      </c>
      <c r="I680" t="str">
        <f>VLOOKUP(Table4[[#This Row],[customer_id]],customers!A:G,4,)</f>
        <v>kolkata</v>
      </c>
    </row>
    <row r="681" spans="1:9" x14ac:dyDescent="0.3">
      <c r="A681">
        <v>20680</v>
      </c>
      <c r="B681">
        <v>410</v>
      </c>
      <c r="C681" s="2">
        <v>45227</v>
      </c>
      <c r="D681" s="2" t="str">
        <f>TEXT(Table4[[#This Row],[issue_date]],"mmmm")</f>
        <v>October</v>
      </c>
      <c r="E681" s="9">
        <f>YEAR(Table4[[#This Row],[issue_date]])</f>
        <v>2023</v>
      </c>
      <c r="F681" t="s">
        <v>22</v>
      </c>
      <c r="G681">
        <v>12</v>
      </c>
      <c r="H681" t="s">
        <v>20</v>
      </c>
      <c r="I681" t="str">
        <f>VLOOKUP(Table4[[#This Row],[customer_id]],customers!A:G,4,)</f>
        <v>bangalore</v>
      </c>
    </row>
    <row r="682" spans="1:9" x14ac:dyDescent="0.3">
      <c r="A682">
        <v>20681</v>
      </c>
      <c r="B682">
        <v>156</v>
      </c>
      <c r="C682" s="2">
        <v>44567</v>
      </c>
      <c r="D682" s="2" t="str">
        <f>TEXT(Table4[[#This Row],[issue_date]],"mmmm")</f>
        <v>January</v>
      </c>
      <c r="E682" s="9">
        <f>YEAR(Table4[[#This Row],[issue_date]])</f>
        <v>2022</v>
      </c>
      <c r="F682" t="s">
        <v>21</v>
      </c>
      <c r="G682">
        <v>59</v>
      </c>
      <c r="H682" t="s">
        <v>20</v>
      </c>
      <c r="I682" t="str">
        <f>VLOOKUP(Table4[[#This Row],[customer_id]],customers!A:G,4,)</f>
        <v>delhi</v>
      </c>
    </row>
    <row r="683" spans="1:9" x14ac:dyDescent="0.3">
      <c r="A683">
        <v>20682</v>
      </c>
      <c r="B683">
        <v>263</v>
      </c>
      <c r="C683" s="2">
        <v>44983</v>
      </c>
      <c r="D683" s="2" t="str">
        <f>TEXT(Table4[[#This Row],[issue_date]],"mmmm")</f>
        <v>February</v>
      </c>
      <c r="E683" s="9">
        <f>YEAR(Table4[[#This Row],[issue_date]])</f>
        <v>2023</v>
      </c>
      <c r="F683" t="s">
        <v>19</v>
      </c>
      <c r="G683">
        <v>69</v>
      </c>
      <c r="H683" t="s">
        <v>20</v>
      </c>
      <c r="I683" t="str">
        <f>VLOOKUP(Table4[[#This Row],[customer_id]],customers!A:G,4,)</f>
        <v>chennai</v>
      </c>
    </row>
    <row r="684" spans="1:9" x14ac:dyDescent="0.3">
      <c r="A684">
        <v>20683</v>
      </c>
      <c r="B684">
        <v>34</v>
      </c>
      <c r="C684" s="2">
        <v>45012</v>
      </c>
      <c r="D684" s="2" t="str">
        <f>TEXT(Table4[[#This Row],[issue_date]],"mmmm")</f>
        <v>March</v>
      </c>
      <c r="E684" s="9">
        <f>YEAR(Table4[[#This Row],[issue_date]])</f>
        <v>2023</v>
      </c>
      <c r="F684" t="s">
        <v>21</v>
      </c>
      <c r="G684">
        <v>11</v>
      </c>
      <c r="H684" t="s">
        <v>20</v>
      </c>
      <c r="I684" t="str">
        <f>VLOOKUP(Table4[[#This Row],[customer_id]],customers!A:G,4,)</f>
        <v>hyderabad</v>
      </c>
    </row>
    <row r="685" spans="1:9" x14ac:dyDescent="0.3">
      <c r="A685">
        <v>20684</v>
      </c>
      <c r="B685">
        <v>440</v>
      </c>
      <c r="C685" s="2">
        <v>44988</v>
      </c>
      <c r="D685" s="2" t="str">
        <f>TEXT(Table4[[#This Row],[issue_date]],"mmmm")</f>
        <v>March</v>
      </c>
      <c r="E685" s="9">
        <f>YEAR(Table4[[#This Row],[issue_date]])</f>
        <v>2023</v>
      </c>
      <c r="F685" t="s">
        <v>21</v>
      </c>
      <c r="G685">
        <v>47</v>
      </c>
      <c r="H685" t="s">
        <v>20</v>
      </c>
      <c r="I685" t="str">
        <f>VLOOKUP(Table4[[#This Row],[customer_id]],customers!A:G,4,)</f>
        <v>mumbai</v>
      </c>
    </row>
    <row r="686" spans="1:9" x14ac:dyDescent="0.3">
      <c r="A686">
        <v>20685</v>
      </c>
      <c r="B686">
        <v>237</v>
      </c>
      <c r="C686" s="2">
        <v>44951</v>
      </c>
      <c r="D686" s="2" t="str">
        <f>TEXT(Table4[[#This Row],[issue_date]],"mmmm")</f>
        <v>January</v>
      </c>
      <c r="E686" s="9">
        <f>YEAR(Table4[[#This Row],[issue_date]])</f>
        <v>2023</v>
      </c>
      <c r="F686" t="s">
        <v>19</v>
      </c>
      <c r="G686">
        <v>23</v>
      </c>
      <c r="H686" t="s">
        <v>20</v>
      </c>
      <c r="I686" t="str">
        <f>VLOOKUP(Table4[[#This Row],[customer_id]],customers!A:G,4,)</f>
        <v>chennai</v>
      </c>
    </row>
    <row r="687" spans="1:9" x14ac:dyDescent="0.3">
      <c r="A687">
        <v>20686</v>
      </c>
      <c r="B687">
        <v>138</v>
      </c>
      <c r="C687" s="2">
        <v>44895</v>
      </c>
      <c r="D687" s="2" t="str">
        <f>TEXT(Table4[[#This Row],[issue_date]],"mmmm")</f>
        <v>November</v>
      </c>
      <c r="E687" s="9">
        <f>YEAR(Table4[[#This Row],[issue_date]])</f>
        <v>2022</v>
      </c>
      <c r="F687" t="s">
        <v>21</v>
      </c>
      <c r="G687">
        <v>43</v>
      </c>
      <c r="H687" t="s">
        <v>20</v>
      </c>
      <c r="I687" t="str">
        <f>VLOOKUP(Table4[[#This Row],[customer_id]],customers!A:G,4,)</f>
        <v>delhi</v>
      </c>
    </row>
    <row r="688" spans="1:9" x14ac:dyDescent="0.3">
      <c r="A688">
        <v>20687</v>
      </c>
      <c r="B688">
        <v>368</v>
      </c>
      <c r="C688" s="2">
        <v>45009</v>
      </c>
      <c r="D688" s="2" t="str">
        <f>TEXT(Table4[[#This Row],[issue_date]],"mmmm")</f>
        <v>March</v>
      </c>
      <c r="E688" s="9">
        <f>YEAR(Table4[[#This Row],[issue_date]])</f>
        <v>2023</v>
      </c>
      <c r="F688" t="s">
        <v>22</v>
      </c>
      <c r="G688">
        <v>39</v>
      </c>
      <c r="H688" t="s">
        <v>20</v>
      </c>
      <c r="I688" t="str">
        <f>VLOOKUP(Table4[[#This Row],[customer_id]],customers!A:G,4,)</f>
        <v>kolkata</v>
      </c>
    </row>
    <row r="689" spans="1:9" x14ac:dyDescent="0.3">
      <c r="A689">
        <v>20688</v>
      </c>
      <c r="B689">
        <v>489</v>
      </c>
      <c r="C689" s="2">
        <v>44899</v>
      </c>
      <c r="D689" s="2" t="str">
        <f>TEXT(Table4[[#This Row],[issue_date]],"mmmm")</f>
        <v>December</v>
      </c>
      <c r="E689" s="9">
        <f>YEAR(Table4[[#This Row],[issue_date]])</f>
        <v>2022</v>
      </c>
      <c r="F689" t="s">
        <v>21</v>
      </c>
      <c r="G689">
        <v>55</v>
      </c>
      <c r="H689" t="s">
        <v>20</v>
      </c>
      <c r="I689" t="str">
        <f>VLOOKUP(Table4[[#This Row],[customer_id]],customers!A:G,4,)</f>
        <v>chennai</v>
      </c>
    </row>
    <row r="690" spans="1:9" x14ac:dyDescent="0.3">
      <c r="A690">
        <v>20689</v>
      </c>
      <c r="B690">
        <v>488</v>
      </c>
      <c r="C690" s="2">
        <v>45409</v>
      </c>
      <c r="D690" s="2" t="str">
        <f>TEXT(Table4[[#This Row],[issue_date]],"mmmm")</f>
        <v>April</v>
      </c>
      <c r="E690" s="9">
        <f>YEAR(Table4[[#This Row],[issue_date]])</f>
        <v>2024</v>
      </c>
      <c r="F690" t="s">
        <v>19</v>
      </c>
      <c r="G690">
        <v>18</v>
      </c>
      <c r="H690" t="s">
        <v>20</v>
      </c>
      <c r="I690" t="str">
        <f>VLOOKUP(Table4[[#This Row],[customer_id]],customers!A:G,4,)</f>
        <v>hyderabad</v>
      </c>
    </row>
    <row r="691" spans="1:9" x14ac:dyDescent="0.3">
      <c r="A691">
        <v>20690</v>
      </c>
      <c r="B691">
        <v>57</v>
      </c>
      <c r="C691" s="2">
        <v>44649</v>
      </c>
      <c r="D691" s="2" t="str">
        <f>TEXT(Table4[[#This Row],[issue_date]],"mmmm")</f>
        <v>March</v>
      </c>
      <c r="E691" s="9">
        <f>YEAR(Table4[[#This Row],[issue_date]])</f>
        <v>2022</v>
      </c>
      <c r="F691" t="s">
        <v>21</v>
      </c>
      <c r="G691">
        <v>42</v>
      </c>
      <c r="H691" t="s">
        <v>20</v>
      </c>
      <c r="I691" t="str">
        <f>VLOOKUP(Table4[[#This Row],[customer_id]],customers!A:G,4,)</f>
        <v>delhi</v>
      </c>
    </row>
    <row r="692" spans="1:9" x14ac:dyDescent="0.3">
      <c r="A692">
        <v>20691</v>
      </c>
      <c r="B692">
        <v>175</v>
      </c>
      <c r="C692" s="2">
        <v>44830</v>
      </c>
      <c r="D692" s="2" t="str">
        <f>TEXT(Table4[[#This Row],[issue_date]],"mmmm")</f>
        <v>September</v>
      </c>
      <c r="E692" s="9">
        <f>YEAR(Table4[[#This Row],[issue_date]])</f>
        <v>2022</v>
      </c>
      <c r="F692" t="s">
        <v>19</v>
      </c>
      <c r="G692">
        <v>26</v>
      </c>
      <c r="H692" t="s">
        <v>20</v>
      </c>
      <c r="I692" t="str">
        <f>VLOOKUP(Table4[[#This Row],[customer_id]],customers!A:G,4,)</f>
        <v>kolkata</v>
      </c>
    </row>
    <row r="693" spans="1:9" x14ac:dyDescent="0.3">
      <c r="A693">
        <v>20692</v>
      </c>
      <c r="B693">
        <v>214</v>
      </c>
      <c r="C693" s="2">
        <v>44626</v>
      </c>
      <c r="D693" s="2" t="str">
        <f>TEXT(Table4[[#This Row],[issue_date]],"mmmm")</f>
        <v>March</v>
      </c>
      <c r="E693" s="9">
        <f>YEAR(Table4[[#This Row],[issue_date]])</f>
        <v>2022</v>
      </c>
      <c r="F693" t="s">
        <v>19</v>
      </c>
      <c r="G693">
        <v>18</v>
      </c>
      <c r="H693" t="s">
        <v>20</v>
      </c>
      <c r="I693" t="str">
        <f>VLOOKUP(Table4[[#This Row],[customer_id]],customers!A:G,4,)</f>
        <v>chennai</v>
      </c>
    </row>
    <row r="694" spans="1:9" x14ac:dyDescent="0.3">
      <c r="A694">
        <v>20693</v>
      </c>
      <c r="B694">
        <v>27</v>
      </c>
      <c r="C694" s="2">
        <v>45239</v>
      </c>
      <c r="D694" s="2" t="str">
        <f>TEXT(Table4[[#This Row],[issue_date]],"mmmm")</f>
        <v>November</v>
      </c>
      <c r="E694" s="9">
        <f>YEAR(Table4[[#This Row],[issue_date]])</f>
        <v>2023</v>
      </c>
      <c r="F694" t="s">
        <v>22</v>
      </c>
      <c r="G694">
        <v>41</v>
      </c>
      <c r="H694" t="s">
        <v>20</v>
      </c>
      <c r="I694" t="str">
        <f>VLOOKUP(Table4[[#This Row],[customer_id]],customers!A:G,4,)</f>
        <v>delhi</v>
      </c>
    </row>
    <row r="695" spans="1:9" x14ac:dyDescent="0.3">
      <c r="A695">
        <v>20694</v>
      </c>
      <c r="B695">
        <v>295</v>
      </c>
      <c r="C695" s="2">
        <v>44625</v>
      </c>
      <c r="D695" s="2" t="str">
        <f>TEXT(Table4[[#This Row],[issue_date]],"mmmm")</f>
        <v>March</v>
      </c>
      <c r="E695" s="9">
        <f>YEAR(Table4[[#This Row],[issue_date]])</f>
        <v>2022</v>
      </c>
      <c r="F695" t="s">
        <v>19</v>
      </c>
      <c r="G695">
        <v>42</v>
      </c>
      <c r="H695" t="s">
        <v>20</v>
      </c>
      <c r="I695" t="str">
        <f>VLOOKUP(Table4[[#This Row],[customer_id]],customers!A:G,4,)</f>
        <v>delhi</v>
      </c>
    </row>
    <row r="696" spans="1:9" x14ac:dyDescent="0.3">
      <c r="A696">
        <v>20695</v>
      </c>
      <c r="B696">
        <v>406</v>
      </c>
      <c r="C696" s="2">
        <v>44831</v>
      </c>
      <c r="D696" s="2" t="str">
        <f>TEXT(Table4[[#This Row],[issue_date]],"mmmm")</f>
        <v>September</v>
      </c>
      <c r="E696" s="9">
        <f>YEAR(Table4[[#This Row],[issue_date]])</f>
        <v>2022</v>
      </c>
      <c r="F696" t="s">
        <v>21</v>
      </c>
      <c r="G696">
        <v>33</v>
      </c>
      <c r="H696" t="s">
        <v>20</v>
      </c>
      <c r="I696" t="str">
        <f>VLOOKUP(Table4[[#This Row],[customer_id]],customers!A:G,4,)</f>
        <v>hyderabad</v>
      </c>
    </row>
    <row r="697" spans="1:9" x14ac:dyDescent="0.3">
      <c r="A697">
        <v>20696</v>
      </c>
      <c r="B697">
        <v>119</v>
      </c>
      <c r="C697" s="2">
        <v>45218</v>
      </c>
      <c r="D697" s="2" t="str">
        <f>TEXT(Table4[[#This Row],[issue_date]],"mmmm")</f>
        <v>October</v>
      </c>
      <c r="E697" s="9">
        <f>YEAR(Table4[[#This Row],[issue_date]])</f>
        <v>2023</v>
      </c>
      <c r="F697" t="s">
        <v>22</v>
      </c>
      <c r="G697">
        <v>43</v>
      </c>
      <c r="H697" t="s">
        <v>20</v>
      </c>
      <c r="I697" t="str">
        <f>VLOOKUP(Table4[[#This Row],[customer_id]],customers!A:G,4,)</f>
        <v>kolkata</v>
      </c>
    </row>
    <row r="698" spans="1:9" x14ac:dyDescent="0.3">
      <c r="A698">
        <v>20697</v>
      </c>
      <c r="B698">
        <v>147</v>
      </c>
      <c r="C698" s="2">
        <v>44938</v>
      </c>
      <c r="D698" s="2" t="str">
        <f>TEXT(Table4[[#This Row],[issue_date]],"mmmm")</f>
        <v>January</v>
      </c>
      <c r="E698" s="9">
        <f>YEAR(Table4[[#This Row],[issue_date]])</f>
        <v>2023</v>
      </c>
      <c r="F698" t="s">
        <v>22</v>
      </c>
      <c r="G698">
        <v>14</v>
      </c>
      <c r="H698" t="s">
        <v>20</v>
      </c>
      <c r="I698" t="str">
        <f>VLOOKUP(Table4[[#This Row],[customer_id]],customers!A:G,4,)</f>
        <v>bangalore</v>
      </c>
    </row>
    <row r="699" spans="1:9" x14ac:dyDescent="0.3">
      <c r="A699">
        <v>20698</v>
      </c>
      <c r="B699">
        <v>356</v>
      </c>
      <c r="C699" s="2">
        <v>45406</v>
      </c>
      <c r="D699" s="2" t="str">
        <f>TEXT(Table4[[#This Row],[issue_date]],"mmmm")</f>
        <v>April</v>
      </c>
      <c r="E699" s="9">
        <f>YEAR(Table4[[#This Row],[issue_date]])</f>
        <v>2024</v>
      </c>
      <c r="F699" t="s">
        <v>21</v>
      </c>
      <c r="G699">
        <v>55</v>
      </c>
      <c r="H699" t="s">
        <v>20</v>
      </c>
      <c r="I699" t="str">
        <f>VLOOKUP(Table4[[#This Row],[customer_id]],customers!A:G,4,)</f>
        <v>bangalore</v>
      </c>
    </row>
    <row r="700" spans="1:9" x14ac:dyDescent="0.3">
      <c r="A700">
        <v>20699</v>
      </c>
      <c r="B700">
        <v>265</v>
      </c>
      <c r="C700" s="2">
        <v>45342</v>
      </c>
      <c r="D700" s="2" t="str">
        <f>TEXT(Table4[[#This Row],[issue_date]],"mmmm")</f>
        <v>February</v>
      </c>
      <c r="E700" s="9">
        <f>YEAR(Table4[[#This Row],[issue_date]])</f>
        <v>2024</v>
      </c>
      <c r="F700" t="s">
        <v>21</v>
      </c>
      <c r="G700">
        <v>58</v>
      </c>
      <c r="H700" t="s">
        <v>20</v>
      </c>
      <c r="I700" t="str">
        <f>VLOOKUP(Table4[[#This Row],[customer_id]],customers!A:G,4,)</f>
        <v>delhi</v>
      </c>
    </row>
    <row r="701" spans="1:9" x14ac:dyDescent="0.3">
      <c r="A701">
        <v>20700</v>
      </c>
      <c r="B701">
        <v>403</v>
      </c>
      <c r="C701" s="2">
        <v>44890</v>
      </c>
      <c r="D701" s="2" t="str">
        <f>TEXT(Table4[[#This Row],[issue_date]],"mmmm")</f>
        <v>November</v>
      </c>
      <c r="E701" s="9">
        <f>YEAR(Table4[[#This Row],[issue_date]])</f>
        <v>2022</v>
      </c>
      <c r="F701" t="s">
        <v>22</v>
      </c>
      <c r="G701">
        <v>10</v>
      </c>
      <c r="H701" t="s">
        <v>20</v>
      </c>
      <c r="I701" t="str">
        <f>VLOOKUP(Table4[[#This Row],[customer_id]],customers!A:G,4,)</f>
        <v>delhi</v>
      </c>
    </row>
    <row r="702" spans="1:9" x14ac:dyDescent="0.3">
      <c r="A702">
        <v>20701</v>
      </c>
      <c r="B702">
        <v>258</v>
      </c>
      <c r="C702" s="2">
        <v>45079</v>
      </c>
      <c r="D702" s="2" t="str">
        <f>TEXT(Table4[[#This Row],[issue_date]],"mmmm")</f>
        <v>June</v>
      </c>
      <c r="E702" s="9">
        <f>YEAR(Table4[[#This Row],[issue_date]])</f>
        <v>2023</v>
      </c>
      <c r="F702" t="s">
        <v>19</v>
      </c>
      <c r="G702">
        <v>28</v>
      </c>
      <c r="H702" t="s">
        <v>20</v>
      </c>
      <c r="I702" t="str">
        <f>VLOOKUP(Table4[[#This Row],[customer_id]],customers!A:G,4,)</f>
        <v>bangalore</v>
      </c>
    </row>
    <row r="703" spans="1:9" x14ac:dyDescent="0.3">
      <c r="A703">
        <v>20702</v>
      </c>
      <c r="B703">
        <v>348</v>
      </c>
      <c r="C703" s="2">
        <v>45194</v>
      </c>
      <c r="D703" s="2" t="str">
        <f>TEXT(Table4[[#This Row],[issue_date]],"mmmm")</f>
        <v>September</v>
      </c>
      <c r="E703" s="9">
        <f>YEAR(Table4[[#This Row],[issue_date]])</f>
        <v>2023</v>
      </c>
      <c r="F703" t="s">
        <v>22</v>
      </c>
      <c r="G703">
        <v>14</v>
      </c>
      <c r="H703" t="s">
        <v>20</v>
      </c>
      <c r="I703" t="str">
        <f>VLOOKUP(Table4[[#This Row],[customer_id]],customers!A:G,4,)</f>
        <v>chennai</v>
      </c>
    </row>
    <row r="704" spans="1:9" x14ac:dyDescent="0.3">
      <c r="A704">
        <v>20703</v>
      </c>
      <c r="B704">
        <v>189</v>
      </c>
      <c r="C704" s="2">
        <v>45423</v>
      </c>
      <c r="D704" s="2" t="str">
        <f>TEXT(Table4[[#This Row],[issue_date]],"mmmm")</f>
        <v>May</v>
      </c>
      <c r="E704" s="9">
        <f>YEAR(Table4[[#This Row],[issue_date]])</f>
        <v>2024</v>
      </c>
      <c r="F704" t="s">
        <v>22</v>
      </c>
      <c r="G704">
        <v>26</v>
      </c>
      <c r="H704" t="s">
        <v>20</v>
      </c>
      <c r="I704" t="str">
        <f>VLOOKUP(Table4[[#This Row],[customer_id]],customers!A:G,4,)</f>
        <v>delhi</v>
      </c>
    </row>
    <row r="705" spans="1:9" x14ac:dyDescent="0.3">
      <c r="A705">
        <v>20704</v>
      </c>
      <c r="B705">
        <v>315</v>
      </c>
      <c r="C705" s="2">
        <v>44982</v>
      </c>
      <c r="D705" s="2" t="str">
        <f>TEXT(Table4[[#This Row],[issue_date]],"mmmm")</f>
        <v>February</v>
      </c>
      <c r="E705" s="9">
        <f>YEAR(Table4[[#This Row],[issue_date]])</f>
        <v>2023</v>
      </c>
      <c r="F705" t="s">
        <v>22</v>
      </c>
      <c r="G705">
        <v>17</v>
      </c>
      <c r="H705" t="s">
        <v>20</v>
      </c>
      <c r="I705" t="str">
        <f>VLOOKUP(Table4[[#This Row],[customer_id]],customers!A:G,4,)</f>
        <v>kolkata</v>
      </c>
    </row>
    <row r="706" spans="1:9" x14ac:dyDescent="0.3">
      <c r="A706">
        <v>20705</v>
      </c>
      <c r="B706">
        <v>231</v>
      </c>
      <c r="C706" s="2">
        <v>44874</v>
      </c>
      <c r="D706" s="2" t="str">
        <f>TEXT(Table4[[#This Row],[issue_date]],"mmmm")</f>
        <v>November</v>
      </c>
      <c r="E706" s="9">
        <f>YEAR(Table4[[#This Row],[issue_date]])</f>
        <v>2022</v>
      </c>
      <c r="F706" t="s">
        <v>19</v>
      </c>
      <c r="G706">
        <v>34</v>
      </c>
      <c r="H706" t="s">
        <v>20</v>
      </c>
      <c r="I706" t="str">
        <f>VLOOKUP(Table4[[#This Row],[customer_id]],customers!A:G,4,)</f>
        <v>delhi</v>
      </c>
    </row>
    <row r="707" spans="1:9" x14ac:dyDescent="0.3">
      <c r="A707">
        <v>20706</v>
      </c>
      <c r="B707">
        <v>470</v>
      </c>
      <c r="C707" s="2">
        <v>44870</v>
      </c>
      <c r="D707" s="2" t="str">
        <f>TEXT(Table4[[#This Row],[issue_date]],"mmmm")</f>
        <v>November</v>
      </c>
      <c r="E707" s="9">
        <f>YEAR(Table4[[#This Row],[issue_date]])</f>
        <v>2022</v>
      </c>
      <c r="F707" t="s">
        <v>21</v>
      </c>
      <c r="G707">
        <v>14</v>
      </c>
      <c r="H707" t="s">
        <v>20</v>
      </c>
      <c r="I707" t="str">
        <f>VLOOKUP(Table4[[#This Row],[customer_id]],customers!A:G,4,)</f>
        <v>hyderabad</v>
      </c>
    </row>
    <row r="708" spans="1:9" x14ac:dyDescent="0.3">
      <c r="A708">
        <v>20707</v>
      </c>
      <c r="B708">
        <v>499</v>
      </c>
      <c r="C708" s="2">
        <v>45375</v>
      </c>
      <c r="D708" s="2" t="str">
        <f>TEXT(Table4[[#This Row],[issue_date]],"mmmm")</f>
        <v>March</v>
      </c>
      <c r="E708" s="9">
        <f>YEAR(Table4[[#This Row],[issue_date]])</f>
        <v>2024</v>
      </c>
      <c r="F708" t="s">
        <v>21</v>
      </c>
      <c r="G708">
        <v>26</v>
      </c>
      <c r="H708" t="s">
        <v>20</v>
      </c>
      <c r="I708" t="str">
        <f>VLOOKUP(Table4[[#This Row],[customer_id]],customers!A:G,4,)</f>
        <v>delhi</v>
      </c>
    </row>
    <row r="709" spans="1:9" x14ac:dyDescent="0.3">
      <c r="A709">
        <v>20708</v>
      </c>
      <c r="B709">
        <v>198</v>
      </c>
      <c r="C709" s="2">
        <v>45407</v>
      </c>
      <c r="D709" s="2" t="str">
        <f>TEXT(Table4[[#This Row],[issue_date]],"mmmm")</f>
        <v>April</v>
      </c>
      <c r="E709" s="9">
        <f>YEAR(Table4[[#This Row],[issue_date]])</f>
        <v>2024</v>
      </c>
      <c r="F709" t="s">
        <v>21</v>
      </c>
      <c r="G709">
        <v>34</v>
      </c>
      <c r="H709" t="s">
        <v>20</v>
      </c>
      <c r="I709" t="str">
        <f>VLOOKUP(Table4[[#This Row],[customer_id]],customers!A:G,4,)</f>
        <v>kolkata</v>
      </c>
    </row>
    <row r="710" spans="1:9" x14ac:dyDescent="0.3">
      <c r="A710">
        <v>20709</v>
      </c>
      <c r="B710">
        <v>239</v>
      </c>
      <c r="C710" s="2">
        <v>45205</v>
      </c>
      <c r="D710" s="2" t="str">
        <f>TEXT(Table4[[#This Row],[issue_date]],"mmmm")</f>
        <v>October</v>
      </c>
      <c r="E710" s="9">
        <f>YEAR(Table4[[#This Row],[issue_date]])</f>
        <v>2023</v>
      </c>
      <c r="F710" t="s">
        <v>19</v>
      </c>
      <c r="G710">
        <v>24</v>
      </c>
      <c r="H710" t="s">
        <v>20</v>
      </c>
      <c r="I710" t="str">
        <f>VLOOKUP(Table4[[#This Row],[customer_id]],customers!A:G,4,)</f>
        <v>hyderabad</v>
      </c>
    </row>
    <row r="711" spans="1:9" x14ac:dyDescent="0.3">
      <c r="A711">
        <v>20710</v>
      </c>
      <c r="B711">
        <v>327</v>
      </c>
      <c r="C711" s="2">
        <v>45363</v>
      </c>
      <c r="D711" s="2" t="str">
        <f>TEXT(Table4[[#This Row],[issue_date]],"mmmm")</f>
        <v>March</v>
      </c>
      <c r="E711" s="9">
        <f>YEAR(Table4[[#This Row],[issue_date]])</f>
        <v>2024</v>
      </c>
      <c r="F711" t="s">
        <v>19</v>
      </c>
      <c r="G711">
        <v>70</v>
      </c>
      <c r="H711" t="s">
        <v>20</v>
      </c>
      <c r="I711" t="str">
        <f>VLOOKUP(Table4[[#This Row],[customer_id]],customers!A:G,4,)</f>
        <v>delhi</v>
      </c>
    </row>
    <row r="712" spans="1:9" x14ac:dyDescent="0.3">
      <c r="A712">
        <v>20711</v>
      </c>
      <c r="B712">
        <v>70</v>
      </c>
      <c r="C712" s="2">
        <v>44750</v>
      </c>
      <c r="D712" s="2" t="str">
        <f>TEXT(Table4[[#This Row],[issue_date]],"mmmm")</f>
        <v>July</v>
      </c>
      <c r="E712" s="9">
        <f>YEAR(Table4[[#This Row],[issue_date]])</f>
        <v>2022</v>
      </c>
      <c r="F712" t="s">
        <v>21</v>
      </c>
      <c r="G712">
        <v>20</v>
      </c>
      <c r="H712" t="s">
        <v>20</v>
      </c>
      <c r="I712" t="str">
        <f>VLOOKUP(Table4[[#This Row],[customer_id]],customers!A:G,4,)</f>
        <v>chennai</v>
      </c>
    </row>
    <row r="713" spans="1:9" x14ac:dyDescent="0.3">
      <c r="A713">
        <v>20712</v>
      </c>
      <c r="B713">
        <v>417</v>
      </c>
      <c r="C713" s="2">
        <v>45282</v>
      </c>
      <c r="D713" s="2" t="str">
        <f>TEXT(Table4[[#This Row],[issue_date]],"mmmm")</f>
        <v>December</v>
      </c>
      <c r="E713" s="9">
        <f>YEAR(Table4[[#This Row],[issue_date]])</f>
        <v>2023</v>
      </c>
      <c r="F713" t="s">
        <v>21</v>
      </c>
      <c r="G713">
        <v>39</v>
      </c>
      <c r="H713" t="s">
        <v>20</v>
      </c>
      <c r="I713" t="str">
        <f>VLOOKUP(Table4[[#This Row],[customer_id]],customers!A:G,4,)</f>
        <v>bangalore</v>
      </c>
    </row>
    <row r="714" spans="1:9" x14ac:dyDescent="0.3">
      <c r="A714">
        <v>20713</v>
      </c>
      <c r="B714">
        <v>252</v>
      </c>
      <c r="C714" s="2">
        <v>44603</v>
      </c>
      <c r="D714" s="2" t="str">
        <f>TEXT(Table4[[#This Row],[issue_date]],"mmmm")</f>
        <v>February</v>
      </c>
      <c r="E714" s="9">
        <f>YEAR(Table4[[#This Row],[issue_date]])</f>
        <v>2022</v>
      </c>
      <c r="F714" t="s">
        <v>21</v>
      </c>
      <c r="G714">
        <v>45</v>
      </c>
      <c r="H714" t="s">
        <v>20</v>
      </c>
      <c r="I714" t="str">
        <f>VLOOKUP(Table4[[#This Row],[customer_id]],customers!A:G,4,)</f>
        <v>hyderabad</v>
      </c>
    </row>
    <row r="715" spans="1:9" x14ac:dyDescent="0.3">
      <c r="A715">
        <v>20714</v>
      </c>
      <c r="B715">
        <v>462</v>
      </c>
      <c r="C715" s="2">
        <v>45151</v>
      </c>
      <c r="D715" s="2" t="str">
        <f>TEXT(Table4[[#This Row],[issue_date]],"mmmm")</f>
        <v>August</v>
      </c>
      <c r="E715" s="9">
        <f>YEAR(Table4[[#This Row],[issue_date]])</f>
        <v>2023</v>
      </c>
      <c r="F715" t="s">
        <v>21</v>
      </c>
      <c r="G715">
        <v>34</v>
      </c>
      <c r="H715" t="s">
        <v>20</v>
      </c>
      <c r="I715" t="str">
        <f>VLOOKUP(Table4[[#This Row],[customer_id]],customers!A:G,4,)</f>
        <v>hyderabad</v>
      </c>
    </row>
    <row r="716" spans="1:9" x14ac:dyDescent="0.3">
      <c r="A716">
        <v>20715</v>
      </c>
      <c r="B716">
        <v>193</v>
      </c>
      <c r="C716" s="2">
        <v>44881</v>
      </c>
      <c r="D716" s="2" t="str">
        <f>TEXT(Table4[[#This Row],[issue_date]],"mmmm")</f>
        <v>November</v>
      </c>
      <c r="E716" s="9">
        <f>YEAR(Table4[[#This Row],[issue_date]])</f>
        <v>2022</v>
      </c>
      <c r="F716" t="s">
        <v>19</v>
      </c>
      <c r="G716">
        <v>22</v>
      </c>
      <c r="H716" t="s">
        <v>20</v>
      </c>
      <c r="I716" t="str">
        <f>VLOOKUP(Table4[[#This Row],[customer_id]],customers!A:G,4,)</f>
        <v>bangalore</v>
      </c>
    </row>
    <row r="717" spans="1:9" x14ac:dyDescent="0.3">
      <c r="A717">
        <v>20716</v>
      </c>
      <c r="B717">
        <v>25</v>
      </c>
      <c r="C717" s="2">
        <v>45218</v>
      </c>
      <c r="D717" s="2" t="str">
        <f>TEXT(Table4[[#This Row],[issue_date]],"mmmm")</f>
        <v>October</v>
      </c>
      <c r="E717" s="9">
        <f>YEAR(Table4[[#This Row],[issue_date]])</f>
        <v>2023</v>
      </c>
      <c r="F717" t="s">
        <v>21</v>
      </c>
      <c r="G717">
        <v>71</v>
      </c>
      <c r="H717" t="s">
        <v>20</v>
      </c>
      <c r="I717" t="str">
        <f>VLOOKUP(Table4[[#This Row],[customer_id]],customers!A:G,4,)</f>
        <v>delhi</v>
      </c>
    </row>
    <row r="718" spans="1:9" x14ac:dyDescent="0.3">
      <c r="A718">
        <v>20717</v>
      </c>
      <c r="B718">
        <v>70</v>
      </c>
      <c r="C718" s="2">
        <v>45006</v>
      </c>
      <c r="D718" s="2" t="str">
        <f>TEXT(Table4[[#This Row],[issue_date]],"mmmm")</f>
        <v>March</v>
      </c>
      <c r="E718" s="9">
        <f>YEAR(Table4[[#This Row],[issue_date]])</f>
        <v>2023</v>
      </c>
      <c r="F718" t="s">
        <v>22</v>
      </c>
      <c r="G718">
        <v>33</v>
      </c>
      <c r="H718" t="s">
        <v>20</v>
      </c>
      <c r="I718" t="str">
        <f>VLOOKUP(Table4[[#This Row],[customer_id]],customers!A:G,4,)</f>
        <v>chennai</v>
      </c>
    </row>
    <row r="719" spans="1:9" x14ac:dyDescent="0.3">
      <c r="A719">
        <v>20718</v>
      </c>
      <c r="B719">
        <v>156</v>
      </c>
      <c r="C719" s="2">
        <v>44935</v>
      </c>
      <c r="D719" s="2" t="str">
        <f>TEXT(Table4[[#This Row],[issue_date]],"mmmm")</f>
        <v>January</v>
      </c>
      <c r="E719" s="9">
        <f>YEAR(Table4[[#This Row],[issue_date]])</f>
        <v>2023</v>
      </c>
      <c r="F719" t="s">
        <v>21</v>
      </c>
      <c r="G719">
        <v>6</v>
      </c>
      <c r="H719" t="s">
        <v>20</v>
      </c>
      <c r="I719" t="str">
        <f>VLOOKUP(Table4[[#This Row],[customer_id]],customers!A:G,4,)</f>
        <v>delhi</v>
      </c>
    </row>
    <row r="720" spans="1:9" x14ac:dyDescent="0.3">
      <c r="A720">
        <v>20719</v>
      </c>
      <c r="B720">
        <v>146</v>
      </c>
      <c r="C720" s="2">
        <v>44847</v>
      </c>
      <c r="D720" s="2" t="str">
        <f>TEXT(Table4[[#This Row],[issue_date]],"mmmm")</f>
        <v>October</v>
      </c>
      <c r="E720" s="9">
        <f>YEAR(Table4[[#This Row],[issue_date]])</f>
        <v>2022</v>
      </c>
      <c r="F720" t="s">
        <v>19</v>
      </c>
      <c r="G720">
        <v>16</v>
      </c>
      <c r="H720" t="s">
        <v>20</v>
      </c>
      <c r="I720" t="str">
        <f>VLOOKUP(Table4[[#This Row],[customer_id]],customers!A:G,4,)</f>
        <v>mumbai</v>
      </c>
    </row>
    <row r="721" spans="1:9" x14ac:dyDescent="0.3">
      <c r="A721">
        <v>20720</v>
      </c>
      <c r="B721">
        <v>319</v>
      </c>
      <c r="C721" s="2">
        <v>44732</v>
      </c>
      <c r="D721" s="2" t="str">
        <f>TEXT(Table4[[#This Row],[issue_date]],"mmmm")</f>
        <v>June</v>
      </c>
      <c r="E721" s="9">
        <f>YEAR(Table4[[#This Row],[issue_date]])</f>
        <v>2022</v>
      </c>
      <c r="F721" t="s">
        <v>22</v>
      </c>
      <c r="G721">
        <v>23</v>
      </c>
      <c r="H721" t="s">
        <v>20</v>
      </c>
      <c r="I721" t="str">
        <f>VLOOKUP(Table4[[#This Row],[customer_id]],customers!A:G,4,)</f>
        <v>chennai</v>
      </c>
    </row>
    <row r="722" spans="1:9" x14ac:dyDescent="0.3">
      <c r="A722">
        <v>20721</v>
      </c>
      <c r="B722">
        <v>219</v>
      </c>
      <c r="C722" s="2">
        <v>45166</v>
      </c>
      <c r="D722" s="2" t="str">
        <f>TEXT(Table4[[#This Row],[issue_date]],"mmmm")</f>
        <v>August</v>
      </c>
      <c r="E722" s="9">
        <f>YEAR(Table4[[#This Row],[issue_date]])</f>
        <v>2023</v>
      </c>
      <c r="F722" t="s">
        <v>22</v>
      </c>
      <c r="G722">
        <v>18</v>
      </c>
      <c r="H722" t="s">
        <v>20</v>
      </c>
      <c r="I722" t="str">
        <f>VLOOKUP(Table4[[#This Row],[customer_id]],customers!A:G,4,)</f>
        <v>bangalore</v>
      </c>
    </row>
    <row r="723" spans="1:9" x14ac:dyDescent="0.3">
      <c r="A723">
        <v>20722</v>
      </c>
      <c r="B723">
        <v>49</v>
      </c>
      <c r="C723" s="2">
        <v>44824</v>
      </c>
      <c r="D723" s="2" t="str">
        <f>TEXT(Table4[[#This Row],[issue_date]],"mmmm")</f>
        <v>September</v>
      </c>
      <c r="E723" s="9">
        <f>YEAR(Table4[[#This Row],[issue_date]])</f>
        <v>2022</v>
      </c>
      <c r="F723" t="s">
        <v>22</v>
      </c>
      <c r="G723">
        <v>14</v>
      </c>
      <c r="H723" t="s">
        <v>23</v>
      </c>
      <c r="I723" t="str">
        <f>VLOOKUP(Table4[[#This Row],[customer_id]],customers!A:G,4,)</f>
        <v>chennai</v>
      </c>
    </row>
    <row r="724" spans="1:9" x14ac:dyDescent="0.3">
      <c r="A724">
        <v>20723</v>
      </c>
      <c r="B724">
        <v>379</v>
      </c>
      <c r="C724" s="2">
        <v>45096</v>
      </c>
      <c r="D724" s="2" t="str">
        <f>TEXT(Table4[[#This Row],[issue_date]],"mmmm")</f>
        <v>June</v>
      </c>
      <c r="E724" s="9">
        <f>YEAR(Table4[[#This Row],[issue_date]])</f>
        <v>2023</v>
      </c>
      <c r="F724" t="s">
        <v>19</v>
      </c>
      <c r="G724">
        <v>50</v>
      </c>
      <c r="H724" t="s">
        <v>20</v>
      </c>
      <c r="I724" t="str">
        <f>VLOOKUP(Table4[[#This Row],[customer_id]],customers!A:G,4,)</f>
        <v>kolkata</v>
      </c>
    </row>
    <row r="725" spans="1:9" x14ac:dyDescent="0.3">
      <c r="A725">
        <v>20724</v>
      </c>
      <c r="B725">
        <v>380</v>
      </c>
      <c r="C725" s="2">
        <v>45365</v>
      </c>
      <c r="D725" s="2" t="str">
        <f>TEXT(Table4[[#This Row],[issue_date]],"mmmm")</f>
        <v>March</v>
      </c>
      <c r="E725" s="9">
        <f>YEAR(Table4[[#This Row],[issue_date]])</f>
        <v>2024</v>
      </c>
      <c r="F725" t="s">
        <v>21</v>
      </c>
      <c r="G725">
        <v>61</v>
      </c>
      <c r="H725" t="s">
        <v>20</v>
      </c>
      <c r="I725" t="str">
        <f>VLOOKUP(Table4[[#This Row],[customer_id]],customers!A:G,4,)</f>
        <v>delhi</v>
      </c>
    </row>
    <row r="726" spans="1:9" x14ac:dyDescent="0.3">
      <c r="A726">
        <v>20725</v>
      </c>
      <c r="B726">
        <v>194</v>
      </c>
      <c r="C726" s="2">
        <v>44703</v>
      </c>
      <c r="D726" s="2" t="str">
        <f>TEXT(Table4[[#This Row],[issue_date]],"mmmm")</f>
        <v>May</v>
      </c>
      <c r="E726" s="9">
        <f>YEAR(Table4[[#This Row],[issue_date]])</f>
        <v>2022</v>
      </c>
      <c r="F726" t="s">
        <v>19</v>
      </c>
      <c r="G726">
        <v>36</v>
      </c>
      <c r="H726" t="s">
        <v>20</v>
      </c>
      <c r="I726" t="str">
        <f>VLOOKUP(Table4[[#This Row],[customer_id]],customers!A:G,4,)</f>
        <v>hyderabad</v>
      </c>
    </row>
    <row r="727" spans="1:9" x14ac:dyDescent="0.3">
      <c r="A727">
        <v>20726</v>
      </c>
      <c r="B727">
        <v>40</v>
      </c>
      <c r="C727" s="2">
        <v>44709</v>
      </c>
      <c r="D727" s="2" t="str">
        <f>TEXT(Table4[[#This Row],[issue_date]],"mmmm")</f>
        <v>May</v>
      </c>
      <c r="E727" s="9">
        <f>YEAR(Table4[[#This Row],[issue_date]])</f>
        <v>2022</v>
      </c>
      <c r="F727" t="s">
        <v>19</v>
      </c>
      <c r="G727">
        <v>15</v>
      </c>
      <c r="H727" t="s">
        <v>20</v>
      </c>
      <c r="I727" t="str">
        <f>VLOOKUP(Table4[[#This Row],[customer_id]],customers!A:G,4,)</f>
        <v>chennai</v>
      </c>
    </row>
    <row r="728" spans="1:9" x14ac:dyDescent="0.3">
      <c r="A728">
        <v>20727</v>
      </c>
      <c r="B728">
        <v>85</v>
      </c>
      <c r="C728" s="2">
        <v>45001</v>
      </c>
      <c r="D728" s="2" t="str">
        <f>TEXT(Table4[[#This Row],[issue_date]],"mmmm")</f>
        <v>March</v>
      </c>
      <c r="E728" s="9">
        <f>YEAR(Table4[[#This Row],[issue_date]])</f>
        <v>2023</v>
      </c>
      <c r="F728" t="s">
        <v>22</v>
      </c>
      <c r="G728">
        <v>5</v>
      </c>
      <c r="H728" t="s">
        <v>20</v>
      </c>
      <c r="I728" t="str">
        <f>VLOOKUP(Table4[[#This Row],[customer_id]],customers!A:G,4,)</f>
        <v>hyderabad</v>
      </c>
    </row>
    <row r="729" spans="1:9" x14ac:dyDescent="0.3">
      <c r="A729">
        <v>20728</v>
      </c>
      <c r="B729">
        <v>343</v>
      </c>
      <c r="C729" s="2">
        <v>45189</v>
      </c>
      <c r="D729" s="2" t="str">
        <f>TEXT(Table4[[#This Row],[issue_date]],"mmmm")</f>
        <v>September</v>
      </c>
      <c r="E729" s="9">
        <f>YEAR(Table4[[#This Row],[issue_date]])</f>
        <v>2023</v>
      </c>
      <c r="F729" t="s">
        <v>22</v>
      </c>
      <c r="G729">
        <v>53</v>
      </c>
      <c r="H729" t="s">
        <v>20</v>
      </c>
      <c r="I729" t="str">
        <f>VLOOKUP(Table4[[#This Row],[customer_id]],customers!A:G,4,)</f>
        <v>delhi</v>
      </c>
    </row>
    <row r="730" spans="1:9" x14ac:dyDescent="0.3">
      <c r="A730">
        <v>20729</v>
      </c>
      <c r="B730">
        <v>450</v>
      </c>
      <c r="C730" s="2">
        <v>45154</v>
      </c>
      <c r="D730" s="2" t="str">
        <f>TEXT(Table4[[#This Row],[issue_date]],"mmmm")</f>
        <v>August</v>
      </c>
      <c r="E730" s="9">
        <f>YEAR(Table4[[#This Row],[issue_date]])</f>
        <v>2023</v>
      </c>
      <c r="F730" t="s">
        <v>19</v>
      </c>
      <c r="G730">
        <v>48</v>
      </c>
      <c r="H730" t="s">
        <v>20</v>
      </c>
      <c r="I730" t="str">
        <f>VLOOKUP(Table4[[#This Row],[customer_id]],customers!A:G,4,)</f>
        <v>mumbai</v>
      </c>
    </row>
    <row r="731" spans="1:9" x14ac:dyDescent="0.3">
      <c r="A731">
        <v>20730</v>
      </c>
      <c r="B731">
        <v>336</v>
      </c>
      <c r="C731" s="2">
        <v>44977</v>
      </c>
      <c r="D731" s="2" t="str">
        <f>TEXT(Table4[[#This Row],[issue_date]],"mmmm")</f>
        <v>February</v>
      </c>
      <c r="E731" s="9">
        <f>YEAR(Table4[[#This Row],[issue_date]])</f>
        <v>2023</v>
      </c>
      <c r="F731" t="s">
        <v>22</v>
      </c>
      <c r="G731">
        <v>11</v>
      </c>
      <c r="H731" t="s">
        <v>23</v>
      </c>
      <c r="I731" t="str">
        <f>VLOOKUP(Table4[[#This Row],[customer_id]],customers!A:G,4,)</f>
        <v>bangalore</v>
      </c>
    </row>
    <row r="732" spans="1:9" x14ac:dyDescent="0.3">
      <c r="A732">
        <v>20731</v>
      </c>
      <c r="B732">
        <v>4</v>
      </c>
      <c r="C732" s="2">
        <v>44586</v>
      </c>
      <c r="D732" s="2" t="str">
        <f>TEXT(Table4[[#This Row],[issue_date]],"mmmm")</f>
        <v>January</v>
      </c>
      <c r="E732" s="9">
        <f>YEAR(Table4[[#This Row],[issue_date]])</f>
        <v>2022</v>
      </c>
      <c r="F732" t="s">
        <v>19</v>
      </c>
      <c r="G732">
        <v>2</v>
      </c>
      <c r="H732" t="s">
        <v>20</v>
      </c>
      <c r="I732" t="str">
        <f>VLOOKUP(Table4[[#This Row],[customer_id]],customers!A:G,4,)</f>
        <v>chennai</v>
      </c>
    </row>
    <row r="733" spans="1:9" x14ac:dyDescent="0.3">
      <c r="A733">
        <v>20732</v>
      </c>
      <c r="B733">
        <v>290</v>
      </c>
      <c r="C733" s="2">
        <v>45188</v>
      </c>
      <c r="D733" s="2" t="str">
        <f>TEXT(Table4[[#This Row],[issue_date]],"mmmm")</f>
        <v>September</v>
      </c>
      <c r="E733" s="9">
        <f>YEAR(Table4[[#This Row],[issue_date]])</f>
        <v>2023</v>
      </c>
      <c r="F733" t="s">
        <v>22</v>
      </c>
      <c r="G733">
        <v>24</v>
      </c>
      <c r="H733" t="s">
        <v>20</v>
      </c>
      <c r="I733" t="str">
        <f>VLOOKUP(Table4[[#This Row],[customer_id]],customers!A:G,4,)</f>
        <v>mumbai</v>
      </c>
    </row>
    <row r="734" spans="1:9" x14ac:dyDescent="0.3">
      <c r="A734">
        <v>20733</v>
      </c>
      <c r="B734">
        <v>247</v>
      </c>
      <c r="C734" s="2">
        <v>44655</v>
      </c>
      <c r="D734" s="2" t="str">
        <f>TEXT(Table4[[#This Row],[issue_date]],"mmmm")</f>
        <v>April</v>
      </c>
      <c r="E734" s="9">
        <f>YEAR(Table4[[#This Row],[issue_date]])</f>
        <v>2022</v>
      </c>
      <c r="F734" t="s">
        <v>21</v>
      </c>
      <c r="G734">
        <v>68</v>
      </c>
      <c r="H734" t="s">
        <v>20</v>
      </c>
      <c r="I734" t="str">
        <f>VLOOKUP(Table4[[#This Row],[customer_id]],customers!A:G,4,)</f>
        <v>chennai</v>
      </c>
    </row>
    <row r="735" spans="1:9" x14ac:dyDescent="0.3">
      <c r="A735">
        <v>20734</v>
      </c>
      <c r="B735">
        <v>5</v>
      </c>
      <c r="C735" s="2">
        <v>44866</v>
      </c>
      <c r="D735" s="2" t="str">
        <f>TEXT(Table4[[#This Row],[issue_date]],"mmmm")</f>
        <v>November</v>
      </c>
      <c r="E735" s="9">
        <f>YEAR(Table4[[#This Row],[issue_date]])</f>
        <v>2022</v>
      </c>
      <c r="F735" t="s">
        <v>21</v>
      </c>
      <c r="G735">
        <v>12</v>
      </c>
      <c r="H735" t="s">
        <v>20</v>
      </c>
      <c r="I735" t="str">
        <f>VLOOKUP(Table4[[#This Row],[customer_id]],customers!A:G,4,)</f>
        <v>delhi</v>
      </c>
    </row>
    <row r="736" spans="1:9" x14ac:dyDescent="0.3">
      <c r="A736">
        <v>20735</v>
      </c>
      <c r="B736">
        <v>497</v>
      </c>
      <c r="C736" s="2">
        <v>44746</v>
      </c>
      <c r="D736" s="2" t="str">
        <f>TEXT(Table4[[#This Row],[issue_date]],"mmmm")</f>
        <v>July</v>
      </c>
      <c r="E736" s="9">
        <f>YEAR(Table4[[#This Row],[issue_date]])</f>
        <v>2022</v>
      </c>
      <c r="F736" t="s">
        <v>21</v>
      </c>
      <c r="G736">
        <v>59</v>
      </c>
      <c r="H736" t="s">
        <v>20</v>
      </c>
      <c r="I736" t="str">
        <f>VLOOKUP(Table4[[#This Row],[customer_id]],customers!A:G,4,)</f>
        <v>kolkata</v>
      </c>
    </row>
    <row r="737" spans="1:9" x14ac:dyDescent="0.3">
      <c r="A737">
        <v>20736</v>
      </c>
      <c r="B737">
        <v>226</v>
      </c>
      <c r="C737" s="2">
        <v>44844</v>
      </c>
      <c r="D737" s="2" t="str">
        <f>TEXT(Table4[[#This Row],[issue_date]],"mmmm")</f>
        <v>October</v>
      </c>
      <c r="E737" s="9">
        <f>YEAR(Table4[[#This Row],[issue_date]])</f>
        <v>2022</v>
      </c>
      <c r="F737" t="s">
        <v>22</v>
      </c>
      <c r="G737">
        <v>67</v>
      </c>
      <c r="H737" t="s">
        <v>20</v>
      </c>
      <c r="I737" t="str">
        <f>VLOOKUP(Table4[[#This Row],[customer_id]],customers!A:G,4,)</f>
        <v>chennai</v>
      </c>
    </row>
    <row r="738" spans="1:9" x14ac:dyDescent="0.3">
      <c r="A738">
        <v>20737</v>
      </c>
      <c r="B738">
        <v>150</v>
      </c>
      <c r="C738" s="2">
        <v>44716</v>
      </c>
      <c r="D738" s="2" t="str">
        <f>TEXT(Table4[[#This Row],[issue_date]],"mmmm")</f>
        <v>June</v>
      </c>
      <c r="E738" s="9">
        <f>YEAR(Table4[[#This Row],[issue_date]])</f>
        <v>2022</v>
      </c>
      <c r="F738" t="s">
        <v>22</v>
      </c>
      <c r="G738">
        <v>32</v>
      </c>
      <c r="H738" t="s">
        <v>23</v>
      </c>
      <c r="I738" t="str">
        <f>VLOOKUP(Table4[[#This Row],[customer_id]],customers!A:G,4,)</f>
        <v>bangalore</v>
      </c>
    </row>
    <row r="739" spans="1:9" x14ac:dyDescent="0.3">
      <c r="A739">
        <v>20738</v>
      </c>
      <c r="B739">
        <v>238</v>
      </c>
      <c r="C739" s="2">
        <v>45247</v>
      </c>
      <c r="D739" s="2" t="str">
        <f>TEXT(Table4[[#This Row],[issue_date]],"mmmm")</f>
        <v>November</v>
      </c>
      <c r="E739" s="9">
        <f>YEAR(Table4[[#This Row],[issue_date]])</f>
        <v>2023</v>
      </c>
      <c r="F739" t="s">
        <v>21</v>
      </c>
      <c r="G739">
        <v>36</v>
      </c>
      <c r="H739" t="s">
        <v>23</v>
      </c>
      <c r="I739" t="str">
        <f>VLOOKUP(Table4[[#This Row],[customer_id]],customers!A:G,4,)</f>
        <v>mumbai</v>
      </c>
    </row>
    <row r="740" spans="1:9" x14ac:dyDescent="0.3">
      <c r="A740">
        <v>20739</v>
      </c>
      <c r="B740">
        <v>148</v>
      </c>
      <c r="C740" s="2">
        <v>45424</v>
      </c>
      <c r="D740" s="2" t="str">
        <f>TEXT(Table4[[#This Row],[issue_date]],"mmmm")</f>
        <v>May</v>
      </c>
      <c r="E740" s="9">
        <f>YEAR(Table4[[#This Row],[issue_date]])</f>
        <v>2024</v>
      </c>
      <c r="F740" t="s">
        <v>19</v>
      </c>
      <c r="G740">
        <v>21</v>
      </c>
      <c r="H740" t="s">
        <v>20</v>
      </c>
      <c r="I740" t="str">
        <f>VLOOKUP(Table4[[#This Row],[customer_id]],customers!A:G,4,)</f>
        <v>kolkata</v>
      </c>
    </row>
    <row r="741" spans="1:9" x14ac:dyDescent="0.3">
      <c r="A741">
        <v>20740</v>
      </c>
      <c r="B741">
        <v>103</v>
      </c>
      <c r="C741" s="2">
        <v>45246</v>
      </c>
      <c r="D741" s="2" t="str">
        <f>TEXT(Table4[[#This Row],[issue_date]],"mmmm")</f>
        <v>November</v>
      </c>
      <c r="E741" s="9">
        <f>YEAR(Table4[[#This Row],[issue_date]])</f>
        <v>2023</v>
      </c>
      <c r="F741" t="s">
        <v>19</v>
      </c>
      <c r="G741">
        <v>70</v>
      </c>
      <c r="H741" t="s">
        <v>20</v>
      </c>
      <c r="I741" t="str">
        <f>VLOOKUP(Table4[[#This Row],[customer_id]],customers!A:G,4,)</f>
        <v>delhi</v>
      </c>
    </row>
    <row r="742" spans="1:9" x14ac:dyDescent="0.3">
      <c r="A742">
        <v>20741</v>
      </c>
      <c r="B742">
        <v>175</v>
      </c>
      <c r="C742" s="2">
        <v>45227</v>
      </c>
      <c r="D742" s="2" t="str">
        <f>TEXT(Table4[[#This Row],[issue_date]],"mmmm")</f>
        <v>October</v>
      </c>
      <c r="E742" s="9">
        <f>YEAR(Table4[[#This Row],[issue_date]])</f>
        <v>2023</v>
      </c>
      <c r="F742" t="s">
        <v>21</v>
      </c>
      <c r="G742">
        <v>66</v>
      </c>
      <c r="H742" t="s">
        <v>20</v>
      </c>
      <c r="I742" t="str">
        <f>VLOOKUP(Table4[[#This Row],[customer_id]],customers!A:G,4,)</f>
        <v>kolkata</v>
      </c>
    </row>
    <row r="743" spans="1:9" x14ac:dyDescent="0.3">
      <c r="A743">
        <v>20742</v>
      </c>
      <c r="B743">
        <v>498</v>
      </c>
      <c r="C743" s="2">
        <v>44575</v>
      </c>
      <c r="D743" s="2" t="str">
        <f>TEXT(Table4[[#This Row],[issue_date]],"mmmm")</f>
        <v>January</v>
      </c>
      <c r="E743" s="9">
        <f>YEAR(Table4[[#This Row],[issue_date]])</f>
        <v>2022</v>
      </c>
      <c r="F743" t="s">
        <v>22</v>
      </c>
      <c r="G743">
        <v>9</v>
      </c>
      <c r="H743" t="s">
        <v>20</v>
      </c>
      <c r="I743" t="str">
        <f>VLOOKUP(Table4[[#This Row],[customer_id]],customers!A:G,4,)</f>
        <v>delhi</v>
      </c>
    </row>
    <row r="744" spans="1:9" x14ac:dyDescent="0.3">
      <c r="A744">
        <v>20743</v>
      </c>
      <c r="B744">
        <v>461</v>
      </c>
      <c r="C744" s="2">
        <v>45451</v>
      </c>
      <c r="D744" s="2" t="str">
        <f>TEXT(Table4[[#This Row],[issue_date]],"mmmm")</f>
        <v>June</v>
      </c>
      <c r="E744" s="9">
        <f>YEAR(Table4[[#This Row],[issue_date]])</f>
        <v>2024</v>
      </c>
      <c r="F744" t="s">
        <v>19</v>
      </c>
      <c r="G744">
        <v>44</v>
      </c>
      <c r="H744" t="s">
        <v>20</v>
      </c>
      <c r="I744" t="str">
        <f>VLOOKUP(Table4[[#This Row],[customer_id]],customers!A:G,4,)</f>
        <v>chennai</v>
      </c>
    </row>
    <row r="745" spans="1:9" x14ac:dyDescent="0.3">
      <c r="A745">
        <v>20744</v>
      </c>
      <c r="B745">
        <v>236</v>
      </c>
      <c r="C745" s="2">
        <v>45377</v>
      </c>
      <c r="D745" s="2" t="str">
        <f>TEXT(Table4[[#This Row],[issue_date]],"mmmm")</f>
        <v>March</v>
      </c>
      <c r="E745" s="9">
        <f>YEAR(Table4[[#This Row],[issue_date]])</f>
        <v>2024</v>
      </c>
      <c r="F745" t="s">
        <v>19</v>
      </c>
      <c r="G745">
        <v>59</v>
      </c>
      <c r="H745" t="s">
        <v>20</v>
      </c>
      <c r="I745" t="str">
        <f>VLOOKUP(Table4[[#This Row],[customer_id]],customers!A:G,4,)</f>
        <v>kolkata</v>
      </c>
    </row>
    <row r="746" spans="1:9" x14ac:dyDescent="0.3">
      <c r="A746">
        <v>20745</v>
      </c>
      <c r="B746">
        <v>34</v>
      </c>
      <c r="C746" s="2">
        <v>45201</v>
      </c>
      <c r="D746" s="2" t="str">
        <f>TEXT(Table4[[#This Row],[issue_date]],"mmmm")</f>
        <v>October</v>
      </c>
      <c r="E746" s="9">
        <f>YEAR(Table4[[#This Row],[issue_date]])</f>
        <v>2023</v>
      </c>
      <c r="F746" t="s">
        <v>19</v>
      </c>
      <c r="G746">
        <v>24</v>
      </c>
      <c r="H746" t="s">
        <v>20</v>
      </c>
      <c r="I746" t="str">
        <f>VLOOKUP(Table4[[#This Row],[customer_id]],customers!A:G,4,)</f>
        <v>hyderabad</v>
      </c>
    </row>
    <row r="747" spans="1:9" x14ac:dyDescent="0.3">
      <c r="A747">
        <v>20746</v>
      </c>
      <c r="B747">
        <v>172</v>
      </c>
      <c r="C747" s="2">
        <v>44902</v>
      </c>
      <c r="D747" s="2" t="str">
        <f>TEXT(Table4[[#This Row],[issue_date]],"mmmm")</f>
        <v>December</v>
      </c>
      <c r="E747" s="9">
        <f>YEAR(Table4[[#This Row],[issue_date]])</f>
        <v>2022</v>
      </c>
      <c r="F747" t="s">
        <v>22</v>
      </c>
      <c r="G747">
        <v>63</v>
      </c>
      <c r="H747" t="s">
        <v>20</v>
      </c>
      <c r="I747" t="str">
        <f>VLOOKUP(Table4[[#This Row],[customer_id]],customers!A:G,4,)</f>
        <v>chennai</v>
      </c>
    </row>
    <row r="748" spans="1:9" x14ac:dyDescent="0.3">
      <c r="A748">
        <v>20747</v>
      </c>
      <c r="B748">
        <v>6</v>
      </c>
      <c r="C748" s="2">
        <v>45165</v>
      </c>
      <c r="D748" s="2" t="str">
        <f>TEXT(Table4[[#This Row],[issue_date]],"mmmm")</f>
        <v>August</v>
      </c>
      <c r="E748" s="9">
        <f>YEAR(Table4[[#This Row],[issue_date]])</f>
        <v>2023</v>
      </c>
      <c r="F748" t="s">
        <v>19</v>
      </c>
      <c r="G748">
        <v>41</v>
      </c>
      <c r="H748" t="s">
        <v>20</v>
      </c>
      <c r="I748" t="str">
        <f>VLOOKUP(Table4[[#This Row],[customer_id]],customers!A:G,4,)</f>
        <v>bangalore</v>
      </c>
    </row>
    <row r="749" spans="1:9" x14ac:dyDescent="0.3">
      <c r="A749">
        <v>20748</v>
      </c>
      <c r="B749">
        <v>440</v>
      </c>
      <c r="C749" s="2">
        <v>45344</v>
      </c>
      <c r="D749" s="2" t="str">
        <f>TEXT(Table4[[#This Row],[issue_date]],"mmmm")</f>
        <v>February</v>
      </c>
      <c r="E749" s="9">
        <f>YEAR(Table4[[#This Row],[issue_date]])</f>
        <v>2024</v>
      </c>
      <c r="F749" t="s">
        <v>19</v>
      </c>
      <c r="G749">
        <v>2</v>
      </c>
      <c r="H749" t="s">
        <v>20</v>
      </c>
      <c r="I749" t="str">
        <f>VLOOKUP(Table4[[#This Row],[customer_id]],customers!A:G,4,)</f>
        <v>mumbai</v>
      </c>
    </row>
    <row r="750" spans="1:9" x14ac:dyDescent="0.3">
      <c r="A750">
        <v>20749</v>
      </c>
      <c r="B750">
        <v>285</v>
      </c>
      <c r="C750" s="2">
        <v>45295</v>
      </c>
      <c r="D750" s="2" t="str">
        <f>TEXT(Table4[[#This Row],[issue_date]],"mmmm")</f>
        <v>January</v>
      </c>
      <c r="E750" s="9">
        <f>YEAR(Table4[[#This Row],[issue_date]])</f>
        <v>2024</v>
      </c>
      <c r="F750" t="s">
        <v>21</v>
      </c>
      <c r="G750">
        <v>28</v>
      </c>
      <c r="H750" t="s">
        <v>20</v>
      </c>
      <c r="I750" t="str">
        <f>VLOOKUP(Table4[[#This Row],[customer_id]],customers!A:G,4,)</f>
        <v>hyderabad</v>
      </c>
    </row>
    <row r="751" spans="1:9" x14ac:dyDescent="0.3">
      <c r="A751">
        <v>20750</v>
      </c>
      <c r="B751">
        <v>225</v>
      </c>
      <c r="C751" s="2">
        <v>45034</v>
      </c>
      <c r="D751" s="2" t="str">
        <f>TEXT(Table4[[#This Row],[issue_date]],"mmmm")</f>
        <v>April</v>
      </c>
      <c r="E751" s="9">
        <f>YEAR(Table4[[#This Row],[issue_date]])</f>
        <v>2023</v>
      </c>
      <c r="F751" t="s">
        <v>22</v>
      </c>
      <c r="G751">
        <v>16</v>
      </c>
      <c r="H751" t="s">
        <v>20</v>
      </c>
      <c r="I751" t="str">
        <f>VLOOKUP(Table4[[#This Row],[customer_id]],customers!A:G,4,)</f>
        <v>hyderabad</v>
      </c>
    </row>
    <row r="752" spans="1:9" x14ac:dyDescent="0.3">
      <c r="A752">
        <v>20751</v>
      </c>
      <c r="B752">
        <v>53</v>
      </c>
      <c r="C752" s="2">
        <v>45380</v>
      </c>
      <c r="D752" s="2" t="str">
        <f>TEXT(Table4[[#This Row],[issue_date]],"mmmm")</f>
        <v>March</v>
      </c>
      <c r="E752" s="9">
        <f>YEAR(Table4[[#This Row],[issue_date]])</f>
        <v>2024</v>
      </c>
      <c r="F752" t="s">
        <v>21</v>
      </c>
      <c r="G752">
        <v>59</v>
      </c>
      <c r="H752" t="s">
        <v>20</v>
      </c>
      <c r="I752" t="str">
        <f>VLOOKUP(Table4[[#This Row],[customer_id]],customers!A:G,4,)</f>
        <v>mumbai</v>
      </c>
    </row>
    <row r="753" spans="1:9" x14ac:dyDescent="0.3">
      <c r="A753">
        <v>20752</v>
      </c>
      <c r="B753">
        <v>257</v>
      </c>
      <c r="C753" s="2">
        <v>45383</v>
      </c>
      <c r="D753" s="2" t="str">
        <f>TEXT(Table4[[#This Row],[issue_date]],"mmmm")</f>
        <v>April</v>
      </c>
      <c r="E753" s="9">
        <f>YEAR(Table4[[#This Row],[issue_date]])</f>
        <v>2024</v>
      </c>
      <c r="F753" t="s">
        <v>19</v>
      </c>
      <c r="G753">
        <v>1</v>
      </c>
      <c r="H753" t="s">
        <v>23</v>
      </c>
      <c r="I753" t="str">
        <f>VLOOKUP(Table4[[#This Row],[customer_id]],customers!A:G,4,)</f>
        <v>kolkata</v>
      </c>
    </row>
    <row r="754" spans="1:9" x14ac:dyDescent="0.3">
      <c r="A754">
        <v>20753</v>
      </c>
      <c r="B754">
        <v>495</v>
      </c>
      <c r="C754" s="2">
        <v>44669</v>
      </c>
      <c r="D754" s="2" t="str">
        <f>TEXT(Table4[[#This Row],[issue_date]],"mmmm")</f>
        <v>April</v>
      </c>
      <c r="E754" s="9">
        <f>YEAR(Table4[[#This Row],[issue_date]])</f>
        <v>2022</v>
      </c>
      <c r="F754" t="s">
        <v>22</v>
      </c>
      <c r="G754">
        <v>1</v>
      </c>
      <c r="H754" t="s">
        <v>20</v>
      </c>
      <c r="I754" t="str">
        <f>VLOOKUP(Table4[[#This Row],[customer_id]],customers!A:G,4,)</f>
        <v>mumbai</v>
      </c>
    </row>
    <row r="755" spans="1:9" x14ac:dyDescent="0.3">
      <c r="A755">
        <v>20754</v>
      </c>
      <c r="B755">
        <v>59</v>
      </c>
      <c r="C755" s="2">
        <v>44892</v>
      </c>
      <c r="D755" s="2" t="str">
        <f>TEXT(Table4[[#This Row],[issue_date]],"mmmm")</f>
        <v>November</v>
      </c>
      <c r="E755" s="9">
        <f>YEAR(Table4[[#This Row],[issue_date]])</f>
        <v>2022</v>
      </c>
      <c r="F755" t="s">
        <v>22</v>
      </c>
      <c r="G755">
        <v>31</v>
      </c>
      <c r="H755" t="s">
        <v>20</v>
      </c>
      <c r="I755" t="str">
        <f>VLOOKUP(Table4[[#This Row],[customer_id]],customers!A:G,4,)</f>
        <v>bangalore</v>
      </c>
    </row>
    <row r="756" spans="1:9" x14ac:dyDescent="0.3">
      <c r="A756">
        <v>20755</v>
      </c>
      <c r="B756">
        <v>432</v>
      </c>
      <c r="C756" s="2">
        <v>45101</v>
      </c>
      <c r="D756" s="2" t="str">
        <f>TEXT(Table4[[#This Row],[issue_date]],"mmmm")</f>
        <v>June</v>
      </c>
      <c r="E756" s="9">
        <f>YEAR(Table4[[#This Row],[issue_date]])</f>
        <v>2023</v>
      </c>
      <c r="F756" t="s">
        <v>21</v>
      </c>
      <c r="G756">
        <v>22</v>
      </c>
      <c r="H756" t="s">
        <v>23</v>
      </c>
      <c r="I756" t="str">
        <f>VLOOKUP(Table4[[#This Row],[customer_id]],customers!A:G,4,)</f>
        <v>mumbai</v>
      </c>
    </row>
    <row r="757" spans="1:9" x14ac:dyDescent="0.3">
      <c r="A757">
        <v>20756</v>
      </c>
      <c r="B757">
        <v>246</v>
      </c>
      <c r="C757" s="2">
        <v>45000</v>
      </c>
      <c r="D757" s="2" t="str">
        <f>TEXT(Table4[[#This Row],[issue_date]],"mmmm")</f>
        <v>March</v>
      </c>
      <c r="E757" s="9">
        <f>YEAR(Table4[[#This Row],[issue_date]])</f>
        <v>2023</v>
      </c>
      <c r="F757" t="s">
        <v>21</v>
      </c>
      <c r="G757">
        <v>59</v>
      </c>
      <c r="H757" t="s">
        <v>20</v>
      </c>
      <c r="I757" t="str">
        <f>VLOOKUP(Table4[[#This Row],[customer_id]],customers!A:G,4,)</f>
        <v>bangalore</v>
      </c>
    </row>
    <row r="758" spans="1:9" x14ac:dyDescent="0.3">
      <c r="A758">
        <v>20757</v>
      </c>
      <c r="B758">
        <v>7</v>
      </c>
      <c r="C758" s="2">
        <v>45270</v>
      </c>
      <c r="D758" s="2" t="str">
        <f>TEXT(Table4[[#This Row],[issue_date]],"mmmm")</f>
        <v>December</v>
      </c>
      <c r="E758" s="9">
        <f>YEAR(Table4[[#This Row],[issue_date]])</f>
        <v>2023</v>
      </c>
      <c r="F758" t="s">
        <v>22</v>
      </c>
      <c r="G758">
        <v>28</v>
      </c>
      <c r="H758" t="s">
        <v>20</v>
      </c>
      <c r="I758" t="str">
        <f>VLOOKUP(Table4[[#This Row],[customer_id]],customers!A:G,4,)</f>
        <v>bangalore</v>
      </c>
    </row>
    <row r="759" spans="1:9" x14ac:dyDescent="0.3">
      <c r="A759">
        <v>20758</v>
      </c>
      <c r="B759">
        <v>214</v>
      </c>
      <c r="C759" s="2">
        <v>45273</v>
      </c>
      <c r="D759" s="2" t="str">
        <f>TEXT(Table4[[#This Row],[issue_date]],"mmmm")</f>
        <v>December</v>
      </c>
      <c r="E759" s="9">
        <f>YEAR(Table4[[#This Row],[issue_date]])</f>
        <v>2023</v>
      </c>
      <c r="F759" t="s">
        <v>22</v>
      </c>
      <c r="G759">
        <v>27</v>
      </c>
      <c r="H759" t="s">
        <v>20</v>
      </c>
      <c r="I759" t="str">
        <f>VLOOKUP(Table4[[#This Row],[customer_id]],customers!A:G,4,)</f>
        <v>chennai</v>
      </c>
    </row>
    <row r="760" spans="1:9" x14ac:dyDescent="0.3">
      <c r="A760">
        <v>20759</v>
      </c>
      <c r="B760">
        <v>416</v>
      </c>
      <c r="C760" s="2">
        <v>45227</v>
      </c>
      <c r="D760" s="2" t="str">
        <f>TEXT(Table4[[#This Row],[issue_date]],"mmmm")</f>
        <v>October</v>
      </c>
      <c r="E760" s="9">
        <f>YEAR(Table4[[#This Row],[issue_date]])</f>
        <v>2023</v>
      </c>
      <c r="F760" t="s">
        <v>21</v>
      </c>
      <c r="G760">
        <v>1</v>
      </c>
      <c r="H760" t="s">
        <v>20</v>
      </c>
      <c r="I760" t="str">
        <f>VLOOKUP(Table4[[#This Row],[customer_id]],customers!A:G,4,)</f>
        <v>bangalore</v>
      </c>
    </row>
    <row r="761" spans="1:9" x14ac:dyDescent="0.3">
      <c r="A761">
        <v>20760</v>
      </c>
      <c r="B761">
        <v>78</v>
      </c>
      <c r="C761" s="2">
        <v>44945</v>
      </c>
      <c r="D761" s="2" t="str">
        <f>TEXT(Table4[[#This Row],[issue_date]],"mmmm")</f>
        <v>January</v>
      </c>
      <c r="E761" s="9">
        <f>YEAR(Table4[[#This Row],[issue_date]])</f>
        <v>2023</v>
      </c>
      <c r="F761" t="s">
        <v>19</v>
      </c>
      <c r="G761">
        <v>2</v>
      </c>
      <c r="H761" t="s">
        <v>20</v>
      </c>
      <c r="I761" t="str">
        <f>VLOOKUP(Table4[[#This Row],[customer_id]],customers!A:G,4,)</f>
        <v>kolkata</v>
      </c>
    </row>
    <row r="762" spans="1:9" x14ac:dyDescent="0.3">
      <c r="A762">
        <v>20761</v>
      </c>
      <c r="B762">
        <v>189</v>
      </c>
      <c r="C762" s="2">
        <v>45143</v>
      </c>
      <c r="D762" s="2" t="str">
        <f>TEXT(Table4[[#This Row],[issue_date]],"mmmm")</f>
        <v>August</v>
      </c>
      <c r="E762" s="9">
        <f>YEAR(Table4[[#This Row],[issue_date]])</f>
        <v>2023</v>
      </c>
      <c r="F762" t="s">
        <v>22</v>
      </c>
      <c r="G762">
        <v>66</v>
      </c>
      <c r="H762" t="s">
        <v>20</v>
      </c>
      <c r="I762" t="str">
        <f>VLOOKUP(Table4[[#This Row],[customer_id]],customers!A:G,4,)</f>
        <v>delhi</v>
      </c>
    </row>
    <row r="763" spans="1:9" x14ac:dyDescent="0.3">
      <c r="A763">
        <v>20762</v>
      </c>
      <c r="B763">
        <v>441</v>
      </c>
      <c r="C763" s="2">
        <v>44721</v>
      </c>
      <c r="D763" s="2" t="str">
        <f>TEXT(Table4[[#This Row],[issue_date]],"mmmm")</f>
        <v>June</v>
      </c>
      <c r="E763" s="9">
        <f>YEAR(Table4[[#This Row],[issue_date]])</f>
        <v>2022</v>
      </c>
      <c r="F763" t="s">
        <v>19</v>
      </c>
      <c r="G763">
        <v>49</v>
      </c>
      <c r="H763" t="s">
        <v>20</v>
      </c>
      <c r="I763" t="str">
        <f>VLOOKUP(Table4[[#This Row],[customer_id]],customers!A:G,4,)</f>
        <v>kolkata</v>
      </c>
    </row>
    <row r="764" spans="1:9" x14ac:dyDescent="0.3">
      <c r="A764">
        <v>20763</v>
      </c>
      <c r="B764">
        <v>307</v>
      </c>
      <c r="C764" s="2">
        <v>44993</v>
      </c>
      <c r="D764" s="2" t="str">
        <f>TEXT(Table4[[#This Row],[issue_date]],"mmmm")</f>
        <v>March</v>
      </c>
      <c r="E764" s="9">
        <f>YEAR(Table4[[#This Row],[issue_date]])</f>
        <v>2023</v>
      </c>
      <c r="F764" t="s">
        <v>21</v>
      </c>
      <c r="G764">
        <v>19</v>
      </c>
      <c r="H764" t="s">
        <v>20</v>
      </c>
      <c r="I764" t="str">
        <f>VLOOKUP(Table4[[#This Row],[customer_id]],customers!A:G,4,)</f>
        <v>delhi</v>
      </c>
    </row>
    <row r="765" spans="1:9" x14ac:dyDescent="0.3">
      <c r="A765">
        <v>20764</v>
      </c>
      <c r="B765">
        <v>216</v>
      </c>
      <c r="C765" s="2">
        <v>45425</v>
      </c>
      <c r="D765" s="2" t="str">
        <f>TEXT(Table4[[#This Row],[issue_date]],"mmmm")</f>
        <v>May</v>
      </c>
      <c r="E765" s="9">
        <f>YEAR(Table4[[#This Row],[issue_date]])</f>
        <v>2024</v>
      </c>
      <c r="F765" t="s">
        <v>22</v>
      </c>
      <c r="G765">
        <v>28</v>
      </c>
      <c r="H765" t="s">
        <v>20</v>
      </c>
      <c r="I765" t="str">
        <f>VLOOKUP(Table4[[#This Row],[customer_id]],customers!A:G,4,)</f>
        <v>chennai</v>
      </c>
    </row>
    <row r="766" spans="1:9" x14ac:dyDescent="0.3">
      <c r="A766">
        <v>20765</v>
      </c>
      <c r="B766">
        <v>403</v>
      </c>
      <c r="C766" s="2">
        <v>44957</v>
      </c>
      <c r="D766" s="2" t="str">
        <f>TEXT(Table4[[#This Row],[issue_date]],"mmmm")</f>
        <v>January</v>
      </c>
      <c r="E766" s="9">
        <f>YEAR(Table4[[#This Row],[issue_date]])</f>
        <v>2023</v>
      </c>
      <c r="F766" t="s">
        <v>21</v>
      </c>
      <c r="G766">
        <v>70</v>
      </c>
      <c r="H766" t="s">
        <v>20</v>
      </c>
      <c r="I766" t="str">
        <f>VLOOKUP(Table4[[#This Row],[customer_id]],customers!A:G,4,)</f>
        <v>delhi</v>
      </c>
    </row>
    <row r="767" spans="1:9" x14ac:dyDescent="0.3">
      <c r="A767">
        <v>20766</v>
      </c>
      <c r="B767">
        <v>283</v>
      </c>
      <c r="C767" s="2">
        <v>45176</v>
      </c>
      <c r="D767" s="2" t="str">
        <f>TEXT(Table4[[#This Row],[issue_date]],"mmmm")</f>
        <v>September</v>
      </c>
      <c r="E767" s="9">
        <f>YEAR(Table4[[#This Row],[issue_date]])</f>
        <v>2023</v>
      </c>
      <c r="F767" t="s">
        <v>22</v>
      </c>
      <c r="G767">
        <v>39</v>
      </c>
      <c r="H767" t="s">
        <v>20</v>
      </c>
      <c r="I767" t="str">
        <f>VLOOKUP(Table4[[#This Row],[customer_id]],customers!A:G,4,)</f>
        <v>hyderabad</v>
      </c>
    </row>
    <row r="768" spans="1:9" x14ac:dyDescent="0.3">
      <c r="A768">
        <v>20767</v>
      </c>
      <c r="B768">
        <v>319</v>
      </c>
      <c r="C768" s="2">
        <v>45049</v>
      </c>
      <c r="D768" s="2" t="str">
        <f>TEXT(Table4[[#This Row],[issue_date]],"mmmm")</f>
        <v>May</v>
      </c>
      <c r="E768" s="9">
        <f>YEAR(Table4[[#This Row],[issue_date]])</f>
        <v>2023</v>
      </c>
      <c r="F768" t="s">
        <v>22</v>
      </c>
      <c r="G768">
        <v>19</v>
      </c>
      <c r="H768" t="s">
        <v>20</v>
      </c>
      <c r="I768" t="str">
        <f>VLOOKUP(Table4[[#This Row],[customer_id]],customers!A:G,4,)</f>
        <v>chennai</v>
      </c>
    </row>
    <row r="769" spans="1:9" x14ac:dyDescent="0.3">
      <c r="A769">
        <v>20768</v>
      </c>
      <c r="B769">
        <v>444</v>
      </c>
      <c r="C769" s="2">
        <v>45309</v>
      </c>
      <c r="D769" s="2" t="str">
        <f>TEXT(Table4[[#This Row],[issue_date]],"mmmm")</f>
        <v>January</v>
      </c>
      <c r="E769" s="9">
        <f>YEAR(Table4[[#This Row],[issue_date]])</f>
        <v>2024</v>
      </c>
      <c r="F769" t="s">
        <v>21</v>
      </c>
      <c r="G769">
        <v>64</v>
      </c>
      <c r="H769" t="s">
        <v>20</v>
      </c>
      <c r="I769" t="str">
        <f>VLOOKUP(Table4[[#This Row],[customer_id]],customers!A:G,4,)</f>
        <v>chennai</v>
      </c>
    </row>
    <row r="770" spans="1:9" x14ac:dyDescent="0.3">
      <c r="A770">
        <v>20769</v>
      </c>
      <c r="B770">
        <v>61</v>
      </c>
      <c r="C770" s="2">
        <v>44750</v>
      </c>
      <c r="D770" s="2" t="str">
        <f>TEXT(Table4[[#This Row],[issue_date]],"mmmm")</f>
        <v>July</v>
      </c>
      <c r="E770" s="9">
        <f>YEAR(Table4[[#This Row],[issue_date]])</f>
        <v>2022</v>
      </c>
      <c r="F770" t="s">
        <v>21</v>
      </c>
      <c r="G770">
        <v>58</v>
      </c>
      <c r="H770" t="s">
        <v>20</v>
      </c>
      <c r="I770" t="str">
        <f>VLOOKUP(Table4[[#This Row],[customer_id]],customers!A:G,4,)</f>
        <v>hyderabad</v>
      </c>
    </row>
    <row r="771" spans="1:9" x14ac:dyDescent="0.3">
      <c r="A771">
        <v>20770</v>
      </c>
      <c r="B771">
        <v>61</v>
      </c>
      <c r="C771" s="2">
        <v>44979</v>
      </c>
      <c r="D771" s="2" t="str">
        <f>TEXT(Table4[[#This Row],[issue_date]],"mmmm")</f>
        <v>February</v>
      </c>
      <c r="E771" s="9">
        <f>YEAR(Table4[[#This Row],[issue_date]])</f>
        <v>2023</v>
      </c>
      <c r="F771" t="s">
        <v>19</v>
      </c>
      <c r="G771">
        <v>17</v>
      </c>
      <c r="H771" t="s">
        <v>20</v>
      </c>
      <c r="I771" t="str">
        <f>VLOOKUP(Table4[[#This Row],[customer_id]],customers!A:G,4,)</f>
        <v>hyderabad</v>
      </c>
    </row>
    <row r="772" spans="1:9" x14ac:dyDescent="0.3">
      <c r="A772">
        <v>20771</v>
      </c>
      <c r="B772">
        <v>215</v>
      </c>
      <c r="C772" s="2">
        <v>44904</v>
      </c>
      <c r="D772" s="2" t="str">
        <f>TEXT(Table4[[#This Row],[issue_date]],"mmmm")</f>
        <v>December</v>
      </c>
      <c r="E772" s="9">
        <f>YEAR(Table4[[#This Row],[issue_date]])</f>
        <v>2022</v>
      </c>
      <c r="F772" t="s">
        <v>21</v>
      </c>
      <c r="G772">
        <v>70</v>
      </c>
      <c r="H772" t="s">
        <v>23</v>
      </c>
      <c r="I772" t="str">
        <f>VLOOKUP(Table4[[#This Row],[customer_id]],customers!A:G,4,)</f>
        <v>bangalore</v>
      </c>
    </row>
    <row r="773" spans="1:9" x14ac:dyDescent="0.3">
      <c r="A773">
        <v>20772</v>
      </c>
      <c r="B773">
        <v>382</v>
      </c>
      <c r="C773" s="2">
        <v>44922</v>
      </c>
      <c r="D773" s="2" t="str">
        <f>TEXT(Table4[[#This Row],[issue_date]],"mmmm")</f>
        <v>December</v>
      </c>
      <c r="E773" s="9">
        <f>YEAR(Table4[[#This Row],[issue_date]])</f>
        <v>2022</v>
      </c>
      <c r="F773" t="s">
        <v>21</v>
      </c>
      <c r="G773">
        <v>41</v>
      </c>
      <c r="H773" t="s">
        <v>20</v>
      </c>
      <c r="I773" t="str">
        <f>VLOOKUP(Table4[[#This Row],[customer_id]],customers!A:G,4,)</f>
        <v>delhi</v>
      </c>
    </row>
    <row r="774" spans="1:9" x14ac:dyDescent="0.3">
      <c r="A774">
        <v>20773</v>
      </c>
      <c r="B774">
        <v>45</v>
      </c>
      <c r="C774" s="2">
        <v>44670</v>
      </c>
      <c r="D774" s="2" t="str">
        <f>TEXT(Table4[[#This Row],[issue_date]],"mmmm")</f>
        <v>April</v>
      </c>
      <c r="E774" s="9">
        <f>YEAR(Table4[[#This Row],[issue_date]])</f>
        <v>2022</v>
      </c>
      <c r="F774" t="s">
        <v>19</v>
      </c>
      <c r="G774">
        <v>5</v>
      </c>
      <c r="H774" t="s">
        <v>23</v>
      </c>
      <c r="I774" t="str">
        <f>VLOOKUP(Table4[[#This Row],[customer_id]],customers!A:G,4,)</f>
        <v>bangalore</v>
      </c>
    </row>
    <row r="775" spans="1:9" x14ac:dyDescent="0.3">
      <c r="A775">
        <v>20774</v>
      </c>
      <c r="B775">
        <v>405</v>
      </c>
      <c r="C775" s="2">
        <v>45410</v>
      </c>
      <c r="D775" s="2" t="str">
        <f>TEXT(Table4[[#This Row],[issue_date]],"mmmm")</f>
        <v>April</v>
      </c>
      <c r="E775" s="9">
        <f>YEAR(Table4[[#This Row],[issue_date]])</f>
        <v>2024</v>
      </c>
      <c r="F775" t="s">
        <v>21</v>
      </c>
      <c r="G775">
        <v>23</v>
      </c>
      <c r="H775" t="s">
        <v>20</v>
      </c>
      <c r="I775" t="str">
        <f>VLOOKUP(Table4[[#This Row],[customer_id]],customers!A:G,4,)</f>
        <v>chennai</v>
      </c>
    </row>
    <row r="776" spans="1:9" x14ac:dyDescent="0.3">
      <c r="A776">
        <v>20775</v>
      </c>
      <c r="B776">
        <v>172</v>
      </c>
      <c r="C776" s="2">
        <v>44862</v>
      </c>
      <c r="D776" s="2" t="str">
        <f>TEXT(Table4[[#This Row],[issue_date]],"mmmm")</f>
        <v>October</v>
      </c>
      <c r="E776" s="9">
        <f>YEAR(Table4[[#This Row],[issue_date]])</f>
        <v>2022</v>
      </c>
      <c r="F776" t="s">
        <v>19</v>
      </c>
      <c r="G776">
        <v>69</v>
      </c>
      <c r="H776" t="s">
        <v>20</v>
      </c>
      <c r="I776" t="str">
        <f>VLOOKUP(Table4[[#This Row],[customer_id]],customers!A:G,4,)</f>
        <v>chennai</v>
      </c>
    </row>
    <row r="777" spans="1:9" x14ac:dyDescent="0.3">
      <c r="A777">
        <v>20776</v>
      </c>
      <c r="B777">
        <v>221</v>
      </c>
      <c r="C777" s="2">
        <v>44929</v>
      </c>
      <c r="D777" s="2" t="str">
        <f>TEXT(Table4[[#This Row],[issue_date]],"mmmm")</f>
        <v>January</v>
      </c>
      <c r="E777" s="9">
        <f>YEAR(Table4[[#This Row],[issue_date]])</f>
        <v>2023</v>
      </c>
      <c r="F777" t="s">
        <v>19</v>
      </c>
      <c r="G777">
        <v>10</v>
      </c>
      <c r="H777" t="s">
        <v>20</v>
      </c>
      <c r="I777" t="str">
        <f>VLOOKUP(Table4[[#This Row],[customer_id]],customers!A:G,4,)</f>
        <v>bangalore</v>
      </c>
    </row>
    <row r="778" spans="1:9" x14ac:dyDescent="0.3">
      <c r="A778">
        <v>20777</v>
      </c>
      <c r="B778">
        <v>385</v>
      </c>
      <c r="C778" s="2">
        <v>44816</v>
      </c>
      <c r="D778" s="2" t="str">
        <f>TEXT(Table4[[#This Row],[issue_date]],"mmmm")</f>
        <v>September</v>
      </c>
      <c r="E778" s="9">
        <f>YEAR(Table4[[#This Row],[issue_date]])</f>
        <v>2022</v>
      </c>
      <c r="F778" t="s">
        <v>21</v>
      </c>
      <c r="G778">
        <v>68</v>
      </c>
      <c r="H778" t="s">
        <v>20</v>
      </c>
      <c r="I778" t="str">
        <f>VLOOKUP(Table4[[#This Row],[customer_id]],customers!A:G,4,)</f>
        <v>hyderabad</v>
      </c>
    </row>
    <row r="779" spans="1:9" x14ac:dyDescent="0.3">
      <c r="A779">
        <v>20778</v>
      </c>
      <c r="B779">
        <v>95</v>
      </c>
      <c r="C779" s="2">
        <v>44877</v>
      </c>
      <c r="D779" s="2" t="str">
        <f>TEXT(Table4[[#This Row],[issue_date]],"mmmm")</f>
        <v>November</v>
      </c>
      <c r="E779" s="9">
        <f>YEAR(Table4[[#This Row],[issue_date]])</f>
        <v>2022</v>
      </c>
      <c r="F779" t="s">
        <v>19</v>
      </c>
      <c r="G779">
        <v>12</v>
      </c>
      <c r="H779" t="s">
        <v>20</v>
      </c>
      <c r="I779" t="str">
        <f>VLOOKUP(Table4[[#This Row],[customer_id]],customers!A:G,4,)</f>
        <v>mumbai</v>
      </c>
    </row>
    <row r="780" spans="1:9" x14ac:dyDescent="0.3">
      <c r="A780">
        <v>20779</v>
      </c>
      <c r="B780">
        <v>347</v>
      </c>
      <c r="C780" s="2">
        <v>45266</v>
      </c>
      <c r="D780" s="2" t="str">
        <f>TEXT(Table4[[#This Row],[issue_date]],"mmmm")</f>
        <v>December</v>
      </c>
      <c r="E780" s="9">
        <f>YEAR(Table4[[#This Row],[issue_date]])</f>
        <v>2023</v>
      </c>
      <c r="F780" t="s">
        <v>19</v>
      </c>
      <c r="G780">
        <v>10</v>
      </c>
      <c r="H780" t="s">
        <v>20</v>
      </c>
      <c r="I780" t="str">
        <f>VLOOKUP(Table4[[#This Row],[customer_id]],customers!A:G,4,)</f>
        <v>mumbai</v>
      </c>
    </row>
    <row r="781" spans="1:9" x14ac:dyDescent="0.3">
      <c r="A781">
        <v>20780</v>
      </c>
      <c r="B781">
        <v>44</v>
      </c>
      <c r="C781" s="2">
        <v>44632</v>
      </c>
      <c r="D781" s="2" t="str">
        <f>TEXT(Table4[[#This Row],[issue_date]],"mmmm")</f>
        <v>March</v>
      </c>
      <c r="E781" s="9">
        <f>YEAR(Table4[[#This Row],[issue_date]])</f>
        <v>2022</v>
      </c>
      <c r="F781" t="s">
        <v>19</v>
      </c>
      <c r="G781">
        <v>60</v>
      </c>
      <c r="H781" t="s">
        <v>20</v>
      </c>
      <c r="I781" t="str">
        <f>VLOOKUP(Table4[[#This Row],[customer_id]],customers!A:G,4,)</f>
        <v>mumbai</v>
      </c>
    </row>
    <row r="782" spans="1:9" x14ac:dyDescent="0.3">
      <c r="A782">
        <v>20781</v>
      </c>
      <c r="B782">
        <v>228</v>
      </c>
      <c r="C782" s="2">
        <v>44830</v>
      </c>
      <c r="D782" s="2" t="str">
        <f>TEXT(Table4[[#This Row],[issue_date]],"mmmm")</f>
        <v>September</v>
      </c>
      <c r="E782" s="9">
        <f>YEAR(Table4[[#This Row],[issue_date]])</f>
        <v>2022</v>
      </c>
      <c r="F782" t="s">
        <v>21</v>
      </c>
      <c r="G782">
        <v>30</v>
      </c>
      <c r="H782" t="s">
        <v>20</v>
      </c>
      <c r="I782" t="str">
        <f>VLOOKUP(Table4[[#This Row],[customer_id]],customers!A:G,4,)</f>
        <v>hyderabad</v>
      </c>
    </row>
    <row r="783" spans="1:9" x14ac:dyDescent="0.3">
      <c r="A783">
        <v>20782</v>
      </c>
      <c r="B783">
        <v>62</v>
      </c>
      <c r="C783" s="2">
        <v>45407</v>
      </c>
      <c r="D783" s="2" t="str">
        <f>TEXT(Table4[[#This Row],[issue_date]],"mmmm")</f>
        <v>April</v>
      </c>
      <c r="E783" s="9">
        <f>YEAR(Table4[[#This Row],[issue_date]])</f>
        <v>2024</v>
      </c>
      <c r="F783" t="s">
        <v>21</v>
      </c>
      <c r="G783">
        <v>24</v>
      </c>
      <c r="H783" t="s">
        <v>20</v>
      </c>
      <c r="I783" t="str">
        <f>VLOOKUP(Table4[[#This Row],[customer_id]],customers!A:G,4,)</f>
        <v>delhi</v>
      </c>
    </row>
    <row r="784" spans="1:9" x14ac:dyDescent="0.3">
      <c r="A784">
        <v>20783</v>
      </c>
      <c r="B784">
        <v>317</v>
      </c>
      <c r="C784" s="2">
        <v>45062</v>
      </c>
      <c r="D784" s="2" t="str">
        <f>TEXT(Table4[[#This Row],[issue_date]],"mmmm")</f>
        <v>May</v>
      </c>
      <c r="E784" s="9">
        <f>YEAR(Table4[[#This Row],[issue_date]])</f>
        <v>2023</v>
      </c>
      <c r="F784" t="s">
        <v>19</v>
      </c>
      <c r="G784">
        <v>69</v>
      </c>
      <c r="H784" t="s">
        <v>23</v>
      </c>
      <c r="I784" t="str">
        <f>VLOOKUP(Table4[[#This Row],[customer_id]],customers!A:G,4,)</f>
        <v>delhi</v>
      </c>
    </row>
    <row r="785" spans="1:9" x14ac:dyDescent="0.3">
      <c r="A785">
        <v>20784</v>
      </c>
      <c r="B785">
        <v>219</v>
      </c>
      <c r="C785" s="2">
        <v>44770</v>
      </c>
      <c r="D785" s="2" t="str">
        <f>TEXT(Table4[[#This Row],[issue_date]],"mmmm")</f>
        <v>July</v>
      </c>
      <c r="E785" s="9">
        <f>YEAR(Table4[[#This Row],[issue_date]])</f>
        <v>2022</v>
      </c>
      <c r="F785" t="s">
        <v>21</v>
      </c>
      <c r="G785">
        <v>13</v>
      </c>
      <c r="H785" t="s">
        <v>20</v>
      </c>
      <c r="I785" t="str">
        <f>VLOOKUP(Table4[[#This Row],[customer_id]],customers!A:G,4,)</f>
        <v>bangalore</v>
      </c>
    </row>
    <row r="786" spans="1:9" x14ac:dyDescent="0.3">
      <c r="A786">
        <v>20785</v>
      </c>
      <c r="B786">
        <v>335</v>
      </c>
      <c r="C786" s="2">
        <v>45039</v>
      </c>
      <c r="D786" s="2" t="str">
        <f>TEXT(Table4[[#This Row],[issue_date]],"mmmm")</f>
        <v>April</v>
      </c>
      <c r="E786" s="9">
        <f>YEAR(Table4[[#This Row],[issue_date]])</f>
        <v>2023</v>
      </c>
      <c r="F786" t="s">
        <v>22</v>
      </c>
      <c r="G786">
        <v>9</v>
      </c>
      <c r="H786" t="s">
        <v>20</v>
      </c>
      <c r="I786" t="str">
        <f>VLOOKUP(Table4[[#This Row],[customer_id]],customers!A:G,4,)</f>
        <v>kolkata</v>
      </c>
    </row>
    <row r="787" spans="1:9" x14ac:dyDescent="0.3">
      <c r="A787">
        <v>20786</v>
      </c>
      <c r="B787">
        <v>89</v>
      </c>
      <c r="C787" s="2">
        <v>44737</v>
      </c>
      <c r="D787" s="2" t="str">
        <f>TEXT(Table4[[#This Row],[issue_date]],"mmmm")</f>
        <v>June</v>
      </c>
      <c r="E787" s="9">
        <f>YEAR(Table4[[#This Row],[issue_date]])</f>
        <v>2022</v>
      </c>
      <c r="F787" t="s">
        <v>19</v>
      </c>
      <c r="G787">
        <v>18</v>
      </c>
      <c r="H787" t="s">
        <v>20</v>
      </c>
      <c r="I787" t="str">
        <f>VLOOKUP(Table4[[#This Row],[customer_id]],customers!A:G,4,)</f>
        <v>delhi</v>
      </c>
    </row>
    <row r="788" spans="1:9" x14ac:dyDescent="0.3">
      <c r="A788">
        <v>20787</v>
      </c>
      <c r="B788">
        <v>112</v>
      </c>
      <c r="C788" s="2">
        <v>44800</v>
      </c>
      <c r="D788" s="2" t="str">
        <f>TEXT(Table4[[#This Row],[issue_date]],"mmmm")</f>
        <v>August</v>
      </c>
      <c r="E788" s="9">
        <f>YEAR(Table4[[#This Row],[issue_date]])</f>
        <v>2022</v>
      </c>
      <c r="F788" t="s">
        <v>22</v>
      </c>
      <c r="G788">
        <v>35</v>
      </c>
      <c r="H788" t="s">
        <v>20</v>
      </c>
      <c r="I788" t="str">
        <f>VLOOKUP(Table4[[#This Row],[customer_id]],customers!A:G,4,)</f>
        <v>chennai</v>
      </c>
    </row>
    <row r="789" spans="1:9" x14ac:dyDescent="0.3">
      <c r="A789">
        <v>20788</v>
      </c>
      <c r="B789">
        <v>207</v>
      </c>
      <c r="C789" s="2">
        <v>45454</v>
      </c>
      <c r="D789" s="2" t="str">
        <f>TEXT(Table4[[#This Row],[issue_date]],"mmmm")</f>
        <v>June</v>
      </c>
      <c r="E789" s="9">
        <f>YEAR(Table4[[#This Row],[issue_date]])</f>
        <v>2024</v>
      </c>
      <c r="F789" t="s">
        <v>21</v>
      </c>
      <c r="G789">
        <v>4</v>
      </c>
      <c r="H789" t="s">
        <v>20</v>
      </c>
      <c r="I789" t="str">
        <f>VLOOKUP(Table4[[#This Row],[customer_id]],customers!A:G,4,)</f>
        <v>mumbai</v>
      </c>
    </row>
    <row r="790" spans="1:9" x14ac:dyDescent="0.3">
      <c r="A790">
        <v>20789</v>
      </c>
      <c r="B790">
        <v>488</v>
      </c>
      <c r="C790" s="2">
        <v>45171</v>
      </c>
      <c r="D790" s="2" t="str">
        <f>TEXT(Table4[[#This Row],[issue_date]],"mmmm")</f>
        <v>September</v>
      </c>
      <c r="E790" s="9">
        <f>YEAR(Table4[[#This Row],[issue_date]])</f>
        <v>2023</v>
      </c>
      <c r="F790" t="s">
        <v>22</v>
      </c>
      <c r="G790">
        <v>41</v>
      </c>
      <c r="H790" t="s">
        <v>20</v>
      </c>
      <c r="I790" t="str">
        <f>VLOOKUP(Table4[[#This Row],[customer_id]],customers!A:G,4,)</f>
        <v>hyderabad</v>
      </c>
    </row>
    <row r="791" spans="1:9" x14ac:dyDescent="0.3">
      <c r="A791">
        <v>20790</v>
      </c>
      <c r="B791">
        <v>467</v>
      </c>
      <c r="C791" s="2">
        <v>45420</v>
      </c>
      <c r="D791" s="2" t="str">
        <f>TEXT(Table4[[#This Row],[issue_date]],"mmmm")</f>
        <v>May</v>
      </c>
      <c r="E791" s="9">
        <f>YEAR(Table4[[#This Row],[issue_date]])</f>
        <v>2024</v>
      </c>
      <c r="F791" t="s">
        <v>21</v>
      </c>
      <c r="G791">
        <v>26</v>
      </c>
      <c r="H791" t="s">
        <v>20</v>
      </c>
      <c r="I791" t="str">
        <f>VLOOKUP(Table4[[#This Row],[customer_id]],customers!A:G,4,)</f>
        <v>hyderabad</v>
      </c>
    </row>
    <row r="792" spans="1:9" x14ac:dyDescent="0.3">
      <c r="A792">
        <v>20791</v>
      </c>
      <c r="B792">
        <v>367</v>
      </c>
      <c r="C792" s="2">
        <v>45003</v>
      </c>
      <c r="D792" s="2" t="str">
        <f>TEXT(Table4[[#This Row],[issue_date]],"mmmm")</f>
        <v>March</v>
      </c>
      <c r="E792" s="9">
        <f>YEAR(Table4[[#This Row],[issue_date]])</f>
        <v>2023</v>
      </c>
      <c r="F792" t="s">
        <v>21</v>
      </c>
      <c r="G792">
        <v>44</v>
      </c>
      <c r="H792" t="s">
        <v>23</v>
      </c>
      <c r="I792" t="str">
        <f>VLOOKUP(Table4[[#This Row],[customer_id]],customers!A:G,4,)</f>
        <v>kolkata</v>
      </c>
    </row>
    <row r="793" spans="1:9" x14ac:dyDescent="0.3">
      <c r="A793">
        <v>20792</v>
      </c>
      <c r="B793">
        <v>306</v>
      </c>
      <c r="C793" s="2">
        <v>45162</v>
      </c>
      <c r="D793" s="2" t="str">
        <f>TEXT(Table4[[#This Row],[issue_date]],"mmmm")</f>
        <v>August</v>
      </c>
      <c r="E793" s="9">
        <f>YEAR(Table4[[#This Row],[issue_date]])</f>
        <v>2023</v>
      </c>
      <c r="F793" t="s">
        <v>19</v>
      </c>
      <c r="G793">
        <v>42</v>
      </c>
      <c r="H793" t="s">
        <v>20</v>
      </c>
      <c r="I793" t="str">
        <f>VLOOKUP(Table4[[#This Row],[customer_id]],customers!A:G,4,)</f>
        <v>bangalore</v>
      </c>
    </row>
    <row r="794" spans="1:9" x14ac:dyDescent="0.3">
      <c r="A794">
        <v>20793</v>
      </c>
      <c r="B794">
        <v>203</v>
      </c>
      <c r="C794" s="2">
        <v>45325</v>
      </c>
      <c r="D794" s="2" t="str">
        <f>TEXT(Table4[[#This Row],[issue_date]],"mmmm")</f>
        <v>February</v>
      </c>
      <c r="E794" s="9">
        <f>YEAR(Table4[[#This Row],[issue_date]])</f>
        <v>2024</v>
      </c>
      <c r="F794" t="s">
        <v>22</v>
      </c>
      <c r="G794">
        <v>10</v>
      </c>
      <c r="H794" t="s">
        <v>20</v>
      </c>
      <c r="I794" t="str">
        <f>VLOOKUP(Table4[[#This Row],[customer_id]],customers!A:G,4,)</f>
        <v>mumbai</v>
      </c>
    </row>
    <row r="795" spans="1:9" x14ac:dyDescent="0.3">
      <c r="A795">
        <v>20794</v>
      </c>
      <c r="B795">
        <v>297</v>
      </c>
      <c r="C795" s="2">
        <v>45053</v>
      </c>
      <c r="D795" s="2" t="str">
        <f>TEXT(Table4[[#This Row],[issue_date]],"mmmm")</f>
        <v>May</v>
      </c>
      <c r="E795" s="9">
        <f>YEAR(Table4[[#This Row],[issue_date]])</f>
        <v>2023</v>
      </c>
      <c r="F795" t="s">
        <v>19</v>
      </c>
      <c r="G795">
        <v>1</v>
      </c>
      <c r="H795" t="s">
        <v>23</v>
      </c>
      <c r="I795" t="str">
        <f>VLOOKUP(Table4[[#This Row],[customer_id]],customers!A:G,4,)</f>
        <v>chennai</v>
      </c>
    </row>
    <row r="796" spans="1:9" x14ac:dyDescent="0.3">
      <c r="A796">
        <v>20795</v>
      </c>
      <c r="B796">
        <v>33</v>
      </c>
      <c r="C796" s="2">
        <v>44660</v>
      </c>
      <c r="D796" s="2" t="str">
        <f>TEXT(Table4[[#This Row],[issue_date]],"mmmm")</f>
        <v>April</v>
      </c>
      <c r="E796" s="9">
        <f>YEAR(Table4[[#This Row],[issue_date]])</f>
        <v>2022</v>
      </c>
      <c r="F796" t="s">
        <v>22</v>
      </c>
      <c r="G796">
        <v>54</v>
      </c>
      <c r="H796" t="s">
        <v>20</v>
      </c>
      <c r="I796" t="str">
        <f>VLOOKUP(Table4[[#This Row],[customer_id]],customers!A:G,4,)</f>
        <v>kolkata</v>
      </c>
    </row>
    <row r="797" spans="1:9" x14ac:dyDescent="0.3">
      <c r="A797">
        <v>20796</v>
      </c>
      <c r="B797">
        <v>489</v>
      </c>
      <c r="C797" s="2">
        <v>44890</v>
      </c>
      <c r="D797" s="2" t="str">
        <f>TEXT(Table4[[#This Row],[issue_date]],"mmmm")</f>
        <v>November</v>
      </c>
      <c r="E797" s="9">
        <f>YEAR(Table4[[#This Row],[issue_date]])</f>
        <v>2022</v>
      </c>
      <c r="F797" t="s">
        <v>21</v>
      </c>
      <c r="G797">
        <v>16</v>
      </c>
      <c r="H797" t="s">
        <v>20</v>
      </c>
      <c r="I797" t="str">
        <f>VLOOKUP(Table4[[#This Row],[customer_id]],customers!A:G,4,)</f>
        <v>chennai</v>
      </c>
    </row>
    <row r="798" spans="1:9" x14ac:dyDescent="0.3">
      <c r="A798">
        <v>20797</v>
      </c>
      <c r="B798">
        <v>215</v>
      </c>
      <c r="C798" s="2">
        <v>44887</v>
      </c>
      <c r="D798" s="2" t="str">
        <f>TEXT(Table4[[#This Row],[issue_date]],"mmmm")</f>
        <v>November</v>
      </c>
      <c r="E798" s="9">
        <f>YEAR(Table4[[#This Row],[issue_date]])</f>
        <v>2022</v>
      </c>
      <c r="F798" t="s">
        <v>21</v>
      </c>
      <c r="G798">
        <v>46</v>
      </c>
      <c r="H798" t="s">
        <v>20</v>
      </c>
      <c r="I798" t="str">
        <f>VLOOKUP(Table4[[#This Row],[customer_id]],customers!A:G,4,)</f>
        <v>bangalore</v>
      </c>
    </row>
    <row r="799" spans="1:9" x14ac:dyDescent="0.3">
      <c r="A799">
        <v>20798</v>
      </c>
      <c r="B799">
        <v>12</v>
      </c>
      <c r="C799" s="2">
        <v>45006</v>
      </c>
      <c r="D799" s="2" t="str">
        <f>TEXT(Table4[[#This Row],[issue_date]],"mmmm")</f>
        <v>March</v>
      </c>
      <c r="E799" s="9">
        <f>YEAR(Table4[[#This Row],[issue_date]])</f>
        <v>2023</v>
      </c>
      <c r="F799" t="s">
        <v>19</v>
      </c>
      <c r="G799">
        <v>13</v>
      </c>
      <c r="H799" t="s">
        <v>20</v>
      </c>
      <c r="I799" t="str">
        <f>VLOOKUP(Table4[[#This Row],[customer_id]],customers!A:G,4,)</f>
        <v>kolkata</v>
      </c>
    </row>
    <row r="800" spans="1:9" x14ac:dyDescent="0.3">
      <c r="A800">
        <v>20799</v>
      </c>
      <c r="B800">
        <v>2</v>
      </c>
      <c r="C800" s="2">
        <v>45227</v>
      </c>
      <c r="D800" s="2" t="str">
        <f>TEXT(Table4[[#This Row],[issue_date]],"mmmm")</f>
        <v>October</v>
      </c>
      <c r="E800" s="9">
        <f>YEAR(Table4[[#This Row],[issue_date]])</f>
        <v>2023</v>
      </c>
      <c r="F800" t="s">
        <v>22</v>
      </c>
      <c r="G800">
        <v>64</v>
      </c>
      <c r="H800" t="s">
        <v>20</v>
      </c>
      <c r="I800" t="str">
        <f>VLOOKUP(Table4[[#This Row],[customer_id]],customers!A:G,4,)</f>
        <v>chennai</v>
      </c>
    </row>
    <row r="801" spans="1:9" x14ac:dyDescent="0.3">
      <c r="A801">
        <v>20800</v>
      </c>
      <c r="B801">
        <v>363</v>
      </c>
      <c r="C801" s="2">
        <v>44856</v>
      </c>
      <c r="D801" s="2" t="str">
        <f>TEXT(Table4[[#This Row],[issue_date]],"mmmm")</f>
        <v>October</v>
      </c>
      <c r="E801" s="9">
        <f>YEAR(Table4[[#This Row],[issue_date]])</f>
        <v>2022</v>
      </c>
      <c r="F801" t="s">
        <v>22</v>
      </c>
      <c r="G801">
        <v>55</v>
      </c>
      <c r="H801" t="s">
        <v>20</v>
      </c>
      <c r="I801" t="str">
        <f>VLOOKUP(Table4[[#This Row],[customer_id]],customers!A:G,4,)</f>
        <v>delhi</v>
      </c>
    </row>
    <row r="802" spans="1:9" x14ac:dyDescent="0.3">
      <c r="A802">
        <v>20801</v>
      </c>
      <c r="B802">
        <v>149</v>
      </c>
      <c r="C802" s="2">
        <v>45003</v>
      </c>
      <c r="D802" s="2" t="str">
        <f>TEXT(Table4[[#This Row],[issue_date]],"mmmm")</f>
        <v>March</v>
      </c>
      <c r="E802" s="9">
        <f>YEAR(Table4[[#This Row],[issue_date]])</f>
        <v>2023</v>
      </c>
      <c r="F802" t="s">
        <v>21</v>
      </c>
      <c r="G802">
        <v>63</v>
      </c>
      <c r="H802" t="s">
        <v>20</v>
      </c>
      <c r="I802" t="str">
        <f>VLOOKUP(Table4[[#This Row],[customer_id]],customers!A:G,4,)</f>
        <v>chennai</v>
      </c>
    </row>
    <row r="803" spans="1:9" x14ac:dyDescent="0.3">
      <c r="A803">
        <v>20802</v>
      </c>
      <c r="B803">
        <v>142</v>
      </c>
      <c r="C803" s="2">
        <v>45356</v>
      </c>
      <c r="D803" s="2" t="str">
        <f>TEXT(Table4[[#This Row],[issue_date]],"mmmm")</f>
        <v>March</v>
      </c>
      <c r="E803" s="9">
        <f>YEAR(Table4[[#This Row],[issue_date]])</f>
        <v>2024</v>
      </c>
      <c r="F803" t="s">
        <v>19</v>
      </c>
      <c r="G803">
        <v>18</v>
      </c>
      <c r="H803" t="s">
        <v>20</v>
      </c>
      <c r="I803" t="str">
        <f>VLOOKUP(Table4[[#This Row],[customer_id]],customers!A:G,4,)</f>
        <v>kolkata</v>
      </c>
    </row>
    <row r="804" spans="1:9" x14ac:dyDescent="0.3">
      <c r="A804">
        <v>20803</v>
      </c>
      <c r="B804">
        <v>290</v>
      </c>
      <c r="C804" s="2">
        <v>45369</v>
      </c>
      <c r="D804" s="2" t="str">
        <f>TEXT(Table4[[#This Row],[issue_date]],"mmmm")</f>
        <v>March</v>
      </c>
      <c r="E804" s="9">
        <f>YEAR(Table4[[#This Row],[issue_date]])</f>
        <v>2024</v>
      </c>
      <c r="F804" t="s">
        <v>21</v>
      </c>
      <c r="G804">
        <v>61</v>
      </c>
      <c r="H804" t="s">
        <v>20</v>
      </c>
      <c r="I804" t="str">
        <f>VLOOKUP(Table4[[#This Row],[customer_id]],customers!A:G,4,)</f>
        <v>mumbai</v>
      </c>
    </row>
    <row r="805" spans="1:9" x14ac:dyDescent="0.3">
      <c r="A805">
        <v>20804</v>
      </c>
      <c r="B805">
        <v>207</v>
      </c>
      <c r="C805" s="2">
        <v>45452</v>
      </c>
      <c r="D805" s="2" t="str">
        <f>TEXT(Table4[[#This Row],[issue_date]],"mmmm")</f>
        <v>June</v>
      </c>
      <c r="E805" s="9">
        <f>YEAR(Table4[[#This Row],[issue_date]])</f>
        <v>2024</v>
      </c>
      <c r="F805" t="s">
        <v>21</v>
      </c>
      <c r="G805">
        <v>20</v>
      </c>
      <c r="H805" t="s">
        <v>20</v>
      </c>
      <c r="I805" t="str">
        <f>VLOOKUP(Table4[[#This Row],[customer_id]],customers!A:G,4,)</f>
        <v>mumbai</v>
      </c>
    </row>
    <row r="806" spans="1:9" x14ac:dyDescent="0.3">
      <c r="A806">
        <v>20805</v>
      </c>
      <c r="B806">
        <v>341</v>
      </c>
      <c r="C806" s="2">
        <v>44592</v>
      </c>
      <c r="D806" s="2" t="str">
        <f>TEXT(Table4[[#This Row],[issue_date]],"mmmm")</f>
        <v>January</v>
      </c>
      <c r="E806" s="9">
        <f>YEAR(Table4[[#This Row],[issue_date]])</f>
        <v>2022</v>
      </c>
      <c r="F806" t="s">
        <v>19</v>
      </c>
      <c r="G806">
        <v>65</v>
      </c>
      <c r="H806" t="s">
        <v>20</v>
      </c>
      <c r="I806" t="str">
        <f>VLOOKUP(Table4[[#This Row],[customer_id]],customers!A:G,4,)</f>
        <v>bangalore</v>
      </c>
    </row>
    <row r="807" spans="1:9" x14ac:dyDescent="0.3">
      <c r="A807">
        <v>20806</v>
      </c>
      <c r="B807">
        <v>192</v>
      </c>
      <c r="C807" s="2">
        <v>44692</v>
      </c>
      <c r="D807" s="2" t="str">
        <f>TEXT(Table4[[#This Row],[issue_date]],"mmmm")</f>
        <v>May</v>
      </c>
      <c r="E807" s="9">
        <f>YEAR(Table4[[#This Row],[issue_date]])</f>
        <v>2022</v>
      </c>
      <c r="F807" t="s">
        <v>22</v>
      </c>
      <c r="G807">
        <v>64</v>
      </c>
      <c r="H807" t="s">
        <v>20</v>
      </c>
      <c r="I807" t="str">
        <f>VLOOKUP(Table4[[#This Row],[customer_id]],customers!A:G,4,)</f>
        <v>mumbai</v>
      </c>
    </row>
    <row r="808" spans="1:9" x14ac:dyDescent="0.3">
      <c r="A808">
        <v>20807</v>
      </c>
      <c r="B808">
        <v>407</v>
      </c>
      <c r="C808" s="2">
        <v>45289</v>
      </c>
      <c r="D808" s="2" t="str">
        <f>TEXT(Table4[[#This Row],[issue_date]],"mmmm")</f>
        <v>December</v>
      </c>
      <c r="E808" s="9">
        <f>YEAR(Table4[[#This Row],[issue_date]])</f>
        <v>2023</v>
      </c>
      <c r="F808" t="s">
        <v>22</v>
      </c>
      <c r="G808">
        <v>64</v>
      </c>
      <c r="H808" t="s">
        <v>23</v>
      </c>
      <c r="I808" t="str">
        <f>VLOOKUP(Table4[[#This Row],[customer_id]],customers!A:G,4,)</f>
        <v>chennai</v>
      </c>
    </row>
    <row r="809" spans="1:9" x14ac:dyDescent="0.3">
      <c r="A809">
        <v>20808</v>
      </c>
      <c r="B809">
        <v>341</v>
      </c>
      <c r="C809" s="2">
        <v>45088</v>
      </c>
      <c r="D809" s="2" t="str">
        <f>TEXT(Table4[[#This Row],[issue_date]],"mmmm")</f>
        <v>June</v>
      </c>
      <c r="E809" s="9">
        <f>YEAR(Table4[[#This Row],[issue_date]])</f>
        <v>2023</v>
      </c>
      <c r="F809" t="s">
        <v>21</v>
      </c>
      <c r="G809">
        <v>13</v>
      </c>
      <c r="H809" t="s">
        <v>20</v>
      </c>
      <c r="I809" t="str">
        <f>VLOOKUP(Table4[[#This Row],[customer_id]],customers!A:G,4,)</f>
        <v>bangalore</v>
      </c>
    </row>
    <row r="810" spans="1:9" x14ac:dyDescent="0.3">
      <c r="A810">
        <v>20809</v>
      </c>
      <c r="B810">
        <v>306</v>
      </c>
      <c r="C810" s="2">
        <v>44999</v>
      </c>
      <c r="D810" s="2" t="str">
        <f>TEXT(Table4[[#This Row],[issue_date]],"mmmm")</f>
        <v>March</v>
      </c>
      <c r="E810" s="9">
        <f>YEAR(Table4[[#This Row],[issue_date]])</f>
        <v>2023</v>
      </c>
      <c r="F810" t="s">
        <v>22</v>
      </c>
      <c r="G810">
        <v>68</v>
      </c>
      <c r="H810" t="s">
        <v>20</v>
      </c>
      <c r="I810" t="str">
        <f>VLOOKUP(Table4[[#This Row],[customer_id]],customers!A:G,4,)</f>
        <v>bangalore</v>
      </c>
    </row>
    <row r="811" spans="1:9" x14ac:dyDescent="0.3">
      <c r="A811">
        <v>20810</v>
      </c>
      <c r="B811">
        <v>398</v>
      </c>
      <c r="C811" s="2">
        <v>44887</v>
      </c>
      <c r="D811" s="2" t="str">
        <f>TEXT(Table4[[#This Row],[issue_date]],"mmmm")</f>
        <v>November</v>
      </c>
      <c r="E811" s="9">
        <f>YEAR(Table4[[#This Row],[issue_date]])</f>
        <v>2022</v>
      </c>
      <c r="F811" t="s">
        <v>19</v>
      </c>
      <c r="G811">
        <v>70</v>
      </c>
      <c r="H811" t="s">
        <v>20</v>
      </c>
      <c r="I811" t="str">
        <f>VLOOKUP(Table4[[#This Row],[customer_id]],customers!A:G,4,)</f>
        <v>bangalore</v>
      </c>
    </row>
    <row r="812" spans="1:9" x14ac:dyDescent="0.3">
      <c r="A812">
        <v>20811</v>
      </c>
      <c r="B812">
        <v>469</v>
      </c>
      <c r="C812" s="2">
        <v>44828</v>
      </c>
      <c r="D812" s="2" t="str">
        <f>TEXT(Table4[[#This Row],[issue_date]],"mmmm")</f>
        <v>September</v>
      </c>
      <c r="E812" s="9">
        <f>YEAR(Table4[[#This Row],[issue_date]])</f>
        <v>2022</v>
      </c>
      <c r="F812" t="s">
        <v>22</v>
      </c>
      <c r="G812">
        <v>57</v>
      </c>
      <c r="H812" t="s">
        <v>20</v>
      </c>
      <c r="I812" t="str">
        <f>VLOOKUP(Table4[[#This Row],[customer_id]],customers!A:G,4,)</f>
        <v>bangalore</v>
      </c>
    </row>
    <row r="813" spans="1:9" x14ac:dyDescent="0.3">
      <c r="A813">
        <v>20812</v>
      </c>
      <c r="B813">
        <v>252</v>
      </c>
      <c r="C813" s="2">
        <v>44847</v>
      </c>
      <c r="D813" s="2" t="str">
        <f>TEXT(Table4[[#This Row],[issue_date]],"mmmm")</f>
        <v>October</v>
      </c>
      <c r="E813" s="9">
        <f>YEAR(Table4[[#This Row],[issue_date]])</f>
        <v>2022</v>
      </c>
      <c r="F813" t="s">
        <v>22</v>
      </c>
      <c r="G813">
        <v>45</v>
      </c>
      <c r="H813" t="s">
        <v>20</v>
      </c>
      <c r="I813" t="str">
        <f>VLOOKUP(Table4[[#This Row],[customer_id]],customers!A:G,4,)</f>
        <v>hyderabad</v>
      </c>
    </row>
    <row r="814" spans="1:9" x14ac:dyDescent="0.3">
      <c r="A814">
        <v>20813</v>
      </c>
      <c r="B814">
        <v>204</v>
      </c>
      <c r="C814" s="2">
        <v>44852</v>
      </c>
      <c r="D814" s="2" t="str">
        <f>TEXT(Table4[[#This Row],[issue_date]],"mmmm")</f>
        <v>October</v>
      </c>
      <c r="E814" s="9">
        <f>YEAR(Table4[[#This Row],[issue_date]])</f>
        <v>2022</v>
      </c>
      <c r="F814" t="s">
        <v>21</v>
      </c>
      <c r="G814">
        <v>38</v>
      </c>
      <c r="H814" t="s">
        <v>20</v>
      </c>
      <c r="I814" t="str">
        <f>VLOOKUP(Table4[[#This Row],[customer_id]],customers!A:G,4,)</f>
        <v>mumbai</v>
      </c>
    </row>
    <row r="815" spans="1:9" x14ac:dyDescent="0.3">
      <c r="A815">
        <v>20814</v>
      </c>
      <c r="B815">
        <v>362</v>
      </c>
      <c r="C815" s="2">
        <v>44929</v>
      </c>
      <c r="D815" s="2" t="str">
        <f>TEXT(Table4[[#This Row],[issue_date]],"mmmm")</f>
        <v>January</v>
      </c>
      <c r="E815" s="9">
        <f>YEAR(Table4[[#This Row],[issue_date]])</f>
        <v>2023</v>
      </c>
      <c r="F815" t="s">
        <v>22</v>
      </c>
      <c r="G815">
        <v>54</v>
      </c>
      <c r="H815" t="s">
        <v>20</v>
      </c>
      <c r="I815" t="str">
        <f>VLOOKUP(Table4[[#This Row],[customer_id]],customers!A:G,4,)</f>
        <v>delhi</v>
      </c>
    </row>
    <row r="816" spans="1:9" x14ac:dyDescent="0.3">
      <c r="A816">
        <v>20815</v>
      </c>
      <c r="B816">
        <v>46</v>
      </c>
      <c r="C816" s="2">
        <v>45047</v>
      </c>
      <c r="D816" s="2" t="str">
        <f>TEXT(Table4[[#This Row],[issue_date]],"mmmm")</f>
        <v>May</v>
      </c>
      <c r="E816" s="9">
        <f>YEAR(Table4[[#This Row],[issue_date]])</f>
        <v>2023</v>
      </c>
      <c r="F816" t="s">
        <v>19</v>
      </c>
      <c r="G816">
        <v>36</v>
      </c>
      <c r="H816" t="s">
        <v>20</v>
      </c>
      <c r="I816" t="str">
        <f>VLOOKUP(Table4[[#This Row],[customer_id]],customers!A:G,4,)</f>
        <v>delhi</v>
      </c>
    </row>
    <row r="817" spans="1:9" x14ac:dyDescent="0.3">
      <c r="A817">
        <v>20816</v>
      </c>
      <c r="B817">
        <v>374</v>
      </c>
      <c r="C817" s="2">
        <v>45116</v>
      </c>
      <c r="D817" s="2" t="str">
        <f>TEXT(Table4[[#This Row],[issue_date]],"mmmm")</f>
        <v>July</v>
      </c>
      <c r="E817" s="9">
        <f>YEAR(Table4[[#This Row],[issue_date]])</f>
        <v>2023</v>
      </c>
      <c r="F817" t="s">
        <v>21</v>
      </c>
      <c r="G817">
        <v>67</v>
      </c>
      <c r="H817" t="s">
        <v>20</v>
      </c>
      <c r="I817" t="str">
        <f>VLOOKUP(Table4[[#This Row],[customer_id]],customers!A:G,4,)</f>
        <v>mumbai</v>
      </c>
    </row>
    <row r="818" spans="1:9" x14ac:dyDescent="0.3">
      <c r="A818">
        <v>20817</v>
      </c>
      <c r="B818">
        <v>495</v>
      </c>
      <c r="C818" s="2">
        <v>44729</v>
      </c>
      <c r="D818" s="2" t="str">
        <f>TEXT(Table4[[#This Row],[issue_date]],"mmmm")</f>
        <v>June</v>
      </c>
      <c r="E818" s="9">
        <f>YEAR(Table4[[#This Row],[issue_date]])</f>
        <v>2022</v>
      </c>
      <c r="F818" t="s">
        <v>19</v>
      </c>
      <c r="G818">
        <v>11</v>
      </c>
      <c r="H818" t="s">
        <v>20</v>
      </c>
      <c r="I818" t="str">
        <f>VLOOKUP(Table4[[#This Row],[customer_id]],customers!A:G,4,)</f>
        <v>mumbai</v>
      </c>
    </row>
    <row r="819" spans="1:9" x14ac:dyDescent="0.3">
      <c r="A819">
        <v>20818</v>
      </c>
      <c r="B819">
        <v>261</v>
      </c>
      <c r="C819" s="2">
        <v>45422</v>
      </c>
      <c r="D819" s="2" t="str">
        <f>TEXT(Table4[[#This Row],[issue_date]],"mmmm")</f>
        <v>May</v>
      </c>
      <c r="E819" s="9">
        <f>YEAR(Table4[[#This Row],[issue_date]])</f>
        <v>2024</v>
      </c>
      <c r="F819" t="s">
        <v>22</v>
      </c>
      <c r="G819">
        <v>27</v>
      </c>
      <c r="H819" t="s">
        <v>20</v>
      </c>
      <c r="I819" t="str">
        <f>VLOOKUP(Table4[[#This Row],[customer_id]],customers!A:G,4,)</f>
        <v>mumbai</v>
      </c>
    </row>
    <row r="820" spans="1:9" x14ac:dyDescent="0.3">
      <c r="A820">
        <v>20819</v>
      </c>
      <c r="B820">
        <v>66</v>
      </c>
      <c r="C820" s="2">
        <v>45032</v>
      </c>
      <c r="D820" s="2" t="str">
        <f>TEXT(Table4[[#This Row],[issue_date]],"mmmm")</f>
        <v>April</v>
      </c>
      <c r="E820" s="9">
        <f>YEAR(Table4[[#This Row],[issue_date]])</f>
        <v>2023</v>
      </c>
      <c r="F820" t="s">
        <v>22</v>
      </c>
      <c r="G820">
        <v>17</v>
      </c>
      <c r="H820" t="s">
        <v>20</v>
      </c>
      <c r="I820" t="str">
        <f>VLOOKUP(Table4[[#This Row],[customer_id]],customers!A:G,4,)</f>
        <v>hyderabad</v>
      </c>
    </row>
    <row r="821" spans="1:9" x14ac:dyDescent="0.3">
      <c r="A821">
        <v>20820</v>
      </c>
      <c r="B821">
        <v>150</v>
      </c>
      <c r="C821" s="2">
        <v>45328</v>
      </c>
      <c r="D821" s="2" t="str">
        <f>TEXT(Table4[[#This Row],[issue_date]],"mmmm")</f>
        <v>February</v>
      </c>
      <c r="E821" s="9">
        <f>YEAR(Table4[[#This Row],[issue_date]])</f>
        <v>2024</v>
      </c>
      <c r="F821" t="s">
        <v>21</v>
      </c>
      <c r="G821">
        <v>33</v>
      </c>
      <c r="H821" t="s">
        <v>20</v>
      </c>
      <c r="I821" t="str">
        <f>VLOOKUP(Table4[[#This Row],[customer_id]],customers!A:G,4,)</f>
        <v>bangalore</v>
      </c>
    </row>
    <row r="822" spans="1:9" x14ac:dyDescent="0.3">
      <c r="A822">
        <v>20821</v>
      </c>
      <c r="B822">
        <v>70</v>
      </c>
      <c r="C822" s="2">
        <v>44731</v>
      </c>
      <c r="D822" s="2" t="str">
        <f>TEXT(Table4[[#This Row],[issue_date]],"mmmm")</f>
        <v>June</v>
      </c>
      <c r="E822" s="9">
        <f>YEAR(Table4[[#This Row],[issue_date]])</f>
        <v>2022</v>
      </c>
      <c r="F822" t="s">
        <v>19</v>
      </c>
      <c r="G822">
        <v>5</v>
      </c>
      <c r="H822" t="s">
        <v>20</v>
      </c>
      <c r="I822" t="str">
        <f>VLOOKUP(Table4[[#This Row],[customer_id]],customers!A:G,4,)</f>
        <v>chennai</v>
      </c>
    </row>
    <row r="823" spans="1:9" x14ac:dyDescent="0.3">
      <c r="A823">
        <v>20822</v>
      </c>
      <c r="B823">
        <v>364</v>
      </c>
      <c r="C823" s="2">
        <v>45448</v>
      </c>
      <c r="D823" s="2" t="str">
        <f>TEXT(Table4[[#This Row],[issue_date]],"mmmm")</f>
        <v>June</v>
      </c>
      <c r="E823" s="9">
        <f>YEAR(Table4[[#This Row],[issue_date]])</f>
        <v>2024</v>
      </c>
      <c r="F823" t="s">
        <v>22</v>
      </c>
      <c r="G823">
        <v>62</v>
      </c>
      <c r="H823" t="s">
        <v>20</v>
      </c>
      <c r="I823" t="str">
        <f>VLOOKUP(Table4[[#This Row],[customer_id]],customers!A:G,4,)</f>
        <v>delhi</v>
      </c>
    </row>
    <row r="824" spans="1:9" x14ac:dyDescent="0.3">
      <c r="A824">
        <v>20823</v>
      </c>
      <c r="B824">
        <v>2</v>
      </c>
      <c r="C824" s="2">
        <v>45332</v>
      </c>
      <c r="D824" s="2" t="str">
        <f>TEXT(Table4[[#This Row],[issue_date]],"mmmm")</f>
        <v>February</v>
      </c>
      <c r="E824" s="9">
        <f>YEAR(Table4[[#This Row],[issue_date]])</f>
        <v>2024</v>
      </c>
      <c r="F824" t="s">
        <v>22</v>
      </c>
      <c r="G824">
        <v>65</v>
      </c>
      <c r="H824" t="s">
        <v>20</v>
      </c>
      <c r="I824" t="str">
        <f>VLOOKUP(Table4[[#This Row],[customer_id]],customers!A:G,4,)</f>
        <v>chennai</v>
      </c>
    </row>
    <row r="825" spans="1:9" x14ac:dyDescent="0.3">
      <c r="A825">
        <v>20824</v>
      </c>
      <c r="B825">
        <v>29</v>
      </c>
      <c r="C825" s="2">
        <v>44907</v>
      </c>
      <c r="D825" s="2" t="str">
        <f>TEXT(Table4[[#This Row],[issue_date]],"mmmm")</f>
        <v>December</v>
      </c>
      <c r="E825" s="9">
        <f>YEAR(Table4[[#This Row],[issue_date]])</f>
        <v>2022</v>
      </c>
      <c r="F825" t="s">
        <v>21</v>
      </c>
      <c r="G825">
        <v>71</v>
      </c>
      <c r="H825" t="s">
        <v>20</v>
      </c>
      <c r="I825" t="str">
        <f>VLOOKUP(Table4[[#This Row],[customer_id]],customers!A:G,4,)</f>
        <v>kolkata</v>
      </c>
    </row>
    <row r="826" spans="1:9" x14ac:dyDescent="0.3">
      <c r="A826">
        <v>20825</v>
      </c>
      <c r="B826">
        <v>256</v>
      </c>
      <c r="C826" s="2">
        <v>44639</v>
      </c>
      <c r="D826" s="2" t="str">
        <f>TEXT(Table4[[#This Row],[issue_date]],"mmmm")</f>
        <v>March</v>
      </c>
      <c r="E826" s="9">
        <f>YEAR(Table4[[#This Row],[issue_date]])</f>
        <v>2022</v>
      </c>
      <c r="F826" t="s">
        <v>22</v>
      </c>
      <c r="G826">
        <v>67</v>
      </c>
      <c r="H826" t="s">
        <v>20</v>
      </c>
      <c r="I826" t="str">
        <f>VLOOKUP(Table4[[#This Row],[customer_id]],customers!A:G,4,)</f>
        <v>kolkata</v>
      </c>
    </row>
    <row r="827" spans="1:9" x14ac:dyDescent="0.3">
      <c r="A827">
        <v>20826</v>
      </c>
      <c r="B827">
        <v>61</v>
      </c>
      <c r="C827" s="2">
        <v>45412</v>
      </c>
      <c r="D827" s="2" t="str">
        <f>TEXT(Table4[[#This Row],[issue_date]],"mmmm")</f>
        <v>April</v>
      </c>
      <c r="E827" s="9">
        <f>YEAR(Table4[[#This Row],[issue_date]])</f>
        <v>2024</v>
      </c>
      <c r="F827" t="s">
        <v>22</v>
      </c>
      <c r="G827">
        <v>44</v>
      </c>
      <c r="H827" t="s">
        <v>20</v>
      </c>
      <c r="I827" t="str">
        <f>VLOOKUP(Table4[[#This Row],[customer_id]],customers!A:G,4,)</f>
        <v>hyderabad</v>
      </c>
    </row>
    <row r="828" spans="1:9" x14ac:dyDescent="0.3">
      <c r="A828">
        <v>20827</v>
      </c>
      <c r="B828">
        <v>100</v>
      </c>
      <c r="C828" s="2">
        <v>44646</v>
      </c>
      <c r="D828" s="2" t="str">
        <f>TEXT(Table4[[#This Row],[issue_date]],"mmmm")</f>
        <v>March</v>
      </c>
      <c r="E828" s="9">
        <f>YEAR(Table4[[#This Row],[issue_date]])</f>
        <v>2022</v>
      </c>
      <c r="F828" t="s">
        <v>22</v>
      </c>
      <c r="G828">
        <v>14</v>
      </c>
      <c r="H828" t="s">
        <v>20</v>
      </c>
      <c r="I828" t="str">
        <f>VLOOKUP(Table4[[#This Row],[customer_id]],customers!A:G,4,)</f>
        <v>mumbai</v>
      </c>
    </row>
    <row r="829" spans="1:9" x14ac:dyDescent="0.3">
      <c r="A829">
        <v>20828</v>
      </c>
      <c r="B829">
        <v>384</v>
      </c>
      <c r="C829" s="2">
        <v>45453</v>
      </c>
      <c r="D829" s="2" t="str">
        <f>TEXT(Table4[[#This Row],[issue_date]],"mmmm")</f>
        <v>June</v>
      </c>
      <c r="E829" s="9">
        <f>YEAR(Table4[[#This Row],[issue_date]])</f>
        <v>2024</v>
      </c>
      <c r="F829" t="s">
        <v>19</v>
      </c>
      <c r="G829">
        <v>57</v>
      </c>
      <c r="H829" t="s">
        <v>20</v>
      </c>
      <c r="I829" t="str">
        <f>VLOOKUP(Table4[[#This Row],[customer_id]],customers!A:G,4,)</f>
        <v>chennai</v>
      </c>
    </row>
    <row r="830" spans="1:9" x14ac:dyDescent="0.3">
      <c r="A830">
        <v>20829</v>
      </c>
      <c r="B830">
        <v>455</v>
      </c>
      <c r="C830" s="2">
        <v>45222</v>
      </c>
      <c r="D830" s="2" t="str">
        <f>TEXT(Table4[[#This Row],[issue_date]],"mmmm")</f>
        <v>October</v>
      </c>
      <c r="E830" s="9">
        <f>YEAR(Table4[[#This Row],[issue_date]])</f>
        <v>2023</v>
      </c>
      <c r="F830" t="s">
        <v>19</v>
      </c>
      <c r="G830">
        <v>48</v>
      </c>
      <c r="H830" t="s">
        <v>20</v>
      </c>
      <c r="I830" t="str">
        <f>VLOOKUP(Table4[[#This Row],[customer_id]],customers!A:G,4,)</f>
        <v>delhi</v>
      </c>
    </row>
    <row r="831" spans="1:9" x14ac:dyDescent="0.3">
      <c r="A831">
        <v>20830</v>
      </c>
      <c r="B831">
        <v>144</v>
      </c>
      <c r="C831" s="2">
        <v>44762</v>
      </c>
      <c r="D831" s="2" t="str">
        <f>TEXT(Table4[[#This Row],[issue_date]],"mmmm")</f>
        <v>July</v>
      </c>
      <c r="E831" s="9">
        <f>YEAR(Table4[[#This Row],[issue_date]])</f>
        <v>2022</v>
      </c>
      <c r="F831" t="s">
        <v>19</v>
      </c>
      <c r="G831">
        <v>17</v>
      </c>
      <c r="H831" t="s">
        <v>23</v>
      </c>
      <c r="I831" t="str">
        <f>VLOOKUP(Table4[[#This Row],[customer_id]],customers!A:G,4,)</f>
        <v>delhi</v>
      </c>
    </row>
    <row r="832" spans="1:9" x14ac:dyDescent="0.3">
      <c r="A832">
        <v>20831</v>
      </c>
      <c r="B832">
        <v>192</v>
      </c>
      <c r="C832" s="2">
        <v>45150</v>
      </c>
      <c r="D832" s="2" t="str">
        <f>TEXT(Table4[[#This Row],[issue_date]],"mmmm")</f>
        <v>August</v>
      </c>
      <c r="E832" s="9">
        <f>YEAR(Table4[[#This Row],[issue_date]])</f>
        <v>2023</v>
      </c>
      <c r="F832" t="s">
        <v>22</v>
      </c>
      <c r="G832">
        <v>44</v>
      </c>
      <c r="H832" t="s">
        <v>20</v>
      </c>
      <c r="I832" t="str">
        <f>VLOOKUP(Table4[[#This Row],[customer_id]],customers!A:G,4,)</f>
        <v>mumbai</v>
      </c>
    </row>
    <row r="833" spans="1:9" x14ac:dyDescent="0.3">
      <c r="A833">
        <v>20832</v>
      </c>
      <c r="B833">
        <v>353</v>
      </c>
      <c r="C833" s="2">
        <v>44922</v>
      </c>
      <c r="D833" s="2" t="str">
        <f>TEXT(Table4[[#This Row],[issue_date]],"mmmm")</f>
        <v>December</v>
      </c>
      <c r="E833" s="9">
        <f>YEAR(Table4[[#This Row],[issue_date]])</f>
        <v>2022</v>
      </c>
      <c r="F833" t="s">
        <v>21</v>
      </c>
      <c r="G833">
        <v>4</v>
      </c>
      <c r="H833" t="s">
        <v>20</v>
      </c>
      <c r="I833" t="str">
        <f>VLOOKUP(Table4[[#This Row],[customer_id]],customers!A:G,4,)</f>
        <v>delhi</v>
      </c>
    </row>
    <row r="834" spans="1:9" x14ac:dyDescent="0.3">
      <c r="A834">
        <v>20833</v>
      </c>
      <c r="B834">
        <v>353</v>
      </c>
      <c r="C834" s="2">
        <v>45323</v>
      </c>
      <c r="D834" s="2" t="str">
        <f>TEXT(Table4[[#This Row],[issue_date]],"mmmm")</f>
        <v>February</v>
      </c>
      <c r="E834" s="9">
        <f>YEAR(Table4[[#This Row],[issue_date]])</f>
        <v>2024</v>
      </c>
      <c r="F834" t="s">
        <v>21</v>
      </c>
      <c r="G834">
        <v>30</v>
      </c>
      <c r="H834" t="s">
        <v>20</v>
      </c>
      <c r="I834" t="str">
        <f>VLOOKUP(Table4[[#This Row],[customer_id]],customers!A:G,4,)</f>
        <v>delhi</v>
      </c>
    </row>
    <row r="835" spans="1:9" x14ac:dyDescent="0.3">
      <c r="A835">
        <v>20834</v>
      </c>
      <c r="B835">
        <v>270</v>
      </c>
      <c r="C835" s="2">
        <v>45126</v>
      </c>
      <c r="D835" s="2" t="str">
        <f>TEXT(Table4[[#This Row],[issue_date]],"mmmm")</f>
        <v>July</v>
      </c>
      <c r="E835" s="9">
        <f>YEAR(Table4[[#This Row],[issue_date]])</f>
        <v>2023</v>
      </c>
      <c r="F835" t="s">
        <v>21</v>
      </c>
      <c r="G835">
        <v>55</v>
      </c>
      <c r="H835" t="s">
        <v>20</v>
      </c>
      <c r="I835" t="str">
        <f>VLOOKUP(Table4[[#This Row],[customer_id]],customers!A:G,4,)</f>
        <v>delhi</v>
      </c>
    </row>
    <row r="836" spans="1:9" x14ac:dyDescent="0.3">
      <c r="A836">
        <v>20835</v>
      </c>
      <c r="B836">
        <v>299</v>
      </c>
      <c r="C836" s="2">
        <v>45373</v>
      </c>
      <c r="D836" s="2" t="str">
        <f>TEXT(Table4[[#This Row],[issue_date]],"mmmm")</f>
        <v>March</v>
      </c>
      <c r="E836" s="9">
        <f>YEAR(Table4[[#This Row],[issue_date]])</f>
        <v>2024</v>
      </c>
      <c r="F836" t="s">
        <v>19</v>
      </c>
      <c r="G836">
        <v>30</v>
      </c>
      <c r="H836" t="s">
        <v>20</v>
      </c>
      <c r="I836" t="str">
        <f>VLOOKUP(Table4[[#This Row],[customer_id]],customers!A:G,4,)</f>
        <v>bangalore</v>
      </c>
    </row>
    <row r="837" spans="1:9" x14ac:dyDescent="0.3">
      <c r="A837">
        <v>20836</v>
      </c>
      <c r="B837">
        <v>460</v>
      </c>
      <c r="C837" s="2">
        <v>44863</v>
      </c>
      <c r="D837" s="2" t="str">
        <f>TEXT(Table4[[#This Row],[issue_date]],"mmmm")</f>
        <v>October</v>
      </c>
      <c r="E837" s="9">
        <f>YEAR(Table4[[#This Row],[issue_date]])</f>
        <v>2022</v>
      </c>
      <c r="F837" t="s">
        <v>19</v>
      </c>
      <c r="G837">
        <v>18</v>
      </c>
      <c r="H837" t="s">
        <v>20</v>
      </c>
      <c r="I837" t="str">
        <f>VLOOKUP(Table4[[#This Row],[customer_id]],customers!A:G,4,)</f>
        <v>hyderabad</v>
      </c>
    </row>
    <row r="838" spans="1:9" x14ac:dyDescent="0.3">
      <c r="A838">
        <v>20837</v>
      </c>
      <c r="B838">
        <v>427</v>
      </c>
      <c r="C838" s="2">
        <v>44854</v>
      </c>
      <c r="D838" s="2" t="str">
        <f>TEXT(Table4[[#This Row],[issue_date]],"mmmm")</f>
        <v>October</v>
      </c>
      <c r="E838" s="9">
        <f>YEAR(Table4[[#This Row],[issue_date]])</f>
        <v>2022</v>
      </c>
      <c r="F838" t="s">
        <v>19</v>
      </c>
      <c r="G838">
        <v>44</v>
      </c>
      <c r="H838" t="s">
        <v>23</v>
      </c>
      <c r="I838" t="str">
        <f>VLOOKUP(Table4[[#This Row],[customer_id]],customers!A:G,4,)</f>
        <v>delhi</v>
      </c>
    </row>
    <row r="839" spans="1:9" x14ac:dyDescent="0.3">
      <c r="A839">
        <v>20838</v>
      </c>
      <c r="B839">
        <v>326</v>
      </c>
      <c r="C839" s="2">
        <v>44855</v>
      </c>
      <c r="D839" s="2" t="str">
        <f>TEXT(Table4[[#This Row],[issue_date]],"mmmm")</f>
        <v>October</v>
      </c>
      <c r="E839" s="9">
        <f>YEAR(Table4[[#This Row],[issue_date]])</f>
        <v>2022</v>
      </c>
      <c r="F839" t="s">
        <v>19</v>
      </c>
      <c r="G839">
        <v>62</v>
      </c>
      <c r="H839" t="s">
        <v>20</v>
      </c>
      <c r="I839" t="str">
        <f>VLOOKUP(Table4[[#This Row],[customer_id]],customers!A:G,4,)</f>
        <v>bangalore</v>
      </c>
    </row>
    <row r="840" spans="1:9" x14ac:dyDescent="0.3">
      <c r="A840">
        <v>20839</v>
      </c>
      <c r="B840">
        <v>311</v>
      </c>
      <c r="C840" s="2">
        <v>44670</v>
      </c>
      <c r="D840" s="2" t="str">
        <f>TEXT(Table4[[#This Row],[issue_date]],"mmmm")</f>
        <v>April</v>
      </c>
      <c r="E840" s="9">
        <f>YEAR(Table4[[#This Row],[issue_date]])</f>
        <v>2022</v>
      </c>
      <c r="F840" t="s">
        <v>22</v>
      </c>
      <c r="G840">
        <v>31</v>
      </c>
      <c r="H840" t="s">
        <v>20</v>
      </c>
      <c r="I840" t="str">
        <f>VLOOKUP(Table4[[#This Row],[customer_id]],customers!A:G,4,)</f>
        <v>chennai</v>
      </c>
    </row>
    <row r="841" spans="1:9" x14ac:dyDescent="0.3">
      <c r="A841">
        <v>20840</v>
      </c>
      <c r="B841">
        <v>204</v>
      </c>
      <c r="C841" s="2">
        <v>44926</v>
      </c>
      <c r="D841" s="2" t="str">
        <f>TEXT(Table4[[#This Row],[issue_date]],"mmmm")</f>
        <v>December</v>
      </c>
      <c r="E841" s="9">
        <f>YEAR(Table4[[#This Row],[issue_date]])</f>
        <v>2022</v>
      </c>
      <c r="F841" t="s">
        <v>21</v>
      </c>
      <c r="G841">
        <v>16</v>
      </c>
      <c r="H841" t="s">
        <v>20</v>
      </c>
      <c r="I841" t="str">
        <f>VLOOKUP(Table4[[#This Row],[customer_id]],customers!A:G,4,)</f>
        <v>mumbai</v>
      </c>
    </row>
    <row r="842" spans="1:9" x14ac:dyDescent="0.3">
      <c r="A842">
        <v>20841</v>
      </c>
      <c r="B842">
        <v>245</v>
      </c>
      <c r="C842" s="2">
        <v>45161</v>
      </c>
      <c r="D842" s="2" t="str">
        <f>TEXT(Table4[[#This Row],[issue_date]],"mmmm")</f>
        <v>August</v>
      </c>
      <c r="E842" s="9">
        <f>YEAR(Table4[[#This Row],[issue_date]])</f>
        <v>2023</v>
      </c>
      <c r="F842" t="s">
        <v>21</v>
      </c>
      <c r="G842">
        <v>23</v>
      </c>
      <c r="H842" t="s">
        <v>20</v>
      </c>
      <c r="I842" t="str">
        <f>VLOOKUP(Table4[[#This Row],[customer_id]],customers!A:G,4,)</f>
        <v>delhi</v>
      </c>
    </row>
    <row r="843" spans="1:9" x14ac:dyDescent="0.3">
      <c r="A843">
        <v>20842</v>
      </c>
      <c r="B843">
        <v>31</v>
      </c>
      <c r="C843" s="2">
        <v>45239</v>
      </c>
      <c r="D843" s="2" t="str">
        <f>TEXT(Table4[[#This Row],[issue_date]],"mmmm")</f>
        <v>November</v>
      </c>
      <c r="E843" s="9">
        <f>YEAR(Table4[[#This Row],[issue_date]])</f>
        <v>2023</v>
      </c>
      <c r="F843" t="s">
        <v>19</v>
      </c>
      <c r="G843">
        <v>14</v>
      </c>
      <c r="H843" t="s">
        <v>20</v>
      </c>
      <c r="I843" t="str">
        <f>VLOOKUP(Table4[[#This Row],[customer_id]],customers!A:G,4,)</f>
        <v>chennai</v>
      </c>
    </row>
    <row r="844" spans="1:9" x14ac:dyDescent="0.3">
      <c r="A844">
        <v>20843</v>
      </c>
      <c r="B844">
        <v>332</v>
      </c>
      <c r="C844" s="2">
        <v>45055</v>
      </c>
      <c r="D844" s="2" t="str">
        <f>TEXT(Table4[[#This Row],[issue_date]],"mmmm")</f>
        <v>May</v>
      </c>
      <c r="E844" s="9">
        <f>YEAR(Table4[[#This Row],[issue_date]])</f>
        <v>2023</v>
      </c>
      <c r="F844" t="s">
        <v>21</v>
      </c>
      <c r="G844">
        <v>2</v>
      </c>
      <c r="H844" t="s">
        <v>20</v>
      </c>
      <c r="I844" t="str">
        <f>VLOOKUP(Table4[[#This Row],[customer_id]],customers!A:G,4,)</f>
        <v>mumbai</v>
      </c>
    </row>
    <row r="845" spans="1:9" x14ac:dyDescent="0.3">
      <c r="A845">
        <v>20844</v>
      </c>
      <c r="B845">
        <v>458</v>
      </c>
      <c r="C845" s="2">
        <v>44828</v>
      </c>
      <c r="D845" s="2" t="str">
        <f>TEXT(Table4[[#This Row],[issue_date]],"mmmm")</f>
        <v>September</v>
      </c>
      <c r="E845" s="9">
        <f>YEAR(Table4[[#This Row],[issue_date]])</f>
        <v>2022</v>
      </c>
      <c r="F845" t="s">
        <v>21</v>
      </c>
      <c r="G845">
        <v>12</v>
      </c>
      <c r="H845" t="s">
        <v>20</v>
      </c>
      <c r="I845" t="str">
        <f>VLOOKUP(Table4[[#This Row],[customer_id]],customers!A:G,4,)</f>
        <v>hyderabad</v>
      </c>
    </row>
    <row r="846" spans="1:9" x14ac:dyDescent="0.3">
      <c r="A846">
        <v>20845</v>
      </c>
      <c r="B846">
        <v>424</v>
      </c>
      <c r="C846" s="2">
        <v>44654</v>
      </c>
      <c r="D846" s="2" t="str">
        <f>TEXT(Table4[[#This Row],[issue_date]],"mmmm")</f>
        <v>April</v>
      </c>
      <c r="E846" s="9">
        <f>YEAR(Table4[[#This Row],[issue_date]])</f>
        <v>2022</v>
      </c>
      <c r="F846" t="s">
        <v>19</v>
      </c>
      <c r="G846">
        <v>58</v>
      </c>
      <c r="H846" t="s">
        <v>20</v>
      </c>
      <c r="I846" t="str">
        <f>VLOOKUP(Table4[[#This Row],[customer_id]],customers!A:G,4,)</f>
        <v>hyderabad</v>
      </c>
    </row>
    <row r="847" spans="1:9" x14ac:dyDescent="0.3">
      <c r="A847">
        <v>20846</v>
      </c>
      <c r="B847">
        <v>411</v>
      </c>
      <c r="C847" s="2">
        <v>45246</v>
      </c>
      <c r="D847" s="2" t="str">
        <f>TEXT(Table4[[#This Row],[issue_date]],"mmmm")</f>
        <v>November</v>
      </c>
      <c r="E847" s="9">
        <f>YEAR(Table4[[#This Row],[issue_date]])</f>
        <v>2023</v>
      </c>
      <c r="F847" t="s">
        <v>19</v>
      </c>
      <c r="G847">
        <v>56</v>
      </c>
      <c r="H847" t="s">
        <v>23</v>
      </c>
      <c r="I847" t="str">
        <f>VLOOKUP(Table4[[#This Row],[customer_id]],customers!A:G,4,)</f>
        <v>hyderabad</v>
      </c>
    </row>
    <row r="848" spans="1:9" x14ac:dyDescent="0.3">
      <c r="A848">
        <v>20847</v>
      </c>
      <c r="B848">
        <v>52</v>
      </c>
      <c r="C848" s="2">
        <v>44625</v>
      </c>
      <c r="D848" s="2" t="str">
        <f>TEXT(Table4[[#This Row],[issue_date]],"mmmm")</f>
        <v>March</v>
      </c>
      <c r="E848" s="9">
        <f>YEAR(Table4[[#This Row],[issue_date]])</f>
        <v>2022</v>
      </c>
      <c r="F848" t="s">
        <v>19</v>
      </c>
      <c r="G848">
        <v>24</v>
      </c>
      <c r="H848" t="s">
        <v>20</v>
      </c>
      <c r="I848" t="str">
        <f>VLOOKUP(Table4[[#This Row],[customer_id]],customers!A:G,4,)</f>
        <v>chennai</v>
      </c>
    </row>
    <row r="849" spans="1:9" x14ac:dyDescent="0.3">
      <c r="A849">
        <v>20848</v>
      </c>
      <c r="B849">
        <v>384</v>
      </c>
      <c r="C849" s="2">
        <v>44989</v>
      </c>
      <c r="D849" s="2" t="str">
        <f>TEXT(Table4[[#This Row],[issue_date]],"mmmm")</f>
        <v>March</v>
      </c>
      <c r="E849" s="9">
        <f>YEAR(Table4[[#This Row],[issue_date]])</f>
        <v>2023</v>
      </c>
      <c r="F849" t="s">
        <v>19</v>
      </c>
      <c r="G849">
        <v>37</v>
      </c>
      <c r="H849" t="s">
        <v>20</v>
      </c>
      <c r="I849" t="str">
        <f>VLOOKUP(Table4[[#This Row],[customer_id]],customers!A:G,4,)</f>
        <v>chennai</v>
      </c>
    </row>
    <row r="850" spans="1:9" x14ac:dyDescent="0.3">
      <c r="A850">
        <v>20849</v>
      </c>
      <c r="B850">
        <v>243</v>
      </c>
      <c r="C850" s="2">
        <v>45199</v>
      </c>
      <c r="D850" s="2" t="str">
        <f>TEXT(Table4[[#This Row],[issue_date]],"mmmm")</f>
        <v>September</v>
      </c>
      <c r="E850" s="9">
        <f>YEAR(Table4[[#This Row],[issue_date]])</f>
        <v>2023</v>
      </c>
      <c r="F850" t="s">
        <v>22</v>
      </c>
      <c r="G850">
        <v>29</v>
      </c>
      <c r="H850" t="s">
        <v>20</v>
      </c>
      <c r="I850" t="str">
        <f>VLOOKUP(Table4[[#This Row],[customer_id]],customers!A:G,4,)</f>
        <v>hyderabad</v>
      </c>
    </row>
    <row r="851" spans="1:9" x14ac:dyDescent="0.3">
      <c r="A851">
        <v>20850</v>
      </c>
      <c r="B851">
        <v>263</v>
      </c>
      <c r="C851" s="2">
        <v>44929</v>
      </c>
      <c r="D851" s="2" t="str">
        <f>TEXT(Table4[[#This Row],[issue_date]],"mmmm")</f>
        <v>January</v>
      </c>
      <c r="E851" s="9">
        <f>YEAR(Table4[[#This Row],[issue_date]])</f>
        <v>2023</v>
      </c>
      <c r="F851" t="s">
        <v>21</v>
      </c>
      <c r="G851">
        <v>42</v>
      </c>
      <c r="H851" t="s">
        <v>20</v>
      </c>
      <c r="I851" t="str">
        <f>VLOOKUP(Table4[[#This Row],[customer_id]],customers!A:G,4,)</f>
        <v>chennai</v>
      </c>
    </row>
    <row r="852" spans="1:9" x14ac:dyDescent="0.3">
      <c r="A852">
        <v>20851</v>
      </c>
      <c r="B852">
        <v>174</v>
      </c>
      <c r="C852" s="2">
        <v>45303</v>
      </c>
      <c r="D852" s="2" t="str">
        <f>TEXT(Table4[[#This Row],[issue_date]],"mmmm")</f>
        <v>January</v>
      </c>
      <c r="E852" s="9">
        <f>YEAR(Table4[[#This Row],[issue_date]])</f>
        <v>2024</v>
      </c>
      <c r="F852" t="s">
        <v>22</v>
      </c>
      <c r="G852">
        <v>18</v>
      </c>
      <c r="H852" t="s">
        <v>20</v>
      </c>
      <c r="I852" t="str">
        <f>VLOOKUP(Table4[[#This Row],[customer_id]],customers!A:G,4,)</f>
        <v>mumbai</v>
      </c>
    </row>
    <row r="853" spans="1:9" x14ac:dyDescent="0.3">
      <c r="A853">
        <v>20852</v>
      </c>
      <c r="B853">
        <v>100</v>
      </c>
      <c r="C853" s="2">
        <v>44666</v>
      </c>
      <c r="D853" s="2" t="str">
        <f>TEXT(Table4[[#This Row],[issue_date]],"mmmm")</f>
        <v>April</v>
      </c>
      <c r="E853" s="9">
        <f>YEAR(Table4[[#This Row],[issue_date]])</f>
        <v>2022</v>
      </c>
      <c r="F853" t="s">
        <v>21</v>
      </c>
      <c r="G853">
        <v>3</v>
      </c>
      <c r="H853" t="s">
        <v>20</v>
      </c>
      <c r="I853" t="str">
        <f>VLOOKUP(Table4[[#This Row],[customer_id]],customers!A:G,4,)</f>
        <v>mumbai</v>
      </c>
    </row>
    <row r="854" spans="1:9" x14ac:dyDescent="0.3">
      <c r="A854">
        <v>20853</v>
      </c>
      <c r="B854">
        <v>417</v>
      </c>
      <c r="C854" s="2">
        <v>44770</v>
      </c>
      <c r="D854" s="2" t="str">
        <f>TEXT(Table4[[#This Row],[issue_date]],"mmmm")</f>
        <v>July</v>
      </c>
      <c r="E854" s="9">
        <f>YEAR(Table4[[#This Row],[issue_date]])</f>
        <v>2022</v>
      </c>
      <c r="F854" t="s">
        <v>22</v>
      </c>
      <c r="G854">
        <v>13</v>
      </c>
      <c r="H854" t="s">
        <v>23</v>
      </c>
      <c r="I854" t="str">
        <f>VLOOKUP(Table4[[#This Row],[customer_id]],customers!A:G,4,)</f>
        <v>bangalore</v>
      </c>
    </row>
    <row r="855" spans="1:9" x14ac:dyDescent="0.3">
      <c r="A855">
        <v>20854</v>
      </c>
      <c r="B855">
        <v>475</v>
      </c>
      <c r="C855" s="2">
        <v>45135</v>
      </c>
      <c r="D855" s="2" t="str">
        <f>TEXT(Table4[[#This Row],[issue_date]],"mmmm")</f>
        <v>July</v>
      </c>
      <c r="E855" s="9">
        <f>YEAR(Table4[[#This Row],[issue_date]])</f>
        <v>2023</v>
      </c>
      <c r="F855" t="s">
        <v>19</v>
      </c>
      <c r="G855">
        <v>29</v>
      </c>
      <c r="H855" t="s">
        <v>20</v>
      </c>
      <c r="I855" t="str">
        <f>VLOOKUP(Table4[[#This Row],[customer_id]],customers!A:G,4,)</f>
        <v>delhi</v>
      </c>
    </row>
    <row r="856" spans="1:9" x14ac:dyDescent="0.3">
      <c r="A856">
        <v>20855</v>
      </c>
      <c r="B856">
        <v>392</v>
      </c>
      <c r="C856" s="2">
        <v>45313</v>
      </c>
      <c r="D856" s="2" t="str">
        <f>TEXT(Table4[[#This Row],[issue_date]],"mmmm")</f>
        <v>January</v>
      </c>
      <c r="E856" s="9">
        <f>YEAR(Table4[[#This Row],[issue_date]])</f>
        <v>2024</v>
      </c>
      <c r="F856" t="s">
        <v>22</v>
      </c>
      <c r="G856">
        <v>66</v>
      </c>
      <c r="H856" t="s">
        <v>20</v>
      </c>
      <c r="I856" t="str">
        <f>VLOOKUP(Table4[[#This Row],[customer_id]],customers!A:G,4,)</f>
        <v>hyderabad</v>
      </c>
    </row>
    <row r="857" spans="1:9" x14ac:dyDescent="0.3">
      <c r="A857">
        <v>20856</v>
      </c>
      <c r="B857">
        <v>389</v>
      </c>
      <c r="C857" s="2">
        <v>45035</v>
      </c>
      <c r="D857" s="2" t="str">
        <f>TEXT(Table4[[#This Row],[issue_date]],"mmmm")</f>
        <v>April</v>
      </c>
      <c r="E857" s="9">
        <f>YEAR(Table4[[#This Row],[issue_date]])</f>
        <v>2023</v>
      </c>
      <c r="F857" t="s">
        <v>19</v>
      </c>
      <c r="G857">
        <v>59</v>
      </c>
      <c r="H857" t="s">
        <v>20</v>
      </c>
      <c r="I857" t="str">
        <f>VLOOKUP(Table4[[#This Row],[customer_id]],customers!A:G,4,)</f>
        <v>bangalore</v>
      </c>
    </row>
    <row r="858" spans="1:9" x14ac:dyDescent="0.3">
      <c r="A858">
        <v>20857</v>
      </c>
      <c r="B858">
        <v>61</v>
      </c>
      <c r="C858" s="2">
        <v>44622</v>
      </c>
      <c r="D858" s="2" t="str">
        <f>TEXT(Table4[[#This Row],[issue_date]],"mmmm")</f>
        <v>March</v>
      </c>
      <c r="E858" s="9">
        <f>YEAR(Table4[[#This Row],[issue_date]])</f>
        <v>2022</v>
      </c>
      <c r="F858" t="s">
        <v>19</v>
      </c>
      <c r="G858">
        <v>48</v>
      </c>
      <c r="H858" t="s">
        <v>20</v>
      </c>
      <c r="I858" t="str">
        <f>VLOOKUP(Table4[[#This Row],[customer_id]],customers!A:G,4,)</f>
        <v>hyderabad</v>
      </c>
    </row>
    <row r="859" spans="1:9" x14ac:dyDescent="0.3">
      <c r="A859">
        <v>20858</v>
      </c>
      <c r="B859">
        <v>456</v>
      </c>
      <c r="C859" s="2">
        <v>44907</v>
      </c>
      <c r="D859" s="2" t="str">
        <f>TEXT(Table4[[#This Row],[issue_date]],"mmmm")</f>
        <v>December</v>
      </c>
      <c r="E859" s="9">
        <f>YEAR(Table4[[#This Row],[issue_date]])</f>
        <v>2022</v>
      </c>
      <c r="F859" t="s">
        <v>22</v>
      </c>
      <c r="G859">
        <v>4</v>
      </c>
      <c r="H859" t="s">
        <v>20</v>
      </c>
      <c r="I859" t="str">
        <f>VLOOKUP(Table4[[#This Row],[customer_id]],customers!A:G,4,)</f>
        <v>kolkata</v>
      </c>
    </row>
    <row r="860" spans="1:9" x14ac:dyDescent="0.3">
      <c r="A860">
        <v>20859</v>
      </c>
      <c r="B860">
        <v>360</v>
      </c>
      <c r="C860" s="2">
        <v>44573</v>
      </c>
      <c r="D860" s="2" t="str">
        <f>TEXT(Table4[[#This Row],[issue_date]],"mmmm")</f>
        <v>January</v>
      </c>
      <c r="E860" s="9">
        <f>YEAR(Table4[[#This Row],[issue_date]])</f>
        <v>2022</v>
      </c>
      <c r="F860" t="s">
        <v>21</v>
      </c>
      <c r="G860">
        <v>51</v>
      </c>
      <c r="H860" t="s">
        <v>20</v>
      </c>
      <c r="I860" t="str">
        <f>VLOOKUP(Table4[[#This Row],[customer_id]],customers!A:G,4,)</f>
        <v>hyderabad</v>
      </c>
    </row>
    <row r="861" spans="1:9" x14ac:dyDescent="0.3">
      <c r="A861">
        <v>20860</v>
      </c>
      <c r="B861">
        <v>188</v>
      </c>
      <c r="C861" s="2">
        <v>45027</v>
      </c>
      <c r="D861" s="2" t="str">
        <f>TEXT(Table4[[#This Row],[issue_date]],"mmmm")</f>
        <v>April</v>
      </c>
      <c r="E861" s="9">
        <f>YEAR(Table4[[#This Row],[issue_date]])</f>
        <v>2023</v>
      </c>
      <c r="F861" t="s">
        <v>22</v>
      </c>
      <c r="G861">
        <v>5</v>
      </c>
      <c r="H861" t="s">
        <v>20</v>
      </c>
      <c r="I861" t="str">
        <f>VLOOKUP(Table4[[#This Row],[customer_id]],customers!A:G,4,)</f>
        <v>delhi</v>
      </c>
    </row>
    <row r="862" spans="1:9" x14ac:dyDescent="0.3">
      <c r="A862">
        <v>20861</v>
      </c>
      <c r="B862">
        <v>469</v>
      </c>
      <c r="C862" s="2">
        <v>45210</v>
      </c>
      <c r="D862" s="2" t="str">
        <f>TEXT(Table4[[#This Row],[issue_date]],"mmmm")</f>
        <v>October</v>
      </c>
      <c r="E862" s="9">
        <f>YEAR(Table4[[#This Row],[issue_date]])</f>
        <v>2023</v>
      </c>
      <c r="F862" t="s">
        <v>19</v>
      </c>
      <c r="G862">
        <v>39</v>
      </c>
      <c r="H862" t="s">
        <v>23</v>
      </c>
      <c r="I862" t="str">
        <f>VLOOKUP(Table4[[#This Row],[customer_id]],customers!A:G,4,)</f>
        <v>bangalore</v>
      </c>
    </row>
    <row r="863" spans="1:9" x14ac:dyDescent="0.3">
      <c r="A863">
        <v>20862</v>
      </c>
      <c r="B863">
        <v>408</v>
      </c>
      <c r="C863" s="2">
        <v>44756</v>
      </c>
      <c r="D863" s="2" t="str">
        <f>TEXT(Table4[[#This Row],[issue_date]],"mmmm")</f>
        <v>July</v>
      </c>
      <c r="E863" s="9">
        <f>YEAR(Table4[[#This Row],[issue_date]])</f>
        <v>2022</v>
      </c>
      <c r="F863" t="s">
        <v>19</v>
      </c>
      <c r="G863">
        <v>41</v>
      </c>
      <c r="H863" t="s">
        <v>20</v>
      </c>
      <c r="I863" t="str">
        <f>VLOOKUP(Table4[[#This Row],[customer_id]],customers!A:G,4,)</f>
        <v>chennai</v>
      </c>
    </row>
    <row r="864" spans="1:9" x14ac:dyDescent="0.3">
      <c r="A864">
        <v>20863</v>
      </c>
      <c r="B864">
        <v>7</v>
      </c>
      <c r="C864" s="2">
        <v>44635</v>
      </c>
      <c r="D864" s="2" t="str">
        <f>TEXT(Table4[[#This Row],[issue_date]],"mmmm")</f>
        <v>March</v>
      </c>
      <c r="E864" s="9">
        <f>YEAR(Table4[[#This Row],[issue_date]])</f>
        <v>2022</v>
      </c>
      <c r="F864" t="s">
        <v>21</v>
      </c>
      <c r="G864">
        <v>5</v>
      </c>
      <c r="H864" t="s">
        <v>20</v>
      </c>
      <c r="I864" t="str">
        <f>VLOOKUP(Table4[[#This Row],[customer_id]],customers!A:G,4,)</f>
        <v>bangalore</v>
      </c>
    </row>
    <row r="865" spans="1:9" x14ac:dyDescent="0.3">
      <c r="A865">
        <v>20864</v>
      </c>
      <c r="B865">
        <v>189</v>
      </c>
      <c r="C865" s="2">
        <v>45436</v>
      </c>
      <c r="D865" s="2" t="str">
        <f>TEXT(Table4[[#This Row],[issue_date]],"mmmm")</f>
        <v>May</v>
      </c>
      <c r="E865" s="9">
        <f>YEAR(Table4[[#This Row],[issue_date]])</f>
        <v>2024</v>
      </c>
      <c r="F865" t="s">
        <v>21</v>
      </c>
      <c r="G865">
        <v>8</v>
      </c>
      <c r="H865" t="s">
        <v>20</v>
      </c>
      <c r="I865" t="str">
        <f>VLOOKUP(Table4[[#This Row],[customer_id]],customers!A:G,4,)</f>
        <v>delhi</v>
      </c>
    </row>
    <row r="866" spans="1:9" x14ac:dyDescent="0.3">
      <c r="A866">
        <v>20865</v>
      </c>
      <c r="B866">
        <v>83</v>
      </c>
      <c r="C866" s="2">
        <v>44947</v>
      </c>
      <c r="D866" s="2" t="str">
        <f>TEXT(Table4[[#This Row],[issue_date]],"mmmm")</f>
        <v>January</v>
      </c>
      <c r="E866" s="9">
        <f>YEAR(Table4[[#This Row],[issue_date]])</f>
        <v>2023</v>
      </c>
      <c r="F866" t="s">
        <v>21</v>
      </c>
      <c r="G866">
        <v>56</v>
      </c>
      <c r="H866" t="s">
        <v>20</v>
      </c>
      <c r="I866" t="str">
        <f>VLOOKUP(Table4[[#This Row],[customer_id]],customers!A:G,4,)</f>
        <v>bangalore</v>
      </c>
    </row>
    <row r="867" spans="1:9" x14ac:dyDescent="0.3">
      <c r="A867">
        <v>20866</v>
      </c>
      <c r="B867">
        <v>351</v>
      </c>
      <c r="C867" s="2">
        <v>44697</v>
      </c>
      <c r="D867" s="2" t="str">
        <f>TEXT(Table4[[#This Row],[issue_date]],"mmmm")</f>
        <v>May</v>
      </c>
      <c r="E867" s="9">
        <f>YEAR(Table4[[#This Row],[issue_date]])</f>
        <v>2022</v>
      </c>
      <c r="F867" t="s">
        <v>19</v>
      </c>
      <c r="G867">
        <v>25</v>
      </c>
      <c r="H867" t="s">
        <v>20</v>
      </c>
      <c r="I867" t="str">
        <f>VLOOKUP(Table4[[#This Row],[customer_id]],customers!A:G,4,)</f>
        <v>bangalore</v>
      </c>
    </row>
    <row r="868" spans="1:9" x14ac:dyDescent="0.3">
      <c r="A868">
        <v>20867</v>
      </c>
      <c r="B868">
        <v>420</v>
      </c>
      <c r="C868" s="2">
        <v>45445</v>
      </c>
      <c r="D868" s="2" t="str">
        <f>TEXT(Table4[[#This Row],[issue_date]],"mmmm")</f>
        <v>June</v>
      </c>
      <c r="E868" s="9">
        <f>YEAR(Table4[[#This Row],[issue_date]])</f>
        <v>2024</v>
      </c>
      <c r="F868" t="s">
        <v>22</v>
      </c>
      <c r="G868">
        <v>52</v>
      </c>
      <c r="H868" t="s">
        <v>20</v>
      </c>
      <c r="I868" t="str">
        <f>VLOOKUP(Table4[[#This Row],[customer_id]],customers!A:G,4,)</f>
        <v>delhi</v>
      </c>
    </row>
    <row r="869" spans="1:9" x14ac:dyDescent="0.3">
      <c r="A869">
        <v>20868</v>
      </c>
      <c r="B869">
        <v>283</v>
      </c>
      <c r="C869" s="2">
        <v>45116</v>
      </c>
      <c r="D869" s="2" t="str">
        <f>TEXT(Table4[[#This Row],[issue_date]],"mmmm")</f>
        <v>July</v>
      </c>
      <c r="E869" s="9">
        <f>YEAR(Table4[[#This Row],[issue_date]])</f>
        <v>2023</v>
      </c>
      <c r="F869" t="s">
        <v>21</v>
      </c>
      <c r="G869">
        <v>52</v>
      </c>
      <c r="H869" t="s">
        <v>20</v>
      </c>
      <c r="I869" t="str">
        <f>VLOOKUP(Table4[[#This Row],[customer_id]],customers!A:G,4,)</f>
        <v>hyderabad</v>
      </c>
    </row>
    <row r="870" spans="1:9" x14ac:dyDescent="0.3">
      <c r="A870">
        <v>20869</v>
      </c>
      <c r="B870">
        <v>124</v>
      </c>
      <c r="C870" s="2">
        <v>44997</v>
      </c>
      <c r="D870" s="2" t="str">
        <f>TEXT(Table4[[#This Row],[issue_date]],"mmmm")</f>
        <v>March</v>
      </c>
      <c r="E870" s="9">
        <f>YEAR(Table4[[#This Row],[issue_date]])</f>
        <v>2023</v>
      </c>
      <c r="F870" t="s">
        <v>19</v>
      </c>
      <c r="G870">
        <v>7</v>
      </c>
      <c r="H870" t="s">
        <v>23</v>
      </c>
      <c r="I870" t="str">
        <f>VLOOKUP(Table4[[#This Row],[customer_id]],customers!A:G,4,)</f>
        <v>kolkata</v>
      </c>
    </row>
    <row r="871" spans="1:9" x14ac:dyDescent="0.3">
      <c r="A871">
        <v>20870</v>
      </c>
      <c r="B871">
        <v>157</v>
      </c>
      <c r="C871" s="2">
        <v>44600</v>
      </c>
      <c r="D871" s="2" t="str">
        <f>TEXT(Table4[[#This Row],[issue_date]],"mmmm")</f>
        <v>February</v>
      </c>
      <c r="E871" s="9">
        <f>YEAR(Table4[[#This Row],[issue_date]])</f>
        <v>2022</v>
      </c>
      <c r="F871" t="s">
        <v>22</v>
      </c>
      <c r="G871">
        <v>61</v>
      </c>
      <c r="H871" t="s">
        <v>20</v>
      </c>
      <c r="I871" t="str">
        <f>VLOOKUP(Table4[[#This Row],[customer_id]],customers!A:G,4,)</f>
        <v>chennai</v>
      </c>
    </row>
    <row r="872" spans="1:9" x14ac:dyDescent="0.3">
      <c r="A872">
        <v>20871</v>
      </c>
      <c r="B872">
        <v>87</v>
      </c>
      <c r="C872" s="2">
        <v>45104</v>
      </c>
      <c r="D872" s="2" t="str">
        <f>TEXT(Table4[[#This Row],[issue_date]],"mmmm")</f>
        <v>June</v>
      </c>
      <c r="E872" s="9">
        <f>YEAR(Table4[[#This Row],[issue_date]])</f>
        <v>2023</v>
      </c>
      <c r="F872" t="s">
        <v>21</v>
      </c>
      <c r="G872">
        <v>47</v>
      </c>
      <c r="H872" t="s">
        <v>20</v>
      </c>
      <c r="I872" t="str">
        <f>VLOOKUP(Table4[[#This Row],[customer_id]],customers!A:G,4,)</f>
        <v>hyderabad</v>
      </c>
    </row>
    <row r="873" spans="1:9" x14ac:dyDescent="0.3">
      <c r="A873">
        <v>20872</v>
      </c>
      <c r="B873">
        <v>148</v>
      </c>
      <c r="C873" s="2">
        <v>45215</v>
      </c>
      <c r="D873" s="2" t="str">
        <f>TEXT(Table4[[#This Row],[issue_date]],"mmmm")</f>
        <v>October</v>
      </c>
      <c r="E873" s="9">
        <f>YEAR(Table4[[#This Row],[issue_date]])</f>
        <v>2023</v>
      </c>
      <c r="F873" t="s">
        <v>22</v>
      </c>
      <c r="G873">
        <v>66</v>
      </c>
      <c r="H873" t="s">
        <v>20</v>
      </c>
      <c r="I873" t="str">
        <f>VLOOKUP(Table4[[#This Row],[customer_id]],customers!A:G,4,)</f>
        <v>kolkata</v>
      </c>
    </row>
    <row r="874" spans="1:9" x14ac:dyDescent="0.3">
      <c r="A874">
        <v>20873</v>
      </c>
      <c r="B874">
        <v>70</v>
      </c>
      <c r="C874" s="2">
        <v>44881</v>
      </c>
      <c r="D874" s="2" t="str">
        <f>TEXT(Table4[[#This Row],[issue_date]],"mmmm")</f>
        <v>November</v>
      </c>
      <c r="E874" s="9">
        <f>YEAR(Table4[[#This Row],[issue_date]])</f>
        <v>2022</v>
      </c>
      <c r="F874" t="s">
        <v>22</v>
      </c>
      <c r="G874">
        <v>59</v>
      </c>
      <c r="H874" t="s">
        <v>20</v>
      </c>
      <c r="I874" t="str">
        <f>VLOOKUP(Table4[[#This Row],[customer_id]],customers!A:G,4,)</f>
        <v>chennai</v>
      </c>
    </row>
    <row r="875" spans="1:9" x14ac:dyDescent="0.3">
      <c r="A875">
        <v>20874</v>
      </c>
      <c r="B875">
        <v>460</v>
      </c>
      <c r="C875" s="2">
        <v>45432</v>
      </c>
      <c r="D875" s="2" t="str">
        <f>TEXT(Table4[[#This Row],[issue_date]],"mmmm")</f>
        <v>May</v>
      </c>
      <c r="E875" s="9">
        <f>YEAR(Table4[[#This Row],[issue_date]])</f>
        <v>2024</v>
      </c>
      <c r="F875" t="s">
        <v>19</v>
      </c>
      <c r="G875">
        <v>5</v>
      </c>
      <c r="H875" t="s">
        <v>20</v>
      </c>
      <c r="I875" t="str">
        <f>VLOOKUP(Table4[[#This Row],[customer_id]],customers!A:G,4,)</f>
        <v>hyderabad</v>
      </c>
    </row>
    <row r="876" spans="1:9" x14ac:dyDescent="0.3">
      <c r="A876">
        <v>20875</v>
      </c>
      <c r="B876">
        <v>370</v>
      </c>
      <c r="C876" s="2">
        <v>45426</v>
      </c>
      <c r="D876" s="2" t="str">
        <f>TEXT(Table4[[#This Row],[issue_date]],"mmmm")</f>
        <v>May</v>
      </c>
      <c r="E876" s="9">
        <f>YEAR(Table4[[#This Row],[issue_date]])</f>
        <v>2024</v>
      </c>
      <c r="F876" t="s">
        <v>19</v>
      </c>
      <c r="G876">
        <v>44</v>
      </c>
      <c r="H876" t="s">
        <v>20</v>
      </c>
      <c r="I876" t="str">
        <f>VLOOKUP(Table4[[#This Row],[customer_id]],customers!A:G,4,)</f>
        <v>kolkata</v>
      </c>
    </row>
    <row r="877" spans="1:9" x14ac:dyDescent="0.3">
      <c r="A877">
        <v>20876</v>
      </c>
      <c r="B877">
        <v>76</v>
      </c>
      <c r="C877" s="2">
        <v>45117</v>
      </c>
      <c r="D877" s="2" t="str">
        <f>TEXT(Table4[[#This Row],[issue_date]],"mmmm")</f>
        <v>July</v>
      </c>
      <c r="E877" s="9">
        <f>YEAR(Table4[[#This Row],[issue_date]])</f>
        <v>2023</v>
      </c>
      <c r="F877" t="s">
        <v>19</v>
      </c>
      <c r="G877">
        <v>42</v>
      </c>
      <c r="H877" t="s">
        <v>20</v>
      </c>
      <c r="I877" t="str">
        <f>VLOOKUP(Table4[[#This Row],[customer_id]],customers!A:G,4,)</f>
        <v>mumbai</v>
      </c>
    </row>
    <row r="878" spans="1:9" x14ac:dyDescent="0.3">
      <c r="A878">
        <v>20877</v>
      </c>
      <c r="B878">
        <v>114</v>
      </c>
      <c r="C878" s="2">
        <v>45261</v>
      </c>
      <c r="D878" s="2" t="str">
        <f>TEXT(Table4[[#This Row],[issue_date]],"mmmm")</f>
        <v>December</v>
      </c>
      <c r="E878" s="9">
        <f>YEAR(Table4[[#This Row],[issue_date]])</f>
        <v>2023</v>
      </c>
      <c r="F878" t="s">
        <v>22</v>
      </c>
      <c r="G878">
        <v>61</v>
      </c>
      <c r="H878" t="s">
        <v>20</v>
      </c>
      <c r="I878" t="str">
        <f>VLOOKUP(Table4[[#This Row],[customer_id]],customers!A:G,4,)</f>
        <v>mumbai</v>
      </c>
    </row>
    <row r="879" spans="1:9" x14ac:dyDescent="0.3">
      <c r="A879">
        <v>20878</v>
      </c>
      <c r="B879">
        <v>3</v>
      </c>
      <c r="C879" s="2">
        <v>44914</v>
      </c>
      <c r="D879" s="2" t="str">
        <f>TEXT(Table4[[#This Row],[issue_date]],"mmmm")</f>
        <v>December</v>
      </c>
      <c r="E879" s="9">
        <f>YEAR(Table4[[#This Row],[issue_date]])</f>
        <v>2022</v>
      </c>
      <c r="F879" t="s">
        <v>21</v>
      </c>
      <c r="G879">
        <v>63</v>
      </c>
      <c r="H879" t="s">
        <v>23</v>
      </c>
      <c r="I879" t="str">
        <f>VLOOKUP(Table4[[#This Row],[customer_id]],customers!A:G,4,)</f>
        <v>mumbai</v>
      </c>
    </row>
    <row r="880" spans="1:9" x14ac:dyDescent="0.3">
      <c r="A880">
        <v>20879</v>
      </c>
      <c r="B880">
        <v>234</v>
      </c>
      <c r="C880" s="2">
        <v>45075</v>
      </c>
      <c r="D880" s="2" t="str">
        <f>TEXT(Table4[[#This Row],[issue_date]],"mmmm")</f>
        <v>May</v>
      </c>
      <c r="E880" s="9">
        <f>YEAR(Table4[[#This Row],[issue_date]])</f>
        <v>2023</v>
      </c>
      <c r="F880" t="s">
        <v>21</v>
      </c>
      <c r="G880">
        <v>50</v>
      </c>
      <c r="H880" t="s">
        <v>20</v>
      </c>
      <c r="I880" t="str">
        <f>VLOOKUP(Table4[[#This Row],[customer_id]],customers!A:G,4,)</f>
        <v>hyderabad</v>
      </c>
    </row>
    <row r="881" spans="1:9" x14ac:dyDescent="0.3">
      <c r="A881">
        <v>20880</v>
      </c>
      <c r="B881">
        <v>167</v>
      </c>
      <c r="C881" s="2">
        <v>45044</v>
      </c>
      <c r="D881" s="2" t="str">
        <f>TEXT(Table4[[#This Row],[issue_date]],"mmmm")</f>
        <v>April</v>
      </c>
      <c r="E881" s="9">
        <f>YEAR(Table4[[#This Row],[issue_date]])</f>
        <v>2023</v>
      </c>
      <c r="F881" t="s">
        <v>21</v>
      </c>
      <c r="G881">
        <v>38</v>
      </c>
      <c r="H881" t="s">
        <v>20</v>
      </c>
      <c r="I881" t="str">
        <f>VLOOKUP(Table4[[#This Row],[customer_id]],customers!A:G,4,)</f>
        <v>bangalore</v>
      </c>
    </row>
    <row r="882" spans="1:9" x14ac:dyDescent="0.3">
      <c r="A882">
        <v>20881</v>
      </c>
      <c r="B882">
        <v>99</v>
      </c>
      <c r="C882" s="2">
        <v>44977</v>
      </c>
      <c r="D882" s="2" t="str">
        <f>TEXT(Table4[[#This Row],[issue_date]],"mmmm")</f>
        <v>February</v>
      </c>
      <c r="E882" s="9">
        <f>YEAR(Table4[[#This Row],[issue_date]])</f>
        <v>2023</v>
      </c>
      <c r="F882" t="s">
        <v>19</v>
      </c>
      <c r="G882">
        <v>54</v>
      </c>
      <c r="H882" t="s">
        <v>20</v>
      </c>
      <c r="I882" t="str">
        <f>VLOOKUP(Table4[[#This Row],[customer_id]],customers!A:G,4,)</f>
        <v>hyderabad</v>
      </c>
    </row>
    <row r="883" spans="1:9" x14ac:dyDescent="0.3">
      <c r="A883">
        <v>20882</v>
      </c>
      <c r="B883">
        <v>124</v>
      </c>
      <c r="C883" s="2">
        <v>45365</v>
      </c>
      <c r="D883" s="2" t="str">
        <f>TEXT(Table4[[#This Row],[issue_date]],"mmmm")</f>
        <v>March</v>
      </c>
      <c r="E883" s="9">
        <f>YEAR(Table4[[#This Row],[issue_date]])</f>
        <v>2024</v>
      </c>
      <c r="F883" t="s">
        <v>21</v>
      </c>
      <c r="G883">
        <v>44</v>
      </c>
      <c r="H883" t="s">
        <v>20</v>
      </c>
      <c r="I883" t="str">
        <f>VLOOKUP(Table4[[#This Row],[customer_id]],customers!A:G,4,)</f>
        <v>kolkata</v>
      </c>
    </row>
    <row r="884" spans="1:9" x14ac:dyDescent="0.3">
      <c r="A884">
        <v>20883</v>
      </c>
      <c r="B884">
        <v>467</v>
      </c>
      <c r="C884" s="2">
        <v>45384</v>
      </c>
      <c r="D884" s="2" t="str">
        <f>TEXT(Table4[[#This Row],[issue_date]],"mmmm")</f>
        <v>April</v>
      </c>
      <c r="E884" s="9">
        <f>YEAR(Table4[[#This Row],[issue_date]])</f>
        <v>2024</v>
      </c>
      <c r="F884" t="s">
        <v>21</v>
      </c>
      <c r="G884">
        <v>24</v>
      </c>
      <c r="H884" t="s">
        <v>20</v>
      </c>
      <c r="I884" t="str">
        <f>VLOOKUP(Table4[[#This Row],[customer_id]],customers!A:G,4,)</f>
        <v>hyderabad</v>
      </c>
    </row>
    <row r="885" spans="1:9" x14ac:dyDescent="0.3">
      <c r="A885">
        <v>20884</v>
      </c>
      <c r="B885">
        <v>45</v>
      </c>
      <c r="C885" s="2">
        <v>44931</v>
      </c>
      <c r="D885" s="2" t="str">
        <f>TEXT(Table4[[#This Row],[issue_date]],"mmmm")</f>
        <v>January</v>
      </c>
      <c r="E885" s="9">
        <f>YEAR(Table4[[#This Row],[issue_date]])</f>
        <v>2023</v>
      </c>
      <c r="F885" t="s">
        <v>19</v>
      </c>
      <c r="G885">
        <v>63</v>
      </c>
      <c r="H885" t="s">
        <v>20</v>
      </c>
      <c r="I885" t="str">
        <f>VLOOKUP(Table4[[#This Row],[customer_id]],customers!A:G,4,)</f>
        <v>bangalore</v>
      </c>
    </row>
    <row r="886" spans="1:9" x14ac:dyDescent="0.3">
      <c r="A886">
        <v>20885</v>
      </c>
      <c r="B886">
        <v>382</v>
      </c>
      <c r="C886" s="2">
        <v>44904</v>
      </c>
      <c r="D886" s="2" t="str">
        <f>TEXT(Table4[[#This Row],[issue_date]],"mmmm")</f>
        <v>December</v>
      </c>
      <c r="E886" s="9">
        <f>YEAR(Table4[[#This Row],[issue_date]])</f>
        <v>2022</v>
      </c>
      <c r="F886" t="s">
        <v>21</v>
      </c>
      <c r="G886">
        <v>39</v>
      </c>
      <c r="H886" t="s">
        <v>20</v>
      </c>
      <c r="I886" t="str">
        <f>VLOOKUP(Table4[[#This Row],[customer_id]],customers!A:G,4,)</f>
        <v>delhi</v>
      </c>
    </row>
    <row r="887" spans="1:9" x14ac:dyDescent="0.3">
      <c r="A887">
        <v>20886</v>
      </c>
      <c r="B887">
        <v>324</v>
      </c>
      <c r="C887" s="2">
        <v>44886</v>
      </c>
      <c r="D887" s="2" t="str">
        <f>TEXT(Table4[[#This Row],[issue_date]],"mmmm")</f>
        <v>November</v>
      </c>
      <c r="E887" s="9">
        <f>YEAR(Table4[[#This Row],[issue_date]])</f>
        <v>2022</v>
      </c>
      <c r="F887" t="s">
        <v>21</v>
      </c>
      <c r="G887">
        <v>12</v>
      </c>
      <c r="H887" t="s">
        <v>20</v>
      </c>
      <c r="I887" t="str">
        <f>VLOOKUP(Table4[[#This Row],[customer_id]],customers!A:G,4,)</f>
        <v>delhi</v>
      </c>
    </row>
    <row r="888" spans="1:9" x14ac:dyDescent="0.3">
      <c r="A888">
        <v>20887</v>
      </c>
      <c r="B888">
        <v>287</v>
      </c>
      <c r="C888" s="2">
        <v>44928</v>
      </c>
      <c r="D888" s="2" t="str">
        <f>TEXT(Table4[[#This Row],[issue_date]],"mmmm")</f>
        <v>January</v>
      </c>
      <c r="E888" s="9">
        <f>YEAR(Table4[[#This Row],[issue_date]])</f>
        <v>2023</v>
      </c>
      <c r="F888" t="s">
        <v>21</v>
      </c>
      <c r="G888">
        <v>63</v>
      </c>
      <c r="H888" t="s">
        <v>20</v>
      </c>
      <c r="I888" t="str">
        <f>VLOOKUP(Table4[[#This Row],[customer_id]],customers!A:G,4,)</f>
        <v>bangalore</v>
      </c>
    </row>
    <row r="889" spans="1:9" x14ac:dyDescent="0.3">
      <c r="A889">
        <v>20888</v>
      </c>
      <c r="B889">
        <v>106</v>
      </c>
      <c r="C889" s="2">
        <v>44897</v>
      </c>
      <c r="D889" s="2" t="str">
        <f>TEXT(Table4[[#This Row],[issue_date]],"mmmm")</f>
        <v>December</v>
      </c>
      <c r="E889" s="9">
        <f>YEAR(Table4[[#This Row],[issue_date]])</f>
        <v>2022</v>
      </c>
      <c r="F889" t="s">
        <v>22</v>
      </c>
      <c r="G889">
        <v>9</v>
      </c>
      <c r="H889" t="s">
        <v>20</v>
      </c>
      <c r="I889" t="str">
        <f>VLOOKUP(Table4[[#This Row],[customer_id]],customers!A:G,4,)</f>
        <v>bangalore</v>
      </c>
    </row>
    <row r="890" spans="1:9" x14ac:dyDescent="0.3">
      <c r="A890">
        <v>20889</v>
      </c>
      <c r="B890">
        <v>294</v>
      </c>
      <c r="C890" s="2">
        <v>44857</v>
      </c>
      <c r="D890" s="2" t="str">
        <f>TEXT(Table4[[#This Row],[issue_date]],"mmmm")</f>
        <v>October</v>
      </c>
      <c r="E890" s="9">
        <f>YEAR(Table4[[#This Row],[issue_date]])</f>
        <v>2022</v>
      </c>
      <c r="F890" t="s">
        <v>22</v>
      </c>
      <c r="G890">
        <v>22</v>
      </c>
      <c r="H890" t="s">
        <v>20</v>
      </c>
      <c r="I890" t="str">
        <f>VLOOKUP(Table4[[#This Row],[customer_id]],customers!A:G,4,)</f>
        <v>hyderabad</v>
      </c>
    </row>
    <row r="891" spans="1:9" x14ac:dyDescent="0.3">
      <c r="A891">
        <v>20890</v>
      </c>
      <c r="B891">
        <v>481</v>
      </c>
      <c r="C891" s="2">
        <v>44585</v>
      </c>
      <c r="D891" s="2" t="str">
        <f>TEXT(Table4[[#This Row],[issue_date]],"mmmm")</f>
        <v>January</v>
      </c>
      <c r="E891" s="9">
        <f>YEAR(Table4[[#This Row],[issue_date]])</f>
        <v>2022</v>
      </c>
      <c r="F891" t="s">
        <v>19</v>
      </c>
      <c r="G891">
        <v>36</v>
      </c>
      <c r="H891" t="s">
        <v>20</v>
      </c>
      <c r="I891" t="str">
        <f>VLOOKUP(Table4[[#This Row],[customer_id]],customers!A:G,4,)</f>
        <v>kolkata</v>
      </c>
    </row>
    <row r="892" spans="1:9" x14ac:dyDescent="0.3">
      <c r="A892">
        <v>20891</v>
      </c>
      <c r="B892">
        <v>134</v>
      </c>
      <c r="C892" s="2">
        <v>45446</v>
      </c>
      <c r="D892" s="2" t="str">
        <f>TEXT(Table4[[#This Row],[issue_date]],"mmmm")</f>
        <v>June</v>
      </c>
      <c r="E892" s="9">
        <f>YEAR(Table4[[#This Row],[issue_date]])</f>
        <v>2024</v>
      </c>
      <c r="F892" t="s">
        <v>19</v>
      </c>
      <c r="G892">
        <v>28</v>
      </c>
      <c r="H892" t="s">
        <v>20</v>
      </c>
      <c r="I892" t="str">
        <f>VLOOKUP(Table4[[#This Row],[customer_id]],customers!A:G,4,)</f>
        <v>mumbai</v>
      </c>
    </row>
    <row r="893" spans="1:9" x14ac:dyDescent="0.3">
      <c r="A893">
        <v>20892</v>
      </c>
      <c r="B893">
        <v>8</v>
      </c>
      <c r="C893" s="2">
        <v>45003</v>
      </c>
      <c r="D893" s="2" t="str">
        <f>TEXT(Table4[[#This Row],[issue_date]],"mmmm")</f>
        <v>March</v>
      </c>
      <c r="E893" s="9">
        <f>YEAR(Table4[[#This Row],[issue_date]])</f>
        <v>2023</v>
      </c>
      <c r="F893" t="s">
        <v>22</v>
      </c>
      <c r="G893">
        <v>56</v>
      </c>
      <c r="H893" t="s">
        <v>23</v>
      </c>
      <c r="I893" t="str">
        <f>VLOOKUP(Table4[[#This Row],[customer_id]],customers!A:G,4,)</f>
        <v>mumbai</v>
      </c>
    </row>
    <row r="894" spans="1:9" x14ac:dyDescent="0.3">
      <c r="A894">
        <v>20893</v>
      </c>
      <c r="B894">
        <v>28</v>
      </c>
      <c r="C894" s="2">
        <v>44665</v>
      </c>
      <c r="D894" s="2" t="str">
        <f>TEXT(Table4[[#This Row],[issue_date]],"mmmm")</f>
        <v>April</v>
      </c>
      <c r="E894" s="9">
        <f>YEAR(Table4[[#This Row],[issue_date]])</f>
        <v>2022</v>
      </c>
      <c r="F894" t="s">
        <v>19</v>
      </c>
      <c r="G894">
        <v>29</v>
      </c>
      <c r="H894" t="s">
        <v>20</v>
      </c>
      <c r="I894" t="str">
        <f>VLOOKUP(Table4[[#This Row],[customer_id]],customers!A:G,4,)</f>
        <v>delhi</v>
      </c>
    </row>
    <row r="895" spans="1:9" x14ac:dyDescent="0.3">
      <c r="A895">
        <v>20894</v>
      </c>
      <c r="B895">
        <v>271</v>
      </c>
      <c r="C895" s="2">
        <v>44973</v>
      </c>
      <c r="D895" s="2" t="str">
        <f>TEXT(Table4[[#This Row],[issue_date]],"mmmm")</f>
        <v>February</v>
      </c>
      <c r="E895" s="9">
        <f>YEAR(Table4[[#This Row],[issue_date]])</f>
        <v>2023</v>
      </c>
      <c r="F895" t="s">
        <v>19</v>
      </c>
      <c r="G895">
        <v>5</v>
      </c>
      <c r="H895" t="s">
        <v>20</v>
      </c>
      <c r="I895" t="str">
        <f>VLOOKUP(Table4[[#This Row],[customer_id]],customers!A:G,4,)</f>
        <v>kolkata</v>
      </c>
    </row>
    <row r="896" spans="1:9" x14ac:dyDescent="0.3">
      <c r="A896">
        <v>20895</v>
      </c>
      <c r="B896">
        <v>223</v>
      </c>
      <c r="C896" s="2">
        <v>45135</v>
      </c>
      <c r="D896" s="2" t="str">
        <f>TEXT(Table4[[#This Row],[issue_date]],"mmmm")</f>
        <v>July</v>
      </c>
      <c r="E896" s="9">
        <f>YEAR(Table4[[#This Row],[issue_date]])</f>
        <v>2023</v>
      </c>
      <c r="F896" t="s">
        <v>21</v>
      </c>
      <c r="G896">
        <v>4</v>
      </c>
      <c r="H896" t="s">
        <v>20</v>
      </c>
      <c r="I896" t="str">
        <f>VLOOKUP(Table4[[#This Row],[customer_id]],customers!A:G,4,)</f>
        <v>bangalore</v>
      </c>
    </row>
    <row r="897" spans="1:9" x14ac:dyDescent="0.3">
      <c r="A897">
        <v>20896</v>
      </c>
      <c r="B897">
        <v>8</v>
      </c>
      <c r="C897" s="2">
        <v>45226</v>
      </c>
      <c r="D897" s="2" t="str">
        <f>TEXT(Table4[[#This Row],[issue_date]],"mmmm")</f>
        <v>October</v>
      </c>
      <c r="E897" s="9">
        <f>YEAR(Table4[[#This Row],[issue_date]])</f>
        <v>2023</v>
      </c>
      <c r="F897" t="s">
        <v>19</v>
      </c>
      <c r="G897">
        <v>51</v>
      </c>
      <c r="H897" t="s">
        <v>20</v>
      </c>
      <c r="I897" t="str">
        <f>VLOOKUP(Table4[[#This Row],[customer_id]],customers!A:G,4,)</f>
        <v>mumbai</v>
      </c>
    </row>
    <row r="898" spans="1:9" x14ac:dyDescent="0.3">
      <c r="A898">
        <v>20897</v>
      </c>
      <c r="B898">
        <v>310</v>
      </c>
      <c r="C898" s="2">
        <v>45336</v>
      </c>
      <c r="D898" s="2" t="str">
        <f>TEXT(Table4[[#This Row],[issue_date]],"mmmm")</f>
        <v>February</v>
      </c>
      <c r="E898" s="9">
        <f>YEAR(Table4[[#This Row],[issue_date]])</f>
        <v>2024</v>
      </c>
      <c r="F898" t="s">
        <v>19</v>
      </c>
      <c r="G898">
        <v>15</v>
      </c>
      <c r="H898" t="s">
        <v>20</v>
      </c>
      <c r="I898" t="str">
        <f>VLOOKUP(Table4[[#This Row],[customer_id]],customers!A:G,4,)</f>
        <v>kolkata</v>
      </c>
    </row>
    <row r="899" spans="1:9" x14ac:dyDescent="0.3">
      <c r="A899">
        <v>20898</v>
      </c>
      <c r="B899">
        <v>134</v>
      </c>
      <c r="C899" s="2">
        <v>44855</v>
      </c>
      <c r="D899" s="2" t="str">
        <f>TEXT(Table4[[#This Row],[issue_date]],"mmmm")</f>
        <v>October</v>
      </c>
      <c r="E899" s="9">
        <f>YEAR(Table4[[#This Row],[issue_date]])</f>
        <v>2022</v>
      </c>
      <c r="F899" t="s">
        <v>21</v>
      </c>
      <c r="G899">
        <v>60</v>
      </c>
      <c r="H899" t="s">
        <v>20</v>
      </c>
      <c r="I899" t="str">
        <f>VLOOKUP(Table4[[#This Row],[customer_id]],customers!A:G,4,)</f>
        <v>mumbai</v>
      </c>
    </row>
    <row r="900" spans="1:9" x14ac:dyDescent="0.3">
      <c r="A900">
        <v>20899</v>
      </c>
      <c r="B900">
        <v>29</v>
      </c>
      <c r="C900" s="2">
        <v>45448</v>
      </c>
      <c r="D900" s="2" t="str">
        <f>TEXT(Table4[[#This Row],[issue_date]],"mmmm")</f>
        <v>June</v>
      </c>
      <c r="E900" s="9">
        <f>YEAR(Table4[[#This Row],[issue_date]])</f>
        <v>2024</v>
      </c>
      <c r="F900" t="s">
        <v>21</v>
      </c>
      <c r="G900">
        <v>26</v>
      </c>
      <c r="H900" t="s">
        <v>23</v>
      </c>
      <c r="I900" t="str">
        <f>VLOOKUP(Table4[[#This Row],[customer_id]],customers!A:G,4,)</f>
        <v>kolkata</v>
      </c>
    </row>
    <row r="901" spans="1:9" x14ac:dyDescent="0.3">
      <c r="A901">
        <v>20900</v>
      </c>
      <c r="B901">
        <v>115</v>
      </c>
      <c r="C901" s="2">
        <v>44804</v>
      </c>
      <c r="D901" s="2" t="str">
        <f>TEXT(Table4[[#This Row],[issue_date]],"mmmm")</f>
        <v>August</v>
      </c>
      <c r="E901" s="9">
        <f>YEAR(Table4[[#This Row],[issue_date]])</f>
        <v>2022</v>
      </c>
      <c r="F901" t="s">
        <v>22</v>
      </c>
      <c r="G901">
        <v>23</v>
      </c>
      <c r="H901" t="s">
        <v>20</v>
      </c>
      <c r="I901" t="str">
        <f>VLOOKUP(Table4[[#This Row],[customer_id]],customers!A:G,4,)</f>
        <v>bangalore</v>
      </c>
    </row>
    <row r="902" spans="1:9" x14ac:dyDescent="0.3">
      <c r="A902">
        <v>20901</v>
      </c>
      <c r="B902">
        <v>494</v>
      </c>
      <c r="C902" s="2">
        <v>44903</v>
      </c>
      <c r="D902" s="2" t="str">
        <f>TEXT(Table4[[#This Row],[issue_date]],"mmmm")</f>
        <v>December</v>
      </c>
      <c r="E902" s="9">
        <f>YEAR(Table4[[#This Row],[issue_date]])</f>
        <v>2022</v>
      </c>
      <c r="F902" t="s">
        <v>19</v>
      </c>
      <c r="G902">
        <v>29</v>
      </c>
      <c r="H902" t="s">
        <v>20</v>
      </c>
      <c r="I902" t="str">
        <f>VLOOKUP(Table4[[#This Row],[customer_id]],customers!A:G,4,)</f>
        <v>chennai</v>
      </c>
    </row>
    <row r="903" spans="1:9" x14ac:dyDescent="0.3">
      <c r="A903">
        <v>20902</v>
      </c>
      <c r="B903">
        <v>34</v>
      </c>
      <c r="C903" s="2">
        <v>45415</v>
      </c>
      <c r="D903" s="2" t="str">
        <f>TEXT(Table4[[#This Row],[issue_date]],"mmmm")</f>
        <v>May</v>
      </c>
      <c r="E903" s="9">
        <f>YEAR(Table4[[#This Row],[issue_date]])</f>
        <v>2024</v>
      </c>
      <c r="F903" t="s">
        <v>21</v>
      </c>
      <c r="G903">
        <v>57</v>
      </c>
      <c r="H903" t="s">
        <v>20</v>
      </c>
      <c r="I903" t="str">
        <f>VLOOKUP(Table4[[#This Row],[customer_id]],customers!A:G,4,)</f>
        <v>hyderabad</v>
      </c>
    </row>
    <row r="904" spans="1:9" x14ac:dyDescent="0.3">
      <c r="A904">
        <v>20903</v>
      </c>
      <c r="B904">
        <v>7</v>
      </c>
      <c r="C904" s="2">
        <v>45420</v>
      </c>
      <c r="D904" s="2" t="str">
        <f>TEXT(Table4[[#This Row],[issue_date]],"mmmm")</f>
        <v>May</v>
      </c>
      <c r="E904" s="9">
        <f>YEAR(Table4[[#This Row],[issue_date]])</f>
        <v>2024</v>
      </c>
      <c r="F904" t="s">
        <v>19</v>
      </c>
      <c r="G904">
        <v>62</v>
      </c>
      <c r="H904" t="s">
        <v>20</v>
      </c>
      <c r="I904" t="str">
        <f>VLOOKUP(Table4[[#This Row],[customer_id]],customers!A:G,4,)</f>
        <v>bangalore</v>
      </c>
    </row>
    <row r="905" spans="1:9" x14ac:dyDescent="0.3">
      <c r="A905">
        <v>20904</v>
      </c>
      <c r="B905">
        <v>40</v>
      </c>
      <c r="C905" s="2">
        <v>45194</v>
      </c>
      <c r="D905" s="2" t="str">
        <f>TEXT(Table4[[#This Row],[issue_date]],"mmmm")</f>
        <v>September</v>
      </c>
      <c r="E905" s="9">
        <f>YEAR(Table4[[#This Row],[issue_date]])</f>
        <v>2023</v>
      </c>
      <c r="F905" t="s">
        <v>19</v>
      </c>
      <c r="G905">
        <v>59</v>
      </c>
      <c r="H905" t="s">
        <v>20</v>
      </c>
      <c r="I905" t="str">
        <f>VLOOKUP(Table4[[#This Row],[customer_id]],customers!A:G,4,)</f>
        <v>chennai</v>
      </c>
    </row>
    <row r="906" spans="1:9" x14ac:dyDescent="0.3">
      <c r="A906">
        <v>20905</v>
      </c>
      <c r="B906">
        <v>330</v>
      </c>
      <c r="C906" s="2">
        <v>45426</v>
      </c>
      <c r="D906" s="2" t="str">
        <f>TEXT(Table4[[#This Row],[issue_date]],"mmmm")</f>
        <v>May</v>
      </c>
      <c r="E906" s="9">
        <f>YEAR(Table4[[#This Row],[issue_date]])</f>
        <v>2024</v>
      </c>
      <c r="F906" t="s">
        <v>22</v>
      </c>
      <c r="G906">
        <v>48</v>
      </c>
      <c r="H906" t="s">
        <v>23</v>
      </c>
      <c r="I906" t="str">
        <f>VLOOKUP(Table4[[#This Row],[customer_id]],customers!A:G,4,)</f>
        <v>mumbai</v>
      </c>
    </row>
    <row r="907" spans="1:9" x14ac:dyDescent="0.3">
      <c r="A907">
        <v>20906</v>
      </c>
      <c r="B907">
        <v>397</v>
      </c>
      <c r="C907" s="2">
        <v>44734</v>
      </c>
      <c r="D907" s="2" t="str">
        <f>TEXT(Table4[[#This Row],[issue_date]],"mmmm")</f>
        <v>June</v>
      </c>
      <c r="E907" s="9">
        <f>YEAR(Table4[[#This Row],[issue_date]])</f>
        <v>2022</v>
      </c>
      <c r="F907" t="s">
        <v>22</v>
      </c>
      <c r="G907">
        <v>35</v>
      </c>
      <c r="H907" t="s">
        <v>20</v>
      </c>
      <c r="I907" t="str">
        <f>VLOOKUP(Table4[[#This Row],[customer_id]],customers!A:G,4,)</f>
        <v>bangalore</v>
      </c>
    </row>
    <row r="908" spans="1:9" x14ac:dyDescent="0.3">
      <c r="A908">
        <v>20907</v>
      </c>
      <c r="B908">
        <v>62</v>
      </c>
      <c r="C908" s="2">
        <v>44977</v>
      </c>
      <c r="D908" s="2" t="str">
        <f>TEXT(Table4[[#This Row],[issue_date]],"mmmm")</f>
        <v>February</v>
      </c>
      <c r="E908" s="9">
        <f>YEAR(Table4[[#This Row],[issue_date]])</f>
        <v>2023</v>
      </c>
      <c r="F908" t="s">
        <v>22</v>
      </c>
      <c r="G908">
        <v>46</v>
      </c>
      <c r="H908" t="s">
        <v>20</v>
      </c>
      <c r="I908" t="str">
        <f>VLOOKUP(Table4[[#This Row],[customer_id]],customers!A:G,4,)</f>
        <v>delhi</v>
      </c>
    </row>
    <row r="909" spans="1:9" x14ac:dyDescent="0.3">
      <c r="A909">
        <v>20908</v>
      </c>
      <c r="B909">
        <v>86</v>
      </c>
      <c r="C909" s="2">
        <v>44664</v>
      </c>
      <c r="D909" s="2" t="str">
        <f>TEXT(Table4[[#This Row],[issue_date]],"mmmm")</f>
        <v>April</v>
      </c>
      <c r="E909" s="9">
        <f>YEAR(Table4[[#This Row],[issue_date]])</f>
        <v>2022</v>
      </c>
      <c r="F909" t="s">
        <v>22</v>
      </c>
      <c r="G909">
        <v>33</v>
      </c>
      <c r="H909" t="s">
        <v>20</v>
      </c>
      <c r="I909" t="str">
        <f>VLOOKUP(Table4[[#This Row],[customer_id]],customers!A:G,4,)</f>
        <v>delhi</v>
      </c>
    </row>
    <row r="910" spans="1:9" x14ac:dyDescent="0.3">
      <c r="A910">
        <v>20909</v>
      </c>
      <c r="B910">
        <v>213</v>
      </c>
      <c r="C910" s="2">
        <v>44721</v>
      </c>
      <c r="D910" s="2" t="str">
        <f>TEXT(Table4[[#This Row],[issue_date]],"mmmm")</f>
        <v>June</v>
      </c>
      <c r="E910" s="9">
        <f>YEAR(Table4[[#This Row],[issue_date]])</f>
        <v>2022</v>
      </c>
      <c r="F910" t="s">
        <v>22</v>
      </c>
      <c r="G910">
        <v>71</v>
      </c>
      <c r="H910" t="s">
        <v>20</v>
      </c>
      <c r="I910" t="str">
        <f>VLOOKUP(Table4[[#This Row],[customer_id]],customers!A:G,4,)</f>
        <v>hyderabad</v>
      </c>
    </row>
    <row r="911" spans="1:9" x14ac:dyDescent="0.3">
      <c r="A911">
        <v>20910</v>
      </c>
      <c r="B911">
        <v>116</v>
      </c>
      <c r="C911" s="2">
        <v>44818</v>
      </c>
      <c r="D911" s="2" t="str">
        <f>TEXT(Table4[[#This Row],[issue_date]],"mmmm")</f>
        <v>September</v>
      </c>
      <c r="E911" s="9">
        <f>YEAR(Table4[[#This Row],[issue_date]])</f>
        <v>2022</v>
      </c>
      <c r="F911" t="s">
        <v>21</v>
      </c>
      <c r="G911">
        <v>10</v>
      </c>
      <c r="H911" t="s">
        <v>20</v>
      </c>
      <c r="I911" t="str">
        <f>VLOOKUP(Table4[[#This Row],[customer_id]],customers!A:G,4,)</f>
        <v>chennai</v>
      </c>
    </row>
    <row r="912" spans="1:9" x14ac:dyDescent="0.3">
      <c r="A912">
        <v>20911</v>
      </c>
      <c r="B912">
        <v>65</v>
      </c>
      <c r="C912" s="2">
        <v>45275</v>
      </c>
      <c r="D912" s="2" t="str">
        <f>TEXT(Table4[[#This Row],[issue_date]],"mmmm")</f>
        <v>December</v>
      </c>
      <c r="E912" s="9">
        <f>YEAR(Table4[[#This Row],[issue_date]])</f>
        <v>2023</v>
      </c>
      <c r="F912" t="s">
        <v>22</v>
      </c>
      <c r="G912">
        <v>48</v>
      </c>
      <c r="H912" t="s">
        <v>20</v>
      </c>
      <c r="I912" t="str">
        <f>VLOOKUP(Table4[[#This Row],[customer_id]],customers!A:G,4,)</f>
        <v>delhi</v>
      </c>
    </row>
    <row r="913" spans="1:9" x14ac:dyDescent="0.3">
      <c r="A913">
        <v>20912</v>
      </c>
      <c r="B913">
        <v>297</v>
      </c>
      <c r="C913" s="2">
        <v>45118</v>
      </c>
      <c r="D913" s="2" t="str">
        <f>TEXT(Table4[[#This Row],[issue_date]],"mmmm")</f>
        <v>July</v>
      </c>
      <c r="E913" s="9">
        <f>YEAR(Table4[[#This Row],[issue_date]])</f>
        <v>2023</v>
      </c>
      <c r="F913" t="s">
        <v>21</v>
      </c>
      <c r="G913">
        <v>44</v>
      </c>
      <c r="H913" t="s">
        <v>23</v>
      </c>
      <c r="I913" t="str">
        <f>VLOOKUP(Table4[[#This Row],[customer_id]],customers!A:G,4,)</f>
        <v>chennai</v>
      </c>
    </row>
    <row r="914" spans="1:9" x14ac:dyDescent="0.3">
      <c r="A914">
        <v>20913</v>
      </c>
      <c r="B914">
        <v>379</v>
      </c>
      <c r="C914" s="2">
        <v>45137</v>
      </c>
      <c r="D914" s="2" t="str">
        <f>TEXT(Table4[[#This Row],[issue_date]],"mmmm")</f>
        <v>July</v>
      </c>
      <c r="E914" s="9">
        <f>YEAR(Table4[[#This Row],[issue_date]])</f>
        <v>2023</v>
      </c>
      <c r="F914" t="s">
        <v>22</v>
      </c>
      <c r="G914">
        <v>70</v>
      </c>
      <c r="H914" t="s">
        <v>20</v>
      </c>
      <c r="I914" t="str">
        <f>VLOOKUP(Table4[[#This Row],[customer_id]],customers!A:G,4,)</f>
        <v>kolkata</v>
      </c>
    </row>
    <row r="915" spans="1:9" x14ac:dyDescent="0.3">
      <c r="A915">
        <v>20914</v>
      </c>
      <c r="B915">
        <v>170</v>
      </c>
      <c r="C915" s="2">
        <v>44757</v>
      </c>
      <c r="D915" s="2" t="str">
        <f>TEXT(Table4[[#This Row],[issue_date]],"mmmm")</f>
        <v>July</v>
      </c>
      <c r="E915" s="9">
        <f>YEAR(Table4[[#This Row],[issue_date]])</f>
        <v>2022</v>
      </c>
      <c r="F915" t="s">
        <v>21</v>
      </c>
      <c r="G915">
        <v>63</v>
      </c>
      <c r="H915" t="s">
        <v>23</v>
      </c>
      <c r="I915" t="str">
        <f>VLOOKUP(Table4[[#This Row],[customer_id]],customers!A:G,4,)</f>
        <v>delhi</v>
      </c>
    </row>
    <row r="916" spans="1:9" x14ac:dyDescent="0.3">
      <c r="A916">
        <v>20915</v>
      </c>
      <c r="B916">
        <v>116</v>
      </c>
      <c r="C916" s="2">
        <v>44952</v>
      </c>
      <c r="D916" s="2" t="str">
        <f>TEXT(Table4[[#This Row],[issue_date]],"mmmm")</f>
        <v>January</v>
      </c>
      <c r="E916" s="9">
        <f>YEAR(Table4[[#This Row],[issue_date]])</f>
        <v>2023</v>
      </c>
      <c r="F916" t="s">
        <v>19</v>
      </c>
      <c r="G916">
        <v>49</v>
      </c>
      <c r="H916" t="s">
        <v>20</v>
      </c>
      <c r="I916" t="str">
        <f>VLOOKUP(Table4[[#This Row],[customer_id]],customers!A:G,4,)</f>
        <v>chennai</v>
      </c>
    </row>
    <row r="917" spans="1:9" x14ac:dyDescent="0.3">
      <c r="A917">
        <v>20916</v>
      </c>
      <c r="B917">
        <v>322</v>
      </c>
      <c r="C917" s="2">
        <v>44631</v>
      </c>
      <c r="D917" s="2" t="str">
        <f>TEXT(Table4[[#This Row],[issue_date]],"mmmm")</f>
        <v>March</v>
      </c>
      <c r="E917" s="9">
        <f>YEAR(Table4[[#This Row],[issue_date]])</f>
        <v>2022</v>
      </c>
      <c r="F917" t="s">
        <v>22</v>
      </c>
      <c r="G917">
        <v>41</v>
      </c>
      <c r="H917" t="s">
        <v>23</v>
      </c>
      <c r="I917" t="str">
        <f>VLOOKUP(Table4[[#This Row],[customer_id]],customers!A:G,4,)</f>
        <v>kolkata</v>
      </c>
    </row>
    <row r="918" spans="1:9" x14ac:dyDescent="0.3">
      <c r="A918">
        <v>20917</v>
      </c>
      <c r="B918">
        <v>116</v>
      </c>
      <c r="C918" s="2">
        <v>45254</v>
      </c>
      <c r="D918" s="2" t="str">
        <f>TEXT(Table4[[#This Row],[issue_date]],"mmmm")</f>
        <v>November</v>
      </c>
      <c r="E918" s="9">
        <f>YEAR(Table4[[#This Row],[issue_date]])</f>
        <v>2023</v>
      </c>
      <c r="F918" t="s">
        <v>21</v>
      </c>
      <c r="G918">
        <v>39</v>
      </c>
      <c r="H918" t="s">
        <v>20</v>
      </c>
      <c r="I918" t="str">
        <f>VLOOKUP(Table4[[#This Row],[customer_id]],customers!A:G,4,)</f>
        <v>chennai</v>
      </c>
    </row>
    <row r="919" spans="1:9" x14ac:dyDescent="0.3">
      <c r="A919">
        <v>20918</v>
      </c>
      <c r="B919">
        <v>221</v>
      </c>
      <c r="C919" s="2">
        <v>45404</v>
      </c>
      <c r="D919" s="2" t="str">
        <f>TEXT(Table4[[#This Row],[issue_date]],"mmmm")</f>
        <v>April</v>
      </c>
      <c r="E919" s="9">
        <f>YEAR(Table4[[#This Row],[issue_date]])</f>
        <v>2024</v>
      </c>
      <c r="F919" t="s">
        <v>22</v>
      </c>
      <c r="G919">
        <v>23</v>
      </c>
      <c r="H919" t="s">
        <v>20</v>
      </c>
      <c r="I919" t="str">
        <f>VLOOKUP(Table4[[#This Row],[customer_id]],customers!A:G,4,)</f>
        <v>bangalore</v>
      </c>
    </row>
    <row r="920" spans="1:9" x14ac:dyDescent="0.3">
      <c r="A920">
        <v>20919</v>
      </c>
      <c r="B920">
        <v>395</v>
      </c>
      <c r="C920" s="2">
        <v>44808</v>
      </c>
      <c r="D920" s="2" t="str">
        <f>TEXT(Table4[[#This Row],[issue_date]],"mmmm")</f>
        <v>September</v>
      </c>
      <c r="E920" s="9">
        <f>YEAR(Table4[[#This Row],[issue_date]])</f>
        <v>2022</v>
      </c>
      <c r="F920" t="s">
        <v>21</v>
      </c>
      <c r="G920">
        <v>13</v>
      </c>
      <c r="H920" t="s">
        <v>20</v>
      </c>
      <c r="I920" t="str">
        <f>VLOOKUP(Table4[[#This Row],[customer_id]],customers!A:G,4,)</f>
        <v>delhi</v>
      </c>
    </row>
    <row r="921" spans="1:9" x14ac:dyDescent="0.3">
      <c r="A921">
        <v>20920</v>
      </c>
      <c r="B921">
        <v>357</v>
      </c>
      <c r="C921" s="2">
        <v>44890</v>
      </c>
      <c r="D921" s="2" t="str">
        <f>TEXT(Table4[[#This Row],[issue_date]],"mmmm")</f>
        <v>November</v>
      </c>
      <c r="E921" s="9">
        <f>YEAR(Table4[[#This Row],[issue_date]])</f>
        <v>2022</v>
      </c>
      <c r="F921" t="s">
        <v>21</v>
      </c>
      <c r="G921">
        <v>53</v>
      </c>
      <c r="H921" t="s">
        <v>23</v>
      </c>
      <c r="I921" t="str">
        <f>VLOOKUP(Table4[[#This Row],[customer_id]],customers!A:G,4,)</f>
        <v>bangalore</v>
      </c>
    </row>
    <row r="922" spans="1:9" x14ac:dyDescent="0.3">
      <c r="A922">
        <v>20921</v>
      </c>
      <c r="B922">
        <v>50</v>
      </c>
      <c r="C922" s="2">
        <v>44719</v>
      </c>
      <c r="D922" s="2" t="str">
        <f>TEXT(Table4[[#This Row],[issue_date]],"mmmm")</f>
        <v>June</v>
      </c>
      <c r="E922" s="9">
        <f>YEAR(Table4[[#This Row],[issue_date]])</f>
        <v>2022</v>
      </c>
      <c r="F922" t="s">
        <v>22</v>
      </c>
      <c r="G922">
        <v>70</v>
      </c>
      <c r="H922" t="s">
        <v>20</v>
      </c>
      <c r="I922" t="str">
        <f>VLOOKUP(Table4[[#This Row],[customer_id]],customers!A:G,4,)</f>
        <v>hyderabad</v>
      </c>
    </row>
    <row r="923" spans="1:9" x14ac:dyDescent="0.3">
      <c r="A923">
        <v>20922</v>
      </c>
      <c r="B923">
        <v>327</v>
      </c>
      <c r="C923" s="2">
        <v>45259</v>
      </c>
      <c r="D923" s="2" t="str">
        <f>TEXT(Table4[[#This Row],[issue_date]],"mmmm")</f>
        <v>November</v>
      </c>
      <c r="E923" s="9">
        <f>YEAR(Table4[[#This Row],[issue_date]])</f>
        <v>2023</v>
      </c>
      <c r="F923" t="s">
        <v>21</v>
      </c>
      <c r="G923">
        <v>57</v>
      </c>
      <c r="H923" t="s">
        <v>20</v>
      </c>
      <c r="I923" t="str">
        <f>VLOOKUP(Table4[[#This Row],[customer_id]],customers!A:G,4,)</f>
        <v>delhi</v>
      </c>
    </row>
    <row r="924" spans="1:9" x14ac:dyDescent="0.3">
      <c r="A924">
        <v>20923</v>
      </c>
      <c r="B924">
        <v>419</v>
      </c>
      <c r="C924" s="2">
        <v>45304</v>
      </c>
      <c r="D924" s="2" t="str">
        <f>TEXT(Table4[[#This Row],[issue_date]],"mmmm")</f>
        <v>January</v>
      </c>
      <c r="E924" s="9">
        <f>YEAR(Table4[[#This Row],[issue_date]])</f>
        <v>2024</v>
      </c>
      <c r="F924" t="s">
        <v>19</v>
      </c>
      <c r="G924">
        <v>67</v>
      </c>
      <c r="H924" t="s">
        <v>20</v>
      </c>
      <c r="I924" t="str">
        <f>VLOOKUP(Table4[[#This Row],[customer_id]],customers!A:G,4,)</f>
        <v>kolkata</v>
      </c>
    </row>
    <row r="925" spans="1:9" x14ac:dyDescent="0.3">
      <c r="A925">
        <v>20924</v>
      </c>
      <c r="B925">
        <v>478</v>
      </c>
      <c r="C925" s="2">
        <v>45146</v>
      </c>
      <c r="D925" s="2" t="str">
        <f>TEXT(Table4[[#This Row],[issue_date]],"mmmm")</f>
        <v>August</v>
      </c>
      <c r="E925" s="9">
        <f>YEAR(Table4[[#This Row],[issue_date]])</f>
        <v>2023</v>
      </c>
      <c r="F925" t="s">
        <v>22</v>
      </c>
      <c r="G925">
        <v>48</v>
      </c>
      <c r="H925" t="s">
        <v>20</v>
      </c>
      <c r="I925" t="str">
        <f>VLOOKUP(Table4[[#This Row],[customer_id]],customers!A:G,4,)</f>
        <v>chennai</v>
      </c>
    </row>
    <row r="926" spans="1:9" x14ac:dyDescent="0.3">
      <c r="A926">
        <v>20925</v>
      </c>
      <c r="B926">
        <v>336</v>
      </c>
      <c r="C926" s="2">
        <v>44616</v>
      </c>
      <c r="D926" s="2" t="str">
        <f>TEXT(Table4[[#This Row],[issue_date]],"mmmm")</f>
        <v>February</v>
      </c>
      <c r="E926" s="9">
        <f>YEAR(Table4[[#This Row],[issue_date]])</f>
        <v>2022</v>
      </c>
      <c r="F926" t="s">
        <v>19</v>
      </c>
      <c r="G926">
        <v>20</v>
      </c>
      <c r="H926" t="s">
        <v>20</v>
      </c>
      <c r="I926" t="str">
        <f>VLOOKUP(Table4[[#This Row],[customer_id]],customers!A:G,4,)</f>
        <v>bangalore</v>
      </c>
    </row>
    <row r="927" spans="1:9" x14ac:dyDescent="0.3">
      <c r="A927">
        <v>20926</v>
      </c>
      <c r="B927">
        <v>79</v>
      </c>
      <c r="C927" s="2">
        <v>45047</v>
      </c>
      <c r="D927" s="2" t="str">
        <f>TEXT(Table4[[#This Row],[issue_date]],"mmmm")</f>
        <v>May</v>
      </c>
      <c r="E927" s="9">
        <f>YEAR(Table4[[#This Row],[issue_date]])</f>
        <v>2023</v>
      </c>
      <c r="F927" t="s">
        <v>21</v>
      </c>
      <c r="G927">
        <v>62</v>
      </c>
      <c r="H927" t="s">
        <v>20</v>
      </c>
      <c r="I927" t="str">
        <f>VLOOKUP(Table4[[#This Row],[customer_id]],customers!A:G,4,)</f>
        <v>delhi</v>
      </c>
    </row>
    <row r="928" spans="1:9" x14ac:dyDescent="0.3">
      <c r="A928">
        <v>20927</v>
      </c>
      <c r="B928">
        <v>488</v>
      </c>
      <c r="C928" s="2">
        <v>44804</v>
      </c>
      <c r="D928" s="2" t="str">
        <f>TEXT(Table4[[#This Row],[issue_date]],"mmmm")</f>
        <v>August</v>
      </c>
      <c r="E928" s="9">
        <f>YEAR(Table4[[#This Row],[issue_date]])</f>
        <v>2022</v>
      </c>
      <c r="F928" t="s">
        <v>21</v>
      </c>
      <c r="G928">
        <v>45</v>
      </c>
      <c r="H928" t="s">
        <v>20</v>
      </c>
      <c r="I928" t="str">
        <f>VLOOKUP(Table4[[#This Row],[customer_id]],customers!A:G,4,)</f>
        <v>hyderabad</v>
      </c>
    </row>
    <row r="929" spans="1:9" x14ac:dyDescent="0.3">
      <c r="A929">
        <v>20928</v>
      </c>
      <c r="B929">
        <v>20</v>
      </c>
      <c r="C929" s="2">
        <v>45375</v>
      </c>
      <c r="D929" s="2" t="str">
        <f>TEXT(Table4[[#This Row],[issue_date]],"mmmm")</f>
        <v>March</v>
      </c>
      <c r="E929" s="9">
        <f>YEAR(Table4[[#This Row],[issue_date]])</f>
        <v>2024</v>
      </c>
      <c r="F929" t="s">
        <v>22</v>
      </c>
      <c r="G929">
        <v>63</v>
      </c>
      <c r="H929" t="s">
        <v>20</v>
      </c>
      <c r="I929" t="str">
        <f>VLOOKUP(Table4[[#This Row],[customer_id]],customers!A:G,4,)</f>
        <v>hyderabad</v>
      </c>
    </row>
    <row r="930" spans="1:9" x14ac:dyDescent="0.3">
      <c r="A930">
        <v>20929</v>
      </c>
      <c r="B930">
        <v>412</v>
      </c>
      <c r="C930" s="2">
        <v>44914</v>
      </c>
      <c r="D930" s="2" t="str">
        <f>TEXT(Table4[[#This Row],[issue_date]],"mmmm")</f>
        <v>December</v>
      </c>
      <c r="E930" s="9">
        <f>YEAR(Table4[[#This Row],[issue_date]])</f>
        <v>2022</v>
      </c>
      <c r="F930" t="s">
        <v>19</v>
      </c>
      <c r="G930">
        <v>8</v>
      </c>
      <c r="H930" t="s">
        <v>20</v>
      </c>
      <c r="I930" t="str">
        <f>VLOOKUP(Table4[[#This Row],[customer_id]],customers!A:G,4,)</f>
        <v>hyderabad</v>
      </c>
    </row>
    <row r="931" spans="1:9" x14ac:dyDescent="0.3">
      <c r="A931">
        <v>20930</v>
      </c>
      <c r="B931">
        <v>379</v>
      </c>
      <c r="C931" s="2">
        <v>44971</v>
      </c>
      <c r="D931" s="2" t="str">
        <f>TEXT(Table4[[#This Row],[issue_date]],"mmmm")</f>
        <v>February</v>
      </c>
      <c r="E931" s="9">
        <f>YEAR(Table4[[#This Row],[issue_date]])</f>
        <v>2023</v>
      </c>
      <c r="F931" t="s">
        <v>19</v>
      </c>
      <c r="G931">
        <v>26</v>
      </c>
      <c r="H931" t="s">
        <v>20</v>
      </c>
      <c r="I931" t="str">
        <f>VLOOKUP(Table4[[#This Row],[customer_id]],customers!A:G,4,)</f>
        <v>kolkata</v>
      </c>
    </row>
    <row r="932" spans="1:9" x14ac:dyDescent="0.3">
      <c r="A932">
        <v>20931</v>
      </c>
      <c r="B932">
        <v>37</v>
      </c>
      <c r="C932" s="2">
        <v>45288</v>
      </c>
      <c r="D932" s="2" t="str">
        <f>TEXT(Table4[[#This Row],[issue_date]],"mmmm")</f>
        <v>December</v>
      </c>
      <c r="E932" s="9">
        <f>YEAR(Table4[[#This Row],[issue_date]])</f>
        <v>2023</v>
      </c>
      <c r="F932" t="s">
        <v>22</v>
      </c>
      <c r="G932">
        <v>38</v>
      </c>
      <c r="H932" t="s">
        <v>20</v>
      </c>
      <c r="I932" t="str">
        <f>VLOOKUP(Table4[[#This Row],[customer_id]],customers!A:G,4,)</f>
        <v>kolkata</v>
      </c>
    </row>
    <row r="933" spans="1:9" x14ac:dyDescent="0.3">
      <c r="A933">
        <v>20932</v>
      </c>
      <c r="B933">
        <v>259</v>
      </c>
      <c r="C933" s="2">
        <v>44576</v>
      </c>
      <c r="D933" s="2" t="str">
        <f>TEXT(Table4[[#This Row],[issue_date]],"mmmm")</f>
        <v>January</v>
      </c>
      <c r="E933" s="9">
        <f>YEAR(Table4[[#This Row],[issue_date]])</f>
        <v>2022</v>
      </c>
      <c r="F933" t="s">
        <v>19</v>
      </c>
      <c r="G933">
        <v>41</v>
      </c>
      <c r="H933" t="s">
        <v>20</v>
      </c>
      <c r="I933" t="str">
        <f>VLOOKUP(Table4[[#This Row],[customer_id]],customers!A:G,4,)</f>
        <v>chennai</v>
      </c>
    </row>
    <row r="934" spans="1:9" x14ac:dyDescent="0.3">
      <c r="A934">
        <v>20933</v>
      </c>
      <c r="B934">
        <v>93</v>
      </c>
      <c r="C934" s="2">
        <v>44708</v>
      </c>
      <c r="D934" s="2" t="str">
        <f>TEXT(Table4[[#This Row],[issue_date]],"mmmm")</f>
        <v>May</v>
      </c>
      <c r="E934" s="9">
        <f>YEAR(Table4[[#This Row],[issue_date]])</f>
        <v>2022</v>
      </c>
      <c r="F934" t="s">
        <v>22</v>
      </c>
      <c r="G934">
        <v>2</v>
      </c>
      <c r="H934" t="s">
        <v>20</v>
      </c>
      <c r="I934" t="str">
        <f>VLOOKUP(Table4[[#This Row],[customer_id]],customers!A:G,4,)</f>
        <v>bangalore</v>
      </c>
    </row>
    <row r="935" spans="1:9" x14ac:dyDescent="0.3">
      <c r="A935">
        <v>20934</v>
      </c>
      <c r="B935">
        <v>187</v>
      </c>
      <c r="C935" s="2">
        <v>45051</v>
      </c>
      <c r="D935" s="2" t="str">
        <f>TEXT(Table4[[#This Row],[issue_date]],"mmmm")</f>
        <v>May</v>
      </c>
      <c r="E935" s="9">
        <f>YEAR(Table4[[#This Row],[issue_date]])</f>
        <v>2023</v>
      </c>
      <c r="F935" t="s">
        <v>22</v>
      </c>
      <c r="G935">
        <v>7</v>
      </c>
      <c r="H935" t="s">
        <v>20</v>
      </c>
      <c r="I935" t="str">
        <f>VLOOKUP(Table4[[#This Row],[customer_id]],customers!A:G,4,)</f>
        <v>chennai</v>
      </c>
    </row>
    <row r="936" spans="1:9" x14ac:dyDescent="0.3">
      <c r="A936">
        <v>20935</v>
      </c>
      <c r="B936">
        <v>357</v>
      </c>
      <c r="C936" s="2">
        <v>45217</v>
      </c>
      <c r="D936" s="2" t="str">
        <f>TEXT(Table4[[#This Row],[issue_date]],"mmmm")</f>
        <v>October</v>
      </c>
      <c r="E936" s="9">
        <f>YEAR(Table4[[#This Row],[issue_date]])</f>
        <v>2023</v>
      </c>
      <c r="F936" t="s">
        <v>21</v>
      </c>
      <c r="G936">
        <v>25</v>
      </c>
      <c r="H936" t="s">
        <v>23</v>
      </c>
      <c r="I936" t="str">
        <f>VLOOKUP(Table4[[#This Row],[customer_id]],customers!A:G,4,)</f>
        <v>bangalore</v>
      </c>
    </row>
    <row r="937" spans="1:9" x14ac:dyDescent="0.3">
      <c r="A937">
        <v>20936</v>
      </c>
      <c r="B937">
        <v>201</v>
      </c>
      <c r="C937" s="2">
        <v>44586</v>
      </c>
      <c r="D937" s="2" t="str">
        <f>TEXT(Table4[[#This Row],[issue_date]],"mmmm")</f>
        <v>January</v>
      </c>
      <c r="E937" s="9">
        <f>YEAR(Table4[[#This Row],[issue_date]])</f>
        <v>2022</v>
      </c>
      <c r="F937" t="s">
        <v>21</v>
      </c>
      <c r="G937">
        <v>51</v>
      </c>
      <c r="H937" t="s">
        <v>20</v>
      </c>
      <c r="I937" t="str">
        <f>VLOOKUP(Table4[[#This Row],[customer_id]],customers!A:G,4,)</f>
        <v>bangalore</v>
      </c>
    </row>
    <row r="938" spans="1:9" x14ac:dyDescent="0.3">
      <c r="A938">
        <v>20937</v>
      </c>
      <c r="B938">
        <v>411</v>
      </c>
      <c r="C938" s="2">
        <v>45172</v>
      </c>
      <c r="D938" s="2" t="str">
        <f>TEXT(Table4[[#This Row],[issue_date]],"mmmm")</f>
        <v>September</v>
      </c>
      <c r="E938" s="9">
        <f>YEAR(Table4[[#This Row],[issue_date]])</f>
        <v>2023</v>
      </c>
      <c r="F938" t="s">
        <v>19</v>
      </c>
      <c r="G938">
        <v>50</v>
      </c>
      <c r="H938" t="s">
        <v>20</v>
      </c>
      <c r="I938" t="str">
        <f>VLOOKUP(Table4[[#This Row],[customer_id]],customers!A:G,4,)</f>
        <v>hyderabad</v>
      </c>
    </row>
    <row r="939" spans="1:9" x14ac:dyDescent="0.3">
      <c r="A939">
        <v>20938</v>
      </c>
      <c r="B939">
        <v>288</v>
      </c>
      <c r="C939" s="2">
        <v>45252</v>
      </c>
      <c r="D939" s="2" t="str">
        <f>TEXT(Table4[[#This Row],[issue_date]],"mmmm")</f>
        <v>November</v>
      </c>
      <c r="E939" s="9">
        <f>YEAR(Table4[[#This Row],[issue_date]])</f>
        <v>2023</v>
      </c>
      <c r="F939" t="s">
        <v>22</v>
      </c>
      <c r="G939">
        <v>64</v>
      </c>
      <c r="H939" t="s">
        <v>20</v>
      </c>
      <c r="I939" t="str">
        <f>VLOOKUP(Table4[[#This Row],[customer_id]],customers!A:G,4,)</f>
        <v>kolkata</v>
      </c>
    </row>
    <row r="940" spans="1:9" x14ac:dyDescent="0.3">
      <c r="A940">
        <v>20939</v>
      </c>
      <c r="B940">
        <v>48</v>
      </c>
      <c r="C940" s="2">
        <v>44894</v>
      </c>
      <c r="D940" s="2" t="str">
        <f>TEXT(Table4[[#This Row],[issue_date]],"mmmm")</f>
        <v>November</v>
      </c>
      <c r="E940" s="9">
        <f>YEAR(Table4[[#This Row],[issue_date]])</f>
        <v>2022</v>
      </c>
      <c r="F940" t="s">
        <v>22</v>
      </c>
      <c r="G940">
        <v>12</v>
      </c>
      <c r="H940" t="s">
        <v>20</v>
      </c>
      <c r="I940" t="str">
        <f>VLOOKUP(Table4[[#This Row],[customer_id]],customers!A:G,4,)</f>
        <v>chennai</v>
      </c>
    </row>
    <row r="941" spans="1:9" x14ac:dyDescent="0.3">
      <c r="A941">
        <v>20940</v>
      </c>
      <c r="B941">
        <v>253</v>
      </c>
      <c r="C941" s="2">
        <v>44735</v>
      </c>
      <c r="D941" s="2" t="str">
        <f>TEXT(Table4[[#This Row],[issue_date]],"mmmm")</f>
        <v>June</v>
      </c>
      <c r="E941" s="9">
        <f>YEAR(Table4[[#This Row],[issue_date]])</f>
        <v>2022</v>
      </c>
      <c r="F941" t="s">
        <v>22</v>
      </c>
      <c r="G941">
        <v>53</v>
      </c>
      <c r="H941" t="s">
        <v>20</v>
      </c>
      <c r="I941" t="str">
        <f>VLOOKUP(Table4[[#This Row],[customer_id]],customers!A:G,4,)</f>
        <v>delhi</v>
      </c>
    </row>
    <row r="942" spans="1:9" x14ac:dyDescent="0.3">
      <c r="A942">
        <v>20941</v>
      </c>
      <c r="B942">
        <v>46</v>
      </c>
      <c r="C942" s="2">
        <v>45336</v>
      </c>
      <c r="D942" s="2" t="str">
        <f>TEXT(Table4[[#This Row],[issue_date]],"mmmm")</f>
        <v>February</v>
      </c>
      <c r="E942" s="9">
        <f>YEAR(Table4[[#This Row],[issue_date]])</f>
        <v>2024</v>
      </c>
      <c r="F942" t="s">
        <v>22</v>
      </c>
      <c r="G942">
        <v>10</v>
      </c>
      <c r="H942" t="s">
        <v>20</v>
      </c>
      <c r="I942" t="str">
        <f>VLOOKUP(Table4[[#This Row],[customer_id]],customers!A:G,4,)</f>
        <v>delhi</v>
      </c>
    </row>
    <row r="943" spans="1:9" x14ac:dyDescent="0.3">
      <c r="A943">
        <v>20942</v>
      </c>
      <c r="B943">
        <v>370</v>
      </c>
      <c r="C943" s="2">
        <v>44851</v>
      </c>
      <c r="D943" s="2" t="str">
        <f>TEXT(Table4[[#This Row],[issue_date]],"mmmm")</f>
        <v>October</v>
      </c>
      <c r="E943" s="9">
        <f>YEAR(Table4[[#This Row],[issue_date]])</f>
        <v>2022</v>
      </c>
      <c r="F943" t="s">
        <v>21</v>
      </c>
      <c r="G943">
        <v>61</v>
      </c>
      <c r="H943" t="s">
        <v>20</v>
      </c>
      <c r="I943" t="str">
        <f>VLOOKUP(Table4[[#This Row],[customer_id]],customers!A:G,4,)</f>
        <v>kolkata</v>
      </c>
    </row>
    <row r="944" spans="1:9" x14ac:dyDescent="0.3">
      <c r="A944">
        <v>20943</v>
      </c>
      <c r="B944">
        <v>231</v>
      </c>
      <c r="C944" s="2">
        <v>45131</v>
      </c>
      <c r="D944" s="2" t="str">
        <f>TEXT(Table4[[#This Row],[issue_date]],"mmmm")</f>
        <v>July</v>
      </c>
      <c r="E944" s="9">
        <f>YEAR(Table4[[#This Row],[issue_date]])</f>
        <v>2023</v>
      </c>
      <c r="F944" t="s">
        <v>19</v>
      </c>
      <c r="G944">
        <v>55</v>
      </c>
      <c r="H944" t="s">
        <v>20</v>
      </c>
      <c r="I944" t="str">
        <f>VLOOKUP(Table4[[#This Row],[customer_id]],customers!A:G,4,)</f>
        <v>delhi</v>
      </c>
    </row>
    <row r="945" spans="1:9" x14ac:dyDescent="0.3">
      <c r="A945">
        <v>20944</v>
      </c>
      <c r="B945">
        <v>95</v>
      </c>
      <c r="C945" s="2">
        <v>45407</v>
      </c>
      <c r="D945" s="2" t="str">
        <f>TEXT(Table4[[#This Row],[issue_date]],"mmmm")</f>
        <v>April</v>
      </c>
      <c r="E945" s="9">
        <f>YEAR(Table4[[#This Row],[issue_date]])</f>
        <v>2024</v>
      </c>
      <c r="F945" t="s">
        <v>21</v>
      </c>
      <c r="G945">
        <v>68</v>
      </c>
      <c r="H945" t="s">
        <v>20</v>
      </c>
      <c r="I945" t="str">
        <f>VLOOKUP(Table4[[#This Row],[customer_id]],customers!A:G,4,)</f>
        <v>mumbai</v>
      </c>
    </row>
    <row r="946" spans="1:9" x14ac:dyDescent="0.3">
      <c r="A946">
        <v>20945</v>
      </c>
      <c r="B946">
        <v>303</v>
      </c>
      <c r="C946" s="2">
        <v>45352</v>
      </c>
      <c r="D946" s="2" t="str">
        <f>TEXT(Table4[[#This Row],[issue_date]],"mmmm")</f>
        <v>March</v>
      </c>
      <c r="E946" s="9">
        <f>YEAR(Table4[[#This Row],[issue_date]])</f>
        <v>2024</v>
      </c>
      <c r="F946" t="s">
        <v>22</v>
      </c>
      <c r="G946">
        <v>42</v>
      </c>
      <c r="H946" t="s">
        <v>20</v>
      </c>
      <c r="I946" t="str">
        <f>VLOOKUP(Table4[[#This Row],[customer_id]],customers!A:G,4,)</f>
        <v>bangalore</v>
      </c>
    </row>
    <row r="947" spans="1:9" x14ac:dyDescent="0.3">
      <c r="A947">
        <v>20946</v>
      </c>
      <c r="B947">
        <v>218</v>
      </c>
      <c r="C947" s="2">
        <v>44706</v>
      </c>
      <c r="D947" s="2" t="str">
        <f>TEXT(Table4[[#This Row],[issue_date]],"mmmm")</f>
        <v>May</v>
      </c>
      <c r="E947" s="9">
        <f>YEAR(Table4[[#This Row],[issue_date]])</f>
        <v>2022</v>
      </c>
      <c r="F947" t="s">
        <v>19</v>
      </c>
      <c r="G947">
        <v>66</v>
      </c>
      <c r="H947" t="s">
        <v>20</v>
      </c>
      <c r="I947" t="str">
        <f>VLOOKUP(Table4[[#This Row],[customer_id]],customers!A:G,4,)</f>
        <v>delhi</v>
      </c>
    </row>
    <row r="948" spans="1:9" x14ac:dyDescent="0.3">
      <c r="A948">
        <v>20947</v>
      </c>
      <c r="B948">
        <v>40</v>
      </c>
      <c r="C948" s="2">
        <v>44683</v>
      </c>
      <c r="D948" s="2" t="str">
        <f>TEXT(Table4[[#This Row],[issue_date]],"mmmm")</f>
        <v>May</v>
      </c>
      <c r="E948" s="9">
        <f>YEAR(Table4[[#This Row],[issue_date]])</f>
        <v>2022</v>
      </c>
      <c r="F948" t="s">
        <v>19</v>
      </c>
      <c r="G948">
        <v>44</v>
      </c>
      <c r="H948" t="s">
        <v>20</v>
      </c>
      <c r="I948" t="str">
        <f>VLOOKUP(Table4[[#This Row],[customer_id]],customers!A:G,4,)</f>
        <v>chennai</v>
      </c>
    </row>
    <row r="949" spans="1:9" x14ac:dyDescent="0.3">
      <c r="A949">
        <v>20948</v>
      </c>
      <c r="B949">
        <v>387</v>
      </c>
      <c r="C949" s="2">
        <v>44588</v>
      </c>
      <c r="D949" s="2" t="str">
        <f>TEXT(Table4[[#This Row],[issue_date]],"mmmm")</f>
        <v>January</v>
      </c>
      <c r="E949" s="9">
        <f>YEAR(Table4[[#This Row],[issue_date]])</f>
        <v>2022</v>
      </c>
      <c r="F949" t="s">
        <v>22</v>
      </c>
      <c r="G949">
        <v>28</v>
      </c>
      <c r="H949" t="s">
        <v>20</v>
      </c>
      <c r="I949" t="str">
        <f>VLOOKUP(Table4[[#This Row],[customer_id]],customers!A:G,4,)</f>
        <v>bangalore</v>
      </c>
    </row>
    <row r="950" spans="1:9" x14ac:dyDescent="0.3">
      <c r="A950">
        <v>20949</v>
      </c>
      <c r="B950">
        <v>203</v>
      </c>
      <c r="C950" s="2">
        <v>44627</v>
      </c>
      <c r="D950" s="2" t="str">
        <f>TEXT(Table4[[#This Row],[issue_date]],"mmmm")</f>
        <v>March</v>
      </c>
      <c r="E950" s="9">
        <f>YEAR(Table4[[#This Row],[issue_date]])</f>
        <v>2022</v>
      </c>
      <c r="F950" t="s">
        <v>22</v>
      </c>
      <c r="G950">
        <v>58</v>
      </c>
      <c r="H950" t="s">
        <v>20</v>
      </c>
      <c r="I950" t="str">
        <f>VLOOKUP(Table4[[#This Row],[customer_id]],customers!A:G,4,)</f>
        <v>mumbai</v>
      </c>
    </row>
    <row r="951" spans="1:9" x14ac:dyDescent="0.3">
      <c r="A951">
        <v>20950</v>
      </c>
      <c r="B951">
        <v>116</v>
      </c>
      <c r="C951" s="2">
        <v>44662</v>
      </c>
      <c r="D951" s="2" t="str">
        <f>TEXT(Table4[[#This Row],[issue_date]],"mmmm")</f>
        <v>April</v>
      </c>
      <c r="E951" s="9">
        <f>YEAR(Table4[[#This Row],[issue_date]])</f>
        <v>2022</v>
      </c>
      <c r="F951" t="s">
        <v>21</v>
      </c>
      <c r="G951">
        <v>2</v>
      </c>
      <c r="H951" t="s">
        <v>20</v>
      </c>
      <c r="I951" t="str">
        <f>VLOOKUP(Table4[[#This Row],[customer_id]],customers!A:G,4,)</f>
        <v>chennai</v>
      </c>
    </row>
    <row r="952" spans="1:9" x14ac:dyDescent="0.3">
      <c r="A952">
        <v>20951</v>
      </c>
      <c r="B952">
        <v>413</v>
      </c>
      <c r="C952" s="2">
        <v>44949</v>
      </c>
      <c r="D952" s="2" t="str">
        <f>TEXT(Table4[[#This Row],[issue_date]],"mmmm")</f>
        <v>January</v>
      </c>
      <c r="E952" s="9">
        <f>YEAR(Table4[[#This Row],[issue_date]])</f>
        <v>2023</v>
      </c>
      <c r="F952" t="s">
        <v>21</v>
      </c>
      <c r="G952">
        <v>55</v>
      </c>
      <c r="H952" t="s">
        <v>20</v>
      </c>
      <c r="I952" t="str">
        <f>VLOOKUP(Table4[[#This Row],[customer_id]],customers!A:G,4,)</f>
        <v>kolkata</v>
      </c>
    </row>
    <row r="953" spans="1:9" x14ac:dyDescent="0.3">
      <c r="A953">
        <v>20952</v>
      </c>
      <c r="B953">
        <v>91</v>
      </c>
      <c r="C953" s="2">
        <v>44655</v>
      </c>
      <c r="D953" s="2" t="str">
        <f>TEXT(Table4[[#This Row],[issue_date]],"mmmm")</f>
        <v>April</v>
      </c>
      <c r="E953" s="9">
        <f>YEAR(Table4[[#This Row],[issue_date]])</f>
        <v>2022</v>
      </c>
      <c r="F953" t="s">
        <v>22</v>
      </c>
      <c r="G953">
        <v>34</v>
      </c>
      <c r="H953" t="s">
        <v>20</v>
      </c>
      <c r="I953" t="str">
        <f>VLOOKUP(Table4[[#This Row],[customer_id]],customers!A:G,4,)</f>
        <v>chennai</v>
      </c>
    </row>
    <row r="954" spans="1:9" x14ac:dyDescent="0.3">
      <c r="A954">
        <v>20953</v>
      </c>
      <c r="B954">
        <v>58</v>
      </c>
      <c r="C954" s="2">
        <v>44628</v>
      </c>
      <c r="D954" s="2" t="str">
        <f>TEXT(Table4[[#This Row],[issue_date]],"mmmm")</f>
        <v>March</v>
      </c>
      <c r="E954" s="9">
        <f>YEAR(Table4[[#This Row],[issue_date]])</f>
        <v>2022</v>
      </c>
      <c r="F954" t="s">
        <v>22</v>
      </c>
      <c r="G954">
        <v>20</v>
      </c>
      <c r="H954" t="s">
        <v>20</v>
      </c>
      <c r="I954" t="str">
        <f>VLOOKUP(Table4[[#This Row],[customer_id]],customers!A:G,4,)</f>
        <v>bangalore</v>
      </c>
    </row>
    <row r="955" spans="1:9" x14ac:dyDescent="0.3">
      <c r="A955">
        <v>20954</v>
      </c>
      <c r="B955">
        <v>434</v>
      </c>
      <c r="C955" s="2">
        <v>44811</v>
      </c>
      <c r="D955" s="2" t="str">
        <f>TEXT(Table4[[#This Row],[issue_date]],"mmmm")</f>
        <v>September</v>
      </c>
      <c r="E955" s="9">
        <f>YEAR(Table4[[#This Row],[issue_date]])</f>
        <v>2022</v>
      </c>
      <c r="F955" t="s">
        <v>21</v>
      </c>
      <c r="G955">
        <v>47</v>
      </c>
      <c r="H955" t="s">
        <v>20</v>
      </c>
      <c r="I955" t="str">
        <f>VLOOKUP(Table4[[#This Row],[customer_id]],customers!A:G,4,)</f>
        <v>bangalore</v>
      </c>
    </row>
    <row r="956" spans="1:9" x14ac:dyDescent="0.3">
      <c r="A956">
        <v>20955</v>
      </c>
      <c r="B956">
        <v>495</v>
      </c>
      <c r="C956" s="2">
        <v>44703</v>
      </c>
      <c r="D956" s="2" t="str">
        <f>TEXT(Table4[[#This Row],[issue_date]],"mmmm")</f>
        <v>May</v>
      </c>
      <c r="E956" s="9">
        <f>YEAR(Table4[[#This Row],[issue_date]])</f>
        <v>2022</v>
      </c>
      <c r="F956" t="s">
        <v>19</v>
      </c>
      <c r="G956">
        <v>26</v>
      </c>
      <c r="H956" t="s">
        <v>20</v>
      </c>
      <c r="I956" t="str">
        <f>VLOOKUP(Table4[[#This Row],[customer_id]],customers!A:G,4,)</f>
        <v>mumbai</v>
      </c>
    </row>
    <row r="957" spans="1:9" x14ac:dyDescent="0.3">
      <c r="A957">
        <v>20956</v>
      </c>
      <c r="B957">
        <v>10</v>
      </c>
      <c r="C957" s="2">
        <v>44828</v>
      </c>
      <c r="D957" s="2" t="str">
        <f>TEXT(Table4[[#This Row],[issue_date]],"mmmm")</f>
        <v>September</v>
      </c>
      <c r="E957" s="9">
        <f>YEAR(Table4[[#This Row],[issue_date]])</f>
        <v>2022</v>
      </c>
      <c r="F957" t="s">
        <v>19</v>
      </c>
      <c r="G957">
        <v>1</v>
      </c>
      <c r="H957" t="s">
        <v>20</v>
      </c>
      <c r="I957" t="str">
        <f>VLOOKUP(Table4[[#This Row],[customer_id]],customers!A:G,4,)</f>
        <v>bangalore</v>
      </c>
    </row>
    <row r="958" spans="1:9" x14ac:dyDescent="0.3">
      <c r="A958">
        <v>20957</v>
      </c>
      <c r="B958">
        <v>256</v>
      </c>
      <c r="C958" s="2">
        <v>45113</v>
      </c>
      <c r="D958" s="2" t="str">
        <f>TEXT(Table4[[#This Row],[issue_date]],"mmmm")</f>
        <v>July</v>
      </c>
      <c r="E958" s="9">
        <f>YEAR(Table4[[#This Row],[issue_date]])</f>
        <v>2023</v>
      </c>
      <c r="F958" t="s">
        <v>19</v>
      </c>
      <c r="G958">
        <v>65</v>
      </c>
      <c r="H958" t="s">
        <v>23</v>
      </c>
      <c r="I958" t="str">
        <f>VLOOKUP(Table4[[#This Row],[customer_id]],customers!A:G,4,)</f>
        <v>kolkata</v>
      </c>
    </row>
    <row r="959" spans="1:9" x14ac:dyDescent="0.3">
      <c r="A959">
        <v>20958</v>
      </c>
      <c r="B959">
        <v>317</v>
      </c>
      <c r="C959" s="2">
        <v>44776</v>
      </c>
      <c r="D959" s="2" t="str">
        <f>TEXT(Table4[[#This Row],[issue_date]],"mmmm")</f>
        <v>August</v>
      </c>
      <c r="E959" s="9">
        <f>YEAR(Table4[[#This Row],[issue_date]])</f>
        <v>2022</v>
      </c>
      <c r="F959" t="s">
        <v>21</v>
      </c>
      <c r="G959">
        <v>15</v>
      </c>
      <c r="H959" t="s">
        <v>20</v>
      </c>
      <c r="I959" t="str">
        <f>VLOOKUP(Table4[[#This Row],[customer_id]],customers!A:G,4,)</f>
        <v>delhi</v>
      </c>
    </row>
    <row r="960" spans="1:9" x14ac:dyDescent="0.3">
      <c r="A960">
        <v>20959</v>
      </c>
      <c r="B960">
        <v>249</v>
      </c>
      <c r="C960" s="2">
        <v>45050</v>
      </c>
      <c r="D960" s="2" t="str">
        <f>TEXT(Table4[[#This Row],[issue_date]],"mmmm")</f>
        <v>May</v>
      </c>
      <c r="E960" s="9">
        <f>YEAR(Table4[[#This Row],[issue_date]])</f>
        <v>2023</v>
      </c>
      <c r="F960" t="s">
        <v>22</v>
      </c>
      <c r="G960">
        <v>14</v>
      </c>
      <c r="H960" t="s">
        <v>20</v>
      </c>
      <c r="I960" t="str">
        <f>VLOOKUP(Table4[[#This Row],[customer_id]],customers!A:G,4,)</f>
        <v>bangalore</v>
      </c>
    </row>
    <row r="961" spans="1:9" x14ac:dyDescent="0.3">
      <c r="A961">
        <v>20960</v>
      </c>
      <c r="B961">
        <v>483</v>
      </c>
      <c r="C961" s="2">
        <v>45057</v>
      </c>
      <c r="D961" s="2" t="str">
        <f>TEXT(Table4[[#This Row],[issue_date]],"mmmm")</f>
        <v>May</v>
      </c>
      <c r="E961" s="9">
        <f>YEAR(Table4[[#This Row],[issue_date]])</f>
        <v>2023</v>
      </c>
      <c r="F961" t="s">
        <v>19</v>
      </c>
      <c r="G961">
        <v>55</v>
      </c>
      <c r="H961" t="s">
        <v>20</v>
      </c>
      <c r="I961" t="str">
        <f>VLOOKUP(Table4[[#This Row],[customer_id]],customers!A:G,4,)</f>
        <v>delhi</v>
      </c>
    </row>
    <row r="962" spans="1:9" x14ac:dyDescent="0.3">
      <c r="A962">
        <v>20961</v>
      </c>
      <c r="B962">
        <v>367</v>
      </c>
      <c r="C962" s="2">
        <v>45041</v>
      </c>
      <c r="D962" s="2" t="str">
        <f>TEXT(Table4[[#This Row],[issue_date]],"mmmm")</f>
        <v>April</v>
      </c>
      <c r="E962" s="9">
        <f>YEAR(Table4[[#This Row],[issue_date]])</f>
        <v>2023</v>
      </c>
      <c r="F962" t="s">
        <v>22</v>
      </c>
      <c r="G962">
        <v>1</v>
      </c>
      <c r="H962" t="s">
        <v>20</v>
      </c>
      <c r="I962" t="str">
        <f>VLOOKUP(Table4[[#This Row],[customer_id]],customers!A:G,4,)</f>
        <v>kolkata</v>
      </c>
    </row>
    <row r="963" spans="1:9" x14ac:dyDescent="0.3">
      <c r="A963">
        <v>20962</v>
      </c>
      <c r="B963">
        <v>377</v>
      </c>
      <c r="C963" s="2">
        <v>45204</v>
      </c>
      <c r="D963" s="2" t="str">
        <f>TEXT(Table4[[#This Row],[issue_date]],"mmmm")</f>
        <v>October</v>
      </c>
      <c r="E963" s="9">
        <f>YEAR(Table4[[#This Row],[issue_date]])</f>
        <v>2023</v>
      </c>
      <c r="F963" t="s">
        <v>21</v>
      </c>
      <c r="G963">
        <v>33</v>
      </c>
      <c r="H963" t="s">
        <v>20</v>
      </c>
      <c r="I963" t="str">
        <f>VLOOKUP(Table4[[#This Row],[customer_id]],customers!A:G,4,)</f>
        <v>mumbai</v>
      </c>
    </row>
    <row r="964" spans="1:9" x14ac:dyDescent="0.3">
      <c r="A964">
        <v>20963</v>
      </c>
      <c r="B964">
        <v>317</v>
      </c>
      <c r="C964" s="2">
        <v>45051</v>
      </c>
      <c r="D964" s="2" t="str">
        <f>TEXT(Table4[[#This Row],[issue_date]],"mmmm")</f>
        <v>May</v>
      </c>
      <c r="E964" s="9">
        <f>YEAR(Table4[[#This Row],[issue_date]])</f>
        <v>2023</v>
      </c>
      <c r="F964" t="s">
        <v>21</v>
      </c>
      <c r="G964">
        <v>70</v>
      </c>
      <c r="H964" t="s">
        <v>20</v>
      </c>
      <c r="I964" t="str">
        <f>VLOOKUP(Table4[[#This Row],[customer_id]],customers!A:G,4,)</f>
        <v>delhi</v>
      </c>
    </row>
    <row r="965" spans="1:9" x14ac:dyDescent="0.3">
      <c r="A965">
        <v>20964</v>
      </c>
      <c r="B965">
        <v>407</v>
      </c>
      <c r="C965" s="2">
        <v>44562</v>
      </c>
      <c r="D965" s="2" t="str">
        <f>TEXT(Table4[[#This Row],[issue_date]],"mmmm")</f>
        <v>January</v>
      </c>
      <c r="E965" s="9">
        <f>YEAR(Table4[[#This Row],[issue_date]])</f>
        <v>2022</v>
      </c>
      <c r="F965" t="s">
        <v>22</v>
      </c>
      <c r="G965">
        <v>56</v>
      </c>
      <c r="H965" t="s">
        <v>20</v>
      </c>
      <c r="I965" t="str">
        <f>VLOOKUP(Table4[[#This Row],[customer_id]],customers!A:G,4,)</f>
        <v>chennai</v>
      </c>
    </row>
    <row r="966" spans="1:9" x14ac:dyDescent="0.3">
      <c r="A966">
        <v>20965</v>
      </c>
      <c r="B966">
        <v>6</v>
      </c>
      <c r="C966" s="2">
        <v>44570</v>
      </c>
      <c r="D966" s="2" t="str">
        <f>TEXT(Table4[[#This Row],[issue_date]],"mmmm")</f>
        <v>January</v>
      </c>
      <c r="E966" s="9">
        <f>YEAR(Table4[[#This Row],[issue_date]])</f>
        <v>2022</v>
      </c>
      <c r="F966" t="s">
        <v>22</v>
      </c>
      <c r="G966">
        <v>23</v>
      </c>
      <c r="H966" t="s">
        <v>20</v>
      </c>
      <c r="I966" t="str">
        <f>VLOOKUP(Table4[[#This Row],[customer_id]],customers!A:G,4,)</f>
        <v>bangalore</v>
      </c>
    </row>
    <row r="967" spans="1:9" x14ac:dyDescent="0.3">
      <c r="A967">
        <v>20966</v>
      </c>
      <c r="B967">
        <v>331</v>
      </c>
      <c r="C967" s="2">
        <v>45441</v>
      </c>
      <c r="D967" s="2" t="str">
        <f>TEXT(Table4[[#This Row],[issue_date]],"mmmm")</f>
        <v>May</v>
      </c>
      <c r="E967" s="9">
        <f>YEAR(Table4[[#This Row],[issue_date]])</f>
        <v>2024</v>
      </c>
      <c r="F967" t="s">
        <v>22</v>
      </c>
      <c r="G967">
        <v>54</v>
      </c>
      <c r="H967" t="s">
        <v>20</v>
      </c>
      <c r="I967" t="str">
        <f>VLOOKUP(Table4[[#This Row],[customer_id]],customers!A:G,4,)</f>
        <v>bangalore</v>
      </c>
    </row>
    <row r="968" spans="1:9" x14ac:dyDescent="0.3">
      <c r="A968">
        <v>20967</v>
      </c>
      <c r="B968">
        <v>188</v>
      </c>
      <c r="C968" s="2">
        <v>45402</v>
      </c>
      <c r="D968" s="2" t="str">
        <f>TEXT(Table4[[#This Row],[issue_date]],"mmmm")</f>
        <v>April</v>
      </c>
      <c r="E968" s="9">
        <f>YEAR(Table4[[#This Row],[issue_date]])</f>
        <v>2024</v>
      </c>
      <c r="F968" t="s">
        <v>22</v>
      </c>
      <c r="G968">
        <v>3</v>
      </c>
      <c r="H968" t="s">
        <v>20</v>
      </c>
      <c r="I968" t="str">
        <f>VLOOKUP(Table4[[#This Row],[customer_id]],customers!A:G,4,)</f>
        <v>delhi</v>
      </c>
    </row>
    <row r="969" spans="1:9" x14ac:dyDescent="0.3">
      <c r="A969">
        <v>20968</v>
      </c>
      <c r="B969">
        <v>235</v>
      </c>
      <c r="C969" s="2">
        <v>44941</v>
      </c>
      <c r="D969" s="2" t="str">
        <f>TEXT(Table4[[#This Row],[issue_date]],"mmmm")</f>
        <v>January</v>
      </c>
      <c r="E969" s="9">
        <f>YEAR(Table4[[#This Row],[issue_date]])</f>
        <v>2023</v>
      </c>
      <c r="F969" t="s">
        <v>19</v>
      </c>
      <c r="G969">
        <v>46</v>
      </c>
      <c r="H969" t="s">
        <v>20</v>
      </c>
      <c r="I969" t="str">
        <f>VLOOKUP(Table4[[#This Row],[customer_id]],customers!A:G,4,)</f>
        <v>kolkata</v>
      </c>
    </row>
    <row r="970" spans="1:9" x14ac:dyDescent="0.3">
      <c r="A970">
        <v>20969</v>
      </c>
      <c r="B970">
        <v>371</v>
      </c>
      <c r="C970" s="2">
        <v>45405</v>
      </c>
      <c r="D970" s="2" t="str">
        <f>TEXT(Table4[[#This Row],[issue_date]],"mmmm")</f>
        <v>April</v>
      </c>
      <c r="E970" s="9">
        <f>YEAR(Table4[[#This Row],[issue_date]])</f>
        <v>2024</v>
      </c>
      <c r="F970" t="s">
        <v>22</v>
      </c>
      <c r="G970">
        <v>6</v>
      </c>
      <c r="H970" t="s">
        <v>23</v>
      </c>
      <c r="I970" t="str">
        <f>VLOOKUP(Table4[[#This Row],[customer_id]],customers!A:G,4,)</f>
        <v>delhi</v>
      </c>
    </row>
    <row r="971" spans="1:9" x14ac:dyDescent="0.3">
      <c r="A971">
        <v>20970</v>
      </c>
      <c r="B971">
        <v>411</v>
      </c>
      <c r="C971" s="2">
        <v>45458</v>
      </c>
      <c r="D971" s="2" t="str">
        <f>TEXT(Table4[[#This Row],[issue_date]],"mmmm")</f>
        <v>June</v>
      </c>
      <c r="E971" s="9">
        <f>YEAR(Table4[[#This Row],[issue_date]])</f>
        <v>2024</v>
      </c>
      <c r="F971" t="s">
        <v>19</v>
      </c>
      <c r="G971">
        <v>25</v>
      </c>
      <c r="H971" t="s">
        <v>20</v>
      </c>
      <c r="I971" t="str">
        <f>VLOOKUP(Table4[[#This Row],[customer_id]],customers!A:G,4,)</f>
        <v>hyderabad</v>
      </c>
    </row>
    <row r="972" spans="1:9" x14ac:dyDescent="0.3">
      <c r="A972">
        <v>20971</v>
      </c>
      <c r="B972">
        <v>183</v>
      </c>
      <c r="C972" s="2">
        <v>44705</v>
      </c>
      <c r="D972" s="2" t="str">
        <f>TEXT(Table4[[#This Row],[issue_date]],"mmmm")</f>
        <v>May</v>
      </c>
      <c r="E972" s="9">
        <f>YEAR(Table4[[#This Row],[issue_date]])</f>
        <v>2022</v>
      </c>
      <c r="F972" t="s">
        <v>21</v>
      </c>
      <c r="G972">
        <v>17</v>
      </c>
      <c r="H972" t="s">
        <v>20</v>
      </c>
      <c r="I972" t="str">
        <f>VLOOKUP(Table4[[#This Row],[customer_id]],customers!A:G,4,)</f>
        <v>hyderabad</v>
      </c>
    </row>
    <row r="973" spans="1:9" x14ac:dyDescent="0.3">
      <c r="A973">
        <v>20972</v>
      </c>
      <c r="B973">
        <v>287</v>
      </c>
      <c r="C973" s="2">
        <v>45423</v>
      </c>
      <c r="D973" s="2" t="str">
        <f>TEXT(Table4[[#This Row],[issue_date]],"mmmm")</f>
        <v>May</v>
      </c>
      <c r="E973" s="9">
        <f>YEAR(Table4[[#This Row],[issue_date]])</f>
        <v>2024</v>
      </c>
      <c r="F973" t="s">
        <v>19</v>
      </c>
      <c r="G973">
        <v>28</v>
      </c>
      <c r="H973" t="s">
        <v>20</v>
      </c>
      <c r="I973" t="str">
        <f>VLOOKUP(Table4[[#This Row],[customer_id]],customers!A:G,4,)</f>
        <v>bangalore</v>
      </c>
    </row>
    <row r="974" spans="1:9" x14ac:dyDescent="0.3">
      <c r="A974">
        <v>20973</v>
      </c>
      <c r="B974">
        <v>123</v>
      </c>
      <c r="C974" s="2">
        <v>45401</v>
      </c>
      <c r="D974" s="2" t="str">
        <f>TEXT(Table4[[#This Row],[issue_date]],"mmmm")</f>
        <v>April</v>
      </c>
      <c r="E974" s="9">
        <f>YEAR(Table4[[#This Row],[issue_date]])</f>
        <v>2024</v>
      </c>
      <c r="F974" t="s">
        <v>22</v>
      </c>
      <c r="G974">
        <v>32</v>
      </c>
      <c r="H974" t="s">
        <v>20</v>
      </c>
      <c r="I974" t="str">
        <f>VLOOKUP(Table4[[#This Row],[customer_id]],customers!A:G,4,)</f>
        <v>bangalore</v>
      </c>
    </row>
    <row r="975" spans="1:9" x14ac:dyDescent="0.3">
      <c r="A975">
        <v>20974</v>
      </c>
      <c r="B975">
        <v>158</v>
      </c>
      <c r="C975" s="2">
        <v>44863</v>
      </c>
      <c r="D975" s="2" t="str">
        <f>TEXT(Table4[[#This Row],[issue_date]],"mmmm")</f>
        <v>October</v>
      </c>
      <c r="E975" s="9">
        <f>YEAR(Table4[[#This Row],[issue_date]])</f>
        <v>2022</v>
      </c>
      <c r="F975" t="s">
        <v>19</v>
      </c>
      <c r="G975">
        <v>23</v>
      </c>
      <c r="H975" t="s">
        <v>20</v>
      </c>
      <c r="I975" t="str">
        <f>VLOOKUP(Table4[[#This Row],[customer_id]],customers!A:G,4,)</f>
        <v>kolkata</v>
      </c>
    </row>
    <row r="976" spans="1:9" x14ac:dyDescent="0.3">
      <c r="A976">
        <v>20975</v>
      </c>
      <c r="B976">
        <v>323</v>
      </c>
      <c r="C976" s="2">
        <v>45211</v>
      </c>
      <c r="D976" s="2" t="str">
        <f>TEXT(Table4[[#This Row],[issue_date]],"mmmm")</f>
        <v>October</v>
      </c>
      <c r="E976" s="9">
        <f>YEAR(Table4[[#This Row],[issue_date]])</f>
        <v>2023</v>
      </c>
      <c r="F976" t="s">
        <v>21</v>
      </c>
      <c r="G976">
        <v>16</v>
      </c>
      <c r="H976" t="s">
        <v>20</v>
      </c>
      <c r="I976" t="str">
        <f>VLOOKUP(Table4[[#This Row],[customer_id]],customers!A:G,4,)</f>
        <v>mumbai</v>
      </c>
    </row>
    <row r="977" spans="1:9" x14ac:dyDescent="0.3">
      <c r="A977">
        <v>20976</v>
      </c>
      <c r="B977">
        <v>13</v>
      </c>
      <c r="C977" s="2">
        <v>44978</v>
      </c>
      <c r="D977" s="2" t="str">
        <f>TEXT(Table4[[#This Row],[issue_date]],"mmmm")</f>
        <v>February</v>
      </c>
      <c r="E977" s="9">
        <f>YEAR(Table4[[#This Row],[issue_date]])</f>
        <v>2023</v>
      </c>
      <c r="F977" t="s">
        <v>22</v>
      </c>
      <c r="G977">
        <v>26</v>
      </c>
      <c r="H977" t="s">
        <v>23</v>
      </c>
      <c r="I977" t="str">
        <f>VLOOKUP(Table4[[#This Row],[customer_id]],customers!A:G,4,)</f>
        <v>kolkata</v>
      </c>
    </row>
    <row r="978" spans="1:9" x14ac:dyDescent="0.3">
      <c r="A978">
        <v>20977</v>
      </c>
      <c r="B978">
        <v>315</v>
      </c>
      <c r="C978" s="2">
        <v>45431</v>
      </c>
      <c r="D978" s="2" t="str">
        <f>TEXT(Table4[[#This Row],[issue_date]],"mmmm")</f>
        <v>May</v>
      </c>
      <c r="E978" s="9">
        <f>YEAR(Table4[[#This Row],[issue_date]])</f>
        <v>2024</v>
      </c>
      <c r="F978" t="s">
        <v>21</v>
      </c>
      <c r="G978">
        <v>33</v>
      </c>
      <c r="H978" t="s">
        <v>20</v>
      </c>
      <c r="I978" t="str">
        <f>VLOOKUP(Table4[[#This Row],[customer_id]],customers!A:G,4,)</f>
        <v>kolkata</v>
      </c>
    </row>
    <row r="979" spans="1:9" x14ac:dyDescent="0.3">
      <c r="A979">
        <v>20978</v>
      </c>
      <c r="B979">
        <v>54</v>
      </c>
      <c r="C979" s="2">
        <v>45370</v>
      </c>
      <c r="D979" s="2" t="str">
        <f>TEXT(Table4[[#This Row],[issue_date]],"mmmm")</f>
        <v>March</v>
      </c>
      <c r="E979" s="9">
        <f>YEAR(Table4[[#This Row],[issue_date]])</f>
        <v>2024</v>
      </c>
      <c r="F979" t="s">
        <v>21</v>
      </c>
      <c r="G979">
        <v>58</v>
      </c>
      <c r="H979" t="s">
        <v>20</v>
      </c>
      <c r="I979" t="str">
        <f>VLOOKUP(Table4[[#This Row],[customer_id]],customers!A:G,4,)</f>
        <v>bangalore</v>
      </c>
    </row>
    <row r="980" spans="1:9" x14ac:dyDescent="0.3">
      <c r="A980">
        <v>20979</v>
      </c>
      <c r="B980">
        <v>360</v>
      </c>
      <c r="C980" s="2">
        <v>44740</v>
      </c>
      <c r="D980" s="2" t="str">
        <f>TEXT(Table4[[#This Row],[issue_date]],"mmmm")</f>
        <v>June</v>
      </c>
      <c r="E980" s="9">
        <f>YEAR(Table4[[#This Row],[issue_date]])</f>
        <v>2022</v>
      </c>
      <c r="F980" t="s">
        <v>22</v>
      </c>
      <c r="G980">
        <v>48</v>
      </c>
      <c r="H980" t="s">
        <v>20</v>
      </c>
      <c r="I980" t="str">
        <f>VLOOKUP(Table4[[#This Row],[customer_id]],customers!A:G,4,)</f>
        <v>hyderabad</v>
      </c>
    </row>
    <row r="981" spans="1:9" x14ac:dyDescent="0.3">
      <c r="A981">
        <v>20980</v>
      </c>
      <c r="B981">
        <v>277</v>
      </c>
      <c r="C981" s="2">
        <v>44839</v>
      </c>
      <c r="D981" s="2" t="str">
        <f>TEXT(Table4[[#This Row],[issue_date]],"mmmm")</f>
        <v>October</v>
      </c>
      <c r="E981" s="9">
        <f>YEAR(Table4[[#This Row],[issue_date]])</f>
        <v>2022</v>
      </c>
      <c r="F981" t="s">
        <v>19</v>
      </c>
      <c r="G981">
        <v>55</v>
      </c>
      <c r="H981" t="s">
        <v>20</v>
      </c>
      <c r="I981" t="str">
        <f>VLOOKUP(Table4[[#This Row],[customer_id]],customers!A:G,4,)</f>
        <v>chennai</v>
      </c>
    </row>
    <row r="982" spans="1:9" x14ac:dyDescent="0.3">
      <c r="A982">
        <v>20981</v>
      </c>
      <c r="B982">
        <v>43</v>
      </c>
      <c r="C982" s="2">
        <v>44705</v>
      </c>
      <c r="D982" s="2" t="str">
        <f>TEXT(Table4[[#This Row],[issue_date]],"mmmm")</f>
        <v>May</v>
      </c>
      <c r="E982" s="9">
        <f>YEAR(Table4[[#This Row],[issue_date]])</f>
        <v>2022</v>
      </c>
      <c r="F982" t="s">
        <v>21</v>
      </c>
      <c r="G982">
        <v>41</v>
      </c>
      <c r="H982" t="s">
        <v>20</v>
      </c>
      <c r="I982" t="str">
        <f>VLOOKUP(Table4[[#This Row],[customer_id]],customers!A:G,4,)</f>
        <v>hyderabad</v>
      </c>
    </row>
    <row r="983" spans="1:9" x14ac:dyDescent="0.3">
      <c r="A983">
        <v>20982</v>
      </c>
      <c r="B983">
        <v>267</v>
      </c>
      <c r="C983" s="2">
        <v>44900</v>
      </c>
      <c r="D983" s="2" t="str">
        <f>TEXT(Table4[[#This Row],[issue_date]],"mmmm")</f>
        <v>December</v>
      </c>
      <c r="E983" s="9">
        <f>YEAR(Table4[[#This Row],[issue_date]])</f>
        <v>2022</v>
      </c>
      <c r="F983" t="s">
        <v>22</v>
      </c>
      <c r="G983">
        <v>62</v>
      </c>
      <c r="H983" t="s">
        <v>20</v>
      </c>
      <c r="I983" t="str">
        <f>VLOOKUP(Table4[[#This Row],[customer_id]],customers!A:G,4,)</f>
        <v>chennai</v>
      </c>
    </row>
    <row r="984" spans="1:9" x14ac:dyDescent="0.3">
      <c r="A984">
        <v>20983</v>
      </c>
      <c r="B984">
        <v>109</v>
      </c>
      <c r="C984" s="2">
        <v>45020</v>
      </c>
      <c r="D984" s="2" t="str">
        <f>TEXT(Table4[[#This Row],[issue_date]],"mmmm")</f>
        <v>April</v>
      </c>
      <c r="E984" s="9">
        <f>YEAR(Table4[[#This Row],[issue_date]])</f>
        <v>2023</v>
      </c>
      <c r="F984" t="s">
        <v>21</v>
      </c>
      <c r="G984">
        <v>17</v>
      </c>
      <c r="H984" t="s">
        <v>20</v>
      </c>
      <c r="I984" t="str">
        <f>VLOOKUP(Table4[[#This Row],[customer_id]],customers!A:G,4,)</f>
        <v>mumbai</v>
      </c>
    </row>
    <row r="985" spans="1:9" x14ac:dyDescent="0.3">
      <c r="A985">
        <v>20984</v>
      </c>
      <c r="B985">
        <v>323</v>
      </c>
      <c r="C985" s="2">
        <v>45263</v>
      </c>
      <c r="D985" s="2" t="str">
        <f>TEXT(Table4[[#This Row],[issue_date]],"mmmm")</f>
        <v>December</v>
      </c>
      <c r="E985" s="9">
        <f>YEAR(Table4[[#This Row],[issue_date]])</f>
        <v>2023</v>
      </c>
      <c r="F985" t="s">
        <v>19</v>
      </c>
      <c r="G985">
        <v>59</v>
      </c>
      <c r="H985" t="s">
        <v>23</v>
      </c>
      <c r="I985" t="str">
        <f>VLOOKUP(Table4[[#This Row],[customer_id]],customers!A:G,4,)</f>
        <v>mumbai</v>
      </c>
    </row>
    <row r="986" spans="1:9" x14ac:dyDescent="0.3">
      <c r="A986">
        <v>20985</v>
      </c>
      <c r="B986">
        <v>166</v>
      </c>
      <c r="C986" s="2">
        <v>44892</v>
      </c>
      <c r="D986" s="2" t="str">
        <f>TEXT(Table4[[#This Row],[issue_date]],"mmmm")</f>
        <v>November</v>
      </c>
      <c r="E986" s="9">
        <f>YEAR(Table4[[#This Row],[issue_date]])</f>
        <v>2022</v>
      </c>
      <c r="F986" t="s">
        <v>21</v>
      </c>
      <c r="G986">
        <v>14</v>
      </c>
      <c r="H986" t="s">
        <v>20</v>
      </c>
      <c r="I986" t="str">
        <f>VLOOKUP(Table4[[#This Row],[customer_id]],customers!A:G,4,)</f>
        <v>delhi</v>
      </c>
    </row>
    <row r="987" spans="1:9" x14ac:dyDescent="0.3">
      <c r="A987">
        <v>20986</v>
      </c>
      <c r="B987">
        <v>351</v>
      </c>
      <c r="C987" s="2">
        <v>44831</v>
      </c>
      <c r="D987" s="2" t="str">
        <f>TEXT(Table4[[#This Row],[issue_date]],"mmmm")</f>
        <v>September</v>
      </c>
      <c r="E987" s="9">
        <f>YEAR(Table4[[#This Row],[issue_date]])</f>
        <v>2022</v>
      </c>
      <c r="F987" t="s">
        <v>21</v>
      </c>
      <c r="G987">
        <v>21</v>
      </c>
      <c r="H987" t="s">
        <v>20</v>
      </c>
      <c r="I987" t="str">
        <f>VLOOKUP(Table4[[#This Row],[customer_id]],customers!A:G,4,)</f>
        <v>bangalore</v>
      </c>
    </row>
    <row r="988" spans="1:9" x14ac:dyDescent="0.3">
      <c r="A988">
        <v>20987</v>
      </c>
      <c r="B988">
        <v>408</v>
      </c>
      <c r="C988" s="2">
        <v>44748</v>
      </c>
      <c r="D988" s="2" t="str">
        <f>TEXT(Table4[[#This Row],[issue_date]],"mmmm")</f>
        <v>July</v>
      </c>
      <c r="E988" s="9">
        <f>YEAR(Table4[[#This Row],[issue_date]])</f>
        <v>2022</v>
      </c>
      <c r="F988" t="s">
        <v>21</v>
      </c>
      <c r="G988">
        <v>63</v>
      </c>
      <c r="H988" t="s">
        <v>23</v>
      </c>
      <c r="I988" t="str">
        <f>VLOOKUP(Table4[[#This Row],[customer_id]],customers!A:G,4,)</f>
        <v>chennai</v>
      </c>
    </row>
    <row r="989" spans="1:9" x14ac:dyDescent="0.3">
      <c r="A989">
        <v>20988</v>
      </c>
      <c r="B989">
        <v>106</v>
      </c>
      <c r="C989" s="2">
        <v>45227</v>
      </c>
      <c r="D989" s="2" t="str">
        <f>TEXT(Table4[[#This Row],[issue_date]],"mmmm")</f>
        <v>October</v>
      </c>
      <c r="E989" s="9">
        <f>YEAR(Table4[[#This Row],[issue_date]])</f>
        <v>2023</v>
      </c>
      <c r="F989" t="s">
        <v>21</v>
      </c>
      <c r="G989">
        <v>46</v>
      </c>
      <c r="H989" t="s">
        <v>20</v>
      </c>
      <c r="I989" t="str">
        <f>VLOOKUP(Table4[[#This Row],[customer_id]],customers!A:G,4,)</f>
        <v>bangalore</v>
      </c>
    </row>
    <row r="990" spans="1:9" x14ac:dyDescent="0.3">
      <c r="A990">
        <v>20989</v>
      </c>
      <c r="B990">
        <v>51</v>
      </c>
      <c r="C990" s="2">
        <v>44733</v>
      </c>
      <c r="D990" s="2" t="str">
        <f>TEXT(Table4[[#This Row],[issue_date]],"mmmm")</f>
        <v>June</v>
      </c>
      <c r="E990" s="9">
        <f>YEAR(Table4[[#This Row],[issue_date]])</f>
        <v>2022</v>
      </c>
      <c r="F990" t="s">
        <v>19</v>
      </c>
      <c r="G990">
        <v>55</v>
      </c>
      <c r="H990" t="s">
        <v>20</v>
      </c>
      <c r="I990" t="str">
        <f>VLOOKUP(Table4[[#This Row],[customer_id]],customers!A:G,4,)</f>
        <v>kolkata</v>
      </c>
    </row>
    <row r="991" spans="1:9" x14ac:dyDescent="0.3">
      <c r="A991">
        <v>20990</v>
      </c>
      <c r="B991">
        <v>204</v>
      </c>
      <c r="C991" s="2">
        <v>44965</v>
      </c>
      <c r="D991" s="2" t="str">
        <f>TEXT(Table4[[#This Row],[issue_date]],"mmmm")</f>
        <v>February</v>
      </c>
      <c r="E991" s="9">
        <f>YEAR(Table4[[#This Row],[issue_date]])</f>
        <v>2023</v>
      </c>
      <c r="F991" t="s">
        <v>22</v>
      </c>
      <c r="G991">
        <v>62</v>
      </c>
      <c r="H991" t="s">
        <v>20</v>
      </c>
      <c r="I991" t="str">
        <f>VLOOKUP(Table4[[#This Row],[customer_id]],customers!A:G,4,)</f>
        <v>mumbai</v>
      </c>
    </row>
    <row r="992" spans="1:9" x14ac:dyDescent="0.3">
      <c r="A992">
        <v>20991</v>
      </c>
      <c r="B992">
        <v>445</v>
      </c>
      <c r="C992" s="2">
        <v>45029</v>
      </c>
      <c r="D992" s="2" t="str">
        <f>TEXT(Table4[[#This Row],[issue_date]],"mmmm")</f>
        <v>April</v>
      </c>
      <c r="E992" s="9">
        <f>YEAR(Table4[[#This Row],[issue_date]])</f>
        <v>2023</v>
      </c>
      <c r="F992" t="s">
        <v>21</v>
      </c>
      <c r="G992">
        <v>39</v>
      </c>
      <c r="H992" t="s">
        <v>20</v>
      </c>
      <c r="I992" t="str">
        <f>VLOOKUP(Table4[[#This Row],[customer_id]],customers!A:G,4,)</f>
        <v>chennai</v>
      </c>
    </row>
    <row r="993" spans="1:9" x14ac:dyDescent="0.3">
      <c r="A993">
        <v>20992</v>
      </c>
      <c r="B993">
        <v>302</v>
      </c>
      <c r="C993" s="2">
        <v>44808</v>
      </c>
      <c r="D993" s="2" t="str">
        <f>TEXT(Table4[[#This Row],[issue_date]],"mmmm")</f>
        <v>September</v>
      </c>
      <c r="E993" s="9">
        <f>YEAR(Table4[[#This Row],[issue_date]])</f>
        <v>2022</v>
      </c>
      <c r="F993" t="s">
        <v>19</v>
      </c>
      <c r="G993">
        <v>42</v>
      </c>
      <c r="H993" t="s">
        <v>20</v>
      </c>
      <c r="I993" t="str">
        <f>VLOOKUP(Table4[[#This Row],[customer_id]],customers!A:G,4,)</f>
        <v>kolkata</v>
      </c>
    </row>
    <row r="994" spans="1:9" x14ac:dyDescent="0.3">
      <c r="A994">
        <v>20993</v>
      </c>
      <c r="B994">
        <v>43</v>
      </c>
      <c r="C994" s="2">
        <v>45084</v>
      </c>
      <c r="D994" s="2" t="str">
        <f>TEXT(Table4[[#This Row],[issue_date]],"mmmm")</f>
        <v>June</v>
      </c>
      <c r="E994" s="9">
        <f>YEAR(Table4[[#This Row],[issue_date]])</f>
        <v>2023</v>
      </c>
      <c r="F994" t="s">
        <v>21</v>
      </c>
      <c r="G994">
        <v>48</v>
      </c>
      <c r="H994" t="s">
        <v>20</v>
      </c>
      <c r="I994" t="str">
        <f>VLOOKUP(Table4[[#This Row],[customer_id]],customers!A:G,4,)</f>
        <v>hyderabad</v>
      </c>
    </row>
    <row r="995" spans="1:9" x14ac:dyDescent="0.3">
      <c r="A995">
        <v>20994</v>
      </c>
      <c r="B995">
        <v>283</v>
      </c>
      <c r="C995" s="2">
        <v>45120</v>
      </c>
      <c r="D995" s="2" t="str">
        <f>TEXT(Table4[[#This Row],[issue_date]],"mmmm")</f>
        <v>July</v>
      </c>
      <c r="E995" s="9">
        <f>YEAR(Table4[[#This Row],[issue_date]])</f>
        <v>2023</v>
      </c>
      <c r="F995" t="s">
        <v>21</v>
      </c>
      <c r="G995">
        <v>28</v>
      </c>
      <c r="H995" t="s">
        <v>20</v>
      </c>
      <c r="I995" t="str">
        <f>VLOOKUP(Table4[[#This Row],[customer_id]],customers!A:G,4,)</f>
        <v>hyderabad</v>
      </c>
    </row>
    <row r="996" spans="1:9" x14ac:dyDescent="0.3">
      <c r="A996">
        <v>20995</v>
      </c>
      <c r="B996">
        <v>85</v>
      </c>
      <c r="C996" s="2">
        <v>45339</v>
      </c>
      <c r="D996" s="2" t="str">
        <f>TEXT(Table4[[#This Row],[issue_date]],"mmmm")</f>
        <v>February</v>
      </c>
      <c r="E996" s="9">
        <f>YEAR(Table4[[#This Row],[issue_date]])</f>
        <v>2024</v>
      </c>
      <c r="F996" t="s">
        <v>21</v>
      </c>
      <c r="G996">
        <v>6</v>
      </c>
      <c r="H996" t="s">
        <v>20</v>
      </c>
      <c r="I996" t="str">
        <f>VLOOKUP(Table4[[#This Row],[customer_id]],customers!A:G,4,)</f>
        <v>hyderabad</v>
      </c>
    </row>
    <row r="997" spans="1:9" x14ac:dyDescent="0.3">
      <c r="A997">
        <v>20996</v>
      </c>
      <c r="B997">
        <v>217</v>
      </c>
      <c r="C997" s="2">
        <v>45390</v>
      </c>
      <c r="D997" s="2" t="str">
        <f>TEXT(Table4[[#This Row],[issue_date]],"mmmm")</f>
        <v>April</v>
      </c>
      <c r="E997" s="9">
        <f>YEAR(Table4[[#This Row],[issue_date]])</f>
        <v>2024</v>
      </c>
      <c r="F997" t="s">
        <v>19</v>
      </c>
      <c r="G997">
        <v>59</v>
      </c>
      <c r="H997" t="s">
        <v>20</v>
      </c>
      <c r="I997" t="str">
        <f>VLOOKUP(Table4[[#This Row],[customer_id]],customers!A:G,4,)</f>
        <v>chennai</v>
      </c>
    </row>
    <row r="998" spans="1:9" x14ac:dyDescent="0.3">
      <c r="A998">
        <v>20997</v>
      </c>
      <c r="B998">
        <v>158</v>
      </c>
      <c r="C998" s="2">
        <v>44672</v>
      </c>
      <c r="D998" s="2" t="str">
        <f>TEXT(Table4[[#This Row],[issue_date]],"mmmm")</f>
        <v>April</v>
      </c>
      <c r="E998" s="9">
        <f>YEAR(Table4[[#This Row],[issue_date]])</f>
        <v>2022</v>
      </c>
      <c r="F998" t="s">
        <v>21</v>
      </c>
      <c r="G998">
        <v>70</v>
      </c>
      <c r="H998" t="s">
        <v>20</v>
      </c>
      <c r="I998" t="str">
        <f>VLOOKUP(Table4[[#This Row],[customer_id]],customers!A:G,4,)</f>
        <v>kolkata</v>
      </c>
    </row>
    <row r="999" spans="1:9" x14ac:dyDescent="0.3">
      <c r="A999">
        <v>20998</v>
      </c>
      <c r="B999">
        <v>350</v>
      </c>
      <c r="C999" s="2">
        <v>45374</v>
      </c>
      <c r="D999" s="2" t="str">
        <f>TEXT(Table4[[#This Row],[issue_date]],"mmmm")</f>
        <v>March</v>
      </c>
      <c r="E999" s="9">
        <f>YEAR(Table4[[#This Row],[issue_date]])</f>
        <v>2024</v>
      </c>
      <c r="F999" t="s">
        <v>21</v>
      </c>
      <c r="G999">
        <v>39</v>
      </c>
      <c r="H999" t="s">
        <v>20</v>
      </c>
      <c r="I999" t="str">
        <f>VLOOKUP(Table4[[#This Row],[customer_id]],customers!A:G,4,)</f>
        <v>delhi</v>
      </c>
    </row>
    <row r="1000" spans="1:9" x14ac:dyDescent="0.3">
      <c r="A1000">
        <v>20999</v>
      </c>
      <c r="B1000">
        <v>127</v>
      </c>
      <c r="C1000" s="2">
        <v>44864</v>
      </c>
      <c r="D1000" s="2" t="str">
        <f>TEXT(Table4[[#This Row],[issue_date]],"mmmm")</f>
        <v>October</v>
      </c>
      <c r="E1000" s="9">
        <f>YEAR(Table4[[#This Row],[issue_date]])</f>
        <v>2022</v>
      </c>
      <c r="F1000" t="s">
        <v>22</v>
      </c>
      <c r="G1000">
        <v>57</v>
      </c>
      <c r="H1000" t="s">
        <v>20</v>
      </c>
      <c r="I1000" t="str">
        <f>VLOOKUP(Table4[[#This Row],[customer_id]],customers!A:G,4,)</f>
        <v>delhi</v>
      </c>
    </row>
    <row r="1001" spans="1:9" x14ac:dyDescent="0.3">
      <c r="A1001">
        <v>21000</v>
      </c>
      <c r="B1001">
        <v>191</v>
      </c>
      <c r="C1001" s="2">
        <v>45447</v>
      </c>
      <c r="D1001" s="2" t="str">
        <f>TEXT(Table4[[#This Row],[issue_date]],"mmmm")</f>
        <v>June</v>
      </c>
      <c r="E1001" s="9">
        <f>YEAR(Table4[[#This Row],[issue_date]])</f>
        <v>2024</v>
      </c>
      <c r="F1001" t="s">
        <v>19</v>
      </c>
      <c r="G1001">
        <v>54</v>
      </c>
      <c r="H1001" t="s">
        <v>20</v>
      </c>
      <c r="I1001" t="str">
        <f>VLOOKUP(Table4[[#This Row],[customer_id]],customers!A:G,4,)</f>
        <v>hyderabad</v>
      </c>
    </row>
    <row r="1002" spans="1:9" x14ac:dyDescent="0.3">
      <c r="A1002">
        <v>21001</v>
      </c>
      <c r="B1002">
        <v>266</v>
      </c>
      <c r="C1002" s="2">
        <v>45034</v>
      </c>
      <c r="D1002" s="2" t="str">
        <f>TEXT(Table4[[#This Row],[issue_date]],"mmmm")</f>
        <v>April</v>
      </c>
      <c r="E1002" s="9">
        <f>YEAR(Table4[[#This Row],[issue_date]])</f>
        <v>2023</v>
      </c>
      <c r="F1002" t="s">
        <v>22</v>
      </c>
      <c r="G1002">
        <v>60</v>
      </c>
      <c r="H1002" t="s">
        <v>20</v>
      </c>
      <c r="I1002" t="str">
        <f>VLOOKUP(Table4[[#This Row],[customer_id]],customers!A:G,4,)</f>
        <v>chennai</v>
      </c>
    </row>
    <row r="1003" spans="1:9" x14ac:dyDescent="0.3">
      <c r="A1003">
        <v>21002</v>
      </c>
      <c r="B1003">
        <v>387</v>
      </c>
      <c r="C1003" s="2">
        <v>45352</v>
      </c>
      <c r="D1003" s="2" t="str">
        <f>TEXT(Table4[[#This Row],[issue_date]],"mmmm")</f>
        <v>March</v>
      </c>
      <c r="E1003" s="9">
        <f>YEAR(Table4[[#This Row],[issue_date]])</f>
        <v>2024</v>
      </c>
      <c r="F1003" t="s">
        <v>22</v>
      </c>
      <c r="G1003">
        <v>17</v>
      </c>
      <c r="H1003" t="s">
        <v>20</v>
      </c>
      <c r="I1003" t="str">
        <f>VLOOKUP(Table4[[#This Row],[customer_id]],customers!A:G,4,)</f>
        <v>bangalore</v>
      </c>
    </row>
    <row r="1004" spans="1:9" x14ac:dyDescent="0.3">
      <c r="A1004">
        <v>21003</v>
      </c>
      <c r="B1004">
        <v>461</v>
      </c>
      <c r="C1004" s="2">
        <v>44853</v>
      </c>
      <c r="D1004" s="2" t="str">
        <f>TEXT(Table4[[#This Row],[issue_date]],"mmmm")</f>
        <v>October</v>
      </c>
      <c r="E1004" s="9">
        <f>YEAR(Table4[[#This Row],[issue_date]])</f>
        <v>2022</v>
      </c>
      <c r="F1004" t="s">
        <v>22</v>
      </c>
      <c r="G1004">
        <v>40</v>
      </c>
      <c r="H1004" t="s">
        <v>20</v>
      </c>
      <c r="I1004" t="str">
        <f>VLOOKUP(Table4[[#This Row],[customer_id]],customers!A:G,4,)</f>
        <v>chennai</v>
      </c>
    </row>
    <row r="1005" spans="1:9" x14ac:dyDescent="0.3">
      <c r="A1005">
        <v>21004</v>
      </c>
      <c r="B1005">
        <v>60</v>
      </c>
      <c r="C1005" s="2">
        <v>44813</v>
      </c>
      <c r="D1005" s="2" t="str">
        <f>TEXT(Table4[[#This Row],[issue_date]],"mmmm")</f>
        <v>September</v>
      </c>
      <c r="E1005" s="9">
        <f>YEAR(Table4[[#This Row],[issue_date]])</f>
        <v>2022</v>
      </c>
      <c r="F1005" t="s">
        <v>22</v>
      </c>
      <c r="G1005">
        <v>66</v>
      </c>
      <c r="H1005" t="s">
        <v>20</v>
      </c>
      <c r="I1005" t="str">
        <f>VLOOKUP(Table4[[#This Row],[customer_id]],customers!A:G,4,)</f>
        <v>hyderabad</v>
      </c>
    </row>
    <row r="1006" spans="1:9" x14ac:dyDescent="0.3">
      <c r="A1006">
        <v>21005</v>
      </c>
      <c r="B1006">
        <v>283</v>
      </c>
      <c r="C1006" s="2">
        <v>45149</v>
      </c>
      <c r="D1006" s="2" t="str">
        <f>TEXT(Table4[[#This Row],[issue_date]],"mmmm")</f>
        <v>August</v>
      </c>
      <c r="E1006" s="9">
        <f>YEAR(Table4[[#This Row],[issue_date]])</f>
        <v>2023</v>
      </c>
      <c r="F1006" t="s">
        <v>21</v>
      </c>
      <c r="G1006">
        <v>54</v>
      </c>
      <c r="H1006" t="s">
        <v>20</v>
      </c>
      <c r="I1006" t="str">
        <f>VLOOKUP(Table4[[#This Row],[customer_id]],customers!A:G,4,)</f>
        <v>hyderabad</v>
      </c>
    </row>
    <row r="1007" spans="1:9" x14ac:dyDescent="0.3">
      <c r="A1007">
        <v>21006</v>
      </c>
      <c r="B1007">
        <v>466</v>
      </c>
      <c r="C1007" s="2">
        <v>44736</v>
      </c>
      <c r="D1007" s="2" t="str">
        <f>TEXT(Table4[[#This Row],[issue_date]],"mmmm")</f>
        <v>June</v>
      </c>
      <c r="E1007" s="9">
        <f>YEAR(Table4[[#This Row],[issue_date]])</f>
        <v>2022</v>
      </c>
      <c r="F1007" t="s">
        <v>22</v>
      </c>
      <c r="G1007">
        <v>71</v>
      </c>
      <c r="H1007" t="s">
        <v>20</v>
      </c>
      <c r="I1007" t="str">
        <f>VLOOKUP(Table4[[#This Row],[customer_id]],customers!A:G,4,)</f>
        <v>kolkata</v>
      </c>
    </row>
    <row r="1008" spans="1:9" x14ac:dyDescent="0.3">
      <c r="A1008">
        <v>21007</v>
      </c>
      <c r="B1008">
        <v>379</v>
      </c>
      <c r="C1008" s="2">
        <v>44670</v>
      </c>
      <c r="D1008" s="2" t="str">
        <f>TEXT(Table4[[#This Row],[issue_date]],"mmmm")</f>
        <v>April</v>
      </c>
      <c r="E1008" s="9">
        <f>YEAR(Table4[[#This Row],[issue_date]])</f>
        <v>2022</v>
      </c>
      <c r="F1008" t="s">
        <v>19</v>
      </c>
      <c r="G1008">
        <v>44</v>
      </c>
      <c r="H1008" t="s">
        <v>20</v>
      </c>
      <c r="I1008" t="str">
        <f>VLOOKUP(Table4[[#This Row],[customer_id]],customers!A:G,4,)</f>
        <v>kolkata</v>
      </c>
    </row>
    <row r="1009" spans="1:9" x14ac:dyDescent="0.3">
      <c r="A1009">
        <v>21008</v>
      </c>
      <c r="B1009">
        <v>429</v>
      </c>
      <c r="C1009" s="2">
        <v>44901</v>
      </c>
      <c r="D1009" s="2" t="str">
        <f>TEXT(Table4[[#This Row],[issue_date]],"mmmm")</f>
        <v>December</v>
      </c>
      <c r="E1009" s="9">
        <f>YEAR(Table4[[#This Row],[issue_date]])</f>
        <v>2022</v>
      </c>
      <c r="F1009" t="s">
        <v>21</v>
      </c>
      <c r="G1009">
        <v>67</v>
      </c>
      <c r="H1009" t="s">
        <v>20</v>
      </c>
      <c r="I1009" t="str">
        <f>VLOOKUP(Table4[[#This Row],[customer_id]],customers!A:G,4,)</f>
        <v>hyderabad</v>
      </c>
    </row>
    <row r="1010" spans="1:9" x14ac:dyDescent="0.3">
      <c r="A1010">
        <v>21009</v>
      </c>
      <c r="B1010">
        <v>62</v>
      </c>
      <c r="C1010" s="2">
        <v>45409</v>
      </c>
      <c r="D1010" s="2" t="str">
        <f>TEXT(Table4[[#This Row],[issue_date]],"mmmm")</f>
        <v>April</v>
      </c>
      <c r="E1010" s="9">
        <f>YEAR(Table4[[#This Row],[issue_date]])</f>
        <v>2024</v>
      </c>
      <c r="F1010" t="s">
        <v>22</v>
      </c>
      <c r="G1010">
        <v>57</v>
      </c>
      <c r="H1010" t="s">
        <v>20</v>
      </c>
      <c r="I1010" t="str">
        <f>VLOOKUP(Table4[[#This Row],[customer_id]],customers!A:G,4,)</f>
        <v>delhi</v>
      </c>
    </row>
    <row r="1011" spans="1:9" x14ac:dyDescent="0.3">
      <c r="A1011">
        <v>21010</v>
      </c>
      <c r="B1011">
        <v>408</v>
      </c>
      <c r="C1011" s="2">
        <v>44575</v>
      </c>
      <c r="D1011" s="2" t="str">
        <f>TEXT(Table4[[#This Row],[issue_date]],"mmmm")</f>
        <v>January</v>
      </c>
      <c r="E1011" s="9">
        <f>YEAR(Table4[[#This Row],[issue_date]])</f>
        <v>2022</v>
      </c>
      <c r="F1011" t="s">
        <v>22</v>
      </c>
      <c r="G1011">
        <v>36</v>
      </c>
      <c r="H1011" t="s">
        <v>20</v>
      </c>
      <c r="I1011" t="str">
        <f>VLOOKUP(Table4[[#This Row],[customer_id]],customers!A:G,4,)</f>
        <v>chennai</v>
      </c>
    </row>
    <row r="1012" spans="1:9" x14ac:dyDescent="0.3">
      <c r="A1012">
        <v>21011</v>
      </c>
      <c r="B1012">
        <v>302</v>
      </c>
      <c r="C1012" s="2">
        <v>45254</v>
      </c>
      <c r="D1012" s="2" t="str">
        <f>TEXT(Table4[[#This Row],[issue_date]],"mmmm")</f>
        <v>November</v>
      </c>
      <c r="E1012" s="9">
        <f>YEAR(Table4[[#This Row],[issue_date]])</f>
        <v>2023</v>
      </c>
      <c r="F1012" t="s">
        <v>19</v>
      </c>
      <c r="G1012">
        <v>57</v>
      </c>
      <c r="H1012" t="s">
        <v>20</v>
      </c>
      <c r="I1012" t="str">
        <f>VLOOKUP(Table4[[#This Row],[customer_id]],customers!A:G,4,)</f>
        <v>kolkata</v>
      </c>
    </row>
    <row r="1013" spans="1:9" x14ac:dyDescent="0.3">
      <c r="A1013">
        <v>21012</v>
      </c>
      <c r="B1013">
        <v>126</v>
      </c>
      <c r="C1013" s="2">
        <v>44883</v>
      </c>
      <c r="D1013" s="2" t="str">
        <f>TEXT(Table4[[#This Row],[issue_date]],"mmmm")</f>
        <v>November</v>
      </c>
      <c r="E1013" s="9">
        <f>YEAR(Table4[[#This Row],[issue_date]])</f>
        <v>2022</v>
      </c>
      <c r="F1013" t="s">
        <v>19</v>
      </c>
      <c r="G1013">
        <v>43</v>
      </c>
      <c r="H1013" t="s">
        <v>20</v>
      </c>
      <c r="I1013" t="str">
        <f>VLOOKUP(Table4[[#This Row],[customer_id]],customers!A:G,4,)</f>
        <v>chennai</v>
      </c>
    </row>
    <row r="1014" spans="1:9" x14ac:dyDescent="0.3">
      <c r="A1014">
        <v>21013</v>
      </c>
      <c r="B1014">
        <v>462</v>
      </c>
      <c r="C1014" s="2">
        <v>45345</v>
      </c>
      <c r="D1014" s="2" t="str">
        <f>TEXT(Table4[[#This Row],[issue_date]],"mmmm")</f>
        <v>February</v>
      </c>
      <c r="E1014" s="9">
        <f>YEAR(Table4[[#This Row],[issue_date]])</f>
        <v>2024</v>
      </c>
      <c r="F1014" t="s">
        <v>22</v>
      </c>
      <c r="G1014">
        <v>44</v>
      </c>
      <c r="H1014" t="s">
        <v>20</v>
      </c>
      <c r="I1014" t="str">
        <f>VLOOKUP(Table4[[#This Row],[customer_id]],customers!A:G,4,)</f>
        <v>hyderabad</v>
      </c>
    </row>
    <row r="1015" spans="1:9" x14ac:dyDescent="0.3">
      <c r="A1015">
        <v>21014</v>
      </c>
      <c r="B1015">
        <v>487</v>
      </c>
      <c r="C1015" s="2">
        <v>44604</v>
      </c>
      <c r="D1015" s="2" t="str">
        <f>TEXT(Table4[[#This Row],[issue_date]],"mmmm")</f>
        <v>February</v>
      </c>
      <c r="E1015" s="9">
        <f>YEAR(Table4[[#This Row],[issue_date]])</f>
        <v>2022</v>
      </c>
      <c r="F1015" t="s">
        <v>22</v>
      </c>
      <c r="G1015">
        <v>62</v>
      </c>
      <c r="H1015" t="s">
        <v>20</v>
      </c>
      <c r="I1015" t="str">
        <f>VLOOKUP(Table4[[#This Row],[customer_id]],customers!A:G,4,)</f>
        <v>bangalore</v>
      </c>
    </row>
    <row r="1016" spans="1:9" x14ac:dyDescent="0.3">
      <c r="A1016">
        <v>21015</v>
      </c>
      <c r="B1016">
        <v>172</v>
      </c>
      <c r="C1016" s="2">
        <v>45022</v>
      </c>
      <c r="D1016" s="2" t="str">
        <f>TEXT(Table4[[#This Row],[issue_date]],"mmmm")</f>
        <v>April</v>
      </c>
      <c r="E1016" s="9">
        <f>YEAR(Table4[[#This Row],[issue_date]])</f>
        <v>2023</v>
      </c>
      <c r="F1016" t="s">
        <v>22</v>
      </c>
      <c r="G1016">
        <v>61</v>
      </c>
      <c r="H1016" t="s">
        <v>20</v>
      </c>
      <c r="I1016" t="str">
        <f>VLOOKUP(Table4[[#This Row],[customer_id]],customers!A:G,4,)</f>
        <v>chennai</v>
      </c>
    </row>
    <row r="1017" spans="1:9" x14ac:dyDescent="0.3">
      <c r="A1017">
        <v>21016</v>
      </c>
      <c r="B1017">
        <v>63</v>
      </c>
      <c r="C1017" s="2">
        <v>44663</v>
      </c>
      <c r="D1017" s="2" t="str">
        <f>TEXT(Table4[[#This Row],[issue_date]],"mmmm")</f>
        <v>April</v>
      </c>
      <c r="E1017" s="9">
        <f>YEAR(Table4[[#This Row],[issue_date]])</f>
        <v>2022</v>
      </c>
      <c r="F1017" t="s">
        <v>22</v>
      </c>
      <c r="G1017">
        <v>11</v>
      </c>
      <c r="H1017" t="s">
        <v>20</v>
      </c>
      <c r="I1017" t="str">
        <f>VLOOKUP(Table4[[#This Row],[customer_id]],customers!A:G,4,)</f>
        <v>kolkata</v>
      </c>
    </row>
    <row r="1018" spans="1:9" x14ac:dyDescent="0.3">
      <c r="A1018">
        <v>21017</v>
      </c>
      <c r="B1018">
        <v>260</v>
      </c>
      <c r="C1018" s="2">
        <v>45186</v>
      </c>
      <c r="D1018" s="2" t="str">
        <f>TEXT(Table4[[#This Row],[issue_date]],"mmmm")</f>
        <v>September</v>
      </c>
      <c r="E1018" s="9">
        <f>YEAR(Table4[[#This Row],[issue_date]])</f>
        <v>2023</v>
      </c>
      <c r="F1018" t="s">
        <v>22</v>
      </c>
      <c r="G1018">
        <v>33</v>
      </c>
      <c r="H1018" t="s">
        <v>20</v>
      </c>
      <c r="I1018" t="str">
        <f>VLOOKUP(Table4[[#This Row],[customer_id]],customers!A:G,4,)</f>
        <v>bangalore</v>
      </c>
    </row>
    <row r="1019" spans="1:9" x14ac:dyDescent="0.3">
      <c r="A1019">
        <v>21018</v>
      </c>
      <c r="B1019">
        <v>16</v>
      </c>
      <c r="C1019" s="2">
        <v>45266</v>
      </c>
      <c r="D1019" s="2" t="str">
        <f>TEXT(Table4[[#This Row],[issue_date]],"mmmm")</f>
        <v>December</v>
      </c>
      <c r="E1019" s="9">
        <f>YEAR(Table4[[#This Row],[issue_date]])</f>
        <v>2023</v>
      </c>
      <c r="F1019" t="s">
        <v>19</v>
      </c>
      <c r="G1019">
        <v>66</v>
      </c>
      <c r="H1019" t="s">
        <v>20</v>
      </c>
      <c r="I1019" t="str">
        <f>VLOOKUP(Table4[[#This Row],[customer_id]],customers!A:G,4,)</f>
        <v>bangalore</v>
      </c>
    </row>
    <row r="1020" spans="1:9" x14ac:dyDescent="0.3">
      <c r="A1020">
        <v>21019</v>
      </c>
      <c r="B1020">
        <v>179</v>
      </c>
      <c r="C1020" s="2">
        <v>44570</v>
      </c>
      <c r="D1020" s="2" t="str">
        <f>TEXT(Table4[[#This Row],[issue_date]],"mmmm")</f>
        <v>January</v>
      </c>
      <c r="E1020" s="9">
        <f>YEAR(Table4[[#This Row],[issue_date]])</f>
        <v>2022</v>
      </c>
      <c r="F1020" t="s">
        <v>19</v>
      </c>
      <c r="G1020">
        <v>23</v>
      </c>
      <c r="H1020" t="s">
        <v>20</v>
      </c>
      <c r="I1020" t="str">
        <f>VLOOKUP(Table4[[#This Row],[customer_id]],customers!A:G,4,)</f>
        <v>mumbai</v>
      </c>
    </row>
    <row r="1021" spans="1:9" x14ac:dyDescent="0.3">
      <c r="A1021">
        <v>21020</v>
      </c>
      <c r="B1021">
        <v>330</v>
      </c>
      <c r="C1021" s="2">
        <v>44710</v>
      </c>
      <c r="D1021" s="2" t="str">
        <f>TEXT(Table4[[#This Row],[issue_date]],"mmmm")</f>
        <v>May</v>
      </c>
      <c r="E1021" s="9">
        <f>YEAR(Table4[[#This Row],[issue_date]])</f>
        <v>2022</v>
      </c>
      <c r="F1021" t="s">
        <v>21</v>
      </c>
      <c r="G1021">
        <v>49</v>
      </c>
      <c r="H1021" t="s">
        <v>20</v>
      </c>
      <c r="I1021" t="str">
        <f>VLOOKUP(Table4[[#This Row],[customer_id]],customers!A:G,4,)</f>
        <v>mumbai</v>
      </c>
    </row>
    <row r="1022" spans="1:9" x14ac:dyDescent="0.3">
      <c r="A1022">
        <v>21021</v>
      </c>
      <c r="B1022">
        <v>368</v>
      </c>
      <c r="C1022" s="2">
        <v>44899</v>
      </c>
      <c r="D1022" s="2" t="str">
        <f>TEXT(Table4[[#This Row],[issue_date]],"mmmm")</f>
        <v>December</v>
      </c>
      <c r="E1022" s="9">
        <f>YEAR(Table4[[#This Row],[issue_date]])</f>
        <v>2022</v>
      </c>
      <c r="F1022" t="s">
        <v>21</v>
      </c>
      <c r="G1022">
        <v>20</v>
      </c>
      <c r="H1022" t="s">
        <v>20</v>
      </c>
      <c r="I1022" t="str">
        <f>VLOOKUP(Table4[[#This Row],[customer_id]],customers!A:G,4,)</f>
        <v>kolkata</v>
      </c>
    </row>
    <row r="1023" spans="1:9" x14ac:dyDescent="0.3">
      <c r="A1023">
        <v>21022</v>
      </c>
      <c r="B1023">
        <v>101</v>
      </c>
      <c r="C1023" s="2">
        <v>44785</v>
      </c>
      <c r="D1023" s="2" t="str">
        <f>TEXT(Table4[[#This Row],[issue_date]],"mmmm")</f>
        <v>August</v>
      </c>
      <c r="E1023" s="9">
        <f>YEAR(Table4[[#This Row],[issue_date]])</f>
        <v>2022</v>
      </c>
      <c r="F1023" t="s">
        <v>19</v>
      </c>
      <c r="G1023">
        <v>15</v>
      </c>
      <c r="H1023" t="s">
        <v>20</v>
      </c>
      <c r="I1023" t="str">
        <f>VLOOKUP(Table4[[#This Row],[customer_id]],customers!A:G,4,)</f>
        <v>mumbai</v>
      </c>
    </row>
    <row r="1024" spans="1:9" x14ac:dyDescent="0.3">
      <c r="A1024">
        <v>21023</v>
      </c>
      <c r="B1024">
        <v>475</v>
      </c>
      <c r="C1024" s="2">
        <v>44671</v>
      </c>
      <c r="D1024" s="2" t="str">
        <f>TEXT(Table4[[#This Row],[issue_date]],"mmmm")</f>
        <v>April</v>
      </c>
      <c r="E1024" s="9">
        <f>YEAR(Table4[[#This Row],[issue_date]])</f>
        <v>2022</v>
      </c>
      <c r="F1024" t="s">
        <v>21</v>
      </c>
      <c r="G1024">
        <v>66</v>
      </c>
      <c r="H1024" t="s">
        <v>20</v>
      </c>
      <c r="I1024" t="str">
        <f>VLOOKUP(Table4[[#This Row],[customer_id]],customers!A:G,4,)</f>
        <v>delhi</v>
      </c>
    </row>
    <row r="1025" spans="1:9" x14ac:dyDescent="0.3">
      <c r="A1025">
        <v>21024</v>
      </c>
      <c r="B1025">
        <v>176</v>
      </c>
      <c r="C1025" s="2">
        <v>44915</v>
      </c>
      <c r="D1025" s="2" t="str">
        <f>TEXT(Table4[[#This Row],[issue_date]],"mmmm")</f>
        <v>December</v>
      </c>
      <c r="E1025" s="9">
        <f>YEAR(Table4[[#This Row],[issue_date]])</f>
        <v>2022</v>
      </c>
      <c r="F1025" t="s">
        <v>22</v>
      </c>
      <c r="G1025">
        <v>30</v>
      </c>
      <c r="H1025" t="s">
        <v>20</v>
      </c>
      <c r="I1025" t="str">
        <f>VLOOKUP(Table4[[#This Row],[customer_id]],customers!A:G,4,)</f>
        <v>chennai</v>
      </c>
    </row>
    <row r="1026" spans="1:9" x14ac:dyDescent="0.3">
      <c r="A1026">
        <v>21025</v>
      </c>
      <c r="B1026">
        <v>193</v>
      </c>
      <c r="C1026" s="2">
        <v>44645</v>
      </c>
      <c r="D1026" s="2" t="str">
        <f>TEXT(Table4[[#This Row],[issue_date]],"mmmm")</f>
        <v>March</v>
      </c>
      <c r="E1026" s="9">
        <f>YEAR(Table4[[#This Row],[issue_date]])</f>
        <v>2022</v>
      </c>
      <c r="F1026" t="s">
        <v>21</v>
      </c>
      <c r="G1026">
        <v>4</v>
      </c>
      <c r="H1026" t="s">
        <v>20</v>
      </c>
      <c r="I1026" t="str">
        <f>VLOOKUP(Table4[[#This Row],[customer_id]],customers!A:G,4,)</f>
        <v>bangalore</v>
      </c>
    </row>
    <row r="1027" spans="1:9" x14ac:dyDescent="0.3">
      <c r="A1027">
        <v>21026</v>
      </c>
      <c r="B1027">
        <v>453</v>
      </c>
      <c r="C1027" s="2">
        <v>45116</v>
      </c>
      <c r="D1027" s="2" t="str">
        <f>TEXT(Table4[[#This Row],[issue_date]],"mmmm")</f>
        <v>July</v>
      </c>
      <c r="E1027" s="9">
        <f>YEAR(Table4[[#This Row],[issue_date]])</f>
        <v>2023</v>
      </c>
      <c r="F1027" t="s">
        <v>22</v>
      </c>
      <c r="G1027">
        <v>64</v>
      </c>
      <c r="H1027" t="s">
        <v>20</v>
      </c>
      <c r="I1027" t="str">
        <f>VLOOKUP(Table4[[#This Row],[customer_id]],customers!A:G,4,)</f>
        <v>bangalore</v>
      </c>
    </row>
    <row r="1028" spans="1:9" x14ac:dyDescent="0.3">
      <c r="A1028">
        <v>21027</v>
      </c>
      <c r="B1028">
        <v>461</v>
      </c>
      <c r="C1028" s="2">
        <v>44627</v>
      </c>
      <c r="D1028" s="2" t="str">
        <f>TEXT(Table4[[#This Row],[issue_date]],"mmmm")</f>
        <v>March</v>
      </c>
      <c r="E1028" s="9">
        <f>YEAR(Table4[[#This Row],[issue_date]])</f>
        <v>2022</v>
      </c>
      <c r="F1028" t="s">
        <v>22</v>
      </c>
      <c r="G1028">
        <v>65</v>
      </c>
      <c r="H1028" t="s">
        <v>20</v>
      </c>
      <c r="I1028" t="str">
        <f>VLOOKUP(Table4[[#This Row],[customer_id]],customers!A:G,4,)</f>
        <v>chennai</v>
      </c>
    </row>
    <row r="1029" spans="1:9" x14ac:dyDescent="0.3">
      <c r="A1029">
        <v>21028</v>
      </c>
      <c r="B1029">
        <v>301</v>
      </c>
      <c r="C1029" s="2">
        <v>44949</v>
      </c>
      <c r="D1029" s="2" t="str">
        <f>TEXT(Table4[[#This Row],[issue_date]],"mmmm")</f>
        <v>January</v>
      </c>
      <c r="E1029" s="9">
        <f>YEAR(Table4[[#This Row],[issue_date]])</f>
        <v>2023</v>
      </c>
      <c r="F1029" t="s">
        <v>21</v>
      </c>
      <c r="G1029">
        <v>8</v>
      </c>
      <c r="H1029" t="s">
        <v>23</v>
      </c>
      <c r="I1029" t="str">
        <f>VLOOKUP(Table4[[#This Row],[customer_id]],customers!A:G,4,)</f>
        <v>delhi</v>
      </c>
    </row>
    <row r="1030" spans="1:9" x14ac:dyDescent="0.3">
      <c r="A1030">
        <v>21029</v>
      </c>
      <c r="B1030">
        <v>387</v>
      </c>
      <c r="C1030" s="2">
        <v>45452</v>
      </c>
      <c r="D1030" s="2" t="str">
        <f>TEXT(Table4[[#This Row],[issue_date]],"mmmm")</f>
        <v>June</v>
      </c>
      <c r="E1030" s="9">
        <f>YEAR(Table4[[#This Row],[issue_date]])</f>
        <v>2024</v>
      </c>
      <c r="F1030" t="s">
        <v>21</v>
      </c>
      <c r="G1030">
        <v>52</v>
      </c>
      <c r="H1030" t="s">
        <v>20</v>
      </c>
      <c r="I1030" t="str">
        <f>VLOOKUP(Table4[[#This Row],[customer_id]],customers!A:G,4,)</f>
        <v>bangalore</v>
      </c>
    </row>
    <row r="1031" spans="1:9" x14ac:dyDescent="0.3">
      <c r="A1031">
        <v>21030</v>
      </c>
      <c r="B1031">
        <v>273</v>
      </c>
      <c r="C1031" s="2">
        <v>45182</v>
      </c>
      <c r="D1031" s="2" t="str">
        <f>TEXT(Table4[[#This Row],[issue_date]],"mmmm")</f>
        <v>September</v>
      </c>
      <c r="E1031" s="9">
        <f>YEAR(Table4[[#This Row],[issue_date]])</f>
        <v>2023</v>
      </c>
      <c r="F1031" t="s">
        <v>22</v>
      </c>
      <c r="G1031">
        <v>14</v>
      </c>
      <c r="H1031" t="s">
        <v>20</v>
      </c>
      <c r="I1031" t="str">
        <f>VLOOKUP(Table4[[#This Row],[customer_id]],customers!A:G,4,)</f>
        <v>kolkata</v>
      </c>
    </row>
    <row r="1032" spans="1:9" x14ac:dyDescent="0.3">
      <c r="A1032">
        <v>21031</v>
      </c>
      <c r="B1032">
        <v>467</v>
      </c>
      <c r="C1032" s="2">
        <v>45175</v>
      </c>
      <c r="D1032" s="2" t="str">
        <f>TEXT(Table4[[#This Row],[issue_date]],"mmmm")</f>
        <v>September</v>
      </c>
      <c r="E1032" s="9">
        <f>YEAR(Table4[[#This Row],[issue_date]])</f>
        <v>2023</v>
      </c>
      <c r="F1032" t="s">
        <v>19</v>
      </c>
      <c r="G1032">
        <v>58</v>
      </c>
      <c r="H1032" t="s">
        <v>20</v>
      </c>
      <c r="I1032" t="str">
        <f>VLOOKUP(Table4[[#This Row],[customer_id]],customers!A:G,4,)</f>
        <v>hyderabad</v>
      </c>
    </row>
    <row r="1033" spans="1:9" x14ac:dyDescent="0.3">
      <c r="A1033">
        <v>21032</v>
      </c>
      <c r="B1033">
        <v>421</v>
      </c>
      <c r="C1033" s="2">
        <v>44696</v>
      </c>
      <c r="D1033" s="2" t="str">
        <f>TEXT(Table4[[#This Row],[issue_date]],"mmmm")</f>
        <v>May</v>
      </c>
      <c r="E1033" s="9">
        <f>YEAR(Table4[[#This Row],[issue_date]])</f>
        <v>2022</v>
      </c>
      <c r="F1033" t="s">
        <v>21</v>
      </c>
      <c r="G1033">
        <v>11</v>
      </c>
      <c r="H1033" t="s">
        <v>20</v>
      </c>
      <c r="I1033" t="str">
        <f>VLOOKUP(Table4[[#This Row],[customer_id]],customers!A:G,4,)</f>
        <v>chennai</v>
      </c>
    </row>
    <row r="1034" spans="1:9" x14ac:dyDescent="0.3">
      <c r="A1034">
        <v>21033</v>
      </c>
      <c r="B1034">
        <v>261</v>
      </c>
      <c r="C1034" s="2">
        <v>44647</v>
      </c>
      <c r="D1034" s="2" t="str">
        <f>TEXT(Table4[[#This Row],[issue_date]],"mmmm")</f>
        <v>March</v>
      </c>
      <c r="E1034" s="9">
        <f>YEAR(Table4[[#This Row],[issue_date]])</f>
        <v>2022</v>
      </c>
      <c r="F1034" t="s">
        <v>21</v>
      </c>
      <c r="G1034">
        <v>59</v>
      </c>
      <c r="H1034" t="s">
        <v>20</v>
      </c>
      <c r="I1034" t="str">
        <f>VLOOKUP(Table4[[#This Row],[customer_id]],customers!A:G,4,)</f>
        <v>mumbai</v>
      </c>
    </row>
    <row r="1035" spans="1:9" x14ac:dyDescent="0.3">
      <c r="A1035">
        <v>21034</v>
      </c>
      <c r="B1035">
        <v>175</v>
      </c>
      <c r="C1035" s="2">
        <v>44645</v>
      </c>
      <c r="D1035" s="2" t="str">
        <f>TEXT(Table4[[#This Row],[issue_date]],"mmmm")</f>
        <v>March</v>
      </c>
      <c r="E1035" s="9">
        <f>YEAR(Table4[[#This Row],[issue_date]])</f>
        <v>2022</v>
      </c>
      <c r="F1035" t="s">
        <v>19</v>
      </c>
      <c r="G1035">
        <v>24</v>
      </c>
      <c r="H1035" t="s">
        <v>20</v>
      </c>
      <c r="I1035" t="str">
        <f>VLOOKUP(Table4[[#This Row],[customer_id]],customers!A:G,4,)</f>
        <v>kolkata</v>
      </c>
    </row>
    <row r="1036" spans="1:9" x14ac:dyDescent="0.3">
      <c r="A1036">
        <v>21035</v>
      </c>
      <c r="B1036">
        <v>234</v>
      </c>
      <c r="C1036" s="2">
        <v>44788</v>
      </c>
      <c r="D1036" s="2" t="str">
        <f>TEXT(Table4[[#This Row],[issue_date]],"mmmm")</f>
        <v>August</v>
      </c>
      <c r="E1036" s="9">
        <f>YEAR(Table4[[#This Row],[issue_date]])</f>
        <v>2022</v>
      </c>
      <c r="F1036" t="s">
        <v>21</v>
      </c>
      <c r="G1036">
        <v>32</v>
      </c>
      <c r="H1036" t="s">
        <v>20</v>
      </c>
      <c r="I1036" t="str">
        <f>VLOOKUP(Table4[[#This Row],[customer_id]],customers!A:G,4,)</f>
        <v>hyderabad</v>
      </c>
    </row>
    <row r="1037" spans="1:9" x14ac:dyDescent="0.3">
      <c r="A1037">
        <v>21036</v>
      </c>
      <c r="B1037">
        <v>300</v>
      </c>
      <c r="C1037" s="2">
        <v>44821</v>
      </c>
      <c r="D1037" s="2" t="str">
        <f>TEXT(Table4[[#This Row],[issue_date]],"mmmm")</f>
        <v>September</v>
      </c>
      <c r="E1037" s="9">
        <f>YEAR(Table4[[#This Row],[issue_date]])</f>
        <v>2022</v>
      </c>
      <c r="F1037" t="s">
        <v>22</v>
      </c>
      <c r="G1037">
        <v>46</v>
      </c>
      <c r="H1037" t="s">
        <v>20</v>
      </c>
      <c r="I1037" t="str">
        <f>VLOOKUP(Table4[[#This Row],[customer_id]],customers!A:G,4,)</f>
        <v>mumbai</v>
      </c>
    </row>
    <row r="1038" spans="1:9" x14ac:dyDescent="0.3">
      <c r="A1038">
        <v>21037</v>
      </c>
      <c r="B1038">
        <v>216</v>
      </c>
      <c r="C1038" s="2">
        <v>45453</v>
      </c>
      <c r="D1038" s="2" t="str">
        <f>TEXT(Table4[[#This Row],[issue_date]],"mmmm")</f>
        <v>June</v>
      </c>
      <c r="E1038" s="9">
        <f>YEAR(Table4[[#This Row],[issue_date]])</f>
        <v>2024</v>
      </c>
      <c r="F1038" t="s">
        <v>19</v>
      </c>
      <c r="G1038">
        <v>28</v>
      </c>
      <c r="H1038" t="s">
        <v>20</v>
      </c>
      <c r="I1038" t="str">
        <f>VLOOKUP(Table4[[#This Row],[customer_id]],customers!A:G,4,)</f>
        <v>chennai</v>
      </c>
    </row>
    <row r="1039" spans="1:9" x14ac:dyDescent="0.3">
      <c r="A1039">
        <v>21038</v>
      </c>
      <c r="B1039">
        <v>491</v>
      </c>
      <c r="C1039" s="2">
        <v>44581</v>
      </c>
      <c r="D1039" s="2" t="str">
        <f>TEXT(Table4[[#This Row],[issue_date]],"mmmm")</f>
        <v>January</v>
      </c>
      <c r="E1039" s="9">
        <f>YEAR(Table4[[#This Row],[issue_date]])</f>
        <v>2022</v>
      </c>
      <c r="F1039" t="s">
        <v>19</v>
      </c>
      <c r="G1039">
        <v>16</v>
      </c>
      <c r="H1039" t="s">
        <v>20</v>
      </c>
      <c r="I1039" t="str">
        <f>VLOOKUP(Table4[[#This Row],[customer_id]],customers!A:G,4,)</f>
        <v>hyderabad</v>
      </c>
    </row>
    <row r="1040" spans="1:9" x14ac:dyDescent="0.3">
      <c r="A1040">
        <v>21039</v>
      </c>
      <c r="B1040">
        <v>417</v>
      </c>
      <c r="C1040" s="2">
        <v>44596</v>
      </c>
      <c r="D1040" s="2" t="str">
        <f>TEXT(Table4[[#This Row],[issue_date]],"mmmm")</f>
        <v>February</v>
      </c>
      <c r="E1040" s="9">
        <f>YEAR(Table4[[#This Row],[issue_date]])</f>
        <v>2022</v>
      </c>
      <c r="F1040" t="s">
        <v>22</v>
      </c>
      <c r="G1040">
        <v>42</v>
      </c>
      <c r="H1040" t="s">
        <v>20</v>
      </c>
      <c r="I1040" t="str">
        <f>VLOOKUP(Table4[[#This Row],[customer_id]],customers!A:G,4,)</f>
        <v>bangalore</v>
      </c>
    </row>
    <row r="1041" spans="1:9" x14ac:dyDescent="0.3">
      <c r="A1041">
        <v>21040</v>
      </c>
      <c r="B1041">
        <v>247</v>
      </c>
      <c r="C1041" s="2">
        <v>45426</v>
      </c>
      <c r="D1041" s="2" t="str">
        <f>TEXT(Table4[[#This Row],[issue_date]],"mmmm")</f>
        <v>May</v>
      </c>
      <c r="E1041" s="9">
        <f>YEAR(Table4[[#This Row],[issue_date]])</f>
        <v>2024</v>
      </c>
      <c r="F1041" t="s">
        <v>22</v>
      </c>
      <c r="G1041">
        <v>16</v>
      </c>
      <c r="H1041" t="s">
        <v>20</v>
      </c>
      <c r="I1041" t="str">
        <f>VLOOKUP(Table4[[#This Row],[customer_id]],customers!A:G,4,)</f>
        <v>chennai</v>
      </c>
    </row>
    <row r="1042" spans="1:9" x14ac:dyDescent="0.3">
      <c r="A1042">
        <v>21041</v>
      </c>
      <c r="B1042">
        <v>21</v>
      </c>
      <c r="C1042" s="2">
        <v>45316</v>
      </c>
      <c r="D1042" s="2" t="str">
        <f>TEXT(Table4[[#This Row],[issue_date]],"mmmm")</f>
        <v>January</v>
      </c>
      <c r="E1042" s="9">
        <f>YEAR(Table4[[#This Row],[issue_date]])</f>
        <v>2024</v>
      </c>
      <c r="F1042" t="s">
        <v>22</v>
      </c>
      <c r="G1042">
        <v>12</v>
      </c>
      <c r="H1042" t="s">
        <v>20</v>
      </c>
      <c r="I1042" t="str">
        <f>VLOOKUP(Table4[[#This Row],[customer_id]],customers!A:G,4,)</f>
        <v>hyderabad</v>
      </c>
    </row>
    <row r="1043" spans="1:9" x14ac:dyDescent="0.3">
      <c r="A1043">
        <v>21042</v>
      </c>
      <c r="B1043">
        <v>451</v>
      </c>
      <c r="C1043" s="2">
        <v>45004</v>
      </c>
      <c r="D1043" s="2" t="str">
        <f>TEXT(Table4[[#This Row],[issue_date]],"mmmm")</f>
        <v>March</v>
      </c>
      <c r="E1043" s="9">
        <f>YEAR(Table4[[#This Row],[issue_date]])</f>
        <v>2023</v>
      </c>
      <c r="F1043" t="s">
        <v>19</v>
      </c>
      <c r="G1043">
        <v>62</v>
      </c>
      <c r="H1043" t="s">
        <v>23</v>
      </c>
      <c r="I1043" t="str">
        <f>VLOOKUP(Table4[[#This Row],[customer_id]],customers!A:G,4,)</f>
        <v>delhi</v>
      </c>
    </row>
    <row r="1044" spans="1:9" x14ac:dyDescent="0.3">
      <c r="A1044">
        <v>21043</v>
      </c>
      <c r="B1044">
        <v>324</v>
      </c>
      <c r="C1044" s="2">
        <v>44831</v>
      </c>
      <c r="D1044" s="2" t="str">
        <f>TEXT(Table4[[#This Row],[issue_date]],"mmmm")</f>
        <v>September</v>
      </c>
      <c r="E1044" s="9">
        <f>YEAR(Table4[[#This Row],[issue_date]])</f>
        <v>2022</v>
      </c>
      <c r="F1044" t="s">
        <v>22</v>
      </c>
      <c r="G1044">
        <v>34</v>
      </c>
      <c r="H1044" t="s">
        <v>23</v>
      </c>
      <c r="I1044" t="str">
        <f>VLOOKUP(Table4[[#This Row],[customer_id]],customers!A:G,4,)</f>
        <v>delhi</v>
      </c>
    </row>
    <row r="1045" spans="1:9" x14ac:dyDescent="0.3">
      <c r="A1045">
        <v>21044</v>
      </c>
      <c r="B1045">
        <v>243</v>
      </c>
      <c r="C1045" s="2">
        <v>45296</v>
      </c>
      <c r="D1045" s="2" t="str">
        <f>TEXT(Table4[[#This Row],[issue_date]],"mmmm")</f>
        <v>January</v>
      </c>
      <c r="E1045" s="9">
        <f>YEAR(Table4[[#This Row],[issue_date]])</f>
        <v>2024</v>
      </c>
      <c r="F1045" t="s">
        <v>21</v>
      </c>
      <c r="G1045">
        <v>38</v>
      </c>
      <c r="H1045" t="s">
        <v>20</v>
      </c>
      <c r="I1045" t="str">
        <f>VLOOKUP(Table4[[#This Row],[customer_id]],customers!A:G,4,)</f>
        <v>hyderabad</v>
      </c>
    </row>
    <row r="1046" spans="1:9" x14ac:dyDescent="0.3">
      <c r="A1046">
        <v>21045</v>
      </c>
      <c r="B1046">
        <v>288</v>
      </c>
      <c r="C1046" s="2">
        <v>44967</v>
      </c>
      <c r="D1046" s="2" t="str">
        <f>TEXT(Table4[[#This Row],[issue_date]],"mmmm")</f>
        <v>February</v>
      </c>
      <c r="E1046" s="9">
        <f>YEAR(Table4[[#This Row],[issue_date]])</f>
        <v>2023</v>
      </c>
      <c r="F1046" t="s">
        <v>21</v>
      </c>
      <c r="G1046">
        <v>47</v>
      </c>
      <c r="H1046" t="s">
        <v>20</v>
      </c>
      <c r="I1046" t="str">
        <f>VLOOKUP(Table4[[#This Row],[customer_id]],customers!A:G,4,)</f>
        <v>kolkata</v>
      </c>
    </row>
    <row r="1047" spans="1:9" x14ac:dyDescent="0.3">
      <c r="A1047">
        <v>21046</v>
      </c>
      <c r="B1047">
        <v>280</v>
      </c>
      <c r="C1047" s="2">
        <v>45069</v>
      </c>
      <c r="D1047" s="2" t="str">
        <f>TEXT(Table4[[#This Row],[issue_date]],"mmmm")</f>
        <v>May</v>
      </c>
      <c r="E1047" s="9">
        <f>YEAR(Table4[[#This Row],[issue_date]])</f>
        <v>2023</v>
      </c>
      <c r="F1047" t="s">
        <v>22</v>
      </c>
      <c r="G1047">
        <v>22</v>
      </c>
      <c r="H1047" t="s">
        <v>20</v>
      </c>
      <c r="I1047" t="str">
        <f>VLOOKUP(Table4[[#This Row],[customer_id]],customers!A:G,4,)</f>
        <v>chennai</v>
      </c>
    </row>
    <row r="1048" spans="1:9" x14ac:dyDescent="0.3">
      <c r="A1048">
        <v>21047</v>
      </c>
      <c r="B1048">
        <v>244</v>
      </c>
      <c r="C1048" s="2">
        <v>44865</v>
      </c>
      <c r="D1048" s="2" t="str">
        <f>TEXT(Table4[[#This Row],[issue_date]],"mmmm")</f>
        <v>October</v>
      </c>
      <c r="E1048" s="9">
        <f>YEAR(Table4[[#This Row],[issue_date]])</f>
        <v>2022</v>
      </c>
      <c r="F1048" t="s">
        <v>21</v>
      </c>
      <c r="G1048">
        <v>3</v>
      </c>
      <c r="H1048" t="s">
        <v>20</v>
      </c>
      <c r="I1048" t="str">
        <f>VLOOKUP(Table4[[#This Row],[customer_id]],customers!A:G,4,)</f>
        <v>bangalore</v>
      </c>
    </row>
    <row r="1049" spans="1:9" x14ac:dyDescent="0.3">
      <c r="A1049">
        <v>21048</v>
      </c>
      <c r="B1049">
        <v>163</v>
      </c>
      <c r="C1049" s="2">
        <v>45231</v>
      </c>
      <c r="D1049" s="2" t="str">
        <f>TEXT(Table4[[#This Row],[issue_date]],"mmmm")</f>
        <v>November</v>
      </c>
      <c r="E1049" s="9">
        <f>YEAR(Table4[[#This Row],[issue_date]])</f>
        <v>2023</v>
      </c>
      <c r="F1049" t="s">
        <v>21</v>
      </c>
      <c r="G1049">
        <v>1</v>
      </c>
      <c r="H1049" t="s">
        <v>20</v>
      </c>
      <c r="I1049" t="str">
        <f>VLOOKUP(Table4[[#This Row],[customer_id]],customers!A:G,4,)</f>
        <v>hyderabad</v>
      </c>
    </row>
    <row r="1050" spans="1:9" x14ac:dyDescent="0.3">
      <c r="A1050">
        <v>21049</v>
      </c>
      <c r="B1050">
        <v>146</v>
      </c>
      <c r="C1050" s="2">
        <v>44846</v>
      </c>
      <c r="D1050" s="2" t="str">
        <f>TEXT(Table4[[#This Row],[issue_date]],"mmmm")</f>
        <v>October</v>
      </c>
      <c r="E1050" s="9">
        <f>YEAR(Table4[[#This Row],[issue_date]])</f>
        <v>2022</v>
      </c>
      <c r="F1050" t="s">
        <v>19</v>
      </c>
      <c r="G1050">
        <v>53</v>
      </c>
      <c r="H1050" t="s">
        <v>20</v>
      </c>
      <c r="I1050" t="str">
        <f>VLOOKUP(Table4[[#This Row],[customer_id]],customers!A:G,4,)</f>
        <v>mumbai</v>
      </c>
    </row>
    <row r="1051" spans="1:9" x14ac:dyDescent="0.3">
      <c r="A1051">
        <v>21050</v>
      </c>
      <c r="B1051">
        <v>67</v>
      </c>
      <c r="C1051" s="2">
        <v>45109</v>
      </c>
      <c r="D1051" s="2" t="str">
        <f>TEXT(Table4[[#This Row],[issue_date]],"mmmm")</f>
        <v>July</v>
      </c>
      <c r="E1051" s="9">
        <f>YEAR(Table4[[#This Row],[issue_date]])</f>
        <v>2023</v>
      </c>
      <c r="F1051" t="s">
        <v>22</v>
      </c>
      <c r="G1051">
        <v>64</v>
      </c>
      <c r="H1051" t="s">
        <v>20</v>
      </c>
      <c r="I1051" t="str">
        <f>VLOOKUP(Table4[[#This Row],[customer_id]],customers!A:G,4,)</f>
        <v>hyderabad</v>
      </c>
    </row>
    <row r="1052" spans="1:9" x14ac:dyDescent="0.3">
      <c r="A1052">
        <v>21051</v>
      </c>
      <c r="B1052">
        <v>103</v>
      </c>
      <c r="C1052" s="2">
        <v>45371</v>
      </c>
      <c r="D1052" s="2" t="str">
        <f>TEXT(Table4[[#This Row],[issue_date]],"mmmm")</f>
        <v>March</v>
      </c>
      <c r="E1052" s="9">
        <f>YEAR(Table4[[#This Row],[issue_date]])</f>
        <v>2024</v>
      </c>
      <c r="F1052" t="s">
        <v>21</v>
      </c>
      <c r="G1052">
        <v>44</v>
      </c>
      <c r="H1052" t="s">
        <v>23</v>
      </c>
      <c r="I1052" t="str">
        <f>VLOOKUP(Table4[[#This Row],[customer_id]],customers!A:G,4,)</f>
        <v>delhi</v>
      </c>
    </row>
    <row r="1053" spans="1:9" x14ac:dyDescent="0.3">
      <c r="A1053">
        <v>21052</v>
      </c>
      <c r="B1053">
        <v>310</v>
      </c>
      <c r="C1053" s="2">
        <v>44590</v>
      </c>
      <c r="D1053" s="2" t="str">
        <f>TEXT(Table4[[#This Row],[issue_date]],"mmmm")</f>
        <v>January</v>
      </c>
      <c r="E1053" s="9">
        <f>YEAR(Table4[[#This Row],[issue_date]])</f>
        <v>2022</v>
      </c>
      <c r="F1053" t="s">
        <v>22</v>
      </c>
      <c r="G1053">
        <v>47</v>
      </c>
      <c r="H1053" t="s">
        <v>20</v>
      </c>
      <c r="I1053" t="str">
        <f>VLOOKUP(Table4[[#This Row],[customer_id]],customers!A:G,4,)</f>
        <v>kolkata</v>
      </c>
    </row>
    <row r="1054" spans="1:9" x14ac:dyDescent="0.3">
      <c r="A1054">
        <v>21053</v>
      </c>
      <c r="B1054">
        <v>410</v>
      </c>
      <c r="C1054" s="2">
        <v>44952</v>
      </c>
      <c r="D1054" s="2" t="str">
        <f>TEXT(Table4[[#This Row],[issue_date]],"mmmm")</f>
        <v>January</v>
      </c>
      <c r="E1054" s="9">
        <f>YEAR(Table4[[#This Row],[issue_date]])</f>
        <v>2023</v>
      </c>
      <c r="F1054" t="s">
        <v>22</v>
      </c>
      <c r="G1054">
        <v>38</v>
      </c>
      <c r="H1054" t="s">
        <v>20</v>
      </c>
      <c r="I1054" t="str">
        <f>VLOOKUP(Table4[[#This Row],[customer_id]],customers!A:G,4,)</f>
        <v>bangalore</v>
      </c>
    </row>
    <row r="1055" spans="1:9" x14ac:dyDescent="0.3">
      <c r="A1055">
        <v>21054</v>
      </c>
      <c r="B1055">
        <v>444</v>
      </c>
      <c r="C1055" s="2">
        <v>44977</v>
      </c>
      <c r="D1055" s="2" t="str">
        <f>TEXT(Table4[[#This Row],[issue_date]],"mmmm")</f>
        <v>February</v>
      </c>
      <c r="E1055" s="9">
        <f>YEAR(Table4[[#This Row],[issue_date]])</f>
        <v>2023</v>
      </c>
      <c r="F1055" t="s">
        <v>21</v>
      </c>
      <c r="G1055">
        <v>63</v>
      </c>
      <c r="H1055" t="s">
        <v>20</v>
      </c>
      <c r="I1055" t="str">
        <f>VLOOKUP(Table4[[#This Row],[customer_id]],customers!A:G,4,)</f>
        <v>chennai</v>
      </c>
    </row>
    <row r="1056" spans="1:9" x14ac:dyDescent="0.3">
      <c r="A1056">
        <v>21055</v>
      </c>
      <c r="B1056">
        <v>125</v>
      </c>
      <c r="C1056" s="2">
        <v>45328</v>
      </c>
      <c r="D1056" s="2" t="str">
        <f>TEXT(Table4[[#This Row],[issue_date]],"mmmm")</f>
        <v>February</v>
      </c>
      <c r="E1056" s="9">
        <f>YEAR(Table4[[#This Row],[issue_date]])</f>
        <v>2024</v>
      </c>
      <c r="F1056" t="s">
        <v>21</v>
      </c>
      <c r="G1056">
        <v>41</v>
      </c>
      <c r="H1056" t="s">
        <v>20</v>
      </c>
      <c r="I1056" t="str">
        <f>VLOOKUP(Table4[[#This Row],[customer_id]],customers!A:G,4,)</f>
        <v>bangalore</v>
      </c>
    </row>
    <row r="1057" spans="1:9" x14ac:dyDescent="0.3">
      <c r="A1057">
        <v>21056</v>
      </c>
      <c r="B1057">
        <v>117</v>
      </c>
      <c r="C1057" s="2">
        <v>44703</v>
      </c>
      <c r="D1057" s="2" t="str">
        <f>TEXT(Table4[[#This Row],[issue_date]],"mmmm")</f>
        <v>May</v>
      </c>
      <c r="E1057" s="9">
        <f>YEAR(Table4[[#This Row],[issue_date]])</f>
        <v>2022</v>
      </c>
      <c r="F1057" t="s">
        <v>19</v>
      </c>
      <c r="G1057">
        <v>21</v>
      </c>
      <c r="H1057" t="s">
        <v>20</v>
      </c>
      <c r="I1057" t="str">
        <f>VLOOKUP(Table4[[#This Row],[customer_id]],customers!A:G,4,)</f>
        <v>kolkata</v>
      </c>
    </row>
    <row r="1058" spans="1:9" x14ac:dyDescent="0.3">
      <c r="A1058">
        <v>21057</v>
      </c>
      <c r="B1058">
        <v>472</v>
      </c>
      <c r="C1058" s="2">
        <v>45207</v>
      </c>
      <c r="D1058" s="2" t="str">
        <f>TEXT(Table4[[#This Row],[issue_date]],"mmmm")</f>
        <v>October</v>
      </c>
      <c r="E1058" s="9">
        <f>YEAR(Table4[[#This Row],[issue_date]])</f>
        <v>2023</v>
      </c>
      <c r="F1058" t="s">
        <v>19</v>
      </c>
      <c r="G1058">
        <v>45</v>
      </c>
      <c r="H1058" t="s">
        <v>20</v>
      </c>
      <c r="I1058" t="str">
        <f>VLOOKUP(Table4[[#This Row],[customer_id]],customers!A:G,4,)</f>
        <v>bangalore</v>
      </c>
    </row>
    <row r="1059" spans="1:9" x14ac:dyDescent="0.3">
      <c r="A1059">
        <v>21058</v>
      </c>
      <c r="B1059">
        <v>251</v>
      </c>
      <c r="C1059" s="2">
        <v>45217</v>
      </c>
      <c r="D1059" s="2" t="str">
        <f>TEXT(Table4[[#This Row],[issue_date]],"mmmm")</f>
        <v>October</v>
      </c>
      <c r="E1059" s="9">
        <f>YEAR(Table4[[#This Row],[issue_date]])</f>
        <v>2023</v>
      </c>
      <c r="F1059" t="s">
        <v>19</v>
      </c>
      <c r="G1059">
        <v>13</v>
      </c>
      <c r="H1059" t="s">
        <v>20</v>
      </c>
      <c r="I1059" t="str">
        <f>VLOOKUP(Table4[[#This Row],[customer_id]],customers!A:G,4,)</f>
        <v>kolkata</v>
      </c>
    </row>
    <row r="1060" spans="1:9" x14ac:dyDescent="0.3">
      <c r="A1060">
        <v>21059</v>
      </c>
      <c r="B1060">
        <v>321</v>
      </c>
      <c r="C1060" s="2">
        <v>45370</v>
      </c>
      <c r="D1060" s="2" t="str">
        <f>TEXT(Table4[[#This Row],[issue_date]],"mmmm")</f>
        <v>March</v>
      </c>
      <c r="E1060" s="9">
        <f>YEAR(Table4[[#This Row],[issue_date]])</f>
        <v>2024</v>
      </c>
      <c r="F1060" t="s">
        <v>21</v>
      </c>
      <c r="G1060">
        <v>66</v>
      </c>
      <c r="H1060" t="s">
        <v>20</v>
      </c>
      <c r="I1060" t="str">
        <f>VLOOKUP(Table4[[#This Row],[customer_id]],customers!A:G,4,)</f>
        <v>hyderabad</v>
      </c>
    </row>
    <row r="1061" spans="1:9" x14ac:dyDescent="0.3">
      <c r="A1061">
        <v>21060</v>
      </c>
      <c r="B1061">
        <v>435</v>
      </c>
      <c r="C1061" s="2">
        <v>45441</v>
      </c>
      <c r="D1061" s="2" t="str">
        <f>TEXT(Table4[[#This Row],[issue_date]],"mmmm")</f>
        <v>May</v>
      </c>
      <c r="E1061" s="9">
        <f>YEAR(Table4[[#This Row],[issue_date]])</f>
        <v>2024</v>
      </c>
      <c r="F1061" t="s">
        <v>19</v>
      </c>
      <c r="G1061">
        <v>66</v>
      </c>
      <c r="H1061" t="s">
        <v>20</v>
      </c>
      <c r="I1061" t="str">
        <f>VLOOKUP(Table4[[#This Row],[customer_id]],customers!A:G,4,)</f>
        <v>bangalore</v>
      </c>
    </row>
    <row r="1062" spans="1:9" x14ac:dyDescent="0.3">
      <c r="A1062">
        <v>21061</v>
      </c>
      <c r="B1062">
        <v>370</v>
      </c>
      <c r="C1062" s="2">
        <v>44902</v>
      </c>
      <c r="D1062" s="2" t="str">
        <f>TEXT(Table4[[#This Row],[issue_date]],"mmmm")</f>
        <v>December</v>
      </c>
      <c r="E1062" s="9">
        <f>YEAR(Table4[[#This Row],[issue_date]])</f>
        <v>2022</v>
      </c>
      <c r="F1062" t="s">
        <v>22</v>
      </c>
      <c r="G1062">
        <v>43</v>
      </c>
      <c r="H1062" t="s">
        <v>20</v>
      </c>
      <c r="I1062" t="str">
        <f>VLOOKUP(Table4[[#This Row],[customer_id]],customers!A:G,4,)</f>
        <v>kolkata</v>
      </c>
    </row>
    <row r="1063" spans="1:9" x14ac:dyDescent="0.3">
      <c r="A1063">
        <v>21062</v>
      </c>
      <c r="B1063">
        <v>226</v>
      </c>
      <c r="C1063" s="2">
        <v>44806</v>
      </c>
      <c r="D1063" s="2" t="str">
        <f>TEXT(Table4[[#This Row],[issue_date]],"mmmm")</f>
        <v>September</v>
      </c>
      <c r="E1063" s="9">
        <f>YEAR(Table4[[#This Row],[issue_date]])</f>
        <v>2022</v>
      </c>
      <c r="F1063" t="s">
        <v>19</v>
      </c>
      <c r="G1063">
        <v>62</v>
      </c>
      <c r="H1063" t="s">
        <v>20</v>
      </c>
      <c r="I1063" t="str">
        <f>VLOOKUP(Table4[[#This Row],[customer_id]],customers!A:G,4,)</f>
        <v>chennai</v>
      </c>
    </row>
    <row r="1064" spans="1:9" x14ac:dyDescent="0.3">
      <c r="A1064">
        <v>21063</v>
      </c>
      <c r="B1064">
        <v>188</v>
      </c>
      <c r="C1064" s="2">
        <v>45327</v>
      </c>
      <c r="D1064" s="2" t="str">
        <f>TEXT(Table4[[#This Row],[issue_date]],"mmmm")</f>
        <v>February</v>
      </c>
      <c r="E1064" s="9">
        <f>YEAR(Table4[[#This Row],[issue_date]])</f>
        <v>2024</v>
      </c>
      <c r="F1064" t="s">
        <v>19</v>
      </c>
      <c r="G1064">
        <v>48</v>
      </c>
      <c r="H1064" t="s">
        <v>20</v>
      </c>
      <c r="I1064" t="str">
        <f>VLOOKUP(Table4[[#This Row],[customer_id]],customers!A:G,4,)</f>
        <v>delhi</v>
      </c>
    </row>
    <row r="1065" spans="1:9" x14ac:dyDescent="0.3">
      <c r="A1065">
        <v>21064</v>
      </c>
      <c r="B1065">
        <v>187</v>
      </c>
      <c r="C1065" s="2">
        <v>45437</v>
      </c>
      <c r="D1065" s="2" t="str">
        <f>TEXT(Table4[[#This Row],[issue_date]],"mmmm")</f>
        <v>May</v>
      </c>
      <c r="E1065" s="9">
        <f>YEAR(Table4[[#This Row],[issue_date]])</f>
        <v>2024</v>
      </c>
      <c r="F1065" t="s">
        <v>19</v>
      </c>
      <c r="G1065">
        <v>26</v>
      </c>
      <c r="H1065" t="s">
        <v>20</v>
      </c>
      <c r="I1065" t="str">
        <f>VLOOKUP(Table4[[#This Row],[customer_id]],customers!A:G,4,)</f>
        <v>chennai</v>
      </c>
    </row>
    <row r="1066" spans="1:9" x14ac:dyDescent="0.3">
      <c r="A1066">
        <v>21065</v>
      </c>
      <c r="B1066">
        <v>76</v>
      </c>
      <c r="C1066" s="2">
        <v>44566</v>
      </c>
      <c r="D1066" s="2" t="str">
        <f>TEXT(Table4[[#This Row],[issue_date]],"mmmm")</f>
        <v>January</v>
      </c>
      <c r="E1066" s="9">
        <f>YEAR(Table4[[#This Row],[issue_date]])</f>
        <v>2022</v>
      </c>
      <c r="F1066" t="s">
        <v>22</v>
      </c>
      <c r="G1066">
        <v>61</v>
      </c>
      <c r="H1066" t="s">
        <v>20</v>
      </c>
      <c r="I1066" t="str">
        <f>VLOOKUP(Table4[[#This Row],[customer_id]],customers!A:G,4,)</f>
        <v>mumbai</v>
      </c>
    </row>
    <row r="1067" spans="1:9" x14ac:dyDescent="0.3">
      <c r="A1067">
        <v>21066</v>
      </c>
      <c r="B1067">
        <v>273</v>
      </c>
      <c r="C1067" s="2">
        <v>45010</v>
      </c>
      <c r="D1067" s="2" t="str">
        <f>TEXT(Table4[[#This Row],[issue_date]],"mmmm")</f>
        <v>March</v>
      </c>
      <c r="E1067" s="9">
        <f>YEAR(Table4[[#This Row],[issue_date]])</f>
        <v>2023</v>
      </c>
      <c r="F1067" t="s">
        <v>22</v>
      </c>
      <c r="G1067">
        <v>62</v>
      </c>
      <c r="H1067" t="s">
        <v>20</v>
      </c>
      <c r="I1067" t="str">
        <f>VLOOKUP(Table4[[#This Row],[customer_id]],customers!A:G,4,)</f>
        <v>kolkata</v>
      </c>
    </row>
    <row r="1068" spans="1:9" x14ac:dyDescent="0.3">
      <c r="A1068">
        <v>21067</v>
      </c>
      <c r="B1068">
        <v>469</v>
      </c>
      <c r="C1068" s="2">
        <v>44827</v>
      </c>
      <c r="D1068" s="2" t="str">
        <f>TEXT(Table4[[#This Row],[issue_date]],"mmmm")</f>
        <v>September</v>
      </c>
      <c r="E1068" s="9">
        <f>YEAR(Table4[[#This Row],[issue_date]])</f>
        <v>2022</v>
      </c>
      <c r="F1068" t="s">
        <v>21</v>
      </c>
      <c r="G1068">
        <v>14</v>
      </c>
      <c r="H1068" t="s">
        <v>20</v>
      </c>
      <c r="I1068" t="str">
        <f>VLOOKUP(Table4[[#This Row],[customer_id]],customers!A:G,4,)</f>
        <v>bangalore</v>
      </c>
    </row>
    <row r="1069" spans="1:9" x14ac:dyDescent="0.3">
      <c r="A1069">
        <v>21068</v>
      </c>
      <c r="B1069">
        <v>149</v>
      </c>
      <c r="C1069" s="2">
        <v>45052</v>
      </c>
      <c r="D1069" s="2" t="str">
        <f>TEXT(Table4[[#This Row],[issue_date]],"mmmm")</f>
        <v>May</v>
      </c>
      <c r="E1069" s="9">
        <f>YEAR(Table4[[#This Row],[issue_date]])</f>
        <v>2023</v>
      </c>
      <c r="F1069" t="s">
        <v>19</v>
      </c>
      <c r="G1069">
        <v>54</v>
      </c>
      <c r="H1069" t="s">
        <v>20</v>
      </c>
      <c r="I1069" t="str">
        <f>VLOOKUP(Table4[[#This Row],[customer_id]],customers!A:G,4,)</f>
        <v>chennai</v>
      </c>
    </row>
    <row r="1070" spans="1:9" x14ac:dyDescent="0.3">
      <c r="A1070">
        <v>21069</v>
      </c>
      <c r="B1070">
        <v>195</v>
      </c>
      <c r="C1070" s="2">
        <v>44800</v>
      </c>
      <c r="D1070" s="2" t="str">
        <f>TEXT(Table4[[#This Row],[issue_date]],"mmmm")</f>
        <v>August</v>
      </c>
      <c r="E1070" s="9">
        <f>YEAR(Table4[[#This Row],[issue_date]])</f>
        <v>2022</v>
      </c>
      <c r="F1070" t="s">
        <v>22</v>
      </c>
      <c r="G1070">
        <v>41</v>
      </c>
      <c r="H1070" t="s">
        <v>20</v>
      </c>
      <c r="I1070" t="str">
        <f>VLOOKUP(Table4[[#This Row],[customer_id]],customers!A:G,4,)</f>
        <v>hyderabad</v>
      </c>
    </row>
    <row r="1071" spans="1:9" x14ac:dyDescent="0.3">
      <c r="A1071">
        <v>21070</v>
      </c>
      <c r="B1071">
        <v>364</v>
      </c>
      <c r="C1071" s="2">
        <v>44811</v>
      </c>
      <c r="D1071" s="2" t="str">
        <f>TEXT(Table4[[#This Row],[issue_date]],"mmmm")</f>
        <v>September</v>
      </c>
      <c r="E1071" s="9">
        <f>YEAR(Table4[[#This Row],[issue_date]])</f>
        <v>2022</v>
      </c>
      <c r="F1071" t="s">
        <v>22</v>
      </c>
      <c r="G1071">
        <v>60</v>
      </c>
      <c r="H1071" t="s">
        <v>20</v>
      </c>
      <c r="I1071" t="str">
        <f>VLOOKUP(Table4[[#This Row],[customer_id]],customers!A:G,4,)</f>
        <v>delhi</v>
      </c>
    </row>
    <row r="1072" spans="1:9" x14ac:dyDescent="0.3">
      <c r="A1072">
        <v>21071</v>
      </c>
      <c r="B1072">
        <v>284</v>
      </c>
      <c r="C1072" s="2">
        <v>44852</v>
      </c>
      <c r="D1072" s="2" t="str">
        <f>TEXT(Table4[[#This Row],[issue_date]],"mmmm")</f>
        <v>October</v>
      </c>
      <c r="E1072" s="9">
        <f>YEAR(Table4[[#This Row],[issue_date]])</f>
        <v>2022</v>
      </c>
      <c r="F1072" t="s">
        <v>22</v>
      </c>
      <c r="G1072">
        <v>9</v>
      </c>
      <c r="H1072" t="s">
        <v>20</v>
      </c>
      <c r="I1072" t="str">
        <f>VLOOKUP(Table4[[#This Row],[customer_id]],customers!A:G,4,)</f>
        <v>chennai</v>
      </c>
    </row>
    <row r="1073" spans="1:9" x14ac:dyDescent="0.3">
      <c r="A1073">
        <v>21072</v>
      </c>
      <c r="B1073">
        <v>473</v>
      </c>
      <c r="C1073" s="2">
        <v>45104</v>
      </c>
      <c r="D1073" s="2" t="str">
        <f>TEXT(Table4[[#This Row],[issue_date]],"mmmm")</f>
        <v>June</v>
      </c>
      <c r="E1073" s="9">
        <f>YEAR(Table4[[#This Row],[issue_date]])</f>
        <v>2023</v>
      </c>
      <c r="F1073" t="s">
        <v>21</v>
      </c>
      <c r="G1073">
        <v>44</v>
      </c>
      <c r="H1073" t="s">
        <v>23</v>
      </c>
      <c r="I1073" t="str">
        <f>VLOOKUP(Table4[[#This Row],[customer_id]],customers!A:G,4,)</f>
        <v>delhi</v>
      </c>
    </row>
    <row r="1074" spans="1:9" x14ac:dyDescent="0.3">
      <c r="A1074">
        <v>21073</v>
      </c>
      <c r="B1074">
        <v>44</v>
      </c>
      <c r="C1074" s="2">
        <v>45193</v>
      </c>
      <c r="D1074" s="2" t="str">
        <f>TEXT(Table4[[#This Row],[issue_date]],"mmmm")</f>
        <v>September</v>
      </c>
      <c r="E1074" s="9">
        <f>YEAR(Table4[[#This Row],[issue_date]])</f>
        <v>2023</v>
      </c>
      <c r="F1074" t="s">
        <v>21</v>
      </c>
      <c r="G1074">
        <v>56</v>
      </c>
      <c r="H1074" t="s">
        <v>20</v>
      </c>
      <c r="I1074" t="str">
        <f>VLOOKUP(Table4[[#This Row],[customer_id]],customers!A:G,4,)</f>
        <v>mumbai</v>
      </c>
    </row>
    <row r="1075" spans="1:9" x14ac:dyDescent="0.3">
      <c r="A1075">
        <v>21074</v>
      </c>
      <c r="B1075">
        <v>454</v>
      </c>
      <c r="C1075" s="2">
        <v>44640</v>
      </c>
      <c r="D1075" s="2" t="str">
        <f>TEXT(Table4[[#This Row],[issue_date]],"mmmm")</f>
        <v>March</v>
      </c>
      <c r="E1075" s="9">
        <f>YEAR(Table4[[#This Row],[issue_date]])</f>
        <v>2022</v>
      </c>
      <c r="F1075" t="s">
        <v>21</v>
      </c>
      <c r="G1075">
        <v>3</v>
      </c>
      <c r="H1075" t="s">
        <v>20</v>
      </c>
      <c r="I1075" t="str">
        <f>VLOOKUP(Table4[[#This Row],[customer_id]],customers!A:G,4,)</f>
        <v>chennai</v>
      </c>
    </row>
    <row r="1076" spans="1:9" x14ac:dyDescent="0.3">
      <c r="A1076">
        <v>21075</v>
      </c>
      <c r="B1076">
        <v>446</v>
      </c>
      <c r="C1076" s="2">
        <v>45082</v>
      </c>
      <c r="D1076" s="2" t="str">
        <f>TEXT(Table4[[#This Row],[issue_date]],"mmmm")</f>
        <v>June</v>
      </c>
      <c r="E1076" s="9">
        <f>YEAR(Table4[[#This Row],[issue_date]])</f>
        <v>2023</v>
      </c>
      <c r="F1076" t="s">
        <v>19</v>
      </c>
      <c r="G1076">
        <v>59</v>
      </c>
      <c r="H1076" t="s">
        <v>20</v>
      </c>
      <c r="I1076" t="str">
        <f>VLOOKUP(Table4[[#This Row],[customer_id]],customers!A:G,4,)</f>
        <v>kolkata</v>
      </c>
    </row>
    <row r="1077" spans="1:9" x14ac:dyDescent="0.3">
      <c r="A1077">
        <v>21076</v>
      </c>
      <c r="B1077">
        <v>170</v>
      </c>
      <c r="C1077" s="2">
        <v>45011</v>
      </c>
      <c r="D1077" s="2" t="str">
        <f>TEXT(Table4[[#This Row],[issue_date]],"mmmm")</f>
        <v>March</v>
      </c>
      <c r="E1077" s="9">
        <f>YEAR(Table4[[#This Row],[issue_date]])</f>
        <v>2023</v>
      </c>
      <c r="F1077" t="s">
        <v>22</v>
      </c>
      <c r="G1077">
        <v>13</v>
      </c>
      <c r="H1077" t="s">
        <v>20</v>
      </c>
      <c r="I1077" t="str">
        <f>VLOOKUP(Table4[[#This Row],[customer_id]],customers!A:G,4,)</f>
        <v>delhi</v>
      </c>
    </row>
    <row r="1078" spans="1:9" x14ac:dyDescent="0.3">
      <c r="A1078">
        <v>21077</v>
      </c>
      <c r="B1078">
        <v>94</v>
      </c>
      <c r="C1078" s="2">
        <v>45117</v>
      </c>
      <c r="D1078" s="2" t="str">
        <f>TEXT(Table4[[#This Row],[issue_date]],"mmmm")</f>
        <v>July</v>
      </c>
      <c r="E1078" s="9">
        <f>YEAR(Table4[[#This Row],[issue_date]])</f>
        <v>2023</v>
      </c>
      <c r="F1078" t="s">
        <v>21</v>
      </c>
      <c r="G1078">
        <v>30</v>
      </c>
      <c r="H1078" t="s">
        <v>20</v>
      </c>
      <c r="I1078" t="str">
        <f>VLOOKUP(Table4[[#This Row],[customer_id]],customers!A:G,4,)</f>
        <v>delhi</v>
      </c>
    </row>
    <row r="1079" spans="1:9" x14ac:dyDescent="0.3">
      <c r="A1079">
        <v>21078</v>
      </c>
      <c r="B1079">
        <v>224</v>
      </c>
      <c r="C1079" s="2">
        <v>45445</v>
      </c>
      <c r="D1079" s="2" t="str">
        <f>TEXT(Table4[[#This Row],[issue_date]],"mmmm")</f>
        <v>June</v>
      </c>
      <c r="E1079" s="9">
        <f>YEAR(Table4[[#This Row],[issue_date]])</f>
        <v>2024</v>
      </c>
      <c r="F1079" t="s">
        <v>21</v>
      </c>
      <c r="G1079">
        <v>53</v>
      </c>
      <c r="H1079" t="s">
        <v>20</v>
      </c>
      <c r="I1079" t="str">
        <f>VLOOKUP(Table4[[#This Row],[customer_id]],customers!A:G,4,)</f>
        <v>delhi</v>
      </c>
    </row>
    <row r="1080" spans="1:9" x14ac:dyDescent="0.3">
      <c r="A1080">
        <v>21079</v>
      </c>
      <c r="B1080">
        <v>278</v>
      </c>
      <c r="C1080" s="2">
        <v>45295</v>
      </c>
      <c r="D1080" s="2" t="str">
        <f>TEXT(Table4[[#This Row],[issue_date]],"mmmm")</f>
        <v>January</v>
      </c>
      <c r="E1080" s="9">
        <f>YEAR(Table4[[#This Row],[issue_date]])</f>
        <v>2024</v>
      </c>
      <c r="F1080" t="s">
        <v>22</v>
      </c>
      <c r="G1080">
        <v>51</v>
      </c>
      <c r="H1080" t="s">
        <v>20</v>
      </c>
      <c r="I1080" t="str">
        <f>VLOOKUP(Table4[[#This Row],[customer_id]],customers!A:G,4,)</f>
        <v>hyderabad</v>
      </c>
    </row>
    <row r="1081" spans="1:9" x14ac:dyDescent="0.3">
      <c r="A1081">
        <v>21080</v>
      </c>
      <c r="B1081">
        <v>38</v>
      </c>
      <c r="C1081" s="2">
        <v>44705</v>
      </c>
      <c r="D1081" s="2" t="str">
        <f>TEXT(Table4[[#This Row],[issue_date]],"mmmm")</f>
        <v>May</v>
      </c>
      <c r="E1081" s="9">
        <f>YEAR(Table4[[#This Row],[issue_date]])</f>
        <v>2022</v>
      </c>
      <c r="F1081" t="s">
        <v>22</v>
      </c>
      <c r="G1081">
        <v>42</v>
      </c>
      <c r="H1081" t="s">
        <v>20</v>
      </c>
      <c r="I1081" t="str">
        <f>VLOOKUP(Table4[[#This Row],[customer_id]],customers!A:G,4,)</f>
        <v>mumbai</v>
      </c>
    </row>
    <row r="1082" spans="1:9" x14ac:dyDescent="0.3">
      <c r="A1082">
        <v>21081</v>
      </c>
      <c r="B1082">
        <v>270</v>
      </c>
      <c r="C1082" s="2">
        <v>44681</v>
      </c>
      <c r="D1082" s="2" t="str">
        <f>TEXT(Table4[[#This Row],[issue_date]],"mmmm")</f>
        <v>April</v>
      </c>
      <c r="E1082" s="9">
        <f>YEAR(Table4[[#This Row],[issue_date]])</f>
        <v>2022</v>
      </c>
      <c r="F1082" t="s">
        <v>19</v>
      </c>
      <c r="G1082">
        <v>26</v>
      </c>
      <c r="H1082" t="s">
        <v>20</v>
      </c>
      <c r="I1082" t="str">
        <f>VLOOKUP(Table4[[#This Row],[customer_id]],customers!A:G,4,)</f>
        <v>delhi</v>
      </c>
    </row>
    <row r="1083" spans="1:9" x14ac:dyDescent="0.3">
      <c r="A1083">
        <v>21082</v>
      </c>
      <c r="B1083">
        <v>482</v>
      </c>
      <c r="C1083" s="2">
        <v>45126</v>
      </c>
      <c r="D1083" s="2" t="str">
        <f>TEXT(Table4[[#This Row],[issue_date]],"mmmm")</f>
        <v>July</v>
      </c>
      <c r="E1083" s="9">
        <f>YEAR(Table4[[#This Row],[issue_date]])</f>
        <v>2023</v>
      </c>
      <c r="F1083" t="s">
        <v>19</v>
      </c>
      <c r="G1083">
        <v>59</v>
      </c>
      <c r="H1083" t="s">
        <v>20</v>
      </c>
      <c r="I1083" t="str">
        <f>VLOOKUP(Table4[[#This Row],[customer_id]],customers!A:G,4,)</f>
        <v>mumbai</v>
      </c>
    </row>
    <row r="1084" spans="1:9" x14ac:dyDescent="0.3">
      <c r="A1084">
        <v>21083</v>
      </c>
      <c r="B1084">
        <v>235</v>
      </c>
      <c r="C1084" s="2">
        <v>45138</v>
      </c>
      <c r="D1084" s="2" t="str">
        <f>TEXT(Table4[[#This Row],[issue_date]],"mmmm")</f>
        <v>July</v>
      </c>
      <c r="E1084" s="9">
        <f>YEAR(Table4[[#This Row],[issue_date]])</f>
        <v>2023</v>
      </c>
      <c r="F1084" t="s">
        <v>19</v>
      </c>
      <c r="G1084">
        <v>69</v>
      </c>
      <c r="H1084" t="s">
        <v>20</v>
      </c>
      <c r="I1084" t="str">
        <f>VLOOKUP(Table4[[#This Row],[customer_id]],customers!A:G,4,)</f>
        <v>kolkata</v>
      </c>
    </row>
    <row r="1085" spans="1:9" x14ac:dyDescent="0.3">
      <c r="A1085">
        <v>21084</v>
      </c>
      <c r="B1085">
        <v>111</v>
      </c>
      <c r="C1085" s="2">
        <v>44737</v>
      </c>
      <c r="D1085" s="2" t="str">
        <f>TEXT(Table4[[#This Row],[issue_date]],"mmmm")</f>
        <v>June</v>
      </c>
      <c r="E1085" s="9">
        <f>YEAR(Table4[[#This Row],[issue_date]])</f>
        <v>2022</v>
      </c>
      <c r="F1085" t="s">
        <v>21</v>
      </c>
      <c r="G1085">
        <v>3</v>
      </c>
      <c r="H1085" t="s">
        <v>20</v>
      </c>
      <c r="I1085" t="str">
        <f>VLOOKUP(Table4[[#This Row],[customer_id]],customers!A:G,4,)</f>
        <v>mumbai</v>
      </c>
    </row>
    <row r="1086" spans="1:9" x14ac:dyDescent="0.3">
      <c r="A1086">
        <v>21085</v>
      </c>
      <c r="B1086">
        <v>378</v>
      </c>
      <c r="C1086" s="2">
        <v>44631</v>
      </c>
      <c r="D1086" s="2" t="str">
        <f>TEXT(Table4[[#This Row],[issue_date]],"mmmm")</f>
        <v>March</v>
      </c>
      <c r="E1086" s="9">
        <f>YEAR(Table4[[#This Row],[issue_date]])</f>
        <v>2022</v>
      </c>
      <c r="F1086" t="s">
        <v>21</v>
      </c>
      <c r="G1086">
        <v>41</v>
      </c>
      <c r="H1086" t="s">
        <v>23</v>
      </c>
      <c r="I1086" t="str">
        <f>VLOOKUP(Table4[[#This Row],[customer_id]],customers!A:G,4,)</f>
        <v>delhi</v>
      </c>
    </row>
    <row r="1087" spans="1:9" x14ac:dyDescent="0.3">
      <c r="A1087">
        <v>21086</v>
      </c>
      <c r="B1087">
        <v>410</v>
      </c>
      <c r="C1087" s="2">
        <v>45375</v>
      </c>
      <c r="D1087" s="2" t="str">
        <f>TEXT(Table4[[#This Row],[issue_date]],"mmmm")</f>
        <v>March</v>
      </c>
      <c r="E1087" s="9">
        <f>YEAR(Table4[[#This Row],[issue_date]])</f>
        <v>2024</v>
      </c>
      <c r="F1087" t="s">
        <v>22</v>
      </c>
      <c r="G1087">
        <v>1</v>
      </c>
      <c r="H1087" t="s">
        <v>23</v>
      </c>
      <c r="I1087" t="str">
        <f>VLOOKUP(Table4[[#This Row],[customer_id]],customers!A:G,4,)</f>
        <v>bangalore</v>
      </c>
    </row>
    <row r="1088" spans="1:9" x14ac:dyDescent="0.3">
      <c r="A1088">
        <v>21087</v>
      </c>
      <c r="B1088">
        <v>168</v>
      </c>
      <c r="C1088" s="2">
        <v>45194</v>
      </c>
      <c r="D1088" s="2" t="str">
        <f>TEXT(Table4[[#This Row],[issue_date]],"mmmm")</f>
        <v>September</v>
      </c>
      <c r="E1088" s="9">
        <f>YEAR(Table4[[#This Row],[issue_date]])</f>
        <v>2023</v>
      </c>
      <c r="F1088" t="s">
        <v>19</v>
      </c>
      <c r="G1088">
        <v>65</v>
      </c>
      <c r="H1088" t="s">
        <v>20</v>
      </c>
      <c r="I1088" t="str">
        <f>VLOOKUP(Table4[[#This Row],[customer_id]],customers!A:G,4,)</f>
        <v>delhi</v>
      </c>
    </row>
    <row r="1089" spans="1:9" x14ac:dyDescent="0.3">
      <c r="A1089">
        <v>21088</v>
      </c>
      <c r="B1089">
        <v>54</v>
      </c>
      <c r="C1089" s="2">
        <v>45450</v>
      </c>
      <c r="D1089" s="2" t="str">
        <f>TEXT(Table4[[#This Row],[issue_date]],"mmmm")</f>
        <v>June</v>
      </c>
      <c r="E1089" s="9">
        <f>YEAR(Table4[[#This Row],[issue_date]])</f>
        <v>2024</v>
      </c>
      <c r="F1089" t="s">
        <v>22</v>
      </c>
      <c r="G1089">
        <v>70</v>
      </c>
      <c r="H1089" t="s">
        <v>23</v>
      </c>
      <c r="I1089" t="str">
        <f>VLOOKUP(Table4[[#This Row],[customer_id]],customers!A:G,4,)</f>
        <v>bangalore</v>
      </c>
    </row>
    <row r="1090" spans="1:9" x14ac:dyDescent="0.3">
      <c r="A1090">
        <v>21089</v>
      </c>
      <c r="B1090">
        <v>397</v>
      </c>
      <c r="C1090" s="2">
        <v>44764</v>
      </c>
      <c r="D1090" s="2" t="str">
        <f>TEXT(Table4[[#This Row],[issue_date]],"mmmm")</f>
        <v>July</v>
      </c>
      <c r="E1090" s="9">
        <f>YEAR(Table4[[#This Row],[issue_date]])</f>
        <v>2022</v>
      </c>
      <c r="F1090" t="s">
        <v>19</v>
      </c>
      <c r="G1090">
        <v>50</v>
      </c>
      <c r="H1090" t="s">
        <v>20</v>
      </c>
      <c r="I1090" t="str">
        <f>VLOOKUP(Table4[[#This Row],[customer_id]],customers!A:G,4,)</f>
        <v>bangalore</v>
      </c>
    </row>
    <row r="1091" spans="1:9" x14ac:dyDescent="0.3">
      <c r="A1091">
        <v>21090</v>
      </c>
      <c r="B1091">
        <v>127</v>
      </c>
      <c r="C1091" s="2">
        <v>45362</v>
      </c>
      <c r="D1091" s="2" t="str">
        <f>TEXT(Table4[[#This Row],[issue_date]],"mmmm")</f>
        <v>March</v>
      </c>
      <c r="E1091" s="9">
        <f>YEAR(Table4[[#This Row],[issue_date]])</f>
        <v>2024</v>
      </c>
      <c r="F1091" t="s">
        <v>19</v>
      </c>
      <c r="G1091">
        <v>59</v>
      </c>
      <c r="H1091" t="s">
        <v>20</v>
      </c>
      <c r="I1091" t="str">
        <f>VLOOKUP(Table4[[#This Row],[customer_id]],customers!A:G,4,)</f>
        <v>delhi</v>
      </c>
    </row>
    <row r="1092" spans="1:9" x14ac:dyDescent="0.3">
      <c r="A1092">
        <v>21091</v>
      </c>
      <c r="B1092">
        <v>478</v>
      </c>
      <c r="C1092" s="2">
        <v>44741</v>
      </c>
      <c r="D1092" s="2" t="str">
        <f>TEXT(Table4[[#This Row],[issue_date]],"mmmm")</f>
        <v>June</v>
      </c>
      <c r="E1092" s="9">
        <f>YEAR(Table4[[#This Row],[issue_date]])</f>
        <v>2022</v>
      </c>
      <c r="F1092" t="s">
        <v>19</v>
      </c>
      <c r="G1092">
        <v>63</v>
      </c>
      <c r="H1092" t="s">
        <v>23</v>
      </c>
      <c r="I1092" t="str">
        <f>VLOOKUP(Table4[[#This Row],[customer_id]],customers!A:G,4,)</f>
        <v>chennai</v>
      </c>
    </row>
    <row r="1093" spans="1:9" x14ac:dyDescent="0.3">
      <c r="A1093">
        <v>21092</v>
      </c>
      <c r="B1093">
        <v>275</v>
      </c>
      <c r="C1093" s="2">
        <v>45154</v>
      </c>
      <c r="D1093" s="2" t="str">
        <f>TEXT(Table4[[#This Row],[issue_date]],"mmmm")</f>
        <v>August</v>
      </c>
      <c r="E1093" s="9">
        <f>YEAR(Table4[[#This Row],[issue_date]])</f>
        <v>2023</v>
      </c>
      <c r="F1093" t="s">
        <v>19</v>
      </c>
      <c r="G1093">
        <v>25</v>
      </c>
      <c r="H1093" t="s">
        <v>20</v>
      </c>
      <c r="I1093" t="str">
        <f>VLOOKUP(Table4[[#This Row],[customer_id]],customers!A:G,4,)</f>
        <v>bangalore</v>
      </c>
    </row>
    <row r="1094" spans="1:9" x14ac:dyDescent="0.3">
      <c r="A1094">
        <v>21093</v>
      </c>
      <c r="B1094">
        <v>42</v>
      </c>
      <c r="C1094" s="2">
        <v>45128</v>
      </c>
      <c r="D1094" s="2" t="str">
        <f>TEXT(Table4[[#This Row],[issue_date]],"mmmm")</f>
        <v>July</v>
      </c>
      <c r="E1094" s="9">
        <f>YEAR(Table4[[#This Row],[issue_date]])</f>
        <v>2023</v>
      </c>
      <c r="F1094" t="s">
        <v>22</v>
      </c>
      <c r="G1094">
        <v>10</v>
      </c>
      <c r="H1094" t="s">
        <v>20</v>
      </c>
      <c r="I1094" t="str">
        <f>VLOOKUP(Table4[[#This Row],[customer_id]],customers!A:G,4,)</f>
        <v>kolkata</v>
      </c>
    </row>
    <row r="1095" spans="1:9" x14ac:dyDescent="0.3">
      <c r="A1095">
        <v>21094</v>
      </c>
      <c r="B1095">
        <v>41</v>
      </c>
      <c r="C1095" s="2">
        <v>45252</v>
      </c>
      <c r="D1095" s="2" t="str">
        <f>TEXT(Table4[[#This Row],[issue_date]],"mmmm")</f>
        <v>November</v>
      </c>
      <c r="E1095" s="9">
        <f>YEAR(Table4[[#This Row],[issue_date]])</f>
        <v>2023</v>
      </c>
      <c r="F1095" t="s">
        <v>22</v>
      </c>
      <c r="G1095">
        <v>1</v>
      </c>
      <c r="H1095" t="s">
        <v>20</v>
      </c>
      <c r="I1095" t="str">
        <f>VLOOKUP(Table4[[#This Row],[customer_id]],customers!A:G,4,)</f>
        <v>kolkata</v>
      </c>
    </row>
    <row r="1096" spans="1:9" x14ac:dyDescent="0.3">
      <c r="A1096">
        <v>21095</v>
      </c>
      <c r="B1096">
        <v>50</v>
      </c>
      <c r="C1096" s="2">
        <v>45171</v>
      </c>
      <c r="D1096" s="2" t="str">
        <f>TEXT(Table4[[#This Row],[issue_date]],"mmmm")</f>
        <v>September</v>
      </c>
      <c r="E1096" s="9">
        <f>YEAR(Table4[[#This Row],[issue_date]])</f>
        <v>2023</v>
      </c>
      <c r="F1096" t="s">
        <v>21</v>
      </c>
      <c r="G1096">
        <v>14</v>
      </c>
      <c r="H1096" t="s">
        <v>20</v>
      </c>
      <c r="I1096" t="str">
        <f>VLOOKUP(Table4[[#This Row],[customer_id]],customers!A:G,4,)</f>
        <v>hyderabad</v>
      </c>
    </row>
    <row r="1097" spans="1:9" x14ac:dyDescent="0.3">
      <c r="A1097">
        <v>21096</v>
      </c>
      <c r="B1097">
        <v>487</v>
      </c>
      <c r="C1097" s="2">
        <v>44671</v>
      </c>
      <c r="D1097" s="2" t="str">
        <f>TEXT(Table4[[#This Row],[issue_date]],"mmmm")</f>
        <v>April</v>
      </c>
      <c r="E1097" s="9">
        <f>YEAR(Table4[[#This Row],[issue_date]])</f>
        <v>2022</v>
      </c>
      <c r="F1097" t="s">
        <v>19</v>
      </c>
      <c r="G1097">
        <v>21</v>
      </c>
      <c r="H1097" t="s">
        <v>20</v>
      </c>
      <c r="I1097" t="str">
        <f>VLOOKUP(Table4[[#This Row],[customer_id]],customers!A:G,4,)</f>
        <v>bangalore</v>
      </c>
    </row>
    <row r="1098" spans="1:9" x14ac:dyDescent="0.3">
      <c r="A1098">
        <v>21097</v>
      </c>
      <c r="B1098">
        <v>387</v>
      </c>
      <c r="C1098" s="2">
        <v>44985</v>
      </c>
      <c r="D1098" s="2" t="str">
        <f>TEXT(Table4[[#This Row],[issue_date]],"mmmm")</f>
        <v>February</v>
      </c>
      <c r="E1098" s="9">
        <f>YEAR(Table4[[#This Row],[issue_date]])</f>
        <v>2023</v>
      </c>
      <c r="F1098" t="s">
        <v>22</v>
      </c>
      <c r="G1098">
        <v>58</v>
      </c>
      <c r="H1098" t="s">
        <v>20</v>
      </c>
      <c r="I1098" t="str">
        <f>VLOOKUP(Table4[[#This Row],[customer_id]],customers!A:G,4,)</f>
        <v>bangalore</v>
      </c>
    </row>
    <row r="1099" spans="1:9" x14ac:dyDescent="0.3">
      <c r="A1099">
        <v>21098</v>
      </c>
      <c r="B1099">
        <v>159</v>
      </c>
      <c r="C1099" s="2">
        <v>45226</v>
      </c>
      <c r="D1099" s="2" t="str">
        <f>TEXT(Table4[[#This Row],[issue_date]],"mmmm")</f>
        <v>October</v>
      </c>
      <c r="E1099" s="9">
        <f>YEAR(Table4[[#This Row],[issue_date]])</f>
        <v>2023</v>
      </c>
      <c r="F1099" t="s">
        <v>19</v>
      </c>
      <c r="G1099">
        <v>38</v>
      </c>
      <c r="H1099" t="s">
        <v>20</v>
      </c>
      <c r="I1099" t="str">
        <f>VLOOKUP(Table4[[#This Row],[customer_id]],customers!A:G,4,)</f>
        <v>delhi</v>
      </c>
    </row>
    <row r="1100" spans="1:9" x14ac:dyDescent="0.3">
      <c r="A1100">
        <v>21099</v>
      </c>
      <c r="B1100">
        <v>332</v>
      </c>
      <c r="C1100" s="2">
        <v>45064</v>
      </c>
      <c r="D1100" s="2" t="str">
        <f>TEXT(Table4[[#This Row],[issue_date]],"mmmm")</f>
        <v>May</v>
      </c>
      <c r="E1100" s="9">
        <f>YEAR(Table4[[#This Row],[issue_date]])</f>
        <v>2023</v>
      </c>
      <c r="F1100" t="s">
        <v>19</v>
      </c>
      <c r="G1100">
        <v>1</v>
      </c>
      <c r="H1100" t="s">
        <v>20</v>
      </c>
      <c r="I1100" t="str">
        <f>VLOOKUP(Table4[[#This Row],[customer_id]],customers!A:G,4,)</f>
        <v>mumbai</v>
      </c>
    </row>
    <row r="1101" spans="1:9" x14ac:dyDescent="0.3">
      <c r="A1101">
        <v>21100</v>
      </c>
      <c r="B1101">
        <v>399</v>
      </c>
      <c r="C1101" s="2">
        <v>44967</v>
      </c>
      <c r="D1101" s="2" t="str">
        <f>TEXT(Table4[[#This Row],[issue_date]],"mmmm")</f>
        <v>February</v>
      </c>
      <c r="E1101" s="9">
        <f>YEAR(Table4[[#This Row],[issue_date]])</f>
        <v>2023</v>
      </c>
      <c r="F1101" t="s">
        <v>21</v>
      </c>
      <c r="G1101">
        <v>5</v>
      </c>
      <c r="H1101" t="s">
        <v>23</v>
      </c>
      <c r="I1101" t="str">
        <f>VLOOKUP(Table4[[#This Row],[customer_id]],customers!A:G,4,)</f>
        <v>hyderabad</v>
      </c>
    </row>
    <row r="1102" spans="1:9" x14ac:dyDescent="0.3">
      <c r="A1102">
        <v>21101</v>
      </c>
      <c r="B1102">
        <v>182</v>
      </c>
      <c r="C1102" s="2">
        <v>45198</v>
      </c>
      <c r="D1102" s="2" t="str">
        <f>TEXT(Table4[[#This Row],[issue_date]],"mmmm")</f>
        <v>September</v>
      </c>
      <c r="E1102" s="9">
        <f>YEAR(Table4[[#This Row],[issue_date]])</f>
        <v>2023</v>
      </c>
      <c r="F1102" t="s">
        <v>21</v>
      </c>
      <c r="G1102">
        <v>44</v>
      </c>
      <c r="H1102" t="s">
        <v>20</v>
      </c>
      <c r="I1102" t="str">
        <f>VLOOKUP(Table4[[#This Row],[customer_id]],customers!A:G,4,)</f>
        <v>bangalore</v>
      </c>
    </row>
    <row r="1103" spans="1:9" x14ac:dyDescent="0.3">
      <c r="A1103">
        <v>21102</v>
      </c>
      <c r="B1103">
        <v>181</v>
      </c>
      <c r="C1103" s="2">
        <v>44652</v>
      </c>
      <c r="D1103" s="2" t="str">
        <f>TEXT(Table4[[#This Row],[issue_date]],"mmmm")</f>
        <v>April</v>
      </c>
      <c r="E1103" s="9">
        <f>YEAR(Table4[[#This Row],[issue_date]])</f>
        <v>2022</v>
      </c>
      <c r="F1103" t="s">
        <v>22</v>
      </c>
      <c r="G1103">
        <v>65</v>
      </c>
      <c r="H1103" t="s">
        <v>20</v>
      </c>
      <c r="I1103" t="str">
        <f>VLOOKUP(Table4[[#This Row],[customer_id]],customers!A:G,4,)</f>
        <v>hyderabad</v>
      </c>
    </row>
    <row r="1104" spans="1:9" x14ac:dyDescent="0.3">
      <c r="A1104">
        <v>21103</v>
      </c>
      <c r="B1104">
        <v>429</v>
      </c>
      <c r="C1104" s="2">
        <v>44855</v>
      </c>
      <c r="D1104" s="2" t="str">
        <f>TEXT(Table4[[#This Row],[issue_date]],"mmmm")</f>
        <v>October</v>
      </c>
      <c r="E1104" s="9">
        <f>YEAR(Table4[[#This Row],[issue_date]])</f>
        <v>2022</v>
      </c>
      <c r="F1104" t="s">
        <v>22</v>
      </c>
      <c r="G1104">
        <v>57</v>
      </c>
      <c r="H1104" t="s">
        <v>20</v>
      </c>
      <c r="I1104" t="str">
        <f>VLOOKUP(Table4[[#This Row],[customer_id]],customers!A:G,4,)</f>
        <v>hyderabad</v>
      </c>
    </row>
    <row r="1105" spans="1:9" x14ac:dyDescent="0.3">
      <c r="A1105">
        <v>21104</v>
      </c>
      <c r="B1105">
        <v>166</v>
      </c>
      <c r="C1105" s="2">
        <v>44954</v>
      </c>
      <c r="D1105" s="2" t="str">
        <f>TEXT(Table4[[#This Row],[issue_date]],"mmmm")</f>
        <v>January</v>
      </c>
      <c r="E1105" s="9">
        <f>YEAR(Table4[[#This Row],[issue_date]])</f>
        <v>2023</v>
      </c>
      <c r="F1105" t="s">
        <v>21</v>
      </c>
      <c r="G1105">
        <v>45</v>
      </c>
      <c r="H1105" t="s">
        <v>20</v>
      </c>
      <c r="I1105" t="str">
        <f>VLOOKUP(Table4[[#This Row],[customer_id]],customers!A:G,4,)</f>
        <v>delhi</v>
      </c>
    </row>
    <row r="1106" spans="1:9" x14ac:dyDescent="0.3">
      <c r="A1106">
        <v>21105</v>
      </c>
      <c r="B1106">
        <v>232</v>
      </c>
      <c r="C1106" s="2">
        <v>44598</v>
      </c>
      <c r="D1106" s="2" t="str">
        <f>TEXT(Table4[[#This Row],[issue_date]],"mmmm")</f>
        <v>February</v>
      </c>
      <c r="E1106" s="9">
        <f>YEAR(Table4[[#This Row],[issue_date]])</f>
        <v>2022</v>
      </c>
      <c r="F1106" t="s">
        <v>22</v>
      </c>
      <c r="G1106">
        <v>60</v>
      </c>
      <c r="H1106" t="s">
        <v>20</v>
      </c>
      <c r="I1106" t="str">
        <f>VLOOKUP(Table4[[#This Row],[customer_id]],customers!A:G,4,)</f>
        <v>mumbai</v>
      </c>
    </row>
    <row r="1107" spans="1:9" x14ac:dyDescent="0.3">
      <c r="A1107">
        <v>21106</v>
      </c>
      <c r="B1107">
        <v>206</v>
      </c>
      <c r="C1107" s="2">
        <v>45078</v>
      </c>
      <c r="D1107" s="2" t="str">
        <f>TEXT(Table4[[#This Row],[issue_date]],"mmmm")</f>
        <v>June</v>
      </c>
      <c r="E1107" s="9">
        <f>YEAR(Table4[[#This Row],[issue_date]])</f>
        <v>2023</v>
      </c>
      <c r="F1107" t="s">
        <v>22</v>
      </c>
      <c r="G1107">
        <v>66</v>
      </c>
      <c r="H1107" t="s">
        <v>20</v>
      </c>
      <c r="I1107" t="str">
        <f>VLOOKUP(Table4[[#This Row],[customer_id]],customers!A:G,4,)</f>
        <v>hyderabad</v>
      </c>
    </row>
    <row r="1108" spans="1:9" x14ac:dyDescent="0.3">
      <c r="A1108">
        <v>21107</v>
      </c>
      <c r="B1108">
        <v>355</v>
      </c>
      <c r="C1108" s="2">
        <v>45411</v>
      </c>
      <c r="D1108" s="2" t="str">
        <f>TEXT(Table4[[#This Row],[issue_date]],"mmmm")</f>
        <v>April</v>
      </c>
      <c r="E1108" s="9">
        <f>YEAR(Table4[[#This Row],[issue_date]])</f>
        <v>2024</v>
      </c>
      <c r="F1108" t="s">
        <v>21</v>
      </c>
      <c r="G1108">
        <v>47</v>
      </c>
      <c r="H1108" t="s">
        <v>20</v>
      </c>
      <c r="I1108" t="str">
        <f>VLOOKUP(Table4[[#This Row],[customer_id]],customers!A:G,4,)</f>
        <v>bangalore</v>
      </c>
    </row>
    <row r="1109" spans="1:9" x14ac:dyDescent="0.3">
      <c r="A1109">
        <v>21108</v>
      </c>
      <c r="B1109">
        <v>464</v>
      </c>
      <c r="C1109" s="2">
        <v>45223</v>
      </c>
      <c r="D1109" s="2" t="str">
        <f>TEXT(Table4[[#This Row],[issue_date]],"mmmm")</f>
        <v>October</v>
      </c>
      <c r="E1109" s="9">
        <f>YEAR(Table4[[#This Row],[issue_date]])</f>
        <v>2023</v>
      </c>
      <c r="F1109" t="s">
        <v>19</v>
      </c>
      <c r="G1109">
        <v>26</v>
      </c>
      <c r="H1109" t="s">
        <v>20</v>
      </c>
      <c r="I1109" t="str">
        <f>VLOOKUP(Table4[[#This Row],[customer_id]],customers!A:G,4,)</f>
        <v>delhi</v>
      </c>
    </row>
    <row r="1110" spans="1:9" x14ac:dyDescent="0.3">
      <c r="A1110">
        <v>21109</v>
      </c>
      <c r="B1110">
        <v>50</v>
      </c>
      <c r="C1110" s="2">
        <v>45439</v>
      </c>
      <c r="D1110" s="2" t="str">
        <f>TEXT(Table4[[#This Row],[issue_date]],"mmmm")</f>
        <v>May</v>
      </c>
      <c r="E1110" s="9">
        <f>YEAR(Table4[[#This Row],[issue_date]])</f>
        <v>2024</v>
      </c>
      <c r="F1110" t="s">
        <v>19</v>
      </c>
      <c r="G1110">
        <v>9</v>
      </c>
      <c r="H1110" t="s">
        <v>20</v>
      </c>
      <c r="I1110" t="str">
        <f>VLOOKUP(Table4[[#This Row],[customer_id]],customers!A:G,4,)</f>
        <v>hyderabad</v>
      </c>
    </row>
    <row r="1111" spans="1:9" x14ac:dyDescent="0.3">
      <c r="A1111">
        <v>21110</v>
      </c>
      <c r="B1111">
        <v>408</v>
      </c>
      <c r="C1111" s="2">
        <v>44877</v>
      </c>
      <c r="D1111" s="2" t="str">
        <f>TEXT(Table4[[#This Row],[issue_date]],"mmmm")</f>
        <v>November</v>
      </c>
      <c r="E1111" s="9">
        <f>YEAR(Table4[[#This Row],[issue_date]])</f>
        <v>2022</v>
      </c>
      <c r="F1111" t="s">
        <v>21</v>
      </c>
      <c r="G1111">
        <v>51</v>
      </c>
      <c r="H1111" t="s">
        <v>20</v>
      </c>
      <c r="I1111" t="str">
        <f>VLOOKUP(Table4[[#This Row],[customer_id]],customers!A:G,4,)</f>
        <v>chennai</v>
      </c>
    </row>
    <row r="1112" spans="1:9" x14ac:dyDescent="0.3">
      <c r="A1112">
        <v>21111</v>
      </c>
      <c r="B1112">
        <v>401</v>
      </c>
      <c r="C1112" s="2">
        <v>44733</v>
      </c>
      <c r="D1112" s="2" t="str">
        <f>TEXT(Table4[[#This Row],[issue_date]],"mmmm")</f>
        <v>June</v>
      </c>
      <c r="E1112" s="9">
        <f>YEAR(Table4[[#This Row],[issue_date]])</f>
        <v>2022</v>
      </c>
      <c r="F1112" t="s">
        <v>19</v>
      </c>
      <c r="G1112">
        <v>8</v>
      </c>
      <c r="H1112" t="s">
        <v>20</v>
      </c>
      <c r="I1112" t="str">
        <f>VLOOKUP(Table4[[#This Row],[customer_id]],customers!A:G,4,)</f>
        <v>chennai</v>
      </c>
    </row>
    <row r="1113" spans="1:9" x14ac:dyDescent="0.3">
      <c r="A1113">
        <v>21112</v>
      </c>
      <c r="B1113">
        <v>146</v>
      </c>
      <c r="C1113" s="2">
        <v>44967</v>
      </c>
      <c r="D1113" s="2" t="str">
        <f>TEXT(Table4[[#This Row],[issue_date]],"mmmm")</f>
        <v>February</v>
      </c>
      <c r="E1113" s="9">
        <f>YEAR(Table4[[#This Row],[issue_date]])</f>
        <v>2023</v>
      </c>
      <c r="F1113" t="s">
        <v>19</v>
      </c>
      <c r="G1113">
        <v>5</v>
      </c>
      <c r="H1113" t="s">
        <v>20</v>
      </c>
      <c r="I1113" t="str">
        <f>VLOOKUP(Table4[[#This Row],[customer_id]],customers!A:G,4,)</f>
        <v>mumbai</v>
      </c>
    </row>
    <row r="1114" spans="1:9" x14ac:dyDescent="0.3">
      <c r="A1114">
        <v>21113</v>
      </c>
      <c r="B1114">
        <v>298</v>
      </c>
      <c r="C1114" s="2">
        <v>44823</v>
      </c>
      <c r="D1114" s="2" t="str">
        <f>TEXT(Table4[[#This Row],[issue_date]],"mmmm")</f>
        <v>September</v>
      </c>
      <c r="E1114" s="9">
        <f>YEAR(Table4[[#This Row],[issue_date]])</f>
        <v>2022</v>
      </c>
      <c r="F1114" t="s">
        <v>21</v>
      </c>
      <c r="G1114">
        <v>39</v>
      </c>
      <c r="H1114" t="s">
        <v>20</v>
      </c>
      <c r="I1114" t="str">
        <f>VLOOKUP(Table4[[#This Row],[customer_id]],customers!A:G,4,)</f>
        <v>mumbai</v>
      </c>
    </row>
    <row r="1115" spans="1:9" x14ac:dyDescent="0.3">
      <c r="A1115">
        <v>21114</v>
      </c>
      <c r="B1115">
        <v>145</v>
      </c>
      <c r="C1115" s="2">
        <v>45045</v>
      </c>
      <c r="D1115" s="2" t="str">
        <f>TEXT(Table4[[#This Row],[issue_date]],"mmmm")</f>
        <v>April</v>
      </c>
      <c r="E1115" s="9">
        <f>YEAR(Table4[[#This Row],[issue_date]])</f>
        <v>2023</v>
      </c>
      <c r="F1115" t="s">
        <v>22</v>
      </c>
      <c r="G1115">
        <v>68</v>
      </c>
      <c r="H1115" t="s">
        <v>20</v>
      </c>
      <c r="I1115" t="str">
        <f>VLOOKUP(Table4[[#This Row],[customer_id]],customers!A:G,4,)</f>
        <v>chennai</v>
      </c>
    </row>
    <row r="1116" spans="1:9" x14ac:dyDescent="0.3">
      <c r="A1116">
        <v>21115</v>
      </c>
      <c r="B1116">
        <v>16</v>
      </c>
      <c r="C1116" s="2">
        <v>44588</v>
      </c>
      <c r="D1116" s="2" t="str">
        <f>TEXT(Table4[[#This Row],[issue_date]],"mmmm")</f>
        <v>January</v>
      </c>
      <c r="E1116" s="9">
        <f>YEAR(Table4[[#This Row],[issue_date]])</f>
        <v>2022</v>
      </c>
      <c r="F1116" t="s">
        <v>21</v>
      </c>
      <c r="G1116">
        <v>40</v>
      </c>
      <c r="H1116" t="s">
        <v>20</v>
      </c>
      <c r="I1116" t="str">
        <f>VLOOKUP(Table4[[#This Row],[customer_id]],customers!A:G,4,)</f>
        <v>bangalore</v>
      </c>
    </row>
    <row r="1117" spans="1:9" x14ac:dyDescent="0.3">
      <c r="A1117">
        <v>21116</v>
      </c>
      <c r="B1117">
        <v>85</v>
      </c>
      <c r="C1117" s="2">
        <v>45056</v>
      </c>
      <c r="D1117" s="2" t="str">
        <f>TEXT(Table4[[#This Row],[issue_date]],"mmmm")</f>
        <v>May</v>
      </c>
      <c r="E1117" s="9">
        <f>YEAR(Table4[[#This Row],[issue_date]])</f>
        <v>2023</v>
      </c>
      <c r="F1117" t="s">
        <v>21</v>
      </c>
      <c r="G1117">
        <v>36</v>
      </c>
      <c r="H1117" t="s">
        <v>20</v>
      </c>
      <c r="I1117" t="str">
        <f>VLOOKUP(Table4[[#This Row],[customer_id]],customers!A:G,4,)</f>
        <v>hyderabad</v>
      </c>
    </row>
    <row r="1118" spans="1:9" x14ac:dyDescent="0.3">
      <c r="A1118">
        <v>21117</v>
      </c>
      <c r="B1118">
        <v>216</v>
      </c>
      <c r="C1118" s="2">
        <v>44616</v>
      </c>
      <c r="D1118" s="2" t="str">
        <f>TEXT(Table4[[#This Row],[issue_date]],"mmmm")</f>
        <v>February</v>
      </c>
      <c r="E1118" s="9">
        <f>YEAR(Table4[[#This Row],[issue_date]])</f>
        <v>2022</v>
      </c>
      <c r="F1118" t="s">
        <v>19</v>
      </c>
      <c r="G1118">
        <v>21</v>
      </c>
      <c r="H1118" t="s">
        <v>20</v>
      </c>
      <c r="I1118" t="str">
        <f>VLOOKUP(Table4[[#This Row],[customer_id]],customers!A:G,4,)</f>
        <v>chennai</v>
      </c>
    </row>
    <row r="1119" spans="1:9" x14ac:dyDescent="0.3">
      <c r="A1119">
        <v>21118</v>
      </c>
      <c r="B1119">
        <v>482</v>
      </c>
      <c r="C1119" s="2">
        <v>45393</v>
      </c>
      <c r="D1119" s="2" t="str">
        <f>TEXT(Table4[[#This Row],[issue_date]],"mmmm")</f>
        <v>April</v>
      </c>
      <c r="E1119" s="9">
        <f>YEAR(Table4[[#This Row],[issue_date]])</f>
        <v>2024</v>
      </c>
      <c r="F1119" t="s">
        <v>21</v>
      </c>
      <c r="G1119">
        <v>26</v>
      </c>
      <c r="H1119" t="s">
        <v>20</v>
      </c>
      <c r="I1119" t="str">
        <f>VLOOKUP(Table4[[#This Row],[customer_id]],customers!A:G,4,)</f>
        <v>mumbai</v>
      </c>
    </row>
    <row r="1120" spans="1:9" x14ac:dyDescent="0.3">
      <c r="A1120">
        <v>21119</v>
      </c>
      <c r="B1120">
        <v>52</v>
      </c>
      <c r="C1120" s="2">
        <v>44810</v>
      </c>
      <c r="D1120" s="2" t="str">
        <f>TEXT(Table4[[#This Row],[issue_date]],"mmmm")</f>
        <v>September</v>
      </c>
      <c r="E1120" s="9">
        <f>YEAR(Table4[[#This Row],[issue_date]])</f>
        <v>2022</v>
      </c>
      <c r="F1120" t="s">
        <v>19</v>
      </c>
      <c r="G1120">
        <v>56</v>
      </c>
      <c r="H1120" t="s">
        <v>20</v>
      </c>
      <c r="I1120" t="str">
        <f>VLOOKUP(Table4[[#This Row],[customer_id]],customers!A:G,4,)</f>
        <v>chennai</v>
      </c>
    </row>
    <row r="1121" spans="1:9" x14ac:dyDescent="0.3">
      <c r="A1121">
        <v>21120</v>
      </c>
      <c r="B1121">
        <v>36</v>
      </c>
      <c r="C1121" s="2">
        <v>44834</v>
      </c>
      <c r="D1121" s="2" t="str">
        <f>TEXT(Table4[[#This Row],[issue_date]],"mmmm")</f>
        <v>September</v>
      </c>
      <c r="E1121" s="9">
        <f>YEAR(Table4[[#This Row],[issue_date]])</f>
        <v>2022</v>
      </c>
      <c r="F1121" t="s">
        <v>21</v>
      </c>
      <c r="G1121">
        <v>57</v>
      </c>
      <c r="H1121" t="s">
        <v>20</v>
      </c>
      <c r="I1121" t="str">
        <f>VLOOKUP(Table4[[#This Row],[customer_id]],customers!A:G,4,)</f>
        <v>chennai</v>
      </c>
    </row>
    <row r="1122" spans="1:9" x14ac:dyDescent="0.3">
      <c r="A1122">
        <v>21121</v>
      </c>
      <c r="B1122">
        <v>107</v>
      </c>
      <c r="C1122" s="2">
        <v>44820</v>
      </c>
      <c r="D1122" s="2" t="str">
        <f>TEXT(Table4[[#This Row],[issue_date]],"mmmm")</f>
        <v>September</v>
      </c>
      <c r="E1122" s="9">
        <f>YEAR(Table4[[#This Row],[issue_date]])</f>
        <v>2022</v>
      </c>
      <c r="F1122" t="s">
        <v>22</v>
      </c>
      <c r="G1122">
        <v>59</v>
      </c>
      <c r="H1122" t="s">
        <v>23</v>
      </c>
      <c r="I1122" t="str">
        <f>VLOOKUP(Table4[[#This Row],[customer_id]],customers!A:G,4,)</f>
        <v>chennai</v>
      </c>
    </row>
    <row r="1123" spans="1:9" x14ac:dyDescent="0.3">
      <c r="A1123">
        <v>21122</v>
      </c>
      <c r="B1123">
        <v>219</v>
      </c>
      <c r="C1123" s="2">
        <v>45339</v>
      </c>
      <c r="D1123" s="2" t="str">
        <f>TEXT(Table4[[#This Row],[issue_date]],"mmmm")</f>
        <v>February</v>
      </c>
      <c r="E1123" s="9">
        <f>YEAR(Table4[[#This Row],[issue_date]])</f>
        <v>2024</v>
      </c>
      <c r="F1123" t="s">
        <v>19</v>
      </c>
      <c r="G1123">
        <v>7</v>
      </c>
      <c r="H1123" t="s">
        <v>20</v>
      </c>
      <c r="I1123" t="str">
        <f>VLOOKUP(Table4[[#This Row],[customer_id]],customers!A:G,4,)</f>
        <v>bangalore</v>
      </c>
    </row>
    <row r="1124" spans="1:9" x14ac:dyDescent="0.3">
      <c r="A1124">
        <v>21123</v>
      </c>
      <c r="B1124">
        <v>423</v>
      </c>
      <c r="C1124" s="2">
        <v>44752</v>
      </c>
      <c r="D1124" s="2" t="str">
        <f>TEXT(Table4[[#This Row],[issue_date]],"mmmm")</f>
        <v>July</v>
      </c>
      <c r="E1124" s="9">
        <f>YEAR(Table4[[#This Row],[issue_date]])</f>
        <v>2022</v>
      </c>
      <c r="F1124" t="s">
        <v>21</v>
      </c>
      <c r="G1124">
        <v>42</v>
      </c>
      <c r="H1124" t="s">
        <v>20</v>
      </c>
      <c r="I1124" t="str">
        <f>VLOOKUP(Table4[[#This Row],[customer_id]],customers!A:G,4,)</f>
        <v>bangalore</v>
      </c>
    </row>
    <row r="1125" spans="1:9" x14ac:dyDescent="0.3">
      <c r="A1125">
        <v>21124</v>
      </c>
      <c r="B1125">
        <v>337</v>
      </c>
      <c r="C1125" s="2">
        <v>45136</v>
      </c>
      <c r="D1125" s="2" t="str">
        <f>TEXT(Table4[[#This Row],[issue_date]],"mmmm")</f>
        <v>July</v>
      </c>
      <c r="E1125" s="9">
        <f>YEAR(Table4[[#This Row],[issue_date]])</f>
        <v>2023</v>
      </c>
      <c r="F1125" t="s">
        <v>19</v>
      </c>
      <c r="G1125">
        <v>13</v>
      </c>
      <c r="H1125" t="s">
        <v>20</v>
      </c>
      <c r="I1125" t="str">
        <f>VLOOKUP(Table4[[#This Row],[customer_id]],customers!A:G,4,)</f>
        <v>mumbai</v>
      </c>
    </row>
    <row r="1126" spans="1:9" x14ac:dyDescent="0.3">
      <c r="A1126">
        <v>21125</v>
      </c>
      <c r="B1126">
        <v>409</v>
      </c>
      <c r="C1126" s="2">
        <v>45418</v>
      </c>
      <c r="D1126" s="2" t="str">
        <f>TEXT(Table4[[#This Row],[issue_date]],"mmmm")</f>
        <v>May</v>
      </c>
      <c r="E1126" s="9">
        <f>YEAR(Table4[[#This Row],[issue_date]])</f>
        <v>2024</v>
      </c>
      <c r="F1126" t="s">
        <v>21</v>
      </c>
      <c r="G1126">
        <v>34</v>
      </c>
      <c r="H1126" t="s">
        <v>23</v>
      </c>
      <c r="I1126" t="str">
        <f>VLOOKUP(Table4[[#This Row],[customer_id]],customers!A:G,4,)</f>
        <v>kolkata</v>
      </c>
    </row>
    <row r="1127" spans="1:9" x14ac:dyDescent="0.3">
      <c r="A1127">
        <v>21126</v>
      </c>
      <c r="B1127">
        <v>371</v>
      </c>
      <c r="C1127" s="2">
        <v>45007</v>
      </c>
      <c r="D1127" s="2" t="str">
        <f>TEXT(Table4[[#This Row],[issue_date]],"mmmm")</f>
        <v>March</v>
      </c>
      <c r="E1127" s="9">
        <f>YEAR(Table4[[#This Row],[issue_date]])</f>
        <v>2023</v>
      </c>
      <c r="F1127" t="s">
        <v>21</v>
      </c>
      <c r="G1127">
        <v>53</v>
      </c>
      <c r="H1127" t="s">
        <v>20</v>
      </c>
      <c r="I1127" t="str">
        <f>VLOOKUP(Table4[[#This Row],[customer_id]],customers!A:G,4,)</f>
        <v>delhi</v>
      </c>
    </row>
    <row r="1128" spans="1:9" x14ac:dyDescent="0.3">
      <c r="A1128">
        <v>21127</v>
      </c>
      <c r="B1128">
        <v>486</v>
      </c>
      <c r="C1128" s="2">
        <v>45414</v>
      </c>
      <c r="D1128" s="2" t="str">
        <f>TEXT(Table4[[#This Row],[issue_date]],"mmmm")</f>
        <v>May</v>
      </c>
      <c r="E1128" s="9">
        <f>YEAR(Table4[[#This Row],[issue_date]])</f>
        <v>2024</v>
      </c>
      <c r="F1128" t="s">
        <v>21</v>
      </c>
      <c r="G1128">
        <v>46</v>
      </c>
      <c r="H1128" t="s">
        <v>20</v>
      </c>
      <c r="I1128" t="str">
        <f>VLOOKUP(Table4[[#This Row],[customer_id]],customers!A:G,4,)</f>
        <v>chennai</v>
      </c>
    </row>
    <row r="1129" spans="1:9" x14ac:dyDescent="0.3">
      <c r="A1129">
        <v>21128</v>
      </c>
      <c r="B1129">
        <v>298</v>
      </c>
      <c r="C1129" s="2">
        <v>45063</v>
      </c>
      <c r="D1129" s="2" t="str">
        <f>TEXT(Table4[[#This Row],[issue_date]],"mmmm")</f>
        <v>May</v>
      </c>
      <c r="E1129" s="9">
        <f>YEAR(Table4[[#This Row],[issue_date]])</f>
        <v>2023</v>
      </c>
      <c r="F1129" t="s">
        <v>19</v>
      </c>
      <c r="G1129">
        <v>57</v>
      </c>
      <c r="H1129" t="s">
        <v>20</v>
      </c>
      <c r="I1129" t="str">
        <f>VLOOKUP(Table4[[#This Row],[customer_id]],customers!A:G,4,)</f>
        <v>mumbai</v>
      </c>
    </row>
    <row r="1130" spans="1:9" x14ac:dyDescent="0.3">
      <c r="A1130">
        <v>21129</v>
      </c>
      <c r="B1130">
        <v>254</v>
      </c>
      <c r="C1130" s="2">
        <v>45177</v>
      </c>
      <c r="D1130" s="2" t="str">
        <f>TEXT(Table4[[#This Row],[issue_date]],"mmmm")</f>
        <v>September</v>
      </c>
      <c r="E1130" s="9">
        <f>YEAR(Table4[[#This Row],[issue_date]])</f>
        <v>2023</v>
      </c>
      <c r="F1130" t="s">
        <v>19</v>
      </c>
      <c r="G1130">
        <v>61</v>
      </c>
      <c r="H1130" t="s">
        <v>20</v>
      </c>
      <c r="I1130" t="str">
        <f>VLOOKUP(Table4[[#This Row],[customer_id]],customers!A:G,4,)</f>
        <v>bangalore</v>
      </c>
    </row>
    <row r="1131" spans="1:9" x14ac:dyDescent="0.3">
      <c r="A1131">
        <v>21130</v>
      </c>
      <c r="B1131">
        <v>405</v>
      </c>
      <c r="C1131" s="2">
        <v>44954</v>
      </c>
      <c r="D1131" s="2" t="str">
        <f>TEXT(Table4[[#This Row],[issue_date]],"mmmm")</f>
        <v>January</v>
      </c>
      <c r="E1131" s="9">
        <f>YEAR(Table4[[#This Row],[issue_date]])</f>
        <v>2023</v>
      </c>
      <c r="F1131" t="s">
        <v>22</v>
      </c>
      <c r="G1131">
        <v>56</v>
      </c>
      <c r="H1131" t="s">
        <v>20</v>
      </c>
      <c r="I1131" t="str">
        <f>VLOOKUP(Table4[[#This Row],[customer_id]],customers!A:G,4,)</f>
        <v>chennai</v>
      </c>
    </row>
    <row r="1132" spans="1:9" x14ac:dyDescent="0.3">
      <c r="A1132">
        <v>21131</v>
      </c>
      <c r="B1132">
        <v>68</v>
      </c>
      <c r="C1132" s="2">
        <v>44969</v>
      </c>
      <c r="D1132" s="2" t="str">
        <f>TEXT(Table4[[#This Row],[issue_date]],"mmmm")</f>
        <v>February</v>
      </c>
      <c r="E1132" s="9">
        <f>YEAR(Table4[[#This Row],[issue_date]])</f>
        <v>2023</v>
      </c>
      <c r="F1132" t="s">
        <v>22</v>
      </c>
      <c r="G1132">
        <v>29</v>
      </c>
      <c r="H1132" t="s">
        <v>20</v>
      </c>
      <c r="I1132" t="str">
        <f>VLOOKUP(Table4[[#This Row],[customer_id]],customers!A:G,4,)</f>
        <v>bangalore</v>
      </c>
    </row>
    <row r="1133" spans="1:9" x14ac:dyDescent="0.3">
      <c r="A1133">
        <v>21132</v>
      </c>
      <c r="B1133">
        <v>473</v>
      </c>
      <c r="C1133" s="2">
        <v>45361</v>
      </c>
      <c r="D1133" s="2" t="str">
        <f>TEXT(Table4[[#This Row],[issue_date]],"mmmm")</f>
        <v>March</v>
      </c>
      <c r="E1133" s="9">
        <f>YEAR(Table4[[#This Row],[issue_date]])</f>
        <v>2024</v>
      </c>
      <c r="F1133" t="s">
        <v>22</v>
      </c>
      <c r="G1133">
        <v>14</v>
      </c>
      <c r="H1133" t="s">
        <v>20</v>
      </c>
      <c r="I1133" t="str">
        <f>VLOOKUP(Table4[[#This Row],[customer_id]],customers!A:G,4,)</f>
        <v>delhi</v>
      </c>
    </row>
    <row r="1134" spans="1:9" x14ac:dyDescent="0.3">
      <c r="A1134">
        <v>21133</v>
      </c>
      <c r="B1134">
        <v>187</v>
      </c>
      <c r="C1134" s="2">
        <v>45332</v>
      </c>
      <c r="D1134" s="2" t="str">
        <f>TEXT(Table4[[#This Row],[issue_date]],"mmmm")</f>
        <v>February</v>
      </c>
      <c r="E1134" s="9">
        <f>YEAR(Table4[[#This Row],[issue_date]])</f>
        <v>2024</v>
      </c>
      <c r="F1134" t="s">
        <v>22</v>
      </c>
      <c r="G1134">
        <v>68</v>
      </c>
      <c r="H1134" t="s">
        <v>20</v>
      </c>
      <c r="I1134" t="str">
        <f>VLOOKUP(Table4[[#This Row],[customer_id]],customers!A:G,4,)</f>
        <v>chennai</v>
      </c>
    </row>
    <row r="1135" spans="1:9" x14ac:dyDescent="0.3">
      <c r="A1135">
        <v>21134</v>
      </c>
      <c r="B1135">
        <v>124</v>
      </c>
      <c r="C1135" s="2">
        <v>45234</v>
      </c>
      <c r="D1135" s="2" t="str">
        <f>TEXT(Table4[[#This Row],[issue_date]],"mmmm")</f>
        <v>November</v>
      </c>
      <c r="E1135" s="9">
        <f>YEAR(Table4[[#This Row],[issue_date]])</f>
        <v>2023</v>
      </c>
      <c r="F1135" t="s">
        <v>21</v>
      </c>
      <c r="G1135">
        <v>71</v>
      </c>
      <c r="H1135" t="s">
        <v>20</v>
      </c>
      <c r="I1135" t="str">
        <f>VLOOKUP(Table4[[#This Row],[customer_id]],customers!A:G,4,)</f>
        <v>kolkata</v>
      </c>
    </row>
    <row r="1136" spans="1:9" x14ac:dyDescent="0.3">
      <c r="A1136">
        <v>21135</v>
      </c>
      <c r="B1136">
        <v>30</v>
      </c>
      <c r="C1136" s="2">
        <v>45244</v>
      </c>
      <c r="D1136" s="2" t="str">
        <f>TEXT(Table4[[#This Row],[issue_date]],"mmmm")</f>
        <v>November</v>
      </c>
      <c r="E1136" s="9">
        <f>YEAR(Table4[[#This Row],[issue_date]])</f>
        <v>2023</v>
      </c>
      <c r="F1136" t="s">
        <v>19</v>
      </c>
      <c r="G1136">
        <v>13</v>
      </c>
      <c r="H1136" t="s">
        <v>20</v>
      </c>
      <c r="I1136" t="str">
        <f>VLOOKUP(Table4[[#This Row],[customer_id]],customers!A:G,4,)</f>
        <v>hyderabad</v>
      </c>
    </row>
    <row r="1137" spans="1:9" x14ac:dyDescent="0.3">
      <c r="A1137">
        <v>21136</v>
      </c>
      <c r="B1137">
        <v>185</v>
      </c>
      <c r="C1137" s="2">
        <v>44670</v>
      </c>
      <c r="D1137" s="2" t="str">
        <f>TEXT(Table4[[#This Row],[issue_date]],"mmmm")</f>
        <v>April</v>
      </c>
      <c r="E1137" s="9">
        <f>YEAR(Table4[[#This Row],[issue_date]])</f>
        <v>2022</v>
      </c>
      <c r="F1137" t="s">
        <v>21</v>
      </c>
      <c r="G1137">
        <v>17</v>
      </c>
      <c r="H1137" t="s">
        <v>20</v>
      </c>
      <c r="I1137" t="str">
        <f>VLOOKUP(Table4[[#This Row],[customer_id]],customers!A:G,4,)</f>
        <v>mumbai</v>
      </c>
    </row>
    <row r="1138" spans="1:9" x14ac:dyDescent="0.3">
      <c r="A1138">
        <v>21137</v>
      </c>
      <c r="B1138">
        <v>289</v>
      </c>
      <c r="C1138" s="2">
        <v>45213</v>
      </c>
      <c r="D1138" s="2" t="str">
        <f>TEXT(Table4[[#This Row],[issue_date]],"mmmm")</f>
        <v>October</v>
      </c>
      <c r="E1138" s="9">
        <f>YEAR(Table4[[#This Row],[issue_date]])</f>
        <v>2023</v>
      </c>
      <c r="F1138" t="s">
        <v>19</v>
      </c>
      <c r="G1138">
        <v>29</v>
      </c>
      <c r="H1138" t="s">
        <v>20</v>
      </c>
      <c r="I1138" t="str">
        <f>VLOOKUP(Table4[[#This Row],[customer_id]],customers!A:G,4,)</f>
        <v>hyderabad</v>
      </c>
    </row>
    <row r="1139" spans="1:9" x14ac:dyDescent="0.3">
      <c r="A1139">
        <v>21138</v>
      </c>
      <c r="B1139">
        <v>359</v>
      </c>
      <c r="C1139" s="2">
        <v>45166</v>
      </c>
      <c r="D1139" s="2" t="str">
        <f>TEXT(Table4[[#This Row],[issue_date]],"mmmm")</f>
        <v>August</v>
      </c>
      <c r="E1139" s="9">
        <f>YEAR(Table4[[#This Row],[issue_date]])</f>
        <v>2023</v>
      </c>
      <c r="F1139" t="s">
        <v>19</v>
      </c>
      <c r="G1139">
        <v>2</v>
      </c>
      <c r="H1139" t="s">
        <v>20</v>
      </c>
      <c r="I1139" t="str">
        <f>VLOOKUP(Table4[[#This Row],[customer_id]],customers!A:G,4,)</f>
        <v>mumbai</v>
      </c>
    </row>
    <row r="1140" spans="1:9" x14ac:dyDescent="0.3">
      <c r="A1140">
        <v>21139</v>
      </c>
      <c r="B1140">
        <v>474</v>
      </c>
      <c r="C1140" s="2">
        <v>44664</v>
      </c>
      <c r="D1140" s="2" t="str">
        <f>TEXT(Table4[[#This Row],[issue_date]],"mmmm")</f>
        <v>April</v>
      </c>
      <c r="E1140" s="9">
        <f>YEAR(Table4[[#This Row],[issue_date]])</f>
        <v>2022</v>
      </c>
      <c r="F1140" t="s">
        <v>21</v>
      </c>
      <c r="G1140">
        <v>62</v>
      </c>
      <c r="H1140" t="s">
        <v>20</v>
      </c>
      <c r="I1140" t="str">
        <f>VLOOKUP(Table4[[#This Row],[customer_id]],customers!A:G,4,)</f>
        <v>hyderabad</v>
      </c>
    </row>
    <row r="1141" spans="1:9" x14ac:dyDescent="0.3">
      <c r="A1141">
        <v>21140</v>
      </c>
      <c r="B1141">
        <v>473</v>
      </c>
      <c r="C1141" s="2">
        <v>44787</v>
      </c>
      <c r="D1141" s="2" t="str">
        <f>TEXT(Table4[[#This Row],[issue_date]],"mmmm")</f>
        <v>August</v>
      </c>
      <c r="E1141" s="9">
        <f>YEAR(Table4[[#This Row],[issue_date]])</f>
        <v>2022</v>
      </c>
      <c r="F1141" t="s">
        <v>21</v>
      </c>
      <c r="G1141">
        <v>20</v>
      </c>
      <c r="H1141" t="s">
        <v>20</v>
      </c>
      <c r="I1141" t="str">
        <f>VLOOKUP(Table4[[#This Row],[customer_id]],customers!A:G,4,)</f>
        <v>delhi</v>
      </c>
    </row>
    <row r="1142" spans="1:9" x14ac:dyDescent="0.3">
      <c r="A1142">
        <v>21141</v>
      </c>
      <c r="B1142">
        <v>53</v>
      </c>
      <c r="C1142" s="2">
        <v>44914</v>
      </c>
      <c r="D1142" s="2" t="str">
        <f>TEXT(Table4[[#This Row],[issue_date]],"mmmm")</f>
        <v>December</v>
      </c>
      <c r="E1142" s="9">
        <f>YEAR(Table4[[#This Row],[issue_date]])</f>
        <v>2022</v>
      </c>
      <c r="F1142" t="s">
        <v>19</v>
      </c>
      <c r="G1142">
        <v>56</v>
      </c>
      <c r="H1142" t="s">
        <v>20</v>
      </c>
      <c r="I1142" t="str">
        <f>VLOOKUP(Table4[[#This Row],[customer_id]],customers!A:G,4,)</f>
        <v>mumbai</v>
      </c>
    </row>
    <row r="1143" spans="1:9" x14ac:dyDescent="0.3">
      <c r="A1143">
        <v>21142</v>
      </c>
      <c r="B1143">
        <v>400</v>
      </c>
      <c r="C1143" s="2">
        <v>44721</v>
      </c>
      <c r="D1143" s="2" t="str">
        <f>TEXT(Table4[[#This Row],[issue_date]],"mmmm")</f>
        <v>June</v>
      </c>
      <c r="E1143" s="9">
        <f>YEAR(Table4[[#This Row],[issue_date]])</f>
        <v>2022</v>
      </c>
      <c r="F1143" t="s">
        <v>22</v>
      </c>
      <c r="G1143">
        <v>52</v>
      </c>
      <c r="H1143" t="s">
        <v>20</v>
      </c>
      <c r="I1143" t="str">
        <f>VLOOKUP(Table4[[#This Row],[customer_id]],customers!A:G,4,)</f>
        <v>mumbai</v>
      </c>
    </row>
    <row r="1144" spans="1:9" x14ac:dyDescent="0.3">
      <c r="A1144">
        <v>21143</v>
      </c>
      <c r="B1144">
        <v>177</v>
      </c>
      <c r="C1144" s="2">
        <v>44965</v>
      </c>
      <c r="D1144" s="2" t="str">
        <f>TEXT(Table4[[#This Row],[issue_date]],"mmmm")</f>
        <v>February</v>
      </c>
      <c r="E1144" s="9">
        <f>YEAR(Table4[[#This Row],[issue_date]])</f>
        <v>2023</v>
      </c>
      <c r="F1144" t="s">
        <v>22</v>
      </c>
      <c r="G1144">
        <v>25</v>
      </c>
      <c r="H1144" t="s">
        <v>20</v>
      </c>
      <c r="I1144" t="str">
        <f>VLOOKUP(Table4[[#This Row],[customer_id]],customers!A:G,4,)</f>
        <v>kolkata</v>
      </c>
    </row>
    <row r="1145" spans="1:9" x14ac:dyDescent="0.3">
      <c r="A1145">
        <v>21144</v>
      </c>
      <c r="B1145">
        <v>472</v>
      </c>
      <c r="C1145" s="2">
        <v>45268</v>
      </c>
      <c r="D1145" s="2" t="str">
        <f>TEXT(Table4[[#This Row],[issue_date]],"mmmm")</f>
        <v>December</v>
      </c>
      <c r="E1145" s="9">
        <f>YEAR(Table4[[#This Row],[issue_date]])</f>
        <v>2023</v>
      </c>
      <c r="F1145" t="s">
        <v>19</v>
      </c>
      <c r="G1145">
        <v>62</v>
      </c>
      <c r="H1145" t="s">
        <v>23</v>
      </c>
      <c r="I1145" t="str">
        <f>VLOOKUP(Table4[[#This Row],[customer_id]],customers!A:G,4,)</f>
        <v>bangalore</v>
      </c>
    </row>
    <row r="1146" spans="1:9" x14ac:dyDescent="0.3">
      <c r="A1146">
        <v>21145</v>
      </c>
      <c r="B1146">
        <v>133</v>
      </c>
      <c r="C1146" s="2">
        <v>44885</v>
      </c>
      <c r="D1146" s="2" t="str">
        <f>TEXT(Table4[[#This Row],[issue_date]],"mmmm")</f>
        <v>November</v>
      </c>
      <c r="E1146" s="9">
        <f>YEAR(Table4[[#This Row],[issue_date]])</f>
        <v>2022</v>
      </c>
      <c r="F1146" t="s">
        <v>21</v>
      </c>
      <c r="G1146">
        <v>17</v>
      </c>
      <c r="H1146" t="s">
        <v>20</v>
      </c>
      <c r="I1146" t="str">
        <f>VLOOKUP(Table4[[#This Row],[customer_id]],customers!A:G,4,)</f>
        <v>kolkata</v>
      </c>
    </row>
    <row r="1147" spans="1:9" x14ac:dyDescent="0.3">
      <c r="A1147">
        <v>21146</v>
      </c>
      <c r="B1147">
        <v>362</v>
      </c>
      <c r="C1147" s="2">
        <v>44706</v>
      </c>
      <c r="D1147" s="2" t="str">
        <f>TEXT(Table4[[#This Row],[issue_date]],"mmmm")</f>
        <v>May</v>
      </c>
      <c r="E1147" s="9">
        <f>YEAR(Table4[[#This Row],[issue_date]])</f>
        <v>2022</v>
      </c>
      <c r="F1147" t="s">
        <v>21</v>
      </c>
      <c r="G1147">
        <v>39</v>
      </c>
      <c r="H1147" t="s">
        <v>20</v>
      </c>
      <c r="I1147" t="str">
        <f>VLOOKUP(Table4[[#This Row],[customer_id]],customers!A:G,4,)</f>
        <v>delhi</v>
      </c>
    </row>
    <row r="1148" spans="1:9" x14ac:dyDescent="0.3">
      <c r="A1148">
        <v>21147</v>
      </c>
      <c r="B1148">
        <v>487</v>
      </c>
      <c r="C1148" s="2">
        <v>45315</v>
      </c>
      <c r="D1148" s="2" t="str">
        <f>TEXT(Table4[[#This Row],[issue_date]],"mmmm")</f>
        <v>January</v>
      </c>
      <c r="E1148" s="9">
        <f>YEAR(Table4[[#This Row],[issue_date]])</f>
        <v>2024</v>
      </c>
      <c r="F1148" t="s">
        <v>19</v>
      </c>
      <c r="G1148">
        <v>10</v>
      </c>
      <c r="H1148" t="s">
        <v>20</v>
      </c>
      <c r="I1148" t="str">
        <f>VLOOKUP(Table4[[#This Row],[customer_id]],customers!A:G,4,)</f>
        <v>bangalore</v>
      </c>
    </row>
    <row r="1149" spans="1:9" x14ac:dyDescent="0.3">
      <c r="A1149">
        <v>21148</v>
      </c>
      <c r="B1149">
        <v>77</v>
      </c>
      <c r="C1149" s="2">
        <v>45026</v>
      </c>
      <c r="D1149" s="2" t="str">
        <f>TEXT(Table4[[#This Row],[issue_date]],"mmmm")</f>
        <v>April</v>
      </c>
      <c r="E1149" s="9">
        <f>YEAR(Table4[[#This Row],[issue_date]])</f>
        <v>2023</v>
      </c>
      <c r="F1149" t="s">
        <v>21</v>
      </c>
      <c r="G1149">
        <v>59</v>
      </c>
      <c r="H1149" t="s">
        <v>20</v>
      </c>
      <c r="I1149" t="str">
        <f>VLOOKUP(Table4[[#This Row],[customer_id]],customers!A:G,4,)</f>
        <v>delhi</v>
      </c>
    </row>
    <row r="1150" spans="1:9" x14ac:dyDescent="0.3">
      <c r="A1150">
        <v>21149</v>
      </c>
      <c r="B1150">
        <v>350</v>
      </c>
      <c r="C1150" s="2">
        <v>44693</v>
      </c>
      <c r="D1150" s="2" t="str">
        <f>TEXT(Table4[[#This Row],[issue_date]],"mmmm")</f>
        <v>May</v>
      </c>
      <c r="E1150" s="9">
        <f>YEAR(Table4[[#This Row],[issue_date]])</f>
        <v>2022</v>
      </c>
      <c r="F1150" t="s">
        <v>19</v>
      </c>
      <c r="G1150">
        <v>25</v>
      </c>
      <c r="H1150" t="s">
        <v>20</v>
      </c>
      <c r="I1150" t="str">
        <f>VLOOKUP(Table4[[#This Row],[customer_id]],customers!A:G,4,)</f>
        <v>delhi</v>
      </c>
    </row>
    <row r="1151" spans="1:9" x14ac:dyDescent="0.3">
      <c r="A1151">
        <v>21150</v>
      </c>
      <c r="B1151">
        <v>60</v>
      </c>
      <c r="C1151" s="2">
        <v>44654</v>
      </c>
      <c r="D1151" s="2" t="str">
        <f>TEXT(Table4[[#This Row],[issue_date]],"mmmm")</f>
        <v>April</v>
      </c>
      <c r="E1151" s="9">
        <f>YEAR(Table4[[#This Row],[issue_date]])</f>
        <v>2022</v>
      </c>
      <c r="F1151" t="s">
        <v>19</v>
      </c>
      <c r="G1151">
        <v>28</v>
      </c>
      <c r="H1151" t="s">
        <v>20</v>
      </c>
      <c r="I1151" t="str">
        <f>VLOOKUP(Table4[[#This Row],[customer_id]],customers!A:G,4,)</f>
        <v>hyderabad</v>
      </c>
    </row>
    <row r="1152" spans="1:9" x14ac:dyDescent="0.3">
      <c r="A1152">
        <v>21151</v>
      </c>
      <c r="B1152">
        <v>455</v>
      </c>
      <c r="C1152" s="2">
        <v>44834</v>
      </c>
      <c r="D1152" s="2" t="str">
        <f>TEXT(Table4[[#This Row],[issue_date]],"mmmm")</f>
        <v>September</v>
      </c>
      <c r="E1152" s="9">
        <f>YEAR(Table4[[#This Row],[issue_date]])</f>
        <v>2022</v>
      </c>
      <c r="F1152" t="s">
        <v>19</v>
      </c>
      <c r="G1152">
        <v>61</v>
      </c>
      <c r="H1152" t="s">
        <v>20</v>
      </c>
      <c r="I1152" t="str">
        <f>VLOOKUP(Table4[[#This Row],[customer_id]],customers!A:G,4,)</f>
        <v>delhi</v>
      </c>
    </row>
    <row r="1153" spans="1:9" x14ac:dyDescent="0.3">
      <c r="A1153">
        <v>21152</v>
      </c>
      <c r="B1153">
        <v>367</v>
      </c>
      <c r="C1153" s="2">
        <v>45265</v>
      </c>
      <c r="D1153" s="2" t="str">
        <f>TEXT(Table4[[#This Row],[issue_date]],"mmmm")</f>
        <v>December</v>
      </c>
      <c r="E1153" s="9">
        <f>YEAR(Table4[[#This Row],[issue_date]])</f>
        <v>2023</v>
      </c>
      <c r="F1153" t="s">
        <v>21</v>
      </c>
      <c r="G1153">
        <v>58</v>
      </c>
      <c r="H1153" t="s">
        <v>20</v>
      </c>
      <c r="I1153" t="str">
        <f>VLOOKUP(Table4[[#This Row],[customer_id]],customers!A:G,4,)</f>
        <v>kolkata</v>
      </c>
    </row>
    <row r="1154" spans="1:9" x14ac:dyDescent="0.3">
      <c r="A1154">
        <v>21153</v>
      </c>
      <c r="B1154">
        <v>465</v>
      </c>
      <c r="C1154" s="2">
        <v>45095</v>
      </c>
      <c r="D1154" s="2" t="str">
        <f>TEXT(Table4[[#This Row],[issue_date]],"mmmm")</f>
        <v>June</v>
      </c>
      <c r="E1154" s="9">
        <f>YEAR(Table4[[#This Row],[issue_date]])</f>
        <v>2023</v>
      </c>
      <c r="F1154" t="s">
        <v>22</v>
      </c>
      <c r="G1154">
        <v>44</v>
      </c>
      <c r="H1154" t="s">
        <v>20</v>
      </c>
      <c r="I1154" t="str">
        <f>VLOOKUP(Table4[[#This Row],[customer_id]],customers!A:G,4,)</f>
        <v>bangalore</v>
      </c>
    </row>
    <row r="1155" spans="1:9" x14ac:dyDescent="0.3">
      <c r="A1155">
        <v>21154</v>
      </c>
      <c r="B1155">
        <v>311</v>
      </c>
      <c r="C1155" s="2">
        <v>44755</v>
      </c>
      <c r="D1155" s="2" t="str">
        <f>TEXT(Table4[[#This Row],[issue_date]],"mmmm")</f>
        <v>July</v>
      </c>
      <c r="E1155" s="9">
        <f>YEAR(Table4[[#This Row],[issue_date]])</f>
        <v>2022</v>
      </c>
      <c r="F1155" t="s">
        <v>19</v>
      </c>
      <c r="G1155">
        <v>23</v>
      </c>
      <c r="H1155" t="s">
        <v>20</v>
      </c>
      <c r="I1155" t="str">
        <f>VLOOKUP(Table4[[#This Row],[customer_id]],customers!A:G,4,)</f>
        <v>chennai</v>
      </c>
    </row>
    <row r="1156" spans="1:9" x14ac:dyDescent="0.3">
      <c r="A1156">
        <v>21155</v>
      </c>
      <c r="B1156">
        <v>91</v>
      </c>
      <c r="C1156" s="2">
        <v>44731</v>
      </c>
      <c r="D1156" s="2" t="str">
        <f>TEXT(Table4[[#This Row],[issue_date]],"mmmm")</f>
        <v>June</v>
      </c>
      <c r="E1156" s="9">
        <f>YEAR(Table4[[#This Row],[issue_date]])</f>
        <v>2022</v>
      </c>
      <c r="F1156" t="s">
        <v>21</v>
      </c>
      <c r="G1156">
        <v>17</v>
      </c>
      <c r="H1156" t="s">
        <v>20</v>
      </c>
      <c r="I1156" t="str">
        <f>VLOOKUP(Table4[[#This Row],[customer_id]],customers!A:G,4,)</f>
        <v>chennai</v>
      </c>
    </row>
    <row r="1157" spans="1:9" x14ac:dyDescent="0.3">
      <c r="A1157">
        <v>21156</v>
      </c>
      <c r="B1157">
        <v>419</v>
      </c>
      <c r="C1157" s="2">
        <v>45021</v>
      </c>
      <c r="D1157" s="2" t="str">
        <f>TEXT(Table4[[#This Row],[issue_date]],"mmmm")</f>
        <v>April</v>
      </c>
      <c r="E1157" s="9">
        <f>YEAR(Table4[[#This Row],[issue_date]])</f>
        <v>2023</v>
      </c>
      <c r="F1157" t="s">
        <v>22</v>
      </c>
      <c r="G1157">
        <v>38</v>
      </c>
      <c r="H1157" t="s">
        <v>20</v>
      </c>
      <c r="I1157" t="str">
        <f>VLOOKUP(Table4[[#This Row],[customer_id]],customers!A:G,4,)</f>
        <v>kolkata</v>
      </c>
    </row>
    <row r="1158" spans="1:9" x14ac:dyDescent="0.3">
      <c r="A1158">
        <v>21157</v>
      </c>
      <c r="B1158">
        <v>453</v>
      </c>
      <c r="C1158" s="2">
        <v>44572</v>
      </c>
      <c r="D1158" s="2" t="str">
        <f>TEXT(Table4[[#This Row],[issue_date]],"mmmm")</f>
        <v>January</v>
      </c>
      <c r="E1158" s="9">
        <f>YEAR(Table4[[#This Row],[issue_date]])</f>
        <v>2022</v>
      </c>
      <c r="F1158" t="s">
        <v>19</v>
      </c>
      <c r="G1158">
        <v>30</v>
      </c>
      <c r="H1158" t="s">
        <v>20</v>
      </c>
      <c r="I1158" t="str">
        <f>VLOOKUP(Table4[[#This Row],[customer_id]],customers!A:G,4,)</f>
        <v>bangalore</v>
      </c>
    </row>
    <row r="1159" spans="1:9" x14ac:dyDescent="0.3">
      <c r="A1159">
        <v>21158</v>
      </c>
      <c r="B1159">
        <v>298</v>
      </c>
      <c r="C1159" s="2">
        <v>44742</v>
      </c>
      <c r="D1159" s="2" t="str">
        <f>TEXT(Table4[[#This Row],[issue_date]],"mmmm")</f>
        <v>June</v>
      </c>
      <c r="E1159" s="9">
        <f>YEAR(Table4[[#This Row],[issue_date]])</f>
        <v>2022</v>
      </c>
      <c r="F1159" t="s">
        <v>22</v>
      </c>
      <c r="G1159">
        <v>19</v>
      </c>
      <c r="H1159" t="s">
        <v>20</v>
      </c>
      <c r="I1159" t="str">
        <f>VLOOKUP(Table4[[#This Row],[customer_id]],customers!A:G,4,)</f>
        <v>mumbai</v>
      </c>
    </row>
    <row r="1160" spans="1:9" x14ac:dyDescent="0.3">
      <c r="A1160">
        <v>21159</v>
      </c>
      <c r="B1160">
        <v>325</v>
      </c>
      <c r="C1160" s="2">
        <v>44793</v>
      </c>
      <c r="D1160" s="2" t="str">
        <f>TEXT(Table4[[#This Row],[issue_date]],"mmmm")</f>
        <v>August</v>
      </c>
      <c r="E1160" s="9">
        <f>YEAR(Table4[[#This Row],[issue_date]])</f>
        <v>2022</v>
      </c>
      <c r="F1160" t="s">
        <v>21</v>
      </c>
      <c r="G1160">
        <v>32</v>
      </c>
      <c r="H1160" t="s">
        <v>20</v>
      </c>
      <c r="I1160" t="str">
        <f>VLOOKUP(Table4[[#This Row],[customer_id]],customers!A:G,4,)</f>
        <v>kolkata</v>
      </c>
    </row>
    <row r="1161" spans="1:9" x14ac:dyDescent="0.3">
      <c r="A1161">
        <v>21160</v>
      </c>
      <c r="B1161">
        <v>280</v>
      </c>
      <c r="C1161" s="2">
        <v>44590</v>
      </c>
      <c r="D1161" s="2" t="str">
        <f>TEXT(Table4[[#This Row],[issue_date]],"mmmm")</f>
        <v>January</v>
      </c>
      <c r="E1161" s="9">
        <f>YEAR(Table4[[#This Row],[issue_date]])</f>
        <v>2022</v>
      </c>
      <c r="F1161" t="s">
        <v>22</v>
      </c>
      <c r="G1161">
        <v>20</v>
      </c>
      <c r="H1161" t="s">
        <v>20</v>
      </c>
      <c r="I1161" t="str">
        <f>VLOOKUP(Table4[[#This Row],[customer_id]],customers!A:G,4,)</f>
        <v>chennai</v>
      </c>
    </row>
    <row r="1162" spans="1:9" x14ac:dyDescent="0.3">
      <c r="A1162">
        <v>21161</v>
      </c>
      <c r="B1162">
        <v>199</v>
      </c>
      <c r="C1162" s="2">
        <v>45093</v>
      </c>
      <c r="D1162" s="2" t="str">
        <f>TEXT(Table4[[#This Row],[issue_date]],"mmmm")</f>
        <v>June</v>
      </c>
      <c r="E1162" s="9">
        <f>YEAR(Table4[[#This Row],[issue_date]])</f>
        <v>2023</v>
      </c>
      <c r="F1162" t="s">
        <v>22</v>
      </c>
      <c r="G1162">
        <v>64</v>
      </c>
      <c r="H1162" t="s">
        <v>20</v>
      </c>
      <c r="I1162" t="str">
        <f>VLOOKUP(Table4[[#This Row],[customer_id]],customers!A:G,4,)</f>
        <v>kolkata</v>
      </c>
    </row>
    <row r="1163" spans="1:9" x14ac:dyDescent="0.3">
      <c r="A1163">
        <v>21162</v>
      </c>
      <c r="B1163">
        <v>455</v>
      </c>
      <c r="C1163" s="2">
        <v>44566</v>
      </c>
      <c r="D1163" s="2" t="str">
        <f>TEXT(Table4[[#This Row],[issue_date]],"mmmm")</f>
        <v>January</v>
      </c>
      <c r="E1163" s="9">
        <f>YEAR(Table4[[#This Row],[issue_date]])</f>
        <v>2022</v>
      </c>
      <c r="F1163" t="s">
        <v>21</v>
      </c>
      <c r="G1163">
        <v>36</v>
      </c>
      <c r="H1163" t="s">
        <v>20</v>
      </c>
      <c r="I1163" t="str">
        <f>VLOOKUP(Table4[[#This Row],[customer_id]],customers!A:G,4,)</f>
        <v>delhi</v>
      </c>
    </row>
    <row r="1164" spans="1:9" x14ac:dyDescent="0.3">
      <c r="A1164">
        <v>21163</v>
      </c>
      <c r="B1164">
        <v>118</v>
      </c>
      <c r="C1164" s="2">
        <v>45107</v>
      </c>
      <c r="D1164" s="2" t="str">
        <f>TEXT(Table4[[#This Row],[issue_date]],"mmmm")</f>
        <v>June</v>
      </c>
      <c r="E1164" s="9">
        <f>YEAR(Table4[[#This Row],[issue_date]])</f>
        <v>2023</v>
      </c>
      <c r="F1164" t="s">
        <v>19</v>
      </c>
      <c r="G1164">
        <v>65</v>
      </c>
      <c r="H1164" t="s">
        <v>20</v>
      </c>
      <c r="I1164" t="str">
        <f>VLOOKUP(Table4[[#This Row],[customer_id]],customers!A:G,4,)</f>
        <v>hyderabad</v>
      </c>
    </row>
    <row r="1165" spans="1:9" x14ac:dyDescent="0.3">
      <c r="A1165">
        <v>21164</v>
      </c>
      <c r="B1165">
        <v>183</v>
      </c>
      <c r="C1165" s="2">
        <v>44701</v>
      </c>
      <c r="D1165" s="2" t="str">
        <f>TEXT(Table4[[#This Row],[issue_date]],"mmmm")</f>
        <v>May</v>
      </c>
      <c r="E1165" s="9">
        <f>YEAR(Table4[[#This Row],[issue_date]])</f>
        <v>2022</v>
      </c>
      <c r="F1165" t="s">
        <v>21</v>
      </c>
      <c r="G1165">
        <v>43</v>
      </c>
      <c r="H1165" t="s">
        <v>20</v>
      </c>
      <c r="I1165" t="str">
        <f>VLOOKUP(Table4[[#This Row],[customer_id]],customers!A:G,4,)</f>
        <v>hyderabad</v>
      </c>
    </row>
    <row r="1166" spans="1:9" x14ac:dyDescent="0.3">
      <c r="A1166">
        <v>21165</v>
      </c>
      <c r="B1166">
        <v>398</v>
      </c>
      <c r="C1166" s="2">
        <v>44589</v>
      </c>
      <c r="D1166" s="2" t="str">
        <f>TEXT(Table4[[#This Row],[issue_date]],"mmmm")</f>
        <v>January</v>
      </c>
      <c r="E1166" s="9">
        <f>YEAR(Table4[[#This Row],[issue_date]])</f>
        <v>2022</v>
      </c>
      <c r="F1166" t="s">
        <v>21</v>
      </c>
      <c r="G1166">
        <v>26</v>
      </c>
      <c r="H1166" t="s">
        <v>20</v>
      </c>
      <c r="I1166" t="str">
        <f>VLOOKUP(Table4[[#This Row],[customer_id]],customers!A:G,4,)</f>
        <v>bangalore</v>
      </c>
    </row>
    <row r="1167" spans="1:9" x14ac:dyDescent="0.3">
      <c r="A1167">
        <v>21166</v>
      </c>
      <c r="B1167">
        <v>55</v>
      </c>
      <c r="C1167" s="2">
        <v>44659</v>
      </c>
      <c r="D1167" s="2" t="str">
        <f>TEXT(Table4[[#This Row],[issue_date]],"mmmm")</f>
        <v>April</v>
      </c>
      <c r="E1167" s="9">
        <f>YEAR(Table4[[#This Row],[issue_date]])</f>
        <v>2022</v>
      </c>
      <c r="F1167" t="s">
        <v>19</v>
      </c>
      <c r="G1167">
        <v>7</v>
      </c>
      <c r="H1167" t="s">
        <v>20</v>
      </c>
      <c r="I1167" t="str">
        <f>VLOOKUP(Table4[[#This Row],[customer_id]],customers!A:G,4,)</f>
        <v>mumbai</v>
      </c>
    </row>
    <row r="1168" spans="1:9" x14ac:dyDescent="0.3">
      <c r="A1168">
        <v>21167</v>
      </c>
      <c r="B1168">
        <v>271</v>
      </c>
      <c r="C1168" s="2">
        <v>44823</v>
      </c>
      <c r="D1168" s="2" t="str">
        <f>TEXT(Table4[[#This Row],[issue_date]],"mmmm")</f>
        <v>September</v>
      </c>
      <c r="E1168" s="9">
        <f>YEAR(Table4[[#This Row],[issue_date]])</f>
        <v>2022</v>
      </c>
      <c r="F1168" t="s">
        <v>19</v>
      </c>
      <c r="G1168">
        <v>34</v>
      </c>
      <c r="H1168" t="s">
        <v>20</v>
      </c>
      <c r="I1168" t="str">
        <f>VLOOKUP(Table4[[#This Row],[customer_id]],customers!A:G,4,)</f>
        <v>kolkata</v>
      </c>
    </row>
    <row r="1169" spans="1:9" x14ac:dyDescent="0.3">
      <c r="A1169">
        <v>21168</v>
      </c>
      <c r="B1169">
        <v>5</v>
      </c>
      <c r="C1169" s="2">
        <v>45319</v>
      </c>
      <c r="D1169" s="2" t="str">
        <f>TEXT(Table4[[#This Row],[issue_date]],"mmmm")</f>
        <v>January</v>
      </c>
      <c r="E1169" s="9">
        <f>YEAR(Table4[[#This Row],[issue_date]])</f>
        <v>2024</v>
      </c>
      <c r="F1169" t="s">
        <v>21</v>
      </c>
      <c r="G1169">
        <v>36</v>
      </c>
      <c r="H1169" t="s">
        <v>20</v>
      </c>
      <c r="I1169" t="str">
        <f>VLOOKUP(Table4[[#This Row],[customer_id]],customers!A:G,4,)</f>
        <v>delhi</v>
      </c>
    </row>
    <row r="1170" spans="1:9" x14ac:dyDescent="0.3">
      <c r="A1170">
        <v>21169</v>
      </c>
      <c r="B1170">
        <v>101</v>
      </c>
      <c r="C1170" s="2">
        <v>44580</v>
      </c>
      <c r="D1170" s="2" t="str">
        <f>TEXT(Table4[[#This Row],[issue_date]],"mmmm")</f>
        <v>January</v>
      </c>
      <c r="E1170" s="9">
        <f>YEAR(Table4[[#This Row],[issue_date]])</f>
        <v>2022</v>
      </c>
      <c r="F1170" t="s">
        <v>19</v>
      </c>
      <c r="G1170">
        <v>6</v>
      </c>
      <c r="H1170" t="s">
        <v>20</v>
      </c>
      <c r="I1170" t="str">
        <f>VLOOKUP(Table4[[#This Row],[customer_id]],customers!A:G,4,)</f>
        <v>mumbai</v>
      </c>
    </row>
    <row r="1171" spans="1:9" x14ac:dyDescent="0.3">
      <c r="A1171">
        <v>21170</v>
      </c>
      <c r="B1171">
        <v>388</v>
      </c>
      <c r="C1171" s="2">
        <v>44573</v>
      </c>
      <c r="D1171" s="2" t="str">
        <f>TEXT(Table4[[#This Row],[issue_date]],"mmmm")</f>
        <v>January</v>
      </c>
      <c r="E1171" s="9">
        <f>YEAR(Table4[[#This Row],[issue_date]])</f>
        <v>2022</v>
      </c>
      <c r="F1171" t="s">
        <v>19</v>
      </c>
      <c r="G1171">
        <v>37</v>
      </c>
      <c r="H1171" t="s">
        <v>20</v>
      </c>
      <c r="I1171" t="str">
        <f>VLOOKUP(Table4[[#This Row],[customer_id]],customers!A:G,4,)</f>
        <v>chennai</v>
      </c>
    </row>
    <row r="1172" spans="1:9" x14ac:dyDescent="0.3">
      <c r="A1172">
        <v>21171</v>
      </c>
      <c r="B1172">
        <v>286</v>
      </c>
      <c r="C1172" s="2">
        <v>45098</v>
      </c>
      <c r="D1172" s="2" t="str">
        <f>TEXT(Table4[[#This Row],[issue_date]],"mmmm")</f>
        <v>June</v>
      </c>
      <c r="E1172" s="9">
        <f>YEAR(Table4[[#This Row],[issue_date]])</f>
        <v>2023</v>
      </c>
      <c r="F1172" t="s">
        <v>21</v>
      </c>
      <c r="G1172">
        <v>62</v>
      </c>
      <c r="H1172" t="s">
        <v>20</v>
      </c>
      <c r="I1172" t="str">
        <f>VLOOKUP(Table4[[#This Row],[customer_id]],customers!A:G,4,)</f>
        <v>chennai</v>
      </c>
    </row>
    <row r="1173" spans="1:9" x14ac:dyDescent="0.3">
      <c r="A1173">
        <v>21172</v>
      </c>
      <c r="B1173">
        <v>468</v>
      </c>
      <c r="C1173" s="2">
        <v>45086</v>
      </c>
      <c r="D1173" s="2" t="str">
        <f>TEXT(Table4[[#This Row],[issue_date]],"mmmm")</f>
        <v>June</v>
      </c>
      <c r="E1173" s="9">
        <f>YEAR(Table4[[#This Row],[issue_date]])</f>
        <v>2023</v>
      </c>
      <c r="F1173" t="s">
        <v>21</v>
      </c>
      <c r="G1173">
        <v>60</v>
      </c>
      <c r="H1173" t="s">
        <v>20</v>
      </c>
      <c r="I1173" t="str">
        <f>VLOOKUP(Table4[[#This Row],[customer_id]],customers!A:G,4,)</f>
        <v>mumbai</v>
      </c>
    </row>
    <row r="1174" spans="1:9" x14ac:dyDescent="0.3">
      <c r="A1174">
        <v>21173</v>
      </c>
      <c r="B1174">
        <v>53</v>
      </c>
      <c r="C1174" s="2">
        <v>45026</v>
      </c>
      <c r="D1174" s="2" t="str">
        <f>TEXT(Table4[[#This Row],[issue_date]],"mmmm")</f>
        <v>April</v>
      </c>
      <c r="E1174" s="9">
        <f>YEAR(Table4[[#This Row],[issue_date]])</f>
        <v>2023</v>
      </c>
      <c r="F1174" t="s">
        <v>21</v>
      </c>
      <c r="G1174">
        <v>64</v>
      </c>
      <c r="H1174" t="s">
        <v>20</v>
      </c>
      <c r="I1174" t="str">
        <f>VLOOKUP(Table4[[#This Row],[customer_id]],customers!A:G,4,)</f>
        <v>mumbai</v>
      </c>
    </row>
    <row r="1175" spans="1:9" x14ac:dyDescent="0.3">
      <c r="A1175">
        <v>21174</v>
      </c>
      <c r="B1175">
        <v>218</v>
      </c>
      <c r="C1175" s="2">
        <v>45149</v>
      </c>
      <c r="D1175" s="2" t="str">
        <f>TEXT(Table4[[#This Row],[issue_date]],"mmmm")</f>
        <v>August</v>
      </c>
      <c r="E1175" s="9">
        <f>YEAR(Table4[[#This Row],[issue_date]])</f>
        <v>2023</v>
      </c>
      <c r="F1175" t="s">
        <v>21</v>
      </c>
      <c r="G1175">
        <v>50</v>
      </c>
      <c r="H1175" t="s">
        <v>20</v>
      </c>
      <c r="I1175" t="str">
        <f>VLOOKUP(Table4[[#This Row],[customer_id]],customers!A:G,4,)</f>
        <v>delhi</v>
      </c>
    </row>
    <row r="1176" spans="1:9" x14ac:dyDescent="0.3">
      <c r="A1176">
        <v>21175</v>
      </c>
      <c r="B1176">
        <v>329</v>
      </c>
      <c r="C1176" s="2">
        <v>44820</v>
      </c>
      <c r="D1176" s="2" t="str">
        <f>TEXT(Table4[[#This Row],[issue_date]],"mmmm")</f>
        <v>September</v>
      </c>
      <c r="E1176" s="9">
        <f>YEAR(Table4[[#This Row],[issue_date]])</f>
        <v>2022</v>
      </c>
      <c r="F1176" t="s">
        <v>22</v>
      </c>
      <c r="G1176">
        <v>52</v>
      </c>
      <c r="H1176" t="s">
        <v>20</v>
      </c>
      <c r="I1176" t="str">
        <f>VLOOKUP(Table4[[#This Row],[customer_id]],customers!A:G,4,)</f>
        <v>delhi</v>
      </c>
    </row>
    <row r="1177" spans="1:9" x14ac:dyDescent="0.3">
      <c r="A1177">
        <v>21176</v>
      </c>
      <c r="B1177">
        <v>286</v>
      </c>
      <c r="C1177" s="2">
        <v>44585</v>
      </c>
      <c r="D1177" s="2" t="str">
        <f>TEXT(Table4[[#This Row],[issue_date]],"mmmm")</f>
        <v>January</v>
      </c>
      <c r="E1177" s="9">
        <f>YEAR(Table4[[#This Row],[issue_date]])</f>
        <v>2022</v>
      </c>
      <c r="F1177" t="s">
        <v>22</v>
      </c>
      <c r="G1177">
        <v>17</v>
      </c>
      <c r="H1177" t="s">
        <v>20</v>
      </c>
      <c r="I1177" t="str">
        <f>VLOOKUP(Table4[[#This Row],[customer_id]],customers!A:G,4,)</f>
        <v>chennai</v>
      </c>
    </row>
    <row r="1178" spans="1:9" x14ac:dyDescent="0.3">
      <c r="A1178">
        <v>21177</v>
      </c>
      <c r="B1178">
        <v>492</v>
      </c>
      <c r="C1178" s="2">
        <v>44569</v>
      </c>
      <c r="D1178" s="2" t="str">
        <f>TEXT(Table4[[#This Row],[issue_date]],"mmmm")</f>
        <v>January</v>
      </c>
      <c r="E1178" s="9">
        <f>YEAR(Table4[[#This Row],[issue_date]])</f>
        <v>2022</v>
      </c>
      <c r="F1178" t="s">
        <v>19</v>
      </c>
      <c r="G1178">
        <v>60</v>
      </c>
      <c r="H1178" t="s">
        <v>20</v>
      </c>
      <c r="I1178" t="str">
        <f>VLOOKUP(Table4[[#This Row],[customer_id]],customers!A:G,4,)</f>
        <v>delhi</v>
      </c>
    </row>
    <row r="1179" spans="1:9" x14ac:dyDescent="0.3">
      <c r="A1179">
        <v>21178</v>
      </c>
      <c r="B1179">
        <v>240</v>
      </c>
      <c r="C1179" s="2">
        <v>45441</v>
      </c>
      <c r="D1179" s="2" t="str">
        <f>TEXT(Table4[[#This Row],[issue_date]],"mmmm")</f>
        <v>May</v>
      </c>
      <c r="E1179" s="9">
        <f>YEAR(Table4[[#This Row],[issue_date]])</f>
        <v>2024</v>
      </c>
      <c r="F1179" t="s">
        <v>22</v>
      </c>
      <c r="G1179">
        <v>54</v>
      </c>
      <c r="H1179" t="s">
        <v>20</v>
      </c>
      <c r="I1179" t="str">
        <f>VLOOKUP(Table4[[#This Row],[customer_id]],customers!A:G,4,)</f>
        <v>delhi</v>
      </c>
    </row>
    <row r="1180" spans="1:9" x14ac:dyDescent="0.3">
      <c r="A1180">
        <v>21179</v>
      </c>
      <c r="B1180">
        <v>214</v>
      </c>
      <c r="C1180" s="2">
        <v>44789</v>
      </c>
      <c r="D1180" s="2" t="str">
        <f>TEXT(Table4[[#This Row],[issue_date]],"mmmm")</f>
        <v>August</v>
      </c>
      <c r="E1180" s="9">
        <f>YEAR(Table4[[#This Row],[issue_date]])</f>
        <v>2022</v>
      </c>
      <c r="F1180" t="s">
        <v>22</v>
      </c>
      <c r="G1180">
        <v>10</v>
      </c>
      <c r="H1180" t="s">
        <v>20</v>
      </c>
      <c r="I1180" t="str">
        <f>VLOOKUP(Table4[[#This Row],[customer_id]],customers!A:G,4,)</f>
        <v>chennai</v>
      </c>
    </row>
    <row r="1181" spans="1:9" x14ac:dyDescent="0.3">
      <c r="A1181">
        <v>21180</v>
      </c>
      <c r="B1181">
        <v>104</v>
      </c>
      <c r="C1181" s="2">
        <v>44937</v>
      </c>
      <c r="D1181" s="2" t="str">
        <f>TEXT(Table4[[#This Row],[issue_date]],"mmmm")</f>
        <v>January</v>
      </c>
      <c r="E1181" s="9">
        <f>YEAR(Table4[[#This Row],[issue_date]])</f>
        <v>2023</v>
      </c>
      <c r="F1181" t="s">
        <v>22</v>
      </c>
      <c r="G1181">
        <v>25</v>
      </c>
      <c r="H1181" t="s">
        <v>23</v>
      </c>
      <c r="I1181" t="str">
        <f>VLOOKUP(Table4[[#This Row],[customer_id]],customers!A:G,4,)</f>
        <v>kolkata</v>
      </c>
    </row>
    <row r="1182" spans="1:9" x14ac:dyDescent="0.3">
      <c r="A1182">
        <v>21181</v>
      </c>
      <c r="B1182">
        <v>361</v>
      </c>
      <c r="C1182" s="2">
        <v>44684</v>
      </c>
      <c r="D1182" s="2" t="str">
        <f>TEXT(Table4[[#This Row],[issue_date]],"mmmm")</f>
        <v>May</v>
      </c>
      <c r="E1182" s="9">
        <f>YEAR(Table4[[#This Row],[issue_date]])</f>
        <v>2022</v>
      </c>
      <c r="F1182" t="s">
        <v>19</v>
      </c>
      <c r="G1182">
        <v>18</v>
      </c>
      <c r="H1182" t="s">
        <v>20</v>
      </c>
      <c r="I1182" t="str">
        <f>VLOOKUP(Table4[[#This Row],[customer_id]],customers!A:G,4,)</f>
        <v>chennai</v>
      </c>
    </row>
    <row r="1183" spans="1:9" x14ac:dyDescent="0.3">
      <c r="A1183">
        <v>21182</v>
      </c>
      <c r="B1183">
        <v>364</v>
      </c>
      <c r="C1183" s="2">
        <v>44651</v>
      </c>
      <c r="D1183" s="2" t="str">
        <f>TEXT(Table4[[#This Row],[issue_date]],"mmmm")</f>
        <v>March</v>
      </c>
      <c r="E1183" s="9">
        <f>YEAR(Table4[[#This Row],[issue_date]])</f>
        <v>2022</v>
      </c>
      <c r="F1183" t="s">
        <v>22</v>
      </c>
      <c r="G1183">
        <v>64</v>
      </c>
      <c r="H1183" t="s">
        <v>20</v>
      </c>
      <c r="I1183" t="str">
        <f>VLOOKUP(Table4[[#This Row],[customer_id]],customers!A:G,4,)</f>
        <v>delhi</v>
      </c>
    </row>
    <row r="1184" spans="1:9" x14ac:dyDescent="0.3">
      <c r="A1184">
        <v>21183</v>
      </c>
      <c r="B1184">
        <v>222</v>
      </c>
      <c r="C1184" s="2">
        <v>45374</v>
      </c>
      <c r="D1184" s="2" t="str">
        <f>TEXT(Table4[[#This Row],[issue_date]],"mmmm")</f>
        <v>March</v>
      </c>
      <c r="E1184" s="9">
        <f>YEAR(Table4[[#This Row],[issue_date]])</f>
        <v>2024</v>
      </c>
      <c r="F1184" t="s">
        <v>21</v>
      </c>
      <c r="G1184">
        <v>59</v>
      </c>
      <c r="H1184" t="s">
        <v>20</v>
      </c>
      <c r="I1184" t="str">
        <f>VLOOKUP(Table4[[#This Row],[customer_id]],customers!A:G,4,)</f>
        <v>bangalore</v>
      </c>
    </row>
    <row r="1185" spans="1:9" x14ac:dyDescent="0.3">
      <c r="A1185">
        <v>21184</v>
      </c>
      <c r="B1185">
        <v>340</v>
      </c>
      <c r="C1185" s="2">
        <v>45017</v>
      </c>
      <c r="D1185" s="2" t="str">
        <f>TEXT(Table4[[#This Row],[issue_date]],"mmmm")</f>
        <v>April</v>
      </c>
      <c r="E1185" s="9">
        <f>YEAR(Table4[[#This Row],[issue_date]])</f>
        <v>2023</v>
      </c>
      <c r="F1185" t="s">
        <v>21</v>
      </c>
      <c r="G1185">
        <v>27</v>
      </c>
      <c r="H1185" t="s">
        <v>20</v>
      </c>
      <c r="I1185" t="str">
        <f>VLOOKUP(Table4[[#This Row],[customer_id]],customers!A:G,4,)</f>
        <v>kolkata</v>
      </c>
    </row>
    <row r="1186" spans="1:9" x14ac:dyDescent="0.3">
      <c r="A1186">
        <v>21185</v>
      </c>
      <c r="B1186">
        <v>348</v>
      </c>
      <c r="C1186" s="2">
        <v>44785</v>
      </c>
      <c r="D1186" s="2" t="str">
        <f>TEXT(Table4[[#This Row],[issue_date]],"mmmm")</f>
        <v>August</v>
      </c>
      <c r="E1186" s="9">
        <f>YEAR(Table4[[#This Row],[issue_date]])</f>
        <v>2022</v>
      </c>
      <c r="F1186" t="s">
        <v>19</v>
      </c>
      <c r="G1186">
        <v>58</v>
      </c>
      <c r="H1186" t="s">
        <v>23</v>
      </c>
      <c r="I1186" t="str">
        <f>VLOOKUP(Table4[[#This Row],[customer_id]],customers!A:G,4,)</f>
        <v>chennai</v>
      </c>
    </row>
    <row r="1187" spans="1:9" x14ac:dyDescent="0.3">
      <c r="A1187">
        <v>21186</v>
      </c>
      <c r="B1187">
        <v>189</v>
      </c>
      <c r="C1187" s="2">
        <v>45297</v>
      </c>
      <c r="D1187" s="2" t="str">
        <f>TEXT(Table4[[#This Row],[issue_date]],"mmmm")</f>
        <v>January</v>
      </c>
      <c r="E1187" s="9">
        <f>YEAR(Table4[[#This Row],[issue_date]])</f>
        <v>2024</v>
      </c>
      <c r="F1187" t="s">
        <v>19</v>
      </c>
      <c r="G1187">
        <v>61</v>
      </c>
      <c r="H1187" t="s">
        <v>20</v>
      </c>
      <c r="I1187" t="str">
        <f>VLOOKUP(Table4[[#This Row],[customer_id]],customers!A:G,4,)</f>
        <v>delhi</v>
      </c>
    </row>
    <row r="1188" spans="1:9" x14ac:dyDescent="0.3">
      <c r="A1188">
        <v>21187</v>
      </c>
      <c r="B1188">
        <v>327</v>
      </c>
      <c r="C1188" s="2">
        <v>44818</v>
      </c>
      <c r="D1188" s="2" t="str">
        <f>TEXT(Table4[[#This Row],[issue_date]],"mmmm")</f>
        <v>September</v>
      </c>
      <c r="E1188" s="9">
        <f>YEAR(Table4[[#This Row],[issue_date]])</f>
        <v>2022</v>
      </c>
      <c r="F1188" t="s">
        <v>19</v>
      </c>
      <c r="G1188">
        <v>71</v>
      </c>
      <c r="H1188" t="s">
        <v>20</v>
      </c>
      <c r="I1188" t="str">
        <f>VLOOKUP(Table4[[#This Row],[customer_id]],customers!A:G,4,)</f>
        <v>delhi</v>
      </c>
    </row>
    <row r="1189" spans="1:9" x14ac:dyDescent="0.3">
      <c r="A1189">
        <v>21188</v>
      </c>
      <c r="B1189">
        <v>324</v>
      </c>
      <c r="C1189" s="2">
        <v>45076</v>
      </c>
      <c r="D1189" s="2" t="str">
        <f>TEXT(Table4[[#This Row],[issue_date]],"mmmm")</f>
        <v>May</v>
      </c>
      <c r="E1189" s="9">
        <f>YEAR(Table4[[#This Row],[issue_date]])</f>
        <v>2023</v>
      </c>
      <c r="F1189" t="s">
        <v>22</v>
      </c>
      <c r="G1189">
        <v>43</v>
      </c>
      <c r="H1189" t="s">
        <v>20</v>
      </c>
      <c r="I1189" t="str">
        <f>VLOOKUP(Table4[[#This Row],[customer_id]],customers!A:G,4,)</f>
        <v>delhi</v>
      </c>
    </row>
    <row r="1190" spans="1:9" x14ac:dyDescent="0.3">
      <c r="A1190">
        <v>21189</v>
      </c>
      <c r="B1190">
        <v>476</v>
      </c>
      <c r="C1190" s="2">
        <v>45394</v>
      </c>
      <c r="D1190" s="2" t="str">
        <f>TEXT(Table4[[#This Row],[issue_date]],"mmmm")</f>
        <v>April</v>
      </c>
      <c r="E1190" s="9">
        <f>YEAR(Table4[[#This Row],[issue_date]])</f>
        <v>2024</v>
      </c>
      <c r="F1190" t="s">
        <v>19</v>
      </c>
      <c r="G1190">
        <v>11</v>
      </c>
      <c r="H1190" t="s">
        <v>20</v>
      </c>
      <c r="I1190" t="str">
        <f>VLOOKUP(Table4[[#This Row],[customer_id]],customers!A:G,4,)</f>
        <v>bangalore</v>
      </c>
    </row>
    <row r="1191" spans="1:9" x14ac:dyDescent="0.3">
      <c r="A1191">
        <v>21190</v>
      </c>
      <c r="B1191">
        <v>311</v>
      </c>
      <c r="C1191" s="2">
        <v>45344</v>
      </c>
      <c r="D1191" s="2" t="str">
        <f>TEXT(Table4[[#This Row],[issue_date]],"mmmm")</f>
        <v>February</v>
      </c>
      <c r="E1191" s="9">
        <f>YEAR(Table4[[#This Row],[issue_date]])</f>
        <v>2024</v>
      </c>
      <c r="F1191" t="s">
        <v>19</v>
      </c>
      <c r="G1191">
        <v>5</v>
      </c>
      <c r="H1191" t="s">
        <v>20</v>
      </c>
      <c r="I1191" t="str">
        <f>VLOOKUP(Table4[[#This Row],[customer_id]],customers!A:G,4,)</f>
        <v>chennai</v>
      </c>
    </row>
    <row r="1192" spans="1:9" x14ac:dyDescent="0.3">
      <c r="A1192">
        <v>21191</v>
      </c>
      <c r="B1192">
        <v>99</v>
      </c>
      <c r="C1192" s="2">
        <v>45379</v>
      </c>
      <c r="D1192" s="2" t="str">
        <f>TEXT(Table4[[#This Row],[issue_date]],"mmmm")</f>
        <v>March</v>
      </c>
      <c r="E1192" s="9">
        <f>YEAR(Table4[[#This Row],[issue_date]])</f>
        <v>2024</v>
      </c>
      <c r="F1192" t="s">
        <v>19</v>
      </c>
      <c r="G1192">
        <v>58</v>
      </c>
      <c r="H1192" t="s">
        <v>20</v>
      </c>
      <c r="I1192" t="str">
        <f>VLOOKUP(Table4[[#This Row],[customer_id]],customers!A:G,4,)</f>
        <v>hyderabad</v>
      </c>
    </row>
    <row r="1193" spans="1:9" x14ac:dyDescent="0.3">
      <c r="A1193">
        <v>21192</v>
      </c>
      <c r="B1193">
        <v>97</v>
      </c>
      <c r="C1193" s="2">
        <v>44709</v>
      </c>
      <c r="D1193" s="2" t="str">
        <f>TEXT(Table4[[#This Row],[issue_date]],"mmmm")</f>
        <v>May</v>
      </c>
      <c r="E1193" s="9">
        <f>YEAR(Table4[[#This Row],[issue_date]])</f>
        <v>2022</v>
      </c>
      <c r="F1193" t="s">
        <v>21</v>
      </c>
      <c r="G1193">
        <v>39</v>
      </c>
      <c r="H1193" t="s">
        <v>23</v>
      </c>
      <c r="I1193" t="str">
        <f>VLOOKUP(Table4[[#This Row],[customer_id]],customers!A:G,4,)</f>
        <v>chennai</v>
      </c>
    </row>
    <row r="1194" spans="1:9" x14ac:dyDescent="0.3">
      <c r="A1194">
        <v>21193</v>
      </c>
      <c r="B1194">
        <v>327</v>
      </c>
      <c r="C1194" s="2">
        <v>44948</v>
      </c>
      <c r="D1194" s="2" t="str">
        <f>TEXT(Table4[[#This Row],[issue_date]],"mmmm")</f>
        <v>January</v>
      </c>
      <c r="E1194" s="9">
        <f>YEAR(Table4[[#This Row],[issue_date]])</f>
        <v>2023</v>
      </c>
      <c r="F1194" t="s">
        <v>19</v>
      </c>
      <c r="G1194">
        <v>48</v>
      </c>
      <c r="H1194" t="s">
        <v>23</v>
      </c>
      <c r="I1194" t="str">
        <f>VLOOKUP(Table4[[#This Row],[customer_id]],customers!A:G,4,)</f>
        <v>delhi</v>
      </c>
    </row>
    <row r="1195" spans="1:9" x14ac:dyDescent="0.3">
      <c r="A1195">
        <v>21194</v>
      </c>
      <c r="B1195">
        <v>73</v>
      </c>
      <c r="C1195" s="2">
        <v>45262</v>
      </c>
      <c r="D1195" s="2" t="str">
        <f>TEXT(Table4[[#This Row],[issue_date]],"mmmm")</f>
        <v>December</v>
      </c>
      <c r="E1195" s="9">
        <f>YEAR(Table4[[#This Row],[issue_date]])</f>
        <v>2023</v>
      </c>
      <c r="F1195" t="s">
        <v>21</v>
      </c>
      <c r="G1195">
        <v>20</v>
      </c>
      <c r="H1195" t="s">
        <v>20</v>
      </c>
      <c r="I1195" t="str">
        <f>VLOOKUP(Table4[[#This Row],[customer_id]],customers!A:G,4,)</f>
        <v>kolkata</v>
      </c>
    </row>
    <row r="1196" spans="1:9" x14ac:dyDescent="0.3">
      <c r="A1196">
        <v>21195</v>
      </c>
      <c r="B1196">
        <v>482</v>
      </c>
      <c r="C1196" s="2">
        <v>45260</v>
      </c>
      <c r="D1196" s="2" t="str">
        <f>TEXT(Table4[[#This Row],[issue_date]],"mmmm")</f>
        <v>November</v>
      </c>
      <c r="E1196" s="9">
        <f>YEAR(Table4[[#This Row],[issue_date]])</f>
        <v>2023</v>
      </c>
      <c r="F1196" t="s">
        <v>21</v>
      </c>
      <c r="G1196">
        <v>19</v>
      </c>
      <c r="H1196" t="s">
        <v>20</v>
      </c>
      <c r="I1196" t="str">
        <f>VLOOKUP(Table4[[#This Row],[customer_id]],customers!A:G,4,)</f>
        <v>mumbai</v>
      </c>
    </row>
    <row r="1197" spans="1:9" x14ac:dyDescent="0.3">
      <c r="A1197">
        <v>21196</v>
      </c>
      <c r="B1197">
        <v>256</v>
      </c>
      <c r="C1197" s="2">
        <v>44999</v>
      </c>
      <c r="D1197" s="2" t="str">
        <f>TEXT(Table4[[#This Row],[issue_date]],"mmmm")</f>
        <v>March</v>
      </c>
      <c r="E1197" s="9">
        <f>YEAR(Table4[[#This Row],[issue_date]])</f>
        <v>2023</v>
      </c>
      <c r="F1197" t="s">
        <v>19</v>
      </c>
      <c r="G1197">
        <v>60</v>
      </c>
      <c r="H1197" t="s">
        <v>20</v>
      </c>
      <c r="I1197" t="str">
        <f>VLOOKUP(Table4[[#This Row],[customer_id]],customers!A:G,4,)</f>
        <v>kolkata</v>
      </c>
    </row>
    <row r="1198" spans="1:9" x14ac:dyDescent="0.3">
      <c r="A1198">
        <v>21197</v>
      </c>
      <c r="B1198">
        <v>231</v>
      </c>
      <c r="C1198" s="2">
        <v>45261</v>
      </c>
      <c r="D1198" s="2" t="str">
        <f>TEXT(Table4[[#This Row],[issue_date]],"mmmm")</f>
        <v>December</v>
      </c>
      <c r="E1198" s="9">
        <f>YEAR(Table4[[#This Row],[issue_date]])</f>
        <v>2023</v>
      </c>
      <c r="F1198" t="s">
        <v>19</v>
      </c>
      <c r="G1198">
        <v>26</v>
      </c>
      <c r="H1198" t="s">
        <v>20</v>
      </c>
      <c r="I1198" t="str">
        <f>VLOOKUP(Table4[[#This Row],[customer_id]],customers!A:G,4,)</f>
        <v>delhi</v>
      </c>
    </row>
    <row r="1199" spans="1:9" x14ac:dyDescent="0.3">
      <c r="A1199">
        <v>21198</v>
      </c>
      <c r="B1199">
        <v>170</v>
      </c>
      <c r="C1199" s="2">
        <v>45197</v>
      </c>
      <c r="D1199" s="2" t="str">
        <f>TEXT(Table4[[#This Row],[issue_date]],"mmmm")</f>
        <v>September</v>
      </c>
      <c r="E1199" s="9">
        <f>YEAR(Table4[[#This Row],[issue_date]])</f>
        <v>2023</v>
      </c>
      <c r="F1199" t="s">
        <v>22</v>
      </c>
      <c r="G1199">
        <v>25</v>
      </c>
      <c r="H1199" t="s">
        <v>20</v>
      </c>
      <c r="I1199" t="str">
        <f>VLOOKUP(Table4[[#This Row],[customer_id]],customers!A:G,4,)</f>
        <v>delhi</v>
      </c>
    </row>
    <row r="1200" spans="1:9" x14ac:dyDescent="0.3">
      <c r="A1200">
        <v>21199</v>
      </c>
      <c r="B1200">
        <v>482</v>
      </c>
      <c r="C1200" s="2">
        <v>44598</v>
      </c>
      <c r="D1200" s="2" t="str">
        <f>TEXT(Table4[[#This Row],[issue_date]],"mmmm")</f>
        <v>February</v>
      </c>
      <c r="E1200" s="9">
        <f>YEAR(Table4[[#This Row],[issue_date]])</f>
        <v>2022</v>
      </c>
      <c r="F1200" t="s">
        <v>19</v>
      </c>
      <c r="G1200">
        <v>15</v>
      </c>
      <c r="H1200" t="s">
        <v>20</v>
      </c>
      <c r="I1200" t="str">
        <f>VLOOKUP(Table4[[#This Row],[customer_id]],customers!A:G,4,)</f>
        <v>mumbai</v>
      </c>
    </row>
    <row r="1201" spans="1:9" x14ac:dyDescent="0.3">
      <c r="A1201">
        <v>21200</v>
      </c>
      <c r="B1201">
        <v>333</v>
      </c>
      <c r="C1201" s="2">
        <v>45222</v>
      </c>
      <c r="D1201" s="2" t="str">
        <f>TEXT(Table4[[#This Row],[issue_date]],"mmmm")</f>
        <v>October</v>
      </c>
      <c r="E1201" s="9">
        <f>YEAR(Table4[[#This Row],[issue_date]])</f>
        <v>2023</v>
      </c>
      <c r="F1201" t="s">
        <v>19</v>
      </c>
      <c r="G1201">
        <v>21</v>
      </c>
      <c r="H1201" t="s">
        <v>20</v>
      </c>
      <c r="I1201" t="str">
        <f>VLOOKUP(Table4[[#This Row],[customer_id]],customers!A:G,4,)</f>
        <v>bangalore</v>
      </c>
    </row>
    <row r="1202" spans="1:9" x14ac:dyDescent="0.3">
      <c r="A1202">
        <v>21201</v>
      </c>
      <c r="B1202">
        <v>157</v>
      </c>
      <c r="C1202" s="2">
        <v>44667</v>
      </c>
      <c r="D1202" s="2" t="str">
        <f>TEXT(Table4[[#This Row],[issue_date]],"mmmm")</f>
        <v>April</v>
      </c>
      <c r="E1202" s="9">
        <f>YEAR(Table4[[#This Row],[issue_date]])</f>
        <v>2022</v>
      </c>
      <c r="F1202" t="s">
        <v>19</v>
      </c>
      <c r="G1202">
        <v>47</v>
      </c>
      <c r="H1202" t="s">
        <v>20</v>
      </c>
      <c r="I1202" t="str">
        <f>VLOOKUP(Table4[[#This Row],[customer_id]],customers!A:G,4,)</f>
        <v>chennai</v>
      </c>
    </row>
    <row r="1203" spans="1:9" x14ac:dyDescent="0.3">
      <c r="A1203">
        <v>21202</v>
      </c>
      <c r="B1203">
        <v>419</v>
      </c>
      <c r="C1203" s="2">
        <v>45176</v>
      </c>
      <c r="D1203" s="2" t="str">
        <f>TEXT(Table4[[#This Row],[issue_date]],"mmmm")</f>
        <v>September</v>
      </c>
      <c r="E1203" s="9">
        <f>YEAR(Table4[[#This Row],[issue_date]])</f>
        <v>2023</v>
      </c>
      <c r="F1203" t="s">
        <v>19</v>
      </c>
      <c r="G1203">
        <v>35</v>
      </c>
      <c r="H1203" t="s">
        <v>20</v>
      </c>
      <c r="I1203" t="str">
        <f>VLOOKUP(Table4[[#This Row],[customer_id]],customers!A:G,4,)</f>
        <v>kolkata</v>
      </c>
    </row>
    <row r="1204" spans="1:9" x14ac:dyDescent="0.3">
      <c r="A1204">
        <v>21203</v>
      </c>
      <c r="B1204">
        <v>429</v>
      </c>
      <c r="C1204" s="2">
        <v>45450</v>
      </c>
      <c r="D1204" s="2" t="str">
        <f>TEXT(Table4[[#This Row],[issue_date]],"mmmm")</f>
        <v>June</v>
      </c>
      <c r="E1204" s="9">
        <f>YEAR(Table4[[#This Row],[issue_date]])</f>
        <v>2024</v>
      </c>
      <c r="F1204" t="s">
        <v>19</v>
      </c>
      <c r="G1204">
        <v>44</v>
      </c>
      <c r="H1204" t="s">
        <v>20</v>
      </c>
      <c r="I1204" t="str">
        <f>VLOOKUP(Table4[[#This Row],[customer_id]],customers!A:G,4,)</f>
        <v>hyderabad</v>
      </c>
    </row>
    <row r="1205" spans="1:9" x14ac:dyDescent="0.3">
      <c r="A1205">
        <v>21204</v>
      </c>
      <c r="B1205">
        <v>458</v>
      </c>
      <c r="C1205" s="2">
        <v>44793</v>
      </c>
      <c r="D1205" s="2" t="str">
        <f>TEXT(Table4[[#This Row],[issue_date]],"mmmm")</f>
        <v>August</v>
      </c>
      <c r="E1205" s="9">
        <f>YEAR(Table4[[#This Row],[issue_date]])</f>
        <v>2022</v>
      </c>
      <c r="F1205" t="s">
        <v>19</v>
      </c>
      <c r="G1205">
        <v>6</v>
      </c>
      <c r="H1205" t="s">
        <v>23</v>
      </c>
      <c r="I1205" t="str">
        <f>VLOOKUP(Table4[[#This Row],[customer_id]],customers!A:G,4,)</f>
        <v>hyderabad</v>
      </c>
    </row>
    <row r="1206" spans="1:9" x14ac:dyDescent="0.3">
      <c r="A1206">
        <v>21205</v>
      </c>
      <c r="B1206">
        <v>222</v>
      </c>
      <c r="C1206" s="2">
        <v>45428</v>
      </c>
      <c r="D1206" s="2" t="str">
        <f>TEXT(Table4[[#This Row],[issue_date]],"mmmm")</f>
        <v>May</v>
      </c>
      <c r="E1206" s="9">
        <f>YEAR(Table4[[#This Row],[issue_date]])</f>
        <v>2024</v>
      </c>
      <c r="F1206" t="s">
        <v>22</v>
      </c>
      <c r="G1206">
        <v>23</v>
      </c>
      <c r="H1206" t="s">
        <v>20</v>
      </c>
      <c r="I1206" t="str">
        <f>VLOOKUP(Table4[[#This Row],[customer_id]],customers!A:G,4,)</f>
        <v>bangalore</v>
      </c>
    </row>
    <row r="1207" spans="1:9" x14ac:dyDescent="0.3">
      <c r="A1207">
        <v>21206</v>
      </c>
      <c r="B1207">
        <v>364</v>
      </c>
      <c r="C1207" s="2">
        <v>44707</v>
      </c>
      <c r="D1207" s="2" t="str">
        <f>TEXT(Table4[[#This Row],[issue_date]],"mmmm")</f>
        <v>May</v>
      </c>
      <c r="E1207" s="9">
        <f>YEAR(Table4[[#This Row],[issue_date]])</f>
        <v>2022</v>
      </c>
      <c r="F1207" t="s">
        <v>22</v>
      </c>
      <c r="G1207">
        <v>39</v>
      </c>
      <c r="H1207" t="s">
        <v>20</v>
      </c>
      <c r="I1207" t="str">
        <f>VLOOKUP(Table4[[#This Row],[customer_id]],customers!A:G,4,)</f>
        <v>delhi</v>
      </c>
    </row>
    <row r="1208" spans="1:9" x14ac:dyDescent="0.3">
      <c r="A1208">
        <v>21207</v>
      </c>
      <c r="B1208">
        <v>346</v>
      </c>
      <c r="C1208" s="2">
        <v>44578</v>
      </c>
      <c r="D1208" s="2" t="str">
        <f>TEXT(Table4[[#This Row],[issue_date]],"mmmm")</f>
        <v>January</v>
      </c>
      <c r="E1208" s="9">
        <f>YEAR(Table4[[#This Row],[issue_date]])</f>
        <v>2022</v>
      </c>
      <c r="F1208" t="s">
        <v>19</v>
      </c>
      <c r="G1208">
        <v>18</v>
      </c>
      <c r="H1208" t="s">
        <v>20</v>
      </c>
      <c r="I1208" t="str">
        <f>VLOOKUP(Table4[[#This Row],[customer_id]],customers!A:G,4,)</f>
        <v>chennai</v>
      </c>
    </row>
    <row r="1209" spans="1:9" x14ac:dyDescent="0.3">
      <c r="A1209">
        <v>21208</v>
      </c>
      <c r="B1209">
        <v>99</v>
      </c>
      <c r="C1209" s="2">
        <v>44720</v>
      </c>
      <c r="D1209" s="2" t="str">
        <f>TEXT(Table4[[#This Row],[issue_date]],"mmmm")</f>
        <v>June</v>
      </c>
      <c r="E1209" s="9">
        <f>YEAR(Table4[[#This Row],[issue_date]])</f>
        <v>2022</v>
      </c>
      <c r="F1209" t="s">
        <v>22</v>
      </c>
      <c r="G1209">
        <v>40</v>
      </c>
      <c r="H1209" t="s">
        <v>20</v>
      </c>
      <c r="I1209" t="str">
        <f>VLOOKUP(Table4[[#This Row],[customer_id]],customers!A:G,4,)</f>
        <v>hyderabad</v>
      </c>
    </row>
    <row r="1210" spans="1:9" x14ac:dyDescent="0.3">
      <c r="A1210">
        <v>21209</v>
      </c>
      <c r="B1210">
        <v>220</v>
      </c>
      <c r="C1210" s="2">
        <v>45377</v>
      </c>
      <c r="D1210" s="2" t="str">
        <f>TEXT(Table4[[#This Row],[issue_date]],"mmmm")</f>
        <v>March</v>
      </c>
      <c r="E1210" s="9">
        <f>YEAR(Table4[[#This Row],[issue_date]])</f>
        <v>2024</v>
      </c>
      <c r="F1210" t="s">
        <v>21</v>
      </c>
      <c r="G1210">
        <v>36</v>
      </c>
      <c r="H1210" t="s">
        <v>20</v>
      </c>
      <c r="I1210" t="str">
        <f>VLOOKUP(Table4[[#This Row],[customer_id]],customers!A:G,4,)</f>
        <v>bangalore</v>
      </c>
    </row>
    <row r="1211" spans="1:9" x14ac:dyDescent="0.3">
      <c r="A1211">
        <v>21210</v>
      </c>
      <c r="B1211">
        <v>413</v>
      </c>
      <c r="C1211" s="2">
        <v>44843</v>
      </c>
      <c r="D1211" s="2" t="str">
        <f>TEXT(Table4[[#This Row],[issue_date]],"mmmm")</f>
        <v>October</v>
      </c>
      <c r="E1211" s="9">
        <f>YEAR(Table4[[#This Row],[issue_date]])</f>
        <v>2022</v>
      </c>
      <c r="F1211" t="s">
        <v>22</v>
      </c>
      <c r="G1211">
        <v>28</v>
      </c>
      <c r="H1211" t="s">
        <v>20</v>
      </c>
      <c r="I1211" t="str">
        <f>VLOOKUP(Table4[[#This Row],[customer_id]],customers!A:G,4,)</f>
        <v>kolkata</v>
      </c>
    </row>
    <row r="1212" spans="1:9" x14ac:dyDescent="0.3">
      <c r="A1212">
        <v>21211</v>
      </c>
      <c r="B1212">
        <v>244</v>
      </c>
      <c r="C1212" s="2">
        <v>44839</v>
      </c>
      <c r="D1212" s="2" t="str">
        <f>TEXT(Table4[[#This Row],[issue_date]],"mmmm")</f>
        <v>October</v>
      </c>
      <c r="E1212" s="9">
        <f>YEAR(Table4[[#This Row],[issue_date]])</f>
        <v>2022</v>
      </c>
      <c r="F1212" t="s">
        <v>21</v>
      </c>
      <c r="G1212">
        <v>64</v>
      </c>
      <c r="H1212" t="s">
        <v>20</v>
      </c>
      <c r="I1212" t="str">
        <f>VLOOKUP(Table4[[#This Row],[customer_id]],customers!A:G,4,)</f>
        <v>bangalore</v>
      </c>
    </row>
    <row r="1213" spans="1:9" x14ac:dyDescent="0.3">
      <c r="A1213">
        <v>21212</v>
      </c>
      <c r="B1213">
        <v>454</v>
      </c>
      <c r="C1213" s="2">
        <v>44686</v>
      </c>
      <c r="D1213" s="2" t="str">
        <f>TEXT(Table4[[#This Row],[issue_date]],"mmmm")</f>
        <v>May</v>
      </c>
      <c r="E1213" s="9">
        <f>YEAR(Table4[[#This Row],[issue_date]])</f>
        <v>2022</v>
      </c>
      <c r="F1213" t="s">
        <v>19</v>
      </c>
      <c r="G1213">
        <v>58</v>
      </c>
      <c r="H1213" t="s">
        <v>20</v>
      </c>
      <c r="I1213" t="str">
        <f>VLOOKUP(Table4[[#This Row],[customer_id]],customers!A:G,4,)</f>
        <v>chennai</v>
      </c>
    </row>
    <row r="1214" spans="1:9" x14ac:dyDescent="0.3">
      <c r="A1214">
        <v>21213</v>
      </c>
      <c r="B1214">
        <v>259</v>
      </c>
      <c r="C1214" s="2">
        <v>45246</v>
      </c>
      <c r="D1214" s="2" t="str">
        <f>TEXT(Table4[[#This Row],[issue_date]],"mmmm")</f>
        <v>November</v>
      </c>
      <c r="E1214" s="9">
        <f>YEAR(Table4[[#This Row],[issue_date]])</f>
        <v>2023</v>
      </c>
      <c r="F1214" t="s">
        <v>21</v>
      </c>
      <c r="G1214">
        <v>38</v>
      </c>
      <c r="H1214" t="s">
        <v>20</v>
      </c>
      <c r="I1214" t="str">
        <f>VLOOKUP(Table4[[#This Row],[customer_id]],customers!A:G,4,)</f>
        <v>chennai</v>
      </c>
    </row>
    <row r="1215" spans="1:9" x14ac:dyDescent="0.3">
      <c r="A1215">
        <v>21214</v>
      </c>
      <c r="B1215">
        <v>477</v>
      </c>
      <c r="C1215" s="2">
        <v>44981</v>
      </c>
      <c r="D1215" s="2" t="str">
        <f>TEXT(Table4[[#This Row],[issue_date]],"mmmm")</f>
        <v>February</v>
      </c>
      <c r="E1215" s="9">
        <f>YEAR(Table4[[#This Row],[issue_date]])</f>
        <v>2023</v>
      </c>
      <c r="F1215" t="s">
        <v>19</v>
      </c>
      <c r="G1215">
        <v>44</v>
      </c>
      <c r="H1215" t="s">
        <v>20</v>
      </c>
      <c r="I1215" t="str">
        <f>VLOOKUP(Table4[[#This Row],[customer_id]],customers!A:G,4,)</f>
        <v>delhi</v>
      </c>
    </row>
    <row r="1216" spans="1:9" x14ac:dyDescent="0.3">
      <c r="A1216">
        <v>21215</v>
      </c>
      <c r="B1216">
        <v>441</v>
      </c>
      <c r="C1216" s="2">
        <v>44881</v>
      </c>
      <c r="D1216" s="2" t="str">
        <f>TEXT(Table4[[#This Row],[issue_date]],"mmmm")</f>
        <v>November</v>
      </c>
      <c r="E1216" s="9">
        <f>YEAR(Table4[[#This Row],[issue_date]])</f>
        <v>2022</v>
      </c>
      <c r="F1216" t="s">
        <v>22</v>
      </c>
      <c r="G1216">
        <v>2</v>
      </c>
      <c r="H1216" t="s">
        <v>20</v>
      </c>
      <c r="I1216" t="str">
        <f>VLOOKUP(Table4[[#This Row],[customer_id]],customers!A:G,4,)</f>
        <v>kolkata</v>
      </c>
    </row>
    <row r="1217" spans="1:9" x14ac:dyDescent="0.3">
      <c r="A1217">
        <v>21216</v>
      </c>
      <c r="B1217">
        <v>194</v>
      </c>
      <c r="C1217" s="2">
        <v>45236</v>
      </c>
      <c r="D1217" s="2" t="str">
        <f>TEXT(Table4[[#This Row],[issue_date]],"mmmm")</f>
        <v>November</v>
      </c>
      <c r="E1217" s="9">
        <f>YEAR(Table4[[#This Row],[issue_date]])</f>
        <v>2023</v>
      </c>
      <c r="F1217" t="s">
        <v>21</v>
      </c>
      <c r="G1217">
        <v>35</v>
      </c>
      <c r="H1217" t="s">
        <v>20</v>
      </c>
      <c r="I1217" t="str">
        <f>VLOOKUP(Table4[[#This Row],[customer_id]],customers!A:G,4,)</f>
        <v>hyderabad</v>
      </c>
    </row>
    <row r="1218" spans="1:9" x14ac:dyDescent="0.3">
      <c r="A1218">
        <v>21217</v>
      </c>
      <c r="B1218">
        <v>375</v>
      </c>
      <c r="C1218" s="2">
        <v>45276</v>
      </c>
      <c r="D1218" s="2" t="str">
        <f>TEXT(Table4[[#This Row],[issue_date]],"mmmm")</f>
        <v>December</v>
      </c>
      <c r="E1218" s="9">
        <f>YEAR(Table4[[#This Row],[issue_date]])</f>
        <v>2023</v>
      </c>
      <c r="F1218" t="s">
        <v>21</v>
      </c>
      <c r="G1218">
        <v>1</v>
      </c>
      <c r="H1218" t="s">
        <v>20</v>
      </c>
      <c r="I1218" t="str">
        <f>VLOOKUP(Table4[[#This Row],[customer_id]],customers!A:G,4,)</f>
        <v>mumbai</v>
      </c>
    </row>
    <row r="1219" spans="1:9" x14ac:dyDescent="0.3">
      <c r="A1219">
        <v>21218</v>
      </c>
      <c r="B1219">
        <v>150</v>
      </c>
      <c r="C1219" s="2">
        <v>45043</v>
      </c>
      <c r="D1219" s="2" t="str">
        <f>TEXT(Table4[[#This Row],[issue_date]],"mmmm")</f>
        <v>April</v>
      </c>
      <c r="E1219" s="9">
        <f>YEAR(Table4[[#This Row],[issue_date]])</f>
        <v>2023</v>
      </c>
      <c r="F1219" t="s">
        <v>21</v>
      </c>
      <c r="G1219">
        <v>46</v>
      </c>
      <c r="H1219" t="s">
        <v>23</v>
      </c>
      <c r="I1219" t="str">
        <f>VLOOKUP(Table4[[#This Row],[customer_id]],customers!A:G,4,)</f>
        <v>bangalore</v>
      </c>
    </row>
    <row r="1220" spans="1:9" x14ac:dyDescent="0.3">
      <c r="A1220">
        <v>21219</v>
      </c>
      <c r="B1220">
        <v>494</v>
      </c>
      <c r="C1220" s="2">
        <v>45411</v>
      </c>
      <c r="D1220" s="2" t="str">
        <f>TEXT(Table4[[#This Row],[issue_date]],"mmmm")</f>
        <v>April</v>
      </c>
      <c r="E1220" s="9">
        <f>YEAR(Table4[[#This Row],[issue_date]])</f>
        <v>2024</v>
      </c>
      <c r="F1220" t="s">
        <v>19</v>
      </c>
      <c r="G1220">
        <v>60</v>
      </c>
      <c r="H1220" t="s">
        <v>20</v>
      </c>
      <c r="I1220" t="str">
        <f>VLOOKUP(Table4[[#This Row],[customer_id]],customers!A:G,4,)</f>
        <v>chennai</v>
      </c>
    </row>
    <row r="1221" spans="1:9" x14ac:dyDescent="0.3">
      <c r="A1221">
        <v>21220</v>
      </c>
      <c r="B1221">
        <v>367</v>
      </c>
      <c r="C1221" s="2">
        <v>45228</v>
      </c>
      <c r="D1221" s="2" t="str">
        <f>TEXT(Table4[[#This Row],[issue_date]],"mmmm")</f>
        <v>October</v>
      </c>
      <c r="E1221" s="9">
        <f>YEAR(Table4[[#This Row],[issue_date]])</f>
        <v>2023</v>
      </c>
      <c r="F1221" t="s">
        <v>19</v>
      </c>
      <c r="G1221">
        <v>63</v>
      </c>
      <c r="H1221" t="s">
        <v>20</v>
      </c>
      <c r="I1221" t="str">
        <f>VLOOKUP(Table4[[#This Row],[customer_id]],customers!A:G,4,)</f>
        <v>kolkata</v>
      </c>
    </row>
    <row r="1222" spans="1:9" x14ac:dyDescent="0.3">
      <c r="A1222">
        <v>21221</v>
      </c>
      <c r="B1222">
        <v>498</v>
      </c>
      <c r="C1222" s="2">
        <v>44885</v>
      </c>
      <c r="D1222" s="2" t="str">
        <f>TEXT(Table4[[#This Row],[issue_date]],"mmmm")</f>
        <v>November</v>
      </c>
      <c r="E1222" s="9">
        <f>YEAR(Table4[[#This Row],[issue_date]])</f>
        <v>2022</v>
      </c>
      <c r="F1222" t="s">
        <v>22</v>
      </c>
      <c r="G1222">
        <v>45</v>
      </c>
      <c r="H1222" t="s">
        <v>20</v>
      </c>
      <c r="I1222" t="str">
        <f>VLOOKUP(Table4[[#This Row],[customer_id]],customers!A:G,4,)</f>
        <v>delhi</v>
      </c>
    </row>
    <row r="1223" spans="1:9" x14ac:dyDescent="0.3">
      <c r="A1223">
        <v>21222</v>
      </c>
      <c r="B1223">
        <v>155</v>
      </c>
      <c r="C1223" s="2">
        <v>44956</v>
      </c>
      <c r="D1223" s="2" t="str">
        <f>TEXT(Table4[[#This Row],[issue_date]],"mmmm")</f>
        <v>January</v>
      </c>
      <c r="E1223" s="9">
        <f>YEAR(Table4[[#This Row],[issue_date]])</f>
        <v>2023</v>
      </c>
      <c r="F1223" t="s">
        <v>22</v>
      </c>
      <c r="G1223">
        <v>57</v>
      </c>
      <c r="H1223" t="s">
        <v>20</v>
      </c>
      <c r="I1223" t="str">
        <f>VLOOKUP(Table4[[#This Row],[customer_id]],customers!A:G,4,)</f>
        <v>mumbai</v>
      </c>
    </row>
    <row r="1224" spans="1:9" x14ac:dyDescent="0.3">
      <c r="A1224">
        <v>21223</v>
      </c>
      <c r="B1224">
        <v>499</v>
      </c>
      <c r="C1224" s="2">
        <v>45334</v>
      </c>
      <c r="D1224" s="2" t="str">
        <f>TEXT(Table4[[#This Row],[issue_date]],"mmmm")</f>
        <v>February</v>
      </c>
      <c r="E1224" s="9">
        <f>YEAR(Table4[[#This Row],[issue_date]])</f>
        <v>2024</v>
      </c>
      <c r="F1224" t="s">
        <v>19</v>
      </c>
      <c r="G1224">
        <v>37</v>
      </c>
      <c r="H1224" t="s">
        <v>20</v>
      </c>
      <c r="I1224" t="str">
        <f>VLOOKUP(Table4[[#This Row],[customer_id]],customers!A:G,4,)</f>
        <v>delhi</v>
      </c>
    </row>
    <row r="1225" spans="1:9" x14ac:dyDescent="0.3">
      <c r="A1225">
        <v>21224</v>
      </c>
      <c r="B1225">
        <v>22</v>
      </c>
      <c r="C1225" s="2">
        <v>44747</v>
      </c>
      <c r="D1225" s="2" t="str">
        <f>TEXT(Table4[[#This Row],[issue_date]],"mmmm")</f>
        <v>July</v>
      </c>
      <c r="E1225" s="9">
        <f>YEAR(Table4[[#This Row],[issue_date]])</f>
        <v>2022</v>
      </c>
      <c r="F1225" t="s">
        <v>22</v>
      </c>
      <c r="G1225">
        <v>7</v>
      </c>
      <c r="H1225" t="s">
        <v>20</v>
      </c>
      <c r="I1225" t="str">
        <f>VLOOKUP(Table4[[#This Row],[customer_id]],customers!A:G,4,)</f>
        <v>hyderabad</v>
      </c>
    </row>
    <row r="1226" spans="1:9" x14ac:dyDescent="0.3">
      <c r="A1226">
        <v>21225</v>
      </c>
      <c r="B1226">
        <v>458</v>
      </c>
      <c r="C1226" s="2">
        <v>45450</v>
      </c>
      <c r="D1226" s="2" t="str">
        <f>TEXT(Table4[[#This Row],[issue_date]],"mmmm")</f>
        <v>June</v>
      </c>
      <c r="E1226" s="9">
        <f>YEAR(Table4[[#This Row],[issue_date]])</f>
        <v>2024</v>
      </c>
      <c r="F1226" t="s">
        <v>21</v>
      </c>
      <c r="G1226">
        <v>16</v>
      </c>
      <c r="H1226" t="s">
        <v>20</v>
      </c>
      <c r="I1226" t="str">
        <f>VLOOKUP(Table4[[#This Row],[customer_id]],customers!A:G,4,)</f>
        <v>hyderabad</v>
      </c>
    </row>
    <row r="1227" spans="1:9" x14ac:dyDescent="0.3">
      <c r="A1227">
        <v>21226</v>
      </c>
      <c r="B1227">
        <v>116</v>
      </c>
      <c r="C1227" s="2">
        <v>45027</v>
      </c>
      <c r="D1227" s="2" t="str">
        <f>TEXT(Table4[[#This Row],[issue_date]],"mmmm")</f>
        <v>April</v>
      </c>
      <c r="E1227" s="9">
        <f>YEAR(Table4[[#This Row],[issue_date]])</f>
        <v>2023</v>
      </c>
      <c r="F1227" t="s">
        <v>21</v>
      </c>
      <c r="G1227">
        <v>50</v>
      </c>
      <c r="H1227" t="s">
        <v>20</v>
      </c>
      <c r="I1227" t="str">
        <f>VLOOKUP(Table4[[#This Row],[customer_id]],customers!A:G,4,)</f>
        <v>chennai</v>
      </c>
    </row>
    <row r="1228" spans="1:9" x14ac:dyDescent="0.3">
      <c r="A1228">
        <v>21227</v>
      </c>
      <c r="B1228">
        <v>113</v>
      </c>
      <c r="C1228" s="2">
        <v>44618</v>
      </c>
      <c r="D1228" s="2" t="str">
        <f>TEXT(Table4[[#This Row],[issue_date]],"mmmm")</f>
        <v>February</v>
      </c>
      <c r="E1228" s="9">
        <f>YEAR(Table4[[#This Row],[issue_date]])</f>
        <v>2022</v>
      </c>
      <c r="F1228" t="s">
        <v>21</v>
      </c>
      <c r="G1228">
        <v>14</v>
      </c>
      <c r="H1228" t="s">
        <v>20</v>
      </c>
      <c r="I1228" t="str">
        <f>VLOOKUP(Table4[[#This Row],[customer_id]],customers!A:G,4,)</f>
        <v>kolkata</v>
      </c>
    </row>
    <row r="1229" spans="1:9" x14ac:dyDescent="0.3">
      <c r="A1229">
        <v>21228</v>
      </c>
      <c r="B1229">
        <v>433</v>
      </c>
      <c r="C1229" s="2">
        <v>45290</v>
      </c>
      <c r="D1229" s="2" t="str">
        <f>TEXT(Table4[[#This Row],[issue_date]],"mmmm")</f>
        <v>December</v>
      </c>
      <c r="E1229" s="9">
        <f>YEAR(Table4[[#This Row],[issue_date]])</f>
        <v>2023</v>
      </c>
      <c r="F1229" t="s">
        <v>22</v>
      </c>
      <c r="G1229">
        <v>6</v>
      </c>
      <c r="H1229" t="s">
        <v>20</v>
      </c>
      <c r="I1229" t="str">
        <f>VLOOKUP(Table4[[#This Row],[customer_id]],customers!A:G,4,)</f>
        <v>chennai</v>
      </c>
    </row>
    <row r="1230" spans="1:9" x14ac:dyDescent="0.3">
      <c r="A1230">
        <v>21229</v>
      </c>
      <c r="B1230">
        <v>211</v>
      </c>
      <c r="C1230" s="2">
        <v>45019</v>
      </c>
      <c r="D1230" s="2" t="str">
        <f>TEXT(Table4[[#This Row],[issue_date]],"mmmm")</f>
        <v>April</v>
      </c>
      <c r="E1230" s="9">
        <f>YEAR(Table4[[#This Row],[issue_date]])</f>
        <v>2023</v>
      </c>
      <c r="F1230" t="s">
        <v>21</v>
      </c>
      <c r="G1230">
        <v>61</v>
      </c>
      <c r="H1230" t="s">
        <v>20</v>
      </c>
      <c r="I1230" t="str">
        <f>VLOOKUP(Table4[[#This Row],[customer_id]],customers!A:G,4,)</f>
        <v>hyderabad</v>
      </c>
    </row>
    <row r="1231" spans="1:9" x14ac:dyDescent="0.3">
      <c r="A1231">
        <v>21230</v>
      </c>
      <c r="B1231">
        <v>24</v>
      </c>
      <c r="C1231" s="2">
        <v>44769</v>
      </c>
      <c r="D1231" s="2" t="str">
        <f>TEXT(Table4[[#This Row],[issue_date]],"mmmm")</f>
        <v>July</v>
      </c>
      <c r="E1231" s="9">
        <f>YEAR(Table4[[#This Row],[issue_date]])</f>
        <v>2022</v>
      </c>
      <c r="F1231" t="s">
        <v>21</v>
      </c>
      <c r="G1231">
        <v>21</v>
      </c>
      <c r="H1231" t="s">
        <v>20</v>
      </c>
      <c r="I1231" t="str">
        <f>VLOOKUP(Table4[[#This Row],[customer_id]],customers!A:G,4,)</f>
        <v>kolkata</v>
      </c>
    </row>
    <row r="1232" spans="1:9" x14ac:dyDescent="0.3">
      <c r="A1232">
        <v>21231</v>
      </c>
      <c r="B1232">
        <v>283</v>
      </c>
      <c r="C1232" s="2">
        <v>45275</v>
      </c>
      <c r="D1232" s="2" t="str">
        <f>TEXT(Table4[[#This Row],[issue_date]],"mmmm")</f>
        <v>December</v>
      </c>
      <c r="E1232" s="9">
        <f>YEAR(Table4[[#This Row],[issue_date]])</f>
        <v>2023</v>
      </c>
      <c r="F1232" t="s">
        <v>19</v>
      </c>
      <c r="G1232">
        <v>10</v>
      </c>
      <c r="H1232" t="s">
        <v>20</v>
      </c>
      <c r="I1232" t="str">
        <f>VLOOKUP(Table4[[#This Row],[customer_id]],customers!A:G,4,)</f>
        <v>hyderabad</v>
      </c>
    </row>
    <row r="1233" spans="1:9" x14ac:dyDescent="0.3">
      <c r="A1233">
        <v>21232</v>
      </c>
      <c r="B1233">
        <v>292</v>
      </c>
      <c r="C1233" s="2">
        <v>44635</v>
      </c>
      <c r="D1233" s="2" t="str">
        <f>TEXT(Table4[[#This Row],[issue_date]],"mmmm")</f>
        <v>March</v>
      </c>
      <c r="E1233" s="9">
        <f>YEAR(Table4[[#This Row],[issue_date]])</f>
        <v>2022</v>
      </c>
      <c r="F1233" t="s">
        <v>19</v>
      </c>
      <c r="G1233">
        <v>32</v>
      </c>
      <c r="H1233" t="s">
        <v>20</v>
      </c>
      <c r="I1233" t="str">
        <f>VLOOKUP(Table4[[#This Row],[customer_id]],customers!A:G,4,)</f>
        <v>delhi</v>
      </c>
    </row>
    <row r="1234" spans="1:9" x14ac:dyDescent="0.3">
      <c r="A1234">
        <v>21233</v>
      </c>
      <c r="B1234">
        <v>363</v>
      </c>
      <c r="C1234" s="2">
        <v>45045</v>
      </c>
      <c r="D1234" s="2" t="str">
        <f>TEXT(Table4[[#This Row],[issue_date]],"mmmm")</f>
        <v>April</v>
      </c>
      <c r="E1234" s="9">
        <f>YEAR(Table4[[#This Row],[issue_date]])</f>
        <v>2023</v>
      </c>
      <c r="F1234" t="s">
        <v>22</v>
      </c>
      <c r="G1234">
        <v>6</v>
      </c>
      <c r="H1234" t="s">
        <v>20</v>
      </c>
      <c r="I1234" t="str">
        <f>VLOOKUP(Table4[[#This Row],[customer_id]],customers!A:G,4,)</f>
        <v>delhi</v>
      </c>
    </row>
    <row r="1235" spans="1:9" x14ac:dyDescent="0.3">
      <c r="A1235">
        <v>21234</v>
      </c>
      <c r="B1235">
        <v>401</v>
      </c>
      <c r="C1235" s="2">
        <v>44646</v>
      </c>
      <c r="D1235" s="2" t="str">
        <f>TEXT(Table4[[#This Row],[issue_date]],"mmmm")</f>
        <v>March</v>
      </c>
      <c r="E1235" s="9">
        <f>YEAR(Table4[[#This Row],[issue_date]])</f>
        <v>2022</v>
      </c>
      <c r="F1235" t="s">
        <v>19</v>
      </c>
      <c r="G1235">
        <v>2</v>
      </c>
      <c r="H1235" t="s">
        <v>20</v>
      </c>
      <c r="I1235" t="str">
        <f>VLOOKUP(Table4[[#This Row],[customer_id]],customers!A:G,4,)</f>
        <v>chennai</v>
      </c>
    </row>
    <row r="1236" spans="1:9" x14ac:dyDescent="0.3">
      <c r="A1236">
        <v>21235</v>
      </c>
      <c r="B1236">
        <v>56</v>
      </c>
      <c r="C1236" s="2">
        <v>45193</v>
      </c>
      <c r="D1236" s="2" t="str">
        <f>TEXT(Table4[[#This Row],[issue_date]],"mmmm")</f>
        <v>September</v>
      </c>
      <c r="E1236" s="9">
        <f>YEAR(Table4[[#This Row],[issue_date]])</f>
        <v>2023</v>
      </c>
      <c r="F1236" t="s">
        <v>22</v>
      </c>
      <c r="G1236">
        <v>39</v>
      </c>
      <c r="H1236" t="s">
        <v>20</v>
      </c>
      <c r="I1236" t="str">
        <f>VLOOKUP(Table4[[#This Row],[customer_id]],customers!A:G,4,)</f>
        <v>chennai</v>
      </c>
    </row>
    <row r="1237" spans="1:9" x14ac:dyDescent="0.3">
      <c r="A1237">
        <v>21236</v>
      </c>
      <c r="B1237">
        <v>266</v>
      </c>
      <c r="C1237" s="2">
        <v>44575</v>
      </c>
      <c r="D1237" s="2" t="str">
        <f>TEXT(Table4[[#This Row],[issue_date]],"mmmm")</f>
        <v>January</v>
      </c>
      <c r="E1237" s="9">
        <f>YEAR(Table4[[#This Row],[issue_date]])</f>
        <v>2022</v>
      </c>
      <c r="F1237" t="s">
        <v>22</v>
      </c>
      <c r="G1237">
        <v>49</v>
      </c>
      <c r="H1237" t="s">
        <v>20</v>
      </c>
      <c r="I1237" t="str">
        <f>VLOOKUP(Table4[[#This Row],[customer_id]],customers!A:G,4,)</f>
        <v>chennai</v>
      </c>
    </row>
    <row r="1238" spans="1:9" x14ac:dyDescent="0.3">
      <c r="A1238">
        <v>21237</v>
      </c>
      <c r="B1238">
        <v>54</v>
      </c>
      <c r="C1238" s="2">
        <v>45401</v>
      </c>
      <c r="D1238" s="2" t="str">
        <f>TEXT(Table4[[#This Row],[issue_date]],"mmmm")</f>
        <v>April</v>
      </c>
      <c r="E1238" s="9">
        <f>YEAR(Table4[[#This Row],[issue_date]])</f>
        <v>2024</v>
      </c>
      <c r="F1238" t="s">
        <v>19</v>
      </c>
      <c r="G1238">
        <v>27</v>
      </c>
      <c r="H1238" t="s">
        <v>20</v>
      </c>
      <c r="I1238" t="str">
        <f>VLOOKUP(Table4[[#This Row],[customer_id]],customers!A:G,4,)</f>
        <v>bangalore</v>
      </c>
    </row>
    <row r="1239" spans="1:9" x14ac:dyDescent="0.3">
      <c r="A1239">
        <v>21238</v>
      </c>
      <c r="B1239">
        <v>337</v>
      </c>
      <c r="C1239" s="2">
        <v>45202</v>
      </c>
      <c r="D1239" s="2" t="str">
        <f>TEXT(Table4[[#This Row],[issue_date]],"mmmm")</f>
        <v>October</v>
      </c>
      <c r="E1239" s="9">
        <f>YEAR(Table4[[#This Row],[issue_date]])</f>
        <v>2023</v>
      </c>
      <c r="F1239" t="s">
        <v>19</v>
      </c>
      <c r="G1239">
        <v>56</v>
      </c>
      <c r="H1239" t="s">
        <v>23</v>
      </c>
      <c r="I1239" t="str">
        <f>VLOOKUP(Table4[[#This Row],[customer_id]],customers!A:G,4,)</f>
        <v>mumbai</v>
      </c>
    </row>
    <row r="1240" spans="1:9" x14ac:dyDescent="0.3">
      <c r="A1240">
        <v>21239</v>
      </c>
      <c r="B1240">
        <v>108</v>
      </c>
      <c r="C1240" s="2">
        <v>45355</v>
      </c>
      <c r="D1240" s="2" t="str">
        <f>TEXT(Table4[[#This Row],[issue_date]],"mmmm")</f>
        <v>March</v>
      </c>
      <c r="E1240" s="9">
        <f>YEAR(Table4[[#This Row],[issue_date]])</f>
        <v>2024</v>
      </c>
      <c r="F1240" t="s">
        <v>22</v>
      </c>
      <c r="G1240">
        <v>14</v>
      </c>
      <c r="H1240" t="s">
        <v>20</v>
      </c>
      <c r="I1240" t="str">
        <f>VLOOKUP(Table4[[#This Row],[customer_id]],customers!A:G,4,)</f>
        <v>delhi</v>
      </c>
    </row>
    <row r="1241" spans="1:9" x14ac:dyDescent="0.3">
      <c r="A1241">
        <v>21240</v>
      </c>
      <c r="B1241">
        <v>202</v>
      </c>
      <c r="C1241" s="2">
        <v>44610</v>
      </c>
      <c r="D1241" s="2" t="str">
        <f>TEXT(Table4[[#This Row],[issue_date]],"mmmm")</f>
        <v>February</v>
      </c>
      <c r="E1241" s="9">
        <f>YEAR(Table4[[#This Row],[issue_date]])</f>
        <v>2022</v>
      </c>
      <c r="F1241" t="s">
        <v>22</v>
      </c>
      <c r="G1241">
        <v>23</v>
      </c>
      <c r="H1241" t="s">
        <v>20</v>
      </c>
      <c r="I1241" t="str">
        <f>VLOOKUP(Table4[[#This Row],[customer_id]],customers!A:G,4,)</f>
        <v>chennai</v>
      </c>
    </row>
    <row r="1242" spans="1:9" x14ac:dyDescent="0.3">
      <c r="A1242">
        <v>21241</v>
      </c>
      <c r="B1242">
        <v>202</v>
      </c>
      <c r="C1242" s="2">
        <v>44987</v>
      </c>
      <c r="D1242" s="2" t="str">
        <f>TEXT(Table4[[#This Row],[issue_date]],"mmmm")</f>
        <v>March</v>
      </c>
      <c r="E1242" s="9">
        <f>YEAR(Table4[[#This Row],[issue_date]])</f>
        <v>2023</v>
      </c>
      <c r="F1242" t="s">
        <v>22</v>
      </c>
      <c r="G1242">
        <v>51</v>
      </c>
      <c r="H1242" t="s">
        <v>20</v>
      </c>
      <c r="I1242" t="str">
        <f>VLOOKUP(Table4[[#This Row],[customer_id]],customers!A:G,4,)</f>
        <v>chennai</v>
      </c>
    </row>
    <row r="1243" spans="1:9" x14ac:dyDescent="0.3">
      <c r="A1243">
        <v>21242</v>
      </c>
      <c r="B1243">
        <v>422</v>
      </c>
      <c r="C1243" s="2">
        <v>44920</v>
      </c>
      <c r="D1243" s="2" t="str">
        <f>TEXT(Table4[[#This Row],[issue_date]],"mmmm")</f>
        <v>December</v>
      </c>
      <c r="E1243" s="9">
        <f>YEAR(Table4[[#This Row],[issue_date]])</f>
        <v>2022</v>
      </c>
      <c r="F1243" t="s">
        <v>21</v>
      </c>
      <c r="G1243">
        <v>25</v>
      </c>
      <c r="H1243" t="s">
        <v>20</v>
      </c>
      <c r="I1243" t="str">
        <f>VLOOKUP(Table4[[#This Row],[customer_id]],customers!A:G,4,)</f>
        <v>hyderabad</v>
      </c>
    </row>
    <row r="1244" spans="1:9" x14ac:dyDescent="0.3">
      <c r="A1244">
        <v>21243</v>
      </c>
      <c r="B1244">
        <v>337</v>
      </c>
      <c r="C1244" s="2">
        <v>44803</v>
      </c>
      <c r="D1244" s="2" t="str">
        <f>TEXT(Table4[[#This Row],[issue_date]],"mmmm")</f>
        <v>August</v>
      </c>
      <c r="E1244" s="9">
        <f>YEAR(Table4[[#This Row],[issue_date]])</f>
        <v>2022</v>
      </c>
      <c r="F1244" t="s">
        <v>21</v>
      </c>
      <c r="G1244">
        <v>53</v>
      </c>
      <c r="H1244" t="s">
        <v>20</v>
      </c>
      <c r="I1244" t="str">
        <f>VLOOKUP(Table4[[#This Row],[customer_id]],customers!A:G,4,)</f>
        <v>mumbai</v>
      </c>
    </row>
    <row r="1245" spans="1:9" x14ac:dyDescent="0.3">
      <c r="A1245">
        <v>21244</v>
      </c>
      <c r="B1245">
        <v>383</v>
      </c>
      <c r="C1245" s="2">
        <v>45395</v>
      </c>
      <c r="D1245" s="2" t="str">
        <f>TEXT(Table4[[#This Row],[issue_date]],"mmmm")</f>
        <v>April</v>
      </c>
      <c r="E1245" s="9">
        <f>YEAR(Table4[[#This Row],[issue_date]])</f>
        <v>2024</v>
      </c>
      <c r="F1245" t="s">
        <v>19</v>
      </c>
      <c r="G1245">
        <v>11</v>
      </c>
      <c r="H1245" t="s">
        <v>20</v>
      </c>
      <c r="I1245" t="str">
        <f>VLOOKUP(Table4[[#This Row],[customer_id]],customers!A:G,4,)</f>
        <v>kolkata</v>
      </c>
    </row>
    <row r="1246" spans="1:9" x14ac:dyDescent="0.3">
      <c r="A1246">
        <v>21245</v>
      </c>
      <c r="B1246">
        <v>474</v>
      </c>
      <c r="C1246" s="2">
        <v>44614</v>
      </c>
      <c r="D1246" s="2" t="str">
        <f>TEXT(Table4[[#This Row],[issue_date]],"mmmm")</f>
        <v>February</v>
      </c>
      <c r="E1246" s="9">
        <f>YEAR(Table4[[#This Row],[issue_date]])</f>
        <v>2022</v>
      </c>
      <c r="F1246" t="s">
        <v>21</v>
      </c>
      <c r="G1246">
        <v>35</v>
      </c>
      <c r="H1246" t="s">
        <v>20</v>
      </c>
      <c r="I1246" t="str">
        <f>VLOOKUP(Table4[[#This Row],[customer_id]],customers!A:G,4,)</f>
        <v>hyderabad</v>
      </c>
    </row>
    <row r="1247" spans="1:9" x14ac:dyDescent="0.3">
      <c r="A1247">
        <v>21246</v>
      </c>
      <c r="B1247">
        <v>218</v>
      </c>
      <c r="C1247" s="2">
        <v>45338</v>
      </c>
      <c r="D1247" s="2" t="str">
        <f>TEXT(Table4[[#This Row],[issue_date]],"mmmm")</f>
        <v>February</v>
      </c>
      <c r="E1247" s="9">
        <f>YEAR(Table4[[#This Row],[issue_date]])</f>
        <v>2024</v>
      </c>
      <c r="F1247" t="s">
        <v>21</v>
      </c>
      <c r="G1247">
        <v>55</v>
      </c>
      <c r="H1247" t="s">
        <v>20</v>
      </c>
      <c r="I1247" t="str">
        <f>VLOOKUP(Table4[[#This Row],[customer_id]],customers!A:G,4,)</f>
        <v>delhi</v>
      </c>
    </row>
    <row r="1248" spans="1:9" x14ac:dyDescent="0.3">
      <c r="A1248">
        <v>21247</v>
      </c>
      <c r="B1248">
        <v>243</v>
      </c>
      <c r="C1248" s="2">
        <v>44630</v>
      </c>
      <c r="D1248" s="2" t="str">
        <f>TEXT(Table4[[#This Row],[issue_date]],"mmmm")</f>
        <v>March</v>
      </c>
      <c r="E1248" s="9">
        <f>YEAR(Table4[[#This Row],[issue_date]])</f>
        <v>2022</v>
      </c>
      <c r="F1248" t="s">
        <v>22</v>
      </c>
      <c r="G1248">
        <v>58</v>
      </c>
      <c r="H1248" t="s">
        <v>20</v>
      </c>
      <c r="I1248" t="str">
        <f>VLOOKUP(Table4[[#This Row],[customer_id]],customers!A:G,4,)</f>
        <v>hyderabad</v>
      </c>
    </row>
    <row r="1249" spans="1:9" x14ac:dyDescent="0.3">
      <c r="A1249">
        <v>21248</v>
      </c>
      <c r="B1249">
        <v>354</v>
      </c>
      <c r="C1249" s="2">
        <v>45113</v>
      </c>
      <c r="D1249" s="2" t="str">
        <f>TEXT(Table4[[#This Row],[issue_date]],"mmmm")</f>
        <v>July</v>
      </c>
      <c r="E1249" s="9">
        <f>YEAR(Table4[[#This Row],[issue_date]])</f>
        <v>2023</v>
      </c>
      <c r="F1249" t="s">
        <v>21</v>
      </c>
      <c r="G1249">
        <v>68</v>
      </c>
      <c r="H1249" t="s">
        <v>20</v>
      </c>
      <c r="I1249" t="str">
        <f>VLOOKUP(Table4[[#This Row],[customer_id]],customers!A:G,4,)</f>
        <v>kolkata</v>
      </c>
    </row>
    <row r="1250" spans="1:9" x14ac:dyDescent="0.3">
      <c r="A1250">
        <v>21249</v>
      </c>
      <c r="B1250">
        <v>388</v>
      </c>
      <c r="C1250" s="2">
        <v>45257</v>
      </c>
      <c r="D1250" s="2" t="str">
        <f>TEXT(Table4[[#This Row],[issue_date]],"mmmm")</f>
        <v>November</v>
      </c>
      <c r="E1250" s="9">
        <f>YEAR(Table4[[#This Row],[issue_date]])</f>
        <v>2023</v>
      </c>
      <c r="F1250" t="s">
        <v>19</v>
      </c>
      <c r="G1250">
        <v>37</v>
      </c>
      <c r="H1250" t="s">
        <v>20</v>
      </c>
      <c r="I1250" t="str">
        <f>VLOOKUP(Table4[[#This Row],[customer_id]],customers!A:G,4,)</f>
        <v>chennai</v>
      </c>
    </row>
    <row r="1251" spans="1:9" x14ac:dyDescent="0.3">
      <c r="A1251">
        <v>21250</v>
      </c>
      <c r="B1251">
        <v>178</v>
      </c>
      <c r="C1251" s="2">
        <v>45206</v>
      </c>
      <c r="D1251" s="2" t="str">
        <f>TEXT(Table4[[#This Row],[issue_date]],"mmmm")</f>
        <v>October</v>
      </c>
      <c r="E1251" s="9">
        <f>YEAR(Table4[[#This Row],[issue_date]])</f>
        <v>2023</v>
      </c>
      <c r="F1251" t="s">
        <v>21</v>
      </c>
      <c r="G1251">
        <v>9</v>
      </c>
      <c r="H1251" t="s">
        <v>23</v>
      </c>
      <c r="I1251" t="str">
        <f>VLOOKUP(Table4[[#This Row],[customer_id]],customers!A:G,4,)</f>
        <v>chennai</v>
      </c>
    </row>
    <row r="1252" spans="1:9" x14ac:dyDescent="0.3">
      <c r="A1252">
        <v>21251</v>
      </c>
      <c r="B1252">
        <v>475</v>
      </c>
      <c r="C1252" s="2">
        <v>44617</v>
      </c>
      <c r="D1252" s="2" t="str">
        <f>TEXT(Table4[[#This Row],[issue_date]],"mmmm")</f>
        <v>February</v>
      </c>
      <c r="E1252" s="9">
        <f>YEAR(Table4[[#This Row],[issue_date]])</f>
        <v>2022</v>
      </c>
      <c r="F1252" t="s">
        <v>21</v>
      </c>
      <c r="G1252">
        <v>28</v>
      </c>
      <c r="H1252" t="s">
        <v>20</v>
      </c>
      <c r="I1252" t="str">
        <f>VLOOKUP(Table4[[#This Row],[customer_id]],customers!A:G,4,)</f>
        <v>delhi</v>
      </c>
    </row>
    <row r="1253" spans="1:9" x14ac:dyDescent="0.3">
      <c r="A1253">
        <v>21252</v>
      </c>
      <c r="B1253">
        <v>61</v>
      </c>
      <c r="C1253" s="2">
        <v>45440</v>
      </c>
      <c r="D1253" s="2" t="str">
        <f>TEXT(Table4[[#This Row],[issue_date]],"mmmm")</f>
        <v>May</v>
      </c>
      <c r="E1253" s="9">
        <f>YEAR(Table4[[#This Row],[issue_date]])</f>
        <v>2024</v>
      </c>
      <c r="F1253" t="s">
        <v>21</v>
      </c>
      <c r="G1253">
        <v>55</v>
      </c>
      <c r="H1253" t="s">
        <v>20</v>
      </c>
      <c r="I1253" t="str">
        <f>VLOOKUP(Table4[[#This Row],[customer_id]],customers!A:G,4,)</f>
        <v>hyderabad</v>
      </c>
    </row>
    <row r="1254" spans="1:9" x14ac:dyDescent="0.3">
      <c r="A1254">
        <v>21253</v>
      </c>
      <c r="B1254">
        <v>405</v>
      </c>
      <c r="C1254" s="2">
        <v>45017</v>
      </c>
      <c r="D1254" s="2" t="str">
        <f>TEXT(Table4[[#This Row],[issue_date]],"mmmm")</f>
        <v>April</v>
      </c>
      <c r="E1254" s="9">
        <f>YEAR(Table4[[#This Row],[issue_date]])</f>
        <v>2023</v>
      </c>
      <c r="F1254" t="s">
        <v>19</v>
      </c>
      <c r="G1254">
        <v>46</v>
      </c>
      <c r="H1254" t="s">
        <v>20</v>
      </c>
      <c r="I1254" t="str">
        <f>VLOOKUP(Table4[[#This Row],[customer_id]],customers!A:G,4,)</f>
        <v>chennai</v>
      </c>
    </row>
    <row r="1255" spans="1:9" x14ac:dyDescent="0.3">
      <c r="A1255">
        <v>21254</v>
      </c>
      <c r="B1255">
        <v>36</v>
      </c>
      <c r="C1255" s="2">
        <v>44816</v>
      </c>
      <c r="D1255" s="2" t="str">
        <f>TEXT(Table4[[#This Row],[issue_date]],"mmmm")</f>
        <v>September</v>
      </c>
      <c r="E1255" s="9">
        <f>YEAR(Table4[[#This Row],[issue_date]])</f>
        <v>2022</v>
      </c>
      <c r="F1255" t="s">
        <v>19</v>
      </c>
      <c r="G1255">
        <v>70</v>
      </c>
      <c r="H1255" t="s">
        <v>20</v>
      </c>
      <c r="I1255" t="str">
        <f>VLOOKUP(Table4[[#This Row],[customer_id]],customers!A:G,4,)</f>
        <v>chennai</v>
      </c>
    </row>
    <row r="1256" spans="1:9" x14ac:dyDescent="0.3">
      <c r="A1256">
        <v>21255</v>
      </c>
      <c r="B1256">
        <v>358</v>
      </c>
      <c r="C1256" s="2">
        <v>44566</v>
      </c>
      <c r="D1256" s="2" t="str">
        <f>TEXT(Table4[[#This Row],[issue_date]],"mmmm")</f>
        <v>January</v>
      </c>
      <c r="E1256" s="9">
        <f>YEAR(Table4[[#This Row],[issue_date]])</f>
        <v>2022</v>
      </c>
      <c r="F1256" t="s">
        <v>22</v>
      </c>
      <c r="G1256">
        <v>27</v>
      </c>
      <c r="H1256" t="s">
        <v>20</v>
      </c>
      <c r="I1256" t="str">
        <f>VLOOKUP(Table4[[#This Row],[customer_id]],customers!A:G,4,)</f>
        <v>mumbai</v>
      </c>
    </row>
    <row r="1257" spans="1:9" x14ac:dyDescent="0.3">
      <c r="A1257">
        <v>21256</v>
      </c>
      <c r="B1257">
        <v>46</v>
      </c>
      <c r="C1257" s="2">
        <v>45142</v>
      </c>
      <c r="D1257" s="2" t="str">
        <f>TEXT(Table4[[#This Row],[issue_date]],"mmmm")</f>
        <v>August</v>
      </c>
      <c r="E1257" s="9">
        <f>YEAR(Table4[[#This Row],[issue_date]])</f>
        <v>2023</v>
      </c>
      <c r="F1257" t="s">
        <v>21</v>
      </c>
      <c r="G1257">
        <v>10</v>
      </c>
      <c r="H1257" t="s">
        <v>20</v>
      </c>
      <c r="I1257" t="str">
        <f>VLOOKUP(Table4[[#This Row],[customer_id]],customers!A:G,4,)</f>
        <v>delhi</v>
      </c>
    </row>
    <row r="1258" spans="1:9" x14ac:dyDescent="0.3">
      <c r="A1258">
        <v>21257</v>
      </c>
      <c r="B1258">
        <v>95</v>
      </c>
      <c r="C1258" s="2">
        <v>44613</v>
      </c>
      <c r="D1258" s="2" t="str">
        <f>TEXT(Table4[[#This Row],[issue_date]],"mmmm")</f>
        <v>February</v>
      </c>
      <c r="E1258" s="9">
        <f>YEAR(Table4[[#This Row],[issue_date]])</f>
        <v>2022</v>
      </c>
      <c r="F1258" t="s">
        <v>22</v>
      </c>
      <c r="G1258">
        <v>23</v>
      </c>
      <c r="H1258" t="s">
        <v>20</v>
      </c>
      <c r="I1258" t="str">
        <f>VLOOKUP(Table4[[#This Row],[customer_id]],customers!A:G,4,)</f>
        <v>mumbai</v>
      </c>
    </row>
    <row r="1259" spans="1:9" x14ac:dyDescent="0.3">
      <c r="A1259">
        <v>21258</v>
      </c>
      <c r="B1259">
        <v>327</v>
      </c>
      <c r="C1259" s="2">
        <v>44890</v>
      </c>
      <c r="D1259" s="2" t="str">
        <f>TEXT(Table4[[#This Row],[issue_date]],"mmmm")</f>
        <v>November</v>
      </c>
      <c r="E1259" s="9">
        <f>YEAR(Table4[[#This Row],[issue_date]])</f>
        <v>2022</v>
      </c>
      <c r="F1259" t="s">
        <v>22</v>
      </c>
      <c r="G1259">
        <v>21</v>
      </c>
      <c r="H1259" t="s">
        <v>20</v>
      </c>
      <c r="I1259" t="str">
        <f>VLOOKUP(Table4[[#This Row],[customer_id]],customers!A:G,4,)</f>
        <v>delhi</v>
      </c>
    </row>
    <row r="1260" spans="1:9" x14ac:dyDescent="0.3">
      <c r="A1260">
        <v>21259</v>
      </c>
      <c r="B1260">
        <v>44</v>
      </c>
      <c r="C1260" s="2">
        <v>44659</v>
      </c>
      <c r="D1260" s="2" t="str">
        <f>TEXT(Table4[[#This Row],[issue_date]],"mmmm")</f>
        <v>April</v>
      </c>
      <c r="E1260" s="9">
        <f>YEAR(Table4[[#This Row],[issue_date]])</f>
        <v>2022</v>
      </c>
      <c r="F1260" t="s">
        <v>19</v>
      </c>
      <c r="G1260">
        <v>45</v>
      </c>
      <c r="H1260" t="s">
        <v>20</v>
      </c>
      <c r="I1260" t="str">
        <f>VLOOKUP(Table4[[#This Row],[customer_id]],customers!A:G,4,)</f>
        <v>mumbai</v>
      </c>
    </row>
    <row r="1261" spans="1:9" x14ac:dyDescent="0.3">
      <c r="A1261">
        <v>21260</v>
      </c>
      <c r="B1261">
        <v>320</v>
      </c>
      <c r="C1261" s="2">
        <v>44722</v>
      </c>
      <c r="D1261" s="2" t="str">
        <f>TEXT(Table4[[#This Row],[issue_date]],"mmmm")</f>
        <v>June</v>
      </c>
      <c r="E1261" s="9">
        <f>YEAR(Table4[[#This Row],[issue_date]])</f>
        <v>2022</v>
      </c>
      <c r="F1261" t="s">
        <v>22</v>
      </c>
      <c r="G1261">
        <v>3</v>
      </c>
      <c r="H1261" t="s">
        <v>20</v>
      </c>
      <c r="I1261" t="str">
        <f>VLOOKUP(Table4[[#This Row],[customer_id]],customers!A:G,4,)</f>
        <v>hyderabad</v>
      </c>
    </row>
    <row r="1262" spans="1:9" x14ac:dyDescent="0.3">
      <c r="A1262">
        <v>21261</v>
      </c>
      <c r="B1262">
        <v>226</v>
      </c>
      <c r="C1262" s="2">
        <v>44967</v>
      </c>
      <c r="D1262" s="2" t="str">
        <f>TEXT(Table4[[#This Row],[issue_date]],"mmmm")</f>
        <v>February</v>
      </c>
      <c r="E1262" s="9">
        <f>YEAR(Table4[[#This Row],[issue_date]])</f>
        <v>2023</v>
      </c>
      <c r="F1262" t="s">
        <v>21</v>
      </c>
      <c r="G1262">
        <v>59</v>
      </c>
      <c r="H1262" t="s">
        <v>20</v>
      </c>
      <c r="I1262" t="str">
        <f>VLOOKUP(Table4[[#This Row],[customer_id]],customers!A:G,4,)</f>
        <v>chennai</v>
      </c>
    </row>
    <row r="1263" spans="1:9" x14ac:dyDescent="0.3">
      <c r="A1263">
        <v>21262</v>
      </c>
      <c r="B1263">
        <v>146</v>
      </c>
      <c r="C1263" s="2">
        <v>45344</v>
      </c>
      <c r="D1263" s="2" t="str">
        <f>TEXT(Table4[[#This Row],[issue_date]],"mmmm")</f>
        <v>February</v>
      </c>
      <c r="E1263" s="9">
        <f>YEAR(Table4[[#This Row],[issue_date]])</f>
        <v>2024</v>
      </c>
      <c r="F1263" t="s">
        <v>22</v>
      </c>
      <c r="G1263">
        <v>43</v>
      </c>
      <c r="H1263" t="s">
        <v>23</v>
      </c>
      <c r="I1263" t="str">
        <f>VLOOKUP(Table4[[#This Row],[customer_id]],customers!A:G,4,)</f>
        <v>mumbai</v>
      </c>
    </row>
    <row r="1264" spans="1:9" x14ac:dyDescent="0.3">
      <c r="A1264">
        <v>21263</v>
      </c>
      <c r="B1264">
        <v>472</v>
      </c>
      <c r="C1264" s="2">
        <v>45138</v>
      </c>
      <c r="D1264" s="2" t="str">
        <f>TEXT(Table4[[#This Row],[issue_date]],"mmmm")</f>
        <v>July</v>
      </c>
      <c r="E1264" s="9">
        <f>YEAR(Table4[[#This Row],[issue_date]])</f>
        <v>2023</v>
      </c>
      <c r="F1264" t="s">
        <v>19</v>
      </c>
      <c r="G1264">
        <v>7</v>
      </c>
      <c r="H1264" t="s">
        <v>20</v>
      </c>
      <c r="I1264" t="str">
        <f>VLOOKUP(Table4[[#This Row],[customer_id]],customers!A:G,4,)</f>
        <v>bangalore</v>
      </c>
    </row>
    <row r="1265" spans="1:9" x14ac:dyDescent="0.3">
      <c r="A1265">
        <v>21264</v>
      </c>
      <c r="B1265">
        <v>269</v>
      </c>
      <c r="C1265" s="2">
        <v>44888</v>
      </c>
      <c r="D1265" s="2" t="str">
        <f>TEXT(Table4[[#This Row],[issue_date]],"mmmm")</f>
        <v>November</v>
      </c>
      <c r="E1265" s="9">
        <f>YEAR(Table4[[#This Row],[issue_date]])</f>
        <v>2022</v>
      </c>
      <c r="F1265" t="s">
        <v>19</v>
      </c>
      <c r="G1265">
        <v>27</v>
      </c>
      <c r="H1265" t="s">
        <v>20</v>
      </c>
      <c r="I1265" t="str">
        <f>VLOOKUP(Table4[[#This Row],[customer_id]],customers!A:G,4,)</f>
        <v>chennai</v>
      </c>
    </row>
    <row r="1266" spans="1:9" x14ac:dyDescent="0.3">
      <c r="A1266">
        <v>21265</v>
      </c>
      <c r="B1266">
        <v>13</v>
      </c>
      <c r="C1266" s="2">
        <v>44804</v>
      </c>
      <c r="D1266" s="2" t="str">
        <f>TEXT(Table4[[#This Row],[issue_date]],"mmmm")</f>
        <v>August</v>
      </c>
      <c r="E1266" s="9">
        <f>YEAR(Table4[[#This Row],[issue_date]])</f>
        <v>2022</v>
      </c>
      <c r="F1266" t="s">
        <v>19</v>
      </c>
      <c r="G1266">
        <v>62</v>
      </c>
      <c r="H1266" t="s">
        <v>23</v>
      </c>
      <c r="I1266" t="str">
        <f>VLOOKUP(Table4[[#This Row],[customer_id]],customers!A:G,4,)</f>
        <v>kolkata</v>
      </c>
    </row>
    <row r="1267" spans="1:9" x14ac:dyDescent="0.3">
      <c r="A1267">
        <v>21266</v>
      </c>
      <c r="B1267">
        <v>25</v>
      </c>
      <c r="C1267" s="2">
        <v>45065</v>
      </c>
      <c r="D1267" s="2" t="str">
        <f>TEXT(Table4[[#This Row],[issue_date]],"mmmm")</f>
        <v>May</v>
      </c>
      <c r="E1267" s="9">
        <f>YEAR(Table4[[#This Row],[issue_date]])</f>
        <v>2023</v>
      </c>
      <c r="F1267" t="s">
        <v>21</v>
      </c>
      <c r="G1267">
        <v>42</v>
      </c>
      <c r="H1267" t="s">
        <v>20</v>
      </c>
      <c r="I1267" t="str">
        <f>VLOOKUP(Table4[[#This Row],[customer_id]],customers!A:G,4,)</f>
        <v>delhi</v>
      </c>
    </row>
    <row r="1268" spans="1:9" x14ac:dyDescent="0.3">
      <c r="A1268">
        <v>21267</v>
      </c>
      <c r="B1268">
        <v>261</v>
      </c>
      <c r="C1268" s="2">
        <v>44928</v>
      </c>
      <c r="D1268" s="2" t="str">
        <f>TEXT(Table4[[#This Row],[issue_date]],"mmmm")</f>
        <v>January</v>
      </c>
      <c r="E1268" s="9">
        <f>YEAR(Table4[[#This Row],[issue_date]])</f>
        <v>2023</v>
      </c>
      <c r="F1268" t="s">
        <v>22</v>
      </c>
      <c r="G1268">
        <v>4</v>
      </c>
      <c r="H1268" t="s">
        <v>20</v>
      </c>
      <c r="I1268" t="str">
        <f>VLOOKUP(Table4[[#This Row],[customer_id]],customers!A:G,4,)</f>
        <v>mumbai</v>
      </c>
    </row>
    <row r="1269" spans="1:9" x14ac:dyDescent="0.3">
      <c r="A1269">
        <v>21268</v>
      </c>
      <c r="B1269">
        <v>128</v>
      </c>
      <c r="C1269" s="2">
        <v>45335</v>
      </c>
      <c r="D1269" s="2" t="str">
        <f>TEXT(Table4[[#This Row],[issue_date]],"mmmm")</f>
        <v>February</v>
      </c>
      <c r="E1269" s="9">
        <f>YEAR(Table4[[#This Row],[issue_date]])</f>
        <v>2024</v>
      </c>
      <c r="F1269" t="s">
        <v>21</v>
      </c>
      <c r="G1269">
        <v>62</v>
      </c>
      <c r="H1269" t="s">
        <v>20</v>
      </c>
      <c r="I1269" t="str">
        <f>VLOOKUP(Table4[[#This Row],[customer_id]],customers!A:G,4,)</f>
        <v>bangalore</v>
      </c>
    </row>
    <row r="1270" spans="1:9" x14ac:dyDescent="0.3">
      <c r="A1270">
        <v>21269</v>
      </c>
      <c r="B1270">
        <v>39</v>
      </c>
      <c r="C1270" s="2">
        <v>45285</v>
      </c>
      <c r="D1270" s="2" t="str">
        <f>TEXT(Table4[[#This Row],[issue_date]],"mmmm")</f>
        <v>December</v>
      </c>
      <c r="E1270" s="9">
        <f>YEAR(Table4[[#This Row],[issue_date]])</f>
        <v>2023</v>
      </c>
      <c r="F1270" t="s">
        <v>19</v>
      </c>
      <c r="G1270">
        <v>8</v>
      </c>
      <c r="H1270" t="s">
        <v>23</v>
      </c>
      <c r="I1270" t="str">
        <f>VLOOKUP(Table4[[#This Row],[customer_id]],customers!A:G,4,)</f>
        <v>bangalore</v>
      </c>
    </row>
    <row r="1271" spans="1:9" x14ac:dyDescent="0.3">
      <c r="A1271">
        <v>21270</v>
      </c>
      <c r="B1271">
        <v>157</v>
      </c>
      <c r="C1271" s="2">
        <v>45003</v>
      </c>
      <c r="D1271" s="2" t="str">
        <f>TEXT(Table4[[#This Row],[issue_date]],"mmmm")</f>
        <v>March</v>
      </c>
      <c r="E1271" s="9">
        <f>YEAR(Table4[[#This Row],[issue_date]])</f>
        <v>2023</v>
      </c>
      <c r="F1271" t="s">
        <v>21</v>
      </c>
      <c r="G1271">
        <v>17</v>
      </c>
      <c r="H1271" t="s">
        <v>20</v>
      </c>
      <c r="I1271" t="str">
        <f>VLOOKUP(Table4[[#This Row],[customer_id]],customers!A:G,4,)</f>
        <v>chennai</v>
      </c>
    </row>
    <row r="1272" spans="1:9" x14ac:dyDescent="0.3">
      <c r="A1272">
        <v>21271</v>
      </c>
      <c r="B1272">
        <v>364</v>
      </c>
      <c r="C1272" s="2">
        <v>44715</v>
      </c>
      <c r="D1272" s="2" t="str">
        <f>TEXT(Table4[[#This Row],[issue_date]],"mmmm")</f>
        <v>June</v>
      </c>
      <c r="E1272" s="9">
        <f>YEAR(Table4[[#This Row],[issue_date]])</f>
        <v>2022</v>
      </c>
      <c r="F1272" t="s">
        <v>19</v>
      </c>
      <c r="G1272">
        <v>5</v>
      </c>
      <c r="H1272" t="s">
        <v>20</v>
      </c>
      <c r="I1272" t="str">
        <f>VLOOKUP(Table4[[#This Row],[customer_id]],customers!A:G,4,)</f>
        <v>delhi</v>
      </c>
    </row>
    <row r="1273" spans="1:9" x14ac:dyDescent="0.3">
      <c r="A1273">
        <v>21272</v>
      </c>
      <c r="B1273">
        <v>185</v>
      </c>
      <c r="C1273" s="2">
        <v>44795</v>
      </c>
      <c r="D1273" s="2" t="str">
        <f>TEXT(Table4[[#This Row],[issue_date]],"mmmm")</f>
        <v>August</v>
      </c>
      <c r="E1273" s="9">
        <f>YEAR(Table4[[#This Row],[issue_date]])</f>
        <v>2022</v>
      </c>
      <c r="F1273" t="s">
        <v>21</v>
      </c>
      <c r="G1273">
        <v>63</v>
      </c>
      <c r="H1273" t="s">
        <v>23</v>
      </c>
      <c r="I1273" t="str">
        <f>VLOOKUP(Table4[[#This Row],[customer_id]],customers!A:G,4,)</f>
        <v>mumbai</v>
      </c>
    </row>
    <row r="1274" spans="1:9" x14ac:dyDescent="0.3">
      <c r="A1274">
        <v>21273</v>
      </c>
      <c r="B1274">
        <v>174</v>
      </c>
      <c r="C1274" s="2">
        <v>45213</v>
      </c>
      <c r="D1274" s="2" t="str">
        <f>TEXT(Table4[[#This Row],[issue_date]],"mmmm")</f>
        <v>October</v>
      </c>
      <c r="E1274" s="9">
        <f>YEAR(Table4[[#This Row],[issue_date]])</f>
        <v>2023</v>
      </c>
      <c r="F1274" t="s">
        <v>21</v>
      </c>
      <c r="G1274">
        <v>9</v>
      </c>
      <c r="H1274" t="s">
        <v>20</v>
      </c>
      <c r="I1274" t="str">
        <f>VLOOKUP(Table4[[#This Row],[customer_id]],customers!A:G,4,)</f>
        <v>mumbai</v>
      </c>
    </row>
    <row r="1275" spans="1:9" x14ac:dyDescent="0.3">
      <c r="A1275">
        <v>21274</v>
      </c>
      <c r="B1275">
        <v>417</v>
      </c>
      <c r="C1275" s="2">
        <v>44894</v>
      </c>
      <c r="D1275" s="2" t="str">
        <f>TEXT(Table4[[#This Row],[issue_date]],"mmmm")</f>
        <v>November</v>
      </c>
      <c r="E1275" s="9">
        <f>YEAR(Table4[[#This Row],[issue_date]])</f>
        <v>2022</v>
      </c>
      <c r="F1275" t="s">
        <v>22</v>
      </c>
      <c r="G1275">
        <v>8</v>
      </c>
      <c r="H1275" t="s">
        <v>20</v>
      </c>
      <c r="I1275" t="str">
        <f>VLOOKUP(Table4[[#This Row],[customer_id]],customers!A:G,4,)</f>
        <v>bangalore</v>
      </c>
    </row>
    <row r="1276" spans="1:9" x14ac:dyDescent="0.3">
      <c r="A1276">
        <v>21275</v>
      </c>
      <c r="B1276">
        <v>472</v>
      </c>
      <c r="C1276" s="2">
        <v>45056</v>
      </c>
      <c r="D1276" s="2" t="str">
        <f>TEXT(Table4[[#This Row],[issue_date]],"mmmm")</f>
        <v>May</v>
      </c>
      <c r="E1276" s="9">
        <f>YEAR(Table4[[#This Row],[issue_date]])</f>
        <v>2023</v>
      </c>
      <c r="F1276" t="s">
        <v>22</v>
      </c>
      <c r="G1276">
        <v>7</v>
      </c>
      <c r="H1276" t="s">
        <v>20</v>
      </c>
      <c r="I1276" t="str">
        <f>VLOOKUP(Table4[[#This Row],[customer_id]],customers!A:G,4,)</f>
        <v>bangalore</v>
      </c>
    </row>
    <row r="1277" spans="1:9" x14ac:dyDescent="0.3">
      <c r="A1277">
        <v>21276</v>
      </c>
      <c r="B1277">
        <v>394</v>
      </c>
      <c r="C1277" s="2">
        <v>44676</v>
      </c>
      <c r="D1277" s="2" t="str">
        <f>TEXT(Table4[[#This Row],[issue_date]],"mmmm")</f>
        <v>April</v>
      </c>
      <c r="E1277" s="9">
        <f>YEAR(Table4[[#This Row],[issue_date]])</f>
        <v>2022</v>
      </c>
      <c r="F1277" t="s">
        <v>19</v>
      </c>
      <c r="G1277">
        <v>37</v>
      </c>
      <c r="H1277" t="s">
        <v>20</v>
      </c>
      <c r="I1277" t="str">
        <f>VLOOKUP(Table4[[#This Row],[customer_id]],customers!A:G,4,)</f>
        <v>delhi</v>
      </c>
    </row>
    <row r="1278" spans="1:9" x14ac:dyDescent="0.3">
      <c r="A1278">
        <v>21277</v>
      </c>
      <c r="B1278">
        <v>186</v>
      </c>
      <c r="C1278" s="2">
        <v>44930</v>
      </c>
      <c r="D1278" s="2" t="str">
        <f>TEXT(Table4[[#This Row],[issue_date]],"mmmm")</f>
        <v>January</v>
      </c>
      <c r="E1278" s="9">
        <f>YEAR(Table4[[#This Row],[issue_date]])</f>
        <v>2023</v>
      </c>
      <c r="F1278" t="s">
        <v>22</v>
      </c>
      <c r="G1278">
        <v>55</v>
      </c>
      <c r="H1278" t="s">
        <v>20</v>
      </c>
      <c r="I1278" t="str">
        <f>VLOOKUP(Table4[[#This Row],[customer_id]],customers!A:G,4,)</f>
        <v>hyderabad</v>
      </c>
    </row>
    <row r="1279" spans="1:9" x14ac:dyDescent="0.3">
      <c r="A1279">
        <v>21278</v>
      </c>
      <c r="B1279">
        <v>281</v>
      </c>
      <c r="C1279" s="2">
        <v>44894</v>
      </c>
      <c r="D1279" s="2" t="str">
        <f>TEXT(Table4[[#This Row],[issue_date]],"mmmm")</f>
        <v>November</v>
      </c>
      <c r="E1279" s="9">
        <f>YEAR(Table4[[#This Row],[issue_date]])</f>
        <v>2022</v>
      </c>
      <c r="F1279" t="s">
        <v>22</v>
      </c>
      <c r="G1279">
        <v>67</v>
      </c>
      <c r="H1279" t="s">
        <v>20</v>
      </c>
      <c r="I1279" t="str">
        <f>VLOOKUP(Table4[[#This Row],[customer_id]],customers!A:G,4,)</f>
        <v>kolkata</v>
      </c>
    </row>
    <row r="1280" spans="1:9" x14ac:dyDescent="0.3">
      <c r="A1280">
        <v>21279</v>
      </c>
      <c r="B1280">
        <v>489</v>
      </c>
      <c r="C1280" s="2">
        <v>44691</v>
      </c>
      <c r="D1280" s="2" t="str">
        <f>TEXT(Table4[[#This Row],[issue_date]],"mmmm")</f>
        <v>May</v>
      </c>
      <c r="E1280" s="9">
        <f>YEAR(Table4[[#This Row],[issue_date]])</f>
        <v>2022</v>
      </c>
      <c r="F1280" t="s">
        <v>21</v>
      </c>
      <c r="G1280">
        <v>8</v>
      </c>
      <c r="H1280" t="s">
        <v>20</v>
      </c>
      <c r="I1280" t="str">
        <f>VLOOKUP(Table4[[#This Row],[customer_id]],customers!A:G,4,)</f>
        <v>chennai</v>
      </c>
    </row>
    <row r="1281" spans="1:9" x14ac:dyDescent="0.3">
      <c r="A1281">
        <v>21280</v>
      </c>
      <c r="B1281">
        <v>74</v>
      </c>
      <c r="C1281" s="2">
        <v>44739</v>
      </c>
      <c r="D1281" s="2" t="str">
        <f>TEXT(Table4[[#This Row],[issue_date]],"mmmm")</f>
        <v>June</v>
      </c>
      <c r="E1281" s="9">
        <f>YEAR(Table4[[#This Row],[issue_date]])</f>
        <v>2022</v>
      </c>
      <c r="F1281" t="s">
        <v>19</v>
      </c>
      <c r="G1281">
        <v>69</v>
      </c>
      <c r="H1281" t="s">
        <v>20</v>
      </c>
      <c r="I1281" t="str">
        <f>VLOOKUP(Table4[[#This Row],[customer_id]],customers!A:G,4,)</f>
        <v>hyderabad</v>
      </c>
    </row>
    <row r="1282" spans="1:9" x14ac:dyDescent="0.3">
      <c r="A1282">
        <v>21281</v>
      </c>
      <c r="B1282">
        <v>295</v>
      </c>
      <c r="C1282" s="2">
        <v>44656</v>
      </c>
      <c r="D1282" s="2" t="str">
        <f>TEXT(Table4[[#This Row],[issue_date]],"mmmm")</f>
        <v>April</v>
      </c>
      <c r="E1282" s="9">
        <f>YEAR(Table4[[#This Row],[issue_date]])</f>
        <v>2022</v>
      </c>
      <c r="F1282" t="s">
        <v>21</v>
      </c>
      <c r="G1282">
        <v>5</v>
      </c>
      <c r="H1282" t="s">
        <v>20</v>
      </c>
      <c r="I1282" t="str">
        <f>VLOOKUP(Table4[[#This Row],[customer_id]],customers!A:G,4,)</f>
        <v>delhi</v>
      </c>
    </row>
    <row r="1283" spans="1:9" x14ac:dyDescent="0.3">
      <c r="A1283">
        <v>21282</v>
      </c>
      <c r="B1283">
        <v>16</v>
      </c>
      <c r="C1283" s="2">
        <v>44878</v>
      </c>
      <c r="D1283" s="2" t="str">
        <f>TEXT(Table4[[#This Row],[issue_date]],"mmmm")</f>
        <v>November</v>
      </c>
      <c r="E1283" s="9">
        <f>YEAR(Table4[[#This Row],[issue_date]])</f>
        <v>2022</v>
      </c>
      <c r="F1283" t="s">
        <v>21</v>
      </c>
      <c r="G1283">
        <v>17</v>
      </c>
      <c r="H1283" t="s">
        <v>20</v>
      </c>
      <c r="I1283" t="str">
        <f>VLOOKUP(Table4[[#This Row],[customer_id]],customers!A:G,4,)</f>
        <v>bangalore</v>
      </c>
    </row>
    <row r="1284" spans="1:9" x14ac:dyDescent="0.3">
      <c r="A1284">
        <v>21283</v>
      </c>
      <c r="B1284">
        <v>188</v>
      </c>
      <c r="C1284" s="2">
        <v>44662</v>
      </c>
      <c r="D1284" s="2" t="str">
        <f>TEXT(Table4[[#This Row],[issue_date]],"mmmm")</f>
        <v>April</v>
      </c>
      <c r="E1284" s="9">
        <f>YEAR(Table4[[#This Row],[issue_date]])</f>
        <v>2022</v>
      </c>
      <c r="F1284" t="s">
        <v>22</v>
      </c>
      <c r="G1284">
        <v>58</v>
      </c>
      <c r="H1284" t="s">
        <v>20</v>
      </c>
      <c r="I1284" t="str">
        <f>VLOOKUP(Table4[[#This Row],[customer_id]],customers!A:G,4,)</f>
        <v>delhi</v>
      </c>
    </row>
    <row r="1285" spans="1:9" x14ac:dyDescent="0.3">
      <c r="A1285">
        <v>21284</v>
      </c>
      <c r="B1285">
        <v>412</v>
      </c>
      <c r="C1285" s="2">
        <v>44757</v>
      </c>
      <c r="D1285" s="2" t="str">
        <f>TEXT(Table4[[#This Row],[issue_date]],"mmmm")</f>
        <v>July</v>
      </c>
      <c r="E1285" s="9">
        <f>YEAR(Table4[[#This Row],[issue_date]])</f>
        <v>2022</v>
      </c>
      <c r="F1285" t="s">
        <v>22</v>
      </c>
      <c r="G1285">
        <v>63</v>
      </c>
      <c r="H1285" t="s">
        <v>23</v>
      </c>
      <c r="I1285" t="str">
        <f>VLOOKUP(Table4[[#This Row],[customer_id]],customers!A:G,4,)</f>
        <v>hyderabad</v>
      </c>
    </row>
    <row r="1286" spans="1:9" x14ac:dyDescent="0.3">
      <c r="A1286">
        <v>21285</v>
      </c>
      <c r="B1286">
        <v>460</v>
      </c>
      <c r="C1286" s="2">
        <v>45363</v>
      </c>
      <c r="D1286" s="2" t="str">
        <f>TEXT(Table4[[#This Row],[issue_date]],"mmmm")</f>
        <v>March</v>
      </c>
      <c r="E1286" s="9">
        <f>YEAR(Table4[[#This Row],[issue_date]])</f>
        <v>2024</v>
      </c>
      <c r="F1286" t="s">
        <v>19</v>
      </c>
      <c r="G1286">
        <v>27</v>
      </c>
      <c r="H1286" t="s">
        <v>20</v>
      </c>
      <c r="I1286" t="str">
        <f>VLOOKUP(Table4[[#This Row],[customer_id]],customers!A:G,4,)</f>
        <v>hyderabad</v>
      </c>
    </row>
    <row r="1287" spans="1:9" x14ac:dyDescent="0.3">
      <c r="A1287">
        <v>21286</v>
      </c>
      <c r="B1287">
        <v>172</v>
      </c>
      <c r="C1287" s="2">
        <v>44769</v>
      </c>
      <c r="D1287" s="2" t="str">
        <f>TEXT(Table4[[#This Row],[issue_date]],"mmmm")</f>
        <v>July</v>
      </c>
      <c r="E1287" s="9">
        <f>YEAR(Table4[[#This Row],[issue_date]])</f>
        <v>2022</v>
      </c>
      <c r="F1287" t="s">
        <v>22</v>
      </c>
      <c r="G1287">
        <v>68</v>
      </c>
      <c r="H1287" t="s">
        <v>20</v>
      </c>
      <c r="I1287" t="str">
        <f>VLOOKUP(Table4[[#This Row],[customer_id]],customers!A:G,4,)</f>
        <v>chennai</v>
      </c>
    </row>
    <row r="1288" spans="1:9" x14ac:dyDescent="0.3">
      <c r="A1288">
        <v>21287</v>
      </c>
      <c r="B1288">
        <v>186</v>
      </c>
      <c r="C1288" s="2">
        <v>45168</v>
      </c>
      <c r="D1288" s="2" t="str">
        <f>TEXT(Table4[[#This Row],[issue_date]],"mmmm")</f>
        <v>August</v>
      </c>
      <c r="E1288" s="9">
        <f>YEAR(Table4[[#This Row],[issue_date]])</f>
        <v>2023</v>
      </c>
      <c r="F1288" t="s">
        <v>21</v>
      </c>
      <c r="G1288">
        <v>28</v>
      </c>
      <c r="H1288" t="s">
        <v>20</v>
      </c>
      <c r="I1288" t="str">
        <f>VLOOKUP(Table4[[#This Row],[customer_id]],customers!A:G,4,)</f>
        <v>hyderabad</v>
      </c>
    </row>
    <row r="1289" spans="1:9" x14ac:dyDescent="0.3">
      <c r="A1289">
        <v>21288</v>
      </c>
      <c r="B1289">
        <v>32</v>
      </c>
      <c r="C1289" s="2">
        <v>45034</v>
      </c>
      <c r="D1289" s="2" t="str">
        <f>TEXT(Table4[[#This Row],[issue_date]],"mmmm")</f>
        <v>April</v>
      </c>
      <c r="E1289" s="9">
        <f>YEAR(Table4[[#This Row],[issue_date]])</f>
        <v>2023</v>
      </c>
      <c r="F1289" t="s">
        <v>22</v>
      </c>
      <c r="G1289">
        <v>58</v>
      </c>
      <c r="H1289" t="s">
        <v>20</v>
      </c>
      <c r="I1289" t="str">
        <f>VLOOKUP(Table4[[#This Row],[customer_id]],customers!A:G,4,)</f>
        <v>bangalore</v>
      </c>
    </row>
    <row r="1290" spans="1:9" x14ac:dyDescent="0.3">
      <c r="A1290">
        <v>21289</v>
      </c>
      <c r="B1290">
        <v>63</v>
      </c>
      <c r="C1290" s="2">
        <v>45176</v>
      </c>
      <c r="D1290" s="2" t="str">
        <f>TEXT(Table4[[#This Row],[issue_date]],"mmmm")</f>
        <v>September</v>
      </c>
      <c r="E1290" s="9">
        <f>YEAR(Table4[[#This Row],[issue_date]])</f>
        <v>2023</v>
      </c>
      <c r="F1290" t="s">
        <v>19</v>
      </c>
      <c r="G1290">
        <v>50</v>
      </c>
      <c r="H1290" t="s">
        <v>20</v>
      </c>
      <c r="I1290" t="str">
        <f>VLOOKUP(Table4[[#This Row],[customer_id]],customers!A:G,4,)</f>
        <v>kolkata</v>
      </c>
    </row>
    <row r="1291" spans="1:9" x14ac:dyDescent="0.3">
      <c r="A1291">
        <v>21290</v>
      </c>
      <c r="B1291">
        <v>499</v>
      </c>
      <c r="C1291" s="2">
        <v>44569</v>
      </c>
      <c r="D1291" s="2" t="str">
        <f>TEXT(Table4[[#This Row],[issue_date]],"mmmm")</f>
        <v>January</v>
      </c>
      <c r="E1291" s="9">
        <f>YEAR(Table4[[#This Row],[issue_date]])</f>
        <v>2022</v>
      </c>
      <c r="F1291" t="s">
        <v>19</v>
      </c>
      <c r="G1291">
        <v>67</v>
      </c>
      <c r="H1291" t="s">
        <v>20</v>
      </c>
      <c r="I1291" t="str">
        <f>VLOOKUP(Table4[[#This Row],[customer_id]],customers!A:G,4,)</f>
        <v>delhi</v>
      </c>
    </row>
    <row r="1292" spans="1:9" x14ac:dyDescent="0.3">
      <c r="A1292">
        <v>21291</v>
      </c>
      <c r="B1292">
        <v>349</v>
      </c>
      <c r="C1292" s="2">
        <v>44697</v>
      </c>
      <c r="D1292" s="2" t="str">
        <f>TEXT(Table4[[#This Row],[issue_date]],"mmmm")</f>
        <v>May</v>
      </c>
      <c r="E1292" s="9">
        <f>YEAR(Table4[[#This Row],[issue_date]])</f>
        <v>2022</v>
      </c>
      <c r="F1292" t="s">
        <v>21</v>
      </c>
      <c r="G1292">
        <v>31</v>
      </c>
      <c r="H1292" t="s">
        <v>20</v>
      </c>
      <c r="I1292" t="str">
        <f>VLOOKUP(Table4[[#This Row],[customer_id]],customers!A:G,4,)</f>
        <v>kolkata</v>
      </c>
    </row>
    <row r="1293" spans="1:9" x14ac:dyDescent="0.3">
      <c r="A1293">
        <v>21292</v>
      </c>
      <c r="B1293">
        <v>301</v>
      </c>
      <c r="C1293" s="2">
        <v>45171</v>
      </c>
      <c r="D1293" s="2" t="str">
        <f>TEXT(Table4[[#This Row],[issue_date]],"mmmm")</f>
        <v>September</v>
      </c>
      <c r="E1293" s="9">
        <f>YEAR(Table4[[#This Row],[issue_date]])</f>
        <v>2023</v>
      </c>
      <c r="F1293" t="s">
        <v>21</v>
      </c>
      <c r="G1293">
        <v>12</v>
      </c>
      <c r="H1293" t="s">
        <v>20</v>
      </c>
      <c r="I1293" t="str">
        <f>VLOOKUP(Table4[[#This Row],[customer_id]],customers!A:G,4,)</f>
        <v>delhi</v>
      </c>
    </row>
    <row r="1294" spans="1:9" x14ac:dyDescent="0.3">
      <c r="A1294">
        <v>21293</v>
      </c>
      <c r="B1294">
        <v>309</v>
      </c>
      <c r="C1294" s="2">
        <v>44822</v>
      </c>
      <c r="D1294" s="2" t="str">
        <f>TEXT(Table4[[#This Row],[issue_date]],"mmmm")</f>
        <v>September</v>
      </c>
      <c r="E1294" s="9">
        <f>YEAR(Table4[[#This Row],[issue_date]])</f>
        <v>2022</v>
      </c>
      <c r="F1294" t="s">
        <v>22</v>
      </c>
      <c r="G1294">
        <v>55</v>
      </c>
      <c r="H1294" t="s">
        <v>20</v>
      </c>
      <c r="I1294" t="str">
        <f>VLOOKUP(Table4[[#This Row],[customer_id]],customers!A:G,4,)</f>
        <v>mumbai</v>
      </c>
    </row>
    <row r="1295" spans="1:9" x14ac:dyDescent="0.3">
      <c r="A1295">
        <v>21294</v>
      </c>
      <c r="B1295">
        <v>189</v>
      </c>
      <c r="C1295" s="2">
        <v>44708</v>
      </c>
      <c r="D1295" s="2" t="str">
        <f>TEXT(Table4[[#This Row],[issue_date]],"mmmm")</f>
        <v>May</v>
      </c>
      <c r="E1295" s="9">
        <f>YEAR(Table4[[#This Row],[issue_date]])</f>
        <v>2022</v>
      </c>
      <c r="F1295" t="s">
        <v>19</v>
      </c>
      <c r="G1295">
        <v>4</v>
      </c>
      <c r="H1295" t="s">
        <v>23</v>
      </c>
      <c r="I1295" t="str">
        <f>VLOOKUP(Table4[[#This Row],[customer_id]],customers!A:G,4,)</f>
        <v>delhi</v>
      </c>
    </row>
    <row r="1296" spans="1:9" x14ac:dyDescent="0.3">
      <c r="A1296">
        <v>21295</v>
      </c>
      <c r="B1296">
        <v>306</v>
      </c>
      <c r="C1296" s="2">
        <v>45019</v>
      </c>
      <c r="D1296" s="2" t="str">
        <f>TEXT(Table4[[#This Row],[issue_date]],"mmmm")</f>
        <v>April</v>
      </c>
      <c r="E1296" s="9">
        <f>YEAR(Table4[[#This Row],[issue_date]])</f>
        <v>2023</v>
      </c>
      <c r="F1296" t="s">
        <v>21</v>
      </c>
      <c r="G1296">
        <v>42</v>
      </c>
      <c r="H1296" t="s">
        <v>20</v>
      </c>
      <c r="I1296" t="str">
        <f>VLOOKUP(Table4[[#This Row],[customer_id]],customers!A:G,4,)</f>
        <v>bangalore</v>
      </c>
    </row>
    <row r="1297" spans="1:9" x14ac:dyDescent="0.3">
      <c r="A1297">
        <v>21296</v>
      </c>
      <c r="B1297">
        <v>411</v>
      </c>
      <c r="C1297" s="2">
        <v>45258</v>
      </c>
      <c r="D1297" s="2" t="str">
        <f>TEXT(Table4[[#This Row],[issue_date]],"mmmm")</f>
        <v>November</v>
      </c>
      <c r="E1297" s="9">
        <f>YEAR(Table4[[#This Row],[issue_date]])</f>
        <v>2023</v>
      </c>
      <c r="F1297" t="s">
        <v>22</v>
      </c>
      <c r="G1297">
        <v>54</v>
      </c>
      <c r="H1297" t="s">
        <v>20</v>
      </c>
      <c r="I1297" t="str">
        <f>VLOOKUP(Table4[[#This Row],[customer_id]],customers!A:G,4,)</f>
        <v>hyderabad</v>
      </c>
    </row>
    <row r="1298" spans="1:9" x14ac:dyDescent="0.3">
      <c r="A1298">
        <v>21297</v>
      </c>
      <c r="B1298">
        <v>26</v>
      </c>
      <c r="C1298" s="2">
        <v>44999</v>
      </c>
      <c r="D1298" s="2" t="str">
        <f>TEXT(Table4[[#This Row],[issue_date]],"mmmm")</f>
        <v>March</v>
      </c>
      <c r="E1298" s="9">
        <f>YEAR(Table4[[#This Row],[issue_date]])</f>
        <v>2023</v>
      </c>
      <c r="F1298" t="s">
        <v>22</v>
      </c>
      <c r="G1298">
        <v>22</v>
      </c>
      <c r="H1298" t="s">
        <v>20</v>
      </c>
      <c r="I1298" t="str">
        <f>VLOOKUP(Table4[[#This Row],[customer_id]],customers!A:G,4,)</f>
        <v>bangalore</v>
      </c>
    </row>
    <row r="1299" spans="1:9" x14ac:dyDescent="0.3">
      <c r="A1299">
        <v>21298</v>
      </c>
      <c r="B1299">
        <v>387</v>
      </c>
      <c r="C1299" s="2">
        <v>44974</v>
      </c>
      <c r="D1299" s="2" t="str">
        <f>TEXT(Table4[[#This Row],[issue_date]],"mmmm")</f>
        <v>February</v>
      </c>
      <c r="E1299" s="9">
        <f>YEAR(Table4[[#This Row],[issue_date]])</f>
        <v>2023</v>
      </c>
      <c r="F1299" t="s">
        <v>22</v>
      </c>
      <c r="G1299">
        <v>1</v>
      </c>
      <c r="H1299" t="s">
        <v>20</v>
      </c>
      <c r="I1299" t="str">
        <f>VLOOKUP(Table4[[#This Row],[customer_id]],customers!A:G,4,)</f>
        <v>bangalore</v>
      </c>
    </row>
    <row r="1300" spans="1:9" x14ac:dyDescent="0.3">
      <c r="A1300">
        <v>21299</v>
      </c>
      <c r="B1300">
        <v>346</v>
      </c>
      <c r="C1300" s="2">
        <v>45061</v>
      </c>
      <c r="D1300" s="2" t="str">
        <f>TEXT(Table4[[#This Row],[issue_date]],"mmmm")</f>
        <v>May</v>
      </c>
      <c r="E1300" s="9">
        <f>YEAR(Table4[[#This Row],[issue_date]])</f>
        <v>2023</v>
      </c>
      <c r="F1300" t="s">
        <v>21</v>
      </c>
      <c r="G1300">
        <v>48</v>
      </c>
      <c r="H1300" t="s">
        <v>20</v>
      </c>
      <c r="I1300" t="str">
        <f>VLOOKUP(Table4[[#This Row],[customer_id]],customers!A:G,4,)</f>
        <v>chennai</v>
      </c>
    </row>
    <row r="1301" spans="1:9" x14ac:dyDescent="0.3">
      <c r="A1301">
        <v>21300</v>
      </c>
      <c r="B1301">
        <v>39</v>
      </c>
      <c r="C1301" s="2">
        <v>44793</v>
      </c>
      <c r="D1301" s="2" t="str">
        <f>TEXT(Table4[[#This Row],[issue_date]],"mmmm")</f>
        <v>August</v>
      </c>
      <c r="E1301" s="9">
        <f>YEAR(Table4[[#This Row],[issue_date]])</f>
        <v>2022</v>
      </c>
      <c r="F1301" t="s">
        <v>21</v>
      </c>
      <c r="G1301">
        <v>43</v>
      </c>
      <c r="H1301" t="s">
        <v>20</v>
      </c>
      <c r="I1301" t="str">
        <f>VLOOKUP(Table4[[#This Row],[customer_id]],customers!A:G,4,)</f>
        <v>bangalore</v>
      </c>
    </row>
    <row r="1302" spans="1:9" x14ac:dyDescent="0.3">
      <c r="A1302">
        <v>21301</v>
      </c>
      <c r="B1302">
        <v>193</v>
      </c>
      <c r="C1302" s="2">
        <v>44662</v>
      </c>
      <c r="D1302" s="2" t="str">
        <f>TEXT(Table4[[#This Row],[issue_date]],"mmmm")</f>
        <v>April</v>
      </c>
      <c r="E1302" s="9">
        <f>YEAR(Table4[[#This Row],[issue_date]])</f>
        <v>2022</v>
      </c>
      <c r="F1302" t="s">
        <v>22</v>
      </c>
      <c r="G1302">
        <v>20</v>
      </c>
      <c r="H1302" t="s">
        <v>20</v>
      </c>
      <c r="I1302" t="str">
        <f>VLOOKUP(Table4[[#This Row],[customer_id]],customers!A:G,4,)</f>
        <v>bangalore</v>
      </c>
    </row>
    <row r="1303" spans="1:9" x14ac:dyDescent="0.3">
      <c r="A1303">
        <v>21302</v>
      </c>
      <c r="B1303">
        <v>163</v>
      </c>
      <c r="C1303" s="2">
        <v>44708</v>
      </c>
      <c r="D1303" s="2" t="str">
        <f>TEXT(Table4[[#This Row],[issue_date]],"mmmm")</f>
        <v>May</v>
      </c>
      <c r="E1303" s="9">
        <f>YEAR(Table4[[#This Row],[issue_date]])</f>
        <v>2022</v>
      </c>
      <c r="F1303" t="s">
        <v>22</v>
      </c>
      <c r="G1303">
        <v>18</v>
      </c>
      <c r="H1303" t="s">
        <v>20</v>
      </c>
      <c r="I1303" t="str">
        <f>VLOOKUP(Table4[[#This Row],[customer_id]],customers!A:G,4,)</f>
        <v>hyderabad</v>
      </c>
    </row>
    <row r="1304" spans="1:9" x14ac:dyDescent="0.3">
      <c r="A1304">
        <v>21303</v>
      </c>
      <c r="B1304">
        <v>53</v>
      </c>
      <c r="C1304" s="2">
        <v>45278</v>
      </c>
      <c r="D1304" s="2" t="str">
        <f>TEXT(Table4[[#This Row],[issue_date]],"mmmm")</f>
        <v>December</v>
      </c>
      <c r="E1304" s="9">
        <f>YEAR(Table4[[#This Row],[issue_date]])</f>
        <v>2023</v>
      </c>
      <c r="F1304" t="s">
        <v>21</v>
      </c>
      <c r="G1304">
        <v>70</v>
      </c>
      <c r="H1304" t="s">
        <v>20</v>
      </c>
      <c r="I1304" t="str">
        <f>VLOOKUP(Table4[[#This Row],[customer_id]],customers!A:G,4,)</f>
        <v>mumbai</v>
      </c>
    </row>
    <row r="1305" spans="1:9" x14ac:dyDescent="0.3">
      <c r="A1305">
        <v>21304</v>
      </c>
      <c r="B1305">
        <v>475</v>
      </c>
      <c r="C1305" s="2">
        <v>45068</v>
      </c>
      <c r="D1305" s="2" t="str">
        <f>TEXT(Table4[[#This Row],[issue_date]],"mmmm")</f>
        <v>May</v>
      </c>
      <c r="E1305" s="9">
        <f>YEAR(Table4[[#This Row],[issue_date]])</f>
        <v>2023</v>
      </c>
      <c r="F1305" t="s">
        <v>19</v>
      </c>
      <c r="G1305">
        <v>49</v>
      </c>
      <c r="H1305" t="s">
        <v>20</v>
      </c>
      <c r="I1305" t="str">
        <f>VLOOKUP(Table4[[#This Row],[customer_id]],customers!A:G,4,)</f>
        <v>delhi</v>
      </c>
    </row>
    <row r="1306" spans="1:9" x14ac:dyDescent="0.3">
      <c r="A1306">
        <v>21305</v>
      </c>
      <c r="B1306">
        <v>174</v>
      </c>
      <c r="C1306" s="2">
        <v>45119</v>
      </c>
      <c r="D1306" s="2" t="str">
        <f>TEXT(Table4[[#This Row],[issue_date]],"mmmm")</f>
        <v>July</v>
      </c>
      <c r="E1306" s="9">
        <f>YEAR(Table4[[#This Row],[issue_date]])</f>
        <v>2023</v>
      </c>
      <c r="F1306" t="s">
        <v>22</v>
      </c>
      <c r="G1306">
        <v>17</v>
      </c>
      <c r="H1306" t="s">
        <v>20</v>
      </c>
      <c r="I1306" t="str">
        <f>VLOOKUP(Table4[[#This Row],[customer_id]],customers!A:G,4,)</f>
        <v>mumbai</v>
      </c>
    </row>
    <row r="1307" spans="1:9" x14ac:dyDescent="0.3">
      <c r="A1307">
        <v>21306</v>
      </c>
      <c r="B1307">
        <v>196</v>
      </c>
      <c r="C1307" s="2">
        <v>44665</v>
      </c>
      <c r="D1307" s="2" t="str">
        <f>TEXT(Table4[[#This Row],[issue_date]],"mmmm")</f>
        <v>April</v>
      </c>
      <c r="E1307" s="9">
        <f>YEAR(Table4[[#This Row],[issue_date]])</f>
        <v>2022</v>
      </c>
      <c r="F1307" t="s">
        <v>19</v>
      </c>
      <c r="G1307">
        <v>53</v>
      </c>
      <c r="H1307" t="s">
        <v>20</v>
      </c>
      <c r="I1307" t="str">
        <f>VLOOKUP(Table4[[#This Row],[customer_id]],customers!A:G,4,)</f>
        <v>kolkata</v>
      </c>
    </row>
    <row r="1308" spans="1:9" x14ac:dyDescent="0.3">
      <c r="A1308">
        <v>21307</v>
      </c>
      <c r="B1308">
        <v>211</v>
      </c>
      <c r="C1308" s="2">
        <v>44897</v>
      </c>
      <c r="D1308" s="2" t="str">
        <f>TEXT(Table4[[#This Row],[issue_date]],"mmmm")</f>
        <v>December</v>
      </c>
      <c r="E1308" s="9">
        <f>YEAR(Table4[[#This Row],[issue_date]])</f>
        <v>2022</v>
      </c>
      <c r="F1308" t="s">
        <v>19</v>
      </c>
      <c r="G1308">
        <v>22</v>
      </c>
      <c r="H1308" t="s">
        <v>20</v>
      </c>
      <c r="I1308" t="str">
        <f>VLOOKUP(Table4[[#This Row],[customer_id]],customers!A:G,4,)</f>
        <v>hyderabad</v>
      </c>
    </row>
    <row r="1309" spans="1:9" x14ac:dyDescent="0.3">
      <c r="A1309">
        <v>21308</v>
      </c>
      <c r="B1309">
        <v>278</v>
      </c>
      <c r="C1309" s="2">
        <v>45007</v>
      </c>
      <c r="D1309" s="2" t="str">
        <f>TEXT(Table4[[#This Row],[issue_date]],"mmmm")</f>
        <v>March</v>
      </c>
      <c r="E1309" s="9">
        <f>YEAR(Table4[[#This Row],[issue_date]])</f>
        <v>2023</v>
      </c>
      <c r="F1309" t="s">
        <v>21</v>
      </c>
      <c r="G1309">
        <v>10</v>
      </c>
      <c r="H1309" t="s">
        <v>20</v>
      </c>
      <c r="I1309" t="str">
        <f>VLOOKUP(Table4[[#This Row],[customer_id]],customers!A:G,4,)</f>
        <v>hyderabad</v>
      </c>
    </row>
    <row r="1310" spans="1:9" x14ac:dyDescent="0.3">
      <c r="A1310">
        <v>21309</v>
      </c>
      <c r="B1310">
        <v>188</v>
      </c>
      <c r="C1310" s="2">
        <v>45295</v>
      </c>
      <c r="D1310" s="2" t="str">
        <f>TEXT(Table4[[#This Row],[issue_date]],"mmmm")</f>
        <v>January</v>
      </c>
      <c r="E1310" s="9">
        <f>YEAR(Table4[[#This Row],[issue_date]])</f>
        <v>2024</v>
      </c>
      <c r="F1310" t="s">
        <v>21</v>
      </c>
      <c r="G1310">
        <v>24</v>
      </c>
      <c r="H1310" t="s">
        <v>20</v>
      </c>
      <c r="I1310" t="str">
        <f>VLOOKUP(Table4[[#This Row],[customer_id]],customers!A:G,4,)</f>
        <v>delhi</v>
      </c>
    </row>
    <row r="1311" spans="1:9" x14ac:dyDescent="0.3">
      <c r="A1311">
        <v>21310</v>
      </c>
      <c r="B1311">
        <v>390</v>
      </c>
      <c r="C1311" s="2">
        <v>45005</v>
      </c>
      <c r="D1311" s="2" t="str">
        <f>TEXT(Table4[[#This Row],[issue_date]],"mmmm")</f>
        <v>March</v>
      </c>
      <c r="E1311" s="9">
        <f>YEAR(Table4[[#This Row],[issue_date]])</f>
        <v>2023</v>
      </c>
      <c r="F1311" t="s">
        <v>19</v>
      </c>
      <c r="G1311">
        <v>12</v>
      </c>
      <c r="H1311" t="s">
        <v>20</v>
      </c>
      <c r="I1311" t="str">
        <f>VLOOKUP(Table4[[#This Row],[customer_id]],customers!A:G,4,)</f>
        <v>bangalore</v>
      </c>
    </row>
    <row r="1312" spans="1:9" x14ac:dyDescent="0.3">
      <c r="A1312">
        <v>21311</v>
      </c>
      <c r="B1312">
        <v>308</v>
      </c>
      <c r="C1312" s="2">
        <v>44679</v>
      </c>
      <c r="D1312" s="2" t="str">
        <f>TEXT(Table4[[#This Row],[issue_date]],"mmmm")</f>
        <v>April</v>
      </c>
      <c r="E1312" s="9">
        <f>YEAR(Table4[[#This Row],[issue_date]])</f>
        <v>2022</v>
      </c>
      <c r="F1312" t="s">
        <v>21</v>
      </c>
      <c r="G1312">
        <v>4</v>
      </c>
      <c r="H1312" t="s">
        <v>20</v>
      </c>
      <c r="I1312" t="str">
        <f>VLOOKUP(Table4[[#This Row],[customer_id]],customers!A:G,4,)</f>
        <v>chennai</v>
      </c>
    </row>
    <row r="1313" spans="1:9" x14ac:dyDescent="0.3">
      <c r="A1313">
        <v>21312</v>
      </c>
      <c r="B1313">
        <v>457</v>
      </c>
      <c r="C1313" s="2">
        <v>45078</v>
      </c>
      <c r="D1313" s="2" t="str">
        <f>TEXT(Table4[[#This Row],[issue_date]],"mmmm")</f>
        <v>June</v>
      </c>
      <c r="E1313" s="9">
        <f>YEAR(Table4[[#This Row],[issue_date]])</f>
        <v>2023</v>
      </c>
      <c r="F1313" t="s">
        <v>19</v>
      </c>
      <c r="G1313">
        <v>42</v>
      </c>
      <c r="H1313" t="s">
        <v>20</v>
      </c>
      <c r="I1313" t="str">
        <f>VLOOKUP(Table4[[#This Row],[customer_id]],customers!A:G,4,)</f>
        <v>delhi</v>
      </c>
    </row>
    <row r="1314" spans="1:9" x14ac:dyDescent="0.3">
      <c r="A1314">
        <v>21313</v>
      </c>
      <c r="B1314">
        <v>331</v>
      </c>
      <c r="C1314" s="2">
        <v>45284</v>
      </c>
      <c r="D1314" s="2" t="str">
        <f>TEXT(Table4[[#This Row],[issue_date]],"mmmm")</f>
        <v>December</v>
      </c>
      <c r="E1314" s="9">
        <f>YEAR(Table4[[#This Row],[issue_date]])</f>
        <v>2023</v>
      </c>
      <c r="F1314" t="s">
        <v>19</v>
      </c>
      <c r="G1314">
        <v>5</v>
      </c>
      <c r="H1314" t="s">
        <v>20</v>
      </c>
      <c r="I1314" t="str">
        <f>VLOOKUP(Table4[[#This Row],[customer_id]],customers!A:G,4,)</f>
        <v>bangalore</v>
      </c>
    </row>
    <row r="1315" spans="1:9" x14ac:dyDescent="0.3">
      <c r="A1315">
        <v>21314</v>
      </c>
      <c r="B1315">
        <v>214</v>
      </c>
      <c r="C1315" s="2">
        <v>45128</v>
      </c>
      <c r="D1315" s="2" t="str">
        <f>TEXT(Table4[[#This Row],[issue_date]],"mmmm")</f>
        <v>July</v>
      </c>
      <c r="E1315" s="9">
        <f>YEAR(Table4[[#This Row],[issue_date]])</f>
        <v>2023</v>
      </c>
      <c r="F1315" t="s">
        <v>21</v>
      </c>
      <c r="G1315">
        <v>26</v>
      </c>
      <c r="H1315" t="s">
        <v>23</v>
      </c>
      <c r="I1315" t="str">
        <f>VLOOKUP(Table4[[#This Row],[customer_id]],customers!A:G,4,)</f>
        <v>chennai</v>
      </c>
    </row>
    <row r="1316" spans="1:9" x14ac:dyDescent="0.3">
      <c r="A1316">
        <v>21315</v>
      </c>
      <c r="B1316">
        <v>495</v>
      </c>
      <c r="C1316" s="2">
        <v>45092</v>
      </c>
      <c r="D1316" s="2" t="str">
        <f>TEXT(Table4[[#This Row],[issue_date]],"mmmm")</f>
        <v>June</v>
      </c>
      <c r="E1316" s="9">
        <f>YEAR(Table4[[#This Row],[issue_date]])</f>
        <v>2023</v>
      </c>
      <c r="F1316" t="s">
        <v>21</v>
      </c>
      <c r="G1316">
        <v>59</v>
      </c>
      <c r="H1316" t="s">
        <v>20</v>
      </c>
      <c r="I1316" t="str">
        <f>VLOOKUP(Table4[[#This Row],[customer_id]],customers!A:G,4,)</f>
        <v>mumbai</v>
      </c>
    </row>
    <row r="1317" spans="1:9" x14ac:dyDescent="0.3">
      <c r="A1317">
        <v>21316</v>
      </c>
      <c r="B1317">
        <v>329</v>
      </c>
      <c r="C1317" s="2">
        <v>44649</v>
      </c>
      <c r="D1317" s="2" t="str">
        <f>TEXT(Table4[[#This Row],[issue_date]],"mmmm")</f>
        <v>March</v>
      </c>
      <c r="E1317" s="9">
        <f>YEAR(Table4[[#This Row],[issue_date]])</f>
        <v>2022</v>
      </c>
      <c r="F1317" t="s">
        <v>22</v>
      </c>
      <c r="G1317">
        <v>62</v>
      </c>
      <c r="H1317" t="s">
        <v>20</v>
      </c>
      <c r="I1317" t="str">
        <f>VLOOKUP(Table4[[#This Row],[customer_id]],customers!A:G,4,)</f>
        <v>delhi</v>
      </c>
    </row>
    <row r="1318" spans="1:9" x14ac:dyDescent="0.3">
      <c r="A1318">
        <v>21317</v>
      </c>
      <c r="B1318">
        <v>29</v>
      </c>
      <c r="C1318" s="2">
        <v>45320</v>
      </c>
      <c r="D1318" s="2" t="str">
        <f>TEXT(Table4[[#This Row],[issue_date]],"mmmm")</f>
        <v>January</v>
      </c>
      <c r="E1318" s="9">
        <f>YEAR(Table4[[#This Row],[issue_date]])</f>
        <v>2024</v>
      </c>
      <c r="F1318" t="s">
        <v>21</v>
      </c>
      <c r="G1318">
        <v>5</v>
      </c>
      <c r="H1318" t="s">
        <v>20</v>
      </c>
      <c r="I1318" t="str">
        <f>VLOOKUP(Table4[[#This Row],[customer_id]],customers!A:G,4,)</f>
        <v>kolkata</v>
      </c>
    </row>
    <row r="1319" spans="1:9" x14ac:dyDescent="0.3">
      <c r="A1319">
        <v>21318</v>
      </c>
      <c r="B1319">
        <v>171</v>
      </c>
      <c r="C1319" s="2">
        <v>45190</v>
      </c>
      <c r="D1319" s="2" t="str">
        <f>TEXT(Table4[[#This Row],[issue_date]],"mmmm")</f>
        <v>September</v>
      </c>
      <c r="E1319" s="9">
        <f>YEAR(Table4[[#This Row],[issue_date]])</f>
        <v>2023</v>
      </c>
      <c r="F1319" t="s">
        <v>22</v>
      </c>
      <c r="G1319">
        <v>26</v>
      </c>
      <c r="H1319" t="s">
        <v>20</v>
      </c>
      <c r="I1319" t="str">
        <f>VLOOKUP(Table4[[#This Row],[customer_id]],customers!A:G,4,)</f>
        <v>bangalore</v>
      </c>
    </row>
    <row r="1320" spans="1:9" x14ac:dyDescent="0.3">
      <c r="A1320">
        <v>21319</v>
      </c>
      <c r="B1320">
        <v>122</v>
      </c>
      <c r="C1320" s="2">
        <v>45037</v>
      </c>
      <c r="D1320" s="2" t="str">
        <f>TEXT(Table4[[#This Row],[issue_date]],"mmmm")</f>
        <v>April</v>
      </c>
      <c r="E1320" s="9">
        <f>YEAR(Table4[[#This Row],[issue_date]])</f>
        <v>2023</v>
      </c>
      <c r="F1320" t="s">
        <v>21</v>
      </c>
      <c r="G1320">
        <v>6</v>
      </c>
      <c r="H1320" t="s">
        <v>20</v>
      </c>
      <c r="I1320" t="str">
        <f>VLOOKUP(Table4[[#This Row],[customer_id]],customers!A:G,4,)</f>
        <v>hyderabad</v>
      </c>
    </row>
    <row r="1321" spans="1:9" x14ac:dyDescent="0.3">
      <c r="A1321">
        <v>21320</v>
      </c>
      <c r="B1321">
        <v>458</v>
      </c>
      <c r="C1321" s="2">
        <v>45243</v>
      </c>
      <c r="D1321" s="2" t="str">
        <f>TEXT(Table4[[#This Row],[issue_date]],"mmmm")</f>
        <v>November</v>
      </c>
      <c r="E1321" s="9">
        <f>YEAR(Table4[[#This Row],[issue_date]])</f>
        <v>2023</v>
      </c>
      <c r="F1321" t="s">
        <v>21</v>
      </c>
      <c r="G1321">
        <v>24</v>
      </c>
      <c r="H1321" t="s">
        <v>20</v>
      </c>
      <c r="I1321" t="str">
        <f>VLOOKUP(Table4[[#This Row],[customer_id]],customers!A:G,4,)</f>
        <v>hyderabad</v>
      </c>
    </row>
    <row r="1322" spans="1:9" x14ac:dyDescent="0.3">
      <c r="A1322">
        <v>21321</v>
      </c>
      <c r="B1322">
        <v>418</v>
      </c>
      <c r="C1322" s="2">
        <v>45046</v>
      </c>
      <c r="D1322" s="2" t="str">
        <f>TEXT(Table4[[#This Row],[issue_date]],"mmmm")</f>
        <v>April</v>
      </c>
      <c r="E1322" s="9">
        <f>YEAR(Table4[[#This Row],[issue_date]])</f>
        <v>2023</v>
      </c>
      <c r="F1322" t="s">
        <v>21</v>
      </c>
      <c r="G1322">
        <v>53</v>
      </c>
      <c r="H1322" t="s">
        <v>20</v>
      </c>
      <c r="I1322" t="str">
        <f>VLOOKUP(Table4[[#This Row],[customer_id]],customers!A:G,4,)</f>
        <v>mumbai</v>
      </c>
    </row>
    <row r="1323" spans="1:9" x14ac:dyDescent="0.3">
      <c r="A1323">
        <v>21322</v>
      </c>
      <c r="B1323">
        <v>159</v>
      </c>
      <c r="C1323" s="2">
        <v>45223</v>
      </c>
      <c r="D1323" s="2" t="str">
        <f>TEXT(Table4[[#This Row],[issue_date]],"mmmm")</f>
        <v>October</v>
      </c>
      <c r="E1323" s="9">
        <f>YEAR(Table4[[#This Row],[issue_date]])</f>
        <v>2023</v>
      </c>
      <c r="F1323" t="s">
        <v>21</v>
      </c>
      <c r="G1323">
        <v>7</v>
      </c>
      <c r="H1323" t="s">
        <v>20</v>
      </c>
      <c r="I1323" t="str">
        <f>VLOOKUP(Table4[[#This Row],[customer_id]],customers!A:G,4,)</f>
        <v>delhi</v>
      </c>
    </row>
    <row r="1324" spans="1:9" x14ac:dyDescent="0.3">
      <c r="A1324">
        <v>21323</v>
      </c>
      <c r="B1324">
        <v>86</v>
      </c>
      <c r="C1324" s="2">
        <v>44856</v>
      </c>
      <c r="D1324" s="2" t="str">
        <f>TEXT(Table4[[#This Row],[issue_date]],"mmmm")</f>
        <v>October</v>
      </c>
      <c r="E1324" s="9">
        <f>YEAR(Table4[[#This Row],[issue_date]])</f>
        <v>2022</v>
      </c>
      <c r="F1324" t="s">
        <v>19</v>
      </c>
      <c r="G1324">
        <v>10</v>
      </c>
      <c r="H1324" t="s">
        <v>20</v>
      </c>
      <c r="I1324" t="str">
        <f>VLOOKUP(Table4[[#This Row],[customer_id]],customers!A:G,4,)</f>
        <v>delhi</v>
      </c>
    </row>
    <row r="1325" spans="1:9" x14ac:dyDescent="0.3">
      <c r="A1325">
        <v>21324</v>
      </c>
      <c r="B1325">
        <v>302</v>
      </c>
      <c r="C1325" s="2">
        <v>45281</v>
      </c>
      <c r="D1325" s="2" t="str">
        <f>TEXT(Table4[[#This Row],[issue_date]],"mmmm")</f>
        <v>December</v>
      </c>
      <c r="E1325" s="9">
        <f>YEAR(Table4[[#This Row],[issue_date]])</f>
        <v>2023</v>
      </c>
      <c r="F1325" t="s">
        <v>21</v>
      </c>
      <c r="G1325">
        <v>39</v>
      </c>
      <c r="H1325" t="s">
        <v>20</v>
      </c>
      <c r="I1325" t="str">
        <f>VLOOKUP(Table4[[#This Row],[customer_id]],customers!A:G,4,)</f>
        <v>kolkata</v>
      </c>
    </row>
    <row r="1326" spans="1:9" x14ac:dyDescent="0.3">
      <c r="A1326">
        <v>21325</v>
      </c>
      <c r="B1326">
        <v>4</v>
      </c>
      <c r="C1326" s="2">
        <v>44942</v>
      </c>
      <c r="D1326" s="2" t="str">
        <f>TEXT(Table4[[#This Row],[issue_date]],"mmmm")</f>
        <v>January</v>
      </c>
      <c r="E1326" s="9">
        <f>YEAR(Table4[[#This Row],[issue_date]])</f>
        <v>2023</v>
      </c>
      <c r="F1326" t="s">
        <v>19</v>
      </c>
      <c r="G1326">
        <v>28</v>
      </c>
      <c r="H1326" t="s">
        <v>23</v>
      </c>
      <c r="I1326" t="str">
        <f>VLOOKUP(Table4[[#This Row],[customer_id]],customers!A:G,4,)</f>
        <v>chennai</v>
      </c>
    </row>
    <row r="1327" spans="1:9" x14ac:dyDescent="0.3">
      <c r="A1327">
        <v>21326</v>
      </c>
      <c r="B1327">
        <v>2</v>
      </c>
      <c r="C1327" s="2">
        <v>44844</v>
      </c>
      <c r="D1327" s="2" t="str">
        <f>TEXT(Table4[[#This Row],[issue_date]],"mmmm")</f>
        <v>October</v>
      </c>
      <c r="E1327" s="9">
        <f>YEAR(Table4[[#This Row],[issue_date]])</f>
        <v>2022</v>
      </c>
      <c r="F1327" t="s">
        <v>21</v>
      </c>
      <c r="G1327">
        <v>42</v>
      </c>
      <c r="H1327" t="s">
        <v>20</v>
      </c>
      <c r="I1327" t="str">
        <f>VLOOKUP(Table4[[#This Row],[customer_id]],customers!A:G,4,)</f>
        <v>chennai</v>
      </c>
    </row>
    <row r="1328" spans="1:9" x14ac:dyDescent="0.3">
      <c r="A1328">
        <v>21327</v>
      </c>
      <c r="B1328">
        <v>133</v>
      </c>
      <c r="C1328" s="2">
        <v>45405</v>
      </c>
      <c r="D1328" s="2" t="str">
        <f>TEXT(Table4[[#This Row],[issue_date]],"mmmm")</f>
        <v>April</v>
      </c>
      <c r="E1328" s="9">
        <f>YEAR(Table4[[#This Row],[issue_date]])</f>
        <v>2024</v>
      </c>
      <c r="F1328" t="s">
        <v>21</v>
      </c>
      <c r="G1328">
        <v>62</v>
      </c>
      <c r="H1328" t="s">
        <v>20</v>
      </c>
      <c r="I1328" t="str">
        <f>VLOOKUP(Table4[[#This Row],[customer_id]],customers!A:G,4,)</f>
        <v>kolkata</v>
      </c>
    </row>
    <row r="1329" spans="1:9" x14ac:dyDescent="0.3">
      <c r="A1329">
        <v>21328</v>
      </c>
      <c r="B1329">
        <v>302</v>
      </c>
      <c r="C1329" s="2">
        <v>45247</v>
      </c>
      <c r="D1329" s="2" t="str">
        <f>TEXT(Table4[[#This Row],[issue_date]],"mmmm")</f>
        <v>November</v>
      </c>
      <c r="E1329" s="9">
        <f>YEAR(Table4[[#This Row],[issue_date]])</f>
        <v>2023</v>
      </c>
      <c r="F1329" t="s">
        <v>19</v>
      </c>
      <c r="G1329">
        <v>52</v>
      </c>
      <c r="H1329" t="s">
        <v>23</v>
      </c>
      <c r="I1329" t="str">
        <f>VLOOKUP(Table4[[#This Row],[customer_id]],customers!A:G,4,)</f>
        <v>kolkata</v>
      </c>
    </row>
    <row r="1330" spans="1:9" x14ac:dyDescent="0.3">
      <c r="A1330">
        <v>21329</v>
      </c>
      <c r="B1330">
        <v>79</v>
      </c>
      <c r="C1330" s="2">
        <v>45200</v>
      </c>
      <c r="D1330" s="2" t="str">
        <f>TEXT(Table4[[#This Row],[issue_date]],"mmmm")</f>
        <v>October</v>
      </c>
      <c r="E1330" s="9">
        <f>YEAR(Table4[[#This Row],[issue_date]])</f>
        <v>2023</v>
      </c>
      <c r="F1330" t="s">
        <v>21</v>
      </c>
      <c r="G1330">
        <v>22</v>
      </c>
      <c r="H1330" t="s">
        <v>20</v>
      </c>
      <c r="I1330" t="str">
        <f>VLOOKUP(Table4[[#This Row],[customer_id]],customers!A:G,4,)</f>
        <v>delhi</v>
      </c>
    </row>
    <row r="1331" spans="1:9" x14ac:dyDescent="0.3">
      <c r="A1331">
        <v>21330</v>
      </c>
      <c r="B1331">
        <v>147</v>
      </c>
      <c r="C1331" s="2">
        <v>44717</v>
      </c>
      <c r="D1331" s="2" t="str">
        <f>TEXT(Table4[[#This Row],[issue_date]],"mmmm")</f>
        <v>June</v>
      </c>
      <c r="E1331" s="9">
        <f>YEAR(Table4[[#This Row],[issue_date]])</f>
        <v>2022</v>
      </c>
      <c r="F1331" t="s">
        <v>22</v>
      </c>
      <c r="G1331">
        <v>57</v>
      </c>
      <c r="H1331" t="s">
        <v>20</v>
      </c>
      <c r="I1331" t="str">
        <f>VLOOKUP(Table4[[#This Row],[customer_id]],customers!A:G,4,)</f>
        <v>bangalore</v>
      </c>
    </row>
    <row r="1332" spans="1:9" x14ac:dyDescent="0.3">
      <c r="A1332">
        <v>21331</v>
      </c>
      <c r="B1332">
        <v>166</v>
      </c>
      <c r="C1332" s="2">
        <v>44741</v>
      </c>
      <c r="D1332" s="2" t="str">
        <f>TEXT(Table4[[#This Row],[issue_date]],"mmmm")</f>
        <v>June</v>
      </c>
      <c r="E1332" s="9">
        <f>YEAR(Table4[[#This Row],[issue_date]])</f>
        <v>2022</v>
      </c>
      <c r="F1332" t="s">
        <v>22</v>
      </c>
      <c r="G1332">
        <v>11</v>
      </c>
      <c r="H1332" t="s">
        <v>20</v>
      </c>
      <c r="I1332" t="str">
        <f>VLOOKUP(Table4[[#This Row],[customer_id]],customers!A:G,4,)</f>
        <v>delhi</v>
      </c>
    </row>
    <row r="1333" spans="1:9" x14ac:dyDescent="0.3">
      <c r="A1333">
        <v>21332</v>
      </c>
      <c r="B1333">
        <v>315</v>
      </c>
      <c r="C1333" s="2">
        <v>45451</v>
      </c>
      <c r="D1333" s="2" t="str">
        <f>TEXT(Table4[[#This Row],[issue_date]],"mmmm")</f>
        <v>June</v>
      </c>
      <c r="E1333" s="9">
        <f>YEAR(Table4[[#This Row],[issue_date]])</f>
        <v>2024</v>
      </c>
      <c r="F1333" t="s">
        <v>21</v>
      </c>
      <c r="G1333">
        <v>14</v>
      </c>
      <c r="H1333" t="s">
        <v>23</v>
      </c>
      <c r="I1333" t="str">
        <f>VLOOKUP(Table4[[#This Row],[customer_id]],customers!A:G,4,)</f>
        <v>kolkata</v>
      </c>
    </row>
    <row r="1334" spans="1:9" x14ac:dyDescent="0.3">
      <c r="A1334">
        <v>21333</v>
      </c>
      <c r="B1334">
        <v>463</v>
      </c>
      <c r="C1334" s="2">
        <v>44648</v>
      </c>
      <c r="D1334" s="2" t="str">
        <f>TEXT(Table4[[#This Row],[issue_date]],"mmmm")</f>
        <v>March</v>
      </c>
      <c r="E1334" s="9">
        <f>YEAR(Table4[[#This Row],[issue_date]])</f>
        <v>2022</v>
      </c>
      <c r="F1334" t="s">
        <v>22</v>
      </c>
      <c r="G1334">
        <v>31</v>
      </c>
      <c r="H1334" t="s">
        <v>20</v>
      </c>
      <c r="I1334" t="str">
        <f>VLOOKUP(Table4[[#This Row],[customer_id]],customers!A:G,4,)</f>
        <v>delhi</v>
      </c>
    </row>
    <row r="1335" spans="1:9" x14ac:dyDescent="0.3">
      <c r="A1335">
        <v>21334</v>
      </c>
      <c r="B1335">
        <v>238</v>
      </c>
      <c r="C1335" s="2">
        <v>44967</v>
      </c>
      <c r="D1335" s="2" t="str">
        <f>TEXT(Table4[[#This Row],[issue_date]],"mmmm")</f>
        <v>February</v>
      </c>
      <c r="E1335" s="9">
        <f>YEAR(Table4[[#This Row],[issue_date]])</f>
        <v>2023</v>
      </c>
      <c r="F1335" t="s">
        <v>22</v>
      </c>
      <c r="G1335">
        <v>4</v>
      </c>
      <c r="H1335" t="s">
        <v>20</v>
      </c>
      <c r="I1335" t="str">
        <f>VLOOKUP(Table4[[#This Row],[customer_id]],customers!A:G,4,)</f>
        <v>mumbai</v>
      </c>
    </row>
    <row r="1336" spans="1:9" x14ac:dyDescent="0.3">
      <c r="A1336">
        <v>21335</v>
      </c>
      <c r="B1336">
        <v>328</v>
      </c>
      <c r="C1336" s="2">
        <v>45397</v>
      </c>
      <c r="D1336" s="2" t="str">
        <f>TEXT(Table4[[#This Row],[issue_date]],"mmmm")</f>
        <v>April</v>
      </c>
      <c r="E1336" s="9">
        <f>YEAR(Table4[[#This Row],[issue_date]])</f>
        <v>2024</v>
      </c>
      <c r="F1336" t="s">
        <v>22</v>
      </c>
      <c r="G1336">
        <v>22</v>
      </c>
      <c r="H1336" t="s">
        <v>20</v>
      </c>
      <c r="I1336" t="str">
        <f>VLOOKUP(Table4[[#This Row],[customer_id]],customers!A:G,4,)</f>
        <v>kolkata</v>
      </c>
    </row>
    <row r="1337" spans="1:9" x14ac:dyDescent="0.3">
      <c r="A1337">
        <v>21336</v>
      </c>
      <c r="B1337">
        <v>276</v>
      </c>
      <c r="C1337" s="2">
        <v>45057</v>
      </c>
      <c r="D1337" s="2" t="str">
        <f>TEXT(Table4[[#This Row],[issue_date]],"mmmm")</f>
        <v>May</v>
      </c>
      <c r="E1337" s="9">
        <f>YEAR(Table4[[#This Row],[issue_date]])</f>
        <v>2023</v>
      </c>
      <c r="F1337" t="s">
        <v>22</v>
      </c>
      <c r="G1337">
        <v>64</v>
      </c>
      <c r="H1337" t="s">
        <v>20</v>
      </c>
      <c r="I1337" t="str">
        <f>VLOOKUP(Table4[[#This Row],[customer_id]],customers!A:G,4,)</f>
        <v>hyderabad</v>
      </c>
    </row>
    <row r="1338" spans="1:9" x14ac:dyDescent="0.3">
      <c r="A1338">
        <v>21337</v>
      </c>
      <c r="B1338">
        <v>204</v>
      </c>
      <c r="C1338" s="2">
        <v>44828</v>
      </c>
      <c r="D1338" s="2" t="str">
        <f>TEXT(Table4[[#This Row],[issue_date]],"mmmm")</f>
        <v>September</v>
      </c>
      <c r="E1338" s="9">
        <f>YEAR(Table4[[#This Row],[issue_date]])</f>
        <v>2022</v>
      </c>
      <c r="F1338" t="s">
        <v>19</v>
      </c>
      <c r="G1338">
        <v>61</v>
      </c>
      <c r="H1338" t="s">
        <v>20</v>
      </c>
      <c r="I1338" t="str">
        <f>VLOOKUP(Table4[[#This Row],[customer_id]],customers!A:G,4,)</f>
        <v>mumbai</v>
      </c>
    </row>
    <row r="1339" spans="1:9" x14ac:dyDescent="0.3">
      <c r="A1339">
        <v>21338</v>
      </c>
      <c r="B1339">
        <v>452</v>
      </c>
      <c r="C1339" s="2">
        <v>45155</v>
      </c>
      <c r="D1339" s="2" t="str">
        <f>TEXT(Table4[[#This Row],[issue_date]],"mmmm")</f>
        <v>August</v>
      </c>
      <c r="E1339" s="9">
        <f>YEAR(Table4[[#This Row],[issue_date]])</f>
        <v>2023</v>
      </c>
      <c r="F1339" t="s">
        <v>19</v>
      </c>
      <c r="G1339">
        <v>6</v>
      </c>
      <c r="H1339" t="s">
        <v>23</v>
      </c>
      <c r="I1339" t="str">
        <f>VLOOKUP(Table4[[#This Row],[customer_id]],customers!A:G,4,)</f>
        <v>delhi</v>
      </c>
    </row>
    <row r="1340" spans="1:9" x14ac:dyDescent="0.3">
      <c r="A1340">
        <v>21339</v>
      </c>
      <c r="B1340">
        <v>53</v>
      </c>
      <c r="C1340" s="2">
        <v>44625</v>
      </c>
      <c r="D1340" s="2" t="str">
        <f>TEXT(Table4[[#This Row],[issue_date]],"mmmm")</f>
        <v>March</v>
      </c>
      <c r="E1340" s="9">
        <f>YEAR(Table4[[#This Row],[issue_date]])</f>
        <v>2022</v>
      </c>
      <c r="F1340" t="s">
        <v>19</v>
      </c>
      <c r="G1340">
        <v>68</v>
      </c>
      <c r="H1340" t="s">
        <v>20</v>
      </c>
      <c r="I1340" t="str">
        <f>VLOOKUP(Table4[[#This Row],[customer_id]],customers!A:G,4,)</f>
        <v>mumbai</v>
      </c>
    </row>
    <row r="1341" spans="1:9" x14ac:dyDescent="0.3">
      <c r="A1341">
        <v>21340</v>
      </c>
      <c r="B1341">
        <v>486</v>
      </c>
      <c r="C1341" s="2">
        <v>44680</v>
      </c>
      <c r="D1341" s="2" t="str">
        <f>TEXT(Table4[[#This Row],[issue_date]],"mmmm")</f>
        <v>April</v>
      </c>
      <c r="E1341" s="9">
        <f>YEAR(Table4[[#This Row],[issue_date]])</f>
        <v>2022</v>
      </c>
      <c r="F1341" t="s">
        <v>22</v>
      </c>
      <c r="G1341">
        <v>6</v>
      </c>
      <c r="H1341" t="s">
        <v>23</v>
      </c>
      <c r="I1341" t="str">
        <f>VLOOKUP(Table4[[#This Row],[customer_id]],customers!A:G,4,)</f>
        <v>chennai</v>
      </c>
    </row>
    <row r="1342" spans="1:9" x14ac:dyDescent="0.3">
      <c r="A1342">
        <v>21341</v>
      </c>
      <c r="B1342">
        <v>107</v>
      </c>
      <c r="C1342" s="2">
        <v>44902</v>
      </c>
      <c r="D1342" s="2" t="str">
        <f>TEXT(Table4[[#This Row],[issue_date]],"mmmm")</f>
        <v>December</v>
      </c>
      <c r="E1342" s="9">
        <f>YEAR(Table4[[#This Row],[issue_date]])</f>
        <v>2022</v>
      </c>
      <c r="F1342" t="s">
        <v>22</v>
      </c>
      <c r="G1342">
        <v>66</v>
      </c>
      <c r="H1342" t="s">
        <v>20</v>
      </c>
      <c r="I1342" t="str">
        <f>VLOOKUP(Table4[[#This Row],[customer_id]],customers!A:G,4,)</f>
        <v>chennai</v>
      </c>
    </row>
    <row r="1343" spans="1:9" x14ac:dyDescent="0.3">
      <c r="A1343">
        <v>21342</v>
      </c>
      <c r="B1343">
        <v>55</v>
      </c>
      <c r="C1343" s="2">
        <v>44874</v>
      </c>
      <c r="D1343" s="2" t="str">
        <f>TEXT(Table4[[#This Row],[issue_date]],"mmmm")</f>
        <v>November</v>
      </c>
      <c r="E1343" s="9">
        <f>YEAR(Table4[[#This Row],[issue_date]])</f>
        <v>2022</v>
      </c>
      <c r="F1343" t="s">
        <v>19</v>
      </c>
      <c r="G1343">
        <v>36</v>
      </c>
      <c r="H1343" t="s">
        <v>20</v>
      </c>
      <c r="I1343" t="str">
        <f>VLOOKUP(Table4[[#This Row],[customer_id]],customers!A:G,4,)</f>
        <v>mumbai</v>
      </c>
    </row>
    <row r="1344" spans="1:9" x14ac:dyDescent="0.3">
      <c r="A1344">
        <v>21343</v>
      </c>
      <c r="B1344">
        <v>246</v>
      </c>
      <c r="C1344" s="2">
        <v>44724</v>
      </c>
      <c r="D1344" s="2" t="str">
        <f>TEXT(Table4[[#This Row],[issue_date]],"mmmm")</f>
        <v>June</v>
      </c>
      <c r="E1344" s="9">
        <f>YEAR(Table4[[#This Row],[issue_date]])</f>
        <v>2022</v>
      </c>
      <c r="F1344" t="s">
        <v>22</v>
      </c>
      <c r="G1344">
        <v>15</v>
      </c>
      <c r="H1344" t="s">
        <v>20</v>
      </c>
      <c r="I1344" t="str">
        <f>VLOOKUP(Table4[[#This Row],[customer_id]],customers!A:G,4,)</f>
        <v>bangalore</v>
      </c>
    </row>
    <row r="1345" spans="1:9" x14ac:dyDescent="0.3">
      <c r="A1345">
        <v>21344</v>
      </c>
      <c r="B1345">
        <v>423</v>
      </c>
      <c r="C1345" s="2">
        <v>45066</v>
      </c>
      <c r="D1345" s="2" t="str">
        <f>TEXT(Table4[[#This Row],[issue_date]],"mmmm")</f>
        <v>May</v>
      </c>
      <c r="E1345" s="9">
        <f>YEAR(Table4[[#This Row],[issue_date]])</f>
        <v>2023</v>
      </c>
      <c r="F1345" t="s">
        <v>19</v>
      </c>
      <c r="G1345">
        <v>40</v>
      </c>
      <c r="H1345" t="s">
        <v>20</v>
      </c>
      <c r="I1345" t="str">
        <f>VLOOKUP(Table4[[#This Row],[customer_id]],customers!A:G,4,)</f>
        <v>bangalore</v>
      </c>
    </row>
    <row r="1346" spans="1:9" x14ac:dyDescent="0.3">
      <c r="A1346">
        <v>21345</v>
      </c>
      <c r="B1346">
        <v>377</v>
      </c>
      <c r="C1346" s="2">
        <v>44854</v>
      </c>
      <c r="D1346" s="2" t="str">
        <f>TEXT(Table4[[#This Row],[issue_date]],"mmmm")</f>
        <v>October</v>
      </c>
      <c r="E1346" s="9">
        <f>YEAR(Table4[[#This Row],[issue_date]])</f>
        <v>2022</v>
      </c>
      <c r="F1346" t="s">
        <v>19</v>
      </c>
      <c r="G1346">
        <v>41</v>
      </c>
      <c r="H1346" t="s">
        <v>23</v>
      </c>
      <c r="I1346" t="str">
        <f>VLOOKUP(Table4[[#This Row],[customer_id]],customers!A:G,4,)</f>
        <v>mumbai</v>
      </c>
    </row>
    <row r="1347" spans="1:9" x14ac:dyDescent="0.3">
      <c r="A1347">
        <v>21346</v>
      </c>
      <c r="B1347">
        <v>164</v>
      </c>
      <c r="C1347" s="2">
        <v>45251</v>
      </c>
      <c r="D1347" s="2" t="str">
        <f>TEXT(Table4[[#This Row],[issue_date]],"mmmm")</f>
        <v>November</v>
      </c>
      <c r="E1347" s="9">
        <f>YEAR(Table4[[#This Row],[issue_date]])</f>
        <v>2023</v>
      </c>
      <c r="F1347" t="s">
        <v>19</v>
      </c>
      <c r="G1347">
        <v>7</v>
      </c>
      <c r="H1347" t="s">
        <v>23</v>
      </c>
      <c r="I1347" t="str">
        <f>VLOOKUP(Table4[[#This Row],[customer_id]],customers!A:G,4,)</f>
        <v>chennai</v>
      </c>
    </row>
    <row r="1348" spans="1:9" x14ac:dyDescent="0.3">
      <c r="A1348">
        <v>21347</v>
      </c>
      <c r="B1348">
        <v>442</v>
      </c>
      <c r="C1348" s="2">
        <v>44938</v>
      </c>
      <c r="D1348" s="2" t="str">
        <f>TEXT(Table4[[#This Row],[issue_date]],"mmmm")</f>
        <v>January</v>
      </c>
      <c r="E1348" s="9">
        <f>YEAR(Table4[[#This Row],[issue_date]])</f>
        <v>2023</v>
      </c>
      <c r="F1348" t="s">
        <v>22</v>
      </c>
      <c r="G1348">
        <v>22</v>
      </c>
      <c r="H1348" t="s">
        <v>20</v>
      </c>
      <c r="I1348" t="str">
        <f>VLOOKUP(Table4[[#This Row],[customer_id]],customers!A:G,4,)</f>
        <v>hyderabad</v>
      </c>
    </row>
    <row r="1349" spans="1:9" x14ac:dyDescent="0.3">
      <c r="A1349">
        <v>21348</v>
      </c>
      <c r="B1349">
        <v>15</v>
      </c>
      <c r="C1349" s="2">
        <v>45103</v>
      </c>
      <c r="D1349" s="2" t="str">
        <f>TEXT(Table4[[#This Row],[issue_date]],"mmmm")</f>
        <v>June</v>
      </c>
      <c r="E1349" s="9">
        <f>YEAR(Table4[[#This Row],[issue_date]])</f>
        <v>2023</v>
      </c>
      <c r="F1349" t="s">
        <v>19</v>
      </c>
      <c r="G1349">
        <v>11</v>
      </c>
      <c r="H1349" t="s">
        <v>20</v>
      </c>
      <c r="I1349" t="str">
        <f>VLOOKUP(Table4[[#This Row],[customer_id]],customers!A:G,4,)</f>
        <v>delhi</v>
      </c>
    </row>
    <row r="1350" spans="1:9" x14ac:dyDescent="0.3">
      <c r="A1350">
        <v>21349</v>
      </c>
      <c r="B1350">
        <v>1</v>
      </c>
      <c r="C1350" s="2">
        <v>44962</v>
      </c>
      <c r="D1350" s="2" t="str">
        <f>TEXT(Table4[[#This Row],[issue_date]],"mmmm")</f>
        <v>February</v>
      </c>
      <c r="E1350" s="9">
        <f>YEAR(Table4[[#This Row],[issue_date]])</f>
        <v>2023</v>
      </c>
      <c r="F1350" t="s">
        <v>21</v>
      </c>
      <c r="G1350">
        <v>2</v>
      </c>
      <c r="H1350" t="s">
        <v>20</v>
      </c>
      <c r="I1350" t="str">
        <f>VLOOKUP(Table4[[#This Row],[customer_id]],customers!A:G,4,)</f>
        <v>kolkata</v>
      </c>
    </row>
    <row r="1351" spans="1:9" x14ac:dyDescent="0.3">
      <c r="A1351">
        <v>21350</v>
      </c>
      <c r="B1351">
        <v>351</v>
      </c>
      <c r="C1351" s="2">
        <v>45234</v>
      </c>
      <c r="D1351" s="2" t="str">
        <f>TEXT(Table4[[#This Row],[issue_date]],"mmmm")</f>
        <v>November</v>
      </c>
      <c r="E1351" s="9">
        <f>YEAR(Table4[[#This Row],[issue_date]])</f>
        <v>2023</v>
      </c>
      <c r="F1351" t="s">
        <v>19</v>
      </c>
      <c r="G1351">
        <v>30</v>
      </c>
      <c r="H1351" t="s">
        <v>20</v>
      </c>
      <c r="I1351" t="str">
        <f>VLOOKUP(Table4[[#This Row],[customer_id]],customers!A:G,4,)</f>
        <v>bangalore</v>
      </c>
    </row>
    <row r="1352" spans="1:9" x14ac:dyDescent="0.3">
      <c r="A1352">
        <v>21351</v>
      </c>
      <c r="B1352">
        <v>137</v>
      </c>
      <c r="C1352" s="2">
        <v>44961</v>
      </c>
      <c r="D1352" s="2" t="str">
        <f>TEXT(Table4[[#This Row],[issue_date]],"mmmm")</f>
        <v>February</v>
      </c>
      <c r="E1352" s="9">
        <f>YEAR(Table4[[#This Row],[issue_date]])</f>
        <v>2023</v>
      </c>
      <c r="F1352" t="s">
        <v>19</v>
      </c>
      <c r="G1352">
        <v>68</v>
      </c>
      <c r="H1352" t="s">
        <v>20</v>
      </c>
      <c r="I1352" t="str">
        <f>VLOOKUP(Table4[[#This Row],[customer_id]],customers!A:G,4,)</f>
        <v>delhi</v>
      </c>
    </row>
    <row r="1353" spans="1:9" x14ac:dyDescent="0.3">
      <c r="A1353">
        <v>21352</v>
      </c>
      <c r="B1353">
        <v>151</v>
      </c>
      <c r="C1353" s="2">
        <v>44960</v>
      </c>
      <c r="D1353" s="2" t="str">
        <f>TEXT(Table4[[#This Row],[issue_date]],"mmmm")</f>
        <v>February</v>
      </c>
      <c r="E1353" s="9">
        <f>YEAR(Table4[[#This Row],[issue_date]])</f>
        <v>2023</v>
      </c>
      <c r="F1353" t="s">
        <v>21</v>
      </c>
      <c r="G1353">
        <v>53</v>
      </c>
      <c r="H1353" t="s">
        <v>20</v>
      </c>
      <c r="I1353" t="str">
        <f>VLOOKUP(Table4[[#This Row],[customer_id]],customers!A:G,4,)</f>
        <v>delhi</v>
      </c>
    </row>
    <row r="1354" spans="1:9" x14ac:dyDescent="0.3">
      <c r="A1354">
        <v>21353</v>
      </c>
      <c r="B1354">
        <v>180</v>
      </c>
      <c r="C1354" s="2">
        <v>45048</v>
      </c>
      <c r="D1354" s="2" t="str">
        <f>TEXT(Table4[[#This Row],[issue_date]],"mmmm")</f>
        <v>May</v>
      </c>
      <c r="E1354" s="9">
        <f>YEAR(Table4[[#This Row],[issue_date]])</f>
        <v>2023</v>
      </c>
      <c r="F1354" t="s">
        <v>22</v>
      </c>
      <c r="G1354">
        <v>21</v>
      </c>
      <c r="H1354" t="s">
        <v>20</v>
      </c>
      <c r="I1354" t="str">
        <f>VLOOKUP(Table4[[#This Row],[customer_id]],customers!A:G,4,)</f>
        <v>kolkata</v>
      </c>
    </row>
    <row r="1355" spans="1:9" x14ac:dyDescent="0.3">
      <c r="A1355">
        <v>21354</v>
      </c>
      <c r="B1355">
        <v>410</v>
      </c>
      <c r="C1355" s="2">
        <v>45076</v>
      </c>
      <c r="D1355" s="2" t="str">
        <f>TEXT(Table4[[#This Row],[issue_date]],"mmmm")</f>
        <v>May</v>
      </c>
      <c r="E1355" s="9">
        <f>YEAR(Table4[[#This Row],[issue_date]])</f>
        <v>2023</v>
      </c>
      <c r="F1355" t="s">
        <v>19</v>
      </c>
      <c r="G1355">
        <v>25</v>
      </c>
      <c r="H1355" t="s">
        <v>20</v>
      </c>
      <c r="I1355" t="str">
        <f>VLOOKUP(Table4[[#This Row],[customer_id]],customers!A:G,4,)</f>
        <v>bangalore</v>
      </c>
    </row>
    <row r="1356" spans="1:9" x14ac:dyDescent="0.3">
      <c r="A1356">
        <v>21355</v>
      </c>
      <c r="B1356">
        <v>232</v>
      </c>
      <c r="C1356" s="2">
        <v>44585</v>
      </c>
      <c r="D1356" s="2" t="str">
        <f>TEXT(Table4[[#This Row],[issue_date]],"mmmm")</f>
        <v>January</v>
      </c>
      <c r="E1356" s="9">
        <f>YEAR(Table4[[#This Row],[issue_date]])</f>
        <v>2022</v>
      </c>
      <c r="F1356" t="s">
        <v>21</v>
      </c>
      <c r="G1356">
        <v>5</v>
      </c>
      <c r="H1356" t="s">
        <v>20</v>
      </c>
      <c r="I1356" t="str">
        <f>VLOOKUP(Table4[[#This Row],[customer_id]],customers!A:G,4,)</f>
        <v>mumbai</v>
      </c>
    </row>
    <row r="1357" spans="1:9" x14ac:dyDescent="0.3">
      <c r="A1357">
        <v>21356</v>
      </c>
      <c r="B1357">
        <v>492</v>
      </c>
      <c r="C1357" s="2">
        <v>44620</v>
      </c>
      <c r="D1357" s="2" t="str">
        <f>TEXT(Table4[[#This Row],[issue_date]],"mmmm")</f>
        <v>February</v>
      </c>
      <c r="E1357" s="9">
        <f>YEAR(Table4[[#This Row],[issue_date]])</f>
        <v>2022</v>
      </c>
      <c r="F1357" t="s">
        <v>22</v>
      </c>
      <c r="G1357">
        <v>66</v>
      </c>
      <c r="H1357" t="s">
        <v>20</v>
      </c>
      <c r="I1357" t="str">
        <f>VLOOKUP(Table4[[#This Row],[customer_id]],customers!A:G,4,)</f>
        <v>delhi</v>
      </c>
    </row>
    <row r="1358" spans="1:9" x14ac:dyDescent="0.3">
      <c r="A1358">
        <v>21357</v>
      </c>
      <c r="B1358">
        <v>487</v>
      </c>
      <c r="C1358" s="2">
        <v>45310</v>
      </c>
      <c r="D1358" s="2" t="str">
        <f>TEXT(Table4[[#This Row],[issue_date]],"mmmm")</f>
        <v>January</v>
      </c>
      <c r="E1358" s="9">
        <f>YEAR(Table4[[#This Row],[issue_date]])</f>
        <v>2024</v>
      </c>
      <c r="F1358" t="s">
        <v>21</v>
      </c>
      <c r="G1358">
        <v>49</v>
      </c>
      <c r="H1358" t="s">
        <v>20</v>
      </c>
      <c r="I1358" t="str">
        <f>VLOOKUP(Table4[[#This Row],[customer_id]],customers!A:G,4,)</f>
        <v>bangalore</v>
      </c>
    </row>
    <row r="1359" spans="1:9" x14ac:dyDescent="0.3">
      <c r="A1359">
        <v>21358</v>
      </c>
      <c r="B1359">
        <v>188</v>
      </c>
      <c r="C1359" s="2">
        <v>44801</v>
      </c>
      <c r="D1359" s="2" t="str">
        <f>TEXT(Table4[[#This Row],[issue_date]],"mmmm")</f>
        <v>August</v>
      </c>
      <c r="E1359" s="9">
        <f>YEAR(Table4[[#This Row],[issue_date]])</f>
        <v>2022</v>
      </c>
      <c r="F1359" t="s">
        <v>19</v>
      </c>
      <c r="G1359">
        <v>8</v>
      </c>
      <c r="H1359" t="s">
        <v>20</v>
      </c>
      <c r="I1359" t="str">
        <f>VLOOKUP(Table4[[#This Row],[customer_id]],customers!A:G,4,)</f>
        <v>delhi</v>
      </c>
    </row>
    <row r="1360" spans="1:9" x14ac:dyDescent="0.3">
      <c r="A1360">
        <v>21359</v>
      </c>
      <c r="B1360">
        <v>18</v>
      </c>
      <c r="C1360" s="2">
        <v>44872</v>
      </c>
      <c r="D1360" s="2" t="str">
        <f>TEXT(Table4[[#This Row],[issue_date]],"mmmm")</f>
        <v>November</v>
      </c>
      <c r="E1360" s="9">
        <f>YEAR(Table4[[#This Row],[issue_date]])</f>
        <v>2022</v>
      </c>
      <c r="F1360" t="s">
        <v>21</v>
      </c>
      <c r="G1360">
        <v>27</v>
      </c>
      <c r="H1360" t="s">
        <v>20</v>
      </c>
      <c r="I1360" t="str">
        <f>VLOOKUP(Table4[[#This Row],[customer_id]],customers!A:G,4,)</f>
        <v>delhi</v>
      </c>
    </row>
    <row r="1361" spans="1:9" x14ac:dyDescent="0.3">
      <c r="A1361">
        <v>21360</v>
      </c>
      <c r="B1361">
        <v>225</v>
      </c>
      <c r="C1361" s="2">
        <v>44882</v>
      </c>
      <c r="D1361" s="2" t="str">
        <f>TEXT(Table4[[#This Row],[issue_date]],"mmmm")</f>
        <v>November</v>
      </c>
      <c r="E1361" s="9">
        <f>YEAR(Table4[[#This Row],[issue_date]])</f>
        <v>2022</v>
      </c>
      <c r="F1361" t="s">
        <v>22</v>
      </c>
      <c r="G1361">
        <v>2</v>
      </c>
      <c r="H1361" t="s">
        <v>20</v>
      </c>
      <c r="I1361" t="str">
        <f>VLOOKUP(Table4[[#This Row],[customer_id]],customers!A:G,4,)</f>
        <v>hyderabad</v>
      </c>
    </row>
    <row r="1362" spans="1:9" x14ac:dyDescent="0.3">
      <c r="A1362">
        <v>21361</v>
      </c>
      <c r="B1362">
        <v>105</v>
      </c>
      <c r="C1362" s="2">
        <v>45233</v>
      </c>
      <c r="D1362" s="2" t="str">
        <f>TEXT(Table4[[#This Row],[issue_date]],"mmmm")</f>
        <v>November</v>
      </c>
      <c r="E1362" s="9">
        <f>YEAR(Table4[[#This Row],[issue_date]])</f>
        <v>2023</v>
      </c>
      <c r="F1362" t="s">
        <v>19</v>
      </c>
      <c r="G1362">
        <v>28</v>
      </c>
      <c r="H1362" t="s">
        <v>20</v>
      </c>
      <c r="I1362" t="str">
        <f>VLOOKUP(Table4[[#This Row],[customer_id]],customers!A:G,4,)</f>
        <v>kolkata</v>
      </c>
    </row>
    <row r="1363" spans="1:9" x14ac:dyDescent="0.3">
      <c r="A1363">
        <v>21362</v>
      </c>
      <c r="B1363">
        <v>487</v>
      </c>
      <c r="C1363" s="2">
        <v>45042</v>
      </c>
      <c r="D1363" s="2" t="str">
        <f>TEXT(Table4[[#This Row],[issue_date]],"mmmm")</f>
        <v>April</v>
      </c>
      <c r="E1363" s="9">
        <f>YEAR(Table4[[#This Row],[issue_date]])</f>
        <v>2023</v>
      </c>
      <c r="F1363" t="s">
        <v>21</v>
      </c>
      <c r="G1363">
        <v>11</v>
      </c>
      <c r="H1363" t="s">
        <v>20</v>
      </c>
      <c r="I1363" t="str">
        <f>VLOOKUP(Table4[[#This Row],[customer_id]],customers!A:G,4,)</f>
        <v>bangalore</v>
      </c>
    </row>
    <row r="1364" spans="1:9" x14ac:dyDescent="0.3">
      <c r="A1364">
        <v>21363</v>
      </c>
      <c r="B1364">
        <v>206</v>
      </c>
      <c r="C1364" s="2">
        <v>45133</v>
      </c>
      <c r="D1364" s="2" t="str">
        <f>TEXT(Table4[[#This Row],[issue_date]],"mmmm")</f>
        <v>July</v>
      </c>
      <c r="E1364" s="9">
        <f>YEAR(Table4[[#This Row],[issue_date]])</f>
        <v>2023</v>
      </c>
      <c r="F1364" t="s">
        <v>22</v>
      </c>
      <c r="G1364">
        <v>46</v>
      </c>
      <c r="H1364" t="s">
        <v>20</v>
      </c>
      <c r="I1364" t="str">
        <f>VLOOKUP(Table4[[#This Row],[customer_id]],customers!A:G,4,)</f>
        <v>hyderabad</v>
      </c>
    </row>
    <row r="1365" spans="1:9" x14ac:dyDescent="0.3">
      <c r="A1365">
        <v>21364</v>
      </c>
      <c r="B1365">
        <v>186</v>
      </c>
      <c r="C1365" s="2">
        <v>45313</v>
      </c>
      <c r="D1365" s="2" t="str">
        <f>TEXT(Table4[[#This Row],[issue_date]],"mmmm")</f>
        <v>January</v>
      </c>
      <c r="E1365" s="9">
        <f>YEAR(Table4[[#This Row],[issue_date]])</f>
        <v>2024</v>
      </c>
      <c r="F1365" t="s">
        <v>22</v>
      </c>
      <c r="G1365">
        <v>21</v>
      </c>
      <c r="H1365" t="s">
        <v>20</v>
      </c>
      <c r="I1365" t="str">
        <f>VLOOKUP(Table4[[#This Row],[customer_id]],customers!A:G,4,)</f>
        <v>hyderabad</v>
      </c>
    </row>
    <row r="1366" spans="1:9" x14ac:dyDescent="0.3">
      <c r="A1366">
        <v>21365</v>
      </c>
      <c r="B1366">
        <v>65</v>
      </c>
      <c r="C1366" s="2">
        <v>44975</v>
      </c>
      <c r="D1366" s="2" t="str">
        <f>TEXT(Table4[[#This Row],[issue_date]],"mmmm")</f>
        <v>February</v>
      </c>
      <c r="E1366" s="9">
        <f>YEAR(Table4[[#This Row],[issue_date]])</f>
        <v>2023</v>
      </c>
      <c r="F1366" t="s">
        <v>19</v>
      </c>
      <c r="G1366">
        <v>42</v>
      </c>
      <c r="H1366" t="s">
        <v>20</v>
      </c>
      <c r="I1366" t="str">
        <f>VLOOKUP(Table4[[#This Row],[customer_id]],customers!A:G,4,)</f>
        <v>delhi</v>
      </c>
    </row>
    <row r="1367" spans="1:9" x14ac:dyDescent="0.3">
      <c r="A1367">
        <v>21366</v>
      </c>
      <c r="B1367">
        <v>333</v>
      </c>
      <c r="C1367" s="2">
        <v>44883</v>
      </c>
      <c r="D1367" s="2" t="str">
        <f>TEXT(Table4[[#This Row],[issue_date]],"mmmm")</f>
        <v>November</v>
      </c>
      <c r="E1367" s="9">
        <f>YEAR(Table4[[#This Row],[issue_date]])</f>
        <v>2022</v>
      </c>
      <c r="F1367" t="s">
        <v>19</v>
      </c>
      <c r="G1367">
        <v>32</v>
      </c>
      <c r="H1367" t="s">
        <v>20</v>
      </c>
      <c r="I1367" t="str">
        <f>VLOOKUP(Table4[[#This Row],[customer_id]],customers!A:G,4,)</f>
        <v>bangalore</v>
      </c>
    </row>
    <row r="1368" spans="1:9" x14ac:dyDescent="0.3">
      <c r="A1368">
        <v>21367</v>
      </c>
      <c r="B1368">
        <v>372</v>
      </c>
      <c r="C1368" s="2">
        <v>44963</v>
      </c>
      <c r="D1368" s="2" t="str">
        <f>TEXT(Table4[[#This Row],[issue_date]],"mmmm")</f>
        <v>February</v>
      </c>
      <c r="E1368" s="9">
        <f>YEAR(Table4[[#This Row],[issue_date]])</f>
        <v>2023</v>
      </c>
      <c r="F1368" t="s">
        <v>19</v>
      </c>
      <c r="G1368">
        <v>32</v>
      </c>
      <c r="H1368" t="s">
        <v>20</v>
      </c>
      <c r="I1368" t="str">
        <f>VLOOKUP(Table4[[#This Row],[customer_id]],customers!A:G,4,)</f>
        <v>chennai</v>
      </c>
    </row>
    <row r="1369" spans="1:9" x14ac:dyDescent="0.3">
      <c r="A1369">
        <v>21368</v>
      </c>
      <c r="B1369">
        <v>207</v>
      </c>
      <c r="C1369" s="2">
        <v>44620</v>
      </c>
      <c r="D1369" s="2" t="str">
        <f>TEXT(Table4[[#This Row],[issue_date]],"mmmm")</f>
        <v>February</v>
      </c>
      <c r="E1369" s="9">
        <f>YEAR(Table4[[#This Row],[issue_date]])</f>
        <v>2022</v>
      </c>
      <c r="F1369" t="s">
        <v>19</v>
      </c>
      <c r="G1369">
        <v>71</v>
      </c>
      <c r="H1369" t="s">
        <v>20</v>
      </c>
      <c r="I1369" t="str">
        <f>VLOOKUP(Table4[[#This Row],[customer_id]],customers!A:G,4,)</f>
        <v>mumbai</v>
      </c>
    </row>
    <row r="1370" spans="1:9" x14ac:dyDescent="0.3">
      <c r="A1370">
        <v>21369</v>
      </c>
      <c r="B1370">
        <v>229</v>
      </c>
      <c r="C1370" s="2">
        <v>44614</v>
      </c>
      <c r="D1370" s="2" t="str">
        <f>TEXT(Table4[[#This Row],[issue_date]],"mmmm")</f>
        <v>February</v>
      </c>
      <c r="E1370" s="9">
        <f>YEAR(Table4[[#This Row],[issue_date]])</f>
        <v>2022</v>
      </c>
      <c r="F1370" t="s">
        <v>21</v>
      </c>
      <c r="G1370">
        <v>22</v>
      </c>
      <c r="H1370" t="s">
        <v>20</v>
      </c>
      <c r="I1370" t="str">
        <f>VLOOKUP(Table4[[#This Row],[customer_id]],customers!A:G,4,)</f>
        <v>hyderabad</v>
      </c>
    </row>
    <row r="1371" spans="1:9" x14ac:dyDescent="0.3">
      <c r="A1371">
        <v>21370</v>
      </c>
      <c r="B1371">
        <v>69</v>
      </c>
      <c r="C1371" s="2">
        <v>44625</v>
      </c>
      <c r="D1371" s="2" t="str">
        <f>TEXT(Table4[[#This Row],[issue_date]],"mmmm")</f>
        <v>March</v>
      </c>
      <c r="E1371" s="9">
        <f>YEAR(Table4[[#This Row],[issue_date]])</f>
        <v>2022</v>
      </c>
      <c r="F1371" t="s">
        <v>22</v>
      </c>
      <c r="G1371">
        <v>21</v>
      </c>
      <c r="H1371" t="s">
        <v>20</v>
      </c>
      <c r="I1371" t="str">
        <f>VLOOKUP(Table4[[#This Row],[customer_id]],customers!A:G,4,)</f>
        <v>mumbai</v>
      </c>
    </row>
    <row r="1372" spans="1:9" x14ac:dyDescent="0.3">
      <c r="A1372">
        <v>21371</v>
      </c>
      <c r="B1372">
        <v>142</v>
      </c>
      <c r="C1372" s="2">
        <v>45194</v>
      </c>
      <c r="D1372" s="2" t="str">
        <f>TEXT(Table4[[#This Row],[issue_date]],"mmmm")</f>
        <v>September</v>
      </c>
      <c r="E1372" s="9">
        <f>YEAR(Table4[[#This Row],[issue_date]])</f>
        <v>2023</v>
      </c>
      <c r="F1372" t="s">
        <v>19</v>
      </c>
      <c r="G1372">
        <v>22</v>
      </c>
      <c r="H1372" t="s">
        <v>20</v>
      </c>
      <c r="I1372" t="str">
        <f>VLOOKUP(Table4[[#This Row],[customer_id]],customers!A:G,4,)</f>
        <v>kolkata</v>
      </c>
    </row>
    <row r="1373" spans="1:9" x14ac:dyDescent="0.3">
      <c r="A1373">
        <v>21372</v>
      </c>
      <c r="B1373">
        <v>206</v>
      </c>
      <c r="C1373" s="2">
        <v>44680</v>
      </c>
      <c r="D1373" s="2" t="str">
        <f>TEXT(Table4[[#This Row],[issue_date]],"mmmm")</f>
        <v>April</v>
      </c>
      <c r="E1373" s="9">
        <f>YEAR(Table4[[#This Row],[issue_date]])</f>
        <v>2022</v>
      </c>
      <c r="F1373" t="s">
        <v>19</v>
      </c>
      <c r="G1373">
        <v>34</v>
      </c>
      <c r="H1373" t="s">
        <v>20</v>
      </c>
      <c r="I1373" t="str">
        <f>VLOOKUP(Table4[[#This Row],[customer_id]],customers!A:G,4,)</f>
        <v>hyderabad</v>
      </c>
    </row>
    <row r="1374" spans="1:9" x14ac:dyDescent="0.3">
      <c r="A1374">
        <v>21373</v>
      </c>
      <c r="B1374">
        <v>174</v>
      </c>
      <c r="C1374" s="2">
        <v>44847</v>
      </c>
      <c r="D1374" s="2" t="str">
        <f>TEXT(Table4[[#This Row],[issue_date]],"mmmm")</f>
        <v>October</v>
      </c>
      <c r="E1374" s="9">
        <f>YEAR(Table4[[#This Row],[issue_date]])</f>
        <v>2022</v>
      </c>
      <c r="F1374" t="s">
        <v>19</v>
      </c>
      <c r="G1374">
        <v>10</v>
      </c>
      <c r="H1374" t="s">
        <v>20</v>
      </c>
      <c r="I1374" t="str">
        <f>VLOOKUP(Table4[[#This Row],[customer_id]],customers!A:G,4,)</f>
        <v>mumbai</v>
      </c>
    </row>
    <row r="1375" spans="1:9" x14ac:dyDescent="0.3">
      <c r="A1375">
        <v>21374</v>
      </c>
      <c r="B1375">
        <v>197</v>
      </c>
      <c r="C1375" s="2">
        <v>44579</v>
      </c>
      <c r="D1375" s="2" t="str">
        <f>TEXT(Table4[[#This Row],[issue_date]],"mmmm")</f>
        <v>January</v>
      </c>
      <c r="E1375" s="9">
        <f>YEAR(Table4[[#This Row],[issue_date]])</f>
        <v>2022</v>
      </c>
      <c r="F1375" t="s">
        <v>21</v>
      </c>
      <c r="G1375">
        <v>65</v>
      </c>
      <c r="H1375" t="s">
        <v>20</v>
      </c>
      <c r="I1375" t="str">
        <f>VLOOKUP(Table4[[#This Row],[customer_id]],customers!A:G,4,)</f>
        <v>chennai</v>
      </c>
    </row>
    <row r="1376" spans="1:9" x14ac:dyDescent="0.3">
      <c r="A1376">
        <v>21375</v>
      </c>
      <c r="B1376">
        <v>331</v>
      </c>
      <c r="C1376" s="2">
        <v>44566</v>
      </c>
      <c r="D1376" s="2" t="str">
        <f>TEXT(Table4[[#This Row],[issue_date]],"mmmm")</f>
        <v>January</v>
      </c>
      <c r="E1376" s="9">
        <f>YEAR(Table4[[#This Row],[issue_date]])</f>
        <v>2022</v>
      </c>
      <c r="F1376" t="s">
        <v>22</v>
      </c>
      <c r="G1376">
        <v>65</v>
      </c>
      <c r="H1376" t="s">
        <v>20</v>
      </c>
      <c r="I1376" t="str">
        <f>VLOOKUP(Table4[[#This Row],[customer_id]],customers!A:G,4,)</f>
        <v>bangalore</v>
      </c>
    </row>
    <row r="1377" spans="1:9" x14ac:dyDescent="0.3">
      <c r="A1377">
        <v>21376</v>
      </c>
      <c r="B1377">
        <v>416</v>
      </c>
      <c r="C1377" s="2">
        <v>45398</v>
      </c>
      <c r="D1377" s="2" t="str">
        <f>TEXT(Table4[[#This Row],[issue_date]],"mmmm")</f>
        <v>April</v>
      </c>
      <c r="E1377" s="9">
        <f>YEAR(Table4[[#This Row],[issue_date]])</f>
        <v>2024</v>
      </c>
      <c r="F1377" t="s">
        <v>22</v>
      </c>
      <c r="G1377">
        <v>67</v>
      </c>
      <c r="H1377" t="s">
        <v>20</v>
      </c>
      <c r="I1377" t="str">
        <f>VLOOKUP(Table4[[#This Row],[customer_id]],customers!A:G,4,)</f>
        <v>bangalore</v>
      </c>
    </row>
    <row r="1378" spans="1:9" x14ac:dyDescent="0.3">
      <c r="A1378">
        <v>21377</v>
      </c>
      <c r="B1378">
        <v>307</v>
      </c>
      <c r="C1378" s="2">
        <v>44953</v>
      </c>
      <c r="D1378" s="2" t="str">
        <f>TEXT(Table4[[#This Row],[issue_date]],"mmmm")</f>
        <v>January</v>
      </c>
      <c r="E1378" s="9">
        <f>YEAR(Table4[[#This Row],[issue_date]])</f>
        <v>2023</v>
      </c>
      <c r="F1378" t="s">
        <v>19</v>
      </c>
      <c r="G1378">
        <v>43</v>
      </c>
      <c r="H1378" t="s">
        <v>20</v>
      </c>
      <c r="I1378" t="str">
        <f>VLOOKUP(Table4[[#This Row],[customer_id]],customers!A:G,4,)</f>
        <v>delhi</v>
      </c>
    </row>
    <row r="1379" spans="1:9" x14ac:dyDescent="0.3">
      <c r="A1379">
        <v>21378</v>
      </c>
      <c r="B1379">
        <v>197</v>
      </c>
      <c r="C1379" s="2">
        <v>44721</v>
      </c>
      <c r="D1379" s="2" t="str">
        <f>TEXT(Table4[[#This Row],[issue_date]],"mmmm")</f>
        <v>June</v>
      </c>
      <c r="E1379" s="9">
        <f>YEAR(Table4[[#This Row],[issue_date]])</f>
        <v>2022</v>
      </c>
      <c r="F1379" t="s">
        <v>22</v>
      </c>
      <c r="G1379">
        <v>41</v>
      </c>
      <c r="H1379" t="s">
        <v>20</v>
      </c>
      <c r="I1379" t="str">
        <f>VLOOKUP(Table4[[#This Row],[customer_id]],customers!A:G,4,)</f>
        <v>chennai</v>
      </c>
    </row>
    <row r="1380" spans="1:9" x14ac:dyDescent="0.3">
      <c r="A1380">
        <v>21379</v>
      </c>
      <c r="B1380">
        <v>228</v>
      </c>
      <c r="C1380" s="2">
        <v>45449</v>
      </c>
      <c r="D1380" s="2" t="str">
        <f>TEXT(Table4[[#This Row],[issue_date]],"mmmm")</f>
        <v>June</v>
      </c>
      <c r="E1380" s="9">
        <f>YEAR(Table4[[#This Row],[issue_date]])</f>
        <v>2024</v>
      </c>
      <c r="F1380" t="s">
        <v>21</v>
      </c>
      <c r="G1380">
        <v>13</v>
      </c>
      <c r="H1380" t="s">
        <v>20</v>
      </c>
      <c r="I1380" t="str">
        <f>VLOOKUP(Table4[[#This Row],[customer_id]],customers!A:G,4,)</f>
        <v>hyderabad</v>
      </c>
    </row>
    <row r="1381" spans="1:9" x14ac:dyDescent="0.3">
      <c r="A1381">
        <v>21380</v>
      </c>
      <c r="B1381">
        <v>271</v>
      </c>
      <c r="C1381" s="2">
        <v>44703</v>
      </c>
      <c r="D1381" s="2" t="str">
        <f>TEXT(Table4[[#This Row],[issue_date]],"mmmm")</f>
        <v>May</v>
      </c>
      <c r="E1381" s="9">
        <f>YEAR(Table4[[#This Row],[issue_date]])</f>
        <v>2022</v>
      </c>
      <c r="F1381" t="s">
        <v>22</v>
      </c>
      <c r="G1381">
        <v>4</v>
      </c>
      <c r="H1381" t="s">
        <v>20</v>
      </c>
      <c r="I1381" t="str">
        <f>VLOOKUP(Table4[[#This Row],[customer_id]],customers!A:G,4,)</f>
        <v>kolkata</v>
      </c>
    </row>
    <row r="1382" spans="1:9" x14ac:dyDescent="0.3">
      <c r="A1382">
        <v>21381</v>
      </c>
      <c r="B1382">
        <v>437</v>
      </c>
      <c r="C1382" s="2">
        <v>44958</v>
      </c>
      <c r="D1382" s="2" t="str">
        <f>TEXT(Table4[[#This Row],[issue_date]],"mmmm")</f>
        <v>February</v>
      </c>
      <c r="E1382" s="9">
        <f>YEAR(Table4[[#This Row],[issue_date]])</f>
        <v>2023</v>
      </c>
      <c r="F1382" t="s">
        <v>19</v>
      </c>
      <c r="G1382">
        <v>23</v>
      </c>
      <c r="H1382" t="s">
        <v>20</v>
      </c>
      <c r="I1382" t="str">
        <f>VLOOKUP(Table4[[#This Row],[customer_id]],customers!A:G,4,)</f>
        <v>hyderabad</v>
      </c>
    </row>
    <row r="1383" spans="1:9" x14ac:dyDescent="0.3">
      <c r="A1383">
        <v>21382</v>
      </c>
      <c r="B1383">
        <v>199</v>
      </c>
      <c r="C1383" s="2">
        <v>44579</v>
      </c>
      <c r="D1383" s="2" t="str">
        <f>TEXT(Table4[[#This Row],[issue_date]],"mmmm")</f>
        <v>January</v>
      </c>
      <c r="E1383" s="9">
        <f>YEAR(Table4[[#This Row],[issue_date]])</f>
        <v>2022</v>
      </c>
      <c r="F1383" t="s">
        <v>22</v>
      </c>
      <c r="G1383">
        <v>70</v>
      </c>
      <c r="H1383" t="s">
        <v>20</v>
      </c>
      <c r="I1383" t="str">
        <f>VLOOKUP(Table4[[#This Row],[customer_id]],customers!A:G,4,)</f>
        <v>kolkata</v>
      </c>
    </row>
    <row r="1384" spans="1:9" x14ac:dyDescent="0.3">
      <c r="A1384">
        <v>21383</v>
      </c>
      <c r="B1384">
        <v>325</v>
      </c>
      <c r="C1384" s="2">
        <v>45141</v>
      </c>
      <c r="D1384" s="2" t="str">
        <f>TEXT(Table4[[#This Row],[issue_date]],"mmmm")</f>
        <v>August</v>
      </c>
      <c r="E1384" s="9">
        <f>YEAR(Table4[[#This Row],[issue_date]])</f>
        <v>2023</v>
      </c>
      <c r="F1384" t="s">
        <v>21</v>
      </c>
      <c r="G1384">
        <v>34</v>
      </c>
      <c r="H1384" t="s">
        <v>20</v>
      </c>
      <c r="I1384" t="str">
        <f>VLOOKUP(Table4[[#This Row],[customer_id]],customers!A:G,4,)</f>
        <v>kolkata</v>
      </c>
    </row>
    <row r="1385" spans="1:9" x14ac:dyDescent="0.3">
      <c r="A1385">
        <v>21384</v>
      </c>
      <c r="B1385">
        <v>478</v>
      </c>
      <c r="C1385" s="2">
        <v>44675</v>
      </c>
      <c r="D1385" s="2" t="str">
        <f>TEXT(Table4[[#This Row],[issue_date]],"mmmm")</f>
        <v>April</v>
      </c>
      <c r="E1385" s="9">
        <f>YEAR(Table4[[#This Row],[issue_date]])</f>
        <v>2022</v>
      </c>
      <c r="F1385" t="s">
        <v>21</v>
      </c>
      <c r="G1385">
        <v>41</v>
      </c>
      <c r="H1385" t="s">
        <v>20</v>
      </c>
      <c r="I1385" t="str">
        <f>VLOOKUP(Table4[[#This Row],[customer_id]],customers!A:G,4,)</f>
        <v>chennai</v>
      </c>
    </row>
    <row r="1386" spans="1:9" x14ac:dyDescent="0.3">
      <c r="A1386">
        <v>21385</v>
      </c>
      <c r="B1386">
        <v>15</v>
      </c>
      <c r="C1386" s="2">
        <v>45095</v>
      </c>
      <c r="D1386" s="2" t="str">
        <f>TEXT(Table4[[#This Row],[issue_date]],"mmmm")</f>
        <v>June</v>
      </c>
      <c r="E1386" s="9">
        <f>YEAR(Table4[[#This Row],[issue_date]])</f>
        <v>2023</v>
      </c>
      <c r="F1386" t="s">
        <v>22</v>
      </c>
      <c r="G1386">
        <v>18</v>
      </c>
      <c r="H1386" t="s">
        <v>23</v>
      </c>
      <c r="I1386" t="str">
        <f>VLOOKUP(Table4[[#This Row],[customer_id]],customers!A:G,4,)</f>
        <v>delhi</v>
      </c>
    </row>
    <row r="1387" spans="1:9" x14ac:dyDescent="0.3">
      <c r="A1387">
        <v>21386</v>
      </c>
      <c r="B1387">
        <v>286</v>
      </c>
      <c r="C1387" s="2">
        <v>45093</v>
      </c>
      <c r="D1387" s="2" t="str">
        <f>TEXT(Table4[[#This Row],[issue_date]],"mmmm")</f>
        <v>June</v>
      </c>
      <c r="E1387" s="9">
        <f>YEAR(Table4[[#This Row],[issue_date]])</f>
        <v>2023</v>
      </c>
      <c r="F1387" t="s">
        <v>22</v>
      </c>
      <c r="G1387">
        <v>33</v>
      </c>
      <c r="H1387" t="s">
        <v>23</v>
      </c>
      <c r="I1387" t="str">
        <f>VLOOKUP(Table4[[#This Row],[customer_id]],customers!A:G,4,)</f>
        <v>chennai</v>
      </c>
    </row>
    <row r="1388" spans="1:9" x14ac:dyDescent="0.3">
      <c r="A1388">
        <v>21387</v>
      </c>
      <c r="B1388">
        <v>334</v>
      </c>
      <c r="C1388" s="2">
        <v>45336</v>
      </c>
      <c r="D1388" s="2" t="str">
        <f>TEXT(Table4[[#This Row],[issue_date]],"mmmm")</f>
        <v>February</v>
      </c>
      <c r="E1388" s="9">
        <f>YEAR(Table4[[#This Row],[issue_date]])</f>
        <v>2024</v>
      </c>
      <c r="F1388" t="s">
        <v>19</v>
      </c>
      <c r="G1388">
        <v>25</v>
      </c>
      <c r="H1388" t="s">
        <v>20</v>
      </c>
      <c r="I1388" t="str">
        <f>VLOOKUP(Table4[[#This Row],[customer_id]],customers!A:G,4,)</f>
        <v>chennai</v>
      </c>
    </row>
    <row r="1389" spans="1:9" x14ac:dyDescent="0.3">
      <c r="A1389">
        <v>21388</v>
      </c>
      <c r="B1389">
        <v>408</v>
      </c>
      <c r="C1389" s="2">
        <v>45022</v>
      </c>
      <c r="D1389" s="2" t="str">
        <f>TEXT(Table4[[#This Row],[issue_date]],"mmmm")</f>
        <v>April</v>
      </c>
      <c r="E1389" s="9">
        <f>YEAR(Table4[[#This Row],[issue_date]])</f>
        <v>2023</v>
      </c>
      <c r="F1389" t="s">
        <v>19</v>
      </c>
      <c r="G1389">
        <v>52</v>
      </c>
      <c r="H1389" t="s">
        <v>20</v>
      </c>
      <c r="I1389" t="str">
        <f>VLOOKUP(Table4[[#This Row],[customer_id]],customers!A:G,4,)</f>
        <v>chennai</v>
      </c>
    </row>
    <row r="1390" spans="1:9" x14ac:dyDescent="0.3">
      <c r="A1390">
        <v>21389</v>
      </c>
      <c r="B1390">
        <v>216</v>
      </c>
      <c r="C1390" s="2">
        <v>45171</v>
      </c>
      <c r="D1390" s="2" t="str">
        <f>TEXT(Table4[[#This Row],[issue_date]],"mmmm")</f>
        <v>September</v>
      </c>
      <c r="E1390" s="9">
        <f>YEAR(Table4[[#This Row],[issue_date]])</f>
        <v>2023</v>
      </c>
      <c r="F1390" t="s">
        <v>19</v>
      </c>
      <c r="G1390">
        <v>17</v>
      </c>
      <c r="H1390" t="s">
        <v>20</v>
      </c>
      <c r="I1390" t="str">
        <f>VLOOKUP(Table4[[#This Row],[customer_id]],customers!A:G,4,)</f>
        <v>chennai</v>
      </c>
    </row>
    <row r="1391" spans="1:9" x14ac:dyDescent="0.3">
      <c r="A1391">
        <v>21390</v>
      </c>
      <c r="B1391">
        <v>35</v>
      </c>
      <c r="C1391" s="2">
        <v>45178</v>
      </c>
      <c r="D1391" s="2" t="str">
        <f>TEXT(Table4[[#This Row],[issue_date]],"mmmm")</f>
        <v>September</v>
      </c>
      <c r="E1391" s="9">
        <f>YEAR(Table4[[#This Row],[issue_date]])</f>
        <v>2023</v>
      </c>
      <c r="F1391" t="s">
        <v>22</v>
      </c>
      <c r="G1391">
        <v>51</v>
      </c>
      <c r="H1391" t="s">
        <v>20</v>
      </c>
      <c r="I1391" t="str">
        <f>VLOOKUP(Table4[[#This Row],[customer_id]],customers!A:G,4,)</f>
        <v>chennai</v>
      </c>
    </row>
    <row r="1392" spans="1:9" x14ac:dyDescent="0.3">
      <c r="A1392">
        <v>21391</v>
      </c>
      <c r="B1392">
        <v>69</v>
      </c>
      <c r="C1392" s="2">
        <v>44847</v>
      </c>
      <c r="D1392" s="2" t="str">
        <f>TEXT(Table4[[#This Row],[issue_date]],"mmmm")</f>
        <v>October</v>
      </c>
      <c r="E1392" s="9">
        <f>YEAR(Table4[[#This Row],[issue_date]])</f>
        <v>2022</v>
      </c>
      <c r="F1392" t="s">
        <v>21</v>
      </c>
      <c r="G1392">
        <v>3</v>
      </c>
      <c r="H1392" t="s">
        <v>20</v>
      </c>
      <c r="I1392" t="str">
        <f>VLOOKUP(Table4[[#This Row],[customer_id]],customers!A:G,4,)</f>
        <v>mumbai</v>
      </c>
    </row>
    <row r="1393" spans="1:9" x14ac:dyDescent="0.3">
      <c r="A1393">
        <v>21392</v>
      </c>
      <c r="B1393">
        <v>396</v>
      </c>
      <c r="C1393" s="2">
        <v>44566</v>
      </c>
      <c r="D1393" s="2" t="str">
        <f>TEXT(Table4[[#This Row],[issue_date]],"mmmm")</f>
        <v>January</v>
      </c>
      <c r="E1393" s="9">
        <f>YEAR(Table4[[#This Row],[issue_date]])</f>
        <v>2022</v>
      </c>
      <c r="F1393" t="s">
        <v>21</v>
      </c>
      <c r="G1393">
        <v>55</v>
      </c>
      <c r="H1393" t="s">
        <v>20</v>
      </c>
      <c r="I1393" t="str">
        <f>VLOOKUP(Table4[[#This Row],[customer_id]],customers!A:G,4,)</f>
        <v>kolkata</v>
      </c>
    </row>
    <row r="1394" spans="1:9" x14ac:dyDescent="0.3">
      <c r="A1394">
        <v>21393</v>
      </c>
      <c r="B1394">
        <v>212</v>
      </c>
      <c r="C1394" s="2">
        <v>44690</v>
      </c>
      <c r="D1394" s="2" t="str">
        <f>TEXT(Table4[[#This Row],[issue_date]],"mmmm")</f>
        <v>May</v>
      </c>
      <c r="E1394" s="9">
        <f>YEAR(Table4[[#This Row],[issue_date]])</f>
        <v>2022</v>
      </c>
      <c r="F1394" t="s">
        <v>22</v>
      </c>
      <c r="G1394">
        <v>56</v>
      </c>
      <c r="H1394" t="s">
        <v>20</v>
      </c>
      <c r="I1394" t="str">
        <f>VLOOKUP(Table4[[#This Row],[customer_id]],customers!A:G,4,)</f>
        <v>delhi</v>
      </c>
    </row>
    <row r="1395" spans="1:9" x14ac:dyDescent="0.3">
      <c r="A1395">
        <v>21394</v>
      </c>
      <c r="B1395">
        <v>46</v>
      </c>
      <c r="C1395" s="2">
        <v>45232</v>
      </c>
      <c r="D1395" s="2" t="str">
        <f>TEXT(Table4[[#This Row],[issue_date]],"mmmm")</f>
        <v>November</v>
      </c>
      <c r="E1395" s="9">
        <f>YEAR(Table4[[#This Row],[issue_date]])</f>
        <v>2023</v>
      </c>
      <c r="F1395" t="s">
        <v>21</v>
      </c>
      <c r="G1395">
        <v>35</v>
      </c>
      <c r="H1395" t="s">
        <v>20</v>
      </c>
      <c r="I1395" t="str">
        <f>VLOOKUP(Table4[[#This Row],[customer_id]],customers!A:G,4,)</f>
        <v>delhi</v>
      </c>
    </row>
    <row r="1396" spans="1:9" x14ac:dyDescent="0.3">
      <c r="A1396">
        <v>21395</v>
      </c>
      <c r="B1396">
        <v>382</v>
      </c>
      <c r="C1396" s="2">
        <v>45324</v>
      </c>
      <c r="D1396" s="2" t="str">
        <f>TEXT(Table4[[#This Row],[issue_date]],"mmmm")</f>
        <v>February</v>
      </c>
      <c r="E1396" s="9">
        <f>YEAR(Table4[[#This Row],[issue_date]])</f>
        <v>2024</v>
      </c>
      <c r="F1396" t="s">
        <v>21</v>
      </c>
      <c r="G1396">
        <v>68</v>
      </c>
      <c r="H1396" t="s">
        <v>20</v>
      </c>
      <c r="I1396" t="str">
        <f>VLOOKUP(Table4[[#This Row],[customer_id]],customers!A:G,4,)</f>
        <v>delhi</v>
      </c>
    </row>
    <row r="1397" spans="1:9" x14ac:dyDescent="0.3">
      <c r="A1397">
        <v>21396</v>
      </c>
      <c r="B1397">
        <v>453</v>
      </c>
      <c r="C1397" s="2">
        <v>45060</v>
      </c>
      <c r="D1397" s="2" t="str">
        <f>TEXT(Table4[[#This Row],[issue_date]],"mmmm")</f>
        <v>May</v>
      </c>
      <c r="E1397" s="9">
        <f>YEAR(Table4[[#This Row],[issue_date]])</f>
        <v>2023</v>
      </c>
      <c r="F1397" t="s">
        <v>22</v>
      </c>
      <c r="G1397">
        <v>59</v>
      </c>
      <c r="H1397" t="s">
        <v>20</v>
      </c>
      <c r="I1397" t="str">
        <f>VLOOKUP(Table4[[#This Row],[customer_id]],customers!A:G,4,)</f>
        <v>bangalore</v>
      </c>
    </row>
    <row r="1398" spans="1:9" x14ac:dyDescent="0.3">
      <c r="A1398">
        <v>21397</v>
      </c>
      <c r="B1398">
        <v>248</v>
      </c>
      <c r="C1398" s="2">
        <v>44837</v>
      </c>
      <c r="D1398" s="2" t="str">
        <f>TEXT(Table4[[#This Row],[issue_date]],"mmmm")</f>
        <v>October</v>
      </c>
      <c r="E1398" s="9">
        <f>YEAR(Table4[[#This Row],[issue_date]])</f>
        <v>2022</v>
      </c>
      <c r="F1398" t="s">
        <v>21</v>
      </c>
      <c r="G1398">
        <v>59</v>
      </c>
      <c r="H1398" t="s">
        <v>20</v>
      </c>
      <c r="I1398" t="str">
        <f>VLOOKUP(Table4[[#This Row],[customer_id]],customers!A:G,4,)</f>
        <v>bangalore</v>
      </c>
    </row>
    <row r="1399" spans="1:9" x14ac:dyDescent="0.3">
      <c r="A1399">
        <v>21398</v>
      </c>
      <c r="B1399">
        <v>420</v>
      </c>
      <c r="C1399" s="2">
        <v>44644</v>
      </c>
      <c r="D1399" s="2" t="str">
        <f>TEXT(Table4[[#This Row],[issue_date]],"mmmm")</f>
        <v>March</v>
      </c>
      <c r="E1399" s="9">
        <f>YEAR(Table4[[#This Row],[issue_date]])</f>
        <v>2022</v>
      </c>
      <c r="F1399" t="s">
        <v>22</v>
      </c>
      <c r="G1399">
        <v>13</v>
      </c>
      <c r="H1399" t="s">
        <v>20</v>
      </c>
      <c r="I1399" t="str">
        <f>VLOOKUP(Table4[[#This Row],[customer_id]],customers!A:G,4,)</f>
        <v>delhi</v>
      </c>
    </row>
    <row r="1400" spans="1:9" x14ac:dyDescent="0.3">
      <c r="A1400">
        <v>21399</v>
      </c>
      <c r="B1400">
        <v>85</v>
      </c>
      <c r="C1400" s="2">
        <v>45393</v>
      </c>
      <c r="D1400" s="2" t="str">
        <f>TEXT(Table4[[#This Row],[issue_date]],"mmmm")</f>
        <v>April</v>
      </c>
      <c r="E1400" s="9">
        <f>YEAR(Table4[[#This Row],[issue_date]])</f>
        <v>2024</v>
      </c>
      <c r="F1400" t="s">
        <v>19</v>
      </c>
      <c r="G1400">
        <v>62</v>
      </c>
      <c r="H1400" t="s">
        <v>20</v>
      </c>
      <c r="I1400" t="str">
        <f>VLOOKUP(Table4[[#This Row],[customer_id]],customers!A:G,4,)</f>
        <v>hyderabad</v>
      </c>
    </row>
    <row r="1401" spans="1:9" x14ac:dyDescent="0.3">
      <c r="A1401">
        <v>21400</v>
      </c>
      <c r="B1401">
        <v>48</v>
      </c>
      <c r="C1401" s="2">
        <v>44679</v>
      </c>
      <c r="D1401" s="2" t="str">
        <f>TEXT(Table4[[#This Row],[issue_date]],"mmmm")</f>
        <v>April</v>
      </c>
      <c r="E1401" s="9">
        <f>YEAR(Table4[[#This Row],[issue_date]])</f>
        <v>2022</v>
      </c>
      <c r="F1401" t="s">
        <v>21</v>
      </c>
      <c r="G1401">
        <v>47</v>
      </c>
      <c r="H1401" t="s">
        <v>20</v>
      </c>
      <c r="I1401" t="str">
        <f>VLOOKUP(Table4[[#This Row],[customer_id]],customers!A:G,4,)</f>
        <v>chennai</v>
      </c>
    </row>
    <row r="1402" spans="1:9" x14ac:dyDescent="0.3">
      <c r="A1402">
        <v>21401</v>
      </c>
      <c r="B1402">
        <v>231</v>
      </c>
      <c r="C1402" s="2">
        <v>44590</v>
      </c>
      <c r="D1402" s="2" t="str">
        <f>TEXT(Table4[[#This Row],[issue_date]],"mmmm")</f>
        <v>January</v>
      </c>
      <c r="E1402" s="9">
        <f>YEAR(Table4[[#This Row],[issue_date]])</f>
        <v>2022</v>
      </c>
      <c r="F1402" t="s">
        <v>22</v>
      </c>
      <c r="G1402">
        <v>3</v>
      </c>
      <c r="H1402" t="s">
        <v>23</v>
      </c>
      <c r="I1402" t="str">
        <f>VLOOKUP(Table4[[#This Row],[customer_id]],customers!A:G,4,)</f>
        <v>delhi</v>
      </c>
    </row>
    <row r="1403" spans="1:9" x14ac:dyDescent="0.3">
      <c r="A1403">
        <v>21402</v>
      </c>
      <c r="B1403">
        <v>67</v>
      </c>
      <c r="C1403" s="2">
        <v>44919</v>
      </c>
      <c r="D1403" s="2" t="str">
        <f>TEXT(Table4[[#This Row],[issue_date]],"mmmm")</f>
        <v>December</v>
      </c>
      <c r="E1403" s="9">
        <f>YEAR(Table4[[#This Row],[issue_date]])</f>
        <v>2022</v>
      </c>
      <c r="F1403" t="s">
        <v>21</v>
      </c>
      <c r="G1403">
        <v>21</v>
      </c>
      <c r="H1403" t="s">
        <v>20</v>
      </c>
      <c r="I1403" t="str">
        <f>VLOOKUP(Table4[[#This Row],[customer_id]],customers!A:G,4,)</f>
        <v>hyderabad</v>
      </c>
    </row>
    <row r="1404" spans="1:9" x14ac:dyDescent="0.3">
      <c r="A1404">
        <v>21403</v>
      </c>
      <c r="B1404">
        <v>477</v>
      </c>
      <c r="C1404" s="2">
        <v>45211</v>
      </c>
      <c r="D1404" s="2" t="str">
        <f>TEXT(Table4[[#This Row],[issue_date]],"mmmm")</f>
        <v>October</v>
      </c>
      <c r="E1404" s="9">
        <f>YEAR(Table4[[#This Row],[issue_date]])</f>
        <v>2023</v>
      </c>
      <c r="F1404" t="s">
        <v>21</v>
      </c>
      <c r="G1404">
        <v>65</v>
      </c>
      <c r="H1404" t="s">
        <v>20</v>
      </c>
      <c r="I1404" t="str">
        <f>VLOOKUP(Table4[[#This Row],[customer_id]],customers!A:G,4,)</f>
        <v>delhi</v>
      </c>
    </row>
    <row r="1405" spans="1:9" x14ac:dyDescent="0.3">
      <c r="A1405">
        <v>21404</v>
      </c>
      <c r="B1405">
        <v>438</v>
      </c>
      <c r="C1405" s="2">
        <v>44718</v>
      </c>
      <c r="D1405" s="2" t="str">
        <f>TEXT(Table4[[#This Row],[issue_date]],"mmmm")</f>
        <v>June</v>
      </c>
      <c r="E1405" s="9">
        <f>YEAR(Table4[[#This Row],[issue_date]])</f>
        <v>2022</v>
      </c>
      <c r="F1405" t="s">
        <v>19</v>
      </c>
      <c r="G1405">
        <v>18</v>
      </c>
      <c r="H1405" t="s">
        <v>20</v>
      </c>
      <c r="I1405" t="str">
        <f>VLOOKUP(Table4[[#This Row],[customer_id]],customers!A:G,4,)</f>
        <v>hyderabad</v>
      </c>
    </row>
    <row r="1406" spans="1:9" x14ac:dyDescent="0.3">
      <c r="A1406">
        <v>21405</v>
      </c>
      <c r="B1406">
        <v>89</v>
      </c>
      <c r="C1406" s="2">
        <v>44592</v>
      </c>
      <c r="D1406" s="2" t="str">
        <f>TEXT(Table4[[#This Row],[issue_date]],"mmmm")</f>
        <v>January</v>
      </c>
      <c r="E1406" s="9">
        <f>YEAR(Table4[[#This Row],[issue_date]])</f>
        <v>2022</v>
      </c>
      <c r="F1406" t="s">
        <v>22</v>
      </c>
      <c r="G1406">
        <v>13</v>
      </c>
      <c r="H1406" t="s">
        <v>20</v>
      </c>
      <c r="I1406" t="str">
        <f>VLOOKUP(Table4[[#This Row],[customer_id]],customers!A:G,4,)</f>
        <v>delhi</v>
      </c>
    </row>
    <row r="1407" spans="1:9" x14ac:dyDescent="0.3">
      <c r="A1407">
        <v>21406</v>
      </c>
      <c r="B1407">
        <v>219</v>
      </c>
      <c r="C1407" s="2">
        <v>45404</v>
      </c>
      <c r="D1407" s="2" t="str">
        <f>TEXT(Table4[[#This Row],[issue_date]],"mmmm")</f>
        <v>April</v>
      </c>
      <c r="E1407" s="9">
        <f>YEAR(Table4[[#This Row],[issue_date]])</f>
        <v>2024</v>
      </c>
      <c r="F1407" t="s">
        <v>19</v>
      </c>
      <c r="G1407">
        <v>71</v>
      </c>
      <c r="H1407" t="s">
        <v>23</v>
      </c>
      <c r="I1407" t="str">
        <f>VLOOKUP(Table4[[#This Row],[customer_id]],customers!A:G,4,)</f>
        <v>bangalore</v>
      </c>
    </row>
    <row r="1408" spans="1:9" x14ac:dyDescent="0.3">
      <c r="A1408">
        <v>21407</v>
      </c>
      <c r="B1408">
        <v>420</v>
      </c>
      <c r="C1408" s="2">
        <v>44847</v>
      </c>
      <c r="D1408" s="2" t="str">
        <f>TEXT(Table4[[#This Row],[issue_date]],"mmmm")</f>
        <v>October</v>
      </c>
      <c r="E1408" s="9">
        <f>YEAR(Table4[[#This Row],[issue_date]])</f>
        <v>2022</v>
      </c>
      <c r="F1408" t="s">
        <v>21</v>
      </c>
      <c r="G1408">
        <v>45</v>
      </c>
      <c r="H1408" t="s">
        <v>20</v>
      </c>
      <c r="I1408" t="str">
        <f>VLOOKUP(Table4[[#This Row],[customer_id]],customers!A:G,4,)</f>
        <v>delhi</v>
      </c>
    </row>
    <row r="1409" spans="1:9" x14ac:dyDescent="0.3">
      <c r="A1409">
        <v>21408</v>
      </c>
      <c r="B1409">
        <v>52</v>
      </c>
      <c r="C1409" s="2">
        <v>45226</v>
      </c>
      <c r="D1409" s="2" t="str">
        <f>TEXT(Table4[[#This Row],[issue_date]],"mmmm")</f>
        <v>October</v>
      </c>
      <c r="E1409" s="9">
        <f>YEAR(Table4[[#This Row],[issue_date]])</f>
        <v>2023</v>
      </c>
      <c r="F1409" t="s">
        <v>21</v>
      </c>
      <c r="G1409">
        <v>62</v>
      </c>
      <c r="H1409" t="s">
        <v>20</v>
      </c>
      <c r="I1409" t="str">
        <f>VLOOKUP(Table4[[#This Row],[customer_id]],customers!A:G,4,)</f>
        <v>chennai</v>
      </c>
    </row>
    <row r="1410" spans="1:9" x14ac:dyDescent="0.3">
      <c r="A1410">
        <v>21409</v>
      </c>
      <c r="B1410">
        <v>22</v>
      </c>
      <c r="C1410" s="2">
        <v>44897</v>
      </c>
      <c r="D1410" s="2" t="str">
        <f>TEXT(Table4[[#This Row],[issue_date]],"mmmm")</f>
        <v>December</v>
      </c>
      <c r="E1410" s="9">
        <f>YEAR(Table4[[#This Row],[issue_date]])</f>
        <v>2022</v>
      </c>
      <c r="F1410" t="s">
        <v>21</v>
      </c>
      <c r="G1410">
        <v>30</v>
      </c>
      <c r="H1410" t="s">
        <v>20</v>
      </c>
      <c r="I1410" t="str">
        <f>VLOOKUP(Table4[[#This Row],[customer_id]],customers!A:G,4,)</f>
        <v>hyderabad</v>
      </c>
    </row>
    <row r="1411" spans="1:9" x14ac:dyDescent="0.3">
      <c r="A1411">
        <v>21410</v>
      </c>
      <c r="B1411">
        <v>422</v>
      </c>
      <c r="C1411" s="2">
        <v>45131</v>
      </c>
      <c r="D1411" s="2" t="str">
        <f>TEXT(Table4[[#This Row],[issue_date]],"mmmm")</f>
        <v>July</v>
      </c>
      <c r="E1411" s="9">
        <f>YEAR(Table4[[#This Row],[issue_date]])</f>
        <v>2023</v>
      </c>
      <c r="F1411" t="s">
        <v>22</v>
      </c>
      <c r="G1411">
        <v>14</v>
      </c>
      <c r="H1411" t="s">
        <v>20</v>
      </c>
      <c r="I1411" t="str">
        <f>VLOOKUP(Table4[[#This Row],[customer_id]],customers!A:G,4,)</f>
        <v>hyderabad</v>
      </c>
    </row>
    <row r="1412" spans="1:9" x14ac:dyDescent="0.3">
      <c r="A1412">
        <v>21411</v>
      </c>
      <c r="B1412">
        <v>99</v>
      </c>
      <c r="C1412" s="2">
        <v>44874</v>
      </c>
      <c r="D1412" s="2" t="str">
        <f>TEXT(Table4[[#This Row],[issue_date]],"mmmm")</f>
        <v>November</v>
      </c>
      <c r="E1412" s="9">
        <f>YEAR(Table4[[#This Row],[issue_date]])</f>
        <v>2022</v>
      </c>
      <c r="F1412" t="s">
        <v>19</v>
      </c>
      <c r="G1412">
        <v>53</v>
      </c>
      <c r="H1412" t="s">
        <v>20</v>
      </c>
      <c r="I1412" t="str">
        <f>VLOOKUP(Table4[[#This Row],[customer_id]],customers!A:G,4,)</f>
        <v>hyderabad</v>
      </c>
    </row>
    <row r="1413" spans="1:9" x14ac:dyDescent="0.3">
      <c r="A1413">
        <v>21412</v>
      </c>
      <c r="B1413">
        <v>446</v>
      </c>
      <c r="C1413" s="2">
        <v>45160</v>
      </c>
      <c r="D1413" s="2" t="str">
        <f>TEXT(Table4[[#This Row],[issue_date]],"mmmm")</f>
        <v>August</v>
      </c>
      <c r="E1413" s="9">
        <f>YEAR(Table4[[#This Row],[issue_date]])</f>
        <v>2023</v>
      </c>
      <c r="F1413" t="s">
        <v>22</v>
      </c>
      <c r="G1413">
        <v>10</v>
      </c>
      <c r="H1413" t="s">
        <v>20</v>
      </c>
      <c r="I1413" t="str">
        <f>VLOOKUP(Table4[[#This Row],[customer_id]],customers!A:G,4,)</f>
        <v>kolkata</v>
      </c>
    </row>
    <row r="1414" spans="1:9" x14ac:dyDescent="0.3">
      <c r="A1414">
        <v>21413</v>
      </c>
      <c r="B1414">
        <v>449</v>
      </c>
      <c r="C1414" s="2">
        <v>44684</v>
      </c>
      <c r="D1414" s="2" t="str">
        <f>TEXT(Table4[[#This Row],[issue_date]],"mmmm")</f>
        <v>May</v>
      </c>
      <c r="E1414" s="9">
        <f>YEAR(Table4[[#This Row],[issue_date]])</f>
        <v>2022</v>
      </c>
      <c r="F1414" t="s">
        <v>21</v>
      </c>
      <c r="G1414">
        <v>31</v>
      </c>
      <c r="H1414" t="s">
        <v>20</v>
      </c>
      <c r="I1414" t="str">
        <f>VLOOKUP(Table4[[#This Row],[customer_id]],customers!A:G,4,)</f>
        <v>delhi</v>
      </c>
    </row>
    <row r="1415" spans="1:9" x14ac:dyDescent="0.3">
      <c r="A1415">
        <v>21414</v>
      </c>
      <c r="B1415">
        <v>131</v>
      </c>
      <c r="C1415" s="2">
        <v>45264</v>
      </c>
      <c r="D1415" s="2" t="str">
        <f>TEXT(Table4[[#This Row],[issue_date]],"mmmm")</f>
        <v>December</v>
      </c>
      <c r="E1415" s="9">
        <f>YEAR(Table4[[#This Row],[issue_date]])</f>
        <v>2023</v>
      </c>
      <c r="F1415" t="s">
        <v>19</v>
      </c>
      <c r="G1415">
        <v>6</v>
      </c>
      <c r="H1415" t="s">
        <v>20</v>
      </c>
      <c r="I1415" t="str">
        <f>VLOOKUP(Table4[[#This Row],[customer_id]],customers!A:G,4,)</f>
        <v>kolkata</v>
      </c>
    </row>
    <row r="1416" spans="1:9" x14ac:dyDescent="0.3">
      <c r="A1416">
        <v>21415</v>
      </c>
      <c r="B1416">
        <v>88</v>
      </c>
      <c r="C1416" s="2">
        <v>45426</v>
      </c>
      <c r="D1416" s="2" t="str">
        <f>TEXT(Table4[[#This Row],[issue_date]],"mmmm")</f>
        <v>May</v>
      </c>
      <c r="E1416" s="9">
        <f>YEAR(Table4[[#This Row],[issue_date]])</f>
        <v>2024</v>
      </c>
      <c r="F1416" t="s">
        <v>21</v>
      </c>
      <c r="G1416">
        <v>19</v>
      </c>
      <c r="H1416" t="s">
        <v>20</v>
      </c>
      <c r="I1416" t="str">
        <f>VLOOKUP(Table4[[#This Row],[customer_id]],customers!A:G,4,)</f>
        <v>mumbai</v>
      </c>
    </row>
    <row r="1417" spans="1:9" x14ac:dyDescent="0.3">
      <c r="A1417">
        <v>21416</v>
      </c>
      <c r="B1417">
        <v>136</v>
      </c>
      <c r="C1417" s="2">
        <v>44932</v>
      </c>
      <c r="D1417" s="2" t="str">
        <f>TEXT(Table4[[#This Row],[issue_date]],"mmmm")</f>
        <v>January</v>
      </c>
      <c r="E1417" s="9">
        <f>YEAR(Table4[[#This Row],[issue_date]])</f>
        <v>2023</v>
      </c>
      <c r="F1417" t="s">
        <v>19</v>
      </c>
      <c r="G1417">
        <v>12</v>
      </c>
      <c r="H1417" t="s">
        <v>20</v>
      </c>
      <c r="I1417" t="str">
        <f>VLOOKUP(Table4[[#This Row],[customer_id]],customers!A:G,4,)</f>
        <v>chennai</v>
      </c>
    </row>
    <row r="1418" spans="1:9" x14ac:dyDescent="0.3">
      <c r="A1418">
        <v>21417</v>
      </c>
      <c r="B1418">
        <v>496</v>
      </c>
      <c r="C1418" s="2">
        <v>45366</v>
      </c>
      <c r="D1418" s="2" t="str">
        <f>TEXT(Table4[[#This Row],[issue_date]],"mmmm")</f>
        <v>March</v>
      </c>
      <c r="E1418" s="9">
        <f>YEAR(Table4[[#This Row],[issue_date]])</f>
        <v>2024</v>
      </c>
      <c r="F1418" t="s">
        <v>22</v>
      </c>
      <c r="G1418">
        <v>64</v>
      </c>
      <c r="H1418" t="s">
        <v>20</v>
      </c>
      <c r="I1418" t="str">
        <f>VLOOKUP(Table4[[#This Row],[customer_id]],customers!A:G,4,)</f>
        <v>chennai</v>
      </c>
    </row>
    <row r="1419" spans="1:9" x14ac:dyDescent="0.3">
      <c r="A1419">
        <v>21418</v>
      </c>
      <c r="B1419">
        <v>374</v>
      </c>
      <c r="C1419" s="2">
        <v>44875</v>
      </c>
      <c r="D1419" s="2" t="str">
        <f>TEXT(Table4[[#This Row],[issue_date]],"mmmm")</f>
        <v>November</v>
      </c>
      <c r="E1419" s="9">
        <f>YEAR(Table4[[#This Row],[issue_date]])</f>
        <v>2022</v>
      </c>
      <c r="F1419" t="s">
        <v>22</v>
      </c>
      <c r="G1419">
        <v>55</v>
      </c>
      <c r="H1419" t="s">
        <v>20</v>
      </c>
      <c r="I1419" t="str">
        <f>VLOOKUP(Table4[[#This Row],[customer_id]],customers!A:G,4,)</f>
        <v>mumbai</v>
      </c>
    </row>
    <row r="1420" spans="1:9" x14ac:dyDescent="0.3">
      <c r="A1420">
        <v>21419</v>
      </c>
      <c r="B1420">
        <v>39</v>
      </c>
      <c r="C1420" s="2">
        <v>44589</v>
      </c>
      <c r="D1420" s="2" t="str">
        <f>TEXT(Table4[[#This Row],[issue_date]],"mmmm")</f>
        <v>January</v>
      </c>
      <c r="E1420" s="9">
        <f>YEAR(Table4[[#This Row],[issue_date]])</f>
        <v>2022</v>
      </c>
      <c r="F1420" t="s">
        <v>22</v>
      </c>
      <c r="G1420">
        <v>67</v>
      </c>
      <c r="H1420" t="s">
        <v>23</v>
      </c>
      <c r="I1420" t="str">
        <f>VLOOKUP(Table4[[#This Row],[customer_id]],customers!A:G,4,)</f>
        <v>bangalore</v>
      </c>
    </row>
    <row r="1421" spans="1:9" x14ac:dyDescent="0.3">
      <c r="A1421">
        <v>21420</v>
      </c>
      <c r="B1421">
        <v>18</v>
      </c>
      <c r="C1421" s="2">
        <v>44716</v>
      </c>
      <c r="D1421" s="2" t="str">
        <f>TEXT(Table4[[#This Row],[issue_date]],"mmmm")</f>
        <v>June</v>
      </c>
      <c r="E1421" s="9">
        <f>YEAR(Table4[[#This Row],[issue_date]])</f>
        <v>2022</v>
      </c>
      <c r="F1421" t="s">
        <v>22</v>
      </c>
      <c r="G1421">
        <v>9</v>
      </c>
      <c r="H1421" t="s">
        <v>20</v>
      </c>
      <c r="I1421" t="str">
        <f>VLOOKUP(Table4[[#This Row],[customer_id]],customers!A:G,4,)</f>
        <v>delhi</v>
      </c>
    </row>
    <row r="1422" spans="1:9" x14ac:dyDescent="0.3">
      <c r="A1422">
        <v>21421</v>
      </c>
      <c r="B1422">
        <v>105</v>
      </c>
      <c r="C1422" s="2">
        <v>44791</v>
      </c>
      <c r="D1422" s="2" t="str">
        <f>TEXT(Table4[[#This Row],[issue_date]],"mmmm")</f>
        <v>August</v>
      </c>
      <c r="E1422" s="9">
        <f>YEAR(Table4[[#This Row],[issue_date]])</f>
        <v>2022</v>
      </c>
      <c r="F1422" t="s">
        <v>22</v>
      </c>
      <c r="G1422">
        <v>6</v>
      </c>
      <c r="H1422" t="s">
        <v>20</v>
      </c>
      <c r="I1422" t="str">
        <f>VLOOKUP(Table4[[#This Row],[customer_id]],customers!A:G,4,)</f>
        <v>kolkata</v>
      </c>
    </row>
    <row r="1423" spans="1:9" x14ac:dyDescent="0.3">
      <c r="A1423">
        <v>21422</v>
      </c>
      <c r="B1423">
        <v>387</v>
      </c>
      <c r="C1423" s="2">
        <v>45110</v>
      </c>
      <c r="D1423" s="2" t="str">
        <f>TEXT(Table4[[#This Row],[issue_date]],"mmmm")</f>
        <v>July</v>
      </c>
      <c r="E1423" s="9">
        <f>YEAR(Table4[[#This Row],[issue_date]])</f>
        <v>2023</v>
      </c>
      <c r="F1423" t="s">
        <v>19</v>
      </c>
      <c r="G1423">
        <v>1</v>
      </c>
      <c r="H1423" t="s">
        <v>20</v>
      </c>
      <c r="I1423" t="str">
        <f>VLOOKUP(Table4[[#This Row],[customer_id]],customers!A:G,4,)</f>
        <v>bangalore</v>
      </c>
    </row>
    <row r="1424" spans="1:9" x14ac:dyDescent="0.3">
      <c r="A1424">
        <v>21423</v>
      </c>
      <c r="B1424">
        <v>146</v>
      </c>
      <c r="C1424" s="2">
        <v>44567</v>
      </c>
      <c r="D1424" s="2" t="str">
        <f>TEXT(Table4[[#This Row],[issue_date]],"mmmm")</f>
        <v>January</v>
      </c>
      <c r="E1424" s="9">
        <f>YEAR(Table4[[#This Row],[issue_date]])</f>
        <v>2022</v>
      </c>
      <c r="F1424" t="s">
        <v>19</v>
      </c>
      <c r="G1424">
        <v>42</v>
      </c>
      <c r="H1424" t="s">
        <v>20</v>
      </c>
      <c r="I1424" t="str">
        <f>VLOOKUP(Table4[[#This Row],[customer_id]],customers!A:G,4,)</f>
        <v>mumbai</v>
      </c>
    </row>
    <row r="1425" spans="1:9" x14ac:dyDescent="0.3">
      <c r="A1425">
        <v>21424</v>
      </c>
      <c r="B1425">
        <v>336</v>
      </c>
      <c r="C1425" s="2">
        <v>45034</v>
      </c>
      <c r="D1425" s="2" t="str">
        <f>TEXT(Table4[[#This Row],[issue_date]],"mmmm")</f>
        <v>April</v>
      </c>
      <c r="E1425" s="9">
        <f>YEAR(Table4[[#This Row],[issue_date]])</f>
        <v>2023</v>
      </c>
      <c r="F1425" t="s">
        <v>21</v>
      </c>
      <c r="G1425">
        <v>55</v>
      </c>
      <c r="H1425" t="s">
        <v>20</v>
      </c>
      <c r="I1425" t="str">
        <f>VLOOKUP(Table4[[#This Row],[customer_id]],customers!A:G,4,)</f>
        <v>bangalore</v>
      </c>
    </row>
    <row r="1426" spans="1:9" x14ac:dyDescent="0.3">
      <c r="A1426">
        <v>21425</v>
      </c>
      <c r="B1426">
        <v>224</v>
      </c>
      <c r="C1426" s="2">
        <v>44879</v>
      </c>
      <c r="D1426" s="2" t="str">
        <f>TEXT(Table4[[#This Row],[issue_date]],"mmmm")</f>
        <v>November</v>
      </c>
      <c r="E1426" s="9">
        <f>YEAR(Table4[[#This Row],[issue_date]])</f>
        <v>2022</v>
      </c>
      <c r="F1426" t="s">
        <v>19</v>
      </c>
      <c r="G1426">
        <v>49</v>
      </c>
      <c r="H1426" t="s">
        <v>23</v>
      </c>
      <c r="I1426" t="str">
        <f>VLOOKUP(Table4[[#This Row],[customer_id]],customers!A:G,4,)</f>
        <v>delhi</v>
      </c>
    </row>
    <row r="1427" spans="1:9" x14ac:dyDescent="0.3">
      <c r="A1427">
        <v>21426</v>
      </c>
      <c r="B1427">
        <v>117</v>
      </c>
      <c r="C1427" s="2">
        <v>44786</v>
      </c>
      <c r="D1427" s="2" t="str">
        <f>TEXT(Table4[[#This Row],[issue_date]],"mmmm")</f>
        <v>August</v>
      </c>
      <c r="E1427" s="9">
        <f>YEAR(Table4[[#This Row],[issue_date]])</f>
        <v>2022</v>
      </c>
      <c r="F1427" t="s">
        <v>21</v>
      </c>
      <c r="G1427">
        <v>30</v>
      </c>
      <c r="H1427" t="s">
        <v>20</v>
      </c>
      <c r="I1427" t="str">
        <f>VLOOKUP(Table4[[#This Row],[customer_id]],customers!A:G,4,)</f>
        <v>kolkata</v>
      </c>
    </row>
    <row r="1428" spans="1:9" x14ac:dyDescent="0.3">
      <c r="A1428">
        <v>21427</v>
      </c>
      <c r="B1428">
        <v>1</v>
      </c>
      <c r="C1428" s="2">
        <v>44594</v>
      </c>
      <c r="D1428" s="2" t="str">
        <f>TEXT(Table4[[#This Row],[issue_date]],"mmmm")</f>
        <v>February</v>
      </c>
      <c r="E1428" s="9">
        <f>YEAR(Table4[[#This Row],[issue_date]])</f>
        <v>2022</v>
      </c>
      <c r="F1428" t="s">
        <v>22</v>
      </c>
      <c r="G1428">
        <v>35</v>
      </c>
      <c r="H1428" t="s">
        <v>20</v>
      </c>
      <c r="I1428" t="str">
        <f>VLOOKUP(Table4[[#This Row],[customer_id]],customers!A:G,4,)</f>
        <v>kolkata</v>
      </c>
    </row>
    <row r="1429" spans="1:9" x14ac:dyDescent="0.3">
      <c r="A1429">
        <v>21428</v>
      </c>
      <c r="B1429">
        <v>117</v>
      </c>
      <c r="C1429" s="2">
        <v>44650</v>
      </c>
      <c r="D1429" s="2" t="str">
        <f>TEXT(Table4[[#This Row],[issue_date]],"mmmm")</f>
        <v>March</v>
      </c>
      <c r="E1429" s="9">
        <f>YEAR(Table4[[#This Row],[issue_date]])</f>
        <v>2022</v>
      </c>
      <c r="F1429" t="s">
        <v>19</v>
      </c>
      <c r="G1429">
        <v>63</v>
      </c>
      <c r="H1429" t="s">
        <v>20</v>
      </c>
      <c r="I1429" t="str">
        <f>VLOOKUP(Table4[[#This Row],[customer_id]],customers!A:G,4,)</f>
        <v>kolkata</v>
      </c>
    </row>
    <row r="1430" spans="1:9" x14ac:dyDescent="0.3">
      <c r="A1430">
        <v>21429</v>
      </c>
      <c r="B1430">
        <v>384</v>
      </c>
      <c r="C1430" s="2">
        <v>44895</v>
      </c>
      <c r="D1430" s="2" t="str">
        <f>TEXT(Table4[[#This Row],[issue_date]],"mmmm")</f>
        <v>November</v>
      </c>
      <c r="E1430" s="9">
        <f>YEAR(Table4[[#This Row],[issue_date]])</f>
        <v>2022</v>
      </c>
      <c r="F1430" t="s">
        <v>19</v>
      </c>
      <c r="G1430">
        <v>22</v>
      </c>
      <c r="H1430" t="s">
        <v>20</v>
      </c>
      <c r="I1430" t="str">
        <f>VLOOKUP(Table4[[#This Row],[customer_id]],customers!A:G,4,)</f>
        <v>chennai</v>
      </c>
    </row>
    <row r="1431" spans="1:9" x14ac:dyDescent="0.3">
      <c r="A1431">
        <v>21430</v>
      </c>
      <c r="B1431">
        <v>26</v>
      </c>
      <c r="C1431" s="2">
        <v>44601</v>
      </c>
      <c r="D1431" s="2" t="str">
        <f>TEXT(Table4[[#This Row],[issue_date]],"mmmm")</f>
        <v>February</v>
      </c>
      <c r="E1431" s="9">
        <f>YEAR(Table4[[#This Row],[issue_date]])</f>
        <v>2022</v>
      </c>
      <c r="F1431" t="s">
        <v>22</v>
      </c>
      <c r="G1431">
        <v>43</v>
      </c>
      <c r="H1431" t="s">
        <v>20</v>
      </c>
      <c r="I1431" t="str">
        <f>VLOOKUP(Table4[[#This Row],[customer_id]],customers!A:G,4,)</f>
        <v>bangalore</v>
      </c>
    </row>
    <row r="1432" spans="1:9" x14ac:dyDescent="0.3">
      <c r="A1432">
        <v>21431</v>
      </c>
      <c r="B1432">
        <v>436</v>
      </c>
      <c r="C1432" s="2">
        <v>45242</v>
      </c>
      <c r="D1432" s="2" t="str">
        <f>TEXT(Table4[[#This Row],[issue_date]],"mmmm")</f>
        <v>November</v>
      </c>
      <c r="E1432" s="9">
        <f>YEAR(Table4[[#This Row],[issue_date]])</f>
        <v>2023</v>
      </c>
      <c r="F1432" t="s">
        <v>22</v>
      </c>
      <c r="G1432">
        <v>28</v>
      </c>
      <c r="H1432" t="s">
        <v>20</v>
      </c>
      <c r="I1432" t="str">
        <f>VLOOKUP(Table4[[#This Row],[customer_id]],customers!A:G,4,)</f>
        <v>delhi</v>
      </c>
    </row>
    <row r="1433" spans="1:9" x14ac:dyDescent="0.3">
      <c r="A1433">
        <v>21432</v>
      </c>
      <c r="B1433">
        <v>496</v>
      </c>
      <c r="C1433" s="2">
        <v>44936</v>
      </c>
      <c r="D1433" s="2" t="str">
        <f>TEXT(Table4[[#This Row],[issue_date]],"mmmm")</f>
        <v>January</v>
      </c>
      <c r="E1433" s="9">
        <f>YEAR(Table4[[#This Row],[issue_date]])</f>
        <v>2023</v>
      </c>
      <c r="F1433" t="s">
        <v>22</v>
      </c>
      <c r="G1433">
        <v>18</v>
      </c>
      <c r="H1433" t="s">
        <v>20</v>
      </c>
      <c r="I1433" t="str">
        <f>VLOOKUP(Table4[[#This Row],[customer_id]],customers!A:G,4,)</f>
        <v>chennai</v>
      </c>
    </row>
    <row r="1434" spans="1:9" x14ac:dyDescent="0.3">
      <c r="A1434">
        <v>21433</v>
      </c>
      <c r="B1434">
        <v>12</v>
      </c>
      <c r="C1434" s="2">
        <v>44859</v>
      </c>
      <c r="D1434" s="2" t="str">
        <f>TEXT(Table4[[#This Row],[issue_date]],"mmmm")</f>
        <v>October</v>
      </c>
      <c r="E1434" s="9">
        <f>YEAR(Table4[[#This Row],[issue_date]])</f>
        <v>2022</v>
      </c>
      <c r="F1434" t="s">
        <v>21</v>
      </c>
      <c r="G1434">
        <v>32</v>
      </c>
      <c r="H1434" t="s">
        <v>20</v>
      </c>
      <c r="I1434" t="str">
        <f>VLOOKUP(Table4[[#This Row],[customer_id]],customers!A:G,4,)</f>
        <v>kolkata</v>
      </c>
    </row>
    <row r="1435" spans="1:9" x14ac:dyDescent="0.3">
      <c r="A1435">
        <v>21434</v>
      </c>
      <c r="B1435">
        <v>294</v>
      </c>
      <c r="C1435" s="2">
        <v>44954</v>
      </c>
      <c r="D1435" s="2" t="str">
        <f>TEXT(Table4[[#This Row],[issue_date]],"mmmm")</f>
        <v>January</v>
      </c>
      <c r="E1435" s="9">
        <f>YEAR(Table4[[#This Row],[issue_date]])</f>
        <v>2023</v>
      </c>
      <c r="F1435" t="s">
        <v>21</v>
      </c>
      <c r="G1435">
        <v>69</v>
      </c>
      <c r="H1435" t="s">
        <v>20</v>
      </c>
      <c r="I1435" t="str">
        <f>VLOOKUP(Table4[[#This Row],[customer_id]],customers!A:G,4,)</f>
        <v>hyderabad</v>
      </c>
    </row>
    <row r="1436" spans="1:9" x14ac:dyDescent="0.3">
      <c r="A1436">
        <v>21435</v>
      </c>
      <c r="B1436">
        <v>341</v>
      </c>
      <c r="C1436" s="2">
        <v>44579</v>
      </c>
      <c r="D1436" s="2" t="str">
        <f>TEXT(Table4[[#This Row],[issue_date]],"mmmm")</f>
        <v>January</v>
      </c>
      <c r="E1436" s="9">
        <f>YEAR(Table4[[#This Row],[issue_date]])</f>
        <v>2022</v>
      </c>
      <c r="F1436" t="s">
        <v>19</v>
      </c>
      <c r="G1436">
        <v>54</v>
      </c>
      <c r="H1436" t="s">
        <v>20</v>
      </c>
      <c r="I1436" t="str">
        <f>VLOOKUP(Table4[[#This Row],[customer_id]],customers!A:G,4,)</f>
        <v>bangalore</v>
      </c>
    </row>
    <row r="1437" spans="1:9" x14ac:dyDescent="0.3">
      <c r="A1437">
        <v>21436</v>
      </c>
      <c r="B1437">
        <v>169</v>
      </c>
      <c r="C1437" s="2">
        <v>45088</v>
      </c>
      <c r="D1437" s="2" t="str">
        <f>TEXT(Table4[[#This Row],[issue_date]],"mmmm")</f>
        <v>June</v>
      </c>
      <c r="E1437" s="9">
        <f>YEAR(Table4[[#This Row],[issue_date]])</f>
        <v>2023</v>
      </c>
      <c r="F1437" t="s">
        <v>22</v>
      </c>
      <c r="G1437">
        <v>34</v>
      </c>
      <c r="H1437" t="s">
        <v>20</v>
      </c>
      <c r="I1437" t="str">
        <f>VLOOKUP(Table4[[#This Row],[customer_id]],customers!A:G,4,)</f>
        <v>chennai</v>
      </c>
    </row>
    <row r="1438" spans="1:9" x14ac:dyDescent="0.3">
      <c r="A1438">
        <v>21437</v>
      </c>
      <c r="B1438">
        <v>53</v>
      </c>
      <c r="C1438" s="2">
        <v>44693</v>
      </c>
      <c r="D1438" s="2" t="str">
        <f>TEXT(Table4[[#This Row],[issue_date]],"mmmm")</f>
        <v>May</v>
      </c>
      <c r="E1438" s="9">
        <f>YEAR(Table4[[#This Row],[issue_date]])</f>
        <v>2022</v>
      </c>
      <c r="F1438" t="s">
        <v>19</v>
      </c>
      <c r="G1438">
        <v>31</v>
      </c>
      <c r="H1438" t="s">
        <v>20</v>
      </c>
      <c r="I1438" t="str">
        <f>VLOOKUP(Table4[[#This Row],[customer_id]],customers!A:G,4,)</f>
        <v>mumbai</v>
      </c>
    </row>
    <row r="1439" spans="1:9" x14ac:dyDescent="0.3">
      <c r="A1439">
        <v>21438</v>
      </c>
      <c r="B1439">
        <v>269</v>
      </c>
      <c r="C1439" s="2">
        <v>44851</v>
      </c>
      <c r="D1439" s="2" t="str">
        <f>TEXT(Table4[[#This Row],[issue_date]],"mmmm")</f>
        <v>October</v>
      </c>
      <c r="E1439" s="9">
        <f>YEAR(Table4[[#This Row],[issue_date]])</f>
        <v>2022</v>
      </c>
      <c r="F1439" t="s">
        <v>22</v>
      </c>
      <c r="G1439">
        <v>4</v>
      </c>
      <c r="H1439" t="s">
        <v>20</v>
      </c>
      <c r="I1439" t="str">
        <f>VLOOKUP(Table4[[#This Row],[customer_id]],customers!A:G,4,)</f>
        <v>chennai</v>
      </c>
    </row>
    <row r="1440" spans="1:9" x14ac:dyDescent="0.3">
      <c r="A1440">
        <v>21439</v>
      </c>
      <c r="B1440">
        <v>248</v>
      </c>
      <c r="C1440" s="2">
        <v>45391</v>
      </c>
      <c r="D1440" s="2" t="str">
        <f>TEXT(Table4[[#This Row],[issue_date]],"mmmm")</f>
        <v>April</v>
      </c>
      <c r="E1440" s="9">
        <f>YEAR(Table4[[#This Row],[issue_date]])</f>
        <v>2024</v>
      </c>
      <c r="F1440" t="s">
        <v>22</v>
      </c>
      <c r="G1440">
        <v>14</v>
      </c>
      <c r="H1440" t="s">
        <v>20</v>
      </c>
      <c r="I1440" t="str">
        <f>VLOOKUP(Table4[[#This Row],[customer_id]],customers!A:G,4,)</f>
        <v>bangalore</v>
      </c>
    </row>
    <row r="1441" spans="1:9" x14ac:dyDescent="0.3">
      <c r="A1441">
        <v>21440</v>
      </c>
      <c r="B1441">
        <v>128</v>
      </c>
      <c r="C1441" s="2">
        <v>45367</v>
      </c>
      <c r="D1441" s="2" t="str">
        <f>TEXT(Table4[[#This Row],[issue_date]],"mmmm")</f>
        <v>March</v>
      </c>
      <c r="E1441" s="9">
        <f>YEAR(Table4[[#This Row],[issue_date]])</f>
        <v>2024</v>
      </c>
      <c r="F1441" t="s">
        <v>22</v>
      </c>
      <c r="G1441">
        <v>15</v>
      </c>
      <c r="H1441" t="s">
        <v>20</v>
      </c>
      <c r="I1441" t="str">
        <f>VLOOKUP(Table4[[#This Row],[customer_id]],customers!A:G,4,)</f>
        <v>bangalore</v>
      </c>
    </row>
    <row r="1442" spans="1:9" x14ac:dyDescent="0.3">
      <c r="A1442">
        <v>21441</v>
      </c>
      <c r="B1442">
        <v>76</v>
      </c>
      <c r="C1442" s="2">
        <v>44770</v>
      </c>
      <c r="D1442" s="2" t="str">
        <f>TEXT(Table4[[#This Row],[issue_date]],"mmmm")</f>
        <v>July</v>
      </c>
      <c r="E1442" s="9">
        <f>YEAR(Table4[[#This Row],[issue_date]])</f>
        <v>2022</v>
      </c>
      <c r="F1442" t="s">
        <v>22</v>
      </c>
      <c r="G1442">
        <v>60</v>
      </c>
      <c r="H1442" t="s">
        <v>20</v>
      </c>
      <c r="I1442" t="str">
        <f>VLOOKUP(Table4[[#This Row],[customer_id]],customers!A:G,4,)</f>
        <v>mumbai</v>
      </c>
    </row>
    <row r="1443" spans="1:9" x14ac:dyDescent="0.3">
      <c r="A1443">
        <v>21442</v>
      </c>
      <c r="B1443">
        <v>269</v>
      </c>
      <c r="C1443" s="2">
        <v>44888</v>
      </c>
      <c r="D1443" s="2" t="str">
        <f>TEXT(Table4[[#This Row],[issue_date]],"mmmm")</f>
        <v>November</v>
      </c>
      <c r="E1443" s="9">
        <f>YEAR(Table4[[#This Row],[issue_date]])</f>
        <v>2022</v>
      </c>
      <c r="F1443" t="s">
        <v>22</v>
      </c>
      <c r="G1443">
        <v>20</v>
      </c>
      <c r="H1443" t="s">
        <v>20</v>
      </c>
      <c r="I1443" t="str">
        <f>VLOOKUP(Table4[[#This Row],[customer_id]],customers!A:G,4,)</f>
        <v>chennai</v>
      </c>
    </row>
    <row r="1444" spans="1:9" x14ac:dyDescent="0.3">
      <c r="A1444">
        <v>21443</v>
      </c>
      <c r="B1444">
        <v>146</v>
      </c>
      <c r="C1444" s="2">
        <v>45064</v>
      </c>
      <c r="D1444" s="2" t="str">
        <f>TEXT(Table4[[#This Row],[issue_date]],"mmmm")</f>
        <v>May</v>
      </c>
      <c r="E1444" s="9">
        <f>YEAR(Table4[[#This Row],[issue_date]])</f>
        <v>2023</v>
      </c>
      <c r="F1444" t="s">
        <v>21</v>
      </c>
      <c r="G1444">
        <v>20</v>
      </c>
      <c r="H1444" t="s">
        <v>20</v>
      </c>
      <c r="I1444" t="str">
        <f>VLOOKUP(Table4[[#This Row],[customer_id]],customers!A:G,4,)</f>
        <v>mumbai</v>
      </c>
    </row>
    <row r="1445" spans="1:9" x14ac:dyDescent="0.3">
      <c r="A1445">
        <v>21444</v>
      </c>
      <c r="B1445">
        <v>403</v>
      </c>
      <c r="C1445" s="2">
        <v>44840</v>
      </c>
      <c r="D1445" s="2" t="str">
        <f>TEXT(Table4[[#This Row],[issue_date]],"mmmm")</f>
        <v>October</v>
      </c>
      <c r="E1445" s="9">
        <f>YEAR(Table4[[#This Row],[issue_date]])</f>
        <v>2022</v>
      </c>
      <c r="F1445" t="s">
        <v>19</v>
      </c>
      <c r="G1445">
        <v>49</v>
      </c>
      <c r="H1445" t="s">
        <v>20</v>
      </c>
      <c r="I1445" t="str">
        <f>VLOOKUP(Table4[[#This Row],[customer_id]],customers!A:G,4,)</f>
        <v>delhi</v>
      </c>
    </row>
    <row r="1446" spans="1:9" x14ac:dyDescent="0.3">
      <c r="A1446">
        <v>21445</v>
      </c>
      <c r="B1446">
        <v>403</v>
      </c>
      <c r="C1446" s="2">
        <v>44943</v>
      </c>
      <c r="D1446" s="2" t="str">
        <f>TEXT(Table4[[#This Row],[issue_date]],"mmmm")</f>
        <v>January</v>
      </c>
      <c r="E1446" s="9">
        <f>YEAR(Table4[[#This Row],[issue_date]])</f>
        <v>2023</v>
      </c>
      <c r="F1446" t="s">
        <v>22</v>
      </c>
      <c r="G1446">
        <v>68</v>
      </c>
      <c r="H1446" t="s">
        <v>20</v>
      </c>
      <c r="I1446" t="str">
        <f>VLOOKUP(Table4[[#This Row],[customer_id]],customers!A:G,4,)</f>
        <v>delhi</v>
      </c>
    </row>
    <row r="1447" spans="1:9" x14ac:dyDescent="0.3">
      <c r="A1447">
        <v>21446</v>
      </c>
      <c r="B1447">
        <v>499</v>
      </c>
      <c r="C1447" s="2">
        <v>45349</v>
      </c>
      <c r="D1447" s="2" t="str">
        <f>TEXT(Table4[[#This Row],[issue_date]],"mmmm")</f>
        <v>February</v>
      </c>
      <c r="E1447" s="9">
        <f>YEAR(Table4[[#This Row],[issue_date]])</f>
        <v>2024</v>
      </c>
      <c r="F1447" t="s">
        <v>21</v>
      </c>
      <c r="G1447">
        <v>18</v>
      </c>
      <c r="H1447" t="s">
        <v>20</v>
      </c>
      <c r="I1447" t="str">
        <f>VLOOKUP(Table4[[#This Row],[customer_id]],customers!A:G,4,)</f>
        <v>delhi</v>
      </c>
    </row>
    <row r="1448" spans="1:9" x14ac:dyDescent="0.3">
      <c r="A1448">
        <v>21447</v>
      </c>
      <c r="B1448">
        <v>454</v>
      </c>
      <c r="C1448" s="2">
        <v>44870</v>
      </c>
      <c r="D1448" s="2" t="str">
        <f>TEXT(Table4[[#This Row],[issue_date]],"mmmm")</f>
        <v>November</v>
      </c>
      <c r="E1448" s="9">
        <f>YEAR(Table4[[#This Row],[issue_date]])</f>
        <v>2022</v>
      </c>
      <c r="F1448" t="s">
        <v>21</v>
      </c>
      <c r="G1448">
        <v>24</v>
      </c>
      <c r="H1448" t="s">
        <v>20</v>
      </c>
      <c r="I1448" t="str">
        <f>VLOOKUP(Table4[[#This Row],[customer_id]],customers!A:G,4,)</f>
        <v>chennai</v>
      </c>
    </row>
    <row r="1449" spans="1:9" x14ac:dyDescent="0.3">
      <c r="A1449">
        <v>21448</v>
      </c>
      <c r="B1449">
        <v>48</v>
      </c>
      <c r="C1449" s="2">
        <v>45459</v>
      </c>
      <c r="D1449" s="2" t="str">
        <f>TEXT(Table4[[#This Row],[issue_date]],"mmmm")</f>
        <v>June</v>
      </c>
      <c r="E1449" s="9">
        <f>YEAR(Table4[[#This Row],[issue_date]])</f>
        <v>2024</v>
      </c>
      <c r="F1449" t="s">
        <v>22</v>
      </c>
      <c r="G1449">
        <v>27</v>
      </c>
      <c r="H1449" t="s">
        <v>20</v>
      </c>
      <c r="I1449" t="str">
        <f>VLOOKUP(Table4[[#This Row],[customer_id]],customers!A:G,4,)</f>
        <v>chennai</v>
      </c>
    </row>
    <row r="1450" spans="1:9" x14ac:dyDescent="0.3">
      <c r="A1450">
        <v>21449</v>
      </c>
      <c r="B1450">
        <v>199</v>
      </c>
      <c r="C1450" s="2">
        <v>44838</v>
      </c>
      <c r="D1450" s="2" t="str">
        <f>TEXT(Table4[[#This Row],[issue_date]],"mmmm")</f>
        <v>October</v>
      </c>
      <c r="E1450" s="9">
        <f>YEAR(Table4[[#This Row],[issue_date]])</f>
        <v>2022</v>
      </c>
      <c r="F1450" t="s">
        <v>22</v>
      </c>
      <c r="G1450">
        <v>33</v>
      </c>
      <c r="H1450" t="s">
        <v>20</v>
      </c>
      <c r="I1450" t="str">
        <f>VLOOKUP(Table4[[#This Row],[customer_id]],customers!A:G,4,)</f>
        <v>kolkata</v>
      </c>
    </row>
    <row r="1451" spans="1:9" x14ac:dyDescent="0.3">
      <c r="A1451">
        <v>21450</v>
      </c>
      <c r="B1451">
        <v>71</v>
      </c>
      <c r="C1451" s="2">
        <v>44637</v>
      </c>
      <c r="D1451" s="2" t="str">
        <f>TEXT(Table4[[#This Row],[issue_date]],"mmmm")</f>
        <v>March</v>
      </c>
      <c r="E1451" s="9">
        <f>YEAR(Table4[[#This Row],[issue_date]])</f>
        <v>2022</v>
      </c>
      <c r="F1451" t="s">
        <v>21</v>
      </c>
      <c r="G1451">
        <v>64</v>
      </c>
      <c r="H1451" t="s">
        <v>20</v>
      </c>
      <c r="I1451" t="str">
        <f>VLOOKUP(Table4[[#This Row],[customer_id]],customers!A:G,4,)</f>
        <v>hyderabad</v>
      </c>
    </row>
    <row r="1452" spans="1:9" x14ac:dyDescent="0.3">
      <c r="A1452">
        <v>21451</v>
      </c>
      <c r="B1452">
        <v>412</v>
      </c>
      <c r="C1452" s="2">
        <v>44859</v>
      </c>
      <c r="D1452" s="2" t="str">
        <f>TEXT(Table4[[#This Row],[issue_date]],"mmmm")</f>
        <v>October</v>
      </c>
      <c r="E1452" s="9">
        <f>YEAR(Table4[[#This Row],[issue_date]])</f>
        <v>2022</v>
      </c>
      <c r="F1452" t="s">
        <v>22</v>
      </c>
      <c r="G1452">
        <v>25</v>
      </c>
      <c r="H1452" t="s">
        <v>20</v>
      </c>
      <c r="I1452" t="str">
        <f>VLOOKUP(Table4[[#This Row],[customer_id]],customers!A:G,4,)</f>
        <v>hyderabad</v>
      </c>
    </row>
    <row r="1453" spans="1:9" x14ac:dyDescent="0.3">
      <c r="A1453">
        <v>21452</v>
      </c>
      <c r="B1453">
        <v>92</v>
      </c>
      <c r="C1453" s="2">
        <v>45386</v>
      </c>
      <c r="D1453" s="2" t="str">
        <f>TEXT(Table4[[#This Row],[issue_date]],"mmmm")</f>
        <v>April</v>
      </c>
      <c r="E1453" s="9">
        <f>YEAR(Table4[[#This Row],[issue_date]])</f>
        <v>2024</v>
      </c>
      <c r="F1453" t="s">
        <v>21</v>
      </c>
      <c r="G1453">
        <v>69</v>
      </c>
      <c r="H1453" t="s">
        <v>20</v>
      </c>
      <c r="I1453" t="str">
        <f>VLOOKUP(Table4[[#This Row],[customer_id]],customers!A:G,4,)</f>
        <v>chennai</v>
      </c>
    </row>
    <row r="1454" spans="1:9" x14ac:dyDescent="0.3">
      <c r="A1454">
        <v>21453</v>
      </c>
      <c r="B1454">
        <v>403</v>
      </c>
      <c r="C1454" s="2">
        <v>44939</v>
      </c>
      <c r="D1454" s="2" t="str">
        <f>TEXT(Table4[[#This Row],[issue_date]],"mmmm")</f>
        <v>January</v>
      </c>
      <c r="E1454" s="9">
        <f>YEAR(Table4[[#This Row],[issue_date]])</f>
        <v>2023</v>
      </c>
      <c r="F1454" t="s">
        <v>22</v>
      </c>
      <c r="G1454">
        <v>18</v>
      </c>
      <c r="H1454" t="s">
        <v>20</v>
      </c>
      <c r="I1454" t="str">
        <f>VLOOKUP(Table4[[#This Row],[customer_id]],customers!A:G,4,)</f>
        <v>delhi</v>
      </c>
    </row>
    <row r="1455" spans="1:9" x14ac:dyDescent="0.3">
      <c r="A1455">
        <v>21454</v>
      </c>
      <c r="B1455">
        <v>464</v>
      </c>
      <c r="C1455" s="2">
        <v>44994</v>
      </c>
      <c r="D1455" s="2" t="str">
        <f>TEXT(Table4[[#This Row],[issue_date]],"mmmm")</f>
        <v>March</v>
      </c>
      <c r="E1455" s="9">
        <f>YEAR(Table4[[#This Row],[issue_date]])</f>
        <v>2023</v>
      </c>
      <c r="F1455" t="s">
        <v>21</v>
      </c>
      <c r="G1455">
        <v>45</v>
      </c>
      <c r="H1455" t="s">
        <v>20</v>
      </c>
      <c r="I1455" t="str">
        <f>VLOOKUP(Table4[[#This Row],[customer_id]],customers!A:G,4,)</f>
        <v>delhi</v>
      </c>
    </row>
    <row r="1456" spans="1:9" x14ac:dyDescent="0.3">
      <c r="A1456">
        <v>21455</v>
      </c>
      <c r="B1456">
        <v>209</v>
      </c>
      <c r="C1456" s="2">
        <v>45420</v>
      </c>
      <c r="D1456" s="2" t="str">
        <f>TEXT(Table4[[#This Row],[issue_date]],"mmmm")</f>
        <v>May</v>
      </c>
      <c r="E1456" s="9">
        <f>YEAR(Table4[[#This Row],[issue_date]])</f>
        <v>2024</v>
      </c>
      <c r="F1456" t="s">
        <v>22</v>
      </c>
      <c r="G1456">
        <v>20</v>
      </c>
      <c r="H1456" t="s">
        <v>23</v>
      </c>
      <c r="I1456" t="str">
        <f>VLOOKUP(Table4[[#This Row],[customer_id]],customers!A:G,4,)</f>
        <v>bangalore</v>
      </c>
    </row>
    <row r="1457" spans="1:9" x14ac:dyDescent="0.3">
      <c r="A1457">
        <v>21456</v>
      </c>
      <c r="B1457">
        <v>342</v>
      </c>
      <c r="C1457" s="2">
        <v>44673</v>
      </c>
      <c r="D1457" s="2" t="str">
        <f>TEXT(Table4[[#This Row],[issue_date]],"mmmm")</f>
        <v>April</v>
      </c>
      <c r="E1457" s="9">
        <f>YEAR(Table4[[#This Row],[issue_date]])</f>
        <v>2022</v>
      </c>
      <c r="F1457" t="s">
        <v>21</v>
      </c>
      <c r="G1457">
        <v>35</v>
      </c>
      <c r="H1457" t="s">
        <v>20</v>
      </c>
      <c r="I1457" t="str">
        <f>VLOOKUP(Table4[[#This Row],[customer_id]],customers!A:G,4,)</f>
        <v>hyderabad</v>
      </c>
    </row>
    <row r="1458" spans="1:9" x14ac:dyDescent="0.3">
      <c r="A1458">
        <v>21457</v>
      </c>
      <c r="B1458">
        <v>339</v>
      </c>
      <c r="C1458" s="2">
        <v>45339</v>
      </c>
      <c r="D1458" s="2" t="str">
        <f>TEXT(Table4[[#This Row],[issue_date]],"mmmm")</f>
        <v>February</v>
      </c>
      <c r="E1458" s="9">
        <f>YEAR(Table4[[#This Row],[issue_date]])</f>
        <v>2024</v>
      </c>
      <c r="F1458" t="s">
        <v>19</v>
      </c>
      <c r="G1458">
        <v>6</v>
      </c>
      <c r="H1458" t="s">
        <v>23</v>
      </c>
      <c r="I1458" t="str">
        <f>VLOOKUP(Table4[[#This Row],[customer_id]],customers!A:G,4,)</f>
        <v>bangalore</v>
      </c>
    </row>
    <row r="1459" spans="1:9" x14ac:dyDescent="0.3">
      <c r="A1459">
        <v>21458</v>
      </c>
      <c r="B1459">
        <v>48</v>
      </c>
      <c r="C1459" s="2">
        <v>44633</v>
      </c>
      <c r="D1459" s="2" t="str">
        <f>TEXT(Table4[[#This Row],[issue_date]],"mmmm")</f>
        <v>March</v>
      </c>
      <c r="E1459" s="9">
        <f>YEAR(Table4[[#This Row],[issue_date]])</f>
        <v>2022</v>
      </c>
      <c r="F1459" t="s">
        <v>22</v>
      </c>
      <c r="G1459">
        <v>9</v>
      </c>
      <c r="H1459" t="s">
        <v>20</v>
      </c>
      <c r="I1459" t="str">
        <f>VLOOKUP(Table4[[#This Row],[customer_id]],customers!A:G,4,)</f>
        <v>chennai</v>
      </c>
    </row>
    <row r="1460" spans="1:9" x14ac:dyDescent="0.3">
      <c r="A1460">
        <v>21459</v>
      </c>
      <c r="B1460">
        <v>29</v>
      </c>
      <c r="C1460" s="2">
        <v>44878</v>
      </c>
      <c r="D1460" s="2" t="str">
        <f>TEXT(Table4[[#This Row],[issue_date]],"mmmm")</f>
        <v>November</v>
      </c>
      <c r="E1460" s="9">
        <f>YEAR(Table4[[#This Row],[issue_date]])</f>
        <v>2022</v>
      </c>
      <c r="F1460" t="s">
        <v>22</v>
      </c>
      <c r="G1460">
        <v>52</v>
      </c>
      <c r="H1460" t="s">
        <v>23</v>
      </c>
      <c r="I1460" t="str">
        <f>VLOOKUP(Table4[[#This Row],[customer_id]],customers!A:G,4,)</f>
        <v>kolkata</v>
      </c>
    </row>
    <row r="1461" spans="1:9" x14ac:dyDescent="0.3">
      <c r="A1461">
        <v>21460</v>
      </c>
      <c r="B1461">
        <v>176</v>
      </c>
      <c r="C1461" s="2">
        <v>44582</v>
      </c>
      <c r="D1461" s="2" t="str">
        <f>TEXT(Table4[[#This Row],[issue_date]],"mmmm")</f>
        <v>January</v>
      </c>
      <c r="E1461" s="9">
        <f>YEAR(Table4[[#This Row],[issue_date]])</f>
        <v>2022</v>
      </c>
      <c r="F1461" t="s">
        <v>21</v>
      </c>
      <c r="G1461">
        <v>28</v>
      </c>
      <c r="H1461" t="s">
        <v>20</v>
      </c>
      <c r="I1461" t="str">
        <f>VLOOKUP(Table4[[#This Row],[customer_id]],customers!A:G,4,)</f>
        <v>chennai</v>
      </c>
    </row>
    <row r="1462" spans="1:9" x14ac:dyDescent="0.3">
      <c r="A1462">
        <v>21461</v>
      </c>
      <c r="B1462">
        <v>19</v>
      </c>
      <c r="C1462" s="2">
        <v>44749</v>
      </c>
      <c r="D1462" s="2" t="str">
        <f>TEXT(Table4[[#This Row],[issue_date]],"mmmm")</f>
        <v>July</v>
      </c>
      <c r="E1462" s="9">
        <f>YEAR(Table4[[#This Row],[issue_date]])</f>
        <v>2022</v>
      </c>
      <c r="F1462" t="s">
        <v>22</v>
      </c>
      <c r="G1462">
        <v>19</v>
      </c>
      <c r="H1462" t="s">
        <v>20</v>
      </c>
      <c r="I1462" t="str">
        <f>VLOOKUP(Table4[[#This Row],[customer_id]],customers!A:G,4,)</f>
        <v>kolkata</v>
      </c>
    </row>
    <row r="1463" spans="1:9" x14ac:dyDescent="0.3">
      <c r="A1463">
        <v>21462</v>
      </c>
      <c r="B1463">
        <v>495</v>
      </c>
      <c r="C1463" s="2">
        <v>44682</v>
      </c>
      <c r="D1463" s="2" t="str">
        <f>TEXT(Table4[[#This Row],[issue_date]],"mmmm")</f>
        <v>May</v>
      </c>
      <c r="E1463" s="9">
        <f>YEAR(Table4[[#This Row],[issue_date]])</f>
        <v>2022</v>
      </c>
      <c r="F1463" t="s">
        <v>19</v>
      </c>
      <c r="G1463">
        <v>63</v>
      </c>
      <c r="H1463" t="s">
        <v>20</v>
      </c>
      <c r="I1463" t="str">
        <f>VLOOKUP(Table4[[#This Row],[customer_id]],customers!A:G,4,)</f>
        <v>mumbai</v>
      </c>
    </row>
    <row r="1464" spans="1:9" x14ac:dyDescent="0.3">
      <c r="A1464">
        <v>21463</v>
      </c>
      <c r="B1464">
        <v>355</v>
      </c>
      <c r="C1464" s="2">
        <v>44903</v>
      </c>
      <c r="D1464" s="2" t="str">
        <f>TEXT(Table4[[#This Row],[issue_date]],"mmmm")</f>
        <v>December</v>
      </c>
      <c r="E1464" s="9">
        <f>YEAR(Table4[[#This Row],[issue_date]])</f>
        <v>2022</v>
      </c>
      <c r="F1464" t="s">
        <v>19</v>
      </c>
      <c r="G1464">
        <v>7</v>
      </c>
      <c r="H1464" t="s">
        <v>20</v>
      </c>
      <c r="I1464" t="str">
        <f>VLOOKUP(Table4[[#This Row],[customer_id]],customers!A:G,4,)</f>
        <v>bangalore</v>
      </c>
    </row>
    <row r="1465" spans="1:9" x14ac:dyDescent="0.3">
      <c r="A1465">
        <v>21464</v>
      </c>
      <c r="B1465">
        <v>47</v>
      </c>
      <c r="C1465" s="2">
        <v>45214</v>
      </c>
      <c r="D1465" s="2" t="str">
        <f>TEXT(Table4[[#This Row],[issue_date]],"mmmm")</f>
        <v>October</v>
      </c>
      <c r="E1465" s="9">
        <f>YEAR(Table4[[#This Row],[issue_date]])</f>
        <v>2023</v>
      </c>
      <c r="F1465" t="s">
        <v>21</v>
      </c>
      <c r="G1465">
        <v>37</v>
      </c>
      <c r="H1465" t="s">
        <v>23</v>
      </c>
      <c r="I1465" t="str">
        <f>VLOOKUP(Table4[[#This Row],[customer_id]],customers!A:G,4,)</f>
        <v>hyderabad</v>
      </c>
    </row>
    <row r="1466" spans="1:9" x14ac:dyDescent="0.3">
      <c r="A1466">
        <v>21465</v>
      </c>
      <c r="B1466">
        <v>345</v>
      </c>
      <c r="C1466" s="2">
        <v>44865</v>
      </c>
      <c r="D1466" s="2" t="str">
        <f>TEXT(Table4[[#This Row],[issue_date]],"mmmm")</f>
        <v>October</v>
      </c>
      <c r="E1466" s="9">
        <f>YEAR(Table4[[#This Row],[issue_date]])</f>
        <v>2022</v>
      </c>
      <c r="F1466" t="s">
        <v>21</v>
      </c>
      <c r="G1466">
        <v>36</v>
      </c>
      <c r="H1466" t="s">
        <v>20</v>
      </c>
      <c r="I1466" t="str">
        <f>VLOOKUP(Table4[[#This Row],[customer_id]],customers!A:G,4,)</f>
        <v>kolkata</v>
      </c>
    </row>
    <row r="1467" spans="1:9" x14ac:dyDescent="0.3">
      <c r="A1467">
        <v>21466</v>
      </c>
      <c r="B1467">
        <v>60</v>
      </c>
      <c r="C1467" s="2">
        <v>45008</v>
      </c>
      <c r="D1467" s="2" t="str">
        <f>TEXT(Table4[[#This Row],[issue_date]],"mmmm")</f>
        <v>March</v>
      </c>
      <c r="E1467" s="9">
        <f>YEAR(Table4[[#This Row],[issue_date]])</f>
        <v>2023</v>
      </c>
      <c r="F1467" t="s">
        <v>22</v>
      </c>
      <c r="G1467">
        <v>17</v>
      </c>
      <c r="H1467" t="s">
        <v>20</v>
      </c>
      <c r="I1467" t="str">
        <f>VLOOKUP(Table4[[#This Row],[customer_id]],customers!A:G,4,)</f>
        <v>hyderabad</v>
      </c>
    </row>
    <row r="1468" spans="1:9" x14ac:dyDescent="0.3">
      <c r="A1468">
        <v>21467</v>
      </c>
      <c r="B1468">
        <v>176</v>
      </c>
      <c r="C1468" s="2">
        <v>45277</v>
      </c>
      <c r="D1468" s="2" t="str">
        <f>TEXT(Table4[[#This Row],[issue_date]],"mmmm")</f>
        <v>December</v>
      </c>
      <c r="E1468" s="9">
        <f>YEAR(Table4[[#This Row],[issue_date]])</f>
        <v>2023</v>
      </c>
      <c r="F1468" t="s">
        <v>21</v>
      </c>
      <c r="G1468">
        <v>37</v>
      </c>
      <c r="H1468" t="s">
        <v>20</v>
      </c>
      <c r="I1468" t="str">
        <f>VLOOKUP(Table4[[#This Row],[customer_id]],customers!A:G,4,)</f>
        <v>chennai</v>
      </c>
    </row>
    <row r="1469" spans="1:9" x14ac:dyDescent="0.3">
      <c r="A1469">
        <v>21468</v>
      </c>
      <c r="B1469">
        <v>255</v>
      </c>
      <c r="C1469" s="2">
        <v>45282</v>
      </c>
      <c r="D1469" s="2" t="str">
        <f>TEXT(Table4[[#This Row],[issue_date]],"mmmm")</f>
        <v>December</v>
      </c>
      <c r="E1469" s="9">
        <f>YEAR(Table4[[#This Row],[issue_date]])</f>
        <v>2023</v>
      </c>
      <c r="F1469" t="s">
        <v>19</v>
      </c>
      <c r="G1469">
        <v>60</v>
      </c>
      <c r="H1469" t="s">
        <v>20</v>
      </c>
      <c r="I1469" t="str">
        <f>VLOOKUP(Table4[[#This Row],[customer_id]],customers!A:G,4,)</f>
        <v>delhi</v>
      </c>
    </row>
    <row r="1470" spans="1:9" x14ac:dyDescent="0.3">
      <c r="A1470">
        <v>21469</v>
      </c>
      <c r="B1470">
        <v>404</v>
      </c>
      <c r="C1470" s="2">
        <v>45057</v>
      </c>
      <c r="D1470" s="2" t="str">
        <f>TEXT(Table4[[#This Row],[issue_date]],"mmmm")</f>
        <v>May</v>
      </c>
      <c r="E1470" s="9">
        <f>YEAR(Table4[[#This Row],[issue_date]])</f>
        <v>2023</v>
      </c>
      <c r="F1470" t="s">
        <v>19</v>
      </c>
      <c r="G1470">
        <v>49</v>
      </c>
      <c r="H1470" t="s">
        <v>20</v>
      </c>
      <c r="I1470" t="str">
        <f>VLOOKUP(Table4[[#This Row],[customer_id]],customers!A:G,4,)</f>
        <v>hyderabad</v>
      </c>
    </row>
    <row r="1471" spans="1:9" x14ac:dyDescent="0.3">
      <c r="A1471">
        <v>21470</v>
      </c>
      <c r="B1471">
        <v>229</v>
      </c>
      <c r="C1471" s="2">
        <v>45082</v>
      </c>
      <c r="D1471" s="2" t="str">
        <f>TEXT(Table4[[#This Row],[issue_date]],"mmmm")</f>
        <v>June</v>
      </c>
      <c r="E1471" s="9">
        <f>YEAR(Table4[[#This Row],[issue_date]])</f>
        <v>2023</v>
      </c>
      <c r="F1471" t="s">
        <v>22</v>
      </c>
      <c r="G1471">
        <v>56</v>
      </c>
      <c r="H1471" t="s">
        <v>20</v>
      </c>
      <c r="I1471" t="str">
        <f>VLOOKUP(Table4[[#This Row],[customer_id]],customers!A:G,4,)</f>
        <v>hyderabad</v>
      </c>
    </row>
    <row r="1472" spans="1:9" x14ac:dyDescent="0.3">
      <c r="A1472">
        <v>21471</v>
      </c>
      <c r="B1472">
        <v>147</v>
      </c>
      <c r="C1472" s="2">
        <v>44746</v>
      </c>
      <c r="D1472" s="2" t="str">
        <f>TEXT(Table4[[#This Row],[issue_date]],"mmmm")</f>
        <v>July</v>
      </c>
      <c r="E1472" s="9">
        <f>YEAR(Table4[[#This Row],[issue_date]])</f>
        <v>2022</v>
      </c>
      <c r="F1472" t="s">
        <v>19</v>
      </c>
      <c r="G1472">
        <v>34</v>
      </c>
      <c r="H1472" t="s">
        <v>20</v>
      </c>
      <c r="I1472" t="str">
        <f>VLOOKUP(Table4[[#This Row],[customer_id]],customers!A:G,4,)</f>
        <v>bangalore</v>
      </c>
    </row>
    <row r="1473" spans="1:9" x14ac:dyDescent="0.3">
      <c r="A1473">
        <v>21472</v>
      </c>
      <c r="B1473">
        <v>298</v>
      </c>
      <c r="C1473" s="2">
        <v>45442</v>
      </c>
      <c r="D1473" s="2" t="str">
        <f>TEXT(Table4[[#This Row],[issue_date]],"mmmm")</f>
        <v>May</v>
      </c>
      <c r="E1473" s="9">
        <f>YEAR(Table4[[#This Row],[issue_date]])</f>
        <v>2024</v>
      </c>
      <c r="F1473" t="s">
        <v>21</v>
      </c>
      <c r="G1473">
        <v>30</v>
      </c>
      <c r="H1473" t="s">
        <v>20</v>
      </c>
      <c r="I1473" t="str">
        <f>VLOOKUP(Table4[[#This Row],[customer_id]],customers!A:G,4,)</f>
        <v>mumbai</v>
      </c>
    </row>
    <row r="1474" spans="1:9" x14ac:dyDescent="0.3">
      <c r="A1474">
        <v>21473</v>
      </c>
      <c r="B1474">
        <v>333</v>
      </c>
      <c r="C1474" s="2">
        <v>45449</v>
      </c>
      <c r="D1474" s="2" t="str">
        <f>TEXT(Table4[[#This Row],[issue_date]],"mmmm")</f>
        <v>June</v>
      </c>
      <c r="E1474" s="9">
        <f>YEAR(Table4[[#This Row],[issue_date]])</f>
        <v>2024</v>
      </c>
      <c r="F1474" t="s">
        <v>22</v>
      </c>
      <c r="G1474">
        <v>27</v>
      </c>
      <c r="H1474" t="s">
        <v>23</v>
      </c>
      <c r="I1474" t="str">
        <f>VLOOKUP(Table4[[#This Row],[customer_id]],customers!A:G,4,)</f>
        <v>bangalore</v>
      </c>
    </row>
    <row r="1475" spans="1:9" x14ac:dyDescent="0.3">
      <c r="A1475">
        <v>21474</v>
      </c>
      <c r="B1475">
        <v>239</v>
      </c>
      <c r="C1475" s="2">
        <v>45369</v>
      </c>
      <c r="D1475" s="2" t="str">
        <f>TEXT(Table4[[#This Row],[issue_date]],"mmmm")</f>
        <v>March</v>
      </c>
      <c r="E1475" s="9">
        <f>YEAR(Table4[[#This Row],[issue_date]])</f>
        <v>2024</v>
      </c>
      <c r="F1475" t="s">
        <v>22</v>
      </c>
      <c r="G1475">
        <v>51</v>
      </c>
      <c r="H1475" t="s">
        <v>20</v>
      </c>
      <c r="I1475" t="str">
        <f>VLOOKUP(Table4[[#This Row],[customer_id]],customers!A:G,4,)</f>
        <v>hyderabad</v>
      </c>
    </row>
    <row r="1476" spans="1:9" x14ac:dyDescent="0.3">
      <c r="A1476">
        <v>21475</v>
      </c>
      <c r="B1476">
        <v>332</v>
      </c>
      <c r="C1476" s="2">
        <v>44893</v>
      </c>
      <c r="D1476" s="2" t="str">
        <f>TEXT(Table4[[#This Row],[issue_date]],"mmmm")</f>
        <v>November</v>
      </c>
      <c r="E1476" s="9">
        <f>YEAR(Table4[[#This Row],[issue_date]])</f>
        <v>2022</v>
      </c>
      <c r="F1476" t="s">
        <v>22</v>
      </c>
      <c r="G1476">
        <v>9</v>
      </c>
      <c r="H1476" t="s">
        <v>20</v>
      </c>
      <c r="I1476" t="str">
        <f>VLOOKUP(Table4[[#This Row],[customer_id]],customers!A:G,4,)</f>
        <v>mumbai</v>
      </c>
    </row>
    <row r="1477" spans="1:9" x14ac:dyDescent="0.3">
      <c r="A1477">
        <v>21476</v>
      </c>
      <c r="B1477">
        <v>433</v>
      </c>
      <c r="C1477" s="2">
        <v>45274</v>
      </c>
      <c r="D1477" s="2" t="str">
        <f>TEXT(Table4[[#This Row],[issue_date]],"mmmm")</f>
        <v>December</v>
      </c>
      <c r="E1477" s="9">
        <f>YEAR(Table4[[#This Row],[issue_date]])</f>
        <v>2023</v>
      </c>
      <c r="F1477" t="s">
        <v>21</v>
      </c>
      <c r="G1477">
        <v>20</v>
      </c>
      <c r="H1477" t="s">
        <v>20</v>
      </c>
      <c r="I1477" t="str">
        <f>VLOOKUP(Table4[[#This Row],[customer_id]],customers!A:G,4,)</f>
        <v>chennai</v>
      </c>
    </row>
    <row r="1478" spans="1:9" x14ac:dyDescent="0.3">
      <c r="A1478">
        <v>21477</v>
      </c>
      <c r="B1478">
        <v>399</v>
      </c>
      <c r="C1478" s="2">
        <v>45137</v>
      </c>
      <c r="D1478" s="2" t="str">
        <f>TEXT(Table4[[#This Row],[issue_date]],"mmmm")</f>
        <v>July</v>
      </c>
      <c r="E1478" s="9">
        <f>YEAR(Table4[[#This Row],[issue_date]])</f>
        <v>2023</v>
      </c>
      <c r="F1478" t="s">
        <v>22</v>
      </c>
      <c r="G1478">
        <v>47</v>
      </c>
      <c r="H1478" t="s">
        <v>20</v>
      </c>
      <c r="I1478" t="str">
        <f>VLOOKUP(Table4[[#This Row],[customer_id]],customers!A:G,4,)</f>
        <v>hyderabad</v>
      </c>
    </row>
    <row r="1479" spans="1:9" x14ac:dyDescent="0.3">
      <c r="A1479">
        <v>21478</v>
      </c>
      <c r="B1479">
        <v>188</v>
      </c>
      <c r="C1479" s="2">
        <v>44911</v>
      </c>
      <c r="D1479" s="2" t="str">
        <f>TEXT(Table4[[#This Row],[issue_date]],"mmmm")</f>
        <v>December</v>
      </c>
      <c r="E1479" s="9">
        <f>YEAR(Table4[[#This Row],[issue_date]])</f>
        <v>2022</v>
      </c>
      <c r="F1479" t="s">
        <v>22</v>
      </c>
      <c r="G1479">
        <v>19</v>
      </c>
      <c r="H1479" t="s">
        <v>20</v>
      </c>
      <c r="I1479" t="str">
        <f>VLOOKUP(Table4[[#This Row],[customer_id]],customers!A:G,4,)</f>
        <v>delhi</v>
      </c>
    </row>
    <row r="1480" spans="1:9" x14ac:dyDescent="0.3">
      <c r="A1480">
        <v>21479</v>
      </c>
      <c r="B1480">
        <v>324</v>
      </c>
      <c r="C1480" s="2">
        <v>45399</v>
      </c>
      <c r="D1480" s="2" t="str">
        <f>TEXT(Table4[[#This Row],[issue_date]],"mmmm")</f>
        <v>April</v>
      </c>
      <c r="E1480" s="9">
        <f>YEAR(Table4[[#This Row],[issue_date]])</f>
        <v>2024</v>
      </c>
      <c r="F1480" t="s">
        <v>19</v>
      </c>
      <c r="G1480">
        <v>68</v>
      </c>
      <c r="H1480" t="s">
        <v>20</v>
      </c>
      <c r="I1480" t="str">
        <f>VLOOKUP(Table4[[#This Row],[customer_id]],customers!A:G,4,)</f>
        <v>delhi</v>
      </c>
    </row>
    <row r="1481" spans="1:9" x14ac:dyDescent="0.3">
      <c r="A1481">
        <v>21480</v>
      </c>
      <c r="B1481">
        <v>335</v>
      </c>
      <c r="C1481" s="2">
        <v>44881</v>
      </c>
      <c r="D1481" s="2" t="str">
        <f>TEXT(Table4[[#This Row],[issue_date]],"mmmm")</f>
        <v>November</v>
      </c>
      <c r="E1481" s="9">
        <f>YEAR(Table4[[#This Row],[issue_date]])</f>
        <v>2022</v>
      </c>
      <c r="F1481" t="s">
        <v>19</v>
      </c>
      <c r="G1481">
        <v>12</v>
      </c>
      <c r="H1481" t="s">
        <v>20</v>
      </c>
      <c r="I1481" t="str">
        <f>VLOOKUP(Table4[[#This Row],[customer_id]],customers!A:G,4,)</f>
        <v>kolkata</v>
      </c>
    </row>
    <row r="1482" spans="1:9" x14ac:dyDescent="0.3">
      <c r="A1482">
        <v>21481</v>
      </c>
      <c r="B1482">
        <v>209</v>
      </c>
      <c r="C1482" s="2">
        <v>45098</v>
      </c>
      <c r="D1482" s="2" t="str">
        <f>TEXT(Table4[[#This Row],[issue_date]],"mmmm")</f>
        <v>June</v>
      </c>
      <c r="E1482" s="9">
        <f>YEAR(Table4[[#This Row],[issue_date]])</f>
        <v>2023</v>
      </c>
      <c r="F1482" t="s">
        <v>22</v>
      </c>
      <c r="G1482">
        <v>5</v>
      </c>
      <c r="H1482" t="s">
        <v>20</v>
      </c>
      <c r="I1482" t="str">
        <f>VLOOKUP(Table4[[#This Row],[customer_id]],customers!A:G,4,)</f>
        <v>bangalore</v>
      </c>
    </row>
    <row r="1483" spans="1:9" x14ac:dyDescent="0.3">
      <c r="A1483">
        <v>21482</v>
      </c>
      <c r="B1483">
        <v>411</v>
      </c>
      <c r="C1483" s="2">
        <v>44973</v>
      </c>
      <c r="D1483" s="2" t="str">
        <f>TEXT(Table4[[#This Row],[issue_date]],"mmmm")</f>
        <v>February</v>
      </c>
      <c r="E1483" s="9">
        <f>YEAR(Table4[[#This Row],[issue_date]])</f>
        <v>2023</v>
      </c>
      <c r="F1483" t="s">
        <v>21</v>
      </c>
      <c r="G1483">
        <v>69</v>
      </c>
      <c r="H1483" t="s">
        <v>20</v>
      </c>
      <c r="I1483" t="str">
        <f>VLOOKUP(Table4[[#This Row],[customer_id]],customers!A:G,4,)</f>
        <v>hyderabad</v>
      </c>
    </row>
    <row r="1484" spans="1:9" x14ac:dyDescent="0.3">
      <c r="A1484">
        <v>21483</v>
      </c>
      <c r="B1484">
        <v>75</v>
      </c>
      <c r="C1484" s="2">
        <v>44717</v>
      </c>
      <c r="D1484" s="2" t="str">
        <f>TEXT(Table4[[#This Row],[issue_date]],"mmmm")</f>
        <v>June</v>
      </c>
      <c r="E1484" s="9">
        <f>YEAR(Table4[[#This Row],[issue_date]])</f>
        <v>2022</v>
      </c>
      <c r="F1484" t="s">
        <v>21</v>
      </c>
      <c r="G1484">
        <v>25</v>
      </c>
      <c r="H1484" t="s">
        <v>23</v>
      </c>
      <c r="I1484" t="str">
        <f>VLOOKUP(Table4[[#This Row],[customer_id]],customers!A:G,4,)</f>
        <v>mumbai</v>
      </c>
    </row>
    <row r="1485" spans="1:9" x14ac:dyDescent="0.3">
      <c r="A1485">
        <v>21484</v>
      </c>
      <c r="B1485">
        <v>183</v>
      </c>
      <c r="C1485" s="2">
        <v>45294</v>
      </c>
      <c r="D1485" s="2" t="str">
        <f>TEXT(Table4[[#This Row],[issue_date]],"mmmm")</f>
        <v>January</v>
      </c>
      <c r="E1485" s="9">
        <f>YEAR(Table4[[#This Row],[issue_date]])</f>
        <v>2024</v>
      </c>
      <c r="F1485" t="s">
        <v>21</v>
      </c>
      <c r="G1485">
        <v>31</v>
      </c>
      <c r="H1485" t="s">
        <v>20</v>
      </c>
      <c r="I1485" t="str">
        <f>VLOOKUP(Table4[[#This Row],[customer_id]],customers!A:G,4,)</f>
        <v>hyderabad</v>
      </c>
    </row>
    <row r="1486" spans="1:9" x14ac:dyDescent="0.3">
      <c r="A1486">
        <v>21485</v>
      </c>
      <c r="B1486">
        <v>87</v>
      </c>
      <c r="C1486" s="2">
        <v>45365</v>
      </c>
      <c r="D1486" s="2" t="str">
        <f>TEXT(Table4[[#This Row],[issue_date]],"mmmm")</f>
        <v>March</v>
      </c>
      <c r="E1486" s="9">
        <f>YEAR(Table4[[#This Row],[issue_date]])</f>
        <v>2024</v>
      </c>
      <c r="F1486" t="s">
        <v>21</v>
      </c>
      <c r="G1486">
        <v>46</v>
      </c>
      <c r="H1486" t="s">
        <v>20</v>
      </c>
      <c r="I1486" t="str">
        <f>VLOOKUP(Table4[[#This Row],[customer_id]],customers!A:G,4,)</f>
        <v>hyderabad</v>
      </c>
    </row>
    <row r="1487" spans="1:9" x14ac:dyDescent="0.3">
      <c r="A1487">
        <v>21486</v>
      </c>
      <c r="B1487">
        <v>271</v>
      </c>
      <c r="C1487" s="2">
        <v>45212</v>
      </c>
      <c r="D1487" s="2" t="str">
        <f>TEXT(Table4[[#This Row],[issue_date]],"mmmm")</f>
        <v>October</v>
      </c>
      <c r="E1487" s="9">
        <f>YEAR(Table4[[#This Row],[issue_date]])</f>
        <v>2023</v>
      </c>
      <c r="F1487" t="s">
        <v>19</v>
      </c>
      <c r="G1487">
        <v>34</v>
      </c>
      <c r="H1487" t="s">
        <v>20</v>
      </c>
      <c r="I1487" t="str">
        <f>VLOOKUP(Table4[[#This Row],[customer_id]],customers!A:G,4,)</f>
        <v>kolkata</v>
      </c>
    </row>
    <row r="1488" spans="1:9" x14ac:dyDescent="0.3">
      <c r="A1488">
        <v>21487</v>
      </c>
      <c r="B1488">
        <v>180</v>
      </c>
      <c r="C1488" s="2">
        <v>45094</v>
      </c>
      <c r="D1488" s="2" t="str">
        <f>TEXT(Table4[[#This Row],[issue_date]],"mmmm")</f>
        <v>June</v>
      </c>
      <c r="E1488" s="9">
        <f>YEAR(Table4[[#This Row],[issue_date]])</f>
        <v>2023</v>
      </c>
      <c r="F1488" t="s">
        <v>21</v>
      </c>
      <c r="G1488">
        <v>41</v>
      </c>
      <c r="H1488" t="s">
        <v>20</v>
      </c>
      <c r="I1488" t="str">
        <f>VLOOKUP(Table4[[#This Row],[customer_id]],customers!A:G,4,)</f>
        <v>kolkata</v>
      </c>
    </row>
    <row r="1489" spans="1:9" x14ac:dyDescent="0.3">
      <c r="A1489">
        <v>21488</v>
      </c>
      <c r="B1489">
        <v>415</v>
      </c>
      <c r="C1489" s="2">
        <v>45063</v>
      </c>
      <c r="D1489" s="2" t="str">
        <f>TEXT(Table4[[#This Row],[issue_date]],"mmmm")</f>
        <v>May</v>
      </c>
      <c r="E1489" s="9">
        <f>YEAR(Table4[[#This Row],[issue_date]])</f>
        <v>2023</v>
      </c>
      <c r="F1489" t="s">
        <v>21</v>
      </c>
      <c r="G1489">
        <v>68</v>
      </c>
      <c r="H1489" t="s">
        <v>23</v>
      </c>
      <c r="I1489" t="str">
        <f>VLOOKUP(Table4[[#This Row],[customer_id]],customers!A:G,4,)</f>
        <v>delhi</v>
      </c>
    </row>
    <row r="1490" spans="1:9" x14ac:dyDescent="0.3">
      <c r="A1490">
        <v>21489</v>
      </c>
      <c r="B1490">
        <v>245</v>
      </c>
      <c r="C1490" s="2">
        <v>45047</v>
      </c>
      <c r="D1490" s="2" t="str">
        <f>TEXT(Table4[[#This Row],[issue_date]],"mmmm")</f>
        <v>May</v>
      </c>
      <c r="E1490" s="9">
        <f>YEAR(Table4[[#This Row],[issue_date]])</f>
        <v>2023</v>
      </c>
      <c r="F1490" t="s">
        <v>22</v>
      </c>
      <c r="G1490">
        <v>38</v>
      </c>
      <c r="H1490" t="s">
        <v>20</v>
      </c>
      <c r="I1490" t="str">
        <f>VLOOKUP(Table4[[#This Row],[customer_id]],customers!A:G,4,)</f>
        <v>delhi</v>
      </c>
    </row>
    <row r="1491" spans="1:9" x14ac:dyDescent="0.3">
      <c r="A1491">
        <v>21490</v>
      </c>
      <c r="B1491">
        <v>346</v>
      </c>
      <c r="C1491" s="2">
        <v>44715</v>
      </c>
      <c r="D1491" s="2" t="str">
        <f>TEXT(Table4[[#This Row],[issue_date]],"mmmm")</f>
        <v>June</v>
      </c>
      <c r="E1491" s="9">
        <f>YEAR(Table4[[#This Row],[issue_date]])</f>
        <v>2022</v>
      </c>
      <c r="F1491" t="s">
        <v>21</v>
      </c>
      <c r="G1491">
        <v>46</v>
      </c>
      <c r="H1491" t="s">
        <v>23</v>
      </c>
      <c r="I1491" t="str">
        <f>VLOOKUP(Table4[[#This Row],[customer_id]],customers!A:G,4,)</f>
        <v>chennai</v>
      </c>
    </row>
    <row r="1492" spans="1:9" x14ac:dyDescent="0.3">
      <c r="A1492">
        <v>21491</v>
      </c>
      <c r="B1492">
        <v>7</v>
      </c>
      <c r="C1492" s="2">
        <v>44629</v>
      </c>
      <c r="D1492" s="2" t="str">
        <f>TEXT(Table4[[#This Row],[issue_date]],"mmmm")</f>
        <v>March</v>
      </c>
      <c r="E1492" s="9">
        <f>YEAR(Table4[[#This Row],[issue_date]])</f>
        <v>2022</v>
      </c>
      <c r="F1492" t="s">
        <v>21</v>
      </c>
      <c r="G1492">
        <v>69</v>
      </c>
      <c r="H1492" t="s">
        <v>23</v>
      </c>
      <c r="I1492" t="str">
        <f>VLOOKUP(Table4[[#This Row],[customer_id]],customers!A:G,4,)</f>
        <v>bangalore</v>
      </c>
    </row>
    <row r="1493" spans="1:9" x14ac:dyDescent="0.3">
      <c r="A1493">
        <v>21492</v>
      </c>
      <c r="B1493">
        <v>269</v>
      </c>
      <c r="C1493" s="2">
        <v>45053</v>
      </c>
      <c r="D1493" s="2" t="str">
        <f>TEXT(Table4[[#This Row],[issue_date]],"mmmm")</f>
        <v>May</v>
      </c>
      <c r="E1493" s="9">
        <f>YEAR(Table4[[#This Row],[issue_date]])</f>
        <v>2023</v>
      </c>
      <c r="F1493" t="s">
        <v>21</v>
      </c>
      <c r="G1493">
        <v>27</v>
      </c>
      <c r="H1493" t="s">
        <v>20</v>
      </c>
      <c r="I1493" t="str">
        <f>VLOOKUP(Table4[[#This Row],[customer_id]],customers!A:G,4,)</f>
        <v>chennai</v>
      </c>
    </row>
    <row r="1494" spans="1:9" x14ac:dyDescent="0.3">
      <c r="A1494">
        <v>21493</v>
      </c>
      <c r="B1494">
        <v>438</v>
      </c>
      <c r="C1494" s="2">
        <v>44602</v>
      </c>
      <c r="D1494" s="2" t="str">
        <f>TEXT(Table4[[#This Row],[issue_date]],"mmmm")</f>
        <v>February</v>
      </c>
      <c r="E1494" s="9">
        <f>YEAR(Table4[[#This Row],[issue_date]])</f>
        <v>2022</v>
      </c>
      <c r="F1494" t="s">
        <v>21</v>
      </c>
      <c r="G1494">
        <v>43</v>
      </c>
      <c r="H1494" t="s">
        <v>20</v>
      </c>
      <c r="I1494" t="str">
        <f>VLOOKUP(Table4[[#This Row],[customer_id]],customers!A:G,4,)</f>
        <v>hyderabad</v>
      </c>
    </row>
    <row r="1495" spans="1:9" x14ac:dyDescent="0.3">
      <c r="A1495">
        <v>21494</v>
      </c>
      <c r="B1495">
        <v>13</v>
      </c>
      <c r="C1495" s="2">
        <v>45088</v>
      </c>
      <c r="D1495" s="2" t="str">
        <f>TEXT(Table4[[#This Row],[issue_date]],"mmmm")</f>
        <v>June</v>
      </c>
      <c r="E1495" s="9">
        <f>YEAR(Table4[[#This Row],[issue_date]])</f>
        <v>2023</v>
      </c>
      <c r="F1495" t="s">
        <v>19</v>
      </c>
      <c r="G1495">
        <v>71</v>
      </c>
      <c r="H1495" t="s">
        <v>20</v>
      </c>
      <c r="I1495" t="str">
        <f>VLOOKUP(Table4[[#This Row],[customer_id]],customers!A:G,4,)</f>
        <v>kolkata</v>
      </c>
    </row>
    <row r="1496" spans="1:9" x14ac:dyDescent="0.3">
      <c r="A1496">
        <v>21495</v>
      </c>
      <c r="B1496">
        <v>500</v>
      </c>
      <c r="C1496" s="2">
        <v>45352</v>
      </c>
      <c r="D1496" s="2" t="str">
        <f>TEXT(Table4[[#This Row],[issue_date]],"mmmm")</f>
        <v>March</v>
      </c>
      <c r="E1496" s="9">
        <f>YEAR(Table4[[#This Row],[issue_date]])</f>
        <v>2024</v>
      </c>
      <c r="F1496" t="s">
        <v>22</v>
      </c>
      <c r="G1496">
        <v>45</v>
      </c>
      <c r="H1496" t="s">
        <v>20</v>
      </c>
      <c r="I1496" t="str">
        <f>VLOOKUP(Table4[[#This Row],[customer_id]],customers!A:G,4,)</f>
        <v>mumbai</v>
      </c>
    </row>
    <row r="1497" spans="1:9" x14ac:dyDescent="0.3">
      <c r="A1497">
        <v>21496</v>
      </c>
      <c r="B1497">
        <v>404</v>
      </c>
      <c r="C1497" s="2">
        <v>44730</v>
      </c>
      <c r="D1497" s="2" t="str">
        <f>TEXT(Table4[[#This Row],[issue_date]],"mmmm")</f>
        <v>June</v>
      </c>
      <c r="E1497" s="9">
        <f>YEAR(Table4[[#This Row],[issue_date]])</f>
        <v>2022</v>
      </c>
      <c r="F1497" t="s">
        <v>19</v>
      </c>
      <c r="G1497">
        <v>18</v>
      </c>
      <c r="H1497" t="s">
        <v>20</v>
      </c>
      <c r="I1497" t="str">
        <f>VLOOKUP(Table4[[#This Row],[customer_id]],customers!A:G,4,)</f>
        <v>hyderabad</v>
      </c>
    </row>
    <row r="1498" spans="1:9" x14ac:dyDescent="0.3">
      <c r="A1498">
        <v>21497</v>
      </c>
      <c r="B1498">
        <v>226</v>
      </c>
      <c r="C1498" s="2">
        <v>45207</v>
      </c>
      <c r="D1498" s="2" t="str">
        <f>TEXT(Table4[[#This Row],[issue_date]],"mmmm")</f>
        <v>October</v>
      </c>
      <c r="E1498" s="9">
        <f>YEAR(Table4[[#This Row],[issue_date]])</f>
        <v>2023</v>
      </c>
      <c r="F1498" t="s">
        <v>22</v>
      </c>
      <c r="G1498">
        <v>32</v>
      </c>
      <c r="H1498" t="s">
        <v>23</v>
      </c>
      <c r="I1498" t="str">
        <f>VLOOKUP(Table4[[#This Row],[customer_id]],customers!A:G,4,)</f>
        <v>chennai</v>
      </c>
    </row>
    <row r="1499" spans="1:9" x14ac:dyDescent="0.3">
      <c r="A1499">
        <v>21498</v>
      </c>
      <c r="B1499">
        <v>266</v>
      </c>
      <c r="C1499" s="2">
        <v>45272</v>
      </c>
      <c r="D1499" s="2" t="str">
        <f>TEXT(Table4[[#This Row],[issue_date]],"mmmm")</f>
        <v>December</v>
      </c>
      <c r="E1499" s="9">
        <f>YEAR(Table4[[#This Row],[issue_date]])</f>
        <v>2023</v>
      </c>
      <c r="F1499" t="s">
        <v>22</v>
      </c>
      <c r="G1499">
        <v>2</v>
      </c>
      <c r="H1499" t="s">
        <v>20</v>
      </c>
      <c r="I1499" t="str">
        <f>VLOOKUP(Table4[[#This Row],[customer_id]],customers!A:G,4,)</f>
        <v>chennai</v>
      </c>
    </row>
    <row r="1500" spans="1:9" x14ac:dyDescent="0.3">
      <c r="A1500">
        <v>21499</v>
      </c>
      <c r="B1500">
        <v>242</v>
      </c>
      <c r="C1500" s="2">
        <v>45311</v>
      </c>
      <c r="D1500" s="2" t="str">
        <f>TEXT(Table4[[#This Row],[issue_date]],"mmmm")</f>
        <v>January</v>
      </c>
      <c r="E1500" s="9">
        <f>YEAR(Table4[[#This Row],[issue_date]])</f>
        <v>2024</v>
      </c>
      <c r="F1500" t="s">
        <v>22</v>
      </c>
      <c r="G1500">
        <v>41</v>
      </c>
      <c r="H1500" t="s">
        <v>20</v>
      </c>
      <c r="I1500" t="str">
        <f>VLOOKUP(Table4[[#This Row],[customer_id]],customers!A:G,4,)</f>
        <v>hyderabad</v>
      </c>
    </row>
    <row r="1501" spans="1:9" x14ac:dyDescent="0.3">
      <c r="A1501">
        <v>21500</v>
      </c>
      <c r="B1501">
        <v>380</v>
      </c>
      <c r="C1501" s="2">
        <v>44673</v>
      </c>
      <c r="D1501" s="2" t="str">
        <f>TEXT(Table4[[#This Row],[issue_date]],"mmmm")</f>
        <v>April</v>
      </c>
      <c r="E1501" s="9">
        <f>YEAR(Table4[[#This Row],[issue_date]])</f>
        <v>2022</v>
      </c>
      <c r="F1501" t="s">
        <v>22</v>
      </c>
      <c r="G1501">
        <v>20</v>
      </c>
      <c r="H1501" t="s">
        <v>20</v>
      </c>
      <c r="I1501" t="str">
        <f>VLOOKUP(Table4[[#This Row],[customer_id]],customers!A:G,4,)</f>
        <v>delhi</v>
      </c>
    </row>
    <row r="1502" spans="1:9" x14ac:dyDescent="0.3">
      <c r="A1502">
        <v>21501</v>
      </c>
      <c r="B1502">
        <v>180</v>
      </c>
      <c r="C1502" s="2">
        <v>45024</v>
      </c>
      <c r="D1502" s="2" t="str">
        <f>TEXT(Table4[[#This Row],[issue_date]],"mmmm")</f>
        <v>April</v>
      </c>
      <c r="E1502" s="9">
        <f>YEAR(Table4[[#This Row],[issue_date]])</f>
        <v>2023</v>
      </c>
      <c r="F1502" t="s">
        <v>19</v>
      </c>
      <c r="G1502">
        <v>58</v>
      </c>
      <c r="H1502" t="s">
        <v>20</v>
      </c>
      <c r="I1502" t="str">
        <f>VLOOKUP(Table4[[#This Row],[customer_id]],customers!A:G,4,)</f>
        <v>kolkata</v>
      </c>
    </row>
    <row r="1503" spans="1:9" x14ac:dyDescent="0.3">
      <c r="A1503">
        <v>21502</v>
      </c>
      <c r="B1503">
        <v>421</v>
      </c>
      <c r="C1503" s="2">
        <v>44613</v>
      </c>
      <c r="D1503" s="2" t="str">
        <f>TEXT(Table4[[#This Row],[issue_date]],"mmmm")</f>
        <v>February</v>
      </c>
      <c r="E1503" s="9">
        <f>YEAR(Table4[[#This Row],[issue_date]])</f>
        <v>2022</v>
      </c>
      <c r="F1503" t="s">
        <v>22</v>
      </c>
      <c r="G1503">
        <v>38</v>
      </c>
      <c r="H1503" t="s">
        <v>20</v>
      </c>
      <c r="I1503" t="str">
        <f>VLOOKUP(Table4[[#This Row],[customer_id]],customers!A:G,4,)</f>
        <v>chennai</v>
      </c>
    </row>
    <row r="1504" spans="1:9" x14ac:dyDescent="0.3">
      <c r="A1504">
        <v>21503</v>
      </c>
      <c r="B1504">
        <v>180</v>
      </c>
      <c r="C1504" s="2">
        <v>45210</v>
      </c>
      <c r="D1504" s="2" t="str">
        <f>TEXT(Table4[[#This Row],[issue_date]],"mmmm")</f>
        <v>October</v>
      </c>
      <c r="E1504" s="9">
        <f>YEAR(Table4[[#This Row],[issue_date]])</f>
        <v>2023</v>
      </c>
      <c r="F1504" t="s">
        <v>21</v>
      </c>
      <c r="G1504">
        <v>1</v>
      </c>
      <c r="H1504" t="s">
        <v>20</v>
      </c>
      <c r="I1504" t="str">
        <f>VLOOKUP(Table4[[#This Row],[customer_id]],customers!A:G,4,)</f>
        <v>kolkata</v>
      </c>
    </row>
    <row r="1505" spans="1:9" x14ac:dyDescent="0.3">
      <c r="A1505">
        <v>21504</v>
      </c>
      <c r="B1505">
        <v>126</v>
      </c>
      <c r="C1505" s="2">
        <v>44816</v>
      </c>
      <c r="D1505" s="2" t="str">
        <f>TEXT(Table4[[#This Row],[issue_date]],"mmmm")</f>
        <v>September</v>
      </c>
      <c r="E1505" s="9">
        <f>YEAR(Table4[[#This Row],[issue_date]])</f>
        <v>2022</v>
      </c>
      <c r="F1505" t="s">
        <v>21</v>
      </c>
      <c r="G1505">
        <v>69</v>
      </c>
      <c r="H1505" t="s">
        <v>20</v>
      </c>
      <c r="I1505" t="str">
        <f>VLOOKUP(Table4[[#This Row],[customer_id]],customers!A:G,4,)</f>
        <v>chennai</v>
      </c>
    </row>
    <row r="1506" spans="1:9" x14ac:dyDescent="0.3">
      <c r="A1506">
        <v>21505</v>
      </c>
      <c r="B1506">
        <v>499</v>
      </c>
      <c r="C1506" s="2">
        <v>45188</v>
      </c>
      <c r="D1506" s="2" t="str">
        <f>TEXT(Table4[[#This Row],[issue_date]],"mmmm")</f>
        <v>September</v>
      </c>
      <c r="E1506" s="9">
        <f>YEAR(Table4[[#This Row],[issue_date]])</f>
        <v>2023</v>
      </c>
      <c r="F1506" t="s">
        <v>22</v>
      </c>
      <c r="G1506">
        <v>54</v>
      </c>
      <c r="H1506" t="s">
        <v>20</v>
      </c>
      <c r="I1506" t="str">
        <f>VLOOKUP(Table4[[#This Row],[customer_id]],customers!A:G,4,)</f>
        <v>delhi</v>
      </c>
    </row>
    <row r="1507" spans="1:9" x14ac:dyDescent="0.3">
      <c r="A1507">
        <v>21506</v>
      </c>
      <c r="B1507">
        <v>283</v>
      </c>
      <c r="C1507" s="2">
        <v>44719</v>
      </c>
      <c r="D1507" s="2" t="str">
        <f>TEXT(Table4[[#This Row],[issue_date]],"mmmm")</f>
        <v>June</v>
      </c>
      <c r="E1507" s="9">
        <f>YEAR(Table4[[#This Row],[issue_date]])</f>
        <v>2022</v>
      </c>
      <c r="F1507" t="s">
        <v>21</v>
      </c>
      <c r="G1507">
        <v>14</v>
      </c>
      <c r="H1507" t="s">
        <v>20</v>
      </c>
      <c r="I1507" t="str">
        <f>VLOOKUP(Table4[[#This Row],[customer_id]],customers!A:G,4,)</f>
        <v>hyderabad</v>
      </c>
    </row>
    <row r="1508" spans="1:9" x14ac:dyDescent="0.3">
      <c r="A1508">
        <v>21507</v>
      </c>
      <c r="B1508">
        <v>418</v>
      </c>
      <c r="C1508" s="2">
        <v>44861</v>
      </c>
      <c r="D1508" s="2" t="str">
        <f>TEXT(Table4[[#This Row],[issue_date]],"mmmm")</f>
        <v>October</v>
      </c>
      <c r="E1508" s="9">
        <f>YEAR(Table4[[#This Row],[issue_date]])</f>
        <v>2022</v>
      </c>
      <c r="F1508" t="s">
        <v>21</v>
      </c>
      <c r="G1508">
        <v>25</v>
      </c>
      <c r="H1508" t="s">
        <v>20</v>
      </c>
      <c r="I1508" t="str">
        <f>VLOOKUP(Table4[[#This Row],[customer_id]],customers!A:G,4,)</f>
        <v>mumbai</v>
      </c>
    </row>
    <row r="1509" spans="1:9" x14ac:dyDescent="0.3">
      <c r="A1509">
        <v>21508</v>
      </c>
      <c r="B1509">
        <v>356</v>
      </c>
      <c r="C1509" s="2">
        <v>44988</v>
      </c>
      <c r="D1509" s="2" t="str">
        <f>TEXT(Table4[[#This Row],[issue_date]],"mmmm")</f>
        <v>March</v>
      </c>
      <c r="E1509" s="9">
        <f>YEAR(Table4[[#This Row],[issue_date]])</f>
        <v>2023</v>
      </c>
      <c r="F1509" t="s">
        <v>22</v>
      </c>
      <c r="G1509">
        <v>9</v>
      </c>
      <c r="H1509" t="s">
        <v>20</v>
      </c>
      <c r="I1509" t="str">
        <f>VLOOKUP(Table4[[#This Row],[customer_id]],customers!A:G,4,)</f>
        <v>bangalore</v>
      </c>
    </row>
    <row r="1510" spans="1:9" x14ac:dyDescent="0.3">
      <c r="A1510">
        <v>21509</v>
      </c>
      <c r="B1510">
        <v>190</v>
      </c>
      <c r="C1510" s="2">
        <v>45337</v>
      </c>
      <c r="D1510" s="2" t="str">
        <f>TEXT(Table4[[#This Row],[issue_date]],"mmmm")</f>
        <v>February</v>
      </c>
      <c r="E1510" s="9">
        <f>YEAR(Table4[[#This Row],[issue_date]])</f>
        <v>2024</v>
      </c>
      <c r="F1510" t="s">
        <v>22</v>
      </c>
      <c r="G1510">
        <v>61</v>
      </c>
      <c r="H1510" t="s">
        <v>20</v>
      </c>
      <c r="I1510" t="str">
        <f>VLOOKUP(Table4[[#This Row],[customer_id]],customers!A:G,4,)</f>
        <v>hyderabad</v>
      </c>
    </row>
    <row r="1511" spans="1:9" x14ac:dyDescent="0.3">
      <c r="A1511">
        <v>21510</v>
      </c>
      <c r="B1511">
        <v>16</v>
      </c>
      <c r="C1511" s="2">
        <v>45428</v>
      </c>
      <c r="D1511" s="2" t="str">
        <f>TEXT(Table4[[#This Row],[issue_date]],"mmmm")</f>
        <v>May</v>
      </c>
      <c r="E1511" s="9">
        <f>YEAR(Table4[[#This Row],[issue_date]])</f>
        <v>2024</v>
      </c>
      <c r="F1511" t="s">
        <v>22</v>
      </c>
      <c r="G1511">
        <v>52</v>
      </c>
      <c r="H1511" t="s">
        <v>23</v>
      </c>
      <c r="I1511" t="str">
        <f>VLOOKUP(Table4[[#This Row],[customer_id]],customers!A:G,4,)</f>
        <v>bangalore</v>
      </c>
    </row>
    <row r="1512" spans="1:9" x14ac:dyDescent="0.3">
      <c r="A1512">
        <v>21511</v>
      </c>
      <c r="B1512">
        <v>315</v>
      </c>
      <c r="C1512" s="2">
        <v>44868</v>
      </c>
      <c r="D1512" s="2" t="str">
        <f>TEXT(Table4[[#This Row],[issue_date]],"mmmm")</f>
        <v>November</v>
      </c>
      <c r="E1512" s="9">
        <f>YEAR(Table4[[#This Row],[issue_date]])</f>
        <v>2022</v>
      </c>
      <c r="F1512" t="s">
        <v>19</v>
      </c>
      <c r="G1512">
        <v>8</v>
      </c>
      <c r="H1512" t="s">
        <v>20</v>
      </c>
      <c r="I1512" t="str">
        <f>VLOOKUP(Table4[[#This Row],[customer_id]],customers!A:G,4,)</f>
        <v>kolkata</v>
      </c>
    </row>
    <row r="1513" spans="1:9" x14ac:dyDescent="0.3">
      <c r="A1513">
        <v>21512</v>
      </c>
      <c r="B1513">
        <v>21</v>
      </c>
      <c r="C1513" s="2">
        <v>44660</v>
      </c>
      <c r="D1513" s="2" t="str">
        <f>TEXT(Table4[[#This Row],[issue_date]],"mmmm")</f>
        <v>April</v>
      </c>
      <c r="E1513" s="9">
        <f>YEAR(Table4[[#This Row],[issue_date]])</f>
        <v>2022</v>
      </c>
      <c r="F1513" t="s">
        <v>22</v>
      </c>
      <c r="G1513">
        <v>16</v>
      </c>
      <c r="H1513" t="s">
        <v>20</v>
      </c>
      <c r="I1513" t="str">
        <f>VLOOKUP(Table4[[#This Row],[customer_id]],customers!A:G,4,)</f>
        <v>hyderabad</v>
      </c>
    </row>
    <row r="1514" spans="1:9" x14ac:dyDescent="0.3">
      <c r="A1514">
        <v>21513</v>
      </c>
      <c r="B1514">
        <v>16</v>
      </c>
      <c r="C1514" s="2">
        <v>44682</v>
      </c>
      <c r="D1514" s="2" t="str">
        <f>TEXT(Table4[[#This Row],[issue_date]],"mmmm")</f>
        <v>May</v>
      </c>
      <c r="E1514" s="9">
        <f>YEAR(Table4[[#This Row],[issue_date]])</f>
        <v>2022</v>
      </c>
      <c r="F1514" t="s">
        <v>22</v>
      </c>
      <c r="G1514">
        <v>8</v>
      </c>
      <c r="H1514" t="s">
        <v>20</v>
      </c>
      <c r="I1514" t="str">
        <f>VLOOKUP(Table4[[#This Row],[customer_id]],customers!A:G,4,)</f>
        <v>bangalore</v>
      </c>
    </row>
    <row r="1515" spans="1:9" x14ac:dyDescent="0.3">
      <c r="A1515">
        <v>21514</v>
      </c>
      <c r="B1515">
        <v>465</v>
      </c>
      <c r="C1515" s="2">
        <v>45163</v>
      </c>
      <c r="D1515" s="2" t="str">
        <f>TEXT(Table4[[#This Row],[issue_date]],"mmmm")</f>
        <v>August</v>
      </c>
      <c r="E1515" s="9">
        <f>YEAR(Table4[[#This Row],[issue_date]])</f>
        <v>2023</v>
      </c>
      <c r="F1515" t="s">
        <v>19</v>
      </c>
      <c r="G1515">
        <v>23</v>
      </c>
      <c r="H1515" t="s">
        <v>20</v>
      </c>
      <c r="I1515" t="str">
        <f>VLOOKUP(Table4[[#This Row],[customer_id]],customers!A:G,4,)</f>
        <v>bangalore</v>
      </c>
    </row>
    <row r="1516" spans="1:9" x14ac:dyDescent="0.3">
      <c r="A1516">
        <v>21515</v>
      </c>
      <c r="B1516">
        <v>463</v>
      </c>
      <c r="C1516" s="2">
        <v>44591</v>
      </c>
      <c r="D1516" s="2" t="str">
        <f>TEXT(Table4[[#This Row],[issue_date]],"mmmm")</f>
        <v>January</v>
      </c>
      <c r="E1516" s="9">
        <f>YEAR(Table4[[#This Row],[issue_date]])</f>
        <v>2022</v>
      </c>
      <c r="F1516" t="s">
        <v>21</v>
      </c>
      <c r="G1516">
        <v>34</v>
      </c>
      <c r="H1516" t="s">
        <v>20</v>
      </c>
      <c r="I1516" t="str">
        <f>VLOOKUP(Table4[[#This Row],[customer_id]],customers!A:G,4,)</f>
        <v>delhi</v>
      </c>
    </row>
    <row r="1517" spans="1:9" x14ac:dyDescent="0.3">
      <c r="A1517">
        <v>21516</v>
      </c>
      <c r="B1517">
        <v>269</v>
      </c>
      <c r="C1517" s="2">
        <v>44791</v>
      </c>
      <c r="D1517" s="2" t="str">
        <f>TEXT(Table4[[#This Row],[issue_date]],"mmmm")</f>
        <v>August</v>
      </c>
      <c r="E1517" s="9">
        <f>YEAR(Table4[[#This Row],[issue_date]])</f>
        <v>2022</v>
      </c>
      <c r="F1517" t="s">
        <v>19</v>
      </c>
      <c r="G1517">
        <v>18</v>
      </c>
      <c r="H1517" t="s">
        <v>20</v>
      </c>
      <c r="I1517" t="str">
        <f>VLOOKUP(Table4[[#This Row],[customer_id]],customers!A:G,4,)</f>
        <v>chennai</v>
      </c>
    </row>
    <row r="1518" spans="1:9" x14ac:dyDescent="0.3">
      <c r="A1518">
        <v>21517</v>
      </c>
      <c r="B1518">
        <v>33</v>
      </c>
      <c r="C1518" s="2">
        <v>45212</v>
      </c>
      <c r="D1518" s="2" t="str">
        <f>TEXT(Table4[[#This Row],[issue_date]],"mmmm")</f>
        <v>October</v>
      </c>
      <c r="E1518" s="9">
        <f>YEAR(Table4[[#This Row],[issue_date]])</f>
        <v>2023</v>
      </c>
      <c r="F1518" t="s">
        <v>21</v>
      </c>
      <c r="G1518">
        <v>44</v>
      </c>
      <c r="H1518" t="s">
        <v>20</v>
      </c>
      <c r="I1518" t="str">
        <f>VLOOKUP(Table4[[#This Row],[customer_id]],customers!A:G,4,)</f>
        <v>kolkata</v>
      </c>
    </row>
    <row r="1519" spans="1:9" x14ac:dyDescent="0.3">
      <c r="A1519">
        <v>21518</v>
      </c>
      <c r="B1519">
        <v>182</v>
      </c>
      <c r="C1519" s="2">
        <v>44815</v>
      </c>
      <c r="D1519" s="2" t="str">
        <f>TEXT(Table4[[#This Row],[issue_date]],"mmmm")</f>
        <v>September</v>
      </c>
      <c r="E1519" s="9">
        <f>YEAR(Table4[[#This Row],[issue_date]])</f>
        <v>2022</v>
      </c>
      <c r="F1519" t="s">
        <v>19</v>
      </c>
      <c r="G1519">
        <v>15</v>
      </c>
      <c r="H1519" t="s">
        <v>20</v>
      </c>
      <c r="I1519" t="str">
        <f>VLOOKUP(Table4[[#This Row],[customer_id]],customers!A:G,4,)</f>
        <v>bangalore</v>
      </c>
    </row>
    <row r="1520" spans="1:9" x14ac:dyDescent="0.3">
      <c r="A1520">
        <v>21519</v>
      </c>
      <c r="B1520">
        <v>69</v>
      </c>
      <c r="C1520" s="2">
        <v>44965</v>
      </c>
      <c r="D1520" s="2" t="str">
        <f>TEXT(Table4[[#This Row],[issue_date]],"mmmm")</f>
        <v>February</v>
      </c>
      <c r="E1520" s="9">
        <f>YEAR(Table4[[#This Row],[issue_date]])</f>
        <v>2023</v>
      </c>
      <c r="F1520" t="s">
        <v>22</v>
      </c>
      <c r="G1520">
        <v>15</v>
      </c>
      <c r="H1520" t="s">
        <v>20</v>
      </c>
      <c r="I1520" t="str">
        <f>VLOOKUP(Table4[[#This Row],[customer_id]],customers!A:G,4,)</f>
        <v>mumbai</v>
      </c>
    </row>
    <row r="1521" spans="1:9" x14ac:dyDescent="0.3">
      <c r="A1521">
        <v>21520</v>
      </c>
      <c r="B1521">
        <v>411</v>
      </c>
      <c r="C1521" s="2">
        <v>45055</v>
      </c>
      <c r="D1521" s="2" t="str">
        <f>TEXT(Table4[[#This Row],[issue_date]],"mmmm")</f>
        <v>May</v>
      </c>
      <c r="E1521" s="9">
        <f>YEAR(Table4[[#This Row],[issue_date]])</f>
        <v>2023</v>
      </c>
      <c r="F1521" t="s">
        <v>19</v>
      </c>
      <c r="G1521">
        <v>23</v>
      </c>
      <c r="H1521" t="s">
        <v>20</v>
      </c>
      <c r="I1521" t="str">
        <f>VLOOKUP(Table4[[#This Row],[customer_id]],customers!A:G,4,)</f>
        <v>hyderabad</v>
      </c>
    </row>
    <row r="1522" spans="1:9" x14ac:dyDescent="0.3">
      <c r="A1522">
        <v>21521</v>
      </c>
      <c r="B1522">
        <v>52</v>
      </c>
      <c r="C1522" s="2">
        <v>44592</v>
      </c>
      <c r="D1522" s="2" t="str">
        <f>TEXT(Table4[[#This Row],[issue_date]],"mmmm")</f>
        <v>January</v>
      </c>
      <c r="E1522" s="9">
        <f>YEAR(Table4[[#This Row],[issue_date]])</f>
        <v>2022</v>
      </c>
      <c r="F1522" t="s">
        <v>22</v>
      </c>
      <c r="G1522">
        <v>65</v>
      </c>
      <c r="H1522" t="s">
        <v>20</v>
      </c>
      <c r="I1522" t="str">
        <f>VLOOKUP(Table4[[#This Row],[customer_id]],customers!A:G,4,)</f>
        <v>chennai</v>
      </c>
    </row>
    <row r="1523" spans="1:9" x14ac:dyDescent="0.3">
      <c r="A1523">
        <v>21522</v>
      </c>
      <c r="B1523">
        <v>65</v>
      </c>
      <c r="C1523" s="2">
        <v>44723</v>
      </c>
      <c r="D1523" s="2" t="str">
        <f>TEXT(Table4[[#This Row],[issue_date]],"mmmm")</f>
        <v>June</v>
      </c>
      <c r="E1523" s="9">
        <f>YEAR(Table4[[#This Row],[issue_date]])</f>
        <v>2022</v>
      </c>
      <c r="F1523" t="s">
        <v>21</v>
      </c>
      <c r="G1523">
        <v>71</v>
      </c>
      <c r="H1523" t="s">
        <v>23</v>
      </c>
      <c r="I1523" t="str">
        <f>VLOOKUP(Table4[[#This Row],[customer_id]],customers!A:G,4,)</f>
        <v>delhi</v>
      </c>
    </row>
    <row r="1524" spans="1:9" x14ac:dyDescent="0.3">
      <c r="A1524">
        <v>21523</v>
      </c>
      <c r="B1524">
        <v>300</v>
      </c>
      <c r="C1524" s="2">
        <v>44993</v>
      </c>
      <c r="D1524" s="2" t="str">
        <f>TEXT(Table4[[#This Row],[issue_date]],"mmmm")</f>
        <v>March</v>
      </c>
      <c r="E1524" s="9">
        <f>YEAR(Table4[[#This Row],[issue_date]])</f>
        <v>2023</v>
      </c>
      <c r="F1524" t="s">
        <v>22</v>
      </c>
      <c r="G1524">
        <v>32</v>
      </c>
      <c r="H1524" t="s">
        <v>23</v>
      </c>
      <c r="I1524" t="str">
        <f>VLOOKUP(Table4[[#This Row],[customer_id]],customers!A:G,4,)</f>
        <v>mumbai</v>
      </c>
    </row>
    <row r="1525" spans="1:9" x14ac:dyDescent="0.3">
      <c r="A1525">
        <v>21524</v>
      </c>
      <c r="B1525">
        <v>414</v>
      </c>
      <c r="C1525" s="2">
        <v>44717</v>
      </c>
      <c r="D1525" s="2" t="str">
        <f>TEXT(Table4[[#This Row],[issue_date]],"mmmm")</f>
        <v>June</v>
      </c>
      <c r="E1525" s="9">
        <f>YEAR(Table4[[#This Row],[issue_date]])</f>
        <v>2022</v>
      </c>
      <c r="F1525" t="s">
        <v>19</v>
      </c>
      <c r="G1525">
        <v>32</v>
      </c>
      <c r="H1525" t="s">
        <v>20</v>
      </c>
      <c r="I1525" t="str">
        <f>VLOOKUP(Table4[[#This Row],[customer_id]],customers!A:G,4,)</f>
        <v>delhi</v>
      </c>
    </row>
    <row r="1526" spans="1:9" x14ac:dyDescent="0.3">
      <c r="A1526">
        <v>21525</v>
      </c>
      <c r="B1526">
        <v>407</v>
      </c>
      <c r="C1526" s="2">
        <v>44884</v>
      </c>
      <c r="D1526" s="2" t="str">
        <f>TEXT(Table4[[#This Row],[issue_date]],"mmmm")</f>
        <v>November</v>
      </c>
      <c r="E1526" s="9">
        <f>YEAR(Table4[[#This Row],[issue_date]])</f>
        <v>2022</v>
      </c>
      <c r="F1526" t="s">
        <v>19</v>
      </c>
      <c r="G1526">
        <v>33</v>
      </c>
      <c r="H1526" t="s">
        <v>20</v>
      </c>
      <c r="I1526" t="str">
        <f>VLOOKUP(Table4[[#This Row],[customer_id]],customers!A:G,4,)</f>
        <v>chennai</v>
      </c>
    </row>
    <row r="1527" spans="1:9" x14ac:dyDescent="0.3">
      <c r="A1527">
        <v>21526</v>
      </c>
      <c r="B1527">
        <v>335</v>
      </c>
      <c r="C1527" s="2">
        <v>45190</v>
      </c>
      <c r="D1527" s="2" t="str">
        <f>TEXT(Table4[[#This Row],[issue_date]],"mmmm")</f>
        <v>September</v>
      </c>
      <c r="E1527" s="9">
        <f>YEAR(Table4[[#This Row],[issue_date]])</f>
        <v>2023</v>
      </c>
      <c r="F1527" t="s">
        <v>21</v>
      </c>
      <c r="G1527">
        <v>43</v>
      </c>
      <c r="H1527" t="s">
        <v>20</v>
      </c>
      <c r="I1527" t="str">
        <f>VLOOKUP(Table4[[#This Row],[customer_id]],customers!A:G,4,)</f>
        <v>kolkata</v>
      </c>
    </row>
    <row r="1528" spans="1:9" x14ac:dyDescent="0.3">
      <c r="A1528">
        <v>21527</v>
      </c>
      <c r="B1528">
        <v>228</v>
      </c>
      <c r="C1528" s="2">
        <v>44752</v>
      </c>
      <c r="D1528" s="2" t="str">
        <f>TEXT(Table4[[#This Row],[issue_date]],"mmmm")</f>
        <v>July</v>
      </c>
      <c r="E1528" s="9">
        <f>YEAR(Table4[[#This Row],[issue_date]])</f>
        <v>2022</v>
      </c>
      <c r="F1528" t="s">
        <v>22</v>
      </c>
      <c r="G1528">
        <v>13</v>
      </c>
      <c r="H1528" t="s">
        <v>20</v>
      </c>
      <c r="I1528" t="str">
        <f>VLOOKUP(Table4[[#This Row],[customer_id]],customers!A:G,4,)</f>
        <v>hyderabad</v>
      </c>
    </row>
    <row r="1529" spans="1:9" x14ac:dyDescent="0.3">
      <c r="A1529">
        <v>21528</v>
      </c>
      <c r="B1529">
        <v>467</v>
      </c>
      <c r="C1529" s="2">
        <v>44737</v>
      </c>
      <c r="D1529" s="2" t="str">
        <f>TEXT(Table4[[#This Row],[issue_date]],"mmmm")</f>
        <v>June</v>
      </c>
      <c r="E1529" s="9">
        <f>YEAR(Table4[[#This Row],[issue_date]])</f>
        <v>2022</v>
      </c>
      <c r="F1529" t="s">
        <v>21</v>
      </c>
      <c r="G1529">
        <v>9</v>
      </c>
      <c r="H1529" t="s">
        <v>20</v>
      </c>
      <c r="I1529" t="str">
        <f>VLOOKUP(Table4[[#This Row],[customer_id]],customers!A:G,4,)</f>
        <v>hyderabad</v>
      </c>
    </row>
    <row r="1530" spans="1:9" x14ac:dyDescent="0.3">
      <c r="A1530">
        <v>21529</v>
      </c>
      <c r="B1530">
        <v>222</v>
      </c>
      <c r="C1530" s="2">
        <v>45078</v>
      </c>
      <c r="D1530" s="2" t="str">
        <f>TEXT(Table4[[#This Row],[issue_date]],"mmmm")</f>
        <v>June</v>
      </c>
      <c r="E1530" s="9">
        <f>YEAR(Table4[[#This Row],[issue_date]])</f>
        <v>2023</v>
      </c>
      <c r="F1530" t="s">
        <v>22</v>
      </c>
      <c r="G1530">
        <v>62</v>
      </c>
      <c r="H1530" t="s">
        <v>20</v>
      </c>
      <c r="I1530" t="str">
        <f>VLOOKUP(Table4[[#This Row],[customer_id]],customers!A:G,4,)</f>
        <v>bangalore</v>
      </c>
    </row>
    <row r="1531" spans="1:9" x14ac:dyDescent="0.3">
      <c r="A1531">
        <v>21530</v>
      </c>
      <c r="B1531">
        <v>272</v>
      </c>
      <c r="C1531" s="2">
        <v>45406</v>
      </c>
      <c r="D1531" s="2" t="str">
        <f>TEXT(Table4[[#This Row],[issue_date]],"mmmm")</f>
        <v>April</v>
      </c>
      <c r="E1531" s="9">
        <f>YEAR(Table4[[#This Row],[issue_date]])</f>
        <v>2024</v>
      </c>
      <c r="F1531" t="s">
        <v>22</v>
      </c>
      <c r="G1531">
        <v>57</v>
      </c>
      <c r="H1531" t="s">
        <v>20</v>
      </c>
      <c r="I1531" t="str">
        <f>VLOOKUP(Table4[[#This Row],[customer_id]],customers!A:G,4,)</f>
        <v>chennai</v>
      </c>
    </row>
    <row r="1532" spans="1:9" x14ac:dyDescent="0.3">
      <c r="A1532">
        <v>21531</v>
      </c>
      <c r="B1532">
        <v>439</v>
      </c>
      <c r="C1532" s="2">
        <v>45085</v>
      </c>
      <c r="D1532" s="2" t="str">
        <f>TEXT(Table4[[#This Row],[issue_date]],"mmmm")</f>
        <v>June</v>
      </c>
      <c r="E1532" s="9">
        <f>YEAR(Table4[[#This Row],[issue_date]])</f>
        <v>2023</v>
      </c>
      <c r="F1532" t="s">
        <v>21</v>
      </c>
      <c r="G1532">
        <v>48</v>
      </c>
      <c r="H1532" t="s">
        <v>20</v>
      </c>
      <c r="I1532" t="str">
        <f>VLOOKUP(Table4[[#This Row],[customer_id]],customers!A:G,4,)</f>
        <v>chennai</v>
      </c>
    </row>
    <row r="1533" spans="1:9" x14ac:dyDescent="0.3">
      <c r="A1533">
        <v>21532</v>
      </c>
      <c r="B1533">
        <v>18</v>
      </c>
      <c r="C1533" s="2">
        <v>45132</v>
      </c>
      <c r="D1533" s="2" t="str">
        <f>TEXT(Table4[[#This Row],[issue_date]],"mmmm")</f>
        <v>July</v>
      </c>
      <c r="E1533" s="9">
        <f>YEAR(Table4[[#This Row],[issue_date]])</f>
        <v>2023</v>
      </c>
      <c r="F1533" t="s">
        <v>21</v>
      </c>
      <c r="G1533">
        <v>43</v>
      </c>
      <c r="H1533" t="s">
        <v>20</v>
      </c>
      <c r="I1533" t="str">
        <f>VLOOKUP(Table4[[#This Row],[customer_id]],customers!A:G,4,)</f>
        <v>delhi</v>
      </c>
    </row>
    <row r="1534" spans="1:9" x14ac:dyDescent="0.3">
      <c r="A1534">
        <v>21533</v>
      </c>
      <c r="B1534">
        <v>218</v>
      </c>
      <c r="C1534" s="2">
        <v>45394</v>
      </c>
      <c r="D1534" s="2" t="str">
        <f>TEXT(Table4[[#This Row],[issue_date]],"mmmm")</f>
        <v>April</v>
      </c>
      <c r="E1534" s="9">
        <f>YEAR(Table4[[#This Row],[issue_date]])</f>
        <v>2024</v>
      </c>
      <c r="F1534" t="s">
        <v>22</v>
      </c>
      <c r="G1534">
        <v>67</v>
      </c>
      <c r="H1534" t="s">
        <v>20</v>
      </c>
      <c r="I1534" t="str">
        <f>VLOOKUP(Table4[[#This Row],[customer_id]],customers!A:G,4,)</f>
        <v>delhi</v>
      </c>
    </row>
    <row r="1535" spans="1:9" x14ac:dyDescent="0.3">
      <c r="A1535">
        <v>21534</v>
      </c>
      <c r="B1535">
        <v>273</v>
      </c>
      <c r="C1535" s="2">
        <v>45381</v>
      </c>
      <c r="D1535" s="2" t="str">
        <f>TEXT(Table4[[#This Row],[issue_date]],"mmmm")</f>
        <v>March</v>
      </c>
      <c r="E1535" s="9">
        <f>YEAR(Table4[[#This Row],[issue_date]])</f>
        <v>2024</v>
      </c>
      <c r="F1535" t="s">
        <v>21</v>
      </c>
      <c r="G1535">
        <v>32</v>
      </c>
      <c r="H1535" t="s">
        <v>20</v>
      </c>
      <c r="I1535" t="str">
        <f>VLOOKUP(Table4[[#This Row],[customer_id]],customers!A:G,4,)</f>
        <v>kolkata</v>
      </c>
    </row>
    <row r="1536" spans="1:9" x14ac:dyDescent="0.3">
      <c r="A1536">
        <v>21535</v>
      </c>
      <c r="B1536">
        <v>459</v>
      </c>
      <c r="C1536" s="2">
        <v>45372</v>
      </c>
      <c r="D1536" s="2" t="str">
        <f>TEXT(Table4[[#This Row],[issue_date]],"mmmm")</f>
        <v>March</v>
      </c>
      <c r="E1536" s="9">
        <f>YEAR(Table4[[#This Row],[issue_date]])</f>
        <v>2024</v>
      </c>
      <c r="F1536" t="s">
        <v>22</v>
      </c>
      <c r="G1536">
        <v>60</v>
      </c>
      <c r="H1536" t="s">
        <v>20</v>
      </c>
      <c r="I1536" t="str">
        <f>VLOOKUP(Table4[[#This Row],[customer_id]],customers!A:G,4,)</f>
        <v>chennai</v>
      </c>
    </row>
    <row r="1537" spans="1:9" x14ac:dyDescent="0.3">
      <c r="A1537">
        <v>21536</v>
      </c>
      <c r="B1537">
        <v>308</v>
      </c>
      <c r="C1537" s="2">
        <v>45323</v>
      </c>
      <c r="D1537" s="2" t="str">
        <f>TEXT(Table4[[#This Row],[issue_date]],"mmmm")</f>
        <v>February</v>
      </c>
      <c r="E1537" s="9">
        <f>YEAR(Table4[[#This Row],[issue_date]])</f>
        <v>2024</v>
      </c>
      <c r="F1537" t="s">
        <v>21</v>
      </c>
      <c r="G1537">
        <v>1</v>
      </c>
      <c r="H1537" t="s">
        <v>20</v>
      </c>
      <c r="I1537" t="str">
        <f>VLOOKUP(Table4[[#This Row],[customer_id]],customers!A:G,4,)</f>
        <v>chennai</v>
      </c>
    </row>
    <row r="1538" spans="1:9" x14ac:dyDescent="0.3">
      <c r="A1538">
        <v>21537</v>
      </c>
      <c r="B1538">
        <v>173</v>
      </c>
      <c r="C1538" s="2">
        <v>44900</v>
      </c>
      <c r="D1538" s="2" t="str">
        <f>TEXT(Table4[[#This Row],[issue_date]],"mmmm")</f>
        <v>December</v>
      </c>
      <c r="E1538" s="9">
        <f>YEAR(Table4[[#This Row],[issue_date]])</f>
        <v>2022</v>
      </c>
      <c r="F1538" t="s">
        <v>21</v>
      </c>
      <c r="G1538">
        <v>57</v>
      </c>
      <c r="H1538" t="s">
        <v>20</v>
      </c>
      <c r="I1538" t="str">
        <f>VLOOKUP(Table4[[#This Row],[customer_id]],customers!A:G,4,)</f>
        <v>delhi</v>
      </c>
    </row>
    <row r="1539" spans="1:9" x14ac:dyDescent="0.3">
      <c r="A1539">
        <v>21538</v>
      </c>
      <c r="B1539">
        <v>56</v>
      </c>
      <c r="C1539" s="2">
        <v>45166</v>
      </c>
      <c r="D1539" s="2" t="str">
        <f>TEXT(Table4[[#This Row],[issue_date]],"mmmm")</f>
        <v>August</v>
      </c>
      <c r="E1539" s="9">
        <f>YEAR(Table4[[#This Row],[issue_date]])</f>
        <v>2023</v>
      </c>
      <c r="F1539" t="s">
        <v>21</v>
      </c>
      <c r="G1539">
        <v>69</v>
      </c>
      <c r="H1539" t="s">
        <v>20</v>
      </c>
      <c r="I1539" t="str">
        <f>VLOOKUP(Table4[[#This Row],[customer_id]],customers!A:G,4,)</f>
        <v>chennai</v>
      </c>
    </row>
    <row r="1540" spans="1:9" x14ac:dyDescent="0.3">
      <c r="A1540">
        <v>21539</v>
      </c>
      <c r="B1540">
        <v>349</v>
      </c>
      <c r="C1540" s="2">
        <v>44880</v>
      </c>
      <c r="D1540" s="2" t="str">
        <f>TEXT(Table4[[#This Row],[issue_date]],"mmmm")</f>
        <v>November</v>
      </c>
      <c r="E1540" s="9">
        <f>YEAR(Table4[[#This Row],[issue_date]])</f>
        <v>2022</v>
      </c>
      <c r="F1540" t="s">
        <v>19</v>
      </c>
      <c r="G1540">
        <v>69</v>
      </c>
      <c r="H1540" t="s">
        <v>23</v>
      </c>
      <c r="I1540" t="str">
        <f>VLOOKUP(Table4[[#This Row],[customer_id]],customers!A:G,4,)</f>
        <v>kolkata</v>
      </c>
    </row>
    <row r="1541" spans="1:9" x14ac:dyDescent="0.3">
      <c r="A1541">
        <v>21540</v>
      </c>
      <c r="B1541">
        <v>438</v>
      </c>
      <c r="C1541" s="2">
        <v>44672</v>
      </c>
      <c r="D1541" s="2" t="str">
        <f>TEXT(Table4[[#This Row],[issue_date]],"mmmm")</f>
        <v>April</v>
      </c>
      <c r="E1541" s="9">
        <f>YEAR(Table4[[#This Row],[issue_date]])</f>
        <v>2022</v>
      </c>
      <c r="F1541" t="s">
        <v>21</v>
      </c>
      <c r="G1541">
        <v>68</v>
      </c>
      <c r="H1541" t="s">
        <v>20</v>
      </c>
      <c r="I1541" t="str">
        <f>VLOOKUP(Table4[[#This Row],[customer_id]],customers!A:G,4,)</f>
        <v>hyderabad</v>
      </c>
    </row>
    <row r="1542" spans="1:9" x14ac:dyDescent="0.3">
      <c r="A1542">
        <v>21541</v>
      </c>
      <c r="B1542">
        <v>9</v>
      </c>
      <c r="C1542" s="2">
        <v>45379</v>
      </c>
      <c r="D1542" s="2" t="str">
        <f>TEXT(Table4[[#This Row],[issue_date]],"mmmm")</f>
        <v>March</v>
      </c>
      <c r="E1542" s="9">
        <f>YEAR(Table4[[#This Row],[issue_date]])</f>
        <v>2024</v>
      </c>
      <c r="F1542" t="s">
        <v>19</v>
      </c>
      <c r="G1542">
        <v>61</v>
      </c>
      <c r="H1542" t="s">
        <v>20</v>
      </c>
      <c r="I1542" t="str">
        <f>VLOOKUP(Table4[[#This Row],[customer_id]],customers!A:G,4,)</f>
        <v>bangalore</v>
      </c>
    </row>
    <row r="1543" spans="1:9" x14ac:dyDescent="0.3">
      <c r="A1543">
        <v>21542</v>
      </c>
      <c r="B1543">
        <v>497</v>
      </c>
      <c r="C1543" s="2">
        <v>45441</v>
      </c>
      <c r="D1543" s="2" t="str">
        <f>TEXT(Table4[[#This Row],[issue_date]],"mmmm")</f>
        <v>May</v>
      </c>
      <c r="E1543" s="9">
        <f>YEAR(Table4[[#This Row],[issue_date]])</f>
        <v>2024</v>
      </c>
      <c r="F1543" t="s">
        <v>22</v>
      </c>
      <c r="G1543">
        <v>8</v>
      </c>
      <c r="H1543" t="s">
        <v>20</v>
      </c>
      <c r="I1543" t="str">
        <f>VLOOKUP(Table4[[#This Row],[customer_id]],customers!A:G,4,)</f>
        <v>kolkata</v>
      </c>
    </row>
    <row r="1544" spans="1:9" x14ac:dyDescent="0.3">
      <c r="A1544">
        <v>21543</v>
      </c>
      <c r="B1544">
        <v>401</v>
      </c>
      <c r="C1544" s="2">
        <v>45368</v>
      </c>
      <c r="D1544" s="2" t="str">
        <f>TEXT(Table4[[#This Row],[issue_date]],"mmmm")</f>
        <v>March</v>
      </c>
      <c r="E1544" s="9">
        <f>YEAR(Table4[[#This Row],[issue_date]])</f>
        <v>2024</v>
      </c>
      <c r="F1544" t="s">
        <v>22</v>
      </c>
      <c r="G1544">
        <v>7</v>
      </c>
      <c r="H1544" t="s">
        <v>20</v>
      </c>
      <c r="I1544" t="str">
        <f>VLOOKUP(Table4[[#This Row],[customer_id]],customers!A:G,4,)</f>
        <v>chennai</v>
      </c>
    </row>
    <row r="1545" spans="1:9" x14ac:dyDescent="0.3">
      <c r="A1545">
        <v>21544</v>
      </c>
      <c r="B1545">
        <v>283</v>
      </c>
      <c r="C1545" s="2">
        <v>45034</v>
      </c>
      <c r="D1545" s="2" t="str">
        <f>TEXT(Table4[[#This Row],[issue_date]],"mmmm")</f>
        <v>April</v>
      </c>
      <c r="E1545" s="9">
        <f>YEAR(Table4[[#This Row],[issue_date]])</f>
        <v>2023</v>
      </c>
      <c r="F1545" t="s">
        <v>21</v>
      </c>
      <c r="G1545">
        <v>37</v>
      </c>
      <c r="H1545" t="s">
        <v>23</v>
      </c>
      <c r="I1545" t="str">
        <f>VLOOKUP(Table4[[#This Row],[customer_id]],customers!A:G,4,)</f>
        <v>hyderabad</v>
      </c>
    </row>
    <row r="1546" spans="1:9" x14ac:dyDescent="0.3">
      <c r="A1546">
        <v>21545</v>
      </c>
      <c r="B1546">
        <v>293</v>
      </c>
      <c r="C1546" s="2">
        <v>45409</v>
      </c>
      <c r="D1546" s="2" t="str">
        <f>TEXT(Table4[[#This Row],[issue_date]],"mmmm")</f>
        <v>April</v>
      </c>
      <c r="E1546" s="9">
        <f>YEAR(Table4[[#This Row],[issue_date]])</f>
        <v>2024</v>
      </c>
      <c r="F1546" t="s">
        <v>19</v>
      </c>
      <c r="G1546">
        <v>42</v>
      </c>
      <c r="H1546" t="s">
        <v>23</v>
      </c>
      <c r="I1546" t="str">
        <f>VLOOKUP(Table4[[#This Row],[customer_id]],customers!A:G,4,)</f>
        <v>chennai</v>
      </c>
    </row>
    <row r="1547" spans="1:9" x14ac:dyDescent="0.3">
      <c r="A1547">
        <v>21546</v>
      </c>
      <c r="B1547">
        <v>22</v>
      </c>
      <c r="C1547" s="2">
        <v>44578</v>
      </c>
      <c r="D1547" s="2" t="str">
        <f>TEXT(Table4[[#This Row],[issue_date]],"mmmm")</f>
        <v>January</v>
      </c>
      <c r="E1547" s="9">
        <f>YEAR(Table4[[#This Row],[issue_date]])</f>
        <v>2022</v>
      </c>
      <c r="F1547" t="s">
        <v>22</v>
      </c>
      <c r="G1547">
        <v>32</v>
      </c>
      <c r="H1547" t="s">
        <v>20</v>
      </c>
      <c r="I1547" t="str">
        <f>VLOOKUP(Table4[[#This Row],[customer_id]],customers!A:G,4,)</f>
        <v>hyderabad</v>
      </c>
    </row>
    <row r="1548" spans="1:9" x14ac:dyDescent="0.3">
      <c r="A1548">
        <v>21547</v>
      </c>
      <c r="B1548">
        <v>72</v>
      </c>
      <c r="C1548" s="2">
        <v>44781</v>
      </c>
      <c r="D1548" s="2" t="str">
        <f>TEXT(Table4[[#This Row],[issue_date]],"mmmm")</f>
        <v>August</v>
      </c>
      <c r="E1548" s="9">
        <f>YEAR(Table4[[#This Row],[issue_date]])</f>
        <v>2022</v>
      </c>
      <c r="F1548" t="s">
        <v>19</v>
      </c>
      <c r="G1548">
        <v>17</v>
      </c>
      <c r="H1548" t="s">
        <v>20</v>
      </c>
      <c r="I1548" t="str">
        <f>VLOOKUP(Table4[[#This Row],[customer_id]],customers!A:G,4,)</f>
        <v>kolkata</v>
      </c>
    </row>
    <row r="1549" spans="1:9" x14ac:dyDescent="0.3">
      <c r="A1549">
        <v>21548</v>
      </c>
      <c r="B1549">
        <v>451</v>
      </c>
      <c r="C1549" s="2">
        <v>45048</v>
      </c>
      <c r="D1549" s="2" t="str">
        <f>TEXT(Table4[[#This Row],[issue_date]],"mmmm")</f>
        <v>May</v>
      </c>
      <c r="E1549" s="9">
        <f>YEAR(Table4[[#This Row],[issue_date]])</f>
        <v>2023</v>
      </c>
      <c r="F1549" t="s">
        <v>19</v>
      </c>
      <c r="G1549">
        <v>28</v>
      </c>
      <c r="H1549" t="s">
        <v>23</v>
      </c>
      <c r="I1549" t="str">
        <f>VLOOKUP(Table4[[#This Row],[customer_id]],customers!A:G,4,)</f>
        <v>delhi</v>
      </c>
    </row>
    <row r="1550" spans="1:9" x14ac:dyDescent="0.3">
      <c r="A1550">
        <v>21549</v>
      </c>
      <c r="B1550">
        <v>422</v>
      </c>
      <c r="C1550" s="2">
        <v>45372</v>
      </c>
      <c r="D1550" s="2" t="str">
        <f>TEXT(Table4[[#This Row],[issue_date]],"mmmm")</f>
        <v>March</v>
      </c>
      <c r="E1550" s="9">
        <f>YEAR(Table4[[#This Row],[issue_date]])</f>
        <v>2024</v>
      </c>
      <c r="F1550" t="s">
        <v>22</v>
      </c>
      <c r="G1550">
        <v>70</v>
      </c>
      <c r="H1550" t="s">
        <v>20</v>
      </c>
      <c r="I1550" t="str">
        <f>VLOOKUP(Table4[[#This Row],[customer_id]],customers!A:G,4,)</f>
        <v>hyderabad</v>
      </c>
    </row>
    <row r="1551" spans="1:9" x14ac:dyDescent="0.3">
      <c r="A1551">
        <v>21550</v>
      </c>
      <c r="B1551">
        <v>355</v>
      </c>
      <c r="C1551" s="2">
        <v>44866</v>
      </c>
      <c r="D1551" s="2" t="str">
        <f>TEXT(Table4[[#This Row],[issue_date]],"mmmm")</f>
        <v>November</v>
      </c>
      <c r="E1551" s="9">
        <f>YEAR(Table4[[#This Row],[issue_date]])</f>
        <v>2022</v>
      </c>
      <c r="F1551" t="s">
        <v>19</v>
      </c>
      <c r="G1551">
        <v>48</v>
      </c>
      <c r="H1551" t="s">
        <v>23</v>
      </c>
      <c r="I1551" t="str">
        <f>VLOOKUP(Table4[[#This Row],[customer_id]],customers!A:G,4,)</f>
        <v>bangalore</v>
      </c>
    </row>
    <row r="1552" spans="1:9" x14ac:dyDescent="0.3">
      <c r="A1552">
        <v>21551</v>
      </c>
      <c r="B1552">
        <v>480</v>
      </c>
      <c r="C1552" s="2">
        <v>45078</v>
      </c>
      <c r="D1552" s="2" t="str">
        <f>TEXT(Table4[[#This Row],[issue_date]],"mmmm")</f>
        <v>June</v>
      </c>
      <c r="E1552" s="9">
        <f>YEAR(Table4[[#This Row],[issue_date]])</f>
        <v>2023</v>
      </c>
      <c r="F1552" t="s">
        <v>19</v>
      </c>
      <c r="G1552">
        <v>54</v>
      </c>
      <c r="H1552" t="s">
        <v>20</v>
      </c>
      <c r="I1552" t="str">
        <f>VLOOKUP(Table4[[#This Row],[customer_id]],customers!A:G,4,)</f>
        <v>hyderabad</v>
      </c>
    </row>
    <row r="1553" spans="1:9" x14ac:dyDescent="0.3">
      <c r="A1553">
        <v>21552</v>
      </c>
      <c r="B1553">
        <v>328</v>
      </c>
      <c r="C1553" s="2">
        <v>44690</v>
      </c>
      <c r="D1553" s="2" t="str">
        <f>TEXT(Table4[[#This Row],[issue_date]],"mmmm")</f>
        <v>May</v>
      </c>
      <c r="E1553" s="9">
        <f>YEAR(Table4[[#This Row],[issue_date]])</f>
        <v>2022</v>
      </c>
      <c r="F1553" t="s">
        <v>22</v>
      </c>
      <c r="G1553">
        <v>42</v>
      </c>
      <c r="H1553" t="s">
        <v>20</v>
      </c>
      <c r="I1553" t="str">
        <f>VLOOKUP(Table4[[#This Row],[customer_id]],customers!A:G,4,)</f>
        <v>kolkata</v>
      </c>
    </row>
    <row r="1554" spans="1:9" x14ac:dyDescent="0.3">
      <c r="A1554">
        <v>21553</v>
      </c>
      <c r="B1554">
        <v>172</v>
      </c>
      <c r="C1554" s="2">
        <v>45396</v>
      </c>
      <c r="D1554" s="2" t="str">
        <f>TEXT(Table4[[#This Row],[issue_date]],"mmmm")</f>
        <v>April</v>
      </c>
      <c r="E1554" s="9">
        <f>YEAR(Table4[[#This Row],[issue_date]])</f>
        <v>2024</v>
      </c>
      <c r="F1554" t="s">
        <v>21</v>
      </c>
      <c r="G1554">
        <v>36</v>
      </c>
      <c r="H1554" t="s">
        <v>20</v>
      </c>
      <c r="I1554" t="str">
        <f>VLOOKUP(Table4[[#This Row],[customer_id]],customers!A:G,4,)</f>
        <v>chennai</v>
      </c>
    </row>
    <row r="1555" spans="1:9" x14ac:dyDescent="0.3">
      <c r="A1555">
        <v>21554</v>
      </c>
      <c r="B1555">
        <v>123</v>
      </c>
      <c r="C1555" s="2">
        <v>45185</v>
      </c>
      <c r="D1555" s="2" t="str">
        <f>TEXT(Table4[[#This Row],[issue_date]],"mmmm")</f>
        <v>September</v>
      </c>
      <c r="E1555" s="9">
        <f>YEAR(Table4[[#This Row],[issue_date]])</f>
        <v>2023</v>
      </c>
      <c r="F1555" t="s">
        <v>21</v>
      </c>
      <c r="G1555">
        <v>66</v>
      </c>
      <c r="H1555" t="s">
        <v>20</v>
      </c>
      <c r="I1555" t="str">
        <f>VLOOKUP(Table4[[#This Row],[customer_id]],customers!A:G,4,)</f>
        <v>bangalore</v>
      </c>
    </row>
    <row r="1556" spans="1:9" x14ac:dyDescent="0.3">
      <c r="A1556">
        <v>21555</v>
      </c>
      <c r="B1556">
        <v>91</v>
      </c>
      <c r="C1556" s="2">
        <v>44585</v>
      </c>
      <c r="D1556" s="2" t="str">
        <f>TEXT(Table4[[#This Row],[issue_date]],"mmmm")</f>
        <v>January</v>
      </c>
      <c r="E1556" s="9">
        <f>YEAR(Table4[[#This Row],[issue_date]])</f>
        <v>2022</v>
      </c>
      <c r="F1556" t="s">
        <v>19</v>
      </c>
      <c r="G1556">
        <v>31</v>
      </c>
      <c r="H1556" t="s">
        <v>20</v>
      </c>
      <c r="I1556" t="str">
        <f>VLOOKUP(Table4[[#This Row],[customer_id]],customers!A:G,4,)</f>
        <v>chennai</v>
      </c>
    </row>
    <row r="1557" spans="1:9" x14ac:dyDescent="0.3">
      <c r="A1557">
        <v>21556</v>
      </c>
      <c r="B1557">
        <v>224</v>
      </c>
      <c r="C1557" s="2">
        <v>45102</v>
      </c>
      <c r="D1557" s="2" t="str">
        <f>TEXT(Table4[[#This Row],[issue_date]],"mmmm")</f>
        <v>June</v>
      </c>
      <c r="E1557" s="9">
        <f>YEAR(Table4[[#This Row],[issue_date]])</f>
        <v>2023</v>
      </c>
      <c r="F1557" t="s">
        <v>21</v>
      </c>
      <c r="G1557">
        <v>65</v>
      </c>
      <c r="H1557" t="s">
        <v>20</v>
      </c>
      <c r="I1557" t="str">
        <f>VLOOKUP(Table4[[#This Row],[customer_id]],customers!A:G,4,)</f>
        <v>delhi</v>
      </c>
    </row>
    <row r="1558" spans="1:9" x14ac:dyDescent="0.3">
      <c r="A1558">
        <v>21557</v>
      </c>
      <c r="B1558">
        <v>292</v>
      </c>
      <c r="C1558" s="2">
        <v>44693</v>
      </c>
      <c r="D1558" s="2" t="str">
        <f>TEXT(Table4[[#This Row],[issue_date]],"mmmm")</f>
        <v>May</v>
      </c>
      <c r="E1558" s="9">
        <f>YEAR(Table4[[#This Row],[issue_date]])</f>
        <v>2022</v>
      </c>
      <c r="F1558" t="s">
        <v>22</v>
      </c>
      <c r="G1558">
        <v>3</v>
      </c>
      <c r="H1558" t="s">
        <v>20</v>
      </c>
      <c r="I1558" t="str">
        <f>VLOOKUP(Table4[[#This Row],[customer_id]],customers!A:G,4,)</f>
        <v>delhi</v>
      </c>
    </row>
    <row r="1559" spans="1:9" x14ac:dyDescent="0.3">
      <c r="A1559">
        <v>21558</v>
      </c>
      <c r="B1559">
        <v>354</v>
      </c>
      <c r="C1559" s="2">
        <v>45117</v>
      </c>
      <c r="D1559" s="2" t="str">
        <f>TEXT(Table4[[#This Row],[issue_date]],"mmmm")</f>
        <v>July</v>
      </c>
      <c r="E1559" s="9">
        <f>YEAR(Table4[[#This Row],[issue_date]])</f>
        <v>2023</v>
      </c>
      <c r="F1559" t="s">
        <v>22</v>
      </c>
      <c r="G1559">
        <v>13</v>
      </c>
      <c r="H1559" t="s">
        <v>20</v>
      </c>
      <c r="I1559" t="str">
        <f>VLOOKUP(Table4[[#This Row],[customer_id]],customers!A:G,4,)</f>
        <v>kolkata</v>
      </c>
    </row>
    <row r="1560" spans="1:9" x14ac:dyDescent="0.3">
      <c r="A1560">
        <v>21559</v>
      </c>
      <c r="B1560">
        <v>252</v>
      </c>
      <c r="C1560" s="2">
        <v>44882</v>
      </c>
      <c r="D1560" s="2" t="str">
        <f>TEXT(Table4[[#This Row],[issue_date]],"mmmm")</f>
        <v>November</v>
      </c>
      <c r="E1560" s="9">
        <f>YEAR(Table4[[#This Row],[issue_date]])</f>
        <v>2022</v>
      </c>
      <c r="F1560" t="s">
        <v>22</v>
      </c>
      <c r="G1560">
        <v>31</v>
      </c>
      <c r="H1560" t="s">
        <v>20</v>
      </c>
      <c r="I1560" t="str">
        <f>VLOOKUP(Table4[[#This Row],[customer_id]],customers!A:G,4,)</f>
        <v>hyderabad</v>
      </c>
    </row>
    <row r="1561" spans="1:9" x14ac:dyDescent="0.3">
      <c r="A1561">
        <v>21560</v>
      </c>
      <c r="B1561">
        <v>409</v>
      </c>
      <c r="C1561" s="2">
        <v>45058</v>
      </c>
      <c r="D1561" s="2" t="str">
        <f>TEXT(Table4[[#This Row],[issue_date]],"mmmm")</f>
        <v>May</v>
      </c>
      <c r="E1561" s="9">
        <f>YEAR(Table4[[#This Row],[issue_date]])</f>
        <v>2023</v>
      </c>
      <c r="F1561" t="s">
        <v>19</v>
      </c>
      <c r="G1561">
        <v>29</v>
      </c>
      <c r="H1561" t="s">
        <v>20</v>
      </c>
      <c r="I1561" t="str">
        <f>VLOOKUP(Table4[[#This Row],[customer_id]],customers!A:G,4,)</f>
        <v>kolkata</v>
      </c>
    </row>
    <row r="1562" spans="1:9" x14ac:dyDescent="0.3">
      <c r="A1562">
        <v>21561</v>
      </c>
      <c r="B1562">
        <v>479</v>
      </c>
      <c r="C1562" s="2">
        <v>45449</v>
      </c>
      <c r="D1562" s="2" t="str">
        <f>TEXT(Table4[[#This Row],[issue_date]],"mmmm")</f>
        <v>June</v>
      </c>
      <c r="E1562" s="9">
        <f>YEAR(Table4[[#This Row],[issue_date]])</f>
        <v>2024</v>
      </c>
      <c r="F1562" t="s">
        <v>22</v>
      </c>
      <c r="G1562">
        <v>57</v>
      </c>
      <c r="H1562" t="s">
        <v>20</v>
      </c>
      <c r="I1562" t="str">
        <f>VLOOKUP(Table4[[#This Row],[customer_id]],customers!A:G,4,)</f>
        <v>mumbai</v>
      </c>
    </row>
    <row r="1563" spans="1:9" x14ac:dyDescent="0.3">
      <c r="A1563">
        <v>21562</v>
      </c>
      <c r="B1563">
        <v>298</v>
      </c>
      <c r="C1563" s="2">
        <v>45280</v>
      </c>
      <c r="D1563" s="2" t="str">
        <f>TEXT(Table4[[#This Row],[issue_date]],"mmmm")</f>
        <v>December</v>
      </c>
      <c r="E1563" s="9">
        <f>YEAR(Table4[[#This Row],[issue_date]])</f>
        <v>2023</v>
      </c>
      <c r="F1563" t="s">
        <v>19</v>
      </c>
      <c r="G1563">
        <v>33</v>
      </c>
      <c r="H1563" t="s">
        <v>20</v>
      </c>
      <c r="I1563" t="str">
        <f>VLOOKUP(Table4[[#This Row],[customer_id]],customers!A:G,4,)</f>
        <v>mumbai</v>
      </c>
    </row>
    <row r="1564" spans="1:9" x14ac:dyDescent="0.3">
      <c r="A1564">
        <v>21563</v>
      </c>
      <c r="B1564">
        <v>367</v>
      </c>
      <c r="C1564" s="2">
        <v>44943</v>
      </c>
      <c r="D1564" s="2" t="str">
        <f>TEXT(Table4[[#This Row],[issue_date]],"mmmm")</f>
        <v>January</v>
      </c>
      <c r="E1564" s="9">
        <f>YEAR(Table4[[#This Row],[issue_date]])</f>
        <v>2023</v>
      </c>
      <c r="F1564" t="s">
        <v>19</v>
      </c>
      <c r="G1564">
        <v>53</v>
      </c>
      <c r="H1564" t="s">
        <v>20</v>
      </c>
      <c r="I1564" t="str">
        <f>VLOOKUP(Table4[[#This Row],[customer_id]],customers!A:G,4,)</f>
        <v>kolkata</v>
      </c>
    </row>
    <row r="1565" spans="1:9" x14ac:dyDescent="0.3">
      <c r="A1565">
        <v>21564</v>
      </c>
      <c r="B1565">
        <v>256</v>
      </c>
      <c r="C1565" s="2">
        <v>44777</v>
      </c>
      <c r="D1565" s="2" t="str">
        <f>TEXT(Table4[[#This Row],[issue_date]],"mmmm")</f>
        <v>August</v>
      </c>
      <c r="E1565" s="9">
        <f>YEAR(Table4[[#This Row],[issue_date]])</f>
        <v>2022</v>
      </c>
      <c r="F1565" t="s">
        <v>22</v>
      </c>
      <c r="G1565">
        <v>10</v>
      </c>
      <c r="H1565" t="s">
        <v>20</v>
      </c>
      <c r="I1565" t="str">
        <f>VLOOKUP(Table4[[#This Row],[customer_id]],customers!A:G,4,)</f>
        <v>kolkata</v>
      </c>
    </row>
    <row r="1566" spans="1:9" x14ac:dyDescent="0.3">
      <c r="A1566">
        <v>21565</v>
      </c>
      <c r="B1566">
        <v>13</v>
      </c>
      <c r="C1566" s="2">
        <v>45317</v>
      </c>
      <c r="D1566" s="2" t="str">
        <f>TEXT(Table4[[#This Row],[issue_date]],"mmmm")</f>
        <v>January</v>
      </c>
      <c r="E1566" s="9">
        <f>YEAR(Table4[[#This Row],[issue_date]])</f>
        <v>2024</v>
      </c>
      <c r="F1566" t="s">
        <v>22</v>
      </c>
      <c r="G1566">
        <v>63</v>
      </c>
      <c r="H1566" t="s">
        <v>20</v>
      </c>
      <c r="I1566" t="str">
        <f>VLOOKUP(Table4[[#This Row],[customer_id]],customers!A:G,4,)</f>
        <v>kolkata</v>
      </c>
    </row>
    <row r="1567" spans="1:9" x14ac:dyDescent="0.3">
      <c r="A1567">
        <v>21566</v>
      </c>
      <c r="B1567">
        <v>440</v>
      </c>
      <c r="C1567" s="2">
        <v>45104</v>
      </c>
      <c r="D1567" s="2" t="str">
        <f>TEXT(Table4[[#This Row],[issue_date]],"mmmm")</f>
        <v>June</v>
      </c>
      <c r="E1567" s="9">
        <f>YEAR(Table4[[#This Row],[issue_date]])</f>
        <v>2023</v>
      </c>
      <c r="F1567" t="s">
        <v>19</v>
      </c>
      <c r="G1567">
        <v>65</v>
      </c>
      <c r="H1567" t="s">
        <v>20</v>
      </c>
      <c r="I1567" t="str">
        <f>VLOOKUP(Table4[[#This Row],[customer_id]],customers!A:G,4,)</f>
        <v>mumbai</v>
      </c>
    </row>
    <row r="1568" spans="1:9" x14ac:dyDescent="0.3">
      <c r="A1568">
        <v>21567</v>
      </c>
      <c r="B1568">
        <v>335</v>
      </c>
      <c r="C1568" s="2">
        <v>45339</v>
      </c>
      <c r="D1568" s="2" t="str">
        <f>TEXT(Table4[[#This Row],[issue_date]],"mmmm")</f>
        <v>February</v>
      </c>
      <c r="E1568" s="9">
        <f>YEAR(Table4[[#This Row],[issue_date]])</f>
        <v>2024</v>
      </c>
      <c r="F1568" t="s">
        <v>22</v>
      </c>
      <c r="G1568">
        <v>2</v>
      </c>
      <c r="H1568" t="s">
        <v>20</v>
      </c>
      <c r="I1568" t="str">
        <f>VLOOKUP(Table4[[#This Row],[customer_id]],customers!A:G,4,)</f>
        <v>kolkata</v>
      </c>
    </row>
    <row r="1569" spans="1:9" x14ac:dyDescent="0.3">
      <c r="A1569">
        <v>21568</v>
      </c>
      <c r="B1569">
        <v>118</v>
      </c>
      <c r="C1569" s="2">
        <v>44572</v>
      </c>
      <c r="D1569" s="2" t="str">
        <f>TEXT(Table4[[#This Row],[issue_date]],"mmmm")</f>
        <v>January</v>
      </c>
      <c r="E1569" s="9">
        <f>YEAR(Table4[[#This Row],[issue_date]])</f>
        <v>2022</v>
      </c>
      <c r="F1569" t="s">
        <v>21</v>
      </c>
      <c r="G1569">
        <v>2</v>
      </c>
      <c r="H1569" t="s">
        <v>20</v>
      </c>
      <c r="I1569" t="str">
        <f>VLOOKUP(Table4[[#This Row],[customer_id]],customers!A:G,4,)</f>
        <v>hyderabad</v>
      </c>
    </row>
    <row r="1570" spans="1:9" x14ac:dyDescent="0.3">
      <c r="A1570">
        <v>21569</v>
      </c>
      <c r="B1570">
        <v>435</v>
      </c>
      <c r="C1570" s="2">
        <v>44643</v>
      </c>
      <c r="D1570" s="2" t="str">
        <f>TEXT(Table4[[#This Row],[issue_date]],"mmmm")</f>
        <v>March</v>
      </c>
      <c r="E1570" s="9">
        <f>YEAR(Table4[[#This Row],[issue_date]])</f>
        <v>2022</v>
      </c>
      <c r="F1570" t="s">
        <v>19</v>
      </c>
      <c r="G1570">
        <v>69</v>
      </c>
      <c r="H1570" t="s">
        <v>20</v>
      </c>
      <c r="I1570" t="str">
        <f>VLOOKUP(Table4[[#This Row],[customer_id]],customers!A:G,4,)</f>
        <v>bangalore</v>
      </c>
    </row>
    <row r="1571" spans="1:9" x14ac:dyDescent="0.3">
      <c r="A1571">
        <v>21570</v>
      </c>
      <c r="B1571">
        <v>178</v>
      </c>
      <c r="C1571" s="2">
        <v>44717</v>
      </c>
      <c r="D1571" s="2" t="str">
        <f>TEXT(Table4[[#This Row],[issue_date]],"mmmm")</f>
        <v>June</v>
      </c>
      <c r="E1571" s="9">
        <f>YEAR(Table4[[#This Row],[issue_date]])</f>
        <v>2022</v>
      </c>
      <c r="F1571" t="s">
        <v>19</v>
      </c>
      <c r="G1571">
        <v>37</v>
      </c>
      <c r="H1571" t="s">
        <v>20</v>
      </c>
      <c r="I1571" t="str">
        <f>VLOOKUP(Table4[[#This Row],[customer_id]],customers!A:G,4,)</f>
        <v>chennai</v>
      </c>
    </row>
    <row r="1572" spans="1:9" x14ac:dyDescent="0.3">
      <c r="A1572">
        <v>21571</v>
      </c>
      <c r="B1572">
        <v>461</v>
      </c>
      <c r="C1572" s="2">
        <v>44727</v>
      </c>
      <c r="D1572" s="2" t="str">
        <f>TEXT(Table4[[#This Row],[issue_date]],"mmmm")</f>
        <v>June</v>
      </c>
      <c r="E1572" s="9">
        <f>YEAR(Table4[[#This Row],[issue_date]])</f>
        <v>2022</v>
      </c>
      <c r="F1572" t="s">
        <v>22</v>
      </c>
      <c r="G1572">
        <v>2</v>
      </c>
      <c r="H1572" t="s">
        <v>20</v>
      </c>
      <c r="I1572" t="str">
        <f>VLOOKUP(Table4[[#This Row],[customer_id]],customers!A:G,4,)</f>
        <v>chennai</v>
      </c>
    </row>
    <row r="1573" spans="1:9" x14ac:dyDescent="0.3">
      <c r="A1573">
        <v>21572</v>
      </c>
      <c r="B1573">
        <v>308</v>
      </c>
      <c r="C1573" s="2">
        <v>44769</v>
      </c>
      <c r="D1573" s="2" t="str">
        <f>TEXT(Table4[[#This Row],[issue_date]],"mmmm")</f>
        <v>July</v>
      </c>
      <c r="E1573" s="9">
        <f>YEAR(Table4[[#This Row],[issue_date]])</f>
        <v>2022</v>
      </c>
      <c r="F1573" t="s">
        <v>22</v>
      </c>
      <c r="G1573">
        <v>61</v>
      </c>
      <c r="H1573" t="s">
        <v>20</v>
      </c>
      <c r="I1573" t="str">
        <f>VLOOKUP(Table4[[#This Row],[customer_id]],customers!A:G,4,)</f>
        <v>chennai</v>
      </c>
    </row>
    <row r="1574" spans="1:9" x14ac:dyDescent="0.3">
      <c r="A1574">
        <v>21573</v>
      </c>
      <c r="B1574">
        <v>500</v>
      </c>
      <c r="C1574" s="2">
        <v>44585</v>
      </c>
      <c r="D1574" s="2" t="str">
        <f>TEXT(Table4[[#This Row],[issue_date]],"mmmm")</f>
        <v>January</v>
      </c>
      <c r="E1574" s="9">
        <f>YEAR(Table4[[#This Row],[issue_date]])</f>
        <v>2022</v>
      </c>
      <c r="F1574" t="s">
        <v>19</v>
      </c>
      <c r="G1574">
        <v>40</v>
      </c>
      <c r="H1574" t="s">
        <v>20</v>
      </c>
      <c r="I1574" t="str">
        <f>VLOOKUP(Table4[[#This Row],[customer_id]],customers!A:G,4,)</f>
        <v>mumbai</v>
      </c>
    </row>
    <row r="1575" spans="1:9" x14ac:dyDescent="0.3">
      <c r="A1575">
        <v>21574</v>
      </c>
      <c r="B1575">
        <v>161</v>
      </c>
      <c r="C1575" s="2">
        <v>45368</v>
      </c>
      <c r="D1575" s="2" t="str">
        <f>TEXT(Table4[[#This Row],[issue_date]],"mmmm")</f>
        <v>March</v>
      </c>
      <c r="E1575" s="9">
        <f>YEAR(Table4[[#This Row],[issue_date]])</f>
        <v>2024</v>
      </c>
      <c r="F1575" t="s">
        <v>19</v>
      </c>
      <c r="G1575">
        <v>63</v>
      </c>
      <c r="H1575" t="s">
        <v>20</v>
      </c>
      <c r="I1575" t="str">
        <f>VLOOKUP(Table4[[#This Row],[customer_id]],customers!A:G,4,)</f>
        <v>bangalore</v>
      </c>
    </row>
    <row r="1576" spans="1:9" x14ac:dyDescent="0.3">
      <c r="A1576">
        <v>21575</v>
      </c>
      <c r="B1576">
        <v>95</v>
      </c>
      <c r="C1576" s="2">
        <v>45448</v>
      </c>
      <c r="D1576" s="2" t="str">
        <f>TEXT(Table4[[#This Row],[issue_date]],"mmmm")</f>
        <v>June</v>
      </c>
      <c r="E1576" s="9">
        <f>YEAR(Table4[[#This Row],[issue_date]])</f>
        <v>2024</v>
      </c>
      <c r="F1576" t="s">
        <v>19</v>
      </c>
      <c r="G1576">
        <v>25</v>
      </c>
      <c r="H1576" t="s">
        <v>20</v>
      </c>
      <c r="I1576" t="str">
        <f>VLOOKUP(Table4[[#This Row],[customer_id]],customers!A:G,4,)</f>
        <v>mumbai</v>
      </c>
    </row>
    <row r="1577" spans="1:9" x14ac:dyDescent="0.3">
      <c r="A1577">
        <v>21576</v>
      </c>
      <c r="B1577">
        <v>409</v>
      </c>
      <c r="C1577" s="2">
        <v>45252</v>
      </c>
      <c r="D1577" s="2" t="str">
        <f>TEXT(Table4[[#This Row],[issue_date]],"mmmm")</f>
        <v>November</v>
      </c>
      <c r="E1577" s="9">
        <f>YEAR(Table4[[#This Row],[issue_date]])</f>
        <v>2023</v>
      </c>
      <c r="F1577" t="s">
        <v>22</v>
      </c>
      <c r="G1577">
        <v>38</v>
      </c>
      <c r="H1577" t="s">
        <v>20</v>
      </c>
      <c r="I1577" t="str">
        <f>VLOOKUP(Table4[[#This Row],[customer_id]],customers!A:G,4,)</f>
        <v>kolkata</v>
      </c>
    </row>
    <row r="1578" spans="1:9" x14ac:dyDescent="0.3">
      <c r="A1578">
        <v>21577</v>
      </c>
      <c r="B1578">
        <v>368</v>
      </c>
      <c r="C1578" s="2">
        <v>44893</v>
      </c>
      <c r="D1578" s="2" t="str">
        <f>TEXT(Table4[[#This Row],[issue_date]],"mmmm")</f>
        <v>November</v>
      </c>
      <c r="E1578" s="9">
        <f>YEAR(Table4[[#This Row],[issue_date]])</f>
        <v>2022</v>
      </c>
      <c r="F1578" t="s">
        <v>19</v>
      </c>
      <c r="G1578">
        <v>37</v>
      </c>
      <c r="H1578" t="s">
        <v>20</v>
      </c>
      <c r="I1578" t="str">
        <f>VLOOKUP(Table4[[#This Row],[customer_id]],customers!A:G,4,)</f>
        <v>kolkata</v>
      </c>
    </row>
    <row r="1579" spans="1:9" x14ac:dyDescent="0.3">
      <c r="A1579">
        <v>21578</v>
      </c>
      <c r="B1579">
        <v>314</v>
      </c>
      <c r="C1579" s="2">
        <v>45123</v>
      </c>
      <c r="D1579" s="2" t="str">
        <f>TEXT(Table4[[#This Row],[issue_date]],"mmmm")</f>
        <v>July</v>
      </c>
      <c r="E1579" s="9">
        <f>YEAR(Table4[[#This Row],[issue_date]])</f>
        <v>2023</v>
      </c>
      <c r="F1579" t="s">
        <v>21</v>
      </c>
      <c r="G1579">
        <v>27</v>
      </c>
      <c r="H1579" t="s">
        <v>23</v>
      </c>
      <c r="I1579" t="str">
        <f>VLOOKUP(Table4[[#This Row],[customer_id]],customers!A:G,4,)</f>
        <v>chennai</v>
      </c>
    </row>
    <row r="1580" spans="1:9" x14ac:dyDescent="0.3">
      <c r="A1580">
        <v>21579</v>
      </c>
      <c r="B1580">
        <v>168</v>
      </c>
      <c r="C1580" s="2">
        <v>45080</v>
      </c>
      <c r="D1580" s="2" t="str">
        <f>TEXT(Table4[[#This Row],[issue_date]],"mmmm")</f>
        <v>June</v>
      </c>
      <c r="E1580" s="9">
        <f>YEAR(Table4[[#This Row],[issue_date]])</f>
        <v>2023</v>
      </c>
      <c r="F1580" t="s">
        <v>21</v>
      </c>
      <c r="G1580">
        <v>50</v>
      </c>
      <c r="H1580" t="s">
        <v>20</v>
      </c>
      <c r="I1580" t="str">
        <f>VLOOKUP(Table4[[#This Row],[customer_id]],customers!A:G,4,)</f>
        <v>delhi</v>
      </c>
    </row>
    <row r="1581" spans="1:9" x14ac:dyDescent="0.3">
      <c r="A1581">
        <v>21580</v>
      </c>
      <c r="B1581">
        <v>87</v>
      </c>
      <c r="C1581" s="2">
        <v>45072</v>
      </c>
      <c r="D1581" s="2" t="str">
        <f>TEXT(Table4[[#This Row],[issue_date]],"mmmm")</f>
        <v>May</v>
      </c>
      <c r="E1581" s="9">
        <f>YEAR(Table4[[#This Row],[issue_date]])</f>
        <v>2023</v>
      </c>
      <c r="F1581" t="s">
        <v>22</v>
      </c>
      <c r="G1581">
        <v>34</v>
      </c>
      <c r="H1581" t="s">
        <v>20</v>
      </c>
      <c r="I1581" t="str">
        <f>VLOOKUP(Table4[[#This Row],[customer_id]],customers!A:G,4,)</f>
        <v>hyderabad</v>
      </c>
    </row>
    <row r="1582" spans="1:9" x14ac:dyDescent="0.3">
      <c r="A1582">
        <v>21581</v>
      </c>
      <c r="B1582">
        <v>422</v>
      </c>
      <c r="C1582" s="2">
        <v>45173</v>
      </c>
      <c r="D1582" s="2" t="str">
        <f>TEXT(Table4[[#This Row],[issue_date]],"mmmm")</f>
        <v>September</v>
      </c>
      <c r="E1582" s="9">
        <f>YEAR(Table4[[#This Row],[issue_date]])</f>
        <v>2023</v>
      </c>
      <c r="F1582" t="s">
        <v>19</v>
      </c>
      <c r="G1582">
        <v>44</v>
      </c>
      <c r="H1582" t="s">
        <v>23</v>
      </c>
      <c r="I1582" t="str">
        <f>VLOOKUP(Table4[[#This Row],[customer_id]],customers!A:G,4,)</f>
        <v>hyderabad</v>
      </c>
    </row>
    <row r="1583" spans="1:9" x14ac:dyDescent="0.3">
      <c r="A1583">
        <v>21582</v>
      </c>
      <c r="B1583">
        <v>3</v>
      </c>
      <c r="C1583" s="2">
        <v>45154</v>
      </c>
      <c r="D1583" s="2" t="str">
        <f>TEXT(Table4[[#This Row],[issue_date]],"mmmm")</f>
        <v>August</v>
      </c>
      <c r="E1583" s="9">
        <f>YEAR(Table4[[#This Row],[issue_date]])</f>
        <v>2023</v>
      </c>
      <c r="F1583" t="s">
        <v>19</v>
      </c>
      <c r="G1583">
        <v>4</v>
      </c>
      <c r="H1583" t="s">
        <v>20</v>
      </c>
      <c r="I1583" t="str">
        <f>VLOOKUP(Table4[[#This Row],[customer_id]],customers!A:G,4,)</f>
        <v>mumbai</v>
      </c>
    </row>
    <row r="1584" spans="1:9" x14ac:dyDescent="0.3">
      <c r="A1584">
        <v>21583</v>
      </c>
      <c r="B1584">
        <v>372</v>
      </c>
      <c r="C1584" s="2">
        <v>44802</v>
      </c>
      <c r="D1584" s="2" t="str">
        <f>TEXT(Table4[[#This Row],[issue_date]],"mmmm")</f>
        <v>August</v>
      </c>
      <c r="E1584" s="9">
        <f>YEAR(Table4[[#This Row],[issue_date]])</f>
        <v>2022</v>
      </c>
      <c r="F1584" t="s">
        <v>21</v>
      </c>
      <c r="G1584">
        <v>52</v>
      </c>
      <c r="H1584" t="s">
        <v>20</v>
      </c>
      <c r="I1584" t="str">
        <f>VLOOKUP(Table4[[#This Row],[customer_id]],customers!A:G,4,)</f>
        <v>chennai</v>
      </c>
    </row>
    <row r="1585" spans="1:9" x14ac:dyDescent="0.3">
      <c r="A1585">
        <v>21584</v>
      </c>
      <c r="B1585">
        <v>16</v>
      </c>
      <c r="C1585" s="2">
        <v>45397</v>
      </c>
      <c r="D1585" s="2" t="str">
        <f>TEXT(Table4[[#This Row],[issue_date]],"mmmm")</f>
        <v>April</v>
      </c>
      <c r="E1585" s="9">
        <f>YEAR(Table4[[#This Row],[issue_date]])</f>
        <v>2024</v>
      </c>
      <c r="F1585" t="s">
        <v>19</v>
      </c>
      <c r="G1585">
        <v>55</v>
      </c>
      <c r="H1585" t="s">
        <v>20</v>
      </c>
      <c r="I1585" t="str">
        <f>VLOOKUP(Table4[[#This Row],[customer_id]],customers!A:G,4,)</f>
        <v>bangalore</v>
      </c>
    </row>
    <row r="1586" spans="1:9" x14ac:dyDescent="0.3">
      <c r="A1586">
        <v>21585</v>
      </c>
      <c r="B1586">
        <v>130</v>
      </c>
      <c r="C1586" s="2">
        <v>44742</v>
      </c>
      <c r="D1586" s="2" t="str">
        <f>TEXT(Table4[[#This Row],[issue_date]],"mmmm")</f>
        <v>June</v>
      </c>
      <c r="E1586" s="9">
        <f>YEAR(Table4[[#This Row],[issue_date]])</f>
        <v>2022</v>
      </c>
      <c r="F1586" t="s">
        <v>22</v>
      </c>
      <c r="G1586">
        <v>12</v>
      </c>
      <c r="H1586" t="s">
        <v>20</v>
      </c>
      <c r="I1586" t="str">
        <f>VLOOKUP(Table4[[#This Row],[customer_id]],customers!A:G,4,)</f>
        <v>kolkata</v>
      </c>
    </row>
    <row r="1587" spans="1:9" x14ac:dyDescent="0.3">
      <c r="A1587">
        <v>21586</v>
      </c>
      <c r="B1587">
        <v>23</v>
      </c>
      <c r="C1587" s="2">
        <v>44854</v>
      </c>
      <c r="D1587" s="2" t="str">
        <f>TEXT(Table4[[#This Row],[issue_date]],"mmmm")</f>
        <v>October</v>
      </c>
      <c r="E1587" s="9">
        <f>YEAR(Table4[[#This Row],[issue_date]])</f>
        <v>2022</v>
      </c>
      <c r="F1587" t="s">
        <v>22</v>
      </c>
      <c r="G1587">
        <v>14</v>
      </c>
      <c r="H1587" t="s">
        <v>20</v>
      </c>
      <c r="I1587" t="str">
        <f>VLOOKUP(Table4[[#This Row],[customer_id]],customers!A:G,4,)</f>
        <v>kolkata</v>
      </c>
    </row>
    <row r="1588" spans="1:9" x14ac:dyDescent="0.3">
      <c r="A1588">
        <v>21587</v>
      </c>
      <c r="B1588">
        <v>98</v>
      </c>
      <c r="C1588" s="2">
        <v>44644</v>
      </c>
      <c r="D1588" s="2" t="str">
        <f>TEXT(Table4[[#This Row],[issue_date]],"mmmm")</f>
        <v>March</v>
      </c>
      <c r="E1588" s="9">
        <f>YEAR(Table4[[#This Row],[issue_date]])</f>
        <v>2022</v>
      </c>
      <c r="F1588" t="s">
        <v>22</v>
      </c>
      <c r="G1588">
        <v>35</v>
      </c>
      <c r="H1588" t="s">
        <v>20</v>
      </c>
      <c r="I1588" t="str">
        <f>VLOOKUP(Table4[[#This Row],[customer_id]],customers!A:G,4,)</f>
        <v>chennai</v>
      </c>
    </row>
    <row r="1589" spans="1:9" x14ac:dyDescent="0.3">
      <c r="A1589">
        <v>21588</v>
      </c>
      <c r="B1589">
        <v>158</v>
      </c>
      <c r="C1589" s="2">
        <v>45127</v>
      </c>
      <c r="D1589" s="2" t="str">
        <f>TEXT(Table4[[#This Row],[issue_date]],"mmmm")</f>
        <v>July</v>
      </c>
      <c r="E1589" s="9">
        <f>YEAR(Table4[[#This Row],[issue_date]])</f>
        <v>2023</v>
      </c>
      <c r="F1589" t="s">
        <v>19</v>
      </c>
      <c r="G1589">
        <v>6</v>
      </c>
      <c r="H1589" t="s">
        <v>20</v>
      </c>
      <c r="I1589" t="str">
        <f>VLOOKUP(Table4[[#This Row],[customer_id]],customers!A:G,4,)</f>
        <v>kolkata</v>
      </c>
    </row>
    <row r="1590" spans="1:9" x14ac:dyDescent="0.3">
      <c r="A1590">
        <v>21589</v>
      </c>
      <c r="B1590">
        <v>239</v>
      </c>
      <c r="C1590" s="2">
        <v>44651</v>
      </c>
      <c r="D1590" s="2" t="str">
        <f>TEXT(Table4[[#This Row],[issue_date]],"mmmm")</f>
        <v>March</v>
      </c>
      <c r="E1590" s="9">
        <f>YEAR(Table4[[#This Row],[issue_date]])</f>
        <v>2022</v>
      </c>
      <c r="F1590" t="s">
        <v>19</v>
      </c>
      <c r="G1590">
        <v>47</v>
      </c>
      <c r="H1590" t="s">
        <v>23</v>
      </c>
      <c r="I1590" t="str">
        <f>VLOOKUP(Table4[[#This Row],[customer_id]],customers!A:G,4,)</f>
        <v>hyderabad</v>
      </c>
    </row>
    <row r="1591" spans="1:9" x14ac:dyDescent="0.3">
      <c r="A1591">
        <v>21590</v>
      </c>
      <c r="B1591">
        <v>10</v>
      </c>
      <c r="C1591" s="2">
        <v>45000</v>
      </c>
      <c r="D1591" s="2" t="str">
        <f>TEXT(Table4[[#This Row],[issue_date]],"mmmm")</f>
        <v>March</v>
      </c>
      <c r="E1591" s="9">
        <f>YEAR(Table4[[#This Row],[issue_date]])</f>
        <v>2023</v>
      </c>
      <c r="F1591" t="s">
        <v>21</v>
      </c>
      <c r="G1591">
        <v>23</v>
      </c>
      <c r="H1591" t="s">
        <v>20</v>
      </c>
      <c r="I1591" t="str">
        <f>VLOOKUP(Table4[[#This Row],[customer_id]],customers!A:G,4,)</f>
        <v>bangalore</v>
      </c>
    </row>
    <row r="1592" spans="1:9" x14ac:dyDescent="0.3">
      <c r="A1592">
        <v>21591</v>
      </c>
      <c r="B1592">
        <v>321</v>
      </c>
      <c r="C1592" s="2">
        <v>45276</v>
      </c>
      <c r="D1592" s="2" t="str">
        <f>TEXT(Table4[[#This Row],[issue_date]],"mmmm")</f>
        <v>December</v>
      </c>
      <c r="E1592" s="9">
        <f>YEAR(Table4[[#This Row],[issue_date]])</f>
        <v>2023</v>
      </c>
      <c r="F1592" t="s">
        <v>21</v>
      </c>
      <c r="G1592">
        <v>68</v>
      </c>
      <c r="H1592" t="s">
        <v>20</v>
      </c>
      <c r="I1592" t="str">
        <f>VLOOKUP(Table4[[#This Row],[customer_id]],customers!A:G,4,)</f>
        <v>hyderabad</v>
      </c>
    </row>
    <row r="1593" spans="1:9" x14ac:dyDescent="0.3">
      <c r="A1593">
        <v>21592</v>
      </c>
      <c r="B1593">
        <v>22</v>
      </c>
      <c r="C1593" s="2">
        <v>45104</v>
      </c>
      <c r="D1593" s="2" t="str">
        <f>TEXT(Table4[[#This Row],[issue_date]],"mmmm")</f>
        <v>June</v>
      </c>
      <c r="E1593" s="9">
        <f>YEAR(Table4[[#This Row],[issue_date]])</f>
        <v>2023</v>
      </c>
      <c r="F1593" t="s">
        <v>22</v>
      </c>
      <c r="G1593">
        <v>65</v>
      </c>
      <c r="H1593" t="s">
        <v>20</v>
      </c>
      <c r="I1593" t="str">
        <f>VLOOKUP(Table4[[#This Row],[customer_id]],customers!A:G,4,)</f>
        <v>hyderabad</v>
      </c>
    </row>
    <row r="1594" spans="1:9" x14ac:dyDescent="0.3">
      <c r="A1594">
        <v>21593</v>
      </c>
      <c r="B1594">
        <v>308</v>
      </c>
      <c r="C1594" s="2">
        <v>44754</v>
      </c>
      <c r="D1594" s="2" t="str">
        <f>TEXT(Table4[[#This Row],[issue_date]],"mmmm")</f>
        <v>July</v>
      </c>
      <c r="E1594" s="9">
        <f>YEAR(Table4[[#This Row],[issue_date]])</f>
        <v>2022</v>
      </c>
      <c r="F1594" t="s">
        <v>19</v>
      </c>
      <c r="G1594">
        <v>59</v>
      </c>
      <c r="H1594" t="s">
        <v>23</v>
      </c>
      <c r="I1594" t="str">
        <f>VLOOKUP(Table4[[#This Row],[customer_id]],customers!A:G,4,)</f>
        <v>chennai</v>
      </c>
    </row>
    <row r="1595" spans="1:9" x14ac:dyDescent="0.3">
      <c r="A1595">
        <v>21594</v>
      </c>
      <c r="B1595">
        <v>367</v>
      </c>
      <c r="C1595" s="2">
        <v>45049</v>
      </c>
      <c r="D1595" s="2" t="str">
        <f>TEXT(Table4[[#This Row],[issue_date]],"mmmm")</f>
        <v>May</v>
      </c>
      <c r="E1595" s="9">
        <f>YEAR(Table4[[#This Row],[issue_date]])</f>
        <v>2023</v>
      </c>
      <c r="F1595" t="s">
        <v>19</v>
      </c>
      <c r="G1595">
        <v>9</v>
      </c>
      <c r="H1595" t="s">
        <v>23</v>
      </c>
      <c r="I1595" t="str">
        <f>VLOOKUP(Table4[[#This Row],[customer_id]],customers!A:G,4,)</f>
        <v>kolkata</v>
      </c>
    </row>
    <row r="1596" spans="1:9" x14ac:dyDescent="0.3">
      <c r="A1596">
        <v>21595</v>
      </c>
      <c r="B1596">
        <v>184</v>
      </c>
      <c r="C1596" s="2">
        <v>45173</v>
      </c>
      <c r="D1596" s="2" t="str">
        <f>TEXT(Table4[[#This Row],[issue_date]],"mmmm")</f>
        <v>September</v>
      </c>
      <c r="E1596" s="9">
        <f>YEAR(Table4[[#This Row],[issue_date]])</f>
        <v>2023</v>
      </c>
      <c r="F1596" t="s">
        <v>22</v>
      </c>
      <c r="G1596">
        <v>58</v>
      </c>
      <c r="H1596" t="s">
        <v>20</v>
      </c>
      <c r="I1596" t="str">
        <f>VLOOKUP(Table4[[#This Row],[customer_id]],customers!A:G,4,)</f>
        <v>delhi</v>
      </c>
    </row>
    <row r="1597" spans="1:9" x14ac:dyDescent="0.3">
      <c r="A1597">
        <v>21596</v>
      </c>
      <c r="B1597">
        <v>417</v>
      </c>
      <c r="C1597" s="2">
        <v>44910</v>
      </c>
      <c r="D1597" s="2" t="str">
        <f>TEXT(Table4[[#This Row],[issue_date]],"mmmm")</f>
        <v>December</v>
      </c>
      <c r="E1597" s="9">
        <f>YEAR(Table4[[#This Row],[issue_date]])</f>
        <v>2022</v>
      </c>
      <c r="F1597" t="s">
        <v>22</v>
      </c>
      <c r="G1597">
        <v>48</v>
      </c>
      <c r="H1597" t="s">
        <v>20</v>
      </c>
      <c r="I1597" t="str">
        <f>VLOOKUP(Table4[[#This Row],[customer_id]],customers!A:G,4,)</f>
        <v>bangalore</v>
      </c>
    </row>
    <row r="1598" spans="1:9" x14ac:dyDescent="0.3">
      <c r="A1598">
        <v>21597</v>
      </c>
      <c r="B1598">
        <v>217</v>
      </c>
      <c r="C1598" s="2">
        <v>44650</v>
      </c>
      <c r="D1598" s="2" t="str">
        <f>TEXT(Table4[[#This Row],[issue_date]],"mmmm")</f>
        <v>March</v>
      </c>
      <c r="E1598" s="9">
        <f>YEAR(Table4[[#This Row],[issue_date]])</f>
        <v>2022</v>
      </c>
      <c r="F1598" t="s">
        <v>21</v>
      </c>
      <c r="G1598">
        <v>63</v>
      </c>
      <c r="H1598" t="s">
        <v>20</v>
      </c>
      <c r="I1598" t="str">
        <f>VLOOKUP(Table4[[#This Row],[customer_id]],customers!A:G,4,)</f>
        <v>chennai</v>
      </c>
    </row>
    <row r="1599" spans="1:9" x14ac:dyDescent="0.3">
      <c r="A1599">
        <v>21598</v>
      </c>
      <c r="B1599">
        <v>214</v>
      </c>
      <c r="C1599" s="2">
        <v>44684</v>
      </c>
      <c r="D1599" s="2" t="str">
        <f>TEXT(Table4[[#This Row],[issue_date]],"mmmm")</f>
        <v>May</v>
      </c>
      <c r="E1599" s="9">
        <f>YEAR(Table4[[#This Row],[issue_date]])</f>
        <v>2022</v>
      </c>
      <c r="F1599" t="s">
        <v>21</v>
      </c>
      <c r="G1599">
        <v>9</v>
      </c>
      <c r="H1599" t="s">
        <v>20</v>
      </c>
      <c r="I1599" t="str">
        <f>VLOOKUP(Table4[[#This Row],[customer_id]],customers!A:G,4,)</f>
        <v>chennai</v>
      </c>
    </row>
    <row r="1600" spans="1:9" x14ac:dyDescent="0.3">
      <c r="A1600">
        <v>21599</v>
      </c>
      <c r="B1600">
        <v>336</v>
      </c>
      <c r="C1600" s="2">
        <v>44935</v>
      </c>
      <c r="D1600" s="2" t="str">
        <f>TEXT(Table4[[#This Row],[issue_date]],"mmmm")</f>
        <v>January</v>
      </c>
      <c r="E1600" s="9">
        <f>YEAR(Table4[[#This Row],[issue_date]])</f>
        <v>2023</v>
      </c>
      <c r="F1600" t="s">
        <v>22</v>
      </c>
      <c r="G1600">
        <v>44</v>
      </c>
      <c r="H1600" t="s">
        <v>20</v>
      </c>
      <c r="I1600" t="str">
        <f>VLOOKUP(Table4[[#This Row],[customer_id]],customers!A:G,4,)</f>
        <v>bangalore</v>
      </c>
    </row>
    <row r="1601" spans="1:9" x14ac:dyDescent="0.3">
      <c r="A1601">
        <v>21600</v>
      </c>
      <c r="B1601">
        <v>158</v>
      </c>
      <c r="C1601" s="2">
        <v>44608</v>
      </c>
      <c r="D1601" s="2" t="str">
        <f>TEXT(Table4[[#This Row],[issue_date]],"mmmm")</f>
        <v>February</v>
      </c>
      <c r="E1601" s="9">
        <f>YEAR(Table4[[#This Row],[issue_date]])</f>
        <v>2022</v>
      </c>
      <c r="F1601" t="s">
        <v>19</v>
      </c>
      <c r="G1601">
        <v>46</v>
      </c>
      <c r="H1601" t="s">
        <v>23</v>
      </c>
      <c r="I1601" t="str">
        <f>VLOOKUP(Table4[[#This Row],[customer_id]],customers!A:G,4,)</f>
        <v>kolkata</v>
      </c>
    </row>
    <row r="1602" spans="1:9" x14ac:dyDescent="0.3">
      <c r="A1602">
        <v>21601</v>
      </c>
      <c r="B1602">
        <v>210</v>
      </c>
      <c r="C1602" s="2">
        <v>44994</v>
      </c>
      <c r="D1602" s="2" t="str">
        <f>TEXT(Table4[[#This Row],[issue_date]],"mmmm")</f>
        <v>March</v>
      </c>
      <c r="E1602" s="9">
        <f>YEAR(Table4[[#This Row],[issue_date]])</f>
        <v>2023</v>
      </c>
      <c r="F1602" t="s">
        <v>21</v>
      </c>
      <c r="G1602">
        <v>15</v>
      </c>
      <c r="H1602" t="s">
        <v>20</v>
      </c>
      <c r="I1602" t="str">
        <f>VLOOKUP(Table4[[#This Row],[customer_id]],customers!A:G,4,)</f>
        <v>kolkata</v>
      </c>
    </row>
    <row r="1603" spans="1:9" x14ac:dyDescent="0.3">
      <c r="A1603">
        <v>21602</v>
      </c>
      <c r="B1603">
        <v>408</v>
      </c>
      <c r="C1603" s="2">
        <v>44707</v>
      </c>
      <c r="D1603" s="2" t="str">
        <f>TEXT(Table4[[#This Row],[issue_date]],"mmmm")</f>
        <v>May</v>
      </c>
      <c r="E1603" s="9">
        <f>YEAR(Table4[[#This Row],[issue_date]])</f>
        <v>2022</v>
      </c>
      <c r="F1603" t="s">
        <v>22</v>
      </c>
      <c r="G1603">
        <v>53</v>
      </c>
      <c r="H1603" t="s">
        <v>20</v>
      </c>
      <c r="I1603" t="str">
        <f>VLOOKUP(Table4[[#This Row],[customer_id]],customers!A:G,4,)</f>
        <v>chennai</v>
      </c>
    </row>
    <row r="1604" spans="1:9" x14ac:dyDescent="0.3">
      <c r="A1604">
        <v>21603</v>
      </c>
      <c r="B1604">
        <v>133</v>
      </c>
      <c r="C1604" s="2">
        <v>44564</v>
      </c>
      <c r="D1604" s="2" t="str">
        <f>TEXT(Table4[[#This Row],[issue_date]],"mmmm")</f>
        <v>January</v>
      </c>
      <c r="E1604" s="9">
        <f>YEAR(Table4[[#This Row],[issue_date]])</f>
        <v>2022</v>
      </c>
      <c r="F1604" t="s">
        <v>19</v>
      </c>
      <c r="G1604">
        <v>48</v>
      </c>
      <c r="H1604" t="s">
        <v>20</v>
      </c>
      <c r="I1604" t="str">
        <f>VLOOKUP(Table4[[#This Row],[customer_id]],customers!A:G,4,)</f>
        <v>kolkata</v>
      </c>
    </row>
    <row r="1605" spans="1:9" x14ac:dyDescent="0.3">
      <c r="A1605">
        <v>21604</v>
      </c>
      <c r="B1605">
        <v>53</v>
      </c>
      <c r="C1605" s="2">
        <v>45091</v>
      </c>
      <c r="D1605" s="2" t="str">
        <f>TEXT(Table4[[#This Row],[issue_date]],"mmmm")</f>
        <v>June</v>
      </c>
      <c r="E1605" s="9">
        <f>YEAR(Table4[[#This Row],[issue_date]])</f>
        <v>2023</v>
      </c>
      <c r="F1605" t="s">
        <v>22</v>
      </c>
      <c r="G1605">
        <v>42</v>
      </c>
      <c r="H1605" t="s">
        <v>20</v>
      </c>
      <c r="I1605" t="str">
        <f>VLOOKUP(Table4[[#This Row],[customer_id]],customers!A:G,4,)</f>
        <v>mumbai</v>
      </c>
    </row>
    <row r="1606" spans="1:9" x14ac:dyDescent="0.3">
      <c r="A1606">
        <v>21605</v>
      </c>
      <c r="B1606">
        <v>229</v>
      </c>
      <c r="C1606" s="2">
        <v>44875</v>
      </c>
      <c r="D1606" s="2" t="str">
        <f>TEXT(Table4[[#This Row],[issue_date]],"mmmm")</f>
        <v>November</v>
      </c>
      <c r="E1606" s="9">
        <f>YEAR(Table4[[#This Row],[issue_date]])</f>
        <v>2022</v>
      </c>
      <c r="F1606" t="s">
        <v>19</v>
      </c>
      <c r="G1606">
        <v>17</v>
      </c>
      <c r="H1606" t="s">
        <v>20</v>
      </c>
      <c r="I1606" t="str">
        <f>VLOOKUP(Table4[[#This Row],[customer_id]],customers!A:G,4,)</f>
        <v>hyderabad</v>
      </c>
    </row>
    <row r="1607" spans="1:9" x14ac:dyDescent="0.3">
      <c r="A1607">
        <v>21606</v>
      </c>
      <c r="B1607">
        <v>183</v>
      </c>
      <c r="C1607" s="2">
        <v>44888</v>
      </c>
      <c r="D1607" s="2" t="str">
        <f>TEXT(Table4[[#This Row],[issue_date]],"mmmm")</f>
        <v>November</v>
      </c>
      <c r="E1607" s="9">
        <f>YEAR(Table4[[#This Row],[issue_date]])</f>
        <v>2022</v>
      </c>
      <c r="F1607" t="s">
        <v>21</v>
      </c>
      <c r="G1607">
        <v>35</v>
      </c>
      <c r="H1607" t="s">
        <v>20</v>
      </c>
      <c r="I1607" t="str">
        <f>VLOOKUP(Table4[[#This Row],[customer_id]],customers!A:G,4,)</f>
        <v>hyderabad</v>
      </c>
    </row>
    <row r="1608" spans="1:9" x14ac:dyDescent="0.3">
      <c r="A1608">
        <v>21607</v>
      </c>
      <c r="B1608">
        <v>23</v>
      </c>
      <c r="C1608" s="2">
        <v>44642</v>
      </c>
      <c r="D1608" s="2" t="str">
        <f>TEXT(Table4[[#This Row],[issue_date]],"mmmm")</f>
        <v>March</v>
      </c>
      <c r="E1608" s="9">
        <f>YEAR(Table4[[#This Row],[issue_date]])</f>
        <v>2022</v>
      </c>
      <c r="F1608" t="s">
        <v>19</v>
      </c>
      <c r="G1608">
        <v>31</v>
      </c>
      <c r="H1608" t="s">
        <v>20</v>
      </c>
      <c r="I1608" t="str">
        <f>VLOOKUP(Table4[[#This Row],[customer_id]],customers!A:G,4,)</f>
        <v>kolkata</v>
      </c>
    </row>
    <row r="1609" spans="1:9" x14ac:dyDescent="0.3">
      <c r="A1609">
        <v>21608</v>
      </c>
      <c r="B1609">
        <v>106</v>
      </c>
      <c r="C1609" s="2">
        <v>44714</v>
      </c>
      <c r="D1609" s="2" t="str">
        <f>TEXT(Table4[[#This Row],[issue_date]],"mmmm")</f>
        <v>June</v>
      </c>
      <c r="E1609" s="9">
        <f>YEAR(Table4[[#This Row],[issue_date]])</f>
        <v>2022</v>
      </c>
      <c r="F1609" t="s">
        <v>19</v>
      </c>
      <c r="G1609">
        <v>4</v>
      </c>
      <c r="H1609" t="s">
        <v>20</v>
      </c>
      <c r="I1609" t="str">
        <f>VLOOKUP(Table4[[#This Row],[customer_id]],customers!A:G,4,)</f>
        <v>bangalore</v>
      </c>
    </row>
    <row r="1610" spans="1:9" x14ac:dyDescent="0.3">
      <c r="A1610">
        <v>21609</v>
      </c>
      <c r="B1610">
        <v>91</v>
      </c>
      <c r="C1610" s="2">
        <v>44963</v>
      </c>
      <c r="D1610" s="2" t="str">
        <f>TEXT(Table4[[#This Row],[issue_date]],"mmmm")</f>
        <v>February</v>
      </c>
      <c r="E1610" s="9">
        <f>YEAR(Table4[[#This Row],[issue_date]])</f>
        <v>2023</v>
      </c>
      <c r="F1610" t="s">
        <v>22</v>
      </c>
      <c r="G1610">
        <v>48</v>
      </c>
      <c r="H1610" t="s">
        <v>20</v>
      </c>
      <c r="I1610" t="str">
        <f>VLOOKUP(Table4[[#This Row],[customer_id]],customers!A:G,4,)</f>
        <v>chennai</v>
      </c>
    </row>
    <row r="1611" spans="1:9" x14ac:dyDescent="0.3">
      <c r="A1611">
        <v>21610</v>
      </c>
      <c r="B1611">
        <v>119</v>
      </c>
      <c r="C1611" s="2">
        <v>45381</v>
      </c>
      <c r="D1611" s="2" t="str">
        <f>TEXT(Table4[[#This Row],[issue_date]],"mmmm")</f>
        <v>March</v>
      </c>
      <c r="E1611" s="9">
        <f>YEAR(Table4[[#This Row],[issue_date]])</f>
        <v>2024</v>
      </c>
      <c r="F1611" t="s">
        <v>19</v>
      </c>
      <c r="G1611">
        <v>14</v>
      </c>
      <c r="H1611" t="s">
        <v>20</v>
      </c>
      <c r="I1611" t="str">
        <f>VLOOKUP(Table4[[#This Row],[customer_id]],customers!A:G,4,)</f>
        <v>kolkata</v>
      </c>
    </row>
    <row r="1612" spans="1:9" x14ac:dyDescent="0.3">
      <c r="A1612">
        <v>21611</v>
      </c>
      <c r="B1612">
        <v>460</v>
      </c>
      <c r="C1612" s="2">
        <v>45049</v>
      </c>
      <c r="D1612" s="2" t="str">
        <f>TEXT(Table4[[#This Row],[issue_date]],"mmmm")</f>
        <v>May</v>
      </c>
      <c r="E1612" s="9">
        <f>YEAR(Table4[[#This Row],[issue_date]])</f>
        <v>2023</v>
      </c>
      <c r="F1612" t="s">
        <v>21</v>
      </c>
      <c r="G1612">
        <v>25</v>
      </c>
      <c r="H1612" t="s">
        <v>20</v>
      </c>
      <c r="I1612" t="str">
        <f>VLOOKUP(Table4[[#This Row],[customer_id]],customers!A:G,4,)</f>
        <v>hyderabad</v>
      </c>
    </row>
    <row r="1613" spans="1:9" x14ac:dyDescent="0.3">
      <c r="A1613">
        <v>21612</v>
      </c>
      <c r="B1613">
        <v>138</v>
      </c>
      <c r="C1613" s="2">
        <v>45372</v>
      </c>
      <c r="D1613" s="2" t="str">
        <f>TEXT(Table4[[#This Row],[issue_date]],"mmmm")</f>
        <v>March</v>
      </c>
      <c r="E1613" s="9">
        <f>YEAR(Table4[[#This Row],[issue_date]])</f>
        <v>2024</v>
      </c>
      <c r="F1613" t="s">
        <v>22</v>
      </c>
      <c r="G1613">
        <v>46</v>
      </c>
      <c r="H1613" t="s">
        <v>20</v>
      </c>
      <c r="I1613" t="str">
        <f>VLOOKUP(Table4[[#This Row],[customer_id]],customers!A:G,4,)</f>
        <v>delhi</v>
      </c>
    </row>
    <row r="1614" spans="1:9" x14ac:dyDescent="0.3">
      <c r="A1614">
        <v>21613</v>
      </c>
      <c r="B1614">
        <v>482</v>
      </c>
      <c r="C1614" s="2">
        <v>44628</v>
      </c>
      <c r="D1614" s="2" t="str">
        <f>TEXT(Table4[[#This Row],[issue_date]],"mmmm")</f>
        <v>March</v>
      </c>
      <c r="E1614" s="9">
        <f>YEAR(Table4[[#This Row],[issue_date]])</f>
        <v>2022</v>
      </c>
      <c r="F1614" t="s">
        <v>22</v>
      </c>
      <c r="G1614">
        <v>48</v>
      </c>
      <c r="H1614" t="s">
        <v>20</v>
      </c>
      <c r="I1614" t="str">
        <f>VLOOKUP(Table4[[#This Row],[customer_id]],customers!A:G,4,)</f>
        <v>mumbai</v>
      </c>
    </row>
    <row r="1615" spans="1:9" x14ac:dyDescent="0.3">
      <c r="A1615">
        <v>21614</v>
      </c>
      <c r="B1615">
        <v>120</v>
      </c>
      <c r="C1615" s="2">
        <v>44650</v>
      </c>
      <c r="D1615" s="2" t="str">
        <f>TEXT(Table4[[#This Row],[issue_date]],"mmmm")</f>
        <v>March</v>
      </c>
      <c r="E1615" s="9">
        <f>YEAR(Table4[[#This Row],[issue_date]])</f>
        <v>2022</v>
      </c>
      <c r="F1615" t="s">
        <v>22</v>
      </c>
      <c r="G1615">
        <v>40</v>
      </c>
      <c r="H1615" t="s">
        <v>20</v>
      </c>
      <c r="I1615" t="str">
        <f>VLOOKUP(Table4[[#This Row],[customer_id]],customers!A:G,4,)</f>
        <v>bangalore</v>
      </c>
    </row>
    <row r="1616" spans="1:9" x14ac:dyDescent="0.3">
      <c r="A1616">
        <v>21615</v>
      </c>
      <c r="B1616">
        <v>161</v>
      </c>
      <c r="C1616" s="2">
        <v>44696</v>
      </c>
      <c r="D1616" s="2" t="str">
        <f>TEXT(Table4[[#This Row],[issue_date]],"mmmm")</f>
        <v>May</v>
      </c>
      <c r="E1616" s="9">
        <f>YEAR(Table4[[#This Row],[issue_date]])</f>
        <v>2022</v>
      </c>
      <c r="F1616" t="s">
        <v>22</v>
      </c>
      <c r="G1616">
        <v>50</v>
      </c>
      <c r="H1616" t="s">
        <v>20</v>
      </c>
      <c r="I1616" t="str">
        <f>VLOOKUP(Table4[[#This Row],[customer_id]],customers!A:G,4,)</f>
        <v>bangalore</v>
      </c>
    </row>
    <row r="1617" spans="1:9" x14ac:dyDescent="0.3">
      <c r="A1617">
        <v>21616</v>
      </c>
      <c r="B1617">
        <v>208</v>
      </c>
      <c r="C1617" s="2">
        <v>45440</v>
      </c>
      <c r="D1617" s="2" t="str">
        <f>TEXT(Table4[[#This Row],[issue_date]],"mmmm")</f>
        <v>May</v>
      </c>
      <c r="E1617" s="9">
        <f>YEAR(Table4[[#This Row],[issue_date]])</f>
        <v>2024</v>
      </c>
      <c r="F1617" t="s">
        <v>22</v>
      </c>
      <c r="G1617">
        <v>7</v>
      </c>
      <c r="H1617" t="s">
        <v>20</v>
      </c>
      <c r="I1617" t="str">
        <f>VLOOKUP(Table4[[#This Row],[customer_id]],customers!A:G,4,)</f>
        <v>hyderabad</v>
      </c>
    </row>
    <row r="1618" spans="1:9" x14ac:dyDescent="0.3">
      <c r="A1618">
        <v>21617</v>
      </c>
      <c r="B1618">
        <v>349</v>
      </c>
      <c r="C1618" s="2">
        <v>44763</v>
      </c>
      <c r="D1618" s="2" t="str">
        <f>TEXT(Table4[[#This Row],[issue_date]],"mmmm")</f>
        <v>July</v>
      </c>
      <c r="E1618" s="9">
        <f>YEAR(Table4[[#This Row],[issue_date]])</f>
        <v>2022</v>
      </c>
      <c r="F1618" t="s">
        <v>22</v>
      </c>
      <c r="G1618">
        <v>60</v>
      </c>
      <c r="H1618" t="s">
        <v>20</v>
      </c>
      <c r="I1618" t="str">
        <f>VLOOKUP(Table4[[#This Row],[customer_id]],customers!A:G,4,)</f>
        <v>kolkata</v>
      </c>
    </row>
    <row r="1619" spans="1:9" x14ac:dyDescent="0.3">
      <c r="A1619">
        <v>21618</v>
      </c>
      <c r="B1619">
        <v>318</v>
      </c>
      <c r="C1619" s="2">
        <v>44989</v>
      </c>
      <c r="D1619" s="2" t="str">
        <f>TEXT(Table4[[#This Row],[issue_date]],"mmmm")</f>
        <v>March</v>
      </c>
      <c r="E1619" s="9">
        <f>YEAR(Table4[[#This Row],[issue_date]])</f>
        <v>2023</v>
      </c>
      <c r="F1619" t="s">
        <v>22</v>
      </c>
      <c r="G1619">
        <v>35</v>
      </c>
      <c r="H1619" t="s">
        <v>20</v>
      </c>
      <c r="I1619" t="str">
        <f>VLOOKUP(Table4[[#This Row],[customer_id]],customers!A:G,4,)</f>
        <v>delhi</v>
      </c>
    </row>
    <row r="1620" spans="1:9" x14ac:dyDescent="0.3">
      <c r="A1620">
        <v>21619</v>
      </c>
      <c r="B1620">
        <v>338</v>
      </c>
      <c r="C1620" s="2">
        <v>44740</v>
      </c>
      <c r="D1620" s="2" t="str">
        <f>TEXT(Table4[[#This Row],[issue_date]],"mmmm")</f>
        <v>June</v>
      </c>
      <c r="E1620" s="9">
        <f>YEAR(Table4[[#This Row],[issue_date]])</f>
        <v>2022</v>
      </c>
      <c r="F1620" t="s">
        <v>21</v>
      </c>
      <c r="G1620">
        <v>63</v>
      </c>
      <c r="H1620" t="s">
        <v>20</v>
      </c>
      <c r="I1620" t="str">
        <f>VLOOKUP(Table4[[#This Row],[customer_id]],customers!A:G,4,)</f>
        <v>delhi</v>
      </c>
    </row>
    <row r="1621" spans="1:9" x14ac:dyDescent="0.3">
      <c r="A1621">
        <v>21620</v>
      </c>
      <c r="B1621">
        <v>155</v>
      </c>
      <c r="C1621" s="2">
        <v>44900</v>
      </c>
      <c r="D1621" s="2" t="str">
        <f>TEXT(Table4[[#This Row],[issue_date]],"mmmm")</f>
        <v>December</v>
      </c>
      <c r="E1621" s="9">
        <f>YEAR(Table4[[#This Row],[issue_date]])</f>
        <v>2022</v>
      </c>
      <c r="F1621" t="s">
        <v>21</v>
      </c>
      <c r="G1621">
        <v>20</v>
      </c>
      <c r="H1621" t="s">
        <v>20</v>
      </c>
      <c r="I1621" t="str">
        <f>VLOOKUP(Table4[[#This Row],[customer_id]],customers!A:G,4,)</f>
        <v>mumbai</v>
      </c>
    </row>
    <row r="1622" spans="1:9" x14ac:dyDescent="0.3">
      <c r="A1622">
        <v>21621</v>
      </c>
      <c r="B1622">
        <v>263</v>
      </c>
      <c r="C1622" s="2">
        <v>44640</v>
      </c>
      <c r="D1622" s="2" t="str">
        <f>TEXT(Table4[[#This Row],[issue_date]],"mmmm")</f>
        <v>March</v>
      </c>
      <c r="E1622" s="9">
        <f>YEAR(Table4[[#This Row],[issue_date]])</f>
        <v>2022</v>
      </c>
      <c r="F1622" t="s">
        <v>22</v>
      </c>
      <c r="G1622">
        <v>16</v>
      </c>
      <c r="H1622" t="s">
        <v>20</v>
      </c>
      <c r="I1622" t="str">
        <f>VLOOKUP(Table4[[#This Row],[customer_id]],customers!A:G,4,)</f>
        <v>chennai</v>
      </c>
    </row>
    <row r="1623" spans="1:9" x14ac:dyDescent="0.3">
      <c r="A1623">
        <v>21622</v>
      </c>
      <c r="B1623">
        <v>356</v>
      </c>
      <c r="C1623" s="2">
        <v>45158</v>
      </c>
      <c r="D1623" s="2" t="str">
        <f>TEXT(Table4[[#This Row],[issue_date]],"mmmm")</f>
        <v>August</v>
      </c>
      <c r="E1623" s="9">
        <f>YEAR(Table4[[#This Row],[issue_date]])</f>
        <v>2023</v>
      </c>
      <c r="F1623" t="s">
        <v>19</v>
      </c>
      <c r="G1623">
        <v>22</v>
      </c>
      <c r="H1623" t="s">
        <v>20</v>
      </c>
      <c r="I1623" t="str">
        <f>VLOOKUP(Table4[[#This Row],[customer_id]],customers!A:G,4,)</f>
        <v>bangalore</v>
      </c>
    </row>
    <row r="1624" spans="1:9" x14ac:dyDescent="0.3">
      <c r="A1624">
        <v>21623</v>
      </c>
      <c r="B1624">
        <v>155</v>
      </c>
      <c r="C1624" s="2">
        <v>45094</v>
      </c>
      <c r="D1624" s="2" t="str">
        <f>TEXT(Table4[[#This Row],[issue_date]],"mmmm")</f>
        <v>June</v>
      </c>
      <c r="E1624" s="9">
        <f>YEAR(Table4[[#This Row],[issue_date]])</f>
        <v>2023</v>
      </c>
      <c r="F1624" t="s">
        <v>22</v>
      </c>
      <c r="G1624">
        <v>36</v>
      </c>
      <c r="H1624" t="s">
        <v>20</v>
      </c>
      <c r="I1624" t="str">
        <f>VLOOKUP(Table4[[#This Row],[customer_id]],customers!A:G,4,)</f>
        <v>mumbai</v>
      </c>
    </row>
    <row r="1625" spans="1:9" x14ac:dyDescent="0.3">
      <c r="A1625">
        <v>21624</v>
      </c>
      <c r="B1625">
        <v>330</v>
      </c>
      <c r="C1625" s="2">
        <v>44939</v>
      </c>
      <c r="D1625" s="2" t="str">
        <f>TEXT(Table4[[#This Row],[issue_date]],"mmmm")</f>
        <v>January</v>
      </c>
      <c r="E1625" s="9">
        <f>YEAR(Table4[[#This Row],[issue_date]])</f>
        <v>2023</v>
      </c>
      <c r="F1625" t="s">
        <v>22</v>
      </c>
      <c r="G1625">
        <v>19</v>
      </c>
      <c r="H1625" t="s">
        <v>20</v>
      </c>
      <c r="I1625" t="str">
        <f>VLOOKUP(Table4[[#This Row],[customer_id]],customers!A:G,4,)</f>
        <v>mumbai</v>
      </c>
    </row>
    <row r="1626" spans="1:9" x14ac:dyDescent="0.3">
      <c r="A1626">
        <v>21625</v>
      </c>
      <c r="B1626">
        <v>394</v>
      </c>
      <c r="C1626" s="2">
        <v>44726</v>
      </c>
      <c r="D1626" s="2" t="str">
        <f>TEXT(Table4[[#This Row],[issue_date]],"mmmm")</f>
        <v>June</v>
      </c>
      <c r="E1626" s="9">
        <f>YEAR(Table4[[#This Row],[issue_date]])</f>
        <v>2022</v>
      </c>
      <c r="F1626" t="s">
        <v>22</v>
      </c>
      <c r="G1626">
        <v>2</v>
      </c>
      <c r="H1626" t="s">
        <v>20</v>
      </c>
      <c r="I1626" t="str">
        <f>VLOOKUP(Table4[[#This Row],[customer_id]],customers!A:G,4,)</f>
        <v>delhi</v>
      </c>
    </row>
    <row r="1627" spans="1:9" x14ac:dyDescent="0.3">
      <c r="A1627">
        <v>21626</v>
      </c>
      <c r="B1627">
        <v>459</v>
      </c>
      <c r="C1627" s="2">
        <v>45101</v>
      </c>
      <c r="D1627" s="2" t="str">
        <f>TEXT(Table4[[#This Row],[issue_date]],"mmmm")</f>
        <v>June</v>
      </c>
      <c r="E1627" s="9">
        <f>YEAR(Table4[[#This Row],[issue_date]])</f>
        <v>2023</v>
      </c>
      <c r="F1627" t="s">
        <v>19</v>
      </c>
      <c r="G1627">
        <v>68</v>
      </c>
      <c r="H1627" t="s">
        <v>23</v>
      </c>
      <c r="I1627" t="str">
        <f>VLOOKUP(Table4[[#This Row],[customer_id]],customers!A:G,4,)</f>
        <v>chennai</v>
      </c>
    </row>
    <row r="1628" spans="1:9" x14ac:dyDescent="0.3">
      <c r="A1628">
        <v>21627</v>
      </c>
      <c r="B1628">
        <v>313</v>
      </c>
      <c r="C1628" s="2">
        <v>45310</v>
      </c>
      <c r="D1628" s="2" t="str">
        <f>TEXT(Table4[[#This Row],[issue_date]],"mmmm")</f>
        <v>January</v>
      </c>
      <c r="E1628" s="9">
        <f>YEAR(Table4[[#This Row],[issue_date]])</f>
        <v>2024</v>
      </c>
      <c r="F1628" t="s">
        <v>21</v>
      </c>
      <c r="G1628">
        <v>7</v>
      </c>
      <c r="H1628" t="s">
        <v>20</v>
      </c>
      <c r="I1628" t="str">
        <f>VLOOKUP(Table4[[#This Row],[customer_id]],customers!A:G,4,)</f>
        <v>chennai</v>
      </c>
    </row>
    <row r="1629" spans="1:9" x14ac:dyDescent="0.3">
      <c r="A1629">
        <v>21628</v>
      </c>
      <c r="B1629">
        <v>286</v>
      </c>
      <c r="C1629" s="2">
        <v>45361</v>
      </c>
      <c r="D1629" s="2" t="str">
        <f>TEXT(Table4[[#This Row],[issue_date]],"mmmm")</f>
        <v>March</v>
      </c>
      <c r="E1629" s="9">
        <f>YEAR(Table4[[#This Row],[issue_date]])</f>
        <v>2024</v>
      </c>
      <c r="F1629" t="s">
        <v>19</v>
      </c>
      <c r="G1629">
        <v>47</v>
      </c>
      <c r="H1629" t="s">
        <v>20</v>
      </c>
      <c r="I1629" t="str">
        <f>VLOOKUP(Table4[[#This Row],[customer_id]],customers!A:G,4,)</f>
        <v>chennai</v>
      </c>
    </row>
    <row r="1630" spans="1:9" x14ac:dyDescent="0.3">
      <c r="A1630">
        <v>21629</v>
      </c>
      <c r="B1630">
        <v>259</v>
      </c>
      <c r="C1630" s="2">
        <v>45258</v>
      </c>
      <c r="D1630" s="2" t="str">
        <f>TEXT(Table4[[#This Row],[issue_date]],"mmmm")</f>
        <v>November</v>
      </c>
      <c r="E1630" s="9">
        <f>YEAR(Table4[[#This Row],[issue_date]])</f>
        <v>2023</v>
      </c>
      <c r="F1630" t="s">
        <v>19</v>
      </c>
      <c r="G1630">
        <v>49</v>
      </c>
      <c r="H1630" t="s">
        <v>20</v>
      </c>
      <c r="I1630" t="str">
        <f>VLOOKUP(Table4[[#This Row],[customer_id]],customers!A:G,4,)</f>
        <v>chennai</v>
      </c>
    </row>
    <row r="1631" spans="1:9" x14ac:dyDescent="0.3">
      <c r="A1631">
        <v>21630</v>
      </c>
      <c r="B1631">
        <v>157</v>
      </c>
      <c r="C1631" s="2">
        <v>45383</v>
      </c>
      <c r="D1631" s="2" t="str">
        <f>TEXT(Table4[[#This Row],[issue_date]],"mmmm")</f>
        <v>April</v>
      </c>
      <c r="E1631" s="9">
        <f>YEAR(Table4[[#This Row],[issue_date]])</f>
        <v>2024</v>
      </c>
      <c r="F1631" t="s">
        <v>19</v>
      </c>
      <c r="G1631">
        <v>43</v>
      </c>
      <c r="H1631" t="s">
        <v>20</v>
      </c>
      <c r="I1631" t="str">
        <f>VLOOKUP(Table4[[#This Row],[customer_id]],customers!A:G,4,)</f>
        <v>chennai</v>
      </c>
    </row>
    <row r="1632" spans="1:9" x14ac:dyDescent="0.3">
      <c r="A1632">
        <v>21631</v>
      </c>
      <c r="B1632">
        <v>14</v>
      </c>
      <c r="C1632" s="2">
        <v>44716</v>
      </c>
      <c r="D1632" s="2" t="str">
        <f>TEXT(Table4[[#This Row],[issue_date]],"mmmm")</f>
        <v>June</v>
      </c>
      <c r="E1632" s="9">
        <f>YEAR(Table4[[#This Row],[issue_date]])</f>
        <v>2022</v>
      </c>
      <c r="F1632" t="s">
        <v>19</v>
      </c>
      <c r="G1632">
        <v>32</v>
      </c>
      <c r="H1632" t="s">
        <v>20</v>
      </c>
      <c r="I1632" t="str">
        <f>VLOOKUP(Table4[[#This Row],[customer_id]],customers!A:G,4,)</f>
        <v>mumbai</v>
      </c>
    </row>
    <row r="1633" spans="1:9" x14ac:dyDescent="0.3">
      <c r="A1633">
        <v>21632</v>
      </c>
      <c r="B1633">
        <v>77</v>
      </c>
      <c r="C1633" s="2">
        <v>44684</v>
      </c>
      <c r="D1633" s="2" t="str">
        <f>TEXT(Table4[[#This Row],[issue_date]],"mmmm")</f>
        <v>May</v>
      </c>
      <c r="E1633" s="9">
        <f>YEAR(Table4[[#This Row],[issue_date]])</f>
        <v>2022</v>
      </c>
      <c r="F1633" t="s">
        <v>22</v>
      </c>
      <c r="G1633">
        <v>17</v>
      </c>
      <c r="H1633" t="s">
        <v>20</v>
      </c>
      <c r="I1633" t="str">
        <f>VLOOKUP(Table4[[#This Row],[customer_id]],customers!A:G,4,)</f>
        <v>delhi</v>
      </c>
    </row>
    <row r="1634" spans="1:9" x14ac:dyDescent="0.3">
      <c r="A1634">
        <v>21633</v>
      </c>
      <c r="B1634">
        <v>339</v>
      </c>
      <c r="C1634" s="2">
        <v>45160</v>
      </c>
      <c r="D1634" s="2" t="str">
        <f>TEXT(Table4[[#This Row],[issue_date]],"mmmm")</f>
        <v>August</v>
      </c>
      <c r="E1634" s="9">
        <f>YEAR(Table4[[#This Row],[issue_date]])</f>
        <v>2023</v>
      </c>
      <c r="F1634" t="s">
        <v>21</v>
      </c>
      <c r="G1634">
        <v>14</v>
      </c>
      <c r="H1634" t="s">
        <v>20</v>
      </c>
      <c r="I1634" t="str">
        <f>VLOOKUP(Table4[[#This Row],[customer_id]],customers!A:G,4,)</f>
        <v>bangalore</v>
      </c>
    </row>
    <row r="1635" spans="1:9" x14ac:dyDescent="0.3">
      <c r="A1635">
        <v>21634</v>
      </c>
      <c r="B1635">
        <v>409</v>
      </c>
      <c r="C1635" s="2">
        <v>44763</v>
      </c>
      <c r="D1635" s="2" t="str">
        <f>TEXT(Table4[[#This Row],[issue_date]],"mmmm")</f>
        <v>July</v>
      </c>
      <c r="E1635" s="9">
        <f>YEAR(Table4[[#This Row],[issue_date]])</f>
        <v>2022</v>
      </c>
      <c r="F1635" t="s">
        <v>19</v>
      </c>
      <c r="G1635">
        <v>32</v>
      </c>
      <c r="H1635" t="s">
        <v>20</v>
      </c>
      <c r="I1635" t="str">
        <f>VLOOKUP(Table4[[#This Row],[customer_id]],customers!A:G,4,)</f>
        <v>kolkata</v>
      </c>
    </row>
    <row r="1636" spans="1:9" x14ac:dyDescent="0.3">
      <c r="A1636">
        <v>21635</v>
      </c>
      <c r="B1636">
        <v>394</v>
      </c>
      <c r="C1636" s="2">
        <v>44601</v>
      </c>
      <c r="D1636" s="2" t="str">
        <f>TEXT(Table4[[#This Row],[issue_date]],"mmmm")</f>
        <v>February</v>
      </c>
      <c r="E1636" s="9">
        <f>YEAR(Table4[[#This Row],[issue_date]])</f>
        <v>2022</v>
      </c>
      <c r="F1636" t="s">
        <v>21</v>
      </c>
      <c r="G1636">
        <v>60</v>
      </c>
      <c r="H1636" t="s">
        <v>20</v>
      </c>
      <c r="I1636" t="str">
        <f>VLOOKUP(Table4[[#This Row],[customer_id]],customers!A:G,4,)</f>
        <v>delhi</v>
      </c>
    </row>
    <row r="1637" spans="1:9" x14ac:dyDescent="0.3">
      <c r="A1637">
        <v>21636</v>
      </c>
      <c r="B1637">
        <v>335</v>
      </c>
      <c r="C1637" s="2">
        <v>44730</v>
      </c>
      <c r="D1637" s="2" t="str">
        <f>TEXT(Table4[[#This Row],[issue_date]],"mmmm")</f>
        <v>June</v>
      </c>
      <c r="E1637" s="9">
        <f>YEAR(Table4[[#This Row],[issue_date]])</f>
        <v>2022</v>
      </c>
      <c r="F1637" t="s">
        <v>22</v>
      </c>
      <c r="G1637">
        <v>60</v>
      </c>
      <c r="H1637" t="s">
        <v>20</v>
      </c>
      <c r="I1637" t="str">
        <f>VLOOKUP(Table4[[#This Row],[customer_id]],customers!A:G,4,)</f>
        <v>kolkata</v>
      </c>
    </row>
    <row r="1638" spans="1:9" x14ac:dyDescent="0.3">
      <c r="A1638">
        <v>21637</v>
      </c>
      <c r="B1638">
        <v>220</v>
      </c>
      <c r="C1638" s="2">
        <v>44631</v>
      </c>
      <c r="D1638" s="2" t="str">
        <f>TEXT(Table4[[#This Row],[issue_date]],"mmmm")</f>
        <v>March</v>
      </c>
      <c r="E1638" s="9">
        <f>YEAR(Table4[[#This Row],[issue_date]])</f>
        <v>2022</v>
      </c>
      <c r="F1638" t="s">
        <v>22</v>
      </c>
      <c r="G1638">
        <v>52</v>
      </c>
      <c r="H1638" t="s">
        <v>20</v>
      </c>
      <c r="I1638" t="str">
        <f>VLOOKUP(Table4[[#This Row],[customer_id]],customers!A:G,4,)</f>
        <v>bangalore</v>
      </c>
    </row>
    <row r="1639" spans="1:9" x14ac:dyDescent="0.3">
      <c r="A1639">
        <v>21638</v>
      </c>
      <c r="B1639">
        <v>232</v>
      </c>
      <c r="C1639" s="2">
        <v>45353</v>
      </c>
      <c r="D1639" s="2" t="str">
        <f>TEXT(Table4[[#This Row],[issue_date]],"mmmm")</f>
        <v>March</v>
      </c>
      <c r="E1639" s="9">
        <f>YEAR(Table4[[#This Row],[issue_date]])</f>
        <v>2024</v>
      </c>
      <c r="F1639" t="s">
        <v>21</v>
      </c>
      <c r="G1639">
        <v>66</v>
      </c>
      <c r="H1639" t="s">
        <v>20</v>
      </c>
      <c r="I1639" t="str">
        <f>VLOOKUP(Table4[[#This Row],[customer_id]],customers!A:G,4,)</f>
        <v>mumbai</v>
      </c>
    </row>
    <row r="1640" spans="1:9" x14ac:dyDescent="0.3">
      <c r="A1640">
        <v>21639</v>
      </c>
      <c r="B1640">
        <v>433</v>
      </c>
      <c r="C1640" s="2">
        <v>44891</v>
      </c>
      <c r="D1640" s="2" t="str">
        <f>TEXT(Table4[[#This Row],[issue_date]],"mmmm")</f>
        <v>November</v>
      </c>
      <c r="E1640" s="9">
        <f>YEAR(Table4[[#This Row],[issue_date]])</f>
        <v>2022</v>
      </c>
      <c r="F1640" t="s">
        <v>22</v>
      </c>
      <c r="G1640">
        <v>4</v>
      </c>
      <c r="H1640" t="s">
        <v>20</v>
      </c>
      <c r="I1640" t="str">
        <f>VLOOKUP(Table4[[#This Row],[customer_id]],customers!A:G,4,)</f>
        <v>chennai</v>
      </c>
    </row>
    <row r="1641" spans="1:9" x14ac:dyDescent="0.3">
      <c r="A1641">
        <v>21640</v>
      </c>
      <c r="B1641">
        <v>294</v>
      </c>
      <c r="C1641" s="2">
        <v>45001</v>
      </c>
      <c r="D1641" s="2" t="str">
        <f>TEXT(Table4[[#This Row],[issue_date]],"mmmm")</f>
        <v>March</v>
      </c>
      <c r="E1641" s="9">
        <f>YEAR(Table4[[#This Row],[issue_date]])</f>
        <v>2023</v>
      </c>
      <c r="F1641" t="s">
        <v>21</v>
      </c>
      <c r="G1641">
        <v>63</v>
      </c>
      <c r="H1641" t="s">
        <v>20</v>
      </c>
      <c r="I1641" t="str">
        <f>VLOOKUP(Table4[[#This Row],[customer_id]],customers!A:G,4,)</f>
        <v>hyderabad</v>
      </c>
    </row>
    <row r="1642" spans="1:9" x14ac:dyDescent="0.3">
      <c r="A1642">
        <v>21641</v>
      </c>
      <c r="B1642">
        <v>455</v>
      </c>
      <c r="C1642" s="2">
        <v>44960</v>
      </c>
      <c r="D1642" s="2" t="str">
        <f>TEXT(Table4[[#This Row],[issue_date]],"mmmm")</f>
        <v>February</v>
      </c>
      <c r="E1642" s="9">
        <f>YEAR(Table4[[#This Row],[issue_date]])</f>
        <v>2023</v>
      </c>
      <c r="F1642" t="s">
        <v>19</v>
      </c>
      <c r="G1642">
        <v>33</v>
      </c>
      <c r="H1642" t="s">
        <v>20</v>
      </c>
      <c r="I1642" t="str">
        <f>VLOOKUP(Table4[[#This Row],[customer_id]],customers!A:G,4,)</f>
        <v>delhi</v>
      </c>
    </row>
    <row r="1643" spans="1:9" x14ac:dyDescent="0.3">
      <c r="A1643">
        <v>21642</v>
      </c>
      <c r="B1643">
        <v>142</v>
      </c>
      <c r="C1643" s="2">
        <v>45054</v>
      </c>
      <c r="D1643" s="2" t="str">
        <f>TEXT(Table4[[#This Row],[issue_date]],"mmmm")</f>
        <v>May</v>
      </c>
      <c r="E1643" s="9">
        <f>YEAR(Table4[[#This Row],[issue_date]])</f>
        <v>2023</v>
      </c>
      <c r="F1643" t="s">
        <v>22</v>
      </c>
      <c r="G1643">
        <v>1</v>
      </c>
      <c r="H1643" t="s">
        <v>23</v>
      </c>
      <c r="I1643" t="str">
        <f>VLOOKUP(Table4[[#This Row],[customer_id]],customers!A:G,4,)</f>
        <v>kolkata</v>
      </c>
    </row>
    <row r="1644" spans="1:9" x14ac:dyDescent="0.3">
      <c r="A1644">
        <v>21643</v>
      </c>
      <c r="B1644">
        <v>251</v>
      </c>
      <c r="C1644" s="2">
        <v>44915</v>
      </c>
      <c r="D1644" s="2" t="str">
        <f>TEXT(Table4[[#This Row],[issue_date]],"mmmm")</f>
        <v>December</v>
      </c>
      <c r="E1644" s="9">
        <f>YEAR(Table4[[#This Row],[issue_date]])</f>
        <v>2022</v>
      </c>
      <c r="F1644" t="s">
        <v>22</v>
      </c>
      <c r="G1644">
        <v>64</v>
      </c>
      <c r="H1644" t="s">
        <v>20</v>
      </c>
      <c r="I1644" t="str">
        <f>VLOOKUP(Table4[[#This Row],[customer_id]],customers!A:G,4,)</f>
        <v>kolkata</v>
      </c>
    </row>
    <row r="1645" spans="1:9" x14ac:dyDescent="0.3">
      <c r="A1645">
        <v>21644</v>
      </c>
      <c r="B1645">
        <v>414</v>
      </c>
      <c r="C1645" s="2">
        <v>44889</v>
      </c>
      <c r="D1645" s="2" t="str">
        <f>TEXT(Table4[[#This Row],[issue_date]],"mmmm")</f>
        <v>November</v>
      </c>
      <c r="E1645" s="9">
        <f>YEAR(Table4[[#This Row],[issue_date]])</f>
        <v>2022</v>
      </c>
      <c r="F1645" t="s">
        <v>21</v>
      </c>
      <c r="G1645">
        <v>37</v>
      </c>
      <c r="H1645" t="s">
        <v>20</v>
      </c>
      <c r="I1645" t="str">
        <f>VLOOKUP(Table4[[#This Row],[customer_id]],customers!A:G,4,)</f>
        <v>delhi</v>
      </c>
    </row>
    <row r="1646" spans="1:9" x14ac:dyDescent="0.3">
      <c r="A1646">
        <v>21645</v>
      </c>
      <c r="B1646">
        <v>296</v>
      </c>
      <c r="C1646" s="2">
        <v>45059</v>
      </c>
      <c r="D1646" s="2" t="str">
        <f>TEXT(Table4[[#This Row],[issue_date]],"mmmm")</f>
        <v>May</v>
      </c>
      <c r="E1646" s="9">
        <f>YEAR(Table4[[#This Row],[issue_date]])</f>
        <v>2023</v>
      </c>
      <c r="F1646" t="s">
        <v>22</v>
      </c>
      <c r="G1646">
        <v>70</v>
      </c>
      <c r="H1646" t="s">
        <v>20</v>
      </c>
      <c r="I1646" t="str">
        <f>VLOOKUP(Table4[[#This Row],[customer_id]],customers!A:G,4,)</f>
        <v>hyderabad</v>
      </c>
    </row>
    <row r="1647" spans="1:9" x14ac:dyDescent="0.3">
      <c r="A1647">
        <v>21646</v>
      </c>
      <c r="B1647">
        <v>140</v>
      </c>
      <c r="C1647" s="2">
        <v>44980</v>
      </c>
      <c r="D1647" s="2" t="str">
        <f>TEXT(Table4[[#This Row],[issue_date]],"mmmm")</f>
        <v>February</v>
      </c>
      <c r="E1647" s="9">
        <f>YEAR(Table4[[#This Row],[issue_date]])</f>
        <v>2023</v>
      </c>
      <c r="F1647" t="s">
        <v>19</v>
      </c>
      <c r="G1647">
        <v>7</v>
      </c>
      <c r="H1647" t="s">
        <v>20</v>
      </c>
      <c r="I1647" t="str">
        <f>VLOOKUP(Table4[[#This Row],[customer_id]],customers!A:G,4,)</f>
        <v>delhi</v>
      </c>
    </row>
    <row r="1648" spans="1:9" x14ac:dyDescent="0.3">
      <c r="A1648">
        <v>21647</v>
      </c>
      <c r="B1648">
        <v>476</v>
      </c>
      <c r="C1648" s="2">
        <v>45064</v>
      </c>
      <c r="D1648" s="2" t="str">
        <f>TEXT(Table4[[#This Row],[issue_date]],"mmmm")</f>
        <v>May</v>
      </c>
      <c r="E1648" s="9">
        <f>YEAR(Table4[[#This Row],[issue_date]])</f>
        <v>2023</v>
      </c>
      <c r="F1648" t="s">
        <v>22</v>
      </c>
      <c r="G1648">
        <v>24</v>
      </c>
      <c r="H1648" t="s">
        <v>20</v>
      </c>
      <c r="I1648" t="str">
        <f>VLOOKUP(Table4[[#This Row],[customer_id]],customers!A:G,4,)</f>
        <v>bangalore</v>
      </c>
    </row>
    <row r="1649" spans="1:9" x14ac:dyDescent="0.3">
      <c r="A1649">
        <v>21648</v>
      </c>
      <c r="B1649">
        <v>498</v>
      </c>
      <c r="C1649" s="2">
        <v>45100</v>
      </c>
      <c r="D1649" s="2" t="str">
        <f>TEXT(Table4[[#This Row],[issue_date]],"mmmm")</f>
        <v>June</v>
      </c>
      <c r="E1649" s="9">
        <f>YEAR(Table4[[#This Row],[issue_date]])</f>
        <v>2023</v>
      </c>
      <c r="F1649" t="s">
        <v>22</v>
      </c>
      <c r="G1649">
        <v>68</v>
      </c>
      <c r="H1649" t="s">
        <v>20</v>
      </c>
      <c r="I1649" t="str">
        <f>VLOOKUP(Table4[[#This Row],[customer_id]],customers!A:G,4,)</f>
        <v>delhi</v>
      </c>
    </row>
    <row r="1650" spans="1:9" x14ac:dyDescent="0.3">
      <c r="A1650">
        <v>21649</v>
      </c>
      <c r="B1650">
        <v>142</v>
      </c>
      <c r="C1650" s="2">
        <v>44906</v>
      </c>
      <c r="D1650" s="2" t="str">
        <f>TEXT(Table4[[#This Row],[issue_date]],"mmmm")</f>
        <v>December</v>
      </c>
      <c r="E1650" s="9">
        <f>YEAR(Table4[[#This Row],[issue_date]])</f>
        <v>2022</v>
      </c>
      <c r="F1650" t="s">
        <v>22</v>
      </c>
      <c r="G1650">
        <v>55</v>
      </c>
      <c r="H1650" t="s">
        <v>20</v>
      </c>
      <c r="I1650" t="str">
        <f>VLOOKUP(Table4[[#This Row],[customer_id]],customers!A:G,4,)</f>
        <v>kolkata</v>
      </c>
    </row>
    <row r="1651" spans="1:9" x14ac:dyDescent="0.3">
      <c r="A1651">
        <v>21650</v>
      </c>
      <c r="B1651">
        <v>129</v>
      </c>
      <c r="C1651" s="2">
        <v>45204</v>
      </c>
      <c r="D1651" s="2" t="str">
        <f>TEXT(Table4[[#This Row],[issue_date]],"mmmm")</f>
        <v>October</v>
      </c>
      <c r="E1651" s="9">
        <f>YEAR(Table4[[#This Row],[issue_date]])</f>
        <v>2023</v>
      </c>
      <c r="F1651" t="s">
        <v>21</v>
      </c>
      <c r="G1651">
        <v>3</v>
      </c>
      <c r="H1651" t="s">
        <v>20</v>
      </c>
      <c r="I1651" t="str">
        <f>VLOOKUP(Table4[[#This Row],[customer_id]],customers!A:G,4,)</f>
        <v>bangalore</v>
      </c>
    </row>
    <row r="1652" spans="1:9" x14ac:dyDescent="0.3">
      <c r="A1652">
        <v>21651</v>
      </c>
      <c r="B1652">
        <v>324</v>
      </c>
      <c r="C1652" s="2">
        <v>45350</v>
      </c>
      <c r="D1652" s="2" t="str">
        <f>TEXT(Table4[[#This Row],[issue_date]],"mmmm")</f>
        <v>February</v>
      </c>
      <c r="E1652" s="9">
        <f>YEAR(Table4[[#This Row],[issue_date]])</f>
        <v>2024</v>
      </c>
      <c r="F1652" t="s">
        <v>19</v>
      </c>
      <c r="G1652">
        <v>23</v>
      </c>
      <c r="H1652" t="s">
        <v>23</v>
      </c>
      <c r="I1652" t="str">
        <f>VLOOKUP(Table4[[#This Row],[customer_id]],customers!A:G,4,)</f>
        <v>delhi</v>
      </c>
    </row>
    <row r="1653" spans="1:9" x14ac:dyDescent="0.3">
      <c r="A1653">
        <v>21652</v>
      </c>
      <c r="B1653">
        <v>305</v>
      </c>
      <c r="C1653" s="2">
        <v>44938</v>
      </c>
      <c r="D1653" s="2" t="str">
        <f>TEXT(Table4[[#This Row],[issue_date]],"mmmm")</f>
        <v>January</v>
      </c>
      <c r="E1653" s="9">
        <f>YEAR(Table4[[#This Row],[issue_date]])</f>
        <v>2023</v>
      </c>
      <c r="F1653" t="s">
        <v>19</v>
      </c>
      <c r="G1653">
        <v>36</v>
      </c>
      <c r="H1653" t="s">
        <v>20</v>
      </c>
      <c r="I1653" t="str">
        <f>VLOOKUP(Table4[[#This Row],[customer_id]],customers!A:G,4,)</f>
        <v>chennai</v>
      </c>
    </row>
    <row r="1654" spans="1:9" x14ac:dyDescent="0.3">
      <c r="A1654">
        <v>21653</v>
      </c>
      <c r="B1654">
        <v>18</v>
      </c>
      <c r="C1654" s="2">
        <v>44856</v>
      </c>
      <c r="D1654" s="2" t="str">
        <f>TEXT(Table4[[#This Row],[issue_date]],"mmmm")</f>
        <v>October</v>
      </c>
      <c r="E1654" s="9">
        <f>YEAR(Table4[[#This Row],[issue_date]])</f>
        <v>2022</v>
      </c>
      <c r="F1654" t="s">
        <v>22</v>
      </c>
      <c r="G1654">
        <v>57</v>
      </c>
      <c r="H1654" t="s">
        <v>20</v>
      </c>
      <c r="I1654" t="str">
        <f>VLOOKUP(Table4[[#This Row],[customer_id]],customers!A:G,4,)</f>
        <v>delhi</v>
      </c>
    </row>
    <row r="1655" spans="1:9" x14ac:dyDescent="0.3">
      <c r="A1655">
        <v>21654</v>
      </c>
      <c r="B1655">
        <v>243</v>
      </c>
      <c r="C1655" s="2">
        <v>44849</v>
      </c>
      <c r="D1655" s="2" t="str">
        <f>TEXT(Table4[[#This Row],[issue_date]],"mmmm")</f>
        <v>October</v>
      </c>
      <c r="E1655" s="9">
        <f>YEAR(Table4[[#This Row],[issue_date]])</f>
        <v>2022</v>
      </c>
      <c r="F1655" t="s">
        <v>22</v>
      </c>
      <c r="G1655">
        <v>48</v>
      </c>
      <c r="H1655" t="s">
        <v>20</v>
      </c>
      <c r="I1655" t="str">
        <f>VLOOKUP(Table4[[#This Row],[customer_id]],customers!A:G,4,)</f>
        <v>hyderabad</v>
      </c>
    </row>
    <row r="1656" spans="1:9" x14ac:dyDescent="0.3">
      <c r="A1656">
        <v>21655</v>
      </c>
      <c r="B1656">
        <v>164</v>
      </c>
      <c r="C1656" s="2">
        <v>44815</v>
      </c>
      <c r="D1656" s="2" t="str">
        <f>TEXT(Table4[[#This Row],[issue_date]],"mmmm")</f>
        <v>September</v>
      </c>
      <c r="E1656" s="9">
        <f>YEAR(Table4[[#This Row],[issue_date]])</f>
        <v>2022</v>
      </c>
      <c r="F1656" t="s">
        <v>21</v>
      </c>
      <c r="G1656">
        <v>13</v>
      </c>
      <c r="H1656" t="s">
        <v>20</v>
      </c>
      <c r="I1656" t="str">
        <f>VLOOKUP(Table4[[#This Row],[customer_id]],customers!A:G,4,)</f>
        <v>chennai</v>
      </c>
    </row>
    <row r="1657" spans="1:9" x14ac:dyDescent="0.3">
      <c r="A1657">
        <v>21656</v>
      </c>
      <c r="B1657">
        <v>320</v>
      </c>
      <c r="C1657" s="2">
        <v>44995</v>
      </c>
      <c r="D1657" s="2" t="str">
        <f>TEXT(Table4[[#This Row],[issue_date]],"mmmm")</f>
        <v>March</v>
      </c>
      <c r="E1657" s="9">
        <f>YEAR(Table4[[#This Row],[issue_date]])</f>
        <v>2023</v>
      </c>
      <c r="F1657" t="s">
        <v>19</v>
      </c>
      <c r="G1657">
        <v>61</v>
      </c>
      <c r="H1657" t="s">
        <v>20</v>
      </c>
      <c r="I1657" t="str">
        <f>VLOOKUP(Table4[[#This Row],[customer_id]],customers!A:G,4,)</f>
        <v>hyderabad</v>
      </c>
    </row>
    <row r="1658" spans="1:9" x14ac:dyDescent="0.3">
      <c r="A1658">
        <v>21657</v>
      </c>
      <c r="B1658">
        <v>96</v>
      </c>
      <c r="C1658" s="2">
        <v>45062</v>
      </c>
      <c r="D1658" s="2" t="str">
        <f>TEXT(Table4[[#This Row],[issue_date]],"mmmm")</f>
        <v>May</v>
      </c>
      <c r="E1658" s="9">
        <f>YEAR(Table4[[#This Row],[issue_date]])</f>
        <v>2023</v>
      </c>
      <c r="F1658" t="s">
        <v>22</v>
      </c>
      <c r="G1658">
        <v>24</v>
      </c>
      <c r="H1658" t="s">
        <v>20</v>
      </c>
      <c r="I1658" t="str">
        <f>VLOOKUP(Table4[[#This Row],[customer_id]],customers!A:G,4,)</f>
        <v>hyderabad</v>
      </c>
    </row>
    <row r="1659" spans="1:9" x14ac:dyDescent="0.3">
      <c r="A1659">
        <v>21658</v>
      </c>
      <c r="B1659">
        <v>28</v>
      </c>
      <c r="C1659" s="2">
        <v>44646</v>
      </c>
      <c r="D1659" s="2" t="str">
        <f>TEXT(Table4[[#This Row],[issue_date]],"mmmm")</f>
        <v>March</v>
      </c>
      <c r="E1659" s="9">
        <f>YEAR(Table4[[#This Row],[issue_date]])</f>
        <v>2022</v>
      </c>
      <c r="F1659" t="s">
        <v>19</v>
      </c>
      <c r="G1659">
        <v>43</v>
      </c>
      <c r="H1659" t="s">
        <v>20</v>
      </c>
      <c r="I1659" t="str">
        <f>VLOOKUP(Table4[[#This Row],[customer_id]],customers!A:G,4,)</f>
        <v>delhi</v>
      </c>
    </row>
    <row r="1660" spans="1:9" x14ac:dyDescent="0.3">
      <c r="A1660">
        <v>21659</v>
      </c>
      <c r="B1660">
        <v>476</v>
      </c>
      <c r="C1660" s="2">
        <v>45082</v>
      </c>
      <c r="D1660" s="2" t="str">
        <f>TEXT(Table4[[#This Row],[issue_date]],"mmmm")</f>
        <v>June</v>
      </c>
      <c r="E1660" s="9">
        <f>YEAR(Table4[[#This Row],[issue_date]])</f>
        <v>2023</v>
      </c>
      <c r="F1660" t="s">
        <v>22</v>
      </c>
      <c r="G1660">
        <v>33</v>
      </c>
      <c r="H1660" t="s">
        <v>20</v>
      </c>
      <c r="I1660" t="str">
        <f>VLOOKUP(Table4[[#This Row],[customer_id]],customers!A:G,4,)</f>
        <v>bangalore</v>
      </c>
    </row>
    <row r="1661" spans="1:9" x14ac:dyDescent="0.3">
      <c r="A1661">
        <v>21660</v>
      </c>
      <c r="B1661">
        <v>230</v>
      </c>
      <c r="C1661" s="2">
        <v>45123</v>
      </c>
      <c r="D1661" s="2" t="str">
        <f>TEXT(Table4[[#This Row],[issue_date]],"mmmm")</f>
        <v>July</v>
      </c>
      <c r="E1661" s="9">
        <f>YEAR(Table4[[#This Row],[issue_date]])</f>
        <v>2023</v>
      </c>
      <c r="F1661" t="s">
        <v>22</v>
      </c>
      <c r="G1661">
        <v>24</v>
      </c>
      <c r="H1661" t="s">
        <v>20</v>
      </c>
      <c r="I1661" t="str">
        <f>VLOOKUP(Table4[[#This Row],[customer_id]],customers!A:G,4,)</f>
        <v>chennai</v>
      </c>
    </row>
    <row r="1662" spans="1:9" x14ac:dyDescent="0.3">
      <c r="A1662">
        <v>21661</v>
      </c>
      <c r="B1662">
        <v>416</v>
      </c>
      <c r="C1662" s="2">
        <v>45074</v>
      </c>
      <c r="D1662" s="2" t="str">
        <f>TEXT(Table4[[#This Row],[issue_date]],"mmmm")</f>
        <v>May</v>
      </c>
      <c r="E1662" s="9">
        <f>YEAR(Table4[[#This Row],[issue_date]])</f>
        <v>2023</v>
      </c>
      <c r="F1662" t="s">
        <v>21</v>
      </c>
      <c r="G1662">
        <v>22</v>
      </c>
      <c r="H1662" t="s">
        <v>20</v>
      </c>
      <c r="I1662" t="str">
        <f>VLOOKUP(Table4[[#This Row],[customer_id]],customers!A:G,4,)</f>
        <v>bangalore</v>
      </c>
    </row>
    <row r="1663" spans="1:9" x14ac:dyDescent="0.3">
      <c r="A1663">
        <v>21662</v>
      </c>
      <c r="B1663">
        <v>456</v>
      </c>
      <c r="C1663" s="2">
        <v>45077</v>
      </c>
      <c r="D1663" s="2" t="str">
        <f>TEXT(Table4[[#This Row],[issue_date]],"mmmm")</f>
        <v>May</v>
      </c>
      <c r="E1663" s="9">
        <f>YEAR(Table4[[#This Row],[issue_date]])</f>
        <v>2023</v>
      </c>
      <c r="F1663" t="s">
        <v>19</v>
      </c>
      <c r="G1663">
        <v>52</v>
      </c>
      <c r="H1663" t="s">
        <v>20</v>
      </c>
      <c r="I1663" t="str">
        <f>VLOOKUP(Table4[[#This Row],[customer_id]],customers!A:G,4,)</f>
        <v>kolkata</v>
      </c>
    </row>
    <row r="1664" spans="1:9" x14ac:dyDescent="0.3">
      <c r="A1664">
        <v>21663</v>
      </c>
      <c r="B1664">
        <v>25</v>
      </c>
      <c r="C1664" s="2">
        <v>45077</v>
      </c>
      <c r="D1664" s="2" t="str">
        <f>TEXT(Table4[[#This Row],[issue_date]],"mmmm")</f>
        <v>May</v>
      </c>
      <c r="E1664" s="9">
        <f>YEAR(Table4[[#This Row],[issue_date]])</f>
        <v>2023</v>
      </c>
      <c r="F1664" t="s">
        <v>19</v>
      </c>
      <c r="G1664">
        <v>6</v>
      </c>
      <c r="H1664" t="s">
        <v>20</v>
      </c>
      <c r="I1664" t="str">
        <f>VLOOKUP(Table4[[#This Row],[customer_id]],customers!A:G,4,)</f>
        <v>delhi</v>
      </c>
    </row>
    <row r="1665" spans="1:9" x14ac:dyDescent="0.3">
      <c r="A1665">
        <v>21664</v>
      </c>
      <c r="B1665">
        <v>175</v>
      </c>
      <c r="C1665" s="2">
        <v>45058</v>
      </c>
      <c r="D1665" s="2" t="str">
        <f>TEXT(Table4[[#This Row],[issue_date]],"mmmm")</f>
        <v>May</v>
      </c>
      <c r="E1665" s="9">
        <f>YEAR(Table4[[#This Row],[issue_date]])</f>
        <v>2023</v>
      </c>
      <c r="F1665" t="s">
        <v>22</v>
      </c>
      <c r="G1665">
        <v>19</v>
      </c>
      <c r="H1665" t="s">
        <v>20</v>
      </c>
      <c r="I1665" t="str">
        <f>VLOOKUP(Table4[[#This Row],[customer_id]],customers!A:G,4,)</f>
        <v>kolkata</v>
      </c>
    </row>
    <row r="1666" spans="1:9" x14ac:dyDescent="0.3">
      <c r="A1666">
        <v>21665</v>
      </c>
      <c r="B1666">
        <v>404</v>
      </c>
      <c r="C1666" s="2">
        <v>45163</v>
      </c>
      <c r="D1666" s="2" t="str">
        <f>TEXT(Table4[[#This Row],[issue_date]],"mmmm")</f>
        <v>August</v>
      </c>
      <c r="E1666" s="9">
        <f>YEAR(Table4[[#This Row],[issue_date]])</f>
        <v>2023</v>
      </c>
      <c r="F1666" t="s">
        <v>22</v>
      </c>
      <c r="G1666">
        <v>29</v>
      </c>
      <c r="H1666" t="s">
        <v>20</v>
      </c>
      <c r="I1666" t="str">
        <f>VLOOKUP(Table4[[#This Row],[customer_id]],customers!A:G,4,)</f>
        <v>hyderabad</v>
      </c>
    </row>
    <row r="1667" spans="1:9" x14ac:dyDescent="0.3">
      <c r="A1667">
        <v>21666</v>
      </c>
      <c r="B1667">
        <v>161</v>
      </c>
      <c r="C1667" s="2">
        <v>44723</v>
      </c>
      <c r="D1667" s="2" t="str">
        <f>TEXT(Table4[[#This Row],[issue_date]],"mmmm")</f>
        <v>June</v>
      </c>
      <c r="E1667" s="9">
        <f>YEAR(Table4[[#This Row],[issue_date]])</f>
        <v>2022</v>
      </c>
      <c r="F1667" t="s">
        <v>21</v>
      </c>
      <c r="G1667">
        <v>64</v>
      </c>
      <c r="H1667" t="s">
        <v>20</v>
      </c>
      <c r="I1667" t="str">
        <f>VLOOKUP(Table4[[#This Row],[customer_id]],customers!A:G,4,)</f>
        <v>bangalore</v>
      </c>
    </row>
    <row r="1668" spans="1:9" x14ac:dyDescent="0.3">
      <c r="A1668">
        <v>21667</v>
      </c>
      <c r="B1668">
        <v>30</v>
      </c>
      <c r="C1668" s="2">
        <v>45228</v>
      </c>
      <c r="D1668" s="2" t="str">
        <f>TEXT(Table4[[#This Row],[issue_date]],"mmmm")</f>
        <v>October</v>
      </c>
      <c r="E1668" s="9">
        <f>YEAR(Table4[[#This Row],[issue_date]])</f>
        <v>2023</v>
      </c>
      <c r="F1668" t="s">
        <v>22</v>
      </c>
      <c r="G1668">
        <v>14</v>
      </c>
      <c r="H1668" t="s">
        <v>20</v>
      </c>
      <c r="I1668" t="str">
        <f>VLOOKUP(Table4[[#This Row],[customer_id]],customers!A:G,4,)</f>
        <v>hyderabad</v>
      </c>
    </row>
    <row r="1669" spans="1:9" x14ac:dyDescent="0.3">
      <c r="A1669">
        <v>21668</v>
      </c>
      <c r="B1669">
        <v>165</v>
      </c>
      <c r="C1669" s="2">
        <v>45088</v>
      </c>
      <c r="D1669" s="2" t="str">
        <f>TEXT(Table4[[#This Row],[issue_date]],"mmmm")</f>
        <v>June</v>
      </c>
      <c r="E1669" s="9">
        <f>YEAR(Table4[[#This Row],[issue_date]])</f>
        <v>2023</v>
      </c>
      <c r="F1669" t="s">
        <v>19</v>
      </c>
      <c r="G1669">
        <v>30</v>
      </c>
      <c r="H1669" t="s">
        <v>20</v>
      </c>
      <c r="I1669" t="str">
        <f>VLOOKUP(Table4[[#This Row],[customer_id]],customers!A:G,4,)</f>
        <v>mumbai</v>
      </c>
    </row>
    <row r="1670" spans="1:9" x14ac:dyDescent="0.3">
      <c r="A1670">
        <v>21669</v>
      </c>
      <c r="B1670">
        <v>208</v>
      </c>
      <c r="C1670" s="2">
        <v>44926</v>
      </c>
      <c r="D1670" s="2" t="str">
        <f>TEXT(Table4[[#This Row],[issue_date]],"mmmm")</f>
        <v>December</v>
      </c>
      <c r="E1670" s="9">
        <f>YEAR(Table4[[#This Row],[issue_date]])</f>
        <v>2022</v>
      </c>
      <c r="F1670" t="s">
        <v>21</v>
      </c>
      <c r="G1670">
        <v>71</v>
      </c>
      <c r="H1670" t="s">
        <v>20</v>
      </c>
      <c r="I1670" t="str">
        <f>VLOOKUP(Table4[[#This Row],[customer_id]],customers!A:G,4,)</f>
        <v>hyderabad</v>
      </c>
    </row>
    <row r="1671" spans="1:9" x14ac:dyDescent="0.3">
      <c r="A1671">
        <v>21670</v>
      </c>
      <c r="B1671">
        <v>437</v>
      </c>
      <c r="C1671" s="2">
        <v>45105</v>
      </c>
      <c r="D1671" s="2" t="str">
        <f>TEXT(Table4[[#This Row],[issue_date]],"mmmm")</f>
        <v>June</v>
      </c>
      <c r="E1671" s="9">
        <f>YEAR(Table4[[#This Row],[issue_date]])</f>
        <v>2023</v>
      </c>
      <c r="F1671" t="s">
        <v>19</v>
      </c>
      <c r="G1671">
        <v>21</v>
      </c>
      <c r="H1671" t="s">
        <v>20</v>
      </c>
      <c r="I1671" t="str">
        <f>VLOOKUP(Table4[[#This Row],[customer_id]],customers!A:G,4,)</f>
        <v>hyderabad</v>
      </c>
    </row>
    <row r="1672" spans="1:9" x14ac:dyDescent="0.3">
      <c r="A1672">
        <v>21671</v>
      </c>
      <c r="B1672">
        <v>473</v>
      </c>
      <c r="C1672" s="2">
        <v>44986</v>
      </c>
      <c r="D1672" s="2" t="str">
        <f>TEXT(Table4[[#This Row],[issue_date]],"mmmm")</f>
        <v>March</v>
      </c>
      <c r="E1672" s="9">
        <f>YEAR(Table4[[#This Row],[issue_date]])</f>
        <v>2023</v>
      </c>
      <c r="F1672" t="s">
        <v>21</v>
      </c>
      <c r="G1672">
        <v>65</v>
      </c>
      <c r="H1672" t="s">
        <v>20</v>
      </c>
      <c r="I1672" t="str">
        <f>VLOOKUP(Table4[[#This Row],[customer_id]],customers!A:G,4,)</f>
        <v>delhi</v>
      </c>
    </row>
    <row r="1673" spans="1:9" x14ac:dyDescent="0.3">
      <c r="A1673">
        <v>21672</v>
      </c>
      <c r="B1673">
        <v>102</v>
      </c>
      <c r="C1673" s="2">
        <v>45136</v>
      </c>
      <c r="D1673" s="2" t="str">
        <f>TEXT(Table4[[#This Row],[issue_date]],"mmmm")</f>
        <v>July</v>
      </c>
      <c r="E1673" s="9">
        <f>YEAR(Table4[[#This Row],[issue_date]])</f>
        <v>2023</v>
      </c>
      <c r="F1673" t="s">
        <v>19</v>
      </c>
      <c r="G1673">
        <v>4</v>
      </c>
      <c r="H1673" t="s">
        <v>20</v>
      </c>
      <c r="I1673" t="str">
        <f>VLOOKUP(Table4[[#This Row],[customer_id]],customers!A:G,4,)</f>
        <v>delhi</v>
      </c>
    </row>
    <row r="1674" spans="1:9" x14ac:dyDescent="0.3">
      <c r="A1674">
        <v>21673</v>
      </c>
      <c r="B1674">
        <v>373</v>
      </c>
      <c r="C1674" s="2">
        <v>44925</v>
      </c>
      <c r="D1674" s="2" t="str">
        <f>TEXT(Table4[[#This Row],[issue_date]],"mmmm")</f>
        <v>December</v>
      </c>
      <c r="E1674" s="9">
        <f>YEAR(Table4[[#This Row],[issue_date]])</f>
        <v>2022</v>
      </c>
      <c r="F1674" t="s">
        <v>22</v>
      </c>
      <c r="G1674">
        <v>46</v>
      </c>
      <c r="H1674" t="s">
        <v>20</v>
      </c>
      <c r="I1674" t="str">
        <f>VLOOKUP(Table4[[#This Row],[customer_id]],customers!A:G,4,)</f>
        <v>bangalore</v>
      </c>
    </row>
    <row r="1675" spans="1:9" x14ac:dyDescent="0.3">
      <c r="A1675">
        <v>21674</v>
      </c>
      <c r="B1675">
        <v>106</v>
      </c>
      <c r="C1675" s="2">
        <v>44669</v>
      </c>
      <c r="D1675" s="2" t="str">
        <f>TEXT(Table4[[#This Row],[issue_date]],"mmmm")</f>
        <v>April</v>
      </c>
      <c r="E1675" s="9">
        <f>YEAR(Table4[[#This Row],[issue_date]])</f>
        <v>2022</v>
      </c>
      <c r="F1675" t="s">
        <v>19</v>
      </c>
      <c r="G1675">
        <v>8</v>
      </c>
      <c r="H1675" t="s">
        <v>20</v>
      </c>
      <c r="I1675" t="str">
        <f>VLOOKUP(Table4[[#This Row],[customer_id]],customers!A:G,4,)</f>
        <v>bangalore</v>
      </c>
    </row>
    <row r="1676" spans="1:9" x14ac:dyDescent="0.3">
      <c r="A1676">
        <v>21675</v>
      </c>
      <c r="B1676">
        <v>330</v>
      </c>
      <c r="C1676" s="2">
        <v>44575</v>
      </c>
      <c r="D1676" s="2" t="str">
        <f>TEXT(Table4[[#This Row],[issue_date]],"mmmm")</f>
        <v>January</v>
      </c>
      <c r="E1676" s="9">
        <f>YEAR(Table4[[#This Row],[issue_date]])</f>
        <v>2022</v>
      </c>
      <c r="F1676" t="s">
        <v>19</v>
      </c>
      <c r="G1676">
        <v>18</v>
      </c>
      <c r="H1676" t="s">
        <v>20</v>
      </c>
      <c r="I1676" t="str">
        <f>VLOOKUP(Table4[[#This Row],[customer_id]],customers!A:G,4,)</f>
        <v>mumbai</v>
      </c>
    </row>
    <row r="1677" spans="1:9" x14ac:dyDescent="0.3">
      <c r="A1677">
        <v>21676</v>
      </c>
      <c r="B1677">
        <v>69</v>
      </c>
      <c r="C1677" s="2">
        <v>44584</v>
      </c>
      <c r="D1677" s="2" t="str">
        <f>TEXT(Table4[[#This Row],[issue_date]],"mmmm")</f>
        <v>January</v>
      </c>
      <c r="E1677" s="9">
        <f>YEAR(Table4[[#This Row],[issue_date]])</f>
        <v>2022</v>
      </c>
      <c r="F1677" t="s">
        <v>21</v>
      </c>
      <c r="G1677">
        <v>60</v>
      </c>
      <c r="H1677" t="s">
        <v>20</v>
      </c>
      <c r="I1677" t="str">
        <f>VLOOKUP(Table4[[#This Row],[customer_id]],customers!A:G,4,)</f>
        <v>mumbai</v>
      </c>
    </row>
    <row r="1678" spans="1:9" x14ac:dyDescent="0.3">
      <c r="A1678">
        <v>21677</v>
      </c>
      <c r="B1678">
        <v>8</v>
      </c>
      <c r="C1678" s="2">
        <v>45184</v>
      </c>
      <c r="D1678" s="2" t="str">
        <f>TEXT(Table4[[#This Row],[issue_date]],"mmmm")</f>
        <v>September</v>
      </c>
      <c r="E1678" s="9">
        <f>YEAR(Table4[[#This Row],[issue_date]])</f>
        <v>2023</v>
      </c>
      <c r="F1678" t="s">
        <v>19</v>
      </c>
      <c r="G1678">
        <v>45</v>
      </c>
      <c r="H1678" t="s">
        <v>20</v>
      </c>
      <c r="I1678" t="str">
        <f>VLOOKUP(Table4[[#This Row],[customer_id]],customers!A:G,4,)</f>
        <v>mumbai</v>
      </c>
    </row>
    <row r="1679" spans="1:9" x14ac:dyDescent="0.3">
      <c r="A1679">
        <v>21678</v>
      </c>
      <c r="B1679">
        <v>123</v>
      </c>
      <c r="C1679" s="2">
        <v>44882</v>
      </c>
      <c r="D1679" s="2" t="str">
        <f>TEXT(Table4[[#This Row],[issue_date]],"mmmm")</f>
        <v>November</v>
      </c>
      <c r="E1679" s="9">
        <f>YEAR(Table4[[#This Row],[issue_date]])</f>
        <v>2022</v>
      </c>
      <c r="F1679" t="s">
        <v>22</v>
      </c>
      <c r="G1679">
        <v>31</v>
      </c>
      <c r="H1679" t="s">
        <v>20</v>
      </c>
      <c r="I1679" t="str">
        <f>VLOOKUP(Table4[[#This Row],[customer_id]],customers!A:G,4,)</f>
        <v>bangalore</v>
      </c>
    </row>
    <row r="1680" spans="1:9" x14ac:dyDescent="0.3">
      <c r="A1680">
        <v>21679</v>
      </c>
      <c r="B1680">
        <v>353</v>
      </c>
      <c r="C1680" s="2">
        <v>45071</v>
      </c>
      <c r="D1680" s="2" t="str">
        <f>TEXT(Table4[[#This Row],[issue_date]],"mmmm")</f>
        <v>May</v>
      </c>
      <c r="E1680" s="9">
        <f>YEAR(Table4[[#This Row],[issue_date]])</f>
        <v>2023</v>
      </c>
      <c r="F1680" t="s">
        <v>21</v>
      </c>
      <c r="G1680">
        <v>28</v>
      </c>
      <c r="H1680" t="s">
        <v>20</v>
      </c>
      <c r="I1680" t="str">
        <f>VLOOKUP(Table4[[#This Row],[customer_id]],customers!A:G,4,)</f>
        <v>delhi</v>
      </c>
    </row>
    <row r="1681" spans="1:9" x14ac:dyDescent="0.3">
      <c r="A1681">
        <v>21680</v>
      </c>
      <c r="B1681">
        <v>101</v>
      </c>
      <c r="C1681" s="2">
        <v>45233</v>
      </c>
      <c r="D1681" s="2" t="str">
        <f>TEXT(Table4[[#This Row],[issue_date]],"mmmm")</f>
        <v>November</v>
      </c>
      <c r="E1681" s="9">
        <f>YEAR(Table4[[#This Row],[issue_date]])</f>
        <v>2023</v>
      </c>
      <c r="F1681" t="s">
        <v>21</v>
      </c>
      <c r="G1681">
        <v>64</v>
      </c>
      <c r="H1681" t="s">
        <v>20</v>
      </c>
      <c r="I1681" t="str">
        <f>VLOOKUP(Table4[[#This Row],[customer_id]],customers!A:G,4,)</f>
        <v>mumbai</v>
      </c>
    </row>
    <row r="1682" spans="1:9" x14ac:dyDescent="0.3">
      <c r="A1682">
        <v>21681</v>
      </c>
      <c r="B1682">
        <v>1</v>
      </c>
      <c r="C1682" s="2">
        <v>44602</v>
      </c>
      <c r="D1682" s="2" t="str">
        <f>TEXT(Table4[[#This Row],[issue_date]],"mmmm")</f>
        <v>February</v>
      </c>
      <c r="E1682" s="9">
        <f>YEAR(Table4[[#This Row],[issue_date]])</f>
        <v>2022</v>
      </c>
      <c r="F1682" t="s">
        <v>19</v>
      </c>
      <c r="G1682">
        <v>37</v>
      </c>
      <c r="H1682" t="s">
        <v>20</v>
      </c>
      <c r="I1682" t="str">
        <f>VLOOKUP(Table4[[#This Row],[customer_id]],customers!A:G,4,)</f>
        <v>kolkata</v>
      </c>
    </row>
    <row r="1683" spans="1:9" x14ac:dyDescent="0.3">
      <c r="A1683">
        <v>21682</v>
      </c>
      <c r="B1683">
        <v>351</v>
      </c>
      <c r="C1683" s="2">
        <v>45355</v>
      </c>
      <c r="D1683" s="2" t="str">
        <f>TEXT(Table4[[#This Row],[issue_date]],"mmmm")</f>
        <v>March</v>
      </c>
      <c r="E1683" s="9">
        <f>YEAR(Table4[[#This Row],[issue_date]])</f>
        <v>2024</v>
      </c>
      <c r="F1683" t="s">
        <v>21</v>
      </c>
      <c r="G1683">
        <v>67</v>
      </c>
      <c r="H1683" t="s">
        <v>20</v>
      </c>
      <c r="I1683" t="str">
        <f>VLOOKUP(Table4[[#This Row],[customer_id]],customers!A:G,4,)</f>
        <v>bangalore</v>
      </c>
    </row>
    <row r="1684" spans="1:9" x14ac:dyDescent="0.3">
      <c r="A1684">
        <v>21683</v>
      </c>
      <c r="B1684">
        <v>7</v>
      </c>
      <c r="C1684" s="2">
        <v>44865</v>
      </c>
      <c r="D1684" s="2" t="str">
        <f>TEXT(Table4[[#This Row],[issue_date]],"mmmm")</f>
        <v>October</v>
      </c>
      <c r="E1684" s="9">
        <f>YEAR(Table4[[#This Row],[issue_date]])</f>
        <v>2022</v>
      </c>
      <c r="F1684" t="s">
        <v>22</v>
      </c>
      <c r="G1684">
        <v>68</v>
      </c>
      <c r="H1684" t="s">
        <v>23</v>
      </c>
      <c r="I1684" t="str">
        <f>VLOOKUP(Table4[[#This Row],[customer_id]],customers!A:G,4,)</f>
        <v>bangalore</v>
      </c>
    </row>
    <row r="1685" spans="1:9" x14ac:dyDescent="0.3">
      <c r="A1685">
        <v>21684</v>
      </c>
      <c r="B1685">
        <v>318</v>
      </c>
      <c r="C1685" s="2">
        <v>45217</v>
      </c>
      <c r="D1685" s="2" t="str">
        <f>TEXT(Table4[[#This Row],[issue_date]],"mmmm")</f>
        <v>October</v>
      </c>
      <c r="E1685" s="9">
        <f>YEAR(Table4[[#This Row],[issue_date]])</f>
        <v>2023</v>
      </c>
      <c r="F1685" t="s">
        <v>19</v>
      </c>
      <c r="G1685">
        <v>35</v>
      </c>
      <c r="H1685" t="s">
        <v>20</v>
      </c>
      <c r="I1685" t="str">
        <f>VLOOKUP(Table4[[#This Row],[customer_id]],customers!A:G,4,)</f>
        <v>delhi</v>
      </c>
    </row>
    <row r="1686" spans="1:9" x14ac:dyDescent="0.3">
      <c r="A1686">
        <v>21685</v>
      </c>
      <c r="B1686">
        <v>111</v>
      </c>
      <c r="C1686" s="2">
        <v>44976</v>
      </c>
      <c r="D1686" s="2" t="str">
        <f>TEXT(Table4[[#This Row],[issue_date]],"mmmm")</f>
        <v>February</v>
      </c>
      <c r="E1686" s="9">
        <f>YEAR(Table4[[#This Row],[issue_date]])</f>
        <v>2023</v>
      </c>
      <c r="F1686" t="s">
        <v>22</v>
      </c>
      <c r="G1686">
        <v>36</v>
      </c>
      <c r="H1686" t="s">
        <v>20</v>
      </c>
      <c r="I1686" t="str">
        <f>VLOOKUP(Table4[[#This Row],[customer_id]],customers!A:G,4,)</f>
        <v>mumbai</v>
      </c>
    </row>
    <row r="1687" spans="1:9" x14ac:dyDescent="0.3">
      <c r="A1687">
        <v>21686</v>
      </c>
      <c r="B1687">
        <v>343</v>
      </c>
      <c r="C1687" s="2">
        <v>45011</v>
      </c>
      <c r="D1687" s="2" t="str">
        <f>TEXT(Table4[[#This Row],[issue_date]],"mmmm")</f>
        <v>March</v>
      </c>
      <c r="E1687" s="9">
        <f>YEAR(Table4[[#This Row],[issue_date]])</f>
        <v>2023</v>
      </c>
      <c r="F1687" t="s">
        <v>19</v>
      </c>
      <c r="G1687">
        <v>57</v>
      </c>
      <c r="H1687" t="s">
        <v>20</v>
      </c>
      <c r="I1687" t="str">
        <f>VLOOKUP(Table4[[#This Row],[customer_id]],customers!A:G,4,)</f>
        <v>delhi</v>
      </c>
    </row>
    <row r="1688" spans="1:9" x14ac:dyDescent="0.3">
      <c r="A1688">
        <v>21687</v>
      </c>
      <c r="B1688">
        <v>186</v>
      </c>
      <c r="C1688" s="2">
        <v>45361</v>
      </c>
      <c r="D1688" s="2" t="str">
        <f>TEXT(Table4[[#This Row],[issue_date]],"mmmm")</f>
        <v>March</v>
      </c>
      <c r="E1688" s="9">
        <f>YEAR(Table4[[#This Row],[issue_date]])</f>
        <v>2024</v>
      </c>
      <c r="F1688" t="s">
        <v>19</v>
      </c>
      <c r="G1688">
        <v>70</v>
      </c>
      <c r="H1688" t="s">
        <v>20</v>
      </c>
      <c r="I1688" t="str">
        <f>VLOOKUP(Table4[[#This Row],[customer_id]],customers!A:G,4,)</f>
        <v>hyderabad</v>
      </c>
    </row>
    <row r="1689" spans="1:9" x14ac:dyDescent="0.3">
      <c r="A1689">
        <v>21688</v>
      </c>
      <c r="B1689">
        <v>216</v>
      </c>
      <c r="C1689" s="2">
        <v>44955</v>
      </c>
      <c r="D1689" s="2" t="str">
        <f>TEXT(Table4[[#This Row],[issue_date]],"mmmm")</f>
        <v>January</v>
      </c>
      <c r="E1689" s="9">
        <f>YEAR(Table4[[#This Row],[issue_date]])</f>
        <v>2023</v>
      </c>
      <c r="F1689" t="s">
        <v>21</v>
      </c>
      <c r="G1689">
        <v>4</v>
      </c>
      <c r="H1689" t="s">
        <v>20</v>
      </c>
      <c r="I1689" t="str">
        <f>VLOOKUP(Table4[[#This Row],[customer_id]],customers!A:G,4,)</f>
        <v>chennai</v>
      </c>
    </row>
    <row r="1690" spans="1:9" x14ac:dyDescent="0.3">
      <c r="A1690">
        <v>21689</v>
      </c>
      <c r="B1690">
        <v>462</v>
      </c>
      <c r="C1690" s="2">
        <v>45226</v>
      </c>
      <c r="D1690" s="2" t="str">
        <f>TEXT(Table4[[#This Row],[issue_date]],"mmmm")</f>
        <v>October</v>
      </c>
      <c r="E1690" s="9">
        <f>YEAR(Table4[[#This Row],[issue_date]])</f>
        <v>2023</v>
      </c>
      <c r="F1690" t="s">
        <v>21</v>
      </c>
      <c r="G1690">
        <v>49</v>
      </c>
      <c r="H1690" t="s">
        <v>20</v>
      </c>
      <c r="I1690" t="str">
        <f>VLOOKUP(Table4[[#This Row],[customer_id]],customers!A:G,4,)</f>
        <v>hyderabad</v>
      </c>
    </row>
    <row r="1691" spans="1:9" x14ac:dyDescent="0.3">
      <c r="A1691">
        <v>21690</v>
      </c>
      <c r="B1691">
        <v>343</v>
      </c>
      <c r="C1691" s="2">
        <v>45155</v>
      </c>
      <c r="D1691" s="2" t="str">
        <f>TEXT(Table4[[#This Row],[issue_date]],"mmmm")</f>
        <v>August</v>
      </c>
      <c r="E1691" s="9">
        <f>YEAR(Table4[[#This Row],[issue_date]])</f>
        <v>2023</v>
      </c>
      <c r="F1691" t="s">
        <v>21</v>
      </c>
      <c r="G1691">
        <v>39</v>
      </c>
      <c r="H1691" t="s">
        <v>20</v>
      </c>
      <c r="I1691" t="str">
        <f>VLOOKUP(Table4[[#This Row],[customer_id]],customers!A:G,4,)</f>
        <v>delhi</v>
      </c>
    </row>
    <row r="1692" spans="1:9" x14ac:dyDescent="0.3">
      <c r="A1692">
        <v>21691</v>
      </c>
      <c r="B1692">
        <v>123</v>
      </c>
      <c r="C1692" s="2">
        <v>44926</v>
      </c>
      <c r="D1692" s="2" t="str">
        <f>TEXT(Table4[[#This Row],[issue_date]],"mmmm")</f>
        <v>December</v>
      </c>
      <c r="E1692" s="9">
        <f>YEAR(Table4[[#This Row],[issue_date]])</f>
        <v>2022</v>
      </c>
      <c r="F1692" t="s">
        <v>19</v>
      </c>
      <c r="G1692">
        <v>18</v>
      </c>
      <c r="H1692" t="s">
        <v>20</v>
      </c>
      <c r="I1692" t="str">
        <f>VLOOKUP(Table4[[#This Row],[customer_id]],customers!A:G,4,)</f>
        <v>bangalore</v>
      </c>
    </row>
    <row r="1693" spans="1:9" x14ac:dyDescent="0.3">
      <c r="A1693">
        <v>21692</v>
      </c>
      <c r="B1693">
        <v>201</v>
      </c>
      <c r="C1693" s="2">
        <v>45299</v>
      </c>
      <c r="D1693" s="2" t="str">
        <f>TEXT(Table4[[#This Row],[issue_date]],"mmmm")</f>
        <v>January</v>
      </c>
      <c r="E1693" s="9">
        <f>YEAR(Table4[[#This Row],[issue_date]])</f>
        <v>2024</v>
      </c>
      <c r="F1693" t="s">
        <v>21</v>
      </c>
      <c r="G1693">
        <v>60</v>
      </c>
      <c r="H1693" t="s">
        <v>20</v>
      </c>
      <c r="I1693" t="str">
        <f>VLOOKUP(Table4[[#This Row],[customer_id]],customers!A:G,4,)</f>
        <v>bangalore</v>
      </c>
    </row>
    <row r="1694" spans="1:9" x14ac:dyDescent="0.3">
      <c r="A1694">
        <v>21693</v>
      </c>
      <c r="B1694">
        <v>8</v>
      </c>
      <c r="C1694" s="2">
        <v>44990</v>
      </c>
      <c r="D1694" s="2" t="str">
        <f>TEXT(Table4[[#This Row],[issue_date]],"mmmm")</f>
        <v>March</v>
      </c>
      <c r="E1694" s="9">
        <f>YEAR(Table4[[#This Row],[issue_date]])</f>
        <v>2023</v>
      </c>
      <c r="F1694" t="s">
        <v>22</v>
      </c>
      <c r="G1694">
        <v>10</v>
      </c>
      <c r="H1694" t="s">
        <v>20</v>
      </c>
      <c r="I1694" t="str">
        <f>VLOOKUP(Table4[[#This Row],[customer_id]],customers!A:G,4,)</f>
        <v>mumbai</v>
      </c>
    </row>
    <row r="1695" spans="1:9" x14ac:dyDescent="0.3">
      <c r="A1695">
        <v>21694</v>
      </c>
      <c r="B1695">
        <v>64</v>
      </c>
      <c r="C1695" s="2">
        <v>44713</v>
      </c>
      <c r="D1695" s="2" t="str">
        <f>TEXT(Table4[[#This Row],[issue_date]],"mmmm")</f>
        <v>June</v>
      </c>
      <c r="E1695" s="9">
        <f>YEAR(Table4[[#This Row],[issue_date]])</f>
        <v>2022</v>
      </c>
      <c r="F1695" t="s">
        <v>21</v>
      </c>
      <c r="G1695">
        <v>23</v>
      </c>
      <c r="H1695" t="s">
        <v>20</v>
      </c>
      <c r="I1695" t="str">
        <f>VLOOKUP(Table4[[#This Row],[customer_id]],customers!A:G,4,)</f>
        <v>bangalore</v>
      </c>
    </row>
    <row r="1696" spans="1:9" x14ac:dyDescent="0.3">
      <c r="A1696">
        <v>21695</v>
      </c>
      <c r="B1696">
        <v>136</v>
      </c>
      <c r="C1696" s="2">
        <v>44820</v>
      </c>
      <c r="D1696" s="2" t="str">
        <f>TEXT(Table4[[#This Row],[issue_date]],"mmmm")</f>
        <v>September</v>
      </c>
      <c r="E1696" s="9">
        <f>YEAR(Table4[[#This Row],[issue_date]])</f>
        <v>2022</v>
      </c>
      <c r="F1696" t="s">
        <v>22</v>
      </c>
      <c r="G1696">
        <v>68</v>
      </c>
      <c r="H1696" t="s">
        <v>20</v>
      </c>
      <c r="I1696" t="str">
        <f>VLOOKUP(Table4[[#This Row],[customer_id]],customers!A:G,4,)</f>
        <v>chennai</v>
      </c>
    </row>
    <row r="1697" spans="1:9" x14ac:dyDescent="0.3">
      <c r="A1697">
        <v>21696</v>
      </c>
      <c r="B1697">
        <v>387</v>
      </c>
      <c r="C1697" s="2">
        <v>45391</v>
      </c>
      <c r="D1697" s="2" t="str">
        <f>TEXT(Table4[[#This Row],[issue_date]],"mmmm")</f>
        <v>April</v>
      </c>
      <c r="E1697" s="9">
        <f>YEAR(Table4[[#This Row],[issue_date]])</f>
        <v>2024</v>
      </c>
      <c r="F1697" t="s">
        <v>21</v>
      </c>
      <c r="G1697">
        <v>59</v>
      </c>
      <c r="H1697" t="s">
        <v>20</v>
      </c>
      <c r="I1697" t="str">
        <f>VLOOKUP(Table4[[#This Row],[customer_id]],customers!A:G,4,)</f>
        <v>bangalore</v>
      </c>
    </row>
    <row r="1698" spans="1:9" x14ac:dyDescent="0.3">
      <c r="A1698">
        <v>21697</v>
      </c>
      <c r="B1698">
        <v>383</v>
      </c>
      <c r="C1698" s="2">
        <v>45152</v>
      </c>
      <c r="D1698" s="2" t="str">
        <f>TEXT(Table4[[#This Row],[issue_date]],"mmmm")</f>
        <v>August</v>
      </c>
      <c r="E1698" s="9">
        <f>YEAR(Table4[[#This Row],[issue_date]])</f>
        <v>2023</v>
      </c>
      <c r="F1698" t="s">
        <v>19</v>
      </c>
      <c r="G1698">
        <v>7</v>
      </c>
      <c r="H1698" t="s">
        <v>20</v>
      </c>
      <c r="I1698" t="str">
        <f>VLOOKUP(Table4[[#This Row],[customer_id]],customers!A:G,4,)</f>
        <v>kolkata</v>
      </c>
    </row>
    <row r="1699" spans="1:9" x14ac:dyDescent="0.3">
      <c r="A1699">
        <v>21698</v>
      </c>
      <c r="B1699">
        <v>186</v>
      </c>
      <c r="C1699" s="2">
        <v>45268</v>
      </c>
      <c r="D1699" s="2" t="str">
        <f>TEXT(Table4[[#This Row],[issue_date]],"mmmm")</f>
        <v>December</v>
      </c>
      <c r="E1699" s="9">
        <f>YEAR(Table4[[#This Row],[issue_date]])</f>
        <v>2023</v>
      </c>
      <c r="F1699" t="s">
        <v>21</v>
      </c>
      <c r="G1699">
        <v>13</v>
      </c>
      <c r="H1699" t="s">
        <v>20</v>
      </c>
      <c r="I1699" t="str">
        <f>VLOOKUP(Table4[[#This Row],[customer_id]],customers!A:G,4,)</f>
        <v>hyderabad</v>
      </c>
    </row>
    <row r="1700" spans="1:9" x14ac:dyDescent="0.3">
      <c r="A1700">
        <v>21699</v>
      </c>
      <c r="B1700">
        <v>127</v>
      </c>
      <c r="C1700" s="2">
        <v>44784</v>
      </c>
      <c r="D1700" s="2" t="str">
        <f>TEXT(Table4[[#This Row],[issue_date]],"mmmm")</f>
        <v>August</v>
      </c>
      <c r="E1700" s="9">
        <f>YEAR(Table4[[#This Row],[issue_date]])</f>
        <v>2022</v>
      </c>
      <c r="F1700" t="s">
        <v>22</v>
      </c>
      <c r="G1700">
        <v>3</v>
      </c>
      <c r="H1700" t="s">
        <v>20</v>
      </c>
      <c r="I1700" t="str">
        <f>VLOOKUP(Table4[[#This Row],[customer_id]],customers!A:G,4,)</f>
        <v>delhi</v>
      </c>
    </row>
    <row r="1701" spans="1:9" x14ac:dyDescent="0.3">
      <c r="A1701">
        <v>21700</v>
      </c>
      <c r="B1701">
        <v>416</v>
      </c>
      <c r="C1701" s="2">
        <v>44827</v>
      </c>
      <c r="D1701" s="2" t="str">
        <f>TEXT(Table4[[#This Row],[issue_date]],"mmmm")</f>
        <v>September</v>
      </c>
      <c r="E1701" s="9">
        <f>YEAR(Table4[[#This Row],[issue_date]])</f>
        <v>2022</v>
      </c>
      <c r="F1701" t="s">
        <v>22</v>
      </c>
      <c r="G1701">
        <v>40</v>
      </c>
      <c r="H1701" t="s">
        <v>20</v>
      </c>
      <c r="I1701" t="str">
        <f>VLOOKUP(Table4[[#This Row],[customer_id]],customers!A:G,4,)</f>
        <v>bangalore</v>
      </c>
    </row>
    <row r="1702" spans="1:9" x14ac:dyDescent="0.3">
      <c r="A1702">
        <v>21701</v>
      </c>
      <c r="B1702">
        <v>372</v>
      </c>
      <c r="C1702" s="2">
        <v>44791</v>
      </c>
      <c r="D1702" s="2" t="str">
        <f>TEXT(Table4[[#This Row],[issue_date]],"mmmm")</f>
        <v>August</v>
      </c>
      <c r="E1702" s="9">
        <f>YEAR(Table4[[#This Row],[issue_date]])</f>
        <v>2022</v>
      </c>
      <c r="F1702" t="s">
        <v>21</v>
      </c>
      <c r="G1702">
        <v>11</v>
      </c>
      <c r="H1702" t="s">
        <v>20</v>
      </c>
      <c r="I1702" t="str">
        <f>VLOOKUP(Table4[[#This Row],[customer_id]],customers!A:G,4,)</f>
        <v>chennai</v>
      </c>
    </row>
    <row r="1703" spans="1:9" x14ac:dyDescent="0.3">
      <c r="A1703">
        <v>21702</v>
      </c>
      <c r="B1703">
        <v>452</v>
      </c>
      <c r="C1703" s="2">
        <v>45000</v>
      </c>
      <c r="D1703" s="2" t="str">
        <f>TEXT(Table4[[#This Row],[issue_date]],"mmmm")</f>
        <v>March</v>
      </c>
      <c r="E1703" s="9">
        <f>YEAR(Table4[[#This Row],[issue_date]])</f>
        <v>2023</v>
      </c>
      <c r="F1703" t="s">
        <v>22</v>
      </c>
      <c r="G1703">
        <v>51</v>
      </c>
      <c r="H1703" t="s">
        <v>20</v>
      </c>
      <c r="I1703" t="str">
        <f>VLOOKUP(Table4[[#This Row],[customer_id]],customers!A:G,4,)</f>
        <v>delhi</v>
      </c>
    </row>
    <row r="1704" spans="1:9" x14ac:dyDescent="0.3">
      <c r="A1704">
        <v>21703</v>
      </c>
      <c r="B1704">
        <v>49</v>
      </c>
      <c r="C1704" s="2">
        <v>44711</v>
      </c>
      <c r="D1704" s="2" t="str">
        <f>TEXT(Table4[[#This Row],[issue_date]],"mmmm")</f>
        <v>May</v>
      </c>
      <c r="E1704" s="9">
        <f>YEAR(Table4[[#This Row],[issue_date]])</f>
        <v>2022</v>
      </c>
      <c r="F1704" t="s">
        <v>19</v>
      </c>
      <c r="G1704">
        <v>23</v>
      </c>
      <c r="H1704" t="s">
        <v>20</v>
      </c>
      <c r="I1704" t="str">
        <f>VLOOKUP(Table4[[#This Row],[customer_id]],customers!A:G,4,)</f>
        <v>chennai</v>
      </c>
    </row>
    <row r="1705" spans="1:9" x14ac:dyDescent="0.3">
      <c r="A1705">
        <v>21704</v>
      </c>
      <c r="B1705">
        <v>166</v>
      </c>
      <c r="C1705" s="2">
        <v>45018</v>
      </c>
      <c r="D1705" s="2" t="str">
        <f>TEXT(Table4[[#This Row],[issue_date]],"mmmm")</f>
        <v>April</v>
      </c>
      <c r="E1705" s="9">
        <f>YEAR(Table4[[#This Row],[issue_date]])</f>
        <v>2023</v>
      </c>
      <c r="F1705" t="s">
        <v>21</v>
      </c>
      <c r="G1705">
        <v>32</v>
      </c>
      <c r="H1705" t="s">
        <v>20</v>
      </c>
      <c r="I1705" t="str">
        <f>VLOOKUP(Table4[[#This Row],[customer_id]],customers!A:G,4,)</f>
        <v>delhi</v>
      </c>
    </row>
    <row r="1706" spans="1:9" x14ac:dyDescent="0.3">
      <c r="A1706">
        <v>21705</v>
      </c>
      <c r="B1706">
        <v>386</v>
      </c>
      <c r="C1706" s="2">
        <v>44697</v>
      </c>
      <c r="D1706" s="2" t="str">
        <f>TEXT(Table4[[#This Row],[issue_date]],"mmmm")</f>
        <v>May</v>
      </c>
      <c r="E1706" s="9">
        <f>YEAR(Table4[[#This Row],[issue_date]])</f>
        <v>2022</v>
      </c>
      <c r="F1706" t="s">
        <v>22</v>
      </c>
      <c r="G1706">
        <v>41</v>
      </c>
      <c r="H1706" t="s">
        <v>20</v>
      </c>
      <c r="I1706" t="str">
        <f>VLOOKUP(Table4[[#This Row],[customer_id]],customers!A:G,4,)</f>
        <v>chennai</v>
      </c>
    </row>
    <row r="1707" spans="1:9" x14ac:dyDescent="0.3">
      <c r="A1707">
        <v>21706</v>
      </c>
      <c r="B1707">
        <v>127</v>
      </c>
      <c r="C1707" s="2">
        <v>45196</v>
      </c>
      <c r="D1707" s="2" t="str">
        <f>TEXT(Table4[[#This Row],[issue_date]],"mmmm")</f>
        <v>September</v>
      </c>
      <c r="E1707" s="9">
        <f>YEAR(Table4[[#This Row],[issue_date]])</f>
        <v>2023</v>
      </c>
      <c r="F1707" t="s">
        <v>21</v>
      </c>
      <c r="G1707">
        <v>42</v>
      </c>
      <c r="H1707" t="s">
        <v>20</v>
      </c>
      <c r="I1707" t="str">
        <f>VLOOKUP(Table4[[#This Row],[customer_id]],customers!A:G,4,)</f>
        <v>delhi</v>
      </c>
    </row>
    <row r="1708" spans="1:9" x14ac:dyDescent="0.3">
      <c r="A1708">
        <v>21707</v>
      </c>
      <c r="B1708">
        <v>393</v>
      </c>
      <c r="C1708" s="2">
        <v>45431</v>
      </c>
      <c r="D1708" s="2" t="str">
        <f>TEXT(Table4[[#This Row],[issue_date]],"mmmm")</f>
        <v>May</v>
      </c>
      <c r="E1708" s="9">
        <f>YEAR(Table4[[#This Row],[issue_date]])</f>
        <v>2024</v>
      </c>
      <c r="F1708" t="s">
        <v>21</v>
      </c>
      <c r="G1708">
        <v>38</v>
      </c>
      <c r="H1708" t="s">
        <v>20</v>
      </c>
      <c r="I1708" t="str">
        <f>VLOOKUP(Table4[[#This Row],[customer_id]],customers!A:G,4,)</f>
        <v>kolkata</v>
      </c>
    </row>
    <row r="1709" spans="1:9" x14ac:dyDescent="0.3">
      <c r="A1709">
        <v>21708</v>
      </c>
      <c r="B1709">
        <v>302</v>
      </c>
      <c r="C1709" s="2">
        <v>44960</v>
      </c>
      <c r="D1709" s="2" t="str">
        <f>TEXT(Table4[[#This Row],[issue_date]],"mmmm")</f>
        <v>February</v>
      </c>
      <c r="E1709" s="9">
        <f>YEAR(Table4[[#This Row],[issue_date]])</f>
        <v>2023</v>
      </c>
      <c r="F1709" t="s">
        <v>21</v>
      </c>
      <c r="G1709">
        <v>67</v>
      </c>
      <c r="H1709" t="s">
        <v>20</v>
      </c>
      <c r="I1709" t="str">
        <f>VLOOKUP(Table4[[#This Row],[customer_id]],customers!A:G,4,)</f>
        <v>kolkata</v>
      </c>
    </row>
    <row r="1710" spans="1:9" x14ac:dyDescent="0.3">
      <c r="A1710">
        <v>21709</v>
      </c>
      <c r="B1710">
        <v>321</v>
      </c>
      <c r="C1710" s="2">
        <v>45183</v>
      </c>
      <c r="D1710" s="2" t="str">
        <f>TEXT(Table4[[#This Row],[issue_date]],"mmmm")</f>
        <v>September</v>
      </c>
      <c r="E1710" s="9">
        <f>YEAR(Table4[[#This Row],[issue_date]])</f>
        <v>2023</v>
      </c>
      <c r="F1710" t="s">
        <v>21</v>
      </c>
      <c r="G1710">
        <v>42</v>
      </c>
      <c r="H1710" t="s">
        <v>20</v>
      </c>
      <c r="I1710" t="str">
        <f>VLOOKUP(Table4[[#This Row],[customer_id]],customers!A:G,4,)</f>
        <v>hyderabad</v>
      </c>
    </row>
    <row r="1711" spans="1:9" x14ac:dyDescent="0.3">
      <c r="A1711">
        <v>21710</v>
      </c>
      <c r="B1711">
        <v>177</v>
      </c>
      <c r="C1711" s="2">
        <v>44704</v>
      </c>
      <c r="D1711" s="2" t="str">
        <f>TEXT(Table4[[#This Row],[issue_date]],"mmmm")</f>
        <v>May</v>
      </c>
      <c r="E1711" s="9">
        <f>YEAR(Table4[[#This Row],[issue_date]])</f>
        <v>2022</v>
      </c>
      <c r="F1711" t="s">
        <v>21</v>
      </c>
      <c r="G1711">
        <v>43</v>
      </c>
      <c r="H1711" t="s">
        <v>20</v>
      </c>
      <c r="I1711" t="str">
        <f>VLOOKUP(Table4[[#This Row],[customer_id]],customers!A:G,4,)</f>
        <v>kolkata</v>
      </c>
    </row>
    <row r="1712" spans="1:9" x14ac:dyDescent="0.3">
      <c r="A1712">
        <v>21711</v>
      </c>
      <c r="B1712">
        <v>203</v>
      </c>
      <c r="C1712" s="2">
        <v>44631</v>
      </c>
      <c r="D1712" s="2" t="str">
        <f>TEXT(Table4[[#This Row],[issue_date]],"mmmm")</f>
        <v>March</v>
      </c>
      <c r="E1712" s="9">
        <f>YEAR(Table4[[#This Row],[issue_date]])</f>
        <v>2022</v>
      </c>
      <c r="F1712" t="s">
        <v>19</v>
      </c>
      <c r="G1712">
        <v>33</v>
      </c>
      <c r="H1712" t="s">
        <v>23</v>
      </c>
      <c r="I1712" t="str">
        <f>VLOOKUP(Table4[[#This Row],[customer_id]],customers!A:G,4,)</f>
        <v>mumbai</v>
      </c>
    </row>
    <row r="1713" spans="1:9" x14ac:dyDescent="0.3">
      <c r="A1713">
        <v>21712</v>
      </c>
      <c r="B1713">
        <v>157</v>
      </c>
      <c r="C1713" s="2">
        <v>44615</v>
      </c>
      <c r="D1713" s="2" t="str">
        <f>TEXT(Table4[[#This Row],[issue_date]],"mmmm")</f>
        <v>February</v>
      </c>
      <c r="E1713" s="9">
        <f>YEAR(Table4[[#This Row],[issue_date]])</f>
        <v>2022</v>
      </c>
      <c r="F1713" t="s">
        <v>21</v>
      </c>
      <c r="G1713">
        <v>37</v>
      </c>
      <c r="H1713" t="s">
        <v>20</v>
      </c>
      <c r="I1713" t="str">
        <f>VLOOKUP(Table4[[#This Row],[customer_id]],customers!A:G,4,)</f>
        <v>chennai</v>
      </c>
    </row>
    <row r="1714" spans="1:9" x14ac:dyDescent="0.3">
      <c r="A1714">
        <v>21713</v>
      </c>
      <c r="B1714">
        <v>346</v>
      </c>
      <c r="C1714" s="2">
        <v>45405</v>
      </c>
      <c r="D1714" s="2" t="str">
        <f>TEXT(Table4[[#This Row],[issue_date]],"mmmm")</f>
        <v>April</v>
      </c>
      <c r="E1714" s="9">
        <f>YEAR(Table4[[#This Row],[issue_date]])</f>
        <v>2024</v>
      </c>
      <c r="F1714" t="s">
        <v>19</v>
      </c>
      <c r="G1714">
        <v>57</v>
      </c>
      <c r="H1714" t="s">
        <v>20</v>
      </c>
      <c r="I1714" t="str">
        <f>VLOOKUP(Table4[[#This Row],[customer_id]],customers!A:G,4,)</f>
        <v>chennai</v>
      </c>
    </row>
    <row r="1715" spans="1:9" x14ac:dyDescent="0.3">
      <c r="A1715">
        <v>21714</v>
      </c>
      <c r="B1715">
        <v>219</v>
      </c>
      <c r="C1715" s="2">
        <v>44964</v>
      </c>
      <c r="D1715" s="2" t="str">
        <f>TEXT(Table4[[#This Row],[issue_date]],"mmmm")</f>
        <v>February</v>
      </c>
      <c r="E1715" s="9">
        <f>YEAR(Table4[[#This Row],[issue_date]])</f>
        <v>2023</v>
      </c>
      <c r="F1715" t="s">
        <v>21</v>
      </c>
      <c r="G1715">
        <v>64</v>
      </c>
      <c r="H1715" t="s">
        <v>20</v>
      </c>
      <c r="I1715" t="str">
        <f>VLOOKUP(Table4[[#This Row],[customer_id]],customers!A:G,4,)</f>
        <v>bangalore</v>
      </c>
    </row>
    <row r="1716" spans="1:9" x14ac:dyDescent="0.3">
      <c r="A1716">
        <v>21715</v>
      </c>
      <c r="B1716">
        <v>486</v>
      </c>
      <c r="C1716" s="2">
        <v>45113</v>
      </c>
      <c r="D1716" s="2" t="str">
        <f>TEXT(Table4[[#This Row],[issue_date]],"mmmm")</f>
        <v>July</v>
      </c>
      <c r="E1716" s="9">
        <f>YEAR(Table4[[#This Row],[issue_date]])</f>
        <v>2023</v>
      </c>
      <c r="F1716" t="s">
        <v>22</v>
      </c>
      <c r="G1716">
        <v>64</v>
      </c>
      <c r="H1716" t="s">
        <v>20</v>
      </c>
      <c r="I1716" t="str">
        <f>VLOOKUP(Table4[[#This Row],[customer_id]],customers!A:G,4,)</f>
        <v>chennai</v>
      </c>
    </row>
    <row r="1717" spans="1:9" x14ac:dyDescent="0.3">
      <c r="A1717">
        <v>21716</v>
      </c>
      <c r="B1717">
        <v>285</v>
      </c>
      <c r="C1717" s="2">
        <v>45270</v>
      </c>
      <c r="D1717" s="2" t="str">
        <f>TEXT(Table4[[#This Row],[issue_date]],"mmmm")</f>
        <v>December</v>
      </c>
      <c r="E1717" s="9">
        <f>YEAR(Table4[[#This Row],[issue_date]])</f>
        <v>2023</v>
      </c>
      <c r="F1717" t="s">
        <v>21</v>
      </c>
      <c r="G1717">
        <v>60</v>
      </c>
      <c r="H1717" t="s">
        <v>20</v>
      </c>
      <c r="I1717" t="str">
        <f>VLOOKUP(Table4[[#This Row],[customer_id]],customers!A:G,4,)</f>
        <v>hyderabad</v>
      </c>
    </row>
    <row r="1718" spans="1:9" x14ac:dyDescent="0.3">
      <c r="A1718">
        <v>21717</v>
      </c>
      <c r="B1718">
        <v>289</v>
      </c>
      <c r="C1718" s="2">
        <v>44588</v>
      </c>
      <c r="D1718" s="2" t="str">
        <f>TEXT(Table4[[#This Row],[issue_date]],"mmmm")</f>
        <v>January</v>
      </c>
      <c r="E1718" s="9">
        <f>YEAR(Table4[[#This Row],[issue_date]])</f>
        <v>2022</v>
      </c>
      <c r="F1718" t="s">
        <v>21</v>
      </c>
      <c r="G1718">
        <v>52</v>
      </c>
      <c r="H1718" t="s">
        <v>23</v>
      </c>
      <c r="I1718" t="str">
        <f>VLOOKUP(Table4[[#This Row],[customer_id]],customers!A:G,4,)</f>
        <v>hyderabad</v>
      </c>
    </row>
    <row r="1719" spans="1:9" x14ac:dyDescent="0.3">
      <c r="A1719">
        <v>21718</v>
      </c>
      <c r="B1719">
        <v>28</v>
      </c>
      <c r="C1719" s="2">
        <v>45403</v>
      </c>
      <c r="D1719" s="2" t="str">
        <f>TEXT(Table4[[#This Row],[issue_date]],"mmmm")</f>
        <v>April</v>
      </c>
      <c r="E1719" s="9">
        <f>YEAR(Table4[[#This Row],[issue_date]])</f>
        <v>2024</v>
      </c>
      <c r="F1719" t="s">
        <v>22</v>
      </c>
      <c r="G1719">
        <v>68</v>
      </c>
      <c r="H1719" t="s">
        <v>23</v>
      </c>
      <c r="I1719" t="str">
        <f>VLOOKUP(Table4[[#This Row],[customer_id]],customers!A:G,4,)</f>
        <v>delhi</v>
      </c>
    </row>
    <row r="1720" spans="1:9" x14ac:dyDescent="0.3">
      <c r="A1720">
        <v>21719</v>
      </c>
      <c r="B1720">
        <v>351</v>
      </c>
      <c r="C1720" s="2">
        <v>44860</v>
      </c>
      <c r="D1720" s="2" t="str">
        <f>TEXT(Table4[[#This Row],[issue_date]],"mmmm")</f>
        <v>October</v>
      </c>
      <c r="E1720" s="9">
        <f>YEAR(Table4[[#This Row],[issue_date]])</f>
        <v>2022</v>
      </c>
      <c r="F1720" t="s">
        <v>19</v>
      </c>
      <c r="G1720">
        <v>27</v>
      </c>
      <c r="H1720" t="s">
        <v>20</v>
      </c>
      <c r="I1720" t="str">
        <f>VLOOKUP(Table4[[#This Row],[customer_id]],customers!A:G,4,)</f>
        <v>bangalore</v>
      </c>
    </row>
    <row r="1721" spans="1:9" x14ac:dyDescent="0.3">
      <c r="A1721">
        <v>21720</v>
      </c>
      <c r="B1721">
        <v>83</v>
      </c>
      <c r="C1721" s="2">
        <v>45253</v>
      </c>
      <c r="D1721" s="2" t="str">
        <f>TEXT(Table4[[#This Row],[issue_date]],"mmmm")</f>
        <v>November</v>
      </c>
      <c r="E1721" s="9">
        <f>YEAR(Table4[[#This Row],[issue_date]])</f>
        <v>2023</v>
      </c>
      <c r="F1721" t="s">
        <v>19</v>
      </c>
      <c r="G1721">
        <v>59</v>
      </c>
      <c r="H1721" t="s">
        <v>20</v>
      </c>
      <c r="I1721" t="str">
        <f>VLOOKUP(Table4[[#This Row],[customer_id]],customers!A:G,4,)</f>
        <v>bangalore</v>
      </c>
    </row>
    <row r="1722" spans="1:9" x14ac:dyDescent="0.3">
      <c r="A1722">
        <v>21721</v>
      </c>
      <c r="B1722">
        <v>112</v>
      </c>
      <c r="C1722" s="2">
        <v>45119</v>
      </c>
      <c r="D1722" s="2" t="str">
        <f>TEXT(Table4[[#This Row],[issue_date]],"mmmm")</f>
        <v>July</v>
      </c>
      <c r="E1722" s="9">
        <f>YEAR(Table4[[#This Row],[issue_date]])</f>
        <v>2023</v>
      </c>
      <c r="F1722" t="s">
        <v>19</v>
      </c>
      <c r="G1722">
        <v>19</v>
      </c>
      <c r="H1722" t="s">
        <v>23</v>
      </c>
      <c r="I1722" t="str">
        <f>VLOOKUP(Table4[[#This Row],[customer_id]],customers!A:G,4,)</f>
        <v>chennai</v>
      </c>
    </row>
    <row r="1723" spans="1:9" x14ac:dyDescent="0.3">
      <c r="A1723">
        <v>21722</v>
      </c>
      <c r="B1723">
        <v>154</v>
      </c>
      <c r="C1723" s="2">
        <v>45215</v>
      </c>
      <c r="D1723" s="2" t="str">
        <f>TEXT(Table4[[#This Row],[issue_date]],"mmmm")</f>
        <v>October</v>
      </c>
      <c r="E1723" s="9">
        <f>YEAR(Table4[[#This Row],[issue_date]])</f>
        <v>2023</v>
      </c>
      <c r="F1723" t="s">
        <v>19</v>
      </c>
      <c r="G1723">
        <v>3</v>
      </c>
      <c r="H1723" t="s">
        <v>20</v>
      </c>
      <c r="I1723" t="str">
        <f>VLOOKUP(Table4[[#This Row],[customer_id]],customers!A:G,4,)</f>
        <v>chennai</v>
      </c>
    </row>
    <row r="1724" spans="1:9" x14ac:dyDescent="0.3">
      <c r="A1724">
        <v>21723</v>
      </c>
      <c r="B1724">
        <v>370</v>
      </c>
      <c r="C1724" s="2">
        <v>44881</v>
      </c>
      <c r="D1724" s="2" t="str">
        <f>TEXT(Table4[[#This Row],[issue_date]],"mmmm")</f>
        <v>November</v>
      </c>
      <c r="E1724" s="9">
        <f>YEAR(Table4[[#This Row],[issue_date]])</f>
        <v>2022</v>
      </c>
      <c r="F1724" t="s">
        <v>22</v>
      </c>
      <c r="G1724">
        <v>39</v>
      </c>
      <c r="H1724" t="s">
        <v>20</v>
      </c>
      <c r="I1724" t="str">
        <f>VLOOKUP(Table4[[#This Row],[customer_id]],customers!A:G,4,)</f>
        <v>kolkata</v>
      </c>
    </row>
    <row r="1725" spans="1:9" x14ac:dyDescent="0.3">
      <c r="A1725">
        <v>21724</v>
      </c>
      <c r="B1725">
        <v>29</v>
      </c>
      <c r="C1725" s="2">
        <v>45006</v>
      </c>
      <c r="D1725" s="2" t="str">
        <f>TEXT(Table4[[#This Row],[issue_date]],"mmmm")</f>
        <v>March</v>
      </c>
      <c r="E1725" s="9">
        <f>YEAR(Table4[[#This Row],[issue_date]])</f>
        <v>2023</v>
      </c>
      <c r="F1725" t="s">
        <v>19</v>
      </c>
      <c r="G1725">
        <v>66</v>
      </c>
      <c r="H1725" t="s">
        <v>20</v>
      </c>
      <c r="I1725" t="str">
        <f>VLOOKUP(Table4[[#This Row],[customer_id]],customers!A:G,4,)</f>
        <v>kolkata</v>
      </c>
    </row>
    <row r="1726" spans="1:9" x14ac:dyDescent="0.3">
      <c r="A1726">
        <v>21725</v>
      </c>
      <c r="B1726">
        <v>395</v>
      </c>
      <c r="C1726" s="2">
        <v>44659</v>
      </c>
      <c r="D1726" s="2" t="str">
        <f>TEXT(Table4[[#This Row],[issue_date]],"mmmm")</f>
        <v>April</v>
      </c>
      <c r="E1726" s="9">
        <f>YEAR(Table4[[#This Row],[issue_date]])</f>
        <v>2022</v>
      </c>
      <c r="F1726" t="s">
        <v>19</v>
      </c>
      <c r="G1726">
        <v>56</v>
      </c>
      <c r="H1726" t="s">
        <v>20</v>
      </c>
      <c r="I1726" t="str">
        <f>VLOOKUP(Table4[[#This Row],[customer_id]],customers!A:G,4,)</f>
        <v>delhi</v>
      </c>
    </row>
    <row r="1727" spans="1:9" x14ac:dyDescent="0.3">
      <c r="A1727">
        <v>21726</v>
      </c>
      <c r="B1727">
        <v>489</v>
      </c>
      <c r="C1727" s="2">
        <v>44687</v>
      </c>
      <c r="D1727" s="2" t="str">
        <f>TEXT(Table4[[#This Row],[issue_date]],"mmmm")</f>
        <v>May</v>
      </c>
      <c r="E1727" s="9">
        <f>YEAR(Table4[[#This Row],[issue_date]])</f>
        <v>2022</v>
      </c>
      <c r="F1727" t="s">
        <v>19</v>
      </c>
      <c r="G1727">
        <v>6</v>
      </c>
      <c r="H1727" t="s">
        <v>20</v>
      </c>
      <c r="I1727" t="str">
        <f>VLOOKUP(Table4[[#This Row],[customer_id]],customers!A:G,4,)</f>
        <v>chennai</v>
      </c>
    </row>
    <row r="1728" spans="1:9" x14ac:dyDescent="0.3">
      <c r="A1728">
        <v>21727</v>
      </c>
      <c r="B1728">
        <v>480</v>
      </c>
      <c r="C1728" s="2">
        <v>44619</v>
      </c>
      <c r="D1728" s="2" t="str">
        <f>TEXT(Table4[[#This Row],[issue_date]],"mmmm")</f>
        <v>February</v>
      </c>
      <c r="E1728" s="9">
        <f>YEAR(Table4[[#This Row],[issue_date]])</f>
        <v>2022</v>
      </c>
      <c r="F1728" t="s">
        <v>19</v>
      </c>
      <c r="G1728">
        <v>28</v>
      </c>
      <c r="H1728" t="s">
        <v>20</v>
      </c>
      <c r="I1728" t="str">
        <f>VLOOKUP(Table4[[#This Row],[customer_id]],customers!A:G,4,)</f>
        <v>hyderabad</v>
      </c>
    </row>
    <row r="1729" spans="1:9" x14ac:dyDescent="0.3">
      <c r="A1729">
        <v>21728</v>
      </c>
      <c r="B1729">
        <v>213</v>
      </c>
      <c r="C1729" s="2">
        <v>44738</v>
      </c>
      <c r="D1729" s="2" t="str">
        <f>TEXT(Table4[[#This Row],[issue_date]],"mmmm")</f>
        <v>June</v>
      </c>
      <c r="E1729" s="9">
        <f>YEAR(Table4[[#This Row],[issue_date]])</f>
        <v>2022</v>
      </c>
      <c r="F1729" t="s">
        <v>19</v>
      </c>
      <c r="G1729">
        <v>48</v>
      </c>
      <c r="H1729" t="s">
        <v>20</v>
      </c>
      <c r="I1729" t="str">
        <f>VLOOKUP(Table4[[#This Row],[customer_id]],customers!A:G,4,)</f>
        <v>hyderabad</v>
      </c>
    </row>
    <row r="1730" spans="1:9" x14ac:dyDescent="0.3">
      <c r="A1730">
        <v>21729</v>
      </c>
      <c r="B1730">
        <v>102</v>
      </c>
      <c r="C1730" s="2">
        <v>45280</v>
      </c>
      <c r="D1730" s="2" t="str">
        <f>TEXT(Table4[[#This Row],[issue_date]],"mmmm")</f>
        <v>December</v>
      </c>
      <c r="E1730" s="9">
        <f>YEAR(Table4[[#This Row],[issue_date]])</f>
        <v>2023</v>
      </c>
      <c r="F1730" t="s">
        <v>21</v>
      </c>
      <c r="G1730">
        <v>48</v>
      </c>
      <c r="H1730" t="s">
        <v>20</v>
      </c>
      <c r="I1730" t="str">
        <f>VLOOKUP(Table4[[#This Row],[customer_id]],customers!A:G,4,)</f>
        <v>delhi</v>
      </c>
    </row>
    <row r="1731" spans="1:9" x14ac:dyDescent="0.3">
      <c r="A1731">
        <v>21730</v>
      </c>
      <c r="B1731">
        <v>418</v>
      </c>
      <c r="C1731" s="2">
        <v>44846</v>
      </c>
      <c r="D1731" s="2" t="str">
        <f>TEXT(Table4[[#This Row],[issue_date]],"mmmm")</f>
        <v>October</v>
      </c>
      <c r="E1731" s="9">
        <f>YEAR(Table4[[#This Row],[issue_date]])</f>
        <v>2022</v>
      </c>
      <c r="F1731" t="s">
        <v>21</v>
      </c>
      <c r="G1731">
        <v>67</v>
      </c>
      <c r="H1731" t="s">
        <v>20</v>
      </c>
      <c r="I1731" t="str">
        <f>VLOOKUP(Table4[[#This Row],[customer_id]],customers!A:G,4,)</f>
        <v>mumbai</v>
      </c>
    </row>
    <row r="1732" spans="1:9" x14ac:dyDescent="0.3">
      <c r="A1732">
        <v>21731</v>
      </c>
      <c r="B1732">
        <v>360</v>
      </c>
      <c r="C1732" s="2">
        <v>45227</v>
      </c>
      <c r="D1732" s="2" t="str">
        <f>TEXT(Table4[[#This Row],[issue_date]],"mmmm")</f>
        <v>October</v>
      </c>
      <c r="E1732" s="9">
        <f>YEAR(Table4[[#This Row],[issue_date]])</f>
        <v>2023</v>
      </c>
      <c r="F1732" t="s">
        <v>19</v>
      </c>
      <c r="G1732">
        <v>54</v>
      </c>
      <c r="H1732" t="s">
        <v>20</v>
      </c>
      <c r="I1732" t="str">
        <f>VLOOKUP(Table4[[#This Row],[customer_id]],customers!A:G,4,)</f>
        <v>hyderabad</v>
      </c>
    </row>
    <row r="1733" spans="1:9" x14ac:dyDescent="0.3">
      <c r="A1733">
        <v>21732</v>
      </c>
      <c r="B1733">
        <v>214</v>
      </c>
      <c r="C1733" s="2">
        <v>44588</v>
      </c>
      <c r="D1733" s="2" t="str">
        <f>TEXT(Table4[[#This Row],[issue_date]],"mmmm")</f>
        <v>January</v>
      </c>
      <c r="E1733" s="9">
        <f>YEAR(Table4[[#This Row],[issue_date]])</f>
        <v>2022</v>
      </c>
      <c r="F1733" t="s">
        <v>22</v>
      </c>
      <c r="G1733">
        <v>16</v>
      </c>
      <c r="H1733" t="s">
        <v>20</v>
      </c>
      <c r="I1733" t="str">
        <f>VLOOKUP(Table4[[#This Row],[customer_id]],customers!A:G,4,)</f>
        <v>chennai</v>
      </c>
    </row>
    <row r="1734" spans="1:9" x14ac:dyDescent="0.3">
      <c r="A1734">
        <v>21733</v>
      </c>
      <c r="B1734">
        <v>304</v>
      </c>
      <c r="C1734" s="2">
        <v>45012</v>
      </c>
      <c r="D1734" s="2" t="str">
        <f>TEXT(Table4[[#This Row],[issue_date]],"mmmm")</f>
        <v>March</v>
      </c>
      <c r="E1734" s="9">
        <f>YEAR(Table4[[#This Row],[issue_date]])</f>
        <v>2023</v>
      </c>
      <c r="F1734" t="s">
        <v>22</v>
      </c>
      <c r="G1734">
        <v>35</v>
      </c>
      <c r="H1734" t="s">
        <v>20</v>
      </c>
      <c r="I1734" t="str">
        <f>VLOOKUP(Table4[[#This Row],[customer_id]],customers!A:G,4,)</f>
        <v>delhi</v>
      </c>
    </row>
    <row r="1735" spans="1:9" x14ac:dyDescent="0.3">
      <c r="A1735">
        <v>21734</v>
      </c>
      <c r="B1735">
        <v>155</v>
      </c>
      <c r="C1735" s="2">
        <v>44884</v>
      </c>
      <c r="D1735" s="2" t="str">
        <f>TEXT(Table4[[#This Row],[issue_date]],"mmmm")</f>
        <v>November</v>
      </c>
      <c r="E1735" s="9">
        <f>YEAR(Table4[[#This Row],[issue_date]])</f>
        <v>2022</v>
      </c>
      <c r="F1735" t="s">
        <v>21</v>
      </c>
      <c r="G1735">
        <v>30</v>
      </c>
      <c r="H1735" t="s">
        <v>20</v>
      </c>
      <c r="I1735" t="str">
        <f>VLOOKUP(Table4[[#This Row],[customer_id]],customers!A:G,4,)</f>
        <v>mumbai</v>
      </c>
    </row>
    <row r="1736" spans="1:9" x14ac:dyDescent="0.3">
      <c r="A1736">
        <v>21735</v>
      </c>
      <c r="B1736">
        <v>380</v>
      </c>
      <c r="C1736" s="2">
        <v>45236</v>
      </c>
      <c r="D1736" s="2" t="str">
        <f>TEXT(Table4[[#This Row],[issue_date]],"mmmm")</f>
        <v>November</v>
      </c>
      <c r="E1736" s="9">
        <f>YEAR(Table4[[#This Row],[issue_date]])</f>
        <v>2023</v>
      </c>
      <c r="F1736" t="s">
        <v>22</v>
      </c>
      <c r="G1736">
        <v>48</v>
      </c>
      <c r="H1736" t="s">
        <v>20</v>
      </c>
      <c r="I1736" t="str">
        <f>VLOOKUP(Table4[[#This Row],[customer_id]],customers!A:G,4,)</f>
        <v>delhi</v>
      </c>
    </row>
    <row r="1737" spans="1:9" x14ac:dyDescent="0.3">
      <c r="A1737">
        <v>21736</v>
      </c>
      <c r="B1737">
        <v>200</v>
      </c>
      <c r="C1737" s="2">
        <v>44811</v>
      </c>
      <c r="D1737" s="2" t="str">
        <f>TEXT(Table4[[#This Row],[issue_date]],"mmmm")</f>
        <v>September</v>
      </c>
      <c r="E1737" s="9">
        <f>YEAR(Table4[[#This Row],[issue_date]])</f>
        <v>2022</v>
      </c>
      <c r="F1737" t="s">
        <v>21</v>
      </c>
      <c r="G1737">
        <v>69</v>
      </c>
      <c r="H1737" t="s">
        <v>23</v>
      </c>
      <c r="I1737" t="str">
        <f>VLOOKUP(Table4[[#This Row],[customer_id]],customers!A:G,4,)</f>
        <v>delhi</v>
      </c>
    </row>
    <row r="1738" spans="1:9" x14ac:dyDescent="0.3">
      <c r="A1738">
        <v>21737</v>
      </c>
      <c r="B1738">
        <v>168</v>
      </c>
      <c r="C1738" s="2">
        <v>45261</v>
      </c>
      <c r="D1738" s="2" t="str">
        <f>TEXT(Table4[[#This Row],[issue_date]],"mmmm")</f>
        <v>December</v>
      </c>
      <c r="E1738" s="9">
        <f>YEAR(Table4[[#This Row],[issue_date]])</f>
        <v>2023</v>
      </c>
      <c r="F1738" t="s">
        <v>19</v>
      </c>
      <c r="G1738">
        <v>8</v>
      </c>
      <c r="H1738" t="s">
        <v>20</v>
      </c>
      <c r="I1738" t="str">
        <f>VLOOKUP(Table4[[#This Row],[customer_id]],customers!A:G,4,)</f>
        <v>delhi</v>
      </c>
    </row>
    <row r="1739" spans="1:9" x14ac:dyDescent="0.3">
      <c r="A1739">
        <v>21738</v>
      </c>
      <c r="B1739">
        <v>238</v>
      </c>
      <c r="C1739" s="2">
        <v>44931</v>
      </c>
      <c r="D1739" s="2" t="str">
        <f>TEXT(Table4[[#This Row],[issue_date]],"mmmm")</f>
        <v>January</v>
      </c>
      <c r="E1739" s="9">
        <f>YEAR(Table4[[#This Row],[issue_date]])</f>
        <v>2023</v>
      </c>
      <c r="F1739" t="s">
        <v>19</v>
      </c>
      <c r="G1739">
        <v>51</v>
      </c>
      <c r="H1739" t="s">
        <v>20</v>
      </c>
      <c r="I1739" t="str">
        <f>VLOOKUP(Table4[[#This Row],[customer_id]],customers!A:G,4,)</f>
        <v>mumbai</v>
      </c>
    </row>
    <row r="1740" spans="1:9" x14ac:dyDescent="0.3">
      <c r="A1740">
        <v>21739</v>
      </c>
      <c r="B1740">
        <v>159</v>
      </c>
      <c r="C1740" s="2">
        <v>45407</v>
      </c>
      <c r="D1740" s="2" t="str">
        <f>TEXT(Table4[[#This Row],[issue_date]],"mmmm")</f>
        <v>April</v>
      </c>
      <c r="E1740" s="9">
        <f>YEAR(Table4[[#This Row],[issue_date]])</f>
        <v>2024</v>
      </c>
      <c r="F1740" t="s">
        <v>22</v>
      </c>
      <c r="G1740">
        <v>10</v>
      </c>
      <c r="H1740" t="s">
        <v>20</v>
      </c>
      <c r="I1740" t="str">
        <f>VLOOKUP(Table4[[#This Row],[customer_id]],customers!A:G,4,)</f>
        <v>delhi</v>
      </c>
    </row>
    <row r="1741" spans="1:9" x14ac:dyDescent="0.3">
      <c r="A1741">
        <v>21740</v>
      </c>
      <c r="B1741">
        <v>193</v>
      </c>
      <c r="C1741" s="2">
        <v>44651</v>
      </c>
      <c r="D1741" s="2" t="str">
        <f>TEXT(Table4[[#This Row],[issue_date]],"mmmm")</f>
        <v>March</v>
      </c>
      <c r="E1741" s="9">
        <f>YEAR(Table4[[#This Row],[issue_date]])</f>
        <v>2022</v>
      </c>
      <c r="F1741" t="s">
        <v>22</v>
      </c>
      <c r="G1741">
        <v>28</v>
      </c>
      <c r="H1741" t="s">
        <v>20</v>
      </c>
      <c r="I1741" t="str">
        <f>VLOOKUP(Table4[[#This Row],[customer_id]],customers!A:G,4,)</f>
        <v>bangalore</v>
      </c>
    </row>
    <row r="1742" spans="1:9" x14ac:dyDescent="0.3">
      <c r="A1742">
        <v>21741</v>
      </c>
      <c r="B1742">
        <v>167</v>
      </c>
      <c r="C1742" s="2">
        <v>44692</v>
      </c>
      <c r="D1742" s="2" t="str">
        <f>TEXT(Table4[[#This Row],[issue_date]],"mmmm")</f>
        <v>May</v>
      </c>
      <c r="E1742" s="9">
        <f>YEAR(Table4[[#This Row],[issue_date]])</f>
        <v>2022</v>
      </c>
      <c r="F1742" t="s">
        <v>22</v>
      </c>
      <c r="G1742">
        <v>36</v>
      </c>
      <c r="H1742" t="s">
        <v>20</v>
      </c>
      <c r="I1742" t="str">
        <f>VLOOKUP(Table4[[#This Row],[customer_id]],customers!A:G,4,)</f>
        <v>bangalore</v>
      </c>
    </row>
    <row r="1743" spans="1:9" x14ac:dyDescent="0.3">
      <c r="A1743">
        <v>21742</v>
      </c>
      <c r="B1743">
        <v>226</v>
      </c>
      <c r="C1743" s="2">
        <v>45371</v>
      </c>
      <c r="D1743" s="2" t="str">
        <f>TEXT(Table4[[#This Row],[issue_date]],"mmmm")</f>
        <v>March</v>
      </c>
      <c r="E1743" s="9">
        <f>YEAR(Table4[[#This Row],[issue_date]])</f>
        <v>2024</v>
      </c>
      <c r="F1743" t="s">
        <v>19</v>
      </c>
      <c r="G1743">
        <v>60</v>
      </c>
      <c r="H1743" t="s">
        <v>20</v>
      </c>
      <c r="I1743" t="str">
        <f>VLOOKUP(Table4[[#This Row],[customer_id]],customers!A:G,4,)</f>
        <v>chennai</v>
      </c>
    </row>
    <row r="1744" spans="1:9" x14ac:dyDescent="0.3">
      <c r="A1744">
        <v>21743</v>
      </c>
      <c r="B1744">
        <v>367</v>
      </c>
      <c r="C1744" s="2">
        <v>45086</v>
      </c>
      <c r="D1744" s="2" t="str">
        <f>TEXT(Table4[[#This Row],[issue_date]],"mmmm")</f>
        <v>June</v>
      </c>
      <c r="E1744" s="9">
        <f>YEAR(Table4[[#This Row],[issue_date]])</f>
        <v>2023</v>
      </c>
      <c r="F1744" t="s">
        <v>19</v>
      </c>
      <c r="G1744">
        <v>10</v>
      </c>
      <c r="H1744" t="s">
        <v>20</v>
      </c>
      <c r="I1744" t="str">
        <f>VLOOKUP(Table4[[#This Row],[customer_id]],customers!A:G,4,)</f>
        <v>kolkata</v>
      </c>
    </row>
    <row r="1745" spans="1:9" x14ac:dyDescent="0.3">
      <c r="A1745">
        <v>21744</v>
      </c>
      <c r="B1745">
        <v>251</v>
      </c>
      <c r="C1745" s="2">
        <v>44590</v>
      </c>
      <c r="D1745" s="2" t="str">
        <f>TEXT(Table4[[#This Row],[issue_date]],"mmmm")</f>
        <v>January</v>
      </c>
      <c r="E1745" s="9">
        <f>YEAR(Table4[[#This Row],[issue_date]])</f>
        <v>2022</v>
      </c>
      <c r="F1745" t="s">
        <v>22</v>
      </c>
      <c r="G1745">
        <v>14</v>
      </c>
      <c r="H1745" t="s">
        <v>20</v>
      </c>
      <c r="I1745" t="str">
        <f>VLOOKUP(Table4[[#This Row],[customer_id]],customers!A:G,4,)</f>
        <v>kolkata</v>
      </c>
    </row>
    <row r="1746" spans="1:9" x14ac:dyDescent="0.3">
      <c r="A1746">
        <v>21745</v>
      </c>
      <c r="B1746">
        <v>280</v>
      </c>
      <c r="C1746" s="2">
        <v>45338</v>
      </c>
      <c r="D1746" s="2" t="str">
        <f>TEXT(Table4[[#This Row],[issue_date]],"mmmm")</f>
        <v>February</v>
      </c>
      <c r="E1746" s="9">
        <f>YEAR(Table4[[#This Row],[issue_date]])</f>
        <v>2024</v>
      </c>
      <c r="F1746" t="s">
        <v>22</v>
      </c>
      <c r="G1746">
        <v>63</v>
      </c>
      <c r="H1746" t="s">
        <v>20</v>
      </c>
      <c r="I1746" t="str">
        <f>VLOOKUP(Table4[[#This Row],[customer_id]],customers!A:G,4,)</f>
        <v>chennai</v>
      </c>
    </row>
    <row r="1747" spans="1:9" x14ac:dyDescent="0.3">
      <c r="A1747">
        <v>21746</v>
      </c>
      <c r="B1747">
        <v>476</v>
      </c>
      <c r="C1747" s="2">
        <v>45105</v>
      </c>
      <c r="D1747" s="2" t="str">
        <f>TEXT(Table4[[#This Row],[issue_date]],"mmmm")</f>
        <v>June</v>
      </c>
      <c r="E1747" s="9">
        <f>YEAR(Table4[[#This Row],[issue_date]])</f>
        <v>2023</v>
      </c>
      <c r="F1747" t="s">
        <v>22</v>
      </c>
      <c r="G1747">
        <v>47</v>
      </c>
      <c r="H1747" t="s">
        <v>20</v>
      </c>
      <c r="I1747" t="str">
        <f>VLOOKUP(Table4[[#This Row],[customer_id]],customers!A:G,4,)</f>
        <v>bangalore</v>
      </c>
    </row>
    <row r="1748" spans="1:9" x14ac:dyDescent="0.3">
      <c r="A1748">
        <v>21747</v>
      </c>
      <c r="B1748">
        <v>498</v>
      </c>
      <c r="C1748" s="2">
        <v>45223</v>
      </c>
      <c r="D1748" s="2" t="str">
        <f>TEXT(Table4[[#This Row],[issue_date]],"mmmm")</f>
        <v>October</v>
      </c>
      <c r="E1748" s="9">
        <f>YEAR(Table4[[#This Row],[issue_date]])</f>
        <v>2023</v>
      </c>
      <c r="F1748" t="s">
        <v>22</v>
      </c>
      <c r="G1748">
        <v>69</v>
      </c>
      <c r="H1748" t="s">
        <v>20</v>
      </c>
      <c r="I1748" t="str">
        <f>VLOOKUP(Table4[[#This Row],[customer_id]],customers!A:G,4,)</f>
        <v>delhi</v>
      </c>
    </row>
    <row r="1749" spans="1:9" x14ac:dyDescent="0.3">
      <c r="A1749">
        <v>21748</v>
      </c>
      <c r="B1749">
        <v>452</v>
      </c>
      <c r="C1749" s="2">
        <v>44647</v>
      </c>
      <c r="D1749" s="2" t="str">
        <f>TEXT(Table4[[#This Row],[issue_date]],"mmmm")</f>
        <v>March</v>
      </c>
      <c r="E1749" s="9">
        <f>YEAR(Table4[[#This Row],[issue_date]])</f>
        <v>2022</v>
      </c>
      <c r="F1749" t="s">
        <v>21</v>
      </c>
      <c r="G1749">
        <v>56</v>
      </c>
      <c r="H1749" t="s">
        <v>20</v>
      </c>
      <c r="I1749" t="str">
        <f>VLOOKUP(Table4[[#This Row],[customer_id]],customers!A:G,4,)</f>
        <v>delhi</v>
      </c>
    </row>
    <row r="1750" spans="1:9" x14ac:dyDescent="0.3">
      <c r="A1750">
        <v>21749</v>
      </c>
      <c r="B1750">
        <v>466</v>
      </c>
      <c r="C1750" s="2">
        <v>44619</v>
      </c>
      <c r="D1750" s="2" t="str">
        <f>TEXT(Table4[[#This Row],[issue_date]],"mmmm")</f>
        <v>February</v>
      </c>
      <c r="E1750" s="9">
        <f>YEAR(Table4[[#This Row],[issue_date]])</f>
        <v>2022</v>
      </c>
      <c r="F1750" t="s">
        <v>22</v>
      </c>
      <c r="G1750">
        <v>6</v>
      </c>
      <c r="H1750" t="s">
        <v>20</v>
      </c>
      <c r="I1750" t="str">
        <f>VLOOKUP(Table4[[#This Row],[customer_id]],customers!A:G,4,)</f>
        <v>kolkata</v>
      </c>
    </row>
    <row r="1751" spans="1:9" x14ac:dyDescent="0.3">
      <c r="A1751">
        <v>21750</v>
      </c>
      <c r="B1751">
        <v>221</v>
      </c>
      <c r="C1751" s="2">
        <v>44618</v>
      </c>
      <c r="D1751" s="2" t="str">
        <f>TEXT(Table4[[#This Row],[issue_date]],"mmmm")</f>
        <v>February</v>
      </c>
      <c r="E1751" s="9">
        <f>YEAR(Table4[[#This Row],[issue_date]])</f>
        <v>2022</v>
      </c>
      <c r="F1751" t="s">
        <v>22</v>
      </c>
      <c r="G1751">
        <v>19</v>
      </c>
      <c r="H1751" t="s">
        <v>20</v>
      </c>
      <c r="I1751" t="str">
        <f>VLOOKUP(Table4[[#This Row],[customer_id]],customers!A:G,4,)</f>
        <v>bangalore</v>
      </c>
    </row>
    <row r="1752" spans="1:9" x14ac:dyDescent="0.3">
      <c r="A1752">
        <v>21751</v>
      </c>
      <c r="B1752">
        <v>23</v>
      </c>
      <c r="C1752" s="2">
        <v>44955</v>
      </c>
      <c r="D1752" s="2" t="str">
        <f>TEXT(Table4[[#This Row],[issue_date]],"mmmm")</f>
        <v>January</v>
      </c>
      <c r="E1752" s="9">
        <f>YEAR(Table4[[#This Row],[issue_date]])</f>
        <v>2023</v>
      </c>
      <c r="F1752" t="s">
        <v>21</v>
      </c>
      <c r="G1752">
        <v>52</v>
      </c>
      <c r="H1752" t="s">
        <v>20</v>
      </c>
      <c r="I1752" t="str">
        <f>VLOOKUP(Table4[[#This Row],[customer_id]],customers!A:G,4,)</f>
        <v>kolkata</v>
      </c>
    </row>
    <row r="1753" spans="1:9" x14ac:dyDescent="0.3">
      <c r="A1753">
        <v>21752</v>
      </c>
      <c r="B1753">
        <v>485</v>
      </c>
      <c r="C1753" s="2">
        <v>44586</v>
      </c>
      <c r="D1753" s="2" t="str">
        <f>TEXT(Table4[[#This Row],[issue_date]],"mmmm")</f>
        <v>January</v>
      </c>
      <c r="E1753" s="9">
        <f>YEAR(Table4[[#This Row],[issue_date]])</f>
        <v>2022</v>
      </c>
      <c r="F1753" t="s">
        <v>21</v>
      </c>
      <c r="G1753">
        <v>62</v>
      </c>
      <c r="H1753" t="s">
        <v>20</v>
      </c>
      <c r="I1753" t="str">
        <f>VLOOKUP(Table4[[#This Row],[customer_id]],customers!A:G,4,)</f>
        <v>delhi</v>
      </c>
    </row>
    <row r="1754" spans="1:9" x14ac:dyDescent="0.3">
      <c r="A1754">
        <v>21753</v>
      </c>
      <c r="B1754">
        <v>189</v>
      </c>
      <c r="C1754" s="2">
        <v>44751</v>
      </c>
      <c r="D1754" s="2" t="str">
        <f>TEXT(Table4[[#This Row],[issue_date]],"mmmm")</f>
        <v>July</v>
      </c>
      <c r="E1754" s="9">
        <f>YEAR(Table4[[#This Row],[issue_date]])</f>
        <v>2022</v>
      </c>
      <c r="F1754" t="s">
        <v>21</v>
      </c>
      <c r="G1754">
        <v>49</v>
      </c>
      <c r="H1754" t="s">
        <v>20</v>
      </c>
      <c r="I1754" t="str">
        <f>VLOOKUP(Table4[[#This Row],[customer_id]],customers!A:G,4,)</f>
        <v>delhi</v>
      </c>
    </row>
    <row r="1755" spans="1:9" x14ac:dyDescent="0.3">
      <c r="A1755">
        <v>21754</v>
      </c>
      <c r="B1755">
        <v>411</v>
      </c>
      <c r="C1755" s="2">
        <v>44637</v>
      </c>
      <c r="D1755" s="2" t="str">
        <f>TEXT(Table4[[#This Row],[issue_date]],"mmmm")</f>
        <v>March</v>
      </c>
      <c r="E1755" s="9">
        <f>YEAR(Table4[[#This Row],[issue_date]])</f>
        <v>2022</v>
      </c>
      <c r="F1755" t="s">
        <v>21</v>
      </c>
      <c r="G1755">
        <v>11</v>
      </c>
      <c r="H1755" t="s">
        <v>20</v>
      </c>
      <c r="I1755" t="str">
        <f>VLOOKUP(Table4[[#This Row],[customer_id]],customers!A:G,4,)</f>
        <v>hyderabad</v>
      </c>
    </row>
    <row r="1756" spans="1:9" x14ac:dyDescent="0.3">
      <c r="A1756">
        <v>21755</v>
      </c>
      <c r="B1756">
        <v>272</v>
      </c>
      <c r="C1756" s="2">
        <v>44932</v>
      </c>
      <c r="D1756" s="2" t="str">
        <f>TEXT(Table4[[#This Row],[issue_date]],"mmmm")</f>
        <v>January</v>
      </c>
      <c r="E1756" s="9">
        <f>YEAR(Table4[[#This Row],[issue_date]])</f>
        <v>2023</v>
      </c>
      <c r="F1756" t="s">
        <v>22</v>
      </c>
      <c r="G1756">
        <v>46</v>
      </c>
      <c r="H1756" t="s">
        <v>20</v>
      </c>
      <c r="I1756" t="str">
        <f>VLOOKUP(Table4[[#This Row],[customer_id]],customers!A:G,4,)</f>
        <v>chennai</v>
      </c>
    </row>
    <row r="1757" spans="1:9" x14ac:dyDescent="0.3">
      <c r="A1757">
        <v>21756</v>
      </c>
      <c r="B1757">
        <v>429</v>
      </c>
      <c r="C1757" s="2">
        <v>45460</v>
      </c>
      <c r="D1757" s="2" t="str">
        <f>TEXT(Table4[[#This Row],[issue_date]],"mmmm")</f>
        <v>June</v>
      </c>
      <c r="E1757" s="9">
        <f>YEAR(Table4[[#This Row],[issue_date]])</f>
        <v>2024</v>
      </c>
      <c r="F1757" t="s">
        <v>19</v>
      </c>
      <c r="G1757">
        <v>69</v>
      </c>
      <c r="H1757" t="s">
        <v>20</v>
      </c>
      <c r="I1757" t="str">
        <f>VLOOKUP(Table4[[#This Row],[customer_id]],customers!A:G,4,)</f>
        <v>hyderabad</v>
      </c>
    </row>
    <row r="1758" spans="1:9" x14ac:dyDescent="0.3">
      <c r="A1758">
        <v>21757</v>
      </c>
      <c r="B1758">
        <v>27</v>
      </c>
      <c r="C1758" s="2">
        <v>45412</v>
      </c>
      <c r="D1758" s="2" t="str">
        <f>TEXT(Table4[[#This Row],[issue_date]],"mmmm")</f>
        <v>April</v>
      </c>
      <c r="E1758" s="9">
        <f>YEAR(Table4[[#This Row],[issue_date]])</f>
        <v>2024</v>
      </c>
      <c r="F1758" t="s">
        <v>19</v>
      </c>
      <c r="G1758">
        <v>45</v>
      </c>
      <c r="H1758" t="s">
        <v>20</v>
      </c>
      <c r="I1758" t="str">
        <f>VLOOKUP(Table4[[#This Row],[customer_id]],customers!A:G,4,)</f>
        <v>delhi</v>
      </c>
    </row>
    <row r="1759" spans="1:9" x14ac:dyDescent="0.3">
      <c r="A1759">
        <v>21758</v>
      </c>
      <c r="B1759">
        <v>457</v>
      </c>
      <c r="C1759" s="2">
        <v>45298</v>
      </c>
      <c r="D1759" s="2" t="str">
        <f>TEXT(Table4[[#This Row],[issue_date]],"mmmm")</f>
        <v>January</v>
      </c>
      <c r="E1759" s="9">
        <f>YEAR(Table4[[#This Row],[issue_date]])</f>
        <v>2024</v>
      </c>
      <c r="F1759" t="s">
        <v>19</v>
      </c>
      <c r="G1759">
        <v>58</v>
      </c>
      <c r="H1759" t="s">
        <v>20</v>
      </c>
      <c r="I1759" t="str">
        <f>VLOOKUP(Table4[[#This Row],[customer_id]],customers!A:G,4,)</f>
        <v>delhi</v>
      </c>
    </row>
    <row r="1760" spans="1:9" x14ac:dyDescent="0.3">
      <c r="A1760">
        <v>21759</v>
      </c>
      <c r="B1760">
        <v>389</v>
      </c>
      <c r="C1760" s="2">
        <v>45067</v>
      </c>
      <c r="D1760" s="2" t="str">
        <f>TEXT(Table4[[#This Row],[issue_date]],"mmmm")</f>
        <v>May</v>
      </c>
      <c r="E1760" s="9">
        <f>YEAR(Table4[[#This Row],[issue_date]])</f>
        <v>2023</v>
      </c>
      <c r="F1760" t="s">
        <v>19</v>
      </c>
      <c r="G1760">
        <v>32</v>
      </c>
      <c r="H1760" t="s">
        <v>20</v>
      </c>
      <c r="I1760" t="str">
        <f>VLOOKUP(Table4[[#This Row],[customer_id]],customers!A:G,4,)</f>
        <v>bangalore</v>
      </c>
    </row>
    <row r="1761" spans="1:9" x14ac:dyDescent="0.3">
      <c r="A1761">
        <v>21760</v>
      </c>
      <c r="B1761">
        <v>443</v>
      </c>
      <c r="C1761" s="2">
        <v>44744</v>
      </c>
      <c r="D1761" s="2" t="str">
        <f>TEXT(Table4[[#This Row],[issue_date]],"mmmm")</f>
        <v>July</v>
      </c>
      <c r="E1761" s="9">
        <f>YEAR(Table4[[#This Row],[issue_date]])</f>
        <v>2022</v>
      </c>
      <c r="F1761" t="s">
        <v>19</v>
      </c>
      <c r="G1761">
        <v>10</v>
      </c>
      <c r="H1761" t="s">
        <v>20</v>
      </c>
      <c r="I1761" t="str">
        <f>VLOOKUP(Table4[[#This Row],[customer_id]],customers!A:G,4,)</f>
        <v>delhi</v>
      </c>
    </row>
    <row r="1762" spans="1:9" x14ac:dyDescent="0.3">
      <c r="A1762">
        <v>21761</v>
      </c>
      <c r="B1762">
        <v>456</v>
      </c>
      <c r="C1762" s="2">
        <v>44715</v>
      </c>
      <c r="D1762" s="2" t="str">
        <f>TEXT(Table4[[#This Row],[issue_date]],"mmmm")</f>
        <v>June</v>
      </c>
      <c r="E1762" s="9">
        <f>YEAR(Table4[[#This Row],[issue_date]])</f>
        <v>2022</v>
      </c>
      <c r="F1762" t="s">
        <v>19</v>
      </c>
      <c r="G1762">
        <v>13</v>
      </c>
      <c r="H1762" t="s">
        <v>23</v>
      </c>
      <c r="I1762" t="str">
        <f>VLOOKUP(Table4[[#This Row],[customer_id]],customers!A:G,4,)</f>
        <v>kolkata</v>
      </c>
    </row>
    <row r="1763" spans="1:9" x14ac:dyDescent="0.3">
      <c r="A1763">
        <v>21762</v>
      </c>
      <c r="B1763">
        <v>210</v>
      </c>
      <c r="C1763" s="2">
        <v>44830</v>
      </c>
      <c r="D1763" s="2" t="str">
        <f>TEXT(Table4[[#This Row],[issue_date]],"mmmm")</f>
        <v>September</v>
      </c>
      <c r="E1763" s="9">
        <f>YEAR(Table4[[#This Row],[issue_date]])</f>
        <v>2022</v>
      </c>
      <c r="F1763" t="s">
        <v>21</v>
      </c>
      <c r="G1763">
        <v>13</v>
      </c>
      <c r="H1763" t="s">
        <v>20</v>
      </c>
      <c r="I1763" t="str">
        <f>VLOOKUP(Table4[[#This Row],[customer_id]],customers!A:G,4,)</f>
        <v>kolkata</v>
      </c>
    </row>
    <row r="1764" spans="1:9" x14ac:dyDescent="0.3">
      <c r="A1764">
        <v>21763</v>
      </c>
      <c r="B1764">
        <v>35</v>
      </c>
      <c r="C1764" s="2">
        <v>44839</v>
      </c>
      <c r="D1764" s="2" t="str">
        <f>TEXT(Table4[[#This Row],[issue_date]],"mmmm")</f>
        <v>October</v>
      </c>
      <c r="E1764" s="9">
        <f>YEAR(Table4[[#This Row],[issue_date]])</f>
        <v>2022</v>
      </c>
      <c r="F1764" t="s">
        <v>21</v>
      </c>
      <c r="G1764">
        <v>36</v>
      </c>
      <c r="H1764" t="s">
        <v>20</v>
      </c>
      <c r="I1764" t="str">
        <f>VLOOKUP(Table4[[#This Row],[customer_id]],customers!A:G,4,)</f>
        <v>chennai</v>
      </c>
    </row>
    <row r="1765" spans="1:9" x14ac:dyDescent="0.3">
      <c r="A1765">
        <v>21764</v>
      </c>
      <c r="B1765">
        <v>198</v>
      </c>
      <c r="C1765" s="2">
        <v>44901</v>
      </c>
      <c r="D1765" s="2" t="str">
        <f>TEXT(Table4[[#This Row],[issue_date]],"mmmm")</f>
        <v>December</v>
      </c>
      <c r="E1765" s="9">
        <f>YEAR(Table4[[#This Row],[issue_date]])</f>
        <v>2022</v>
      </c>
      <c r="F1765" t="s">
        <v>19</v>
      </c>
      <c r="G1765">
        <v>19</v>
      </c>
      <c r="H1765" t="s">
        <v>20</v>
      </c>
      <c r="I1765" t="str">
        <f>VLOOKUP(Table4[[#This Row],[customer_id]],customers!A:G,4,)</f>
        <v>kolkata</v>
      </c>
    </row>
    <row r="1766" spans="1:9" x14ac:dyDescent="0.3">
      <c r="A1766">
        <v>21765</v>
      </c>
      <c r="B1766">
        <v>491</v>
      </c>
      <c r="C1766" s="2">
        <v>45436</v>
      </c>
      <c r="D1766" s="2" t="str">
        <f>TEXT(Table4[[#This Row],[issue_date]],"mmmm")</f>
        <v>May</v>
      </c>
      <c r="E1766" s="9">
        <f>YEAR(Table4[[#This Row],[issue_date]])</f>
        <v>2024</v>
      </c>
      <c r="F1766" t="s">
        <v>22</v>
      </c>
      <c r="G1766">
        <v>7</v>
      </c>
      <c r="H1766" t="s">
        <v>20</v>
      </c>
      <c r="I1766" t="str">
        <f>VLOOKUP(Table4[[#This Row],[customer_id]],customers!A:G,4,)</f>
        <v>hyderabad</v>
      </c>
    </row>
    <row r="1767" spans="1:9" x14ac:dyDescent="0.3">
      <c r="A1767">
        <v>21766</v>
      </c>
      <c r="B1767">
        <v>471</v>
      </c>
      <c r="C1767" s="2">
        <v>44584</v>
      </c>
      <c r="D1767" s="2" t="str">
        <f>TEXT(Table4[[#This Row],[issue_date]],"mmmm")</f>
        <v>January</v>
      </c>
      <c r="E1767" s="9">
        <f>YEAR(Table4[[#This Row],[issue_date]])</f>
        <v>2022</v>
      </c>
      <c r="F1767" t="s">
        <v>22</v>
      </c>
      <c r="G1767">
        <v>15</v>
      </c>
      <c r="H1767" t="s">
        <v>20</v>
      </c>
      <c r="I1767" t="str">
        <f>VLOOKUP(Table4[[#This Row],[customer_id]],customers!A:G,4,)</f>
        <v>hyderabad</v>
      </c>
    </row>
    <row r="1768" spans="1:9" x14ac:dyDescent="0.3">
      <c r="A1768">
        <v>21767</v>
      </c>
      <c r="B1768">
        <v>174</v>
      </c>
      <c r="C1768" s="2">
        <v>44993</v>
      </c>
      <c r="D1768" s="2" t="str">
        <f>TEXT(Table4[[#This Row],[issue_date]],"mmmm")</f>
        <v>March</v>
      </c>
      <c r="E1768" s="9">
        <f>YEAR(Table4[[#This Row],[issue_date]])</f>
        <v>2023</v>
      </c>
      <c r="F1768" t="s">
        <v>19</v>
      </c>
      <c r="G1768">
        <v>46</v>
      </c>
      <c r="H1768" t="s">
        <v>20</v>
      </c>
      <c r="I1768" t="str">
        <f>VLOOKUP(Table4[[#This Row],[customer_id]],customers!A:G,4,)</f>
        <v>mumbai</v>
      </c>
    </row>
    <row r="1769" spans="1:9" x14ac:dyDescent="0.3">
      <c r="A1769">
        <v>21768</v>
      </c>
      <c r="B1769">
        <v>218</v>
      </c>
      <c r="C1769" s="2">
        <v>45087</v>
      </c>
      <c r="D1769" s="2" t="str">
        <f>TEXT(Table4[[#This Row],[issue_date]],"mmmm")</f>
        <v>June</v>
      </c>
      <c r="E1769" s="9">
        <f>YEAR(Table4[[#This Row],[issue_date]])</f>
        <v>2023</v>
      </c>
      <c r="F1769" t="s">
        <v>22</v>
      </c>
      <c r="G1769">
        <v>48</v>
      </c>
      <c r="H1769" t="s">
        <v>20</v>
      </c>
      <c r="I1769" t="str">
        <f>VLOOKUP(Table4[[#This Row],[customer_id]],customers!A:G,4,)</f>
        <v>delhi</v>
      </c>
    </row>
    <row r="1770" spans="1:9" x14ac:dyDescent="0.3">
      <c r="A1770">
        <v>21769</v>
      </c>
      <c r="B1770">
        <v>56</v>
      </c>
      <c r="C1770" s="2">
        <v>45167</v>
      </c>
      <c r="D1770" s="2" t="str">
        <f>TEXT(Table4[[#This Row],[issue_date]],"mmmm")</f>
        <v>August</v>
      </c>
      <c r="E1770" s="9">
        <f>YEAR(Table4[[#This Row],[issue_date]])</f>
        <v>2023</v>
      </c>
      <c r="F1770" t="s">
        <v>21</v>
      </c>
      <c r="G1770">
        <v>66</v>
      </c>
      <c r="H1770" t="s">
        <v>20</v>
      </c>
      <c r="I1770" t="str">
        <f>VLOOKUP(Table4[[#This Row],[customer_id]],customers!A:G,4,)</f>
        <v>chennai</v>
      </c>
    </row>
    <row r="1771" spans="1:9" x14ac:dyDescent="0.3">
      <c r="A1771">
        <v>21770</v>
      </c>
      <c r="B1771">
        <v>383</v>
      </c>
      <c r="C1771" s="2">
        <v>44904</v>
      </c>
      <c r="D1771" s="2" t="str">
        <f>TEXT(Table4[[#This Row],[issue_date]],"mmmm")</f>
        <v>December</v>
      </c>
      <c r="E1771" s="9">
        <f>YEAR(Table4[[#This Row],[issue_date]])</f>
        <v>2022</v>
      </c>
      <c r="F1771" t="s">
        <v>21</v>
      </c>
      <c r="G1771">
        <v>4</v>
      </c>
      <c r="H1771" t="s">
        <v>20</v>
      </c>
      <c r="I1771" t="str">
        <f>VLOOKUP(Table4[[#This Row],[customer_id]],customers!A:G,4,)</f>
        <v>kolkata</v>
      </c>
    </row>
    <row r="1772" spans="1:9" x14ac:dyDescent="0.3">
      <c r="A1772">
        <v>21771</v>
      </c>
      <c r="B1772">
        <v>499</v>
      </c>
      <c r="C1772" s="2">
        <v>45440</v>
      </c>
      <c r="D1772" s="2" t="str">
        <f>TEXT(Table4[[#This Row],[issue_date]],"mmmm")</f>
        <v>May</v>
      </c>
      <c r="E1772" s="9">
        <f>YEAR(Table4[[#This Row],[issue_date]])</f>
        <v>2024</v>
      </c>
      <c r="F1772" t="s">
        <v>22</v>
      </c>
      <c r="G1772">
        <v>3</v>
      </c>
      <c r="H1772" t="s">
        <v>20</v>
      </c>
      <c r="I1772" t="str">
        <f>VLOOKUP(Table4[[#This Row],[customer_id]],customers!A:G,4,)</f>
        <v>delhi</v>
      </c>
    </row>
    <row r="1773" spans="1:9" x14ac:dyDescent="0.3">
      <c r="A1773">
        <v>21772</v>
      </c>
      <c r="B1773">
        <v>487</v>
      </c>
      <c r="C1773" s="2">
        <v>44613</v>
      </c>
      <c r="D1773" s="2" t="str">
        <f>TEXT(Table4[[#This Row],[issue_date]],"mmmm")</f>
        <v>February</v>
      </c>
      <c r="E1773" s="9">
        <f>YEAR(Table4[[#This Row],[issue_date]])</f>
        <v>2022</v>
      </c>
      <c r="F1773" t="s">
        <v>19</v>
      </c>
      <c r="G1773">
        <v>3</v>
      </c>
      <c r="H1773" t="s">
        <v>20</v>
      </c>
      <c r="I1773" t="str">
        <f>VLOOKUP(Table4[[#This Row],[customer_id]],customers!A:G,4,)</f>
        <v>bangalore</v>
      </c>
    </row>
    <row r="1774" spans="1:9" x14ac:dyDescent="0.3">
      <c r="A1774">
        <v>21773</v>
      </c>
      <c r="B1774">
        <v>152</v>
      </c>
      <c r="C1774" s="2">
        <v>44900</v>
      </c>
      <c r="D1774" s="2" t="str">
        <f>TEXT(Table4[[#This Row],[issue_date]],"mmmm")</f>
        <v>December</v>
      </c>
      <c r="E1774" s="9">
        <f>YEAR(Table4[[#This Row],[issue_date]])</f>
        <v>2022</v>
      </c>
      <c r="F1774" t="s">
        <v>21</v>
      </c>
      <c r="G1774">
        <v>69</v>
      </c>
      <c r="H1774" t="s">
        <v>20</v>
      </c>
      <c r="I1774" t="str">
        <f>VLOOKUP(Table4[[#This Row],[customer_id]],customers!A:G,4,)</f>
        <v>bangalore</v>
      </c>
    </row>
    <row r="1775" spans="1:9" x14ac:dyDescent="0.3">
      <c r="A1775">
        <v>21774</v>
      </c>
      <c r="B1775">
        <v>394</v>
      </c>
      <c r="C1775" s="2">
        <v>44602</v>
      </c>
      <c r="D1775" s="2" t="str">
        <f>TEXT(Table4[[#This Row],[issue_date]],"mmmm")</f>
        <v>February</v>
      </c>
      <c r="E1775" s="9">
        <f>YEAR(Table4[[#This Row],[issue_date]])</f>
        <v>2022</v>
      </c>
      <c r="F1775" t="s">
        <v>22</v>
      </c>
      <c r="G1775">
        <v>28</v>
      </c>
      <c r="H1775" t="s">
        <v>20</v>
      </c>
      <c r="I1775" t="str">
        <f>VLOOKUP(Table4[[#This Row],[customer_id]],customers!A:G,4,)</f>
        <v>delhi</v>
      </c>
    </row>
    <row r="1776" spans="1:9" x14ac:dyDescent="0.3">
      <c r="A1776">
        <v>21775</v>
      </c>
      <c r="B1776">
        <v>463</v>
      </c>
      <c r="C1776" s="2">
        <v>45237</v>
      </c>
      <c r="D1776" s="2" t="str">
        <f>TEXT(Table4[[#This Row],[issue_date]],"mmmm")</f>
        <v>November</v>
      </c>
      <c r="E1776" s="9">
        <f>YEAR(Table4[[#This Row],[issue_date]])</f>
        <v>2023</v>
      </c>
      <c r="F1776" t="s">
        <v>22</v>
      </c>
      <c r="G1776">
        <v>23</v>
      </c>
      <c r="H1776" t="s">
        <v>20</v>
      </c>
      <c r="I1776" t="str">
        <f>VLOOKUP(Table4[[#This Row],[customer_id]],customers!A:G,4,)</f>
        <v>delhi</v>
      </c>
    </row>
    <row r="1777" spans="1:9" x14ac:dyDescent="0.3">
      <c r="A1777">
        <v>21776</v>
      </c>
      <c r="B1777">
        <v>38</v>
      </c>
      <c r="C1777" s="2">
        <v>45079</v>
      </c>
      <c r="D1777" s="2" t="str">
        <f>TEXT(Table4[[#This Row],[issue_date]],"mmmm")</f>
        <v>June</v>
      </c>
      <c r="E1777" s="9">
        <f>YEAR(Table4[[#This Row],[issue_date]])</f>
        <v>2023</v>
      </c>
      <c r="F1777" t="s">
        <v>21</v>
      </c>
      <c r="G1777">
        <v>30</v>
      </c>
      <c r="H1777" t="s">
        <v>20</v>
      </c>
      <c r="I1777" t="str">
        <f>VLOOKUP(Table4[[#This Row],[customer_id]],customers!A:G,4,)</f>
        <v>mumbai</v>
      </c>
    </row>
    <row r="1778" spans="1:9" x14ac:dyDescent="0.3">
      <c r="A1778">
        <v>21777</v>
      </c>
      <c r="B1778">
        <v>468</v>
      </c>
      <c r="C1778" s="2">
        <v>44968</v>
      </c>
      <c r="D1778" s="2" t="str">
        <f>TEXT(Table4[[#This Row],[issue_date]],"mmmm")</f>
        <v>February</v>
      </c>
      <c r="E1778" s="9">
        <f>YEAR(Table4[[#This Row],[issue_date]])</f>
        <v>2023</v>
      </c>
      <c r="F1778" t="s">
        <v>21</v>
      </c>
      <c r="G1778">
        <v>62</v>
      </c>
      <c r="H1778" t="s">
        <v>20</v>
      </c>
      <c r="I1778" t="str">
        <f>VLOOKUP(Table4[[#This Row],[customer_id]],customers!A:G,4,)</f>
        <v>mumbai</v>
      </c>
    </row>
    <row r="1779" spans="1:9" x14ac:dyDescent="0.3">
      <c r="A1779">
        <v>21778</v>
      </c>
      <c r="B1779">
        <v>477</v>
      </c>
      <c r="C1779" s="2">
        <v>44699</v>
      </c>
      <c r="D1779" s="2" t="str">
        <f>TEXT(Table4[[#This Row],[issue_date]],"mmmm")</f>
        <v>May</v>
      </c>
      <c r="E1779" s="9">
        <f>YEAR(Table4[[#This Row],[issue_date]])</f>
        <v>2022</v>
      </c>
      <c r="F1779" t="s">
        <v>19</v>
      </c>
      <c r="G1779">
        <v>51</v>
      </c>
      <c r="H1779" t="s">
        <v>20</v>
      </c>
      <c r="I1779" t="str">
        <f>VLOOKUP(Table4[[#This Row],[customer_id]],customers!A:G,4,)</f>
        <v>delhi</v>
      </c>
    </row>
    <row r="1780" spans="1:9" x14ac:dyDescent="0.3">
      <c r="A1780">
        <v>21779</v>
      </c>
      <c r="B1780">
        <v>198</v>
      </c>
      <c r="C1780" s="2">
        <v>44660</v>
      </c>
      <c r="D1780" s="2" t="str">
        <f>TEXT(Table4[[#This Row],[issue_date]],"mmmm")</f>
        <v>April</v>
      </c>
      <c r="E1780" s="9">
        <f>YEAR(Table4[[#This Row],[issue_date]])</f>
        <v>2022</v>
      </c>
      <c r="F1780" t="s">
        <v>22</v>
      </c>
      <c r="G1780">
        <v>41</v>
      </c>
      <c r="H1780" t="s">
        <v>23</v>
      </c>
      <c r="I1780" t="str">
        <f>VLOOKUP(Table4[[#This Row],[customer_id]],customers!A:G,4,)</f>
        <v>kolkata</v>
      </c>
    </row>
    <row r="1781" spans="1:9" x14ac:dyDescent="0.3">
      <c r="A1781">
        <v>21780</v>
      </c>
      <c r="B1781">
        <v>432</v>
      </c>
      <c r="C1781" s="2">
        <v>44902</v>
      </c>
      <c r="D1781" s="2" t="str">
        <f>TEXT(Table4[[#This Row],[issue_date]],"mmmm")</f>
        <v>December</v>
      </c>
      <c r="E1781" s="9">
        <f>YEAR(Table4[[#This Row],[issue_date]])</f>
        <v>2022</v>
      </c>
      <c r="F1781" t="s">
        <v>19</v>
      </c>
      <c r="G1781">
        <v>64</v>
      </c>
      <c r="H1781" t="s">
        <v>20</v>
      </c>
      <c r="I1781" t="str">
        <f>VLOOKUP(Table4[[#This Row],[customer_id]],customers!A:G,4,)</f>
        <v>mumbai</v>
      </c>
    </row>
    <row r="1782" spans="1:9" x14ac:dyDescent="0.3">
      <c r="A1782">
        <v>21781</v>
      </c>
      <c r="B1782">
        <v>9</v>
      </c>
      <c r="C1782" s="2">
        <v>45297</v>
      </c>
      <c r="D1782" s="2" t="str">
        <f>TEXT(Table4[[#This Row],[issue_date]],"mmmm")</f>
        <v>January</v>
      </c>
      <c r="E1782" s="9">
        <f>YEAR(Table4[[#This Row],[issue_date]])</f>
        <v>2024</v>
      </c>
      <c r="F1782" t="s">
        <v>21</v>
      </c>
      <c r="G1782">
        <v>43</v>
      </c>
      <c r="H1782" t="s">
        <v>20</v>
      </c>
      <c r="I1782" t="str">
        <f>VLOOKUP(Table4[[#This Row],[customer_id]],customers!A:G,4,)</f>
        <v>bangalore</v>
      </c>
    </row>
    <row r="1783" spans="1:9" x14ac:dyDescent="0.3">
      <c r="A1783">
        <v>21782</v>
      </c>
      <c r="B1783">
        <v>499</v>
      </c>
      <c r="C1783" s="2">
        <v>44877</v>
      </c>
      <c r="D1783" s="2" t="str">
        <f>TEXT(Table4[[#This Row],[issue_date]],"mmmm")</f>
        <v>November</v>
      </c>
      <c r="E1783" s="9">
        <f>YEAR(Table4[[#This Row],[issue_date]])</f>
        <v>2022</v>
      </c>
      <c r="F1783" t="s">
        <v>22</v>
      </c>
      <c r="G1783">
        <v>58</v>
      </c>
      <c r="H1783" t="s">
        <v>20</v>
      </c>
      <c r="I1783" t="str">
        <f>VLOOKUP(Table4[[#This Row],[customer_id]],customers!A:G,4,)</f>
        <v>delhi</v>
      </c>
    </row>
    <row r="1784" spans="1:9" x14ac:dyDescent="0.3">
      <c r="A1784">
        <v>21783</v>
      </c>
      <c r="B1784">
        <v>178</v>
      </c>
      <c r="C1784" s="2">
        <v>45103</v>
      </c>
      <c r="D1784" s="2" t="str">
        <f>TEXT(Table4[[#This Row],[issue_date]],"mmmm")</f>
        <v>June</v>
      </c>
      <c r="E1784" s="9">
        <f>YEAR(Table4[[#This Row],[issue_date]])</f>
        <v>2023</v>
      </c>
      <c r="F1784" t="s">
        <v>21</v>
      </c>
      <c r="G1784">
        <v>59</v>
      </c>
      <c r="H1784" t="s">
        <v>20</v>
      </c>
      <c r="I1784" t="str">
        <f>VLOOKUP(Table4[[#This Row],[customer_id]],customers!A:G,4,)</f>
        <v>chennai</v>
      </c>
    </row>
    <row r="1785" spans="1:9" x14ac:dyDescent="0.3">
      <c r="A1785">
        <v>21784</v>
      </c>
      <c r="B1785">
        <v>325</v>
      </c>
      <c r="C1785" s="2">
        <v>44786</v>
      </c>
      <c r="D1785" s="2" t="str">
        <f>TEXT(Table4[[#This Row],[issue_date]],"mmmm")</f>
        <v>August</v>
      </c>
      <c r="E1785" s="9">
        <f>YEAR(Table4[[#This Row],[issue_date]])</f>
        <v>2022</v>
      </c>
      <c r="F1785" t="s">
        <v>21</v>
      </c>
      <c r="G1785">
        <v>40</v>
      </c>
      <c r="H1785" t="s">
        <v>20</v>
      </c>
      <c r="I1785" t="str">
        <f>VLOOKUP(Table4[[#This Row],[customer_id]],customers!A:G,4,)</f>
        <v>kolkata</v>
      </c>
    </row>
    <row r="1786" spans="1:9" x14ac:dyDescent="0.3">
      <c r="A1786">
        <v>21785</v>
      </c>
      <c r="B1786">
        <v>176</v>
      </c>
      <c r="C1786" s="2">
        <v>45399</v>
      </c>
      <c r="D1786" s="2" t="str">
        <f>TEXT(Table4[[#This Row],[issue_date]],"mmmm")</f>
        <v>April</v>
      </c>
      <c r="E1786" s="9">
        <f>YEAR(Table4[[#This Row],[issue_date]])</f>
        <v>2024</v>
      </c>
      <c r="F1786" t="s">
        <v>21</v>
      </c>
      <c r="G1786">
        <v>46</v>
      </c>
      <c r="H1786" t="s">
        <v>20</v>
      </c>
      <c r="I1786" t="str">
        <f>VLOOKUP(Table4[[#This Row],[customer_id]],customers!A:G,4,)</f>
        <v>chennai</v>
      </c>
    </row>
    <row r="1787" spans="1:9" x14ac:dyDescent="0.3">
      <c r="A1787">
        <v>21786</v>
      </c>
      <c r="B1787">
        <v>423</v>
      </c>
      <c r="C1787" s="2">
        <v>44822</v>
      </c>
      <c r="D1787" s="2" t="str">
        <f>TEXT(Table4[[#This Row],[issue_date]],"mmmm")</f>
        <v>September</v>
      </c>
      <c r="E1787" s="9">
        <f>YEAR(Table4[[#This Row],[issue_date]])</f>
        <v>2022</v>
      </c>
      <c r="F1787" t="s">
        <v>19</v>
      </c>
      <c r="G1787">
        <v>62</v>
      </c>
      <c r="H1787" t="s">
        <v>23</v>
      </c>
      <c r="I1787" t="str">
        <f>VLOOKUP(Table4[[#This Row],[customer_id]],customers!A:G,4,)</f>
        <v>bangalore</v>
      </c>
    </row>
    <row r="1788" spans="1:9" x14ac:dyDescent="0.3">
      <c r="A1788">
        <v>21787</v>
      </c>
      <c r="B1788">
        <v>467</v>
      </c>
      <c r="C1788" s="2">
        <v>44808</v>
      </c>
      <c r="D1788" s="2" t="str">
        <f>TEXT(Table4[[#This Row],[issue_date]],"mmmm")</f>
        <v>September</v>
      </c>
      <c r="E1788" s="9">
        <f>YEAR(Table4[[#This Row],[issue_date]])</f>
        <v>2022</v>
      </c>
      <c r="F1788" t="s">
        <v>21</v>
      </c>
      <c r="G1788">
        <v>49</v>
      </c>
      <c r="H1788" t="s">
        <v>20</v>
      </c>
      <c r="I1788" t="str">
        <f>VLOOKUP(Table4[[#This Row],[customer_id]],customers!A:G,4,)</f>
        <v>hyderabad</v>
      </c>
    </row>
    <row r="1789" spans="1:9" x14ac:dyDescent="0.3">
      <c r="A1789">
        <v>21788</v>
      </c>
      <c r="B1789">
        <v>261</v>
      </c>
      <c r="C1789" s="2">
        <v>44640</v>
      </c>
      <c r="D1789" s="2" t="str">
        <f>TEXT(Table4[[#This Row],[issue_date]],"mmmm")</f>
        <v>March</v>
      </c>
      <c r="E1789" s="9">
        <f>YEAR(Table4[[#This Row],[issue_date]])</f>
        <v>2022</v>
      </c>
      <c r="F1789" t="s">
        <v>19</v>
      </c>
      <c r="G1789">
        <v>23</v>
      </c>
      <c r="H1789" t="s">
        <v>20</v>
      </c>
      <c r="I1789" t="str">
        <f>VLOOKUP(Table4[[#This Row],[customer_id]],customers!A:G,4,)</f>
        <v>mumbai</v>
      </c>
    </row>
    <row r="1790" spans="1:9" x14ac:dyDescent="0.3">
      <c r="A1790">
        <v>21789</v>
      </c>
      <c r="B1790">
        <v>84</v>
      </c>
      <c r="C1790" s="2">
        <v>45258</v>
      </c>
      <c r="D1790" s="2" t="str">
        <f>TEXT(Table4[[#This Row],[issue_date]],"mmmm")</f>
        <v>November</v>
      </c>
      <c r="E1790" s="9">
        <f>YEAR(Table4[[#This Row],[issue_date]])</f>
        <v>2023</v>
      </c>
      <c r="F1790" t="s">
        <v>21</v>
      </c>
      <c r="G1790">
        <v>44</v>
      </c>
      <c r="H1790" t="s">
        <v>20</v>
      </c>
      <c r="I1790" t="str">
        <f>VLOOKUP(Table4[[#This Row],[customer_id]],customers!A:G,4,)</f>
        <v>delhi</v>
      </c>
    </row>
    <row r="1791" spans="1:9" x14ac:dyDescent="0.3">
      <c r="A1791">
        <v>21790</v>
      </c>
      <c r="B1791">
        <v>139</v>
      </c>
      <c r="C1791" s="2">
        <v>45372</v>
      </c>
      <c r="D1791" s="2" t="str">
        <f>TEXT(Table4[[#This Row],[issue_date]],"mmmm")</f>
        <v>March</v>
      </c>
      <c r="E1791" s="9">
        <f>YEAR(Table4[[#This Row],[issue_date]])</f>
        <v>2024</v>
      </c>
      <c r="F1791" t="s">
        <v>21</v>
      </c>
      <c r="G1791">
        <v>44</v>
      </c>
      <c r="H1791" t="s">
        <v>20</v>
      </c>
      <c r="I1791" t="str">
        <f>VLOOKUP(Table4[[#This Row],[customer_id]],customers!A:G,4,)</f>
        <v>chennai</v>
      </c>
    </row>
    <row r="1792" spans="1:9" x14ac:dyDescent="0.3">
      <c r="A1792">
        <v>21791</v>
      </c>
      <c r="B1792">
        <v>242</v>
      </c>
      <c r="C1792" s="2">
        <v>45253</v>
      </c>
      <c r="D1792" s="2" t="str">
        <f>TEXT(Table4[[#This Row],[issue_date]],"mmmm")</f>
        <v>November</v>
      </c>
      <c r="E1792" s="9">
        <f>YEAR(Table4[[#This Row],[issue_date]])</f>
        <v>2023</v>
      </c>
      <c r="F1792" t="s">
        <v>22</v>
      </c>
      <c r="G1792">
        <v>19</v>
      </c>
      <c r="H1792" t="s">
        <v>20</v>
      </c>
      <c r="I1792" t="str">
        <f>VLOOKUP(Table4[[#This Row],[customer_id]],customers!A:G,4,)</f>
        <v>hyderabad</v>
      </c>
    </row>
    <row r="1793" spans="1:9" x14ac:dyDescent="0.3">
      <c r="A1793">
        <v>21792</v>
      </c>
      <c r="B1793">
        <v>316</v>
      </c>
      <c r="C1793" s="2">
        <v>45034</v>
      </c>
      <c r="D1793" s="2" t="str">
        <f>TEXT(Table4[[#This Row],[issue_date]],"mmmm")</f>
        <v>April</v>
      </c>
      <c r="E1793" s="9">
        <f>YEAR(Table4[[#This Row],[issue_date]])</f>
        <v>2023</v>
      </c>
      <c r="F1793" t="s">
        <v>21</v>
      </c>
      <c r="G1793">
        <v>44</v>
      </c>
      <c r="H1793" t="s">
        <v>20</v>
      </c>
      <c r="I1793" t="str">
        <f>VLOOKUP(Table4[[#This Row],[customer_id]],customers!A:G,4,)</f>
        <v>hyderabad</v>
      </c>
    </row>
    <row r="1794" spans="1:9" x14ac:dyDescent="0.3">
      <c r="A1794">
        <v>21793</v>
      </c>
      <c r="B1794">
        <v>155</v>
      </c>
      <c r="C1794" s="2">
        <v>44638</v>
      </c>
      <c r="D1794" s="2" t="str">
        <f>TEXT(Table4[[#This Row],[issue_date]],"mmmm")</f>
        <v>March</v>
      </c>
      <c r="E1794" s="9">
        <f>YEAR(Table4[[#This Row],[issue_date]])</f>
        <v>2022</v>
      </c>
      <c r="F1794" t="s">
        <v>22</v>
      </c>
      <c r="G1794">
        <v>11</v>
      </c>
      <c r="H1794" t="s">
        <v>23</v>
      </c>
      <c r="I1794" t="str">
        <f>VLOOKUP(Table4[[#This Row],[customer_id]],customers!A:G,4,)</f>
        <v>mumbai</v>
      </c>
    </row>
    <row r="1795" spans="1:9" x14ac:dyDescent="0.3">
      <c r="A1795">
        <v>21794</v>
      </c>
      <c r="B1795">
        <v>221</v>
      </c>
      <c r="C1795" s="2">
        <v>44823</v>
      </c>
      <c r="D1795" s="2" t="str">
        <f>TEXT(Table4[[#This Row],[issue_date]],"mmmm")</f>
        <v>September</v>
      </c>
      <c r="E1795" s="9">
        <f>YEAR(Table4[[#This Row],[issue_date]])</f>
        <v>2022</v>
      </c>
      <c r="F1795" t="s">
        <v>22</v>
      </c>
      <c r="G1795">
        <v>60</v>
      </c>
      <c r="H1795" t="s">
        <v>20</v>
      </c>
      <c r="I1795" t="str">
        <f>VLOOKUP(Table4[[#This Row],[customer_id]],customers!A:G,4,)</f>
        <v>bangalore</v>
      </c>
    </row>
    <row r="1796" spans="1:9" x14ac:dyDescent="0.3">
      <c r="A1796">
        <v>21795</v>
      </c>
      <c r="B1796">
        <v>135</v>
      </c>
      <c r="C1796" s="2">
        <v>45302</v>
      </c>
      <c r="D1796" s="2" t="str">
        <f>TEXT(Table4[[#This Row],[issue_date]],"mmmm")</f>
        <v>January</v>
      </c>
      <c r="E1796" s="9">
        <f>YEAR(Table4[[#This Row],[issue_date]])</f>
        <v>2024</v>
      </c>
      <c r="F1796" t="s">
        <v>19</v>
      </c>
      <c r="G1796">
        <v>38</v>
      </c>
      <c r="H1796" t="s">
        <v>20</v>
      </c>
      <c r="I1796" t="str">
        <f>VLOOKUP(Table4[[#This Row],[customer_id]],customers!A:G,4,)</f>
        <v>chennai</v>
      </c>
    </row>
    <row r="1797" spans="1:9" x14ac:dyDescent="0.3">
      <c r="A1797">
        <v>21796</v>
      </c>
      <c r="B1797">
        <v>188</v>
      </c>
      <c r="C1797" s="2">
        <v>44563</v>
      </c>
      <c r="D1797" s="2" t="str">
        <f>TEXT(Table4[[#This Row],[issue_date]],"mmmm")</f>
        <v>January</v>
      </c>
      <c r="E1797" s="9">
        <f>YEAR(Table4[[#This Row],[issue_date]])</f>
        <v>2022</v>
      </c>
      <c r="F1797" t="s">
        <v>22</v>
      </c>
      <c r="G1797">
        <v>3</v>
      </c>
      <c r="H1797" t="s">
        <v>20</v>
      </c>
      <c r="I1797" t="str">
        <f>VLOOKUP(Table4[[#This Row],[customer_id]],customers!A:G,4,)</f>
        <v>delhi</v>
      </c>
    </row>
    <row r="1798" spans="1:9" x14ac:dyDescent="0.3">
      <c r="A1798">
        <v>21797</v>
      </c>
      <c r="B1798">
        <v>178</v>
      </c>
      <c r="C1798" s="2">
        <v>44578</v>
      </c>
      <c r="D1798" s="2" t="str">
        <f>TEXT(Table4[[#This Row],[issue_date]],"mmmm")</f>
        <v>January</v>
      </c>
      <c r="E1798" s="9">
        <f>YEAR(Table4[[#This Row],[issue_date]])</f>
        <v>2022</v>
      </c>
      <c r="F1798" t="s">
        <v>22</v>
      </c>
      <c r="G1798">
        <v>16</v>
      </c>
      <c r="H1798" t="s">
        <v>20</v>
      </c>
      <c r="I1798" t="str">
        <f>VLOOKUP(Table4[[#This Row],[customer_id]],customers!A:G,4,)</f>
        <v>chennai</v>
      </c>
    </row>
    <row r="1799" spans="1:9" x14ac:dyDescent="0.3">
      <c r="A1799">
        <v>21798</v>
      </c>
      <c r="B1799">
        <v>67</v>
      </c>
      <c r="C1799" s="2">
        <v>44905</v>
      </c>
      <c r="D1799" s="2" t="str">
        <f>TEXT(Table4[[#This Row],[issue_date]],"mmmm")</f>
        <v>December</v>
      </c>
      <c r="E1799" s="9">
        <f>YEAR(Table4[[#This Row],[issue_date]])</f>
        <v>2022</v>
      </c>
      <c r="F1799" t="s">
        <v>21</v>
      </c>
      <c r="G1799">
        <v>9</v>
      </c>
      <c r="H1799" t="s">
        <v>20</v>
      </c>
      <c r="I1799" t="str">
        <f>VLOOKUP(Table4[[#This Row],[customer_id]],customers!A:G,4,)</f>
        <v>hyderabad</v>
      </c>
    </row>
    <row r="1800" spans="1:9" x14ac:dyDescent="0.3">
      <c r="A1800">
        <v>21799</v>
      </c>
      <c r="B1800">
        <v>69</v>
      </c>
      <c r="C1800" s="2">
        <v>44573</v>
      </c>
      <c r="D1800" s="2" t="str">
        <f>TEXT(Table4[[#This Row],[issue_date]],"mmmm")</f>
        <v>January</v>
      </c>
      <c r="E1800" s="9">
        <f>YEAR(Table4[[#This Row],[issue_date]])</f>
        <v>2022</v>
      </c>
      <c r="F1800" t="s">
        <v>21</v>
      </c>
      <c r="G1800">
        <v>41</v>
      </c>
      <c r="H1800" t="s">
        <v>20</v>
      </c>
      <c r="I1800" t="str">
        <f>VLOOKUP(Table4[[#This Row],[customer_id]],customers!A:G,4,)</f>
        <v>mumbai</v>
      </c>
    </row>
    <row r="1801" spans="1:9" x14ac:dyDescent="0.3">
      <c r="A1801">
        <v>21800</v>
      </c>
      <c r="B1801">
        <v>439</v>
      </c>
      <c r="C1801" s="2">
        <v>45255</v>
      </c>
      <c r="D1801" s="2" t="str">
        <f>TEXT(Table4[[#This Row],[issue_date]],"mmmm")</f>
        <v>November</v>
      </c>
      <c r="E1801" s="9">
        <f>YEAR(Table4[[#This Row],[issue_date]])</f>
        <v>2023</v>
      </c>
      <c r="F1801" t="s">
        <v>19</v>
      </c>
      <c r="G1801">
        <v>38</v>
      </c>
      <c r="H1801" t="s">
        <v>20</v>
      </c>
      <c r="I1801" t="str">
        <f>VLOOKUP(Table4[[#This Row],[customer_id]],customers!A:G,4,)</f>
        <v>chennai</v>
      </c>
    </row>
    <row r="1802" spans="1:9" x14ac:dyDescent="0.3">
      <c r="A1802">
        <v>21801</v>
      </c>
      <c r="B1802">
        <v>77</v>
      </c>
      <c r="C1802" s="2">
        <v>45407</v>
      </c>
      <c r="D1802" s="2" t="str">
        <f>TEXT(Table4[[#This Row],[issue_date]],"mmmm")</f>
        <v>April</v>
      </c>
      <c r="E1802" s="9">
        <f>YEAR(Table4[[#This Row],[issue_date]])</f>
        <v>2024</v>
      </c>
      <c r="F1802" t="s">
        <v>22</v>
      </c>
      <c r="G1802">
        <v>69</v>
      </c>
      <c r="H1802" t="s">
        <v>20</v>
      </c>
      <c r="I1802" t="str">
        <f>VLOOKUP(Table4[[#This Row],[customer_id]],customers!A:G,4,)</f>
        <v>delhi</v>
      </c>
    </row>
    <row r="1803" spans="1:9" x14ac:dyDescent="0.3">
      <c r="A1803">
        <v>21802</v>
      </c>
      <c r="B1803">
        <v>400</v>
      </c>
      <c r="C1803" s="2">
        <v>44568</v>
      </c>
      <c r="D1803" s="2" t="str">
        <f>TEXT(Table4[[#This Row],[issue_date]],"mmmm")</f>
        <v>January</v>
      </c>
      <c r="E1803" s="9">
        <f>YEAR(Table4[[#This Row],[issue_date]])</f>
        <v>2022</v>
      </c>
      <c r="F1803" t="s">
        <v>22</v>
      </c>
      <c r="G1803">
        <v>65</v>
      </c>
      <c r="H1803" t="s">
        <v>20</v>
      </c>
      <c r="I1803" t="str">
        <f>VLOOKUP(Table4[[#This Row],[customer_id]],customers!A:G,4,)</f>
        <v>mumbai</v>
      </c>
    </row>
    <row r="1804" spans="1:9" x14ac:dyDescent="0.3">
      <c r="A1804">
        <v>21803</v>
      </c>
      <c r="B1804">
        <v>374</v>
      </c>
      <c r="C1804" s="2">
        <v>44807</v>
      </c>
      <c r="D1804" s="2" t="str">
        <f>TEXT(Table4[[#This Row],[issue_date]],"mmmm")</f>
        <v>September</v>
      </c>
      <c r="E1804" s="9">
        <f>YEAR(Table4[[#This Row],[issue_date]])</f>
        <v>2022</v>
      </c>
      <c r="F1804" t="s">
        <v>19</v>
      </c>
      <c r="G1804">
        <v>35</v>
      </c>
      <c r="H1804" t="s">
        <v>20</v>
      </c>
      <c r="I1804" t="str">
        <f>VLOOKUP(Table4[[#This Row],[customer_id]],customers!A:G,4,)</f>
        <v>mumbai</v>
      </c>
    </row>
    <row r="1805" spans="1:9" x14ac:dyDescent="0.3">
      <c r="A1805">
        <v>21804</v>
      </c>
      <c r="B1805">
        <v>12</v>
      </c>
      <c r="C1805" s="2">
        <v>44718</v>
      </c>
      <c r="D1805" s="2" t="str">
        <f>TEXT(Table4[[#This Row],[issue_date]],"mmmm")</f>
        <v>June</v>
      </c>
      <c r="E1805" s="9">
        <f>YEAR(Table4[[#This Row],[issue_date]])</f>
        <v>2022</v>
      </c>
      <c r="F1805" t="s">
        <v>21</v>
      </c>
      <c r="G1805">
        <v>35</v>
      </c>
      <c r="H1805" t="s">
        <v>20</v>
      </c>
      <c r="I1805" t="str">
        <f>VLOOKUP(Table4[[#This Row],[customer_id]],customers!A:G,4,)</f>
        <v>kolkata</v>
      </c>
    </row>
    <row r="1806" spans="1:9" x14ac:dyDescent="0.3">
      <c r="A1806">
        <v>21805</v>
      </c>
      <c r="B1806">
        <v>487</v>
      </c>
      <c r="C1806" s="2">
        <v>44735</v>
      </c>
      <c r="D1806" s="2" t="str">
        <f>TEXT(Table4[[#This Row],[issue_date]],"mmmm")</f>
        <v>June</v>
      </c>
      <c r="E1806" s="9">
        <f>YEAR(Table4[[#This Row],[issue_date]])</f>
        <v>2022</v>
      </c>
      <c r="F1806" t="s">
        <v>22</v>
      </c>
      <c r="G1806">
        <v>48</v>
      </c>
      <c r="H1806" t="s">
        <v>20</v>
      </c>
      <c r="I1806" t="str">
        <f>VLOOKUP(Table4[[#This Row],[customer_id]],customers!A:G,4,)</f>
        <v>bangalore</v>
      </c>
    </row>
    <row r="1807" spans="1:9" x14ac:dyDescent="0.3">
      <c r="A1807">
        <v>21806</v>
      </c>
      <c r="B1807">
        <v>283</v>
      </c>
      <c r="C1807" s="2">
        <v>45048</v>
      </c>
      <c r="D1807" s="2" t="str">
        <f>TEXT(Table4[[#This Row],[issue_date]],"mmmm")</f>
        <v>May</v>
      </c>
      <c r="E1807" s="9">
        <f>YEAR(Table4[[#This Row],[issue_date]])</f>
        <v>2023</v>
      </c>
      <c r="F1807" t="s">
        <v>19</v>
      </c>
      <c r="G1807">
        <v>8</v>
      </c>
      <c r="H1807" t="s">
        <v>20</v>
      </c>
      <c r="I1807" t="str">
        <f>VLOOKUP(Table4[[#This Row],[customer_id]],customers!A:G,4,)</f>
        <v>hyderabad</v>
      </c>
    </row>
    <row r="1808" spans="1:9" x14ac:dyDescent="0.3">
      <c r="A1808">
        <v>21807</v>
      </c>
      <c r="B1808">
        <v>246</v>
      </c>
      <c r="C1808" s="2">
        <v>45402</v>
      </c>
      <c r="D1808" s="2" t="str">
        <f>TEXT(Table4[[#This Row],[issue_date]],"mmmm")</f>
        <v>April</v>
      </c>
      <c r="E1808" s="9">
        <f>YEAR(Table4[[#This Row],[issue_date]])</f>
        <v>2024</v>
      </c>
      <c r="F1808" t="s">
        <v>21</v>
      </c>
      <c r="G1808">
        <v>27</v>
      </c>
      <c r="H1808" t="s">
        <v>20</v>
      </c>
      <c r="I1808" t="str">
        <f>VLOOKUP(Table4[[#This Row],[customer_id]],customers!A:G,4,)</f>
        <v>bangalore</v>
      </c>
    </row>
    <row r="1809" spans="1:9" x14ac:dyDescent="0.3">
      <c r="A1809">
        <v>21808</v>
      </c>
      <c r="B1809">
        <v>237</v>
      </c>
      <c r="C1809" s="2">
        <v>45407</v>
      </c>
      <c r="D1809" s="2" t="str">
        <f>TEXT(Table4[[#This Row],[issue_date]],"mmmm")</f>
        <v>April</v>
      </c>
      <c r="E1809" s="9">
        <f>YEAR(Table4[[#This Row],[issue_date]])</f>
        <v>2024</v>
      </c>
      <c r="F1809" t="s">
        <v>19</v>
      </c>
      <c r="G1809">
        <v>9</v>
      </c>
      <c r="H1809" t="s">
        <v>20</v>
      </c>
      <c r="I1809" t="str">
        <f>VLOOKUP(Table4[[#This Row],[customer_id]],customers!A:G,4,)</f>
        <v>chennai</v>
      </c>
    </row>
    <row r="1810" spans="1:9" x14ac:dyDescent="0.3">
      <c r="A1810">
        <v>21809</v>
      </c>
      <c r="B1810">
        <v>252</v>
      </c>
      <c r="C1810" s="2">
        <v>45254</v>
      </c>
      <c r="D1810" s="2" t="str">
        <f>TEXT(Table4[[#This Row],[issue_date]],"mmmm")</f>
        <v>November</v>
      </c>
      <c r="E1810" s="9">
        <f>YEAR(Table4[[#This Row],[issue_date]])</f>
        <v>2023</v>
      </c>
      <c r="F1810" t="s">
        <v>19</v>
      </c>
      <c r="G1810">
        <v>30</v>
      </c>
      <c r="H1810" t="s">
        <v>20</v>
      </c>
      <c r="I1810" t="str">
        <f>VLOOKUP(Table4[[#This Row],[customer_id]],customers!A:G,4,)</f>
        <v>hyderabad</v>
      </c>
    </row>
    <row r="1811" spans="1:9" x14ac:dyDescent="0.3">
      <c r="A1811">
        <v>21810</v>
      </c>
      <c r="B1811">
        <v>417</v>
      </c>
      <c r="C1811" s="2">
        <v>44842</v>
      </c>
      <c r="D1811" s="2" t="str">
        <f>TEXT(Table4[[#This Row],[issue_date]],"mmmm")</f>
        <v>October</v>
      </c>
      <c r="E1811" s="9">
        <f>YEAR(Table4[[#This Row],[issue_date]])</f>
        <v>2022</v>
      </c>
      <c r="F1811" t="s">
        <v>22</v>
      </c>
      <c r="G1811">
        <v>14</v>
      </c>
      <c r="H1811" t="s">
        <v>20</v>
      </c>
      <c r="I1811" t="str">
        <f>VLOOKUP(Table4[[#This Row],[customer_id]],customers!A:G,4,)</f>
        <v>bangalore</v>
      </c>
    </row>
    <row r="1812" spans="1:9" x14ac:dyDescent="0.3">
      <c r="A1812">
        <v>21811</v>
      </c>
      <c r="B1812">
        <v>207</v>
      </c>
      <c r="C1812" s="2">
        <v>44870</v>
      </c>
      <c r="D1812" s="2" t="str">
        <f>TEXT(Table4[[#This Row],[issue_date]],"mmmm")</f>
        <v>November</v>
      </c>
      <c r="E1812" s="9">
        <f>YEAR(Table4[[#This Row],[issue_date]])</f>
        <v>2022</v>
      </c>
      <c r="F1812" t="s">
        <v>21</v>
      </c>
      <c r="G1812">
        <v>23</v>
      </c>
      <c r="H1812" t="s">
        <v>20</v>
      </c>
      <c r="I1812" t="str">
        <f>VLOOKUP(Table4[[#This Row],[customer_id]],customers!A:G,4,)</f>
        <v>mumbai</v>
      </c>
    </row>
    <row r="1813" spans="1:9" x14ac:dyDescent="0.3">
      <c r="A1813">
        <v>21812</v>
      </c>
      <c r="B1813">
        <v>341</v>
      </c>
      <c r="C1813" s="2">
        <v>44798</v>
      </c>
      <c r="D1813" s="2" t="str">
        <f>TEXT(Table4[[#This Row],[issue_date]],"mmmm")</f>
        <v>August</v>
      </c>
      <c r="E1813" s="9">
        <f>YEAR(Table4[[#This Row],[issue_date]])</f>
        <v>2022</v>
      </c>
      <c r="F1813" t="s">
        <v>22</v>
      </c>
      <c r="G1813">
        <v>29</v>
      </c>
      <c r="H1813" t="s">
        <v>20</v>
      </c>
      <c r="I1813" t="str">
        <f>VLOOKUP(Table4[[#This Row],[customer_id]],customers!A:G,4,)</f>
        <v>bangalore</v>
      </c>
    </row>
    <row r="1814" spans="1:9" x14ac:dyDescent="0.3">
      <c r="A1814">
        <v>21813</v>
      </c>
      <c r="B1814">
        <v>108</v>
      </c>
      <c r="C1814" s="2">
        <v>44718</v>
      </c>
      <c r="D1814" s="2" t="str">
        <f>TEXT(Table4[[#This Row],[issue_date]],"mmmm")</f>
        <v>June</v>
      </c>
      <c r="E1814" s="9">
        <f>YEAR(Table4[[#This Row],[issue_date]])</f>
        <v>2022</v>
      </c>
      <c r="F1814" t="s">
        <v>22</v>
      </c>
      <c r="G1814">
        <v>26</v>
      </c>
      <c r="H1814" t="s">
        <v>20</v>
      </c>
      <c r="I1814" t="str">
        <f>VLOOKUP(Table4[[#This Row],[customer_id]],customers!A:G,4,)</f>
        <v>delhi</v>
      </c>
    </row>
    <row r="1815" spans="1:9" x14ac:dyDescent="0.3">
      <c r="A1815">
        <v>21814</v>
      </c>
      <c r="B1815">
        <v>209</v>
      </c>
      <c r="C1815" s="2">
        <v>44812</v>
      </c>
      <c r="D1815" s="2" t="str">
        <f>TEXT(Table4[[#This Row],[issue_date]],"mmmm")</f>
        <v>September</v>
      </c>
      <c r="E1815" s="9">
        <f>YEAR(Table4[[#This Row],[issue_date]])</f>
        <v>2022</v>
      </c>
      <c r="F1815" t="s">
        <v>21</v>
      </c>
      <c r="G1815">
        <v>15</v>
      </c>
      <c r="H1815" t="s">
        <v>20</v>
      </c>
      <c r="I1815" t="str">
        <f>VLOOKUP(Table4[[#This Row],[customer_id]],customers!A:G,4,)</f>
        <v>bangalore</v>
      </c>
    </row>
    <row r="1816" spans="1:9" x14ac:dyDescent="0.3">
      <c r="A1816">
        <v>21815</v>
      </c>
      <c r="B1816">
        <v>311</v>
      </c>
      <c r="C1816" s="2">
        <v>44782</v>
      </c>
      <c r="D1816" s="2" t="str">
        <f>TEXT(Table4[[#This Row],[issue_date]],"mmmm")</f>
        <v>August</v>
      </c>
      <c r="E1816" s="9">
        <f>YEAR(Table4[[#This Row],[issue_date]])</f>
        <v>2022</v>
      </c>
      <c r="F1816" t="s">
        <v>21</v>
      </c>
      <c r="G1816">
        <v>67</v>
      </c>
      <c r="H1816" t="s">
        <v>20</v>
      </c>
      <c r="I1816" t="str">
        <f>VLOOKUP(Table4[[#This Row],[customer_id]],customers!A:G,4,)</f>
        <v>chennai</v>
      </c>
    </row>
    <row r="1817" spans="1:9" x14ac:dyDescent="0.3">
      <c r="A1817">
        <v>21816</v>
      </c>
      <c r="B1817">
        <v>308</v>
      </c>
      <c r="C1817" s="2">
        <v>44899</v>
      </c>
      <c r="D1817" s="2" t="str">
        <f>TEXT(Table4[[#This Row],[issue_date]],"mmmm")</f>
        <v>December</v>
      </c>
      <c r="E1817" s="9">
        <f>YEAR(Table4[[#This Row],[issue_date]])</f>
        <v>2022</v>
      </c>
      <c r="F1817" t="s">
        <v>21</v>
      </c>
      <c r="G1817">
        <v>16</v>
      </c>
      <c r="H1817" t="s">
        <v>20</v>
      </c>
      <c r="I1817" t="str">
        <f>VLOOKUP(Table4[[#This Row],[customer_id]],customers!A:G,4,)</f>
        <v>chennai</v>
      </c>
    </row>
    <row r="1818" spans="1:9" x14ac:dyDescent="0.3">
      <c r="A1818">
        <v>21817</v>
      </c>
      <c r="B1818">
        <v>293</v>
      </c>
      <c r="C1818" s="2">
        <v>44784</v>
      </c>
      <c r="D1818" s="2" t="str">
        <f>TEXT(Table4[[#This Row],[issue_date]],"mmmm")</f>
        <v>August</v>
      </c>
      <c r="E1818" s="9">
        <f>YEAR(Table4[[#This Row],[issue_date]])</f>
        <v>2022</v>
      </c>
      <c r="F1818" t="s">
        <v>22</v>
      </c>
      <c r="G1818">
        <v>13</v>
      </c>
      <c r="H1818" t="s">
        <v>23</v>
      </c>
      <c r="I1818" t="str">
        <f>VLOOKUP(Table4[[#This Row],[customer_id]],customers!A:G,4,)</f>
        <v>chennai</v>
      </c>
    </row>
    <row r="1819" spans="1:9" x14ac:dyDescent="0.3">
      <c r="A1819">
        <v>21818</v>
      </c>
      <c r="B1819">
        <v>113</v>
      </c>
      <c r="C1819" s="2">
        <v>44772</v>
      </c>
      <c r="D1819" s="2" t="str">
        <f>TEXT(Table4[[#This Row],[issue_date]],"mmmm")</f>
        <v>July</v>
      </c>
      <c r="E1819" s="9">
        <f>YEAR(Table4[[#This Row],[issue_date]])</f>
        <v>2022</v>
      </c>
      <c r="F1819" t="s">
        <v>21</v>
      </c>
      <c r="G1819">
        <v>24</v>
      </c>
      <c r="H1819" t="s">
        <v>20</v>
      </c>
      <c r="I1819" t="str">
        <f>VLOOKUP(Table4[[#This Row],[customer_id]],customers!A:G,4,)</f>
        <v>kolkata</v>
      </c>
    </row>
    <row r="1820" spans="1:9" x14ac:dyDescent="0.3">
      <c r="A1820">
        <v>21819</v>
      </c>
      <c r="B1820">
        <v>376</v>
      </c>
      <c r="C1820" s="2">
        <v>44898</v>
      </c>
      <c r="D1820" s="2" t="str">
        <f>TEXT(Table4[[#This Row],[issue_date]],"mmmm")</f>
        <v>December</v>
      </c>
      <c r="E1820" s="9">
        <f>YEAR(Table4[[#This Row],[issue_date]])</f>
        <v>2022</v>
      </c>
      <c r="F1820" t="s">
        <v>21</v>
      </c>
      <c r="G1820">
        <v>62</v>
      </c>
      <c r="H1820" t="s">
        <v>20</v>
      </c>
      <c r="I1820" t="str">
        <f>VLOOKUP(Table4[[#This Row],[customer_id]],customers!A:G,4,)</f>
        <v>hyderabad</v>
      </c>
    </row>
    <row r="1821" spans="1:9" x14ac:dyDescent="0.3">
      <c r="A1821">
        <v>21820</v>
      </c>
      <c r="B1821">
        <v>15</v>
      </c>
      <c r="C1821" s="2">
        <v>44695</v>
      </c>
      <c r="D1821" s="2" t="str">
        <f>TEXT(Table4[[#This Row],[issue_date]],"mmmm")</f>
        <v>May</v>
      </c>
      <c r="E1821" s="9">
        <f>YEAR(Table4[[#This Row],[issue_date]])</f>
        <v>2022</v>
      </c>
      <c r="F1821" t="s">
        <v>21</v>
      </c>
      <c r="G1821">
        <v>57</v>
      </c>
      <c r="H1821" t="s">
        <v>20</v>
      </c>
      <c r="I1821" t="str">
        <f>VLOOKUP(Table4[[#This Row],[customer_id]],customers!A:G,4,)</f>
        <v>delhi</v>
      </c>
    </row>
    <row r="1822" spans="1:9" x14ac:dyDescent="0.3">
      <c r="A1822">
        <v>21821</v>
      </c>
      <c r="B1822">
        <v>340</v>
      </c>
      <c r="C1822" s="2">
        <v>45405</v>
      </c>
      <c r="D1822" s="2" t="str">
        <f>TEXT(Table4[[#This Row],[issue_date]],"mmmm")</f>
        <v>April</v>
      </c>
      <c r="E1822" s="9">
        <f>YEAR(Table4[[#This Row],[issue_date]])</f>
        <v>2024</v>
      </c>
      <c r="F1822" t="s">
        <v>19</v>
      </c>
      <c r="G1822">
        <v>36</v>
      </c>
      <c r="H1822" t="s">
        <v>20</v>
      </c>
      <c r="I1822" t="str">
        <f>VLOOKUP(Table4[[#This Row],[customer_id]],customers!A:G,4,)</f>
        <v>kolkata</v>
      </c>
    </row>
    <row r="1823" spans="1:9" x14ac:dyDescent="0.3">
      <c r="A1823">
        <v>21822</v>
      </c>
      <c r="B1823">
        <v>83</v>
      </c>
      <c r="C1823" s="2">
        <v>45332</v>
      </c>
      <c r="D1823" s="2" t="str">
        <f>TEXT(Table4[[#This Row],[issue_date]],"mmmm")</f>
        <v>February</v>
      </c>
      <c r="E1823" s="9">
        <f>YEAR(Table4[[#This Row],[issue_date]])</f>
        <v>2024</v>
      </c>
      <c r="F1823" t="s">
        <v>21</v>
      </c>
      <c r="G1823">
        <v>60</v>
      </c>
      <c r="H1823" t="s">
        <v>20</v>
      </c>
      <c r="I1823" t="str">
        <f>VLOOKUP(Table4[[#This Row],[customer_id]],customers!A:G,4,)</f>
        <v>bangalore</v>
      </c>
    </row>
    <row r="1824" spans="1:9" x14ac:dyDescent="0.3">
      <c r="A1824">
        <v>21823</v>
      </c>
      <c r="B1824">
        <v>65</v>
      </c>
      <c r="C1824" s="2">
        <v>45056</v>
      </c>
      <c r="D1824" s="2" t="str">
        <f>TEXT(Table4[[#This Row],[issue_date]],"mmmm")</f>
        <v>May</v>
      </c>
      <c r="E1824" s="9">
        <f>YEAR(Table4[[#This Row],[issue_date]])</f>
        <v>2023</v>
      </c>
      <c r="F1824" t="s">
        <v>22</v>
      </c>
      <c r="G1824">
        <v>22</v>
      </c>
      <c r="H1824" t="s">
        <v>20</v>
      </c>
      <c r="I1824" t="str">
        <f>VLOOKUP(Table4[[#This Row],[customer_id]],customers!A:G,4,)</f>
        <v>delhi</v>
      </c>
    </row>
    <row r="1825" spans="1:9" x14ac:dyDescent="0.3">
      <c r="A1825">
        <v>21824</v>
      </c>
      <c r="B1825">
        <v>452</v>
      </c>
      <c r="C1825" s="2">
        <v>45108</v>
      </c>
      <c r="D1825" s="2" t="str">
        <f>TEXT(Table4[[#This Row],[issue_date]],"mmmm")</f>
        <v>July</v>
      </c>
      <c r="E1825" s="9">
        <f>YEAR(Table4[[#This Row],[issue_date]])</f>
        <v>2023</v>
      </c>
      <c r="F1825" t="s">
        <v>19</v>
      </c>
      <c r="G1825">
        <v>3</v>
      </c>
      <c r="H1825" t="s">
        <v>20</v>
      </c>
      <c r="I1825" t="str">
        <f>VLOOKUP(Table4[[#This Row],[customer_id]],customers!A:G,4,)</f>
        <v>delhi</v>
      </c>
    </row>
    <row r="1826" spans="1:9" x14ac:dyDescent="0.3">
      <c r="A1826">
        <v>21825</v>
      </c>
      <c r="B1826">
        <v>3</v>
      </c>
      <c r="C1826" s="2">
        <v>44744</v>
      </c>
      <c r="D1826" s="2" t="str">
        <f>TEXT(Table4[[#This Row],[issue_date]],"mmmm")</f>
        <v>July</v>
      </c>
      <c r="E1826" s="9">
        <f>YEAR(Table4[[#This Row],[issue_date]])</f>
        <v>2022</v>
      </c>
      <c r="F1826" t="s">
        <v>22</v>
      </c>
      <c r="G1826">
        <v>36</v>
      </c>
      <c r="H1826" t="s">
        <v>20</v>
      </c>
      <c r="I1826" t="str">
        <f>VLOOKUP(Table4[[#This Row],[customer_id]],customers!A:G,4,)</f>
        <v>mumbai</v>
      </c>
    </row>
    <row r="1827" spans="1:9" x14ac:dyDescent="0.3">
      <c r="A1827">
        <v>21826</v>
      </c>
      <c r="B1827">
        <v>456</v>
      </c>
      <c r="C1827" s="2">
        <v>45376</v>
      </c>
      <c r="D1827" s="2" t="str">
        <f>TEXT(Table4[[#This Row],[issue_date]],"mmmm")</f>
        <v>March</v>
      </c>
      <c r="E1827" s="9">
        <f>YEAR(Table4[[#This Row],[issue_date]])</f>
        <v>2024</v>
      </c>
      <c r="F1827" t="s">
        <v>19</v>
      </c>
      <c r="G1827">
        <v>36</v>
      </c>
      <c r="H1827" t="s">
        <v>20</v>
      </c>
      <c r="I1827" t="str">
        <f>VLOOKUP(Table4[[#This Row],[customer_id]],customers!A:G,4,)</f>
        <v>kolkata</v>
      </c>
    </row>
    <row r="1828" spans="1:9" x14ac:dyDescent="0.3">
      <c r="A1828">
        <v>21827</v>
      </c>
      <c r="B1828">
        <v>361</v>
      </c>
      <c r="C1828" s="2">
        <v>44722</v>
      </c>
      <c r="D1828" s="2" t="str">
        <f>TEXT(Table4[[#This Row],[issue_date]],"mmmm")</f>
        <v>June</v>
      </c>
      <c r="E1828" s="9">
        <f>YEAR(Table4[[#This Row],[issue_date]])</f>
        <v>2022</v>
      </c>
      <c r="F1828" t="s">
        <v>21</v>
      </c>
      <c r="G1828">
        <v>10</v>
      </c>
      <c r="H1828" t="s">
        <v>20</v>
      </c>
      <c r="I1828" t="str">
        <f>VLOOKUP(Table4[[#This Row],[customer_id]],customers!A:G,4,)</f>
        <v>chennai</v>
      </c>
    </row>
    <row r="1829" spans="1:9" x14ac:dyDescent="0.3">
      <c r="A1829">
        <v>21828</v>
      </c>
      <c r="B1829">
        <v>236</v>
      </c>
      <c r="C1829" s="2">
        <v>45166</v>
      </c>
      <c r="D1829" s="2" t="str">
        <f>TEXT(Table4[[#This Row],[issue_date]],"mmmm")</f>
        <v>August</v>
      </c>
      <c r="E1829" s="9">
        <f>YEAR(Table4[[#This Row],[issue_date]])</f>
        <v>2023</v>
      </c>
      <c r="F1829" t="s">
        <v>19</v>
      </c>
      <c r="G1829">
        <v>21</v>
      </c>
      <c r="H1829" t="s">
        <v>23</v>
      </c>
      <c r="I1829" t="str">
        <f>VLOOKUP(Table4[[#This Row],[customer_id]],customers!A:G,4,)</f>
        <v>kolkata</v>
      </c>
    </row>
    <row r="1830" spans="1:9" x14ac:dyDescent="0.3">
      <c r="A1830">
        <v>21829</v>
      </c>
      <c r="B1830">
        <v>389</v>
      </c>
      <c r="C1830" s="2">
        <v>44948</v>
      </c>
      <c r="D1830" s="2" t="str">
        <f>TEXT(Table4[[#This Row],[issue_date]],"mmmm")</f>
        <v>January</v>
      </c>
      <c r="E1830" s="9">
        <f>YEAR(Table4[[#This Row],[issue_date]])</f>
        <v>2023</v>
      </c>
      <c r="F1830" t="s">
        <v>22</v>
      </c>
      <c r="G1830">
        <v>49</v>
      </c>
      <c r="H1830" t="s">
        <v>20</v>
      </c>
      <c r="I1830" t="str">
        <f>VLOOKUP(Table4[[#This Row],[customer_id]],customers!A:G,4,)</f>
        <v>bangalore</v>
      </c>
    </row>
    <row r="1831" spans="1:9" x14ac:dyDescent="0.3">
      <c r="A1831">
        <v>21830</v>
      </c>
      <c r="B1831">
        <v>393</v>
      </c>
      <c r="C1831" s="2">
        <v>44758</v>
      </c>
      <c r="D1831" s="2" t="str">
        <f>TEXT(Table4[[#This Row],[issue_date]],"mmmm")</f>
        <v>July</v>
      </c>
      <c r="E1831" s="9">
        <f>YEAR(Table4[[#This Row],[issue_date]])</f>
        <v>2022</v>
      </c>
      <c r="F1831" t="s">
        <v>19</v>
      </c>
      <c r="G1831">
        <v>9</v>
      </c>
      <c r="H1831" t="s">
        <v>20</v>
      </c>
      <c r="I1831" t="str">
        <f>VLOOKUP(Table4[[#This Row],[customer_id]],customers!A:G,4,)</f>
        <v>kolkata</v>
      </c>
    </row>
    <row r="1832" spans="1:9" x14ac:dyDescent="0.3">
      <c r="A1832">
        <v>21831</v>
      </c>
      <c r="B1832">
        <v>129</v>
      </c>
      <c r="C1832" s="2">
        <v>45388</v>
      </c>
      <c r="D1832" s="2" t="str">
        <f>TEXT(Table4[[#This Row],[issue_date]],"mmmm")</f>
        <v>April</v>
      </c>
      <c r="E1832" s="9">
        <f>YEAR(Table4[[#This Row],[issue_date]])</f>
        <v>2024</v>
      </c>
      <c r="F1832" t="s">
        <v>21</v>
      </c>
      <c r="G1832">
        <v>52</v>
      </c>
      <c r="H1832" t="s">
        <v>20</v>
      </c>
      <c r="I1832" t="str">
        <f>VLOOKUP(Table4[[#This Row],[customer_id]],customers!A:G,4,)</f>
        <v>bangalore</v>
      </c>
    </row>
    <row r="1833" spans="1:9" x14ac:dyDescent="0.3">
      <c r="A1833">
        <v>21832</v>
      </c>
      <c r="B1833">
        <v>247</v>
      </c>
      <c r="C1833" s="2">
        <v>45279</v>
      </c>
      <c r="D1833" s="2" t="str">
        <f>TEXT(Table4[[#This Row],[issue_date]],"mmmm")</f>
        <v>December</v>
      </c>
      <c r="E1833" s="9">
        <f>YEAR(Table4[[#This Row],[issue_date]])</f>
        <v>2023</v>
      </c>
      <c r="F1833" t="s">
        <v>21</v>
      </c>
      <c r="G1833">
        <v>48</v>
      </c>
      <c r="H1833" t="s">
        <v>23</v>
      </c>
      <c r="I1833" t="str">
        <f>VLOOKUP(Table4[[#This Row],[customer_id]],customers!A:G,4,)</f>
        <v>chennai</v>
      </c>
    </row>
    <row r="1834" spans="1:9" x14ac:dyDescent="0.3">
      <c r="A1834">
        <v>21833</v>
      </c>
      <c r="B1834">
        <v>235</v>
      </c>
      <c r="C1834" s="2">
        <v>45045</v>
      </c>
      <c r="D1834" s="2" t="str">
        <f>TEXT(Table4[[#This Row],[issue_date]],"mmmm")</f>
        <v>April</v>
      </c>
      <c r="E1834" s="9">
        <f>YEAR(Table4[[#This Row],[issue_date]])</f>
        <v>2023</v>
      </c>
      <c r="F1834" t="s">
        <v>22</v>
      </c>
      <c r="G1834">
        <v>60</v>
      </c>
      <c r="H1834" t="s">
        <v>20</v>
      </c>
      <c r="I1834" t="str">
        <f>VLOOKUP(Table4[[#This Row],[customer_id]],customers!A:G,4,)</f>
        <v>kolkata</v>
      </c>
    </row>
    <row r="1835" spans="1:9" x14ac:dyDescent="0.3">
      <c r="A1835">
        <v>21834</v>
      </c>
      <c r="B1835">
        <v>30</v>
      </c>
      <c r="C1835" s="2">
        <v>45063</v>
      </c>
      <c r="D1835" s="2" t="str">
        <f>TEXT(Table4[[#This Row],[issue_date]],"mmmm")</f>
        <v>May</v>
      </c>
      <c r="E1835" s="9">
        <f>YEAR(Table4[[#This Row],[issue_date]])</f>
        <v>2023</v>
      </c>
      <c r="F1835" t="s">
        <v>19</v>
      </c>
      <c r="G1835">
        <v>50</v>
      </c>
      <c r="H1835" t="s">
        <v>20</v>
      </c>
      <c r="I1835" t="str">
        <f>VLOOKUP(Table4[[#This Row],[customer_id]],customers!A:G,4,)</f>
        <v>hyderabad</v>
      </c>
    </row>
    <row r="1836" spans="1:9" x14ac:dyDescent="0.3">
      <c r="A1836">
        <v>21835</v>
      </c>
      <c r="B1836">
        <v>71</v>
      </c>
      <c r="C1836" s="2">
        <v>45050</v>
      </c>
      <c r="D1836" s="2" t="str">
        <f>TEXT(Table4[[#This Row],[issue_date]],"mmmm")</f>
        <v>May</v>
      </c>
      <c r="E1836" s="9">
        <f>YEAR(Table4[[#This Row],[issue_date]])</f>
        <v>2023</v>
      </c>
      <c r="F1836" t="s">
        <v>22</v>
      </c>
      <c r="G1836">
        <v>39</v>
      </c>
      <c r="H1836" t="s">
        <v>20</v>
      </c>
      <c r="I1836" t="str">
        <f>VLOOKUP(Table4[[#This Row],[customer_id]],customers!A:G,4,)</f>
        <v>hyderabad</v>
      </c>
    </row>
    <row r="1837" spans="1:9" x14ac:dyDescent="0.3">
      <c r="A1837">
        <v>21836</v>
      </c>
      <c r="B1837">
        <v>470</v>
      </c>
      <c r="C1837" s="2">
        <v>44913</v>
      </c>
      <c r="D1837" s="2" t="str">
        <f>TEXT(Table4[[#This Row],[issue_date]],"mmmm")</f>
        <v>December</v>
      </c>
      <c r="E1837" s="9">
        <f>YEAR(Table4[[#This Row],[issue_date]])</f>
        <v>2022</v>
      </c>
      <c r="F1837" t="s">
        <v>22</v>
      </c>
      <c r="G1837">
        <v>16</v>
      </c>
      <c r="H1837" t="s">
        <v>20</v>
      </c>
      <c r="I1837" t="str">
        <f>VLOOKUP(Table4[[#This Row],[customer_id]],customers!A:G,4,)</f>
        <v>hyderabad</v>
      </c>
    </row>
    <row r="1838" spans="1:9" x14ac:dyDescent="0.3">
      <c r="A1838">
        <v>21837</v>
      </c>
      <c r="B1838">
        <v>148</v>
      </c>
      <c r="C1838" s="2">
        <v>45091</v>
      </c>
      <c r="D1838" s="2" t="str">
        <f>TEXT(Table4[[#This Row],[issue_date]],"mmmm")</f>
        <v>June</v>
      </c>
      <c r="E1838" s="9">
        <f>YEAR(Table4[[#This Row],[issue_date]])</f>
        <v>2023</v>
      </c>
      <c r="F1838" t="s">
        <v>22</v>
      </c>
      <c r="G1838">
        <v>28</v>
      </c>
      <c r="H1838" t="s">
        <v>20</v>
      </c>
      <c r="I1838" t="str">
        <f>VLOOKUP(Table4[[#This Row],[customer_id]],customers!A:G,4,)</f>
        <v>kolkata</v>
      </c>
    </row>
    <row r="1839" spans="1:9" x14ac:dyDescent="0.3">
      <c r="A1839">
        <v>21838</v>
      </c>
      <c r="B1839">
        <v>93</v>
      </c>
      <c r="C1839" s="2">
        <v>44795</v>
      </c>
      <c r="D1839" s="2" t="str">
        <f>TEXT(Table4[[#This Row],[issue_date]],"mmmm")</f>
        <v>August</v>
      </c>
      <c r="E1839" s="9">
        <f>YEAR(Table4[[#This Row],[issue_date]])</f>
        <v>2022</v>
      </c>
      <c r="F1839" t="s">
        <v>21</v>
      </c>
      <c r="G1839">
        <v>6</v>
      </c>
      <c r="H1839" t="s">
        <v>20</v>
      </c>
      <c r="I1839" t="str">
        <f>VLOOKUP(Table4[[#This Row],[customer_id]],customers!A:G,4,)</f>
        <v>bangalore</v>
      </c>
    </row>
    <row r="1840" spans="1:9" x14ac:dyDescent="0.3">
      <c r="A1840">
        <v>21839</v>
      </c>
      <c r="B1840">
        <v>283</v>
      </c>
      <c r="C1840" s="2">
        <v>45455</v>
      </c>
      <c r="D1840" s="2" t="str">
        <f>TEXT(Table4[[#This Row],[issue_date]],"mmmm")</f>
        <v>June</v>
      </c>
      <c r="E1840" s="9">
        <f>YEAR(Table4[[#This Row],[issue_date]])</f>
        <v>2024</v>
      </c>
      <c r="F1840" t="s">
        <v>19</v>
      </c>
      <c r="G1840">
        <v>61</v>
      </c>
      <c r="H1840" t="s">
        <v>20</v>
      </c>
      <c r="I1840" t="str">
        <f>VLOOKUP(Table4[[#This Row],[customer_id]],customers!A:G,4,)</f>
        <v>hyderabad</v>
      </c>
    </row>
    <row r="1841" spans="1:9" x14ac:dyDescent="0.3">
      <c r="A1841">
        <v>21840</v>
      </c>
      <c r="B1841">
        <v>217</v>
      </c>
      <c r="C1841" s="2">
        <v>45406</v>
      </c>
      <c r="D1841" s="2" t="str">
        <f>TEXT(Table4[[#This Row],[issue_date]],"mmmm")</f>
        <v>April</v>
      </c>
      <c r="E1841" s="9">
        <f>YEAR(Table4[[#This Row],[issue_date]])</f>
        <v>2024</v>
      </c>
      <c r="F1841" t="s">
        <v>21</v>
      </c>
      <c r="G1841">
        <v>6</v>
      </c>
      <c r="H1841" t="s">
        <v>23</v>
      </c>
      <c r="I1841" t="str">
        <f>VLOOKUP(Table4[[#This Row],[customer_id]],customers!A:G,4,)</f>
        <v>chennai</v>
      </c>
    </row>
    <row r="1842" spans="1:9" x14ac:dyDescent="0.3">
      <c r="A1842">
        <v>21841</v>
      </c>
      <c r="B1842">
        <v>238</v>
      </c>
      <c r="C1842" s="2">
        <v>45139</v>
      </c>
      <c r="D1842" s="2" t="str">
        <f>TEXT(Table4[[#This Row],[issue_date]],"mmmm")</f>
        <v>August</v>
      </c>
      <c r="E1842" s="9">
        <f>YEAR(Table4[[#This Row],[issue_date]])</f>
        <v>2023</v>
      </c>
      <c r="F1842" t="s">
        <v>21</v>
      </c>
      <c r="G1842">
        <v>66</v>
      </c>
      <c r="H1842" t="s">
        <v>20</v>
      </c>
      <c r="I1842" t="str">
        <f>VLOOKUP(Table4[[#This Row],[customer_id]],customers!A:G,4,)</f>
        <v>mumbai</v>
      </c>
    </row>
    <row r="1843" spans="1:9" x14ac:dyDescent="0.3">
      <c r="A1843">
        <v>21842</v>
      </c>
      <c r="B1843">
        <v>227</v>
      </c>
      <c r="C1843" s="2">
        <v>45317</v>
      </c>
      <c r="D1843" s="2" t="str">
        <f>TEXT(Table4[[#This Row],[issue_date]],"mmmm")</f>
        <v>January</v>
      </c>
      <c r="E1843" s="9">
        <f>YEAR(Table4[[#This Row],[issue_date]])</f>
        <v>2024</v>
      </c>
      <c r="F1843" t="s">
        <v>21</v>
      </c>
      <c r="G1843">
        <v>40</v>
      </c>
      <c r="H1843" t="s">
        <v>20</v>
      </c>
      <c r="I1843" t="str">
        <f>VLOOKUP(Table4[[#This Row],[customer_id]],customers!A:G,4,)</f>
        <v>bangalore</v>
      </c>
    </row>
    <row r="1844" spans="1:9" x14ac:dyDescent="0.3">
      <c r="A1844">
        <v>21843</v>
      </c>
      <c r="B1844">
        <v>219</v>
      </c>
      <c r="C1844" s="2">
        <v>44970</v>
      </c>
      <c r="D1844" s="2" t="str">
        <f>TEXT(Table4[[#This Row],[issue_date]],"mmmm")</f>
        <v>February</v>
      </c>
      <c r="E1844" s="9">
        <f>YEAR(Table4[[#This Row],[issue_date]])</f>
        <v>2023</v>
      </c>
      <c r="F1844" t="s">
        <v>19</v>
      </c>
      <c r="G1844">
        <v>71</v>
      </c>
      <c r="H1844" t="s">
        <v>20</v>
      </c>
      <c r="I1844" t="str">
        <f>VLOOKUP(Table4[[#This Row],[customer_id]],customers!A:G,4,)</f>
        <v>bangalore</v>
      </c>
    </row>
    <row r="1845" spans="1:9" x14ac:dyDescent="0.3">
      <c r="A1845">
        <v>21844</v>
      </c>
      <c r="B1845">
        <v>319</v>
      </c>
      <c r="C1845" s="2">
        <v>44837</v>
      </c>
      <c r="D1845" s="2" t="str">
        <f>TEXT(Table4[[#This Row],[issue_date]],"mmmm")</f>
        <v>October</v>
      </c>
      <c r="E1845" s="9">
        <f>YEAR(Table4[[#This Row],[issue_date]])</f>
        <v>2022</v>
      </c>
      <c r="F1845" t="s">
        <v>21</v>
      </c>
      <c r="G1845">
        <v>62</v>
      </c>
      <c r="H1845" t="s">
        <v>20</v>
      </c>
      <c r="I1845" t="str">
        <f>VLOOKUP(Table4[[#This Row],[customer_id]],customers!A:G,4,)</f>
        <v>chennai</v>
      </c>
    </row>
    <row r="1846" spans="1:9" x14ac:dyDescent="0.3">
      <c r="A1846">
        <v>21845</v>
      </c>
      <c r="B1846">
        <v>459</v>
      </c>
      <c r="C1846" s="2">
        <v>45272</v>
      </c>
      <c r="D1846" s="2" t="str">
        <f>TEXT(Table4[[#This Row],[issue_date]],"mmmm")</f>
        <v>December</v>
      </c>
      <c r="E1846" s="9">
        <f>YEAR(Table4[[#This Row],[issue_date]])</f>
        <v>2023</v>
      </c>
      <c r="F1846" t="s">
        <v>21</v>
      </c>
      <c r="G1846">
        <v>28</v>
      </c>
      <c r="H1846" t="s">
        <v>20</v>
      </c>
      <c r="I1846" t="str">
        <f>VLOOKUP(Table4[[#This Row],[customer_id]],customers!A:G,4,)</f>
        <v>chennai</v>
      </c>
    </row>
    <row r="1847" spans="1:9" x14ac:dyDescent="0.3">
      <c r="A1847">
        <v>21846</v>
      </c>
      <c r="B1847">
        <v>337</v>
      </c>
      <c r="C1847" s="2">
        <v>45020</v>
      </c>
      <c r="D1847" s="2" t="str">
        <f>TEXT(Table4[[#This Row],[issue_date]],"mmmm")</f>
        <v>April</v>
      </c>
      <c r="E1847" s="9">
        <f>YEAR(Table4[[#This Row],[issue_date]])</f>
        <v>2023</v>
      </c>
      <c r="F1847" t="s">
        <v>21</v>
      </c>
      <c r="G1847">
        <v>47</v>
      </c>
      <c r="H1847" t="s">
        <v>20</v>
      </c>
      <c r="I1847" t="str">
        <f>VLOOKUP(Table4[[#This Row],[customer_id]],customers!A:G,4,)</f>
        <v>mumbai</v>
      </c>
    </row>
    <row r="1848" spans="1:9" x14ac:dyDescent="0.3">
      <c r="A1848">
        <v>21847</v>
      </c>
      <c r="B1848">
        <v>31</v>
      </c>
      <c r="C1848" s="2">
        <v>45014</v>
      </c>
      <c r="D1848" s="2" t="str">
        <f>TEXT(Table4[[#This Row],[issue_date]],"mmmm")</f>
        <v>March</v>
      </c>
      <c r="E1848" s="9">
        <f>YEAR(Table4[[#This Row],[issue_date]])</f>
        <v>2023</v>
      </c>
      <c r="F1848" t="s">
        <v>19</v>
      </c>
      <c r="G1848">
        <v>9</v>
      </c>
      <c r="H1848" t="s">
        <v>20</v>
      </c>
      <c r="I1848" t="str">
        <f>VLOOKUP(Table4[[#This Row],[customer_id]],customers!A:G,4,)</f>
        <v>chennai</v>
      </c>
    </row>
    <row r="1849" spans="1:9" x14ac:dyDescent="0.3">
      <c r="A1849">
        <v>21848</v>
      </c>
      <c r="B1849">
        <v>466</v>
      </c>
      <c r="C1849" s="2">
        <v>44974</v>
      </c>
      <c r="D1849" s="2" t="str">
        <f>TEXT(Table4[[#This Row],[issue_date]],"mmmm")</f>
        <v>February</v>
      </c>
      <c r="E1849" s="9">
        <f>YEAR(Table4[[#This Row],[issue_date]])</f>
        <v>2023</v>
      </c>
      <c r="F1849" t="s">
        <v>19</v>
      </c>
      <c r="G1849">
        <v>52</v>
      </c>
      <c r="H1849" t="s">
        <v>20</v>
      </c>
      <c r="I1849" t="str">
        <f>VLOOKUP(Table4[[#This Row],[customer_id]],customers!A:G,4,)</f>
        <v>kolkata</v>
      </c>
    </row>
    <row r="1850" spans="1:9" x14ac:dyDescent="0.3">
      <c r="A1850">
        <v>21849</v>
      </c>
      <c r="B1850">
        <v>403</v>
      </c>
      <c r="C1850" s="2">
        <v>44579</v>
      </c>
      <c r="D1850" s="2" t="str">
        <f>TEXT(Table4[[#This Row],[issue_date]],"mmmm")</f>
        <v>January</v>
      </c>
      <c r="E1850" s="9">
        <f>YEAR(Table4[[#This Row],[issue_date]])</f>
        <v>2022</v>
      </c>
      <c r="F1850" t="s">
        <v>22</v>
      </c>
      <c r="G1850">
        <v>15</v>
      </c>
      <c r="H1850" t="s">
        <v>20</v>
      </c>
      <c r="I1850" t="str">
        <f>VLOOKUP(Table4[[#This Row],[customer_id]],customers!A:G,4,)</f>
        <v>delhi</v>
      </c>
    </row>
    <row r="1851" spans="1:9" x14ac:dyDescent="0.3">
      <c r="A1851">
        <v>21850</v>
      </c>
      <c r="B1851">
        <v>114</v>
      </c>
      <c r="C1851" s="2">
        <v>44633</v>
      </c>
      <c r="D1851" s="2" t="str">
        <f>TEXT(Table4[[#This Row],[issue_date]],"mmmm")</f>
        <v>March</v>
      </c>
      <c r="E1851" s="9">
        <f>YEAR(Table4[[#This Row],[issue_date]])</f>
        <v>2022</v>
      </c>
      <c r="F1851" t="s">
        <v>21</v>
      </c>
      <c r="G1851">
        <v>34</v>
      </c>
      <c r="H1851" t="s">
        <v>20</v>
      </c>
      <c r="I1851" t="str">
        <f>VLOOKUP(Table4[[#This Row],[customer_id]],customers!A:G,4,)</f>
        <v>mumbai</v>
      </c>
    </row>
    <row r="1852" spans="1:9" x14ac:dyDescent="0.3">
      <c r="A1852">
        <v>21851</v>
      </c>
      <c r="B1852">
        <v>102</v>
      </c>
      <c r="C1852" s="2">
        <v>45228</v>
      </c>
      <c r="D1852" s="2" t="str">
        <f>TEXT(Table4[[#This Row],[issue_date]],"mmmm")</f>
        <v>October</v>
      </c>
      <c r="E1852" s="9">
        <f>YEAR(Table4[[#This Row],[issue_date]])</f>
        <v>2023</v>
      </c>
      <c r="F1852" t="s">
        <v>21</v>
      </c>
      <c r="G1852">
        <v>20</v>
      </c>
      <c r="H1852" t="s">
        <v>20</v>
      </c>
      <c r="I1852" t="str">
        <f>VLOOKUP(Table4[[#This Row],[customer_id]],customers!A:G,4,)</f>
        <v>delhi</v>
      </c>
    </row>
    <row r="1853" spans="1:9" x14ac:dyDescent="0.3">
      <c r="A1853">
        <v>21852</v>
      </c>
      <c r="B1853">
        <v>93</v>
      </c>
      <c r="C1853" s="2">
        <v>44939</v>
      </c>
      <c r="D1853" s="2" t="str">
        <f>TEXT(Table4[[#This Row],[issue_date]],"mmmm")</f>
        <v>January</v>
      </c>
      <c r="E1853" s="9">
        <f>YEAR(Table4[[#This Row],[issue_date]])</f>
        <v>2023</v>
      </c>
      <c r="F1853" t="s">
        <v>19</v>
      </c>
      <c r="G1853">
        <v>60</v>
      </c>
      <c r="H1853" t="s">
        <v>20</v>
      </c>
      <c r="I1853" t="str">
        <f>VLOOKUP(Table4[[#This Row],[customer_id]],customers!A:G,4,)</f>
        <v>bangalore</v>
      </c>
    </row>
    <row r="1854" spans="1:9" x14ac:dyDescent="0.3">
      <c r="A1854">
        <v>21853</v>
      </c>
      <c r="B1854">
        <v>207</v>
      </c>
      <c r="C1854" s="2">
        <v>45243</v>
      </c>
      <c r="D1854" s="2" t="str">
        <f>TEXT(Table4[[#This Row],[issue_date]],"mmmm")</f>
        <v>November</v>
      </c>
      <c r="E1854" s="9">
        <f>YEAR(Table4[[#This Row],[issue_date]])</f>
        <v>2023</v>
      </c>
      <c r="F1854" t="s">
        <v>19</v>
      </c>
      <c r="G1854">
        <v>58</v>
      </c>
      <c r="H1854" t="s">
        <v>20</v>
      </c>
      <c r="I1854" t="str">
        <f>VLOOKUP(Table4[[#This Row],[customer_id]],customers!A:G,4,)</f>
        <v>mumbai</v>
      </c>
    </row>
    <row r="1855" spans="1:9" x14ac:dyDescent="0.3">
      <c r="A1855">
        <v>21854</v>
      </c>
      <c r="B1855">
        <v>446</v>
      </c>
      <c r="C1855" s="2">
        <v>45395</v>
      </c>
      <c r="D1855" s="2" t="str">
        <f>TEXT(Table4[[#This Row],[issue_date]],"mmmm")</f>
        <v>April</v>
      </c>
      <c r="E1855" s="9">
        <f>YEAR(Table4[[#This Row],[issue_date]])</f>
        <v>2024</v>
      </c>
      <c r="F1855" t="s">
        <v>21</v>
      </c>
      <c r="G1855">
        <v>67</v>
      </c>
      <c r="H1855" t="s">
        <v>20</v>
      </c>
      <c r="I1855" t="str">
        <f>VLOOKUP(Table4[[#This Row],[customer_id]],customers!A:G,4,)</f>
        <v>kolkata</v>
      </c>
    </row>
    <row r="1856" spans="1:9" x14ac:dyDescent="0.3">
      <c r="A1856">
        <v>21855</v>
      </c>
      <c r="B1856">
        <v>391</v>
      </c>
      <c r="C1856" s="2">
        <v>44916</v>
      </c>
      <c r="D1856" s="2" t="str">
        <f>TEXT(Table4[[#This Row],[issue_date]],"mmmm")</f>
        <v>December</v>
      </c>
      <c r="E1856" s="9">
        <f>YEAR(Table4[[#This Row],[issue_date]])</f>
        <v>2022</v>
      </c>
      <c r="F1856" t="s">
        <v>22</v>
      </c>
      <c r="G1856">
        <v>2</v>
      </c>
      <c r="H1856" t="s">
        <v>20</v>
      </c>
      <c r="I1856" t="str">
        <f>VLOOKUP(Table4[[#This Row],[customer_id]],customers!A:G,4,)</f>
        <v>chennai</v>
      </c>
    </row>
    <row r="1857" spans="1:9" x14ac:dyDescent="0.3">
      <c r="A1857">
        <v>21856</v>
      </c>
      <c r="B1857">
        <v>229</v>
      </c>
      <c r="C1857" s="2">
        <v>45355</v>
      </c>
      <c r="D1857" s="2" t="str">
        <f>TEXT(Table4[[#This Row],[issue_date]],"mmmm")</f>
        <v>March</v>
      </c>
      <c r="E1857" s="9">
        <f>YEAR(Table4[[#This Row],[issue_date]])</f>
        <v>2024</v>
      </c>
      <c r="F1857" t="s">
        <v>22</v>
      </c>
      <c r="G1857">
        <v>50</v>
      </c>
      <c r="H1857" t="s">
        <v>20</v>
      </c>
      <c r="I1857" t="str">
        <f>VLOOKUP(Table4[[#This Row],[customer_id]],customers!A:G,4,)</f>
        <v>hyderabad</v>
      </c>
    </row>
    <row r="1858" spans="1:9" x14ac:dyDescent="0.3">
      <c r="A1858">
        <v>21857</v>
      </c>
      <c r="B1858">
        <v>421</v>
      </c>
      <c r="C1858" s="2">
        <v>44712</v>
      </c>
      <c r="D1858" s="2" t="str">
        <f>TEXT(Table4[[#This Row],[issue_date]],"mmmm")</f>
        <v>May</v>
      </c>
      <c r="E1858" s="9">
        <f>YEAR(Table4[[#This Row],[issue_date]])</f>
        <v>2022</v>
      </c>
      <c r="F1858" t="s">
        <v>21</v>
      </c>
      <c r="G1858">
        <v>14</v>
      </c>
      <c r="H1858" t="s">
        <v>20</v>
      </c>
      <c r="I1858" t="str">
        <f>VLOOKUP(Table4[[#This Row],[customer_id]],customers!A:G,4,)</f>
        <v>chennai</v>
      </c>
    </row>
    <row r="1859" spans="1:9" x14ac:dyDescent="0.3">
      <c r="A1859">
        <v>21858</v>
      </c>
      <c r="B1859">
        <v>71</v>
      </c>
      <c r="C1859" s="2">
        <v>44822</v>
      </c>
      <c r="D1859" s="2" t="str">
        <f>TEXT(Table4[[#This Row],[issue_date]],"mmmm")</f>
        <v>September</v>
      </c>
      <c r="E1859" s="9">
        <f>YEAR(Table4[[#This Row],[issue_date]])</f>
        <v>2022</v>
      </c>
      <c r="F1859" t="s">
        <v>22</v>
      </c>
      <c r="G1859">
        <v>56</v>
      </c>
      <c r="H1859" t="s">
        <v>20</v>
      </c>
      <c r="I1859" t="str">
        <f>VLOOKUP(Table4[[#This Row],[customer_id]],customers!A:G,4,)</f>
        <v>hyderabad</v>
      </c>
    </row>
    <row r="1860" spans="1:9" x14ac:dyDescent="0.3">
      <c r="A1860">
        <v>21859</v>
      </c>
      <c r="B1860">
        <v>342</v>
      </c>
      <c r="C1860" s="2">
        <v>44641</v>
      </c>
      <c r="D1860" s="2" t="str">
        <f>TEXT(Table4[[#This Row],[issue_date]],"mmmm")</f>
        <v>March</v>
      </c>
      <c r="E1860" s="9">
        <f>YEAR(Table4[[#This Row],[issue_date]])</f>
        <v>2022</v>
      </c>
      <c r="F1860" t="s">
        <v>22</v>
      </c>
      <c r="G1860">
        <v>69</v>
      </c>
      <c r="H1860" t="s">
        <v>20</v>
      </c>
      <c r="I1860" t="str">
        <f>VLOOKUP(Table4[[#This Row],[customer_id]],customers!A:G,4,)</f>
        <v>hyderabad</v>
      </c>
    </row>
    <row r="1861" spans="1:9" x14ac:dyDescent="0.3">
      <c r="A1861">
        <v>21860</v>
      </c>
      <c r="B1861">
        <v>460</v>
      </c>
      <c r="C1861" s="2">
        <v>44667</v>
      </c>
      <c r="D1861" s="2" t="str">
        <f>TEXT(Table4[[#This Row],[issue_date]],"mmmm")</f>
        <v>April</v>
      </c>
      <c r="E1861" s="9">
        <f>YEAR(Table4[[#This Row],[issue_date]])</f>
        <v>2022</v>
      </c>
      <c r="F1861" t="s">
        <v>21</v>
      </c>
      <c r="G1861">
        <v>44</v>
      </c>
      <c r="H1861" t="s">
        <v>20</v>
      </c>
      <c r="I1861" t="str">
        <f>VLOOKUP(Table4[[#This Row],[customer_id]],customers!A:G,4,)</f>
        <v>hyderabad</v>
      </c>
    </row>
    <row r="1862" spans="1:9" x14ac:dyDescent="0.3">
      <c r="A1862">
        <v>21861</v>
      </c>
      <c r="B1862">
        <v>136</v>
      </c>
      <c r="C1862" s="2">
        <v>45084</v>
      </c>
      <c r="D1862" s="2" t="str">
        <f>TEXT(Table4[[#This Row],[issue_date]],"mmmm")</f>
        <v>June</v>
      </c>
      <c r="E1862" s="9">
        <f>YEAR(Table4[[#This Row],[issue_date]])</f>
        <v>2023</v>
      </c>
      <c r="F1862" t="s">
        <v>22</v>
      </c>
      <c r="G1862">
        <v>46</v>
      </c>
      <c r="H1862" t="s">
        <v>20</v>
      </c>
      <c r="I1862" t="str">
        <f>VLOOKUP(Table4[[#This Row],[customer_id]],customers!A:G,4,)</f>
        <v>chennai</v>
      </c>
    </row>
    <row r="1863" spans="1:9" x14ac:dyDescent="0.3">
      <c r="A1863">
        <v>21862</v>
      </c>
      <c r="B1863">
        <v>441</v>
      </c>
      <c r="C1863" s="2">
        <v>44964</v>
      </c>
      <c r="D1863" s="2" t="str">
        <f>TEXT(Table4[[#This Row],[issue_date]],"mmmm")</f>
        <v>February</v>
      </c>
      <c r="E1863" s="9">
        <f>YEAR(Table4[[#This Row],[issue_date]])</f>
        <v>2023</v>
      </c>
      <c r="F1863" t="s">
        <v>19</v>
      </c>
      <c r="G1863">
        <v>6</v>
      </c>
      <c r="H1863" t="s">
        <v>20</v>
      </c>
      <c r="I1863" t="str">
        <f>VLOOKUP(Table4[[#This Row],[customer_id]],customers!A:G,4,)</f>
        <v>kolkata</v>
      </c>
    </row>
    <row r="1864" spans="1:9" x14ac:dyDescent="0.3">
      <c r="A1864">
        <v>21863</v>
      </c>
      <c r="B1864">
        <v>466</v>
      </c>
      <c r="C1864" s="2">
        <v>45281</v>
      </c>
      <c r="D1864" s="2" t="str">
        <f>TEXT(Table4[[#This Row],[issue_date]],"mmmm")</f>
        <v>December</v>
      </c>
      <c r="E1864" s="9">
        <f>YEAR(Table4[[#This Row],[issue_date]])</f>
        <v>2023</v>
      </c>
      <c r="F1864" t="s">
        <v>21</v>
      </c>
      <c r="G1864">
        <v>8</v>
      </c>
      <c r="H1864" t="s">
        <v>20</v>
      </c>
      <c r="I1864" t="str">
        <f>VLOOKUP(Table4[[#This Row],[customer_id]],customers!A:G,4,)</f>
        <v>kolkata</v>
      </c>
    </row>
    <row r="1865" spans="1:9" x14ac:dyDescent="0.3">
      <c r="A1865">
        <v>21864</v>
      </c>
      <c r="B1865">
        <v>284</v>
      </c>
      <c r="C1865" s="2">
        <v>44691</v>
      </c>
      <c r="D1865" s="2" t="str">
        <f>TEXT(Table4[[#This Row],[issue_date]],"mmmm")</f>
        <v>May</v>
      </c>
      <c r="E1865" s="9">
        <f>YEAR(Table4[[#This Row],[issue_date]])</f>
        <v>2022</v>
      </c>
      <c r="F1865" t="s">
        <v>19</v>
      </c>
      <c r="G1865">
        <v>39</v>
      </c>
      <c r="H1865" t="s">
        <v>20</v>
      </c>
      <c r="I1865" t="str">
        <f>VLOOKUP(Table4[[#This Row],[customer_id]],customers!A:G,4,)</f>
        <v>chennai</v>
      </c>
    </row>
    <row r="1866" spans="1:9" x14ac:dyDescent="0.3">
      <c r="A1866">
        <v>21865</v>
      </c>
      <c r="B1866">
        <v>338</v>
      </c>
      <c r="C1866" s="2">
        <v>44732</v>
      </c>
      <c r="D1866" s="2" t="str">
        <f>TEXT(Table4[[#This Row],[issue_date]],"mmmm")</f>
        <v>June</v>
      </c>
      <c r="E1866" s="9">
        <f>YEAR(Table4[[#This Row],[issue_date]])</f>
        <v>2022</v>
      </c>
      <c r="F1866" t="s">
        <v>21</v>
      </c>
      <c r="G1866">
        <v>44</v>
      </c>
      <c r="H1866" t="s">
        <v>20</v>
      </c>
      <c r="I1866" t="str">
        <f>VLOOKUP(Table4[[#This Row],[customer_id]],customers!A:G,4,)</f>
        <v>delhi</v>
      </c>
    </row>
    <row r="1867" spans="1:9" x14ac:dyDescent="0.3">
      <c r="A1867">
        <v>21866</v>
      </c>
      <c r="B1867">
        <v>351</v>
      </c>
      <c r="C1867" s="2">
        <v>44967</v>
      </c>
      <c r="D1867" s="2" t="str">
        <f>TEXT(Table4[[#This Row],[issue_date]],"mmmm")</f>
        <v>February</v>
      </c>
      <c r="E1867" s="9">
        <f>YEAR(Table4[[#This Row],[issue_date]])</f>
        <v>2023</v>
      </c>
      <c r="F1867" t="s">
        <v>19</v>
      </c>
      <c r="G1867">
        <v>27</v>
      </c>
      <c r="H1867" t="s">
        <v>20</v>
      </c>
      <c r="I1867" t="str">
        <f>VLOOKUP(Table4[[#This Row],[customer_id]],customers!A:G,4,)</f>
        <v>bangalore</v>
      </c>
    </row>
    <row r="1868" spans="1:9" x14ac:dyDescent="0.3">
      <c r="A1868">
        <v>21867</v>
      </c>
      <c r="B1868">
        <v>17</v>
      </c>
      <c r="C1868" s="2">
        <v>44594</v>
      </c>
      <c r="D1868" s="2" t="str">
        <f>TEXT(Table4[[#This Row],[issue_date]],"mmmm")</f>
        <v>February</v>
      </c>
      <c r="E1868" s="9">
        <f>YEAR(Table4[[#This Row],[issue_date]])</f>
        <v>2022</v>
      </c>
      <c r="F1868" t="s">
        <v>22</v>
      </c>
      <c r="G1868">
        <v>16</v>
      </c>
      <c r="H1868" t="s">
        <v>23</v>
      </c>
      <c r="I1868" t="str">
        <f>VLOOKUP(Table4[[#This Row],[customer_id]],customers!A:G,4,)</f>
        <v>bangalore</v>
      </c>
    </row>
    <row r="1869" spans="1:9" x14ac:dyDescent="0.3">
      <c r="A1869">
        <v>21868</v>
      </c>
      <c r="B1869">
        <v>215</v>
      </c>
      <c r="C1869" s="2">
        <v>45097</v>
      </c>
      <c r="D1869" s="2" t="str">
        <f>TEXT(Table4[[#This Row],[issue_date]],"mmmm")</f>
        <v>June</v>
      </c>
      <c r="E1869" s="9">
        <f>YEAR(Table4[[#This Row],[issue_date]])</f>
        <v>2023</v>
      </c>
      <c r="F1869" t="s">
        <v>19</v>
      </c>
      <c r="G1869">
        <v>39</v>
      </c>
      <c r="H1869" t="s">
        <v>20</v>
      </c>
      <c r="I1869" t="str">
        <f>VLOOKUP(Table4[[#This Row],[customer_id]],customers!A:G,4,)</f>
        <v>bangalore</v>
      </c>
    </row>
    <row r="1870" spans="1:9" x14ac:dyDescent="0.3">
      <c r="A1870">
        <v>21869</v>
      </c>
      <c r="B1870">
        <v>395</v>
      </c>
      <c r="C1870" s="2">
        <v>44758</v>
      </c>
      <c r="D1870" s="2" t="str">
        <f>TEXT(Table4[[#This Row],[issue_date]],"mmmm")</f>
        <v>July</v>
      </c>
      <c r="E1870" s="9">
        <f>YEAR(Table4[[#This Row],[issue_date]])</f>
        <v>2022</v>
      </c>
      <c r="F1870" t="s">
        <v>19</v>
      </c>
      <c r="G1870">
        <v>1</v>
      </c>
      <c r="H1870" t="s">
        <v>20</v>
      </c>
      <c r="I1870" t="str">
        <f>VLOOKUP(Table4[[#This Row],[customer_id]],customers!A:G,4,)</f>
        <v>delhi</v>
      </c>
    </row>
    <row r="1871" spans="1:9" x14ac:dyDescent="0.3">
      <c r="A1871">
        <v>21870</v>
      </c>
      <c r="B1871">
        <v>399</v>
      </c>
      <c r="C1871" s="2">
        <v>44607</v>
      </c>
      <c r="D1871" s="2" t="str">
        <f>TEXT(Table4[[#This Row],[issue_date]],"mmmm")</f>
        <v>February</v>
      </c>
      <c r="E1871" s="9">
        <f>YEAR(Table4[[#This Row],[issue_date]])</f>
        <v>2022</v>
      </c>
      <c r="F1871" t="s">
        <v>19</v>
      </c>
      <c r="G1871">
        <v>51</v>
      </c>
      <c r="H1871" t="s">
        <v>20</v>
      </c>
      <c r="I1871" t="str">
        <f>VLOOKUP(Table4[[#This Row],[customer_id]],customers!A:G,4,)</f>
        <v>hyderabad</v>
      </c>
    </row>
    <row r="1872" spans="1:9" x14ac:dyDescent="0.3">
      <c r="A1872">
        <v>21871</v>
      </c>
      <c r="B1872">
        <v>414</v>
      </c>
      <c r="C1872" s="2">
        <v>44835</v>
      </c>
      <c r="D1872" s="2" t="str">
        <f>TEXT(Table4[[#This Row],[issue_date]],"mmmm")</f>
        <v>October</v>
      </c>
      <c r="E1872" s="9">
        <f>YEAR(Table4[[#This Row],[issue_date]])</f>
        <v>2022</v>
      </c>
      <c r="F1872" t="s">
        <v>19</v>
      </c>
      <c r="G1872">
        <v>63</v>
      </c>
      <c r="H1872" t="s">
        <v>20</v>
      </c>
      <c r="I1872" t="str">
        <f>VLOOKUP(Table4[[#This Row],[customer_id]],customers!A:G,4,)</f>
        <v>delhi</v>
      </c>
    </row>
    <row r="1873" spans="1:9" x14ac:dyDescent="0.3">
      <c r="A1873">
        <v>21872</v>
      </c>
      <c r="B1873">
        <v>244</v>
      </c>
      <c r="C1873" s="2">
        <v>45304</v>
      </c>
      <c r="D1873" s="2" t="str">
        <f>TEXT(Table4[[#This Row],[issue_date]],"mmmm")</f>
        <v>January</v>
      </c>
      <c r="E1873" s="9">
        <f>YEAR(Table4[[#This Row],[issue_date]])</f>
        <v>2024</v>
      </c>
      <c r="F1873" t="s">
        <v>19</v>
      </c>
      <c r="G1873">
        <v>33</v>
      </c>
      <c r="H1873" t="s">
        <v>20</v>
      </c>
      <c r="I1873" t="str">
        <f>VLOOKUP(Table4[[#This Row],[customer_id]],customers!A:G,4,)</f>
        <v>bangalore</v>
      </c>
    </row>
    <row r="1874" spans="1:9" x14ac:dyDescent="0.3">
      <c r="A1874">
        <v>21873</v>
      </c>
      <c r="B1874">
        <v>95</v>
      </c>
      <c r="C1874" s="2">
        <v>44694</v>
      </c>
      <c r="D1874" s="2" t="str">
        <f>TEXT(Table4[[#This Row],[issue_date]],"mmmm")</f>
        <v>May</v>
      </c>
      <c r="E1874" s="9">
        <f>YEAR(Table4[[#This Row],[issue_date]])</f>
        <v>2022</v>
      </c>
      <c r="F1874" t="s">
        <v>21</v>
      </c>
      <c r="G1874">
        <v>50</v>
      </c>
      <c r="H1874" t="s">
        <v>20</v>
      </c>
      <c r="I1874" t="str">
        <f>VLOOKUP(Table4[[#This Row],[customer_id]],customers!A:G,4,)</f>
        <v>mumbai</v>
      </c>
    </row>
    <row r="1875" spans="1:9" x14ac:dyDescent="0.3">
      <c r="A1875">
        <v>21874</v>
      </c>
      <c r="B1875">
        <v>121</v>
      </c>
      <c r="C1875" s="2">
        <v>44825</v>
      </c>
      <c r="D1875" s="2" t="str">
        <f>TEXT(Table4[[#This Row],[issue_date]],"mmmm")</f>
        <v>September</v>
      </c>
      <c r="E1875" s="9">
        <f>YEAR(Table4[[#This Row],[issue_date]])</f>
        <v>2022</v>
      </c>
      <c r="F1875" t="s">
        <v>19</v>
      </c>
      <c r="G1875">
        <v>54</v>
      </c>
      <c r="H1875" t="s">
        <v>20</v>
      </c>
      <c r="I1875" t="str">
        <f>VLOOKUP(Table4[[#This Row],[customer_id]],customers!A:G,4,)</f>
        <v>chennai</v>
      </c>
    </row>
    <row r="1876" spans="1:9" x14ac:dyDescent="0.3">
      <c r="A1876">
        <v>21875</v>
      </c>
      <c r="B1876">
        <v>6</v>
      </c>
      <c r="C1876" s="2">
        <v>45158</v>
      </c>
      <c r="D1876" s="2" t="str">
        <f>TEXT(Table4[[#This Row],[issue_date]],"mmmm")</f>
        <v>August</v>
      </c>
      <c r="E1876" s="9">
        <f>YEAR(Table4[[#This Row],[issue_date]])</f>
        <v>2023</v>
      </c>
      <c r="F1876" t="s">
        <v>19</v>
      </c>
      <c r="G1876">
        <v>27</v>
      </c>
      <c r="H1876" t="s">
        <v>20</v>
      </c>
      <c r="I1876" t="str">
        <f>VLOOKUP(Table4[[#This Row],[customer_id]],customers!A:G,4,)</f>
        <v>bangalore</v>
      </c>
    </row>
    <row r="1877" spans="1:9" x14ac:dyDescent="0.3">
      <c r="A1877">
        <v>21876</v>
      </c>
      <c r="B1877">
        <v>268</v>
      </c>
      <c r="C1877" s="2">
        <v>44928</v>
      </c>
      <c r="D1877" s="2" t="str">
        <f>TEXT(Table4[[#This Row],[issue_date]],"mmmm")</f>
        <v>January</v>
      </c>
      <c r="E1877" s="9">
        <f>YEAR(Table4[[#This Row],[issue_date]])</f>
        <v>2023</v>
      </c>
      <c r="F1877" t="s">
        <v>21</v>
      </c>
      <c r="G1877">
        <v>19</v>
      </c>
      <c r="H1877" t="s">
        <v>20</v>
      </c>
      <c r="I1877" t="str">
        <f>VLOOKUP(Table4[[#This Row],[customer_id]],customers!A:G,4,)</f>
        <v>bangalore</v>
      </c>
    </row>
    <row r="1878" spans="1:9" x14ac:dyDescent="0.3">
      <c r="A1878">
        <v>21877</v>
      </c>
      <c r="B1878">
        <v>87</v>
      </c>
      <c r="C1878" s="2">
        <v>45386</v>
      </c>
      <c r="D1878" s="2" t="str">
        <f>TEXT(Table4[[#This Row],[issue_date]],"mmmm")</f>
        <v>April</v>
      </c>
      <c r="E1878" s="9">
        <f>YEAR(Table4[[#This Row],[issue_date]])</f>
        <v>2024</v>
      </c>
      <c r="F1878" t="s">
        <v>21</v>
      </c>
      <c r="G1878">
        <v>28</v>
      </c>
      <c r="H1878" t="s">
        <v>20</v>
      </c>
      <c r="I1878" t="str">
        <f>VLOOKUP(Table4[[#This Row],[customer_id]],customers!A:G,4,)</f>
        <v>hyderabad</v>
      </c>
    </row>
    <row r="1879" spans="1:9" x14ac:dyDescent="0.3">
      <c r="A1879">
        <v>21878</v>
      </c>
      <c r="B1879">
        <v>189</v>
      </c>
      <c r="C1879" s="2">
        <v>44566</v>
      </c>
      <c r="D1879" s="2" t="str">
        <f>TEXT(Table4[[#This Row],[issue_date]],"mmmm")</f>
        <v>January</v>
      </c>
      <c r="E1879" s="9">
        <f>YEAR(Table4[[#This Row],[issue_date]])</f>
        <v>2022</v>
      </c>
      <c r="F1879" t="s">
        <v>22</v>
      </c>
      <c r="G1879">
        <v>23</v>
      </c>
      <c r="H1879" t="s">
        <v>20</v>
      </c>
      <c r="I1879" t="str">
        <f>VLOOKUP(Table4[[#This Row],[customer_id]],customers!A:G,4,)</f>
        <v>delhi</v>
      </c>
    </row>
    <row r="1880" spans="1:9" x14ac:dyDescent="0.3">
      <c r="A1880">
        <v>21879</v>
      </c>
      <c r="B1880">
        <v>103</v>
      </c>
      <c r="C1880" s="2">
        <v>44830</v>
      </c>
      <c r="D1880" s="2" t="str">
        <f>TEXT(Table4[[#This Row],[issue_date]],"mmmm")</f>
        <v>September</v>
      </c>
      <c r="E1880" s="9">
        <f>YEAR(Table4[[#This Row],[issue_date]])</f>
        <v>2022</v>
      </c>
      <c r="F1880" t="s">
        <v>19</v>
      </c>
      <c r="G1880">
        <v>64</v>
      </c>
      <c r="H1880" t="s">
        <v>20</v>
      </c>
      <c r="I1880" t="str">
        <f>VLOOKUP(Table4[[#This Row],[customer_id]],customers!A:G,4,)</f>
        <v>delhi</v>
      </c>
    </row>
    <row r="1881" spans="1:9" x14ac:dyDescent="0.3">
      <c r="A1881">
        <v>21880</v>
      </c>
      <c r="B1881">
        <v>104</v>
      </c>
      <c r="C1881" s="2">
        <v>45412</v>
      </c>
      <c r="D1881" s="2" t="str">
        <f>TEXT(Table4[[#This Row],[issue_date]],"mmmm")</f>
        <v>April</v>
      </c>
      <c r="E1881" s="9">
        <f>YEAR(Table4[[#This Row],[issue_date]])</f>
        <v>2024</v>
      </c>
      <c r="F1881" t="s">
        <v>19</v>
      </c>
      <c r="G1881">
        <v>39</v>
      </c>
      <c r="H1881" t="s">
        <v>20</v>
      </c>
      <c r="I1881" t="str">
        <f>VLOOKUP(Table4[[#This Row],[customer_id]],customers!A:G,4,)</f>
        <v>kolkata</v>
      </c>
    </row>
    <row r="1882" spans="1:9" x14ac:dyDescent="0.3">
      <c r="A1882">
        <v>21881</v>
      </c>
      <c r="B1882">
        <v>420</v>
      </c>
      <c r="C1882" s="2">
        <v>45294</v>
      </c>
      <c r="D1882" s="2" t="str">
        <f>TEXT(Table4[[#This Row],[issue_date]],"mmmm")</f>
        <v>January</v>
      </c>
      <c r="E1882" s="9">
        <f>YEAR(Table4[[#This Row],[issue_date]])</f>
        <v>2024</v>
      </c>
      <c r="F1882" t="s">
        <v>22</v>
      </c>
      <c r="G1882">
        <v>49</v>
      </c>
      <c r="H1882" t="s">
        <v>20</v>
      </c>
      <c r="I1882" t="str">
        <f>VLOOKUP(Table4[[#This Row],[customer_id]],customers!A:G,4,)</f>
        <v>delhi</v>
      </c>
    </row>
    <row r="1883" spans="1:9" x14ac:dyDescent="0.3">
      <c r="A1883">
        <v>21882</v>
      </c>
      <c r="B1883">
        <v>291</v>
      </c>
      <c r="C1883" s="2">
        <v>45267</v>
      </c>
      <c r="D1883" s="2" t="str">
        <f>TEXT(Table4[[#This Row],[issue_date]],"mmmm")</f>
        <v>December</v>
      </c>
      <c r="E1883" s="9">
        <f>YEAR(Table4[[#This Row],[issue_date]])</f>
        <v>2023</v>
      </c>
      <c r="F1883" t="s">
        <v>19</v>
      </c>
      <c r="G1883">
        <v>59</v>
      </c>
      <c r="H1883" t="s">
        <v>20</v>
      </c>
      <c r="I1883" t="str">
        <f>VLOOKUP(Table4[[#This Row],[customer_id]],customers!A:G,4,)</f>
        <v>mumbai</v>
      </c>
    </row>
    <row r="1884" spans="1:9" x14ac:dyDescent="0.3">
      <c r="A1884">
        <v>21883</v>
      </c>
      <c r="B1884">
        <v>67</v>
      </c>
      <c r="C1884" s="2">
        <v>44982</v>
      </c>
      <c r="D1884" s="2" t="str">
        <f>TEXT(Table4[[#This Row],[issue_date]],"mmmm")</f>
        <v>February</v>
      </c>
      <c r="E1884" s="9">
        <f>YEAR(Table4[[#This Row],[issue_date]])</f>
        <v>2023</v>
      </c>
      <c r="F1884" t="s">
        <v>22</v>
      </c>
      <c r="G1884">
        <v>20</v>
      </c>
      <c r="H1884" t="s">
        <v>20</v>
      </c>
      <c r="I1884" t="str">
        <f>VLOOKUP(Table4[[#This Row],[customer_id]],customers!A:G,4,)</f>
        <v>hyderabad</v>
      </c>
    </row>
    <row r="1885" spans="1:9" x14ac:dyDescent="0.3">
      <c r="A1885">
        <v>21884</v>
      </c>
      <c r="B1885">
        <v>106</v>
      </c>
      <c r="C1885" s="2">
        <v>44907</v>
      </c>
      <c r="D1885" s="2" t="str">
        <f>TEXT(Table4[[#This Row],[issue_date]],"mmmm")</f>
        <v>December</v>
      </c>
      <c r="E1885" s="9">
        <f>YEAR(Table4[[#This Row],[issue_date]])</f>
        <v>2022</v>
      </c>
      <c r="F1885" t="s">
        <v>21</v>
      </c>
      <c r="G1885">
        <v>61</v>
      </c>
      <c r="H1885" t="s">
        <v>20</v>
      </c>
      <c r="I1885" t="str">
        <f>VLOOKUP(Table4[[#This Row],[customer_id]],customers!A:G,4,)</f>
        <v>bangalore</v>
      </c>
    </row>
    <row r="1886" spans="1:9" x14ac:dyDescent="0.3">
      <c r="A1886">
        <v>21885</v>
      </c>
      <c r="B1886">
        <v>248</v>
      </c>
      <c r="C1886" s="2">
        <v>44630</v>
      </c>
      <c r="D1886" s="2" t="str">
        <f>TEXT(Table4[[#This Row],[issue_date]],"mmmm")</f>
        <v>March</v>
      </c>
      <c r="E1886" s="9">
        <f>YEAR(Table4[[#This Row],[issue_date]])</f>
        <v>2022</v>
      </c>
      <c r="F1886" t="s">
        <v>19</v>
      </c>
      <c r="G1886">
        <v>9</v>
      </c>
      <c r="H1886" t="s">
        <v>20</v>
      </c>
      <c r="I1886" t="str">
        <f>VLOOKUP(Table4[[#This Row],[customer_id]],customers!A:G,4,)</f>
        <v>bangalore</v>
      </c>
    </row>
    <row r="1887" spans="1:9" x14ac:dyDescent="0.3">
      <c r="A1887">
        <v>21886</v>
      </c>
      <c r="B1887">
        <v>348</v>
      </c>
      <c r="C1887" s="2">
        <v>45361</v>
      </c>
      <c r="D1887" s="2" t="str">
        <f>TEXT(Table4[[#This Row],[issue_date]],"mmmm")</f>
        <v>March</v>
      </c>
      <c r="E1887" s="9">
        <f>YEAR(Table4[[#This Row],[issue_date]])</f>
        <v>2024</v>
      </c>
      <c r="F1887" t="s">
        <v>19</v>
      </c>
      <c r="G1887">
        <v>23</v>
      </c>
      <c r="H1887" t="s">
        <v>20</v>
      </c>
      <c r="I1887" t="str">
        <f>VLOOKUP(Table4[[#This Row],[customer_id]],customers!A:G,4,)</f>
        <v>chennai</v>
      </c>
    </row>
    <row r="1888" spans="1:9" x14ac:dyDescent="0.3">
      <c r="A1888">
        <v>21887</v>
      </c>
      <c r="B1888">
        <v>207</v>
      </c>
      <c r="C1888" s="2">
        <v>44919</v>
      </c>
      <c r="D1888" s="2" t="str">
        <f>TEXT(Table4[[#This Row],[issue_date]],"mmmm")</f>
        <v>December</v>
      </c>
      <c r="E1888" s="9">
        <f>YEAR(Table4[[#This Row],[issue_date]])</f>
        <v>2022</v>
      </c>
      <c r="F1888" t="s">
        <v>21</v>
      </c>
      <c r="G1888">
        <v>7</v>
      </c>
      <c r="H1888" t="s">
        <v>20</v>
      </c>
      <c r="I1888" t="str">
        <f>VLOOKUP(Table4[[#This Row],[customer_id]],customers!A:G,4,)</f>
        <v>mumbai</v>
      </c>
    </row>
    <row r="1889" spans="1:9" x14ac:dyDescent="0.3">
      <c r="A1889">
        <v>21888</v>
      </c>
      <c r="B1889">
        <v>205</v>
      </c>
      <c r="C1889" s="2">
        <v>45249</v>
      </c>
      <c r="D1889" s="2" t="str">
        <f>TEXT(Table4[[#This Row],[issue_date]],"mmmm")</f>
        <v>November</v>
      </c>
      <c r="E1889" s="9">
        <f>YEAR(Table4[[#This Row],[issue_date]])</f>
        <v>2023</v>
      </c>
      <c r="F1889" t="s">
        <v>19</v>
      </c>
      <c r="G1889">
        <v>31</v>
      </c>
      <c r="H1889" t="s">
        <v>23</v>
      </c>
      <c r="I1889" t="str">
        <f>VLOOKUP(Table4[[#This Row],[customer_id]],customers!A:G,4,)</f>
        <v>hyderabad</v>
      </c>
    </row>
    <row r="1890" spans="1:9" x14ac:dyDescent="0.3">
      <c r="A1890">
        <v>21889</v>
      </c>
      <c r="B1890">
        <v>319</v>
      </c>
      <c r="C1890" s="2">
        <v>44947</v>
      </c>
      <c r="D1890" s="2" t="str">
        <f>TEXT(Table4[[#This Row],[issue_date]],"mmmm")</f>
        <v>January</v>
      </c>
      <c r="E1890" s="9">
        <f>YEAR(Table4[[#This Row],[issue_date]])</f>
        <v>2023</v>
      </c>
      <c r="F1890" t="s">
        <v>21</v>
      </c>
      <c r="G1890">
        <v>60</v>
      </c>
      <c r="H1890" t="s">
        <v>20</v>
      </c>
      <c r="I1890" t="str">
        <f>VLOOKUP(Table4[[#This Row],[customer_id]],customers!A:G,4,)</f>
        <v>chennai</v>
      </c>
    </row>
    <row r="1891" spans="1:9" x14ac:dyDescent="0.3">
      <c r="A1891">
        <v>21890</v>
      </c>
      <c r="B1891">
        <v>83</v>
      </c>
      <c r="C1891" s="2">
        <v>44886</v>
      </c>
      <c r="D1891" s="2" t="str">
        <f>TEXT(Table4[[#This Row],[issue_date]],"mmmm")</f>
        <v>November</v>
      </c>
      <c r="E1891" s="9">
        <f>YEAR(Table4[[#This Row],[issue_date]])</f>
        <v>2022</v>
      </c>
      <c r="F1891" t="s">
        <v>21</v>
      </c>
      <c r="G1891">
        <v>61</v>
      </c>
      <c r="H1891" t="s">
        <v>20</v>
      </c>
      <c r="I1891" t="str">
        <f>VLOOKUP(Table4[[#This Row],[customer_id]],customers!A:G,4,)</f>
        <v>bangalore</v>
      </c>
    </row>
    <row r="1892" spans="1:9" x14ac:dyDescent="0.3">
      <c r="A1892">
        <v>21891</v>
      </c>
      <c r="B1892">
        <v>424</v>
      </c>
      <c r="C1892" s="2">
        <v>45312</v>
      </c>
      <c r="D1892" s="2" t="str">
        <f>TEXT(Table4[[#This Row],[issue_date]],"mmmm")</f>
        <v>January</v>
      </c>
      <c r="E1892" s="9">
        <f>YEAR(Table4[[#This Row],[issue_date]])</f>
        <v>2024</v>
      </c>
      <c r="F1892" t="s">
        <v>22</v>
      </c>
      <c r="G1892">
        <v>26</v>
      </c>
      <c r="H1892" t="s">
        <v>20</v>
      </c>
      <c r="I1892" t="str">
        <f>VLOOKUP(Table4[[#This Row],[customer_id]],customers!A:G,4,)</f>
        <v>hyderabad</v>
      </c>
    </row>
    <row r="1893" spans="1:9" x14ac:dyDescent="0.3">
      <c r="A1893">
        <v>21892</v>
      </c>
      <c r="B1893">
        <v>82</v>
      </c>
      <c r="C1893" s="2">
        <v>45042</v>
      </c>
      <c r="D1893" s="2" t="str">
        <f>TEXT(Table4[[#This Row],[issue_date]],"mmmm")</f>
        <v>April</v>
      </c>
      <c r="E1893" s="9">
        <f>YEAR(Table4[[#This Row],[issue_date]])</f>
        <v>2023</v>
      </c>
      <c r="F1893" t="s">
        <v>21</v>
      </c>
      <c r="G1893">
        <v>54</v>
      </c>
      <c r="H1893" t="s">
        <v>20</v>
      </c>
      <c r="I1893" t="str">
        <f>VLOOKUP(Table4[[#This Row],[customer_id]],customers!A:G,4,)</f>
        <v>chennai</v>
      </c>
    </row>
    <row r="1894" spans="1:9" x14ac:dyDescent="0.3">
      <c r="A1894">
        <v>21893</v>
      </c>
      <c r="B1894">
        <v>287</v>
      </c>
      <c r="C1894" s="2">
        <v>44740</v>
      </c>
      <c r="D1894" s="2" t="str">
        <f>TEXT(Table4[[#This Row],[issue_date]],"mmmm")</f>
        <v>June</v>
      </c>
      <c r="E1894" s="9">
        <f>YEAR(Table4[[#This Row],[issue_date]])</f>
        <v>2022</v>
      </c>
      <c r="F1894" t="s">
        <v>22</v>
      </c>
      <c r="G1894">
        <v>31</v>
      </c>
      <c r="H1894" t="s">
        <v>20</v>
      </c>
      <c r="I1894" t="str">
        <f>VLOOKUP(Table4[[#This Row],[customer_id]],customers!A:G,4,)</f>
        <v>bangalore</v>
      </c>
    </row>
    <row r="1895" spans="1:9" x14ac:dyDescent="0.3">
      <c r="A1895">
        <v>21894</v>
      </c>
      <c r="B1895">
        <v>37</v>
      </c>
      <c r="C1895" s="2">
        <v>44817</v>
      </c>
      <c r="D1895" s="2" t="str">
        <f>TEXT(Table4[[#This Row],[issue_date]],"mmmm")</f>
        <v>September</v>
      </c>
      <c r="E1895" s="9">
        <f>YEAR(Table4[[#This Row],[issue_date]])</f>
        <v>2022</v>
      </c>
      <c r="F1895" t="s">
        <v>21</v>
      </c>
      <c r="G1895">
        <v>41</v>
      </c>
      <c r="H1895" t="s">
        <v>20</v>
      </c>
      <c r="I1895" t="str">
        <f>VLOOKUP(Table4[[#This Row],[customer_id]],customers!A:G,4,)</f>
        <v>kolkata</v>
      </c>
    </row>
    <row r="1896" spans="1:9" x14ac:dyDescent="0.3">
      <c r="A1896">
        <v>21895</v>
      </c>
      <c r="B1896">
        <v>213</v>
      </c>
      <c r="C1896" s="2">
        <v>44980</v>
      </c>
      <c r="D1896" s="2" t="str">
        <f>TEXT(Table4[[#This Row],[issue_date]],"mmmm")</f>
        <v>February</v>
      </c>
      <c r="E1896" s="9">
        <f>YEAR(Table4[[#This Row],[issue_date]])</f>
        <v>2023</v>
      </c>
      <c r="F1896" t="s">
        <v>22</v>
      </c>
      <c r="G1896">
        <v>28</v>
      </c>
      <c r="H1896" t="s">
        <v>20</v>
      </c>
      <c r="I1896" t="str">
        <f>VLOOKUP(Table4[[#This Row],[customer_id]],customers!A:G,4,)</f>
        <v>hyderabad</v>
      </c>
    </row>
    <row r="1897" spans="1:9" x14ac:dyDescent="0.3">
      <c r="A1897">
        <v>21896</v>
      </c>
      <c r="B1897">
        <v>487</v>
      </c>
      <c r="C1897" s="2">
        <v>44772</v>
      </c>
      <c r="D1897" s="2" t="str">
        <f>TEXT(Table4[[#This Row],[issue_date]],"mmmm")</f>
        <v>July</v>
      </c>
      <c r="E1897" s="9">
        <f>YEAR(Table4[[#This Row],[issue_date]])</f>
        <v>2022</v>
      </c>
      <c r="F1897" t="s">
        <v>22</v>
      </c>
      <c r="G1897">
        <v>6</v>
      </c>
      <c r="H1897" t="s">
        <v>20</v>
      </c>
      <c r="I1897" t="str">
        <f>VLOOKUP(Table4[[#This Row],[customer_id]],customers!A:G,4,)</f>
        <v>bangalore</v>
      </c>
    </row>
    <row r="1898" spans="1:9" x14ac:dyDescent="0.3">
      <c r="A1898">
        <v>21897</v>
      </c>
      <c r="B1898">
        <v>133</v>
      </c>
      <c r="C1898" s="2">
        <v>45300</v>
      </c>
      <c r="D1898" s="2" t="str">
        <f>TEXT(Table4[[#This Row],[issue_date]],"mmmm")</f>
        <v>January</v>
      </c>
      <c r="E1898" s="9">
        <f>YEAR(Table4[[#This Row],[issue_date]])</f>
        <v>2024</v>
      </c>
      <c r="F1898" t="s">
        <v>22</v>
      </c>
      <c r="G1898">
        <v>34</v>
      </c>
      <c r="H1898" t="s">
        <v>20</v>
      </c>
      <c r="I1898" t="str">
        <f>VLOOKUP(Table4[[#This Row],[customer_id]],customers!A:G,4,)</f>
        <v>kolkata</v>
      </c>
    </row>
    <row r="1899" spans="1:9" x14ac:dyDescent="0.3">
      <c r="A1899">
        <v>21898</v>
      </c>
      <c r="B1899">
        <v>115</v>
      </c>
      <c r="C1899" s="2">
        <v>45145</v>
      </c>
      <c r="D1899" s="2" t="str">
        <f>TEXT(Table4[[#This Row],[issue_date]],"mmmm")</f>
        <v>August</v>
      </c>
      <c r="E1899" s="9">
        <f>YEAR(Table4[[#This Row],[issue_date]])</f>
        <v>2023</v>
      </c>
      <c r="F1899" t="s">
        <v>22</v>
      </c>
      <c r="G1899">
        <v>9</v>
      </c>
      <c r="H1899" t="s">
        <v>20</v>
      </c>
      <c r="I1899" t="str">
        <f>VLOOKUP(Table4[[#This Row],[customer_id]],customers!A:G,4,)</f>
        <v>bangalore</v>
      </c>
    </row>
    <row r="1900" spans="1:9" x14ac:dyDescent="0.3">
      <c r="A1900">
        <v>21899</v>
      </c>
      <c r="B1900">
        <v>377</v>
      </c>
      <c r="C1900" s="2">
        <v>44928</v>
      </c>
      <c r="D1900" s="2" t="str">
        <f>TEXT(Table4[[#This Row],[issue_date]],"mmmm")</f>
        <v>January</v>
      </c>
      <c r="E1900" s="9">
        <f>YEAR(Table4[[#This Row],[issue_date]])</f>
        <v>2023</v>
      </c>
      <c r="F1900" t="s">
        <v>19</v>
      </c>
      <c r="G1900">
        <v>12</v>
      </c>
      <c r="H1900" t="s">
        <v>20</v>
      </c>
      <c r="I1900" t="str">
        <f>VLOOKUP(Table4[[#This Row],[customer_id]],customers!A:G,4,)</f>
        <v>mumbai</v>
      </c>
    </row>
    <row r="1901" spans="1:9" x14ac:dyDescent="0.3">
      <c r="A1901">
        <v>21900</v>
      </c>
      <c r="B1901">
        <v>465</v>
      </c>
      <c r="C1901" s="2">
        <v>45138</v>
      </c>
      <c r="D1901" s="2" t="str">
        <f>TEXT(Table4[[#This Row],[issue_date]],"mmmm")</f>
        <v>July</v>
      </c>
      <c r="E1901" s="9">
        <f>YEAR(Table4[[#This Row],[issue_date]])</f>
        <v>2023</v>
      </c>
      <c r="F1901" t="s">
        <v>21</v>
      </c>
      <c r="G1901">
        <v>16</v>
      </c>
      <c r="H1901" t="s">
        <v>20</v>
      </c>
      <c r="I1901" t="str">
        <f>VLOOKUP(Table4[[#This Row],[customer_id]],customers!A:G,4,)</f>
        <v>bangalore</v>
      </c>
    </row>
    <row r="1902" spans="1:9" x14ac:dyDescent="0.3">
      <c r="A1902">
        <v>21901</v>
      </c>
      <c r="B1902">
        <v>211</v>
      </c>
      <c r="C1902" s="2">
        <v>44727</v>
      </c>
      <c r="D1902" s="2" t="str">
        <f>TEXT(Table4[[#This Row],[issue_date]],"mmmm")</f>
        <v>June</v>
      </c>
      <c r="E1902" s="9">
        <f>YEAR(Table4[[#This Row],[issue_date]])</f>
        <v>2022</v>
      </c>
      <c r="F1902" t="s">
        <v>21</v>
      </c>
      <c r="G1902">
        <v>71</v>
      </c>
      <c r="H1902" t="s">
        <v>20</v>
      </c>
      <c r="I1902" t="str">
        <f>VLOOKUP(Table4[[#This Row],[customer_id]],customers!A:G,4,)</f>
        <v>hyderabad</v>
      </c>
    </row>
    <row r="1903" spans="1:9" x14ac:dyDescent="0.3">
      <c r="A1903">
        <v>21902</v>
      </c>
      <c r="B1903">
        <v>132</v>
      </c>
      <c r="C1903" s="2">
        <v>44775</v>
      </c>
      <c r="D1903" s="2" t="str">
        <f>TEXT(Table4[[#This Row],[issue_date]],"mmmm")</f>
        <v>August</v>
      </c>
      <c r="E1903" s="9">
        <f>YEAR(Table4[[#This Row],[issue_date]])</f>
        <v>2022</v>
      </c>
      <c r="F1903" t="s">
        <v>21</v>
      </c>
      <c r="G1903">
        <v>31</v>
      </c>
      <c r="H1903" t="s">
        <v>20</v>
      </c>
      <c r="I1903" t="str">
        <f>VLOOKUP(Table4[[#This Row],[customer_id]],customers!A:G,4,)</f>
        <v>hyderabad</v>
      </c>
    </row>
    <row r="1904" spans="1:9" x14ac:dyDescent="0.3">
      <c r="A1904">
        <v>21903</v>
      </c>
      <c r="B1904">
        <v>374</v>
      </c>
      <c r="C1904" s="2">
        <v>45090</v>
      </c>
      <c r="D1904" s="2" t="str">
        <f>TEXT(Table4[[#This Row],[issue_date]],"mmmm")</f>
        <v>June</v>
      </c>
      <c r="E1904" s="9">
        <f>YEAR(Table4[[#This Row],[issue_date]])</f>
        <v>2023</v>
      </c>
      <c r="F1904" t="s">
        <v>21</v>
      </c>
      <c r="G1904">
        <v>33</v>
      </c>
      <c r="H1904" t="s">
        <v>20</v>
      </c>
      <c r="I1904" t="str">
        <f>VLOOKUP(Table4[[#This Row],[customer_id]],customers!A:G,4,)</f>
        <v>mumbai</v>
      </c>
    </row>
    <row r="1905" spans="1:9" x14ac:dyDescent="0.3">
      <c r="A1905">
        <v>21904</v>
      </c>
      <c r="B1905">
        <v>154</v>
      </c>
      <c r="C1905" s="2">
        <v>45409</v>
      </c>
      <c r="D1905" s="2" t="str">
        <f>TEXT(Table4[[#This Row],[issue_date]],"mmmm")</f>
        <v>April</v>
      </c>
      <c r="E1905" s="9">
        <f>YEAR(Table4[[#This Row],[issue_date]])</f>
        <v>2024</v>
      </c>
      <c r="F1905" t="s">
        <v>22</v>
      </c>
      <c r="G1905">
        <v>7</v>
      </c>
      <c r="H1905" t="s">
        <v>20</v>
      </c>
      <c r="I1905" t="str">
        <f>VLOOKUP(Table4[[#This Row],[customer_id]],customers!A:G,4,)</f>
        <v>chennai</v>
      </c>
    </row>
    <row r="1906" spans="1:9" x14ac:dyDescent="0.3">
      <c r="A1906">
        <v>21905</v>
      </c>
      <c r="B1906">
        <v>408</v>
      </c>
      <c r="C1906" s="2">
        <v>44734</v>
      </c>
      <c r="D1906" s="2" t="str">
        <f>TEXT(Table4[[#This Row],[issue_date]],"mmmm")</f>
        <v>June</v>
      </c>
      <c r="E1906" s="9">
        <f>YEAR(Table4[[#This Row],[issue_date]])</f>
        <v>2022</v>
      </c>
      <c r="F1906" t="s">
        <v>19</v>
      </c>
      <c r="G1906">
        <v>3</v>
      </c>
      <c r="H1906" t="s">
        <v>20</v>
      </c>
      <c r="I1906" t="str">
        <f>VLOOKUP(Table4[[#This Row],[customer_id]],customers!A:G,4,)</f>
        <v>chennai</v>
      </c>
    </row>
    <row r="1907" spans="1:9" x14ac:dyDescent="0.3">
      <c r="A1907">
        <v>21906</v>
      </c>
      <c r="B1907">
        <v>423</v>
      </c>
      <c r="C1907" s="2">
        <v>44690</v>
      </c>
      <c r="D1907" s="2" t="str">
        <f>TEXT(Table4[[#This Row],[issue_date]],"mmmm")</f>
        <v>May</v>
      </c>
      <c r="E1907" s="9">
        <f>YEAR(Table4[[#This Row],[issue_date]])</f>
        <v>2022</v>
      </c>
      <c r="F1907" t="s">
        <v>21</v>
      </c>
      <c r="G1907">
        <v>20</v>
      </c>
      <c r="H1907" t="s">
        <v>23</v>
      </c>
      <c r="I1907" t="str">
        <f>VLOOKUP(Table4[[#This Row],[customer_id]],customers!A:G,4,)</f>
        <v>bangalore</v>
      </c>
    </row>
    <row r="1908" spans="1:9" x14ac:dyDescent="0.3">
      <c r="A1908">
        <v>21907</v>
      </c>
      <c r="B1908">
        <v>440</v>
      </c>
      <c r="C1908" s="2">
        <v>44564</v>
      </c>
      <c r="D1908" s="2" t="str">
        <f>TEXT(Table4[[#This Row],[issue_date]],"mmmm")</f>
        <v>January</v>
      </c>
      <c r="E1908" s="9">
        <f>YEAR(Table4[[#This Row],[issue_date]])</f>
        <v>2022</v>
      </c>
      <c r="F1908" t="s">
        <v>21</v>
      </c>
      <c r="G1908">
        <v>5</v>
      </c>
      <c r="H1908" t="s">
        <v>20</v>
      </c>
      <c r="I1908" t="str">
        <f>VLOOKUP(Table4[[#This Row],[customer_id]],customers!A:G,4,)</f>
        <v>mumbai</v>
      </c>
    </row>
    <row r="1909" spans="1:9" x14ac:dyDescent="0.3">
      <c r="A1909">
        <v>21908</v>
      </c>
      <c r="B1909">
        <v>438</v>
      </c>
      <c r="C1909" s="2">
        <v>45456</v>
      </c>
      <c r="D1909" s="2" t="str">
        <f>TEXT(Table4[[#This Row],[issue_date]],"mmmm")</f>
        <v>June</v>
      </c>
      <c r="E1909" s="9">
        <f>YEAR(Table4[[#This Row],[issue_date]])</f>
        <v>2024</v>
      </c>
      <c r="F1909" t="s">
        <v>21</v>
      </c>
      <c r="G1909">
        <v>67</v>
      </c>
      <c r="H1909" t="s">
        <v>20</v>
      </c>
      <c r="I1909" t="str">
        <f>VLOOKUP(Table4[[#This Row],[customer_id]],customers!A:G,4,)</f>
        <v>hyderabad</v>
      </c>
    </row>
    <row r="1910" spans="1:9" x14ac:dyDescent="0.3">
      <c r="A1910">
        <v>21909</v>
      </c>
      <c r="B1910">
        <v>294</v>
      </c>
      <c r="C1910" s="2">
        <v>45457</v>
      </c>
      <c r="D1910" s="2" t="str">
        <f>TEXT(Table4[[#This Row],[issue_date]],"mmmm")</f>
        <v>June</v>
      </c>
      <c r="E1910" s="9">
        <f>YEAR(Table4[[#This Row],[issue_date]])</f>
        <v>2024</v>
      </c>
      <c r="F1910" t="s">
        <v>22</v>
      </c>
      <c r="G1910">
        <v>38</v>
      </c>
      <c r="H1910" t="s">
        <v>23</v>
      </c>
      <c r="I1910" t="str">
        <f>VLOOKUP(Table4[[#This Row],[customer_id]],customers!A:G,4,)</f>
        <v>hyderabad</v>
      </c>
    </row>
    <row r="1911" spans="1:9" x14ac:dyDescent="0.3">
      <c r="A1911">
        <v>21910</v>
      </c>
      <c r="B1911">
        <v>366</v>
      </c>
      <c r="C1911" s="2">
        <v>45321</v>
      </c>
      <c r="D1911" s="2" t="str">
        <f>TEXT(Table4[[#This Row],[issue_date]],"mmmm")</f>
        <v>January</v>
      </c>
      <c r="E1911" s="9">
        <f>YEAR(Table4[[#This Row],[issue_date]])</f>
        <v>2024</v>
      </c>
      <c r="F1911" t="s">
        <v>21</v>
      </c>
      <c r="G1911">
        <v>56</v>
      </c>
      <c r="H1911" t="s">
        <v>20</v>
      </c>
      <c r="I1911" t="str">
        <f>VLOOKUP(Table4[[#This Row],[customer_id]],customers!A:G,4,)</f>
        <v>mumbai</v>
      </c>
    </row>
    <row r="1912" spans="1:9" x14ac:dyDescent="0.3">
      <c r="A1912">
        <v>21911</v>
      </c>
      <c r="B1912">
        <v>182</v>
      </c>
      <c r="C1912" s="2">
        <v>44631</v>
      </c>
      <c r="D1912" s="2" t="str">
        <f>TEXT(Table4[[#This Row],[issue_date]],"mmmm")</f>
        <v>March</v>
      </c>
      <c r="E1912" s="9">
        <f>YEAR(Table4[[#This Row],[issue_date]])</f>
        <v>2022</v>
      </c>
      <c r="F1912" t="s">
        <v>21</v>
      </c>
      <c r="G1912">
        <v>23</v>
      </c>
      <c r="H1912" t="s">
        <v>20</v>
      </c>
      <c r="I1912" t="str">
        <f>VLOOKUP(Table4[[#This Row],[customer_id]],customers!A:G,4,)</f>
        <v>bangalore</v>
      </c>
    </row>
    <row r="1913" spans="1:9" x14ac:dyDescent="0.3">
      <c r="A1913">
        <v>21912</v>
      </c>
      <c r="B1913">
        <v>147</v>
      </c>
      <c r="C1913" s="2">
        <v>44613</v>
      </c>
      <c r="D1913" s="2" t="str">
        <f>TEXT(Table4[[#This Row],[issue_date]],"mmmm")</f>
        <v>February</v>
      </c>
      <c r="E1913" s="9">
        <f>YEAR(Table4[[#This Row],[issue_date]])</f>
        <v>2022</v>
      </c>
      <c r="F1913" t="s">
        <v>19</v>
      </c>
      <c r="G1913">
        <v>2</v>
      </c>
      <c r="H1913" t="s">
        <v>20</v>
      </c>
      <c r="I1913" t="str">
        <f>VLOOKUP(Table4[[#This Row],[customer_id]],customers!A:G,4,)</f>
        <v>bangalore</v>
      </c>
    </row>
    <row r="1914" spans="1:9" x14ac:dyDescent="0.3">
      <c r="A1914">
        <v>21913</v>
      </c>
      <c r="B1914">
        <v>222</v>
      </c>
      <c r="C1914" s="2">
        <v>44998</v>
      </c>
      <c r="D1914" s="2" t="str">
        <f>TEXT(Table4[[#This Row],[issue_date]],"mmmm")</f>
        <v>March</v>
      </c>
      <c r="E1914" s="9">
        <f>YEAR(Table4[[#This Row],[issue_date]])</f>
        <v>2023</v>
      </c>
      <c r="F1914" t="s">
        <v>22</v>
      </c>
      <c r="G1914">
        <v>21</v>
      </c>
      <c r="H1914" t="s">
        <v>20</v>
      </c>
      <c r="I1914" t="str">
        <f>VLOOKUP(Table4[[#This Row],[customer_id]],customers!A:G,4,)</f>
        <v>bangalore</v>
      </c>
    </row>
    <row r="1915" spans="1:9" x14ac:dyDescent="0.3">
      <c r="A1915">
        <v>21914</v>
      </c>
      <c r="B1915">
        <v>282</v>
      </c>
      <c r="C1915" s="2">
        <v>44939</v>
      </c>
      <c r="D1915" s="2" t="str">
        <f>TEXT(Table4[[#This Row],[issue_date]],"mmmm")</f>
        <v>January</v>
      </c>
      <c r="E1915" s="9">
        <f>YEAR(Table4[[#This Row],[issue_date]])</f>
        <v>2023</v>
      </c>
      <c r="F1915" t="s">
        <v>19</v>
      </c>
      <c r="G1915">
        <v>14</v>
      </c>
      <c r="H1915" t="s">
        <v>20</v>
      </c>
      <c r="I1915" t="str">
        <f>VLOOKUP(Table4[[#This Row],[customer_id]],customers!A:G,4,)</f>
        <v>mumbai</v>
      </c>
    </row>
    <row r="1916" spans="1:9" x14ac:dyDescent="0.3">
      <c r="A1916">
        <v>21915</v>
      </c>
      <c r="B1916">
        <v>127</v>
      </c>
      <c r="C1916" s="2">
        <v>45332</v>
      </c>
      <c r="D1916" s="2" t="str">
        <f>TEXT(Table4[[#This Row],[issue_date]],"mmmm")</f>
        <v>February</v>
      </c>
      <c r="E1916" s="9">
        <f>YEAR(Table4[[#This Row],[issue_date]])</f>
        <v>2024</v>
      </c>
      <c r="F1916" t="s">
        <v>21</v>
      </c>
      <c r="G1916">
        <v>62</v>
      </c>
      <c r="H1916" t="s">
        <v>20</v>
      </c>
      <c r="I1916" t="str">
        <f>VLOOKUP(Table4[[#This Row],[customer_id]],customers!A:G,4,)</f>
        <v>delhi</v>
      </c>
    </row>
    <row r="1917" spans="1:9" x14ac:dyDescent="0.3">
      <c r="A1917">
        <v>21916</v>
      </c>
      <c r="B1917">
        <v>308</v>
      </c>
      <c r="C1917" s="2">
        <v>45312</v>
      </c>
      <c r="D1917" s="2" t="str">
        <f>TEXT(Table4[[#This Row],[issue_date]],"mmmm")</f>
        <v>January</v>
      </c>
      <c r="E1917" s="9">
        <f>YEAR(Table4[[#This Row],[issue_date]])</f>
        <v>2024</v>
      </c>
      <c r="F1917" t="s">
        <v>22</v>
      </c>
      <c r="G1917">
        <v>11</v>
      </c>
      <c r="H1917" t="s">
        <v>20</v>
      </c>
      <c r="I1917" t="str">
        <f>VLOOKUP(Table4[[#This Row],[customer_id]],customers!A:G,4,)</f>
        <v>chennai</v>
      </c>
    </row>
    <row r="1918" spans="1:9" x14ac:dyDescent="0.3">
      <c r="A1918">
        <v>21917</v>
      </c>
      <c r="B1918">
        <v>203</v>
      </c>
      <c r="C1918" s="2">
        <v>44655</v>
      </c>
      <c r="D1918" s="2" t="str">
        <f>TEXT(Table4[[#This Row],[issue_date]],"mmmm")</f>
        <v>April</v>
      </c>
      <c r="E1918" s="9">
        <f>YEAR(Table4[[#This Row],[issue_date]])</f>
        <v>2022</v>
      </c>
      <c r="F1918" t="s">
        <v>21</v>
      </c>
      <c r="G1918">
        <v>4</v>
      </c>
      <c r="H1918" t="s">
        <v>20</v>
      </c>
      <c r="I1918" t="str">
        <f>VLOOKUP(Table4[[#This Row],[customer_id]],customers!A:G,4,)</f>
        <v>mumbai</v>
      </c>
    </row>
    <row r="1919" spans="1:9" x14ac:dyDescent="0.3">
      <c r="A1919">
        <v>21918</v>
      </c>
      <c r="B1919">
        <v>118</v>
      </c>
      <c r="C1919" s="2">
        <v>45120</v>
      </c>
      <c r="D1919" s="2" t="str">
        <f>TEXT(Table4[[#This Row],[issue_date]],"mmmm")</f>
        <v>July</v>
      </c>
      <c r="E1919" s="9">
        <f>YEAR(Table4[[#This Row],[issue_date]])</f>
        <v>2023</v>
      </c>
      <c r="F1919" t="s">
        <v>21</v>
      </c>
      <c r="G1919">
        <v>47</v>
      </c>
      <c r="H1919" t="s">
        <v>20</v>
      </c>
      <c r="I1919" t="str">
        <f>VLOOKUP(Table4[[#This Row],[customer_id]],customers!A:G,4,)</f>
        <v>hyderabad</v>
      </c>
    </row>
    <row r="1920" spans="1:9" x14ac:dyDescent="0.3">
      <c r="A1920">
        <v>21919</v>
      </c>
      <c r="B1920">
        <v>61</v>
      </c>
      <c r="C1920" s="2">
        <v>45148</v>
      </c>
      <c r="D1920" s="2" t="str">
        <f>TEXT(Table4[[#This Row],[issue_date]],"mmmm")</f>
        <v>August</v>
      </c>
      <c r="E1920" s="9">
        <f>YEAR(Table4[[#This Row],[issue_date]])</f>
        <v>2023</v>
      </c>
      <c r="F1920" t="s">
        <v>22</v>
      </c>
      <c r="G1920">
        <v>20</v>
      </c>
      <c r="H1920" t="s">
        <v>20</v>
      </c>
      <c r="I1920" t="str">
        <f>VLOOKUP(Table4[[#This Row],[customer_id]],customers!A:G,4,)</f>
        <v>hyderabad</v>
      </c>
    </row>
    <row r="1921" spans="1:9" x14ac:dyDescent="0.3">
      <c r="A1921">
        <v>21920</v>
      </c>
      <c r="B1921">
        <v>231</v>
      </c>
      <c r="C1921" s="2">
        <v>45164</v>
      </c>
      <c r="D1921" s="2" t="str">
        <f>TEXT(Table4[[#This Row],[issue_date]],"mmmm")</f>
        <v>August</v>
      </c>
      <c r="E1921" s="9">
        <f>YEAR(Table4[[#This Row],[issue_date]])</f>
        <v>2023</v>
      </c>
      <c r="F1921" t="s">
        <v>19</v>
      </c>
      <c r="G1921">
        <v>52</v>
      </c>
      <c r="H1921" t="s">
        <v>20</v>
      </c>
      <c r="I1921" t="str">
        <f>VLOOKUP(Table4[[#This Row],[customer_id]],customers!A:G,4,)</f>
        <v>delhi</v>
      </c>
    </row>
    <row r="1922" spans="1:9" x14ac:dyDescent="0.3">
      <c r="A1922">
        <v>21921</v>
      </c>
      <c r="B1922">
        <v>451</v>
      </c>
      <c r="C1922" s="2">
        <v>44647</v>
      </c>
      <c r="D1922" s="2" t="str">
        <f>TEXT(Table4[[#This Row],[issue_date]],"mmmm")</f>
        <v>March</v>
      </c>
      <c r="E1922" s="9">
        <f>YEAR(Table4[[#This Row],[issue_date]])</f>
        <v>2022</v>
      </c>
      <c r="F1922" t="s">
        <v>22</v>
      </c>
      <c r="G1922">
        <v>16</v>
      </c>
      <c r="H1922" t="s">
        <v>20</v>
      </c>
      <c r="I1922" t="str">
        <f>VLOOKUP(Table4[[#This Row],[customer_id]],customers!A:G,4,)</f>
        <v>delhi</v>
      </c>
    </row>
    <row r="1923" spans="1:9" x14ac:dyDescent="0.3">
      <c r="A1923">
        <v>21922</v>
      </c>
      <c r="B1923">
        <v>500</v>
      </c>
      <c r="C1923" s="2">
        <v>45079</v>
      </c>
      <c r="D1923" s="2" t="str">
        <f>TEXT(Table4[[#This Row],[issue_date]],"mmmm")</f>
        <v>June</v>
      </c>
      <c r="E1923" s="9">
        <f>YEAR(Table4[[#This Row],[issue_date]])</f>
        <v>2023</v>
      </c>
      <c r="F1923" t="s">
        <v>22</v>
      </c>
      <c r="G1923">
        <v>45</v>
      </c>
      <c r="H1923" t="s">
        <v>20</v>
      </c>
      <c r="I1923" t="str">
        <f>VLOOKUP(Table4[[#This Row],[customer_id]],customers!A:G,4,)</f>
        <v>mumbai</v>
      </c>
    </row>
    <row r="1924" spans="1:9" x14ac:dyDescent="0.3">
      <c r="A1924">
        <v>21923</v>
      </c>
      <c r="B1924">
        <v>150</v>
      </c>
      <c r="C1924" s="2">
        <v>45303</v>
      </c>
      <c r="D1924" s="2" t="str">
        <f>TEXT(Table4[[#This Row],[issue_date]],"mmmm")</f>
        <v>January</v>
      </c>
      <c r="E1924" s="9">
        <f>YEAR(Table4[[#This Row],[issue_date]])</f>
        <v>2024</v>
      </c>
      <c r="F1924" t="s">
        <v>19</v>
      </c>
      <c r="G1924">
        <v>8</v>
      </c>
      <c r="H1924" t="s">
        <v>20</v>
      </c>
      <c r="I1924" t="str">
        <f>VLOOKUP(Table4[[#This Row],[customer_id]],customers!A:G,4,)</f>
        <v>bangalore</v>
      </c>
    </row>
    <row r="1925" spans="1:9" x14ac:dyDescent="0.3">
      <c r="A1925">
        <v>21924</v>
      </c>
      <c r="B1925">
        <v>145</v>
      </c>
      <c r="C1925" s="2">
        <v>44991</v>
      </c>
      <c r="D1925" s="2" t="str">
        <f>TEXT(Table4[[#This Row],[issue_date]],"mmmm")</f>
        <v>March</v>
      </c>
      <c r="E1925" s="9">
        <f>YEAR(Table4[[#This Row],[issue_date]])</f>
        <v>2023</v>
      </c>
      <c r="F1925" t="s">
        <v>22</v>
      </c>
      <c r="G1925">
        <v>62</v>
      </c>
      <c r="H1925" t="s">
        <v>23</v>
      </c>
      <c r="I1925" t="str">
        <f>VLOOKUP(Table4[[#This Row],[customer_id]],customers!A:G,4,)</f>
        <v>chennai</v>
      </c>
    </row>
    <row r="1926" spans="1:9" x14ac:dyDescent="0.3">
      <c r="A1926">
        <v>21925</v>
      </c>
      <c r="B1926">
        <v>395</v>
      </c>
      <c r="C1926" s="2">
        <v>45424</v>
      </c>
      <c r="D1926" s="2" t="str">
        <f>TEXT(Table4[[#This Row],[issue_date]],"mmmm")</f>
        <v>May</v>
      </c>
      <c r="E1926" s="9">
        <f>YEAR(Table4[[#This Row],[issue_date]])</f>
        <v>2024</v>
      </c>
      <c r="F1926" t="s">
        <v>19</v>
      </c>
      <c r="G1926">
        <v>21</v>
      </c>
      <c r="H1926" t="s">
        <v>20</v>
      </c>
      <c r="I1926" t="str">
        <f>VLOOKUP(Table4[[#This Row],[customer_id]],customers!A:G,4,)</f>
        <v>delhi</v>
      </c>
    </row>
    <row r="1927" spans="1:9" x14ac:dyDescent="0.3">
      <c r="A1927">
        <v>21926</v>
      </c>
      <c r="B1927">
        <v>111</v>
      </c>
      <c r="C1927" s="2">
        <v>45390</v>
      </c>
      <c r="D1927" s="2" t="str">
        <f>TEXT(Table4[[#This Row],[issue_date]],"mmmm")</f>
        <v>April</v>
      </c>
      <c r="E1927" s="9">
        <f>YEAR(Table4[[#This Row],[issue_date]])</f>
        <v>2024</v>
      </c>
      <c r="F1927" t="s">
        <v>19</v>
      </c>
      <c r="G1927">
        <v>64</v>
      </c>
      <c r="H1927" t="s">
        <v>23</v>
      </c>
      <c r="I1927" t="str">
        <f>VLOOKUP(Table4[[#This Row],[customer_id]],customers!A:G,4,)</f>
        <v>mumbai</v>
      </c>
    </row>
    <row r="1928" spans="1:9" x14ac:dyDescent="0.3">
      <c r="A1928">
        <v>21927</v>
      </c>
      <c r="B1928">
        <v>167</v>
      </c>
      <c r="C1928" s="2">
        <v>44604</v>
      </c>
      <c r="D1928" s="2" t="str">
        <f>TEXT(Table4[[#This Row],[issue_date]],"mmmm")</f>
        <v>February</v>
      </c>
      <c r="E1928" s="9">
        <f>YEAR(Table4[[#This Row],[issue_date]])</f>
        <v>2022</v>
      </c>
      <c r="F1928" t="s">
        <v>22</v>
      </c>
      <c r="G1928">
        <v>30</v>
      </c>
      <c r="H1928" t="s">
        <v>20</v>
      </c>
      <c r="I1928" t="str">
        <f>VLOOKUP(Table4[[#This Row],[customer_id]],customers!A:G,4,)</f>
        <v>bangalore</v>
      </c>
    </row>
    <row r="1929" spans="1:9" x14ac:dyDescent="0.3">
      <c r="A1929">
        <v>21928</v>
      </c>
      <c r="B1929">
        <v>189</v>
      </c>
      <c r="C1929" s="2">
        <v>45385</v>
      </c>
      <c r="D1929" s="2" t="str">
        <f>TEXT(Table4[[#This Row],[issue_date]],"mmmm")</f>
        <v>April</v>
      </c>
      <c r="E1929" s="9">
        <f>YEAR(Table4[[#This Row],[issue_date]])</f>
        <v>2024</v>
      </c>
      <c r="F1929" t="s">
        <v>22</v>
      </c>
      <c r="G1929">
        <v>36</v>
      </c>
      <c r="H1929" t="s">
        <v>20</v>
      </c>
      <c r="I1929" t="str">
        <f>VLOOKUP(Table4[[#This Row],[customer_id]],customers!A:G,4,)</f>
        <v>delhi</v>
      </c>
    </row>
    <row r="1930" spans="1:9" x14ac:dyDescent="0.3">
      <c r="A1930">
        <v>21929</v>
      </c>
      <c r="B1930">
        <v>495</v>
      </c>
      <c r="C1930" s="2">
        <v>45271</v>
      </c>
      <c r="D1930" s="2" t="str">
        <f>TEXT(Table4[[#This Row],[issue_date]],"mmmm")</f>
        <v>December</v>
      </c>
      <c r="E1930" s="9">
        <f>YEAR(Table4[[#This Row],[issue_date]])</f>
        <v>2023</v>
      </c>
      <c r="F1930" t="s">
        <v>19</v>
      </c>
      <c r="G1930">
        <v>5</v>
      </c>
      <c r="H1930" t="s">
        <v>20</v>
      </c>
      <c r="I1930" t="str">
        <f>VLOOKUP(Table4[[#This Row],[customer_id]],customers!A:G,4,)</f>
        <v>mumbai</v>
      </c>
    </row>
    <row r="1931" spans="1:9" x14ac:dyDescent="0.3">
      <c r="A1931">
        <v>21930</v>
      </c>
      <c r="B1931">
        <v>475</v>
      </c>
      <c r="C1931" s="2">
        <v>44931</v>
      </c>
      <c r="D1931" s="2" t="str">
        <f>TEXT(Table4[[#This Row],[issue_date]],"mmmm")</f>
        <v>January</v>
      </c>
      <c r="E1931" s="9">
        <f>YEAR(Table4[[#This Row],[issue_date]])</f>
        <v>2023</v>
      </c>
      <c r="F1931" t="s">
        <v>19</v>
      </c>
      <c r="G1931">
        <v>38</v>
      </c>
      <c r="H1931" t="s">
        <v>20</v>
      </c>
      <c r="I1931" t="str">
        <f>VLOOKUP(Table4[[#This Row],[customer_id]],customers!A:G,4,)</f>
        <v>delhi</v>
      </c>
    </row>
    <row r="1932" spans="1:9" x14ac:dyDescent="0.3">
      <c r="A1932">
        <v>21931</v>
      </c>
      <c r="B1932">
        <v>49</v>
      </c>
      <c r="C1932" s="2">
        <v>44965</v>
      </c>
      <c r="D1932" s="2" t="str">
        <f>TEXT(Table4[[#This Row],[issue_date]],"mmmm")</f>
        <v>February</v>
      </c>
      <c r="E1932" s="9">
        <f>YEAR(Table4[[#This Row],[issue_date]])</f>
        <v>2023</v>
      </c>
      <c r="F1932" t="s">
        <v>19</v>
      </c>
      <c r="G1932">
        <v>19</v>
      </c>
      <c r="H1932" t="s">
        <v>20</v>
      </c>
      <c r="I1932" t="str">
        <f>VLOOKUP(Table4[[#This Row],[customer_id]],customers!A:G,4,)</f>
        <v>chennai</v>
      </c>
    </row>
    <row r="1933" spans="1:9" x14ac:dyDescent="0.3">
      <c r="A1933">
        <v>21932</v>
      </c>
      <c r="B1933">
        <v>107</v>
      </c>
      <c r="C1933" s="2">
        <v>44864</v>
      </c>
      <c r="D1933" s="2" t="str">
        <f>TEXT(Table4[[#This Row],[issue_date]],"mmmm")</f>
        <v>October</v>
      </c>
      <c r="E1933" s="9">
        <f>YEAR(Table4[[#This Row],[issue_date]])</f>
        <v>2022</v>
      </c>
      <c r="F1933" t="s">
        <v>19</v>
      </c>
      <c r="G1933">
        <v>27</v>
      </c>
      <c r="H1933" t="s">
        <v>20</v>
      </c>
      <c r="I1933" t="str">
        <f>VLOOKUP(Table4[[#This Row],[customer_id]],customers!A:G,4,)</f>
        <v>chennai</v>
      </c>
    </row>
    <row r="1934" spans="1:9" x14ac:dyDescent="0.3">
      <c r="A1934">
        <v>21933</v>
      </c>
      <c r="B1934">
        <v>93</v>
      </c>
      <c r="C1934" s="2">
        <v>44743</v>
      </c>
      <c r="D1934" s="2" t="str">
        <f>TEXT(Table4[[#This Row],[issue_date]],"mmmm")</f>
        <v>July</v>
      </c>
      <c r="E1934" s="9">
        <f>YEAR(Table4[[#This Row],[issue_date]])</f>
        <v>2022</v>
      </c>
      <c r="F1934" t="s">
        <v>19</v>
      </c>
      <c r="G1934">
        <v>13</v>
      </c>
      <c r="H1934" t="s">
        <v>20</v>
      </c>
      <c r="I1934" t="str">
        <f>VLOOKUP(Table4[[#This Row],[customer_id]],customers!A:G,4,)</f>
        <v>bangalore</v>
      </c>
    </row>
    <row r="1935" spans="1:9" x14ac:dyDescent="0.3">
      <c r="A1935">
        <v>21934</v>
      </c>
      <c r="B1935">
        <v>124</v>
      </c>
      <c r="C1935" s="2">
        <v>44730</v>
      </c>
      <c r="D1935" s="2" t="str">
        <f>TEXT(Table4[[#This Row],[issue_date]],"mmmm")</f>
        <v>June</v>
      </c>
      <c r="E1935" s="9">
        <f>YEAR(Table4[[#This Row],[issue_date]])</f>
        <v>2022</v>
      </c>
      <c r="F1935" t="s">
        <v>22</v>
      </c>
      <c r="G1935">
        <v>9</v>
      </c>
      <c r="H1935" t="s">
        <v>20</v>
      </c>
      <c r="I1935" t="str">
        <f>VLOOKUP(Table4[[#This Row],[customer_id]],customers!A:G,4,)</f>
        <v>kolkata</v>
      </c>
    </row>
    <row r="1936" spans="1:9" x14ac:dyDescent="0.3">
      <c r="A1936">
        <v>21935</v>
      </c>
      <c r="B1936">
        <v>317</v>
      </c>
      <c r="C1936" s="2">
        <v>44764</v>
      </c>
      <c r="D1936" s="2" t="str">
        <f>TEXT(Table4[[#This Row],[issue_date]],"mmmm")</f>
        <v>July</v>
      </c>
      <c r="E1936" s="9">
        <f>YEAR(Table4[[#This Row],[issue_date]])</f>
        <v>2022</v>
      </c>
      <c r="F1936" t="s">
        <v>21</v>
      </c>
      <c r="G1936">
        <v>17</v>
      </c>
      <c r="H1936" t="s">
        <v>20</v>
      </c>
      <c r="I1936" t="str">
        <f>VLOOKUP(Table4[[#This Row],[customer_id]],customers!A:G,4,)</f>
        <v>delhi</v>
      </c>
    </row>
    <row r="1937" spans="1:9" x14ac:dyDescent="0.3">
      <c r="A1937">
        <v>21936</v>
      </c>
      <c r="B1937">
        <v>140</v>
      </c>
      <c r="C1937" s="2">
        <v>45267</v>
      </c>
      <c r="D1937" s="2" t="str">
        <f>TEXT(Table4[[#This Row],[issue_date]],"mmmm")</f>
        <v>December</v>
      </c>
      <c r="E1937" s="9">
        <f>YEAR(Table4[[#This Row],[issue_date]])</f>
        <v>2023</v>
      </c>
      <c r="F1937" t="s">
        <v>22</v>
      </c>
      <c r="G1937">
        <v>44</v>
      </c>
      <c r="H1937" t="s">
        <v>20</v>
      </c>
      <c r="I1937" t="str">
        <f>VLOOKUP(Table4[[#This Row],[customer_id]],customers!A:G,4,)</f>
        <v>delhi</v>
      </c>
    </row>
    <row r="1938" spans="1:9" x14ac:dyDescent="0.3">
      <c r="A1938">
        <v>21937</v>
      </c>
      <c r="B1938">
        <v>397</v>
      </c>
      <c r="C1938" s="2">
        <v>45104</v>
      </c>
      <c r="D1938" s="2" t="str">
        <f>TEXT(Table4[[#This Row],[issue_date]],"mmmm")</f>
        <v>June</v>
      </c>
      <c r="E1938" s="9">
        <f>YEAR(Table4[[#This Row],[issue_date]])</f>
        <v>2023</v>
      </c>
      <c r="F1938" t="s">
        <v>21</v>
      </c>
      <c r="G1938">
        <v>45</v>
      </c>
      <c r="H1938" t="s">
        <v>20</v>
      </c>
      <c r="I1938" t="str">
        <f>VLOOKUP(Table4[[#This Row],[customer_id]],customers!A:G,4,)</f>
        <v>bangalore</v>
      </c>
    </row>
    <row r="1939" spans="1:9" x14ac:dyDescent="0.3">
      <c r="A1939">
        <v>21938</v>
      </c>
      <c r="B1939">
        <v>314</v>
      </c>
      <c r="C1939" s="2">
        <v>44663</v>
      </c>
      <c r="D1939" s="2" t="str">
        <f>TEXT(Table4[[#This Row],[issue_date]],"mmmm")</f>
        <v>April</v>
      </c>
      <c r="E1939" s="9">
        <f>YEAR(Table4[[#This Row],[issue_date]])</f>
        <v>2022</v>
      </c>
      <c r="F1939" t="s">
        <v>19</v>
      </c>
      <c r="G1939">
        <v>42</v>
      </c>
      <c r="H1939" t="s">
        <v>23</v>
      </c>
      <c r="I1939" t="str">
        <f>VLOOKUP(Table4[[#This Row],[customer_id]],customers!A:G,4,)</f>
        <v>chennai</v>
      </c>
    </row>
    <row r="1940" spans="1:9" x14ac:dyDescent="0.3">
      <c r="A1940">
        <v>21939</v>
      </c>
      <c r="B1940">
        <v>11</v>
      </c>
      <c r="C1940" s="2">
        <v>45137</v>
      </c>
      <c r="D1940" s="2" t="str">
        <f>TEXT(Table4[[#This Row],[issue_date]],"mmmm")</f>
        <v>July</v>
      </c>
      <c r="E1940" s="9">
        <f>YEAR(Table4[[#This Row],[issue_date]])</f>
        <v>2023</v>
      </c>
      <c r="F1940" t="s">
        <v>22</v>
      </c>
      <c r="G1940">
        <v>51</v>
      </c>
      <c r="H1940" t="s">
        <v>20</v>
      </c>
      <c r="I1940" t="str">
        <f>VLOOKUP(Table4[[#This Row],[customer_id]],customers!A:G,4,)</f>
        <v>mumbai</v>
      </c>
    </row>
    <row r="1941" spans="1:9" x14ac:dyDescent="0.3">
      <c r="A1941">
        <v>21940</v>
      </c>
      <c r="B1941">
        <v>448</v>
      </c>
      <c r="C1941" s="2">
        <v>44907</v>
      </c>
      <c r="D1941" s="2" t="str">
        <f>TEXT(Table4[[#This Row],[issue_date]],"mmmm")</f>
        <v>December</v>
      </c>
      <c r="E1941" s="9">
        <f>YEAR(Table4[[#This Row],[issue_date]])</f>
        <v>2022</v>
      </c>
      <c r="F1941" t="s">
        <v>21</v>
      </c>
      <c r="G1941">
        <v>58</v>
      </c>
      <c r="H1941" t="s">
        <v>20</v>
      </c>
      <c r="I1941" t="str">
        <f>VLOOKUP(Table4[[#This Row],[customer_id]],customers!A:G,4,)</f>
        <v>mumbai</v>
      </c>
    </row>
    <row r="1942" spans="1:9" x14ac:dyDescent="0.3">
      <c r="A1942">
        <v>21941</v>
      </c>
      <c r="B1942">
        <v>415</v>
      </c>
      <c r="C1942" s="2">
        <v>45164</v>
      </c>
      <c r="D1942" s="2" t="str">
        <f>TEXT(Table4[[#This Row],[issue_date]],"mmmm")</f>
        <v>August</v>
      </c>
      <c r="E1942" s="9">
        <f>YEAR(Table4[[#This Row],[issue_date]])</f>
        <v>2023</v>
      </c>
      <c r="F1942" t="s">
        <v>19</v>
      </c>
      <c r="G1942">
        <v>58</v>
      </c>
      <c r="H1942" t="s">
        <v>20</v>
      </c>
      <c r="I1942" t="str">
        <f>VLOOKUP(Table4[[#This Row],[customer_id]],customers!A:G,4,)</f>
        <v>delhi</v>
      </c>
    </row>
    <row r="1943" spans="1:9" x14ac:dyDescent="0.3">
      <c r="A1943">
        <v>21942</v>
      </c>
      <c r="B1943">
        <v>395</v>
      </c>
      <c r="C1943" s="2">
        <v>45003</v>
      </c>
      <c r="D1943" s="2" t="str">
        <f>TEXT(Table4[[#This Row],[issue_date]],"mmmm")</f>
        <v>March</v>
      </c>
      <c r="E1943" s="9">
        <f>YEAR(Table4[[#This Row],[issue_date]])</f>
        <v>2023</v>
      </c>
      <c r="F1943" t="s">
        <v>22</v>
      </c>
      <c r="G1943">
        <v>30</v>
      </c>
      <c r="H1943" t="s">
        <v>20</v>
      </c>
      <c r="I1943" t="str">
        <f>VLOOKUP(Table4[[#This Row],[customer_id]],customers!A:G,4,)</f>
        <v>delhi</v>
      </c>
    </row>
    <row r="1944" spans="1:9" x14ac:dyDescent="0.3">
      <c r="A1944">
        <v>21943</v>
      </c>
      <c r="B1944">
        <v>378</v>
      </c>
      <c r="C1944" s="2">
        <v>44811</v>
      </c>
      <c r="D1944" s="2" t="str">
        <f>TEXT(Table4[[#This Row],[issue_date]],"mmmm")</f>
        <v>September</v>
      </c>
      <c r="E1944" s="9">
        <f>YEAR(Table4[[#This Row],[issue_date]])</f>
        <v>2022</v>
      </c>
      <c r="F1944" t="s">
        <v>21</v>
      </c>
      <c r="G1944">
        <v>5</v>
      </c>
      <c r="H1944" t="s">
        <v>20</v>
      </c>
      <c r="I1944" t="str">
        <f>VLOOKUP(Table4[[#This Row],[customer_id]],customers!A:G,4,)</f>
        <v>delhi</v>
      </c>
    </row>
    <row r="1945" spans="1:9" x14ac:dyDescent="0.3">
      <c r="A1945">
        <v>21944</v>
      </c>
      <c r="B1945">
        <v>361</v>
      </c>
      <c r="C1945" s="2">
        <v>44744</v>
      </c>
      <c r="D1945" s="2" t="str">
        <f>TEXT(Table4[[#This Row],[issue_date]],"mmmm")</f>
        <v>July</v>
      </c>
      <c r="E1945" s="9">
        <f>YEAR(Table4[[#This Row],[issue_date]])</f>
        <v>2022</v>
      </c>
      <c r="F1945" t="s">
        <v>22</v>
      </c>
      <c r="G1945">
        <v>8</v>
      </c>
      <c r="H1945" t="s">
        <v>20</v>
      </c>
      <c r="I1945" t="str">
        <f>VLOOKUP(Table4[[#This Row],[customer_id]],customers!A:G,4,)</f>
        <v>chennai</v>
      </c>
    </row>
    <row r="1946" spans="1:9" x14ac:dyDescent="0.3">
      <c r="A1946">
        <v>21945</v>
      </c>
      <c r="B1946">
        <v>171</v>
      </c>
      <c r="C1946" s="2">
        <v>44863</v>
      </c>
      <c r="D1946" s="2" t="str">
        <f>TEXT(Table4[[#This Row],[issue_date]],"mmmm")</f>
        <v>October</v>
      </c>
      <c r="E1946" s="9">
        <f>YEAR(Table4[[#This Row],[issue_date]])</f>
        <v>2022</v>
      </c>
      <c r="F1946" t="s">
        <v>21</v>
      </c>
      <c r="G1946">
        <v>37</v>
      </c>
      <c r="H1946" t="s">
        <v>20</v>
      </c>
      <c r="I1946" t="str">
        <f>VLOOKUP(Table4[[#This Row],[customer_id]],customers!A:G,4,)</f>
        <v>bangalore</v>
      </c>
    </row>
    <row r="1947" spans="1:9" x14ac:dyDescent="0.3">
      <c r="A1947">
        <v>21946</v>
      </c>
      <c r="B1947">
        <v>36</v>
      </c>
      <c r="C1947" s="2">
        <v>45439</v>
      </c>
      <c r="D1947" s="2" t="str">
        <f>TEXT(Table4[[#This Row],[issue_date]],"mmmm")</f>
        <v>May</v>
      </c>
      <c r="E1947" s="9">
        <f>YEAR(Table4[[#This Row],[issue_date]])</f>
        <v>2024</v>
      </c>
      <c r="F1947" t="s">
        <v>22</v>
      </c>
      <c r="G1947">
        <v>47</v>
      </c>
      <c r="H1947" t="s">
        <v>20</v>
      </c>
      <c r="I1947" t="str">
        <f>VLOOKUP(Table4[[#This Row],[customer_id]],customers!A:G,4,)</f>
        <v>chennai</v>
      </c>
    </row>
    <row r="1948" spans="1:9" x14ac:dyDescent="0.3">
      <c r="A1948">
        <v>21947</v>
      </c>
      <c r="B1948">
        <v>130</v>
      </c>
      <c r="C1948" s="2">
        <v>45424</v>
      </c>
      <c r="D1948" s="2" t="str">
        <f>TEXT(Table4[[#This Row],[issue_date]],"mmmm")</f>
        <v>May</v>
      </c>
      <c r="E1948" s="9">
        <f>YEAR(Table4[[#This Row],[issue_date]])</f>
        <v>2024</v>
      </c>
      <c r="F1948" t="s">
        <v>22</v>
      </c>
      <c r="G1948">
        <v>45</v>
      </c>
      <c r="H1948" t="s">
        <v>20</v>
      </c>
      <c r="I1948" t="str">
        <f>VLOOKUP(Table4[[#This Row],[customer_id]],customers!A:G,4,)</f>
        <v>kolkata</v>
      </c>
    </row>
    <row r="1949" spans="1:9" x14ac:dyDescent="0.3">
      <c r="A1949">
        <v>21948</v>
      </c>
      <c r="B1949">
        <v>343</v>
      </c>
      <c r="C1949" s="2">
        <v>44841</v>
      </c>
      <c r="D1949" s="2" t="str">
        <f>TEXT(Table4[[#This Row],[issue_date]],"mmmm")</f>
        <v>October</v>
      </c>
      <c r="E1949" s="9">
        <f>YEAR(Table4[[#This Row],[issue_date]])</f>
        <v>2022</v>
      </c>
      <c r="F1949" t="s">
        <v>21</v>
      </c>
      <c r="G1949">
        <v>5</v>
      </c>
      <c r="H1949" t="s">
        <v>20</v>
      </c>
      <c r="I1949" t="str">
        <f>VLOOKUP(Table4[[#This Row],[customer_id]],customers!A:G,4,)</f>
        <v>delhi</v>
      </c>
    </row>
    <row r="1950" spans="1:9" x14ac:dyDescent="0.3">
      <c r="A1950">
        <v>21949</v>
      </c>
      <c r="B1950">
        <v>61</v>
      </c>
      <c r="C1950" s="2">
        <v>45278</v>
      </c>
      <c r="D1950" s="2" t="str">
        <f>TEXT(Table4[[#This Row],[issue_date]],"mmmm")</f>
        <v>December</v>
      </c>
      <c r="E1950" s="9">
        <f>YEAR(Table4[[#This Row],[issue_date]])</f>
        <v>2023</v>
      </c>
      <c r="F1950" t="s">
        <v>22</v>
      </c>
      <c r="G1950">
        <v>63</v>
      </c>
      <c r="H1950" t="s">
        <v>20</v>
      </c>
      <c r="I1950" t="str">
        <f>VLOOKUP(Table4[[#This Row],[customer_id]],customers!A:G,4,)</f>
        <v>hyderabad</v>
      </c>
    </row>
    <row r="1951" spans="1:9" x14ac:dyDescent="0.3">
      <c r="A1951">
        <v>21950</v>
      </c>
      <c r="B1951">
        <v>420</v>
      </c>
      <c r="C1951" s="2">
        <v>44650</v>
      </c>
      <c r="D1951" s="2" t="str">
        <f>TEXT(Table4[[#This Row],[issue_date]],"mmmm")</f>
        <v>March</v>
      </c>
      <c r="E1951" s="9">
        <f>YEAR(Table4[[#This Row],[issue_date]])</f>
        <v>2022</v>
      </c>
      <c r="F1951" t="s">
        <v>22</v>
      </c>
      <c r="G1951">
        <v>47</v>
      </c>
      <c r="H1951" t="s">
        <v>20</v>
      </c>
      <c r="I1951" t="str">
        <f>VLOOKUP(Table4[[#This Row],[customer_id]],customers!A:G,4,)</f>
        <v>delhi</v>
      </c>
    </row>
    <row r="1952" spans="1:9" x14ac:dyDescent="0.3">
      <c r="A1952">
        <v>21951</v>
      </c>
      <c r="B1952">
        <v>334</v>
      </c>
      <c r="C1952" s="2">
        <v>45366</v>
      </c>
      <c r="D1952" s="2" t="str">
        <f>TEXT(Table4[[#This Row],[issue_date]],"mmmm")</f>
        <v>March</v>
      </c>
      <c r="E1952" s="9">
        <f>YEAR(Table4[[#This Row],[issue_date]])</f>
        <v>2024</v>
      </c>
      <c r="F1952" t="s">
        <v>19</v>
      </c>
      <c r="G1952">
        <v>25</v>
      </c>
      <c r="H1952" t="s">
        <v>20</v>
      </c>
      <c r="I1952" t="str">
        <f>VLOOKUP(Table4[[#This Row],[customer_id]],customers!A:G,4,)</f>
        <v>chennai</v>
      </c>
    </row>
    <row r="1953" spans="1:9" x14ac:dyDescent="0.3">
      <c r="A1953">
        <v>21952</v>
      </c>
      <c r="B1953">
        <v>485</v>
      </c>
      <c r="C1953" s="2">
        <v>44986</v>
      </c>
      <c r="D1953" s="2" t="str">
        <f>TEXT(Table4[[#This Row],[issue_date]],"mmmm")</f>
        <v>March</v>
      </c>
      <c r="E1953" s="9">
        <f>YEAR(Table4[[#This Row],[issue_date]])</f>
        <v>2023</v>
      </c>
      <c r="F1953" t="s">
        <v>21</v>
      </c>
      <c r="G1953">
        <v>50</v>
      </c>
      <c r="H1953" t="s">
        <v>20</v>
      </c>
      <c r="I1953" t="str">
        <f>VLOOKUP(Table4[[#This Row],[customer_id]],customers!A:G,4,)</f>
        <v>delhi</v>
      </c>
    </row>
    <row r="1954" spans="1:9" x14ac:dyDescent="0.3">
      <c r="A1954">
        <v>21953</v>
      </c>
      <c r="B1954">
        <v>49</v>
      </c>
      <c r="C1954" s="2">
        <v>44846</v>
      </c>
      <c r="D1954" s="2" t="str">
        <f>TEXT(Table4[[#This Row],[issue_date]],"mmmm")</f>
        <v>October</v>
      </c>
      <c r="E1954" s="9">
        <f>YEAR(Table4[[#This Row],[issue_date]])</f>
        <v>2022</v>
      </c>
      <c r="F1954" t="s">
        <v>22</v>
      </c>
      <c r="G1954">
        <v>45</v>
      </c>
      <c r="H1954" t="s">
        <v>20</v>
      </c>
      <c r="I1954" t="str">
        <f>VLOOKUP(Table4[[#This Row],[customer_id]],customers!A:G,4,)</f>
        <v>chennai</v>
      </c>
    </row>
    <row r="1955" spans="1:9" x14ac:dyDescent="0.3">
      <c r="A1955">
        <v>21954</v>
      </c>
      <c r="B1955">
        <v>411</v>
      </c>
      <c r="C1955" s="2">
        <v>45232</v>
      </c>
      <c r="D1955" s="2" t="str">
        <f>TEXT(Table4[[#This Row],[issue_date]],"mmmm")</f>
        <v>November</v>
      </c>
      <c r="E1955" s="9">
        <f>YEAR(Table4[[#This Row],[issue_date]])</f>
        <v>2023</v>
      </c>
      <c r="F1955" t="s">
        <v>21</v>
      </c>
      <c r="G1955">
        <v>30</v>
      </c>
      <c r="H1955" t="s">
        <v>20</v>
      </c>
      <c r="I1955" t="str">
        <f>VLOOKUP(Table4[[#This Row],[customer_id]],customers!A:G,4,)</f>
        <v>hyderabad</v>
      </c>
    </row>
    <row r="1956" spans="1:9" x14ac:dyDescent="0.3">
      <c r="A1956">
        <v>21955</v>
      </c>
      <c r="B1956">
        <v>396</v>
      </c>
      <c r="C1956" s="2">
        <v>45436</v>
      </c>
      <c r="D1956" s="2" t="str">
        <f>TEXT(Table4[[#This Row],[issue_date]],"mmmm")</f>
        <v>May</v>
      </c>
      <c r="E1956" s="9">
        <f>YEAR(Table4[[#This Row],[issue_date]])</f>
        <v>2024</v>
      </c>
      <c r="F1956" t="s">
        <v>22</v>
      </c>
      <c r="G1956">
        <v>48</v>
      </c>
      <c r="H1956" t="s">
        <v>20</v>
      </c>
      <c r="I1956" t="str">
        <f>VLOOKUP(Table4[[#This Row],[customer_id]],customers!A:G,4,)</f>
        <v>kolkata</v>
      </c>
    </row>
    <row r="1957" spans="1:9" x14ac:dyDescent="0.3">
      <c r="A1957">
        <v>21956</v>
      </c>
      <c r="B1957">
        <v>186</v>
      </c>
      <c r="C1957" s="2">
        <v>44691</v>
      </c>
      <c r="D1957" s="2" t="str">
        <f>TEXT(Table4[[#This Row],[issue_date]],"mmmm")</f>
        <v>May</v>
      </c>
      <c r="E1957" s="9">
        <f>YEAR(Table4[[#This Row],[issue_date]])</f>
        <v>2022</v>
      </c>
      <c r="F1957" t="s">
        <v>21</v>
      </c>
      <c r="G1957">
        <v>51</v>
      </c>
      <c r="H1957" t="s">
        <v>20</v>
      </c>
      <c r="I1957" t="str">
        <f>VLOOKUP(Table4[[#This Row],[customer_id]],customers!A:G,4,)</f>
        <v>hyderabad</v>
      </c>
    </row>
    <row r="1958" spans="1:9" x14ac:dyDescent="0.3">
      <c r="A1958">
        <v>21957</v>
      </c>
      <c r="B1958">
        <v>221</v>
      </c>
      <c r="C1958" s="2">
        <v>44809</v>
      </c>
      <c r="D1958" s="2" t="str">
        <f>TEXT(Table4[[#This Row],[issue_date]],"mmmm")</f>
        <v>September</v>
      </c>
      <c r="E1958" s="9">
        <f>YEAR(Table4[[#This Row],[issue_date]])</f>
        <v>2022</v>
      </c>
      <c r="F1958" t="s">
        <v>21</v>
      </c>
      <c r="G1958">
        <v>55</v>
      </c>
      <c r="H1958" t="s">
        <v>20</v>
      </c>
      <c r="I1958" t="str">
        <f>VLOOKUP(Table4[[#This Row],[customer_id]],customers!A:G,4,)</f>
        <v>bangalore</v>
      </c>
    </row>
    <row r="1959" spans="1:9" x14ac:dyDescent="0.3">
      <c r="A1959">
        <v>21958</v>
      </c>
      <c r="B1959">
        <v>6</v>
      </c>
      <c r="C1959" s="2">
        <v>45213</v>
      </c>
      <c r="D1959" s="2" t="str">
        <f>TEXT(Table4[[#This Row],[issue_date]],"mmmm")</f>
        <v>October</v>
      </c>
      <c r="E1959" s="9">
        <f>YEAR(Table4[[#This Row],[issue_date]])</f>
        <v>2023</v>
      </c>
      <c r="F1959" t="s">
        <v>19</v>
      </c>
      <c r="G1959">
        <v>55</v>
      </c>
      <c r="H1959" t="s">
        <v>20</v>
      </c>
      <c r="I1959" t="str">
        <f>VLOOKUP(Table4[[#This Row],[customer_id]],customers!A:G,4,)</f>
        <v>bangalore</v>
      </c>
    </row>
    <row r="1960" spans="1:9" x14ac:dyDescent="0.3">
      <c r="A1960">
        <v>21959</v>
      </c>
      <c r="B1960">
        <v>300</v>
      </c>
      <c r="C1960" s="2">
        <v>44750</v>
      </c>
      <c r="D1960" s="2" t="str">
        <f>TEXT(Table4[[#This Row],[issue_date]],"mmmm")</f>
        <v>July</v>
      </c>
      <c r="E1960" s="9">
        <f>YEAR(Table4[[#This Row],[issue_date]])</f>
        <v>2022</v>
      </c>
      <c r="F1960" t="s">
        <v>19</v>
      </c>
      <c r="G1960">
        <v>46</v>
      </c>
      <c r="H1960" t="s">
        <v>20</v>
      </c>
      <c r="I1960" t="str">
        <f>VLOOKUP(Table4[[#This Row],[customer_id]],customers!A:G,4,)</f>
        <v>mumbai</v>
      </c>
    </row>
    <row r="1961" spans="1:9" x14ac:dyDescent="0.3">
      <c r="A1961">
        <v>21960</v>
      </c>
      <c r="B1961">
        <v>175</v>
      </c>
      <c r="C1961" s="2">
        <v>44652</v>
      </c>
      <c r="D1961" s="2" t="str">
        <f>TEXT(Table4[[#This Row],[issue_date]],"mmmm")</f>
        <v>April</v>
      </c>
      <c r="E1961" s="9">
        <f>YEAR(Table4[[#This Row],[issue_date]])</f>
        <v>2022</v>
      </c>
      <c r="F1961" t="s">
        <v>21</v>
      </c>
      <c r="G1961">
        <v>31</v>
      </c>
      <c r="H1961" t="s">
        <v>20</v>
      </c>
      <c r="I1961" t="str">
        <f>VLOOKUP(Table4[[#This Row],[customer_id]],customers!A:G,4,)</f>
        <v>kolkata</v>
      </c>
    </row>
    <row r="1962" spans="1:9" x14ac:dyDescent="0.3">
      <c r="A1962">
        <v>21961</v>
      </c>
      <c r="B1962">
        <v>279</v>
      </c>
      <c r="C1962" s="2">
        <v>45129</v>
      </c>
      <c r="D1962" s="2" t="str">
        <f>TEXT(Table4[[#This Row],[issue_date]],"mmmm")</f>
        <v>July</v>
      </c>
      <c r="E1962" s="9">
        <f>YEAR(Table4[[#This Row],[issue_date]])</f>
        <v>2023</v>
      </c>
      <c r="F1962" t="s">
        <v>22</v>
      </c>
      <c r="G1962">
        <v>34</v>
      </c>
      <c r="H1962" t="s">
        <v>20</v>
      </c>
      <c r="I1962" t="str">
        <f>VLOOKUP(Table4[[#This Row],[customer_id]],customers!A:G,4,)</f>
        <v>delhi</v>
      </c>
    </row>
    <row r="1963" spans="1:9" x14ac:dyDescent="0.3">
      <c r="A1963">
        <v>21962</v>
      </c>
      <c r="B1963">
        <v>371</v>
      </c>
      <c r="C1963" s="2">
        <v>45299</v>
      </c>
      <c r="D1963" s="2" t="str">
        <f>TEXT(Table4[[#This Row],[issue_date]],"mmmm")</f>
        <v>January</v>
      </c>
      <c r="E1963" s="9">
        <f>YEAR(Table4[[#This Row],[issue_date]])</f>
        <v>2024</v>
      </c>
      <c r="F1963" t="s">
        <v>21</v>
      </c>
      <c r="G1963">
        <v>68</v>
      </c>
      <c r="H1963" t="s">
        <v>20</v>
      </c>
      <c r="I1963" t="str">
        <f>VLOOKUP(Table4[[#This Row],[customer_id]],customers!A:G,4,)</f>
        <v>delhi</v>
      </c>
    </row>
    <row r="1964" spans="1:9" x14ac:dyDescent="0.3">
      <c r="A1964">
        <v>21963</v>
      </c>
      <c r="B1964">
        <v>458</v>
      </c>
      <c r="C1964" s="2">
        <v>45407</v>
      </c>
      <c r="D1964" s="2" t="str">
        <f>TEXT(Table4[[#This Row],[issue_date]],"mmmm")</f>
        <v>April</v>
      </c>
      <c r="E1964" s="9">
        <f>YEAR(Table4[[#This Row],[issue_date]])</f>
        <v>2024</v>
      </c>
      <c r="F1964" t="s">
        <v>22</v>
      </c>
      <c r="G1964">
        <v>33</v>
      </c>
      <c r="H1964" t="s">
        <v>23</v>
      </c>
      <c r="I1964" t="str">
        <f>VLOOKUP(Table4[[#This Row],[customer_id]],customers!A:G,4,)</f>
        <v>hyderabad</v>
      </c>
    </row>
    <row r="1965" spans="1:9" x14ac:dyDescent="0.3">
      <c r="A1965">
        <v>21964</v>
      </c>
      <c r="B1965">
        <v>354</v>
      </c>
      <c r="C1965" s="2">
        <v>45400</v>
      </c>
      <c r="D1965" s="2" t="str">
        <f>TEXT(Table4[[#This Row],[issue_date]],"mmmm")</f>
        <v>April</v>
      </c>
      <c r="E1965" s="9">
        <f>YEAR(Table4[[#This Row],[issue_date]])</f>
        <v>2024</v>
      </c>
      <c r="F1965" t="s">
        <v>21</v>
      </c>
      <c r="G1965">
        <v>56</v>
      </c>
      <c r="H1965" t="s">
        <v>20</v>
      </c>
      <c r="I1965" t="str">
        <f>VLOOKUP(Table4[[#This Row],[customer_id]],customers!A:G,4,)</f>
        <v>kolkata</v>
      </c>
    </row>
    <row r="1966" spans="1:9" x14ac:dyDescent="0.3">
      <c r="A1966">
        <v>21965</v>
      </c>
      <c r="B1966">
        <v>364</v>
      </c>
      <c r="C1966" s="2">
        <v>44726</v>
      </c>
      <c r="D1966" s="2" t="str">
        <f>TEXT(Table4[[#This Row],[issue_date]],"mmmm")</f>
        <v>June</v>
      </c>
      <c r="E1966" s="9">
        <f>YEAR(Table4[[#This Row],[issue_date]])</f>
        <v>2022</v>
      </c>
      <c r="F1966" t="s">
        <v>19</v>
      </c>
      <c r="G1966">
        <v>58</v>
      </c>
      <c r="H1966" t="s">
        <v>20</v>
      </c>
      <c r="I1966" t="str">
        <f>VLOOKUP(Table4[[#This Row],[customer_id]],customers!A:G,4,)</f>
        <v>delhi</v>
      </c>
    </row>
    <row r="1967" spans="1:9" x14ac:dyDescent="0.3">
      <c r="A1967">
        <v>21966</v>
      </c>
      <c r="B1967">
        <v>204</v>
      </c>
      <c r="C1967" s="2">
        <v>45109</v>
      </c>
      <c r="D1967" s="2" t="str">
        <f>TEXT(Table4[[#This Row],[issue_date]],"mmmm")</f>
        <v>July</v>
      </c>
      <c r="E1967" s="9">
        <f>YEAR(Table4[[#This Row],[issue_date]])</f>
        <v>2023</v>
      </c>
      <c r="F1967" t="s">
        <v>19</v>
      </c>
      <c r="G1967">
        <v>57</v>
      </c>
      <c r="H1967" t="s">
        <v>20</v>
      </c>
      <c r="I1967" t="str">
        <f>VLOOKUP(Table4[[#This Row],[customer_id]],customers!A:G,4,)</f>
        <v>mumbai</v>
      </c>
    </row>
    <row r="1968" spans="1:9" x14ac:dyDescent="0.3">
      <c r="A1968">
        <v>21967</v>
      </c>
      <c r="B1968">
        <v>96</v>
      </c>
      <c r="C1968" s="2">
        <v>44891</v>
      </c>
      <c r="D1968" s="2" t="str">
        <f>TEXT(Table4[[#This Row],[issue_date]],"mmmm")</f>
        <v>November</v>
      </c>
      <c r="E1968" s="9">
        <f>YEAR(Table4[[#This Row],[issue_date]])</f>
        <v>2022</v>
      </c>
      <c r="F1968" t="s">
        <v>22</v>
      </c>
      <c r="G1968">
        <v>17</v>
      </c>
      <c r="H1968" t="s">
        <v>20</v>
      </c>
      <c r="I1968" t="str">
        <f>VLOOKUP(Table4[[#This Row],[customer_id]],customers!A:G,4,)</f>
        <v>hyderabad</v>
      </c>
    </row>
    <row r="1969" spans="1:9" x14ac:dyDescent="0.3">
      <c r="A1969">
        <v>21968</v>
      </c>
      <c r="B1969">
        <v>282</v>
      </c>
      <c r="C1969" s="2">
        <v>45102</v>
      </c>
      <c r="D1969" s="2" t="str">
        <f>TEXT(Table4[[#This Row],[issue_date]],"mmmm")</f>
        <v>June</v>
      </c>
      <c r="E1969" s="9">
        <f>YEAR(Table4[[#This Row],[issue_date]])</f>
        <v>2023</v>
      </c>
      <c r="F1969" t="s">
        <v>21</v>
      </c>
      <c r="G1969">
        <v>11</v>
      </c>
      <c r="H1969" t="s">
        <v>20</v>
      </c>
      <c r="I1969" t="str">
        <f>VLOOKUP(Table4[[#This Row],[customer_id]],customers!A:G,4,)</f>
        <v>mumbai</v>
      </c>
    </row>
    <row r="1970" spans="1:9" x14ac:dyDescent="0.3">
      <c r="A1970">
        <v>21969</v>
      </c>
      <c r="B1970">
        <v>135</v>
      </c>
      <c r="C1970" s="2">
        <v>44641</v>
      </c>
      <c r="D1970" s="2" t="str">
        <f>TEXT(Table4[[#This Row],[issue_date]],"mmmm")</f>
        <v>March</v>
      </c>
      <c r="E1970" s="9">
        <f>YEAR(Table4[[#This Row],[issue_date]])</f>
        <v>2022</v>
      </c>
      <c r="F1970" t="s">
        <v>22</v>
      </c>
      <c r="G1970">
        <v>71</v>
      </c>
      <c r="H1970" t="s">
        <v>20</v>
      </c>
      <c r="I1970" t="str">
        <f>VLOOKUP(Table4[[#This Row],[customer_id]],customers!A:G,4,)</f>
        <v>chennai</v>
      </c>
    </row>
    <row r="1971" spans="1:9" x14ac:dyDescent="0.3">
      <c r="A1971">
        <v>21970</v>
      </c>
      <c r="B1971">
        <v>416</v>
      </c>
      <c r="C1971" s="2">
        <v>45431</v>
      </c>
      <c r="D1971" s="2" t="str">
        <f>TEXT(Table4[[#This Row],[issue_date]],"mmmm")</f>
        <v>May</v>
      </c>
      <c r="E1971" s="9">
        <f>YEAR(Table4[[#This Row],[issue_date]])</f>
        <v>2024</v>
      </c>
      <c r="F1971" t="s">
        <v>19</v>
      </c>
      <c r="G1971">
        <v>17</v>
      </c>
      <c r="H1971" t="s">
        <v>20</v>
      </c>
      <c r="I1971" t="str">
        <f>VLOOKUP(Table4[[#This Row],[customer_id]],customers!A:G,4,)</f>
        <v>bangalore</v>
      </c>
    </row>
    <row r="1972" spans="1:9" x14ac:dyDescent="0.3">
      <c r="A1972">
        <v>21971</v>
      </c>
      <c r="B1972">
        <v>33</v>
      </c>
      <c r="C1972" s="2">
        <v>44730</v>
      </c>
      <c r="D1972" s="2" t="str">
        <f>TEXT(Table4[[#This Row],[issue_date]],"mmmm")</f>
        <v>June</v>
      </c>
      <c r="E1972" s="9">
        <f>YEAR(Table4[[#This Row],[issue_date]])</f>
        <v>2022</v>
      </c>
      <c r="F1972" t="s">
        <v>21</v>
      </c>
      <c r="G1972">
        <v>10</v>
      </c>
      <c r="H1972" t="s">
        <v>20</v>
      </c>
      <c r="I1972" t="str">
        <f>VLOOKUP(Table4[[#This Row],[customer_id]],customers!A:G,4,)</f>
        <v>kolkata</v>
      </c>
    </row>
    <row r="1973" spans="1:9" x14ac:dyDescent="0.3">
      <c r="A1973">
        <v>21972</v>
      </c>
      <c r="B1973">
        <v>82</v>
      </c>
      <c r="C1973" s="2">
        <v>45106</v>
      </c>
      <c r="D1973" s="2" t="str">
        <f>TEXT(Table4[[#This Row],[issue_date]],"mmmm")</f>
        <v>June</v>
      </c>
      <c r="E1973" s="9">
        <f>YEAR(Table4[[#This Row],[issue_date]])</f>
        <v>2023</v>
      </c>
      <c r="F1973" t="s">
        <v>19</v>
      </c>
      <c r="G1973">
        <v>26</v>
      </c>
      <c r="H1973" t="s">
        <v>20</v>
      </c>
      <c r="I1973" t="str">
        <f>VLOOKUP(Table4[[#This Row],[customer_id]],customers!A:G,4,)</f>
        <v>chennai</v>
      </c>
    </row>
    <row r="1974" spans="1:9" x14ac:dyDescent="0.3">
      <c r="A1974">
        <v>21973</v>
      </c>
      <c r="B1974">
        <v>483</v>
      </c>
      <c r="C1974" s="2">
        <v>44654</v>
      </c>
      <c r="D1974" s="2" t="str">
        <f>TEXT(Table4[[#This Row],[issue_date]],"mmmm")</f>
        <v>April</v>
      </c>
      <c r="E1974" s="9">
        <f>YEAR(Table4[[#This Row],[issue_date]])</f>
        <v>2022</v>
      </c>
      <c r="F1974" t="s">
        <v>19</v>
      </c>
      <c r="G1974">
        <v>6</v>
      </c>
      <c r="H1974" t="s">
        <v>20</v>
      </c>
      <c r="I1974" t="str">
        <f>VLOOKUP(Table4[[#This Row],[customer_id]],customers!A:G,4,)</f>
        <v>delhi</v>
      </c>
    </row>
    <row r="1975" spans="1:9" x14ac:dyDescent="0.3">
      <c r="A1975">
        <v>21974</v>
      </c>
      <c r="B1975">
        <v>148</v>
      </c>
      <c r="C1975" s="2">
        <v>45185</v>
      </c>
      <c r="D1975" s="2" t="str">
        <f>TEXT(Table4[[#This Row],[issue_date]],"mmmm")</f>
        <v>September</v>
      </c>
      <c r="E1975" s="9">
        <f>YEAR(Table4[[#This Row],[issue_date]])</f>
        <v>2023</v>
      </c>
      <c r="F1975" t="s">
        <v>21</v>
      </c>
      <c r="G1975">
        <v>16</v>
      </c>
      <c r="H1975" t="s">
        <v>20</v>
      </c>
      <c r="I1975" t="str">
        <f>VLOOKUP(Table4[[#This Row],[customer_id]],customers!A:G,4,)</f>
        <v>kolkata</v>
      </c>
    </row>
    <row r="1976" spans="1:9" x14ac:dyDescent="0.3">
      <c r="A1976">
        <v>21975</v>
      </c>
      <c r="B1976">
        <v>95</v>
      </c>
      <c r="C1976" s="2">
        <v>44940</v>
      </c>
      <c r="D1976" s="2" t="str">
        <f>TEXT(Table4[[#This Row],[issue_date]],"mmmm")</f>
        <v>January</v>
      </c>
      <c r="E1976" s="9">
        <f>YEAR(Table4[[#This Row],[issue_date]])</f>
        <v>2023</v>
      </c>
      <c r="F1976" t="s">
        <v>22</v>
      </c>
      <c r="G1976">
        <v>4</v>
      </c>
      <c r="H1976" t="s">
        <v>20</v>
      </c>
      <c r="I1976" t="str">
        <f>VLOOKUP(Table4[[#This Row],[customer_id]],customers!A:G,4,)</f>
        <v>mumbai</v>
      </c>
    </row>
    <row r="1977" spans="1:9" x14ac:dyDescent="0.3">
      <c r="A1977">
        <v>21976</v>
      </c>
      <c r="B1977">
        <v>453</v>
      </c>
      <c r="C1977" s="2">
        <v>44770</v>
      </c>
      <c r="D1977" s="2" t="str">
        <f>TEXT(Table4[[#This Row],[issue_date]],"mmmm")</f>
        <v>July</v>
      </c>
      <c r="E1977" s="9">
        <f>YEAR(Table4[[#This Row],[issue_date]])</f>
        <v>2022</v>
      </c>
      <c r="F1977" t="s">
        <v>21</v>
      </c>
      <c r="G1977">
        <v>62</v>
      </c>
      <c r="H1977" t="s">
        <v>20</v>
      </c>
      <c r="I1977" t="str">
        <f>VLOOKUP(Table4[[#This Row],[customer_id]],customers!A:G,4,)</f>
        <v>bangalore</v>
      </c>
    </row>
    <row r="1978" spans="1:9" x14ac:dyDescent="0.3">
      <c r="A1978">
        <v>21977</v>
      </c>
      <c r="B1978">
        <v>480</v>
      </c>
      <c r="C1978" s="2">
        <v>44755</v>
      </c>
      <c r="D1978" s="2" t="str">
        <f>TEXT(Table4[[#This Row],[issue_date]],"mmmm")</f>
        <v>July</v>
      </c>
      <c r="E1978" s="9">
        <f>YEAR(Table4[[#This Row],[issue_date]])</f>
        <v>2022</v>
      </c>
      <c r="F1978" t="s">
        <v>19</v>
      </c>
      <c r="G1978">
        <v>64</v>
      </c>
      <c r="H1978" t="s">
        <v>20</v>
      </c>
      <c r="I1978" t="str">
        <f>VLOOKUP(Table4[[#This Row],[customer_id]],customers!A:G,4,)</f>
        <v>hyderabad</v>
      </c>
    </row>
    <row r="1979" spans="1:9" x14ac:dyDescent="0.3">
      <c r="A1979">
        <v>21978</v>
      </c>
      <c r="B1979">
        <v>436</v>
      </c>
      <c r="C1979" s="2">
        <v>44825</v>
      </c>
      <c r="D1979" s="2" t="str">
        <f>TEXT(Table4[[#This Row],[issue_date]],"mmmm")</f>
        <v>September</v>
      </c>
      <c r="E1979" s="9">
        <f>YEAR(Table4[[#This Row],[issue_date]])</f>
        <v>2022</v>
      </c>
      <c r="F1979" t="s">
        <v>19</v>
      </c>
      <c r="G1979">
        <v>56</v>
      </c>
      <c r="H1979" t="s">
        <v>20</v>
      </c>
      <c r="I1979" t="str">
        <f>VLOOKUP(Table4[[#This Row],[customer_id]],customers!A:G,4,)</f>
        <v>delhi</v>
      </c>
    </row>
    <row r="1980" spans="1:9" x14ac:dyDescent="0.3">
      <c r="A1980">
        <v>21979</v>
      </c>
      <c r="B1980">
        <v>495</v>
      </c>
      <c r="C1980" s="2">
        <v>44808</v>
      </c>
      <c r="D1980" s="2" t="str">
        <f>TEXT(Table4[[#This Row],[issue_date]],"mmmm")</f>
        <v>September</v>
      </c>
      <c r="E1980" s="9">
        <f>YEAR(Table4[[#This Row],[issue_date]])</f>
        <v>2022</v>
      </c>
      <c r="F1980" t="s">
        <v>19</v>
      </c>
      <c r="G1980">
        <v>23</v>
      </c>
      <c r="H1980" t="s">
        <v>20</v>
      </c>
      <c r="I1980" t="str">
        <f>VLOOKUP(Table4[[#This Row],[customer_id]],customers!A:G,4,)</f>
        <v>mumbai</v>
      </c>
    </row>
    <row r="1981" spans="1:9" x14ac:dyDescent="0.3">
      <c r="A1981">
        <v>21980</v>
      </c>
      <c r="B1981">
        <v>170</v>
      </c>
      <c r="C1981" s="2">
        <v>45191</v>
      </c>
      <c r="D1981" s="2" t="str">
        <f>TEXT(Table4[[#This Row],[issue_date]],"mmmm")</f>
        <v>September</v>
      </c>
      <c r="E1981" s="9">
        <f>YEAR(Table4[[#This Row],[issue_date]])</f>
        <v>2023</v>
      </c>
      <c r="F1981" t="s">
        <v>19</v>
      </c>
      <c r="G1981">
        <v>33</v>
      </c>
      <c r="H1981" t="s">
        <v>20</v>
      </c>
      <c r="I1981" t="str">
        <f>VLOOKUP(Table4[[#This Row],[customer_id]],customers!A:G,4,)</f>
        <v>delhi</v>
      </c>
    </row>
    <row r="1982" spans="1:9" x14ac:dyDescent="0.3">
      <c r="A1982">
        <v>21981</v>
      </c>
      <c r="B1982">
        <v>211</v>
      </c>
      <c r="C1982" s="2">
        <v>45009</v>
      </c>
      <c r="D1982" s="2" t="str">
        <f>TEXT(Table4[[#This Row],[issue_date]],"mmmm")</f>
        <v>March</v>
      </c>
      <c r="E1982" s="9">
        <f>YEAR(Table4[[#This Row],[issue_date]])</f>
        <v>2023</v>
      </c>
      <c r="F1982" t="s">
        <v>22</v>
      </c>
      <c r="G1982">
        <v>31</v>
      </c>
      <c r="H1982" t="s">
        <v>20</v>
      </c>
      <c r="I1982" t="str">
        <f>VLOOKUP(Table4[[#This Row],[customer_id]],customers!A:G,4,)</f>
        <v>hyderabad</v>
      </c>
    </row>
    <row r="1983" spans="1:9" x14ac:dyDescent="0.3">
      <c r="A1983">
        <v>21982</v>
      </c>
      <c r="B1983">
        <v>385</v>
      </c>
      <c r="C1983" s="2">
        <v>45301</v>
      </c>
      <c r="D1983" s="2" t="str">
        <f>TEXT(Table4[[#This Row],[issue_date]],"mmmm")</f>
        <v>January</v>
      </c>
      <c r="E1983" s="9">
        <f>YEAR(Table4[[#This Row],[issue_date]])</f>
        <v>2024</v>
      </c>
      <c r="F1983" t="s">
        <v>21</v>
      </c>
      <c r="G1983">
        <v>7</v>
      </c>
      <c r="H1983" t="s">
        <v>20</v>
      </c>
      <c r="I1983" t="str">
        <f>VLOOKUP(Table4[[#This Row],[customer_id]],customers!A:G,4,)</f>
        <v>hyderabad</v>
      </c>
    </row>
    <row r="1984" spans="1:9" x14ac:dyDescent="0.3">
      <c r="A1984">
        <v>21983</v>
      </c>
      <c r="B1984">
        <v>191</v>
      </c>
      <c r="C1984" s="2">
        <v>45082</v>
      </c>
      <c r="D1984" s="2" t="str">
        <f>TEXT(Table4[[#This Row],[issue_date]],"mmmm")</f>
        <v>June</v>
      </c>
      <c r="E1984" s="9">
        <f>YEAR(Table4[[#This Row],[issue_date]])</f>
        <v>2023</v>
      </c>
      <c r="F1984" t="s">
        <v>21</v>
      </c>
      <c r="G1984">
        <v>5</v>
      </c>
      <c r="H1984" t="s">
        <v>20</v>
      </c>
      <c r="I1984" t="str">
        <f>VLOOKUP(Table4[[#This Row],[customer_id]],customers!A:G,4,)</f>
        <v>hyderabad</v>
      </c>
    </row>
    <row r="1985" spans="1:9" x14ac:dyDescent="0.3">
      <c r="A1985">
        <v>21984</v>
      </c>
      <c r="B1985">
        <v>7</v>
      </c>
      <c r="C1985" s="2">
        <v>45272</v>
      </c>
      <c r="D1985" s="2" t="str">
        <f>TEXT(Table4[[#This Row],[issue_date]],"mmmm")</f>
        <v>December</v>
      </c>
      <c r="E1985" s="9">
        <f>YEAR(Table4[[#This Row],[issue_date]])</f>
        <v>2023</v>
      </c>
      <c r="F1985" t="s">
        <v>22</v>
      </c>
      <c r="G1985">
        <v>37</v>
      </c>
      <c r="H1985" t="s">
        <v>20</v>
      </c>
      <c r="I1985" t="str">
        <f>VLOOKUP(Table4[[#This Row],[customer_id]],customers!A:G,4,)</f>
        <v>bangalore</v>
      </c>
    </row>
    <row r="1986" spans="1:9" x14ac:dyDescent="0.3">
      <c r="A1986">
        <v>21985</v>
      </c>
      <c r="B1986">
        <v>380</v>
      </c>
      <c r="C1986" s="2">
        <v>45040</v>
      </c>
      <c r="D1986" s="2" t="str">
        <f>TEXT(Table4[[#This Row],[issue_date]],"mmmm")</f>
        <v>April</v>
      </c>
      <c r="E1986" s="9">
        <f>YEAR(Table4[[#This Row],[issue_date]])</f>
        <v>2023</v>
      </c>
      <c r="F1986" t="s">
        <v>22</v>
      </c>
      <c r="G1986">
        <v>1</v>
      </c>
      <c r="H1986" t="s">
        <v>20</v>
      </c>
      <c r="I1986" t="str">
        <f>VLOOKUP(Table4[[#This Row],[customer_id]],customers!A:G,4,)</f>
        <v>delhi</v>
      </c>
    </row>
    <row r="1987" spans="1:9" x14ac:dyDescent="0.3">
      <c r="A1987">
        <v>21986</v>
      </c>
      <c r="B1987">
        <v>314</v>
      </c>
      <c r="C1987" s="2">
        <v>44838</v>
      </c>
      <c r="D1987" s="2" t="str">
        <f>TEXT(Table4[[#This Row],[issue_date]],"mmmm")</f>
        <v>October</v>
      </c>
      <c r="E1987" s="9">
        <f>YEAR(Table4[[#This Row],[issue_date]])</f>
        <v>2022</v>
      </c>
      <c r="F1987" t="s">
        <v>19</v>
      </c>
      <c r="G1987">
        <v>70</v>
      </c>
      <c r="H1987" t="s">
        <v>20</v>
      </c>
      <c r="I1987" t="str">
        <f>VLOOKUP(Table4[[#This Row],[customer_id]],customers!A:G,4,)</f>
        <v>chennai</v>
      </c>
    </row>
    <row r="1988" spans="1:9" x14ac:dyDescent="0.3">
      <c r="A1988">
        <v>21987</v>
      </c>
      <c r="B1988">
        <v>342</v>
      </c>
      <c r="C1988" s="2">
        <v>44690</v>
      </c>
      <c r="D1988" s="2" t="str">
        <f>TEXT(Table4[[#This Row],[issue_date]],"mmmm")</f>
        <v>May</v>
      </c>
      <c r="E1988" s="9">
        <f>YEAR(Table4[[#This Row],[issue_date]])</f>
        <v>2022</v>
      </c>
      <c r="F1988" t="s">
        <v>21</v>
      </c>
      <c r="G1988">
        <v>45</v>
      </c>
      <c r="H1988" t="s">
        <v>20</v>
      </c>
      <c r="I1988" t="str">
        <f>VLOOKUP(Table4[[#This Row],[customer_id]],customers!A:G,4,)</f>
        <v>hyderabad</v>
      </c>
    </row>
    <row r="1989" spans="1:9" x14ac:dyDescent="0.3">
      <c r="A1989">
        <v>21988</v>
      </c>
      <c r="B1989">
        <v>434</v>
      </c>
      <c r="C1989" s="2">
        <v>44863</v>
      </c>
      <c r="D1989" s="2" t="str">
        <f>TEXT(Table4[[#This Row],[issue_date]],"mmmm")</f>
        <v>October</v>
      </c>
      <c r="E1989" s="9">
        <f>YEAR(Table4[[#This Row],[issue_date]])</f>
        <v>2022</v>
      </c>
      <c r="F1989" t="s">
        <v>21</v>
      </c>
      <c r="G1989">
        <v>47</v>
      </c>
      <c r="H1989" t="s">
        <v>20</v>
      </c>
      <c r="I1989" t="str">
        <f>VLOOKUP(Table4[[#This Row],[customer_id]],customers!A:G,4,)</f>
        <v>bangalore</v>
      </c>
    </row>
    <row r="1990" spans="1:9" x14ac:dyDescent="0.3">
      <c r="A1990">
        <v>21989</v>
      </c>
      <c r="B1990">
        <v>34</v>
      </c>
      <c r="C1990" s="2">
        <v>45135</v>
      </c>
      <c r="D1990" s="2" t="str">
        <f>TEXT(Table4[[#This Row],[issue_date]],"mmmm")</f>
        <v>July</v>
      </c>
      <c r="E1990" s="9">
        <f>YEAR(Table4[[#This Row],[issue_date]])</f>
        <v>2023</v>
      </c>
      <c r="F1990" t="s">
        <v>21</v>
      </c>
      <c r="G1990">
        <v>68</v>
      </c>
      <c r="H1990" t="s">
        <v>20</v>
      </c>
      <c r="I1990" t="str">
        <f>VLOOKUP(Table4[[#This Row],[customer_id]],customers!A:G,4,)</f>
        <v>hyderabad</v>
      </c>
    </row>
    <row r="1991" spans="1:9" x14ac:dyDescent="0.3">
      <c r="A1991">
        <v>21990</v>
      </c>
      <c r="B1991">
        <v>51</v>
      </c>
      <c r="C1991" s="2">
        <v>45075</v>
      </c>
      <c r="D1991" s="2" t="str">
        <f>TEXT(Table4[[#This Row],[issue_date]],"mmmm")</f>
        <v>May</v>
      </c>
      <c r="E1991" s="9">
        <f>YEAR(Table4[[#This Row],[issue_date]])</f>
        <v>2023</v>
      </c>
      <c r="F1991" t="s">
        <v>22</v>
      </c>
      <c r="G1991">
        <v>30</v>
      </c>
      <c r="H1991" t="s">
        <v>20</v>
      </c>
      <c r="I1991" t="str">
        <f>VLOOKUP(Table4[[#This Row],[customer_id]],customers!A:G,4,)</f>
        <v>kolkata</v>
      </c>
    </row>
    <row r="1992" spans="1:9" x14ac:dyDescent="0.3">
      <c r="A1992">
        <v>21991</v>
      </c>
      <c r="B1992">
        <v>120</v>
      </c>
      <c r="C1992" s="2">
        <v>44921</v>
      </c>
      <c r="D1992" s="2" t="str">
        <f>TEXT(Table4[[#This Row],[issue_date]],"mmmm")</f>
        <v>December</v>
      </c>
      <c r="E1992" s="9">
        <f>YEAR(Table4[[#This Row],[issue_date]])</f>
        <v>2022</v>
      </c>
      <c r="F1992" t="s">
        <v>19</v>
      </c>
      <c r="G1992">
        <v>60</v>
      </c>
      <c r="H1992" t="s">
        <v>20</v>
      </c>
      <c r="I1992" t="str">
        <f>VLOOKUP(Table4[[#This Row],[customer_id]],customers!A:G,4,)</f>
        <v>bangalore</v>
      </c>
    </row>
    <row r="1993" spans="1:9" x14ac:dyDescent="0.3">
      <c r="A1993">
        <v>21992</v>
      </c>
      <c r="B1993">
        <v>138</v>
      </c>
      <c r="C1993" s="2">
        <v>45404</v>
      </c>
      <c r="D1993" s="2" t="str">
        <f>TEXT(Table4[[#This Row],[issue_date]],"mmmm")</f>
        <v>April</v>
      </c>
      <c r="E1993" s="9">
        <f>YEAR(Table4[[#This Row],[issue_date]])</f>
        <v>2024</v>
      </c>
      <c r="F1993" t="s">
        <v>19</v>
      </c>
      <c r="G1993">
        <v>24</v>
      </c>
      <c r="H1993" t="s">
        <v>20</v>
      </c>
      <c r="I1993" t="str">
        <f>VLOOKUP(Table4[[#This Row],[customer_id]],customers!A:G,4,)</f>
        <v>delhi</v>
      </c>
    </row>
    <row r="1994" spans="1:9" x14ac:dyDescent="0.3">
      <c r="A1994">
        <v>21993</v>
      </c>
      <c r="B1994">
        <v>367</v>
      </c>
      <c r="C1994" s="2">
        <v>44918</v>
      </c>
      <c r="D1994" s="2" t="str">
        <f>TEXT(Table4[[#This Row],[issue_date]],"mmmm")</f>
        <v>December</v>
      </c>
      <c r="E1994" s="9">
        <f>YEAR(Table4[[#This Row],[issue_date]])</f>
        <v>2022</v>
      </c>
      <c r="F1994" t="s">
        <v>21</v>
      </c>
      <c r="G1994">
        <v>31</v>
      </c>
      <c r="H1994" t="s">
        <v>20</v>
      </c>
      <c r="I1994" t="str">
        <f>VLOOKUP(Table4[[#This Row],[customer_id]],customers!A:G,4,)</f>
        <v>kolkata</v>
      </c>
    </row>
    <row r="1995" spans="1:9" x14ac:dyDescent="0.3">
      <c r="A1995">
        <v>21994</v>
      </c>
      <c r="B1995">
        <v>106</v>
      </c>
      <c r="C1995" s="2">
        <v>45027</v>
      </c>
      <c r="D1995" s="2" t="str">
        <f>TEXT(Table4[[#This Row],[issue_date]],"mmmm")</f>
        <v>April</v>
      </c>
      <c r="E1995" s="9">
        <f>YEAR(Table4[[#This Row],[issue_date]])</f>
        <v>2023</v>
      </c>
      <c r="F1995" t="s">
        <v>19</v>
      </c>
      <c r="G1995">
        <v>28</v>
      </c>
      <c r="H1995" t="s">
        <v>20</v>
      </c>
      <c r="I1995" t="str">
        <f>VLOOKUP(Table4[[#This Row],[customer_id]],customers!A:G,4,)</f>
        <v>bangalore</v>
      </c>
    </row>
    <row r="1996" spans="1:9" x14ac:dyDescent="0.3">
      <c r="A1996">
        <v>21995</v>
      </c>
      <c r="B1996">
        <v>282</v>
      </c>
      <c r="C1996" s="2">
        <v>44733</v>
      </c>
      <c r="D1996" s="2" t="str">
        <f>TEXT(Table4[[#This Row],[issue_date]],"mmmm")</f>
        <v>June</v>
      </c>
      <c r="E1996" s="9">
        <f>YEAR(Table4[[#This Row],[issue_date]])</f>
        <v>2022</v>
      </c>
      <c r="F1996" t="s">
        <v>22</v>
      </c>
      <c r="G1996">
        <v>45</v>
      </c>
      <c r="H1996" t="s">
        <v>20</v>
      </c>
      <c r="I1996" t="str">
        <f>VLOOKUP(Table4[[#This Row],[customer_id]],customers!A:G,4,)</f>
        <v>mumbai</v>
      </c>
    </row>
    <row r="1997" spans="1:9" x14ac:dyDescent="0.3">
      <c r="A1997">
        <v>21996</v>
      </c>
      <c r="B1997">
        <v>32</v>
      </c>
      <c r="C1997" s="2">
        <v>45318</v>
      </c>
      <c r="D1997" s="2" t="str">
        <f>TEXT(Table4[[#This Row],[issue_date]],"mmmm")</f>
        <v>January</v>
      </c>
      <c r="E1997" s="9">
        <f>YEAR(Table4[[#This Row],[issue_date]])</f>
        <v>2024</v>
      </c>
      <c r="F1997" t="s">
        <v>22</v>
      </c>
      <c r="G1997">
        <v>4</v>
      </c>
      <c r="H1997" t="s">
        <v>23</v>
      </c>
      <c r="I1997" t="str">
        <f>VLOOKUP(Table4[[#This Row],[customer_id]],customers!A:G,4,)</f>
        <v>bangalore</v>
      </c>
    </row>
    <row r="1998" spans="1:9" x14ac:dyDescent="0.3">
      <c r="A1998">
        <v>21997</v>
      </c>
      <c r="B1998">
        <v>124</v>
      </c>
      <c r="C1998" s="2">
        <v>44649</v>
      </c>
      <c r="D1998" s="2" t="str">
        <f>TEXT(Table4[[#This Row],[issue_date]],"mmmm")</f>
        <v>March</v>
      </c>
      <c r="E1998" s="9">
        <f>YEAR(Table4[[#This Row],[issue_date]])</f>
        <v>2022</v>
      </c>
      <c r="F1998" t="s">
        <v>21</v>
      </c>
      <c r="G1998">
        <v>61</v>
      </c>
      <c r="H1998" t="s">
        <v>20</v>
      </c>
      <c r="I1998" t="str">
        <f>VLOOKUP(Table4[[#This Row],[customer_id]],customers!A:G,4,)</f>
        <v>kolkata</v>
      </c>
    </row>
    <row r="1999" spans="1:9" x14ac:dyDescent="0.3">
      <c r="A1999">
        <v>21998</v>
      </c>
      <c r="B1999">
        <v>170</v>
      </c>
      <c r="C1999" s="2">
        <v>45061</v>
      </c>
      <c r="D1999" s="2" t="str">
        <f>TEXT(Table4[[#This Row],[issue_date]],"mmmm")</f>
        <v>May</v>
      </c>
      <c r="E1999" s="9">
        <f>YEAR(Table4[[#This Row],[issue_date]])</f>
        <v>2023</v>
      </c>
      <c r="F1999" t="s">
        <v>19</v>
      </c>
      <c r="G1999">
        <v>39</v>
      </c>
      <c r="H1999" t="s">
        <v>23</v>
      </c>
      <c r="I1999" t="str">
        <f>VLOOKUP(Table4[[#This Row],[customer_id]],customers!A:G,4,)</f>
        <v>delhi</v>
      </c>
    </row>
    <row r="2000" spans="1:9" x14ac:dyDescent="0.3">
      <c r="A2000">
        <v>21999</v>
      </c>
      <c r="B2000">
        <v>475</v>
      </c>
      <c r="C2000" s="2">
        <v>45457</v>
      </c>
      <c r="D2000" s="2" t="str">
        <f>TEXT(Table4[[#This Row],[issue_date]],"mmmm")</f>
        <v>June</v>
      </c>
      <c r="E2000" s="9">
        <f>YEAR(Table4[[#This Row],[issue_date]])</f>
        <v>2024</v>
      </c>
      <c r="F2000" t="s">
        <v>22</v>
      </c>
      <c r="G2000">
        <v>24</v>
      </c>
      <c r="H2000" t="s">
        <v>23</v>
      </c>
      <c r="I2000" t="str">
        <f>VLOOKUP(Table4[[#This Row],[customer_id]],customers!A:G,4,)</f>
        <v>delhi</v>
      </c>
    </row>
    <row r="2001" spans="1:9" x14ac:dyDescent="0.3">
      <c r="A2001">
        <v>22000</v>
      </c>
      <c r="B2001">
        <v>446</v>
      </c>
      <c r="C2001" s="2">
        <v>44644</v>
      </c>
      <c r="D2001" s="2" t="str">
        <f>TEXT(Table4[[#This Row],[issue_date]],"mmmm")</f>
        <v>March</v>
      </c>
      <c r="E2001" s="9">
        <f>YEAR(Table4[[#This Row],[issue_date]])</f>
        <v>2022</v>
      </c>
      <c r="F2001" t="s">
        <v>22</v>
      </c>
      <c r="G2001">
        <v>71</v>
      </c>
      <c r="H2001" t="s">
        <v>20</v>
      </c>
      <c r="I2001" t="str">
        <f>VLOOKUP(Table4[[#This Row],[customer_id]],customers!A:G,4,)</f>
        <v>kolkata</v>
      </c>
    </row>
    <row r="2002" spans="1:9" x14ac:dyDescent="0.3">
      <c r="A2002">
        <v>22001</v>
      </c>
      <c r="B2002">
        <v>12</v>
      </c>
      <c r="C2002" s="2">
        <v>45078</v>
      </c>
      <c r="D2002" s="2" t="str">
        <f>TEXT(Table4[[#This Row],[issue_date]],"mmmm")</f>
        <v>June</v>
      </c>
      <c r="E2002" s="9">
        <f>YEAR(Table4[[#This Row],[issue_date]])</f>
        <v>2023</v>
      </c>
      <c r="F2002" t="s">
        <v>22</v>
      </c>
      <c r="G2002">
        <v>46</v>
      </c>
      <c r="H2002" t="s">
        <v>20</v>
      </c>
      <c r="I2002" t="str">
        <f>VLOOKUP(Table4[[#This Row],[customer_id]],customers!A:G,4,)</f>
        <v>kolkata</v>
      </c>
    </row>
    <row r="2003" spans="1:9" x14ac:dyDescent="0.3">
      <c r="A2003">
        <v>22002</v>
      </c>
      <c r="B2003">
        <v>168</v>
      </c>
      <c r="C2003" s="2">
        <v>45422</v>
      </c>
      <c r="D2003" s="2" t="str">
        <f>TEXT(Table4[[#This Row],[issue_date]],"mmmm")</f>
        <v>May</v>
      </c>
      <c r="E2003" s="9">
        <f>YEAR(Table4[[#This Row],[issue_date]])</f>
        <v>2024</v>
      </c>
      <c r="F2003" t="s">
        <v>22</v>
      </c>
      <c r="G2003">
        <v>53</v>
      </c>
      <c r="H2003" t="s">
        <v>20</v>
      </c>
      <c r="I2003" t="str">
        <f>VLOOKUP(Table4[[#This Row],[customer_id]],customers!A:G,4,)</f>
        <v>delhi</v>
      </c>
    </row>
    <row r="2004" spans="1:9" x14ac:dyDescent="0.3">
      <c r="A2004">
        <v>22003</v>
      </c>
      <c r="B2004">
        <v>343</v>
      </c>
      <c r="C2004" s="2">
        <v>45112</v>
      </c>
      <c r="D2004" s="2" t="str">
        <f>TEXT(Table4[[#This Row],[issue_date]],"mmmm")</f>
        <v>July</v>
      </c>
      <c r="E2004" s="9">
        <f>YEAR(Table4[[#This Row],[issue_date]])</f>
        <v>2023</v>
      </c>
      <c r="F2004" t="s">
        <v>19</v>
      </c>
      <c r="G2004">
        <v>48</v>
      </c>
      <c r="H2004" t="s">
        <v>20</v>
      </c>
      <c r="I2004" t="str">
        <f>VLOOKUP(Table4[[#This Row],[customer_id]],customers!A:G,4,)</f>
        <v>delhi</v>
      </c>
    </row>
    <row r="2005" spans="1:9" x14ac:dyDescent="0.3">
      <c r="A2005">
        <v>22004</v>
      </c>
      <c r="B2005">
        <v>78</v>
      </c>
      <c r="C2005" s="2">
        <v>45457</v>
      </c>
      <c r="D2005" s="2" t="str">
        <f>TEXT(Table4[[#This Row],[issue_date]],"mmmm")</f>
        <v>June</v>
      </c>
      <c r="E2005" s="9">
        <f>YEAR(Table4[[#This Row],[issue_date]])</f>
        <v>2024</v>
      </c>
      <c r="F2005" t="s">
        <v>22</v>
      </c>
      <c r="G2005">
        <v>9</v>
      </c>
      <c r="H2005" t="s">
        <v>20</v>
      </c>
      <c r="I2005" t="str">
        <f>VLOOKUP(Table4[[#This Row],[customer_id]],customers!A:G,4,)</f>
        <v>kolkata</v>
      </c>
    </row>
    <row r="2006" spans="1:9" x14ac:dyDescent="0.3">
      <c r="A2006">
        <v>22005</v>
      </c>
      <c r="B2006">
        <v>34</v>
      </c>
      <c r="C2006" s="2">
        <v>44883</v>
      </c>
      <c r="D2006" s="2" t="str">
        <f>TEXT(Table4[[#This Row],[issue_date]],"mmmm")</f>
        <v>November</v>
      </c>
      <c r="E2006" s="9">
        <f>YEAR(Table4[[#This Row],[issue_date]])</f>
        <v>2022</v>
      </c>
      <c r="F2006" t="s">
        <v>22</v>
      </c>
      <c r="G2006">
        <v>22</v>
      </c>
      <c r="H2006" t="s">
        <v>23</v>
      </c>
      <c r="I2006" t="str">
        <f>VLOOKUP(Table4[[#This Row],[customer_id]],customers!A:G,4,)</f>
        <v>hyderabad</v>
      </c>
    </row>
    <row r="2007" spans="1:9" x14ac:dyDescent="0.3">
      <c r="A2007">
        <v>22006</v>
      </c>
      <c r="B2007">
        <v>209</v>
      </c>
      <c r="C2007" s="2">
        <v>45026</v>
      </c>
      <c r="D2007" s="2" t="str">
        <f>TEXT(Table4[[#This Row],[issue_date]],"mmmm")</f>
        <v>April</v>
      </c>
      <c r="E2007" s="9">
        <f>YEAR(Table4[[#This Row],[issue_date]])</f>
        <v>2023</v>
      </c>
      <c r="F2007" t="s">
        <v>19</v>
      </c>
      <c r="G2007">
        <v>2</v>
      </c>
      <c r="H2007" t="s">
        <v>20</v>
      </c>
      <c r="I2007" t="str">
        <f>VLOOKUP(Table4[[#This Row],[customer_id]],customers!A:G,4,)</f>
        <v>bangalore</v>
      </c>
    </row>
    <row r="2008" spans="1:9" x14ac:dyDescent="0.3">
      <c r="A2008">
        <v>22007</v>
      </c>
      <c r="B2008">
        <v>326</v>
      </c>
      <c r="C2008" s="2">
        <v>45374</v>
      </c>
      <c r="D2008" s="2" t="str">
        <f>TEXT(Table4[[#This Row],[issue_date]],"mmmm")</f>
        <v>March</v>
      </c>
      <c r="E2008" s="9">
        <f>YEAR(Table4[[#This Row],[issue_date]])</f>
        <v>2024</v>
      </c>
      <c r="F2008" t="s">
        <v>21</v>
      </c>
      <c r="G2008">
        <v>16</v>
      </c>
      <c r="H2008" t="s">
        <v>23</v>
      </c>
      <c r="I2008" t="str">
        <f>VLOOKUP(Table4[[#This Row],[customer_id]],customers!A:G,4,)</f>
        <v>bangalore</v>
      </c>
    </row>
    <row r="2009" spans="1:9" x14ac:dyDescent="0.3">
      <c r="A2009">
        <v>22008</v>
      </c>
      <c r="B2009">
        <v>411</v>
      </c>
      <c r="C2009" s="2">
        <v>45148</v>
      </c>
      <c r="D2009" s="2" t="str">
        <f>TEXT(Table4[[#This Row],[issue_date]],"mmmm")</f>
        <v>August</v>
      </c>
      <c r="E2009" s="9">
        <f>YEAR(Table4[[#This Row],[issue_date]])</f>
        <v>2023</v>
      </c>
      <c r="F2009" t="s">
        <v>21</v>
      </c>
      <c r="G2009">
        <v>5</v>
      </c>
      <c r="H2009" t="s">
        <v>20</v>
      </c>
      <c r="I2009" t="str">
        <f>VLOOKUP(Table4[[#This Row],[customer_id]],customers!A:G,4,)</f>
        <v>hyderabad</v>
      </c>
    </row>
    <row r="2010" spans="1:9" x14ac:dyDescent="0.3">
      <c r="A2010">
        <v>22009</v>
      </c>
      <c r="B2010">
        <v>8</v>
      </c>
      <c r="C2010" s="2">
        <v>45174</v>
      </c>
      <c r="D2010" s="2" t="str">
        <f>TEXT(Table4[[#This Row],[issue_date]],"mmmm")</f>
        <v>September</v>
      </c>
      <c r="E2010" s="9">
        <f>YEAR(Table4[[#This Row],[issue_date]])</f>
        <v>2023</v>
      </c>
      <c r="F2010" t="s">
        <v>22</v>
      </c>
      <c r="G2010">
        <v>12</v>
      </c>
      <c r="H2010" t="s">
        <v>20</v>
      </c>
      <c r="I2010" t="str">
        <f>VLOOKUP(Table4[[#This Row],[customer_id]],customers!A:G,4,)</f>
        <v>mumbai</v>
      </c>
    </row>
    <row r="2011" spans="1:9" x14ac:dyDescent="0.3">
      <c r="A2011">
        <v>22010</v>
      </c>
      <c r="B2011">
        <v>225</v>
      </c>
      <c r="C2011" s="2">
        <v>44702</v>
      </c>
      <c r="D2011" s="2" t="str">
        <f>TEXT(Table4[[#This Row],[issue_date]],"mmmm")</f>
        <v>May</v>
      </c>
      <c r="E2011" s="9">
        <f>YEAR(Table4[[#This Row],[issue_date]])</f>
        <v>2022</v>
      </c>
      <c r="F2011" t="s">
        <v>21</v>
      </c>
      <c r="G2011">
        <v>52</v>
      </c>
      <c r="H2011" t="s">
        <v>20</v>
      </c>
      <c r="I2011" t="str">
        <f>VLOOKUP(Table4[[#This Row],[customer_id]],customers!A:G,4,)</f>
        <v>hyderabad</v>
      </c>
    </row>
    <row r="2012" spans="1:9" x14ac:dyDescent="0.3">
      <c r="A2012">
        <v>22011</v>
      </c>
      <c r="B2012">
        <v>227</v>
      </c>
      <c r="C2012" s="2">
        <v>45166</v>
      </c>
      <c r="D2012" s="2" t="str">
        <f>TEXT(Table4[[#This Row],[issue_date]],"mmmm")</f>
        <v>August</v>
      </c>
      <c r="E2012" s="9">
        <f>YEAR(Table4[[#This Row],[issue_date]])</f>
        <v>2023</v>
      </c>
      <c r="F2012" t="s">
        <v>19</v>
      </c>
      <c r="G2012">
        <v>26</v>
      </c>
      <c r="H2012" t="s">
        <v>20</v>
      </c>
      <c r="I2012" t="str">
        <f>VLOOKUP(Table4[[#This Row],[customer_id]],customers!A:G,4,)</f>
        <v>bangalore</v>
      </c>
    </row>
    <row r="2013" spans="1:9" x14ac:dyDescent="0.3">
      <c r="A2013">
        <v>22012</v>
      </c>
      <c r="B2013">
        <v>175</v>
      </c>
      <c r="C2013" s="2">
        <v>45192</v>
      </c>
      <c r="D2013" s="2" t="str">
        <f>TEXT(Table4[[#This Row],[issue_date]],"mmmm")</f>
        <v>September</v>
      </c>
      <c r="E2013" s="9">
        <f>YEAR(Table4[[#This Row],[issue_date]])</f>
        <v>2023</v>
      </c>
      <c r="F2013" t="s">
        <v>22</v>
      </c>
      <c r="G2013">
        <v>15</v>
      </c>
      <c r="H2013" t="s">
        <v>23</v>
      </c>
      <c r="I2013" t="str">
        <f>VLOOKUP(Table4[[#This Row],[customer_id]],customers!A:G,4,)</f>
        <v>kolkata</v>
      </c>
    </row>
    <row r="2014" spans="1:9" x14ac:dyDescent="0.3">
      <c r="A2014">
        <v>22013</v>
      </c>
      <c r="B2014">
        <v>81</v>
      </c>
      <c r="C2014" s="2">
        <v>45361</v>
      </c>
      <c r="D2014" s="2" t="str">
        <f>TEXT(Table4[[#This Row],[issue_date]],"mmmm")</f>
        <v>March</v>
      </c>
      <c r="E2014" s="9">
        <f>YEAR(Table4[[#This Row],[issue_date]])</f>
        <v>2024</v>
      </c>
      <c r="F2014" t="s">
        <v>19</v>
      </c>
      <c r="G2014">
        <v>67</v>
      </c>
      <c r="H2014" t="s">
        <v>20</v>
      </c>
      <c r="I2014" t="str">
        <f>VLOOKUP(Table4[[#This Row],[customer_id]],customers!A:G,4,)</f>
        <v>chennai</v>
      </c>
    </row>
    <row r="2015" spans="1:9" x14ac:dyDescent="0.3">
      <c r="A2015">
        <v>22014</v>
      </c>
      <c r="B2015">
        <v>282</v>
      </c>
      <c r="C2015" s="2">
        <v>45182</v>
      </c>
      <c r="D2015" s="2" t="str">
        <f>TEXT(Table4[[#This Row],[issue_date]],"mmmm")</f>
        <v>September</v>
      </c>
      <c r="E2015" s="9">
        <f>YEAR(Table4[[#This Row],[issue_date]])</f>
        <v>2023</v>
      </c>
      <c r="F2015" t="s">
        <v>21</v>
      </c>
      <c r="G2015">
        <v>59</v>
      </c>
      <c r="H2015" t="s">
        <v>20</v>
      </c>
      <c r="I2015" t="str">
        <f>VLOOKUP(Table4[[#This Row],[customer_id]],customers!A:G,4,)</f>
        <v>mumbai</v>
      </c>
    </row>
    <row r="2016" spans="1:9" x14ac:dyDescent="0.3">
      <c r="A2016">
        <v>22015</v>
      </c>
      <c r="B2016">
        <v>57</v>
      </c>
      <c r="C2016" s="2">
        <v>45116</v>
      </c>
      <c r="D2016" s="2" t="str">
        <f>TEXT(Table4[[#This Row],[issue_date]],"mmmm")</f>
        <v>July</v>
      </c>
      <c r="E2016" s="9">
        <f>YEAR(Table4[[#This Row],[issue_date]])</f>
        <v>2023</v>
      </c>
      <c r="F2016" t="s">
        <v>21</v>
      </c>
      <c r="G2016">
        <v>39</v>
      </c>
      <c r="H2016" t="s">
        <v>20</v>
      </c>
      <c r="I2016" t="str">
        <f>VLOOKUP(Table4[[#This Row],[customer_id]],customers!A:G,4,)</f>
        <v>delhi</v>
      </c>
    </row>
    <row r="2017" spans="1:9" x14ac:dyDescent="0.3">
      <c r="A2017">
        <v>22016</v>
      </c>
      <c r="B2017">
        <v>135</v>
      </c>
      <c r="C2017" s="2">
        <v>44697</v>
      </c>
      <c r="D2017" s="2" t="str">
        <f>TEXT(Table4[[#This Row],[issue_date]],"mmmm")</f>
        <v>May</v>
      </c>
      <c r="E2017" s="9">
        <f>YEAR(Table4[[#This Row],[issue_date]])</f>
        <v>2022</v>
      </c>
      <c r="F2017" t="s">
        <v>22</v>
      </c>
      <c r="G2017">
        <v>63</v>
      </c>
      <c r="H2017" t="s">
        <v>20</v>
      </c>
      <c r="I2017" t="str">
        <f>VLOOKUP(Table4[[#This Row],[customer_id]],customers!A:G,4,)</f>
        <v>chennai</v>
      </c>
    </row>
    <row r="2018" spans="1:9" x14ac:dyDescent="0.3">
      <c r="A2018">
        <v>22017</v>
      </c>
      <c r="B2018">
        <v>238</v>
      </c>
      <c r="C2018" s="2">
        <v>44891</v>
      </c>
      <c r="D2018" s="2" t="str">
        <f>TEXT(Table4[[#This Row],[issue_date]],"mmmm")</f>
        <v>November</v>
      </c>
      <c r="E2018" s="9">
        <f>YEAR(Table4[[#This Row],[issue_date]])</f>
        <v>2022</v>
      </c>
      <c r="F2018" t="s">
        <v>21</v>
      </c>
      <c r="G2018">
        <v>25</v>
      </c>
      <c r="H2018" t="s">
        <v>20</v>
      </c>
      <c r="I2018" t="str">
        <f>VLOOKUP(Table4[[#This Row],[customer_id]],customers!A:G,4,)</f>
        <v>mumbai</v>
      </c>
    </row>
    <row r="2019" spans="1:9" x14ac:dyDescent="0.3">
      <c r="A2019">
        <v>22018</v>
      </c>
      <c r="B2019">
        <v>472</v>
      </c>
      <c r="C2019" s="2">
        <v>45290</v>
      </c>
      <c r="D2019" s="2" t="str">
        <f>TEXT(Table4[[#This Row],[issue_date]],"mmmm")</f>
        <v>December</v>
      </c>
      <c r="E2019" s="9">
        <f>YEAR(Table4[[#This Row],[issue_date]])</f>
        <v>2023</v>
      </c>
      <c r="F2019" t="s">
        <v>22</v>
      </c>
      <c r="G2019">
        <v>41</v>
      </c>
      <c r="H2019" t="s">
        <v>20</v>
      </c>
      <c r="I2019" t="str">
        <f>VLOOKUP(Table4[[#This Row],[customer_id]],customers!A:G,4,)</f>
        <v>bangalore</v>
      </c>
    </row>
    <row r="2020" spans="1:9" x14ac:dyDescent="0.3">
      <c r="A2020">
        <v>22019</v>
      </c>
      <c r="B2020">
        <v>217</v>
      </c>
      <c r="C2020" s="2">
        <v>44956</v>
      </c>
      <c r="D2020" s="2" t="str">
        <f>TEXT(Table4[[#This Row],[issue_date]],"mmmm")</f>
        <v>January</v>
      </c>
      <c r="E2020" s="9">
        <f>YEAR(Table4[[#This Row],[issue_date]])</f>
        <v>2023</v>
      </c>
      <c r="F2020" t="s">
        <v>22</v>
      </c>
      <c r="G2020">
        <v>28</v>
      </c>
      <c r="H2020" t="s">
        <v>20</v>
      </c>
      <c r="I2020" t="str">
        <f>VLOOKUP(Table4[[#This Row],[customer_id]],customers!A:G,4,)</f>
        <v>chennai</v>
      </c>
    </row>
    <row r="2021" spans="1:9" x14ac:dyDescent="0.3">
      <c r="A2021">
        <v>22020</v>
      </c>
      <c r="B2021">
        <v>227</v>
      </c>
      <c r="C2021" s="2">
        <v>44717</v>
      </c>
      <c r="D2021" s="2" t="str">
        <f>TEXT(Table4[[#This Row],[issue_date]],"mmmm")</f>
        <v>June</v>
      </c>
      <c r="E2021" s="9">
        <f>YEAR(Table4[[#This Row],[issue_date]])</f>
        <v>2022</v>
      </c>
      <c r="F2021" t="s">
        <v>19</v>
      </c>
      <c r="G2021">
        <v>21</v>
      </c>
      <c r="H2021" t="s">
        <v>20</v>
      </c>
      <c r="I2021" t="str">
        <f>VLOOKUP(Table4[[#This Row],[customer_id]],customers!A:G,4,)</f>
        <v>bangalore</v>
      </c>
    </row>
    <row r="2022" spans="1:9" x14ac:dyDescent="0.3">
      <c r="A2022">
        <v>22021</v>
      </c>
      <c r="B2022">
        <v>26</v>
      </c>
      <c r="C2022" s="2">
        <v>44600</v>
      </c>
      <c r="D2022" s="2" t="str">
        <f>TEXT(Table4[[#This Row],[issue_date]],"mmmm")</f>
        <v>February</v>
      </c>
      <c r="E2022" s="9">
        <f>YEAR(Table4[[#This Row],[issue_date]])</f>
        <v>2022</v>
      </c>
      <c r="F2022" t="s">
        <v>21</v>
      </c>
      <c r="G2022">
        <v>61</v>
      </c>
      <c r="H2022" t="s">
        <v>20</v>
      </c>
      <c r="I2022" t="str">
        <f>VLOOKUP(Table4[[#This Row],[customer_id]],customers!A:G,4,)</f>
        <v>bangalore</v>
      </c>
    </row>
    <row r="2023" spans="1:9" x14ac:dyDescent="0.3">
      <c r="A2023">
        <v>22022</v>
      </c>
      <c r="B2023">
        <v>187</v>
      </c>
      <c r="C2023" s="2">
        <v>44843</v>
      </c>
      <c r="D2023" s="2" t="str">
        <f>TEXT(Table4[[#This Row],[issue_date]],"mmmm")</f>
        <v>October</v>
      </c>
      <c r="E2023" s="9">
        <f>YEAR(Table4[[#This Row],[issue_date]])</f>
        <v>2022</v>
      </c>
      <c r="F2023" t="s">
        <v>21</v>
      </c>
      <c r="G2023">
        <v>57</v>
      </c>
      <c r="H2023" t="s">
        <v>20</v>
      </c>
      <c r="I2023" t="str">
        <f>VLOOKUP(Table4[[#This Row],[customer_id]],customers!A:G,4,)</f>
        <v>chennai</v>
      </c>
    </row>
    <row r="2024" spans="1:9" x14ac:dyDescent="0.3">
      <c r="A2024">
        <v>22023</v>
      </c>
      <c r="B2024">
        <v>370</v>
      </c>
      <c r="C2024" s="2">
        <v>45401</v>
      </c>
      <c r="D2024" s="2" t="str">
        <f>TEXT(Table4[[#This Row],[issue_date]],"mmmm")</f>
        <v>April</v>
      </c>
      <c r="E2024" s="9">
        <f>YEAR(Table4[[#This Row],[issue_date]])</f>
        <v>2024</v>
      </c>
      <c r="F2024" t="s">
        <v>22</v>
      </c>
      <c r="G2024">
        <v>11</v>
      </c>
      <c r="H2024" t="s">
        <v>20</v>
      </c>
      <c r="I2024" t="str">
        <f>VLOOKUP(Table4[[#This Row],[customer_id]],customers!A:G,4,)</f>
        <v>kolkata</v>
      </c>
    </row>
    <row r="2025" spans="1:9" x14ac:dyDescent="0.3">
      <c r="A2025">
        <v>22024</v>
      </c>
      <c r="B2025">
        <v>118</v>
      </c>
      <c r="C2025" s="2">
        <v>45431</v>
      </c>
      <c r="D2025" s="2" t="str">
        <f>TEXT(Table4[[#This Row],[issue_date]],"mmmm")</f>
        <v>May</v>
      </c>
      <c r="E2025" s="9">
        <f>YEAR(Table4[[#This Row],[issue_date]])</f>
        <v>2024</v>
      </c>
      <c r="F2025" t="s">
        <v>22</v>
      </c>
      <c r="G2025">
        <v>19</v>
      </c>
      <c r="H2025" t="s">
        <v>20</v>
      </c>
      <c r="I2025" t="str">
        <f>VLOOKUP(Table4[[#This Row],[customer_id]],customers!A:G,4,)</f>
        <v>hyderabad</v>
      </c>
    </row>
    <row r="2026" spans="1:9" x14ac:dyDescent="0.3">
      <c r="A2026">
        <v>22025</v>
      </c>
      <c r="B2026">
        <v>197</v>
      </c>
      <c r="C2026" s="2">
        <v>45099</v>
      </c>
      <c r="D2026" s="2" t="str">
        <f>TEXT(Table4[[#This Row],[issue_date]],"mmmm")</f>
        <v>June</v>
      </c>
      <c r="E2026" s="9">
        <f>YEAR(Table4[[#This Row],[issue_date]])</f>
        <v>2023</v>
      </c>
      <c r="F2026" t="s">
        <v>22</v>
      </c>
      <c r="G2026">
        <v>1</v>
      </c>
      <c r="H2026" t="s">
        <v>20</v>
      </c>
      <c r="I2026" t="str">
        <f>VLOOKUP(Table4[[#This Row],[customer_id]],customers!A:G,4,)</f>
        <v>chennai</v>
      </c>
    </row>
    <row r="2027" spans="1:9" x14ac:dyDescent="0.3">
      <c r="A2027">
        <v>22026</v>
      </c>
      <c r="B2027">
        <v>116</v>
      </c>
      <c r="C2027" s="2">
        <v>45105</v>
      </c>
      <c r="D2027" s="2" t="str">
        <f>TEXT(Table4[[#This Row],[issue_date]],"mmmm")</f>
        <v>June</v>
      </c>
      <c r="E2027" s="9">
        <f>YEAR(Table4[[#This Row],[issue_date]])</f>
        <v>2023</v>
      </c>
      <c r="F2027" t="s">
        <v>22</v>
      </c>
      <c r="G2027">
        <v>32</v>
      </c>
      <c r="H2027" t="s">
        <v>20</v>
      </c>
      <c r="I2027" t="str">
        <f>VLOOKUP(Table4[[#This Row],[customer_id]],customers!A:G,4,)</f>
        <v>chennai</v>
      </c>
    </row>
    <row r="2028" spans="1:9" x14ac:dyDescent="0.3">
      <c r="A2028">
        <v>22027</v>
      </c>
      <c r="B2028">
        <v>303</v>
      </c>
      <c r="C2028" s="2">
        <v>44607</v>
      </c>
      <c r="D2028" s="2" t="str">
        <f>TEXT(Table4[[#This Row],[issue_date]],"mmmm")</f>
        <v>February</v>
      </c>
      <c r="E2028" s="9">
        <f>YEAR(Table4[[#This Row],[issue_date]])</f>
        <v>2022</v>
      </c>
      <c r="F2028" t="s">
        <v>19</v>
      </c>
      <c r="G2028">
        <v>34</v>
      </c>
      <c r="H2028" t="s">
        <v>20</v>
      </c>
      <c r="I2028" t="str">
        <f>VLOOKUP(Table4[[#This Row],[customer_id]],customers!A:G,4,)</f>
        <v>bangalore</v>
      </c>
    </row>
    <row r="2029" spans="1:9" x14ac:dyDescent="0.3">
      <c r="A2029">
        <v>22028</v>
      </c>
      <c r="B2029">
        <v>102</v>
      </c>
      <c r="C2029" s="2">
        <v>45229</v>
      </c>
      <c r="D2029" s="2" t="str">
        <f>TEXT(Table4[[#This Row],[issue_date]],"mmmm")</f>
        <v>October</v>
      </c>
      <c r="E2029" s="9">
        <f>YEAR(Table4[[#This Row],[issue_date]])</f>
        <v>2023</v>
      </c>
      <c r="F2029" t="s">
        <v>21</v>
      </c>
      <c r="G2029">
        <v>17</v>
      </c>
      <c r="H2029" t="s">
        <v>20</v>
      </c>
      <c r="I2029" t="str">
        <f>VLOOKUP(Table4[[#This Row],[customer_id]],customers!A:G,4,)</f>
        <v>delhi</v>
      </c>
    </row>
    <row r="2030" spans="1:9" x14ac:dyDescent="0.3">
      <c r="A2030">
        <v>22029</v>
      </c>
      <c r="B2030">
        <v>380</v>
      </c>
      <c r="C2030" s="2">
        <v>44805</v>
      </c>
      <c r="D2030" s="2" t="str">
        <f>TEXT(Table4[[#This Row],[issue_date]],"mmmm")</f>
        <v>September</v>
      </c>
      <c r="E2030" s="9">
        <f>YEAR(Table4[[#This Row],[issue_date]])</f>
        <v>2022</v>
      </c>
      <c r="F2030" t="s">
        <v>19</v>
      </c>
      <c r="G2030">
        <v>55</v>
      </c>
      <c r="H2030" t="s">
        <v>23</v>
      </c>
      <c r="I2030" t="str">
        <f>VLOOKUP(Table4[[#This Row],[customer_id]],customers!A:G,4,)</f>
        <v>delhi</v>
      </c>
    </row>
    <row r="2031" spans="1:9" x14ac:dyDescent="0.3">
      <c r="A2031">
        <v>22030</v>
      </c>
      <c r="B2031">
        <v>163</v>
      </c>
      <c r="C2031" s="2">
        <v>45108</v>
      </c>
      <c r="D2031" s="2" t="str">
        <f>TEXT(Table4[[#This Row],[issue_date]],"mmmm")</f>
        <v>July</v>
      </c>
      <c r="E2031" s="9">
        <f>YEAR(Table4[[#This Row],[issue_date]])</f>
        <v>2023</v>
      </c>
      <c r="F2031" t="s">
        <v>21</v>
      </c>
      <c r="G2031">
        <v>19</v>
      </c>
      <c r="H2031" t="s">
        <v>20</v>
      </c>
      <c r="I2031" t="str">
        <f>VLOOKUP(Table4[[#This Row],[customer_id]],customers!A:G,4,)</f>
        <v>hyderabad</v>
      </c>
    </row>
    <row r="2032" spans="1:9" x14ac:dyDescent="0.3">
      <c r="A2032">
        <v>22031</v>
      </c>
      <c r="B2032">
        <v>414</v>
      </c>
      <c r="C2032" s="2">
        <v>45011</v>
      </c>
      <c r="D2032" s="2" t="str">
        <f>TEXT(Table4[[#This Row],[issue_date]],"mmmm")</f>
        <v>March</v>
      </c>
      <c r="E2032" s="9">
        <f>YEAR(Table4[[#This Row],[issue_date]])</f>
        <v>2023</v>
      </c>
      <c r="F2032" t="s">
        <v>19</v>
      </c>
      <c r="G2032">
        <v>42</v>
      </c>
      <c r="H2032" t="s">
        <v>20</v>
      </c>
      <c r="I2032" t="str">
        <f>VLOOKUP(Table4[[#This Row],[customer_id]],customers!A:G,4,)</f>
        <v>delhi</v>
      </c>
    </row>
    <row r="2033" spans="1:9" x14ac:dyDescent="0.3">
      <c r="A2033">
        <v>22032</v>
      </c>
      <c r="B2033">
        <v>178</v>
      </c>
      <c r="C2033" s="2">
        <v>44839</v>
      </c>
      <c r="D2033" s="2" t="str">
        <f>TEXT(Table4[[#This Row],[issue_date]],"mmmm")</f>
        <v>October</v>
      </c>
      <c r="E2033" s="9">
        <f>YEAR(Table4[[#This Row],[issue_date]])</f>
        <v>2022</v>
      </c>
      <c r="F2033" t="s">
        <v>22</v>
      </c>
      <c r="G2033">
        <v>59</v>
      </c>
      <c r="H2033" t="s">
        <v>20</v>
      </c>
      <c r="I2033" t="str">
        <f>VLOOKUP(Table4[[#This Row],[customer_id]],customers!A:G,4,)</f>
        <v>chennai</v>
      </c>
    </row>
    <row r="2034" spans="1:9" x14ac:dyDescent="0.3">
      <c r="A2034">
        <v>22033</v>
      </c>
      <c r="B2034">
        <v>473</v>
      </c>
      <c r="C2034" s="2">
        <v>45315</v>
      </c>
      <c r="D2034" s="2" t="str">
        <f>TEXT(Table4[[#This Row],[issue_date]],"mmmm")</f>
        <v>January</v>
      </c>
      <c r="E2034" s="9">
        <f>YEAR(Table4[[#This Row],[issue_date]])</f>
        <v>2024</v>
      </c>
      <c r="F2034" t="s">
        <v>19</v>
      </c>
      <c r="G2034">
        <v>38</v>
      </c>
      <c r="H2034" t="s">
        <v>23</v>
      </c>
      <c r="I2034" t="str">
        <f>VLOOKUP(Table4[[#This Row],[customer_id]],customers!A:G,4,)</f>
        <v>delhi</v>
      </c>
    </row>
    <row r="2035" spans="1:9" x14ac:dyDescent="0.3">
      <c r="A2035">
        <v>22034</v>
      </c>
      <c r="B2035">
        <v>280</v>
      </c>
      <c r="C2035" s="2">
        <v>44967</v>
      </c>
      <c r="D2035" s="2" t="str">
        <f>TEXT(Table4[[#This Row],[issue_date]],"mmmm")</f>
        <v>February</v>
      </c>
      <c r="E2035" s="9">
        <f>YEAR(Table4[[#This Row],[issue_date]])</f>
        <v>2023</v>
      </c>
      <c r="F2035" t="s">
        <v>19</v>
      </c>
      <c r="G2035">
        <v>31</v>
      </c>
      <c r="H2035" t="s">
        <v>20</v>
      </c>
      <c r="I2035" t="str">
        <f>VLOOKUP(Table4[[#This Row],[customer_id]],customers!A:G,4,)</f>
        <v>chennai</v>
      </c>
    </row>
    <row r="2036" spans="1:9" x14ac:dyDescent="0.3">
      <c r="A2036">
        <v>22035</v>
      </c>
      <c r="B2036">
        <v>286</v>
      </c>
      <c r="C2036" s="2">
        <v>45451</v>
      </c>
      <c r="D2036" s="2" t="str">
        <f>TEXT(Table4[[#This Row],[issue_date]],"mmmm")</f>
        <v>June</v>
      </c>
      <c r="E2036" s="9">
        <f>YEAR(Table4[[#This Row],[issue_date]])</f>
        <v>2024</v>
      </c>
      <c r="F2036" t="s">
        <v>22</v>
      </c>
      <c r="G2036">
        <v>66</v>
      </c>
      <c r="H2036" t="s">
        <v>20</v>
      </c>
      <c r="I2036" t="str">
        <f>VLOOKUP(Table4[[#This Row],[customer_id]],customers!A:G,4,)</f>
        <v>chennai</v>
      </c>
    </row>
    <row r="2037" spans="1:9" x14ac:dyDescent="0.3">
      <c r="A2037">
        <v>22036</v>
      </c>
      <c r="B2037">
        <v>212</v>
      </c>
      <c r="C2037" s="2">
        <v>45332</v>
      </c>
      <c r="D2037" s="2" t="str">
        <f>TEXT(Table4[[#This Row],[issue_date]],"mmmm")</f>
        <v>February</v>
      </c>
      <c r="E2037" s="9">
        <f>YEAR(Table4[[#This Row],[issue_date]])</f>
        <v>2024</v>
      </c>
      <c r="F2037" t="s">
        <v>22</v>
      </c>
      <c r="G2037">
        <v>69</v>
      </c>
      <c r="H2037" t="s">
        <v>23</v>
      </c>
      <c r="I2037" t="str">
        <f>VLOOKUP(Table4[[#This Row],[customer_id]],customers!A:G,4,)</f>
        <v>delhi</v>
      </c>
    </row>
    <row r="2038" spans="1:9" x14ac:dyDescent="0.3">
      <c r="A2038">
        <v>22037</v>
      </c>
      <c r="B2038">
        <v>54</v>
      </c>
      <c r="C2038" s="2">
        <v>44607</v>
      </c>
      <c r="D2038" s="2" t="str">
        <f>TEXT(Table4[[#This Row],[issue_date]],"mmmm")</f>
        <v>February</v>
      </c>
      <c r="E2038" s="9">
        <f>YEAR(Table4[[#This Row],[issue_date]])</f>
        <v>2022</v>
      </c>
      <c r="F2038" t="s">
        <v>21</v>
      </c>
      <c r="G2038">
        <v>50</v>
      </c>
      <c r="H2038" t="s">
        <v>23</v>
      </c>
      <c r="I2038" t="str">
        <f>VLOOKUP(Table4[[#This Row],[customer_id]],customers!A:G,4,)</f>
        <v>bangalore</v>
      </c>
    </row>
    <row r="2039" spans="1:9" x14ac:dyDescent="0.3">
      <c r="A2039">
        <v>22038</v>
      </c>
      <c r="B2039">
        <v>67</v>
      </c>
      <c r="C2039" s="2">
        <v>45310</v>
      </c>
      <c r="D2039" s="2" t="str">
        <f>TEXT(Table4[[#This Row],[issue_date]],"mmmm")</f>
        <v>January</v>
      </c>
      <c r="E2039" s="9">
        <f>YEAR(Table4[[#This Row],[issue_date]])</f>
        <v>2024</v>
      </c>
      <c r="F2039" t="s">
        <v>21</v>
      </c>
      <c r="G2039">
        <v>30</v>
      </c>
      <c r="H2039" t="s">
        <v>20</v>
      </c>
      <c r="I2039" t="str">
        <f>VLOOKUP(Table4[[#This Row],[customer_id]],customers!A:G,4,)</f>
        <v>hyderabad</v>
      </c>
    </row>
    <row r="2040" spans="1:9" x14ac:dyDescent="0.3">
      <c r="A2040">
        <v>22039</v>
      </c>
      <c r="B2040">
        <v>32</v>
      </c>
      <c r="C2040" s="2">
        <v>45081</v>
      </c>
      <c r="D2040" s="2" t="str">
        <f>TEXT(Table4[[#This Row],[issue_date]],"mmmm")</f>
        <v>June</v>
      </c>
      <c r="E2040" s="9">
        <f>YEAR(Table4[[#This Row],[issue_date]])</f>
        <v>2023</v>
      </c>
      <c r="F2040" t="s">
        <v>19</v>
      </c>
      <c r="G2040">
        <v>35</v>
      </c>
      <c r="H2040" t="s">
        <v>20</v>
      </c>
      <c r="I2040" t="str">
        <f>VLOOKUP(Table4[[#This Row],[customer_id]],customers!A:G,4,)</f>
        <v>bangalore</v>
      </c>
    </row>
    <row r="2041" spans="1:9" x14ac:dyDescent="0.3">
      <c r="A2041">
        <v>22040</v>
      </c>
      <c r="B2041">
        <v>251</v>
      </c>
      <c r="C2041" s="2">
        <v>45333</v>
      </c>
      <c r="D2041" s="2" t="str">
        <f>TEXT(Table4[[#This Row],[issue_date]],"mmmm")</f>
        <v>February</v>
      </c>
      <c r="E2041" s="9">
        <f>YEAR(Table4[[#This Row],[issue_date]])</f>
        <v>2024</v>
      </c>
      <c r="F2041" t="s">
        <v>19</v>
      </c>
      <c r="G2041">
        <v>59</v>
      </c>
      <c r="H2041" t="s">
        <v>20</v>
      </c>
      <c r="I2041" t="str">
        <f>VLOOKUP(Table4[[#This Row],[customer_id]],customers!A:G,4,)</f>
        <v>kolkata</v>
      </c>
    </row>
    <row r="2042" spans="1:9" x14ac:dyDescent="0.3">
      <c r="A2042">
        <v>22041</v>
      </c>
      <c r="B2042">
        <v>8</v>
      </c>
      <c r="C2042" s="2">
        <v>44832</v>
      </c>
      <c r="D2042" s="2" t="str">
        <f>TEXT(Table4[[#This Row],[issue_date]],"mmmm")</f>
        <v>September</v>
      </c>
      <c r="E2042" s="9">
        <f>YEAR(Table4[[#This Row],[issue_date]])</f>
        <v>2022</v>
      </c>
      <c r="F2042" t="s">
        <v>19</v>
      </c>
      <c r="G2042">
        <v>17</v>
      </c>
      <c r="H2042" t="s">
        <v>20</v>
      </c>
      <c r="I2042" t="str">
        <f>VLOOKUP(Table4[[#This Row],[customer_id]],customers!A:G,4,)</f>
        <v>mumbai</v>
      </c>
    </row>
    <row r="2043" spans="1:9" x14ac:dyDescent="0.3">
      <c r="A2043">
        <v>22042</v>
      </c>
      <c r="B2043">
        <v>499</v>
      </c>
      <c r="C2043" s="2">
        <v>45117</v>
      </c>
      <c r="D2043" s="2" t="str">
        <f>TEXT(Table4[[#This Row],[issue_date]],"mmmm")</f>
        <v>July</v>
      </c>
      <c r="E2043" s="9">
        <f>YEAR(Table4[[#This Row],[issue_date]])</f>
        <v>2023</v>
      </c>
      <c r="F2043" t="s">
        <v>22</v>
      </c>
      <c r="G2043">
        <v>66</v>
      </c>
      <c r="H2043" t="s">
        <v>20</v>
      </c>
      <c r="I2043" t="str">
        <f>VLOOKUP(Table4[[#This Row],[customer_id]],customers!A:G,4,)</f>
        <v>delhi</v>
      </c>
    </row>
    <row r="2044" spans="1:9" x14ac:dyDescent="0.3">
      <c r="A2044">
        <v>22043</v>
      </c>
      <c r="B2044">
        <v>434</v>
      </c>
      <c r="C2044" s="2">
        <v>44799</v>
      </c>
      <c r="D2044" s="2" t="str">
        <f>TEXT(Table4[[#This Row],[issue_date]],"mmmm")</f>
        <v>August</v>
      </c>
      <c r="E2044" s="9">
        <f>YEAR(Table4[[#This Row],[issue_date]])</f>
        <v>2022</v>
      </c>
      <c r="F2044" t="s">
        <v>21</v>
      </c>
      <c r="G2044">
        <v>21</v>
      </c>
      <c r="H2044" t="s">
        <v>20</v>
      </c>
      <c r="I2044" t="str">
        <f>VLOOKUP(Table4[[#This Row],[customer_id]],customers!A:G,4,)</f>
        <v>bangalore</v>
      </c>
    </row>
    <row r="2045" spans="1:9" x14ac:dyDescent="0.3">
      <c r="A2045">
        <v>22044</v>
      </c>
      <c r="B2045">
        <v>431</v>
      </c>
      <c r="C2045" s="2">
        <v>44728</v>
      </c>
      <c r="D2045" s="2" t="str">
        <f>TEXT(Table4[[#This Row],[issue_date]],"mmmm")</f>
        <v>June</v>
      </c>
      <c r="E2045" s="9">
        <f>YEAR(Table4[[#This Row],[issue_date]])</f>
        <v>2022</v>
      </c>
      <c r="F2045" t="s">
        <v>19</v>
      </c>
      <c r="G2045">
        <v>52</v>
      </c>
      <c r="H2045" t="s">
        <v>20</v>
      </c>
      <c r="I2045" t="str">
        <f>VLOOKUP(Table4[[#This Row],[customer_id]],customers!A:G,4,)</f>
        <v>chennai</v>
      </c>
    </row>
    <row r="2046" spans="1:9" x14ac:dyDescent="0.3">
      <c r="A2046">
        <v>22045</v>
      </c>
      <c r="B2046">
        <v>215</v>
      </c>
      <c r="C2046" s="2">
        <v>44937</v>
      </c>
      <c r="D2046" s="2" t="str">
        <f>TEXT(Table4[[#This Row],[issue_date]],"mmmm")</f>
        <v>January</v>
      </c>
      <c r="E2046" s="9">
        <f>YEAR(Table4[[#This Row],[issue_date]])</f>
        <v>2023</v>
      </c>
      <c r="F2046" t="s">
        <v>21</v>
      </c>
      <c r="G2046">
        <v>65</v>
      </c>
      <c r="H2046" t="s">
        <v>20</v>
      </c>
      <c r="I2046" t="str">
        <f>VLOOKUP(Table4[[#This Row],[customer_id]],customers!A:G,4,)</f>
        <v>bangalore</v>
      </c>
    </row>
    <row r="2047" spans="1:9" x14ac:dyDescent="0.3">
      <c r="A2047">
        <v>22046</v>
      </c>
      <c r="B2047">
        <v>46</v>
      </c>
      <c r="C2047" s="2">
        <v>45149</v>
      </c>
      <c r="D2047" s="2" t="str">
        <f>TEXT(Table4[[#This Row],[issue_date]],"mmmm")</f>
        <v>August</v>
      </c>
      <c r="E2047" s="9">
        <f>YEAR(Table4[[#This Row],[issue_date]])</f>
        <v>2023</v>
      </c>
      <c r="F2047" t="s">
        <v>21</v>
      </c>
      <c r="G2047">
        <v>14</v>
      </c>
      <c r="H2047" t="s">
        <v>20</v>
      </c>
      <c r="I2047" t="str">
        <f>VLOOKUP(Table4[[#This Row],[customer_id]],customers!A:G,4,)</f>
        <v>delhi</v>
      </c>
    </row>
    <row r="2048" spans="1:9" x14ac:dyDescent="0.3">
      <c r="A2048">
        <v>22047</v>
      </c>
      <c r="B2048">
        <v>80</v>
      </c>
      <c r="C2048" s="2">
        <v>45230</v>
      </c>
      <c r="D2048" s="2" t="str">
        <f>TEXT(Table4[[#This Row],[issue_date]],"mmmm")</f>
        <v>October</v>
      </c>
      <c r="E2048" s="9">
        <f>YEAR(Table4[[#This Row],[issue_date]])</f>
        <v>2023</v>
      </c>
      <c r="F2048" t="s">
        <v>22</v>
      </c>
      <c r="G2048">
        <v>16</v>
      </c>
      <c r="H2048" t="s">
        <v>20</v>
      </c>
      <c r="I2048" t="str">
        <f>VLOOKUP(Table4[[#This Row],[customer_id]],customers!A:G,4,)</f>
        <v>kolkata</v>
      </c>
    </row>
    <row r="2049" spans="1:9" x14ac:dyDescent="0.3">
      <c r="A2049">
        <v>22048</v>
      </c>
      <c r="B2049">
        <v>35</v>
      </c>
      <c r="C2049" s="2">
        <v>44762</v>
      </c>
      <c r="D2049" s="2" t="str">
        <f>TEXT(Table4[[#This Row],[issue_date]],"mmmm")</f>
        <v>July</v>
      </c>
      <c r="E2049" s="9">
        <f>YEAR(Table4[[#This Row],[issue_date]])</f>
        <v>2022</v>
      </c>
      <c r="F2049" t="s">
        <v>22</v>
      </c>
      <c r="G2049">
        <v>55</v>
      </c>
      <c r="H2049" t="s">
        <v>20</v>
      </c>
      <c r="I2049" t="str">
        <f>VLOOKUP(Table4[[#This Row],[customer_id]],customers!A:G,4,)</f>
        <v>chennai</v>
      </c>
    </row>
    <row r="2050" spans="1:9" x14ac:dyDescent="0.3">
      <c r="A2050">
        <v>22049</v>
      </c>
      <c r="B2050">
        <v>189</v>
      </c>
      <c r="C2050" s="2">
        <v>45307</v>
      </c>
      <c r="D2050" s="2" t="str">
        <f>TEXT(Table4[[#This Row],[issue_date]],"mmmm")</f>
        <v>January</v>
      </c>
      <c r="E2050" s="9">
        <f>YEAR(Table4[[#This Row],[issue_date]])</f>
        <v>2024</v>
      </c>
      <c r="F2050" t="s">
        <v>19</v>
      </c>
      <c r="G2050">
        <v>9</v>
      </c>
      <c r="H2050" t="s">
        <v>20</v>
      </c>
      <c r="I2050" t="str">
        <f>VLOOKUP(Table4[[#This Row],[customer_id]],customers!A:G,4,)</f>
        <v>delhi</v>
      </c>
    </row>
    <row r="2051" spans="1:9" x14ac:dyDescent="0.3">
      <c r="A2051">
        <v>22050</v>
      </c>
      <c r="B2051">
        <v>89</v>
      </c>
      <c r="C2051" s="2">
        <v>44793</v>
      </c>
      <c r="D2051" s="2" t="str">
        <f>TEXT(Table4[[#This Row],[issue_date]],"mmmm")</f>
        <v>August</v>
      </c>
      <c r="E2051" s="9">
        <f>YEAR(Table4[[#This Row],[issue_date]])</f>
        <v>2022</v>
      </c>
      <c r="F2051" t="s">
        <v>19</v>
      </c>
      <c r="G2051">
        <v>8</v>
      </c>
      <c r="H2051" t="s">
        <v>20</v>
      </c>
      <c r="I2051" t="str">
        <f>VLOOKUP(Table4[[#This Row],[customer_id]],customers!A:G,4,)</f>
        <v>delhi</v>
      </c>
    </row>
    <row r="2052" spans="1:9" x14ac:dyDescent="0.3">
      <c r="A2052">
        <v>22051</v>
      </c>
      <c r="B2052">
        <v>335</v>
      </c>
      <c r="C2052" s="2">
        <v>45007</v>
      </c>
      <c r="D2052" s="2" t="str">
        <f>TEXT(Table4[[#This Row],[issue_date]],"mmmm")</f>
        <v>March</v>
      </c>
      <c r="E2052" s="9">
        <f>YEAR(Table4[[#This Row],[issue_date]])</f>
        <v>2023</v>
      </c>
      <c r="F2052" t="s">
        <v>19</v>
      </c>
      <c r="G2052">
        <v>34</v>
      </c>
      <c r="H2052" t="s">
        <v>20</v>
      </c>
      <c r="I2052" t="str">
        <f>VLOOKUP(Table4[[#This Row],[customer_id]],customers!A:G,4,)</f>
        <v>kolkata</v>
      </c>
    </row>
    <row r="2053" spans="1:9" x14ac:dyDescent="0.3">
      <c r="A2053">
        <v>22052</v>
      </c>
      <c r="B2053">
        <v>435</v>
      </c>
      <c r="C2053" s="2">
        <v>45285</v>
      </c>
      <c r="D2053" s="2" t="str">
        <f>TEXT(Table4[[#This Row],[issue_date]],"mmmm")</f>
        <v>December</v>
      </c>
      <c r="E2053" s="9">
        <f>YEAR(Table4[[#This Row],[issue_date]])</f>
        <v>2023</v>
      </c>
      <c r="F2053" t="s">
        <v>19</v>
      </c>
      <c r="G2053">
        <v>33</v>
      </c>
      <c r="H2053" t="s">
        <v>20</v>
      </c>
      <c r="I2053" t="str">
        <f>VLOOKUP(Table4[[#This Row],[customer_id]],customers!A:G,4,)</f>
        <v>bangalore</v>
      </c>
    </row>
    <row r="2054" spans="1:9" x14ac:dyDescent="0.3">
      <c r="A2054">
        <v>22053</v>
      </c>
      <c r="B2054">
        <v>447</v>
      </c>
      <c r="C2054" s="2">
        <v>44979</v>
      </c>
      <c r="D2054" s="2" t="str">
        <f>TEXT(Table4[[#This Row],[issue_date]],"mmmm")</f>
        <v>February</v>
      </c>
      <c r="E2054" s="9">
        <f>YEAR(Table4[[#This Row],[issue_date]])</f>
        <v>2023</v>
      </c>
      <c r="F2054" t="s">
        <v>19</v>
      </c>
      <c r="G2054">
        <v>7</v>
      </c>
      <c r="H2054" t="s">
        <v>20</v>
      </c>
      <c r="I2054" t="str">
        <f>VLOOKUP(Table4[[#This Row],[customer_id]],customers!A:G,4,)</f>
        <v>delhi</v>
      </c>
    </row>
    <row r="2055" spans="1:9" x14ac:dyDescent="0.3">
      <c r="A2055">
        <v>22054</v>
      </c>
      <c r="B2055">
        <v>136</v>
      </c>
      <c r="C2055" s="2">
        <v>44715</v>
      </c>
      <c r="D2055" s="2" t="str">
        <f>TEXT(Table4[[#This Row],[issue_date]],"mmmm")</f>
        <v>June</v>
      </c>
      <c r="E2055" s="9">
        <f>YEAR(Table4[[#This Row],[issue_date]])</f>
        <v>2022</v>
      </c>
      <c r="F2055" t="s">
        <v>21</v>
      </c>
      <c r="G2055">
        <v>21</v>
      </c>
      <c r="H2055" t="s">
        <v>20</v>
      </c>
      <c r="I2055" t="str">
        <f>VLOOKUP(Table4[[#This Row],[customer_id]],customers!A:G,4,)</f>
        <v>chennai</v>
      </c>
    </row>
    <row r="2056" spans="1:9" x14ac:dyDescent="0.3">
      <c r="A2056">
        <v>22055</v>
      </c>
      <c r="B2056">
        <v>34</v>
      </c>
      <c r="C2056" s="2">
        <v>44929</v>
      </c>
      <c r="D2056" s="2" t="str">
        <f>TEXT(Table4[[#This Row],[issue_date]],"mmmm")</f>
        <v>January</v>
      </c>
      <c r="E2056" s="9">
        <f>YEAR(Table4[[#This Row],[issue_date]])</f>
        <v>2023</v>
      </c>
      <c r="F2056" t="s">
        <v>21</v>
      </c>
      <c r="G2056">
        <v>5</v>
      </c>
      <c r="H2056" t="s">
        <v>23</v>
      </c>
      <c r="I2056" t="str">
        <f>VLOOKUP(Table4[[#This Row],[customer_id]],customers!A:G,4,)</f>
        <v>hyderabad</v>
      </c>
    </row>
    <row r="2057" spans="1:9" x14ac:dyDescent="0.3">
      <c r="A2057">
        <v>22056</v>
      </c>
      <c r="B2057">
        <v>281</v>
      </c>
      <c r="C2057" s="2">
        <v>45286</v>
      </c>
      <c r="D2057" s="2" t="str">
        <f>TEXT(Table4[[#This Row],[issue_date]],"mmmm")</f>
        <v>December</v>
      </c>
      <c r="E2057" s="9">
        <f>YEAR(Table4[[#This Row],[issue_date]])</f>
        <v>2023</v>
      </c>
      <c r="F2057" t="s">
        <v>22</v>
      </c>
      <c r="G2057">
        <v>71</v>
      </c>
      <c r="H2057" t="s">
        <v>20</v>
      </c>
      <c r="I2057" t="str">
        <f>VLOOKUP(Table4[[#This Row],[customer_id]],customers!A:G,4,)</f>
        <v>kolkata</v>
      </c>
    </row>
    <row r="2058" spans="1:9" x14ac:dyDescent="0.3">
      <c r="A2058">
        <v>22057</v>
      </c>
      <c r="B2058">
        <v>113</v>
      </c>
      <c r="C2058" s="2">
        <v>44648</v>
      </c>
      <c r="D2058" s="2" t="str">
        <f>TEXT(Table4[[#This Row],[issue_date]],"mmmm")</f>
        <v>March</v>
      </c>
      <c r="E2058" s="9">
        <f>YEAR(Table4[[#This Row],[issue_date]])</f>
        <v>2022</v>
      </c>
      <c r="F2058" t="s">
        <v>22</v>
      </c>
      <c r="G2058">
        <v>12</v>
      </c>
      <c r="H2058" t="s">
        <v>20</v>
      </c>
      <c r="I2058" t="str">
        <f>VLOOKUP(Table4[[#This Row],[customer_id]],customers!A:G,4,)</f>
        <v>kolkata</v>
      </c>
    </row>
    <row r="2059" spans="1:9" x14ac:dyDescent="0.3">
      <c r="A2059">
        <v>22058</v>
      </c>
      <c r="B2059">
        <v>172</v>
      </c>
      <c r="C2059" s="2">
        <v>45091</v>
      </c>
      <c r="D2059" s="2" t="str">
        <f>TEXT(Table4[[#This Row],[issue_date]],"mmmm")</f>
        <v>June</v>
      </c>
      <c r="E2059" s="9">
        <f>YEAR(Table4[[#This Row],[issue_date]])</f>
        <v>2023</v>
      </c>
      <c r="F2059" t="s">
        <v>21</v>
      </c>
      <c r="G2059">
        <v>59</v>
      </c>
      <c r="H2059" t="s">
        <v>20</v>
      </c>
      <c r="I2059" t="str">
        <f>VLOOKUP(Table4[[#This Row],[customer_id]],customers!A:G,4,)</f>
        <v>chennai</v>
      </c>
    </row>
    <row r="2060" spans="1:9" x14ac:dyDescent="0.3">
      <c r="A2060">
        <v>22059</v>
      </c>
      <c r="B2060">
        <v>339</v>
      </c>
      <c r="C2060" s="2">
        <v>45264</v>
      </c>
      <c r="D2060" s="2" t="str">
        <f>TEXT(Table4[[#This Row],[issue_date]],"mmmm")</f>
        <v>December</v>
      </c>
      <c r="E2060" s="9">
        <f>YEAR(Table4[[#This Row],[issue_date]])</f>
        <v>2023</v>
      </c>
      <c r="F2060" t="s">
        <v>22</v>
      </c>
      <c r="G2060">
        <v>58</v>
      </c>
      <c r="H2060" t="s">
        <v>20</v>
      </c>
      <c r="I2060" t="str">
        <f>VLOOKUP(Table4[[#This Row],[customer_id]],customers!A:G,4,)</f>
        <v>bangalore</v>
      </c>
    </row>
    <row r="2061" spans="1:9" x14ac:dyDescent="0.3">
      <c r="A2061">
        <v>22060</v>
      </c>
      <c r="B2061">
        <v>43</v>
      </c>
      <c r="C2061" s="2">
        <v>45381</v>
      </c>
      <c r="D2061" s="2" t="str">
        <f>TEXT(Table4[[#This Row],[issue_date]],"mmmm")</f>
        <v>March</v>
      </c>
      <c r="E2061" s="9">
        <f>YEAR(Table4[[#This Row],[issue_date]])</f>
        <v>2024</v>
      </c>
      <c r="F2061" t="s">
        <v>22</v>
      </c>
      <c r="G2061">
        <v>37</v>
      </c>
      <c r="H2061" t="s">
        <v>20</v>
      </c>
      <c r="I2061" t="str">
        <f>VLOOKUP(Table4[[#This Row],[customer_id]],customers!A:G,4,)</f>
        <v>hyderabad</v>
      </c>
    </row>
    <row r="2062" spans="1:9" x14ac:dyDescent="0.3">
      <c r="A2062">
        <v>22061</v>
      </c>
      <c r="B2062">
        <v>382</v>
      </c>
      <c r="C2062" s="2">
        <v>44615</v>
      </c>
      <c r="D2062" s="2" t="str">
        <f>TEXT(Table4[[#This Row],[issue_date]],"mmmm")</f>
        <v>February</v>
      </c>
      <c r="E2062" s="9">
        <f>YEAR(Table4[[#This Row],[issue_date]])</f>
        <v>2022</v>
      </c>
      <c r="F2062" t="s">
        <v>19</v>
      </c>
      <c r="G2062">
        <v>45</v>
      </c>
      <c r="H2062" t="s">
        <v>23</v>
      </c>
      <c r="I2062" t="str">
        <f>VLOOKUP(Table4[[#This Row],[customer_id]],customers!A:G,4,)</f>
        <v>delhi</v>
      </c>
    </row>
    <row r="2063" spans="1:9" x14ac:dyDescent="0.3">
      <c r="A2063">
        <v>22062</v>
      </c>
      <c r="B2063">
        <v>434</v>
      </c>
      <c r="C2063" s="2">
        <v>45289</v>
      </c>
      <c r="D2063" s="2" t="str">
        <f>TEXT(Table4[[#This Row],[issue_date]],"mmmm")</f>
        <v>December</v>
      </c>
      <c r="E2063" s="9">
        <f>YEAR(Table4[[#This Row],[issue_date]])</f>
        <v>2023</v>
      </c>
      <c r="F2063" t="s">
        <v>22</v>
      </c>
      <c r="G2063">
        <v>25</v>
      </c>
      <c r="H2063" t="s">
        <v>20</v>
      </c>
      <c r="I2063" t="str">
        <f>VLOOKUP(Table4[[#This Row],[customer_id]],customers!A:G,4,)</f>
        <v>bangalore</v>
      </c>
    </row>
    <row r="2064" spans="1:9" x14ac:dyDescent="0.3">
      <c r="A2064">
        <v>22063</v>
      </c>
      <c r="B2064">
        <v>13</v>
      </c>
      <c r="C2064" s="2">
        <v>44603</v>
      </c>
      <c r="D2064" s="2" t="str">
        <f>TEXT(Table4[[#This Row],[issue_date]],"mmmm")</f>
        <v>February</v>
      </c>
      <c r="E2064" s="9">
        <f>YEAR(Table4[[#This Row],[issue_date]])</f>
        <v>2022</v>
      </c>
      <c r="F2064" t="s">
        <v>22</v>
      </c>
      <c r="G2064">
        <v>27</v>
      </c>
      <c r="H2064" t="s">
        <v>20</v>
      </c>
      <c r="I2064" t="str">
        <f>VLOOKUP(Table4[[#This Row],[customer_id]],customers!A:G,4,)</f>
        <v>kolkata</v>
      </c>
    </row>
    <row r="2065" spans="1:9" x14ac:dyDescent="0.3">
      <c r="A2065">
        <v>22064</v>
      </c>
      <c r="B2065">
        <v>174</v>
      </c>
      <c r="C2065" s="2">
        <v>44910</v>
      </c>
      <c r="D2065" s="2" t="str">
        <f>TEXT(Table4[[#This Row],[issue_date]],"mmmm")</f>
        <v>December</v>
      </c>
      <c r="E2065" s="9">
        <f>YEAR(Table4[[#This Row],[issue_date]])</f>
        <v>2022</v>
      </c>
      <c r="F2065" t="s">
        <v>22</v>
      </c>
      <c r="G2065">
        <v>51</v>
      </c>
      <c r="H2065" t="s">
        <v>20</v>
      </c>
      <c r="I2065" t="str">
        <f>VLOOKUP(Table4[[#This Row],[customer_id]],customers!A:G,4,)</f>
        <v>mumbai</v>
      </c>
    </row>
    <row r="2066" spans="1:9" x14ac:dyDescent="0.3">
      <c r="A2066">
        <v>22065</v>
      </c>
      <c r="B2066">
        <v>125</v>
      </c>
      <c r="C2066" s="2">
        <v>44791</v>
      </c>
      <c r="D2066" s="2" t="str">
        <f>TEXT(Table4[[#This Row],[issue_date]],"mmmm")</f>
        <v>August</v>
      </c>
      <c r="E2066" s="9">
        <f>YEAR(Table4[[#This Row],[issue_date]])</f>
        <v>2022</v>
      </c>
      <c r="F2066" t="s">
        <v>21</v>
      </c>
      <c r="G2066">
        <v>42</v>
      </c>
      <c r="H2066" t="s">
        <v>20</v>
      </c>
      <c r="I2066" t="str">
        <f>VLOOKUP(Table4[[#This Row],[customer_id]],customers!A:G,4,)</f>
        <v>bangalore</v>
      </c>
    </row>
    <row r="2067" spans="1:9" x14ac:dyDescent="0.3">
      <c r="A2067">
        <v>22066</v>
      </c>
      <c r="B2067">
        <v>332</v>
      </c>
      <c r="C2067" s="2">
        <v>45303</v>
      </c>
      <c r="D2067" s="2" t="str">
        <f>TEXT(Table4[[#This Row],[issue_date]],"mmmm")</f>
        <v>January</v>
      </c>
      <c r="E2067" s="9">
        <f>YEAR(Table4[[#This Row],[issue_date]])</f>
        <v>2024</v>
      </c>
      <c r="F2067" t="s">
        <v>21</v>
      </c>
      <c r="G2067">
        <v>71</v>
      </c>
      <c r="H2067" t="s">
        <v>20</v>
      </c>
      <c r="I2067" t="str">
        <f>VLOOKUP(Table4[[#This Row],[customer_id]],customers!A:G,4,)</f>
        <v>mumbai</v>
      </c>
    </row>
    <row r="2068" spans="1:9" x14ac:dyDescent="0.3">
      <c r="A2068">
        <v>22067</v>
      </c>
      <c r="B2068">
        <v>207</v>
      </c>
      <c r="C2068" s="2">
        <v>45255</v>
      </c>
      <c r="D2068" s="2" t="str">
        <f>TEXT(Table4[[#This Row],[issue_date]],"mmmm")</f>
        <v>November</v>
      </c>
      <c r="E2068" s="9">
        <f>YEAR(Table4[[#This Row],[issue_date]])</f>
        <v>2023</v>
      </c>
      <c r="F2068" t="s">
        <v>19</v>
      </c>
      <c r="G2068">
        <v>42</v>
      </c>
      <c r="H2068" t="s">
        <v>20</v>
      </c>
      <c r="I2068" t="str">
        <f>VLOOKUP(Table4[[#This Row],[customer_id]],customers!A:G,4,)</f>
        <v>mumbai</v>
      </c>
    </row>
    <row r="2069" spans="1:9" x14ac:dyDescent="0.3">
      <c r="A2069">
        <v>22068</v>
      </c>
      <c r="B2069">
        <v>343</v>
      </c>
      <c r="C2069" s="2">
        <v>44997</v>
      </c>
      <c r="D2069" s="2" t="str">
        <f>TEXT(Table4[[#This Row],[issue_date]],"mmmm")</f>
        <v>March</v>
      </c>
      <c r="E2069" s="9">
        <f>YEAR(Table4[[#This Row],[issue_date]])</f>
        <v>2023</v>
      </c>
      <c r="F2069" t="s">
        <v>22</v>
      </c>
      <c r="G2069">
        <v>60</v>
      </c>
      <c r="H2069" t="s">
        <v>23</v>
      </c>
      <c r="I2069" t="str">
        <f>VLOOKUP(Table4[[#This Row],[customer_id]],customers!A:G,4,)</f>
        <v>delhi</v>
      </c>
    </row>
    <row r="2070" spans="1:9" x14ac:dyDescent="0.3">
      <c r="A2070">
        <v>22069</v>
      </c>
      <c r="B2070">
        <v>437</v>
      </c>
      <c r="C2070" s="2">
        <v>44702</v>
      </c>
      <c r="D2070" s="2" t="str">
        <f>TEXT(Table4[[#This Row],[issue_date]],"mmmm")</f>
        <v>May</v>
      </c>
      <c r="E2070" s="9">
        <f>YEAR(Table4[[#This Row],[issue_date]])</f>
        <v>2022</v>
      </c>
      <c r="F2070" t="s">
        <v>21</v>
      </c>
      <c r="G2070">
        <v>58</v>
      </c>
      <c r="H2070" t="s">
        <v>20</v>
      </c>
      <c r="I2070" t="str">
        <f>VLOOKUP(Table4[[#This Row],[customer_id]],customers!A:G,4,)</f>
        <v>hyderabad</v>
      </c>
    </row>
    <row r="2071" spans="1:9" x14ac:dyDescent="0.3">
      <c r="A2071">
        <v>22070</v>
      </c>
      <c r="B2071">
        <v>447</v>
      </c>
      <c r="C2071" s="2">
        <v>44849</v>
      </c>
      <c r="D2071" s="2" t="str">
        <f>TEXT(Table4[[#This Row],[issue_date]],"mmmm")</f>
        <v>October</v>
      </c>
      <c r="E2071" s="9">
        <f>YEAR(Table4[[#This Row],[issue_date]])</f>
        <v>2022</v>
      </c>
      <c r="F2071" t="s">
        <v>19</v>
      </c>
      <c r="G2071">
        <v>22</v>
      </c>
      <c r="H2071" t="s">
        <v>20</v>
      </c>
      <c r="I2071" t="str">
        <f>VLOOKUP(Table4[[#This Row],[customer_id]],customers!A:G,4,)</f>
        <v>delhi</v>
      </c>
    </row>
    <row r="2072" spans="1:9" x14ac:dyDescent="0.3">
      <c r="A2072">
        <v>22071</v>
      </c>
      <c r="B2072">
        <v>104</v>
      </c>
      <c r="C2072" s="2">
        <v>45412</v>
      </c>
      <c r="D2072" s="2" t="str">
        <f>TEXT(Table4[[#This Row],[issue_date]],"mmmm")</f>
        <v>April</v>
      </c>
      <c r="E2072" s="9">
        <f>YEAR(Table4[[#This Row],[issue_date]])</f>
        <v>2024</v>
      </c>
      <c r="F2072" t="s">
        <v>22</v>
      </c>
      <c r="G2072">
        <v>58</v>
      </c>
      <c r="H2072" t="s">
        <v>23</v>
      </c>
      <c r="I2072" t="str">
        <f>VLOOKUP(Table4[[#This Row],[customer_id]],customers!A:G,4,)</f>
        <v>kolkata</v>
      </c>
    </row>
    <row r="2073" spans="1:9" x14ac:dyDescent="0.3">
      <c r="A2073">
        <v>22072</v>
      </c>
      <c r="B2073">
        <v>130</v>
      </c>
      <c r="C2073" s="2">
        <v>45410</v>
      </c>
      <c r="D2073" s="2" t="str">
        <f>TEXT(Table4[[#This Row],[issue_date]],"mmmm")</f>
        <v>April</v>
      </c>
      <c r="E2073" s="9">
        <f>YEAR(Table4[[#This Row],[issue_date]])</f>
        <v>2024</v>
      </c>
      <c r="F2073" t="s">
        <v>19</v>
      </c>
      <c r="G2073">
        <v>11</v>
      </c>
      <c r="H2073" t="s">
        <v>20</v>
      </c>
      <c r="I2073" t="str">
        <f>VLOOKUP(Table4[[#This Row],[customer_id]],customers!A:G,4,)</f>
        <v>kolkata</v>
      </c>
    </row>
    <row r="2074" spans="1:9" x14ac:dyDescent="0.3">
      <c r="A2074">
        <v>22073</v>
      </c>
      <c r="B2074">
        <v>40</v>
      </c>
      <c r="C2074" s="2">
        <v>44883</v>
      </c>
      <c r="D2074" s="2" t="str">
        <f>TEXT(Table4[[#This Row],[issue_date]],"mmmm")</f>
        <v>November</v>
      </c>
      <c r="E2074" s="9">
        <f>YEAR(Table4[[#This Row],[issue_date]])</f>
        <v>2022</v>
      </c>
      <c r="F2074" t="s">
        <v>19</v>
      </c>
      <c r="G2074">
        <v>6</v>
      </c>
      <c r="H2074" t="s">
        <v>20</v>
      </c>
      <c r="I2074" t="str">
        <f>VLOOKUP(Table4[[#This Row],[customer_id]],customers!A:G,4,)</f>
        <v>chennai</v>
      </c>
    </row>
    <row r="2075" spans="1:9" x14ac:dyDescent="0.3">
      <c r="A2075">
        <v>22074</v>
      </c>
      <c r="B2075">
        <v>23</v>
      </c>
      <c r="C2075" s="2">
        <v>45155</v>
      </c>
      <c r="D2075" s="2" t="str">
        <f>TEXT(Table4[[#This Row],[issue_date]],"mmmm")</f>
        <v>August</v>
      </c>
      <c r="E2075" s="9">
        <f>YEAR(Table4[[#This Row],[issue_date]])</f>
        <v>2023</v>
      </c>
      <c r="F2075" t="s">
        <v>22</v>
      </c>
      <c r="G2075">
        <v>22</v>
      </c>
      <c r="H2075" t="s">
        <v>23</v>
      </c>
      <c r="I2075" t="str">
        <f>VLOOKUP(Table4[[#This Row],[customer_id]],customers!A:G,4,)</f>
        <v>kolkata</v>
      </c>
    </row>
    <row r="2076" spans="1:9" x14ac:dyDescent="0.3">
      <c r="A2076">
        <v>22075</v>
      </c>
      <c r="B2076">
        <v>252</v>
      </c>
      <c r="C2076" s="2">
        <v>45003</v>
      </c>
      <c r="D2076" s="2" t="str">
        <f>TEXT(Table4[[#This Row],[issue_date]],"mmmm")</f>
        <v>March</v>
      </c>
      <c r="E2076" s="9">
        <f>YEAR(Table4[[#This Row],[issue_date]])</f>
        <v>2023</v>
      </c>
      <c r="F2076" t="s">
        <v>21</v>
      </c>
      <c r="G2076">
        <v>12</v>
      </c>
      <c r="H2076" t="s">
        <v>20</v>
      </c>
      <c r="I2076" t="str">
        <f>VLOOKUP(Table4[[#This Row],[customer_id]],customers!A:G,4,)</f>
        <v>hyderabad</v>
      </c>
    </row>
    <row r="2077" spans="1:9" x14ac:dyDescent="0.3">
      <c r="A2077">
        <v>22076</v>
      </c>
      <c r="B2077">
        <v>443</v>
      </c>
      <c r="C2077" s="2">
        <v>44728</v>
      </c>
      <c r="D2077" s="2" t="str">
        <f>TEXT(Table4[[#This Row],[issue_date]],"mmmm")</f>
        <v>June</v>
      </c>
      <c r="E2077" s="9">
        <f>YEAR(Table4[[#This Row],[issue_date]])</f>
        <v>2022</v>
      </c>
      <c r="F2077" t="s">
        <v>22</v>
      </c>
      <c r="G2077">
        <v>27</v>
      </c>
      <c r="H2077" t="s">
        <v>20</v>
      </c>
      <c r="I2077" t="str">
        <f>VLOOKUP(Table4[[#This Row],[customer_id]],customers!A:G,4,)</f>
        <v>delhi</v>
      </c>
    </row>
    <row r="2078" spans="1:9" x14ac:dyDescent="0.3">
      <c r="A2078">
        <v>22077</v>
      </c>
      <c r="B2078">
        <v>325</v>
      </c>
      <c r="C2078" s="2">
        <v>45407</v>
      </c>
      <c r="D2078" s="2" t="str">
        <f>TEXT(Table4[[#This Row],[issue_date]],"mmmm")</f>
        <v>April</v>
      </c>
      <c r="E2078" s="9">
        <f>YEAR(Table4[[#This Row],[issue_date]])</f>
        <v>2024</v>
      </c>
      <c r="F2078" t="s">
        <v>22</v>
      </c>
      <c r="G2078">
        <v>1</v>
      </c>
      <c r="H2078" t="s">
        <v>20</v>
      </c>
      <c r="I2078" t="str">
        <f>VLOOKUP(Table4[[#This Row],[customer_id]],customers!A:G,4,)</f>
        <v>kolkata</v>
      </c>
    </row>
    <row r="2079" spans="1:9" x14ac:dyDescent="0.3">
      <c r="A2079">
        <v>22078</v>
      </c>
      <c r="B2079">
        <v>290</v>
      </c>
      <c r="C2079" s="2">
        <v>45127</v>
      </c>
      <c r="D2079" s="2" t="str">
        <f>TEXT(Table4[[#This Row],[issue_date]],"mmmm")</f>
        <v>July</v>
      </c>
      <c r="E2079" s="9">
        <f>YEAR(Table4[[#This Row],[issue_date]])</f>
        <v>2023</v>
      </c>
      <c r="F2079" t="s">
        <v>22</v>
      </c>
      <c r="G2079">
        <v>64</v>
      </c>
      <c r="H2079" t="s">
        <v>20</v>
      </c>
      <c r="I2079" t="str">
        <f>VLOOKUP(Table4[[#This Row],[customer_id]],customers!A:G,4,)</f>
        <v>mumbai</v>
      </c>
    </row>
    <row r="2080" spans="1:9" x14ac:dyDescent="0.3">
      <c r="A2080">
        <v>22079</v>
      </c>
      <c r="B2080">
        <v>202</v>
      </c>
      <c r="C2080" s="2">
        <v>45024</v>
      </c>
      <c r="D2080" s="2" t="str">
        <f>TEXT(Table4[[#This Row],[issue_date]],"mmmm")</f>
        <v>April</v>
      </c>
      <c r="E2080" s="9">
        <f>YEAR(Table4[[#This Row],[issue_date]])</f>
        <v>2023</v>
      </c>
      <c r="F2080" t="s">
        <v>21</v>
      </c>
      <c r="G2080">
        <v>39</v>
      </c>
      <c r="H2080" t="s">
        <v>20</v>
      </c>
      <c r="I2080" t="str">
        <f>VLOOKUP(Table4[[#This Row],[customer_id]],customers!A:G,4,)</f>
        <v>chennai</v>
      </c>
    </row>
    <row r="2081" spans="1:9" x14ac:dyDescent="0.3">
      <c r="A2081">
        <v>22080</v>
      </c>
      <c r="B2081">
        <v>155</v>
      </c>
      <c r="C2081" s="2">
        <v>45017</v>
      </c>
      <c r="D2081" s="2" t="str">
        <f>TEXT(Table4[[#This Row],[issue_date]],"mmmm")</f>
        <v>April</v>
      </c>
      <c r="E2081" s="9">
        <f>YEAR(Table4[[#This Row],[issue_date]])</f>
        <v>2023</v>
      </c>
      <c r="F2081" t="s">
        <v>22</v>
      </c>
      <c r="G2081">
        <v>60</v>
      </c>
      <c r="H2081" t="s">
        <v>20</v>
      </c>
      <c r="I2081" t="str">
        <f>VLOOKUP(Table4[[#This Row],[customer_id]],customers!A:G,4,)</f>
        <v>mumbai</v>
      </c>
    </row>
    <row r="2082" spans="1:9" x14ac:dyDescent="0.3">
      <c r="A2082">
        <v>22081</v>
      </c>
      <c r="B2082">
        <v>55</v>
      </c>
      <c r="C2082" s="2">
        <v>44634</v>
      </c>
      <c r="D2082" s="2" t="str">
        <f>TEXT(Table4[[#This Row],[issue_date]],"mmmm")</f>
        <v>March</v>
      </c>
      <c r="E2082" s="9">
        <f>YEAR(Table4[[#This Row],[issue_date]])</f>
        <v>2022</v>
      </c>
      <c r="F2082" t="s">
        <v>21</v>
      </c>
      <c r="G2082">
        <v>70</v>
      </c>
      <c r="H2082" t="s">
        <v>23</v>
      </c>
      <c r="I2082" t="str">
        <f>VLOOKUP(Table4[[#This Row],[customer_id]],customers!A:G,4,)</f>
        <v>mumbai</v>
      </c>
    </row>
    <row r="2083" spans="1:9" x14ac:dyDescent="0.3">
      <c r="A2083">
        <v>22082</v>
      </c>
      <c r="B2083">
        <v>106</v>
      </c>
      <c r="C2083" s="2">
        <v>45286</v>
      </c>
      <c r="D2083" s="2" t="str">
        <f>TEXT(Table4[[#This Row],[issue_date]],"mmmm")</f>
        <v>December</v>
      </c>
      <c r="E2083" s="9">
        <f>YEAR(Table4[[#This Row],[issue_date]])</f>
        <v>2023</v>
      </c>
      <c r="F2083" t="s">
        <v>19</v>
      </c>
      <c r="G2083">
        <v>54</v>
      </c>
      <c r="H2083" t="s">
        <v>20</v>
      </c>
      <c r="I2083" t="str">
        <f>VLOOKUP(Table4[[#This Row],[customer_id]],customers!A:G,4,)</f>
        <v>bangalore</v>
      </c>
    </row>
    <row r="2084" spans="1:9" x14ac:dyDescent="0.3">
      <c r="A2084">
        <v>22083</v>
      </c>
      <c r="B2084">
        <v>260</v>
      </c>
      <c r="C2084" s="2">
        <v>45244</v>
      </c>
      <c r="D2084" s="2" t="str">
        <f>TEXT(Table4[[#This Row],[issue_date]],"mmmm")</f>
        <v>November</v>
      </c>
      <c r="E2084" s="9">
        <f>YEAR(Table4[[#This Row],[issue_date]])</f>
        <v>2023</v>
      </c>
      <c r="F2084" t="s">
        <v>21</v>
      </c>
      <c r="G2084">
        <v>25</v>
      </c>
      <c r="H2084" t="s">
        <v>20</v>
      </c>
      <c r="I2084" t="str">
        <f>VLOOKUP(Table4[[#This Row],[customer_id]],customers!A:G,4,)</f>
        <v>bangalore</v>
      </c>
    </row>
    <row r="2085" spans="1:9" x14ac:dyDescent="0.3">
      <c r="A2085">
        <v>22084</v>
      </c>
      <c r="B2085">
        <v>452</v>
      </c>
      <c r="C2085" s="2">
        <v>44831</v>
      </c>
      <c r="D2085" s="2" t="str">
        <f>TEXT(Table4[[#This Row],[issue_date]],"mmmm")</f>
        <v>September</v>
      </c>
      <c r="E2085" s="9">
        <f>YEAR(Table4[[#This Row],[issue_date]])</f>
        <v>2022</v>
      </c>
      <c r="F2085" t="s">
        <v>19</v>
      </c>
      <c r="G2085">
        <v>20</v>
      </c>
      <c r="H2085" t="s">
        <v>20</v>
      </c>
      <c r="I2085" t="str">
        <f>VLOOKUP(Table4[[#This Row],[customer_id]],customers!A:G,4,)</f>
        <v>delhi</v>
      </c>
    </row>
    <row r="2086" spans="1:9" x14ac:dyDescent="0.3">
      <c r="A2086">
        <v>22085</v>
      </c>
      <c r="B2086">
        <v>200</v>
      </c>
      <c r="C2086" s="2">
        <v>44780</v>
      </c>
      <c r="D2086" s="2" t="str">
        <f>TEXT(Table4[[#This Row],[issue_date]],"mmmm")</f>
        <v>August</v>
      </c>
      <c r="E2086" s="9">
        <f>YEAR(Table4[[#This Row],[issue_date]])</f>
        <v>2022</v>
      </c>
      <c r="F2086" t="s">
        <v>19</v>
      </c>
      <c r="G2086">
        <v>36</v>
      </c>
      <c r="H2086" t="s">
        <v>20</v>
      </c>
      <c r="I2086" t="str">
        <f>VLOOKUP(Table4[[#This Row],[customer_id]],customers!A:G,4,)</f>
        <v>delhi</v>
      </c>
    </row>
    <row r="2087" spans="1:9" x14ac:dyDescent="0.3">
      <c r="A2087">
        <v>22086</v>
      </c>
      <c r="B2087">
        <v>326</v>
      </c>
      <c r="C2087" s="2">
        <v>45209</v>
      </c>
      <c r="D2087" s="2" t="str">
        <f>TEXT(Table4[[#This Row],[issue_date]],"mmmm")</f>
        <v>October</v>
      </c>
      <c r="E2087" s="9">
        <f>YEAR(Table4[[#This Row],[issue_date]])</f>
        <v>2023</v>
      </c>
      <c r="F2087" t="s">
        <v>22</v>
      </c>
      <c r="G2087">
        <v>23</v>
      </c>
      <c r="H2087" t="s">
        <v>20</v>
      </c>
      <c r="I2087" t="str">
        <f>VLOOKUP(Table4[[#This Row],[customer_id]],customers!A:G,4,)</f>
        <v>bangalore</v>
      </c>
    </row>
    <row r="2088" spans="1:9" x14ac:dyDescent="0.3">
      <c r="A2088">
        <v>22087</v>
      </c>
      <c r="B2088">
        <v>217</v>
      </c>
      <c r="C2088" s="2">
        <v>45108</v>
      </c>
      <c r="D2088" s="2" t="str">
        <f>TEXT(Table4[[#This Row],[issue_date]],"mmmm")</f>
        <v>July</v>
      </c>
      <c r="E2088" s="9">
        <f>YEAR(Table4[[#This Row],[issue_date]])</f>
        <v>2023</v>
      </c>
      <c r="F2088" t="s">
        <v>21</v>
      </c>
      <c r="G2088">
        <v>1</v>
      </c>
      <c r="H2088" t="s">
        <v>20</v>
      </c>
      <c r="I2088" t="str">
        <f>VLOOKUP(Table4[[#This Row],[customer_id]],customers!A:G,4,)</f>
        <v>chennai</v>
      </c>
    </row>
    <row r="2089" spans="1:9" x14ac:dyDescent="0.3">
      <c r="A2089">
        <v>22088</v>
      </c>
      <c r="B2089">
        <v>411</v>
      </c>
      <c r="C2089" s="2">
        <v>45219</v>
      </c>
      <c r="D2089" s="2" t="str">
        <f>TEXT(Table4[[#This Row],[issue_date]],"mmmm")</f>
        <v>October</v>
      </c>
      <c r="E2089" s="9">
        <f>YEAR(Table4[[#This Row],[issue_date]])</f>
        <v>2023</v>
      </c>
      <c r="F2089" t="s">
        <v>19</v>
      </c>
      <c r="G2089">
        <v>27</v>
      </c>
      <c r="H2089" t="s">
        <v>23</v>
      </c>
      <c r="I2089" t="str">
        <f>VLOOKUP(Table4[[#This Row],[customer_id]],customers!A:G,4,)</f>
        <v>hyderabad</v>
      </c>
    </row>
    <row r="2090" spans="1:9" x14ac:dyDescent="0.3">
      <c r="A2090">
        <v>22089</v>
      </c>
      <c r="B2090">
        <v>47</v>
      </c>
      <c r="C2090" s="2">
        <v>44744</v>
      </c>
      <c r="D2090" s="2" t="str">
        <f>TEXT(Table4[[#This Row],[issue_date]],"mmmm")</f>
        <v>July</v>
      </c>
      <c r="E2090" s="9">
        <f>YEAR(Table4[[#This Row],[issue_date]])</f>
        <v>2022</v>
      </c>
      <c r="F2090" t="s">
        <v>19</v>
      </c>
      <c r="G2090">
        <v>52</v>
      </c>
      <c r="H2090" t="s">
        <v>20</v>
      </c>
      <c r="I2090" t="str">
        <f>VLOOKUP(Table4[[#This Row],[customer_id]],customers!A:G,4,)</f>
        <v>hyderabad</v>
      </c>
    </row>
    <row r="2091" spans="1:9" x14ac:dyDescent="0.3">
      <c r="A2091">
        <v>22090</v>
      </c>
      <c r="B2091">
        <v>370</v>
      </c>
      <c r="C2091" s="2">
        <v>44639</v>
      </c>
      <c r="D2091" s="2" t="str">
        <f>TEXT(Table4[[#This Row],[issue_date]],"mmmm")</f>
        <v>March</v>
      </c>
      <c r="E2091" s="9">
        <f>YEAR(Table4[[#This Row],[issue_date]])</f>
        <v>2022</v>
      </c>
      <c r="F2091" t="s">
        <v>21</v>
      </c>
      <c r="G2091">
        <v>2</v>
      </c>
      <c r="H2091" t="s">
        <v>23</v>
      </c>
      <c r="I2091" t="str">
        <f>VLOOKUP(Table4[[#This Row],[customer_id]],customers!A:G,4,)</f>
        <v>kolkata</v>
      </c>
    </row>
    <row r="2092" spans="1:9" x14ac:dyDescent="0.3">
      <c r="A2092">
        <v>22091</v>
      </c>
      <c r="B2092">
        <v>117</v>
      </c>
      <c r="C2092" s="2">
        <v>44869</v>
      </c>
      <c r="D2092" s="2" t="str">
        <f>TEXT(Table4[[#This Row],[issue_date]],"mmmm")</f>
        <v>November</v>
      </c>
      <c r="E2092" s="9">
        <f>YEAR(Table4[[#This Row],[issue_date]])</f>
        <v>2022</v>
      </c>
      <c r="F2092" t="s">
        <v>21</v>
      </c>
      <c r="G2092">
        <v>21</v>
      </c>
      <c r="H2092" t="s">
        <v>20</v>
      </c>
      <c r="I2092" t="str">
        <f>VLOOKUP(Table4[[#This Row],[customer_id]],customers!A:G,4,)</f>
        <v>kolkata</v>
      </c>
    </row>
    <row r="2093" spans="1:9" x14ac:dyDescent="0.3">
      <c r="A2093">
        <v>22092</v>
      </c>
      <c r="B2093">
        <v>374</v>
      </c>
      <c r="C2093" s="2">
        <v>45326</v>
      </c>
      <c r="D2093" s="2" t="str">
        <f>TEXT(Table4[[#This Row],[issue_date]],"mmmm")</f>
        <v>February</v>
      </c>
      <c r="E2093" s="9">
        <f>YEAR(Table4[[#This Row],[issue_date]])</f>
        <v>2024</v>
      </c>
      <c r="F2093" t="s">
        <v>19</v>
      </c>
      <c r="G2093">
        <v>9</v>
      </c>
      <c r="H2093" t="s">
        <v>23</v>
      </c>
      <c r="I2093" t="str">
        <f>VLOOKUP(Table4[[#This Row],[customer_id]],customers!A:G,4,)</f>
        <v>mumbai</v>
      </c>
    </row>
    <row r="2094" spans="1:9" x14ac:dyDescent="0.3">
      <c r="A2094">
        <v>22093</v>
      </c>
      <c r="B2094">
        <v>424</v>
      </c>
      <c r="C2094" s="2">
        <v>44889</v>
      </c>
      <c r="D2094" s="2" t="str">
        <f>TEXT(Table4[[#This Row],[issue_date]],"mmmm")</f>
        <v>November</v>
      </c>
      <c r="E2094" s="9">
        <f>YEAR(Table4[[#This Row],[issue_date]])</f>
        <v>2022</v>
      </c>
      <c r="F2094" t="s">
        <v>19</v>
      </c>
      <c r="G2094">
        <v>48</v>
      </c>
      <c r="H2094" t="s">
        <v>20</v>
      </c>
      <c r="I2094" t="str">
        <f>VLOOKUP(Table4[[#This Row],[customer_id]],customers!A:G,4,)</f>
        <v>hyderabad</v>
      </c>
    </row>
    <row r="2095" spans="1:9" x14ac:dyDescent="0.3">
      <c r="A2095">
        <v>22094</v>
      </c>
      <c r="B2095">
        <v>212</v>
      </c>
      <c r="C2095" s="2">
        <v>44982</v>
      </c>
      <c r="D2095" s="2" t="str">
        <f>TEXT(Table4[[#This Row],[issue_date]],"mmmm")</f>
        <v>February</v>
      </c>
      <c r="E2095" s="9">
        <f>YEAR(Table4[[#This Row],[issue_date]])</f>
        <v>2023</v>
      </c>
      <c r="F2095" t="s">
        <v>21</v>
      </c>
      <c r="G2095">
        <v>39</v>
      </c>
      <c r="H2095" t="s">
        <v>20</v>
      </c>
      <c r="I2095" t="str">
        <f>VLOOKUP(Table4[[#This Row],[customer_id]],customers!A:G,4,)</f>
        <v>delhi</v>
      </c>
    </row>
    <row r="2096" spans="1:9" x14ac:dyDescent="0.3">
      <c r="A2096">
        <v>22095</v>
      </c>
      <c r="B2096">
        <v>155</v>
      </c>
      <c r="C2096" s="2">
        <v>44797</v>
      </c>
      <c r="D2096" s="2" t="str">
        <f>TEXT(Table4[[#This Row],[issue_date]],"mmmm")</f>
        <v>August</v>
      </c>
      <c r="E2096" s="9">
        <f>YEAR(Table4[[#This Row],[issue_date]])</f>
        <v>2022</v>
      </c>
      <c r="F2096" t="s">
        <v>21</v>
      </c>
      <c r="G2096">
        <v>42</v>
      </c>
      <c r="H2096" t="s">
        <v>20</v>
      </c>
      <c r="I2096" t="str">
        <f>VLOOKUP(Table4[[#This Row],[customer_id]],customers!A:G,4,)</f>
        <v>mumbai</v>
      </c>
    </row>
    <row r="2097" spans="1:9" x14ac:dyDescent="0.3">
      <c r="A2097">
        <v>22096</v>
      </c>
      <c r="B2097">
        <v>263</v>
      </c>
      <c r="C2097" s="2">
        <v>45395</v>
      </c>
      <c r="D2097" s="2" t="str">
        <f>TEXT(Table4[[#This Row],[issue_date]],"mmmm")</f>
        <v>April</v>
      </c>
      <c r="E2097" s="9">
        <f>YEAR(Table4[[#This Row],[issue_date]])</f>
        <v>2024</v>
      </c>
      <c r="F2097" t="s">
        <v>19</v>
      </c>
      <c r="G2097">
        <v>71</v>
      </c>
      <c r="H2097" t="s">
        <v>20</v>
      </c>
      <c r="I2097" t="str">
        <f>VLOOKUP(Table4[[#This Row],[customer_id]],customers!A:G,4,)</f>
        <v>chennai</v>
      </c>
    </row>
    <row r="2098" spans="1:9" x14ac:dyDescent="0.3">
      <c r="A2098">
        <v>22097</v>
      </c>
      <c r="B2098">
        <v>151</v>
      </c>
      <c r="C2098" s="2">
        <v>45410</v>
      </c>
      <c r="D2098" s="2" t="str">
        <f>TEXT(Table4[[#This Row],[issue_date]],"mmmm")</f>
        <v>April</v>
      </c>
      <c r="E2098" s="9">
        <f>YEAR(Table4[[#This Row],[issue_date]])</f>
        <v>2024</v>
      </c>
      <c r="F2098" t="s">
        <v>22</v>
      </c>
      <c r="G2098">
        <v>45</v>
      </c>
      <c r="H2098" t="s">
        <v>20</v>
      </c>
      <c r="I2098" t="str">
        <f>VLOOKUP(Table4[[#This Row],[customer_id]],customers!A:G,4,)</f>
        <v>delhi</v>
      </c>
    </row>
    <row r="2099" spans="1:9" x14ac:dyDescent="0.3">
      <c r="A2099">
        <v>22098</v>
      </c>
      <c r="B2099">
        <v>212</v>
      </c>
      <c r="C2099" s="2">
        <v>45150</v>
      </c>
      <c r="D2099" s="2" t="str">
        <f>TEXT(Table4[[#This Row],[issue_date]],"mmmm")</f>
        <v>August</v>
      </c>
      <c r="E2099" s="9">
        <f>YEAR(Table4[[#This Row],[issue_date]])</f>
        <v>2023</v>
      </c>
      <c r="F2099" t="s">
        <v>21</v>
      </c>
      <c r="G2099">
        <v>2</v>
      </c>
      <c r="H2099" t="s">
        <v>20</v>
      </c>
      <c r="I2099" t="str">
        <f>VLOOKUP(Table4[[#This Row],[customer_id]],customers!A:G,4,)</f>
        <v>delhi</v>
      </c>
    </row>
    <row r="2100" spans="1:9" x14ac:dyDescent="0.3">
      <c r="A2100">
        <v>22099</v>
      </c>
      <c r="B2100">
        <v>192</v>
      </c>
      <c r="C2100" s="2">
        <v>45447</v>
      </c>
      <c r="D2100" s="2" t="str">
        <f>TEXT(Table4[[#This Row],[issue_date]],"mmmm")</f>
        <v>June</v>
      </c>
      <c r="E2100" s="9">
        <f>YEAR(Table4[[#This Row],[issue_date]])</f>
        <v>2024</v>
      </c>
      <c r="F2100" t="s">
        <v>19</v>
      </c>
      <c r="G2100">
        <v>67</v>
      </c>
      <c r="H2100" t="s">
        <v>20</v>
      </c>
      <c r="I2100" t="str">
        <f>VLOOKUP(Table4[[#This Row],[customer_id]],customers!A:G,4,)</f>
        <v>mumbai</v>
      </c>
    </row>
    <row r="2101" spans="1:9" x14ac:dyDescent="0.3">
      <c r="A2101">
        <v>22100</v>
      </c>
      <c r="B2101">
        <v>369</v>
      </c>
      <c r="C2101" s="2">
        <v>45023</v>
      </c>
      <c r="D2101" s="2" t="str">
        <f>TEXT(Table4[[#This Row],[issue_date]],"mmmm")</f>
        <v>April</v>
      </c>
      <c r="E2101" s="9">
        <f>YEAR(Table4[[#This Row],[issue_date]])</f>
        <v>2023</v>
      </c>
      <c r="F2101" t="s">
        <v>19</v>
      </c>
      <c r="G2101">
        <v>43</v>
      </c>
      <c r="H2101" t="s">
        <v>23</v>
      </c>
      <c r="I2101" t="str">
        <f>VLOOKUP(Table4[[#This Row],[customer_id]],customers!A:G,4,)</f>
        <v>hyderabad</v>
      </c>
    </row>
    <row r="2102" spans="1:9" x14ac:dyDescent="0.3">
      <c r="A2102">
        <v>22101</v>
      </c>
      <c r="B2102">
        <v>243</v>
      </c>
      <c r="C2102" s="2">
        <v>45146</v>
      </c>
      <c r="D2102" s="2" t="str">
        <f>TEXT(Table4[[#This Row],[issue_date]],"mmmm")</f>
        <v>August</v>
      </c>
      <c r="E2102" s="9">
        <f>YEAR(Table4[[#This Row],[issue_date]])</f>
        <v>2023</v>
      </c>
      <c r="F2102" t="s">
        <v>22</v>
      </c>
      <c r="G2102">
        <v>18</v>
      </c>
      <c r="H2102" t="s">
        <v>20</v>
      </c>
      <c r="I2102" t="str">
        <f>VLOOKUP(Table4[[#This Row],[customer_id]],customers!A:G,4,)</f>
        <v>hyderabad</v>
      </c>
    </row>
    <row r="2103" spans="1:9" x14ac:dyDescent="0.3">
      <c r="A2103">
        <v>22102</v>
      </c>
      <c r="B2103">
        <v>98</v>
      </c>
      <c r="C2103" s="2">
        <v>45100</v>
      </c>
      <c r="D2103" s="2" t="str">
        <f>TEXT(Table4[[#This Row],[issue_date]],"mmmm")</f>
        <v>June</v>
      </c>
      <c r="E2103" s="9">
        <f>YEAR(Table4[[#This Row],[issue_date]])</f>
        <v>2023</v>
      </c>
      <c r="F2103" t="s">
        <v>21</v>
      </c>
      <c r="G2103">
        <v>39</v>
      </c>
      <c r="H2103" t="s">
        <v>20</v>
      </c>
      <c r="I2103" t="str">
        <f>VLOOKUP(Table4[[#This Row],[customer_id]],customers!A:G,4,)</f>
        <v>chennai</v>
      </c>
    </row>
    <row r="2104" spans="1:9" x14ac:dyDescent="0.3">
      <c r="A2104">
        <v>22103</v>
      </c>
      <c r="B2104">
        <v>29</v>
      </c>
      <c r="C2104" s="2">
        <v>44599</v>
      </c>
      <c r="D2104" s="2" t="str">
        <f>TEXT(Table4[[#This Row],[issue_date]],"mmmm")</f>
        <v>February</v>
      </c>
      <c r="E2104" s="9">
        <f>YEAR(Table4[[#This Row],[issue_date]])</f>
        <v>2022</v>
      </c>
      <c r="F2104" t="s">
        <v>19</v>
      </c>
      <c r="G2104">
        <v>6</v>
      </c>
      <c r="H2104" t="s">
        <v>20</v>
      </c>
      <c r="I2104" t="str">
        <f>VLOOKUP(Table4[[#This Row],[customer_id]],customers!A:G,4,)</f>
        <v>kolkata</v>
      </c>
    </row>
    <row r="2105" spans="1:9" x14ac:dyDescent="0.3">
      <c r="A2105">
        <v>22104</v>
      </c>
      <c r="B2105">
        <v>189</v>
      </c>
      <c r="C2105" s="2">
        <v>45327</v>
      </c>
      <c r="D2105" s="2" t="str">
        <f>TEXT(Table4[[#This Row],[issue_date]],"mmmm")</f>
        <v>February</v>
      </c>
      <c r="E2105" s="9">
        <f>YEAR(Table4[[#This Row],[issue_date]])</f>
        <v>2024</v>
      </c>
      <c r="F2105" t="s">
        <v>22</v>
      </c>
      <c r="G2105">
        <v>42</v>
      </c>
      <c r="H2105" t="s">
        <v>23</v>
      </c>
      <c r="I2105" t="str">
        <f>VLOOKUP(Table4[[#This Row],[customer_id]],customers!A:G,4,)</f>
        <v>delhi</v>
      </c>
    </row>
    <row r="2106" spans="1:9" x14ac:dyDescent="0.3">
      <c r="A2106">
        <v>22105</v>
      </c>
      <c r="B2106">
        <v>172</v>
      </c>
      <c r="C2106" s="2">
        <v>44987</v>
      </c>
      <c r="D2106" s="2" t="str">
        <f>TEXT(Table4[[#This Row],[issue_date]],"mmmm")</f>
        <v>March</v>
      </c>
      <c r="E2106" s="9">
        <f>YEAR(Table4[[#This Row],[issue_date]])</f>
        <v>2023</v>
      </c>
      <c r="F2106" t="s">
        <v>21</v>
      </c>
      <c r="G2106">
        <v>52</v>
      </c>
      <c r="H2106" t="s">
        <v>20</v>
      </c>
      <c r="I2106" t="str">
        <f>VLOOKUP(Table4[[#This Row],[customer_id]],customers!A:G,4,)</f>
        <v>chennai</v>
      </c>
    </row>
    <row r="2107" spans="1:9" x14ac:dyDescent="0.3">
      <c r="A2107">
        <v>22106</v>
      </c>
      <c r="B2107">
        <v>371</v>
      </c>
      <c r="C2107" s="2">
        <v>45159</v>
      </c>
      <c r="D2107" s="2" t="str">
        <f>TEXT(Table4[[#This Row],[issue_date]],"mmmm")</f>
        <v>August</v>
      </c>
      <c r="E2107" s="9">
        <f>YEAR(Table4[[#This Row],[issue_date]])</f>
        <v>2023</v>
      </c>
      <c r="F2107" t="s">
        <v>22</v>
      </c>
      <c r="G2107">
        <v>27</v>
      </c>
      <c r="H2107" t="s">
        <v>20</v>
      </c>
      <c r="I2107" t="str">
        <f>VLOOKUP(Table4[[#This Row],[customer_id]],customers!A:G,4,)</f>
        <v>delhi</v>
      </c>
    </row>
    <row r="2108" spans="1:9" x14ac:dyDescent="0.3">
      <c r="A2108">
        <v>22107</v>
      </c>
      <c r="B2108">
        <v>197</v>
      </c>
      <c r="C2108" s="2">
        <v>45430</v>
      </c>
      <c r="D2108" s="2" t="str">
        <f>TEXT(Table4[[#This Row],[issue_date]],"mmmm")</f>
        <v>May</v>
      </c>
      <c r="E2108" s="9">
        <f>YEAR(Table4[[#This Row],[issue_date]])</f>
        <v>2024</v>
      </c>
      <c r="F2108" t="s">
        <v>19</v>
      </c>
      <c r="G2108">
        <v>15</v>
      </c>
      <c r="H2108" t="s">
        <v>20</v>
      </c>
      <c r="I2108" t="str">
        <f>VLOOKUP(Table4[[#This Row],[customer_id]],customers!A:G,4,)</f>
        <v>chennai</v>
      </c>
    </row>
    <row r="2109" spans="1:9" x14ac:dyDescent="0.3">
      <c r="A2109">
        <v>22108</v>
      </c>
      <c r="B2109">
        <v>155</v>
      </c>
      <c r="C2109" s="2">
        <v>44995</v>
      </c>
      <c r="D2109" s="2" t="str">
        <f>TEXT(Table4[[#This Row],[issue_date]],"mmmm")</f>
        <v>March</v>
      </c>
      <c r="E2109" s="9">
        <f>YEAR(Table4[[#This Row],[issue_date]])</f>
        <v>2023</v>
      </c>
      <c r="F2109" t="s">
        <v>22</v>
      </c>
      <c r="G2109">
        <v>19</v>
      </c>
      <c r="H2109" t="s">
        <v>20</v>
      </c>
      <c r="I2109" t="str">
        <f>VLOOKUP(Table4[[#This Row],[customer_id]],customers!A:G,4,)</f>
        <v>mumbai</v>
      </c>
    </row>
    <row r="2110" spans="1:9" x14ac:dyDescent="0.3">
      <c r="A2110">
        <v>22109</v>
      </c>
      <c r="B2110">
        <v>140</v>
      </c>
      <c r="C2110" s="2">
        <v>44920</v>
      </c>
      <c r="D2110" s="2" t="str">
        <f>TEXT(Table4[[#This Row],[issue_date]],"mmmm")</f>
        <v>December</v>
      </c>
      <c r="E2110" s="9">
        <f>YEAR(Table4[[#This Row],[issue_date]])</f>
        <v>2022</v>
      </c>
      <c r="F2110" t="s">
        <v>19</v>
      </c>
      <c r="G2110">
        <v>62</v>
      </c>
      <c r="H2110" t="s">
        <v>20</v>
      </c>
      <c r="I2110" t="str">
        <f>VLOOKUP(Table4[[#This Row],[customer_id]],customers!A:G,4,)</f>
        <v>delhi</v>
      </c>
    </row>
    <row r="2111" spans="1:9" x14ac:dyDescent="0.3">
      <c r="A2111">
        <v>22110</v>
      </c>
      <c r="B2111">
        <v>401</v>
      </c>
      <c r="C2111" s="2">
        <v>44592</v>
      </c>
      <c r="D2111" s="2" t="str">
        <f>TEXT(Table4[[#This Row],[issue_date]],"mmmm")</f>
        <v>January</v>
      </c>
      <c r="E2111" s="9">
        <f>YEAR(Table4[[#This Row],[issue_date]])</f>
        <v>2022</v>
      </c>
      <c r="F2111" t="s">
        <v>19</v>
      </c>
      <c r="G2111">
        <v>64</v>
      </c>
      <c r="H2111" t="s">
        <v>20</v>
      </c>
      <c r="I2111" t="str">
        <f>VLOOKUP(Table4[[#This Row],[customer_id]],customers!A:G,4,)</f>
        <v>chennai</v>
      </c>
    </row>
    <row r="2112" spans="1:9" x14ac:dyDescent="0.3">
      <c r="A2112">
        <v>22111</v>
      </c>
      <c r="B2112">
        <v>293</v>
      </c>
      <c r="C2112" s="2">
        <v>44766</v>
      </c>
      <c r="D2112" s="2" t="str">
        <f>TEXT(Table4[[#This Row],[issue_date]],"mmmm")</f>
        <v>July</v>
      </c>
      <c r="E2112" s="9">
        <f>YEAR(Table4[[#This Row],[issue_date]])</f>
        <v>2022</v>
      </c>
      <c r="F2112" t="s">
        <v>22</v>
      </c>
      <c r="G2112">
        <v>51</v>
      </c>
      <c r="H2112" t="s">
        <v>20</v>
      </c>
      <c r="I2112" t="str">
        <f>VLOOKUP(Table4[[#This Row],[customer_id]],customers!A:G,4,)</f>
        <v>chennai</v>
      </c>
    </row>
    <row r="2113" spans="1:9" x14ac:dyDescent="0.3">
      <c r="A2113">
        <v>22112</v>
      </c>
      <c r="B2113">
        <v>290</v>
      </c>
      <c r="C2113" s="2">
        <v>45266</v>
      </c>
      <c r="D2113" s="2" t="str">
        <f>TEXT(Table4[[#This Row],[issue_date]],"mmmm")</f>
        <v>December</v>
      </c>
      <c r="E2113" s="9">
        <f>YEAR(Table4[[#This Row],[issue_date]])</f>
        <v>2023</v>
      </c>
      <c r="F2113" t="s">
        <v>22</v>
      </c>
      <c r="G2113">
        <v>47</v>
      </c>
      <c r="H2113" t="s">
        <v>20</v>
      </c>
      <c r="I2113" t="str">
        <f>VLOOKUP(Table4[[#This Row],[customer_id]],customers!A:G,4,)</f>
        <v>mumbai</v>
      </c>
    </row>
    <row r="2114" spans="1:9" x14ac:dyDescent="0.3">
      <c r="A2114">
        <v>22113</v>
      </c>
      <c r="B2114">
        <v>256</v>
      </c>
      <c r="C2114" s="2">
        <v>45303</v>
      </c>
      <c r="D2114" s="2" t="str">
        <f>TEXT(Table4[[#This Row],[issue_date]],"mmmm")</f>
        <v>January</v>
      </c>
      <c r="E2114" s="9">
        <f>YEAR(Table4[[#This Row],[issue_date]])</f>
        <v>2024</v>
      </c>
      <c r="F2114" t="s">
        <v>19</v>
      </c>
      <c r="G2114">
        <v>57</v>
      </c>
      <c r="H2114" t="s">
        <v>20</v>
      </c>
      <c r="I2114" t="str">
        <f>VLOOKUP(Table4[[#This Row],[customer_id]],customers!A:G,4,)</f>
        <v>kolkata</v>
      </c>
    </row>
    <row r="2115" spans="1:9" x14ac:dyDescent="0.3">
      <c r="A2115">
        <v>22114</v>
      </c>
      <c r="B2115">
        <v>478</v>
      </c>
      <c r="C2115" s="2">
        <v>44742</v>
      </c>
      <c r="D2115" s="2" t="str">
        <f>TEXT(Table4[[#This Row],[issue_date]],"mmmm")</f>
        <v>June</v>
      </c>
      <c r="E2115" s="9">
        <f>YEAR(Table4[[#This Row],[issue_date]])</f>
        <v>2022</v>
      </c>
      <c r="F2115" t="s">
        <v>22</v>
      </c>
      <c r="G2115">
        <v>20</v>
      </c>
      <c r="H2115" t="s">
        <v>20</v>
      </c>
      <c r="I2115" t="str">
        <f>VLOOKUP(Table4[[#This Row],[customer_id]],customers!A:G,4,)</f>
        <v>chennai</v>
      </c>
    </row>
    <row r="2116" spans="1:9" x14ac:dyDescent="0.3">
      <c r="A2116">
        <v>22115</v>
      </c>
      <c r="B2116">
        <v>164</v>
      </c>
      <c r="C2116" s="2">
        <v>45318</v>
      </c>
      <c r="D2116" s="2" t="str">
        <f>TEXT(Table4[[#This Row],[issue_date]],"mmmm")</f>
        <v>January</v>
      </c>
      <c r="E2116" s="9">
        <f>YEAR(Table4[[#This Row],[issue_date]])</f>
        <v>2024</v>
      </c>
      <c r="F2116" t="s">
        <v>21</v>
      </c>
      <c r="G2116">
        <v>20</v>
      </c>
      <c r="H2116" t="s">
        <v>20</v>
      </c>
      <c r="I2116" t="str">
        <f>VLOOKUP(Table4[[#This Row],[customer_id]],customers!A:G,4,)</f>
        <v>chennai</v>
      </c>
    </row>
    <row r="2117" spans="1:9" x14ac:dyDescent="0.3">
      <c r="A2117">
        <v>22116</v>
      </c>
      <c r="B2117">
        <v>134</v>
      </c>
      <c r="C2117" s="2">
        <v>44601</v>
      </c>
      <c r="D2117" s="2" t="str">
        <f>TEXT(Table4[[#This Row],[issue_date]],"mmmm")</f>
        <v>February</v>
      </c>
      <c r="E2117" s="9">
        <f>YEAR(Table4[[#This Row],[issue_date]])</f>
        <v>2022</v>
      </c>
      <c r="F2117" t="s">
        <v>21</v>
      </c>
      <c r="G2117">
        <v>64</v>
      </c>
      <c r="H2117" t="s">
        <v>20</v>
      </c>
      <c r="I2117" t="str">
        <f>VLOOKUP(Table4[[#This Row],[customer_id]],customers!A:G,4,)</f>
        <v>mumbai</v>
      </c>
    </row>
    <row r="2118" spans="1:9" x14ac:dyDescent="0.3">
      <c r="A2118">
        <v>22117</v>
      </c>
      <c r="B2118">
        <v>352</v>
      </c>
      <c r="C2118" s="2">
        <v>45402</v>
      </c>
      <c r="D2118" s="2" t="str">
        <f>TEXT(Table4[[#This Row],[issue_date]],"mmmm")</f>
        <v>April</v>
      </c>
      <c r="E2118" s="9">
        <f>YEAR(Table4[[#This Row],[issue_date]])</f>
        <v>2024</v>
      </c>
      <c r="F2118" t="s">
        <v>22</v>
      </c>
      <c r="G2118">
        <v>38</v>
      </c>
      <c r="H2118" t="s">
        <v>20</v>
      </c>
      <c r="I2118" t="str">
        <f>VLOOKUP(Table4[[#This Row],[customer_id]],customers!A:G,4,)</f>
        <v>bangalore</v>
      </c>
    </row>
    <row r="2119" spans="1:9" x14ac:dyDescent="0.3">
      <c r="A2119">
        <v>22118</v>
      </c>
      <c r="B2119">
        <v>416</v>
      </c>
      <c r="C2119" s="2">
        <v>44984</v>
      </c>
      <c r="D2119" s="2" t="str">
        <f>TEXT(Table4[[#This Row],[issue_date]],"mmmm")</f>
        <v>February</v>
      </c>
      <c r="E2119" s="9">
        <f>YEAR(Table4[[#This Row],[issue_date]])</f>
        <v>2023</v>
      </c>
      <c r="F2119" t="s">
        <v>22</v>
      </c>
      <c r="G2119">
        <v>38</v>
      </c>
      <c r="H2119" t="s">
        <v>20</v>
      </c>
      <c r="I2119" t="str">
        <f>VLOOKUP(Table4[[#This Row],[customer_id]],customers!A:G,4,)</f>
        <v>bangalore</v>
      </c>
    </row>
    <row r="2120" spans="1:9" x14ac:dyDescent="0.3">
      <c r="A2120">
        <v>22119</v>
      </c>
      <c r="B2120">
        <v>329</v>
      </c>
      <c r="C2120" s="2">
        <v>44718</v>
      </c>
      <c r="D2120" s="2" t="str">
        <f>TEXT(Table4[[#This Row],[issue_date]],"mmmm")</f>
        <v>June</v>
      </c>
      <c r="E2120" s="9">
        <f>YEAR(Table4[[#This Row],[issue_date]])</f>
        <v>2022</v>
      </c>
      <c r="F2120" t="s">
        <v>21</v>
      </c>
      <c r="G2120">
        <v>65</v>
      </c>
      <c r="H2120" t="s">
        <v>20</v>
      </c>
      <c r="I2120" t="str">
        <f>VLOOKUP(Table4[[#This Row],[customer_id]],customers!A:G,4,)</f>
        <v>delhi</v>
      </c>
    </row>
    <row r="2121" spans="1:9" x14ac:dyDescent="0.3">
      <c r="A2121">
        <v>22120</v>
      </c>
      <c r="B2121">
        <v>378</v>
      </c>
      <c r="C2121" s="2">
        <v>44729</v>
      </c>
      <c r="D2121" s="2" t="str">
        <f>TEXT(Table4[[#This Row],[issue_date]],"mmmm")</f>
        <v>June</v>
      </c>
      <c r="E2121" s="9">
        <f>YEAR(Table4[[#This Row],[issue_date]])</f>
        <v>2022</v>
      </c>
      <c r="F2121" t="s">
        <v>19</v>
      </c>
      <c r="G2121">
        <v>5</v>
      </c>
      <c r="H2121" t="s">
        <v>20</v>
      </c>
      <c r="I2121" t="str">
        <f>VLOOKUP(Table4[[#This Row],[customer_id]],customers!A:G,4,)</f>
        <v>delhi</v>
      </c>
    </row>
    <row r="2122" spans="1:9" x14ac:dyDescent="0.3">
      <c r="A2122">
        <v>22121</v>
      </c>
      <c r="B2122">
        <v>406</v>
      </c>
      <c r="C2122" s="2">
        <v>45231</v>
      </c>
      <c r="D2122" s="2" t="str">
        <f>TEXT(Table4[[#This Row],[issue_date]],"mmmm")</f>
        <v>November</v>
      </c>
      <c r="E2122" s="9">
        <f>YEAR(Table4[[#This Row],[issue_date]])</f>
        <v>2023</v>
      </c>
      <c r="F2122" t="s">
        <v>19</v>
      </c>
      <c r="G2122">
        <v>64</v>
      </c>
      <c r="H2122" t="s">
        <v>20</v>
      </c>
      <c r="I2122" t="str">
        <f>VLOOKUP(Table4[[#This Row],[customer_id]],customers!A:G,4,)</f>
        <v>hyderabad</v>
      </c>
    </row>
    <row r="2123" spans="1:9" x14ac:dyDescent="0.3">
      <c r="A2123">
        <v>22122</v>
      </c>
      <c r="B2123">
        <v>266</v>
      </c>
      <c r="C2123" s="2">
        <v>45203</v>
      </c>
      <c r="D2123" s="2" t="str">
        <f>TEXT(Table4[[#This Row],[issue_date]],"mmmm")</f>
        <v>October</v>
      </c>
      <c r="E2123" s="9">
        <f>YEAR(Table4[[#This Row],[issue_date]])</f>
        <v>2023</v>
      </c>
      <c r="F2123" t="s">
        <v>21</v>
      </c>
      <c r="G2123">
        <v>27</v>
      </c>
      <c r="H2123" t="s">
        <v>20</v>
      </c>
      <c r="I2123" t="str">
        <f>VLOOKUP(Table4[[#This Row],[customer_id]],customers!A:G,4,)</f>
        <v>chennai</v>
      </c>
    </row>
    <row r="2124" spans="1:9" x14ac:dyDescent="0.3">
      <c r="A2124">
        <v>22123</v>
      </c>
      <c r="B2124">
        <v>29</v>
      </c>
      <c r="C2124" s="2">
        <v>44643</v>
      </c>
      <c r="D2124" s="2" t="str">
        <f>TEXT(Table4[[#This Row],[issue_date]],"mmmm")</f>
        <v>March</v>
      </c>
      <c r="E2124" s="9">
        <f>YEAR(Table4[[#This Row],[issue_date]])</f>
        <v>2022</v>
      </c>
      <c r="F2124" t="s">
        <v>19</v>
      </c>
      <c r="G2124">
        <v>20</v>
      </c>
      <c r="H2124" t="s">
        <v>20</v>
      </c>
      <c r="I2124" t="str">
        <f>VLOOKUP(Table4[[#This Row],[customer_id]],customers!A:G,4,)</f>
        <v>kolkata</v>
      </c>
    </row>
    <row r="2125" spans="1:9" x14ac:dyDescent="0.3">
      <c r="A2125">
        <v>22124</v>
      </c>
      <c r="B2125">
        <v>139</v>
      </c>
      <c r="C2125" s="2">
        <v>45229</v>
      </c>
      <c r="D2125" s="2" t="str">
        <f>TEXT(Table4[[#This Row],[issue_date]],"mmmm")</f>
        <v>October</v>
      </c>
      <c r="E2125" s="9">
        <f>YEAR(Table4[[#This Row],[issue_date]])</f>
        <v>2023</v>
      </c>
      <c r="F2125" t="s">
        <v>22</v>
      </c>
      <c r="G2125">
        <v>60</v>
      </c>
      <c r="H2125" t="s">
        <v>20</v>
      </c>
      <c r="I2125" t="str">
        <f>VLOOKUP(Table4[[#This Row],[customer_id]],customers!A:G,4,)</f>
        <v>chennai</v>
      </c>
    </row>
    <row r="2126" spans="1:9" x14ac:dyDescent="0.3">
      <c r="A2126">
        <v>22125</v>
      </c>
      <c r="B2126">
        <v>348</v>
      </c>
      <c r="C2126" s="2">
        <v>45248</v>
      </c>
      <c r="D2126" s="2" t="str">
        <f>TEXT(Table4[[#This Row],[issue_date]],"mmmm")</f>
        <v>November</v>
      </c>
      <c r="E2126" s="9">
        <f>YEAR(Table4[[#This Row],[issue_date]])</f>
        <v>2023</v>
      </c>
      <c r="F2126" t="s">
        <v>22</v>
      </c>
      <c r="G2126">
        <v>40</v>
      </c>
      <c r="H2126" t="s">
        <v>20</v>
      </c>
      <c r="I2126" t="str">
        <f>VLOOKUP(Table4[[#This Row],[customer_id]],customers!A:G,4,)</f>
        <v>chennai</v>
      </c>
    </row>
    <row r="2127" spans="1:9" x14ac:dyDescent="0.3">
      <c r="A2127">
        <v>22126</v>
      </c>
      <c r="B2127">
        <v>450</v>
      </c>
      <c r="C2127" s="2">
        <v>45361</v>
      </c>
      <c r="D2127" s="2" t="str">
        <f>TEXT(Table4[[#This Row],[issue_date]],"mmmm")</f>
        <v>March</v>
      </c>
      <c r="E2127" s="9">
        <f>YEAR(Table4[[#This Row],[issue_date]])</f>
        <v>2024</v>
      </c>
      <c r="F2127" t="s">
        <v>21</v>
      </c>
      <c r="G2127">
        <v>6</v>
      </c>
      <c r="H2127" t="s">
        <v>20</v>
      </c>
      <c r="I2127" t="str">
        <f>VLOOKUP(Table4[[#This Row],[customer_id]],customers!A:G,4,)</f>
        <v>mumbai</v>
      </c>
    </row>
    <row r="2128" spans="1:9" x14ac:dyDescent="0.3">
      <c r="A2128">
        <v>22127</v>
      </c>
      <c r="B2128">
        <v>312</v>
      </c>
      <c r="C2128" s="2">
        <v>45161</v>
      </c>
      <c r="D2128" s="2" t="str">
        <f>TEXT(Table4[[#This Row],[issue_date]],"mmmm")</f>
        <v>August</v>
      </c>
      <c r="E2128" s="9">
        <f>YEAR(Table4[[#This Row],[issue_date]])</f>
        <v>2023</v>
      </c>
      <c r="F2128" t="s">
        <v>21</v>
      </c>
      <c r="G2128">
        <v>36</v>
      </c>
      <c r="H2128" t="s">
        <v>20</v>
      </c>
      <c r="I2128" t="str">
        <f>VLOOKUP(Table4[[#This Row],[customer_id]],customers!A:G,4,)</f>
        <v>hyderabad</v>
      </c>
    </row>
    <row r="2129" spans="1:9" x14ac:dyDescent="0.3">
      <c r="A2129">
        <v>22128</v>
      </c>
      <c r="B2129">
        <v>85</v>
      </c>
      <c r="C2129" s="2">
        <v>44663</v>
      </c>
      <c r="D2129" s="2" t="str">
        <f>TEXT(Table4[[#This Row],[issue_date]],"mmmm")</f>
        <v>April</v>
      </c>
      <c r="E2129" s="9">
        <f>YEAR(Table4[[#This Row],[issue_date]])</f>
        <v>2022</v>
      </c>
      <c r="F2129" t="s">
        <v>21</v>
      </c>
      <c r="G2129">
        <v>65</v>
      </c>
      <c r="H2129" t="s">
        <v>20</v>
      </c>
      <c r="I2129" t="str">
        <f>VLOOKUP(Table4[[#This Row],[customer_id]],customers!A:G,4,)</f>
        <v>hyderabad</v>
      </c>
    </row>
    <row r="2130" spans="1:9" x14ac:dyDescent="0.3">
      <c r="A2130">
        <v>22129</v>
      </c>
      <c r="B2130">
        <v>249</v>
      </c>
      <c r="C2130" s="2">
        <v>45321</v>
      </c>
      <c r="D2130" s="2" t="str">
        <f>TEXT(Table4[[#This Row],[issue_date]],"mmmm")</f>
        <v>January</v>
      </c>
      <c r="E2130" s="9">
        <f>YEAR(Table4[[#This Row],[issue_date]])</f>
        <v>2024</v>
      </c>
      <c r="F2130" t="s">
        <v>21</v>
      </c>
      <c r="G2130">
        <v>11</v>
      </c>
      <c r="H2130" t="s">
        <v>20</v>
      </c>
      <c r="I2130" t="str">
        <f>VLOOKUP(Table4[[#This Row],[customer_id]],customers!A:G,4,)</f>
        <v>bangalore</v>
      </c>
    </row>
    <row r="2131" spans="1:9" x14ac:dyDescent="0.3">
      <c r="A2131">
        <v>22130</v>
      </c>
      <c r="B2131">
        <v>351</v>
      </c>
      <c r="C2131" s="2">
        <v>45279</v>
      </c>
      <c r="D2131" s="2" t="str">
        <f>TEXT(Table4[[#This Row],[issue_date]],"mmmm")</f>
        <v>December</v>
      </c>
      <c r="E2131" s="9">
        <f>YEAR(Table4[[#This Row],[issue_date]])</f>
        <v>2023</v>
      </c>
      <c r="F2131" t="s">
        <v>19</v>
      </c>
      <c r="G2131">
        <v>49</v>
      </c>
      <c r="H2131" t="s">
        <v>20</v>
      </c>
      <c r="I2131" t="str">
        <f>VLOOKUP(Table4[[#This Row],[customer_id]],customers!A:G,4,)</f>
        <v>bangalore</v>
      </c>
    </row>
    <row r="2132" spans="1:9" x14ac:dyDescent="0.3">
      <c r="A2132">
        <v>22131</v>
      </c>
      <c r="B2132">
        <v>314</v>
      </c>
      <c r="C2132" s="2">
        <v>44650</v>
      </c>
      <c r="D2132" s="2" t="str">
        <f>TEXT(Table4[[#This Row],[issue_date]],"mmmm")</f>
        <v>March</v>
      </c>
      <c r="E2132" s="9">
        <f>YEAR(Table4[[#This Row],[issue_date]])</f>
        <v>2022</v>
      </c>
      <c r="F2132" t="s">
        <v>19</v>
      </c>
      <c r="G2132">
        <v>28</v>
      </c>
      <c r="H2132" t="s">
        <v>20</v>
      </c>
      <c r="I2132" t="str">
        <f>VLOOKUP(Table4[[#This Row],[customer_id]],customers!A:G,4,)</f>
        <v>chennai</v>
      </c>
    </row>
    <row r="2133" spans="1:9" x14ac:dyDescent="0.3">
      <c r="A2133">
        <v>22132</v>
      </c>
      <c r="B2133">
        <v>233</v>
      </c>
      <c r="C2133" s="2">
        <v>44906</v>
      </c>
      <c r="D2133" s="2" t="str">
        <f>TEXT(Table4[[#This Row],[issue_date]],"mmmm")</f>
        <v>December</v>
      </c>
      <c r="E2133" s="9">
        <f>YEAR(Table4[[#This Row],[issue_date]])</f>
        <v>2022</v>
      </c>
      <c r="F2133" t="s">
        <v>19</v>
      </c>
      <c r="G2133">
        <v>22</v>
      </c>
      <c r="H2133" t="s">
        <v>20</v>
      </c>
      <c r="I2133" t="str">
        <f>VLOOKUP(Table4[[#This Row],[customer_id]],customers!A:G,4,)</f>
        <v>mumbai</v>
      </c>
    </row>
    <row r="2134" spans="1:9" x14ac:dyDescent="0.3">
      <c r="A2134">
        <v>22133</v>
      </c>
      <c r="B2134">
        <v>308</v>
      </c>
      <c r="C2134" s="2">
        <v>45361</v>
      </c>
      <c r="D2134" s="2" t="str">
        <f>TEXT(Table4[[#This Row],[issue_date]],"mmmm")</f>
        <v>March</v>
      </c>
      <c r="E2134" s="9">
        <f>YEAR(Table4[[#This Row],[issue_date]])</f>
        <v>2024</v>
      </c>
      <c r="F2134" t="s">
        <v>22</v>
      </c>
      <c r="G2134">
        <v>47</v>
      </c>
      <c r="H2134" t="s">
        <v>20</v>
      </c>
      <c r="I2134" t="str">
        <f>VLOOKUP(Table4[[#This Row],[customer_id]],customers!A:G,4,)</f>
        <v>chennai</v>
      </c>
    </row>
    <row r="2135" spans="1:9" x14ac:dyDescent="0.3">
      <c r="A2135">
        <v>22134</v>
      </c>
      <c r="B2135">
        <v>61</v>
      </c>
      <c r="C2135" s="2">
        <v>44871</v>
      </c>
      <c r="D2135" s="2" t="str">
        <f>TEXT(Table4[[#This Row],[issue_date]],"mmmm")</f>
        <v>November</v>
      </c>
      <c r="E2135" s="9">
        <f>YEAR(Table4[[#This Row],[issue_date]])</f>
        <v>2022</v>
      </c>
      <c r="F2135" t="s">
        <v>22</v>
      </c>
      <c r="G2135">
        <v>66</v>
      </c>
      <c r="H2135" t="s">
        <v>23</v>
      </c>
      <c r="I2135" t="str">
        <f>VLOOKUP(Table4[[#This Row],[customer_id]],customers!A:G,4,)</f>
        <v>hyderabad</v>
      </c>
    </row>
    <row r="2136" spans="1:9" x14ac:dyDescent="0.3">
      <c r="A2136">
        <v>22135</v>
      </c>
      <c r="B2136">
        <v>273</v>
      </c>
      <c r="C2136" s="2">
        <v>45169</v>
      </c>
      <c r="D2136" s="2" t="str">
        <f>TEXT(Table4[[#This Row],[issue_date]],"mmmm")</f>
        <v>August</v>
      </c>
      <c r="E2136" s="9">
        <f>YEAR(Table4[[#This Row],[issue_date]])</f>
        <v>2023</v>
      </c>
      <c r="F2136" t="s">
        <v>21</v>
      </c>
      <c r="G2136">
        <v>25</v>
      </c>
      <c r="H2136" t="s">
        <v>20</v>
      </c>
      <c r="I2136" t="str">
        <f>VLOOKUP(Table4[[#This Row],[customer_id]],customers!A:G,4,)</f>
        <v>kolkata</v>
      </c>
    </row>
    <row r="2137" spans="1:9" x14ac:dyDescent="0.3">
      <c r="A2137">
        <v>22136</v>
      </c>
      <c r="B2137">
        <v>219</v>
      </c>
      <c r="C2137" s="2">
        <v>45001</v>
      </c>
      <c r="D2137" s="2" t="str">
        <f>TEXT(Table4[[#This Row],[issue_date]],"mmmm")</f>
        <v>March</v>
      </c>
      <c r="E2137" s="9">
        <f>YEAR(Table4[[#This Row],[issue_date]])</f>
        <v>2023</v>
      </c>
      <c r="F2137" t="s">
        <v>21</v>
      </c>
      <c r="G2137">
        <v>67</v>
      </c>
      <c r="H2137" t="s">
        <v>20</v>
      </c>
      <c r="I2137" t="str">
        <f>VLOOKUP(Table4[[#This Row],[customer_id]],customers!A:G,4,)</f>
        <v>bangalore</v>
      </c>
    </row>
    <row r="2138" spans="1:9" x14ac:dyDescent="0.3">
      <c r="A2138">
        <v>22137</v>
      </c>
      <c r="B2138">
        <v>286</v>
      </c>
      <c r="C2138" s="2">
        <v>44720</v>
      </c>
      <c r="D2138" s="2" t="str">
        <f>TEXT(Table4[[#This Row],[issue_date]],"mmmm")</f>
        <v>June</v>
      </c>
      <c r="E2138" s="9">
        <f>YEAR(Table4[[#This Row],[issue_date]])</f>
        <v>2022</v>
      </c>
      <c r="F2138" t="s">
        <v>19</v>
      </c>
      <c r="G2138">
        <v>32</v>
      </c>
      <c r="H2138" t="s">
        <v>20</v>
      </c>
      <c r="I2138" t="str">
        <f>VLOOKUP(Table4[[#This Row],[customer_id]],customers!A:G,4,)</f>
        <v>chennai</v>
      </c>
    </row>
    <row r="2139" spans="1:9" x14ac:dyDescent="0.3">
      <c r="A2139">
        <v>22138</v>
      </c>
      <c r="B2139">
        <v>489</v>
      </c>
      <c r="C2139" s="2">
        <v>44675</v>
      </c>
      <c r="D2139" s="2" t="str">
        <f>TEXT(Table4[[#This Row],[issue_date]],"mmmm")</f>
        <v>April</v>
      </c>
      <c r="E2139" s="9">
        <f>YEAR(Table4[[#This Row],[issue_date]])</f>
        <v>2022</v>
      </c>
      <c r="F2139" t="s">
        <v>19</v>
      </c>
      <c r="G2139">
        <v>17</v>
      </c>
      <c r="H2139" t="s">
        <v>23</v>
      </c>
      <c r="I2139" t="str">
        <f>VLOOKUP(Table4[[#This Row],[customer_id]],customers!A:G,4,)</f>
        <v>chennai</v>
      </c>
    </row>
    <row r="2140" spans="1:9" x14ac:dyDescent="0.3">
      <c r="A2140">
        <v>22139</v>
      </c>
      <c r="B2140">
        <v>249</v>
      </c>
      <c r="C2140" s="2">
        <v>45097</v>
      </c>
      <c r="D2140" s="2" t="str">
        <f>TEXT(Table4[[#This Row],[issue_date]],"mmmm")</f>
        <v>June</v>
      </c>
      <c r="E2140" s="9">
        <f>YEAR(Table4[[#This Row],[issue_date]])</f>
        <v>2023</v>
      </c>
      <c r="F2140" t="s">
        <v>19</v>
      </c>
      <c r="G2140">
        <v>40</v>
      </c>
      <c r="H2140" t="s">
        <v>20</v>
      </c>
      <c r="I2140" t="str">
        <f>VLOOKUP(Table4[[#This Row],[customer_id]],customers!A:G,4,)</f>
        <v>bangalore</v>
      </c>
    </row>
    <row r="2141" spans="1:9" x14ac:dyDescent="0.3">
      <c r="A2141">
        <v>22140</v>
      </c>
      <c r="B2141">
        <v>72</v>
      </c>
      <c r="C2141" s="2">
        <v>44724</v>
      </c>
      <c r="D2141" s="2" t="str">
        <f>TEXT(Table4[[#This Row],[issue_date]],"mmmm")</f>
        <v>June</v>
      </c>
      <c r="E2141" s="9">
        <f>YEAR(Table4[[#This Row],[issue_date]])</f>
        <v>2022</v>
      </c>
      <c r="F2141" t="s">
        <v>21</v>
      </c>
      <c r="G2141">
        <v>30</v>
      </c>
      <c r="H2141" t="s">
        <v>20</v>
      </c>
      <c r="I2141" t="str">
        <f>VLOOKUP(Table4[[#This Row],[customer_id]],customers!A:G,4,)</f>
        <v>kolkata</v>
      </c>
    </row>
    <row r="2142" spans="1:9" x14ac:dyDescent="0.3">
      <c r="A2142">
        <v>22141</v>
      </c>
      <c r="B2142">
        <v>293</v>
      </c>
      <c r="C2142" s="2">
        <v>44847</v>
      </c>
      <c r="D2142" s="2" t="str">
        <f>TEXT(Table4[[#This Row],[issue_date]],"mmmm")</f>
        <v>October</v>
      </c>
      <c r="E2142" s="9">
        <f>YEAR(Table4[[#This Row],[issue_date]])</f>
        <v>2022</v>
      </c>
      <c r="F2142" t="s">
        <v>19</v>
      </c>
      <c r="G2142">
        <v>59</v>
      </c>
      <c r="H2142" t="s">
        <v>20</v>
      </c>
      <c r="I2142" t="str">
        <f>VLOOKUP(Table4[[#This Row],[customer_id]],customers!A:G,4,)</f>
        <v>chennai</v>
      </c>
    </row>
    <row r="2143" spans="1:9" x14ac:dyDescent="0.3">
      <c r="A2143">
        <v>22142</v>
      </c>
      <c r="B2143">
        <v>389</v>
      </c>
      <c r="C2143" s="2">
        <v>45426</v>
      </c>
      <c r="D2143" s="2" t="str">
        <f>TEXT(Table4[[#This Row],[issue_date]],"mmmm")</f>
        <v>May</v>
      </c>
      <c r="E2143" s="9">
        <f>YEAR(Table4[[#This Row],[issue_date]])</f>
        <v>2024</v>
      </c>
      <c r="F2143" t="s">
        <v>21</v>
      </c>
      <c r="G2143">
        <v>28</v>
      </c>
      <c r="H2143" t="s">
        <v>20</v>
      </c>
      <c r="I2143" t="str">
        <f>VLOOKUP(Table4[[#This Row],[customer_id]],customers!A:G,4,)</f>
        <v>bangalore</v>
      </c>
    </row>
    <row r="2144" spans="1:9" x14ac:dyDescent="0.3">
      <c r="A2144">
        <v>22143</v>
      </c>
      <c r="B2144">
        <v>410</v>
      </c>
      <c r="C2144" s="2">
        <v>44616</v>
      </c>
      <c r="D2144" s="2" t="str">
        <f>TEXT(Table4[[#This Row],[issue_date]],"mmmm")</f>
        <v>February</v>
      </c>
      <c r="E2144" s="9">
        <f>YEAR(Table4[[#This Row],[issue_date]])</f>
        <v>2022</v>
      </c>
      <c r="F2144" t="s">
        <v>21</v>
      </c>
      <c r="G2144">
        <v>47</v>
      </c>
      <c r="H2144" t="s">
        <v>20</v>
      </c>
      <c r="I2144" t="str">
        <f>VLOOKUP(Table4[[#This Row],[customer_id]],customers!A:G,4,)</f>
        <v>bangalore</v>
      </c>
    </row>
    <row r="2145" spans="1:9" x14ac:dyDescent="0.3">
      <c r="A2145">
        <v>22144</v>
      </c>
      <c r="B2145">
        <v>198</v>
      </c>
      <c r="C2145" s="2">
        <v>45137</v>
      </c>
      <c r="D2145" s="2" t="str">
        <f>TEXT(Table4[[#This Row],[issue_date]],"mmmm")</f>
        <v>July</v>
      </c>
      <c r="E2145" s="9">
        <f>YEAR(Table4[[#This Row],[issue_date]])</f>
        <v>2023</v>
      </c>
      <c r="F2145" t="s">
        <v>22</v>
      </c>
      <c r="G2145">
        <v>23</v>
      </c>
      <c r="H2145" t="s">
        <v>20</v>
      </c>
      <c r="I2145" t="str">
        <f>VLOOKUP(Table4[[#This Row],[customer_id]],customers!A:G,4,)</f>
        <v>kolkata</v>
      </c>
    </row>
    <row r="2146" spans="1:9" x14ac:dyDescent="0.3">
      <c r="A2146">
        <v>22145</v>
      </c>
      <c r="B2146">
        <v>80</v>
      </c>
      <c r="C2146" s="2">
        <v>44594</v>
      </c>
      <c r="D2146" s="2" t="str">
        <f>TEXT(Table4[[#This Row],[issue_date]],"mmmm")</f>
        <v>February</v>
      </c>
      <c r="E2146" s="9">
        <f>YEAR(Table4[[#This Row],[issue_date]])</f>
        <v>2022</v>
      </c>
      <c r="F2146" t="s">
        <v>22</v>
      </c>
      <c r="G2146">
        <v>57</v>
      </c>
      <c r="H2146" t="s">
        <v>20</v>
      </c>
      <c r="I2146" t="str">
        <f>VLOOKUP(Table4[[#This Row],[customer_id]],customers!A:G,4,)</f>
        <v>kolkata</v>
      </c>
    </row>
    <row r="2147" spans="1:9" x14ac:dyDescent="0.3">
      <c r="A2147">
        <v>22146</v>
      </c>
      <c r="B2147">
        <v>385</v>
      </c>
      <c r="C2147" s="2">
        <v>45119</v>
      </c>
      <c r="D2147" s="2" t="str">
        <f>TEXT(Table4[[#This Row],[issue_date]],"mmmm")</f>
        <v>July</v>
      </c>
      <c r="E2147" s="9">
        <f>YEAR(Table4[[#This Row],[issue_date]])</f>
        <v>2023</v>
      </c>
      <c r="F2147" t="s">
        <v>21</v>
      </c>
      <c r="G2147">
        <v>1</v>
      </c>
      <c r="H2147" t="s">
        <v>20</v>
      </c>
      <c r="I2147" t="str">
        <f>VLOOKUP(Table4[[#This Row],[customer_id]],customers!A:G,4,)</f>
        <v>hyderabad</v>
      </c>
    </row>
    <row r="2148" spans="1:9" x14ac:dyDescent="0.3">
      <c r="A2148">
        <v>22147</v>
      </c>
      <c r="B2148">
        <v>137</v>
      </c>
      <c r="C2148" s="2">
        <v>45292</v>
      </c>
      <c r="D2148" s="2" t="str">
        <f>TEXT(Table4[[#This Row],[issue_date]],"mmmm")</f>
        <v>January</v>
      </c>
      <c r="E2148" s="9">
        <f>YEAR(Table4[[#This Row],[issue_date]])</f>
        <v>2024</v>
      </c>
      <c r="F2148" t="s">
        <v>19</v>
      </c>
      <c r="G2148">
        <v>29</v>
      </c>
      <c r="H2148" t="s">
        <v>20</v>
      </c>
      <c r="I2148" t="str">
        <f>VLOOKUP(Table4[[#This Row],[customer_id]],customers!A:G,4,)</f>
        <v>delhi</v>
      </c>
    </row>
    <row r="2149" spans="1:9" x14ac:dyDescent="0.3">
      <c r="A2149">
        <v>22148</v>
      </c>
      <c r="B2149">
        <v>213</v>
      </c>
      <c r="C2149" s="2">
        <v>45362</v>
      </c>
      <c r="D2149" s="2" t="str">
        <f>TEXT(Table4[[#This Row],[issue_date]],"mmmm")</f>
        <v>March</v>
      </c>
      <c r="E2149" s="9">
        <f>YEAR(Table4[[#This Row],[issue_date]])</f>
        <v>2024</v>
      </c>
      <c r="F2149" t="s">
        <v>21</v>
      </c>
      <c r="G2149">
        <v>50</v>
      </c>
      <c r="H2149" t="s">
        <v>20</v>
      </c>
      <c r="I2149" t="str">
        <f>VLOOKUP(Table4[[#This Row],[customer_id]],customers!A:G,4,)</f>
        <v>hyderabad</v>
      </c>
    </row>
    <row r="2150" spans="1:9" x14ac:dyDescent="0.3">
      <c r="A2150">
        <v>22149</v>
      </c>
      <c r="B2150">
        <v>327</v>
      </c>
      <c r="C2150" s="2">
        <v>44757</v>
      </c>
      <c r="D2150" s="2" t="str">
        <f>TEXT(Table4[[#This Row],[issue_date]],"mmmm")</f>
        <v>July</v>
      </c>
      <c r="E2150" s="9">
        <f>YEAR(Table4[[#This Row],[issue_date]])</f>
        <v>2022</v>
      </c>
      <c r="F2150" t="s">
        <v>21</v>
      </c>
      <c r="G2150">
        <v>64</v>
      </c>
      <c r="H2150" t="s">
        <v>23</v>
      </c>
      <c r="I2150" t="str">
        <f>VLOOKUP(Table4[[#This Row],[customer_id]],customers!A:G,4,)</f>
        <v>delhi</v>
      </c>
    </row>
    <row r="2151" spans="1:9" x14ac:dyDescent="0.3">
      <c r="A2151">
        <v>22150</v>
      </c>
      <c r="B2151">
        <v>107</v>
      </c>
      <c r="C2151" s="2">
        <v>45326</v>
      </c>
      <c r="D2151" s="2" t="str">
        <f>TEXT(Table4[[#This Row],[issue_date]],"mmmm")</f>
        <v>February</v>
      </c>
      <c r="E2151" s="9">
        <f>YEAR(Table4[[#This Row],[issue_date]])</f>
        <v>2024</v>
      </c>
      <c r="F2151" t="s">
        <v>21</v>
      </c>
      <c r="G2151">
        <v>37</v>
      </c>
      <c r="H2151" t="s">
        <v>20</v>
      </c>
      <c r="I2151" t="str">
        <f>VLOOKUP(Table4[[#This Row],[customer_id]],customers!A:G,4,)</f>
        <v>chennai</v>
      </c>
    </row>
    <row r="2152" spans="1:9" x14ac:dyDescent="0.3">
      <c r="A2152">
        <v>22151</v>
      </c>
      <c r="B2152">
        <v>448</v>
      </c>
      <c r="C2152" s="2">
        <v>45009</v>
      </c>
      <c r="D2152" s="2" t="str">
        <f>TEXT(Table4[[#This Row],[issue_date]],"mmmm")</f>
        <v>March</v>
      </c>
      <c r="E2152" s="9">
        <f>YEAR(Table4[[#This Row],[issue_date]])</f>
        <v>2023</v>
      </c>
      <c r="F2152" t="s">
        <v>21</v>
      </c>
      <c r="G2152">
        <v>61</v>
      </c>
      <c r="H2152" t="s">
        <v>20</v>
      </c>
      <c r="I2152" t="str">
        <f>VLOOKUP(Table4[[#This Row],[customer_id]],customers!A:G,4,)</f>
        <v>mumbai</v>
      </c>
    </row>
    <row r="2153" spans="1:9" x14ac:dyDescent="0.3">
      <c r="A2153">
        <v>22152</v>
      </c>
      <c r="B2153">
        <v>207</v>
      </c>
      <c r="C2153" s="2">
        <v>45359</v>
      </c>
      <c r="D2153" s="2" t="str">
        <f>TEXT(Table4[[#This Row],[issue_date]],"mmmm")</f>
        <v>March</v>
      </c>
      <c r="E2153" s="9">
        <f>YEAR(Table4[[#This Row],[issue_date]])</f>
        <v>2024</v>
      </c>
      <c r="F2153" t="s">
        <v>22</v>
      </c>
      <c r="G2153">
        <v>7</v>
      </c>
      <c r="H2153" t="s">
        <v>20</v>
      </c>
      <c r="I2153" t="str">
        <f>VLOOKUP(Table4[[#This Row],[customer_id]],customers!A:G,4,)</f>
        <v>mumbai</v>
      </c>
    </row>
    <row r="2154" spans="1:9" x14ac:dyDescent="0.3">
      <c r="A2154">
        <v>22153</v>
      </c>
      <c r="B2154">
        <v>152</v>
      </c>
      <c r="C2154" s="2">
        <v>45309</v>
      </c>
      <c r="D2154" s="2" t="str">
        <f>TEXT(Table4[[#This Row],[issue_date]],"mmmm")</f>
        <v>January</v>
      </c>
      <c r="E2154" s="9">
        <f>YEAR(Table4[[#This Row],[issue_date]])</f>
        <v>2024</v>
      </c>
      <c r="F2154" t="s">
        <v>22</v>
      </c>
      <c r="G2154">
        <v>64</v>
      </c>
      <c r="H2154" t="s">
        <v>20</v>
      </c>
      <c r="I2154" t="str">
        <f>VLOOKUP(Table4[[#This Row],[customer_id]],customers!A:G,4,)</f>
        <v>bangalore</v>
      </c>
    </row>
    <row r="2155" spans="1:9" x14ac:dyDescent="0.3">
      <c r="A2155">
        <v>22154</v>
      </c>
      <c r="B2155">
        <v>133</v>
      </c>
      <c r="C2155" s="2">
        <v>45152</v>
      </c>
      <c r="D2155" s="2" t="str">
        <f>TEXT(Table4[[#This Row],[issue_date]],"mmmm")</f>
        <v>August</v>
      </c>
      <c r="E2155" s="9">
        <f>YEAR(Table4[[#This Row],[issue_date]])</f>
        <v>2023</v>
      </c>
      <c r="F2155" t="s">
        <v>21</v>
      </c>
      <c r="G2155">
        <v>18</v>
      </c>
      <c r="H2155" t="s">
        <v>20</v>
      </c>
      <c r="I2155" t="str">
        <f>VLOOKUP(Table4[[#This Row],[customer_id]],customers!A:G,4,)</f>
        <v>kolkata</v>
      </c>
    </row>
    <row r="2156" spans="1:9" x14ac:dyDescent="0.3">
      <c r="A2156">
        <v>22155</v>
      </c>
      <c r="B2156">
        <v>435</v>
      </c>
      <c r="C2156" s="2">
        <v>44653</v>
      </c>
      <c r="D2156" s="2" t="str">
        <f>TEXT(Table4[[#This Row],[issue_date]],"mmmm")</f>
        <v>April</v>
      </c>
      <c r="E2156" s="9">
        <f>YEAR(Table4[[#This Row],[issue_date]])</f>
        <v>2022</v>
      </c>
      <c r="F2156" t="s">
        <v>22</v>
      </c>
      <c r="G2156">
        <v>29</v>
      </c>
      <c r="H2156" t="s">
        <v>20</v>
      </c>
      <c r="I2156" t="str">
        <f>VLOOKUP(Table4[[#This Row],[customer_id]],customers!A:G,4,)</f>
        <v>bangalore</v>
      </c>
    </row>
    <row r="2157" spans="1:9" x14ac:dyDescent="0.3">
      <c r="A2157">
        <v>22156</v>
      </c>
      <c r="B2157">
        <v>166</v>
      </c>
      <c r="C2157" s="2">
        <v>45169</v>
      </c>
      <c r="D2157" s="2" t="str">
        <f>TEXT(Table4[[#This Row],[issue_date]],"mmmm")</f>
        <v>August</v>
      </c>
      <c r="E2157" s="9">
        <f>YEAR(Table4[[#This Row],[issue_date]])</f>
        <v>2023</v>
      </c>
      <c r="F2157" t="s">
        <v>22</v>
      </c>
      <c r="G2157">
        <v>60</v>
      </c>
      <c r="H2157" t="s">
        <v>20</v>
      </c>
      <c r="I2157" t="str">
        <f>VLOOKUP(Table4[[#This Row],[customer_id]],customers!A:G,4,)</f>
        <v>delhi</v>
      </c>
    </row>
    <row r="2158" spans="1:9" x14ac:dyDescent="0.3">
      <c r="A2158">
        <v>22157</v>
      </c>
      <c r="B2158">
        <v>413</v>
      </c>
      <c r="C2158" s="2">
        <v>44789</v>
      </c>
      <c r="D2158" s="2" t="str">
        <f>TEXT(Table4[[#This Row],[issue_date]],"mmmm")</f>
        <v>August</v>
      </c>
      <c r="E2158" s="9">
        <f>YEAR(Table4[[#This Row],[issue_date]])</f>
        <v>2022</v>
      </c>
      <c r="F2158" t="s">
        <v>19</v>
      </c>
      <c r="G2158">
        <v>54</v>
      </c>
      <c r="H2158" t="s">
        <v>20</v>
      </c>
      <c r="I2158" t="str">
        <f>VLOOKUP(Table4[[#This Row],[customer_id]],customers!A:G,4,)</f>
        <v>kolkata</v>
      </c>
    </row>
    <row r="2159" spans="1:9" x14ac:dyDescent="0.3">
      <c r="A2159">
        <v>22158</v>
      </c>
      <c r="B2159">
        <v>430</v>
      </c>
      <c r="C2159" s="2">
        <v>44847</v>
      </c>
      <c r="D2159" s="2" t="str">
        <f>TEXT(Table4[[#This Row],[issue_date]],"mmmm")</f>
        <v>October</v>
      </c>
      <c r="E2159" s="9">
        <f>YEAR(Table4[[#This Row],[issue_date]])</f>
        <v>2022</v>
      </c>
      <c r="F2159" t="s">
        <v>22</v>
      </c>
      <c r="G2159">
        <v>21</v>
      </c>
      <c r="H2159" t="s">
        <v>20</v>
      </c>
      <c r="I2159" t="str">
        <f>VLOOKUP(Table4[[#This Row],[customer_id]],customers!A:G,4,)</f>
        <v>bangalore</v>
      </c>
    </row>
    <row r="2160" spans="1:9" x14ac:dyDescent="0.3">
      <c r="A2160">
        <v>22159</v>
      </c>
      <c r="B2160">
        <v>180</v>
      </c>
      <c r="C2160" s="2">
        <v>45435</v>
      </c>
      <c r="D2160" s="2" t="str">
        <f>TEXT(Table4[[#This Row],[issue_date]],"mmmm")</f>
        <v>May</v>
      </c>
      <c r="E2160" s="9">
        <f>YEAR(Table4[[#This Row],[issue_date]])</f>
        <v>2024</v>
      </c>
      <c r="F2160" t="s">
        <v>22</v>
      </c>
      <c r="G2160">
        <v>21</v>
      </c>
      <c r="H2160" t="s">
        <v>20</v>
      </c>
      <c r="I2160" t="str">
        <f>VLOOKUP(Table4[[#This Row],[customer_id]],customers!A:G,4,)</f>
        <v>kolkata</v>
      </c>
    </row>
    <row r="2161" spans="1:9" x14ac:dyDescent="0.3">
      <c r="A2161">
        <v>22160</v>
      </c>
      <c r="B2161">
        <v>121</v>
      </c>
      <c r="C2161" s="2">
        <v>44796</v>
      </c>
      <c r="D2161" s="2" t="str">
        <f>TEXT(Table4[[#This Row],[issue_date]],"mmmm")</f>
        <v>August</v>
      </c>
      <c r="E2161" s="9">
        <f>YEAR(Table4[[#This Row],[issue_date]])</f>
        <v>2022</v>
      </c>
      <c r="F2161" t="s">
        <v>21</v>
      </c>
      <c r="G2161">
        <v>58</v>
      </c>
      <c r="H2161" t="s">
        <v>20</v>
      </c>
      <c r="I2161" t="str">
        <f>VLOOKUP(Table4[[#This Row],[customer_id]],customers!A:G,4,)</f>
        <v>chennai</v>
      </c>
    </row>
    <row r="2162" spans="1:9" x14ac:dyDescent="0.3">
      <c r="A2162">
        <v>22161</v>
      </c>
      <c r="B2162">
        <v>174</v>
      </c>
      <c r="C2162" s="2">
        <v>44663</v>
      </c>
      <c r="D2162" s="2" t="str">
        <f>TEXT(Table4[[#This Row],[issue_date]],"mmmm")</f>
        <v>April</v>
      </c>
      <c r="E2162" s="9">
        <f>YEAR(Table4[[#This Row],[issue_date]])</f>
        <v>2022</v>
      </c>
      <c r="F2162" t="s">
        <v>22</v>
      </c>
      <c r="G2162">
        <v>49</v>
      </c>
      <c r="H2162" t="s">
        <v>20</v>
      </c>
      <c r="I2162" t="str">
        <f>VLOOKUP(Table4[[#This Row],[customer_id]],customers!A:G,4,)</f>
        <v>mumbai</v>
      </c>
    </row>
    <row r="2163" spans="1:9" x14ac:dyDescent="0.3">
      <c r="A2163">
        <v>22162</v>
      </c>
      <c r="B2163">
        <v>331</v>
      </c>
      <c r="C2163" s="2">
        <v>45325</v>
      </c>
      <c r="D2163" s="2" t="str">
        <f>TEXT(Table4[[#This Row],[issue_date]],"mmmm")</f>
        <v>February</v>
      </c>
      <c r="E2163" s="9">
        <f>YEAR(Table4[[#This Row],[issue_date]])</f>
        <v>2024</v>
      </c>
      <c r="F2163" t="s">
        <v>22</v>
      </c>
      <c r="G2163">
        <v>36</v>
      </c>
      <c r="H2163" t="s">
        <v>20</v>
      </c>
      <c r="I2163" t="str">
        <f>VLOOKUP(Table4[[#This Row],[customer_id]],customers!A:G,4,)</f>
        <v>bangalore</v>
      </c>
    </row>
    <row r="2164" spans="1:9" x14ac:dyDescent="0.3">
      <c r="A2164">
        <v>22163</v>
      </c>
      <c r="B2164">
        <v>68</v>
      </c>
      <c r="C2164" s="2">
        <v>44701</v>
      </c>
      <c r="D2164" s="2" t="str">
        <f>TEXT(Table4[[#This Row],[issue_date]],"mmmm")</f>
        <v>May</v>
      </c>
      <c r="E2164" s="9">
        <f>YEAR(Table4[[#This Row],[issue_date]])</f>
        <v>2022</v>
      </c>
      <c r="F2164" t="s">
        <v>22</v>
      </c>
      <c r="G2164">
        <v>17</v>
      </c>
      <c r="H2164" t="s">
        <v>20</v>
      </c>
      <c r="I2164" t="str">
        <f>VLOOKUP(Table4[[#This Row],[customer_id]],customers!A:G,4,)</f>
        <v>bangalore</v>
      </c>
    </row>
    <row r="2165" spans="1:9" x14ac:dyDescent="0.3">
      <c r="A2165">
        <v>22164</v>
      </c>
      <c r="B2165">
        <v>187</v>
      </c>
      <c r="C2165" s="2">
        <v>45396</v>
      </c>
      <c r="D2165" s="2" t="str">
        <f>TEXT(Table4[[#This Row],[issue_date]],"mmmm")</f>
        <v>April</v>
      </c>
      <c r="E2165" s="9">
        <f>YEAR(Table4[[#This Row],[issue_date]])</f>
        <v>2024</v>
      </c>
      <c r="F2165" t="s">
        <v>21</v>
      </c>
      <c r="G2165">
        <v>53</v>
      </c>
      <c r="H2165" t="s">
        <v>20</v>
      </c>
      <c r="I2165" t="str">
        <f>VLOOKUP(Table4[[#This Row],[customer_id]],customers!A:G,4,)</f>
        <v>chennai</v>
      </c>
    </row>
    <row r="2166" spans="1:9" x14ac:dyDescent="0.3">
      <c r="A2166">
        <v>22165</v>
      </c>
      <c r="B2166">
        <v>138</v>
      </c>
      <c r="C2166" s="2">
        <v>45216</v>
      </c>
      <c r="D2166" s="2" t="str">
        <f>TEXT(Table4[[#This Row],[issue_date]],"mmmm")</f>
        <v>October</v>
      </c>
      <c r="E2166" s="9">
        <f>YEAR(Table4[[#This Row],[issue_date]])</f>
        <v>2023</v>
      </c>
      <c r="F2166" t="s">
        <v>21</v>
      </c>
      <c r="G2166">
        <v>15</v>
      </c>
      <c r="H2166" t="s">
        <v>20</v>
      </c>
      <c r="I2166" t="str">
        <f>VLOOKUP(Table4[[#This Row],[customer_id]],customers!A:G,4,)</f>
        <v>delhi</v>
      </c>
    </row>
    <row r="2167" spans="1:9" x14ac:dyDescent="0.3">
      <c r="A2167">
        <v>22166</v>
      </c>
      <c r="B2167">
        <v>354</v>
      </c>
      <c r="C2167" s="2">
        <v>45313</v>
      </c>
      <c r="D2167" s="2" t="str">
        <f>TEXT(Table4[[#This Row],[issue_date]],"mmmm")</f>
        <v>January</v>
      </c>
      <c r="E2167" s="9">
        <f>YEAR(Table4[[#This Row],[issue_date]])</f>
        <v>2024</v>
      </c>
      <c r="F2167" t="s">
        <v>22</v>
      </c>
      <c r="G2167">
        <v>40</v>
      </c>
      <c r="H2167" t="s">
        <v>20</v>
      </c>
      <c r="I2167" t="str">
        <f>VLOOKUP(Table4[[#This Row],[customer_id]],customers!A:G,4,)</f>
        <v>kolkata</v>
      </c>
    </row>
    <row r="2168" spans="1:9" x14ac:dyDescent="0.3">
      <c r="A2168">
        <v>22167</v>
      </c>
      <c r="B2168">
        <v>388</v>
      </c>
      <c r="C2168" s="2">
        <v>44827</v>
      </c>
      <c r="D2168" s="2" t="str">
        <f>TEXT(Table4[[#This Row],[issue_date]],"mmmm")</f>
        <v>September</v>
      </c>
      <c r="E2168" s="9">
        <f>YEAR(Table4[[#This Row],[issue_date]])</f>
        <v>2022</v>
      </c>
      <c r="F2168" t="s">
        <v>21</v>
      </c>
      <c r="G2168">
        <v>51</v>
      </c>
      <c r="H2168" t="s">
        <v>20</v>
      </c>
      <c r="I2168" t="str">
        <f>VLOOKUP(Table4[[#This Row],[customer_id]],customers!A:G,4,)</f>
        <v>chennai</v>
      </c>
    </row>
    <row r="2169" spans="1:9" x14ac:dyDescent="0.3">
      <c r="A2169">
        <v>22168</v>
      </c>
      <c r="B2169">
        <v>308</v>
      </c>
      <c r="C2169" s="2">
        <v>44903</v>
      </c>
      <c r="D2169" s="2" t="str">
        <f>TEXT(Table4[[#This Row],[issue_date]],"mmmm")</f>
        <v>December</v>
      </c>
      <c r="E2169" s="9">
        <f>YEAR(Table4[[#This Row],[issue_date]])</f>
        <v>2022</v>
      </c>
      <c r="F2169" t="s">
        <v>21</v>
      </c>
      <c r="G2169">
        <v>65</v>
      </c>
      <c r="H2169" t="s">
        <v>20</v>
      </c>
      <c r="I2169" t="str">
        <f>VLOOKUP(Table4[[#This Row],[customer_id]],customers!A:G,4,)</f>
        <v>chennai</v>
      </c>
    </row>
    <row r="2170" spans="1:9" x14ac:dyDescent="0.3">
      <c r="A2170">
        <v>22169</v>
      </c>
      <c r="B2170">
        <v>330</v>
      </c>
      <c r="C2170" s="2">
        <v>45134</v>
      </c>
      <c r="D2170" s="2" t="str">
        <f>TEXT(Table4[[#This Row],[issue_date]],"mmmm")</f>
        <v>July</v>
      </c>
      <c r="E2170" s="9">
        <f>YEAR(Table4[[#This Row],[issue_date]])</f>
        <v>2023</v>
      </c>
      <c r="F2170" t="s">
        <v>19</v>
      </c>
      <c r="G2170">
        <v>13</v>
      </c>
      <c r="H2170" t="s">
        <v>23</v>
      </c>
      <c r="I2170" t="str">
        <f>VLOOKUP(Table4[[#This Row],[customer_id]],customers!A:G,4,)</f>
        <v>mumbai</v>
      </c>
    </row>
    <row r="2171" spans="1:9" x14ac:dyDescent="0.3">
      <c r="A2171">
        <v>22170</v>
      </c>
      <c r="B2171">
        <v>481</v>
      </c>
      <c r="C2171" s="2">
        <v>45096</v>
      </c>
      <c r="D2171" s="2" t="str">
        <f>TEXT(Table4[[#This Row],[issue_date]],"mmmm")</f>
        <v>June</v>
      </c>
      <c r="E2171" s="9">
        <f>YEAR(Table4[[#This Row],[issue_date]])</f>
        <v>2023</v>
      </c>
      <c r="F2171" t="s">
        <v>22</v>
      </c>
      <c r="G2171">
        <v>38</v>
      </c>
      <c r="H2171" t="s">
        <v>20</v>
      </c>
      <c r="I2171" t="str">
        <f>VLOOKUP(Table4[[#This Row],[customer_id]],customers!A:G,4,)</f>
        <v>kolkata</v>
      </c>
    </row>
    <row r="2172" spans="1:9" x14ac:dyDescent="0.3">
      <c r="A2172">
        <v>22171</v>
      </c>
      <c r="B2172">
        <v>238</v>
      </c>
      <c r="C2172" s="2">
        <v>45084</v>
      </c>
      <c r="D2172" s="2" t="str">
        <f>TEXT(Table4[[#This Row],[issue_date]],"mmmm")</f>
        <v>June</v>
      </c>
      <c r="E2172" s="9">
        <f>YEAR(Table4[[#This Row],[issue_date]])</f>
        <v>2023</v>
      </c>
      <c r="F2172" t="s">
        <v>19</v>
      </c>
      <c r="G2172">
        <v>26</v>
      </c>
      <c r="H2172" t="s">
        <v>20</v>
      </c>
      <c r="I2172" t="str">
        <f>VLOOKUP(Table4[[#This Row],[customer_id]],customers!A:G,4,)</f>
        <v>mumbai</v>
      </c>
    </row>
    <row r="2173" spans="1:9" x14ac:dyDescent="0.3">
      <c r="A2173">
        <v>22172</v>
      </c>
      <c r="B2173">
        <v>18</v>
      </c>
      <c r="C2173" s="2">
        <v>44577</v>
      </c>
      <c r="D2173" s="2" t="str">
        <f>TEXT(Table4[[#This Row],[issue_date]],"mmmm")</f>
        <v>January</v>
      </c>
      <c r="E2173" s="9">
        <f>YEAR(Table4[[#This Row],[issue_date]])</f>
        <v>2022</v>
      </c>
      <c r="F2173" t="s">
        <v>22</v>
      </c>
      <c r="G2173">
        <v>15</v>
      </c>
      <c r="H2173" t="s">
        <v>20</v>
      </c>
      <c r="I2173" t="str">
        <f>VLOOKUP(Table4[[#This Row],[customer_id]],customers!A:G,4,)</f>
        <v>delhi</v>
      </c>
    </row>
    <row r="2174" spans="1:9" x14ac:dyDescent="0.3">
      <c r="A2174">
        <v>22173</v>
      </c>
      <c r="B2174">
        <v>76</v>
      </c>
      <c r="C2174" s="2">
        <v>45122</v>
      </c>
      <c r="D2174" s="2" t="str">
        <f>TEXT(Table4[[#This Row],[issue_date]],"mmmm")</f>
        <v>July</v>
      </c>
      <c r="E2174" s="9">
        <f>YEAR(Table4[[#This Row],[issue_date]])</f>
        <v>2023</v>
      </c>
      <c r="F2174" t="s">
        <v>22</v>
      </c>
      <c r="G2174">
        <v>5</v>
      </c>
      <c r="H2174" t="s">
        <v>20</v>
      </c>
      <c r="I2174" t="str">
        <f>VLOOKUP(Table4[[#This Row],[customer_id]],customers!A:G,4,)</f>
        <v>mumbai</v>
      </c>
    </row>
    <row r="2175" spans="1:9" x14ac:dyDescent="0.3">
      <c r="A2175">
        <v>22174</v>
      </c>
      <c r="B2175">
        <v>435</v>
      </c>
      <c r="C2175" s="2">
        <v>45439</v>
      </c>
      <c r="D2175" s="2" t="str">
        <f>TEXT(Table4[[#This Row],[issue_date]],"mmmm")</f>
        <v>May</v>
      </c>
      <c r="E2175" s="9">
        <f>YEAR(Table4[[#This Row],[issue_date]])</f>
        <v>2024</v>
      </c>
      <c r="F2175" t="s">
        <v>19</v>
      </c>
      <c r="G2175">
        <v>2</v>
      </c>
      <c r="H2175" t="s">
        <v>20</v>
      </c>
      <c r="I2175" t="str">
        <f>VLOOKUP(Table4[[#This Row],[customer_id]],customers!A:G,4,)</f>
        <v>bangalore</v>
      </c>
    </row>
    <row r="2176" spans="1:9" x14ac:dyDescent="0.3">
      <c r="A2176">
        <v>22175</v>
      </c>
      <c r="B2176">
        <v>151</v>
      </c>
      <c r="C2176" s="2">
        <v>44897</v>
      </c>
      <c r="D2176" s="2" t="str">
        <f>TEXT(Table4[[#This Row],[issue_date]],"mmmm")</f>
        <v>December</v>
      </c>
      <c r="E2176" s="9">
        <f>YEAR(Table4[[#This Row],[issue_date]])</f>
        <v>2022</v>
      </c>
      <c r="F2176" t="s">
        <v>19</v>
      </c>
      <c r="G2176">
        <v>65</v>
      </c>
      <c r="H2176" t="s">
        <v>20</v>
      </c>
      <c r="I2176" t="str">
        <f>VLOOKUP(Table4[[#This Row],[customer_id]],customers!A:G,4,)</f>
        <v>delhi</v>
      </c>
    </row>
    <row r="2177" spans="1:9" x14ac:dyDescent="0.3">
      <c r="A2177">
        <v>22176</v>
      </c>
      <c r="B2177">
        <v>108</v>
      </c>
      <c r="C2177" s="2">
        <v>44951</v>
      </c>
      <c r="D2177" s="2" t="str">
        <f>TEXT(Table4[[#This Row],[issue_date]],"mmmm")</f>
        <v>January</v>
      </c>
      <c r="E2177" s="9">
        <f>YEAR(Table4[[#This Row],[issue_date]])</f>
        <v>2023</v>
      </c>
      <c r="F2177" t="s">
        <v>22</v>
      </c>
      <c r="G2177">
        <v>60</v>
      </c>
      <c r="H2177" t="s">
        <v>20</v>
      </c>
      <c r="I2177" t="str">
        <f>VLOOKUP(Table4[[#This Row],[customer_id]],customers!A:G,4,)</f>
        <v>delhi</v>
      </c>
    </row>
    <row r="2178" spans="1:9" x14ac:dyDescent="0.3">
      <c r="A2178">
        <v>22177</v>
      </c>
      <c r="B2178">
        <v>153</v>
      </c>
      <c r="C2178" s="2">
        <v>44731</v>
      </c>
      <c r="D2178" s="2" t="str">
        <f>TEXT(Table4[[#This Row],[issue_date]],"mmmm")</f>
        <v>June</v>
      </c>
      <c r="E2178" s="9">
        <f>YEAR(Table4[[#This Row],[issue_date]])</f>
        <v>2022</v>
      </c>
      <c r="F2178" t="s">
        <v>19</v>
      </c>
      <c r="G2178">
        <v>56</v>
      </c>
      <c r="H2178" t="s">
        <v>20</v>
      </c>
      <c r="I2178" t="str">
        <f>VLOOKUP(Table4[[#This Row],[customer_id]],customers!A:G,4,)</f>
        <v>kolkata</v>
      </c>
    </row>
    <row r="2179" spans="1:9" x14ac:dyDescent="0.3">
      <c r="A2179">
        <v>22178</v>
      </c>
      <c r="B2179">
        <v>316</v>
      </c>
      <c r="C2179" s="2">
        <v>44680</v>
      </c>
      <c r="D2179" s="2" t="str">
        <f>TEXT(Table4[[#This Row],[issue_date]],"mmmm")</f>
        <v>April</v>
      </c>
      <c r="E2179" s="9">
        <f>YEAR(Table4[[#This Row],[issue_date]])</f>
        <v>2022</v>
      </c>
      <c r="F2179" t="s">
        <v>19</v>
      </c>
      <c r="G2179">
        <v>38</v>
      </c>
      <c r="H2179" t="s">
        <v>20</v>
      </c>
      <c r="I2179" t="str">
        <f>VLOOKUP(Table4[[#This Row],[customer_id]],customers!A:G,4,)</f>
        <v>hyderabad</v>
      </c>
    </row>
    <row r="2180" spans="1:9" x14ac:dyDescent="0.3">
      <c r="A2180">
        <v>22179</v>
      </c>
      <c r="B2180">
        <v>37</v>
      </c>
      <c r="C2180" s="2">
        <v>44603</v>
      </c>
      <c r="D2180" s="2" t="str">
        <f>TEXT(Table4[[#This Row],[issue_date]],"mmmm")</f>
        <v>February</v>
      </c>
      <c r="E2180" s="9">
        <f>YEAR(Table4[[#This Row],[issue_date]])</f>
        <v>2022</v>
      </c>
      <c r="F2180" t="s">
        <v>21</v>
      </c>
      <c r="G2180">
        <v>57</v>
      </c>
      <c r="H2180" t="s">
        <v>20</v>
      </c>
      <c r="I2180" t="str">
        <f>VLOOKUP(Table4[[#This Row],[customer_id]],customers!A:G,4,)</f>
        <v>kolkata</v>
      </c>
    </row>
    <row r="2181" spans="1:9" x14ac:dyDescent="0.3">
      <c r="A2181">
        <v>22180</v>
      </c>
      <c r="B2181">
        <v>452</v>
      </c>
      <c r="C2181" s="2">
        <v>44571</v>
      </c>
      <c r="D2181" s="2" t="str">
        <f>TEXT(Table4[[#This Row],[issue_date]],"mmmm")</f>
        <v>January</v>
      </c>
      <c r="E2181" s="9">
        <f>YEAR(Table4[[#This Row],[issue_date]])</f>
        <v>2022</v>
      </c>
      <c r="F2181" t="s">
        <v>22</v>
      </c>
      <c r="G2181">
        <v>51</v>
      </c>
      <c r="H2181" t="s">
        <v>20</v>
      </c>
      <c r="I2181" t="str">
        <f>VLOOKUP(Table4[[#This Row],[customer_id]],customers!A:G,4,)</f>
        <v>delhi</v>
      </c>
    </row>
    <row r="2182" spans="1:9" x14ac:dyDescent="0.3">
      <c r="A2182">
        <v>22181</v>
      </c>
      <c r="B2182">
        <v>333</v>
      </c>
      <c r="C2182" s="2">
        <v>44991</v>
      </c>
      <c r="D2182" s="2" t="str">
        <f>TEXT(Table4[[#This Row],[issue_date]],"mmmm")</f>
        <v>March</v>
      </c>
      <c r="E2182" s="9">
        <f>YEAR(Table4[[#This Row],[issue_date]])</f>
        <v>2023</v>
      </c>
      <c r="F2182" t="s">
        <v>21</v>
      </c>
      <c r="G2182">
        <v>41</v>
      </c>
      <c r="H2182" t="s">
        <v>20</v>
      </c>
      <c r="I2182" t="str">
        <f>VLOOKUP(Table4[[#This Row],[customer_id]],customers!A:G,4,)</f>
        <v>bangalore</v>
      </c>
    </row>
    <row r="2183" spans="1:9" x14ac:dyDescent="0.3">
      <c r="A2183">
        <v>22182</v>
      </c>
      <c r="B2183">
        <v>146</v>
      </c>
      <c r="C2183" s="2">
        <v>45029</v>
      </c>
      <c r="D2183" s="2" t="str">
        <f>TEXT(Table4[[#This Row],[issue_date]],"mmmm")</f>
        <v>April</v>
      </c>
      <c r="E2183" s="9">
        <f>YEAR(Table4[[#This Row],[issue_date]])</f>
        <v>2023</v>
      </c>
      <c r="F2183" t="s">
        <v>22</v>
      </c>
      <c r="G2183">
        <v>70</v>
      </c>
      <c r="H2183" t="s">
        <v>20</v>
      </c>
      <c r="I2183" t="str">
        <f>VLOOKUP(Table4[[#This Row],[customer_id]],customers!A:G,4,)</f>
        <v>mumbai</v>
      </c>
    </row>
    <row r="2184" spans="1:9" x14ac:dyDescent="0.3">
      <c r="A2184">
        <v>22183</v>
      </c>
      <c r="B2184">
        <v>126</v>
      </c>
      <c r="C2184" s="2">
        <v>44610</v>
      </c>
      <c r="D2184" s="2" t="str">
        <f>TEXT(Table4[[#This Row],[issue_date]],"mmmm")</f>
        <v>February</v>
      </c>
      <c r="E2184" s="9">
        <f>YEAR(Table4[[#This Row],[issue_date]])</f>
        <v>2022</v>
      </c>
      <c r="F2184" t="s">
        <v>21</v>
      </c>
      <c r="G2184">
        <v>52</v>
      </c>
      <c r="H2184" t="s">
        <v>23</v>
      </c>
      <c r="I2184" t="str">
        <f>VLOOKUP(Table4[[#This Row],[customer_id]],customers!A:G,4,)</f>
        <v>chennai</v>
      </c>
    </row>
    <row r="2185" spans="1:9" x14ac:dyDescent="0.3">
      <c r="A2185">
        <v>22184</v>
      </c>
      <c r="B2185">
        <v>285</v>
      </c>
      <c r="C2185" s="2">
        <v>45338</v>
      </c>
      <c r="D2185" s="2" t="str">
        <f>TEXT(Table4[[#This Row],[issue_date]],"mmmm")</f>
        <v>February</v>
      </c>
      <c r="E2185" s="9">
        <f>YEAR(Table4[[#This Row],[issue_date]])</f>
        <v>2024</v>
      </c>
      <c r="F2185" t="s">
        <v>22</v>
      </c>
      <c r="G2185">
        <v>1</v>
      </c>
      <c r="H2185" t="s">
        <v>20</v>
      </c>
      <c r="I2185" t="str">
        <f>VLOOKUP(Table4[[#This Row],[customer_id]],customers!A:G,4,)</f>
        <v>hyderabad</v>
      </c>
    </row>
    <row r="2186" spans="1:9" x14ac:dyDescent="0.3">
      <c r="A2186">
        <v>22185</v>
      </c>
      <c r="B2186">
        <v>108</v>
      </c>
      <c r="C2186" s="2">
        <v>44768</v>
      </c>
      <c r="D2186" s="2" t="str">
        <f>TEXT(Table4[[#This Row],[issue_date]],"mmmm")</f>
        <v>July</v>
      </c>
      <c r="E2186" s="9">
        <f>YEAR(Table4[[#This Row],[issue_date]])</f>
        <v>2022</v>
      </c>
      <c r="F2186" t="s">
        <v>21</v>
      </c>
      <c r="G2186">
        <v>18</v>
      </c>
      <c r="H2186" t="s">
        <v>20</v>
      </c>
      <c r="I2186" t="str">
        <f>VLOOKUP(Table4[[#This Row],[customer_id]],customers!A:G,4,)</f>
        <v>delhi</v>
      </c>
    </row>
    <row r="2187" spans="1:9" x14ac:dyDescent="0.3">
      <c r="A2187">
        <v>22186</v>
      </c>
      <c r="B2187">
        <v>286</v>
      </c>
      <c r="C2187" s="2">
        <v>45240</v>
      </c>
      <c r="D2187" s="2" t="str">
        <f>TEXT(Table4[[#This Row],[issue_date]],"mmmm")</f>
        <v>November</v>
      </c>
      <c r="E2187" s="9">
        <f>YEAR(Table4[[#This Row],[issue_date]])</f>
        <v>2023</v>
      </c>
      <c r="F2187" t="s">
        <v>22</v>
      </c>
      <c r="G2187">
        <v>27</v>
      </c>
      <c r="H2187" t="s">
        <v>23</v>
      </c>
      <c r="I2187" t="str">
        <f>VLOOKUP(Table4[[#This Row],[customer_id]],customers!A:G,4,)</f>
        <v>chennai</v>
      </c>
    </row>
    <row r="2188" spans="1:9" x14ac:dyDescent="0.3">
      <c r="A2188">
        <v>22187</v>
      </c>
      <c r="B2188">
        <v>240</v>
      </c>
      <c r="C2188" s="2">
        <v>45075</v>
      </c>
      <c r="D2188" s="2" t="str">
        <f>TEXT(Table4[[#This Row],[issue_date]],"mmmm")</f>
        <v>May</v>
      </c>
      <c r="E2188" s="9">
        <f>YEAR(Table4[[#This Row],[issue_date]])</f>
        <v>2023</v>
      </c>
      <c r="F2188" t="s">
        <v>21</v>
      </c>
      <c r="G2188">
        <v>42</v>
      </c>
      <c r="H2188" t="s">
        <v>20</v>
      </c>
      <c r="I2188" t="str">
        <f>VLOOKUP(Table4[[#This Row],[customer_id]],customers!A:G,4,)</f>
        <v>delhi</v>
      </c>
    </row>
    <row r="2189" spans="1:9" x14ac:dyDescent="0.3">
      <c r="A2189">
        <v>22188</v>
      </c>
      <c r="B2189">
        <v>375</v>
      </c>
      <c r="C2189" s="2">
        <v>45141</v>
      </c>
      <c r="D2189" s="2" t="str">
        <f>TEXT(Table4[[#This Row],[issue_date]],"mmmm")</f>
        <v>August</v>
      </c>
      <c r="E2189" s="9">
        <f>YEAR(Table4[[#This Row],[issue_date]])</f>
        <v>2023</v>
      </c>
      <c r="F2189" t="s">
        <v>19</v>
      </c>
      <c r="G2189">
        <v>6</v>
      </c>
      <c r="H2189" t="s">
        <v>20</v>
      </c>
      <c r="I2189" t="str">
        <f>VLOOKUP(Table4[[#This Row],[customer_id]],customers!A:G,4,)</f>
        <v>mumbai</v>
      </c>
    </row>
    <row r="2190" spans="1:9" x14ac:dyDescent="0.3">
      <c r="A2190">
        <v>22189</v>
      </c>
      <c r="B2190">
        <v>102</v>
      </c>
      <c r="C2190" s="2">
        <v>45381</v>
      </c>
      <c r="D2190" s="2" t="str">
        <f>TEXT(Table4[[#This Row],[issue_date]],"mmmm")</f>
        <v>March</v>
      </c>
      <c r="E2190" s="9">
        <f>YEAR(Table4[[#This Row],[issue_date]])</f>
        <v>2024</v>
      </c>
      <c r="F2190" t="s">
        <v>22</v>
      </c>
      <c r="G2190">
        <v>24</v>
      </c>
      <c r="H2190" t="s">
        <v>20</v>
      </c>
      <c r="I2190" t="str">
        <f>VLOOKUP(Table4[[#This Row],[customer_id]],customers!A:G,4,)</f>
        <v>delhi</v>
      </c>
    </row>
    <row r="2191" spans="1:9" x14ac:dyDescent="0.3">
      <c r="A2191">
        <v>22190</v>
      </c>
      <c r="B2191">
        <v>220</v>
      </c>
      <c r="C2191" s="2">
        <v>44771</v>
      </c>
      <c r="D2191" s="2" t="str">
        <f>TEXT(Table4[[#This Row],[issue_date]],"mmmm")</f>
        <v>July</v>
      </c>
      <c r="E2191" s="9">
        <f>YEAR(Table4[[#This Row],[issue_date]])</f>
        <v>2022</v>
      </c>
      <c r="F2191" t="s">
        <v>19</v>
      </c>
      <c r="G2191">
        <v>45</v>
      </c>
      <c r="H2191" t="s">
        <v>20</v>
      </c>
      <c r="I2191" t="str">
        <f>VLOOKUP(Table4[[#This Row],[customer_id]],customers!A:G,4,)</f>
        <v>bangalore</v>
      </c>
    </row>
    <row r="2192" spans="1:9" x14ac:dyDescent="0.3">
      <c r="A2192">
        <v>22191</v>
      </c>
      <c r="B2192">
        <v>7</v>
      </c>
      <c r="C2192" s="2">
        <v>44700</v>
      </c>
      <c r="D2192" s="2" t="str">
        <f>TEXT(Table4[[#This Row],[issue_date]],"mmmm")</f>
        <v>May</v>
      </c>
      <c r="E2192" s="9">
        <f>YEAR(Table4[[#This Row],[issue_date]])</f>
        <v>2022</v>
      </c>
      <c r="F2192" t="s">
        <v>21</v>
      </c>
      <c r="G2192">
        <v>71</v>
      </c>
      <c r="H2192" t="s">
        <v>23</v>
      </c>
      <c r="I2192" t="str">
        <f>VLOOKUP(Table4[[#This Row],[customer_id]],customers!A:G,4,)</f>
        <v>bangalore</v>
      </c>
    </row>
    <row r="2193" spans="1:9" x14ac:dyDescent="0.3">
      <c r="A2193">
        <v>22192</v>
      </c>
      <c r="B2193">
        <v>216</v>
      </c>
      <c r="C2193" s="2">
        <v>44598</v>
      </c>
      <c r="D2193" s="2" t="str">
        <f>TEXT(Table4[[#This Row],[issue_date]],"mmmm")</f>
        <v>February</v>
      </c>
      <c r="E2193" s="9">
        <f>YEAR(Table4[[#This Row],[issue_date]])</f>
        <v>2022</v>
      </c>
      <c r="F2193" t="s">
        <v>22</v>
      </c>
      <c r="G2193">
        <v>7</v>
      </c>
      <c r="H2193" t="s">
        <v>20</v>
      </c>
      <c r="I2193" t="str">
        <f>VLOOKUP(Table4[[#This Row],[customer_id]],customers!A:G,4,)</f>
        <v>chennai</v>
      </c>
    </row>
    <row r="2194" spans="1:9" x14ac:dyDescent="0.3">
      <c r="A2194">
        <v>22193</v>
      </c>
      <c r="B2194">
        <v>169</v>
      </c>
      <c r="C2194" s="2">
        <v>44779</v>
      </c>
      <c r="D2194" s="2" t="str">
        <f>TEXT(Table4[[#This Row],[issue_date]],"mmmm")</f>
        <v>August</v>
      </c>
      <c r="E2194" s="9">
        <f>YEAR(Table4[[#This Row],[issue_date]])</f>
        <v>2022</v>
      </c>
      <c r="F2194" t="s">
        <v>21</v>
      </c>
      <c r="G2194">
        <v>16</v>
      </c>
      <c r="H2194" t="s">
        <v>20</v>
      </c>
      <c r="I2194" t="str">
        <f>VLOOKUP(Table4[[#This Row],[customer_id]],customers!A:G,4,)</f>
        <v>chennai</v>
      </c>
    </row>
    <row r="2195" spans="1:9" x14ac:dyDescent="0.3">
      <c r="A2195">
        <v>22194</v>
      </c>
      <c r="B2195">
        <v>74</v>
      </c>
      <c r="C2195" s="2">
        <v>45017</v>
      </c>
      <c r="D2195" s="2" t="str">
        <f>TEXT(Table4[[#This Row],[issue_date]],"mmmm")</f>
        <v>April</v>
      </c>
      <c r="E2195" s="9">
        <f>YEAR(Table4[[#This Row],[issue_date]])</f>
        <v>2023</v>
      </c>
      <c r="F2195" t="s">
        <v>21</v>
      </c>
      <c r="G2195">
        <v>58</v>
      </c>
      <c r="H2195" t="s">
        <v>20</v>
      </c>
      <c r="I2195" t="str">
        <f>VLOOKUP(Table4[[#This Row],[customer_id]],customers!A:G,4,)</f>
        <v>hyderabad</v>
      </c>
    </row>
    <row r="2196" spans="1:9" x14ac:dyDescent="0.3">
      <c r="A2196">
        <v>22195</v>
      </c>
      <c r="B2196">
        <v>293</v>
      </c>
      <c r="C2196" s="2">
        <v>45073</v>
      </c>
      <c r="D2196" s="2" t="str">
        <f>TEXT(Table4[[#This Row],[issue_date]],"mmmm")</f>
        <v>May</v>
      </c>
      <c r="E2196" s="9">
        <f>YEAR(Table4[[#This Row],[issue_date]])</f>
        <v>2023</v>
      </c>
      <c r="F2196" t="s">
        <v>19</v>
      </c>
      <c r="G2196">
        <v>57</v>
      </c>
      <c r="H2196" t="s">
        <v>20</v>
      </c>
      <c r="I2196" t="str">
        <f>VLOOKUP(Table4[[#This Row],[customer_id]],customers!A:G,4,)</f>
        <v>chennai</v>
      </c>
    </row>
    <row r="2197" spans="1:9" x14ac:dyDescent="0.3">
      <c r="A2197">
        <v>22196</v>
      </c>
      <c r="B2197">
        <v>27</v>
      </c>
      <c r="C2197" s="2">
        <v>44839</v>
      </c>
      <c r="D2197" s="2" t="str">
        <f>TEXT(Table4[[#This Row],[issue_date]],"mmmm")</f>
        <v>October</v>
      </c>
      <c r="E2197" s="9">
        <f>YEAR(Table4[[#This Row],[issue_date]])</f>
        <v>2022</v>
      </c>
      <c r="F2197" t="s">
        <v>22</v>
      </c>
      <c r="G2197">
        <v>42</v>
      </c>
      <c r="H2197" t="s">
        <v>20</v>
      </c>
      <c r="I2197" t="str">
        <f>VLOOKUP(Table4[[#This Row],[customer_id]],customers!A:G,4,)</f>
        <v>delhi</v>
      </c>
    </row>
    <row r="2198" spans="1:9" x14ac:dyDescent="0.3">
      <c r="A2198">
        <v>22197</v>
      </c>
      <c r="B2198">
        <v>277</v>
      </c>
      <c r="C2198" s="2">
        <v>44741</v>
      </c>
      <c r="D2198" s="2" t="str">
        <f>TEXT(Table4[[#This Row],[issue_date]],"mmmm")</f>
        <v>June</v>
      </c>
      <c r="E2198" s="9">
        <f>YEAR(Table4[[#This Row],[issue_date]])</f>
        <v>2022</v>
      </c>
      <c r="F2198" t="s">
        <v>21</v>
      </c>
      <c r="G2198">
        <v>14</v>
      </c>
      <c r="H2198" t="s">
        <v>20</v>
      </c>
      <c r="I2198" t="str">
        <f>VLOOKUP(Table4[[#This Row],[customer_id]],customers!A:G,4,)</f>
        <v>chennai</v>
      </c>
    </row>
    <row r="2199" spans="1:9" x14ac:dyDescent="0.3">
      <c r="A2199">
        <v>22198</v>
      </c>
      <c r="B2199">
        <v>484</v>
      </c>
      <c r="C2199" s="2">
        <v>45078</v>
      </c>
      <c r="D2199" s="2" t="str">
        <f>TEXT(Table4[[#This Row],[issue_date]],"mmmm")</f>
        <v>June</v>
      </c>
      <c r="E2199" s="9">
        <f>YEAR(Table4[[#This Row],[issue_date]])</f>
        <v>2023</v>
      </c>
      <c r="F2199" t="s">
        <v>19</v>
      </c>
      <c r="G2199">
        <v>56</v>
      </c>
      <c r="H2199" t="s">
        <v>23</v>
      </c>
      <c r="I2199" t="str">
        <f>VLOOKUP(Table4[[#This Row],[customer_id]],customers!A:G,4,)</f>
        <v>hyderabad</v>
      </c>
    </row>
    <row r="2200" spans="1:9" x14ac:dyDescent="0.3">
      <c r="A2200">
        <v>22199</v>
      </c>
      <c r="B2200">
        <v>43</v>
      </c>
      <c r="C2200" s="2">
        <v>44691</v>
      </c>
      <c r="D2200" s="2" t="str">
        <f>TEXT(Table4[[#This Row],[issue_date]],"mmmm")</f>
        <v>May</v>
      </c>
      <c r="E2200" s="9">
        <f>YEAR(Table4[[#This Row],[issue_date]])</f>
        <v>2022</v>
      </c>
      <c r="F2200" t="s">
        <v>19</v>
      </c>
      <c r="G2200">
        <v>12</v>
      </c>
      <c r="H2200" t="s">
        <v>20</v>
      </c>
      <c r="I2200" t="str">
        <f>VLOOKUP(Table4[[#This Row],[customer_id]],customers!A:G,4,)</f>
        <v>hyderabad</v>
      </c>
    </row>
    <row r="2201" spans="1:9" x14ac:dyDescent="0.3">
      <c r="A2201">
        <v>22200</v>
      </c>
      <c r="B2201">
        <v>307</v>
      </c>
      <c r="C2201" s="2">
        <v>45206</v>
      </c>
      <c r="D2201" s="2" t="str">
        <f>TEXT(Table4[[#This Row],[issue_date]],"mmmm")</f>
        <v>October</v>
      </c>
      <c r="E2201" s="9">
        <f>YEAR(Table4[[#This Row],[issue_date]])</f>
        <v>2023</v>
      </c>
      <c r="F2201" t="s">
        <v>19</v>
      </c>
      <c r="G2201">
        <v>15</v>
      </c>
      <c r="H2201" t="s">
        <v>20</v>
      </c>
      <c r="I2201" t="str">
        <f>VLOOKUP(Table4[[#This Row],[customer_id]],customers!A:G,4,)</f>
        <v>delhi</v>
      </c>
    </row>
    <row r="2202" spans="1:9" x14ac:dyDescent="0.3">
      <c r="A2202">
        <v>22201</v>
      </c>
      <c r="B2202">
        <v>93</v>
      </c>
      <c r="C2202" s="2">
        <v>45172</v>
      </c>
      <c r="D2202" s="2" t="str">
        <f>TEXT(Table4[[#This Row],[issue_date]],"mmmm")</f>
        <v>September</v>
      </c>
      <c r="E2202" s="9">
        <f>YEAR(Table4[[#This Row],[issue_date]])</f>
        <v>2023</v>
      </c>
      <c r="F2202" t="s">
        <v>19</v>
      </c>
      <c r="G2202">
        <v>8</v>
      </c>
      <c r="H2202" t="s">
        <v>20</v>
      </c>
      <c r="I2202" t="str">
        <f>VLOOKUP(Table4[[#This Row],[customer_id]],customers!A:G,4,)</f>
        <v>bangalore</v>
      </c>
    </row>
    <row r="2203" spans="1:9" x14ac:dyDescent="0.3">
      <c r="A2203">
        <v>22202</v>
      </c>
      <c r="B2203">
        <v>71</v>
      </c>
      <c r="C2203" s="2">
        <v>45233</v>
      </c>
      <c r="D2203" s="2" t="str">
        <f>TEXT(Table4[[#This Row],[issue_date]],"mmmm")</f>
        <v>November</v>
      </c>
      <c r="E2203" s="9">
        <f>YEAR(Table4[[#This Row],[issue_date]])</f>
        <v>2023</v>
      </c>
      <c r="F2203" t="s">
        <v>21</v>
      </c>
      <c r="G2203">
        <v>58</v>
      </c>
      <c r="H2203" t="s">
        <v>20</v>
      </c>
      <c r="I2203" t="str">
        <f>VLOOKUP(Table4[[#This Row],[customer_id]],customers!A:G,4,)</f>
        <v>hyderabad</v>
      </c>
    </row>
    <row r="2204" spans="1:9" x14ac:dyDescent="0.3">
      <c r="A2204">
        <v>22203</v>
      </c>
      <c r="B2204">
        <v>269</v>
      </c>
      <c r="C2204" s="2">
        <v>45309</v>
      </c>
      <c r="D2204" s="2" t="str">
        <f>TEXT(Table4[[#This Row],[issue_date]],"mmmm")</f>
        <v>January</v>
      </c>
      <c r="E2204" s="9">
        <f>YEAR(Table4[[#This Row],[issue_date]])</f>
        <v>2024</v>
      </c>
      <c r="F2204" t="s">
        <v>21</v>
      </c>
      <c r="G2204">
        <v>53</v>
      </c>
      <c r="H2204" t="s">
        <v>20</v>
      </c>
      <c r="I2204" t="str">
        <f>VLOOKUP(Table4[[#This Row],[customer_id]],customers!A:G,4,)</f>
        <v>chennai</v>
      </c>
    </row>
    <row r="2205" spans="1:9" x14ac:dyDescent="0.3">
      <c r="A2205">
        <v>22204</v>
      </c>
      <c r="B2205">
        <v>109</v>
      </c>
      <c r="C2205" s="2">
        <v>45220</v>
      </c>
      <c r="D2205" s="2" t="str">
        <f>TEXT(Table4[[#This Row],[issue_date]],"mmmm")</f>
        <v>October</v>
      </c>
      <c r="E2205" s="9">
        <f>YEAR(Table4[[#This Row],[issue_date]])</f>
        <v>2023</v>
      </c>
      <c r="F2205" t="s">
        <v>21</v>
      </c>
      <c r="G2205">
        <v>9</v>
      </c>
      <c r="H2205" t="s">
        <v>20</v>
      </c>
      <c r="I2205" t="str">
        <f>VLOOKUP(Table4[[#This Row],[customer_id]],customers!A:G,4,)</f>
        <v>mumbai</v>
      </c>
    </row>
    <row r="2206" spans="1:9" x14ac:dyDescent="0.3">
      <c r="A2206">
        <v>22205</v>
      </c>
      <c r="B2206">
        <v>181</v>
      </c>
      <c r="C2206" s="2">
        <v>44920</v>
      </c>
      <c r="D2206" s="2" t="str">
        <f>TEXT(Table4[[#This Row],[issue_date]],"mmmm")</f>
        <v>December</v>
      </c>
      <c r="E2206" s="9">
        <f>YEAR(Table4[[#This Row],[issue_date]])</f>
        <v>2022</v>
      </c>
      <c r="F2206" t="s">
        <v>22</v>
      </c>
      <c r="G2206">
        <v>46</v>
      </c>
      <c r="H2206" t="s">
        <v>20</v>
      </c>
      <c r="I2206" t="str">
        <f>VLOOKUP(Table4[[#This Row],[customer_id]],customers!A:G,4,)</f>
        <v>hyderabad</v>
      </c>
    </row>
    <row r="2207" spans="1:9" x14ac:dyDescent="0.3">
      <c r="A2207">
        <v>22206</v>
      </c>
      <c r="B2207">
        <v>215</v>
      </c>
      <c r="C2207" s="2">
        <v>45188</v>
      </c>
      <c r="D2207" s="2" t="str">
        <f>TEXT(Table4[[#This Row],[issue_date]],"mmmm")</f>
        <v>September</v>
      </c>
      <c r="E2207" s="9">
        <f>YEAR(Table4[[#This Row],[issue_date]])</f>
        <v>2023</v>
      </c>
      <c r="F2207" t="s">
        <v>22</v>
      </c>
      <c r="G2207">
        <v>7</v>
      </c>
      <c r="H2207" t="s">
        <v>20</v>
      </c>
      <c r="I2207" t="str">
        <f>VLOOKUP(Table4[[#This Row],[customer_id]],customers!A:G,4,)</f>
        <v>bangalore</v>
      </c>
    </row>
    <row r="2208" spans="1:9" x14ac:dyDescent="0.3">
      <c r="A2208">
        <v>22207</v>
      </c>
      <c r="B2208">
        <v>447</v>
      </c>
      <c r="C2208" s="2">
        <v>44565</v>
      </c>
      <c r="D2208" s="2" t="str">
        <f>TEXT(Table4[[#This Row],[issue_date]],"mmmm")</f>
        <v>January</v>
      </c>
      <c r="E2208" s="9">
        <f>YEAR(Table4[[#This Row],[issue_date]])</f>
        <v>2022</v>
      </c>
      <c r="F2208" t="s">
        <v>19</v>
      </c>
      <c r="G2208">
        <v>44</v>
      </c>
      <c r="H2208" t="s">
        <v>20</v>
      </c>
      <c r="I2208" t="str">
        <f>VLOOKUP(Table4[[#This Row],[customer_id]],customers!A:G,4,)</f>
        <v>delhi</v>
      </c>
    </row>
    <row r="2209" spans="1:9" x14ac:dyDescent="0.3">
      <c r="A2209">
        <v>22208</v>
      </c>
      <c r="B2209">
        <v>114</v>
      </c>
      <c r="C2209" s="2">
        <v>45160</v>
      </c>
      <c r="D2209" s="2" t="str">
        <f>TEXT(Table4[[#This Row],[issue_date]],"mmmm")</f>
        <v>August</v>
      </c>
      <c r="E2209" s="9">
        <f>YEAR(Table4[[#This Row],[issue_date]])</f>
        <v>2023</v>
      </c>
      <c r="F2209" t="s">
        <v>21</v>
      </c>
      <c r="G2209">
        <v>14</v>
      </c>
      <c r="H2209" t="s">
        <v>20</v>
      </c>
      <c r="I2209" t="str">
        <f>VLOOKUP(Table4[[#This Row],[customer_id]],customers!A:G,4,)</f>
        <v>mumbai</v>
      </c>
    </row>
    <row r="2210" spans="1:9" x14ac:dyDescent="0.3">
      <c r="A2210">
        <v>22209</v>
      </c>
      <c r="B2210">
        <v>185</v>
      </c>
      <c r="C2210" s="2">
        <v>45119</v>
      </c>
      <c r="D2210" s="2" t="str">
        <f>TEXT(Table4[[#This Row],[issue_date]],"mmmm")</f>
        <v>July</v>
      </c>
      <c r="E2210" s="9">
        <f>YEAR(Table4[[#This Row],[issue_date]])</f>
        <v>2023</v>
      </c>
      <c r="F2210" t="s">
        <v>19</v>
      </c>
      <c r="G2210">
        <v>6</v>
      </c>
      <c r="H2210" t="s">
        <v>20</v>
      </c>
      <c r="I2210" t="str">
        <f>VLOOKUP(Table4[[#This Row],[customer_id]],customers!A:G,4,)</f>
        <v>mumbai</v>
      </c>
    </row>
    <row r="2211" spans="1:9" x14ac:dyDescent="0.3">
      <c r="A2211">
        <v>22210</v>
      </c>
      <c r="B2211">
        <v>409</v>
      </c>
      <c r="C2211" s="2">
        <v>44644</v>
      </c>
      <c r="D2211" s="2" t="str">
        <f>TEXT(Table4[[#This Row],[issue_date]],"mmmm")</f>
        <v>March</v>
      </c>
      <c r="E2211" s="9">
        <f>YEAR(Table4[[#This Row],[issue_date]])</f>
        <v>2022</v>
      </c>
      <c r="F2211" t="s">
        <v>21</v>
      </c>
      <c r="G2211">
        <v>35</v>
      </c>
      <c r="H2211" t="s">
        <v>20</v>
      </c>
      <c r="I2211" t="str">
        <f>VLOOKUP(Table4[[#This Row],[customer_id]],customers!A:G,4,)</f>
        <v>kolkata</v>
      </c>
    </row>
    <row r="2212" spans="1:9" x14ac:dyDescent="0.3">
      <c r="A2212">
        <v>22211</v>
      </c>
      <c r="B2212">
        <v>125</v>
      </c>
      <c r="C2212" s="2">
        <v>44715</v>
      </c>
      <c r="D2212" s="2" t="str">
        <f>TEXT(Table4[[#This Row],[issue_date]],"mmmm")</f>
        <v>June</v>
      </c>
      <c r="E2212" s="9">
        <f>YEAR(Table4[[#This Row],[issue_date]])</f>
        <v>2022</v>
      </c>
      <c r="F2212" t="s">
        <v>22</v>
      </c>
      <c r="G2212">
        <v>70</v>
      </c>
      <c r="H2212" t="s">
        <v>20</v>
      </c>
      <c r="I2212" t="str">
        <f>VLOOKUP(Table4[[#This Row],[customer_id]],customers!A:G,4,)</f>
        <v>bangalore</v>
      </c>
    </row>
    <row r="2213" spans="1:9" x14ac:dyDescent="0.3">
      <c r="A2213">
        <v>22212</v>
      </c>
      <c r="B2213">
        <v>105</v>
      </c>
      <c r="C2213" s="2">
        <v>45067</v>
      </c>
      <c r="D2213" s="2" t="str">
        <f>TEXT(Table4[[#This Row],[issue_date]],"mmmm")</f>
        <v>May</v>
      </c>
      <c r="E2213" s="9">
        <f>YEAR(Table4[[#This Row],[issue_date]])</f>
        <v>2023</v>
      </c>
      <c r="F2213" t="s">
        <v>19</v>
      </c>
      <c r="G2213">
        <v>61</v>
      </c>
      <c r="H2213" t="s">
        <v>20</v>
      </c>
      <c r="I2213" t="str">
        <f>VLOOKUP(Table4[[#This Row],[customer_id]],customers!A:G,4,)</f>
        <v>kolkata</v>
      </c>
    </row>
    <row r="2214" spans="1:9" x14ac:dyDescent="0.3">
      <c r="A2214">
        <v>22213</v>
      </c>
      <c r="B2214">
        <v>237</v>
      </c>
      <c r="C2214" s="2">
        <v>45070</v>
      </c>
      <c r="D2214" s="2" t="str">
        <f>TEXT(Table4[[#This Row],[issue_date]],"mmmm")</f>
        <v>May</v>
      </c>
      <c r="E2214" s="9">
        <f>YEAR(Table4[[#This Row],[issue_date]])</f>
        <v>2023</v>
      </c>
      <c r="F2214" t="s">
        <v>21</v>
      </c>
      <c r="G2214">
        <v>24</v>
      </c>
      <c r="H2214" t="s">
        <v>20</v>
      </c>
      <c r="I2214" t="str">
        <f>VLOOKUP(Table4[[#This Row],[customer_id]],customers!A:G,4,)</f>
        <v>chennai</v>
      </c>
    </row>
    <row r="2215" spans="1:9" x14ac:dyDescent="0.3">
      <c r="A2215">
        <v>22214</v>
      </c>
      <c r="B2215">
        <v>141</v>
      </c>
      <c r="C2215" s="2">
        <v>45379</v>
      </c>
      <c r="D2215" s="2" t="str">
        <f>TEXT(Table4[[#This Row],[issue_date]],"mmmm")</f>
        <v>March</v>
      </c>
      <c r="E2215" s="9">
        <f>YEAR(Table4[[#This Row],[issue_date]])</f>
        <v>2024</v>
      </c>
      <c r="F2215" t="s">
        <v>21</v>
      </c>
      <c r="G2215">
        <v>2</v>
      </c>
      <c r="H2215" t="s">
        <v>20</v>
      </c>
      <c r="I2215" t="str">
        <f>VLOOKUP(Table4[[#This Row],[customer_id]],customers!A:G,4,)</f>
        <v>hyderabad</v>
      </c>
    </row>
    <row r="2216" spans="1:9" x14ac:dyDescent="0.3">
      <c r="A2216">
        <v>22215</v>
      </c>
      <c r="B2216">
        <v>293</v>
      </c>
      <c r="C2216" s="2">
        <v>45355</v>
      </c>
      <c r="D2216" s="2" t="str">
        <f>TEXT(Table4[[#This Row],[issue_date]],"mmmm")</f>
        <v>March</v>
      </c>
      <c r="E2216" s="9">
        <f>YEAR(Table4[[#This Row],[issue_date]])</f>
        <v>2024</v>
      </c>
      <c r="F2216" t="s">
        <v>21</v>
      </c>
      <c r="G2216">
        <v>51</v>
      </c>
      <c r="H2216" t="s">
        <v>20</v>
      </c>
      <c r="I2216" t="str">
        <f>VLOOKUP(Table4[[#This Row],[customer_id]],customers!A:G,4,)</f>
        <v>chennai</v>
      </c>
    </row>
    <row r="2217" spans="1:9" x14ac:dyDescent="0.3">
      <c r="A2217">
        <v>22216</v>
      </c>
      <c r="B2217">
        <v>158</v>
      </c>
      <c r="C2217" s="2">
        <v>45400</v>
      </c>
      <c r="D2217" s="2" t="str">
        <f>TEXT(Table4[[#This Row],[issue_date]],"mmmm")</f>
        <v>April</v>
      </c>
      <c r="E2217" s="9">
        <f>YEAR(Table4[[#This Row],[issue_date]])</f>
        <v>2024</v>
      </c>
      <c r="F2217" t="s">
        <v>19</v>
      </c>
      <c r="G2217">
        <v>31</v>
      </c>
      <c r="H2217" t="s">
        <v>20</v>
      </c>
      <c r="I2217" t="str">
        <f>VLOOKUP(Table4[[#This Row],[customer_id]],customers!A:G,4,)</f>
        <v>kolkata</v>
      </c>
    </row>
    <row r="2218" spans="1:9" x14ac:dyDescent="0.3">
      <c r="A2218">
        <v>22217</v>
      </c>
      <c r="B2218">
        <v>474</v>
      </c>
      <c r="C2218" s="2">
        <v>45361</v>
      </c>
      <c r="D2218" s="2" t="str">
        <f>TEXT(Table4[[#This Row],[issue_date]],"mmmm")</f>
        <v>March</v>
      </c>
      <c r="E2218" s="9">
        <f>YEAR(Table4[[#This Row],[issue_date]])</f>
        <v>2024</v>
      </c>
      <c r="F2218" t="s">
        <v>22</v>
      </c>
      <c r="G2218">
        <v>27</v>
      </c>
      <c r="H2218" t="s">
        <v>20</v>
      </c>
      <c r="I2218" t="str">
        <f>VLOOKUP(Table4[[#This Row],[customer_id]],customers!A:G,4,)</f>
        <v>hyderabad</v>
      </c>
    </row>
    <row r="2219" spans="1:9" x14ac:dyDescent="0.3">
      <c r="A2219">
        <v>22218</v>
      </c>
      <c r="B2219">
        <v>396</v>
      </c>
      <c r="C2219" s="2">
        <v>45184</v>
      </c>
      <c r="D2219" s="2" t="str">
        <f>TEXT(Table4[[#This Row],[issue_date]],"mmmm")</f>
        <v>September</v>
      </c>
      <c r="E2219" s="9">
        <f>YEAR(Table4[[#This Row],[issue_date]])</f>
        <v>2023</v>
      </c>
      <c r="F2219" t="s">
        <v>21</v>
      </c>
      <c r="G2219">
        <v>31</v>
      </c>
      <c r="H2219" t="s">
        <v>20</v>
      </c>
      <c r="I2219" t="str">
        <f>VLOOKUP(Table4[[#This Row],[customer_id]],customers!A:G,4,)</f>
        <v>kolkata</v>
      </c>
    </row>
    <row r="2220" spans="1:9" x14ac:dyDescent="0.3">
      <c r="A2220">
        <v>22219</v>
      </c>
      <c r="B2220">
        <v>449</v>
      </c>
      <c r="C2220" s="2">
        <v>45190</v>
      </c>
      <c r="D2220" s="2" t="str">
        <f>TEXT(Table4[[#This Row],[issue_date]],"mmmm")</f>
        <v>September</v>
      </c>
      <c r="E2220" s="9">
        <f>YEAR(Table4[[#This Row],[issue_date]])</f>
        <v>2023</v>
      </c>
      <c r="F2220" t="s">
        <v>19</v>
      </c>
      <c r="G2220">
        <v>70</v>
      </c>
      <c r="H2220" t="s">
        <v>20</v>
      </c>
      <c r="I2220" t="str">
        <f>VLOOKUP(Table4[[#This Row],[customer_id]],customers!A:G,4,)</f>
        <v>delhi</v>
      </c>
    </row>
    <row r="2221" spans="1:9" x14ac:dyDescent="0.3">
      <c r="A2221">
        <v>22220</v>
      </c>
      <c r="B2221">
        <v>274</v>
      </c>
      <c r="C2221" s="2">
        <v>44658</v>
      </c>
      <c r="D2221" s="2" t="str">
        <f>TEXT(Table4[[#This Row],[issue_date]],"mmmm")</f>
        <v>April</v>
      </c>
      <c r="E2221" s="9">
        <f>YEAR(Table4[[#This Row],[issue_date]])</f>
        <v>2022</v>
      </c>
      <c r="F2221" t="s">
        <v>21</v>
      </c>
      <c r="G2221">
        <v>43</v>
      </c>
      <c r="H2221" t="s">
        <v>20</v>
      </c>
      <c r="I2221" t="str">
        <f>VLOOKUP(Table4[[#This Row],[customer_id]],customers!A:G,4,)</f>
        <v>delhi</v>
      </c>
    </row>
    <row r="2222" spans="1:9" x14ac:dyDescent="0.3">
      <c r="A2222">
        <v>22221</v>
      </c>
      <c r="B2222">
        <v>378</v>
      </c>
      <c r="C2222" s="2">
        <v>44843</v>
      </c>
      <c r="D2222" s="2" t="str">
        <f>TEXT(Table4[[#This Row],[issue_date]],"mmmm")</f>
        <v>October</v>
      </c>
      <c r="E2222" s="9">
        <f>YEAR(Table4[[#This Row],[issue_date]])</f>
        <v>2022</v>
      </c>
      <c r="F2222" t="s">
        <v>19</v>
      </c>
      <c r="G2222">
        <v>52</v>
      </c>
      <c r="H2222" t="s">
        <v>20</v>
      </c>
      <c r="I2222" t="str">
        <f>VLOOKUP(Table4[[#This Row],[customer_id]],customers!A:G,4,)</f>
        <v>delhi</v>
      </c>
    </row>
    <row r="2223" spans="1:9" x14ac:dyDescent="0.3">
      <c r="A2223">
        <v>22222</v>
      </c>
      <c r="B2223">
        <v>341</v>
      </c>
      <c r="C2223" s="2">
        <v>45262</v>
      </c>
      <c r="D2223" s="2" t="str">
        <f>TEXT(Table4[[#This Row],[issue_date]],"mmmm")</f>
        <v>December</v>
      </c>
      <c r="E2223" s="9">
        <f>YEAR(Table4[[#This Row],[issue_date]])</f>
        <v>2023</v>
      </c>
      <c r="F2223" t="s">
        <v>22</v>
      </c>
      <c r="G2223">
        <v>14</v>
      </c>
      <c r="H2223" t="s">
        <v>20</v>
      </c>
      <c r="I2223" t="str">
        <f>VLOOKUP(Table4[[#This Row],[customer_id]],customers!A:G,4,)</f>
        <v>bangalore</v>
      </c>
    </row>
    <row r="2224" spans="1:9" x14ac:dyDescent="0.3">
      <c r="A2224">
        <v>22223</v>
      </c>
      <c r="B2224">
        <v>117</v>
      </c>
      <c r="C2224" s="2">
        <v>45161</v>
      </c>
      <c r="D2224" s="2" t="str">
        <f>TEXT(Table4[[#This Row],[issue_date]],"mmmm")</f>
        <v>August</v>
      </c>
      <c r="E2224" s="9">
        <f>YEAR(Table4[[#This Row],[issue_date]])</f>
        <v>2023</v>
      </c>
      <c r="F2224" t="s">
        <v>21</v>
      </c>
      <c r="G2224">
        <v>59</v>
      </c>
      <c r="H2224" t="s">
        <v>20</v>
      </c>
      <c r="I2224" t="str">
        <f>VLOOKUP(Table4[[#This Row],[customer_id]],customers!A:G,4,)</f>
        <v>kolkata</v>
      </c>
    </row>
    <row r="2225" spans="1:9" x14ac:dyDescent="0.3">
      <c r="A2225">
        <v>22224</v>
      </c>
      <c r="B2225">
        <v>374</v>
      </c>
      <c r="C2225" s="2">
        <v>45380</v>
      </c>
      <c r="D2225" s="2" t="str">
        <f>TEXT(Table4[[#This Row],[issue_date]],"mmmm")</f>
        <v>March</v>
      </c>
      <c r="E2225" s="9">
        <f>YEAR(Table4[[#This Row],[issue_date]])</f>
        <v>2024</v>
      </c>
      <c r="F2225" t="s">
        <v>19</v>
      </c>
      <c r="G2225">
        <v>20</v>
      </c>
      <c r="H2225" t="s">
        <v>20</v>
      </c>
      <c r="I2225" t="str">
        <f>VLOOKUP(Table4[[#This Row],[customer_id]],customers!A:G,4,)</f>
        <v>mumbai</v>
      </c>
    </row>
    <row r="2226" spans="1:9" x14ac:dyDescent="0.3">
      <c r="A2226">
        <v>22225</v>
      </c>
      <c r="B2226">
        <v>62</v>
      </c>
      <c r="C2226" s="2">
        <v>45160</v>
      </c>
      <c r="D2226" s="2" t="str">
        <f>TEXT(Table4[[#This Row],[issue_date]],"mmmm")</f>
        <v>August</v>
      </c>
      <c r="E2226" s="9">
        <f>YEAR(Table4[[#This Row],[issue_date]])</f>
        <v>2023</v>
      </c>
      <c r="F2226" t="s">
        <v>21</v>
      </c>
      <c r="G2226">
        <v>52</v>
      </c>
      <c r="H2226" t="s">
        <v>20</v>
      </c>
      <c r="I2226" t="str">
        <f>VLOOKUP(Table4[[#This Row],[customer_id]],customers!A:G,4,)</f>
        <v>delhi</v>
      </c>
    </row>
    <row r="2227" spans="1:9" x14ac:dyDescent="0.3">
      <c r="A2227">
        <v>22226</v>
      </c>
      <c r="B2227">
        <v>24</v>
      </c>
      <c r="C2227" s="2">
        <v>45099</v>
      </c>
      <c r="D2227" s="2" t="str">
        <f>TEXT(Table4[[#This Row],[issue_date]],"mmmm")</f>
        <v>June</v>
      </c>
      <c r="E2227" s="9">
        <f>YEAR(Table4[[#This Row],[issue_date]])</f>
        <v>2023</v>
      </c>
      <c r="F2227" t="s">
        <v>19</v>
      </c>
      <c r="G2227">
        <v>40</v>
      </c>
      <c r="H2227" t="s">
        <v>20</v>
      </c>
      <c r="I2227" t="str">
        <f>VLOOKUP(Table4[[#This Row],[customer_id]],customers!A:G,4,)</f>
        <v>kolkata</v>
      </c>
    </row>
    <row r="2228" spans="1:9" x14ac:dyDescent="0.3">
      <c r="A2228">
        <v>22227</v>
      </c>
      <c r="B2228">
        <v>60</v>
      </c>
      <c r="C2228" s="2">
        <v>45453</v>
      </c>
      <c r="D2228" s="2" t="str">
        <f>TEXT(Table4[[#This Row],[issue_date]],"mmmm")</f>
        <v>June</v>
      </c>
      <c r="E2228" s="9">
        <f>YEAR(Table4[[#This Row],[issue_date]])</f>
        <v>2024</v>
      </c>
      <c r="F2228" t="s">
        <v>22</v>
      </c>
      <c r="G2228">
        <v>68</v>
      </c>
      <c r="H2228" t="s">
        <v>20</v>
      </c>
      <c r="I2228" t="str">
        <f>VLOOKUP(Table4[[#This Row],[customer_id]],customers!A:G,4,)</f>
        <v>hyderabad</v>
      </c>
    </row>
    <row r="2229" spans="1:9" x14ac:dyDescent="0.3">
      <c r="A2229">
        <v>22228</v>
      </c>
      <c r="B2229">
        <v>401</v>
      </c>
      <c r="C2229" s="2">
        <v>44990</v>
      </c>
      <c r="D2229" s="2" t="str">
        <f>TEXT(Table4[[#This Row],[issue_date]],"mmmm")</f>
        <v>March</v>
      </c>
      <c r="E2229" s="9">
        <f>YEAR(Table4[[#This Row],[issue_date]])</f>
        <v>2023</v>
      </c>
      <c r="F2229" t="s">
        <v>22</v>
      </c>
      <c r="G2229">
        <v>44</v>
      </c>
      <c r="H2229" t="s">
        <v>20</v>
      </c>
      <c r="I2229" t="str">
        <f>VLOOKUP(Table4[[#This Row],[customer_id]],customers!A:G,4,)</f>
        <v>chennai</v>
      </c>
    </row>
    <row r="2230" spans="1:9" x14ac:dyDescent="0.3">
      <c r="A2230">
        <v>22229</v>
      </c>
      <c r="B2230">
        <v>362</v>
      </c>
      <c r="C2230" s="2">
        <v>45104</v>
      </c>
      <c r="D2230" s="2" t="str">
        <f>TEXT(Table4[[#This Row],[issue_date]],"mmmm")</f>
        <v>June</v>
      </c>
      <c r="E2230" s="9">
        <f>YEAR(Table4[[#This Row],[issue_date]])</f>
        <v>2023</v>
      </c>
      <c r="F2230" t="s">
        <v>19</v>
      </c>
      <c r="G2230">
        <v>6</v>
      </c>
      <c r="H2230" t="s">
        <v>20</v>
      </c>
      <c r="I2230" t="str">
        <f>VLOOKUP(Table4[[#This Row],[customer_id]],customers!A:G,4,)</f>
        <v>delhi</v>
      </c>
    </row>
    <row r="2231" spans="1:9" x14ac:dyDescent="0.3">
      <c r="A2231">
        <v>22230</v>
      </c>
      <c r="B2231">
        <v>316</v>
      </c>
      <c r="C2231" s="2">
        <v>44687</v>
      </c>
      <c r="D2231" s="2" t="str">
        <f>TEXT(Table4[[#This Row],[issue_date]],"mmmm")</f>
        <v>May</v>
      </c>
      <c r="E2231" s="9">
        <f>YEAR(Table4[[#This Row],[issue_date]])</f>
        <v>2022</v>
      </c>
      <c r="F2231" t="s">
        <v>22</v>
      </c>
      <c r="G2231">
        <v>57</v>
      </c>
      <c r="H2231" t="s">
        <v>20</v>
      </c>
      <c r="I2231" t="str">
        <f>VLOOKUP(Table4[[#This Row],[customer_id]],customers!A:G,4,)</f>
        <v>hyderabad</v>
      </c>
    </row>
    <row r="2232" spans="1:9" x14ac:dyDescent="0.3">
      <c r="A2232">
        <v>22231</v>
      </c>
      <c r="B2232">
        <v>265</v>
      </c>
      <c r="C2232" s="2">
        <v>45271</v>
      </c>
      <c r="D2232" s="2" t="str">
        <f>TEXT(Table4[[#This Row],[issue_date]],"mmmm")</f>
        <v>December</v>
      </c>
      <c r="E2232" s="9">
        <f>YEAR(Table4[[#This Row],[issue_date]])</f>
        <v>2023</v>
      </c>
      <c r="F2232" t="s">
        <v>21</v>
      </c>
      <c r="G2232">
        <v>58</v>
      </c>
      <c r="H2232" t="s">
        <v>20</v>
      </c>
      <c r="I2232" t="str">
        <f>VLOOKUP(Table4[[#This Row],[customer_id]],customers!A:G,4,)</f>
        <v>delhi</v>
      </c>
    </row>
    <row r="2233" spans="1:9" x14ac:dyDescent="0.3">
      <c r="A2233">
        <v>22232</v>
      </c>
      <c r="B2233">
        <v>180</v>
      </c>
      <c r="C2233" s="2">
        <v>44862</v>
      </c>
      <c r="D2233" s="2" t="str">
        <f>TEXT(Table4[[#This Row],[issue_date]],"mmmm")</f>
        <v>October</v>
      </c>
      <c r="E2233" s="9">
        <f>YEAR(Table4[[#This Row],[issue_date]])</f>
        <v>2022</v>
      </c>
      <c r="F2233" t="s">
        <v>22</v>
      </c>
      <c r="G2233">
        <v>30</v>
      </c>
      <c r="H2233" t="s">
        <v>23</v>
      </c>
      <c r="I2233" t="str">
        <f>VLOOKUP(Table4[[#This Row],[customer_id]],customers!A:G,4,)</f>
        <v>kolkata</v>
      </c>
    </row>
    <row r="2234" spans="1:9" x14ac:dyDescent="0.3">
      <c r="A2234">
        <v>22233</v>
      </c>
      <c r="B2234">
        <v>232</v>
      </c>
      <c r="C2234" s="2">
        <v>45104</v>
      </c>
      <c r="D2234" s="2" t="str">
        <f>TEXT(Table4[[#This Row],[issue_date]],"mmmm")</f>
        <v>June</v>
      </c>
      <c r="E2234" s="9">
        <f>YEAR(Table4[[#This Row],[issue_date]])</f>
        <v>2023</v>
      </c>
      <c r="F2234" t="s">
        <v>21</v>
      </c>
      <c r="G2234">
        <v>52</v>
      </c>
      <c r="H2234" t="s">
        <v>20</v>
      </c>
      <c r="I2234" t="str">
        <f>VLOOKUP(Table4[[#This Row],[customer_id]],customers!A:G,4,)</f>
        <v>mumbai</v>
      </c>
    </row>
    <row r="2235" spans="1:9" x14ac:dyDescent="0.3">
      <c r="A2235">
        <v>22234</v>
      </c>
      <c r="B2235">
        <v>476</v>
      </c>
      <c r="C2235" s="2">
        <v>44928</v>
      </c>
      <c r="D2235" s="2" t="str">
        <f>TEXT(Table4[[#This Row],[issue_date]],"mmmm")</f>
        <v>January</v>
      </c>
      <c r="E2235" s="9">
        <f>YEAR(Table4[[#This Row],[issue_date]])</f>
        <v>2023</v>
      </c>
      <c r="F2235" t="s">
        <v>22</v>
      </c>
      <c r="G2235">
        <v>11</v>
      </c>
      <c r="H2235" t="s">
        <v>20</v>
      </c>
      <c r="I2235" t="str">
        <f>VLOOKUP(Table4[[#This Row],[customer_id]],customers!A:G,4,)</f>
        <v>bangalore</v>
      </c>
    </row>
    <row r="2236" spans="1:9" x14ac:dyDescent="0.3">
      <c r="A2236">
        <v>22235</v>
      </c>
      <c r="B2236">
        <v>143</v>
      </c>
      <c r="C2236" s="2">
        <v>45390</v>
      </c>
      <c r="D2236" s="2" t="str">
        <f>TEXT(Table4[[#This Row],[issue_date]],"mmmm")</f>
        <v>April</v>
      </c>
      <c r="E2236" s="9">
        <f>YEAR(Table4[[#This Row],[issue_date]])</f>
        <v>2024</v>
      </c>
      <c r="F2236" t="s">
        <v>22</v>
      </c>
      <c r="G2236">
        <v>47</v>
      </c>
      <c r="H2236" t="s">
        <v>20</v>
      </c>
      <c r="I2236" t="str">
        <f>VLOOKUP(Table4[[#This Row],[customer_id]],customers!A:G,4,)</f>
        <v>chennai</v>
      </c>
    </row>
    <row r="2237" spans="1:9" x14ac:dyDescent="0.3">
      <c r="A2237">
        <v>22236</v>
      </c>
      <c r="B2237">
        <v>333</v>
      </c>
      <c r="C2237" s="2">
        <v>45305</v>
      </c>
      <c r="D2237" s="2" t="str">
        <f>TEXT(Table4[[#This Row],[issue_date]],"mmmm")</f>
        <v>January</v>
      </c>
      <c r="E2237" s="9">
        <f>YEAR(Table4[[#This Row],[issue_date]])</f>
        <v>2024</v>
      </c>
      <c r="F2237" t="s">
        <v>21</v>
      </c>
      <c r="G2237">
        <v>5</v>
      </c>
      <c r="H2237" t="s">
        <v>20</v>
      </c>
      <c r="I2237" t="str">
        <f>VLOOKUP(Table4[[#This Row],[customer_id]],customers!A:G,4,)</f>
        <v>bangalore</v>
      </c>
    </row>
    <row r="2238" spans="1:9" x14ac:dyDescent="0.3">
      <c r="A2238">
        <v>22237</v>
      </c>
      <c r="B2238">
        <v>412</v>
      </c>
      <c r="C2238" s="2">
        <v>44606</v>
      </c>
      <c r="D2238" s="2" t="str">
        <f>TEXT(Table4[[#This Row],[issue_date]],"mmmm")</f>
        <v>February</v>
      </c>
      <c r="E2238" s="9">
        <f>YEAR(Table4[[#This Row],[issue_date]])</f>
        <v>2022</v>
      </c>
      <c r="F2238" t="s">
        <v>22</v>
      </c>
      <c r="G2238">
        <v>3</v>
      </c>
      <c r="H2238" t="s">
        <v>20</v>
      </c>
      <c r="I2238" t="str">
        <f>VLOOKUP(Table4[[#This Row],[customer_id]],customers!A:G,4,)</f>
        <v>hyderabad</v>
      </c>
    </row>
    <row r="2239" spans="1:9" x14ac:dyDescent="0.3">
      <c r="A2239">
        <v>22238</v>
      </c>
      <c r="B2239">
        <v>245</v>
      </c>
      <c r="C2239" s="2">
        <v>45054</v>
      </c>
      <c r="D2239" s="2" t="str">
        <f>TEXT(Table4[[#This Row],[issue_date]],"mmmm")</f>
        <v>May</v>
      </c>
      <c r="E2239" s="9">
        <f>YEAR(Table4[[#This Row],[issue_date]])</f>
        <v>2023</v>
      </c>
      <c r="F2239" t="s">
        <v>21</v>
      </c>
      <c r="G2239">
        <v>15</v>
      </c>
      <c r="H2239" t="s">
        <v>20</v>
      </c>
      <c r="I2239" t="str">
        <f>VLOOKUP(Table4[[#This Row],[customer_id]],customers!A:G,4,)</f>
        <v>delhi</v>
      </c>
    </row>
    <row r="2240" spans="1:9" x14ac:dyDescent="0.3">
      <c r="A2240">
        <v>22239</v>
      </c>
      <c r="B2240">
        <v>81</v>
      </c>
      <c r="C2240" s="2">
        <v>44877</v>
      </c>
      <c r="D2240" s="2" t="str">
        <f>TEXT(Table4[[#This Row],[issue_date]],"mmmm")</f>
        <v>November</v>
      </c>
      <c r="E2240" s="9">
        <f>YEAR(Table4[[#This Row],[issue_date]])</f>
        <v>2022</v>
      </c>
      <c r="F2240" t="s">
        <v>21</v>
      </c>
      <c r="G2240">
        <v>2</v>
      </c>
      <c r="H2240" t="s">
        <v>20</v>
      </c>
      <c r="I2240" t="str">
        <f>VLOOKUP(Table4[[#This Row],[customer_id]],customers!A:G,4,)</f>
        <v>chennai</v>
      </c>
    </row>
    <row r="2241" spans="1:9" x14ac:dyDescent="0.3">
      <c r="A2241">
        <v>22240</v>
      </c>
      <c r="B2241">
        <v>126</v>
      </c>
      <c r="C2241" s="2">
        <v>44750</v>
      </c>
      <c r="D2241" s="2" t="str">
        <f>TEXT(Table4[[#This Row],[issue_date]],"mmmm")</f>
        <v>July</v>
      </c>
      <c r="E2241" s="9">
        <f>YEAR(Table4[[#This Row],[issue_date]])</f>
        <v>2022</v>
      </c>
      <c r="F2241" t="s">
        <v>22</v>
      </c>
      <c r="G2241">
        <v>2</v>
      </c>
      <c r="H2241" t="s">
        <v>20</v>
      </c>
      <c r="I2241" t="str">
        <f>VLOOKUP(Table4[[#This Row],[customer_id]],customers!A:G,4,)</f>
        <v>chennai</v>
      </c>
    </row>
    <row r="2242" spans="1:9" x14ac:dyDescent="0.3">
      <c r="A2242">
        <v>22241</v>
      </c>
      <c r="B2242">
        <v>137</v>
      </c>
      <c r="C2242" s="2">
        <v>44613</v>
      </c>
      <c r="D2242" s="2" t="str">
        <f>TEXT(Table4[[#This Row],[issue_date]],"mmmm")</f>
        <v>February</v>
      </c>
      <c r="E2242" s="9">
        <f>YEAR(Table4[[#This Row],[issue_date]])</f>
        <v>2022</v>
      </c>
      <c r="F2242" t="s">
        <v>22</v>
      </c>
      <c r="G2242">
        <v>54</v>
      </c>
      <c r="H2242" t="s">
        <v>20</v>
      </c>
      <c r="I2242" t="str">
        <f>VLOOKUP(Table4[[#This Row],[customer_id]],customers!A:G,4,)</f>
        <v>delhi</v>
      </c>
    </row>
    <row r="2243" spans="1:9" x14ac:dyDescent="0.3">
      <c r="A2243">
        <v>22242</v>
      </c>
      <c r="B2243">
        <v>56</v>
      </c>
      <c r="C2243" s="2">
        <v>45125</v>
      </c>
      <c r="D2243" s="2" t="str">
        <f>TEXT(Table4[[#This Row],[issue_date]],"mmmm")</f>
        <v>July</v>
      </c>
      <c r="E2243" s="9">
        <f>YEAR(Table4[[#This Row],[issue_date]])</f>
        <v>2023</v>
      </c>
      <c r="F2243" t="s">
        <v>21</v>
      </c>
      <c r="G2243">
        <v>46</v>
      </c>
      <c r="H2243" t="s">
        <v>20</v>
      </c>
      <c r="I2243" t="str">
        <f>VLOOKUP(Table4[[#This Row],[customer_id]],customers!A:G,4,)</f>
        <v>chennai</v>
      </c>
    </row>
    <row r="2244" spans="1:9" x14ac:dyDescent="0.3">
      <c r="A2244">
        <v>22243</v>
      </c>
      <c r="B2244">
        <v>213</v>
      </c>
      <c r="C2244" s="2">
        <v>44893</v>
      </c>
      <c r="D2244" s="2" t="str">
        <f>TEXT(Table4[[#This Row],[issue_date]],"mmmm")</f>
        <v>November</v>
      </c>
      <c r="E2244" s="9">
        <f>YEAR(Table4[[#This Row],[issue_date]])</f>
        <v>2022</v>
      </c>
      <c r="F2244" t="s">
        <v>19</v>
      </c>
      <c r="G2244">
        <v>41</v>
      </c>
      <c r="H2244" t="s">
        <v>20</v>
      </c>
      <c r="I2244" t="str">
        <f>VLOOKUP(Table4[[#This Row],[customer_id]],customers!A:G,4,)</f>
        <v>hyderabad</v>
      </c>
    </row>
    <row r="2245" spans="1:9" x14ac:dyDescent="0.3">
      <c r="A2245">
        <v>22244</v>
      </c>
      <c r="B2245">
        <v>94</v>
      </c>
      <c r="C2245" s="2">
        <v>45060</v>
      </c>
      <c r="D2245" s="2" t="str">
        <f>TEXT(Table4[[#This Row],[issue_date]],"mmmm")</f>
        <v>May</v>
      </c>
      <c r="E2245" s="9">
        <f>YEAR(Table4[[#This Row],[issue_date]])</f>
        <v>2023</v>
      </c>
      <c r="F2245" t="s">
        <v>22</v>
      </c>
      <c r="G2245">
        <v>69</v>
      </c>
      <c r="H2245" t="s">
        <v>20</v>
      </c>
      <c r="I2245" t="str">
        <f>VLOOKUP(Table4[[#This Row],[customer_id]],customers!A:G,4,)</f>
        <v>delhi</v>
      </c>
    </row>
    <row r="2246" spans="1:9" x14ac:dyDescent="0.3">
      <c r="A2246">
        <v>22245</v>
      </c>
      <c r="B2246">
        <v>383</v>
      </c>
      <c r="C2246" s="2">
        <v>44879</v>
      </c>
      <c r="D2246" s="2" t="str">
        <f>TEXT(Table4[[#This Row],[issue_date]],"mmmm")</f>
        <v>November</v>
      </c>
      <c r="E2246" s="9">
        <f>YEAR(Table4[[#This Row],[issue_date]])</f>
        <v>2022</v>
      </c>
      <c r="F2246" t="s">
        <v>22</v>
      </c>
      <c r="G2246">
        <v>30</v>
      </c>
      <c r="H2246" t="s">
        <v>20</v>
      </c>
      <c r="I2246" t="str">
        <f>VLOOKUP(Table4[[#This Row],[customer_id]],customers!A:G,4,)</f>
        <v>kolkata</v>
      </c>
    </row>
    <row r="2247" spans="1:9" x14ac:dyDescent="0.3">
      <c r="A2247">
        <v>22246</v>
      </c>
      <c r="B2247">
        <v>459</v>
      </c>
      <c r="C2247" s="2">
        <v>44971</v>
      </c>
      <c r="D2247" s="2" t="str">
        <f>TEXT(Table4[[#This Row],[issue_date]],"mmmm")</f>
        <v>February</v>
      </c>
      <c r="E2247" s="9">
        <f>YEAR(Table4[[#This Row],[issue_date]])</f>
        <v>2023</v>
      </c>
      <c r="F2247" t="s">
        <v>19</v>
      </c>
      <c r="G2247">
        <v>44</v>
      </c>
      <c r="H2247" t="s">
        <v>20</v>
      </c>
      <c r="I2247" t="str">
        <f>VLOOKUP(Table4[[#This Row],[customer_id]],customers!A:G,4,)</f>
        <v>chennai</v>
      </c>
    </row>
    <row r="2248" spans="1:9" x14ac:dyDescent="0.3">
      <c r="A2248">
        <v>22247</v>
      </c>
      <c r="B2248">
        <v>478</v>
      </c>
      <c r="C2248" s="2">
        <v>44884</v>
      </c>
      <c r="D2248" s="2" t="str">
        <f>TEXT(Table4[[#This Row],[issue_date]],"mmmm")</f>
        <v>November</v>
      </c>
      <c r="E2248" s="9">
        <f>YEAR(Table4[[#This Row],[issue_date]])</f>
        <v>2022</v>
      </c>
      <c r="F2248" t="s">
        <v>19</v>
      </c>
      <c r="G2248">
        <v>10</v>
      </c>
      <c r="H2248" t="s">
        <v>20</v>
      </c>
      <c r="I2248" t="str">
        <f>VLOOKUP(Table4[[#This Row],[customer_id]],customers!A:G,4,)</f>
        <v>chennai</v>
      </c>
    </row>
    <row r="2249" spans="1:9" x14ac:dyDescent="0.3">
      <c r="A2249">
        <v>22248</v>
      </c>
      <c r="B2249">
        <v>292</v>
      </c>
      <c r="C2249" s="2">
        <v>45152</v>
      </c>
      <c r="D2249" s="2" t="str">
        <f>TEXT(Table4[[#This Row],[issue_date]],"mmmm")</f>
        <v>August</v>
      </c>
      <c r="E2249" s="9">
        <f>YEAR(Table4[[#This Row],[issue_date]])</f>
        <v>2023</v>
      </c>
      <c r="F2249" t="s">
        <v>22</v>
      </c>
      <c r="G2249">
        <v>30</v>
      </c>
      <c r="H2249" t="s">
        <v>20</v>
      </c>
      <c r="I2249" t="str">
        <f>VLOOKUP(Table4[[#This Row],[customer_id]],customers!A:G,4,)</f>
        <v>delhi</v>
      </c>
    </row>
    <row r="2250" spans="1:9" x14ac:dyDescent="0.3">
      <c r="A2250">
        <v>22249</v>
      </c>
      <c r="B2250">
        <v>128</v>
      </c>
      <c r="C2250" s="2">
        <v>45122</v>
      </c>
      <c r="D2250" s="2" t="str">
        <f>TEXT(Table4[[#This Row],[issue_date]],"mmmm")</f>
        <v>July</v>
      </c>
      <c r="E2250" s="9">
        <f>YEAR(Table4[[#This Row],[issue_date]])</f>
        <v>2023</v>
      </c>
      <c r="F2250" t="s">
        <v>22</v>
      </c>
      <c r="G2250">
        <v>49</v>
      </c>
      <c r="H2250" t="s">
        <v>20</v>
      </c>
      <c r="I2250" t="str">
        <f>VLOOKUP(Table4[[#This Row],[customer_id]],customers!A:G,4,)</f>
        <v>bangalore</v>
      </c>
    </row>
    <row r="2251" spans="1:9" x14ac:dyDescent="0.3">
      <c r="A2251">
        <v>22250</v>
      </c>
      <c r="B2251">
        <v>440</v>
      </c>
      <c r="C2251" s="2">
        <v>44791</v>
      </c>
      <c r="D2251" s="2" t="str">
        <f>TEXT(Table4[[#This Row],[issue_date]],"mmmm")</f>
        <v>August</v>
      </c>
      <c r="E2251" s="9">
        <f>YEAR(Table4[[#This Row],[issue_date]])</f>
        <v>2022</v>
      </c>
      <c r="F2251" t="s">
        <v>22</v>
      </c>
      <c r="G2251">
        <v>35</v>
      </c>
      <c r="H2251" t="s">
        <v>20</v>
      </c>
      <c r="I2251" t="str">
        <f>VLOOKUP(Table4[[#This Row],[customer_id]],customers!A:G,4,)</f>
        <v>mumbai</v>
      </c>
    </row>
    <row r="2252" spans="1:9" x14ac:dyDescent="0.3">
      <c r="A2252">
        <v>22251</v>
      </c>
      <c r="B2252">
        <v>217</v>
      </c>
      <c r="C2252" s="2">
        <v>44905</v>
      </c>
      <c r="D2252" s="2" t="str">
        <f>TEXT(Table4[[#This Row],[issue_date]],"mmmm")</f>
        <v>December</v>
      </c>
      <c r="E2252" s="9">
        <f>YEAR(Table4[[#This Row],[issue_date]])</f>
        <v>2022</v>
      </c>
      <c r="F2252" t="s">
        <v>19</v>
      </c>
      <c r="G2252">
        <v>65</v>
      </c>
      <c r="H2252" t="s">
        <v>20</v>
      </c>
      <c r="I2252" t="str">
        <f>VLOOKUP(Table4[[#This Row],[customer_id]],customers!A:G,4,)</f>
        <v>chennai</v>
      </c>
    </row>
    <row r="2253" spans="1:9" x14ac:dyDescent="0.3">
      <c r="A2253">
        <v>22252</v>
      </c>
      <c r="B2253">
        <v>199</v>
      </c>
      <c r="C2253" s="2">
        <v>44932</v>
      </c>
      <c r="D2253" s="2" t="str">
        <f>TEXT(Table4[[#This Row],[issue_date]],"mmmm")</f>
        <v>January</v>
      </c>
      <c r="E2253" s="9">
        <f>YEAR(Table4[[#This Row],[issue_date]])</f>
        <v>2023</v>
      </c>
      <c r="F2253" t="s">
        <v>22</v>
      </c>
      <c r="G2253">
        <v>17</v>
      </c>
      <c r="H2253" t="s">
        <v>23</v>
      </c>
      <c r="I2253" t="str">
        <f>VLOOKUP(Table4[[#This Row],[customer_id]],customers!A:G,4,)</f>
        <v>kolkata</v>
      </c>
    </row>
    <row r="2254" spans="1:9" x14ac:dyDescent="0.3">
      <c r="A2254">
        <v>22253</v>
      </c>
      <c r="B2254">
        <v>20</v>
      </c>
      <c r="C2254" s="2">
        <v>45117</v>
      </c>
      <c r="D2254" s="2" t="str">
        <f>TEXT(Table4[[#This Row],[issue_date]],"mmmm")</f>
        <v>July</v>
      </c>
      <c r="E2254" s="9">
        <f>YEAR(Table4[[#This Row],[issue_date]])</f>
        <v>2023</v>
      </c>
      <c r="F2254" t="s">
        <v>19</v>
      </c>
      <c r="G2254">
        <v>31</v>
      </c>
      <c r="H2254" t="s">
        <v>20</v>
      </c>
      <c r="I2254" t="str">
        <f>VLOOKUP(Table4[[#This Row],[customer_id]],customers!A:G,4,)</f>
        <v>hyderabad</v>
      </c>
    </row>
    <row r="2255" spans="1:9" x14ac:dyDescent="0.3">
      <c r="A2255">
        <v>22254</v>
      </c>
      <c r="B2255">
        <v>55</v>
      </c>
      <c r="C2255" s="2">
        <v>44853</v>
      </c>
      <c r="D2255" s="2" t="str">
        <f>TEXT(Table4[[#This Row],[issue_date]],"mmmm")</f>
        <v>October</v>
      </c>
      <c r="E2255" s="9">
        <f>YEAR(Table4[[#This Row],[issue_date]])</f>
        <v>2022</v>
      </c>
      <c r="F2255" t="s">
        <v>19</v>
      </c>
      <c r="G2255">
        <v>70</v>
      </c>
      <c r="H2255" t="s">
        <v>20</v>
      </c>
      <c r="I2255" t="str">
        <f>VLOOKUP(Table4[[#This Row],[customer_id]],customers!A:G,4,)</f>
        <v>mumbai</v>
      </c>
    </row>
    <row r="2256" spans="1:9" x14ac:dyDescent="0.3">
      <c r="A2256">
        <v>22255</v>
      </c>
      <c r="B2256">
        <v>246</v>
      </c>
      <c r="C2256" s="2">
        <v>44998</v>
      </c>
      <c r="D2256" s="2" t="str">
        <f>TEXT(Table4[[#This Row],[issue_date]],"mmmm")</f>
        <v>March</v>
      </c>
      <c r="E2256" s="9">
        <f>YEAR(Table4[[#This Row],[issue_date]])</f>
        <v>2023</v>
      </c>
      <c r="F2256" t="s">
        <v>21</v>
      </c>
      <c r="G2256">
        <v>52</v>
      </c>
      <c r="H2256" t="s">
        <v>20</v>
      </c>
      <c r="I2256" t="str">
        <f>VLOOKUP(Table4[[#This Row],[customer_id]],customers!A:G,4,)</f>
        <v>bangalore</v>
      </c>
    </row>
    <row r="2257" spans="1:9" x14ac:dyDescent="0.3">
      <c r="A2257">
        <v>22256</v>
      </c>
      <c r="B2257">
        <v>251</v>
      </c>
      <c r="C2257" s="2">
        <v>44808</v>
      </c>
      <c r="D2257" s="2" t="str">
        <f>TEXT(Table4[[#This Row],[issue_date]],"mmmm")</f>
        <v>September</v>
      </c>
      <c r="E2257" s="9">
        <f>YEAR(Table4[[#This Row],[issue_date]])</f>
        <v>2022</v>
      </c>
      <c r="F2257" t="s">
        <v>19</v>
      </c>
      <c r="G2257">
        <v>26</v>
      </c>
      <c r="H2257" t="s">
        <v>20</v>
      </c>
      <c r="I2257" t="str">
        <f>VLOOKUP(Table4[[#This Row],[customer_id]],customers!A:G,4,)</f>
        <v>kolkata</v>
      </c>
    </row>
    <row r="2258" spans="1:9" x14ac:dyDescent="0.3">
      <c r="A2258">
        <v>22257</v>
      </c>
      <c r="B2258">
        <v>60</v>
      </c>
      <c r="C2258" s="2">
        <v>44780</v>
      </c>
      <c r="D2258" s="2" t="str">
        <f>TEXT(Table4[[#This Row],[issue_date]],"mmmm")</f>
        <v>August</v>
      </c>
      <c r="E2258" s="9">
        <f>YEAR(Table4[[#This Row],[issue_date]])</f>
        <v>2022</v>
      </c>
      <c r="F2258" t="s">
        <v>21</v>
      </c>
      <c r="G2258">
        <v>5</v>
      </c>
      <c r="H2258" t="s">
        <v>20</v>
      </c>
      <c r="I2258" t="str">
        <f>VLOOKUP(Table4[[#This Row],[customer_id]],customers!A:G,4,)</f>
        <v>hyderabad</v>
      </c>
    </row>
    <row r="2259" spans="1:9" x14ac:dyDescent="0.3">
      <c r="A2259">
        <v>22258</v>
      </c>
      <c r="B2259">
        <v>163</v>
      </c>
      <c r="C2259" s="2">
        <v>45095</v>
      </c>
      <c r="D2259" s="2" t="str">
        <f>TEXT(Table4[[#This Row],[issue_date]],"mmmm")</f>
        <v>June</v>
      </c>
      <c r="E2259" s="9">
        <f>YEAR(Table4[[#This Row],[issue_date]])</f>
        <v>2023</v>
      </c>
      <c r="F2259" t="s">
        <v>19</v>
      </c>
      <c r="G2259">
        <v>14</v>
      </c>
      <c r="H2259" t="s">
        <v>20</v>
      </c>
      <c r="I2259" t="str">
        <f>VLOOKUP(Table4[[#This Row],[customer_id]],customers!A:G,4,)</f>
        <v>hyderabad</v>
      </c>
    </row>
    <row r="2260" spans="1:9" x14ac:dyDescent="0.3">
      <c r="A2260">
        <v>22259</v>
      </c>
      <c r="B2260">
        <v>202</v>
      </c>
      <c r="C2260" s="2">
        <v>45203</v>
      </c>
      <c r="D2260" s="2" t="str">
        <f>TEXT(Table4[[#This Row],[issue_date]],"mmmm")</f>
        <v>October</v>
      </c>
      <c r="E2260" s="9">
        <f>YEAR(Table4[[#This Row],[issue_date]])</f>
        <v>2023</v>
      </c>
      <c r="F2260" t="s">
        <v>19</v>
      </c>
      <c r="G2260">
        <v>51</v>
      </c>
      <c r="H2260" t="s">
        <v>20</v>
      </c>
      <c r="I2260" t="str">
        <f>VLOOKUP(Table4[[#This Row],[customer_id]],customers!A:G,4,)</f>
        <v>chennai</v>
      </c>
    </row>
    <row r="2261" spans="1:9" x14ac:dyDescent="0.3">
      <c r="A2261">
        <v>22260</v>
      </c>
      <c r="B2261">
        <v>227</v>
      </c>
      <c r="C2261" s="2">
        <v>45080</v>
      </c>
      <c r="D2261" s="2" t="str">
        <f>TEXT(Table4[[#This Row],[issue_date]],"mmmm")</f>
        <v>June</v>
      </c>
      <c r="E2261" s="9">
        <f>YEAR(Table4[[#This Row],[issue_date]])</f>
        <v>2023</v>
      </c>
      <c r="F2261" t="s">
        <v>21</v>
      </c>
      <c r="G2261">
        <v>15</v>
      </c>
      <c r="H2261" t="s">
        <v>20</v>
      </c>
      <c r="I2261" t="str">
        <f>VLOOKUP(Table4[[#This Row],[customer_id]],customers!A:G,4,)</f>
        <v>bangalore</v>
      </c>
    </row>
    <row r="2262" spans="1:9" x14ac:dyDescent="0.3">
      <c r="A2262">
        <v>22261</v>
      </c>
      <c r="B2262">
        <v>129</v>
      </c>
      <c r="C2262" s="2">
        <v>45345</v>
      </c>
      <c r="D2262" s="2" t="str">
        <f>TEXT(Table4[[#This Row],[issue_date]],"mmmm")</f>
        <v>February</v>
      </c>
      <c r="E2262" s="9">
        <f>YEAR(Table4[[#This Row],[issue_date]])</f>
        <v>2024</v>
      </c>
      <c r="F2262" t="s">
        <v>21</v>
      </c>
      <c r="G2262">
        <v>12</v>
      </c>
      <c r="H2262" t="s">
        <v>20</v>
      </c>
      <c r="I2262" t="str">
        <f>VLOOKUP(Table4[[#This Row],[customer_id]],customers!A:G,4,)</f>
        <v>bangalore</v>
      </c>
    </row>
    <row r="2263" spans="1:9" x14ac:dyDescent="0.3">
      <c r="A2263">
        <v>22262</v>
      </c>
      <c r="B2263">
        <v>462</v>
      </c>
      <c r="C2263" s="2">
        <v>45033</v>
      </c>
      <c r="D2263" s="2" t="str">
        <f>TEXT(Table4[[#This Row],[issue_date]],"mmmm")</f>
        <v>April</v>
      </c>
      <c r="E2263" s="9">
        <f>YEAR(Table4[[#This Row],[issue_date]])</f>
        <v>2023</v>
      </c>
      <c r="F2263" t="s">
        <v>21</v>
      </c>
      <c r="G2263">
        <v>46</v>
      </c>
      <c r="H2263" t="s">
        <v>20</v>
      </c>
      <c r="I2263" t="str">
        <f>VLOOKUP(Table4[[#This Row],[customer_id]],customers!A:G,4,)</f>
        <v>hyderabad</v>
      </c>
    </row>
    <row r="2264" spans="1:9" x14ac:dyDescent="0.3">
      <c r="A2264">
        <v>22263</v>
      </c>
      <c r="B2264">
        <v>45</v>
      </c>
      <c r="C2264" s="2">
        <v>44911</v>
      </c>
      <c r="D2264" s="2" t="str">
        <f>TEXT(Table4[[#This Row],[issue_date]],"mmmm")</f>
        <v>December</v>
      </c>
      <c r="E2264" s="9">
        <f>YEAR(Table4[[#This Row],[issue_date]])</f>
        <v>2022</v>
      </c>
      <c r="F2264" t="s">
        <v>21</v>
      </c>
      <c r="G2264">
        <v>64</v>
      </c>
      <c r="H2264" t="s">
        <v>20</v>
      </c>
      <c r="I2264" t="str">
        <f>VLOOKUP(Table4[[#This Row],[customer_id]],customers!A:G,4,)</f>
        <v>bangalore</v>
      </c>
    </row>
    <row r="2265" spans="1:9" x14ac:dyDescent="0.3">
      <c r="A2265">
        <v>22264</v>
      </c>
      <c r="B2265">
        <v>197</v>
      </c>
      <c r="C2265" s="2">
        <v>44605</v>
      </c>
      <c r="D2265" s="2" t="str">
        <f>TEXT(Table4[[#This Row],[issue_date]],"mmmm")</f>
        <v>February</v>
      </c>
      <c r="E2265" s="9">
        <f>YEAR(Table4[[#This Row],[issue_date]])</f>
        <v>2022</v>
      </c>
      <c r="F2265" t="s">
        <v>21</v>
      </c>
      <c r="G2265">
        <v>59</v>
      </c>
      <c r="H2265" t="s">
        <v>20</v>
      </c>
      <c r="I2265" t="str">
        <f>VLOOKUP(Table4[[#This Row],[customer_id]],customers!A:G,4,)</f>
        <v>chennai</v>
      </c>
    </row>
    <row r="2266" spans="1:9" x14ac:dyDescent="0.3">
      <c r="A2266">
        <v>22265</v>
      </c>
      <c r="B2266">
        <v>424</v>
      </c>
      <c r="C2266" s="2">
        <v>45313</v>
      </c>
      <c r="D2266" s="2" t="str">
        <f>TEXT(Table4[[#This Row],[issue_date]],"mmmm")</f>
        <v>January</v>
      </c>
      <c r="E2266" s="9">
        <f>YEAR(Table4[[#This Row],[issue_date]])</f>
        <v>2024</v>
      </c>
      <c r="F2266" t="s">
        <v>21</v>
      </c>
      <c r="G2266">
        <v>26</v>
      </c>
      <c r="H2266" t="s">
        <v>20</v>
      </c>
      <c r="I2266" t="str">
        <f>VLOOKUP(Table4[[#This Row],[customer_id]],customers!A:G,4,)</f>
        <v>hyderabad</v>
      </c>
    </row>
    <row r="2267" spans="1:9" x14ac:dyDescent="0.3">
      <c r="A2267">
        <v>22266</v>
      </c>
      <c r="B2267">
        <v>492</v>
      </c>
      <c r="C2267" s="2">
        <v>45439</v>
      </c>
      <c r="D2267" s="2" t="str">
        <f>TEXT(Table4[[#This Row],[issue_date]],"mmmm")</f>
        <v>May</v>
      </c>
      <c r="E2267" s="9">
        <f>YEAR(Table4[[#This Row],[issue_date]])</f>
        <v>2024</v>
      </c>
      <c r="F2267" t="s">
        <v>21</v>
      </c>
      <c r="G2267">
        <v>29</v>
      </c>
      <c r="H2267" t="s">
        <v>20</v>
      </c>
      <c r="I2267" t="str">
        <f>VLOOKUP(Table4[[#This Row],[customer_id]],customers!A:G,4,)</f>
        <v>delhi</v>
      </c>
    </row>
    <row r="2268" spans="1:9" x14ac:dyDescent="0.3">
      <c r="A2268">
        <v>22267</v>
      </c>
      <c r="B2268">
        <v>166</v>
      </c>
      <c r="C2268" s="2">
        <v>44626</v>
      </c>
      <c r="D2268" s="2" t="str">
        <f>TEXT(Table4[[#This Row],[issue_date]],"mmmm")</f>
        <v>March</v>
      </c>
      <c r="E2268" s="9">
        <f>YEAR(Table4[[#This Row],[issue_date]])</f>
        <v>2022</v>
      </c>
      <c r="F2268" t="s">
        <v>19</v>
      </c>
      <c r="G2268">
        <v>4</v>
      </c>
      <c r="H2268" t="s">
        <v>20</v>
      </c>
      <c r="I2268" t="str">
        <f>VLOOKUP(Table4[[#This Row],[customer_id]],customers!A:G,4,)</f>
        <v>delhi</v>
      </c>
    </row>
    <row r="2269" spans="1:9" x14ac:dyDescent="0.3">
      <c r="A2269">
        <v>22268</v>
      </c>
      <c r="B2269">
        <v>247</v>
      </c>
      <c r="C2269" s="2">
        <v>44807</v>
      </c>
      <c r="D2269" s="2" t="str">
        <f>TEXT(Table4[[#This Row],[issue_date]],"mmmm")</f>
        <v>September</v>
      </c>
      <c r="E2269" s="9">
        <f>YEAR(Table4[[#This Row],[issue_date]])</f>
        <v>2022</v>
      </c>
      <c r="F2269" t="s">
        <v>19</v>
      </c>
      <c r="G2269">
        <v>50</v>
      </c>
      <c r="H2269" t="s">
        <v>20</v>
      </c>
      <c r="I2269" t="str">
        <f>VLOOKUP(Table4[[#This Row],[customer_id]],customers!A:G,4,)</f>
        <v>chennai</v>
      </c>
    </row>
    <row r="2270" spans="1:9" x14ac:dyDescent="0.3">
      <c r="A2270">
        <v>22269</v>
      </c>
      <c r="B2270">
        <v>226</v>
      </c>
      <c r="C2270" s="2">
        <v>45146</v>
      </c>
      <c r="D2270" s="2" t="str">
        <f>TEXT(Table4[[#This Row],[issue_date]],"mmmm")</f>
        <v>August</v>
      </c>
      <c r="E2270" s="9">
        <f>YEAR(Table4[[#This Row],[issue_date]])</f>
        <v>2023</v>
      </c>
      <c r="F2270" t="s">
        <v>21</v>
      </c>
      <c r="G2270">
        <v>25</v>
      </c>
      <c r="H2270" t="s">
        <v>20</v>
      </c>
      <c r="I2270" t="str">
        <f>VLOOKUP(Table4[[#This Row],[customer_id]],customers!A:G,4,)</f>
        <v>chennai</v>
      </c>
    </row>
    <row r="2271" spans="1:9" x14ac:dyDescent="0.3">
      <c r="A2271">
        <v>22270</v>
      </c>
      <c r="B2271">
        <v>280</v>
      </c>
      <c r="C2271" s="2">
        <v>44632</v>
      </c>
      <c r="D2271" s="2" t="str">
        <f>TEXT(Table4[[#This Row],[issue_date]],"mmmm")</f>
        <v>March</v>
      </c>
      <c r="E2271" s="9">
        <f>YEAR(Table4[[#This Row],[issue_date]])</f>
        <v>2022</v>
      </c>
      <c r="F2271" t="s">
        <v>22</v>
      </c>
      <c r="G2271">
        <v>40</v>
      </c>
      <c r="H2271" t="s">
        <v>20</v>
      </c>
      <c r="I2271" t="str">
        <f>VLOOKUP(Table4[[#This Row],[customer_id]],customers!A:G,4,)</f>
        <v>chennai</v>
      </c>
    </row>
    <row r="2272" spans="1:9" x14ac:dyDescent="0.3">
      <c r="A2272">
        <v>22271</v>
      </c>
      <c r="B2272">
        <v>260</v>
      </c>
      <c r="C2272" s="2">
        <v>45270</v>
      </c>
      <c r="D2272" s="2" t="str">
        <f>TEXT(Table4[[#This Row],[issue_date]],"mmmm")</f>
        <v>December</v>
      </c>
      <c r="E2272" s="9">
        <f>YEAR(Table4[[#This Row],[issue_date]])</f>
        <v>2023</v>
      </c>
      <c r="F2272" t="s">
        <v>21</v>
      </c>
      <c r="G2272">
        <v>32</v>
      </c>
      <c r="H2272" t="s">
        <v>20</v>
      </c>
      <c r="I2272" t="str">
        <f>VLOOKUP(Table4[[#This Row],[customer_id]],customers!A:G,4,)</f>
        <v>bangalore</v>
      </c>
    </row>
    <row r="2273" spans="1:9" x14ac:dyDescent="0.3">
      <c r="A2273">
        <v>22272</v>
      </c>
      <c r="B2273">
        <v>347</v>
      </c>
      <c r="C2273" s="2">
        <v>45262</v>
      </c>
      <c r="D2273" s="2" t="str">
        <f>TEXT(Table4[[#This Row],[issue_date]],"mmmm")</f>
        <v>December</v>
      </c>
      <c r="E2273" s="9">
        <f>YEAR(Table4[[#This Row],[issue_date]])</f>
        <v>2023</v>
      </c>
      <c r="F2273" t="s">
        <v>22</v>
      </c>
      <c r="G2273">
        <v>37</v>
      </c>
      <c r="H2273" t="s">
        <v>20</v>
      </c>
      <c r="I2273" t="str">
        <f>VLOOKUP(Table4[[#This Row],[customer_id]],customers!A:G,4,)</f>
        <v>mumbai</v>
      </c>
    </row>
    <row r="2274" spans="1:9" x14ac:dyDescent="0.3">
      <c r="A2274">
        <v>22273</v>
      </c>
      <c r="B2274">
        <v>197</v>
      </c>
      <c r="C2274" s="2">
        <v>44719</v>
      </c>
      <c r="D2274" s="2" t="str">
        <f>TEXT(Table4[[#This Row],[issue_date]],"mmmm")</f>
        <v>June</v>
      </c>
      <c r="E2274" s="9">
        <f>YEAR(Table4[[#This Row],[issue_date]])</f>
        <v>2022</v>
      </c>
      <c r="F2274" t="s">
        <v>19</v>
      </c>
      <c r="G2274">
        <v>10</v>
      </c>
      <c r="H2274" t="s">
        <v>20</v>
      </c>
      <c r="I2274" t="str">
        <f>VLOOKUP(Table4[[#This Row],[customer_id]],customers!A:G,4,)</f>
        <v>chennai</v>
      </c>
    </row>
    <row r="2275" spans="1:9" x14ac:dyDescent="0.3">
      <c r="A2275">
        <v>22274</v>
      </c>
      <c r="B2275">
        <v>107</v>
      </c>
      <c r="C2275" s="2">
        <v>45036</v>
      </c>
      <c r="D2275" s="2" t="str">
        <f>TEXT(Table4[[#This Row],[issue_date]],"mmmm")</f>
        <v>April</v>
      </c>
      <c r="E2275" s="9">
        <f>YEAR(Table4[[#This Row],[issue_date]])</f>
        <v>2023</v>
      </c>
      <c r="F2275" t="s">
        <v>19</v>
      </c>
      <c r="G2275">
        <v>38</v>
      </c>
      <c r="H2275" t="s">
        <v>20</v>
      </c>
      <c r="I2275" t="str">
        <f>VLOOKUP(Table4[[#This Row],[customer_id]],customers!A:G,4,)</f>
        <v>chennai</v>
      </c>
    </row>
    <row r="2276" spans="1:9" x14ac:dyDescent="0.3">
      <c r="A2276">
        <v>22275</v>
      </c>
      <c r="B2276">
        <v>269</v>
      </c>
      <c r="C2276" s="2">
        <v>45403</v>
      </c>
      <c r="D2276" s="2" t="str">
        <f>TEXT(Table4[[#This Row],[issue_date]],"mmmm")</f>
        <v>April</v>
      </c>
      <c r="E2276" s="9">
        <f>YEAR(Table4[[#This Row],[issue_date]])</f>
        <v>2024</v>
      </c>
      <c r="F2276" t="s">
        <v>22</v>
      </c>
      <c r="G2276">
        <v>61</v>
      </c>
      <c r="H2276" t="s">
        <v>20</v>
      </c>
      <c r="I2276" t="str">
        <f>VLOOKUP(Table4[[#This Row],[customer_id]],customers!A:G,4,)</f>
        <v>chennai</v>
      </c>
    </row>
    <row r="2277" spans="1:9" x14ac:dyDescent="0.3">
      <c r="A2277">
        <v>22276</v>
      </c>
      <c r="B2277">
        <v>232</v>
      </c>
      <c r="C2277" s="2">
        <v>44586</v>
      </c>
      <c r="D2277" s="2" t="str">
        <f>TEXT(Table4[[#This Row],[issue_date]],"mmmm")</f>
        <v>January</v>
      </c>
      <c r="E2277" s="9">
        <f>YEAR(Table4[[#This Row],[issue_date]])</f>
        <v>2022</v>
      </c>
      <c r="F2277" t="s">
        <v>19</v>
      </c>
      <c r="G2277">
        <v>27</v>
      </c>
      <c r="H2277" t="s">
        <v>20</v>
      </c>
      <c r="I2277" t="str">
        <f>VLOOKUP(Table4[[#This Row],[customer_id]],customers!A:G,4,)</f>
        <v>mumbai</v>
      </c>
    </row>
    <row r="2278" spans="1:9" x14ac:dyDescent="0.3">
      <c r="A2278">
        <v>22277</v>
      </c>
      <c r="B2278">
        <v>405</v>
      </c>
      <c r="C2278" s="2">
        <v>45411</v>
      </c>
      <c r="D2278" s="2" t="str">
        <f>TEXT(Table4[[#This Row],[issue_date]],"mmmm")</f>
        <v>April</v>
      </c>
      <c r="E2278" s="9">
        <f>YEAR(Table4[[#This Row],[issue_date]])</f>
        <v>2024</v>
      </c>
      <c r="F2278" t="s">
        <v>21</v>
      </c>
      <c r="G2278">
        <v>7</v>
      </c>
      <c r="H2278" t="s">
        <v>20</v>
      </c>
      <c r="I2278" t="str">
        <f>VLOOKUP(Table4[[#This Row],[customer_id]],customers!A:G,4,)</f>
        <v>chennai</v>
      </c>
    </row>
    <row r="2279" spans="1:9" x14ac:dyDescent="0.3">
      <c r="A2279">
        <v>22278</v>
      </c>
      <c r="B2279">
        <v>101</v>
      </c>
      <c r="C2279" s="2">
        <v>45144</v>
      </c>
      <c r="D2279" s="2" t="str">
        <f>TEXT(Table4[[#This Row],[issue_date]],"mmmm")</f>
        <v>August</v>
      </c>
      <c r="E2279" s="9">
        <f>YEAR(Table4[[#This Row],[issue_date]])</f>
        <v>2023</v>
      </c>
      <c r="F2279" t="s">
        <v>22</v>
      </c>
      <c r="G2279">
        <v>9</v>
      </c>
      <c r="H2279" t="s">
        <v>20</v>
      </c>
      <c r="I2279" t="str">
        <f>VLOOKUP(Table4[[#This Row],[customer_id]],customers!A:G,4,)</f>
        <v>mumbai</v>
      </c>
    </row>
    <row r="2280" spans="1:9" x14ac:dyDescent="0.3">
      <c r="A2280">
        <v>22279</v>
      </c>
      <c r="B2280">
        <v>160</v>
      </c>
      <c r="C2280" s="2">
        <v>45386</v>
      </c>
      <c r="D2280" s="2" t="str">
        <f>TEXT(Table4[[#This Row],[issue_date]],"mmmm")</f>
        <v>April</v>
      </c>
      <c r="E2280" s="9">
        <f>YEAR(Table4[[#This Row],[issue_date]])</f>
        <v>2024</v>
      </c>
      <c r="F2280" t="s">
        <v>22</v>
      </c>
      <c r="G2280">
        <v>59</v>
      </c>
      <c r="H2280" t="s">
        <v>20</v>
      </c>
      <c r="I2280" t="str">
        <f>VLOOKUP(Table4[[#This Row],[customer_id]],customers!A:G,4,)</f>
        <v>hyderabad</v>
      </c>
    </row>
    <row r="2281" spans="1:9" x14ac:dyDescent="0.3">
      <c r="A2281">
        <v>22280</v>
      </c>
      <c r="B2281">
        <v>422</v>
      </c>
      <c r="C2281" s="2">
        <v>44784</v>
      </c>
      <c r="D2281" s="2" t="str">
        <f>TEXT(Table4[[#This Row],[issue_date]],"mmmm")</f>
        <v>August</v>
      </c>
      <c r="E2281" s="9">
        <f>YEAR(Table4[[#This Row],[issue_date]])</f>
        <v>2022</v>
      </c>
      <c r="F2281" t="s">
        <v>19</v>
      </c>
      <c r="G2281">
        <v>36</v>
      </c>
      <c r="H2281" t="s">
        <v>20</v>
      </c>
      <c r="I2281" t="str">
        <f>VLOOKUP(Table4[[#This Row],[customer_id]],customers!A:G,4,)</f>
        <v>hyderabad</v>
      </c>
    </row>
    <row r="2282" spans="1:9" x14ac:dyDescent="0.3">
      <c r="A2282">
        <v>22281</v>
      </c>
      <c r="B2282">
        <v>95</v>
      </c>
      <c r="C2282" s="2">
        <v>44721</v>
      </c>
      <c r="D2282" s="2" t="str">
        <f>TEXT(Table4[[#This Row],[issue_date]],"mmmm")</f>
        <v>June</v>
      </c>
      <c r="E2282" s="9">
        <f>YEAR(Table4[[#This Row],[issue_date]])</f>
        <v>2022</v>
      </c>
      <c r="F2282" t="s">
        <v>22</v>
      </c>
      <c r="G2282">
        <v>30</v>
      </c>
      <c r="H2282" t="s">
        <v>23</v>
      </c>
      <c r="I2282" t="str">
        <f>VLOOKUP(Table4[[#This Row],[customer_id]],customers!A:G,4,)</f>
        <v>mumbai</v>
      </c>
    </row>
    <row r="2283" spans="1:9" x14ac:dyDescent="0.3">
      <c r="A2283">
        <v>22282</v>
      </c>
      <c r="B2283">
        <v>416</v>
      </c>
      <c r="C2283" s="2">
        <v>45379</v>
      </c>
      <c r="D2283" s="2" t="str">
        <f>TEXT(Table4[[#This Row],[issue_date]],"mmmm")</f>
        <v>March</v>
      </c>
      <c r="E2283" s="9">
        <f>YEAR(Table4[[#This Row],[issue_date]])</f>
        <v>2024</v>
      </c>
      <c r="F2283" t="s">
        <v>22</v>
      </c>
      <c r="G2283">
        <v>19</v>
      </c>
      <c r="H2283" t="s">
        <v>20</v>
      </c>
      <c r="I2283" t="str">
        <f>VLOOKUP(Table4[[#This Row],[customer_id]],customers!A:G,4,)</f>
        <v>bangalore</v>
      </c>
    </row>
    <row r="2284" spans="1:9" x14ac:dyDescent="0.3">
      <c r="A2284">
        <v>22283</v>
      </c>
      <c r="B2284">
        <v>207</v>
      </c>
      <c r="C2284" s="2">
        <v>44636</v>
      </c>
      <c r="D2284" s="2" t="str">
        <f>TEXT(Table4[[#This Row],[issue_date]],"mmmm")</f>
        <v>March</v>
      </c>
      <c r="E2284" s="9">
        <f>YEAR(Table4[[#This Row],[issue_date]])</f>
        <v>2022</v>
      </c>
      <c r="F2284" t="s">
        <v>22</v>
      </c>
      <c r="G2284">
        <v>41</v>
      </c>
      <c r="H2284" t="s">
        <v>20</v>
      </c>
      <c r="I2284" t="str">
        <f>VLOOKUP(Table4[[#This Row],[customer_id]],customers!A:G,4,)</f>
        <v>mumbai</v>
      </c>
    </row>
    <row r="2285" spans="1:9" x14ac:dyDescent="0.3">
      <c r="A2285">
        <v>22284</v>
      </c>
      <c r="B2285">
        <v>313</v>
      </c>
      <c r="C2285" s="2">
        <v>44699</v>
      </c>
      <c r="D2285" s="2" t="str">
        <f>TEXT(Table4[[#This Row],[issue_date]],"mmmm")</f>
        <v>May</v>
      </c>
      <c r="E2285" s="9">
        <f>YEAR(Table4[[#This Row],[issue_date]])</f>
        <v>2022</v>
      </c>
      <c r="F2285" t="s">
        <v>19</v>
      </c>
      <c r="G2285">
        <v>55</v>
      </c>
      <c r="H2285" t="s">
        <v>20</v>
      </c>
      <c r="I2285" t="str">
        <f>VLOOKUP(Table4[[#This Row],[customer_id]],customers!A:G,4,)</f>
        <v>chennai</v>
      </c>
    </row>
    <row r="2286" spans="1:9" x14ac:dyDescent="0.3">
      <c r="A2286">
        <v>22285</v>
      </c>
      <c r="B2286">
        <v>432</v>
      </c>
      <c r="C2286" s="2">
        <v>45040</v>
      </c>
      <c r="D2286" s="2" t="str">
        <f>TEXT(Table4[[#This Row],[issue_date]],"mmmm")</f>
        <v>April</v>
      </c>
      <c r="E2286" s="9">
        <f>YEAR(Table4[[#This Row],[issue_date]])</f>
        <v>2023</v>
      </c>
      <c r="F2286" t="s">
        <v>22</v>
      </c>
      <c r="G2286">
        <v>6</v>
      </c>
      <c r="H2286" t="s">
        <v>20</v>
      </c>
      <c r="I2286" t="str">
        <f>VLOOKUP(Table4[[#This Row],[customer_id]],customers!A:G,4,)</f>
        <v>mumbai</v>
      </c>
    </row>
    <row r="2287" spans="1:9" x14ac:dyDescent="0.3">
      <c r="A2287">
        <v>22286</v>
      </c>
      <c r="B2287">
        <v>414</v>
      </c>
      <c r="C2287" s="2">
        <v>45114</v>
      </c>
      <c r="D2287" s="2" t="str">
        <f>TEXT(Table4[[#This Row],[issue_date]],"mmmm")</f>
        <v>July</v>
      </c>
      <c r="E2287" s="9">
        <f>YEAR(Table4[[#This Row],[issue_date]])</f>
        <v>2023</v>
      </c>
      <c r="F2287" t="s">
        <v>22</v>
      </c>
      <c r="G2287">
        <v>22</v>
      </c>
      <c r="H2287" t="s">
        <v>20</v>
      </c>
      <c r="I2287" t="str">
        <f>VLOOKUP(Table4[[#This Row],[customer_id]],customers!A:G,4,)</f>
        <v>delhi</v>
      </c>
    </row>
    <row r="2288" spans="1:9" x14ac:dyDescent="0.3">
      <c r="A2288">
        <v>22287</v>
      </c>
      <c r="B2288">
        <v>235</v>
      </c>
      <c r="C2288" s="2">
        <v>44864</v>
      </c>
      <c r="D2288" s="2" t="str">
        <f>TEXT(Table4[[#This Row],[issue_date]],"mmmm")</f>
        <v>October</v>
      </c>
      <c r="E2288" s="9">
        <f>YEAR(Table4[[#This Row],[issue_date]])</f>
        <v>2022</v>
      </c>
      <c r="F2288" t="s">
        <v>21</v>
      </c>
      <c r="G2288">
        <v>70</v>
      </c>
      <c r="H2288" t="s">
        <v>20</v>
      </c>
      <c r="I2288" t="str">
        <f>VLOOKUP(Table4[[#This Row],[customer_id]],customers!A:G,4,)</f>
        <v>kolkata</v>
      </c>
    </row>
    <row r="2289" spans="1:9" x14ac:dyDescent="0.3">
      <c r="A2289">
        <v>22288</v>
      </c>
      <c r="B2289">
        <v>327</v>
      </c>
      <c r="C2289" s="2">
        <v>44948</v>
      </c>
      <c r="D2289" s="2" t="str">
        <f>TEXT(Table4[[#This Row],[issue_date]],"mmmm")</f>
        <v>January</v>
      </c>
      <c r="E2289" s="9">
        <f>YEAR(Table4[[#This Row],[issue_date]])</f>
        <v>2023</v>
      </c>
      <c r="F2289" t="s">
        <v>21</v>
      </c>
      <c r="G2289">
        <v>24</v>
      </c>
      <c r="H2289" t="s">
        <v>20</v>
      </c>
      <c r="I2289" t="str">
        <f>VLOOKUP(Table4[[#This Row],[customer_id]],customers!A:G,4,)</f>
        <v>delhi</v>
      </c>
    </row>
    <row r="2290" spans="1:9" x14ac:dyDescent="0.3">
      <c r="A2290">
        <v>22289</v>
      </c>
      <c r="B2290">
        <v>422</v>
      </c>
      <c r="C2290" s="2">
        <v>45033</v>
      </c>
      <c r="D2290" s="2" t="str">
        <f>TEXT(Table4[[#This Row],[issue_date]],"mmmm")</f>
        <v>April</v>
      </c>
      <c r="E2290" s="9">
        <f>YEAR(Table4[[#This Row],[issue_date]])</f>
        <v>2023</v>
      </c>
      <c r="F2290" t="s">
        <v>22</v>
      </c>
      <c r="G2290">
        <v>62</v>
      </c>
      <c r="H2290" t="s">
        <v>20</v>
      </c>
      <c r="I2290" t="str">
        <f>VLOOKUP(Table4[[#This Row],[customer_id]],customers!A:G,4,)</f>
        <v>hyderabad</v>
      </c>
    </row>
    <row r="2291" spans="1:9" x14ac:dyDescent="0.3">
      <c r="A2291">
        <v>22290</v>
      </c>
      <c r="B2291">
        <v>479</v>
      </c>
      <c r="C2291" s="2">
        <v>44895</v>
      </c>
      <c r="D2291" s="2" t="str">
        <f>TEXT(Table4[[#This Row],[issue_date]],"mmmm")</f>
        <v>November</v>
      </c>
      <c r="E2291" s="9">
        <f>YEAR(Table4[[#This Row],[issue_date]])</f>
        <v>2022</v>
      </c>
      <c r="F2291" t="s">
        <v>19</v>
      </c>
      <c r="G2291">
        <v>42</v>
      </c>
      <c r="H2291" t="s">
        <v>20</v>
      </c>
      <c r="I2291" t="str">
        <f>VLOOKUP(Table4[[#This Row],[customer_id]],customers!A:G,4,)</f>
        <v>mumbai</v>
      </c>
    </row>
    <row r="2292" spans="1:9" x14ac:dyDescent="0.3">
      <c r="A2292">
        <v>22291</v>
      </c>
      <c r="B2292">
        <v>428</v>
      </c>
      <c r="C2292" s="2">
        <v>44870</v>
      </c>
      <c r="D2292" s="2" t="str">
        <f>TEXT(Table4[[#This Row],[issue_date]],"mmmm")</f>
        <v>November</v>
      </c>
      <c r="E2292" s="9">
        <f>YEAR(Table4[[#This Row],[issue_date]])</f>
        <v>2022</v>
      </c>
      <c r="F2292" t="s">
        <v>22</v>
      </c>
      <c r="G2292">
        <v>22</v>
      </c>
      <c r="H2292" t="s">
        <v>20</v>
      </c>
      <c r="I2292" t="str">
        <f>VLOOKUP(Table4[[#This Row],[customer_id]],customers!A:G,4,)</f>
        <v>bangalore</v>
      </c>
    </row>
    <row r="2293" spans="1:9" x14ac:dyDescent="0.3">
      <c r="A2293">
        <v>22292</v>
      </c>
      <c r="B2293">
        <v>154</v>
      </c>
      <c r="C2293" s="2">
        <v>45089</v>
      </c>
      <c r="D2293" s="2" t="str">
        <f>TEXT(Table4[[#This Row],[issue_date]],"mmmm")</f>
        <v>June</v>
      </c>
      <c r="E2293" s="9">
        <f>YEAR(Table4[[#This Row],[issue_date]])</f>
        <v>2023</v>
      </c>
      <c r="F2293" t="s">
        <v>19</v>
      </c>
      <c r="G2293">
        <v>16</v>
      </c>
      <c r="H2293" t="s">
        <v>20</v>
      </c>
      <c r="I2293" t="str">
        <f>VLOOKUP(Table4[[#This Row],[customer_id]],customers!A:G,4,)</f>
        <v>chennai</v>
      </c>
    </row>
    <row r="2294" spans="1:9" x14ac:dyDescent="0.3">
      <c r="A2294">
        <v>22293</v>
      </c>
      <c r="B2294">
        <v>100</v>
      </c>
      <c r="C2294" s="2">
        <v>45448</v>
      </c>
      <c r="D2294" s="2" t="str">
        <f>TEXT(Table4[[#This Row],[issue_date]],"mmmm")</f>
        <v>June</v>
      </c>
      <c r="E2294" s="9">
        <f>YEAR(Table4[[#This Row],[issue_date]])</f>
        <v>2024</v>
      </c>
      <c r="F2294" t="s">
        <v>21</v>
      </c>
      <c r="G2294">
        <v>13</v>
      </c>
      <c r="H2294" t="s">
        <v>20</v>
      </c>
      <c r="I2294" t="str">
        <f>VLOOKUP(Table4[[#This Row],[customer_id]],customers!A:G,4,)</f>
        <v>mumbai</v>
      </c>
    </row>
    <row r="2295" spans="1:9" x14ac:dyDescent="0.3">
      <c r="A2295">
        <v>22294</v>
      </c>
      <c r="B2295">
        <v>238</v>
      </c>
      <c r="C2295" s="2">
        <v>45262</v>
      </c>
      <c r="D2295" s="2" t="str">
        <f>TEXT(Table4[[#This Row],[issue_date]],"mmmm")</f>
        <v>December</v>
      </c>
      <c r="E2295" s="9">
        <f>YEAR(Table4[[#This Row],[issue_date]])</f>
        <v>2023</v>
      </c>
      <c r="F2295" t="s">
        <v>21</v>
      </c>
      <c r="G2295">
        <v>37</v>
      </c>
      <c r="H2295" t="s">
        <v>20</v>
      </c>
      <c r="I2295" t="str">
        <f>VLOOKUP(Table4[[#This Row],[customer_id]],customers!A:G,4,)</f>
        <v>mumbai</v>
      </c>
    </row>
    <row r="2296" spans="1:9" x14ac:dyDescent="0.3">
      <c r="A2296">
        <v>22295</v>
      </c>
      <c r="B2296">
        <v>107</v>
      </c>
      <c r="C2296" s="2">
        <v>45101</v>
      </c>
      <c r="D2296" s="2" t="str">
        <f>TEXT(Table4[[#This Row],[issue_date]],"mmmm")</f>
        <v>June</v>
      </c>
      <c r="E2296" s="9">
        <f>YEAR(Table4[[#This Row],[issue_date]])</f>
        <v>2023</v>
      </c>
      <c r="F2296" t="s">
        <v>22</v>
      </c>
      <c r="G2296">
        <v>52</v>
      </c>
      <c r="H2296" t="s">
        <v>20</v>
      </c>
      <c r="I2296" t="str">
        <f>VLOOKUP(Table4[[#This Row],[customer_id]],customers!A:G,4,)</f>
        <v>chennai</v>
      </c>
    </row>
    <row r="2297" spans="1:9" x14ac:dyDescent="0.3">
      <c r="A2297">
        <v>22296</v>
      </c>
      <c r="B2297">
        <v>346</v>
      </c>
      <c r="C2297" s="2">
        <v>44724</v>
      </c>
      <c r="D2297" s="2" t="str">
        <f>TEXT(Table4[[#This Row],[issue_date]],"mmmm")</f>
        <v>June</v>
      </c>
      <c r="E2297" s="9">
        <f>YEAR(Table4[[#This Row],[issue_date]])</f>
        <v>2022</v>
      </c>
      <c r="F2297" t="s">
        <v>19</v>
      </c>
      <c r="G2297">
        <v>24</v>
      </c>
      <c r="H2297" t="s">
        <v>20</v>
      </c>
      <c r="I2297" t="str">
        <f>VLOOKUP(Table4[[#This Row],[customer_id]],customers!A:G,4,)</f>
        <v>chennai</v>
      </c>
    </row>
    <row r="2298" spans="1:9" x14ac:dyDescent="0.3">
      <c r="A2298">
        <v>22297</v>
      </c>
      <c r="B2298">
        <v>364</v>
      </c>
      <c r="C2298" s="2">
        <v>45459</v>
      </c>
      <c r="D2298" s="2" t="str">
        <f>TEXT(Table4[[#This Row],[issue_date]],"mmmm")</f>
        <v>June</v>
      </c>
      <c r="E2298" s="9">
        <f>YEAR(Table4[[#This Row],[issue_date]])</f>
        <v>2024</v>
      </c>
      <c r="F2298" t="s">
        <v>19</v>
      </c>
      <c r="G2298">
        <v>17</v>
      </c>
      <c r="H2298" t="s">
        <v>20</v>
      </c>
      <c r="I2298" t="str">
        <f>VLOOKUP(Table4[[#This Row],[customer_id]],customers!A:G,4,)</f>
        <v>delhi</v>
      </c>
    </row>
    <row r="2299" spans="1:9" x14ac:dyDescent="0.3">
      <c r="A2299">
        <v>22298</v>
      </c>
      <c r="B2299">
        <v>130</v>
      </c>
      <c r="C2299" s="2">
        <v>45390</v>
      </c>
      <c r="D2299" s="2" t="str">
        <f>TEXT(Table4[[#This Row],[issue_date]],"mmmm")</f>
        <v>April</v>
      </c>
      <c r="E2299" s="9">
        <f>YEAR(Table4[[#This Row],[issue_date]])</f>
        <v>2024</v>
      </c>
      <c r="F2299" t="s">
        <v>19</v>
      </c>
      <c r="G2299">
        <v>16</v>
      </c>
      <c r="H2299" t="s">
        <v>20</v>
      </c>
      <c r="I2299" t="str">
        <f>VLOOKUP(Table4[[#This Row],[customer_id]],customers!A:G,4,)</f>
        <v>kolkata</v>
      </c>
    </row>
    <row r="2300" spans="1:9" x14ac:dyDescent="0.3">
      <c r="A2300">
        <v>22299</v>
      </c>
      <c r="B2300">
        <v>299</v>
      </c>
      <c r="C2300" s="2">
        <v>44616</v>
      </c>
      <c r="D2300" s="2" t="str">
        <f>TEXT(Table4[[#This Row],[issue_date]],"mmmm")</f>
        <v>February</v>
      </c>
      <c r="E2300" s="9">
        <f>YEAR(Table4[[#This Row],[issue_date]])</f>
        <v>2022</v>
      </c>
      <c r="F2300" t="s">
        <v>22</v>
      </c>
      <c r="G2300">
        <v>1</v>
      </c>
      <c r="H2300" t="s">
        <v>20</v>
      </c>
      <c r="I2300" t="str">
        <f>VLOOKUP(Table4[[#This Row],[customer_id]],customers!A:G,4,)</f>
        <v>bangalore</v>
      </c>
    </row>
    <row r="2301" spans="1:9" x14ac:dyDescent="0.3">
      <c r="A2301">
        <v>22300</v>
      </c>
      <c r="B2301">
        <v>493</v>
      </c>
      <c r="C2301" s="2">
        <v>45347</v>
      </c>
      <c r="D2301" s="2" t="str">
        <f>TEXT(Table4[[#This Row],[issue_date]],"mmmm")</f>
        <v>February</v>
      </c>
      <c r="E2301" s="9">
        <f>YEAR(Table4[[#This Row],[issue_date]])</f>
        <v>2024</v>
      </c>
      <c r="F2301" t="s">
        <v>19</v>
      </c>
      <c r="G2301">
        <v>1</v>
      </c>
      <c r="H2301" t="s">
        <v>23</v>
      </c>
      <c r="I2301" t="str">
        <f>VLOOKUP(Table4[[#This Row],[customer_id]],customers!A:G,4,)</f>
        <v>kolkata</v>
      </c>
    </row>
    <row r="2302" spans="1:9" x14ac:dyDescent="0.3">
      <c r="A2302">
        <v>22301</v>
      </c>
      <c r="B2302">
        <v>43</v>
      </c>
      <c r="C2302" s="2">
        <v>45016</v>
      </c>
      <c r="D2302" s="2" t="str">
        <f>TEXT(Table4[[#This Row],[issue_date]],"mmmm")</f>
        <v>March</v>
      </c>
      <c r="E2302" s="9">
        <f>YEAR(Table4[[#This Row],[issue_date]])</f>
        <v>2023</v>
      </c>
      <c r="F2302" t="s">
        <v>21</v>
      </c>
      <c r="G2302">
        <v>30</v>
      </c>
      <c r="H2302" t="s">
        <v>20</v>
      </c>
      <c r="I2302" t="str">
        <f>VLOOKUP(Table4[[#This Row],[customer_id]],customers!A:G,4,)</f>
        <v>hyderabad</v>
      </c>
    </row>
    <row r="2303" spans="1:9" x14ac:dyDescent="0.3">
      <c r="A2303">
        <v>22302</v>
      </c>
      <c r="B2303">
        <v>63</v>
      </c>
      <c r="C2303" s="2">
        <v>44866</v>
      </c>
      <c r="D2303" s="2" t="str">
        <f>TEXT(Table4[[#This Row],[issue_date]],"mmmm")</f>
        <v>November</v>
      </c>
      <c r="E2303" s="9">
        <f>YEAR(Table4[[#This Row],[issue_date]])</f>
        <v>2022</v>
      </c>
      <c r="F2303" t="s">
        <v>19</v>
      </c>
      <c r="G2303">
        <v>24</v>
      </c>
      <c r="H2303" t="s">
        <v>20</v>
      </c>
      <c r="I2303" t="str">
        <f>VLOOKUP(Table4[[#This Row],[customer_id]],customers!A:G,4,)</f>
        <v>kolkata</v>
      </c>
    </row>
    <row r="2304" spans="1:9" x14ac:dyDescent="0.3">
      <c r="A2304">
        <v>22303</v>
      </c>
      <c r="B2304">
        <v>73</v>
      </c>
      <c r="C2304" s="2">
        <v>44663</v>
      </c>
      <c r="D2304" s="2" t="str">
        <f>TEXT(Table4[[#This Row],[issue_date]],"mmmm")</f>
        <v>April</v>
      </c>
      <c r="E2304" s="9">
        <f>YEAR(Table4[[#This Row],[issue_date]])</f>
        <v>2022</v>
      </c>
      <c r="F2304" t="s">
        <v>19</v>
      </c>
      <c r="G2304">
        <v>46</v>
      </c>
      <c r="H2304" t="s">
        <v>20</v>
      </c>
      <c r="I2304" t="str">
        <f>VLOOKUP(Table4[[#This Row],[customer_id]],customers!A:G,4,)</f>
        <v>kolkata</v>
      </c>
    </row>
    <row r="2305" spans="1:9" x14ac:dyDescent="0.3">
      <c r="A2305">
        <v>22304</v>
      </c>
      <c r="B2305">
        <v>186</v>
      </c>
      <c r="C2305" s="2">
        <v>45115</v>
      </c>
      <c r="D2305" s="2" t="str">
        <f>TEXT(Table4[[#This Row],[issue_date]],"mmmm")</f>
        <v>July</v>
      </c>
      <c r="E2305" s="9">
        <f>YEAR(Table4[[#This Row],[issue_date]])</f>
        <v>2023</v>
      </c>
      <c r="F2305" t="s">
        <v>22</v>
      </c>
      <c r="G2305">
        <v>2</v>
      </c>
      <c r="H2305" t="s">
        <v>23</v>
      </c>
      <c r="I2305" t="str">
        <f>VLOOKUP(Table4[[#This Row],[customer_id]],customers!A:G,4,)</f>
        <v>hyderabad</v>
      </c>
    </row>
    <row r="2306" spans="1:9" x14ac:dyDescent="0.3">
      <c r="A2306">
        <v>22305</v>
      </c>
      <c r="B2306">
        <v>117</v>
      </c>
      <c r="C2306" s="2">
        <v>45336</v>
      </c>
      <c r="D2306" s="2" t="str">
        <f>TEXT(Table4[[#This Row],[issue_date]],"mmmm")</f>
        <v>February</v>
      </c>
      <c r="E2306" s="9">
        <f>YEAR(Table4[[#This Row],[issue_date]])</f>
        <v>2024</v>
      </c>
      <c r="F2306" t="s">
        <v>22</v>
      </c>
      <c r="G2306">
        <v>15</v>
      </c>
      <c r="H2306" t="s">
        <v>23</v>
      </c>
      <c r="I2306" t="str">
        <f>VLOOKUP(Table4[[#This Row],[customer_id]],customers!A:G,4,)</f>
        <v>kolkata</v>
      </c>
    </row>
    <row r="2307" spans="1:9" x14ac:dyDescent="0.3">
      <c r="A2307">
        <v>22306</v>
      </c>
      <c r="B2307">
        <v>304</v>
      </c>
      <c r="C2307" s="2">
        <v>44949</v>
      </c>
      <c r="D2307" s="2" t="str">
        <f>TEXT(Table4[[#This Row],[issue_date]],"mmmm")</f>
        <v>January</v>
      </c>
      <c r="E2307" s="9">
        <f>YEAR(Table4[[#This Row],[issue_date]])</f>
        <v>2023</v>
      </c>
      <c r="F2307" t="s">
        <v>22</v>
      </c>
      <c r="G2307">
        <v>29</v>
      </c>
      <c r="H2307" t="s">
        <v>20</v>
      </c>
      <c r="I2307" t="str">
        <f>VLOOKUP(Table4[[#This Row],[customer_id]],customers!A:G,4,)</f>
        <v>delhi</v>
      </c>
    </row>
    <row r="2308" spans="1:9" x14ac:dyDescent="0.3">
      <c r="A2308">
        <v>22307</v>
      </c>
      <c r="B2308">
        <v>5</v>
      </c>
      <c r="C2308" s="2">
        <v>45244</v>
      </c>
      <c r="D2308" s="2" t="str">
        <f>TEXT(Table4[[#This Row],[issue_date]],"mmmm")</f>
        <v>November</v>
      </c>
      <c r="E2308" s="9">
        <f>YEAR(Table4[[#This Row],[issue_date]])</f>
        <v>2023</v>
      </c>
      <c r="F2308" t="s">
        <v>22</v>
      </c>
      <c r="G2308">
        <v>62</v>
      </c>
      <c r="H2308" t="s">
        <v>20</v>
      </c>
      <c r="I2308" t="str">
        <f>VLOOKUP(Table4[[#This Row],[customer_id]],customers!A:G,4,)</f>
        <v>delhi</v>
      </c>
    </row>
    <row r="2309" spans="1:9" x14ac:dyDescent="0.3">
      <c r="A2309">
        <v>22308</v>
      </c>
      <c r="B2309">
        <v>475</v>
      </c>
      <c r="C2309" s="2">
        <v>44769</v>
      </c>
      <c r="D2309" s="2" t="str">
        <f>TEXT(Table4[[#This Row],[issue_date]],"mmmm")</f>
        <v>July</v>
      </c>
      <c r="E2309" s="9">
        <f>YEAR(Table4[[#This Row],[issue_date]])</f>
        <v>2022</v>
      </c>
      <c r="F2309" t="s">
        <v>22</v>
      </c>
      <c r="G2309">
        <v>13</v>
      </c>
      <c r="H2309" t="s">
        <v>20</v>
      </c>
      <c r="I2309" t="str">
        <f>VLOOKUP(Table4[[#This Row],[customer_id]],customers!A:G,4,)</f>
        <v>delhi</v>
      </c>
    </row>
    <row r="2310" spans="1:9" x14ac:dyDescent="0.3">
      <c r="A2310">
        <v>22309</v>
      </c>
      <c r="B2310">
        <v>76</v>
      </c>
      <c r="C2310" s="2">
        <v>44876</v>
      </c>
      <c r="D2310" s="2" t="str">
        <f>TEXT(Table4[[#This Row],[issue_date]],"mmmm")</f>
        <v>November</v>
      </c>
      <c r="E2310" s="9">
        <f>YEAR(Table4[[#This Row],[issue_date]])</f>
        <v>2022</v>
      </c>
      <c r="F2310" t="s">
        <v>19</v>
      </c>
      <c r="G2310">
        <v>65</v>
      </c>
      <c r="H2310" t="s">
        <v>20</v>
      </c>
      <c r="I2310" t="str">
        <f>VLOOKUP(Table4[[#This Row],[customer_id]],customers!A:G,4,)</f>
        <v>mumbai</v>
      </c>
    </row>
    <row r="2311" spans="1:9" x14ac:dyDescent="0.3">
      <c r="A2311">
        <v>22310</v>
      </c>
      <c r="B2311">
        <v>291</v>
      </c>
      <c r="C2311" s="2">
        <v>44610</v>
      </c>
      <c r="D2311" s="2" t="str">
        <f>TEXT(Table4[[#This Row],[issue_date]],"mmmm")</f>
        <v>February</v>
      </c>
      <c r="E2311" s="9">
        <f>YEAR(Table4[[#This Row],[issue_date]])</f>
        <v>2022</v>
      </c>
      <c r="F2311" t="s">
        <v>19</v>
      </c>
      <c r="G2311">
        <v>45</v>
      </c>
      <c r="H2311" t="s">
        <v>20</v>
      </c>
      <c r="I2311" t="str">
        <f>VLOOKUP(Table4[[#This Row],[customer_id]],customers!A:G,4,)</f>
        <v>mumbai</v>
      </c>
    </row>
    <row r="2312" spans="1:9" x14ac:dyDescent="0.3">
      <c r="A2312">
        <v>22311</v>
      </c>
      <c r="B2312">
        <v>349</v>
      </c>
      <c r="C2312" s="2">
        <v>45133</v>
      </c>
      <c r="D2312" s="2" t="str">
        <f>TEXT(Table4[[#This Row],[issue_date]],"mmmm")</f>
        <v>July</v>
      </c>
      <c r="E2312" s="9">
        <f>YEAR(Table4[[#This Row],[issue_date]])</f>
        <v>2023</v>
      </c>
      <c r="F2312" t="s">
        <v>22</v>
      </c>
      <c r="G2312">
        <v>47</v>
      </c>
      <c r="H2312" t="s">
        <v>20</v>
      </c>
      <c r="I2312" t="str">
        <f>VLOOKUP(Table4[[#This Row],[customer_id]],customers!A:G,4,)</f>
        <v>kolkata</v>
      </c>
    </row>
    <row r="2313" spans="1:9" x14ac:dyDescent="0.3">
      <c r="A2313">
        <v>22312</v>
      </c>
      <c r="B2313">
        <v>400</v>
      </c>
      <c r="C2313" s="2">
        <v>45079</v>
      </c>
      <c r="D2313" s="2" t="str">
        <f>TEXT(Table4[[#This Row],[issue_date]],"mmmm")</f>
        <v>June</v>
      </c>
      <c r="E2313" s="9">
        <f>YEAR(Table4[[#This Row],[issue_date]])</f>
        <v>2023</v>
      </c>
      <c r="F2313" t="s">
        <v>22</v>
      </c>
      <c r="G2313">
        <v>16</v>
      </c>
      <c r="H2313" t="s">
        <v>20</v>
      </c>
      <c r="I2313" t="str">
        <f>VLOOKUP(Table4[[#This Row],[customer_id]],customers!A:G,4,)</f>
        <v>mumbai</v>
      </c>
    </row>
    <row r="2314" spans="1:9" x14ac:dyDescent="0.3">
      <c r="A2314">
        <v>22313</v>
      </c>
      <c r="B2314">
        <v>83</v>
      </c>
      <c r="C2314" s="2">
        <v>44709</v>
      </c>
      <c r="D2314" s="2" t="str">
        <f>TEXT(Table4[[#This Row],[issue_date]],"mmmm")</f>
        <v>May</v>
      </c>
      <c r="E2314" s="9">
        <f>YEAR(Table4[[#This Row],[issue_date]])</f>
        <v>2022</v>
      </c>
      <c r="F2314" t="s">
        <v>19</v>
      </c>
      <c r="G2314">
        <v>3</v>
      </c>
      <c r="H2314" t="s">
        <v>20</v>
      </c>
      <c r="I2314" t="str">
        <f>VLOOKUP(Table4[[#This Row],[customer_id]],customers!A:G,4,)</f>
        <v>bangalore</v>
      </c>
    </row>
    <row r="2315" spans="1:9" x14ac:dyDescent="0.3">
      <c r="A2315">
        <v>22314</v>
      </c>
      <c r="B2315">
        <v>433</v>
      </c>
      <c r="C2315" s="2">
        <v>45360</v>
      </c>
      <c r="D2315" s="2" t="str">
        <f>TEXT(Table4[[#This Row],[issue_date]],"mmmm")</f>
        <v>March</v>
      </c>
      <c r="E2315" s="9">
        <f>YEAR(Table4[[#This Row],[issue_date]])</f>
        <v>2024</v>
      </c>
      <c r="F2315" t="s">
        <v>22</v>
      </c>
      <c r="G2315">
        <v>70</v>
      </c>
      <c r="H2315" t="s">
        <v>20</v>
      </c>
      <c r="I2315" t="str">
        <f>VLOOKUP(Table4[[#This Row],[customer_id]],customers!A:G,4,)</f>
        <v>chennai</v>
      </c>
    </row>
    <row r="2316" spans="1:9" x14ac:dyDescent="0.3">
      <c r="A2316">
        <v>22315</v>
      </c>
      <c r="B2316">
        <v>60</v>
      </c>
      <c r="C2316" s="2">
        <v>44772</v>
      </c>
      <c r="D2316" s="2" t="str">
        <f>TEXT(Table4[[#This Row],[issue_date]],"mmmm")</f>
        <v>July</v>
      </c>
      <c r="E2316" s="9">
        <f>YEAR(Table4[[#This Row],[issue_date]])</f>
        <v>2022</v>
      </c>
      <c r="F2316" t="s">
        <v>21</v>
      </c>
      <c r="G2316">
        <v>5</v>
      </c>
      <c r="H2316" t="s">
        <v>20</v>
      </c>
      <c r="I2316" t="str">
        <f>VLOOKUP(Table4[[#This Row],[customer_id]],customers!A:G,4,)</f>
        <v>hyderabad</v>
      </c>
    </row>
    <row r="2317" spans="1:9" x14ac:dyDescent="0.3">
      <c r="A2317">
        <v>22316</v>
      </c>
      <c r="B2317">
        <v>107</v>
      </c>
      <c r="C2317" s="2">
        <v>44933</v>
      </c>
      <c r="D2317" s="2" t="str">
        <f>TEXT(Table4[[#This Row],[issue_date]],"mmmm")</f>
        <v>January</v>
      </c>
      <c r="E2317" s="9">
        <f>YEAR(Table4[[#This Row],[issue_date]])</f>
        <v>2023</v>
      </c>
      <c r="F2317" t="s">
        <v>19</v>
      </c>
      <c r="G2317">
        <v>26</v>
      </c>
      <c r="H2317" t="s">
        <v>20</v>
      </c>
      <c r="I2317" t="str">
        <f>VLOOKUP(Table4[[#This Row],[customer_id]],customers!A:G,4,)</f>
        <v>chennai</v>
      </c>
    </row>
    <row r="2318" spans="1:9" x14ac:dyDescent="0.3">
      <c r="A2318">
        <v>22317</v>
      </c>
      <c r="B2318">
        <v>117</v>
      </c>
      <c r="C2318" s="2">
        <v>45223</v>
      </c>
      <c r="D2318" s="2" t="str">
        <f>TEXT(Table4[[#This Row],[issue_date]],"mmmm")</f>
        <v>October</v>
      </c>
      <c r="E2318" s="9">
        <f>YEAR(Table4[[#This Row],[issue_date]])</f>
        <v>2023</v>
      </c>
      <c r="F2318" t="s">
        <v>21</v>
      </c>
      <c r="G2318">
        <v>15</v>
      </c>
      <c r="H2318" t="s">
        <v>20</v>
      </c>
      <c r="I2318" t="str">
        <f>VLOOKUP(Table4[[#This Row],[customer_id]],customers!A:G,4,)</f>
        <v>kolkata</v>
      </c>
    </row>
    <row r="2319" spans="1:9" x14ac:dyDescent="0.3">
      <c r="A2319">
        <v>22318</v>
      </c>
      <c r="B2319">
        <v>307</v>
      </c>
      <c r="C2319" s="2">
        <v>45158</v>
      </c>
      <c r="D2319" s="2" t="str">
        <f>TEXT(Table4[[#This Row],[issue_date]],"mmmm")</f>
        <v>August</v>
      </c>
      <c r="E2319" s="9">
        <f>YEAR(Table4[[#This Row],[issue_date]])</f>
        <v>2023</v>
      </c>
      <c r="F2319" t="s">
        <v>19</v>
      </c>
      <c r="G2319">
        <v>55</v>
      </c>
      <c r="H2319" t="s">
        <v>20</v>
      </c>
      <c r="I2319" t="str">
        <f>VLOOKUP(Table4[[#This Row],[customer_id]],customers!A:G,4,)</f>
        <v>delhi</v>
      </c>
    </row>
    <row r="2320" spans="1:9" x14ac:dyDescent="0.3">
      <c r="A2320">
        <v>22319</v>
      </c>
      <c r="B2320">
        <v>383</v>
      </c>
      <c r="C2320" s="2">
        <v>45233</v>
      </c>
      <c r="D2320" s="2" t="str">
        <f>TEXT(Table4[[#This Row],[issue_date]],"mmmm")</f>
        <v>November</v>
      </c>
      <c r="E2320" s="9">
        <f>YEAR(Table4[[#This Row],[issue_date]])</f>
        <v>2023</v>
      </c>
      <c r="F2320" t="s">
        <v>19</v>
      </c>
      <c r="G2320">
        <v>22</v>
      </c>
      <c r="H2320" t="s">
        <v>20</v>
      </c>
      <c r="I2320" t="str">
        <f>VLOOKUP(Table4[[#This Row],[customer_id]],customers!A:G,4,)</f>
        <v>kolkata</v>
      </c>
    </row>
    <row r="2321" spans="1:9" x14ac:dyDescent="0.3">
      <c r="A2321">
        <v>22320</v>
      </c>
      <c r="B2321">
        <v>347</v>
      </c>
      <c r="C2321" s="2">
        <v>44608</v>
      </c>
      <c r="D2321" s="2" t="str">
        <f>TEXT(Table4[[#This Row],[issue_date]],"mmmm")</f>
        <v>February</v>
      </c>
      <c r="E2321" s="9">
        <f>YEAR(Table4[[#This Row],[issue_date]])</f>
        <v>2022</v>
      </c>
      <c r="F2321" t="s">
        <v>19</v>
      </c>
      <c r="G2321">
        <v>37</v>
      </c>
      <c r="H2321" t="s">
        <v>20</v>
      </c>
      <c r="I2321" t="str">
        <f>VLOOKUP(Table4[[#This Row],[customer_id]],customers!A:G,4,)</f>
        <v>mumbai</v>
      </c>
    </row>
    <row r="2322" spans="1:9" x14ac:dyDescent="0.3">
      <c r="A2322">
        <v>22321</v>
      </c>
      <c r="B2322">
        <v>82</v>
      </c>
      <c r="C2322" s="2">
        <v>45235</v>
      </c>
      <c r="D2322" s="2" t="str">
        <f>TEXT(Table4[[#This Row],[issue_date]],"mmmm")</f>
        <v>November</v>
      </c>
      <c r="E2322" s="9">
        <f>YEAR(Table4[[#This Row],[issue_date]])</f>
        <v>2023</v>
      </c>
      <c r="F2322" t="s">
        <v>19</v>
      </c>
      <c r="G2322">
        <v>29</v>
      </c>
      <c r="H2322" t="s">
        <v>20</v>
      </c>
      <c r="I2322" t="str">
        <f>VLOOKUP(Table4[[#This Row],[customer_id]],customers!A:G,4,)</f>
        <v>chennai</v>
      </c>
    </row>
    <row r="2323" spans="1:9" x14ac:dyDescent="0.3">
      <c r="A2323">
        <v>22322</v>
      </c>
      <c r="B2323">
        <v>315</v>
      </c>
      <c r="C2323" s="2">
        <v>45060</v>
      </c>
      <c r="D2323" s="2" t="str">
        <f>TEXT(Table4[[#This Row],[issue_date]],"mmmm")</f>
        <v>May</v>
      </c>
      <c r="E2323" s="9">
        <f>YEAR(Table4[[#This Row],[issue_date]])</f>
        <v>2023</v>
      </c>
      <c r="F2323" t="s">
        <v>19</v>
      </c>
      <c r="G2323">
        <v>26</v>
      </c>
      <c r="H2323" t="s">
        <v>20</v>
      </c>
      <c r="I2323" t="str">
        <f>VLOOKUP(Table4[[#This Row],[customer_id]],customers!A:G,4,)</f>
        <v>kolkata</v>
      </c>
    </row>
    <row r="2324" spans="1:9" x14ac:dyDescent="0.3">
      <c r="A2324">
        <v>22323</v>
      </c>
      <c r="B2324">
        <v>320</v>
      </c>
      <c r="C2324" s="2">
        <v>44716</v>
      </c>
      <c r="D2324" s="2" t="str">
        <f>TEXT(Table4[[#This Row],[issue_date]],"mmmm")</f>
        <v>June</v>
      </c>
      <c r="E2324" s="9">
        <f>YEAR(Table4[[#This Row],[issue_date]])</f>
        <v>2022</v>
      </c>
      <c r="F2324" t="s">
        <v>19</v>
      </c>
      <c r="G2324">
        <v>70</v>
      </c>
      <c r="H2324" t="s">
        <v>23</v>
      </c>
      <c r="I2324" t="str">
        <f>VLOOKUP(Table4[[#This Row],[customer_id]],customers!A:G,4,)</f>
        <v>hyderabad</v>
      </c>
    </row>
    <row r="2325" spans="1:9" x14ac:dyDescent="0.3">
      <c r="A2325">
        <v>22324</v>
      </c>
      <c r="B2325">
        <v>361</v>
      </c>
      <c r="C2325" s="2">
        <v>44791</v>
      </c>
      <c r="D2325" s="2" t="str">
        <f>TEXT(Table4[[#This Row],[issue_date]],"mmmm")</f>
        <v>August</v>
      </c>
      <c r="E2325" s="9">
        <f>YEAR(Table4[[#This Row],[issue_date]])</f>
        <v>2022</v>
      </c>
      <c r="F2325" t="s">
        <v>19</v>
      </c>
      <c r="G2325">
        <v>11</v>
      </c>
      <c r="H2325" t="s">
        <v>20</v>
      </c>
      <c r="I2325" t="str">
        <f>VLOOKUP(Table4[[#This Row],[customer_id]],customers!A:G,4,)</f>
        <v>chennai</v>
      </c>
    </row>
    <row r="2326" spans="1:9" x14ac:dyDescent="0.3">
      <c r="A2326">
        <v>22325</v>
      </c>
      <c r="B2326">
        <v>141</v>
      </c>
      <c r="C2326" s="2">
        <v>44861</v>
      </c>
      <c r="D2326" s="2" t="str">
        <f>TEXT(Table4[[#This Row],[issue_date]],"mmmm")</f>
        <v>October</v>
      </c>
      <c r="E2326" s="9">
        <f>YEAR(Table4[[#This Row],[issue_date]])</f>
        <v>2022</v>
      </c>
      <c r="F2326" t="s">
        <v>22</v>
      </c>
      <c r="G2326">
        <v>20</v>
      </c>
      <c r="H2326" t="s">
        <v>20</v>
      </c>
      <c r="I2326" t="str">
        <f>VLOOKUP(Table4[[#This Row],[customer_id]],customers!A:G,4,)</f>
        <v>hyderabad</v>
      </c>
    </row>
    <row r="2327" spans="1:9" x14ac:dyDescent="0.3">
      <c r="A2327">
        <v>22326</v>
      </c>
      <c r="B2327">
        <v>222</v>
      </c>
      <c r="C2327" s="2">
        <v>44719</v>
      </c>
      <c r="D2327" s="2" t="str">
        <f>TEXT(Table4[[#This Row],[issue_date]],"mmmm")</f>
        <v>June</v>
      </c>
      <c r="E2327" s="9">
        <f>YEAR(Table4[[#This Row],[issue_date]])</f>
        <v>2022</v>
      </c>
      <c r="F2327" t="s">
        <v>22</v>
      </c>
      <c r="G2327">
        <v>70</v>
      </c>
      <c r="H2327" t="s">
        <v>23</v>
      </c>
      <c r="I2327" t="str">
        <f>VLOOKUP(Table4[[#This Row],[customer_id]],customers!A:G,4,)</f>
        <v>bangalore</v>
      </c>
    </row>
    <row r="2328" spans="1:9" x14ac:dyDescent="0.3">
      <c r="A2328">
        <v>22327</v>
      </c>
      <c r="B2328">
        <v>410</v>
      </c>
      <c r="C2328" s="2">
        <v>45234</v>
      </c>
      <c r="D2328" s="2" t="str">
        <f>TEXT(Table4[[#This Row],[issue_date]],"mmmm")</f>
        <v>November</v>
      </c>
      <c r="E2328" s="9">
        <f>YEAR(Table4[[#This Row],[issue_date]])</f>
        <v>2023</v>
      </c>
      <c r="F2328" t="s">
        <v>22</v>
      </c>
      <c r="G2328">
        <v>33</v>
      </c>
      <c r="H2328" t="s">
        <v>20</v>
      </c>
      <c r="I2328" t="str">
        <f>VLOOKUP(Table4[[#This Row],[customer_id]],customers!A:G,4,)</f>
        <v>bangalore</v>
      </c>
    </row>
    <row r="2329" spans="1:9" x14ac:dyDescent="0.3">
      <c r="A2329">
        <v>22328</v>
      </c>
      <c r="B2329">
        <v>70</v>
      </c>
      <c r="C2329" s="2">
        <v>44808</v>
      </c>
      <c r="D2329" s="2" t="str">
        <f>TEXT(Table4[[#This Row],[issue_date]],"mmmm")</f>
        <v>September</v>
      </c>
      <c r="E2329" s="9">
        <f>YEAR(Table4[[#This Row],[issue_date]])</f>
        <v>2022</v>
      </c>
      <c r="F2329" t="s">
        <v>21</v>
      </c>
      <c r="G2329">
        <v>30</v>
      </c>
      <c r="H2329" t="s">
        <v>20</v>
      </c>
      <c r="I2329" t="str">
        <f>VLOOKUP(Table4[[#This Row],[customer_id]],customers!A:G,4,)</f>
        <v>chennai</v>
      </c>
    </row>
    <row r="2330" spans="1:9" x14ac:dyDescent="0.3">
      <c r="A2330">
        <v>22329</v>
      </c>
      <c r="B2330">
        <v>387</v>
      </c>
      <c r="C2330" s="2">
        <v>45129</v>
      </c>
      <c r="D2330" s="2" t="str">
        <f>TEXT(Table4[[#This Row],[issue_date]],"mmmm")</f>
        <v>July</v>
      </c>
      <c r="E2330" s="9">
        <f>YEAR(Table4[[#This Row],[issue_date]])</f>
        <v>2023</v>
      </c>
      <c r="F2330" t="s">
        <v>19</v>
      </c>
      <c r="G2330">
        <v>50</v>
      </c>
      <c r="H2330" t="s">
        <v>23</v>
      </c>
      <c r="I2330" t="str">
        <f>VLOOKUP(Table4[[#This Row],[customer_id]],customers!A:G,4,)</f>
        <v>bangalore</v>
      </c>
    </row>
    <row r="2331" spans="1:9" x14ac:dyDescent="0.3">
      <c r="A2331">
        <v>22330</v>
      </c>
      <c r="B2331">
        <v>471</v>
      </c>
      <c r="C2331" s="2">
        <v>44712</v>
      </c>
      <c r="D2331" s="2" t="str">
        <f>TEXT(Table4[[#This Row],[issue_date]],"mmmm")</f>
        <v>May</v>
      </c>
      <c r="E2331" s="9">
        <f>YEAR(Table4[[#This Row],[issue_date]])</f>
        <v>2022</v>
      </c>
      <c r="F2331" t="s">
        <v>22</v>
      </c>
      <c r="G2331">
        <v>34</v>
      </c>
      <c r="H2331" t="s">
        <v>20</v>
      </c>
      <c r="I2331" t="str">
        <f>VLOOKUP(Table4[[#This Row],[customer_id]],customers!A:G,4,)</f>
        <v>hyderabad</v>
      </c>
    </row>
    <row r="2332" spans="1:9" x14ac:dyDescent="0.3">
      <c r="A2332">
        <v>22331</v>
      </c>
      <c r="B2332">
        <v>12</v>
      </c>
      <c r="C2332" s="2">
        <v>44860</v>
      </c>
      <c r="D2332" s="2" t="str">
        <f>TEXT(Table4[[#This Row],[issue_date]],"mmmm")</f>
        <v>October</v>
      </c>
      <c r="E2332" s="9">
        <f>YEAR(Table4[[#This Row],[issue_date]])</f>
        <v>2022</v>
      </c>
      <c r="F2332" t="s">
        <v>22</v>
      </c>
      <c r="G2332">
        <v>5</v>
      </c>
      <c r="H2332" t="s">
        <v>23</v>
      </c>
      <c r="I2332" t="str">
        <f>VLOOKUP(Table4[[#This Row],[customer_id]],customers!A:G,4,)</f>
        <v>kolkata</v>
      </c>
    </row>
    <row r="2333" spans="1:9" x14ac:dyDescent="0.3">
      <c r="A2333">
        <v>22332</v>
      </c>
      <c r="B2333">
        <v>297</v>
      </c>
      <c r="C2333" s="2">
        <v>44615</v>
      </c>
      <c r="D2333" s="2" t="str">
        <f>TEXT(Table4[[#This Row],[issue_date]],"mmmm")</f>
        <v>February</v>
      </c>
      <c r="E2333" s="9">
        <f>YEAR(Table4[[#This Row],[issue_date]])</f>
        <v>2022</v>
      </c>
      <c r="F2333" t="s">
        <v>22</v>
      </c>
      <c r="G2333">
        <v>12</v>
      </c>
      <c r="H2333" t="s">
        <v>20</v>
      </c>
      <c r="I2333" t="str">
        <f>VLOOKUP(Table4[[#This Row],[customer_id]],customers!A:G,4,)</f>
        <v>chennai</v>
      </c>
    </row>
    <row r="2334" spans="1:9" x14ac:dyDescent="0.3">
      <c r="A2334">
        <v>22333</v>
      </c>
      <c r="B2334">
        <v>105</v>
      </c>
      <c r="C2334" s="2">
        <v>44784</v>
      </c>
      <c r="D2334" s="2" t="str">
        <f>TEXT(Table4[[#This Row],[issue_date]],"mmmm")</f>
        <v>August</v>
      </c>
      <c r="E2334" s="9">
        <f>YEAR(Table4[[#This Row],[issue_date]])</f>
        <v>2022</v>
      </c>
      <c r="F2334" t="s">
        <v>19</v>
      </c>
      <c r="G2334">
        <v>52</v>
      </c>
      <c r="H2334" t="s">
        <v>20</v>
      </c>
      <c r="I2334" t="str">
        <f>VLOOKUP(Table4[[#This Row],[customer_id]],customers!A:G,4,)</f>
        <v>kolkata</v>
      </c>
    </row>
    <row r="2335" spans="1:9" x14ac:dyDescent="0.3">
      <c r="A2335">
        <v>22334</v>
      </c>
      <c r="B2335">
        <v>207</v>
      </c>
      <c r="C2335" s="2">
        <v>45327</v>
      </c>
      <c r="D2335" s="2" t="str">
        <f>TEXT(Table4[[#This Row],[issue_date]],"mmmm")</f>
        <v>February</v>
      </c>
      <c r="E2335" s="9">
        <f>YEAR(Table4[[#This Row],[issue_date]])</f>
        <v>2024</v>
      </c>
      <c r="F2335" t="s">
        <v>19</v>
      </c>
      <c r="G2335">
        <v>51</v>
      </c>
      <c r="H2335" t="s">
        <v>20</v>
      </c>
      <c r="I2335" t="str">
        <f>VLOOKUP(Table4[[#This Row],[customer_id]],customers!A:G,4,)</f>
        <v>mumbai</v>
      </c>
    </row>
    <row r="2336" spans="1:9" x14ac:dyDescent="0.3">
      <c r="A2336">
        <v>22335</v>
      </c>
      <c r="B2336">
        <v>65</v>
      </c>
      <c r="C2336" s="2">
        <v>45141</v>
      </c>
      <c r="D2336" s="2" t="str">
        <f>TEXT(Table4[[#This Row],[issue_date]],"mmmm")</f>
        <v>August</v>
      </c>
      <c r="E2336" s="9">
        <f>YEAR(Table4[[#This Row],[issue_date]])</f>
        <v>2023</v>
      </c>
      <c r="F2336" t="s">
        <v>21</v>
      </c>
      <c r="G2336">
        <v>21</v>
      </c>
      <c r="H2336" t="s">
        <v>20</v>
      </c>
      <c r="I2336" t="str">
        <f>VLOOKUP(Table4[[#This Row],[customer_id]],customers!A:G,4,)</f>
        <v>delhi</v>
      </c>
    </row>
    <row r="2337" spans="1:9" x14ac:dyDescent="0.3">
      <c r="A2337">
        <v>22336</v>
      </c>
      <c r="B2337">
        <v>63</v>
      </c>
      <c r="C2337" s="2">
        <v>45126</v>
      </c>
      <c r="D2337" s="2" t="str">
        <f>TEXT(Table4[[#This Row],[issue_date]],"mmmm")</f>
        <v>July</v>
      </c>
      <c r="E2337" s="9">
        <f>YEAR(Table4[[#This Row],[issue_date]])</f>
        <v>2023</v>
      </c>
      <c r="F2337" t="s">
        <v>21</v>
      </c>
      <c r="G2337">
        <v>71</v>
      </c>
      <c r="H2337" t="s">
        <v>20</v>
      </c>
      <c r="I2337" t="str">
        <f>VLOOKUP(Table4[[#This Row],[customer_id]],customers!A:G,4,)</f>
        <v>kolkata</v>
      </c>
    </row>
    <row r="2338" spans="1:9" x14ac:dyDescent="0.3">
      <c r="A2338">
        <v>22337</v>
      </c>
      <c r="B2338">
        <v>178</v>
      </c>
      <c r="C2338" s="2">
        <v>45028</v>
      </c>
      <c r="D2338" s="2" t="str">
        <f>TEXT(Table4[[#This Row],[issue_date]],"mmmm")</f>
        <v>April</v>
      </c>
      <c r="E2338" s="9">
        <f>YEAR(Table4[[#This Row],[issue_date]])</f>
        <v>2023</v>
      </c>
      <c r="F2338" t="s">
        <v>19</v>
      </c>
      <c r="G2338">
        <v>58</v>
      </c>
      <c r="H2338" t="s">
        <v>20</v>
      </c>
      <c r="I2338" t="str">
        <f>VLOOKUP(Table4[[#This Row],[customer_id]],customers!A:G,4,)</f>
        <v>chennai</v>
      </c>
    </row>
    <row r="2339" spans="1:9" x14ac:dyDescent="0.3">
      <c r="A2339">
        <v>22338</v>
      </c>
      <c r="B2339">
        <v>431</v>
      </c>
      <c r="C2339" s="2">
        <v>45318</v>
      </c>
      <c r="D2339" s="2" t="str">
        <f>TEXT(Table4[[#This Row],[issue_date]],"mmmm")</f>
        <v>January</v>
      </c>
      <c r="E2339" s="9">
        <f>YEAR(Table4[[#This Row],[issue_date]])</f>
        <v>2024</v>
      </c>
      <c r="F2339" t="s">
        <v>21</v>
      </c>
      <c r="G2339">
        <v>64</v>
      </c>
      <c r="H2339" t="s">
        <v>20</v>
      </c>
      <c r="I2339" t="str">
        <f>VLOOKUP(Table4[[#This Row],[customer_id]],customers!A:G,4,)</f>
        <v>chennai</v>
      </c>
    </row>
    <row r="2340" spans="1:9" x14ac:dyDescent="0.3">
      <c r="A2340">
        <v>22339</v>
      </c>
      <c r="B2340">
        <v>8</v>
      </c>
      <c r="C2340" s="2">
        <v>45047</v>
      </c>
      <c r="D2340" s="2" t="str">
        <f>TEXT(Table4[[#This Row],[issue_date]],"mmmm")</f>
        <v>May</v>
      </c>
      <c r="E2340" s="9">
        <f>YEAR(Table4[[#This Row],[issue_date]])</f>
        <v>2023</v>
      </c>
      <c r="F2340" t="s">
        <v>22</v>
      </c>
      <c r="G2340">
        <v>6</v>
      </c>
      <c r="H2340" t="s">
        <v>23</v>
      </c>
      <c r="I2340" t="str">
        <f>VLOOKUP(Table4[[#This Row],[customer_id]],customers!A:G,4,)</f>
        <v>mumbai</v>
      </c>
    </row>
    <row r="2341" spans="1:9" x14ac:dyDescent="0.3">
      <c r="A2341">
        <v>22340</v>
      </c>
      <c r="B2341">
        <v>159</v>
      </c>
      <c r="C2341" s="2">
        <v>45113</v>
      </c>
      <c r="D2341" s="2" t="str">
        <f>TEXT(Table4[[#This Row],[issue_date]],"mmmm")</f>
        <v>July</v>
      </c>
      <c r="E2341" s="9">
        <f>YEAR(Table4[[#This Row],[issue_date]])</f>
        <v>2023</v>
      </c>
      <c r="F2341" t="s">
        <v>21</v>
      </c>
      <c r="G2341">
        <v>49</v>
      </c>
      <c r="H2341" t="s">
        <v>20</v>
      </c>
      <c r="I2341" t="str">
        <f>VLOOKUP(Table4[[#This Row],[customer_id]],customers!A:G,4,)</f>
        <v>delhi</v>
      </c>
    </row>
    <row r="2342" spans="1:9" x14ac:dyDescent="0.3">
      <c r="A2342">
        <v>22341</v>
      </c>
      <c r="B2342">
        <v>11</v>
      </c>
      <c r="C2342" s="2">
        <v>45005</v>
      </c>
      <c r="D2342" s="2" t="str">
        <f>TEXT(Table4[[#This Row],[issue_date]],"mmmm")</f>
        <v>March</v>
      </c>
      <c r="E2342" s="9">
        <f>YEAR(Table4[[#This Row],[issue_date]])</f>
        <v>2023</v>
      </c>
      <c r="F2342" t="s">
        <v>22</v>
      </c>
      <c r="G2342">
        <v>37</v>
      </c>
      <c r="H2342" t="s">
        <v>20</v>
      </c>
      <c r="I2342" t="str">
        <f>VLOOKUP(Table4[[#This Row],[customer_id]],customers!A:G,4,)</f>
        <v>mumbai</v>
      </c>
    </row>
    <row r="2343" spans="1:9" x14ac:dyDescent="0.3">
      <c r="A2343">
        <v>22342</v>
      </c>
      <c r="B2343">
        <v>273</v>
      </c>
      <c r="C2343" s="2">
        <v>45415</v>
      </c>
      <c r="D2343" s="2" t="str">
        <f>TEXT(Table4[[#This Row],[issue_date]],"mmmm")</f>
        <v>May</v>
      </c>
      <c r="E2343" s="9">
        <f>YEAR(Table4[[#This Row],[issue_date]])</f>
        <v>2024</v>
      </c>
      <c r="F2343" t="s">
        <v>21</v>
      </c>
      <c r="G2343">
        <v>10</v>
      </c>
      <c r="H2343" t="s">
        <v>20</v>
      </c>
      <c r="I2343" t="str">
        <f>VLOOKUP(Table4[[#This Row],[customer_id]],customers!A:G,4,)</f>
        <v>kolkata</v>
      </c>
    </row>
    <row r="2344" spans="1:9" x14ac:dyDescent="0.3">
      <c r="A2344">
        <v>22343</v>
      </c>
      <c r="B2344">
        <v>411</v>
      </c>
      <c r="C2344" s="2">
        <v>45424</v>
      </c>
      <c r="D2344" s="2" t="str">
        <f>TEXT(Table4[[#This Row],[issue_date]],"mmmm")</f>
        <v>May</v>
      </c>
      <c r="E2344" s="9">
        <f>YEAR(Table4[[#This Row],[issue_date]])</f>
        <v>2024</v>
      </c>
      <c r="F2344" t="s">
        <v>22</v>
      </c>
      <c r="G2344">
        <v>66</v>
      </c>
      <c r="H2344" t="s">
        <v>20</v>
      </c>
      <c r="I2344" t="str">
        <f>VLOOKUP(Table4[[#This Row],[customer_id]],customers!A:G,4,)</f>
        <v>hyderabad</v>
      </c>
    </row>
    <row r="2345" spans="1:9" x14ac:dyDescent="0.3">
      <c r="A2345">
        <v>22344</v>
      </c>
      <c r="B2345">
        <v>380</v>
      </c>
      <c r="C2345" s="2">
        <v>44699</v>
      </c>
      <c r="D2345" s="2" t="str">
        <f>TEXT(Table4[[#This Row],[issue_date]],"mmmm")</f>
        <v>May</v>
      </c>
      <c r="E2345" s="9">
        <f>YEAR(Table4[[#This Row],[issue_date]])</f>
        <v>2022</v>
      </c>
      <c r="F2345" t="s">
        <v>21</v>
      </c>
      <c r="G2345">
        <v>56</v>
      </c>
      <c r="H2345" t="s">
        <v>20</v>
      </c>
      <c r="I2345" t="str">
        <f>VLOOKUP(Table4[[#This Row],[customer_id]],customers!A:G,4,)</f>
        <v>delhi</v>
      </c>
    </row>
    <row r="2346" spans="1:9" x14ac:dyDescent="0.3">
      <c r="A2346">
        <v>22345</v>
      </c>
      <c r="B2346">
        <v>95</v>
      </c>
      <c r="C2346" s="2">
        <v>45339</v>
      </c>
      <c r="D2346" s="2" t="str">
        <f>TEXT(Table4[[#This Row],[issue_date]],"mmmm")</f>
        <v>February</v>
      </c>
      <c r="E2346" s="9">
        <f>YEAR(Table4[[#This Row],[issue_date]])</f>
        <v>2024</v>
      </c>
      <c r="F2346" t="s">
        <v>21</v>
      </c>
      <c r="G2346">
        <v>71</v>
      </c>
      <c r="H2346" t="s">
        <v>23</v>
      </c>
      <c r="I2346" t="str">
        <f>VLOOKUP(Table4[[#This Row],[customer_id]],customers!A:G,4,)</f>
        <v>mumbai</v>
      </c>
    </row>
    <row r="2347" spans="1:9" x14ac:dyDescent="0.3">
      <c r="A2347">
        <v>22346</v>
      </c>
      <c r="B2347">
        <v>155</v>
      </c>
      <c r="C2347" s="2">
        <v>45211</v>
      </c>
      <c r="D2347" s="2" t="str">
        <f>TEXT(Table4[[#This Row],[issue_date]],"mmmm")</f>
        <v>October</v>
      </c>
      <c r="E2347" s="9">
        <f>YEAR(Table4[[#This Row],[issue_date]])</f>
        <v>2023</v>
      </c>
      <c r="F2347" t="s">
        <v>19</v>
      </c>
      <c r="G2347">
        <v>66</v>
      </c>
      <c r="H2347" t="s">
        <v>20</v>
      </c>
      <c r="I2347" t="str">
        <f>VLOOKUP(Table4[[#This Row],[customer_id]],customers!A:G,4,)</f>
        <v>mumbai</v>
      </c>
    </row>
    <row r="2348" spans="1:9" x14ac:dyDescent="0.3">
      <c r="A2348">
        <v>22347</v>
      </c>
      <c r="B2348">
        <v>206</v>
      </c>
      <c r="C2348" s="2">
        <v>44853</v>
      </c>
      <c r="D2348" s="2" t="str">
        <f>TEXT(Table4[[#This Row],[issue_date]],"mmmm")</f>
        <v>October</v>
      </c>
      <c r="E2348" s="9">
        <f>YEAR(Table4[[#This Row],[issue_date]])</f>
        <v>2022</v>
      </c>
      <c r="F2348" t="s">
        <v>19</v>
      </c>
      <c r="G2348">
        <v>45</v>
      </c>
      <c r="H2348" t="s">
        <v>20</v>
      </c>
      <c r="I2348" t="str">
        <f>VLOOKUP(Table4[[#This Row],[customer_id]],customers!A:G,4,)</f>
        <v>hyderabad</v>
      </c>
    </row>
    <row r="2349" spans="1:9" x14ac:dyDescent="0.3">
      <c r="A2349">
        <v>22348</v>
      </c>
      <c r="B2349">
        <v>115</v>
      </c>
      <c r="C2349" s="2">
        <v>44771</v>
      </c>
      <c r="D2349" s="2" t="str">
        <f>TEXT(Table4[[#This Row],[issue_date]],"mmmm")</f>
        <v>July</v>
      </c>
      <c r="E2349" s="9">
        <f>YEAR(Table4[[#This Row],[issue_date]])</f>
        <v>2022</v>
      </c>
      <c r="F2349" t="s">
        <v>22</v>
      </c>
      <c r="G2349">
        <v>68</v>
      </c>
      <c r="H2349" t="s">
        <v>20</v>
      </c>
      <c r="I2349" t="str">
        <f>VLOOKUP(Table4[[#This Row],[customer_id]],customers!A:G,4,)</f>
        <v>bangalore</v>
      </c>
    </row>
    <row r="2350" spans="1:9" x14ac:dyDescent="0.3">
      <c r="A2350">
        <v>22349</v>
      </c>
      <c r="B2350">
        <v>379</v>
      </c>
      <c r="C2350" s="2">
        <v>45245</v>
      </c>
      <c r="D2350" s="2" t="str">
        <f>TEXT(Table4[[#This Row],[issue_date]],"mmmm")</f>
        <v>November</v>
      </c>
      <c r="E2350" s="9">
        <f>YEAR(Table4[[#This Row],[issue_date]])</f>
        <v>2023</v>
      </c>
      <c r="F2350" t="s">
        <v>19</v>
      </c>
      <c r="G2350">
        <v>64</v>
      </c>
      <c r="H2350" t="s">
        <v>20</v>
      </c>
      <c r="I2350" t="str">
        <f>VLOOKUP(Table4[[#This Row],[customer_id]],customers!A:G,4,)</f>
        <v>kolkata</v>
      </c>
    </row>
    <row r="2351" spans="1:9" x14ac:dyDescent="0.3">
      <c r="A2351">
        <v>22350</v>
      </c>
      <c r="B2351">
        <v>87</v>
      </c>
      <c r="C2351" s="2">
        <v>45258</v>
      </c>
      <c r="D2351" s="2" t="str">
        <f>TEXT(Table4[[#This Row],[issue_date]],"mmmm")</f>
        <v>November</v>
      </c>
      <c r="E2351" s="9">
        <f>YEAR(Table4[[#This Row],[issue_date]])</f>
        <v>2023</v>
      </c>
      <c r="F2351" t="s">
        <v>22</v>
      </c>
      <c r="G2351">
        <v>16</v>
      </c>
      <c r="H2351" t="s">
        <v>20</v>
      </c>
      <c r="I2351" t="str">
        <f>VLOOKUP(Table4[[#This Row],[customer_id]],customers!A:G,4,)</f>
        <v>hyderabad</v>
      </c>
    </row>
    <row r="2352" spans="1:9" x14ac:dyDescent="0.3">
      <c r="A2352">
        <v>22351</v>
      </c>
      <c r="B2352">
        <v>312</v>
      </c>
      <c r="C2352" s="2">
        <v>45372</v>
      </c>
      <c r="D2352" s="2" t="str">
        <f>TEXT(Table4[[#This Row],[issue_date]],"mmmm")</f>
        <v>March</v>
      </c>
      <c r="E2352" s="9">
        <f>YEAR(Table4[[#This Row],[issue_date]])</f>
        <v>2024</v>
      </c>
      <c r="F2352" t="s">
        <v>19</v>
      </c>
      <c r="G2352">
        <v>10</v>
      </c>
      <c r="H2352" t="s">
        <v>20</v>
      </c>
      <c r="I2352" t="str">
        <f>VLOOKUP(Table4[[#This Row],[customer_id]],customers!A:G,4,)</f>
        <v>hyderabad</v>
      </c>
    </row>
    <row r="2353" spans="1:9" x14ac:dyDescent="0.3">
      <c r="A2353">
        <v>22352</v>
      </c>
      <c r="B2353">
        <v>197</v>
      </c>
      <c r="C2353" s="2">
        <v>45313</v>
      </c>
      <c r="D2353" s="2" t="str">
        <f>TEXT(Table4[[#This Row],[issue_date]],"mmmm")</f>
        <v>January</v>
      </c>
      <c r="E2353" s="9">
        <f>YEAR(Table4[[#This Row],[issue_date]])</f>
        <v>2024</v>
      </c>
      <c r="F2353" t="s">
        <v>19</v>
      </c>
      <c r="G2353">
        <v>21</v>
      </c>
      <c r="H2353" t="s">
        <v>20</v>
      </c>
      <c r="I2353" t="str">
        <f>VLOOKUP(Table4[[#This Row],[customer_id]],customers!A:G,4,)</f>
        <v>chennai</v>
      </c>
    </row>
    <row r="2354" spans="1:9" x14ac:dyDescent="0.3">
      <c r="A2354">
        <v>22353</v>
      </c>
      <c r="B2354">
        <v>350</v>
      </c>
      <c r="C2354" s="2">
        <v>44772</v>
      </c>
      <c r="D2354" s="2" t="str">
        <f>TEXT(Table4[[#This Row],[issue_date]],"mmmm")</f>
        <v>July</v>
      </c>
      <c r="E2354" s="9">
        <f>YEAR(Table4[[#This Row],[issue_date]])</f>
        <v>2022</v>
      </c>
      <c r="F2354" t="s">
        <v>22</v>
      </c>
      <c r="G2354">
        <v>12</v>
      </c>
      <c r="H2354" t="s">
        <v>20</v>
      </c>
      <c r="I2354" t="str">
        <f>VLOOKUP(Table4[[#This Row],[customer_id]],customers!A:G,4,)</f>
        <v>delhi</v>
      </c>
    </row>
    <row r="2355" spans="1:9" x14ac:dyDescent="0.3">
      <c r="A2355">
        <v>22354</v>
      </c>
      <c r="B2355">
        <v>98</v>
      </c>
      <c r="C2355" s="2">
        <v>45436</v>
      </c>
      <c r="D2355" s="2" t="str">
        <f>TEXT(Table4[[#This Row],[issue_date]],"mmmm")</f>
        <v>May</v>
      </c>
      <c r="E2355" s="9">
        <f>YEAR(Table4[[#This Row],[issue_date]])</f>
        <v>2024</v>
      </c>
      <c r="F2355" t="s">
        <v>21</v>
      </c>
      <c r="G2355">
        <v>13</v>
      </c>
      <c r="H2355" t="s">
        <v>20</v>
      </c>
      <c r="I2355" t="str">
        <f>VLOOKUP(Table4[[#This Row],[customer_id]],customers!A:G,4,)</f>
        <v>chennai</v>
      </c>
    </row>
    <row r="2356" spans="1:9" x14ac:dyDescent="0.3">
      <c r="A2356">
        <v>22355</v>
      </c>
      <c r="B2356">
        <v>431</v>
      </c>
      <c r="C2356" s="2">
        <v>45224</v>
      </c>
      <c r="D2356" s="2" t="str">
        <f>TEXT(Table4[[#This Row],[issue_date]],"mmmm")</f>
        <v>October</v>
      </c>
      <c r="E2356" s="9">
        <f>YEAR(Table4[[#This Row],[issue_date]])</f>
        <v>2023</v>
      </c>
      <c r="F2356" t="s">
        <v>22</v>
      </c>
      <c r="G2356">
        <v>10</v>
      </c>
      <c r="H2356" t="s">
        <v>23</v>
      </c>
      <c r="I2356" t="str">
        <f>VLOOKUP(Table4[[#This Row],[customer_id]],customers!A:G,4,)</f>
        <v>chennai</v>
      </c>
    </row>
    <row r="2357" spans="1:9" x14ac:dyDescent="0.3">
      <c r="A2357">
        <v>22356</v>
      </c>
      <c r="B2357">
        <v>19</v>
      </c>
      <c r="C2357" s="2">
        <v>44949</v>
      </c>
      <c r="D2357" s="2" t="str">
        <f>TEXT(Table4[[#This Row],[issue_date]],"mmmm")</f>
        <v>January</v>
      </c>
      <c r="E2357" s="9">
        <f>YEAR(Table4[[#This Row],[issue_date]])</f>
        <v>2023</v>
      </c>
      <c r="F2357" t="s">
        <v>22</v>
      </c>
      <c r="G2357">
        <v>13</v>
      </c>
      <c r="H2357" t="s">
        <v>20</v>
      </c>
      <c r="I2357" t="str">
        <f>VLOOKUP(Table4[[#This Row],[customer_id]],customers!A:G,4,)</f>
        <v>kolkata</v>
      </c>
    </row>
    <row r="2358" spans="1:9" x14ac:dyDescent="0.3">
      <c r="A2358">
        <v>22357</v>
      </c>
      <c r="B2358">
        <v>313</v>
      </c>
      <c r="C2358" s="2">
        <v>44957</v>
      </c>
      <c r="D2358" s="2" t="str">
        <f>TEXT(Table4[[#This Row],[issue_date]],"mmmm")</f>
        <v>January</v>
      </c>
      <c r="E2358" s="9">
        <f>YEAR(Table4[[#This Row],[issue_date]])</f>
        <v>2023</v>
      </c>
      <c r="F2358" t="s">
        <v>22</v>
      </c>
      <c r="G2358">
        <v>34</v>
      </c>
      <c r="H2358" t="s">
        <v>20</v>
      </c>
      <c r="I2358" t="str">
        <f>VLOOKUP(Table4[[#This Row],[customer_id]],customers!A:G,4,)</f>
        <v>chennai</v>
      </c>
    </row>
    <row r="2359" spans="1:9" x14ac:dyDescent="0.3">
      <c r="A2359">
        <v>22358</v>
      </c>
      <c r="B2359">
        <v>415</v>
      </c>
      <c r="C2359" s="2">
        <v>44685</v>
      </c>
      <c r="D2359" s="2" t="str">
        <f>TEXT(Table4[[#This Row],[issue_date]],"mmmm")</f>
        <v>May</v>
      </c>
      <c r="E2359" s="9">
        <f>YEAR(Table4[[#This Row],[issue_date]])</f>
        <v>2022</v>
      </c>
      <c r="F2359" t="s">
        <v>19</v>
      </c>
      <c r="G2359">
        <v>59</v>
      </c>
      <c r="H2359" t="s">
        <v>20</v>
      </c>
      <c r="I2359" t="str">
        <f>VLOOKUP(Table4[[#This Row],[customer_id]],customers!A:G,4,)</f>
        <v>delhi</v>
      </c>
    </row>
    <row r="2360" spans="1:9" x14ac:dyDescent="0.3">
      <c r="A2360">
        <v>22359</v>
      </c>
      <c r="B2360">
        <v>16</v>
      </c>
      <c r="C2360" s="2">
        <v>45122</v>
      </c>
      <c r="D2360" s="2" t="str">
        <f>TEXT(Table4[[#This Row],[issue_date]],"mmmm")</f>
        <v>July</v>
      </c>
      <c r="E2360" s="9">
        <f>YEAR(Table4[[#This Row],[issue_date]])</f>
        <v>2023</v>
      </c>
      <c r="F2360" t="s">
        <v>19</v>
      </c>
      <c r="G2360">
        <v>49</v>
      </c>
      <c r="H2360" t="s">
        <v>20</v>
      </c>
      <c r="I2360" t="str">
        <f>VLOOKUP(Table4[[#This Row],[customer_id]],customers!A:G,4,)</f>
        <v>bangalore</v>
      </c>
    </row>
    <row r="2361" spans="1:9" x14ac:dyDescent="0.3">
      <c r="A2361">
        <v>22360</v>
      </c>
      <c r="B2361">
        <v>45</v>
      </c>
      <c r="C2361" s="2">
        <v>44685</v>
      </c>
      <c r="D2361" s="2" t="str">
        <f>TEXT(Table4[[#This Row],[issue_date]],"mmmm")</f>
        <v>May</v>
      </c>
      <c r="E2361" s="9">
        <f>YEAR(Table4[[#This Row],[issue_date]])</f>
        <v>2022</v>
      </c>
      <c r="F2361" t="s">
        <v>19</v>
      </c>
      <c r="G2361">
        <v>6</v>
      </c>
      <c r="H2361" t="s">
        <v>20</v>
      </c>
      <c r="I2361" t="str">
        <f>VLOOKUP(Table4[[#This Row],[customer_id]],customers!A:G,4,)</f>
        <v>bangalore</v>
      </c>
    </row>
    <row r="2362" spans="1:9" x14ac:dyDescent="0.3">
      <c r="A2362">
        <v>22361</v>
      </c>
      <c r="B2362">
        <v>155</v>
      </c>
      <c r="C2362" s="2">
        <v>44629</v>
      </c>
      <c r="D2362" s="2" t="str">
        <f>TEXT(Table4[[#This Row],[issue_date]],"mmmm")</f>
        <v>March</v>
      </c>
      <c r="E2362" s="9">
        <f>YEAR(Table4[[#This Row],[issue_date]])</f>
        <v>2022</v>
      </c>
      <c r="F2362" t="s">
        <v>22</v>
      </c>
      <c r="G2362">
        <v>12</v>
      </c>
      <c r="H2362" t="s">
        <v>20</v>
      </c>
      <c r="I2362" t="str">
        <f>VLOOKUP(Table4[[#This Row],[customer_id]],customers!A:G,4,)</f>
        <v>mumbai</v>
      </c>
    </row>
    <row r="2363" spans="1:9" x14ac:dyDescent="0.3">
      <c r="A2363">
        <v>22362</v>
      </c>
      <c r="B2363">
        <v>445</v>
      </c>
      <c r="C2363" s="2">
        <v>45036</v>
      </c>
      <c r="D2363" s="2" t="str">
        <f>TEXT(Table4[[#This Row],[issue_date]],"mmmm")</f>
        <v>April</v>
      </c>
      <c r="E2363" s="9">
        <f>YEAR(Table4[[#This Row],[issue_date]])</f>
        <v>2023</v>
      </c>
      <c r="F2363" t="s">
        <v>21</v>
      </c>
      <c r="G2363">
        <v>29</v>
      </c>
      <c r="H2363" t="s">
        <v>20</v>
      </c>
      <c r="I2363" t="str">
        <f>VLOOKUP(Table4[[#This Row],[customer_id]],customers!A:G,4,)</f>
        <v>chennai</v>
      </c>
    </row>
    <row r="2364" spans="1:9" x14ac:dyDescent="0.3">
      <c r="A2364">
        <v>22363</v>
      </c>
      <c r="B2364">
        <v>410</v>
      </c>
      <c r="C2364" s="2">
        <v>44919</v>
      </c>
      <c r="D2364" s="2" t="str">
        <f>TEXT(Table4[[#This Row],[issue_date]],"mmmm")</f>
        <v>December</v>
      </c>
      <c r="E2364" s="9">
        <f>YEAR(Table4[[#This Row],[issue_date]])</f>
        <v>2022</v>
      </c>
      <c r="F2364" t="s">
        <v>21</v>
      </c>
      <c r="G2364">
        <v>26</v>
      </c>
      <c r="H2364" t="s">
        <v>20</v>
      </c>
      <c r="I2364" t="str">
        <f>VLOOKUP(Table4[[#This Row],[customer_id]],customers!A:G,4,)</f>
        <v>bangalore</v>
      </c>
    </row>
    <row r="2365" spans="1:9" x14ac:dyDescent="0.3">
      <c r="A2365">
        <v>22364</v>
      </c>
      <c r="B2365">
        <v>231</v>
      </c>
      <c r="C2365" s="2">
        <v>45304</v>
      </c>
      <c r="D2365" s="2" t="str">
        <f>TEXT(Table4[[#This Row],[issue_date]],"mmmm")</f>
        <v>January</v>
      </c>
      <c r="E2365" s="9">
        <f>YEAR(Table4[[#This Row],[issue_date]])</f>
        <v>2024</v>
      </c>
      <c r="F2365" t="s">
        <v>22</v>
      </c>
      <c r="G2365">
        <v>68</v>
      </c>
      <c r="H2365" t="s">
        <v>20</v>
      </c>
      <c r="I2365" t="str">
        <f>VLOOKUP(Table4[[#This Row],[customer_id]],customers!A:G,4,)</f>
        <v>delhi</v>
      </c>
    </row>
    <row r="2366" spans="1:9" x14ac:dyDescent="0.3">
      <c r="A2366">
        <v>22365</v>
      </c>
      <c r="B2366">
        <v>157</v>
      </c>
      <c r="C2366" s="2">
        <v>45017</v>
      </c>
      <c r="D2366" s="2" t="str">
        <f>TEXT(Table4[[#This Row],[issue_date]],"mmmm")</f>
        <v>April</v>
      </c>
      <c r="E2366" s="9">
        <f>YEAR(Table4[[#This Row],[issue_date]])</f>
        <v>2023</v>
      </c>
      <c r="F2366" t="s">
        <v>22</v>
      </c>
      <c r="G2366">
        <v>16</v>
      </c>
      <c r="H2366" t="s">
        <v>20</v>
      </c>
      <c r="I2366" t="str">
        <f>VLOOKUP(Table4[[#This Row],[customer_id]],customers!A:G,4,)</f>
        <v>chennai</v>
      </c>
    </row>
    <row r="2367" spans="1:9" x14ac:dyDescent="0.3">
      <c r="A2367">
        <v>22366</v>
      </c>
      <c r="B2367">
        <v>113</v>
      </c>
      <c r="C2367" s="2">
        <v>44907</v>
      </c>
      <c r="D2367" s="2" t="str">
        <f>TEXT(Table4[[#This Row],[issue_date]],"mmmm")</f>
        <v>December</v>
      </c>
      <c r="E2367" s="9">
        <f>YEAR(Table4[[#This Row],[issue_date]])</f>
        <v>2022</v>
      </c>
      <c r="F2367" t="s">
        <v>21</v>
      </c>
      <c r="G2367">
        <v>53</v>
      </c>
      <c r="H2367" t="s">
        <v>20</v>
      </c>
      <c r="I2367" t="str">
        <f>VLOOKUP(Table4[[#This Row],[customer_id]],customers!A:G,4,)</f>
        <v>kolkata</v>
      </c>
    </row>
    <row r="2368" spans="1:9" x14ac:dyDescent="0.3">
      <c r="A2368">
        <v>22367</v>
      </c>
      <c r="B2368">
        <v>499</v>
      </c>
      <c r="C2368" s="2">
        <v>45082</v>
      </c>
      <c r="D2368" s="2" t="str">
        <f>TEXT(Table4[[#This Row],[issue_date]],"mmmm")</f>
        <v>June</v>
      </c>
      <c r="E2368" s="9">
        <f>YEAR(Table4[[#This Row],[issue_date]])</f>
        <v>2023</v>
      </c>
      <c r="F2368" t="s">
        <v>19</v>
      </c>
      <c r="G2368">
        <v>19</v>
      </c>
      <c r="H2368" t="s">
        <v>20</v>
      </c>
      <c r="I2368" t="str">
        <f>VLOOKUP(Table4[[#This Row],[customer_id]],customers!A:G,4,)</f>
        <v>delhi</v>
      </c>
    </row>
    <row r="2369" spans="1:9" x14ac:dyDescent="0.3">
      <c r="A2369">
        <v>22368</v>
      </c>
      <c r="B2369">
        <v>377</v>
      </c>
      <c r="C2369" s="2">
        <v>45339</v>
      </c>
      <c r="D2369" s="2" t="str">
        <f>TEXT(Table4[[#This Row],[issue_date]],"mmmm")</f>
        <v>February</v>
      </c>
      <c r="E2369" s="9">
        <f>YEAR(Table4[[#This Row],[issue_date]])</f>
        <v>2024</v>
      </c>
      <c r="F2369" t="s">
        <v>22</v>
      </c>
      <c r="G2369">
        <v>47</v>
      </c>
      <c r="H2369" t="s">
        <v>20</v>
      </c>
      <c r="I2369" t="str">
        <f>VLOOKUP(Table4[[#This Row],[customer_id]],customers!A:G,4,)</f>
        <v>mumbai</v>
      </c>
    </row>
    <row r="2370" spans="1:9" x14ac:dyDescent="0.3">
      <c r="A2370">
        <v>22369</v>
      </c>
      <c r="B2370">
        <v>359</v>
      </c>
      <c r="C2370" s="2">
        <v>45198</v>
      </c>
      <c r="D2370" s="2" t="str">
        <f>TEXT(Table4[[#This Row],[issue_date]],"mmmm")</f>
        <v>September</v>
      </c>
      <c r="E2370" s="9">
        <f>YEAR(Table4[[#This Row],[issue_date]])</f>
        <v>2023</v>
      </c>
      <c r="F2370" t="s">
        <v>21</v>
      </c>
      <c r="G2370">
        <v>32</v>
      </c>
      <c r="H2370" t="s">
        <v>20</v>
      </c>
      <c r="I2370" t="str">
        <f>VLOOKUP(Table4[[#This Row],[customer_id]],customers!A:G,4,)</f>
        <v>mumbai</v>
      </c>
    </row>
    <row r="2371" spans="1:9" x14ac:dyDescent="0.3">
      <c r="A2371">
        <v>22370</v>
      </c>
      <c r="B2371">
        <v>383</v>
      </c>
      <c r="C2371" s="2">
        <v>45444</v>
      </c>
      <c r="D2371" s="2" t="str">
        <f>TEXT(Table4[[#This Row],[issue_date]],"mmmm")</f>
        <v>June</v>
      </c>
      <c r="E2371" s="9">
        <f>YEAR(Table4[[#This Row],[issue_date]])</f>
        <v>2024</v>
      </c>
      <c r="F2371" t="s">
        <v>21</v>
      </c>
      <c r="G2371">
        <v>70</v>
      </c>
      <c r="H2371" t="s">
        <v>20</v>
      </c>
      <c r="I2371" t="str">
        <f>VLOOKUP(Table4[[#This Row],[customer_id]],customers!A:G,4,)</f>
        <v>kolkata</v>
      </c>
    </row>
    <row r="2372" spans="1:9" x14ac:dyDescent="0.3">
      <c r="A2372">
        <v>22371</v>
      </c>
      <c r="B2372">
        <v>44</v>
      </c>
      <c r="C2372" s="2">
        <v>45394</v>
      </c>
      <c r="D2372" s="2" t="str">
        <f>TEXT(Table4[[#This Row],[issue_date]],"mmmm")</f>
        <v>April</v>
      </c>
      <c r="E2372" s="9">
        <f>YEAR(Table4[[#This Row],[issue_date]])</f>
        <v>2024</v>
      </c>
      <c r="F2372" t="s">
        <v>21</v>
      </c>
      <c r="G2372">
        <v>70</v>
      </c>
      <c r="H2372" t="s">
        <v>20</v>
      </c>
      <c r="I2372" t="str">
        <f>VLOOKUP(Table4[[#This Row],[customer_id]],customers!A:G,4,)</f>
        <v>mumbai</v>
      </c>
    </row>
    <row r="2373" spans="1:9" x14ac:dyDescent="0.3">
      <c r="A2373">
        <v>22372</v>
      </c>
      <c r="B2373">
        <v>365</v>
      </c>
      <c r="C2373" s="2">
        <v>45185</v>
      </c>
      <c r="D2373" s="2" t="str">
        <f>TEXT(Table4[[#This Row],[issue_date]],"mmmm")</f>
        <v>September</v>
      </c>
      <c r="E2373" s="9">
        <f>YEAR(Table4[[#This Row],[issue_date]])</f>
        <v>2023</v>
      </c>
      <c r="F2373" t="s">
        <v>19</v>
      </c>
      <c r="G2373">
        <v>61</v>
      </c>
      <c r="H2373" t="s">
        <v>20</v>
      </c>
      <c r="I2373" t="str">
        <f>VLOOKUP(Table4[[#This Row],[customer_id]],customers!A:G,4,)</f>
        <v>hyderabad</v>
      </c>
    </row>
    <row r="2374" spans="1:9" x14ac:dyDescent="0.3">
      <c r="A2374">
        <v>22373</v>
      </c>
      <c r="B2374">
        <v>413</v>
      </c>
      <c r="C2374" s="2">
        <v>45059</v>
      </c>
      <c r="D2374" s="2" t="str">
        <f>TEXT(Table4[[#This Row],[issue_date]],"mmmm")</f>
        <v>May</v>
      </c>
      <c r="E2374" s="9">
        <f>YEAR(Table4[[#This Row],[issue_date]])</f>
        <v>2023</v>
      </c>
      <c r="F2374" t="s">
        <v>21</v>
      </c>
      <c r="G2374">
        <v>5</v>
      </c>
      <c r="H2374" t="s">
        <v>20</v>
      </c>
      <c r="I2374" t="str">
        <f>VLOOKUP(Table4[[#This Row],[customer_id]],customers!A:G,4,)</f>
        <v>kolkata</v>
      </c>
    </row>
    <row r="2375" spans="1:9" x14ac:dyDescent="0.3">
      <c r="A2375">
        <v>22374</v>
      </c>
      <c r="B2375">
        <v>365</v>
      </c>
      <c r="C2375" s="2">
        <v>44889</v>
      </c>
      <c r="D2375" s="2" t="str">
        <f>TEXT(Table4[[#This Row],[issue_date]],"mmmm")</f>
        <v>November</v>
      </c>
      <c r="E2375" s="9">
        <f>YEAR(Table4[[#This Row],[issue_date]])</f>
        <v>2022</v>
      </c>
      <c r="F2375" t="s">
        <v>21</v>
      </c>
      <c r="G2375">
        <v>59</v>
      </c>
      <c r="H2375" t="s">
        <v>20</v>
      </c>
      <c r="I2375" t="str">
        <f>VLOOKUP(Table4[[#This Row],[customer_id]],customers!A:G,4,)</f>
        <v>hyderabad</v>
      </c>
    </row>
    <row r="2376" spans="1:9" x14ac:dyDescent="0.3">
      <c r="A2376">
        <v>22375</v>
      </c>
      <c r="B2376">
        <v>110</v>
      </c>
      <c r="C2376" s="2">
        <v>44891</v>
      </c>
      <c r="D2376" s="2" t="str">
        <f>TEXT(Table4[[#This Row],[issue_date]],"mmmm")</f>
        <v>November</v>
      </c>
      <c r="E2376" s="9">
        <f>YEAR(Table4[[#This Row],[issue_date]])</f>
        <v>2022</v>
      </c>
      <c r="F2376" t="s">
        <v>21</v>
      </c>
      <c r="G2376">
        <v>2</v>
      </c>
      <c r="H2376" t="s">
        <v>20</v>
      </c>
      <c r="I2376" t="str">
        <f>VLOOKUP(Table4[[#This Row],[customer_id]],customers!A:G,4,)</f>
        <v>hyderabad</v>
      </c>
    </row>
    <row r="2377" spans="1:9" x14ac:dyDescent="0.3">
      <c r="A2377">
        <v>22376</v>
      </c>
      <c r="B2377">
        <v>111</v>
      </c>
      <c r="C2377" s="2">
        <v>45127</v>
      </c>
      <c r="D2377" s="2" t="str">
        <f>TEXT(Table4[[#This Row],[issue_date]],"mmmm")</f>
        <v>July</v>
      </c>
      <c r="E2377" s="9">
        <f>YEAR(Table4[[#This Row],[issue_date]])</f>
        <v>2023</v>
      </c>
      <c r="F2377" t="s">
        <v>22</v>
      </c>
      <c r="G2377">
        <v>2</v>
      </c>
      <c r="H2377" t="s">
        <v>20</v>
      </c>
      <c r="I2377" t="str">
        <f>VLOOKUP(Table4[[#This Row],[customer_id]],customers!A:G,4,)</f>
        <v>mumbai</v>
      </c>
    </row>
    <row r="2378" spans="1:9" x14ac:dyDescent="0.3">
      <c r="A2378">
        <v>22377</v>
      </c>
      <c r="B2378">
        <v>223</v>
      </c>
      <c r="C2378" s="2">
        <v>44988</v>
      </c>
      <c r="D2378" s="2" t="str">
        <f>TEXT(Table4[[#This Row],[issue_date]],"mmmm")</f>
        <v>March</v>
      </c>
      <c r="E2378" s="9">
        <f>YEAR(Table4[[#This Row],[issue_date]])</f>
        <v>2023</v>
      </c>
      <c r="F2378" t="s">
        <v>22</v>
      </c>
      <c r="G2378">
        <v>3</v>
      </c>
      <c r="H2378" t="s">
        <v>20</v>
      </c>
      <c r="I2378" t="str">
        <f>VLOOKUP(Table4[[#This Row],[customer_id]],customers!A:G,4,)</f>
        <v>bangalore</v>
      </c>
    </row>
    <row r="2379" spans="1:9" x14ac:dyDescent="0.3">
      <c r="A2379">
        <v>22378</v>
      </c>
      <c r="B2379">
        <v>386</v>
      </c>
      <c r="C2379" s="2">
        <v>45004</v>
      </c>
      <c r="D2379" s="2" t="str">
        <f>TEXT(Table4[[#This Row],[issue_date]],"mmmm")</f>
        <v>March</v>
      </c>
      <c r="E2379" s="9">
        <f>YEAR(Table4[[#This Row],[issue_date]])</f>
        <v>2023</v>
      </c>
      <c r="F2379" t="s">
        <v>22</v>
      </c>
      <c r="G2379">
        <v>70</v>
      </c>
      <c r="H2379" t="s">
        <v>20</v>
      </c>
      <c r="I2379" t="str">
        <f>VLOOKUP(Table4[[#This Row],[customer_id]],customers!A:G,4,)</f>
        <v>chennai</v>
      </c>
    </row>
    <row r="2380" spans="1:9" x14ac:dyDescent="0.3">
      <c r="A2380">
        <v>22379</v>
      </c>
      <c r="B2380">
        <v>390</v>
      </c>
      <c r="C2380" s="2">
        <v>45162</v>
      </c>
      <c r="D2380" s="2" t="str">
        <f>TEXT(Table4[[#This Row],[issue_date]],"mmmm")</f>
        <v>August</v>
      </c>
      <c r="E2380" s="9">
        <f>YEAR(Table4[[#This Row],[issue_date]])</f>
        <v>2023</v>
      </c>
      <c r="F2380" t="s">
        <v>21</v>
      </c>
      <c r="G2380">
        <v>43</v>
      </c>
      <c r="H2380" t="s">
        <v>20</v>
      </c>
      <c r="I2380" t="str">
        <f>VLOOKUP(Table4[[#This Row],[customer_id]],customers!A:G,4,)</f>
        <v>bangalore</v>
      </c>
    </row>
    <row r="2381" spans="1:9" x14ac:dyDescent="0.3">
      <c r="A2381">
        <v>22380</v>
      </c>
      <c r="B2381">
        <v>265</v>
      </c>
      <c r="C2381" s="2">
        <v>44656</v>
      </c>
      <c r="D2381" s="2" t="str">
        <f>TEXT(Table4[[#This Row],[issue_date]],"mmmm")</f>
        <v>April</v>
      </c>
      <c r="E2381" s="9">
        <f>YEAR(Table4[[#This Row],[issue_date]])</f>
        <v>2022</v>
      </c>
      <c r="F2381" t="s">
        <v>21</v>
      </c>
      <c r="G2381">
        <v>5</v>
      </c>
      <c r="H2381" t="s">
        <v>20</v>
      </c>
      <c r="I2381" t="str">
        <f>VLOOKUP(Table4[[#This Row],[customer_id]],customers!A:G,4,)</f>
        <v>delhi</v>
      </c>
    </row>
    <row r="2382" spans="1:9" x14ac:dyDescent="0.3">
      <c r="A2382">
        <v>22381</v>
      </c>
      <c r="B2382">
        <v>271</v>
      </c>
      <c r="C2382" s="2">
        <v>45432</v>
      </c>
      <c r="D2382" s="2" t="str">
        <f>TEXT(Table4[[#This Row],[issue_date]],"mmmm")</f>
        <v>May</v>
      </c>
      <c r="E2382" s="9">
        <f>YEAR(Table4[[#This Row],[issue_date]])</f>
        <v>2024</v>
      </c>
      <c r="F2382" t="s">
        <v>19</v>
      </c>
      <c r="G2382">
        <v>50</v>
      </c>
      <c r="H2382" t="s">
        <v>20</v>
      </c>
      <c r="I2382" t="str">
        <f>VLOOKUP(Table4[[#This Row],[customer_id]],customers!A:G,4,)</f>
        <v>kolkata</v>
      </c>
    </row>
    <row r="2383" spans="1:9" x14ac:dyDescent="0.3">
      <c r="A2383">
        <v>22382</v>
      </c>
      <c r="B2383">
        <v>212</v>
      </c>
      <c r="C2383" s="2">
        <v>45323</v>
      </c>
      <c r="D2383" s="2" t="str">
        <f>TEXT(Table4[[#This Row],[issue_date]],"mmmm")</f>
        <v>February</v>
      </c>
      <c r="E2383" s="9">
        <f>YEAR(Table4[[#This Row],[issue_date]])</f>
        <v>2024</v>
      </c>
      <c r="F2383" t="s">
        <v>21</v>
      </c>
      <c r="G2383">
        <v>10</v>
      </c>
      <c r="H2383" t="s">
        <v>20</v>
      </c>
      <c r="I2383" t="str">
        <f>VLOOKUP(Table4[[#This Row],[customer_id]],customers!A:G,4,)</f>
        <v>delhi</v>
      </c>
    </row>
    <row r="2384" spans="1:9" x14ac:dyDescent="0.3">
      <c r="A2384">
        <v>22383</v>
      </c>
      <c r="B2384">
        <v>496</v>
      </c>
      <c r="C2384" s="2">
        <v>45012</v>
      </c>
      <c r="D2384" s="2" t="str">
        <f>TEXT(Table4[[#This Row],[issue_date]],"mmmm")</f>
        <v>March</v>
      </c>
      <c r="E2384" s="9">
        <f>YEAR(Table4[[#This Row],[issue_date]])</f>
        <v>2023</v>
      </c>
      <c r="F2384" t="s">
        <v>19</v>
      </c>
      <c r="G2384">
        <v>27</v>
      </c>
      <c r="H2384" t="s">
        <v>20</v>
      </c>
      <c r="I2384" t="str">
        <f>VLOOKUP(Table4[[#This Row],[customer_id]],customers!A:G,4,)</f>
        <v>chennai</v>
      </c>
    </row>
    <row r="2385" spans="1:9" x14ac:dyDescent="0.3">
      <c r="A2385">
        <v>22384</v>
      </c>
      <c r="B2385">
        <v>314</v>
      </c>
      <c r="C2385" s="2">
        <v>44878</v>
      </c>
      <c r="D2385" s="2" t="str">
        <f>TEXT(Table4[[#This Row],[issue_date]],"mmmm")</f>
        <v>November</v>
      </c>
      <c r="E2385" s="9">
        <f>YEAR(Table4[[#This Row],[issue_date]])</f>
        <v>2022</v>
      </c>
      <c r="F2385" t="s">
        <v>21</v>
      </c>
      <c r="G2385">
        <v>24</v>
      </c>
      <c r="H2385" t="s">
        <v>20</v>
      </c>
      <c r="I2385" t="str">
        <f>VLOOKUP(Table4[[#This Row],[customer_id]],customers!A:G,4,)</f>
        <v>chennai</v>
      </c>
    </row>
    <row r="2386" spans="1:9" x14ac:dyDescent="0.3">
      <c r="A2386">
        <v>22385</v>
      </c>
      <c r="B2386">
        <v>258</v>
      </c>
      <c r="C2386" s="2">
        <v>45048</v>
      </c>
      <c r="D2386" s="2" t="str">
        <f>TEXT(Table4[[#This Row],[issue_date]],"mmmm")</f>
        <v>May</v>
      </c>
      <c r="E2386" s="9">
        <f>YEAR(Table4[[#This Row],[issue_date]])</f>
        <v>2023</v>
      </c>
      <c r="F2386" t="s">
        <v>19</v>
      </c>
      <c r="G2386">
        <v>22</v>
      </c>
      <c r="H2386" t="s">
        <v>20</v>
      </c>
      <c r="I2386" t="str">
        <f>VLOOKUP(Table4[[#This Row],[customer_id]],customers!A:G,4,)</f>
        <v>bangalore</v>
      </c>
    </row>
    <row r="2387" spans="1:9" x14ac:dyDescent="0.3">
      <c r="A2387">
        <v>22386</v>
      </c>
      <c r="B2387">
        <v>387</v>
      </c>
      <c r="C2387" s="2">
        <v>45239</v>
      </c>
      <c r="D2387" s="2" t="str">
        <f>TEXT(Table4[[#This Row],[issue_date]],"mmmm")</f>
        <v>November</v>
      </c>
      <c r="E2387" s="9">
        <f>YEAR(Table4[[#This Row],[issue_date]])</f>
        <v>2023</v>
      </c>
      <c r="F2387" t="s">
        <v>22</v>
      </c>
      <c r="G2387">
        <v>3</v>
      </c>
      <c r="H2387" t="s">
        <v>20</v>
      </c>
      <c r="I2387" t="str">
        <f>VLOOKUP(Table4[[#This Row],[customer_id]],customers!A:G,4,)</f>
        <v>bangalore</v>
      </c>
    </row>
    <row r="2388" spans="1:9" x14ac:dyDescent="0.3">
      <c r="A2388">
        <v>22387</v>
      </c>
      <c r="B2388">
        <v>247</v>
      </c>
      <c r="C2388" s="2">
        <v>45300</v>
      </c>
      <c r="D2388" s="2" t="str">
        <f>TEXT(Table4[[#This Row],[issue_date]],"mmmm")</f>
        <v>January</v>
      </c>
      <c r="E2388" s="9">
        <f>YEAR(Table4[[#This Row],[issue_date]])</f>
        <v>2024</v>
      </c>
      <c r="F2388" t="s">
        <v>21</v>
      </c>
      <c r="G2388">
        <v>16</v>
      </c>
      <c r="H2388" t="s">
        <v>20</v>
      </c>
      <c r="I2388" t="str">
        <f>VLOOKUP(Table4[[#This Row],[customer_id]],customers!A:G,4,)</f>
        <v>chennai</v>
      </c>
    </row>
    <row r="2389" spans="1:9" x14ac:dyDescent="0.3">
      <c r="A2389">
        <v>22388</v>
      </c>
      <c r="B2389">
        <v>436</v>
      </c>
      <c r="C2389" s="2">
        <v>45209</v>
      </c>
      <c r="D2389" s="2" t="str">
        <f>TEXT(Table4[[#This Row],[issue_date]],"mmmm")</f>
        <v>October</v>
      </c>
      <c r="E2389" s="9">
        <f>YEAR(Table4[[#This Row],[issue_date]])</f>
        <v>2023</v>
      </c>
      <c r="F2389" t="s">
        <v>19</v>
      </c>
      <c r="G2389">
        <v>30</v>
      </c>
      <c r="H2389" t="s">
        <v>20</v>
      </c>
      <c r="I2389" t="str">
        <f>VLOOKUP(Table4[[#This Row],[customer_id]],customers!A:G,4,)</f>
        <v>delhi</v>
      </c>
    </row>
    <row r="2390" spans="1:9" x14ac:dyDescent="0.3">
      <c r="A2390">
        <v>22389</v>
      </c>
      <c r="B2390">
        <v>55</v>
      </c>
      <c r="C2390" s="2">
        <v>45457</v>
      </c>
      <c r="D2390" s="2" t="str">
        <f>TEXT(Table4[[#This Row],[issue_date]],"mmmm")</f>
        <v>June</v>
      </c>
      <c r="E2390" s="9">
        <f>YEAR(Table4[[#This Row],[issue_date]])</f>
        <v>2024</v>
      </c>
      <c r="F2390" t="s">
        <v>22</v>
      </c>
      <c r="G2390">
        <v>43</v>
      </c>
      <c r="H2390" t="s">
        <v>20</v>
      </c>
      <c r="I2390" t="str">
        <f>VLOOKUP(Table4[[#This Row],[customer_id]],customers!A:G,4,)</f>
        <v>mumbai</v>
      </c>
    </row>
    <row r="2391" spans="1:9" x14ac:dyDescent="0.3">
      <c r="A2391">
        <v>22390</v>
      </c>
      <c r="B2391">
        <v>309</v>
      </c>
      <c r="C2391" s="2">
        <v>45138</v>
      </c>
      <c r="D2391" s="2" t="str">
        <f>TEXT(Table4[[#This Row],[issue_date]],"mmmm")</f>
        <v>July</v>
      </c>
      <c r="E2391" s="9">
        <f>YEAR(Table4[[#This Row],[issue_date]])</f>
        <v>2023</v>
      </c>
      <c r="F2391" t="s">
        <v>22</v>
      </c>
      <c r="G2391">
        <v>4</v>
      </c>
      <c r="H2391" t="s">
        <v>20</v>
      </c>
      <c r="I2391" t="str">
        <f>VLOOKUP(Table4[[#This Row],[customer_id]],customers!A:G,4,)</f>
        <v>mumbai</v>
      </c>
    </row>
    <row r="2392" spans="1:9" x14ac:dyDescent="0.3">
      <c r="A2392">
        <v>22391</v>
      </c>
      <c r="B2392">
        <v>350</v>
      </c>
      <c r="C2392" s="2">
        <v>44566</v>
      </c>
      <c r="D2392" s="2" t="str">
        <f>TEXT(Table4[[#This Row],[issue_date]],"mmmm")</f>
        <v>January</v>
      </c>
      <c r="E2392" s="9">
        <f>YEAR(Table4[[#This Row],[issue_date]])</f>
        <v>2022</v>
      </c>
      <c r="F2392" t="s">
        <v>21</v>
      </c>
      <c r="G2392">
        <v>40</v>
      </c>
      <c r="H2392" t="s">
        <v>23</v>
      </c>
      <c r="I2392" t="str">
        <f>VLOOKUP(Table4[[#This Row],[customer_id]],customers!A:G,4,)</f>
        <v>delhi</v>
      </c>
    </row>
    <row r="2393" spans="1:9" x14ac:dyDescent="0.3">
      <c r="A2393">
        <v>22392</v>
      </c>
      <c r="B2393">
        <v>72</v>
      </c>
      <c r="C2393" s="2">
        <v>45193</v>
      </c>
      <c r="D2393" s="2" t="str">
        <f>TEXT(Table4[[#This Row],[issue_date]],"mmmm")</f>
        <v>September</v>
      </c>
      <c r="E2393" s="9">
        <f>YEAR(Table4[[#This Row],[issue_date]])</f>
        <v>2023</v>
      </c>
      <c r="F2393" t="s">
        <v>19</v>
      </c>
      <c r="G2393">
        <v>16</v>
      </c>
      <c r="H2393" t="s">
        <v>20</v>
      </c>
      <c r="I2393" t="str">
        <f>VLOOKUP(Table4[[#This Row],[customer_id]],customers!A:G,4,)</f>
        <v>kolkata</v>
      </c>
    </row>
    <row r="2394" spans="1:9" x14ac:dyDescent="0.3">
      <c r="A2394">
        <v>22393</v>
      </c>
      <c r="B2394">
        <v>296</v>
      </c>
      <c r="C2394" s="2">
        <v>44932</v>
      </c>
      <c r="D2394" s="2" t="str">
        <f>TEXT(Table4[[#This Row],[issue_date]],"mmmm")</f>
        <v>January</v>
      </c>
      <c r="E2394" s="9">
        <f>YEAR(Table4[[#This Row],[issue_date]])</f>
        <v>2023</v>
      </c>
      <c r="F2394" t="s">
        <v>19</v>
      </c>
      <c r="G2394">
        <v>16</v>
      </c>
      <c r="H2394" t="s">
        <v>20</v>
      </c>
      <c r="I2394" t="str">
        <f>VLOOKUP(Table4[[#This Row],[customer_id]],customers!A:G,4,)</f>
        <v>hyderabad</v>
      </c>
    </row>
    <row r="2395" spans="1:9" x14ac:dyDescent="0.3">
      <c r="A2395">
        <v>22394</v>
      </c>
      <c r="B2395">
        <v>213</v>
      </c>
      <c r="C2395" s="2">
        <v>45292</v>
      </c>
      <c r="D2395" s="2" t="str">
        <f>TEXT(Table4[[#This Row],[issue_date]],"mmmm")</f>
        <v>January</v>
      </c>
      <c r="E2395" s="9">
        <f>YEAR(Table4[[#This Row],[issue_date]])</f>
        <v>2024</v>
      </c>
      <c r="F2395" t="s">
        <v>19</v>
      </c>
      <c r="G2395">
        <v>66</v>
      </c>
      <c r="H2395" t="s">
        <v>23</v>
      </c>
      <c r="I2395" t="str">
        <f>VLOOKUP(Table4[[#This Row],[customer_id]],customers!A:G,4,)</f>
        <v>hyderabad</v>
      </c>
    </row>
    <row r="2396" spans="1:9" x14ac:dyDescent="0.3">
      <c r="A2396">
        <v>22395</v>
      </c>
      <c r="B2396">
        <v>295</v>
      </c>
      <c r="C2396" s="2">
        <v>45438</v>
      </c>
      <c r="D2396" s="2" t="str">
        <f>TEXT(Table4[[#This Row],[issue_date]],"mmmm")</f>
        <v>May</v>
      </c>
      <c r="E2396" s="9">
        <f>YEAR(Table4[[#This Row],[issue_date]])</f>
        <v>2024</v>
      </c>
      <c r="F2396" t="s">
        <v>22</v>
      </c>
      <c r="G2396">
        <v>55</v>
      </c>
      <c r="H2396" t="s">
        <v>20</v>
      </c>
      <c r="I2396" t="str">
        <f>VLOOKUP(Table4[[#This Row],[customer_id]],customers!A:G,4,)</f>
        <v>delhi</v>
      </c>
    </row>
    <row r="2397" spans="1:9" x14ac:dyDescent="0.3">
      <c r="A2397">
        <v>22396</v>
      </c>
      <c r="B2397">
        <v>171</v>
      </c>
      <c r="C2397" s="2">
        <v>45116</v>
      </c>
      <c r="D2397" s="2" t="str">
        <f>TEXT(Table4[[#This Row],[issue_date]],"mmmm")</f>
        <v>July</v>
      </c>
      <c r="E2397" s="9">
        <f>YEAR(Table4[[#This Row],[issue_date]])</f>
        <v>2023</v>
      </c>
      <c r="F2397" t="s">
        <v>19</v>
      </c>
      <c r="G2397">
        <v>20</v>
      </c>
      <c r="H2397" t="s">
        <v>20</v>
      </c>
      <c r="I2397" t="str">
        <f>VLOOKUP(Table4[[#This Row],[customer_id]],customers!A:G,4,)</f>
        <v>bangalore</v>
      </c>
    </row>
    <row r="2398" spans="1:9" x14ac:dyDescent="0.3">
      <c r="A2398">
        <v>22397</v>
      </c>
      <c r="B2398">
        <v>246</v>
      </c>
      <c r="C2398" s="2">
        <v>44749</v>
      </c>
      <c r="D2398" s="2" t="str">
        <f>TEXT(Table4[[#This Row],[issue_date]],"mmmm")</f>
        <v>July</v>
      </c>
      <c r="E2398" s="9">
        <f>YEAR(Table4[[#This Row],[issue_date]])</f>
        <v>2022</v>
      </c>
      <c r="F2398" t="s">
        <v>22</v>
      </c>
      <c r="G2398">
        <v>51</v>
      </c>
      <c r="H2398" t="s">
        <v>20</v>
      </c>
      <c r="I2398" t="str">
        <f>VLOOKUP(Table4[[#This Row],[customer_id]],customers!A:G,4,)</f>
        <v>bangalore</v>
      </c>
    </row>
    <row r="2399" spans="1:9" x14ac:dyDescent="0.3">
      <c r="A2399">
        <v>22398</v>
      </c>
      <c r="B2399">
        <v>141</v>
      </c>
      <c r="C2399" s="2">
        <v>44587</v>
      </c>
      <c r="D2399" s="2" t="str">
        <f>TEXT(Table4[[#This Row],[issue_date]],"mmmm")</f>
        <v>January</v>
      </c>
      <c r="E2399" s="9">
        <f>YEAR(Table4[[#This Row],[issue_date]])</f>
        <v>2022</v>
      </c>
      <c r="F2399" t="s">
        <v>19</v>
      </c>
      <c r="G2399">
        <v>57</v>
      </c>
      <c r="H2399" t="s">
        <v>20</v>
      </c>
      <c r="I2399" t="str">
        <f>VLOOKUP(Table4[[#This Row],[customer_id]],customers!A:G,4,)</f>
        <v>hyderabad</v>
      </c>
    </row>
    <row r="2400" spans="1:9" x14ac:dyDescent="0.3">
      <c r="A2400">
        <v>22399</v>
      </c>
      <c r="B2400">
        <v>104</v>
      </c>
      <c r="C2400" s="2">
        <v>45340</v>
      </c>
      <c r="D2400" s="2" t="str">
        <f>TEXT(Table4[[#This Row],[issue_date]],"mmmm")</f>
        <v>February</v>
      </c>
      <c r="E2400" s="9">
        <f>YEAR(Table4[[#This Row],[issue_date]])</f>
        <v>2024</v>
      </c>
      <c r="F2400" t="s">
        <v>22</v>
      </c>
      <c r="G2400">
        <v>51</v>
      </c>
      <c r="H2400" t="s">
        <v>20</v>
      </c>
      <c r="I2400" t="str">
        <f>VLOOKUP(Table4[[#This Row],[customer_id]],customers!A:G,4,)</f>
        <v>kolkata</v>
      </c>
    </row>
    <row r="2401" spans="1:9" x14ac:dyDescent="0.3">
      <c r="A2401">
        <v>22400</v>
      </c>
      <c r="B2401">
        <v>105</v>
      </c>
      <c r="C2401" s="2">
        <v>44723</v>
      </c>
      <c r="D2401" s="2" t="str">
        <f>TEXT(Table4[[#This Row],[issue_date]],"mmmm")</f>
        <v>June</v>
      </c>
      <c r="E2401" s="9">
        <f>YEAR(Table4[[#This Row],[issue_date]])</f>
        <v>2022</v>
      </c>
      <c r="F2401" t="s">
        <v>21</v>
      </c>
      <c r="G2401">
        <v>18</v>
      </c>
      <c r="H2401" t="s">
        <v>20</v>
      </c>
      <c r="I2401" t="str">
        <f>VLOOKUP(Table4[[#This Row],[customer_id]],customers!A:G,4,)</f>
        <v>kolkata</v>
      </c>
    </row>
    <row r="2402" spans="1:9" x14ac:dyDescent="0.3">
      <c r="A2402">
        <v>22401</v>
      </c>
      <c r="B2402">
        <v>240</v>
      </c>
      <c r="C2402" s="2">
        <v>45306</v>
      </c>
      <c r="D2402" s="2" t="str">
        <f>TEXT(Table4[[#This Row],[issue_date]],"mmmm")</f>
        <v>January</v>
      </c>
      <c r="E2402" s="9">
        <f>YEAR(Table4[[#This Row],[issue_date]])</f>
        <v>2024</v>
      </c>
      <c r="F2402" t="s">
        <v>22</v>
      </c>
      <c r="G2402">
        <v>59</v>
      </c>
      <c r="H2402" t="s">
        <v>20</v>
      </c>
      <c r="I2402" t="str">
        <f>VLOOKUP(Table4[[#This Row],[customer_id]],customers!A:G,4,)</f>
        <v>delhi</v>
      </c>
    </row>
    <row r="2403" spans="1:9" x14ac:dyDescent="0.3">
      <c r="A2403">
        <v>22402</v>
      </c>
      <c r="B2403">
        <v>421</v>
      </c>
      <c r="C2403" s="2">
        <v>44691</v>
      </c>
      <c r="D2403" s="2" t="str">
        <f>TEXT(Table4[[#This Row],[issue_date]],"mmmm")</f>
        <v>May</v>
      </c>
      <c r="E2403" s="9">
        <f>YEAR(Table4[[#This Row],[issue_date]])</f>
        <v>2022</v>
      </c>
      <c r="F2403" t="s">
        <v>19</v>
      </c>
      <c r="G2403">
        <v>28</v>
      </c>
      <c r="H2403" t="s">
        <v>20</v>
      </c>
      <c r="I2403" t="str">
        <f>VLOOKUP(Table4[[#This Row],[customer_id]],customers!A:G,4,)</f>
        <v>chennai</v>
      </c>
    </row>
    <row r="2404" spans="1:9" x14ac:dyDescent="0.3">
      <c r="A2404">
        <v>22403</v>
      </c>
      <c r="B2404">
        <v>311</v>
      </c>
      <c r="C2404" s="2">
        <v>45094</v>
      </c>
      <c r="D2404" s="2" t="str">
        <f>TEXT(Table4[[#This Row],[issue_date]],"mmmm")</f>
        <v>June</v>
      </c>
      <c r="E2404" s="9">
        <f>YEAR(Table4[[#This Row],[issue_date]])</f>
        <v>2023</v>
      </c>
      <c r="F2404" t="s">
        <v>22</v>
      </c>
      <c r="G2404">
        <v>69</v>
      </c>
      <c r="H2404" t="s">
        <v>23</v>
      </c>
      <c r="I2404" t="str">
        <f>VLOOKUP(Table4[[#This Row],[customer_id]],customers!A:G,4,)</f>
        <v>chennai</v>
      </c>
    </row>
    <row r="2405" spans="1:9" x14ac:dyDescent="0.3">
      <c r="A2405">
        <v>22404</v>
      </c>
      <c r="B2405">
        <v>416</v>
      </c>
      <c r="C2405" s="2">
        <v>45444</v>
      </c>
      <c r="D2405" s="2" t="str">
        <f>TEXT(Table4[[#This Row],[issue_date]],"mmmm")</f>
        <v>June</v>
      </c>
      <c r="E2405" s="9">
        <f>YEAR(Table4[[#This Row],[issue_date]])</f>
        <v>2024</v>
      </c>
      <c r="F2405" t="s">
        <v>19</v>
      </c>
      <c r="G2405">
        <v>28</v>
      </c>
      <c r="H2405" t="s">
        <v>20</v>
      </c>
      <c r="I2405" t="str">
        <f>VLOOKUP(Table4[[#This Row],[customer_id]],customers!A:G,4,)</f>
        <v>bangalore</v>
      </c>
    </row>
    <row r="2406" spans="1:9" x14ac:dyDescent="0.3">
      <c r="A2406">
        <v>22405</v>
      </c>
      <c r="B2406">
        <v>398</v>
      </c>
      <c r="C2406" s="2">
        <v>44971</v>
      </c>
      <c r="D2406" s="2" t="str">
        <f>TEXT(Table4[[#This Row],[issue_date]],"mmmm")</f>
        <v>February</v>
      </c>
      <c r="E2406" s="9">
        <f>YEAR(Table4[[#This Row],[issue_date]])</f>
        <v>2023</v>
      </c>
      <c r="F2406" t="s">
        <v>21</v>
      </c>
      <c r="G2406">
        <v>13</v>
      </c>
      <c r="H2406" t="s">
        <v>20</v>
      </c>
      <c r="I2406" t="str">
        <f>VLOOKUP(Table4[[#This Row],[customer_id]],customers!A:G,4,)</f>
        <v>bangalore</v>
      </c>
    </row>
    <row r="2407" spans="1:9" x14ac:dyDescent="0.3">
      <c r="A2407">
        <v>22406</v>
      </c>
      <c r="B2407">
        <v>321</v>
      </c>
      <c r="C2407" s="2">
        <v>45201</v>
      </c>
      <c r="D2407" s="2" t="str">
        <f>TEXT(Table4[[#This Row],[issue_date]],"mmmm")</f>
        <v>October</v>
      </c>
      <c r="E2407" s="9">
        <f>YEAR(Table4[[#This Row],[issue_date]])</f>
        <v>2023</v>
      </c>
      <c r="F2407" t="s">
        <v>22</v>
      </c>
      <c r="G2407">
        <v>6</v>
      </c>
      <c r="H2407" t="s">
        <v>20</v>
      </c>
      <c r="I2407" t="str">
        <f>VLOOKUP(Table4[[#This Row],[customer_id]],customers!A:G,4,)</f>
        <v>hyderabad</v>
      </c>
    </row>
    <row r="2408" spans="1:9" x14ac:dyDescent="0.3">
      <c r="A2408">
        <v>22407</v>
      </c>
      <c r="B2408">
        <v>411</v>
      </c>
      <c r="C2408" s="2">
        <v>45149</v>
      </c>
      <c r="D2408" s="2" t="str">
        <f>TEXT(Table4[[#This Row],[issue_date]],"mmmm")</f>
        <v>August</v>
      </c>
      <c r="E2408" s="9">
        <f>YEAR(Table4[[#This Row],[issue_date]])</f>
        <v>2023</v>
      </c>
      <c r="F2408" t="s">
        <v>21</v>
      </c>
      <c r="G2408">
        <v>29</v>
      </c>
      <c r="H2408" t="s">
        <v>20</v>
      </c>
      <c r="I2408" t="str">
        <f>VLOOKUP(Table4[[#This Row],[customer_id]],customers!A:G,4,)</f>
        <v>hyderabad</v>
      </c>
    </row>
    <row r="2409" spans="1:9" x14ac:dyDescent="0.3">
      <c r="A2409">
        <v>22408</v>
      </c>
      <c r="B2409">
        <v>280</v>
      </c>
      <c r="C2409" s="2">
        <v>44634</v>
      </c>
      <c r="D2409" s="2" t="str">
        <f>TEXT(Table4[[#This Row],[issue_date]],"mmmm")</f>
        <v>March</v>
      </c>
      <c r="E2409" s="9">
        <f>YEAR(Table4[[#This Row],[issue_date]])</f>
        <v>2022</v>
      </c>
      <c r="F2409" t="s">
        <v>22</v>
      </c>
      <c r="G2409">
        <v>9</v>
      </c>
      <c r="H2409" t="s">
        <v>23</v>
      </c>
      <c r="I2409" t="str">
        <f>VLOOKUP(Table4[[#This Row],[customer_id]],customers!A:G,4,)</f>
        <v>chennai</v>
      </c>
    </row>
    <row r="2410" spans="1:9" x14ac:dyDescent="0.3">
      <c r="A2410">
        <v>22409</v>
      </c>
      <c r="B2410">
        <v>371</v>
      </c>
      <c r="C2410" s="2">
        <v>44794</v>
      </c>
      <c r="D2410" s="2" t="str">
        <f>TEXT(Table4[[#This Row],[issue_date]],"mmmm")</f>
        <v>August</v>
      </c>
      <c r="E2410" s="9">
        <f>YEAR(Table4[[#This Row],[issue_date]])</f>
        <v>2022</v>
      </c>
      <c r="F2410" t="s">
        <v>22</v>
      </c>
      <c r="G2410">
        <v>29</v>
      </c>
      <c r="H2410" t="s">
        <v>20</v>
      </c>
      <c r="I2410" t="str">
        <f>VLOOKUP(Table4[[#This Row],[customer_id]],customers!A:G,4,)</f>
        <v>delhi</v>
      </c>
    </row>
    <row r="2411" spans="1:9" x14ac:dyDescent="0.3">
      <c r="A2411">
        <v>22410</v>
      </c>
      <c r="B2411">
        <v>369</v>
      </c>
      <c r="C2411" s="2">
        <v>45416</v>
      </c>
      <c r="D2411" s="2" t="str">
        <f>TEXT(Table4[[#This Row],[issue_date]],"mmmm")</f>
        <v>May</v>
      </c>
      <c r="E2411" s="9">
        <f>YEAR(Table4[[#This Row],[issue_date]])</f>
        <v>2024</v>
      </c>
      <c r="F2411" t="s">
        <v>21</v>
      </c>
      <c r="G2411">
        <v>38</v>
      </c>
      <c r="H2411" t="s">
        <v>20</v>
      </c>
      <c r="I2411" t="str">
        <f>VLOOKUP(Table4[[#This Row],[customer_id]],customers!A:G,4,)</f>
        <v>hyderabad</v>
      </c>
    </row>
    <row r="2412" spans="1:9" x14ac:dyDescent="0.3">
      <c r="A2412">
        <v>22411</v>
      </c>
      <c r="B2412">
        <v>22</v>
      </c>
      <c r="C2412" s="2">
        <v>44667</v>
      </c>
      <c r="D2412" s="2" t="str">
        <f>TEXT(Table4[[#This Row],[issue_date]],"mmmm")</f>
        <v>April</v>
      </c>
      <c r="E2412" s="9">
        <f>YEAR(Table4[[#This Row],[issue_date]])</f>
        <v>2022</v>
      </c>
      <c r="F2412" t="s">
        <v>21</v>
      </c>
      <c r="G2412">
        <v>65</v>
      </c>
      <c r="H2412" t="s">
        <v>20</v>
      </c>
      <c r="I2412" t="str">
        <f>VLOOKUP(Table4[[#This Row],[customer_id]],customers!A:G,4,)</f>
        <v>hyderabad</v>
      </c>
    </row>
    <row r="2413" spans="1:9" x14ac:dyDescent="0.3">
      <c r="A2413">
        <v>22412</v>
      </c>
      <c r="B2413">
        <v>78</v>
      </c>
      <c r="C2413" s="2">
        <v>44570</v>
      </c>
      <c r="D2413" s="2" t="str">
        <f>TEXT(Table4[[#This Row],[issue_date]],"mmmm")</f>
        <v>January</v>
      </c>
      <c r="E2413" s="9">
        <f>YEAR(Table4[[#This Row],[issue_date]])</f>
        <v>2022</v>
      </c>
      <c r="F2413" t="s">
        <v>22</v>
      </c>
      <c r="G2413">
        <v>56</v>
      </c>
      <c r="H2413" t="s">
        <v>20</v>
      </c>
      <c r="I2413" t="str">
        <f>VLOOKUP(Table4[[#This Row],[customer_id]],customers!A:G,4,)</f>
        <v>kolkata</v>
      </c>
    </row>
    <row r="2414" spans="1:9" x14ac:dyDescent="0.3">
      <c r="A2414">
        <v>22413</v>
      </c>
      <c r="B2414">
        <v>301</v>
      </c>
      <c r="C2414" s="2">
        <v>45192</v>
      </c>
      <c r="D2414" s="2" t="str">
        <f>TEXT(Table4[[#This Row],[issue_date]],"mmmm")</f>
        <v>September</v>
      </c>
      <c r="E2414" s="9">
        <f>YEAR(Table4[[#This Row],[issue_date]])</f>
        <v>2023</v>
      </c>
      <c r="F2414" t="s">
        <v>22</v>
      </c>
      <c r="G2414">
        <v>30</v>
      </c>
      <c r="H2414" t="s">
        <v>20</v>
      </c>
      <c r="I2414" t="str">
        <f>VLOOKUP(Table4[[#This Row],[customer_id]],customers!A:G,4,)</f>
        <v>delhi</v>
      </c>
    </row>
    <row r="2415" spans="1:9" x14ac:dyDescent="0.3">
      <c r="A2415">
        <v>22414</v>
      </c>
      <c r="B2415">
        <v>392</v>
      </c>
      <c r="C2415" s="2">
        <v>44611</v>
      </c>
      <c r="D2415" s="2" t="str">
        <f>TEXT(Table4[[#This Row],[issue_date]],"mmmm")</f>
        <v>February</v>
      </c>
      <c r="E2415" s="9">
        <f>YEAR(Table4[[#This Row],[issue_date]])</f>
        <v>2022</v>
      </c>
      <c r="F2415" t="s">
        <v>22</v>
      </c>
      <c r="G2415">
        <v>59</v>
      </c>
      <c r="H2415" t="s">
        <v>20</v>
      </c>
      <c r="I2415" t="str">
        <f>VLOOKUP(Table4[[#This Row],[customer_id]],customers!A:G,4,)</f>
        <v>hyderabad</v>
      </c>
    </row>
    <row r="2416" spans="1:9" x14ac:dyDescent="0.3">
      <c r="A2416">
        <v>22415</v>
      </c>
      <c r="B2416">
        <v>475</v>
      </c>
      <c r="C2416" s="2">
        <v>45083</v>
      </c>
      <c r="D2416" s="2" t="str">
        <f>TEXT(Table4[[#This Row],[issue_date]],"mmmm")</f>
        <v>June</v>
      </c>
      <c r="E2416" s="9">
        <f>YEAR(Table4[[#This Row],[issue_date]])</f>
        <v>2023</v>
      </c>
      <c r="F2416" t="s">
        <v>21</v>
      </c>
      <c r="G2416">
        <v>58</v>
      </c>
      <c r="H2416" t="s">
        <v>20</v>
      </c>
      <c r="I2416" t="str">
        <f>VLOOKUP(Table4[[#This Row],[customer_id]],customers!A:G,4,)</f>
        <v>delhi</v>
      </c>
    </row>
    <row r="2417" spans="1:9" x14ac:dyDescent="0.3">
      <c r="A2417">
        <v>22416</v>
      </c>
      <c r="B2417">
        <v>195</v>
      </c>
      <c r="C2417" s="2">
        <v>45186</v>
      </c>
      <c r="D2417" s="2" t="str">
        <f>TEXT(Table4[[#This Row],[issue_date]],"mmmm")</f>
        <v>September</v>
      </c>
      <c r="E2417" s="9">
        <f>YEAR(Table4[[#This Row],[issue_date]])</f>
        <v>2023</v>
      </c>
      <c r="F2417" t="s">
        <v>19</v>
      </c>
      <c r="G2417">
        <v>10</v>
      </c>
      <c r="H2417" t="s">
        <v>20</v>
      </c>
      <c r="I2417" t="str">
        <f>VLOOKUP(Table4[[#This Row],[customer_id]],customers!A:G,4,)</f>
        <v>hyderabad</v>
      </c>
    </row>
    <row r="2418" spans="1:9" x14ac:dyDescent="0.3">
      <c r="A2418">
        <v>22417</v>
      </c>
      <c r="B2418">
        <v>320</v>
      </c>
      <c r="C2418" s="2">
        <v>45003</v>
      </c>
      <c r="D2418" s="2" t="str">
        <f>TEXT(Table4[[#This Row],[issue_date]],"mmmm")</f>
        <v>March</v>
      </c>
      <c r="E2418" s="9">
        <f>YEAR(Table4[[#This Row],[issue_date]])</f>
        <v>2023</v>
      </c>
      <c r="F2418" t="s">
        <v>21</v>
      </c>
      <c r="G2418">
        <v>21</v>
      </c>
      <c r="H2418" t="s">
        <v>20</v>
      </c>
      <c r="I2418" t="str">
        <f>VLOOKUP(Table4[[#This Row],[customer_id]],customers!A:G,4,)</f>
        <v>hyderabad</v>
      </c>
    </row>
    <row r="2419" spans="1:9" x14ac:dyDescent="0.3">
      <c r="A2419">
        <v>22418</v>
      </c>
      <c r="B2419">
        <v>353</v>
      </c>
      <c r="C2419" s="2">
        <v>45339</v>
      </c>
      <c r="D2419" s="2" t="str">
        <f>TEXT(Table4[[#This Row],[issue_date]],"mmmm")</f>
        <v>February</v>
      </c>
      <c r="E2419" s="9">
        <f>YEAR(Table4[[#This Row],[issue_date]])</f>
        <v>2024</v>
      </c>
      <c r="F2419" t="s">
        <v>22</v>
      </c>
      <c r="G2419">
        <v>56</v>
      </c>
      <c r="H2419" t="s">
        <v>20</v>
      </c>
      <c r="I2419" t="str">
        <f>VLOOKUP(Table4[[#This Row],[customer_id]],customers!A:G,4,)</f>
        <v>delhi</v>
      </c>
    </row>
    <row r="2420" spans="1:9" x14ac:dyDescent="0.3">
      <c r="A2420">
        <v>22419</v>
      </c>
      <c r="B2420">
        <v>371</v>
      </c>
      <c r="C2420" s="2">
        <v>45151</v>
      </c>
      <c r="D2420" s="2" t="str">
        <f>TEXT(Table4[[#This Row],[issue_date]],"mmmm")</f>
        <v>August</v>
      </c>
      <c r="E2420" s="9">
        <f>YEAR(Table4[[#This Row],[issue_date]])</f>
        <v>2023</v>
      </c>
      <c r="F2420" t="s">
        <v>22</v>
      </c>
      <c r="G2420">
        <v>26</v>
      </c>
      <c r="H2420" t="s">
        <v>20</v>
      </c>
      <c r="I2420" t="str">
        <f>VLOOKUP(Table4[[#This Row],[customer_id]],customers!A:G,4,)</f>
        <v>delhi</v>
      </c>
    </row>
    <row r="2421" spans="1:9" x14ac:dyDescent="0.3">
      <c r="A2421">
        <v>22420</v>
      </c>
      <c r="B2421">
        <v>431</v>
      </c>
      <c r="C2421" s="2">
        <v>44597</v>
      </c>
      <c r="D2421" s="2" t="str">
        <f>TEXT(Table4[[#This Row],[issue_date]],"mmmm")</f>
        <v>February</v>
      </c>
      <c r="E2421" s="9">
        <f>YEAR(Table4[[#This Row],[issue_date]])</f>
        <v>2022</v>
      </c>
      <c r="F2421" t="s">
        <v>21</v>
      </c>
      <c r="G2421">
        <v>15</v>
      </c>
      <c r="H2421" t="s">
        <v>20</v>
      </c>
      <c r="I2421" t="str">
        <f>VLOOKUP(Table4[[#This Row],[customer_id]],customers!A:G,4,)</f>
        <v>chennai</v>
      </c>
    </row>
    <row r="2422" spans="1:9" x14ac:dyDescent="0.3">
      <c r="A2422">
        <v>22421</v>
      </c>
      <c r="B2422">
        <v>21</v>
      </c>
      <c r="C2422" s="2">
        <v>44763</v>
      </c>
      <c r="D2422" s="2" t="str">
        <f>TEXT(Table4[[#This Row],[issue_date]],"mmmm")</f>
        <v>July</v>
      </c>
      <c r="E2422" s="9">
        <f>YEAR(Table4[[#This Row],[issue_date]])</f>
        <v>2022</v>
      </c>
      <c r="F2422" t="s">
        <v>22</v>
      </c>
      <c r="G2422">
        <v>35</v>
      </c>
      <c r="H2422" t="s">
        <v>20</v>
      </c>
      <c r="I2422" t="str">
        <f>VLOOKUP(Table4[[#This Row],[customer_id]],customers!A:G,4,)</f>
        <v>hyderabad</v>
      </c>
    </row>
    <row r="2423" spans="1:9" x14ac:dyDescent="0.3">
      <c r="A2423">
        <v>22422</v>
      </c>
      <c r="B2423">
        <v>160</v>
      </c>
      <c r="C2423" s="2">
        <v>45385</v>
      </c>
      <c r="D2423" s="2" t="str">
        <f>TEXT(Table4[[#This Row],[issue_date]],"mmmm")</f>
        <v>April</v>
      </c>
      <c r="E2423" s="9">
        <f>YEAR(Table4[[#This Row],[issue_date]])</f>
        <v>2024</v>
      </c>
      <c r="F2423" t="s">
        <v>22</v>
      </c>
      <c r="G2423">
        <v>15</v>
      </c>
      <c r="H2423" t="s">
        <v>20</v>
      </c>
      <c r="I2423" t="str">
        <f>VLOOKUP(Table4[[#This Row],[customer_id]],customers!A:G,4,)</f>
        <v>hyderabad</v>
      </c>
    </row>
    <row r="2424" spans="1:9" x14ac:dyDescent="0.3">
      <c r="A2424">
        <v>22423</v>
      </c>
      <c r="B2424">
        <v>232</v>
      </c>
      <c r="C2424" s="2">
        <v>44679</v>
      </c>
      <c r="D2424" s="2" t="str">
        <f>TEXT(Table4[[#This Row],[issue_date]],"mmmm")</f>
        <v>April</v>
      </c>
      <c r="E2424" s="9">
        <f>YEAR(Table4[[#This Row],[issue_date]])</f>
        <v>2022</v>
      </c>
      <c r="F2424" t="s">
        <v>22</v>
      </c>
      <c r="G2424">
        <v>6</v>
      </c>
      <c r="H2424" t="s">
        <v>23</v>
      </c>
      <c r="I2424" t="str">
        <f>VLOOKUP(Table4[[#This Row],[customer_id]],customers!A:G,4,)</f>
        <v>mumbai</v>
      </c>
    </row>
    <row r="2425" spans="1:9" x14ac:dyDescent="0.3">
      <c r="A2425">
        <v>22424</v>
      </c>
      <c r="B2425">
        <v>361</v>
      </c>
      <c r="C2425" s="2">
        <v>45263</v>
      </c>
      <c r="D2425" s="2" t="str">
        <f>TEXT(Table4[[#This Row],[issue_date]],"mmmm")</f>
        <v>December</v>
      </c>
      <c r="E2425" s="9">
        <f>YEAR(Table4[[#This Row],[issue_date]])</f>
        <v>2023</v>
      </c>
      <c r="F2425" t="s">
        <v>22</v>
      </c>
      <c r="G2425">
        <v>28</v>
      </c>
      <c r="H2425" t="s">
        <v>23</v>
      </c>
      <c r="I2425" t="str">
        <f>VLOOKUP(Table4[[#This Row],[customer_id]],customers!A:G,4,)</f>
        <v>chennai</v>
      </c>
    </row>
    <row r="2426" spans="1:9" x14ac:dyDescent="0.3">
      <c r="A2426">
        <v>22425</v>
      </c>
      <c r="B2426">
        <v>301</v>
      </c>
      <c r="C2426" s="2">
        <v>45315</v>
      </c>
      <c r="D2426" s="2" t="str">
        <f>TEXT(Table4[[#This Row],[issue_date]],"mmmm")</f>
        <v>January</v>
      </c>
      <c r="E2426" s="9">
        <f>YEAR(Table4[[#This Row],[issue_date]])</f>
        <v>2024</v>
      </c>
      <c r="F2426" t="s">
        <v>22</v>
      </c>
      <c r="G2426">
        <v>63</v>
      </c>
      <c r="H2426" t="s">
        <v>20</v>
      </c>
      <c r="I2426" t="str">
        <f>VLOOKUP(Table4[[#This Row],[customer_id]],customers!A:G,4,)</f>
        <v>delhi</v>
      </c>
    </row>
    <row r="2427" spans="1:9" x14ac:dyDescent="0.3">
      <c r="A2427">
        <v>22426</v>
      </c>
      <c r="B2427">
        <v>44</v>
      </c>
      <c r="C2427" s="2">
        <v>45366</v>
      </c>
      <c r="D2427" s="2" t="str">
        <f>TEXT(Table4[[#This Row],[issue_date]],"mmmm")</f>
        <v>March</v>
      </c>
      <c r="E2427" s="9">
        <f>YEAR(Table4[[#This Row],[issue_date]])</f>
        <v>2024</v>
      </c>
      <c r="F2427" t="s">
        <v>19</v>
      </c>
      <c r="G2427">
        <v>29</v>
      </c>
      <c r="H2427" t="s">
        <v>20</v>
      </c>
      <c r="I2427" t="str">
        <f>VLOOKUP(Table4[[#This Row],[customer_id]],customers!A:G,4,)</f>
        <v>mumbai</v>
      </c>
    </row>
    <row r="2428" spans="1:9" x14ac:dyDescent="0.3">
      <c r="A2428">
        <v>22427</v>
      </c>
      <c r="B2428">
        <v>297</v>
      </c>
      <c r="C2428" s="2">
        <v>44730</v>
      </c>
      <c r="D2428" s="2" t="str">
        <f>TEXT(Table4[[#This Row],[issue_date]],"mmmm")</f>
        <v>June</v>
      </c>
      <c r="E2428" s="9">
        <f>YEAR(Table4[[#This Row],[issue_date]])</f>
        <v>2022</v>
      </c>
      <c r="F2428" t="s">
        <v>21</v>
      </c>
      <c r="G2428">
        <v>48</v>
      </c>
      <c r="H2428" t="s">
        <v>23</v>
      </c>
      <c r="I2428" t="str">
        <f>VLOOKUP(Table4[[#This Row],[customer_id]],customers!A:G,4,)</f>
        <v>chennai</v>
      </c>
    </row>
    <row r="2429" spans="1:9" x14ac:dyDescent="0.3">
      <c r="A2429">
        <v>22428</v>
      </c>
      <c r="B2429">
        <v>352</v>
      </c>
      <c r="C2429" s="2">
        <v>45073</v>
      </c>
      <c r="D2429" s="2" t="str">
        <f>TEXT(Table4[[#This Row],[issue_date]],"mmmm")</f>
        <v>May</v>
      </c>
      <c r="E2429" s="9">
        <f>YEAR(Table4[[#This Row],[issue_date]])</f>
        <v>2023</v>
      </c>
      <c r="F2429" t="s">
        <v>21</v>
      </c>
      <c r="G2429">
        <v>63</v>
      </c>
      <c r="H2429" t="s">
        <v>20</v>
      </c>
      <c r="I2429" t="str">
        <f>VLOOKUP(Table4[[#This Row],[customer_id]],customers!A:G,4,)</f>
        <v>bangalore</v>
      </c>
    </row>
    <row r="2430" spans="1:9" x14ac:dyDescent="0.3">
      <c r="A2430">
        <v>22429</v>
      </c>
      <c r="B2430">
        <v>180</v>
      </c>
      <c r="C2430" s="2">
        <v>44791</v>
      </c>
      <c r="D2430" s="2" t="str">
        <f>TEXT(Table4[[#This Row],[issue_date]],"mmmm")</f>
        <v>August</v>
      </c>
      <c r="E2430" s="9">
        <f>YEAR(Table4[[#This Row],[issue_date]])</f>
        <v>2022</v>
      </c>
      <c r="F2430" t="s">
        <v>21</v>
      </c>
      <c r="G2430">
        <v>58</v>
      </c>
      <c r="H2430" t="s">
        <v>20</v>
      </c>
      <c r="I2430" t="str">
        <f>VLOOKUP(Table4[[#This Row],[customer_id]],customers!A:G,4,)</f>
        <v>kolkata</v>
      </c>
    </row>
    <row r="2431" spans="1:9" x14ac:dyDescent="0.3">
      <c r="A2431">
        <v>22430</v>
      </c>
      <c r="B2431">
        <v>472</v>
      </c>
      <c r="C2431" s="2">
        <v>45121</v>
      </c>
      <c r="D2431" s="2" t="str">
        <f>TEXT(Table4[[#This Row],[issue_date]],"mmmm")</f>
        <v>July</v>
      </c>
      <c r="E2431" s="9">
        <f>YEAR(Table4[[#This Row],[issue_date]])</f>
        <v>2023</v>
      </c>
      <c r="F2431" t="s">
        <v>19</v>
      </c>
      <c r="G2431">
        <v>21</v>
      </c>
      <c r="H2431" t="s">
        <v>20</v>
      </c>
      <c r="I2431" t="str">
        <f>VLOOKUP(Table4[[#This Row],[customer_id]],customers!A:G,4,)</f>
        <v>bangalore</v>
      </c>
    </row>
    <row r="2432" spans="1:9" x14ac:dyDescent="0.3">
      <c r="A2432">
        <v>22431</v>
      </c>
      <c r="B2432">
        <v>395</v>
      </c>
      <c r="C2432" s="2">
        <v>44711</v>
      </c>
      <c r="D2432" s="2" t="str">
        <f>TEXT(Table4[[#This Row],[issue_date]],"mmmm")</f>
        <v>May</v>
      </c>
      <c r="E2432" s="9">
        <f>YEAR(Table4[[#This Row],[issue_date]])</f>
        <v>2022</v>
      </c>
      <c r="F2432" t="s">
        <v>19</v>
      </c>
      <c r="G2432">
        <v>22</v>
      </c>
      <c r="H2432" t="s">
        <v>20</v>
      </c>
      <c r="I2432" t="str">
        <f>VLOOKUP(Table4[[#This Row],[customer_id]],customers!A:G,4,)</f>
        <v>delhi</v>
      </c>
    </row>
    <row r="2433" spans="1:9" x14ac:dyDescent="0.3">
      <c r="A2433">
        <v>22432</v>
      </c>
      <c r="B2433">
        <v>101</v>
      </c>
      <c r="C2433" s="2">
        <v>45416</v>
      </c>
      <c r="D2433" s="2" t="str">
        <f>TEXT(Table4[[#This Row],[issue_date]],"mmmm")</f>
        <v>May</v>
      </c>
      <c r="E2433" s="9">
        <f>YEAR(Table4[[#This Row],[issue_date]])</f>
        <v>2024</v>
      </c>
      <c r="F2433" t="s">
        <v>21</v>
      </c>
      <c r="G2433">
        <v>27</v>
      </c>
      <c r="H2433" t="s">
        <v>20</v>
      </c>
      <c r="I2433" t="str">
        <f>VLOOKUP(Table4[[#This Row],[customer_id]],customers!A:G,4,)</f>
        <v>mumbai</v>
      </c>
    </row>
    <row r="2434" spans="1:9" x14ac:dyDescent="0.3">
      <c r="A2434">
        <v>22433</v>
      </c>
      <c r="B2434">
        <v>115</v>
      </c>
      <c r="C2434" s="2">
        <v>44769</v>
      </c>
      <c r="D2434" s="2" t="str">
        <f>TEXT(Table4[[#This Row],[issue_date]],"mmmm")</f>
        <v>July</v>
      </c>
      <c r="E2434" s="9">
        <f>YEAR(Table4[[#This Row],[issue_date]])</f>
        <v>2022</v>
      </c>
      <c r="F2434" t="s">
        <v>21</v>
      </c>
      <c r="G2434">
        <v>57</v>
      </c>
      <c r="H2434" t="s">
        <v>20</v>
      </c>
      <c r="I2434" t="str">
        <f>VLOOKUP(Table4[[#This Row],[customer_id]],customers!A:G,4,)</f>
        <v>bangalore</v>
      </c>
    </row>
    <row r="2435" spans="1:9" x14ac:dyDescent="0.3">
      <c r="A2435">
        <v>22434</v>
      </c>
      <c r="B2435">
        <v>213</v>
      </c>
      <c r="C2435" s="2">
        <v>44622</v>
      </c>
      <c r="D2435" s="2" t="str">
        <f>TEXT(Table4[[#This Row],[issue_date]],"mmmm")</f>
        <v>March</v>
      </c>
      <c r="E2435" s="9">
        <f>YEAR(Table4[[#This Row],[issue_date]])</f>
        <v>2022</v>
      </c>
      <c r="F2435" t="s">
        <v>21</v>
      </c>
      <c r="G2435">
        <v>10</v>
      </c>
      <c r="H2435" t="s">
        <v>20</v>
      </c>
      <c r="I2435" t="str">
        <f>VLOOKUP(Table4[[#This Row],[customer_id]],customers!A:G,4,)</f>
        <v>hyderabad</v>
      </c>
    </row>
    <row r="2436" spans="1:9" x14ac:dyDescent="0.3">
      <c r="A2436">
        <v>22435</v>
      </c>
      <c r="B2436">
        <v>18</v>
      </c>
      <c r="C2436" s="2">
        <v>45404</v>
      </c>
      <c r="D2436" s="2" t="str">
        <f>TEXT(Table4[[#This Row],[issue_date]],"mmmm")</f>
        <v>April</v>
      </c>
      <c r="E2436" s="9">
        <f>YEAR(Table4[[#This Row],[issue_date]])</f>
        <v>2024</v>
      </c>
      <c r="F2436" t="s">
        <v>22</v>
      </c>
      <c r="G2436">
        <v>22</v>
      </c>
      <c r="H2436" t="s">
        <v>20</v>
      </c>
      <c r="I2436" t="str">
        <f>VLOOKUP(Table4[[#This Row],[customer_id]],customers!A:G,4,)</f>
        <v>delhi</v>
      </c>
    </row>
    <row r="2437" spans="1:9" x14ac:dyDescent="0.3">
      <c r="A2437">
        <v>22436</v>
      </c>
      <c r="B2437">
        <v>395</v>
      </c>
      <c r="C2437" s="2">
        <v>44678</v>
      </c>
      <c r="D2437" s="2" t="str">
        <f>TEXT(Table4[[#This Row],[issue_date]],"mmmm")</f>
        <v>April</v>
      </c>
      <c r="E2437" s="9">
        <f>YEAR(Table4[[#This Row],[issue_date]])</f>
        <v>2022</v>
      </c>
      <c r="F2437" t="s">
        <v>19</v>
      </c>
      <c r="G2437">
        <v>44</v>
      </c>
      <c r="H2437" t="s">
        <v>20</v>
      </c>
      <c r="I2437" t="str">
        <f>VLOOKUP(Table4[[#This Row],[customer_id]],customers!A:G,4,)</f>
        <v>delhi</v>
      </c>
    </row>
    <row r="2438" spans="1:9" x14ac:dyDescent="0.3">
      <c r="A2438">
        <v>22437</v>
      </c>
      <c r="B2438">
        <v>27</v>
      </c>
      <c r="C2438" s="2">
        <v>44800</v>
      </c>
      <c r="D2438" s="2" t="str">
        <f>TEXT(Table4[[#This Row],[issue_date]],"mmmm")</f>
        <v>August</v>
      </c>
      <c r="E2438" s="9">
        <f>YEAR(Table4[[#This Row],[issue_date]])</f>
        <v>2022</v>
      </c>
      <c r="F2438" t="s">
        <v>19</v>
      </c>
      <c r="G2438">
        <v>28</v>
      </c>
      <c r="H2438" t="s">
        <v>23</v>
      </c>
      <c r="I2438" t="str">
        <f>VLOOKUP(Table4[[#This Row],[customer_id]],customers!A:G,4,)</f>
        <v>delhi</v>
      </c>
    </row>
    <row r="2439" spans="1:9" x14ac:dyDescent="0.3">
      <c r="A2439">
        <v>22438</v>
      </c>
      <c r="B2439">
        <v>427</v>
      </c>
      <c r="C2439" s="2">
        <v>45444</v>
      </c>
      <c r="D2439" s="2" t="str">
        <f>TEXT(Table4[[#This Row],[issue_date]],"mmmm")</f>
        <v>June</v>
      </c>
      <c r="E2439" s="9">
        <f>YEAR(Table4[[#This Row],[issue_date]])</f>
        <v>2024</v>
      </c>
      <c r="F2439" t="s">
        <v>22</v>
      </c>
      <c r="G2439">
        <v>50</v>
      </c>
      <c r="H2439" t="s">
        <v>20</v>
      </c>
      <c r="I2439" t="str">
        <f>VLOOKUP(Table4[[#This Row],[customer_id]],customers!A:G,4,)</f>
        <v>delhi</v>
      </c>
    </row>
    <row r="2440" spans="1:9" x14ac:dyDescent="0.3">
      <c r="A2440">
        <v>22439</v>
      </c>
      <c r="B2440">
        <v>358</v>
      </c>
      <c r="C2440" s="2">
        <v>45428</v>
      </c>
      <c r="D2440" s="2" t="str">
        <f>TEXT(Table4[[#This Row],[issue_date]],"mmmm")</f>
        <v>May</v>
      </c>
      <c r="E2440" s="9">
        <f>YEAR(Table4[[#This Row],[issue_date]])</f>
        <v>2024</v>
      </c>
      <c r="F2440" t="s">
        <v>19</v>
      </c>
      <c r="G2440">
        <v>51</v>
      </c>
      <c r="H2440" t="s">
        <v>20</v>
      </c>
      <c r="I2440" t="str">
        <f>VLOOKUP(Table4[[#This Row],[customer_id]],customers!A:G,4,)</f>
        <v>mumbai</v>
      </c>
    </row>
    <row r="2441" spans="1:9" x14ac:dyDescent="0.3">
      <c r="A2441">
        <v>22440</v>
      </c>
      <c r="B2441">
        <v>449</v>
      </c>
      <c r="C2441" s="2">
        <v>44609</v>
      </c>
      <c r="D2441" s="2" t="str">
        <f>TEXT(Table4[[#This Row],[issue_date]],"mmmm")</f>
        <v>February</v>
      </c>
      <c r="E2441" s="9">
        <f>YEAR(Table4[[#This Row],[issue_date]])</f>
        <v>2022</v>
      </c>
      <c r="F2441" t="s">
        <v>21</v>
      </c>
      <c r="G2441">
        <v>1</v>
      </c>
      <c r="H2441" t="s">
        <v>20</v>
      </c>
      <c r="I2441" t="str">
        <f>VLOOKUP(Table4[[#This Row],[customer_id]],customers!A:G,4,)</f>
        <v>delhi</v>
      </c>
    </row>
    <row r="2442" spans="1:9" x14ac:dyDescent="0.3">
      <c r="A2442">
        <v>22441</v>
      </c>
      <c r="B2442">
        <v>438</v>
      </c>
      <c r="C2442" s="2">
        <v>45009</v>
      </c>
      <c r="D2442" s="2" t="str">
        <f>TEXT(Table4[[#This Row],[issue_date]],"mmmm")</f>
        <v>March</v>
      </c>
      <c r="E2442" s="9">
        <f>YEAR(Table4[[#This Row],[issue_date]])</f>
        <v>2023</v>
      </c>
      <c r="F2442" t="s">
        <v>19</v>
      </c>
      <c r="G2442">
        <v>34</v>
      </c>
      <c r="H2442" t="s">
        <v>20</v>
      </c>
      <c r="I2442" t="str">
        <f>VLOOKUP(Table4[[#This Row],[customer_id]],customers!A:G,4,)</f>
        <v>hyderabad</v>
      </c>
    </row>
    <row r="2443" spans="1:9" x14ac:dyDescent="0.3">
      <c r="A2443">
        <v>22442</v>
      </c>
      <c r="B2443">
        <v>285</v>
      </c>
      <c r="C2443" s="2">
        <v>45318</v>
      </c>
      <c r="D2443" s="2" t="str">
        <f>TEXT(Table4[[#This Row],[issue_date]],"mmmm")</f>
        <v>January</v>
      </c>
      <c r="E2443" s="9">
        <f>YEAR(Table4[[#This Row],[issue_date]])</f>
        <v>2024</v>
      </c>
      <c r="F2443" t="s">
        <v>22</v>
      </c>
      <c r="G2443">
        <v>35</v>
      </c>
      <c r="H2443" t="s">
        <v>20</v>
      </c>
      <c r="I2443" t="str">
        <f>VLOOKUP(Table4[[#This Row],[customer_id]],customers!A:G,4,)</f>
        <v>hyderabad</v>
      </c>
    </row>
    <row r="2444" spans="1:9" x14ac:dyDescent="0.3">
      <c r="A2444">
        <v>22443</v>
      </c>
      <c r="B2444">
        <v>149</v>
      </c>
      <c r="C2444" s="2">
        <v>45029</v>
      </c>
      <c r="D2444" s="2" t="str">
        <f>TEXT(Table4[[#This Row],[issue_date]],"mmmm")</f>
        <v>April</v>
      </c>
      <c r="E2444" s="9">
        <f>YEAR(Table4[[#This Row],[issue_date]])</f>
        <v>2023</v>
      </c>
      <c r="F2444" t="s">
        <v>21</v>
      </c>
      <c r="G2444">
        <v>61</v>
      </c>
      <c r="H2444" t="s">
        <v>20</v>
      </c>
      <c r="I2444" t="str">
        <f>VLOOKUP(Table4[[#This Row],[customer_id]],customers!A:G,4,)</f>
        <v>chennai</v>
      </c>
    </row>
    <row r="2445" spans="1:9" x14ac:dyDescent="0.3">
      <c r="A2445">
        <v>22444</v>
      </c>
      <c r="B2445">
        <v>285</v>
      </c>
      <c r="C2445" s="2">
        <v>44854</v>
      </c>
      <c r="D2445" s="2" t="str">
        <f>TEXT(Table4[[#This Row],[issue_date]],"mmmm")</f>
        <v>October</v>
      </c>
      <c r="E2445" s="9">
        <f>YEAR(Table4[[#This Row],[issue_date]])</f>
        <v>2022</v>
      </c>
      <c r="F2445" t="s">
        <v>19</v>
      </c>
      <c r="G2445">
        <v>30</v>
      </c>
      <c r="H2445" t="s">
        <v>23</v>
      </c>
      <c r="I2445" t="str">
        <f>VLOOKUP(Table4[[#This Row],[customer_id]],customers!A:G,4,)</f>
        <v>hyderabad</v>
      </c>
    </row>
    <row r="2446" spans="1:9" x14ac:dyDescent="0.3">
      <c r="A2446">
        <v>22445</v>
      </c>
      <c r="B2446">
        <v>137</v>
      </c>
      <c r="C2446" s="2">
        <v>44986</v>
      </c>
      <c r="D2446" s="2" t="str">
        <f>TEXT(Table4[[#This Row],[issue_date]],"mmmm")</f>
        <v>March</v>
      </c>
      <c r="E2446" s="9">
        <f>YEAR(Table4[[#This Row],[issue_date]])</f>
        <v>2023</v>
      </c>
      <c r="F2446" t="s">
        <v>21</v>
      </c>
      <c r="G2446">
        <v>68</v>
      </c>
      <c r="H2446" t="s">
        <v>20</v>
      </c>
      <c r="I2446" t="str">
        <f>VLOOKUP(Table4[[#This Row],[customer_id]],customers!A:G,4,)</f>
        <v>delhi</v>
      </c>
    </row>
    <row r="2447" spans="1:9" x14ac:dyDescent="0.3">
      <c r="A2447">
        <v>22446</v>
      </c>
      <c r="B2447">
        <v>189</v>
      </c>
      <c r="C2447" s="2">
        <v>45078</v>
      </c>
      <c r="D2447" s="2" t="str">
        <f>TEXT(Table4[[#This Row],[issue_date]],"mmmm")</f>
        <v>June</v>
      </c>
      <c r="E2447" s="9">
        <f>YEAR(Table4[[#This Row],[issue_date]])</f>
        <v>2023</v>
      </c>
      <c r="F2447" t="s">
        <v>19</v>
      </c>
      <c r="G2447">
        <v>40</v>
      </c>
      <c r="H2447" t="s">
        <v>20</v>
      </c>
      <c r="I2447" t="str">
        <f>VLOOKUP(Table4[[#This Row],[customer_id]],customers!A:G,4,)</f>
        <v>delhi</v>
      </c>
    </row>
    <row r="2448" spans="1:9" x14ac:dyDescent="0.3">
      <c r="A2448">
        <v>22447</v>
      </c>
      <c r="B2448">
        <v>190</v>
      </c>
      <c r="C2448" s="2">
        <v>45173</v>
      </c>
      <c r="D2448" s="2" t="str">
        <f>TEXT(Table4[[#This Row],[issue_date]],"mmmm")</f>
        <v>September</v>
      </c>
      <c r="E2448" s="9">
        <f>YEAR(Table4[[#This Row],[issue_date]])</f>
        <v>2023</v>
      </c>
      <c r="F2448" t="s">
        <v>21</v>
      </c>
      <c r="G2448">
        <v>65</v>
      </c>
      <c r="H2448" t="s">
        <v>20</v>
      </c>
      <c r="I2448" t="str">
        <f>VLOOKUP(Table4[[#This Row],[customer_id]],customers!A:G,4,)</f>
        <v>hyderabad</v>
      </c>
    </row>
    <row r="2449" spans="1:9" x14ac:dyDescent="0.3">
      <c r="A2449">
        <v>22448</v>
      </c>
      <c r="B2449">
        <v>199</v>
      </c>
      <c r="C2449" s="2">
        <v>44766</v>
      </c>
      <c r="D2449" s="2" t="str">
        <f>TEXT(Table4[[#This Row],[issue_date]],"mmmm")</f>
        <v>July</v>
      </c>
      <c r="E2449" s="9">
        <f>YEAR(Table4[[#This Row],[issue_date]])</f>
        <v>2022</v>
      </c>
      <c r="F2449" t="s">
        <v>22</v>
      </c>
      <c r="G2449">
        <v>37</v>
      </c>
      <c r="H2449" t="s">
        <v>20</v>
      </c>
      <c r="I2449" t="str">
        <f>VLOOKUP(Table4[[#This Row],[customer_id]],customers!A:G,4,)</f>
        <v>kolkata</v>
      </c>
    </row>
    <row r="2450" spans="1:9" x14ac:dyDescent="0.3">
      <c r="A2450">
        <v>22449</v>
      </c>
      <c r="B2450">
        <v>102</v>
      </c>
      <c r="C2450" s="2">
        <v>44741</v>
      </c>
      <c r="D2450" s="2" t="str">
        <f>TEXT(Table4[[#This Row],[issue_date]],"mmmm")</f>
        <v>June</v>
      </c>
      <c r="E2450" s="9">
        <f>YEAR(Table4[[#This Row],[issue_date]])</f>
        <v>2022</v>
      </c>
      <c r="F2450" t="s">
        <v>22</v>
      </c>
      <c r="G2450">
        <v>64</v>
      </c>
      <c r="H2450" t="s">
        <v>20</v>
      </c>
      <c r="I2450" t="str">
        <f>VLOOKUP(Table4[[#This Row],[customer_id]],customers!A:G,4,)</f>
        <v>delhi</v>
      </c>
    </row>
    <row r="2451" spans="1:9" x14ac:dyDescent="0.3">
      <c r="A2451">
        <v>22450</v>
      </c>
      <c r="B2451">
        <v>479</v>
      </c>
      <c r="C2451" s="2">
        <v>45090</v>
      </c>
      <c r="D2451" s="2" t="str">
        <f>TEXT(Table4[[#This Row],[issue_date]],"mmmm")</f>
        <v>June</v>
      </c>
      <c r="E2451" s="9">
        <f>YEAR(Table4[[#This Row],[issue_date]])</f>
        <v>2023</v>
      </c>
      <c r="F2451" t="s">
        <v>19</v>
      </c>
      <c r="G2451">
        <v>1</v>
      </c>
      <c r="H2451" t="s">
        <v>20</v>
      </c>
      <c r="I2451" t="str">
        <f>VLOOKUP(Table4[[#This Row],[customer_id]],customers!A:G,4,)</f>
        <v>mumbai</v>
      </c>
    </row>
    <row r="2452" spans="1:9" x14ac:dyDescent="0.3">
      <c r="A2452">
        <v>22451</v>
      </c>
      <c r="B2452">
        <v>91</v>
      </c>
      <c r="C2452" s="2">
        <v>44651</v>
      </c>
      <c r="D2452" s="2" t="str">
        <f>TEXT(Table4[[#This Row],[issue_date]],"mmmm")</f>
        <v>March</v>
      </c>
      <c r="E2452" s="9">
        <f>YEAR(Table4[[#This Row],[issue_date]])</f>
        <v>2022</v>
      </c>
      <c r="F2452" t="s">
        <v>19</v>
      </c>
      <c r="G2452">
        <v>15</v>
      </c>
      <c r="H2452" t="s">
        <v>20</v>
      </c>
      <c r="I2452" t="str">
        <f>VLOOKUP(Table4[[#This Row],[customer_id]],customers!A:G,4,)</f>
        <v>chennai</v>
      </c>
    </row>
    <row r="2453" spans="1:9" x14ac:dyDescent="0.3">
      <c r="A2453">
        <v>22452</v>
      </c>
      <c r="B2453">
        <v>490</v>
      </c>
      <c r="C2453" s="2">
        <v>45061</v>
      </c>
      <c r="D2453" s="2" t="str">
        <f>TEXT(Table4[[#This Row],[issue_date]],"mmmm")</f>
        <v>May</v>
      </c>
      <c r="E2453" s="9">
        <f>YEAR(Table4[[#This Row],[issue_date]])</f>
        <v>2023</v>
      </c>
      <c r="F2453" t="s">
        <v>21</v>
      </c>
      <c r="G2453">
        <v>13</v>
      </c>
      <c r="H2453" t="s">
        <v>20</v>
      </c>
      <c r="I2453" t="str">
        <f>VLOOKUP(Table4[[#This Row],[customer_id]],customers!A:G,4,)</f>
        <v>chennai</v>
      </c>
    </row>
    <row r="2454" spans="1:9" x14ac:dyDescent="0.3">
      <c r="A2454">
        <v>22453</v>
      </c>
      <c r="B2454">
        <v>224</v>
      </c>
      <c r="C2454" s="2">
        <v>44669</v>
      </c>
      <c r="D2454" s="2" t="str">
        <f>TEXT(Table4[[#This Row],[issue_date]],"mmmm")</f>
        <v>April</v>
      </c>
      <c r="E2454" s="9">
        <f>YEAR(Table4[[#This Row],[issue_date]])</f>
        <v>2022</v>
      </c>
      <c r="F2454" t="s">
        <v>22</v>
      </c>
      <c r="G2454">
        <v>29</v>
      </c>
      <c r="H2454" t="s">
        <v>23</v>
      </c>
      <c r="I2454" t="str">
        <f>VLOOKUP(Table4[[#This Row],[customer_id]],customers!A:G,4,)</f>
        <v>delhi</v>
      </c>
    </row>
    <row r="2455" spans="1:9" x14ac:dyDescent="0.3">
      <c r="A2455">
        <v>22454</v>
      </c>
      <c r="B2455">
        <v>5</v>
      </c>
      <c r="C2455" s="2">
        <v>44751</v>
      </c>
      <c r="D2455" s="2" t="str">
        <f>TEXT(Table4[[#This Row],[issue_date]],"mmmm")</f>
        <v>July</v>
      </c>
      <c r="E2455" s="9">
        <f>YEAR(Table4[[#This Row],[issue_date]])</f>
        <v>2022</v>
      </c>
      <c r="F2455" t="s">
        <v>21</v>
      </c>
      <c r="G2455">
        <v>55</v>
      </c>
      <c r="H2455" t="s">
        <v>20</v>
      </c>
      <c r="I2455" t="str">
        <f>VLOOKUP(Table4[[#This Row],[customer_id]],customers!A:G,4,)</f>
        <v>delhi</v>
      </c>
    </row>
    <row r="2456" spans="1:9" x14ac:dyDescent="0.3">
      <c r="A2456">
        <v>22455</v>
      </c>
      <c r="B2456">
        <v>353</v>
      </c>
      <c r="C2456" s="2">
        <v>44741</v>
      </c>
      <c r="D2456" s="2" t="str">
        <f>TEXT(Table4[[#This Row],[issue_date]],"mmmm")</f>
        <v>June</v>
      </c>
      <c r="E2456" s="9">
        <f>YEAR(Table4[[#This Row],[issue_date]])</f>
        <v>2022</v>
      </c>
      <c r="F2456" t="s">
        <v>22</v>
      </c>
      <c r="G2456">
        <v>45</v>
      </c>
      <c r="H2456" t="s">
        <v>20</v>
      </c>
      <c r="I2456" t="str">
        <f>VLOOKUP(Table4[[#This Row],[customer_id]],customers!A:G,4,)</f>
        <v>delhi</v>
      </c>
    </row>
    <row r="2457" spans="1:9" x14ac:dyDescent="0.3">
      <c r="A2457">
        <v>22456</v>
      </c>
      <c r="B2457">
        <v>15</v>
      </c>
      <c r="C2457" s="2">
        <v>45322</v>
      </c>
      <c r="D2457" s="2" t="str">
        <f>TEXT(Table4[[#This Row],[issue_date]],"mmmm")</f>
        <v>January</v>
      </c>
      <c r="E2457" s="9">
        <f>YEAR(Table4[[#This Row],[issue_date]])</f>
        <v>2024</v>
      </c>
      <c r="F2457" t="s">
        <v>21</v>
      </c>
      <c r="G2457">
        <v>4</v>
      </c>
      <c r="H2457" t="s">
        <v>20</v>
      </c>
      <c r="I2457" t="str">
        <f>VLOOKUP(Table4[[#This Row],[customer_id]],customers!A:G,4,)</f>
        <v>delhi</v>
      </c>
    </row>
    <row r="2458" spans="1:9" x14ac:dyDescent="0.3">
      <c r="A2458">
        <v>22457</v>
      </c>
      <c r="B2458">
        <v>441</v>
      </c>
      <c r="C2458" s="2">
        <v>45324</v>
      </c>
      <c r="D2458" s="2" t="str">
        <f>TEXT(Table4[[#This Row],[issue_date]],"mmmm")</f>
        <v>February</v>
      </c>
      <c r="E2458" s="9">
        <f>YEAR(Table4[[#This Row],[issue_date]])</f>
        <v>2024</v>
      </c>
      <c r="F2458" t="s">
        <v>21</v>
      </c>
      <c r="G2458">
        <v>64</v>
      </c>
      <c r="H2458" t="s">
        <v>20</v>
      </c>
      <c r="I2458" t="str">
        <f>VLOOKUP(Table4[[#This Row],[customer_id]],customers!A:G,4,)</f>
        <v>kolkata</v>
      </c>
    </row>
    <row r="2459" spans="1:9" x14ac:dyDescent="0.3">
      <c r="A2459">
        <v>22458</v>
      </c>
      <c r="B2459">
        <v>5</v>
      </c>
      <c r="C2459" s="2">
        <v>44581</v>
      </c>
      <c r="D2459" s="2" t="str">
        <f>TEXT(Table4[[#This Row],[issue_date]],"mmmm")</f>
        <v>January</v>
      </c>
      <c r="E2459" s="9">
        <f>YEAR(Table4[[#This Row],[issue_date]])</f>
        <v>2022</v>
      </c>
      <c r="F2459" t="s">
        <v>21</v>
      </c>
      <c r="G2459">
        <v>15</v>
      </c>
      <c r="H2459" t="s">
        <v>20</v>
      </c>
      <c r="I2459" t="str">
        <f>VLOOKUP(Table4[[#This Row],[customer_id]],customers!A:G,4,)</f>
        <v>delhi</v>
      </c>
    </row>
    <row r="2460" spans="1:9" x14ac:dyDescent="0.3">
      <c r="A2460">
        <v>22459</v>
      </c>
      <c r="B2460">
        <v>404</v>
      </c>
      <c r="C2460" s="2">
        <v>44920</v>
      </c>
      <c r="D2460" s="2" t="str">
        <f>TEXT(Table4[[#This Row],[issue_date]],"mmmm")</f>
        <v>December</v>
      </c>
      <c r="E2460" s="9">
        <f>YEAR(Table4[[#This Row],[issue_date]])</f>
        <v>2022</v>
      </c>
      <c r="F2460" t="s">
        <v>19</v>
      </c>
      <c r="G2460">
        <v>48</v>
      </c>
      <c r="H2460" t="s">
        <v>20</v>
      </c>
      <c r="I2460" t="str">
        <f>VLOOKUP(Table4[[#This Row],[customer_id]],customers!A:G,4,)</f>
        <v>hyderabad</v>
      </c>
    </row>
    <row r="2461" spans="1:9" x14ac:dyDescent="0.3">
      <c r="A2461">
        <v>22460</v>
      </c>
      <c r="B2461">
        <v>230</v>
      </c>
      <c r="C2461" s="2">
        <v>45170</v>
      </c>
      <c r="D2461" s="2" t="str">
        <f>TEXT(Table4[[#This Row],[issue_date]],"mmmm")</f>
        <v>September</v>
      </c>
      <c r="E2461" s="9">
        <f>YEAR(Table4[[#This Row],[issue_date]])</f>
        <v>2023</v>
      </c>
      <c r="F2461" t="s">
        <v>22</v>
      </c>
      <c r="G2461">
        <v>56</v>
      </c>
      <c r="H2461" t="s">
        <v>20</v>
      </c>
      <c r="I2461" t="str">
        <f>VLOOKUP(Table4[[#This Row],[customer_id]],customers!A:G,4,)</f>
        <v>chennai</v>
      </c>
    </row>
    <row r="2462" spans="1:9" x14ac:dyDescent="0.3">
      <c r="A2462">
        <v>22461</v>
      </c>
      <c r="B2462">
        <v>357</v>
      </c>
      <c r="C2462" s="2">
        <v>45295</v>
      </c>
      <c r="D2462" s="2" t="str">
        <f>TEXT(Table4[[#This Row],[issue_date]],"mmmm")</f>
        <v>January</v>
      </c>
      <c r="E2462" s="9">
        <f>YEAR(Table4[[#This Row],[issue_date]])</f>
        <v>2024</v>
      </c>
      <c r="F2462" t="s">
        <v>19</v>
      </c>
      <c r="G2462">
        <v>70</v>
      </c>
      <c r="H2462" t="s">
        <v>20</v>
      </c>
      <c r="I2462" t="str">
        <f>VLOOKUP(Table4[[#This Row],[customer_id]],customers!A:G,4,)</f>
        <v>bangalore</v>
      </c>
    </row>
    <row r="2463" spans="1:9" x14ac:dyDescent="0.3">
      <c r="A2463">
        <v>22462</v>
      </c>
      <c r="B2463">
        <v>337</v>
      </c>
      <c r="C2463" s="2">
        <v>45217</v>
      </c>
      <c r="D2463" s="2" t="str">
        <f>TEXT(Table4[[#This Row],[issue_date]],"mmmm")</f>
        <v>October</v>
      </c>
      <c r="E2463" s="9">
        <f>YEAR(Table4[[#This Row],[issue_date]])</f>
        <v>2023</v>
      </c>
      <c r="F2463" t="s">
        <v>19</v>
      </c>
      <c r="G2463">
        <v>15</v>
      </c>
      <c r="H2463" t="s">
        <v>20</v>
      </c>
      <c r="I2463" t="str">
        <f>VLOOKUP(Table4[[#This Row],[customer_id]],customers!A:G,4,)</f>
        <v>mumbai</v>
      </c>
    </row>
    <row r="2464" spans="1:9" x14ac:dyDescent="0.3">
      <c r="A2464">
        <v>22463</v>
      </c>
      <c r="B2464">
        <v>114</v>
      </c>
      <c r="C2464" s="2">
        <v>44568</v>
      </c>
      <c r="D2464" s="2" t="str">
        <f>TEXT(Table4[[#This Row],[issue_date]],"mmmm")</f>
        <v>January</v>
      </c>
      <c r="E2464" s="9">
        <f>YEAR(Table4[[#This Row],[issue_date]])</f>
        <v>2022</v>
      </c>
      <c r="F2464" t="s">
        <v>21</v>
      </c>
      <c r="G2464">
        <v>39</v>
      </c>
      <c r="H2464" t="s">
        <v>20</v>
      </c>
      <c r="I2464" t="str">
        <f>VLOOKUP(Table4[[#This Row],[customer_id]],customers!A:G,4,)</f>
        <v>mumbai</v>
      </c>
    </row>
    <row r="2465" spans="1:9" x14ac:dyDescent="0.3">
      <c r="A2465">
        <v>22464</v>
      </c>
      <c r="B2465">
        <v>4</v>
      </c>
      <c r="C2465" s="2">
        <v>45423</v>
      </c>
      <c r="D2465" s="2" t="str">
        <f>TEXT(Table4[[#This Row],[issue_date]],"mmmm")</f>
        <v>May</v>
      </c>
      <c r="E2465" s="9">
        <f>YEAR(Table4[[#This Row],[issue_date]])</f>
        <v>2024</v>
      </c>
      <c r="F2465" t="s">
        <v>22</v>
      </c>
      <c r="G2465">
        <v>69</v>
      </c>
      <c r="H2465" t="s">
        <v>20</v>
      </c>
      <c r="I2465" t="str">
        <f>VLOOKUP(Table4[[#This Row],[customer_id]],customers!A:G,4,)</f>
        <v>chennai</v>
      </c>
    </row>
    <row r="2466" spans="1:9" x14ac:dyDescent="0.3">
      <c r="A2466">
        <v>22465</v>
      </c>
      <c r="B2466">
        <v>184</v>
      </c>
      <c r="C2466" s="2">
        <v>44883</v>
      </c>
      <c r="D2466" s="2" t="str">
        <f>TEXT(Table4[[#This Row],[issue_date]],"mmmm")</f>
        <v>November</v>
      </c>
      <c r="E2466" s="9">
        <f>YEAR(Table4[[#This Row],[issue_date]])</f>
        <v>2022</v>
      </c>
      <c r="F2466" t="s">
        <v>19</v>
      </c>
      <c r="G2466">
        <v>60</v>
      </c>
      <c r="H2466" t="s">
        <v>20</v>
      </c>
      <c r="I2466" t="str">
        <f>VLOOKUP(Table4[[#This Row],[customer_id]],customers!A:G,4,)</f>
        <v>delhi</v>
      </c>
    </row>
    <row r="2467" spans="1:9" x14ac:dyDescent="0.3">
      <c r="A2467">
        <v>22466</v>
      </c>
      <c r="B2467">
        <v>213</v>
      </c>
      <c r="C2467" s="2">
        <v>44829</v>
      </c>
      <c r="D2467" s="2" t="str">
        <f>TEXT(Table4[[#This Row],[issue_date]],"mmmm")</f>
        <v>September</v>
      </c>
      <c r="E2467" s="9">
        <f>YEAR(Table4[[#This Row],[issue_date]])</f>
        <v>2022</v>
      </c>
      <c r="F2467" t="s">
        <v>21</v>
      </c>
      <c r="G2467">
        <v>44</v>
      </c>
      <c r="H2467" t="s">
        <v>20</v>
      </c>
      <c r="I2467" t="str">
        <f>VLOOKUP(Table4[[#This Row],[customer_id]],customers!A:G,4,)</f>
        <v>hyderabad</v>
      </c>
    </row>
    <row r="2468" spans="1:9" x14ac:dyDescent="0.3">
      <c r="A2468">
        <v>22467</v>
      </c>
      <c r="B2468">
        <v>247</v>
      </c>
      <c r="C2468" s="2">
        <v>44988</v>
      </c>
      <c r="D2468" s="2" t="str">
        <f>TEXT(Table4[[#This Row],[issue_date]],"mmmm")</f>
        <v>March</v>
      </c>
      <c r="E2468" s="9">
        <f>YEAR(Table4[[#This Row],[issue_date]])</f>
        <v>2023</v>
      </c>
      <c r="F2468" t="s">
        <v>22</v>
      </c>
      <c r="G2468">
        <v>43</v>
      </c>
      <c r="H2468" t="s">
        <v>20</v>
      </c>
      <c r="I2468" t="str">
        <f>VLOOKUP(Table4[[#This Row],[customer_id]],customers!A:G,4,)</f>
        <v>chennai</v>
      </c>
    </row>
    <row r="2469" spans="1:9" x14ac:dyDescent="0.3">
      <c r="A2469">
        <v>22468</v>
      </c>
      <c r="B2469">
        <v>34</v>
      </c>
      <c r="C2469" s="2">
        <v>44857</v>
      </c>
      <c r="D2469" s="2" t="str">
        <f>TEXT(Table4[[#This Row],[issue_date]],"mmmm")</f>
        <v>October</v>
      </c>
      <c r="E2469" s="9">
        <f>YEAR(Table4[[#This Row],[issue_date]])</f>
        <v>2022</v>
      </c>
      <c r="F2469" t="s">
        <v>22</v>
      </c>
      <c r="G2469">
        <v>4</v>
      </c>
      <c r="H2469" t="s">
        <v>20</v>
      </c>
      <c r="I2469" t="str">
        <f>VLOOKUP(Table4[[#This Row],[customer_id]],customers!A:G,4,)</f>
        <v>hyderabad</v>
      </c>
    </row>
    <row r="2470" spans="1:9" x14ac:dyDescent="0.3">
      <c r="A2470">
        <v>22469</v>
      </c>
      <c r="B2470">
        <v>296</v>
      </c>
      <c r="C2470" s="2">
        <v>45074</v>
      </c>
      <c r="D2470" s="2" t="str">
        <f>TEXT(Table4[[#This Row],[issue_date]],"mmmm")</f>
        <v>May</v>
      </c>
      <c r="E2470" s="9">
        <f>YEAR(Table4[[#This Row],[issue_date]])</f>
        <v>2023</v>
      </c>
      <c r="F2470" t="s">
        <v>19</v>
      </c>
      <c r="G2470">
        <v>50</v>
      </c>
      <c r="H2470" t="s">
        <v>20</v>
      </c>
      <c r="I2470" t="str">
        <f>VLOOKUP(Table4[[#This Row],[customer_id]],customers!A:G,4,)</f>
        <v>hyderabad</v>
      </c>
    </row>
    <row r="2471" spans="1:9" x14ac:dyDescent="0.3">
      <c r="A2471">
        <v>22470</v>
      </c>
      <c r="B2471">
        <v>453</v>
      </c>
      <c r="C2471" s="2">
        <v>45131</v>
      </c>
      <c r="D2471" s="2" t="str">
        <f>TEXT(Table4[[#This Row],[issue_date]],"mmmm")</f>
        <v>July</v>
      </c>
      <c r="E2471" s="9">
        <f>YEAR(Table4[[#This Row],[issue_date]])</f>
        <v>2023</v>
      </c>
      <c r="F2471" t="s">
        <v>21</v>
      </c>
      <c r="G2471">
        <v>39</v>
      </c>
      <c r="H2471" t="s">
        <v>20</v>
      </c>
      <c r="I2471" t="str">
        <f>VLOOKUP(Table4[[#This Row],[customer_id]],customers!A:G,4,)</f>
        <v>bangalore</v>
      </c>
    </row>
    <row r="2472" spans="1:9" x14ac:dyDescent="0.3">
      <c r="A2472">
        <v>22471</v>
      </c>
      <c r="B2472">
        <v>196</v>
      </c>
      <c r="C2472" s="2">
        <v>44948</v>
      </c>
      <c r="D2472" s="2" t="str">
        <f>TEXT(Table4[[#This Row],[issue_date]],"mmmm")</f>
        <v>January</v>
      </c>
      <c r="E2472" s="9">
        <f>YEAR(Table4[[#This Row],[issue_date]])</f>
        <v>2023</v>
      </c>
      <c r="F2472" t="s">
        <v>19</v>
      </c>
      <c r="G2472">
        <v>54</v>
      </c>
      <c r="H2472" t="s">
        <v>20</v>
      </c>
      <c r="I2472" t="str">
        <f>VLOOKUP(Table4[[#This Row],[customer_id]],customers!A:G,4,)</f>
        <v>kolkata</v>
      </c>
    </row>
    <row r="2473" spans="1:9" x14ac:dyDescent="0.3">
      <c r="A2473">
        <v>22472</v>
      </c>
      <c r="B2473">
        <v>406</v>
      </c>
      <c r="C2473" s="2">
        <v>44825</v>
      </c>
      <c r="D2473" s="2" t="str">
        <f>TEXT(Table4[[#This Row],[issue_date]],"mmmm")</f>
        <v>September</v>
      </c>
      <c r="E2473" s="9">
        <f>YEAR(Table4[[#This Row],[issue_date]])</f>
        <v>2022</v>
      </c>
      <c r="F2473" t="s">
        <v>22</v>
      </c>
      <c r="G2473">
        <v>23</v>
      </c>
      <c r="H2473" t="s">
        <v>20</v>
      </c>
      <c r="I2473" t="str">
        <f>VLOOKUP(Table4[[#This Row],[customer_id]],customers!A:G,4,)</f>
        <v>hyderabad</v>
      </c>
    </row>
    <row r="2474" spans="1:9" x14ac:dyDescent="0.3">
      <c r="A2474">
        <v>22473</v>
      </c>
      <c r="B2474">
        <v>127</v>
      </c>
      <c r="C2474" s="2">
        <v>44651</v>
      </c>
      <c r="D2474" s="2" t="str">
        <f>TEXT(Table4[[#This Row],[issue_date]],"mmmm")</f>
        <v>March</v>
      </c>
      <c r="E2474" s="9">
        <f>YEAR(Table4[[#This Row],[issue_date]])</f>
        <v>2022</v>
      </c>
      <c r="F2474" t="s">
        <v>19</v>
      </c>
      <c r="G2474">
        <v>60</v>
      </c>
      <c r="H2474" t="s">
        <v>20</v>
      </c>
      <c r="I2474" t="str">
        <f>VLOOKUP(Table4[[#This Row],[customer_id]],customers!A:G,4,)</f>
        <v>delhi</v>
      </c>
    </row>
    <row r="2475" spans="1:9" x14ac:dyDescent="0.3">
      <c r="A2475">
        <v>22474</v>
      </c>
      <c r="B2475">
        <v>142</v>
      </c>
      <c r="C2475" s="2">
        <v>45049</v>
      </c>
      <c r="D2475" s="2" t="str">
        <f>TEXT(Table4[[#This Row],[issue_date]],"mmmm")</f>
        <v>May</v>
      </c>
      <c r="E2475" s="9">
        <f>YEAR(Table4[[#This Row],[issue_date]])</f>
        <v>2023</v>
      </c>
      <c r="F2475" t="s">
        <v>21</v>
      </c>
      <c r="G2475">
        <v>35</v>
      </c>
      <c r="H2475" t="s">
        <v>20</v>
      </c>
      <c r="I2475" t="str">
        <f>VLOOKUP(Table4[[#This Row],[customer_id]],customers!A:G,4,)</f>
        <v>kolkata</v>
      </c>
    </row>
    <row r="2476" spans="1:9" x14ac:dyDescent="0.3">
      <c r="A2476">
        <v>22475</v>
      </c>
      <c r="B2476">
        <v>452</v>
      </c>
      <c r="C2476" s="2">
        <v>45148</v>
      </c>
      <c r="D2476" s="2" t="str">
        <f>TEXT(Table4[[#This Row],[issue_date]],"mmmm")</f>
        <v>August</v>
      </c>
      <c r="E2476" s="9">
        <f>YEAR(Table4[[#This Row],[issue_date]])</f>
        <v>2023</v>
      </c>
      <c r="F2476" t="s">
        <v>22</v>
      </c>
      <c r="G2476">
        <v>54</v>
      </c>
      <c r="H2476" t="s">
        <v>20</v>
      </c>
      <c r="I2476" t="str">
        <f>VLOOKUP(Table4[[#This Row],[customer_id]],customers!A:G,4,)</f>
        <v>delhi</v>
      </c>
    </row>
    <row r="2477" spans="1:9" x14ac:dyDescent="0.3">
      <c r="A2477">
        <v>22476</v>
      </c>
      <c r="B2477">
        <v>136</v>
      </c>
      <c r="C2477" s="2">
        <v>45414</v>
      </c>
      <c r="D2477" s="2" t="str">
        <f>TEXT(Table4[[#This Row],[issue_date]],"mmmm")</f>
        <v>May</v>
      </c>
      <c r="E2477" s="9">
        <f>YEAR(Table4[[#This Row],[issue_date]])</f>
        <v>2024</v>
      </c>
      <c r="F2477" t="s">
        <v>21</v>
      </c>
      <c r="G2477">
        <v>58</v>
      </c>
      <c r="H2477" t="s">
        <v>20</v>
      </c>
      <c r="I2477" t="str">
        <f>VLOOKUP(Table4[[#This Row],[customer_id]],customers!A:G,4,)</f>
        <v>chennai</v>
      </c>
    </row>
    <row r="2478" spans="1:9" x14ac:dyDescent="0.3">
      <c r="A2478">
        <v>22477</v>
      </c>
      <c r="B2478">
        <v>128</v>
      </c>
      <c r="C2478" s="2">
        <v>44822</v>
      </c>
      <c r="D2478" s="2" t="str">
        <f>TEXT(Table4[[#This Row],[issue_date]],"mmmm")</f>
        <v>September</v>
      </c>
      <c r="E2478" s="9">
        <f>YEAR(Table4[[#This Row],[issue_date]])</f>
        <v>2022</v>
      </c>
      <c r="F2478" t="s">
        <v>21</v>
      </c>
      <c r="G2478">
        <v>62</v>
      </c>
      <c r="H2478" t="s">
        <v>20</v>
      </c>
      <c r="I2478" t="str">
        <f>VLOOKUP(Table4[[#This Row],[customer_id]],customers!A:G,4,)</f>
        <v>bangalore</v>
      </c>
    </row>
    <row r="2479" spans="1:9" x14ac:dyDescent="0.3">
      <c r="A2479">
        <v>22478</v>
      </c>
      <c r="B2479">
        <v>323</v>
      </c>
      <c r="C2479" s="2">
        <v>45049</v>
      </c>
      <c r="D2479" s="2" t="str">
        <f>TEXT(Table4[[#This Row],[issue_date]],"mmmm")</f>
        <v>May</v>
      </c>
      <c r="E2479" s="9">
        <f>YEAR(Table4[[#This Row],[issue_date]])</f>
        <v>2023</v>
      </c>
      <c r="F2479" t="s">
        <v>22</v>
      </c>
      <c r="G2479">
        <v>48</v>
      </c>
      <c r="H2479" t="s">
        <v>20</v>
      </c>
      <c r="I2479" t="str">
        <f>VLOOKUP(Table4[[#This Row],[customer_id]],customers!A:G,4,)</f>
        <v>mumbai</v>
      </c>
    </row>
    <row r="2480" spans="1:9" x14ac:dyDescent="0.3">
      <c r="A2480">
        <v>22479</v>
      </c>
      <c r="B2480">
        <v>174</v>
      </c>
      <c r="C2480" s="2">
        <v>45355</v>
      </c>
      <c r="D2480" s="2" t="str">
        <f>TEXT(Table4[[#This Row],[issue_date]],"mmmm")</f>
        <v>March</v>
      </c>
      <c r="E2480" s="9">
        <f>YEAR(Table4[[#This Row],[issue_date]])</f>
        <v>2024</v>
      </c>
      <c r="F2480" t="s">
        <v>21</v>
      </c>
      <c r="G2480">
        <v>7</v>
      </c>
      <c r="H2480" t="s">
        <v>23</v>
      </c>
      <c r="I2480" t="str">
        <f>VLOOKUP(Table4[[#This Row],[customer_id]],customers!A:G,4,)</f>
        <v>mumbai</v>
      </c>
    </row>
    <row r="2481" spans="1:9" x14ac:dyDescent="0.3">
      <c r="A2481">
        <v>22480</v>
      </c>
      <c r="B2481">
        <v>413</v>
      </c>
      <c r="C2481" s="2">
        <v>44902</v>
      </c>
      <c r="D2481" s="2" t="str">
        <f>TEXT(Table4[[#This Row],[issue_date]],"mmmm")</f>
        <v>December</v>
      </c>
      <c r="E2481" s="9">
        <f>YEAR(Table4[[#This Row],[issue_date]])</f>
        <v>2022</v>
      </c>
      <c r="F2481" t="s">
        <v>21</v>
      </c>
      <c r="G2481">
        <v>45</v>
      </c>
      <c r="H2481" t="s">
        <v>23</v>
      </c>
      <c r="I2481" t="str">
        <f>VLOOKUP(Table4[[#This Row],[customer_id]],customers!A:G,4,)</f>
        <v>kolkata</v>
      </c>
    </row>
    <row r="2482" spans="1:9" x14ac:dyDescent="0.3">
      <c r="A2482">
        <v>22481</v>
      </c>
      <c r="B2482">
        <v>218</v>
      </c>
      <c r="C2482" s="2">
        <v>44890</v>
      </c>
      <c r="D2482" s="2" t="str">
        <f>TEXT(Table4[[#This Row],[issue_date]],"mmmm")</f>
        <v>November</v>
      </c>
      <c r="E2482" s="9">
        <f>YEAR(Table4[[#This Row],[issue_date]])</f>
        <v>2022</v>
      </c>
      <c r="F2482" t="s">
        <v>21</v>
      </c>
      <c r="G2482">
        <v>13</v>
      </c>
      <c r="H2482" t="s">
        <v>20</v>
      </c>
      <c r="I2482" t="str">
        <f>VLOOKUP(Table4[[#This Row],[customer_id]],customers!A:G,4,)</f>
        <v>delhi</v>
      </c>
    </row>
    <row r="2483" spans="1:9" x14ac:dyDescent="0.3">
      <c r="A2483">
        <v>22482</v>
      </c>
      <c r="B2483">
        <v>114</v>
      </c>
      <c r="C2483" s="2">
        <v>44962</v>
      </c>
      <c r="D2483" s="2" t="str">
        <f>TEXT(Table4[[#This Row],[issue_date]],"mmmm")</f>
        <v>February</v>
      </c>
      <c r="E2483" s="9">
        <f>YEAR(Table4[[#This Row],[issue_date]])</f>
        <v>2023</v>
      </c>
      <c r="F2483" t="s">
        <v>22</v>
      </c>
      <c r="G2483">
        <v>53</v>
      </c>
      <c r="H2483" t="s">
        <v>20</v>
      </c>
      <c r="I2483" t="str">
        <f>VLOOKUP(Table4[[#This Row],[customer_id]],customers!A:G,4,)</f>
        <v>mumbai</v>
      </c>
    </row>
    <row r="2484" spans="1:9" x14ac:dyDescent="0.3">
      <c r="A2484">
        <v>22483</v>
      </c>
      <c r="B2484">
        <v>375</v>
      </c>
      <c r="C2484" s="2">
        <v>44918</v>
      </c>
      <c r="D2484" s="2" t="str">
        <f>TEXT(Table4[[#This Row],[issue_date]],"mmmm")</f>
        <v>December</v>
      </c>
      <c r="E2484" s="9">
        <f>YEAR(Table4[[#This Row],[issue_date]])</f>
        <v>2022</v>
      </c>
      <c r="F2484" t="s">
        <v>21</v>
      </c>
      <c r="G2484">
        <v>39</v>
      </c>
      <c r="H2484" t="s">
        <v>20</v>
      </c>
      <c r="I2484" t="str">
        <f>VLOOKUP(Table4[[#This Row],[customer_id]],customers!A:G,4,)</f>
        <v>mumbai</v>
      </c>
    </row>
    <row r="2485" spans="1:9" x14ac:dyDescent="0.3">
      <c r="A2485">
        <v>22484</v>
      </c>
      <c r="B2485">
        <v>350</v>
      </c>
      <c r="C2485" s="2">
        <v>45316</v>
      </c>
      <c r="D2485" s="2" t="str">
        <f>TEXT(Table4[[#This Row],[issue_date]],"mmmm")</f>
        <v>January</v>
      </c>
      <c r="E2485" s="9">
        <f>YEAR(Table4[[#This Row],[issue_date]])</f>
        <v>2024</v>
      </c>
      <c r="F2485" t="s">
        <v>19</v>
      </c>
      <c r="G2485">
        <v>18</v>
      </c>
      <c r="H2485" t="s">
        <v>20</v>
      </c>
      <c r="I2485" t="str">
        <f>VLOOKUP(Table4[[#This Row],[customer_id]],customers!A:G,4,)</f>
        <v>delhi</v>
      </c>
    </row>
    <row r="2486" spans="1:9" x14ac:dyDescent="0.3">
      <c r="A2486">
        <v>22485</v>
      </c>
      <c r="B2486">
        <v>12</v>
      </c>
      <c r="C2486" s="2">
        <v>45060</v>
      </c>
      <c r="D2486" s="2" t="str">
        <f>TEXT(Table4[[#This Row],[issue_date]],"mmmm")</f>
        <v>May</v>
      </c>
      <c r="E2486" s="9">
        <f>YEAR(Table4[[#This Row],[issue_date]])</f>
        <v>2023</v>
      </c>
      <c r="F2486" t="s">
        <v>19</v>
      </c>
      <c r="G2486">
        <v>22</v>
      </c>
      <c r="H2486" t="s">
        <v>20</v>
      </c>
      <c r="I2486" t="str">
        <f>VLOOKUP(Table4[[#This Row],[customer_id]],customers!A:G,4,)</f>
        <v>kolkata</v>
      </c>
    </row>
    <row r="2487" spans="1:9" x14ac:dyDescent="0.3">
      <c r="A2487">
        <v>22486</v>
      </c>
      <c r="B2487">
        <v>463</v>
      </c>
      <c r="C2487" s="2">
        <v>45395</v>
      </c>
      <c r="D2487" s="2" t="str">
        <f>TEXT(Table4[[#This Row],[issue_date]],"mmmm")</f>
        <v>April</v>
      </c>
      <c r="E2487" s="9">
        <f>YEAR(Table4[[#This Row],[issue_date]])</f>
        <v>2024</v>
      </c>
      <c r="F2487" t="s">
        <v>21</v>
      </c>
      <c r="G2487">
        <v>36</v>
      </c>
      <c r="H2487" t="s">
        <v>23</v>
      </c>
      <c r="I2487" t="str">
        <f>VLOOKUP(Table4[[#This Row],[customer_id]],customers!A:G,4,)</f>
        <v>delhi</v>
      </c>
    </row>
    <row r="2488" spans="1:9" x14ac:dyDescent="0.3">
      <c r="A2488">
        <v>22487</v>
      </c>
      <c r="B2488">
        <v>244</v>
      </c>
      <c r="C2488" s="2">
        <v>44996</v>
      </c>
      <c r="D2488" s="2" t="str">
        <f>TEXT(Table4[[#This Row],[issue_date]],"mmmm")</f>
        <v>March</v>
      </c>
      <c r="E2488" s="9">
        <f>YEAR(Table4[[#This Row],[issue_date]])</f>
        <v>2023</v>
      </c>
      <c r="F2488" t="s">
        <v>19</v>
      </c>
      <c r="G2488">
        <v>53</v>
      </c>
      <c r="H2488" t="s">
        <v>20</v>
      </c>
      <c r="I2488" t="str">
        <f>VLOOKUP(Table4[[#This Row],[customer_id]],customers!A:G,4,)</f>
        <v>bangalore</v>
      </c>
    </row>
    <row r="2489" spans="1:9" x14ac:dyDescent="0.3">
      <c r="A2489">
        <v>22488</v>
      </c>
      <c r="B2489">
        <v>52</v>
      </c>
      <c r="C2489" s="2">
        <v>44680</v>
      </c>
      <c r="D2489" s="2" t="str">
        <f>TEXT(Table4[[#This Row],[issue_date]],"mmmm")</f>
        <v>April</v>
      </c>
      <c r="E2489" s="9">
        <f>YEAR(Table4[[#This Row],[issue_date]])</f>
        <v>2022</v>
      </c>
      <c r="F2489" t="s">
        <v>19</v>
      </c>
      <c r="G2489">
        <v>3</v>
      </c>
      <c r="H2489" t="s">
        <v>20</v>
      </c>
      <c r="I2489" t="str">
        <f>VLOOKUP(Table4[[#This Row],[customer_id]],customers!A:G,4,)</f>
        <v>chennai</v>
      </c>
    </row>
    <row r="2490" spans="1:9" x14ac:dyDescent="0.3">
      <c r="A2490">
        <v>22489</v>
      </c>
      <c r="B2490">
        <v>186</v>
      </c>
      <c r="C2490" s="2">
        <v>44608</v>
      </c>
      <c r="D2490" s="2" t="str">
        <f>TEXT(Table4[[#This Row],[issue_date]],"mmmm")</f>
        <v>February</v>
      </c>
      <c r="E2490" s="9">
        <f>YEAR(Table4[[#This Row],[issue_date]])</f>
        <v>2022</v>
      </c>
      <c r="F2490" t="s">
        <v>22</v>
      </c>
      <c r="G2490">
        <v>62</v>
      </c>
      <c r="H2490" t="s">
        <v>20</v>
      </c>
      <c r="I2490" t="str">
        <f>VLOOKUP(Table4[[#This Row],[customer_id]],customers!A:G,4,)</f>
        <v>hyderabad</v>
      </c>
    </row>
    <row r="2491" spans="1:9" x14ac:dyDescent="0.3">
      <c r="A2491">
        <v>22490</v>
      </c>
      <c r="B2491">
        <v>233</v>
      </c>
      <c r="C2491" s="2">
        <v>44729</v>
      </c>
      <c r="D2491" s="2" t="str">
        <f>TEXT(Table4[[#This Row],[issue_date]],"mmmm")</f>
        <v>June</v>
      </c>
      <c r="E2491" s="9">
        <f>YEAR(Table4[[#This Row],[issue_date]])</f>
        <v>2022</v>
      </c>
      <c r="F2491" t="s">
        <v>21</v>
      </c>
      <c r="G2491">
        <v>29</v>
      </c>
      <c r="H2491" t="s">
        <v>20</v>
      </c>
      <c r="I2491" t="str">
        <f>VLOOKUP(Table4[[#This Row],[customer_id]],customers!A:G,4,)</f>
        <v>mumbai</v>
      </c>
    </row>
    <row r="2492" spans="1:9" x14ac:dyDescent="0.3">
      <c r="A2492">
        <v>22491</v>
      </c>
      <c r="B2492">
        <v>2</v>
      </c>
      <c r="C2492" s="2">
        <v>44909</v>
      </c>
      <c r="D2492" s="2" t="str">
        <f>TEXT(Table4[[#This Row],[issue_date]],"mmmm")</f>
        <v>December</v>
      </c>
      <c r="E2492" s="9">
        <f>YEAR(Table4[[#This Row],[issue_date]])</f>
        <v>2022</v>
      </c>
      <c r="F2492" t="s">
        <v>22</v>
      </c>
      <c r="G2492">
        <v>8</v>
      </c>
      <c r="H2492" t="s">
        <v>23</v>
      </c>
      <c r="I2492" t="str">
        <f>VLOOKUP(Table4[[#This Row],[customer_id]],customers!A:G,4,)</f>
        <v>chennai</v>
      </c>
    </row>
    <row r="2493" spans="1:9" x14ac:dyDescent="0.3">
      <c r="A2493">
        <v>22492</v>
      </c>
      <c r="B2493">
        <v>1</v>
      </c>
      <c r="C2493" s="2">
        <v>45065</v>
      </c>
      <c r="D2493" s="2" t="str">
        <f>TEXT(Table4[[#This Row],[issue_date]],"mmmm")</f>
        <v>May</v>
      </c>
      <c r="E2493" s="9">
        <f>YEAR(Table4[[#This Row],[issue_date]])</f>
        <v>2023</v>
      </c>
      <c r="F2493" t="s">
        <v>21</v>
      </c>
      <c r="G2493">
        <v>46</v>
      </c>
      <c r="H2493" t="s">
        <v>20</v>
      </c>
      <c r="I2493" t="str">
        <f>VLOOKUP(Table4[[#This Row],[customer_id]],customers!A:G,4,)</f>
        <v>kolkata</v>
      </c>
    </row>
    <row r="2494" spans="1:9" x14ac:dyDescent="0.3">
      <c r="A2494">
        <v>22493</v>
      </c>
      <c r="B2494">
        <v>239</v>
      </c>
      <c r="C2494" s="2">
        <v>45100</v>
      </c>
      <c r="D2494" s="2" t="str">
        <f>TEXT(Table4[[#This Row],[issue_date]],"mmmm")</f>
        <v>June</v>
      </c>
      <c r="E2494" s="9">
        <f>YEAR(Table4[[#This Row],[issue_date]])</f>
        <v>2023</v>
      </c>
      <c r="F2494" t="s">
        <v>19</v>
      </c>
      <c r="G2494">
        <v>56</v>
      </c>
      <c r="H2494" t="s">
        <v>20</v>
      </c>
      <c r="I2494" t="str">
        <f>VLOOKUP(Table4[[#This Row],[customer_id]],customers!A:G,4,)</f>
        <v>hyderabad</v>
      </c>
    </row>
    <row r="2495" spans="1:9" x14ac:dyDescent="0.3">
      <c r="A2495">
        <v>22494</v>
      </c>
      <c r="B2495">
        <v>55</v>
      </c>
      <c r="C2495" s="2">
        <v>44857</v>
      </c>
      <c r="D2495" s="2" t="str">
        <f>TEXT(Table4[[#This Row],[issue_date]],"mmmm")</f>
        <v>October</v>
      </c>
      <c r="E2495" s="9">
        <f>YEAR(Table4[[#This Row],[issue_date]])</f>
        <v>2022</v>
      </c>
      <c r="F2495" t="s">
        <v>22</v>
      </c>
      <c r="G2495">
        <v>49</v>
      </c>
      <c r="H2495" t="s">
        <v>20</v>
      </c>
      <c r="I2495" t="str">
        <f>VLOOKUP(Table4[[#This Row],[customer_id]],customers!A:G,4,)</f>
        <v>mumbai</v>
      </c>
    </row>
    <row r="2496" spans="1:9" x14ac:dyDescent="0.3">
      <c r="A2496">
        <v>22495</v>
      </c>
      <c r="B2496">
        <v>495</v>
      </c>
      <c r="C2496" s="2">
        <v>45074</v>
      </c>
      <c r="D2496" s="2" t="str">
        <f>TEXT(Table4[[#This Row],[issue_date]],"mmmm")</f>
        <v>May</v>
      </c>
      <c r="E2496" s="9">
        <f>YEAR(Table4[[#This Row],[issue_date]])</f>
        <v>2023</v>
      </c>
      <c r="F2496" t="s">
        <v>22</v>
      </c>
      <c r="G2496">
        <v>43</v>
      </c>
      <c r="H2496" t="s">
        <v>20</v>
      </c>
      <c r="I2496" t="str">
        <f>VLOOKUP(Table4[[#This Row],[customer_id]],customers!A:G,4,)</f>
        <v>mumbai</v>
      </c>
    </row>
    <row r="2497" spans="1:9" x14ac:dyDescent="0.3">
      <c r="A2497">
        <v>22496</v>
      </c>
      <c r="B2497">
        <v>220</v>
      </c>
      <c r="C2497" s="2">
        <v>44735</v>
      </c>
      <c r="D2497" s="2" t="str">
        <f>TEXT(Table4[[#This Row],[issue_date]],"mmmm")</f>
        <v>June</v>
      </c>
      <c r="E2497" s="9">
        <f>YEAR(Table4[[#This Row],[issue_date]])</f>
        <v>2022</v>
      </c>
      <c r="F2497" t="s">
        <v>19</v>
      </c>
      <c r="G2497">
        <v>10</v>
      </c>
      <c r="H2497" t="s">
        <v>20</v>
      </c>
      <c r="I2497" t="str">
        <f>VLOOKUP(Table4[[#This Row],[customer_id]],customers!A:G,4,)</f>
        <v>bangalore</v>
      </c>
    </row>
    <row r="2498" spans="1:9" x14ac:dyDescent="0.3">
      <c r="A2498">
        <v>22497</v>
      </c>
      <c r="B2498">
        <v>104</v>
      </c>
      <c r="C2498" s="2">
        <v>44956</v>
      </c>
      <c r="D2498" s="2" t="str">
        <f>TEXT(Table4[[#This Row],[issue_date]],"mmmm")</f>
        <v>January</v>
      </c>
      <c r="E2498" s="9">
        <f>YEAR(Table4[[#This Row],[issue_date]])</f>
        <v>2023</v>
      </c>
      <c r="F2498" t="s">
        <v>19</v>
      </c>
      <c r="G2498">
        <v>13</v>
      </c>
      <c r="H2498" t="s">
        <v>20</v>
      </c>
      <c r="I2498" t="str">
        <f>VLOOKUP(Table4[[#This Row],[customer_id]],customers!A:G,4,)</f>
        <v>kolkata</v>
      </c>
    </row>
    <row r="2499" spans="1:9" x14ac:dyDescent="0.3">
      <c r="A2499">
        <v>22498</v>
      </c>
      <c r="B2499">
        <v>355</v>
      </c>
      <c r="C2499" s="2">
        <v>45240</v>
      </c>
      <c r="D2499" s="2" t="str">
        <f>TEXT(Table4[[#This Row],[issue_date]],"mmmm")</f>
        <v>November</v>
      </c>
      <c r="E2499" s="9">
        <f>YEAR(Table4[[#This Row],[issue_date]])</f>
        <v>2023</v>
      </c>
      <c r="F2499" t="s">
        <v>21</v>
      </c>
      <c r="G2499">
        <v>57</v>
      </c>
      <c r="H2499" t="s">
        <v>20</v>
      </c>
      <c r="I2499" t="str">
        <f>VLOOKUP(Table4[[#This Row],[customer_id]],customers!A:G,4,)</f>
        <v>bangalore</v>
      </c>
    </row>
    <row r="2500" spans="1:9" x14ac:dyDescent="0.3">
      <c r="A2500">
        <v>22499</v>
      </c>
      <c r="B2500">
        <v>418</v>
      </c>
      <c r="C2500" s="2">
        <v>45091</v>
      </c>
      <c r="D2500" s="2" t="str">
        <f>TEXT(Table4[[#This Row],[issue_date]],"mmmm")</f>
        <v>June</v>
      </c>
      <c r="E2500" s="9">
        <f>YEAR(Table4[[#This Row],[issue_date]])</f>
        <v>2023</v>
      </c>
      <c r="F2500" t="s">
        <v>21</v>
      </c>
      <c r="G2500">
        <v>2</v>
      </c>
      <c r="H2500" t="s">
        <v>23</v>
      </c>
      <c r="I2500" t="str">
        <f>VLOOKUP(Table4[[#This Row],[customer_id]],customers!A:G,4,)</f>
        <v>mumbai</v>
      </c>
    </row>
    <row r="2501" spans="1:9" x14ac:dyDescent="0.3">
      <c r="A2501">
        <v>22500</v>
      </c>
      <c r="B2501">
        <v>448</v>
      </c>
      <c r="C2501" s="2">
        <v>45164</v>
      </c>
      <c r="D2501" s="2" t="str">
        <f>TEXT(Table4[[#This Row],[issue_date]],"mmmm")</f>
        <v>August</v>
      </c>
      <c r="E2501" s="9">
        <f>YEAR(Table4[[#This Row],[issue_date]])</f>
        <v>2023</v>
      </c>
      <c r="F2501" t="s">
        <v>19</v>
      </c>
      <c r="G2501">
        <v>65</v>
      </c>
      <c r="H2501" t="s">
        <v>20</v>
      </c>
      <c r="I2501" t="str">
        <f>VLOOKUP(Table4[[#This Row],[customer_id]],customers!A:G,4,)</f>
        <v>mumbai</v>
      </c>
    </row>
    <row r="2502" spans="1:9" x14ac:dyDescent="0.3">
      <c r="A2502">
        <v>22501</v>
      </c>
      <c r="B2502">
        <v>324</v>
      </c>
      <c r="C2502" s="2">
        <v>44864</v>
      </c>
      <c r="D2502" s="2" t="str">
        <f>TEXT(Table4[[#This Row],[issue_date]],"mmmm")</f>
        <v>October</v>
      </c>
      <c r="E2502" s="9">
        <f>YEAR(Table4[[#This Row],[issue_date]])</f>
        <v>2022</v>
      </c>
      <c r="F2502" t="s">
        <v>19</v>
      </c>
      <c r="G2502">
        <v>42</v>
      </c>
      <c r="H2502" t="s">
        <v>20</v>
      </c>
      <c r="I2502" t="str">
        <f>VLOOKUP(Table4[[#This Row],[customer_id]],customers!A:G,4,)</f>
        <v>delhi</v>
      </c>
    </row>
    <row r="2503" spans="1:9" x14ac:dyDescent="0.3">
      <c r="A2503">
        <v>22502</v>
      </c>
      <c r="B2503">
        <v>338</v>
      </c>
      <c r="C2503" s="2">
        <v>44763</v>
      </c>
      <c r="D2503" s="2" t="str">
        <f>TEXT(Table4[[#This Row],[issue_date]],"mmmm")</f>
        <v>July</v>
      </c>
      <c r="E2503" s="9">
        <f>YEAR(Table4[[#This Row],[issue_date]])</f>
        <v>2022</v>
      </c>
      <c r="F2503" t="s">
        <v>22</v>
      </c>
      <c r="G2503">
        <v>58</v>
      </c>
      <c r="H2503" t="s">
        <v>20</v>
      </c>
      <c r="I2503" t="str">
        <f>VLOOKUP(Table4[[#This Row],[customer_id]],customers!A:G,4,)</f>
        <v>delhi</v>
      </c>
    </row>
    <row r="2504" spans="1:9" x14ac:dyDescent="0.3">
      <c r="A2504">
        <v>22503</v>
      </c>
      <c r="B2504">
        <v>396</v>
      </c>
      <c r="C2504" s="2">
        <v>45094</v>
      </c>
      <c r="D2504" s="2" t="str">
        <f>TEXT(Table4[[#This Row],[issue_date]],"mmmm")</f>
        <v>June</v>
      </c>
      <c r="E2504" s="9">
        <f>YEAR(Table4[[#This Row],[issue_date]])</f>
        <v>2023</v>
      </c>
      <c r="F2504" t="s">
        <v>22</v>
      </c>
      <c r="G2504">
        <v>10</v>
      </c>
      <c r="H2504" t="s">
        <v>20</v>
      </c>
      <c r="I2504" t="str">
        <f>VLOOKUP(Table4[[#This Row],[customer_id]],customers!A:G,4,)</f>
        <v>kolkata</v>
      </c>
    </row>
    <row r="2505" spans="1:9" x14ac:dyDescent="0.3">
      <c r="A2505">
        <v>22504</v>
      </c>
      <c r="B2505">
        <v>306</v>
      </c>
      <c r="C2505" s="2">
        <v>44717</v>
      </c>
      <c r="D2505" s="2" t="str">
        <f>TEXT(Table4[[#This Row],[issue_date]],"mmmm")</f>
        <v>June</v>
      </c>
      <c r="E2505" s="9">
        <f>YEAR(Table4[[#This Row],[issue_date]])</f>
        <v>2022</v>
      </c>
      <c r="F2505" t="s">
        <v>21</v>
      </c>
      <c r="G2505">
        <v>63</v>
      </c>
      <c r="H2505" t="s">
        <v>20</v>
      </c>
      <c r="I2505" t="str">
        <f>VLOOKUP(Table4[[#This Row],[customer_id]],customers!A:G,4,)</f>
        <v>bangalore</v>
      </c>
    </row>
    <row r="2506" spans="1:9" x14ac:dyDescent="0.3">
      <c r="A2506">
        <v>22505</v>
      </c>
      <c r="B2506">
        <v>277</v>
      </c>
      <c r="C2506" s="2">
        <v>45458</v>
      </c>
      <c r="D2506" s="2" t="str">
        <f>TEXT(Table4[[#This Row],[issue_date]],"mmmm")</f>
        <v>June</v>
      </c>
      <c r="E2506" s="9">
        <f>YEAR(Table4[[#This Row],[issue_date]])</f>
        <v>2024</v>
      </c>
      <c r="F2506" t="s">
        <v>22</v>
      </c>
      <c r="G2506">
        <v>71</v>
      </c>
      <c r="H2506" t="s">
        <v>20</v>
      </c>
      <c r="I2506" t="str">
        <f>VLOOKUP(Table4[[#This Row],[customer_id]],customers!A:G,4,)</f>
        <v>chennai</v>
      </c>
    </row>
    <row r="2507" spans="1:9" x14ac:dyDescent="0.3">
      <c r="A2507">
        <v>22506</v>
      </c>
      <c r="B2507">
        <v>10</v>
      </c>
      <c r="C2507" s="2">
        <v>44575</v>
      </c>
      <c r="D2507" s="2" t="str">
        <f>TEXT(Table4[[#This Row],[issue_date]],"mmmm")</f>
        <v>January</v>
      </c>
      <c r="E2507" s="9">
        <f>YEAR(Table4[[#This Row],[issue_date]])</f>
        <v>2022</v>
      </c>
      <c r="F2507" t="s">
        <v>19</v>
      </c>
      <c r="G2507">
        <v>61</v>
      </c>
      <c r="H2507" t="s">
        <v>20</v>
      </c>
      <c r="I2507" t="str">
        <f>VLOOKUP(Table4[[#This Row],[customer_id]],customers!A:G,4,)</f>
        <v>bangalore</v>
      </c>
    </row>
    <row r="2508" spans="1:9" x14ac:dyDescent="0.3">
      <c r="A2508">
        <v>22507</v>
      </c>
      <c r="B2508">
        <v>341</v>
      </c>
      <c r="C2508" s="2">
        <v>44581</v>
      </c>
      <c r="D2508" s="2" t="str">
        <f>TEXT(Table4[[#This Row],[issue_date]],"mmmm")</f>
        <v>January</v>
      </c>
      <c r="E2508" s="9">
        <f>YEAR(Table4[[#This Row],[issue_date]])</f>
        <v>2022</v>
      </c>
      <c r="F2508" t="s">
        <v>19</v>
      </c>
      <c r="G2508">
        <v>1</v>
      </c>
      <c r="H2508" t="s">
        <v>20</v>
      </c>
      <c r="I2508" t="str">
        <f>VLOOKUP(Table4[[#This Row],[customer_id]],customers!A:G,4,)</f>
        <v>bangalore</v>
      </c>
    </row>
    <row r="2509" spans="1:9" x14ac:dyDescent="0.3">
      <c r="A2509">
        <v>22508</v>
      </c>
      <c r="B2509">
        <v>104</v>
      </c>
      <c r="C2509" s="2">
        <v>45317</v>
      </c>
      <c r="D2509" s="2" t="str">
        <f>TEXT(Table4[[#This Row],[issue_date]],"mmmm")</f>
        <v>January</v>
      </c>
      <c r="E2509" s="9">
        <f>YEAR(Table4[[#This Row],[issue_date]])</f>
        <v>2024</v>
      </c>
      <c r="F2509" t="s">
        <v>19</v>
      </c>
      <c r="G2509">
        <v>26</v>
      </c>
      <c r="H2509" t="s">
        <v>20</v>
      </c>
      <c r="I2509" t="str">
        <f>VLOOKUP(Table4[[#This Row],[customer_id]],customers!A:G,4,)</f>
        <v>kolkata</v>
      </c>
    </row>
    <row r="2510" spans="1:9" x14ac:dyDescent="0.3">
      <c r="A2510">
        <v>22509</v>
      </c>
      <c r="B2510">
        <v>345</v>
      </c>
      <c r="C2510" s="2">
        <v>45450</v>
      </c>
      <c r="D2510" s="2" t="str">
        <f>TEXT(Table4[[#This Row],[issue_date]],"mmmm")</f>
        <v>June</v>
      </c>
      <c r="E2510" s="9">
        <f>YEAR(Table4[[#This Row],[issue_date]])</f>
        <v>2024</v>
      </c>
      <c r="F2510" t="s">
        <v>19</v>
      </c>
      <c r="G2510">
        <v>5</v>
      </c>
      <c r="H2510" t="s">
        <v>20</v>
      </c>
      <c r="I2510" t="str">
        <f>VLOOKUP(Table4[[#This Row],[customer_id]],customers!A:G,4,)</f>
        <v>kolkata</v>
      </c>
    </row>
    <row r="2511" spans="1:9" x14ac:dyDescent="0.3">
      <c r="A2511">
        <v>22510</v>
      </c>
      <c r="B2511">
        <v>370</v>
      </c>
      <c r="C2511" s="2">
        <v>45018</v>
      </c>
      <c r="D2511" s="2" t="str">
        <f>TEXT(Table4[[#This Row],[issue_date]],"mmmm")</f>
        <v>April</v>
      </c>
      <c r="E2511" s="9">
        <f>YEAR(Table4[[#This Row],[issue_date]])</f>
        <v>2023</v>
      </c>
      <c r="F2511" t="s">
        <v>21</v>
      </c>
      <c r="G2511">
        <v>35</v>
      </c>
      <c r="H2511" t="s">
        <v>20</v>
      </c>
      <c r="I2511" t="str">
        <f>VLOOKUP(Table4[[#This Row],[customer_id]],customers!A:G,4,)</f>
        <v>kolkata</v>
      </c>
    </row>
    <row r="2512" spans="1:9" x14ac:dyDescent="0.3">
      <c r="A2512">
        <v>22511</v>
      </c>
      <c r="B2512">
        <v>465</v>
      </c>
      <c r="C2512" s="2">
        <v>44734</v>
      </c>
      <c r="D2512" s="2" t="str">
        <f>TEXT(Table4[[#This Row],[issue_date]],"mmmm")</f>
        <v>June</v>
      </c>
      <c r="E2512" s="9">
        <f>YEAR(Table4[[#This Row],[issue_date]])</f>
        <v>2022</v>
      </c>
      <c r="F2512" t="s">
        <v>19</v>
      </c>
      <c r="G2512">
        <v>13</v>
      </c>
      <c r="H2512" t="s">
        <v>20</v>
      </c>
      <c r="I2512" t="str">
        <f>VLOOKUP(Table4[[#This Row],[customer_id]],customers!A:G,4,)</f>
        <v>bangalore</v>
      </c>
    </row>
    <row r="2513" spans="1:9" x14ac:dyDescent="0.3">
      <c r="A2513">
        <v>22512</v>
      </c>
      <c r="B2513">
        <v>371</v>
      </c>
      <c r="C2513" s="2">
        <v>45006</v>
      </c>
      <c r="D2513" s="2" t="str">
        <f>TEXT(Table4[[#This Row],[issue_date]],"mmmm")</f>
        <v>March</v>
      </c>
      <c r="E2513" s="9">
        <f>YEAR(Table4[[#This Row],[issue_date]])</f>
        <v>2023</v>
      </c>
      <c r="F2513" t="s">
        <v>19</v>
      </c>
      <c r="G2513">
        <v>27</v>
      </c>
      <c r="H2513" t="s">
        <v>20</v>
      </c>
      <c r="I2513" t="str">
        <f>VLOOKUP(Table4[[#This Row],[customer_id]],customers!A:G,4,)</f>
        <v>delhi</v>
      </c>
    </row>
    <row r="2514" spans="1:9" x14ac:dyDescent="0.3">
      <c r="A2514">
        <v>22513</v>
      </c>
      <c r="B2514">
        <v>198</v>
      </c>
      <c r="C2514" s="2">
        <v>44683</v>
      </c>
      <c r="D2514" s="2" t="str">
        <f>TEXT(Table4[[#This Row],[issue_date]],"mmmm")</f>
        <v>May</v>
      </c>
      <c r="E2514" s="9">
        <f>YEAR(Table4[[#This Row],[issue_date]])</f>
        <v>2022</v>
      </c>
      <c r="F2514" t="s">
        <v>19</v>
      </c>
      <c r="G2514">
        <v>12</v>
      </c>
      <c r="H2514" t="s">
        <v>20</v>
      </c>
      <c r="I2514" t="str">
        <f>VLOOKUP(Table4[[#This Row],[customer_id]],customers!A:G,4,)</f>
        <v>kolkata</v>
      </c>
    </row>
    <row r="2515" spans="1:9" x14ac:dyDescent="0.3">
      <c r="A2515">
        <v>22514</v>
      </c>
      <c r="B2515">
        <v>14</v>
      </c>
      <c r="C2515" s="2">
        <v>45058</v>
      </c>
      <c r="D2515" s="2" t="str">
        <f>TEXT(Table4[[#This Row],[issue_date]],"mmmm")</f>
        <v>May</v>
      </c>
      <c r="E2515" s="9">
        <f>YEAR(Table4[[#This Row],[issue_date]])</f>
        <v>2023</v>
      </c>
      <c r="F2515" t="s">
        <v>19</v>
      </c>
      <c r="G2515">
        <v>50</v>
      </c>
      <c r="H2515" t="s">
        <v>23</v>
      </c>
      <c r="I2515" t="str">
        <f>VLOOKUP(Table4[[#This Row],[customer_id]],customers!A:G,4,)</f>
        <v>mumbai</v>
      </c>
    </row>
    <row r="2516" spans="1:9" x14ac:dyDescent="0.3">
      <c r="A2516">
        <v>22515</v>
      </c>
      <c r="B2516">
        <v>485</v>
      </c>
      <c r="C2516" s="2">
        <v>44745</v>
      </c>
      <c r="D2516" s="2" t="str">
        <f>TEXT(Table4[[#This Row],[issue_date]],"mmmm")</f>
        <v>July</v>
      </c>
      <c r="E2516" s="9">
        <f>YEAR(Table4[[#This Row],[issue_date]])</f>
        <v>2022</v>
      </c>
      <c r="F2516" t="s">
        <v>21</v>
      </c>
      <c r="G2516">
        <v>59</v>
      </c>
      <c r="H2516" t="s">
        <v>20</v>
      </c>
      <c r="I2516" t="str">
        <f>VLOOKUP(Table4[[#This Row],[customer_id]],customers!A:G,4,)</f>
        <v>delhi</v>
      </c>
    </row>
    <row r="2517" spans="1:9" x14ac:dyDescent="0.3">
      <c r="A2517">
        <v>22516</v>
      </c>
      <c r="B2517">
        <v>168</v>
      </c>
      <c r="C2517" s="2">
        <v>45381</v>
      </c>
      <c r="D2517" s="2" t="str">
        <f>TEXT(Table4[[#This Row],[issue_date]],"mmmm")</f>
        <v>March</v>
      </c>
      <c r="E2517" s="9">
        <f>YEAR(Table4[[#This Row],[issue_date]])</f>
        <v>2024</v>
      </c>
      <c r="F2517" t="s">
        <v>21</v>
      </c>
      <c r="G2517">
        <v>31</v>
      </c>
      <c r="H2517" t="s">
        <v>20</v>
      </c>
      <c r="I2517" t="str">
        <f>VLOOKUP(Table4[[#This Row],[customer_id]],customers!A:G,4,)</f>
        <v>delhi</v>
      </c>
    </row>
    <row r="2518" spans="1:9" x14ac:dyDescent="0.3">
      <c r="A2518">
        <v>22517</v>
      </c>
      <c r="B2518">
        <v>360</v>
      </c>
      <c r="C2518" s="2">
        <v>45141</v>
      </c>
      <c r="D2518" s="2" t="str">
        <f>TEXT(Table4[[#This Row],[issue_date]],"mmmm")</f>
        <v>August</v>
      </c>
      <c r="E2518" s="9">
        <f>YEAR(Table4[[#This Row],[issue_date]])</f>
        <v>2023</v>
      </c>
      <c r="F2518" t="s">
        <v>22</v>
      </c>
      <c r="G2518">
        <v>69</v>
      </c>
      <c r="H2518" t="s">
        <v>20</v>
      </c>
      <c r="I2518" t="str">
        <f>VLOOKUP(Table4[[#This Row],[customer_id]],customers!A:G,4,)</f>
        <v>hyderabad</v>
      </c>
    </row>
    <row r="2519" spans="1:9" x14ac:dyDescent="0.3">
      <c r="A2519">
        <v>22518</v>
      </c>
      <c r="B2519">
        <v>338</v>
      </c>
      <c r="C2519" s="2">
        <v>45366</v>
      </c>
      <c r="D2519" s="2" t="str">
        <f>TEXT(Table4[[#This Row],[issue_date]],"mmmm")</f>
        <v>March</v>
      </c>
      <c r="E2519" s="9">
        <f>YEAR(Table4[[#This Row],[issue_date]])</f>
        <v>2024</v>
      </c>
      <c r="F2519" t="s">
        <v>21</v>
      </c>
      <c r="G2519">
        <v>37</v>
      </c>
      <c r="H2519" t="s">
        <v>20</v>
      </c>
      <c r="I2519" t="str">
        <f>VLOOKUP(Table4[[#This Row],[customer_id]],customers!A:G,4,)</f>
        <v>delhi</v>
      </c>
    </row>
    <row r="2520" spans="1:9" x14ac:dyDescent="0.3">
      <c r="A2520">
        <v>22519</v>
      </c>
      <c r="B2520">
        <v>30</v>
      </c>
      <c r="C2520" s="2">
        <v>45411</v>
      </c>
      <c r="D2520" s="2" t="str">
        <f>TEXT(Table4[[#This Row],[issue_date]],"mmmm")</f>
        <v>April</v>
      </c>
      <c r="E2520" s="9">
        <f>YEAR(Table4[[#This Row],[issue_date]])</f>
        <v>2024</v>
      </c>
      <c r="F2520" t="s">
        <v>21</v>
      </c>
      <c r="G2520">
        <v>2</v>
      </c>
      <c r="H2520" t="s">
        <v>23</v>
      </c>
      <c r="I2520" t="str">
        <f>VLOOKUP(Table4[[#This Row],[customer_id]],customers!A:G,4,)</f>
        <v>hyderabad</v>
      </c>
    </row>
    <row r="2521" spans="1:9" x14ac:dyDescent="0.3">
      <c r="A2521">
        <v>22520</v>
      </c>
      <c r="B2521">
        <v>457</v>
      </c>
      <c r="C2521" s="2">
        <v>45232</v>
      </c>
      <c r="D2521" s="2" t="str">
        <f>TEXT(Table4[[#This Row],[issue_date]],"mmmm")</f>
        <v>November</v>
      </c>
      <c r="E2521" s="9">
        <f>YEAR(Table4[[#This Row],[issue_date]])</f>
        <v>2023</v>
      </c>
      <c r="F2521" t="s">
        <v>21</v>
      </c>
      <c r="G2521">
        <v>71</v>
      </c>
      <c r="H2521" t="s">
        <v>23</v>
      </c>
      <c r="I2521" t="str">
        <f>VLOOKUP(Table4[[#This Row],[customer_id]],customers!A:G,4,)</f>
        <v>delhi</v>
      </c>
    </row>
    <row r="2522" spans="1:9" x14ac:dyDescent="0.3">
      <c r="A2522">
        <v>22521</v>
      </c>
      <c r="B2522">
        <v>14</v>
      </c>
      <c r="C2522" s="2">
        <v>44610</v>
      </c>
      <c r="D2522" s="2" t="str">
        <f>TEXT(Table4[[#This Row],[issue_date]],"mmmm")</f>
        <v>February</v>
      </c>
      <c r="E2522" s="9">
        <f>YEAR(Table4[[#This Row],[issue_date]])</f>
        <v>2022</v>
      </c>
      <c r="F2522" t="s">
        <v>22</v>
      </c>
      <c r="G2522">
        <v>65</v>
      </c>
      <c r="H2522" t="s">
        <v>20</v>
      </c>
      <c r="I2522" t="str">
        <f>VLOOKUP(Table4[[#This Row],[customer_id]],customers!A:G,4,)</f>
        <v>mumbai</v>
      </c>
    </row>
    <row r="2523" spans="1:9" x14ac:dyDescent="0.3">
      <c r="A2523">
        <v>22522</v>
      </c>
      <c r="B2523">
        <v>238</v>
      </c>
      <c r="C2523" s="2">
        <v>44742</v>
      </c>
      <c r="D2523" s="2" t="str">
        <f>TEXT(Table4[[#This Row],[issue_date]],"mmmm")</f>
        <v>June</v>
      </c>
      <c r="E2523" s="9">
        <f>YEAR(Table4[[#This Row],[issue_date]])</f>
        <v>2022</v>
      </c>
      <c r="F2523" t="s">
        <v>19</v>
      </c>
      <c r="G2523">
        <v>3</v>
      </c>
      <c r="H2523" t="s">
        <v>20</v>
      </c>
      <c r="I2523" t="str">
        <f>VLOOKUP(Table4[[#This Row],[customer_id]],customers!A:G,4,)</f>
        <v>mumbai</v>
      </c>
    </row>
    <row r="2524" spans="1:9" x14ac:dyDescent="0.3">
      <c r="A2524">
        <v>22523</v>
      </c>
      <c r="B2524">
        <v>436</v>
      </c>
      <c r="C2524" s="2">
        <v>45368</v>
      </c>
      <c r="D2524" s="2" t="str">
        <f>TEXT(Table4[[#This Row],[issue_date]],"mmmm")</f>
        <v>March</v>
      </c>
      <c r="E2524" s="9">
        <f>YEAR(Table4[[#This Row],[issue_date]])</f>
        <v>2024</v>
      </c>
      <c r="F2524" t="s">
        <v>22</v>
      </c>
      <c r="G2524">
        <v>20</v>
      </c>
      <c r="H2524" t="s">
        <v>23</v>
      </c>
      <c r="I2524" t="str">
        <f>VLOOKUP(Table4[[#This Row],[customer_id]],customers!A:G,4,)</f>
        <v>delhi</v>
      </c>
    </row>
    <row r="2525" spans="1:9" x14ac:dyDescent="0.3">
      <c r="A2525">
        <v>22524</v>
      </c>
      <c r="B2525">
        <v>366</v>
      </c>
      <c r="C2525" s="2">
        <v>44955</v>
      </c>
      <c r="D2525" s="2" t="str">
        <f>TEXT(Table4[[#This Row],[issue_date]],"mmmm")</f>
        <v>January</v>
      </c>
      <c r="E2525" s="9">
        <f>YEAR(Table4[[#This Row],[issue_date]])</f>
        <v>2023</v>
      </c>
      <c r="F2525" t="s">
        <v>19</v>
      </c>
      <c r="G2525">
        <v>2</v>
      </c>
      <c r="H2525" t="s">
        <v>20</v>
      </c>
      <c r="I2525" t="str">
        <f>VLOOKUP(Table4[[#This Row],[customer_id]],customers!A:G,4,)</f>
        <v>mumbai</v>
      </c>
    </row>
    <row r="2526" spans="1:9" x14ac:dyDescent="0.3">
      <c r="A2526">
        <v>22525</v>
      </c>
      <c r="B2526">
        <v>401</v>
      </c>
      <c r="C2526" s="2">
        <v>44954</v>
      </c>
      <c r="D2526" s="2" t="str">
        <f>TEXT(Table4[[#This Row],[issue_date]],"mmmm")</f>
        <v>January</v>
      </c>
      <c r="E2526" s="9">
        <f>YEAR(Table4[[#This Row],[issue_date]])</f>
        <v>2023</v>
      </c>
      <c r="F2526" t="s">
        <v>21</v>
      </c>
      <c r="G2526">
        <v>42</v>
      </c>
      <c r="H2526" t="s">
        <v>20</v>
      </c>
      <c r="I2526" t="str">
        <f>VLOOKUP(Table4[[#This Row],[customer_id]],customers!A:G,4,)</f>
        <v>chennai</v>
      </c>
    </row>
    <row r="2527" spans="1:9" x14ac:dyDescent="0.3">
      <c r="A2527">
        <v>22526</v>
      </c>
      <c r="B2527">
        <v>62</v>
      </c>
      <c r="C2527" s="2">
        <v>44909</v>
      </c>
      <c r="D2527" s="2" t="str">
        <f>TEXT(Table4[[#This Row],[issue_date]],"mmmm")</f>
        <v>December</v>
      </c>
      <c r="E2527" s="9">
        <f>YEAR(Table4[[#This Row],[issue_date]])</f>
        <v>2022</v>
      </c>
      <c r="F2527" t="s">
        <v>19</v>
      </c>
      <c r="G2527">
        <v>43</v>
      </c>
      <c r="H2527" t="s">
        <v>20</v>
      </c>
      <c r="I2527" t="str">
        <f>VLOOKUP(Table4[[#This Row],[customer_id]],customers!A:G,4,)</f>
        <v>delhi</v>
      </c>
    </row>
    <row r="2528" spans="1:9" x14ac:dyDescent="0.3">
      <c r="A2528">
        <v>22527</v>
      </c>
      <c r="B2528">
        <v>482</v>
      </c>
      <c r="C2528" s="2">
        <v>45037</v>
      </c>
      <c r="D2528" s="2" t="str">
        <f>TEXT(Table4[[#This Row],[issue_date]],"mmmm")</f>
        <v>April</v>
      </c>
      <c r="E2528" s="9">
        <f>YEAR(Table4[[#This Row],[issue_date]])</f>
        <v>2023</v>
      </c>
      <c r="F2528" t="s">
        <v>22</v>
      </c>
      <c r="G2528">
        <v>21</v>
      </c>
      <c r="H2528" t="s">
        <v>20</v>
      </c>
      <c r="I2528" t="str">
        <f>VLOOKUP(Table4[[#This Row],[customer_id]],customers!A:G,4,)</f>
        <v>mumbai</v>
      </c>
    </row>
    <row r="2529" spans="1:9" x14ac:dyDescent="0.3">
      <c r="A2529">
        <v>22528</v>
      </c>
      <c r="B2529">
        <v>110</v>
      </c>
      <c r="C2529" s="2">
        <v>44702</v>
      </c>
      <c r="D2529" s="2" t="str">
        <f>TEXT(Table4[[#This Row],[issue_date]],"mmmm")</f>
        <v>May</v>
      </c>
      <c r="E2529" s="9">
        <f>YEAR(Table4[[#This Row],[issue_date]])</f>
        <v>2022</v>
      </c>
      <c r="F2529" t="s">
        <v>19</v>
      </c>
      <c r="G2529">
        <v>45</v>
      </c>
      <c r="H2529" t="s">
        <v>20</v>
      </c>
      <c r="I2529" t="str">
        <f>VLOOKUP(Table4[[#This Row],[customer_id]],customers!A:G,4,)</f>
        <v>hyderabad</v>
      </c>
    </row>
    <row r="2530" spans="1:9" x14ac:dyDescent="0.3">
      <c r="A2530">
        <v>22529</v>
      </c>
      <c r="B2530">
        <v>406</v>
      </c>
      <c r="C2530" s="2">
        <v>45091</v>
      </c>
      <c r="D2530" s="2" t="str">
        <f>TEXT(Table4[[#This Row],[issue_date]],"mmmm")</f>
        <v>June</v>
      </c>
      <c r="E2530" s="9">
        <f>YEAR(Table4[[#This Row],[issue_date]])</f>
        <v>2023</v>
      </c>
      <c r="F2530" t="s">
        <v>19</v>
      </c>
      <c r="G2530">
        <v>20</v>
      </c>
      <c r="H2530" t="s">
        <v>23</v>
      </c>
      <c r="I2530" t="str">
        <f>VLOOKUP(Table4[[#This Row],[customer_id]],customers!A:G,4,)</f>
        <v>hyderabad</v>
      </c>
    </row>
    <row r="2531" spans="1:9" x14ac:dyDescent="0.3">
      <c r="A2531">
        <v>22530</v>
      </c>
      <c r="B2531">
        <v>309</v>
      </c>
      <c r="C2531" s="2">
        <v>45213</v>
      </c>
      <c r="D2531" s="2" t="str">
        <f>TEXT(Table4[[#This Row],[issue_date]],"mmmm")</f>
        <v>October</v>
      </c>
      <c r="E2531" s="9">
        <f>YEAR(Table4[[#This Row],[issue_date]])</f>
        <v>2023</v>
      </c>
      <c r="F2531" t="s">
        <v>21</v>
      </c>
      <c r="G2531">
        <v>43</v>
      </c>
      <c r="H2531" t="s">
        <v>20</v>
      </c>
      <c r="I2531" t="str">
        <f>VLOOKUP(Table4[[#This Row],[customer_id]],customers!A:G,4,)</f>
        <v>mumbai</v>
      </c>
    </row>
    <row r="2532" spans="1:9" x14ac:dyDescent="0.3">
      <c r="A2532">
        <v>22531</v>
      </c>
      <c r="B2532">
        <v>160</v>
      </c>
      <c r="C2532" s="2">
        <v>45145</v>
      </c>
      <c r="D2532" s="2" t="str">
        <f>TEXT(Table4[[#This Row],[issue_date]],"mmmm")</f>
        <v>August</v>
      </c>
      <c r="E2532" s="9">
        <f>YEAR(Table4[[#This Row],[issue_date]])</f>
        <v>2023</v>
      </c>
      <c r="F2532" t="s">
        <v>19</v>
      </c>
      <c r="G2532">
        <v>50</v>
      </c>
      <c r="H2532" t="s">
        <v>20</v>
      </c>
      <c r="I2532" t="str">
        <f>VLOOKUP(Table4[[#This Row],[customer_id]],customers!A:G,4,)</f>
        <v>hyderabad</v>
      </c>
    </row>
    <row r="2533" spans="1:9" x14ac:dyDescent="0.3">
      <c r="A2533">
        <v>22532</v>
      </c>
      <c r="B2533">
        <v>332</v>
      </c>
      <c r="C2533" s="2">
        <v>45032</v>
      </c>
      <c r="D2533" s="2" t="str">
        <f>TEXT(Table4[[#This Row],[issue_date]],"mmmm")</f>
        <v>April</v>
      </c>
      <c r="E2533" s="9">
        <f>YEAR(Table4[[#This Row],[issue_date]])</f>
        <v>2023</v>
      </c>
      <c r="F2533" t="s">
        <v>19</v>
      </c>
      <c r="G2533">
        <v>43</v>
      </c>
      <c r="H2533" t="s">
        <v>20</v>
      </c>
      <c r="I2533" t="str">
        <f>VLOOKUP(Table4[[#This Row],[customer_id]],customers!A:G,4,)</f>
        <v>mumbai</v>
      </c>
    </row>
    <row r="2534" spans="1:9" x14ac:dyDescent="0.3">
      <c r="A2534">
        <v>22533</v>
      </c>
      <c r="B2534">
        <v>55</v>
      </c>
      <c r="C2534" s="2">
        <v>45315</v>
      </c>
      <c r="D2534" s="2" t="str">
        <f>TEXT(Table4[[#This Row],[issue_date]],"mmmm")</f>
        <v>January</v>
      </c>
      <c r="E2534" s="9">
        <f>YEAR(Table4[[#This Row],[issue_date]])</f>
        <v>2024</v>
      </c>
      <c r="F2534" t="s">
        <v>21</v>
      </c>
      <c r="G2534">
        <v>24</v>
      </c>
      <c r="H2534" t="s">
        <v>20</v>
      </c>
      <c r="I2534" t="str">
        <f>VLOOKUP(Table4[[#This Row],[customer_id]],customers!A:G,4,)</f>
        <v>mumbai</v>
      </c>
    </row>
    <row r="2535" spans="1:9" x14ac:dyDescent="0.3">
      <c r="A2535">
        <v>22534</v>
      </c>
      <c r="B2535">
        <v>249</v>
      </c>
      <c r="C2535" s="2">
        <v>45334</v>
      </c>
      <c r="D2535" s="2" t="str">
        <f>TEXT(Table4[[#This Row],[issue_date]],"mmmm")</f>
        <v>February</v>
      </c>
      <c r="E2535" s="9">
        <f>YEAR(Table4[[#This Row],[issue_date]])</f>
        <v>2024</v>
      </c>
      <c r="F2535" t="s">
        <v>22</v>
      </c>
      <c r="G2535">
        <v>60</v>
      </c>
      <c r="H2535" t="s">
        <v>20</v>
      </c>
      <c r="I2535" t="str">
        <f>VLOOKUP(Table4[[#This Row],[customer_id]],customers!A:G,4,)</f>
        <v>bangalore</v>
      </c>
    </row>
    <row r="2536" spans="1:9" x14ac:dyDescent="0.3">
      <c r="A2536">
        <v>22535</v>
      </c>
      <c r="B2536">
        <v>464</v>
      </c>
      <c r="C2536" s="2">
        <v>44824</v>
      </c>
      <c r="D2536" s="2" t="str">
        <f>TEXT(Table4[[#This Row],[issue_date]],"mmmm")</f>
        <v>September</v>
      </c>
      <c r="E2536" s="9">
        <f>YEAR(Table4[[#This Row],[issue_date]])</f>
        <v>2022</v>
      </c>
      <c r="F2536" t="s">
        <v>21</v>
      </c>
      <c r="G2536">
        <v>32</v>
      </c>
      <c r="H2536" t="s">
        <v>20</v>
      </c>
      <c r="I2536" t="str">
        <f>VLOOKUP(Table4[[#This Row],[customer_id]],customers!A:G,4,)</f>
        <v>delhi</v>
      </c>
    </row>
    <row r="2537" spans="1:9" x14ac:dyDescent="0.3">
      <c r="A2537">
        <v>22536</v>
      </c>
      <c r="B2537">
        <v>256</v>
      </c>
      <c r="C2537" s="2">
        <v>44704</v>
      </c>
      <c r="D2537" s="2" t="str">
        <f>TEXT(Table4[[#This Row],[issue_date]],"mmmm")</f>
        <v>May</v>
      </c>
      <c r="E2537" s="9">
        <f>YEAR(Table4[[#This Row],[issue_date]])</f>
        <v>2022</v>
      </c>
      <c r="F2537" t="s">
        <v>19</v>
      </c>
      <c r="G2537">
        <v>5</v>
      </c>
      <c r="H2537" t="s">
        <v>20</v>
      </c>
      <c r="I2537" t="str">
        <f>VLOOKUP(Table4[[#This Row],[customer_id]],customers!A:G,4,)</f>
        <v>kolkata</v>
      </c>
    </row>
    <row r="2538" spans="1:9" x14ac:dyDescent="0.3">
      <c r="A2538">
        <v>22537</v>
      </c>
      <c r="B2538">
        <v>22</v>
      </c>
      <c r="C2538" s="2">
        <v>45268</v>
      </c>
      <c r="D2538" s="2" t="str">
        <f>TEXT(Table4[[#This Row],[issue_date]],"mmmm")</f>
        <v>December</v>
      </c>
      <c r="E2538" s="9">
        <f>YEAR(Table4[[#This Row],[issue_date]])</f>
        <v>2023</v>
      </c>
      <c r="F2538" t="s">
        <v>21</v>
      </c>
      <c r="G2538">
        <v>2</v>
      </c>
      <c r="H2538" t="s">
        <v>20</v>
      </c>
      <c r="I2538" t="str">
        <f>VLOOKUP(Table4[[#This Row],[customer_id]],customers!A:G,4,)</f>
        <v>hyderabad</v>
      </c>
    </row>
    <row r="2539" spans="1:9" x14ac:dyDescent="0.3">
      <c r="A2539">
        <v>22538</v>
      </c>
      <c r="B2539">
        <v>422</v>
      </c>
      <c r="C2539" s="2">
        <v>44707</v>
      </c>
      <c r="D2539" s="2" t="str">
        <f>TEXT(Table4[[#This Row],[issue_date]],"mmmm")</f>
        <v>May</v>
      </c>
      <c r="E2539" s="9">
        <f>YEAR(Table4[[#This Row],[issue_date]])</f>
        <v>2022</v>
      </c>
      <c r="F2539" t="s">
        <v>21</v>
      </c>
      <c r="G2539">
        <v>26</v>
      </c>
      <c r="H2539" t="s">
        <v>20</v>
      </c>
      <c r="I2539" t="str">
        <f>VLOOKUP(Table4[[#This Row],[customer_id]],customers!A:G,4,)</f>
        <v>hyderabad</v>
      </c>
    </row>
    <row r="2540" spans="1:9" x14ac:dyDescent="0.3">
      <c r="A2540">
        <v>22539</v>
      </c>
      <c r="B2540">
        <v>434</v>
      </c>
      <c r="C2540" s="2">
        <v>44855</v>
      </c>
      <c r="D2540" s="2" t="str">
        <f>TEXT(Table4[[#This Row],[issue_date]],"mmmm")</f>
        <v>October</v>
      </c>
      <c r="E2540" s="9">
        <f>YEAR(Table4[[#This Row],[issue_date]])</f>
        <v>2022</v>
      </c>
      <c r="F2540" t="s">
        <v>19</v>
      </c>
      <c r="G2540">
        <v>25</v>
      </c>
      <c r="H2540" t="s">
        <v>20</v>
      </c>
      <c r="I2540" t="str">
        <f>VLOOKUP(Table4[[#This Row],[customer_id]],customers!A:G,4,)</f>
        <v>bangalore</v>
      </c>
    </row>
    <row r="2541" spans="1:9" x14ac:dyDescent="0.3">
      <c r="A2541">
        <v>22540</v>
      </c>
      <c r="B2541">
        <v>103</v>
      </c>
      <c r="C2541" s="2">
        <v>45099</v>
      </c>
      <c r="D2541" s="2" t="str">
        <f>TEXT(Table4[[#This Row],[issue_date]],"mmmm")</f>
        <v>June</v>
      </c>
      <c r="E2541" s="9">
        <f>YEAR(Table4[[#This Row],[issue_date]])</f>
        <v>2023</v>
      </c>
      <c r="F2541" t="s">
        <v>22</v>
      </c>
      <c r="G2541">
        <v>50</v>
      </c>
      <c r="H2541" t="s">
        <v>20</v>
      </c>
      <c r="I2541" t="str">
        <f>VLOOKUP(Table4[[#This Row],[customer_id]],customers!A:G,4,)</f>
        <v>delhi</v>
      </c>
    </row>
    <row r="2542" spans="1:9" x14ac:dyDescent="0.3">
      <c r="A2542">
        <v>22541</v>
      </c>
      <c r="B2542">
        <v>450</v>
      </c>
      <c r="C2542" s="2">
        <v>45070</v>
      </c>
      <c r="D2542" s="2" t="str">
        <f>TEXT(Table4[[#This Row],[issue_date]],"mmmm")</f>
        <v>May</v>
      </c>
      <c r="E2542" s="9">
        <f>YEAR(Table4[[#This Row],[issue_date]])</f>
        <v>2023</v>
      </c>
      <c r="F2542" t="s">
        <v>21</v>
      </c>
      <c r="G2542">
        <v>39</v>
      </c>
      <c r="H2542" t="s">
        <v>20</v>
      </c>
      <c r="I2542" t="str">
        <f>VLOOKUP(Table4[[#This Row],[customer_id]],customers!A:G,4,)</f>
        <v>mumbai</v>
      </c>
    </row>
    <row r="2543" spans="1:9" x14ac:dyDescent="0.3">
      <c r="A2543">
        <v>22542</v>
      </c>
      <c r="B2543">
        <v>301</v>
      </c>
      <c r="C2543" s="2">
        <v>44983</v>
      </c>
      <c r="D2543" s="2" t="str">
        <f>TEXT(Table4[[#This Row],[issue_date]],"mmmm")</f>
        <v>February</v>
      </c>
      <c r="E2543" s="9">
        <f>YEAR(Table4[[#This Row],[issue_date]])</f>
        <v>2023</v>
      </c>
      <c r="F2543" t="s">
        <v>22</v>
      </c>
      <c r="G2543">
        <v>11</v>
      </c>
      <c r="H2543" t="s">
        <v>20</v>
      </c>
      <c r="I2543" t="str">
        <f>VLOOKUP(Table4[[#This Row],[customer_id]],customers!A:G,4,)</f>
        <v>delhi</v>
      </c>
    </row>
    <row r="2544" spans="1:9" x14ac:dyDescent="0.3">
      <c r="A2544">
        <v>22543</v>
      </c>
      <c r="B2544">
        <v>375</v>
      </c>
      <c r="C2544" s="2">
        <v>45132</v>
      </c>
      <c r="D2544" s="2" t="str">
        <f>TEXT(Table4[[#This Row],[issue_date]],"mmmm")</f>
        <v>July</v>
      </c>
      <c r="E2544" s="9">
        <f>YEAR(Table4[[#This Row],[issue_date]])</f>
        <v>2023</v>
      </c>
      <c r="F2544" t="s">
        <v>21</v>
      </c>
      <c r="G2544">
        <v>63</v>
      </c>
      <c r="H2544" t="s">
        <v>20</v>
      </c>
      <c r="I2544" t="str">
        <f>VLOOKUP(Table4[[#This Row],[customer_id]],customers!A:G,4,)</f>
        <v>mumbai</v>
      </c>
    </row>
    <row r="2545" spans="1:9" x14ac:dyDescent="0.3">
      <c r="A2545">
        <v>22544</v>
      </c>
      <c r="B2545">
        <v>264</v>
      </c>
      <c r="C2545" s="2">
        <v>45125</v>
      </c>
      <c r="D2545" s="2" t="str">
        <f>TEXT(Table4[[#This Row],[issue_date]],"mmmm")</f>
        <v>July</v>
      </c>
      <c r="E2545" s="9">
        <f>YEAR(Table4[[#This Row],[issue_date]])</f>
        <v>2023</v>
      </c>
      <c r="F2545" t="s">
        <v>19</v>
      </c>
      <c r="G2545">
        <v>68</v>
      </c>
      <c r="H2545" t="s">
        <v>20</v>
      </c>
      <c r="I2545" t="str">
        <f>VLOOKUP(Table4[[#This Row],[customer_id]],customers!A:G,4,)</f>
        <v>bangalore</v>
      </c>
    </row>
    <row r="2546" spans="1:9" x14ac:dyDescent="0.3">
      <c r="A2546">
        <v>22545</v>
      </c>
      <c r="B2546">
        <v>236</v>
      </c>
      <c r="C2546" s="2">
        <v>44978</v>
      </c>
      <c r="D2546" s="2" t="str">
        <f>TEXT(Table4[[#This Row],[issue_date]],"mmmm")</f>
        <v>February</v>
      </c>
      <c r="E2546" s="9">
        <f>YEAR(Table4[[#This Row],[issue_date]])</f>
        <v>2023</v>
      </c>
      <c r="F2546" t="s">
        <v>19</v>
      </c>
      <c r="G2546">
        <v>18</v>
      </c>
      <c r="H2546" t="s">
        <v>20</v>
      </c>
      <c r="I2546" t="str">
        <f>VLOOKUP(Table4[[#This Row],[customer_id]],customers!A:G,4,)</f>
        <v>kolkata</v>
      </c>
    </row>
    <row r="2547" spans="1:9" x14ac:dyDescent="0.3">
      <c r="A2547">
        <v>22546</v>
      </c>
      <c r="B2547">
        <v>321</v>
      </c>
      <c r="C2547" s="2">
        <v>45222</v>
      </c>
      <c r="D2547" s="2" t="str">
        <f>TEXT(Table4[[#This Row],[issue_date]],"mmmm")</f>
        <v>October</v>
      </c>
      <c r="E2547" s="9">
        <f>YEAR(Table4[[#This Row],[issue_date]])</f>
        <v>2023</v>
      </c>
      <c r="F2547" t="s">
        <v>21</v>
      </c>
      <c r="G2547">
        <v>28</v>
      </c>
      <c r="H2547" t="s">
        <v>20</v>
      </c>
      <c r="I2547" t="str">
        <f>VLOOKUP(Table4[[#This Row],[customer_id]],customers!A:G,4,)</f>
        <v>hyderabad</v>
      </c>
    </row>
    <row r="2548" spans="1:9" x14ac:dyDescent="0.3">
      <c r="A2548">
        <v>22547</v>
      </c>
      <c r="B2548">
        <v>233</v>
      </c>
      <c r="C2548" s="2">
        <v>44668</v>
      </c>
      <c r="D2548" s="2" t="str">
        <f>TEXT(Table4[[#This Row],[issue_date]],"mmmm")</f>
        <v>April</v>
      </c>
      <c r="E2548" s="9">
        <f>YEAR(Table4[[#This Row],[issue_date]])</f>
        <v>2022</v>
      </c>
      <c r="F2548" t="s">
        <v>21</v>
      </c>
      <c r="G2548">
        <v>42</v>
      </c>
      <c r="H2548" t="s">
        <v>23</v>
      </c>
      <c r="I2548" t="str">
        <f>VLOOKUP(Table4[[#This Row],[customer_id]],customers!A:G,4,)</f>
        <v>mumbai</v>
      </c>
    </row>
    <row r="2549" spans="1:9" x14ac:dyDescent="0.3">
      <c r="A2549">
        <v>22548</v>
      </c>
      <c r="B2549">
        <v>168</v>
      </c>
      <c r="C2549" s="2">
        <v>44879</v>
      </c>
      <c r="D2549" s="2" t="str">
        <f>TEXT(Table4[[#This Row],[issue_date]],"mmmm")</f>
        <v>November</v>
      </c>
      <c r="E2549" s="9">
        <f>YEAR(Table4[[#This Row],[issue_date]])</f>
        <v>2022</v>
      </c>
      <c r="F2549" t="s">
        <v>21</v>
      </c>
      <c r="G2549">
        <v>60</v>
      </c>
      <c r="H2549" t="s">
        <v>20</v>
      </c>
      <c r="I2549" t="str">
        <f>VLOOKUP(Table4[[#This Row],[customer_id]],customers!A:G,4,)</f>
        <v>delhi</v>
      </c>
    </row>
    <row r="2550" spans="1:9" x14ac:dyDescent="0.3">
      <c r="A2550">
        <v>22549</v>
      </c>
      <c r="B2550">
        <v>233</v>
      </c>
      <c r="C2550" s="2">
        <v>44620</v>
      </c>
      <c r="D2550" s="2" t="str">
        <f>TEXT(Table4[[#This Row],[issue_date]],"mmmm")</f>
        <v>February</v>
      </c>
      <c r="E2550" s="9">
        <f>YEAR(Table4[[#This Row],[issue_date]])</f>
        <v>2022</v>
      </c>
      <c r="F2550" t="s">
        <v>19</v>
      </c>
      <c r="G2550">
        <v>22</v>
      </c>
      <c r="H2550" t="s">
        <v>20</v>
      </c>
      <c r="I2550" t="str">
        <f>VLOOKUP(Table4[[#This Row],[customer_id]],customers!A:G,4,)</f>
        <v>mumbai</v>
      </c>
    </row>
    <row r="2551" spans="1:9" x14ac:dyDescent="0.3">
      <c r="A2551">
        <v>22550</v>
      </c>
      <c r="B2551">
        <v>5</v>
      </c>
      <c r="C2551" s="2">
        <v>44819</v>
      </c>
      <c r="D2551" s="2" t="str">
        <f>TEXT(Table4[[#This Row],[issue_date]],"mmmm")</f>
        <v>September</v>
      </c>
      <c r="E2551" s="9">
        <f>YEAR(Table4[[#This Row],[issue_date]])</f>
        <v>2022</v>
      </c>
      <c r="F2551" t="s">
        <v>21</v>
      </c>
      <c r="G2551">
        <v>40</v>
      </c>
      <c r="H2551" t="s">
        <v>20</v>
      </c>
      <c r="I2551" t="str">
        <f>VLOOKUP(Table4[[#This Row],[customer_id]],customers!A:G,4,)</f>
        <v>delhi</v>
      </c>
    </row>
    <row r="2552" spans="1:9" x14ac:dyDescent="0.3">
      <c r="A2552">
        <v>22551</v>
      </c>
      <c r="B2552">
        <v>45</v>
      </c>
      <c r="C2552" s="2">
        <v>45354</v>
      </c>
      <c r="D2552" s="2" t="str">
        <f>TEXT(Table4[[#This Row],[issue_date]],"mmmm")</f>
        <v>March</v>
      </c>
      <c r="E2552" s="9">
        <f>YEAR(Table4[[#This Row],[issue_date]])</f>
        <v>2024</v>
      </c>
      <c r="F2552" t="s">
        <v>19</v>
      </c>
      <c r="G2552">
        <v>62</v>
      </c>
      <c r="H2552" t="s">
        <v>20</v>
      </c>
      <c r="I2552" t="str">
        <f>VLOOKUP(Table4[[#This Row],[customer_id]],customers!A:G,4,)</f>
        <v>bangalore</v>
      </c>
    </row>
    <row r="2553" spans="1:9" x14ac:dyDescent="0.3">
      <c r="A2553">
        <v>22552</v>
      </c>
      <c r="B2553">
        <v>46</v>
      </c>
      <c r="C2553" s="2">
        <v>44986</v>
      </c>
      <c r="D2553" s="2" t="str">
        <f>TEXT(Table4[[#This Row],[issue_date]],"mmmm")</f>
        <v>March</v>
      </c>
      <c r="E2553" s="9">
        <f>YEAR(Table4[[#This Row],[issue_date]])</f>
        <v>2023</v>
      </c>
      <c r="F2553" t="s">
        <v>21</v>
      </c>
      <c r="G2553">
        <v>3</v>
      </c>
      <c r="H2553" t="s">
        <v>20</v>
      </c>
      <c r="I2553" t="str">
        <f>VLOOKUP(Table4[[#This Row],[customer_id]],customers!A:G,4,)</f>
        <v>delhi</v>
      </c>
    </row>
    <row r="2554" spans="1:9" x14ac:dyDescent="0.3">
      <c r="A2554">
        <v>22553</v>
      </c>
      <c r="B2554">
        <v>164</v>
      </c>
      <c r="C2554" s="2">
        <v>45092</v>
      </c>
      <c r="D2554" s="2" t="str">
        <f>TEXT(Table4[[#This Row],[issue_date]],"mmmm")</f>
        <v>June</v>
      </c>
      <c r="E2554" s="9">
        <f>YEAR(Table4[[#This Row],[issue_date]])</f>
        <v>2023</v>
      </c>
      <c r="F2554" t="s">
        <v>19</v>
      </c>
      <c r="G2554">
        <v>71</v>
      </c>
      <c r="H2554" t="s">
        <v>20</v>
      </c>
      <c r="I2554" t="str">
        <f>VLOOKUP(Table4[[#This Row],[customer_id]],customers!A:G,4,)</f>
        <v>chennai</v>
      </c>
    </row>
    <row r="2555" spans="1:9" x14ac:dyDescent="0.3">
      <c r="A2555">
        <v>22554</v>
      </c>
      <c r="B2555">
        <v>401</v>
      </c>
      <c r="C2555" s="2">
        <v>44727</v>
      </c>
      <c r="D2555" s="2" t="str">
        <f>TEXT(Table4[[#This Row],[issue_date]],"mmmm")</f>
        <v>June</v>
      </c>
      <c r="E2555" s="9">
        <f>YEAR(Table4[[#This Row],[issue_date]])</f>
        <v>2022</v>
      </c>
      <c r="F2555" t="s">
        <v>21</v>
      </c>
      <c r="G2555">
        <v>63</v>
      </c>
      <c r="H2555" t="s">
        <v>23</v>
      </c>
      <c r="I2555" t="str">
        <f>VLOOKUP(Table4[[#This Row],[customer_id]],customers!A:G,4,)</f>
        <v>chennai</v>
      </c>
    </row>
    <row r="2556" spans="1:9" x14ac:dyDescent="0.3">
      <c r="A2556">
        <v>22555</v>
      </c>
      <c r="B2556">
        <v>169</v>
      </c>
      <c r="C2556" s="2">
        <v>44586</v>
      </c>
      <c r="D2556" s="2" t="str">
        <f>TEXT(Table4[[#This Row],[issue_date]],"mmmm")</f>
        <v>January</v>
      </c>
      <c r="E2556" s="9">
        <f>YEAR(Table4[[#This Row],[issue_date]])</f>
        <v>2022</v>
      </c>
      <c r="F2556" t="s">
        <v>22</v>
      </c>
      <c r="G2556">
        <v>20</v>
      </c>
      <c r="H2556" t="s">
        <v>20</v>
      </c>
      <c r="I2556" t="str">
        <f>VLOOKUP(Table4[[#This Row],[customer_id]],customers!A:G,4,)</f>
        <v>chennai</v>
      </c>
    </row>
    <row r="2557" spans="1:9" x14ac:dyDescent="0.3">
      <c r="A2557">
        <v>22556</v>
      </c>
      <c r="B2557">
        <v>414</v>
      </c>
      <c r="C2557" s="2">
        <v>44565</v>
      </c>
      <c r="D2557" s="2" t="str">
        <f>TEXT(Table4[[#This Row],[issue_date]],"mmmm")</f>
        <v>January</v>
      </c>
      <c r="E2557" s="9">
        <f>YEAR(Table4[[#This Row],[issue_date]])</f>
        <v>2022</v>
      </c>
      <c r="F2557" t="s">
        <v>22</v>
      </c>
      <c r="G2557">
        <v>71</v>
      </c>
      <c r="H2557" t="s">
        <v>23</v>
      </c>
      <c r="I2557" t="str">
        <f>VLOOKUP(Table4[[#This Row],[customer_id]],customers!A:G,4,)</f>
        <v>delhi</v>
      </c>
    </row>
    <row r="2558" spans="1:9" x14ac:dyDescent="0.3">
      <c r="A2558">
        <v>22557</v>
      </c>
      <c r="B2558">
        <v>436</v>
      </c>
      <c r="C2558" s="2">
        <v>44564</v>
      </c>
      <c r="D2558" s="2" t="str">
        <f>TEXT(Table4[[#This Row],[issue_date]],"mmmm")</f>
        <v>January</v>
      </c>
      <c r="E2558" s="9">
        <f>YEAR(Table4[[#This Row],[issue_date]])</f>
        <v>2022</v>
      </c>
      <c r="F2558" t="s">
        <v>19</v>
      </c>
      <c r="G2558">
        <v>71</v>
      </c>
      <c r="H2558" t="s">
        <v>23</v>
      </c>
      <c r="I2558" t="str">
        <f>VLOOKUP(Table4[[#This Row],[customer_id]],customers!A:G,4,)</f>
        <v>delhi</v>
      </c>
    </row>
    <row r="2559" spans="1:9" x14ac:dyDescent="0.3">
      <c r="A2559">
        <v>22558</v>
      </c>
      <c r="B2559">
        <v>335</v>
      </c>
      <c r="C2559" s="2">
        <v>44979</v>
      </c>
      <c r="D2559" s="2" t="str">
        <f>TEXT(Table4[[#This Row],[issue_date]],"mmmm")</f>
        <v>February</v>
      </c>
      <c r="E2559" s="9">
        <f>YEAR(Table4[[#This Row],[issue_date]])</f>
        <v>2023</v>
      </c>
      <c r="F2559" t="s">
        <v>21</v>
      </c>
      <c r="G2559">
        <v>26</v>
      </c>
      <c r="H2559" t="s">
        <v>20</v>
      </c>
      <c r="I2559" t="str">
        <f>VLOOKUP(Table4[[#This Row],[customer_id]],customers!A:G,4,)</f>
        <v>kolkata</v>
      </c>
    </row>
    <row r="2560" spans="1:9" x14ac:dyDescent="0.3">
      <c r="A2560">
        <v>22559</v>
      </c>
      <c r="B2560">
        <v>404</v>
      </c>
      <c r="C2560" s="2">
        <v>44923</v>
      </c>
      <c r="D2560" s="2" t="str">
        <f>TEXT(Table4[[#This Row],[issue_date]],"mmmm")</f>
        <v>December</v>
      </c>
      <c r="E2560" s="9">
        <f>YEAR(Table4[[#This Row],[issue_date]])</f>
        <v>2022</v>
      </c>
      <c r="F2560" t="s">
        <v>22</v>
      </c>
      <c r="G2560">
        <v>41</v>
      </c>
      <c r="H2560" t="s">
        <v>20</v>
      </c>
      <c r="I2560" t="str">
        <f>VLOOKUP(Table4[[#This Row],[customer_id]],customers!A:G,4,)</f>
        <v>hyderabad</v>
      </c>
    </row>
    <row r="2561" spans="1:9" x14ac:dyDescent="0.3">
      <c r="A2561">
        <v>22560</v>
      </c>
      <c r="B2561">
        <v>164</v>
      </c>
      <c r="C2561" s="2">
        <v>44930</v>
      </c>
      <c r="D2561" s="2" t="str">
        <f>TEXT(Table4[[#This Row],[issue_date]],"mmmm")</f>
        <v>January</v>
      </c>
      <c r="E2561" s="9">
        <f>YEAR(Table4[[#This Row],[issue_date]])</f>
        <v>2023</v>
      </c>
      <c r="F2561" t="s">
        <v>21</v>
      </c>
      <c r="G2561">
        <v>3</v>
      </c>
      <c r="H2561" t="s">
        <v>20</v>
      </c>
      <c r="I2561" t="str">
        <f>VLOOKUP(Table4[[#This Row],[customer_id]],customers!A:G,4,)</f>
        <v>chennai</v>
      </c>
    </row>
    <row r="2562" spans="1:9" x14ac:dyDescent="0.3">
      <c r="A2562">
        <v>22561</v>
      </c>
      <c r="B2562">
        <v>256</v>
      </c>
      <c r="C2562" s="2">
        <v>45100</v>
      </c>
      <c r="D2562" s="2" t="str">
        <f>TEXT(Table4[[#This Row],[issue_date]],"mmmm")</f>
        <v>June</v>
      </c>
      <c r="E2562" s="9">
        <f>YEAR(Table4[[#This Row],[issue_date]])</f>
        <v>2023</v>
      </c>
      <c r="F2562" t="s">
        <v>21</v>
      </c>
      <c r="G2562">
        <v>43</v>
      </c>
      <c r="H2562" t="s">
        <v>20</v>
      </c>
      <c r="I2562" t="str">
        <f>VLOOKUP(Table4[[#This Row],[customer_id]],customers!A:G,4,)</f>
        <v>kolkata</v>
      </c>
    </row>
    <row r="2563" spans="1:9" x14ac:dyDescent="0.3">
      <c r="A2563">
        <v>22562</v>
      </c>
      <c r="B2563">
        <v>66</v>
      </c>
      <c r="C2563" s="2">
        <v>45441</v>
      </c>
      <c r="D2563" s="2" t="str">
        <f>TEXT(Table4[[#This Row],[issue_date]],"mmmm")</f>
        <v>May</v>
      </c>
      <c r="E2563" s="9">
        <f>YEAR(Table4[[#This Row],[issue_date]])</f>
        <v>2024</v>
      </c>
      <c r="F2563" t="s">
        <v>21</v>
      </c>
      <c r="G2563">
        <v>17</v>
      </c>
      <c r="H2563" t="s">
        <v>20</v>
      </c>
      <c r="I2563" t="str">
        <f>VLOOKUP(Table4[[#This Row],[customer_id]],customers!A:G,4,)</f>
        <v>hyderabad</v>
      </c>
    </row>
    <row r="2564" spans="1:9" x14ac:dyDescent="0.3">
      <c r="A2564">
        <v>22563</v>
      </c>
      <c r="B2564">
        <v>429</v>
      </c>
      <c r="C2564" s="2">
        <v>44907</v>
      </c>
      <c r="D2564" s="2" t="str">
        <f>TEXT(Table4[[#This Row],[issue_date]],"mmmm")</f>
        <v>December</v>
      </c>
      <c r="E2564" s="9">
        <f>YEAR(Table4[[#This Row],[issue_date]])</f>
        <v>2022</v>
      </c>
      <c r="F2564" t="s">
        <v>22</v>
      </c>
      <c r="G2564">
        <v>53</v>
      </c>
      <c r="H2564" t="s">
        <v>20</v>
      </c>
      <c r="I2564" t="str">
        <f>VLOOKUP(Table4[[#This Row],[customer_id]],customers!A:G,4,)</f>
        <v>hyderabad</v>
      </c>
    </row>
    <row r="2565" spans="1:9" x14ac:dyDescent="0.3">
      <c r="A2565">
        <v>22564</v>
      </c>
      <c r="B2565">
        <v>260</v>
      </c>
      <c r="C2565" s="2">
        <v>45292</v>
      </c>
      <c r="D2565" s="2" t="str">
        <f>TEXT(Table4[[#This Row],[issue_date]],"mmmm")</f>
        <v>January</v>
      </c>
      <c r="E2565" s="9">
        <f>YEAR(Table4[[#This Row],[issue_date]])</f>
        <v>2024</v>
      </c>
      <c r="F2565" t="s">
        <v>19</v>
      </c>
      <c r="G2565">
        <v>52</v>
      </c>
      <c r="H2565" t="s">
        <v>20</v>
      </c>
      <c r="I2565" t="str">
        <f>VLOOKUP(Table4[[#This Row],[customer_id]],customers!A:G,4,)</f>
        <v>bangalore</v>
      </c>
    </row>
    <row r="2566" spans="1:9" x14ac:dyDescent="0.3">
      <c r="A2566">
        <v>22565</v>
      </c>
      <c r="B2566">
        <v>434</v>
      </c>
      <c r="C2566" s="2">
        <v>45458</v>
      </c>
      <c r="D2566" s="2" t="str">
        <f>TEXT(Table4[[#This Row],[issue_date]],"mmmm")</f>
        <v>June</v>
      </c>
      <c r="E2566" s="9">
        <f>YEAR(Table4[[#This Row],[issue_date]])</f>
        <v>2024</v>
      </c>
      <c r="F2566" t="s">
        <v>22</v>
      </c>
      <c r="G2566">
        <v>33</v>
      </c>
      <c r="H2566" t="s">
        <v>20</v>
      </c>
      <c r="I2566" t="str">
        <f>VLOOKUP(Table4[[#This Row],[customer_id]],customers!A:G,4,)</f>
        <v>bangalore</v>
      </c>
    </row>
    <row r="2567" spans="1:9" x14ac:dyDescent="0.3">
      <c r="A2567">
        <v>22566</v>
      </c>
      <c r="B2567">
        <v>88</v>
      </c>
      <c r="C2567" s="2">
        <v>44605</v>
      </c>
      <c r="D2567" s="2" t="str">
        <f>TEXT(Table4[[#This Row],[issue_date]],"mmmm")</f>
        <v>February</v>
      </c>
      <c r="E2567" s="9">
        <f>YEAR(Table4[[#This Row],[issue_date]])</f>
        <v>2022</v>
      </c>
      <c r="F2567" t="s">
        <v>19</v>
      </c>
      <c r="G2567">
        <v>60</v>
      </c>
      <c r="H2567" t="s">
        <v>20</v>
      </c>
      <c r="I2567" t="str">
        <f>VLOOKUP(Table4[[#This Row],[customer_id]],customers!A:G,4,)</f>
        <v>mumbai</v>
      </c>
    </row>
    <row r="2568" spans="1:9" x14ac:dyDescent="0.3">
      <c r="A2568">
        <v>22567</v>
      </c>
      <c r="B2568">
        <v>240</v>
      </c>
      <c r="C2568" s="2">
        <v>45285</v>
      </c>
      <c r="D2568" s="2" t="str">
        <f>TEXT(Table4[[#This Row],[issue_date]],"mmmm")</f>
        <v>December</v>
      </c>
      <c r="E2568" s="9">
        <f>YEAR(Table4[[#This Row],[issue_date]])</f>
        <v>2023</v>
      </c>
      <c r="F2568" t="s">
        <v>22</v>
      </c>
      <c r="G2568">
        <v>68</v>
      </c>
      <c r="H2568" t="s">
        <v>20</v>
      </c>
      <c r="I2568" t="str">
        <f>VLOOKUP(Table4[[#This Row],[customer_id]],customers!A:G,4,)</f>
        <v>delhi</v>
      </c>
    </row>
    <row r="2569" spans="1:9" x14ac:dyDescent="0.3">
      <c r="A2569">
        <v>22568</v>
      </c>
      <c r="B2569">
        <v>311</v>
      </c>
      <c r="C2569" s="2">
        <v>45125</v>
      </c>
      <c r="D2569" s="2" t="str">
        <f>TEXT(Table4[[#This Row],[issue_date]],"mmmm")</f>
        <v>July</v>
      </c>
      <c r="E2569" s="9">
        <f>YEAR(Table4[[#This Row],[issue_date]])</f>
        <v>2023</v>
      </c>
      <c r="F2569" t="s">
        <v>21</v>
      </c>
      <c r="G2569">
        <v>56</v>
      </c>
      <c r="H2569" t="s">
        <v>20</v>
      </c>
      <c r="I2569" t="str">
        <f>VLOOKUP(Table4[[#This Row],[customer_id]],customers!A:G,4,)</f>
        <v>chennai</v>
      </c>
    </row>
    <row r="2570" spans="1:9" x14ac:dyDescent="0.3">
      <c r="A2570">
        <v>22569</v>
      </c>
      <c r="B2570">
        <v>59</v>
      </c>
      <c r="C2570" s="2">
        <v>44714</v>
      </c>
      <c r="D2570" s="2" t="str">
        <f>TEXT(Table4[[#This Row],[issue_date]],"mmmm")</f>
        <v>June</v>
      </c>
      <c r="E2570" s="9">
        <f>YEAR(Table4[[#This Row],[issue_date]])</f>
        <v>2022</v>
      </c>
      <c r="F2570" t="s">
        <v>21</v>
      </c>
      <c r="G2570">
        <v>64</v>
      </c>
      <c r="H2570" t="s">
        <v>23</v>
      </c>
      <c r="I2570" t="str">
        <f>VLOOKUP(Table4[[#This Row],[customer_id]],customers!A:G,4,)</f>
        <v>bangalore</v>
      </c>
    </row>
    <row r="2571" spans="1:9" x14ac:dyDescent="0.3">
      <c r="A2571">
        <v>22570</v>
      </c>
      <c r="B2571">
        <v>170</v>
      </c>
      <c r="C2571" s="2">
        <v>44763</v>
      </c>
      <c r="D2571" s="2" t="str">
        <f>TEXT(Table4[[#This Row],[issue_date]],"mmmm")</f>
        <v>July</v>
      </c>
      <c r="E2571" s="9">
        <f>YEAR(Table4[[#This Row],[issue_date]])</f>
        <v>2022</v>
      </c>
      <c r="F2571" t="s">
        <v>21</v>
      </c>
      <c r="G2571">
        <v>8</v>
      </c>
      <c r="H2571" t="s">
        <v>20</v>
      </c>
      <c r="I2571" t="str">
        <f>VLOOKUP(Table4[[#This Row],[customer_id]],customers!A:G,4,)</f>
        <v>delhi</v>
      </c>
    </row>
    <row r="2572" spans="1:9" x14ac:dyDescent="0.3">
      <c r="A2572">
        <v>22571</v>
      </c>
      <c r="B2572">
        <v>258</v>
      </c>
      <c r="C2572" s="2">
        <v>44882</v>
      </c>
      <c r="D2572" s="2" t="str">
        <f>TEXT(Table4[[#This Row],[issue_date]],"mmmm")</f>
        <v>November</v>
      </c>
      <c r="E2572" s="9">
        <f>YEAR(Table4[[#This Row],[issue_date]])</f>
        <v>2022</v>
      </c>
      <c r="F2572" t="s">
        <v>22</v>
      </c>
      <c r="G2572">
        <v>69</v>
      </c>
      <c r="H2572" t="s">
        <v>20</v>
      </c>
      <c r="I2572" t="str">
        <f>VLOOKUP(Table4[[#This Row],[customer_id]],customers!A:G,4,)</f>
        <v>bangalore</v>
      </c>
    </row>
    <row r="2573" spans="1:9" x14ac:dyDescent="0.3">
      <c r="A2573">
        <v>22572</v>
      </c>
      <c r="B2573">
        <v>46</v>
      </c>
      <c r="C2573" s="2">
        <v>45025</v>
      </c>
      <c r="D2573" s="2" t="str">
        <f>TEXT(Table4[[#This Row],[issue_date]],"mmmm")</f>
        <v>April</v>
      </c>
      <c r="E2573" s="9">
        <f>YEAR(Table4[[#This Row],[issue_date]])</f>
        <v>2023</v>
      </c>
      <c r="F2573" t="s">
        <v>22</v>
      </c>
      <c r="G2573">
        <v>33</v>
      </c>
      <c r="H2573" t="s">
        <v>23</v>
      </c>
      <c r="I2573" t="str">
        <f>VLOOKUP(Table4[[#This Row],[customer_id]],customers!A:G,4,)</f>
        <v>delhi</v>
      </c>
    </row>
    <row r="2574" spans="1:9" x14ac:dyDescent="0.3">
      <c r="A2574">
        <v>22573</v>
      </c>
      <c r="B2574">
        <v>2</v>
      </c>
      <c r="C2574" s="2">
        <v>44572</v>
      </c>
      <c r="D2574" s="2" t="str">
        <f>TEXT(Table4[[#This Row],[issue_date]],"mmmm")</f>
        <v>January</v>
      </c>
      <c r="E2574" s="9">
        <f>YEAR(Table4[[#This Row],[issue_date]])</f>
        <v>2022</v>
      </c>
      <c r="F2574" t="s">
        <v>19</v>
      </c>
      <c r="G2574">
        <v>25</v>
      </c>
      <c r="H2574" t="s">
        <v>20</v>
      </c>
      <c r="I2574" t="str">
        <f>VLOOKUP(Table4[[#This Row],[customer_id]],customers!A:G,4,)</f>
        <v>chennai</v>
      </c>
    </row>
    <row r="2575" spans="1:9" x14ac:dyDescent="0.3">
      <c r="A2575">
        <v>22574</v>
      </c>
      <c r="B2575">
        <v>434</v>
      </c>
      <c r="C2575" s="2">
        <v>45141</v>
      </c>
      <c r="D2575" s="2" t="str">
        <f>TEXT(Table4[[#This Row],[issue_date]],"mmmm")</f>
        <v>August</v>
      </c>
      <c r="E2575" s="9">
        <f>YEAR(Table4[[#This Row],[issue_date]])</f>
        <v>2023</v>
      </c>
      <c r="F2575" t="s">
        <v>22</v>
      </c>
      <c r="G2575">
        <v>71</v>
      </c>
      <c r="H2575" t="s">
        <v>20</v>
      </c>
      <c r="I2575" t="str">
        <f>VLOOKUP(Table4[[#This Row],[customer_id]],customers!A:G,4,)</f>
        <v>bangalore</v>
      </c>
    </row>
    <row r="2576" spans="1:9" x14ac:dyDescent="0.3">
      <c r="A2576">
        <v>22575</v>
      </c>
      <c r="B2576">
        <v>129</v>
      </c>
      <c r="C2576" s="2">
        <v>44788</v>
      </c>
      <c r="D2576" s="2" t="str">
        <f>TEXT(Table4[[#This Row],[issue_date]],"mmmm")</f>
        <v>August</v>
      </c>
      <c r="E2576" s="9">
        <f>YEAR(Table4[[#This Row],[issue_date]])</f>
        <v>2022</v>
      </c>
      <c r="F2576" t="s">
        <v>19</v>
      </c>
      <c r="G2576">
        <v>7</v>
      </c>
      <c r="H2576" t="s">
        <v>20</v>
      </c>
      <c r="I2576" t="str">
        <f>VLOOKUP(Table4[[#This Row],[customer_id]],customers!A:G,4,)</f>
        <v>bangalore</v>
      </c>
    </row>
    <row r="2577" spans="1:9" x14ac:dyDescent="0.3">
      <c r="A2577">
        <v>22576</v>
      </c>
      <c r="B2577">
        <v>269</v>
      </c>
      <c r="C2577" s="2">
        <v>45194</v>
      </c>
      <c r="D2577" s="2" t="str">
        <f>TEXT(Table4[[#This Row],[issue_date]],"mmmm")</f>
        <v>September</v>
      </c>
      <c r="E2577" s="9">
        <f>YEAR(Table4[[#This Row],[issue_date]])</f>
        <v>2023</v>
      </c>
      <c r="F2577" t="s">
        <v>22</v>
      </c>
      <c r="G2577">
        <v>59</v>
      </c>
      <c r="H2577" t="s">
        <v>20</v>
      </c>
      <c r="I2577" t="str">
        <f>VLOOKUP(Table4[[#This Row],[customer_id]],customers!A:G,4,)</f>
        <v>chennai</v>
      </c>
    </row>
    <row r="2578" spans="1:9" x14ac:dyDescent="0.3">
      <c r="A2578">
        <v>22577</v>
      </c>
      <c r="B2578">
        <v>326</v>
      </c>
      <c r="C2578" s="2">
        <v>44894</v>
      </c>
      <c r="D2578" s="2" t="str">
        <f>TEXT(Table4[[#This Row],[issue_date]],"mmmm")</f>
        <v>November</v>
      </c>
      <c r="E2578" s="9">
        <f>YEAR(Table4[[#This Row],[issue_date]])</f>
        <v>2022</v>
      </c>
      <c r="F2578" t="s">
        <v>21</v>
      </c>
      <c r="G2578">
        <v>33</v>
      </c>
      <c r="H2578" t="s">
        <v>23</v>
      </c>
      <c r="I2578" t="str">
        <f>VLOOKUP(Table4[[#This Row],[customer_id]],customers!A:G,4,)</f>
        <v>bangalore</v>
      </c>
    </row>
    <row r="2579" spans="1:9" x14ac:dyDescent="0.3">
      <c r="A2579">
        <v>22578</v>
      </c>
      <c r="B2579">
        <v>278</v>
      </c>
      <c r="C2579" s="2">
        <v>45030</v>
      </c>
      <c r="D2579" s="2" t="str">
        <f>TEXT(Table4[[#This Row],[issue_date]],"mmmm")</f>
        <v>April</v>
      </c>
      <c r="E2579" s="9">
        <f>YEAR(Table4[[#This Row],[issue_date]])</f>
        <v>2023</v>
      </c>
      <c r="F2579" t="s">
        <v>22</v>
      </c>
      <c r="G2579">
        <v>41</v>
      </c>
      <c r="H2579" t="s">
        <v>20</v>
      </c>
      <c r="I2579" t="str">
        <f>VLOOKUP(Table4[[#This Row],[customer_id]],customers!A:G,4,)</f>
        <v>hyderabad</v>
      </c>
    </row>
    <row r="2580" spans="1:9" x14ac:dyDescent="0.3">
      <c r="A2580">
        <v>22579</v>
      </c>
      <c r="B2580">
        <v>17</v>
      </c>
      <c r="C2580" s="2">
        <v>44576</v>
      </c>
      <c r="D2580" s="2" t="str">
        <f>TEXT(Table4[[#This Row],[issue_date]],"mmmm")</f>
        <v>January</v>
      </c>
      <c r="E2580" s="9">
        <f>YEAR(Table4[[#This Row],[issue_date]])</f>
        <v>2022</v>
      </c>
      <c r="F2580" t="s">
        <v>21</v>
      </c>
      <c r="G2580">
        <v>33</v>
      </c>
      <c r="H2580" t="s">
        <v>20</v>
      </c>
      <c r="I2580" t="str">
        <f>VLOOKUP(Table4[[#This Row],[customer_id]],customers!A:G,4,)</f>
        <v>bangalore</v>
      </c>
    </row>
    <row r="2581" spans="1:9" x14ac:dyDescent="0.3">
      <c r="A2581">
        <v>22580</v>
      </c>
      <c r="B2581">
        <v>187</v>
      </c>
      <c r="C2581" s="2">
        <v>44618</v>
      </c>
      <c r="D2581" s="2" t="str">
        <f>TEXT(Table4[[#This Row],[issue_date]],"mmmm")</f>
        <v>February</v>
      </c>
      <c r="E2581" s="9">
        <f>YEAR(Table4[[#This Row],[issue_date]])</f>
        <v>2022</v>
      </c>
      <c r="F2581" t="s">
        <v>22</v>
      </c>
      <c r="G2581">
        <v>29</v>
      </c>
      <c r="H2581" t="s">
        <v>20</v>
      </c>
      <c r="I2581" t="str">
        <f>VLOOKUP(Table4[[#This Row],[customer_id]],customers!A:G,4,)</f>
        <v>chennai</v>
      </c>
    </row>
    <row r="2582" spans="1:9" x14ac:dyDescent="0.3">
      <c r="A2582">
        <v>22581</v>
      </c>
      <c r="B2582">
        <v>497</v>
      </c>
      <c r="C2582" s="2">
        <v>44891</v>
      </c>
      <c r="D2582" s="2" t="str">
        <f>TEXT(Table4[[#This Row],[issue_date]],"mmmm")</f>
        <v>November</v>
      </c>
      <c r="E2582" s="9">
        <f>YEAR(Table4[[#This Row],[issue_date]])</f>
        <v>2022</v>
      </c>
      <c r="F2582" t="s">
        <v>19</v>
      </c>
      <c r="G2582">
        <v>39</v>
      </c>
      <c r="H2582" t="s">
        <v>20</v>
      </c>
      <c r="I2582" t="str">
        <f>VLOOKUP(Table4[[#This Row],[customer_id]],customers!A:G,4,)</f>
        <v>kolkata</v>
      </c>
    </row>
    <row r="2583" spans="1:9" x14ac:dyDescent="0.3">
      <c r="A2583">
        <v>22582</v>
      </c>
      <c r="B2583">
        <v>342</v>
      </c>
      <c r="C2583" s="2">
        <v>44625</v>
      </c>
      <c r="D2583" s="2" t="str">
        <f>TEXT(Table4[[#This Row],[issue_date]],"mmmm")</f>
        <v>March</v>
      </c>
      <c r="E2583" s="9">
        <f>YEAR(Table4[[#This Row],[issue_date]])</f>
        <v>2022</v>
      </c>
      <c r="F2583" t="s">
        <v>22</v>
      </c>
      <c r="G2583">
        <v>57</v>
      </c>
      <c r="H2583" t="s">
        <v>20</v>
      </c>
      <c r="I2583" t="str">
        <f>VLOOKUP(Table4[[#This Row],[customer_id]],customers!A:G,4,)</f>
        <v>hyderabad</v>
      </c>
    </row>
    <row r="2584" spans="1:9" x14ac:dyDescent="0.3">
      <c r="A2584">
        <v>22583</v>
      </c>
      <c r="B2584">
        <v>491</v>
      </c>
      <c r="C2584" s="2">
        <v>44791</v>
      </c>
      <c r="D2584" s="2" t="str">
        <f>TEXT(Table4[[#This Row],[issue_date]],"mmmm")</f>
        <v>August</v>
      </c>
      <c r="E2584" s="9">
        <f>YEAR(Table4[[#This Row],[issue_date]])</f>
        <v>2022</v>
      </c>
      <c r="F2584" t="s">
        <v>21</v>
      </c>
      <c r="G2584">
        <v>64</v>
      </c>
      <c r="H2584" t="s">
        <v>20</v>
      </c>
      <c r="I2584" t="str">
        <f>VLOOKUP(Table4[[#This Row],[customer_id]],customers!A:G,4,)</f>
        <v>hyderabad</v>
      </c>
    </row>
    <row r="2585" spans="1:9" x14ac:dyDescent="0.3">
      <c r="A2585">
        <v>22584</v>
      </c>
      <c r="B2585">
        <v>326</v>
      </c>
      <c r="C2585" s="2">
        <v>44572</v>
      </c>
      <c r="D2585" s="2" t="str">
        <f>TEXT(Table4[[#This Row],[issue_date]],"mmmm")</f>
        <v>January</v>
      </c>
      <c r="E2585" s="9">
        <f>YEAR(Table4[[#This Row],[issue_date]])</f>
        <v>2022</v>
      </c>
      <c r="F2585" t="s">
        <v>22</v>
      </c>
      <c r="G2585">
        <v>66</v>
      </c>
      <c r="H2585" t="s">
        <v>20</v>
      </c>
      <c r="I2585" t="str">
        <f>VLOOKUP(Table4[[#This Row],[customer_id]],customers!A:G,4,)</f>
        <v>bangalore</v>
      </c>
    </row>
    <row r="2586" spans="1:9" x14ac:dyDescent="0.3">
      <c r="A2586">
        <v>22585</v>
      </c>
      <c r="B2586">
        <v>116</v>
      </c>
      <c r="C2586" s="2">
        <v>45194</v>
      </c>
      <c r="D2586" s="2" t="str">
        <f>TEXT(Table4[[#This Row],[issue_date]],"mmmm")</f>
        <v>September</v>
      </c>
      <c r="E2586" s="9">
        <f>YEAR(Table4[[#This Row],[issue_date]])</f>
        <v>2023</v>
      </c>
      <c r="F2586" t="s">
        <v>19</v>
      </c>
      <c r="G2586">
        <v>9</v>
      </c>
      <c r="H2586" t="s">
        <v>20</v>
      </c>
      <c r="I2586" t="str">
        <f>VLOOKUP(Table4[[#This Row],[customer_id]],customers!A:G,4,)</f>
        <v>chennai</v>
      </c>
    </row>
    <row r="2587" spans="1:9" x14ac:dyDescent="0.3">
      <c r="A2587">
        <v>22586</v>
      </c>
      <c r="B2587">
        <v>259</v>
      </c>
      <c r="C2587" s="2">
        <v>44785</v>
      </c>
      <c r="D2587" s="2" t="str">
        <f>TEXT(Table4[[#This Row],[issue_date]],"mmmm")</f>
        <v>August</v>
      </c>
      <c r="E2587" s="9">
        <f>YEAR(Table4[[#This Row],[issue_date]])</f>
        <v>2022</v>
      </c>
      <c r="F2587" t="s">
        <v>19</v>
      </c>
      <c r="G2587">
        <v>29</v>
      </c>
      <c r="H2587" t="s">
        <v>20</v>
      </c>
      <c r="I2587" t="str">
        <f>VLOOKUP(Table4[[#This Row],[customer_id]],customers!A:G,4,)</f>
        <v>chennai</v>
      </c>
    </row>
    <row r="2588" spans="1:9" x14ac:dyDescent="0.3">
      <c r="A2588">
        <v>22587</v>
      </c>
      <c r="B2588">
        <v>366</v>
      </c>
      <c r="C2588" s="2">
        <v>45298</v>
      </c>
      <c r="D2588" s="2" t="str">
        <f>TEXT(Table4[[#This Row],[issue_date]],"mmmm")</f>
        <v>January</v>
      </c>
      <c r="E2588" s="9">
        <f>YEAR(Table4[[#This Row],[issue_date]])</f>
        <v>2024</v>
      </c>
      <c r="F2588" t="s">
        <v>19</v>
      </c>
      <c r="G2588">
        <v>28</v>
      </c>
      <c r="H2588" t="s">
        <v>20</v>
      </c>
      <c r="I2588" t="str">
        <f>VLOOKUP(Table4[[#This Row],[customer_id]],customers!A:G,4,)</f>
        <v>mumbai</v>
      </c>
    </row>
    <row r="2589" spans="1:9" x14ac:dyDescent="0.3">
      <c r="A2589">
        <v>22588</v>
      </c>
      <c r="B2589">
        <v>249</v>
      </c>
      <c r="C2589" s="2">
        <v>45198</v>
      </c>
      <c r="D2589" s="2" t="str">
        <f>TEXT(Table4[[#This Row],[issue_date]],"mmmm")</f>
        <v>September</v>
      </c>
      <c r="E2589" s="9">
        <f>YEAR(Table4[[#This Row],[issue_date]])</f>
        <v>2023</v>
      </c>
      <c r="F2589" t="s">
        <v>19</v>
      </c>
      <c r="G2589">
        <v>53</v>
      </c>
      <c r="H2589" t="s">
        <v>20</v>
      </c>
      <c r="I2589" t="str">
        <f>VLOOKUP(Table4[[#This Row],[customer_id]],customers!A:G,4,)</f>
        <v>bangalore</v>
      </c>
    </row>
    <row r="2590" spans="1:9" x14ac:dyDescent="0.3">
      <c r="A2590">
        <v>22589</v>
      </c>
      <c r="B2590">
        <v>198</v>
      </c>
      <c r="C2590" s="2">
        <v>45221</v>
      </c>
      <c r="D2590" s="2" t="str">
        <f>TEXT(Table4[[#This Row],[issue_date]],"mmmm")</f>
        <v>October</v>
      </c>
      <c r="E2590" s="9">
        <f>YEAR(Table4[[#This Row],[issue_date]])</f>
        <v>2023</v>
      </c>
      <c r="F2590" t="s">
        <v>22</v>
      </c>
      <c r="G2590">
        <v>46</v>
      </c>
      <c r="H2590" t="s">
        <v>20</v>
      </c>
      <c r="I2590" t="str">
        <f>VLOOKUP(Table4[[#This Row],[customer_id]],customers!A:G,4,)</f>
        <v>kolkata</v>
      </c>
    </row>
    <row r="2591" spans="1:9" x14ac:dyDescent="0.3">
      <c r="A2591">
        <v>22590</v>
      </c>
      <c r="B2591">
        <v>337</v>
      </c>
      <c r="C2591" s="2">
        <v>45301</v>
      </c>
      <c r="D2591" s="2" t="str">
        <f>TEXT(Table4[[#This Row],[issue_date]],"mmmm")</f>
        <v>January</v>
      </c>
      <c r="E2591" s="9">
        <f>YEAR(Table4[[#This Row],[issue_date]])</f>
        <v>2024</v>
      </c>
      <c r="F2591" t="s">
        <v>19</v>
      </c>
      <c r="G2591">
        <v>39</v>
      </c>
      <c r="H2591" t="s">
        <v>20</v>
      </c>
      <c r="I2591" t="str">
        <f>VLOOKUP(Table4[[#This Row],[customer_id]],customers!A:G,4,)</f>
        <v>mumbai</v>
      </c>
    </row>
    <row r="2592" spans="1:9" x14ac:dyDescent="0.3">
      <c r="A2592">
        <v>22591</v>
      </c>
      <c r="B2592">
        <v>227</v>
      </c>
      <c r="C2592" s="2">
        <v>45103</v>
      </c>
      <c r="D2592" s="2" t="str">
        <f>TEXT(Table4[[#This Row],[issue_date]],"mmmm")</f>
        <v>June</v>
      </c>
      <c r="E2592" s="9">
        <f>YEAR(Table4[[#This Row],[issue_date]])</f>
        <v>2023</v>
      </c>
      <c r="F2592" t="s">
        <v>22</v>
      </c>
      <c r="G2592">
        <v>58</v>
      </c>
      <c r="H2592" t="s">
        <v>20</v>
      </c>
      <c r="I2592" t="str">
        <f>VLOOKUP(Table4[[#This Row],[customer_id]],customers!A:G,4,)</f>
        <v>bangalore</v>
      </c>
    </row>
    <row r="2593" spans="1:9" x14ac:dyDescent="0.3">
      <c r="A2593">
        <v>22592</v>
      </c>
      <c r="B2593">
        <v>177</v>
      </c>
      <c r="C2593" s="2">
        <v>45067</v>
      </c>
      <c r="D2593" s="2" t="str">
        <f>TEXT(Table4[[#This Row],[issue_date]],"mmmm")</f>
        <v>May</v>
      </c>
      <c r="E2593" s="9">
        <f>YEAR(Table4[[#This Row],[issue_date]])</f>
        <v>2023</v>
      </c>
      <c r="F2593" t="s">
        <v>22</v>
      </c>
      <c r="G2593">
        <v>54</v>
      </c>
      <c r="H2593" t="s">
        <v>20</v>
      </c>
      <c r="I2593" t="str">
        <f>VLOOKUP(Table4[[#This Row],[customer_id]],customers!A:G,4,)</f>
        <v>kolkata</v>
      </c>
    </row>
    <row r="2594" spans="1:9" x14ac:dyDescent="0.3">
      <c r="A2594">
        <v>22593</v>
      </c>
      <c r="B2594">
        <v>243</v>
      </c>
      <c r="C2594" s="2">
        <v>45083</v>
      </c>
      <c r="D2594" s="2" t="str">
        <f>TEXT(Table4[[#This Row],[issue_date]],"mmmm")</f>
        <v>June</v>
      </c>
      <c r="E2594" s="9">
        <f>YEAR(Table4[[#This Row],[issue_date]])</f>
        <v>2023</v>
      </c>
      <c r="F2594" t="s">
        <v>22</v>
      </c>
      <c r="G2594">
        <v>6</v>
      </c>
      <c r="H2594" t="s">
        <v>20</v>
      </c>
      <c r="I2594" t="str">
        <f>VLOOKUP(Table4[[#This Row],[customer_id]],customers!A:G,4,)</f>
        <v>hyderabad</v>
      </c>
    </row>
    <row r="2595" spans="1:9" x14ac:dyDescent="0.3">
      <c r="A2595">
        <v>22594</v>
      </c>
      <c r="B2595">
        <v>434</v>
      </c>
      <c r="C2595" s="2">
        <v>44615</v>
      </c>
      <c r="D2595" s="2" t="str">
        <f>TEXT(Table4[[#This Row],[issue_date]],"mmmm")</f>
        <v>February</v>
      </c>
      <c r="E2595" s="9">
        <f>YEAR(Table4[[#This Row],[issue_date]])</f>
        <v>2022</v>
      </c>
      <c r="F2595" t="s">
        <v>19</v>
      </c>
      <c r="G2595">
        <v>45</v>
      </c>
      <c r="H2595" t="s">
        <v>20</v>
      </c>
      <c r="I2595" t="str">
        <f>VLOOKUP(Table4[[#This Row],[customer_id]],customers!A:G,4,)</f>
        <v>bangalore</v>
      </c>
    </row>
    <row r="2596" spans="1:9" x14ac:dyDescent="0.3">
      <c r="A2596">
        <v>22595</v>
      </c>
      <c r="B2596">
        <v>357</v>
      </c>
      <c r="C2596" s="2">
        <v>45259</v>
      </c>
      <c r="D2596" s="2" t="str">
        <f>TEXT(Table4[[#This Row],[issue_date]],"mmmm")</f>
        <v>November</v>
      </c>
      <c r="E2596" s="9">
        <f>YEAR(Table4[[#This Row],[issue_date]])</f>
        <v>2023</v>
      </c>
      <c r="F2596" t="s">
        <v>19</v>
      </c>
      <c r="G2596">
        <v>40</v>
      </c>
      <c r="H2596" t="s">
        <v>20</v>
      </c>
      <c r="I2596" t="str">
        <f>VLOOKUP(Table4[[#This Row],[customer_id]],customers!A:G,4,)</f>
        <v>bangalore</v>
      </c>
    </row>
    <row r="2597" spans="1:9" x14ac:dyDescent="0.3">
      <c r="A2597">
        <v>22596</v>
      </c>
      <c r="B2597">
        <v>495</v>
      </c>
      <c r="C2597" s="2">
        <v>45280</v>
      </c>
      <c r="D2597" s="2" t="str">
        <f>TEXT(Table4[[#This Row],[issue_date]],"mmmm")</f>
        <v>December</v>
      </c>
      <c r="E2597" s="9">
        <f>YEAR(Table4[[#This Row],[issue_date]])</f>
        <v>2023</v>
      </c>
      <c r="F2597" t="s">
        <v>22</v>
      </c>
      <c r="G2597">
        <v>23</v>
      </c>
      <c r="H2597" t="s">
        <v>20</v>
      </c>
      <c r="I2597" t="str">
        <f>VLOOKUP(Table4[[#This Row],[customer_id]],customers!A:G,4,)</f>
        <v>mumbai</v>
      </c>
    </row>
    <row r="2598" spans="1:9" x14ac:dyDescent="0.3">
      <c r="A2598">
        <v>22597</v>
      </c>
      <c r="B2598">
        <v>35</v>
      </c>
      <c r="C2598" s="2">
        <v>45328</v>
      </c>
      <c r="D2598" s="2" t="str">
        <f>TEXT(Table4[[#This Row],[issue_date]],"mmmm")</f>
        <v>February</v>
      </c>
      <c r="E2598" s="9">
        <f>YEAR(Table4[[#This Row],[issue_date]])</f>
        <v>2024</v>
      </c>
      <c r="F2598" t="s">
        <v>22</v>
      </c>
      <c r="G2598">
        <v>42</v>
      </c>
      <c r="H2598" t="s">
        <v>20</v>
      </c>
      <c r="I2598" t="str">
        <f>VLOOKUP(Table4[[#This Row],[customer_id]],customers!A:G,4,)</f>
        <v>chennai</v>
      </c>
    </row>
    <row r="2599" spans="1:9" x14ac:dyDescent="0.3">
      <c r="A2599">
        <v>22598</v>
      </c>
      <c r="B2599">
        <v>407</v>
      </c>
      <c r="C2599" s="2">
        <v>44718</v>
      </c>
      <c r="D2599" s="2" t="str">
        <f>TEXT(Table4[[#This Row],[issue_date]],"mmmm")</f>
        <v>June</v>
      </c>
      <c r="E2599" s="9">
        <f>YEAR(Table4[[#This Row],[issue_date]])</f>
        <v>2022</v>
      </c>
      <c r="F2599" t="s">
        <v>22</v>
      </c>
      <c r="G2599">
        <v>38</v>
      </c>
      <c r="H2599" t="s">
        <v>23</v>
      </c>
      <c r="I2599" t="str">
        <f>VLOOKUP(Table4[[#This Row],[customer_id]],customers!A:G,4,)</f>
        <v>chennai</v>
      </c>
    </row>
    <row r="2600" spans="1:9" x14ac:dyDescent="0.3">
      <c r="A2600">
        <v>22599</v>
      </c>
      <c r="B2600">
        <v>456</v>
      </c>
      <c r="C2600" s="2">
        <v>45202</v>
      </c>
      <c r="D2600" s="2" t="str">
        <f>TEXT(Table4[[#This Row],[issue_date]],"mmmm")</f>
        <v>October</v>
      </c>
      <c r="E2600" s="9">
        <f>YEAR(Table4[[#This Row],[issue_date]])</f>
        <v>2023</v>
      </c>
      <c r="F2600" t="s">
        <v>21</v>
      </c>
      <c r="G2600">
        <v>16</v>
      </c>
      <c r="H2600" t="s">
        <v>20</v>
      </c>
      <c r="I2600" t="str">
        <f>VLOOKUP(Table4[[#This Row],[customer_id]],customers!A:G,4,)</f>
        <v>kolkata</v>
      </c>
    </row>
    <row r="2601" spans="1:9" x14ac:dyDescent="0.3">
      <c r="A2601">
        <v>22600</v>
      </c>
      <c r="B2601">
        <v>135</v>
      </c>
      <c r="C2601" s="2">
        <v>45131</v>
      </c>
      <c r="D2601" s="2" t="str">
        <f>TEXT(Table4[[#This Row],[issue_date]],"mmmm")</f>
        <v>July</v>
      </c>
      <c r="E2601" s="9">
        <f>YEAR(Table4[[#This Row],[issue_date]])</f>
        <v>2023</v>
      </c>
      <c r="F2601" t="s">
        <v>21</v>
      </c>
      <c r="G2601">
        <v>47</v>
      </c>
      <c r="H2601" t="s">
        <v>20</v>
      </c>
      <c r="I2601" t="str">
        <f>VLOOKUP(Table4[[#This Row],[customer_id]],customers!A:G,4,)</f>
        <v>chennai</v>
      </c>
    </row>
    <row r="2602" spans="1:9" x14ac:dyDescent="0.3">
      <c r="A2602">
        <v>22601</v>
      </c>
      <c r="B2602">
        <v>306</v>
      </c>
      <c r="C2602" s="2">
        <v>44966</v>
      </c>
      <c r="D2602" s="2" t="str">
        <f>TEXT(Table4[[#This Row],[issue_date]],"mmmm")</f>
        <v>February</v>
      </c>
      <c r="E2602" s="9">
        <f>YEAR(Table4[[#This Row],[issue_date]])</f>
        <v>2023</v>
      </c>
      <c r="F2602" t="s">
        <v>19</v>
      </c>
      <c r="G2602">
        <v>21</v>
      </c>
      <c r="H2602" t="s">
        <v>20</v>
      </c>
      <c r="I2602" t="str">
        <f>VLOOKUP(Table4[[#This Row],[customer_id]],customers!A:G,4,)</f>
        <v>bangalore</v>
      </c>
    </row>
    <row r="2603" spans="1:9" x14ac:dyDescent="0.3">
      <c r="A2603">
        <v>22602</v>
      </c>
      <c r="B2603">
        <v>10</v>
      </c>
      <c r="C2603" s="2">
        <v>44960</v>
      </c>
      <c r="D2603" s="2" t="str">
        <f>TEXT(Table4[[#This Row],[issue_date]],"mmmm")</f>
        <v>February</v>
      </c>
      <c r="E2603" s="9">
        <f>YEAR(Table4[[#This Row],[issue_date]])</f>
        <v>2023</v>
      </c>
      <c r="F2603" t="s">
        <v>21</v>
      </c>
      <c r="G2603">
        <v>21</v>
      </c>
      <c r="H2603" t="s">
        <v>20</v>
      </c>
      <c r="I2603" t="str">
        <f>VLOOKUP(Table4[[#This Row],[customer_id]],customers!A:G,4,)</f>
        <v>bangalore</v>
      </c>
    </row>
    <row r="2604" spans="1:9" x14ac:dyDescent="0.3">
      <c r="A2604">
        <v>22603</v>
      </c>
      <c r="B2604">
        <v>474</v>
      </c>
      <c r="C2604" s="2">
        <v>45268</v>
      </c>
      <c r="D2604" s="2" t="str">
        <f>TEXT(Table4[[#This Row],[issue_date]],"mmmm")</f>
        <v>December</v>
      </c>
      <c r="E2604" s="9">
        <f>YEAR(Table4[[#This Row],[issue_date]])</f>
        <v>2023</v>
      </c>
      <c r="F2604" t="s">
        <v>22</v>
      </c>
      <c r="G2604">
        <v>25</v>
      </c>
      <c r="H2604" t="s">
        <v>20</v>
      </c>
      <c r="I2604" t="str">
        <f>VLOOKUP(Table4[[#This Row],[customer_id]],customers!A:G,4,)</f>
        <v>hyderabad</v>
      </c>
    </row>
    <row r="2605" spans="1:9" x14ac:dyDescent="0.3">
      <c r="A2605">
        <v>22604</v>
      </c>
      <c r="B2605">
        <v>183</v>
      </c>
      <c r="C2605" s="2">
        <v>44964</v>
      </c>
      <c r="D2605" s="2" t="str">
        <f>TEXT(Table4[[#This Row],[issue_date]],"mmmm")</f>
        <v>February</v>
      </c>
      <c r="E2605" s="9">
        <f>YEAR(Table4[[#This Row],[issue_date]])</f>
        <v>2023</v>
      </c>
      <c r="F2605" t="s">
        <v>22</v>
      </c>
      <c r="G2605">
        <v>61</v>
      </c>
      <c r="H2605" t="s">
        <v>20</v>
      </c>
      <c r="I2605" t="str">
        <f>VLOOKUP(Table4[[#This Row],[customer_id]],customers!A:G,4,)</f>
        <v>hyderabad</v>
      </c>
    </row>
    <row r="2606" spans="1:9" x14ac:dyDescent="0.3">
      <c r="A2606">
        <v>22605</v>
      </c>
      <c r="B2606">
        <v>202</v>
      </c>
      <c r="C2606" s="2">
        <v>45461</v>
      </c>
      <c r="D2606" s="2" t="str">
        <f>TEXT(Table4[[#This Row],[issue_date]],"mmmm")</f>
        <v>June</v>
      </c>
      <c r="E2606" s="9">
        <f>YEAR(Table4[[#This Row],[issue_date]])</f>
        <v>2024</v>
      </c>
      <c r="F2606" t="s">
        <v>19</v>
      </c>
      <c r="G2606">
        <v>54</v>
      </c>
      <c r="H2606" t="s">
        <v>20</v>
      </c>
      <c r="I2606" t="str">
        <f>VLOOKUP(Table4[[#This Row],[customer_id]],customers!A:G,4,)</f>
        <v>chennai</v>
      </c>
    </row>
    <row r="2607" spans="1:9" x14ac:dyDescent="0.3">
      <c r="A2607">
        <v>22606</v>
      </c>
      <c r="B2607">
        <v>19</v>
      </c>
      <c r="C2607" s="2">
        <v>45149</v>
      </c>
      <c r="D2607" s="2" t="str">
        <f>TEXT(Table4[[#This Row],[issue_date]],"mmmm")</f>
        <v>August</v>
      </c>
      <c r="E2607" s="9">
        <f>YEAR(Table4[[#This Row],[issue_date]])</f>
        <v>2023</v>
      </c>
      <c r="F2607" t="s">
        <v>19</v>
      </c>
      <c r="G2607">
        <v>60</v>
      </c>
      <c r="H2607" t="s">
        <v>20</v>
      </c>
      <c r="I2607" t="str">
        <f>VLOOKUP(Table4[[#This Row],[customer_id]],customers!A:G,4,)</f>
        <v>kolkata</v>
      </c>
    </row>
    <row r="2608" spans="1:9" x14ac:dyDescent="0.3">
      <c r="A2608">
        <v>22607</v>
      </c>
      <c r="B2608">
        <v>23</v>
      </c>
      <c r="C2608" s="2">
        <v>44650</v>
      </c>
      <c r="D2608" s="2" t="str">
        <f>TEXT(Table4[[#This Row],[issue_date]],"mmmm")</f>
        <v>March</v>
      </c>
      <c r="E2608" s="9">
        <f>YEAR(Table4[[#This Row],[issue_date]])</f>
        <v>2022</v>
      </c>
      <c r="F2608" t="s">
        <v>21</v>
      </c>
      <c r="G2608">
        <v>42</v>
      </c>
      <c r="H2608" t="s">
        <v>20</v>
      </c>
      <c r="I2608" t="str">
        <f>VLOOKUP(Table4[[#This Row],[customer_id]],customers!A:G,4,)</f>
        <v>kolkata</v>
      </c>
    </row>
    <row r="2609" spans="1:9" x14ac:dyDescent="0.3">
      <c r="A2609">
        <v>22608</v>
      </c>
      <c r="B2609">
        <v>95</v>
      </c>
      <c r="C2609" s="2">
        <v>45427</v>
      </c>
      <c r="D2609" s="2" t="str">
        <f>TEXT(Table4[[#This Row],[issue_date]],"mmmm")</f>
        <v>May</v>
      </c>
      <c r="E2609" s="9">
        <f>YEAR(Table4[[#This Row],[issue_date]])</f>
        <v>2024</v>
      </c>
      <c r="F2609" t="s">
        <v>22</v>
      </c>
      <c r="G2609">
        <v>61</v>
      </c>
      <c r="H2609" t="s">
        <v>20</v>
      </c>
      <c r="I2609" t="str">
        <f>VLOOKUP(Table4[[#This Row],[customer_id]],customers!A:G,4,)</f>
        <v>mumbai</v>
      </c>
    </row>
    <row r="2610" spans="1:9" x14ac:dyDescent="0.3">
      <c r="A2610">
        <v>22609</v>
      </c>
      <c r="B2610">
        <v>64</v>
      </c>
      <c r="C2610" s="2">
        <v>45154</v>
      </c>
      <c r="D2610" s="2" t="str">
        <f>TEXT(Table4[[#This Row],[issue_date]],"mmmm")</f>
        <v>August</v>
      </c>
      <c r="E2610" s="9">
        <f>YEAR(Table4[[#This Row],[issue_date]])</f>
        <v>2023</v>
      </c>
      <c r="F2610" t="s">
        <v>19</v>
      </c>
      <c r="G2610">
        <v>32</v>
      </c>
      <c r="H2610" t="s">
        <v>20</v>
      </c>
      <c r="I2610" t="str">
        <f>VLOOKUP(Table4[[#This Row],[customer_id]],customers!A:G,4,)</f>
        <v>bangalore</v>
      </c>
    </row>
    <row r="2611" spans="1:9" x14ac:dyDescent="0.3">
      <c r="A2611">
        <v>22610</v>
      </c>
      <c r="B2611">
        <v>417</v>
      </c>
      <c r="C2611" s="2">
        <v>44747</v>
      </c>
      <c r="D2611" s="2" t="str">
        <f>TEXT(Table4[[#This Row],[issue_date]],"mmmm")</f>
        <v>July</v>
      </c>
      <c r="E2611" s="9">
        <f>YEAR(Table4[[#This Row],[issue_date]])</f>
        <v>2022</v>
      </c>
      <c r="F2611" t="s">
        <v>19</v>
      </c>
      <c r="G2611">
        <v>53</v>
      </c>
      <c r="H2611" t="s">
        <v>20</v>
      </c>
      <c r="I2611" t="str">
        <f>VLOOKUP(Table4[[#This Row],[customer_id]],customers!A:G,4,)</f>
        <v>bangalore</v>
      </c>
    </row>
    <row r="2612" spans="1:9" x14ac:dyDescent="0.3">
      <c r="A2612">
        <v>22611</v>
      </c>
      <c r="B2612">
        <v>450</v>
      </c>
      <c r="C2612" s="2">
        <v>45399</v>
      </c>
      <c r="D2612" s="2" t="str">
        <f>TEXT(Table4[[#This Row],[issue_date]],"mmmm")</f>
        <v>April</v>
      </c>
      <c r="E2612" s="9">
        <f>YEAR(Table4[[#This Row],[issue_date]])</f>
        <v>2024</v>
      </c>
      <c r="F2612" t="s">
        <v>21</v>
      </c>
      <c r="G2612">
        <v>44</v>
      </c>
      <c r="H2612" t="s">
        <v>20</v>
      </c>
      <c r="I2612" t="str">
        <f>VLOOKUP(Table4[[#This Row],[customer_id]],customers!A:G,4,)</f>
        <v>mumbai</v>
      </c>
    </row>
    <row r="2613" spans="1:9" x14ac:dyDescent="0.3">
      <c r="A2613">
        <v>22612</v>
      </c>
      <c r="B2613">
        <v>220</v>
      </c>
      <c r="C2613" s="2">
        <v>45341</v>
      </c>
      <c r="D2613" s="2" t="str">
        <f>TEXT(Table4[[#This Row],[issue_date]],"mmmm")</f>
        <v>February</v>
      </c>
      <c r="E2613" s="9">
        <f>YEAR(Table4[[#This Row],[issue_date]])</f>
        <v>2024</v>
      </c>
      <c r="F2613" t="s">
        <v>19</v>
      </c>
      <c r="G2613">
        <v>11</v>
      </c>
      <c r="H2613" t="s">
        <v>20</v>
      </c>
      <c r="I2613" t="str">
        <f>VLOOKUP(Table4[[#This Row],[customer_id]],customers!A:G,4,)</f>
        <v>bangalore</v>
      </c>
    </row>
    <row r="2614" spans="1:9" x14ac:dyDescent="0.3">
      <c r="A2614">
        <v>22613</v>
      </c>
      <c r="B2614">
        <v>96</v>
      </c>
      <c r="C2614" s="2">
        <v>45456</v>
      </c>
      <c r="D2614" s="2" t="str">
        <f>TEXT(Table4[[#This Row],[issue_date]],"mmmm")</f>
        <v>June</v>
      </c>
      <c r="E2614" s="9">
        <f>YEAR(Table4[[#This Row],[issue_date]])</f>
        <v>2024</v>
      </c>
      <c r="F2614" t="s">
        <v>21</v>
      </c>
      <c r="G2614">
        <v>47</v>
      </c>
      <c r="H2614" t="s">
        <v>20</v>
      </c>
      <c r="I2614" t="str">
        <f>VLOOKUP(Table4[[#This Row],[customer_id]],customers!A:G,4,)</f>
        <v>hyderabad</v>
      </c>
    </row>
    <row r="2615" spans="1:9" x14ac:dyDescent="0.3">
      <c r="A2615">
        <v>22614</v>
      </c>
      <c r="B2615">
        <v>353</v>
      </c>
      <c r="C2615" s="2">
        <v>44640</v>
      </c>
      <c r="D2615" s="2" t="str">
        <f>TEXT(Table4[[#This Row],[issue_date]],"mmmm")</f>
        <v>March</v>
      </c>
      <c r="E2615" s="9">
        <f>YEAR(Table4[[#This Row],[issue_date]])</f>
        <v>2022</v>
      </c>
      <c r="F2615" t="s">
        <v>22</v>
      </c>
      <c r="G2615">
        <v>60</v>
      </c>
      <c r="H2615" t="s">
        <v>20</v>
      </c>
      <c r="I2615" t="str">
        <f>VLOOKUP(Table4[[#This Row],[customer_id]],customers!A:G,4,)</f>
        <v>delhi</v>
      </c>
    </row>
    <row r="2616" spans="1:9" x14ac:dyDescent="0.3">
      <c r="A2616">
        <v>22615</v>
      </c>
      <c r="B2616">
        <v>265</v>
      </c>
      <c r="C2616" s="2">
        <v>44706</v>
      </c>
      <c r="D2616" s="2" t="str">
        <f>TEXT(Table4[[#This Row],[issue_date]],"mmmm")</f>
        <v>May</v>
      </c>
      <c r="E2616" s="9">
        <f>YEAR(Table4[[#This Row],[issue_date]])</f>
        <v>2022</v>
      </c>
      <c r="F2616" t="s">
        <v>21</v>
      </c>
      <c r="G2616">
        <v>36</v>
      </c>
      <c r="H2616" t="s">
        <v>20</v>
      </c>
      <c r="I2616" t="str">
        <f>VLOOKUP(Table4[[#This Row],[customer_id]],customers!A:G,4,)</f>
        <v>delhi</v>
      </c>
    </row>
    <row r="2617" spans="1:9" x14ac:dyDescent="0.3">
      <c r="A2617">
        <v>22616</v>
      </c>
      <c r="B2617">
        <v>381</v>
      </c>
      <c r="C2617" s="2">
        <v>45202</v>
      </c>
      <c r="D2617" s="2" t="str">
        <f>TEXT(Table4[[#This Row],[issue_date]],"mmmm")</f>
        <v>October</v>
      </c>
      <c r="E2617" s="9">
        <f>YEAR(Table4[[#This Row],[issue_date]])</f>
        <v>2023</v>
      </c>
      <c r="F2617" t="s">
        <v>19</v>
      </c>
      <c r="G2617">
        <v>60</v>
      </c>
      <c r="H2617" t="s">
        <v>20</v>
      </c>
      <c r="I2617" t="str">
        <f>VLOOKUP(Table4[[#This Row],[customer_id]],customers!A:G,4,)</f>
        <v>hyderabad</v>
      </c>
    </row>
    <row r="2618" spans="1:9" x14ac:dyDescent="0.3">
      <c r="A2618">
        <v>22617</v>
      </c>
      <c r="B2618">
        <v>157</v>
      </c>
      <c r="C2618" s="2">
        <v>44575</v>
      </c>
      <c r="D2618" s="2" t="str">
        <f>TEXT(Table4[[#This Row],[issue_date]],"mmmm")</f>
        <v>January</v>
      </c>
      <c r="E2618" s="9">
        <f>YEAR(Table4[[#This Row],[issue_date]])</f>
        <v>2022</v>
      </c>
      <c r="F2618" t="s">
        <v>21</v>
      </c>
      <c r="G2618">
        <v>33</v>
      </c>
      <c r="H2618" t="s">
        <v>20</v>
      </c>
      <c r="I2618" t="str">
        <f>VLOOKUP(Table4[[#This Row],[customer_id]],customers!A:G,4,)</f>
        <v>chennai</v>
      </c>
    </row>
    <row r="2619" spans="1:9" x14ac:dyDescent="0.3">
      <c r="A2619">
        <v>22618</v>
      </c>
      <c r="B2619">
        <v>207</v>
      </c>
      <c r="C2619" s="2">
        <v>45192</v>
      </c>
      <c r="D2619" s="2" t="str">
        <f>TEXT(Table4[[#This Row],[issue_date]],"mmmm")</f>
        <v>September</v>
      </c>
      <c r="E2619" s="9">
        <f>YEAR(Table4[[#This Row],[issue_date]])</f>
        <v>2023</v>
      </c>
      <c r="F2619" t="s">
        <v>21</v>
      </c>
      <c r="G2619">
        <v>42</v>
      </c>
      <c r="H2619" t="s">
        <v>20</v>
      </c>
      <c r="I2619" t="str">
        <f>VLOOKUP(Table4[[#This Row],[customer_id]],customers!A:G,4,)</f>
        <v>mumbai</v>
      </c>
    </row>
    <row r="2620" spans="1:9" x14ac:dyDescent="0.3">
      <c r="A2620">
        <v>22619</v>
      </c>
      <c r="B2620">
        <v>274</v>
      </c>
      <c r="C2620" s="2">
        <v>44563</v>
      </c>
      <c r="D2620" s="2" t="str">
        <f>TEXT(Table4[[#This Row],[issue_date]],"mmmm")</f>
        <v>January</v>
      </c>
      <c r="E2620" s="9">
        <f>YEAR(Table4[[#This Row],[issue_date]])</f>
        <v>2022</v>
      </c>
      <c r="F2620" t="s">
        <v>22</v>
      </c>
      <c r="G2620">
        <v>13</v>
      </c>
      <c r="H2620" t="s">
        <v>20</v>
      </c>
      <c r="I2620" t="str">
        <f>VLOOKUP(Table4[[#This Row],[customer_id]],customers!A:G,4,)</f>
        <v>delhi</v>
      </c>
    </row>
    <row r="2621" spans="1:9" x14ac:dyDescent="0.3">
      <c r="A2621">
        <v>22620</v>
      </c>
      <c r="B2621">
        <v>338</v>
      </c>
      <c r="C2621" s="2">
        <v>45077</v>
      </c>
      <c r="D2621" s="2" t="str">
        <f>TEXT(Table4[[#This Row],[issue_date]],"mmmm")</f>
        <v>May</v>
      </c>
      <c r="E2621" s="9">
        <f>YEAR(Table4[[#This Row],[issue_date]])</f>
        <v>2023</v>
      </c>
      <c r="F2621" t="s">
        <v>21</v>
      </c>
      <c r="G2621">
        <v>14</v>
      </c>
      <c r="H2621" t="s">
        <v>20</v>
      </c>
      <c r="I2621" t="str">
        <f>VLOOKUP(Table4[[#This Row],[customer_id]],customers!A:G,4,)</f>
        <v>delhi</v>
      </c>
    </row>
    <row r="2622" spans="1:9" x14ac:dyDescent="0.3">
      <c r="A2622">
        <v>22621</v>
      </c>
      <c r="B2622">
        <v>246</v>
      </c>
      <c r="C2622" s="2">
        <v>45317</v>
      </c>
      <c r="D2622" s="2" t="str">
        <f>TEXT(Table4[[#This Row],[issue_date]],"mmmm")</f>
        <v>January</v>
      </c>
      <c r="E2622" s="9">
        <f>YEAR(Table4[[#This Row],[issue_date]])</f>
        <v>2024</v>
      </c>
      <c r="F2622" t="s">
        <v>19</v>
      </c>
      <c r="G2622">
        <v>58</v>
      </c>
      <c r="H2622" t="s">
        <v>20</v>
      </c>
      <c r="I2622" t="str">
        <f>VLOOKUP(Table4[[#This Row],[customer_id]],customers!A:G,4,)</f>
        <v>bangalore</v>
      </c>
    </row>
    <row r="2623" spans="1:9" x14ac:dyDescent="0.3">
      <c r="A2623">
        <v>22622</v>
      </c>
      <c r="B2623">
        <v>199</v>
      </c>
      <c r="C2623" s="2">
        <v>44627</v>
      </c>
      <c r="D2623" s="2" t="str">
        <f>TEXT(Table4[[#This Row],[issue_date]],"mmmm")</f>
        <v>March</v>
      </c>
      <c r="E2623" s="9">
        <f>YEAR(Table4[[#This Row],[issue_date]])</f>
        <v>2022</v>
      </c>
      <c r="F2623" t="s">
        <v>19</v>
      </c>
      <c r="G2623">
        <v>40</v>
      </c>
      <c r="H2623" t="s">
        <v>20</v>
      </c>
      <c r="I2623" t="str">
        <f>VLOOKUP(Table4[[#This Row],[customer_id]],customers!A:G,4,)</f>
        <v>kolkata</v>
      </c>
    </row>
    <row r="2624" spans="1:9" x14ac:dyDescent="0.3">
      <c r="A2624">
        <v>22623</v>
      </c>
      <c r="B2624">
        <v>462</v>
      </c>
      <c r="C2624" s="2">
        <v>44807</v>
      </c>
      <c r="D2624" s="2" t="str">
        <f>TEXT(Table4[[#This Row],[issue_date]],"mmmm")</f>
        <v>September</v>
      </c>
      <c r="E2624" s="9">
        <f>YEAR(Table4[[#This Row],[issue_date]])</f>
        <v>2022</v>
      </c>
      <c r="F2624" t="s">
        <v>22</v>
      </c>
      <c r="G2624">
        <v>65</v>
      </c>
      <c r="H2624" t="s">
        <v>20</v>
      </c>
      <c r="I2624" t="str">
        <f>VLOOKUP(Table4[[#This Row],[customer_id]],customers!A:G,4,)</f>
        <v>hyderabad</v>
      </c>
    </row>
    <row r="2625" spans="1:9" x14ac:dyDescent="0.3">
      <c r="A2625">
        <v>22624</v>
      </c>
      <c r="B2625">
        <v>285</v>
      </c>
      <c r="C2625" s="2">
        <v>45163</v>
      </c>
      <c r="D2625" s="2" t="str">
        <f>TEXT(Table4[[#This Row],[issue_date]],"mmmm")</f>
        <v>August</v>
      </c>
      <c r="E2625" s="9">
        <f>YEAR(Table4[[#This Row],[issue_date]])</f>
        <v>2023</v>
      </c>
      <c r="F2625" t="s">
        <v>22</v>
      </c>
      <c r="G2625">
        <v>5</v>
      </c>
      <c r="H2625" t="s">
        <v>20</v>
      </c>
      <c r="I2625" t="str">
        <f>VLOOKUP(Table4[[#This Row],[customer_id]],customers!A:G,4,)</f>
        <v>hyderabad</v>
      </c>
    </row>
    <row r="2626" spans="1:9" x14ac:dyDescent="0.3">
      <c r="A2626">
        <v>22625</v>
      </c>
      <c r="B2626">
        <v>498</v>
      </c>
      <c r="C2626" s="2">
        <v>44991</v>
      </c>
      <c r="D2626" s="2" t="str">
        <f>TEXT(Table4[[#This Row],[issue_date]],"mmmm")</f>
        <v>March</v>
      </c>
      <c r="E2626" s="9">
        <f>YEAR(Table4[[#This Row],[issue_date]])</f>
        <v>2023</v>
      </c>
      <c r="F2626" t="s">
        <v>22</v>
      </c>
      <c r="G2626">
        <v>30</v>
      </c>
      <c r="H2626" t="s">
        <v>20</v>
      </c>
      <c r="I2626" t="str">
        <f>VLOOKUP(Table4[[#This Row],[customer_id]],customers!A:G,4,)</f>
        <v>delhi</v>
      </c>
    </row>
    <row r="2627" spans="1:9" x14ac:dyDescent="0.3">
      <c r="A2627">
        <v>22626</v>
      </c>
      <c r="B2627">
        <v>372</v>
      </c>
      <c r="C2627" s="2">
        <v>45251</v>
      </c>
      <c r="D2627" s="2" t="str">
        <f>TEXT(Table4[[#This Row],[issue_date]],"mmmm")</f>
        <v>November</v>
      </c>
      <c r="E2627" s="9">
        <f>YEAR(Table4[[#This Row],[issue_date]])</f>
        <v>2023</v>
      </c>
      <c r="F2627" t="s">
        <v>19</v>
      </c>
      <c r="G2627">
        <v>45</v>
      </c>
      <c r="H2627" t="s">
        <v>20</v>
      </c>
      <c r="I2627" t="str">
        <f>VLOOKUP(Table4[[#This Row],[customer_id]],customers!A:G,4,)</f>
        <v>chennai</v>
      </c>
    </row>
    <row r="2628" spans="1:9" x14ac:dyDescent="0.3">
      <c r="A2628">
        <v>22627</v>
      </c>
      <c r="B2628">
        <v>83</v>
      </c>
      <c r="C2628" s="2">
        <v>45133</v>
      </c>
      <c r="D2628" s="2" t="str">
        <f>TEXT(Table4[[#This Row],[issue_date]],"mmmm")</f>
        <v>July</v>
      </c>
      <c r="E2628" s="9">
        <f>YEAR(Table4[[#This Row],[issue_date]])</f>
        <v>2023</v>
      </c>
      <c r="F2628" t="s">
        <v>21</v>
      </c>
      <c r="G2628">
        <v>58</v>
      </c>
      <c r="H2628" t="s">
        <v>20</v>
      </c>
      <c r="I2628" t="str">
        <f>VLOOKUP(Table4[[#This Row],[customer_id]],customers!A:G,4,)</f>
        <v>bangalore</v>
      </c>
    </row>
    <row r="2629" spans="1:9" x14ac:dyDescent="0.3">
      <c r="A2629">
        <v>22628</v>
      </c>
      <c r="B2629">
        <v>317</v>
      </c>
      <c r="C2629" s="2">
        <v>44793</v>
      </c>
      <c r="D2629" s="2" t="str">
        <f>TEXT(Table4[[#This Row],[issue_date]],"mmmm")</f>
        <v>August</v>
      </c>
      <c r="E2629" s="9">
        <f>YEAR(Table4[[#This Row],[issue_date]])</f>
        <v>2022</v>
      </c>
      <c r="F2629" t="s">
        <v>19</v>
      </c>
      <c r="G2629">
        <v>39</v>
      </c>
      <c r="H2629" t="s">
        <v>20</v>
      </c>
      <c r="I2629" t="str">
        <f>VLOOKUP(Table4[[#This Row],[customer_id]],customers!A:G,4,)</f>
        <v>delhi</v>
      </c>
    </row>
    <row r="2630" spans="1:9" x14ac:dyDescent="0.3">
      <c r="A2630">
        <v>22629</v>
      </c>
      <c r="B2630">
        <v>133</v>
      </c>
      <c r="C2630" s="2">
        <v>44997</v>
      </c>
      <c r="D2630" s="2" t="str">
        <f>TEXT(Table4[[#This Row],[issue_date]],"mmmm")</f>
        <v>March</v>
      </c>
      <c r="E2630" s="9">
        <f>YEAR(Table4[[#This Row],[issue_date]])</f>
        <v>2023</v>
      </c>
      <c r="F2630" t="s">
        <v>19</v>
      </c>
      <c r="G2630">
        <v>12</v>
      </c>
      <c r="H2630" t="s">
        <v>23</v>
      </c>
      <c r="I2630" t="str">
        <f>VLOOKUP(Table4[[#This Row],[customer_id]],customers!A:G,4,)</f>
        <v>kolkata</v>
      </c>
    </row>
    <row r="2631" spans="1:9" x14ac:dyDescent="0.3">
      <c r="A2631">
        <v>22630</v>
      </c>
      <c r="B2631">
        <v>105</v>
      </c>
      <c r="C2631" s="2">
        <v>44914</v>
      </c>
      <c r="D2631" s="2" t="str">
        <f>TEXT(Table4[[#This Row],[issue_date]],"mmmm")</f>
        <v>December</v>
      </c>
      <c r="E2631" s="9">
        <f>YEAR(Table4[[#This Row],[issue_date]])</f>
        <v>2022</v>
      </c>
      <c r="F2631" t="s">
        <v>22</v>
      </c>
      <c r="G2631">
        <v>34</v>
      </c>
      <c r="H2631" t="s">
        <v>20</v>
      </c>
      <c r="I2631" t="str">
        <f>VLOOKUP(Table4[[#This Row],[customer_id]],customers!A:G,4,)</f>
        <v>kolkata</v>
      </c>
    </row>
    <row r="2632" spans="1:9" x14ac:dyDescent="0.3">
      <c r="A2632">
        <v>22631</v>
      </c>
      <c r="B2632">
        <v>370</v>
      </c>
      <c r="C2632" s="2">
        <v>45249</v>
      </c>
      <c r="D2632" s="2" t="str">
        <f>TEXT(Table4[[#This Row],[issue_date]],"mmmm")</f>
        <v>November</v>
      </c>
      <c r="E2632" s="9">
        <f>YEAR(Table4[[#This Row],[issue_date]])</f>
        <v>2023</v>
      </c>
      <c r="F2632" t="s">
        <v>22</v>
      </c>
      <c r="G2632">
        <v>14</v>
      </c>
      <c r="H2632" t="s">
        <v>20</v>
      </c>
      <c r="I2632" t="str">
        <f>VLOOKUP(Table4[[#This Row],[customer_id]],customers!A:G,4,)</f>
        <v>kolkata</v>
      </c>
    </row>
    <row r="2633" spans="1:9" x14ac:dyDescent="0.3">
      <c r="A2633">
        <v>22632</v>
      </c>
      <c r="B2633">
        <v>237</v>
      </c>
      <c r="C2633" s="2">
        <v>45240</v>
      </c>
      <c r="D2633" s="2" t="str">
        <f>TEXT(Table4[[#This Row],[issue_date]],"mmmm")</f>
        <v>November</v>
      </c>
      <c r="E2633" s="9">
        <f>YEAR(Table4[[#This Row],[issue_date]])</f>
        <v>2023</v>
      </c>
      <c r="F2633" t="s">
        <v>21</v>
      </c>
      <c r="G2633">
        <v>38</v>
      </c>
      <c r="H2633" t="s">
        <v>20</v>
      </c>
      <c r="I2633" t="str">
        <f>VLOOKUP(Table4[[#This Row],[customer_id]],customers!A:G,4,)</f>
        <v>chennai</v>
      </c>
    </row>
    <row r="2634" spans="1:9" x14ac:dyDescent="0.3">
      <c r="A2634">
        <v>22633</v>
      </c>
      <c r="B2634">
        <v>69</v>
      </c>
      <c r="C2634" s="2">
        <v>44944</v>
      </c>
      <c r="D2634" s="2" t="str">
        <f>TEXT(Table4[[#This Row],[issue_date]],"mmmm")</f>
        <v>January</v>
      </c>
      <c r="E2634" s="9">
        <f>YEAR(Table4[[#This Row],[issue_date]])</f>
        <v>2023</v>
      </c>
      <c r="F2634" t="s">
        <v>21</v>
      </c>
      <c r="G2634">
        <v>16</v>
      </c>
      <c r="H2634" t="s">
        <v>20</v>
      </c>
      <c r="I2634" t="str">
        <f>VLOOKUP(Table4[[#This Row],[customer_id]],customers!A:G,4,)</f>
        <v>mumbai</v>
      </c>
    </row>
    <row r="2635" spans="1:9" x14ac:dyDescent="0.3">
      <c r="A2635">
        <v>22634</v>
      </c>
      <c r="B2635">
        <v>184</v>
      </c>
      <c r="C2635" s="2">
        <v>45271</v>
      </c>
      <c r="D2635" s="2" t="str">
        <f>TEXT(Table4[[#This Row],[issue_date]],"mmmm")</f>
        <v>December</v>
      </c>
      <c r="E2635" s="9">
        <f>YEAR(Table4[[#This Row],[issue_date]])</f>
        <v>2023</v>
      </c>
      <c r="F2635" t="s">
        <v>21</v>
      </c>
      <c r="G2635">
        <v>61</v>
      </c>
      <c r="H2635" t="s">
        <v>20</v>
      </c>
      <c r="I2635" t="str">
        <f>VLOOKUP(Table4[[#This Row],[customer_id]],customers!A:G,4,)</f>
        <v>delhi</v>
      </c>
    </row>
    <row r="2636" spans="1:9" x14ac:dyDescent="0.3">
      <c r="A2636">
        <v>22635</v>
      </c>
      <c r="B2636">
        <v>118</v>
      </c>
      <c r="C2636" s="2">
        <v>44621</v>
      </c>
      <c r="D2636" s="2" t="str">
        <f>TEXT(Table4[[#This Row],[issue_date]],"mmmm")</f>
        <v>March</v>
      </c>
      <c r="E2636" s="9">
        <f>YEAR(Table4[[#This Row],[issue_date]])</f>
        <v>2022</v>
      </c>
      <c r="F2636" t="s">
        <v>21</v>
      </c>
      <c r="G2636">
        <v>59</v>
      </c>
      <c r="H2636" t="s">
        <v>20</v>
      </c>
      <c r="I2636" t="str">
        <f>VLOOKUP(Table4[[#This Row],[customer_id]],customers!A:G,4,)</f>
        <v>hyderabad</v>
      </c>
    </row>
    <row r="2637" spans="1:9" x14ac:dyDescent="0.3">
      <c r="A2637">
        <v>22636</v>
      </c>
      <c r="B2637">
        <v>180</v>
      </c>
      <c r="C2637" s="2">
        <v>45031</v>
      </c>
      <c r="D2637" s="2" t="str">
        <f>TEXT(Table4[[#This Row],[issue_date]],"mmmm")</f>
        <v>April</v>
      </c>
      <c r="E2637" s="9">
        <f>YEAR(Table4[[#This Row],[issue_date]])</f>
        <v>2023</v>
      </c>
      <c r="F2637" t="s">
        <v>19</v>
      </c>
      <c r="G2637">
        <v>67</v>
      </c>
      <c r="H2637" t="s">
        <v>20</v>
      </c>
      <c r="I2637" t="str">
        <f>VLOOKUP(Table4[[#This Row],[customer_id]],customers!A:G,4,)</f>
        <v>kolkata</v>
      </c>
    </row>
    <row r="2638" spans="1:9" x14ac:dyDescent="0.3">
      <c r="A2638">
        <v>22637</v>
      </c>
      <c r="B2638">
        <v>271</v>
      </c>
      <c r="C2638" s="2">
        <v>44972</v>
      </c>
      <c r="D2638" s="2" t="str">
        <f>TEXT(Table4[[#This Row],[issue_date]],"mmmm")</f>
        <v>February</v>
      </c>
      <c r="E2638" s="9">
        <f>YEAR(Table4[[#This Row],[issue_date]])</f>
        <v>2023</v>
      </c>
      <c r="F2638" t="s">
        <v>21</v>
      </c>
      <c r="G2638">
        <v>11</v>
      </c>
      <c r="H2638" t="s">
        <v>20</v>
      </c>
      <c r="I2638" t="str">
        <f>VLOOKUP(Table4[[#This Row],[customer_id]],customers!A:G,4,)</f>
        <v>kolkata</v>
      </c>
    </row>
    <row r="2639" spans="1:9" x14ac:dyDescent="0.3">
      <c r="A2639">
        <v>22638</v>
      </c>
      <c r="B2639">
        <v>90</v>
      </c>
      <c r="C2639" s="2">
        <v>44644</v>
      </c>
      <c r="D2639" s="2" t="str">
        <f>TEXT(Table4[[#This Row],[issue_date]],"mmmm")</f>
        <v>March</v>
      </c>
      <c r="E2639" s="9">
        <f>YEAR(Table4[[#This Row],[issue_date]])</f>
        <v>2022</v>
      </c>
      <c r="F2639" t="s">
        <v>19</v>
      </c>
      <c r="G2639">
        <v>11</v>
      </c>
      <c r="H2639" t="s">
        <v>20</v>
      </c>
      <c r="I2639" t="str">
        <f>VLOOKUP(Table4[[#This Row],[customer_id]],customers!A:G,4,)</f>
        <v>mumbai</v>
      </c>
    </row>
    <row r="2640" spans="1:9" x14ac:dyDescent="0.3">
      <c r="A2640">
        <v>22639</v>
      </c>
      <c r="B2640">
        <v>88</v>
      </c>
      <c r="C2640" s="2">
        <v>44635</v>
      </c>
      <c r="D2640" s="2" t="str">
        <f>TEXT(Table4[[#This Row],[issue_date]],"mmmm")</f>
        <v>March</v>
      </c>
      <c r="E2640" s="9">
        <f>YEAR(Table4[[#This Row],[issue_date]])</f>
        <v>2022</v>
      </c>
      <c r="F2640" t="s">
        <v>19</v>
      </c>
      <c r="G2640">
        <v>16</v>
      </c>
      <c r="H2640" t="s">
        <v>20</v>
      </c>
      <c r="I2640" t="str">
        <f>VLOOKUP(Table4[[#This Row],[customer_id]],customers!A:G,4,)</f>
        <v>mumbai</v>
      </c>
    </row>
    <row r="2641" spans="1:9" x14ac:dyDescent="0.3">
      <c r="A2641">
        <v>22640</v>
      </c>
      <c r="B2641">
        <v>83</v>
      </c>
      <c r="C2641" s="2">
        <v>44872</v>
      </c>
      <c r="D2641" s="2" t="str">
        <f>TEXT(Table4[[#This Row],[issue_date]],"mmmm")</f>
        <v>November</v>
      </c>
      <c r="E2641" s="9">
        <f>YEAR(Table4[[#This Row],[issue_date]])</f>
        <v>2022</v>
      </c>
      <c r="F2641" t="s">
        <v>21</v>
      </c>
      <c r="G2641">
        <v>38</v>
      </c>
      <c r="H2641" t="s">
        <v>23</v>
      </c>
      <c r="I2641" t="str">
        <f>VLOOKUP(Table4[[#This Row],[customer_id]],customers!A:G,4,)</f>
        <v>bangalore</v>
      </c>
    </row>
    <row r="2642" spans="1:9" x14ac:dyDescent="0.3">
      <c r="A2642">
        <v>22641</v>
      </c>
      <c r="B2642">
        <v>20</v>
      </c>
      <c r="C2642" s="2">
        <v>45015</v>
      </c>
      <c r="D2642" s="2" t="str">
        <f>TEXT(Table4[[#This Row],[issue_date]],"mmmm")</f>
        <v>March</v>
      </c>
      <c r="E2642" s="9">
        <f>YEAR(Table4[[#This Row],[issue_date]])</f>
        <v>2023</v>
      </c>
      <c r="F2642" t="s">
        <v>21</v>
      </c>
      <c r="G2642">
        <v>30</v>
      </c>
      <c r="H2642" t="s">
        <v>20</v>
      </c>
      <c r="I2642" t="str">
        <f>VLOOKUP(Table4[[#This Row],[customer_id]],customers!A:G,4,)</f>
        <v>hyderabad</v>
      </c>
    </row>
    <row r="2643" spans="1:9" x14ac:dyDescent="0.3">
      <c r="A2643">
        <v>22642</v>
      </c>
      <c r="B2643">
        <v>107</v>
      </c>
      <c r="C2643" s="2">
        <v>44587</v>
      </c>
      <c r="D2643" s="2" t="str">
        <f>TEXT(Table4[[#This Row],[issue_date]],"mmmm")</f>
        <v>January</v>
      </c>
      <c r="E2643" s="9">
        <f>YEAR(Table4[[#This Row],[issue_date]])</f>
        <v>2022</v>
      </c>
      <c r="F2643" t="s">
        <v>19</v>
      </c>
      <c r="G2643">
        <v>41</v>
      </c>
      <c r="H2643" t="s">
        <v>20</v>
      </c>
      <c r="I2643" t="str">
        <f>VLOOKUP(Table4[[#This Row],[customer_id]],customers!A:G,4,)</f>
        <v>chennai</v>
      </c>
    </row>
    <row r="2644" spans="1:9" x14ac:dyDescent="0.3">
      <c r="A2644">
        <v>22643</v>
      </c>
      <c r="B2644">
        <v>329</v>
      </c>
      <c r="C2644" s="2">
        <v>44987</v>
      </c>
      <c r="D2644" s="2" t="str">
        <f>TEXT(Table4[[#This Row],[issue_date]],"mmmm")</f>
        <v>March</v>
      </c>
      <c r="E2644" s="9">
        <f>YEAR(Table4[[#This Row],[issue_date]])</f>
        <v>2023</v>
      </c>
      <c r="F2644" t="s">
        <v>22</v>
      </c>
      <c r="G2644">
        <v>1</v>
      </c>
      <c r="H2644" t="s">
        <v>23</v>
      </c>
      <c r="I2644" t="str">
        <f>VLOOKUP(Table4[[#This Row],[customer_id]],customers!A:G,4,)</f>
        <v>delhi</v>
      </c>
    </row>
    <row r="2645" spans="1:9" x14ac:dyDescent="0.3">
      <c r="A2645">
        <v>22644</v>
      </c>
      <c r="B2645">
        <v>348</v>
      </c>
      <c r="C2645" s="2">
        <v>44938</v>
      </c>
      <c r="D2645" s="2" t="str">
        <f>TEXT(Table4[[#This Row],[issue_date]],"mmmm")</f>
        <v>January</v>
      </c>
      <c r="E2645" s="9">
        <f>YEAR(Table4[[#This Row],[issue_date]])</f>
        <v>2023</v>
      </c>
      <c r="F2645" t="s">
        <v>21</v>
      </c>
      <c r="G2645">
        <v>38</v>
      </c>
      <c r="H2645" t="s">
        <v>20</v>
      </c>
      <c r="I2645" t="str">
        <f>VLOOKUP(Table4[[#This Row],[customer_id]],customers!A:G,4,)</f>
        <v>chennai</v>
      </c>
    </row>
    <row r="2646" spans="1:9" x14ac:dyDescent="0.3">
      <c r="A2646">
        <v>22645</v>
      </c>
      <c r="B2646">
        <v>272</v>
      </c>
      <c r="C2646" s="2">
        <v>44804</v>
      </c>
      <c r="D2646" s="2" t="str">
        <f>TEXT(Table4[[#This Row],[issue_date]],"mmmm")</f>
        <v>August</v>
      </c>
      <c r="E2646" s="9">
        <f>YEAR(Table4[[#This Row],[issue_date]])</f>
        <v>2022</v>
      </c>
      <c r="F2646" t="s">
        <v>22</v>
      </c>
      <c r="G2646">
        <v>60</v>
      </c>
      <c r="H2646" t="s">
        <v>20</v>
      </c>
      <c r="I2646" t="str">
        <f>VLOOKUP(Table4[[#This Row],[customer_id]],customers!A:G,4,)</f>
        <v>chennai</v>
      </c>
    </row>
    <row r="2647" spans="1:9" x14ac:dyDescent="0.3">
      <c r="A2647">
        <v>22646</v>
      </c>
      <c r="B2647">
        <v>331</v>
      </c>
      <c r="C2647" s="2">
        <v>45396</v>
      </c>
      <c r="D2647" s="2" t="str">
        <f>TEXT(Table4[[#This Row],[issue_date]],"mmmm")</f>
        <v>April</v>
      </c>
      <c r="E2647" s="9">
        <f>YEAR(Table4[[#This Row],[issue_date]])</f>
        <v>2024</v>
      </c>
      <c r="F2647" t="s">
        <v>19</v>
      </c>
      <c r="G2647">
        <v>19</v>
      </c>
      <c r="H2647" t="s">
        <v>20</v>
      </c>
      <c r="I2647" t="str">
        <f>VLOOKUP(Table4[[#This Row],[customer_id]],customers!A:G,4,)</f>
        <v>bangalore</v>
      </c>
    </row>
    <row r="2648" spans="1:9" x14ac:dyDescent="0.3">
      <c r="A2648">
        <v>22647</v>
      </c>
      <c r="B2648">
        <v>98</v>
      </c>
      <c r="C2648" s="2">
        <v>45189</v>
      </c>
      <c r="D2648" s="2" t="str">
        <f>TEXT(Table4[[#This Row],[issue_date]],"mmmm")</f>
        <v>September</v>
      </c>
      <c r="E2648" s="9">
        <f>YEAR(Table4[[#This Row],[issue_date]])</f>
        <v>2023</v>
      </c>
      <c r="F2648" t="s">
        <v>22</v>
      </c>
      <c r="G2648">
        <v>59</v>
      </c>
      <c r="H2648" t="s">
        <v>20</v>
      </c>
      <c r="I2648" t="str">
        <f>VLOOKUP(Table4[[#This Row],[customer_id]],customers!A:G,4,)</f>
        <v>chennai</v>
      </c>
    </row>
    <row r="2649" spans="1:9" x14ac:dyDescent="0.3">
      <c r="A2649">
        <v>22648</v>
      </c>
      <c r="B2649">
        <v>409</v>
      </c>
      <c r="C2649" s="2">
        <v>44884</v>
      </c>
      <c r="D2649" s="2" t="str">
        <f>TEXT(Table4[[#This Row],[issue_date]],"mmmm")</f>
        <v>November</v>
      </c>
      <c r="E2649" s="9">
        <f>YEAR(Table4[[#This Row],[issue_date]])</f>
        <v>2022</v>
      </c>
      <c r="F2649" t="s">
        <v>19</v>
      </c>
      <c r="G2649">
        <v>68</v>
      </c>
      <c r="H2649" t="s">
        <v>20</v>
      </c>
      <c r="I2649" t="str">
        <f>VLOOKUP(Table4[[#This Row],[customer_id]],customers!A:G,4,)</f>
        <v>kolkata</v>
      </c>
    </row>
    <row r="2650" spans="1:9" x14ac:dyDescent="0.3">
      <c r="A2650">
        <v>22649</v>
      </c>
      <c r="B2650">
        <v>232</v>
      </c>
      <c r="C2650" s="2">
        <v>44741</v>
      </c>
      <c r="D2650" s="2" t="str">
        <f>TEXT(Table4[[#This Row],[issue_date]],"mmmm")</f>
        <v>June</v>
      </c>
      <c r="E2650" s="9">
        <f>YEAR(Table4[[#This Row],[issue_date]])</f>
        <v>2022</v>
      </c>
      <c r="F2650" t="s">
        <v>22</v>
      </c>
      <c r="G2650">
        <v>10</v>
      </c>
      <c r="H2650" t="s">
        <v>20</v>
      </c>
      <c r="I2650" t="str">
        <f>VLOOKUP(Table4[[#This Row],[customer_id]],customers!A:G,4,)</f>
        <v>mumbai</v>
      </c>
    </row>
    <row r="2651" spans="1:9" x14ac:dyDescent="0.3">
      <c r="A2651">
        <v>22650</v>
      </c>
      <c r="B2651">
        <v>375</v>
      </c>
      <c r="C2651" s="2">
        <v>45335</v>
      </c>
      <c r="D2651" s="2" t="str">
        <f>TEXT(Table4[[#This Row],[issue_date]],"mmmm")</f>
        <v>February</v>
      </c>
      <c r="E2651" s="9">
        <f>YEAR(Table4[[#This Row],[issue_date]])</f>
        <v>2024</v>
      </c>
      <c r="F2651" t="s">
        <v>22</v>
      </c>
      <c r="G2651">
        <v>17</v>
      </c>
      <c r="H2651" t="s">
        <v>20</v>
      </c>
      <c r="I2651" t="str">
        <f>VLOOKUP(Table4[[#This Row],[customer_id]],customers!A:G,4,)</f>
        <v>mumbai</v>
      </c>
    </row>
    <row r="2652" spans="1:9" x14ac:dyDescent="0.3">
      <c r="A2652">
        <v>22651</v>
      </c>
      <c r="B2652">
        <v>57</v>
      </c>
      <c r="C2652" s="2">
        <v>45187</v>
      </c>
      <c r="D2652" s="2" t="str">
        <f>TEXT(Table4[[#This Row],[issue_date]],"mmmm")</f>
        <v>September</v>
      </c>
      <c r="E2652" s="9">
        <f>YEAR(Table4[[#This Row],[issue_date]])</f>
        <v>2023</v>
      </c>
      <c r="F2652" t="s">
        <v>22</v>
      </c>
      <c r="G2652">
        <v>29</v>
      </c>
      <c r="H2652" t="s">
        <v>20</v>
      </c>
      <c r="I2652" t="str">
        <f>VLOOKUP(Table4[[#This Row],[customer_id]],customers!A:G,4,)</f>
        <v>delhi</v>
      </c>
    </row>
    <row r="2653" spans="1:9" x14ac:dyDescent="0.3">
      <c r="A2653">
        <v>22652</v>
      </c>
      <c r="B2653">
        <v>149</v>
      </c>
      <c r="C2653" s="2">
        <v>44827</v>
      </c>
      <c r="D2653" s="2" t="str">
        <f>TEXT(Table4[[#This Row],[issue_date]],"mmmm")</f>
        <v>September</v>
      </c>
      <c r="E2653" s="9">
        <f>YEAR(Table4[[#This Row],[issue_date]])</f>
        <v>2022</v>
      </c>
      <c r="F2653" t="s">
        <v>19</v>
      </c>
      <c r="G2653">
        <v>6</v>
      </c>
      <c r="H2653" t="s">
        <v>20</v>
      </c>
      <c r="I2653" t="str">
        <f>VLOOKUP(Table4[[#This Row],[customer_id]],customers!A:G,4,)</f>
        <v>chennai</v>
      </c>
    </row>
    <row r="2654" spans="1:9" x14ac:dyDescent="0.3">
      <c r="A2654">
        <v>22653</v>
      </c>
      <c r="B2654">
        <v>389</v>
      </c>
      <c r="C2654" s="2">
        <v>45111</v>
      </c>
      <c r="D2654" s="2" t="str">
        <f>TEXT(Table4[[#This Row],[issue_date]],"mmmm")</f>
        <v>July</v>
      </c>
      <c r="E2654" s="9">
        <f>YEAR(Table4[[#This Row],[issue_date]])</f>
        <v>2023</v>
      </c>
      <c r="F2654" t="s">
        <v>19</v>
      </c>
      <c r="G2654">
        <v>66</v>
      </c>
      <c r="H2654" t="s">
        <v>20</v>
      </c>
      <c r="I2654" t="str">
        <f>VLOOKUP(Table4[[#This Row],[customer_id]],customers!A:G,4,)</f>
        <v>bangalore</v>
      </c>
    </row>
    <row r="2655" spans="1:9" x14ac:dyDescent="0.3">
      <c r="A2655">
        <v>22654</v>
      </c>
      <c r="B2655">
        <v>459</v>
      </c>
      <c r="C2655" s="2">
        <v>44941</v>
      </c>
      <c r="D2655" s="2" t="str">
        <f>TEXT(Table4[[#This Row],[issue_date]],"mmmm")</f>
        <v>January</v>
      </c>
      <c r="E2655" s="9">
        <f>YEAR(Table4[[#This Row],[issue_date]])</f>
        <v>2023</v>
      </c>
      <c r="F2655" t="s">
        <v>19</v>
      </c>
      <c r="G2655">
        <v>63</v>
      </c>
      <c r="H2655" t="s">
        <v>20</v>
      </c>
      <c r="I2655" t="str">
        <f>VLOOKUP(Table4[[#This Row],[customer_id]],customers!A:G,4,)</f>
        <v>chennai</v>
      </c>
    </row>
    <row r="2656" spans="1:9" x14ac:dyDescent="0.3">
      <c r="A2656">
        <v>22655</v>
      </c>
      <c r="B2656">
        <v>235</v>
      </c>
      <c r="C2656" s="2">
        <v>44638</v>
      </c>
      <c r="D2656" s="2" t="str">
        <f>TEXT(Table4[[#This Row],[issue_date]],"mmmm")</f>
        <v>March</v>
      </c>
      <c r="E2656" s="9">
        <f>YEAR(Table4[[#This Row],[issue_date]])</f>
        <v>2022</v>
      </c>
      <c r="F2656" t="s">
        <v>21</v>
      </c>
      <c r="G2656">
        <v>31</v>
      </c>
      <c r="H2656" t="s">
        <v>23</v>
      </c>
      <c r="I2656" t="str">
        <f>VLOOKUP(Table4[[#This Row],[customer_id]],customers!A:G,4,)</f>
        <v>kolkata</v>
      </c>
    </row>
    <row r="2657" spans="1:9" x14ac:dyDescent="0.3">
      <c r="A2657">
        <v>22656</v>
      </c>
      <c r="B2657">
        <v>137</v>
      </c>
      <c r="C2657" s="2">
        <v>45175</v>
      </c>
      <c r="D2657" s="2" t="str">
        <f>TEXT(Table4[[#This Row],[issue_date]],"mmmm")</f>
        <v>September</v>
      </c>
      <c r="E2657" s="9">
        <f>YEAR(Table4[[#This Row],[issue_date]])</f>
        <v>2023</v>
      </c>
      <c r="F2657" t="s">
        <v>19</v>
      </c>
      <c r="G2657">
        <v>25</v>
      </c>
      <c r="H2657" t="s">
        <v>20</v>
      </c>
      <c r="I2657" t="str">
        <f>VLOOKUP(Table4[[#This Row],[customer_id]],customers!A:G,4,)</f>
        <v>delhi</v>
      </c>
    </row>
    <row r="2658" spans="1:9" x14ac:dyDescent="0.3">
      <c r="A2658">
        <v>22657</v>
      </c>
      <c r="B2658">
        <v>267</v>
      </c>
      <c r="C2658" s="2">
        <v>45085</v>
      </c>
      <c r="D2658" s="2" t="str">
        <f>TEXT(Table4[[#This Row],[issue_date]],"mmmm")</f>
        <v>June</v>
      </c>
      <c r="E2658" s="9">
        <f>YEAR(Table4[[#This Row],[issue_date]])</f>
        <v>2023</v>
      </c>
      <c r="F2658" t="s">
        <v>21</v>
      </c>
      <c r="G2658">
        <v>21</v>
      </c>
      <c r="H2658" t="s">
        <v>23</v>
      </c>
      <c r="I2658" t="str">
        <f>VLOOKUP(Table4[[#This Row],[customer_id]],customers!A:G,4,)</f>
        <v>chennai</v>
      </c>
    </row>
    <row r="2659" spans="1:9" x14ac:dyDescent="0.3">
      <c r="A2659">
        <v>22658</v>
      </c>
      <c r="B2659">
        <v>229</v>
      </c>
      <c r="C2659" s="2">
        <v>45375</v>
      </c>
      <c r="D2659" s="2" t="str">
        <f>TEXT(Table4[[#This Row],[issue_date]],"mmmm")</f>
        <v>March</v>
      </c>
      <c r="E2659" s="9">
        <f>YEAR(Table4[[#This Row],[issue_date]])</f>
        <v>2024</v>
      </c>
      <c r="F2659" t="s">
        <v>19</v>
      </c>
      <c r="G2659">
        <v>16</v>
      </c>
      <c r="H2659" t="s">
        <v>20</v>
      </c>
      <c r="I2659" t="str">
        <f>VLOOKUP(Table4[[#This Row],[customer_id]],customers!A:G,4,)</f>
        <v>hyderabad</v>
      </c>
    </row>
    <row r="2660" spans="1:9" x14ac:dyDescent="0.3">
      <c r="A2660">
        <v>22659</v>
      </c>
      <c r="B2660">
        <v>361</v>
      </c>
      <c r="C2660" s="2">
        <v>44610</v>
      </c>
      <c r="D2660" s="2" t="str">
        <f>TEXT(Table4[[#This Row],[issue_date]],"mmmm")</f>
        <v>February</v>
      </c>
      <c r="E2660" s="9">
        <f>YEAR(Table4[[#This Row],[issue_date]])</f>
        <v>2022</v>
      </c>
      <c r="F2660" t="s">
        <v>21</v>
      </c>
      <c r="G2660">
        <v>4</v>
      </c>
      <c r="H2660" t="s">
        <v>20</v>
      </c>
      <c r="I2660" t="str">
        <f>VLOOKUP(Table4[[#This Row],[customer_id]],customers!A:G,4,)</f>
        <v>chennai</v>
      </c>
    </row>
    <row r="2661" spans="1:9" x14ac:dyDescent="0.3">
      <c r="A2661">
        <v>22660</v>
      </c>
      <c r="B2661">
        <v>321</v>
      </c>
      <c r="C2661" s="2">
        <v>44815</v>
      </c>
      <c r="D2661" s="2" t="str">
        <f>TEXT(Table4[[#This Row],[issue_date]],"mmmm")</f>
        <v>September</v>
      </c>
      <c r="E2661" s="9">
        <f>YEAR(Table4[[#This Row],[issue_date]])</f>
        <v>2022</v>
      </c>
      <c r="F2661" t="s">
        <v>22</v>
      </c>
      <c r="G2661">
        <v>46</v>
      </c>
      <c r="H2661" t="s">
        <v>20</v>
      </c>
      <c r="I2661" t="str">
        <f>VLOOKUP(Table4[[#This Row],[customer_id]],customers!A:G,4,)</f>
        <v>hyderabad</v>
      </c>
    </row>
    <row r="2662" spans="1:9" x14ac:dyDescent="0.3">
      <c r="A2662">
        <v>22661</v>
      </c>
      <c r="B2662">
        <v>447</v>
      </c>
      <c r="C2662" s="2">
        <v>45420</v>
      </c>
      <c r="D2662" s="2" t="str">
        <f>TEXT(Table4[[#This Row],[issue_date]],"mmmm")</f>
        <v>May</v>
      </c>
      <c r="E2662" s="9">
        <f>YEAR(Table4[[#This Row],[issue_date]])</f>
        <v>2024</v>
      </c>
      <c r="F2662" t="s">
        <v>22</v>
      </c>
      <c r="G2662">
        <v>8</v>
      </c>
      <c r="H2662" t="s">
        <v>20</v>
      </c>
      <c r="I2662" t="str">
        <f>VLOOKUP(Table4[[#This Row],[customer_id]],customers!A:G,4,)</f>
        <v>delhi</v>
      </c>
    </row>
    <row r="2663" spans="1:9" x14ac:dyDescent="0.3">
      <c r="A2663">
        <v>22662</v>
      </c>
      <c r="B2663">
        <v>282</v>
      </c>
      <c r="C2663" s="2">
        <v>44941</v>
      </c>
      <c r="D2663" s="2" t="str">
        <f>TEXT(Table4[[#This Row],[issue_date]],"mmmm")</f>
        <v>January</v>
      </c>
      <c r="E2663" s="9">
        <f>YEAR(Table4[[#This Row],[issue_date]])</f>
        <v>2023</v>
      </c>
      <c r="F2663" t="s">
        <v>19</v>
      </c>
      <c r="G2663">
        <v>6</v>
      </c>
      <c r="H2663" t="s">
        <v>20</v>
      </c>
      <c r="I2663" t="str">
        <f>VLOOKUP(Table4[[#This Row],[customer_id]],customers!A:G,4,)</f>
        <v>mumbai</v>
      </c>
    </row>
    <row r="2664" spans="1:9" x14ac:dyDescent="0.3">
      <c r="A2664">
        <v>22663</v>
      </c>
      <c r="B2664">
        <v>202</v>
      </c>
      <c r="C2664" s="2">
        <v>44810</v>
      </c>
      <c r="D2664" s="2" t="str">
        <f>TEXT(Table4[[#This Row],[issue_date]],"mmmm")</f>
        <v>September</v>
      </c>
      <c r="E2664" s="9">
        <f>YEAR(Table4[[#This Row],[issue_date]])</f>
        <v>2022</v>
      </c>
      <c r="F2664" t="s">
        <v>21</v>
      </c>
      <c r="G2664">
        <v>53</v>
      </c>
      <c r="H2664" t="s">
        <v>20</v>
      </c>
      <c r="I2664" t="str">
        <f>VLOOKUP(Table4[[#This Row],[customer_id]],customers!A:G,4,)</f>
        <v>chennai</v>
      </c>
    </row>
    <row r="2665" spans="1:9" x14ac:dyDescent="0.3">
      <c r="A2665">
        <v>22664</v>
      </c>
      <c r="B2665">
        <v>232</v>
      </c>
      <c r="C2665" s="2">
        <v>44633</v>
      </c>
      <c r="D2665" s="2" t="str">
        <f>TEXT(Table4[[#This Row],[issue_date]],"mmmm")</f>
        <v>March</v>
      </c>
      <c r="E2665" s="9">
        <f>YEAR(Table4[[#This Row],[issue_date]])</f>
        <v>2022</v>
      </c>
      <c r="F2665" t="s">
        <v>22</v>
      </c>
      <c r="G2665">
        <v>64</v>
      </c>
      <c r="H2665" t="s">
        <v>20</v>
      </c>
      <c r="I2665" t="str">
        <f>VLOOKUP(Table4[[#This Row],[customer_id]],customers!A:G,4,)</f>
        <v>mumbai</v>
      </c>
    </row>
    <row r="2666" spans="1:9" x14ac:dyDescent="0.3">
      <c r="A2666">
        <v>22665</v>
      </c>
      <c r="B2666">
        <v>19</v>
      </c>
      <c r="C2666" s="2">
        <v>45008</v>
      </c>
      <c r="D2666" s="2" t="str">
        <f>TEXT(Table4[[#This Row],[issue_date]],"mmmm")</f>
        <v>March</v>
      </c>
      <c r="E2666" s="9">
        <f>YEAR(Table4[[#This Row],[issue_date]])</f>
        <v>2023</v>
      </c>
      <c r="F2666" t="s">
        <v>22</v>
      </c>
      <c r="G2666">
        <v>51</v>
      </c>
      <c r="H2666" t="s">
        <v>20</v>
      </c>
      <c r="I2666" t="str">
        <f>VLOOKUP(Table4[[#This Row],[customer_id]],customers!A:G,4,)</f>
        <v>kolkata</v>
      </c>
    </row>
    <row r="2667" spans="1:9" x14ac:dyDescent="0.3">
      <c r="A2667">
        <v>22666</v>
      </c>
      <c r="B2667">
        <v>16</v>
      </c>
      <c r="C2667" s="2">
        <v>45067</v>
      </c>
      <c r="D2667" s="2" t="str">
        <f>TEXT(Table4[[#This Row],[issue_date]],"mmmm")</f>
        <v>May</v>
      </c>
      <c r="E2667" s="9">
        <f>YEAR(Table4[[#This Row],[issue_date]])</f>
        <v>2023</v>
      </c>
      <c r="F2667" t="s">
        <v>21</v>
      </c>
      <c r="G2667">
        <v>63</v>
      </c>
      <c r="H2667" t="s">
        <v>23</v>
      </c>
      <c r="I2667" t="str">
        <f>VLOOKUP(Table4[[#This Row],[customer_id]],customers!A:G,4,)</f>
        <v>bangalore</v>
      </c>
    </row>
    <row r="2668" spans="1:9" x14ac:dyDescent="0.3">
      <c r="A2668">
        <v>22667</v>
      </c>
      <c r="B2668">
        <v>493</v>
      </c>
      <c r="C2668" s="2">
        <v>45270</v>
      </c>
      <c r="D2668" s="2" t="str">
        <f>TEXT(Table4[[#This Row],[issue_date]],"mmmm")</f>
        <v>December</v>
      </c>
      <c r="E2668" s="9">
        <f>YEAR(Table4[[#This Row],[issue_date]])</f>
        <v>2023</v>
      </c>
      <c r="F2668" t="s">
        <v>19</v>
      </c>
      <c r="G2668">
        <v>6</v>
      </c>
      <c r="H2668" t="s">
        <v>20</v>
      </c>
      <c r="I2668" t="str">
        <f>VLOOKUP(Table4[[#This Row],[customer_id]],customers!A:G,4,)</f>
        <v>kolkata</v>
      </c>
    </row>
    <row r="2669" spans="1:9" x14ac:dyDescent="0.3">
      <c r="A2669">
        <v>22668</v>
      </c>
      <c r="B2669">
        <v>56</v>
      </c>
      <c r="C2669" s="2">
        <v>44814</v>
      </c>
      <c r="D2669" s="2" t="str">
        <f>TEXT(Table4[[#This Row],[issue_date]],"mmmm")</f>
        <v>September</v>
      </c>
      <c r="E2669" s="9">
        <f>YEAR(Table4[[#This Row],[issue_date]])</f>
        <v>2022</v>
      </c>
      <c r="F2669" t="s">
        <v>22</v>
      </c>
      <c r="G2669">
        <v>62</v>
      </c>
      <c r="H2669" t="s">
        <v>20</v>
      </c>
      <c r="I2669" t="str">
        <f>VLOOKUP(Table4[[#This Row],[customer_id]],customers!A:G,4,)</f>
        <v>chennai</v>
      </c>
    </row>
    <row r="2670" spans="1:9" x14ac:dyDescent="0.3">
      <c r="A2670">
        <v>22669</v>
      </c>
      <c r="B2670">
        <v>357</v>
      </c>
      <c r="C2670" s="2">
        <v>45431</v>
      </c>
      <c r="D2670" s="2" t="str">
        <f>TEXT(Table4[[#This Row],[issue_date]],"mmmm")</f>
        <v>May</v>
      </c>
      <c r="E2670" s="9">
        <f>YEAR(Table4[[#This Row],[issue_date]])</f>
        <v>2024</v>
      </c>
      <c r="F2670" t="s">
        <v>19</v>
      </c>
      <c r="G2670">
        <v>33</v>
      </c>
      <c r="H2670" t="s">
        <v>20</v>
      </c>
      <c r="I2670" t="str">
        <f>VLOOKUP(Table4[[#This Row],[customer_id]],customers!A:G,4,)</f>
        <v>bangalore</v>
      </c>
    </row>
    <row r="2671" spans="1:9" x14ac:dyDescent="0.3">
      <c r="A2671">
        <v>22670</v>
      </c>
      <c r="B2671">
        <v>114</v>
      </c>
      <c r="C2671" s="2">
        <v>44860</v>
      </c>
      <c r="D2671" s="2" t="str">
        <f>TEXT(Table4[[#This Row],[issue_date]],"mmmm")</f>
        <v>October</v>
      </c>
      <c r="E2671" s="9">
        <f>YEAR(Table4[[#This Row],[issue_date]])</f>
        <v>2022</v>
      </c>
      <c r="F2671" t="s">
        <v>19</v>
      </c>
      <c r="G2671">
        <v>2</v>
      </c>
      <c r="H2671" t="s">
        <v>20</v>
      </c>
      <c r="I2671" t="str">
        <f>VLOOKUP(Table4[[#This Row],[customer_id]],customers!A:G,4,)</f>
        <v>mumbai</v>
      </c>
    </row>
    <row r="2672" spans="1:9" x14ac:dyDescent="0.3">
      <c r="A2672">
        <v>22671</v>
      </c>
      <c r="B2672">
        <v>489</v>
      </c>
      <c r="C2672" s="2">
        <v>45295</v>
      </c>
      <c r="D2672" s="2" t="str">
        <f>TEXT(Table4[[#This Row],[issue_date]],"mmmm")</f>
        <v>January</v>
      </c>
      <c r="E2672" s="9">
        <f>YEAR(Table4[[#This Row],[issue_date]])</f>
        <v>2024</v>
      </c>
      <c r="F2672" t="s">
        <v>21</v>
      </c>
      <c r="G2672">
        <v>41</v>
      </c>
      <c r="H2672" t="s">
        <v>23</v>
      </c>
      <c r="I2672" t="str">
        <f>VLOOKUP(Table4[[#This Row],[customer_id]],customers!A:G,4,)</f>
        <v>chennai</v>
      </c>
    </row>
    <row r="2673" spans="1:9" x14ac:dyDescent="0.3">
      <c r="A2673">
        <v>22672</v>
      </c>
      <c r="B2673">
        <v>68</v>
      </c>
      <c r="C2673" s="2">
        <v>44621</v>
      </c>
      <c r="D2673" s="2" t="str">
        <f>TEXT(Table4[[#This Row],[issue_date]],"mmmm")</f>
        <v>March</v>
      </c>
      <c r="E2673" s="9">
        <f>YEAR(Table4[[#This Row],[issue_date]])</f>
        <v>2022</v>
      </c>
      <c r="F2673" t="s">
        <v>21</v>
      </c>
      <c r="G2673">
        <v>16</v>
      </c>
      <c r="H2673" t="s">
        <v>20</v>
      </c>
      <c r="I2673" t="str">
        <f>VLOOKUP(Table4[[#This Row],[customer_id]],customers!A:G,4,)</f>
        <v>bangalore</v>
      </c>
    </row>
    <row r="2674" spans="1:9" x14ac:dyDescent="0.3">
      <c r="A2674">
        <v>22673</v>
      </c>
      <c r="B2674">
        <v>78</v>
      </c>
      <c r="C2674" s="2">
        <v>44918</v>
      </c>
      <c r="D2674" s="2" t="str">
        <f>TEXT(Table4[[#This Row],[issue_date]],"mmmm")</f>
        <v>December</v>
      </c>
      <c r="E2674" s="9">
        <f>YEAR(Table4[[#This Row],[issue_date]])</f>
        <v>2022</v>
      </c>
      <c r="F2674" t="s">
        <v>22</v>
      </c>
      <c r="G2674">
        <v>59</v>
      </c>
      <c r="H2674" t="s">
        <v>20</v>
      </c>
      <c r="I2674" t="str">
        <f>VLOOKUP(Table4[[#This Row],[customer_id]],customers!A:G,4,)</f>
        <v>kolkata</v>
      </c>
    </row>
    <row r="2675" spans="1:9" x14ac:dyDescent="0.3">
      <c r="A2675">
        <v>22674</v>
      </c>
      <c r="B2675">
        <v>30</v>
      </c>
      <c r="C2675" s="2">
        <v>44718</v>
      </c>
      <c r="D2675" s="2" t="str">
        <f>TEXT(Table4[[#This Row],[issue_date]],"mmmm")</f>
        <v>June</v>
      </c>
      <c r="E2675" s="9">
        <f>YEAR(Table4[[#This Row],[issue_date]])</f>
        <v>2022</v>
      </c>
      <c r="F2675" t="s">
        <v>21</v>
      </c>
      <c r="G2675">
        <v>9</v>
      </c>
      <c r="H2675" t="s">
        <v>20</v>
      </c>
      <c r="I2675" t="str">
        <f>VLOOKUP(Table4[[#This Row],[customer_id]],customers!A:G,4,)</f>
        <v>hyderabad</v>
      </c>
    </row>
    <row r="2676" spans="1:9" x14ac:dyDescent="0.3">
      <c r="A2676">
        <v>22675</v>
      </c>
      <c r="B2676">
        <v>7</v>
      </c>
      <c r="C2676" s="2">
        <v>44903</v>
      </c>
      <c r="D2676" s="2" t="str">
        <f>TEXT(Table4[[#This Row],[issue_date]],"mmmm")</f>
        <v>December</v>
      </c>
      <c r="E2676" s="9">
        <f>YEAR(Table4[[#This Row],[issue_date]])</f>
        <v>2022</v>
      </c>
      <c r="F2676" t="s">
        <v>22</v>
      </c>
      <c r="G2676">
        <v>69</v>
      </c>
      <c r="H2676" t="s">
        <v>20</v>
      </c>
      <c r="I2676" t="str">
        <f>VLOOKUP(Table4[[#This Row],[customer_id]],customers!A:G,4,)</f>
        <v>bangalore</v>
      </c>
    </row>
    <row r="2677" spans="1:9" x14ac:dyDescent="0.3">
      <c r="A2677">
        <v>22676</v>
      </c>
      <c r="B2677">
        <v>396</v>
      </c>
      <c r="C2677" s="2">
        <v>45455</v>
      </c>
      <c r="D2677" s="2" t="str">
        <f>TEXT(Table4[[#This Row],[issue_date]],"mmmm")</f>
        <v>June</v>
      </c>
      <c r="E2677" s="9">
        <f>YEAR(Table4[[#This Row],[issue_date]])</f>
        <v>2024</v>
      </c>
      <c r="F2677" t="s">
        <v>22</v>
      </c>
      <c r="G2677">
        <v>10</v>
      </c>
      <c r="H2677" t="s">
        <v>20</v>
      </c>
      <c r="I2677" t="str">
        <f>VLOOKUP(Table4[[#This Row],[customer_id]],customers!A:G,4,)</f>
        <v>kolkata</v>
      </c>
    </row>
    <row r="2678" spans="1:9" x14ac:dyDescent="0.3">
      <c r="A2678">
        <v>22677</v>
      </c>
      <c r="B2678">
        <v>152</v>
      </c>
      <c r="C2678" s="2">
        <v>44763</v>
      </c>
      <c r="D2678" s="2" t="str">
        <f>TEXT(Table4[[#This Row],[issue_date]],"mmmm")</f>
        <v>July</v>
      </c>
      <c r="E2678" s="9">
        <f>YEAR(Table4[[#This Row],[issue_date]])</f>
        <v>2022</v>
      </c>
      <c r="F2678" t="s">
        <v>22</v>
      </c>
      <c r="G2678">
        <v>7</v>
      </c>
      <c r="H2678" t="s">
        <v>23</v>
      </c>
      <c r="I2678" t="str">
        <f>VLOOKUP(Table4[[#This Row],[customer_id]],customers!A:G,4,)</f>
        <v>bangalore</v>
      </c>
    </row>
    <row r="2679" spans="1:9" x14ac:dyDescent="0.3">
      <c r="A2679">
        <v>22678</v>
      </c>
      <c r="B2679">
        <v>487</v>
      </c>
      <c r="C2679" s="2">
        <v>45340</v>
      </c>
      <c r="D2679" s="2" t="str">
        <f>TEXT(Table4[[#This Row],[issue_date]],"mmmm")</f>
        <v>February</v>
      </c>
      <c r="E2679" s="9">
        <f>YEAR(Table4[[#This Row],[issue_date]])</f>
        <v>2024</v>
      </c>
      <c r="F2679" t="s">
        <v>19</v>
      </c>
      <c r="G2679">
        <v>66</v>
      </c>
      <c r="H2679" t="s">
        <v>20</v>
      </c>
      <c r="I2679" t="str">
        <f>VLOOKUP(Table4[[#This Row],[customer_id]],customers!A:G,4,)</f>
        <v>bangalore</v>
      </c>
    </row>
    <row r="2680" spans="1:9" x14ac:dyDescent="0.3">
      <c r="A2680">
        <v>22679</v>
      </c>
      <c r="B2680">
        <v>363</v>
      </c>
      <c r="C2680" s="2">
        <v>44596</v>
      </c>
      <c r="D2680" s="2" t="str">
        <f>TEXT(Table4[[#This Row],[issue_date]],"mmmm")</f>
        <v>February</v>
      </c>
      <c r="E2680" s="9">
        <f>YEAR(Table4[[#This Row],[issue_date]])</f>
        <v>2022</v>
      </c>
      <c r="F2680" t="s">
        <v>19</v>
      </c>
      <c r="G2680">
        <v>20</v>
      </c>
      <c r="H2680" t="s">
        <v>23</v>
      </c>
      <c r="I2680" t="str">
        <f>VLOOKUP(Table4[[#This Row],[customer_id]],customers!A:G,4,)</f>
        <v>delhi</v>
      </c>
    </row>
    <row r="2681" spans="1:9" x14ac:dyDescent="0.3">
      <c r="A2681">
        <v>22680</v>
      </c>
      <c r="B2681">
        <v>22</v>
      </c>
      <c r="C2681" s="2">
        <v>45328</v>
      </c>
      <c r="D2681" s="2" t="str">
        <f>TEXT(Table4[[#This Row],[issue_date]],"mmmm")</f>
        <v>February</v>
      </c>
      <c r="E2681" s="9">
        <f>YEAR(Table4[[#This Row],[issue_date]])</f>
        <v>2024</v>
      </c>
      <c r="F2681" t="s">
        <v>21</v>
      </c>
      <c r="G2681">
        <v>63</v>
      </c>
      <c r="H2681" t="s">
        <v>20</v>
      </c>
      <c r="I2681" t="str">
        <f>VLOOKUP(Table4[[#This Row],[customer_id]],customers!A:G,4,)</f>
        <v>hyderabad</v>
      </c>
    </row>
    <row r="2682" spans="1:9" x14ac:dyDescent="0.3">
      <c r="A2682">
        <v>22681</v>
      </c>
      <c r="B2682">
        <v>431</v>
      </c>
      <c r="C2682" s="2">
        <v>45096</v>
      </c>
      <c r="D2682" s="2" t="str">
        <f>TEXT(Table4[[#This Row],[issue_date]],"mmmm")</f>
        <v>June</v>
      </c>
      <c r="E2682" s="9">
        <f>YEAR(Table4[[#This Row],[issue_date]])</f>
        <v>2023</v>
      </c>
      <c r="F2682" t="s">
        <v>21</v>
      </c>
      <c r="G2682">
        <v>4</v>
      </c>
      <c r="H2682" t="s">
        <v>20</v>
      </c>
      <c r="I2682" t="str">
        <f>VLOOKUP(Table4[[#This Row],[customer_id]],customers!A:G,4,)</f>
        <v>chennai</v>
      </c>
    </row>
    <row r="2683" spans="1:9" x14ac:dyDescent="0.3">
      <c r="A2683">
        <v>22682</v>
      </c>
      <c r="B2683">
        <v>30</v>
      </c>
      <c r="C2683" s="2">
        <v>45017</v>
      </c>
      <c r="D2683" s="2" t="str">
        <f>TEXT(Table4[[#This Row],[issue_date]],"mmmm")</f>
        <v>April</v>
      </c>
      <c r="E2683" s="9">
        <f>YEAR(Table4[[#This Row],[issue_date]])</f>
        <v>2023</v>
      </c>
      <c r="F2683" t="s">
        <v>22</v>
      </c>
      <c r="G2683">
        <v>28</v>
      </c>
      <c r="H2683" t="s">
        <v>20</v>
      </c>
      <c r="I2683" t="str">
        <f>VLOOKUP(Table4[[#This Row],[customer_id]],customers!A:G,4,)</f>
        <v>hyderabad</v>
      </c>
    </row>
    <row r="2684" spans="1:9" x14ac:dyDescent="0.3">
      <c r="A2684">
        <v>22683</v>
      </c>
      <c r="B2684">
        <v>444</v>
      </c>
      <c r="C2684" s="2">
        <v>44726</v>
      </c>
      <c r="D2684" s="2" t="str">
        <f>TEXT(Table4[[#This Row],[issue_date]],"mmmm")</f>
        <v>June</v>
      </c>
      <c r="E2684" s="9">
        <f>YEAR(Table4[[#This Row],[issue_date]])</f>
        <v>2022</v>
      </c>
      <c r="F2684" t="s">
        <v>22</v>
      </c>
      <c r="G2684">
        <v>35</v>
      </c>
      <c r="H2684" t="s">
        <v>20</v>
      </c>
      <c r="I2684" t="str">
        <f>VLOOKUP(Table4[[#This Row],[customer_id]],customers!A:G,4,)</f>
        <v>chennai</v>
      </c>
    </row>
    <row r="2685" spans="1:9" x14ac:dyDescent="0.3">
      <c r="A2685">
        <v>22684</v>
      </c>
      <c r="B2685">
        <v>167</v>
      </c>
      <c r="C2685" s="2">
        <v>44589</v>
      </c>
      <c r="D2685" s="2" t="str">
        <f>TEXT(Table4[[#This Row],[issue_date]],"mmmm")</f>
        <v>January</v>
      </c>
      <c r="E2685" s="9">
        <f>YEAR(Table4[[#This Row],[issue_date]])</f>
        <v>2022</v>
      </c>
      <c r="F2685" t="s">
        <v>19</v>
      </c>
      <c r="G2685">
        <v>2</v>
      </c>
      <c r="H2685" t="s">
        <v>20</v>
      </c>
      <c r="I2685" t="str">
        <f>VLOOKUP(Table4[[#This Row],[customer_id]],customers!A:G,4,)</f>
        <v>bangalore</v>
      </c>
    </row>
    <row r="2686" spans="1:9" x14ac:dyDescent="0.3">
      <c r="A2686">
        <v>22685</v>
      </c>
      <c r="B2686">
        <v>148</v>
      </c>
      <c r="C2686" s="2">
        <v>44933</v>
      </c>
      <c r="D2686" s="2" t="str">
        <f>TEXT(Table4[[#This Row],[issue_date]],"mmmm")</f>
        <v>January</v>
      </c>
      <c r="E2686" s="9">
        <f>YEAR(Table4[[#This Row],[issue_date]])</f>
        <v>2023</v>
      </c>
      <c r="F2686" t="s">
        <v>19</v>
      </c>
      <c r="G2686">
        <v>41</v>
      </c>
      <c r="H2686" t="s">
        <v>20</v>
      </c>
      <c r="I2686" t="str">
        <f>VLOOKUP(Table4[[#This Row],[customer_id]],customers!A:G,4,)</f>
        <v>kolkata</v>
      </c>
    </row>
    <row r="2687" spans="1:9" x14ac:dyDescent="0.3">
      <c r="A2687">
        <v>22686</v>
      </c>
      <c r="B2687">
        <v>410</v>
      </c>
      <c r="C2687" s="2">
        <v>45424</v>
      </c>
      <c r="D2687" s="2" t="str">
        <f>TEXT(Table4[[#This Row],[issue_date]],"mmmm")</f>
        <v>May</v>
      </c>
      <c r="E2687" s="9">
        <f>YEAR(Table4[[#This Row],[issue_date]])</f>
        <v>2024</v>
      </c>
      <c r="F2687" t="s">
        <v>22</v>
      </c>
      <c r="G2687">
        <v>28</v>
      </c>
      <c r="H2687" t="s">
        <v>20</v>
      </c>
      <c r="I2687" t="str">
        <f>VLOOKUP(Table4[[#This Row],[customer_id]],customers!A:G,4,)</f>
        <v>bangalore</v>
      </c>
    </row>
    <row r="2688" spans="1:9" x14ac:dyDescent="0.3">
      <c r="A2688">
        <v>22687</v>
      </c>
      <c r="B2688">
        <v>49</v>
      </c>
      <c r="C2688" s="2">
        <v>44875</v>
      </c>
      <c r="D2688" s="2" t="str">
        <f>TEXT(Table4[[#This Row],[issue_date]],"mmmm")</f>
        <v>November</v>
      </c>
      <c r="E2688" s="9">
        <f>YEAR(Table4[[#This Row],[issue_date]])</f>
        <v>2022</v>
      </c>
      <c r="F2688" t="s">
        <v>22</v>
      </c>
      <c r="G2688">
        <v>1</v>
      </c>
      <c r="H2688" t="s">
        <v>20</v>
      </c>
      <c r="I2688" t="str">
        <f>VLOOKUP(Table4[[#This Row],[customer_id]],customers!A:G,4,)</f>
        <v>chennai</v>
      </c>
    </row>
    <row r="2689" spans="1:9" x14ac:dyDescent="0.3">
      <c r="A2689">
        <v>22688</v>
      </c>
      <c r="B2689">
        <v>325</v>
      </c>
      <c r="C2689" s="2">
        <v>45126</v>
      </c>
      <c r="D2689" s="2" t="str">
        <f>TEXT(Table4[[#This Row],[issue_date]],"mmmm")</f>
        <v>July</v>
      </c>
      <c r="E2689" s="9">
        <f>YEAR(Table4[[#This Row],[issue_date]])</f>
        <v>2023</v>
      </c>
      <c r="F2689" t="s">
        <v>21</v>
      </c>
      <c r="G2689">
        <v>27</v>
      </c>
      <c r="H2689" t="s">
        <v>20</v>
      </c>
      <c r="I2689" t="str">
        <f>VLOOKUP(Table4[[#This Row],[customer_id]],customers!A:G,4,)</f>
        <v>kolkata</v>
      </c>
    </row>
    <row r="2690" spans="1:9" x14ac:dyDescent="0.3">
      <c r="A2690">
        <v>22689</v>
      </c>
      <c r="B2690">
        <v>488</v>
      </c>
      <c r="C2690" s="2">
        <v>44845</v>
      </c>
      <c r="D2690" s="2" t="str">
        <f>TEXT(Table4[[#This Row],[issue_date]],"mmmm")</f>
        <v>October</v>
      </c>
      <c r="E2690" s="9">
        <f>YEAR(Table4[[#This Row],[issue_date]])</f>
        <v>2022</v>
      </c>
      <c r="F2690" t="s">
        <v>22</v>
      </c>
      <c r="G2690">
        <v>67</v>
      </c>
      <c r="H2690" t="s">
        <v>20</v>
      </c>
      <c r="I2690" t="str">
        <f>VLOOKUP(Table4[[#This Row],[customer_id]],customers!A:G,4,)</f>
        <v>hyderabad</v>
      </c>
    </row>
    <row r="2691" spans="1:9" x14ac:dyDescent="0.3">
      <c r="A2691">
        <v>22690</v>
      </c>
      <c r="B2691">
        <v>298</v>
      </c>
      <c r="C2691" s="2">
        <v>44859</v>
      </c>
      <c r="D2691" s="2" t="str">
        <f>TEXT(Table4[[#This Row],[issue_date]],"mmmm")</f>
        <v>October</v>
      </c>
      <c r="E2691" s="9">
        <f>YEAR(Table4[[#This Row],[issue_date]])</f>
        <v>2022</v>
      </c>
      <c r="F2691" t="s">
        <v>22</v>
      </c>
      <c r="G2691">
        <v>39</v>
      </c>
      <c r="H2691" t="s">
        <v>20</v>
      </c>
      <c r="I2691" t="str">
        <f>VLOOKUP(Table4[[#This Row],[customer_id]],customers!A:G,4,)</f>
        <v>mumbai</v>
      </c>
    </row>
    <row r="2692" spans="1:9" x14ac:dyDescent="0.3">
      <c r="A2692">
        <v>22691</v>
      </c>
      <c r="B2692">
        <v>262</v>
      </c>
      <c r="C2692" s="2">
        <v>45036</v>
      </c>
      <c r="D2692" s="2" t="str">
        <f>TEXT(Table4[[#This Row],[issue_date]],"mmmm")</f>
        <v>April</v>
      </c>
      <c r="E2692" s="9">
        <f>YEAR(Table4[[#This Row],[issue_date]])</f>
        <v>2023</v>
      </c>
      <c r="F2692" t="s">
        <v>22</v>
      </c>
      <c r="G2692">
        <v>40</v>
      </c>
      <c r="H2692" t="s">
        <v>20</v>
      </c>
      <c r="I2692" t="str">
        <f>VLOOKUP(Table4[[#This Row],[customer_id]],customers!A:G,4,)</f>
        <v>hyderabad</v>
      </c>
    </row>
    <row r="2693" spans="1:9" x14ac:dyDescent="0.3">
      <c r="A2693">
        <v>22692</v>
      </c>
      <c r="B2693">
        <v>181</v>
      </c>
      <c r="C2693" s="2">
        <v>45158</v>
      </c>
      <c r="D2693" s="2" t="str">
        <f>TEXT(Table4[[#This Row],[issue_date]],"mmmm")</f>
        <v>August</v>
      </c>
      <c r="E2693" s="9">
        <f>YEAR(Table4[[#This Row],[issue_date]])</f>
        <v>2023</v>
      </c>
      <c r="F2693" t="s">
        <v>19</v>
      </c>
      <c r="G2693">
        <v>28</v>
      </c>
      <c r="H2693" t="s">
        <v>20</v>
      </c>
      <c r="I2693" t="str">
        <f>VLOOKUP(Table4[[#This Row],[customer_id]],customers!A:G,4,)</f>
        <v>hyderabad</v>
      </c>
    </row>
    <row r="2694" spans="1:9" x14ac:dyDescent="0.3">
      <c r="A2694">
        <v>22693</v>
      </c>
      <c r="B2694">
        <v>290</v>
      </c>
      <c r="C2694" s="2">
        <v>44910</v>
      </c>
      <c r="D2694" s="2" t="str">
        <f>TEXT(Table4[[#This Row],[issue_date]],"mmmm")</f>
        <v>December</v>
      </c>
      <c r="E2694" s="9">
        <f>YEAR(Table4[[#This Row],[issue_date]])</f>
        <v>2022</v>
      </c>
      <c r="F2694" t="s">
        <v>19</v>
      </c>
      <c r="G2694">
        <v>24</v>
      </c>
      <c r="H2694" t="s">
        <v>20</v>
      </c>
      <c r="I2694" t="str">
        <f>VLOOKUP(Table4[[#This Row],[customer_id]],customers!A:G,4,)</f>
        <v>mumbai</v>
      </c>
    </row>
    <row r="2695" spans="1:9" x14ac:dyDescent="0.3">
      <c r="A2695">
        <v>22694</v>
      </c>
      <c r="B2695">
        <v>122</v>
      </c>
      <c r="C2695" s="2">
        <v>45197</v>
      </c>
      <c r="D2695" s="2" t="str">
        <f>TEXT(Table4[[#This Row],[issue_date]],"mmmm")</f>
        <v>September</v>
      </c>
      <c r="E2695" s="9">
        <f>YEAR(Table4[[#This Row],[issue_date]])</f>
        <v>2023</v>
      </c>
      <c r="F2695" t="s">
        <v>21</v>
      </c>
      <c r="G2695">
        <v>51</v>
      </c>
      <c r="H2695" t="s">
        <v>20</v>
      </c>
      <c r="I2695" t="str">
        <f>VLOOKUP(Table4[[#This Row],[customer_id]],customers!A:G,4,)</f>
        <v>hyderabad</v>
      </c>
    </row>
    <row r="2696" spans="1:9" x14ac:dyDescent="0.3">
      <c r="A2696">
        <v>22695</v>
      </c>
      <c r="B2696">
        <v>124</v>
      </c>
      <c r="C2696" s="2">
        <v>45006</v>
      </c>
      <c r="D2696" s="2" t="str">
        <f>TEXT(Table4[[#This Row],[issue_date]],"mmmm")</f>
        <v>March</v>
      </c>
      <c r="E2696" s="9">
        <f>YEAR(Table4[[#This Row],[issue_date]])</f>
        <v>2023</v>
      </c>
      <c r="F2696" t="s">
        <v>21</v>
      </c>
      <c r="G2696">
        <v>56</v>
      </c>
      <c r="H2696" t="s">
        <v>20</v>
      </c>
      <c r="I2696" t="str">
        <f>VLOOKUP(Table4[[#This Row],[customer_id]],customers!A:G,4,)</f>
        <v>kolkata</v>
      </c>
    </row>
    <row r="2697" spans="1:9" x14ac:dyDescent="0.3">
      <c r="A2697">
        <v>22696</v>
      </c>
      <c r="B2697">
        <v>453</v>
      </c>
      <c r="C2697" s="2">
        <v>44768</v>
      </c>
      <c r="D2697" s="2" t="str">
        <f>TEXT(Table4[[#This Row],[issue_date]],"mmmm")</f>
        <v>July</v>
      </c>
      <c r="E2697" s="9">
        <f>YEAR(Table4[[#This Row],[issue_date]])</f>
        <v>2022</v>
      </c>
      <c r="F2697" t="s">
        <v>21</v>
      </c>
      <c r="G2697">
        <v>26</v>
      </c>
      <c r="H2697" t="s">
        <v>20</v>
      </c>
      <c r="I2697" t="str">
        <f>VLOOKUP(Table4[[#This Row],[customer_id]],customers!A:G,4,)</f>
        <v>bangalore</v>
      </c>
    </row>
    <row r="2698" spans="1:9" x14ac:dyDescent="0.3">
      <c r="A2698">
        <v>22697</v>
      </c>
      <c r="B2698">
        <v>266</v>
      </c>
      <c r="C2698" s="2">
        <v>44978</v>
      </c>
      <c r="D2698" s="2" t="str">
        <f>TEXT(Table4[[#This Row],[issue_date]],"mmmm")</f>
        <v>February</v>
      </c>
      <c r="E2698" s="9">
        <f>YEAR(Table4[[#This Row],[issue_date]])</f>
        <v>2023</v>
      </c>
      <c r="F2698" t="s">
        <v>22</v>
      </c>
      <c r="G2698">
        <v>52</v>
      </c>
      <c r="H2698" t="s">
        <v>20</v>
      </c>
      <c r="I2698" t="str">
        <f>VLOOKUP(Table4[[#This Row],[customer_id]],customers!A:G,4,)</f>
        <v>chennai</v>
      </c>
    </row>
    <row r="2699" spans="1:9" x14ac:dyDescent="0.3">
      <c r="A2699">
        <v>22698</v>
      </c>
      <c r="B2699">
        <v>28</v>
      </c>
      <c r="C2699" s="2">
        <v>45000</v>
      </c>
      <c r="D2699" s="2" t="str">
        <f>TEXT(Table4[[#This Row],[issue_date]],"mmmm")</f>
        <v>March</v>
      </c>
      <c r="E2699" s="9">
        <f>YEAR(Table4[[#This Row],[issue_date]])</f>
        <v>2023</v>
      </c>
      <c r="F2699" t="s">
        <v>22</v>
      </c>
      <c r="G2699">
        <v>6</v>
      </c>
      <c r="H2699" t="s">
        <v>20</v>
      </c>
      <c r="I2699" t="str">
        <f>VLOOKUP(Table4[[#This Row],[customer_id]],customers!A:G,4,)</f>
        <v>delhi</v>
      </c>
    </row>
    <row r="2700" spans="1:9" x14ac:dyDescent="0.3">
      <c r="A2700">
        <v>22699</v>
      </c>
      <c r="B2700">
        <v>259</v>
      </c>
      <c r="C2700" s="2">
        <v>44726</v>
      </c>
      <c r="D2700" s="2" t="str">
        <f>TEXT(Table4[[#This Row],[issue_date]],"mmmm")</f>
        <v>June</v>
      </c>
      <c r="E2700" s="9">
        <f>YEAR(Table4[[#This Row],[issue_date]])</f>
        <v>2022</v>
      </c>
      <c r="F2700" t="s">
        <v>19</v>
      </c>
      <c r="G2700">
        <v>59</v>
      </c>
      <c r="H2700" t="s">
        <v>20</v>
      </c>
      <c r="I2700" t="str">
        <f>VLOOKUP(Table4[[#This Row],[customer_id]],customers!A:G,4,)</f>
        <v>chennai</v>
      </c>
    </row>
    <row r="2701" spans="1:9" x14ac:dyDescent="0.3">
      <c r="A2701">
        <v>22700</v>
      </c>
      <c r="B2701">
        <v>77</v>
      </c>
      <c r="C2701" s="2">
        <v>45120</v>
      </c>
      <c r="D2701" s="2" t="str">
        <f>TEXT(Table4[[#This Row],[issue_date]],"mmmm")</f>
        <v>July</v>
      </c>
      <c r="E2701" s="9">
        <f>YEAR(Table4[[#This Row],[issue_date]])</f>
        <v>2023</v>
      </c>
      <c r="F2701" t="s">
        <v>22</v>
      </c>
      <c r="G2701">
        <v>12</v>
      </c>
      <c r="H2701" t="s">
        <v>20</v>
      </c>
      <c r="I2701" t="str">
        <f>VLOOKUP(Table4[[#This Row],[customer_id]],customers!A:G,4,)</f>
        <v>delhi</v>
      </c>
    </row>
    <row r="2702" spans="1:9" x14ac:dyDescent="0.3">
      <c r="A2702">
        <v>22701</v>
      </c>
      <c r="B2702">
        <v>432</v>
      </c>
      <c r="C2702" s="2">
        <v>44981</v>
      </c>
      <c r="D2702" s="2" t="str">
        <f>TEXT(Table4[[#This Row],[issue_date]],"mmmm")</f>
        <v>February</v>
      </c>
      <c r="E2702" s="9">
        <f>YEAR(Table4[[#This Row],[issue_date]])</f>
        <v>2023</v>
      </c>
      <c r="F2702" t="s">
        <v>22</v>
      </c>
      <c r="G2702">
        <v>63</v>
      </c>
      <c r="H2702" t="s">
        <v>20</v>
      </c>
      <c r="I2702" t="str">
        <f>VLOOKUP(Table4[[#This Row],[customer_id]],customers!A:G,4,)</f>
        <v>mumbai</v>
      </c>
    </row>
    <row r="2703" spans="1:9" x14ac:dyDescent="0.3">
      <c r="A2703">
        <v>22702</v>
      </c>
      <c r="B2703">
        <v>367</v>
      </c>
      <c r="C2703" s="2">
        <v>44932</v>
      </c>
      <c r="D2703" s="2" t="str">
        <f>TEXT(Table4[[#This Row],[issue_date]],"mmmm")</f>
        <v>January</v>
      </c>
      <c r="E2703" s="9">
        <f>YEAR(Table4[[#This Row],[issue_date]])</f>
        <v>2023</v>
      </c>
      <c r="F2703" t="s">
        <v>19</v>
      </c>
      <c r="G2703">
        <v>36</v>
      </c>
      <c r="H2703" t="s">
        <v>20</v>
      </c>
      <c r="I2703" t="str">
        <f>VLOOKUP(Table4[[#This Row],[customer_id]],customers!A:G,4,)</f>
        <v>kolkata</v>
      </c>
    </row>
    <row r="2704" spans="1:9" x14ac:dyDescent="0.3">
      <c r="A2704">
        <v>22703</v>
      </c>
      <c r="B2704">
        <v>194</v>
      </c>
      <c r="C2704" s="2">
        <v>45229</v>
      </c>
      <c r="D2704" s="2" t="str">
        <f>TEXT(Table4[[#This Row],[issue_date]],"mmmm")</f>
        <v>October</v>
      </c>
      <c r="E2704" s="9">
        <f>YEAR(Table4[[#This Row],[issue_date]])</f>
        <v>2023</v>
      </c>
      <c r="F2704" t="s">
        <v>21</v>
      </c>
      <c r="G2704">
        <v>9</v>
      </c>
      <c r="H2704" t="s">
        <v>20</v>
      </c>
      <c r="I2704" t="str">
        <f>VLOOKUP(Table4[[#This Row],[customer_id]],customers!A:G,4,)</f>
        <v>hyderabad</v>
      </c>
    </row>
    <row r="2705" spans="1:9" x14ac:dyDescent="0.3">
      <c r="A2705">
        <v>22704</v>
      </c>
      <c r="B2705">
        <v>382</v>
      </c>
      <c r="C2705" s="2">
        <v>44827</v>
      </c>
      <c r="D2705" s="2" t="str">
        <f>TEXT(Table4[[#This Row],[issue_date]],"mmmm")</f>
        <v>September</v>
      </c>
      <c r="E2705" s="9">
        <f>YEAR(Table4[[#This Row],[issue_date]])</f>
        <v>2022</v>
      </c>
      <c r="F2705" t="s">
        <v>22</v>
      </c>
      <c r="G2705">
        <v>67</v>
      </c>
      <c r="H2705" t="s">
        <v>20</v>
      </c>
      <c r="I2705" t="str">
        <f>VLOOKUP(Table4[[#This Row],[customer_id]],customers!A:G,4,)</f>
        <v>delhi</v>
      </c>
    </row>
    <row r="2706" spans="1:9" x14ac:dyDescent="0.3">
      <c r="A2706">
        <v>22705</v>
      </c>
      <c r="B2706">
        <v>35</v>
      </c>
      <c r="C2706" s="2">
        <v>44840</v>
      </c>
      <c r="D2706" s="2" t="str">
        <f>TEXT(Table4[[#This Row],[issue_date]],"mmmm")</f>
        <v>October</v>
      </c>
      <c r="E2706" s="9">
        <f>YEAR(Table4[[#This Row],[issue_date]])</f>
        <v>2022</v>
      </c>
      <c r="F2706" t="s">
        <v>19</v>
      </c>
      <c r="G2706">
        <v>29</v>
      </c>
      <c r="H2706" t="s">
        <v>20</v>
      </c>
      <c r="I2706" t="str">
        <f>VLOOKUP(Table4[[#This Row],[customer_id]],customers!A:G,4,)</f>
        <v>chennai</v>
      </c>
    </row>
    <row r="2707" spans="1:9" x14ac:dyDescent="0.3">
      <c r="A2707">
        <v>22706</v>
      </c>
      <c r="B2707">
        <v>436</v>
      </c>
      <c r="C2707" s="2">
        <v>45043</v>
      </c>
      <c r="D2707" s="2" t="str">
        <f>TEXT(Table4[[#This Row],[issue_date]],"mmmm")</f>
        <v>April</v>
      </c>
      <c r="E2707" s="9">
        <f>YEAR(Table4[[#This Row],[issue_date]])</f>
        <v>2023</v>
      </c>
      <c r="F2707" t="s">
        <v>19</v>
      </c>
      <c r="G2707">
        <v>71</v>
      </c>
      <c r="H2707" t="s">
        <v>20</v>
      </c>
      <c r="I2707" t="str">
        <f>VLOOKUP(Table4[[#This Row],[customer_id]],customers!A:G,4,)</f>
        <v>delhi</v>
      </c>
    </row>
    <row r="2708" spans="1:9" x14ac:dyDescent="0.3">
      <c r="A2708">
        <v>22707</v>
      </c>
      <c r="B2708">
        <v>114</v>
      </c>
      <c r="C2708" s="2">
        <v>45078</v>
      </c>
      <c r="D2708" s="2" t="str">
        <f>TEXT(Table4[[#This Row],[issue_date]],"mmmm")</f>
        <v>June</v>
      </c>
      <c r="E2708" s="9">
        <f>YEAR(Table4[[#This Row],[issue_date]])</f>
        <v>2023</v>
      </c>
      <c r="F2708" t="s">
        <v>21</v>
      </c>
      <c r="G2708">
        <v>8</v>
      </c>
      <c r="H2708" t="s">
        <v>20</v>
      </c>
      <c r="I2708" t="str">
        <f>VLOOKUP(Table4[[#This Row],[customer_id]],customers!A:G,4,)</f>
        <v>mumbai</v>
      </c>
    </row>
    <row r="2709" spans="1:9" x14ac:dyDescent="0.3">
      <c r="A2709">
        <v>22708</v>
      </c>
      <c r="B2709">
        <v>62</v>
      </c>
      <c r="C2709" s="2">
        <v>44643</v>
      </c>
      <c r="D2709" s="2" t="str">
        <f>TEXT(Table4[[#This Row],[issue_date]],"mmmm")</f>
        <v>March</v>
      </c>
      <c r="E2709" s="9">
        <f>YEAR(Table4[[#This Row],[issue_date]])</f>
        <v>2022</v>
      </c>
      <c r="F2709" t="s">
        <v>19</v>
      </c>
      <c r="G2709">
        <v>43</v>
      </c>
      <c r="H2709" t="s">
        <v>20</v>
      </c>
      <c r="I2709" t="str">
        <f>VLOOKUP(Table4[[#This Row],[customer_id]],customers!A:G,4,)</f>
        <v>delhi</v>
      </c>
    </row>
    <row r="2710" spans="1:9" x14ac:dyDescent="0.3">
      <c r="A2710">
        <v>22709</v>
      </c>
      <c r="B2710">
        <v>52</v>
      </c>
      <c r="C2710" s="2">
        <v>44680</v>
      </c>
      <c r="D2710" s="2" t="str">
        <f>TEXT(Table4[[#This Row],[issue_date]],"mmmm")</f>
        <v>April</v>
      </c>
      <c r="E2710" s="9">
        <f>YEAR(Table4[[#This Row],[issue_date]])</f>
        <v>2022</v>
      </c>
      <c r="F2710" t="s">
        <v>21</v>
      </c>
      <c r="G2710">
        <v>35</v>
      </c>
      <c r="H2710" t="s">
        <v>20</v>
      </c>
      <c r="I2710" t="str">
        <f>VLOOKUP(Table4[[#This Row],[customer_id]],customers!A:G,4,)</f>
        <v>chennai</v>
      </c>
    </row>
    <row r="2711" spans="1:9" x14ac:dyDescent="0.3">
      <c r="A2711">
        <v>22710</v>
      </c>
      <c r="B2711">
        <v>116</v>
      </c>
      <c r="C2711" s="2">
        <v>45335</v>
      </c>
      <c r="D2711" s="2" t="str">
        <f>TEXT(Table4[[#This Row],[issue_date]],"mmmm")</f>
        <v>February</v>
      </c>
      <c r="E2711" s="9">
        <f>YEAR(Table4[[#This Row],[issue_date]])</f>
        <v>2024</v>
      </c>
      <c r="F2711" t="s">
        <v>21</v>
      </c>
      <c r="G2711">
        <v>22</v>
      </c>
      <c r="H2711" t="s">
        <v>20</v>
      </c>
      <c r="I2711" t="str">
        <f>VLOOKUP(Table4[[#This Row],[customer_id]],customers!A:G,4,)</f>
        <v>chennai</v>
      </c>
    </row>
    <row r="2712" spans="1:9" x14ac:dyDescent="0.3">
      <c r="A2712">
        <v>22711</v>
      </c>
      <c r="B2712">
        <v>47</v>
      </c>
      <c r="C2712" s="2">
        <v>45198</v>
      </c>
      <c r="D2712" s="2" t="str">
        <f>TEXT(Table4[[#This Row],[issue_date]],"mmmm")</f>
        <v>September</v>
      </c>
      <c r="E2712" s="9">
        <f>YEAR(Table4[[#This Row],[issue_date]])</f>
        <v>2023</v>
      </c>
      <c r="F2712" t="s">
        <v>21</v>
      </c>
      <c r="G2712">
        <v>66</v>
      </c>
      <c r="H2712" t="s">
        <v>20</v>
      </c>
      <c r="I2712" t="str">
        <f>VLOOKUP(Table4[[#This Row],[customer_id]],customers!A:G,4,)</f>
        <v>hyderabad</v>
      </c>
    </row>
    <row r="2713" spans="1:9" x14ac:dyDescent="0.3">
      <c r="A2713">
        <v>22712</v>
      </c>
      <c r="B2713">
        <v>438</v>
      </c>
      <c r="C2713" s="2">
        <v>44864</v>
      </c>
      <c r="D2713" s="2" t="str">
        <f>TEXT(Table4[[#This Row],[issue_date]],"mmmm")</f>
        <v>October</v>
      </c>
      <c r="E2713" s="9">
        <f>YEAR(Table4[[#This Row],[issue_date]])</f>
        <v>2022</v>
      </c>
      <c r="F2713" t="s">
        <v>21</v>
      </c>
      <c r="G2713">
        <v>21</v>
      </c>
      <c r="H2713" t="s">
        <v>20</v>
      </c>
      <c r="I2713" t="str">
        <f>VLOOKUP(Table4[[#This Row],[customer_id]],customers!A:G,4,)</f>
        <v>hyderabad</v>
      </c>
    </row>
    <row r="2714" spans="1:9" x14ac:dyDescent="0.3">
      <c r="A2714">
        <v>22713</v>
      </c>
      <c r="B2714">
        <v>412</v>
      </c>
      <c r="C2714" s="2">
        <v>44776</v>
      </c>
      <c r="D2714" s="2" t="str">
        <f>TEXT(Table4[[#This Row],[issue_date]],"mmmm")</f>
        <v>August</v>
      </c>
      <c r="E2714" s="9">
        <f>YEAR(Table4[[#This Row],[issue_date]])</f>
        <v>2022</v>
      </c>
      <c r="F2714" t="s">
        <v>21</v>
      </c>
      <c r="G2714">
        <v>71</v>
      </c>
      <c r="H2714" t="s">
        <v>23</v>
      </c>
      <c r="I2714" t="str">
        <f>VLOOKUP(Table4[[#This Row],[customer_id]],customers!A:G,4,)</f>
        <v>hyderabad</v>
      </c>
    </row>
    <row r="2715" spans="1:9" x14ac:dyDescent="0.3">
      <c r="A2715">
        <v>22714</v>
      </c>
      <c r="B2715">
        <v>101</v>
      </c>
      <c r="C2715" s="2">
        <v>44589</v>
      </c>
      <c r="D2715" s="2" t="str">
        <f>TEXT(Table4[[#This Row],[issue_date]],"mmmm")</f>
        <v>January</v>
      </c>
      <c r="E2715" s="9">
        <f>YEAR(Table4[[#This Row],[issue_date]])</f>
        <v>2022</v>
      </c>
      <c r="F2715" t="s">
        <v>19</v>
      </c>
      <c r="G2715">
        <v>41</v>
      </c>
      <c r="H2715" t="s">
        <v>20</v>
      </c>
      <c r="I2715" t="str">
        <f>VLOOKUP(Table4[[#This Row],[customer_id]],customers!A:G,4,)</f>
        <v>mumbai</v>
      </c>
    </row>
    <row r="2716" spans="1:9" x14ac:dyDescent="0.3">
      <c r="A2716">
        <v>22715</v>
      </c>
      <c r="B2716">
        <v>279</v>
      </c>
      <c r="C2716" s="2">
        <v>45342</v>
      </c>
      <c r="D2716" s="2" t="str">
        <f>TEXT(Table4[[#This Row],[issue_date]],"mmmm")</f>
        <v>February</v>
      </c>
      <c r="E2716" s="9">
        <f>YEAR(Table4[[#This Row],[issue_date]])</f>
        <v>2024</v>
      </c>
      <c r="F2716" t="s">
        <v>22</v>
      </c>
      <c r="G2716">
        <v>41</v>
      </c>
      <c r="H2716" t="s">
        <v>20</v>
      </c>
      <c r="I2716" t="str">
        <f>VLOOKUP(Table4[[#This Row],[customer_id]],customers!A:G,4,)</f>
        <v>delhi</v>
      </c>
    </row>
    <row r="2717" spans="1:9" x14ac:dyDescent="0.3">
      <c r="A2717">
        <v>22716</v>
      </c>
      <c r="B2717">
        <v>107</v>
      </c>
      <c r="C2717" s="2">
        <v>45059</v>
      </c>
      <c r="D2717" s="2" t="str">
        <f>TEXT(Table4[[#This Row],[issue_date]],"mmmm")</f>
        <v>May</v>
      </c>
      <c r="E2717" s="9">
        <f>YEAR(Table4[[#This Row],[issue_date]])</f>
        <v>2023</v>
      </c>
      <c r="F2717" t="s">
        <v>21</v>
      </c>
      <c r="G2717">
        <v>49</v>
      </c>
      <c r="H2717" t="s">
        <v>20</v>
      </c>
      <c r="I2717" t="str">
        <f>VLOOKUP(Table4[[#This Row],[customer_id]],customers!A:G,4,)</f>
        <v>chennai</v>
      </c>
    </row>
    <row r="2718" spans="1:9" x14ac:dyDescent="0.3">
      <c r="A2718">
        <v>22717</v>
      </c>
      <c r="B2718">
        <v>471</v>
      </c>
      <c r="C2718" s="2">
        <v>45098</v>
      </c>
      <c r="D2718" s="2" t="str">
        <f>TEXT(Table4[[#This Row],[issue_date]],"mmmm")</f>
        <v>June</v>
      </c>
      <c r="E2718" s="9">
        <f>YEAR(Table4[[#This Row],[issue_date]])</f>
        <v>2023</v>
      </c>
      <c r="F2718" t="s">
        <v>21</v>
      </c>
      <c r="G2718">
        <v>4</v>
      </c>
      <c r="H2718" t="s">
        <v>20</v>
      </c>
      <c r="I2718" t="str">
        <f>VLOOKUP(Table4[[#This Row],[customer_id]],customers!A:G,4,)</f>
        <v>hyderabad</v>
      </c>
    </row>
    <row r="2719" spans="1:9" x14ac:dyDescent="0.3">
      <c r="A2719">
        <v>22718</v>
      </c>
      <c r="B2719">
        <v>35</v>
      </c>
      <c r="C2719" s="2">
        <v>45080</v>
      </c>
      <c r="D2719" s="2" t="str">
        <f>TEXT(Table4[[#This Row],[issue_date]],"mmmm")</f>
        <v>June</v>
      </c>
      <c r="E2719" s="9">
        <f>YEAR(Table4[[#This Row],[issue_date]])</f>
        <v>2023</v>
      </c>
      <c r="F2719" t="s">
        <v>22</v>
      </c>
      <c r="G2719">
        <v>65</v>
      </c>
      <c r="H2719" t="s">
        <v>20</v>
      </c>
      <c r="I2719" t="str">
        <f>VLOOKUP(Table4[[#This Row],[customer_id]],customers!A:G,4,)</f>
        <v>chennai</v>
      </c>
    </row>
    <row r="2720" spans="1:9" x14ac:dyDescent="0.3">
      <c r="A2720">
        <v>22719</v>
      </c>
      <c r="B2720">
        <v>489</v>
      </c>
      <c r="C2720" s="2">
        <v>44755</v>
      </c>
      <c r="D2720" s="2" t="str">
        <f>TEXT(Table4[[#This Row],[issue_date]],"mmmm")</f>
        <v>July</v>
      </c>
      <c r="E2720" s="9">
        <f>YEAR(Table4[[#This Row],[issue_date]])</f>
        <v>2022</v>
      </c>
      <c r="F2720" t="s">
        <v>22</v>
      </c>
      <c r="G2720">
        <v>10</v>
      </c>
      <c r="H2720" t="s">
        <v>20</v>
      </c>
      <c r="I2720" t="str">
        <f>VLOOKUP(Table4[[#This Row],[customer_id]],customers!A:G,4,)</f>
        <v>chennai</v>
      </c>
    </row>
    <row r="2721" spans="1:9" x14ac:dyDescent="0.3">
      <c r="A2721">
        <v>22720</v>
      </c>
      <c r="B2721">
        <v>359</v>
      </c>
      <c r="C2721" s="2">
        <v>45153</v>
      </c>
      <c r="D2721" s="2" t="str">
        <f>TEXT(Table4[[#This Row],[issue_date]],"mmmm")</f>
        <v>August</v>
      </c>
      <c r="E2721" s="9">
        <f>YEAR(Table4[[#This Row],[issue_date]])</f>
        <v>2023</v>
      </c>
      <c r="F2721" t="s">
        <v>21</v>
      </c>
      <c r="G2721">
        <v>67</v>
      </c>
      <c r="H2721" t="s">
        <v>20</v>
      </c>
      <c r="I2721" t="str">
        <f>VLOOKUP(Table4[[#This Row],[customer_id]],customers!A:G,4,)</f>
        <v>mumbai</v>
      </c>
    </row>
    <row r="2722" spans="1:9" x14ac:dyDescent="0.3">
      <c r="A2722">
        <v>22721</v>
      </c>
      <c r="B2722">
        <v>375</v>
      </c>
      <c r="C2722" s="2">
        <v>45003</v>
      </c>
      <c r="D2722" s="2" t="str">
        <f>TEXT(Table4[[#This Row],[issue_date]],"mmmm")</f>
        <v>March</v>
      </c>
      <c r="E2722" s="9">
        <f>YEAR(Table4[[#This Row],[issue_date]])</f>
        <v>2023</v>
      </c>
      <c r="F2722" t="s">
        <v>22</v>
      </c>
      <c r="G2722">
        <v>10</v>
      </c>
      <c r="H2722" t="s">
        <v>23</v>
      </c>
      <c r="I2722" t="str">
        <f>VLOOKUP(Table4[[#This Row],[customer_id]],customers!A:G,4,)</f>
        <v>mumbai</v>
      </c>
    </row>
    <row r="2723" spans="1:9" x14ac:dyDescent="0.3">
      <c r="A2723">
        <v>22722</v>
      </c>
      <c r="B2723">
        <v>288</v>
      </c>
      <c r="C2723" s="2">
        <v>45395</v>
      </c>
      <c r="D2723" s="2" t="str">
        <f>TEXT(Table4[[#This Row],[issue_date]],"mmmm")</f>
        <v>April</v>
      </c>
      <c r="E2723" s="9">
        <f>YEAR(Table4[[#This Row],[issue_date]])</f>
        <v>2024</v>
      </c>
      <c r="F2723" t="s">
        <v>21</v>
      </c>
      <c r="G2723">
        <v>17</v>
      </c>
      <c r="H2723" t="s">
        <v>20</v>
      </c>
      <c r="I2723" t="str">
        <f>VLOOKUP(Table4[[#This Row],[customer_id]],customers!A:G,4,)</f>
        <v>kolkata</v>
      </c>
    </row>
    <row r="2724" spans="1:9" x14ac:dyDescent="0.3">
      <c r="A2724">
        <v>22723</v>
      </c>
      <c r="B2724">
        <v>2</v>
      </c>
      <c r="C2724" s="2">
        <v>44597</v>
      </c>
      <c r="D2724" s="2" t="str">
        <f>TEXT(Table4[[#This Row],[issue_date]],"mmmm")</f>
        <v>February</v>
      </c>
      <c r="E2724" s="9">
        <f>YEAR(Table4[[#This Row],[issue_date]])</f>
        <v>2022</v>
      </c>
      <c r="F2724" t="s">
        <v>19</v>
      </c>
      <c r="G2724">
        <v>67</v>
      </c>
      <c r="H2724" t="s">
        <v>20</v>
      </c>
      <c r="I2724" t="str">
        <f>VLOOKUP(Table4[[#This Row],[customer_id]],customers!A:G,4,)</f>
        <v>chennai</v>
      </c>
    </row>
    <row r="2725" spans="1:9" x14ac:dyDescent="0.3">
      <c r="A2725">
        <v>22724</v>
      </c>
      <c r="B2725">
        <v>239</v>
      </c>
      <c r="C2725" s="2">
        <v>44819</v>
      </c>
      <c r="D2725" s="2" t="str">
        <f>TEXT(Table4[[#This Row],[issue_date]],"mmmm")</f>
        <v>September</v>
      </c>
      <c r="E2725" s="9">
        <f>YEAR(Table4[[#This Row],[issue_date]])</f>
        <v>2022</v>
      </c>
      <c r="F2725" t="s">
        <v>22</v>
      </c>
      <c r="G2725">
        <v>53</v>
      </c>
      <c r="H2725" t="s">
        <v>20</v>
      </c>
      <c r="I2725" t="str">
        <f>VLOOKUP(Table4[[#This Row],[customer_id]],customers!A:G,4,)</f>
        <v>hyderabad</v>
      </c>
    </row>
    <row r="2726" spans="1:9" x14ac:dyDescent="0.3">
      <c r="A2726">
        <v>22725</v>
      </c>
      <c r="B2726">
        <v>492</v>
      </c>
      <c r="C2726" s="2">
        <v>44674</v>
      </c>
      <c r="D2726" s="2" t="str">
        <f>TEXT(Table4[[#This Row],[issue_date]],"mmmm")</f>
        <v>April</v>
      </c>
      <c r="E2726" s="9">
        <f>YEAR(Table4[[#This Row],[issue_date]])</f>
        <v>2022</v>
      </c>
      <c r="F2726" t="s">
        <v>22</v>
      </c>
      <c r="G2726">
        <v>35</v>
      </c>
      <c r="H2726" t="s">
        <v>20</v>
      </c>
      <c r="I2726" t="str">
        <f>VLOOKUP(Table4[[#This Row],[customer_id]],customers!A:G,4,)</f>
        <v>delhi</v>
      </c>
    </row>
    <row r="2727" spans="1:9" x14ac:dyDescent="0.3">
      <c r="A2727">
        <v>22726</v>
      </c>
      <c r="B2727">
        <v>368</v>
      </c>
      <c r="C2727" s="2">
        <v>44855</v>
      </c>
      <c r="D2727" s="2" t="str">
        <f>TEXT(Table4[[#This Row],[issue_date]],"mmmm")</f>
        <v>October</v>
      </c>
      <c r="E2727" s="9">
        <f>YEAR(Table4[[#This Row],[issue_date]])</f>
        <v>2022</v>
      </c>
      <c r="F2727" t="s">
        <v>19</v>
      </c>
      <c r="G2727">
        <v>4</v>
      </c>
      <c r="H2727" t="s">
        <v>20</v>
      </c>
      <c r="I2727" t="str">
        <f>VLOOKUP(Table4[[#This Row],[customer_id]],customers!A:G,4,)</f>
        <v>kolkata</v>
      </c>
    </row>
    <row r="2728" spans="1:9" x14ac:dyDescent="0.3">
      <c r="A2728">
        <v>22727</v>
      </c>
      <c r="B2728">
        <v>378</v>
      </c>
      <c r="C2728" s="2">
        <v>45275</v>
      </c>
      <c r="D2728" s="2" t="str">
        <f>TEXT(Table4[[#This Row],[issue_date]],"mmmm")</f>
        <v>December</v>
      </c>
      <c r="E2728" s="9">
        <f>YEAR(Table4[[#This Row],[issue_date]])</f>
        <v>2023</v>
      </c>
      <c r="F2728" t="s">
        <v>22</v>
      </c>
      <c r="G2728">
        <v>68</v>
      </c>
      <c r="H2728" t="s">
        <v>20</v>
      </c>
      <c r="I2728" t="str">
        <f>VLOOKUP(Table4[[#This Row],[customer_id]],customers!A:G,4,)</f>
        <v>delhi</v>
      </c>
    </row>
    <row r="2729" spans="1:9" x14ac:dyDescent="0.3">
      <c r="A2729">
        <v>22728</v>
      </c>
      <c r="B2729">
        <v>272</v>
      </c>
      <c r="C2729" s="2">
        <v>44575</v>
      </c>
      <c r="D2729" s="2" t="str">
        <f>TEXT(Table4[[#This Row],[issue_date]],"mmmm")</f>
        <v>January</v>
      </c>
      <c r="E2729" s="9">
        <f>YEAR(Table4[[#This Row],[issue_date]])</f>
        <v>2022</v>
      </c>
      <c r="F2729" t="s">
        <v>19</v>
      </c>
      <c r="G2729">
        <v>11</v>
      </c>
      <c r="H2729" t="s">
        <v>20</v>
      </c>
      <c r="I2729" t="str">
        <f>VLOOKUP(Table4[[#This Row],[customer_id]],customers!A:G,4,)</f>
        <v>chennai</v>
      </c>
    </row>
    <row r="2730" spans="1:9" x14ac:dyDescent="0.3">
      <c r="A2730">
        <v>22729</v>
      </c>
      <c r="B2730">
        <v>144</v>
      </c>
      <c r="C2730" s="2">
        <v>45228</v>
      </c>
      <c r="D2730" s="2" t="str">
        <f>TEXT(Table4[[#This Row],[issue_date]],"mmmm")</f>
        <v>October</v>
      </c>
      <c r="E2730" s="9">
        <f>YEAR(Table4[[#This Row],[issue_date]])</f>
        <v>2023</v>
      </c>
      <c r="F2730" t="s">
        <v>21</v>
      </c>
      <c r="G2730">
        <v>44</v>
      </c>
      <c r="H2730" t="s">
        <v>20</v>
      </c>
      <c r="I2730" t="str">
        <f>VLOOKUP(Table4[[#This Row],[customer_id]],customers!A:G,4,)</f>
        <v>delhi</v>
      </c>
    </row>
    <row r="2731" spans="1:9" x14ac:dyDescent="0.3">
      <c r="A2731">
        <v>22730</v>
      </c>
      <c r="B2731">
        <v>435</v>
      </c>
      <c r="C2731" s="2">
        <v>45158</v>
      </c>
      <c r="D2731" s="2" t="str">
        <f>TEXT(Table4[[#This Row],[issue_date]],"mmmm")</f>
        <v>August</v>
      </c>
      <c r="E2731" s="9">
        <f>YEAR(Table4[[#This Row],[issue_date]])</f>
        <v>2023</v>
      </c>
      <c r="F2731" t="s">
        <v>22</v>
      </c>
      <c r="G2731">
        <v>60</v>
      </c>
      <c r="H2731" t="s">
        <v>20</v>
      </c>
      <c r="I2731" t="str">
        <f>VLOOKUP(Table4[[#This Row],[customer_id]],customers!A:G,4,)</f>
        <v>bangalore</v>
      </c>
    </row>
    <row r="2732" spans="1:9" x14ac:dyDescent="0.3">
      <c r="A2732">
        <v>22731</v>
      </c>
      <c r="B2732">
        <v>451</v>
      </c>
      <c r="C2732" s="2">
        <v>44701</v>
      </c>
      <c r="D2732" s="2" t="str">
        <f>TEXT(Table4[[#This Row],[issue_date]],"mmmm")</f>
        <v>May</v>
      </c>
      <c r="E2732" s="9">
        <f>YEAR(Table4[[#This Row],[issue_date]])</f>
        <v>2022</v>
      </c>
      <c r="F2732" t="s">
        <v>22</v>
      </c>
      <c r="G2732">
        <v>70</v>
      </c>
      <c r="H2732" t="s">
        <v>20</v>
      </c>
      <c r="I2732" t="str">
        <f>VLOOKUP(Table4[[#This Row],[customer_id]],customers!A:G,4,)</f>
        <v>delhi</v>
      </c>
    </row>
    <row r="2733" spans="1:9" x14ac:dyDescent="0.3">
      <c r="A2733">
        <v>22732</v>
      </c>
      <c r="B2733">
        <v>92</v>
      </c>
      <c r="C2733" s="2">
        <v>44932</v>
      </c>
      <c r="D2733" s="2" t="str">
        <f>TEXT(Table4[[#This Row],[issue_date]],"mmmm")</f>
        <v>January</v>
      </c>
      <c r="E2733" s="9">
        <f>YEAR(Table4[[#This Row],[issue_date]])</f>
        <v>2023</v>
      </c>
      <c r="F2733" t="s">
        <v>19</v>
      </c>
      <c r="G2733">
        <v>62</v>
      </c>
      <c r="H2733" t="s">
        <v>20</v>
      </c>
      <c r="I2733" t="str">
        <f>VLOOKUP(Table4[[#This Row],[customer_id]],customers!A:G,4,)</f>
        <v>chennai</v>
      </c>
    </row>
    <row r="2734" spans="1:9" x14ac:dyDescent="0.3">
      <c r="A2734">
        <v>22733</v>
      </c>
      <c r="B2734">
        <v>221</v>
      </c>
      <c r="C2734" s="2">
        <v>44988</v>
      </c>
      <c r="D2734" s="2" t="str">
        <f>TEXT(Table4[[#This Row],[issue_date]],"mmmm")</f>
        <v>March</v>
      </c>
      <c r="E2734" s="9">
        <f>YEAR(Table4[[#This Row],[issue_date]])</f>
        <v>2023</v>
      </c>
      <c r="F2734" t="s">
        <v>21</v>
      </c>
      <c r="G2734">
        <v>32</v>
      </c>
      <c r="H2734" t="s">
        <v>20</v>
      </c>
      <c r="I2734" t="str">
        <f>VLOOKUP(Table4[[#This Row],[customer_id]],customers!A:G,4,)</f>
        <v>bangalore</v>
      </c>
    </row>
    <row r="2735" spans="1:9" x14ac:dyDescent="0.3">
      <c r="A2735">
        <v>22734</v>
      </c>
      <c r="B2735">
        <v>54</v>
      </c>
      <c r="C2735" s="2">
        <v>44658</v>
      </c>
      <c r="D2735" s="2" t="str">
        <f>TEXT(Table4[[#This Row],[issue_date]],"mmmm")</f>
        <v>April</v>
      </c>
      <c r="E2735" s="9">
        <f>YEAR(Table4[[#This Row],[issue_date]])</f>
        <v>2022</v>
      </c>
      <c r="F2735" t="s">
        <v>21</v>
      </c>
      <c r="G2735">
        <v>46</v>
      </c>
      <c r="H2735" t="s">
        <v>23</v>
      </c>
      <c r="I2735" t="str">
        <f>VLOOKUP(Table4[[#This Row],[customer_id]],customers!A:G,4,)</f>
        <v>bangalore</v>
      </c>
    </row>
    <row r="2736" spans="1:9" x14ac:dyDescent="0.3">
      <c r="A2736">
        <v>22735</v>
      </c>
      <c r="B2736">
        <v>404</v>
      </c>
      <c r="C2736" s="2">
        <v>45258</v>
      </c>
      <c r="D2736" s="2" t="str">
        <f>TEXT(Table4[[#This Row],[issue_date]],"mmmm")</f>
        <v>November</v>
      </c>
      <c r="E2736" s="9">
        <f>YEAR(Table4[[#This Row],[issue_date]])</f>
        <v>2023</v>
      </c>
      <c r="F2736" t="s">
        <v>19</v>
      </c>
      <c r="G2736">
        <v>23</v>
      </c>
      <c r="H2736" t="s">
        <v>20</v>
      </c>
      <c r="I2736" t="str">
        <f>VLOOKUP(Table4[[#This Row],[customer_id]],customers!A:G,4,)</f>
        <v>hyderabad</v>
      </c>
    </row>
    <row r="2737" spans="1:9" x14ac:dyDescent="0.3">
      <c r="A2737">
        <v>22736</v>
      </c>
      <c r="B2737">
        <v>228</v>
      </c>
      <c r="C2737" s="2">
        <v>45049</v>
      </c>
      <c r="D2737" s="2" t="str">
        <f>TEXT(Table4[[#This Row],[issue_date]],"mmmm")</f>
        <v>May</v>
      </c>
      <c r="E2737" s="9">
        <f>YEAR(Table4[[#This Row],[issue_date]])</f>
        <v>2023</v>
      </c>
      <c r="F2737" t="s">
        <v>22</v>
      </c>
      <c r="G2737">
        <v>37</v>
      </c>
      <c r="H2737" t="s">
        <v>20</v>
      </c>
      <c r="I2737" t="str">
        <f>VLOOKUP(Table4[[#This Row],[customer_id]],customers!A:G,4,)</f>
        <v>hyderabad</v>
      </c>
    </row>
    <row r="2738" spans="1:9" x14ac:dyDescent="0.3">
      <c r="A2738">
        <v>22737</v>
      </c>
      <c r="B2738">
        <v>33</v>
      </c>
      <c r="C2738" s="2">
        <v>44903</v>
      </c>
      <c r="D2738" s="2" t="str">
        <f>TEXT(Table4[[#This Row],[issue_date]],"mmmm")</f>
        <v>December</v>
      </c>
      <c r="E2738" s="9">
        <f>YEAR(Table4[[#This Row],[issue_date]])</f>
        <v>2022</v>
      </c>
      <c r="F2738" t="s">
        <v>22</v>
      </c>
      <c r="G2738">
        <v>58</v>
      </c>
      <c r="H2738" t="s">
        <v>20</v>
      </c>
      <c r="I2738" t="str">
        <f>VLOOKUP(Table4[[#This Row],[customer_id]],customers!A:G,4,)</f>
        <v>kolkata</v>
      </c>
    </row>
    <row r="2739" spans="1:9" x14ac:dyDescent="0.3">
      <c r="A2739">
        <v>22738</v>
      </c>
      <c r="B2739">
        <v>214</v>
      </c>
      <c r="C2739" s="2">
        <v>45431</v>
      </c>
      <c r="D2739" s="2" t="str">
        <f>TEXT(Table4[[#This Row],[issue_date]],"mmmm")</f>
        <v>May</v>
      </c>
      <c r="E2739" s="9">
        <f>YEAR(Table4[[#This Row],[issue_date]])</f>
        <v>2024</v>
      </c>
      <c r="F2739" t="s">
        <v>19</v>
      </c>
      <c r="G2739">
        <v>43</v>
      </c>
      <c r="H2739" t="s">
        <v>20</v>
      </c>
      <c r="I2739" t="str">
        <f>VLOOKUP(Table4[[#This Row],[customer_id]],customers!A:G,4,)</f>
        <v>chennai</v>
      </c>
    </row>
    <row r="2740" spans="1:9" x14ac:dyDescent="0.3">
      <c r="A2740">
        <v>22739</v>
      </c>
      <c r="B2740">
        <v>136</v>
      </c>
      <c r="C2740" s="2">
        <v>45053</v>
      </c>
      <c r="D2740" s="2" t="str">
        <f>TEXT(Table4[[#This Row],[issue_date]],"mmmm")</f>
        <v>May</v>
      </c>
      <c r="E2740" s="9">
        <f>YEAR(Table4[[#This Row],[issue_date]])</f>
        <v>2023</v>
      </c>
      <c r="F2740" t="s">
        <v>19</v>
      </c>
      <c r="G2740">
        <v>15</v>
      </c>
      <c r="H2740" t="s">
        <v>20</v>
      </c>
      <c r="I2740" t="str">
        <f>VLOOKUP(Table4[[#This Row],[customer_id]],customers!A:G,4,)</f>
        <v>chennai</v>
      </c>
    </row>
    <row r="2741" spans="1:9" x14ac:dyDescent="0.3">
      <c r="A2741">
        <v>22740</v>
      </c>
      <c r="B2741">
        <v>248</v>
      </c>
      <c r="C2741" s="2">
        <v>45061</v>
      </c>
      <c r="D2741" s="2" t="str">
        <f>TEXT(Table4[[#This Row],[issue_date]],"mmmm")</f>
        <v>May</v>
      </c>
      <c r="E2741" s="9">
        <f>YEAR(Table4[[#This Row],[issue_date]])</f>
        <v>2023</v>
      </c>
      <c r="F2741" t="s">
        <v>19</v>
      </c>
      <c r="G2741">
        <v>67</v>
      </c>
      <c r="H2741" t="s">
        <v>20</v>
      </c>
      <c r="I2741" t="str">
        <f>VLOOKUP(Table4[[#This Row],[customer_id]],customers!A:G,4,)</f>
        <v>bangalore</v>
      </c>
    </row>
    <row r="2742" spans="1:9" x14ac:dyDescent="0.3">
      <c r="A2742">
        <v>22741</v>
      </c>
      <c r="B2742">
        <v>495</v>
      </c>
      <c r="C2742" s="2">
        <v>44993</v>
      </c>
      <c r="D2742" s="2" t="str">
        <f>TEXT(Table4[[#This Row],[issue_date]],"mmmm")</f>
        <v>March</v>
      </c>
      <c r="E2742" s="9">
        <f>YEAR(Table4[[#This Row],[issue_date]])</f>
        <v>2023</v>
      </c>
      <c r="F2742" t="s">
        <v>22</v>
      </c>
      <c r="G2742">
        <v>2</v>
      </c>
      <c r="H2742" t="s">
        <v>20</v>
      </c>
      <c r="I2742" t="str">
        <f>VLOOKUP(Table4[[#This Row],[customer_id]],customers!A:G,4,)</f>
        <v>mumbai</v>
      </c>
    </row>
    <row r="2743" spans="1:9" x14ac:dyDescent="0.3">
      <c r="A2743">
        <v>22742</v>
      </c>
      <c r="B2743">
        <v>408</v>
      </c>
      <c r="C2743" s="2">
        <v>44750</v>
      </c>
      <c r="D2743" s="2" t="str">
        <f>TEXT(Table4[[#This Row],[issue_date]],"mmmm")</f>
        <v>July</v>
      </c>
      <c r="E2743" s="9">
        <f>YEAR(Table4[[#This Row],[issue_date]])</f>
        <v>2022</v>
      </c>
      <c r="F2743" t="s">
        <v>19</v>
      </c>
      <c r="G2743">
        <v>71</v>
      </c>
      <c r="H2743" t="s">
        <v>20</v>
      </c>
      <c r="I2743" t="str">
        <f>VLOOKUP(Table4[[#This Row],[customer_id]],customers!A:G,4,)</f>
        <v>chennai</v>
      </c>
    </row>
    <row r="2744" spans="1:9" x14ac:dyDescent="0.3">
      <c r="A2744">
        <v>22743</v>
      </c>
      <c r="B2744">
        <v>53</v>
      </c>
      <c r="C2744" s="2">
        <v>44643</v>
      </c>
      <c r="D2744" s="2" t="str">
        <f>TEXT(Table4[[#This Row],[issue_date]],"mmmm")</f>
        <v>March</v>
      </c>
      <c r="E2744" s="9">
        <f>YEAR(Table4[[#This Row],[issue_date]])</f>
        <v>2022</v>
      </c>
      <c r="F2744" t="s">
        <v>21</v>
      </c>
      <c r="G2744">
        <v>5</v>
      </c>
      <c r="H2744" t="s">
        <v>20</v>
      </c>
      <c r="I2744" t="str">
        <f>VLOOKUP(Table4[[#This Row],[customer_id]],customers!A:G,4,)</f>
        <v>mumbai</v>
      </c>
    </row>
    <row r="2745" spans="1:9" x14ac:dyDescent="0.3">
      <c r="A2745">
        <v>22744</v>
      </c>
      <c r="B2745">
        <v>64</v>
      </c>
      <c r="C2745" s="2">
        <v>45373</v>
      </c>
      <c r="D2745" s="2" t="str">
        <f>TEXT(Table4[[#This Row],[issue_date]],"mmmm")</f>
        <v>March</v>
      </c>
      <c r="E2745" s="9">
        <f>YEAR(Table4[[#This Row],[issue_date]])</f>
        <v>2024</v>
      </c>
      <c r="F2745" t="s">
        <v>19</v>
      </c>
      <c r="G2745">
        <v>53</v>
      </c>
      <c r="H2745" t="s">
        <v>20</v>
      </c>
      <c r="I2745" t="str">
        <f>VLOOKUP(Table4[[#This Row],[customer_id]],customers!A:G,4,)</f>
        <v>bangalore</v>
      </c>
    </row>
    <row r="2746" spans="1:9" x14ac:dyDescent="0.3">
      <c r="A2746">
        <v>22745</v>
      </c>
      <c r="B2746">
        <v>314</v>
      </c>
      <c r="C2746" s="2">
        <v>44741</v>
      </c>
      <c r="D2746" s="2" t="str">
        <f>TEXT(Table4[[#This Row],[issue_date]],"mmmm")</f>
        <v>June</v>
      </c>
      <c r="E2746" s="9">
        <f>YEAR(Table4[[#This Row],[issue_date]])</f>
        <v>2022</v>
      </c>
      <c r="F2746" t="s">
        <v>21</v>
      </c>
      <c r="G2746">
        <v>45</v>
      </c>
      <c r="H2746" t="s">
        <v>20</v>
      </c>
      <c r="I2746" t="str">
        <f>VLOOKUP(Table4[[#This Row],[customer_id]],customers!A:G,4,)</f>
        <v>chennai</v>
      </c>
    </row>
    <row r="2747" spans="1:9" x14ac:dyDescent="0.3">
      <c r="A2747">
        <v>22746</v>
      </c>
      <c r="B2747">
        <v>374</v>
      </c>
      <c r="C2747" s="2">
        <v>45459</v>
      </c>
      <c r="D2747" s="2" t="str">
        <f>TEXT(Table4[[#This Row],[issue_date]],"mmmm")</f>
        <v>June</v>
      </c>
      <c r="E2747" s="9">
        <f>YEAR(Table4[[#This Row],[issue_date]])</f>
        <v>2024</v>
      </c>
      <c r="F2747" t="s">
        <v>21</v>
      </c>
      <c r="G2747">
        <v>41</v>
      </c>
      <c r="H2747" t="s">
        <v>20</v>
      </c>
      <c r="I2747" t="str">
        <f>VLOOKUP(Table4[[#This Row],[customer_id]],customers!A:G,4,)</f>
        <v>mumbai</v>
      </c>
    </row>
    <row r="2748" spans="1:9" x14ac:dyDescent="0.3">
      <c r="A2748">
        <v>22747</v>
      </c>
      <c r="B2748">
        <v>37</v>
      </c>
      <c r="C2748" s="2">
        <v>45422</v>
      </c>
      <c r="D2748" s="2" t="str">
        <f>TEXT(Table4[[#This Row],[issue_date]],"mmmm")</f>
        <v>May</v>
      </c>
      <c r="E2748" s="9">
        <f>YEAR(Table4[[#This Row],[issue_date]])</f>
        <v>2024</v>
      </c>
      <c r="F2748" t="s">
        <v>19</v>
      </c>
      <c r="G2748">
        <v>63</v>
      </c>
      <c r="H2748" t="s">
        <v>20</v>
      </c>
      <c r="I2748" t="str">
        <f>VLOOKUP(Table4[[#This Row],[customer_id]],customers!A:G,4,)</f>
        <v>kolkata</v>
      </c>
    </row>
    <row r="2749" spans="1:9" x14ac:dyDescent="0.3">
      <c r="A2749">
        <v>22748</v>
      </c>
      <c r="B2749">
        <v>212</v>
      </c>
      <c r="C2749" s="2">
        <v>44976</v>
      </c>
      <c r="D2749" s="2" t="str">
        <f>TEXT(Table4[[#This Row],[issue_date]],"mmmm")</f>
        <v>February</v>
      </c>
      <c r="E2749" s="9">
        <f>YEAR(Table4[[#This Row],[issue_date]])</f>
        <v>2023</v>
      </c>
      <c r="F2749" t="s">
        <v>21</v>
      </c>
      <c r="G2749">
        <v>32</v>
      </c>
      <c r="H2749" t="s">
        <v>20</v>
      </c>
      <c r="I2749" t="str">
        <f>VLOOKUP(Table4[[#This Row],[customer_id]],customers!A:G,4,)</f>
        <v>delhi</v>
      </c>
    </row>
    <row r="2750" spans="1:9" x14ac:dyDescent="0.3">
      <c r="A2750">
        <v>22749</v>
      </c>
      <c r="B2750">
        <v>12</v>
      </c>
      <c r="C2750" s="2">
        <v>44666</v>
      </c>
      <c r="D2750" s="2" t="str">
        <f>TEXT(Table4[[#This Row],[issue_date]],"mmmm")</f>
        <v>April</v>
      </c>
      <c r="E2750" s="9">
        <f>YEAR(Table4[[#This Row],[issue_date]])</f>
        <v>2022</v>
      </c>
      <c r="F2750" t="s">
        <v>22</v>
      </c>
      <c r="G2750">
        <v>2</v>
      </c>
      <c r="H2750" t="s">
        <v>20</v>
      </c>
      <c r="I2750" t="str">
        <f>VLOOKUP(Table4[[#This Row],[customer_id]],customers!A:G,4,)</f>
        <v>kolkata</v>
      </c>
    </row>
    <row r="2751" spans="1:9" x14ac:dyDescent="0.3">
      <c r="A2751">
        <v>22750</v>
      </c>
      <c r="B2751">
        <v>468</v>
      </c>
      <c r="C2751" s="2">
        <v>44942</v>
      </c>
      <c r="D2751" s="2" t="str">
        <f>TEXT(Table4[[#This Row],[issue_date]],"mmmm")</f>
        <v>January</v>
      </c>
      <c r="E2751" s="9">
        <f>YEAR(Table4[[#This Row],[issue_date]])</f>
        <v>2023</v>
      </c>
      <c r="F2751" t="s">
        <v>19</v>
      </c>
      <c r="G2751">
        <v>10</v>
      </c>
      <c r="H2751" t="s">
        <v>20</v>
      </c>
      <c r="I2751" t="str">
        <f>VLOOKUP(Table4[[#This Row],[customer_id]],customers!A:G,4,)</f>
        <v>mumbai</v>
      </c>
    </row>
    <row r="2752" spans="1:9" x14ac:dyDescent="0.3">
      <c r="A2752">
        <v>22751</v>
      </c>
      <c r="B2752">
        <v>84</v>
      </c>
      <c r="C2752" s="2">
        <v>45283</v>
      </c>
      <c r="D2752" s="2" t="str">
        <f>TEXT(Table4[[#This Row],[issue_date]],"mmmm")</f>
        <v>December</v>
      </c>
      <c r="E2752" s="9">
        <f>YEAR(Table4[[#This Row],[issue_date]])</f>
        <v>2023</v>
      </c>
      <c r="F2752" t="s">
        <v>22</v>
      </c>
      <c r="G2752">
        <v>43</v>
      </c>
      <c r="H2752" t="s">
        <v>20</v>
      </c>
      <c r="I2752" t="str">
        <f>VLOOKUP(Table4[[#This Row],[customer_id]],customers!A:G,4,)</f>
        <v>delhi</v>
      </c>
    </row>
    <row r="2753" spans="1:9" x14ac:dyDescent="0.3">
      <c r="A2753">
        <v>22752</v>
      </c>
      <c r="B2753">
        <v>388</v>
      </c>
      <c r="C2753" s="2">
        <v>44890</v>
      </c>
      <c r="D2753" s="2" t="str">
        <f>TEXT(Table4[[#This Row],[issue_date]],"mmmm")</f>
        <v>November</v>
      </c>
      <c r="E2753" s="9">
        <f>YEAR(Table4[[#This Row],[issue_date]])</f>
        <v>2022</v>
      </c>
      <c r="F2753" t="s">
        <v>22</v>
      </c>
      <c r="G2753">
        <v>43</v>
      </c>
      <c r="H2753" t="s">
        <v>20</v>
      </c>
      <c r="I2753" t="str">
        <f>VLOOKUP(Table4[[#This Row],[customer_id]],customers!A:G,4,)</f>
        <v>chennai</v>
      </c>
    </row>
    <row r="2754" spans="1:9" x14ac:dyDescent="0.3">
      <c r="A2754">
        <v>22753</v>
      </c>
      <c r="B2754">
        <v>94</v>
      </c>
      <c r="C2754" s="2">
        <v>44810</v>
      </c>
      <c r="D2754" s="2" t="str">
        <f>TEXT(Table4[[#This Row],[issue_date]],"mmmm")</f>
        <v>September</v>
      </c>
      <c r="E2754" s="9">
        <f>YEAR(Table4[[#This Row],[issue_date]])</f>
        <v>2022</v>
      </c>
      <c r="F2754" t="s">
        <v>21</v>
      </c>
      <c r="G2754">
        <v>67</v>
      </c>
      <c r="H2754" t="s">
        <v>20</v>
      </c>
      <c r="I2754" t="str">
        <f>VLOOKUP(Table4[[#This Row],[customer_id]],customers!A:G,4,)</f>
        <v>delhi</v>
      </c>
    </row>
    <row r="2755" spans="1:9" x14ac:dyDescent="0.3">
      <c r="A2755">
        <v>22754</v>
      </c>
      <c r="B2755">
        <v>415</v>
      </c>
      <c r="C2755" s="2">
        <v>44633</v>
      </c>
      <c r="D2755" s="2" t="str">
        <f>TEXT(Table4[[#This Row],[issue_date]],"mmmm")</f>
        <v>March</v>
      </c>
      <c r="E2755" s="9">
        <f>YEAR(Table4[[#This Row],[issue_date]])</f>
        <v>2022</v>
      </c>
      <c r="F2755" t="s">
        <v>22</v>
      </c>
      <c r="G2755">
        <v>23</v>
      </c>
      <c r="H2755" t="s">
        <v>20</v>
      </c>
      <c r="I2755" t="str">
        <f>VLOOKUP(Table4[[#This Row],[customer_id]],customers!A:G,4,)</f>
        <v>delhi</v>
      </c>
    </row>
    <row r="2756" spans="1:9" x14ac:dyDescent="0.3">
      <c r="A2756">
        <v>22755</v>
      </c>
      <c r="B2756">
        <v>342</v>
      </c>
      <c r="C2756" s="2">
        <v>45234</v>
      </c>
      <c r="D2756" s="2" t="str">
        <f>TEXT(Table4[[#This Row],[issue_date]],"mmmm")</f>
        <v>November</v>
      </c>
      <c r="E2756" s="9">
        <f>YEAR(Table4[[#This Row],[issue_date]])</f>
        <v>2023</v>
      </c>
      <c r="F2756" t="s">
        <v>22</v>
      </c>
      <c r="G2756">
        <v>60</v>
      </c>
      <c r="H2756" t="s">
        <v>20</v>
      </c>
      <c r="I2756" t="str">
        <f>VLOOKUP(Table4[[#This Row],[customer_id]],customers!A:G,4,)</f>
        <v>hyderabad</v>
      </c>
    </row>
    <row r="2757" spans="1:9" x14ac:dyDescent="0.3">
      <c r="A2757">
        <v>22756</v>
      </c>
      <c r="B2757">
        <v>207</v>
      </c>
      <c r="C2757" s="2">
        <v>44694</v>
      </c>
      <c r="D2757" s="2" t="str">
        <f>TEXT(Table4[[#This Row],[issue_date]],"mmmm")</f>
        <v>May</v>
      </c>
      <c r="E2757" s="9">
        <f>YEAR(Table4[[#This Row],[issue_date]])</f>
        <v>2022</v>
      </c>
      <c r="F2757" t="s">
        <v>19</v>
      </c>
      <c r="G2757">
        <v>6</v>
      </c>
      <c r="H2757" t="s">
        <v>20</v>
      </c>
      <c r="I2757" t="str">
        <f>VLOOKUP(Table4[[#This Row],[customer_id]],customers!A:G,4,)</f>
        <v>mumbai</v>
      </c>
    </row>
    <row r="2758" spans="1:9" x14ac:dyDescent="0.3">
      <c r="A2758">
        <v>22757</v>
      </c>
      <c r="B2758">
        <v>38</v>
      </c>
      <c r="C2758" s="2">
        <v>44801</v>
      </c>
      <c r="D2758" s="2" t="str">
        <f>TEXT(Table4[[#This Row],[issue_date]],"mmmm")</f>
        <v>August</v>
      </c>
      <c r="E2758" s="9">
        <f>YEAR(Table4[[#This Row],[issue_date]])</f>
        <v>2022</v>
      </c>
      <c r="F2758" t="s">
        <v>19</v>
      </c>
      <c r="G2758">
        <v>13</v>
      </c>
      <c r="H2758" t="s">
        <v>20</v>
      </c>
      <c r="I2758" t="str">
        <f>VLOOKUP(Table4[[#This Row],[customer_id]],customers!A:G,4,)</f>
        <v>mumbai</v>
      </c>
    </row>
    <row r="2759" spans="1:9" x14ac:dyDescent="0.3">
      <c r="A2759">
        <v>22758</v>
      </c>
      <c r="B2759">
        <v>421</v>
      </c>
      <c r="C2759" s="2">
        <v>44639</v>
      </c>
      <c r="D2759" s="2" t="str">
        <f>TEXT(Table4[[#This Row],[issue_date]],"mmmm")</f>
        <v>March</v>
      </c>
      <c r="E2759" s="9">
        <f>YEAR(Table4[[#This Row],[issue_date]])</f>
        <v>2022</v>
      </c>
      <c r="F2759" t="s">
        <v>22</v>
      </c>
      <c r="G2759">
        <v>21</v>
      </c>
      <c r="H2759" t="s">
        <v>20</v>
      </c>
      <c r="I2759" t="str">
        <f>VLOOKUP(Table4[[#This Row],[customer_id]],customers!A:G,4,)</f>
        <v>chennai</v>
      </c>
    </row>
    <row r="2760" spans="1:9" x14ac:dyDescent="0.3">
      <c r="A2760">
        <v>22759</v>
      </c>
      <c r="B2760">
        <v>348</v>
      </c>
      <c r="C2760" s="2">
        <v>45131</v>
      </c>
      <c r="D2760" s="2" t="str">
        <f>TEXT(Table4[[#This Row],[issue_date]],"mmmm")</f>
        <v>July</v>
      </c>
      <c r="E2760" s="9">
        <f>YEAR(Table4[[#This Row],[issue_date]])</f>
        <v>2023</v>
      </c>
      <c r="F2760" t="s">
        <v>21</v>
      </c>
      <c r="G2760">
        <v>58</v>
      </c>
      <c r="H2760" t="s">
        <v>20</v>
      </c>
      <c r="I2760" t="str">
        <f>VLOOKUP(Table4[[#This Row],[customer_id]],customers!A:G,4,)</f>
        <v>chennai</v>
      </c>
    </row>
    <row r="2761" spans="1:9" x14ac:dyDescent="0.3">
      <c r="A2761">
        <v>22760</v>
      </c>
      <c r="B2761">
        <v>203</v>
      </c>
      <c r="C2761" s="2">
        <v>45022</v>
      </c>
      <c r="D2761" s="2" t="str">
        <f>TEXT(Table4[[#This Row],[issue_date]],"mmmm")</f>
        <v>April</v>
      </c>
      <c r="E2761" s="9">
        <f>YEAR(Table4[[#This Row],[issue_date]])</f>
        <v>2023</v>
      </c>
      <c r="F2761" t="s">
        <v>21</v>
      </c>
      <c r="G2761">
        <v>28</v>
      </c>
      <c r="H2761" t="s">
        <v>23</v>
      </c>
      <c r="I2761" t="str">
        <f>VLOOKUP(Table4[[#This Row],[customer_id]],customers!A:G,4,)</f>
        <v>mumbai</v>
      </c>
    </row>
    <row r="2762" spans="1:9" x14ac:dyDescent="0.3">
      <c r="A2762">
        <v>22761</v>
      </c>
      <c r="B2762">
        <v>270</v>
      </c>
      <c r="C2762" s="2">
        <v>44686</v>
      </c>
      <c r="D2762" s="2" t="str">
        <f>TEXT(Table4[[#This Row],[issue_date]],"mmmm")</f>
        <v>May</v>
      </c>
      <c r="E2762" s="9">
        <f>YEAR(Table4[[#This Row],[issue_date]])</f>
        <v>2022</v>
      </c>
      <c r="F2762" t="s">
        <v>19</v>
      </c>
      <c r="G2762">
        <v>70</v>
      </c>
      <c r="H2762" t="s">
        <v>20</v>
      </c>
      <c r="I2762" t="str">
        <f>VLOOKUP(Table4[[#This Row],[customer_id]],customers!A:G,4,)</f>
        <v>delhi</v>
      </c>
    </row>
    <row r="2763" spans="1:9" x14ac:dyDescent="0.3">
      <c r="A2763">
        <v>22762</v>
      </c>
      <c r="B2763">
        <v>75</v>
      </c>
      <c r="C2763" s="2">
        <v>44572</v>
      </c>
      <c r="D2763" s="2" t="str">
        <f>TEXT(Table4[[#This Row],[issue_date]],"mmmm")</f>
        <v>January</v>
      </c>
      <c r="E2763" s="9">
        <f>YEAR(Table4[[#This Row],[issue_date]])</f>
        <v>2022</v>
      </c>
      <c r="F2763" t="s">
        <v>19</v>
      </c>
      <c r="G2763">
        <v>8</v>
      </c>
      <c r="H2763" t="s">
        <v>23</v>
      </c>
      <c r="I2763" t="str">
        <f>VLOOKUP(Table4[[#This Row],[customer_id]],customers!A:G,4,)</f>
        <v>mumbai</v>
      </c>
    </row>
    <row r="2764" spans="1:9" x14ac:dyDescent="0.3">
      <c r="A2764">
        <v>22763</v>
      </c>
      <c r="B2764">
        <v>128</v>
      </c>
      <c r="C2764" s="2">
        <v>45029</v>
      </c>
      <c r="D2764" s="2" t="str">
        <f>TEXT(Table4[[#This Row],[issue_date]],"mmmm")</f>
        <v>April</v>
      </c>
      <c r="E2764" s="9">
        <f>YEAR(Table4[[#This Row],[issue_date]])</f>
        <v>2023</v>
      </c>
      <c r="F2764" t="s">
        <v>19</v>
      </c>
      <c r="G2764">
        <v>58</v>
      </c>
      <c r="H2764" t="s">
        <v>20</v>
      </c>
      <c r="I2764" t="str">
        <f>VLOOKUP(Table4[[#This Row],[customer_id]],customers!A:G,4,)</f>
        <v>bangalore</v>
      </c>
    </row>
    <row r="2765" spans="1:9" x14ac:dyDescent="0.3">
      <c r="A2765">
        <v>22764</v>
      </c>
      <c r="B2765">
        <v>329</v>
      </c>
      <c r="C2765" s="2">
        <v>44968</v>
      </c>
      <c r="D2765" s="2" t="str">
        <f>TEXT(Table4[[#This Row],[issue_date]],"mmmm")</f>
        <v>February</v>
      </c>
      <c r="E2765" s="9">
        <f>YEAR(Table4[[#This Row],[issue_date]])</f>
        <v>2023</v>
      </c>
      <c r="F2765" t="s">
        <v>21</v>
      </c>
      <c r="G2765">
        <v>40</v>
      </c>
      <c r="H2765" t="s">
        <v>20</v>
      </c>
      <c r="I2765" t="str">
        <f>VLOOKUP(Table4[[#This Row],[customer_id]],customers!A:G,4,)</f>
        <v>delhi</v>
      </c>
    </row>
    <row r="2766" spans="1:9" x14ac:dyDescent="0.3">
      <c r="A2766">
        <v>22765</v>
      </c>
      <c r="B2766">
        <v>152</v>
      </c>
      <c r="C2766" s="2">
        <v>44588</v>
      </c>
      <c r="D2766" s="2" t="str">
        <f>TEXT(Table4[[#This Row],[issue_date]],"mmmm")</f>
        <v>January</v>
      </c>
      <c r="E2766" s="9">
        <f>YEAR(Table4[[#This Row],[issue_date]])</f>
        <v>2022</v>
      </c>
      <c r="F2766" t="s">
        <v>19</v>
      </c>
      <c r="G2766">
        <v>1</v>
      </c>
      <c r="H2766" t="s">
        <v>20</v>
      </c>
      <c r="I2766" t="str">
        <f>VLOOKUP(Table4[[#This Row],[customer_id]],customers!A:G,4,)</f>
        <v>bangalore</v>
      </c>
    </row>
    <row r="2767" spans="1:9" x14ac:dyDescent="0.3">
      <c r="A2767">
        <v>22766</v>
      </c>
      <c r="B2767">
        <v>10</v>
      </c>
      <c r="C2767" s="2">
        <v>44768</v>
      </c>
      <c r="D2767" s="2" t="str">
        <f>TEXT(Table4[[#This Row],[issue_date]],"mmmm")</f>
        <v>July</v>
      </c>
      <c r="E2767" s="9">
        <f>YEAR(Table4[[#This Row],[issue_date]])</f>
        <v>2022</v>
      </c>
      <c r="F2767" t="s">
        <v>22</v>
      </c>
      <c r="G2767">
        <v>65</v>
      </c>
      <c r="H2767" t="s">
        <v>20</v>
      </c>
      <c r="I2767" t="str">
        <f>VLOOKUP(Table4[[#This Row],[customer_id]],customers!A:G,4,)</f>
        <v>bangalore</v>
      </c>
    </row>
    <row r="2768" spans="1:9" x14ac:dyDescent="0.3">
      <c r="A2768">
        <v>22767</v>
      </c>
      <c r="B2768">
        <v>38</v>
      </c>
      <c r="C2768" s="2">
        <v>44783</v>
      </c>
      <c r="D2768" s="2" t="str">
        <f>TEXT(Table4[[#This Row],[issue_date]],"mmmm")</f>
        <v>August</v>
      </c>
      <c r="E2768" s="9">
        <f>YEAR(Table4[[#This Row],[issue_date]])</f>
        <v>2022</v>
      </c>
      <c r="F2768" t="s">
        <v>21</v>
      </c>
      <c r="G2768">
        <v>10</v>
      </c>
      <c r="H2768" t="s">
        <v>20</v>
      </c>
      <c r="I2768" t="str">
        <f>VLOOKUP(Table4[[#This Row],[customer_id]],customers!A:G,4,)</f>
        <v>mumbai</v>
      </c>
    </row>
    <row r="2769" spans="1:9" x14ac:dyDescent="0.3">
      <c r="A2769">
        <v>22768</v>
      </c>
      <c r="B2769">
        <v>427</v>
      </c>
      <c r="C2769" s="2">
        <v>44873</v>
      </c>
      <c r="D2769" s="2" t="str">
        <f>TEXT(Table4[[#This Row],[issue_date]],"mmmm")</f>
        <v>November</v>
      </c>
      <c r="E2769" s="9">
        <f>YEAR(Table4[[#This Row],[issue_date]])</f>
        <v>2022</v>
      </c>
      <c r="F2769" t="s">
        <v>22</v>
      </c>
      <c r="G2769">
        <v>60</v>
      </c>
      <c r="H2769" t="s">
        <v>20</v>
      </c>
      <c r="I2769" t="str">
        <f>VLOOKUP(Table4[[#This Row],[customer_id]],customers!A:G,4,)</f>
        <v>delhi</v>
      </c>
    </row>
    <row r="2770" spans="1:9" x14ac:dyDescent="0.3">
      <c r="A2770">
        <v>22769</v>
      </c>
      <c r="B2770">
        <v>105</v>
      </c>
      <c r="C2770" s="2">
        <v>44943</v>
      </c>
      <c r="D2770" s="2" t="str">
        <f>TEXT(Table4[[#This Row],[issue_date]],"mmmm")</f>
        <v>January</v>
      </c>
      <c r="E2770" s="9">
        <f>YEAR(Table4[[#This Row],[issue_date]])</f>
        <v>2023</v>
      </c>
      <c r="F2770" t="s">
        <v>19</v>
      </c>
      <c r="G2770">
        <v>69</v>
      </c>
      <c r="H2770" t="s">
        <v>20</v>
      </c>
      <c r="I2770" t="str">
        <f>VLOOKUP(Table4[[#This Row],[customer_id]],customers!A:G,4,)</f>
        <v>kolkata</v>
      </c>
    </row>
    <row r="2771" spans="1:9" x14ac:dyDescent="0.3">
      <c r="A2771">
        <v>22770</v>
      </c>
      <c r="B2771">
        <v>165</v>
      </c>
      <c r="C2771" s="2">
        <v>45323</v>
      </c>
      <c r="D2771" s="2" t="str">
        <f>TEXT(Table4[[#This Row],[issue_date]],"mmmm")</f>
        <v>February</v>
      </c>
      <c r="E2771" s="9">
        <f>YEAR(Table4[[#This Row],[issue_date]])</f>
        <v>2024</v>
      </c>
      <c r="F2771" t="s">
        <v>21</v>
      </c>
      <c r="G2771">
        <v>20</v>
      </c>
      <c r="H2771" t="s">
        <v>20</v>
      </c>
      <c r="I2771" t="str">
        <f>VLOOKUP(Table4[[#This Row],[customer_id]],customers!A:G,4,)</f>
        <v>mumbai</v>
      </c>
    </row>
    <row r="2772" spans="1:9" x14ac:dyDescent="0.3">
      <c r="A2772">
        <v>22771</v>
      </c>
      <c r="B2772">
        <v>426</v>
      </c>
      <c r="C2772" s="2">
        <v>44876</v>
      </c>
      <c r="D2772" s="2" t="str">
        <f>TEXT(Table4[[#This Row],[issue_date]],"mmmm")</f>
        <v>November</v>
      </c>
      <c r="E2772" s="9">
        <f>YEAR(Table4[[#This Row],[issue_date]])</f>
        <v>2022</v>
      </c>
      <c r="F2772" t="s">
        <v>19</v>
      </c>
      <c r="G2772">
        <v>62</v>
      </c>
      <c r="H2772" t="s">
        <v>20</v>
      </c>
      <c r="I2772" t="str">
        <f>VLOOKUP(Table4[[#This Row],[customer_id]],customers!A:G,4,)</f>
        <v>mumbai</v>
      </c>
    </row>
    <row r="2773" spans="1:9" x14ac:dyDescent="0.3">
      <c r="A2773">
        <v>22772</v>
      </c>
      <c r="B2773">
        <v>32</v>
      </c>
      <c r="C2773" s="2">
        <v>44769</v>
      </c>
      <c r="D2773" s="2" t="str">
        <f>TEXT(Table4[[#This Row],[issue_date]],"mmmm")</f>
        <v>July</v>
      </c>
      <c r="E2773" s="9">
        <f>YEAR(Table4[[#This Row],[issue_date]])</f>
        <v>2022</v>
      </c>
      <c r="F2773" t="s">
        <v>21</v>
      </c>
      <c r="G2773">
        <v>13</v>
      </c>
      <c r="H2773" t="s">
        <v>20</v>
      </c>
      <c r="I2773" t="str">
        <f>VLOOKUP(Table4[[#This Row],[customer_id]],customers!A:G,4,)</f>
        <v>bangalore</v>
      </c>
    </row>
    <row r="2774" spans="1:9" x14ac:dyDescent="0.3">
      <c r="A2774">
        <v>22773</v>
      </c>
      <c r="B2774">
        <v>212</v>
      </c>
      <c r="C2774" s="2">
        <v>45182</v>
      </c>
      <c r="D2774" s="2" t="str">
        <f>TEXT(Table4[[#This Row],[issue_date]],"mmmm")</f>
        <v>September</v>
      </c>
      <c r="E2774" s="9">
        <f>YEAR(Table4[[#This Row],[issue_date]])</f>
        <v>2023</v>
      </c>
      <c r="F2774" t="s">
        <v>19</v>
      </c>
      <c r="G2774">
        <v>58</v>
      </c>
      <c r="H2774" t="s">
        <v>20</v>
      </c>
      <c r="I2774" t="str">
        <f>VLOOKUP(Table4[[#This Row],[customer_id]],customers!A:G,4,)</f>
        <v>delhi</v>
      </c>
    </row>
    <row r="2775" spans="1:9" x14ac:dyDescent="0.3">
      <c r="A2775">
        <v>22774</v>
      </c>
      <c r="B2775">
        <v>14</v>
      </c>
      <c r="C2775" s="2">
        <v>44857</v>
      </c>
      <c r="D2775" s="2" t="str">
        <f>TEXT(Table4[[#This Row],[issue_date]],"mmmm")</f>
        <v>October</v>
      </c>
      <c r="E2775" s="9">
        <f>YEAR(Table4[[#This Row],[issue_date]])</f>
        <v>2022</v>
      </c>
      <c r="F2775" t="s">
        <v>21</v>
      </c>
      <c r="G2775">
        <v>37</v>
      </c>
      <c r="H2775" t="s">
        <v>20</v>
      </c>
      <c r="I2775" t="str">
        <f>VLOOKUP(Table4[[#This Row],[customer_id]],customers!A:G,4,)</f>
        <v>mumbai</v>
      </c>
    </row>
    <row r="2776" spans="1:9" x14ac:dyDescent="0.3">
      <c r="A2776">
        <v>22775</v>
      </c>
      <c r="B2776">
        <v>230</v>
      </c>
      <c r="C2776" s="2">
        <v>44963</v>
      </c>
      <c r="D2776" s="2" t="str">
        <f>TEXT(Table4[[#This Row],[issue_date]],"mmmm")</f>
        <v>February</v>
      </c>
      <c r="E2776" s="9">
        <f>YEAR(Table4[[#This Row],[issue_date]])</f>
        <v>2023</v>
      </c>
      <c r="F2776" t="s">
        <v>21</v>
      </c>
      <c r="G2776">
        <v>10</v>
      </c>
      <c r="H2776" t="s">
        <v>20</v>
      </c>
      <c r="I2776" t="str">
        <f>VLOOKUP(Table4[[#This Row],[customer_id]],customers!A:G,4,)</f>
        <v>chennai</v>
      </c>
    </row>
    <row r="2777" spans="1:9" x14ac:dyDescent="0.3">
      <c r="A2777">
        <v>22776</v>
      </c>
      <c r="B2777">
        <v>132</v>
      </c>
      <c r="C2777" s="2">
        <v>44996</v>
      </c>
      <c r="D2777" s="2" t="str">
        <f>TEXT(Table4[[#This Row],[issue_date]],"mmmm")</f>
        <v>March</v>
      </c>
      <c r="E2777" s="9">
        <f>YEAR(Table4[[#This Row],[issue_date]])</f>
        <v>2023</v>
      </c>
      <c r="F2777" t="s">
        <v>21</v>
      </c>
      <c r="G2777">
        <v>3</v>
      </c>
      <c r="H2777" t="s">
        <v>23</v>
      </c>
      <c r="I2777" t="str">
        <f>VLOOKUP(Table4[[#This Row],[customer_id]],customers!A:G,4,)</f>
        <v>hyderabad</v>
      </c>
    </row>
    <row r="2778" spans="1:9" x14ac:dyDescent="0.3">
      <c r="A2778">
        <v>22777</v>
      </c>
      <c r="B2778">
        <v>152</v>
      </c>
      <c r="C2778" s="2">
        <v>45134</v>
      </c>
      <c r="D2778" s="2" t="str">
        <f>TEXT(Table4[[#This Row],[issue_date]],"mmmm")</f>
        <v>July</v>
      </c>
      <c r="E2778" s="9">
        <f>YEAR(Table4[[#This Row],[issue_date]])</f>
        <v>2023</v>
      </c>
      <c r="F2778" t="s">
        <v>22</v>
      </c>
      <c r="G2778">
        <v>34</v>
      </c>
      <c r="H2778" t="s">
        <v>20</v>
      </c>
      <c r="I2778" t="str">
        <f>VLOOKUP(Table4[[#This Row],[customer_id]],customers!A:G,4,)</f>
        <v>bangalore</v>
      </c>
    </row>
    <row r="2779" spans="1:9" x14ac:dyDescent="0.3">
      <c r="A2779">
        <v>22778</v>
      </c>
      <c r="B2779">
        <v>96</v>
      </c>
      <c r="C2779" s="2">
        <v>44683</v>
      </c>
      <c r="D2779" s="2" t="str">
        <f>TEXT(Table4[[#This Row],[issue_date]],"mmmm")</f>
        <v>May</v>
      </c>
      <c r="E2779" s="9">
        <f>YEAR(Table4[[#This Row],[issue_date]])</f>
        <v>2022</v>
      </c>
      <c r="F2779" t="s">
        <v>19</v>
      </c>
      <c r="G2779">
        <v>34</v>
      </c>
      <c r="H2779" t="s">
        <v>20</v>
      </c>
      <c r="I2779" t="str">
        <f>VLOOKUP(Table4[[#This Row],[customer_id]],customers!A:G,4,)</f>
        <v>hyderabad</v>
      </c>
    </row>
    <row r="2780" spans="1:9" x14ac:dyDescent="0.3">
      <c r="A2780">
        <v>22779</v>
      </c>
      <c r="B2780">
        <v>10</v>
      </c>
      <c r="C2780" s="2">
        <v>45312</v>
      </c>
      <c r="D2780" s="2" t="str">
        <f>TEXT(Table4[[#This Row],[issue_date]],"mmmm")</f>
        <v>January</v>
      </c>
      <c r="E2780" s="9">
        <f>YEAR(Table4[[#This Row],[issue_date]])</f>
        <v>2024</v>
      </c>
      <c r="F2780" t="s">
        <v>19</v>
      </c>
      <c r="G2780">
        <v>30</v>
      </c>
      <c r="H2780" t="s">
        <v>20</v>
      </c>
      <c r="I2780" t="str">
        <f>VLOOKUP(Table4[[#This Row],[customer_id]],customers!A:G,4,)</f>
        <v>bangalore</v>
      </c>
    </row>
    <row r="2781" spans="1:9" x14ac:dyDescent="0.3">
      <c r="A2781">
        <v>22780</v>
      </c>
      <c r="B2781">
        <v>374</v>
      </c>
      <c r="C2781" s="2">
        <v>44667</v>
      </c>
      <c r="D2781" s="2" t="str">
        <f>TEXT(Table4[[#This Row],[issue_date]],"mmmm")</f>
        <v>April</v>
      </c>
      <c r="E2781" s="9">
        <f>YEAR(Table4[[#This Row],[issue_date]])</f>
        <v>2022</v>
      </c>
      <c r="F2781" t="s">
        <v>21</v>
      </c>
      <c r="G2781">
        <v>37</v>
      </c>
      <c r="H2781" t="s">
        <v>20</v>
      </c>
      <c r="I2781" t="str">
        <f>VLOOKUP(Table4[[#This Row],[customer_id]],customers!A:G,4,)</f>
        <v>mumbai</v>
      </c>
    </row>
    <row r="2782" spans="1:9" x14ac:dyDescent="0.3">
      <c r="A2782">
        <v>22781</v>
      </c>
      <c r="B2782">
        <v>363</v>
      </c>
      <c r="C2782" s="2">
        <v>45352</v>
      </c>
      <c r="D2782" s="2" t="str">
        <f>TEXT(Table4[[#This Row],[issue_date]],"mmmm")</f>
        <v>March</v>
      </c>
      <c r="E2782" s="9">
        <f>YEAR(Table4[[#This Row],[issue_date]])</f>
        <v>2024</v>
      </c>
      <c r="F2782" t="s">
        <v>22</v>
      </c>
      <c r="G2782">
        <v>68</v>
      </c>
      <c r="H2782" t="s">
        <v>20</v>
      </c>
      <c r="I2782" t="str">
        <f>VLOOKUP(Table4[[#This Row],[customer_id]],customers!A:G,4,)</f>
        <v>delhi</v>
      </c>
    </row>
    <row r="2783" spans="1:9" x14ac:dyDescent="0.3">
      <c r="A2783">
        <v>22782</v>
      </c>
      <c r="B2783">
        <v>16</v>
      </c>
      <c r="C2783" s="2">
        <v>44597</v>
      </c>
      <c r="D2783" s="2" t="str">
        <f>TEXT(Table4[[#This Row],[issue_date]],"mmmm")</f>
        <v>February</v>
      </c>
      <c r="E2783" s="9">
        <f>YEAR(Table4[[#This Row],[issue_date]])</f>
        <v>2022</v>
      </c>
      <c r="F2783" t="s">
        <v>21</v>
      </c>
      <c r="G2783">
        <v>34</v>
      </c>
      <c r="H2783" t="s">
        <v>20</v>
      </c>
      <c r="I2783" t="str">
        <f>VLOOKUP(Table4[[#This Row],[customer_id]],customers!A:G,4,)</f>
        <v>bangalore</v>
      </c>
    </row>
    <row r="2784" spans="1:9" x14ac:dyDescent="0.3">
      <c r="A2784">
        <v>22783</v>
      </c>
      <c r="B2784">
        <v>167</v>
      </c>
      <c r="C2784" s="2">
        <v>45111</v>
      </c>
      <c r="D2784" s="2" t="str">
        <f>TEXT(Table4[[#This Row],[issue_date]],"mmmm")</f>
        <v>July</v>
      </c>
      <c r="E2784" s="9">
        <f>YEAR(Table4[[#This Row],[issue_date]])</f>
        <v>2023</v>
      </c>
      <c r="F2784" t="s">
        <v>19</v>
      </c>
      <c r="G2784">
        <v>32</v>
      </c>
      <c r="H2784" t="s">
        <v>20</v>
      </c>
      <c r="I2784" t="str">
        <f>VLOOKUP(Table4[[#This Row],[customer_id]],customers!A:G,4,)</f>
        <v>bangalore</v>
      </c>
    </row>
    <row r="2785" spans="1:9" x14ac:dyDescent="0.3">
      <c r="A2785">
        <v>22784</v>
      </c>
      <c r="B2785">
        <v>96</v>
      </c>
      <c r="C2785" s="2">
        <v>44633</v>
      </c>
      <c r="D2785" s="2" t="str">
        <f>TEXT(Table4[[#This Row],[issue_date]],"mmmm")</f>
        <v>March</v>
      </c>
      <c r="E2785" s="9">
        <f>YEAR(Table4[[#This Row],[issue_date]])</f>
        <v>2022</v>
      </c>
      <c r="F2785" t="s">
        <v>19</v>
      </c>
      <c r="G2785">
        <v>58</v>
      </c>
      <c r="H2785" t="s">
        <v>20</v>
      </c>
      <c r="I2785" t="str">
        <f>VLOOKUP(Table4[[#This Row],[customer_id]],customers!A:G,4,)</f>
        <v>hyderabad</v>
      </c>
    </row>
    <row r="2786" spans="1:9" x14ac:dyDescent="0.3">
      <c r="A2786">
        <v>22785</v>
      </c>
      <c r="B2786">
        <v>18</v>
      </c>
      <c r="C2786" s="2">
        <v>45129</v>
      </c>
      <c r="D2786" s="2" t="str">
        <f>TEXT(Table4[[#This Row],[issue_date]],"mmmm")</f>
        <v>July</v>
      </c>
      <c r="E2786" s="9">
        <f>YEAR(Table4[[#This Row],[issue_date]])</f>
        <v>2023</v>
      </c>
      <c r="F2786" t="s">
        <v>21</v>
      </c>
      <c r="G2786">
        <v>24</v>
      </c>
      <c r="H2786" t="s">
        <v>20</v>
      </c>
      <c r="I2786" t="str">
        <f>VLOOKUP(Table4[[#This Row],[customer_id]],customers!A:G,4,)</f>
        <v>delhi</v>
      </c>
    </row>
    <row r="2787" spans="1:9" x14ac:dyDescent="0.3">
      <c r="A2787">
        <v>22786</v>
      </c>
      <c r="B2787">
        <v>409</v>
      </c>
      <c r="C2787" s="2">
        <v>44728</v>
      </c>
      <c r="D2787" s="2" t="str">
        <f>TEXT(Table4[[#This Row],[issue_date]],"mmmm")</f>
        <v>June</v>
      </c>
      <c r="E2787" s="9">
        <f>YEAR(Table4[[#This Row],[issue_date]])</f>
        <v>2022</v>
      </c>
      <c r="F2787" t="s">
        <v>21</v>
      </c>
      <c r="G2787">
        <v>9</v>
      </c>
      <c r="H2787" t="s">
        <v>20</v>
      </c>
      <c r="I2787" t="str">
        <f>VLOOKUP(Table4[[#This Row],[customer_id]],customers!A:G,4,)</f>
        <v>kolkata</v>
      </c>
    </row>
    <row r="2788" spans="1:9" x14ac:dyDescent="0.3">
      <c r="A2788">
        <v>22787</v>
      </c>
      <c r="B2788">
        <v>7</v>
      </c>
      <c r="C2788" s="2">
        <v>44782</v>
      </c>
      <c r="D2788" s="2" t="str">
        <f>TEXT(Table4[[#This Row],[issue_date]],"mmmm")</f>
        <v>August</v>
      </c>
      <c r="E2788" s="9">
        <f>YEAR(Table4[[#This Row],[issue_date]])</f>
        <v>2022</v>
      </c>
      <c r="F2788" t="s">
        <v>21</v>
      </c>
      <c r="G2788">
        <v>41</v>
      </c>
      <c r="H2788" t="s">
        <v>20</v>
      </c>
      <c r="I2788" t="str">
        <f>VLOOKUP(Table4[[#This Row],[customer_id]],customers!A:G,4,)</f>
        <v>bangalore</v>
      </c>
    </row>
    <row r="2789" spans="1:9" x14ac:dyDescent="0.3">
      <c r="A2789">
        <v>22788</v>
      </c>
      <c r="B2789">
        <v>184</v>
      </c>
      <c r="C2789" s="2">
        <v>44637</v>
      </c>
      <c r="D2789" s="2" t="str">
        <f>TEXT(Table4[[#This Row],[issue_date]],"mmmm")</f>
        <v>March</v>
      </c>
      <c r="E2789" s="9">
        <f>YEAR(Table4[[#This Row],[issue_date]])</f>
        <v>2022</v>
      </c>
      <c r="F2789" t="s">
        <v>19</v>
      </c>
      <c r="G2789">
        <v>24</v>
      </c>
      <c r="H2789" t="s">
        <v>20</v>
      </c>
      <c r="I2789" t="str">
        <f>VLOOKUP(Table4[[#This Row],[customer_id]],customers!A:G,4,)</f>
        <v>delhi</v>
      </c>
    </row>
    <row r="2790" spans="1:9" x14ac:dyDescent="0.3">
      <c r="A2790">
        <v>22789</v>
      </c>
      <c r="B2790">
        <v>382</v>
      </c>
      <c r="C2790" s="2">
        <v>45283</v>
      </c>
      <c r="D2790" s="2" t="str">
        <f>TEXT(Table4[[#This Row],[issue_date]],"mmmm")</f>
        <v>December</v>
      </c>
      <c r="E2790" s="9">
        <f>YEAR(Table4[[#This Row],[issue_date]])</f>
        <v>2023</v>
      </c>
      <c r="F2790" t="s">
        <v>21</v>
      </c>
      <c r="G2790">
        <v>25</v>
      </c>
      <c r="H2790" t="s">
        <v>20</v>
      </c>
      <c r="I2790" t="str">
        <f>VLOOKUP(Table4[[#This Row],[customer_id]],customers!A:G,4,)</f>
        <v>delhi</v>
      </c>
    </row>
    <row r="2791" spans="1:9" x14ac:dyDescent="0.3">
      <c r="A2791">
        <v>22790</v>
      </c>
      <c r="B2791">
        <v>245</v>
      </c>
      <c r="C2791" s="2">
        <v>44772</v>
      </c>
      <c r="D2791" s="2" t="str">
        <f>TEXT(Table4[[#This Row],[issue_date]],"mmmm")</f>
        <v>July</v>
      </c>
      <c r="E2791" s="9">
        <f>YEAR(Table4[[#This Row],[issue_date]])</f>
        <v>2022</v>
      </c>
      <c r="F2791" t="s">
        <v>21</v>
      </c>
      <c r="G2791">
        <v>36</v>
      </c>
      <c r="H2791" t="s">
        <v>20</v>
      </c>
      <c r="I2791" t="str">
        <f>VLOOKUP(Table4[[#This Row],[customer_id]],customers!A:G,4,)</f>
        <v>delhi</v>
      </c>
    </row>
    <row r="2792" spans="1:9" x14ac:dyDescent="0.3">
      <c r="A2792">
        <v>22791</v>
      </c>
      <c r="B2792">
        <v>431</v>
      </c>
      <c r="C2792" s="2">
        <v>44789</v>
      </c>
      <c r="D2792" s="2" t="str">
        <f>TEXT(Table4[[#This Row],[issue_date]],"mmmm")</f>
        <v>August</v>
      </c>
      <c r="E2792" s="9">
        <f>YEAR(Table4[[#This Row],[issue_date]])</f>
        <v>2022</v>
      </c>
      <c r="F2792" t="s">
        <v>19</v>
      </c>
      <c r="G2792">
        <v>8</v>
      </c>
      <c r="H2792" t="s">
        <v>20</v>
      </c>
      <c r="I2792" t="str">
        <f>VLOOKUP(Table4[[#This Row],[customer_id]],customers!A:G,4,)</f>
        <v>chennai</v>
      </c>
    </row>
    <row r="2793" spans="1:9" x14ac:dyDescent="0.3">
      <c r="A2793">
        <v>22792</v>
      </c>
      <c r="B2793">
        <v>371</v>
      </c>
      <c r="C2793" s="2">
        <v>45298</v>
      </c>
      <c r="D2793" s="2" t="str">
        <f>TEXT(Table4[[#This Row],[issue_date]],"mmmm")</f>
        <v>January</v>
      </c>
      <c r="E2793" s="9">
        <f>YEAR(Table4[[#This Row],[issue_date]])</f>
        <v>2024</v>
      </c>
      <c r="F2793" t="s">
        <v>21</v>
      </c>
      <c r="G2793">
        <v>59</v>
      </c>
      <c r="H2793" t="s">
        <v>20</v>
      </c>
      <c r="I2793" t="str">
        <f>VLOOKUP(Table4[[#This Row],[customer_id]],customers!A:G,4,)</f>
        <v>delhi</v>
      </c>
    </row>
    <row r="2794" spans="1:9" x14ac:dyDescent="0.3">
      <c r="A2794">
        <v>22793</v>
      </c>
      <c r="B2794">
        <v>466</v>
      </c>
      <c r="C2794" s="2">
        <v>45014</v>
      </c>
      <c r="D2794" s="2" t="str">
        <f>TEXT(Table4[[#This Row],[issue_date]],"mmmm")</f>
        <v>March</v>
      </c>
      <c r="E2794" s="9">
        <f>YEAR(Table4[[#This Row],[issue_date]])</f>
        <v>2023</v>
      </c>
      <c r="F2794" t="s">
        <v>22</v>
      </c>
      <c r="G2794">
        <v>35</v>
      </c>
      <c r="H2794" t="s">
        <v>20</v>
      </c>
      <c r="I2794" t="str">
        <f>VLOOKUP(Table4[[#This Row],[customer_id]],customers!A:G,4,)</f>
        <v>kolkata</v>
      </c>
    </row>
    <row r="2795" spans="1:9" x14ac:dyDescent="0.3">
      <c r="A2795">
        <v>22794</v>
      </c>
      <c r="B2795">
        <v>367</v>
      </c>
      <c r="C2795" s="2">
        <v>45327</v>
      </c>
      <c r="D2795" s="2" t="str">
        <f>TEXT(Table4[[#This Row],[issue_date]],"mmmm")</f>
        <v>February</v>
      </c>
      <c r="E2795" s="9">
        <f>YEAR(Table4[[#This Row],[issue_date]])</f>
        <v>2024</v>
      </c>
      <c r="F2795" t="s">
        <v>19</v>
      </c>
      <c r="G2795">
        <v>38</v>
      </c>
      <c r="H2795" t="s">
        <v>20</v>
      </c>
      <c r="I2795" t="str">
        <f>VLOOKUP(Table4[[#This Row],[customer_id]],customers!A:G,4,)</f>
        <v>kolkata</v>
      </c>
    </row>
    <row r="2796" spans="1:9" x14ac:dyDescent="0.3">
      <c r="A2796">
        <v>22795</v>
      </c>
      <c r="B2796">
        <v>82</v>
      </c>
      <c r="C2796" s="2">
        <v>45048</v>
      </c>
      <c r="D2796" s="2" t="str">
        <f>TEXT(Table4[[#This Row],[issue_date]],"mmmm")</f>
        <v>May</v>
      </c>
      <c r="E2796" s="9">
        <f>YEAR(Table4[[#This Row],[issue_date]])</f>
        <v>2023</v>
      </c>
      <c r="F2796" t="s">
        <v>21</v>
      </c>
      <c r="G2796">
        <v>32</v>
      </c>
      <c r="H2796" t="s">
        <v>20</v>
      </c>
      <c r="I2796" t="str">
        <f>VLOOKUP(Table4[[#This Row],[customer_id]],customers!A:G,4,)</f>
        <v>chennai</v>
      </c>
    </row>
    <row r="2797" spans="1:9" x14ac:dyDescent="0.3">
      <c r="A2797">
        <v>22796</v>
      </c>
      <c r="B2797">
        <v>131</v>
      </c>
      <c r="C2797" s="2">
        <v>45229</v>
      </c>
      <c r="D2797" s="2" t="str">
        <f>TEXT(Table4[[#This Row],[issue_date]],"mmmm")</f>
        <v>October</v>
      </c>
      <c r="E2797" s="9">
        <f>YEAR(Table4[[#This Row],[issue_date]])</f>
        <v>2023</v>
      </c>
      <c r="F2797" t="s">
        <v>21</v>
      </c>
      <c r="G2797">
        <v>51</v>
      </c>
      <c r="H2797" t="s">
        <v>20</v>
      </c>
      <c r="I2797" t="str">
        <f>VLOOKUP(Table4[[#This Row],[customer_id]],customers!A:G,4,)</f>
        <v>kolkata</v>
      </c>
    </row>
    <row r="2798" spans="1:9" x14ac:dyDescent="0.3">
      <c r="A2798">
        <v>22797</v>
      </c>
      <c r="B2798">
        <v>129</v>
      </c>
      <c r="C2798" s="2">
        <v>45035</v>
      </c>
      <c r="D2798" s="2" t="str">
        <f>TEXT(Table4[[#This Row],[issue_date]],"mmmm")</f>
        <v>April</v>
      </c>
      <c r="E2798" s="9">
        <f>YEAR(Table4[[#This Row],[issue_date]])</f>
        <v>2023</v>
      </c>
      <c r="F2798" t="s">
        <v>19</v>
      </c>
      <c r="G2798">
        <v>28</v>
      </c>
      <c r="H2798" t="s">
        <v>20</v>
      </c>
      <c r="I2798" t="str">
        <f>VLOOKUP(Table4[[#This Row],[customer_id]],customers!A:G,4,)</f>
        <v>bangalore</v>
      </c>
    </row>
    <row r="2799" spans="1:9" x14ac:dyDescent="0.3">
      <c r="A2799">
        <v>22798</v>
      </c>
      <c r="B2799">
        <v>289</v>
      </c>
      <c r="C2799" s="2">
        <v>45436</v>
      </c>
      <c r="D2799" s="2" t="str">
        <f>TEXT(Table4[[#This Row],[issue_date]],"mmmm")</f>
        <v>May</v>
      </c>
      <c r="E2799" s="9">
        <f>YEAR(Table4[[#This Row],[issue_date]])</f>
        <v>2024</v>
      </c>
      <c r="F2799" t="s">
        <v>19</v>
      </c>
      <c r="G2799">
        <v>56</v>
      </c>
      <c r="H2799" t="s">
        <v>20</v>
      </c>
      <c r="I2799" t="str">
        <f>VLOOKUP(Table4[[#This Row],[customer_id]],customers!A:G,4,)</f>
        <v>hyderabad</v>
      </c>
    </row>
    <row r="2800" spans="1:9" x14ac:dyDescent="0.3">
      <c r="A2800">
        <v>22799</v>
      </c>
      <c r="B2800">
        <v>455</v>
      </c>
      <c r="C2800" s="2">
        <v>45222</v>
      </c>
      <c r="D2800" s="2" t="str">
        <f>TEXT(Table4[[#This Row],[issue_date]],"mmmm")</f>
        <v>October</v>
      </c>
      <c r="E2800" s="9">
        <f>YEAR(Table4[[#This Row],[issue_date]])</f>
        <v>2023</v>
      </c>
      <c r="F2800" t="s">
        <v>22</v>
      </c>
      <c r="G2800">
        <v>8</v>
      </c>
      <c r="H2800" t="s">
        <v>20</v>
      </c>
      <c r="I2800" t="str">
        <f>VLOOKUP(Table4[[#This Row],[customer_id]],customers!A:G,4,)</f>
        <v>delhi</v>
      </c>
    </row>
    <row r="2801" spans="1:9" x14ac:dyDescent="0.3">
      <c r="A2801">
        <v>22800</v>
      </c>
      <c r="B2801">
        <v>74</v>
      </c>
      <c r="C2801" s="2">
        <v>45391</v>
      </c>
      <c r="D2801" s="2" t="str">
        <f>TEXT(Table4[[#This Row],[issue_date]],"mmmm")</f>
        <v>April</v>
      </c>
      <c r="E2801" s="9">
        <f>YEAR(Table4[[#This Row],[issue_date]])</f>
        <v>2024</v>
      </c>
      <c r="F2801" t="s">
        <v>21</v>
      </c>
      <c r="G2801">
        <v>41</v>
      </c>
      <c r="H2801" t="s">
        <v>20</v>
      </c>
      <c r="I2801" t="str">
        <f>VLOOKUP(Table4[[#This Row],[customer_id]],customers!A:G,4,)</f>
        <v>hyderabad</v>
      </c>
    </row>
    <row r="2802" spans="1:9" x14ac:dyDescent="0.3">
      <c r="A2802">
        <v>22801</v>
      </c>
      <c r="B2802">
        <v>364</v>
      </c>
      <c r="C2802" s="2">
        <v>45352</v>
      </c>
      <c r="D2802" s="2" t="str">
        <f>TEXT(Table4[[#This Row],[issue_date]],"mmmm")</f>
        <v>March</v>
      </c>
      <c r="E2802" s="9">
        <f>YEAR(Table4[[#This Row],[issue_date]])</f>
        <v>2024</v>
      </c>
      <c r="F2802" t="s">
        <v>21</v>
      </c>
      <c r="G2802">
        <v>23</v>
      </c>
      <c r="H2802" t="s">
        <v>20</v>
      </c>
      <c r="I2802" t="str">
        <f>VLOOKUP(Table4[[#This Row],[customer_id]],customers!A:G,4,)</f>
        <v>delhi</v>
      </c>
    </row>
    <row r="2803" spans="1:9" x14ac:dyDescent="0.3">
      <c r="A2803">
        <v>22802</v>
      </c>
      <c r="B2803">
        <v>59</v>
      </c>
      <c r="C2803" s="2">
        <v>45051</v>
      </c>
      <c r="D2803" s="2" t="str">
        <f>TEXT(Table4[[#This Row],[issue_date]],"mmmm")</f>
        <v>May</v>
      </c>
      <c r="E2803" s="9">
        <f>YEAR(Table4[[#This Row],[issue_date]])</f>
        <v>2023</v>
      </c>
      <c r="F2803" t="s">
        <v>21</v>
      </c>
      <c r="G2803">
        <v>54</v>
      </c>
      <c r="H2803" t="s">
        <v>20</v>
      </c>
      <c r="I2803" t="str">
        <f>VLOOKUP(Table4[[#This Row],[customer_id]],customers!A:G,4,)</f>
        <v>bangalore</v>
      </c>
    </row>
    <row r="2804" spans="1:9" x14ac:dyDescent="0.3">
      <c r="A2804">
        <v>22803</v>
      </c>
      <c r="B2804">
        <v>72</v>
      </c>
      <c r="C2804" s="2">
        <v>44937</v>
      </c>
      <c r="D2804" s="2" t="str">
        <f>TEXT(Table4[[#This Row],[issue_date]],"mmmm")</f>
        <v>January</v>
      </c>
      <c r="E2804" s="9">
        <f>YEAR(Table4[[#This Row],[issue_date]])</f>
        <v>2023</v>
      </c>
      <c r="F2804" t="s">
        <v>19</v>
      </c>
      <c r="G2804">
        <v>23</v>
      </c>
      <c r="H2804" t="s">
        <v>20</v>
      </c>
      <c r="I2804" t="str">
        <f>VLOOKUP(Table4[[#This Row],[customer_id]],customers!A:G,4,)</f>
        <v>kolkata</v>
      </c>
    </row>
    <row r="2805" spans="1:9" x14ac:dyDescent="0.3">
      <c r="A2805">
        <v>22804</v>
      </c>
      <c r="B2805">
        <v>160</v>
      </c>
      <c r="C2805" s="2">
        <v>44792</v>
      </c>
      <c r="D2805" s="2" t="str">
        <f>TEXT(Table4[[#This Row],[issue_date]],"mmmm")</f>
        <v>August</v>
      </c>
      <c r="E2805" s="9">
        <f>YEAR(Table4[[#This Row],[issue_date]])</f>
        <v>2022</v>
      </c>
      <c r="F2805" t="s">
        <v>19</v>
      </c>
      <c r="G2805">
        <v>32</v>
      </c>
      <c r="H2805" t="s">
        <v>23</v>
      </c>
      <c r="I2805" t="str">
        <f>VLOOKUP(Table4[[#This Row],[customer_id]],customers!A:G,4,)</f>
        <v>hyderabad</v>
      </c>
    </row>
    <row r="2806" spans="1:9" x14ac:dyDescent="0.3">
      <c r="A2806">
        <v>22805</v>
      </c>
      <c r="B2806">
        <v>87</v>
      </c>
      <c r="C2806" s="2">
        <v>45263</v>
      </c>
      <c r="D2806" s="2" t="str">
        <f>TEXT(Table4[[#This Row],[issue_date]],"mmmm")</f>
        <v>December</v>
      </c>
      <c r="E2806" s="9">
        <f>YEAR(Table4[[#This Row],[issue_date]])</f>
        <v>2023</v>
      </c>
      <c r="F2806" t="s">
        <v>19</v>
      </c>
      <c r="G2806">
        <v>10</v>
      </c>
      <c r="H2806" t="s">
        <v>20</v>
      </c>
      <c r="I2806" t="str">
        <f>VLOOKUP(Table4[[#This Row],[customer_id]],customers!A:G,4,)</f>
        <v>hyderabad</v>
      </c>
    </row>
    <row r="2807" spans="1:9" x14ac:dyDescent="0.3">
      <c r="A2807">
        <v>22806</v>
      </c>
      <c r="B2807">
        <v>401</v>
      </c>
      <c r="C2807" s="2">
        <v>44786</v>
      </c>
      <c r="D2807" s="2" t="str">
        <f>TEXT(Table4[[#This Row],[issue_date]],"mmmm")</f>
        <v>August</v>
      </c>
      <c r="E2807" s="9">
        <f>YEAR(Table4[[#This Row],[issue_date]])</f>
        <v>2022</v>
      </c>
      <c r="F2807" t="s">
        <v>21</v>
      </c>
      <c r="G2807">
        <v>35</v>
      </c>
      <c r="H2807" t="s">
        <v>20</v>
      </c>
      <c r="I2807" t="str">
        <f>VLOOKUP(Table4[[#This Row],[customer_id]],customers!A:G,4,)</f>
        <v>chennai</v>
      </c>
    </row>
    <row r="2808" spans="1:9" x14ac:dyDescent="0.3">
      <c r="A2808">
        <v>22807</v>
      </c>
      <c r="B2808">
        <v>462</v>
      </c>
      <c r="C2808" s="2">
        <v>45036</v>
      </c>
      <c r="D2808" s="2" t="str">
        <f>TEXT(Table4[[#This Row],[issue_date]],"mmmm")</f>
        <v>April</v>
      </c>
      <c r="E2808" s="9">
        <f>YEAR(Table4[[#This Row],[issue_date]])</f>
        <v>2023</v>
      </c>
      <c r="F2808" t="s">
        <v>21</v>
      </c>
      <c r="G2808">
        <v>63</v>
      </c>
      <c r="H2808" t="s">
        <v>20</v>
      </c>
      <c r="I2808" t="str">
        <f>VLOOKUP(Table4[[#This Row],[customer_id]],customers!A:G,4,)</f>
        <v>hyderabad</v>
      </c>
    </row>
    <row r="2809" spans="1:9" x14ac:dyDescent="0.3">
      <c r="A2809">
        <v>22808</v>
      </c>
      <c r="B2809">
        <v>17</v>
      </c>
      <c r="C2809" s="2">
        <v>45138</v>
      </c>
      <c r="D2809" s="2" t="str">
        <f>TEXT(Table4[[#This Row],[issue_date]],"mmmm")</f>
        <v>July</v>
      </c>
      <c r="E2809" s="9">
        <f>YEAR(Table4[[#This Row],[issue_date]])</f>
        <v>2023</v>
      </c>
      <c r="F2809" t="s">
        <v>19</v>
      </c>
      <c r="G2809">
        <v>67</v>
      </c>
      <c r="H2809" t="s">
        <v>20</v>
      </c>
      <c r="I2809" t="str">
        <f>VLOOKUP(Table4[[#This Row],[customer_id]],customers!A:G,4,)</f>
        <v>bangalore</v>
      </c>
    </row>
    <row r="2810" spans="1:9" x14ac:dyDescent="0.3">
      <c r="A2810">
        <v>22809</v>
      </c>
      <c r="B2810">
        <v>89</v>
      </c>
      <c r="C2810" s="2">
        <v>45181</v>
      </c>
      <c r="D2810" s="2" t="str">
        <f>TEXT(Table4[[#This Row],[issue_date]],"mmmm")</f>
        <v>September</v>
      </c>
      <c r="E2810" s="9">
        <f>YEAR(Table4[[#This Row],[issue_date]])</f>
        <v>2023</v>
      </c>
      <c r="F2810" t="s">
        <v>22</v>
      </c>
      <c r="G2810">
        <v>36</v>
      </c>
      <c r="H2810" t="s">
        <v>20</v>
      </c>
      <c r="I2810" t="str">
        <f>VLOOKUP(Table4[[#This Row],[customer_id]],customers!A:G,4,)</f>
        <v>delhi</v>
      </c>
    </row>
    <row r="2811" spans="1:9" x14ac:dyDescent="0.3">
      <c r="A2811">
        <v>22810</v>
      </c>
      <c r="B2811">
        <v>149</v>
      </c>
      <c r="C2811" s="2">
        <v>44641</v>
      </c>
      <c r="D2811" s="2" t="str">
        <f>TEXT(Table4[[#This Row],[issue_date]],"mmmm")</f>
        <v>March</v>
      </c>
      <c r="E2811" s="9">
        <f>YEAR(Table4[[#This Row],[issue_date]])</f>
        <v>2022</v>
      </c>
      <c r="F2811" t="s">
        <v>21</v>
      </c>
      <c r="G2811">
        <v>49</v>
      </c>
      <c r="H2811" t="s">
        <v>20</v>
      </c>
      <c r="I2811" t="str">
        <f>VLOOKUP(Table4[[#This Row],[customer_id]],customers!A:G,4,)</f>
        <v>chennai</v>
      </c>
    </row>
    <row r="2812" spans="1:9" x14ac:dyDescent="0.3">
      <c r="A2812">
        <v>22811</v>
      </c>
      <c r="B2812">
        <v>311</v>
      </c>
      <c r="C2812" s="2">
        <v>45206</v>
      </c>
      <c r="D2812" s="2" t="str">
        <f>TEXT(Table4[[#This Row],[issue_date]],"mmmm")</f>
        <v>October</v>
      </c>
      <c r="E2812" s="9">
        <f>YEAR(Table4[[#This Row],[issue_date]])</f>
        <v>2023</v>
      </c>
      <c r="F2812" t="s">
        <v>22</v>
      </c>
      <c r="G2812">
        <v>46</v>
      </c>
      <c r="H2812" t="s">
        <v>20</v>
      </c>
      <c r="I2812" t="str">
        <f>VLOOKUP(Table4[[#This Row],[customer_id]],customers!A:G,4,)</f>
        <v>chennai</v>
      </c>
    </row>
    <row r="2813" spans="1:9" x14ac:dyDescent="0.3">
      <c r="A2813">
        <v>22812</v>
      </c>
      <c r="B2813">
        <v>6</v>
      </c>
      <c r="C2813" s="2">
        <v>45247</v>
      </c>
      <c r="D2813" s="2" t="str">
        <f>TEXT(Table4[[#This Row],[issue_date]],"mmmm")</f>
        <v>November</v>
      </c>
      <c r="E2813" s="9">
        <f>YEAR(Table4[[#This Row],[issue_date]])</f>
        <v>2023</v>
      </c>
      <c r="F2813" t="s">
        <v>19</v>
      </c>
      <c r="G2813">
        <v>27</v>
      </c>
      <c r="H2813" t="s">
        <v>20</v>
      </c>
      <c r="I2813" t="str">
        <f>VLOOKUP(Table4[[#This Row],[customer_id]],customers!A:G,4,)</f>
        <v>bangalore</v>
      </c>
    </row>
    <row r="2814" spans="1:9" x14ac:dyDescent="0.3">
      <c r="A2814">
        <v>22813</v>
      </c>
      <c r="B2814">
        <v>84</v>
      </c>
      <c r="C2814" s="2">
        <v>45137</v>
      </c>
      <c r="D2814" s="2" t="str">
        <f>TEXT(Table4[[#This Row],[issue_date]],"mmmm")</f>
        <v>July</v>
      </c>
      <c r="E2814" s="9">
        <f>YEAR(Table4[[#This Row],[issue_date]])</f>
        <v>2023</v>
      </c>
      <c r="F2814" t="s">
        <v>21</v>
      </c>
      <c r="G2814">
        <v>31</v>
      </c>
      <c r="H2814" t="s">
        <v>23</v>
      </c>
      <c r="I2814" t="str">
        <f>VLOOKUP(Table4[[#This Row],[customer_id]],customers!A:G,4,)</f>
        <v>delhi</v>
      </c>
    </row>
    <row r="2815" spans="1:9" x14ac:dyDescent="0.3">
      <c r="A2815">
        <v>22814</v>
      </c>
      <c r="B2815">
        <v>433</v>
      </c>
      <c r="C2815" s="2">
        <v>44771</v>
      </c>
      <c r="D2815" s="2" t="str">
        <f>TEXT(Table4[[#This Row],[issue_date]],"mmmm")</f>
        <v>July</v>
      </c>
      <c r="E2815" s="9">
        <f>YEAR(Table4[[#This Row],[issue_date]])</f>
        <v>2022</v>
      </c>
      <c r="F2815" t="s">
        <v>22</v>
      </c>
      <c r="G2815">
        <v>34</v>
      </c>
      <c r="H2815" t="s">
        <v>20</v>
      </c>
      <c r="I2815" t="str">
        <f>VLOOKUP(Table4[[#This Row],[customer_id]],customers!A:G,4,)</f>
        <v>chennai</v>
      </c>
    </row>
    <row r="2816" spans="1:9" x14ac:dyDescent="0.3">
      <c r="A2816">
        <v>22815</v>
      </c>
      <c r="B2816">
        <v>84</v>
      </c>
      <c r="C2816" s="2">
        <v>44858</v>
      </c>
      <c r="D2816" s="2" t="str">
        <f>TEXT(Table4[[#This Row],[issue_date]],"mmmm")</f>
        <v>October</v>
      </c>
      <c r="E2816" s="9">
        <f>YEAR(Table4[[#This Row],[issue_date]])</f>
        <v>2022</v>
      </c>
      <c r="F2816" t="s">
        <v>21</v>
      </c>
      <c r="G2816">
        <v>59</v>
      </c>
      <c r="H2816" t="s">
        <v>23</v>
      </c>
      <c r="I2816" t="str">
        <f>VLOOKUP(Table4[[#This Row],[customer_id]],customers!A:G,4,)</f>
        <v>delhi</v>
      </c>
    </row>
    <row r="2817" spans="1:9" x14ac:dyDescent="0.3">
      <c r="A2817">
        <v>22816</v>
      </c>
      <c r="B2817">
        <v>250</v>
      </c>
      <c r="C2817" s="2">
        <v>45171</v>
      </c>
      <c r="D2817" s="2" t="str">
        <f>TEXT(Table4[[#This Row],[issue_date]],"mmmm")</f>
        <v>September</v>
      </c>
      <c r="E2817" s="9">
        <f>YEAR(Table4[[#This Row],[issue_date]])</f>
        <v>2023</v>
      </c>
      <c r="F2817" t="s">
        <v>22</v>
      </c>
      <c r="G2817">
        <v>54</v>
      </c>
      <c r="H2817" t="s">
        <v>20</v>
      </c>
      <c r="I2817" t="str">
        <f>VLOOKUP(Table4[[#This Row],[customer_id]],customers!A:G,4,)</f>
        <v>mumbai</v>
      </c>
    </row>
    <row r="2818" spans="1:9" x14ac:dyDescent="0.3">
      <c r="A2818">
        <v>22817</v>
      </c>
      <c r="B2818">
        <v>154</v>
      </c>
      <c r="C2818" s="2">
        <v>44733</v>
      </c>
      <c r="D2818" s="2" t="str">
        <f>TEXT(Table4[[#This Row],[issue_date]],"mmmm")</f>
        <v>June</v>
      </c>
      <c r="E2818" s="9">
        <f>YEAR(Table4[[#This Row],[issue_date]])</f>
        <v>2022</v>
      </c>
      <c r="F2818" t="s">
        <v>21</v>
      </c>
      <c r="G2818">
        <v>66</v>
      </c>
      <c r="H2818" t="s">
        <v>20</v>
      </c>
      <c r="I2818" t="str">
        <f>VLOOKUP(Table4[[#This Row],[customer_id]],customers!A:G,4,)</f>
        <v>chennai</v>
      </c>
    </row>
    <row r="2819" spans="1:9" x14ac:dyDescent="0.3">
      <c r="A2819">
        <v>22818</v>
      </c>
      <c r="B2819">
        <v>416</v>
      </c>
      <c r="C2819" s="2">
        <v>44650</v>
      </c>
      <c r="D2819" s="2" t="str">
        <f>TEXT(Table4[[#This Row],[issue_date]],"mmmm")</f>
        <v>March</v>
      </c>
      <c r="E2819" s="9">
        <f>YEAR(Table4[[#This Row],[issue_date]])</f>
        <v>2022</v>
      </c>
      <c r="F2819" t="s">
        <v>22</v>
      </c>
      <c r="G2819">
        <v>30</v>
      </c>
      <c r="H2819" t="s">
        <v>20</v>
      </c>
      <c r="I2819" t="str">
        <f>VLOOKUP(Table4[[#This Row],[customer_id]],customers!A:G,4,)</f>
        <v>bangalore</v>
      </c>
    </row>
    <row r="2820" spans="1:9" x14ac:dyDescent="0.3">
      <c r="A2820">
        <v>22819</v>
      </c>
      <c r="B2820">
        <v>72</v>
      </c>
      <c r="C2820" s="2">
        <v>45435</v>
      </c>
      <c r="D2820" s="2" t="str">
        <f>TEXT(Table4[[#This Row],[issue_date]],"mmmm")</f>
        <v>May</v>
      </c>
      <c r="E2820" s="9">
        <f>YEAR(Table4[[#This Row],[issue_date]])</f>
        <v>2024</v>
      </c>
      <c r="F2820" t="s">
        <v>22</v>
      </c>
      <c r="G2820">
        <v>23</v>
      </c>
      <c r="H2820" t="s">
        <v>23</v>
      </c>
      <c r="I2820" t="str">
        <f>VLOOKUP(Table4[[#This Row],[customer_id]],customers!A:G,4,)</f>
        <v>kolkata</v>
      </c>
    </row>
    <row r="2821" spans="1:9" x14ac:dyDescent="0.3">
      <c r="A2821">
        <v>22820</v>
      </c>
      <c r="B2821">
        <v>109</v>
      </c>
      <c r="C2821" s="2">
        <v>44787</v>
      </c>
      <c r="D2821" s="2" t="str">
        <f>TEXT(Table4[[#This Row],[issue_date]],"mmmm")</f>
        <v>August</v>
      </c>
      <c r="E2821" s="9">
        <f>YEAR(Table4[[#This Row],[issue_date]])</f>
        <v>2022</v>
      </c>
      <c r="F2821" t="s">
        <v>19</v>
      </c>
      <c r="G2821">
        <v>9</v>
      </c>
      <c r="H2821" t="s">
        <v>23</v>
      </c>
      <c r="I2821" t="str">
        <f>VLOOKUP(Table4[[#This Row],[customer_id]],customers!A:G,4,)</f>
        <v>mumbai</v>
      </c>
    </row>
    <row r="2822" spans="1:9" x14ac:dyDescent="0.3">
      <c r="A2822">
        <v>22821</v>
      </c>
      <c r="B2822">
        <v>112</v>
      </c>
      <c r="C2822" s="2">
        <v>44704</v>
      </c>
      <c r="D2822" s="2" t="str">
        <f>TEXT(Table4[[#This Row],[issue_date]],"mmmm")</f>
        <v>May</v>
      </c>
      <c r="E2822" s="9">
        <f>YEAR(Table4[[#This Row],[issue_date]])</f>
        <v>2022</v>
      </c>
      <c r="F2822" t="s">
        <v>19</v>
      </c>
      <c r="G2822">
        <v>55</v>
      </c>
      <c r="H2822" t="s">
        <v>20</v>
      </c>
      <c r="I2822" t="str">
        <f>VLOOKUP(Table4[[#This Row],[customer_id]],customers!A:G,4,)</f>
        <v>chennai</v>
      </c>
    </row>
    <row r="2823" spans="1:9" x14ac:dyDescent="0.3">
      <c r="A2823">
        <v>22822</v>
      </c>
      <c r="B2823">
        <v>172</v>
      </c>
      <c r="C2823" s="2">
        <v>45269</v>
      </c>
      <c r="D2823" s="2" t="str">
        <f>TEXT(Table4[[#This Row],[issue_date]],"mmmm")</f>
        <v>December</v>
      </c>
      <c r="E2823" s="9">
        <f>YEAR(Table4[[#This Row],[issue_date]])</f>
        <v>2023</v>
      </c>
      <c r="F2823" t="s">
        <v>22</v>
      </c>
      <c r="G2823">
        <v>1</v>
      </c>
      <c r="H2823" t="s">
        <v>20</v>
      </c>
      <c r="I2823" t="str">
        <f>VLOOKUP(Table4[[#This Row],[customer_id]],customers!A:G,4,)</f>
        <v>chennai</v>
      </c>
    </row>
    <row r="2824" spans="1:9" x14ac:dyDescent="0.3">
      <c r="A2824">
        <v>22823</v>
      </c>
      <c r="B2824">
        <v>187</v>
      </c>
      <c r="C2824" s="2">
        <v>45252</v>
      </c>
      <c r="D2824" s="2" t="str">
        <f>TEXT(Table4[[#This Row],[issue_date]],"mmmm")</f>
        <v>November</v>
      </c>
      <c r="E2824" s="9">
        <f>YEAR(Table4[[#This Row],[issue_date]])</f>
        <v>2023</v>
      </c>
      <c r="F2824" t="s">
        <v>21</v>
      </c>
      <c r="G2824">
        <v>56</v>
      </c>
      <c r="H2824" t="s">
        <v>23</v>
      </c>
      <c r="I2824" t="str">
        <f>VLOOKUP(Table4[[#This Row],[customer_id]],customers!A:G,4,)</f>
        <v>chennai</v>
      </c>
    </row>
    <row r="2825" spans="1:9" x14ac:dyDescent="0.3">
      <c r="A2825">
        <v>22824</v>
      </c>
      <c r="B2825">
        <v>285</v>
      </c>
      <c r="C2825" s="2">
        <v>44615</v>
      </c>
      <c r="D2825" s="2" t="str">
        <f>TEXT(Table4[[#This Row],[issue_date]],"mmmm")</f>
        <v>February</v>
      </c>
      <c r="E2825" s="9">
        <f>YEAR(Table4[[#This Row],[issue_date]])</f>
        <v>2022</v>
      </c>
      <c r="F2825" t="s">
        <v>22</v>
      </c>
      <c r="G2825">
        <v>39</v>
      </c>
      <c r="H2825" t="s">
        <v>20</v>
      </c>
      <c r="I2825" t="str">
        <f>VLOOKUP(Table4[[#This Row],[customer_id]],customers!A:G,4,)</f>
        <v>hyderabad</v>
      </c>
    </row>
    <row r="2826" spans="1:9" x14ac:dyDescent="0.3">
      <c r="A2826">
        <v>22825</v>
      </c>
      <c r="B2826">
        <v>273</v>
      </c>
      <c r="C2826" s="2">
        <v>44757</v>
      </c>
      <c r="D2826" s="2" t="str">
        <f>TEXT(Table4[[#This Row],[issue_date]],"mmmm")</f>
        <v>July</v>
      </c>
      <c r="E2826" s="9">
        <f>YEAR(Table4[[#This Row],[issue_date]])</f>
        <v>2022</v>
      </c>
      <c r="F2826" t="s">
        <v>21</v>
      </c>
      <c r="G2826">
        <v>18</v>
      </c>
      <c r="H2826" t="s">
        <v>20</v>
      </c>
      <c r="I2826" t="str">
        <f>VLOOKUP(Table4[[#This Row],[customer_id]],customers!A:G,4,)</f>
        <v>kolkata</v>
      </c>
    </row>
    <row r="2827" spans="1:9" x14ac:dyDescent="0.3">
      <c r="A2827">
        <v>22826</v>
      </c>
      <c r="B2827">
        <v>18</v>
      </c>
      <c r="C2827" s="2">
        <v>45290</v>
      </c>
      <c r="D2827" s="2" t="str">
        <f>TEXT(Table4[[#This Row],[issue_date]],"mmmm")</f>
        <v>December</v>
      </c>
      <c r="E2827" s="9">
        <f>YEAR(Table4[[#This Row],[issue_date]])</f>
        <v>2023</v>
      </c>
      <c r="F2827" t="s">
        <v>21</v>
      </c>
      <c r="G2827">
        <v>42</v>
      </c>
      <c r="H2827" t="s">
        <v>20</v>
      </c>
      <c r="I2827" t="str">
        <f>VLOOKUP(Table4[[#This Row],[customer_id]],customers!A:G,4,)</f>
        <v>delhi</v>
      </c>
    </row>
    <row r="2828" spans="1:9" x14ac:dyDescent="0.3">
      <c r="A2828">
        <v>22827</v>
      </c>
      <c r="B2828">
        <v>168</v>
      </c>
      <c r="C2828" s="2">
        <v>45050</v>
      </c>
      <c r="D2828" s="2" t="str">
        <f>TEXT(Table4[[#This Row],[issue_date]],"mmmm")</f>
        <v>May</v>
      </c>
      <c r="E2828" s="9">
        <f>YEAR(Table4[[#This Row],[issue_date]])</f>
        <v>2023</v>
      </c>
      <c r="F2828" t="s">
        <v>21</v>
      </c>
      <c r="G2828">
        <v>65</v>
      </c>
      <c r="H2828" t="s">
        <v>20</v>
      </c>
      <c r="I2828" t="str">
        <f>VLOOKUP(Table4[[#This Row],[customer_id]],customers!A:G,4,)</f>
        <v>delhi</v>
      </c>
    </row>
    <row r="2829" spans="1:9" x14ac:dyDescent="0.3">
      <c r="A2829">
        <v>22828</v>
      </c>
      <c r="B2829">
        <v>319</v>
      </c>
      <c r="C2829" s="2">
        <v>45406</v>
      </c>
      <c r="D2829" s="2" t="str">
        <f>TEXT(Table4[[#This Row],[issue_date]],"mmmm")</f>
        <v>April</v>
      </c>
      <c r="E2829" s="9">
        <f>YEAR(Table4[[#This Row],[issue_date]])</f>
        <v>2024</v>
      </c>
      <c r="F2829" t="s">
        <v>21</v>
      </c>
      <c r="G2829">
        <v>33</v>
      </c>
      <c r="H2829" t="s">
        <v>20</v>
      </c>
      <c r="I2829" t="str">
        <f>VLOOKUP(Table4[[#This Row],[customer_id]],customers!A:G,4,)</f>
        <v>chennai</v>
      </c>
    </row>
    <row r="2830" spans="1:9" x14ac:dyDescent="0.3">
      <c r="A2830">
        <v>22829</v>
      </c>
      <c r="B2830">
        <v>82</v>
      </c>
      <c r="C2830" s="2">
        <v>44859</v>
      </c>
      <c r="D2830" s="2" t="str">
        <f>TEXT(Table4[[#This Row],[issue_date]],"mmmm")</f>
        <v>October</v>
      </c>
      <c r="E2830" s="9">
        <f>YEAR(Table4[[#This Row],[issue_date]])</f>
        <v>2022</v>
      </c>
      <c r="F2830" t="s">
        <v>19</v>
      </c>
      <c r="G2830">
        <v>30</v>
      </c>
      <c r="H2830" t="s">
        <v>20</v>
      </c>
      <c r="I2830" t="str">
        <f>VLOOKUP(Table4[[#This Row],[customer_id]],customers!A:G,4,)</f>
        <v>chennai</v>
      </c>
    </row>
    <row r="2831" spans="1:9" x14ac:dyDescent="0.3">
      <c r="A2831">
        <v>22830</v>
      </c>
      <c r="B2831">
        <v>75</v>
      </c>
      <c r="C2831" s="2">
        <v>44991</v>
      </c>
      <c r="D2831" s="2" t="str">
        <f>TEXT(Table4[[#This Row],[issue_date]],"mmmm")</f>
        <v>March</v>
      </c>
      <c r="E2831" s="9">
        <f>YEAR(Table4[[#This Row],[issue_date]])</f>
        <v>2023</v>
      </c>
      <c r="F2831" t="s">
        <v>22</v>
      </c>
      <c r="G2831">
        <v>5</v>
      </c>
      <c r="H2831" t="s">
        <v>20</v>
      </c>
      <c r="I2831" t="str">
        <f>VLOOKUP(Table4[[#This Row],[customer_id]],customers!A:G,4,)</f>
        <v>mumbai</v>
      </c>
    </row>
    <row r="2832" spans="1:9" x14ac:dyDescent="0.3">
      <c r="A2832">
        <v>22831</v>
      </c>
      <c r="B2832">
        <v>429</v>
      </c>
      <c r="C2832" s="2">
        <v>45098</v>
      </c>
      <c r="D2832" s="2" t="str">
        <f>TEXT(Table4[[#This Row],[issue_date]],"mmmm")</f>
        <v>June</v>
      </c>
      <c r="E2832" s="9">
        <f>YEAR(Table4[[#This Row],[issue_date]])</f>
        <v>2023</v>
      </c>
      <c r="F2832" t="s">
        <v>21</v>
      </c>
      <c r="G2832">
        <v>50</v>
      </c>
      <c r="H2832" t="s">
        <v>20</v>
      </c>
      <c r="I2832" t="str">
        <f>VLOOKUP(Table4[[#This Row],[customer_id]],customers!A:G,4,)</f>
        <v>hyderabad</v>
      </c>
    </row>
    <row r="2833" spans="1:9" x14ac:dyDescent="0.3">
      <c r="A2833">
        <v>22832</v>
      </c>
      <c r="B2833">
        <v>460</v>
      </c>
      <c r="C2833" s="2">
        <v>45140</v>
      </c>
      <c r="D2833" s="2" t="str">
        <f>TEXT(Table4[[#This Row],[issue_date]],"mmmm")</f>
        <v>August</v>
      </c>
      <c r="E2833" s="9">
        <f>YEAR(Table4[[#This Row],[issue_date]])</f>
        <v>2023</v>
      </c>
      <c r="F2833" t="s">
        <v>19</v>
      </c>
      <c r="G2833">
        <v>65</v>
      </c>
      <c r="H2833" t="s">
        <v>20</v>
      </c>
      <c r="I2833" t="str">
        <f>VLOOKUP(Table4[[#This Row],[customer_id]],customers!A:G,4,)</f>
        <v>hyderabad</v>
      </c>
    </row>
    <row r="2834" spans="1:9" x14ac:dyDescent="0.3">
      <c r="A2834">
        <v>22833</v>
      </c>
      <c r="B2834">
        <v>335</v>
      </c>
      <c r="C2834" s="2">
        <v>45236</v>
      </c>
      <c r="D2834" s="2" t="str">
        <f>TEXT(Table4[[#This Row],[issue_date]],"mmmm")</f>
        <v>November</v>
      </c>
      <c r="E2834" s="9">
        <f>YEAR(Table4[[#This Row],[issue_date]])</f>
        <v>2023</v>
      </c>
      <c r="F2834" t="s">
        <v>21</v>
      </c>
      <c r="G2834">
        <v>10</v>
      </c>
      <c r="H2834" t="s">
        <v>20</v>
      </c>
      <c r="I2834" t="str">
        <f>VLOOKUP(Table4[[#This Row],[customer_id]],customers!A:G,4,)</f>
        <v>kolkata</v>
      </c>
    </row>
    <row r="2835" spans="1:9" x14ac:dyDescent="0.3">
      <c r="A2835">
        <v>22834</v>
      </c>
      <c r="B2835">
        <v>346</v>
      </c>
      <c r="C2835" s="2">
        <v>45061</v>
      </c>
      <c r="D2835" s="2" t="str">
        <f>TEXT(Table4[[#This Row],[issue_date]],"mmmm")</f>
        <v>May</v>
      </c>
      <c r="E2835" s="9">
        <f>YEAR(Table4[[#This Row],[issue_date]])</f>
        <v>2023</v>
      </c>
      <c r="F2835" t="s">
        <v>21</v>
      </c>
      <c r="G2835">
        <v>60</v>
      </c>
      <c r="H2835" t="s">
        <v>20</v>
      </c>
      <c r="I2835" t="str">
        <f>VLOOKUP(Table4[[#This Row],[customer_id]],customers!A:G,4,)</f>
        <v>chennai</v>
      </c>
    </row>
    <row r="2836" spans="1:9" x14ac:dyDescent="0.3">
      <c r="A2836">
        <v>22835</v>
      </c>
      <c r="B2836">
        <v>249</v>
      </c>
      <c r="C2836" s="2">
        <v>45185</v>
      </c>
      <c r="D2836" s="2" t="str">
        <f>TEXT(Table4[[#This Row],[issue_date]],"mmmm")</f>
        <v>September</v>
      </c>
      <c r="E2836" s="9">
        <f>YEAR(Table4[[#This Row],[issue_date]])</f>
        <v>2023</v>
      </c>
      <c r="F2836" t="s">
        <v>19</v>
      </c>
      <c r="G2836">
        <v>27</v>
      </c>
      <c r="H2836" t="s">
        <v>23</v>
      </c>
      <c r="I2836" t="str">
        <f>VLOOKUP(Table4[[#This Row],[customer_id]],customers!A:G,4,)</f>
        <v>bangalore</v>
      </c>
    </row>
    <row r="2837" spans="1:9" x14ac:dyDescent="0.3">
      <c r="A2837">
        <v>22836</v>
      </c>
      <c r="B2837">
        <v>131</v>
      </c>
      <c r="C2837" s="2">
        <v>45402</v>
      </c>
      <c r="D2837" s="2" t="str">
        <f>TEXT(Table4[[#This Row],[issue_date]],"mmmm")</f>
        <v>April</v>
      </c>
      <c r="E2837" s="9">
        <f>YEAR(Table4[[#This Row],[issue_date]])</f>
        <v>2024</v>
      </c>
      <c r="F2837" t="s">
        <v>19</v>
      </c>
      <c r="G2837">
        <v>28</v>
      </c>
      <c r="H2837" t="s">
        <v>20</v>
      </c>
      <c r="I2837" t="str">
        <f>VLOOKUP(Table4[[#This Row],[customer_id]],customers!A:G,4,)</f>
        <v>kolkata</v>
      </c>
    </row>
    <row r="2838" spans="1:9" x14ac:dyDescent="0.3">
      <c r="A2838">
        <v>22837</v>
      </c>
      <c r="B2838">
        <v>387</v>
      </c>
      <c r="C2838" s="2">
        <v>44767</v>
      </c>
      <c r="D2838" s="2" t="str">
        <f>TEXT(Table4[[#This Row],[issue_date]],"mmmm")</f>
        <v>July</v>
      </c>
      <c r="E2838" s="9">
        <f>YEAR(Table4[[#This Row],[issue_date]])</f>
        <v>2022</v>
      </c>
      <c r="F2838" t="s">
        <v>21</v>
      </c>
      <c r="G2838">
        <v>45</v>
      </c>
      <c r="H2838" t="s">
        <v>20</v>
      </c>
      <c r="I2838" t="str">
        <f>VLOOKUP(Table4[[#This Row],[customer_id]],customers!A:G,4,)</f>
        <v>bangalore</v>
      </c>
    </row>
    <row r="2839" spans="1:9" x14ac:dyDescent="0.3">
      <c r="A2839">
        <v>22838</v>
      </c>
      <c r="B2839">
        <v>422</v>
      </c>
      <c r="C2839" s="2">
        <v>45441</v>
      </c>
      <c r="D2839" s="2" t="str">
        <f>TEXT(Table4[[#This Row],[issue_date]],"mmmm")</f>
        <v>May</v>
      </c>
      <c r="E2839" s="9">
        <f>YEAR(Table4[[#This Row],[issue_date]])</f>
        <v>2024</v>
      </c>
      <c r="F2839" t="s">
        <v>22</v>
      </c>
      <c r="G2839">
        <v>52</v>
      </c>
      <c r="H2839" t="s">
        <v>20</v>
      </c>
      <c r="I2839" t="str">
        <f>VLOOKUP(Table4[[#This Row],[customer_id]],customers!A:G,4,)</f>
        <v>hyderabad</v>
      </c>
    </row>
    <row r="2840" spans="1:9" x14ac:dyDescent="0.3">
      <c r="A2840">
        <v>22839</v>
      </c>
      <c r="B2840">
        <v>355</v>
      </c>
      <c r="C2840" s="2">
        <v>44698</v>
      </c>
      <c r="D2840" s="2" t="str">
        <f>TEXT(Table4[[#This Row],[issue_date]],"mmmm")</f>
        <v>May</v>
      </c>
      <c r="E2840" s="9">
        <f>YEAR(Table4[[#This Row],[issue_date]])</f>
        <v>2022</v>
      </c>
      <c r="F2840" t="s">
        <v>19</v>
      </c>
      <c r="G2840">
        <v>66</v>
      </c>
      <c r="H2840" t="s">
        <v>20</v>
      </c>
      <c r="I2840" t="str">
        <f>VLOOKUP(Table4[[#This Row],[customer_id]],customers!A:G,4,)</f>
        <v>bangalore</v>
      </c>
    </row>
    <row r="2841" spans="1:9" x14ac:dyDescent="0.3">
      <c r="A2841">
        <v>22840</v>
      </c>
      <c r="B2841">
        <v>201</v>
      </c>
      <c r="C2841" s="2">
        <v>44969</v>
      </c>
      <c r="D2841" s="2" t="str">
        <f>TEXT(Table4[[#This Row],[issue_date]],"mmmm")</f>
        <v>February</v>
      </c>
      <c r="E2841" s="9">
        <f>YEAR(Table4[[#This Row],[issue_date]])</f>
        <v>2023</v>
      </c>
      <c r="F2841" t="s">
        <v>22</v>
      </c>
      <c r="G2841">
        <v>62</v>
      </c>
      <c r="H2841" t="s">
        <v>20</v>
      </c>
      <c r="I2841" t="str">
        <f>VLOOKUP(Table4[[#This Row],[customer_id]],customers!A:G,4,)</f>
        <v>bangalore</v>
      </c>
    </row>
    <row r="2842" spans="1:9" x14ac:dyDescent="0.3">
      <c r="A2842">
        <v>22841</v>
      </c>
      <c r="B2842">
        <v>363</v>
      </c>
      <c r="C2842" s="2">
        <v>44840</v>
      </c>
      <c r="D2842" s="2" t="str">
        <f>TEXT(Table4[[#This Row],[issue_date]],"mmmm")</f>
        <v>October</v>
      </c>
      <c r="E2842" s="9">
        <f>YEAR(Table4[[#This Row],[issue_date]])</f>
        <v>2022</v>
      </c>
      <c r="F2842" t="s">
        <v>21</v>
      </c>
      <c r="G2842">
        <v>60</v>
      </c>
      <c r="H2842" t="s">
        <v>20</v>
      </c>
      <c r="I2842" t="str">
        <f>VLOOKUP(Table4[[#This Row],[customer_id]],customers!A:G,4,)</f>
        <v>delhi</v>
      </c>
    </row>
    <row r="2843" spans="1:9" x14ac:dyDescent="0.3">
      <c r="A2843">
        <v>22842</v>
      </c>
      <c r="B2843">
        <v>296</v>
      </c>
      <c r="C2843" s="2">
        <v>45006</v>
      </c>
      <c r="D2843" s="2" t="str">
        <f>TEXT(Table4[[#This Row],[issue_date]],"mmmm")</f>
        <v>March</v>
      </c>
      <c r="E2843" s="9">
        <f>YEAR(Table4[[#This Row],[issue_date]])</f>
        <v>2023</v>
      </c>
      <c r="F2843" t="s">
        <v>21</v>
      </c>
      <c r="G2843">
        <v>40</v>
      </c>
      <c r="H2843" t="s">
        <v>20</v>
      </c>
      <c r="I2843" t="str">
        <f>VLOOKUP(Table4[[#This Row],[customer_id]],customers!A:G,4,)</f>
        <v>hyderabad</v>
      </c>
    </row>
    <row r="2844" spans="1:9" x14ac:dyDescent="0.3">
      <c r="A2844">
        <v>22843</v>
      </c>
      <c r="B2844">
        <v>68</v>
      </c>
      <c r="C2844" s="2">
        <v>45238</v>
      </c>
      <c r="D2844" s="2" t="str">
        <f>TEXT(Table4[[#This Row],[issue_date]],"mmmm")</f>
        <v>November</v>
      </c>
      <c r="E2844" s="9">
        <f>YEAR(Table4[[#This Row],[issue_date]])</f>
        <v>2023</v>
      </c>
      <c r="F2844" t="s">
        <v>21</v>
      </c>
      <c r="G2844">
        <v>15</v>
      </c>
      <c r="H2844" t="s">
        <v>20</v>
      </c>
      <c r="I2844" t="str">
        <f>VLOOKUP(Table4[[#This Row],[customer_id]],customers!A:G,4,)</f>
        <v>bangalore</v>
      </c>
    </row>
    <row r="2845" spans="1:9" x14ac:dyDescent="0.3">
      <c r="A2845">
        <v>22844</v>
      </c>
      <c r="B2845">
        <v>438</v>
      </c>
      <c r="C2845" s="2">
        <v>44832</v>
      </c>
      <c r="D2845" s="2" t="str">
        <f>TEXT(Table4[[#This Row],[issue_date]],"mmmm")</f>
        <v>September</v>
      </c>
      <c r="E2845" s="9">
        <f>YEAR(Table4[[#This Row],[issue_date]])</f>
        <v>2022</v>
      </c>
      <c r="F2845" t="s">
        <v>21</v>
      </c>
      <c r="G2845">
        <v>7</v>
      </c>
      <c r="H2845" t="s">
        <v>20</v>
      </c>
      <c r="I2845" t="str">
        <f>VLOOKUP(Table4[[#This Row],[customer_id]],customers!A:G,4,)</f>
        <v>hyderabad</v>
      </c>
    </row>
    <row r="2846" spans="1:9" x14ac:dyDescent="0.3">
      <c r="A2846">
        <v>22845</v>
      </c>
      <c r="B2846">
        <v>20</v>
      </c>
      <c r="C2846" s="2">
        <v>45002</v>
      </c>
      <c r="D2846" s="2" t="str">
        <f>TEXT(Table4[[#This Row],[issue_date]],"mmmm")</f>
        <v>March</v>
      </c>
      <c r="E2846" s="9">
        <f>YEAR(Table4[[#This Row],[issue_date]])</f>
        <v>2023</v>
      </c>
      <c r="F2846" t="s">
        <v>21</v>
      </c>
      <c r="G2846">
        <v>39</v>
      </c>
      <c r="H2846" t="s">
        <v>20</v>
      </c>
      <c r="I2846" t="str">
        <f>VLOOKUP(Table4[[#This Row],[customer_id]],customers!A:G,4,)</f>
        <v>hyderabad</v>
      </c>
    </row>
    <row r="2847" spans="1:9" x14ac:dyDescent="0.3">
      <c r="A2847">
        <v>22846</v>
      </c>
      <c r="B2847">
        <v>271</v>
      </c>
      <c r="C2847" s="2">
        <v>44789</v>
      </c>
      <c r="D2847" s="2" t="str">
        <f>TEXT(Table4[[#This Row],[issue_date]],"mmmm")</f>
        <v>August</v>
      </c>
      <c r="E2847" s="9">
        <f>YEAR(Table4[[#This Row],[issue_date]])</f>
        <v>2022</v>
      </c>
      <c r="F2847" t="s">
        <v>21</v>
      </c>
      <c r="G2847">
        <v>51</v>
      </c>
      <c r="H2847" t="s">
        <v>20</v>
      </c>
      <c r="I2847" t="str">
        <f>VLOOKUP(Table4[[#This Row],[customer_id]],customers!A:G,4,)</f>
        <v>kolkata</v>
      </c>
    </row>
    <row r="2848" spans="1:9" x14ac:dyDescent="0.3">
      <c r="A2848">
        <v>22847</v>
      </c>
      <c r="B2848">
        <v>93</v>
      </c>
      <c r="C2848" s="2">
        <v>44688</v>
      </c>
      <c r="D2848" s="2" t="str">
        <f>TEXT(Table4[[#This Row],[issue_date]],"mmmm")</f>
        <v>May</v>
      </c>
      <c r="E2848" s="9">
        <f>YEAR(Table4[[#This Row],[issue_date]])</f>
        <v>2022</v>
      </c>
      <c r="F2848" t="s">
        <v>22</v>
      </c>
      <c r="G2848">
        <v>7</v>
      </c>
      <c r="H2848" t="s">
        <v>20</v>
      </c>
      <c r="I2848" t="str">
        <f>VLOOKUP(Table4[[#This Row],[customer_id]],customers!A:G,4,)</f>
        <v>bangalore</v>
      </c>
    </row>
    <row r="2849" spans="1:9" x14ac:dyDescent="0.3">
      <c r="A2849">
        <v>22848</v>
      </c>
      <c r="B2849">
        <v>133</v>
      </c>
      <c r="C2849" s="2">
        <v>44831</v>
      </c>
      <c r="D2849" s="2" t="str">
        <f>TEXT(Table4[[#This Row],[issue_date]],"mmmm")</f>
        <v>September</v>
      </c>
      <c r="E2849" s="9">
        <f>YEAR(Table4[[#This Row],[issue_date]])</f>
        <v>2022</v>
      </c>
      <c r="F2849" t="s">
        <v>19</v>
      </c>
      <c r="G2849">
        <v>12</v>
      </c>
      <c r="H2849" t="s">
        <v>20</v>
      </c>
      <c r="I2849" t="str">
        <f>VLOOKUP(Table4[[#This Row],[customer_id]],customers!A:G,4,)</f>
        <v>kolkata</v>
      </c>
    </row>
    <row r="2850" spans="1:9" x14ac:dyDescent="0.3">
      <c r="A2850">
        <v>22849</v>
      </c>
      <c r="B2850">
        <v>295</v>
      </c>
      <c r="C2850" s="2">
        <v>45381</v>
      </c>
      <c r="D2850" s="2" t="str">
        <f>TEXT(Table4[[#This Row],[issue_date]],"mmmm")</f>
        <v>March</v>
      </c>
      <c r="E2850" s="9">
        <f>YEAR(Table4[[#This Row],[issue_date]])</f>
        <v>2024</v>
      </c>
      <c r="F2850" t="s">
        <v>21</v>
      </c>
      <c r="G2850">
        <v>14</v>
      </c>
      <c r="H2850" t="s">
        <v>20</v>
      </c>
      <c r="I2850" t="str">
        <f>VLOOKUP(Table4[[#This Row],[customer_id]],customers!A:G,4,)</f>
        <v>delhi</v>
      </c>
    </row>
    <row r="2851" spans="1:9" x14ac:dyDescent="0.3">
      <c r="A2851">
        <v>22850</v>
      </c>
      <c r="B2851">
        <v>296</v>
      </c>
      <c r="C2851" s="2">
        <v>45321</v>
      </c>
      <c r="D2851" s="2" t="str">
        <f>TEXT(Table4[[#This Row],[issue_date]],"mmmm")</f>
        <v>January</v>
      </c>
      <c r="E2851" s="9">
        <f>YEAR(Table4[[#This Row],[issue_date]])</f>
        <v>2024</v>
      </c>
      <c r="F2851" t="s">
        <v>19</v>
      </c>
      <c r="G2851">
        <v>34</v>
      </c>
      <c r="H2851" t="s">
        <v>20</v>
      </c>
      <c r="I2851" t="str">
        <f>VLOOKUP(Table4[[#This Row],[customer_id]],customers!A:G,4,)</f>
        <v>hyderabad</v>
      </c>
    </row>
    <row r="2852" spans="1:9" x14ac:dyDescent="0.3">
      <c r="A2852">
        <v>22851</v>
      </c>
      <c r="B2852">
        <v>135</v>
      </c>
      <c r="C2852" s="2">
        <v>45413</v>
      </c>
      <c r="D2852" s="2" t="str">
        <f>TEXT(Table4[[#This Row],[issue_date]],"mmmm")</f>
        <v>May</v>
      </c>
      <c r="E2852" s="9">
        <f>YEAR(Table4[[#This Row],[issue_date]])</f>
        <v>2024</v>
      </c>
      <c r="F2852" t="s">
        <v>22</v>
      </c>
      <c r="G2852">
        <v>39</v>
      </c>
      <c r="H2852" t="s">
        <v>20</v>
      </c>
      <c r="I2852" t="str">
        <f>VLOOKUP(Table4[[#This Row],[customer_id]],customers!A:G,4,)</f>
        <v>chennai</v>
      </c>
    </row>
    <row r="2853" spans="1:9" x14ac:dyDescent="0.3">
      <c r="A2853">
        <v>22852</v>
      </c>
      <c r="B2853">
        <v>456</v>
      </c>
      <c r="C2853" s="2">
        <v>45048</v>
      </c>
      <c r="D2853" s="2" t="str">
        <f>TEXT(Table4[[#This Row],[issue_date]],"mmmm")</f>
        <v>May</v>
      </c>
      <c r="E2853" s="9">
        <f>YEAR(Table4[[#This Row],[issue_date]])</f>
        <v>2023</v>
      </c>
      <c r="F2853" t="s">
        <v>21</v>
      </c>
      <c r="G2853">
        <v>64</v>
      </c>
      <c r="H2853" t="s">
        <v>20</v>
      </c>
      <c r="I2853" t="str">
        <f>VLOOKUP(Table4[[#This Row],[customer_id]],customers!A:G,4,)</f>
        <v>kolkata</v>
      </c>
    </row>
    <row r="2854" spans="1:9" x14ac:dyDescent="0.3">
      <c r="A2854">
        <v>22853</v>
      </c>
      <c r="B2854">
        <v>352</v>
      </c>
      <c r="C2854" s="2">
        <v>45109</v>
      </c>
      <c r="D2854" s="2" t="str">
        <f>TEXT(Table4[[#This Row],[issue_date]],"mmmm")</f>
        <v>July</v>
      </c>
      <c r="E2854" s="9">
        <f>YEAR(Table4[[#This Row],[issue_date]])</f>
        <v>2023</v>
      </c>
      <c r="F2854" t="s">
        <v>21</v>
      </c>
      <c r="G2854">
        <v>12</v>
      </c>
      <c r="H2854" t="s">
        <v>20</v>
      </c>
      <c r="I2854" t="str">
        <f>VLOOKUP(Table4[[#This Row],[customer_id]],customers!A:G,4,)</f>
        <v>bangalore</v>
      </c>
    </row>
    <row r="2855" spans="1:9" x14ac:dyDescent="0.3">
      <c r="A2855">
        <v>22854</v>
      </c>
      <c r="B2855">
        <v>356</v>
      </c>
      <c r="C2855" s="2">
        <v>44716</v>
      </c>
      <c r="D2855" s="2" t="str">
        <f>TEXT(Table4[[#This Row],[issue_date]],"mmmm")</f>
        <v>June</v>
      </c>
      <c r="E2855" s="9">
        <f>YEAR(Table4[[#This Row],[issue_date]])</f>
        <v>2022</v>
      </c>
      <c r="F2855" t="s">
        <v>19</v>
      </c>
      <c r="G2855">
        <v>34</v>
      </c>
      <c r="H2855" t="s">
        <v>20</v>
      </c>
      <c r="I2855" t="str">
        <f>VLOOKUP(Table4[[#This Row],[customer_id]],customers!A:G,4,)</f>
        <v>bangalore</v>
      </c>
    </row>
    <row r="2856" spans="1:9" x14ac:dyDescent="0.3">
      <c r="A2856">
        <v>22855</v>
      </c>
      <c r="B2856">
        <v>33</v>
      </c>
      <c r="C2856" s="2">
        <v>45218</v>
      </c>
      <c r="D2856" s="2" t="str">
        <f>TEXT(Table4[[#This Row],[issue_date]],"mmmm")</f>
        <v>October</v>
      </c>
      <c r="E2856" s="9">
        <f>YEAR(Table4[[#This Row],[issue_date]])</f>
        <v>2023</v>
      </c>
      <c r="F2856" t="s">
        <v>19</v>
      </c>
      <c r="G2856">
        <v>27</v>
      </c>
      <c r="H2856" t="s">
        <v>20</v>
      </c>
      <c r="I2856" t="str">
        <f>VLOOKUP(Table4[[#This Row],[customer_id]],customers!A:G,4,)</f>
        <v>kolkata</v>
      </c>
    </row>
    <row r="2857" spans="1:9" x14ac:dyDescent="0.3">
      <c r="A2857">
        <v>22856</v>
      </c>
      <c r="B2857">
        <v>374</v>
      </c>
      <c r="C2857" s="2">
        <v>45333</v>
      </c>
      <c r="D2857" s="2" t="str">
        <f>TEXT(Table4[[#This Row],[issue_date]],"mmmm")</f>
        <v>February</v>
      </c>
      <c r="E2857" s="9">
        <f>YEAR(Table4[[#This Row],[issue_date]])</f>
        <v>2024</v>
      </c>
      <c r="F2857" t="s">
        <v>19</v>
      </c>
      <c r="G2857">
        <v>22</v>
      </c>
      <c r="H2857" t="s">
        <v>20</v>
      </c>
      <c r="I2857" t="str">
        <f>VLOOKUP(Table4[[#This Row],[customer_id]],customers!A:G,4,)</f>
        <v>mumbai</v>
      </c>
    </row>
    <row r="2858" spans="1:9" x14ac:dyDescent="0.3">
      <c r="A2858">
        <v>22857</v>
      </c>
      <c r="B2858">
        <v>293</v>
      </c>
      <c r="C2858" s="2">
        <v>45460</v>
      </c>
      <c r="D2858" s="2" t="str">
        <f>TEXT(Table4[[#This Row],[issue_date]],"mmmm")</f>
        <v>June</v>
      </c>
      <c r="E2858" s="9">
        <f>YEAR(Table4[[#This Row],[issue_date]])</f>
        <v>2024</v>
      </c>
      <c r="F2858" t="s">
        <v>21</v>
      </c>
      <c r="G2858">
        <v>18</v>
      </c>
      <c r="H2858" t="s">
        <v>20</v>
      </c>
      <c r="I2858" t="str">
        <f>VLOOKUP(Table4[[#This Row],[customer_id]],customers!A:G,4,)</f>
        <v>chennai</v>
      </c>
    </row>
    <row r="2859" spans="1:9" x14ac:dyDescent="0.3">
      <c r="A2859">
        <v>22858</v>
      </c>
      <c r="B2859">
        <v>32</v>
      </c>
      <c r="C2859" s="2">
        <v>44580</v>
      </c>
      <c r="D2859" s="2" t="str">
        <f>TEXT(Table4[[#This Row],[issue_date]],"mmmm")</f>
        <v>January</v>
      </c>
      <c r="E2859" s="9">
        <f>YEAR(Table4[[#This Row],[issue_date]])</f>
        <v>2022</v>
      </c>
      <c r="F2859" t="s">
        <v>19</v>
      </c>
      <c r="G2859">
        <v>46</v>
      </c>
      <c r="H2859" t="s">
        <v>20</v>
      </c>
      <c r="I2859" t="str">
        <f>VLOOKUP(Table4[[#This Row],[customer_id]],customers!A:G,4,)</f>
        <v>bangalore</v>
      </c>
    </row>
    <row r="2860" spans="1:9" x14ac:dyDescent="0.3">
      <c r="A2860">
        <v>22859</v>
      </c>
      <c r="B2860">
        <v>43</v>
      </c>
      <c r="C2860" s="2">
        <v>44986</v>
      </c>
      <c r="D2860" s="2" t="str">
        <f>TEXT(Table4[[#This Row],[issue_date]],"mmmm")</f>
        <v>March</v>
      </c>
      <c r="E2860" s="9">
        <f>YEAR(Table4[[#This Row],[issue_date]])</f>
        <v>2023</v>
      </c>
      <c r="F2860" t="s">
        <v>19</v>
      </c>
      <c r="G2860">
        <v>44</v>
      </c>
      <c r="H2860" t="s">
        <v>20</v>
      </c>
      <c r="I2860" t="str">
        <f>VLOOKUP(Table4[[#This Row],[customer_id]],customers!A:G,4,)</f>
        <v>hyderabad</v>
      </c>
    </row>
    <row r="2861" spans="1:9" x14ac:dyDescent="0.3">
      <c r="A2861">
        <v>22860</v>
      </c>
      <c r="B2861">
        <v>447</v>
      </c>
      <c r="C2861" s="2">
        <v>44619</v>
      </c>
      <c r="D2861" s="2" t="str">
        <f>TEXT(Table4[[#This Row],[issue_date]],"mmmm")</f>
        <v>February</v>
      </c>
      <c r="E2861" s="9">
        <f>YEAR(Table4[[#This Row],[issue_date]])</f>
        <v>2022</v>
      </c>
      <c r="F2861" t="s">
        <v>22</v>
      </c>
      <c r="G2861">
        <v>18</v>
      </c>
      <c r="H2861" t="s">
        <v>20</v>
      </c>
      <c r="I2861" t="str">
        <f>VLOOKUP(Table4[[#This Row],[customer_id]],customers!A:G,4,)</f>
        <v>delhi</v>
      </c>
    </row>
    <row r="2862" spans="1:9" x14ac:dyDescent="0.3">
      <c r="A2862">
        <v>22861</v>
      </c>
      <c r="B2862">
        <v>292</v>
      </c>
      <c r="C2862" s="2">
        <v>44984</v>
      </c>
      <c r="D2862" s="2" t="str">
        <f>TEXT(Table4[[#This Row],[issue_date]],"mmmm")</f>
        <v>February</v>
      </c>
      <c r="E2862" s="9">
        <f>YEAR(Table4[[#This Row],[issue_date]])</f>
        <v>2023</v>
      </c>
      <c r="F2862" t="s">
        <v>21</v>
      </c>
      <c r="G2862">
        <v>37</v>
      </c>
      <c r="H2862" t="s">
        <v>20</v>
      </c>
      <c r="I2862" t="str">
        <f>VLOOKUP(Table4[[#This Row],[customer_id]],customers!A:G,4,)</f>
        <v>delhi</v>
      </c>
    </row>
    <row r="2863" spans="1:9" x14ac:dyDescent="0.3">
      <c r="A2863">
        <v>22862</v>
      </c>
      <c r="B2863">
        <v>354</v>
      </c>
      <c r="C2863" s="2">
        <v>45336</v>
      </c>
      <c r="D2863" s="2" t="str">
        <f>TEXT(Table4[[#This Row],[issue_date]],"mmmm")</f>
        <v>February</v>
      </c>
      <c r="E2863" s="9">
        <f>YEAR(Table4[[#This Row],[issue_date]])</f>
        <v>2024</v>
      </c>
      <c r="F2863" t="s">
        <v>21</v>
      </c>
      <c r="G2863">
        <v>7</v>
      </c>
      <c r="H2863" t="s">
        <v>20</v>
      </c>
      <c r="I2863" t="str">
        <f>VLOOKUP(Table4[[#This Row],[customer_id]],customers!A:G,4,)</f>
        <v>kolkata</v>
      </c>
    </row>
    <row r="2864" spans="1:9" x14ac:dyDescent="0.3">
      <c r="A2864">
        <v>22863</v>
      </c>
      <c r="B2864">
        <v>305</v>
      </c>
      <c r="C2864" s="2">
        <v>45109</v>
      </c>
      <c r="D2864" s="2" t="str">
        <f>TEXT(Table4[[#This Row],[issue_date]],"mmmm")</f>
        <v>July</v>
      </c>
      <c r="E2864" s="9">
        <f>YEAR(Table4[[#This Row],[issue_date]])</f>
        <v>2023</v>
      </c>
      <c r="F2864" t="s">
        <v>21</v>
      </c>
      <c r="G2864">
        <v>68</v>
      </c>
      <c r="H2864" t="s">
        <v>20</v>
      </c>
      <c r="I2864" t="str">
        <f>VLOOKUP(Table4[[#This Row],[customer_id]],customers!A:G,4,)</f>
        <v>chennai</v>
      </c>
    </row>
    <row r="2865" spans="1:9" x14ac:dyDescent="0.3">
      <c r="A2865">
        <v>22864</v>
      </c>
      <c r="B2865">
        <v>281</v>
      </c>
      <c r="C2865" s="2">
        <v>45284</v>
      </c>
      <c r="D2865" s="2" t="str">
        <f>TEXT(Table4[[#This Row],[issue_date]],"mmmm")</f>
        <v>December</v>
      </c>
      <c r="E2865" s="9">
        <f>YEAR(Table4[[#This Row],[issue_date]])</f>
        <v>2023</v>
      </c>
      <c r="F2865" t="s">
        <v>19</v>
      </c>
      <c r="G2865">
        <v>60</v>
      </c>
      <c r="H2865" t="s">
        <v>20</v>
      </c>
      <c r="I2865" t="str">
        <f>VLOOKUP(Table4[[#This Row],[customer_id]],customers!A:G,4,)</f>
        <v>kolkata</v>
      </c>
    </row>
    <row r="2866" spans="1:9" x14ac:dyDescent="0.3">
      <c r="A2866">
        <v>22865</v>
      </c>
      <c r="B2866">
        <v>108</v>
      </c>
      <c r="C2866" s="2">
        <v>45405</v>
      </c>
      <c r="D2866" s="2" t="str">
        <f>TEXT(Table4[[#This Row],[issue_date]],"mmmm")</f>
        <v>April</v>
      </c>
      <c r="E2866" s="9">
        <f>YEAR(Table4[[#This Row],[issue_date]])</f>
        <v>2024</v>
      </c>
      <c r="F2866" t="s">
        <v>22</v>
      </c>
      <c r="G2866">
        <v>48</v>
      </c>
      <c r="H2866" t="s">
        <v>20</v>
      </c>
      <c r="I2866" t="str">
        <f>VLOOKUP(Table4[[#This Row],[customer_id]],customers!A:G,4,)</f>
        <v>delhi</v>
      </c>
    </row>
    <row r="2867" spans="1:9" x14ac:dyDescent="0.3">
      <c r="A2867">
        <v>22866</v>
      </c>
      <c r="B2867">
        <v>96</v>
      </c>
      <c r="C2867" s="2">
        <v>45221</v>
      </c>
      <c r="D2867" s="2" t="str">
        <f>TEXT(Table4[[#This Row],[issue_date]],"mmmm")</f>
        <v>October</v>
      </c>
      <c r="E2867" s="9">
        <f>YEAR(Table4[[#This Row],[issue_date]])</f>
        <v>2023</v>
      </c>
      <c r="F2867" t="s">
        <v>19</v>
      </c>
      <c r="G2867">
        <v>51</v>
      </c>
      <c r="H2867" t="s">
        <v>23</v>
      </c>
      <c r="I2867" t="str">
        <f>VLOOKUP(Table4[[#This Row],[customer_id]],customers!A:G,4,)</f>
        <v>hyderabad</v>
      </c>
    </row>
    <row r="2868" spans="1:9" x14ac:dyDescent="0.3">
      <c r="A2868">
        <v>22867</v>
      </c>
      <c r="B2868">
        <v>66</v>
      </c>
      <c r="C2868" s="2">
        <v>44663</v>
      </c>
      <c r="D2868" s="2" t="str">
        <f>TEXT(Table4[[#This Row],[issue_date]],"mmmm")</f>
        <v>April</v>
      </c>
      <c r="E2868" s="9">
        <f>YEAR(Table4[[#This Row],[issue_date]])</f>
        <v>2022</v>
      </c>
      <c r="F2868" t="s">
        <v>21</v>
      </c>
      <c r="G2868">
        <v>52</v>
      </c>
      <c r="H2868" t="s">
        <v>20</v>
      </c>
      <c r="I2868" t="str">
        <f>VLOOKUP(Table4[[#This Row],[customer_id]],customers!A:G,4,)</f>
        <v>hyderabad</v>
      </c>
    </row>
    <row r="2869" spans="1:9" x14ac:dyDescent="0.3">
      <c r="A2869">
        <v>22868</v>
      </c>
      <c r="B2869">
        <v>9</v>
      </c>
      <c r="C2869" s="2">
        <v>44637</v>
      </c>
      <c r="D2869" s="2" t="str">
        <f>TEXT(Table4[[#This Row],[issue_date]],"mmmm")</f>
        <v>March</v>
      </c>
      <c r="E2869" s="9">
        <f>YEAR(Table4[[#This Row],[issue_date]])</f>
        <v>2022</v>
      </c>
      <c r="F2869" t="s">
        <v>19</v>
      </c>
      <c r="G2869">
        <v>52</v>
      </c>
      <c r="H2869" t="s">
        <v>20</v>
      </c>
      <c r="I2869" t="str">
        <f>VLOOKUP(Table4[[#This Row],[customer_id]],customers!A:G,4,)</f>
        <v>bangalore</v>
      </c>
    </row>
    <row r="2870" spans="1:9" x14ac:dyDescent="0.3">
      <c r="A2870">
        <v>22869</v>
      </c>
      <c r="B2870">
        <v>230</v>
      </c>
      <c r="C2870" s="2">
        <v>45141</v>
      </c>
      <c r="D2870" s="2" t="str">
        <f>TEXT(Table4[[#This Row],[issue_date]],"mmmm")</f>
        <v>August</v>
      </c>
      <c r="E2870" s="9">
        <f>YEAR(Table4[[#This Row],[issue_date]])</f>
        <v>2023</v>
      </c>
      <c r="F2870" t="s">
        <v>21</v>
      </c>
      <c r="G2870">
        <v>54</v>
      </c>
      <c r="H2870" t="s">
        <v>20</v>
      </c>
      <c r="I2870" t="str">
        <f>VLOOKUP(Table4[[#This Row],[customer_id]],customers!A:G,4,)</f>
        <v>chennai</v>
      </c>
    </row>
    <row r="2871" spans="1:9" x14ac:dyDescent="0.3">
      <c r="A2871">
        <v>22870</v>
      </c>
      <c r="B2871">
        <v>221</v>
      </c>
      <c r="C2871" s="2">
        <v>44627</v>
      </c>
      <c r="D2871" s="2" t="str">
        <f>TEXT(Table4[[#This Row],[issue_date]],"mmmm")</f>
        <v>March</v>
      </c>
      <c r="E2871" s="9">
        <f>YEAR(Table4[[#This Row],[issue_date]])</f>
        <v>2022</v>
      </c>
      <c r="F2871" t="s">
        <v>19</v>
      </c>
      <c r="G2871">
        <v>41</v>
      </c>
      <c r="H2871" t="s">
        <v>20</v>
      </c>
      <c r="I2871" t="str">
        <f>VLOOKUP(Table4[[#This Row],[customer_id]],customers!A:G,4,)</f>
        <v>bangalore</v>
      </c>
    </row>
    <row r="2872" spans="1:9" x14ac:dyDescent="0.3">
      <c r="A2872">
        <v>22871</v>
      </c>
      <c r="B2872">
        <v>358</v>
      </c>
      <c r="C2872" s="2">
        <v>45376</v>
      </c>
      <c r="D2872" s="2" t="str">
        <f>TEXT(Table4[[#This Row],[issue_date]],"mmmm")</f>
        <v>March</v>
      </c>
      <c r="E2872" s="9">
        <f>YEAR(Table4[[#This Row],[issue_date]])</f>
        <v>2024</v>
      </c>
      <c r="F2872" t="s">
        <v>19</v>
      </c>
      <c r="G2872">
        <v>42</v>
      </c>
      <c r="H2872" t="s">
        <v>20</v>
      </c>
      <c r="I2872" t="str">
        <f>VLOOKUP(Table4[[#This Row],[customer_id]],customers!A:G,4,)</f>
        <v>mumbai</v>
      </c>
    </row>
    <row r="2873" spans="1:9" x14ac:dyDescent="0.3">
      <c r="A2873">
        <v>22872</v>
      </c>
      <c r="B2873">
        <v>402</v>
      </c>
      <c r="C2873" s="2">
        <v>45295</v>
      </c>
      <c r="D2873" s="2" t="str">
        <f>TEXT(Table4[[#This Row],[issue_date]],"mmmm")</f>
        <v>January</v>
      </c>
      <c r="E2873" s="9">
        <f>YEAR(Table4[[#This Row],[issue_date]])</f>
        <v>2024</v>
      </c>
      <c r="F2873" t="s">
        <v>21</v>
      </c>
      <c r="G2873">
        <v>22</v>
      </c>
      <c r="H2873" t="s">
        <v>20</v>
      </c>
      <c r="I2873" t="str">
        <f>VLOOKUP(Table4[[#This Row],[customer_id]],customers!A:G,4,)</f>
        <v>bangalore</v>
      </c>
    </row>
    <row r="2874" spans="1:9" x14ac:dyDescent="0.3">
      <c r="A2874">
        <v>22873</v>
      </c>
      <c r="B2874">
        <v>278</v>
      </c>
      <c r="C2874" s="2">
        <v>44712</v>
      </c>
      <c r="D2874" s="2" t="str">
        <f>TEXT(Table4[[#This Row],[issue_date]],"mmmm")</f>
        <v>May</v>
      </c>
      <c r="E2874" s="9">
        <f>YEAR(Table4[[#This Row],[issue_date]])</f>
        <v>2022</v>
      </c>
      <c r="F2874" t="s">
        <v>19</v>
      </c>
      <c r="G2874">
        <v>39</v>
      </c>
      <c r="H2874" t="s">
        <v>20</v>
      </c>
      <c r="I2874" t="str">
        <f>VLOOKUP(Table4[[#This Row],[customer_id]],customers!A:G,4,)</f>
        <v>hyderabad</v>
      </c>
    </row>
    <row r="2875" spans="1:9" x14ac:dyDescent="0.3">
      <c r="A2875">
        <v>22874</v>
      </c>
      <c r="B2875">
        <v>99</v>
      </c>
      <c r="C2875" s="2">
        <v>45347</v>
      </c>
      <c r="D2875" s="2" t="str">
        <f>TEXT(Table4[[#This Row],[issue_date]],"mmmm")</f>
        <v>February</v>
      </c>
      <c r="E2875" s="9">
        <f>YEAR(Table4[[#This Row],[issue_date]])</f>
        <v>2024</v>
      </c>
      <c r="F2875" t="s">
        <v>21</v>
      </c>
      <c r="G2875">
        <v>23</v>
      </c>
      <c r="H2875" t="s">
        <v>20</v>
      </c>
      <c r="I2875" t="str">
        <f>VLOOKUP(Table4[[#This Row],[customer_id]],customers!A:G,4,)</f>
        <v>hyderabad</v>
      </c>
    </row>
    <row r="2876" spans="1:9" x14ac:dyDescent="0.3">
      <c r="A2876">
        <v>22875</v>
      </c>
      <c r="B2876">
        <v>271</v>
      </c>
      <c r="C2876" s="2">
        <v>44998</v>
      </c>
      <c r="D2876" s="2" t="str">
        <f>TEXT(Table4[[#This Row],[issue_date]],"mmmm")</f>
        <v>March</v>
      </c>
      <c r="E2876" s="9">
        <f>YEAR(Table4[[#This Row],[issue_date]])</f>
        <v>2023</v>
      </c>
      <c r="F2876" t="s">
        <v>19</v>
      </c>
      <c r="G2876">
        <v>48</v>
      </c>
      <c r="H2876" t="s">
        <v>20</v>
      </c>
      <c r="I2876" t="str">
        <f>VLOOKUP(Table4[[#This Row],[customer_id]],customers!A:G,4,)</f>
        <v>kolkata</v>
      </c>
    </row>
    <row r="2877" spans="1:9" x14ac:dyDescent="0.3">
      <c r="A2877">
        <v>22876</v>
      </c>
      <c r="B2877">
        <v>263</v>
      </c>
      <c r="C2877" s="2">
        <v>45351</v>
      </c>
      <c r="D2877" s="2" t="str">
        <f>TEXT(Table4[[#This Row],[issue_date]],"mmmm")</f>
        <v>February</v>
      </c>
      <c r="E2877" s="9">
        <f>YEAR(Table4[[#This Row],[issue_date]])</f>
        <v>2024</v>
      </c>
      <c r="F2877" t="s">
        <v>19</v>
      </c>
      <c r="G2877">
        <v>33</v>
      </c>
      <c r="H2877" t="s">
        <v>20</v>
      </c>
      <c r="I2877" t="str">
        <f>VLOOKUP(Table4[[#This Row],[customer_id]],customers!A:G,4,)</f>
        <v>chennai</v>
      </c>
    </row>
    <row r="2878" spans="1:9" x14ac:dyDescent="0.3">
      <c r="A2878">
        <v>22877</v>
      </c>
      <c r="B2878">
        <v>397</v>
      </c>
      <c r="C2878" s="2">
        <v>44629</v>
      </c>
      <c r="D2878" s="2" t="str">
        <f>TEXT(Table4[[#This Row],[issue_date]],"mmmm")</f>
        <v>March</v>
      </c>
      <c r="E2878" s="9">
        <f>YEAR(Table4[[#This Row],[issue_date]])</f>
        <v>2022</v>
      </c>
      <c r="F2878" t="s">
        <v>19</v>
      </c>
      <c r="G2878">
        <v>41</v>
      </c>
      <c r="H2878" t="s">
        <v>20</v>
      </c>
      <c r="I2878" t="str">
        <f>VLOOKUP(Table4[[#This Row],[customer_id]],customers!A:G,4,)</f>
        <v>bangalore</v>
      </c>
    </row>
    <row r="2879" spans="1:9" x14ac:dyDescent="0.3">
      <c r="A2879">
        <v>22878</v>
      </c>
      <c r="B2879">
        <v>362</v>
      </c>
      <c r="C2879" s="2">
        <v>44796</v>
      </c>
      <c r="D2879" s="2" t="str">
        <f>TEXT(Table4[[#This Row],[issue_date]],"mmmm")</f>
        <v>August</v>
      </c>
      <c r="E2879" s="9">
        <f>YEAR(Table4[[#This Row],[issue_date]])</f>
        <v>2022</v>
      </c>
      <c r="F2879" t="s">
        <v>21</v>
      </c>
      <c r="G2879">
        <v>30</v>
      </c>
      <c r="H2879" t="s">
        <v>23</v>
      </c>
      <c r="I2879" t="str">
        <f>VLOOKUP(Table4[[#This Row],[customer_id]],customers!A:G,4,)</f>
        <v>delhi</v>
      </c>
    </row>
    <row r="2880" spans="1:9" x14ac:dyDescent="0.3">
      <c r="A2880">
        <v>22879</v>
      </c>
      <c r="B2880">
        <v>164</v>
      </c>
      <c r="C2880" s="2">
        <v>45276</v>
      </c>
      <c r="D2880" s="2" t="str">
        <f>TEXT(Table4[[#This Row],[issue_date]],"mmmm")</f>
        <v>December</v>
      </c>
      <c r="E2880" s="9">
        <f>YEAR(Table4[[#This Row],[issue_date]])</f>
        <v>2023</v>
      </c>
      <c r="F2880" t="s">
        <v>19</v>
      </c>
      <c r="G2880">
        <v>47</v>
      </c>
      <c r="H2880" t="s">
        <v>20</v>
      </c>
      <c r="I2880" t="str">
        <f>VLOOKUP(Table4[[#This Row],[customer_id]],customers!A:G,4,)</f>
        <v>chennai</v>
      </c>
    </row>
    <row r="2881" spans="1:9" x14ac:dyDescent="0.3">
      <c r="A2881">
        <v>22880</v>
      </c>
      <c r="B2881">
        <v>16</v>
      </c>
      <c r="C2881" s="2">
        <v>45306</v>
      </c>
      <c r="D2881" s="2" t="str">
        <f>TEXT(Table4[[#This Row],[issue_date]],"mmmm")</f>
        <v>January</v>
      </c>
      <c r="E2881" s="9">
        <f>YEAR(Table4[[#This Row],[issue_date]])</f>
        <v>2024</v>
      </c>
      <c r="F2881" t="s">
        <v>19</v>
      </c>
      <c r="G2881">
        <v>57</v>
      </c>
      <c r="H2881" t="s">
        <v>20</v>
      </c>
      <c r="I2881" t="str">
        <f>VLOOKUP(Table4[[#This Row],[customer_id]],customers!A:G,4,)</f>
        <v>bangalore</v>
      </c>
    </row>
    <row r="2882" spans="1:9" x14ac:dyDescent="0.3">
      <c r="A2882">
        <v>22881</v>
      </c>
      <c r="B2882">
        <v>169</v>
      </c>
      <c r="C2882" s="2">
        <v>45236</v>
      </c>
      <c r="D2882" s="2" t="str">
        <f>TEXT(Table4[[#This Row],[issue_date]],"mmmm")</f>
        <v>November</v>
      </c>
      <c r="E2882" s="9">
        <f>YEAR(Table4[[#This Row],[issue_date]])</f>
        <v>2023</v>
      </c>
      <c r="F2882" t="s">
        <v>22</v>
      </c>
      <c r="G2882">
        <v>57</v>
      </c>
      <c r="H2882" t="s">
        <v>20</v>
      </c>
      <c r="I2882" t="str">
        <f>VLOOKUP(Table4[[#This Row],[customer_id]],customers!A:G,4,)</f>
        <v>chennai</v>
      </c>
    </row>
    <row r="2883" spans="1:9" x14ac:dyDescent="0.3">
      <c r="A2883">
        <v>22882</v>
      </c>
      <c r="B2883">
        <v>21</v>
      </c>
      <c r="C2883" s="2">
        <v>44659</v>
      </c>
      <c r="D2883" s="2" t="str">
        <f>TEXT(Table4[[#This Row],[issue_date]],"mmmm")</f>
        <v>April</v>
      </c>
      <c r="E2883" s="9">
        <f>YEAR(Table4[[#This Row],[issue_date]])</f>
        <v>2022</v>
      </c>
      <c r="F2883" t="s">
        <v>22</v>
      </c>
      <c r="G2883">
        <v>62</v>
      </c>
      <c r="H2883" t="s">
        <v>20</v>
      </c>
      <c r="I2883" t="str">
        <f>VLOOKUP(Table4[[#This Row],[customer_id]],customers!A:G,4,)</f>
        <v>hyderabad</v>
      </c>
    </row>
    <row r="2884" spans="1:9" x14ac:dyDescent="0.3">
      <c r="A2884">
        <v>22883</v>
      </c>
      <c r="B2884">
        <v>28</v>
      </c>
      <c r="C2884" s="2">
        <v>44570</v>
      </c>
      <c r="D2884" s="2" t="str">
        <f>TEXT(Table4[[#This Row],[issue_date]],"mmmm")</f>
        <v>January</v>
      </c>
      <c r="E2884" s="9">
        <f>YEAR(Table4[[#This Row],[issue_date]])</f>
        <v>2022</v>
      </c>
      <c r="F2884" t="s">
        <v>21</v>
      </c>
      <c r="G2884">
        <v>57</v>
      </c>
      <c r="H2884" t="s">
        <v>20</v>
      </c>
      <c r="I2884" t="str">
        <f>VLOOKUP(Table4[[#This Row],[customer_id]],customers!A:G,4,)</f>
        <v>delhi</v>
      </c>
    </row>
    <row r="2885" spans="1:9" x14ac:dyDescent="0.3">
      <c r="A2885">
        <v>22884</v>
      </c>
      <c r="B2885">
        <v>330</v>
      </c>
      <c r="C2885" s="2">
        <v>45065</v>
      </c>
      <c r="D2885" s="2" t="str">
        <f>TEXT(Table4[[#This Row],[issue_date]],"mmmm")</f>
        <v>May</v>
      </c>
      <c r="E2885" s="9">
        <f>YEAR(Table4[[#This Row],[issue_date]])</f>
        <v>2023</v>
      </c>
      <c r="F2885" t="s">
        <v>21</v>
      </c>
      <c r="G2885">
        <v>68</v>
      </c>
      <c r="H2885" t="s">
        <v>20</v>
      </c>
      <c r="I2885" t="str">
        <f>VLOOKUP(Table4[[#This Row],[customer_id]],customers!A:G,4,)</f>
        <v>mumbai</v>
      </c>
    </row>
    <row r="2886" spans="1:9" x14ac:dyDescent="0.3">
      <c r="A2886">
        <v>22885</v>
      </c>
      <c r="B2886">
        <v>83</v>
      </c>
      <c r="C2886" s="2">
        <v>45322</v>
      </c>
      <c r="D2886" s="2" t="str">
        <f>TEXT(Table4[[#This Row],[issue_date]],"mmmm")</f>
        <v>January</v>
      </c>
      <c r="E2886" s="9">
        <f>YEAR(Table4[[#This Row],[issue_date]])</f>
        <v>2024</v>
      </c>
      <c r="F2886" t="s">
        <v>21</v>
      </c>
      <c r="G2886">
        <v>25</v>
      </c>
      <c r="H2886" t="s">
        <v>20</v>
      </c>
      <c r="I2886" t="str">
        <f>VLOOKUP(Table4[[#This Row],[customer_id]],customers!A:G,4,)</f>
        <v>bangalore</v>
      </c>
    </row>
    <row r="2887" spans="1:9" x14ac:dyDescent="0.3">
      <c r="A2887">
        <v>22886</v>
      </c>
      <c r="B2887">
        <v>273</v>
      </c>
      <c r="C2887" s="2">
        <v>45051</v>
      </c>
      <c r="D2887" s="2" t="str">
        <f>TEXT(Table4[[#This Row],[issue_date]],"mmmm")</f>
        <v>May</v>
      </c>
      <c r="E2887" s="9">
        <f>YEAR(Table4[[#This Row],[issue_date]])</f>
        <v>2023</v>
      </c>
      <c r="F2887" t="s">
        <v>21</v>
      </c>
      <c r="G2887">
        <v>40</v>
      </c>
      <c r="H2887" t="s">
        <v>20</v>
      </c>
      <c r="I2887" t="str">
        <f>VLOOKUP(Table4[[#This Row],[customer_id]],customers!A:G,4,)</f>
        <v>kolkata</v>
      </c>
    </row>
    <row r="2888" spans="1:9" x14ac:dyDescent="0.3">
      <c r="A2888">
        <v>22887</v>
      </c>
      <c r="B2888">
        <v>321</v>
      </c>
      <c r="C2888" s="2">
        <v>44988</v>
      </c>
      <c r="D2888" s="2" t="str">
        <f>TEXT(Table4[[#This Row],[issue_date]],"mmmm")</f>
        <v>March</v>
      </c>
      <c r="E2888" s="9">
        <f>YEAR(Table4[[#This Row],[issue_date]])</f>
        <v>2023</v>
      </c>
      <c r="F2888" t="s">
        <v>19</v>
      </c>
      <c r="G2888">
        <v>17</v>
      </c>
      <c r="H2888" t="s">
        <v>20</v>
      </c>
      <c r="I2888" t="str">
        <f>VLOOKUP(Table4[[#This Row],[customer_id]],customers!A:G,4,)</f>
        <v>hyderabad</v>
      </c>
    </row>
    <row r="2889" spans="1:9" x14ac:dyDescent="0.3">
      <c r="A2889">
        <v>22888</v>
      </c>
      <c r="B2889">
        <v>397</v>
      </c>
      <c r="C2889" s="2">
        <v>44788</v>
      </c>
      <c r="D2889" s="2" t="str">
        <f>TEXT(Table4[[#This Row],[issue_date]],"mmmm")</f>
        <v>August</v>
      </c>
      <c r="E2889" s="9">
        <f>YEAR(Table4[[#This Row],[issue_date]])</f>
        <v>2022</v>
      </c>
      <c r="F2889" t="s">
        <v>19</v>
      </c>
      <c r="G2889">
        <v>48</v>
      </c>
      <c r="H2889" t="s">
        <v>20</v>
      </c>
      <c r="I2889" t="str">
        <f>VLOOKUP(Table4[[#This Row],[customer_id]],customers!A:G,4,)</f>
        <v>bangalore</v>
      </c>
    </row>
    <row r="2890" spans="1:9" x14ac:dyDescent="0.3">
      <c r="A2890">
        <v>22889</v>
      </c>
      <c r="B2890">
        <v>36</v>
      </c>
      <c r="C2890" s="2">
        <v>45314</v>
      </c>
      <c r="D2890" s="2" t="str">
        <f>TEXT(Table4[[#This Row],[issue_date]],"mmmm")</f>
        <v>January</v>
      </c>
      <c r="E2890" s="9">
        <f>YEAR(Table4[[#This Row],[issue_date]])</f>
        <v>2024</v>
      </c>
      <c r="F2890" t="s">
        <v>21</v>
      </c>
      <c r="G2890">
        <v>39</v>
      </c>
      <c r="H2890" t="s">
        <v>20</v>
      </c>
      <c r="I2890" t="str">
        <f>VLOOKUP(Table4[[#This Row],[customer_id]],customers!A:G,4,)</f>
        <v>chennai</v>
      </c>
    </row>
    <row r="2891" spans="1:9" x14ac:dyDescent="0.3">
      <c r="A2891">
        <v>22890</v>
      </c>
      <c r="B2891">
        <v>495</v>
      </c>
      <c r="C2891" s="2">
        <v>45148</v>
      </c>
      <c r="D2891" s="2" t="str">
        <f>TEXT(Table4[[#This Row],[issue_date]],"mmmm")</f>
        <v>August</v>
      </c>
      <c r="E2891" s="9">
        <f>YEAR(Table4[[#This Row],[issue_date]])</f>
        <v>2023</v>
      </c>
      <c r="F2891" t="s">
        <v>21</v>
      </c>
      <c r="G2891">
        <v>15</v>
      </c>
      <c r="H2891" t="s">
        <v>20</v>
      </c>
      <c r="I2891" t="str">
        <f>VLOOKUP(Table4[[#This Row],[customer_id]],customers!A:G,4,)</f>
        <v>mumbai</v>
      </c>
    </row>
    <row r="2892" spans="1:9" x14ac:dyDescent="0.3">
      <c r="A2892">
        <v>22891</v>
      </c>
      <c r="B2892">
        <v>314</v>
      </c>
      <c r="C2892" s="2">
        <v>44578</v>
      </c>
      <c r="D2892" s="2" t="str">
        <f>TEXT(Table4[[#This Row],[issue_date]],"mmmm")</f>
        <v>January</v>
      </c>
      <c r="E2892" s="9">
        <f>YEAR(Table4[[#This Row],[issue_date]])</f>
        <v>2022</v>
      </c>
      <c r="F2892" t="s">
        <v>22</v>
      </c>
      <c r="G2892">
        <v>17</v>
      </c>
      <c r="H2892" t="s">
        <v>20</v>
      </c>
      <c r="I2892" t="str">
        <f>VLOOKUP(Table4[[#This Row],[customer_id]],customers!A:G,4,)</f>
        <v>chennai</v>
      </c>
    </row>
    <row r="2893" spans="1:9" x14ac:dyDescent="0.3">
      <c r="A2893">
        <v>22892</v>
      </c>
      <c r="B2893">
        <v>490</v>
      </c>
      <c r="C2893" s="2">
        <v>45124</v>
      </c>
      <c r="D2893" s="2" t="str">
        <f>TEXT(Table4[[#This Row],[issue_date]],"mmmm")</f>
        <v>July</v>
      </c>
      <c r="E2893" s="9">
        <f>YEAR(Table4[[#This Row],[issue_date]])</f>
        <v>2023</v>
      </c>
      <c r="F2893" t="s">
        <v>21</v>
      </c>
      <c r="G2893">
        <v>35</v>
      </c>
      <c r="H2893" t="s">
        <v>20</v>
      </c>
      <c r="I2893" t="str">
        <f>VLOOKUP(Table4[[#This Row],[customer_id]],customers!A:G,4,)</f>
        <v>chennai</v>
      </c>
    </row>
    <row r="2894" spans="1:9" x14ac:dyDescent="0.3">
      <c r="A2894">
        <v>22893</v>
      </c>
      <c r="B2894">
        <v>276</v>
      </c>
      <c r="C2894" s="2">
        <v>44789</v>
      </c>
      <c r="D2894" s="2" t="str">
        <f>TEXT(Table4[[#This Row],[issue_date]],"mmmm")</f>
        <v>August</v>
      </c>
      <c r="E2894" s="9">
        <f>YEAR(Table4[[#This Row],[issue_date]])</f>
        <v>2022</v>
      </c>
      <c r="F2894" t="s">
        <v>22</v>
      </c>
      <c r="G2894">
        <v>33</v>
      </c>
      <c r="H2894" t="s">
        <v>20</v>
      </c>
      <c r="I2894" t="str">
        <f>VLOOKUP(Table4[[#This Row],[customer_id]],customers!A:G,4,)</f>
        <v>hyderabad</v>
      </c>
    </row>
    <row r="2895" spans="1:9" x14ac:dyDescent="0.3">
      <c r="A2895">
        <v>22894</v>
      </c>
      <c r="B2895">
        <v>233</v>
      </c>
      <c r="C2895" s="2">
        <v>45267</v>
      </c>
      <c r="D2895" s="2" t="str">
        <f>TEXT(Table4[[#This Row],[issue_date]],"mmmm")</f>
        <v>December</v>
      </c>
      <c r="E2895" s="9">
        <f>YEAR(Table4[[#This Row],[issue_date]])</f>
        <v>2023</v>
      </c>
      <c r="F2895" t="s">
        <v>21</v>
      </c>
      <c r="G2895">
        <v>18</v>
      </c>
      <c r="H2895" t="s">
        <v>20</v>
      </c>
      <c r="I2895" t="str">
        <f>VLOOKUP(Table4[[#This Row],[customer_id]],customers!A:G,4,)</f>
        <v>mumbai</v>
      </c>
    </row>
    <row r="2896" spans="1:9" x14ac:dyDescent="0.3">
      <c r="A2896">
        <v>22895</v>
      </c>
      <c r="B2896">
        <v>104</v>
      </c>
      <c r="C2896" s="2">
        <v>45353</v>
      </c>
      <c r="D2896" s="2" t="str">
        <f>TEXT(Table4[[#This Row],[issue_date]],"mmmm")</f>
        <v>March</v>
      </c>
      <c r="E2896" s="9">
        <f>YEAR(Table4[[#This Row],[issue_date]])</f>
        <v>2024</v>
      </c>
      <c r="F2896" t="s">
        <v>21</v>
      </c>
      <c r="G2896">
        <v>30</v>
      </c>
      <c r="H2896" t="s">
        <v>20</v>
      </c>
      <c r="I2896" t="str">
        <f>VLOOKUP(Table4[[#This Row],[customer_id]],customers!A:G,4,)</f>
        <v>kolkata</v>
      </c>
    </row>
    <row r="2897" spans="1:9" x14ac:dyDescent="0.3">
      <c r="A2897">
        <v>22896</v>
      </c>
      <c r="B2897">
        <v>436</v>
      </c>
      <c r="C2897" s="2">
        <v>44799</v>
      </c>
      <c r="D2897" s="2" t="str">
        <f>TEXT(Table4[[#This Row],[issue_date]],"mmmm")</f>
        <v>August</v>
      </c>
      <c r="E2897" s="9">
        <f>YEAR(Table4[[#This Row],[issue_date]])</f>
        <v>2022</v>
      </c>
      <c r="F2897" t="s">
        <v>19</v>
      </c>
      <c r="G2897">
        <v>37</v>
      </c>
      <c r="H2897" t="s">
        <v>20</v>
      </c>
      <c r="I2897" t="str">
        <f>VLOOKUP(Table4[[#This Row],[customer_id]],customers!A:G,4,)</f>
        <v>delhi</v>
      </c>
    </row>
    <row r="2898" spans="1:9" x14ac:dyDescent="0.3">
      <c r="A2898">
        <v>22897</v>
      </c>
      <c r="B2898">
        <v>6</v>
      </c>
      <c r="C2898" s="2">
        <v>44942</v>
      </c>
      <c r="D2898" s="2" t="str">
        <f>TEXT(Table4[[#This Row],[issue_date]],"mmmm")</f>
        <v>January</v>
      </c>
      <c r="E2898" s="9">
        <f>YEAR(Table4[[#This Row],[issue_date]])</f>
        <v>2023</v>
      </c>
      <c r="F2898" t="s">
        <v>21</v>
      </c>
      <c r="G2898">
        <v>7</v>
      </c>
      <c r="H2898" t="s">
        <v>20</v>
      </c>
      <c r="I2898" t="str">
        <f>VLOOKUP(Table4[[#This Row],[customer_id]],customers!A:G,4,)</f>
        <v>bangalore</v>
      </c>
    </row>
    <row r="2899" spans="1:9" x14ac:dyDescent="0.3">
      <c r="A2899">
        <v>22898</v>
      </c>
      <c r="B2899">
        <v>23</v>
      </c>
      <c r="C2899" s="2">
        <v>45344</v>
      </c>
      <c r="D2899" s="2" t="str">
        <f>TEXT(Table4[[#This Row],[issue_date]],"mmmm")</f>
        <v>February</v>
      </c>
      <c r="E2899" s="9">
        <f>YEAR(Table4[[#This Row],[issue_date]])</f>
        <v>2024</v>
      </c>
      <c r="F2899" t="s">
        <v>22</v>
      </c>
      <c r="G2899">
        <v>28</v>
      </c>
      <c r="H2899" t="s">
        <v>20</v>
      </c>
      <c r="I2899" t="str">
        <f>VLOOKUP(Table4[[#This Row],[customer_id]],customers!A:G,4,)</f>
        <v>kolkata</v>
      </c>
    </row>
    <row r="2900" spans="1:9" x14ac:dyDescent="0.3">
      <c r="A2900">
        <v>22899</v>
      </c>
      <c r="B2900">
        <v>170</v>
      </c>
      <c r="C2900" s="2">
        <v>44948</v>
      </c>
      <c r="D2900" s="2" t="str">
        <f>TEXT(Table4[[#This Row],[issue_date]],"mmmm")</f>
        <v>January</v>
      </c>
      <c r="E2900" s="9">
        <f>YEAR(Table4[[#This Row],[issue_date]])</f>
        <v>2023</v>
      </c>
      <c r="F2900" t="s">
        <v>19</v>
      </c>
      <c r="G2900">
        <v>18</v>
      </c>
      <c r="H2900" t="s">
        <v>20</v>
      </c>
      <c r="I2900" t="str">
        <f>VLOOKUP(Table4[[#This Row],[customer_id]],customers!A:G,4,)</f>
        <v>delhi</v>
      </c>
    </row>
    <row r="2901" spans="1:9" x14ac:dyDescent="0.3">
      <c r="A2901">
        <v>22900</v>
      </c>
      <c r="B2901">
        <v>152</v>
      </c>
      <c r="C2901" s="2">
        <v>45230</v>
      </c>
      <c r="D2901" s="2" t="str">
        <f>TEXT(Table4[[#This Row],[issue_date]],"mmmm")</f>
        <v>October</v>
      </c>
      <c r="E2901" s="9">
        <f>YEAR(Table4[[#This Row],[issue_date]])</f>
        <v>2023</v>
      </c>
      <c r="F2901" t="s">
        <v>22</v>
      </c>
      <c r="G2901">
        <v>47</v>
      </c>
      <c r="H2901" t="s">
        <v>20</v>
      </c>
      <c r="I2901" t="str">
        <f>VLOOKUP(Table4[[#This Row],[customer_id]],customers!A:G,4,)</f>
        <v>bangalore</v>
      </c>
    </row>
    <row r="2902" spans="1:9" x14ac:dyDescent="0.3">
      <c r="A2902">
        <v>22901</v>
      </c>
      <c r="B2902">
        <v>244</v>
      </c>
      <c r="C2902" s="2">
        <v>44815</v>
      </c>
      <c r="D2902" s="2" t="str">
        <f>TEXT(Table4[[#This Row],[issue_date]],"mmmm")</f>
        <v>September</v>
      </c>
      <c r="E2902" s="9">
        <f>YEAR(Table4[[#This Row],[issue_date]])</f>
        <v>2022</v>
      </c>
      <c r="F2902" t="s">
        <v>21</v>
      </c>
      <c r="G2902">
        <v>23</v>
      </c>
      <c r="H2902" t="s">
        <v>23</v>
      </c>
      <c r="I2902" t="str">
        <f>VLOOKUP(Table4[[#This Row],[customer_id]],customers!A:G,4,)</f>
        <v>bangalore</v>
      </c>
    </row>
    <row r="2903" spans="1:9" x14ac:dyDescent="0.3">
      <c r="A2903">
        <v>22902</v>
      </c>
      <c r="B2903">
        <v>241</v>
      </c>
      <c r="C2903" s="2">
        <v>44869</v>
      </c>
      <c r="D2903" s="2" t="str">
        <f>TEXT(Table4[[#This Row],[issue_date]],"mmmm")</f>
        <v>November</v>
      </c>
      <c r="E2903" s="9">
        <f>YEAR(Table4[[#This Row],[issue_date]])</f>
        <v>2022</v>
      </c>
      <c r="F2903" t="s">
        <v>19</v>
      </c>
      <c r="G2903">
        <v>20</v>
      </c>
      <c r="H2903" t="s">
        <v>20</v>
      </c>
      <c r="I2903" t="str">
        <f>VLOOKUP(Table4[[#This Row],[customer_id]],customers!A:G,4,)</f>
        <v>mumbai</v>
      </c>
    </row>
    <row r="2904" spans="1:9" x14ac:dyDescent="0.3">
      <c r="A2904">
        <v>22903</v>
      </c>
      <c r="B2904">
        <v>261</v>
      </c>
      <c r="C2904" s="2">
        <v>45383</v>
      </c>
      <c r="D2904" s="2" t="str">
        <f>TEXT(Table4[[#This Row],[issue_date]],"mmmm")</f>
        <v>April</v>
      </c>
      <c r="E2904" s="9">
        <f>YEAR(Table4[[#This Row],[issue_date]])</f>
        <v>2024</v>
      </c>
      <c r="F2904" t="s">
        <v>22</v>
      </c>
      <c r="G2904">
        <v>31</v>
      </c>
      <c r="H2904" t="s">
        <v>20</v>
      </c>
      <c r="I2904" t="str">
        <f>VLOOKUP(Table4[[#This Row],[customer_id]],customers!A:G,4,)</f>
        <v>mumbai</v>
      </c>
    </row>
    <row r="2905" spans="1:9" x14ac:dyDescent="0.3">
      <c r="A2905">
        <v>22904</v>
      </c>
      <c r="B2905">
        <v>416</v>
      </c>
      <c r="C2905" s="2">
        <v>44875</v>
      </c>
      <c r="D2905" s="2" t="str">
        <f>TEXT(Table4[[#This Row],[issue_date]],"mmmm")</f>
        <v>November</v>
      </c>
      <c r="E2905" s="9">
        <f>YEAR(Table4[[#This Row],[issue_date]])</f>
        <v>2022</v>
      </c>
      <c r="F2905" t="s">
        <v>21</v>
      </c>
      <c r="G2905">
        <v>14</v>
      </c>
      <c r="H2905" t="s">
        <v>20</v>
      </c>
      <c r="I2905" t="str">
        <f>VLOOKUP(Table4[[#This Row],[customer_id]],customers!A:G,4,)</f>
        <v>bangalore</v>
      </c>
    </row>
    <row r="2906" spans="1:9" x14ac:dyDescent="0.3">
      <c r="A2906">
        <v>22905</v>
      </c>
      <c r="B2906">
        <v>46</v>
      </c>
      <c r="C2906" s="2">
        <v>44862</v>
      </c>
      <c r="D2906" s="2" t="str">
        <f>TEXT(Table4[[#This Row],[issue_date]],"mmmm")</f>
        <v>October</v>
      </c>
      <c r="E2906" s="9">
        <f>YEAR(Table4[[#This Row],[issue_date]])</f>
        <v>2022</v>
      </c>
      <c r="F2906" t="s">
        <v>22</v>
      </c>
      <c r="G2906">
        <v>23</v>
      </c>
      <c r="H2906" t="s">
        <v>20</v>
      </c>
      <c r="I2906" t="str">
        <f>VLOOKUP(Table4[[#This Row],[customer_id]],customers!A:G,4,)</f>
        <v>delhi</v>
      </c>
    </row>
    <row r="2907" spans="1:9" x14ac:dyDescent="0.3">
      <c r="A2907">
        <v>22906</v>
      </c>
      <c r="B2907">
        <v>273</v>
      </c>
      <c r="C2907" s="2">
        <v>44679</v>
      </c>
      <c r="D2907" s="2" t="str">
        <f>TEXT(Table4[[#This Row],[issue_date]],"mmmm")</f>
        <v>April</v>
      </c>
      <c r="E2907" s="9">
        <f>YEAR(Table4[[#This Row],[issue_date]])</f>
        <v>2022</v>
      </c>
      <c r="F2907" t="s">
        <v>21</v>
      </c>
      <c r="G2907">
        <v>2</v>
      </c>
      <c r="H2907" t="s">
        <v>20</v>
      </c>
      <c r="I2907" t="str">
        <f>VLOOKUP(Table4[[#This Row],[customer_id]],customers!A:G,4,)</f>
        <v>kolkata</v>
      </c>
    </row>
    <row r="2908" spans="1:9" x14ac:dyDescent="0.3">
      <c r="A2908">
        <v>22907</v>
      </c>
      <c r="B2908">
        <v>75</v>
      </c>
      <c r="C2908" s="2">
        <v>45406</v>
      </c>
      <c r="D2908" s="2" t="str">
        <f>TEXT(Table4[[#This Row],[issue_date]],"mmmm")</f>
        <v>April</v>
      </c>
      <c r="E2908" s="9">
        <f>YEAR(Table4[[#This Row],[issue_date]])</f>
        <v>2024</v>
      </c>
      <c r="F2908" t="s">
        <v>22</v>
      </c>
      <c r="G2908">
        <v>29</v>
      </c>
      <c r="H2908" t="s">
        <v>20</v>
      </c>
      <c r="I2908" t="str">
        <f>VLOOKUP(Table4[[#This Row],[customer_id]],customers!A:G,4,)</f>
        <v>mumbai</v>
      </c>
    </row>
    <row r="2909" spans="1:9" x14ac:dyDescent="0.3">
      <c r="A2909">
        <v>22908</v>
      </c>
      <c r="B2909">
        <v>283</v>
      </c>
      <c r="C2909" s="2">
        <v>44611</v>
      </c>
      <c r="D2909" s="2" t="str">
        <f>TEXT(Table4[[#This Row],[issue_date]],"mmmm")</f>
        <v>February</v>
      </c>
      <c r="E2909" s="9">
        <f>YEAR(Table4[[#This Row],[issue_date]])</f>
        <v>2022</v>
      </c>
      <c r="F2909" t="s">
        <v>21</v>
      </c>
      <c r="G2909">
        <v>50</v>
      </c>
      <c r="H2909" t="s">
        <v>20</v>
      </c>
      <c r="I2909" t="str">
        <f>VLOOKUP(Table4[[#This Row],[customer_id]],customers!A:G,4,)</f>
        <v>hyderabad</v>
      </c>
    </row>
    <row r="2910" spans="1:9" x14ac:dyDescent="0.3">
      <c r="A2910">
        <v>22909</v>
      </c>
      <c r="B2910">
        <v>196</v>
      </c>
      <c r="C2910" s="2">
        <v>45351</v>
      </c>
      <c r="D2910" s="2" t="str">
        <f>TEXT(Table4[[#This Row],[issue_date]],"mmmm")</f>
        <v>February</v>
      </c>
      <c r="E2910" s="9">
        <f>YEAR(Table4[[#This Row],[issue_date]])</f>
        <v>2024</v>
      </c>
      <c r="F2910" t="s">
        <v>22</v>
      </c>
      <c r="G2910">
        <v>59</v>
      </c>
      <c r="H2910" t="s">
        <v>23</v>
      </c>
      <c r="I2910" t="str">
        <f>VLOOKUP(Table4[[#This Row],[customer_id]],customers!A:G,4,)</f>
        <v>kolkata</v>
      </c>
    </row>
    <row r="2911" spans="1:9" x14ac:dyDescent="0.3">
      <c r="A2911">
        <v>22910</v>
      </c>
      <c r="B2911">
        <v>23</v>
      </c>
      <c r="C2911" s="2">
        <v>45125</v>
      </c>
      <c r="D2911" s="2" t="str">
        <f>TEXT(Table4[[#This Row],[issue_date]],"mmmm")</f>
        <v>July</v>
      </c>
      <c r="E2911" s="9">
        <f>YEAR(Table4[[#This Row],[issue_date]])</f>
        <v>2023</v>
      </c>
      <c r="F2911" t="s">
        <v>19</v>
      </c>
      <c r="G2911">
        <v>33</v>
      </c>
      <c r="H2911" t="s">
        <v>23</v>
      </c>
      <c r="I2911" t="str">
        <f>VLOOKUP(Table4[[#This Row],[customer_id]],customers!A:G,4,)</f>
        <v>kolkata</v>
      </c>
    </row>
    <row r="2912" spans="1:9" x14ac:dyDescent="0.3">
      <c r="A2912">
        <v>22911</v>
      </c>
      <c r="B2912">
        <v>87</v>
      </c>
      <c r="C2912" s="2">
        <v>44742</v>
      </c>
      <c r="D2912" s="2" t="str">
        <f>TEXT(Table4[[#This Row],[issue_date]],"mmmm")</f>
        <v>June</v>
      </c>
      <c r="E2912" s="9">
        <f>YEAR(Table4[[#This Row],[issue_date]])</f>
        <v>2022</v>
      </c>
      <c r="F2912" t="s">
        <v>21</v>
      </c>
      <c r="G2912">
        <v>48</v>
      </c>
      <c r="H2912" t="s">
        <v>20</v>
      </c>
      <c r="I2912" t="str">
        <f>VLOOKUP(Table4[[#This Row],[customer_id]],customers!A:G,4,)</f>
        <v>hyderabad</v>
      </c>
    </row>
    <row r="2913" spans="1:9" x14ac:dyDescent="0.3">
      <c r="A2913">
        <v>22912</v>
      </c>
      <c r="B2913">
        <v>369</v>
      </c>
      <c r="C2913" s="2">
        <v>45104</v>
      </c>
      <c r="D2913" s="2" t="str">
        <f>TEXT(Table4[[#This Row],[issue_date]],"mmmm")</f>
        <v>June</v>
      </c>
      <c r="E2913" s="9">
        <f>YEAR(Table4[[#This Row],[issue_date]])</f>
        <v>2023</v>
      </c>
      <c r="F2913" t="s">
        <v>21</v>
      </c>
      <c r="G2913">
        <v>44</v>
      </c>
      <c r="H2913" t="s">
        <v>20</v>
      </c>
      <c r="I2913" t="str">
        <f>VLOOKUP(Table4[[#This Row],[customer_id]],customers!A:G,4,)</f>
        <v>hyderabad</v>
      </c>
    </row>
    <row r="2914" spans="1:9" x14ac:dyDescent="0.3">
      <c r="A2914">
        <v>22913</v>
      </c>
      <c r="B2914">
        <v>121</v>
      </c>
      <c r="C2914" s="2">
        <v>44888</v>
      </c>
      <c r="D2914" s="2" t="str">
        <f>TEXT(Table4[[#This Row],[issue_date]],"mmmm")</f>
        <v>November</v>
      </c>
      <c r="E2914" s="9">
        <f>YEAR(Table4[[#This Row],[issue_date]])</f>
        <v>2022</v>
      </c>
      <c r="F2914" t="s">
        <v>22</v>
      </c>
      <c r="G2914">
        <v>12</v>
      </c>
      <c r="H2914" t="s">
        <v>20</v>
      </c>
      <c r="I2914" t="str">
        <f>VLOOKUP(Table4[[#This Row],[customer_id]],customers!A:G,4,)</f>
        <v>chennai</v>
      </c>
    </row>
    <row r="2915" spans="1:9" x14ac:dyDescent="0.3">
      <c r="A2915">
        <v>22914</v>
      </c>
      <c r="B2915">
        <v>418</v>
      </c>
      <c r="C2915" s="2">
        <v>45064</v>
      </c>
      <c r="D2915" s="2" t="str">
        <f>TEXT(Table4[[#This Row],[issue_date]],"mmmm")</f>
        <v>May</v>
      </c>
      <c r="E2915" s="9">
        <f>YEAR(Table4[[#This Row],[issue_date]])</f>
        <v>2023</v>
      </c>
      <c r="F2915" t="s">
        <v>21</v>
      </c>
      <c r="G2915">
        <v>42</v>
      </c>
      <c r="H2915" t="s">
        <v>20</v>
      </c>
      <c r="I2915" t="str">
        <f>VLOOKUP(Table4[[#This Row],[customer_id]],customers!A:G,4,)</f>
        <v>mumbai</v>
      </c>
    </row>
    <row r="2916" spans="1:9" x14ac:dyDescent="0.3">
      <c r="A2916">
        <v>22915</v>
      </c>
      <c r="B2916">
        <v>149</v>
      </c>
      <c r="C2916" s="2">
        <v>45057</v>
      </c>
      <c r="D2916" s="2" t="str">
        <f>TEXT(Table4[[#This Row],[issue_date]],"mmmm")</f>
        <v>May</v>
      </c>
      <c r="E2916" s="9">
        <f>YEAR(Table4[[#This Row],[issue_date]])</f>
        <v>2023</v>
      </c>
      <c r="F2916" t="s">
        <v>19</v>
      </c>
      <c r="G2916">
        <v>35</v>
      </c>
      <c r="H2916" t="s">
        <v>20</v>
      </c>
      <c r="I2916" t="str">
        <f>VLOOKUP(Table4[[#This Row],[customer_id]],customers!A:G,4,)</f>
        <v>chennai</v>
      </c>
    </row>
    <row r="2917" spans="1:9" x14ac:dyDescent="0.3">
      <c r="A2917">
        <v>22916</v>
      </c>
      <c r="B2917">
        <v>150</v>
      </c>
      <c r="C2917" s="2">
        <v>44807</v>
      </c>
      <c r="D2917" s="2" t="str">
        <f>TEXT(Table4[[#This Row],[issue_date]],"mmmm")</f>
        <v>September</v>
      </c>
      <c r="E2917" s="9">
        <f>YEAR(Table4[[#This Row],[issue_date]])</f>
        <v>2022</v>
      </c>
      <c r="F2917" t="s">
        <v>22</v>
      </c>
      <c r="G2917">
        <v>41</v>
      </c>
      <c r="H2917" t="s">
        <v>20</v>
      </c>
      <c r="I2917" t="str">
        <f>VLOOKUP(Table4[[#This Row],[customer_id]],customers!A:G,4,)</f>
        <v>bangalore</v>
      </c>
    </row>
    <row r="2918" spans="1:9" x14ac:dyDescent="0.3">
      <c r="A2918">
        <v>22917</v>
      </c>
      <c r="B2918">
        <v>65</v>
      </c>
      <c r="C2918" s="2">
        <v>45163</v>
      </c>
      <c r="D2918" s="2" t="str">
        <f>TEXT(Table4[[#This Row],[issue_date]],"mmmm")</f>
        <v>August</v>
      </c>
      <c r="E2918" s="9">
        <f>YEAR(Table4[[#This Row],[issue_date]])</f>
        <v>2023</v>
      </c>
      <c r="F2918" t="s">
        <v>22</v>
      </c>
      <c r="G2918">
        <v>55</v>
      </c>
      <c r="H2918" t="s">
        <v>23</v>
      </c>
      <c r="I2918" t="str">
        <f>VLOOKUP(Table4[[#This Row],[customer_id]],customers!A:G,4,)</f>
        <v>delhi</v>
      </c>
    </row>
    <row r="2919" spans="1:9" x14ac:dyDescent="0.3">
      <c r="A2919">
        <v>22918</v>
      </c>
      <c r="B2919">
        <v>160</v>
      </c>
      <c r="C2919" s="2">
        <v>45104</v>
      </c>
      <c r="D2919" s="2" t="str">
        <f>TEXT(Table4[[#This Row],[issue_date]],"mmmm")</f>
        <v>June</v>
      </c>
      <c r="E2919" s="9">
        <f>YEAR(Table4[[#This Row],[issue_date]])</f>
        <v>2023</v>
      </c>
      <c r="F2919" t="s">
        <v>22</v>
      </c>
      <c r="G2919">
        <v>13</v>
      </c>
      <c r="H2919" t="s">
        <v>20</v>
      </c>
      <c r="I2919" t="str">
        <f>VLOOKUP(Table4[[#This Row],[customer_id]],customers!A:G,4,)</f>
        <v>hyderabad</v>
      </c>
    </row>
    <row r="2920" spans="1:9" x14ac:dyDescent="0.3">
      <c r="A2920">
        <v>22919</v>
      </c>
      <c r="B2920">
        <v>446</v>
      </c>
      <c r="C2920" s="2">
        <v>44663</v>
      </c>
      <c r="D2920" s="2" t="str">
        <f>TEXT(Table4[[#This Row],[issue_date]],"mmmm")</f>
        <v>April</v>
      </c>
      <c r="E2920" s="9">
        <f>YEAR(Table4[[#This Row],[issue_date]])</f>
        <v>2022</v>
      </c>
      <c r="F2920" t="s">
        <v>19</v>
      </c>
      <c r="G2920">
        <v>39</v>
      </c>
      <c r="H2920" t="s">
        <v>20</v>
      </c>
      <c r="I2920" t="str">
        <f>VLOOKUP(Table4[[#This Row],[customer_id]],customers!A:G,4,)</f>
        <v>kolkata</v>
      </c>
    </row>
    <row r="2921" spans="1:9" x14ac:dyDescent="0.3">
      <c r="A2921">
        <v>22920</v>
      </c>
      <c r="B2921">
        <v>284</v>
      </c>
      <c r="C2921" s="2">
        <v>44791</v>
      </c>
      <c r="D2921" s="2" t="str">
        <f>TEXT(Table4[[#This Row],[issue_date]],"mmmm")</f>
        <v>August</v>
      </c>
      <c r="E2921" s="9">
        <f>YEAR(Table4[[#This Row],[issue_date]])</f>
        <v>2022</v>
      </c>
      <c r="F2921" t="s">
        <v>19</v>
      </c>
      <c r="G2921">
        <v>66</v>
      </c>
      <c r="H2921" t="s">
        <v>20</v>
      </c>
      <c r="I2921" t="str">
        <f>VLOOKUP(Table4[[#This Row],[customer_id]],customers!A:G,4,)</f>
        <v>chennai</v>
      </c>
    </row>
    <row r="2922" spans="1:9" x14ac:dyDescent="0.3">
      <c r="A2922">
        <v>22921</v>
      </c>
      <c r="B2922">
        <v>82</v>
      </c>
      <c r="C2922" s="2">
        <v>44949</v>
      </c>
      <c r="D2922" s="2" t="str">
        <f>TEXT(Table4[[#This Row],[issue_date]],"mmmm")</f>
        <v>January</v>
      </c>
      <c r="E2922" s="9">
        <f>YEAR(Table4[[#This Row],[issue_date]])</f>
        <v>2023</v>
      </c>
      <c r="F2922" t="s">
        <v>21</v>
      </c>
      <c r="G2922">
        <v>35</v>
      </c>
      <c r="H2922" t="s">
        <v>20</v>
      </c>
      <c r="I2922" t="str">
        <f>VLOOKUP(Table4[[#This Row],[customer_id]],customers!A:G,4,)</f>
        <v>chennai</v>
      </c>
    </row>
    <row r="2923" spans="1:9" x14ac:dyDescent="0.3">
      <c r="A2923">
        <v>22922</v>
      </c>
      <c r="B2923">
        <v>7</v>
      </c>
      <c r="C2923" s="2">
        <v>45170</v>
      </c>
      <c r="D2923" s="2" t="str">
        <f>TEXT(Table4[[#This Row],[issue_date]],"mmmm")</f>
        <v>September</v>
      </c>
      <c r="E2923" s="9">
        <f>YEAR(Table4[[#This Row],[issue_date]])</f>
        <v>2023</v>
      </c>
      <c r="F2923" t="s">
        <v>22</v>
      </c>
      <c r="G2923">
        <v>33</v>
      </c>
      <c r="H2923" t="s">
        <v>20</v>
      </c>
      <c r="I2923" t="str">
        <f>VLOOKUP(Table4[[#This Row],[customer_id]],customers!A:G,4,)</f>
        <v>bangalore</v>
      </c>
    </row>
    <row r="2924" spans="1:9" x14ac:dyDescent="0.3">
      <c r="A2924">
        <v>22923</v>
      </c>
      <c r="B2924">
        <v>182</v>
      </c>
      <c r="C2924" s="2">
        <v>45140</v>
      </c>
      <c r="D2924" s="2" t="str">
        <f>TEXT(Table4[[#This Row],[issue_date]],"mmmm")</f>
        <v>August</v>
      </c>
      <c r="E2924" s="9">
        <f>YEAR(Table4[[#This Row],[issue_date]])</f>
        <v>2023</v>
      </c>
      <c r="F2924" t="s">
        <v>19</v>
      </c>
      <c r="G2924">
        <v>36</v>
      </c>
      <c r="H2924" t="s">
        <v>20</v>
      </c>
      <c r="I2924" t="str">
        <f>VLOOKUP(Table4[[#This Row],[customer_id]],customers!A:G,4,)</f>
        <v>bangalore</v>
      </c>
    </row>
    <row r="2925" spans="1:9" x14ac:dyDescent="0.3">
      <c r="A2925">
        <v>22924</v>
      </c>
      <c r="B2925">
        <v>358</v>
      </c>
      <c r="C2925" s="2">
        <v>45265</v>
      </c>
      <c r="D2925" s="2" t="str">
        <f>TEXT(Table4[[#This Row],[issue_date]],"mmmm")</f>
        <v>December</v>
      </c>
      <c r="E2925" s="9">
        <f>YEAR(Table4[[#This Row],[issue_date]])</f>
        <v>2023</v>
      </c>
      <c r="F2925" t="s">
        <v>21</v>
      </c>
      <c r="G2925">
        <v>13</v>
      </c>
      <c r="H2925" t="s">
        <v>20</v>
      </c>
      <c r="I2925" t="str">
        <f>VLOOKUP(Table4[[#This Row],[customer_id]],customers!A:G,4,)</f>
        <v>mumbai</v>
      </c>
    </row>
    <row r="2926" spans="1:9" x14ac:dyDescent="0.3">
      <c r="A2926">
        <v>22925</v>
      </c>
      <c r="B2926">
        <v>454</v>
      </c>
      <c r="C2926" s="2">
        <v>44772</v>
      </c>
      <c r="D2926" s="2" t="str">
        <f>TEXT(Table4[[#This Row],[issue_date]],"mmmm")</f>
        <v>July</v>
      </c>
      <c r="E2926" s="9">
        <f>YEAR(Table4[[#This Row],[issue_date]])</f>
        <v>2022</v>
      </c>
      <c r="F2926" t="s">
        <v>19</v>
      </c>
      <c r="G2926">
        <v>56</v>
      </c>
      <c r="H2926" t="s">
        <v>20</v>
      </c>
      <c r="I2926" t="str">
        <f>VLOOKUP(Table4[[#This Row],[customer_id]],customers!A:G,4,)</f>
        <v>chennai</v>
      </c>
    </row>
    <row r="2927" spans="1:9" x14ac:dyDescent="0.3">
      <c r="A2927">
        <v>22926</v>
      </c>
      <c r="B2927">
        <v>14</v>
      </c>
      <c r="C2927" s="2">
        <v>45210</v>
      </c>
      <c r="D2927" s="2" t="str">
        <f>TEXT(Table4[[#This Row],[issue_date]],"mmmm")</f>
        <v>October</v>
      </c>
      <c r="E2927" s="9">
        <f>YEAR(Table4[[#This Row],[issue_date]])</f>
        <v>2023</v>
      </c>
      <c r="F2927" t="s">
        <v>19</v>
      </c>
      <c r="G2927">
        <v>46</v>
      </c>
      <c r="H2927" t="s">
        <v>20</v>
      </c>
      <c r="I2927" t="str">
        <f>VLOOKUP(Table4[[#This Row],[customer_id]],customers!A:G,4,)</f>
        <v>mumbai</v>
      </c>
    </row>
    <row r="2928" spans="1:9" x14ac:dyDescent="0.3">
      <c r="A2928">
        <v>22927</v>
      </c>
      <c r="B2928">
        <v>478</v>
      </c>
      <c r="C2928" s="2">
        <v>44991</v>
      </c>
      <c r="D2928" s="2" t="str">
        <f>TEXT(Table4[[#This Row],[issue_date]],"mmmm")</f>
        <v>March</v>
      </c>
      <c r="E2928" s="9">
        <f>YEAR(Table4[[#This Row],[issue_date]])</f>
        <v>2023</v>
      </c>
      <c r="F2928" t="s">
        <v>19</v>
      </c>
      <c r="G2928">
        <v>46</v>
      </c>
      <c r="H2928" t="s">
        <v>20</v>
      </c>
      <c r="I2928" t="str">
        <f>VLOOKUP(Table4[[#This Row],[customer_id]],customers!A:G,4,)</f>
        <v>chennai</v>
      </c>
    </row>
    <row r="2929" spans="1:9" x14ac:dyDescent="0.3">
      <c r="A2929">
        <v>22928</v>
      </c>
      <c r="B2929">
        <v>183</v>
      </c>
      <c r="C2929" s="2">
        <v>44900</v>
      </c>
      <c r="D2929" s="2" t="str">
        <f>TEXT(Table4[[#This Row],[issue_date]],"mmmm")</f>
        <v>December</v>
      </c>
      <c r="E2929" s="9">
        <f>YEAR(Table4[[#This Row],[issue_date]])</f>
        <v>2022</v>
      </c>
      <c r="F2929" t="s">
        <v>21</v>
      </c>
      <c r="G2929">
        <v>44</v>
      </c>
      <c r="H2929" t="s">
        <v>20</v>
      </c>
      <c r="I2929" t="str">
        <f>VLOOKUP(Table4[[#This Row],[customer_id]],customers!A:G,4,)</f>
        <v>hyderabad</v>
      </c>
    </row>
    <row r="2930" spans="1:9" x14ac:dyDescent="0.3">
      <c r="A2930">
        <v>22929</v>
      </c>
      <c r="B2930">
        <v>314</v>
      </c>
      <c r="C2930" s="2">
        <v>44745</v>
      </c>
      <c r="D2930" s="2" t="str">
        <f>TEXT(Table4[[#This Row],[issue_date]],"mmmm")</f>
        <v>July</v>
      </c>
      <c r="E2930" s="9">
        <f>YEAR(Table4[[#This Row],[issue_date]])</f>
        <v>2022</v>
      </c>
      <c r="F2930" t="s">
        <v>19</v>
      </c>
      <c r="G2930">
        <v>46</v>
      </c>
      <c r="H2930" t="s">
        <v>20</v>
      </c>
      <c r="I2930" t="str">
        <f>VLOOKUP(Table4[[#This Row],[customer_id]],customers!A:G,4,)</f>
        <v>chennai</v>
      </c>
    </row>
    <row r="2931" spans="1:9" x14ac:dyDescent="0.3">
      <c r="A2931">
        <v>22930</v>
      </c>
      <c r="B2931">
        <v>44</v>
      </c>
      <c r="C2931" s="2">
        <v>44617</v>
      </c>
      <c r="D2931" s="2" t="str">
        <f>TEXT(Table4[[#This Row],[issue_date]],"mmmm")</f>
        <v>February</v>
      </c>
      <c r="E2931" s="9">
        <f>YEAR(Table4[[#This Row],[issue_date]])</f>
        <v>2022</v>
      </c>
      <c r="F2931" t="s">
        <v>19</v>
      </c>
      <c r="G2931">
        <v>69</v>
      </c>
      <c r="H2931" t="s">
        <v>20</v>
      </c>
      <c r="I2931" t="str">
        <f>VLOOKUP(Table4[[#This Row],[customer_id]],customers!A:G,4,)</f>
        <v>mumbai</v>
      </c>
    </row>
    <row r="2932" spans="1:9" x14ac:dyDescent="0.3">
      <c r="A2932">
        <v>22931</v>
      </c>
      <c r="B2932">
        <v>174</v>
      </c>
      <c r="C2932" s="2">
        <v>45323</v>
      </c>
      <c r="D2932" s="2" t="str">
        <f>TEXT(Table4[[#This Row],[issue_date]],"mmmm")</f>
        <v>February</v>
      </c>
      <c r="E2932" s="9">
        <f>YEAR(Table4[[#This Row],[issue_date]])</f>
        <v>2024</v>
      </c>
      <c r="F2932" t="s">
        <v>19</v>
      </c>
      <c r="G2932">
        <v>31</v>
      </c>
      <c r="H2932" t="s">
        <v>20</v>
      </c>
      <c r="I2932" t="str">
        <f>VLOOKUP(Table4[[#This Row],[customer_id]],customers!A:G,4,)</f>
        <v>mumbai</v>
      </c>
    </row>
    <row r="2933" spans="1:9" x14ac:dyDescent="0.3">
      <c r="A2933">
        <v>22932</v>
      </c>
      <c r="B2933">
        <v>14</v>
      </c>
      <c r="C2933" s="2">
        <v>44843</v>
      </c>
      <c r="D2933" s="2" t="str">
        <f>TEXT(Table4[[#This Row],[issue_date]],"mmmm")</f>
        <v>October</v>
      </c>
      <c r="E2933" s="9">
        <f>YEAR(Table4[[#This Row],[issue_date]])</f>
        <v>2022</v>
      </c>
      <c r="F2933" t="s">
        <v>22</v>
      </c>
      <c r="G2933">
        <v>24</v>
      </c>
      <c r="H2933" t="s">
        <v>20</v>
      </c>
      <c r="I2933" t="str">
        <f>VLOOKUP(Table4[[#This Row],[customer_id]],customers!A:G,4,)</f>
        <v>mumbai</v>
      </c>
    </row>
    <row r="2934" spans="1:9" x14ac:dyDescent="0.3">
      <c r="A2934">
        <v>22933</v>
      </c>
      <c r="B2934">
        <v>300</v>
      </c>
      <c r="C2934" s="2">
        <v>45133</v>
      </c>
      <c r="D2934" s="2" t="str">
        <f>TEXT(Table4[[#This Row],[issue_date]],"mmmm")</f>
        <v>July</v>
      </c>
      <c r="E2934" s="9">
        <f>YEAR(Table4[[#This Row],[issue_date]])</f>
        <v>2023</v>
      </c>
      <c r="F2934" t="s">
        <v>19</v>
      </c>
      <c r="G2934">
        <v>32</v>
      </c>
      <c r="H2934" t="s">
        <v>20</v>
      </c>
      <c r="I2934" t="str">
        <f>VLOOKUP(Table4[[#This Row],[customer_id]],customers!A:G,4,)</f>
        <v>mumbai</v>
      </c>
    </row>
    <row r="2935" spans="1:9" x14ac:dyDescent="0.3">
      <c r="A2935">
        <v>22934</v>
      </c>
      <c r="B2935">
        <v>425</v>
      </c>
      <c r="C2935" s="2">
        <v>44689</v>
      </c>
      <c r="D2935" s="2" t="str">
        <f>TEXT(Table4[[#This Row],[issue_date]],"mmmm")</f>
        <v>May</v>
      </c>
      <c r="E2935" s="9">
        <f>YEAR(Table4[[#This Row],[issue_date]])</f>
        <v>2022</v>
      </c>
      <c r="F2935" t="s">
        <v>22</v>
      </c>
      <c r="G2935">
        <v>67</v>
      </c>
      <c r="H2935" t="s">
        <v>20</v>
      </c>
      <c r="I2935" t="str">
        <f>VLOOKUP(Table4[[#This Row],[customer_id]],customers!A:G,4,)</f>
        <v>hyderabad</v>
      </c>
    </row>
    <row r="2936" spans="1:9" x14ac:dyDescent="0.3">
      <c r="A2936">
        <v>22935</v>
      </c>
      <c r="B2936">
        <v>73</v>
      </c>
      <c r="C2936" s="2">
        <v>45278</v>
      </c>
      <c r="D2936" s="2" t="str">
        <f>TEXT(Table4[[#This Row],[issue_date]],"mmmm")</f>
        <v>December</v>
      </c>
      <c r="E2936" s="9">
        <f>YEAR(Table4[[#This Row],[issue_date]])</f>
        <v>2023</v>
      </c>
      <c r="F2936" t="s">
        <v>19</v>
      </c>
      <c r="G2936">
        <v>16</v>
      </c>
      <c r="H2936" t="s">
        <v>20</v>
      </c>
      <c r="I2936" t="str">
        <f>VLOOKUP(Table4[[#This Row],[customer_id]],customers!A:G,4,)</f>
        <v>kolkata</v>
      </c>
    </row>
    <row r="2937" spans="1:9" x14ac:dyDescent="0.3">
      <c r="A2937">
        <v>22936</v>
      </c>
      <c r="B2937">
        <v>223</v>
      </c>
      <c r="C2937" s="2">
        <v>45287</v>
      </c>
      <c r="D2937" s="2" t="str">
        <f>TEXT(Table4[[#This Row],[issue_date]],"mmmm")</f>
        <v>December</v>
      </c>
      <c r="E2937" s="9">
        <f>YEAR(Table4[[#This Row],[issue_date]])</f>
        <v>2023</v>
      </c>
      <c r="F2937" t="s">
        <v>22</v>
      </c>
      <c r="G2937">
        <v>57</v>
      </c>
      <c r="H2937" t="s">
        <v>20</v>
      </c>
      <c r="I2937" t="str">
        <f>VLOOKUP(Table4[[#This Row],[customer_id]],customers!A:G,4,)</f>
        <v>bangalore</v>
      </c>
    </row>
    <row r="2938" spans="1:9" x14ac:dyDescent="0.3">
      <c r="A2938">
        <v>22937</v>
      </c>
      <c r="B2938">
        <v>2</v>
      </c>
      <c r="C2938" s="2">
        <v>45200</v>
      </c>
      <c r="D2938" s="2" t="str">
        <f>TEXT(Table4[[#This Row],[issue_date]],"mmmm")</f>
        <v>October</v>
      </c>
      <c r="E2938" s="9">
        <f>YEAR(Table4[[#This Row],[issue_date]])</f>
        <v>2023</v>
      </c>
      <c r="F2938" t="s">
        <v>19</v>
      </c>
      <c r="G2938">
        <v>24</v>
      </c>
      <c r="H2938" t="s">
        <v>20</v>
      </c>
      <c r="I2938" t="str">
        <f>VLOOKUP(Table4[[#This Row],[customer_id]],customers!A:G,4,)</f>
        <v>chennai</v>
      </c>
    </row>
    <row r="2939" spans="1:9" x14ac:dyDescent="0.3">
      <c r="A2939">
        <v>22938</v>
      </c>
      <c r="B2939">
        <v>210</v>
      </c>
      <c r="C2939" s="2">
        <v>45069</v>
      </c>
      <c r="D2939" s="2" t="str">
        <f>TEXT(Table4[[#This Row],[issue_date]],"mmmm")</f>
        <v>May</v>
      </c>
      <c r="E2939" s="9">
        <f>YEAR(Table4[[#This Row],[issue_date]])</f>
        <v>2023</v>
      </c>
      <c r="F2939" t="s">
        <v>22</v>
      </c>
      <c r="G2939">
        <v>34</v>
      </c>
      <c r="H2939" t="s">
        <v>20</v>
      </c>
      <c r="I2939" t="str">
        <f>VLOOKUP(Table4[[#This Row],[customer_id]],customers!A:G,4,)</f>
        <v>kolkata</v>
      </c>
    </row>
    <row r="2940" spans="1:9" x14ac:dyDescent="0.3">
      <c r="A2940">
        <v>22939</v>
      </c>
      <c r="B2940">
        <v>261</v>
      </c>
      <c r="C2940" s="2">
        <v>45145</v>
      </c>
      <c r="D2940" s="2" t="str">
        <f>TEXT(Table4[[#This Row],[issue_date]],"mmmm")</f>
        <v>August</v>
      </c>
      <c r="E2940" s="9">
        <f>YEAR(Table4[[#This Row],[issue_date]])</f>
        <v>2023</v>
      </c>
      <c r="F2940" t="s">
        <v>22</v>
      </c>
      <c r="G2940">
        <v>52</v>
      </c>
      <c r="H2940" t="s">
        <v>20</v>
      </c>
      <c r="I2940" t="str">
        <f>VLOOKUP(Table4[[#This Row],[customer_id]],customers!A:G,4,)</f>
        <v>mumbai</v>
      </c>
    </row>
    <row r="2941" spans="1:9" x14ac:dyDescent="0.3">
      <c r="A2941">
        <v>22940</v>
      </c>
      <c r="B2941">
        <v>90</v>
      </c>
      <c r="C2941" s="2">
        <v>44777</v>
      </c>
      <c r="D2941" s="2" t="str">
        <f>TEXT(Table4[[#This Row],[issue_date]],"mmmm")</f>
        <v>August</v>
      </c>
      <c r="E2941" s="9">
        <f>YEAR(Table4[[#This Row],[issue_date]])</f>
        <v>2022</v>
      </c>
      <c r="F2941" t="s">
        <v>22</v>
      </c>
      <c r="G2941">
        <v>48</v>
      </c>
      <c r="H2941" t="s">
        <v>20</v>
      </c>
      <c r="I2941" t="str">
        <f>VLOOKUP(Table4[[#This Row],[customer_id]],customers!A:G,4,)</f>
        <v>mumbai</v>
      </c>
    </row>
    <row r="2942" spans="1:9" x14ac:dyDescent="0.3">
      <c r="A2942">
        <v>22941</v>
      </c>
      <c r="B2942">
        <v>343</v>
      </c>
      <c r="C2942" s="2">
        <v>44651</v>
      </c>
      <c r="D2942" s="2" t="str">
        <f>TEXT(Table4[[#This Row],[issue_date]],"mmmm")</f>
        <v>March</v>
      </c>
      <c r="E2942" s="9">
        <f>YEAR(Table4[[#This Row],[issue_date]])</f>
        <v>2022</v>
      </c>
      <c r="F2942" t="s">
        <v>19</v>
      </c>
      <c r="G2942">
        <v>53</v>
      </c>
      <c r="H2942" t="s">
        <v>20</v>
      </c>
      <c r="I2942" t="str">
        <f>VLOOKUP(Table4[[#This Row],[customer_id]],customers!A:G,4,)</f>
        <v>delhi</v>
      </c>
    </row>
    <row r="2943" spans="1:9" x14ac:dyDescent="0.3">
      <c r="A2943">
        <v>22942</v>
      </c>
      <c r="B2943">
        <v>396</v>
      </c>
      <c r="C2943" s="2">
        <v>44875</v>
      </c>
      <c r="D2943" s="2" t="str">
        <f>TEXT(Table4[[#This Row],[issue_date]],"mmmm")</f>
        <v>November</v>
      </c>
      <c r="E2943" s="9">
        <f>YEAR(Table4[[#This Row],[issue_date]])</f>
        <v>2022</v>
      </c>
      <c r="F2943" t="s">
        <v>21</v>
      </c>
      <c r="G2943">
        <v>55</v>
      </c>
      <c r="H2943" t="s">
        <v>20</v>
      </c>
      <c r="I2943" t="str">
        <f>VLOOKUP(Table4[[#This Row],[customer_id]],customers!A:G,4,)</f>
        <v>kolkata</v>
      </c>
    </row>
    <row r="2944" spans="1:9" x14ac:dyDescent="0.3">
      <c r="A2944">
        <v>22943</v>
      </c>
      <c r="B2944">
        <v>334</v>
      </c>
      <c r="C2944" s="2">
        <v>44794</v>
      </c>
      <c r="D2944" s="2" t="str">
        <f>TEXT(Table4[[#This Row],[issue_date]],"mmmm")</f>
        <v>August</v>
      </c>
      <c r="E2944" s="9">
        <f>YEAR(Table4[[#This Row],[issue_date]])</f>
        <v>2022</v>
      </c>
      <c r="F2944" t="s">
        <v>22</v>
      </c>
      <c r="G2944">
        <v>38</v>
      </c>
      <c r="H2944" t="s">
        <v>20</v>
      </c>
      <c r="I2944" t="str">
        <f>VLOOKUP(Table4[[#This Row],[customer_id]],customers!A:G,4,)</f>
        <v>chennai</v>
      </c>
    </row>
    <row r="2945" spans="1:9" x14ac:dyDescent="0.3">
      <c r="A2945">
        <v>22944</v>
      </c>
      <c r="B2945">
        <v>252</v>
      </c>
      <c r="C2945" s="2">
        <v>45306</v>
      </c>
      <c r="D2945" s="2" t="str">
        <f>TEXT(Table4[[#This Row],[issue_date]],"mmmm")</f>
        <v>January</v>
      </c>
      <c r="E2945" s="9">
        <f>YEAR(Table4[[#This Row],[issue_date]])</f>
        <v>2024</v>
      </c>
      <c r="F2945" t="s">
        <v>22</v>
      </c>
      <c r="G2945">
        <v>2</v>
      </c>
      <c r="H2945" t="s">
        <v>23</v>
      </c>
      <c r="I2945" t="str">
        <f>VLOOKUP(Table4[[#This Row],[customer_id]],customers!A:G,4,)</f>
        <v>hyderabad</v>
      </c>
    </row>
    <row r="2946" spans="1:9" x14ac:dyDescent="0.3">
      <c r="A2946">
        <v>22945</v>
      </c>
      <c r="B2946">
        <v>383</v>
      </c>
      <c r="C2946" s="2">
        <v>45136</v>
      </c>
      <c r="D2946" s="2" t="str">
        <f>TEXT(Table4[[#This Row],[issue_date]],"mmmm")</f>
        <v>July</v>
      </c>
      <c r="E2946" s="9">
        <f>YEAR(Table4[[#This Row],[issue_date]])</f>
        <v>2023</v>
      </c>
      <c r="F2946" t="s">
        <v>22</v>
      </c>
      <c r="G2946">
        <v>69</v>
      </c>
      <c r="H2946" t="s">
        <v>20</v>
      </c>
      <c r="I2946" t="str">
        <f>VLOOKUP(Table4[[#This Row],[customer_id]],customers!A:G,4,)</f>
        <v>kolkata</v>
      </c>
    </row>
    <row r="2947" spans="1:9" x14ac:dyDescent="0.3">
      <c r="A2947">
        <v>22946</v>
      </c>
      <c r="B2947">
        <v>333</v>
      </c>
      <c r="C2947" s="2">
        <v>45449</v>
      </c>
      <c r="D2947" s="2" t="str">
        <f>TEXT(Table4[[#This Row],[issue_date]],"mmmm")</f>
        <v>June</v>
      </c>
      <c r="E2947" s="9">
        <f>YEAR(Table4[[#This Row],[issue_date]])</f>
        <v>2024</v>
      </c>
      <c r="F2947" t="s">
        <v>22</v>
      </c>
      <c r="G2947">
        <v>53</v>
      </c>
      <c r="H2947" t="s">
        <v>20</v>
      </c>
      <c r="I2947" t="str">
        <f>VLOOKUP(Table4[[#This Row],[customer_id]],customers!A:G,4,)</f>
        <v>bangalore</v>
      </c>
    </row>
    <row r="2948" spans="1:9" x14ac:dyDescent="0.3">
      <c r="A2948">
        <v>22947</v>
      </c>
      <c r="B2948">
        <v>355</v>
      </c>
      <c r="C2948" s="2">
        <v>44808</v>
      </c>
      <c r="D2948" s="2" t="str">
        <f>TEXT(Table4[[#This Row],[issue_date]],"mmmm")</f>
        <v>September</v>
      </c>
      <c r="E2948" s="9">
        <f>YEAR(Table4[[#This Row],[issue_date]])</f>
        <v>2022</v>
      </c>
      <c r="F2948" t="s">
        <v>22</v>
      </c>
      <c r="G2948">
        <v>50</v>
      </c>
      <c r="H2948" t="s">
        <v>23</v>
      </c>
      <c r="I2948" t="str">
        <f>VLOOKUP(Table4[[#This Row],[customer_id]],customers!A:G,4,)</f>
        <v>bangalore</v>
      </c>
    </row>
    <row r="2949" spans="1:9" x14ac:dyDescent="0.3">
      <c r="A2949">
        <v>22948</v>
      </c>
      <c r="B2949">
        <v>47</v>
      </c>
      <c r="C2949" s="2">
        <v>45003</v>
      </c>
      <c r="D2949" s="2" t="str">
        <f>TEXT(Table4[[#This Row],[issue_date]],"mmmm")</f>
        <v>March</v>
      </c>
      <c r="E2949" s="9">
        <f>YEAR(Table4[[#This Row],[issue_date]])</f>
        <v>2023</v>
      </c>
      <c r="F2949" t="s">
        <v>21</v>
      </c>
      <c r="G2949">
        <v>29</v>
      </c>
      <c r="H2949" t="s">
        <v>20</v>
      </c>
      <c r="I2949" t="str">
        <f>VLOOKUP(Table4[[#This Row],[customer_id]],customers!A:G,4,)</f>
        <v>hyderabad</v>
      </c>
    </row>
    <row r="2950" spans="1:9" x14ac:dyDescent="0.3">
      <c r="A2950">
        <v>22949</v>
      </c>
      <c r="B2950">
        <v>335</v>
      </c>
      <c r="C2950" s="2">
        <v>45460</v>
      </c>
      <c r="D2950" s="2" t="str">
        <f>TEXT(Table4[[#This Row],[issue_date]],"mmmm")</f>
        <v>June</v>
      </c>
      <c r="E2950" s="9">
        <f>YEAR(Table4[[#This Row],[issue_date]])</f>
        <v>2024</v>
      </c>
      <c r="F2950" t="s">
        <v>19</v>
      </c>
      <c r="G2950">
        <v>55</v>
      </c>
      <c r="H2950" t="s">
        <v>20</v>
      </c>
      <c r="I2950" t="str">
        <f>VLOOKUP(Table4[[#This Row],[customer_id]],customers!A:G,4,)</f>
        <v>kolkata</v>
      </c>
    </row>
    <row r="2951" spans="1:9" x14ac:dyDescent="0.3">
      <c r="A2951">
        <v>22950</v>
      </c>
      <c r="B2951">
        <v>163</v>
      </c>
      <c r="C2951" s="2">
        <v>44696</v>
      </c>
      <c r="D2951" s="2" t="str">
        <f>TEXT(Table4[[#This Row],[issue_date]],"mmmm")</f>
        <v>May</v>
      </c>
      <c r="E2951" s="9">
        <f>YEAR(Table4[[#This Row],[issue_date]])</f>
        <v>2022</v>
      </c>
      <c r="F2951" t="s">
        <v>21</v>
      </c>
      <c r="G2951">
        <v>61</v>
      </c>
      <c r="H2951" t="s">
        <v>20</v>
      </c>
      <c r="I2951" t="str">
        <f>VLOOKUP(Table4[[#This Row],[customer_id]],customers!A:G,4,)</f>
        <v>hyderabad</v>
      </c>
    </row>
    <row r="2952" spans="1:9" x14ac:dyDescent="0.3">
      <c r="A2952">
        <v>22951</v>
      </c>
      <c r="B2952">
        <v>116</v>
      </c>
      <c r="C2952" s="2">
        <v>45443</v>
      </c>
      <c r="D2952" s="2" t="str">
        <f>TEXT(Table4[[#This Row],[issue_date]],"mmmm")</f>
        <v>May</v>
      </c>
      <c r="E2952" s="9">
        <f>YEAR(Table4[[#This Row],[issue_date]])</f>
        <v>2024</v>
      </c>
      <c r="F2952" t="s">
        <v>19</v>
      </c>
      <c r="G2952">
        <v>50</v>
      </c>
      <c r="H2952" t="s">
        <v>20</v>
      </c>
      <c r="I2952" t="str">
        <f>VLOOKUP(Table4[[#This Row],[customer_id]],customers!A:G,4,)</f>
        <v>chennai</v>
      </c>
    </row>
    <row r="2953" spans="1:9" x14ac:dyDescent="0.3">
      <c r="A2953">
        <v>22952</v>
      </c>
      <c r="B2953">
        <v>403</v>
      </c>
      <c r="C2953" s="2">
        <v>44563</v>
      </c>
      <c r="D2953" s="2" t="str">
        <f>TEXT(Table4[[#This Row],[issue_date]],"mmmm")</f>
        <v>January</v>
      </c>
      <c r="E2953" s="9">
        <f>YEAR(Table4[[#This Row],[issue_date]])</f>
        <v>2022</v>
      </c>
      <c r="F2953" t="s">
        <v>21</v>
      </c>
      <c r="G2953">
        <v>16</v>
      </c>
      <c r="H2953" t="s">
        <v>20</v>
      </c>
      <c r="I2953" t="str">
        <f>VLOOKUP(Table4[[#This Row],[customer_id]],customers!A:G,4,)</f>
        <v>delhi</v>
      </c>
    </row>
    <row r="2954" spans="1:9" x14ac:dyDescent="0.3">
      <c r="A2954">
        <v>22953</v>
      </c>
      <c r="B2954">
        <v>79</v>
      </c>
      <c r="C2954" s="2">
        <v>44722</v>
      </c>
      <c r="D2954" s="2" t="str">
        <f>TEXT(Table4[[#This Row],[issue_date]],"mmmm")</f>
        <v>June</v>
      </c>
      <c r="E2954" s="9">
        <f>YEAR(Table4[[#This Row],[issue_date]])</f>
        <v>2022</v>
      </c>
      <c r="F2954" t="s">
        <v>19</v>
      </c>
      <c r="G2954">
        <v>70</v>
      </c>
      <c r="H2954" t="s">
        <v>20</v>
      </c>
      <c r="I2954" t="str">
        <f>VLOOKUP(Table4[[#This Row],[customer_id]],customers!A:G,4,)</f>
        <v>delhi</v>
      </c>
    </row>
    <row r="2955" spans="1:9" x14ac:dyDescent="0.3">
      <c r="A2955">
        <v>22954</v>
      </c>
      <c r="B2955">
        <v>447</v>
      </c>
      <c r="C2955" s="2">
        <v>44701</v>
      </c>
      <c r="D2955" s="2" t="str">
        <f>TEXT(Table4[[#This Row],[issue_date]],"mmmm")</f>
        <v>May</v>
      </c>
      <c r="E2955" s="9">
        <f>YEAR(Table4[[#This Row],[issue_date]])</f>
        <v>2022</v>
      </c>
      <c r="F2955" t="s">
        <v>22</v>
      </c>
      <c r="G2955">
        <v>44</v>
      </c>
      <c r="H2955" t="s">
        <v>20</v>
      </c>
      <c r="I2955" t="str">
        <f>VLOOKUP(Table4[[#This Row],[customer_id]],customers!A:G,4,)</f>
        <v>delhi</v>
      </c>
    </row>
    <row r="2956" spans="1:9" x14ac:dyDescent="0.3">
      <c r="A2956">
        <v>22955</v>
      </c>
      <c r="B2956">
        <v>371</v>
      </c>
      <c r="C2956" s="2">
        <v>44865</v>
      </c>
      <c r="D2956" s="2" t="str">
        <f>TEXT(Table4[[#This Row],[issue_date]],"mmmm")</f>
        <v>October</v>
      </c>
      <c r="E2956" s="9">
        <f>YEAR(Table4[[#This Row],[issue_date]])</f>
        <v>2022</v>
      </c>
      <c r="F2956" t="s">
        <v>19</v>
      </c>
      <c r="G2956">
        <v>16</v>
      </c>
      <c r="H2956" t="s">
        <v>20</v>
      </c>
      <c r="I2956" t="str">
        <f>VLOOKUP(Table4[[#This Row],[customer_id]],customers!A:G,4,)</f>
        <v>delhi</v>
      </c>
    </row>
    <row r="2957" spans="1:9" x14ac:dyDescent="0.3">
      <c r="A2957">
        <v>22956</v>
      </c>
      <c r="B2957">
        <v>8</v>
      </c>
      <c r="C2957" s="2">
        <v>45021</v>
      </c>
      <c r="D2957" s="2" t="str">
        <f>TEXT(Table4[[#This Row],[issue_date]],"mmmm")</f>
        <v>April</v>
      </c>
      <c r="E2957" s="9">
        <f>YEAR(Table4[[#This Row],[issue_date]])</f>
        <v>2023</v>
      </c>
      <c r="F2957" t="s">
        <v>19</v>
      </c>
      <c r="G2957">
        <v>28</v>
      </c>
      <c r="H2957" t="s">
        <v>20</v>
      </c>
      <c r="I2957" t="str">
        <f>VLOOKUP(Table4[[#This Row],[customer_id]],customers!A:G,4,)</f>
        <v>mumbai</v>
      </c>
    </row>
    <row r="2958" spans="1:9" x14ac:dyDescent="0.3">
      <c r="A2958">
        <v>22957</v>
      </c>
      <c r="B2958">
        <v>23</v>
      </c>
      <c r="C2958" s="2">
        <v>45382</v>
      </c>
      <c r="D2958" s="2" t="str">
        <f>TEXT(Table4[[#This Row],[issue_date]],"mmmm")</f>
        <v>March</v>
      </c>
      <c r="E2958" s="9">
        <f>YEAR(Table4[[#This Row],[issue_date]])</f>
        <v>2024</v>
      </c>
      <c r="F2958" t="s">
        <v>22</v>
      </c>
      <c r="G2958">
        <v>57</v>
      </c>
      <c r="H2958" t="s">
        <v>20</v>
      </c>
      <c r="I2958" t="str">
        <f>VLOOKUP(Table4[[#This Row],[customer_id]],customers!A:G,4,)</f>
        <v>kolkata</v>
      </c>
    </row>
    <row r="2959" spans="1:9" x14ac:dyDescent="0.3">
      <c r="A2959">
        <v>22958</v>
      </c>
      <c r="B2959">
        <v>269</v>
      </c>
      <c r="C2959" s="2">
        <v>45275</v>
      </c>
      <c r="D2959" s="2" t="str">
        <f>TEXT(Table4[[#This Row],[issue_date]],"mmmm")</f>
        <v>December</v>
      </c>
      <c r="E2959" s="9">
        <f>YEAR(Table4[[#This Row],[issue_date]])</f>
        <v>2023</v>
      </c>
      <c r="F2959" t="s">
        <v>22</v>
      </c>
      <c r="G2959">
        <v>26</v>
      </c>
      <c r="H2959" t="s">
        <v>23</v>
      </c>
      <c r="I2959" t="str">
        <f>VLOOKUP(Table4[[#This Row],[customer_id]],customers!A:G,4,)</f>
        <v>chennai</v>
      </c>
    </row>
    <row r="2960" spans="1:9" x14ac:dyDescent="0.3">
      <c r="A2960">
        <v>22959</v>
      </c>
      <c r="B2960">
        <v>279</v>
      </c>
      <c r="C2960" s="2">
        <v>44686</v>
      </c>
      <c r="D2960" s="2" t="str">
        <f>TEXT(Table4[[#This Row],[issue_date]],"mmmm")</f>
        <v>May</v>
      </c>
      <c r="E2960" s="9">
        <f>YEAR(Table4[[#This Row],[issue_date]])</f>
        <v>2022</v>
      </c>
      <c r="F2960" t="s">
        <v>19</v>
      </c>
      <c r="G2960">
        <v>11</v>
      </c>
      <c r="H2960" t="s">
        <v>20</v>
      </c>
      <c r="I2960" t="str">
        <f>VLOOKUP(Table4[[#This Row],[customer_id]],customers!A:G,4,)</f>
        <v>delhi</v>
      </c>
    </row>
    <row r="2961" spans="1:9" x14ac:dyDescent="0.3">
      <c r="A2961">
        <v>22960</v>
      </c>
      <c r="B2961">
        <v>31</v>
      </c>
      <c r="C2961" s="2">
        <v>45446</v>
      </c>
      <c r="D2961" s="2" t="str">
        <f>TEXT(Table4[[#This Row],[issue_date]],"mmmm")</f>
        <v>June</v>
      </c>
      <c r="E2961" s="9">
        <f>YEAR(Table4[[#This Row],[issue_date]])</f>
        <v>2024</v>
      </c>
      <c r="F2961" t="s">
        <v>19</v>
      </c>
      <c r="G2961">
        <v>1</v>
      </c>
      <c r="H2961" t="s">
        <v>20</v>
      </c>
      <c r="I2961" t="str">
        <f>VLOOKUP(Table4[[#This Row],[customer_id]],customers!A:G,4,)</f>
        <v>chennai</v>
      </c>
    </row>
    <row r="2962" spans="1:9" x14ac:dyDescent="0.3">
      <c r="A2962">
        <v>22961</v>
      </c>
      <c r="B2962">
        <v>414</v>
      </c>
      <c r="C2962" s="2">
        <v>44908</v>
      </c>
      <c r="D2962" s="2" t="str">
        <f>TEXT(Table4[[#This Row],[issue_date]],"mmmm")</f>
        <v>December</v>
      </c>
      <c r="E2962" s="9">
        <f>YEAR(Table4[[#This Row],[issue_date]])</f>
        <v>2022</v>
      </c>
      <c r="F2962" t="s">
        <v>22</v>
      </c>
      <c r="G2962">
        <v>69</v>
      </c>
      <c r="H2962" t="s">
        <v>20</v>
      </c>
      <c r="I2962" t="str">
        <f>VLOOKUP(Table4[[#This Row],[customer_id]],customers!A:G,4,)</f>
        <v>delhi</v>
      </c>
    </row>
    <row r="2963" spans="1:9" x14ac:dyDescent="0.3">
      <c r="A2963">
        <v>22962</v>
      </c>
      <c r="B2963">
        <v>170</v>
      </c>
      <c r="C2963" s="2">
        <v>45155</v>
      </c>
      <c r="D2963" s="2" t="str">
        <f>TEXT(Table4[[#This Row],[issue_date]],"mmmm")</f>
        <v>August</v>
      </c>
      <c r="E2963" s="9">
        <f>YEAR(Table4[[#This Row],[issue_date]])</f>
        <v>2023</v>
      </c>
      <c r="F2963" t="s">
        <v>21</v>
      </c>
      <c r="G2963">
        <v>43</v>
      </c>
      <c r="H2963" t="s">
        <v>20</v>
      </c>
      <c r="I2963" t="str">
        <f>VLOOKUP(Table4[[#This Row],[customer_id]],customers!A:G,4,)</f>
        <v>delhi</v>
      </c>
    </row>
    <row r="2964" spans="1:9" x14ac:dyDescent="0.3">
      <c r="A2964">
        <v>22963</v>
      </c>
      <c r="B2964">
        <v>130</v>
      </c>
      <c r="C2964" s="2">
        <v>44885</v>
      </c>
      <c r="D2964" s="2" t="str">
        <f>TEXT(Table4[[#This Row],[issue_date]],"mmmm")</f>
        <v>November</v>
      </c>
      <c r="E2964" s="9">
        <f>YEAR(Table4[[#This Row],[issue_date]])</f>
        <v>2022</v>
      </c>
      <c r="F2964" t="s">
        <v>22</v>
      </c>
      <c r="G2964">
        <v>46</v>
      </c>
      <c r="H2964" t="s">
        <v>20</v>
      </c>
      <c r="I2964" t="str">
        <f>VLOOKUP(Table4[[#This Row],[customer_id]],customers!A:G,4,)</f>
        <v>kolkata</v>
      </c>
    </row>
    <row r="2965" spans="1:9" x14ac:dyDescent="0.3">
      <c r="A2965">
        <v>22964</v>
      </c>
      <c r="B2965">
        <v>395</v>
      </c>
      <c r="C2965" s="2">
        <v>44968</v>
      </c>
      <c r="D2965" s="2" t="str">
        <f>TEXT(Table4[[#This Row],[issue_date]],"mmmm")</f>
        <v>February</v>
      </c>
      <c r="E2965" s="9">
        <f>YEAR(Table4[[#This Row],[issue_date]])</f>
        <v>2023</v>
      </c>
      <c r="F2965" t="s">
        <v>19</v>
      </c>
      <c r="G2965">
        <v>36</v>
      </c>
      <c r="H2965" t="s">
        <v>20</v>
      </c>
      <c r="I2965" t="str">
        <f>VLOOKUP(Table4[[#This Row],[customer_id]],customers!A:G,4,)</f>
        <v>delhi</v>
      </c>
    </row>
    <row r="2966" spans="1:9" x14ac:dyDescent="0.3">
      <c r="A2966">
        <v>22965</v>
      </c>
      <c r="B2966">
        <v>409</v>
      </c>
      <c r="C2966" s="2">
        <v>45030</v>
      </c>
      <c r="D2966" s="2" t="str">
        <f>TEXT(Table4[[#This Row],[issue_date]],"mmmm")</f>
        <v>April</v>
      </c>
      <c r="E2966" s="9">
        <f>YEAR(Table4[[#This Row],[issue_date]])</f>
        <v>2023</v>
      </c>
      <c r="F2966" t="s">
        <v>19</v>
      </c>
      <c r="G2966">
        <v>66</v>
      </c>
      <c r="H2966" t="s">
        <v>20</v>
      </c>
      <c r="I2966" t="str">
        <f>VLOOKUP(Table4[[#This Row],[customer_id]],customers!A:G,4,)</f>
        <v>kolkata</v>
      </c>
    </row>
    <row r="2967" spans="1:9" x14ac:dyDescent="0.3">
      <c r="A2967">
        <v>22966</v>
      </c>
      <c r="B2967">
        <v>157</v>
      </c>
      <c r="C2967" s="2">
        <v>44725</v>
      </c>
      <c r="D2967" s="2" t="str">
        <f>TEXT(Table4[[#This Row],[issue_date]],"mmmm")</f>
        <v>June</v>
      </c>
      <c r="E2967" s="9">
        <f>YEAR(Table4[[#This Row],[issue_date]])</f>
        <v>2022</v>
      </c>
      <c r="F2967" t="s">
        <v>19</v>
      </c>
      <c r="G2967">
        <v>57</v>
      </c>
      <c r="H2967" t="s">
        <v>23</v>
      </c>
      <c r="I2967" t="str">
        <f>VLOOKUP(Table4[[#This Row],[customer_id]],customers!A:G,4,)</f>
        <v>chennai</v>
      </c>
    </row>
    <row r="2968" spans="1:9" x14ac:dyDescent="0.3">
      <c r="A2968">
        <v>22967</v>
      </c>
      <c r="B2968">
        <v>22</v>
      </c>
      <c r="C2968" s="2">
        <v>45423</v>
      </c>
      <c r="D2968" s="2" t="str">
        <f>TEXT(Table4[[#This Row],[issue_date]],"mmmm")</f>
        <v>May</v>
      </c>
      <c r="E2968" s="9">
        <f>YEAR(Table4[[#This Row],[issue_date]])</f>
        <v>2024</v>
      </c>
      <c r="F2968" t="s">
        <v>22</v>
      </c>
      <c r="G2968">
        <v>6</v>
      </c>
      <c r="H2968" t="s">
        <v>20</v>
      </c>
      <c r="I2968" t="str">
        <f>VLOOKUP(Table4[[#This Row],[customer_id]],customers!A:G,4,)</f>
        <v>hyderabad</v>
      </c>
    </row>
    <row r="2969" spans="1:9" x14ac:dyDescent="0.3">
      <c r="A2969">
        <v>22968</v>
      </c>
      <c r="B2969">
        <v>126</v>
      </c>
      <c r="C2969" s="2">
        <v>44801</v>
      </c>
      <c r="D2969" s="2" t="str">
        <f>TEXT(Table4[[#This Row],[issue_date]],"mmmm")</f>
        <v>August</v>
      </c>
      <c r="E2969" s="9">
        <f>YEAR(Table4[[#This Row],[issue_date]])</f>
        <v>2022</v>
      </c>
      <c r="F2969" t="s">
        <v>22</v>
      </c>
      <c r="G2969">
        <v>62</v>
      </c>
      <c r="H2969" t="s">
        <v>20</v>
      </c>
      <c r="I2969" t="str">
        <f>VLOOKUP(Table4[[#This Row],[customer_id]],customers!A:G,4,)</f>
        <v>chennai</v>
      </c>
    </row>
    <row r="2970" spans="1:9" x14ac:dyDescent="0.3">
      <c r="A2970">
        <v>22969</v>
      </c>
      <c r="B2970">
        <v>403</v>
      </c>
      <c r="C2970" s="2">
        <v>44774</v>
      </c>
      <c r="D2970" s="2" t="str">
        <f>TEXT(Table4[[#This Row],[issue_date]],"mmmm")</f>
        <v>August</v>
      </c>
      <c r="E2970" s="9">
        <f>YEAR(Table4[[#This Row],[issue_date]])</f>
        <v>2022</v>
      </c>
      <c r="F2970" t="s">
        <v>21</v>
      </c>
      <c r="G2970">
        <v>27</v>
      </c>
      <c r="H2970" t="s">
        <v>20</v>
      </c>
      <c r="I2970" t="str">
        <f>VLOOKUP(Table4[[#This Row],[customer_id]],customers!A:G,4,)</f>
        <v>delhi</v>
      </c>
    </row>
    <row r="2971" spans="1:9" x14ac:dyDescent="0.3">
      <c r="A2971">
        <v>22970</v>
      </c>
      <c r="B2971">
        <v>457</v>
      </c>
      <c r="C2971" s="2">
        <v>44710</v>
      </c>
      <c r="D2971" s="2" t="str">
        <f>TEXT(Table4[[#This Row],[issue_date]],"mmmm")</f>
        <v>May</v>
      </c>
      <c r="E2971" s="9">
        <f>YEAR(Table4[[#This Row],[issue_date]])</f>
        <v>2022</v>
      </c>
      <c r="F2971" t="s">
        <v>19</v>
      </c>
      <c r="G2971">
        <v>26</v>
      </c>
      <c r="H2971" t="s">
        <v>20</v>
      </c>
      <c r="I2971" t="str">
        <f>VLOOKUP(Table4[[#This Row],[customer_id]],customers!A:G,4,)</f>
        <v>delhi</v>
      </c>
    </row>
    <row r="2972" spans="1:9" x14ac:dyDescent="0.3">
      <c r="A2972">
        <v>22971</v>
      </c>
      <c r="B2972">
        <v>169</v>
      </c>
      <c r="C2972" s="2">
        <v>45145</v>
      </c>
      <c r="D2972" s="2" t="str">
        <f>TEXT(Table4[[#This Row],[issue_date]],"mmmm")</f>
        <v>August</v>
      </c>
      <c r="E2972" s="9">
        <f>YEAR(Table4[[#This Row],[issue_date]])</f>
        <v>2023</v>
      </c>
      <c r="F2972" t="s">
        <v>19</v>
      </c>
      <c r="G2972">
        <v>13</v>
      </c>
      <c r="H2972" t="s">
        <v>20</v>
      </c>
      <c r="I2972" t="str">
        <f>VLOOKUP(Table4[[#This Row],[customer_id]],customers!A:G,4,)</f>
        <v>chennai</v>
      </c>
    </row>
    <row r="2973" spans="1:9" x14ac:dyDescent="0.3">
      <c r="A2973">
        <v>22972</v>
      </c>
      <c r="B2973">
        <v>166</v>
      </c>
      <c r="C2973" s="2">
        <v>44664</v>
      </c>
      <c r="D2973" s="2" t="str">
        <f>TEXT(Table4[[#This Row],[issue_date]],"mmmm")</f>
        <v>April</v>
      </c>
      <c r="E2973" s="9">
        <f>YEAR(Table4[[#This Row],[issue_date]])</f>
        <v>2022</v>
      </c>
      <c r="F2973" t="s">
        <v>22</v>
      </c>
      <c r="G2973">
        <v>18</v>
      </c>
      <c r="H2973" t="s">
        <v>20</v>
      </c>
      <c r="I2973" t="str">
        <f>VLOOKUP(Table4[[#This Row],[customer_id]],customers!A:G,4,)</f>
        <v>delhi</v>
      </c>
    </row>
    <row r="2974" spans="1:9" x14ac:dyDescent="0.3">
      <c r="A2974">
        <v>22973</v>
      </c>
      <c r="B2974">
        <v>157</v>
      </c>
      <c r="C2974" s="2">
        <v>44744</v>
      </c>
      <c r="D2974" s="2" t="str">
        <f>TEXT(Table4[[#This Row],[issue_date]],"mmmm")</f>
        <v>July</v>
      </c>
      <c r="E2974" s="9">
        <f>YEAR(Table4[[#This Row],[issue_date]])</f>
        <v>2022</v>
      </c>
      <c r="F2974" t="s">
        <v>19</v>
      </c>
      <c r="G2974">
        <v>38</v>
      </c>
      <c r="H2974" t="s">
        <v>20</v>
      </c>
      <c r="I2974" t="str">
        <f>VLOOKUP(Table4[[#This Row],[customer_id]],customers!A:G,4,)</f>
        <v>chennai</v>
      </c>
    </row>
    <row r="2975" spans="1:9" x14ac:dyDescent="0.3">
      <c r="A2975">
        <v>22974</v>
      </c>
      <c r="B2975">
        <v>330</v>
      </c>
      <c r="C2975" s="2">
        <v>45066</v>
      </c>
      <c r="D2975" s="2" t="str">
        <f>TEXT(Table4[[#This Row],[issue_date]],"mmmm")</f>
        <v>May</v>
      </c>
      <c r="E2975" s="9">
        <f>YEAR(Table4[[#This Row],[issue_date]])</f>
        <v>2023</v>
      </c>
      <c r="F2975" t="s">
        <v>21</v>
      </c>
      <c r="G2975">
        <v>6</v>
      </c>
      <c r="H2975" t="s">
        <v>20</v>
      </c>
      <c r="I2975" t="str">
        <f>VLOOKUP(Table4[[#This Row],[customer_id]],customers!A:G,4,)</f>
        <v>mumbai</v>
      </c>
    </row>
    <row r="2976" spans="1:9" x14ac:dyDescent="0.3">
      <c r="A2976">
        <v>22975</v>
      </c>
      <c r="B2976">
        <v>22</v>
      </c>
      <c r="C2976" s="2">
        <v>45257</v>
      </c>
      <c r="D2976" s="2" t="str">
        <f>TEXT(Table4[[#This Row],[issue_date]],"mmmm")</f>
        <v>November</v>
      </c>
      <c r="E2976" s="9">
        <f>YEAR(Table4[[#This Row],[issue_date]])</f>
        <v>2023</v>
      </c>
      <c r="F2976" t="s">
        <v>22</v>
      </c>
      <c r="G2976">
        <v>28</v>
      </c>
      <c r="H2976" t="s">
        <v>20</v>
      </c>
      <c r="I2976" t="str">
        <f>VLOOKUP(Table4[[#This Row],[customer_id]],customers!A:G,4,)</f>
        <v>hyderabad</v>
      </c>
    </row>
    <row r="2977" spans="1:9" x14ac:dyDescent="0.3">
      <c r="A2977">
        <v>22976</v>
      </c>
      <c r="B2977">
        <v>472</v>
      </c>
      <c r="C2977" s="2">
        <v>45086</v>
      </c>
      <c r="D2977" s="2" t="str">
        <f>TEXT(Table4[[#This Row],[issue_date]],"mmmm")</f>
        <v>June</v>
      </c>
      <c r="E2977" s="9">
        <f>YEAR(Table4[[#This Row],[issue_date]])</f>
        <v>2023</v>
      </c>
      <c r="F2977" t="s">
        <v>19</v>
      </c>
      <c r="G2977">
        <v>5</v>
      </c>
      <c r="H2977" t="s">
        <v>20</v>
      </c>
      <c r="I2977" t="str">
        <f>VLOOKUP(Table4[[#This Row],[customer_id]],customers!A:G,4,)</f>
        <v>bangalore</v>
      </c>
    </row>
    <row r="2978" spans="1:9" x14ac:dyDescent="0.3">
      <c r="A2978">
        <v>22977</v>
      </c>
      <c r="B2978">
        <v>264</v>
      </c>
      <c r="C2978" s="2">
        <v>44941</v>
      </c>
      <c r="D2978" s="2" t="str">
        <f>TEXT(Table4[[#This Row],[issue_date]],"mmmm")</f>
        <v>January</v>
      </c>
      <c r="E2978" s="9">
        <f>YEAR(Table4[[#This Row],[issue_date]])</f>
        <v>2023</v>
      </c>
      <c r="F2978" t="s">
        <v>22</v>
      </c>
      <c r="G2978">
        <v>59</v>
      </c>
      <c r="H2978" t="s">
        <v>20</v>
      </c>
      <c r="I2978" t="str">
        <f>VLOOKUP(Table4[[#This Row],[customer_id]],customers!A:G,4,)</f>
        <v>bangalore</v>
      </c>
    </row>
    <row r="2979" spans="1:9" x14ac:dyDescent="0.3">
      <c r="A2979">
        <v>22978</v>
      </c>
      <c r="B2979">
        <v>303</v>
      </c>
      <c r="C2979" s="2">
        <v>45305</v>
      </c>
      <c r="D2979" s="2" t="str">
        <f>TEXT(Table4[[#This Row],[issue_date]],"mmmm")</f>
        <v>January</v>
      </c>
      <c r="E2979" s="9">
        <f>YEAR(Table4[[#This Row],[issue_date]])</f>
        <v>2024</v>
      </c>
      <c r="F2979" t="s">
        <v>22</v>
      </c>
      <c r="G2979">
        <v>45</v>
      </c>
      <c r="H2979" t="s">
        <v>20</v>
      </c>
      <c r="I2979" t="str">
        <f>VLOOKUP(Table4[[#This Row],[customer_id]],customers!A:G,4,)</f>
        <v>bangalore</v>
      </c>
    </row>
    <row r="2980" spans="1:9" x14ac:dyDescent="0.3">
      <c r="A2980">
        <v>22979</v>
      </c>
      <c r="B2980">
        <v>390</v>
      </c>
      <c r="C2980" s="2">
        <v>45223</v>
      </c>
      <c r="D2980" s="2" t="str">
        <f>TEXT(Table4[[#This Row],[issue_date]],"mmmm")</f>
        <v>October</v>
      </c>
      <c r="E2980" s="9">
        <f>YEAR(Table4[[#This Row],[issue_date]])</f>
        <v>2023</v>
      </c>
      <c r="F2980" t="s">
        <v>21</v>
      </c>
      <c r="G2980">
        <v>53</v>
      </c>
      <c r="H2980" t="s">
        <v>23</v>
      </c>
      <c r="I2980" t="str">
        <f>VLOOKUP(Table4[[#This Row],[customer_id]],customers!A:G,4,)</f>
        <v>bangalore</v>
      </c>
    </row>
    <row r="2981" spans="1:9" x14ac:dyDescent="0.3">
      <c r="A2981">
        <v>22980</v>
      </c>
      <c r="B2981">
        <v>263</v>
      </c>
      <c r="C2981" s="2">
        <v>45336</v>
      </c>
      <c r="D2981" s="2" t="str">
        <f>TEXT(Table4[[#This Row],[issue_date]],"mmmm")</f>
        <v>February</v>
      </c>
      <c r="E2981" s="9">
        <f>YEAR(Table4[[#This Row],[issue_date]])</f>
        <v>2024</v>
      </c>
      <c r="F2981" t="s">
        <v>22</v>
      </c>
      <c r="G2981">
        <v>2</v>
      </c>
      <c r="H2981" t="s">
        <v>23</v>
      </c>
      <c r="I2981" t="str">
        <f>VLOOKUP(Table4[[#This Row],[customer_id]],customers!A:G,4,)</f>
        <v>chennai</v>
      </c>
    </row>
    <row r="2982" spans="1:9" x14ac:dyDescent="0.3">
      <c r="A2982">
        <v>22981</v>
      </c>
      <c r="B2982">
        <v>212</v>
      </c>
      <c r="C2982" s="2">
        <v>44585</v>
      </c>
      <c r="D2982" s="2" t="str">
        <f>TEXT(Table4[[#This Row],[issue_date]],"mmmm")</f>
        <v>January</v>
      </c>
      <c r="E2982" s="9">
        <f>YEAR(Table4[[#This Row],[issue_date]])</f>
        <v>2022</v>
      </c>
      <c r="F2982" t="s">
        <v>19</v>
      </c>
      <c r="G2982">
        <v>49</v>
      </c>
      <c r="H2982" t="s">
        <v>23</v>
      </c>
      <c r="I2982" t="str">
        <f>VLOOKUP(Table4[[#This Row],[customer_id]],customers!A:G,4,)</f>
        <v>delhi</v>
      </c>
    </row>
    <row r="2983" spans="1:9" x14ac:dyDescent="0.3">
      <c r="A2983">
        <v>22982</v>
      </c>
      <c r="B2983">
        <v>465</v>
      </c>
      <c r="C2983" s="2">
        <v>45262</v>
      </c>
      <c r="D2983" s="2" t="str">
        <f>TEXT(Table4[[#This Row],[issue_date]],"mmmm")</f>
        <v>December</v>
      </c>
      <c r="E2983" s="9">
        <f>YEAR(Table4[[#This Row],[issue_date]])</f>
        <v>2023</v>
      </c>
      <c r="F2983" t="s">
        <v>21</v>
      </c>
      <c r="G2983">
        <v>63</v>
      </c>
      <c r="H2983" t="s">
        <v>20</v>
      </c>
      <c r="I2983" t="str">
        <f>VLOOKUP(Table4[[#This Row],[customer_id]],customers!A:G,4,)</f>
        <v>bangalore</v>
      </c>
    </row>
    <row r="2984" spans="1:9" x14ac:dyDescent="0.3">
      <c r="A2984">
        <v>22983</v>
      </c>
      <c r="B2984">
        <v>164</v>
      </c>
      <c r="C2984" s="2">
        <v>44694</v>
      </c>
      <c r="D2984" s="2" t="str">
        <f>TEXT(Table4[[#This Row],[issue_date]],"mmmm")</f>
        <v>May</v>
      </c>
      <c r="E2984" s="9">
        <f>YEAR(Table4[[#This Row],[issue_date]])</f>
        <v>2022</v>
      </c>
      <c r="F2984" t="s">
        <v>22</v>
      </c>
      <c r="G2984">
        <v>70</v>
      </c>
      <c r="H2984" t="s">
        <v>20</v>
      </c>
      <c r="I2984" t="str">
        <f>VLOOKUP(Table4[[#This Row],[customer_id]],customers!A:G,4,)</f>
        <v>chennai</v>
      </c>
    </row>
    <row r="2985" spans="1:9" x14ac:dyDescent="0.3">
      <c r="A2985">
        <v>22984</v>
      </c>
      <c r="B2985">
        <v>136</v>
      </c>
      <c r="C2985" s="2">
        <v>44611</v>
      </c>
      <c r="D2985" s="2" t="str">
        <f>TEXT(Table4[[#This Row],[issue_date]],"mmmm")</f>
        <v>February</v>
      </c>
      <c r="E2985" s="9">
        <f>YEAR(Table4[[#This Row],[issue_date]])</f>
        <v>2022</v>
      </c>
      <c r="F2985" t="s">
        <v>19</v>
      </c>
      <c r="G2985">
        <v>58</v>
      </c>
      <c r="H2985" t="s">
        <v>23</v>
      </c>
      <c r="I2985" t="str">
        <f>VLOOKUP(Table4[[#This Row],[customer_id]],customers!A:G,4,)</f>
        <v>chennai</v>
      </c>
    </row>
    <row r="2986" spans="1:9" x14ac:dyDescent="0.3">
      <c r="A2986">
        <v>22985</v>
      </c>
      <c r="B2986">
        <v>252</v>
      </c>
      <c r="C2986" s="2">
        <v>45256</v>
      </c>
      <c r="D2986" s="2" t="str">
        <f>TEXT(Table4[[#This Row],[issue_date]],"mmmm")</f>
        <v>November</v>
      </c>
      <c r="E2986" s="9">
        <f>YEAR(Table4[[#This Row],[issue_date]])</f>
        <v>2023</v>
      </c>
      <c r="F2986" t="s">
        <v>22</v>
      </c>
      <c r="G2986">
        <v>4</v>
      </c>
      <c r="H2986" t="s">
        <v>23</v>
      </c>
      <c r="I2986" t="str">
        <f>VLOOKUP(Table4[[#This Row],[customer_id]],customers!A:G,4,)</f>
        <v>hyderabad</v>
      </c>
    </row>
    <row r="2987" spans="1:9" x14ac:dyDescent="0.3">
      <c r="A2987">
        <v>22986</v>
      </c>
      <c r="B2987">
        <v>205</v>
      </c>
      <c r="C2987" s="2">
        <v>44587</v>
      </c>
      <c r="D2987" s="2" t="str">
        <f>TEXT(Table4[[#This Row],[issue_date]],"mmmm")</f>
        <v>January</v>
      </c>
      <c r="E2987" s="9">
        <f>YEAR(Table4[[#This Row],[issue_date]])</f>
        <v>2022</v>
      </c>
      <c r="F2987" t="s">
        <v>22</v>
      </c>
      <c r="G2987">
        <v>30</v>
      </c>
      <c r="H2987" t="s">
        <v>20</v>
      </c>
      <c r="I2987" t="str">
        <f>VLOOKUP(Table4[[#This Row],[customer_id]],customers!A:G,4,)</f>
        <v>hyderabad</v>
      </c>
    </row>
    <row r="2988" spans="1:9" x14ac:dyDescent="0.3">
      <c r="A2988">
        <v>22987</v>
      </c>
      <c r="B2988">
        <v>344</v>
      </c>
      <c r="C2988" s="2">
        <v>45211</v>
      </c>
      <c r="D2988" s="2" t="str">
        <f>TEXT(Table4[[#This Row],[issue_date]],"mmmm")</f>
        <v>October</v>
      </c>
      <c r="E2988" s="9">
        <f>YEAR(Table4[[#This Row],[issue_date]])</f>
        <v>2023</v>
      </c>
      <c r="F2988" t="s">
        <v>21</v>
      </c>
      <c r="G2988">
        <v>57</v>
      </c>
      <c r="H2988" t="s">
        <v>20</v>
      </c>
      <c r="I2988" t="str">
        <f>VLOOKUP(Table4[[#This Row],[customer_id]],customers!A:G,4,)</f>
        <v>kolkata</v>
      </c>
    </row>
    <row r="2989" spans="1:9" x14ac:dyDescent="0.3">
      <c r="A2989">
        <v>22988</v>
      </c>
      <c r="B2989">
        <v>302</v>
      </c>
      <c r="C2989" s="2">
        <v>44572</v>
      </c>
      <c r="D2989" s="2" t="str">
        <f>TEXT(Table4[[#This Row],[issue_date]],"mmmm")</f>
        <v>January</v>
      </c>
      <c r="E2989" s="9">
        <f>YEAR(Table4[[#This Row],[issue_date]])</f>
        <v>2022</v>
      </c>
      <c r="F2989" t="s">
        <v>21</v>
      </c>
      <c r="G2989">
        <v>47</v>
      </c>
      <c r="H2989" t="s">
        <v>20</v>
      </c>
      <c r="I2989" t="str">
        <f>VLOOKUP(Table4[[#This Row],[customer_id]],customers!A:G,4,)</f>
        <v>kolkata</v>
      </c>
    </row>
    <row r="2990" spans="1:9" x14ac:dyDescent="0.3">
      <c r="A2990">
        <v>22989</v>
      </c>
      <c r="B2990">
        <v>242</v>
      </c>
      <c r="C2990" s="2">
        <v>45369</v>
      </c>
      <c r="D2990" s="2" t="str">
        <f>TEXT(Table4[[#This Row],[issue_date]],"mmmm")</f>
        <v>March</v>
      </c>
      <c r="E2990" s="9">
        <f>YEAR(Table4[[#This Row],[issue_date]])</f>
        <v>2024</v>
      </c>
      <c r="F2990" t="s">
        <v>21</v>
      </c>
      <c r="G2990">
        <v>18</v>
      </c>
      <c r="H2990" t="s">
        <v>23</v>
      </c>
      <c r="I2990" t="str">
        <f>VLOOKUP(Table4[[#This Row],[customer_id]],customers!A:G,4,)</f>
        <v>hyderabad</v>
      </c>
    </row>
    <row r="2991" spans="1:9" x14ac:dyDescent="0.3">
      <c r="A2991">
        <v>22990</v>
      </c>
      <c r="B2991">
        <v>320</v>
      </c>
      <c r="C2991" s="2">
        <v>44663</v>
      </c>
      <c r="D2991" s="2" t="str">
        <f>TEXT(Table4[[#This Row],[issue_date]],"mmmm")</f>
        <v>April</v>
      </c>
      <c r="E2991" s="9">
        <f>YEAR(Table4[[#This Row],[issue_date]])</f>
        <v>2022</v>
      </c>
      <c r="F2991" t="s">
        <v>21</v>
      </c>
      <c r="G2991">
        <v>44</v>
      </c>
      <c r="H2991" t="s">
        <v>20</v>
      </c>
      <c r="I2991" t="str">
        <f>VLOOKUP(Table4[[#This Row],[customer_id]],customers!A:G,4,)</f>
        <v>hyderabad</v>
      </c>
    </row>
    <row r="2992" spans="1:9" x14ac:dyDescent="0.3">
      <c r="A2992">
        <v>22991</v>
      </c>
      <c r="B2992">
        <v>415</v>
      </c>
      <c r="C2992" s="2">
        <v>44572</v>
      </c>
      <c r="D2992" s="2" t="str">
        <f>TEXT(Table4[[#This Row],[issue_date]],"mmmm")</f>
        <v>January</v>
      </c>
      <c r="E2992" s="9">
        <f>YEAR(Table4[[#This Row],[issue_date]])</f>
        <v>2022</v>
      </c>
      <c r="F2992" t="s">
        <v>19</v>
      </c>
      <c r="G2992">
        <v>52</v>
      </c>
      <c r="H2992" t="s">
        <v>20</v>
      </c>
      <c r="I2992" t="str">
        <f>VLOOKUP(Table4[[#This Row],[customer_id]],customers!A:G,4,)</f>
        <v>delhi</v>
      </c>
    </row>
    <row r="2993" spans="1:9" x14ac:dyDescent="0.3">
      <c r="A2993">
        <v>22992</v>
      </c>
      <c r="B2993">
        <v>279</v>
      </c>
      <c r="C2993" s="2">
        <v>44673</v>
      </c>
      <c r="D2993" s="2" t="str">
        <f>TEXT(Table4[[#This Row],[issue_date]],"mmmm")</f>
        <v>April</v>
      </c>
      <c r="E2993" s="9">
        <f>YEAR(Table4[[#This Row],[issue_date]])</f>
        <v>2022</v>
      </c>
      <c r="F2993" t="s">
        <v>22</v>
      </c>
      <c r="G2993">
        <v>49</v>
      </c>
      <c r="H2993" t="s">
        <v>20</v>
      </c>
      <c r="I2993" t="str">
        <f>VLOOKUP(Table4[[#This Row],[customer_id]],customers!A:G,4,)</f>
        <v>delhi</v>
      </c>
    </row>
    <row r="2994" spans="1:9" x14ac:dyDescent="0.3">
      <c r="A2994">
        <v>22993</v>
      </c>
      <c r="B2994">
        <v>61</v>
      </c>
      <c r="C2994" s="2">
        <v>45167</v>
      </c>
      <c r="D2994" s="2" t="str">
        <f>TEXT(Table4[[#This Row],[issue_date]],"mmmm")</f>
        <v>August</v>
      </c>
      <c r="E2994" s="9">
        <f>YEAR(Table4[[#This Row],[issue_date]])</f>
        <v>2023</v>
      </c>
      <c r="F2994" t="s">
        <v>21</v>
      </c>
      <c r="G2994">
        <v>30</v>
      </c>
      <c r="H2994" t="s">
        <v>20</v>
      </c>
      <c r="I2994" t="str">
        <f>VLOOKUP(Table4[[#This Row],[customer_id]],customers!A:G,4,)</f>
        <v>hyderabad</v>
      </c>
    </row>
    <row r="2995" spans="1:9" x14ac:dyDescent="0.3">
      <c r="A2995">
        <v>22994</v>
      </c>
      <c r="B2995">
        <v>465</v>
      </c>
      <c r="C2995" s="2">
        <v>45333</v>
      </c>
      <c r="D2995" s="2" t="str">
        <f>TEXT(Table4[[#This Row],[issue_date]],"mmmm")</f>
        <v>February</v>
      </c>
      <c r="E2995" s="9">
        <f>YEAR(Table4[[#This Row],[issue_date]])</f>
        <v>2024</v>
      </c>
      <c r="F2995" t="s">
        <v>19</v>
      </c>
      <c r="G2995">
        <v>52</v>
      </c>
      <c r="H2995" t="s">
        <v>20</v>
      </c>
      <c r="I2995" t="str">
        <f>VLOOKUP(Table4[[#This Row],[customer_id]],customers!A:G,4,)</f>
        <v>bangalore</v>
      </c>
    </row>
    <row r="2996" spans="1:9" x14ac:dyDescent="0.3">
      <c r="A2996">
        <v>22995</v>
      </c>
      <c r="B2996">
        <v>306</v>
      </c>
      <c r="C2996" s="2">
        <v>45331</v>
      </c>
      <c r="D2996" s="2" t="str">
        <f>TEXT(Table4[[#This Row],[issue_date]],"mmmm")</f>
        <v>February</v>
      </c>
      <c r="E2996" s="9">
        <f>YEAR(Table4[[#This Row],[issue_date]])</f>
        <v>2024</v>
      </c>
      <c r="F2996" t="s">
        <v>21</v>
      </c>
      <c r="G2996">
        <v>37</v>
      </c>
      <c r="H2996" t="s">
        <v>20</v>
      </c>
      <c r="I2996" t="str">
        <f>VLOOKUP(Table4[[#This Row],[customer_id]],customers!A:G,4,)</f>
        <v>bangalore</v>
      </c>
    </row>
    <row r="2997" spans="1:9" x14ac:dyDescent="0.3">
      <c r="A2997">
        <v>22996</v>
      </c>
      <c r="B2997">
        <v>302</v>
      </c>
      <c r="C2997" s="2">
        <v>44728</v>
      </c>
      <c r="D2997" s="2" t="str">
        <f>TEXT(Table4[[#This Row],[issue_date]],"mmmm")</f>
        <v>June</v>
      </c>
      <c r="E2997" s="9">
        <f>YEAR(Table4[[#This Row],[issue_date]])</f>
        <v>2022</v>
      </c>
      <c r="F2997" t="s">
        <v>22</v>
      </c>
      <c r="G2997">
        <v>63</v>
      </c>
      <c r="H2997" t="s">
        <v>20</v>
      </c>
      <c r="I2997" t="str">
        <f>VLOOKUP(Table4[[#This Row],[customer_id]],customers!A:G,4,)</f>
        <v>kolkata</v>
      </c>
    </row>
    <row r="2998" spans="1:9" x14ac:dyDescent="0.3">
      <c r="A2998">
        <v>22997</v>
      </c>
      <c r="B2998">
        <v>472</v>
      </c>
      <c r="C2998" s="2">
        <v>45282</v>
      </c>
      <c r="D2998" s="2" t="str">
        <f>TEXT(Table4[[#This Row],[issue_date]],"mmmm")</f>
        <v>December</v>
      </c>
      <c r="E2998" s="9">
        <f>YEAR(Table4[[#This Row],[issue_date]])</f>
        <v>2023</v>
      </c>
      <c r="F2998" t="s">
        <v>21</v>
      </c>
      <c r="G2998">
        <v>12</v>
      </c>
      <c r="H2998" t="s">
        <v>20</v>
      </c>
      <c r="I2998" t="str">
        <f>VLOOKUP(Table4[[#This Row],[customer_id]],customers!A:G,4,)</f>
        <v>bangalore</v>
      </c>
    </row>
    <row r="2999" spans="1:9" x14ac:dyDescent="0.3">
      <c r="A2999">
        <v>22998</v>
      </c>
      <c r="B2999">
        <v>299</v>
      </c>
      <c r="C2999" s="2">
        <v>44968</v>
      </c>
      <c r="D2999" s="2" t="str">
        <f>TEXT(Table4[[#This Row],[issue_date]],"mmmm")</f>
        <v>February</v>
      </c>
      <c r="E2999" s="9">
        <f>YEAR(Table4[[#This Row],[issue_date]])</f>
        <v>2023</v>
      </c>
      <c r="F2999" t="s">
        <v>22</v>
      </c>
      <c r="G2999">
        <v>17</v>
      </c>
      <c r="H2999" t="s">
        <v>20</v>
      </c>
      <c r="I2999" t="str">
        <f>VLOOKUP(Table4[[#This Row],[customer_id]],customers!A:G,4,)</f>
        <v>bangalore</v>
      </c>
    </row>
    <row r="3000" spans="1:9" x14ac:dyDescent="0.3">
      <c r="A3000">
        <v>22999</v>
      </c>
      <c r="B3000">
        <v>394</v>
      </c>
      <c r="C3000" s="2">
        <v>44606</v>
      </c>
      <c r="D3000" s="2" t="str">
        <f>TEXT(Table4[[#This Row],[issue_date]],"mmmm")</f>
        <v>February</v>
      </c>
      <c r="E3000" s="9">
        <f>YEAR(Table4[[#This Row],[issue_date]])</f>
        <v>2022</v>
      </c>
      <c r="F3000" t="s">
        <v>22</v>
      </c>
      <c r="G3000">
        <v>34</v>
      </c>
      <c r="H3000" t="s">
        <v>20</v>
      </c>
      <c r="I3000" t="str">
        <f>VLOOKUP(Table4[[#This Row],[customer_id]],customers!A:G,4,)</f>
        <v>delhi</v>
      </c>
    </row>
    <row r="3001" spans="1:9" x14ac:dyDescent="0.3">
      <c r="A3001">
        <v>23000</v>
      </c>
      <c r="B3001">
        <v>95</v>
      </c>
      <c r="C3001" s="2">
        <v>45403</v>
      </c>
      <c r="D3001" s="2" t="str">
        <f>TEXT(Table4[[#This Row],[issue_date]],"mmmm")</f>
        <v>April</v>
      </c>
      <c r="E3001" s="9">
        <f>YEAR(Table4[[#This Row],[issue_date]])</f>
        <v>2024</v>
      </c>
      <c r="F3001" t="s">
        <v>19</v>
      </c>
      <c r="G3001">
        <v>28</v>
      </c>
      <c r="H3001" t="s">
        <v>20</v>
      </c>
      <c r="I3001" t="str">
        <f>VLOOKUP(Table4[[#This Row],[customer_id]],customers!A:G,4,)</f>
        <v>mumbai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01"/>
  <sheetViews>
    <sheetView workbookViewId="0">
      <selection activeCell="K9" sqref="K9"/>
    </sheetView>
  </sheetViews>
  <sheetFormatPr defaultRowHeight="14.4" x14ac:dyDescent="0.3"/>
  <cols>
    <col min="1" max="1" width="14.88671875" customWidth="1"/>
    <col min="2" max="2" width="15.33203125" customWidth="1"/>
    <col min="3" max="4" width="22.44140625" style="2" customWidth="1"/>
    <col min="5" max="5" width="22.44140625" style="9" customWidth="1"/>
    <col min="6" max="6" width="14.44140625" customWidth="1"/>
    <col min="7" max="7" width="16.44140625" customWidth="1"/>
  </cols>
  <sheetData>
    <row r="1" spans="1:7" x14ac:dyDescent="0.3">
      <c r="A1" s="3" t="s">
        <v>24</v>
      </c>
      <c r="B1" s="3" t="s">
        <v>0</v>
      </c>
      <c r="C1" s="5" t="s">
        <v>46</v>
      </c>
      <c r="D1" s="5" t="s">
        <v>25</v>
      </c>
      <c r="E1" s="8" t="s">
        <v>47</v>
      </c>
      <c r="F1" s="3" t="s">
        <v>26</v>
      </c>
      <c r="G1" s="3" t="s">
        <v>27</v>
      </c>
    </row>
    <row r="2" spans="1:7" x14ac:dyDescent="0.3">
      <c r="A2">
        <v>30001</v>
      </c>
      <c r="B2">
        <v>485</v>
      </c>
      <c r="C2" s="2">
        <v>45371</v>
      </c>
      <c r="D2" s="2" t="str">
        <f>TEXT(Table5[[#This Row],[bill_date]],"mmmm")</f>
        <v>March</v>
      </c>
      <c r="E2" s="9">
        <f>YEAR(Table5[[#This Row],[bill_date]])</f>
        <v>2024</v>
      </c>
      <c r="F2">
        <v>315</v>
      </c>
      <c r="G2" t="s">
        <v>28</v>
      </c>
    </row>
    <row r="3" spans="1:7" x14ac:dyDescent="0.3">
      <c r="A3">
        <v>30002</v>
      </c>
      <c r="B3">
        <v>2</v>
      </c>
      <c r="C3" s="2">
        <v>45451</v>
      </c>
      <c r="D3" s="2" t="str">
        <f>TEXT(Table5[[#This Row],[bill_date]],"mmmm")</f>
        <v>June</v>
      </c>
      <c r="E3" s="9">
        <f>YEAR(Table5[[#This Row],[bill_date]])</f>
        <v>2024</v>
      </c>
      <c r="F3">
        <v>298</v>
      </c>
      <c r="G3" t="s">
        <v>29</v>
      </c>
    </row>
    <row r="4" spans="1:7" x14ac:dyDescent="0.3">
      <c r="A4">
        <v>30003</v>
      </c>
      <c r="B4">
        <v>438</v>
      </c>
      <c r="C4" s="2">
        <v>45363</v>
      </c>
      <c r="D4" s="2" t="str">
        <f>TEXT(Table5[[#This Row],[bill_date]],"mmmm")</f>
        <v>March</v>
      </c>
      <c r="E4" s="9">
        <f>YEAR(Table5[[#This Row],[bill_date]])</f>
        <v>2024</v>
      </c>
      <c r="F4">
        <v>798</v>
      </c>
      <c r="G4" t="s">
        <v>29</v>
      </c>
    </row>
    <row r="5" spans="1:7" x14ac:dyDescent="0.3">
      <c r="A5">
        <v>30004</v>
      </c>
      <c r="B5">
        <v>376</v>
      </c>
      <c r="C5" s="2">
        <v>45044</v>
      </c>
      <c r="D5" s="2" t="str">
        <f>TEXT(Table5[[#This Row],[bill_date]],"mmmm")</f>
        <v>April</v>
      </c>
      <c r="E5" s="9">
        <f>YEAR(Table5[[#This Row],[bill_date]])</f>
        <v>2023</v>
      </c>
      <c r="F5">
        <v>1058</v>
      </c>
      <c r="G5" t="s">
        <v>29</v>
      </c>
    </row>
    <row r="6" spans="1:7" x14ac:dyDescent="0.3">
      <c r="A6">
        <v>30005</v>
      </c>
      <c r="B6">
        <v>402</v>
      </c>
      <c r="C6" s="2">
        <v>44812</v>
      </c>
      <c r="D6" s="2" t="str">
        <f>TEXT(Table5[[#This Row],[bill_date]],"mmmm")</f>
        <v>September</v>
      </c>
      <c r="E6" s="9">
        <f>YEAR(Table5[[#This Row],[bill_date]])</f>
        <v>2022</v>
      </c>
      <c r="F6">
        <v>1887</v>
      </c>
      <c r="G6" t="s">
        <v>30</v>
      </c>
    </row>
    <row r="7" spans="1:7" x14ac:dyDescent="0.3">
      <c r="A7">
        <v>30006</v>
      </c>
      <c r="B7">
        <v>54</v>
      </c>
      <c r="C7" s="2">
        <v>45238</v>
      </c>
      <c r="D7" s="2" t="str">
        <f>TEXT(Table5[[#This Row],[bill_date]],"mmmm")</f>
        <v>November</v>
      </c>
      <c r="E7" s="9">
        <f>YEAR(Table5[[#This Row],[bill_date]])</f>
        <v>2023</v>
      </c>
      <c r="F7">
        <v>493</v>
      </c>
      <c r="G7" t="s">
        <v>30</v>
      </c>
    </row>
    <row r="8" spans="1:7" x14ac:dyDescent="0.3">
      <c r="A8">
        <v>30007</v>
      </c>
      <c r="B8">
        <v>166</v>
      </c>
      <c r="C8" s="2">
        <v>44961</v>
      </c>
      <c r="D8" s="2" t="str">
        <f>TEXT(Table5[[#This Row],[bill_date]],"mmmm")</f>
        <v>February</v>
      </c>
      <c r="E8" s="9">
        <f>YEAR(Table5[[#This Row],[bill_date]])</f>
        <v>2023</v>
      </c>
      <c r="F8">
        <v>1399</v>
      </c>
      <c r="G8" t="s">
        <v>30</v>
      </c>
    </row>
    <row r="9" spans="1:7" x14ac:dyDescent="0.3">
      <c r="A9">
        <v>30008</v>
      </c>
      <c r="B9">
        <v>353</v>
      </c>
      <c r="C9" s="2">
        <v>45414</v>
      </c>
      <c r="D9" s="2" t="str">
        <f>TEXT(Table5[[#This Row],[bill_date]],"mmmm")</f>
        <v>May</v>
      </c>
      <c r="E9" s="9">
        <f>YEAR(Table5[[#This Row],[bill_date]])</f>
        <v>2024</v>
      </c>
      <c r="F9">
        <v>1354</v>
      </c>
      <c r="G9" t="s">
        <v>30</v>
      </c>
    </row>
    <row r="10" spans="1:7" x14ac:dyDescent="0.3">
      <c r="A10">
        <v>30009</v>
      </c>
      <c r="B10">
        <v>329</v>
      </c>
      <c r="C10" s="2">
        <v>44702</v>
      </c>
      <c r="D10" s="2" t="str">
        <f>TEXT(Table5[[#This Row],[bill_date]],"mmmm")</f>
        <v>May</v>
      </c>
      <c r="E10" s="9">
        <f>YEAR(Table5[[#This Row],[bill_date]])</f>
        <v>2022</v>
      </c>
      <c r="F10">
        <v>1203</v>
      </c>
      <c r="G10" t="s">
        <v>30</v>
      </c>
    </row>
    <row r="11" spans="1:7" x14ac:dyDescent="0.3">
      <c r="A11">
        <v>30010</v>
      </c>
      <c r="B11">
        <v>143</v>
      </c>
      <c r="C11" s="2">
        <v>44939</v>
      </c>
      <c r="D11" s="2" t="str">
        <f>TEXT(Table5[[#This Row],[bill_date]],"mmmm")</f>
        <v>January</v>
      </c>
      <c r="E11" s="9">
        <f>YEAR(Table5[[#This Row],[bill_date]])</f>
        <v>2023</v>
      </c>
      <c r="F11">
        <v>832</v>
      </c>
      <c r="G11" t="s">
        <v>28</v>
      </c>
    </row>
    <row r="12" spans="1:7" x14ac:dyDescent="0.3">
      <c r="A12">
        <v>30011</v>
      </c>
      <c r="B12">
        <v>448</v>
      </c>
      <c r="C12" s="2">
        <v>44681</v>
      </c>
      <c r="D12" s="2" t="str">
        <f>TEXT(Table5[[#This Row],[bill_date]],"mmmm")</f>
        <v>April</v>
      </c>
      <c r="E12" s="9">
        <f>YEAR(Table5[[#This Row],[bill_date]])</f>
        <v>2022</v>
      </c>
      <c r="F12">
        <v>1945</v>
      </c>
      <c r="G12" t="s">
        <v>30</v>
      </c>
    </row>
    <row r="13" spans="1:7" x14ac:dyDescent="0.3">
      <c r="A13">
        <v>30012</v>
      </c>
      <c r="B13">
        <v>92</v>
      </c>
      <c r="C13" s="2">
        <v>44899</v>
      </c>
      <c r="D13" s="2" t="str">
        <f>TEXT(Table5[[#This Row],[bill_date]],"mmmm")</f>
        <v>December</v>
      </c>
      <c r="E13" s="9">
        <f>YEAR(Table5[[#This Row],[bill_date]])</f>
        <v>2022</v>
      </c>
      <c r="F13">
        <v>1802</v>
      </c>
      <c r="G13" t="s">
        <v>28</v>
      </c>
    </row>
    <row r="14" spans="1:7" x14ac:dyDescent="0.3">
      <c r="A14">
        <v>30013</v>
      </c>
      <c r="B14">
        <v>8</v>
      </c>
      <c r="C14" s="2">
        <v>45011</v>
      </c>
      <c r="D14" s="2" t="str">
        <f>TEXT(Table5[[#This Row],[bill_date]],"mmmm")</f>
        <v>March</v>
      </c>
      <c r="E14" s="9">
        <f>YEAR(Table5[[#This Row],[bill_date]])</f>
        <v>2023</v>
      </c>
      <c r="F14">
        <v>255</v>
      </c>
      <c r="G14" t="s">
        <v>30</v>
      </c>
    </row>
    <row r="15" spans="1:7" x14ac:dyDescent="0.3">
      <c r="A15">
        <v>30014</v>
      </c>
      <c r="B15">
        <v>252</v>
      </c>
      <c r="C15" s="2">
        <v>45449</v>
      </c>
      <c r="D15" s="2" t="str">
        <f>TEXT(Table5[[#This Row],[bill_date]],"mmmm")</f>
        <v>June</v>
      </c>
      <c r="E15" s="9">
        <f>YEAR(Table5[[#This Row],[bill_date]])</f>
        <v>2024</v>
      </c>
      <c r="F15">
        <v>1235</v>
      </c>
      <c r="G15" t="s">
        <v>30</v>
      </c>
    </row>
    <row r="16" spans="1:7" x14ac:dyDescent="0.3">
      <c r="A16">
        <v>30015</v>
      </c>
      <c r="B16">
        <v>430</v>
      </c>
      <c r="C16" s="2">
        <v>44722</v>
      </c>
      <c r="D16" s="2" t="str">
        <f>TEXT(Table5[[#This Row],[bill_date]],"mmmm")</f>
        <v>June</v>
      </c>
      <c r="E16" s="9">
        <f>YEAR(Table5[[#This Row],[bill_date]])</f>
        <v>2022</v>
      </c>
      <c r="F16">
        <v>391</v>
      </c>
      <c r="G16" t="s">
        <v>30</v>
      </c>
    </row>
    <row r="17" spans="1:7" x14ac:dyDescent="0.3">
      <c r="A17">
        <v>30016</v>
      </c>
      <c r="B17">
        <v>100</v>
      </c>
      <c r="C17" s="2">
        <v>44666</v>
      </c>
      <c r="D17" s="2" t="str">
        <f>TEXT(Table5[[#This Row],[bill_date]],"mmmm")</f>
        <v>April</v>
      </c>
      <c r="E17" s="9">
        <f>YEAR(Table5[[#This Row],[bill_date]])</f>
        <v>2022</v>
      </c>
      <c r="F17">
        <v>1797</v>
      </c>
      <c r="G17" t="s">
        <v>28</v>
      </c>
    </row>
    <row r="18" spans="1:7" x14ac:dyDescent="0.3">
      <c r="A18">
        <v>30017</v>
      </c>
      <c r="B18">
        <v>39</v>
      </c>
      <c r="C18" s="2">
        <v>45411</v>
      </c>
      <c r="D18" s="2" t="str">
        <f>TEXT(Table5[[#This Row],[bill_date]],"mmmm")</f>
        <v>April</v>
      </c>
      <c r="E18" s="9">
        <f>YEAR(Table5[[#This Row],[bill_date]])</f>
        <v>2024</v>
      </c>
      <c r="F18">
        <v>1192</v>
      </c>
      <c r="G18" t="s">
        <v>30</v>
      </c>
    </row>
    <row r="19" spans="1:7" x14ac:dyDescent="0.3">
      <c r="A19">
        <v>30018</v>
      </c>
      <c r="B19">
        <v>436</v>
      </c>
      <c r="C19" s="2">
        <v>44653</v>
      </c>
      <c r="D19" s="2" t="str">
        <f>TEXT(Table5[[#This Row],[bill_date]],"mmmm")</f>
        <v>April</v>
      </c>
      <c r="E19" s="9">
        <f>YEAR(Table5[[#This Row],[bill_date]])</f>
        <v>2022</v>
      </c>
      <c r="F19">
        <v>1732</v>
      </c>
      <c r="G19" t="s">
        <v>30</v>
      </c>
    </row>
    <row r="20" spans="1:7" x14ac:dyDescent="0.3">
      <c r="A20">
        <v>30019</v>
      </c>
      <c r="B20">
        <v>136</v>
      </c>
      <c r="C20" s="2">
        <v>45046</v>
      </c>
      <c r="D20" s="2" t="str">
        <f>TEXT(Table5[[#This Row],[bill_date]],"mmmm")</f>
        <v>April</v>
      </c>
      <c r="E20" s="9">
        <f>YEAR(Table5[[#This Row],[bill_date]])</f>
        <v>2023</v>
      </c>
      <c r="F20">
        <v>1375</v>
      </c>
      <c r="G20" t="s">
        <v>30</v>
      </c>
    </row>
    <row r="21" spans="1:7" x14ac:dyDescent="0.3">
      <c r="A21">
        <v>30020</v>
      </c>
      <c r="B21">
        <v>362</v>
      </c>
      <c r="C21" s="2">
        <v>44980</v>
      </c>
      <c r="D21" s="2" t="str">
        <f>TEXT(Table5[[#This Row],[bill_date]],"mmmm")</f>
        <v>February</v>
      </c>
      <c r="E21" s="9">
        <f>YEAR(Table5[[#This Row],[bill_date]])</f>
        <v>2023</v>
      </c>
      <c r="F21">
        <v>1245</v>
      </c>
      <c r="G21" t="s">
        <v>30</v>
      </c>
    </row>
    <row r="22" spans="1:7" x14ac:dyDescent="0.3">
      <c r="A22">
        <v>30021</v>
      </c>
      <c r="B22">
        <v>434</v>
      </c>
      <c r="C22" s="2">
        <v>44982</v>
      </c>
      <c r="D22" s="2" t="str">
        <f>TEXT(Table5[[#This Row],[bill_date]],"mmmm")</f>
        <v>February</v>
      </c>
      <c r="E22" s="9">
        <f>YEAR(Table5[[#This Row],[bill_date]])</f>
        <v>2023</v>
      </c>
      <c r="F22">
        <v>228</v>
      </c>
      <c r="G22" t="s">
        <v>28</v>
      </c>
    </row>
    <row r="23" spans="1:7" x14ac:dyDescent="0.3">
      <c r="A23">
        <v>30022</v>
      </c>
      <c r="B23">
        <v>50</v>
      </c>
      <c r="C23" s="2">
        <v>45277</v>
      </c>
      <c r="D23" s="2" t="str">
        <f>TEXT(Table5[[#This Row],[bill_date]],"mmmm")</f>
        <v>December</v>
      </c>
      <c r="E23" s="9">
        <f>YEAR(Table5[[#This Row],[bill_date]])</f>
        <v>2023</v>
      </c>
      <c r="F23">
        <v>1591</v>
      </c>
      <c r="G23" t="s">
        <v>30</v>
      </c>
    </row>
    <row r="24" spans="1:7" x14ac:dyDescent="0.3">
      <c r="A24">
        <v>30023</v>
      </c>
      <c r="B24">
        <v>83</v>
      </c>
      <c r="C24" s="2">
        <v>45113</v>
      </c>
      <c r="D24" s="2" t="str">
        <f>TEXT(Table5[[#This Row],[bill_date]],"mmmm")</f>
        <v>July</v>
      </c>
      <c r="E24" s="9">
        <f>YEAR(Table5[[#This Row],[bill_date]])</f>
        <v>2023</v>
      </c>
      <c r="F24">
        <v>1923</v>
      </c>
      <c r="G24" t="s">
        <v>30</v>
      </c>
    </row>
    <row r="25" spans="1:7" x14ac:dyDescent="0.3">
      <c r="A25">
        <v>30024</v>
      </c>
      <c r="B25">
        <v>254</v>
      </c>
      <c r="C25" s="2">
        <v>44615</v>
      </c>
      <c r="D25" s="2" t="str">
        <f>TEXT(Table5[[#This Row],[bill_date]],"mmmm")</f>
        <v>February</v>
      </c>
      <c r="E25" s="9">
        <f>YEAR(Table5[[#This Row],[bill_date]])</f>
        <v>2022</v>
      </c>
      <c r="F25">
        <v>1613</v>
      </c>
      <c r="G25" t="s">
        <v>30</v>
      </c>
    </row>
    <row r="26" spans="1:7" x14ac:dyDescent="0.3">
      <c r="A26">
        <v>30025</v>
      </c>
      <c r="B26">
        <v>196</v>
      </c>
      <c r="C26" s="2">
        <v>45162</v>
      </c>
      <c r="D26" s="2" t="str">
        <f>TEXT(Table5[[#This Row],[bill_date]],"mmmm")</f>
        <v>August</v>
      </c>
      <c r="E26" s="9">
        <f>YEAR(Table5[[#This Row],[bill_date]])</f>
        <v>2023</v>
      </c>
      <c r="F26">
        <v>508</v>
      </c>
      <c r="G26" t="s">
        <v>28</v>
      </c>
    </row>
    <row r="27" spans="1:7" x14ac:dyDescent="0.3">
      <c r="A27">
        <v>30026</v>
      </c>
      <c r="B27">
        <v>27</v>
      </c>
      <c r="C27" s="2">
        <v>45208</v>
      </c>
      <c r="D27" s="2" t="str">
        <f>TEXT(Table5[[#This Row],[bill_date]],"mmmm")</f>
        <v>October</v>
      </c>
      <c r="E27" s="9">
        <f>YEAR(Table5[[#This Row],[bill_date]])</f>
        <v>2023</v>
      </c>
      <c r="F27">
        <v>1843</v>
      </c>
      <c r="G27" t="s">
        <v>30</v>
      </c>
    </row>
    <row r="28" spans="1:7" x14ac:dyDescent="0.3">
      <c r="A28">
        <v>30027</v>
      </c>
      <c r="B28">
        <v>77</v>
      </c>
      <c r="C28" s="2">
        <v>45075</v>
      </c>
      <c r="D28" s="2" t="str">
        <f>TEXT(Table5[[#This Row],[bill_date]],"mmmm")</f>
        <v>May</v>
      </c>
      <c r="E28" s="9">
        <f>YEAR(Table5[[#This Row],[bill_date]])</f>
        <v>2023</v>
      </c>
      <c r="F28">
        <v>1623</v>
      </c>
      <c r="G28" t="s">
        <v>30</v>
      </c>
    </row>
    <row r="29" spans="1:7" x14ac:dyDescent="0.3">
      <c r="A29">
        <v>30028</v>
      </c>
      <c r="B29">
        <v>294</v>
      </c>
      <c r="C29" s="2">
        <v>44658</v>
      </c>
      <c r="D29" s="2" t="str">
        <f>TEXT(Table5[[#This Row],[bill_date]],"mmmm")</f>
        <v>April</v>
      </c>
      <c r="E29" s="9">
        <f>YEAR(Table5[[#This Row],[bill_date]])</f>
        <v>2022</v>
      </c>
      <c r="F29">
        <v>1575</v>
      </c>
      <c r="G29" t="s">
        <v>28</v>
      </c>
    </row>
    <row r="30" spans="1:7" x14ac:dyDescent="0.3">
      <c r="A30">
        <v>30029</v>
      </c>
      <c r="B30">
        <v>255</v>
      </c>
      <c r="C30" s="2">
        <v>45129</v>
      </c>
      <c r="D30" s="2" t="str">
        <f>TEXT(Table5[[#This Row],[bill_date]],"mmmm")</f>
        <v>July</v>
      </c>
      <c r="E30" s="9">
        <f>YEAR(Table5[[#This Row],[bill_date]])</f>
        <v>2023</v>
      </c>
      <c r="F30">
        <v>770</v>
      </c>
      <c r="G30" t="s">
        <v>30</v>
      </c>
    </row>
    <row r="31" spans="1:7" x14ac:dyDescent="0.3">
      <c r="A31">
        <v>30030</v>
      </c>
      <c r="B31">
        <v>21</v>
      </c>
      <c r="C31" s="2">
        <v>45433</v>
      </c>
      <c r="D31" s="2" t="str">
        <f>TEXT(Table5[[#This Row],[bill_date]],"mmmm")</f>
        <v>May</v>
      </c>
      <c r="E31" s="9">
        <f>YEAR(Table5[[#This Row],[bill_date]])</f>
        <v>2024</v>
      </c>
      <c r="F31">
        <v>264</v>
      </c>
      <c r="G31" t="s">
        <v>30</v>
      </c>
    </row>
    <row r="32" spans="1:7" x14ac:dyDescent="0.3">
      <c r="A32">
        <v>30031</v>
      </c>
      <c r="B32">
        <v>218</v>
      </c>
      <c r="C32" s="2">
        <v>45197</v>
      </c>
      <c r="D32" s="2" t="str">
        <f>TEXT(Table5[[#This Row],[bill_date]],"mmmm")</f>
        <v>September</v>
      </c>
      <c r="E32" s="9">
        <f>YEAR(Table5[[#This Row],[bill_date]])</f>
        <v>2023</v>
      </c>
      <c r="F32">
        <v>364</v>
      </c>
      <c r="G32" t="s">
        <v>30</v>
      </c>
    </row>
    <row r="33" spans="1:7" x14ac:dyDescent="0.3">
      <c r="A33">
        <v>30032</v>
      </c>
      <c r="B33">
        <v>45</v>
      </c>
      <c r="C33" s="2">
        <v>44746</v>
      </c>
      <c r="D33" s="2" t="str">
        <f>TEXT(Table5[[#This Row],[bill_date]],"mmmm")</f>
        <v>July</v>
      </c>
      <c r="E33" s="9">
        <f>YEAR(Table5[[#This Row],[bill_date]])</f>
        <v>2022</v>
      </c>
      <c r="F33">
        <v>1714</v>
      </c>
      <c r="G33" t="s">
        <v>28</v>
      </c>
    </row>
    <row r="34" spans="1:7" x14ac:dyDescent="0.3">
      <c r="A34">
        <v>30033</v>
      </c>
      <c r="B34">
        <v>442</v>
      </c>
      <c r="C34" s="2">
        <v>44994</v>
      </c>
      <c r="D34" s="2" t="str">
        <f>TEXT(Table5[[#This Row],[bill_date]],"mmmm")</f>
        <v>March</v>
      </c>
      <c r="E34" s="9">
        <f>YEAR(Table5[[#This Row],[bill_date]])</f>
        <v>2023</v>
      </c>
      <c r="F34">
        <v>1875</v>
      </c>
      <c r="G34" t="s">
        <v>30</v>
      </c>
    </row>
    <row r="35" spans="1:7" x14ac:dyDescent="0.3">
      <c r="A35">
        <v>30034</v>
      </c>
      <c r="B35">
        <v>407</v>
      </c>
      <c r="C35" s="2">
        <v>45032</v>
      </c>
      <c r="D35" s="2" t="str">
        <f>TEXT(Table5[[#This Row],[bill_date]],"mmmm")</f>
        <v>April</v>
      </c>
      <c r="E35" s="9">
        <f>YEAR(Table5[[#This Row],[bill_date]])</f>
        <v>2023</v>
      </c>
      <c r="F35">
        <v>762</v>
      </c>
      <c r="G35" t="s">
        <v>29</v>
      </c>
    </row>
    <row r="36" spans="1:7" x14ac:dyDescent="0.3">
      <c r="A36">
        <v>30035</v>
      </c>
      <c r="B36">
        <v>182</v>
      </c>
      <c r="C36" s="2">
        <v>44686</v>
      </c>
      <c r="D36" s="2" t="str">
        <f>TEXT(Table5[[#This Row],[bill_date]],"mmmm")</f>
        <v>May</v>
      </c>
      <c r="E36" s="9">
        <f>YEAR(Table5[[#This Row],[bill_date]])</f>
        <v>2022</v>
      </c>
      <c r="F36">
        <v>378</v>
      </c>
      <c r="G36" t="s">
        <v>30</v>
      </c>
    </row>
    <row r="37" spans="1:7" x14ac:dyDescent="0.3">
      <c r="A37">
        <v>30036</v>
      </c>
      <c r="B37">
        <v>286</v>
      </c>
      <c r="C37" s="2">
        <v>44895</v>
      </c>
      <c r="D37" s="2" t="str">
        <f>TEXT(Table5[[#This Row],[bill_date]],"mmmm")</f>
        <v>November</v>
      </c>
      <c r="E37" s="9">
        <f>YEAR(Table5[[#This Row],[bill_date]])</f>
        <v>2022</v>
      </c>
      <c r="F37">
        <v>742</v>
      </c>
      <c r="G37" t="s">
        <v>30</v>
      </c>
    </row>
    <row r="38" spans="1:7" x14ac:dyDescent="0.3">
      <c r="A38">
        <v>30037</v>
      </c>
      <c r="B38">
        <v>479</v>
      </c>
      <c r="C38" s="2">
        <v>44825</v>
      </c>
      <c r="D38" s="2" t="str">
        <f>TEXT(Table5[[#This Row],[bill_date]],"mmmm")</f>
        <v>September</v>
      </c>
      <c r="E38" s="9">
        <f>YEAR(Table5[[#This Row],[bill_date]])</f>
        <v>2022</v>
      </c>
      <c r="F38">
        <v>924</v>
      </c>
      <c r="G38" t="s">
        <v>30</v>
      </c>
    </row>
    <row r="39" spans="1:7" x14ac:dyDescent="0.3">
      <c r="A39">
        <v>30038</v>
      </c>
      <c r="B39">
        <v>351</v>
      </c>
      <c r="C39" s="2">
        <v>45413</v>
      </c>
      <c r="D39" s="2" t="str">
        <f>TEXT(Table5[[#This Row],[bill_date]],"mmmm")</f>
        <v>May</v>
      </c>
      <c r="E39" s="9">
        <f>YEAR(Table5[[#This Row],[bill_date]])</f>
        <v>2024</v>
      </c>
      <c r="F39">
        <v>975</v>
      </c>
      <c r="G39" t="s">
        <v>28</v>
      </c>
    </row>
    <row r="40" spans="1:7" x14ac:dyDescent="0.3">
      <c r="A40">
        <v>30039</v>
      </c>
      <c r="B40">
        <v>144</v>
      </c>
      <c r="C40" s="2">
        <v>44752</v>
      </c>
      <c r="D40" s="2" t="str">
        <f>TEXT(Table5[[#This Row],[bill_date]],"mmmm")</f>
        <v>July</v>
      </c>
      <c r="E40" s="9">
        <f>YEAR(Table5[[#This Row],[bill_date]])</f>
        <v>2022</v>
      </c>
      <c r="F40">
        <v>1239</v>
      </c>
      <c r="G40" t="s">
        <v>30</v>
      </c>
    </row>
    <row r="41" spans="1:7" x14ac:dyDescent="0.3">
      <c r="A41">
        <v>30040</v>
      </c>
      <c r="B41">
        <v>52</v>
      </c>
      <c r="C41" s="2">
        <v>45411</v>
      </c>
      <c r="D41" s="2" t="str">
        <f>TEXT(Table5[[#This Row],[bill_date]],"mmmm")</f>
        <v>April</v>
      </c>
      <c r="E41" s="9">
        <f>YEAR(Table5[[#This Row],[bill_date]])</f>
        <v>2024</v>
      </c>
      <c r="F41">
        <v>324</v>
      </c>
      <c r="G41" t="s">
        <v>30</v>
      </c>
    </row>
    <row r="42" spans="1:7" x14ac:dyDescent="0.3">
      <c r="A42">
        <v>30041</v>
      </c>
      <c r="B42">
        <v>251</v>
      </c>
      <c r="C42" s="2">
        <v>45288</v>
      </c>
      <c r="D42" s="2" t="str">
        <f>TEXT(Table5[[#This Row],[bill_date]],"mmmm")</f>
        <v>December</v>
      </c>
      <c r="E42" s="9">
        <f>YEAR(Table5[[#This Row],[bill_date]])</f>
        <v>2023</v>
      </c>
      <c r="F42">
        <v>280</v>
      </c>
      <c r="G42" t="s">
        <v>30</v>
      </c>
    </row>
    <row r="43" spans="1:7" x14ac:dyDescent="0.3">
      <c r="A43">
        <v>30042</v>
      </c>
      <c r="B43">
        <v>106</v>
      </c>
      <c r="C43" s="2">
        <v>44782</v>
      </c>
      <c r="D43" s="2" t="str">
        <f>TEXT(Table5[[#This Row],[bill_date]],"mmmm")</f>
        <v>August</v>
      </c>
      <c r="E43" s="9">
        <f>YEAR(Table5[[#This Row],[bill_date]])</f>
        <v>2022</v>
      </c>
      <c r="F43">
        <v>1262</v>
      </c>
      <c r="G43" t="s">
        <v>30</v>
      </c>
    </row>
    <row r="44" spans="1:7" x14ac:dyDescent="0.3">
      <c r="A44">
        <v>30043</v>
      </c>
      <c r="B44">
        <v>297</v>
      </c>
      <c r="C44" s="2">
        <v>44760</v>
      </c>
      <c r="D44" s="2" t="str">
        <f>TEXT(Table5[[#This Row],[bill_date]],"mmmm")</f>
        <v>July</v>
      </c>
      <c r="E44" s="9">
        <f>YEAR(Table5[[#This Row],[bill_date]])</f>
        <v>2022</v>
      </c>
      <c r="F44">
        <v>1838</v>
      </c>
      <c r="G44" t="s">
        <v>30</v>
      </c>
    </row>
    <row r="45" spans="1:7" x14ac:dyDescent="0.3">
      <c r="A45">
        <v>30044</v>
      </c>
      <c r="B45">
        <v>199</v>
      </c>
      <c r="C45" s="2">
        <v>44905</v>
      </c>
      <c r="D45" s="2" t="str">
        <f>TEXT(Table5[[#This Row],[bill_date]],"mmmm")</f>
        <v>December</v>
      </c>
      <c r="E45" s="9">
        <f>YEAR(Table5[[#This Row],[bill_date]])</f>
        <v>2022</v>
      </c>
      <c r="F45">
        <v>1441</v>
      </c>
      <c r="G45" t="s">
        <v>30</v>
      </c>
    </row>
    <row r="46" spans="1:7" x14ac:dyDescent="0.3">
      <c r="A46">
        <v>30045</v>
      </c>
      <c r="B46">
        <v>337</v>
      </c>
      <c r="C46" s="2">
        <v>44735</v>
      </c>
      <c r="D46" s="2" t="str">
        <f>TEXT(Table5[[#This Row],[bill_date]],"mmmm")</f>
        <v>June</v>
      </c>
      <c r="E46" s="9">
        <f>YEAR(Table5[[#This Row],[bill_date]])</f>
        <v>2022</v>
      </c>
      <c r="F46">
        <v>1169</v>
      </c>
      <c r="G46" t="s">
        <v>30</v>
      </c>
    </row>
    <row r="47" spans="1:7" x14ac:dyDescent="0.3">
      <c r="A47">
        <v>30046</v>
      </c>
      <c r="B47">
        <v>280</v>
      </c>
      <c r="C47" s="2">
        <v>44778</v>
      </c>
      <c r="D47" s="2" t="str">
        <f>TEXT(Table5[[#This Row],[bill_date]],"mmmm")</f>
        <v>August</v>
      </c>
      <c r="E47" s="9">
        <f>YEAR(Table5[[#This Row],[bill_date]])</f>
        <v>2022</v>
      </c>
      <c r="F47">
        <v>1404</v>
      </c>
      <c r="G47" t="s">
        <v>30</v>
      </c>
    </row>
    <row r="48" spans="1:7" x14ac:dyDescent="0.3">
      <c r="A48">
        <v>30047</v>
      </c>
      <c r="B48">
        <v>148</v>
      </c>
      <c r="C48" s="2">
        <v>44767</v>
      </c>
      <c r="D48" s="2" t="str">
        <f>TEXT(Table5[[#This Row],[bill_date]],"mmmm")</f>
        <v>July</v>
      </c>
      <c r="E48" s="9">
        <f>YEAR(Table5[[#This Row],[bill_date]])</f>
        <v>2022</v>
      </c>
      <c r="F48">
        <v>636</v>
      </c>
      <c r="G48" t="s">
        <v>30</v>
      </c>
    </row>
    <row r="49" spans="1:7" x14ac:dyDescent="0.3">
      <c r="A49">
        <v>30048</v>
      </c>
      <c r="B49">
        <v>103</v>
      </c>
      <c r="C49" s="2">
        <v>45140</v>
      </c>
      <c r="D49" s="2" t="str">
        <f>TEXT(Table5[[#This Row],[bill_date]],"mmmm")</f>
        <v>August</v>
      </c>
      <c r="E49" s="9">
        <f>YEAR(Table5[[#This Row],[bill_date]])</f>
        <v>2023</v>
      </c>
      <c r="F49">
        <v>1890</v>
      </c>
      <c r="G49" t="s">
        <v>30</v>
      </c>
    </row>
    <row r="50" spans="1:7" x14ac:dyDescent="0.3">
      <c r="A50">
        <v>30049</v>
      </c>
      <c r="B50">
        <v>411</v>
      </c>
      <c r="C50" s="2">
        <v>44934</v>
      </c>
      <c r="D50" s="2" t="str">
        <f>TEXT(Table5[[#This Row],[bill_date]],"mmmm")</f>
        <v>January</v>
      </c>
      <c r="E50" s="9">
        <f>YEAR(Table5[[#This Row],[bill_date]])</f>
        <v>2023</v>
      </c>
      <c r="F50">
        <v>1166</v>
      </c>
      <c r="G50" t="s">
        <v>30</v>
      </c>
    </row>
    <row r="51" spans="1:7" x14ac:dyDescent="0.3">
      <c r="A51">
        <v>30050</v>
      </c>
      <c r="B51">
        <v>2</v>
      </c>
      <c r="C51" s="2">
        <v>44735</v>
      </c>
      <c r="D51" s="2" t="str">
        <f>TEXT(Table5[[#This Row],[bill_date]],"mmmm")</f>
        <v>June</v>
      </c>
      <c r="E51" s="9">
        <f>YEAR(Table5[[#This Row],[bill_date]])</f>
        <v>2022</v>
      </c>
      <c r="F51">
        <v>1912</v>
      </c>
      <c r="G51" t="s">
        <v>30</v>
      </c>
    </row>
    <row r="52" spans="1:7" x14ac:dyDescent="0.3">
      <c r="A52">
        <v>30051</v>
      </c>
      <c r="B52">
        <v>256</v>
      </c>
      <c r="C52" s="2">
        <v>44639</v>
      </c>
      <c r="D52" s="2" t="str">
        <f>TEXT(Table5[[#This Row],[bill_date]],"mmmm")</f>
        <v>March</v>
      </c>
      <c r="E52" s="9">
        <f>YEAR(Table5[[#This Row],[bill_date]])</f>
        <v>2022</v>
      </c>
      <c r="F52">
        <v>728</v>
      </c>
      <c r="G52" t="s">
        <v>30</v>
      </c>
    </row>
    <row r="53" spans="1:7" x14ac:dyDescent="0.3">
      <c r="A53">
        <v>30052</v>
      </c>
      <c r="B53">
        <v>60</v>
      </c>
      <c r="C53" s="2">
        <v>44884</v>
      </c>
      <c r="D53" s="2" t="str">
        <f>TEXT(Table5[[#This Row],[bill_date]],"mmmm")</f>
        <v>November</v>
      </c>
      <c r="E53" s="9">
        <f>YEAR(Table5[[#This Row],[bill_date]])</f>
        <v>2022</v>
      </c>
      <c r="F53">
        <v>1875</v>
      </c>
      <c r="G53" t="s">
        <v>30</v>
      </c>
    </row>
    <row r="54" spans="1:7" x14ac:dyDescent="0.3">
      <c r="A54">
        <v>30053</v>
      </c>
      <c r="B54">
        <v>307</v>
      </c>
      <c r="C54" s="2">
        <v>45115</v>
      </c>
      <c r="D54" s="2" t="str">
        <f>TEXT(Table5[[#This Row],[bill_date]],"mmmm")</f>
        <v>July</v>
      </c>
      <c r="E54" s="9">
        <f>YEAR(Table5[[#This Row],[bill_date]])</f>
        <v>2023</v>
      </c>
      <c r="F54">
        <v>1383</v>
      </c>
      <c r="G54" t="s">
        <v>30</v>
      </c>
    </row>
    <row r="55" spans="1:7" x14ac:dyDescent="0.3">
      <c r="A55">
        <v>30054</v>
      </c>
      <c r="B55">
        <v>385</v>
      </c>
      <c r="C55" s="2">
        <v>45137</v>
      </c>
      <c r="D55" s="2" t="str">
        <f>TEXT(Table5[[#This Row],[bill_date]],"mmmm")</f>
        <v>July</v>
      </c>
      <c r="E55" s="9">
        <f>YEAR(Table5[[#This Row],[bill_date]])</f>
        <v>2023</v>
      </c>
      <c r="F55">
        <v>1948</v>
      </c>
      <c r="G55" t="s">
        <v>30</v>
      </c>
    </row>
    <row r="56" spans="1:7" x14ac:dyDescent="0.3">
      <c r="A56">
        <v>30055</v>
      </c>
      <c r="B56">
        <v>482</v>
      </c>
      <c r="C56" s="2">
        <v>44945</v>
      </c>
      <c r="D56" s="2" t="str">
        <f>TEXT(Table5[[#This Row],[bill_date]],"mmmm")</f>
        <v>January</v>
      </c>
      <c r="E56" s="9">
        <f>YEAR(Table5[[#This Row],[bill_date]])</f>
        <v>2023</v>
      </c>
      <c r="F56">
        <v>1132</v>
      </c>
      <c r="G56" t="s">
        <v>30</v>
      </c>
    </row>
    <row r="57" spans="1:7" x14ac:dyDescent="0.3">
      <c r="A57">
        <v>30056</v>
      </c>
      <c r="B57">
        <v>91</v>
      </c>
      <c r="C57" s="2">
        <v>45402</v>
      </c>
      <c r="D57" s="2" t="str">
        <f>TEXT(Table5[[#This Row],[bill_date]],"mmmm")</f>
        <v>April</v>
      </c>
      <c r="E57" s="9">
        <f>YEAR(Table5[[#This Row],[bill_date]])</f>
        <v>2024</v>
      </c>
      <c r="F57">
        <v>932</v>
      </c>
      <c r="G57" t="s">
        <v>30</v>
      </c>
    </row>
    <row r="58" spans="1:7" x14ac:dyDescent="0.3">
      <c r="A58">
        <v>30057</v>
      </c>
      <c r="B58">
        <v>101</v>
      </c>
      <c r="C58" s="2">
        <v>44998</v>
      </c>
      <c r="D58" s="2" t="str">
        <f>TEXT(Table5[[#This Row],[bill_date]],"mmmm")</f>
        <v>March</v>
      </c>
      <c r="E58" s="9">
        <f>YEAR(Table5[[#This Row],[bill_date]])</f>
        <v>2023</v>
      </c>
      <c r="F58">
        <v>1996</v>
      </c>
      <c r="G58" t="s">
        <v>30</v>
      </c>
    </row>
    <row r="59" spans="1:7" x14ac:dyDescent="0.3">
      <c r="A59">
        <v>30058</v>
      </c>
      <c r="B59">
        <v>114</v>
      </c>
      <c r="C59" s="2">
        <v>44760</v>
      </c>
      <c r="D59" s="2" t="str">
        <f>TEXT(Table5[[#This Row],[bill_date]],"mmmm")</f>
        <v>July</v>
      </c>
      <c r="E59" s="9">
        <f>YEAR(Table5[[#This Row],[bill_date]])</f>
        <v>2022</v>
      </c>
      <c r="F59">
        <v>755</v>
      </c>
      <c r="G59" t="s">
        <v>30</v>
      </c>
    </row>
    <row r="60" spans="1:7" x14ac:dyDescent="0.3">
      <c r="A60">
        <v>30059</v>
      </c>
      <c r="B60">
        <v>262</v>
      </c>
      <c r="C60" s="2">
        <v>45163</v>
      </c>
      <c r="D60" s="2" t="str">
        <f>TEXT(Table5[[#This Row],[bill_date]],"mmmm")</f>
        <v>August</v>
      </c>
      <c r="E60" s="9">
        <f>YEAR(Table5[[#This Row],[bill_date]])</f>
        <v>2023</v>
      </c>
      <c r="F60">
        <v>1409</v>
      </c>
      <c r="G60" t="s">
        <v>30</v>
      </c>
    </row>
    <row r="61" spans="1:7" x14ac:dyDescent="0.3">
      <c r="A61">
        <v>30060</v>
      </c>
      <c r="B61">
        <v>422</v>
      </c>
      <c r="C61" s="2">
        <v>44568</v>
      </c>
      <c r="D61" s="2" t="str">
        <f>TEXT(Table5[[#This Row],[bill_date]],"mmmm")</f>
        <v>January</v>
      </c>
      <c r="E61" s="9">
        <f>YEAR(Table5[[#This Row],[bill_date]])</f>
        <v>2022</v>
      </c>
      <c r="F61">
        <v>1576</v>
      </c>
      <c r="G61" t="s">
        <v>30</v>
      </c>
    </row>
    <row r="62" spans="1:7" x14ac:dyDescent="0.3">
      <c r="A62">
        <v>30061</v>
      </c>
      <c r="B62">
        <v>54</v>
      </c>
      <c r="C62" s="2">
        <v>44824</v>
      </c>
      <c r="D62" s="2" t="str">
        <f>TEXT(Table5[[#This Row],[bill_date]],"mmmm")</f>
        <v>September</v>
      </c>
      <c r="E62" s="9">
        <f>YEAR(Table5[[#This Row],[bill_date]])</f>
        <v>2022</v>
      </c>
      <c r="F62">
        <v>1597</v>
      </c>
      <c r="G62" t="s">
        <v>30</v>
      </c>
    </row>
    <row r="63" spans="1:7" x14ac:dyDescent="0.3">
      <c r="A63">
        <v>30062</v>
      </c>
      <c r="B63">
        <v>188</v>
      </c>
      <c r="C63" s="2">
        <v>45195</v>
      </c>
      <c r="D63" s="2" t="str">
        <f>TEXT(Table5[[#This Row],[bill_date]],"mmmm")</f>
        <v>September</v>
      </c>
      <c r="E63" s="9">
        <f>YEAR(Table5[[#This Row],[bill_date]])</f>
        <v>2023</v>
      </c>
      <c r="F63">
        <v>1689</v>
      </c>
      <c r="G63" t="s">
        <v>30</v>
      </c>
    </row>
    <row r="64" spans="1:7" x14ac:dyDescent="0.3">
      <c r="A64">
        <v>30063</v>
      </c>
      <c r="B64">
        <v>27</v>
      </c>
      <c r="C64" s="2">
        <v>45237</v>
      </c>
      <c r="D64" s="2" t="str">
        <f>TEXT(Table5[[#This Row],[bill_date]],"mmmm")</f>
        <v>November</v>
      </c>
      <c r="E64" s="9">
        <f>YEAR(Table5[[#This Row],[bill_date]])</f>
        <v>2023</v>
      </c>
      <c r="F64">
        <v>439</v>
      </c>
      <c r="G64" t="s">
        <v>30</v>
      </c>
    </row>
    <row r="65" spans="1:7" x14ac:dyDescent="0.3">
      <c r="A65">
        <v>30064</v>
      </c>
      <c r="B65">
        <v>240</v>
      </c>
      <c r="C65" s="2">
        <v>45189</v>
      </c>
      <c r="D65" s="2" t="str">
        <f>TEXT(Table5[[#This Row],[bill_date]],"mmmm")</f>
        <v>September</v>
      </c>
      <c r="E65" s="9">
        <f>YEAR(Table5[[#This Row],[bill_date]])</f>
        <v>2023</v>
      </c>
      <c r="F65">
        <v>1959</v>
      </c>
      <c r="G65" t="s">
        <v>30</v>
      </c>
    </row>
    <row r="66" spans="1:7" x14ac:dyDescent="0.3">
      <c r="A66">
        <v>30065</v>
      </c>
      <c r="B66">
        <v>80</v>
      </c>
      <c r="C66" s="2">
        <v>45086</v>
      </c>
      <c r="D66" s="2" t="str">
        <f>TEXT(Table5[[#This Row],[bill_date]],"mmmm")</f>
        <v>June</v>
      </c>
      <c r="E66" s="9">
        <f>YEAR(Table5[[#This Row],[bill_date]])</f>
        <v>2023</v>
      </c>
      <c r="F66">
        <v>532</v>
      </c>
      <c r="G66" t="s">
        <v>30</v>
      </c>
    </row>
    <row r="67" spans="1:7" x14ac:dyDescent="0.3">
      <c r="A67">
        <v>30066</v>
      </c>
      <c r="B67">
        <v>190</v>
      </c>
      <c r="C67" s="2">
        <v>44581</v>
      </c>
      <c r="D67" s="2" t="str">
        <f>TEXT(Table5[[#This Row],[bill_date]],"mmmm")</f>
        <v>January</v>
      </c>
      <c r="E67" s="9">
        <f>YEAR(Table5[[#This Row],[bill_date]])</f>
        <v>2022</v>
      </c>
      <c r="F67">
        <v>246</v>
      </c>
      <c r="G67" t="s">
        <v>30</v>
      </c>
    </row>
    <row r="68" spans="1:7" x14ac:dyDescent="0.3">
      <c r="A68">
        <v>30067</v>
      </c>
      <c r="B68">
        <v>319</v>
      </c>
      <c r="C68" s="2">
        <v>45274</v>
      </c>
      <c r="D68" s="2" t="str">
        <f>TEXT(Table5[[#This Row],[bill_date]],"mmmm")</f>
        <v>December</v>
      </c>
      <c r="E68" s="9">
        <f>YEAR(Table5[[#This Row],[bill_date]])</f>
        <v>2023</v>
      </c>
      <c r="F68">
        <v>1333</v>
      </c>
      <c r="G68" t="s">
        <v>30</v>
      </c>
    </row>
    <row r="69" spans="1:7" x14ac:dyDescent="0.3">
      <c r="A69">
        <v>30068</v>
      </c>
      <c r="B69">
        <v>355</v>
      </c>
      <c r="C69" s="2">
        <v>45382</v>
      </c>
      <c r="D69" s="2" t="str">
        <f>TEXT(Table5[[#This Row],[bill_date]],"mmmm")</f>
        <v>March</v>
      </c>
      <c r="E69" s="9">
        <f>YEAR(Table5[[#This Row],[bill_date]])</f>
        <v>2024</v>
      </c>
      <c r="F69">
        <v>1817</v>
      </c>
      <c r="G69" t="s">
        <v>30</v>
      </c>
    </row>
    <row r="70" spans="1:7" x14ac:dyDescent="0.3">
      <c r="A70">
        <v>30069</v>
      </c>
      <c r="B70">
        <v>91</v>
      </c>
      <c r="C70" s="2">
        <v>44815</v>
      </c>
      <c r="D70" s="2" t="str">
        <f>TEXT(Table5[[#This Row],[bill_date]],"mmmm")</f>
        <v>September</v>
      </c>
      <c r="E70" s="9">
        <f>YEAR(Table5[[#This Row],[bill_date]])</f>
        <v>2022</v>
      </c>
      <c r="F70">
        <v>1326</v>
      </c>
      <c r="G70" t="s">
        <v>28</v>
      </c>
    </row>
    <row r="71" spans="1:7" x14ac:dyDescent="0.3">
      <c r="A71">
        <v>30070</v>
      </c>
      <c r="B71">
        <v>35</v>
      </c>
      <c r="C71" s="2">
        <v>45159</v>
      </c>
      <c r="D71" s="2" t="str">
        <f>TEXT(Table5[[#This Row],[bill_date]],"mmmm")</f>
        <v>August</v>
      </c>
      <c r="E71" s="9">
        <f>YEAR(Table5[[#This Row],[bill_date]])</f>
        <v>2023</v>
      </c>
      <c r="F71">
        <v>661</v>
      </c>
      <c r="G71" t="s">
        <v>29</v>
      </c>
    </row>
    <row r="72" spans="1:7" x14ac:dyDescent="0.3">
      <c r="A72">
        <v>30071</v>
      </c>
      <c r="B72">
        <v>58</v>
      </c>
      <c r="C72" s="2">
        <v>44741</v>
      </c>
      <c r="D72" s="2" t="str">
        <f>TEXT(Table5[[#This Row],[bill_date]],"mmmm")</f>
        <v>June</v>
      </c>
      <c r="E72" s="9">
        <f>YEAR(Table5[[#This Row],[bill_date]])</f>
        <v>2022</v>
      </c>
      <c r="F72">
        <v>1296</v>
      </c>
      <c r="G72" t="s">
        <v>28</v>
      </c>
    </row>
    <row r="73" spans="1:7" x14ac:dyDescent="0.3">
      <c r="A73">
        <v>30072</v>
      </c>
      <c r="B73">
        <v>189</v>
      </c>
      <c r="C73" s="2">
        <v>45310</v>
      </c>
      <c r="D73" s="2" t="str">
        <f>TEXT(Table5[[#This Row],[bill_date]],"mmmm")</f>
        <v>January</v>
      </c>
      <c r="E73" s="9">
        <f>YEAR(Table5[[#This Row],[bill_date]])</f>
        <v>2024</v>
      </c>
      <c r="F73">
        <v>1789</v>
      </c>
      <c r="G73" t="s">
        <v>30</v>
      </c>
    </row>
    <row r="74" spans="1:7" x14ac:dyDescent="0.3">
      <c r="A74">
        <v>30073</v>
      </c>
      <c r="B74">
        <v>253</v>
      </c>
      <c r="C74" s="2">
        <v>44914</v>
      </c>
      <c r="D74" s="2" t="str">
        <f>TEXT(Table5[[#This Row],[bill_date]],"mmmm")</f>
        <v>December</v>
      </c>
      <c r="E74" s="9">
        <f>YEAR(Table5[[#This Row],[bill_date]])</f>
        <v>2022</v>
      </c>
      <c r="F74">
        <v>515</v>
      </c>
      <c r="G74" t="s">
        <v>28</v>
      </c>
    </row>
    <row r="75" spans="1:7" x14ac:dyDescent="0.3">
      <c r="A75">
        <v>30074</v>
      </c>
      <c r="B75">
        <v>36</v>
      </c>
      <c r="C75" s="2">
        <v>45134</v>
      </c>
      <c r="D75" s="2" t="str">
        <f>TEXT(Table5[[#This Row],[bill_date]],"mmmm")</f>
        <v>July</v>
      </c>
      <c r="E75" s="9">
        <f>YEAR(Table5[[#This Row],[bill_date]])</f>
        <v>2023</v>
      </c>
      <c r="F75">
        <v>200</v>
      </c>
      <c r="G75" t="s">
        <v>30</v>
      </c>
    </row>
    <row r="76" spans="1:7" x14ac:dyDescent="0.3">
      <c r="A76">
        <v>30075</v>
      </c>
      <c r="B76">
        <v>358</v>
      </c>
      <c r="C76" s="2">
        <v>45288</v>
      </c>
      <c r="D76" s="2" t="str">
        <f>TEXT(Table5[[#This Row],[bill_date]],"mmmm")</f>
        <v>December</v>
      </c>
      <c r="E76" s="9">
        <f>YEAR(Table5[[#This Row],[bill_date]])</f>
        <v>2023</v>
      </c>
      <c r="F76">
        <v>1976</v>
      </c>
      <c r="G76" t="s">
        <v>30</v>
      </c>
    </row>
    <row r="77" spans="1:7" x14ac:dyDescent="0.3">
      <c r="A77">
        <v>30076</v>
      </c>
      <c r="B77">
        <v>92</v>
      </c>
      <c r="C77" s="2">
        <v>45454</v>
      </c>
      <c r="D77" s="2" t="str">
        <f>TEXT(Table5[[#This Row],[bill_date]],"mmmm")</f>
        <v>June</v>
      </c>
      <c r="E77" s="9">
        <f>YEAR(Table5[[#This Row],[bill_date]])</f>
        <v>2024</v>
      </c>
      <c r="F77">
        <v>570</v>
      </c>
      <c r="G77" t="s">
        <v>30</v>
      </c>
    </row>
    <row r="78" spans="1:7" x14ac:dyDescent="0.3">
      <c r="A78">
        <v>30077</v>
      </c>
      <c r="B78">
        <v>56</v>
      </c>
      <c r="C78" s="2">
        <v>44776</v>
      </c>
      <c r="D78" s="2" t="str">
        <f>TEXT(Table5[[#This Row],[bill_date]],"mmmm")</f>
        <v>August</v>
      </c>
      <c r="E78" s="9">
        <f>YEAR(Table5[[#This Row],[bill_date]])</f>
        <v>2022</v>
      </c>
      <c r="F78">
        <v>1992</v>
      </c>
      <c r="G78" t="s">
        <v>30</v>
      </c>
    </row>
    <row r="79" spans="1:7" x14ac:dyDescent="0.3">
      <c r="A79">
        <v>30078</v>
      </c>
      <c r="B79">
        <v>67</v>
      </c>
      <c r="C79" s="2">
        <v>44919</v>
      </c>
      <c r="D79" s="2" t="str">
        <f>TEXT(Table5[[#This Row],[bill_date]],"mmmm")</f>
        <v>December</v>
      </c>
      <c r="E79" s="9">
        <f>YEAR(Table5[[#This Row],[bill_date]])</f>
        <v>2022</v>
      </c>
      <c r="F79">
        <v>1691</v>
      </c>
      <c r="G79" t="s">
        <v>30</v>
      </c>
    </row>
    <row r="80" spans="1:7" x14ac:dyDescent="0.3">
      <c r="A80">
        <v>30079</v>
      </c>
      <c r="B80">
        <v>313</v>
      </c>
      <c r="C80" s="2">
        <v>45445</v>
      </c>
      <c r="D80" s="2" t="str">
        <f>TEXT(Table5[[#This Row],[bill_date]],"mmmm")</f>
        <v>June</v>
      </c>
      <c r="E80" s="9">
        <f>YEAR(Table5[[#This Row],[bill_date]])</f>
        <v>2024</v>
      </c>
      <c r="F80">
        <v>1232</v>
      </c>
      <c r="G80" t="s">
        <v>30</v>
      </c>
    </row>
    <row r="81" spans="1:7" x14ac:dyDescent="0.3">
      <c r="A81">
        <v>30080</v>
      </c>
      <c r="B81">
        <v>169</v>
      </c>
      <c r="C81" s="2">
        <v>45163</v>
      </c>
      <c r="D81" s="2" t="str">
        <f>TEXT(Table5[[#This Row],[bill_date]],"mmmm")</f>
        <v>August</v>
      </c>
      <c r="E81" s="9">
        <f>YEAR(Table5[[#This Row],[bill_date]])</f>
        <v>2023</v>
      </c>
      <c r="F81">
        <v>786</v>
      </c>
      <c r="G81" t="s">
        <v>30</v>
      </c>
    </row>
    <row r="82" spans="1:7" x14ac:dyDescent="0.3">
      <c r="A82">
        <v>30081</v>
      </c>
      <c r="B82">
        <v>287</v>
      </c>
      <c r="C82" s="2">
        <v>45169</v>
      </c>
      <c r="D82" s="2" t="str">
        <f>TEXT(Table5[[#This Row],[bill_date]],"mmmm")</f>
        <v>August</v>
      </c>
      <c r="E82" s="9">
        <f>YEAR(Table5[[#This Row],[bill_date]])</f>
        <v>2023</v>
      </c>
      <c r="F82">
        <v>621</v>
      </c>
      <c r="G82" t="s">
        <v>30</v>
      </c>
    </row>
    <row r="83" spans="1:7" x14ac:dyDescent="0.3">
      <c r="A83">
        <v>30082</v>
      </c>
      <c r="B83">
        <v>131</v>
      </c>
      <c r="C83" s="2">
        <v>45134</v>
      </c>
      <c r="D83" s="2" t="str">
        <f>TEXT(Table5[[#This Row],[bill_date]],"mmmm")</f>
        <v>July</v>
      </c>
      <c r="E83" s="9">
        <f>YEAR(Table5[[#This Row],[bill_date]])</f>
        <v>2023</v>
      </c>
      <c r="F83">
        <v>1480</v>
      </c>
      <c r="G83" t="s">
        <v>30</v>
      </c>
    </row>
    <row r="84" spans="1:7" x14ac:dyDescent="0.3">
      <c r="A84">
        <v>30083</v>
      </c>
      <c r="B84">
        <v>166</v>
      </c>
      <c r="C84" s="2">
        <v>45129</v>
      </c>
      <c r="D84" s="2" t="str">
        <f>TEXT(Table5[[#This Row],[bill_date]],"mmmm")</f>
        <v>July</v>
      </c>
      <c r="E84" s="9">
        <f>YEAR(Table5[[#This Row],[bill_date]])</f>
        <v>2023</v>
      </c>
      <c r="F84">
        <v>1855</v>
      </c>
      <c r="G84" t="s">
        <v>30</v>
      </c>
    </row>
    <row r="85" spans="1:7" x14ac:dyDescent="0.3">
      <c r="A85">
        <v>30084</v>
      </c>
      <c r="B85">
        <v>437</v>
      </c>
      <c r="C85" s="2">
        <v>44781</v>
      </c>
      <c r="D85" s="2" t="str">
        <f>TEXT(Table5[[#This Row],[bill_date]],"mmmm")</f>
        <v>August</v>
      </c>
      <c r="E85" s="9">
        <f>YEAR(Table5[[#This Row],[bill_date]])</f>
        <v>2022</v>
      </c>
      <c r="F85">
        <v>1031</v>
      </c>
      <c r="G85" t="s">
        <v>30</v>
      </c>
    </row>
    <row r="86" spans="1:7" x14ac:dyDescent="0.3">
      <c r="A86">
        <v>30085</v>
      </c>
      <c r="B86">
        <v>52</v>
      </c>
      <c r="C86" s="2">
        <v>45167</v>
      </c>
      <c r="D86" s="2" t="str">
        <f>TEXT(Table5[[#This Row],[bill_date]],"mmmm")</f>
        <v>August</v>
      </c>
      <c r="E86" s="9">
        <f>YEAR(Table5[[#This Row],[bill_date]])</f>
        <v>2023</v>
      </c>
      <c r="F86">
        <v>1160</v>
      </c>
      <c r="G86" t="s">
        <v>30</v>
      </c>
    </row>
    <row r="87" spans="1:7" x14ac:dyDescent="0.3">
      <c r="A87">
        <v>30086</v>
      </c>
      <c r="B87">
        <v>152</v>
      </c>
      <c r="C87" s="2">
        <v>45113</v>
      </c>
      <c r="D87" s="2" t="str">
        <f>TEXT(Table5[[#This Row],[bill_date]],"mmmm")</f>
        <v>July</v>
      </c>
      <c r="E87" s="9">
        <f>YEAR(Table5[[#This Row],[bill_date]])</f>
        <v>2023</v>
      </c>
      <c r="F87">
        <v>925</v>
      </c>
      <c r="G87" t="s">
        <v>30</v>
      </c>
    </row>
    <row r="88" spans="1:7" x14ac:dyDescent="0.3">
      <c r="A88">
        <v>30087</v>
      </c>
      <c r="B88">
        <v>410</v>
      </c>
      <c r="C88" s="2">
        <v>44898</v>
      </c>
      <c r="D88" s="2" t="str">
        <f>TEXT(Table5[[#This Row],[bill_date]],"mmmm")</f>
        <v>December</v>
      </c>
      <c r="E88" s="9">
        <f>YEAR(Table5[[#This Row],[bill_date]])</f>
        <v>2022</v>
      </c>
      <c r="F88">
        <v>674</v>
      </c>
      <c r="G88" t="s">
        <v>30</v>
      </c>
    </row>
    <row r="89" spans="1:7" x14ac:dyDescent="0.3">
      <c r="A89">
        <v>30088</v>
      </c>
      <c r="B89">
        <v>105</v>
      </c>
      <c r="C89" s="2">
        <v>44880</v>
      </c>
      <c r="D89" s="2" t="str">
        <f>TEXT(Table5[[#This Row],[bill_date]],"mmmm")</f>
        <v>November</v>
      </c>
      <c r="E89" s="9">
        <f>YEAR(Table5[[#This Row],[bill_date]])</f>
        <v>2022</v>
      </c>
      <c r="F89">
        <v>443</v>
      </c>
      <c r="G89" t="s">
        <v>30</v>
      </c>
    </row>
    <row r="90" spans="1:7" x14ac:dyDescent="0.3">
      <c r="A90">
        <v>30089</v>
      </c>
      <c r="B90">
        <v>367</v>
      </c>
      <c r="C90" s="2">
        <v>45321</v>
      </c>
      <c r="D90" s="2" t="str">
        <f>TEXT(Table5[[#This Row],[bill_date]],"mmmm")</f>
        <v>January</v>
      </c>
      <c r="E90" s="9">
        <f>YEAR(Table5[[#This Row],[bill_date]])</f>
        <v>2024</v>
      </c>
      <c r="F90">
        <v>1559</v>
      </c>
      <c r="G90" t="s">
        <v>30</v>
      </c>
    </row>
    <row r="91" spans="1:7" x14ac:dyDescent="0.3">
      <c r="A91">
        <v>30090</v>
      </c>
      <c r="B91">
        <v>92</v>
      </c>
      <c r="C91" s="2">
        <v>45027</v>
      </c>
      <c r="D91" s="2" t="str">
        <f>TEXT(Table5[[#This Row],[bill_date]],"mmmm")</f>
        <v>April</v>
      </c>
      <c r="E91" s="9">
        <f>YEAR(Table5[[#This Row],[bill_date]])</f>
        <v>2023</v>
      </c>
      <c r="F91">
        <v>890</v>
      </c>
      <c r="G91" t="s">
        <v>30</v>
      </c>
    </row>
    <row r="92" spans="1:7" x14ac:dyDescent="0.3">
      <c r="A92">
        <v>30091</v>
      </c>
      <c r="B92">
        <v>201</v>
      </c>
      <c r="C92" s="2">
        <v>45290</v>
      </c>
      <c r="D92" s="2" t="str">
        <f>TEXT(Table5[[#This Row],[bill_date]],"mmmm")</f>
        <v>December</v>
      </c>
      <c r="E92" s="9">
        <f>YEAR(Table5[[#This Row],[bill_date]])</f>
        <v>2023</v>
      </c>
      <c r="F92">
        <v>686</v>
      </c>
      <c r="G92" t="s">
        <v>28</v>
      </c>
    </row>
    <row r="93" spans="1:7" x14ac:dyDescent="0.3">
      <c r="A93">
        <v>30092</v>
      </c>
      <c r="B93">
        <v>293</v>
      </c>
      <c r="C93" s="2">
        <v>45461</v>
      </c>
      <c r="D93" s="2" t="str">
        <f>TEXT(Table5[[#This Row],[bill_date]],"mmmm")</f>
        <v>June</v>
      </c>
      <c r="E93" s="9">
        <f>YEAR(Table5[[#This Row],[bill_date]])</f>
        <v>2024</v>
      </c>
      <c r="F93">
        <v>1051</v>
      </c>
      <c r="G93" t="s">
        <v>30</v>
      </c>
    </row>
    <row r="94" spans="1:7" x14ac:dyDescent="0.3">
      <c r="A94">
        <v>30093</v>
      </c>
      <c r="B94">
        <v>373</v>
      </c>
      <c r="C94" s="2">
        <v>44715</v>
      </c>
      <c r="D94" s="2" t="str">
        <f>TEXT(Table5[[#This Row],[bill_date]],"mmmm")</f>
        <v>June</v>
      </c>
      <c r="E94" s="9">
        <f>YEAR(Table5[[#This Row],[bill_date]])</f>
        <v>2022</v>
      </c>
      <c r="F94">
        <v>1295</v>
      </c>
      <c r="G94" t="s">
        <v>30</v>
      </c>
    </row>
    <row r="95" spans="1:7" x14ac:dyDescent="0.3">
      <c r="A95">
        <v>30094</v>
      </c>
      <c r="B95">
        <v>219</v>
      </c>
      <c r="C95" s="2">
        <v>44912</v>
      </c>
      <c r="D95" s="2" t="str">
        <f>TEXT(Table5[[#This Row],[bill_date]],"mmmm")</f>
        <v>December</v>
      </c>
      <c r="E95" s="9">
        <f>YEAR(Table5[[#This Row],[bill_date]])</f>
        <v>2022</v>
      </c>
      <c r="F95">
        <v>1943</v>
      </c>
      <c r="G95" t="s">
        <v>30</v>
      </c>
    </row>
    <row r="96" spans="1:7" x14ac:dyDescent="0.3">
      <c r="A96">
        <v>30095</v>
      </c>
      <c r="B96">
        <v>432</v>
      </c>
      <c r="C96" s="2">
        <v>44623</v>
      </c>
      <c r="D96" s="2" t="str">
        <f>TEXT(Table5[[#This Row],[bill_date]],"mmmm")</f>
        <v>March</v>
      </c>
      <c r="E96" s="9">
        <f>YEAR(Table5[[#This Row],[bill_date]])</f>
        <v>2022</v>
      </c>
      <c r="F96">
        <v>951</v>
      </c>
      <c r="G96" t="s">
        <v>28</v>
      </c>
    </row>
    <row r="97" spans="1:7" x14ac:dyDescent="0.3">
      <c r="A97">
        <v>30096</v>
      </c>
      <c r="B97">
        <v>67</v>
      </c>
      <c r="C97" s="2">
        <v>45021</v>
      </c>
      <c r="D97" s="2" t="str">
        <f>TEXT(Table5[[#This Row],[bill_date]],"mmmm")</f>
        <v>April</v>
      </c>
      <c r="E97" s="9">
        <f>YEAR(Table5[[#This Row],[bill_date]])</f>
        <v>2023</v>
      </c>
      <c r="F97">
        <v>1907</v>
      </c>
      <c r="G97" t="s">
        <v>30</v>
      </c>
    </row>
    <row r="98" spans="1:7" x14ac:dyDescent="0.3">
      <c r="A98">
        <v>30097</v>
      </c>
      <c r="B98">
        <v>169</v>
      </c>
      <c r="C98" s="2">
        <v>44801</v>
      </c>
      <c r="D98" s="2" t="str">
        <f>TEXT(Table5[[#This Row],[bill_date]],"mmmm")</f>
        <v>August</v>
      </c>
      <c r="E98" s="9">
        <f>YEAR(Table5[[#This Row],[bill_date]])</f>
        <v>2022</v>
      </c>
      <c r="F98">
        <v>1126</v>
      </c>
      <c r="G98" t="s">
        <v>30</v>
      </c>
    </row>
    <row r="99" spans="1:7" x14ac:dyDescent="0.3">
      <c r="A99">
        <v>30098</v>
      </c>
      <c r="B99">
        <v>305</v>
      </c>
      <c r="C99" s="2">
        <v>44751</v>
      </c>
      <c r="D99" s="2" t="str">
        <f>TEXT(Table5[[#This Row],[bill_date]],"mmmm")</f>
        <v>July</v>
      </c>
      <c r="E99" s="9">
        <f>YEAR(Table5[[#This Row],[bill_date]])</f>
        <v>2022</v>
      </c>
      <c r="F99">
        <v>1227</v>
      </c>
      <c r="G99" t="s">
        <v>30</v>
      </c>
    </row>
    <row r="100" spans="1:7" x14ac:dyDescent="0.3">
      <c r="A100">
        <v>30099</v>
      </c>
      <c r="B100">
        <v>28</v>
      </c>
      <c r="C100" s="2">
        <v>44707</v>
      </c>
      <c r="D100" s="2" t="str">
        <f>TEXT(Table5[[#This Row],[bill_date]],"mmmm")</f>
        <v>May</v>
      </c>
      <c r="E100" s="9">
        <f>YEAR(Table5[[#This Row],[bill_date]])</f>
        <v>2022</v>
      </c>
      <c r="F100">
        <v>1684</v>
      </c>
      <c r="G100" t="s">
        <v>30</v>
      </c>
    </row>
    <row r="101" spans="1:7" x14ac:dyDescent="0.3">
      <c r="A101">
        <v>30100</v>
      </c>
      <c r="B101">
        <v>288</v>
      </c>
      <c r="C101" s="2">
        <v>45083</v>
      </c>
      <c r="D101" s="2" t="str">
        <f>TEXT(Table5[[#This Row],[bill_date]],"mmmm")</f>
        <v>June</v>
      </c>
      <c r="E101" s="9">
        <f>YEAR(Table5[[#This Row],[bill_date]])</f>
        <v>2023</v>
      </c>
      <c r="F101">
        <v>1588</v>
      </c>
      <c r="G101" t="s">
        <v>30</v>
      </c>
    </row>
    <row r="102" spans="1:7" x14ac:dyDescent="0.3">
      <c r="A102">
        <v>30101</v>
      </c>
      <c r="B102">
        <v>355</v>
      </c>
      <c r="C102" s="2">
        <v>44853</v>
      </c>
      <c r="D102" s="2" t="str">
        <f>TEXT(Table5[[#This Row],[bill_date]],"mmmm")</f>
        <v>October</v>
      </c>
      <c r="E102" s="9">
        <f>YEAR(Table5[[#This Row],[bill_date]])</f>
        <v>2022</v>
      </c>
      <c r="F102">
        <v>1717</v>
      </c>
      <c r="G102" t="s">
        <v>30</v>
      </c>
    </row>
    <row r="103" spans="1:7" x14ac:dyDescent="0.3">
      <c r="A103">
        <v>30102</v>
      </c>
      <c r="B103">
        <v>455</v>
      </c>
      <c r="C103" s="2">
        <v>45203</v>
      </c>
      <c r="D103" s="2" t="str">
        <f>TEXT(Table5[[#This Row],[bill_date]],"mmmm")</f>
        <v>October</v>
      </c>
      <c r="E103" s="9">
        <f>YEAR(Table5[[#This Row],[bill_date]])</f>
        <v>2023</v>
      </c>
      <c r="F103">
        <v>415</v>
      </c>
      <c r="G103" t="s">
        <v>30</v>
      </c>
    </row>
    <row r="104" spans="1:7" x14ac:dyDescent="0.3">
      <c r="A104">
        <v>30103</v>
      </c>
      <c r="B104">
        <v>327</v>
      </c>
      <c r="C104" s="2">
        <v>44621</v>
      </c>
      <c r="D104" s="2" t="str">
        <f>TEXT(Table5[[#This Row],[bill_date]],"mmmm")</f>
        <v>March</v>
      </c>
      <c r="E104" s="9">
        <f>YEAR(Table5[[#This Row],[bill_date]])</f>
        <v>2022</v>
      </c>
      <c r="F104">
        <v>1436</v>
      </c>
      <c r="G104" t="s">
        <v>30</v>
      </c>
    </row>
    <row r="105" spans="1:7" x14ac:dyDescent="0.3">
      <c r="A105">
        <v>30104</v>
      </c>
      <c r="B105">
        <v>469</v>
      </c>
      <c r="C105" s="2">
        <v>45034</v>
      </c>
      <c r="D105" s="2" t="str">
        <f>TEXT(Table5[[#This Row],[bill_date]],"mmmm")</f>
        <v>April</v>
      </c>
      <c r="E105" s="9">
        <f>YEAR(Table5[[#This Row],[bill_date]])</f>
        <v>2023</v>
      </c>
      <c r="F105">
        <v>1157</v>
      </c>
      <c r="G105" t="s">
        <v>30</v>
      </c>
    </row>
    <row r="106" spans="1:7" x14ac:dyDescent="0.3">
      <c r="A106">
        <v>30105</v>
      </c>
      <c r="B106">
        <v>32</v>
      </c>
      <c r="C106" s="2">
        <v>45248</v>
      </c>
      <c r="D106" s="2" t="str">
        <f>TEXT(Table5[[#This Row],[bill_date]],"mmmm")</f>
        <v>November</v>
      </c>
      <c r="E106" s="9">
        <f>YEAR(Table5[[#This Row],[bill_date]])</f>
        <v>2023</v>
      </c>
      <c r="F106">
        <v>1547</v>
      </c>
      <c r="G106" t="s">
        <v>30</v>
      </c>
    </row>
    <row r="107" spans="1:7" x14ac:dyDescent="0.3">
      <c r="A107">
        <v>30106</v>
      </c>
      <c r="B107">
        <v>166</v>
      </c>
      <c r="C107" s="2">
        <v>44634</v>
      </c>
      <c r="D107" s="2" t="str">
        <f>TEXT(Table5[[#This Row],[bill_date]],"mmmm")</f>
        <v>March</v>
      </c>
      <c r="E107" s="9">
        <f>YEAR(Table5[[#This Row],[bill_date]])</f>
        <v>2022</v>
      </c>
      <c r="F107">
        <v>508</v>
      </c>
      <c r="G107" t="s">
        <v>30</v>
      </c>
    </row>
    <row r="108" spans="1:7" x14ac:dyDescent="0.3">
      <c r="A108">
        <v>30107</v>
      </c>
      <c r="B108">
        <v>404</v>
      </c>
      <c r="C108" s="2">
        <v>44800</v>
      </c>
      <c r="D108" s="2" t="str">
        <f>TEXT(Table5[[#This Row],[bill_date]],"mmmm")</f>
        <v>August</v>
      </c>
      <c r="E108" s="9">
        <f>YEAR(Table5[[#This Row],[bill_date]])</f>
        <v>2022</v>
      </c>
      <c r="F108">
        <v>236</v>
      </c>
      <c r="G108" t="s">
        <v>30</v>
      </c>
    </row>
    <row r="109" spans="1:7" x14ac:dyDescent="0.3">
      <c r="A109">
        <v>30108</v>
      </c>
      <c r="B109">
        <v>136</v>
      </c>
      <c r="C109" s="2">
        <v>44977</v>
      </c>
      <c r="D109" s="2" t="str">
        <f>TEXT(Table5[[#This Row],[bill_date]],"mmmm")</f>
        <v>February</v>
      </c>
      <c r="E109" s="9">
        <f>YEAR(Table5[[#This Row],[bill_date]])</f>
        <v>2023</v>
      </c>
      <c r="F109">
        <v>1103</v>
      </c>
      <c r="G109" t="s">
        <v>30</v>
      </c>
    </row>
    <row r="110" spans="1:7" x14ac:dyDescent="0.3">
      <c r="A110">
        <v>30109</v>
      </c>
      <c r="B110">
        <v>68</v>
      </c>
      <c r="C110" s="2">
        <v>44740</v>
      </c>
      <c r="D110" s="2" t="str">
        <f>TEXT(Table5[[#This Row],[bill_date]],"mmmm")</f>
        <v>June</v>
      </c>
      <c r="E110" s="9">
        <f>YEAR(Table5[[#This Row],[bill_date]])</f>
        <v>2022</v>
      </c>
      <c r="F110">
        <v>1283</v>
      </c>
      <c r="G110" t="s">
        <v>30</v>
      </c>
    </row>
    <row r="111" spans="1:7" x14ac:dyDescent="0.3">
      <c r="A111">
        <v>30110</v>
      </c>
      <c r="B111">
        <v>154</v>
      </c>
      <c r="C111" s="2">
        <v>44628</v>
      </c>
      <c r="D111" s="2" t="str">
        <f>TEXT(Table5[[#This Row],[bill_date]],"mmmm")</f>
        <v>March</v>
      </c>
      <c r="E111" s="9">
        <f>YEAR(Table5[[#This Row],[bill_date]])</f>
        <v>2022</v>
      </c>
      <c r="F111">
        <v>1317</v>
      </c>
      <c r="G111" t="s">
        <v>30</v>
      </c>
    </row>
    <row r="112" spans="1:7" x14ac:dyDescent="0.3">
      <c r="A112">
        <v>30111</v>
      </c>
      <c r="B112">
        <v>463</v>
      </c>
      <c r="C112" s="2">
        <v>45154</v>
      </c>
      <c r="D112" s="2" t="str">
        <f>TEXT(Table5[[#This Row],[bill_date]],"mmmm")</f>
        <v>August</v>
      </c>
      <c r="E112" s="9">
        <f>YEAR(Table5[[#This Row],[bill_date]])</f>
        <v>2023</v>
      </c>
      <c r="F112">
        <v>431</v>
      </c>
      <c r="G112" t="s">
        <v>30</v>
      </c>
    </row>
    <row r="113" spans="1:7" x14ac:dyDescent="0.3">
      <c r="A113">
        <v>30112</v>
      </c>
      <c r="B113">
        <v>326</v>
      </c>
      <c r="C113" s="2">
        <v>44638</v>
      </c>
      <c r="D113" s="2" t="str">
        <f>TEXT(Table5[[#This Row],[bill_date]],"mmmm")</f>
        <v>March</v>
      </c>
      <c r="E113" s="9">
        <f>YEAR(Table5[[#This Row],[bill_date]])</f>
        <v>2022</v>
      </c>
      <c r="F113">
        <v>1770</v>
      </c>
      <c r="G113" t="s">
        <v>30</v>
      </c>
    </row>
    <row r="114" spans="1:7" x14ac:dyDescent="0.3">
      <c r="A114">
        <v>30113</v>
      </c>
      <c r="B114">
        <v>304</v>
      </c>
      <c r="C114" s="2">
        <v>44809</v>
      </c>
      <c r="D114" s="2" t="str">
        <f>TEXT(Table5[[#This Row],[bill_date]],"mmmm")</f>
        <v>September</v>
      </c>
      <c r="E114" s="9">
        <f>YEAR(Table5[[#This Row],[bill_date]])</f>
        <v>2022</v>
      </c>
      <c r="F114">
        <v>711</v>
      </c>
      <c r="G114" t="s">
        <v>30</v>
      </c>
    </row>
    <row r="115" spans="1:7" x14ac:dyDescent="0.3">
      <c r="A115">
        <v>30114</v>
      </c>
      <c r="B115">
        <v>96</v>
      </c>
      <c r="C115" s="2">
        <v>45268</v>
      </c>
      <c r="D115" s="2" t="str">
        <f>TEXT(Table5[[#This Row],[bill_date]],"mmmm")</f>
        <v>December</v>
      </c>
      <c r="E115" s="9">
        <f>YEAR(Table5[[#This Row],[bill_date]])</f>
        <v>2023</v>
      </c>
      <c r="F115">
        <v>348</v>
      </c>
      <c r="G115" t="s">
        <v>30</v>
      </c>
    </row>
    <row r="116" spans="1:7" x14ac:dyDescent="0.3">
      <c r="A116">
        <v>30115</v>
      </c>
      <c r="B116">
        <v>197</v>
      </c>
      <c r="C116" s="2">
        <v>44629</v>
      </c>
      <c r="D116" s="2" t="str">
        <f>TEXT(Table5[[#This Row],[bill_date]],"mmmm")</f>
        <v>March</v>
      </c>
      <c r="E116" s="9">
        <f>YEAR(Table5[[#This Row],[bill_date]])</f>
        <v>2022</v>
      </c>
      <c r="F116">
        <v>1693</v>
      </c>
      <c r="G116" t="s">
        <v>28</v>
      </c>
    </row>
    <row r="117" spans="1:7" x14ac:dyDescent="0.3">
      <c r="A117">
        <v>30116</v>
      </c>
      <c r="B117">
        <v>108</v>
      </c>
      <c r="C117" s="2">
        <v>45411</v>
      </c>
      <c r="D117" s="2" t="str">
        <f>TEXT(Table5[[#This Row],[bill_date]],"mmmm")</f>
        <v>April</v>
      </c>
      <c r="E117" s="9">
        <f>YEAR(Table5[[#This Row],[bill_date]])</f>
        <v>2024</v>
      </c>
      <c r="F117">
        <v>413</v>
      </c>
      <c r="G117" t="s">
        <v>30</v>
      </c>
    </row>
    <row r="118" spans="1:7" x14ac:dyDescent="0.3">
      <c r="A118">
        <v>30117</v>
      </c>
      <c r="B118">
        <v>46</v>
      </c>
      <c r="C118" s="2">
        <v>45129</v>
      </c>
      <c r="D118" s="2" t="str">
        <f>TEXT(Table5[[#This Row],[bill_date]],"mmmm")</f>
        <v>July</v>
      </c>
      <c r="E118" s="9">
        <f>YEAR(Table5[[#This Row],[bill_date]])</f>
        <v>2023</v>
      </c>
      <c r="F118">
        <v>597</v>
      </c>
      <c r="G118" t="s">
        <v>30</v>
      </c>
    </row>
    <row r="119" spans="1:7" x14ac:dyDescent="0.3">
      <c r="A119">
        <v>30118</v>
      </c>
      <c r="B119">
        <v>186</v>
      </c>
      <c r="C119" s="2">
        <v>44660</v>
      </c>
      <c r="D119" s="2" t="str">
        <f>TEXT(Table5[[#This Row],[bill_date]],"mmmm")</f>
        <v>April</v>
      </c>
      <c r="E119" s="9">
        <f>YEAR(Table5[[#This Row],[bill_date]])</f>
        <v>2022</v>
      </c>
      <c r="F119">
        <v>1780</v>
      </c>
      <c r="G119" t="s">
        <v>30</v>
      </c>
    </row>
    <row r="120" spans="1:7" x14ac:dyDescent="0.3">
      <c r="A120">
        <v>30119</v>
      </c>
      <c r="B120">
        <v>454</v>
      </c>
      <c r="C120" s="2">
        <v>45343</v>
      </c>
      <c r="D120" s="2" t="str">
        <f>TEXT(Table5[[#This Row],[bill_date]],"mmmm")</f>
        <v>February</v>
      </c>
      <c r="E120" s="9">
        <f>YEAR(Table5[[#This Row],[bill_date]])</f>
        <v>2024</v>
      </c>
      <c r="F120">
        <v>1799</v>
      </c>
      <c r="G120" t="s">
        <v>30</v>
      </c>
    </row>
    <row r="121" spans="1:7" x14ac:dyDescent="0.3">
      <c r="A121">
        <v>30120</v>
      </c>
      <c r="B121">
        <v>323</v>
      </c>
      <c r="C121" s="2">
        <v>45149</v>
      </c>
      <c r="D121" s="2" t="str">
        <f>TEXT(Table5[[#This Row],[bill_date]],"mmmm")</f>
        <v>August</v>
      </c>
      <c r="E121" s="9">
        <f>YEAR(Table5[[#This Row],[bill_date]])</f>
        <v>2023</v>
      </c>
      <c r="F121">
        <v>1228</v>
      </c>
      <c r="G121" t="s">
        <v>30</v>
      </c>
    </row>
    <row r="122" spans="1:7" x14ac:dyDescent="0.3">
      <c r="A122">
        <v>30121</v>
      </c>
      <c r="B122">
        <v>285</v>
      </c>
      <c r="C122" s="2">
        <v>45404</v>
      </c>
      <c r="D122" s="2" t="str">
        <f>TEXT(Table5[[#This Row],[bill_date]],"mmmm")</f>
        <v>April</v>
      </c>
      <c r="E122" s="9">
        <f>YEAR(Table5[[#This Row],[bill_date]])</f>
        <v>2024</v>
      </c>
      <c r="F122">
        <v>1303</v>
      </c>
      <c r="G122" t="s">
        <v>29</v>
      </c>
    </row>
    <row r="123" spans="1:7" x14ac:dyDescent="0.3">
      <c r="A123">
        <v>30122</v>
      </c>
      <c r="B123">
        <v>83</v>
      </c>
      <c r="C123" s="2">
        <v>45139</v>
      </c>
      <c r="D123" s="2" t="str">
        <f>TEXT(Table5[[#This Row],[bill_date]],"mmmm")</f>
        <v>August</v>
      </c>
      <c r="E123" s="9">
        <f>YEAR(Table5[[#This Row],[bill_date]])</f>
        <v>2023</v>
      </c>
      <c r="F123">
        <v>387</v>
      </c>
      <c r="G123" t="s">
        <v>30</v>
      </c>
    </row>
    <row r="124" spans="1:7" x14ac:dyDescent="0.3">
      <c r="A124">
        <v>30123</v>
      </c>
      <c r="B124">
        <v>138</v>
      </c>
      <c r="C124" s="2">
        <v>45106</v>
      </c>
      <c r="D124" s="2" t="str">
        <f>TEXT(Table5[[#This Row],[bill_date]],"mmmm")</f>
        <v>June</v>
      </c>
      <c r="E124" s="9">
        <f>YEAR(Table5[[#This Row],[bill_date]])</f>
        <v>2023</v>
      </c>
      <c r="F124">
        <v>1885</v>
      </c>
      <c r="G124" t="s">
        <v>30</v>
      </c>
    </row>
    <row r="125" spans="1:7" x14ac:dyDescent="0.3">
      <c r="A125">
        <v>30124</v>
      </c>
      <c r="B125">
        <v>327</v>
      </c>
      <c r="C125" s="2">
        <v>45342</v>
      </c>
      <c r="D125" s="2" t="str">
        <f>TEXT(Table5[[#This Row],[bill_date]],"mmmm")</f>
        <v>February</v>
      </c>
      <c r="E125" s="9">
        <f>YEAR(Table5[[#This Row],[bill_date]])</f>
        <v>2024</v>
      </c>
      <c r="F125">
        <v>858</v>
      </c>
      <c r="G125" t="s">
        <v>30</v>
      </c>
    </row>
    <row r="126" spans="1:7" x14ac:dyDescent="0.3">
      <c r="A126">
        <v>30125</v>
      </c>
      <c r="B126">
        <v>237</v>
      </c>
      <c r="C126" s="2">
        <v>45103</v>
      </c>
      <c r="D126" s="2" t="str">
        <f>TEXT(Table5[[#This Row],[bill_date]],"mmmm")</f>
        <v>June</v>
      </c>
      <c r="E126" s="9">
        <f>YEAR(Table5[[#This Row],[bill_date]])</f>
        <v>2023</v>
      </c>
      <c r="F126">
        <v>226</v>
      </c>
      <c r="G126" t="s">
        <v>30</v>
      </c>
    </row>
    <row r="127" spans="1:7" x14ac:dyDescent="0.3">
      <c r="A127">
        <v>30126</v>
      </c>
      <c r="B127">
        <v>449</v>
      </c>
      <c r="C127" s="2">
        <v>45099</v>
      </c>
      <c r="D127" s="2" t="str">
        <f>TEXT(Table5[[#This Row],[bill_date]],"mmmm")</f>
        <v>June</v>
      </c>
      <c r="E127" s="9">
        <f>YEAR(Table5[[#This Row],[bill_date]])</f>
        <v>2023</v>
      </c>
      <c r="F127">
        <v>875</v>
      </c>
      <c r="G127" t="s">
        <v>30</v>
      </c>
    </row>
    <row r="128" spans="1:7" x14ac:dyDescent="0.3">
      <c r="A128">
        <v>30127</v>
      </c>
      <c r="B128">
        <v>321</v>
      </c>
      <c r="C128" s="2">
        <v>45443</v>
      </c>
      <c r="D128" s="2" t="str">
        <f>TEXT(Table5[[#This Row],[bill_date]],"mmmm")</f>
        <v>May</v>
      </c>
      <c r="E128" s="9">
        <f>YEAR(Table5[[#This Row],[bill_date]])</f>
        <v>2024</v>
      </c>
      <c r="F128">
        <v>333</v>
      </c>
      <c r="G128" t="s">
        <v>30</v>
      </c>
    </row>
    <row r="129" spans="1:7" x14ac:dyDescent="0.3">
      <c r="A129">
        <v>30128</v>
      </c>
      <c r="B129">
        <v>145</v>
      </c>
      <c r="C129" s="2">
        <v>45283</v>
      </c>
      <c r="D129" s="2" t="str">
        <f>TEXT(Table5[[#This Row],[bill_date]],"mmmm")</f>
        <v>December</v>
      </c>
      <c r="E129" s="9">
        <f>YEAR(Table5[[#This Row],[bill_date]])</f>
        <v>2023</v>
      </c>
      <c r="F129">
        <v>1988</v>
      </c>
      <c r="G129" t="s">
        <v>30</v>
      </c>
    </row>
    <row r="130" spans="1:7" x14ac:dyDescent="0.3">
      <c r="A130">
        <v>30129</v>
      </c>
      <c r="B130">
        <v>278</v>
      </c>
      <c r="C130" s="2">
        <v>45342</v>
      </c>
      <c r="D130" s="2" t="str">
        <f>TEXT(Table5[[#This Row],[bill_date]],"mmmm")</f>
        <v>February</v>
      </c>
      <c r="E130" s="9">
        <f>YEAR(Table5[[#This Row],[bill_date]])</f>
        <v>2024</v>
      </c>
      <c r="F130">
        <v>503</v>
      </c>
      <c r="G130" t="s">
        <v>28</v>
      </c>
    </row>
    <row r="131" spans="1:7" x14ac:dyDescent="0.3">
      <c r="A131">
        <v>30130</v>
      </c>
      <c r="B131">
        <v>100</v>
      </c>
      <c r="C131" s="2">
        <v>44885</v>
      </c>
      <c r="D131" s="2" t="str">
        <f>TEXT(Table5[[#This Row],[bill_date]],"mmmm")</f>
        <v>November</v>
      </c>
      <c r="E131" s="9">
        <f>YEAR(Table5[[#This Row],[bill_date]])</f>
        <v>2022</v>
      </c>
      <c r="F131">
        <v>693</v>
      </c>
      <c r="G131" t="s">
        <v>30</v>
      </c>
    </row>
    <row r="132" spans="1:7" x14ac:dyDescent="0.3">
      <c r="A132">
        <v>30131</v>
      </c>
      <c r="B132">
        <v>14</v>
      </c>
      <c r="C132" s="2">
        <v>44684</v>
      </c>
      <c r="D132" s="2" t="str">
        <f>TEXT(Table5[[#This Row],[bill_date]],"mmmm")</f>
        <v>May</v>
      </c>
      <c r="E132" s="9">
        <f>YEAR(Table5[[#This Row],[bill_date]])</f>
        <v>2022</v>
      </c>
      <c r="F132">
        <v>922</v>
      </c>
      <c r="G132" t="s">
        <v>30</v>
      </c>
    </row>
    <row r="133" spans="1:7" x14ac:dyDescent="0.3">
      <c r="A133">
        <v>30132</v>
      </c>
      <c r="B133">
        <v>262</v>
      </c>
      <c r="C133" s="2">
        <v>44594</v>
      </c>
      <c r="D133" s="2" t="str">
        <f>TEXT(Table5[[#This Row],[bill_date]],"mmmm")</f>
        <v>February</v>
      </c>
      <c r="E133" s="9">
        <f>YEAR(Table5[[#This Row],[bill_date]])</f>
        <v>2022</v>
      </c>
      <c r="F133">
        <v>1502</v>
      </c>
      <c r="G133" t="s">
        <v>30</v>
      </c>
    </row>
    <row r="134" spans="1:7" x14ac:dyDescent="0.3">
      <c r="A134">
        <v>30133</v>
      </c>
      <c r="B134">
        <v>414</v>
      </c>
      <c r="C134" s="2">
        <v>45216</v>
      </c>
      <c r="D134" s="2" t="str">
        <f>TEXT(Table5[[#This Row],[bill_date]],"mmmm")</f>
        <v>October</v>
      </c>
      <c r="E134" s="9">
        <f>YEAR(Table5[[#This Row],[bill_date]])</f>
        <v>2023</v>
      </c>
      <c r="F134">
        <v>1302</v>
      </c>
      <c r="G134" t="s">
        <v>30</v>
      </c>
    </row>
    <row r="135" spans="1:7" x14ac:dyDescent="0.3">
      <c r="A135">
        <v>30134</v>
      </c>
      <c r="B135">
        <v>494</v>
      </c>
      <c r="C135" s="2">
        <v>44706</v>
      </c>
      <c r="D135" s="2" t="str">
        <f>TEXT(Table5[[#This Row],[bill_date]],"mmmm")</f>
        <v>May</v>
      </c>
      <c r="E135" s="9">
        <f>YEAR(Table5[[#This Row],[bill_date]])</f>
        <v>2022</v>
      </c>
      <c r="F135">
        <v>1058</v>
      </c>
      <c r="G135" t="s">
        <v>30</v>
      </c>
    </row>
    <row r="136" spans="1:7" x14ac:dyDescent="0.3">
      <c r="A136">
        <v>30135</v>
      </c>
      <c r="B136">
        <v>47</v>
      </c>
      <c r="C136" s="2">
        <v>45335</v>
      </c>
      <c r="D136" s="2" t="str">
        <f>TEXT(Table5[[#This Row],[bill_date]],"mmmm")</f>
        <v>February</v>
      </c>
      <c r="E136" s="9">
        <f>YEAR(Table5[[#This Row],[bill_date]])</f>
        <v>2024</v>
      </c>
      <c r="F136">
        <v>589</v>
      </c>
      <c r="G136" t="s">
        <v>30</v>
      </c>
    </row>
    <row r="137" spans="1:7" x14ac:dyDescent="0.3">
      <c r="A137">
        <v>30136</v>
      </c>
      <c r="B137">
        <v>225</v>
      </c>
      <c r="C137" s="2">
        <v>45078</v>
      </c>
      <c r="D137" s="2" t="str">
        <f>TEXT(Table5[[#This Row],[bill_date]],"mmmm")</f>
        <v>June</v>
      </c>
      <c r="E137" s="9">
        <f>YEAR(Table5[[#This Row],[bill_date]])</f>
        <v>2023</v>
      </c>
      <c r="F137">
        <v>1237</v>
      </c>
      <c r="G137" t="s">
        <v>28</v>
      </c>
    </row>
    <row r="138" spans="1:7" x14ac:dyDescent="0.3">
      <c r="A138">
        <v>30137</v>
      </c>
      <c r="B138">
        <v>404</v>
      </c>
      <c r="C138" s="2">
        <v>45234</v>
      </c>
      <c r="D138" s="2" t="str">
        <f>TEXT(Table5[[#This Row],[bill_date]],"mmmm")</f>
        <v>November</v>
      </c>
      <c r="E138" s="9">
        <f>YEAR(Table5[[#This Row],[bill_date]])</f>
        <v>2023</v>
      </c>
      <c r="F138">
        <v>797</v>
      </c>
      <c r="G138" t="s">
        <v>30</v>
      </c>
    </row>
    <row r="139" spans="1:7" x14ac:dyDescent="0.3">
      <c r="A139">
        <v>30138</v>
      </c>
      <c r="B139">
        <v>144</v>
      </c>
      <c r="C139" s="2">
        <v>44871</v>
      </c>
      <c r="D139" s="2" t="str">
        <f>TEXT(Table5[[#This Row],[bill_date]],"mmmm")</f>
        <v>November</v>
      </c>
      <c r="E139" s="9">
        <f>YEAR(Table5[[#This Row],[bill_date]])</f>
        <v>2022</v>
      </c>
      <c r="F139">
        <v>1117</v>
      </c>
      <c r="G139" t="s">
        <v>28</v>
      </c>
    </row>
    <row r="140" spans="1:7" x14ac:dyDescent="0.3">
      <c r="A140">
        <v>30139</v>
      </c>
      <c r="B140">
        <v>196</v>
      </c>
      <c r="C140" s="2">
        <v>44705</v>
      </c>
      <c r="D140" s="2" t="str">
        <f>TEXT(Table5[[#This Row],[bill_date]],"mmmm")</f>
        <v>May</v>
      </c>
      <c r="E140" s="9">
        <f>YEAR(Table5[[#This Row],[bill_date]])</f>
        <v>2022</v>
      </c>
      <c r="F140">
        <v>1090</v>
      </c>
      <c r="G140" t="s">
        <v>30</v>
      </c>
    </row>
    <row r="141" spans="1:7" x14ac:dyDescent="0.3">
      <c r="A141">
        <v>30140</v>
      </c>
      <c r="B141">
        <v>290</v>
      </c>
      <c r="C141" s="2">
        <v>45225</v>
      </c>
      <c r="D141" s="2" t="str">
        <f>TEXT(Table5[[#This Row],[bill_date]],"mmmm")</f>
        <v>October</v>
      </c>
      <c r="E141" s="9">
        <f>YEAR(Table5[[#This Row],[bill_date]])</f>
        <v>2023</v>
      </c>
      <c r="F141">
        <v>421</v>
      </c>
      <c r="G141" t="s">
        <v>30</v>
      </c>
    </row>
    <row r="142" spans="1:7" x14ac:dyDescent="0.3">
      <c r="A142">
        <v>30141</v>
      </c>
      <c r="B142">
        <v>257</v>
      </c>
      <c r="C142" s="2">
        <v>45454</v>
      </c>
      <c r="D142" s="2" t="str">
        <f>TEXT(Table5[[#This Row],[bill_date]],"mmmm")</f>
        <v>June</v>
      </c>
      <c r="E142" s="9">
        <f>YEAR(Table5[[#This Row],[bill_date]])</f>
        <v>2024</v>
      </c>
      <c r="F142">
        <v>1825</v>
      </c>
      <c r="G142" t="s">
        <v>28</v>
      </c>
    </row>
    <row r="143" spans="1:7" x14ac:dyDescent="0.3">
      <c r="A143">
        <v>30142</v>
      </c>
      <c r="B143">
        <v>461</v>
      </c>
      <c r="C143" s="2">
        <v>45078</v>
      </c>
      <c r="D143" s="2" t="str">
        <f>TEXT(Table5[[#This Row],[bill_date]],"mmmm")</f>
        <v>June</v>
      </c>
      <c r="E143" s="9">
        <f>YEAR(Table5[[#This Row],[bill_date]])</f>
        <v>2023</v>
      </c>
      <c r="F143">
        <v>1026</v>
      </c>
      <c r="G143" t="s">
        <v>30</v>
      </c>
    </row>
    <row r="144" spans="1:7" x14ac:dyDescent="0.3">
      <c r="A144">
        <v>30143</v>
      </c>
      <c r="B144">
        <v>432</v>
      </c>
      <c r="C144" s="2">
        <v>44756</v>
      </c>
      <c r="D144" s="2" t="str">
        <f>TEXT(Table5[[#This Row],[bill_date]],"mmmm")</f>
        <v>July</v>
      </c>
      <c r="E144" s="9">
        <f>YEAR(Table5[[#This Row],[bill_date]])</f>
        <v>2022</v>
      </c>
      <c r="F144">
        <v>464</v>
      </c>
      <c r="G144" t="s">
        <v>28</v>
      </c>
    </row>
    <row r="145" spans="1:7" x14ac:dyDescent="0.3">
      <c r="A145">
        <v>30144</v>
      </c>
      <c r="B145">
        <v>8</v>
      </c>
      <c r="C145" s="2">
        <v>45044</v>
      </c>
      <c r="D145" s="2" t="str">
        <f>TEXT(Table5[[#This Row],[bill_date]],"mmmm")</f>
        <v>April</v>
      </c>
      <c r="E145" s="9">
        <f>YEAR(Table5[[#This Row],[bill_date]])</f>
        <v>2023</v>
      </c>
      <c r="F145">
        <v>1542</v>
      </c>
      <c r="G145" t="s">
        <v>30</v>
      </c>
    </row>
    <row r="146" spans="1:7" x14ac:dyDescent="0.3">
      <c r="A146">
        <v>30145</v>
      </c>
      <c r="B146">
        <v>278</v>
      </c>
      <c r="C146" s="2">
        <v>45198</v>
      </c>
      <c r="D146" s="2" t="str">
        <f>TEXT(Table5[[#This Row],[bill_date]],"mmmm")</f>
        <v>September</v>
      </c>
      <c r="E146" s="9">
        <f>YEAR(Table5[[#This Row],[bill_date]])</f>
        <v>2023</v>
      </c>
      <c r="F146">
        <v>1328</v>
      </c>
      <c r="G146" t="s">
        <v>30</v>
      </c>
    </row>
    <row r="147" spans="1:7" x14ac:dyDescent="0.3">
      <c r="A147">
        <v>30146</v>
      </c>
      <c r="B147">
        <v>324</v>
      </c>
      <c r="C147" s="2">
        <v>45036</v>
      </c>
      <c r="D147" s="2" t="str">
        <f>TEXT(Table5[[#This Row],[bill_date]],"mmmm")</f>
        <v>April</v>
      </c>
      <c r="E147" s="9">
        <f>YEAR(Table5[[#This Row],[bill_date]])</f>
        <v>2023</v>
      </c>
      <c r="F147">
        <v>451</v>
      </c>
      <c r="G147" t="s">
        <v>30</v>
      </c>
    </row>
    <row r="148" spans="1:7" x14ac:dyDescent="0.3">
      <c r="A148">
        <v>30147</v>
      </c>
      <c r="B148">
        <v>290</v>
      </c>
      <c r="C148" s="2">
        <v>45149</v>
      </c>
      <c r="D148" s="2" t="str">
        <f>TEXT(Table5[[#This Row],[bill_date]],"mmmm")</f>
        <v>August</v>
      </c>
      <c r="E148" s="9">
        <f>YEAR(Table5[[#This Row],[bill_date]])</f>
        <v>2023</v>
      </c>
      <c r="F148">
        <v>397</v>
      </c>
      <c r="G148" t="s">
        <v>30</v>
      </c>
    </row>
    <row r="149" spans="1:7" x14ac:dyDescent="0.3">
      <c r="A149">
        <v>30148</v>
      </c>
      <c r="B149">
        <v>444</v>
      </c>
      <c r="C149" s="2">
        <v>45379</v>
      </c>
      <c r="D149" s="2" t="str">
        <f>TEXT(Table5[[#This Row],[bill_date]],"mmmm")</f>
        <v>March</v>
      </c>
      <c r="E149" s="9">
        <f>YEAR(Table5[[#This Row],[bill_date]])</f>
        <v>2024</v>
      </c>
      <c r="F149">
        <v>1278</v>
      </c>
      <c r="G149" t="s">
        <v>28</v>
      </c>
    </row>
    <row r="150" spans="1:7" x14ac:dyDescent="0.3">
      <c r="A150">
        <v>30149</v>
      </c>
      <c r="B150">
        <v>429</v>
      </c>
      <c r="C150" s="2">
        <v>44730</v>
      </c>
      <c r="D150" s="2" t="str">
        <f>TEXT(Table5[[#This Row],[bill_date]],"mmmm")</f>
        <v>June</v>
      </c>
      <c r="E150" s="9">
        <f>YEAR(Table5[[#This Row],[bill_date]])</f>
        <v>2022</v>
      </c>
      <c r="F150">
        <v>1126</v>
      </c>
      <c r="G150" t="s">
        <v>28</v>
      </c>
    </row>
    <row r="151" spans="1:7" x14ac:dyDescent="0.3">
      <c r="A151">
        <v>30150</v>
      </c>
      <c r="B151">
        <v>293</v>
      </c>
      <c r="C151" s="2">
        <v>45290</v>
      </c>
      <c r="D151" s="2" t="str">
        <f>TEXT(Table5[[#This Row],[bill_date]],"mmmm")</f>
        <v>December</v>
      </c>
      <c r="E151" s="9">
        <f>YEAR(Table5[[#This Row],[bill_date]])</f>
        <v>2023</v>
      </c>
      <c r="F151">
        <v>605</v>
      </c>
      <c r="G151" t="s">
        <v>30</v>
      </c>
    </row>
    <row r="152" spans="1:7" x14ac:dyDescent="0.3">
      <c r="A152">
        <v>30151</v>
      </c>
      <c r="B152">
        <v>377</v>
      </c>
      <c r="C152" s="2">
        <v>44744</v>
      </c>
      <c r="D152" s="2" t="str">
        <f>TEXT(Table5[[#This Row],[bill_date]],"mmmm")</f>
        <v>July</v>
      </c>
      <c r="E152" s="9">
        <f>YEAR(Table5[[#This Row],[bill_date]])</f>
        <v>2022</v>
      </c>
      <c r="F152">
        <v>1660</v>
      </c>
      <c r="G152" t="s">
        <v>30</v>
      </c>
    </row>
    <row r="153" spans="1:7" x14ac:dyDescent="0.3">
      <c r="A153">
        <v>30152</v>
      </c>
      <c r="B153">
        <v>23</v>
      </c>
      <c r="C153" s="2">
        <v>45410</v>
      </c>
      <c r="D153" s="2" t="str">
        <f>TEXT(Table5[[#This Row],[bill_date]],"mmmm")</f>
        <v>April</v>
      </c>
      <c r="E153" s="9">
        <f>YEAR(Table5[[#This Row],[bill_date]])</f>
        <v>2024</v>
      </c>
      <c r="F153">
        <v>1973</v>
      </c>
      <c r="G153" t="s">
        <v>30</v>
      </c>
    </row>
    <row r="154" spans="1:7" x14ac:dyDescent="0.3">
      <c r="A154">
        <v>30153</v>
      </c>
      <c r="B154">
        <v>84</v>
      </c>
      <c r="C154" s="2">
        <v>44674</v>
      </c>
      <c r="D154" s="2" t="str">
        <f>TEXT(Table5[[#This Row],[bill_date]],"mmmm")</f>
        <v>April</v>
      </c>
      <c r="E154" s="9">
        <f>YEAR(Table5[[#This Row],[bill_date]])</f>
        <v>2022</v>
      </c>
      <c r="F154">
        <v>1679</v>
      </c>
      <c r="G154" t="s">
        <v>30</v>
      </c>
    </row>
    <row r="155" spans="1:7" x14ac:dyDescent="0.3">
      <c r="A155">
        <v>30154</v>
      </c>
      <c r="B155">
        <v>255</v>
      </c>
      <c r="C155" s="2">
        <v>44837</v>
      </c>
      <c r="D155" s="2" t="str">
        <f>TEXT(Table5[[#This Row],[bill_date]],"mmmm")</f>
        <v>October</v>
      </c>
      <c r="E155" s="9">
        <f>YEAR(Table5[[#This Row],[bill_date]])</f>
        <v>2022</v>
      </c>
      <c r="F155">
        <v>1699</v>
      </c>
      <c r="G155" t="s">
        <v>29</v>
      </c>
    </row>
    <row r="156" spans="1:7" x14ac:dyDescent="0.3">
      <c r="A156">
        <v>30155</v>
      </c>
      <c r="B156">
        <v>373</v>
      </c>
      <c r="C156" s="2">
        <v>45037</v>
      </c>
      <c r="D156" s="2" t="str">
        <f>TEXT(Table5[[#This Row],[bill_date]],"mmmm")</f>
        <v>April</v>
      </c>
      <c r="E156" s="9">
        <f>YEAR(Table5[[#This Row],[bill_date]])</f>
        <v>2023</v>
      </c>
      <c r="F156">
        <v>1569</v>
      </c>
      <c r="G156" t="s">
        <v>30</v>
      </c>
    </row>
    <row r="157" spans="1:7" x14ac:dyDescent="0.3">
      <c r="A157">
        <v>30156</v>
      </c>
      <c r="B157">
        <v>24</v>
      </c>
      <c r="C157" s="2">
        <v>44739</v>
      </c>
      <c r="D157" s="2" t="str">
        <f>TEXT(Table5[[#This Row],[bill_date]],"mmmm")</f>
        <v>June</v>
      </c>
      <c r="E157" s="9">
        <f>YEAR(Table5[[#This Row],[bill_date]])</f>
        <v>2022</v>
      </c>
      <c r="F157">
        <v>684</v>
      </c>
      <c r="G157" t="s">
        <v>30</v>
      </c>
    </row>
    <row r="158" spans="1:7" x14ac:dyDescent="0.3">
      <c r="A158">
        <v>30157</v>
      </c>
      <c r="B158">
        <v>475</v>
      </c>
      <c r="C158" s="2">
        <v>45198</v>
      </c>
      <c r="D158" s="2" t="str">
        <f>TEXT(Table5[[#This Row],[bill_date]],"mmmm")</f>
        <v>September</v>
      </c>
      <c r="E158" s="9">
        <f>YEAR(Table5[[#This Row],[bill_date]])</f>
        <v>2023</v>
      </c>
      <c r="F158">
        <v>1051</v>
      </c>
      <c r="G158" t="s">
        <v>30</v>
      </c>
    </row>
    <row r="159" spans="1:7" x14ac:dyDescent="0.3">
      <c r="A159">
        <v>30158</v>
      </c>
      <c r="B159">
        <v>397</v>
      </c>
      <c r="C159" s="2">
        <v>44852</v>
      </c>
      <c r="D159" s="2" t="str">
        <f>TEXT(Table5[[#This Row],[bill_date]],"mmmm")</f>
        <v>October</v>
      </c>
      <c r="E159" s="9">
        <f>YEAR(Table5[[#This Row],[bill_date]])</f>
        <v>2022</v>
      </c>
      <c r="F159">
        <v>561</v>
      </c>
      <c r="G159" t="s">
        <v>30</v>
      </c>
    </row>
    <row r="160" spans="1:7" x14ac:dyDescent="0.3">
      <c r="A160">
        <v>30159</v>
      </c>
      <c r="B160">
        <v>325</v>
      </c>
      <c r="C160" s="2">
        <v>44995</v>
      </c>
      <c r="D160" s="2" t="str">
        <f>TEXT(Table5[[#This Row],[bill_date]],"mmmm")</f>
        <v>March</v>
      </c>
      <c r="E160" s="9">
        <f>YEAR(Table5[[#This Row],[bill_date]])</f>
        <v>2023</v>
      </c>
      <c r="F160">
        <v>1952</v>
      </c>
      <c r="G160" t="s">
        <v>30</v>
      </c>
    </row>
    <row r="161" spans="1:7" x14ac:dyDescent="0.3">
      <c r="A161">
        <v>30160</v>
      </c>
      <c r="B161">
        <v>336</v>
      </c>
      <c r="C161" s="2">
        <v>45024</v>
      </c>
      <c r="D161" s="2" t="str">
        <f>TEXT(Table5[[#This Row],[bill_date]],"mmmm")</f>
        <v>April</v>
      </c>
      <c r="E161" s="9">
        <f>YEAR(Table5[[#This Row],[bill_date]])</f>
        <v>2023</v>
      </c>
      <c r="F161">
        <v>410</v>
      </c>
      <c r="G161" t="s">
        <v>30</v>
      </c>
    </row>
    <row r="162" spans="1:7" x14ac:dyDescent="0.3">
      <c r="A162">
        <v>30161</v>
      </c>
      <c r="B162">
        <v>316</v>
      </c>
      <c r="C162" s="2">
        <v>44978</v>
      </c>
      <c r="D162" s="2" t="str">
        <f>TEXT(Table5[[#This Row],[bill_date]],"mmmm")</f>
        <v>February</v>
      </c>
      <c r="E162" s="9">
        <f>YEAR(Table5[[#This Row],[bill_date]])</f>
        <v>2023</v>
      </c>
      <c r="F162">
        <v>899</v>
      </c>
      <c r="G162" t="s">
        <v>28</v>
      </c>
    </row>
    <row r="163" spans="1:7" x14ac:dyDescent="0.3">
      <c r="A163">
        <v>30162</v>
      </c>
      <c r="B163">
        <v>38</v>
      </c>
      <c r="C163" s="2">
        <v>45396</v>
      </c>
      <c r="D163" s="2" t="str">
        <f>TEXT(Table5[[#This Row],[bill_date]],"mmmm")</f>
        <v>April</v>
      </c>
      <c r="E163" s="9">
        <f>YEAR(Table5[[#This Row],[bill_date]])</f>
        <v>2024</v>
      </c>
      <c r="F163">
        <v>1075</v>
      </c>
      <c r="G163" t="s">
        <v>30</v>
      </c>
    </row>
    <row r="164" spans="1:7" x14ac:dyDescent="0.3">
      <c r="A164">
        <v>30163</v>
      </c>
      <c r="B164">
        <v>432</v>
      </c>
      <c r="C164" s="2">
        <v>45272</v>
      </c>
      <c r="D164" s="2" t="str">
        <f>TEXT(Table5[[#This Row],[bill_date]],"mmmm")</f>
        <v>December</v>
      </c>
      <c r="E164" s="9">
        <f>YEAR(Table5[[#This Row],[bill_date]])</f>
        <v>2023</v>
      </c>
      <c r="F164">
        <v>812</v>
      </c>
      <c r="G164" t="s">
        <v>30</v>
      </c>
    </row>
    <row r="165" spans="1:7" x14ac:dyDescent="0.3">
      <c r="A165">
        <v>30164</v>
      </c>
      <c r="B165">
        <v>221</v>
      </c>
      <c r="C165" s="2">
        <v>44699</v>
      </c>
      <c r="D165" s="2" t="str">
        <f>TEXT(Table5[[#This Row],[bill_date]],"mmmm")</f>
        <v>May</v>
      </c>
      <c r="E165" s="9">
        <f>YEAR(Table5[[#This Row],[bill_date]])</f>
        <v>2022</v>
      </c>
      <c r="F165">
        <v>1114</v>
      </c>
      <c r="G165" t="s">
        <v>28</v>
      </c>
    </row>
    <row r="166" spans="1:7" x14ac:dyDescent="0.3">
      <c r="A166">
        <v>30165</v>
      </c>
      <c r="B166">
        <v>410</v>
      </c>
      <c r="C166" s="2">
        <v>45050</v>
      </c>
      <c r="D166" s="2" t="str">
        <f>TEXT(Table5[[#This Row],[bill_date]],"mmmm")</f>
        <v>May</v>
      </c>
      <c r="E166" s="9">
        <f>YEAR(Table5[[#This Row],[bill_date]])</f>
        <v>2023</v>
      </c>
      <c r="F166">
        <v>1659</v>
      </c>
      <c r="G166" t="s">
        <v>28</v>
      </c>
    </row>
    <row r="167" spans="1:7" x14ac:dyDescent="0.3">
      <c r="A167">
        <v>30166</v>
      </c>
      <c r="B167">
        <v>214</v>
      </c>
      <c r="C167" s="2">
        <v>45291</v>
      </c>
      <c r="D167" s="2" t="str">
        <f>TEXT(Table5[[#This Row],[bill_date]],"mmmm")</f>
        <v>December</v>
      </c>
      <c r="E167" s="9">
        <f>YEAR(Table5[[#This Row],[bill_date]])</f>
        <v>2023</v>
      </c>
      <c r="F167">
        <v>341</v>
      </c>
      <c r="G167" t="s">
        <v>30</v>
      </c>
    </row>
    <row r="168" spans="1:7" x14ac:dyDescent="0.3">
      <c r="A168">
        <v>30167</v>
      </c>
      <c r="B168">
        <v>472</v>
      </c>
      <c r="C168" s="2">
        <v>45370</v>
      </c>
      <c r="D168" s="2" t="str">
        <f>TEXT(Table5[[#This Row],[bill_date]],"mmmm")</f>
        <v>March</v>
      </c>
      <c r="E168" s="9">
        <f>YEAR(Table5[[#This Row],[bill_date]])</f>
        <v>2024</v>
      </c>
      <c r="F168">
        <v>1507</v>
      </c>
      <c r="G168" t="s">
        <v>30</v>
      </c>
    </row>
    <row r="169" spans="1:7" x14ac:dyDescent="0.3">
      <c r="A169">
        <v>30168</v>
      </c>
      <c r="B169">
        <v>333</v>
      </c>
      <c r="C169" s="2">
        <v>44729</v>
      </c>
      <c r="D169" s="2" t="str">
        <f>TEXT(Table5[[#This Row],[bill_date]],"mmmm")</f>
        <v>June</v>
      </c>
      <c r="E169" s="9">
        <f>YEAR(Table5[[#This Row],[bill_date]])</f>
        <v>2022</v>
      </c>
      <c r="F169">
        <v>1292</v>
      </c>
      <c r="G169" t="s">
        <v>30</v>
      </c>
    </row>
    <row r="170" spans="1:7" x14ac:dyDescent="0.3">
      <c r="A170">
        <v>30169</v>
      </c>
      <c r="B170">
        <v>491</v>
      </c>
      <c r="C170" s="2">
        <v>44695</v>
      </c>
      <c r="D170" s="2" t="str">
        <f>TEXT(Table5[[#This Row],[bill_date]],"mmmm")</f>
        <v>May</v>
      </c>
      <c r="E170" s="9">
        <f>YEAR(Table5[[#This Row],[bill_date]])</f>
        <v>2022</v>
      </c>
      <c r="F170">
        <v>1799</v>
      </c>
      <c r="G170" t="s">
        <v>28</v>
      </c>
    </row>
    <row r="171" spans="1:7" x14ac:dyDescent="0.3">
      <c r="A171">
        <v>30170</v>
      </c>
      <c r="B171">
        <v>85</v>
      </c>
      <c r="C171" s="2">
        <v>44722</v>
      </c>
      <c r="D171" s="2" t="str">
        <f>TEXT(Table5[[#This Row],[bill_date]],"mmmm")</f>
        <v>June</v>
      </c>
      <c r="E171" s="9">
        <f>YEAR(Table5[[#This Row],[bill_date]])</f>
        <v>2022</v>
      </c>
      <c r="F171">
        <v>1156</v>
      </c>
      <c r="G171" t="s">
        <v>30</v>
      </c>
    </row>
    <row r="172" spans="1:7" x14ac:dyDescent="0.3">
      <c r="A172">
        <v>30171</v>
      </c>
      <c r="B172">
        <v>385</v>
      </c>
      <c r="C172" s="2">
        <v>45345</v>
      </c>
      <c r="D172" s="2" t="str">
        <f>TEXT(Table5[[#This Row],[bill_date]],"mmmm")</f>
        <v>February</v>
      </c>
      <c r="E172" s="9">
        <f>YEAR(Table5[[#This Row],[bill_date]])</f>
        <v>2024</v>
      </c>
      <c r="F172">
        <v>1932</v>
      </c>
      <c r="G172" t="s">
        <v>30</v>
      </c>
    </row>
    <row r="173" spans="1:7" x14ac:dyDescent="0.3">
      <c r="A173">
        <v>30172</v>
      </c>
      <c r="B173">
        <v>4</v>
      </c>
      <c r="C173" s="2">
        <v>45353</v>
      </c>
      <c r="D173" s="2" t="str">
        <f>TEXT(Table5[[#This Row],[bill_date]],"mmmm")</f>
        <v>March</v>
      </c>
      <c r="E173" s="9">
        <f>YEAR(Table5[[#This Row],[bill_date]])</f>
        <v>2024</v>
      </c>
      <c r="F173">
        <v>1750</v>
      </c>
      <c r="G173" t="s">
        <v>28</v>
      </c>
    </row>
    <row r="174" spans="1:7" x14ac:dyDescent="0.3">
      <c r="A174">
        <v>30173</v>
      </c>
      <c r="B174">
        <v>195</v>
      </c>
      <c r="C174" s="2">
        <v>45321</v>
      </c>
      <c r="D174" s="2" t="str">
        <f>TEXT(Table5[[#This Row],[bill_date]],"mmmm")</f>
        <v>January</v>
      </c>
      <c r="E174" s="9">
        <f>YEAR(Table5[[#This Row],[bill_date]])</f>
        <v>2024</v>
      </c>
      <c r="F174">
        <v>1532</v>
      </c>
      <c r="G174" t="s">
        <v>29</v>
      </c>
    </row>
    <row r="175" spans="1:7" x14ac:dyDescent="0.3">
      <c r="A175">
        <v>30174</v>
      </c>
      <c r="B175">
        <v>114</v>
      </c>
      <c r="C175" s="2">
        <v>45295</v>
      </c>
      <c r="D175" s="2" t="str">
        <f>TEXT(Table5[[#This Row],[bill_date]],"mmmm")</f>
        <v>January</v>
      </c>
      <c r="E175" s="9">
        <f>YEAR(Table5[[#This Row],[bill_date]])</f>
        <v>2024</v>
      </c>
      <c r="F175">
        <v>1063</v>
      </c>
      <c r="G175" t="s">
        <v>30</v>
      </c>
    </row>
    <row r="176" spans="1:7" x14ac:dyDescent="0.3">
      <c r="A176">
        <v>30175</v>
      </c>
      <c r="B176">
        <v>215</v>
      </c>
      <c r="C176" s="2">
        <v>45389</v>
      </c>
      <c r="D176" s="2" t="str">
        <f>TEXT(Table5[[#This Row],[bill_date]],"mmmm")</f>
        <v>April</v>
      </c>
      <c r="E176" s="9">
        <f>YEAR(Table5[[#This Row],[bill_date]])</f>
        <v>2024</v>
      </c>
      <c r="F176">
        <v>1485</v>
      </c>
      <c r="G176" t="s">
        <v>30</v>
      </c>
    </row>
    <row r="177" spans="1:7" x14ac:dyDescent="0.3">
      <c r="A177">
        <v>30176</v>
      </c>
      <c r="B177">
        <v>336</v>
      </c>
      <c r="C177" s="2">
        <v>44938</v>
      </c>
      <c r="D177" s="2" t="str">
        <f>TEXT(Table5[[#This Row],[bill_date]],"mmmm")</f>
        <v>January</v>
      </c>
      <c r="E177" s="9">
        <f>YEAR(Table5[[#This Row],[bill_date]])</f>
        <v>2023</v>
      </c>
      <c r="F177">
        <v>258</v>
      </c>
      <c r="G177" t="s">
        <v>30</v>
      </c>
    </row>
    <row r="178" spans="1:7" x14ac:dyDescent="0.3">
      <c r="A178">
        <v>30177</v>
      </c>
      <c r="B178">
        <v>365</v>
      </c>
      <c r="C178" s="2">
        <v>44891</v>
      </c>
      <c r="D178" s="2" t="str">
        <f>TEXT(Table5[[#This Row],[bill_date]],"mmmm")</f>
        <v>November</v>
      </c>
      <c r="E178" s="9">
        <f>YEAR(Table5[[#This Row],[bill_date]])</f>
        <v>2022</v>
      </c>
      <c r="F178">
        <v>720</v>
      </c>
      <c r="G178" t="s">
        <v>30</v>
      </c>
    </row>
    <row r="179" spans="1:7" x14ac:dyDescent="0.3">
      <c r="A179">
        <v>30178</v>
      </c>
      <c r="B179">
        <v>141</v>
      </c>
      <c r="C179" s="2">
        <v>44956</v>
      </c>
      <c r="D179" s="2" t="str">
        <f>TEXT(Table5[[#This Row],[bill_date]],"mmmm")</f>
        <v>January</v>
      </c>
      <c r="E179" s="9">
        <f>YEAR(Table5[[#This Row],[bill_date]])</f>
        <v>2023</v>
      </c>
      <c r="F179">
        <v>507</v>
      </c>
      <c r="G179" t="s">
        <v>30</v>
      </c>
    </row>
    <row r="180" spans="1:7" x14ac:dyDescent="0.3">
      <c r="A180">
        <v>30179</v>
      </c>
      <c r="B180">
        <v>167</v>
      </c>
      <c r="C180" s="2">
        <v>44733</v>
      </c>
      <c r="D180" s="2" t="str">
        <f>TEXT(Table5[[#This Row],[bill_date]],"mmmm")</f>
        <v>June</v>
      </c>
      <c r="E180" s="9">
        <f>YEAR(Table5[[#This Row],[bill_date]])</f>
        <v>2022</v>
      </c>
      <c r="F180">
        <v>1742</v>
      </c>
      <c r="G180" t="s">
        <v>30</v>
      </c>
    </row>
    <row r="181" spans="1:7" x14ac:dyDescent="0.3">
      <c r="A181">
        <v>30180</v>
      </c>
      <c r="B181">
        <v>287</v>
      </c>
      <c r="C181" s="2">
        <v>45031</v>
      </c>
      <c r="D181" s="2" t="str">
        <f>TEXT(Table5[[#This Row],[bill_date]],"mmmm")</f>
        <v>April</v>
      </c>
      <c r="E181" s="9">
        <f>YEAR(Table5[[#This Row],[bill_date]])</f>
        <v>2023</v>
      </c>
      <c r="F181">
        <v>1604</v>
      </c>
      <c r="G181" t="s">
        <v>30</v>
      </c>
    </row>
    <row r="182" spans="1:7" x14ac:dyDescent="0.3">
      <c r="A182">
        <v>30181</v>
      </c>
      <c r="B182">
        <v>408</v>
      </c>
      <c r="C182" s="2">
        <v>45332</v>
      </c>
      <c r="D182" s="2" t="str">
        <f>TEXT(Table5[[#This Row],[bill_date]],"mmmm")</f>
        <v>February</v>
      </c>
      <c r="E182" s="9">
        <f>YEAR(Table5[[#This Row],[bill_date]])</f>
        <v>2024</v>
      </c>
      <c r="F182">
        <v>539</v>
      </c>
      <c r="G182" t="s">
        <v>28</v>
      </c>
    </row>
    <row r="183" spans="1:7" x14ac:dyDescent="0.3">
      <c r="A183">
        <v>30182</v>
      </c>
      <c r="B183">
        <v>495</v>
      </c>
      <c r="C183" s="2">
        <v>44983</v>
      </c>
      <c r="D183" s="2" t="str">
        <f>TEXT(Table5[[#This Row],[bill_date]],"mmmm")</f>
        <v>February</v>
      </c>
      <c r="E183" s="9">
        <f>YEAR(Table5[[#This Row],[bill_date]])</f>
        <v>2023</v>
      </c>
      <c r="F183">
        <v>1824</v>
      </c>
      <c r="G183" t="s">
        <v>29</v>
      </c>
    </row>
    <row r="184" spans="1:7" x14ac:dyDescent="0.3">
      <c r="A184">
        <v>30183</v>
      </c>
      <c r="B184">
        <v>384</v>
      </c>
      <c r="C184" s="2">
        <v>44817</v>
      </c>
      <c r="D184" s="2" t="str">
        <f>TEXT(Table5[[#This Row],[bill_date]],"mmmm")</f>
        <v>September</v>
      </c>
      <c r="E184" s="9">
        <f>YEAR(Table5[[#This Row],[bill_date]])</f>
        <v>2022</v>
      </c>
      <c r="F184">
        <v>1771</v>
      </c>
      <c r="G184" t="s">
        <v>28</v>
      </c>
    </row>
    <row r="185" spans="1:7" x14ac:dyDescent="0.3">
      <c r="A185">
        <v>30184</v>
      </c>
      <c r="B185">
        <v>335</v>
      </c>
      <c r="C185" s="2">
        <v>45241</v>
      </c>
      <c r="D185" s="2" t="str">
        <f>TEXT(Table5[[#This Row],[bill_date]],"mmmm")</f>
        <v>November</v>
      </c>
      <c r="E185" s="9">
        <f>YEAR(Table5[[#This Row],[bill_date]])</f>
        <v>2023</v>
      </c>
      <c r="F185">
        <v>1098</v>
      </c>
      <c r="G185" t="s">
        <v>30</v>
      </c>
    </row>
    <row r="186" spans="1:7" x14ac:dyDescent="0.3">
      <c r="A186">
        <v>30185</v>
      </c>
      <c r="B186">
        <v>5</v>
      </c>
      <c r="C186" s="2">
        <v>44681</v>
      </c>
      <c r="D186" s="2" t="str">
        <f>TEXT(Table5[[#This Row],[bill_date]],"mmmm")</f>
        <v>April</v>
      </c>
      <c r="E186" s="9">
        <f>YEAR(Table5[[#This Row],[bill_date]])</f>
        <v>2022</v>
      </c>
      <c r="F186">
        <v>1306</v>
      </c>
      <c r="G186" t="s">
        <v>30</v>
      </c>
    </row>
    <row r="187" spans="1:7" x14ac:dyDescent="0.3">
      <c r="A187">
        <v>30186</v>
      </c>
      <c r="B187">
        <v>127</v>
      </c>
      <c r="C187" s="2">
        <v>44580</v>
      </c>
      <c r="D187" s="2" t="str">
        <f>TEXT(Table5[[#This Row],[bill_date]],"mmmm")</f>
        <v>January</v>
      </c>
      <c r="E187" s="9">
        <f>YEAR(Table5[[#This Row],[bill_date]])</f>
        <v>2022</v>
      </c>
      <c r="F187">
        <v>1456</v>
      </c>
      <c r="G187" t="s">
        <v>30</v>
      </c>
    </row>
    <row r="188" spans="1:7" x14ac:dyDescent="0.3">
      <c r="A188">
        <v>30187</v>
      </c>
      <c r="B188">
        <v>433</v>
      </c>
      <c r="C188" s="2">
        <v>45369</v>
      </c>
      <c r="D188" s="2" t="str">
        <f>TEXT(Table5[[#This Row],[bill_date]],"mmmm")</f>
        <v>March</v>
      </c>
      <c r="E188" s="9">
        <f>YEAR(Table5[[#This Row],[bill_date]])</f>
        <v>2024</v>
      </c>
      <c r="F188">
        <v>960</v>
      </c>
      <c r="G188" t="s">
        <v>30</v>
      </c>
    </row>
    <row r="189" spans="1:7" x14ac:dyDescent="0.3">
      <c r="A189">
        <v>30188</v>
      </c>
      <c r="B189">
        <v>86</v>
      </c>
      <c r="C189" s="2">
        <v>45382</v>
      </c>
      <c r="D189" s="2" t="str">
        <f>TEXT(Table5[[#This Row],[bill_date]],"mmmm")</f>
        <v>March</v>
      </c>
      <c r="E189" s="9">
        <f>YEAR(Table5[[#This Row],[bill_date]])</f>
        <v>2024</v>
      </c>
      <c r="F189">
        <v>438</v>
      </c>
      <c r="G189" t="s">
        <v>30</v>
      </c>
    </row>
    <row r="190" spans="1:7" x14ac:dyDescent="0.3">
      <c r="A190">
        <v>30189</v>
      </c>
      <c r="B190">
        <v>86</v>
      </c>
      <c r="C190" s="2">
        <v>44808</v>
      </c>
      <c r="D190" s="2" t="str">
        <f>TEXT(Table5[[#This Row],[bill_date]],"mmmm")</f>
        <v>September</v>
      </c>
      <c r="E190" s="9">
        <f>YEAR(Table5[[#This Row],[bill_date]])</f>
        <v>2022</v>
      </c>
      <c r="F190">
        <v>1326</v>
      </c>
      <c r="G190" t="s">
        <v>30</v>
      </c>
    </row>
    <row r="191" spans="1:7" x14ac:dyDescent="0.3">
      <c r="A191">
        <v>30190</v>
      </c>
      <c r="B191">
        <v>395</v>
      </c>
      <c r="C191" s="2">
        <v>44766</v>
      </c>
      <c r="D191" s="2" t="str">
        <f>TEXT(Table5[[#This Row],[bill_date]],"mmmm")</f>
        <v>July</v>
      </c>
      <c r="E191" s="9">
        <f>YEAR(Table5[[#This Row],[bill_date]])</f>
        <v>2022</v>
      </c>
      <c r="F191">
        <v>1945</v>
      </c>
      <c r="G191" t="s">
        <v>30</v>
      </c>
    </row>
    <row r="192" spans="1:7" x14ac:dyDescent="0.3">
      <c r="A192">
        <v>30191</v>
      </c>
      <c r="B192">
        <v>24</v>
      </c>
      <c r="C192" s="2">
        <v>44981</v>
      </c>
      <c r="D192" s="2" t="str">
        <f>TEXT(Table5[[#This Row],[bill_date]],"mmmm")</f>
        <v>February</v>
      </c>
      <c r="E192" s="9">
        <f>YEAR(Table5[[#This Row],[bill_date]])</f>
        <v>2023</v>
      </c>
      <c r="F192">
        <v>423</v>
      </c>
      <c r="G192" t="s">
        <v>30</v>
      </c>
    </row>
    <row r="193" spans="1:7" x14ac:dyDescent="0.3">
      <c r="A193">
        <v>30192</v>
      </c>
      <c r="B193">
        <v>45</v>
      </c>
      <c r="C193" s="2">
        <v>44628</v>
      </c>
      <c r="D193" s="2" t="str">
        <f>TEXT(Table5[[#This Row],[bill_date]],"mmmm")</f>
        <v>March</v>
      </c>
      <c r="E193" s="9">
        <f>YEAR(Table5[[#This Row],[bill_date]])</f>
        <v>2022</v>
      </c>
      <c r="F193">
        <v>477</v>
      </c>
      <c r="G193" t="s">
        <v>30</v>
      </c>
    </row>
    <row r="194" spans="1:7" x14ac:dyDescent="0.3">
      <c r="A194">
        <v>30193</v>
      </c>
      <c r="B194">
        <v>458</v>
      </c>
      <c r="C194" s="2">
        <v>44903</v>
      </c>
      <c r="D194" s="2" t="str">
        <f>TEXT(Table5[[#This Row],[bill_date]],"mmmm")</f>
        <v>December</v>
      </c>
      <c r="E194" s="9">
        <f>YEAR(Table5[[#This Row],[bill_date]])</f>
        <v>2022</v>
      </c>
      <c r="F194">
        <v>1615</v>
      </c>
      <c r="G194" t="s">
        <v>28</v>
      </c>
    </row>
    <row r="195" spans="1:7" x14ac:dyDescent="0.3">
      <c r="A195">
        <v>30194</v>
      </c>
      <c r="B195">
        <v>111</v>
      </c>
      <c r="C195" s="2">
        <v>44906</v>
      </c>
      <c r="D195" s="2" t="str">
        <f>TEXT(Table5[[#This Row],[bill_date]],"mmmm")</f>
        <v>December</v>
      </c>
      <c r="E195" s="9">
        <f>YEAR(Table5[[#This Row],[bill_date]])</f>
        <v>2022</v>
      </c>
      <c r="F195">
        <v>1900</v>
      </c>
      <c r="G195" t="s">
        <v>30</v>
      </c>
    </row>
    <row r="196" spans="1:7" x14ac:dyDescent="0.3">
      <c r="A196">
        <v>30195</v>
      </c>
      <c r="B196">
        <v>290</v>
      </c>
      <c r="C196" s="2">
        <v>45258</v>
      </c>
      <c r="D196" s="2" t="str">
        <f>TEXT(Table5[[#This Row],[bill_date]],"mmmm")</f>
        <v>November</v>
      </c>
      <c r="E196" s="9">
        <f>YEAR(Table5[[#This Row],[bill_date]])</f>
        <v>2023</v>
      </c>
      <c r="F196">
        <v>627</v>
      </c>
      <c r="G196" t="s">
        <v>30</v>
      </c>
    </row>
    <row r="197" spans="1:7" x14ac:dyDescent="0.3">
      <c r="A197">
        <v>30196</v>
      </c>
      <c r="B197">
        <v>395</v>
      </c>
      <c r="C197" s="2">
        <v>44948</v>
      </c>
      <c r="D197" s="2" t="str">
        <f>TEXT(Table5[[#This Row],[bill_date]],"mmmm")</f>
        <v>January</v>
      </c>
      <c r="E197" s="9">
        <f>YEAR(Table5[[#This Row],[bill_date]])</f>
        <v>2023</v>
      </c>
      <c r="F197">
        <v>600</v>
      </c>
      <c r="G197" t="s">
        <v>30</v>
      </c>
    </row>
    <row r="198" spans="1:7" x14ac:dyDescent="0.3">
      <c r="A198">
        <v>30197</v>
      </c>
      <c r="B198">
        <v>185</v>
      </c>
      <c r="C198" s="2">
        <v>44903</v>
      </c>
      <c r="D198" s="2" t="str">
        <f>TEXT(Table5[[#This Row],[bill_date]],"mmmm")</f>
        <v>December</v>
      </c>
      <c r="E198" s="9">
        <f>YEAR(Table5[[#This Row],[bill_date]])</f>
        <v>2022</v>
      </c>
      <c r="F198">
        <v>244</v>
      </c>
      <c r="G198" t="s">
        <v>30</v>
      </c>
    </row>
    <row r="199" spans="1:7" x14ac:dyDescent="0.3">
      <c r="A199">
        <v>30198</v>
      </c>
      <c r="B199">
        <v>235</v>
      </c>
      <c r="C199" s="2">
        <v>44669</v>
      </c>
      <c r="D199" s="2" t="str">
        <f>TEXT(Table5[[#This Row],[bill_date]],"mmmm")</f>
        <v>April</v>
      </c>
      <c r="E199" s="9">
        <f>YEAR(Table5[[#This Row],[bill_date]])</f>
        <v>2022</v>
      </c>
      <c r="F199">
        <v>712</v>
      </c>
      <c r="G199" t="s">
        <v>30</v>
      </c>
    </row>
    <row r="200" spans="1:7" x14ac:dyDescent="0.3">
      <c r="A200">
        <v>30199</v>
      </c>
      <c r="B200">
        <v>157</v>
      </c>
      <c r="C200" s="2">
        <v>45238</v>
      </c>
      <c r="D200" s="2" t="str">
        <f>TEXT(Table5[[#This Row],[bill_date]],"mmmm")</f>
        <v>November</v>
      </c>
      <c r="E200" s="9">
        <f>YEAR(Table5[[#This Row],[bill_date]])</f>
        <v>2023</v>
      </c>
      <c r="F200">
        <v>1398</v>
      </c>
      <c r="G200" t="s">
        <v>30</v>
      </c>
    </row>
    <row r="201" spans="1:7" x14ac:dyDescent="0.3">
      <c r="A201">
        <v>30200</v>
      </c>
      <c r="B201">
        <v>406</v>
      </c>
      <c r="C201" s="2">
        <v>45194</v>
      </c>
      <c r="D201" s="2" t="str">
        <f>TEXT(Table5[[#This Row],[bill_date]],"mmmm")</f>
        <v>September</v>
      </c>
      <c r="E201" s="9">
        <f>YEAR(Table5[[#This Row],[bill_date]])</f>
        <v>2023</v>
      </c>
      <c r="F201">
        <v>1222</v>
      </c>
      <c r="G201" t="s">
        <v>30</v>
      </c>
    </row>
    <row r="202" spans="1:7" x14ac:dyDescent="0.3">
      <c r="A202">
        <v>30201</v>
      </c>
      <c r="B202">
        <v>161</v>
      </c>
      <c r="C202" s="2">
        <v>44963</v>
      </c>
      <c r="D202" s="2" t="str">
        <f>TEXT(Table5[[#This Row],[bill_date]],"mmmm")</f>
        <v>February</v>
      </c>
      <c r="E202" s="9">
        <f>YEAR(Table5[[#This Row],[bill_date]])</f>
        <v>2023</v>
      </c>
      <c r="F202">
        <v>1852</v>
      </c>
      <c r="G202" t="s">
        <v>30</v>
      </c>
    </row>
    <row r="203" spans="1:7" x14ac:dyDescent="0.3">
      <c r="A203">
        <v>30202</v>
      </c>
      <c r="B203">
        <v>200</v>
      </c>
      <c r="C203" s="2">
        <v>45157</v>
      </c>
      <c r="D203" s="2" t="str">
        <f>TEXT(Table5[[#This Row],[bill_date]],"mmmm")</f>
        <v>August</v>
      </c>
      <c r="E203" s="9">
        <f>YEAR(Table5[[#This Row],[bill_date]])</f>
        <v>2023</v>
      </c>
      <c r="F203">
        <v>1588</v>
      </c>
      <c r="G203" t="s">
        <v>30</v>
      </c>
    </row>
    <row r="204" spans="1:7" x14ac:dyDescent="0.3">
      <c r="A204">
        <v>30203</v>
      </c>
      <c r="B204">
        <v>122</v>
      </c>
      <c r="C204" s="2">
        <v>44863</v>
      </c>
      <c r="D204" s="2" t="str">
        <f>TEXT(Table5[[#This Row],[bill_date]],"mmmm")</f>
        <v>October</v>
      </c>
      <c r="E204" s="9">
        <f>YEAR(Table5[[#This Row],[bill_date]])</f>
        <v>2022</v>
      </c>
      <c r="F204">
        <v>1395</v>
      </c>
      <c r="G204" t="s">
        <v>30</v>
      </c>
    </row>
    <row r="205" spans="1:7" x14ac:dyDescent="0.3">
      <c r="A205">
        <v>30204</v>
      </c>
      <c r="B205">
        <v>433</v>
      </c>
      <c r="C205" s="2">
        <v>45334</v>
      </c>
      <c r="D205" s="2" t="str">
        <f>TEXT(Table5[[#This Row],[bill_date]],"mmmm")</f>
        <v>February</v>
      </c>
      <c r="E205" s="9">
        <f>YEAR(Table5[[#This Row],[bill_date]])</f>
        <v>2024</v>
      </c>
      <c r="F205">
        <v>502</v>
      </c>
      <c r="G205" t="s">
        <v>30</v>
      </c>
    </row>
    <row r="206" spans="1:7" x14ac:dyDescent="0.3">
      <c r="A206">
        <v>30205</v>
      </c>
      <c r="B206">
        <v>224</v>
      </c>
      <c r="C206" s="2">
        <v>44668</v>
      </c>
      <c r="D206" s="2" t="str">
        <f>TEXT(Table5[[#This Row],[bill_date]],"mmmm")</f>
        <v>April</v>
      </c>
      <c r="E206" s="9">
        <f>YEAR(Table5[[#This Row],[bill_date]])</f>
        <v>2022</v>
      </c>
      <c r="F206">
        <v>350</v>
      </c>
      <c r="G206" t="s">
        <v>30</v>
      </c>
    </row>
    <row r="207" spans="1:7" x14ac:dyDescent="0.3">
      <c r="A207">
        <v>30206</v>
      </c>
      <c r="B207">
        <v>488</v>
      </c>
      <c r="C207" s="2">
        <v>45196</v>
      </c>
      <c r="D207" s="2" t="str">
        <f>TEXT(Table5[[#This Row],[bill_date]],"mmmm")</f>
        <v>September</v>
      </c>
      <c r="E207" s="9">
        <f>YEAR(Table5[[#This Row],[bill_date]])</f>
        <v>2023</v>
      </c>
      <c r="F207">
        <v>549</v>
      </c>
      <c r="G207" t="s">
        <v>30</v>
      </c>
    </row>
    <row r="208" spans="1:7" x14ac:dyDescent="0.3">
      <c r="A208">
        <v>30207</v>
      </c>
      <c r="B208">
        <v>365</v>
      </c>
      <c r="C208" s="2">
        <v>45146</v>
      </c>
      <c r="D208" s="2" t="str">
        <f>TEXT(Table5[[#This Row],[bill_date]],"mmmm")</f>
        <v>August</v>
      </c>
      <c r="E208" s="9">
        <f>YEAR(Table5[[#This Row],[bill_date]])</f>
        <v>2023</v>
      </c>
      <c r="F208">
        <v>903</v>
      </c>
      <c r="G208" t="s">
        <v>30</v>
      </c>
    </row>
    <row r="209" spans="1:7" x14ac:dyDescent="0.3">
      <c r="A209">
        <v>30208</v>
      </c>
      <c r="B209">
        <v>23</v>
      </c>
      <c r="C209" s="2">
        <v>45038</v>
      </c>
      <c r="D209" s="2" t="str">
        <f>TEXT(Table5[[#This Row],[bill_date]],"mmmm")</f>
        <v>April</v>
      </c>
      <c r="E209" s="9">
        <f>YEAR(Table5[[#This Row],[bill_date]])</f>
        <v>2023</v>
      </c>
      <c r="F209">
        <v>290</v>
      </c>
      <c r="G209" t="s">
        <v>30</v>
      </c>
    </row>
    <row r="210" spans="1:7" x14ac:dyDescent="0.3">
      <c r="A210">
        <v>30209</v>
      </c>
      <c r="B210">
        <v>197</v>
      </c>
      <c r="C210" s="2">
        <v>44898</v>
      </c>
      <c r="D210" s="2" t="str">
        <f>TEXT(Table5[[#This Row],[bill_date]],"mmmm")</f>
        <v>December</v>
      </c>
      <c r="E210" s="9">
        <f>YEAR(Table5[[#This Row],[bill_date]])</f>
        <v>2022</v>
      </c>
      <c r="F210">
        <v>1383</v>
      </c>
      <c r="G210" t="s">
        <v>30</v>
      </c>
    </row>
    <row r="211" spans="1:7" x14ac:dyDescent="0.3">
      <c r="A211">
        <v>30210</v>
      </c>
      <c r="B211">
        <v>479</v>
      </c>
      <c r="C211" s="2">
        <v>45021</v>
      </c>
      <c r="D211" s="2" t="str">
        <f>TEXT(Table5[[#This Row],[bill_date]],"mmmm")</f>
        <v>April</v>
      </c>
      <c r="E211" s="9">
        <f>YEAR(Table5[[#This Row],[bill_date]])</f>
        <v>2023</v>
      </c>
      <c r="F211">
        <v>304</v>
      </c>
      <c r="G211" t="s">
        <v>28</v>
      </c>
    </row>
    <row r="212" spans="1:7" x14ac:dyDescent="0.3">
      <c r="A212">
        <v>30211</v>
      </c>
      <c r="B212">
        <v>285</v>
      </c>
      <c r="C212" s="2">
        <v>44874</v>
      </c>
      <c r="D212" s="2" t="str">
        <f>TEXT(Table5[[#This Row],[bill_date]],"mmmm")</f>
        <v>November</v>
      </c>
      <c r="E212" s="9">
        <f>YEAR(Table5[[#This Row],[bill_date]])</f>
        <v>2022</v>
      </c>
      <c r="F212">
        <v>939</v>
      </c>
      <c r="G212" t="s">
        <v>28</v>
      </c>
    </row>
    <row r="213" spans="1:7" x14ac:dyDescent="0.3">
      <c r="A213">
        <v>30212</v>
      </c>
      <c r="B213">
        <v>6</v>
      </c>
      <c r="C213" s="2">
        <v>44715</v>
      </c>
      <c r="D213" s="2" t="str">
        <f>TEXT(Table5[[#This Row],[bill_date]],"mmmm")</f>
        <v>June</v>
      </c>
      <c r="E213" s="9">
        <f>YEAR(Table5[[#This Row],[bill_date]])</f>
        <v>2022</v>
      </c>
      <c r="F213">
        <v>1325</v>
      </c>
      <c r="G213" t="s">
        <v>29</v>
      </c>
    </row>
    <row r="214" spans="1:7" x14ac:dyDescent="0.3">
      <c r="A214">
        <v>30213</v>
      </c>
      <c r="B214">
        <v>308</v>
      </c>
      <c r="C214" s="2">
        <v>45362</v>
      </c>
      <c r="D214" s="2" t="str">
        <f>TEXT(Table5[[#This Row],[bill_date]],"mmmm")</f>
        <v>March</v>
      </c>
      <c r="E214" s="9">
        <f>YEAR(Table5[[#This Row],[bill_date]])</f>
        <v>2024</v>
      </c>
      <c r="F214">
        <v>330</v>
      </c>
      <c r="G214" t="s">
        <v>30</v>
      </c>
    </row>
    <row r="215" spans="1:7" x14ac:dyDescent="0.3">
      <c r="A215">
        <v>30214</v>
      </c>
      <c r="B215">
        <v>345</v>
      </c>
      <c r="C215" s="2">
        <v>45170</v>
      </c>
      <c r="D215" s="2" t="str">
        <f>TEXT(Table5[[#This Row],[bill_date]],"mmmm")</f>
        <v>September</v>
      </c>
      <c r="E215" s="9">
        <f>YEAR(Table5[[#This Row],[bill_date]])</f>
        <v>2023</v>
      </c>
      <c r="F215">
        <v>967</v>
      </c>
      <c r="G215" t="s">
        <v>28</v>
      </c>
    </row>
    <row r="216" spans="1:7" x14ac:dyDescent="0.3">
      <c r="A216">
        <v>30215</v>
      </c>
      <c r="B216">
        <v>89</v>
      </c>
      <c r="C216" s="2">
        <v>45365</v>
      </c>
      <c r="D216" s="2" t="str">
        <f>TEXT(Table5[[#This Row],[bill_date]],"mmmm")</f>
        <v>March</v>
      </c>
      <c r="E216" s="9">
        <f>YEAR(Table5[[#This Row],[bill_date]])</f>
        <v>2024</v>
      </c>
      <c r="F216">
        <v>1511</v>
      </c>
      <c r="G216" t="s">
        <v>30</v>
      </c>
    </row>
    <row r="217" spans="1:7" x14ac:dyDescent="0.3">
      <c r="A217">
        <v>30216</v>
      </c>
      <c r="B217">
        <v>479</v>
      </c>
      <c r="C217" s="2">
        <v>44910</v>
      </c>
      <c r="D217" s="2" t="str">
        <f>TEXT(Table5[[#This Row],[bill_date]],"mmmm")</f>
        <v>December</v>
      </c>
      <c r="E217" s="9">
        <f>YEAR(Table5[[#This Row],[bill_date]])</f>
        <v>2022</v>
      </c>
      <c r="F217">
        <v>656</v>
      </c>
      <c r="G217" t="s">
        <v>30</v>
      </c>
    </row>
    <row r="218" spans="1:7" x14ac:dyDescent="0.3">
      <c r="A218">
        <v>30217</v>
      </c>
      <c r="B218">
        <v>378</v>
      </c>
      <c r="C218" s="2">
        <v>45351</v>
      </c>
      <c r="D218" s="2" t="str">
        <f>TEXT(Table5[[#This Row],[bill_date]],"mmmm")</f>
        <v>February</v>
      </c>
      <c r="E218" s="9">
        <f>YEAR(Table5[[#This Row],[bill_date]])</f>
        <v>2024</v>
      </c>
      <c r="F218">
        <v>1097</v>
      </c>
      <c r="G218" t="s">
        <v>28</v>
      </c>
    </row>
    <row r="219" spans="1:7" x14ac:dyDescent="0.3">
      <c r="A219">
        <v>30218</v>
      </c>
      <c r="B219">
        <v>398</v>
      </c>
      <c r="C219" s="2">
        <v>45327</v>
      </c>
      <c r="D219" s="2" t="str">
        <f>TEXT(Table5[[#This Row],[bill_date]],"mmmm")</f>
        <v>February</v>
      </c>
      <c r="E219" s="9">
        <f>YEAR(Table5[[#This Row],[bill_date]])</f>
        <v>2024</v>
      </c>
      <c r="F219">
        <v>1323</v>
      </c>
      <c r="G219" t="s">
        <v>30</v>
      </c>
    </row>
    <row r="220" spans="1:7" x14ac:dyDescent="0.3">
      <c r="A220">
        <v>30219</v>
      </c>
      <c r="B220">
        <v>273</v>
      </c>
      <c r="C220" s="2">
        <v>45155</v>
      </c>
      <c r="D220" s="2" t="str">
        <f>TEXT(Table5[[#This Row],[bill_date]],"mmmm")</f>
        <v>August</v>
      </c>
      <c r="E220" s="9">
        <f>YEAR(Table5[[#This Row],[bill_date]])</f>
        <v>2023</v>
      </c>
      <c r="F220">
        <v>1243</v>
      </c>
      <c r="G220" t="s">
        <v>30</v>
      </c>
    </row>
    <row r="221" spans="1:7" x14ac:dyDescent="0.3">
      <c r="A221">
        <v>30220</v>
      </c>
      <c r="B221">
        <v>464</v>
      </c>
      <c r="C221" s="2">
        <v>45090</v>
      </c>
      <c r="D221" s="2" t="str">
        <f>TEXT(Table5[[#This Row],[bill_date]],"mmmm")</f>
        <v>June</v>
      </c>
      <c r="E221" s="9">
        <f>YEAR(Table5[[#This Row],[bill_date]])</f>
        <v>2023</v>
      </c>
      <c r="F221">
        <v>447</v>
      </c>
      <c r="G221" t="s">
        <v>28</v>
      </c>
    </row>
    <row r="222" spans="1:7" x14ac:dyDescent="0.3">
      <c r="A222">
        <v>30221</v>
      </c>
      <c r="B222">
        <v>284</v>
      </c>
      <c r="C222" s="2">
        <v>44861</v>
      </c>
      <c r="D222" s="2" t="str">
        <f>TEXT(Table5[[#This Row],[bill_date]],"mmmm")</f>
        <v>October</v>
      </c>
      <c r="E222" s="9">
        <f>YEAR(Table5[[#This Row],[bill_date]])</f>
        <v>2022</v>
      </c>
      <c r="F222">
        <v>390</v>
      </c>
      <c r="G222" t="s">
        <v>28</v>
      </c>
    </row>
    <row r="223" spans="1:7" x14ac:dyDescent="0.3">
      <c r="A223">
        <v>30222</v>
      </c>
      <c r="B223">
        <v>265</v>
      </c>
      <c r="C223" s="2">
        <v>45253</v>
      </c>
      <c r="D223" s="2" t="str">
        <f>TEXT(Table5[[#This Row],[bill_date]],"mmmm")</f>
        <v>November</v>
      </c>
      <c r="E223" s="9">
        <f>YEAR(Table5[[#This Row],[bill_date]])</f>
        <v>2023</v>
      </c>
      <c r="F223">
        <v>783</v>
      </c>
      <c r="G223" t="s">
        <v>30</v>
      </c>
    </row>
    <row r="224" spans="1:7" x14ac:dyDescent="0.3">
      <c r="A224">
        <v>30223</v>
      </c>
      <c r="B224">
        <v>115</v>
      </c>
      <c r="C224" s="2">
        <v>45289</v>
      </c>
      <c r="D224" s="2" t="str">
        <f>TEXT(Table5[[#This Row],[bill_date]],"mmmm")</f>
        <v>December</v>
      </c>
      <c r="E224" s="9">
        <f>YEAR(Table5[[#This Row],[bill_date]])</f>
        <v>2023</v>
      </c>
      <c r="F224">
        <v>1535</v>
      </c>
      <c r="G224" t="s">
        <v>30</v>
      </c>
    </row>
    <row r="225" spans="1:7" x14ac:dyDescent="0.3">
      <c r="A225">
        <v>30224</v>
      </c>
      <c r="B225">
        <v>124</v>
      </c>
      <c r="C225" s="2">
        <v>45095</v>
      </c>
      <c r="D225" s="2" t="str">
        <f>TEXT(Table5[[#This Row],[bill_date]],"mmmm")</f>
        <v>June</v>
      </c>
      <c r="E225" s="9">
        <f>YEAR(Table5[[#This Row],[bill_date]])</f>
        <v>2023</v>
      </c>
      <c r="F225">
        <v>366</v>
      </c>
      <c r="G225" t="s">
        <v>30</v>
      </c>
    </row>
    <row r="226" spans="1:7" x14ac:dyDescent="0.3">
      <c r="A226">
        <v>30225</v>
      </c>
      <c r="B226">
        <v>450</v>
      </c>
      <c r="C226" s="2">
        <v>44797</v>
      </c>
      <c r="D226" s="2" t="str">
        <f>TEXT(Table5[[#This Row],[bill_date]],"mmmm")</f>
        <v>August</v>
      </c>
      <c r="E226" s="9">
        <f>YEAR(Table5[[#This Row],[bill_date]])</f>
        <v>2022</v>
      </c>
      <c r="F226">
        <v>1796</v>
      </c>
      <c r="G226" t="s">
        <v>30</v>
      </c>
    </row>
    <row r="227" spans="1:7" x14ac:dyDescent="0.3">
      <c r="A227">
        <v>30226</v>
      </c>
      <c r="B227">
        <v>260</v>
      </c>
      <c r="C227" s="2">
        <v>45458</v>
      </c>
      <c r="D227" s="2" t="str">
        <f>TEXT(Table5[[#This Row],[bill_date]],"mmmm")</f>
        <v>June</v>
      </c>
      <c r="E227" s="9">
        <f>YEAR(Table5[[#This Row],[bill_date]])</f>
        <v>2024</v>
      </c>
      <c r="F227">
        <v>369</v>
      </c>
      <c r="G227" t="s">
        <v>28</v>
      </c>
    </row>
    <row r="228" spans="1:7" x14ac:dyDescent="0.3">
      <c r="A228">
        <v>30227</v>
      </c>
      <c r="B228">
        <v>404</v>
      </c>
      <c r="C228" s="2">
        <v>44772</v>
      </c>
      <c r="D228" s="2" t="str">
        <f>TEXT(Table5[[#This Row],[bill_date]],"mmmm")</f>
        <v>July</v>
      </c>
      <c r="E228" s="9">
        <f>YEAR(Table5[[#This Row],[bill_date]])</f>
        <v>2022</v>
      </c>
      <c r="F228">
        <v>1855</v>
      </c>
      <c r="G228" t="s">
        <v>29</v>
      </c>
    </row>
    <row r="229" spans="1:7" x14ac:dyDescent="0.3">
      <c r="A229">
        <v>30228</v>
      </c>
      <c r="B229">
        <v>169</v>
      </c>
      <c r="C229" s="2">
        <v>44847</v>
      </c>
      <c r="D229" s="2" t="str">
        <f>TEXT(Table5[[#This Row],[bill_date]],"mmmm")</f>
        <v>October</v>
      </c>
      <c r="E229" s="9">
        <f>YEAR(Table5[[#This Row],[bill_date]])</f>
        <v>2022</v>
      </c>
      <c r="F229">
        <v>1438</v>
      </c>
      <c r="G229" t="s">
        <v>30</v>
      </c>
    </row>
    <row r="230" spans="1:7" x14ac:dyDescent="0.3">
      <c r="A230">
        <v>30229</v>
      </c>
      <c r="B230">
        <v>36</v>
      </c>
      <c r="C230" s="2">
        <v>44984</v>
      </c>
      <c r="D230" s="2" t="str">
        <f>TEXT(Table5[[#This Row],[bill_date]],"mmmm")</f>
        <v>February</v>
      </c>
      <c r="E230" s="9">
        <f>YEAR(Table5[[#This Row],[bill_date]])</f>
        <v>2023</v>
      </c>
      <c r="F230">
        <v>1731</v>
      </c>
      <c r="G230" t="s">
        <v>30</v>
      </c>
    </row>
    <row r="231" spans="1:7" x14ac:dyDescent="0.3">
      <c r="A231">
        <v>30230</v>
      </c>
      <c r="B231">
        <v>229</v>
      </c>
      <c r="C231" s="2">
        <v>45280</v>
      </c>
      <c r="D231" s="2" t="str">
        <f>TEXT(Table5[[#This Row],[bill_date]],"mmmm")</f>
        <v>December</v>
      </c>
      <c r="E231" s="9">
        <f>YEAR(Table5[[#This Row],[bill_date]])</f>
        <v>2023</v>
      </c>
      <c r="F231">
        <v>1396</v>
      </c>
      <c r="G231" t="s">
        <v>30</v>
      </c>
    </row>
    <row r="232" spans="1:7" x14ac:dyDescent="0.3">
      <c r="A232">
        <v>30231</v>
      </c>
      <c r="B232">
        <v>134</v>
      </c>
      <c r="C232" s="2">
        <v>45055</v>
      </c>
      <c r="D232" s="2" t="str">
        <f>TEXT(Table5[[#This Row],[bill_date]],"mmmm")</f>
        <v>May</v>
      </c>
      <c r="E232" s="9">
        <f>YEAR(Table5[[#This Row],[bill_date]])</f>
        <v>2023</v>
      </c>
      <c r="F232">
        <v>734</v>
      </c>
      <c r="G232" t="s">
        <v>28</v>
      </c>
    </row>
    <row r="233" spans="1:7" x14ac:dyDescent="0.3">
      <c r="A233">
        <v>30232</v>
      </c>
      <c r="B233">
        <v>244</v>
      </c>
      <c r="C233" s="2">
        <v>44980</v>
      </c>
      <c r="D233" s="2" t="str">
        <f>TEXT(Table5[[#This Row],[bill_date]],"mmmm")</f>
        <v>February</v>
      </c>
      <c r="E233" s="9">
        <f>YEAR(Table5[[#This Row],[bill_date]])</f>
        <v>2023</v>
      </c>
      <c r="F233">
        <v>606</v>
      </c>
      <c r="G233" t="s">
        <v>28</v>
      </c>
    </row>
    <row r="234" spans="1:7" x14ac:dyDescent="0.3">
      <c r="A234">
        <v>30233</v>
      </c>
      <c r="B234">
        <v>65</v>
      </c>
      <c r="C234" s="2">
        <v>45398</v>
      </c>
      <c r="D234" s="2" t="str">
        <f>TEXT(Table5[[#This Row],[bill_date]],"mmmm")</f>
        <v>April</v>
      </c>
      <c r="E234" s="9">
        <f>YEAR(Table5[[#This Row],[bill_date]])</f>
        <v>2024</v>
      </c>
      <c r="F234">
        <v>699</v>
      </c>
      <c r="G234" t="s">
        <v>30</v>
      </c>
    </row>
    <row r="235" spans="1:7" x14ac:dyDescent="0.3">
      <c r="A235">
        <v>30234</v>
      </c>
      <c r="B235">
        <v>237</v>
      </c>
      <c r="C235" s="2">
        <v>45328</v>
      </c>
      <c r="D235" s="2" t="str">
        <f>TEXT(Table5[[#This Row],[bill_date]],"mmmm")</f>
        <v>February</v>
      </c>
      <c r="E235" s="9">
        <f>YEAR(Table5[[#This Row],[bill_date]])</f>
        <v>2024</v>
      </c>
      <c r="F235">
        <v>1360</v>
      </c>
      <c r="G235" t="s">
        <v>30</v>
      </c>
    </row>
    <row r="236" spans="1:7" x14ac:dyDescent="0.3">
      <c r="A236">
        <v>30235</v>
      </c>
      <c r="B236">
        <v>434</v>
      </c>
      <c r="C236" s="2">
        <v>44906</v>
      </c>
      <c r="D236" s="2" t="str">
        <f>TEXT(Table5[[#This Row],[bill_date]],"mmmm")</f>
        <v>December</v>
      </c>
      <c r="E236" s="9">
        <f>YEAR(Table5[[#This Row],[bill_date]])</f>
        <v>2022</v>
      </c>
      <c r="F236">
        <v>297</v>
      </c>
      <c r="G236" t="s">
        <v>30</v>
      </c>
    </row>
    <row r="237" spans="1:7" x14ac:dyDescent="0.3">
      <c r="A237">
        <v>30236</v>
      </c>
      <c r="B237">
        <v>448</v>
      </c>
      <c r="C237" s="2">
        <v>45084</v>
      </c>
      <c r="D237" s="2" t="str">
        <f>TEXT(Table5[[#This Row],[bill_date]],"mmmm")</f>
        <v>June</v>
      </c>
      <c r="E237" s="9">
        <f>YEAR(Table5[[#This Row],[bill_date]])</f>
        <v>2023</v>
      </c>
      <c r="F237">
        <v>1034</v>
      </c>
      <c r="G237" t="s">
        <v>30</v>
      </c>
    </row>
    <row r="238" spans="1:7" x14ac:dyDescent="0.3">
      <c r="A238">
        <v>30237</v>
      </c>
      <c r="B238">
        <v>3</v>
      </c>
      <c r="C238" s="2">
        <v>45380</v>
      </c>
      <c r="D238" s="2" t="str">
        <f>TEXT(Table5[[#This Row],[bill_date]],"mmmm")</f>
        <v>March</v>
      </c>
      <c r="E238" s="9">
        <f>YEAR(Table5[[#This Row],[bill_date]])</f>
        <v>2024</v>
      </c>
      <c r="F238">
        <v>1279</v>
      </c>
      <c r="G238" t="s">
        <v>30</v>
      </c>
    </row>
    <row r="239" spans="1:7" x14ac:dyDescent="0.3">
      <c r="A239">
        <v>30238</v>
      </c>
      <c r="B239">
        <v>500</v>
      </c>
      <c r="C239" s="2">
        <v>44880</v>
      </c>
      <c r="D239" s="2" t="str">
        <f>TEXT(Table5[[#This Row],[bill_date]],"mmmm")</f>
        <v>November</v>
      </c>
      <c r="E239" s="9">
        <f>YEAR(Table5[[#This Row],[bill_date]])</f>
        <v>2022</v>
      </c>
      <c r="F239">
        <v>445</v>
      </c>
      <c r="G239" t="s">
        <v>30</v>
      </c>
    </row>
    <row r="240" spans="1:7" x14ac:dyDescent="0.3">
      <c r="A240">
        <v>30239</v>
      </c>
      <c r="B240">
        <v>37</v>
      </c>
      <c r="C240" s="2">
        <v>44903</v>
      </c>
      <c r="D240" s="2" t="str">
        <f>TEXT(Table5[[#This Row],[bill_date]],"mmmm")</f>
        <v>December</v>
      </c>
      <c r="E240" s="9">
        <f>YEAR(Table5[[#This Row],[bill_date]])</f>
        <v>2022</v>
      </c>
      <c r="F240">
        <v>882</v>
      </c>
      <c r="G240" t="s">
        <v>30</v>
      </c>
    </row>
    <row r="241" spans="1:7" x14ac:dyDescent="0.3">
      <c r="A241">
        <v>30240</v>
      </c>
      <c r="B241">
        <v>109</v>
      </c>
      <c r="C241" s="2">
        <v>44940</v>
      </c>
      <c r="D241" s="2" t="str">
        <f>TEXT(Table5[[#This Row],[bill_date]],"mmmm")</f>
        <v>January</v>
      </c>
      <c r="E241" s="9">
        <f>YEAR(Table5[[#This Row],[bill_date]])</f>
        <v>2023</v>
      </c>
      <c r="F241">
        <v>911</v>
      </c>
      <c r="G241" t="s">
        <v>30</v>
      </c>
    </row>
    <row r="242" spans="1:7" x14ac:dyDescent="0.3">
      <c r="A242">
        <v>30241</v>
      </c>
      <c r="B242">
        <v>490</v>
      </c>
      <c r="C242" s="2">
        <v>45107</v>
      </c>
      <c r="D242" s="2" t="str">
        <f>TEXT(Table5[[#This Row],[bill_date]],"mmmm")</f>
        <v>June</v>
      </c>
      <c r="E242" s="9">
        <f>YEAR(Table5[[#This Row],[bill_date]])</f>
        <v>2023</v>
      </c>
      <c r="F242">
        <v>305</v>
      </c>
      <c r="G242" t="s">
        <v>29</v>
      </c>
    </row>
    <row r="243" spans="1:7" x14ac:dyDescent="0.3">
      <c r="A243">
        <v>30242</v>
      </c>
      <c r="B243">
        <v>250</v>
      </c>
      <c r="C243" s="2">
        <v>45194</v>
      </c>
      <c r="D243" s="2" t="str">
        <f>TEXT(Table5[[#This Row],[bill_date]],"mmmm")</f>
        <v>September</v>
      </c>
      <c r="E243" s="9">
        <f>YEAR(Table5[[#This Row],[bill_date]])</f>
        <v>2023</v>
      </c>
      <c r="F243">
        <v>1270</v>
      </c>
      <c r="G243" t="s">
        <v>30</v>
      </c>
    </row>
    <row r="244" spans="1:7" x14ac:dyDescent="0.3">
      <c r="A244">
        <v>30243</v>
      </c>
      <c r="B244">
        <v>3</v>
      </c>
      <c r="C244" s="2">
        <v>45309</v>
      </c>
      <c r="D244" s="2" t="str">
        <f>TEXT(Table5[[#This Row],[bill_date]],"mmmm")</f>
        <v>January</v>
      </c>
      <c r="E244" s="9">
        <f>YEAR(Table5[[#This Row],[bill_date]])</f>
        <v>2024</v>
      </c>
      <c r="F244">
        <v>1043</v>
      </c>
      <c r="G244" t="s">
        <v>30</v>
      </c>
    </row>
    <row r="245" spans="1:7" x14ac:dyDescent="0.3">
      <c r="A245">
        <v>30244</v>
      </c>
      <c r="B245">
        <v>235</v>
      </c>
      <c r="C245" s="2">
        <v>45256</v>
      </c>
      <c r="D245" s="2" t="str">
        <f>TEXT(Table5[[#This Row],[bill_date]],"mmmm")</f>
        <v>November</v>
      </c>
      <c r="E245" s="9">
        <f>YEAR(Table5[[#This Row],[bill_date]])</f>
        <v>2023</v>
      </c>
      <c r="F245">
        <v>1508</v>
      </c>
      <c r="G245" t="s">
        <v>30</v>
      </c>
    </row>
    <row r="246" spans="1:7" x14ac:dyDescent="0.3">
      <c r="A246">
        <v>30245</v>
      </c>
      <c r="B246">
        <v>417</v>
      </c>
      <c r="C246" s="2">
        <v>45151</v>
      </c>
      <c r="D246" s="2" t="str">
        <f>TEXT(Table5[[#This Row],[bill_date]],"mmmm")</f>
        <v>August</v>
      </c>
      <c r="E246" s="9">
        <f>YEAR(Table5[[#This Row],[bill_date]])</f>
        <v>2023</v>
      </c>
      <c r="F246">
        <v>244</v>
      </c>
      <c r="G246" t="s">
        <v>30</v>
      </c>
    </row>
    <row r="247" spans="1:7" x14ac:dyDescent="0.3">
      <c r="A247">
        <v>30246</v>
      </c>
      <c r="B247">
        <v>443</v>
      </c>
      <c r="C247" s="2">
        <v>45196</v>
      </c>
      <c r="D247" s="2" t="str">
        <f>TEXT(Table5[[#This Row],[bill_date]],"mmmm")</f>
        <v>September</v>
      </c>
      <c r="E247" s="9">
        <f>YEAR(Table5[[#This Row],[bill_date]])</f>
        <v>2023</v>
      </c>
      <c r="F247">
        <v>594</v>
      </c>
      <c r="G247" t="s">
        <v>30</v>
      </c>
    </row>
    <row r="248" spans="1:7" x14ac:dyDescent="0.3">
      <c r="A248">
        <v>30247</v>
      </c>
      <c r="B248">
        <v>251</v>
      </c>
      <c r="C248" s="2">
        <v>45349</v>
      </c>
      <c r="D248" s="2" t="str">
        <f>TEXT(Table5[[#This Row],[bill_date]],"mmmm")</f>
        <v>February</v>
      </c>
      <c r="E248" s="9">
        <f>YEAR(Table5[[#This Row],[bill_date]])</f>
        <v>2024</v>
      </c>
      <c r="F248">
        <v>1342</v>
      </c>
      <c r="G248" t="s">
        <v>30</v>
      </c>
    </row>
    <row r="249" spans="1:7" x14ac:dyDescent="0.3">
      <c r="A249">
        <v>30248</v>
      </c>
      <c r="B249">
        <v>143</v>
      </c>
      <c r="C249" s="2">
        <v>44769</v>
      </c>
      <c r="D249" s="2" t="str">
        <f>TEXT(Table5[[#This Row],[bill_date]],"mmmm")</f>
        <v>July</v>
      </c>
      <c r="E249" s="9">
        <f>YEAR(Table5[[#This Row],[bill_date]])</f>
        <v>2022</v>
      </c>
      <c r="F249">
        <v>1282</v>
      </c>
      <c r="G249" t="s">
        <v>30</v>
      </c>
    </row>
    <row r="250" spans="1:7" x14ac:dyDescent="0.3">
      <c r="A250">
        <v>30249</v>
      </c>
      <c r="B250">
        <v>248</v>
      </c>
      <c r="C250" s="2">
        <v>44747</v>
      </c>
      <c r="D250" s="2" t="str">
        <f>TEXT(Table5[[#This Row],[bill_date]],"mmmm")</f>
        <v>July</v>
      </c>
      <c r="E250" s="9">
        <f>YEAR(Table5[[#This Row],[bill_date]])</f>
        <v>2022</v>
      </c>
      <c r="F250">
        <v>1369</v>
      </c>
      <c r="G250" t="s">
        <v>30</v>
      </c>
    </row>
    <row r="251" spans="1:7" x14ac:dyDescent="0.3">
      <c r="A251">
        <v>30250</v>
      </c>
      <c r="B251">
        <v>56</v>
      </c>
      <c r="C251" s="2">
        <v>44578</v>
      </c>
      <c r="D251" s="2" t="str">
        <f>TEXT(Table5[[#This Row],[bill_date]],"mmmm")</f>
        <v>January</v>
      </c>
      <c r="E251" s="9">
        <f>YEAR(Table5[[#This Row],[bill_date]])</f>
        <v>2022</v>
      </c>
      <c r="F251">
        <v>814</v>
      </c>
      <c r="G251" t="s">
        <v>30</v>
      </c>
    </row>
    <row r="252" spans="1:7" x14ac:dyDescent="0.3">
      <c r="A252">
        <v>30251</v>
      </c>
      <c r="B252">
        <v>61</v>
      </c>
      <c r="C252" s="2">
        <v>44851</v>
      </c>
      <c r="D252" s="2" t="str">
        <f>TEXT(Table5[[#This Row],[bill_date]],"mmmm")</f>
        <v>October</v>
      </c>
      <c r="E252" s="9">
        <f>YEAR(Table5[[#This Row],[bill_date]])</f>
        <v>2022</v>
      </c>
      <c r="F252">
        <v>1802</v>
      </c>
      <c r="G252" t="s">
        <v>30</v>
      </c>
    </row>
    <row r="253" spans="1:7" x14ac:dyDescent="0.3">
      <c r="A253">
        <v>30252</v>
      </c>
      <c r="B253">
        <v>68</v>
      </c>
      <c r="C253" s="2">
        <v>44815</v>
      </c>
      <c r="D253" s="2" t="str">
        <f>TEXT(Table5[[#This Row],[bill_date]],"mmmm")</f>
        <v>September</v>
      </c>
      <c r="E253" s="9">
        <f>YEAR(Table5[[#This Row],[bill_date]])</f>
        <v>2022</v>
      </c>
      <c r="F253">
        <v>1148</v>
      </c>
      <c r="G253" t="s">
        <v>30</v>
      </c>
    </row>
    <row r="254" spans="1:7" x14ac:dyDescent="0.3">
      <c r="A254">
        <v>30253</v>
      </c>
      <c r="B254">
        <v>79</v>
      </c>
      <c r="C254" s="2">
        <v>45172</v>
      </c>
      <c r="D254" s="2" t="str">
        <f>TEXT(Table5[[#This Row],[bill_date]],"mmmm")</f>
        <v>September</v>
      </c>
      <c r="E254" s="9">
        <f>YEAR(Table5[[#This Row],[bill_date]])</f>
        <v>2023</v>
      </c>
      <c r="F254">
        <v>1719</v>
      </c>
      <c r="G254" t="s">
        <v>30</v>
      </c>
    </row>
    <row r="255" spans="1:7" x14ac:dyDescent="0.3">
      <c r="A255">
        <v>30254</v>
      </c>
      <c r="B255">
        <v>327</v>
      </c>
      <c r="C255" s="2">
        <v>45007</v>
      </c>
      <c r="D255" s="2" t="str">
        <f>TEXT(Table5[[#This Row],[bill_date]],"mmmm")</f>
        <v>March</v>
      </c>
      <c r="E255" s="9">
        <f>YEAR(Table5[[#This Row],[bill_date]])</f>
        <v>2023</v>
      </c>
      <c r="F255">
        <v>872</v>
      </c>
      <c r="G255" t="s">
        <v>30</v>
      </c>
    </row>
    <row r="256" spans="1:7" x14ac:dyDescent="0.3">
      <c r="A256">
        <v>30255</v>
      </c>
      <c r="B256">
        <v>367</v>
      </c>
      <c r="C256" s="2">
        <v>45017</v>
      </c>
      <c r="D256" s="2" t="str">
        <f>TEXT(Table5[[#This Row],[bill_date]],"mmmm")</f>
        <v>April</v>
      </c>
      <c r="E256" s="9">
        <f>YEAR(Table5[[#This Row],[bill_date]])</f>
        <v>2023</v>
      </c>
      <c r="F256">
        <v>1949</v>
      </c>
      <c r="G256" t="s">
        <v>30</v>
      </c>
    </row>
    <row r="257" spans="1:7" x14ac:dyDescent="0.3">
      <c r="A257">
        <v>30256</v>
      </c>
      <c r="B257">
        <v>196</v>
      </c>
      <c r="C257" s="2">
        <v>44708</v>
      </c>
      <c r="D257" s="2" t="str">
        <f>TEXT(Table5[[#This Row],[bill_date]],"mmmm")</f>
        <v>May</v>
      </c>
      <c r="E257" s="9">
        <f>YEAR(Table5[[#This Row],[bill_date]])</f>
        <v>2022</v>
      </c>
      <c r="F257">
        <v>1340</v>
      </c>
      <c r="G257" t="s">
        <v>30</v>
      </c>
    </row>
    <row r="258" spans="1:7" x14ac:dyDescent="0.3">
      <c r="A258">
        <v>30257</v>
      </c>
      <c r="B258">
        <v>446</v>
      </c>
      <c r="C258" s="2">
        <v>45445</v>
      </c>
      <c r="D258" s="2" t="str">
        <f>TEXT(Table5[[#This Row],[bill_date]],"mmmm")</f>
        <v>June</v>
      </c>
      <c r="E258" s="9">
        <f>YEAR(Table5[[#This Row],[bill_date]])</f>
        <v>2024</v>
      </c>
      <c r="F258">
        <v>435</v>
      </c>
      <c r="G258" t="s">
        <v>29</v>
      </c>
    </row>
    <row r="259" spans="1:7" x14ac:dyDescent="0.3">
      <c r="A259">
        <v>30258</v>
      </c>
      <c r="B259">
        <v>195</v>
      </c>
      <c r="C259" s="2">
        <v>44675</v>
      </c>
      <c r="D259" s="2" t="str">
        <f>TEXT(Table5[[#This Row],[bill_date]],"mmmm")</f>
        <v>April</v>
      </c>
      <c r="E259" s="9">
        <f>YEAR(Table5[[#This Row],[bill_date]])</f>
        <v>2022</v>
      </c>
      <c r="F259">
        <v>1440</v>
      </c>
      <c r="G259" t="s">
        <v>30</v>
      </c>
    </row>
    <row r="260" spans="1:7" x14ac:dyDescent="0.3">
      <c r="A260">
        <v>30259</v>
      </c>
      <c r="B260">
        <v>23</v>
      </c>
      <c r="C260" s="2">
        <v>44658</v>
      </c>
      <c r="D260" s="2" t="str">
        <f>TEXT(Table5[[#This Row],[bill_date]],"mmmm")</f>
        <v>April</v>
      </c>
      <c r="E260" s="9">
        <f>YEAR(Table5[[#This Row],[bill_date]])</f>
        <v>2022</v>
      </c>
      <c r="F260">
        <v>1346</v>
      </c>
      <c r="G260" t="s">
        <v>30</v>
      </c>
    </row>
    <row r="261" spans="1:7" x14ac:dyDescent="0.3">
      <c r="A261">
        <v>30260</v>
      </c>
      <c r="B261">
        <v>14</v>
      </c>
      <c r="C261" s="2">
        <v>44943</v>
      </c>
      <c r="D261" s="2" t="str">
        <f>TEXT(Table5[[#This Row],[bill_date]],"mmmm")</f>
        <v>January</v>
      </c>
      <c r="E261" s="9">
        <f>YEAR(Table5[[#This Row],[bill_date]])</f>
        <v>2023</v>
      </c>
      <c r="F261">
        <v>827</v>
      </c>
      <c r="G261" t="s">
        <v>30</v>
      </c>
    </row>
    <row r="262" spans="1:7" x14ac:dyDescent="0.3">
      <c r="A262">
        <v>30261</v>
      </c>
      <c r="B262">
        <v>390</v>
      </c>
      <c r="C262" s="2">
        <v>44937</v>
      </c>
      <c r="D262" s="2" t="str">
        <f>TEXT(Table5[[#This Row],[bill_date]],"mmmm")</f>
        <v>January</v>
      </c>
      <c r="E262" s="9">
        <f>YEAR(Table5[[#This Row],[bill_date]])</f>
        <v>2023</v>
      </c>
      <c r="F262">
        <v>1485</v>
      </c>
      <c r="G262" t="s">
        <v>30</v>
      </c>
    </row>
    <row r="263" spans="1:7" x14ac:dyDescent="0.3">
      <c r="A263">
        <v>30262</v>
      </c>
      <c r="B263">
        <v>289</v>
      </c>
      <c r="C263" s="2">
        <v>45067</v>
      </c>
      <c r="D263" s="2" t="str">
        <f>TEXT(Table5[[#This Row],[bill_date]],"mmmm")</f>
        <v>May</v>
      </c>
      <c r="E263" s="9">
        <f>YEAR(Table5[[#This Row],[bill_date]])</f>
        <v>2023</v>
      </c>
      <c r="F263">
        <v>368</v>
      </c>
      <c r="G263" t="s">
        <v>30</v>
      </c>
    </row>
    <row r="264" spans="1:7" x14ac:dyDescent="0.3">
      <c r="A264">
        <v>30263</v>
      </c>
      <c r="B264">
        <v>9</v>
      </c>
      <c r="C264" s="2">
        <v>44883</v>
      </c>
      <c r="D264" s="2" t="str">
        <f>TEXT(Table5[[#This Row],[bill_date]],"mmmm")</f>
        <v>November</v>
      </c>
      <c r="E264" s="9">
        <f>YEAR(Table5[[#This Row],[bill_date]])</f>
        <v>2022</v>
      </c>
      <c r="F264">
        <v>1930</v>
      </c>
      <c r="G264" t="s">
        <v>30</v>
      </c>
    </row>
    <row r="265" spans="1:7" x14ac:dyDescent="0.3">
      <c r="A265">
        <v>30264</v>
      </c>
      <c r="B265">
        <v>140</v>
      </c>
      <c r="C265" s="2">
        <v>44889</v>
      </c>
      <c r="D265" s="2" t="str">
        <f>TEXT(Table5[[#This Row],[bill_date]],"mmmm")</f>
        <v>November</v>
      </c>
      <c r="E265" s="9">
        <f>YEAR(Table5[[#This Row],[bill_date]])</f>
        <v>2022</v>
      </c>
      <c r="F265">
        <v>1019</v>
      </c>
      <c r="G265" t="s">
        <v>30</v>
      </c>
    </row>
    <row r="266" spans="1:7" x14ac:dyDescent="0.3">
      <c r="A266">
        <v>30265</v>
      </c>
      <c r="B266">
        <v>242</v>
      </c>
      <c r="C266" s="2">
        <v>44910</v>
      </c>
      <c r="D266" s="2" t="str">
        <f>TEXT(Table5[[#This Row],[bill_date]],"mmmm")</f>
        <v>December</v>
      </c>
      <c r="E266" s="9">
        <f>YEAR(Table5[[#This Row],[bill_date]])</f>
        <v>2022</v>
      </c>
      <c r="F266">
        <v>590</v>
      </c>
      <c r="G266" t="s">
        <v>30</v>
      </c>
    </row>
    <row r="267" spans="1:7" x14ac:dyDescent="0.3">
      <c r="A267">
        <v>30266</v>
      </c>
      <c r="B267">
        <v>253</v>
      </c>
      <c r="C267" s="2">
        <v>44731</v>
      </c>
      <c r="D267" s="2" t="str">
        <f>TEXT(Table5[[#This Row],[bill_date]],"mmmm")</f>
        <v>June</v>
      </c>
      <c r="E267" s="9">
        <f>YEAR(Table5[[#This Row],[bill_date]])</f>
        <v>2022</v>
      </c>
      <c r="F267">
        <v>1372</v>
      </c>
      <c r="G267" t="s">
        <v>30</v>
      </c>
    </row>
    <row r="268" spans="1:7" x14ac:dyDescent="0.3">
      <c r="A268">
        <v>30267</v>
      </c>
      <c r="B268">
        <v>227</v>
      </c>
      <c r="C268" s="2">
        <v>44868</v>
      </c>
      <c r="D268" s="2" t="str">
        <f>TEXT(Table5[[#This Row],[bill_date]],"mmmm")</f>
        <v>November</v>
      </c>
      <c r="E268" s="9">
        <f>YEAR(Table5[[#This Row],[bill_date]])</f>
        <v>2022</v>
      </c>
      <c r="F268">
        <v>1468</v>
      </c>
      <c r="G268" t="s">
        <v>30</v>
      </c>
    </row>
    <row r="269" spans="1:7" x14ac:dyDescent="0.3">
      <c r="A269">
        <v>30268</v>
      </c>
      <c r="B269">
        <v>373</v>
      </c>
      <c r="C269" s="2">
        <v>44760</v>
      </c>
      <c r="D269" s="2" t="str">
        <f>TEXT(Table5[[#This Row],[bill_date]],"mmmm")</f>
        <v>July</v>
      </c>
      <c r="E269" s="9">
        <f>YEAR(Table5[[#This Row],[bill_date]])</f>
        <v>2022</v>
      </c>
      <c r="F269">
        <v>699</v>
      </c>
      <c r="G269" t="s">
        <v>29</v>
      </c>
    </row>
    <row r="270" spans="1:7" x14ac:dyDescent="0.3">
      <c r="A270">
        <v>30269</v>
      </c>
      <c r="B270">
        <v>95</v>
      </c>
      <c r="C270" s="2">
        <v>44738</v>
      </c>
      <c r="D270" s="2" t="str">
        <f>TEXT(Table5[[#This Row],[bill_date]],"mmmm")</f>
        <v>June</v>
      </c>
      <c r="E270" s="9">
        <f>YEAR(Table5[[#This Row],[bill_date]])</f>
        <v>2022</v>
      </c>
      <c r="F270">
        <v>1413</v>
      </c>
      <c r="G270" t="s">
        <v>30</v>
      </c>
    </row>
    <row r="271" spans="1:7" x14ac:dyDescent="0.3">
      <c r="A271">
        <v>30270</v>
      </c>
      <c r="B271">
        <v>179</v>
      </c>
      <c r="C271" s="2">
        <v>44685</v>
      </c>
      <c r="D271" s="2" t="str">
        <f>TEXT(Table5[[#This Row],[bill_date]],"mmmm")</f>
        <v>May</v>
      </c>
      <c r="E271" s="9">
        <f>YEAR(Table5[[#This Row],[bill_date]])</f>
        <v>2022</v>
      </c>
      <c r="F271">
        <v>372</v>
      </c>
      <c r="G271" t="s">
        <v>30</v>
      </c>
    </row>
    <row r="272" spans="1:7" x14ac:dyDescent="0.3">
      <c r="A272">
        <v>30271</v>
      </c>
      <c r="B272">
        <v>3</v>
      </c>
      <c r="C272" s="2">
        <v>44718</v>
      </c>
      <c r="D272" s="2" t="str">
        <f>TEXT(Table5[[#This Row],[bill_date]],"mmmm")</f>
        <v>June</v>
      </c>
      <c r="E272" s="9">
        <f>YEAR(Table5[[#This Row],[bill_date]])</f>
        <v>2022</v>
      </c>
      <c r="F272">
        <v>791</v>
      </c>
      <c r="G272" t="s">
        <v>30</v>
      </c>
    </row>
    <row r="273" spans="1:7" x14ac:dyDescent="0.3">
      <c r="A273">
        <v>30272</v>
      </c>
      <c r="B273">
        <v>184</v>
      </c>
      <c r="C273" s="2">
        <v>45168</v>
      </c>
      <c r="D273" s="2" t="str">
        <f>TEXT(Table5[[#This Row],[bill_date]],"mmmm")</f>
        <v>August</v>
      </c>
      <c r="E273" s="9">
        <f>YEAR(Table5[[#This Row],[bill_date]])</f>
        <v>2023</v>
      </c>
      <c r="F273">
        <v>370</v>
      </c>
      <c r="G273" t="s">
        <v>30</v>
      </c>
    </row>
    <row r="274" spans="1:7" x14ac:dyDescent="0.3">
      <c r="A274">
        <v>30273</v>
      </c>
      <c r="B274">
        <v>46</v>
      </c>
      <c r="C274" s="2">
        <v>44847</v>
      </c>
      <c r="D274" s="2" t="str">
        <f>TEXT(Table5[[#This Row],[bill_date]],"mmmm")</f>
        <v>October</v>
      </c>
      <c r="E274" s="9">
        <f>YEAR(Table5[[#This Row],[bill_date]])</f>
        <v>2022</v>
      </c>
      <c r="F274">
        <v>1156</v>
      </c>
      <c r="G274" t="s">
        <v>28</v>
      </c>
    </row>
    <row r="275" spans="1:7" x14ac:dyDescent="0.3">
      <c r="A275">
        <v>30274</v>
      </c>
      <c r="B275">
        <v>292</v>
      </c>
      <c r="C275" s="2">
        <v>45172</v>
      </c>
      <c r="D275" s="2" t="str">
        <f>TEXT(Table5[[#This Row],[bill_date]],"mmmm")</f>
        <v>September</v>
      </c>
      <c r="E275" s="9">
        <f>YEAR(Table5[[#This Row],[bill_date]])</f>
        <v>2023</v>
      </c>
      <c r="F275">
        <v>874</v>
      </c>
      <c r="G275" t="s">
        <v>30</v>
      </c>
    </row>
    <row r="276" spans="1:7" x14ac:dyDescent="0.3">
      <c r="A276">
        <v>30275</v>
      </c>
      <c r="B276">
        <v>141</v>
      </c>
      <c r="C276" s="2">
        <v>45440</v>
      </c>
      <c r="D276" s="2" t="str">
        <f>TEXT(Table5[[#This Row],[bill_date]],"mmmm")</f>
        <v>May</v>
      </c>
      <c r="E276" s="9">
        <f>YEAR(Table5[[#This Row],[bill_date]])</f>
        <v>2024</v>
      </c>
      <c r="F276">
        <v>1007</v>
      </c>
      <c r="G276" t="s">
        <v>30</v>
      </c>
    </row>
    <row r="277" spans="1:7" x14ac:dyDescent="0.3">
      <c r="A277">
        <v>30276</v>
      </c>
      <c r="B277">
        <v>13</v>
      </c>
      <c r="C277" s="2">
        <v>45442</v>
      </c>
      <c r="D277" s="2" t="str">
        <f>TEXT(Table5[[#This Row],[bill_date]],"mmmm")</f>
        <v>May</v>
      </c>
      <c r="E277" s="9">
        <f>YEAR(Table5[[#This Row],[bill_date]])</f>
        <v>2024</v>
      </c>
      <c r="F277">
        <v>821</v>
      </c>
      <c r="G277" t="s">
        <v>30</v>
      </c>
    </row>
    <row r="278" spans="1:7" x14ac:dyDescent="0.3">
      <c r="A278">
        <v>30277</v>
      </c>
      <c r="B278">
        <v>186</v>
      </c>
      <c r="C278" s="2">
        <v>44796</v>
      </c>
      <c r="D278" s="2" t="str">
        <f>TEXT(Table5[[#This Row],[bill_date]],"mmmm")</f>
        <v>August</v>
      </c>
      <c r="E278" s="9">
        <f>YEAR(Table5[[#This Row],[bill_date]])</f>
        <v>2022</v>
      </c>
      <c r="F278">
        <v>917</v>
      </c>
      <c r="G278" t="s">
        <v>30</v>
      </c>
    </row>
    <row r="279" spans="1:7" x14ac:dyDescent="0.3">
      <c r="A279">
        <v>30278</v>
      </c>
      <c r="B279">
        <v>482</v>
      </c>
      <c r="C279" s="2">
        <v>45263</v>
      </c>
      <c r="D279" s="2" t="str">
        <f>TEXT(Table5[[#This Row],[bill_date]],"mmmm")</f>
        <v>December</v>
      </c>
      <c r="E279" s="9">
        <f>YEAR(Table5[[#This Row],[bill_date]])</f>
        <v>2023</v>
      </c>
      <c r="F279">
        <v>536</v>
      </c>
      <c r="G279" t="s">
        <v>30</v>
      </c>
    </row>
    <row r="280" spans="1:7" x14ac:dyDescent="0.3">
      <c r="A280">
        <v>30279</v>
      </c>
      <c r="B280">
        <v>85</v>
      </c>
      <c r="C280" s="2">
        <v>44855</v>
      </c>
      <c r="D280" s="2" t="str">
        <f>TEXT(Table5[[#This Row],[bill_date]],"mmmm")</f>
        <v>October</v>
      </c>
      <c r="E280" s="9">
        <f>YEAR(Table5[[#This Row],[bill_date]])</f>
        <v>2022</v>
      </c>
      <c r="F280">
        <v>1633</v>
      </c>
      <c r="G280" t="s">
        <v>30</v>
      </c>
    </row>
    <row r="281" spans="1:7" x14ac:dyDescent="0.3">
      <c r="A281">
        <v>30280</v>
      </c>
      <c r="B281">
        <v>418</v>
      </c>
      <c r="C281" s="2">
        <v>45346</v>
      </c>
      <c r="D281" s="2" t="str">
        <f>TEXT(Table5[[#This Row],[bill_date]],"mmmm")</f>
        <v>February</v>
      </c>
      <c r="E281" s="9">
        <f>YEAR(Table5[[#This Row],[bill_date]])</f>
        <v>2024</v>
      </c>
      <c r="F281">
        <v>1292</v>
      </c>
      <c r="G281" t="s">
        <v>30</v>
      </c>
    </row>
    <row r="282" spans="1:7" x14ac:dyDescent="0.3">
      <c r="A282">
        <v>30281</v>
      </c>
      <c r="B282">
        <v>490</v>
      </c>
      <c r="C282" s="2">
        <v>45403</v>
      </c>
      <c r="D282" s="2" t="str">
        <f>TEXT(Table5[[#This Row],[bill_date]],"mmmm")</f>
        <v>April</v>
      </c>
      <c r="E282" s="9">
        <f>YEAR(Table5[[#This Row],[bill_date]])</f>
        <v>2024</v>
      </c>
      <c r="F282">
        <v>1320</v>
      </c>
      <c r="G282" t="s">
        <v>30</v>
      </c>
    </row>
    <row r="283" spans="1:7" x14ac:dyDescent="0.3">
      <c r="A283">
        <v>30282</v>
      </c>
      <c r="B283">
        <v>43</v>
      </c>
      <c r="C283" s="2">
        <v>45458</v>
      </c>
      <c r="D283" s="2" t="str">
        <f>TEXT(Table5[[#This Row],[bill_date]],"mmmm")</f>
        <v>June</v>
      </c>
      <c r="E283" s="9">
        <f>YEAR(Table5[[#This Row],[bill_date]])</f>
        <v>2024</v>
      </c>
      <c r="F283">
        <v>1135</v>
      </c>
      <c r="G283" t="s">
        <v>30</v>
      </c>
    </row>
    <row r="284" spans="1:7" x14ac:dyDescent="0.3">
      <c r="A284">
        <v>30283</v>
      </c>
      <c r="B284">
        <v>384</v>
      </c>
      <c r="C284" s="2">
        <v>44579</v>
      </c>
      <c r="D284" s="2" t="str">
        <f>TEXT(Table5[[#This Row],[bill_date]],"mmmm")</f>
        <v>January</v>
      </c>
      <c r="E284" s="9">
        <f>YEAR(Table5[[#This Row],[bill_date]])</f>
        <v>2022</v>
      </c>
      <c r="F284">
        <v>1739</v>
      </c>
      <c r="G284" t="s">
        <v>28</v>
      </c>
    </row>
    <row r="285" spans="1:7" x14ac:dyDescent="0.3">
      <c r="A285">
        <v>30284</v>
      </c>
      <c r="B285">
        <v>156</v>
      </c>
      <c r="C285" s="2">
        <v>44735</v>
      </c>
      <c r="D285" s="2" t="str">
        <f>TEXT(Table5[[#This Row],[bill_date]],"mmmm")</f>
        <v>June</v>
      </c>
      <c r="E285" s="9">
        <f>YEAR(Table5[[#This Row],[bill_date]])</f>
        <v>2022</v>
      </c>
      <c r="F285">
        <v>1407</v>
      </c>
      <c r="G285" t="s">
        <v>28</v>
      </c>
    </row>
    <row r="286" spans="1:7" x14ac:dyDescent="0.3">
      <c r="A286">
        <v>30285</v>
      </c>
      <c r="B286">
        <v>184</v>
      </c>
      <c r="C286" s="2">
        <v>44964</v>
      </c>
      <c r="D286" s="2" t="str">
        <f>TEXT(Table5[[#This Row],[bill_date]],"mmmm")</f>
        <v>February</v>
      </c>
      <c r="E286" s="9">
        <f>YEAR(Table5[[#This Row],[bill_date]])</f>
        <v>2023</v>
      </c>
      <c r="F286">
        <v>1938</v>
      </c>
      <c r="G286" t="s">
        <v>30</v>
      </c>
    </row>
    <row r="287" spans="1:7" x14ac:dyDescent="0.3">
      <c r="A287">
        <v>30286</v>
      </c>
      <c r="B287">
        <v>47</v>
      </c>
      <c r="C287" s="2">
        <v>44942</v>
      </c>
      <c r="D287" s="2" t="str">
        <f>TEXT(Table5[[#This Row],[bill_date]],"mmmm")</f>
        <v>January</v>
      </c>
      <c r="E287" s="9">
        <f>YEAR(Table5[[#This Row],[bill_date]])</f>
        <v>2023</v>
      </c>
      <c r="F287">
        <v>1635</v>
      </c>
      <c r="G287" t="s">
        <v>30</v>
      </c>
    </row>
    <row r="288" spans="1:7" x14ac:dyDescent="0.3">
      <c r="A288">
        <v>30287</v>
      </c>
      <c r="B288">
        <v>419</v>
      </c>
      <c r="C288" s="2">
        <v>45379</v>
      </c>
      <c r="D288" s="2" t="str">
        <f>TEXT(Table5[[#This Row],[bill_date]],"mmmm")</f>
        <v>March</v>
      </c>
      <c r="E288" s="9">
        <f>YEAR(Table5[[#This Row],[bill_date]])</f>
        <v>2024</v>
      </c>
      <c r="F288">
        <v>576</v>
      </c>
      <c r="G288" t="s">
        <v>28</v>
      </c>
    </row>
    <row r="289" spans="1:7" x14ac:dyDescent="0.3">
      <c r="A289">
        <v>30288</v>
      </c>
      <c r="B289">
        <v>206</v>
      </c>
      <c r="C289" s="2">
        <v>44681</v>
      </c>
      <c r="D289" s="2" t="str">
        <f>TEXT(Table5[[#This Row],[bill_date]],"mmmm")</f>
        <v>April</v>
      </c>
      <c r="E289" s="9">
        <f>YEAR(Table5[[#This Row],[bill_date]])</f>
        <v>2022</v>
      </c>
      <c r="F289">
        <v>1234</v>
      </c>
      <c r="G289" t="s">
        <v>30</v>
      </c>
    </row>
    <row r="290" spans="1:7" x14ac:dyDescent="0.3">
      <c r="A290">
        <v>30289</v>
      </c>
      <c r="B290">
        <v>210</v>
      </c>
      <c r="C290" s="2">
        <v>45329</v>
      </c>
      <c r="D290" s="2" t="str">
        <f>TEXT(Table5[[#This Row],[bill_date]],"mmmm")</f>
        <v>February</v>
      </c>
      <c r="E290" s="9">
        <f>YEAR(Table5[[#This Row],[bill_date]])</f>
        <v>2024</v>
      </c>
      <c r="F290">
        <v>1631</v>
      </c>
      <c r="G290" t="s">
        <v>30</v>
      </c>
    </row>
    <row r="291" spans="1:7" x14ac:dyDescent="0.3">
      <c r="A291">
        <v>30290</v>
      </c>
      <c r="B291">
        <v>275</v>
      </c>
      <c r="C291" s="2">
        <v>44657</v>
      </c>
      <c r="D291" s="2" t="str">
        <f>TEXT(Table5[[#This Row],[bill_date]],"mmmm")</f>
        <v>April</v>
      </c>
      <c r="E291" s="9">
        <f>YEAR(Table5[[#This Row],[bill_date]])</f>
        <v>2022</v>
      </c>
      <c r="F291">
        <v>1973</v>
      </c>
      <c r="G291" t="s">
        <v>30</v>
      </c>
    </row>
    <row r="292" spans="1:7" x14ac:dyDescent="0.3">
      <c r="A292">
        <v>30291</v>
      </c>
      <c r="B292">
        <v>83</v>
      </c>
      <c r="C292" s="2">
        <v>45383</v>
      </c>
      <c r="D292" s="2" t="str">
        <f>TEXT(Table5[[#This Row],[bill_date]],"mmmm")</f>
        <v>April</v>
      </c>
      <c r="E292" s="9">
        <f>YEAR(Table5[[#This Row],[bill_date]])</f>
        <v>2024</v>
      </c>
      <c r="F292">
        <v>616</v>
      </c>
      <c r="G292" t="s">
        <v>30</v>
      </c>
    </row>
    <row r="293" spans="1:7" x14ac:dyDescent="0.3">
      <c r="A293">
        <v>30292</v>
      </c>
      <c r="B293">
        <v>97</v>
      </c>
      <c r="C293" s="2">
        <v>44592</v>
      </c>
      <c r="D293" s="2" t="str">
        <f>TEXT(Table5[[#This Row],[bill_date]],"mmmm")</f>
        <v>January</v>
      </c>
      <c r="E293" s="9">
        <f>YEAR(Table5[[#This Row],[bill_date]])</f>
        <v>2022</v>
      </c>
      <c r="F293">
        <v>529</v>
      </c>
      <c r="G293" t="s">
        <v>29</v>
      </c>
    </row>
    <row r="294" spans="1:7" x14ac:dyDescent="0.3">
      <c r="A294">
        <v>30293</v>
      </c>
      <c r="B294">
        <v>179</v>
      </c>
      <c r="C294" s="2">
        <v>44658</v>
      </c>
      <c r="D294" s="2" t="str">
        <f>TEXT(Table5[[#This Row],[bill_date]],"mmmm")</f>
        <v>April</v>
      </c>
      <c r="E294" s="9">
        <f>YEAR(Table5[[#This Row],[bill_date]])</f>
        <v>2022</v>
      </c>
      <c r="F294">
        <v>1181</v>
      </c>
      <c r="G294" t="s">
        <v>30</v>
      </c>
    </row>
    <row r="295" spans="1:7" x14ac:dyDescent="0.3">
      <c r="A295">
        <v>30294</v>
      </c>
      <c r="B295">
        <v>355</v>
      </c>
      <c r="C295" s="2">
        <v>45031</v>
      </c>
      <c r="D295" s="2" t="str">
        <f>TEXT(Table5[[#This Row],[bill_date]],"mmmm")</f>
        <v>April</v>
      </c>
      <c r="E295" s="9">
        <f>YEAR(Table5[[#This Row],[bill_date]])</f>
        <v>2023</v>
      </c>
      <c r="F295">
        <v>478</v>
      </c>
      <c r="G295" t="s">
        <v>30</v>
      </c>
    </row>
    <row r="296" spans="1:7" x14ac:dyDescent="0.3">
      <c r="A296">
        <v>30295</v>
      </c>
      <c r="B296">
        <v>148</v>
      </c>
      <c r="C296" s="2">
        <v>45266</v>
      </c>
      <c r="D296" s="2" t="str">
        <f>TEXT(Table5[[#This Row],[bill_date]],"mmmm")</f>
        <v>December</v>
      </c>
      <c r="E296" s="9">
        <f>YEAR(Table5[[#This Row],[bill_date]])</f>
        <v>2023</v>
      </c>
      <c r="F296">
        <v>1337</v>
      </c>
      <c r="G296" t="s">
        <v>30</v>
      </c>
    </row>
    <row r="297" spans="1:7" x14ac:dyDescent="0.3">
      <c r="A297">
        <v>30296</v>
      </c>
      <c r="B297">
        <v>285</v>
      </c>
      <c r="C297" s="2">
        <v>45306</v>
      </c>
      <c r="D297" s="2" t="str">
        <f>TEXT(Table5[[#This Row],[bill_date]],"mmmm")</f>
        <v>January</v>
      </c>
      <c r="E297" s="9">
        <f>YEAR(Table5[[#This Row],[bill_date]])</f>
        <v>2024</v>
      </c>
      <c r="F297">
        <v>1079</v>
      </c>
      <c r="G297" t="s">
        <v>30</v>
      </c>
    </row>
    <row r="298" spans="1:7" x14ac:dyDescent="0.3">
      <c r="A298">
        <v>30297</v>
      </c>
      <c r="B298">
        <v>384</v>
      </c>
      <c r="C298" s="2">
        <v>44607</v>
      </c>
      <c r="D298" s="2" t="str">
        <f>TEXT(Table5[[#This Row],[bill_date]],"mmmm")</f>
        <v>February</v>
      </c>
      <c r="E298" s="9">
        <f>YEAR(Table5[[#This Row],[bill_date]])</f>
        <v>2022</v>
      </c>
      <c r="F298">
        <v>1432</v>
      </c>
      <c r="G298" t="s">
        <v>30</v>
      </c>
    </row>
    <row r="299" spans="1:7" x14ac:dyDescent="0.3">
      <c r="A299">
        <v>30298</v>
      </c>
      <c r="B299">
        <v>72</v>
      </c>
      <c r="C299" s="2">
        <v>45364</v>
      </c>
      <c r="D299" s="2" t="str">
        <f>TEXT(Table5[[#This Row],[bill_date]],"mmmm")</f>
        <v>March</v>
      </c>
      <c r="E299" s="9">
        <f>YEAR(Table5[[#This Row],[bill_date]])</f>
        <v>2024</v>
      </c>
      <c r="F299">
        <v>645</v>
      </c>
      <c r="G299" t="s">
        <v>30</v>
      </c>
    </row>
    <row r="300" spans="1:7" x14ac:dyDescent="0.3">
      <c r="A300">
        <v>30299</v>
      </c>
      <c r="B300">
        <v>217</v>
      </c>
      <c r="C300" s="2">
        <v>44797</v>
      </c>
      <c r="D300" s="2" t="str">
        <f>TEXT(Table5[[#This Row],[bill_date]],"mmmm")</f>
        <v>August</v>
      </c>
      <c r="E300" s="9">
        <f>YEAR(Table5[[#This Row],[bill_date]])</f>
        <v>2022</v>
      </c>
      <c r="F300">
        <v>1029</v>
      </c>
      <c r="G300" t="s">
        <v>30</v>
      </c>
    </row>
    <row r="301" spans="1:7" x14ac:dyDescent="0.3">
      <c r="A301">
        <v>30300</v>
      </c>
      <c r="B301">
        <v>209</v>
      </c>
      <c r="C301" s="2">
        <v>45122</v>
      </c>
      <c r="D301" s="2" t="str">
        <f>TEXT(Table5[[#This Row],[bill_date]],"mmmm")</f>
        <v>July</v>
      </c>
      <c r="E301" s="9">
        <f>YEAR(Table5[[#This Row],[bill_date]])</f>
        <v>2023</v>
      </c>
      <c r="F301">
        <v>1616</v>
      </c>
      <c r="G301" t="s">
        <v>28</v>
      </c>
    </row>
    <row r="302" spans="1:7" x14ac:dyDescent="0.3">
      <c r="A302">
        <v>30301</v>
      </c>
      <c r="B302">
        <v>321</v>
      </c>
      <c r="C302" s="2">
        <v>44898</v>
      </c>
      <c r="D302" s="2" t="str">
        <f>TEXT(Table5[[#This Row],[bill_date]],"mmmm")</f>
        <v>December</v>
      </c>
      <c r="E302" s="9">
        <f>YEAR(Table5[[#This Row],[bill_date]])</f>
        <v>2022</v>
      </c>
      <c r="F302">
        <v>1867</v>
      </c>
      <c r="G302" t="s">
        <v>30</v>
      </c>
    </row>
    <row r="303" spans="1:7" x14ac:dyDescent="0.3">
      <c r="A303">
        <v>30302</v>
      </c>
      <c r="B303">
        <v>294</v>
      </c>
      <c r="C303" s="2">
        <v>45235</v>
      </c>
      <c r="D303" s="2" t="str">
        <f>TEXT(Table5[[#This Row],[bill_date]],"mmmm")</f>
        <v>November</v>
      </c>
      <c r="E303" s="9">
        <f>YEAR(Table5[[#This Row],[bill_date]])</f>
        <v>2023</v>
      </c>
      <c r="F303">
        <v>933</v>
      </c>
      <c r="G303" t="s">
        <v>30</v>
      </c>
    </row>
    <row r="304" spans="1:7" x14ac:dyDescent="0.3">
      <c r="A304">
        <v>30303</v>
      </c>
      <c r="B304">
        <v>433</v>
      </c>
      <c r="C304" s="2">
        <v>44846</v>
      </c>
      <c r="D304" s="2" t="str">
        <f>TEXT(Table5[[#This Row],[bill_date]],"mmmm")</f>
        <v>October</v>
      </c>
      <c r="E304" s="9">
        <f>YEAR(Table5[[#This Row],[bill_date]])</f>
        <v>2022</v>
      </c>
      <c r="F304">
        <v>1403</v>
      </c>
      <c r="G304" t="s">
        <v>30</v>
      </c>
    </row>
    <row r="305" spans="1:7" x14ac:dyDescent="0.3">
      <c r="A305">
        <v>30304</v>
      </c>
      <c r="B305">
        <v>124</v>
      </c>
      <c r="C305" s="2">
        <v>44695</v>
      </c>
      <c r="D305" s="2" t="str">
        <f>TEXT(Table5[[#This Row],[bill_date]],"mmmm")</f>
        <v>May</v>
      </c>
      <c r="E305" s="9">
        <f>YEAR(Table5[[#This Row],[bill_date]])</f>
        <v>2022</v>
      </c>
      <c r="F305">
        <v>1687</v>
      </c>
      <c r="G305" t="s">
        <v>30</v>
      </c>
    </row>
    <row r="306" spans="1:7" x14ac:dyDescent="0.3">
      <c r="A306">
        <v>30305</v>
      </c>
      <c r="B306">
        <v>350</v>
      </c>
      <c r="C306" s="2">
        <v>45330</v>
      </c>
      <c r="D306" s="2" t="str">
        <f>TEXT(Table5[[#This Row],[bill_date]],"mmmm")</f>
        <v>February</v>
      </c>
      <c r="E306" s="9">
        <f>YEAR(Table5[[#This Row],[bill_date]])</f>
        <v>2024</v>
      </c>
      <c r="F306">
        <v>1250</v>
      </c>
      <c r="G306" t="s">
        <v>28</v>
      </c>
    </row>
    <row r="307" spans="1:7" x14ac:dyDescent="0.3">
      <c r="A307">
        <v>30306</v>
      </c>
      <c r="B307">
        <v>156</v>
      </c>
      <c r="C307" s="2">
        <v>45256</v>
      </c>
      <c r="D307" s="2" t="str">
        <f>TEXT(Table5[[#This Row],[bill_date]],"mmmm")</f>
        <v>November</v>
      </c>
      <c r="E307" s="9">
        <f>YEAR(Table5[[#This Row],[bill_date]])</f>
        <v>2023</v>
      </c>
      <c r="F307">
        <v>391</v>
      </c>
      <c r="G307" t="s">
        <v>28</v>
      </c>
    </row>
    <row r="308" spans="1:7" x14ac:dyDescent="0.3">
      <c r="A308">
        <v>30307</v>
      </c>
      <c r="B308">
        <v>33</v>
      </c>
      <c r="C308" s="2">
        <v>45100</v>
      </c>
      <c r="D308" s="2" t="str">
        <f>TEXT(Table5[[#This Row],[bill_date]],"mmmm")</f>
        <v>June</v>
      </c>
      <c r="E308" s="9">
        <f>YEAR(Table5[[#This Row],[bill_date]])</f>
        <v>2023</v>
      </c>
      <c r="F308">
        <v>1011</v>
      </c>
      <c r="G308" t="s">
        <v>29</v>
      </c>
    </row>
    <row r="309" spans="1:7" x14ac:dyDescent="0.3">
      <c r="A309">
        <v>30308</v>
      </c>
      <c r="B309">
        <v>269</v>
      </c>
      <c r="C309" s="2">
        <v>45213</v>
      </c>
      <c r="D309" s="2" t="str">
        <f>TEXT(Table5[[#This Row],[bill_date]],"mmmm")</f>
        <v>October</v>
      </c>
      <c r="E309" s="9">
        <f>YEAR(Table5[[#This Row],[bill_date]])</f>
        <v>2023</v>
      </c>
      <c r="F309">
        <v>1160</v>
      </c>
      <c r="G309" t="s">
        <v>28</v>
      </c>
    </row>
    <row r="310" spans="1:7" x14ac:dyDescent="0.3">
      <c r="A310">
        <v>30309</v>
      </c>
      <c r="B310">
        <v>216</v>
      </c>
      <c r="C310" s="2">
        <v>44821</v>
      </c>
      <c r="D310" s="2" t="str">
        <f>TEXT(Table5[[#This Row],[bill_date]],"mmmm")</f>
        <v>September</v>
      </c>
      <c r="E310" s="9">
        <f>YEAR(Table5[[#This Row],[bill_date]])</f>
        <v>2022</v>
      </c>
      <c r="F310">
        <v>1478</v>
      </c>
      <c r="G310" t="s">
        <v>30</v>
      </c>
    </row>
    <row r="311" spans="1:7" x14ac:dyDescent="0.3">
      <c r="A311">
        <v>30310</v>
      </c>
      <c r="B311">
        <v>428</v>
      </c>
      <c r="C311" s="2">
        <v>45064</v>
      </c>
      <c r="D311" s="2" t="str">
        <f>TEXT(Table5[[#This Row],[bill_date]],"mmmm")</f>
        <v>May</v>
      </c>
      <c r="E311" s="9">
        <f>YEAR(Table5[[#This Row],[bill_date]])</f>
        <v>2023</v>
      </c>
      <c r="F311">
        <v>1845</v>
      </c>
      <c r="G311" t="s">
        <v>30</v>
      </c>
    </row>
    <row r="312" spans="1:7" x14ac:dyDescent="0.3">
      <c r="A312">
        <v>30311</v>
      </c>
      <c r="B312">
        <v>101</v>
      </c>
      <c r="C312" s="2">
        <v>45153</v>
      </c>
      <c r="D312" s="2" t="str">
        <f>TEXT(Table5[[#This Row],[bill_date]],"mmmm")</f>
        <v>August</v>
      </c>
      <c r="E312" s="9">
        <f>YEAR(Table5[[#This Row],[bill_date]])</f>
        <v>2023</v>
      </c>
      <c r="F312">
        <v>622</v>
      </c>
      <c r="G312" t="s">
        <v>30</v>
      </c>
    </row>
    <row r="313" spans="1:7" x14ac:dyDescent="0.3">
      <c r="A313">
        <v>30312</v>
      </c>
      <c r="B313">
        <v>470</v>
      </c>
      <c r="C313" s="2">
        <v>44741</v>
      </c>
      <c r="D313" s="2" t="str">
        <f>TEXT(Table5[[#This Row],[bill_date]],"mmmm")</f>
        <v>June</v>
      </c>
      <c r="E313" s="9">
        <f>YEAR(Table5[[#This Row],[bill_date]])</f>
        <v>2022</v>
      </c>
      <c r="F313">
        <v>904</v>
      </c>
      <c r="G313" t="s">
        <v>30</v>
      </c>
    </row>
    <row r="314" spans="1:7" x14ac:dyDescent="0.3">
      <c r="A314">
        <v>30313</v>
      </c>
      <c r="B314">
        <v>180</v>
      </c>
      <c r="C314" s="2">
        <v>45457</v>
      </c>
      <c r="D314" s="2" t="str">
        <f>TEXT(Table5[[#This Row],[bill_date]],"mmmm")</f>
        <v>June</v>
      </c>
      <c r="E314" s="9">
        <f>YEAR(Table5[[#This Row],[bill_date]])</f>
        <v>2024</v>
      </c>
      <c r="F314">
        <v>1858</v>
      </c>
      <c r="G314" t="s">
        <v>30</v>
      </c>
    </row>
    <row r="315" spans="1:7" x14ac:dyDescent="0.3">
      <c r="A315">
        <v>30314</v>
      </c>
      <c r="B315">
        <v>127</v>
      </c>
      <c r="C315" s="2">
        <v>44828</v>
      </c>
      <c r="D315" s="2" t="str">
        <f>TEXT(Table5[[#This Row],[bill_date]],"mmmm")</f>
        <v>September</v>
      </c>
      <c r="E315" s="9">
        <f>YEAR(Table5[[#This Row],[bill_date]])</f>
        <v>2022</v>
      </c>
      <c r="F315">
        <v>289</v>
      </c>
      <c r="G315" t="s">
        <v>30</v>
      </c>
    </row>
    <row r="316" spans="1:7" x14ac:dyDescent="0.3">
      <c r="A316">
        <v>30315</v>
      </c>
      <c r="B316">
        <v>333</v>
      </c>
      <c r="C316" s="2">
        <v>45125</v>
      </c>
      <c r="D316" s="2" t="str">
        <f>TEXT(Table5[[#This Row],[bill_date]],"mmmm")</f>
        <v>July</v>
      </c>
      <c r="E316" s="9">
        <f>YEAR(Table5[[#This Row],[bill_date]])</f>
        <v>2023</v>
      </c>
      <c r="F316">
        <v>846</v>
      </c>
      <c r="G316" t="s">
        <v>30</v>
      </c>
    </row>
    <row r="317" spans="1:7" x14ac:dyDescent="0.3">
      <c r="A317">
        <v>30316</v>
      </c>
      <c r="B317">
        <v>488</v>
      </c>
      <c r="C317" s="2">
        <v>44645</v>
      </c>
      <c r="D317" s="2" t="str">
        <f>TEXT(Table5[[#This Row],[bill_date]],"mmmm")</f>
        <v>March</v>
      </c>
      <c r="E317" s="9">
        <f>YEAR(Table5[[#This Row],[bill_date]])</f>
        <v>2022</v>
      </c>
      <c r="F317">
        <v>993</v>
      </c>
      <c r="G317" t="s">
        <v>30</v>
      </c>
    </row>
    <row r="318" spans="1:7" x14ac:dyDescent="0.3">
      <c r="A318">
        <v>30317</v>
      </c>
      <c r="B318">
        <v>460</v>
      </c>
      <c r="C318" s="2">
        <v>44971</v>
      </c>
      <c r="D318" s="2" t="str">
        <f>TEXT(Table5[[#This Row],[bill_date]],"mmmm")</f>
        <v>February</v>
      </c>
      <c r="E318" s="9">
        <f>YEAR(Table5[[#This Row],[bill_date]])</f>
        <v>2023</v>
      </c>
      <c r="F318">
        <v>939</v>
      </c>
      <c r="G318" t="s">
        <v>30</v>
      </c>
    </row>
    <row r="319" spans="1:7" x14ac:dyDescent="0.3">
      <c r="A319">
        <v>30318</v>
      </c>
      <c r="B319">
        <v>377</v>
      </c>
      <c r="C319" s="2">
        <v>44717</v>
      </c>
      <c r="D319" s="2" t="str">
        <f>TEXT(Table5[[#This Row],[bill_date]],"mmmm")</f>
        <v>June</v>
      </c>
      <c r="E319" s="9">
        <f>YEAR(Table5[[#This Row],[bill_date]])</f>
        <v>2022</v>
      </c>
      <c r="F319">
        <v>343</v>
      </c>
      <c r="G319" t="s">
        <v>30</v>
      </c>
    </row>
    <row r="320" spans="1:7" x14ac:dyDescent="0.3">
      <c r="A320">
        <v>30319</v>
      </c>
      <c r="B320">
        <v>169</v>
      </c>
      <c r="C320" s="2">
        <v>45051</v>
      </c>
      <c r="D320" s="2" t="str">
        <f>TEXT(Table5[[#This Row],[bill_date]],"mmmm")</f>
        <v>May</v>
      </c>
      <c r="E320" s="9">
        <f>YEAR(Table5[[#This Row],[bill_date]])</f>
        <v>2023</v>
      </c>
      <c r="F320">
        <v>650</v>
      </c>
      <c r="G320" t="s">
        <v>30</v>
      </c>
    </row>
    <row r="321" spans="1:7" x14ac:dyDescent="0.3">
      <c r="A321">
        <v>30320</v>
      </c>
      <c r="B321">
        <v>305</v>
      </c>
      <c r="C321" s="2">
        <v>44889</v>
      </c>
      <c r="D321" s="2" t="str">
        <f>TEXT(Table5[[#This Row],[bill_date]],"mmmm")</f>
        <v>November</v>
      </c>
      <c r="E321" s="9">
        <f>YEAR(Table5[[#This Row],[bill_date]])</f>
        <v>2022</v>
      </c>
      <c r="F321">
        <v>1650</v>
      </c>
      <c r="G321" t="s">
        <v>28</v>
      </c>
    </row>
    <row r="322" spans="1:7" x14ac:dyDescent="0.3">
      <c r="A322">
        <v>30321</v>
      </c>
      <c r="B322">
        <v>366</v>
      </c>
      <c r="C322" s="2">
        <v>45177</v>
      </c>
      <c r="D322" s="2" t="str">
        <f>TEXT(Table5[[#This Row],[bill_date]],"mmmm")</f>
        <v>September</v>
      </c>
      <c r="E322" s="9">
        <f>YEAR(Table5[[#This Row],[bill_date]])</f>
        <v>2023</v>
      </c>
      <c r="F322">
        <v>440</v>
      </c>
      <c r="G322" t="s">
        <v>30</v>
      </c>
    </row>
    <row r="323" spans="1:7" x14ac:dyDescent="0.3">
      <c r="A323">
        <v>30322</v>
      </c>
      <c r="B323">
        <v>135</v>
      </c>
      <c r="C323" s="2">
        <v>44907</v>
      </c>
      <c r="D323" s="2" t="str">
        <f>TEXT(Table5[[#This Row],[bill_date]],"mmmm")</f>
        <v>December</v>
      </c>
      <c r="E323" s="9">
        <f>YEAR(Table5[[#This Row],[bill_date]])</f>
        <v>2022</v>
      </c>
      <c r="F323">
        <v>1708</v>
      </c>
      <c r="G323" t="s">
        <v>28</v>
      </c>
    </row>
    <row r="324" spans="1:7" x14ac:dyDescent="0.3">
      <c r="A324">
        <v>30323</v>
      </c>
      <c r="B324">
        <v>292</v>
      </c>
      <c r="C324" s="2">
        <v>44658</v>
      </c>
      <c r="D324" s="2" t="str">
        <f>TEXT(Table5[[#This Row],[bill_date]],"mmmm")</f>
        <v>April</v>
      </c>
      <c r="E324" s="9">
        <f>YEAR(Table5[[#This Row],[bill_date]])</f>
        <v>2022</v>
      </c>
      <c r="F324">
        <v>1253</v>
      </c>
      <c r="G324" t="s">
        <v>30</v>
      </c>
    </row>
    <row r="325" spans="1:7" x14ac:dyDescent="0.3">
      <c r="A325">
        <v>30324</v>
      </c>
      <c r="B325">
        <v>93</v>
      </c>
      <c r="C325" s="2">
        <v>45198</v>
      </c>
      <c r="D325" s="2" t="str">
        <f>TEXT(Table5[[#This Row],[bill_date]],"mmmm")</f>
        <v>September</v>
      </c>
      <c r="E325" s="9">
        <f>YEAR(Table5[[#This Row],[bill_date]])</f>
        <v>2023</v>
      </c>
      <c r="F325">
        <v>971</v>
      </c>
      <c r="G325" t="s">
        <v>30</v>
      </c>
    </row>
    <row r="326" spans="1:7" x14ac:dyDescent="0.3">
      <c r="A326">
        <v>30325</v>
      </c>
      <c r="B326">
        <v>221</v>
      </c>
      <c r="C326" s="2">
        <v>44744</v>
      </c>
      <c r="D326" s="2" t="str">
        <f>TEXT(Table5[[#This Row],[bill_date]],"mmmm")</f>
        <v>July</v>
      </c>
      <c r="E326" s="9">
        <f>YEAR(Table5[[#This Row],[bill_date]])</f>
        <v>2022</v>
      </c>
      <c r="F326">
        <v>1282</v>
      </c>
      <c r="G326" t="s">
        <v>30</v>
      </c>
    </row>
    <row r="327" spans="1:7" x14ac:dyDescent="0.3">
      <c r="A327">
        <v>30326</v>
      </c>
      <c r="B327">
        <v>410</v>
      </c>
      <c r="C327" s="2">
        <v>44888</v>
      </c>
      <c r="D327" s="2" t="str">
        <f>TEXT(Table5[[#This Row],[bill_date]],"mmmm")</f>
        <v>November</v>
      </c>
      <c r="E327" s="9">
        <f>YEAR(Table5[[#This Row],[bill_date]])</f>
        <v>2022</v>
      </c>
      <c r="F327">
        <v>1823</v>
      </c>
      <c r="G327" t="s">
        <v>30</v>
      </c>
    </row>
    <row r="328" spans="1:7" x14ac:dyDescent="0.3">
      <c r="A328">
        <v>30327</v>
      </c>
      <c r="B328">
        <v>155</v>
      </c>
      <c r="C328" s="2">
        <v>45127</v>
      </c>
      <c r="D328" s="2" t="str">
        <f>TEXT(Table5[[#This Row],[bill_date]],"mmmm")</f>
        <v>July</v>
      </c>
      <c r="E328" s="9">
        <f>YEAR(Table5[[#This Row],[bill_date]])</f>
        <v>2023</v>
      </c>
      <c r="F328">
        <v>674</v>
      </c>
      <c r="G328" t="s">
        <v>28</v>
      </c>
    </row>
    <row r="329" spans="1:7" x14ac:dyDescent="0.3">
      <c r="A329">
        <v>30328</v>
      </c>
      <c r="B329">
        <v>280</v>
      </c>
      <c r="C329" s="2">
        <v>45375</v>
      </c>
      <c r="D329" s="2" t="str">
        <f>TEXT(Table5[[#This Row],[bill_date]],"mmmm")</f>
        <v>March</v>
      </c>
      <c r="E329" s="9">
        <f>YEAR(Table5[[#This Row],[bill_date]])</f>
        <v>2024</v>
      </c>
      <c r="F329">
        <v>299</v>
      </c>
      <c r="G329" t="s">
        <v>30</v>
      </c>
    </row>
    <row r="330" spans="1:7" x14ac:dyDescent="0.3">
      <c r="A330">
        <v>30329</v>
      </c>
      <c r="B330">
        <v>479</v>
      </c>
      <c r="C330" s="2">
        <v>45237</v>
      </c>
      <c r="D330" s="2" t="str">
        <f>TEXT(Table5[[#This Row],[bill_date]],"mmmm")</f>
        <v>November</v>
      </c>
      <c r="E330" s="9">
        <f>YEAR(Table5[[#This Row],[bill_date]])</f>
        <v>2023</v>
      </c>
      <c r="F330">
        <v>1008</v>
      </c>
      <c r="G330" t="s">
        <v>30</v>
      </c>
    </row>
    <row r="331" spans="1:7" x14ac:dyDescent="0.3">
      <c r="A331">
        <v>30330</v>
      </c>
      <c r="B331">
        <v>199</v>
      </c>
      <c r="C331" s="2">
        <v>45457</v>
      </c>
      <c r="D331" s="2" t="str">
        <f>TEXT(Table5[[#This Row],[bill_date]],"mmmm")</f>
        <v>June</v>
      </c>
      <c r="E331" s="9">
        <f>YEAR(Table5[[#This Row],[bill_date]])</f>
        <v>2024</v>
      </c>
      <c r="F331">
        <v>989</v>
      </c>
      <c r="G331" t="s">
        <v>30</v>
      </c>
    </row>
    <row r="332" spans="1:7" x14ac:dyDescent="0.3">
      <c r="A332">
        <v>30331</v>
      </c>
      <c r="B332">
        <v>337</v>
      </c>
      <c r="C332" s="2">
        <v>45222</v>
      </c>
      <c r="D332" s="2" t="str">
        <f>TEXT(Table5[[#This Row],[bill_date]],"mmmm")</f>
        <v>October</v>
      </c>
      <c r="E332" s="9">
        <f>YEAR(Table5[[#This Row],[bill_date]])</f>
        <v>2023</v>
      </c>
      <c r="F332">
        <v>831</v>
      </c>
      <c r="G332" t="s">
        <v>30</v>
      </c>
    </row>
    <row r="333" spans="1:7" x14ac:dyDescent="0.3">
      <c r="A333">
        <v>30332</v>
      </c>
      <c r="B333">
        <v>241</v>
      </c>
      <c r="C333" s="2">
        <v>45363</v>
      </c>
      <c r="D333" s="2" t="str">
        <f>TEXT(Table5[[#This Row],[bill_date]],"mmmm")</f>
        <v>March</v>
      </c>
      <c r="E333" s="9">
        <f>YEAR(Table5[[#This Row],[bill_date]])</f>
        <v>2024</v>
      </c>
      <c r="F333">
        <v>1977</v>
      </c>
      <c r="G333" t="s">
        <v>30</v>
      </c>
    </row>
    <row r="334" spans="1:7" x14ac:dyDescent="0.3">
      <c r="A334">
        <v>30333</v>
      </c>
      <c r="B334">
        <v>417</v>
      </c>
      <c r="C334" s="2">
        <v>44939</v>
      </c>
      <c r="D334" s="2" t="str">
        <f>TEXT(Table5[[#This Row],[bill_date]],"mmmm")</f>
        <v>January</v>
      </c>
      <c r="E334" s="9">
        <f>YEAR(Table5[[#This Row],[bill_date]])</f>
        <v>2023</v>
      </c>
      <c r="F334">
        <v>1075</v>
      </c>
      <c r="G334" t="s">
        <v>30</v>
      </c>
    </row>
    <row r="335" spans="1:7" x14ac:dyDescent="0.3">
      <c r="A335">
        <v>30334</v>
      </c>
      <c r="B335">
        <v>98</v>
      </c>
      <c r="C335" s="2">
        <v>44648</v>
      </c>
      <c r="D335" s="2" t="str">
        <f>TEXT(Table5[[#This Row],[bill_date]],"mmmm")</f>
        <v>March</v>
      </c>
      <c r="E335" s="9">
        <f>YEAR(Table5[[#This Row],[bill_date]])</f>
        <v>2022</v>
      </c>
      <c r="F335">
        <v>787</v>
      </c>
      <c r="G335" t="s">
        <v>30</v>
      </c>
    </row>
    <row r="336" spans="1:7" x14ac:dyDescent="0.3">
      <c r="A336">
        <v>30335</v>
      </c>
      <c r="B336">
        <v>250</v>
      </c>
      <c r="C336" s="2">
        <v>45235</v>
      </c>
      <c r="D336" s="2" t="str">
        <f>TEXT(Table5[[#This Row],[bill_date]],"mmmm")</f>
        <v>November</v>
      </c>
      <c r="E336" s="9">
        <f>YEAR(Table5[[#This Row],[bill_date]])</f>
        <v>2023</v>
      </c>
      <c r="F336">
        <v>471</v>
      </c>
      <c r="G336" t="s">
        <v>30</v>
      </c>
    </row>
    <row r="337" spans="1:7" x14ac:dyDescent="0.3">
      <c r="A337">
        <v>30336</v>
      </c>
      <c r="B337">
        <v>402</v>
      </c>
      <c r="C337" s="2">
        <v>45241</v>
      </c>
      <c r="D337" s="2" t="str">
        <f>TEXT(Table5[[#This Row],[bill_date]],"mmmm")</f>
        <v>November</v>
      </c>
      <c r="E337" s="9">
        <f>YEAR(Table5[[#This Row],[bill_date]])</f>
        <v>2023</v>
      </c>
      <c r="F337">
        <v>1080</v>
      </c>
      <c r="G337" t="s">
        <v>30</v>
      </c>
    </row>
    <row r="338" spans="1:7" x14ac:dyDescent="0.3">
      <c r="A338">
        <v>30337</v>
      </c>
      <c r="B338">
        <v>105</v>
      </c>
      <c r="C338" s="2">
        <v>44696</v>
      </c>
      <c r="D338" s="2" t="str">
        <f>TEXT(Table5[[#This Row],[bill_date]],"mmmm")</f>
        <v>May</v>
      </c>
      <c r="E338" s="9">
        <f>YEAR(Table5[[#This Row],[bill_date]])</f>
        <v>2022</v>
      </c>
      <c r="F338">
        <v>1700</v>
      </c>
      <c r="G338" t="s">
        <v>30</v>
      </c>
    </row>
    <row r="339" spans="1:7" x14ac:dyDescent="0.3">
      <c r="A339">
        <v>30338</v>
      </c>
      <c r="B339">
        <v>261</v>
      </c>
      <c r="C339" s="2">
        <v>44651</v>
      </c>
      <c r="D339" s="2" t="str">
        <f>TEXT(Table5[[#This Row],[bill_date]],"mmmm")</f>
        <v>March</v>
      </c>
      <c r="E339" s="9">
        <f>YEAR(Table5[[#This Row],[bill_date]])</f>
        <v>2022</v>
      </c>
      <c r="F339">
        <v>256</v>
      </c>
      <c r="G339" t="s">
        <v>30</v>
      </c>
    </row>
    <row r="340" spans="1:7" x14ac:dyDescent="0.3">
      <c r="A340">
        <v>30339</v>
      </c>
      <c r="B340">
        <v>129</v>
      </c>
      <c r="C340" s="2">
        <v>45049</v>
      </c>
      <c r="D340" s="2" t="str">
        <f>TEXT(Table5[[#This Row],[bill_date]],"mmmm")</f>
        <v>May</v>
      </c>
      <c r="E340" s="9">
        <f>YEAR(Table5[[#This Row],[bill_date]])</f>
        <v>2023</v>
      </c>
      <c r="F340">
        <v>957</v>
      </c>
      <c r="G340" t="s">
        <v>30</v>
      </c>
    </row>
    <row r="341" spans="1:7" x14ac:dyDescent="0.3">
      <c r="A341">
        <v>30340</v>
      </c>
      <c r="B341">
        <v>327</v>
      </c>
      <c r="C341" s="2">
        <v>45381</v>
      </c>
      <c r="D341" s="2" t="str">
        <f>TEXT(Table5[[#This Row],[bill_date]],"mmmm")</f>
        <v>March</v>
      </c>
      <c r="E341" s="9">
        <f>YEAR(Table5[[#This Row],[bill_date]])</f>
        <v>2024</v>
      </c>
      <c r="F341">
        <v>1181</v>
      </c>
      <c r="G341" t="s">
        <v>30</v>
      </c>
    </row>
    <row r="342" spans="1:7" x14ac:dyDescent="0.3">
      <c r="A342">
        <v>30341</v>
      </c>
      <c r="B342">
        <v>378</v>
      </c>
      <c r="C342" s="2">
        <v>45378</v>
      </c>
      <c r="D342" s="2" t="str">
        <f>TEXT(Table5[[#This Row],[bill_date]],"mmmm")</f>
        <v>March</v>
      </c>
      <c r="E342" s="9">
        <f>YEAR(Table5[[#This Row],[bill_date]])</f>
        <v>2024</v>
      </c>
      <c r="F342">
        <v>1143</v>
      </c>
      <c r="G342" t="s">
        <v>30</v>
      </c>
    </row>
    <row r="343" spans="1:7" x14ac:dyDescent="0.3">
      <c r="A343">
        <v>30342</v>
      </c>
      <c r="B343">
        <v>482</v>
      </c>
      <c r="C343" s="2">
        <v>45448</v>
      </c>
      <c r="D343" s="2" t="str">
        <f>TEXT(Table5[[#This Row],[bill_date]],"mmmm")</f>
        <v>June</v>
      </c>
      <c r="E343" s="9">
        <f>YEAR(Table5[[#This Row],[bill_date]])</f>
        <v>2024</v>
      </c>
      <c r="F343">
        <v>1727</v>
      </c>
      <c r="G343" t="s">
        <v>30</v>
      </c>
    </row>
    <row r="344" spans="1:7" x14ac:dyDescent="0.3">
      <c r="A344">
        <v>30343</v>
      </c>
      <c r="B344">
        <v>259</v>
      </c>
      <c r="C344" s="2">
        <v>45154</v>
      </c>
      <c r="D344" s="2" t="str">
        <f>TEXT(Table5[[#This Row],[bill_date]],"mmmm")</f>
        <v>August</v>
      </c>
      <c r="E344" s="9">
        <f>YEAR(Table5[[#This Row],[bill_date]])</f>
        <v>2023</v>
      </c>
      <c r="F344">
        <v>585</v>
      </c>
      <c r="G344" t="s">
        <v>30</v>
      </c>
    </row>
    <row r="345" spans="1:7" x14ac:dyDescent="0.3">
      <c r="A345">
        <v>30344</v>
      </c>
      <c r="B345">
        <v>292</v>
      </c>
      <c r="C345" s="2">
        <v>45424</v>
      </c>
      <c r="D345" s="2" t="str">
        <f>TEXT(Table5[[#This Row],[bill_date]],"mmmm")</f>
        <v>May</v>
      </c>
      <c r="E345" s="9">
        <f>YEAR(Table5[[#This Row],[bill_date]])</f>
        <v>2024</v>
      </c>
      <c r="F345">
        <v>1683</v>
      </c>
      <c r="G345" t="s">
        <v>28</v>
      </c>
    </row>
    <row r="346" spans="1:7" x14ac:dyDescent="0.3">
      <c r="A346">
        <v>30345</v>
      </c>
      <c r="B346">
        <v>419</v>
      </c>
      <c r="C346" s="2">
        <v>45304</v>
      </c>
      <c r="D346" s="2" t="str">
        <f>TEXT(Table5[[#This Row],[bill_date]],"mmmm")</f>
        <v>January</v>
      </c>
      <c r="E346" s="9">
        <f>YEAR(Table5[[#This Row],[bill_date]])</f>
        <v>2024</v>
      </c>
      <c r="F346">
        <v>1830</v>
      </c>
      <c r="G346" t="s">
        <v>30</v>
      </c>
    </row>
    <row r="347" spans="1:7" x14ac:dyDescent="0.3">
      <c r="A347">
        <v>30346</v>
      </c>
      <c r="B347">
        <v>435</v>
      </c>
      <c r="C347" s="2">
        <v>44650</v>
      </c>
      <c r="D347" s="2" t="str">
        <f>TEXT(Table5[[#This Row],[bill_date]],"mmmm")</f>
        <v>March</v>
      </c>
      <c r="E347" s="9">
        <f>YEAR(Table5[[#This Row],[bill_date]])</f>
        <v>2022</v>
      </c>
      <c r="F347">
        <v>243</v>
      </c>
      <c r="G347" t="s">
        <v>30</v>
      </c>
    </row>
    <row r="348" spans="1:7" x14ac:dyDescent="0.3">
      <c r="A348">
        <v>30347</v>
      </c>
      <c r="B348">
        <v>377</v>
      </c>
      <c r="C348" s="2">
        <v>44854</v>
      </c>
      <c r="D348" s="2" t="str">
        <f>TEXT(Table5[[#This Row],[bill_date]],"mmmm")</f>
        <v>October</v>
      </c>
      <c r="E348" s="9">
        <f>YEAR(Table5[[#This Row],[bill_date]])</f>
        <v>2022</v>
      </c>
      <c r="F348">
        <v>489</v>
      </c>
      <c r="G348" t="s">
        <v>30</v>
      </c>
    </row>
    <row r="349" spans="1:7" x14ac:dyDescent="0.3">
      <c r="A349">
        <v>30348</v>
      </c>
      <c r="B349">
        <v>140</v>
      </c>
      <c r="C349" s="2">
        <v>45007</v>
      </c>
      <c r="D349" s="2" t="str">
        <f>TEXT(Table5[[#This Row],[bill_date]],"mmmm")</f>
        <v>March</v>
      </c>
      <c r="E349" s="9">
        <f>YEAR(Table5[[#This Row],[bill_date]])</f>
        <v>2023</v>
      </c>
      <c r="F349">
        <v>1480</v>
      </c>
      <c r="G349" t="s">
        <v>30</v>
      </c>
    </row>
    <row r="350" spans="1:7" x14ac:dyDescent="0.3">
      <c r="A350">
        <v>30349</v>
      </c>
      <c r="B350">
        <v>15</v>
      </c>
      <c r="C350" s="2">
        <v>44960</v>
      </c>
      <c r="D350" s="2" t="str">
        <f>TEXT(Table5[[#This Row],[bill_date]],"mmmm")</f>
        <v>February</v>
      </c>
      <c r="E350" s="9">
        <f>YEAR(Table5[[#This Row],[bill_date]])</f>
        <v>2023</v>
      </c>
      <c r="F350">
        <v>1013</v>
      </c>
      <c r="G350" t="s">
        <v>29</v>
      </c>
    </row>
    <row r="351" spans="1:7" x14ac:dyDescent="0.3">
      <c r="A351">
        <v>30350</v>
      </c>
      <c r="B351">
        <v>388</v>
      </c>
      <c r="C351" s="2">
        <v>45075</v>
      </c>
      <c r="D351" s="2" t="str">
        <f>TEXT(Table5[[#This Row],[bill_date]],"mmmm")</f>
        <v>May</v>
      </c>
      <c r="E351" s="9">
        <f>YEAR(Table5[[#This Row],[bill_date]])</f>
        <v>2023</v>
      </c>
      <c r="F351">
        <v>1993</v>
      </c>
      <c r="G351" t="s">
        <v>28</v>
      </c>
    </row>
    <row r="352" spans="1:7" x14ac:dyDescent="0.3">
      <c r="A352">
        <v>30351</v>
      </c>
      <c r="B352">
        <v>184</v>
      </c>
      <c r="C352" s="2">
        <v>44956</v>
      </c>
      <c r="D352" s="2" t="str">
        <f>TEXT(Table5[[#This Row],[bill_date]],"mmmm")</f>
        <v>January</v>
      </c>
      <c r="E352" s="9">
        <f>YEAR(Table5[[#This Row],[bill_date]])</f>
        <v>2023</v>
      </c>
      <c r="F352">
        <v>1468</v>
      </c>
      <c r="G352" t="s">
        <v>30</v>
      </c>
    </row>
    <row r="353" spans="1:7" x14ac:dyDescent="0.3">
      <c r="A353">
        <v>30352</v>
      </c>
      <c r="B353">
        <v>481</v>
      </c>
      <c r="C353" s="2">
        <v>45425</v>
      </c>
      <c r="D353" s="2" t="str">
        <f>TEXT(Table5[[#This Row],[bill_date]],"mmmm")</f>
        <v>May</v>
      </c>
      <c r="E353" s="9">
        <f>YEAR(Table5[[#This Row],[bill_date]])</f>
        <v>2024</v>
      </c>
      <c r="F353">
        <v>438</v>
      </c>
      <c r="G353" t="s">
        <v>28</v>
      </c>
    </row>
    <row r="354" spans="1:7" x14ac:dyDescent="0.3">
      <c r="A354">
        <v>30353</v>
      </c>
      <c r="B354">
        <v>16</v>
      </c>
      <c r="C354" s="2">
        <v>45295</v>
      </c>
      <c r="D354" s="2" t="str">
        <f>TEXT(Table5[[#This Row],[bill_date]],"mmmm")</f>
        <v>January</v>
      </c>
      <c r="E354" s="9">
        <f>YEAR(Table5[[#This Row],[bill_date]])</f>
        <v>2024</v>
      </c>
      <c r="F354">
        <v>1635</v>
      </c>
      <c r="G354" t="s">
        <v>30</v>
      </c>
    </row>
    <row r="355" spans="1:7" x14ac:dyDescent="0.3">
      <c r="A355">
        <v>30354</v>
      </c>
      <c r="B355">
        <v>221</v>
      </c>
      <c r="C355" s="2">
        <v>44578</v>
      </c>
      <c r="D355" s="2" t="str">
        <f>TEXT(Table5[[#This Row],[bill_date]],"mmmm")</f>
        <v>January</v>
      </c>
      <c r="E355" s="9">
        <f>YEAR(Table5[[#This Row],[bill_date]])</f>
        <v>2022</v>
      </c>
      <c r="F355">
        <v>1350</v>
      </c>
      <c r="G355" t="s">
        <v>28</v>
      </c>
    </row>
    <row r="356" spans="1:7" x14ac:dyDescent="0.3">
      <c r="A356">
        <v>30355</v>
      </c>
      <c r="B356">
        <v>390</v>
      </c>
      <c r="C356" s="2">
        <v>45269</v>
      </c>
      <c r="D356" s="2" t="str">
        <f>TEXT(Table5[[#This Row],[bill_date]],"mmmm")</f>
        <v>December</v>
      </c>
      <c r="E356" s="9">
        <f>YEAR(Table5[[#This Row],[bill_date]])</f>
        <v>2023</v>
      </c>
      <c r="F356">
        <v>1936</v>
      </c>
      <c r="G356" t="s">
        <v>30</v>
      </c>
    </row>
    <row r="357" spans="1:7" x14ac:dyDescent="0.3">
      <c r="A357">
        <v>30356</v>
      </c>
      <c r="B357">
        <v>63</v>
      </c>
      <c r="C357" s="2">
        <v>45193</v>
      </c>
      <c r="D357" s="2" t="str">
        <f>TEXT(Table5[[#This Row],[bill_date]],"mmmm")</f>
        <v>September</v>
      </c>
      <c r="E357" s="9">
        <f>YEAR(Table5[[#This Row],[bill_date]])</f>
        <v>2023</v>
      </c>
      <c r="F357">
        <v>474</v>
      </c>
      <c r="G357" t="s">
        <v>30</v>
      </c>
    </row>
    <row r="358" spans="1:7" x14ac:dyDescent="0.3">
      <c r="A358">
        <v>30357</v>
      </c>
      <c r="B358">
        <v>241</v>
      </c>
      <c r="C358" s="2">
        <v>44803</v>
      </c>
      <c r="D358" s="2" t="str">
        <f>TEXT(Table5[[#This Row],[bill_date]],"mmmm")</f>
        <v>August</v>
      </c>
      <c r="E358" s="9">
        <f>YEAR(Table5[[#This Row],[bill_date]])</f>
        <v>2022</v>
      </c>
      <c r="F358">
        <v>616</v>
      </c>
      <c r="G358" t="s">
        <v>28</v>
      </c>
    </row>
    <row r="359" spans="1:7" x14ac:dyDescent="0.3">
      <c r="A359">
        <v>30358</v>
      </c>
      <c r="B359">
        <v>485</v>
      </c>
      <c r="C359" s="2">
        <v>45247</v>
      </c>
      <c r="D359" s="2" t="str">
        <f>TEXT(Table5[[#This Row],[bill_date]],"mmmm")</f>
        <v>November</v>
      </c>
      <c r="E359" s="9">
        <f>YEAR(Table5[[#This Row],[bill_date]])</f>
        <v>2023</v>
      </c>
      <c r="F359">
        <v>405</v>
      </c>
      <c r="G359" t="s">
        <v>30</v>
      </c>
    </row>
    <row r="360" spans="1:7" x14ac:dyDescent="0.3">
      <c r="A360">
        <v>30359</v>
      </c>
      <c r="B360">
        <v>279</v>
      </c>
      <c r="C360" s="2">
        <v>45105</v>
      </c>
      <c r="D360" s="2" t="str">
        <f>TEXT(Table5[[#This Row],[bill_date]],"mmmm")</f>
        <v>June</v>
      </c>
      <c r="E360" s="9">
        <f>YEAR(Table5[[#This Row],[bill_date]])</f>
        <v>2023</v>
      </c>
      <c r="F360">
        <v>1774</v>
      </c>
      <c r="G360" t="s">
        <v>30</v>
      </c>
    </row>
    <row r="361" spans="1:7" x14ac:dyDescent="0.3">
      <c r="A361">
        <v>30360</v>
      </c>
      <c r="B361">
        <v>333</v>
      </c>
      <c r="C361" s="2">
        <v>45348</v>
      </c>
      <c r="D361" s="2" t="str">
        <f>TEXT(Table5[[#This Row],[bill_date]],"mmmm")</f>
        <v>February</v>
      </c>
      <c r="E361" s="9">
        <f>YEAR(Table5[[#This Row],[bill_date]])</f>
        <v>2024</v>
      </c>
      <c r="F361">
        <v>563</v>
      </c>
      <c r="G361" t="s">
        <v>30</v>
      </c>
    </row>
    <row r="362" spans="1:7" x14ac:dyDescent="0.3">
      <c r="A362">
        <v>30361</v>
      </c>
      <c r="B362">
        <v>428</v>
      </c>
      <c r="C362" s="2">
        <v>45268</v>
      </c>
      <c r="D362" s="2" t="str">
        <f>TEXT(Table5[[#This Row],[bill_date]],"mmmm")</f>
        <v>December</v>
      </c>
      <c r="E362" s="9">
        <f>YEAR(Table5[[#This Row],[bill_date]])</f>
        <v>2023</v>
      </c>
      <c r="F362">
        <v>1031</v>
      </c>
      <c r="G362" t="s">
        <v>28</v>
      </c>
    </row>
    <row r="363" spans="1:7" x14ac:dyDescent="0.3">
      <c r="A363">
        <v>30362</v>
      </c>
      <c r="B363">
        <v>257</v>
      </c>
      <c r="C363" s="2">
        <v>44565</v>
      </c>
      <c r="D363" s="2" t="str">
        <f>TEXT(Table5[[#This Row],[bill_date]],"mmmm")</f>
        <v>January</v>
      </c>
      <c r="E363" s="9">
        <f>YEAR(Table5[[#This Row],[bill_date]])</f>
        <v>2022</v>
      </c>
      <c r="F363">
        <v>1568</v>
      </c>
      <c r="G363" t="s">
        <v>30</v>
      </c>
    </row>
    <row r="364" spans="1:7" x14ac:dyDescent="0.3">
      <c r="A364">
        <v>30363</v>
      </c>
      <c r="B364">
        <v>185</v>
      </c>
      <c r="C364" s="2">
        <v>44842</v>
      </c>
      <c r="D364" s="2" t="str">
        <f>TEXT(Table5[[#This Row],[bill_date]],"mmmm")</f>
        <v>October</v>
      </c>
      <c r="E364" s="9">
        <f>YEAR(Table5[[#This Row],[bill_date]])</f>
        <v>2022</v>
      </c>
      <c r="F364">
        <v>766</v>
      </c>
      <c r="G364" t="s">
        <v>30</v>
      </c>
    </row>
    <row r="365" spans="1:7" x14ac:dyDescent="0.3">
      <c r="A365">
        <v>30364</v>
      </c>
      <c r="B365">
        <v>76</v>
      </c>
      <c r="C365" s="2">
        <v>45094</v>
      </c>
      <c r="D365" s="2" t="str">
        <f>TEXT(Table5[[#This Row],[bill_date]],"mmmm")</f>
        <v>June</v>
      </c>
      <c r="E365" s="9">
        <f>YEAR(Table5[[#This Row],[bill_date]])</f>
        <v>2023</v>
      </c>
      <c r="F365">
        <v>358</v>
      </c>
      <c r="G365" t="s">
        <v>30</v>
      </c>
    </row>
    <row r="366" spans="1:7" x14ac:dyDescent="0.3">
      <c r="A366">
        <v>30365</v>
      </c>
      <c r="B366">
        <v>27</v>
      </c>
      <c r="C366" s="2">
        <v>45032</v>
      </c>
      <c r="D366" s="2" t="str">
        <f>TEXT(Table5[[#This Row],[bill_date]],"mmmm")</f>
        <v>April</v>
      </c>
      <c r="E366" s="9">
        <f>YEAR(Table5[[#This Row],[bill_date]])</f>
        <v>2023</v>
      </c>
      <c r="F366">
        <v>294</v>
      </c>
      <c r="G366" t="s">
        <v>30</v>
      </c>
    </row>
    <row r="367" spans="1:7" x14ac:dyDescent="0.3">
      <c r="A367">
        <v>30366</v>
      </c>
      <c r="B367">
        <v>25</v>
      </c>
      <c r="C367" s="2">
        <v>44799</v>
      </c>
      <c r="D367" s="2" t="str">
        <f>TEXT(Table5[[#This Row],[bill_date]],"mmmm")</f>
        <v>August</v>
      </c>
      <c r="E367" s="9">
        <f>YEAR(Table5[[#This Row],[bill_date]])</f>
        <v>2022</v>
      </c>
      <c r="F367">
        <v>623</v>
      </c>
      <c r="G367" t="s">
        <v>30</v>
      </c>
    </row>
    <row r="368" spans="1:7" x14ac:dyDescent="0.3">
      <c r="A368">
        <v>30367</v>
      </c>
      <c r="B368">
        <v>342</v>
      </c>
      <c r="C368" s="2">
        <v>45166</v>
      </c>
      <c r="D368" s="2" t="str">
        <f>TEXT(Table5[[#This Row],[bill_date]],"mmmm")</f>
        <v>August</v>
      </c>
      <c r="E368" s="9">
        <f>YEAR(Table5[[#This Row],[bill_date]])</f>
        <v>2023</v>
      </c>
      <c r="F368">
        <v>1338</v>
      </c>
      <c r="G368" t="s">
        <v>30</v>
      </c>
    </row>
    <row r="369" spans="1:7" x14ac:dyDescent="0.3">
      <c r="A369">
        <v>30368</v>
      </c>
      <c r="B369">
        <v>62</v>
      </c>
      <c r="C369" s="2">
        <v>45039</v>
      </c>
      <c r="D369" s="2" t="str">
        <f>TEXT(Table5[[#This Row],[bill_date]],"mmmm")</f>
        <v>April</v>
      </c>
      <c r="E369" s="9">
        <f>YEAR(Table5[[#This Row],[bill_date]])</f>
        <v>2023</v>
      </c>
      <c r="F369">
        <v>1434</v>
      </c>
      <c r="G369" t="s">
        <v>30</v>
      </c>
    </row>
    <row r="370" spans="1:7" x14ac:dyDescent="0.3">
      <c r="A370">
        <v>30369</v>
      </c>
      <c r="B370">
        <v>482</v>
      </c>
      <c r="C370" s="2">
        <v>44650</v>
      </c>
      <c r="D370" s="2" t="str">
        <f>TEXT(Table5[[#This Row],[bill_date]],"mmmm")</f>
        <v>March</v>
      </c>
      <c r="E370" s="9">
        <f>YEAR(Table5[[#This Row],[bill_date]])</f>
        <v>2022</v>
      </c>
      <c r="F370">
        <v>797</v>
      </c>
      <c r="G370" t="s">
        <v>30</v>
      </c>
    </row>
    <row r="371" spans="1:7" x14ac:dyDescent="0.3">
      <c r="A371">
        <v>30370</v>
      </c>
      <c r="B371">
        <v>146</v>
      </c>
      <c r="C371" s="2">
        <v>44674</v>
      </c>
      <c r="D371" s="2" t="str">
        <f>TEXT(Table5[[#This Row],[bill_date]],"mmmm")</f>
        <v>April</v>
      </c>
      <c r="E371" s="9">
        <f>YEAR(Table5[[#This Row],[bill_date]])</f>
        <v>2022</v>
      </c>
      <c r="F371">
        <v>1529</v>
      </c>
      <c r="G371" t="s">
        <v>30</v>
      </c>
    </row>
    <row r="372" spans="1:7" x14ac:dyDescent="0.3">
      <c r="A372">
        <v>30371</v>
      </c>
      <c r="B372">
        <v>233</v>
      </c>
      <c r="C372" s="2">
        <v>45294</v>
      </c>
      <c r="D372" s="2" t="str">
        <f>TEXT(Table5[[#This Row],[bill_date]],"mmmm")</f>
        <v>January</v>
      </c>
      <c r="E372" s="9">
        <f>YEAR(Table5[[#This Row],[bill_date]])</f>
        <v>2024</v>
      </c>
      <c r="F372">
        <v>466</v>
      </c>
      <c r="G372" t="s">
        <v>30</v>
      </c>
    </row>
    <row r="373" spans="1:7" x14ac:dyDescent="0.3">
      <c r="A373">
        <v>30372</v>
      </c>
      <c r="B373">
        <v>464</v>
      </c>
      <c r="C373" s="2">
        <v>45171</v>
      </c>
      <c r="D373" s="2" t="str">
        <f>TEXT(Table5[[#This Row],[bill_date]],"mmmm")</f>
        <v>September</v>
      </c>
      <c r="E373" s="9">
        <f>YEAR(Table5[[#This Row],[bill_date]])</f>
        <v>2023</v>
      </c>
      <c r="F373">
        <v>242</v>
      </c>
      <c r="G373" t="s">
        <v>30</v>
      </c>
    </row>
    <row r="374" spans="1:7" x14ac:dyDescent="0.3">
      <c r="A374">
        <v>30373</v>
      </c>
      <c r="B374">
        <v>349</v>
      </c>
      <c r="C374" s="2">
        <v>44703</v>
      </c>
      <c r="D374" s="2" t="str">
        <f>TEXT(Table5[[#This Row],[bill_date]],"mmmm")</f>
        <v>May</v>
      </c>
      <c r="E374" s="9">
        <f>YEAR(Table5[[#This Row],[bill_date]])</f>
        <v>2022</v>
      </c>
      <c r="F374">
        <v>793</v>
      </c>
      <c r="G374" t="s">
        <v>28</v>
      </c>
    </row>
    <row r="375" spans="1:7" x14ac:dyDescent="0.3">
      <c r="A375">
        <v>30374</v>
      </c>
      <c r="B375">
        <v>286</v>
      </c>
      <c r="C375" s="2">
        <v>45223</v>
      </c>
      <c r="D375" s="2" t="str">
        <f>TEXT(Table5[[#This Row],[bill_date]],"mmmm")</f>
        <v>October</v>
      </c>
      <c r="E375" s="9">
        <f>YEAR(Table5[[#This Row],[bill_date]])</f>
        <v>2023</v>
      </c>
      <c r="F375">
        <v>1210</v>
      </c>
      <c r="G375" t="s">
        <v>30</v>
      </c>
    </row>
    <row r="376" spans="1:7" x14ac:dyDescent="0.3">
      <c r="A376">
        <v>30375</v>
      </c>
      <c r="B376">
        <v>414</v>
      </c>
      <c r="C376" s="2">
        <v>45121</v>
      </c>
      <c r="D376" s="2" t="str">
        <f>TEXT(Table5[[#This Row],[bill_date]],"mmmm")</f>
        <v>July</v>
      </c>
      <c r="E376" s="9">
        <f>YEAR(Table5[[#This Row],[bill_date]])</f>
        <v>2023</v>
      </c>
      <c r="F376">
        <v>1680</v>
      </c>
      <c r="G376" t="s">
        <v>30</v>
      </c>
    </row>
    <row r="377" spans="1:7" x14ac:dyDescent="0.3">
      <c r="A377">
        <v>30376</v>
      </c>
      <c r="B377">
        <v>84</v>
      </c>
      <c r="C377" s="2">
        <v>44612</v>
      </c>
      <c r="D377" s="2" t="str">
        <f>TEXT(Table5[[#This Row],[bill_date]],"mmmm")</f>
        <v>February</v>
      </c>
      <c r="E377" s="9">
        <f>YEAR(Table5[[#This Row],[bill_date]])</f>
        <v>2022</v>
      </c>
      <c r="F377">
        <v>1945</v>
      </c>
      <c r="G377" t="s">
        <v>30</v>
      </c>
    </row>
    <row r="378" spans="1:7" x14ac:dyDescent="0.3">
      <c r="A378">
        <v>30377</v>
      </c>
      <c r="B378">
        <v>175</v>
      </c>
      <c r="C378" s="2">
        <v>44769</v>
      </c>
      <c r="D378" s="2" t="str">
        <f>TEXT(Table5[[#This Row],[bill_date]],"mmmm")</f>
        <v>July</v>
      </c>
      <c r="E378" s="9">
        <f>YEAR(Table5[[#This Row],[bill_date]])</f>
        <v>2022</v>
      </c>
      <c r="F378">
        <v>1694</v>
      </c>
      <c r="G378" t="s">
        <v>30</v>
      </c>
    </row>
    <row r="379" spans="1:7" x14ac:dyDescent="0.3">
      <c r="A379">
        <v>30378</v>
      </c>
      <c r="B379">
        <v>406</v>
      </c>
      <c r="C379" s="2">
        <v>45084</v>
      </c>
      <c r="D379" s="2" t="str">
        <f>TEXT(Table5[[#This Row],[bill_date]],"mmmm")</f>
        <v>June</v>
      </c>
      <c r="E379" s="9">
        <f>YEAR(Table5[[#This Row],[bill_date]])</f>
        <v>2023</v>
      </c>
      <c r="F379">
        <v>207</v>
      </c>
      <c r="G379" t="s">
        <v>28</v>
      </c>
    </row>
    <row r="380" spans="1:7" x14ac:dyDescent="0.3">
      <c r="A380">
        <v>30379</v>
      </c>
      <c r="B380">
        <v>381</v>
      </c>
      <c r="C380" s="2">
        <v>45069</v>
      </c>
      <c r="D380" s="2" t="str">
        <f>TEXT(Table5[[#This Row],[bill_date]],"mmmm")</f>
        <v>May</v>
      </c>
      <c r="E380" s="9">
        <f>YEAR(Table5[[#This Row],[bill_date]])</f>
        <v>2023</v>
      </c>
      <c r="F380">
        <v>867</v>
      </c>
      <c r="G380" t="s">
        <v>30</v>
      </c>
    </row>
    <row r="381" spans="1:7" x14ac:dyDescent="0.3">
      <c r="A381">
        <v>30380</v>
      </c>
      <c r="B381">
        <v>170</v>
      </c>
      <c r="C381" s="2">
        <v>44831</v>
      </c>
      <c r="D381" s="2" t="str">
        <f>TEXT(Table5[[#This Row],[bill_date]],"mmmm")</f>
        <v>September</v>
      </c>
      <c r="E381" s="9">
        <f>YEAR(Table5[[#This Row],[bill_date]])</f>
        <v>2022</v>
      </c>
      <c r="F381">
        <v>1411</v>
      </c>
      <c r="G381" t="s">
        <v>30</v>
      </c>
    </row>
    <row r="382" spans="1:7" x14ac:dyDescent="0.3">
      <c r="A382">
        <v>30381</v>
      </c>
      <c r="B382">
        <v>290</v>
      </c>
      <c r="C382" s="2">
        <v>44824</v>
      </c>
      <c r="D382" s="2" t="str">
        <f>TEXT(Table5[[#This Row],[bill_date]],"mmmm")</f>
        <v>September</v>
      </c>
      <c r="E382" s="9">
        <f>YEAR(Table5[[#This Row],[bill_date]])</f>
        <v>2022</v>
      </c>
      <c r="F382">
        <v>579</v>
      </c>
      <c r="G382" t="s">
        <v>28</v>
      </c>
    </row>
    <row r="383" spans="1:7" x14ac:dyDescent="0.3">
      <c r="A383">
        <v>30382</v>
      </c>
      <c r="B383">
        <v>447</v>
      </c>
      <c r="C383" s="2">
        <v>45270</v>
      </c>
      <c r="D383" s="2" t="str">
        <f>TEXT(Table5[[#This Row],[bill_date]],"mmmm")</f>
        <v>December</v>
      </c>
      <c r="E383" s="9">
        <f>YEAR(Table5[[#This Row],[bill_date]])</f>
        <v>2023</v>
      </c>
      <c r="F383">
        <v>1865</v>
      </c>
      <c r="G383" t="s">
        <v>28</v>
      </c>
    </row>
    <row r="384" spans="1:7" x14ac:dyDescent="0.3">
      <c r="A384">
        <v>30383</v>
      </c>
      <c r="B384">
        <v>4</v>
      </c>
      <c r="C384" s="2">
        <v>44747</v>
      </c>
      <c r="D384" s="2" t="str">
        <f>TEXT(Table5[[#This Row],[bill_date]],"mmmm")</f>
        <v>July</v>
      </c>
      <c r="E384" s="9">
        <f>YEAR(Table5[[#This Row],[bill_date]])</f>
        <v>2022</v>
      </c>
      <c r="F384">
        <v>925</v>
      </c>
      <c r="G384" t="s">
        <v>30</v>
      </c>
    </row>
    <row r="385" spans="1:7" x14ac:dyDescent="0.3">
      <c r="A385">
        <v>30384</v>
      </c>
      <c r="B385">
        <v>498</v>
      </c>
      <c r="C385" s="2">
        <v>45369</v>
      </c>
      <c r="D385" s="2" t="str">
        <f>TEXT(Table5[[#This Row],[bill_date]],"mmmm")</f>
        <v>March</v>
      </c>
      <c r="E385" s="9">
        <f>YEAR(Table5[[#This Row],[bill_date]])</f>
        <v>2024</v>
      </c>
      <c r="F385">
        <v>313</v>
      </c>
      <c r="G385" t="s">
        <v>30</v>
      </c>
    </row>
    <row r="386" spans="1:7" x14ac:dyDescent="0.3">
      <c r="A386">
        <v>30385</v>
      </c>
      <c r="B386">
        <v>287</v>
      </c>
      <c r="C386" s="2">
        <v>44782</v>
      </c>
      <c r="D386" s="2" t="str">
        <f>TEXT(Table5[[#This Row],[bill_date]],"mmmm")</f>
        <v>August</v>
      </c>
      <c r="E386" s="9">
        <f>YEAR(Table5[[#This Row],[bill_date]])</f>
        <v>2022</v>
      </c>
      <c r="F386">
        <v>1724</v>
      </c>
      <c r="G386" t="s">
        <v>30</v>
      </c>
    </row>
    <row r="387" spans="1:7" x14ac:dyDescent="0.3">
      <c r="A387">
        <v>30386</v>
      </c>
      <c r="B387">
        <v>307</v>
      </c>
      <c r="C387" s="2">
        <v>44642</v>
      </c>
      <c r="D387" s="2" t="str">
        <f>TEXT(Table5[[#This Row],[bill_date]],"mmmm")</f>
        <v>March</v>
      </c>
      <c r="E387" s="9">
        <f>YEAR(Table5[[#This Row],[bill_date]])</f>
        <v>2022</v>
      </c>
      <c r="F387">
        <v>1857</v>
      </c>
      <c r="G387" t="s">
        <v>30</v>
      </c>
    </row>
    <row r="388" spans="1:7" x14ac:dyDescent="0.3">
      <c r="A388">
        <v>30387</v>
      </c>
      <c r="B388">
        <v>50</v>
      </c>
      <c r="C388" s="2">
        <v>45295</v>
      </c>
      <c r="D388" s="2" t="str">
        <f>TEXT(Table5[[#This Row],[bill_date]],"mmmm")</f>
        <v>January</v>
      </c>
      <c r="E388" s="9">
        <f>YEAR(Table5[[#This Row],[bill_date]])</f>
        <v>2024</v>
      </c>
      <c r="F388">
        <v>586</v>
      </c>
      <c r="G388" t="s">
        <v>30</v>
      </c>
    </row>
    <row r="389" spans="1:7" x14ac:dyDescent="0.3">
      <c r="A389">
        <v>30388</v>
      </c>
      <c r="B389">
        <v>270</v>
      </c>
      <c r="C389" s="2">
        <v>44970</v>
      </c>
      <c r="D389" s="2" t="str">
        <f>TEXT(Table5[[#This Row],[bill_date]],"mmmm")</f>
        <v>February</v>
      </c>
      <c r="E389" s="9">
        <f>YEAR(Table5[[#This Row],[bill_date]])</f>
        <v>2023</v>
      </c>
      <c r="F389">
        <v>637</v>
      </c>
      <c r="G389" t="s">
        <v>30</v>
      </c>
    </row>
    <row r="390" spans="1:7" x14ac:dyDescent="0.3">
      <c r="A390">
        <v>30389</v>
      </c>
      <c r="B390">
        <v>8</v>
      </c>
      <c r="C390" s="2">
        <v>45452</v>
      </c>
      <c r="D390" s="2" t="str">
        <f>TEXT(Table5[[#This Row],[bill_date]],"mmmm")</f>
        <v>June</v>
      </c>
      <c r="E390" s="9">
        <f>YEAR(Table5[[#This Row],[bill_date]])</f>
        <v>2024</v>
      </c>
      <c r="F390">
        <v>1108</v>
      </c>
      <c r="G390" t="s">
        <v>30</v>
      </c>
    </row>
    <row r="391" spans="1:7" x14ac:dyDescent="0.3">
      <c r="A391">
        <v>30390</v>
      </c>
      <c r="B391">
        <v>357</v>
      </c>
      <c r="C391" s="2">
        <v>45243</v>
      </c>
      <c r="D391" s="2" t="str">
        <f>TEXT(Table5[[#This Row],[bill_date]],"mmmm")</f>
        <v>November</v>
      </c>
      <c r="E391" s="9">
        <f>YEAR(Table5[[#This Row],[bill_date]])</f>
        <v>2023</v>
      </c>
      <c r="F391">
        <v>1043</v>
      </c>
      <c r="G391" t="s">
        <v>30</v>
      </c>
    </row>
    <row r="392" spans="1:7" x14ac:dyDescent="0.3">
      <c r="A392">
        <v>30391</v>
      </c>
      <c r="B392">
        <v>69</v>
      </c>
      <c r="C392" s="2">
        <v>44647</v>
      </c>
      <c r="D392" s="2" t="str">
        <f>TEXT(Table5[[#This Row],[bill_date]],"mmmm")</f>
        <v>March</v>
      </c>
      <c r="E392" s="9">
        <f>YEAR(Table5[[#This Row],[bill_date]])</f>
        <v>2022</v>
      </c>
      <c r="F392">
        <v>1541</v>
      </c>
      <c r="G392" t="s">
        <v>30</v>
      </c>
    </row>
    <row r="393" spans="1:7" x14ac:dyDescent="0.3">
      <c r="A393">
        <v>30392</v>
      </c>
      <c r="B393">
        <v>392</v>
      </c>
      <c r="C393" s="2">
        <v>45117</v>
      </c>
      <c r="D393" s="2" t="str">
        <f>TEXT(Table5[[#This Row],[bill_date]],"mmmm")</f>
        <v>July</v>
      </c>
      <c r="E393" s="9">
        <f>YEAR(Table5[[#This Row],[bill_date]])</f>
        <v>2023</v>
      </c>
      <c r="F393">
        <v>1133</v>
      </c>
      <c r="G393" t="s">
        <v>28</v>
      </c>
    </row>
    <row r="394" spans="1:7" x14ac:dyDescent="0.3">
      <c r="A394">
        <v>30393</v>
      </c>
      <c r="B394">
        <v>139</v>
      </c>
      <c r="C394" s="2">
        <v>45334</v>
      </c>
      <c r="D394" s="2" t="str">
        <f>TEXT(Table5[[#This Row],[bill_date]],"mmmm")</f>
        <v>February</v>
      </c>
      <c r="E394" s="9">
        <f>YEAR(Table5[[#This Row],[bill_date]])</f>
        <v>2024</v>
      </c>
      <c r="F394">
        <v>1074</v>
      </c>
      <c r="G394" t="s">
        <v>29</v>
      </c>
    </row>
    <row r="395" spans="1:7" x14ac:dyDescent="0.3">
      <c r="A395">
        <v>30394</v>
      </c>
      <c r="B395">
        <v>248</v>
      </c>
      <c r="C395" s="2">
        <v>44665</v>
      </c>
      <c r="D395" s="2" t="str">
        <f>TEXT(Table5[[#This Row],[bill_date]],"mmmm")</f>
        <v>April</v>
      </c>
      <c r="E395" s="9">
        <f>YEAR(Table5[[#This Row],[bill_date]])</f>
        <v>2022</v>
      </c>
      <c r="F395">
        <v>1926</v>
      </c>
      <c r="G395" t="s">
        <v>30</v>
      </c>
    </row>
    <row r="396" spans="1:7" x14ac:dyDescent="0.3">
      <c r="A396">
        <v>30395</v>
      </c>
      <c r="B396">
        <v>29</v>
      </c>
      <c r="C396" s="2">
        <v>44845</v>
      </c>
      <c r="D396" s="2" t="str">
        <f>TEXT(Table5[[#This Row],[bill_date]],"mmmm")</f>
        <v>October</v>
      </c>
      <c r="E396" s="9">
        <f>YEAR(Table5[[#This Row],[bill_date]])</f>
        <v>2022</v>
      </c>
      <c r="F396">
        <v>1666</v>
      </c>
      <c r="G396" t="s">
        <v>30</v>
      </c>
    </row>
    <row r="397" spans="1:7" x14ac:dyDescent="0.3">
      <c r="A397">
        <v>30396</v>
      </c>
      <c r="B397">
        <v>183</v>
      </c>
      <c r="C397" s="2">
        <v>45021</v>
      </c>
      <c r="D397" s="2" t="str">
        <f>TEXT(Table5[[#This Row],[bill_date]],"mmmm")</f>
        <v>April</v>
      </c>
      <c r="E397" s="9">
        <f>YEAR(Table5[[#This Row],[bill_date]])</f>
        <v>2023</v>
      </c>
      <c r="F397">
        <v>1882</v>
      </c>
      <c r="G397" t="s">
        <v>28</v>
      </c>
    </row>
    <row r="398" spans="1:7" x14ac:dyDescent="0.3">
      <c r="A398">
        <v>30397</v>
      </c>
      <c r="B398">
        <v>213</v>
      </c>
      <c r="C398" s="2">
        <v>45301</v>
      </c>
      <c r="D398" s="2" t="str">
        <f>TEXT(Table5[[#This Row],[bill_date]],"mmmm")</f>
        <v>January</v>
      </c>
      <c r="E398" s="9">
        <f>YEAR(Table5[[#This Row],[bill_date]])</f>
        <v>2024</v>
      </c>
      <c r="F398">
        <v>226</v>
      </c>
      <c r="G398" t="s">
        <v>30</v>
      </c>
    </row>
    <row r="399" spans="1:7" x14ac:dyDescent="0.3">
      <c r="A399">
        <v>30398</v>
      </c>
      <c r="B399">
        <v>423</v>
      </c>
      <c r="C399" s="2">
        <v>45261</v>
      </c>
      <c r="D399" s="2" t="str">
        <f>TEXT(Table5[[#This Row],[bill_date]],"mmmm")</f>
        <v>December</v>
      </c>
      <c r="E399" s="9">
        <f>YEAR(Table5[[#This Row],[bill_date]])</f>
        <v>2023</v>
      </c>
      <c r="F399">
        <v>834</v>
      </c>
      <c r="G399" t="s">
        <v>30</v>
      </c>
    </row>
    <row r="400" spans="1:7" x14ac:dyDescent="0.3">
      <c r="A400">
        <v>30399</v>
      </c>
      <c r="B400">
        <v>397</v>
      </c>
      <c r="C400" s="2">
        <v>45022</v>
      </c>
      <c r="D400" s="2" t="str">
        <f>TEXT(Table5[[#This Row],[bill_date]],"mmmm")</f>
        <v>April</v>
      </c>
      <c r="E400" s="9">
        <f>YEAR(Table5[[#This Row],[bill_date]])</f>
        <v>2023</v>
      </c>
      <c r="F400">
        <v>1620</v>
      </c>
      <c r="G400" t="s">
        <v>30</v>
      </c>
    </row>
    <row r="401" spans="1:7" x14ac:dyDescent="0.3">
      <c r="A401">
        <v>30400</v>
      </c>
      <c r="B401">
        <v>320</v>
      </c>
      <c r="C401" s="2">
        <v>44682</v>
      </c>
      <c r="D401" s="2" t="str">
        <f>TEXT(Table5[[#This Row],[bill_date]],"mmmm")</f>
        <v>May</v>
      </c>
      <c r="E401" s="9">
        <f>YEAR(Table5[[#This Row],[bill_date]])</f>
        <v>2022</v>
      </c>
      <c r="F401">
        <v>275</v>
      </c>
      <c r="G401" t="s">
        <v>30</v>
      </c>
    </row>
    <row r="402" spans="1:7" x14ac:dyDescent="0.3">
      <c r="A402">
        <v>30401</v>
      </c>
      <c r="B402">
        <v>305</v>
      </c>
      <c r="C402" s="2">
        <v>45222</v>
      </c>
      <c r="D402" s="2" t="str">
        <f>TEXT(Table5[[#This Row],[bill_date]],"mmmm")</f>
        <v>October</v>
      </c>
      <c r="E402" s="9">
        <f>YEAR(Table5[[#This Row],[bill_date]])</f>
        <v>2023</v>
      </c>
      <c r="F402">
        <v>785</v>
      </c>
      <c r="G402" t="s">
        <v>30</v>
      </c>
    </row>
    <row r="403" spans="1:7" x14ac:dyDescent="0.3">
      <c r="A403">
        <v>30402</v>
      </c>
      <c r="B403">
        <v>19</v>
      </c>
      <c r="C403" s="2">
        <v>44913</v>
      </c>
      <c r="D403" s="2" t="str">
        <f>TEXT(Table5[[#This Row],[bill_date]],"mmmm")</f>
        <v>December</v>
      </c>
      <c r="E403" s="9">
        <f>YEAR(Table5[[#This Row],[bill_date]])</f>
        <v>2022</v>
      </c>
      <c r="F403">
        <v>1580</v>
      </c>
      <c r="G403" t="s">
        <v>30</v>
      </c>
    </row>
    <row r="404" spans="1:7" x14ac:dyDescent="0.3">
      <c r="A404">
        <v>30403</v>
      </c>
      <c r="B404">
        <v>383</v>
      </c>
      <c r="C404" s="2">
        <v>45378</v>
      </c>
      <c r="D404" s="2" t="str">
        <f>TEXT(Table5[[#This Row],[bill_date]],"mmmm")</f>
        <v>March</v>
      </c>
      <c r="E404" s="9">
        <f>YEAR(Table5[[#This Row],[bill_date]])</f>
        <v>2024</v>
      </c>
      <c r="F404">
        <v>1408</v>
      </c>
      <c r="G404" t="s">
        <v>28</v>
      </c>
    </row>
    <row r="405" spans="1:7" x14ac:dyDescent="0.3">
      <c r="A405">
        <v>30404</v>
      </c>
      <c r="B405">
        <v>451</v>
      </c>
      <c r="C405" s="2">
        <v>45001</v>
      </c>
      <c r="D405" s="2" t="str">
        <f>TEXT(Table5[[#This Row],[bill_date]],"mmmm")</f>
        <v>March</v>
      </c>
      <c r="E405" s="9">
        <f>YEAR(Table5[[#This Row],[bill_date]])</f>
        <v>2023</v>
      </c>
      <c r="F405">
        <v>1773</v>
      </c>
      <c r="G405" t="s">
        <v>28</v>
      </c>
    </row>
    <row r="406" spans="1:7" x14ac:dyDescent="0.3">
      <c r="A406">
        <v>30405</v>
      </c>
      <c r="B406">
        <v>226</v>
      </c>
      <c r="C406" s="2">
        <v>45130</v>
      </c>
      <c r="D406" s="2" t="str">
        <f>TEXT(Table5[[#This Row],[bill_date]],"mmmm")</f>
        <v>July</v>
      </c>
      <c r="E406" s="9">
        <f>YEAR(Table5[[#This Row],[bill_date]])</f>
        <v>2023</v>
      </c>
      <c r="F406">
        <v>432</v>
      </c>
      <c r="G406" t="s">
        <v>30</v>
      </c>
    </row>
    <row r="407" spans="1:7" x14ac:dyDescent="0.3">
      <c r="A407">
        <v>30406</v>
      </c>
      <c r="B407">
        <v>230</v>
      </c>
      <c r="C407" s="2">
        <v>45414</v>
      </c>
      <c r="D407" s="2" t="str">
        <f>TEXT(Table5[[#This Row],[bill_date]],"mmmm")</f>
        <v>May</v>
      </c>
      <c r="E407" s="9">
        <f>YEAR(Table5[[#This Row],[bill_date]])</f>
        <v>2024</v>
      </c>
      <c r="F407">
        <v>1470</v>
      </c>
      <c r="G407" t="s">
        <v>30</v>
      </c>
    </row>
    <row r="408" spans="1:7" x14ac:dyDescent="0.3">
      <c r="A408">
        <v>30407</v>
      </c>
      <c r="B408">
        <v>339</v>
      </c>
      <c r="C408" s="2">
        <v>44750</v>
      </c>
      <c r="D408" s="2" t="str">
        <f>TEXT(Table5[[#This Row],[bill_date]],"mmmm")</f>
        <v>July</v>
      </c>
      <c r="E408" s="9">
        <f>YEAR(Table5[[#This Row],[bill_date]])</f>
        <v>2022</v>
      </c>
      <c r="F408">
        <v>1621</v>
      </c>
      <c r="G408" t="s">
        <v>30</v>
      </c>
    </row>
    <row r="409" spans="1:7" x14ac:dyDescent="0.3">
      <c r="A409">
        <v>30408</v>
      </c>
      <c r="B409">
        <v>96</v>
      </c>
      <c r="C409" s="2">
        <v>45430</v>
      </c>
      <c r="D409" s="2" t="str">
        <f>TEXT(Table5[[#This Row],[bill_date]],"mmmm")</f>
        <v>May</v>
      </c>
      <c r="E409" s="9">
        <f>YEAR(Table5[[#This Row],[bill_date]])</f>
        <v>2024</v>
      </c>
      <c r="F409">
        <v>527</v>
      </c>
      <c r="G409" t="s">
        <v>30</v>
      </c>
    </row>
    <row r="410" spans="1:7" x14ac:dyDescent="0.3">
      <c r="A410">
        <v>30409</v>
      </c>
      <c r="B410">
        <v>495</v>
      </c>
      <c r="C410" s="2">
        <v>45111</v>
      </c>
      <c r="D410" s="2" t="str">
        <f>TEXT(Table5[[#This Row],[bill_date]],"mmmm")</f>
        <v>July</v>
      </c>
      <c r="E410" s="9">
        <f>YEAR(Table5[[#This Row],[bill_date]])</f>
        <v>2023</v>
      </c>
      <c r="F410">
        <v>1865</v>
      </c>
      <c r="G410" t="s">
        <v>30</v>
      </c>
    </row>
    <row r="411" spans="1:7" x14ac:dyDescent="0.3">
      <c r="A411">
        <v>30410</v>
      </c>
      <c r="B411">
        <v>484</v>
      </c>
      <c r="C411" s="2">
        <v>45274</v>
      </c>
      <c r="D411" s="2" t="str">
        <f>TEXT(Table5[[#This Row],[bill_date]],"mmmm")</f>
        <v>December</v>
      </c>
      <c r="E411" s="9">
        <f>YEAR(Table5[[#This Row],[bill_date]])</f>
        <v>2023</v>
      </c>
      <c r="F411">
        <v>1227</v>
      </c>
      <c r="G411" t="s">
        <v>28</v>
      </c>
    </row>
    <row r="412" spans="1:7" x14ac:dyDescent="0.3">
      <c r="A412">
        <v>30411</v>
      </c>
      <c r="B412">
        <v>115</v>
      </c>
      <c r="C412" s="2">
        <v>44790</v>
      </c>
      <c r="D412" s="2" t="str">
        <f>TEXT(Table5[[#This Row],[bill_date]],"mmmm")</f>
        <v>August</v>
      </c>
      <c r="E412" s="9">
        <f>YEAR(Table5[[#This Row],[bill_date]])</f>
        <v>2022</v>
      </c>
      <c r="F412">
        <v>546</v>
      </c>
      <c r="G412" t="s">
        <v>28</v>
      </c>
    </row>
    <row r="413" spans="1:7" x14ac:dyDescent="0.3">
      <c r="A413">
        <v>30412</v>
      </c>
      <c r="B413">
        <v>359</v>
      </c>
      <c r="C413" s="2">
        <v>44947</v>
      </c>
      <c r="D413" s="2" t="str">
        <f>TEXT(Table5[[#This Row],[bill_date]],"mmmm")</f>
        <v>January</v>
      </c>
      <c r="E413" s="9">
        <f>YEAR(Table5[[#This Row],[bill_date]])</f>
        <v>2023</v>
      </c>
      <c r="F413">
        <v>1621</v>
      </c>
      <c r="G413" t="s">
        <v>30</v>
      </c>
    </row>
    <row r="414" spans="1:7" x14ac:dyDescent="0.3">
      <c r="A414">
        <v>30413</v>
      </c>
      <c r="B414">
        <v>180</v>
      </c>
      <c r="C414" s="2">
        <v>44692</v>
      </c>
      <c r="D414" s="2" t="str">
        <f>TEXT(Table5[[#This Row],[bill_date]],"mmmm")</f>
        <v>May</v>
      </c>
      <c r="E414" s="9">
        <f>YEAR(Table5[[#This Row],[bill_date]])</f>
        <v>2022</v>
      </c>
      <c r="F414">
        <v>1481</v>
      </c>
      <c r="G414" t="s">
        <v>28</v>
      </c>
    </row>
    <row r="415" spans="1:7" x14ac:dyDescent="0.3">
      <c r="A415">
        <v>30414</v>
      </c>
      <c r="B415">
        <v>373</v>
      </c>
      <c r="C415" s="2">
        <v>44732</v>
      </c>
      <c r="D415" s="2" t="str">
        <f>TEXT(Table5[[#This Row],[bill_date]],"mmmm")</f>
        <v>June</v>
      </c>
      <c r="E415" s="9">
        <f>YEAR(Table5[[#This Row],[bill_date]])</f>
        <v>2022</v>
      </c>
      <c r="F415">
        <v>955</v>
      </c>
      <c r="G415" t="s">
        <v>30</v>
      </c>
    </row>
    <row r="416" spans="1:7" x14ac:dyDescent="0.3">
      <c r="A416">
        <v>30415</v>
      </c>
      <c r="B416">
        <v>78</v>
      </c>
      <c r="C416" s="2">
        <v>44891</v>
      </c>
      <c r="D416" s="2" t="str">
        <f>TEXT(Table5[[#This Row],[bill_date]],"mmmm")</f>
        <v>November</v>
      </c>
      <c r="E416" s="9">
        <f>YEAR(Table5[[#This Row],[bill_date]])</f>
        <v>2022</v>
      </c>
      <c r="F416">
        <v>617</v>
      </c>
      <c r="G416" t="s">
        <v>28</v>
      </c>
    </row>
    <row r="417" spans="1:7" x14ac:dyDescent="0.3">
      <c r="A417">
        <v>30416</v>
      </c>
      <c r="B417">
        <v>327</v>
      </c>
      <c r="C417" s="2">
        <v>44596</v>
      </c>
      <c r="D417" s="2" t="str">
        <f>TEXT(Table5[[#This Row],[bill_date]],"mmmm")</f>
        <v>February</v>
      </c>
      <c r="E417" s="9">
        <f>YEAR(Table5[[#This Row],[bill_date]])</f>
        <v>2022</v>
      </c>
      <c r="F417">
        <v>589</v>
      </c>
      <c r="G417" t="s">
        <v>29</v>
      </c>
    </row>
    <row r="418" spans="1:7" x14ac:dyDescent="0.3">
      <c r="A418">
        <v>30417</v>
      </c>
      <c r="B418">
        <v>276</v>
      </c>
      <c r="C418" s="2">
        <v>44762</v>
      </c>
      <c r="D418" s="2" t="str">
        <f>TEXT(Table5[[#This Row],[bill_date]],"mmmm")</f>
        <v>July</v>
      </c>
      <c r="E418" s="9">
        <f>YEAR(Table5[[#This Row],[bill_date]])</f>
        <v>2022</v>
      </c>
      <c r="F418">
        <v>788</v>
      </c>
      <c r="G418" t="s">
        <v>28</v>
      </c>
    </row>
    <row r="419" spans="1:7" x14ac:dyDescent="0.3">
      <c r="A419">
        <v>30418</v>
      </c>
      <c r="B419">
        <v>352</v>
      </c>
      <c r="C419" s="2">
        <v>44729</v>
      </c>
      <c r="D419" s="2" t="str">
        <f>TEXT(Table5[[#This Row],[bill_date]],"mmmm")</f>
        <v>June</v>
      </c>
      <c r="E419" s="9">
        <f>YEAR(Table5[[#This Row],[bill_date]])</f>
        <v>2022</v>
      </c>
      <c r="F419">
        <v>313</v>
      </c>
      <c r="G419" t="s">
        <v>30</v>
      </c>
    </row>
    <row r="420" spans="1:7" x14ac:dyDescent="0.3">
      <c r="A420">
        <v>30419</v>
      </c>
      <c r="B420">
        <v>366</v>
      </c>
      <c r="C420" s="2">
        <v>45070</v>
      </c>
      <c r="D420" s="2" t="str">
        <f>TEXT(Table5[[#This Row],[bill_date]],"mmmm")</f>
        <v>May</v>
      </c>
      <c r="E420" s="9">
        <f>YEAR(Table5[[#This Row],[bill_date]])</f>
        <v>2023</v>
      </c>
      <c r="F420">
        <v>202</v>
      </c>
      <c r="G420" t="s">
        <v>28</v>
      </c>
    </row>
    <row r="421" spans="1:7" x14ac:dyDescent="0.3">
      <c r="A421">
        <v>30420</v>
      </c>
      <c r="B421">
        <v>182</v>
      </c>
      <c r="C421" s="2">
        <v>45454</v>
      </c>
      <c r="D421" s="2" t="str">
        <f>TEXT(Table5[[#This Row],[bill_date]],"mmmm")</f>
        <v>June</v>
      </c>
      <c r="E421" s="9">
        <f>YEAR(Table5[[#This Row],[bill_date]])</f>
        <v>2024</v>
      </c>
      <c r="F421">
        <v>841</v>
      </c>
      <c r="G421" t="s">
        <v>30</v>
      </c>
    </row>
    <row r="422" spans="1:7" x14ac:dyDescent="0.3">
      <c r="A422">
        <v>30421</v>
      </c>
      <c r="B422">
        <v>95</v>
      </c>
      <c r="C422" s="2">
        <v>45072</v>
      </c>
      <c r="D422" s="2" t="str">
        <f>TEXT(Table5[[#This Row],[bill_date]],"mmmm")</f>
        <v>May</v>
      </c>
      <c r="E422" s="9">
        <f>YEAR(Table5[[#This Row],[bill_date]])</f>
        <v>2023</v>
      </c>
      <c r="F422">
        <v>1961</v>
      </c>
      <c r="G422" t="s">
        <v>30</v>
      </c>
    </row>
    <row r="423" spans="1:7" x14ac:dyDescent="0.3">
      <c r="A423">
        <v>30422</v>
      </c>
      <c r="B423">
        <v>86</v>
      </c>
      <c r="C423" s="2">
        <v>44807</v>
      </c>
      <c r="D423" s="2" t="str">
        <f>TEXT(Table5[[#This Row],[bill_date]],"mmmm")</f>
        <v>September</v>
      </c>
      <c r="E423" s="9">
        <f>YEAR(Table5[[#This Row],[bill_date]])</f>
        <v>2022</v>
      </c>
      <c r="F423">
        <v>1350</v>
      </c>
      <c r="G423" t="s">
        <v>30</v>
      </c>
    </row>
    <row r="424" spans="1:7" x14ac:dyDescent="0.3">
      <c r="A424">
        <v>30423</v>
      </c>
      <c r="B424">
        <v>389</v>
      </c>
      <c r="C424" s="2">
        <v>44785</v>
      </c>
      <c r="D424" s="2" t="str">
        <f>TEXT(Table5[[#This Row],[bill_date]],"mmmm")</f>
        <v>August</v>
      </c>
      <c r="E424" s="9">
        <f>YEAR(Table5[[#This Row],[bill_date]])</f>
        <v>2022</v>
      </c>
      <c r="F424">
        <v>207</v>
      </c>
      <c r="G424" t="s">
        <v>30</v>
      </c>
    </row>
    <row r="425" spans="1:7" x14ac:dyDescent="0.3">
      <c r="A425">
        <v>30424</v>
      </c>
      <c r="B425">
        <v>95</v>
      </c>
      <c r="C425" s="2">
        <v>44902</v>
      </c>
      <c r="D425" s="2" t="str">
        <f>TEXT(Table5[[#This Row],[bill_date]],"mmmm")</f>
        <v>December</v>
      </c>
      <c r="E425" s="9">
        <f>YEAR(Table5[[#This Row],[bill_date]])</f>
        <v>2022</v>
      </c>
      <c r="F425">
        <v>1546</v>
      </c>
      <c r="G425" t="s">
        <v>30</v>
      </c>
    </row>
    <row r="426" spans="1:7" x14ac:dyDescent="0.3">
      <c r="A426">
        <v>30425</v>
      </c>
      <c r="B426">
        <v>335</v>
      </c>
      <c r="C426" s="2">
        <v>45131</v>
      </c>
      <c r="D426" s="2" t="str">
        <f>TEXT(Table5[[#This Row],[bill_date]],"mmmm")</f>
        <v>July</v>
      </c>
      <c r="E426" s="9">
        <f>YEAR(Table5[[#This Row],[bill_date]])</f>
        <v>2023</v>
      </c>
      <c r="F426">
        <v>316</v>
      </c>
      <c r="G426" t="s">
        <v>30</v>
      </c>
    </row>
    <row r="427" spans="1:7" x14ac:dyDescent="0.3">
      <c r="A427">
        <v>30426</v>
      </c>
      <c r="B427">
        <v>492</v>
      </c>
      <c r="C427" s="2">
        <v>45363</v>
      </c>
      <c r="D427" s="2" t="str">
        <f>TEXT(Table5[[#This Row],[bill_date]],"mmmm")</f>
        <v>March</v>
      </c>
      <c r="E427" s="9">
        <f>YEAR(Table5[[#This Row],[bill_date]])</f>
        <v>2024</v>
      </c>
      <c r="F427">
        <v>1689</v>
      </c>
      <c r="G427" t="s">
        <v>28</v>
      </c>
    </row>
    <row r="428" spans="1:7" x14ac:dyDescent="0.3">
      <c r="A428">
        <v>30427</v>
      </c>
      <c r="B428">
        <v>446</v>
      </c>
      <c r="C428" s="2">
        <v>45098</v>
      </c>
      <c r="D428" s="2" t="str">
        <f>TEXT(Table5[[#This Row],[bill_date]],"mmmm")</f>
        <v>June</v>
      </c>
      <c r="E428" s="9">
        <f>YEAR(Table5[[#This Row],[bill_date]])</f>
        <v>2023</v>
      </c>
      <c r="F428">
        <v>1054</v>
      </c>
      <c r="G428" t="s">
        <v>28</v>
      </c>
    </row>
    <row r="429" spans="1:7" x14ac:dyDescent="0.3">
      <c r="A429">
        <v>30428</v>
      </c>
      <c r="B429">
        <v>145</v>
      </c>
      <c r="C429" s="2">
        <v>45001</v>
      </c>
      <c r="D429" s="2" t="str">
        <f>TEXT(Table5[[#This Row],[bill_date]],"mmmm")</f>
        <v>March</v>
      </c>
      <c r="E429" s="9">
        <f>YEAR(Table5[[#This Row],[bill_date]])</f>
        <v>2023</v>
      </c>
      <c r="F429">
        <v>898</v>
      </c>
      <c r="G429" t="s">
        <v>30</v>
      </c>
    </row>
    <row r="430" spans="1:7" x14ac:dyDescent="0.3">
      <c r="A430">
        <v>30429</v>
      </c>
      <c r="B430">
        <v>248</v>
      </c>
      <c r="C430" s="2">
        <v>45105</v>
      </c>
      <c r="D430" s="2" t="str">
        <f>TEXT(Table5[[#This Row],[bill_date]],"mmmm")</f>
        <v>June</v>
      </c>
      <c r="E430" s="9">
        <f>YEAR(Table5[[#This Row],[bill_date]])</f>
        <v>2023</v>
      </c>
      <c r="F430">
        <v>1873</v>
      </c>
      <c r="G430" t="s">
        <v>28</v>
      </c>
    </row>
    <row r="431" spans="1:7" x14ac:dyDescent="0.3">
      <c r="A431">
        <v>30430</v>
      </c>
      <c r="B431">
        <v>181</v>
      </c>
      <c r="C431" s="2">
        <v>45183</v>
      </c>
      <c r="D431" s="2" t="str">
        <f>TEXT(Table5[[#This Row],[bill_date]],"mmmm")</f>
        <v>September</v>
      </c>
      <c r="E431" s="9">
        <f>YEAR(Table5[[#This Row],[bill_date]])</f>
        <v>2023</v>
      </c>
      <c r="F431">
        <v>1685</v>
      </c>
      <c r="G431" t="s">
        <v>28</v>
      </c>
    </row>
    <row r="432" spans="1:7" x14ac:dyDescent="0.3">
      <c r="A432">
        <v>30431</v>
      </c>
      <c r="B432">
        <v>293</v>
      </c>
      <c r="C432" s="2">
        <v>45174</v>
      </c>
      <c r="D432" s="2" t="str">
        <f>TEXT(Table5[[#This Row],[bill_date]],"mmmm")</f>
        <v>September</v>
      </c>
      <c r="E432" s="9">
        <f>YEAR(Table5[[#This Row],[bill_date]])</f>
        <v>2023</v>
      </c>
      <c r="F432">
        <v>1130</v>
      </c>
      <c r="G432" t="s">
        <v>30</v>
      </c>
    </row>
    <row r="433" spans="1:7" x14ac:dyDescent="0.3">
      <c r="A433">
        <v>30432</v>
      </c>
      <c r="B433">
        <v>19</v>
      </c>
      <c r="C433" s="2">
        <v>44711</v>
      </c>
      <c r="D433" s="2" t="str">
        <f>TEXT(Table5[[#This Row],[bill_date]],"mmmm")</f>
        <v>May</v>
      </c>
      <c r="E433" s="9">
        <f>YEAR(Table5[[#This Row],[bill_date]])</f>
        <v>2022</v>
      </c>
      <c r="F433">
        <v>323</v>
      </c>
      <c r="G433" t="s">
        <v>30</v>
      </c>
    </row>
    <row r="434" spans="1:7" x14ac:dyDescent="0.3">
      <c r="A434">
        <v>30433</v>
      </c>
      <c r="B434">
        <v>138</v>
      </c>
      <c r="C434" s="2">
        <v>45456</v>
      </c>
      <c r="D434" s="2" t="str">
        <f>TEXT(Table5[[#This Row],[bill_date]],"mmmm")</f>
        <v>June</v>
      </c>
      <c r="E434" s="9">
        <f>YEAR(Table5[[#This Row],[bill_date]])</f>
        <v>2024</v>
      </c>
      <c r="F434">
        <v>421</v>
      </c>
      <c r="G434" t="s">
        <v>30</v>
      </c>
    </row>
    <row r="435" spans="1:7" x14ac:dyDescent="0.3">
      <c r="A435">
        <v>30434</v>
      </c>
      <c r="B435">
        <v>44</v>
      </c>
      <c r="C435" s="2">
        <v>45418</v>
      </c>
      <c r="D435" s="2" t="str">
        <f>TEXT(Table5[[#This Row],[bill_date]],"mmmm")</f>
        <v>May</v>
      </c>
      <c r="E435" s="9">
        <f>YEAR(Table5[[#This Row],[bill_date]])</f>
        <v>2024</v>
      </c>
      <c r="F435">
        <v>526</v>
      </c>
      <c r="G435" t="s">
        <v>30</v>
      </c>
    </row>
    <row r="436" spans="1:7" x14ac:dyDescent="0.3">
      <c r="A436">
        <v>30435</v>
      </c>
      <c r="B436">
        <v>226</v>
      </c>
      <c r="C436" s="2">
        <v>45266</v>
      </c>
      <c r="D436" s="2" t="str">
        <f>TEXT(Table5[[#This Row],[bill_date]],"mmmm")</f>
        <v>December</v>
      </c>
      <c r="E436" s="9">
        <f>YEAR(Table5[[#This Row],[bill_date]])</f>
        <v>2023</v>
      </c>
      <c r="F436">
        <v>1215</v>
      </c>
      <c r="G436" t="s">
        <v>30</v>
      </c>
    </row>
    <row r="437" spans="1:7" x14ac:dyDescent="0.3">
      <c r="A437">
        <v>30436</v>
      </c>
      <c r="B437">
        <v>433</v>
      </c>
      <c r="C437" s="2">
        <v>45182</v>
      </c>
      <c r="D437" s="2" t="str">
        <f>TEXT(Table5[[#This Row],[bill_date]],"mmmm")</f>
        <v>September</v>
      </c>
      <c r="E437" s="9">
        <f>YEAR(Table5[[#This Row],[bill_date]])</f>
        <v>2023</v>
      </c>
      <c r="F437">
        <v>1016</v>
      </c>
      <c r="G437" t="s">
        <v>30</v>
      </c>
    </row>
    <row r="438" spans="1:7" x14ac:dyDescent="0.3">
      <c r="A438">
        <v>30437</v>
      </c>
      <c r="B438">
        <v>345</v>
      </c>
      <c r="C438" s="2">
        <v>44917</v>
      </c>
      <c r="D438" s="2" t="str">
        <f>TEXT(Table5[[#This Row],[bill_date]],"mmmm")</f>
        <v>December</v>
      </c>
      <c r="E438" s="9">
        <f>YEAR(Table5[[#This Row],[bill_date]])</f>
        <v>2022</v>
      </c>
      <c r="F438">
        <v>457</v>
      </c>
      <c r="G438" t="s">
        <v>28</v>
      </c>
    </row>
    <row r="439" spans="1:7" x14ac:dyDescent="0.3">
      <c r="A439">
        <v>30438</v>
      </c>
      <c r="B439">
        <v>37</v>
      </c>
      <c r="C439" s="2">
        <v>45350</v>
      </c>
      <c r="D439" s="2" t="str">
        <f>TEXT(Table5[[#This Row],[bill_date]],"mmmm")</f>
        <v>February</v>
      </c>
      <c r="E439" s="9">
        <f>YEAR(Table5[[#This Row],[bill_date]])</f>
        <v>2024</v>
      </c>
      <c r="F439">
        <v>265</v>
      </c>
      <c r="G439" t="s">
        <v>30</v>
      </c>
    </row>
    <row r="440" spans="1:7" x14ac:dyDescent="0.3">
      <c r="A440">
        <v>30439</v>
      </c>
      <c r="B440">
        <v>314</v>
      </c>
      <c r="C440" s="2">
        <v>45306</v>
      </c>
      <c r="D440" s="2" t="str">
        <f>TEXT(Table5[[#This Row],[bill_date]],"mmmm")</f>
        <v>January</v>
      </c>
      <c r="E440" s="9">
        <f>YEAR(Table5[[#This Row],[bill_date]])</f>
        <v>2024</v>
      </c>
      <c r="F440">
        <v>1819</v>
      </c>
      <c r="G440" t="s">
        <v>30</v>
      </c>
    </row>
    <row r="441" spans="1:7" x14ac:dyDescent="0.3">
      <c r="A441">
        <v>30440</v>
      </c>
      <c r="B441">
        <v>220</v>
      </c>
      <c r="C441" s="2">
        <v>45094</v>
      </c>
      <c r="D441" s="2" t="str">
        <f>TEXT(Table5[[#This Row],[bill_date]],"mmmm")</f>
        <v>June</v>
      </c>
      <c r="E441" s="9">
        <f>YEAR(Table5[[#This Row],[bill_date]])</f>
        <v>2023</v>
      </c>
      <c r="F441">
        <v>1081</v>
      </c>
      <c r="G441" t="s">
        <v>30</v>
      </c>
    </row>
    <row r="442" spans="1:7" x14ac:dyDescent="0.3">
      <c r="A442">
        <v>30441</v>
      </c>
      <c r="B442">
        <v>128</v>
      </c>
      <c r="C442" s="2">
        <v>44934</v>
      </c>
      <c r="D442" s="2" t="str">
        <f>TEXT(Table5[[#This Row],[bill_date]],"mmmm")</f>
        <v>January</v>
      </c>
      <c r="E442" s="9">
        <f>YEAR(Table5[[#This Row],[bill_date]])</f>
        <v>2023</v>
      </c>
      <c r="F442">
        <v>1284</v>
      </c>
      <c r="G442" t="s">
        <v>30</v>
      </c>
    </row>
    <row r="443" spans="1:7" x14ac:dyDescent="0.3">
      <c r="A443">
        <v>30442</v>
      </c>
      <c r="B443">
        <v>143</v>
      </c>
      <c r="C443" s="2">
        <v>44973</v>
      </c>
      <c r="D443" s="2" t="str">
        <f>TEXT(Table5[[#This Row],[bill_date]],"mmmm")</f>
        <v>February</v>
      </c>
      <c r="E443" s="9">
        <f>YEAR(Table5[[#This Row],[bill_date]])</f>
        <v>2023</v>
      </c>
      <c r="F443">
        <v>1170</v>
      </c>
      <c r="G443" t="s">
        <v>30</v>
      </c>
    </row>
    <row r="444" spans="1:7" x14ac:dyDescent="0.3">
      <c r="A444">
        <v>30443</v>
      </c>
      <c r="B444">
        <v>404</v>
      </c>
      <c r="C444" s="2">
        <v>44813</v>
      </c>
      <c r="D444" s="2" t="str">
        <f>TEXT(Table5[[#This Row],[bill_date]],"mmmm")</f>
        <v>September</v>
      </c>
      <c r="E444" s="9">
        <f>YEAR(Table5[[#This Row],[bill_date]])</f>
        <v>2022</v>
      </c>
      <c r="F444">
        <v>1748</v>
      </c>
      <c r="G444" t="s">
        <v>30</v>
      </c>
    </row>
    <row r="445" spans="1:7" x14ac:dyDescent="0.3">
      <c r="A445">
        <v>30444</v>
      </c>
      <c r="B445">
        <v>183</v>
      </c>
      <c r="C445" s="2">
        <v>44575</v>
      </c>
      <c r="D445" s="2" t="str">
        <f>TEXT(Table5[[#This Row],[bill_date]],"mmmm")</f>
        <v>January</v>
      </c>
      <c r="E445" s="9">
        <f>YEAR(Table5[[#This Row],[bill_date]])</f>
        <v>2022</v>
      </c>
      <c r="F445">
        <v>1856</v>
      </c>
      <c r="G445" t="s">
        <v>29</v>
      </c>
    </row>
    <row r="446" spans="1:7" x14ac:dyDescent="0.3">
      <c r="A446">
        <v>30445</v>
      </c>
      <c r="B446">
        <v>397</v>
      </c>
      <c r="C446" s="2">
        <v>44776</v>
      </c>
      <c r="D446" s="2" t="str">
        <f>TEXT(Table5[[#This Row],[bill_date]],"mmmm")</f>
        <v>August</v>
      </c>
      <c r="E446" s="9">
        <f>YEAR(Table5[[#This Row],[bill_date]])</f>
        <v>2022</v>
      </c>
      <c r="F446">
        <v>477</v>
      </c>
      <c r="G446" t="s">
        <v>30</v>
      </c>
    </row>
    <row r="447" spans="1:7" x14ac:dyDescent="0.3">
      <c r="A447">
        <v>30446</v>
      </c>
      <c r="B447">
        <v>404</v>
      </c>
      <c r="C447" s="2">
        <v>45097</v>
      </c>
      <c r="D447" s="2" t="str">
        <f>TEXT(Table5[[#This Row],[bill_date]],"mmmm")</f>
        <v>June</v>
      </c>
      <c r="E447" s="9">
        <f>YEAR(Table5[[#This Row],[bill_date]])</f>
        <v>2023</v>
      </c>
      <c r="F447">
        <v>1345</v>
      </c>
      <c r="G447" t="s">
        <v>30</v>
      </c>
    </row>
    <row r="448" spans="1:7" x14ac:dyDescent="0.3">
      <c r="A448">
        <v>30447</v>
      </c>
      <c r="B448">
        <v>43</v>
      </c>
      <c r="C448" s="2">
        <v>44581</v>
      </c>
      <c r="D448" s="2" t="str">
        <f>TEXT(Table5[[#This Row],[bill_date]],"mmmm")</f>
        <v>January</v>
      </c>
      <c r="E448" s="9">
        <f>YEAR(Table5[[#This Row],[bill_date]])</f>
        <v>2022</v>
      </c>
      <c r="F448">
        <v>787</v>
      </c>
      <c r="G448" t="s">
        <v>30</v>
      </c>
    </row>
    <row r="449" spans="1:7" x14ac:dyDescent="0.3">
      <c r="A449">
        <v>30448</v>
      </c>
      <c r="B449">
        <v>479</v>
      </c>
      <c r="C449" s="2">
        <v>45049</v>
      </c>
      <c r="D449" s="2" t="str">
        <f>TEXT(Table5[[#This Row],[bill_date]],"mmmm")</f>
        <v>May</v>
      </c>
      <c r="E449" s="9">
        <f>YEAR(Table5[[#This Row],[bill_date]])</f>
        <v>2023</v>
      </c>
      <c r="F449">
        <v>470</v>
      </c>
      <c r="G449" t="s">
        <v>30</v>
      </c>
    </row>
    <row r="450" spans="1:7" x14ac:dyDescent="0.3">
      <c r="A450">
        <v>30449</v>
      </c>
      <c r="B450">
        <v>210</v>
      </c>
      <c r="C450" s="2">
        <v>45275</v>
      </c>
      <c r="D450" s="2" t="str">
        <f>TEXT(Table5[[#This Row],[bill_date]],"mmmm")</f>
        <v>December</v>
      </c>
      <c r="E450" s="9">
        <f>YEAR(Table5[[#This Row],[bill_date]])</f>
        <v>2023</v>
      </c>
      <c r="F450">
        <v>700</v>
      </c>
      <c r="G450" t="s">
        <v>28</v>
      </c>
    </row>
    <row r="451" spans="1:7" x14ac:dyDescent="0.3">
      <c r="A451">
        <v>30450</v>
      </c>
      <c r="B451">
        <v>425</v>
      </c>
      <c r="C451" s="2">
        <v>44997</v>
      </c>
      <c r="D451" s="2" t="str">
        <f>TEXT(Table5[[#This Row],[bill_date]],"mmmm")</f>
        <v>March</v>
      </c>
      <c r="E451" s="9">
        <f>YEAR(Table5[[#This Row],[bill_date]])</f>
        <v>2023</v>
      </c>
      <c r="F451">
        <v>856</v>
      </c>
      <c r="G451" t="s">
        <v>30</v>
      </c>
    </row>
    <row r="452" spans="1:7" x14ac:dyDescent="0.3">
      <c r="A452">
        <v>30451</v>
      </c>
      <c r="B452">
        <v>48</v>
      </c>
      <c r="C452" s="2">
        <v>44882</v>
      </c>
      <c r="D452" s="2" t="str">
        <f>TEXT(Table5[[#This Row],[bill_date]],"mmmm")</f>
        <v>November</v>
      </c>
      <c r="E452" s="9">
        <f>YEAR(Table5[[#This Row],[bill_date]])</f>
        <v>2022</v>
      </c>
      <c r="F452">
        <v>1491</v>
      </c>
      <c r="G452" t="s">
        <v>28</v>
      </c>
    </row>
    <row r="453" spans="1:7" x14ac:dyDescent="0.3">
      <c r="A453">
        <v>30452</v>
      </c>
      <c r="B453">
        <v>312</v>
      </c>
      <c r="C453" s="2">
        <v>44613</v>
      </c>
      <c r="D453" s="2" t="str">
        <f>TEXT(Table5[[#This Row],[bill_date]],"mmmm")</f>
        <v>February</v>
      </c>
      <c r="E453" s="9">
        <f>YEAR(Table5[[#This Row],[bill_date]])</f>
        <v>2022</v>
      </c>
      <c r="F453">
        <v>1091</v>
      </c>
      <c r="G453" t="s">
        <v>30</v>
      </c>
    </row>
    <row r="454" spans="1:7" x14ac:dyDescent="0.3">
      <c r="A454">
        <v>30453</v>
      </c>
      <c r="B454">
        <v>220</v>
      </c>
      <c r="C454" s="2">
        <v>44918</v>
      </c>
      <c r="D454" s="2" t="str">
        <f>TEXT(Table5[[#This Row],[bill_date]],"mmmm")</f>
        <v>December</v>
      </c>
      <c r="E454" s="9">
        <f>YEAR(Table5[[#This Row],[bill_date]])</f>
        <v>2022</v>
      </c>
      <c r="F454">
        <v>766</v>
      </c>
      <c r="G454" t="s">
        <v>28</v>
      </c>
    </row>
    <row r="455" spans="1:7" x14ac:dyDescent="0.3">
      <c r="A455">
        <v>30454</v>
      </c>
      <c r="B455">
        <v>367</v>
      </c>
      <c r="C455" s="2">
        <v>45259</v>
      </c>
      <c r="D455" s="2" t="str">
        <f>TEXT(Table5[[#This Row],[bill_date]],"mmmm")</f>
        <v>November</v>
      </c>
      <c r="E455" s="9">
        <f>YEAR(Table5[[#This Row],[bill_date]])</f>
        <v>2023</v>
      </c>
      <c r="F455">
        <v>416</v>
      </c>
      <c r="G455" t="s">
        <v>30</v>
      </c>
    </row>
    <row r="456" spans="1:7" x14ac:dyDescent="0.3">
      <c r="A456">
        <v>30455</v>
      </c>
      <c r="B456">
        <v>196</v>
      </c>
      <c r="C456" s="2">
        <v>45280</v>
      </c>
      <c r="D456" s="2" t="str">
        <f>TEXT(Table5[[#This Row],[bill_date]],"mmmm")</f>
        <v>December</v>
      </c>
      <c r="E456" s="9">
        <f>YEAR(Table5[[#This Row],[bill_date]])</f>
        <v>2023</v>
      </c>
      <c r="F456">
        <v>883</v>
      </c>
      <c r="G456" t="s">
        <v>30</v>
      </c>
    </row>
    <row r="457" spans="1:7" x14ac:dyDescent="0.3">
      <c r="A457">
        <v>30456</v>
      </c>
      <c r="B457">
        <v>472</v>
      </c>
      <c r="C457" s="2">
        <v>45433</v>
      </c>
      <c r="D457" s="2" t="str">
        <f>TEXT(Table5[[#This Row],[bill_date]],"mmmm")</f>
        <v>May</v>
      </c>
      <c r="E457" s="9">
        <f>YEAR(Table5[[#This Row],[bill_date]])</f>
        <v>2024</v>
      </c>
      <c r="F457">
        <v>1774</v>
      </c>
      <c r="G457" t="s">
        <v>30</v>
      </c>
    </row>
    <row r="458" spans="1:7" x14ac:dyDescent="0.3">
      <c r="A458">
        <v>30457</v>
      </c>
      <c r="B458">
        <v>172</v>
      </c>
      <c r="C458" s="2">
        <v>45168</v>
      </c>
      <c r="D458" s="2" t="str">
        <f>TEXT(Table5[[#This Row],[bill_date]],"mmmm")</f>
        <v>August</v>
      </c>
      <c r="E458" s="9">
        <f>YEAR(Table5[[#This Row],[bill_date]])</f>
        <v>2023</v>
      </c>
      <c r="F458">
        <v>357</v>
      </c>
      <c r="G458" t="s">
        <v>30</v>
      </c>
    </row>
    <row r="459" spans="1:7" x14ac:dyDescent="0.3">
      <c r="A459">
        <v>30458</v>
      </c>
      <c r="B459">
        <v>237</v>
      </c>
      <c r="C459" s="2">
        <v>44909</v>
      </c>
      <c r="D459" s="2" t="str">
        <f>TEXT(Table5[[#This Row],[bill_date]],"mmmm")</f>
        <v>December</v>
      </c>
      <c r="E459" s="9">
        <f>YEAR(Table5[[#This Row],[bill_date]])</f>
        <v>2022</v>
      </c>
      <c r="F459">
        <v>558</v>
      </c>
      <c r="G459" t="s">
        <v>30</v>
      </c>
    </row>
    <row r="460" spans="1:7" x14ac:dyDescent="0.3">
      <c r="A460">
        <v>30459</v>
      </c>
      <c r="B460">
        <v>457</v>
      </c>
      <c r="C460" s="2">
        <v>45339</v>
      </c>
      <c r="D460" s="2" t="str">
        <f>TEXT(Table5[[#This Row],[bill_date]],"mmmm")</f>
        <v>February</v>
      </c>
      <c r="E460" s="9">
        <f>YEAR(Table5[[#This Row],[bill_date]])</f>
        <v>2024</v>
      </c>
      <c r="F460">
        <v>1687</v>
      </c>
      <c r="G460" t="s">
        <v>30</v>
      </c>
    </row>
    <row r="461" spans="1:7" x14ac:dyDescent="0.3">
      <c r="A461">
        <v>30460</v>
      </c>
      <c r="B461">
        <v>175</v>
      </c>
      <c r="C461" s="2">
        <v>44887</v>
      </c>
      <c r="D461" s="2" t="str">
        <f>TEXT(Table5[[#This Row],[bill_date]],"mmmm")</f>
        <v>November</v>
      </c>
      <c r="E461" s="9">
        <f>YEAR(Table5[[#This Row],[bill_date]])</f>
        <v>2022</v>
      </c>
      <c r="F461">
        <v>742</v>
      </c>
      <c r="G461" t="s">
        <v>30</v>
      </c>
    </row>
    <row r="462" spans="1:7" x14ac:dyDescent="0.3">
      <c r="A462">
        <v>30461</v>
      </c>
      <c r="B462">
        <v>434</v>
      </c>
      <c r="C462" s="2">
        <v>45088</v>
      </c>
      <c r="D462" s="2" t="str">
        <f>TEXT(Table5[[#This Row],[bill_date]],"mmmm")</f>
        <v>June</v>
      </c>
      <c r="E462" s="9">
        <f>YEAR(Table5[[#This Row],[bill_date]])</f>
        <v>2023</v>
      </c>
      <c r="F462">
        <v>1470</v>
      </c>
      <c r="G462" t="s">
        <v>30</v>
      </c>
    </row>
    <row r="463" spans="1:7" x14ac:dyDescent="0.3">
      <c r="A463">
        <v>30462</v>
      </c>
      <c r="B463">
        <v>500</v>
      </c>
      <c r="C463" s="2">
        <v>45248</v>
      </c>
      <c r="D463" s="2" t="str">
        <f>TEXT(Table5[[#This Row],[bill_date]],"mmmm")</f>
        <v>November</v>
      </c>
      <c r="E463" s="9">
        <f>YEAR(Table5[[#This Row],[bill_date]])</f>
        <v>2023</v>
      </c>
      <c r="F463">
        <v>1863</v>
      </c>
      <c r="G463" t="s">
        <v>30</v>
      </c>
    </row>
    <row r="464" spans="1:7" x14ac:dyDescent="0.3">
      <c r="A464">
        <v>30463</v>
      </c>
      <c r="B464">
        <v>32</v>
      </c>
      <c r="C464" s="2">
        <v>44780</v>
      </c>
      <c r="D464" s="2" t="str">
        <f>TEXT(Table5[[#This Row],[bill_date]],"mmmm")</f>
        <v>August</v>
      </c>
      <c r="E464" s="9">
        <f>YEAR(Table5[[#This Row],[bill_date]])</f>
        <v>2022</v>
      </c>
      <c r="F464">
        <v>489</v>
      </c>
      <c r="G464" t="s">
        <v>30</v>
      </c>
    </row>
    <row r="465" spans="1:7" x14ac:dyDescent="0.3">
      <c r="A465">
        <v>30464</v>
      </c>
      <c r="B465">
        <v>224</v>
      </c>
      <c r="C465" s="2">
        <v>45083</v>
      </c>
      <c r="D465" s="2" t="str">
        <f>TEXT(Table5[[#This Row],[bill_date]],"mmmm")</f>
        <v>June</v>
      </c>
      <c r="E465" s="9">
        <f>YEAR(Table5[[#This Row],[bill_date]])</f>
        <v>2023</v>
      </c>
      <c r="F465">
        <v>234</v>
      </c>
      <c r="G465" t="s">
        <v>30</v>
      </c>
    </row>
    <row r="466" spans="1:7" x14ac:dyDescent="0.3">
      <c r="A466">
        <v>30465</v>
      </c>
      <c r="B466">
        <v>54</v>
      </c>
      <c r="C466" s="2">
        <v>44966</v>
      </c>
      <c r="D466" s="2" t="str">
        <f>TEXT(Table5[[#This Row],[bill_date]],"mmmm")</f>
        <v>February</v>
      </c>
      <c r="E466" s="9">
        <f>YEAR(Table5[[#This Row],[bill_date]])</f>
        <v>2023</v>
      </c>
      <c r="F466">
        <v>1177</v>
      </c>
      <c r="G466" t="s">
        <v>30</v>
      </c>
    </row>
    <row r="467" spans="1:7" x14ac:dyDescent="0.3">
      <c r="A467">
        <v>30466</v>
      </c>
      <c r="B467">
        <v>423</v>
      </c>
      <c r="C467" s="2">
        <v>44580</v>
      </c>
      <c r="D467" s="2" t="str">
        <f>TEXT(Table5[[#This Row],[bill_date]],"mmmm")</f>
        <v>January</v>
      </c>
      <c r="E467" s="9">
        <f>YEAR(Table5[[#This Row],[bill_date]])</f>
        <v>2022</v>
      </c>
      <c r="F467">
        <v>1058</v>
      </c>
      <c r="G467" t="s">
        <v>30</v>
      </c>
    </row>
    <row r="468" spans="1:7" x14ac:dyDescent="0.3">
      <c r="A468">
        <v>30467</v>
      </c>
      <c r="B468">
        <v>469</v>
      </c>
      <c r="C468" s="2">
        <v>45141</v>
      </c>
      <c r="D468" s="2" t="str">
        <f>TEXT(Table5[[#This Row],[bill_date]],"mmmm")</f>
        <v>August</v>
      </c>
      <c r="E468" s="9">
        <f>YEAR(Table5[[#This Row],[bill_date]])</f>
        <v>2023</v>
      </c>
      <c r="F468">
        <v>264</v>
      </c>
      <c r="G468" t="s">
        <v>30</v>
      </c>
    </row>
    <row r="469" spans="1:7" x14ac:dyDescent="0.3">
      <c r="A469">
        <v>30468</v>
      </c>
      <c r="B469">
        <v>186</v>
      </c>
      <c r="C469" s="2">
        <v>45351</v>
      </c>
      <c r="D469" s="2" t="str">
        <f>TEXT(Table5[[#This Row],[bill_date]],"mmmm")</f>
        <v>February</v>
      </c>
      <c r="E469" s="9">
        <f>YEAR(Table5[[#This Row],[bill_date]])</f>
        <v>2024</v>
      </c>
      <c r="F469">
        <v>995</v>
      </c>
      <c r="G469" t="s">
        <v>30</v>
      </c>
    </row>
    <row r="470" spans="1:7" x14ac:dyDescent="0.3">
      <c r="A470">
        <v>30469</v>
      </c>
      <c r="B470">
        <v>492</v>
      </c>
      <c r="C470" s="2">
        <v>45392</v>
      </c>
      <c r="D470" s="2" t="str">
        <f>TEXT(Table5[[#This Row],[bill_date]],"mmmm")</f>
        <v>April</v>
      </c>
      <c r="E470" s="9">
        <f>YEAR(Table5[[#This Row],[bill_date]])</f>
        <v>2024</v>
      </c>
      <c r="F470">
        <v>1649</v>
      </c>
      <c r="G470" t="s">
        <v>30</v>
      </c>
    </row>
    <row r="471" spans="1:7" x14ac:dyDescent="0.3">
      <c r="A471">
        <v>30470</v>
      </c>
      <c r="B471">
        <v>234</v>
      </c>
      <c r="C471" s="2">
        <v>44855</v>
      </c>
      <c r="D471" s="2" t="str">
        <f>TEXT(Table5[[#This Row],[bill_date]],"mmmm")</f>
        <v>October</v>
      </c>
      <c r="E471" s="9">
        <f>YEAR(Table5[[#This Row],[bill_date]])</f>
        <v>2022</v>
      </c>
      <c r="F471">
        <v>355</v>
      </c>
      <c r="G471" t="s">
        <v>30</v>
      </c>
    </row>
    <row r="472" spans="1:7" x14ac:dyDescent="0.3">
      <c r="A472">
        <v>30471</v>
      </c>
      <c r="B472">
        <v>317</v>
      </c>
      <c r="C472" s="2">
        <v>44576</v>
      </c>
      <c r="D472" s="2" t="str">
        <f>TEXT(Table5[[#This Row],[bill_date]],"mmmm")</f>
        <v>January</v>
      </c>
      <c r="E472" s="9">
        <f>YEAR(Table5[[#This Row],[bill_date]])</f>
        <v>2022</v>
      </c>
      <c r="F472">
        <v>1777</v>
      </c>
      <c r="G472" t="s">
        <v>30</v>
      </c>
    </row>
    <row r="473" spans="1:7" x14ac:dyDescent="0.3">
      <c r="A473">
        <v>30472</v>
      </c>
      <c r="B473">
        <v>231</v>
      </c>
      <c r="C473" s="2">
        <v>44887</v>
      </c>
      <c r="D473" s="2" t="str">
        <f>TEXT(Table5[[#This Row],[bill_date]],"mmmm")</f>
        <v>November</v>
      </c>
      <c r="E473" s="9">
        <f>YEAR(Table5[[#This Row],[bill_date]])</f>
        <v>2022</v>
      </c>
      <c r="F473">
        <v>319</v>
      </c>
      <c r="G473" t="s">
        <v>30</v>
      </c>
    </row>
    <row r="474" spans="1:7" x14ac:dyDescent="0.3">
      <c r="A474">
        <v>30473</v>
      </c>
      <c r="B474">
        <v>110</v>
      </c>
      <c r="C474" s="2">
        <v>45187</v>
      </c>
      <c r="D474" s="2" t="str">
        <f>TEXT(Table5[[#This Row],[bill_date]],"mmmm")</f>
        <v>September</v>
      </c>
      <c r="E474" s="9">
        <f>YEAR(Table5[[#This Row],[bill_date]])</f>
        <v>2023</v>
      </c>
      <c r="F474">
        <v>390</v>
      </c>
      <c r="G474" t="s">
        <v>30</v>
      </c>
    </row>
    <row r="475" spans="1:7" x14ac:dyDescent="0.3">
      <c r="A475">
        <v>30474</v>
      </c>
      <c r="B475">
        <v>475</v>
      </c>
      <c r="C475" s="2">
        <v>45373</v>
      </c>
      <c r="D475" s="2" t="str">
        <f>TEXT(Table5[[#This Row],[bill_date]],"mmmm")</f>
        <v>March</v>
      </c>
      <c r="E475" s="9">
        <f>YEAR(Table5[[#This Row],[bill_date]])</f>
        <v>2024</v>
      </c>
      <c r="F475">
        <v>1698</v>
      </c>
      <c r="G475" t="s">
        <v>30</v>
      </c>
    </row>
    <row r="476" spans="1:7" x14ac:dyDescent="0.3">
      <c r="A476">
        <v>30475</v>
      </c>
      <c r="B476">
        <v>367</v>
      </c>
      <c r="C476" s="2">
        <v>44719</v>
      </c>
      <c r="D476" s="2" t="str">
        <f>TEXT(Table5[[#This Row],[bill_date]],"mmmm")</f>
        <v>June</v>
      </c>
      <c r="E476" s="9">
        <f>YEAR(Table5[[#This Row],[bill_date]])</f>
        <v>2022</v>
      </c>
      <c r="F476">
        <v>1576</v>
      </c>
      <c r="G476" t="s">
        <v>30</v>
      </c>
    </row>
    <row r="477" spans="1:7" x14ac:dyDescent="0.3">
      <c r="A477">
        <v>30476</v>
      </c>
      <c r="B477">
        <v>100</v>
      </c>
      <c r="C477" s="2">
        <v>44665</v>
      </c>
      <c r="D477" s="2" t="str">
        <f>TEXT(Table5[[#This Row],[bill_date]],"mmmm")</f>
        <v>April</v>
      </c>
      <c r="E477" s="9">
        <f>YEAR(Table5[[#This Row],[bill_date]])</f>
        <v>2022</v>
      </c>
      <c r="F477">
        <v>1765</v>
      </c>
      <c r="G477" t="s">
        <v>28</v>
      </c>
    </row>
    <row r="478" spans="1:7" x14ac:dyDescent="0.3">
      <c r="A478">
        <v>30477</v>
      </c>
      <c r="B478">
        <v>200</v>
      </c>
      <c r="C478" s="2">
        <v>45353</v>
      </c>
      <c r="D478" s="2" t="str">
        <f>TEXT(Table5[[#This Row],[bill_date]],"mmmm")</f>
        <v>March</v>
      </c>
      <c r="E478" s="9">
        <f>YEAR(Table5[[#This Row],[bill_date]])</f>
        <v>2024</v>
      </c>
      <c r="F478">
        <v>555</v>
      </c>
      <c r="G478" t="s">
        <v>28</v>
      </c>
    </row>
    <row r="479" spans="1:7" x14ac:dyDescent="0.3">
      <c r="A479">
        <v>30478</v>
      </c>
      <c r="B479">
        <v>211</v>
      </c>
      <c r="C479" s="2">
        <v>45159</v>
      </c>
      <c r="D479" s="2" t="str">
        <f>TEXT(Table5[[#This Row],[bill_date]],"mmmm")</f>
        <v>August</v>
      </c>
      <c r="E479" s="9">
        <f>YEAR(Table5[[#This Row],[bill_date]])</f>
        <v>2023</v>
      </c>
      <c r="F479">
        <v>729</v>
      </c>
      <c r="G479" t="s">
        <v>30</v>
      </c>
    </row>
    <row r="480" spans="1:7" x14ac:dyDescent="0.3">
      <c r="A480">
        <v>30479</v>
      </c>
      <c r="B480">
        <v>221</v>
      </c>
      <c r="C480" s="2">
        <v>45167</v>
      </c>
      <c r="D480" s="2" t="str">
        <f>TEXT(Table5[[#This Row],[bill_date]],"mmmm")</f>
        <v>August</v>
      </c>
      <c r="E480" s="9">
        <f>YEAR(Table5[[#This Row],[bill_date]])</f>
        <v>2023</v>
      </c>
      <c r="F480">
        <v>678</v>
      </c>
      <c r="G480" t="s">
        <v>30</v>
      </c>
    </row>
    <row r="481" spans="1:7" x14ac:dyDescent="0.3">
      <c r="A481">
        <v>30480</v>
      </c>
      <c r="B481">
        <v>403</v>
      </c>
      <c r="C481" s="2">
        <v>45247</v>
      </c>
      <c r="D481" s="2" t="str">
        <f>TEXT(Table5[[#This Row],[bill_date]],"mmmm")</f>
        <v>November</v>
      </c>
      <c r="E481" s="9">
        <f>YEAR(Table5[[#This Row],[bill_date]])</f>
        <v>2023</v>
      </c>
      <c r="F481">
        <v>995</v>
      </c>
      <c r="G481" t="s">
        <v>30</v>
      </c>
    </row>
    <row r="482" spans="1:7" x14ac:dyDescent="0.3">
      <c r="A482">
        <v>30481</v>
      </c>
      <c r="B482">
        <v>325</v>
      </c>
      <c r="C482" s="2">
        <v>45461</v>
      </c>
      <c r="D482" s="2" t="str">
        <f>TEXT(Table5[[#This Row],[bill_date]],"mmmm")</f>
        <v>June</v>
      </c>
      <c r="E482" s="9">
        <f>YEAR(Table5[[#This Row],[bill_date]])</f>
        <v>2024</v>
      </c>
      <c r="F482">
        <v>1295</v>
      </c>
      <c r="G482" t="s">
        <v>30</v>
      </c>
    </row>
    <row r="483" spans="1:7" x14ac:dyDescent="0.3">
      <c r="A483">
        <v>30482</v>
      </c>
      <c r="B483">
        <v>150</v>
      </c>
      <c r="C483" s="2">
        <v>45315</v>
      </c>
      <c r="D483" s="2" t="str">
        <f>TEXT(Table5[[#This Row],[bill_date]],"mmmm")</f>
        <v>January</v>
      </c>
      <c r="E483" s="9">
        <f>YEAR(Table5[[#This Row],[bill_date]])</f>
        <v>2024</v>
      </c>
      <c r="F483">
        <v>1613</v>
      </c>
      <c r="G483" t="s">
        <v>30</v>
      </c>
    </row>
    <row r="484" spans="1:7" x14ac:dyDescent="0.3">
      <c r="A484">
        <v>30483</v>
      </c>
      <c r="B484">
        <v>163</v>
      </c>
      <c r="C484" s="2">
        <v>45335</v>
      </c>
      <c r="D484" s="2" t="str">
        <f>TEXT(Table5[[#This Row],[bill_date]],"mmmm")</f>
        <v>February</v>
      </c>
      <c r="E484" s="9">
        <f>YEAR(Table5[[#This Row],[bill_date]])</f>
        <v>2024</v>
      </c>
      <c r="F484">
        <v>1152</v>
      </c>
      <c r="G484" t="s">
        <v>30</v>
      </c>
    </row>
    <row r="485" spans="1:7" x14ac:dyDescent="0.3">
      <c r="A485">
        <v>30484</v>
      </c>
      <c r="B485">
        <v>394</v>
      </c>
      <c r="C485" s="2">
        <v>45367</v>
      </c>
      <c r="D485" s="2" t="str">
        <f>TEXT(Table5[[#This Row],[bill_date]],"mmmm")</f>
        <v>March</v>
      </c>
      <c r="E485" s="9">
        <f>YEAR(Table5[[#This Row],[bill_date]])</f>
        <v>2024</v>
      </c>
      <c r="F485">
        <v>1298</v>
      </c>
      <c r="G485" t="s">
        <v>30</v>
      </c>
    </row>
    <row r="486" spans="1:7" x14ac:dyDescent="0.3">
      <c r="A486">
        <v>30485</v>
      </c>
      <c r="B486">
        <v>143</v>
      </c>
      <c r="C486" s="2">
        <v>44843</v>
      </c>
      <c r="D486" s="2" t="str">
        <f>TEXT(Table5[[#This Row],[bill_date]],"mmmm")</f>
        <v>October</v>
      </c>
      <c r="E486" s="9">
        <f>YEAR(Table5[[#This Row],[bill_date]])</f>
        <v>2022</v>
      </c>
      <c r="F486">
        <v>386</v>
      </c>
      <c r="G486" t="s">
        <v>30</v>
      </c>
    </row>
    <row r="487" spans="1:7" x14ac:dyDescent="0.3">
      <c r="A487">
        <v>30486</v>
      </c>
      <c r="B487">
        <v>258</v>
      </c>
      <c r="C487" s="2">
        <v>44708</v>
      </c>
      <c r="D487" s="2" t="str">
        <f>TEXT(Table5[[#This Row],[bill_date]],"mmmm")</f>
        <v>May</v>
      </c>
      <c r="E487" s="9">
        <f>YEAR(Table5[[#This Row],[bill_date]])</f>
        <v>2022</v>
      </c>
      <c r="F487">
        <v>1913</v>
      </c>
      <c r="G487" t="s">
        <v>30</v>
      </c>
    </row>
    <row r="488" spans="1:7" x14ac:dyDescent="0.3">
      <c r="A488">
        <v>30487</v>
      </c>
      <c r="B488">
        <v>245</v>
      </c>
      <c r="C488" s="2">
        <v>45075</v>
      </c>
      <c r="D488" s="2" t="str">
        <f>TEXT(Table5[[#This Row],[bill_date]],"mmmm")</f>
        <v>May</v>
      </c>
      <c r="E488" s="9">
        <f>YEAR(Table5[[#This Row],[bill_date]])</f>
        <v>2023</v>
      </c>
      <c r="F488">
        <v>1560</v>
      </c>
      <c r="G488" t="s">
        <v>30</v>
      </c>
    </row>
    <row r="489" spans="1:7" x14ac:dyDescent="0.3">
      <c r="A489">
        <v>30488</v>
      </c>
      <c r="B489">
        <v>490</v>
      </c>
      <c r="C489" s="2">
        <v>44629</v>
      </c>
      <c r="D489" s="2" t="str">
        <f>TEXT(Table5[[#This Row],[bill_date]],"mmmm")</f>
        <v>March</v>
      </c>
      <c r="E489" s="9">
        <f>YEAR(Table5[[#This Row],[bill_date]])</f>
        <v>2022</v>
      </c>
      <c r="F489">
        <v>674</v>
      </c>
      <c r="G489" t="s">
        <v>30</v>
      </c>
    </row>
    <row r="490" spans="1:7" x14ac:dyDescent="0.3">
      <c r="A490">
        <v>30489</v>
      </c>
      <c r="B490">
        <v>150</v>
      </c>
      <c r="C490" s="2">
        <v>45065</v>
      </c>
      <c r="D490" s="2" t="str">
        <f>TEXT(Table5[[#This Row],[bill_date]],"mmmm")</f>
        <v>May</v>
      </c>
      <c r="E490" s="9">
        <f>YEAR(Table5[[#This Row],[bill_date]])</f>
        <v>2023</v>
      </c>
      <c r="F490">
        <v>1528</v>
      </c>
      <c r="G490" t="s">
        <v>30</v>
      </c>
    </row>
    <row r="491" spans="1:7" x14ac:dyDescent="0.3">
      <c r="A491">
        <v>30490</v>
      </c>
      <c r="B491">
        <v>112</v>
      </c>
      <c r="C491" s="2">
        <v>44630</v>
      </c>
      <c r="D491" s="2" t="str">
        <f>TEXT(Table5[[#This Row],[bill_date]],"mmmm")</f>
        <v>March</v>
      </c>
      <c r="E491" s="9">
        <f>YEAR(Table5[[#This Row],[bill_date]])</f>
        <v>2022</v>
      </c>
      <c r="F491">
        <v>1115</v>
      </c>
      <c r="G491" t="s">
        <v>30</v>
      </c>
    </row>
    <row r="492" spans="1:7" x14ac:dyDescent="0.3">
      <c r="A492">
        <v>30491</v>
      </c>
      <c r="B492">
        <v>99</v>
      </c>
      <c r="C492" s="2">
        <v>45120</v>
      </c>
      <c r="D492" s="2" t="str">
        <f>TEXT(Table5[[#This Row],[bill_date]],"mmmm")</f>
        <v>July</v>
      </c>
      <c r="E492" s="9">
        <f>YEAR(Table5[[#This Row],[bill_date]])</f>
        <v>2023</v>
      </c>
      <c r="F492">
        <v>847</v>
      </c>
      <c r="G492" t="s">
        <v>30</v>
      </c>
    </row>
    <row r="493" spans="1:7" x14ac:dyDescent="0.3">
      <c r="A493">
        <v>30492</v>
      </c>
      <c r="B493">
        <v>103</v>
      </c>
      <c r="C493" s="2">
        <v>45428</v>
      </c>
      <c r="D493" s="2" t="str">
        <f>TEXT(Table5[[#This Row],[bill_date]],"mmmm")</f>
        <v>May</v>
      </c>
      <c r="E493" s="9">
        <f>YEAR(Table5[[#This Row],[bill_date]])</f>
        <v>2024</v>
      </c>
      <c r="F493">
        <v>360</v>
      </c>
      <c r="G493" t="s">
        <v>30</v>
      </c>
    </row>
    <row r="494" spans="1:7" x14ac:dyDescent="0.3">
      <c r="A494">
        <v>30493</v>
      </c>
      <c r="B494">
        <v>211</v>
      </c>
      <c r="C494" s="2">
        <v>44974</v>
      </c>
      <c r="D494" s="2" t="str">
        <f>TEXT(Table5[[#This Row],[bill_date]],"mmmm")</f>
        <v>February</v>
      </c>
      <c r="E494" s="9">
        <f>YEAR(Table5[[#This Row],[bill_date]])</f>
        <v>2023</v>
      </c>
      <c r="F494">
        <v>1000</v>
      </c>
      <c r="G494" t="s">
        <v>29</v>
      </c>
    </row>
    <row r="495" spans="1:7" x14ac:dyDescent="0.3">
      <c r="A495">
        <v>30494</v>
      </c>
      <c r="B495">
        <v>495</v>
      </c>
      <c r="C495" s="2">
        <v>44625</v>
      </c>
      <c r="D495" s="2" t="str">
        <f>TEXT(Table5[[#This Row],[bill_date]],"mmmm")</f>
        <v>March</v>
      </c>
      <c r="E495" s="9">
        <f>YEAR(Table5[[#This Row],[bill_date]])</f>
        <v>2022</v>
      </c>
      <c r="F495">
        <v>245</v>
      </c>
      <c r="G495" t="s">
        <v>30</v>
      </c>
    </row>
    <row r="496" spans="1:7" x14ac:dyDescent="0.3">
      <c r="A496">
        <v>30495</v>
      </c>
      <c r="B496">
        <v>12</v>
      </c>
      <c r="C496" s="2">
        <v>45153</v>
      </c>
      <c r="D496" s="2" t="str">
        <f>TEXT(Table5[[#This Row],[bill_date]],"mmmm")</f>
        <v>August</v>
      </c>
      <c r="E496" s="9">
        <f>YEAR(Table5[[#This Row],[bill_date]])</f>
        <v>2023</v>
      </c>
      <c r="F496">
        <v>222</v>
      </c>
      <c r="G496" t="s">
        <v>30</v>
      </c>
    </row>
    <row r="497" spans="1:7" x14ac:dyDescent="0.3">
      <c r="A497">
        <v>30496</v>
      </c>
      <c r="B497">
        <v>381</v>
      </c>
      <c r="C497" s="2">
        <v>45327</v>
      </c>
      <c r="D497" s="2" t="str">
        <f>TEXT(Table5[[#This Row],[bill_date]],"mmmm")</f>
        <v>February</v>
      </c>
      <c r="E497" s="9">
        <f>YEAR(Table5[[#This Row],[bill_date]])</f>
        <v>2024</v>
      </c>
      <c r="F497">
        <v>1558</v>
      </c>
      <c r="G497" t="s">
        <v>28</v>
      </c>
    </row>
    <row r="498" spans="1:7" x14ac:dyDescent="0.3">
      <c r="A498">
        <v>30497</v>
      </c>
      <c r="B498">
        <v>226</v>
      </c>
      <c r="C498" s="2">
        <v>44798</v>
      </c>
      <c r="D498" s="2" t="str">
        <f>TEXT(Table5[[#This Row],[bill_date]],"mmmm")</f>
        <v>August</v>
      </c>
      <c r="E498" s="9">
        <f>YEAR(Table5[[#This Row],[bill_date]])</f>
        <v>2022</v>
      </c>
      <c r="F498">
        <v>1506</v>
      </c>
      <c r="G498" t="s">
        <v>30</v>
      </c>
    </row>
    <row r="499" spans="1:7" x14ac:dyDescent="0.3">
      <c r="A499">
        <v>30498</v>
      </c>
      <c r="B499">
        <v>446</v>
      </c>
      <c r="C499" s="2">
        <v>44957</v>
      </c>
      <c r="D499" s="2" t="str">
        <f>TEXT(Table5[[#This Row],[bill_date]],"mmmm")</f>
        <v>January</v>
      </c>
      <c r="E499" s="9">
        <f>YEAR(Table5[[#This Row],[bill_date]])</f>
        <v>2023</v>
      </c>
      <c r="F499">
        <v>372</v>
      </c>
      <c r="G499" t="s">
        <v>30</v>
      </c>
    </row>
    <row r="500" spans="1:7" x14ac:dyDescent="0.3">
      <c r="A500">
        <v>30499</v>
      </c>
      <c r="B500">
        <v>301</v>
      </c>
      <c r="C500" s="2">
        <v>45402</v>
      </c>
      <c r="D500" s="2" t="str">
        <f>TEXT(Table5[[#This Row],[bill_date]],"mmmm")</f>
        <v>April</v>
      </c>
      <c r="E500" s="9">
        <f>YEAR(Table5[[#This Row],[bill_date]])</f>
        <v>2024</v>
      </c>
      <c r="F500">
        <v>1529</v>
      </c>
      <c r="G500" t="s">
        <v>30</v>
      </c>
    </row>
    <row r="501" spans="1:7" x14ac:dyDescent="0.3">
      <c r="A501">
        <v>30500</v>
      </c>
      <c r="B501">
        <v>442</v>
      </c>
      <c r="C501" s="2">
        <v>44700</v>
      </c>
      <c r="D501" s="2" t="str">
        <f>TEXT(Table5[[#This Row],[bill_date]],"mmmm")</f>
        <v>May</v>
      </c>
      <c r="E501" s="9">
        <f>YEAR(Table5[[#This Row],[bill_date]])</f>
        <v>2022</v>
      </c>
      <c r="F501">
        <v>1077</v>
      </c>
      <c r="G501" t="s">
        <v>30</v>
      </c>
    </row>
    <row r="502" spans="1:7" x14ac:dyDescent="0.3">
      <c r="A502">
        <v>30501</v>
      </c>
      <c r="B502">
        <v>148</v>
      </c>
      <c r="C502" s="2">
        <v>45337</v>
      </c>
      <c r="D502" s="2" t="str">
        <f>TEXT(Table5[[#This Row],[bill_date]],"mmmm")</f>
        <v>February</v>
      </c>
      <c r="E502" s="9">
        <f>YEAR(Table5[[#This Row],[bill_date]])</f>
        <v>2024</v>
      </c>
      <c r="F502">
        <v>972</v>
      </c>
      <c r="G502" t="s">
        <v>30</v>
      </c>
    </row>
    <row r="503" spans="1:7" x14ac:dyDescent="0.3">
      <c r="A503">
        <v>30502</v>
      </c>
      <c r="B503">
        <v>179</v>
      </c>
      <c r="C503" s="2">
        <v>44877</v>
      </c>
      <c r="D503" s="2" t="str">
        <f>TEXT(Table5[[#This Row],[bill_date]],"mmmm")</f>
        <v>November</v>
      </c>
      <c r="E503" s="9">
        <f>YEAR(Table5[[#This Row],[bill_date]])</f>
        <v>2022</v>
      </c>
      <c r="F503">
        <v>428</v>
      </c>
      <c r="G503" t="s">
        <v>30</v>
      </c>
    </row>
    <row r="504" spans="1:7" x14ac:dyDescent="0.3">
      <c r="A504">
        <v>30503</v>
      </c>
      <c r="B504">
        <v>7</v>
      </c>
      <c r="C504" s="2">
        <v>45227</v>
      </c>
      <c r="D504" s="2" t="str">
        <f>TEXT(Table5[[#This Row],[bill_date]],"mmmm")</f>
        <v>October</v>
      </c>
      <c r="E504" s="9">
        <f>YEAR(Table5[[#This Row],[bill_date]])</f>
        <v>2023</v>
      </c>
      <c r="F504">
        <v>901</v>
      </c>
      <c r="G504" t="s">
        <v>30</v>
      </c>
    </row>
    <row r="505" spans="1:7" x14ac:dyDescent="0.3">
      <c r="A505">
        <v>30504</v>
      </c>
      <c r="B505">
        <v>152</v>
      </c>
      <c r="C505" s="2">
        <v>44984</v>
      </c>
      <c r="D505" s="2" t="str">
        <f>TEXT(Table5[[#This Row],[bill_date]],"mmmm")</f>
        <v>February</v>
      </c>
      <c r="E505" s="9">
        <f>YEAR(Table5[[#This Row],[bill_date]])</f>
        <v>2023</v>
      </c>
      <c r="F505">
        <v>316</v>
      </c>
      <c r="G505" t="s">
        <v>30</v>
      </c>
    </row>
    <row r="506" spans="1:7" x14ac:dyDescent="0.3">
      <c r="A506">
        <v>30505</v>
      </c>
      <c r="B506">
        <v>323</v>
      </c>
      <c r="C506" s="2">
        <v>44693</v>
      </c>
      <c r="D506" s="2" t="str">
        <f>TEXT(Table5[[#This Row],[bill_date]],"mmmm")</f>
        <v>May</v>
      </c>
      <c r="E506" s="9">
        <f>YEAR(Table5[[#This Row],[bill_date]])</f>
        <v>2022</v>
      </c>
      <c r="F506">
        <v>251</v>
      </c>
      <c r="G506" t="s">
        <v>30</v>
      </c>
    </row>
    <row r="507" spans="1:7" x14ac:dyDescent="0.3">
      <c r="A507">
        <v>30506</v>
      </c>
      <c r="B507">
        <v>70</v>
      </c>
      <c r="C507" s="2">
        <v>44787</v>
      </c>
      <c r="D507" s="2" t="str">
        <f>TEXT(Table5[[#This Row],[bill_date]],"mmmm")</f>
        <v>August</v>
      </c>
      <c r="E507" s="9">
        <f>YEAR(Table5[[#This Row],[bill_date]])</f>
        <v>2022</v>
      </c>
      <c r="F507">
        <v>1414</v>
      </c>
      <c r="G507" t="s">
        <v>28</v>
      </c>
    </row>
    <row r="508" spans="1:7" x14ac:dyDescent="0.3">
      <c r="A508">
        <v>30507</v>
      </c>
      <c r="B508">
        <v>353</v>
      </c>
      <c r="C508" s="2">
        <v>45165</v>
      </c>
      <c r="D508" s="2" t="str">
        <f>TEXT(Table5[[#This Row],[bill_date]],"mmmm")</f>
        <v>August</v>
      </c>
      <c r="E508" s="9">
        <f>YEAR(Table5[[#This Row],[bill_date]])</f>
        <v>2023</v>
      </c>
      <c r="F508">
        <v>1146</v>
      </c>
      <c r="G508" t="s">
        <v>28</v>
      </c>
    </row>
    <row r="509" spans="1:7" x14ac:dyDescent="0.3">
      <c r="A509">
        <v>30508</v>
      </c>
      <c r="B509">
        <v>53</v>
      </c>
      <c r="C509" s="2">
        <v>45034</v>
      </c>
      <c r="D509" s="2" t="str">
        <f>TEXT(Table5[[#This Row],[bill_date]],"mmmm")</f>
        <v>April</v>
      </c>
      <c r="E509" s="9">
        <f>YEAR(Table5[[#This Row],[bill_date]])</f>
        <v>2023</v>
      </c>
      <c r="F509">
        <v>770</v>
      </c>
      <c r="G509" t="s">
        <v>30</v>
      </c>
    </row>
    <row r="510" spans="1:7" x14ac:dyDescent="0.3">
      <c r="A510">
        <v>30509</v>
      </c>
      <c r="B510">
        <v>162</v>
      </c>
      <c r="C510" s="2">
        <v>44679</v>
      </c>
      <c r="D510" s="2" t="str">
        <f>TEXT(Table5[[#This Row],[bill_date]],"mmmm")</f>
        <v>April</v>
      </c>
      <c r="E510" s="9">
        <f>YEAR(Table5[[#This Row],[bill_date]])</f>
        <v>2022</v>
      </c>
      <c r="F510">
        <v>721</v>
      </c>
      <c r="G510" t="s">
        <v>30</v>
      </c>
    </row>
    <row r="511" spans="1:7" x14ac:dyDescent="0.3">
      <c r="A511">
        <v>30510</v>
      </c>
      <c r="B511">
        <v>417</v>
      </c>
      <c r="C511" s="2">
        <v>45199</v>
      </c>
      <c r="D511" s="2" t="str">
        <f>TEXT(Table5[[#This Row],[bill_date]],"mmmm")</f>
        <v>September</v>
      </c>
      <c r="E511" s="9">
        <f>YEAR(Table5[[#This Row],[bill_date]])</f>
        <v>2023</v>
      </c>
      <c r="F511">
        <v>970</v>
      </c>
      <c r="G511" t="s">
        <v>29</v>
      </c>
    </row>
    <row r="512" spans="1:7" x14ac:dyDescent="0.3">
      <c r="A512">
        <v>30511</v>
      </c>
      <c r="B512">
        <v>93</v>
      </c>
      <c r="C512" s="2">
        <v>45448</v>
      </c>
      <c r="D512" s="2" t="str">
        <f>TEXT(Table5[[#This Row],[bill_date]],"mmmm")</f>
        <v>June</v>
      </c>
      <c r="E512" s="9">
        <f>YEAR(Table5[[#This Row],[bill_date]])</f>
        <v>2024</v>
      </c>
      <c r="F512">
        <v>980</v>
      </c>
      <c r="G512" t="s">
        <v>30</v>
      </c>
    </row>
    <row r="513" spans="1:7" x14ac:dyDescent="0.3">
      <c r="A513">
        <v>30512</v>
      </c>
      <c r="B513">
        <v>151</v>
      </c>
      <c r="C513" s="2">
        <v>45300</v>
      </c>
      <c r="D513" s="2" t="str">
        <f>TEXT(Table5[[#This Row],[bill_date]],"mmmm")</f>
        <v>January</v>
      </c>
      <c r="E513" s="9">
        <f>YEAR(Table5[[#This Row],[bill_date]])</f>
        <v>2024</v>
      </c>
      <c r="F513">
        <v>1363</v>
      </c>
      <c r="G513" t="s">
        <v>30</v>
      </c>
    </row>
    <row r="514" spans="1:7" x14ac:dyDescent="0.3">
      <c r="A514">
        <v>30513</v>
      </c>
      <c r="B514">
        <v>58</v>
      </c>
      <c r="C514" s="2">
        <v>44900</v>
      </c>
      <c r="D514" s="2" t="str">
        <f>TEXT(Table5[[#This Row],[bill_date]],"mmmm")</f>
        <v>December</v>
      </c>
      <c r="E514" s="9">
        <f>YEAR(Table5[[#This Row],[bill_date]])</f>
        <v>2022</v>
      </c>
      <c r="F514">
        <v>853</v>
      </c>
      <c r="G514" t="s">
        <v>30</v>
      </c>
    </row>
    <row r="515" spans="1:7" x14ac:dyDescent="0.3">
      <c r="A515">
        <v>30514</v>
      </c>
      <c r="B515">
        <v>196</v>
      </c>
      <c r="C515" s="2">
        <v>44980</v>
      </c>
      <c r="D515" s="2" t="str">
        <f>TEXT(Table5[[#This Row],[bill_date]],"mmmm")</f>
        <v>February</v>
      </c>
      <c r="E515" s="9">
        <f>YEAR(Table5[[#This Row],[bill_date]])</f>
        <v>2023</v>
      </c>
      <c r="F515">
        <v>311</v>
      </c>
      <c r="G515" t="s">
        <v>30</v>
      </c>
    </row>
    <row r="516" spans="1:7" x14ac:dyDescent="0.3">
      <c r="A516">
        <v>30515</v>
      </c>
      <c r="B516">
        <v>325</v>
      </c>
      <c r="C516" s="2">
        <v>44996</v>
      </c>
      <c r="D516" s="2" t="str">
        <f>TEXT(Table5[[#This Row],[bill_date]],"mmmm")</f>
        <v>March</v>
      </c>
      <c r="E516" s="9">
        <f>YEAR(Table5[[#This Row],[bill_date]])</f>
        <v>2023</v>
      </c>
      <c r="F516">
        <v>1486</v>
      </c>
      <c r="G516" t="s">
        <v>30</v>
      </c>
    </row>
    <row r="517" spans="1:7" x14ac:dyDescent="0.3">
      <c r="A517">
        <v>30516</v>
      </c>
      <c r="B517">
        <v>482</v>
      </c>
      <c r="C517" s="2">
        <v>44740</v>
      </c>
      <c r="D517" s="2" t="str">
        <f>TEXT(Table5[[#This Row],[bill_date]],"mmmm")</f>
        <v>June</v>
      </c>
      <c r="E517" s="9">
        <f>YEAR(Table5[[#This Row],[bill_date]])</f>
        <v>2022</v>
      </c>
      <c r="F517">
        <v>1713</v>
      </c>
      <c r="G517" t="s">
        <v>30</v>
      </c>
    </row>
    <row r="518" spans="1:7" x14ac:dyDescent="0.3">
      <c r="A518">
        <v>30517</v>
      </c>
      <c r="B518">
        <v>208</v>
      </c>
      <c r="C518" s="2">
        <v>45023</v>
      </c>
      <c r="D518" s="2" t="str">
        <f>TEXT(Table5[[#This Row],[bill_date]],"mmmm")</f>
        <v>April</v>
      </c>
      <c r="E518" s="9">
        <f>YEAR(Table5[[#This Row],[bill_date]])</f>
        <v>2023</v>
      </c>
      <c r="F518">
        <v>1566</v>
      </c>
      <c r="G518" t="s">
        <v>30</v>
      </c>
    </row>
    <row r="519" spans="1:7" x14ac:dyDescent="0.3">
      <c r="A519">
        <v>30518</v>
      </c>
      <c r="B519">
        <v>424</v>
      </c>
      <c r="C519" s="2">
        <v>45158</v>
      </c>
      <c r="D519" s="2" t="str">
        <f>TEXT(Table5[[#This Row],[bill_date]],"mmmm")</f>
        <v>August</v>
      </c>
      <c r="E519" s="9">
        <f>YEAR(Table5[[#This Row],[bill_date]])</f>
        <v>2023</v>
      </c>
      <c r="F519">
        <v>1745</v>
      </c>
      <c r="G519" t="s">
        <v>30</v>
      </c>
    </row>
    <row r="520" spans="1:7" x14ac:dyDescent="0.3">
      <c r="A520">
        <v>30519</v>
      </c>
      <c r="B520">
        <v>303</v>
      </c>
      <c r="C520" s="2">
        <v>45237</v>
      </c>
      <c r="D520" s="2" t="str">
        <f>TEXT(Table5[[#This Row],[bill_date]],"mmmm")</f>
        <v>November</v>
      </c>
      <c r="E520" s="9">
        <f>YEAR(Table5[[#This Row],[bill_date]])</f>
        <v>2023</v>
      </c>
      <c r="F520">
        <v>297</v>
      </c>
      <c r="G520" t="s">
        <v>28</v>
      </c>
    </row>
    <row r="521" spans="1:7" x14ac:dyDescent="0.3">
      <c r="A521">
        <v>30520</v>
      </c>
      <c r="B521">
        <v>299</v>
      </c>
      <c r="C521" s="2">
        <v>45303</v>
      </c>
      <c r="D521" s="2" t="str">
        <f>TEXT(Table5[[#This Row],[bill_date]],"mmmm")</f>
        <v>January</v>
      </c>
      <c r="E521" s="9">
        <f>YEAR(Table5[[#This Row],[bill_date]])</f>
        <v>2024</v>
      </c>
      <c r="F521">
        <v>671</v>
      </c>
      <c r="G521" t="s">
        <v>30</v>
      </c>
    </row>
    <row r="522" spans="1:7" x14ac:dyDescent="0.3">
      <c r="A522">
        <v>30521</v>
      </c>
      <c r="B522">
        <v>445</v>
      </c>
      <c r="C522" s="2">
        <v>45279</v>
      </c>
      <c r="D522" s="2" t="str">
        <f>TEXT(Table5[[#This Row],[bill_date]],"mmmm")</f>
        <v>December</v>
      </c>
      <c r="E522" s="9">
        <f>YEAR(Table5[[#This Row],[bill_date]])</f>
        <v>2023</v>
      </c>
      <c r="F522">
        <v>1245</v>
      </c>
      <c r="G522" t="s">
        <v>30</v>
      </c>
    </row>
    <row r="523" spans="1:7" x14ac:dyDescent="0.3">
      <c r="A523">
        <v>30522</v>
      </c>
      <c r="B523">
        <v>426</v>
      </c>
      <c r="C523" s="2">
        <v>44665</v>
      </c>
      <c r="D523" s="2" t="str">
        <f>TEXT(Table5[[#This Row],[bill_date]],"mmmm")</f>
        <v>April</v>
      </c>
      <c r="E523" s="9">
        <f>YEAR(Table5[[#This Row],[bill_date]])</f>
        <v>2022</v>
      </c>
      <c r="F523">
        <v>437</v>
      </c>
      <c r="G523" t="s">
        <v>30</v>
      </c>
    </row>
    <row r="524" spans="1:7" x14ac:dyDescent="0.3">
      <c r="A524">
        <v>30523</v>
      </c>
      <c r="B524">
        <v>62</v>
      </c>
      <c r="C524" s="2">
        <v>44675</v>
      </c>
      <c r="D524" s="2" t="str">
        <f>TEXT(Table5[[#This Row],[bill_date]],"mmmm")</f>
        <v>April</v>
      </c>
      <c r="E524" s="9">
        <f>YEAR(Table5[[#This Row],[bill_date]])</f>
        <v>2022</v>
      </c>
      <c r="F524">
        <v>819</v>
      </c>
      <c r="G524" t="s">
        <v>30</v>
      </c>
    </row>
    <row r="525" spans="1:7" x14ac:dyDescent="0.3">
      <c r="A525">
        <v>30524</v>
      </c>
      <c r="B525">
        <v>195</v>
      </c>
      <c r="C525" s="2">
        <v>45261</v>
      </c>
      <c r="D525" s="2" t="str">
        <f>TEXT(Table5[[#This Row],[bill_date]],"mmmm")</f>
        <v>December</v>
      </c>
      <c r="E525" s="9">
        <f>YEAR(Table5[[#This Row],[bill_date]])</f>
        <v>2023</v>
      </c>
      <c r="F525">
        <v>1485</v>
      </c>
      <c r="G525" t="s">
        <v>30</v>
      </c>
    </row>
    <row r="526" spans="1:7" x14ac:dyDescent="0.3">
      <c r="A526">
        <v>30525</v>
      </c>
      <c r="B526">
        <v>55</v>
      </c>
      <c r="C526" s="2">
        <v>44832</v>
      </c>
      <c r="D526" s="2" t="str">
        <f>TEXT(Table5[[#This Row],[bill_date]],"mmmm")</f>
        <v>September</v>
      </c>
      <c r="E526" s="9">
        <f>YEAR(Table5[[#This Row],[bill_date]])</f>
        <v>2022</v>
      </c>
      <c r="F526">
        <v>1547</v>
      </c>
      <c r="G526" t="s">
        <v>30</v>
      </c>
    </row>
    <row r="527" spans="1:7" x14ac:dyDescent="0.3">
      <c r="A527">
        <v>30526</v>
      </c>
      <c r="B527">
        <v>363</v>
      </c>
      <c r="C527" s="2">
        <v>45124</v>
      </c>
      <c r="D527" s="2" t="str">
        <f>TEXT(Table5[[#This Row],[bill_date]],"mmmm")</f>
        <v>July</v>
      </c>
      <c r="E527" s="9">
        <f>YEAR(Table5[[#This Row],[bill_date]])</f>
        <v>2023</v>
      </c>
      <c r="F527">
        <v>870</v>
      </c>
      <c r="G527" t="s">
        <v>30</v>
      </c>
    </row>
    <row r="528" spans="1:7" x14ac:dyDescent="0.3">
      <c r="A528">
        <v>30527</v>
      </c>
      <c r="B528">
        <v>49</v>
      </c>
      <c r="C528" s="2">
        <v>44867</v>
      </c>
      <c r="D528" s="2" t="str">
        <f>TEXT(Table5[[#This Row],[bill_date]],"mmmm")</f>
        <v>November</v>
      </c>
      <c r="E528" s="9">
        <f>YEAR(Table5[[#This Row],[bill_date]])</f>
        <v>2022</v>
      </c>
      <c r="F528">
        <v>1954</v>
      </c>
      <c r="G528" t="s">
        <v>30</v>
      </c>
    </row>
    <row r="529" spans="1:7" x14ac:dyDescent="0.3">
      <c r="A529">
        <v>30528</v>
      </c>
      <c r="B529">
        <v>106</v>
      </c>
      <c r="C529" s="2">
        <v>45295</v>
      </c>
      <c r="D529" s="2" t="str">
        <f>TEXT(Table5[[#This Row],[bill_date]],"mmmm")</f>
        <v>January</v>
      </c>
      <c r="E529" s="9">
        <f>YEAR(Table5[[#This Row],[bill_date]])</f>
        <v>2024</v>
      </c>
      <c r="F529">
        <v>1906</v>
      </c>
      <c r="G529" t="s">
        <v>30</v>
      </c>
    </row>
    <row r="530" spans="1:7" x14ac:dyDescent="0.3">
      <c r="A530">
        <v>30529</v>
      </c>
      <c r="B530">
        <v>433</v>
      </c>
      <c r="C530" s="2">
        <v>45184</v>
      </c>
      <c r="D530" s="2" t="str">
        <f>TEXT(Table5[[#This Row],[bill_date]],"mmmm")</f>
        <v>September</v>
      </c>
      <c r="E530" s="9">
        <f>YEAR(Table5[[#This Row],[bill_date]])</f>
        <v>2023</v>
      </c>
      <c r="F530">
        <v>585</v>
      </c>
      <c r="G530" t="s">
        <v>28</v>
      </c>
    </row>
    <row r="531" spans="1:7" x14ac:dyDescent="0.3">
      <c r="A531">
        <v>30530</v>
      </c>
      <c r="B531">
        <v>78</v>
      </c>
      <c r="C531" s="2">
        <v>44616</v>
      </c>
      <c r="D531" s="2" t="str">
        <f>TEXT(Table5[[#This Row],[bill_date]],"mmmm")</f>
        <v>February</v>
      </c>
      <c r="E531" s="9">
        <f>YEAR(Table5[[#This Row],[bill_date]])</f>
        <v>2022</v>
      </c>
      <c r="F531">
        <v>804</v>
      </c>
      <c r="G531" t="s">
        <v>30</v>
      </c>
    </row>
    <row r="532" spans="1:7" x14ac:dyDescent="0.3">
      <c r="A532">
        <v>30531</v>
      </c>
      <c r="B532">
        <v>375</v>
      </c>
      <c r="C532" s="2">
        <v>45085</v>
      </c>
      <c r="D532" s="2" t="str">
        <f>TEXT(Table5[[#This Row],[bill_date]],"mmmm")</f>
        <v>June</v>
      </c>
      <c r="E532" s="9">
        <f>YEAR(Table5[[#This Row],[bill_date]])</f>
        <v>2023</v>
      </c>
      <c r="F532">
        <v>320</v>
      </c>
      <c r="G532" t="s">
        <v>30</v>
      </c>
    </row>
    <row r="533" spans="1:7" x14ac:dyDescent="0.3">
      <c r="A533">
        <v>30532</v>
      </c>
      <c r="B533">
        <v>417</v>
      </c>
      <c r="C533" s="2">
        <v>44995</v>
      </c>
      <c r="D533" s="2" t="str">
        <f>TEXT(Table5[[#This Row],[bill_date]],"mmmm")</f>
        <v>March</v>
      </c>
      <c r="E533" s="9">
        <f>YEAR(Table5[[#This Row],[bill_date]])</f>
        <v>2023</v>
      </c>
      <c r="F533">
        <v>1522</v>
      </c>
      <c r="G533" t="s">
        <v>30</v>
      </c>
    </row>
    <row r="534" spans="1:7" x14ac:dyDescent="0.3">
      <c r="A534">
        <v>30533</v>
      </c>
      <c r="B534">
        <v>284</v>
      </c>
      <c r="C534" s="2">
        <v>44751</v>
      </c>
      <c r="D534" s="2" t="str">
        <f>TEXT(Table5[[#This Row],[bill_date]],"mmmm")</f>
        <v>July</v>
      </c>
      <c r="E534" s="9">
        <f>YEAR(Table5[[#This Row],[bill_date]])</f>
        <v>2022</v>
      </c>
      <c r="F534">
        <v>1931</v>
      </c>
      <c r="G534" t="s">
        <v>30</v>
      </c>
    </row>
    <row r="535" spans="1:7" x14ac:dyDescent="0.3">
      <c r="A535">
        <v>30534</v>
      </c>
      <c r="B535">
        <v>57</v>
      </c>
      <c r="C535" s="2">
        <v>44950</v>
      </c>
      <c r="D535" s="2" t="str">
        <f>TEXT(Table5[[#This Row],[bill_date]],"mmmm")</f>
        <v>January</v>
      </c>
      <c r="E535" s="9">
        <f>YEAR(Table5[[#This Row],[bill_date]])</f>
        <v>2023</v>
      </c>
      <c r="F535">
        <v>761</v>
      </c>
      <c r="G535" t="s">
        <v>28</v>
      </c>
    </row>
    <row r="536" spans="1:7" x14ac:dyDescent="0.3">
      <c r="A536">
        <v>30535</v>
      </c>
      <c r="B536">
        <v>169</v>
      </c>
      <c r="C536" s="2">
        <v>45228</v>
      </c>
      <c r="D536" s="2" t="str">
        <f>TEXT(Table5[[#This Row],[bill_date]],"mmmm")</f>
        <v>October</v>
      </c>
      <c r="E536" s="9">
        <f>YEAR(Table5[[#This Row],[bill_date]])</f>
        <v>2023</v>
      </c>
      <c r="F536">
        <v>515</v>
      </c>
      <c r="G536" t="s">
        <v>28</v>
      </c>
    </row>
    <row r="537" spans="1:7" x14ac:dyDescent="0.3">
      <c r="A537">
        <v>30536</v>
      </c>
      <c r="B537">
        <v>376</v>
      </c>
      <c r="C537" s="2">
        <v>44896</v>
      </c>
      <c r="D537" s="2" t="str">
        <f>TEXT(Table5[[#This Row],[bill_date]],"mmmm")</f>
        <v>December</v>
      </c>
      <c r="E537" s="9">
        <f>YEAR(Table5[[#This Row],[bill_date]])</f>
        <v>2022</v>
      </c>
      <c r="F537">
        <v>218</v>
      </c>
      <c r="G537" t="s">
        <v>30</v>
      </c>
    </row>
    <row r="538" spans="1:7" x14ac:dyDescent="0.3">
      <c r="A538">
        <v>30537</v>
      </c>
      <c r="B538">
        <v>376</v>
      </c>
      <c r="C538" s="2">
        <v>44907</v>
      </c>
      <c r="D538" s="2" t="str">
        <f>TEXT(Table5[[#This Row],[bill_date]],"mmmm")</f>
        <v>December</v>
      </c>
      <c r="E538" s="9">
        <f>YEAR(Table5[[#This Row],[bill_date]])</f>
        <v>2022</v>
      </c>
      <c r="F538">
        <v>740</v>
      </c>
      <c r="G538" t="s">
        <v>28</v>
      </c>
    </row>
    <row r="539" spans="1:7" x14ac:dyDescent="0.3">
      <c r="A539">
        <v>30538</v>
      </c>
      <c r="B539">
        <v>207</v>
      </c>
      <c r="C539" s="2">
        <v>44826</v>
      </c>
      <c r="D539" s="2" t="str">
        <f>TEXT(Table5[[#This Row],[bill_date]],"mmmm")</f>
        <v>September</v>
      </c>
      <c r="E539" s="9">
        <f>YEAR(Table5[[#This Row],[bill_date]])</f>
        <v>2022</v>
      </c>
      <c r="F539">
        <v>1522</v>
      </c>
      <c r="G539" t="s">
        <v>30</v>
      </c>
    </row>
    <row r="540" spans="1:7" x14ac:dyDescent="0.3">
      <c r="A540">
        <v>30539</v>
      </c>
      <c r="B540">
        <v>260</v>
      </c>
      <c r="C540" s="2">
        <v>45433</v>
      </c>
      <c r="D540" s="2" t="str">
        <f>TEXT(Table5[[#This Row],[bill_date]],"mmmm")</f>
        <v>May</v>
      </c>
      <c r="E540" s="9">
        <f>YEAR(Table5[[#This Row],[bill_date]])</f>
        <v>2024</v>
      </c>
      <c r="F540">
        <v>1692</v>
      </c>
      <c r="G540" t="s">
        <v>30</v>
      </c>
    </row>
    <row r="541" spans="1:7" x14ac:dyDescent="0.3">
      <c r="A541">
        <v>30540</v>
      </c>
      <c r="B541">
        <v>276</v>
      </c>
      <c r="C541" s="2">
        <v>44665</v>
      </c>
      <c r="D541" s="2" t="str">
        <f>TEXT(Table5[[#This Row],[bill_date]],"mmmm")</f>
        <v>April</v>
      </c>
      <c r="E541" s="9">
        <f>YEAR(Table5[[#This Row],[bill_date]])</f>
        <v>2022</v>
      </c>
      <c r="F541">
        <v>1308</v>
      </c>
      <c r="G541" t="s">
        <v>30</v>
      </c>
    </row>
    <row r="542" spans="1:7" x14ac:dyDescent="0.3">
      <c r="A542">
        <v>30541</v>
      </c>
      <c r="B542">
        <v>373</v>
      </c>
      <c r="C542" s="2">
        <v>45236</v>
      </c>
      <c r="D542" s="2" t="str">
        <f>TEXT(Table5[[#This Row],[bill_date]],"mmmm")</f>
        <v>November</v>
      </c>
      <c r="E542" s="9">
        <f>YEAR(Table5[[#This Row],[bill_date]])</f>
        <v>2023</v>
      </c>
      <c r="F542">
        <v>1964</v>
      </c>
      <c r="G542" t="s">
        <v>30</v>
      </c>
    </row>
    <row r="543" spans="1:7" x14ac:dyDescent="0.3">
      <c r="A543">
        <v>30542</v>
      </c>
      <c r="B543">
        <v>345</v>
      </c>
      <c r="C543" s="2">
        <v>44702</v>
      </c>
      <c r="D543" s="2" t="str">
        <f>TEXT(Table5[[#This Row],[bill_date]],"mmmm")</f>
        <v>May</v>
      </c>
      <c r="E543" s="9">
        <f>YEAR(Table5[[#This Row],[bill_date]])</f>
        <v>2022</v>
      </c>
      <c r="F543">
        <v>1891</v>
      </c>
      <c r="G543" t="s">
        <v>30</v>
      </c>
    </row>
    <row r="544" spans="1:7" x14ac:dyDescent="0.3">
      <c r="A544">
        <v>30543</v>
      </c>
      <c r="B544">
        <v>163</v>
      </c>
      <c r="C544" s="2">
        <v>45310</v>
      </c>
      <c r="D544" s="2" t="str">
        <f>TEXT(Table5[[#This Row],[bill_date]],"mmmm")</f>
        <v>January</v>
      </c>
      <c r="E544" s="9">
        <f>YEAR(Table5[[#This Row],[bill_date]])</f>
        <v>2024</v>
      </c>
      <c r="F544">
        <v>603</v>
      </c>
      <c r="G544" t="s">
        <v>28</v>
      </c>
    </row>
    <row r="545" spans="1:7" x14ac:dyDescent="0.3">
      <c r="A545">
        <v>30544</v>
      </c>
      <c r="B545">
        <v>244</v>
      </c>
      <c r="C545" s="2">
        <v>45117</v>
      </c>
      <c r="D545" s="2" t="str">
        <f>TEXT(Table5[[#This Row],[bill_date]],"mmmm")</f>
        <v>July</v>
      </c>
      <c r="E545" s="9">
        <f>YEAR(Table5[[#This Row],[bill_date]])</f>
        <v>2023</v>
      </c>
      <c r="F545">
        <v>1176</v>
      </c>
      <c r="G545" t="s">
        <v>30</v>
      </c>
    </row>
    <row r="546" spans="1:7" x14ac:dyDescent="0.3">
      <c r="A546">
        <v>30545</v>
      </c>
      <c r="B546">
        <v>250</v>
      </c>
      <c r="C546" s="2">
        <v>44800</v>
      </c>
      <c r="D546" s="2" t="str">
        <f>TEXT(Table5[[#This Row],[bill_date]],"mmmm")</f>
        <v>August</v>
      </c>
      <c r="E546" s="9">
        <f>YEAR(Table5[[#This Row],[bill_date]])</f>
        <v>2022</v>
      </c>
      <c r="F546">
        <v>891</v>
      </c>
      <c r="G546" t="s">
        <v>30</v>
      </c>
    </row>
    <row r="547" spans="1:7" x14ac:dyDescent="0.3">
      <c r="A547">
        <v>30546</v>
      </c>
      <c r="B547">
        <v>309</v>
      </c>
      <c r="C547" s="2">
        <v>44991</v>
      </c>
      <c r="D547" s="2" t="str">
        <f>TEXT(Table5[[#This Row],[bill_date]],"mmmm")</f>
        <v>March</v>
      </c>
      <c r="E547" s="9">
        <f>YEAR(Table5[[#This Row],[bill_date]])</f>
        <v>2023</v>
      </c>
      <c r="F547">
        <v>310</v>
      </c>
      <c r="G547" t="s">
        <v>28</v>
      </c>
    </row>
    <row r="548" spans="1:7" x14ac:dyDescent="0.3">
      <c r="A548">
        <v>30547</v>
      </c>
      <c r="B548">
        <v>39</v>
      </c>
      <c r="C548" s="2">
        <v>45170</v>
      </c>
      <c r="D548" s="2" t="str">
        <f>TEXT(Table5[[#This Row],[bill_date]],"mmmm")</f>
        <v>September</v>
      </c>
      <c r="E548" s="9">
        <f>YEAR(Table5[[#This Row],[bill_date]])</f>
        <v>2023</v>
      </c>
      <c r="F548">
        <v>1361</v>
      </c>
      <c r="G548" t="s">
        <v>30</v>
      </c>
    </row>
    <row r="549" spans="1:7" x14ac:dyDescent="0.3">
      <c r="A549">
        <v>30548</v>
      </c>
      <c r="B549">
        <v>309</v>
      </c>
      <c r="C549" s="2">
        <v>44659</v>
      </c>
      <c r="D549" s="2" t="str">
        <f>TEXT(Table5[[#This Row],[bill_date]],"mmmm")</f>
        <v>April</v>
      </c>
      <c r="E549" s="9">
        <f>YEAR(Table5[[#This Row],[bill_date]])</f>
        <v>2022</v>
      </c>
      <c r="F549">
        <v>1232</v>
      </c>
      <c r="G549" t="s">
        <v>29</v>
      </c>
    </row>
    <row r="550" spans="1:7" x14ac:dyDescent="0.3">
      <c r="A550">
        <v>30549</v>
      </c>
      <c r="B550">
        <v>121</v>
      </c>
      <c r="C550" s="2">
        <v>45448</v>
      </c>
      <c r="D550" s="2" t="str">
        <f>TEXT(Table5[[#This Row],[bill_date]],"mmmm")</f>
        <v>June</v>
      </c>
      <c r="E550" s="9">
        <f>YEAR(Table5[[#This Row],[bill_date]])</f>
        <v>2024</v>
      </c>
      <c r="F550">
        <v>1513</v>
      </c>
      <c r="G550" t="s">
        <v>30</v>
      </c>
    </row>
    <row r="551" spans="1:7" x14ac:dyDescent="0.3">
      <c r="A551">
        <v>30550</v>
      </c>
      <c r="B551">
        <v>86</v>
      </c>
      <c r="C551" s="2">
        <v>45397</v>
      </c>
      <c r="D551" s="2" t="str">
        <f>TEXT(Table5[[#This Row],[bill_date]],"mmmm")</f>
        <v>April</v>
      </c>
      <c r="E551" s="9">
        <f>YEAR(Table5[[#This Row],[bill_date]])</f>
        <v>2024</v>
      </c>
      <c r="F551">
        <v>577</v>
      </c>
      <c r="G551" t="s">
        <v>30</v>
      </c>
    </row>
    <row r="552" spans="1:7" x14ac:dyDescent="0.3">
      <c r="A552">
        <v>30551</v>
      </c>
      <c r="B552">
        <v>99</v>
      </c>
      <c r="C552" s="2">
        <v>45022</v>
      </c>
      <c r="D552" s="2" t="str">
        <f>TEXT(Table5[[#This Row],[bill_date]],"mmmm")</f>
        <v>April</v>
      </c>
      <c r="E552" s="9">
        <f>YEAR(Table5[[#This Row],[bill_date]])</f>
        <v>2023</v>
      </c>
      <c r="F552">
        <v>1138</v>
      </c>
      <c r="G552" t="s">
        <v>28</v>
      </c>
    </row>
    <row r="553" spans="1:7" x14ac:dyDescent="0.3">
      <c r="A553">
        <v>30552</v>
      </c>
      <c r="B553">
        <v>374</v>
      </c>
      <c r="C553" s="2">
        <v>45126</v>
      </c>
      <c r="D553" s="2" t="str">
        <f>TEXT(Table5[[#This Row],[bill_date]],"mmmm")</f>
        <v>July</v>
      </c>
      <c r="E553" s="9">
        <f>YEAR(Table5[[#This Row],[bill_date]])</f>
        <v>2023</v>
      </c>
      <c r="F553">
        <v>436</v>
      </c>
      <c r="G553" t="s">
        <v>28</v>
      </c>
    </row>
    <row r="554" spans="1:7" x14ac:dyDescent="0.3">
      <c r="A554">
        <v>30553</v>
      </c>
      <c r="B554">
        <v>246</v>
      </c>
      <c r="C554" s="2">
        <v>45182</v>
      </c>
      <c r="D554" s="2" t="str">
        <f>TEXT(Table5[[#This Row],[bill_date]],"mmmm")</f>
        <v>September</v>
      </c>
      <c r="E554" s="9">
        <f>YEAR(Table5[[#This Row],[bill_date]])</f>
        <v>2023</v>
      </c>
      <c r="F554">
        <v>842</v>
      </c>
      <c r="G554" t="s">
        <v>30</v>
      </c>
    </row>
    <row r="555" spans="1:7" x14ac:dyDescent="0.3">
      <c r="A555">
        <v>30554</v>
      </c>
      <c r="B555">
        <v>495</v>
      </c>
      <c r="C555" s="2">
        <v>44818</v>
      </c>
      <c r="D555" s="2" t="str">
        <f>TEXT(Table5[[#This Row],[bill_date]],"mmmm")</f>
        <v>September</v>
      </c>
      <c r="E555" s="9">
        <f>YEAR(Table5[[#This Row],[bill_date]])</f>
        <v>2022</v>
      </c>
      <c r="F555">
        <v>528</v>
      </c>
      <c r="G555" t="s">
        <v>30</v>
      </c>
    </row>
    <row r="556" spans="1:7" x14ac:dyDescent="0.3">
      <c r="A556">
        <v>30555</v>
      </c>
      <c r="B556">
        <v>348</v>
      </c>
      <c r="C556" s="2">
        <v>44572</v>
      </c>
      <c r="D556" s="2" t="str">
        <f>TEXT(Table5[[#This Row],[bill_date]],"mmmm")</f>
        <v>January</v>
      </c>
      <c r="E556" s="9">
        <f>YEAR(Table5[[#This Row],[bill_date]])</f>
        <v>2022</v>
      </c>
      <c r="F556">
        <v>383</v>
      </c>
      <c r="G556" t="s">
        <v>30</v>
      </c>
    </row>
    <row r="557" spans="1:7" x14ac:dyDescent="0.3">
      <c r="A557">
        <v>30556</v>
      </c>
      <c r="B557">
        <v>394</v>
      </c>
      <c r="C557" s="2">
        <v>44739</v>
      </c>
      <c r="D557" s="2" t="str">
        <f>TEXT(Table5[[#This Row],[bill_date]],"mmmm")</f>
        <v>June</v>
      </c>
      <c r="E557" s="9">
        <f>YEAR(Table5[[#This Row],[bill_date]])</f>
        <v>2022</v>
      </c>
      <c r="F557">
        <v>1942</v>
      </c>
      <c r="G557" t="s">
        <v>30</v>
      </c>
    </row>
    <row r="558" spans="1:7" x14ac:dyDescent="0.3">
      <c r="A558">
        <v>30557</v>
      </c>
      <c r="B558">
        <v>208</v>
      </c>
      <c r="C558" s="2">
        <v>44954</v>
      </c>
      <c r="D558" s="2" t="str">
        <f>TEXT(Table5[[#This Row],[bill_date]],"mmmm")</f>
        <v>January</v>
      </c>
      <c r="E558" s="9">
        <f>YEAR(Table5[[#This Row],[bill_date]])</f>
        <v>2023</v>
      </c>
      <c r="F558">
        <v>1984</v>
      </c>
      <c r="G558" t="s">
        <v>30</v>
      </c>
    </row>
    <row r="559" spans="1:7" x14ac:dyDescent="0.3">
      <c r="A559">
        <v>30558</v>
      </c>
      <c r="B559">
        <v>113</v>
      </c>
      <c r="C559" s="2">
        <v>44855</v>
      </c>
      <c r="D559" s="2" t="str">
        <f>TEXT(Table5[[#This Row],[bill_date]],"mmmm")</f>
        <v>October</v>
      </c>
      <c r="E559" s="9">
        <f>YEAR(Table5[[#This Row],[bill_date]])</f>
        <v>2022</v>
      </c>
      <c r="F559">
        <v>1647</v>
      </c>
      <c r="G559" t="s">
        <v>30</v>
      </c>
    </row>
    <row r="560" spans="1:7" x14ac:dyDescent="0.3">
      <c r="A560">
        <v>30559</v>
      </c>
      <c r="B560">
        <v>471</v>
      </c>
      <c r="C560" s="2">
        <v>44958</v>
      </c>
      <c r="D560" s="2" t="str">
        <f>TEXT(Table5[[#This Row],[bill_date]],"mmmm")</f>
        <v>February</v>
      </c>
      <c r="E560" s="9">
        <f>YEAR(Table5[[#This Row],[bill_date]])</f>
        <v>2023</v>
      </c>
      <c r="F560">
        <v>1545</v>
      </c>
      <c r="G560" t="s">
        <v>30</v>
      </c>
    </row>
    <row r="561" spans="1:7" x14ac:dyDescent="0.3">
      <c r="A561">
        <v>30560</v>
      </c>
      <c r="B561">
        <v>83</v>
      </c>
      <c r="C561" s="2">
        <v>44950</v>
      </c>
      <c r="D561" s="2" t="str">
        <f>TEXT(Table5[[#This Row],[bill_date]],"mmmm")</f>
        <v>January</v>
      </c>
      <c r="E561" s="9">
        <f>YEAR(Table5[[#This Row],[bill_date]])</f>
        <v>2023</v>
      </c>
      <c r="F561">
        <v>680</v>
      </c>
      <c r="G561" t="s">
        <v>28</v>
      </c>
    </row>
    <row r="562" spans="1:7" x14ac:dyDescent="0.3">
      <c r="A562">
        <v>30561</v>
      </c>
      <c r="B562">
        <v>65</v>
      </c>
      <c r="C562" s="2">
        <v>45098</v>
      </c>
      <c r="D562" s="2" t="str">
        <f>TEXT(Table5[[#This Row],[bill_date]],"mmmm")</f>
        <v>June</v>
      </c>
      <c r="E562" s="9">
        <f>YEAR(Table5[[#This Row],[bill_date]])</f>
        <v>2023</v>
      </c>
      <c r="F562">
        <v>799</v>
      </c>
      <c r="G562" t="s">
        <v>29</v>
      </c>
    </row>
    <row r="563" spans="1:7" x14ac:dyDescent="0.3">
      <c r="A563">
        <v>30562</v>
      </c>
      <c r="B563">
        <v>1</v>
      </c>
      <c r="C563" s="2">
        <v>45199</v>
      </c>
      <c r="D563" s="2" t="str">
        <f>TEXT(Table5[[#This Row],[bill_date]],"mmmm")</f>
        <v>September</v>
      </c>
      <c r="E563" s="9">
        <f>YEAR(Table5[[#This Row],[bill_date]])</f>
        <v>2023</v>
      </c>
      <c r="F563">
        <v>1580</v>
      </c>
      <c r="G563" t="s">
        <v>30</v>
      </c>
    </row>
    <row r="564" spans="1:7" x14ac:dyDescent="0.3">
      <c r="A564">
        <v>30563</v>
      </c>
      <c r="B564">
        <v>437</v>
      </c>
      <c r="C564" s="2">
        <v>44827</v>
      </c>
      <c r="D564" s="2" t="str">
        <f>TEXT(Table5[[#This Row],[bill_date]],"mmmm")</f>
        <v>September</v>
      </c>
      <c r="E564" s="9">
        <f>YEAR(Table5[[#This Row],[bill_date]])</f>
        <v>2022</v>
      </c>
      <c r="F564">
        <v>560</v>
      </c>
      <c r="G564" t="s">
        <v>30</v>
      </c>
    </row>
    <row r="565" spans="1:7" x14ac:dyDescent="0.3">
      <c r="A565">
        <v>30564</v>
      </c>
      <c r="B565">
        <v>174</v>
      </c>
      <c r="C565" s="2">
        <v>44694</v>
      </c>
      <c r="D565" s="2" t="str">
        <f>TEXT(Table5[[#This Row],[bill_date]],"mmmm")</f>
        <v>May</v>
      </c>
      <c r="E565" s="9">
        <f>YEAR(Table5[[#This Row],[bill_date]])</f>
        <v>2022</v>
      </c>
      <c r="F565">
        <v>1258</v>
      </c>
      <c r="G565" t="s">
        <v>30</v>
      </c>
    </row>
    <row r="566" spans="1:7" x14ac:dyDescent="0.3">
      <c r="A566">
        <v>30565</v>
      </c>
      <c r="B566">
        <v>250</v>
      </c>
      <c r="C566" s="2">
        <v>44839</v>
      </c>
      <c r="D566" s="2" t="str">
        <f>TEXT(Table5[[#This Row],[bill_date]],"mmmm")</f>
        <v>October</v>
      </c>
      <c r="E566" s="9">
        <f>YEAR(Table5[[#This Row],[bill_date]])</f>
        <v>2022</v>
      </c>
      <c r="F566">
        <v>714</v>
      </c>
      <c r="G566" t="s">
        <v>30</v>
      </c>
    </row>
    <row r="567" spans="1:7" x14ac:dyDescent="0.3">
      <c r="A567">
        <v>30566</v>
      </c>
      <c r="B567">
        <v>410</v>
      </c>
      <c r="C567" s="2">
        <v>45115</v>
      </c>
      <c r="D567" s="2" t="str">
        <f>TEXT(Table5[[#This Row],[bill_date]],"mmmm")</f>
        <v>July</v>
      </c>
      <c r="E567" s="9">
        <f>YEAR(Table5[[#This Row],[bill_date]])</f>
        <v>2023</v>
      </c>
      <c r="F567">
        <v>1968</v>
      </c>
      <c r="G567" t="s">
        <v>30</v>
      </c>
    </row>
    <row r="568" spans="1:7" x14ac:dyDescent="0.3">
      <c r="A568">
        <v>30567</v>
      </c>
      <c r="B568">
        <v>226</v>
      </c>
      <c r="C568" s="2">
        <v>44662</v>
      </c>
      <c r="D568" s="2" t="str">
        <f>TEXT(Table5[[#This Row],[bill_date]],"mmmm")</f>
        <v>April</v>
      </c>
      <c r="E568" s="9">
        <f>YEAR(Table5[[#This Row],[bill_date]])</f>
        <v>2022</v>
      </c>
      <c r="F568">
        <v>528</v>
      </c>
      <c r="G568" t="s">
        <v>30</v>
      </c>
    </row>
    <row r="569" spans="1:7" x14ac:dyDescent="0.3">
      <c r="A569">
        <v>30568</v>
      </c>
      <c r="B569">
        <v>386</v>
      </c>
      <c r="C569" s="2">
        <v>44965</v>
      </c>
      <c r="D569" s="2" t="str">
        <f>TEXT(Table5[[#This Row],[bill_date]],"mmmm")</f>
        <v>February</v>
      </c>
      <c r="E569" s="9">
        <f>YEAR(Table5[[#This Row],[bill_date]])</f>
        <v>2023</v>
      </c>
      <c r="F569">
        <v>467</v>
      </c>
      <c r="G569" t="s">
        <v>30</v>
      </c>
    </row>
    <row r="570" spans="1:7" x14ac:dyDescent="0.3">
      <c r="A570">
        <v>30569</v>
      </c>
      <c r="B570">
        <v>284</v>
      </c>
      <c r="C570" s="2">
        <v>44845</v>
      </c>
      <c r="D570" s="2" t="str">
        <f>TEXT(Table5[[#This Row],[bill_date]],"mmmm")</f>
        <v>October</v>
      </c>
      <c r="E570" s="9">
        <f>YEAR(Table5[[#This Row],[bill_date]])</f>
        <v>2022</v>
      </c>
      <c r="F570">
        <v>1292</v>
      </c>
      <c r="G570" t="s">
        <v>30</v>
      </c>
    </row>
    <row r="571" spans="1:7" x14ac:dyDescent="0.3">
      <c r="A571">
        <v>30570</v>
      </c>
      <c r="B571">
        <v>84</v>
      </c>
      <c r="C571" s="2">
        <v>44838</v>
      </c>
      <c r="D571" s="2" t="str">
        <f>TEXT(Table5[[#This Row],[bill_date]],"mmmm")</f>
        <v>October</v>
      </c>
      <c r="E571" s="9">
        <f>YEAR(Table5[[#This Row],[bill_date]])</f>
        <v>2022</v>
      </c>
      <c r="F571">
        <v>1741</v>
      </c>
      <c r="G571" t="s">
        <v>30</v>
      </c>
    </row>
    <row r="572" spans="1:7" x14ac:dyDescent="0.3">
      <c r="A572">
        <v>30571</v>
      </c>
      <c r="B572">
        <v>490</v>
      </c>
      <c r="C572" s="2">
        <v>44700</v>
      </c>
      <c r="D572" s="2" t="str">
        <f>TEXT(Table5[[#This Row],[bill_date]],"mmmm")</f>
        <v>May</v>
      </c>
      <c r="E572" s="9">
        <f>YEAR(Table5[[#This Row],[bill_date]])</f>
        <v>2022</v>
      </c>
      <c r="F572">
        <v>1890</v>
      </c>
      <c r="G572" t="s">
        <v>30</v>
      </c>
    </row>
    <row r="573" spans="1:7" x14ac:dyDescent="0.3">
      <c r="A573">
        <v>30572</v>
      </c>
      <c r="B573">
        <v>239</v>
      </c>
      <c r="C573" s="2">
        <v>44782</v>
      </c>
      <c r="D573" s="2" t="str">
        <f>TEXT(Table5[[#This Row],[bill_date]],"mmmm")</f>
        <v>August</v>
      </c>
      <c r="E573" s="9">
        <f>YEAR(Table5[[#This Row],[bill_date]])</f>
        <v>2022</v>
      </c>
      <c r="F573">
        <v>1153</v>
      </c>
      <c r="G573" t="s">
        <v>30</v>
      </c>
    </row>
    <row r="574" spans="1:7" x14ac:dyDescent="0.3">
      <c r="A574">
        <v>30573</v>
      </c>
      <c r="B574">
        <v>411</v>
      </c>
      <c r="C574" s="2">
        <v>44630</v>
      </c>
      <c r="D574" s="2" t="str">
        <f>TEXT(Table5[[#This Row],[bill_date]],"mmmm")</f>
        <v>March</v>
      </c>
      <c r="E574" s="9">
        <f>YEAR(Table5[[#This Row],[bill_date]])</f>
        <v>2022</v>
      </c>
      <c r="F574">
        <v>576</v>
      </c>
      <c r="G574" t="s">
        <v>30</v>
      </c>
    </row>
    <row r="575" spans="1:7" x14ac:dyDescent="0.3">
      <c r="A575">
        <v>30574</v>
      </c>
      <c r="B575">
        <v>28</v>
      </c>
      <c r="C575" s="2">
        <v>45366</v>
      </c>
      <c r="D575" s="2" t="str">
        <f>TEXT(Table5[[#This Row],[bill_date]],"mmmm")</f>
        <v>March</v>
      </c>
      <c r="E575" s="9">
        <f>YEAR(Table5[[#This Row],[bill_date]])</f>
        <v>2024</v>
      </c>
      <c r="F575">
        <v>491</v>
      </c>
      <c r="G575" t="s">
        <v>28</v>
      </c>
    </row>
    <row r="576" spans="1:7" x14ac:dyDescent="0.3">
      <c r="A576">
        <v>30575</v>
      </c>
      <c r="B576">
        <v>380</v>
      </c>
      <c r="C576" s="2">
        <v>44738</v>
      </c>
      <c r="D576" s="2" t="str">
        <f>TEXT(Table5[[#This Row],[bill_date]],"mmmm")</f>
        <v>June</v>
      </c>
      <c r="E576" s="9">
        <f>YEAR(Table5[[#This Row],[bill_date]])</f>
        <v>2022</v>
      </c>
      <c r="F576">
        <v>1508</v>
      </c>
      <c r="G576" t="s">
        <v>30</v>
      </c>
    </row>
    <row r="577" spans="1:7" x14ac:dyDescent="0.3">
      <c r="A577">
        <v>30576</v>
      </c>
      <c r="B577">
        <v>287</v>
      </c>
      <c r="C577" s="2">
        <v>44934</v>
      </c>
      <c r="D577" s="2" t="str">
        <f>TEXT(Table5[[#This Row],[bill_date]],"mmmm")</f>
        <v>January</v>
      </c>
      <c r="E577" s="9">
        <f>YEAR(Table5[[#This Row],[bill_date]])</f>
        <v>2023</v>
      </c>
      <c r="F577">
        <v>558</v>
      </c>
      <c r="G577" t="s">
        <v>30</v>
      </c>
    </row>
    <row r="578" spans="1:7" x14ac:dyDescent="0.3">
      <c r="A578">
        <v>30577</v>
      </c>
      <c r="B578">
        <v>431</v>
      </c>
      <c r="C578" s="2">
        <v>45270</v>
      </c>
      <c r="D578" s="2" t="str">
        <f>TEXT(Table5[[#This Row],[bill_date]],"mmmm")</f>
        <v>December</v>
      </c>
      <c r="E578" s="9">
        <f>YEAR(Table5[[#This Row],[bill_date]])</f>
        <v>2023</v>
      </c>
      <c r="F578">
        <v>1808</v>
      </c>
      <c r="G578" t="s">
        <v>30</v>
      </c>
    </row>
    <row r="579" spans="1:7" x14ac:dyDescent="0.3">
      <c r="A579">
        <v>30578</v>
      </c>
      <c r="B579">
        <v>391</v>
      </c>
      <c r="C579" s="2">
        <v>45106</v>
      </c>
      <c r="D579" s="2" t="str">
        <f>TEXT(Table5[[#This Row],[bill_date]],"mmmm")</f>
        <v>June</v>
      </c>
      <c r="E579" s="9">
        <f>YEAR(Table5[[#This Row],[bill_date]])</f>
        <v>2023</v>
      </c>
      <c r="F579">
        <v>722</v>
      </c>
      <c r="G579" t="s">
        <v>30</v>
      </c>
    </row>
    <row r="580" spans="1:7" x14ac:dyDescent="0.3">
      <c r="A580">
        <v>30579</v>
      </c>
      <c r="B580">
        <v>328</v>
      </c>
      <c r="C580" s="2">
        <v>44862</v>
      </c>
      <c r="D580" s="2" t="str">
        <f>TEXT(Table5[[#This Row],[bill_date]],"mmmm")</f>
        <v>October</v>
      </c>
      <c r="E580" s="9">
        <f>YEAR(Table5[[#This Row],[bill_date]])</f>
        <v>2022</v>
      </c>
      <c r="F580">
        <v>1559</v>
      </c>
      <c r="G580" t="s">
        <v>30</v>
      </c>
    </row>
    <row r="581" spans="1:7" x14ac:dyDescent="0.3">
      <c r="A581">
        <v>30580</v>
      </c>
      <c r="B581">
        <v>480</v>
      </c>
      <c r="C581" s="2">
        <v>44789</v>
      </c>
      <c r="D581" s="2" t="str">
        <f>TEXT(Table5[[#This Row],[bill_date]],"mmmm")</f>
        <v>August</v>
      </c>
      <c r="E581" s="9">
        <f>YEAR(Table5[[#This Row],[bill_date]])</f>
        <v>2022</v>
      </c>
      <c r="F581">
        <v>822</v>
      </c>
      <c r="G581" t="s">
        <v>30</v>
      </c>
    </row>
    <row r="582" spans="1:7" x14ac:dyDescent="0.3">
      <c r="A582">
        <v>30581</v>
      </c>
      <c r="B582">
        <v>459</v>
      </c>
      <c r="C582" s="2">
        <v>45209</v>
      </c>
      <c r="D582" s="2" t="str">
        <f>TEXT(Table5[[#This Row],[bill_date]],"mmmm")</f>
        <v>October</v>
      </c>
      <c r="E582" s="9">
        <f>YEAR(Table5[[#This Row],[bill_date]])</f>
        <v>2023</v>
      </c>
      <c r="F582">
        <v>1764</v>
      </c>
      <c r="G582" t="s">
        <v>30</v>
      </c>
    </row>
    <row r="583" spans="1:7" x14ac:dyDescent="0.3">
      <c r="A583">
        <v>30582</v>
      </c>
      <c r="B583">
        <v>304</v>
      </c>
      <c r="C583" s="2">
        <v>44933</v>
      </c>
      <c r="D583" s="2" t="str">
        <f>TEXT(Table5[[#This Row],[bill_date]],"mmmm")</f>
        <v>January</v>
      </c>
      <c r="E583" s="9">
        <f>YEAR(Table5[[#This Row],[bill_date]])</f>
        <v>2023</v>
      </c>
      <c r="F583">
        <v>1258</v>
      </c>
      <c r="G583" t="s">
        <v>30</v>
      </c>
    </row>
    <row r="584" spans="1:7" x14ac:dyDescent="0.3">
      <c r="A584">
        <v>30583</v>
      </c>
      <c r="B584">
        <v>282</v>
      </c>
      <c r="C584" s="2">
        <v>45207</v>
      </c>
      <c r="D584" s="2" t="str">
        <f>TEXT(Table5[[#This Row],[bill_date]],"mmmm")</f>
        <v>October</v>
      </c>
      <c r="E584" s="9">
        <f>YEAR(Table5[[#This Row],[bill_date]])</f>
        <v>2023</v>
      </c>
      <c r="F584">
        <v>1710</v>
      </c>
      <c r="G584" t="s">
        <v>30</v>
      </c>
    </row>
    <row r="585" spans="1:7" x14ac:dyDescent="0.3">
      <c r="A585">
        <v>30584</v>
      </c>
      <c r="B585">
        <v>183</v>
      </c>
      <c r="C585" s="2">
        <v>44960</v>
      </c>
      <c r="D585" s="2" t="str">
        <f>TEXT(Table5[[#This Row],[bill_date]],"mmmm")</f>
        <v>February</v>
      </c>
      <c r="E585" s="9">
        <f>YEAR(Table5[[#This Row],[bill_date]])</f>
        <v>2023</v>
      </c>
      <c r="F585">
        <v>1601</v>
      </c>
      <c r="G585" t="s">
        <v>28</v>
      </c>
    </row>
    <row r="586" spans="1:7" x14ac:dyDescent="0.3">
      <c r="A586">
        <v>30585</v>
      </c>
      <c r="B586">
        <v>345</v>
      </c>
      <c r="C586" s="2">
        <v>44704</v>
      </c>
      <c r="D586" s="2" t="str">
        <f>TEXT(Table5[[#This Row],[bill_date]],"mmmm")</f>
        <v>May</v>
      </c>
      <c r="E586" s="9">
        <f>YEAR(Table5[[#This Row],[bill_date]])</f>
        <v>2022</v>
      </c>
      <c r="F586">
        <v>542</v>
      </c>
      <c r="G586" t="s">
        <v>30</v>
      </c>
    </row>
    <row r="587" spans="1:7" x14ac:dyDescent="0.3">
      <c r="A587">
        <v>30586</v>
      </c>
      <c r="B587">
        <v>135</v>
      </c>
      <c r="C587" s="2">
        <v>45318</v>
      </c>
      <c r="D587" s="2" t="str">
        <f>TEXT(Table5[[#This Row],[bill_date]],"mmmm")</f>
        <v>January</v>
      </c>
      <c r="E587" s="9">
        <f>YEAR(Table5[[#This Row],[bill_date]])</f>
        <v>2024</v>
      </c>
      <c r="F587">
        <v>1452</v>
      </c>
      <c r="G587" t="s">
        <v>30</v>
      </c>
    </row>
    <row r="588" spans="1:7" x14ac:dyDescent="0.3">
      <c r="A588">
        <v>30587</v>
      </c>
      <c r="B588">
        <v>468</v>
      </c>
      <c r="C588" s="2">
        <v>44698</v>
      </c>
      <c r="D588" s="2" t="str">
        <f>TEXT(Table5[[#This Row],[bill_date]],"mmmm")</f>
        <v>May</v>
      </c>
      <c r="E588" s="9">
        <f>YEAR(Table5[[#This Row],[bill_date]])</f>
        <v>2022</v>
      </c>
      <c r="F588">
        <v>816</v>
      </c>
      <c r="G588" t="s">
        <v>28</v>
      </c>
    </row>
    <row r="589" spans="1:7" x14ac:dyDescent="0.3">
      <c r="A589">
        <v>30588</v>
      </c>
      <c r="B589">
        <v>361</v>
      </c>
      <c r="C589" s="2">
        <v>45134</v>
      </c>
      <c r="D589" s="2" t="str">
        <f>TEXT(Table5[[#This Row],[bill_date]],"mmmm")</f>
        <v>July</v>
      </c>
      <c r="E589" s="9">
        <f>YEAR(Table5[[#This Row],[bill_date]])</f>
        <v>2023</v>
      </c>
      <c r="F589">
        <v>1984</v>
      </c>
      <c r="G589" t="s">
        <v>30</v>
      </c>
    </row>
    <row r="590" spans="1:7" x14ac:dyDescent="0.3">
      <c r="A590">
        <v>30589</v>
      </c>
      <c r="B590">
        <v>57</v>
      </c>
      <c r="C590" s="2">
        <v>44617</v>
      </c>
      <c r="D590" s="2" t="str">
        <f>TEXT(Table5[[#This Row],[bill_date]],"mmmm")</f>
        <v>February</v>
      </c>
      <c r="E590" s="9">
        <f>YEAR(Table5[[#This Row],[bill_date]])</f>
        <v>2022</v>
      </c>
      <c r="F590">
        <v>773</v>
      </c>
      <c r="G590" t="s">
        <v>30</v>
      </c>
    </row>
    <row r="591" spans="1:7" x14ac:dyDescent="0.3">
      <c r="A591">
        <v>30590</v>
      </c>
      <c r="B591">
        <v>115</v>
      </c>
      <c r="C591" s="2">
        <v>45206</v>
      </c>
      <c r="D591" s="2" t="str">
        <f>TEXT(Table5[[#This Row],[bill_date]],"mmmm")</f>
        <v>October</v>
      </c>
      <c r="E591" s="9">
        <f>YEAR(Table5[[#This Row],[bill_date]])</f>
        <v>2023</v>
      </c>
      <c r="F591">
        <v>595</v>
      </c>
      <c r="G591" t="s">
        <v>30</v>
      </c>
    </row>
    <row r="592" spans="1:7" x14ac:dyDescent="0.3">
      <c r="A592">
        <v>30591</v>
      </c>
      <c r="B592">
        <v>186</v>
      </c>
      <c r="C592" s="2">
        <v>44943</v>
      </c>
      <c r="D592" s="2" t="str">
        <f>TEXT(Table5[[#This Row],[bill_date]],"mmmm")</f>
        <v>January</v>
      </c>
      <c r="E592" s="9">
        <f>YEAR(Table5[[#This Row],[bill_date]])</f>
        <v>2023</v>
      </c>
      <c r="F592">
        <v>619</v>
      </c>
      <c r="G592" t="s">
        <v>30</v>
      </c>
    </row>
    <row r="593" spans="1:7" x14ac:dyDescent="0.3">
      <c r="A593">
        <v>30592</v>
      </c>
      <c r="B593">
        <v>478</v>
      </c>
      <c r="C593" s="2">
        <v>45032</v>
      </c>
      <c r="D593" s="2" t="str">
        <f>TEXT(Table5[[#This Row],[bill_date]],"mmmm")</f>
        <v>April</v>
      </c>
      <c r="E593" s="9">
        <f>YEAR(Table5[[#This Row],[bill_date]])</f>
        <v>2023</v>
      </c>
      <c r="F593">
        <v>1778</v>
      </c>
      <c r="G593" t="s">
        <v>30</v>
      </c>
    </row>
    <row r="594" spans="1:7" x14ac:dyDescent="0.3">
      <c r="A594">
        <v>30593</v>
      </c>
      <c r="B594">
        <v>376</v>
      </c>
      <c r="C594" s="2">
        <v>44769</v>
      </c>
      <c r="D594" s="2" t="str">
        <f>TEXT(Table5[[#This Row],[bill_date]],"mmmm")</f>
        <v>July</v>
      </c>
      <c r="E594" s="9">
        <f>YEAR(Table5[[#This Row],[bill_date]])</f>
        <v>2022</v>
      </c>
      <c r="F594">
        <v>859</v>
      </c>
      <c r="G594" t="s">
        <v>30</v>
      </c>
    </row>
    <row r="595" spans="1:7" x14ac:dyDescent="0.3">
      <c r="A595">
        <v>30594</v>
      </c>
      <c r="B595">
        <v>1</v>
      </c>
      <c r="C595" s="2">
        <v>45199</v>
      </c>
      <c r="D595" s="2" t="str">
        <f>TEXT(Table5[[#This Row],[bill_date]],"mmmm")</f>
        <v>September</v>
      </c>
      <c r="E595" s="9">
        <f>YEAR(Table5[[#This Row],[bill_date]])</f>
        <v>2023</v>
      </c>
      <c r="F595">
        <v>600</v>
      </c>
      <c r="G595" t="s">
        <v>30</v>
      </c>
    </row>
    <row r="596" spans="1:7" x14ac:dyDescent="0.3">
      <c r="A596">
        <v>30595</v>
      </c>
      <c r="B596">
        <v>338</v>
      </c>
      <c r="C596" s="2">
        <v>45196</v>
      </c>
      <c r="D596" s="2" t="str">
        <f>TEXT(Table5[[#This Row],[bill_date]],"mmmm")</f>
        <v>September</v>
      </c>
      <c r="E596" s="9">
        <f>YEAR(Table5[[#This Row],[bill_date]])</f>
        <v>2023</v>
      </c>
      <c r="F596">
        <v>1710</v>
      </c>
      <c r="G596" t="s">
        <v>30</v>
      </c>
    </row>
    <row r="597" spans="1:7" x14ac:dyDescent="0.3">
      <c r="A597">
        <v>30596</v>
      </c>
      <c r="B597">
        <v>456</v>
      </c>
      <c r="C597" s="2">
        <v>45304</v>
      </c>
      <c r="D597" s="2" t="str">
        <f>TEXT(Table5[[#This Row],[bill_date]],"mmmm")</f>
        <v>January</v>
      </c>
      <c r="E597" s="9">
        <f>YEAR(Table5[[#This Row],[bill_date]])</f>
        <v>2024</v>
      </c>
      <c r="F597">
        <v>244</v>
      </c>
      <c r="G597" t="s">
        <v>30</v>
      </c>
    </row>
    <row r="598" spans="1:7" x14ac:dyDescent="0.3">
      <c r="A598">
        <v>30597</v>
      </c>
      <c r="B598">
        <v>29</v>
      </c>
      <c r="C598" s="2">
        <v>44596</v>
      </c>
      <c r="D598" s="2" t="str">
        <f>TEXT(Table5[[#This Row],[bill_date]],"mmmm")</f>
        <v>February</v>
      </c>
      <c r="E598" s="9">
        <f>YEAR(Table5[[#This Row],[bill_date]])</f>
        <v>2022</v>
      </c>
      <c r="F598">
        <v>885</v>
      </c>
      <c r="G598" t="s">
        <v>30</v>
      </c>
    </row>
    <row r="599" spans="1:7" x14ac:dyDescent="0.3">
      <c r="A599">
        <v>30598</v>
      </c>
      <c r="B599">
        <v>232</v>
      </c>
      <c r="C599" s="2">
        <v>44827</v>
      </c>
      <c r="D599" s="2" t="str">
        <f>TEXT(Table5[[#This Row],[bill_date]],"mmmm")</f>
        <v>September</v>
      </c>
      <c r="E599" s="9">
        <f>YEAR(Table5[[#This Row],[bill_date]])</f>
        <v>2022</v>
      </c>
      <c r="F599">
        <v>352</v>
      </c>
      <c r="G599" t="s">
        <v>30</v>
      </c>
    </row>
    <row r="600" spans="1:7" x14ac:dyDescent="0.3">
      <c r="A600">
        <v>30599</v>
      </c>
      <c r="B600">
        <v>150</v>
      </c>
      <c r="C600" s="2">
        <v>45164</v>
      </c>
      <c r="D600" s="2" t="str">
        <f>TEXT(Table5[[#This Row],[bill_date]],"mmmm")</f>
        <v>August</v>
      </c>
      <c r="E600" s="9">
        <f>YEAR(Table5[[#This Row],[bill_date]])</f>
        <v>2023</v>
      </c>
      <c r="F600">
        <v>459</v>
      </c>
      <c r="G600" t="s">
        <v>30</v>
      </c>
    </row>
    <row r="601" spans="1:7" x14ac:dyDescent="0.3">
      <c r="A601">
        <v>30600</v>
      </c>
      <c r="B601">
        <v>480</v>
      </c>
      <c r="C601" s="2">
        <v>44582</v>
      </c>
      <c r="D601" s="2" t="str">
        <f>TEXT(Table5[[#This Row],[bill_date]],"mmmm")</f>
        <v>January</v>
      </c>
      <c r="E601" s="9">
        <f>YEAR(Table5[[#This Row],[bill_date]])</f>
        <v>2022</v>
      </c>
      <c r="F601">
        <v>843</v>
      </c>
      <c r="G601" t="s">
        <v>28</v>
      </c>
    </row>
    <row r="602" spans="1:7" x14ac:dyDescent="0.3">
      <c r="A602">
        <v>30601</v>
      </c>
      <c r="B602">
        <v>424</v>
      </c>
      <c r="C602" s="2">
        <v>44701</v>
      </c>
      <c r="D602" s="2" t="str">
        <f>TEXT(Table5[[#This Row],[bill_date]],"mmmm")</f>
        <v>May</v>
      </c>
      <c r="E602" s="9">
        <f>YEAR(Table5[[#This Row],[bill_date]])</f>
        <v>2022</v>
      </c>
      <c r="F602">
        <v>485</v>
      </c>
      <c r="G602" t="s">
        <v>30</v>
      </c>
    </row>
    <row r="603" spans="1:7" x14ac:dyDescent="0.3">
      <c r="A603">
        <v>30602</v>
      </c>
      <c r="B603">
        <v>190</v>
      </c>
      <c r="C603" s="2">
        <v>44826</v>
      </c>
      <c r="D603" s="2" t="str">
        <f>TEXT(Table5[[#This Row],[bill_date]],"mmmm")</f>
        <v>September</v>
      </c>
      <c r="E603" s="9">
        <f>YEAR(Table5[[#This Row],[bill_date]])</f>
        <v>2022</v>
      </c>
      <c r="F603">
        <v>1890</v>
      </c>
      <c r="G603" t="s">
        <v>28</v>
      </c>
    </row>
    <row r="604" spans="1:7" x14ac:dyDescent="0.3">
      <c r="A604">
        <v>30603</v>
      </c>
      <c r="B604">
        <v>270</v>
      </c>
      <c r="C604" s="2">
        <v>44961</v>
      </c>
      <c r="D604" s="2" t="str">
        <f>TEXT(Table5[[#This Row],[bill_date]],"mmmm")</f>
        <v>February</v>
      </c>
      <c r="E604" s="9">
        <f>YEAR(Table5[[#This Row],[bill_date]])</f>
        <v>2023</v>
      </c>
      <c r="F604">
        <v>1043</v>
      </c>
      <c r="G604" t="s">
        <v>30</v>
      </c>
    </row>
    <row r="605" spans="1:7" x14ac:dyDescent="0.3">
      <c r="A605">
        <v>30604</v>
      </c>
      <c r="B605">
        <v>248</v>
      </c>
      <c r="C605" s="2">
        <v>45018</v>
      </c>
      <c r="D605" s="2" t="str">
        <f>TEXT(Table5[[#This Row],[bill_date]],"mmmm")</f>
        <v>April</v>
      </c>
      <c r="E605" s="9">
        <f>YEAR(Table5[[#This Row],[bill_date]])</f>
        <v>2023</v>
      </c>
      <c r="F605">
        <v>1975</v>
      </c>
      <c r="G605" t="s">
        <v>30</v>
      </c>
    </row>
    <row r="606" spans="1:7" x14ac:dyDescent="0.3">
      <c r="A606">
        <v>30605</v>
      </c>
      <c r="B606">
        <v>386</v>
      </c>
      <c r="C606" s="2">
        <v>44681</v>
      </c>
      <c r="D606" s="2" t="str">
        <f>TEXT(Table5[[#This Row],[bill_date]],"mmmm")</f>
        <v>April</v>
      </c>
      <c r="E606" s="9">
        <f>YEAR(Table5[[#This Row],[bill_date]])</f>
        <v>2022</v>
      </c>
      <c r="F606">
        <v>1553</v>
      </c>
      <c r="G606" t="s">
        <v>30</v>
      </c>
    </row>
    <row r="607" spans="1:7" x14ac:dyDescent="0.3">
      <c r="A607">
        <v>30606</v>
      </c>
      <c r="B607">
        <v>419</v>
      </c>
      <c r="C607" s="2">
        <v>45294</v>
      </c>
      <c r="D607" s="2" t="str">
        <f>TEXT(Table5[[#This Row],[bill_date]],"mmmm")</f>
        <v>January</v>
      </c>
      <c r="E607" s="9">
        <f>YEAR(Table5[[#This Row],[bill_date]])</f>
        <v>2024</v>
      </c>
      <c r="F607">
        <v>837</v>
      </c>
      <c r="G607" t="s">
        <v>30</v>
      </c>
    </row>
    <row r="608" spans="1:7" x14ac:dyDescent="0.3">
      <c r="A608">
        <v>30607</v>
      </c>
      <c r="B608">
        <v>327</v>
      </c>
      <c r="C608" s="2">
        <v>44944</v>
      </c>
      <c r="D608" s="2" t="str">
        <f>TEXT(Table5[[#This Row],[bill_date]],"mmmm")</f>
        <v>January</v>
      </c>
      <c r="E608" s="9">
        <f>YEAR(Table5[[#This Row],[bill_date]])</f>
        <v>2023</v>
      </c>
      <c r="F608">
        <v>903</v>
      </c>
      <c r="G608" t="s">
        <v>28</v>
      </c>
    </row>
    <row r="609" spans="1:7" x14ac:dyDescent="0.3">
      <c r="A609">
        <v>30608</v>
      </c>
      <c r="B609">
        <v>195</v>
      </c>
      <c r="C609" s="2">
        <v>45096</v>
      </c>
      <c r="D609" s="2" t="str">
        <f>TEXT(Table5[[#This Row],[bill_date]],"mmmm")</f>
        <v>June</v>
      </c>
      <c r="E609" s="9">
        <f>YEAR(Table5[[#This Row],[bill_date]])</f>
        <v>2023</v>
      </c>
      <c r="F609">
        <v>1694</v>
      </c>
      <c r="G609" t="s">
        <v>29</v>
      </c>
    </row>
    <row r="610" spans="1:7" x14ac:dyDescent="0.3">
      <c r="A610">
        <v>30609</v>
      </c>
      <c r="B610">
        <v>381</v>
      </c>
      <c r="C610" s="2">
        <v>44600</v>
      </c>
      <c r="D610" s="2" t="str">
        <f>TEXT(Table5[[#This Row],[bill_date]],"mmmm")</f>
        <v>February</v>
      </c>
      <c r="E610" s="9">
        <f>YEAR(Table5[[#This Row],[bill_date]])</f>
        <v>2022</v>
      </c>
      <c r="F610">
        <v>1491</v>
      </c>
      <c r="G610" t="s">
        <v>30</v>
      </c>
    </row>
    <row r="611" spans="1:7" x14ac:dyDescent="0.3">
      <c r="A611">
        <v>30610</v>
      </c>
      <c r="B611">
        <v>255</v>
      </c>
      <c r="C611" s="2">
        <v>45308</v>
      </c>
      <c r="D611" s="2" t="str">
        <f>TEXT(Table5[[#This Row],[bill_date]],"mmmm")</f>
        <v>January</v>
      </c>
      <c r="E611" s="9">
        <f>YEAR(Table5[[#This Row],[bill_date]])</f>
        <v>2024</v>
      </c>
      <c r="F611">
        <v>1856</v>
      </c>
      <c r="G611" t="s">
        <v>30</v>
      </c>
    </row>
    <row r="612" spans="1:7" x14ac:dyDescent="0.3">
      <c r="A612">
        <v>30611</v>
      </c>
      <c r="B612">
        <v>79</v>
      </c>
      <c r="C612" s="2">
        <v>45314</v>
      </c>
      <c r="D612" s="2" t="str">
        <f>TEXT(Table5[[#This Row],[bill_date]],"mmmm")</f>
        <v>January</v>
      </c>
      <c r="E612" s="9">
        <f>YEAR(Table5[[#This Row],[bill_date]])</f>
        <v>2024</v>
      </c>
      <c r="F612">
        <v>1880</v>
      </c>
      <c r="G612" t="s">
        <v>30</v>
      </c>
    </row>
    <row r="613" spans="1:7" x14ac:dyDescent="0.3">
      <c r="A613">
        <v>30612</v>
      </c>
      <c r="B613">
        <v>363</v>
      </c>
      <c r="C613" s="2">
        <v>45201</v>
      </c>
      <c r="D613" s="2" t="str">
        <f>TEXT(Table5[[#This Row],[bill_date]],"mmmm")</f>
        <v>October</v>
      </c>
      <c r="E613" s="9">
        <f>YEAR(Table5[[#This Row],[bill_date]])</f>
        <v>2023</v>
      </c>
      <c r="F613">
        <v>1886</v>
      </c>
      <c r="G613" t="s">
        <v>30</v>
      </c>
    </row>
    <row r="614" spans="1:7" x14ac:dyDescent="0.3">
      <c r="A614">
        <v>30613</v>
      </c>
      <c r="B614">
        <v>98</v>
      </c>
      <c r="C614" s="2">
        <v>44583</v>
      </c>
      <c r="D614" s="2" t="str">
        <f>TEXT(Table5[[#This Row],[bill_date]],"mmmm")</f>
        <v>January</v>
      </c>
      <c r="E614" s="9">
        <f>YEAR(Table5[[#This Row],[bill_date]])</f>
        <v>2022</v>
      </c>
      <c r="F614">
        <v>355</v>
      </c>
      <c r="G614" t="s">
        <v>29</v>
      </c>
    </row>
    <row r="615" spans="1:7" x14ac:dyDescent="0.3">
      <c r="A615">
        <v>30614</v>
      </c>
      <c r="B615">
        <v>150</v>
      </c>
      <c r="C615" s="2">
        <v>45128</v>
      </c>
      <c r="D615" s="2" t="str">
        <f>TEXT(Table5[[#This Row],[bill_date]],"mmmm")</f>
        <v>July</v>
      </c>
      <c r="E615" s="9">
        <f>YEAR(Table5[[#This Row],[bill_date]])</f>
        <v>2023</v>
      </c>
      <c r="F615">
        <v>1890</v>
      </c>
      <c r="G615" t="s">
        <v>29</v>
      </c>
    </row>
    <row r="616" spans="1:7" x14ac:dyDescent="0.3">
      <c r="A616">
        <v>30615</v>
      </c>
      <c r="B616">
        <v>274</v>
      </c>
      <c r="C616" s="2">
        <v>45403</v>
      </c>
      <c r="D616" s="2" t="str">
        <f>TEXT(Table5[[#This Row],[bill_date]],"mmmm")</f>
        <v>April</v>
      </c>
      <c r="E616" s="9">
        <f>YEAR(Table5[[#This Row],[bill_date]])</f>
        <v>2024</v>
      </c>
      <c r="F616">
        <v>812</v>
      </c>
      <c r="G616" t="s">
        <v>30</v>
      </c>
    </row>
    <row r="617" spans="1:7" x14ac:dyDescent="0.3">
      <c r="A617">
        <v>30616</v>
      </c>
      <c r="B617">
        <v>302</v>
      </c>
      <c r="C617" s="2">
        <v>44608</v>
      </c>
      <c r="D617" s="2" t="str">
        <f>TEXT(Table5[[#This Row],[bill_date]],"mmmm")</f>
        <v>February</v>
      </c>
      <c r="E617" s="9">
        <f>YEAR(Table5[[#This Row],[bill_date]])</f>
        <v>2022</v>
      </c>
      <c r="F617">
        <v>627</v>
      </c>
      <c r="G617" t="s">
        <v>30</v>
      </c>
    </row>
    <row r="618" spans="1:7" x14ac:dyDescent="0.3">
      <c r="A618">
        <v>30617</v>
      </c>
      <c r="B618">
        <v>338</v>
      </c>
      <c r="C618" s="2">
        <v>45307</v>
      </c>
      <c r="D618" s="2" t="str">
        <f>TEXT(Table5[[#This Row],[bill_date]],"mmmm")</f>
        <v>January</v>
      </c>
      <c r="E618" s="9">
        <f>YEAR(Table5[[#This Row],[bill_date]])</f>
        <v>2024</v>
      </c>
      <c r="F618">
        <v>1180</v>
      </c>
      <c r="G618" t="s">
        <v>30</v>
      </c>
    </row>
    <row r="619" spans="1:7" x14ac:dyDescent="0.3">
      <c r="A619">
        <v>30618</v>
      </c>
      <c r="B619">
        <v>447</v>
      </c>
      <c r="C619" s="2">
        <v>45100</v>
      </c>
      <c r="D619" s="2" t="str">
        <f>TEXT(Table5[[#This Row],[bill_date]],"mmmm")</f>
        <v>June</v>
      </c>
      <c r="E619" s="9">
        <f>YEAR(Table5[[#This Row],[bill_date]])</f>
        <v>2023</v>
      </c>
      <c r="F619">
        <v>1050</v>
      </c>
      <c r="G619" t="s">
        <v>30</v>
      </c>
    </row>
    <row r="620" spans="1:7" x14ac:dyDescent="0.3">
      <c r="A620">
        <v>30619</v>
      </c>
      <c r="B620">
        <v>123</v>
      </c>
      <c r="C620" s="2">
        <v>44945</v>
      </c>
      <c r="D620" s="2" t="str">
        <f>TEXT(Table5[[#This Row],[bill_date]],"mmmm")</f>
        <v>January</v>
      </c>
      <c r="E620" s="9">
        <f>YEAR(Table5[[#This Row],[bill_date]])</f>
        <v>2023</v>
      </c>
      <c r="F620">
        <v>1474</v>
      </c>
      <c r="G620" t="s">
        <v>28</v>
      </c>
    </row>
    <row r="621" spans="1:7" x14ac:dyDescent="0.3">
      <c r="A621">
        <v>30620</v>
      </c>
      <c r="B621">
        <v>98</v>
      </c>
      <c r="C621" s="2">
        <v>45043</v>
      </c>
      <c r="D621" s="2" t="str">
        <f>TEXT(Table5[[#This Row],[bill_date]],"mmmm")</f>
        <v>April</v>
      </c>
      <c r="E621" s="9">
        <f>YEAR(Table5[[#This Row],[bill_date]])</f>
        <v>2023</v>
      </c>
      <c r="F621">
        <v>465</v>
      </c>
      <c r="G621" t="s">
        <v>28</v>
      </c>
    </row>
    <row r="622" spans="1:7" x14ac:dyDescent="0.3">
      <c r="A622">
        <v>30621</v>
      </c>
      <c r="B622">
        <v>164</v>
      </c>
      <c r="C622" s="2">
        <v>44609</v>
      </c>
      <c r="D622" s="2" t="str">
        <f>TEXT(Table5[[#This Row],[bill_date]],"mmmm")</f>
        <v>February</v>
      </c>
      <c r="E622" s="9">
        <f>YEAR(Table5[[#This Row],[bill_date]])</f>
        <v>2022</v>
      </c>
      <c r="F622">
        <v>257</v>
      </c>
      <c r="G622" t="s">
        <v>30</v>
      </c>
    </row>
    <row r="623" spans="1:7" x14ac:dyDescent="0.3">
      <c r="A623">
        <v>30622</v>
      </c>
      <c r="B623">
        <v>46</v>
      </c>
      <c r="C623" s="2">
        <v>45240</v>
      </c>
      <c r="D623" s="2" t="str">
        <f>TEXT(Table5[[#This Row],[bill_date]],"mmmm")</f>
        <v>November</v>
      </c>
      <c r="E623" s="9">
        <f>YEAR(Table5[[#This Row],[bill_date]])</f>
        <v>2023</v>
      </c>
      <c r="F623">
        <v>815</v>
      </c>
      <c r="G623" t="s">
        <v>30</v>
      </c>
    </row>
    <row r="624" spans="1:7" x14ac:dyDescent="0.3">
      <c r="A624">
        <v>30623</v>
      </c>
      <c r="B624">
        <v>359</v>
      </c>
      <c r="C624" s="2">
        <v>45344</v>
      </c>
      <c r="D624" s="2" t="str">
        <f>TEXT(Table5[[#This Row],[bill_date]],"mmmm")</f>
        <v>February</v>
      </c>
      <c r="E624" s="9">
        <f>YEAR(Table5[[#This Row],[bill_date]])</f>
        <v>2024</v>
      </c>
      <c r="F624">
        <v>1781</v>
      </c>
      <c r="G624" t="s">
        <v>29</v>
      </c>
    </row>
    <row r="625" spans="1:7" x14ac:dyDescent="0.3">
      <c r="A625">
        <v>30624</v>
      </c>
      <c r="B625">
        <v>239</v>
      </c>
      <c r="C625" s="2">
        <v>44642</v>
      </c>
      <c r="D625" s="2" t="str">
        <f>TEXT(Table5[[#This Row],[bill_date]],"mmmm")</f>
        <v>March</v>
      </c>
      <c r="E625" s="9">
        <f>YEAR(Table5[[#This Row],[bill_date]])</f>
        <v>2022</v>
      </c>
      <c r="F625">
        <v>1822</v>
      </c>
      <c r="G625" t="s">
        <v>30</v>
      </c>
    </row>
    <row r="626" spans="1:7" x14ac:dyDescent="0.3">
      <c r="A626">
        <v>30625</v>
      </c>
      <c r="B626">
        <v>230</v>
      </c>
      <c r="C626" s="2">
        <v>45191</v>
      </c>
      <c r="D626" s="2" t="str">
        <f>TEXT(Table5[[#This Row],[bill_date]],"mmmm")</f>
        <v>September</v>
      </c>
      <c r="E626" s="9">
        <f>YEAR(Table5[[#This Row],[bill_date]])</f>
        <v>2023</v>
      </c>
      <c r="F626">
        <v>369</v>
      </c>
      <c r="G626" t="s">
        <v>30</v>
      </c>
    </row>
    <row r="627" spans="1:7" x14ac:dyDescent="0.3">
      <c r="A627">
        <v>30626</v>
      </c>
      <c r="B627">
        <v>293</v>
      </c>
      <c r="C627" s="2">
        <v>44606</v>
      </c>
      <c r="D627" s="2" t="str">
        <f>TEXT(Table5[[#This Row],[bill_date]],"mmmm")</f>
        <v>February</v>
      </c>
      <c r="E627" s="9">
        <f>YEAR(Table5[[#This Row],[bill_date]])</f>
        <v>2022</v>
      </c>
      <c r="F627">
        <v>1886</v>
      </c>
      <c r="G627" t="s">
        <v>30</v>
      </c>
    </row>
    <row r="628" spans="1:7" x14ac:dyDescent="0.3">
      <c r="A628">
        <v>30627</v>
      </c>
      <c r="B628">
        <v>244</v>
      </c>
      <c r="C628" s="2">
        <v>44836</v>
      </c>
      <c r="D628" s="2" t="str">
        <f>TEXT(Table5[[#This Row],[bill_date]],"mmmm")</f>
        <v>October</v>
      </c>
      <c r="E628" s="9">
        <f>YEAR(Table5[[#This Row],[bill_date]])</f>
        <v>2022</v>
      </c>
      <c r="F628">
        <v>1910</v>
      </c>
      <c r="G628" t="s">
        <v>30</v>
      </c>
    </row>
    <row r="629" spans="1:7" x14ac:dyDescent="0.3">
      <c r="A629">
        <v>30628</v>
      </c>
      <c r="B629">
        <v>18</v>
      </c>
      <c r="C629" s="2">
        <v>45254</v>
      </c>
      <c r="D629" s="2" t="str">
        <f>TEXT(Table5[[#This Row],[bill_date]],"mmmm")</f>
        <v>November</v>
      </c>
      <c r="E629" s="9">
        <f>YEAR(Table5[[#This Row],[bill_date]])</f>
        <v>2023</v>
      </c>
      <c r="F629">
        <v>1541</v>
      </c>
      <c r="G629" t="s">
        <v>30</v>
      </c>
    </row>
    <row r="630" spans="1:7" x14ac:dyDescent="0.3">
      <c r="A630">
        <v>30629</v>
      </c>
      <c r="B630">
        <v>171</v>
      </c>
      <c r="C630" s="2">
        <v>44872</v>
      </c>
      <c r="D630" s="2" t="str">
        <f>TEXT(Table5[[#This Row],[bill_date]],"mmmm")</f>
        <v>November</v>
      </c>
      <c r="E630" s="9">
        <f>YEAR(Table5[[#This Row],[bill_date]])</f>
        <v>2022</v>
      </c>
      <c r="F630">
        <v>855</v>
      </c>
      <c r="G630" t="s">
        <v>30</v>
      </c>
    </row>
    <row r="631" spans="1:7" x14ac:dyDescent="0.3">
      <c r="A631">
        <v>30630</v>
      </c>
      <c r="B631">
        <v>360</v>
      </c>
      <c r="C631" s="2">
        <v>44793</v>
      </c>
      <c r="D631" s="2" t="str">
        <f>TEXT(Table5[[#This Row],[bill_date]],"mmmm")</f>
        <v>August</v>
      </c>
      <c r="E631" s="9">
        <f>YEAR(Table5[[#This Row],[bill_date]])</f>
        <v>2022</v>
      </c>
      <c r="F631">
        <v>1035</v>
      </c>
      <c r="G631" t="s">
        <v>30</v>
      </c>
    </row>
    <row r="632" spans="1:7" x14ac:dyDescent="0.3">
      <c r="A632">
        <v>30631</v>
      </c>
      <c r="B632">
        <v>157</v>
      </c>
      <c r="C632" s="2">
        <v>44647</v>
      </c>
      <c r="D632" s="2" t="str">
        <f>TEXT(Table5[[#This Row],[bill_date]],"mmmm")</f>
        <v>March</v>
      </c>
      <c r="E632" s="9">
        <f>YEAR(Table5[[#This Row],[bill_date]])</f>
        <v>2022</v>
      </c>
      <c r="F632">
        <v>1222</v>
      </c>
      <c r="G632" t="s">
        <v>30</v>
      </c>
    </row>
    <row r="633" spans="1:7" x14ac:dyDescent="0.3">
      <c r="A633">
        <v>30632</v>
      </c>
      <c r="B633">
        <v>204</v>
      </c>
      <c r="C633" s="2">
        <v>44666</v>
      </c>
      <c r="D633" s="2" t="str">
        <f>TEXT(Table5[[#This Row],[bill_date]],"mmmm")</f>
        <v>April</v>
      </c>
      <c r="E633" s="9">
        <f>YEAR(Table5[[#This Row],[bill_date]])</f>
        <v>2022</v>
      </c>
      <c r="F633">
        <v>1020</v>
      </c>
      <c r="G633" t="s">
        <v>30</v>
      </c>
    </row>
    <row r="634" spans="1:7" x14ac:dyDescent="0.3">
      <c r="A634">
        <v>30633</v>
      </c>
      <c r="B634">
        <v>146</v>
      </c>
      <c r="C634" s="2">
        <v>45316</v>
      </c>
      <c r="D634" s="2" t="str">
        <f>TEXT(Table5[[#This Row],[bill_date]],"mmmm")</f>
        <v>January</v>
      </c>
      <c r="E634" s="9">
        <f>YEAR(Table5[[#This Row],[bill_date]])</f>
        <v>2024</v>
      </c>
      <c r="F634">
        <v>932</v>
      </c>
      <c r="G634" t="s">
        <v>30</v>
      </c>
    </row>
    <row r="635" spans="1:7" x14ac:dyDescent="0.3">
      <c r="A635">
        <v>30634</v>
      </c>
      <c r="B635">
        <v>479</v>
      </c>
      <c r="C635" s="2">
        <v>44738</v>
      </c>
      <c r="D635" s="2" t="str">
        <f>TEXT(Table5[[#This Row],[bill_date]],"mmmm")</f>
        <v>June</v>
      </c>
      <c r="E635" s="9">
        <f>YEAR(Table5[[#This Row],[bill_date]])</f>
        <v>2022</v>
      </c>
      <c r="F635">
        <v>596</v>
      </c>
      <c r="G635" t="s">
        <v>30</v>
      </c>
    </row>
    <row r="636" spans="1:7" x14ac:dyDescent="0.3">
      <c r="A636">
        <v>30635</v>
      </c>
      <c r="B636">
        <v>143</v>
      </c>
      <c r="C636" s="2">
        <v>45307</v>
      </c>
      <c r="D636" s="2" t="str">
        <f>TEXT(Table5[[#This Row],[bill_date]],"mmmm")</f>
        <v>January</v>
      </c>
      <c r="E636" s="9">
        <f>YEAR(Table5[[#This Row],[bill_date]])</f>
        <v>2024</v>
      </c>
      <c r="F636">
        <v>1237</v>
      </c>
      <c r="G636" t="s">
        <v>30</v>
      </c>
    </row>
    <row r="637" spans="1:7" x14ac:dyDescent="0.3">
      <c r="A637">
        <v>30636</v>
      </c>
      <c r="B637">
        <v>187</v>
      </c>
      <c r="C637" s="2">
        <v>45151</v>
      </c>
      <c r="D637" s="2" t="str">
        <f>TEXT(Table5[[#This Row],[bill_date]],"mmmm")</f>
        <v>August</v>
      </c>
      <c r="E637" s="9">
        <f>YEAR(Table5[[#This Row],[bill_date]])</f>
        <v>2023</v>
      </c>
      <c r="F637">
        <v>1167</v>
      </c>
      <c r="G637" t="s">
        <v>30</v>
      </c>
    </row>
    <row r="638" spans="1:7" x14ac:dyDescent="0.3">
      <c r="A638">
        <v>30637</v>
      </c>
      <c r="B638">
        <v>488</v>
      </c>
      <c r="C638" s="2">
        <v>45199</v>
      </c>
      <c r="D638" s="2" t="str">
        <f>TEXT(Table5[[#This Row],[bill_date]],"mmmm")</f>
        <v>September</v>
      </c>
      <c r="E638" s="9">
        <f>YEAR(Table5[[#This Row],[bill_date]])</f>
        <v>2023</v>
      </c>
      <c r="F638">
        <v>660</v>
      </c>
      <c r="G638" t="s">
        <v>28</v>
      </c>
    </row>
    <row r="639" spans="1:7" x14ac:dyDescent="0.3">
      <c r="A639">
        <v>30638</v>
      </c>
      <c r="B639">
        <v>122</v>
      </c>
      <c r="C639" s="2">
        <v>44750</v>
      </c>
      <c r="D639" s="2" t="str">
        <f>TEXT(Table5[[#This Row],[bill_date]],"mmmm")</f>
        <v>July</v>
      </c>
      <c r="E639" s="9">
        <f>YEAR(Table5[[#This Row],[bill_date]])</f>
        <v>2022</v>
      </c>
      <c r="F639">
        <v>336</v>
      </c>
      <c r="G639" t="s">
        <v>30</v>
      </c>
    </row>
    <row r="640" spans="1:7" x14ac:dyDescent="0.3">
      <c r="A640">
        <v>30639</v>
      </c>
      <c r="B640">
        <v>350</v>
      </c>
      <c r="C640" s="2">
        <v>44621</v>
      </c>
      <c r="D640" s="2" t="str">
        <f>TEXT(Table5[[#This Row],[bill_date]],"mmmm")</f>
        <v>March</v>
      </c>
      <c r="E640" s="9">
        <f>YEAR(Table5[[#This Row],[bill_date]])</f>
        <v>2022</v>
      </c>
      <c r="F640">
        <v>960</v>
      </c>
      <c r="G640" t="s">
        <v>30</v>
      </c>
    </row>
    <row r="641" spans="1:7" x14ac:dyDescent="0.3">
      <c r="A641">
        <v>30640</v>
      </c>
      <c r="B641">
        <v>100</v>
      </c>
      <c r="C641" s="2">
        <v>44781</v>
      </c>
      <c r="D641" s="2" t="str">
        <f>TEXT(Table5[[#This Row],[bill_date]],"mmmm")</f>
        <v>August</v>
      </c>
      <c r="E641" s="9">
        <f>YEAR(Table5[[#This Row],[bill_date]])</f>
        <v>2022</v>
      </c>
      <c r="F641">
        <v>348</v>
      </c>
      <c r="G641" t="s">
        <v>30</v>
      </c>
    </row>
    <row r="642" spans="1:7" x14ac:dyDescent="0.3">
      <c r="A642">
        <v>30641</v>
      </c>
      <c r="B642">
        <v>284</v>
      </c>
      <c r="C642" s="2">
        <v>45149</v>
      </c>
      <c r="D642" s="2" t="str">
        <f>TEXT(Table5[[#This Row],[bill_date]],"mmmm")</f>
        <v>August</v>
      </c>
      <c r="E642" s="9">
        <f>YEAR(Table5[[#This Row],[bill_date]])</f>
        <v>2023</v>
      </c>
      <c r="F642">
        <v>1061</v>
      </c>
      <c r="G642" t="s">
        <v>30</v>
      </c>
    </row>
    <row r="643" spans="1:7" x14ac:dyDescent="0.3">
      <c r="A643">
        <v>30642</v>
      </c>
      <c r="B643">
        <v>437</v>
      </c>
      <c r="C643" s="2">
        <v>45164</v>
      </c>
      <c r="D643" s="2" t="str">
        <f>TEXT(Table5[[#This Row],[bill_date]],"mmmm")</f>
        <v>August</v>
      </c>
      <c r="E643" s="9">
        <f>YEAR(Table5[[#This Row],[bill_date]])</f>
        <v>2023</v>
      </c>
      <c r="F643">
        <v>979</v>
      </c>
      <c r="G643" t="s">
        <v>30</v>
      </c>
    </row>
    <row r="644" spans="1:7" x14ac:dyDescent="0.3">
      <c r="A644">
        <v>30643</v>
      </c>
      <c r="B644">
        <v>15</v>
      </c>
      <c r="C644" s="2">
        <v>44677</v>
      </c>
      <c r="D644" s="2" t="str">
        <f>TEXT(Table5[[#This Row],[bill_date]],"mmmm")</f>
        <v>April</v>
      </c>
      <c r="E644" s="9">
        <f>YEAR(Table5[[#This Row],[bill_date]])</f>
        <v>2022</v>
      </c>
      <c r="F644">
        <v>791</v>
      </c>
      <c r="G644" t="s">
        <v>28</v>
      </c>
    </row>
    <row r="645" spans="1:7" x14ac:dyDescent="0.3">
      <c r="A645">
        <v>30644</v>
      </c>
      <c r="B645">
        <v>384</v>
      </c>
      <c r="C645" s="2">
        <v>45353</v>
      </c>
      <c r="D645" s="2" t="str">
        <f>TEXT(Table5[[#This Row],[bill_date]],"mmmm")</f>
        <v>March</v>
      </c>
      <c r="E645" s="9">
        <f>YEAR(Table5[[#This Row],[bill_date]])</f>
        <v>2024</v>
      </c>
      <c r="F645">
        <v>1799</v>
      </c>
      <c r="G645" t="s">
        <v>30</v>
      </c>
    </row>
    <row r="646" spans="1:7" x14ac:dyDescent="0.3">
      <c r="A646">
        <v>30645</v>
      </c>
      <c r="B646">
        <v>43</v>
      </c>
      <c r="C646" s="2">
        <v>45031</v>
      </c>
      <c r="D646" s="2" t="str">
        <f>TEXT(Table5[[#This Row],[bill_date]],"mmmm")</f>
        <v>April</v>
      </c>
      <c r="E646" s="9">
        <f>YEAR(Table5[[#This Row],[bill_date]])</f>
        <v>2023</v>
      </c>
      <c r="F646">
        <v>1876</v>
      </c>
      <c r="G646" t="s">
        <v>28</v>
      </c>
    </row>
    <row r="647" spans="1:7" x14ac:dyDescent="0.3">
      <c r="A647">
        <v>30646</v>
      </c>
      <c r="B647">
        <v>289</v>
      </c>
      <c r="C647" s="2">
        <v>44728</v>
      </c>
      <c r="D647" s="2" t="str">
        <f>TEXT(Table5[[#This Row],[bill_date]],"mmmm")</f>
        <v>June</v>
      </c>
      <c r="E647" s="9">
        <f>YEAR(Table5[[#This Row],[bill_date]])</f>
        <v>2022</v>
      </c>
      <c r="F647">
        <v>498</v>
      </c>
      <c r="G647" t="s">
        <v>29</v>
      </c>
    </row>
    <row r="648" spans="1:7" x14ac:dyDescent="0.3">
      <c r="A648">
        <v>30647</v>
      </c>
      <c r="B648">
        <v>386</v>
      </c>
      <c r="C648" s="2">
        <v>45199</v>
      </c>
      <c r="D648" s="2" t="str">
        <f>TEXT(Table5[[#This Row],[bill_date]],"mmmm")</f>
        <v>September</v>
      </c>
      <c r="E648" s="9">
        <f>YEAR(Table5[[#This Row],[bill_date]])</f>
        <v>2023</v>
      </c>
      <c r="F648">
        <v>1645</v>
      </c>
      <c r="G648" t="s">
        <v>30</v>
      </c>
    </row>
    <row r="649" spans="1:7" x14ac:dyDescent="0.3">
      <c r="A649">
        <v>30648</v>
      </c>
      <c r="B649">
        <v>187</v>
      </c>
      <c r="C649" s="2">
        <v>45006</v>
      </c>
      <c r="D649" s="2" t="str">
        <f>TEXT(Table5[[#This Row],[bill_date]],"mmmm")</f>
        <v>March</v>
      </c>
      <c r="E649" s="9">
        <f>YEAR(Table5[[#This Row],[bill_date]])</f>
        <v>2023</v>
      </c>
      <c r="F649">
        <v>1641</v>
      </c>
      <c r="G649" t="s">
        <v>30</v>
      </c>
    </row>
    <row r="650" spans="1:7" x14ac:dyDescent="0.3">
      <c r="A650">
        <v>30649</v>
      </c>
      <c r="B650">
        <v>8</v>
      </c>
      <c r="C650" s="2">
        <v>44794</v>
      </c>
      <c r="D650" s="2" t="str">
        <f>TEXT(Table5[[#This Row],[bill_date]],"mmmm")</f>
        <v>August</v>
      </c>
      <c r="E650" s="9">
        <f>YEAR(Table5[[#This Row],[bill_date]])</f>
        <v>2022</v>
      </c>
      <c r="F650">
        <v>957</v>
      </c>
      <c r="G650" t="s">
        <v>30</v>
      </c>
    </row>
    <row r="651" spans="1:7" x14ac:dyDescent="0.3">
      <c r="A651">
        <v>30650</v>
      </c>
      <c r="B651">
        <v>112</v>
      </c>
      <c r="C651" s="2">
        <v>44675</v>
      </c>
      <c r="D651" s="2" t="str">
        <f>TEXT(Table5[[#This Row],[bill_date]],"mmmm")</f>
        <v>April</v>
      </c>
      <c r="E651" s="9">
        <f>YEAR(Table5[[#This Row],[bill_date]])</f>
        <v>2022</v>
      </c>
      <c r="F651">
        <v>1083</v>
      </c>
      <c r="G651" t="s">
        <v>30</v>
      </c>
    </row>
    <row r="652" spans="1:7" x14ac:dyDescent="0.3">
      <c r="A652">
        <v>30651</v>
      </c>
      <c r="B652">
        <v>33</v>
      </c>
      <c r="C652" s="2">
        <v>45069</v>
      </c>
      <c r="D652" s="2" t="str">
        <f>TEXT(Table5[[#This Row],[bill_date]],"mmmm")</f>
        <v>May</v>
      </c>
      <c r="E652" s="9">
        <f>YEAR(Table5[[#This Row],[bill_date]])</f>
        <v>2023</v>
      </c>
      <c r="F652">
        <v>1415</v>
      </c>
      <c r="G652" t="s">
        <v>30</v>
      </c>
    </row>
    <row r="653" spans="1:7" x14ac:dyDescent="0.3">
      <c r="A653">
        <v>30652</v>
      </c>
      <c r="B653">
        <v>419</v>
      </c>
      <c r="C653" s="2">
        <v>45173</v>
      </c>
      <c r="D653" s="2" t="str">
        <f>TEXT(Table5[[#This Row],[bill_date]],"mmmm")</f>
        <v>September</v>
      </c>
      <c r="E653" s="9">
        <f>YEAR(Table5[[#This Row],[bill_date]])</f>
        <v>2023</v>
      </c>
      <c r="F653">
        <v>1505</v>
      </c>
      <c r="G653" t="s">
        <v>28</v>
      </c>
    </row>
    <row r="654" spans="1:7" x14ac:dyDescent="0.3">
      <c r="A654">
        <v>30653</v>
      </c>
      <c r="B654">
        <v>402</v>
      </c>
      <c r="C654" s="2">
        <v>44712</v>
      </c>
      <c r="D654" s="2" t="str">
        <f>TEXT(Table5[[#This Row],[bill_date]],"mmmm")</f>
        <v>May</v>
      </c>
      <c r="E654" s="9">
        <f>YEAR(Table5[[#This Row],[bill_date]])</f>
        <v>2022</v>
      </c>
      <c r="F654">
        <v>1476</v>
      </c>
      <c r="G654" t="s">
        <v>29</v>
      </c>
    </row>
    <row r="655" spans="1:7" x14ac:dyDescent="0.3">
      <c r="A655">
        <v>30654</v>
      </c>
      <c r="B655">
        <v>90</v>
      </c>
      <c r="C655" s="2">
        <v>45145</v>
      </c>
      <c r="D655" s="2" t="str">
        <f>TEXT(Table5[[#This Row],[bill_date]],"mmmm")</f>
        <v>August</v>
      </c>
      <c r="E655" s="9">
        <f>YEAR(Table5[[#This Row],[bill_date]])</f>
        <v>2023</v>
      </c>
      <c r="F655">
        <v>702</v>
      </c>
      <c r="G655" t="s">
        <v>30</v>
      </c>
    </row>
    <row r="656" spans="1:7" x14ac:dyDescent="0.3">
      <c r="A656">
        <v>30655</v>
      </c>
      <c r="B656">
        <v>496</v>
      </c>
      <c r="C656" s="2">
        <v>44931</v>
      </c>
      <c r="D656" s="2" t="str">
        <f>TEXT(Table5[[#This Row],[bill_date]],"mmmm")</f>
        <v>January</v>
      </c>
      <c r="E656" s="9">
        <f>YEAR(Table5[[#This Row],[bill_date]])</f>
        <v>2023</v>
      </c>
      <c r="F656">
        <v>1907</v>
      </c>
      <c r="G656" t="s">
        <v>30</v>
      </c>
    </row>
    <row r="657" spans="1:7" x14ac:dyDescent="0.3">
      <c r="A657">
        <v>30656</v>
      </c>
      <c r="B657">
        <v>149</v>
      </c>
      <c r="C657" s="2">
        <v>44910</v>
      </c>
      <c r="D657" s="2" t="str">
        <f>TEXT(Table5[[#This Row],[bill_date]],"mmmm")</f>
        <v>December</v>
      </c>
      <c r="E657" s="9">
        <f>YEAR(Table5[[#This Row],[bill_date]])</f>
        <v>2022</v>
      </c>
      <c r="F657">
        <v>1535</v>
      </c>
      <c r="G657" t="s">
        <v>30</v>
      </c>
    </row>
    <row r="658" spans="1:7" x14ac:dyDescent="0.3">
      <c r="A658">
        <v>30657</v>
      </c>
      <c r="B658">
        <v>448</v>
      </c>
      <c r="C658" s="2">
        <v>44728</v>
      </c>
      <c r="D658" s="2" t="str">
        <f>TEXT(Table5[[#This Row],[bill_date]],"mmmm")</f>
        <v>June</v>
      </c>
      <c r="E658" s="9">
        <f>YEAR(Table5[[#This Row],[bill_date]])</f>
        <v>2022</v>
      </c>
      <c r="F658">
        <v>1500</v>
      </c>
      <c r="G658" t="s">
        <v>30</v>
      </c>
    </row>
    <row r="659" spans="1:7" x14ac:dyDescent="0.3">
      <c r="A659">
        <v>30658</v>
      </c>
      <c r="B659">
        <v>412</v>
      </c>
      <c r="C659" s="2">
        <v>44633</v>
      </c>
      <c r="D659" s="2" t="str">
        <f>TEXT(Table5[[#This Row],[bill_date]],"mmmm")</f>
        <v>March</v>
      </c>
      <c r="E659" s="9">
        <f>YEAR(Table5[[#This Row],[bill_date]])</f>
        <v>2022</v>
      </c>
      <c r="F659">
        <v>1000</v>
      </c>
      <c r="G659" t="s">
        <v>30</v>
      </c>
    </row>
    <row r="660" spans="1:7" x14ac:dyDescent="0.3">
      <c r="A660">
        <v>30659</v>
      </c>
      <c r="B660">
        <v>212</v>
      </c>
      <c r="C660" s="2">
        <v>45421</v>
      </c>
      <c r="D660" s="2" t="str">
        <f>TEXT(Table5[[#This Row],[bill_date]],"mmmm")</f>
        <v>May</v>
      </c>
      <c r="E660" s="9">
        <f>YEAR(Table5[[#This Row],[bill_date]])</f>
        <v>2024</v>
      </c>
      <c r="F660">
        <v>1016</v>
      </c>
      <c r="G660" t="s">
        <v>30</v>
      </c>
    </row>
    <row r="661" spans="1:7" x14ac:dyDescent="0.3">
      <c r="A661">
        <v>30660</v>
      </c>
      <c r="B661">
        <v>116</v>
      </c>
      <c r="C661" s="2">
        <v>44914</v>
      </c>
      <c r="D661" s="2" t="str">
        <f>TEXT(Table5[[#This Row],[bill_date]],"mmmm")</f>
        <v>December</v>
      </c>
      <c r="E661" s="9">
        <f>YEAR(Table5[[#This Row],[bill_date]])</f>
        <v>2022</v>
      </c>
      <c r="F661">
        <v>508</v>
      </c>
      <c r="G661" t="s">
        <v>30</v>
      </c>
    </row>
    <row r="662" spans="1:7" x14ac:dyDescent="0.3">
      <c r="A662">
        <v>30661</v>
      </c>
      <c r="B662">
        <v>173</v>
      </c>
      <c r="C662" s="2">
        <v>44572</v>
      </c>
      <c r="D662" s="2" t="str">
        <f>TEXT(Table5[[#This Row],[bill_date]],"mmmm")</f>
        <v>January</v>
      </c>
      <c r="E662" s="9">
        <f>YEAR(Table5[[#This Row],[bill_date]])</f>
        <v>2022</v>
      </c>
      <c r="F662">
        <v>1408</v>
      </c>
      <c r="G662" t="s">
        <v>30</v>
      </c>
    </row>
    <row r="663" spans="1:7" x14ac:dyDescent="0.3">
      <c r="A663">
        <v>30662</v>
      </c>
      <c r="B663">
        <v>20</v>
      </c>
      <c r="C663" s="2">
        <v>45371</v>
      </c>
      <c r="D663" s="2" t="str">
        <f>TEXT(Table5[[#This Row],[bill_date]],"mmmm")</f>
        <v>March</v>
      </c>
      <c r="E663" s="9">
        <f>YEAR(Table5[[#This Row],[bill_date]])</f>
        <v>2024</v>
      </c>
      <c r="F663">
        <v>1446</v>
      </c>
      <c r="G663" t="s">
        <v>30</v>
      </c>
    </row>
    <row r="664" spans="1:7" x14ac:dyDescent="0.3">
      <c r="A664">
        <v>30663</v>
      </c>
      <c r="B664">
        <v>379</v>
      </c>
      <c r="C664" s="2">
        <v>45302</v>
      </c>
      <c r="D664" s="2" t="str">
        <f>TEXT(Table5[[#This Row],[bill_date]],"mmmm")</f>
        <v>January</v>
      </c>
      <c r="E664" s="9">
        <f>YEAR(Table5[[#This Row],[bill_date]])</f>
        <v>2024</v>
      </c>
      <c r="F664">
        <v>772</v>
      </c>
      <c r="G664" t="s">
        <v>30</v>
      </c>
    </row>
    <row r="665" spans="1:7" x14ac:dyDescent="0.3">
      <c r="A665">
        <v>30664</v>
      </c>
      <c r="B665">
        <v>132</v>
      </c>
      <c r="C665" s="2">
        <v>45199</v>
      </c>
      <c r="D665" s="2" t="str">
        <f>TEXT(Table5[[#This Row],[bill_date]],"mmmm")</f>
        <v>September</v>
      </c>
      <c r="E665" s="9">
        <f>YEAR(Table5[[#This Row],[bill_date]])</f>
        <v>2023</v>
      </c>
      <c r="F665">
        <v>1644</v>
      </c>
      <c r="G665" t="s">
        <v>30</v>
      </c>
    </row>
    <row r="666" spans="1:7" x14ac:dyDescent="0.3">
      <c r="A666">
        <v>30665</v>
      </c>
      <c r="B666">
        <v>292</v>
      </c>
      <c r="C666" s="2">
        <v>44714</v>
      </c>
      <c r="D666" s="2" t="str">
        <f>TEXT(Table5[[#This Row],[bill_date]],"mmmm")</f>
        <v>June</v>
      </c>
      <c r="E666" s="9">
        <f>YEAR(Table5[[#This Row],[bill_date]])</f>
        <v>2022</v>
      </c>
      <c r="F666">
        <v>794</v>
      </c>
      <c r="G666" t="s">
        <v>28</v>
      </c>
    </row>
    <row r="667" spans="1:7" x14ac:dyDescent="0.3">
      <c r="A667">
        <v>30666</v>
      </c>
      <c r="B667">
        <v>354</v>
      </c>
      <c r="C667" s="2">
        <v>44723</v>
      </c>
      <c r="D667" s="2" t="str">
        <f>TEXT(Table5[[#This Row],[bill_date]],"mmmm")</f>
        <v>June</v>
      </c>
      <c r="E667" s="9">
        <f>YEAR(Table5[[#This Row],[bill_date]])</f>
        <v>2022</v>
      </c>
      <c r="F667">
        <v>225</v>
      </c>
      <c r="G667" t="s">
        <v>28</v>
      </c>
    </row>
    <row r="668" spans="1:7" x14ac:dyDescent="0.3">
      <c r="A668">
        <v>30667</v>
      </c>
      <c r="B668">
        <v>237</v>
      </c>
      <c r="C668" s="2">
        <v>45351</v>
      </c>
      <c r="D668" s="2" t="str">
        <f>TEXT(Table5[[#This Row],[bill_date]],"mmmm")</f>
        <v>February</v>
      </c>
      <c r="E668" s="9">
        <f>YEAR(Table5[[#This Row],[bill_date]])</f>
        <v>2024</v>
      </c>
      <c r="F668">
        <v>579</v>
      </c>
      <c r="G668" t="s">
        <v>30</v>
      </c>
    </row>
    <row r="669" spans="1:7" x14ac:dyDescent="0.3">
      <c r="A669">
        <v>30668</v>
      </c>
      <c r="B669">
        <v>77</v>
      </c>
      <c r="C669" s="2">
        <v>44947</v>
      </c>
      <c r="D669" s="2" t="str">
        <f>TEXT(Table5[[#This Row],[bill_date]],"mmmm")</f>
        <v>January</v>
      </c>
      <c r="E669" s="9">
        <f>YEAR(Table5[[#This Row],[bill_date]])</f>
        <v>2023</v>
      </c>
      <c r="F669">
        <v>1542</v>
      </c>
      <c r="G669" t="s">
        <v>30</v>
      </c>
    </row>
    <row r="670" spans="1:7" x14ac:dyDescent="0.3">
      <c r="A670">
        <v>30669</v>
      </c>
      <c r="B670">
        <v>223</v>
      </c>
      <c r="C670" s="2">
        <v>45252</v>
      </c>
      <c r="D670" s="2" t="str">
        <f>TEXT(Table5[[#This Row],[bill_date]],"mmmm")</f>
        <v>November</v>
      </c>
      <c r="E670" s="9">
        <f>YEAR(Table5[[#This Row],[bill_date]])</f>
        <v>2023</v>
      </c>
      <c r="F670">
        <v>329</v>
      </c>
      <c r="G670" t="s">
        <v>30</v>
      </c>
    </row>
    <row r="671" spans="1:7" x14ac:dyDescent="0.3">
      <c r="A671">
        <v>30670</v>
      </c>
      <c r="B671">
        <v>436</v>
      </c>
      <c r="C671" s="2">
        <v>44705</v>
      </c>
      <c r="D671" s="2" t="str">
        <f>TEXT(Table5[[#This Row],[bill_date]],"mmmm")</f>
        <v>May</v>
      </c>
      <c r="E671" s="9">
        <f>YEAR(Table5[[#This Row],[bill_date]])</f>
        <v>2022</v>
      </c>
      <c r="F671">
        <v>837</v>
      </c>
      <c r="G671" t="s">
        <v>30</v>
      </c>
    </row>
    <row r="672" spans="1:7" x14ac:dyDescent="0.3">
      <c r="A672">
        <v>30671</v>
      </c>
      <c r="B672">
        <v>126</v>
      </c>
      <c r="C672" s="2">
        <v>44700</v>
      </c>
      <c r="D672" s="2" t="str">
        <f>TEXT(Table5[[#This Row],[bill_date]],"mmmm")</f>
        <v>May</v>
      </c>
      <c r="E672" s="9">
        <f>YEAR(Table5[[#This Row],[bill_date]])</f>
        <v>2022</v>
      </c>
      <c r="F672">
        <v>1218</v>
      </c>
      <c r="G672" t="s">
        <v>30</v>
      </c>
    </row>
    <row r="673" spans="1:7" x14ac:dyDescent="0.3">
      <c r="A673">
        <v>30672</v>
      </c>
      <c r="B673">
        <v>39</v>
      </c>
      <c r="C673" s="2">
        <v>44767</v>
      </c>
      <c r="D673" s="2" t="str">
        <f>TEXT(Table5[[#This Row],[bill_date]],"mmmm")</f>
        <v>July</v>
      </c>
      <c r="E673" s="9">
        <f>YEAR(Table5[[#This Row],[bill_date]])</f>
        <v>2022</v>
      </c>
      <c r="F673">
        <v>1745</v>
      </c>
      <c r="G673" t="s">
        <v>30</v>
      </c>
    </row>
    <row r="674" spans="1:7" x14ac:dyDescent="0.3">
      <c r="A674">
        <v>30673</v>
      </c>
      <c r="B674">
        <v>327</v>
      </c>
      <c r="C674" s="2">
        <v>44657</v>
      </c>
      <c r="D674" s="2" t="str">
        <f>TEXT(Table5[[#This Row],[bill_date]],"mmmm")</f>
        <v>April</v>
      </c>
      <c r="E674" s="9">
        <f>YEAR(Table5[[#This Row],[bill_date]])</f>
        <v>2022</v>
      </c>
      <c r="F674">
        <v>1502</v>
      </c>
      <c r="G674" t="s">
        <v>29</v>
      </c>
    </row>
    <row r="675" spans="1:7" x14ac:dyDescent="0.3">
      <c r="A675">
        <v>30674</v>
      </c>
      <c r="B675">
        <v>209</v>
      </c>
      <c r="C675" s="2">
        <v>45287</v>
      </c>
      <c r="D675" s="2" t="str">
        <f>TEXT(Table5[[#This Row],[bill_date]],"mmmm")</f>
        <v>December</v>
      </c>
      <c r="E675" s="9">
        <f>YEAR(Table5[[#This Row],[bill_date]])</f>
        <v>2023</v>
      </c>
      <c r="F675">
        <v>483</v>
      </c>
      <c r="G675" t="s">
        <v>30</v>
      </c>
    </row>
    <row r="676" spans="1:7" x14ac:dyDescent="0.3">
      <c r="A676">
        <v>30675</v>
      </c>
      <c r="B676">
        <v>106</v>
      </c>
      <c r="C676" s="2">
        <v>45142</v>
      </c>
      <c r="D676" s="2" t="str">
        <f>TEXT(Table5[[#This Row],[bill_date]],"mmmm")</f>
        <v>August</v>
      </c>
      <c r="E676" s="9">
        <f>YEAR(Table5[[#This Row],[bill_date]])</f>
        <v>2023</v>
      </c>
      <c r="F676">
        <v>1419</v>
      </c>
      <c r="G676" t="s">
        <v>30</v>
      </c>
    </row>
    <row r="677" spans="1:7" x14ac:dyDescent="0.3">
      <c r="A677">
        <v>30676</v>
      </c>
      <c r="B677">
        <v>140</v>
      </c>
      <c r="C677" s="2">
        <v>44917</v>
      </c>
      <c r="D677" s="2" t="str">
        <f>TEXT(Table5[[#This Row],[bill_date]],"mmmm")</f>
        <v>December</v>
      </c>
      <c r="E677" s="9">
        <f>YEAR(Table5[[#This Row],[bill_date]])</f>
        <v>2022</v>
      </c>
      <c r="F677">
        <v>935</v>
      </c>
      <c r="G677" t="s">
        <v>30</v>
      </c>
    </row>
    <row r="678" spans="1:7" x14ac:dyDescent="0.3">
      <c r="A678">
        <v>30677</v>
      </c>
      <c r="B678">
        <v>249</v>
      </c>
      <c r="C678" s="2">
        <v>45032</v>
      </c>
      <c r="D678" s="2" t="str">
        <f>TEXT(Table5[[#This Row],[bill_date]],"mmmm")</f>
        <v>April</v>
      </c>
      <c r="E678" s="9">
        <f>YEAR(Table5[[#This Row],[bill_date]])</f>
        <v>2023</v>
      </c>
      <c r="F678">
        <v>1998</v>
      </c>
      <c r="G678" t="s">
        <v>30</v>
      </c>
    </row>
    <row r="679" spans="1:7" x14ac:dyDescent="0.3">
      <c r="A679">
        <v>30678</v>
      </c>
      <c r="B679">
        <v>55</v>
      </c>
      <c r="C679" s="2">
        <v>44879</v>
      </c>
      <c r="D679" s="2" t="str">
        <f>TEXT(Table5[[#This Row],[bill_date]],"mmmm")</f>
        <v>November</v>
      </c>
      <c r="E679" s="9">
        <f>YEAR(Table5[[#This Row],[bill_date]])</f>
        <v>2022</v>
      </c>
      <c r="F679">
        <v>1497</v>
      </c>
      <c r="G679" t="s">
        <v>30</v>
      </c>
    </row>
    <row r="680" spans="1:7" x14ac:dyDescent="0.3">
      <c r="A680">
        <v>30679</v>
      </c>
      <c r="B680">
        <v>118</v>
      </c>
      <c r="C680" s="2">
        <v>45073</v>
      </c>
      <c r="D680" s="2" t="str">
        <f>TEXT(Table5[[#This Row],[bill_date]],"mmmm")</f>
        <v>May</v>
      </c>
      <c r="E680" s="9">
        <f>YEAR(Table5[[#This Row],[bill_date]])</f>
        <v>2023</v>
      </c>
      <c r="F680">
        <v>1290</v>
      </c>
      <c r="G680" t="s">
        <v>30</v>
      </c>
    </row>
    <row r="681" spans="1:7" x14ac:dyDescent="0.3">
      <c r="A681">
        <v>30680</v>
      </c>
      <c r="B681">
        <v>350</v>
      </c>
      <c r="C681" s="2">
        <v>44580</v>
      </c>
      <c r="D681" s="2" t="str">
        <f>TEXT(Table5[[#This Row],[bill_date]],"mmmm")</f>
        <v>January</v>
      </c>
      <c r="E681" s="9">
        <f>YEAR(Table5[[#This Row],[bill_date]])</f>
        <v>2022</v>
      </c>
      <c r="F681">
        <v>431</v>
      </c>
      <c r="G681" t="s">
        <v>30</v>
      </c>
    </row>
    <row r="682" spans="1:7" x14ac:dyDescent="0.3">
      <c r="A682">
        <v>30681</v>
      </c>
      <c r="B682">
        <v>176</v>
      </c>
      <c r="C682" s="2">
        <v>44974</v>
      </c>
      <c r="D682" s="2" t="str">
        <f>TEXT(Table5[[#This Row],[bill_date]],"mmmm")</f>
        <v>February</v>
      </c>
      <c r="E682" s="9">
        <f>YEAR(Table5[[#This Row],[bill_date]])</f>
        <v>2023</v>
      </c>
      <c r="F682">
        <v>809</v>
      </c>
      <c r="G682" t="s">
        <v>28</v>
      </c>
    </row>
    <row r="683" spans="1:7" x14ac:dyDescent="0.3">
      <c r="A683">
        <v>30682</v>
      </c>
      <c r="B683">
        <v>354</v>
      </c>
      <c r="C683" s="2">
        <v>44968</v>
      </c>
      <c r="D683" s="2" t="str">
        <f>TEXT(Table5[[#This Row],[bill_date]],"mmmm")</f>
        <v>February</v>
      </c>
      <c r="E683" s="9">
        <f>YEAR(Table5[[#This Row],[bill_date]])</f>
        <v>2023</v>
      </c>
      <c r="F683">
        <v>420</v>
      </c>
      <c r="G683" t="s">
        <v>30</v>
      </c>
    </row>
    <row r="684" spans="1:7" x14ac:dyDescent="0.3">
      <c r="A684">
        <v>30683</v>
      </c>
      <c r="B684">
        <v>470</v>
      </c>
      <c r="C684" s="2">
        <v>45389</v>
      </c>
      <c r="D684" s="2" t="str">
        <f>TEXT(Table5[[#This Row],[bill_date]],"mmmm")</f>
        <v>April</v>
      </c>
      <c r="E684" s="9">
        <f>YEAR(Table5[[#This Row],[bill_date]])</f>
        <v>2024</v>
      </c>
      <c r="F684">
        <v>651</v>
      </c>
      <c r="G684" t="s">
        <v>30</v>
      </c>
    </row>
    <row r="685" spans="1:7" x14ac:dyDescent="0.3">
      <c r="A685">
        <v>30684</v>
      </c>
      <c r="B685">
        <v>213</v>
      </c>
      <c r="C685" s="2">
        <v>44963</v>
      </c>
      <c r="D685" s="2" t="str">
        <f>TEXT(Table5[[#This Row],[bill_date]],"mmmm")</f>
        <v>February</v>
      </c>
      <c r="E685" s="9">
        <f>YEAR(Table5[[#This Row],[bill_date]])</f>
        <v>2023</v>
      </c>
      <c r="F685">
        <v>1858</v>
      </c>
      <c r="G685" t="s">
        <v>28</v>
      </c>
    </row>
    <row r="686" spans="1:7" x14ac:dyDescent="0.3">
      <c r="A686">
        <v>30685</v>
      </c>
      <c r="B686">
        <v>265</v>
      </c>
      <c r="C686" s="2">
        <v>45424</v>
      </c>
      <c r="D686" s="2" t="str">
        <f>TEXT(Table5[[#This Row],[bill_date]],"mmmm")</f>
        <v>May</v>
      </c>
      <c r="E686" s="9">
        <f>YEAR(Table5[[#This Row],[bill_date]])</f>
        <v>2024</v>
      </c>
      <c r="F686">
        <v>502</v>
      </c>
      <c r="G686" t="s">
        <v>30</v>
      </c>
    </row>
    <row r="687" spans="1:7" x14ac:dyDescent="0.3">
      <c r="A687">
        <v>30686</v>
      </c>
      <c r="B687">
        <v>140</v>
      </c>
      <c r="C687" s="2">
        <v>44662</v>
      </c>
      <c r="D687" s="2" t="str">
        <f>TEXT(Table5[[#This Row],[bill_date]],"mmmm")</f>
        <v>April</v>
      </c>
      <c r="E687" s="9">
        <f>YEAR(Table5[[#This Row],[bill_date]])</f>
        <v>2022</v>
      </c>
      <c r="F687">
        <v>1134</v>
      </c>
      <c r="G687" t="s">
        <v>30</v>
      </c>
    </row>
    <row r="688" spans="1:7" x14ac:dyDescent="0.3">
      <c r="A688">
        <v>30687</v>
      </c>
      <c r="B688">
        <v>465</v>
      </c>
      <c r="C688" s="2">
        <v>45154</v>
      </c>
      <c r="D688" s="2" t="str">
        <f>TEXT(Table5[[#This Row],[bill_date]],"mmmm")</f>
        <v>August</v>
      </c>
      <c r="E688" s="9">
        <f>YEAR(Table5[[#This Row],[bill_date]])</f>
        <v>2023</v>
      </c>
      <c r="F688">
        <v>1836</v>
      </c>
      <c r="G688" t="s">
        <v>30</v>
      </c>
    </row>
    <row r="689" spans="1:7" x14ac:dyDescent="0.3">
      <c r="A689">
        <v>30688</v>
      </c>
      <c r="B689">
        <v>464</v>
      </c>
      <c r="C689" s="2">
        <v>45256</v>
      </c>
      <c r="D689" s="2" t="str">
        <f>TEXT(Table5[[#This Row],[bill_date]],"mmmm")</f>
        <v>November</v>
      </c>
      <c r="E689" s="9">
        <f>YEAR(Table5[[#This Row],[bill_date]])</f>
        <v>2023</v>
      </c>
      <c r="F689">
        <v>1622</v>
      </c>
      <c r="G689" t="s">
        <v>30</v>
      </c>
    </row>
    <row r="690" spans="1:7" x14ac:dyDescent="0.3">
      <c r="A690">
        <v>30689</v>
      </c>
      <c r="B690">
        <v>325</v>
      </c>
      <c r="C690" s="2">
        <v>44579</v>
      </c>
      <c r="D690" s="2" t="str">
        <f>TEXT(Table5[[#This Row],[bill_date]],"mmmm")</f>
        <v>January</v>
      </c>
      <c r="E690" s="9">
        <f>YEAR(Table5[[#This Row],[bill_date]])</f>
        <v>2022</v>
      </c>
      <c r="F690">
        <v>1542</v>
      </c>
      <c r="G690" t="s">
        <v>30</v>
      </c>
    </row>
    <row r="691" spans="1:7" x14ac:dyDescent="0.3">
      <c r="A691">
        <v>30690</v>
      </c>
      <c r="B691">
        <v>339</v>
      </c>
      <c r="C691" s="2">
        <v>44716</v>
      </c>
      <c r="D691" s="2" t="str">
        <f>TEXT(Table5[[#This Row],[bill_date]],"mmmm")</f>
        <v>June</v>
      </c>
      <c r="E691" s="9">
        <f>YEAR(Table5[[#This Row],[bill_date]])</f>
        <v>2022</v>
      </c>
      <c r="F691">
        <v>462</v>
      </c>
      <c r="G691" t="s">
        <v>28</v>
      </c>
    </row>
    <row r="692" spans="1:7" x14ac:dyDescent="0.3">
      <c r="A692">
        <v>30691</v>
      </c>
      <c r="B692">
        <v>441</v>
      </c>
      <c r="C692" s="2">
        <v>45414</v>
      </c>
      <c r="D692" s="2" t="str">
        <f>TEXT(Table5[[#This Row],[bill_date]],"mmmm")</f>
        <v>May</v>
      </c>
      <c r="E692" s="9">
        <f>YEAR(Table5[[#This Row],[bill_date]])</f>
        <v>2024</v>
      </c>
      <c r="F692">
        <v>563</v>
      </c>
      <c r="G692" t="s">
        <v>30</v>
      </c>
    </row>
    <row r="693" spans="1:7" x14ac:dyDescent="0.3">
      <c r="A693">
        <v>30692</v>
      </c>
      <c r="B693">
        <v>284</v>
      </c>
      <c r="C693" s="2">
        <v>44690</v>
      </c>
      <c r="D693" s="2" t="str">
        <f>TEXT(Table5[[#This Row],[bill_date]],"mmmm")</f>
        <v>May</v>
      </c>
      <c r="E693" s="9">
        <f>YEAR(Table5[[#This Row],[bill_date]])</f>
        <v>2022</v>
      </c>
      <c r="F693">
        <v>1611</v>
      </c>
      <c r="G693" t="s">
        <v>28</v>
      </c>
    </row>
    <row r="694" spans="1:7" x14ac:dyDescent="0.3">
      <c r="A694">
        <v>30693</v>
      </c>
      <c r="B694">
        <v>273</v>
      </c>
      <c r="C694" s="2">
        <v>44876</v>
      </c>
      <c r="D694" s="2" t="str">
        <f>TEXT(Table5[[#This Row],[bill_date]],"mmmm")</f>
        <v>November</v>
      </c>
      <c r="E694" s="9">
        <f>YEAR(Table5[[#This Row],[bill_date]])</f>
        <v>2022</v>
      </c>
      <c r="F694">
        <v>940</v>
      </c>
      <c r="G694" t="s">
        <v>30</v>
      </c>
    </row>
    <row r="695" spans="1:7" x14ac:dyDescent="0.3">
      <c r="A695">
        <v>30694</v>
      </c>
      <c r="B695">
        <v>22</v>
      </c>
      <c r="C695" s="2">
        <v>44927</v>
      </c>
      <c r="D695" s="2" t="str">
        <f>TEXT(Table5[[#This Row],[bill_date]],"mmmm")</f>
        <v>January</v>
      </c>
      <c r="E695" s="9">
        <f>YEAR(Table5[[#This Row],[bill_date]])</f>
        <v>2023</v>
      </c>
      <c r="F695">
        <v>1857</v>
      </c>
      <c r="G695" t="s">
        <v>30</v>
      </c>
    </row>
    <row r="696" spans="1:7" x14ac:dyDescent="0.3">
      <c r="A696">
        <v>30695</v>
      </c>
      <c r="B696">
        <v>419</v>
      </c>
      <c r="C696" s="2">
        <v>45023</v>
      </c>
      <c r="D696" s="2" t="str">
        <f>TEXT(Table5[[#This Row],[bill_date]],"mmmm")</f>
        <v>April</v>
      </c>
      <c r="E696" s="9">
        <f>YEAR(Table5[[#This Row],[bill_date]])</f>
        <v>2023</v>
      </c>
      <c r="F696">
        <v>1449</v>
      </c>
      <c r="G696" t="s">
        <v>30</v>
      </c>
    </row>
    <row r="697" spans="1:7" x14ac:dyDescent="0.3">
      <c r="A697">
        <v>30696</v>
      </c>
      <c r="B697">
        <v>369</v>
      </c>
      <c r="C697" s="2">
        <v>44722</v>
      </c>
      <c r="D697" s="2" t="str">
        <f>TEXT(Table5[[#This Row],[bill_date]],"mmmm")</f>
        <v>June</v>
      </c>
      <c r="E697" s="9">
        <f>YEAR(Table5[[#This Row],[bill_date]])</f>
        <v>2022</v>
      </c>
      <c r="F697">
        <v>654</v>
      </c>
      <c r="G697" t="s">
        <v>30</v>
      </c>
    </row>
    <row r="698" spans="1:7" x14ac:dyDescent="0.3">
      <c r="A698">
        <v>30697</v>
      </c>
      <c r="B698">
        <v>187</v>
      </c>
      <c r="C698" s="2">
        <v>45192</v>
      </c>
      <c r="D698" s="2" t="str">
        <f>TEXT(Table5[[#This Row],[bill_date]],"mmmm")</f>
        <v>September</v>
      </c>
      <c r="E698" s="9">
        <f>YEAR(Table5[[#This Row],[bill_date]])</f>
        <v>2023</v>
      </c>
      <c r="F698">
        <v>1962</v>
      </c>
      <c r="G698" t="s">
        <v>30</v>
      </c>
    </row>
    <row r="699" spans="1:7" x14ac:dyDescent="0.3">
      <c r="A699">
        <v>30698</v>
      </c>
      <c r="B699">
        <v>207</v>
      </c>
      <c r="C699" s="2">
        <v>44937</v>
      </c>
      <c r="D699" s="2" t="str">
        <f>TEXT(Table5[[#This Row],[bill_date]],"mmmm")</f>
        <v>January</v>
      </c>
      <c r="E699" s="9">
        <f>YEAR(Table5[[#This Row],[bill_date]])</f>
        <v>2023</v>
      </c>
      <c r="F699">
        <v>1887</v>
      </c>
      <c r="G699" t="s">
        <v>28</v>
      </c>
    </row>
    <row r="700" spans="1:7" x14ac:dyDescent="0.3">
      <c r="A700">
        <v>30699</v>
      </c>
      <c r="B700">
        <v>147</v>
      </c>
      <c r="C700" s="2">
        <v>44893</v>
      </c>
      <c r="D700" s="2" t="str">
        <f>TEXT(Table5[[#This Row],[bill_date]],"mmmm")</f>
        <v>November</v>
      </c>
      <c r="E700" s="9">
        <f>YEAR(Table5[[#This Row],[bill_date]])</f>
        <v>2022</v>
      </c>
      <c r="F700">
        <v>1527</v>
      </c>
      <c r="G700" t="s">
        <v>30</v>
      </c>
    </row>
    <row r="701" spans="1:7" x14ac:dyDescent="0.3">
      <c r="A701">
        <v>30700</v>
      </c>
      <c r="B701">
        <v>495</v>
      </c>
      <c r="C701" s="2">
        <v>45246</v>
      </c>
      <c r="D701" s="2" t="str">
        <f>TEXT(Table5[[#This Row],[bill_date]],"mmmm")</f>
        <v>November</v>
      </c>
      <c r="E701" s="9">
        <f>YEAR(Table5[[#This Row],[bill_date]])</f>
        <v>2023</v>
      </c>
      <c r="F701">
        <v>703</v>
      </c>
      <c r="G701" t="s">
        <v>30</v>
      </c>
    </row>
    <row r="702" spans="1:7" x14ac:dyDescent="0.3">
      <c r="A702">
        <v>30701</v>
      </c>
      <c r="B702">
        <v>434</v>
      </c>
      <c r="C702" s="2">
        <v>45226</v>
      </c>
      <c r="D702" s="2" t="str">
        <f>TEXT(Table5[[#This Row],[bill_date]],"mmmm")</f>
        <v>October</v>
      </c>
      <c r="E702" s="9">
        <f>YEAR(Table5[[#This Row],[bill_date]])</f>
        <v>2023</v>
      </c>
      <c r="F702">
        <v>526</v>
      </c>
      <c r="G702" t="s">
        <v>28</v>
      </c>
    </row>
    <row r="703" spans="1:7" x14ac:dyDescent="0.3">
      <c r="A703">
        <v>30702</v>
      </c>
      <c r="B703">
        <v>154</v>
      </c>
      <c r="C703" s="2">
        <v>44581</v>
      </c>
      <c r="D703" s="2" t="str">
        <f>TEXT(Table5[[#This Row],[bill_date]],"mmmm")</f>
        <v>January</v>
      </c>
      <c r="E703" s="9">
        <f>YEAR(Table5[[#This Row],[bill_date]])</f>
        <v>2022</v>
      </c>
      <c r="F703">
        <v>1883</v>
      </c>
      <c r="G703" t="s">
        <v>30</v>
      </c>
    </row>
    <row r="704" spans="1:7" x14ac:dyDescent="0.3">
      <c r="A704">
        <v>30703</v>
      </c>
      <c r="B704">
        <v>108</v>
      </c>
      <c r="C704" s="2">
        <v>45107</v>
      </c>
      <c r="D704" s="2" t="str">
        <f>TEXT(Table5[[#This Row],[bill_date]],"mmmm")</f>
        <v>June</v>
      </c>
      <c r="E704" s="9">
        <f>YEAR(Table5[[#This Row],[bill_date]])</f>
        <v>2023</v>
      </c>
      <c r="F704">
        <v>1017</v>
      </c>
      <c r="G704" t="s">
        <v>30</v>
      </c>
    </row>
    <row r="705" spans="1:7" x14ac:dyDescent="0.3">
      <c r="A705">
        <v>30704</v>
      </c>
      <c r="B705">
        <v>316</v>
      </c>
      <c r="C705" s="2">
        <v>45387</v>
      </c>
      <c r="D705" s="2" t="str">
        <f>TEXT(Table5[[#This Row],[bill_date]],"mmmm")</f>
        <v>April</v>
      </c>
      <c r="E705" s="9">
        <f>YEAR(Table5[[#This Row],[bill_date]])</f>
        <v>2024</v>
      </c>
      <c r="F705">
        <v>1743</v>
      </c>
      <c r="G705" t="s">
        <v>30</v>
      </c>
    </row>
    <row r="706" spans="1:7" x14ac:dyDescent="0.3">
      <c r="A706">
        <v>30705</v>
      </c>
      <c r="B706">
        <v>300</v>
      </c>
      <c r="C706" s="2">
        <v>45133</v>
      </c>
      <c r="D706" s="2" t="str">
        <f>TEXT(Table5[[#This Row],[bill_date]],"mmmm")</f>
        <v>July</v>
      </c>
      <c r="E706" s="9">
        <f>YEAR(Table5[[#This Row],[bill_date]])</f>
        <v>2023</v>
      </c>
      <c r="F706">
        <v>1542</v>
      </c>
      <c r="G706" t="s">
        <v>28</v>
      </c>
    </row>
    <row r="707" spans="1:7" x14ac:dyDescent="0.3">
      <c r="A707">
        <v>30706</v>
      </c>
      <c r="B707">
        <v>440</v>
      </c>
      <c r="C707" s="2">
        <v>45023</v>
      </c>
      <c r="D707" s="2" t="str">
        <f>TEXT(Table5[[#This Row],[bill_date]],"mmmm")</f>
        <v>April</v>
      </c>
      <c r="E707" s="9">
        <f>YEAR(Table5[[#This Row],[bill_date]])</f>
        <v>2023</v>
      </c>
      <c r="F707">
        <v>934</v>
      </c>
      <c r="G707" t="s">
        <v>30</v>
      </c>
    </row>
    <row r="708" spans="1:7" x14ac:dyDescent="0.3">
      <c r="A708">
        <v>30707</v>
      </c>
      <c r="B708">
        <v>483</v>
      </c>
      <c r="C708" s="2">
        <v>44719</v>
      </c>
      <c r="D708" s="2" t="str">
        <f>TEXT(Table5[[#This Row],[bill_date]],"mmmm")</f>
        <v>June</v>
      </c>
      <c r="E708" s="9">
        <f>YEAR(Table5[[#This Row],[bill_date]])</f>
        <v>2022</v>
      </c>
      <c r="F708">
        <v>690</v>
      </c>
      <c r="G708" t="s">
        <v>28</v>
      </c>
    </row>
    <row r="709" spans="1:7" x14ac:dyDescent="0.3">
      <c r="A709">
        <v>30708</v>
      </c>
      <c r="B709">
        <v>299</v>
      </c>
      <c r="C709" s="2">
        <v>44925</v>
      </c>
      <c r="D709" s="2" t="str">
        <f>TEXT(Table5[[#This Row],[bill_date]],"mmmm")</f>
        <v>December</v>
      </c>
      <c r="E709" s="9">
        <f>YEAR(Table5[[#This Row],[bill_date]])</f>
        <v>2022</v>
      </c>
      <c r="F709">
        <v>659</v>
      </c>
      <c r="G709" t="s">
        <v>30</v>
      </c>
    </row>
    <row r="710" spans="1:7" x14ac:dyDescent="0.3">
      <c r="A710">
        <v>30709</v>
      </c>
      <c r="B710">
        <v>151</v>
      </c>
      <c r="C710" s="2">
        <v>45279</v>
      </c>
      <c r="D710" s="2" t="str">
        <f>TEXT(Table5[[#This Row],[bill_date]],"mmmm")</f>
        <v>December</v>
      </c>
      <c r="E710" s="9">
        <f>YEAR(Table5[[#This Row],[bill_date]])</f>
        <v>2023</v>
      </c>
      <c r="F710">
        <v>1757</v>
      </c>
      <c r="G710" t="s">
        <v>30</v>
      </c>
    </row>
    <row r="711" spans="1:7" x14ac:dyDescent="0.3">
      <c r="A711">
        <v>30710</v>
      </c>
      <c r="B711">
        <v>458</v>
      </c>
      <c r="C711" s="2">
        <v>45166</v>
      </c>
      <c r="D711" s="2" t="str">
        <f>TEXT(Table5[[#This Row],[bill_date]],"mmmm")</f>
        <v>August</v>
      </c>
      <c r="E711" s="9">
        <f>YEAR(Table5[[#This Row],[bill_date]])</f>
        <v>2023</v>
      </c>
      <c r="F711">
        <v>1666</v>
      </c>
      <c r="G711" t="s">
        <v>30</v>
      </c>
    </row>
    <row r="712" spans="1:7" x14ac:dyDescent="0.3">
      <c r="A712">
        <v>30711</v>
      </c>
      <c r="B712">
        <v>406</v>
      </c>
      <c r="C712" s="2">
        <v>45291</v>
      </c>
      <c r="D712" s="2" t="str">
        <f>TEXT(Table5[[#This Row],[bill_date]],"mmmm")</f>
        <v>December</v>
      </c>
      <c r="E712" s="9">
        <f>YEAR(Table5[[#This Row],[bill_date]])</f>
        <v>2023</v>
      </c>
      <c r="F712">
        <v>1665</v>
      </c>
      <c r="G712" t="s">
        <v>30</v>
      </c>
    </row>
    <row r="713" spans="1:7" x14ac:dyDescent="0.3">
      <c r="A713">
        <v>30712</v>
      </c>
      <c r="B713">
        <v>175</v>
      </c>
      <c r="C713" s="2">
        <v>44884</v>
      </c>
      <c r="D713" s="2" t="str">
        <f>TEXT(Table5[[#This Row],[bill_date]],"mmmm")</f>
        <v>November</v>
      </c>
      <c r="E713" s="9">
        <f>YEAR(Table5[[#This Row],[bill_date]])</f>
        <v>2022</v>
      </c>
      <c r="F713">
        <v>1926</v>
      </c>
      <c r="G713" t="s">
        <v>30</v>
      </c>
    </row>
    <row r="714" spans="1:7" x14ac:dyDescent="0.3">
      <c r="A714">
        <v>30713</v>
      </c>
      <c r="B714">
        <v>55</v>
      </c>
      <c r="C714" s="2">
        <v>44650</v>
      </c>
      <c r="D714" s="2" t="str">
        <f>TEXT(Table5[[#This Row],[bill_date]],"mmmm")</f>
        <v>March</v>
      </c>
      <c r="E714" s="9">
        <f>YEAR(Table5[[#This Row],[bill_date]])</f>
        <v>2022</v>
      </c>
      <c r="F714">
        <v>1449</v>
      </c>
      <c r="G714" t="s">
        <v>30</v>
      </c>
    </row>
    <row r="715" spans="1:7" x14ac:dyDescent="0.3">
      <c r="A715">
        <v>30714</v>
      </c>
      <c r="B715">
        <v>267</v>
      </c>
      <c r="C715" s="2">
        <v>44734</v>
      </c>
      <c r="D715" s="2" t="str">
        <f>TEXT(Table5[[#This Row],[bill_date]],"mmmm")</f>
        <v>June</v>
      </c>
      <c r="E715" s="9">
        <f>YEAR(Table5[[#This Row],[bill_date]])</f>
        <v>2022</v>
      </c>
      <c r="F715">
        <v>764</v>
      </c>
      <c r="G715" t="s">
        <v>28</v>
      </c>
    </row>
    <row r="716" spans="1:7" x14ac:dyDescent="0.3">
      <c r="A716">
        <v>30715</v>
      </c>
      <c r="B716">
        <v>311</v>
      </c>
      <c r="C716" s="2">
        <v>44601</v>
      </c>
      <c r="D716" s="2" t="str">
        <f>TEXT(Table5[[#This Row],[bill_date]],"mmmm")</f>
        <v>February</v>
      </c>
      <c r="E716" s="9">
        <f>YEAR(Table5[[#This Row],[bill_date]])</f>
        <v>2022</v>
      </c>
      <c r="F716">
        <v>1826</v>
      </c>
      <c r="G716" t="s">
        <v>30</v>
      </c>
    </row>
    <row r="717" spans="1:7" x14ac:dyDescent="0.3">
      <c r="A717">
        <v>30716</v>
      </c>
      <c r="B717">
        <v>154</v>
      </c>
      <c r="C717" s="2">
        <v>44764</v>
      </c>
      <c r="D717" s="2" t="str">
        <f>TEXT(Table5[[#This Row],[bill_date]],"mmmm")</f>
        <v>July</v>
      </c>
      <c r="E717" s="9">
        <f>YEAR(Table5[[#This Row],[bill_date]])</f>
        <v>2022</v>
      </c>
      <c r="F717">
        <v>1749</v>
      </c>
      <c r="G717" t="s">
        <v>28</v>
      </c>
    </row>
    <row r="718" spans="1:7" x14ac:dyDescent="0.3">
      <c r="A718">
        <v>30717</v>
      </c>
      <c r="B718">
        <v>385</v>
      </c>
      <c r="C718" s="2">
        <v>45294</v>
      </c>
      <c r="D718" s="2" t="str">
        <f>TEXT(Table5[[#This Row],[bill_date]],"mmmm")</f>
        <v>January</v>
      </c>
      <c r="E718" s="9">
        <f>YEAR(Table5[[#This Row],[bill_date]])</f>
        <v>2024</v>
      </c>
      <c r="F718">
        <v>1018</v>
      </c>
      <c r="G718" t="s">
        <v>30</v>
      </c>
    </row>
    <row r="719" spans="1:7" x14ac:dyDescent="0.3">
      <c r="A719">
        <v>30718</v>
      </c>
      <c r="B719">
        <v>500</v>
      </c>
      <c r="C719" s="2">
        <v>45120</v>
      </c>
      <c r="D719" s="2" t="str">
        <f>TEXT(Table5[[#This Row],[bill_date]],"mmmm")</f>
        <v>July</v>
      </c>
      <c r="E719" s="9">
        <f>YEAR(Table5[[#This Row],[bill_date]])</f>
        <v>2023</v>
      </c>
      <c r="F719">
        <v>1913</v>
      </c>
      <c r="G719" t="s">
        <v>30</v>
      </c>
    </row>
    <row r="720" spans="1:7" x14ac:dyDescent="0.3">
      <c r="A720">
        <v>30719</v>
      </c>
      <c r="B720">
        <v>484</v>
      </c>
      <c r="C720" s="2">
        <v>44804</v>
      </c>
      <c r="D720" s="2" t="str">
        <f>TEXT(Table5[[#This Row],[bill_date]],"mmmm")</f>
        <v>August</v>
      </c>
      <c r="E720" s="9">
        <f>YEAR(Table5[[#This Row],[bill_date]])</f>
        <v>2022</v>
      </c>
      <c r="F720">
        <v>714</v>
      </c>
      <c r="G720" t="s">
        <v>30</v>
      </c>
    </row>
    <row r="721" spans="1:7" x14ac:dyDescent="0.3">
      <c r="A721">
        <v>30720</v>
      </c>
      <c r="B721">
        <v>190</v>
      </c>
      <c r="C721" s="2">
        <v>45067</v>
      </c>
      <c r="D721" s="2" t="str">
        <f>TEXT(Table5[[#This Row],[bill_date]],"mmmm")</f>
        <v>May</v>
      </c>
      <c r="E721" s="9">
        <f>YEAR(Table5[[#This Row],[bill_date]])</f>
        <v>2023</v>
      </c>
      <c r="F721">
        <v>616</v>
      </c>
      <c r="G721" t="s">
        <v>30</v>
      </c>
    </row>
    <row r="722" spans="1:7" x14ac:dyDescent="0.3">
      <c r="A722">
        <v>30721</v>
      </c>
      <c r="B722">
        <v>149</v>
      </c>
      <c r="C722" s="2">
        <v>44649</v>
      </c>
      <c r="D722" s="2" t="str">
        <f>TEXT(Table5[[#This Row],[bill_date]],"mmmm")</f>
        <v>March</v>
      </c>
      <c r="E722" s="9">
        <f>YEAR(Table5[[#This Row],[bill_date]])</f>
        <v>2022</v>
      </c>
      <c r="F722">
        <v>1323</v>
      </c>
      <c r="G722" t="s">
        <v>30</v>
      </c>
    </row>
    <row r="723" spans="1:7" x14ac:dyDescent="0.3">
      <c r="A723">
        <v>30722</v>
      </c>
      <c r="B723">
        <v>8</v>
      </c>
      <c r="C723" s="2">
        <v>45230</v>
      </c>
      <c r="D723" s="2" t="str">
        <f>TEXT(Table5[[#This Row],[bill_date]],"mmmm")</f>
        <v>October</v>
      </c>
      <c r="E723" s="9">
        <f>YEAR(Table5[[#This Row],[bill_date]])</f>
        <v>2023</v>
      </c>
      <c r="F723">
        <v>606</v>
      </c>
      <c r="G723" t="s">
        <v>28</v>
      </c>
    </row>
    <row r="724" spans="1:7" x14ac:dyDescent="0.3">
      <c r="A724">
        <v>30723</v>
      </c>
      <c r="B724">
        <v>148</v>
      </c>
      <c r="C724" s="2">
        <v>45235</v>
      </c>
      <c r="D724" s="2" t="str">
        <f>TEXT(Table5[[#This Row],[bill_date]],"mmmm")</f>
        <v>November</v>
      </c>
      <c r="E724" s="9">
        <f>YEAR(Table5[[#This Row],[bill_date]])</f>
        <v>2023</v>
      </c>
      <c r="F724">
        <v>1627</v>
      </c>
      <c r="G724" t="s">
        <v>30</v>
      </c>
    </row>
    <row r="725" spans="1:7" x14ac:dyDescent="0.3">
      <c r="A725">
        <v>30724</v>
      </c>
      <c r="B725">
        <v>173</v>
      </c>
      <c r="C725" s="2">
        <v>45093</v>
      </c>
      <c r="D725" s="2" t="str">
        <f>TEXT(Table5[[#This Row],[bill_date]],"mmmm")</f>
        <v>June</v>
      </c>
      <c r="E725" s="9">
        <f>YEAR(Table5[[#This Row],[bill_date]])</f>
        <v>2023</v>
      </c>
      <c r="F725">
        <v>1352</v>
      </c>
      <c r="G725" t="s">
        <v>30</v>
      </c>
    </row>
    <row r="726" spans="1:7" x14ac:dyDescent="0.3">
      <c r="A726">
        <v>30725</v>
      </c>
      <c r="B726">
        <v>81</v>
      </c>
      <c r="C726" s="2">
        <v>45221</v>
      </c>
      <c r="D726" s="2" t="str">
        <f>TEXT(Table5[[#This Row],[bill_date]],"mmmm")</f>
        <v>October</v>
      </c>
      <c r="E726" s="9">
        <f>YEAR(Table5[[#This Row],[bill_date]])</f>
        <v>2023</v>
      </c>
      <c r="F726">
        <v>1741</v>
      </c>
      <c r="G726" t="s">
        <v>28</v>
      </c>
    </row>
    <row r="727" spans="1:7" x14ac:dyDescent="0.3">
      <c r="A727">
        <v>30726</v>
      </c>
      <c r="B727">
        <v>79</v>
      </c>
      <c r="C727" s="2">
        <v>45274</v>
      </c>
      <c r="D727" s="2" t="str">
        <f>TEXT(Table5[[#This Row],[bill_date]],"mmmm")</f>
        <v>December</v>
      </c>
      <c r="E727" s="9">
        <f>YEAR(Table5[[#This Row],[bill_date]])</f>
        <v>2023</v>
      </c>
      <c r="F727">
        <v>1918</v>
      </c>
      <c r="G727" t="s">
        <v>30</v>
      </c>
    </row>
    <row r="728" spans="1:7" x14ac:dyDescent="0.3">
      <c r="A728">
        <v>30727</v>
      </c>
      <c r="B728">
        <v>469</v>
      </c>
      <c r="C728" s="2">
        <v>45385</v>
      </c>
      <c r="D728" s="2" t="str">
        <f>TEXT(Table5[[#This Row],[bill_date]],"mmmm")</f>
        <v>April</v>
      </c>
      <c r="E728" s="9">
        <f>YEAR(Table5[[#This Row],[bill_date]])</f>
        <v>2024</v>
      </c>
      <c r="F728">
        <v>1042</v>
      </c>
      <c r="G728" t="s">
        <v>30</v>
      </c>
    </row>
    <row r="729" spans="1:7" x14ac:dyDescent="0.3">
      <c r="A729">
        <v>30728</v>
      </c>
      <c r="B729">
        <v>321</v>
      </c>
      <c r="C729" s="2">
        <v>44712</v>
      </c>
      <c r="D729" s="2" t="str">
        <f>TEXT(Table5[[#This Row],[bill_date]],"mmmm")</f>
        <v>May</v>
      </c>
      <c r="E729" s="9">
        <f>YEAR(Table5[[#This Row],[bill_date]])</f>
        <v>2022</v>
      </c>
      <c r="F729">
        <v>233</v>
      </c>
      <c r="G729" t="s">
        <v>30</v>
      </c>
    </row>
    <row r="730" spans="1:7" x14ac:dyDescent="0.3">
      <c r="A730">
        <v>30729</v>
      </c>
      <c r="B730">
        <v>60</v>
      </c>
      <c r="C730" s="2">
        <v>44661</v>
      </c>
      <c r="D730" s="2" t="str">
        <f>TEXT(Table5[[#This Row],[bill_date]],"mmmm")</f>
        <v>April</v>
      </c>
      <c r="E730" s="9">
        <f>YEAR(Table5[[#This Row],[bill_date]])</f>
        <v>2022</v>
      </c>
      <c r="F730">
        <v>1966</v>
      </c>
      <c r="G730" t="s">
        <v>30</v>
      </c>
    </row>
    <row r="731" spans="1:7" x14ac:dyDescent="0.3">
      <c r="A731">
        <v>30730</v>
      </c>
      <c r="B731">
        <v>451</v>
      </c>
      <c r="C731" s="2">
        <v>44808</v>
      </c>
      <c r="D731" s="2" t="str">
        <f>TEXT(Table5[[#This Row],[bill_date]],"mmmm")</f>
        <v>September</v>
      </c>
      <c r="E731" s="9">
        <f>YEAR(Table5[[#This Row],[bill_date]])</f>
        <v>2022</v>
      </c>
      <c r="F731">
        <v>352</v>
      </c>
      <c r="G731" t="s">
        <v>30</v>
      </c>
    </row>
    <row r="732" spans="1:7" x14ac:dyDescent="0.3">
      <c r="A732">
        <v>30731</v>
      </c>
      <c r="B732">
        <v>95</v>
      </c>
      <c r="C732" s="2">
        <v>45186</v>
      </c>
      <c r="D732" s="2" t="str">
        <f>TEXT(Table5[[#This Row],[bill_date]],"mmmm")</f>
        <v>September</v>
      </c>
      <c r="E732" s="9">
        <f>YEAR(Table5[[#This Row],[bill_date]])</f>
        <v>2023</v>
      </c>
      <c r="F732">
        <v>1624</v>
      </c>
      <c r="G732" t="s">
        <v>30</v>
      </c>
    </row>
    <row r="733" spans="1:7" x14ac:dyDescent="0.3">
      <c r="A733">
        <v>30732</v>
      </c>
      <c r="B733">
        <v>312</v>
      </c>
      <c r="C733" s="2">
        <v>45292</v>
      </c>
      <c r="D733" s="2" t="str">
        <f>TEXT(Table5[[#This Row],[bill_date]],"mmmm")</f>
        <v>January</v>
      </c>
      <c r="E733" s="9">
        <f>YEAR(Table5[[#This Row],[bill_date]])</f>
        <v>2024</v>
      </c>
      <c r="F733">
        <v>1286</v>
      </c>
      <c r="G733" t="s">
        <v>28</v>
      </c>
    </row>
    <row r="734" spans="1:7" x14ac:dyDescent="0.3">
      <c r="A734">
        <v>30733</v>
      </c>
      <c r="B734">
        <v>128</v>
      </c>
      <c r="C734" s="2">
        <v>45417</v>
      </c>
      <c r="D734" s="2" t="str">
        <f>TEXT(Table5[[#This Row],[bill_date]],"mmmm")</f>
        <v>May</v>
      </c>
      <c r="E734" s="9">
        <f>YEAR(Table5[[#This Row],[bill_date]])</f>
        <v>2024</v>
      </c>
      <c r="F734">
        <v>1981</v>
      </c>
      <c r="G734" t="s">
        <v>30</v>
      </c>
    </row>
    <row r="735" spans="1:7" x14ac:dyDescent="0.3">
      <c r="A735">
        <v>30734</v>
      </c>
      <c r="B735">
        <v>122</v>
      </c>
      <c r="C735" s="2">
        <v>45433</v>
      </c>
      <c r="D735" s="2" t="str">
        <f>TEXT(Table5[[#This Row],[bill_date]],"mmmm")</f>
        <v>May</v>
      </c>
      <c r="E735" s="9">
        <f>YEAR(Table5[[#This Row],[bill_date]])</f>
        <v>2024</v>
      </c>
      <c r="F735">
        <v>1088</v>
      </c>
      <c r="G735" t="s">
        <v>30</v>
      </c>
    </row>
    <row r="736" spans="1:7" x14ac:dyDescent="0.3">
      <c r="A736">
        <v>30735</v>
      </c>
      <c r="B736">
        <v>287</v>
      </c>
      <c r="C736" s="2">
        <v>45098</v>
      </c>
      <c r="D736" s="2" t="str">
        <f>TEXT(Table5[[#This Row],[bill_date]],"mmmm")</f>
        <v>June</v>
      </c>
      <c r="E736" s="9">
        <f>YEAR(Table5[[#This Row],[bill_date]])</f>
        <v>2023</v>
      </c>
      <c r="F736">
        <v>766</v>
      </c>
      <c r="G736" t="s">
        <v>30</v>
      </c>
    </row>
    <row r="737" spans="1:7" x14ac:dyDescent="0.3">
      <c r="A737">
        <v>30736</v>
      </c>
      <c r="B737">
        <v>341</v>
      </c>
      <c r="C737" s="2">
        <v>45057</v>
      </c>
      <c r="D737" s="2" t="str">
        <f>TEXT(Table5[[#This Row],[bill_date]],"mmmm")</f>
        <v>May</v>
      </c>
      <c r="E737" s="9">
        <f>YEAR(Table5[[#This Row],[bill_date]])</f>
        <v>2023</v>
      </c>
      <c r="F737">
        <v>427</v>
      </c>
      <c r="G737" t="s">
        <v>30</v>
      </c>
    </row>
    <row r="738" spans="1:7" x14ac:dyDescent="0.3">
      <c r="A738">
        <v>30737</v>
      </c>
      <c r="B738">
        <v>87</v>
      </c>
      <c r="C738" s="2">
        <v>44850</v>
      </c>
      <c r="D738" s="2" t="str">
        <f>TEXT(Table5[[#This Row],[bill_date]],"mmmm")</f>
        <v>October</v>
      </c>
      <c r="E738" s="9">
        <f>YEAR(Table5[[#This Row],[bill_date]])</f>
        <v>2022</v>
      </c>
      <c r="F738">
        <v>1174</v>
      </c>
      <c r="G738" t="s">
        <v>28</v>
      </c>
    </row>
    <row r="739" spans="1:7" x14ac:dyDescent="0.3">
      <c r="A739">
        <v>30738</v>
      </c>
      <c r="B739">
        <v>382</v>
      </c>
      <c r="C739" s="2">
        <v>44976</v>
      </c>
      <c r="D739" s="2" t="str">
        <f>TEXT(Table5[[#This Row],[bill_date]],"mmmm")</f>
        <v>February</v>
      </c>
      <c r="E739" s="9">
        <f>YEAR(Table5[[#This Row],[bill_date]])</f>
        <v>2023</v>
      </c>
      <c r="F739">
        <v>1199</v>
      </c>
      <c r="G739" t="s">
        <v>30</v>
      </c>
    </row>
    <row r="740" spans="1:7" x14ac:dyDescent="0.3">
      <c r="A740">
        <v>30739</v>
      </c>
      <c r="B740">
        <v>81</v>
      </c>
      <c r="C740" s="2">
        <v>45176</v>
      </c>
      <c r="D740" s="2" t="str">
        <f>TEXT(Table5[[#This Row],[bill_date]],"mmmm")</f>
        <v>September</v>
      </c>
      <c r="E740" s="9">
        <f>YEAR(Table5[[#This Row],[bill_date]])</f>
        <v>2023</v>
      </c>
      <c r="F740">
        <v>1475</v>
      </c>
      <c r="G740" t="s">
        <v>30</v>
      </c>
    </row>
    <row r="741" spans="1:7" x14ac:dyDescent="0.3">
      <c r="A741">
        <v>30740</v>
      </c>
      <c r="B741">
        <v>22</v>
      </c>
      <c r="C741" s="2">
        <v>44640</v>
      </c>
      <c r="D741" s="2" t="str">
        <f>TEXT(Table5[[#This Row],[bill_date]],"mmmm")</f>
        <v>March</v>
      </c>
      <c r="E741" s="9">
        <f>YEAR(Table5[[#This Row],[bill_date]])</f>
        <v>2022</v>
      </c>
      <c r="F741">
        <v>1710</v>
      </c>
      <c r="G741" t="s">
        <v>30</v>
      </c>
    </row>
    <row r="742" spans="1:7" x14ac:dyDescent="0.3">
      <c r="A742">
        <v>30741</v>
      </c>
      <c r="B742">
        <v>252</v>
      </c>
      <c r="C742" s="2">
        <v>44946</v>
      </c>
      <c r="D742" s="2" t="str">
        <f>TEXT(Table5[[#This Row],[bill_date]],"mmmm")</f>
        <v>January</v>
      </c>
      <c r="E742" s="9">
        <f>YEAR(Table5[[#This Row],[bill_date]])</f>
        <v>2023</v>
      </c>
      <c r="F742">
        <v>1003</v>
      </c>
      <c r="G742" t="s">
        <v>30</v>
      </c>
    </row>
    <row r="743" spans="1:7" x14ac:dyDescent="0.3">
      <c r="A743">
        <v>30742</v>
      </c>
      <c r="B743">
        <v>190</v>
      </c>
      <c r="C743" s="2">
        <v>44999</v>
      </c>
      <c r="D743" s="2" t="str">
        <f>TEXT(Table5[[#This Row],[bill_date]],"mmmm")</f>
        <v>March</v>
      </c>
      <c r="E743" s="9">
        <f>YEAR(Table5[[#This Row],[bill_date]])</f>
        <v>2023</v>
      </c>
      <c r="F743">
        <v>762</v>
      </c>
      <c r="G743" t="s">
        <v>29</v>
      </c>
    </row>
    <row r="744" spans="1:7" x14ac:dyDescent="0.3">
      <c r="A744">
        <v>30743</v>
      </c>
      <c r="B744">
        <v>312</v>
      </c>
      <c r="C744" s="2">
        <v>45089</v>
      </c>
      <c r="D744" s="2" t="str">
        <f>TEXT(Table5[[#This Row],[bill_date]],"mmmm")</f>
        <v>June</v>
      </c>
      <c r="E744" s="9">
        <f>YEAR(Table5[[#This Row],[bill_date]])</f>
        <v>2023</v>
      </c>
      <c r="F744">
        <v>1113</v>
      </c>
      <c r="G744" t="s">
        <v>30</v>
      </c>
    </row>
    <row r="745" spans="1:7" x14ac:dyDescent="0.3">
      <c r="A745">
        <v>30744</v>
      </c>
      <c r="B745">
        <v>86</v>
      </c>
      <c r="C745" s="2">
        <v>44902</v>
      </c>
      <c r="D745" s="2" t="str">
        <f>TEXT(Table5[[#This Row],[bill_date]],"mmmm")</f>
        <v>December</v>
      </c>
      <c r="E745" s="9">
        <f>YEAR(Table5[[#This Row],[bill_date]])</f>
        <v>2022</v>
      </c>
      <c r="F745">
        <v>213</v>
      </c>
      <c r="G745" t="s">
        <v>30</v>
      </c>
    </row>
    <row r="746" spans="1:7" x14ac:dyDescent="0.3">
      <c r="A746">
        <v>30745</v>
      </c>
      <c r="B746">
        <v>484</v>
      </c>
      <c r="C746" s="2">
        <v>44620</v>
      </c>
      <c r="D746" s="2" t="str">
        <f>TEXT(Table5[[#This Row],[bill_date]],"mmmm")</f>
        <v>February</v>
      </c>
      <c r="E746" s="9">
        <f>YEAR(Table5[[#This Row],[bill_date]])</f>
        <v>2022</v>
      </c>
      <c r="F746">
        <v>1093</v>
      </c>
      <c r="G746" t="s">
        <v>30</v>
      </c>
    </row>
    <row r="747" spans="1:7" x14ac:dyDescent="0.3">
      <c r="A747">
        <v>30746</v>
      </c>
      <c r="B747">
        <v>379</v>
      </c>
      <c r="C747" s="2">
        <v>45267</v>
      </c>
      <c r="D747" s="2" t="str">
        <f>TEXT(Table5[[#This Row],[bill_date]],"mmmm")</f>
        <v>December</v>
      </c>
      <c r="E747" s="9">
        <f>YEAR(Table5[[#This Row],[bill_date]])</f>
        <v>2023</v>
      </c>
      <c r="F747">
        <v>1052</v>
      </c>
      <c r="G747" t="s">
        <v>30</v>
      </c>
    </row>
    <row r="748" spans="1:7" x14ac:dyDescent="0.3">
      <c r="A748">
        <v>30747</v>
      </c>
      <c r="B748">
        <v>456</v>
      </c>
      <c r="C748" s="2">
        <v>45198</v>
      </c>
      <c r="D748" s="2" t="str">
        <f>TEXT(Table5[[#This Row],[bill_date]],"mmmm")</f>
        <v>September</v>
      </c>
      <c r="E748" s="9">
        <f>YEAR(Table5[[#This Row],[bill_date]])</f>
        <v>2023</v>
      </c>
      <c r="F748">
        <v>538</v>
      </c>
      <c r="G748" t="s">
        <v>28</v>
      </c>
    </row>
    <row r="749" spans="1:7" x14ac:dyDescent="0.3">
      <c r="A749">
        <v>30748</v>
      </c>
      <c r="B749">
        <v>367</v>
      </c>
      <c r="C749" s="2">
        <v>45460</v>
      </c>
      <c r="D749" s="2" t="str">
        <f>TEXT(Table5[[#This Row],[bill_date]],"mmmm")</f>
        <v>June</v>
      </c>
      <c r="E749" s="9">
        <f>YEAR(Table5[[#This Row],[bill_date]])</f>
        <v>2024</v>
      </c>
      <c r="F749">
        <v>561</v>
      </c>
      <c r="G749" t="s">
        <v>30</v>
      </c>
    </row>
    <row r="750" spans="1:7" x14ac:dyDescent="0.3">
      <c r="A750">
        <v>30749</v>
      </c>
      <c r="B750">
        <v>8</v>
      </c>
      <c r="C750" s="2">
        <v>45105</v>
      </c>
      <c r="D750" s="2" t="str">
        <f>TEXT(Table5[[#This Row],[bill_date]],"mmmm")</f>
        <v>June</v>
      </c>
      <c r="E750" s="9">
        <f>YEAR(Table5[[#This Row],[bill_date]])</f>
        <v>2023</v>
      </c>
      <c r="F750">
        <v>378</v>
      </c>
      <c r="G750" t="s">
        <v>30</v>
      </c>
    </row>
    <row r="751" spans="1:7" x14ac:dyDescent="0.3">
      <c r="A751">
        <v>30750</v>
      </c>
      <c r="B751">
        <v>318</v>
      </c>
      <c r="C751" s="2">
        <v>45251</v>
      </c>
      <c r="D751" s="2" t="str">
        <f>TEXT(Table5[[#This Row],[bill_date]],"mmmm")</f>
        <v>November</v>
      </c>
      <c r="E751" s="9">
        <f>YEAR(Table5[[#This Row],[bill_date]])</f>
        <v>2023</v>
      </c>
      <c r="F751">
        <v>787</v>
      </c>
      <c r="G751" t="s">
        <v>28</v>
      </c>
    </row>
    <row r="752" spans="1:7" x14ac:dyDescent="0.3">
      <c r="A752">
        <v>30751</v>
      </c>
      <c r="B752">
        <v>334</v>
      </c>
      <c r="C752" s="2">
        <v>45440</v>
      </c>
      <c r="D752" s="2" t="str">
        <f>TEXT(Table5[[#This Row],[bill_date]],"mmmm")</f>
        <v>May</v>
      </c>
      <c r="E752" s="9">
        <f>YEAR(Table5[[#This Row],[bill_date]])</f>
        <v>2024</v>
      </c>
      <c r="F752">
        <v>413</v>
      </c>
      <c r="G752" t="s">
        <v>30</v>
      </c>
    </row>
    <row r="753" spans="1:7" x14ac:dyDescent="0.3">
      <c r="A753">
        <v>30752</v>
      </c>
      <c r="B753">
        <v>230</v>
      </c>
      <c r="C753" s="2">
        <v>44780</v>
      </c>
      <c r="D753" s="2" t="str">
        <f>TEXT(Table5[[#This Row],[bill_date]],"mmmm")</f>
        <v>August</v>
      </c>
      <c r="E753" s="9">
        <f>YEAR(Table5[[#This Row],[bill_date]])</f>
        <v>2022</v>
      </c>
      <c r="F753">
        <v>1957</v>
      </c>
      <c r="G753" t="s">
        <v>30</v>
      </c>
    </row>
    <row r="754" spans="1:7" x14ac:dyDescent="0.3">
      <c r="A754">
        <v>30753</v>
      </c>
      <c r="B754">
        <v>152</v>
      </c>
      <c r="C754" s="2">
        <v>44661</v>
      </c>
      <c r="D754" s="2" t="str">
        <f>TEXT(Table5[[#This Row],[bill_date]],"mmmm")</f>
        <v>April</v>
      </c>
      <c r="E754" s="9">
        <f>YEAR(Table5[[#This Row],[bill_date]])</f>
        <v>2022</v>
      </c>
      <c r="F754">
        <v>1376</v>
      </c>
      <c r="G754" t="s">
        <v>29</v>
      </c>
    </row>
    <row r="755" spans="1:7" x14ac:dyDescent="0.3">
      <c r="A755">
        <v>30754</v>
      </c>
      <c r="B755">
        <v>278</v>
      </c>
      <c r="C755" s="2">
        <v>44664</v>
      </c>
      <c r="D755" s="2" t="str">
        <f>TEXT(Table5[[#This Row],[bill_date]],"mmmm")</f>
        <v>April</v>
      </c>
      <c r="E755" s="9">
        <f>YEAR(Table5[[#This Row],[bill_date]])</f>
        <v>2022</v>
      </c>
      <c r="F755">
        <v>1267</v>
      </c>
      <c r="G755" t="s">
        <v>30</v>
      </c>
    </row>
    <row r="756" spans="1:7" x14ac:dyDescent="0.3">
      <c r="A756">
        <v>30755</v>
      </c>
      <c r="B756">
        <v>15</v>
      </c>
      <c r="C756" s="2">
        <v>45445</v>
      </c>
      <c r="D756" s="2" t="str">
        <f>TEXT(Table5[[#This Row],[bill_date]],"mmmm")</f>
        <v>June</v>
      </c>
      <c r="E756" s="9">
        <f>YEAR(Table5[[#This Row],[bill_date]])</f>
        <v>2024</v>
      </c>
      <c r="F756">
        <v>550</v>
      </c>
      <c r="G756" t="s">
        <v>30</v>
      </c>
    </row>
    <row r="757" spans="1:7" x14ac:dyDescent="0.3">
      <c r="A757">
        <v>30756</v>
      </c>
      <c r="B757">
        <v>468</v>
      </c>
      <c r="C757" s="2">
        <v>45191</v>
      </c>
      <c r="D757" s="2" t="str">
        <f>TEXT(Table5[[#This Row],[bill_date]],"mmmm")</f>
        <v>September</v>
      </c>
      <c r="E757" s="9">
        <f>YEAR(Table5[[#This Row],[bill_date]])</f>
        <v>2023</v>
      </c>
      <c r="F757">
        <v>219</v>
      </c>
      <c r="G757" t="s">
        <v>30</v>
      </c>
    </row>
    <row r="758" spans="1:7" x14ac:dyDescent="0.3">
      <c r="A758">
        <v>30757</v>
      </c>
      <c r="B758">
        <v>475</v>
      </c>
      <c r="C758" s="2">
        <v>45316</v>
      </c>
      <c r="D758" s="2" t="str">
        <f>TEXT(Table5[[#This Row],[bill_date]],"mmmm")</f>
        <v>January</v>
      </c>
      <c r="E758" s="9">
        <f>YEAR(Table5[[#This Row],[bill_date]])</f>
        <v>2024</v>
      </c>
      <c r="F758">
        <v>1815</v>
      </c>
      <c r="G758" t="s">
        <v>28</v>
      </c>
    </row>
    <row r="759" spans="1:7" x14ac:dyDescent="0.3">
      <c r="A759">
        <v>30758</v>
      </c>
      <c r="B759">
        <v>412</v>
      </c>
      <c r="C759" s="2">
        <v>44680</v>
      </c>
      <c r="D759" s="2" t="str">
        <f>TEXT(Table5[[#This Row],[bill_date]],"mmmm")</f>
        <v>April</v>
      </c>
      <c r="E759" s="9">
        <f>YEAR(Table5[[#This Row],[bill_date]])</f>
        <v>2022</v>
      </c>
      <c r="F759">
        <v>1187</v>
      </c>
      <c r="G759" t="s">
        <v>30</v>
      </c>
    </row>
    <row r="760" spans="1:7" x14ac:dyDescent="0.3">
      <c r="A760">
        <v>30759</v>
      </c>
      <c r="B760">
        <v>406</v>
      </c>
      <c r="C760" s="2">
        <v>44568</v>
      </c>
      <c r="D760" s="2" t="str">
        <f>TEXT(Table5[[#This Row],[bill_date]],"mmmm")</f>
        <v>January</v>
      </c>
      <c r="E760" s="9">
        <f>YEAR(Table5[[#This Row],[bill_date]])</f>
        <v>2022</v>
      </c>
      <c r="F760">
        <v>763</v>
      </c>
      <c r="G760" t="s">
        <v>28</v>
      </c>
    </row>
    <row r="761" spans="1:7" x14ac:dyDescent="0.3">
      <c r="A761">
        <v>30760</v>
      </c>
      <c r="B761">
        <v>287</v>
      </c>
      <c r="C761" s="2">
        <v>44949</v>
      </c>
      <c r="D761" s="2" t="str">
        <f>TEXT(Table5[[#This Row],[bill_date]],"mmmm")</f>
        <v>January</v>
      </c>
      <c r="E761" s="9">
        <f>YEAR(Table5[[#This Row],[bill_date]])</f>
        <v>2023</v>
      </c>
      <c r="F761">
        <v>867</v>
      </c>
      <c r="G761" t="s">
        <v>30</v>
      </c>
    </row>
    <row r="762" spans="1:7" x14ac:dyDescent="0.3">
      <c r="A762">
        <v>30761</v>
      </c>
      <c r="B762">
        <v>457</v>
      </c>
      <c r="C762" s="2">
        <v>45039</v>
      </c>
      <c r="D762" s="2" t="str">
        <f>TEXT(Table5[[#This Row],[bill_date]],"mmmm")</f>
        <v>April</v>
      </c>
      <c r="E762" s="9">
        <f>YEAR(Table5[[#This Row],[bill_date]])</f>
        <v>2023</v>
      </c>
      <c r="F762">
        <v>1142</v>
      </c>
      <c r="G762" t="s">
        <v>30</v>
      </c>
    </row>
    <row r="763" spans="1:7" x14ac:dyDescent="0.3">
      <c r="A763">
        <v>30762</v>
      </c>
      <c r="B763">
        <v>248</v>
      </c>
      <c r="C763" s="2">
        <v>45083</v>
      </c>
      <c r="D763" s="2" t="str">
        <f>TEXT(Table5[[#This Row],[bill_date]],"mmmm")</f>
        <v>June</v>
      </c>
      <c r="E763" s="9">
        <f>YEAR(Table5[[#This Row],[bill_date]])</f>
        <v>2023</v>
      </c>
      <c r="F763">
        <v>567</v>
      </c>
      <c r="G763" t="s">
        <v>30</v>
      </c>
    </row>
    <row r="764" spans="1:7" x14ac:dyDescent="0.3">
      <c r="A764">
        <v>30763</v>
      </c>
      <c r="B764">
        <v>255</v>
      </c>
      <c r="C764" s="2">
        <v>45389</v>
      </c>
      <c r="D764" s="2" t="str">
        <f>TEXT(Table5[[#This Row],[bill_date]],"mmmm")</f>
        <v>April</v>
      </c>
      <c r="E764" s="9">
        <f>YEAR(Table5[[#This Row],[bill_date]])</f>
        <v>2024</v>
      </c>
      <c r="F764">
        <v>857</v>
      </c>
      <c r="G764" t="s">
        <v>30</v>
      </c>
    </row>
    <row r="765" spans="1:7" x14ac:dyDescent="0.3">
      <c r="A765">
        <v>30764</v>
      </c>
      <c r="B765">
        <v>446</v>
      </c>
      <c r="C765" s="2">
        <v>44842</v>
      </c>
      <c r="D765" s="2" t="str">
        <f>TEXT(Table5[[#This Row],[bill_date]],"mmmm")</f>
        <v>October</v>
      </c>
      <c r="E765" s="9">
        <f>YEAR(Table5[[#This Row],[bill_date]])</f>
        <v>2022</v>
      </c>
      <c r="F765">
        <v>892</v>
      </c>
      <c r="G765" t="s">
        <v>30</v>
      </c>
    </row>
    <row r="766" spans="1:7" x14ac:dyDescent="0.3">
      <c r="A766">
        <v>30765</v>
      </c>
      <c r="B766">
        <v>343</v>
      </c>
      <c r="C766" s="2">
        <v>44603</v>
      </c>
      <c r="D766" s="2" t="str">
        <f>TEXT(Table5[[#This Row],[bill_date]],"mmmm")</f>
        <v>February</v>
      </c>
      <c r="E766" s="9">
        <f>YEAR(Table5[[#This Row],[bill_date]])</f>
        <v>2022</v>
      </c>
      <c r="F766">
        <v>1300</v>
      </c>
      <c r="G766" t="s">
        <v>30</v>
      </c>
    </row>
    <row r="767" spans="1:7" x14ac:dyDescent="0.3">
      <c r="A767">
        <v>30766</v>
      </c>
      <c r="B767">
        <v>325</v>
      </c>
      <c r="C767" s="2">
        <v>45120</v>
      </c>
      <c r="D767" s="2" t="str">
        <f>TEXT(Table5[[#This Row],[bill_date]],"mmmm")</f>
        <v>July</v>
      </c>
      <c r="E767" s="9">
        <f>YEAR(Table5[[#This Row],[bill_date]])</f>
        <v>2023</v>
      </c>
      <c r="F767">
        <v>1221</v>
      </c>
      <c r="G767" t="s">
        <v>28</v>
      </c>
    </row>
    <row r="768" spans="1:7" x14ac:dyDescent="0.3">
      <c r="A768">
        <v>30767</v>
      </c>
      <c r="B768">
        <v>365</v>
      </c>
      <c r="C768" s="2">
        <v>44657</v>
      </c>
      <c r="D768" s="2" t="str">
        <f>TEXT(Table5[[#This Row],[bill_date]],"mmmm")</f>
        <v>April</v>
      </c>
      <c r="E768" s="9">
        <f>YEAR(Table5[[#This Row],[bill_date]])</f>
        <v>2022</v>
      </c>
      <c r="F768">
        <v>1341</v>
      </c>
      <c r="G768" t="s">
        <v>30</v>
      </c>
    </row>
    <row r="769" spans="1:7" x14ac:dyDescent="0.3">
      <c r="A769">
        <v>30768</v>
      </c>
      <c r="B769">
        <v>167</v>
      </c>
      <c r="C769" s="2">
        <v>45065</v>
      </c>
      <c r="D769" s="2" t="str">
        <f>TEXT(Table5[[#This Row],[bill_date]],"mmmm")</f>
        <v>May</v>
      </c>
      <c r="E769" s="9">
        <f>YEAR(Table5[[#This Row],[bill_date]])</f>
        <v>2023</v>
      </c>
      <c r="F769">
        <v>557</v>
      </c>
      <c r="G769" t="s">
        <v>30</v>
      </c>
    </row>
    <row r="770" spans="1:7" x14ac:dyDescent="0.3">
      <c r="A770">
        <v>30769</v>
      </c>
      <c r="B770">
        <v>81</v>
      </c>
      <c r="C770" s="2">
        <v>44807</v>
      </c>
      <c r="D770" s="2" t="str">
        <f>TEXT(Table5[[#This Row],[bill_date]],"mmmm")</f>
        <v>September</v>
      </c>
      <c r="E770" s="9">
        <f>YEAR(Table5[[#This Row],[bill_date]])</f>
        <v>2022</v>
      </c>
      <c r="F770">
        <v>1839</v>
      </c>
      <c r="G770" t="s">
        <v>29</v>
      </c>
    </row>
    <row r="771" spans="1:7" x14ac:dyDescent="0.3">
      <c r="A771">
        <v>30770</v>
      </c>
      <c r="B771">
        <v>296</v>
      </c>
      <c r="C771" s="2">
        <v>44785</v>
      </c>
      <c r="D771" s="2" t="str">
        <f>TEXT(Table5[[#This Row],[bill_date]],"mmmm")</f>
        <v>August</v>
      </c>
      <c r="E771" s="9">
        <f>YEAR(Table5[[#This Row],[bill_date]])</f>
        <v>2022</v>
      </c>
      <c r="F771">
        <v>1736</v>
      </c>
      <c r="G771" t="s">
        <v>30</v>
      </c>
    </row>
    <row r="772" spans="1:7" x14ac:dyDescent="0.3">
      <c r="A772">
        <v>30771</v>
      </c>
      <c r="B772">
        <v>69</v>
      </c>
      <c r="C772" s="2">
        <v>44675</v>
      </c>
      <c r="D772" s="2" t="str">
        <f>TEXT(Table5[[#This Row],[bill_date]],"mmmm")</f>
        <v>April</v>
      </c>
      <c r="E772" s="9">
        <f>YEAR(Table5[[#This Row],[bill_date]])</f>
        <v>2022</v>
      </c>
      <c r="F772">
        <v>1849</v>
      </c>
      <c r="G772" t="s">
        <v>30</v>
      </c>
    </row>
    <row r="773" spans="1:7" x14ac:dyDescent="0.3">
      <c r="A773">
        <v>30772</v>
      </c>
      <c r="B773">
        <v>183</v>
      </c>
      <c r="C773" s="2">
        <v>45105</v>
      </c>
      <c r="D773" s="2" t="str">
        <f>TEXT(Table5[[#This Row],[bill_date]],"mmmm")</f>
        <v>June</v>
      </c>
      <c r="E773" s="9">
        <f>YEAR(Table5[[#This Row],[bill_date]])</f>
        <v>2023</v>
      </c>
      <c r="F773">
        <v>701</v>
      </c>
      <c r="G773" t="s">
        <v>30</v>
      </c>
    </row>
    <row r="774" spans="1:7" x14ac:dyDescent="0.3">
      <c r="A774">
        <v>30773</v>
      </c>
      <c r="B774">
        <v>327</v>
      </c>
      <c r="C774" s="2">
        <v>44891</v>
      </c>
      <c r="D774" s="2" t="str">
        <f>TEXT(Table5[[#This Row],[bill_date]],"mmmm")</f>
        <v>November</v>
      </c>
      <c r="E774" s="9">
        <f>YEAR(Table5[[#This Row],[bill_date]])</f>
        <v>2022</v>
      </c>
      <c r="F774">
        <v>230</v>
      </c>
      <c r="G774" t="s">
        <v>30</v>
      </c>
    </row>
    <row r="775" spans="1:7" x14ac:dyDescent="0.3">
      <c r="A775">
        <v>30774</v>
      </c>
      <c r="B775">
        <v>64</v>
      </c>
      <c r="C775" s="2">
        <v>45064</v>
      </c>
      <c r="D775" s="2" t="str">
        <f>TEXT(Table5[[#This Row],[bill_date]],"mmmm")</f>
        <v>May</v>
      </c>
      <c r="E775" s="9">
        <f>YEAR(Table5[[#This Row],[bill_date]])</f>
        <v>2023</v>
      </c>
      <c r="F775">
        <v>556</v>
      </c>
      <c r="G775" t="s">
        <v>30</v>
      </c>
    </row>
    <row r="776" spans="1:7" x14ac:dyDescent="0.3">
      <c r="A776">
        <v>30775</v>
      </c>
      <c r="B776">
        <v>264</v>
      </c>
      <c r="C776" s="2">
        <v>44714</v>
      </c>
      <c r="D776" s="2" t="str">
        <f>TEXT(Table5[[#This Row],[bill_date]],"mmmm")</f>
        <v>June</v>
      </c>
      <c r="E776" s="9">
        <f>YEAR(Table5[[#This Row],[bill_date]])</f>
        <v>2022</v>
      </c>
      <c r="F776">
        <v>260</v>
      </c>
      <c r="G776" t="s">
        <v>28</v>
      </c>
    </row>
    <row r="777" spans="1:7" x14ac:dyDescent="0.3">
      <c r="A777">
        <v>30776</v>
      </c>
      <c r="B777">
        <v>327</v>
      </c>
      <c r="C777" s="2">
        <v>44778</v>
      </c>
      <c r="D777" s="2" t="str">
        <f>TEXT(Table5[[#This Row],[bill_date]],"mmmm")</f>
        <v>August</v>
      </c>
      <c r="E777" s="9">
        <f>YEAR(Table5[[#This Row],[bill_date]])</f>
        <v>2022</v>
      </c>
      <c r="F777">
        <v>1319</v>
      </c>
      <c r="G777" t="s">
        <v>30</v>
      </c>
    </row>
    <row r="778" spans="1:7" x14ac:dyDescent="0.3">
      <c r="A778">
        <v>30777</v>
      </c>
      <c r="B778">
        <v>86</v>
      </c>
      <c r="C778" s="2">
        <v>45050</v>
      </c>
      <c r="D778" s="2" t="str">
        <f>TEXT(Table5[[#This Row],[bill_date]],"mmmm")</f>
        <v>May</v>
      </c>
      <c r="E778" s="9">
        <f>YEAR(Table5[[#This Row],[bill_date]])</f>
        <v>2023</v>
      </c>
      <c r="F778">
        <v>1600</v>
      </c>
      <c r="G778" t="s">
        <v>30</v>
      </c>
    </row>
    <row r="779" spans="1:7" x14ac:dyDescent="0.3">
      <c r="A779">
        <v>30778</v>
      </c>
      <c r="B779">
        <v>44</v>
      </c>
      <c r="C779" s="2">
        <v>45319</v>
      </c>
      <c r="D779" s="2" t="str">
        <f>TEXT(Table5[[#This Row],[bill_date]],"mmmm")</f>
        <v>January</v>
      </c>
      <c r="E779" s="9">
        <f>YEAR(Table5[[#This Row],[bill_date]])</f>
        <v>2024</v>
      </c>
      <c r="F779">
        <v>1869</v>
      </c>
      <c r="G779" t="s">
        <v>30</v>
      </c>
    </row>
    <row r="780" spans="1:7" x14ac:dyDescent="0.3">
      <c r="A780">
        <v>30779</v>
      </c>
      <c r="B780">
        <v>294</v>
      </c>
      <c r="C780" s="2">
        <v>44833</v>
      </c>
      <c r="D780" s="2" t="str">
        <f>TEXT(Table5[[#This Row],[bill_date]],"mmmm")</f>
        <v>September</v>
      </c>
      <c r="E780" s="9">
        <f>YEAR(Table5[[#This Row],[bill_date]])</f>
        <v>2022</v>
      </c>
      <c r="F780">
        <v>1718</v>
      </c>
      <c r="G780" t="s">
        <v>30</v>
      </c>
    </row>
    <row r="781" spans="1:7" x14ac:dyDescent="0.3">
      <c r="A781">
        <v>30780</v>
      </c>
      <c r="B781">
        <v>373</v>
      </c>
      <c r="C781" s="2">
        <v>44961</v>
      </c>
      <c r="D781" s="2" t="str">
        <f>TEXT(Table5[[#This Row],[bill_date]],"mmmm")</f>
        <v>February</v>
      </c>
      <c r="E781" s="9">
        <f>YEAR(Table5[[#This Row],[bill_date]])</f>
        <v>2023</v>
      </c>
      <c r="F781">
        <v>1832</v>
      </c>
      <c r="G781" t="s">
        <v>28</v>
      </c>
    </row>
    <row r="782" spans="1:7" x14ac:dyDescent="0.3">
      <c r="A782">
        <v>30781</v>
      </c>
      <c r="B782">
        <v>149</v>
      </c>
      <c r="C782" s="2">
        <v>44911</v>
      </c>
      <c r="D782" s="2" t="str">
        <f>TEXT(Table5[[#This Row],[bill_date]],"mmmm")</f>
        <v>December</v>
      </c>
      <c r="E782" s="9">
        <f>YEAR(Table5[[#This Row],[bill_date]])</f>
        <v>2022</v>
      </c>
      <c r="F782">
        <v>650</v>
      </c>
      <c r="G782" t="s">
        <v>30</v>
      </c>
    </row>
    <row r="783" spans="1:7" x14ac:dyDescent="0.3">
      <c r="A783">
        <v>30782</v>
      </c>
      <c r="B783">
        <v>260</v>
      </c>
      <c r="C783" s="2">
        <v>44983</v>
      </c>
      <c r="D783" s="2" t="str">
        <f>TEXT(Table5[[#This Row],[bill_date]],"mmmm")</f>
        <v>February</v>
      </c>
      <c r="E783" s="9">
        <f>YEAR(Table5[[#This Row],[bill_date]])</f>
        <v>2023</v>
      </c>
      <c r="F783">
        <v>1437</v>
      </c>
      <c r="G783" t="s">
        <v>29</v>
      </c>
    </row>
    <row r="784" spans="1:7" x14ac:dyDescent="0.3">
      <c r="A784">
        <v>30783</v>
      </c>
      <c r="B784">
        <v>416</v>
      </c>
      <c r="C784" s="2">
        <v>44822</v>
      </c>
      <c r="D784" s="2" t="str">
        <f>TEXT(Table5[[#This Row],[bill_date]],"mmmm")</f>
        <v>September</v>
      </c>
      <c r="E784" s="9">
        <f>YEAR(Table5[[#This Row],[bill_date]])</f>
        <v>2022</v>
      </c>
      <c r="F784">
        <v>1306</v>
      </c>
      <c r="G784" t="s">
        <v>28</v>
      </c>
    </row>
    <row r="785" spans="1:7" x14ac:dyDescent="0.3">
      <c r="A785">
        <v>30784</v>
      </c>
      <c r="B785">
        <v>311</v>
      </c>
      <c r="C785" s="2">
        <v>45080</v>
      </c>
      <c r="D785" s="2" t="str">
        <f>TEXT(Table5[[#This Row],[bill_date]],"mmmm")</f>
        <v>June</v>
      </c>
      <c r="E785" s="9">
        <f>YEAR(Table5[[#This Row],[bill_date]])</f>
        <v>2023</v>
      </c>
      <c r="F785">
        <v>604</v>
      </c>
      <c r="G785" t="s">
        <v>30</v>
      </c>
    </row>
    <row r="786" spans="1:7" x14ac:dyDescent="0.3">
      <c r="A786">
        <v>30785</v>
      </c>
      <c r="B786">
        <v>349</v>
      </c>
      <c r="C786" s="2">
        <v>45278</v>
      </c>
      <c r="D786" s="2" t="str">
        <f>TEXT(Table5[[#This Row],[bill_date]],"mmmm")</f>
        <v>December</v>
      </c>
      <c r="E786" s="9">
        <f>YEAR(Table5[[#This Row],[bill_date]])</f>
        <v>2023</v>
      </c>
      <c r="F786">
        <v>1204</v>
      </c>
      <c r="G786" t="s">
        <v>30</v>
      </c>
    </row>
    <row r="787" spans="1:7" x14ac:dyDescent="0.3">
      <c r="A787">
        <v>30786</v>
      </c>
      <c r="B787">
        <v>444</v>
      </c>
      <c r="C787" s="2">
        <v>44825</v>
      </c>
      <c r="D787" s="2" t="str">
        <f>TEXT(Table5[[#This Row],[bill_date]],"mmmm")</f>
        <v>September</v>
      </c>
      <c r="E787" s="9">
        <f>YEAR(Table5[[#This Row],[bill_date]])</f>
        <v>2022</v>
      </c>
      <c r="F787">
        <v>1891</v>
      </c>
      <c r="G787" t="s">
        <v>30</v>
      </c>
    </row>
    <row r="788" spans="1:7" x14ac:dyDescent="0.3">
      <c r="A788">
        <v>30787</v>
      </c>
      <c r="B788">
        <v>59</v>
      </c>
      <c r="C788" s="2">
        <v>45362</v>
      </c>
      <c r="D788" s="2" t="str">
        <f>TEXT(Table5[[#This Row],[bill_date]],"mmmm")</f>
        <v>March</v>
      </c>
      <c r="E788" s="9">
        <f>YEAR(Table5[[#This Row],[bill_date]])</f>
        <v>2024</v>
      </c>
      <c r="F788">
        <v>1329</v>
      </c>
      <c r="G788" t="s">
        <v>30</v>
      </c>
    </row>
    <row r="789" spans="1:7" x14ac:dyDescent="0.3">
      <c r="A789">
        <v>30788</v>
      </c>
      <c r="B789">
        <v>94</v>
      </c>
      <c r="C789" s="2">
        <v>44879</v>
      </c>
      <c r="D789" s="2" t="str">
        <f>TEXT(Table5[[#This Row],[bill_date]],"mmmm")</f>
        <v>November</v>
      </c>
      <c r="E789" s="9">
        <f>YEAR(Table5[[#This Row],[bill_date]])</f>
        <v>2022</v>
      </c>
      <c r="F789">
        <v>1711</v>
      </c>
      <c r="G789" t="s">
        <v>30</v>
      </c>
    </row>
    <row r="790" spans="1:7" x14ac:dyDescent="0.3">
      <c r="A790">
        <v>30789</v>
      </c>
      <c r="B790">
        <v>323</v>
      </c>
      <c r="C790" s="2">
        <v>45275</v>
      </c>
      <c r="D790" s="2" t="str">
        <f>TEXT(Table5[[#This Row],[bill_date]],"mmmm")</f>
        <v>December</v>
      </c>
      <c r="E790" s="9">
        <f>YEAR(Table5[[#This Row],[bill_date]])</f>
        <v>2023</v>
      </c>
      <c r="F790">
        <v>555</v>
      </c>
      <c r="G790" t="s">
        <v>28</v>
      </c>
    </row>
    <row r="791" spans="1:7" x14ac:dyDescent="0.3">
      <c r="A791">
        <v>30790</v>
      </c>
      <c r="B791">
        <v>5</v>
      </c>
      <c r="C791" s="2">
        <v>44677</v>
      </c>
      <c r="D791" s="2" t="str">
        <f>TEXT(Table5[[#This Row],[bill_date]],"mmmm")</f>
        <v>April</v>
      </c>
      <c r="E791" s="9">
        <f>YEAR(Table5[[#This Row],[bill_date]])</f>
        <v>2022</v>
      </c>
      <c r="F791">
        <v>329</v>
      </c>
      <c r="G791" t="s">
        <v>30</v>
      </c>
    </row>
    <row r="792" spans="1:7" x14ac:dyDescent="0.3">
      <c r="A792">
        <v>30791</v>
      </c>
      <c r="B792">
        <v>83</v>
      </c>
      <c r="C792" s="2">
        <v>44773</v>
      </c>
      <c r="D792" s="2" t="str">
        <f>TEXT(Table5[[#This Row],[bill_date]],"mmmm")</f>
        <v>July</v>
      </c>
      <c r="E792" s="9">
        <f>YEAR(Table5[[#This Row],[bill_date]])</f>
        <v>2022</v>
      </c>
      <c r="F792">
        <v>1244</v>
      </c>
      <c r="G792" t="s">
        <v>30</v>
      </c>
    </row>
    <row r="793" spans="1:7" x14ac:dyDescent="0.3">
      <c r="A793">
        <v>30792</v>
      </c>
      <c r="B793">
        <v>328</v>
      </c>
      <c r="C793" s="2">
        <v>44721</v>
      </c>
      <c r="D793" s="2" t="str">
        <f>TEXT(Table5[[#This Row],[bill_date]],"mmmm")</f>
        <v>June</v>
      </c>
      <c r="E793" s="9">
        <f>YEAR(Table5[[#This Row],[bill_date]])</f>
        <v>2022</v>
      </c>
      <c r="F793">
        <v>794</v>
      </c>
      <c r="G793" t="s">
        <v>30</v>
      </c>
    </row>
    <row r="794" spans="1:7" x14ac:dyDescent="0.3">
      <c r="A794">
        <v>30793</v>
      </c>
      <c r="B794">
        <v>383</v>
      </c>
      <c r="C794" s="2">
        <v>45038</v>
      </c>
      <c r="D794" s="2" t="str">
        <f>TEXT(Table5[[#This Row],[bill_date]],"mmmm")</f>
        <v>April</v>
      </c>
      <c r="E794" s="9">
        <f>YEAR(Table5[[#This Row],[bill_date]])</f>
        <v>2023</v>
      </c>
      <c r="F794">
        <v>1823</v>
      </c>
      <c r="G794" t="s">
        <v>30</v>
      </c>
    </row>
    <row r="795" spans="1:7" x14ac:dyDescent="0.3">
      <c r="A795">
        <v>30794</v>
      </c>
      <c r="B795">
        <v>37</v>
      </c>
      <c r="C795" s="2">
        <v>45202</v>
      </c>
      <c r="D795" s="2" t="str">
        <f>TEXT(Table5[[#This Row],[bill_date]],"mmmm")</f>
        <v>October</v>
      </c>
      <c r="E795" s="9">
        <f>YEAR(Table5[[#This Row],[bill_date]])</f>
        <v>2023</v>
      </c>
      <c r="F795">
        <v>424</v>
      </c>
      <c r="G795" t="s">
        <v>30</v>
      </c>
    </row>
    <row r="796" spans="1:7" x14ac:dyDescent="0.3">
      <c r="A796">
        <v>30795</v>
      </c>
      <c r="B796">
        <v>479</v>
      </c>
      <c r="C796" s="2">
        <v>45420</v>
      </c>
      <c r="D796" s="2" t="str">
        <f>TEXT(Table5[[#This Row],[bill_date]],"mmmm")</f>
        <v>May</v>
      </c>
      <c r="E796" s="9">
        <f>YEAR(Table5[[#This Row],[bill_date]])</f>
        <v>2024</v>
      </c>
      <c r="F796">
        <v>1328</v>
      </c>
      <c r="G796" t="s">
        <v>30</v>
      </c>
    </row>
    <row r="797" spans="1:7" x14ac:dyDescent="0.3">
      <c r="A797">
        <v>30796</v>
      </c>
      <c r="B797">
        <v>27</v>
      </c>
      <c r="C797" s="2">
        <v>44709</v>
      </c>
      <c r="D797" s="2" t="str">
        <f>TEXT(Table5[[#This Row],[bill_date]],"mmmm")</f>
        <v>May</v>
      </c>
      <c r="E797" s="9">
        <f>YEAR(Table5[[#This Row],[bill_date]])</f>
        <v>2022</v>
      </c>
      <c r="F797">
        <v>1151</v>
      </c>
      <c r="G797" t="s">
        <v>30</v>
      </c>
    </row>
    <row r="798" spans="1:7" x14ac:dyDescent="0.3">
      <c r="A798">
        <v>30797</v>
      </c>
      <c r="B798">
        <v>13</v>
      </c>
      <c r="C798" s="2">
        <v>45384</v>
      </c>
      <c r="D798" s="2" t="str">
        <f>TEXT(Table5[[#This Row],[bill_date]],"mmmm")</f>
        <v>April</v>
      </c>
      <c r="E798" s="9">
        <f>YEAR(Table5[[#This Row],[bill_date]])</f>
        <v>2024</v>
      </c>
      <c r="F798">
        <v>592</v>
      </c>
      <c r="G798" t="s">
        <v>30</v>
      </c>
    </row>
    <row r="799" spans="1:7" x14ac:dyDescent="0.3">
      <c r="A799">
        <v>30798</v>
      </c>
      <c r="B799">
        <v>490</v>
      </c>
      <c r="C799" s="2">
        <v>45008</v>
      </c>
      <c r="D799" s="2" t="str">
        <f>TEXT(Table5[[#This Row],[bill_date]],"mmmm")</f>
        <v>March</v>
      </c>
      <c r="E799" s="9">
        <f>YEAR(Table5[[#This Row],[bill_date]])</f>
        <v>2023</v>
      </c>
      <c r="F799">
        <v>1069</v>
      </c>
      <c r="G799" t="s">
        <v>30</v>
      </c>
    </row>
    <row r="800" spans="1:7" x14ac:dyDescent="0.3">
      <c r="A800">
        <v>30799</v>
      </c>
      <c r="B800">
        <v>390</v>
      </c>
      <c r="C800" s="2">
        <v>44639</v>
      </c>
      <c r="D800" s="2" t="str">
        <f>TEXT(Table5[[#This Row],[bill_date]],"mmmm")</f>
        <v>March</v>
      </c>
      <c r="E800" s="9">
        <f>YEAR(Table5[[#This Row],[bill_date]])</f>
        <v>2022</v>
      </c>
      <c r="F800">
        <v>1323</v>
      </c>
      <c r="G800" t="s">
        <v>30</v>
      </c>
    </row>
    <row r="801" spans="1:7" x14ac:dyDescent="0.3">
      <c r="A801">
        <v>30800</v>
      </c>
      <c r="B801">
        <v>65</v>
      </c>
      <c r="C801" s="2">
        <v>44823</v>
      </c>
      <c r="D801" s="2" t="str">
        <f>TEXT(Table5[[#This Row],[bill_date]],"mmmm")</f>
        <v>September</v>
      </c>
      <c r="E801" s="9">
        <f>YEAR(Table5[[#This Row],[bill_date]])</f>
        <v>2022</v>
      </c>
      <c r="F801">
        <v>1370</v>
      </c>
      <c r="G801" t="s">
        <v>30</v>
      </c>
    </row>
    <row r="802" spans="1:7" x14ac:dyDescent="0.3">
      <c r="A802">
        <v>30801</v>
      </c>
      <c r="B802">
        <v>414</v>
      </c>
      <c r="C802" s="2">
        <v>44613</v>
      </c>
      <c r="D802" s="2" t="str">
        <f>TEXT(Table5[[#This Row],[bill_date]],"mmmm")</f>
        <v>February</v>
      </c>
      <c r="E802" s="9">
        <f>YEAR(Table5[[#This Row],[bill_date]])</f>
        <v>2022</v>
      </c>
      <c r="F802">
        <v>1452</v>
      </c>
      <c r="G802" t="s">
        <v>28</v>
      </c>
    </row>
    <row r="803" spans="1:7" x14ac:dyDescent="0.3">
      <c r="A803">
        <v>30802</v>
      </c>
      <c r="B803">
        <v>203</v>
      </c>
      <c r="C803" s="2">
        <v>44819</v>
      </c>
      <c r="D803" s="2" t="str">
        <f>TEXT(Table5[[#This Row],[bill_date]],"mmmm")</f>
        <v>September</v>
      </c>
      <c r="E803" s="9">
        <f>YEAR(Table5[[#This Row],[bill_date]])</f>
        <v>2022</v>
      </c>
      <c r="F803">
        <v>285</v>
      </c>
      <c r="G803" t="s">
        <v>30</v>
      </c>
    </row>
    <row r="804" spans="1:7" x14ac:dyDescent="0.3">
      <c r="A804">
        <v>30803</v>
      </c>
      <c r="B804">
        <v>180</v>
      </c>
      <c r="C804" s="2">
        <v>45294</v>
      </c>
      <c r="D804" s="2" t="str">
        <f>TEXT(Table5[[#This Row],[bill_date]],"mmmm")</f>
        <v>January</v>
      </c>
      <c r="E804" s="9">
        <f>YEAR(Table5[[#This Row],[bill_date]])</f>
        <v>2024</v>
      </c>
      <c r="F804">
        <v>721</v>
      </c>
      <c r="G804" t="s">
        <v>30</v>
      </c>
    </row>
    <row r="805" spans="1:7" x14ac:dyDescent="0.3">
      <c r="A805">
        <v>30804</v>
      </c>
      <c r="B805">
        <v>297</v>
      </c>
      <c r="C805" s="2">
        <v>45112</v>
      </c>
      <c r="D805" s="2" t="str">
        <f>TEXT(Table5[[#This Row],[bill_date]],"mmmm")</f>
        <v>July</v>
      </c>
      <c r="E805" s="9">
        <f>YEAR(Table5[[#This Row],[bill_date]])</f>
        <v>2023</v>
      </c>
      <c r="F805">
        <v>1870</v>
      </c>
      <c r="G805" t="s">
        <v>30</v>
      </c>
    </row>
    <row r="806" spans="1:7" x14ac:dyDescent="0.3">
      <c r="A806">
        <v>30805</v>
      </c>
      <c r="B806">
        <v>479</v>
      </c>
      <c r="C806" s="2">
        <v>44809</v>
      </c>
      <c r="D806" s="2" t="str">
        <f>TEXT(Table5[[#This Row],[bill_date]],"mmmm")</f>
        <v>September</v>
      </c>
      <c r="E806" s="9">
        <f>YEAR(Table5[[#This Row],[bill_date]])</f>
        <v>2022</v>
      </c>
      <c r="F806">
        <v>291</v>
      </c>
      <c r="G806" t="s">
        <v>30</v>
      </c>
    </row>
    <row r="807" spans="1:7" x14ac:dyDescent="0.3">
      <c r="A807">
        <v>30806</v>
      </c>
      <c r="B807">
        <v>464</v>
      </c>
      <c r="C807" s="2">
        <v>45450</v>
      </c>
      <c r="D807" s="2" t="str">
        <f>TEXT(Table5[[#This Row],[bill_date]],"mmmm")</f>
        <v>June</v>
      </c>
      <c r="E807" s="9">
        <f>YEAR(Table5[[#This Row],[bill_date]])</f>
        <v>2024</v>
      </c>
      <c r="F807">
        <v>1002</v>
      </c>
      <c r="G807" t="s">
        <v>30</v>
      </c>
    </row>
    <row r="808" spans="1:7" x14ac:dyDescent="0.3">
      <c r="A808">
        <v>30807</v>
      </c>
      <c r="B808">
        <v>271</v>
      </c>
      <c r="C808" s="2">
        <v>44849</v>
      </c>
      <c r="D808" s="2" t="str">
        <f>TEXT(Table5[[#This Row],[bill_date]],"mmmm")</f>
        <v>October</v>
      </c>
      <c r="E808" s="9">
        <f>YEAR(Table5[[#This Row],[bill_date]])</f>
        <v>2022</v>
      </c>
      <c r="F808">
        <v>351</v>
      </c>
      <c r="G808" t="s">
        <v>30</v>
      </c>
    </row>
    <row r="809" spans="1:7" x14ac:dyDescent="0.3">
      <c r="A809">
        <v>30808</v>
      </c>
      <c r="B809">
        <v>389</v>
      </c>
      <c r="C809" s="2">
        <v>44815</v>
      </c>
      <c r="D809" s="2" t="str">
        <f>TEXT(Table5[[#This Row],[bill_date]],"mmmm")</f>
        <v>September</v>
      </c>
      <c r="E809" s="9">
        <f>YEAR(Table5[[#This Row],[bill_date]])</f>
        <v>2022</v>
      </c>
      <c r="F809">
        <v>1645</v>
      </c>
      <c r="G809" t="s">
        <v>30</v>
      </c>
    </row>
    <row r="810" spans="1:7" x14ac:dyDescent="0.3">
      <c r="A810">
        <v>30809</v>
      </c>
      <c r="B810">
        <v>15</v>
      </c>
      <c r="C810" s="2">
        <v>45189</v>
      </c>
      <c r="D810" s="2" t="str">
        <f>TEXT(Table5[[#This Row],[bill_date]],"mmmm")</f>
        <v>September</v>
      </c>
      <c r="E810" s="9">
        <f>YEAR(Table5[[#This Row],[bill_date]])</f>
        <v>2023</v>
      </c>
      <c r="F810">
        <v>552</v>
      </c>
      <c r="G810" t="s">
        <v>30</v>
      </c>
    </row>
    <row r="811" spans="1:7" x14ac:dyDescent="0.3">
      <c r="A811">
        <v>30810</v>
      </c>
      <c r="B811">
        <v>1</v>
      </c>
      <c r="C811" s="2">
        <v>45270</v>
      </c>
      <c r="D811" s="2" t="str">
        <f>TEXT(Table5[[#This Row],[bill_date]],"mmmm")</f>
        <v>December</v>
      </c>
      <c r="E811" s="9">
        <f>YEAR(Table5[[#This Row],[bill_date]])</f>
        <v>2023</v>
      </c>
      <c r="F811">
        <v>1077</v>
      </c>
      <c r="G811" t="s">
        <v>29</v>
      </c>
    </row>
    <row r="812" spans="1:7" x14ac:dyDescent="0.3">
      <c r="A812">
        <v>30811</v>
      </c>
      <c r="B812">
        <v>271</v>
      </c>
      <c r="C812" s="2">
        <v>44775</v>
      </c>
      <c r="D812" s="2" t="str">
        <f>TEXT(Table5[[#This Row],[bill_date]],"mmmm")</f>
        <v>August</v>
      </c>
      <c r="E812" s="9">
        <f>YEAR(Table5[[#This Row],[bill_date]])</f>
        <v>2022</v>
      </c>
      <c r="F812">
        <v>806</v>
      </c>
      <c r="G812" t="s">
        <v>30</v>
      </c>
    </row>
    <row r="813" spans="1:7" x14ac:dyDescent="0.3">
      <c r="A813">
        <v>30812</v>
      </c>
      <c r="B813">
        <v>484</v>
      </c>
      <c r="C813" s="2">
        <v>44653</v>
      </c>
      <c r="D813" s="2" t="str">
        <f>TEXT(Table5[[#This Row],[bill_date]],"mmmm")</f>
        <v>April</v>
      </c>
      <c r="E813" s="9">
        <f>YEAR(Table5[[#This Row],[bill_date]])</f>
        <v>2022</v>
      </c>
      <c r="F813">
        <v>1796</v>
      </c>
      <c r="G813" t="s">
        <v>28</v>
      </c>
    </row>
    <row r="814" spans="1:7" x14ac:dyDescent="0.3">
      <c r="A814">
        <v>30813</v>
      </c>
      <c r="B814">
        <v>444</v>
      </c>
      <c r="C814" s="2">
        <v>45105</v>
      </c>
      <c r="D814" s="2" t="str">
        <f>TEXT(Table5[[#This Row],[bill_date]],"mmmm")</f>
        <v>June</v>
      </c>
      <c r="E814" s="9">
        <f>YEAR(Table5[[#This Row],[bill_date]])</f>
        <v>2023</v>
      </c>
      <c r="F814">
        <v>1181</v>
      </c>
      <c r="G814" t="s">
        <v>30</v>
      </c>
    </row>
    <row r="815" spans="1:7" x14ac:dyDescent="0.3">
      <c r="A815">
        <v>30814</v>
      </c>
      <c r="B815">
        <v>48</v>
      </c>
      <c r="C815" s="2">
        <v>45166</v>
      </c>
      <c r="D815" s="2" t="str">
        <f>TEXT(Table5[[#This Row],[bill_date]],"mmmm")</f>
        <v>August</v>
      </c>
      <c r="E815" s="9">
        <f>YEAR(Table5[[#This Row],[bill_date]])</f>
        <v>2023</v>
      </c>
      <c r="F815">
        <v>1115</v>
      </c>
      <c r="G815" t="s">
        <v>30</v>
      </c>
    </row>
    <row r="816" spans="1:7" x14ac:dyDescent="0.3">
      <c r="A816">
        <v>30815</v>
      </c>
      <c r="B816">
        <v>182</v>
      </c>
      <c r="C816" s="2">
        <v>44793</v>
      </c>
      <c r="D816" s="2" t="str">
        <f>TEXT(Table5[[#This Row],[bill_date]],"mmmm")</f>
        <v>August</v>
      </c>
      <c r="E816" s="9">
        <f>YEAR(Table5[[#This Row],[bill_date]])</f>
        <v>2022</v>
      </c>
      <c r="F816">
        <v>1113</v>
      </c>
      <c r="G816" t="s">
        <v>30</v>
      </c>
    </row>
    <row r="817" spans="1:7" x14ac:dyDescent="0.3">
      <c r="A817">
        <v>30816</v>
      </c>
      <c r="B817">
        <v>487</v>
      </c>
      <c r="C817" s="2">
        <v>45204</v>
      </c>
      <c r="D817" s="2" t="str">
        <f>TEXT(Table5[[#This Row],[bill_date]],"mmmm")</f>
        <v>October</v>
      </c>
      <c r="E817" s="9">
        <f>YEAR(Table5[[#This Row],[bill_date]])</f>
        <v>2023</v>
      </c>
      <c r="F817">
        <v>607</v>
      </c>
      <c r="G817" t="s">
        <v>30</v>
      </c>
    </row>
    <row r="818" spans="1:7" x14ac:dyDescent="0.3">
      <c r="A818">
        <v>30817</v>
      </c>
      <c r="B818">
        <v>183</v>
      </c>
      <c r="C818" s="2">
        <v>45391</v>
      </c>
      <c r="D818" s="2" t="str">
        <f>TEXT(Table5[[#This Row],[bill_date]],"mmmm")</f>
        <v>April</v>
      </c>
      <c r="E818" s="9">
        <f>YEAR(Table5[[#This Row],[bill_date]])</f>
        <v>2024</v>
      </c>
      <c r="F818">
        <v>1309</v>
      </c>
      <c r="G818" t="s">
        <v>30</v>
      </c>
    </row>
    <row r="819" spans="1:7" x14ac:dyDescent="0.3">
      <c r="A819">
        <v>30818</v>
      </c>
      <c r="B819">
        <v>328</v>
      </c>
      <c r="C819" s="2">
        <v>45296</v>
      </c>
      <c r="D819" s="2" t="str">
        <f>TEXT(Table5[[#This Row],[bill_date]],"mmmm")</f>
        <v>January</v>
      </c>
      <c r="E819" s="9">
        <f>YEAR(Table5[[#This Row],[bill_date]])</f>
        <v>2024</v>
      </c>
      <c r="F819">
        <v>409</v>
      </c>
      <c r="G819" t="s">
        <v>28</v>
      </c>
    </row>
    <row r="820" spans="1:7" x14ac:dyDescent="0.3">
      <c r="A820">
        <v>30819</v>
      </c>
      <c r="B820">
        <v>373</v>
      </c>
      <c r="C820" s="2">
        <v>44574</v>
      </c>
      <c r="D820" s="2" t="str">
        <f>TEXT(Table5[[#This Row],[bill_date]],"mmmm")</f>
        <v>January</v>
      </c>
      <c r="E820" s="9">
        <f>YEAR(Table5[[#This Row],[bill_date]])</f>
        <v>2022</v>
      </c>
      <c r="F820">
        <v>581</v>
      </c>
      <c r="G820" t="s">
        <v>30</v>
      </c>
    </row>
    <row r="821" spans="1:7" x14ac:dyDescent="0.3">
      <c r="A821">
        <v>30820</v>
      </c>
      <c r="B821">
        <v>214</v>
      </c>
      <c r="C821" s="2">
        <v>45399</v>
      </c>
      <c r="D821" s="2" t="str">
        <f>TEXT(Table5[[#This Row],[bill_date]],"mmmm")</f>
        <v>April</v>
      </c>
      <c r="E821" s="9">
        <f>YEAR(Table5[[#This Row],[bill_date]])</f>
        <v>2024</v>
      </c>
      <c r="F821">
        <v>1817</v>
      </c>
      <c r="G821" t="s">
        <v>30</v>
      </c>
    </row>
    <row r="822" spans="1:7" x14ac:dyDescent="0.3">
      <c r="A822">
        <v>30821</v>
      </c>
      <c r="B822">
        <v>27</v>
      </c>
      <c r="C822" s="2">
        <v>45094</v>
      </c>
      <c r="D822" s="2" t="str">
        <f>TEXT(Table5[[#This Row],[bill_date]],"mmmm")</f>
        <v>June</v>
      </c>
      <c r="E822" s="9">
        <f>YEAR(Table5[[#This Row],[bill_date]])</f>
        <v>2023</v>
      </c>
      <c r="F822">
        <v>1961</v>
      </c>
      <c r="G822" t="s">
        <v>30</v>
      </c>
    </row>
    <row r="823" spans="1:7" x14ac:dyDescent="0.3">
      <c r="A823">
        <v>30822</v>
      </c>
      <c r="B823">
        <v>226</v>
      </c>
      <c r="C823" s="2">
        <v>45006</v>
      </c>
      <c r="D823" s="2" t="str">
        <f>TEXT(Table5[[#This Row],[bill_date]],"mmmm")</f>
        <v>March</v>
      </c>
      <c r="E823" s="9">
        <f>YEAR(Table5[[#This Row],[bill_date]])</f>
        <v>2023</v>
      </c>
      <c r="F823">
        <v>1746</v>
      </c>
      <c r="G823" t="s">
        <v>30</v>
      </c>
    </row>
    <row r="824" spans="1:7" x14ac:dyDescent="0.3">
      <c r="A824">
        <v>30823</v>
      </c>
      <c r="B824">
        <v>158</v>
      </c>
      <c r="C824" s="2">
        <v>45064</v>
      </c>
      <c r="D824" s="2" t="str">
        <f>TEXT(Table5[[#This Row],[bill_date]],"mmmm")</f>
        <v>May</v>
      </c>
      <c r="E824" s="9">
        <f>YEAR(Table5[[#This Row],[bill_date]])</f>
        <v>2023</v>
      </c>
      <c r="F824">
        <v>1069</v>
      </c>
      <c r="G824" t="s">
        <v>28</v>
      </c>
    </row>
    <row r="825" spans="1:7" x14ac:dyDescent="0.3">
      <c r="A825">
        <v>30824</v>
      </c>
      <c r="B825">
        <v>460</v>
      </c>
      <c r="C825" s="2">
        <v>45087</v>
      </c>
      <c r="D825" s="2" t="str">
        <f>TEXT(Table5[[#This Row],[bill_date]],"mmmm")</f>
        <v>June</v>
      </c>
      <c r="E825" s="9">
        <f>YEAR(Table5[[#This Row],[bill_date]])</f>
        <v>2023</v>
      </c>
      <c r="F825">
        <v>1375</v>
      </c>
      <c r="G825" t="s">
        <v>30</v>
      </c>
    </row>
    <row r="826" spans="1:7" x14ac:dyDescent="0.3">
      <c r="A826">
        <v>30825</v>
      </c>
      <c r="B826">
        <v>60</v>
      </c>
      <c r="C826" s="2">
        <v>45418</v>
      </c>
      <c r="D826" s="2" t="str">
        <f>TEXT(Table5[[#This Row],[bill_date]],"mmmm")</f>
        <v>May</v>
      </c>
      <c r="E826" s="9">
        <f>YEAR(Table5[[#This Row],[bill_date]])</f>
        <v>2024</v>
      </c>
      <c r="F826">
        <v>1227</v>
      </c>
      <c r="G826" t="s">
        <v>30</v>
      </c>
    </row>
    <row r="827" spans="1:7" x14ac:dyDescent="0.3">
      <c r="A827">
        <v>30826</v>
      </c>
      <c r="B827">
        <v>66</v>
      </c>
      <c r="C827" s="2">
        <v>45400</v>
      </c>
      <c r="D827" s="2" t="str">
        <f>TEXT(Table5[[#This Row],[bill_date]],"mmmm")</f>
        <v>April</v>
      </c>
      <c r="E827" s="9">
        <f>YEAR(Table5[[#This Row],[bill_date]])</f>
        <v>2024</v>
      </c>
      <c r="F827">
        <v>1298</v>
      </c>
      <c r="G827" t="s">
        <v>28</v>
      </c>
    </row>
    <row r="828" spans="1:7" x14ac:dyDescent="0.3">
      <c r="A828">
        <v>30827</v>
      </c>
      <c r="B828">
        <v>174</v>
      </c>
      <c r="C828" s="2">
        <v>45180</v>
      </c>
      <c r="D828" s="2" t="str">
        <f>TEXT(Table5[[#This Row],[bill_date]],"mmmm")</f>
        <v>September</v>
      </c>
      <c r="E828" s="9">
        <f>YEAR(Table5[[#This Row],[bill_date]])</f>
        <v>2023</v>
      </c>
      <c r="F828">
        <v>609</v>
      </c>
      <c r="G828" t="s">
        <v>30</v>
      </c>
    </row>
    <row r="829" spans="1:7" x14ac:dyDescent="0.3">
      <c r="A829">
        <v>30828</v>
      </c>
      <c r="B829">
        <v>499</v>
      </c>
      <c r="C829" s="2">
        <v>44967</v>
      </c>
      <c r="D829" s="2" t="str">
        <f>TEXT(Table5[[#This Row],[bill_date]],"mmmm")</f>
        <v>February</v>
      </c>
      <c r="E829" s="9">
        <f>YEAR(Table5[[#This Row],[bill_date]])</f>
        <v>2023</v>
      </c>
      <c r="F829">
        <v>202</v>
      </c>
      <c r="G829" t="s">
        <v>30</v>
      </c>
    </row>
    <row r="830" spans="1:7" x14ac:dyDescent="0.3">
      <c r="A830">
        <v>30829</v>
      </c>
      <c r="B830">
        <v>52</v>
      </c>
      <c r="C830" s="2">
        <v>45201</v>
      </c>
      <c r="D830" s="2" t="str">
        <f>TEXT(Table5[[#This Row],[bill_date]],"mmmm")</f>
        <v>October</v>
      </c>
      <c r="E830" s="9">
        <f>YEAR(Table5[[#This Row],[bill_date]])</f>
        <v>2023</v>
      </c>
      <c r="F830">
        <v>1594</v>
      </c>
      <c r="G830" t="s">
        <v>30</v>
      </c>
    </row>
    <row r="831" spans="1:7" x14ac:dyDescent="0.3">
      <c r="A831">
        <v>30830</v>
      </c>
      <c r="B831">
        <v>486</v>
      </c>
      <c r="C831" s="2">
        <v>45105</v>
      </c>
      <c r="D831" s="2" t="str">
        <f>TEXT(Table5[[#This Row],[bill_date]],"mmmm")</f>
        <v>June</v>
      </c>
      <c r="E831" s="9">
        <f>YEAR(Table5[[#This Row],[bill_date]])</f>
        <v>2023</v>
      </c>
      <c r="F831">
        <v>1305</v>
      </c>
      <c r="G831" t="s">
        <v>30</v>
      </c>
    </row>
    <row r="832" spans="1:7" x14ac:dyDescent="0.3">
      <c r="A832">
        <v>30831</v>
      </c>
      <c r="B832">
        <v>470</v>
      </c>
      <c r="C832" s="2">
        <v>45242</v>
      </c>
      <c r="D832" s="2" t="str">
        <f>TEXT(Table5[[#This Row],[bill_date]],"mmmm")</f>
        <v>November</v>
      </c>
      <c r="E832" s="9">
        <f>YEAR(Table5[[#This Row],[bill_date]])</f>
        <v>2023</v>
      </c>
      <c r="F832">
        <v>1139</v>
      </c>
      <c r="G832" t="s">
        <v>30</v>
      </c>
    </row>
    <row r="833" spans="1:7" x14ac:dyDescent="0.3">
      <c r="A833">
        <v>30832</v>
      </c>
      <c r="B833">
        <v>243</v>
      </c>
      <c r="C833" s="2">
        <v>44849</v>
      </c>
      <c r="D833" s="2" t="str">
        <f>TEXT(Table5[[#This Row],[bill_date]],"mmmm")</f>
        <v>October</v>
      </c>
      <c r="E833" s="9">
        <f>YEAR(Table5[[#This Row],[bill_date]])</f>
        <v>2022</v>
      </c>
      <c r="F833">
        <v>629</v>
      </c>
      <c r="G833" t="s">
        <v>30</v>
      </c>
    </row>
    <row r="834" spans="1:7" x14ac:dyDescent="0.3">
      <c r="A834">
        <v>30833</v>
      </c>
      <c r="B834">
        <v>337</v>
      </c>
      <c r="C834" s="2">
        <v>44987</v>
      </c>
      <c r="D834" s="2" t="str">
        <f>TEXT(Table5[[#This Row],[bill_date]],"mmmm")</f>
        <v>March</v>
      </c>
      <c r="E834" s="9">
        <f>YEAR(Table5[[#This Row],[bill_date]])</f>
        <v>2023</v>
      </c>
      <c r="F834">
        <v>1694</v>
      </c>
      <c r="G834" t="s">
        <v>30</v>
      </c>
    </row>
    <row r="835" spans="1:7" x14ac:dyDescent="0.3">
      <c r="A835">
        <v>30834</v>
      </c>
      <c r="B835">
        <v>291</v>
      </c>
      <c r="C835" s="2">
        <v>44997</v>
      </c>
      <c r="D835" s="2" t="str">
        <f>TEXT(Table5[[#This Row],[bill_date]],"mmmm")</f>
        <v>March</v>
      </c>
      <c r="E835" s="9">
        <f>YEAR(Table5[[#This Row],[bill_date]])</f>
        <v>2023</v>
      </c>
      <c r="F835">
        <v>1584</v>
      </c>
      <c r="G835" t="s">
        <v>30</v>
      </c>
    </row>
    <row r="836" spans="1:7" x14ac:dyDescent="0.3">
      <c r="A836">
        <v>30835</v>
      </c>
      <c r="B836">
        <v>244</v>
      </c>
      <c r="C836" s="2">
        <v>44642</v>
      </c>
      <c r="D836" s="2" t="str">
        <f>TEXT(Table5[[#This Row],[bill_date]],"mmmm")</f>
        <v>March</v>
      </c>
      <c r="E836" s="9">
        <f>YEAR(Table5[[#This Row],[bill_date]])</f>
        <v>2022</v>
      </c>
      <c r="F836">
        <v>610</v>
      </c>
      <c r="G836" t="s">
        <v>28</v>
      </c>
    </row>
    <row r="837" spans="1:7" x14ac:dyDescent="0.3">
      <c r="A837">
        <v>30836</v>
      </c>
      <c r="B837">
        <v>121</v>
      </c>
      <c r="C837" s="2">
        <v>45049</v>
      </c>
      <c r="D837" s="2" t="str">
        <f>TEXT(Table5[[#This Row],[bill_date]],"mmmm")</f>
        <v>May</v>
      </c>
      <c r="E837" s="9">
        <f>YEAR(Table5[[#This Row],[bill_date]])</f>
        <v>2023</v>
      </c>
      <c r="F837">
        <v>233</v>
      </c>
      <c r="G837" t="s">
        <v>30</v>
      </c>
    </row>
    <row r="838" spans="1:7" x14ac:dyDescent="0.3">
      <c r="A838">
        <v>30837</v>
      </c>
      <c r="B838">
        <v>42</v>
      </c>
      <c r="C838" s="2">
        <v>44743</v>
      </c>
      <c r="D838" s="2" t="str">
        <f>TEXT(Table5[[#This Row],[bill_date]],"mmmm")</f>
        <v>July</v>
      </c>
      <c r="E838" s="9">
        <f>YEAR(Table5[[#This Row],[bill_date]])</f>
        <v>2022</v>
      </c>
      <c r="F838">
        <v>1464</v>
      </c>
      <c r="G838" t="s">
        <v>29</v>
      </c>
    </row>
    <row r="839" spans="1:7" x14ac:dyDescent="0.3">
      <c r="A839">
        <v>30838</v>
      </c>
      <c r="B839">
        <v>184</v>
      </c>
      <c r="C839" s="2">
        <v>44919</v>
      </c>
      <c r="D839" s="2" t="str">
        <f>TEXT(Table5[[#This Row],[bill_date]],"mmmm")</f>
        <v>December</v>
      </c>
      <c r="E839" s="9">
        <f>YEAR(Table5[[#This Row],[bill_date]])</f>
        <v>2022</v>
      </c>
      <c r="F839">
        <v>1878</v>
      </c>
      <c r="G839" t="s">
        <v>30</v>
      </c>
    </row>
    <row r="840" spans="1:7" x14ac:dyDescent="0.3">
      <c r="A840">
        <v>30839</v>
      </c>
      <c r="B840">
        <v>45</v>
      </c>
      <c r="C840" s="2">
        <v>45263</v>
      </c>
      <c r="D840" s="2" t="str">
        <f>TEXT(Table5[[#This Row],[bill_date]],"mmmm")</f>
        <v>December</v>
      </c>
      <c r="E840" s="9">
        <f>YEAR(Table5[[#This Row],[bill_date]])</f>
        <v>2023</v>
      </c>
      <c r="F840">
        <v>1106</v>
      </c>
      <c r="G840" t="s">
        <v>28</v>
      </c>
    </row>
    <row r="841" spans="1:7" x14ac:dyDescent="0.3">
      <c r="A841">
        <v>30840</v>
      </c>
      <c r="B841">
        <v>52</v>
      </c>
      <c r="C841" s="2">
        <v>44816</v>
      </c>
      <c r="D841" s="2" t="str">
        <f>TEXT(Table5[[#This Row],[bill_date]],"mmmm")</f>
        <v>September</v>
      </c>
      <c r="E841" s="9">
        <f>YEAR(Table5[[#This Row],[bill_date]])</f>
        <v>2022</v>
      </c>
      <c r="F841">
        <v>278</v>
      </c>
      <c r="G841" t="s">
        <v>30</v>
      </c>
    </row>
    <row r="842" spans="1:7" x14ac:dyDescent="0.3">
      <c r="A842">
        <v>30841</v>
      </c>
      <c r="B842">
        <v>151</v>
      </c>
      <c r="C842" s="2">
        <v>45414</v>
      </c>
      <c r="D842" s="2" t="str">
        <f>TEXT(Table5[[#This Row],[bill_date]],"mmmm")</f>
        <v>May</v>
      </c>
      <c r="E842" s="9">
        <f>YEAR(Table5[[#This Row],[bill_date]])</f>
        <v>2024</v>
      </c>
      <c r="F842">
        <v>273</v>
      </c>
      <c r="G842" t="s">
        <v>30</v>
      </c>
    </row>
    <row r="843" spans="1:7" x14ac:dyDescent="0.3">
      <c r="A843">
        <v>30842</v>
      </c>
      <c r="B843">
        <v>413</v>
      </c>
      <c r="C843" s="2">
        <v>45372</v>
      </c>
      <c r="D843" s="2" t="str">
        <f>TEXT(Table5[[#This Row],[bill_date]],"mmmm")</f>
        <v>March</v>
      </c>
      <c r="E843" s="9">
        <f>YEAR(Table5[[#This Row],[bill_date]])</f>
        <v>2024</v>
      </c>
      <c r="F843">
        <v>1009</v>
      </c>
      <c r="G843" t="s">
        <v>30</v>
      </c>
    </row>
    <row r="844" spans="1:7" x14ac:dyDescent="0.3">
      <c r="A844">
        <v>30843</v>
      </c>
      <c r="B844">
        <v>29</v>
      </c>
      <c r="C844" s="2">
        <v>45460</v>
      </c>
      <c r="D844" s="2" t="str">
        <f>TEXT(Table5[[#This Row],[bill_date]],"mmmm")</f>
        <v>June</v>
      </c>
      <c r="E844" s="9">
        <f>YEAR(Table5[[#This Row],[bill_date]])</f>
        <v>2024</v>
      </c>
      <c r="F844">
        <v>482</v>
      </c>
      <c r="G844" t="s">
        <v>30</v>
      </c>
    </row>
    <row r="845" spans="1:7" x14ac:dyDescent="0.3">
      <c r="A845">
        <v>30844</v>
      </c>
      <c r="B845">
        <v>57</v>
      </c>
      <c r="C845" s="2">
        <v>44727</v>
      </c>
      <c r="D845" s="2" t="str">
        <f>TEXT(Table5[[#This Row],[bill_date]],"mmmm")</f>
        <v>June</v>
      </c>
      <c r="E845" s="9">
        <f>YEAR(Table5[[#This Row],[bill_date]])</f>
        <v>2022</v>
      </c>
      <c r="F845">
        <v>925</v>
      </c>
      <c r="G845" t="s">
        <v>30</v>
      </c>
    </row>
    <row r="846" spans="1:7" x14ac:dyDescent="0.3">
      <c r="A846">
        <v>30845</v>
      </c>
      <c r="B846">
        <v>498</v>
      </c>
      <c r="C846" s="2">
        <v>45026</v>
      </c>
      <c r="D846" s="2" t="str">
        <f>TEXT(Table5[[#This Row],[bill_date]],"mmmm")</f>
        <v>April</v>
      </c>
      <c r="E846" s="9">
        <f>YEAR(Table5[[#This Row],[bill_date]])</f>
        <v>2023</v>
      </c>
      <c r="F846">
        <v>1980</v>
      </c>
      <c r="G846" t="s">
        <v>30</v>
      </c>
    </row>
    <row r="847" spans="1:7" x14ac:dyDescent="0.3">
      <c r="A847">
        <v>30846</v>
      </c>
      <c r="B847">
        <v>275</v>
      </c>
      <c r="C847" s="2">
        <v>44817</v>
      </c>
      <c r="D847" s="2" t="str">
        <f>TEXT(Table5[[#This Row],[bill_date]],"mmmm")</f>
        <v>September</v>
      </c>
      <c r="E847" s="9">
        <f>YEAR(Table5[[#This Row],[bill_date]])</f>
        <v>2022</v>
      </c>
      <c r="F847">
        <v>1460</v>
      </c>
      <c r="G847" t="s">
        <v>30</v>
      </c>
    </row>
    <row r="848" spans="1:7" x14ac:dyDescent="0.3">
      <c r="A848">
        <v>30847</v>
      </c>
      <c r="B848">
        <v>209</v>
      </c>
      <c r="C848" s="2">
        <v>44984</v>
      </c>
      <c r="D848" s="2" t="str">
        <f>TEXT(Table5[[#This Row],[bill_date]],"mmmm")</f>
        <v>February</v>
      </c>
      <c r="E848" s="9">
        <f>YEAR(Table5[[#This Row],[bill_date]])</f>
        <v>2023</v>
      </c>
      <c r="F848">
        <v>535</v>
      </c>
      <c r="G848" t="s">
        <v>30</v>
      </c>
    </row>
    <row r="849" spans="1:7" x14ac:dyDescent="0.3">
      <c r="A849">
        <v>30848</v>
      </c>
      <c r="B849">
        <v>8</v>
      </c>
      <c r="C849" s="2">
        <v>44759</v>
      </c>
      <c r="D849" s="2" t="str">
        <f>TEXT(Table5[[#This Row],[bill_date]],"mmmm")</f>
        <v>July</v>
      </c>
      <c r="E849" s="9">
        <f>YEAR(Table5[[#This Row],[bill_date]])</f>
        <v>2022</v>
      </c>
      <c r="F849">
        <v>1753</v>
      </c>
      <c r="G849" t="s">
        <v>30</v>
      </c>
    </row>
    <row r="850" spans="1:7" x14ac:dyDescent="0.3">
      <c r="A850">
        <v>30849</v>
      </c>
      <c r="B850">
        <v>434</v>
      </c>
      <c r="C850" s="2">
        <v>44774</v>
      </c>
      <c r="D850" s="2" t="str">
        <f>TEXT(Table5[[#This Row],[bill_date]],"mmmm")</f>
        <v>August</v>
      </c>
      <c r="E850" s="9">
        <f>YEAR(Table5[[#This Row],[bill_date]])</f>
        <v>2022</v>
      </c>
      <c r="F850">
        <v>784</v>
      </c>
      <c r="G850" t="s">
        <v>30</v>
      </c>
    </row>
    <row r="851" spans="1:7" x14ac:dyDescent="0.3">
      <c r="A851">
        <v>30850</v>
      </c>
      <c r="B851">
        <v>391</v>
      </c>
      <c r="C851" s="2">
        <v>45118</v>
      </c>
      <c r="D851" s="2" t="str">
        <f>TEXT(Table5[[#This Row],[bill_date]],"mmmm")</f>
        <v>July</v>
      </c>
      <c r="E851" s="9">
        <f>YEAR(Table5[[#This Row],[bill_date]])</f>
        <v>2023</v>
      </c>
      <c r="F851">
        <v>765</v>
      </c>
      <c r="G851" t="s">
        <v>30</v>
      </c>
    </row>
    <row r="852" spans="1:7" x14ac:dyDescent="0.3">
      <c r="A852">
        <v>30851</v>
      </c>
      <c r="B852">
        <v>247</v>
      </c>
      <c r="C852" s="2">
        <v>45375</v>
      </c>
      <c r="D852" s="2" t="str">
        <f>TEXT(Table5[[#This Row],[bill_date]],"mmmm")</f>
        <v>March</v>
      </c>
      <c r="E852" s="9">
        <f>YEAR(Table5[[#This Row],[bill_date]])</f>
        <v>2024</v>
      </c>
      <c r="F852">
        <v>281</v>
      </c>
      <c r="G852" t="s">
        <v>30</v>
      </c>
    </row>
    <row r="853" spans="1:7" x14ac:dyDescent="0.3">
      <c r="A853">
        <v>30852</v>
      </c>
      <c r="B853">
        <v>395</v>
      </c>
      <c r="C853" s="2">
        <v>45444</v>
      </c>
      <c r="D853" s="2" t="str">
        <f>TEXT(Table5[[#This Row],[bill_date]],"mmmm")</f>
        <v>June</v>
      </c>
      <c r="E853" s="9">
        <f>YEAR(Table5[[#This Row],[bill_date]])</f>
        <v>2024</v>
      </c>
      <c r="F853">
        <v>1898</v>
      </c>
      <c r="G853" t="s">
        <v>28</v>
      </c>
    </row>
    <row r="854" spans="1:7" x14ac:dyDescent="0.3">
      <c r="A854">
        <v>30853</v>
      </c>
      <c r="B854">
        <v>195</v>
      </c>
      <c r="C854" s="2">
        <v>45433</v>
      </c>
      <c r="D854" s="2" t="str">
        <f>TEXT(Table5[[#This Row],[bill_date]],"mmmm")</f>
        <v>May</v>
      </c>
      <c r="E854" s="9">
        <f>YEAR(Table5[[#This Row],[bill_date]])</f>
        <v>2024</v>
      </c>
      <c r="F854">
        <v>516</v>
      </c>
      <c r="G854" t="s">
        <v>30</v>
      </c>
    </row>
    <row r="855" spans="1:7" x14ac:dyDescent="0.3">
      <c r="A855">
        <v>30854</v>
      </c>
      <c r="B855">
        <v>322</v>
      </c>
      <c r="C855" s="2">
        <v>45086</v>
      </c>
      <c r="D855" s="2" t="str">
        <f>TEXT(Table5[[#This Row],[bill_date]],"mmmm")</f>
        <v>June</v>
      </c>
      <c r="E855" s="9">
        <f>YEAR(Table5[[#This Row],[bill_date]])</f>
        <v>2023</v>
      </c>
      <c r="F855">
        <v>1073</v>
      </c>
      <c r="G855" t="s">
        <v>30</v>
      </c>
    </row>
    <row r="856" spans="1:7" x14ac:dyDescent="0.3">
      <c r="A856">
        <v>30855</v>
      </c>
      <c r="B856">
        <v>339</v>
      </c>
      <c r="C856" s="2">
        <v>44613</v>
      </c>
      <c r="D856" s="2" t="str">
        <f>TEXT(Table5[[#This Row],[bill_date]],"mmmm")</f>
        <v>February</v>
      </c>
      <c r="E856" s="9">
        <f>YEAR(Table5[[#This Row],[bill_date]])</f>
        <v>2022</v>
      </c>
      <c r="F856">
        <v>877</v>
      </c>
      <c r="G856" t="s">
        <v>30</v>
      </c>
    </row>
    <row r="857" spans="1:7" x14ac:dyDescent="0.3">
      <c r="A857">
        <v>30856</v>
      </c>
      <c r="B857">
        <v>412</v>
      </c>
      <c r="C857" s="2">
        <v>44826</v>
      </c>
      <c r="D857" s="2" t="str">
        <f>TEXT(Table5[[#This Row],[bill_date]],"mmmm")</f>
        <v>September</v>
      </c>
      <c r="E857" s="9">
        <f>YEAR(Table5[[#This Row],[bill_date]])</f>
        <v>2022</v>
      </c>
      <c r="F857">
        <v>1850</v>
      </c>
      <c r="G857" t="s">
        <v>30</v>
      </c>
    </row>
    <row r="858" spans="1:7" x14ac:dyDescent="0.3">
      <c r="A858">
        <v>30857</v>
      </c>
      <c r="B858">
        <v>440</v>
      </c>
      <c r="C858" s="2">
        <v>44886</v>
      </c>
      <c r="D858" s="2" t="str">
        <f>TEXT(Table5[[#This Row],[bill_date]],"mmmm")</f>
        <v>November</v>
      </c>
      <c r="E858" s="9">
        <f>YEAR(Table5[[#This Row],[bill_date]])</f>
        <v>2022</v>
      </c>
      <c r="F858">
        <v>1519</v>
      </c>
      <c r="G858" t="s">
        <v>28</v>
      </c>
    </row>
    <row r="859" spans="1:7" x14ac:dyDescent="0.3">
      <c r="A859">
        <v>30858</v>
      </c>
      <c r="B859">
        <v>28</v>
      </c>
      <c r="C859" s="2">
        <v>45116</v>
      </c>
      <c r="D859" s="2" t="str">
        <f>TEXT(Table5[[#This Row],[bill_date]],"mmmm")</f>
        <v>July</v>
      </c>
      <c r="E859" s="9">
        <f>YEAR(Table5[[#This Row],[bill_date]])</f>
        <v>2023</v>
      </c>
      <c r="F859">
        <v>898</v>
      </c>
      <c r="G859" t="s">
        <v>30</v>
      </c>
    </row>
    <row r="860" spans="1:7" x14ac:dyDescent="0.3">
      <c r="A860">
        <v>30859</v>
      </c>
      <c r="B860">
        <v>345</v>
      </c>
      <c r="C860" s="2">
        <v>44568</v>
      </c>
      <c r="D860" s="2" t="str">
        <f>TEXT(Table5[[#This Row],[bill_date]],"mmmm")</f>
        <v>January</v>
      </c>
      <c r="E860" s="9">
        <f>YEAR(Table5[[#This Row],[bill_date]])</f>
        <v>2022</v>
      </c>
      <c r="F860">
        <v>1989</v>
      </c>
      <c r="G860" t="s">
        <v>28</v>
      </c>
    </row>
    <row r="861" spans="1:7" x14ac:dyDescent="0.3">
      <c r="A861">
        <v>30860</v>
      </c>
      <c r="B861">
        <v>331</v>
      </c>
      <c r="C861" s="2">
        <v>45303</v>
      </c>
      <c r="D861" s="2" t="str">
        <f>TEXT(Table5[[#This Row],[bill_date]],"mmmm")</f>
        <v>January</v>
      </c>
      <c r="E861" s="9">
        <f>YEAR(Table5[[#This Row],[bill_date]])</f>
        <v>2024</v>
      </c>
      <c r="F861">
        <v>1564</v>
      </c>
      <c r="G861" t="s">
        <v>30</v>
      </c>
    </row>
    <row r="862" spans="1:7" x14ac:dyDescent="0.3">
      <c r="A862">
        <v>30861</v>
      </c>
      <c r="B862">
        <v>296</v>
      </c>
      <c r="C862" s="2">
        <v>44605</v>
      </c>
      <c r="D862" s="2" t="str">
        <f>TEXT(Table5[[#This Row],[bill_date]],"mmmm")</f>
        <v>February</v>
      </c>
      <c r="E862" s="9">
        <f>YEAR(Table5[[#This Row],[bill_date]])</f>
        <v>2022</v>
      </c>
      <c r="F862">
        <v>1032</v>
      </c>
      <c r="G862" t="s">
        <v>30</v>
      </c>
    </row>
    <row r="863" spans="1:7" x14ac:dyDescent="0.3">
      <c r="A863">
        <v>30862</v>
      </c>
      <c r="B863">
        <v>235</v>
      </c>
      <c r="C863" s="2">
        <v>44733</v>
      </c>
      <c r="D863" s="2" t="str">
        <f>TEXT(Table5[[#This Row],[bill_date]],"mmmm")</f>
        <v>June</v>
      </c>
      <c r="E863" s="9">
        <f>YEAR(Table5[[#This Row],[bill_date]])</f>
        <v>2022</v>
      </c>
      <c r="F863">
        <v>1153</v>
      </c>
      <c r="G863" t="s">
        <v>30</v>
      </c>
    </row>
    <row r="864" spans="1:7" x14ac:dyDescent="0.3">
      <c r="A864">
        <v>30863</v>
      </c>
      <c r="B864">
        <v>130</v>
      </c>
      <c r="C864" s="2">
        <v>44663</v>
      </c>
      <c r="D864" s="2" t="str">
        <f>TEXT(Table5[[#This Row],[bill_date]],"mmmm")</f>
        <v>April</v>
      </c>
      <c r="E864" s="9">
        <f>YEAR(Table5[[#This Row],[bill_date]])</f>
        <v>2022</v>
      </c>
      <c r="F864">
        <v>1646</v>
      </c>
      <c r="G864" t="s">
        <v>30</v>
      </c>
    </row>
    <row r="865" spans="1:7" x14ac:dyDescent="0.3">
      <c r="A865">
        <v>30864</v>
      </c>
      <c r="B865">
        <v>76</v>
      </c>
      <c r="C865" s="2">
        <v>45296</v>
      </c>
      <c r="D865" s="2" t="str">
        <f>TEXT(Table5[[#This Row],[bill_date]],"mmmm")</f>
        <v>January</v>
      </c>
      <c r="E865" s="9">
        <f>YEAR(Table5[[#This Row],[bill_date]])</f>
        <v>2024</v>
      </c>
      <c r="F865">
        <v>1185</v>
      </c>
      <c r="G865" t="s">
        <v>30</v>
      </c>
    </row>
    <row r="866" spans="1:7" x14ac:dyDescent="0.3">
      <c r="A866">
        <v>30865</v>
      </c>
      <c r="B866">
        <v>445</v>
      </c>
      <c r="C866" s="2">
        <v>45141</v>
      </c>
      <c r="D866" s="2" t="str">
        <f>TEXT(Table5[[#This Row],[bill_date]],"mmmm")</f>
        <v>August</v>
      </c>
      <c r="E866" s="9">
        <f>YEAR(Table5[[#This Row],[bill_date]])</f>
        <v>2023</v>
      </c>
      <c r="F866">
        <v>217</v>
      </c>
      <c r="G866" t="s">
        <v>30</v>
      </c>
    </row>
    <row r="867" spans="1:7" x14ac:dyDescent="0.3">
      <c r="A867">
        <v>30866</v>
      </c>
      <c r="B867">
        <v>233</v>
      </c>
      <c r="C867" s="2">
        <v>45195</v>
      </c>
      <c r="D867" s="2" t="str">
        <f>TEXT(Table5[[#This Row],[bill_date]],"mmmm")</f>
        <v>September</v>
      </c>
      <c r="E867" s="9">
        <f>YEAR(Table5[[#This Row],[bill_date]])</f>
        <v>2023</v>
      </c>
      <c r="F867">
        <v>1012</v>
      </c>
      <c r="G867" t="s">
        <v>30</v>
      </c>
    </row>
    <row r="868" spans="1:7" x14ac:dyDescent="0.3">
      <c r="A868">
        <v>30867</v>
      </c>
      <c r="B868">
        <v>230</v>
      </c>
      <c r="C868" s="2">
        <v>45150</v>
      </c>
      <c r="D868" s="2" t="str">
        <f>TEXT(Table5[[#This Row],[bill_date]],"mmmm")</f>
        <v>August</v>
      </c>
      <c r="E868" s="9">
        <f>YEAR(Table5[[#This Row],[bill_date]])</f>
        <v>2023</v>
      </c>
      <c r="F868">
        <v>202</v>
      </c>
      <c r="G868" t="s">
        <v>30</v>
      </c>
    </row>
    <row r="869" spans="1:7" x14ac:dyDescent="0.3">
      <c r="A869">
        <v>30868</v>
      </c>
      <c r="B869">
        <v>332</v>
      </c>
      <c r="C869" s="2">
        <v>45373</v>
      </c>
      <c r="D869" s="2" t="str">
        <f>TEXT(Table5[[#This Row],[bill_date]],"mmmm")</f>
        <v>March</v>
      </c>
      <c r="E869" s="9">
        <f>YEAR(Table5[[#This Row],[bill_date]])</f>
        <v>2024</v>
      </c>
      <c r="F869">
        <v>665</v>
      </c>
      <c r="G869" t="s">
        <v>30</v>
      </c>
    </row>
    <row r="870" spans="1:7" x14ac:dyDescent="0.3">
      <c r="A870">
        <v>30869</v>
      </c>
      <c r="B870">
        <v>370</v>
      </c>
      <c r="C870" s="2">
        <v>44857</v>
      </c>
      <c r="D870" s="2" t="str">
        <f>TEXT(Table5[[#This Row],[bill_date]],"mmmm")</f>
        <v>October</v>
      </c>
      <c r="E870" s="9">
        <f>YEAR(Table5[[#This Row],[bill_date]])</f>
        <v>2022</v>
      </c>
      <c r="F870">
        <v>388</v>
      </c>
      <c r="G870" t="s">
        <v>30</v>
      </c>
    </row>
    <row r="871" spans="1:7" x14ac:dyDescent="0.3">
      <c r="A871">
        <v>30870</v>
      </c>
      <c r="B871">
        <v>409</v>
      </c>
      <c r="C871" s="2">
        <v>44766</v>
      </c>
      <c r="D871" s="2" t="str">
        <f>TEXT(Table5[[#This Row],[bill_date]],"mmmm")</f>
        <v>July</v>
      </c>
      <c r="E871" s="9">
        <f>YEAR(Table5[[#This Row],[bill_date]])</f>
        <v>2022</v>
      </c>
      <c r="F871">
        <v>1503</v>
      </c>
      <c r="G871" t="s">
        <v>28</v>
      </c>
    </row>
    <row r="872" spans="1:7" x14ac:dyDescent="0.3">
      <c r="A872">
        <v>30871</v>
      </c>
      <c r="B872">
        <v>485</v>
      </c>
      <c r="C872" s="2">
        <v>45052</v>
      </c>
      <c r="D872" s="2" t="str">
        <f>TEXT(Table5[[#This Row],[bill_date]],"mmmm")</f>
        <v>May</v>
      </c>
      <c r="E872" s="9">
        <f>YEAR(Table5[[#This Row],[bill_date]])</f>
        <v>2023</v>
      </c>
      <c r="F872">
        <v>261</v>
      </c>
      <c r="G872" t="s">
        <v>30</v>
      </c>
    </row>
    <row r="873" spans="1:7" x14ac:dyDescent="0.3">
      <c r="A873">
        <v>30872</v>
      </c>
      <c r="B873">
        <v>351</v>
      </c>
      <c r="C873" s="2">
        <v>44879</v>
      </c>
      <c r="D873" s="2" t="str">
        <f>TEXT(Table5[[#This Row],[bill_date]],"mmmm")</f>
        <v>November</v>
      </c>
      <c r="E873" s="9">
        <f>YEAR(Table5[[#This Row],[bill_date]])</f>
        <v>2022</v>
      </c>
      <c r="F873">
        <v>1212</v>
      </c>
      <c r="G873" t="s">
        <v>28</v>
      </c>
    </row>
    <row r="874" spans="1:7" x14ac:dyDescent="0.3">
      <c r="A874">
        <v>30873</v>
      </c>
      <c r="B874">
        <v>310</v>
      </c>
      <c r="C874" s="2">
        <v>44732</v>
      </c>
      <c r="D874" s="2" t="str">
        <f>TEXT(Table5[[#This Row],[bill_date]],"mmmm")</f>
        <v>June</v>
      </c>
      <c r="E874" s="9">
        <f>YEAR(Table5[[#This Row],[bill_date]])</f>
        <v>2022</v>
      </c>
      <c r="F874">
        <v>1476</v>
      </c>
      <c r="G874" t="s">
        <v>30</v>
      </c>
    </row>
    <row r="875" spans="1:7" x14ac:dyDescent="0.3">
      <c r="A875">
        <v>30874</v>
      </c>
      <c r="B875">
        <v>401</v>
      </c>
      <c r="C875" s="2">
        <v>44779</v>
      </c>
      <c r="D875" s="2" t="str">
        <f>TEXT(Table5[[#This Row],[bill_date]],"mmmm")</f>
        <v>August</v>
      </c>
      <c r="E875" s="9">
        <f>YEAR(Table5[[#This Row],[bill_date]])</f>
        <v>2022</v>
      </c>
      <c r="F875">
        <v>1849</v>
      </c>
      <c r="G875" t="s">
        <v>30</v>
      </c>
    </row>
    <row r="876" spans="1:7" x14ac:dyDescent="0.3">
      <c r="A876">
        <v>30875</v>
      </c>
      <c r="B876">
        <v>432</v>
      </c>
      <c r="C876" s="2">
        <v>45062</v>
      </c>
      <c r="D876" s="2" t="str">
        <f>TEXT(Table5[[#This Row],[bill_date]],"mmmm")</f>
        <v>May</v>
      </c>
      <c r="E876" s="9">
        <f>YEAR(Table5[[#This Row],[bill_date]])</f>
        <v>2023</v>
      </c>
      <c r="F876">
        <v>1994</v>
      </c>
      <c r="G876" t="s">
        <v>30</v>
      </c>
    </row>
    <row r="877" spans="1:7" x14ac:dyDescent="0.3">
      <c r="A877">
        <v>30876</v>
      </c>
      <c r="B877">
        <v>396</v>
      </c>
      <c r="C877" s="2">
        <v>45378</v>
      </c>
      <c r="D877" s="2" t="str">
        <f>TEXT(Table5[[#This Row],[bill_date]],"mmmm")</f>
        <v>March</v>
      </c>
      <c r="E877" s="9">
        <f>YEAR(Table5[[#This Row],[bill_date]])</f>
        <v>2024</v>
      </c>
      <c r="F877">
        <v>1224</v>
      </c>
      <c r="G877" t="s">
        <v>28</v>
      </c>
    </row>
    <row r="878" spans="1:7" x14ac:dyDescent="0.3">
      <c r="A878">
        <v>30877</v>
      </c>
      <c r="B878">
        <v>189</v>
      </c>
      <c r="C878" s="2">
        <v>44754</v>
      </c>
      <c r="D878" s="2" t="str">
        <f>TEXT(Table5[[#This Row],[bill_date]],"mmmm")</f>
        <v>July</v>
      </c>
      <c r="E878" s="9">
        <f>YEAR(Table5[[#This Row],[bill_date]])</f>
        <v>2022</v>
      </c>
      <c r="F878">
        <v>265</v>
      </c>
      <c r="G878" t="s">
        <v>30</v>
      </c>
    </row>
    <row r="879" spans="1:7" x14ac:dyDescent="0.3">
      <c r="A879">
        <v>30878</v>
      </c>
      <c r="B879">
        <v>478</v>
      </c>
      <c r="C879" s="2">
        <v>44894</v>
      </c>
      <c r="D879" s="2" t="str">
        <f>TEXT(Table5[[#This Row],[bill_date]],"mmmm")</f>
        <v>November</v>
      </c>
      <c r="E879" s="9">
        <f>YEAR(Table5[[#This Row],[bill_date]])</f>
        <v>2022</v>
      </c>
      <c r="F879">
        <v>1076</v>
      </c>
      <c r="G879" t="s">
        <v>30</v>
      </c>
    </row>
    <row r="880" spans="1:7" x14ac:dyDescent="0.3">
      <c r="A880">
        <v>30879</v>
      </c>
      <c r="B880">
        <v>2</v>
      </c>
      <c r="C880" s="2">
        <v>44714</v>
      </c>
      <c r="D880" s="2" t="str">
        <f>TEXT(Table5[[#This Row],[bill_date]],"mmmm")</f>
        <v>June</v>
      </c>
      <c r="E880" s="9">
        <f>YEAR(Table5[[#This Row],[bill_date]])</f>
        <v>2022</v>
      </c>
      <c r="F880">
        <v>1508</v>
      </c>
      <c r="G880" t="s">
        <v>30</v>
      </c>
    </row>
    <row r="881" spans="1:7" x14ac:dyDescent="0.3">
      <c r="A881">
        <v>30880</v>
      </c>
      <c r="B881">
        <v>336</v>
      </c>
      <c r="C881" s="2">
        <v>45114</v>
      </c>
      <c r="D881" s="2" t="str">
        <f>TEXT(Table5[[#This Row],[bill_date]],"mmmm")</f>
        <v>July</v>
      </c>
      <c r="E881" s="9">
        <f>YEAR(Table5[[#This Row],[bill_date]])</f>
        <v>2023</v>
      </c>
      <c r="F881">
        <v>330</v>
      </c>
      <c r="G881" t="s">
        <v>30</v>
      </c>
    </row>
    <row r="882" spans="1:7" x14ac:dyDescent="0.3">
      <c r="A882">
        <v>30881</v>
      </c>
      <c r="B882">
        <v>65</v>
      </c>
      <c r="C882" s="2">
        <v>44584</v>
      </c>
      <c r="D882" s="2" t="str">
        <f>TEXT(Table5[[#This Row],[bill_date]],"mmmm")</f>
        <v>January</v>
      </c>
      <c r="E882" s="9">
        <f>YEAR(Table5[[#This Row],[bill_date]])</f>
        <v>2022</v>
      </c>
      <c r="F882">
        <v>1270</v>
      </c>
      <c r="G882" t="s">
        <v>30</v>
      </c>
    </row>
    <row r="883" spans="1:7" x14ac:dyDescent="0.3">
      <c r="A883">
        <v>30882</v>
      </c>
      <c r="B883">
        <v>52</v>
      </c>
      <c r="C883" s="2">
        <v>45259</v>
      </c>
      <c r="D883" s="2" t="str">
        <f>TEXT(Table5[[#This Row],[bill_date]],"mmmm")</f>
        <v>November</v>
      </c>
      <c r="E883" s="9">
        <f>YEAR(Table5[[#This Row],[bill_date]])</f>
        <v>2023</v>
      </c>
      <c r="F883">
        <v>1777</v>
      </c>
      <c r="G883" t="s">
        <v>30</v>
      </c>
    </row>
    <row r="884" spans="1:7" x14ac:dyDescent="0.3">
      <c r="A884">
        <v>30883</v>
      </c>
      <c r="B884">
        <v>34</v>
      </c>
      <c r="C884" s="2">
        <v>44777</v>
      </c>
      <c r="D884" s="2" t="str">
        <f>TEXT(Table5[[#This Row],[bill_date]],"mmmm")</f>
        <v>August</v>
      </c>
      <c r="E884" s="9">
        <f>YEAR(Table5[[#This Row],[bill_date]])</f>
        <v>2022</v>
      </c>
      <c r="F884">
        <v>803</v>
      </c>
      <c r="G884" t="s">
        <v>29</v>
      </c>
    </row>
    <row r="885" spans="1:7" x14ac:dyDescent="0.3">
      <c r="A885">
        <v>30884</v>
      </c>
      <c r="B885">
        <v>301</v>
      </c>
      <c r="C885" s="2">
        <v>44604</v>
      </c>
      <c r="D885" s="2" t="str">
        <f>TEXT(Table5[[#This Row],[bill_date]],"mmmm")</f>
        <v>February</v>
      </c>
      <c r="E885" s="9">
        <f>YEAR(Table5[[#This Row],[bill_date]])</f>
        <v>2022</v>
      </c>
      <c r="F885">
        <v>1139</v>
      </c>
      <c r="G885" t="s">
        <v>30</v>
      </c>
    </row>
    <row r="886" spans="1:7" x14ac:dyDescent="0.3">
      <c r="A886">
        <v>30885</v>
      </c>
      <c r="B886">
        <v>240</v>
      </c>
      <c r="C886" s="2">
        <v>44922</v>
      </c>
      <c r="D886" s="2" t="str">
        <f>TEXT(Table5[[#This Row],[bill_date]],"mmmm")</f>
        <v>December</v>
      </c>
      <c r="E886" s="9">
        <f>YEAR(Table5[[#This Row],[bill_date]])</f>
        <v>2022</v>
      </c>
      <c r="F886">
        <v>1191</v>
      </c>
      <c r="G886" t="s">
        <v>30</v>
      </c>
    </row>
    <row r="887" spans="1:7" x14ac:dyDescent="0.3">
      <c r="A887">
        <v>30886</v>
      </c>
      <c r="B887">
        <v>129</v>
      </c>
      <c r="C887" s="2">
        <v>45186</v>
      </c>
      <c r="D887" s="2" t="str">
        <f>TEXT(Table5[[#This Row],[bill_date]],"mmmm")</f>
        <v>September</v>
      </c>
      <c r="E887" s="9">
        <f>YEAR(Table5[[#This Row],[bill_date]])</f>
        <v>2023</v>
      </c>
      <c r="F887">
        <v>1875</v>
      </c>
      <c r="G887" t="s">
        <v>30</v>
      </c>
    </row>
    <row r="888" spans="1:7" x14ac:dyDescent="0.3">
      <c r="A888">
        <v>30887</v>
      </c>
      <c r="B888">
        <v>243</v>
      </c>
      <c r="C888" s="2">
        <v>45304</v>
      </c>
      <c r="D888" s="2" t="str">
        <f>TEXT(Table5[[#This Row],[bill_date]],"mmmm")</f>
        <v>January</v>
      </c>
      <c r="E888" s="9">
        <f>YEAR(Table5[[#This Row],[bill_date]])</f>
        <v>2024</v>
      </c>
      <c r="F888">
        <v>1269</v>
      </c>
      <c r="G888" t="s">
        <v>30</v>
      </c>
    </row>
    <row r="889" spans="1:7" x14ac:dyDescent="0.3">
      <c r="A889">
        <v>30888</v>
      </c>
      <c r="B889">
        <v>356</v>
      </c>
      <c r="C889" s="2">
        <v>44975</v>
      </c>
      <c r="D889" s="2" t="str">
        <f>TEXT(Table5[[#This Row],[bill_date]],"mmmm")</f>
        <v>February</v>
      </c>
      <c r="E889" s="9">
        <f>YEAR(Table5[[#This Row],[bill_date]])</f>
        <v>2023</v>
      </c>
      <c r="F889">
        <v>1453</v>
      </c>
      <c r="G889" t="s">
        <v>28</v>
      </c>
    </row>
    <row r="890" spans="1:7" x14ac:dyDescent="0.3">
      <c r="A890">
        <v>30889</v>
      </c>
      <c r="B890">
        <v>308</v>
      </c>
      <c r="C890" s="2">
        <v>44979</v>
      </c>
      <c r="D890" s="2" t="str">
        <f>TEXT(Table5[[#This Row],[bill_date]],"mmmm")</f>
        <v>February</v>
      </c>
      <c r="E890" s="9">
        <f>YEAR(Table5[[#This Row],[bill_date]])</f>
        <v>2023</v>
      </c>
      <c r="F890">
        <v>1958</v>
      </c>
      <c r="G890" t="s">
        <v>30</v>
      </c>
    </row>
    <row r="891" spans="1:7" x14ac:dyDescent="0.3">
      <c r="A891">
        <v>30890</v>
      </c>
      <c r="B891">
        <v>323</v>
      </c>
      <c r="C891" s="2">
        <v>45183</v>
      </c>
      <c r="D891" s="2" t="str">
        <f>TEXT(Table5[[#This Row],[bill_date]],"mmmm")</f>
        <v>September</v>
      </c>
      <c r="E891" s="9">
        <f>YEAR(Table5[[#This Row],[bill_date]])</f>
        <v>2023</v>
      </c>
      <c r="F891">
        <v>482</v>
      </c>
      <c r="G891" t="s">
        <v>30</v>
      </c>
    </row>
    <row r="892" spans="1:7" x14ac:dyDescent="0.3">
      <c r="A892">
        <v>30891</v>
      </c>
      <c r="B892">
        <v>98</v>
      </c>
      <c r="C892" s="2">
        <v>45211</v>
      </c>
      <c r="D892" s="2" t="str">
        <f>TEXT(Table5[[#This Row],[bill_date]],"mmmm")</f>
        <v>October</v>
      </c>
      <c r="E892" s="9">
        <f>YEAR(Table5[[#This Row],[bill_date]])</f>
        <v>2023</v>
      </c>
      <c r="F892">
        <v>747</v>
      </c>
      <c r="G892" t="s">
        <v>29</v>
      </c>
    </row>
    <row r="893" spans="1:7" x14ac:dyDescent="0.3">
      <c r="A893">
        <v>30892</v>
      </c>
      <c r="B893">
        <v>76</v>
      </c>
      <c r="C893" s="2">
        <v>45178</v>
      </c>
      <c r="D893" s="2" t="str">
        <f>TEXT(Table5[[#This Row],[bill_date]],"mmmm")</f>
        <v>September</v>
      </c>
      <c r="E893" s="9">
        <f>YEAR(Table5[[#This Row],[bill_date]])</f>
        <v>2023</v>
      </c>
      <c r="F893">
        <v>1250</v>
      </c>
      <c r="G893" t="s">
        <v>30</v>
      </c>
    </row>
    <row r="894" spans="1:7" x14ac:dyDescent="0.3">
      <c r="A894">
        <v>30893</v>
      </c>
      <c r="B894">
        <v>312</v>
      </c>
      <c r="C894" s="2">
        <v>44877</v>
      </c>
      <c r="D894" s="2" t="str">
        <f>TEXT(Table5[[#This Row],[bill_date]],"mmmm")</f>
        <v>November</v>
      </c>
      <c r="E894" s="9">
        <f>YEAR(Table5[[#This Row],[bill_date]])</f>
        <v>2022</v>
      </c>
      <c r="F894">
        <v>1633</v>
      </c>
      <c r="G894" t="s">
        <v>30</v>
      </c>
    </row>
    <row r="895" spans="1:7" x14ac:dyDescent="0.3">
      <c r="A895">
        <v>30894</v>
      </c>
      <c r="B895">
        <v>442</v>
      </c>
      <c r="C895" s="2">
        <v>45458</v>
      </c>
      <c r="D895" s="2" t="str">
        <f>TEXT(Table5[[#This Row],[bill_date]],"mmmm")</f>
        <v>June</v>
      </c>
      <c r="E895" s="9">
        <f>YEAR(Table5[[#This Row],[bill_date]])</f>
        <v>2024</v>
      </c>
      <c r="F895">
        <v>1695</v>
      </c>
      <c r="G895" t="s">
        <v>30</v>
      </c>
    </row>
    <row r="896" spans="1:7" x14ac:dyDescent="0.3">
      <c r="A896">
        <v>30895</v>
      </c>
      <c r="B896">
        <v>365</v>
      </c>
      <c r="C896" s="2">
        <v>45213</v>
      </c>
      <c r="D896" s="2" t="str">
        <f>TEXT(Table5[[#This Row],[bill_date]],"mmmm")</f>
        <v>October</v>
      </c>
      <c r="E896" s="9">
        <f>YEAR(Table5[[#This Row],[bill_date]])</f>
        <v>2023</v>
      </c>
      <c r="F896">
        <v>1892</v>
      </c>
      <c r="G896" t="s">
        <v>30</v>
      </c>
    </row>
    <row r="897" spans="1:7" x14ac:dyDescent="0.3">
      <c r="A897">
        <v>30896</v>
      </c>
      <c r="B897">
        <v>219</v>
      </c>
      <c r="C897" s="2">
        <v>44991</v>
      </c>
      <c r="D897" s="2" t="str">
        <f>TEXT(Table5[[#This Row],[bill_date]],"mmmm")</f>
        <v>March</v>
      </c>
      <c r="E897" s="9">
        <f>YEAR(Table5[[#This Row],[bill_date]])</f>
        <v>2023</v>
      </c>
      <c r="F897">
        <v>1100</v>
      </c>
      <c r="G897" t="s">
        <v>30</v>
      </c>
    </row>
    <row r="898" spans="1:7" x14ac:dyDescent="0.3">
      <c r="A898">
        <v>30897</v>
      </c>
      <c r="B898">
        <v>306</v>
      </c>
      <c r="C898" s="2">
        <v>45328</v>
      </c>
      <c r="D898" s="2" t="str">
        <f>TEXT(Table5[[#This Row],[bill_date]],"mmmm")</f>
        <v>February</v>
      </c>
      <c r="E898" s="9">
        <f>YEAR(Table5[[#This Row],[bill_date]])</f>
        <v>2024</v>
      </c>
      <c r="F898">
        <v>1444</v>
      </c>
      <c r="G898" t="s">
        <v>30</v>
      </c>
    </row>
    <row r="899" spans="1:7" x14ac:dyDescent="0.3">
      <c r="A899">
        <v>30898</v>
      </c>
      <c r="B899">
        <v>101</v>
      </c>
      <c r="C899" s="2">
        <v>45060</v>
      </c>
      <c r="D899" s="2" t="str">
        <f>TEXT(Table5[[#This Row],[bill_date]],"mmmm")</f>
        <v>May</v>
      </c>
      <c r="E899" s="9">
        <f>YEAR(Table5[[#This Row],[bill_date]])</f>
        <v>2023</v>
      </c>
      <c r="F899">
        <v>1598</v>
      </c>
      <c r="G899" t="s">
        <v>30</v>
      </c>
    </row>
    <row r="900" spans="1:7" x14ac:dyDescent="0.3">
      <c r="A900">
        <v>30899</v>
      </c>
      <c r="B900">
        <v>119</v>
      </c>
      <c r="C900" s="2">
        <v>44910</v>
      </c>
      <c r="D900" s="2" t="str">
        <f>TEXT(Table5[[#This Row],[bill_date]],"mmmm")</f>
        <v>December</v>
      </c>
      <c r="E900" s="9">
        <f>YEAR(Table5[[#This Row],[bill_date]])</f>
        <v>2022</v>
      </c>
      <c r="F900">
        <v>1231</v>
      </c>
      <c r="G900" t="s">
        <v>30</v>
      </c>
    </row>
    <row r="901" spans="1:7" x14ac:dyDescent="0.3">
      <c r="A901">
        <v>30900</v>
      </c>
      <c r="B901">
        <v>409</v>
      </c>
      <c r="C901" s="2">
        <v>44636</v>
      </c>
      <c r="D901" s="2" t="str">
        <f>TEXT(Table5[[#This Row],[bill_date]],"mmmm")</f>
        <v>March</v>
      </c>
      <c r="E901" s="9">
        <f>YEAR(Table5[[#This Row],[bill_date]])</f>
        <v>2022</v>
      </c>
      <c r="F901">
        <v>1100</v>
      </c>
      <c r="G901" t="s">
        <v>28</v>
      </c>
    </row>
    <row r="902" spans="1:7" x14ac:dyDescent="0.3">
      <c r="A902">
        <v>30901</v>
      </c>
      <c r="B902">
        <v>140</v>
      </c>
      <c r="C902" s="2">
        <v>44794</v>
      </c>
      <c r="D902" s="2" t="str">
        <f>TEXT(Table5[[#This Row],[bill_date]],"mmmm")</f>
        <v>August</v>
      </c>
      <c r="E902" s="9">
        <f>YEAR(Table5[[#This Row],[bill_date]])</f>
        <v>2022</v>
      </c>
      <c r="F902">
        <v>1635</v>
      </c>
      <c r="G902" t="s">
        <v>30</v>
      </c>
    </row>
    <row r="903" spans="1:7" x14ac:dyDescent="0.3">
      <c r="A903">
        <v>30902</v>
      </c>
      <c r="B903">
        <v>371</v>
      </c>
      <c r="C903" s="2">
        <v>45285</v>
      </c>
      <c r="D903" s="2" t="str">
        <f>TEXT(Table5[[#This Row],[bill_date]],"mmmm")</f>
        <v>December</v>
      </c>
      <c r="E903" s="9">
        <f>YEAR(Table5[[#This Row],[bill_date]])</f>
        <v>2023</v>
      </c>
      <c r="F903">
        <v>1693</v>
      </c>
      <c r="G903" t="s">
        <v>30</v>
      </c>
    </row>
    <row r="904" spans="1:7" x14ac:dyDescent="0.3">
      <c r="A904">
        <v>30903</v>
      </c>
      <c r="B904">
        <v>225</v>
      </c>
      <c r="C904" s="2">
        <v>45131</v>
      </c>
      <c r="D904" s="2" t="str">
        <f>TEXT(Table5[[#This Row],[bill_date]],"mmmm")</f>
        <v>July</v>
      </c>
      <c r="E904" s="9">
        <f>YEAR(Table5[[#This Row],[bill_date]])</f>
        <v>2023</v>
      </c>
      <c r="F904">
        <v>1292</v>
      </c>
      <c r="G904" t="s">
        <v>30</v>
      </c>
    </row>
    <row r="905" spans="1:7" x14ac:dyDescent="0.3">
      <c r="A905">
        <v>30904</v>
      </c>
      <c r="B905">
        <v>255</v>
      </c>
      <c r="C905" s="2">
        <v>44599</v>
      </c>
      <c r="D905" s="2" t="str">
        <f>TEXT(Table5[[#This Row],[bill_date]],"mmmm")</f>
        <v>February</v>
      </c>
      <c r="E905" s="9">
        <f>YEAR(Table5[[#This Row],[bill_date]])</f>
        <v>2022</v>
      </c>
      <c r="F905">
        <v>540</v>
      </c>
      <c r="G905" t="s">
        <v>30</v>
      </c>
    </row>
    <row r="906" spans="1:7" x14ac:dyDescent="0.3">
      <c r="A906">
        <v>30905</v>
      </c>
      <c r="B906">
        <v>73</v>
      </c>
      <c r="C906" s="2">
        <v>44823</v>
      </c>
      <c r="D906" s="2" t="str">
        <f>TEXT(Table5[[#This Row],[bill_date]],"mmmm")</f>
        <v>September</v>
      </c>
      <c r="E906" s="9">
        <f>YEAR(Table5[[#This Row],[bill_date]])</f>
        <v>2022</v>
      </c>
      <c r="F906">
        <v>264</v>
      </c>
      <c r="G906" t="s">
        <v>28</v>
      </c>
    </row>
    <row r="907" spans="1:7" x14ac:dyDescent="0.3">
      <c r="A907">
        <v>30906</v>
      </c>
      <c r="B907">
        <v>449</v>
      </c>
      <c r="C907" s="2">
        <v>45007</v>
      </c>
      <c r="D907" s="2" t="str">
        <f>TEXT(Table5[[#This Row],[bill_date]],"mmmm")</f>
        <v>March</v>
      </c>
      <c r="E907" s="9">
        <f>YEAR(Table5[[#This Row],[bill_date]])</f>
        <v>2023</v>
      </c>
      <c r="F907">
        <v>805</v>
      </c>
      <c r="G907" t="s">
        <v>29</v>
      </c>
    </row>
    <row r="908" spans="1:7" x14ac:dyDescent="0.3">
      <c r="A908">
        <v>30907</v>
      </c>
      <c r="B908">
        <v>312</v>
      </c>
      <c r="C908" s="2">
        <v>44773</v>
      </c>
      <c r="D908" s="2" t="str">
        <f>TEXT(Table5[[#This Row],[bill_date]],"mmmm")</f>
        <v>July</v>
      </c>
      <c r="E908" s="9">
        <f>YEAR(Table5[[#This Row],[bill_date]])</f>
        <v>2022</v>
      </c>
      <c r="F908">
        <v>1915</v>
      </c>
      <c r="G908" t="s">
        <v>30</v>
      </c>
    </row>
    <row r="909" spans="1:7" x14ac:dyDescent="0.3">
      <c r="A909">
        <v>30908</v>
      </c>
      <c r="B909">
        <v>306</v>
      </c>
      <c r="C909" s="2">
        <v>45019</v>
      </c>
      <c r="D909" s="2" t="str">
        <f>TEXT(Table5[[#This Row],[bill_date]],"mmmm")</f>
        <v>April</v>
      </c>
      <c r="E909" s="9">
        <f>YEAR(Table5[[#This Row],[bill_date]])</f>
        <v>2023</v>
      </c>
      <c r="F909">
        <v>1292</v>
      </c>
      <c r="G909" t="s">
        <v>30</v>
      </c>
    </row>
    <row r="910" spans="1:7" x14ac:dyDescent="0.3">
      <c r="A910">
        <v>30909</v>
      </c>
      <c r="B910">
        <v>471</v>
      </c>
      <c r="C910" s="2">
        <v>45211</v>
      </c>
      <c r="D910" s="2" t="str">
        <f>TEXT(Table5[[#This Row],[bill_date]],"mmmm")</f>
        <v>October</v>
      </c>
      <c r="E910" s="9">
        <f>YEAR(Table5[[#This Row],[bill_date]])</f>
        <v>2023</v>
      </c>
      <c r="F910">
        <v>944</v>
      </c>
      <c r="G910" t="s">
        <v>30</v>
      </c>
    </row>
    <row r="911" spans="1:7" x14ac:dyDescent="0.3">
      <c r="A911">
        <v>30910</v>
      </c>
      <c r="B911">
        <v>156</v>
      </c>
      <c r="C911" s="2">
        <v>44843</v>
      </c>
      <c r="D911" s="2" t="str">
        <f>TEXT(Table5[[#This Row],[bill_date]],"mmmm")</f>
        <v>October</v>
      </c>
      <c r="E911" s="9">
        <f>YEAR(Table5[[#This Row],[bill_date]])</f>
        <v>2022</v>
      </c>
      <c r="F911">
        <v>1483</v>
      </c>
      <c r="G911" t="s">
        <v>30</v>
      </c>
    </row>
    <row r="912" spans="1:7" x14ac:dyDescent="0.3">
      <c r="A912">
        <v>30911</v>
      </c>
      <c r="B912">
        <v>259</v>
      </c>
      <c r="C912" s="2">
        <v>45131</v>
      </c>
      <c r="D912" s="2" t="str">
        <f>TEXT(Table5[[#This Row],[bill_date]],"mmmm")</f>
        <v>July</v>
      </c>
      <c r="E912" s="9">
        <f>YEAR(Table5[[#This Row],[bill_date]])</f>
        <v>2023</v>
      </c>
      <c r="F912">
        <v>730</v>
      </c>
      <c r="G912" t="s">
        <v>28</v>
      </c>
    </row>
    <row r="913" spans="1:7" x14ac:dyDescent="0.3">
      <c r="A913">
        <v>30912</v>
      </c>
      <c r="B913">
        <v>422</v>
      </c>
      <c r="C913" s="2">
        <v>45346</v>
      </c>
      <c r="D913" s="2" t="str">
        <f>TEXT(Table5[[#This Row],[bill_date]],"mmmm")</f>
        <v>February</v>
      </c>
      <c r="E913" s="9">
        <f>YEAR(Table5[[#This Row],[bill_date]])</f>
        <v>2024</v>
      </c>
      <c r="F913">
        <v>1618</v>
      </c>
      <c r="G913" t="s">
        <v>30</v>
      </c>
    </row>
    <row r="914" spans="1:7" x14ac:dyDescent="0.3">
      <c r="A914">
        <v>30913</v>
      </c>
      <c r="B914">
        <v>64</v>
      </c>
      <c r="C914" s="2">
        <v>45126</v>
      </c>
      <c r="D914" s="2" t="str">
        <f>TEXT(Table5[[#This Row],[bill_date]],"mmmm")</f>
        <v>July</v>
      </c>
      <c r="E914" s="9">
        <f>YEAR(Table5[[#This Row],[bill_date]])</f>
        <v>2023</v>
      </c>
      <c r="F914">
        <v>1580</v>
      </c>
      <c r="G914" t="s">
        <v>28</v>
      </c>
    </row>
    <row r="915" spans="1:7" x14ac:dyDescent="0.3">
      <c r="A915">
        <v>30914</v>
      </c>
      <c r="B915">
        <v>310</v>
      </c>
      <c r="C915" s="2">
        <v>44767</v>
      </c>
      <c r="D915" s="2" t="str">
        <f>TEXT(Table5[[#This Row],[bill_date]],"mmmm")</f>
        <v>July</v>
      </c>
      <c r="E915" s="9">
        <f>YEAR(Table5[[#This Row],[bill_date]])</f>
        <v>2022</v>
      </c>
      <c r="F915">
        <v>556</v>
      </c>
      <c r="G915" t="s">
        <v>28</v>
      </c>
    </row>
    <row r="916" spans="1:7" x14ac:dyDescent="0.3">
      <c r="A916">
        <v>30915</v>
      </c>
      <c r="B916">
        <v>36</v>
      </c>
      <c r="C916" s="2">
        <v>44566</v>
      </c>
      <c r="D916" s="2" t="str">
        <f>TEXT(Table5[[#This Row],[bill_date]],"mmmm")</f>
        <v>January</v>
      </c>
      <c r="E916" s="9">
        <f>YEAR(Table5[[#This Row],[bill_date]])</f>
        <v>2022</v>
      </c>
      <c r="F916">
        <v>1614</v>
      </c>
      <c r="G916" t="s">
        <v>30</v>
      </c>
    </row>
    <row r="917" spans="1:7" x14ac:dyDescent="0.3">
      <c r="A917">
        <v>30916</v>
      </c>
      <c r="B917">
        <v>248</v>
      </c>
      <c r="C917" s="2">
        <v>45396</v>
      </c>
      <c r="D917" s="2" t="str">
        <f>TEXT(Table5[[#This Row],[bill_date]],"mmmm")</f>
        <v>April</v>
      </c>
      <c r="E917" s="9">
        <f>YEAR(Table5[[#This Row],[bill_date]])</f>
        <v>2024</v>
      </c>
      <c r="F917">
        <v>574</v>
      </c>
      <c r="G917" t="s">
        <v>30</v>
      </c>
    </row>
    <row r="918" spans="1:7" x14ac:dyDescent="0.3">
      <c r="A918">
        <v>30917</v>
      </c>
      <c r="B918">
        <v>428</v>
      </c>
      <c r="C918" s="2">
        <v>45180</v>
      </c>
      <c r="D918" s="2" t="str">
        <f>TEXT(Table5[[#This Row],[bill_date]],"mmmm")</f>
        <v>September</v>
      </c>
      <c r="E918" s="9">
        <f>YEAR(Table5[[#This Row],[bill_date]])</f>
        <v>2023</v>
      </c>
      <c r="F918">
        <v>1408</v>
      </c>
      <c r="G918" t="s">
        <v>30</v>
      </c>
    </row>
    <row r="919" spans="1:7" x14ac:dyDescent="0.3">
      <c r="A919">
        <v>30918</v>
      </c>
      <c r="B919">
        <v>44</v>
      </c>
      <c r="C919" s="2">
        <v>44804</v>
      </c>
      <c r="D919" s="2" t="str">
        <f>TEXT(Table5[[#This Row],[bill_date]],"mmmm")</f>
        <v>August</v>
      </c>
      <c r="E919" s="9">
        <f>YEAR(Table5[[#This Row],[bill_date]])</f>
        <v>2022</v>
      </c>
      <c r="F919">
        <v>1527</v>
      </c>
      <c r="G919" t="s">
        <v>30</v>
      </c>
    </row>
    <row r="920" spans="1:7" x14ac:dyDescent="0.3">
      <c r="A920">
        <v>30919</v>
      </c>
      <c r="B920">
        <v>453</v>
      </c>
      <c r="C920" s="2">
        <v>44709</v>
      </c>
      <c r="D920" s="2" t="str">
        <f>TEXT(Table5[[#This Row],[bill_date]],"mmmm")</f>
        <v>May</v>
      </c>
      <c r="E920" s="9">
        <f>YEAR(Table5[[#This Row],[bill_date]])</f>
        <v>2022</v>
      </c>
      <c r="F920">
        <v>262</v>
      </c>
      <c r="G920" t="s">
        <v>30</v>
      </c>
    </row>
    <row r="921" spans="1:7" x14ac:dyDescent="0.3">
      <c r="A921">
        <v>30920</v>
      </c>
      <c r="B921">
        <v>119</v>
      </c>
      <c r="C921" s="2">
        <v>45252</v>
      </c>
      <c r="D921" s="2" t="str">
        <f>TEXT(Table5[[#This Row],[bill_date]],"mmmm")</f>
        <v>November</v>
      </c>
      <c r="E921" s="9">
        <f>YEAR(Table5[[#This Row],[bill_date]])</f>
        <v>2023</v>
      </c>
      <c r="F921">
        <v>376</v>
      </c>
      <c r="G921" t="s">
        <v>30</v>
      </c>
    </row>
    <row r="922" spans="1:7" x14ac:dyDescent="0.3">
      <c r="A922">
        <v>30921</v>
      </c>
      <c r="B922">
        <v>349</v>
      </c>
      <c r="C922" s="2">
        <v>45247</v>
      </c>
      <c r="D922" s="2" t="str">
        <f>TEXT(Table5[[#This Row],[bill_date]],"mmmm")</f>
        <v>November</v>
      </c>
      <c r="E922" s="9">
        <f>YEAR(Table5[[#This Row],[bill_date]])</f>
        <v>2023</v>
      </c>
      <c r="F922">
        <v>433</v>
      </c>
      <c r="G922" t="s">
        <v>30</v>
      </c>
    </row>
    <row r="923" spans="1:7" x14ac:dyDescent="0.3">
      <c r="A923">
        <v>30922</v>
      </c>
      <c r="B923">
        <v>181</v>
      </c>
      <c r="C923" s="2">
        <v>44884</v>
      </c>
      <c r="D923" s="2" t="str">
        <f>TEXT(Table5[[#This Row],[bill_date]],"mmmm")</f>
        <v>November</v>
      </c>
      <c r="E923" s="9">
        <f>YEAR(Table5[[#This Row],[bill_date]])</f>
        <v>2022</v>
      </c>
      <c r="F923">
        <v>1063</v>
      </c>
      <c r="G923" t="s">
        <v>30</v>
      </c>
    </row>
    <row r="924" spans="1:7" x14ac:dyDescent="0.3">
      <c r="A924">
        <v>30923</v>
      </c>
      <c r="B924">
        <v>397</v>
      </c>
      <c r="C924" s="2">
        <v>44948</v>
      </c>
      <c r="D924" s="2" t="str">
        <f>TEXT(Table5[[#This Row],[bill_date]],"mmmm")</f>
        <v>January</v>
      </c>
      <c r="E924" s="9">
        <f>YEAR(Table5[[#This Row],[bill_date]])</f>
        <v>2023</v>
      </c>
      <c r="F924">
        <v>960</v>
      </c>
      <c r="G924" t="s">
        <v>30</v>
      </c>
    </row>
    <row r="925" spans="1:7" x14ac:dyDescent="0.3">
      <c r="A925">
        <v>30924</v>
      </c>
      <c r="B925">
        <v>428</v>
      </c>
      <c r="C925" s="2">
        <v>44954</v>
      </c>
      <c r="D925" s="2" t="str">
        <f>TEXT(Table5[[#This Row],[bill_date]],"mmmm")</f>
        <v>January</v>
      </c>
      <c r="E925" s="9">
        <f>YEAR(Table5[[#This Row],[bill_date]])</f>
        <v>2023</v>
      </c>
      <c r="F925">
        <v>238</v>
      </c>
      <c r="G925" t="s">
        <v>28</v>
      </c>
    </row>
    <row r="926" spans="1:7" x14ac:dyDescent="0.3">
      <c r="A926">
        <v>30925</v>
      </c>
      <c r="B926">
        <v>388</v>
      </c>
      <c r="C926" s="2">
        <v>45212</v>
      </c>
      <c r="D926" s="2" t="str">
        <f>TEXT(Table5[[#This Row],[bill_date]],"mmmm")</f>
        <v>October</v>
      </c>
      <c r="E926" s="9">
        <f>YEAR(Table5[[#This Row],[bill_date]])</f>
        <v>2023</v>
      </c>
      <c r="F926">
        <v>1509</v>
      </c>
      <c r="G926" t="s">
        <v>30</v>
      </c>
    </row>
    <row r="927" spans="1:7" x14ac:dyDescent="0.3">
      <c r="A927">
        <v>30926</v>
      </c>
      <c r="B927">
        <v>70</v>
      </c>
      <c r="C927" s="2">
        <v>45248</v>
      </c>
      <c r="D927" s="2" t="str">
        <f>TEXT(Table5[[#This Row],[bill_date]],"mmmm")</f>
        <v>November</v>
      </c>
      <c r="E927" s="9">
        <f>YEAR(Table5[[#This Row],[bill_date]])</f>
        <v>2023</v>
      </c>
      <c r="F927">
        <v>1481</v>
      </c>
      <c r="G927" t="s">
        <v>30</v>
      </c>
    </row>
    <row r="928" spans="1:7" x14ac:dyDescent="0.3">
      <c r="A928">
        <v>30927</v>
      </c>
      <c r="B928">
        <v>435</v>
      </c>
      <c r="C928" s="2">
        <v>45326</v>
      </c>
      <c r="D928" s="2" t="str">
        <f>TEXT(Table5[[#This Row],[bill_date]],"mmmm")</f>
        <v>February</v>
      </c>
      <c r="E928" s="9">
        <f>YEAR(Table5[[#This Row],[bill_date]])</f>
        <v>2024</v>
      </c>
      <c r="F928">
        <v>1689</v>
      </c>
      <c r="G928" t="s">
        <v>30</v>
      </c>
    </row>
    <row r="929" spans="1:7" x14ac:dyDescent="0.3">
      <c r="A929">
        <v>30928</v>
      </c>
      <c r="B929">
        <v>358</v>
      </c>
      <c r="C929" s="2">
        <v>44811</v>
      </c>
      <c r="D929" s="2" t="str">
        <f>TEXT(Table5[[#This Row],[bill_date]],"mmmm")</f>
        <v>September</v>
      </c>
      <c r="E929" s="9">
        <f>YEAR(Table5[[#This Row],[bill_date]])</f>
        <v>2022</v>
      </c>
      <c r="F929">
        <v>1462</v>
      </c>
      <c r="G929" t="s">
        <v>28</v>
      </c>
    </row>
    <row r="930" spans="1:7" x14ac:dyDescent="0.3">
      <c r="A930">
        <v>30929</v>
      </c>
      <c r="B930">
        <v>454</v>
      </c>
      <c r="C930" s="2">
        <v>44989</v>
      </c>
      <c r="D930" s="2" t="str">
        <f>TEXT(Table5[[#This Row],[bill_date]],"mmmm")</f>
        <v>March</v>
      </c>
      <c r="E930" s="9">
        <f>YEAR(Table5[[#This Row],[bill_date]])</f>
        <v>2023</v>
      </c>
      <c r="F930">
        <v>1725</v>
      </c>
      <c r="G930" t="s">
        <v>30</v>
      </c>
    </row>
    <row r="931" spans="1:7" x14ac:dyDescent="0.3">
      <c r="A931">
        <v>30930</v>
      </c>
      <c r="B931">
        <v>267</v>
      </c>
      <c r="C931" s="2">
        <v>44930</v>
      </c>
      <c r="D931" s="2" t="str">
        <f>TEXT(Table5[[#This Row],[bill_date]],"mmmm")</f>
        <v>January</v>
      </c>
      <c r="E931" s="9">
        <f>YEAR(Table5[[#This Row],[bill_date]])</f>
        <v>2023</v>
      </c>
      <c r="F931">
        <v>1806</v>
      </c>
      <c r="G931" t="s">
        <v>30</v>
      </c>
    </row>
    <row r="932" spans="1:7" x14ac:dyDescent="0.3">
      <c r="A932">
        <v>30931</v>
      </c>
      <c r="B932">
        <v>219</v>
      </c>
      <c r="C932" s="2">
        <v>45209</v>
      </c>
      <c r="D932" s="2" t="str">
        <f>TEXT(Table5[[#This Row],[bill_date]],"mmmm")</f>
        <v>October</v>
      </c>
      <c r="E932" s="9">
        <f>YEAR(Table5[[#This Row],[bill_date]])</f>
        <v>2023</v>
      </c>
      <c r="F932">
        <v>1764</v>
      </c>
      <c r="G932" t="s">
        <v>30</v>
      </c>
    </row>
    <row r="933" spans="1:7" x14ac:dyDescent="0.3">
      <c r="A933">
        <v>30932</v>
      </c>
      <c r="B933">
        <v>438</v>
      </c>
      <c r="C933" s="2">
        <v>45008</v>
      </c>
      <c r="D933" s="2" t="str">
        <f>TEXT(Table5[[#This Row],[bill_date]],"mmmm")</f>
        <v>March</v>
      </c>
      <c r="E933" s="9">
        <f>YEAR(Table5[[#This Row],[bill_date]])</f>
        <v>2023</v>
      </c>
      <c r="F933">
        <v>549</v>
      </c>
      <c r="G933" t="s">
        <v>28</v>
      </c>
    </row>
    <row r="934" spans="1:7" x14ac:dyDescent="0.3">
      <c r="A934">
        <v>30933</v>
      </c>
      <c r="B934">
        <v>366</v>
      </c>
      <c r="C934" s="2">
        <v>44583</v>
      </c>
      <c r="D934" s="2" t="str">
        <f>TEXT(Table5[[#This Row],[bill_date]],"mmmm")</f>
        <v>January</v>
      </c>
      <c r="E934" s="9">
        <f>YEAR(Table5[[#This Row],[bill_date]])</f>
        <v>2022</v>
      </c>
      <c r="F934">
        <v>739</v>
      </c>
      <c r="G934" t="s">
        <v>28</v>
      </c>
    </row>
    <row r="935" spans="1:7" x14ac:dyDescent="0.3">
      <c r="A935">
        <v>30934</v>
      </c>
      <c r="B935">
        <v>190</v>
      </c>
      <c r="C935" s="2">
        <v>45111</v>
      </c>
      <c r="D935" s="2" t="str">
        <f>TEXT(Table5[[#This Row],[bill_date]],"mmmm")</f>
        <v>July</v>
      </c>
      <c r="E935" s="9">
        <f>YEAR(Table5[[#This Row],[bill_date]])</f>
        <v>2023</v>
      </c>
      <c r="F935">
        <v>1164</v>
      </c>
      <c r="G935" t="s">
        <v>28</v>
      </c>
    </row>
    <row r="936" spans="1:7" x14ac:dyDescent="0.3">
      <c r="A936">
        <v>30935</v>
      </c>
      <c r="B936">
        <v>256</v>
      </c>
      <c r="C936" s="2">
        <v>45100</v>
      </c>
      <c r="D936" s="2" t="str">
        <f>TEXT(Table5[[#This Row],[bill_date]],"mmmm")</f>
        <v>June</v>
      </c>
      <c r="E936" s="9">
        <f>YEAR(Table5[[#This Row],[bill_date]])</f>
        <v>2023</v>
      </c>
      <c r="F936">
        <v>1534</v>
      </c>
      <c r="G936" t="s">
        <v>30</v>
      </c>
    </row>
    <row r="937" spans="1:7" x14ac:dyDescent="0.3">
      <c r="A937">
        <v>30936</v>
      </c>
      <c r="B937">
        <v>187</v>
      </c>
      <c r="C937" s="2">
        <v>44843</v>
      </c>
      <c r="D937" s="2" t="str">
        <f>TEXT(Table5[[#This Row],[bill_date]],"mmmm")</f>
        <v>October</v>
      </c>
      <c r="E937" s="9">
        <f>YEAR(Table5[[#This Row],[bill_date]])</f>
        <v>2022</v>
      </c>
      <c r="F937">
        <v>1160</v>
      </c>
      <c r="G937" t="s">
        <v>30</v>
      </c>
    </row>
    <row r="938" spans="1:7" x14ac:dyDescent="0.3">
      <c r="A938">
        <v>30937</v>
      </c>
      <c r="B938">
        <v>227</v>
      </c>
      <c r="C938" s="2">
        <v>44840</v>
      </c>
      <c r="D938" s="2" t="str">
        <f>TEXT(Table5[[#This Row],[bill_date]],"mmmm")</f>
        <v>October</v>
      </c>
      <c r="E938" s="9">
        <f>YEAR(Table5[[#This Row],[bill_date]])</f>
        <v>2022</v>
      </c>
      <c r="F938">
        <v>1821</v>
      </c>
      <c r="G938" t="s">
        <v>30</v>
      </c>
    </row>
    <row r="939" spans="1:7" x14ac:dyDescent="0.3">
      <c r="A939">
        <v>30938</v>
      </c>
      <c r="B939">
        <v>61</v>
      </c>
      <c r="C939" s="2">
        <v>44681</v>
      </c>
      <c r="D939" s="2" t="str">
        <f>TEXT(Table5[[#This Row],[bill_date]],"mmmm")</f>
        <v>April</v>
      </c>
      <c r="E939" s="9">
        <f>YEAR(Table5[[#This Row],[bill_date]])</f>
        <v>2022</v>
      </c>
      <c r="F939">
        <v>1330</v>
      </c>
      <c r="G939" t="s">
        <v>30</v>
      </c>
    </row>
    <row r="940" spans="1:7" x14ac:dyDescent="0.3">
      <c r="A940">
        <v>30939</v>
      </c>
      <c r="B940">
        <v>168</v>
      </c>
      <c r="C940" s="2">
        <v>44814</v>
      </c>
      <c r="D940" s="2" t="str">
        <f>TEXT(Table5[[#This Row],[bill_date]],"mmmm")</f>
        <v>September</v>
      </c>
      <c r="E940" s="9">
        <f>YEAR(Table5[[#This Row],[bill_date]])</f>
        <v>2022</v>
      </c>
      <c r="F940">
        <v>1029</v>
      </c>
      <c r="G940" t="s">
        <v>30</v>
      </c>
    </row>
    <row r="941" spans="1:7" x14ac:dyDescent="0.3">
      <c r="A941">
        <v>30940</v>
      </c>
      <c r="B941">
        <v>132</v>
      </c>
      <c r="C941" s="2">
        <v>45432</v>
      </c>
      <c r="D941" s="2" t="str">
        <f>TEXT(Table5[[#This Row],[bill_date]],"mmmm")</f>
        <v>May</v>
      </c>
      <c r="E941" s="9">
        <f>YEAR(Table5[[#This Row],[bill_date]])</f>
        <v>2024</v>
      </c>
      <c r="F941">
        <v>228</v>
      </c>
      <c r="G941" t="s">
        <v>30</v>
      </c>
    </row>
    <row r="942" spans="1:7" x14ac:dyDescent="0.3">
      <c r="A942">
        <v>30941</v>
      </c>
      <c r="B942">
        <v>155</v>
      </c>
      <c r="C942" s="2">
        <v>45038</v>
      </c>
      <c r="D942" s="2" t="str">
        <f>TEXT(Table5[[#This Row],[bill_date]],"mmmm")</f>
        <v>April</v>
      </c>
      <c r="E942" s="9">
        <f>YEAR(Table5[[#This Row],[bill_date]])</f>
        <v>2023</v>
      </c>
      <c r="F942">
        <v>507</v>
      </c>
      <c r="G942" t="s">
        <v>30</v>
      </c>
    </row>
    <row r="943" spans="1:7" x14ac:dyDescent="0.3">
      <c r="A943">
        <v>30942</v>
      </c>
      <c r="B943">
        <v>272</v>
      </c>
      <c r="C943" s="2">
        <v>44626</v>
      </c>
      <c r="D943" s="2" t="str">
        <f>TEXT(Table5[[#This Row],[bill_date]],"mmmm")</f>
        <v>March</v>
      </c>
      <c r="E943" s="9">
        <f>YEAR(Table5[[#This Row],[bill_date]])</f>
        <v>2022</v>
      </c>
      <c r="F943">
        <v>1708</v>
      </c>
      <c r="G943" t="s">
        <v>28</v>
      </c>
    </row>
    <row r="944" spans="1:7" x14ac:dyDescent="0.3">
      <c r="A944">
        <v>30943</v>
      </c>
      <c r="B944">
        <v>210</v>
      </c>
      <c r="C944" s="2">
        <v>45147</v>
      </c>
      <c r="D944" s="2" t="str">
        <f>TEXT(Table5[[#This Row],[bill_date]],"mmmm")</f>
        <v>August</v>
      </c>
      <c r="E944" s="9">
        <f>YEAR(Table5[[#This Row],[bill_date]])</f>
        <v>2023</v>
      </c>
      <c r="F944">
        <v>244</v>
      </c>
      <c r="G944" t="s">
        <v>30</v>
      </c>
    </row>
    <row r="945" spans="1:7" x14ac:dyDescent="0.3">
      <c r="A945">
        <v>30944</v>
      </c>
      <c r="B945">
        <v>7</v>
      </c>
      <c r="C945" s="2">
        <v>44864</v>
      </c>
      <c r="D945" s="2" t="str">
        <f>TEXT(Table5[[#This Row],[bill_date]],"mmmm")</f>
        <v>October</v>
      </c>
      <c r="E945" s="9">
        <f>YEAR(Table5[[#This Row],[bill_date]])</f>
        <v>2022</v>
      </c>
      <c r="F945">
        <v>1581</v>
      </c>
      <c r="G945" t="s">
        <v>30</v>
      </c>
    </row>
    <row r="946" spans="1:7" x14ac:dyDescent="0.3">
      <c r="A946">
        <v>30945</v>
      </c>
      <c r="B946">
        <v>11</v>
      </c>
      <c r="C946" s="2">
        <v>44878</v>
      </c>
      <c r="D946" s="2" t="str">
        <f>TEXT(Table5[[#This Row],[bill_date]],"mmmm")</f>
        <v>November</v>
      </c>
      <c r="E946" s="9">
        <f>YEAR(Table5[[#This Row],[bill_date]])</f>
        <v>2022</v>
      </c>
      <c r="F946">
        <v>335</v>
      </c>
      <c r="G946" t="s">
        <v>30</v>
      </c>
    </row>
    <row r="947" spans="1:7" x14ac:dyDescent="0.3">
      <c r="A947">
        <v>30946</v>
      </c>
      <c r="B947">
        <v>200</v>
      </c>
      <c r="C947" s="2">
        <v>44735</v>
      </c>
      <c r="D947" s="2" t="str">
        <f>TEXT(Table5[[#This Row],[bill_date]],"mmmm")</f>
        <v>June</v>
      </c>
      <c r="E947" s="9">
        <f>YEAR(Table5[[#This Row],[bill_date]])</f>
        <v>2022</v>
      </c>
      <c r="F947">
        <v>973</v>
      </c>
      <c r="G947" t="s">
        <v>30</v>
      </c>
    </row>
    <row r="948" spans="1:7" x14ac:dyDescent="0.3">
      <c r="A948">
        <v>30947</v>
      </c>
      <c r="B948">
        <v>251</v>
      </c>
      <c r="C948" s="2">
        <v>45461</v>
      </c>
      <c r="D948" s="2" t="str">
        <f>TEXT(Table5[[#This Row],[bill_date]],"mmmm")</f>
        <v>June</v>
      </c>
      <c r="E948" s="9">
        <f>YEAR(Table5[[#This Row],[bill_date]])</f>
        <v>2024</v>
      </c>
      <c r="F948">
        <v>1797</v>
      </c>
      <c r="G948" t="s">
        <v>30</v>
      </c>
    </row>
    <row r="949" spans="1:7" x14ac:dyDescent="0.3">
      <c r="A949">
        <v>30948</v>
      </c>
      <c r="B949">
        <v>64</v>
      </c>
      <c r="C949" s="2">
        <v>44976</v>
      </c>
      <c r="D949" s="2" t="str">
        <f>TEXT(Table5[[#This Row],[bill_date]],"mmmm")</f>
        <v>February</v>
      </c>
      <c r="E949" s="9">
        <f>YEAR(Table5[[#This Row],[bill_date]])</f>
        <v>2023</v>
      </c>
      <c r="F949">
        <v>1653</v>
      </c>
      <c r="G949" t="s">
        <v>30</v>
      </c>
    </row>
    <row r="950" spans="1:7" x14ac:dyDescent="0.3">
      <c r="A950">
        <v>30949</v>
      </c>
      <c r="B950">
        <v>180</v>
      </c>
      <c r="C950" s="2">
        <v>44821</v>
      </c>
      <c r="D950" s="2" t="str">
        <f>TEXT(Table5[[#This Row],[bill_date]],"mmmm")</f>
        <v>September</v>
      </c>
      <c r="E950" s="9">
        <f>YEAR(Table5[[#This Row],[bill_date]])</f>
        <v>2022</v>
      </c>
      <c r="F950">
        <v>754</v>
      </c>
      <c r="G950" t="s">
        <v>30</v>
      </c>
    </row>
    <row r="951" spans="1:7" x14ac:dyDescent="0.3">
      <c r="A951">
        <v>30950</v>
      </c>
      <c r="B951">
        <v>128</v>
      </c>
      <c r="C951" s="2">
        <v>44846</v>
      </c>
      <c r="D951" s="2" t="str">
        <f>TEXT(Table5[[#This Row],[bill_date]],"mmmm")</f>
        <v>October</v>
      </c>
      <c r="E951" s="9">
        <f>YEAR(Table5[[#This Row],[bill_date]])</f>
        <v>2022</v>
      </c>
      <c r="F951">
        <v>1473</v>
      </c>
      <c r="G951" t="s">
        <v>30</v>
      </c>
    </row>
    <row r="952" spans="1:7" x14ac:dyDescent="0.3">
      <c r="A952">
        <v>30951</v>
      </c>
      <c r="B952">
        <v>262</v>
      </c>
      <c r="C952" s="2">
        <v>44634</v>
      </c>
      <c r="D952" s="2" t="str">
        <f>TEXT(Table5[[#This Row],[bill_date]],"mmmm")</f>
        <v>March</v>
      </c>
      <c r="E952" s="9">
        <f>YEAR(Table5[[#This Row],[bill_date]])</f>
        <v>2022</v>
      </c>
      <c r="F952">
        <v>631</v>
      </c>
      <c r="G952" t="s">
        <v>30</v>
      </c>
    </row>
    <row r="953" spans="1:7" x14ac:dyDescent="0.3">
      <c r="A953">
        <v>30952</v>
      </c>
      <c r="B953">
        <v>120</v>
      </c>
      <c r="C953" s="2">
        <v>44640</v>
      </c>
      <c r="D953" s="2" t="str">
        <f>TEXT(Table5[[#This Row],[bill_date]],"mmmm")</f>
        <v>March</v>
      </c>
      <c r="E953" s="9">
        <f>YEAR(Table5[[#This Row],[bill_date]])</f>
        <v>2022</v>
      </c>
      <c r="F953">
        <v>1045</v>
      </c>
      <c r="G953" t="s">
        <v>30</v>
      </c>
    </row>
    <row r="954" spans="1:7" x14ac:dyDescent="0.3">
      <c r="A954">
        <v>30953</v>
      </c>
      <c r="B954">
        <v>48</v>
      </c>
      <c r="C954" s="2">
        <v>44605</v>
      </c>
      <c r="D954" s="2" t="str">
        <f>TEXT(Table5[[#This Row],[bill_date]],"mmmm")</f>
        <v>February</v>
      </c>
      <c r="E954" s="9">
        <f>YEAR(Table5[[#This Row],[bill_date]])</f>
        <v>2022</v>
      </c>
      <c r="F954">
        <v>405</v>
      </c>
      <c r="G954" t="s">
        <v>30</v>
      </c>
    </row>
    <row r="955" spans="1:7" x14ac:dyDescent="0.3">
      <c r="A955">
        <v>30954</v>
      </c>
      <c r="B955">
        <v>69</v>
      </c>
      <c r="C955" s="2">
        <v>45306</v>
      </c>
      <c r="D955" s="2" t="str">
        <f>TEXT(Table5[[#This Row],[bill_date]],"mmmm")</f>
        <v>January</v>
      </c>
      <c r="E955" s="9">
        <f>YEAR(Table5[[#This Row],[bill_date]])</f>
        <v>2024</v>
      </c>
      <c r="F955">
        <v>644</v>
      </c>
      <c r="G955" t="s">
        <v>30</v>
      </c>
    </row>
    <row r="956" spans="1:7" x14ac:dyDescent="0.3">
      <c r="A956">
        <v>30955</v>
      </c>
      <c r="B956">
        <v>377</v>
      </c>
      <c r="C956" s="2">
        <v>44564</v>
      </c>
      <c r="D956" s="2" t="str">
        <f>TEXT(Table5[[#This Row],[bill_date]],"mmmm")</f>
        <v>January</v>
      </c>
      <c r="E956" s="9">
        <f>YEAR(Table5[[#This Row],[bill_date]])</f>
        <v>2022</v>
      </c>
      <c r="F956">
        <v>1281</v>
      </c>
      <c r="G956" t="s">
        <v>30</v>
      </c>
    </row>
    <row r="957" spans="1:7" x14ac:dyDescent="0.3">
      <c r="A957">
        <v>30956</v>
      </c>
      <c r="B957">
        <v>262</v>
      </c>
      <c r="C957" s="2">
        <v>45004</v>
      </c>
      <c r="D957" s="2" t="str">
        <f>TEXT(Table5[[#This Row],[bill_date]],"mmmm")</f>
        <v>March</v>
      </c>
      <c r="E957" s="9">
        <f>YEAR(Table5[[#This Row],[bill_date]])</f>
        <v>2023</v>
      </c>
      <c r="F957">
        <v>1428</v>
      </c>
      <c r="G957" t="s">
        <v>30</v>
      </c>
    </row>
    <row r="958" spans="1:7" x14ac:dyDescent="0.3">
      <c r="A958">
        <v>30957</v>
      </c>
      <c r="B958">
        <v>230</v>
      </c>
      <c r="C958" s="2">
        <v>44640</v>
      </c>
      <c r="D958" s="2" t="str">
        <f>TEXT(Table5[[#This Row],[bill_date]],"mmmm")</f>
        <v>March</v>
      </c>
      <c r="E958" s="9">
        <f>YEAR(Table5[[#This Row],[bill_date]])</f>
        <v>2022</v>
      </c>
      <c r="F958">
        <v>529</v>
      </c>
      <c r="G958" t="s">
        <v>30</v>
      </c>
    </row>
    <row r="959" spans="1:7" x14ac:dyDescent="0.3">
      <c r="A959">
        <v>30958</v>
      </c>
      <c r="B959">
        <v>252</v>
      </c>
      <c r="C959" s="2">
        <v>44938</v>
      </c>
      <c r="D959" s="2" t="str">
        <f>TEXT(Table5[[#This Row],[bill_date]],"mmmm")</f>
        <v>January</v>
      </c>
      <c r="E959" s="9">
        <f>YEAR(Table5[[#This Row],[bill_date]])</f>
        <v>2023</v>
      </c>
      <c r="F959">
        <v>794</v>
      </c>
      <c r="G959" t="s">
        <v>30</v>
      </c>
    </row>
    <row r="960" spans="1:7" x14ac:dyDescent="0.3">
      <c r="A960">
        <v>30959</v>
      </c>
      <c r="B960">
        <v>445</v>
      </c>
      <c r="C960" s="2">
        <v>45254</v>
      </c>
      <c r="D960" s="2" t="str">
        <f>TEXT(Table5[[#This Row],[bill_date]],"mmmm")</f>
        <v>November</v>
      </c>
      <c r="E960" s="9">
        <f>YEAR(Table5[[#This Row],[bill_date]])</f>
        <v>2023</v>
      </c>
      <c r="F960">
        <v>723</v>
      </c>
      <c r="G960" t="s">
        <v>30</v>
      </c>
    </row>
    <row r="961" spans="1:7" x14ac:dyDescent="0.3">
      <c r="A961">
        <v>30960</v>
      </c>
      <c r="B961">
        <v>450</v>
      </c>
      <c r="C961" s="2">
        <v>44700</v>
      </c>
      <c r="D961" s="2" t="str">
        <f>TEXT(Table5[[#This Row],[bill_date]],"mmmm")</f>
        <v>May</v>
      </c>
      <c r="E961" s="9">
        <f>YEAR(Table5[[#This Row],[bill_date]])</f>
        <v>2022</v>
      </c>
      <c r="F961">
        <v>947</v>
      </c>
      <c r="G961" t="s">
        <v>29</v>
      </c>
    </row>
    <row r="962" spans="1:7" x14ac:dyDescent="0.3">
      <c r="A962">
        <v>30961</v>
      </c>
      <c r="B962">
        <v>479</v>
      </c>
      <c r="C962" s="2">
        <v>45376</v>
      </c>
      <c r="D962" s="2" t="str">
        <f>TEXT(Table5[[#This Row],[bill_date]],"mmmm")</f>
        <v>March</v>
      </c>
      <c r="E962" s="9">
        <f>YEAR(Table5[[#This Row],[bill_date]])</f>
        <v>2024</v>
      </c>
      <c r="F962">
        <v>1380</v>
      </c>
      <c r="G962" t="s">
        <v>30</v>
      </c>
    </row>
    <row r="963" spans="1:7" x14ac:dyDescent="0.3">
      <c r="A963">
        <v>30962</v>
      </c>
      <c r="B963">
        <v>231</v>
      </c>
      <c r="C963" s="2">
        <v>44568</v>
      </c>
      <c r="D963" s="2" t="str">
        <f>TEXT(Table5[[#This Row],[bill_date]],"mmmm")</f>
        <v>January</v>
      </c>
      <c r="E963" s="9">
        <f>YEAR(Table5[[#This Row],[bill_date]])</f>
        <v>2022</v>
      </c>
      <c r="F963">
        <v>1326</v>
      </c>
      <c r="G963" t="s">
        <v>30</v>
      </c>
    </row>
    <row r="964" spans="1:7" x14ac:dyDescent="0.3">
      <c r="A964">
        <v>30963</v>
      </c>
      <c r="B964">
        <v>224</v>
      </c>
      <c r="C964" s="2">
        <v>45444</v>
      </c>
      <c r="D964" s="2" t="str">
        <f>TEXT(Table5[[#This Row],[bill_date]],"mmmm")</f>
        <v>June</v>
      </c>
      <c r="E964" s="9">
        <f>YEAR(Table5[[#This Row],[bill_date]])</f>
        <v>2024</v>
      </c>
      <c r="F964">
        <v>557</v>
      </c>
      <c r="G964" t="s">
        <v>30</v>
      </c>
    </row>
    <row r="965" spans="1:7" x14ac:dyDescent="0.3">
      <c r="A965">
        <v>30964</v>
      </c>
      <c r="B965">
        <v>457</v>
      </c>
      <c r="C965" s="2">
        <v>45439</v>
      </c>
      <c r="D965" s="2" t="str">
        <f>TEXT(Table5[[#This Row],[bill_date]],"mmmm")</f>
        <v>May</v>
      </c>
      <c r="E965" s="9">
        <f>YEAR(Table5[[#This Row],[bill_date]])</f>
        <v>2024</v>
      </c>
      <c r="F965">
        <v>1050</v>
      </c>
      <c r="G965" t="s">
        <v>30</v>
      </c>
    </row>
    <row r="966" spans="1:7" x14ac:dyDescent="0.3">
      <c r="A966">
        <v>30965</v>
      </c>
      <c r="B966">
        <v>207</v>
      </c>
      <c r="C966" s="2">
        <v>45397</v>
      </c>
      <c r="D966" s="2" t="str">
        <f>TEXT(Table5[[#This Row],[bill_date]],"mmmm")</f>
        <v>April</v>
      </c>
      <c r="E966" s="9">
        <f>YEAR(Table5[[#This Row],[bill_date]])</f>
        <v>2024</v>
      </c>
      <c r="F966">
        <v>1587</v>
      </c>
      <c r="G966" t="s">
        <v>28</v>
      </c>
    </row>
    <row r="967" spans="1:7" x14ac:dyDescent="0.3">
      <c r="A967">
        <v>30966</v>
      </c>
      <c r="B967">
        <v>341</v>
      </c>
      <c r="C967" s="2">
        <v>45286</v>
      </c>
      <c r="D967" s="2" t="str">
        <f>TEXT(Table5[[#This Row],[bill_date]],"mmmm")</f>
        <v>December</v>
      </c>
      <c r="E967" s="9">
        <f>YEAR(Table5[[#This Row],[bill_date]])</f>
        <v>2023</v>
      </c>
      <c r="F967">
        <v>753</v>
      </c>
      <c r="G967" t="s">
        <v>30</v>
      </c>
    </row>
    <row r="968" spans="1:7" x14ac:dyDescent="0.3">
      <c r="A968">
        <v>30967</v>
      </c>
      <c r="B968">
        <v>366</v>
      </c>
      <c r="C968" s="2">
        <v>45074</v>
      </c>
      <c r="D968" s="2" t="str">
        <f>TEXT(Table5[[#This Row],[bill_date]],"mmmm")</f>
        <v>May</v>
      </c>
      <c r="E968" s="9">
        <f>YEAR(Table5[[#This Row],[bill_date]])</f>
        <v>2023</v>
      </c>
      <c r="F968">
        <v>1401</v>
      </c>
      <c r="G968" t="s">
        <v>30</v>
      </c>
    </row>
    <row r="969" spans="1:7" x14ac:dyDescent="0.3">
      <c r="A969">
        <v>30968</v>
      </c>
      <c r="B969">
        <v>437</v>
      </c>
      <c r="C969" s="2">
        <v>45257</v>
      </c>
      <c r="D969" s="2" t="str">
        <f>TEXT(Table5[[#This Row],[bill_date]],"mmmm")</f>
        <v>November</v>
      </c>
      <c r="E969" s="9">
        <f>YEAR(Table5[[#This Row],[bill_date]])</f>
        <v>2023</v>
      </c>
      <c r="F969">
        <v>556</v>
      </c>
      <c r="G969" t="s">
        <v>30</v>
      </c>
    </row>
    <row r="970" spans="1:7" x14ac:dyDescent="0.3">
      <c r="A970">
        <v>30969</v>
      </c>
      <c r="B970">
        <v>28</v>
      </c>
      <c r="C970" s="2">
        <v>45324</v>
      </c>
      <c r="D970" s="2" t="str">
        <f>TEXT(Table5[[#This Row],[bill_date]],"mmmm")</f>
        <v>February</v>
      </c>
      <c r="E970" s="9">
        <f>YEAR(Table5[[#This Row],[bill_date]])</f>
        <v>2024</v>
      </c>
      <c r="F970">
        <v>1486</v>
      </c>
      <c r="G970" t="s">
        <v>30</v>
      </c>
    </row>
    <row r="971" spans="1:7" x14ac:dyDescent="0.3">
      <c r="A971">
        <v>30970</v>
      </c>
      <c r="B971">
        <v>365</v>
      </c>
      <c r="C971" s="2">
        <v>45288</v>
      </c>
      <c r="D971" s="2" t="str">
        <f>TEXT(Table5[[#This Row],[bill_date]],"mmmm")</f>
        <v>December</v>
      </c>
      <c r="E971" s="9">
        <f>YEAR(Table5[[#This Row],[bill_date]])</f>
        <v>2023</v>
      </c>
      <c r="F971">
        <v>953</v>
      </c>
      <c r="G971" t="s">
        <v>30</v>
      </c>
    </row>
    <row r="972" spans="1:7" x14ac:dyDescent="0.3">
      <c r="A972">
        <v>30971</v>
      </c>
      <c r="B972">
        <v>219</v>
      </c>
      <c r="C972" s="2">
        <v>44638</v>
      </c>
      <c r="D972" s="2" t="str">
        <f>TEXT(Table5[[#This Row],[bill_date]],"mmmm")</f>
        <v>March</v>
      </c>
      <c r="E972" s="9">
        <f>YEAR(Table5[[#This Row],[bill_date]])</f>
        <v>2022</v>
      </c>
      <c r="F972">
        <v>747</v>
      </c>
      <c r="G972" t="s">
        <v>30</v>
      </c>
    </row>
    <row r="973" spans="1:7" x14ac:dyDescent="0.3">
      <c r="A973">
        <v>30972</v>
      </c>
      <c r="B973">
        <v>389</v>
      </c>
      <c r="C973" s="2">
        <v>44604</v>
      </c>
      <c r="D973" s="2" t="str">
        <f>TEXT(Table5[[#This Row],[bill_date]],"mmmm")</f>
        <v>February</v>
      </c>
      <c r="E973" s="9">
        <f>YEAR(Table5[[#This Row],[bill_date]])</f>
        <v>2022</v>
      </c>
      <c r="F973">
        <v>1575</v>
      </c>
      <c r="G973" t="s">
        <v>30</v>
      </c>
    </row>
    <row r="974" spans="1:7" x14ac:dyDescent="0.3">
      <c r="A974">
        <v>30973</v>
      </c>
      <c r="B974">
        <v>337</v>
      </c>
      <c r="C974" s="2">
        <v>44718</v>
      </c>
      <c r="D974" s="2" t="str">
        <f>TEXT(Table5[[#This Row],[bill_date]],"mmmm")</f>
        <v>June</v>
      </c>
      <c r="E974" s="9">
        <f>YEAR(Table5[[#This Row],[bill_date]])</f>
        <v>2022</v>
      </c>
      <c r="F974">
        <v>1586</v>
      </c>
      <c r="G974" t="s">
        <v>30</v>
      </c>
    </row>
    <row r="975" spans="1:7" x14ac:dyDescent="0.3">
      <c r="A975">
        <v>30974</v>
      </c>
      <c r="B975">
        <v>101</v>
      </c>
      <c r="C975" s="2">
        <v>45091</v>
      </c>
      <c r="D975" s="2" t="str">
        <f>TEXT(Table5[[#This Row],[bill_date]],"mmmm")</f>
        <v>June</v>
      </c>
      <c r="E975" s="9">
        <f>YEAR(Table5[[#This Row],[bill_date]])</f>
        <v>2023</v>
      </c>
      <c r="F975">
        <v>1472</v>
      </c>
      <c r="G975" t="s">
        <v>30</v>
      </c>
    </row>
    <row r="976" spans="1:7" x14ac:dyDescent="0.3">
      <c r="A976">
        <v>30975</v>
      </c>
      <c r="B976">
        <v>58</v>
      </c>
      <c r="C976" s="2">
        <v>45416</v>
      </c>
      <c r="D976" s="2" t="str">
        <f>TEXT(Table5[[#This Row],[bill_date]],"mmmm")</f>
        <v>May</v>
      </c>
      <c r="E976" s="9">
        <f>YEAR(Table5[[#This Row],[bill_date]])</f>
        <v>2024</v>
      </c>
      <c r="F976">
        <v>1342</v>
      </c>
      <c r="G976" t="s">
        <v>30</v>
      </c>
    </row>
    <row r="977" spans="1:7" x14ac:dyDescent="0.3">
      <c r="A977">
        <v>30976</v>
      </c>
      <c r="B977">
        <v>24</v>
      </c>
      <c r="C977" s="2">
        <v>44781</v>
      </c>
      <c r="D977" s="2" t="str">
        <f>TEXT(Table5[[#This Row],[bill_date]],"mmmm")</f>
        <v>August</v>
      </c>
      <c r="E977" s="9">
        <f>YEAR(Table5[[#This Row],[bill_date]])</f>
        <v>2022</v>
      </c>
      <c r="F977">
        <v>1414</v>
      </c>
      <c r="G977" t="s">
        <v>30</v>
      </c>
    </row>
    <row r="978" spans="1:7" x14ac:dyDescent="0.3">
      <c r="A978">
        <v>30977</v>
      </c>
      <c r="B978">
        <v>415</v>
      </c>
      <c r="C978" s="2">
        <v>45146</v>
      </c>
      <c r="D978" s="2" t="str">
        <f>TEXT(Table5[[#This Row],[bill_date]],"mmmm")</f>
        <v>August</v>
      </c>
      <c r="E978" s="9">
        <f>YEAR(Table5[[#This Row],[bill_date]])</f>
        <v>2023</v>
      </c>
      <c r="F978">
        <v>1005</v>
      </c>
      <c r="G978" t="s">
        <v>30</v>
      </c>
    </row>
    <row r="979" spans="1:7" x14ac:dyDescent="0.3">
      <c r="A979">
        <v>30978</v>
      </c>
      <c r="B979">
        <v>227</v>
      </c>
      <c r="C979" s="2">
        <v>44751</v>
      </c>
      <c r="D979" s="2" t="str">
        <f>TEXT(Table5[[#This Row],[bill_date]],"mmmm")</f>
        <v>July</v>
      </c>
      <c r="E979" s="9">
        <f>YEAR(Table5[[#This Row],[bill_date]])</f>
        <v>2022</v>
      </c>
      <c r="F979">
        <v>1284</v>
      </c>
      <c r="G979" t="s">
        <v>30</v>
      </c>
    </row>
    <row r="980" spans="1:7" x14ac:dyDescent="0.3">
      <c r="A980">
        <v>30979</v>
      </c>
      <c r="B980">
        <v>169</v>
      </c>
      <c r="C980" s="2">
        <v>45436</v>
      </c>
      <c r="D980" s="2" t="str">
        <f>TEXT(Table5[[#This Row],[bill_date]],"mmmm")</f>
        <v>May</v>
      </c>
      <c r="E980" s="9">
        <f>YEAR(Table5[[#This Row],[bill_date]])</f>
        <v>2024</v>
      </c>
      <c r="F980">
        <v>1432</v>
      </c>
      <c r="G980" t="s">
        <v>30</v>
      </c>
    </row>
    <row r="981" spans="1:7" x14ac:dyDescent="0.3">
      <c r="A981">
        <v>30980</v>
      </c>
      <c r="B981">
        <v>489</v>
      </c>
      <c r="C981" s="2">
        <v>44823</v>
      </c>
      <c r="D981" s="2" t="str">
        <f>TEXT(Table5[[#This Row],[bill_date]],"mmmm")</f>
        <v>September</v>
      </c>
      <c r="E981" s="9">
        <f>YEAR(Table5[[#This Row],[bill_date]])</f>
        <v>2022</v>
      </c>
      <c r="F981">
        <v>250</v>
      </c>
      <c r="G981" t="s">
        <v>30</v>
      </c>
    </row>
    <row r="982" spans="1:7" x14ac:dyDescent="0.3">
      <c r="A982">
        <v>30981</v>
      </c>
      <c r="B982">
        <v>246</v>
      </c>
      <c r="C982" s="2">
        <v>44705</v>
      </c>
      <c r="D982" s="2" t="str">
        <f>TEXT(Table5[[#This Row],[bill_date]],"mmmm")</f>
        <v>May</v>
      </c>
      <c r="E982" s="9">
        <f>YEAR(Table5[[#This Row],[bill_date]])</f>
        <v>2022</v>
      </c>
      <c r="F982">
        <v>1944</v>
      </c>
      <c r="G982" t="s">
        <v>30</v>
      </c>
    </row>
    <row r="983" spans="1:7" x14ac:dyDescent="0.3">
      <c r="A983">
        <v>30982</v>
      </c>
      <c r="B983">
        <v>324</v>
      </c>
      <c r="C983" s="2">
        <v>45046</v>
      </c>
      <c r="D983" s="2" t="str">
        <f>TEXT(Table5[[#This Row],[bill_date]],"mmmm")</f>
        <v>April</v>
      </c>
      <c r="E983" s="9">
        <f>YEAR(Table5[[#This Row],[bill_date]])</f>
        <v>2023</v>
      </c>
      <c r="F983">
        <v>511</v>
      </c>
      <c r="G983" t="s">
        <v>28</v>
      </c>
    </row>
    <row r="984" spans="1:7" x14ac:dyDescent="0.3">
      <c r="A984">
        <v>30983</v>
      </c>
      <c r="B984">
        <v>212</v>
      </c>
      <c r="C984" s="2">
        <v>45202</v>
      </c>
      <c r="D984" s="2" t="str">
        <f>TEXT(Table5[[#This Row],[bill_date]],"mmmm")</f>
        <v>October</v>
      </c>
      <c r="E984" s="9">
        <f>YEAR(Table5[[#This Row],[bill_date]])</f>
        <v>2023</v>
      </c>
      <c r="F984">
        <v>1501</v>
      </c>
      <c r="G984" t="s">
        <v>30</v>
      </c>
    </row>
    <row r="985" spans="1:7" x14ac:dyDescent="0.3">
      <c r="A985">
        <v>30984</v>
      </c>
      <c r="B985">
        <v>363</v>
      </c>
      <c r="C985" s="2">
        <v>44839</v>
      </c>
      <c r="D985" s="2" t="str">
        <f>TEXT(Table5[[#This Row],[bill_date]],"mmmm")</f>
        <v>October</v>
      </c>
      <c r="E985" s="9">
        <f>YEAR(Table5[[#This Row],[bill_date]])</f>
        <v>2022</v>
      </c>
      <c r="F985">
        <v>586</v>
      </c>
      <c r="G985" t="s">
        <v>30</v>
      </c>
    </row>
    <row r="986" spans="1:7" x14ac:dyDescent="0.3">
      <c r="A986">
        <v>30985</v>
      </c>
      <c r="B986">
        <v>465</v>
      </c>
      <c r="C986" s="2">
        <v>45375</v>
      </c>
      <c r="D986" s="2" t="str">
        <f>TEXT(Table5[[#This Row],[bill_date]],"mmmm")</f>
        <v>March</v>
      </c>
      <c r="E986" s="9">
        <f>YEAR(Table5[[#This Row],[bill_date]])</f>
        <v>2024</v>
      </c>
      <c r="F986">
        <v>1424</v>
      </c>
      <c r="G986" t="s">
        <v>30</v>
      </c>
    </row>
    <row r="987" spans="1:7" x14ac:dyDescent="0.3">
      <c r="A987">
        <v>30986</v>
      </c>
      <c r="B987">
        <v>430</v>
      </c>
      <c r="C987" s="2">
        <v>45263</v>
      </c>
      <c r="D987" s="2" t="str">
        <f>TEXT(Table5[[#This Row],[bill_date]],"mmmm")</f>
        <v>December</v>
      </c>
      <c r="E987" s="9">
        <f>YEAR(Table5[[#This Row],[bill_date]])</f>
        <v>2023</v>
      </c>
      <c r="F987">
        <v>337</v>
      </c>
      <c r="G987" t="s">
        <v>30</v>
      </c>
    </row>
    <row r="988" spans="1:7" x14ac:dyDescent="0.3">
      <c r="A988">
        <v>30987</v>
      </c>
      <c r="B988">
        <v>266</v>
      </c>
      <c r="C988" s="2">
        <v>45224</v>
      </c>
      <c r="D988" s="2" t="str">
        <f>TEXT(Table5[[#This Row],[bill_date]],"mmmm")</f>
        <v>October</v>
      </c>
      <c r="E988" s="9">
        <f>YEAR(Table5[[#This Row],[bill_date]])</f>
        <v>2023</v>
      </c>
      <c r="F988">
        <v>217</v>
      </c>
      <c r="G988" t="s">
        <v>28</v>
      </c>
    </row>
    <row r="989" spans="1:7" x14ac:dyDescent="0.3">
      <c r="A989">
        <v>30988</v>
      </c>
      <c r="B989">
        <v>421</v>
      </c>
      <c r="C989" s="2">
        <v>44868</v>
      </c>
      <c r="D989" s="2" t="str">
        <f>TEXT(Table5[[#This Row],[bill_date]],"mmmm")</f>
        <v>November</v>
      </c>
      <c r="E989" s="9">
        <f>YEAR(Table5[[#This Row],[bill_date]])</f>
        <v>2022</v>
      </c>
      <c r="F989">
        <v>519</v>
      </c>
      <c r="G989" t="s">
        <v>29</v>
      </c>
    </row>
    <row r="990" spans="1:7" x14ac:dyDescent="0.3">
      <c r="A990">
        <v>30989</v>
      </c>
      <c r="B990">
        <v>405</v>
      </c>
      <c r="C990" s="2">
        <v>45457</v>
      </c>
      <c r="D990" s="2" t="str">
        <f>TEXT(Table5[[#This Row],[bill_date]],"mmmm")</f>
        <v>June</v>
      </c>
      <c r="E990" s="9">
        <f>YEAR(Table5[[#This Row],[bill_date]])</f>
        <v>2024</v>
      </c>
      <c r="F990">
        <v>293</v>
      </c>
      <c r="G990" t="s">
        <v>28</v>
      </c>
    </row>
    <row r="991" spans="1:7" x14ac:dyDescent="0.3">
      <c r="A991">
        <v>30990</v>
      </c>
      <c r="B991">
        <v>21</v>
      </c>
      <c r="C991" s="2">
        <v>45168</v>
      </c>
      <c r="D991" s="2" t="str">
        <f>TEXT(Table5[[#This Row],[bill_date]],"mmmm")</f>
        <v>August</v>
      </c>
      <c r="E991" s="9">
        <f>YEAR(Table5[[#This Row],[bill_date]])</f>
        <v>2023</v>
      </c>
      <c r="F991">
        <v>328</v>
      </c>
      <c r="G991" t="s">
        <v>28</v>
      </c>
    </row>
    <row r="992" spans="1:7" x14ac:dyDescent="0.3">
      <c r="A992">
        <v>30991</v>
      </c>
      <c r="B992">
        <v>124</v>
      </c>
      <c r="C992" s="2">
        <v>45111</v>
      </c>
      <c r="D992" s="2" t="str">
        <f>TEXT(Table5[[#This Row],[bill_date]],"mmmm")</f>
        <v>July</v>
      </c>
      <c r="E992" s="9">
        <f>YEAR(Table5[[#This Row],[bill_date]])</f>
        <v>2023</v>
      </c>
      <c r="F992">
        <v>1327</v>
      </c>
      <c r="G992" t="s">
        <v>30</v>
      </c>
    </row>
    <row r="993" spans="1:7" x14ac:dyDescent="0.3">
      <c r="A993">
        <v>30992</v>
      </c>
      <c r="B993">
        <v>369</v>
      </c>
      <c r="C993" s="2">
        <v>44717</v>
      </c>
      <c r="D993" s="2" t="str">
        <f>TEXT(Table5[[#This Row],[bill_date]],"mmmm")</f>
        <v>June</v>
      </c>
      <c r="E993" s="9">
        <f>YEAR(Table5[[#This Row],[bill_date]])</f>
        <v>2022</v>
      </c>
      <c r="F993">
        <v>1143</v>
      </c>
      <c r="G993" t="s">
        <v>30</v>
      </c>
    </row>
    <row r="994" spans="1:7" x14ac:dyDescent="0.3">
      <c r="A994">
        <v>30993</v>
      </c>
      <c r="B994">
        <v>464</v>
      </c>
      <c r="C994" s="2">
        <v>44861</v>
      </c>
      <c r="D994" s="2" t="str">
        <f>TEXT(Table5[[#This Row],[bill_date]],"mmmm")</f>
        <v>October</v>
      </c>
      <c r="E994" s="9">
        <f>YEAR(Table5[[#This Row],[bill_date]])</f>
        <v>2022</v>
      </c>
      <c r="F994">
        <v>1419</v>
      </c>
      <c r="G994" t="s">
        <v>28</v>
      </c>
    </row>
    <row r="995" spans="1:7" x14ac:dyDescent="0.3">
      <c r="A995">
        <v>30994</v>
      </c>
      <c r="B995">
        <v>97</v>
      </c>
      <c r="C995" s="2">
        <v>44908</v>
      </c>
      <c r="D995" s="2" t="str">
        <f>TEXT(Table5[[#This Row],[bill_date]],"mmmm")</f>
        <v>December</v>
      </c>
      <c r="E995" s="9">
        <f>YEAR(Table5[[#This Row],[bill_date]])</f>
        <v>2022</v>
      </c>
      <c r="F995">
        <v>458</v>
      </c>
      <c r="G995" t="s">
        <v>30</v>
      </c>
    </row>
    <row r="996" spans="1:7" x14ac:dyDescent="0.3">
      <c r="A996">
        <v>30995</v>
      </c>
      <c r="B996">
        <v>138</v>
      </c>
      <c r="C996" s="2">
        <v>44984</v>
      </c>
      <c r="D996" s="2" t="str">
        <f>TEXT(Table5[[#This Row],[bill_date]],"mmmm")</f>
        <v>February</v>
      </c>
      <c r="E996" s="9">
        <f>YEAR(Table5[[#This Row],[bill_date]])</f>
        <v>2023</v>
      </c>
      <c r="F996">
        <v>1185</v>
      </c>
      <c r="G996" t="s">
        <v>30</v>
      </c>
    </row>
    <row r="997" spans="1:7" x14ac:dyDescent="0.3">
      <c r="A997">
        <v>30996</v>
      </c>
      <c r="B997">
        <v>492</v>
      </c>
      <c r="C997" s="2">
        <v>44987</v>
      </c>
      <c r="D997" s="2" t="str">
        <f>TEXT(Table5[[#This Row],[bill_date]],"mmmm")</f>
        <v>March</v>
      </c>
      <c r="E997" s="9">
        <f>YEAR(Table5[[#This Row],[bill_date]])</f>
        <v>2023</v>
      </c>
      <c r="F997">
        <v>1261</v>
      </c>
      <c r="G997" t="s">
        <v>28</v>
      </c>
    </row>
    <row r="998" spans="1:7" x14ac:dyDescent="0.3">
      <c r="A998">
        <v>30997</v>
      </c>
      <c r="B998">
        <v>338</v>
      </c>
      <c r="C998" s="2">
        <v>44603</v>
      </c>
      <c r="D998" s="2" t="str">
        <f>TEXT(Table5[[#This Row],[bill_date]],"mmmm")</f>
        <v>February</v>
      </c>
      <c r="E998" s="9">
        <f>YEAR(Table5[[#This Row],[bill_date]])</f>
        <v>2022</v>
      </c>
      <c r="F998">
        <v>1723</v>
      </c>
      <c r="G998" t="s">
        <v>30</v>
      </c>
    </row>
    <row r="999" spans="1:7" x14ac:dyDescent="0.3">
      <c r="A999">
        <v>30998</v>
      </c>
      <c r="B999">
        <v>353</v>
      </c>
      <c r="C999" s="2">
        <v>44877</v>
      </c>
      <c r="D999" s="2" t="str">
        <f>TEXT(Table5[[#This Row],[bill_date]],"mmmm")</f>
        <v>November</v>
      </c>
      <c r="E999" s="9">
        <f>YEAR(Table5[[#This Row],[bill_date]])</f>
        <v>2022</v>
      </c>
      <c r="F999">
        <v>1015</v>
      </c>
      <c r="G999" t="s">
        <v>30</v>
      </c>
    </row>
    <row r="1000" spans="1:7" x14ac:dyDescent="0.3">
      <c r="A1000">
        <v>30999</v>
      </c>
      <c r="B1000">
        <v>93</v>
      </c>
      <c r="C1000" s="2">
        <v>45199</v>
      </c>
      <c r="D1000" s="2" t="str">
        <f>TEXT(Table5[[#This Row],[bill_date]],"mmmm")</f>
        <v>September</v>
      </c>
      <c r="E1000" s="9">
        <f>YEAR(Table5[[#This Row],[bill_date]])</f>
        <v>2023</v>
      </c>
      <c r="F1000">
        <v>1353</v>
      </c>
      <c r="G1000" t="s">
        <v>30</v>
      </c>
    </row>
    <row r="1001" spans="1:7" x14ac:dyDescent="0.3">
      <c r="A1001">
        <v>31000</v>
      </c>
      <c r="B1001">
        <v>95</v>
      </c>
      <c r="C1001" s="2">
        <v>45386</v>
      </c>
      <c r="D1001" s="2" t="str">
        <f>TEXT(Table5[[#This Row],[bill_date]],"mmmm")</f>
        <v>April</v>
      </c>
      <c r="E1001" s="9">
        <f>YEAR(Table5[[#This Row],[bill_date]])</f>
        <v>2024</v>
      </c>
      <c r="F1001">
        <v>352</v>
      </c>
      <c r="G1001" t="s">
        <v>28</v>
      </c>
    </row>
    <row r="1002" spans="1:7" x14ac:dyDescent="0.3">
      <c r="A1002">
        <v>31001</v>
      </c>
      <c r="B1002">
        <v>24</v>
      </c>
      <c r="C1002" s="2">
        <v>44638</v>
      </c>
      <c r="D1002" s="2" t="str">
        <f>TEXT(Table5[[#This Row],[bill_date]],"mmmm")</f>
        <v>March</v>
      </c>
      <c r="E1002" s="9">
        <f>YEAR(Table5[[#This Row],[bill_date]])</f>
        <v>2022</v>
      </c>
      <c r="F1002">
        <v>751</v>
      </c>
      <c r="G1002" t="s">
        <v>30</v>
      </c>
    </row>
    <row r="1003" spans="1:7" x14ac:dyDescent="0.3">
      <c r="A1003">
        <v>31002</v>
      </c>
      <c r="B1003">
        <v>380</v>
      </c>
      <c r="C1003" s="2">
        <v>44657</v>
      </c>
      <c r="D1003" s="2" t="str">
        <f>TEXT(Table5[[#This Row],[bill_date]],"mmmm")</f>
        <v>April</v>
      </c>
      <c r="E1003" s="9">
        <f>YEAR(Table5[[#This Row],[bill_date]])</f>
        <v>2022</v>
      </c>
      <c r="F1003">
        <v>1543</v>
      </c>
      <c r="G1003" t="s">
        <v>30</v>
      </c>
    </row>
    <row r="1004" spans="1:7" x14ac:dyDescent="0.3">
      <c r="A1004">
        <v>31003</v>
      </c>
      <c r="B1004">
        <v>396</v>
      </c>
      <c r="C1004" s="2">
        <v>44824</v>
      </c>
      <c r="D1004" s="2" t="str">
        <f>TEXT(Table5[[#This Row],[bill_date]],"mmmm")</f>
        <v>September</v>
      </c>
      <c r="E1004" s="9">
        <f>YEAR(Table5[[#This Row],[bill_date]])</f>
        <v>2022</v>
      </c>
      <c r="F1004">
        <v>320</v>
      </c>
      <c r="G1004" t="s">
        <v>29</v>
      </c>
    </row>
    <row r="1005" spans="1:7" x14ac:dyDescent="0.3">
      <c r="A1005">
        <v>31004</v>
      </c>
      <c r="B1005">
        <v>404</v>
      </c>
      <c r="C1005" s="2">
        <v>45380</v>
      </c>
      <c r="D1005" s="2" t="str">
        <f>TEXT(Table5[[#This Row],[bill_date]],"mmmm")</f>
        <v>March</v>
      </c>
      <c r="E1005" s="9">
        <f>YEAR(Table5[[#This Row],[bill_date]])</f>
        <v>2024</v>
      </c>
      <c r="F1005">
        <v>1978</v>
      </c>
      <c r="G1005" t="s">
        <v>30</v>
      </c>
    </row>
    <row r="1006" spans="1:7" x14ac:dyDescent="0.3">
      <c r="A1006">
        <v>31005</v>
      </c>
      <c r="B1006">
        <v>454</v>
      </c>
      <c r="C1006" s="2">
        <v>45298</v>
      </c>
      <c r="D1006" s="2" t="str">
        <f>TEXT(Table5[[#This Row],[bill_date]],"mmmm")</f>
        <v>January</v>
      </c>
      <c r="E1006" s="9">
        <f>YEAR(Table5[[#This Row],[bill_date]])</f>
        <v>2024</v>
      </c>
      <c r="F1006">
        <v>955</v>
      </c>
      <c r="G1006" t="s">
        <v>30</v>
      </c>
    </row>
    <row r="1007" spans="1:7" x14ac:dyDescent="0.3">
      <c r="A1007">
        <v>31006</v>
      </c>
      <c r="B1007">
        <v>136</v>
      </c>
      <c r="C1007" s="2">
        <v>45184</v>
      </c>
      <c r="D1007" s="2" t="str">
        <f>TEXT(Table5[[#This Row],[bill_date]],"mmmm")</f>
        <v>September</v>
      </c>
      <c r="E1007" s="9">
        <f>YEAR(Table5[[#This Row],[bill_date]])</f>
        <v>2023</v>
      </c>
      <c r="F1007">
        <v>1366</v>
      </c>
      <c r="G1007" t="s">
        <v>30</v>
      </c>
    </row>
    <row r="1008" spans="1:7" x14ac:dyDescent="0.3">
      <c r="A1008">
        <v>31007</v>
      </c>
      <c r="B1008">
        <v>334</v>
      </c>
      <c r="C1008" s="2">
        <v>45311</v>
      </c>
      <c r="D1008" s="2" t="str">
        <f>TEXT(Table5[[#This Row],[bill_date]],"mmmm")</f>
        <v>January</v>
      </c>
      <c r="E1008" s="9">
        <f>YEAR(Table5[[#This Row],[bill_date]])</f>
        <v>2024</v>
      </c>
      <c r="F1008">
        <v>1408</v>
      </c>
      <c r="G1008" t="s">
        <v>30</v>
      </c>
    </row>
    <row r="1009" spans="1:7" x14ac:dyDescent="0.3">
      <c r="A1009">
        <v>31008</v>
      </c>
      <c r="B1009">
        <v>133</v>
      </c>
      <c r="C1009" s="2">
        <v>44766</v>
      </c>
      <c r="D1009" s="2" t="str">
        <f>TEXT(Table5[[#This Row],[bill_date]],"mmmm")</f>
        <v>July</v>
      </c>
      <c r="E1009" s="9">
        <f>YEAR(Table5[[#This Row],[bill_date]])</f>
        <v>2022</v>
      </c>
      <c r="F1009">
        <v>745</v>
      </c>
      <c r="G1009" t="s">
        <v>30</v>
      </c>
    </row>
    <row r="1010" spans="1:7" x14ac:dyDescent="0.3">
      <c r="A1010">
        <v>31009</v>
      </c>
      <c r="B1010">
        <v>54</v>
      </c>
      <c r="C1010" s="2">
        <v>44849</v>
      </c>
      <c r="D1010" s="2" t="str">
        <f>TEXT(Table5[[#This Row],[bill_date]],"mmmm")</f>
        <v>October</v>
      </c>
      <c r="E1010" s="9">
        <f>YEAR(Table5[[#This Row],[bill_date]])</f>
        <v>2022</v>
      </c>
      <c r="F1010">
        <v>1433</v>
      </c>
      <c r="G1010" t="s">
        <v>30</v>
      </c>
    </row>
    <row r="1011" spans="1:7" x14ac:dyDescent="0.3">
      <c r="A1011">
        <v>31010</v>
      </c>
      <c r="B1011">
        <v>292</v>
      </c>
      <c r="C1011" s="2">
        <v>44824</v>
      </c>
      <c r="D1011" s="2" t="str">
        <f>TEXT(Table5[[#This Row],[bill_date]],"mmmm")</f>
        <v>September</v>
      </c>
      <c r="E1011" s="9">
        <f>YEAR(Table5[[#This Row],[bill_date]])</f>
        <v>2022</v>
      </c>
      <c r="F1011">
        <v>598</v>
      </c>
      <c r="G1011" t="s">
        <v>30</v>
      </c>
    </row>
    <row r="1012" spans="1:7" x14ac:dyDescent="0.3">
      <c r="A1012">
        <v>31011</v>
      </c>
      <c r="B1012">
        <v>112</v>
      </c>
      <c r="C1012" s="2">
        <v>45149</v>
      </c>
      <c r="D1012" s="2" t="str">
        <f>TEXT(Table5[[#This Row],[bill_date]],"mmmm")</f>
        <v>August</v>
      </c>
      <c r="E1012" s="9">
        <f>YEAR(Table5[[#This Row],[bill_date]])</f>
        <v>2023</v>
      </c>
      <c r="F1012">
        <v>1255</v>
      </c>
      <c r="G1012" t="s">
        <v>30</v>
      </c>
    </row>
    <row r="1013" spans="1:7" x14ac:dyDescent="0.3">
      <c r="A1013">
        <v>31012</v>
      </c>
      <c r="B1013">
        <v>422</v>
      </c>
      <c r="C1013" s="2">
        <v>45216</v>
      </c>
      <c r="D1013" s="2" t="str">
        <f>TEXT(Table5[[#This Row],[bill_date]],"mmmm")</f>
        <v>October</v>
      </c>
      <c r="E1013" s="9">
        <f>YEAR(Table5[[#This Row],[bill_date]])</f>
        <v>2023</v>
      </c>
      <c r="F1013">
        <v>1381</v>
      </c>
      <c r="G1013" t="s">
        <v>30</v>
      </c>
    </row>
    <row r="1014" spans="1:7" x14ac:dyDescent="0.3">
      <c r="A1014">
        <v>31013</v>
      </c>
      <c r="B1014">
        <v>131</v>
      </c>
      <c r="C1014" s="2">
        <v>44876</v>
      </c>
      <c r="D1014" s="2" t="str">
        <f>TEXT(Table5[[#This Row],[bill_date]],"mmmm")</f>
        <v>November</v>
      </c>
      <c r="E1014" s="9">
        <f>YEAR(Table5[[#This Row],[bill_date]])</f>
        <v>2022</v>
      </c>
      <c r="F1014">
        <v>604</v>
      </c>
      <c r="G1014" t="s">
        <v>30</v>
      </c>
    </row>
    <row r="1015" spans="1:7" x14ac:dyDescent="0.3">
      <c r="A1015">
        <v>31014</v>
      </c>
      <c r="B1015">
        <v>420</v>
      </c>
      <c r="C1015" s="2">
        <v>44930</v>
      </c>
      <c r="D1015" s="2" t="str">
        <f>TEXT(Table5[[#This Row],[bill_date]],"mmmm")</f>
        <v>January</v>
      </c>
      <c r="E1015" s="9">
        <f>YEAR(Table5[[#This Row],[bill_date]])</f>
        <v>2023</v>
      </c>
      <c r="F1015">
        <v>562</v>
      </c>
      <c r="G1015" t="s">
        <v>30</v>
      </c>
    </row>
    <row r="1016" spans="1:7" x14ac:dyDescent="0.3">
      <c r="A1016">
        <v>31015</v>
      </c>
      <c r="B1016">
        <v>278</v>
      </c>
      <c r="C1016" s="2">
        <v>45158</v>
      </c>
      <c r="D1016" s="2" t="str">
        <f>TEXT(Table5[[#This Row],[bill_date]],"mmmm")</f>
        <v>August</v>
      </c>
      <c r="E1016" s="9">
        <f>YEAR(Table5[[#This Row],[bill_date]])</f>
        <v>2023</v>
      </c>
      <c r="F1016">
        <v>1178</v>
      </c>
      <c r="G1016" t="s">
        <v>30</v>
      </c>
    </row>
    <row r="1017" spans="1:7" x14ac:dyDescent="0.3">
      <c r="A1017">
        <v>31016</v>
      </c>
      <c r="B1017">
        <v>264</v>
      </c>
      <c r="C1017" s="2">
        <v>44813</v>
      </c>
      <c r="D1017" s="2" t="str">
        <f>TEXT(Table5[[#This Row],[bill_date]],"mmmm")</f>
        <v>September</v>
      </c>
      <c r="E1017" s="9">
        <f>YEAR(Table5[[#This Row],[bill_date]])</f>
        <v>2022</v>
      </c>
      <c r="F1017">
        <v>1926</v>
      </c>
      <c r="G1017" t="s">
        <v>30</v>
      </c>
    </row>
    <row r="1018" spans="1:7" x14ac:dyDescent="0.3">
      <c r="A1018">
        <v>31017</v>
      </c>
      <c r="B1018">
        <v>445</v>
      </c>
      <c r="C1018" s="2">
        <v>44894</v>
      </c>
      <c r="D1018" s="2" t="str">
        <f>TEXT(Table5[[#This Row],[bill_date]],"mmmm")</f>
        <v>November</v>
      </c>
      <c r="E1018" s="9">
        <f>YEAR(Table5[[#This Row],[bill_date]])</f>
        <v>2022</v>
      </c>
      <c r="F1018">
        <v>361</v>
      </c>
      <c r="G1018" t="s">
        <v>30</v>
      </c>
    </row>
    <row r="1019" spans="1:7" x14ac:dyDescent="0.3">
      <c r="A1019">
        <v>31018</v>
      </c>
      <c r="B1019">
        <v>382</v>
      </c>
      <c r="C1019" s="2">
        <v>45305</v>
      </c>
      <c r="D1019" s="2" t="str">
        <f>TEXT(Table5[[#This Row],[bill_date]],"mmmm")</f>
        <v>January</v>
      </c>
      <c r="E1019" s="9">
        <f>YEAR(Table5[[#This Row],[bill_date]])</f>
        <v>2024</v>
      </c>
      <c r="F1019">
        <v>962</v>
      </c>
      <c r="G1019" t="s">
        <v>30</v>
      </c>
    </row>
    <row r="1020" spans="1:7" x14ac:dyDescent="0.3">
      <c r="A1020">
        <v>31019</v>
      </c>
      <c r="B1020">
        <v>78</v>
      </c>
      <c r="C1020" s="2">
        <v>44987</v>
      </c>
      <c r="D1020" s="2" t="str">
        <f>TEXT(Table5[[#This Row],[bill_date]],"mmmm")</f>
        <v>March</v>
      </c>
      <c r="E1020" s="9">
        <f>YEAR(Table5[[#This Row],[bill_date]])</f>
        <v>2023</v>
      </c>
      <c r="F1020">
        <v>749</v>
      </c>
      <c r="G1020" t="s">
        <v>30</v>
      </c>
    </row>
    <row r="1021" spans="1:7" x14ac:dyDescent="0.3">
      <c r="A1021">
        <v>31020</v>
      </c>
      <c r="B1021">
        <v>263</v>
      </c>
      <c r="C1021" s="2">
        <v>44856</v>
      </c>
      <c r="D1021" s="2" t="str">
        <f>TEXT(Table5[[#This Row],[bill_date]],"mmmm")</f>
        <v>October</v>
      </c>
      <c r="E1021" s="9">
        <f>YEAR(Table5[[#This Row],[bill_date]])</f>
        <v>2022</v>
      </c>
      <c r="F1021">
        <v>329</v>
      </c>
      <c r="G1021" t="s">
        <v>30</v>
      </c>
    </row>
    <row r="1022" spans="1:7" x14ac:dyDescent="0.3">
      <c r="A1022">
        <v>31021</v>
      </c>
      <c r="B1022">
        <v>68</v>
      </c>
      <c r="C1022" s="2">
        <v>45392</v>
      </c>
      <c r="D1022" s="2" t="str">
        <f>TEXT(Table5[[#This Row],[bill_date]],"mmmm")</f>
        <v>April</v>
      </c>
      <c r="E1022" s="9">
        <f>YEAR(Table5[[#This Row],[bill_date]])</f>
        <v>2024</v>
      </c>
      <c r="F1022">
        <v>1318</v>
      </c>
      <c r="G1022" t="s">
        <v>30</v>
      </c>
    </row>
    <row r="1023" spans="1:7" x14ac:dyDescent="0.3">
      <c r="A1023">
        <v>31022</v>
      </c>
      <c r="B1023">
        <v>62</v>
      </c>
      <c r="C1023" s="2">
        <v>45203</v>
      </c>
      <c r="D1023" s="2" t="str">
        <f>TEXT(Table5[[#This Row],[bill_date]],"mmmm")</f>
        <v>October</v>
      </c>
      <c r="E1023" s="9">
        <f>YEAR(Table5[[#This Row],[bill_date]])</f>
        <v>2023</v>
      </c>
      <c r="F1023">
        <v>851</v>
      </c>
      <c r="G1023" t="s">
        <v>30</v>
      </c>
    </row>
    <row r="1024" spans="1:7" x14ac:dyDescent="0.3">
      <c r="A1024">
        <v>31023</v>
      </c>
      <c r="B1024">
        <v>403</v>
      </c>
      <c r="C1024" s="2">
        <v>44846</v>
      </c>
      <c r="D1024" s="2" t="str">
        <f>TEXT(Table5[[#This Row],[bill_date]],"mmmm")</f>
        <v>October</v>
      </c>
      <c r="E1024" s="9">
        <f>YEAR(Table5[[#This Row],[bill_date]])</f>
        <v>2022</v>
      </c>
      <c r="F1024">
        <v>1206</v>
      </c>
      <c r="G1024" t="s">
        <v>30</v>
      </c>
    </row>
    <row r="1025" spans="1:7" x14ac:dyDescent="0.3">
      <c r="A1025">
        <v>31024</v>
      </c>
      <c r="B1025">
        <v>363</v>
      </c>
      <c r="C1025" s="2">
        <v>44878</v>
      </c>
      <c r="D1025" s="2" t="str">
        <f>TEXT(Table5[[#This Row],[bill_date]],"mmmm")</f>
        <v>November</v>
      </c>
      <c r="E1025" s="9">
        <f>YEAR(Table5[[#This Row],[bill_date]])</f>
        <v>2022</v>
      </c>
      <c r="F1025">
        <v>468</v>
      </c>
      <c r="G1025" t="s">
        <v>30</v>
      </c>
    </row>
    <row r="1026" spans="1:7" x14ac:dyDescent="0.3">
      <c r="A1026">
        <v>31025</v>
      </c>
      <c r="B1026">
        <v>175</v>
      </c>
      <c r="C1026" s="2">
        <v>45073</v>
      </c>
      <c r="D1026" s="2" t="str">
        <f>TEXT(Table5[[#This Row],[bill_date]],"mmmm")</f>
        <v>May</v>
      </c>
      <c r="E1026" s="9">
        <f>YEAR(Table5[[#This Row],[bill_date]])</f>
        <v>2023</v>
      </c>
      <c r="F1026">
        <v>1903</v>
      </c>
      <c r="G1026" t="s">
        <v>28</v>
      </c>
    </row>
    <row r="1027" spans="1:7" x14ac:dyDescent="0.3">
      <c r="A1027">
        <v>31026</v>
      </c>
      <c r="B1027">
        <v>280</v>
      </c>
      <c r="C1027" s="2">
        <v>44590</v>
      </c>
      <c r="D1027" s="2" t="str">
        <f>TEXT(Table5[[#This Row],[bill_date]],"mmmm")</f>
        <v>January</v>
      </c>
      <c r="E1027" s="9">
        <f>YEAR(Table5[[#This Row],[bill_date]])</f>
        <v>2022</v>
      </c>
      <c r="F1027">
        <v>1102</v>
      </c>
      <c r="G1027" t="s">
        <v>29</v>
      </c>
    </row>
    <row r="1028" spans="1:7" x14ac:dyDescent="0.3">
      <c r="A1028">
        <v>31027</v>
      </c>
      <c r="B1028">
        <v>464</v>
      </c>
      <c r="C1028" s="2">
        <v>45301</v>
      </c>
      <c r="D1028" s="2" t="str">
        <f>TEXT(Table5[[#This Row],[bill_date]],"mmmm")</f>
        <v>January</v>
      </c>
      <c r="E1028" s="9">
        <f>YEAR(Table5[[#This Row],[bill_date]])</f>
        <v>2024</v>
      </c>
      <c r="F1028">
        <v>1589</v>
      </c>
      <c r="G1028" t="s">
        <v>30</v>
      </c>
    </row>
    <row r="1029" spans="1:7" x14ac:dyDescent="0.3">
      <c r="A1029">
        <v>31028</v>
      </c>
      <c r="B1029">
        <v>390</v>
      </c>
      <c r="C1029" s="2">
        <v>44855</v>
      </c>
      <c r="D1029" s="2" t="str">
        <f>TEXT(Table5[[#This Row],[bill_date]],"mmmm")</f>
        <v>October</v>
      </c>
      <c r="E1029" s="9">
        <f>YEAR(Table5[[#This Row],[bill_date]])</f>
        <v>2022</v>
      </c>
      <c r="F1029">
        <v>985</v>
      </c>
      <c r="G1029" t="s">
        <v>30</v>
      </c>
    </row>
    <row r="1030" spans="1:7" x14ac:dyDescent="0.3">
      <c r="A1030">
        <v>31029</v>
      </c>
      <c r="B1030">
        <v>236</v>
      </c>
      <c r="C1030" s="2">
        <v>44568</v>
      </c>
      <c r="D1030" s="2" t="str">
        <f>TEXT(Table5[[#This Row],[bill_date]],"mmmm")</f>
        <v>January</v>
      </c>
      <c r="E1030" s="9">
        <f>YEAR(Table5[[#This Row],[bill_date]])</f>
        <v>2022</v>
      </c>
      <c r="F1030">
        <v>563</v>
      </c>
      <c r="G1030" t="s">
        <v>30</v>
      </c>
    </row>
    <row r="1031" spans="1:7" x14ac:dyDescent="0.3">
      <c r="A1031">
        <v>31030</v>
      </c>
      <c r="B1031">
        <v>136</v>
      </c>
      <c r="C1031" s="2">
        <v>45103</v>
      </c>
      <c r="D1031" s="2" t="str">
        <f>TEXT(Table5[[#This Row],[bill_date]],"mmmm")</f>
        <v>June</v>
      </c>
      <c r="E1031" s="9">
        <f>YEAR(Table5[[#This Row],[bill_date]])</f>
        <v>2023</v>
      </c>
      <c r="F1031">
        <v>1656</v>
      </c>
      <c r="G1031" t="s">
        <v>30</v>
      </c>
    </row>
    <row r="1032" spans="1:7" x14ac:dyDescent="0.3">
      <c r="A1032">
        <v>31031</v>
      </c>
      <c r="B1032">
        <v>409</v>
      </c>
      <c r="C1032" s="2">
        <v>44776</v>
      </c>
      <c r="D1032" s="2" t="str">
        <f>TEXT(Table5[[#This Row],[bill_date]],"mmmm")</f>
        <v>August</v>
      </c>
      <c r="E1032" s="9">
        <f>YEAR(Table5[[#This Row],[bill_date]])</f>
        <v>2022</v>
      </c>
      <c r="F1032">
        <v>809</v>
      </c>
      <c r="G1032" t="s">
        <v>30</v>
      </c>
    </row>
    <row r="1033" spans="1:7" x14ac:dyDescent="0.3">
      <c r="A1033">
        <v>31032</v>
      </c>
      <c r="B1033">
        <v>224</v>
      </c>
      <c r="C1033" s="2">
        <v>45188</v>
      </c>
      <c r="D1033" s="2" t="str">
        <f>TEXT(Table5[[#This Row],[bill_date]],"mmmm")</f>
        <v>September</v>
      </c>
      <c r="E1033" s="9">
        <f>YEAR(Table5[[#This Row],[bill_date]])</f>
        <v>2023</v>
      </c>
      <c r="F1033">
        <v>1283</v>
      </c>
      <c r="G1033" t="s">
        <v>29</v>
      </c>
    </row>
    <row r="1034" spans="1:7" x14ac:dyDescent="0.3">
      <c r="A1034">
        <v>31033</v>
      </c>
      <c r="B1034">
        <v>89</v>
      </c>
      <c r="C1034" s="2">
        <v>44776</v>
      </c>
      <c r="D1034" s="2" t="str">
        <f>TEXT(Table5[[#This Row],[bill_date]],"mmmm")</f>
        <v>August</v>
      </c>
      <c r="E1034" s="9">
        <f>YEAR(Table5[[#This Row],[bill_date]])</f>
        <v>2022</v>
      </c>
      <c r="F1034">
        <v>1130</v>
      </c>
      <c r="G1034" t="s">
        <v>28</v>
      </c>
    </row>
    <row r="1035" spans="1:7" x14ac:dyDescent="0.3">
      <c r="A1035">
        <v>31034</v>
      </c>
      <c r="B1035">
        <v>458</v>
      </c>
      <c r="C1035" s="2">
        <v>44725</v>
      </c>
      <c r="D1035" s="2" t="str">
        <f>TEXT(Table5[[#This Row],[bill_date]],"mmmm")</f>
        <v>June</v>
      </c>
      <c r="E1035" s="9">
        <f>YEAR(Table5[[#This Row],[bill_date]])</f>
        <v>2022</v>
      </c>
      <c r="F1035">
        <v>1545</v>
      </c>
      <c r="G1035" t="s">
        <v>30</v>
      </c>
    </row>
    <row r="1036" spans="1:7" x14ac:dyDescent="0.3">
      <c r="A1036">
        <v>31035</v>
      </c>
      <c r="B1036">
        <v>107</v>
      </c>
      <c r="C1036" s="2">
        <v>44731</v>
      </c>
      <c r="D1036" s="2" t="str">
        <f>TEXT(Table5[[#This Row],[bill_date]],"mmmm")</f>
        <v>June</v>
      </c>
      <c r="E1036" s="9">
        <f>YEAR(Table5[[#This Row],[bill_date]])</f>
        <v>2022</v>
      </c>
      <c r="F1036">
        <v>1951</v>
      </c>
      <c r="G1036" t="s">
        <v>30</v>
      </c>
    </row>
    <row r="1037" spans="1:7" x14ac:dyDescent="0.3">
      <c r="A1037">
        <v>31036</v>
      </c>
      <c r="B1037">
        <v>41</v>
      </c>
      <c r="C1037" s="2">
        <v>44782</v>
      </c>
      <c r="D1037" s="2" t="str">
        <f>TEXT(Table5[[#This Row],[bill_date]],"mmmm")</f>
        <v>August</v>
      </c>
      <c r="E1037" s="9">
        <f>YEAR(Table5[[#This Row],[bill_date]])</f>
        <v>2022</v>
      </c>
      <c r="F1037">
        <v>787</v>
      </c>
      <c r="G1037" t="s">
        <v>30</v>
      </c>
    </row>
    <row r="1038" spans="1:7" x14ac:dyDescent="0.3">
      <c r="A1038">
        <v>31037</v>
      </c>
      <c r="B1038">
        <v>186</v>
      </c>
      <c r="C1038" s="2">
        <v>44821</v>
      </c>
      <c r="D1038" s="2" t="str">
        <f>TEXT(Table5[[#This Row],[bill_date]],"mmmm")</f>
        <v>September</v>
      </c>
      <c r="E1038" s="9">
        <f>YEAR(Table5[[#This Row],[bill_date]])</f>
        <v>2022</v>
      </c>
      <c r="F1038">
        <v>406</v>
      </c>
      <c r="G1038" t="s">
        <v>30</v>
      </c>
    </row>
    <row r="1039" spans="1:7" x14ac:dyDescent="0.3">
      <c r="A1039">
        <v>31038</v>
      </c>
      <c r="B1039">
        <v>465</v>
      </c>
      <c r="C1039" s="2">
        <v>45285</v>
      </c>
      <c r="D1039" s="2" t="str">
        <f>TEXT(Table5[[#This Row],[bill_date]],"mmmm")</f>
        <v>December</v>
      </c>
      <c r="E1039" s="9">
        <f>YEAR(Table5[[#This Row],[bill_date]])</f>
        <v>2023</v>
      </c>
      <c r="F1039">
        <v>546</v>
      </c>
      <c r="G1039" t="s">
        <v>30</v>
      </c>
    </row>
    <row r="1040" spans="1:7" x14ac:dyDescent="0.3">
      <c r="A1040">
        <v>31039</v>
      </c>
      <c r="B1040">
        <v>188</v>
      </c>
      <c r="C1040" s="2">
        <v>44822</v>
      </c>
      <c r="D1040" s="2" t="str">
        <f>TEXT(Table5[[#This Row],[bill_date]],"mmmm")</f>
        <v>September</v>
      </c>
      <c r="E1040" s="9">
        <f>YEAR(Table5[[#This Row],[bill_date]])</f>
        <v>2022</v>
      </c>
      <c r="F1040">
        <v>243</v>
      </c>
      <c r="G1040" t="s">
        <v>30</v>
      </c>
    </row>
    <row r="1041" spans="1:7" x14ac:dyDescent="0.3">
      <c r="A1041">
        <v>31040</v>
      </c>
      <c r="B1041">
        <v>366</v>
      </c>
      <c r="C1041" s="2">
        <v>45375</v>
      </c>
      <c r="D1041" s="2" t="str">
        <f>TEXT(Table5[[#This Row],[bill_date]],"mmmm")</f>
        <v>March</v>
      </c>
      <c r="E1041" s="9">
        <f>YEAR(Table5[[#This Row],[bill_date]])</f>
        <v>2024</v>
      </c>
      <c r="F1041">
        <v>545</v>
      </c>
      <c r="G1041" t="s">
        <v>30</v>
      </c>
    </row>
    <row r="1042" spans="1:7" x14ac:dyDescent="0.3">
      <c r="A1042">
        <v>31041</v>
      </c>
      <c r="B1042">
        <v>387</v>
      </c>
      <c r="C1042" s="2">
        <v>45404</v>
      </c>
      <c r="D1042" s="2" t="str">
        <f>TEXT(Table5[[#This Row],[bill_date]],"mmmm")</f>
        <v>April</v>
      </c>
      <c r="E1042" s="9">
        <f>YEAR(Table5[[#This Row],[bill_date]])</f>
        <v>2024</v>
      </c>
      <c r="F1042">
        <v>912</v>
      </c>
      <c r="G1042" t="s">
        <v>30</v>
      </c>
    </row>
    <row r="1043" spans="1:7" x14ac:dyDescent="0.3">
      <c r="A1043">
        <v>31042</v>
      </c>
      <c r="B1043">
        <v>9</v>
      </c>
      <c r="C1043" s="2">
        <v>45203</v>
      </c>
      <c r="D1043" s="2" t="str">
        <f>TEXT(Table5[[#This Row],[bill_date]],"mmmm")</f>
        <v>October</v>
      </c>
      <c r="E1043" s="9">
        <f>YEAR(Table5[[#This Row],[bill_date]])</f>
        <v>2023</v>
      </c>
      <c r="F1043">
        <v>1944</v>
      </c>
      <c r="G1043" t="s">
        <v>30</v>
      </c>
    </row>
    <row r="1044" spans="1:7" x14ac:dyDescent="0.3">
      <c r="A1044">
        <v>31043</v>
      </c>
      <c r="B1044">
        <v>180</v>
      </c>
      <c r="C1044" s="2">
        <v>45178</v>
      </c>
      <c r="D1044" s="2" t="str">
        <f>TEXT(Table5[[#This Row],[bill_date]],"mmmm")</f>
        <v>September</v>
      </c>
      <c r="E1044" s="9">
        <f>YEAR(Table5[[#This Row],[bill_date]])</f>
        <v>2023</v>
      </c>
      <c r="F1044">
        <v>845</v>
      </c>
      <c r="G1044" t="s">
        <v>30</v>
      </c>
    </row>
    <row r="1045" spans="1:7" x14ac:dyDescent="0.3">
      <c r="A1045">
        <v>31044</v>
      </c>
      <c r="B1045">
        <v>186</v>
      </c>
      <c r="C1045" s="2">
        <v>45127</v>
      </c>
      <c r="D1045" s="2" t="str">
        <f>TEXT(Table5[[#This Row],[bill_date]],"mmmm")</f>
        <v>July</v>
      </c>
      <c r="E1045" s="9">
        <f>YEAR(Table5[[#This Row],[bill_date]])</f>
        <v>2023</v>
      </c>
      <c r="F1045">
        <v>567</v>
      </c>
      <c r="G1045" t="s">
        <v>30</v>
      </c>
    </row>
    <row r="1046" spans="1:7" x14ac:dyDescent="0.3">
      <c r="A1046">
        <v>31045</v>
      </c>
      <c r="B1046">
        <v>444</v>
      </c>
      <c r="C1046" s="2">
        <v>45181</v>
      </c>
      <c r="D1046" s="2" t="str">
        <f>TEXT(Table5[[#This Row],[bill_date]],"mmmm")</f>
        <v>September</v>
      </c>
      <c r="E1046" s="9">
        <f>YEAR(Table5[[#This Row],[bill_date]])</f>
        <v>2023</v>
      </c>
      <c r="F1046">
        <v>732</v>
      </c>
      <c r="G1046" t="s">
        <v>30</v>
      </c>
    </row>
    <row r="1047" spans="1:7" x14ac:dyDescent="0.3">
      <c r="A1047">
        <v>31046</v>
      </c>
      <c r="B1047">
        <v>82</v>
      </c>
      <c r="C1047" s="2">
        <v>45033</v>
      </c>
      <c r="D1047" s="2" t="str">
        <f>TEXT(Table5[[#This Row],[bill_date]],"mmmm")</f>
        <v>April</v>
      </c>
      <c r="E1047" s="9">
        <f>YEAR(Table5[[#This Row],[bill_date]])</f>
        <v>2023</v>
      </c>
      <c r="F1047">
        <v>556</v>
      </c>
      <c r="G1047" t="s">
        <v>30</v>
      </c>
    </row>
    <row r="1048" spans="1:7" x14ac:dyDescent="0.3">
      <c r="A1048">
        <v>31047</v>
      </c>
      <c r="B1048">
        <v>177</v>
      </c>
      <c r="C1048" s="2">
        <v>45388</v>
      </c>
      <c r="D1048" s="2" t="str">
        <f>TEXT(Table5[[#This Row],[bill_date]],"mmmm")</f>
        <v>April</v>
      </c>
      <c r="E1048" s="9">
        <f>YEAR(Table5[[#This Row],[bill_date]])</f>
        <v>2024</v>
      </c>
      <c r="F1048">
        <v>693</v>
      </c>
      <c r="G1048" t="s">
        <v>28</v>
      </c>
    </row>
    <row r="1049" spans="1:7" x14ac:dyDescent="0.3">
      <c r="A1049">
        <v>31048</v>
      </c>
      <c r="B1049">
        <v>94</v>
      </c>
      <c r="C1049" s="2">
        <v>45362</v>
      </c>
      <c r="D1049" s="2" t="str">
        <f>TEXT(Table5[[#This Row],[bill_date]],"mmmm")</f>
        <v>March</v>
      </c>
      <c r="E1049" s="9">
        <f>YEAR(Table5[[#This Row],[bill_date]])</f>
        <v>2024</v>
      </c>
      <c r="F1049">
        <v>1103</v>
      </c>
      <c r="G1049" t="s">
        <v>30</v>
      </c>
    </row>
    <row r="1050" spans="1:7" x14ac:dyDescent="0.3">
      <c r="A1050">
        <v>31049</v>
      </c>
      <c r="B1050">
        <v>389</v>
      </c>
      <c r="C1050" s="2">
        <v>44816</v>
      </c>
      <c r="D1050" s="2" t="str">
        <f>TEXT(Table5[[#This Row],[bill_date]],"mmmm")</f>
        <v>September</v>
      </c>
      <c r="E1050" s="9">
        <f>YEAR(Table5[[#This Row],[bill_date]])</f>
        <v>2022</v>
      </c>
      <c r="F1050">
        <v>258</v>
      </c>
      <c r="G1050" t="s">
        <v>30</v>
      </c>
    </row>
    <row r="1051" spans="1:7" x14ac:dyDescent="0.3">
      <c r="A1051">
        <v>31050</v>
      </c>
      <c r="B1051">
        <v>446</v>
      </c>
      <c r="C1051" s="2">
        <v>44839</v>
      </c>
      <c r="D1051" s="2" t="str">
        <f>TEXT(Table5[[#This Row],[bill_date]],"mmmm")</f>
        <v>October</v>
      </c>
      <c r="E1051" s="9">
        <f>YEAR(Table5[[#This Row],[bill_date]])</f>
        <v>2022</v>
      </c>
      <c r="F1051">
        <v>496</v>
      </c>
      <c r="G1051" t="s">
        <v>30</v>
      </c>
    </row>
    <row r="1052" spans="1:7" x14ac:dyDescent="0.3">
      <c r="A1052">
        <v>31051</v>
      </c>
      <c r="B1052">
        <v>116</v>
      </c>
      <c r="C1052" s="2">
        <v>45120</v>
      </c>
      <c r="D1052" s="2" t="str">
        <f>TEXT(Table5[[#This Row],[bill_date]],"mmmm")</f>
        <v>July</v>
      </c>
      <c r="E1052" s="9">
        <f>YEAR(Table5[[#This Row],[bill_date]])</f>
        <v>2023</v>
      </c>
      <c r="F1052">
        <v>257</v>
      </c>
      <c r="G1052" t="s">
        <v>30</v>
      </c>
    </row>
    <row r="1053" spans="1:7" x14ac:dyDescent="0.3">
      <c r="A1053">
        <v>31052</v>
      </c>
      <c r="B1053">
        <v>160</v>
      </c>
      <c r="C1053" s="2">
        <v>45207</v>
      </c>
      <c r="D1053" s="2" t="str">
        <f>TEXT(Table5[[#This Row],[bill_date]],"mmmm")</f>
        <v>October</v>
      </c>
      <c r="E1053" s="9">
        <f>YEAR(Table5[[#This Row],[bill_date]])</f>
        <v>2023</v>
      </c>
      <c r="F1053">
        <v>1646</v>
      </c>
      <c r="G1053" t="s">
        <v>30</v>
      </c>
    </row>
    <row r="1054" spans="1:7" x14ac:dyDescent="0.3">
      <c r="A1054">
        <v>31053</v>
      </c>
      <c r="B1054">
        <v>245</v>
      </c>
      <c r="C1054" s="2">
        <v>44585</v>
      </c>
      <c r="D1054" s="2" t="str">
        <f>TEXT(Table5[[#This Row],[bill_date]],"mmmm")</f>
        <v>January</v>
      </c>
      <c r="E1054" s="9">
        <f>YEAR(Table5[[#This Row],[bill_date]])</f>
        <v>2022</v>
      </c>
      <c r="F1054">
        <v>429</v>
      </c>
      <c r="G1054" t="s">
        <v>30</v>
      </c>
    </row>
    <row r="1055" spans="1:7" x14ac:dyDescent="0.3">
      <c r="A1055">
        <v>31054</v>
      </c>
      <c r="B1055">
        <v>283</v>
      </c>
      <c r="C1055" s="2">
        <v>44994</v>
      </c>
      <c r="D1055" s="2" t="str">
        <f>TEXT(Table5[[#This Row],[bill_date]],"mmmm")</f>
        <v>March</v>
      </c>
      <c r="E1055" s="9">
        <f>YEAR(Table5[[#This Row],[bill_date]])</f>
        <v>2023</v>
      </c>
      <c r="F1055">
        <v>995</v>
      </c>
      <c r="G1055" t="s">
        <v>28</v>
      </c>
    </row>
    <row r="1056" spans="1:7" x14ac:dyDescent="0.3">
      <c r="A1056">
        <v>31055</v>
      </c>
      <c r="B1056">
        <v>213</v>
      </c>
      <c r="C1056" s="2">
        <v>45190</v>
      </c>
      <c r="D1056" s="2" t="str">
        <f>TEXT(Table5[[#This Row],[bill_date]],"mmmm")</f>
        <v>September</v>
      </c>
      <c r="E1056" s="9">
        <f>YEAR(Table5[[#This Row],[bill_date]])</f>
        <v>2023</v>
      </c>
      <c r="F1056">
        <v>1917</v>
      </c>
      <c r="G1056" t="s">
        <v>30</v>
      </c>
    </row>
    <row r="1057" spans="1:7" x14ac:dyDescent="0.3">
      <c r="A1057">
        <v>31056</v>
      </c>
      <c r="B1057">
        <v>152</v>
      </c>
      <c r="C1057" s="2">
        <v>45312</v>
      </c>
      <c r="D1057" s="2" t="str">
        <f>TEXT(Table5[[#This Row],[bill_date]],"mmmm")</f>
        <v>January</v>
      </c>
      <c r="E1057" s="9">
        <f>YEAR(Table5[[#This Row],[bill_date]])</f>
        <v>2024</v>
      </c>
      <c r="F1057">
        <v>646</v>
      </c>
      <c r="G1057" t="s">
        <v>30</v>
      </c>
    </row>
    <row r="1058" spans="1:7" x14ac:dyDescent="0.3">
      <c r="A1058">
        <v>31057</v>
      </c>
      <c r="B1058">
        <v>166</v>
      </c>
      <c r="C1058" s="2">
        <v>45039</v>
      </c>
      <c r="D1058" s="2" t="str">
        <f>TEXT(Table5[[#This Row],[bill_date]],"mmmm")</f>
        <v>April</v>
      </c>
      <c r="E1058" s="9">
        <f>YEAR(Table5[[#This Row],[bill_date]])</f>
        <v>2023</v>
      </c>
      <c r="F1058">
        <v>811</v>
      </c>
      <c r="G1058" t="s">
        <v>30</v>
      </c>
    </row>
    <row r="1059" spans="1:7" x14ac:dyDescent="0.3">
      <c r="A1059">
        <v>31058</v>
      </c>
      <c r="B1059">
        <v>451</v>
      </c>
      <c r="C1059" s="2">
        <v>45055</v>
      </c>
      <c r="D1059" s="2" t="str">
        <f>TEXT(Table5[[#This Row],[bill_date]],"mmmm")</f>
        <v>May</v>
      </c>
      <c r="E1059" s="9">
        <f>YEAR(Table5[[#This Row],[bill_date]])</f>
        <v>2023</v>
      </c>
      <c r="F1059">
        <v>1848</v>
      </c>
      <c r="G1059" t="s">
        <v>30</v>
      </c>
    </row>
    <row r="1060" spans="1:7" x14ac:dyDescent="0.3">
      <c r="A1060">
        <v>31059</v>
      </c>
      <c r="B1060">
        <v>400</v>
      </c>
      <c r="C1060" s="2">
        <v>44943</v>
      </c>
      <c r="D1060" s="2" t="str">
        <f>TEXT(Table5[[#This Row],[bill_date]],"mmmm")</f>
        <v>January</v>
      </c>
      <c r="E1060" s="9">
        <f>YEAR(Table5[[#This Row],[bill_date]])</f>
        <v>2023</v>
      </c>
      <c r="F1060">
        <v>566</v>
      </c>
      <c r="G1060" t="s">
        <v>28</v>
      </c>
    </row>
    <row r="1061" spans="1:7" x14ac:dyDescent="0.3">
      <c r="A1061">
        <v>31060</v>
      </c>
      <c r="B1061">
        <v>143</v>
      </c>
      <c r="C1061" s="2">
        <v>45380</v>
      </c>
      <c r="D1061" s="2" t="str">
        <f>TEXT(Table5[[#This Row],[bill_date]],"mmmm")</f>
        <v>March</v>
      </c>
      <c r="E1061" s="9">
        <f>YEAR(Table5[[#This Row],[bill_date]])</f>
        <v>2024</v>
      </c>
      <c r="F1061">
        <v>752</v>
      </c>
      <c r="G1061" t="s">
        <v>30</v>
      </c>
    </row>
    <row r="1062" spans="1:7" x14ac:dyDescent="0.3">
      <c r="A1062">
        <v>31061</v>
      </c>
      <c r="B1062">
        <v>25</v>
      </c>
      <c r="C1062" s="2">
        <v>44935</v>
      </c>
      <c r="D1062" s="2" t="str">
        <f>TEXT(Table5[[#This Row],[bill_date]],"mmmm")</f>
        <v>January</v>
      </c>
      <c r="E1062" s="9">
        <f>YEAR(Table5[[#This Row],[bill_date]])</f>
        <v>2023</v>
      </c>
      <c r="F1062">
        <v>1251</v>
      </c>
      <c r="G1062" t="s">
        <v>30</v>
      </c>
    </row>
    <row r="1063" spans="1:7" x14ac:dyDescent="0.3">
      <c r="A1063">
        <v>31062</v>
      </c>
      <c r="B1063">
        <v>200</v>
      </c>
      <c r="C1063" s="2">
        <v>45114</v>
      </c>
      <c r="D1063" s="2" t="str">
        <f>TEXT(Table5[[#This Row],[bill_date]],"mmmm")</f>
        <v>July</v>
      </c>
      <c r="E1063" s="9">
        <f>YEAR(Table5[[#This Row],[bill_date]])</f>
        <v>2023</v>
      </c>
      <c r="F1063">
        <v>1186</v>
      </c>
      <c r="G1063" t="s">
        <v>30</v>
      </c>
    </row>
    <row r="1064" spans="1:7" x14ac:dyDescent="0.3">
      <c r="A1064">
        <v>31063</v>
      </c>
      <c r="B1064">
        <v>233</v>
      </c>
      <c r="C1064" s="2">
        <v>45323</v>
      </c>
      <c r="D1064" s="2" t="str">
        <f>TEXT(Table5[[#This Row],[bill_date]],"mmmm")</f>
        <v>February</v>
      </c>
      <c r="E1064" s="9">
        <f>YEAR(Table5[[#This Row],[bill_date]])</f>
        <v>2024</v>
      </c>
      <c r="F1064">
        <v>475</v>
      </c>
      <c r="G1064" t="s">
        <v>30</v>
      </c>
    </row>
    <row r="1065" spans="1:7" x14ac:dyDescent="0.3">
      <c r="A1065">
        <v>31064</v>
      </c>
      <c r="B1065">
        <v>4</v>
      </c>
      <c r="C1065" s="2">
        <v>44884</v>
      </c>
      <c r="D1065" s="2" t="str">
        <f>TEXT(Table5[[#This Row],[bill_date]],"mmmm")</f>
        <v>November</v>
      </c>
      <c r="E1065" s="9">
        <f>YEAR(Table5[[#This Row],[bill_date]])</f>
        <v>2022</v>
      </c>
      <c r="F1065">
        <v>807</v>
      </c>
      <c r="G1065" t="s">
        <v>30</v>
      </c>
    </row>
    <row r="1066" spans="1:7" x14ac:dyDescent="0.3">
      <c r="A1066">
        <v>31065</v>
      </c>
      <c r="B1066">
        <v>288</v>
      </c>
      <c r="C1066" s="2">
        <v>44650</v>
      </c>
      <c r="D1066" s="2" t="str">
        <f>TEXT(Table5[[#This Row],[bill_date]],"mmmm")</f>
        <v>March</v>
      </c>
      <c r="E1066" s="9">
        <f>YEAR(Table5[[#This Row],[bill_date]])</f>
        <v>2022</v>
      </c>
      <c r="F1066">
        <v>901</v>
      </c>
      <c r="G1066" t="s">
        <v>30</v>
      </c>
    </row>
    <row r="1067" spans="1:7" x14ac:dyDescent="0.3">
      <c r="A1067">
        <v>31066</v>
      </c>
      <c r="B1067">
        <v>173</v>
      </c>
      <c r="C1067" s="2">
        <v>44653</v>
      </c>
      <c r="D1067" s="2" t="str">
        <f>TEXT(Table5[[#This Row],[bill_date]],"mmmm")</f>
        <v>April</v>
      </c>
      <c r="E1067" s="9">
        <f>YEAR(Table5[[#This Row],[bill_date]])</f>
        <v>2022</v>
      </c>
      <c r="F1067">
        <v>1601</v>
      </c>
      <c r="G1067" t="s">
        <v>30</v>
      </c>
    </row>
    <row r="1068" spans="1:7" x14ac:dyDescent="0.3">
      <c r="A1068">
        <v>31067</v>
      </c>
      <c r="B1068">
        <v>184</v>
      </c>
      <c r="C1068" s="2">
        <v>44938</v>
      </c>
      <c r="D1068" s="2" t="str">
        <f>TEXT(Table5[[#This Row],[bill_date]],"mmmm")</f>
        <v>January</v>
      </c>
      <c r="E1068" s="9">
        <f>YEAR(Table5[[#This Row],[bill_date]])</f>
        <v>2023</v>
      </c>
      <c r="F1068">
        <v>1029</v>
      </c>
      <c r="G1068" t="s">
        <v>30</v>
      </c>
    </row>
    <row r="1069" spans="1:7" x14ac:dyDescent="0.3">
      <c r="A1069">
        <v>31068</v>
      </c>
      <c r="B1069">
        <v>251</v>
      </c>
      <c r="C1069" s="2">
        <v>44642</v>
      </c>
      <c r="D1069" s="2" t="str">
        <f>TEXT(Table5[[#This Row],[bill_date]],"mmmm")</f>
        <v>March</v>
      </c>
      <c r="E1069" s="9">
        <f>YEAR(Table5[[#This Row],[bill_date]])</f>
        <v>2022</v>
      </c>
      <c r="F1069">
        <v>236</v>
      </c>
      <c r="G1069" t="s">
        <v>30</v>
      </c>
    </row>
    <row r="1070" spans="1:7" x14ac:dyDescent="0.3">
      <c r="A1070">
        <v>31069</v>
      </c>
      <c r="B1070">
        <v>291</v>
      </c>
      <c r="C1070" s="2">
        <v>45203</v>
      </c>
      <c r="D1070" s="2" t="str">
        <f>TEXT(Table5[[#This Row],[bill_date]],"mmmm")</f>
        <v>October</v>
      </c>
      <c r="E1070" s="9">
        <f>YEAR(Table5[[#This Row],[bill_date]])</f>
        <v>2023</v>
      </c>
      <c r="F1070">
        <v>1429</v>
      </c>
      <c r="G1070" t="s">
        <v>30</v>
      </c>
    </row>
    <row r="1071" spans="1:7" x14ac:dyDescent="0.3">
      <c r="A1071">
        <v>31070</v>
      </c>
      <c r="B1071">
        <v>437</v>
      </c>
      <c r="C1071" s="2">
        <v>45164</v>
      </c>
      <c r="D1071" s="2" t="str">
        <f>TEXT(Table5[[#This Row],[bill_date]],"mmmm")</f>
        <v>August</v>
      </c>
      <c r="E1071" s="9">
        <f>YEAR(Table5[[#This Row],[bill_date]])</f>
        <v>2023</v>
      </c>
      <c r="F1071">
        <v>1928</v>
      </c>
      <c r="G1071" t="s">
        <v>28</v>
      </c>
    </row>
    <row r="1072" spans="1:7" x14ac:dyDescent="0.3">
      <c r="A1072">
        <v>31071</v>
      </c>
      <c r="B1072">
        <v>286</v>
      </c>
      <c r="C1072" s="2">
        <v>44661</v>
      </c>
      <c r="D1072" s="2" t="str">
        <f>TEXT(Table5[[#This Row],[bill_date]],"mmmm")</f>
        <v>April</v>
      </c>
      <c r="E1072" s="9">
        <f>YEAR(Table5[[#This Row],[bill_date]])</f>
        <v>2022</v>
      </c>
      <c r="F1072">
        <v>1874</v>
      </c>
      <c r="G1072" t="s">
        <v>30</v>
      </c>
    </row>
    <row r="1073" spans="1:7" x14ac:dyDescent="0.3">
      <c r="A1073">
        <v>31072</v>
      </c>
      <c r="B1073">
        <v>359</v>
      </c>
      <c r="C1073" s="2">
        <v>45151</v>
      </c>
      <c r="D1073" s="2" t="str">
        <f>TEXT(Table5[[#This Row],[bill_date]],"mmmm")</f>
        <v>August</v>
      </c>
      <c r="E1073" s="9">
        <f>YEAR(Table5[[#This Row],[bill_date]])</f>
        <v>2023</v>
      </c>
      <c r="F1073">
        <v>487</v>
      </c>
      <c r="G1073" t="s">
        <v>30</v>
      </c>
    </row>
    <row r="1074" spans="1:7" x14ac:dyDescent="0.3">
      <c r="A1074">
        <v>31073</v>
      </c>
      <c r="B1074">
        <v>112</v>
      </c>
      <c r="C1074" s="2">
        <v>45116</v>
      </c>
      <c r="D1074" s="2" t="str">
        <f>TEXT(Table5[[#This Row],[bill_date]],"mmmm")</f>
        <v>July</v>
      </c>
      <c r="E1074" s="9">
        <f>YEAR(Table5[[#This Row],[bill_date]])</f>
        <v>2023</v>
      </c>
      <c r="F1074">
        <v>1173</v>
      </c>
      <c r="G1074" t="s">
        <v>30</v>
      </c>
    </row>
    <row r="1075" spans="1:7" x14ac:dyDescent="0.3">
      <c r="A1075">
        <v>31074</v>
      </c>
      <c r="B1075">
        <v>305</v>
      </c>
      <c r="C1075" s="2">
        <v>44684</v>
      </c>
      <c r="D1075" s="2" t="str">
        <f>TEXT(Table5[[#This Row],[bill_date]],"mmmm")</f>
        <v>May</v>
      </c>
      <c r="E1075" s="9">
        <f>YEAR(Table5[[#This Row],[bill_date]])</f>
        <v>2022</v>
      </c>
      <c r="F1075">
        <v>1715</v>
      </c>
      <c r="G1075" t="s">
        <v>30</v>
      </c>
    </row>
    <row r="1076" spans="1:7" x14ac:dyDescent="0.3">
      <c r="A1076">
        <v>31075</v>
      </c>
      <c r="B1076">
        <v>350</v>
      </c>
      <c r="C1076" s="2">
        <v>45361</v>
      </c>
      <c r="D1076" s="2" t="str">
        <f>TEXT(Table5[[#This Row],[bill_date]],"mmmm")</f>
        <v>March</v>
      </c>
      <c r="E1076" s="9">
        <f>YEAR(Table5[[#This Row],[bill_date]])</f>
        <v>2024</v>
      </c>
      <c r="F1076">
        <v>1991</v>
      </c>
      <c r="G1076" t="s">
        <v>30</v>
      </c>
    </row>
    <row r="1077" spans="1:7" x14ac:dyDescent="0.3">
      <c r="A1077">
        <v>31076</v>
      </c>
      <c r="B1077">
        <v>465</v>
      </c>
      <c r="C1077" s="2">
        <v>44957</v>
      </c>
      <c r="D1077" s="2" t="str">
        <f>TEXT(Table5[[#This Row],[bill_date]],"mmmm")</f>
        <v>January</v>
      </c>
      <c r="E1077" s="9">
        <f>YEAR(Table5[[#This Row],[bill_date]])</f>
        <v>2023</v>
      </c>
      <c r="F1077">
        <v>1447</v>
      </c>
      <c r="G1077" t="s">
        <v>28</v>
      </c>
    </row>
    <row r="1078" spans="1:7" x14ac:dyDescent="0.3">
      <c r="A1078">
        <v>31077</v>
      </c>
      <c r="B1078">
        <v>339</v>
      </c>
      <c r="C1078" s="2">
        <v>44584</v>
      </c>
      <c r="D1078" s="2" t="str">
        <f>TEXT(Table5[[#This Row],[bill_date]],"mmmm")</f>
        <v>January</v>
      </c>
      <c r="E1078" s="9">
        <f>YEAR(Table5[[#This Row],[bill_date]])</f>
        <v>2022</v>
      </c>
      <c r="F1078">
        <v>650</v>
      </c>
      <c r="G1078" t="s">
        <v>30</v>
      </c>
    </row>
    <row r="1079" spans="1:7" x14ac:dyDescent="0.3">
      <c r="A1079">
        <v>31078</v>
      </c>
      <c r="B1079">
        <v>436</v>
      </c>
      <c r="C1079" s="2">
        <v>45217</v>
      </c>
      <c r="D1079" s="2" t="str">
        <f>TEXT(Table5[[#This Row],[bill_date]],"mmmm")</f>
        <v>October</v>
      </c>
      <c r="E1079" s="9">
        <f>YEAR(Table5[[#This Row],[bill_date]])</f>
        <v>2023</v>
      </c>
      <c r="F1079">
        <v>226</v>
      </c>
      <c r="G1079" t="s">
        <v>29</v>
      </c>
    </row>
    <row r="1080" spans="1:7" x14ac:dyDescent="0.3">
      <c r="A1080">
        <v>31079</v>
      </c>
      <c r="B1080">
        <v>479</v>
      </c>
      <c r="C1080" s="2">
        <v>45331</v>
      </c>
      <c r="D1080" s="2" t="str">
        <f>TEXT(Table5[[#This Row],[bill_date]],"mmmm")</f>
        <v>February</v>
      </c>
      <c r="E1080" s="9">
        <f>YEAR(Table5[[#This Row],[bill_date]])</f>
        <v>2024</v>
      </c>
      <c r="F1080">
        <v>900</v>
      </c>
      <c r="G1080" t="s">
        <v>30</v>
      </c>
    </row>
    <row r="1081" spans="1:7" x14ac:dyDescent="0.3">
      <c r="A1081">
        <v>31080</v>
      </c>
      <c r="B1081">
        <v>465</v>
      </c>
      <c r="C1081" s="2">
        <v>45080</v>
      </c>
      <c r="D1081" s="2" t="str">
        <f>TEXT(Table5[[#This Row],[bill_date]],"mmmm")</f>
        <v>June</v>
      </c>
      <c r="E1081" s="9">
        <f>YEAR(Table5[[#This Row],[bill_date]])</f>
        <v>2023</v>
      </c>
      <c r="F1081">
        <v>955</v>
      </c>
      <c r="G1081" t="s">
        <v>28</v>
      </c>
    </row>
    <row r="1082" spans="1:7" x14ac:dyDescent="0.3">
      <c r="A1082">
        <v>31081</v>
      </c>
      <c r="B1082">
        <v>130</v>
      </c>
      <c r="C1082" s="2">
        <v>44838</v>
      </c>
      <c r="D1082" s="2" t="str">
        <f>TEXT(Table5[[#This Row],[bill_date]],"mmmm")</f>
        <v>October</v>
      </c>
      <c r="E1082" s="9">
        <f>YEAR(Table5[[#This Row],[bill_date]])</f>
        <v>2022</v>
      </c>
      <c r="F1082">
        <v>532</v>
      </c>
      <c r="G1082" t="s">
        <v>30</v>
      </c>
    </row>
    <row r="1083" spans="1:7" x14ac:dyDescent="0.3">
      <c r="A1083">
        <v>31082</v>
      </c>
      <c r="B1083">
        <v>187</v>
      </c>
      <c r="C1083" s="2">
        <v>45259</v>
      </c>
      <c r="D1083" s="2" t="str">
        <f>TEXT(Table5[[#This Row],[bill_date]],"mmmm")</f>
        <v>November</v>
      </c>
      <c r="E1083" s="9">
        <f>YEAR(Table5[[#This Row],[bill_date]])</f>
        <v>2023</v>
      </c>
      <c r="F1083">
        <v>1595</v>
      </c>
      <c r="G1083" t="s">
        <v>30</v>
      </c>
    </row>
    <row r="1084" spans="1:7" x14ac:dyDescent="0.3">
      <c r="A1084">
        <v>31083</v>
      </c>
      <c r="B1084">
        <v>421</v>
      </c>
      <c r="C1084" s="2">
        <v>44656</v>
      </c>
      <c r="D1084" s="2" t="str">
        <f>TEXT(Table5[[#This Row],[bill_date]],"mmmm")</f>
        <v>April</v>
      </c>
      <c r="E1084" s="9">
        <f>YEAR(Table5[[#This Row],[bill_date]])</f>
        <v>2022</v>
      </c>
      <c r="F1084">
        <v>759</v>
      </c>
      <c r="G1084" t="s">
        <v>30</v>
      </c>
    </row>
    <row r="1085" spans="1:7" x14ac:dyDescent="0.3">
      <c r="A1085">
        <v>31084</v>
      </c>
      <c r="B1085">
        <v>496</v>
      </c>
      <c r="C1085" s="2">
        <v>44943</v>
      </c>
      <c r="D1085" s="2" t="str">
        <f>TEXT(Table5[[#This Row],[bill_date]],"mmmm")</f>
        <v>January</v>
      </c>
      <c r="E1085" s="9">
        <f>YEAR(Table5[[#This Row],[bill_date]])</f>
        <v>2023</v>
      </c>
      <c r="F1085">
        <v>1523</v>
      </c>
      <c r="G1085" t="s">
        <v>30</v>
      </c>
    </row>
    <row r="1086" spans="1:7" x14ac:dyDescent="0.3">
      <c r="A1086">
        <v>31085</v>
      </c>
      <c r="B1086">
        <v>29</v>
      </c>
      <c r="C1086" s="2">
        <v>44938</v>
      </c>
      <c r="D1086" s="2" t="str">
        <f>TEXT(Table5[[#This Row],[bill_date]],"mmmm")</f>
        <v>January</v>
      </c>
      <c r="E1086" s="9">
        <f>YEAR(Table5[[#This Row],[bill_date]])</f>
        <v>2023</v>
      </c>
      <c r="F1086">
        <v>402</v>
      </c>
      <c r="G1086" t="s">
        <v>28</v>
      </c>
    </row>
    <row r="1087" spans="1:7" x14ac:dyDescent="0.3">
      <c r="A1087">
        <v>31086</v>
      </c>
      <c r="B1087">
        <v>158</v>
      </c>
      <c r="C1087" s="2">
        <v>44586</v>
      </c>
      <c r="D1087" s="2" t="str">
        <f>TEXT(Table5[[#This Row],[bill_date]],"mmmm")</f>
        <v>January</v>
      </c>
      <c r="E1087" s="9">
        <f>YEAR(Table5[[#This Row],[bill_date]])</f>
        <v>2022</v>
      </c>
      <c r="F1087">
        <v>577</v>
      </c>
      <c r="G1087" t="s">
        <v>30</v>
      </c>
    </row>
    <row r="1088" spans="1:7" x14ac:dyDescent="0.3">
      <c r="A1088">
        <v>31087</v>
      </c>
      <c r="B1088">
        <v>374</v>
      </c>
      <c r="C1088" s="2">
        <v>44852</v>
      </c>
      <c r="D1088" s="2" t="str">
        <f>TEXT(Table5[[#This Row],[bill_date]],"mmmm")</f>
        <v>October</v>
      </c>
      <c r="E1088" s="9">
        <f>YEAR(Table5[[#This Row],[bill_date]])</f>
        <v>2022</v>
      </c>
      <c r="F1088">
        <v>1100</v>
      </c>
      <c r="G1088" t="s">
        <v>30</v>
      </c>
    </row>
    <row r="1089" spans="1:7" x14ac:dyDescent="0.3">
      <c r="A1089">
        <v>31088</v>
      </c>
      <c r="B1089">
        <v>235</v>
      </c>
      <c r="C1089" s="2">
        <v>44788</v>
      </c>
      <c r="D1089" s="2" t="str">
        <f>TEXT(Table5[[#This Row],[bill_date]],"mmmm")</f>
        <v>August</v>
      </c>
      <c r="E1089" s="9">
        <f>YEAR(Table5[[#This Row],[bill_date]])</f>
        <v>2022</v>
      </c>
      <c r="F1089">
        <v>1337</v>
      </c>
      <c r="G1089" t="s">
        <v>28</v>
      </c>
    </row>
    <row r="1090" spans="1:7" x14ac:dyDescent="0.3">
      <c r="A1090">
        <v>31089</v>
      </c>
      <c r="B1090">
        <v>278</v>
      </c>
      <c r="C1090" s="2">
        <v>44734</v>
      </c>
      <c r="D1090" s="2" t="str">
        <f>TEXT(Table5[[#This Row],[bill_date]],"mmmm")</f>
        <v>June</v>
      </c>
      <c r="E1090" s="9">
        <f>YEAR(Table5[[#This Row],[bill_date]])</f>
        <v>2022</v>
      </c>
      <c r="F1090">
        <v>1242</v>
      </c>
      <c r="G1090" t="s">
        <v>30</v>
      </c>
    </row>
    <row r="1091" spans="1:7" x14ac:dyDescent="0.3">
      <c r="A1091">
        <v>31090</v>
      </c>
      <c r="B1091">
        <v>102</v>
      </c>
      <c r="C1091" s="2">
        <v>45208</v>
      </c>
      <c r="D1091" s="2" t="str">
        <f>TEXT(Table5[[#This Row],[bill_date]],"mmmm")</f>
        <v>October</v>
      </c>
      <c r="E1091" s="9">
        <f>YEAR(Table5[[#This Row],[bill_date]])</f>
        <v>2023</v>
      </c>
      <c r="F1091">
        <v>1206</v>
      </c>
      <c r="G1091" t="s">
        <v>29</v>
      </c>
    </row>
    <row r="1092" spans="1:7" x14ac:dyDescent="0.3">
      <c r="A1092">
        <v>31091</v>
      </c>
      <c r="B1092">
        <v>459</v>
      </c>
      <c r="C1092" s="2">
        <v>45014</v>
      </c>
      <c r="D1092" s="2" t="str">
        <f>TEXT(Table5[[#This Row],[bill_date]],"mmmm")</f>
        <v>March</v>
      </c>
      <c r="E1092" s="9">
        <f>YEAR(Table5[[#This Row],[bill_date]])</f>
        <v>2023</v>
      </c>
      <c r="F1092">
        <v>1819</v>
      </c>
      <c r="G1092" t="s">
        <v>30</v>
      </c>
    </row>
    <row r="1093" spans="1:7" x14ac:dyDescent="0.3">
      <c r="A1093">
        <v>31092</v>
      </c>
      <c r="B1093">
        <v>225</v>
      </c>
      <c r="C1093" s="2">
        <v>44849</v>
      </c>
      <c r="D1093" s="2" t="str">
        <f>TEXT(Table5[[#This Row],[bill_date]],"mmmm")</f>
        <v>October</v>
      </c>
      <c r="E1093" s="9">
        <f>YEAR(Table5[[#This Row],[bill_date]])</f>
        <v>2022</v>
      </c>
      <c r="F1093">
        <v>1110</v>
      </c>
      <c r="G1093" t="s">
        <v>30</v>
      </c>
    </row>
    <row r="1094" spans="1:7" x14ac:dyDescent="0.3">
      <c r="A1094">
        <v>31093</v>
      </c>
      <c r="B1094">
        <v>275</v>
      </c>
      <c r="C1094" s="2">
        <v>45382</v>
      </c>
      <c r="D1094" s="2" t="str">
        <f>TEXT(Table5[[#This Row],[bill_date]],"mmmm")</f>
        <v>March</v>
      </c>
      <c r="E1094" s="9">
        <f>YEAR(Table5[[#This Row],[bill_date]])</f>
        <v>2024</v>
      </c>
      <c r="F1094">
        <v>594</v>
      </c>
      <c r="G1094" t="s">
        <v>30</v>
      </c>
    </row>
    <row r="1095" spans="1:7" x14ac:dyDescent="0.3">
      <c r="A1095">
        <v>31094</v>
      </c>
      <c r="B1095">
        <v>323</v>
      </c>
      <c r="C1095" s="2">
        <v>44630</v>
      </c>
      <c r="D1095" s="2" t="str">
        <f>TEXT(Table5[[#This Row],[bill_date]],"mmmm")</f>
        <v>March</v>
      </c>
      <c r="E1095" s="9">
        <f>YEAR(Table5[[#This Row],[bill_date]])</f>
        <v>2022</v>
      </c>
      <c r="F1095">
        <v>1987</v>
      </c>
      <c r="G1095" t="s">
        <v>30</v>
      </c>
    </row>
    <row r="1096" spans="1:7" x14ac:dyDescent="0.3">
      <c r="A1096">
        <v>31095</v>
      </c>
      <c r="B1096">
        <v>232</v>
      </c>
      <c r="C1096" s="2">
        <v>44842</v>
      </c>
      <c r="D1096" s="2" t="str">
        <f>TEXT(Table5[[#This Row],[bill_date]],"mmmm")</f>
        <v>October</v>
      </c>
      <c r="E1096" s="9">
        <f>YEAR(Table5[[#This Row],[bill_date]])</f>
        <v>2022</v>
      </c>
      <c r="F1096">
        <v>1274</v>
      </c>
      <c r="G1096" t="s">
        <v>30</v>
      </c>
    </row>
    <row r="1097" spans="1:7" x14ac:dyDescent="0.3">
      <c r="A1097">
        <v>31096</v>
      </c>
      <c r="B1097">
        <v>342</v>
      </c>
      <c r="C1097" s="2">
        <v>45424</v>
      </c>
      <c r="D1097" s="2" t="str">
        <f>TEXT(Table5[[#This Row],[bill_date]],"mmmm")</f>
        <v>May</v>
      </c>
      <c r="E1097" s="9">
        <f>YEAR(Table5[[#This Row],[bill_date]])</f>
        <v>2024</v>
      </c>
      <c r="F1097">
        <v>1882</v>
      </c>
      <c r="G1097" t="s">
        <v>30</v>
      </c>
    </row>
    <row r="1098" spans="1:7" x14ac:dyDescent="0.3">
      <c r="A1098">
        <v>31097</v>
      </c>
      <c r="B1098">
        <v>274</v>
      </c>
      <c r="C1098" s="2">
        <v>44903</v>
      </c>
      <c r="D1098" s="2" t="str">
        <f>TEXT(Table5[[#This Row],[bill_date]],"mmmm")</f>
        <v>December</v>
      </c>
      <c r="E1098" s="9">
        <f>YEAR(Table5[[#This Row],[bill_date]])</f>
        <v>2022</v>
      </c>
      <c r="F1098">
        <v>1408</v>
      </c>
      <c r="G1098" t="s">
        <v>30</v>
      </c>
    </row>
    <row r="1099" spans="1:7" x14ac:dyDescent="0.3">
      <c r="A1099">
        <v>31098</v>
      </c>
      <c r="B1099">
        <v>365</v>
      </c>
      <c r="C1099" s="2">
        <v>45431</v>
      </c>
      <c r="D1099" s="2" t="str">
        <f>TEXT(Table5[[#This Row],[bill_date]],"mmmm")</f>
        <v>May</v>
      </c>
      <c r="E1099" s="9">
        <f>YEAR(Table5[[#This Row],[bill_date]])</f>
        <v>2024</v>
      </c>
      <c r="F1099">
        <v>1907</v>
      </c>
      <c r="G1099" t="s">
        <v>30</v>
      </c>
    </row>
    <row r="1100" spans="1:7" x14ac:dyDescent="0.3">
      <c r="A1100">
        <v>31099</v>
      </c>
      <c r="B1100">
        <v>478</v>
      </c>
      <c r="C1100" s="2">
        <v>44894</v>
      </c>
      <c r="D1100" s="2" t="str">
        <f>TEXT(Table5[[#This Row],[bill_date]],"mmmm")</f>
        <v>November</v>
      </c>
      <c r="E1100" s="9">
        <f>YEAR(Table5[[#This Row],[bill_date]])</f>
        <v>2022</v>
      </c>
      <c r="F1100">
        <v>551</v>
      </c>
      <c r="G1100" t="s">
        <v>30</v>
      </c>
    </row>
    <row r="1101" spans="1:7" x14ac:dyDescent="0.3">
      <c r="A1101">
        <v>31100</v>
      </c>
      <c r="B1101">
        <v>449</v>
      </c>
      <c r="C1101" s="2">
        <v>45304</v>
      </c>
      <c r="D1101" s="2" t="str">
        <f>TEXT(Table5[[#This Row],[bill_date]],"mmmm")</f>
        <v>January</v>
      </c>
      <c r="E1101" s="9">
        <f>YEAR(Table5[[#This Row],[bill_date]])</f>
        <v>2024</v>
      </c>
      <c r="F1101">
        <v>1336</v>
      </c>
      <c r="G1101" t="s">
        <v>30</v>
      </c>
    </row>
    <row r="1102" spans="1:7" x14ac:dyDescent="0.3">
      <c r="A1102">
        <v>31101</v>
      </c>
      <c r="B1102">
        <v>468</v>
      </c>
      <c r="C1102" s="2">
        <v>44947</v>
      </c>
      <c r="D1102" s="2" t="str">
        <f>TEXT(Table5[[#This Row],[bill_date]],"mmmm")</f>
        <v>January</v>
      </c>
      <c r="E1102" s="9">
        <f>YEAR(Table5[[#This Row],[bill_date]])</f>
        <v>2023</v>
      </c>
      <c r="F1102">
        <v>712</v>
      </c>
      <c r="G1102" t="s">
        <v>30</v>
      </c>
    </row>
    <row r="1103" spans="1:7" x14ac:dyDescent="0.3">
      <c r="A1103">
        <v>31102</v>
      </c>
      <c r="B1103">
        <v>113</v>
      </c>
      <c r="C1103" s="2">
        <v>44903</v>
      </c>
      <c r="D1103" s="2" t="str">
        <f>TEXT(Table5[[#This Row],[bill_date]],"mmmm")</f>
        <v>December</v>
      </c>
      <c r="E1103" s="9">
        <f>YEAR(Table5[[#This Row],[bill_date]])</f>
        <v>2022</v>
      </c>
      <c r="F1103">
        <v>744</v>
      </c>
      <c r="G1103" t="s">
        <v>29</v>
      </c>
    </row>
    <row r="1104" spans="1:7" x14ac:dyDescent="0.3">
      <c r="A1104">
        <v>31103</v>
      </c>
      <c r="B1104">
        <v>389</v>
      </c>
      <c r="C1104" s="2">
        <v>44878</v>
      </c>
      <c r="D1104" s="2" t="str">
        <f>TEXT(Table5[[#This Row],[bill_date]],"mmmm")</f>
        <v>November</v>
      </c>
      <c r="E1104" s="9">
        <f>YEAR(Table5[[#This Row],[bill_date]])</f>
        <v>2022</v>
      </c>
      <c r="F1104">
        <v>480</v>
      </c>
      <c r="G1104" t="s">
        <v>30</v>
      </c>
    </row>
    <row r="1105" spans="1:7" x14ac:dyDescent="0.3">
      <c r="A1105">
        <v>31104</v>
      </c>
      <c r="B1105">
        <v>460</v>
      </c>
      <c r="C1105" s="2">
        <v>44868</v>
      </c>
      <c r="D1105" s="2" t="str">
        <f>TEXT(Table5[[#This Row],[bill_date]],"mmmm")</f>
        <v>November</v>
      </c>
      <c r="E1105" s="9">
        <f>YEAR(Table5[[#This Row],[bill_date]])</f>
        <v>2022</v>
      </c>
      <c r="F1105">
        <v>871</v>
      </c>
      <c r="G1105" t="s">
        <v>30</v>
      </c>
    </row>
    <row r="1106" spans="1:7" x14ac:dyDescent="0.3">
      <c r="A1106">
        <v>31105</v>
      </c>
      <c r="B1106">
        <v>139</v>
      </c>
      <c r="C1106" s="2">
        <v>45331</v>
      </c>
      <c r="D1106" s="2" t="str">
        <f>TEXT(Table5[[#This Row],[bill_date]],"mmmm")</f>
        <v>February</v>
      </c>
      <c r="E1106" s="9">
        <f>YEAR(Table5[[#This Row],[bill_date]])</f>
        <v>2024</v>
      </c>
      <c r="F1106">
        <v>1392</v>
      </c>
      <c r="G1106" t="s">
        <v>30</v>
      </c>
    </row>
    <row r="1107" spans="1:7" x14ac:dyDescent="0.3">
      <c r="A1107">
        <v>31106</v>
      </c>
      <c r="B1107">
        <v>216</v>
      </c>
      <c r="C1107" s="2">
        <v>44734</v>
      </c>
      <c r="D1107" s="2" t="str">
        <f>TEXT(Table5[[#This Row],[bill_date]],"mmmm")</f>
        <v>June</v>
      </c>
      <c r="E1107" s="9">
        <f>YEAR(Table5[[#This Row],[bill_date]])</f>
        <v>2022</v>
      </c>
      <c r="F1107">
        <v>804</v>
      </c>
      <c r="G1107" t="s">
        <v>30</v>
      </c>
    </row>
    <row r="1108" spans="1:7" x14ac:dyDescent="0.3">
      <c r="A1108">
        <v>31107</v>
      </c>
      <c r="B1108">
        <v>314</v>
      </c>
      <c r="C1108" s="2">
        <v>45105</v>
      </c>
      <c r="D1108" s="2" t="str">
        <f>TEXT(Table5[[#This Row],[bill_date]],"mmmm")</f>
        <v>June</v>
      </c>
      <c r="E1108" s="9">
        <f>YEAR(Table5[[#This Row],[bill_date]])</f>
        <v>2023</v>
      </c>
      <c r="F1108">
        <v>958</v>
      </c>
      <c r="G1108" t="s">
        <v>30</v>
      </c>
    </row>
    <row r="1109" spans="1:7" x14ac:dyDescent="0.3">
      <c r="A1109">
        <v>31108</v>
      </c>
      <c r="B1109">
        <v>274</v>
      </c>
      <c r="C1109" s="2">
        <v>44761</v>
      </c>
      <c r="D1109" s="2" t="str">
        <f>TEXT(Table5[[#This Row],[bill_date]],"mmmm")</f>
        <v>July</v>
      </c>
      <c r="E1109" s="9">
        <f>YEAR(Table5[[#This Row],[bill_date]])</f>
        <v>2022</v>
      </c>
      <c r="F1109">
        <v>1543</v>
      </c>
      <c r="G1109" t="s">
        <v>28</v>
      </c>
    </row>
    <row r="1110" spans="1:7" x14ac:dyDescent="0.3">
      <c r="A1110">
        <v>31109</v>
      </c>
      <c r="B1110">
        <v>328</v>
      </c>
      <c r="C1110" s="2">
        <v>45153</v>
      </c>
      <c r="D1110" s="2" t="str">
        <f>TEXT(Table5[[#This Row],[bill_date]],"mmmm")</f>
        <v>August</v>
      </c>
      <c r="E1110" s="9">
        <f>YEAR(Table5[[#This Row],[bill_date]])</f>
        <v>2023</v>
      </c>
      <c r="F1110">
        <v>564</v>
      </c>
      <c r="G1110" t="s">
        <v>30</v>
      </c>
    </row>
    <row r="1111" spans="1:7" x14ac:dyDescent="0.3">
      <c r="A1111">
        <v>31110</v>
      </c>
      <c r="B1111">
        <v>349</v>
      </c>
      <c r="C1111" s="2">
        <v>45426</v>
      </c>
      <c r="D1111" s="2" t="str">
        <f>TEXT(Table5[[#This Row],[bill_date]],"mmmm")</f>
        <v>May</v>
      </c>
      <c r="E1111" s="9">
        <f>YEAR(Table5[[#This Row],[bill_date]])</f>
        <v>2024</v>
      </c>
      <c r="F1111">
        <v>718</v>
      </c>
      <c r="G1111" t="s">
        <v>28</v>
      </c>
    </row>
    <row r="1112" spans="1:7" x14ac:dyDescent="0.3">
      <c r="A1112">
        <v>31111</v>
      </c>
      <c r="B1112">
        <v>184</v>
      </c>
      <c r="C1112" s="2">
        <v>44636</v>
      </c>
      <c r="D1112" s="2" t="str">
        <f>TEXT(Table5[[#This Row],[bill_date]],"mmmm")</f>
        <v>March</v>
      </c>
      <c r="E1112" s="9">
        <f>YEAR(Table5[[#This Row],[bill_date]])</f>
        <v>2022</v>
      </c>
      <c r="F1112">
        <v>308</v>
      </c>
      <c r="G1112" t="s">
        <v>30</v>
      </c>
    </row>
    <row r="1113" spans="1:7" x14ac:dyDescent="0.3">
      <c r="A1113">
        <v>31112</v>
      </c>
      <c r="B1113">
        <v>406</v>
      </c>
      <c r="C1113" s="2">
        <v>45337</v>
      </c>
      <c r="D1113" s="2" t="str">
        <f>TEXT(Table5[[#This Row],[bill_date]],"mmmm")</f>
        <v>February</v>
      </c>
      <c r="E1113" s="9">
        <f>YEAR(Table5[[#This Row],[bill_date]])</f>
        <v>2024</v>
      </c>
      <c r="F1113">
        <v>1104</v>
      </c>
      <c r="G1113" t="s">
        <v>30</v>
      </c>
    </row>
    <row r="1114" spans="1:7" x14ac:dyDescent="0.3">
      <c r="A1114">
        <v>31113</v>
      </c>
      <c r="B1114">
        <v>312</v>
      </c>
      <c r="C1114" s="2">
        <v>45158</v>
      </c>
      <c r="D1114" s="2" t="str">
        <f>TEXT(Table5[[#This Row],[bill_date]],"mmmm")</f>
        <v>August</v>
      </c>
      <c r="E1114" s="9">
        <f>YEAR(Table5[[#This Row],[bill_date]])</f>
        <v>2023</v>
      </c>
      <c r="F1114">
        <v>1766</v>
      </c>
      <c r="G1114" t="s">
        <v>30</v>
      </c>
    </row>
    <row r="1115" spans="1:7" x14ac:dyDescent="0.3">
      <c r="A1115">
        <v>31114</v>
      </c>
      <c r="B1115">
        <v>493</v>
      </c>
      <c r="C1115" s="2">
        <v>44778</v>
      </c>
      <c r="D1115" s="2" t="str">
        <f>TEXT(Table5[[#This Row],[bill_date]],"mmmm")</f>
        <v>August</v>
      </c>
      <c r="E1115" s="9">
        <f>YEAR(Table5[[#This Row],[bill_date]])</f>
        <v>2022</v>
      </c>
      <c r="F1115">
        <v>1785</v>
      </c>
      <c r="G1115" t="s">
        <v>30</v>
      </c>
    </row>
    <row r="1116" spans="1:7" x14ac:dyDescent="0.3">
      <c r="A1116">
        <v>31115</v>
      </c>
      <c r="B1116">
        <v>194</v>
      </c>
      <c r="C1116" s="2">
        <v>45194</v>
      </c>
      <c r="D1116" s="2" t="str">
        <f>TEXT(Table5[[#This Row],[bill_date]],"mmmm")</f>
        <v>September</v>
      </c>
      <c r="E1116" s="9">
        <f>YEAR(Table5[[#This Row],[bill_date]])</f>
        <v>2023</v>
      </c>
      <c r="F1116">
        <v>1151</v>
      </c>
      <c r="G1116" t="s">
        <v>30</v>
      </c>
    </row>
    <row r="1117" spans="1:7" x14ac:dyDescent="0.3">
      <c r="A1117">
        <v>31116</v>
      </c>
      <c r="B1117">
        <v>279</v>
      </c>
      <c r="C1117" s="2">
        <v>45093</v>
      </c>
      <c r="D1117" s="2" t="str">
        <f>TEXT(Table5[[#This Row],[bill_date]],"mmmm")</f>
        <v>June</v>
      </c>
      <c r="E1117" s="9">
        <f>YEAR(Table5[[#This Row],[bill_date]])</f>
        <v>2023</v>
      </c>
      <c r="F1117">
        <v>878</v>
      </c>
      <c r="G1117" t="s">
        <v>30</v>
      </c>
    </row>
    <row r="1118" spans="1:7" x14ac:dyDescent="0.3">
      <c r="A1118">
        <v>31117</v>
      </c>
      <c r="B1118">
        <v>272</v>
      </c>
      <c r="C1118" s="2">
        <v>45010</v>
      </c>
      <c r="D1118" s="2" t="str">
        <f>TEXT(Table5[[#This Row],[bill_date]],"mmmm")</f>
        <v>March</v>
      </c>
      <c r="E1118" s="9">
        <f>YEAR(Table5[[#This Row],[bill_date]])</f>
        <v>2023</v>
      </c>
      <c r="F1118">
        <v>1800</v>
      </c>
      <c r="G1118" t="s">
        <v>30</v>
      </c>
    </row>
    <row r="1119" spans="1:7" x14ac:dyDescent="0.3">
      <c r="A1119">
        <v>31118</v>
      </c>
      <c r="B1119">
        <v>300</v>
      </c>
      <c r="C1119" s="2">
        <v>45222</v>
      </c>
      <c r="D1119" s="2" t="str">
        <f>TEXT(Table5[[#This Row],[bill_date]],"mmmm")</f>
        <v>October</v>
      </c>
      <c r="E1119" s="9">
        <f>YEAR(Table5[[#This Row],[bill_date]])</f>
        <v>2023</v>
      </c>
      <c r="F1119">
        <v>1765</v>
      </c>
      <c r="G1119" t="s">
        <v>30</v>
      </c>
    </row>
    <row r="1120" spans="1:7" x14ac:dyDescent="0.3">
      <c r="A1120">
        <v>31119</v>
      </c>
      <c r="B1120">
        <v>72</v>
      </c>
      <c r="C1120" s="2">
        <v>44568</v>
      </c>
      <c r="D1120" s="2" t="str">
        <f>TEXT(Table5[[#This Row],[bill_date]],"mmmm")</f>
        <v>January</v>
      </c>
      <c r="E1120" s="9">
        <f>YEAR(Table5[[#This Row],[bill_date]])</f>
        <v>2022</v>
      </c>
      <c r="F1120">
        <v>1157</v>
      </c>
      <c r="G1120" t="s">
        <v>30</v>
      </c>
    </row>
    <row r="1121" spans="1:7" x14ac:dyDescent="0.3">
      <c r="A1121">
        <v>31120</v>
      </c>
      <c r="B1121">
        <v>196</v>
      </c>
      <c r="C1121" s="2">
        <v>45450</v>
      </c>
      <c r="D1121" s="2" t="str">
        <f>TEXT(Table5[[#This Row],[bill_date]],"mmmm")</f>
        <v>June</v>
      </c>
      <c r="E1121" s="9">
        <f>YEAR(Table5[[#This Row],[bill_date]])</f>
        <v>2024</v>
      </c>
      <c r="F1121">
        <v>522</v>
      </c>
      <c r="G1121" t="s">
        <v>30</v>
      </c>
    </row>
    <row r="1122" spans="1:7" x14ac:dyDescent="0.3">
      <c r="A1122">
        <v>31121</v>
      </c>
      <c r="B1122">
        <v>270</v>
      </c>
      <c r="C1122" s="2">
        <v>45451</v>
      </c>
      <c r="D1122" s="2" t="str">
        <f>TEXT(Table5[[#This Row],[bill_date]],"mmmm")</f>
        <v>June</v>
      </c>
      <c r="E1122" s="9">
        <f>YEAR(Table5[[#This Row],[bill_date]])</f>
        <v>2024</v>
      </c>
      <c r="F1122">
        <v>210</v>
      </c>
      <c r="G1122" t="s">
        <v>30</v>
      </c>
    </row>
    <row r="1123" spans="1:7" x14ac:dyDescent="0.3">
      <c r="A1123">
        <v>31122</v>
      </c>
      <c r="B1123">
        <v>393</v>
      </c>
      <c r="C1123" s="2">
        <v>44954</v>
      </c>
      <c r="D1123" s="2" t="str">
        <f>TEXT(Table5[[#This Row],[bill_date]],"mmmm")</f>
        <v>January</v>
      </c>
      <c r="E1123" s="9">
        <f>YEAR(Table5[[#This Row],[bill_date]])</f>
        <v>2023</v>
      </c>
      <c r="F1123">
        <v>1245</v>
      </c>
      <c r="G1123" t="s">
        <v>30</v>
      </c>
    </row>
    <row r="1124" spans="1:7" x14ac:dyDescent="0.3">
      <c r="A1124">
        <v>31123</v>
      </c>
      <c r="B1124">
        <v>331</v>
      </c>
      <c r="C1124" s="2">
        <v>45159</v>
      </c>
      <c r="D1124" s="2" t="str">
        <f>TEXT(Table5[[#This Row],[bill_date]],"mmmm")</f>
        <v>August</v>
      </c>
      <c r="E1124" s="9">
        <f>YEAR(Table5[[#This Row],[bill_date]])</f>
        <v>2023</v>
      </c>
      <c r="F1124">
        <v>1383</v>
      </c>
      <c r="G1124" t="s">
        <v>30</v>
      </c>
    </row>
    <row r="1125" spans="1:7" x14ac:dyDescent="0.3">
      <c r="A1125">
        <v>31124</v>
      </c>
      <c r="B1125">
        <v>240</v>
      </c>
      <c r="C1125" s="2">
        <v>44947</v>
      </c>
      <c r="D1125" s="2" t="str">
        <f>TEXT(Table5[[#This Row],[bill_date]],"mmmm")</f>
        <v>January</v>
      </c>
      <c r="E1125" s="9">
        <f>YEAR(Table5[[#This Row],[bill_date]])</f>
        <v>2023</v>
      </c>
      <c r="F1125">
        <v>462</v>
      </c>
      <c r="G1125" t="s">
        <v>30</v>
      </c>
    </row>
    <row r="1126" spans="1:7" x14ac:dyDescent="0.3">
      <c r="A1126">
        <v>31125</v>
      </c>
      <c r="B1126">
        <v>486</v>
      </c>
      <c r="C1126" s="2">
        <v>45062</v>
      </c>
      <c r="D1126" s="2" t="str">
        <f>TEXT(Table5[[#This Row],[bill_date]],"mmmm")</f>
        <v>May</v>
      </c>
      <c r="E1126" s="9">
        <f>YEAR(Table5[[#This Row],[bill_date]])</f>
        <v>2023</v>
      </c>
      <c r="F1126">
        <v>1924</v>
      </c>
      <c r="G1126" t="s">
        <v>30</v>
      </c>
    </row>
    <row r="1127" spans="1:7" x14ac:dyDescent="0.3">
      <c r="A1127">
        <v>31126</v>
      </c>
      <c r="B1127">
        <v>108</v>
      </c>
      <c r="C1127" s="2">
        <v>44708</v>
      </c>
      <c r="D1127" s="2" t="str">
        <f>TEXT(Table5[[#This Row],[bill_date]],"mmmm")</f>
        <v>May</v>
      </c>
      <c r="E1127" s="9">
        <f>YEAR(Table5[[#This Row],[bill_date]])</f>
        <v>2022</v>
      </c>
      <c r="F1127">
        <v>578</v>
      </c>
      <c r="G1127" t="s">
        <v>30</v>
      </c>
    </row>
    <row r="1128" spans="1:7" x14ac:dyDescent="0.3">
      <c r="A1128">
        <v>31127</v>
      </c>
      <c r="B1128">
        <v>499</v>
      </c>
      <c r="C1128" s="2">
        <v>44877</v>
      </c>
      <c r="D1128" s="2" t="str">
        <f>TEXT(Table5[[#This Row],[bill_date]],"mmmm")</f>
        <v>November</v>
      </c>
      <c r="E1128" s="9">
        <f>YEAR(Table5[[#This Row],[bill_date]])</f>
        <v>2022</v>
      </c>
      <c r="F1128">
        <v>1975</v>
      </c>
      <c r="G1128" t="s">
        <v>30</v>
      </c>
    </row>
    <row r="1129" spans="1:7" x14ac:dyDescent="0.3">
      <c r="A1129">
        <v>31128</v>
      </c>
      <c r="B1129">
        <v>400</v>
      </c>
      <c r="C1129" s="2">
        <v>45015</v>
      </c>
      <c r="D1129" s="2" t="str">
        <f>TEXT(Table5[[#This Row],[bill_date]],"mmmm")</f>
        <v>March</v>
      </c>
      <c r="E1129" s="9">
        <f>YEAR(Table5[[#This Row],[bill_date]])</f>
        <v>2023</v>
      </c>
      <c r="F1129">
        <v>278</v>
      </c>
      <c r="G1129" t="s">
        <v>30</v>
      </c>
    </row>
    <row r="1130" spans="1:7" x14ac:dyDescent="0.3">
      <c r="A1130">
        <v>31129</v>
      </c>
      <c r="B1130">
        <v>397</v>
      </c>
      <c r="C1130" s="2">
        <v>44748</v>
      </c>
      <c r="D1130" s="2" t="str">
        <f>TEXT(Table5[[#This Row],[bill_date]],"mmmm")</f>
        <v>July</v>
      </c>
      <c r="E1130" s="9">
        <f>YEAR(Table5[[#This Row],[bill_date]])</f>
        <v>2022</v>
      </c>
      <c r="F1130">
        <v>1493</v>
      </c>
      <c r="G1130" t="s">
        <v>30</v>
      </c>
    </row>
    <row r="1131" spans="1:7" x14ac:dyDescent="0.3">
      <c r="A1131">
        <v>31130</v>
      </c>
      <c r="B1131">
        <v>292</v>
      </c>
      <c r="C1131" s="2">
        <v>44886</v>
      </c>
      <c r="D1131" s="2" t="str">
        <f>TEXT(Table5[[#This Row],[bill_date]],"mmmm")</f>
        <v>November</v>
      </c>
      <c r="E1131" s="9">
        <f>YEAR(Table5[[#This Row],[bill_date]])</f>
        <v>2022</v>
      </c>
      <c r="F1131">
        <v>623</v>
      </c>
      <c r="G1131" t="s">
        <v>30</v>
      </c>
    </row>
    <row r="1132" spans="1:7" x14ac:dyDescent="0.3">
      <c r="A1132">
        <v>31131</v>
      </c>
      <c r="B1132">
        <v>300</v>
      </c>
      <c r="C1132" s="2">
        <v>45374</v>
      </c>
      <c r="D1132" s="2" t="str">
        <f>TEXT(Table5[[#This Row],[bill_date]],"mmmm")</f>
        <v>March</v>
      </c>
      <c r="E1132" s="9">
        <f>YEAR(Table5[[#This Row],[bill_date]])</f>
        <v>2024</v>
      </c>
      <c r="F1132">
        <v>814</v>
      </c>
      <c r="G1132" t="s">
        <v>28</v>
      </c>
    </row>
    <row r="1133" spans="1:7" x14ac:dyDescent="0.3">
      <c r="A1133">
        <v>31132</v>
      </c>
      <c r="B1133">
        <v>100</v>
      </c>
      <c r="C1133" s="2">
        <v>44879</v>
      </c>
      <c r="D1133" s="2" t="str">
        <f>TEXT(Table5[[#This Row],[bill_date]],"mmmm")</f>
        <v>November</v>
      </c>
      <c r="E1133" s="9">
        <f>YEAR(Table5[[#This Row],[bill_date]])</f>
        <v>2022</v>
      </c>
      <c r="F1133">
        <v>634</v>
      </c>
      <c r="G1133" t="s">
        <v>30</v>
      </c>
    </row>
    <row r="1134" spans="1:7" x14ac:dyDescent="0.3">
      <c r="A1134">
        <v>31133</v>
      </c>
      <c r="B1134">
        <v>81</v>
      </c>
      <c r="C1134" s="2">
        <v>44955</v>
      </c>
      <c r="D1134" s="2" t="str">
        <f>TEXT(Table5[[#This Row],[bill_date]],"mmmm")</f>
        <v>January</v>
      </c>
      <c r="E1134" s="9">
        <f>YEAR(Table5[[#This Row],[bill_date]])</f>
        <v>2023</v>
      </c>
      <c r="F1134">
        <v>1120</v>
      </c>
      <c r="G1134" t="s">
        <v>30</v>
      </c>
    </row>
    <row r="1135" spans="1:7" x14ac:dyDescent="0.3">
      <c r="A1135">
        <v>31134</v>
      </c>
      <c r="B1135">
        <v>270</v>
      </c>
      <c r="C1135" s="2">
        <v>44940</v>
      </c>
      <c r="D1135" s="2" t="str">
        <f>TEXT(Table5[[#This Row],[bill_date]],"mmmm")</f>
        <v>January</v>
      </c>
      <c r="E1135" s="9">
        <f>YEAR(Table5[[#This Row],[bill_date]])</f>
        <v>2023</v>
      </c>
      <c r="F1135">
        <v>1300</v>
      </c>
      <c r="G1135" t="s">
        <v>30</v>
      </c>
    </row>
    <row r="1136" spans="1:7" x14ac:dyDescent="0.3">
      <c r="A1136">
        <v>31135</v>
      </c>
      <c r="B1136">
        <v>349</v>
      </c>
      <c r="C1136" s="2">
        <v>45266</v>
      </c>
      <c r="D1136" s="2" t="str">
        <f>TEXT(Table5[[#This Row],[bill_date]],"mmmm")</f>
        <v>December</v>
      </c>
      <c r="E1136" s="9">
        <f>YEAR(Table5[[#This Row],[bill_date]])</f>
        <v>2023</v>
      </c>
      <c r="F1136">
        <v>1746</v>
      </c>
      <c r="G1136" t="s">
        <v>30</v>
      </c>
    </row>
    <row r="1137" spans="1:7" x14ac:dyDescent="0.3">
      <c r="A1137">
        <v>31136</v>
      </c>
      <c r="B1137">
        <v>17</v>
      </c>
      <c r="C1137" s="2">
        <v>45355</v>
      </c>
      <c r="D1137" s="2" t="str">
        <f>TEXT(Table5[[#This Row],[bill_date]],"mmmm")</f>
        <v>March</v>
      </c>
      <c r="E1137" s="9">
        <f>YEAR(Table5[[#This Row],[bill_date]])</f>
        <v>2024</v>
      </c>
      <c r="F1137">
        <v>993</v>
      </c>
      <c r="G1137" t="s">
        <v>30</v>
      </c>
    </row>
    <row r="1138" spans="1:7" x14ac:dyDescent="0.3">
      <c r="A1138">
        <v>31137</v>
      </c>
      <c r="B1138">
        <v>193</v>
      </c>
      <c r="C1138" s="2">
        <v>45035</v>
      </c>
      <c r="D1138" s="2" t="str">
        <f>TEXT(Table5[[#This Row],[bill_date]],"mmmm")</f>
        <v>April</v>
      </c>
      <c r="E1138" s="9">
        <f>YEAR(Table5[[#This Row],[bill_date]])</f>
        <v>2023</v>
      </c>
      <c r="F1138">
        <v>1333</v>
      </c>
      <c r="G1138" t="s">
        <v>30</v>
      </c>
    </row>
    <row r="1139" spans="1:7" x14ac:dyDescent="0.3">
      <c r="A1139">
        <v>31138</v>
      </c>
      <c r="B1139">
        <v>212</v>
      </c>
      <c r="C1139" s="2">
        <v>45261</v>
      </c>
      <c r="D1139" s="2" t="str">
        <f>TEXT(Table5[[#This Row],[bill_date]],"mmmm")</f>
        <v>December</v>
      </c>
      <c r="E1139" s="9">
        <f>YEAR(Table5[[#This Row],[bill_date]])</f>
        <v>2023</v>
      </c>
      <c r="F1139">
        <v>1189</v>
      </c>
      <c r="G1139" t="s">
        <v>30</v>
      </c>
    </row>
    <row r="1140" spans="1:7" x14ac:dyDescent="0.3">
      <c r="A1140">
        <v>31139</v>
      </c>
      <c r="B1140">
        <v>353</v>
      </c>
      <c r="C1140" s="2">
        <v>44579</v>
      </c>
      <c r="D1140" s="2" t="str">
        <f>TEXT(Table5[[#This Row],[bill_date]],"mmmm")</f>
        <v>January</v>
      </c>
      <c r="E1140" s="9">
        <f>YEAR(Table5[[#This Row],[bill_date]])</f>
        <v>2022</v>
      </c>
      <c r="F1140">
        <v>650</v>
      </c>
      <c r="G1140" t="s">
        <v>30</v>
      </c>
    </row>
    <row r="1141" spans="1:7" x14ac:dyDescent="0.3">
      <c r="A1141">
        <v>31140</v>
      </c>
      <c r="B1141">
        <v>126</v>
      </c>
      <c r="C1141" s="2">
        <v>45388</v>
      </c>
      <c r="D1141" s="2" t="str">
        <f>TEXT(Table5[[#This Row],[bill_date]],"mmmm")</f>
        <v>April</v>
      </c>
      <c r="E1141" s="9">
        <f>YEAR(Table5[[#This Row],[bill_date]])</f>
        <v>2024</v>
      </c>
      <c r="F1141">
        <v>1636</v>
      </c>
      <c r="G1141" t="s">
        <v>30</v>
      </c>
    </row>
    <row r="1142" spans="1:7" x14ac:dyDescent="0.3">
      <c r="A1142">
        <v>31141</v>
      </c>
      <c r="B1142">
        <v>310</v>
      </c>
      <c r="C1142" s="2">
        <v>44710</v>
      </c>
      <c r="D1142" s="2" t="str">
        <f>TEXT(Table5[[#This Row],[bill_date]],"mmmm")</f>
        <v>May</v>
      </c>
      <c r="E1142" s="9">
        <f>YEAR(Table5[[#This Row],[bill_date]])</f>
        <v>2022</v>
      </c>
      <c r="F1142">
        <v>458</v>
      </c>
      <c r="G1142" t="s">
        <v>30</v>
      </c>
    </row>
    <row r="1143" spans="1:7" x14ac:dyDescent="0.3">
      <c r="A1143">
        <v>31142</v>
      </c>
      <c r="B1143">
        <v>126</v>
      </c>
      <c r="C1143" s="2">
        <v>45119</v>
      </c>
      <c r="D1143" s="2" t="str">
        <f>TEXT(Table5[[#This Row],[bill_date]],"mmmm")</f>
        <v>July</v>
      </c>
      <c r="E1143" s="9">
        <f>YEAR(Table5[[#This Row],[bill_date]])</f>
        <v>2023</v>
      </c>
      <c r="F1143">
        <v>1020</v>
      </c>
      <c r="G1143" t="s">
        <v>30</v>
      </c>
    </row>
    <row r="1144" spans="1:7" x14ac:dyDescent="0.3">
      <c r="A1144">
        <v>31143</v>
      </c>
      <c r="B1144">
        <v>130</v>
      </c>
      <c r="C1144" s="2">
        <v>44573</v>
      </c>
      <c r="D1144" s="2" t="str">
        <f>TEXT(Table5[[#This Row],[bill_date]],"mmmm")</f>
        <v>January</v>
      </c>
      <c r="E1144" s="9">
        <f>YEAR(Table5[[#This Row],[bill_date]])</f>
        <v>2022</v>
      </c>
      <c r="F1144">
        <v>1573</v>
      </c>
      <c r="G1144" t="s">
        <v>30</v>
      </c>
    </row>
    <row r="1145" spans="1:7" x14ac:dyDescent="0.3">
      <c r="A1145">
        <v>31144</v>
      </c>
      <c r="B1145">
        <v>145</v>
      </c>
      <c r="C1145" s="2">
        <v>45303</v>
      </c>
      <c r="D1145" s="2" t="str">
        <f>TEXT(Table5[[#This Row],[bill_date]],"mmmm")</f>
        <v>January</v>
      </c>
      <c r="E1145" s="9">
        <f>YEAR(Table5[[#This Row],[bill_date]])</f>
        <v>2024</v>
      </c>
      <c r="F1145">
        <v>906</v>
      </c>
      <c r="G1145" t="s">
        <v>30</v>
      </c>
    </row>
    <row r="1146" spans="1:7" x14ac:dyDescent="0.3">
      <c r="A1146">
        <v>31145</v>
      </c>
      <c r="B1146">
        <v>256</v>
      </c>
      <c r="C1146" s="2">
        <v>45023</v>
      </c>
      <c r="D1146" s="2" t="str">
        <f>TEXT(Table5[[#This Row],[bill_date]],"mmmm")</f>
        <v>April</v>
      </c>
      <c r="E1146" s="9">
        <f>YEAR(Table5[[#This Row],[bill_date]])</f>
        <v>2023</v>
      </c>
      <c r="F1146">
        <v>1050</v>
      </c>
      <c r="G1146" t="s">
        <v>30</v>
      </c>
    </row>
    <row r="1147" spans="1:7" x14ac:dyDescent="0.3">
      <c r="A1147">
        <v>31146</v>
      </c>
      <c r="B1147">
        <v>23</v>
      </c>
      <c r="C1147" s="2">
        <v>45186</v>
      </c>
      <c r="D1147" s="2" t="str">
        <f>TEXT(Table5[[#This Row],[bill_date]],"mmmm")</f>
        <v>September</v>
      </c>
      <c r="E1147" s="9">
        <f>YEAR(Table5[[#This Row],[bill_date]])</f>
        <v>2023</v>
      </c>
      <c r="F1147">
        <v>1406</v>
      </c>
      <c r="G1147" t="s">
        <v>30</v>
      </c>
    </row>
    <row r="1148" spans="1:7" x14ac:dyDescent="0.3">
      <c r="A1148">
        <v>31147</v>
      </c>
      <c r="B1148">
        <v>214</v>
      </c>
      <c r="C1148" s="2">
        <v>44721</v>
      </c>
      <c r="D1148" s="2" t="str">
        <f>TEXT(Table5[[#This Row],[bill_date]],"mmmm")</f>
        <v>June</v>
      </c>
      <c r="E1148" s="9">
        <f>YEAR(Table5[[#This Row],[bill_date]])</f>
        <v>2022</v>
      </c>
      <c r="F1148">
        <v>856</v>
      </c>
      <c r="G1148" t="s">
        <v>30</v>
      </c>
    </row>
    <row r="1149" spans="1:7" x14ac:dyDescent="0.3">
      <c r="A1149">
        <v>31148</v>
      </c>
      <c r="B1149">
        <v>129</v>
      </c>
      <c r="C1149" s="2">
        <v>45300</v>
      </c>
      <c r="D1149" s="2" t="str">
        <f>TEXT(Table5[[#This Row],[bill_date]],"mmmm")</f>
        <v>January</v>
      </c>
      <c r="E1149" s="9">
        <f>YEAR(Table5[[#This Row],[bill_date]])</f>
        <v>2024</v>
      </c>
      <c r="F1149">
        <v>373</v>
      </c>
      <c r="G1149" t="s">
        <v>30</v>
      </c>
    </row>
    <row r="1150" spans="1:7" x14ac:dyDescent="0.3">
      <c r="A1150">
        <v>31149</v>
      </c>
      <c r="B1150">
        <v>12</v>
      </c>
      <c r="C1150" s="2">
        <v>45256</v>
      </c>
      <c r="D1150" s="2" t="str">
        <f>TEXT(Table5[[#This Row],[bill_date]],"mmmm")</f>
        <v>November</v>
      </c>
      <c r="E1150" s="9">
        <f>YEAR(Table5[[#This Row],[bill_date]])</f>
        <v>2023</v>
      </c>
      <c r="F1150">
        <v>910</v>
      </c>
      <c r="G1150" t="s">
        <v>30</v>
      </c>
    </row>
    <row r="1151" spans="1:7" x14ac:dyDescent="0.3">
      <c r="A1151">
        <v>31150</v>
      </c>
      <c r="B1151">
        <v>141</v>
      </c>
      <c r="C1151" s="2">
        <v>45128</v>
      </c>
      <c r="D1151" s="2" t="str">
        <f>TEXT(Table5[[#This Row],[bill_date]],"mmmm")</f>
        <v>July</v>
      </c>
      <c r="E1151" s="9">
        <f>YEAR(Table5[[#This Row],[bill_date]])</f>
        <v>2023</v>
      </c>
      <c r="F1151">
        <v>1922</v>
      </c>
      <c r="G1151" t="s">
        <v>30</v>
      </c>
    </row>
    <row r="1152" spans="1:7" x14ac:dyDescent="0.3">
      <c r="A1152">
        <v>31151</v>
      </c>
      <c r="B1152">
        <v>462</v>
      </c>
      <c r="C1152" s="2">
        <v>44827</v>
      </c>
      <c r="D1152" s="2" t="str">
        <f>TEXT(Table5[[#This Row],[bill_date]],"mmmm")</f>
        <v>September</v>
      </c>
      <c r="E1152" s="9">
        <f>YEAR(Table5[[#This Row],[bill_date]])</f>
        <v>2022</v>
      </c>
      <c r="F1152">
        <v>1840</v>
      </c>
      <c r="G1152" t="s">
        <v>30</v>
      </c>
    </row>
    <row r="1153" spans="1:7" x14ac:dyDescent="0.3">
      <c r="A1153">
        <v>31152</v>
      </c>
      <c r="B1153">
        <v>458</v>
      </c>
      <c r="C1153" s="2">
        <v>45108</v>
      </c>
      <c r="D1153" s="2" t="str">
        <f>TEXT(Table5[[#This Row],[bill_date]],"mmmm")</f>
        <v>July</v>
      </c>
      <c r="E1153" s="9">
        <f>YEAR(Table5[[#This Row],[bill_date]])</f>
        <v>2023</v>
      </c>
      <c r="F1153">
        <v>1608</v>
      </c>
      <c r="G1153" t="s">
        <v>30</v>
      </c>
    </row>
    <row r="1154" spans="1:7" x14ac:dyDescent="0.3">
      <c r="A1154">
        <v>31153</v>
      </c>
      <c r="B1154">
        <v>268</v>
      </c>
      <c r="C1154" s="2">
        <v>44641</v>
      </c>
      <c r="D1154" s="2" t="str">
        <f>TEXT(Table5[[#This Row],[bill_date]],"mmmm")</f>
        <v>March</v>
      </c>
      <c r="E1154" s="9">
        <f>YEAR(Table5[[#This Row],[bill_date]])</f>
        <v>2022</v>
      </c>
      <c r="F1154">
        <v>783</v>
      </c>
      <c r="G1154" t="s">
        <v>28</v>
      </c>
    </row>
    <row r="1155" spans="1:7" x14ac:dyDescent="0.3">
      <c r="A1155">
        <v>31154</v>
      </c>
      <c r="B1155">
        <v>57</v>
      </c>
      <c r="C1155" s="2">
        <v>45079</v>
      </c>
      <c r="D1155" s="2" t="str">
        <f>TEXT(Table5[[#This Row],[bill_date]],"mmmm")</f>
        <v>June</v>
      </c>
      <c r="E1155" s="9">
        <f>YEAR(Table5[[#This Row],[bill_date]])</f>
        <v>2023</v>
      </c>
      <c r="F1155">
        <v>1494</v>
      </c>
      <c r="G1155" t="s">
        <v>30</v>
      </c>
    </row>
    <row r="1156" spans="1:7" x14ac:dyDescent="0.3">
      <c r="A1156">
        <v>31155</v>
      </c>
      <c r="B1156">
        <v>86</v>
      </c>
      <c r="C1156" s="2">
        <v>45200</v>
      </c>
      <c r="D1156" s="2" t="str">
        <f>TEXT(Table5[[#This Row],[bill_date]],"mmmm")</f>
        <v>October</v>
      </c>
      <c r="E1156" s="9">
        <f>YEAR(Table5[[#This Row],[bill_date]])</f>
        <v>2023</v>
      </c>
      <c r="F1156">
        <v>1948</v>
      </c>
      <c r="G1156" t="s">
        <v>30</v>
      </c>
    </row>
    <row r="1157" spans="1:7" x14ac:dyDescent="0.3">
      <c r="A1157">
        <v>31156</v>
      </c>
      <c r="B1157">
        <v>274</v>
      </c>
      <c r="C1157" s="2">
        <v>44629</v>
      </c>
      <c r="D1157" s="2" t="str">
        <f>TEXT(Table5[[#This Row],[bill_date]],"mmmm")</f>
        <v>March</v>
      </c>
      <c r="E1157" s="9">
        <f>YEAR(Table5[[#This Row],[bill_date]])</f>
        <v>2022</v>
      </c>
      <c r="F1157">
        <v>384</v>
      </c>
      <c r="G1157" t="s">
        <v>30</v>
      </c>
    </row>
    <row r="1158" spans="1:7" x14ac:dyDescent="0.3">
      <c r="A1158">
        <v>31157</v>
      </c>
      <c r="B1158">
        <v>103</v>
      </c>
      <c r="C1158" s="2">
        <v>45263</v>
      </c>
      <c r="D1158" s="2" t="str">
        <f>TEXT(Table5[[#This Row],[bill_date]],"mmmm")</f>
        <v>December</v>
      </c>
      <c r="E1158" s="9">
        <f>YEAR(Table5[[#This Row],[bill_date]])</f>
        <v>2023</v>
      </c>
      <c r="F1158">
        <v>850</v>
      </c>
      <c r="G1158" t="s">
        <v>30</v>
      </c>
    </row>
    <row r="1159" spans="1:7" x14ac:dyDescent="0.3">
      <c r="A1159">
        <v>31158</v>
      </c>
      <c r="B1159">
        <v>339</v>
      </c>
      <c r="C1159" s="2">
        <v>44805</v>
      </c>
      <c r="D1159" s="2" t="str">
        <f>TEXT(Table5[[#This Row],[bill_date]],"mmmm")</f>
        <v>September</v>
      </c>
      <c r="E1159" s="9">
        <f>YEAR(Table5[[#This Row],[bill_date]])</f>
        <v>2022</v>
      </c>
      <c r="F1159">
        <v>365</v>
      </c>
      <c r="G1159" t="s">
        <v>30</v>
      </c>
    </row>
    <row r="1160" spans="1:7" x14ac:dyDescent="0.3">
      <c r="A1160">
        <v>31159</v>
      </c>
      <c r="B1160">
        <v>350</v>
      </c>
      <c r="C1160" s="2">
        <v>44570</v>
      </c>
      <c r="D1160" s="2" t="str">
        <f>TEXT(Table5[[#This Row],[bill_date]],"mmmm")</f>
        <v>January</v>
      </c>
      <c r="E1160" s="9">
        <f>YEAR(Table5[[#This Row],[bill_date]])</f>
        <v>2022</v>
      </c>
      <c r="F1160">
        <v>341</v>
      </c>
      <c r="G1160" t="s">
        <v>30</v>
      </c>
    </row>
    <row r="1161" spans="1:7" x14ac:dyDescent="0.3">
      <c r="A1161">
        <v>31160</v>
      </c>
      <c r="B1161">
        <v>143</v>
      </c>
      <c r="C1161" s="2">
        <v>44718</v>
      </c>
      <c r="D1161" s="2" t="str">
        <f>TEXT(Table5[[#This Row],[bill_date]],"mmmm")</f>
        <v>June</v>
      </c>
      <c r="E1161" s="9">
        <f>YEAR(Table5[[#This Row],[bill_date]])</f>
        <v>2022</v>
      </c>
      <c r="F1161">
        <v>691</v>
      </c>
      <c r="G1161" t="s">
        <v>30</v>
      </c>
    </row>
    <row r="1162" spans="1:7" x14ac:dyDescent="0.3">
      <c r="A1162">
        <v>31161</v>
      </c>
      <c r="B1162">
        <v>423</v>
      </c>
      <c r="C1162" s="2">
        <v>45144</v>
      </c>
      <c r="D1162" s="2" t="str">
        <f>TEXT(Table5[[#This Row],[bill_date]],"mmmm")</f>
        <v>August</v>
      </c>
      <c r="E1162" s="9">
        <f>YEAR(Table5[[#This Row],[bill_date]])</f>
        <v>2023</v>
      </c>
      <c r="F1162">
        <v>270</v>
      </c>
      <c r="G1162" t="s">
        <v>30</v>
      </c>
    </row>
    <row r="1163" spans="1:7" x14ac:dyDescent="0.3">
      <c r="A1163">
        <v>31162</v>
      </c>
      <c r="B1163">
        <v>334</v>
      </c>
      <c r="C1163" s="2">
        <v>45025</v>
      </c>
      <c r="D1163" s="2" t="str">
        <f>TEXT(Table5[[#This Row],[bill_date]],"mmmm")</f>
        <v>April</v>
      </c>
      <c r="E1163" s="9">
        <f>YEAR(Table5[[#This Row],[bill_date]])</f>
        <v>2023</v>
      </c>
      <c r="F1163">
        <v>1566</v>
      </c>
      <c r="G1163" t="s">
        <v>30</v>
      </c>
    </row>
    <row r="1164" spans="1:7" x14ac:dyDescent="0.3">
      <c r="A1164">
        <v>31163</v>
      </c>
      <c r="B1164">
        <v>329</v>
      </c>
      <c r="C1164" s="2">
        <v>45207</v>
      </c>
      <c r="D1164" s="2" t="str">
        <f>TEXT(Table5[[#This Row],[bill_date]],"mmmm")</f>
        <v>October</v>
      </c>
      <c r="E1164" s="9">
        <f>YEAR(Table5[[#This Row],[bill_date]])</f>
        <v>2023</v>
      </c>
      <c r="F1164">
        <v>697</v>
      </c>
      <c r="G1164" t="s">
        <v>30</v>
      </c>
    </row>
    <row r="1165" spans="1:7" x14ac:dyDescent="0.3">
      <c r="A1165">
        <v>31164</v>
      </c>
      <c r="B1165">
        <v>453</v>
      </c>
      <c r="C1165" s="2">
        <v>44861</v>
      </c>
      <c r="D1165" s="2" t="str">
        <f>TEXT(Table5[[#This Row],[bill_date]],"mmmm")</f>
        <v>October</v>
      </c>
      <c r="E1165" s="9">
        <f>YEAR(Table5[[#This Row],[bill_date]])</f>
        <v>2022</v>
      </c>
      <c r="F1165">
        <v>345</v>
      </c>
      <c r="G1165" t="s">
        <v>30</v>
      </c>
    </row>
    <row r="1166" spans="1:7" x14ac:dyDescent="0.3">
      <c r="A1166">
        <v>31165</v>
      </c>
      <c r="B1166">
        <v>417</v>
      </c>
      <c r="C1166" s="2">
        <v>44881</v>
      </c>
      <c r="D1166" s="2" t="str">
        <f>TEXT(Table5[[#This Row],[bill_date]],"mmmm")</f>
        <v>November</v>
      </c>
      <c r="E1166" s="9">
        <f>YEAR(Table5[[#This Row],[bill_date]])</f>
        <v>2022</v>
      </c>
      <c r="F1166">
        <v>1835</v>
      </c>
      <c r="G1166" t="s">
        <v>28</v>
      </c>
    </row>
    <row r="1167" spans="1:7" x14ac:dyDescent="0.3">
      <c r="A1167">
        <v>31166</v>
      </c>
      <c r="B1167">
        <v>176</v>
      </c>
      <c r="C1167" s="2">
        <v>44810</v>
      </c>
      <c r="D1167" s="2" t="str">
        <f>TEXT(Table5[[#This Row],[bill_date]],"mmmm")</f>
        <v>September</v>
      </c>
      <c r="E1167" s="9">
        <f>YEAR(Table5[[#This Row],[bill_date]])</f>
        <v>2022</v>
      </c>
      <c r="F1167">
        <v>1723</v>
      </c>
      <c r="G1167" t="s">
        <v>30</v>
      </c>
    </row>
    <row r="1168" spans="1:7" x14ac:dyDescent="0.3">
      <c r="A1168">
        <v>31167</v>
      </c>
      <c r="B1168">
        <v>133</v>
      </c>
      <c r="C1168" s="2">
        <v>44884</v>
      </c>
      <c r="D1168" s="2" t="str">
        <f>TEXT(Table5[[#This Row],[bill_date]],"mmmm")</f>
        <v>November</v>
      </c>
      <c r="E1168" s="9">
        <f>YEAR(Table5[[#This Row],[bill_date]])</f>
        <v>2022</v>
      </c>
      <c r="F1168">
        <v>1560</v>
      </c>
      <c r="G1168" t="s">
        <v>30</v>
      </c>
    </row>
    <row r="1169" spans="1:7" x14ac:dyDescent="0.3">
      <c r="A1169">
        <v>31168</v>
      </c>
      <c r="B1169">
        <v>344</v>
      </c>
      <c r="C1169" s="2">
        <v>45117</v>
      </c>
      <c r="D1169" s="2" t="str">
        <f>TEXT(Table5[[#This Row],[bill_date]],"mmmm")</f>
        <v>July</v>
      </c>
      <c r="E1169" s="9">
        <f>YEAR(Table5[[#This Row],[bill_date]])</f>
        <v>2023</v>
      </c>
      <c r="F1169">
        <v>1307</v>
      </c>
      <c r="G1169" t="s">
        <v>30</v>
      </c>
    </row>
    <row r="1170" spans="1:7" x14ac:dyDescent="0.3">
      <c r="A1170">
        <v>31169</v>
      </c>
      <c r="B1170">
        <v>264</v>
      </c>
      <c r="C1170" s="2">
        <v>45189</v>
      </c>
      <c r="D1170" s="2" t="str">
        <f>TEXT(Table5[[#This Row],[bill_date]],"mmmm")</f>
        <v>September</v>
      </c>
      <c r="E1170" s="9">
        <f>YEAR(Table5[[#This Row],[bill_date]])</f>
        <v>2023</v>
      </c>
      <c r="F1170">
        <v>1089</v>
      </c>
      <c r="G1170" t="s">
        <v>28</v>
      </c>
    </row>
    <row r="1171" spans="1:7" x14ac:dyDescent="0.3">
      <c r="A1171">
        <v>31170</v>
      </c>
      <c r="B1171">
        <v>147</v>
      </c>
      <c r="C1171" s="2">
        <v>45023</v>
      </c>
      <c r="D1171" s="2" t="str">
        <f>TEXT(Table5[[#This Row],[bill_date]],"mmmm")</f>
        <v>April</v>
      </c>
      <c r="E1171" s="9">
        <f>YEAR(Table5[[#This Row],[bill_date]])</f>
        <v>2023</v>
      </c>
      <c r="F1171">
        <v>1005</v>
      </c>
      <c r="G1171" t="s">
        <v>30</v>
      </c>
    </row>
    <row r="1172" spans="1:7" x14ac:dyDescent="0.3">
      <c r="A1172">
        <v>31171</v>
      </c>
      <c r="B1172">
        <v>436</v>
      </c>
      <c r="C1172" s="2">
        <v>44959</v>
      </c>
      <c r="D1172" s="2" t="str">
        <f>TEXT(Table5[[#This Row],[bill_date]],"mmmm")</f>
        <v>February</v>
      </c>
      <c r="E1172" s="9">
        <f>YEAR(Table5[[#This Row],[bill_date]])</f>
        <v>2023</v>
      </c>
      <c r="F1172">
        <v>1044</v>
      </c>
      <c r="G1172" t="s">
        <v>30</v>
      </c>
    </row>
    <row r="1173" spans="1:7" x14ac:dyDescent="0.3">
      <c r="A1173">
        <v>31172</v>
      </c>
      <c r="B1173">
        <v>12</v>
      </c>
      <c r="C1173" s="2">
        <v>44954</v>
      </c>
      <c r="D1173" s="2" t="str">
        <f>TEXT(Table5[[#This Row],[bill_date]],"mmmm")</f>
        <v>January</v>
      </c>
      <c r="E1173" s="9">
        <f>YEAR(Table5[[#This Row],[bill_date]])</f>
        <v>2023</v>
      </c>
      <c r="F1173">
        <v>1365</v>
      </c>
      <c r="G1173" t="s">
        <v>28</v>
      </c>
    </row>
    <row r="1174" spans="1:7" x14ac:dyDescent="0.3">
      <c r="A1174">
        <v>31173</v>
      </c>
      <c r="B1174">
        <v>328</v>
      </c>
      <c r="C1174" s="2">
        <v>44789</v>
      </c>
      <c r="D1174" s="2" t="str">
        <f>TEXT(Table5[[#This Row],[bill_date]],"mmmm")</f>
        <v>August</v>
      </c>
      <c r="E1174" s="9">
        <f>YEAR(Table5[[#This Row],[bill_date]])</f>
        <v>2022</v>
      </c>
      <c r="F1174">
        <v>1089</v>
      </c>
      <c r="G1174" t="s">
        <v>30</v>
      </c>
    </row>
    <row r="1175" spans="1:7" x14ac:dyDescent="0.3">
      <c r="A1175">
        <v>31174</v>
      </c>
      <c r="B1175">
        <v>392</v>
      </c>
      <c r="C1175" s="2">
        <v>45130</v>
      </c>
      <c r="D1175" s="2" t="str">
        <f>TEXT(Table5[[#This Row],[bill_date]],"mmmm")</f>
        <v>July</v>
      </c>
      <c r="E1175" s="9">
        <f>YEAR(Table5[[#This Row],[bill_date]])</f>
        <v>2023</v>
      </c>
      <c r="F1175">
        <v>1533</v>
      </c>
      <c r="G1175" t="s">
        <v>30</v>
      </c>
    </row>
    <row r="1176" spans="1:7" x14ac:dyDescent="0.3">
      <c r="A1176">
        <v>31175</v>
      </c>
      <c r="B1176">
        <v>55</v>
      </c>
      <c r="C1176" s="2">
        <v>44805</v>
      </c>
      <c r="D1176" s="2" t="str">
        <f>TEXT(Table5[[#This Row],[bill_date]],"mmmm")</f>
        <v>September</v>
      </c>
      <c r="E1176" s="9">
        <f>YEAR(Table5[[#This Row],[bill_date]])</f>
        <v>2022</v>
      </c>
      <c r="F1176">
        <v>1591</v>
      </c>
      <c r="G1176" t="s">
        <v>28</v>
      </c>
    </row>
    <row r="1177" spans="1:7" x14ac:dyDescent="0.3">
      <c r="A1177">
        <v>31176</v>
      </c>
      <c r="B1177">
        <v>230</v>
      </c>
      <c r="C1177" s="2">
        <v>44618</v>
      </c>
      <c r="D1177" s="2" t="str">
        <f>TEXT(Table5[[#This Row],[bill_date]],"mmmm")</f>
        <v>February</v>
      </c>
      <c r="E1177" s="9">
        <f>YEAR(Table5[[#This Row],[bill_date]])</f>
        <v>2022</v>
      </c>
      <c r="F1177">
        <v>1929</v>
      </c>
      <c r="G1177" t="s">
        <v>30</v>
      </c>
    </row>
    <row r="1178" spans="1:7" x14ac:dyDescent="0.3">
      <c r="A1178">
        <v>31177</v>
      </c>
      <c r="B1178">
        <v>468</v>
      </c>
      <c r="C1178" s="2">
        <v>44704</v>
      </c>
      <c r="D1178" s="2" t="str">
        <f>TEXT(Table5[[#This Row],[bill_date]],"mmmm")</f>
        <v>May</v>
      </c>
      <c r="E1178" s="9">
        <f>YEAR(Table5[[#This Row],[bill_date]])</f>
        <v>2022</v>
      </c>
      <c r="F1178">
        <v>1918</v>
      </c>
      <c r="G1178" t="s">
        <v>30</v>
      </c>
    </row>
    <row r="1179" spans="1:7" x14ac:dyDescent="0.3">
      <c r="A1179">
        <v>31178</v>
      </c>
      <c r="B1179">
        <v>122</v>
      </c>
      <c r="C1179" s="2">
        <v>44753</v>
      </c>
      <c r="D1179" s="2" t="str">
        <f>TEXT(Table5[[#This Row],[bill_date]],"mmmm")</f>
        <v>July</v>
      </c>
      <c r="E1179" s="9">
        <f>YEAR(Table5[[#This Row],[bill_date]])</f>
        <v>2022</v>
      </c>
      <c r="F1179">
        <v>1011</v>
      </c>
      <c r="G1179" t="s">
        <v>29</v>
      </c>
    </row>
    <row r="1180" spans="1:7" x14ac:dyDescent="0.3">
      <c r="A1180">
        <v>31179</v>
      </c>
      <c r="B1180">
        <v>349</v>
      </c>
      <c r="C1180" s="2">
        <v>45080</v>
      </c>
      <c r="D1180" s="2" t="str">
        <f>TEXT(Table5[[#This Row],[bill_date]],"mmmm")</f>
        <v>June</v>
      </c>
      <c r="E1180" s="9">
        <f>YEAR(Table5[[#This Row],[bill_date]])</f>
        <v>2023</v>
      </c>
      <c r="F1180">
        <v>1169</v>
      </c>
      <c r="G1180" t="s">
        <v>30</v>
      </c>
    </row>
    <row r="1181" spans="1:7" x14ac:dyDescent="0.3">
      <c r="A1181">
        <v>31180</v>
      </c>
      <c r="B1181">
        <v>233</v>
      </c>
      <c r="C1181" s="2">
        <v>44965</v>
      </c>
      <c r="D1181" s="2" t="str">
        <f>TEXT(Table5[[#This Row],[bill_date]],"mmmm")</f>
        <v>February</v>
      </c>
      <c r="E1181" s="9">
        <f>YEAR(Table5[[#This Row],[bill_date]])</f>
        <v>2023</v>
      </c>
      <c r="F1181">
        <v>1663</v>
      </c>
      <c r="G1181" t="s">
        <v>30</v>
      </c>
    </row>
    <row r="1182" spans="1:7" x14ac:dyDescent="0.3">
      <c r="A1182">
        <v>31181</v>
      </c>
      <c r="B1182">
        <v>162</v>
      </c>
      <c r="C1182" s="2">
        <v>44836</v>
      </c>
      <c r="D1182" s="2" t="str">
        <f>TEXT(Table5[[#This Row],[bill_date]],"mmmm")</f>
        <v>October</v>
      </c>
      <c r="E1182" s="9">
        <f>YEAR(Table5[[#This Row],[bill_date]])</f>
        <v>2022</v>
      </c>
      <c r="F1182">
        <v>265</v>
      </c>
      <c r="G1182" t="s">
        <v>30</v>
      </c>
    </row>
    <row r="1183" spans="1:7" x14ac:dyDescent="0.3">
      <c r="A1183">
        <v>31182</v>
      </c>
      <c r="B1183">
        <v>82</v>
      </c>
      <c r="C1183" s="2">
        <v>45207</v>
      </c>
      <c r="D1183" s="2" t="str">
        <f>TEXT(Table5[[#This Row],[bill_date]],"mmmm")</f>
        <v>October</v>
      </c>
      <c r="E1183" s="9">
        <f>YEAR(Table5[[#This Row],[bill_date]])</f>
        <v>2023</v>
      </c>
      <c r="F1183">
        <v>1956</v>
      </c>
      <c r="G1183" t="s">
        <v>28</v>
      </c>
    </row>
    <row r="1184" spans="1:7" x14ac:dyDescent="0.3">
      <c r="A1184">
        <v>31183</v>
      </c>
      <c r="B1184">
        <v>449</v>
      </c>
      <c r="C1184" s="2">
        <v>44600</v>
      </c>
      <c r="D1184" s="2" t="str">
        <f>TEXT(Table5[[#This Row],[bill_date]],"mmmm")</f>
        <v>February</v>
      </c>
      <c r="E1184" s="9">
        <f>YEAR(Table5[[#This Row],[bill_date]])</f>
        <v>2022</v>
      </c>
      <c r="F1184">
        <v>1996</v>
      </c>
      <c r="G1184" t="s">
        <v>29</v>
      </c>
    </row>
    <row r="1185" spans="1:7" x14ac:dyDescent="0.3">
      <c r="A1185">
        <v>31184</v>
      </c>
      <c r="B1185">
        <v>459</v>
      </c>
      <c r="C1185" s="2">
        <v>44754</v>
      </c>
      <c r="D1185" s="2" t="str">
        <f>TEXT(Table5[[#This Row],[bill_date]],"mmmm")</f>
        <v>July</v>
      </c>
      <c r="E1185" s="9">
        <f>YEAR(Table5[[#This Row],[bill_date]])</f>
        <v>2022</v>
      </c>
      <c r="F1185">
        <v>1036</v>
      </c>
      <c r="G1185" t="s">
        <v>30</v>
      </c>
    </row>
    <row r="1186" spans="1:7" x14ac:dyDescent="0.3">
      <c r="A1186">
        <v>31185</v>
      </c>
      <c r="B1186">
        <v>47</v>
      </c>
      <c r="C1186" s="2">
        <v>44888</v>
      </c>
      <c r="D1186" s="2" t="str">
        <f>TEXT(Table5[[#This Row],[bill_date]],"mmmm")</f>
        <v>November</v>
      </c>
      <c r="E1186" s="9">
        <f>YEAR(Table5[[#This Row],[bill_date]])</f>
        <v>2022</v>
      </c>
      <c r="F1186">
        <v>1125</v>
      </c>
      <c r="G1186" t="s">
        <v>30</v>
      </c>
    </row>
    <row r="1187" spans="1:7" x14ac:dyDescent="0.3">
      <c r="A1187">
        <v>31186</v>
      </c>
      <c r="B1187">
        <v>364</v>
      </c>
      <c r="C1187" s="2">
        <v>45044</v>
      </c>
      <c r="D1187" s="2" t="str">
        <f>TEXT(Table5[[#This Row],[bill_date]],"mmmm")</f>
        <v>April</v>
      </c>
      <c r="E1187" s="9">
        <f>YEAR(Table5[[#This Row],[bill_date]])</f>
        <v>2023</v>
      </c>
      <c r="F1187">
        <v>1756</v>
      </c>
      <c r="G1187" t="s">
        <v>30</v>
      </c>
    </row>
    <row r="1188" spans="1:7" x14ac:dyDescent="0.3">
      <c r="A1188">
        <v>31187</v>
      </c>
      <c r="B1188">
        <v>291</v>
      </c>
      <c r="C1188" s="2">
        <v>44586</v>
      </c>
      <c r="D1188" s="2" t="str">
        <f>TEXT(Table5[[#This Row],[bill_date]],"mmmm")</f>
        <v>January</v>
      </c>
      <c r="E1188" s="9">
        <f>YEAR(Table5[[#This Row],[bill_date]])</f>
        <v>2022</v>
      </c>
      <c r="F1188">
        <v>539</v>
      </c>
      <c r="G1188" t="s">
        <v>29</v>
      </c>
    </row>
    <row r="1189" spans="1:7" x14ac:dyDescent="0.3">
      <c r="A1189">
        <v>31188</v>
      </c>
      <c r="B1189">
        <v>499</v>
      </c>
      <c r="C1189" s="2">
        <v>44663</v>
      </c>
      <c r="D1189" s="2" t="str">
        <f>TEXT(Table5[[#This Row],[bill_date]],"mmmm")</f>
        <v>April</v>
      </c>
      <c r="E1189" s="9">
        <f>YEAR(Table5[[#This Row],[bill_date]])</f>
        <v>2022</v>
      </c>
      <c r="F1189">
        <v>1900</v>
      </c>
      <c r="G1189" t="s">
        <v>30</v>
      </c>
    </row>
    <row r="1190" spans="1:7" x14ac:dyDescent="0.3">
      <c r="A1190">
        <v>31189</v>
      </c>
      <c r="B1190">
        <v>500</v>
      </c>
      <c r="C1190" s="2">
        <v>45224</v>
      </c>
      <c r="D1190" s="2" t="str">
        <f>TEXT(Table5[[#This Row],[bill_date]],"mmmm")</f>
        <v>October</v>
      </c>
      <c r="E1190" s="9">
        <f>YEAR(Table5[[#This Row],[bill_date]])</f>
        <v>2023</v>
      </c>
      <c r="F1190">
        <v>300</v>
      </c>
      <c r="G1190" t="s">
        <v>28</v>
      </c>
    </row>
    <row r="1191" spans="1:7" x14ac:dyDescent="0.3">
      <c r="A1191">
        <v>31190</v>
      </c>
      <c r="B1191">
        <v>160</v>
      </c>
      <c r="C1191" s="2">
        <v>44778</v>
      </c>
      <c r="D1191" s="2" t="str">
        <f>TEXT(Table5[[#This Row],[bill_date]],"mmmm")</f>
        <v>August</v>
      </c>
      <c r="E1191" s="9">
        <f>YEAR(Table5[[#This Row],[bill_date]])</f>
        <v>2022</v>
      </c>
      <c r="F1191">
        <v>1536</v>
      </c>
      <c r="G1191" t="s">
        <v>30</v>
      </c>
    </row>
    <row r="1192" spans="1:7" x14ac:dyDescent="0.3">
      <c r="A1192">
        <v>31191</v>
      </c>
      <c r="B1192">
        <v>179</v>
      </c>
      <c r="C1192" s="2">
        <v>45303</v>
      </c>
      <c r="D1192" s="2" t="str">
        <f>TEXT(Table5[[#This Row],[bill_date]],"mmmm")</f>
        <v>January</v>
      </c>
      <c r="E1192" s="9">
        <f>YEAR(Table5[[#This Row],[bill_date]])</f>
        <v>2024</v>
      </c>
      <c r="F1192">
        <v>1150</v>
      </c>
      <c r="G1192" t="s">
        <v>30</v>
      </c>
    </row>
    <row r="1193" spans="1:7" x14ac:dyDescent="0.3">
      <c r="A1193">
        <v>31192</v>
      </c>
      <c r="B1193">
        <v>362</v>
      </c>
      <c r="C1193" s="2">
        <v>44828</v>
      </c>
      <c r="D1193" s="2" t="str">
        <f>TEXT(Table5[[#This Row],[bill_date]],"mmmm")</f>
        <v>September</v>
      </c>
      <c r="E1193" s="9">
        <f>YEAR(Table5[[#This Row],[bill_date]])</f>
        <v>2022</v>
      </c>
      <c r="F1193">
        <v>1332</v>
      </c>
      <c r="G1193" t="s">
        <v>30</v>
      </c>
    </row>
    <row r="1194" spans="1:7" x14ac:dyDescent="0.3">
      <c r="A1194">
        <v>31193</v>
      </c>
      <c r="B1194">
        <v>208</v>
      </c>
      <c r="C1194" s="2">
        <v>44723</v>
      </c>
      <c r="D1194" s="2" t="str">
        <f>TEXT(Table5[[#This Row],[bill_date]],"mmmm")</f>
        <v>June</v>
      </c>
      <c r="E1194" s="9">
        <f>YEAR(Table5[[#This Row],[bill_date]])</f>
        <v>2022</v>
      </c>
      <c r="F1194">
        <v>1105</v>
      </c>
      <c r="G1194" t="s">
        <v>30</v>
      </c>
    </row>
    <row r="1195" spans="1:7" x14ac:dyDescent="0.3">
      <c r="A1195">
        <v>31194</v>
      </c>
      <c r="B1195">
        <v>390</v>
      </c>
      <c r="C1195" s="2">
        <v>44848</v>
      </c>
      <c r="D1195" s="2" t="str">
        <f>TEXT(Table5[[#This Row],[bill_date]],"mmmm")</f>
        <v>October</v>
      </c>
      <c r="E1195" s="9">
        <f>YEAR(Table5[[#This Row],[bill_date]])</f>
        <v>2022</v>
      </c>
      <c r="F1195">
        <v>1654</v>
      </c>
      <c r="G1195" t="s">
        <v>30</v>
      </c>
    </row>
    <row r="1196" spans="1:7" x14ac:dyDescent="0.3">
      <c r="A1196">
        <v>31195</v>
      </c>
      <c r="B1196">
        <v>393</v>
      </c>
      <c r="C1196" s="2">
        <v>45239</v>
      </c>
      <c r="D1196" s="2" t="str">
        <f>TEXT(Table5[[#This Row],[bill_date]],"mmmm")</f>
        <v>November</v>
      </c>
      <c r="E1196" s="9">
        <f>YEAR(Table5[[#This Row],[bill_date]])</f>
        <v>2023</v>
      </c>
      <c r="F1196">
        <v>540</v>
      </c>
      <c r="G1196" t="s">
        <v>28</v>
      </c>
    </row>
    <row r="1197" spans="1:7" x14ac:dyDescent="0.3">
      <c r="A1197">
        <v>31196</v>
      </c>
      <c r="B1197">
        <v>40</v>
      </c>
      <c r="C1197" s="2">
        <v>45447</v>
      </c>
      <c r="D1197" s="2" t="str">
        <f>TEXT(Table5[[#This Row],[bill_date]],"mmmm")</f>
        <v>June</v>
      </c>
      <c r="E1197" s="9">
        <f>YEAR(Table5[[#This Row],[bill_date]])</f>
        <v>2024</v>
      </c>
      <c r="F1197">
        <v>1026</v>
      </c>
      <c r="G1197" t="s">
        <v>30</v>
      </c>
    </row>
    <row r="1198" spans="1:7" x14ac:dyDescent="0.3">
      <c r="A1198">
        <v>31197</v>
      </c>
      <c r="B1198">
        <v>214</v>
      </c>
      <c r="C1198" s="2">
        <v>45443</v>
      </c>
      <c r="D1198" s="2" t="str">
        <f>TEXT(Table5[[#This Row],[bill_date]],"mmmm")</f>
        <v>May</v>
      </c>
      <c r="E1198" s="9">
        <f>YEAR(Table5[[#This Row],[bill_date]])</f>
        <v>2024</v>
      </c>
      <c r="F1198">
        <v>1401</v>
      </c>
      <c r="G1198" t="s">
        <v>28</v>
      </c>
    </row>
    <row r="1199" spans="1:7" x14ac:dyDescent="0.3">
      <c r="A1199">
        <v>31198</v>
      </c>
      <c r="B1199">
        <v>432</v>
      </c>
      <c r="C1199" s="2">
        <v>44808</v>
      </c>
      <c r="D1199" s="2" t="str">
        <f>TEXT(Table5[[#This Row],[bill_date]],"mmmm")</f>
        <v>September</v>
      </c>
      <c r="E1199" s="9">
        <f>YEAR(Table5[[#This Row],[bill_date]])</f>
        <v>2022</v>
      </c>
      <c r="F1199">
        <v>877</v>
      </c>
      <c r="G1199" t="s">
        <v>30</v>
      </c>
    </row>
    <row r="1200" spans="1:7" x14ac:dyDescent="0.3">
      <c r="A1200">
        <v>31199</v>
      </c>
      <c r="B1200">
        <v>456</v>
      </c>
      <c r="C1200" s="2">
        <v>44735</v>
      </c>
      <c r="D1200" s="2" t="str">
        <f>TEXT(Table5[[#This Row],[bill_date]],"mmmm")</f>
        <v>June</v>
      </c>
      <c r="E1200" s="9">
        <f>YEAR(Table5[[#This Row],[bill_date]])</f>
        <v>2022</v>
      </c>
      <c r="F1200">
        <v>332</v>
      </c>
      <c r="G1200" t="s">
        <v>30</v>
      </c>
    </row>
    <row r="1201" spans="1:7" x14ac:dyDescent="0.3">
      <c r="A1201">
        <v>31200</v>
      </c>
      <c r="B1201">
        <v>352</v>
      </c>
      <c r="C1201" s="2">
        <v>44957</v>
      </c>
      <c r="D1201" s="2" t="str">
        <f>TEXT(Table5[[#This Row],[bill_date]],"mmmm")</f>
        <v>January</v>
      </c>
      <c r="E1201" s="9">
        <f>YEAR(Table5[[#This Row],[bill_date]])</f>
        <v>2023</v>
      </c>
      <c r="F1201">
        <v>1252</v>
      </c>
      <c r="G1201" t="s">
        <v>30</v>
      </c>
    </row>
    <row r="1202" spans="1:7" x14ac:dyDescent="0.3">
      <c r="A1202">
        <v>31201</v>
      </c>
      <c r="B1202">
        <v>154</v>
      </c>
      <c r="C1202" s="2">
        <v>44570</v>
      </c>
      <c r="D1202" s="2" t="str">
        <f>TEXT(Table5[[#This Row],[bill_date]],"mmmm")</f>
        <v>January</v>
      </c>
      <c r="E1202" s="9">
        <f>YEAR(Table5[[#This Row],[bill_date]])</f>
        <v>2022</v>
      </c>
      <c r="F1202">
        <v>1073</v>
      </c>
      <c r="G1202" t="s">
        <v>28</v>
      </c>
    </row>
    <row r="1203" spans="1:7" x14ac:dyDescent="0.3">
      <c r="A1203">
        <v>31202</v>
      </c>
      <c r="B1203">
        <v>338</v>
      </c>
      <c r="C1203" s="2">
        <v>45009</v>
      </c>
      <c r="D1203" s="2" t="str">
        <f>TEXT(Table5[[#This Row],[bill_date]],"mmmm")</f>
        <v>March</v>
      </c>
      <c r="E1203" s="9">
        <f>YEAR(Table5[[#This Row],[bill_date]])</f>
        <v>2023</v>
      </c>
      <c r="F1203">
        <v>1695</v>
      </c>
      <c r="G1203" t="s">
        <v>30</v>
      </c>
    </row>
    <row r="1204" spans="1:7" x14ac:dyDescent="0.3">
      <c r="A1204">
        <v>31203</v>
      </c>
      <c r="B1204">
        <v>293</v>
      </c>
      <c r="C1204" s="2">
        <v>45349</v>
      </c>
      <c r="D1204" s="2" t="str">
        <f>TEXT(Table5[[#This Row],[bill_date]],"mmmm")</f>
        <v>February</v>
      </c>
      <c r="E1204" s="9">
        <f>YEAR(Table5[[#This Row],[bill_date]])</f>
        <v>2024</v>
      </c>
      <c r="F1204">
        <v>1194</v>
      </c>
      <c r="G1204" t="s">
        <v>30</v>
      </c>
    </row>
    <row r="1205" spans="1:7" x14ac:dyDescent="0.3">
      <c r="A1205">
        <v>31204</v>
      </c>
      <c r="B1205">
        <v>436</v>
      </c>
      <c r="C1205" s="2">
        <v>45132</v>
      </c>
      <c r="D1205" s="2" t="str">
        <f>TEXT(Table5[[#This Row],[bill_date]],"mmmm")</f>
        <v>July</v>
      </c>
      <c r="E1205" s="9">
        <f>YEAR(Table5[[#This Row],[bill_date]])</f>
        <v>2023</v>
      </c>
      <c r="F1205">
        <v>583</v>
      </c>
      <c r="G1205" t="s">
        <v>30</v>
      </c>
    </row>
    <row r="1206" spans="1:7" x14ac:dyDescent="0.3">
      <c r="A1206">
        <v>31205</v>
      </c>
      <c r="B1206">
        <v>396</v>
      </c>
      <c r="C1206" s="2">
        <v>45158</v>
      </c>
      <c r="D1206" s="2" t="str">
        <f>TEXT(Table5[[#This Row],[bill_date]],"mmmm")</f>
        <v>August</v>
      </c>
      <c r="E1206" s="9">
        <f>YEAR(Table5[[#This Row],[bill_date]])</f>
        <v>2023</v>
      </c>
      <c r="F1206">
        <v>796</v>
      </c>
      <c r="G1206" t="s">
        <v>30</v>
      </c>
    </row>
    <row r="1207" spans="1:7" x14ac:dyDescent="0.3">
      <c r="A1207">
        <v>31206</v>
      </c>
      <c r="B1207">
        <v>166</v>
      </c>
      <c r="C1207" s="2">
        <v>45223</v>
      </c>
      <c r="D1207" s="2" t="str">
        <f>TEXT(Table5[[#This Row],[bill_date]],"mmmm")</f>
        <v>October</v>
      </c>
      <c r="E1207" s="9">
        <f>YEAR(Table5[[#This Row],[bill_date]])</f>
        <v>2023</v>
      </c>
      <c r="F1207">
        <v>207</v>
      </c>
      <c r="G1207" t="s">
        <v>30</v>
      </c>
    </row>
    <row r="1208" spans="1:7" x14ac:dyDescent="0.3">
      <c r="A1208">
        <v>31207</v>
      </c>
      <c r="B1208">
        <v>482</v>
      </c>
      <c r="C1208" s="2">
        <v>44882</v>
      </c>
      <c r="D1208" s="2" t="str">
        <f>TEXT(Table5[[#This Row],[bill_date]],"mmmm")</f>
        <v>November</v>
      </c>
      <c r="E1208" s="9">
        <f>YEAR(Table5[[#This Row],[bill_date]])</f>
        <v>2022</v>
      </c>
      <c r="F1208">
        <v>334</v>
      </c>
      <c r="G1208" t="s">
        <v>30</v>
      </c>
    </row>
    <row r="1209" spans="1:7" x14ac:dyDescent="0.3">
      <c r="A1209">
        <v>31208</v>
      </c>
      <c r="B1209">
        <v>452</v>
      </c>
      <c r="C1209" s="2">
        <v>45133</v>
      </c>
      <c r="D1209" s="2" t="str">
        <f>TEXT(Table5[[#This Row],[bill_date]],"mmmm")</f>
        <v>July</v>
      </c>
      <c r="E1209" s="9">
        <f>YEAR(Table5[[#This Row],[bill_date]])</f>
        <v>2023</v>
      </c>
      <c r="F1209">
        <v>1512</v>
      </c>
      <c r="G1209" t="s">
        <v>30</v>
      </c>
    </row>
    <row r="1210" spans="1:7" x14ac:dyDescent="0.3">
      <c r="A1210">
        <v>31209</v>
      </c>
      <c r="B1210">
        <v>272</v>
      </c>
      <c r="C1210" s="2">
        <v>44686</v>
      </c>
      <c r="D1210" s="2" t="str">
        <f>TEXT(Table5[[#This Row],[bill_date]],"mmmm")</f>
        <v>May</v>
      </c>
      <c r="E1210" s="9">
        <f>YEAR(Table5[[#This Row],[bill_date]])</f>
        <v>2022</v>
      </c>
      <c r="F1210">
        <v>1174</v>
      </c>
      <c r="G1210" t="s">
        <v>30</v>
      </c>
    </row>
    <row r="1211" spans="1:7" x14ac:dyDescent="0.3">
      <c r="A1211">
        <v>31210</v>
      </c>
      <c r="B1211">
        <v>445</v>
      </c>
      <c r="C1211" s="2">
        <v>44602</v>
      </c>
      <c r="D1211" s="2" t="str">
        <f>TEXT(Table5[[#This Row],[bill_date]],"mmmm")</f>
        <v>February</v>
      </c>
      <c r="E1211" s="9">
        <f>YEAR(Table5[[#This Row],[bill_date]])</f>
        <v>2022</v>
      </c>
      <c r="F1211">
        <v>1177</v>
      </c>
      <c r="G1211" t="s">
        <v>30</v>
      </c>
    </row>
    <row r="1212" spans="1:7" x14ac:dyDescent="0.3">
      <c r="A1212">
        <v>31211</v>
      </c>
      <c r="B1212">
        <v>24</v>
      </c>
      <c r="C1212" s="2">
        <v>44898</v>
      </c>
      <c r="D1212" s="2" t="str">
        <f>TEXT(Table5[[#This Row],[bill_date]],"mmmm")</f>
        <v>December</v>
      </c>
      <c r="E1212" s="9">
        <f>YEAR(Table5[[#This Row],[bill_date]])</f>
        <v>2022</v>
      </c>
      <c r="F1212">
        <v>1870</v>
      </c>
      <c r="G1212" t="s">
        <v>30</v>
      </c>
    </row>
    <row r="1213" spans="1:7" x14ac:dyDescent="0.3">
      <c r="A1213">
        <v>31212</v>
      </c>
      <c r="B1213">
        <v>462</v>
      </c>
      <c r="C1213" s="2">
        <v>45246</v>
      </c>
      <c r="D1213" s="2" t="str">
        <f>TEXT(Table5[[#This Row],[bill_date]],"mmmm")</f>
        <v>November</v>
      </c>
      <c r="E1213" s="9">
        <f>YEAR(Table5[[#This Row],[bill_date]])</f>
        <v>2023</v>
      </c>
      <c r="F1213">
        <v>1874</v>
      </c>
      <c r="G1213" t="s">
        <v>30</v>
      </c>
    </row>
    <row r="1214" spans="1:7" x14ac:dyDescent="0.3">
      <c r="A1214">
        <v>31213</v>
      </c>
      <c r="B1214">
        <v>401</v>
      </c>
      <c r="C1214" s="2">
        <v>45333</v>
      </c>
      <c r="D1214" s="2" t="str">
        <f>TEXT(Table5[[#This Row],[bill_date]],"mmmm")</f>
        <v>February</v>
      </c>
      <c r="E1214" s="9">
        <f>YEAR(Table5[[#This Row],[bill_date]])</f>
        <v>2024</v>
      </c>
      <c r="F1214">
        <v>241</v>
      </c>
      <c r="G1214" t="s">
        <v>30</v>
      </c>
    </row>
    <row r="1215" spans="1:7" x14ac:dyDescent="0.3">
      <c r="A1215">
        <v>31214</v>
      </c>
      <c r="B1215">
        <v>115</v>
      </c>
      <c r="C1215" s="2">
        <v>44887</v>
      </c>
      <c r="D1215" s="2" t="str">
        <f>TEXT(Table5[[#This Row],[bill_date]],"mmmm")</f>
        <v>November</v>
      </c>
      <c r="E1215" s="9">
        <f>YEAR(Table5[[#This Row],[bill_date]])</f>
        <v>2022</v>
      </c>
      <c r="F1215">
        <v>1327</v>
      </c>
      <c r="G1215" t="s">
        <v>30</v>
      </c>
    </row>
    <row r="1216" spans="1:7" x14ac:dyDescent="0.3">
      <c r="A1216">
        <v>31215</v>
      </c>
      <c r="B1216">
        <v>351</v>
      </c>
      <c r="C1216" s="2">
        <v>45246</v>
      </c>
      <c r="D1216" s="2" t="str">
        <f>TEXT(Table5[[#This Row],[bill_date]],"mmmm")</f>
        <v>November</v>
      </c>
      <c r="E1216" s="9">
        <f>YEAR(Table5[[#This Row],[bill_date]])</f>
        <v>2023</v>
      </c>
      <c r="F1216">
        <v>1253</v>
      </c>
      <c r="G1216" t="s">
        <v>30</v>
      </c>
    </row>
    <row r="1217" spans="1:7" x14ac:dyDescent="0.3">
      <c r="A1217">
        <v>31216</v>
      </c>
      <c r="B1217">
        <v>260</v>
      </c>
      <c r="C1217" s="2">
        <v>44747</v>
      </c>
      <c r="D1217" s="2" t="str">
        <f>TEXT(Table5[[#This Row],[bill_date]],"mmmm")</f>
        <v>July</v>
      </c>
      <c r="E1217" s="9">
        <f>YEAR(Table5[[#This Row],[bill_date]])</f>
        <v>2022</v>
      </c>
      <c r="F1217">
        <v>1904</v>
      </c>
      <c r="G1217" t="s">
        <v>30</v>
      </c>
    </row>
    <row r="1218" spans="1:7" x14ac:dyDescent="0.3">
      <c r="A1218">
        <v>31217</v>
      </c>
      <c r="B1218">
        <v>306</v>
      </c>
      <c r="C1218" s="2">
        <v>44802</v>
      </c>
      <c r="D1218" s="2" t="str">
        <f>TEXT(Table5[[#This Row],[bill_date]],"mmmm")</f>
        <v>August</v>
      </c>
      <c r="E1218" s="9">
        <f>YEAR(Table5[[#This Row],[bill_date]])</f>
        <v>2022</v>
      </c>
      <c r="F1218">
        <v>1895</v>
      </c>
      <c r="G1218" t="s">
        <v>30</v>
      </c>
    </row>
    <row r="1219" spans="1:7" x14ac:dyDescent="0.3">
      <c r="A1219">
        <v>31218</v>
      </c>
      <c r="B1219">
        <v>364</v>
      </c>
      <c r="C1219" s="2">
        <v>44900</v>
      </c>
      <c r="D1219" s="2" t="str">
        <f>TEXT(Table5[[#This Row],[bill_date]],"mmmm")</f>
        <v>December</v>
      </c>
      <c r="E1219" s="9">
        <f>YEAR(Table5[[#This Row],[bill_date]])</f>
        <v>2022</v>
      </c>
      <c r="F1219">
        <v>985</v>
      </c>
      <c r="G1219" t="s">
        <v>30</v>
      </c>
    </row>
    <row r="1220" spans="1:7" x14ac:dyDescent="0.3">
      <c r="A1220">
        <v>31219</v>
      </c>
      <c r="B1220">
        <v>226</v>
      </c>
      <c r="C1220" s="2">
        <v>44655</v>
      </c>
      <c r="D1220" s="2" t="str">
        <f>TEXT(Table5[[#This Row],[bill_date]],"mmmm")</f>
        <v>April</v>
      </c>
      <c r="E1220" s="9">
        <f>YEAR(Table5[[#This Row],[bill_date]])</f>
        <v>2022</v>
      </c>
      <c r="F1220">
        <v>1987</v>
      </c>
      <c r="G1220" t="s">
        <v>30</v>
      </c>
    </row>
    <row r="1221" spans="1:7" x14ac:dyDescent="0.3">
      <c r="A1221">
        <v>31220</v>
      </c>
      <c r="B1221">
        <v>102</v>
      </c>
      <c r="C1221" s="2">
        <v>44977</v>
      </c>
      <c r="D1221" s="2" t="str">
        <f>TEXT(Table5[[#This Row],[bill_date]],"mmmm")</f>
        <v>February</v>
      </c>
      <c r="E1221" s="9">
        <f>YEAR(Table5[[#This Row],[bill_date]])</f>
        <v>2023</v>
      </c>
      <c r="F1221">
        <v>1441</v>
      </c>
      <c r="G1221" t="s">
        <v>30</v>
      </c>
    </row>
    <row r="1222" spans="1:7" x14ac:dyDescent="0.3">
      <c r="A1222">
        <v>31221</v>
      </c>
      <c r="B1222">
        <v>486</v>
      </c>
      <c r="C1222" s="2">
        <v>44624</v>
      </c>
      <c r="D1222" s="2" t="str">
        <f>TEXT(Table5[[#This Row],[bill_date]],"mmmm")</f>
        <v>March</v>
      </c>
      <c r="E1222" s="9">
        <f>YEAR(Table5[[#This Row],[bill_date]])</f>
        <v>2022</v>
      </c>
      <c r="F1222">
        <v>311</v>
      </c>
      <c r="G1222" t="s">
        <v>28</v>
      </c>
    </row>
    <row r="1223" spans="1:7" x14ac:dyDescent="0.3">
      <c r="A1223">
        <v>31222</v>
      </c>
      <c r="B1223">
        <v>131</v>
      </c>
      <c r="C1223" s="2">
        <v>45294</v>
      </c>
      <c r="D1223" s="2" t="str">
        <f>TEXT(Table5[[#This Row],[bill_date]],"mmmm")</f>
        <v>January</v>
      </c>
      <c r="E1223" s="9">
        <f>YEAR(Table5[[#This Row],[bill_date]])</f>
        <v>2024</v>
      </c>
      <c r="F1223">
        <v>930</v>
      </c>
      <c r="G1223" t="s">
        <v>30</v>
      </c>
    </row>
    <row r="1224" spans="1:7" x14ac:dyDescent="0.3">
      <c r="A1224">
        <v>31223</v>
      </c>
      <c r="B1224">
        <v>264</v>
      </c>
      <c r="C1224" s="2">
        <v>45081</v>
      </c>
      <c r="D1224" s="2" t="str">
        <f>TEXT(Table5[[#This Row],[bill_date]],"mmmm")</f>
        <v>June</v>
      </c>
      <c r="E1224" s="9">
        <f>YEAR(Table5[[#This Row],[bill_date]])</f>
        <v>2023</v>
      </c>
      <c r="F1224">
        <v>1917</v>
      </c>
      <c r="G1224" t="s">
        <v>30</v>
      </c>
    </row>
    <row r="1225" spans="1:7" x14ac:dyDescent="0.3">
      <c r="A1225">
        <v>31224</v>
      </c>
      <c r="B1225">
        <v>12</v>
      </c>
      <c r="C1225" s="2">
        <v>45286</v>
      </c>
      <c r="D1225" s="2" t="str">
        <f>TEXT(Table5[[#This Row],[bill_date]],"mmmm")</f>
        <v>December</v>
      </c>
      <c r="E1225" s="9">
        <f>YEAR(Table5[[#This Row],[bill_date]])</f>
        <v>2023</v>
      </c>
      <c r="F1225">
        <v>1482</v>
      </c>
      <c r="G1225" t="s">
        <v>30</v>
      </c>
    </row>
    <row r="1226" spans="1:7" x14ac:dyDescent="0.3">
      <c r="A1226">
        <v>31225</v>
      </c>
      <c r="B1226">
        <v>419</v>
      </c>
      <c r="C1226" s="2">
        <v>44770</v>
      </c>
      <c r="D1226" s="2" t="str">
        <f>TEXT(Table5[[#This Row],[bill_date]],"mmmm")</f>
        <v>July</v>
      </c>
      <c r="E1226" s="9">
        <f>YEAR(Table5[[#This Row],[bill_date]])</f>
        <v>2022</v>
      </c>
      <c r="F1226">
        <v>210</v>
      </c>
      <c r="G1226" t="s">
        <v>30</v>
      </c>
    </row>
    <row r="1227" spans="1:7" x14ac:dyDescent="0.3">
      <c r="A1227">
        <v>31226</v>
      </c>
      <c r="B1227">
        <v>322</v>
      </c>
      <c r="C1227" s="2">
        <v>44770</v>
      </c>
      <c r="D1227" s="2" t="str">
        <f>TEXT(Table5[[#This Row],[bill_date]],"mmmm")</f>
        <v>July</v>
      </c>
      <c r="E1227" s="9">
        <f>YEAR(Table5[[#This Row],[bill_date]])</f>
        <v>2022</v>
      </c>
      <c r="F1227">
        <v>1693</v>
      </c>
      <c r="G1227" t="s">
        <v>28</v>
      </c>
    </row>
    <row r="1228" spans="1:7" x14ac:dyDescent="0.3">
      <c r="A1228">
        <v>31227</v>
      </c>
      <c r="B1228">
        <v>181</v>
      </c>
      <c r="C1228" s="2">
        <v>44937</v>
      </c>
      <c r="D1228" s="2" t="str">
        <f>TEXT(Table5[[#This Row],[bill_date]],"mmmm")</f>
        <v>January</v>
      </c>
      <c r="E1228" s="9">
        <f>YEAR(Table5[[#This Row],[bill_date]])</f>
        <v>2023</v>
      </c>
      <c r="F1228">
        <v>1562</v>
      </c>
      <c r="G1228" t="s">
        <v>30</v>
      </c>
    </row>
    <row r="1229" spans="1:7" x14ac:dyDescent="0.3">
      <c r="A1229">
        <v>31228</v>
      </c>
      <c r="B1229">
        <v>349</v>
      </c>
      <c r="C1229" s="2">
        <v>44646</v>
      </c>
      <c r="D1229" s="2" t="str">
        <f>TEXT(Table5[[#This Row],[bill_date]],"mmmm")</f>
        <v>March</v>
      </c>
      <c r="E1229" s="9">
        <f>YEAR(Table5[[#This Row],[bill_date]])</f>
        <v>2022</v>
      </c>
      <c r="F1229">
        <v>1070</v>
      </c>
      <c r="G1229" t="s">
        <v>30</v>
      </c>
    </row>
    <row r="1230" spans="1:7" x14ac:dyDescent="0.3">
      <c r="A1230">
        <v>31229</v>
      </c>
      <c r="B1230">
        <v>471</v>
      </c>
      <c r="C1230" s="2">
        <v>44768</v>
      </c>
      <c r="D1230" s="2" t="str">
        <f>TEXT(Table5[[#This Row],[bill_date]],"mmmm")</f>
        <v>July</v>
      </c>
      <c r="E1230" s="9">
        <f>YEAR(Table5[[#This Row],[bill_date]])</f>
        <v>2022</v>
      </c>
      <c r="F1230">
        <v>444</v>
      </c>
      <c r="G1230" t="s">
        <v>30</v>
      </c>
    </row>
    <row r="1231" spans="1:7" x14ac:dyDescent="0.3">
      <c r="A1231">
        <v>31230</v>
      </c>
      <c r="B1231">
        <v>161</v>
      </c>
      <c r="C1231" s="2">
        <v>44908</v>
      </c>
      <c r="D1231" s="2" t="str">
        <f>TEXT(Table5[[#This Row],[bill_date]],"mmmm")</f>
        <v>December</v>
      </c>
      <c r="E1231" s="9">
        <f>YEAR(Table5[[#This Row],[bill_date]])</f>
        <v>2022</v>
      </c>
      <c r="F1231">
        <v>1472</v>
      </c>
      <c r="G1231" t="s">
        <v>30</v>
      </c>
    </row>
    <row r="1232" spans="1:7" x14ac:dyDescent="0.3">
      <c r="A1232">
        <v>31231</v>
      </c>
      <c r="B1232">
        <v>114</v>
      </c>
      <c r="C1232" s="2">
        <v>45226</v>
      </c>
      <c r="D1232" s="2" t="str">
        <f>TEXT(Table5[[#This Row],[bill_date]],"mmmm")</f>
        <v>October</v>
      </c>
      <c r="E1232" s="9">
        <f>YEAR(Table5[[#This Row],[bill_date]])</f>
        <v>2023</v>
      </c>
      <c r="F1232">
        <v>1792</v>
      </c>
      <c r="G1232" t="s">
        <v>28</v>
      </c>
    </row>
    <row r="1233" spans="1:7" x14ac:dyDescent="0.3">
      <c r="A1233">
        <v>31232</v>
      </c>
      <c r="B1233">
        <v>18</v>
      </c>
      <c r="C1233" s="2">
        <v>44722</v>
      </c>
      <c r="D1233" s="2" t="str">
        <f>TEXT(Table5[[#This Row],[bill_date]],"mmmm")</f>
        <v>June</v>
      </c>
      <c r="E1233" s="9">
        <f>YEAR(Table5[[#This Row],[bill_date]])</f>
        <v>2022</v>
      </c>
      <c r="F1233">
        <v>707</v>
      </c>
      <c r="G1233" t="s">
        <v>30</v>
      </c>
    </row>
    <row r="1234" spans="1:7" x14ac:dyDescent="0.3">
      <c r="A1234">
        <v>31233</v>
      </c>
      <c r="B1234">
        <v>104</v>
      </c>
      <c r="C1234" s="2">
        <v>45011</v>
      </c>
      <c r="D1234" s="2" t="str">
        <f>TEXT(Table5[[#This Row],[bill_date]],"mmmm")</f>
        <v>March</v>
      </c>
      <c r="E1234" s="9">
        <f>YEAR(Table5[[#This Row],[bill_date]])</f>
        <v>2023</v>
      </c>
      <c r="F1234">
        <v>1526</v>
      </c>
      <c r="G1234" t="s">
        <v>28</v>
      </c>
    </row>
    <row r="1235" spans="1:7" x14ac:dyDescent="0.3">
      <c r="A1235">
        <v>31234</v>
      </c>
      <c r="B1235">
        <v>186</v>
      </c>
      <c r="C1235" s="2">
        <v>44677</v>
      </c>
      <c r="D1235" s="2" t="str">
        <f>TEXT(Table5[[#This Row],[bill_date]],"mmmm")</f>
        <v>April</v>
      </c>
      <c r="E1235" s="9">
        <f>YEAR(Table5[[#This Row],[bill_date]])</f>
        <v>2022</v>
      </c>
      <c r="F1235">
        <v>1735</v>
      </c>
      <c r="G1235" t="s">
        <v>30</v>
      </c>
    </row>
    <row r="1236" spans="1:7" x14ac:dyDescent="0.3">
      <c r="A1236">
        <v>31235</v>
      </c>
      <c r="B1236">
        <v>342</v>
      </c>
      <c r="C1236" s="2">
        <v>44923</v>
      </c>
      <c r="D1236" s="2" t="str">
        <f>TEXT(Table5[[#This Row],[bill_date]],"mmmm")</f>
        <v>December</v>
      </c>
      <c r="E1236" s="9">
        <f>YEAR(Table5[[#This Row],[bill_date]])</f>
        <v>2022</v>
      </c>
      <c r="F1236">
        <v>1583</v>
      </c>
      <c r="G1236" t="s">
        <v>28</v>
      </c>
    </row>
    <row r="1237" spans="1:7" x14ac:dyDescent="0.3">
      <c r="A1237">
        <v>31236</v>
      </c>
      <c r="B1237">
        <v>462</v>
      </c>
      <c r="C1237" s="2">
        <v>44812</v>
      </c>
      <c r="D1237" s="2" t="str">
        <f>TEXT(Table5[[#This Row],[bill_date]],"mmmm")</f>
        <v>September</v>
      </c>
      <c r="E1237" s="9">
        <f>YEAR(Table5[[#This Row],[bill_date]])</f>
        <v>2022</v>
      </c>
      <c r="F1237">
        <v>1937</v>
      </c>
      <c r="G1237" t="s">
        <v>30</v>
      </c>
    </row>
    <row r="1238" spans="1:7" x14ac:dyDescent="0.3">
      <c r="A1238">
        <v>31237</v>
      </c>
      <c r="B1238">
        <v>93</v>
      </c>
      <c r="C1238" s="2">
        <v>44744</v>
      </c>
      <c r="D1238" s="2" t="str">
        <f>TEXT(Table5[[#This Row],[bill_date]],"mmmm")</f>
        <v>July</v>
      </c>
      <c r="E1238" s="9">
        <f>YEAR(Table5[[#This Row],[bill_date]])</f>
        <v>2022</v>
      </c>
      <c r="F1238">
        <v>242</v>
      </c>
      <c r="G1238" t="s">
        <v>30</v>
      </c>
    </row>
    <row r="1239" spans="1:7" x14ac:dyDescent="0.3">
      <c r="A1239">
        <v>31238</v>
      </c>
      <c r="B1239">
        <v>301</v>
      </c>
      <c r="C1239" s="2">
        <v>45237</v>
      </c>
      <c r="D1239" s="2" t="str">
        <f>TEXT(Table5[[#This Row],[bill_date]],"mmmm")</f>
        <v>November</v>
      </c>
      <c r="E1239" s="9">
        <f>YEAR(Table5[[#This Row],[bill_date]])</f>
        <v>2023</v>
      </c>
      <c r="F1239">
        <v>1541</v>
      </c>
      <c r="G1239" t="s">
        <v>30</v>
      </c>
    </row>
    <row r="1240" spans="1:7" x14ac:dyDescent="0.3">
      <c r="A1240">
        <v>31239</v>
      </c>
      <c r="B1240">
        <v>143</v>
      </c>
      <c r="C1240" s="2">
        <v>44889</v>
      </c>
      <c r="D1240" s="2" t="str">
        <f>TEXT(Table5[[#This Row],[bill_date]],"mmmm")</f>
        <v>November</v>
      </c>
      <c r="E1240" s="9">
        <f>YEAR(Table5[[#This Row],[bill_date]])</f>
        <v>2022</v>
      </c>
      <c r="F1240">
        <v>805</v>
      </c>
      <c r="G1240" t="s">
        <v>29</v>
      </c>
    </row>
    <row r="1241" spans="1:7" x14ac:dyDescent="0.3">
      <c r="A1241">
        <v>31240</v>
      </c>
      <c r="B1241">
        <v>143</v>
      </c>
      <c r="C1241" s="2">
        <v>45153</v>
      </c>
      <c r="D1241" s="2" t="str">
        <f>TEXT(Table5[[#This Row],[bill_date]],"mmmm")</f>
        <v>August</v>
      </c>
      <c r="E1241" s="9">
        <f>YEAR(Table5[[#This Row],[bill_date]])</f>
        <v>2023</v>
      </c>
      <c r="F1241">
        <v>1711</v>
      </c>
      <c r="G1241" t="s">
        <v>30</v>
      </c>
    </row>
    <row r="1242" spans="1:7" x14ac:dyDescent="0.3">
      <c r="A1242">
        <v>31241</v>
      </c>
      <c r="B1242">
        <v>301</v>
      </c>
      <c r="C1242" s="2">
        <v>44568</v>
      </c>
      <c r="D1242" s="2" t="str">
        <f>TEXT(Table5[[#This Row],[bill_date]],"mmmm")</f>
        <v>January</v>
      </c>
      <c r="E1242" s="9">
        <f>YEAR(Table5[[#This Row],[bill_date]])</f>
        <v>2022</v>
      </c>
      <c r="F1242">
        <v>1516</v>
      </c>
      <c r="G1242" t="s">
        <v>30</v>
      </c>
    </row>
    <row r="1243" spans="1:7" x14ac:dyDescent="0.3">
      <c r="A1243">
        <v>31242</v>
      </c>
      <c r="B1243">
        <v>452</v>
      </c>
      <c r="C1243" s="2">
        <v>45398</v>
      </c>
      <c r="D1243" s="2" t="str">
        <f>TEXT(Table5[[#This Row],[bill_date]],"mmmm")</f>
        <v>April</v>
      </c>
      <c r="E1243" s="9">
        <f>YEAR(Table5[[#This Row],[bill_date]])</f>
        <v>2024</v>
      </c>
      <c r="F1243">
        <v>707</v>
      </c>
      <c r="G1243" t="s">
        <v>30</v>
      </c>
    </row>
    <row r="1244" spans="1:7" x14ac:dyDescent="0.3">
      <c r="A1244">
        <v>31243</v>
      </c>
      <c r="B1244">
        <v>100</v>
      </c>
      <c r="C1244" s="2">
        <v>45160</v>
      </c>
      <c r="D1244" s="2" t="str">
        <f>TEXT(Table5[[#This Row],[bill_date]],"mmmm")</f>
        <v>August</v>
      </c>
      <c r="E1244" s="9">
        <f>YEAR(Table5[[#This Row],[bill_date]])</f>
        <v>2023</v>
      </c>
      <c r="F1244">
        <v>1743</v>
      </c>
      <c r="G1244" t="s">
        <v>28</v>
      </c>
    </row>
    <row r="1245" spans="1:7" x14ac:dyDescent="0.3">
      <c r="A1245">
        <v>31244</v>
      </c>
      <c r="B1245">
        <v>453</v>
      </c>
      <c r="C1245" s="2">
        <v>45081</v>
      </c>
      <c r="D1245" s="2" t="str">
        <f>TEXT(Table5[[#This Row],[bill_date]],"mmmm")</f>
        <v>June</v>
      </c>
      <c r="E1245" s="9">
        <f>YEAR(Table5[[#This Row],[bill_date]])</f>
        <v>2023</v>
      </c>
      <c r="F1245">
        <v>1996</v>
      </c>
      <c r="G1245" t="s">
        <v>28</v>
      </c>
    </row>
    <row r="1246" spans="1:7" x14ac:dyDescent="0.3">
      <c r="A1246">
        <v>31245</v>
      </c>
      <c r="B1246">
        <v>451</v>
      </c>
      <c r="C1246" s="2">
        <v>44948</v>
      </c>
      <c r="D1246" s="2" t="str">
        <f>TEXT(Table5[[#This Row],[bill_date]],"mmmm")</f>
        <v>January</v>
      </c>
      <c r="E1246" s="9">
        <f>YEAR(Table5[[#This Row],[bill_date]])</f>
        <v>2023</v>
      </c>
      <c r="F1246">
        <v>1548</v>
      </c>
      <c r="G1246" t="s">
        <v>30</v>
      </c>
    </row>
    <row r="1247" spans="1:7" x14ac:dyDescent="0.3">
      <c r="A1247">
        <v>31246</v>
      </c>
      <c r="B1247">
        <v>460</v>
      </c>
      <c r="C1247" s="2">
        <v>44931</v>
      </c>
      <c r="D1247" s="2" t="str">
        <f>TEXT(Table5[[#This Row],[bill_date]],"mmmm")</f>
        <v>January</v>
      </c>
      <c r="E1247" s="9">
        <f>YEAR(Table5[[#This Row],[bill_date]])</f>
        <v>2023</v>
      </c>
      <c r="F1247">
        <v>1475</v>
      </c>
      <c r="G1247" t="s">
        <v>28</v>
      </c>
    </row>
    <row r="1248" spans="1:7" x14ac:dyDescent="0.3">
      <c r="A1248">
        <v>31247</v>
      </c>
      <c r="B1248">
        <v>62</v>
      </c>
      <c r="C1248" s="2">
        <v>45109</v>
      </c>
      <c r="D1248" s="2" t="str">
        <f>TEXT(Table5[[#This Row],[bill_date]],"mmmm")</f>
        <v>July</v>
      </c>
      <c r="E1248" s="9">
        <f>YEAR(Table5[[#This Row],[bill_date]])</f>
        <v>2023</v>
      </c>
      <c r="F1248">
        <v>506</v>
      </c>
      <c r="G1248" t="s">
        <v>30</v>
      </c>
    </row>
    <row r="1249" spans="1:7" x14ac:dyDescent="0.3">
      <c r="A1249">
        <v>31248</v>
      </c>
      <c r="B1249">
        <v>84</v>
      </c>
      <c r="C1249" s="2">
        <v>45324</v>
      </c>
      <c r="D1249" s="2" t="str">
        <f>TEXT(Table5[[#This Row],[bill_date]],"mmmm")</f>
        <v>February</v>
      </c>
      <c r="E1249" s="9">
        <f>YEAR(Table5[[#This Row],[bill_date]])</f>
        <v>2024</v>
      </c>
      <c r="F1249">
        <v>1545</v>
      </c>
      <c r="G1249" t="s">
        <v>28</v>
      </c>
    </row>
    <row r="1250" spans="1:7" x14ac:dyDescent="0.3">
      <c r="A1250">
        <v>31249</v>
      </c>
      <c r="B1250">
        <v>428</v>
      </c>
      <c r="C1250" s="2">
        <v>45173</v>
      </c>
      <c r="D1250" s="2" t="str">
        <f>TEXT(Table5[[#This Row],[bill_date]],"mmmm")</f>
        <v>September</v>
      </c>
      <c r="E1250" s="9">
        <f>YEAR(Table5[[#This Row],[bill_date]])</f>
        <v>2023</v>
      </c>
      <c r="F1250">
        <v>1830</v>
      </c>
      <c r="G1250" t="s">
        <v>28</v>
      </c>
    </row>
    <row r="1251" spans="1:7" x14ac:dyDescent="0.3">
      <c r="A1251">
        <v>31250</v>
      </c>
      <c r="B1251">
        <v>276</v>
      </c>
      <c r="C1251" s="2">
        <v>44640</v>
      </c>
      <c r="D1251" s="2" t="str">
        <f>TEXT(Table5[[#This Row],[bill_date]],"mmmm")</f>
        <v>March</v>
      </c>
      <c r="E1251" s="9">
        <f>YEAR(Table5[[#This Row],[bill_date]])</f>
        <v>2022</v>
      </c>
      <c r="F1251">
        <v>1065</v>
      </c>
      <c r="G1251" t="s">
        <v>30</v>
      </c>
    </row>
    <row r="1252" spans="1:7" x14ac:dyDescent="0.3">
      <c r="A1252">
        <v>31251</v>
      </c>
      <c r="B1252">
        <v>167</v>
      </c>
      <c r="C1252" s="2">
        <v>45359</v>
      </c>
      <c r="D1252" s="2" t="str">
        <f>TEXT(Table5[[#This Row],[bill_date]],"mmmm")</f>
        <v>March</v>
      </c>
      <c r="E1252" s="9">
        <f>YEAR(Table5[[#This Row],[bill_date]])</f>
        <v>2024</v>
      </c>
      <c r="F1252">
        <v>1110</v>
      </c>
      <c r="G1252" t="s">
        <v>30</v>
      </c>
    </row>
    <row r="1253" spans="1:7" x14ac:dyDescent="0.3">
      <c r="A1253">
        <v>31252</v>
      </c>
      <c r="B1253">
        <v>295</v>
      </c>
      <c r="C1253" s="2">
        <v>45344</v>
      </c>
      <c r="D1253" s="2" t="str">
        <f>TEXT(Table5[[#This Row],[bill_date]],"mmmm")</f>
        <v>February</v>
      </c>
      <c r="E1253" s="9">
        <f>YEAR(Table5[[#This Row],[bill_date]])</f>
        <v>2024</v>
      </c>
      <c r="F1253">
        <v>1864</v>
      </c>
      <c r="G1253" t="s">
        <v>30</v>
      </c>
    </row>
    <row r="1254" spans="1:7" x14ac:dyDescent="0.3">
      <c r="A1254">
        <v>31253</v>
      </c>
      <c r="B1254">
        <v>129</v>
      </c>
      <c r="C1254" s="2">
        <v>44782</v>
      </c>
      <c r="D1254" s="2" t="str">
        <f>TEXT(Table5[[#This Row],[bill_date]],"mmmm")</f>
        <v>August</v>
      </c>
      <c r="E1254" s="9">
        <f>YEAR(Table5[[#This Row],[bill_date]])</f>
        <v>2022</v>
      </c>
      <c r="F1254">
        <v>234</v>
      </c>
      <c r="G1254" t="s">
        <v>28</v>
      </c>
    </row>
    <row r="1255" spans="1:7" x14ac:dyDescent="0.3">
      <c r="A1255">
        <v>31254</v>
      </c>
      <c r="B1255">
        <v>364</v>
      </c>
      <c r="C1255" s="2">
        <v>45269</v>
      </c>
      <c r="D1255" s="2" t="str">
        <f>TEXT(Table5[[#This Row],[bill_date]],"mmmm")</f>
        <v>December</v>
      </c>
      <c r="E1255" s="9">
        <f>YEAR(Table5[[#This Row],[bill_date]])</f>
        <v>2023</v>
      </c>
      <c r="F1255">
        <v>1839</v>
      </c>
      <c r="G1255" t="s">
        <v>30</v>
      </c>
    </row>
    <row r="1256" spans="1:7" x14ac:dyDescent="0.3">
      <c r="A1256">
        <v>31255</v>
      </c>
      <c r="B1256">
        <v>67</v>
      </c>
      <c r="C1256" s="2">
        <v>45299</v>
      </c>
      <c r="D1256" s="2" t="str">
        <f>TEXT(Table5[[#This Row],[bill_date]],"mmmm")</f>
        <v>January</v>
      </c>
      <c r="E1256" s="9">
        <f>YEAR(Table5[[#This Row],[bill_date]])</f>
        <v>2024</v>
      </c>
      <c r="F1256">
        <v>909</v>
      </c>
      <c r="G1256" t="s">
        <v>30</v>
      </c>
    </row>
    <row r="1257" spans="1:7" x14ac:dyDescent="0.3">
      <c r="A1257">
        <v>31256</v>
      </c>
      <c r="B1257">
        <v>47</v>
      </c>
      <c r="C1257" s="2">
        <v>45160</v>
      </c>
      <c r="D1257" s="2" t="str">
        <f>TEXT(Table5[[#This Row],[bill_date]],"mmmm")</f>
        <v>August</v>
      </c>
      <c r="E1257" s="9">
        <f>YEAR(Table5[[#This Row],[bill_date]])</f>
        <v>2023</v>
      </c>
      <c r="F1257">
        <v>1513</v>
      </c>
      <c r="G1257" t="s">
        <v>30</v>
      </c>
    </row>
    <row r="1258" spans="1:7" x14ac:dyDescent="0.3">
      <c r="A1258">
        <v>31257</v>
      </c>
      <c r="B1258">
        <v>457</v>
      </c>
      <c r="C1258" s="2">
        <v>45131</v>
      </c>
      <c r="D1258" s="2" t="str">
        <f>TEXT(Table5[[#This Row],[bill_date]],"mmmm")</f>
        <v>July</v>
      </c>
      <c r="E1258" s="9">
        <f>YEAR(Table5[[#This Row],[bill_date]])</f>
        <v>2023</v>
      </c>
      <c r="F1258">
        <v>1764</v>
      </c>
      <c r="G1258" t="s">
        <v>30</v>
      </c>
    </row>
    <row r="1259" spans="1:7" x14ac:dyDescent="0.3">
      <c r="A1259">
        <v>31258</v>
      </c>
      <c r="B1259">
        <v>374</v>
      </c>
      <c r="C1259" s="2">
        <v>44973</v>
      </c>
      <c r="D1259" s="2" t="str">
        <f>TEXT(Table5[[#This Row],[bill_date]],"mmmm")</f>
        <v>February</v>
      </c>
      <c r="E1259" s="9">
        <f>YEAR(Table5[[#This Row],[bill_date]])</f>
        <v>2023</v>
      </c>
      <c r="F1259">
        <v>1139</v>
      </c>
      <c r="G1259" t="s">
        <v>28</v>
      </c>
    </row>
    <row r="1260" spans="1:7" x14ac:dyDescent="0.3">
      <c r="A1260">
        <v>31259</v>
      </c>
      <c r="B1260">
        <v>310</v>
      </c>
      <c r="C1260" s="2">
        <v>45040</v>
      </c>
      <c r="D1260" s="2" t="str">
        <f>TEXT(Table5[[#This Row],[bill_date]],"mmmm")</f>
        <v>April</v>
      </c>
      <c r="E1260" s="9">
        <f>YEAR(Table5[[#This Row],[bill_date]])</f>
        <v>2023</v>
      </c>
      <c r="F1260">
        <v>1827</v>
      </c>
      <c r="G1260" t="s">
        <v>30</v>
      </c>
    </row>
    <row r="1261" spans="1:7" x14ac:dyDescent="0.3">
      <c r="A1261">
        <v>31260</v>
      </c>
      <c r="B1261">
        <v>148</v>
      </c>
      <c r="C1261" s="2">
        <v>45243</v>
      </c>
      <c r="D1261" s="2" t="str">
        <f>TEXT(Table5[[#This Row],[bill_date]],"mmmm")</f>
        <v>November</v>
      </c>
      <c r="E1261" s="9">
        <f>YEAR(Table5[[#This Row],[bill_date]])</f>
        <v>2023</v>
      </c>
      <c r="F1261">
        <v>1711</v>
      </c>
      <c r="G1261" t="s">
        <v>30</v>
      </c>
    </row>
    <row r="1262" spans="1:7" x14ac:dyDescent="0.3">
      <c r="A1262">
        <v>31261</v>
      </c>
      <c r="B1262">
        <v>250</v>
      </c>
      <c r="C1262" s="2">
        <v>44658</v>
      </c>
      <c r="D1262" s="2" t="str">
        <f>TEXT(Table5[[#This Row],[bill_date]],"mmmm")</f>
        <v>April</v>
      </c>
      <c r="E1262" s="9">
        <f>YEAR(Table5[[#This Row],[bill_date]])</f>
        <v>2022</v>
      </c>
      <c r="F1262">
        <v>1159</v>
      </c>
      <c r="G1262" t="s">
        <v>29</v>
      </c>
    </row>
    <row r="1263" spans="1:7" x14ac:dyDescent="0.3">
      <c r="A1263">
        <v>31262</v>
      </c>
      <c r="B1263">
        <v>137</v>
      </c>
      <c r="C1263" s="2">
        <v>45219</v>
      </c>
      <c r="D1263" s="2" t="str">
        <f>TEXT(Table5[[#This Row],[bill_date]],"mmmm")</f>
        <v>October</v>
      </c>
      <c r="E1263" s="9">
        <f>YEAR(Table5[[#This Row],[bill_date]])</f>
        <v>2023</v>
      </c>
      <c r="F1263">
        <v>434</v>
      </c>
      <c r="G1263" t="s">
        <v>30</v>
      </c>
    </row>
    <row r="1264" spans="1:7" x14ac:dyDescent="0.3">
      <c r="A1264">
        <v>31263</v>
      </c>
      <c r="B1264">
        <v>95</v>
      </c>
      <c r="C1264" s="2">
        <v>44954</v>
      </c>
      <c r="D1264" s="2" t="str">
        <f>TEXT(Table5[[#This Row],[bill_date]],"mmmm")</f>
        <v>January</v>
      </c>
      <c r="E1264" s="9">
        <f>YEAR(Table5[[#This Row],[bill_date]])</f>
        <v>2023</v>
      </c>
      <c r="F1264">
        <v>1607</v>
      </c>
      <c r="G1264" t="s">
        <v>30</v>
      </c>
    </row>
    <row r="1265" spans="1:7" x14ac:dyDescent="0.3">
      <c r="A1265">
        <v>31264</v>
      </c>
      <c r="B1265">
        <v>238</v>
      </c>
      <c r="C1265" s="2">
        <v>45029</v>
      </c>
      <c r="D1265" s="2" t="str">
        <f>TEXT(Table5[[#This Row],[bill_date]],"mmmm")</f>
        <v>April</v>
      </c>
      <c r="E1265" s="9">
        <f>YEAR(Table5[[#This Row],[bill_date]])</f>
        <v>2023</v>
      </c>
      <c r="F1265">
        <v>559</v>
      </c>
      <c r="G1265" t="s">
        <v>28</v>
      </c>
    </row>
    <row r="1266" spans="1:7" x14ac:dyDescent="0.3">
      <c r="A1266">
        <v>31265</v>
      </c>
      <c r="B1266">
        <v>284</v>
      </c>
      <c r="C1266" s="2">
        <v>45431</v>
      </c>
      <c r="D1266" s="2" t="str">
        <f>TEXT(Table5[[#This Row],[bill_date]],"mmmm")</f>
        <v>May</v>
      </c>
      <c r="E1266" s="9">
        <f>YEAR(Table5[[#This Row],[bill_date]])</f>
        <v>2024</v>
      </c>
      <c r="F1266">
        <v>1929</v>
      </c>
      <c r="G1266" t="s">
        <v>30</v>
      </c>
    </row>
    <row r="1267" spans="1:7" x14ac:dyDescent="0.3">
      <c r="A1267">
        <v>31266</v>
      </c>
      <c r="B1267">
        <v>320</v>
      </c>
      <c r="C1267" s="2">
        <v>44932</v>
      </c>
      <c r="D1267" s="2" t="str">
        <f>TEXT(Table5[[#This Row],[bill_date]],"mmmm")</f>
        <v>January</v>
      </c>
      <c r="E1267" s="9">
        <f>YEAR(Table5[[#This Row],[bill_date]])</f>
        <v>2023</v>
      </c>
      <c r="F1267">
        <v>1478</v>
      </c>
      <c r="G1267" t="s">
        <v>30</v>
      </c>
    </row>
    <row r="1268" spans="1:7" x14ac:dyDescent="0.3">
      <c r="A1268">
        <v>31267</v>
      </c>
      <c r="B1268">
        <v>35</v>
      </c>
      <c r="C1268" s="2">
        <v>44954</v>
      </c>
      <c r="D1268" s="2" t="str">
        <f>TEXT(Table5[[#This Row],[bill_date]],"mmmm")</f>
        <v>January</v>
      </c>
      <c r="E1268" s="9">
        <f>YEAR(Table5[[#This Row],[bill_date]])</f>
        <v>2023</v>
      </c>
      <c r="F1268">
        <v>1066</v>
      </c>
      <c r="G1268" t="s">
        <v>30</v>
      </c>
    </row>
    <row r="1269" spans="1:7" x14ac:dyDescent="0.3">
      <c r="A1269">
        <v>31268</v>
      </c>
      <c r="B1269">
        <v>296</v>
      </c>
      <c r="C1269" s="2">
        <v>44579</v>
      </c>
      <c r="D1269" s="2" t="str">
        <f>TEXT(Table5[[#This Row],[bill_date]],"mmmm")</f>
        <v>January</v>
      </c>
      <c r="E1269" s="9">
        <f>YEAR(Table5[[#This Row],[bill_date]])</f>
        <v>2022</v>
      </c>
      <c r="F1269">
        <v>1581</v>
      </c>
      <c r="G1269" t="s">
        <v>29</v>
      </c>
    </row>
    <row r="1270" spans="1:7" x14ac:dyDescent="0.3">
      <c r="A1270">
        <v>31269</v>
      </c>
      <c r="B1270">
        <v>381</v>
      </c>
      <c r="C1270" s="2">
        <v>44745</v>
      </c>
      <c r="D1270" s="2" t="str">
        <f>TEXT(Table5[[#This Row],[bill_date]],"mmmm")</f>
        <v>July</v>
      </c>
      <c r="E1270" s="9">
        <f>YEAR(Table5[[#This Row],[bill_date]])</f>
        <v>2022</v>
      </c>
      <c r="F1270">
        <v>1765</v>
      </c>
      <c r="G1270" t="s">
        <v>30</v>
      </c>
    </row>
    <row r="1271" spans="1:7" x14ac:dyDescent="0.3">
      <c r="A1271">
        <v>31270</v>
      </c>
      <c r="B1271">
        <v>358</v>
      </c>
      <c r="C1271" s="2">
        <v>44704</v>
      </c>
      <c r="D1271" s="2" t="str">
        <f>TEXT(Table5[[#This Row],[bill_date]],"mmmm")</f>
        <v>May</v>
      </c>
      <c r="E1271" s="9">
        <f>YEAR(Table5[[#This Row],[bill_date]])</f>
        <v>2022</v>
      </c>
      <c r="F1271">
        <v>223</v>
      </c>
      <c r="G1271" t="s">
        <v>30</v>
      </c>
    </row>
    <row r="1272" spans="1:7" x14ac:dyDescent="0.3">
      <c r="A1272">
        <v>31271</v>
      </c>
      <c r="B1272">
        <v>492</v>
      </c>
      <c r="C1272" s="2">
        <v>45024</v>
      </c>
      <c r="D1272" s="2" t="str">
        <f>TEXT(Table5[[#This Row],[bill_date]],"mmmm")</f>
        <v>April</v>
      </c>
      <c r="E1272" s="9">
        <f>YEAR(Table5[[#This Row],[bill_date]])</f>
        <v>2023</v>
      </c>
      <c r="F1272">
        <v>1013</v>
      </c>
      <c r="G1272" t="s">
        <v>28</v>
      </c>
    </row>
    <row r="1273" spans="1:7" x14ac:dyDescent="0.3">
      <c r="A1273">
        <v>31272</v>
      </c>
      <c r="B1273">
        <v>258</v>
      </c>
      <c r="C1273" s="2">
        <v>45068</v>
      </c>
      <c r="D1273" s="2" t="str">
        <f>TEXT(Table5[[#This Row],[bill_date]],"mmmm")</f>
        <v>May</v>
      </c>
      <c r="E1273" s="9">
        <f>YEAR(Table5[[#This Row],[bill_date]])</f>
        <v>2023</v>
      </c>
      <c r="F1273">
        <v>1150</v>
      </c>
      <c r="G1273" t="s">
        <v>30</v>
      </c>
    </row>
    <row r="1274" spans="1:7" x14ac:dyDescent="0.3">
      <c r="A1274">
        <v>31273</v>
      </c>
      <c r="B1274">
        <v>387</v>
      </c>
      <c r="C1274" s="2">
        <v>44895</v>
      </c>
      <c r="D1274" s="2" t="str">
        <f>TEXT(Table5[[#This Row],[bill_date]],"mmmm")</f>
        <v>November</v>
      </c>
      <c r="E1274" s="9">
        <f>YEAR(Table5[[#This Row],[bill_date]])</f>
        <v>2022</v>
      </c>
      <c r="F1274">
        <v>1182</v>
      </c>
      <c r="G1274" t="s">
        <v>30</v>
      </c>
    </row>
    <row r="1275" spans="1:7" x14ac:dyDescent="0.3">
      <c r="A1275">
        <v>31274</v>
      </c>
      <c r="B1275">
        <v>270</v>
      </c>
      <c r="C1275" s="2">
        <v>44623</v>
      </c>
      <c r="D1275" s="2" t="str">
        <f>TEXT(Table5[[#This Row],[bill_date]],"mmmm")</f>
        <v>March</v>
      </c>
      <c r="E1275" s="9">
        <f>YEAR(Table5[[#This Row],[bill_date]])</f>
        <v>2022</v>
      </c>
      <c r="F1275">
        <v>1223</v>
      </c>
      <c r="G1275" t="s">
        <v>30</v>
      </c>
    </row>
    <row r="1276" spans="1:7" x14ac:dyDescent="0.3">
      <c r="A1276">
        <v>31275</v>
      </c>
      <c r="B1276">
        <v>465</v>
      </c>
      <c r="C1276" s="2">
        <v>44724</v>
      </c>
      <c r="D1276" s="2" t="str">
        <f>TEXT(Table5[[#This Row],[bill_date]],"mmmm")</f>
        <v>June</v>
      </c>
      <c r="E1276" s="9">
        <f>YEAR(Table5[[#This Row],[bill_date]])</f>
        <v>2022</v>
      </c>
      <c r="F1276">
        <v>556</v>
      </c>
      <c r="G1276" t="s">
        <v>29</v>
      </c>
    </row>
    <row r="1277" spans="1:7" x14ac:dyDescent="0.3">
      <c r="A1277">
        <v>31276</v>
      </c>
      <c r="B1277">
        <v>355</v>
      </c>
      <c r="C1277" s="2">
        <v>45113</v>
      </c>
      <c r="D1277" s="2" t="str">
        <f>TEXT(Table5[[#This Row],[bill_date]],"mmmm")</f>
        <v>July</v>
      </c>
      <c r="E1277" s="9">
        <f>YEAR(Table5[[#This Row],[bill_date]])</f>
        <v>2023</v>
      </c>
      <c r="F1277">
        <v>316</v>
      </c>
      <c r="G1277" t="s">
        <v>30</v>
      </c>
    </row>
    <row r="1278" spans="1:7" x14ac:dyDescent="0.3">
      <c r="A1278">
        <v>31277</v>
      </c>
      <c r="B1278">
        <v>324</v>
      </c>
      <c r="C1278" s="2">
        <v>44740</v>
      </c>
      <c r="D1278" s="2" t="str">
        <f>TEXT(Table5[[#This Row],[bill_date]],"mmmm")</f>
        <v>June</v>
      </c>
      <c r="E1278" s="9">
        <f>YEAR(Table5[[#This Row],[bill_date]])</f>
        <v>2022</v>
      </c>
      <c r="F1278">
        <v>677</v>
      </c>
      <c r="G1278" t="s">
        <v>30</v>
      </c>
    </row>
    <row r="1279" spans="1:7" x14ac:dyDescent="0.3">
      <c r="A1279">
        <v>31278</v>
      </c>
      <c r="B1279">
        <v>47</v>
      </c>
      <c r="C1279" s="2">
        <v>44796</v>
      </c>
      <c r="D1279" s="2" t="str">
        <f>TEXT(Table5[[#This Row],[bill_date]],"mmmm")</f>
        <v>August</v>
      </c>
      <c r="E1279" s="9">
        <f>YEAR(Table5[[#This Row],[bill_date]])</f>
        <v>2022</v>
      </c>
      <c r="F1279">
        <v>875</v>
      </c>
      <c r="G1279" t="s">
        <v>28</v>
      </c>
    </row>
    <row r="1280" spans="1:7" x14ac:dyDescent="0.3">
      <c r="A1280">
        <v>31279</v>
      </c>
      <c r="B1280">
        <v>94</v>
      </c>
      <c r="C1280" s="2">
        <v>45453</v>
      </c>
      <c r="D1280" s="2" t="str">
        <f>TEXT(Table5[[#This Row],[bill_date]],"mmmm")</f>
        <v>June</v>
      </c>
      <c r="E1280" s="9">
        <f>YEAR(Table5[[#This Row],[bill_date]])</f>
        <v>2024</v>
      </c>
      <c r="F1280">
        <v>657</v>
      </c>
      <c r="G1280" t="s">
        <v>30</v>
      </c>
    </row>
    <row r="1281" spans="1:7" x14ac:dyDescent="0.3">
      <c r="A1281">
        <v>31280</v>
      </c>
      <c r="B1281">
        <v>182</v>
      </c>
      <c r="C1281" s="2">
        <v>44621</v>
      </c>
      <c r="D1281" s="2" t="str">
        <f>TEXT(Table5[[#This Row],[bill_date]],"mmmm")</f>
        <v>March</v>
      </c>
      <c r="E1281" s="9">
        <f>YEAR(Table5[[#This Row],[bill_date]])</f>
        <v>2022</v>
      </c>
      <c r="F1281">
        <v>311</v>
      </c>
      <c r="G1281" t="s">
        <v>30</v>
      </c>
    </row>
    <row r="1282" spans="1:7" x14ac:dyDescent="0.3">
      <c r="A1282">
        <v>31281</v>
      </c>
      <c r="B1282">
        <v>442</v>
      </c>
      <c r="C1282" s="2">
        <v>44789</v>
      </c>
      <c r="D1282" s="2" t="str">
        <f>TEXT(Table5[[#This Row],[bill_date]],"mmmm")</f>
        <v>August</v>
      </c>
      <c r="E1282" s="9">
        <f>YEAR(Table5[[#This Row],[bill_date]])</f>
        <v>2022</v>
      </c>
      <c r="F1282">
        <v>1417</v>
      </c>
      <c r="G1282" t="s">
        <v>30</v>
      </c>
    </row>
    <row r="1283" spans="1:7" x14ac:dyDescent="0.3">
      <c r="A1283">
        <v>31282</v>
      </c>
      <c r="B1283">
        <v>190</v>
      </c>
      <c r="C1283" s="2">
        <v>44800</v>
      </c>
      <c r="D1283" s="2" t="str">
        <f>TEXT(Table5[[#This Row],[bill_date]],"mmmm")</f>
        <v>August</v>
      </c>
      <c r="E1283" s="9">
        <f>YEAR(Table5[[#This Row],[bill_date]])</f>
        <v>2022</v>
      </c>
      <c r="F1283">
        <v>1874</v>
      </c>
      <c r="G1283" t="s">
        <v>30</v>
      </c>
    </row>
    <row r="1284" spans="1:7" x14ac:dyDescent="0.3">
      <c r="A1284">
        <v>31283</v>
      </c>
      <c r="B1284">
        <v>487</v>
      </c>
      <c r="C1284" s="2">
        <v>45129</v>
      </c>
      <c r="D1284" s="2" t="str">
        <f>TEXT(Table5[[#This Row],[bill_date]],"mmmm")</f>
        <v>July</v>
      </c>
      <c r="E1284" s="9">
        <f>YEAR(Table5[[#This Row],[bill_date]])</f>
        <v>2023</v>
      </c>
      <c r="F1284">
        <v>1242</v>
      </c>
      <c r="G1284" t="s">
        <v>30</v>
      </c>
    </row>
    <row r="1285" spans="1:7" x14ac:dyDescent="0.3">
      <c r="A1285">
        <v>31284</v>
      </c>
      <c r="B1285">
        <v>51</v>
      </c>
      <c r="C1285" s="2">
        <v>45307</v>
      </c>
      <c r="D1285" s="2" t="str">
        <f>TEXT(Table5[[#This Row],[bill_date]],"mmmm")</f>
        <v>January</v>
      </c>
      <c r="E1285" s="9">
        <f>YEAR(Table5[[#This Row],[bill_date]])</f>
        <v>2024</v>
      </c>
      <c r="F1285">
        <v>1508</v>
      </c>
      <c r="G1285" t="s">
        <v>30</v>
      </c>
    </row>
    <row r="1286" spans="1:7" x14ac:dyDescent="0.3">
      <c r="A1286">
        <v>31285</v>
      </c>
      <c r="B1286">
        <v>206</v>
      </c>
      <c r="C1286" s="2">
        <v>44645</v>
      </c>
      <c r="D1286" s="2" t="str">
        <f>TEXT(Table5[[#This Row],[bill_date]],"mmmm")</f>
        <v>March</v>
      </c>
      <c r="E1286" s="9">
        <f>YEAR(Table5[[#This Row],[bill_date]])</f>
        <v>2022</v>
      </c>
      <c r="F1286">
        <v>656</v>
      </c>
      <c r="G1286" t="s">
        <v>30</v>
      </c>
    </row>
    <row r="1287" spans="1:7" x14ac:dyDescent="0.3">
      <c r="A1287">
        <v>31286</v>
      </c>
      <c r="B1287">
        <v>304</v>
      </c>
      <c r="C1287" s="2">
        <v>45276</v>
      </c>
      <c r="D1287" s="2" t="str">
        <f>TEXT(Table5[[#This Row],[bill_date]],"mmmm")</f>
        <v>December</v>
      </c>
      <c r="E1287" s="9">
        <f>YEAR(Table5[[#This Row],[bill_date]])</f>
        <v>2023</v>
      </c>
      <c r="F1287">
        <v>1965</v>
      </c>
      <c r="G1287" t="s">
        <v>30</v>
      </c>
    </row>
    <row r="1288" spans="1:7" x14ac:dyDescent="0.3">
      <c r="A1288">
        <v>31287</v>
      </c>
      <c r="B1288">
        <v>411</v>
      </c>
      <c r="C1288" s="2">
        <v>44602</v>
      </c>
      <c r="D1288" s="2" t="str">
        <f>TEXT(Table5[[#This Row],[bill_date]],"mmmm")</f>
        <v>February</v>
      </c>
      <c r="E1288" s="9">
        <f>YEAR(Table5[[#This Row],[bill_date]])</f>
        <v>2022</v>
      </c>
      <c r="F1288">
        <v>1670</v>
      </c>
      <c r="G1288" t="s">
        <v>29</v>
      </c>
    </row>
    <row r="1289" spans="1:7" x14ac:dyDescent="0.3">
      <c r="A1289">
        <v>31288</v>
      </c>
      <c r="B1289">
        <v>333</v>
      </c>
      <c r="C1289" s="2">
        <v>44999</v>
      </c>
      <c r="D1289" s="2" t="str">
        <f>TEXT(Table5[[#This Row],[bill_date]],"mmmm")</f>
        <v>March</v>
      </c>
      <c r="E1289" s="9">
        <f>YEAR(Table5[[#This Row],[bill_date]])</f>
        <v>2023</v>
      </c>
      <c r="F1289">
        <v>1813</v>
      </c>
      <c r="G1289" t="s">
        <v>30</v>
      </c>
    </row>
    <row r="1290" spans="1:7" x14ac:dyDescent="0.3">
      <c r="A1290">
        <v>31289</v>
      </c>
      <c r="B1290">
        <v>439</v>
      </c>
      <c r="C1290" s="2">
        <v>45090</v>
      </c>
      <c r="D1290" s="2" t="str">
        <f>TEXT(Table5[[#This Row],[bill_date]],"mmmm")</f>
        <v>June</v>
      </c>
      <c r="E1290" s="9">
        <f>YEAR(Table5[[#This Row],[bill_date]])</f>
        <v>2023</v>
      </c>
      <c r="F1290">
        <v>838</v>
      </c>
      <c r="G1290" t="s">
        <v>30</v>
      </c>
    </row>
    <row r="1291" spans="1:7" x14ac:dyDescent="0.3">
      <c r="A1291">
        <v>31290</v>
      </c>
      <c r="B1291">
        <v>125</v>
      </c>
      <c r="C1291" s="2">
        <v>44666</v>
      </c>
      <c r="D1291" s="2" t="str">
        <f>TEXT(Table5[[#This Row],[bill_date]],"mmmm")</f>
        <v>April</v>
      </c>
      <c r="E1291" s="9">
        <f>YEAR(Table5[[#This Row],[bill_date]])</f>
        <v>2022</v>
      </c>
      <c r="F1291">
        <v>1307</v>
      </c>
      <c r="G1291" t="s">
        <v>30</v>
      </c>
    </row>
    <row r="1292" spans="1:7" x14ac:dyDescent="0.3">
      <c r="A1292">
        <v>31291</v>
      </c>
      <c r="B1292">
        <v>212</v>
      </c>
      <c r="C1292" s="2">
        <v>45098</v>
      </c>
      <c r="D1292" s="2" t="str">
        <f>TEXT(Table5[[#This Row],[bill_date]],"mmmm")</f>
        <v>June</v>
      </c>
      <c r="E1292" s="9">
        <f>YEAR(Table5[[#This Row],[bill_date]])</f>
        <v>2023</v>
      </c>
      <c r="F1292">
        <v>774</v>
      </c>
      <c r="G1292" t="s">
        <v>30</v>
      </c>
    </row>
    <row r="1293" spans="1:7" x14ac:dyDescent="0.3">
      <c r="A1293">
        <v>31292</v>
      </c>
      <c r="B1293">
        <v>369</v>
      </c>
      <c r="C1293" s="2">
        <v>44943</v>
      </c>
      <c r="D1293" s="2" t="str">
        <f>TEXT(Table5[[#This Row],[bill_date]],"mmmm")</f>
        <v>January</v>
      </c>
      <c r="E1293" s="9">
        <f>YEAR(Table5[[#This Row],[bill_date]])</f>
        <v>2023</v>
      </c>
      <c r="F1293">
        <v>1496</v>
      </c>
      <c r="G1293" t="s">
        <v>30</v>
      </c>
    </row>
    <row r="1294" spans="1:7" x14ac:dyDescent="0.3">
      <c r="A1294">
        <v>31293</v>
      </c>
      <c r="B1294">
        <v>433</v>
      </c>
      <c r="C1294" s="2">
        <v>44654</v>
      </c>
      <c r="D1294" s="2" t="str">
        <f>TEXT(Table5[[#This Row],[bill_date]],"mmmm")</f>
        <v>April</v>
      </c>
      <c r="E1294" s="9">
        <f>YEAR(Table5[[#This Row],[bill_date]])</f>
        <v>2022</v>
      </c>
      <c r="F1294">
        <v>998</v>
      </c>
      <c r="G1294" t="s">
        <v>30</v>
      </c>
    </row>
    <row r="1295" spans="1:7" x14ac:dyDescent="0.3">
      <c r="A1295">
        <v>31294</v>
      </c>
      <c r="B1295">
        <v>408</v>
      </c>
      <c r="C1295" s="2">
        <v>44776</v>
      </c>
      <c r="D1295" s="2" t="str">
        <f>TEXT(Table5[[#This Row],[bill_date]],"mmmm")</f>
        <v>August</v>
      </c>
      <c r="E1295" s="9">
        <f>YEAR(Table5[[#This Row],[bill_date]])</f>
        <v>2022</v>
      </c>
      <c r="F1295">
        <v>601</v>
      </c>
      <c r="G1295" t="s">
        <v>29</v>
      </c>
    </row>
    <row r="1296" spans="1:7" x14ac:dyDescent="0.3">
      <c r="A1296">
        <v>31295</v>
      </c>
      <c r="B1296">
        <v>266</v>
      </c>
      <c r="C1296" s="2">
        <v>45257</v>
      </c>
      <c r="D1296" s="2" t="str">
        <f>TEXT(Table5[[#This Row],[bill_date]],"mmmm")</f>
        <v>November</v>
      </c>
      <c r="E1296" s="9">
        <f>YEAR(Table5[[#This Row],[bill_date]])</f>
        <v>2023</v>
      </c>
      <c r="F1296">
        <v>451</v>
      </c>
      <c r="G1296" t="s">
        <v>30</v>
      </c>
    </row>
    <row r="1297" spans="1:7" x14ac:dyDescent="0.3">
      <c r="A1297">
        <v>31296</v>
      </c>
      <c r="B1297">
        <v>135</v>
      </c>
      <c r="C1297" s="2">
        <v>44778</v>
      </c>
      <c r="D1297" s="2" t="str">
        <f>TEXT(Table5[[#This Row],[bill_date]],"mmmm")</f>
        <v>August</v>
      </c>
      <c r="E1297" s="9">
        <f>YEAR(Table5[[#This Row],[bill_date]])</f>
        <v>2022</v>
      </c>
      <c r="F1297">
        <v>1828</v>
      </c>
      <c r="G1297" t="s">
        <v>30</v>
      </c>
    </row>
    <row r="1298" spans="1:7" x14ac:dyDescent="0.3">
      <c r="A1298">
        <v>31297</v>
      </c>
      <c r="B1298">
        <v>372</v>
      </c>
      <c r="C1298" s="2">
        <v>45050</v>
      </c>
      <c r="D1298" s="2" t="str">
        <f>TEXT(Table5[[#This Row],[bill_date]],"mmmm")</f>
        <v>May</v>
      </c>
      <c r="E1298" s="9">
        <f>YEAR(Table5[[#This Row],[bill_date]])</f>
        <v>2023</v>
      </c>
      <c r="F1298">
        <v>1156</v>
      </c>
      <c r="G1298" t="s">
        <v>30</v>
      </c>
    </row>
    <row r="1299" spans="1:7" x14ac:dyDescent="0.3">
      <c r="A1299">
        <v>31298</v>
      </c>
      <c r="B1299">
        <v>273</v>
      </c>
      <c r="C1299" s="2">
        <v>44712</v>
      </c>
      <c r="D1299" s="2" t="str">
        <f>TEXT(Table5[[#This Row],[bill_date]],"mmmm")</f>
        <v>May</v>
      </c>
      <c r="E1299" s="9">
        <f>YEAR(Table5[[#This Row],[bill_date]])</f>
        <v>2022</v>
      </c>
      <c r="F1299">
        <v>860</v>
      </c>
      <c r="G1299" t="s">
        <v>30</v>
      </c>
    </row>
    <row r="1300" spans="1:7" x14ac:dyDescent="0.3">
      <c r="A1300">
        <v>31299</v>
      </c>
      <c r="B1300">
        <v>278</v>
      </c>
      <c r="C1300" s="2">
        <v>44935</v>
      </c>
      <c r="D1300" s="2" t="str">
        <f>TEXT(Table5[[#This Row],[bill_date]],"mmmm")</f>
        <v>January</v>
      </c>
      <c r="E1300" s="9">
        <f>YEAR(Table5[[#This Row],[bill_date]])</f>
        <v>2023</v>
      </c>
      <c r="F1300">
        <v>1587</v>
      </c>
      <c r="G1300" t="s">
        <v>30</v>
      </c>
    </row>
    <row r="1301" spans="1:7" x14ac:dyDescent="0.3">
      <c r="A1301">
        <v>31300</v>
      </c>
      <c r="B1301">
        <v>315</v>
      </c>
      <c r="C1301" s="2">
        <v>45331</v>
      </c>
      <c r="D1301" s="2" t="str">
        <f>TEXT(Table5[[#This Row],[bill_date]],"mmmm")</f>
        <v>February</v>
      </c>
      <c r="E1301" s="9">
        <f>YEAR(Table5[[#This Row],[bill_date]])</f>
        <v>2024</v>
      </c>
      <c r="F1301">
        <v>867</v>
      </c>
      <c r="G1301" t="s">
        <v>30</v>
      </c>
    </row>
    <row r="1302" spans="1:7" x14ac:dyDescent="0.3">
      <c r="A1302">
        <v>31301</v>
      </c>
      <c r="B1302">
        <v>300</v>
      </c>
      <c r="C1302" s="2">
        <v>45374</v>
      </c>
      <c r="D1302" s="2" t="str">
        <f>TEXT(Table5[[#This Row],[bill_date]],"mmmm")</f>
        <v>March</v>
      </c>
      <c r="E1302" s="9">
        <f>YEAR(Table5[[#This Row],[bill_date]])</f>
        <v>2024</v>
      </c>
      <c r="F1302">
        <v>926</v>
      </c>
      <c r="G1302" t="s">
        <v>29</v>
      </c>
    </row>
    <row r="1303" spans="1:7" x14ac:dyDescent="0.3">
      <c r="A1303">
        <v>31302</v>
      </c>
      <c r="B1303">
        <v>267</v>
      </c>
      <c r="C1303" s="2">
        <v>45192</v>
      </c>
      <c r="D1303" s="2" t="str">
        <f>TEXT(Table5[[#This Row],[bill_date]],"mmmm")</f>
        <v>September</v>
      </c>
      <c r="E1303" s="9">
        <f>YEAR(Table5[[#This Row],[bill_date]])</f>
        <v>2023</v>
      </c>
      <c r="F1303">
        <v>1482</v>
      </c>
      <c r="G1303" t="s">
        <v>28</v>
      </c>
    </row>
    <row r="1304" spans="1:7" x14ac:dyDescent="0.3">
      <c r="A1304">
        <v>31303</v>
      </c>
      <c r="B1304">
        <v>298</v>
      </c>
      <c r="C1304" s="2">
        <v>45010</v>
      </c>
      <c r="D1304" s="2" t="str">
        <f>TEXT(Table5[[#This Row],[bill_date]],"mmmm")</f>
        <v>March</v>
      </c>
      <c r="E1304" s="9">
        <f>YEAR(Table5[[#This Row],[bill_date]])</f>
        <v>2023</v>
      </c>
      <c r="F1304">
        <v>1656</v>
      </c>
      <c r="G1304" t="s">
        <v>28</v>
      </c>
    </row>
    <row r="1305" spans="1:7" x14ac:dyDescent="0.3">
      <c r="A1305">
        <v>31304</v>
      </c>
      <c r="B1305">
        <v>279</v>
      </c>
      <c r="C1305" s="2">
        <v>44983</v>
      </c>
      <c r="D1305" s="2" t="str">
        <f>TEXT(Table5[[#This Row],[bill_date]],"mmmm")</f>
        <v>February</v>
      </c>
      <c r="E1305" s="9">
        <f>YEAR(Table5[[#This Row],[bill_date]])</f>
        <v>2023</v>
      </c>
      <c r="F1305">
        <v>810</v>
      </c>
      <c r="G1305" t="s">
        <v>30</v>
      </c>
    </row>
    <row r="1306" spans="1:7" x14ac:dyDescent="0.3">
      <c r="A1306">
        <v>31305</v>
      </c>
      <c r="B1306">
        <v>374</v>
      </c>
      <c r="C1306" s="2">
        <v>45207</v>
      </c>
      <c r="D1306" s="2" t="str">
        <f>TEXT(Table5[[#This Row],[bill_date]],"mmmm")</f>
        <v>October</v>
      </c>
      <c r="E1306" s="9">
        <f>YEAR(Table5[[#This Row],[bill_date]])</f>
        <v>2023</v>
      </c>
      <c r="F1306">
        <v>1344</v>
      </c>
      <c r="G1306" t="s">
        <v>30</v>
      </c>
    </row>
    <row r="1307" spans="1:7" x14ac:dyDescent="0.3">
      <c r="A1307">
        <v>31306</v>
      </c>
      <c r="B1307">
        <v>444</v>
      </c>
      <c r="C1307" s="2">
        <v>44768</v>
      </c>
      <c r="D1307" s="2" t="str">
        <f>TEXT(Table5[[#This Row],[bill_date]],"mmmm")</f>
        <v>July</v>
      </c>
      <c r="E1307" s="9">
        <f>YEAR(Table5[[#This Row],[bill_date]])</f>
        <v>2022</v>
      </c>
      <c r="F1307">
        <v>1866</v>
      </c>
      <c r="G1307" t="s">
        <v>30</v>
      </c>
    </row>
    <row r="1308" spans="1:7" x14ac:dyDescent="0.3">
      <c r="A1308">
        <v>31307</v>
      </c>
      <c r="B1308">
        <v>214</v>
      </c>
      <c r="C1308" s="2">
        <v>45336</v>
      </c>
      <c r="D1308" s="2" t="str">
        <f>TEXT(Table5[[#This Row],[bill_date]],"mmmm")</f>
        <v>February</v>
      </c>
      <c r="E1308" s="9">
        <f>YEAR(Table5[[#This Row],[bill_date]])</f>
        <v>2024</v>
      </c>
      <c r="F1308">
        <v>1739</v>
      </c>
      <c r="G1308" t="s">
        <v>30</v>
      </c>
    </row>
    <row r="1309" spans="1:7" x14ac:dyDescent="0.3">
      <c r="A1309">
        <v>31308</v>
      </c>
      <c r="B1309">
        <v>488</v>
      </c>
      <c r="C1309" s="2">
        <v>45395</v>
      </c>
      <c r="D1309" s="2" t="str">
        <f>TEXT(Table5[[#This Row],[bill_date]],"mmmm")</f>
        <v>April</v>
      </c>
      <c r="E1309" s="9">
        <f>YEAR(Table5[[#This Row],[bill_date]])</f>
        <v>2024</v>
      </c>
      <c r="F1309">
        <v>1177</v>
      </c>
      <c r="G1309" t="s">
        <v>30</v>
      </c>
    </row>
    <row r="1310" spans="1:7" x14ac:dyDescent="0.3">
      <c r="A1310">
        <v>31309</v>
      </c>
      <c r="B1310">
        <v>62</v>
      </c>
      <c r="C1310" s="2">
        <v>45263</v>
      </c>
      <c r="D1310" s="2" t="str">
        <f>TEXT(Table5[[#This Row],[bill_date]],"mmmm")</f>
        <v>December</v>
      </c>
      <c r="E1310" s="9">
        <f>YEAR(Table5[[#This Row],[bill_date]])</f>
        <v>2023</v>
      </c>
      <c r="F1310">
        <v>1967</v>
      </c>
      <c r="G1310" t="s">
        <v>28</v>
      </c>
    </row>
    <row r="1311" spans="1:7" x14ac:dyDescent="0.3">
      <c r="A1311">
        <v>31310</v>
      </c>
      <c r="B1311">
        <v>367</v>
      </c>
      <c r="C1311" s="2">
        <v>45231</v>
      </c>
      <c r="D1311" s="2" t="str">
        <f>TEXT(Table5[[#This Row],[bill_date]],"mmmm")</f>
        <v>November</v>
      </c>
      <c r="E1311" s="9">
        <f>YEAR(Table5[[#This Row],[bill_date]])</f>
        <v>2023</v>
      </c>
      <c r="F1311">
        <v>877</v>
      </c>
      <c r="G1311" t="s">
        <v>30</v>
      </c>
    </row>
    <row r="1312" spans="1:7" x14ac:dyDescent="0.3">
      <c r="A1312">
        <v>31311</v>
      </c>
      <c r="B1312">
        <v>54</v>
      </c>
      <c r="C1312" s="2">
        <v>45038</v>
      </c>
      <c r="D1312" s="2" t="str">
        <f>TEXT(Table5[[#This Row],[bill_date]],"mmmm")</f>
        <v>April</v>
      </c>
      <c r="E1312" s="9">
        <f>YEAR(Table5[[#This Row],[bill_date]])</f>
        <v>2023</v>
      </c>
      <c r="F1312">
        <v>767</v>
      </c>
      <c r="G1312" t="s">
        <v>30</v>
      </c>
    </row>
    <row r="1313" spans="1:7" x14ac:dyDescent="0.3">
      <c r="A1313">
        <v>31312</v>
      </c>
      <c r="B1313">
        <v>338</v>
      </c>
      <c r="C1313" s="2">
        <v>45149</v>
      </c>
      <c r="D1313" s="2" t="str">
        <f>TEXT(Table5[[#This Row],[bill_date]],"mmmm")</f>
        <v>August</v>
      </c>
      <c r="E1313" s="9">
        <f>YEAR(Table5[[#This Row],[bill_date]])</f>
        <v>2023</v>
      </c>
      <c r="F1313">
        <v>741</v>
      </c>
      <c r="G1313" t="s">
        <v>30</v>
      </c>
    </row>
    <row r="1314" spans="1:7" x14ac:dyDescent="0.3">
      <c r="A1314">
        <v>31313</v>
      </c>
      <c r="B1314">
        <v>375</v>
      </c>
      <c r="C1314" s="2">
        <v>45125</v>
      </c>
      <c r="D1314" s="2" t="str">
        <f>TEXT(Table5[[#This Row],[bill_date]],"mmmm")</f>
        <v>July</v>
      </c>
      <c r="E1314" s="9">
        <f>YEAR(Table5[[#This Row],[bill_date]])</f>
        <v>2023</v>
      </c>
      <c r="F1314">
        <v>717</v>
      </c>
      <c r="G1314" t="s">
        <v>28</v>
      </c>
    </row>
    <row r="1315" spans="1:7" x14ac:dyDescent="0.3">
      <c r="A1315">
        <v>31314</v>
      </c>
      <c r="B1315">
        <v>365</v>
      </c>
      <c r="C1315" s="2">
        <v>44787</v>
      </c>
      <c r="D1315" s="2" t="str">
        <f>TEXT(Table5[[#This Row],[bill_date]],"mmmm")</f>
        <v>August</v>
      </c>
      <c r="E1315" s="9">
        <f>YEAR(Table5[[#This Row],[bill_date]])</f>
        <v>2022</v>
      </c>
      <c r="F1315">
        <v>210</v>
      </c>
      <c r="G1315" t="s">
        <v>30</v>
      </c>
    </row>
    <row r="1316" spans="1:7" x14ac:dyDescent="0.3">
      <c r="A1316">
        <v>31315</v>
      </c>
      <c r="B1316">
        <v>474</v>
      </c>
      <c r="C1316" s="2">
        <v>45167</v>
      </c>
      <c r="D1316" s="2" t="str">
        <f>TEXT(Table5[[#This Row],[bill_date]],"mmmm")</f>
        <v>August</v>
      </c>
      <c r="E1316" s="9">
        <f>YEAR(Table5[[#This Row],[bill_date]])</f>
        <v>2023</v>
      </c>
      <c r="F1316">
        <v>208</v>
      </c>
      <c r="G1316" t="s">
        <v>30</v>
      </c>
    </row>
    <row r="1317" spans="1:7" x14ac:dyDescent="0.3">
      <c r="A1317">
        <v>31316</v>
      </c>
      <c r="B1317">
        <v>112</v>
      </c>
      <c r="C1317" s="2">
        <v>45365</v>
      </c>
      <c r="D1317" s="2" t="str">
        <f>TEXT(Table5[[#This Row],[bill_date]],"mmmm")</f>
        <v>March</v>
      </c>
      <c r="E1317" s="9">
        <f>YEAR(Table5[[#This Row],[bill_date]])</f>
        <v>2024</v>
      </c>
      <c r="F1317">
        <v>355</v>
      </c>
      <c r="G1317" t="s">
        <v>30</v>
      </c>
    </row>
    <row r="1318" spans="1:7" x14ac:dyDescent="0.3">
      <c r="A1318">
        <v>31317</v>
      </c>
      <c r="B1318">
        <v>478</v>
      </c>
      <c r="C1318" s="2">
        <v>45364</v>
      </c>
      <c r="D1318" s="2" t="str">
        <f>TEXT(Table5[[#This Row],[bill_date]],"mmmm")</f>
        <v>March</v>
      </c>
      <c r="E1318" s="9">
        <f>YEAR(Table5[[#This Row],[bill_date]])</f>
        <v>2024</v>
      </c>
      <c r="F1318">
        <v>1210</v>
      </c>
      <c r="G1318" t="s">
        <v>30</v>
      </c>
    </row>
    <row r="1319" spans="1:7" x14ac:dyDescent="0.3">
      <c r="A1319">
        <v>31318</v>
      </c>
      <c r="B1319">
        <v>269</v>
      </c>
      <c r="C1319" s="2">
        <v>45395</v>
      </c>
      <c r="D1319" s="2" t="str">
        <f>TEXT(Table5[[#This Row],[bill_date]],"mmmm")</f>
        <v>April</v>
      </c>
      <c r="E1319" s="9">
        <f>YEAR(Table5[[#This Row],[bill_date]])</f>
        <v>2024</v>
      </c>
      <c r="F1319">
        <v>923</v>
      </c>
      <c r="G1319" t="s">
        <v>28</v>
      </c>
    </row>
    <row r="1320" spans="1:7" x14ac:dyDescent="0.3">
      <c r="A1320">
        <v>31319</v>
      </c>
      <c r="B1320">
        <v>324</v>
      </c>
      <c r="C1320" s="2">
        <v>45251</v>
      </c>
      <c r="D1320" s="2" t="str">
        <f>TEXT(Table5[[#This Row],[bill_date]],"mmmm")</f>
        <v>November</v>
      </c>
      <c r="E1320" s="9">
        <f>YEAR(Table5[[#This Row],[bill_date]])</f>
        <v>2023</v>
      </c>
      <c r="F1320">
        <v>339</v>
      </c>
      <c r="G1320" t="s">
        <v>30</v>
      </c>
    </row>
    <row r="1321" spans="1:7" x14ac:dyDescent="0.3">
      <c r="A1321">
        <v>31320</v>
      </c>
      <c r="B1321">
        <v>107</v>
      </c>
      <c r="C1321" s="2">
        <v>44948</v>
      </c>
      <c r="D1321" s="2" t="str">
        <f>TEXT(Table5[[#This Row],[bill_date]],"mmmm")</f>
        <v>January</v>
      </c>
      <c r="E1321" s="9">
        <f>YEAR(Table5[[#This Row],[bill_date]])</f>
        <v>2023</v>
      </c>
      <c r="F1321">
        <v>837</v>
      </c>
      <c r="G1321" t="s">
        <v>28</v>
      </c>
    </row>
    <row r="1322" spans="1:7" x14ac:dyDescent="0.3">
      <c r="A1322">
        <v>31321</v>
      </c>
      <c r="B1322">
        <v>283</v>
      </c>
      <c r="C1322" s="2">
        <v>44667</v>
      </c>
      <c r="D1322" s="2" t="str">
        <f>TEXT(Table5[[#This Row],[bill_date]],"mmmm")</f>
        <v>April</v>
      </c>
      <c r="E1322" s="9">
        <f>YEAR(Table5[[#This Row],[bill_date]])</f>
        <v>2022</v>
      </c>
      <c r="F1322">
        <v>1932</v>
      </c>
      <c r="G1322" t="s">
        <v>30</v>
      </c>
    </row>
    <row r="1323" spans="1:7" x14ac:dyDescent="0.3">
      <c r="A1323">
        <v>31322</v>
      </c>
      <c r="B1323">
        <v>371</v>
      </c>
      <c r="C1323" s="2">
        <v>44637</v>
      </c>
      <c r="D1323" s="2" t="str">
        <f>TEXT(Table5[[#This Row],[bill_date]],"mmmm")</f>
        <v>March</v>
      </c>
      <c r="E1323" s="9">
        <f>YEAR(Table5[[#This Row],[bill_date]])</f>
        <v>2022</v>
      </c>
      <c r="F1323">
        <v>335</v>
      </c>
      <c r="G1323" t="s">
        <v>30</v>
      </c>
    </row>
    <row r="1324" spans="1:7" x14ac:dyDescent="0.3">
      <c r="A1324">
        <v>31323</v>
      </c>
      <c r="B1324">
        <v>168</v>
      </c>
      <c r="C1324" s="2">
        <v>45077</v>
      </c>
      <c r="D1324" s="2" t="str">
        <f>TEXT(Table5[[#This Row],[bill_date]],"mmmm")</f>
        <v>May</v>
      </c>
      <c r="E1324" s="9">
        <f>YEAR(Table5[[#This Row],[bill_date]])</f>
        <v>2023</v>
      </c>
      <c r="F1324">
        <v>889</v>
      </c>
      <c r="G1324" t="s">
        <v>30</v>
      </c>
    </row>
    <row r="1325" spans="1:7" x14ac:dyDescent="0.3">
      <c r="A1325">
        <v>31324</v>
      </c>
      <c r="B1325">
        <v>74</v>
      </c>
      <c r="C1325" s="2">
        <v>45384</v>
      </c>
      <c r="D1325" s="2" t="str">
        <f>TEXT(Table5[[#This Row],[bill_date]],"mmmm")</f>
        <v>April</v>
      </c>
      <c r="E1325" s="9">
        <f>YEAR(Table5[[#This Row],[bill_date]])</f>
        <v>2024</v>
      </c>
      <c r="F1325">
        <v>1822</v>
      </c>
      <c r="G1325" t="s">
        <v>30</v>
      </c>
    </row>
    <row r="1326" spans="1:7" x14ac:dyDescent="0.3">
      <c r="A1326">
        <v>31325</v>
      </c>
      <c r="B1326">
        <v>236</v>
      </c>
      <c r="C1326" s="2">
        <v>44748</v>
      </c>
      <c r="D1326" s="2" t="str">
        <f>TEXT(Table5[[#This Row],[bill_date]],"mmmm")</f>
        <v>July</v>
      </c>
      <c r="E1326" s="9">
        <f>YEAR(Table5[[#This Row],[bill_date]])</f>
        <v>2022</v>
      </c>
      <c r="F1326">
        <v>1622</v>
      </c>
      <c r="G1326" t="s">
        <v>30</v>
      </c>
    </row>
    <row r="1327" spans="1:7" x14ac:dyDescent="0.3">
      <c r="A1327">
        <v>31326</v>
      </c>
      <c r="B1327">
        <v>92</v>
      </c>
      <c r="C1327" s="2">
        <v>45093</v>
      </c>
      <c r="D1327" s="2" t="str">
        <f>TEXT(Table5[[#This Row],[bill_date]],"mmmm")</f>
        <v>June</v>
      </c>
      <c r="E1327" s="9">
        <f>YEAR(Table5[[#This Row],[bill_date]])</f>
        <v>2023</v>
      </c>
      <c r="F1327">
        <v>641</v>
      </c>
      <c r="G1327" t="s">
        <v>30</v>
      </c>
    </row>
    <row r="1328" spans="1:7" x14ac:dyDescent="0.3">
      <c r="A1328">
        <v>31327</v>
      </c>
      <c r="B1328">
        <v>85</v>
      </c>
      <c r="C1328" s="2">
        <v>44836</v>
      </c>
      <c r="D1328" s="2" t="str">
        <f>TEXT(Table5[[#This Row],[bill_date]],"mmmm")</f>
        <v>October</v>
      </c>
      <c r="E1328" s="9">
        <f>YEAR(Table5[[#This Row],[bill_date]])</f>
        <v>2022</v>
      </c>
      <c r="F1328">
        <v>1664</v>
      </c>
      <c r="G1328" t="s">
        <v>30</v>
      </c>
    </row>
    <row r="1329" spans="1:7" x14ac:dyDescent="0.3">
      <c r="A1329">
        <v>31328</v>
      </c>
      <c r="B1329">
        <v>372</v>
      </c>
      <c r="C1329" s="2">
        <v>45209</v>
      </c>
      <c r="D1329" s="2" t="str">
        <f>TEXT(Table5[[#This Row],[bill_date]],"mmmm")</f>
        <v>October</v>
      </c>
      <c r="E1329" s="9">
        <f>YEAR(Table5[[#This Row],[bill_date]])</f>
        <v>2023</v>
      </c>
      <c r="F1329">
        <v>1489</v>
      </c>
      <c r="G1329" t="s">
        <v>30</v>
      </c>
    </row>
    <row r="1330" spans="1:7" x14ac:dyDescent="0.3">
      <c r="A1330">
        <v>31329</v>
      </c>
      <c r="B1330">
        <v>75</v>
      </c>
      <c r="C1330" s="2">
        <v>45100</v>
      </c>
      <c r="D1330" s="2" t="str">
        <f>TEXT(Table5[[#This Row],[bill_date]],"mmmm")</f>
        <v>June</v>
      </c>
      <c r="E1330" s="9">
        <f>YEAR(Table5[[#This Row],[bill_date]])</f>
        <v>2023</v>
      </c>
      <c r="F1330">
        <v>874</v>
      </c>
      <c r="G1330" t="s">
        <v>30</v>
      </c>
    </row>
    <row r="1331" spans="1:7" x14ac:dyDescent="0.3">
      <c r="A1331">
        <v>31330</v>
      </c>
      <c r="B1331">
        <v>84</v>
      </c>
      <c r="C1331" s="2">
        <v>45209</v>
      </c>
      <c r="D1331" s="2" t="str">
        <f>TEXT(Table5[[#This Row],[bill_date]],"mmmm")</f>
        <v>October</v>
      </c>
      <c r="E1331" s="9">
        <f>YEAR(Table5[[#This Row],[bill_date]])</f>
        <v>2023</v>
      </c>
      <c r="F1331">
        <v>1983</v>
      </c>
      <c r="G1331" t="s">
        <v>30</v>
      </c>
    </row>
    <row r="1332" spans="1:7" x14ac:dyDescent="0.3">
      <c r="A1332">
        <v>31331</v>
      </c>
      <c r="B1332">
        <v>245</v>
      </c>
      <c r="C1332" s="2">
        <v>44579</v>
      </c>
      <c r="D1332" s="2" t="str">
        <f>TEXT(Table5[[#This Row],[bill_date]],"mmmm")</f>
        <v>January</v>
      </c>
      <c r="E1332" s="9">
        <f>YEAR(Table5[[#This Row],[bill_date]])</f>
        <v>2022</v>
      </c>
      <c r="F1332">
        <v>1735</v>
      </c>
      <c r="G1332" t="s">
        <v>30</v>
      </c>
    </row>
    <row r="1333" spans="1:7" x14ac:dyDescent="0.3">
      <c r="A1333">
        <v>31332</v>
      </c>
      <c r="B1333">
        <v>228</v>
      </c>
      <c r="C1333" s="2">
        <v>44846</v>
      </c>
      <c r="D1333" s="2" t="str">
        <f>TEXT(Table5[[#This Row],[bill_date]],"mmmm")</f>
        <v>October</v>
      </c>
      <c r="E1333" s="9">
        <f>YEAR(Table5[[#This Row],[bill_date]])</f>
        <v>2022</v>
      </c>
      <c r="F1333">
        <v>475</v>
      </c>
      <c r="G1333" t="s">
        <v>30</v>
      </c>
    </row>
    <row r="1334" spans="1:7" x14ac:dyDescent="0.3">
      <c r="A1334">
        <v>31333</v>
      </c>
      <c r="B1334">
        <v>83</v>
      </c>
      <c r="C1334" s="2">
        <v>44863</v>
      </c>
      <c r="D1334" s="2" t="str">
        <f>TEXT(Table5[[#This Row],[bill_date]],"mmmm")</f>
        <v>October</v>
      </c>
      <c r="E1334" s="9">
        <f>YEAR(Table5[[#This Row],[bill_date]])</f>
        <v>2022</v>
      </c>
      <c r="F1334">
        <v>1906</v>
      </c>
      <c r="G1334" t="s">
        <v>30</v>
      </c>
    </row>
    <row r="1335" spans="1:7" x14ac:dyDescent="0.3">
      <c r="A1335">
        <v>31334</v>
      </c>
      <c r="B1335">
        <v>500</v>
      </c>
      <c r="C1335" s="2">
        <v>45060</v>
      </c>
      <c r="D1335" s="2" t="str">
        <f>TEXT(Table5[[#This Row],[bill_date]],"mmmm")</f>
        <v>May</v>
      </c>
      <c r="E1335" s="9">
        <f>YEAR(Table5[[#This Row],[bill_date]])</f>
        <v>2023</v>
      </c>
      <c r="F1335">
        <v>1578</v>
      </c>
      <c r="G1335" t="s">
        <v>28</v>
      </c>
    </row>
    <row r="1336" spans="1:7" x14ac:dyDescent="0.3">
      <c r="A1336">
        <v>31335</v>
      </c>
      <c r="B1336">
        <v>394</v>
      </c>
      <c r="C1336" s="2">
        <v>45460</v>
      </c>
      <c r="D1336" s="2" t="str">
        <f>TEXT(Table5[[#This Row],[bill_date]],"mmmm")</f>
        <v>June</v>
      </c>
      <c r="E1336" s="9">
        <f>YEAR(Table5[[#This Row],[bill_date]])</f>
        <v>2024</v>
      </c>
      <c r="F1336">
        <v>1131</v>
      </c>
      <c r="G1336" t="s">
        <v>30</v>
      </c>
    </row>
    <row r="1337" spans="1:7" x14ac:dyDescent="0.3">
      <c r="A1337">
        <v>31336</v>
      </c>
      <c r="B1337">
        <v>15</v>
      </c>
      <c r="C1337" s="2">
        <v>45211</v>
      </c>
      <c r="D1337" s="2" t="str">
        <f>TEXT(Table5[[#This Row],[bill_date]],"mmmm")</f>
        <v>October</v>
      </c>
      <c r="E1337" s="9">
        <f>YEAR(Table5[[#This Row],[bill_date]])</f>
        <v>2023</v>
      </c>
      <c r="F1337">
        <v>1996</v>
      </c>
      <c r="G1337" t="s">
        <v>28</v>
      </c>
    </row>
    <row r="1338" spans="1:7" x14ac:dyDescent="0.3">
      <c r="A1338">
        <v>31337</v>
      </c>
      <c r="B1338">
        <v>493</v>
      </c>
      <c r="C1338" s="2">
        <v>45305</v>
      </c>
      <c r="D1338" s="2" t="str">
        <f>TEXT(Table5[[#This Row],[bill_date]],"mmmm")</f>
        <v>January</v>
      </c>
      <c r="E1338" s="9">
        <f>YEAR(Table5[[#This Row],[bill_date]])</f>
        <v>2024</v>
      </c>
      <c r="F1338">
        <v>1876</v>
      </c>
      <c r="G1338" t="s">
        <v>30</v>
      </c>
    </row>
    <row r="1339" spans="1:7" x14ac:dyDescent="0.3">
      <c r="A1339">
        <v>31338</v>
      </c>
      <c r="B1339">
        <v>301</v>
      </c>
      <c r="C1339" s="2">
        <v>45413</v>
      </c>
      <c r="D1339" s="2" t="str">
        <f>TEXT(Table5[[#This Row],[bill_date]],"mmmm")</f>
        <v>May</v>
      </c>
      <c r="E1339" s="9">
        <f>YEAR(Table5[[#This Row],[bill_date]])</f>
        <v>2024</v>
      </c>
      <c r="F1339">
        <v>1315</v>
      </c>
      <c r="G1339" t="s">
        <v>30</v>
      </c>
    </row>
    <row r="1340" spans="1:7" x14ac:dyDescent="0.3">
      <c r="A1340">
        <v>31339</v>
      </c>
      <c r="B1340">
        <v>181</v>
      </c>
      <c r="C1340" s="2">
        <v>44818</v>
      </c>
      <c r="D1340" s="2" t="str">
        <f>TEXT(Table5[[#This Row],[bill_date]],"mmmm")</f>
        <v>September</v>
      </c>
      <c r="E1340" s="9">
        <f>YEAR(Table5[[#This Row],[bill_date]])</f>
        <v>2022</v>
      </c>
      <c r="F1340">
        <v>839</v>
      </c>
      <c r="G1340" t="s">
        <v>30</v>
      </c>
    </row>
    <row r="1341" spans="1:7" x14ac:dyDescent="0.3">
      <c r="A1341">
        <v>31340</v>
      </c>
      <c r="B1341">
        <v>338</v>
      </c>
      <c r="C1341" s="2">
        <v>44780</v>
      </c>
      <c r="D1341" s="2" t="str">
        <f>TEXT(Table5[[#This Row],[bill_date]],"mmmm")</f>
        <v>August</v>
      </c>
      <c r="E1341" s="9">
        <f>YEAR(Table5[[#This Row],[bill_date]])</f>
        <v>2022</v>
      </c>
      <c r="F1341">
        <v>1358</v>
      </c>
      <c r="G1341" t="s">
        <v>30</v>
      </c>
    </row>
    <row r="1342" spans="1:7" x14ac:dyDescent="0.3">
      <c r="A1342">
        <v>31341</v>
      </c>
      <c r="B1342">
        <v>263</v>
      </c>
      <c r="C1342" s="2">
        <v>45205</v>
      </c>
      <c r="D1342" s="2" t="str">
        <f>TEXT(Table5[[#This Row],[bill_date]],"mmmm")</f>
        <v>October</v>
      </c>
      <c r="E1342" s="9">
        <f>YEAR(Table5[[#This Row],[bill_date]])</f>
        <v>2023</v>
      </c>
      <c r="F1342">
        <v>309</v>
      </c>
      <c r="G1342" t="s">
        <v>28</v>
      </c>
    </row>
    <row r="1343" spans="1:7" x14ac:dyDescent="0.3">
      <c r="A1343">
        <v>31342</v>
      </c>
      <c r="B1343">
        <v>414</v>
      </c>
      <c r="C1343" s="2">
        <v>44918</v>
      </c>
      <c r="D1343" s="2" t="str">
        <f>TEXT(Table5[[#This Row],[bill_date]],"mmmm")</f>
        <v>December</v>
      </c>
      <c r="E1343" s="9">
        <f>YEAR(Table5[[#This Row],[bill_date]])</f>
        <v>2022</v>
      </c>
      <c r="F1343">
        <v>1266</v>
      </c>
      <c r="G1343" t="s">
        <v>30</v>
      </c>
    </row>
    <row r="1344" spans="1:7" x14ac:dyDescent="0.3">
      <c r="A1344">
        <v>31343</v>
      </c>
      <c r="B1344">
        <v>78</v>
      </c>
      <c r="C1344" s="2">
        <v>44817</v>
      </c>
      <c r="D1344" s="2" t="str">
        <f>TEXT(Table5[[#This Row],[bill_date]],"mmmm")</f>
        <v>September</v>
      </c>
      <c r="E1344" s="9">
        <f>YEAR(Table5[[#This Row],[bill_date]])</f>
        <v>2022</v>
      </c>
      <c r="F1344">
        <v>1089</v>
      </c>
      <c r="G1344" t="s">
        <v>30</v>
      </c>
    </row>
    <row r="1345" spans="1:7" x14ac:dyDescent="0.3">
      <c r="A1345">
        <v>31344</v>
      </c>
      <c r="B1345">
        <v>229</v>
      </c>
      <c r="C1345" s="2">
        <v>45169</v>
      </c>
      <c r="D1345" s="2" t="str">
        <f>TEXT(Table5[[#This Row],[bill_date]],"mmmm")</f>
        <v>August</v>
      </c>
      <c r="E1345" s="9">
        <f>YEAR(Table5[[#This Row],[bill_date]])</f>
        <v>2023</v>
      </c>
      <c r="F1345">
        <v>409</v>
      </c>
      <c r="G1345" t="s">
        <v>30</v>
      </c>
    </row>
    <row r="1346" spans="1:7" x14ac:dyDescent="0.3">
      <c r="A1346">
        <v>31345</v>
      </c>
      <c r="B1346">
        <v>233</v>
      </c>
      <c r="C1346" s="2">
        <v>44835</v>
      </c>
      <c r="D1346" s="2" t="str">
        <f>TEXT(Table5[[#This Row],[bill_date]],"mmmm")</f>
        <v>October</v>
      </c>
      <c r="E1346" s="9">
        <f>YEAR(Table5[[#This Row],[bill_date]])</f>
        <v>2022</v>
      </c>
      <c r="F1346">
        <v>541</v>
      </c>
      <c r="G1346" t="s">
        <v>28</v>
      </c>
    </row>
    <row r="1347" spans="1:7" x14ac:dyDescent="0.3">
      <c r="A1347">
        <v>31346</v>
      </c>
      <c r="B1347">
        <v>30</v>
      </c>
      <c r="C1347" s="2">
        <v>44895</v>
      </c>
      <c r="D1347" s="2" t="str">
        <f>TEXT(Table5[[#This Row],[bill_date]],"mmmm")</f>
        <v>November</v>
      </c>
      <c r="E1347" s="9">
        <f>YEAR(Table5[[#This Row],[bill_date]])</f>
        <v>2022</v>
      </c>
      <c r="F1347">
        <v>1581</v>
      </c>
      <c r="G1347" t="s">
        <v>30</v>
      </c>
    </row>
    <row r="1348" spans="1:7" x14ac:dyDescent="0.3">
      <c r="A1348">
        <v>31347</v>
      </c>
      <c r="B1348">
        <v>374</v>
      </c>
      <c r="C1348" s="2">
        <v>45374</v>
      </c>
      <c r="D1348" s="2" t="str">
        <f>TEXT(Table5[[#This Row],[bill_date]],"mmmm")</f>
        <v>March</v>
      </c>
      <c r="E1348" s="9">
        <f>YEAR(Table5[[#This Row],[bill_date]])</f>
        <v>2024</v>
      </c>
      <c r="F1348">
        <v>559</v>
      </c>
      <c r="G1348" t="s">
        <v>28</v>
      </c>
    </row>
    <row r="1349" spans="1:7" x14ac:dyDescent="0.3">
      <c r="A1349">
        <v>31348</v>
      </c>
      <c r="B1349">
        <v>155</v>
      </c>
      <c r="C1349" s="2">
        <v>44929</v>
      </c>
      <c r="D1349" s="2" t="str">
        <f>TEXT(Table5[[#This Row],[bill_date]],"mmmm")</f>
        <v>January</v>
      </c>
      <c r="E1349" s="9">
        <f>YEAR(Table5[[#This Row],[bill_date]])</f>
        <v>2023</v>
      </c>
      <c r="F1349">
        <v>1553</v>
      </c>
      <c r="G1349" t="s">
        <v>30</v>
      </c>
    </row>
    <row r="1350" spans="1:7" x14ac:dyDescent="0.3">
      <c r="A1350">
        <v>31349</v>
      </c>
      <c r="B1350">
        <v>305</v>
      </c>
      <c r="C1350" s="2">
        <v>44576</v>
      </c>
      <c r="D1350" s="2" t="str">
        <f>TEXT(Table5[[#This Row],[bill_date]],"mmmm")</f>
        <v>January</v>
      </c>
      <c r="E1350" s="9">
        <f>YEAR(Table5[[#This Row],[bill_date]])</f>
        <v>2022</v>
      </c>
      <c r="F1350">
        <v>609</v>
      </c>
      <c r="G1350" t="s">
        <v>30</v>
      </c>
    </row>
    <row r="1351" spans="1:7" x14ac:dyDescent="0.3">
      <c r="A1351">
        <v>31350</v>
      </c>
      <c r="B1351">
        <v>185</v>
      </c>
      <c r="C1351" s="2">
        <v>44740</v>
      </c>
      <c r="D1351" s="2" t="str">
        <f>TEXT(Table5[[#This Row],[bill_date]],"mmmm")</f>
        <v>June</v>
      </c>
      <c r="E1351" s="9">
        <f>YEAR(Table5[[#This Row],[bill_date]])</f>
        <v>2022</v>
      </c>
      <c r="F1351">
        <v>957</v>
      </c>
      <c r="G1351" t="s">
        <v>30</v>
      </c>
    </row>
    <row r="1352" spans="1:7" x14ac:dyDescent="0.3">
      <c r="A1352">
        <v>31351</v>
      </c>
      <c r="B1352">
        <v>448</v>
      </c>
      <c r="C1352" s="2">
        <v>45006</v>
      </c>
      <c r="D1352" s="2" t="str">
        <f>TEXT(Table5[[#This Row],[bill_date]],"mmmm")</f>
        <v>March</v>
      </c>
      <c r="E1352" s="9">
        <f>YEAR(Table5[[#This Row],[bill_date]])</f>
        <v>2023</v>
      </c>
      <c r="F1352">
        <v>706</v>
      </c>
      <c r="G1352" t="s">
        <v>30</v>
      </c>
    </row>
    <row r="1353" spans="1:7" x14ac:dyDescent="0.3">
      <c r="A1353">
        <v>31352</v>
      </c>
      <c r="B1353">
        <v>357</v>
      </c>
      <c r="C1353" s="2">
        <v>45333</v>
      </c>
      <c r="D1353" s="2" t="str">
        <f>TEXT(Table5[[#This Row],[bill_date]],"mmmm")</f>
        <v>February</v>
      </c>
      <c r="E1353" s="9">
        <f>YEAR(Table5[[#This Row],[bill_date]])</f>
        <v>2024</v>
      </c>
      <c r="F1353">
        <v>430</v>
      </c>
      <c r="G1353" t="s">
        <v>30</v>
      </c>
    </row>
    <row r="1354" spans="1:7" x14ac:dyDescent="0.3">
      <c r="A1354">
        <v>31353</v>
      </c>
      <c r="B1354">
        <v>447</v>
      </c>
      <c r="C1354" s="2">
        <v>44964</v>
      </c>
      <c r="D1354" s="2" t="str">
        <f>TEXT(Table5[[#This Row],[bill_date]],"mmmm")</f>
        <v>February</v>
      </c>
      <c r="E1354" s="9">
        <f>YEAR(Table5[[#This Row],[bill_date]])</f>
        <v>2023</v>
      </c>
      <c r="F1354">
        <v>1002</v>
      </c>
      <c r="G1354" t="s">
        <v>30</v>
      </c>
    </row>
    <row r="1355" spans="1:7" x14ac:dyDescent="0.3">
      <c r="A1355">
        <v>31354</v>
      </c>
      <c r="B1355">
        <v>432</v>
      </c>
      <c r="C1355" s="2">
        <v>44649</v>
      </c>
      <c r="D1355" s="2" t="str">
        <f>TEXT(Table5[[#This Row],[bill_date]],"mmmm")</f>
        <v>March</v>
      </c>
      <c r="E1355" s="9">
        <f>YEAR(Table5[[#This Row],[bill_date]])</f>
        <v>2022</v>
      </c>
      <c r="F1355">
        <v>1392</v>
      </c>
      <c r="G1355" t="s">
        <v>30</v>
      </c>
    </row>
    <row r="1356" spans="1:7" x14ac:dyDescent="0.3">
      <c r="A1356">
        <v>31355</v>
      </c>
      <c r="B1356">
        <v>255</v>
      </c>
      <c r="C1356" s="2">
        <v>44655</v>
      </c>
      <c r="D1356" s="2" t="str">
        <f>TEXT(Table5[[#This Row],[bill_date]],"mmmm")</f>
        <v>April</v>
      </c>
      <c r="E1356" s="9">
        <f>YEAR(Table5[[#This Row],[bill_date]])</f>
        <v>2022</v>
      </c>
      <c r="F1356">
        <v>1626</v>
      </c>
      <c r="G1356" t="s">
        <v>30</v>
      </c>
    </row>
    <row r="1357" spans="1:7" x14ac:dyDescent="0.3">
      <c r="A1357">
        <v>31356</v>
      </c>
      <c r="B1357">
        <v>169</v>
      </c>
      <c r="C1357" s="2">
        <v>45406</v>
      </c>
      <c r="D1357" s="2" t="str">
        <f>TEXT(Table5[[#This Row],[bill_date]],"mmmm")</f>
        <v>April</v>
      </c>
      <c r="E1357" s="9">
        <f>YEAR(Table5[[#This Row],[bill_date]])</f>
        <v>2024</v>
      </c>
      <c r="F1357">
        <v>432</v>
      </c>
      <c r="G1357" t="s">
        <v>30</v>
      </c>
    </row>
    <row r="1358" spans="1:7" x14ac:dyDescent="0.3">
      <c r="A1358">
        <v>31357</v>
      </c>
      <c r="B1358">
        <v>81</v>
      </c>
      <c r="C1358" s="2">
        <v>44956</v>
      </c>
      <c r="D1358" s="2" t="str">
        <f>TEXT(Table5[[#This Row],[bill_date]],"mmmm")</f>
        <v>January</v>
      </c>
      <c r="E1358" s="9">
        <f>YEAR(Table5[[#This Row],[bill_date]])</f>
        <v>2023</v>
      </c>
      <c r="F1358">
        <v>718</v>
      </c>
      <c r="G1358" t="s">
        <v>30</v>
      </c>
    </row>
    <row r="1359" spans="1:7" x14ac:dyDescent="0.3">
      <c r="A1359">
        <v>31358</v>
      </c>
      <c r="B1359">
        <v>286</v>
      </c>
      <c r="C1359" s="2">
        <v>44589</v>
      </c>
      <c r="D1359" s="2" t="str">
        <f>TEXT(Table5[[#This Row],[bill_date]],"mmmm")</f>
        <v>January</v>
      </c>
      <c r="E1359" s="9">
        <f>YEAR(Table5[[#This Row],[bill_date]])</f>
        <v>2022</v>
      </c>
      <c r="F1359">
        <v>500</v>
      </c>
      <c r="G1359" t="s">
        <v>29</v>
      </c>
    </row>
    <row r="1360" spans="1:7" x14ac:dyDescent="0.3">
      <c r="A1360">
        <v>31359</v>
      </c>
      <c r="B1360">
        <v>210</v>
      </c>
      <c r="C1360" s="2">
        <v>45258</v>
      </c>
      <c r="D1360" s="2" t="str">
        <f>TEXT(Table5[[#This Row],[bill_date]],"mmmm")</f>
        <v>November</v>
      </c>
      <c r="E1360" s="9">
        <f>YEAR(Table5[[#This Row],[bill_date]])</f>
        <v>2023</v>
      </c>
      <c r="F1360">
        <v>298</v>
      </c>
      <c r="G1360" t="s">
        <v>28</v>
      </c>
    </row>
    <row r="1361" spans="1:7" x14ac:dyDescent="0.3">
      <c r="A1361">
        <v>31360</v>
      </c>
      <c r="B1361">
        <v>259</v>
      </c>
      <c r="C1361" s="2">
        <v>44636</v>
      </c>
      <c r="D1361" s="2" t="str">
        <f>TEXT(Table5[[#This Row],[bill_date]],"mmmm")</f>
        <v>March</v>
      </c>
      <c r="E1361" s="9">
        <f>YEAR(Table5[[#This Row],[bill_date]])</f>
        <v>2022</v>
      </c>
      <c r="F1361">
        <v>451</v>
      </c>
      <c r="G1361" t="s">
        <v>30</v>
      </c>
    </row>
    <row r="1362" spans="1:7" x14ac:dyDescent="0.3">
      <c r="A1362">
        <v>31361</v>
      </c>
      <c r="B1362">
        <v>476</v>
      </c>
      <c r="C1362" s="2">
        <v>44615</v>
      </c>
      <c r="D1362" s="2" t="str">
        <f>TEXT(Table5[[#This Row],[bill_date]],"mmmm")</f>
        <v>February</v>
      </c>
      <c r="E1362" s="9">
        <f>YEAR(Table5[[#This Row],[bill_date]])</f>
        <v>2022</v>
      </c>
      <c r="F1362">
        <v>506</v>
      </c>
      <c r="G1362" t="s">
        <v>28</v>
      </c>
    </row>
    <row r="1363" spans="1:7" x14ac:dyDescent="0.3">
      <c r="A1363">
        <v>31362</v>
      </c>
      <c r="B1363">
        <v>37</v>
      </c>
      <c r="C1363" s="2">
        <v>44882</v>
      </c>
      <c r="D1363" s="2" t="str">
        <f>TEXT(Table5[[#This Row],[bill_date]],"mmmm")</f>
        <v>November</v>
      </c>
      <c r="E1363" s="9">
        <f>YEAR(Table5[[#This Row],[bill_date]])</f>
        <v>2022</v>
      </c>
      <c r="F1363">
        <v>992</v>
      </c>
      <c r="G1363" t="s">
        <v>28</v>
      </c>
    </row>
    <row r="1364" spans="1:7" x14ac:dyDescent="0.3">
      <c r="A1364">
        <v>31363</v>
      </c>
      <c r="B1364">
        <v>286</v>
      </c>
      <c r="C1364" s="2">
        <v>45120</v>
      </c>
      <c r="D1364" s="2" t="str">
        <f>TEXT(Table5[[#This Row],[bill_date]],"mmmm")</f>
        <v>July</v>
      </c>
      <c r="E1364" s="9">
        <f>YEAR(Table5[[#This Row],[bill_date]])</f>
        <v>2023</v>
      </c>
      <c r="F1364">
        <v>1001</v>
      </c>
      <c r="G1364" t="s">
        <v>30</v>
      </c>
    </row>
    <row r="1365" spans="1:7" x14ac:dyDescent="0.3">
      <c r="A1365">
        <v>31364</v>
      </c>
      <c r="B1365">
        <v>54</v>
      </c>
      <c r="C1365" s="2">
        <v>45321</v>
      </c>
      <c r="D1365" s="2" t="str">
        <f>TEXT(Table5[[#This Row],[bill_date]],"mmmm")</f>
        <v>January</v>
      </c>
      <c r="E1365" s="9">
        <f>YEAR(Table5[[#This Row],[bill_date]])</f>
        <v>2024</v>
      </c>
      <c r="F1365">
        <v>1922</v>
      </c>
      <c r="G1365" t="s">
        <v>30</v>
      </c>
    </row>
    <row r="1366" spans="1:7" x14ac:dyDescent="0.3">
      <c r="A1366">
        <v>31365</v>
      </c>
      <c r="B1366">
        <v>469</v>
      </c>
      <c r="C1366" s="2">
        <v>44795</v>
      </c>
      <c r="D1366" s="2" t="str">
        <f>TEXT(Table5[[#This Row],[bill_date]],"mmmm")</f>
        <v>August</v>
      </c>
      <c r="E1366" s="9">
        <f>YEAR(Table5[[#This Row],[bill_date]])</f>
        <v>2022</v>
      </c>
      <c r="F1366">
        <v>585</v>
      </c>
      <c r="G1366" t="s">
        <v>30</v>
      </c>
    </row>
    <row r="1367" spans="1:7" x14ac:dyDescent="0.3">
      <c r="A1367">
        <v>31366</v>
      </c>
      <c r="B1367">
        <v>369</v>
      </c>
      <c r="C1367" s="2">
        <v>45191</v>
      </c>
      <c r="D1367" s="2" t="str">
        <f>TEXT(Table5[[#This Row],[bill_date]],"mmmm")</f>
        <v>September</v>
      </c>
      <c r="E1367" s="9">
        <f>YEAR(Table5[[#This Row],[bill_date]])</f>
        <v>2023</v>
      </c>
      <c r="F1367">
        <v>1345</v>
      </c>
      <c r="G1367" t="s">
        <v>28</v>
      </c>
    </row>
    <row r="1368" spans="1:7" x14ac:dyDescent="0.3">
      <c r="A1368">
        <v>31367</v>
      </c>
      <c r="B1368">
        <v>212</v>
      </c>
      <c r="C1368" s="2">
        <v>45333</v>
      </c>
      <c r="D1368" s="2" t="str">
        <f>TEXT(Table5[[#This Row],[bill_date]],"mmmm")</f>
        <v>February</v>
      </c>
      <c r="E1368" s="9">
        <f>YEAR(Table5[[#This Row],[bill_date]])</f>
        <v>2024</v>
      </c>
      <c r="F1368">
        <v>330</v>
      </c>
      <c r="G1368" t="s">
        <v>28</v>
      </c>
    </row>
    <row r="1369" spans="1:7" x14ac:dyDescent="0.3">
      <c r="A1369">
        <v>31368</v>
      </c>
      <c r="B1369">
        <v>342</v>
      </c>
      <c r="C1369" s="2">
        <v>44791</v>
      </c>
      <c r="D1369" s="2" t="str">
        <f>TEXT(Table5[[#This Row],[bill_date]],"mmmm")</f>
        <v>August</v>
      </c>
      <c r="E1369" s="9">
        <f>YEAR(Table5[[#This Row],[bill_date]])</f>
        <v>2022</v>
      </c>
      <c r="F1369">
        <v>1458</v>
      </c>
      <c r="G1369" t="s">
        <v>30</v>
      </c>
    </row>
    <row r="1370" spans="1:7" x14ac:dyDescent="0.3">
      <c r="A1370">
        <v>31369</v>
      </c>
      <c r="B1370">
        <v>484</v>
      </c>
      <c r="C1370" s="2">
        <v>45363</v>
      </c>
      <c r="D1370" s="2" t="str">
        <f>TEXT(Table5[[#This Row],[bill_date]],"mmmm")</f>
        <v>March</v>
      </c>
      <c r="E1370" s="9">
        <f>YEAR(Table5[[#This Row],[bill_date]])</f>
        <v>2024</v>
      </c>
      <c r="F1370">
        <v>419</v>
      </c>
      <c r="G1370" t="s">
        <v>30</v>
      </c>
    </row>
    <row r="1371" spans="1:7" x14ac:dyDescent="0.3">
      <c r="A1371">
        <v>31370</v>
      </c>
      <c r="B1371">
        <v>100</v>
      </c>
      <c r="C1371" s="2">
        <v>45314</v>
      </c>
      <c r="D1371" s="2" t="str">
        <f>TEXT(Table5[[#This Row],[bill_date]],"mmmm")</f>
        <v>January</v>
      </c>
      <c r="E1371" s="9">
        <f>YEAR(Table5[[#This Row],[bill_date]])</f>
        <v>2024</v>
      </c>
      <c r="F1371">
        <v>260</v>
      </c>
      <c r="G1371" t="s">
        <v>30</v>
      </c>
    </row>
    <row r="1372" spans="1:7" x14ac:dyDescent="0.3">
      <c r="A1372">
        <v>31371</v>
      </c>
      <c r="B1372">
        <v>85</v>
      </c>
      <c r="C1372" s="2">
        <v>44893</v>
      </c>
      <c r="D1372" s="2" t="str">
        <f>TEXT(Table5[[#This Row],[bill_date]],"mmmm")</f>
        <v>November</v>
      </c>
      <c r="E1372" s="9">
        <f>YEAR(Table5[[#This Row],[bill_date]])</f>
        <v>2022</v>
      </c>
      <c r="F1372">
        <v>1030</v>
      </c>
      <c r="G1372" t="s">
        <v>30</v>
      </c>
    </row>
    <row r="1373" spans="1:7" x14ac:dyDescent="0.3">
      <c r="A1373">
        <v>31372</v>
      </c>
      <c r="B1373">
        <v>472</v>
      </c>
      <c r="C1373" s="2">
        <v>45255</v>
      </c>
      <c r="D1373" s="2" t="str">
        <f>TEXT(Table5[[#This Row],[bill_date]],"mmmm")</f>
        <v>November</v>
      </c>
      <c r="E1373" s="9">
        <f>YEAR(Table5[[#This Row],[bill_date]])</f>
        <v>2023</v>
      </c>
      <c r="F1373">
        <v>1912</v>
      </c>
      <c r="G1373" t="s">
        <v>30</v>
      </c>
    </row>
    <row r="1374" spans="1:7" x14ac:dyDescent="0.3">
      <c r="A1374">
        <v>31373</v>
      </c>
      <c r="B1374">
        <v>213</v>
      </c>
      <c r="C1374" s="2">
        <v>45033</v>
      </c>
      <c r="D1374" s="2" t="str">
        <f>TEXT(Table5[[#This Row],[bill_date]],"mmmm")</f>
        <v>April</v>
      </c>
      <c r="E1374" s="9">
        <f>YEAR(Table5[[#This Row],[bill_date]])</f>
        <v>2023</v>
      </c>
      <c r="F1374">
        <v>930</v>
      </c>
      <c r="G1374" t="s">
        <v>30</v>
      </c>
    </row>
    <row r="1375" spans="1:7" x14ac:dyDescent="0.3">
      <c r="A1375">
        <v>31374</v>
      </c>
      <c r="B1375">
        <v>391</v>
      </c>
      <c r="C1375" s="2">
        <v>44878</v>
      </c>
      <c r="D1375" s="2" t="str">
        <f>TEXT(Table5[[#This Row],[bill_date]],"mmmm")</f>
        <v>November</v>
      </c>
      <c r="E1375" s="9">
        <f>YEAR(Table5[[#This Row],[bill_date]])</f>
        <v>2022</v>
      </c>
      <c r="F1375">
        <v>601</v>
      </c>
      <c r="G1375" t="s">
        <v>30</v>
      </c>
    </row>
    <row r="1376" spans="1:7" x14ac:dyDescent="0.3">
      <c r="A1376">
        <v>31375</v>
      </c>
      <c r="B1376">
        <v>264</v>
      </c>
      <c r="C1376" s="2">
        <v>44662</v>
      </c>
      <c r="D1376" s="2" t="str">
        <f>TEXT(Table5[[#This Row],[bill_date]],"mmmm")</f>
        <v>April</v>
      </c>
      <c r="E1376" s="9">
        <f>YEAR(Table5[[#This Row],[bill_date]])</f>
        <v>2022</v>
      </c>
      <c r="F1376">
        <v>369</v>
      </c>
      <c r="G1376" t="s">
        <v>30</v>
      </c>
    </row>
    <row r="1377" spans="1:7" x14ac:dyDescent="0.3">
      <c r="A1377">
        <v>31376</v>
      </c>
      <c r="B1377">
        <v>470</v>
      </c>
      <c r="C1377" s="2">
        <v>44809</v>
      </c>
      <c r="D1377" s="2" t="str">
        <f>TEXT(Table5[[#This Row],[bill_date]],"mmmm")</f>
        <v>September</v>
      </c>
      <c r="E1377" s="9">
        <f>YEAR(Table5[[#This Row],[bill_date]])</f>
        <v>2022</v>
      </c>
      <c r="F1377">
        <v>1698</v>
      </c>
      <c r="G1377" t="s">
        <v>28</v>
      </c>
    </row>
    <row r="1378" spans="1:7" x14ac:dyDescent="0.3">
      <c r="A1378">
        <v>31377</v>
      </c>
      <c r="B1378">
        <v>86</v>
      </c>
      <c r="C1378" s="2">
        <v>45041</v>
      </c>
      <c r="D1378" s="2" t="str">
        <f>TEXT(Table5[[#This Row],[bill_date]],"mmmm")</f>
        <v>April</v>
      </c>
      <c r="E1378" s="9">
        <f>YEAR(Table5[[#This Row],[bill_date]])</f>
        <v>2023</v>
      </c>
      <c r="F1378">
        <v>1816</v>
      </c>
      <c r="G1378" t="s">
        <v>30</v>
      </c>
    </row>
    <row r="1379" spans="1:7" x14ac:dyDescent="0.3">
      <c r="A1379">
        <v>31378</v>
      </c>
      <c r="B1379">
        <v>63</v>
      </c>
      <c r="C1379" s="2">
        <v>45422</v>
      </c>
      <c r="D1379" s="2" t="str">
        <f>TEXT(Table5[[#This Row],[bill_date]],"mmmm")</f>
        <v>May</v>
      </c>
      <c r="E1379" s="9">
        <f>YEAR(Table5[[#This Row],[bill_date]])</f>
        <v>2024</v>
      </c>
      <c r="F1379">
        <v>212</v>
      </c>
      <c r="G1379" t="s">
        <v>30</v>
      </c>
    </row>
    <row r="1380" spans="1:7" x14ac:dyDescent="0.3">
      <c r="A1380">
        <v>31379</v>
      </c>
      <c r="B1380">
        <v>447</v>
      </c>
      <c r="C1380" s="2">
        <v>45431</v>
      </c>
      <c r="D1380" s="2" t="str">
        <f>TEXT(Table5[[#This Row],[bill_date]],"mmmm")</f>
        <v>May</v>
      </c>
      <c r="E1380" s="9">
        <f>YEAR(Table5[[#This Row],[bill_date]])</f>
        <v>2024</v>
      </c>
      <c r="F1380">
        <v>468</v>
      </c>
      <c r="G1380" t="s">
        <v>30</v>
      </c>
    </row>
    <row r="1381" spans="1:7" x14ac:dyDescent="0.3">
      <c r="A1381">
        <v>31380</v>
      </c>
      <c r="B1381">
        <v>192</v>
      </c>
      <c r="C1381" s="2">
        <v>45186</v>
      </c>
      <c r="D1381" s="2" t="str">
        <f>TEXT(Table5[[#This Row],[bill_date]],"mmmm")</f>
        <v>September</v>
      </c>
      <c r="E1381" s="9">
        <f>YEAR(Table5[[#This Row],[bill_date]])</f>
        <v>2023</v>
      </c>
      <c r="F1381">
        <v>1276</v>
      </c>
      <c r="G1381" t="s">
        <v>30</v>
      </c>
    </row>
    <row r="1382" spans="1:7" x14ac:dyDescent="0.3">
      <c r="A1382">
        <v>31381</v>
      </c>
      <c r="B1382">
        <v>414</v>
      </c>
      <c r="C1382" s="2">
        <v>44782</v>
      </c>
      <c r="D1382" s="2" t="str">
        <f>TEXT(Table5[[#This Row],[bill_date]],"mmmm")</f>
        <v>August</v>
      </c>
      <c r="E1382" s="9">
        <f>YEAR(Table5[[#This Row],[bill_date]])</f>
        <v>2022</v>
      </c>
      <c r="F1382">
        <v>1635</v>
      </c>
      <c r="G1382" t="s">
        <v>30</v>
      </c>
    </row>
    <row r="1383" spans="1:7" x14ac:dyDescent="0.3">
      <c r="A1383">
        <v>31382</v>
      </c>
      <c r="B1383">
        <v>482</v>
      </c>
      <c r="C1383" s="2">
        <v>44900</v>
      </c>
      <c r="D1383" s="2" t="str">
        <f>TEXT(Table5[[#This Row],[bill_date]],"mmmm")</f>
        <v>December</v>
      </c>
      <c r="E1383" s="9">
        <f>YEAR(Table5[[#This Row],[bill_date]])</f>
        <v>2022</v>
      </c>
      <c r="F1383">
        <v>1353</v>
      </c>
      <c r="G1383" t="s">
        <v>28</v>
      </c>
    </row>
    <row r="1384" spans="1:7" x14ac:dyDescent="0.3">
      <c r="A1384">
        <v>31383</v>
      </c>
      <c r="B1384">
        <v>93</v>
      </c>
      <c r="C1384" s="2">
        <v>44709</v>
      </c>
      <c r="D1384" s="2" t="str">
        <f>TEXT(Table5[[#This Row],[bill_date]],"mmmm")</f>
        <v>May</v>
      </c>
      <c r="E1384" s="9">
        <f>YEAR(Table5[[#This Row],[bill_date]])</f>
        <v>2022</v>
      </c>
      <c r="F1384">
        <v>1832</v>
      </c>
      <c r="G1384" t="s">
        <v>30</v>
      </c>
    </row>
    <row r="1385" spans="1:7" x14ac:dyDescent="0.3">
      <c r="A1385">
        <v>31384</v>
      </c>
      <c r="B1385">
        <v>253</v>
      </c>
      <c r="C1385" s="2">
        <v>45460</v>
      </c>
      <c r="D1385" s="2" t="str">
        <f>TEXT(Table5[[#This Row],[bill_date]],"mmmm")</f>
        <v>June</v>
      </c>
      <c r="E1385" s="9">
        <f>YEAR(Table5[[#This Row],[bill_date]])</f>
        <v>2024</v>
      </c>
      <c r="F1385">
        <v>911</v>
      </c>
      <c r="G1385" t="s">
        <v>30</v>
      </c>
    </row>
    <row r="1386" spans="1:7" x14ac:dyDescent="0.3">
      <c r="A1386">
        <v>31385</v>
      </c>
      <c r="B1386">
        <v>138</v>
      </c>
      <c r="C1386" s="2">
        <v>44857</v>
      </c>
      <c r="D1386" s="2" t="str">
        <f>TEXT(Table5[[#This Row],[bill_date]],"mmmm")</f>
        <v>October</v>
      </c>
      <c r="E1386" s="9">
        <f>YEAR(Table5[[#This Row],[bill_date]])</f>
        <v>2022</v>
      </c>
      <c r="F1386">
        <v>1070</v>
      </c>
      <c r="G1386" t="s">
        <v>30</v>
      </c>
    </row>
    <row r="1387" spans="1:7" x14ac:dyDescent="0.3">
      <c r="A1387">
        <v>31386</v>
      </c>
      <c r="B1387">
        <v>453</v>
      </c>
      <c r="C1387" s="2">
        <v>45270</v>
      </c>
      <c r="D1387" s="2" t="str">
        <f>TEXT(Table5[[#This Row],[bill_date]],"mmmm")</f>
        <v>December</v>
      </c>
      <c r="E1387" s="9">
        <f>YEAR(Table5[[#This Row],[bill_date]])</f>
        <v>2023</v>
      </c>
      <c r="F1387">
        <v>1995</v>
      </c>
      <c r="G1387" t="s">
        <v>30</v>
      </c>
    </row>
    <row r="1388" spans="1:7" x14ac:dyDescent="0.3">
      <c r="A1388">
        <v>31387</v>
      </c>
      <c r="B1388">
        <v>49</v>
      </c>
      <c r="C1388" s="2">
        <v>44968</v>
      </c>
      <c r="D1388" s="2" t="str">
        <f>TEXT(Table5[[#This Row],[bill_date]],"mmmm")</f>
        <v>February</v>
      </c>
      <c r="E1388" s="9">
        <f>YEAR(Table5[[#This Row],[bill_date]])</f>
        <v>2023</v>
      </c>
      <c r="F1388">
        <v>1955</v>
      </c>
      <c r="G1388" t="s">
        <v>30</v>
      </c>
    </row>
    <row r="1389" spans="1:7" x14ac:dyDescent="0.3">
      <c r="A1389">
        <v>31388</v>
      </c>
      <c r="B1389">
        <v>121</v>
      </c>
      <c r="C1389" s="2">
        <v>45142</v>
      </c>
      <c r="D1389" s="2" t="str">
        <f>TEXT(Table5[[#This Row],[bill_date]],"mmmm")</f>
        <v>August</v>
      </c>
      <c r="E1389" s="9">
        <f>YEAR(Table5[[#This Row],[bill_date]])</f>
        <v>2023</v>
      </c>
      <c r="F1389">
        <v>1739</v>
      </c>
      <c r="G1389" t="s">
        <v>28</v>
      </c>
    </row>
    <row r="1390" spans="1:7" x14ac:dyDescent="0.3">
      <c r="A1390">
        <v>31389</v>
      </c>
      <c r="B1390">
        <v>39</v>
      </c>
      <c r="C1390" s="2">
        <v>45039</v>
      </c>
      <c r="D1390" s="2" t="str">
        <f>TEXT(Table5[[#This Row],[bill_date]],"mmmm")</f>
        <v>April</v>
      </c>
      <c r="E1390" s="9">
        <f>YEAR(Table5[[#This Row],[bill_date]])</f>
        <v>2023</v>
      </c>
      <c r="F1390">
        <v>827</v>
      </c>
      <c r="G1390" t="s">
        <v>30</v>
      </c>
    </row>
    <row r="1391" spans="1:7" x14ac:dyDescent="0.3">
      <c r="A1391">
        <v>31390</v>
      </c>
      <c r="B1391">
        <v>34</v>
      </c>
      <c r="C1391" s="2">
        <v>45361</v>
      </c>
      <c r="D1391" s="2" t="str">
        <f>TEXT(Table5[[#This Row],[bill_date]],"mmmm")</f>
        <v>March</v>
      </c>
      <c r="E1391" s="9">
        <f>YEAR(Table5[[#This Row],[bill_date]])</f>
        <v>2024</v>
      </c>
      <c r="F1391">
        <v>499</v>
      </c>
      <c r="G1391" t="s">
        <v>30</v>
      </c>
    </row>
    <row r="1392" spans="1:7" x14ac:dyDescent="0.3">
      <c r="A1392">
        <v>31391</v>
      </c>
      <c r="B1392">
        <v>358</v>
      </c>
      <c r="C1392" s="2">
        <v>44585</v>
      </c>
      <c r="D1392" s="2" t="str">
        <f>TEXT(Table5[[#This Row],[bill_date]],"mmmm")</f>
        <v>January</v>
      </c>
      <c r="E1392" s="9">
        <f>YEAR(Table5[[#This Row],[bill_date]])</f>
        <v>2022</v>
      </c>
      <c r="F1392">
        <v>902</v>
      </c>
      <c r="G1392" t="s">
        <v>30</v>
      </c>
    </row>
    <row r="1393" spans="1:7" x14ac:dyDescent="0.3">
      <c r="A1393">
        <v>31392</v>
      </c>
      <c r="B1393">
        <v>266</v>
      </c>
      <c r="C1393" s="2">
        <v>45442</v>
      </c>
      <c r="D1393" s="2" t="str">
        <f>TEXT(Table5[[#This Row],[bill_date]],"mmmm")</f>
        <v>May</v>
      </c>
      <c r="E1393" s="9">
        <f>YEAR(Table5[[#This Row],[bill_date]])</f>
        <v>2024</v>
      </c>
      <c r="F1393">
        <v>625</v>
      </c>
      <c r="G1393" t="s">
        <v>30</v>
      </c>
    </row>
    <row r="1394" spans="1:7" x14ac:dyDescent="0.3">
      <c r="A1394">
        <v>31393</v>
      </c>
      <c r="B1394">
        <v>9</v>
      </c>
      <c r="C1394" s="2">
        <v>45444</v>
      </c>
      <c r="D1394" s="2" t="str">
        <f>TEXT(Table5[[#This Row],[bill_date]],"mmmm")</f>
        <v>June</v>
      </c>
      <c r="E1394" s="9">
        <f>YEAR(Table5[[#This Row],[bill_date]])</f>
        <v>2024</v>
      </c>
      <c r="F1394">
        <v>314</v>
      </c>
      <c r="G1394" t="s">
        <v>30</v>
      </c>
    </row>
    <row r="1395" spans="1:7" x14ac:dyDescent="0.3">
      <c r="A1395">
        <v>31394</v>
      </c>
      <c r="B1395">
        <v>188</v>
      </c>
      <c r="C1395" s="2">
        <v>44747</v>
      </c>
      <c r="D1395" s="2" t="str">
        <f>TEXT(Table5[[#This Row],[bill_date]],"mmmm")</f>
        <v>July</v>
      </c>
      <c r="E1395" s="9">
        <f>YEAR(Table5[[#This Row],[bill_date]])</f>
        <v>2022</v>
      </c>
      <c r="F1395">
        <v>434</v>
      </c>
      <c r="G1395" t="s">
        <v>30</v>
      </c>
    </row>
    <row r="1396" spans="1:7" x14ac:dyDescent="0.3">
      <c r="A1396">
        <v>31395</v>
      </c>
      <c r="B1396">
        <v>96</v>
      </c>
      <c r="C1396" s="2">
        <v>44731</v>
      </c>
      <c r="D1396" s="2" t="str">
        <f>TEXT(Table5[[#This Row],[bill_date]],"mmmm")</f>
        <v>June</v>
      </c>
      <c r="E1396" s="9">
        <f>YEAR(Table5[[#This Row],[bill_date]])</f>
        <v>2022</v>
      </c>
      <c r="F1396">
        <v>1785</v>
      </c>
      <c r="G1396" t="s">
        <v>30</v>
      </c>
    </row>
    <row r="1397" spans="1:7" x14ac:dyDescent="0.3">
      <c r="A1397">
        <v>31396</v>
      </c>
      <c r="B1397">
        <v>133</v>
      </c>
      <c r="C1397" s="2">
        <v>45364</v>
      </c>
      <c r="D1397" s="2" t="str">
        <f>TEXT(Table5[[#This Row],[bill_date]],"mmmm")</f>
        <v>March</v>
      </c>
      <c r="E1397" s="9">
        <f>YEAR(Table5[[#This Row],[bill_date]])</f>
        <v>2024</v>
      </c>
      <c r="F1397">
        <v>211</v>
      </c>
      <c r="G1397" t="s">
        <v>30</v>
      </c>
    </row>
    <row r="1398" spans="1:7" x14ac:dyDescent="0.3">
      <c r="A1398">
        <v>31397</v>
      </c>
      <c r="B1398">
        <v>163</v>
      </c>
      <c r="C1398" s="2">
        <v>45105</v>
      </c>
      <c r="D1398" s="2" t="str">
        <f>TEXT(Table5[[#This Row],[bill_date]],"mmmm")</f>
        <v>June</v>
      </c>
      <c r="E1398" s="9">
        <f>YEAR(Table5[[#This Row],[bill_date]])</f>
        <v>2023</v>
      </c>
      <c r="F1398">
        <v>1440</v>
      </c>
      <c r="G1398" t="s">
        <v>30</v>
      </c>
    </row>
    <row r="1399" spans="1:7" x14ac:dyDescent="0.3">
      <c r="A1399">
        <v>31398</v>
      </c>
      <c r="B1399">
        <v>139</v>
      </c>
      <c r="C1399" s="2">
        <v>44999</v>
      </c>
      <c r="D1399" s="2" t="str">
        <f>TEXT(Table5[[#This Row],[bill_date]],"mmmm")</f>
        <v>March</v>
      </c>
      <c r="E1399" s="9">
        <f>YEAR(Table5[[#This Row],[bill_date]])</f>
        <v>2023</v>
      </c>
      <c r="F1399">
        <v>1551</v>
      </c>
      <c r="G1399" t="s">
        <v>28</v>
      </c>
    </row>
    <row r="1400" spans="1:7" x14ac:dyDescent="0.3">
      <c r="A1400">
        <v>31399</v>
      </c>
      <c r="B1400">
        <v>298</v>
      </c>
      <c r="C1400" s="2">
        <v>44862</v>
      </c>
      <c r="D1400" s="2" t="str">
        <f>TEXT(Table5[[#This Row],[bill_date]],"mmmm")</f>
        <v>October</v>
      </c>
      <c r="E1400" s="9">
        <f>YEAR(Table5[[#This Row],[bill_date]])</f>
        <v>2022</v>
      </c>
      <c r="F1400">
        <v>266</v>
      </c>
      <c r="G1400" t="s">
        <v>30</v>
      </c>
    </row>
    <row r="1401" spans="1:7" x14ac:dyDescent="0.3">
      <c r="A1401">
        <v>31400</v>
      </c>
      <c r="B1401">
        <v>80</v>
      </c>
      <c r="C1401" s="2">
        <v>45249</v>
      </c>
      <c r="D1401" s="2" t="str">
        <f>TEXT(Table5[[#This Row],[bill_date]],"mmmm")</f>
        <v>November</v>
      </c>
      <c r="E1401" s="9">
        <f>YEAR(Table5[[#This Row],[bill_date]])</f>
        <v>2023</v>
      </c>
      <c r="F1401">
        <v>941</v>
      </c>
      <c r="G1401" t="s">
        <v>30</v>
      </c>
    </row>
    <row r="1402" spans="1:7" x14ac:dyDescent="0.3">
      <c r="A1402">
        <v>31401</v>
      </c>
      <c r="B1402">
        <v>91</v>
      </c>
      <c r="C1402" s="2">
        <v>44925</v>
      </c>
      <c r="D1402" s="2" t="str">
        <f>TEXT(Table5[[#This Row],[bill_date]],"mmmm")</f>
        <v>December</v>
      </c>
      <c r="E1402" s="9">
        <f>YEAR(Table5[[#This Row],[bill_date]])</f>
        <v>2022</v>
      </c>
      <c r="F1402">
        <v>1035</v>
      </c>
      <c r="G1402" t="s">
        <v>30</v>
      </c>
    </row>
    <row r="1403" spans="1:7" x14ac:dyDescent="0.3">
      <c r="A1403">
        <v>31402</v>
      </c>
      <c r="B1403">
        <v>256</v>
      </c>
      <c r="C1403" s="2">
        <v>45415</v>
      </c>
      <c r="D1403" s="2" t="str">
        <f>TEXT(Table5[[#This Row],[bill_date]],"mmmm")</f>
        <v>May</v>
      </c>
      <c r="E1403" s="9">
        <f>YEAR(Table5[[#This Row],[bill_date]])</f>
        <v>2024</v>
      </c>
      <c r="F1403">
        <v>589</v>
      </c>
      <c r="G1403" t="s">
        <v>28</v>
      </c>
    </row>
    <row r="1404" spans="1:7" x14ac:dyDescent="0.3">
      <c r="A1404">
        <v>31403</v>
      </c>
      <c r="B1404">
        <v>148</v>
      </c>
      <c r="C1404" s="2">
        <v>44738</v>
      </c>
      <c r="D1404" s="2" t="str">
        <f>TEXT(Table5[[#This Row],[bill_date]],"mmmm")</f>
        <v>June</v>
      </c>
      <c r="E1404" s="9">
        <f>YEAR(Table5[[#This Row],[bill_date]])</f>
        <v>2022</v>
      </c>
      <c r="F1404">
        <v>1314</v>
      </c>
      <c r="G1404" t="s">
        <v>30</v>
      </c>
    </row>
    <row r="1405" spans="1:7" x14ac:dyDescent="0.3">
      <c r="A1405">
        <v>31404</v>
      </c>
      <c r="B1405">
        <v>179</v>
      </c>
      <c r="C1405" s="2">
        <v>45363</v>
      </c>
      <c r="D1405" s="2" t="str">
        <f>TEXT(Table5[[#This Row],[bill_date]],"mmmm")</f>
        <v>March</v>
      </c>
      <c r="E1405" s="9">
        <f>YEAR(Table5[[#This Row],[bill_date]])</f>
        <v>2024</v>
      </c>
      <c r="F1405">
        <v>302</v>
      </c>
      <c r="G1405" t="s">
        <v>28</v>
      </c>
    </row>
    <row r="1406" spans="1:7" x14ac:dyDescent="0.3">
      <c r="A1406">
        <v>31405</v>
      </c>
      <c r="B1406">
        <v>257</v>
      </c>
      <c r="C1406" s="2">
        <v>44705</v>
      </c>
      <c r="D1406" s="2" t="str">
        <f>TEXT(Table5[[#This Row],[bill_date]],"mmmm")</f>
        <v>May</v>
      </c>
      <c r="E1406" s="9">
        <f>YEAR(Table5[[#This Row],[bill_date]])</f>
        <v>2022</v>
      </c>
      <c r="F1406">
        <v>1812</v>
      </c>
      <c r="G1406" t="s">
        <v>30</v>
      </c>
    </row>
    <row r="1407" spans="1:7" x14ac:dyDescent="0.3">
      <c r="A1407">
        <v>31406</v>
      </c>
      <c r="B1407">
        <v>218</v>
      </c>
      <c r="C1407" s="2">
        <v>45084</v>
      </c>
      <c r="D1407" s="2" t="str">
        <f>TEXT(Table5[[#This Row],[bill_date]],"mmmm")</f>
        <v>June</v>
      </c>
      <c r="E1407" s="9">
        <f>YEAR(Table5[[#This Row],[bill_date]])</f>
        <v>2023</v>
      </c>
      <c r="F1407">
        <v>1648</v>
      </c>
      <c r="G1407" t="s">
        <v>30</v>
      </c>
    </row>
    <row r="1408" spans="1:7" x14ac:dyDescent="0.3">
      <c r="A1408">
        <v>31407</v>
      </c>
      <c r="B1408">
        <v>267</v>
      </c>
      <c r="C1408" s="2">
        <v>45042</v>
      </c>
      <c r="D1408" s="2" t="str">
        <f>TEXT(Table5[[#This Row],[bill_date]],"mmmm")</f>
        <v>April</v>
      </c>
      <c r="E1408" s="9">
        <f>YEAR(Table5[[#This Row],[bill_date]])</f>
        <v>2023</v>
      </c>
      <c r="F1408">
        <v>812</v>
      </c>
      <c r="G1408" t="s">
        <v>28</v>
      </c>
    </row>
    <row r="1409" spans="1:7" x14ac:dyDescent="0.3">
      <c r="A1409">
        <v>31408</v>
      </c>
      <c r="B1409">
        <v>317</v>
      </c>
      <c r="C1409" s="2">
        <v>45053</v>
      </c>
      <c r="D1409" s="2" t="str">
        <f>TEXT(Table5[[#This Row],[bill_date]],"mmmm")</f>
        <v>May</v>
      </c>
      <c r="E1409" s="9">
        <f>YEAR(Table5[[#This Row],[bill_date]])</f>
        <v>2023</v>
      </c>
      <c r="F1409">
        <v>971</v>
      </c>
      <c r="G1409" t="s">
        <v>30</v>
      </c>
    </row>
    <row r="1410" spans="1:7" x14ac:dyDescent="0.3">
      <c r="A1410">
        <v>31409</v>
      </c>
      <c r="B1410">
        <v>79</v>
      </c>
      <c r="C1410" s="2">
        <v>45047</v>
      </c>
      <c r="D1410" s="2" t="str">
        <f>TEXT(Table5[[#This Row],[bill_date]],"mmmm")</f>
        <v>May</v>
      </c>
      <c r="E1410" s="9">
        <f>YEAR(Table5[[#This Row],[bill_date]])</f>
        <v>2023</v>
      </c>
      <c r="F1410">
        <v>502</v>
      </c>
      <c r="G1410" t="s">
        <v>30</v>
      </c>
    </row>
    <row r="1411" spans="1:7" x14ac:dyDescent="0.3">
      <c r="A1411">
        <v>31410</v>
      </c>
      <c r="B1411">
        <v>167</v>
      </c>
      <c r="C1411" s="2">
        <v>45220</v>
      </c>
      <c r="D1411" s="2" t="str">
        <f>TEXT(Table5[[#This Row],[bill_date]],"mmmm")</f>
        <v>October</v>
      </c>
      <c r="E1411" s="9">
        <f>YEAR(Table5[[#This Row],[bill_date]])</f>
        <v>2023</v>
      </c>
      <c r="F1411">
        <v>577</v>
      </c>
      <c r="G1411" t="s">
        <v>30</v>
      </c>
    </row>
    <row r="1412" spans="1:7" x14ac:dyDescent="0.3">
      <c r="A1412">
        <v>31411</v>
      </c>
      <c r="B1412">
        <v>104</v>
      </c>
      <c r="C1412" s="2">
        <v>45421</v>
      </c>
      <c r="D1412" s="2" t="str">
        <f>TEXT(Table5[[#This Row],[bill_date]],"mmmm")</f>
        <v>May</v>
      </c>
      <c r="E1412" s="9">
        <f>YEAR(Table5[[#This Row],[bill_date]])</f>
        <v>2024</v>
      </c>
      <c r="F1412">
        <v>1960</v>
      </c>
      <c r="G1412" t="s">
        <v>30</v>
      </c>
    </row>
    <row r="1413" spans="1:7" x14ac:dyDescent="0.3">
      <c r="A1413">
        <v>31412</v>
      </c>
      <c r="B1413">
        <v>304</v>
      </c>
      <c r="C1413" s="2">
        <v>45046</v>
      </c>
      <c r="D1413" s="2" t="str">
        <f>TEXT(Table5[[#This Row],[bill_date]],"mmmm")</f>
        <v>April</v>
      </c>
      <c r="E1413" s="9">
        <f>YEAR(Table5[[#This Row],[bill_date]])</f>
        <v>2023</v>
      </c>
      <c r="F1413">
        <v>1570</v>
      </c>
      <c r="G1413" t="s">
        <v>30</v>
      </c>
    </row>
    <row r="1414" spans="1:7" x14ac:dyDescent="0.3">
      <c r="A1414">
        <v>31413</v>
      </c>
      <c r="B1414">
        <v>338</v>
      </c>
      <c r="C1414" s="2">
        <v>45383</v>
      </c>
      <c r="D1414" s="2" t="str">
        <f>TEXT(Table5[[#This Row],[bill_date]],"mmmm")</f>
        <v>April</v>
      </c>
      <c r="E1414" s="9">
        <f>YEAR(Table5[[#This Row],[bill_date]])</f>
        <v>2024</v>
      </c>
      <c r="F1414">
        <v>1397</v>
      </c>
      <c r="G1414" t="s">
        <v>30</v>
      </c>
    </row>
    <row r="1415" spans="1:7" x14ac:dyDescent="0.3">
      <c r="A1415">
        <v>31414</v>
      </c>
      <c r="B1415">
        <v>472</v>
      </c>
      <c r="C1415" s="2">
        <v>44998</v>
      </c>
      <c r="D1415" s="2" t="str">
        <f>TEXT(Table5[[#This Row],[bill_date]],"mmmm")</f>
        <v>March</v>
      </c>
      <c r="E1415" s="9">
        <f>YEAR(Table5[[#This Row],[bill_date]])</f>
        <v>2023</v>
      </c>
      <c r="F1415">
        <v>1614</v>
      </c>
      <c r="G1415" t="s">
        <v>30</v>
      </c>
    </row>
    <row r="1416" spans="1:7" x14ac:dyDescent="0.3">
      <c r="A1416">
        <v>31415</v>
      </c>
      <c r="B1416">
        <v>284</v>
      </c>
      <c r="C1416" s="2">
        <v>44756</v>
      </c>
      <c r="D1416" s="2" t="str">
        <f>TEXT(Table5[[#This Row],[bill_date]],"mmmm")</f>
        <v>July</v>
      </c>
      <c r="E1416" s="9">
        <f>YEAR(Table5[[#This Row],[bill_date]])</f>
        <v>2022</v>
      </c>
      <c r="F1416">
        <v>1627</v>
      </c>
      <c r="G1416" t="s">
        <v>30</v>
      </c>
    </row>
    <row r="1417" spans="1:7" x14ac:dyDescent="0.3">
      <c r="A1417">
        <v>31416</v>
      </c>
      <c r="B1417">
        <v>345</v>
      </c>
      <c r="C1417" s="2">
        <v>45027</v>
      </c>
      <c r="D1417" s="2" t="str">
        <f>TEXT(Table5[[#This Row],[bill_date]],"mmmm")</f>
        <v>April</v>
      </c>
      <c r="E1417" s="9">
        <f>YEAR(Table5[[#This Row],[bill_date]])</f>
        <v>2023</v>
      </c>
      <c r="F1417">
        <v>286</v>
      </c>
      <c r="G1417" t="s">
        <v>30</v>
      </c>
    </row>
    <row r="1418" spans="1:7" x14ac:dyDescent="0.3">
      <c r="A1418">
        <v>31417</v>
      </c>
      <c r="B1418">
        <v>215</v>
      </c>
      <c r="C1418" s="2">
        <v>44637</v>
      </c>
      <c r="D1418" s="2" t="str">
        <f>TEXT(Table5[[#This Row],[bill_date]],"mmmm")</f>
        <v>March</v>
      </c>
      <c r="E1418" s="9">
        <f>YEAR(Table5[[#This Row],[bill_date]])</f>
        <v>2022</v>
      </c>
      <c r="F1418">
        <v>828</v>
      </c>
      <c r="G1418" t="s">
        <v>30</v>
      </c>
    </row>
    <row r="1419" spans="1:7" x14ac:dyDescent="0.3">
      <c r="A1419">
        <v>31418</v>
      </c>
      <c r="B1419">
        <v>75</v>
      </c>
      <c r="C1419" s="2">
        <v>44721</v>
      </c>
      <c r="D1419" s="2" t="str">
        <f>TEXT(Table5[[#This Row],[bill_date]],"mmmm")</f>
        <v>June</v>
      </c>
      <c r="E1419" s="9">
        <f>YEAR(Table5[[#This Row],[bill_date]])</f>
        <v>2022</v>
      </c>
      <c r="F1419">
        <v>1875</v>
      </c>
      <c r="G1419" t="s">
        <v>30</v>
      </c>
    </row>
    <row r="1420" spans="1:7" x14ac:dyDescent="0.3">
      <c r="A1420">
        <v>31419</v>
      </c>
      <c r="B1420">
        <v>225</v>
      </c>
      <c r="C1420" s="2">
        <v>45051</v>
      </c>
      <c r="D1420" s="2" t="str">
        <f>TEXT(Table5[[#This Row],[bill_date]],"mmmm")</f>
        <v>May</v>
      </c>
      <c r="E1420" s="9">
        <f>YEAR(Table5[[#This Row],[bill_date]])</f>
        <v>2023</v>
      </c>
      <c r="F1420">
        <v>823</v>
      </c>
      <c r="G1420" t="s">
        <v>29</v>
      </c>
    </row>
    <row r="1421" spans="1:7" x14ac:dyDescent="0.3">
      <c r="A1421">
        <v>31420</v>
      </c>
      <c r="B1421">
        <v>336</v>
      </c>
      <c r="C1421" s="2">
        <v>44661</v>
      </c>
      <c r="D1421" s="2" t="str">
        <f>TEXT(Table5[[#This Row],[bill_date]],"mmmm")</f>
        <v>April</v>
      </c>
      <c r="E1421" s="9">
        <f>YEAR(Table5[[#This Row],[bill_date]])</f>
        <v>2022</v>
      </c>
      <c r="F1421">
        <v>1471</v>
      </c>
      <c r="G1421" t="s">
        <v>30</v>
      </c>
    </row>
    <row r="1422" spans="1:7" x14ac:dyDescent="0.3">
      <c r="A1422">
        <v>31421</v>
      </c>
      <c r="B1422">
        <v>292</v>
      </c>
      <c r="C1422" s="2">
        <v>44677</v>
      </c>
      <c r="D1422" s="2" t="str">
        <f>TEXT(Table5[[#This Row],[bill_date]],"mmmm")</f>
        <v>April</v>
      </c>
      <c r="E1422" s="9">
        <f>YEAR(Table5[[#This Row],[bill_date]])</f>
        <v>2022</v>
      </c>
      <c r="F1422">
        <v>564</v>
      </c>
      <c r="G1422" t="s">
        <v>30</v>
      </c>
    </row>
    <row r="1423" spans="1:7" x14ac:dyDescent="0.3">
      <c r="A1423">
        <v>31422</v>
      </c>
      <c r="B1423">
        <v>343</v>
      </c>
      <c r="C1423" s="2">
        <v>44941</v>
      </c>
      <c r="D1423" s="2" t="str">
        <f>TEXT(Table5[[#This Row],[bill_date]],"mmmm")</f>
        <v>January</v>
      </c>
      <c r="E1423" s="9">
        <f>YEAR(Table5[[#This Row],[bill_date]])</f>
        <v>2023</v>
      </c>
      <c r="F1423">
        <v>1311</v>
      </c>
      <c r="G1423" t="s">
        <v>30</v>
      </c>
    </row>
    <row r="1424" spans="1:7" x14ac:dyDescent="0.3">
      <c r="A1424">
        <v>31423</v>
      </c>
      <c r="B1424">
        <v>70</v>
      </c>
      <c r="C1424" s="2">
        <v>45156</v>
      </c>
      <c r="D1424" s="2" t="str">
        <f>TEXT(Table5[[#This Row],[bill_date]],"mmmm")</f>
        <v>August</v>
      </c>
      <c r="E1424" s="9">
        <f>YEAR(Table5[[#This Row],[bill_date]])</f>
        <v>2023</v>
      </c>
      <c r="F1424">
        <v>1075</v>
      </c>
      <c r="G1424" t="s">
        <v>30</v>
      </c>
    </row>
    <row r="1425" spans="1:7" x14ac:dyDescent="0.3">
      <c r="A1425">
        <v>31424</v>
      </c>
      <c r="B1425">
        <v>363</v>
      </c>
      <c r="C1425" s="2">
        <v>45385</v>
      </c>
      <c r="D1425" s="2" t="str">
        <f>TEXT(Table5[[#This Row],[bill_date]],"mmmm")</f>
        <v>April</v>
      </c>
      <c r="E1425" s="9">
        <f>YEAR(Table5[[#This Row],[bill_date]])</f>
        <v>2024</v>
      </c>
      <c r="F1425">
        <v>930</v>
      </c>
      <c r="G1425" t="s">
        <v>30</v>
      </c>
    </row>
    <row r="1426" spans="1:7" x14ac:dyDescent="0.3">
      <c r="A1426">
        <v>31425</v>
      </c>
      <c r="B1426">
        <v>190</v>
      </c>
      <c r="C1426" s="2">
        <v>44624</v>
      </c>
      <c r="D1426" s="2" t="str">
        <f>TEXT(Table5[[#This Row],[bill_date]],"mmmm")</f>
        <v>March</v>
      </c>
      <c r="E1426" s="9">
        <f>YEAR(Table5[[#This Row],[bill_date]])</f>
        <v>2022</v>
      </c>
      <c r="F1426">
        <v>1197</v>
      </c>
      <c r="G1426" t="s">
        <v>30</v>
      </c>
    </row>
    <row r="1427" spans="1:7" x14ac:dyDescent="0.3">
      <c r="A1427">
        <v>31426</v>
      </c>
      <c r="B1427">
        <v>472</v>
      </c>
      <c r="C1427" s="2">
        <v>44693</v>
      </c>
      <c r="D1427" s="2" t="str">
        <f>TEXT(Table5[[#This Row],[bill_date]],"mmmm")</f>
        <v>May</v>
      </c>
      <c r="E1427" s="9">
        <f>YEAR(Table5[[#This Row],[bill_date]])</f>
        <v>2022</v>
      </c>
      <c r="F1427">
        <v>654</v>
      </c>
      <c r="G1427" t="s">
        <v>30</v>
      </c>
    </row>
    <row r="1428" spans="1:7" x14ac:dyDescent="0.3">
      <c r="A1428">
        <v>31427</v>
      </c>
      <c r="B1428">
        <v>486</v>
      </c>
      <c r="C1428" s="2">
        <v>44809</v>
      </c>
      <c r="D1428" s="2" t="str">
        <f>TEXT(Table5[[#This Row],[bill_date]],"mmmm")</f>
        <v>September</v>
      </c>
      <c r="E1428" s="9">
        <f>YEAR(Table5[[#This Row],[bill_date]])</f>
        <v>2022</v>
      </c>
      <c r="F1428">
        <v>613</v>
      </c>
      <c r="G1428" t="s">
        <v>29</v>
      </c>
    </row>
    <row r="1429" spans="1:7" x14ac:dyDescent="0.3">
      <c r="A1429">
        <v>31428</v>
      </c>
      <c r="B1429">
        <v>106</v>
      </c>
      <c r="C1429" s="2">
        <v>44956</v>
      </c>
      <c r="D1429" s="2" t="str">
        <f>TEXT(Table5[[#This Row],[bill_date]],"mmmm")</f>
        <v>January</v>
      </c>
      <c r="E1429" s="9">
        <f>YEAR(Table5[[#This Row],[bill_date]])</f>
        <v>2023</v>
      </c>
      <c r="F1429">
        <v>653</v>
      </c>
      <c r="G1429" t="s">
        <v>30</v>
      </c>
    </row>
    <row r="1430" spans="1:7" x14ac:dyDescent="0.3">
      <c r="A1430">
        <v>31429</v>
      </c>
      <c r="B1430">
        <v>70</v>
      </c>
      <c r="C1430" s="2">
        <v>45204</v>
      </c>
      <c r="D1430" s="2" t="str">
        <f>TEXT(Table5[[#This Row],[bill_date]],"mmmm")</f>
        <v>October</v>
      </c>
      <c r="E1430" s="9">
        <f>YEAR(Table5[[#This Row],[bill_date]])</f>
        <v>2023</v>
      </c>
      <c r="F1430">
        <v>1785</v>
      </c>
      <c r="G1430" t="s">
        <v>28</v>
      </c>
    </row>
    <row r="1431" spans="1:7" x14ac:dyDescent="0.3">
      <c r="A1431">
        <v>31430</v>
      </c>
      <c r="B1431">
        <v>10</v>
      </c>
      <c r="C1431" s="2">
        <v>44972</v>
      </c>
      <c r="D1431" s="2" t="str">
        <f>TEXT(Table5[[#This Row],[bill_date]],"mmmm")</f>
        <v>February</v>
      </c>
      <c r="E1431" s="9">
        <f>YEAR(Table5[[#This Row],[bill_date]])</f>
        <v>2023</v>
      </c>
      <c r="F1431">
        <v>709</v>
      </c>
      <c r="G1431" t="s">
        <v>30</v>
      </c>
    </row>
    <row r="1432" spans="1:7" x14ac:dyDescent="0.3">
      <c r="A1432">
        <v>31431</v>
      </c>
      <c r="B1432">
        <v>214</v>
      </c>
      <c r="C1432" s="2">
        <v>45440</v>
      </c>
      <c r="D1432" s="2" t="str">
        <f>TEXT(Table5[[#This Row],[bill_date]],"mmmm")</f>
        <v>May</v>
      </c>
      <c r="E1432" s="9">
        <f>YEAR(Table5[[#This Row],[bill_date]])</f>
        <v>2024</v>
      </c>
      <c r="F1432">
        <v>1397</v>
      </c>
      <c r="G1432" t="s">
        <v>30</v>
      </c>
    </row>
    <row r="1433" spans="1:7" x14ac:dyDescent="0.3">
      <c r="A1433">
        <v>31432</v>
      </c>
      <c r="B1433">
        <v>471</v>
      </c>
      <c r="C1433" s="2">
        <v>44989</v>
      </c>
      <c r="D1433" s="2" t="str">
        <f>TEXT(Table5[[#This Row],[bill_date]],"mmmm")</f>
        <v>March</v>
      </c>
      <c r="E1433" s="9">
        <f>YEAR(Table5[[#This Row],[bill_date]])</f>
        <v>2023</v>
      </c>
      <c r="F1433">
        <v>1133</v>
      </c>
      <c r="G1433" t="s">
        <v>30</v>
      </c>
    </row>
    <row r="1434" spans="1:7" x14ac:dyDescent="0.3">
      <c r="A1434">
        <v>31433</v>
      </c>
      <c r="B1434">
        <v>5</v>
      </c>
      <c r="C1434" s="2">
        <v>45231</v>
      </c>
      <c r="D1434" s="2" t="str">
        <f>TEXT(Table5[[#This Row],[bill_date]],"mmmm")</f>
        <v>November</v>
      </c>
      <c r="E1434" s="9">
        <f>YEAR(Table5[[#This Row],[bill_date]])</f>
        <v>2023</v>
      </c>
      <c r="F1434">
        <v>407</v>
      </c>
      <c r="G1434" t="s">
        <v>30</v>
      </c>
    </row>
    <row r="1435" spans="1:7" x14ac:dyDescent="0.3">
      <c r="A1435">
        <v>31434</v>
      </c>
      <c r="B1435">
        <v>28</v>
      </c>
      <c r="C1435" s="2">
        <v>45289</v>
      </c>
      <c r="D1435" s="2" t="str">
        <f>TEXT(Table5[[#This Row],[bill_date]],"mmmm")</f>
        <v>December</v>
      </c>
      <c r="E1435" s="9">
        <f>YEAR(Table5[[#This Row],[bill_date]])</f>
        <v>2023</v>
      </c>
      <c r="F1435">
        <v>1851</v>
      </c>
      <c r="G1435" t="s">
        <v>30</v>
      </c>
    </row>
    <row r="1436" spans="1:7" x14ac:dyDescent="0.3">
      <c r="A1436">
        <v>31435</v>
      </c>
      <c r="B1436">
        <v>315</v>
      </c>
      <c r="C1436" s="2">
        <v>44887</v>
      </c>
      <c r="D1436" s="2" t="str">
        <f>TEXT(Table5[[#This Row],[bill_date]],"mmmm")</f>
        <v>November</v>
      </c>
      <c r="E1436" s="9">
        <f>YEAR(Table5[[#This Row],[bill_date]])</f>
        <v>2022</v>
      </c>
      <c r="F1436">
        <v>1535</v>
      </c>
      <c r="G1436" t="s">
        <v>30</v>
      </c>
    </row>
    <row r="1437" spans="1:7" x14ac:dyDescent="0.3">
      <c r="A1437">
        <v>31436</v>
      </c>
      <c r="B1437">
        <v>393</v>
      </c>
      <c r="C1437" s="2">
        <v>45107</v>
      </c>
      <c r="D1437" s="2" t="str">
        <f>TEXT(Table5[[#This Row],[bill_date]],"mmmm")</f>
        <v>June</v>
      </c>
      <c r="E1437" s="9">
        <f>YEAR(Table5[[#This Row],[bill_date]])</f>
        <v>2023</v>
      </c>
      <c r="F1437">
        <v>569</v>
      </c>
      <c r="G1437" t="s">
        <v>29</v>
      </c>
    </row>
    <row r="1438" spans="1:7" x14ac:dyDescent="0.3">
      <c r="A1438">
        <v>31437</v>
      </c>
      <c r="B1438">
        <v>423</v>
      </c>
      <c r="C1438" s="2">
        <v>44936</v>
      </c>
      <c r="D1438" s="2" t="str">
        <f>TEXT(Table5[[#This Row],[bill_date]],"mmmm")</f>
        <v>January</v>
      </c>
      <c r="E1438" s="9">
        <f>YEAR(Table5[[#This Row],[bill_date]])</f>
        <v>2023</v>
      </c>
      <c r="F1438">
        <v>1535</v>
      </c>
      <c r="G1438" t="s">
        <v>30</v>
      </c>
    </row>
    <row r="1439" spans="1:7" x14ac:dyDescent="0.3">
      <c r="A1439">
        <v>31438</v>
      </c>
      <c r="B1439">
        <v>241</v>
      </c>
      <c r="C1439" s="2">
        <v>45405</v>
      </c>
      <c r="D1439" s="2" t="str">
        <f>TEXT(Table5[[#This Row],[bill_date]],"mmmm")</f>
        <v>April</v>
      </c>
      <c r="E1439" s="9">
        <f>YEAR(Table5[[#This Row],[bill_date]])</f>
        <v>2024</v>
      </c>
      <c r="F1439">
        <v>1001</v>
      </c>
      <c r="G1439" t="s">
        <v>30</v>
      </c>
    </row>
    <row r="1440" spans="1:7" x14ac:dyDescent="0.3">
      <c r="A1440">
        <v>31439</v>
      </c>
      <c r="B1440">
        <v>236</v>
      </c>
      <c r="C1440" s="2">
        <v>44859</v>
      </c>
      <c r="D1440" s="2" t="str">
        <f>TEXT(Table5[[#This Row],[bill_date]],"mmmm")</f>
        <v>October</v>
      </c>
      <c r="E1440" s="9">
        <f>YEAR(Table5[[#This Row],[bill_date]])</f>
        <v>2022</v>
      </c>
      <c r="F1440">
        <v>1726</v>
      </c>
      <c r="G1440" t="s">
        <v>30</v>
      </c>
    </row>
    <row r="1441" spans="1:7" x14ac:dyDescent="0.3">
      <c r="A1441">
        <v>31440</v>
      </c>
      <c r="B1441">
        <v>92</v>
      </c>
      <c r="C1441" s="2">
        <v>44840</v>
      </c>
      <c r="D1441" s="2" t="str">
        <f>TEXT(Table5[[#This Row],[bill_date]],"mmmm")</f>
        <v>October</v>
      </c>
      <c r="E1441" s="9">
        <f>YEAR(Table5[[#This Row],[bill_date]])</f>
        <v>2022</v>
      </c>
      <c r="F1441">
        <v>284</v>
      </c>
      <c r="G1441" t="s">
        <v>30</v>
      </c>
    </row>
    <row r="1442" spans="1:7" x14ac:dyDescent="0.3">
      <c r="A1442">
        <v>31441</v>
      </c>
      <c r="B1442">
        <v>318</v>
      </c>
      <c r="C1442" s="2">
        <v>44857</v>
      </c>
      <c r="D1442" s="2" t="str">
        <f>TEXT(Table5[[#This Row],[bill_date]],"mmmm")</f>
        <v>October</v>
      </c>
      <c r="E1442" s="9">
        <f>YEAR(Table5[[#This Row],[bill_date]])</f>
        <v>2022</v>
      </c>
      <c r="F1442">
        <v>845</v>
      </c>
      <c r="G1442" t="s">
        <v>30</v>
      </c>
    </row>
    <row r="1443" spans="1:7" x14ac:dyDescent="0.3">
      <c r="A1443">
        <v>31442</v>
      </c>
      <c r="B1443">
        <v>345</v>
      </c>
      <c r="C1443" s="2">
        <v>45088</v>
      </c>
      <c r="D1443" s="2" t="str">
        <f>TEXT(Table5[[#This Row],[bill_date]],"mmmm")</f>
        <v>June</v>
      </c>
      <c r="E1443" s="9">
        <f>YEAR(Table5[[#This Row],[bill_date]])</f>
        <v>2023</v>
      </c>
      <c r="F1443">
        <v>1019</v>
      </c>
      <c r="G1443" t="s">
        <v>30</v>
      </c>
    </row>
    <row r="1444" spans="1:7" x14ac:dyDescent="0.3">
      <c r="A1444">
        <v>31443</v>
      </c>
      <c r="B1444">
        <v>363</v>
      </c>
      <c r="C1444" s="2">
        <v>44676</v>
      </c>
      <c r="D1444" s="2" t="str">
        <f>TEXT(Table5[[#This Row],[bill_date]],"mmmm")</f>
        <v>April</v>
      </c>
      <c r="E1444" s="9">
        <f>YEAR(Table5[[#This Row],[bill_date]])</f>
        <v>2022</v>
      </c>
      <c r="F1444">
        <v>1488</v>
      </c>
      <c r="G1444" t="s">
        <v>28</v>
      </c>
    </row>
    <row r="1445" spans="1:7" x14ac:dyDescent="0.3">
      <c r="A1445">
        <v>31444</v>
      </c>
      <c r="B1445">
        <v>38</v>
      </c>
      <c r="C1445" s="2">
        <v>45054</v>
      </c>
      <c r="D1445" s="2" t="str">
        <f>TEXT(Table5[[#This Row],[bill_date]],"mmmm")</f>
        <v>May</v>
      </c>
      <c r="E1445" s="9">
        <f>YEAR(Table5[[#This Row],[bill_date]])</f>
        <v>2023</v>
      </c>
      <c r="F1445">
        <v>1442</v>
      </c>
      <c r="G1445" t="s">
        <v>30</v>
      </c>
    </row>
    <row r="1446" spans="1:7" x14ac:dyDescent="0.3">
      <c r="A1446">
        <v>31445</v>
      </c>
      <c r="B1446">
        <v>219</v>
      </c>
      <c r="C1446" s="2">
        <v>44618</v>
      </c>
      <c r="D1446" s="2" t="str">
        <f>TEXT(Table5[[#This Row],[bill_date]],"mmmm")</f>
        <v>February</v>
      </c>
      <c r="E1446" s="9">
        <f>YEAR(Table5[[#This Row],[bill_date]])</f>
        <v>2022</v>
      </c>
      <c r="F1446">
        <v>493</v>
      </c>
      <c r="G1446" t="s">
        <v>30</v>
      </c>
    </row>
    <row r="1447" spans="1:7" x14ac:dyDescent="0.3">
      <c r="A1447">
        <v>31446</v>
      </c>
      <c r="B1447">
        <v>152</v>
      </c>
      <c r="C1447" s="2">
        <v>45440</v>
      </c>
      <c r="D1447" s="2" t="str">
        <f>TEXT(Table5[[#This Row],[bill_date]],"mmmm")</f>
        <v>May</v>
      </c>
      <c r="E1447" s="9">
        <f>YEAR(Table5[[#This Row],[bill_date]])</f>
        <v>2024</v>
      </c>
      <c r="F1447">
        <v>1920</v>
      </c>
      <c r="G1447" t="s">
        <v>30</v>
      </c>
    </row>
    <row r="1448" spans="1:7" x14ac:dyDescent="0.3">
      <c r="A1448">
        <v>31447</v>
      </c>
      <c r="B1448">
        <v>192</v>
      </c>
      <c r="C1448" s="2">
        <v>44703</v>
      </c>
      <c r="D1448" s="2" t="str">
        <f>TEXT(Table5[[#This Row],[bill_date]],"mmmm")</f>
        <v>May</v>
      </c>
      <c r="E1448" s="9">
        <f>YEAR(Table5[[#This Row],[bill_date]])</f>
        <v>2022</v>
      </c>
      <c r="F1448">
        <v>704</v>
      </c>
      <c r="G1448" t="s">
        <v>30</v>
      </c>
    </row>
    <row r="1449" spans="1:7" x14ac:dyDescent="0.3">
      <c r="A1449">
        <v>31448</v>
      </c>
      <c r="B1449">
        <v>121</v>
      </c>
      <c r="C1449" s="2">
        <v>45280</v>
      </c>
      <c r="D1449" s="2" t="str">
        <f>TEXT(Table5[[#This Row],[bill_date]],"mmmm")</f>
        <v>December</v>
      </c>
      <c r="E1449" s="9">
        <f>YEAR(Table5[[#This Row],[bill_date]])</f>
        <v>2023</v>
      </c>
      <c r="F1449">
        <v>1385</v>
      </c>
      <c r="G1449" t="s">
        <v>30</v>
      </c>
    </row>
    <row r="1450" spans="1:7" x14ac:dyDescent="0.3">
      <c r="A1450">
        <v>31449</v>
      </c>
      <c r="B1450">
        <v>491</v>
      </c>
      <c r="C1450" s="2">
        <v>45213</v>
      </c>
      <c r="D1450" s="2" t="str">
        <f>TEXT(Table5[[#This Row],[bill_date]],"mmmm")</f>
        <v>October</v>
      </c>
      <c r="E1450" s="9">
        <f>YEAR(Table5[[#This Row],[bill_date]])</f>
        <v>2023</v>
      </c>
      <c r="F1450">
        <v>1349</v>
      </c>
      <c r="G1450" t="s">
        <v>28</v>
      </c>
    </row>
    <row r="1451" spans="1:7" x14ac:dyDescent="0.3">
      <c r="A1451">
        <v>31450</v>
      </c>
      <c r="B1451">
        <v>171</v>
      </c>
      <c r="C1451" s="2">
        <v>45180</v>
      </c>
      <c r="D1451" s="2" t="str">
        <f>TEXT(Table5[[#This Row],[bill_date]],"mmmm")</f>
        <v>September</v>
      </c>
      <c r="E1451" s="9">
        <f>YEAR(Table5[[#This Row],[bill_date]])</f>
        <v>2023</v>
      </c>
      <c r="F1451">
        <v>1025</v>
      </c>
      <c r="G1451" t="s">
        <v>30</v>
      </c>
    </row>
    <row r="1452" spans="1:7" x14ac:dyDescent="0.3">
      <c r="A1452">
        <v>31451</v>
      </c>
      <c r="B1452">
        <v>110</v>
      </c>
      <c r="C1452" s="2">
        <v>45446</v>
      </c>
      <c r="D1452" s="2" t="str">
        <f>TEXT(Table5[[#This Row],[bill_date]],"mmmm")</f>
        <v>June</v>
      </c>
      <c r="E1452" s="9">
        <f>YEAR(Table5[[#This Row],[bill_date]])</f>
        <v>2024</v>
      </c>
      <c r="F1452">
        <v>315</v>
      </c>
      <c r="G1452" t="s">
        <v>30</v>
      </c>
    </row>
    <row r="1453" spans="1:7" x14ac:dyDescent="0.3">
      <c r="A1453">
        <v>31452</v>
      </c>
      <c r="B1453">
        <v>144</v>
      </c>
      <c r="C1453" s="2">
        <v>45364</v>
      </c>
      <c r="D1453" s="2" t="str">
        <f>TEXT(Table5[[#This Row],[bill_date]],"mmmm")</f>
        <v>March</v>
      </c>
      <c r="E1453" s="9">
        <f>YEAR(Table5[[#This Row],[bill_date]])</f>
        <v>2024</v>
      </c>
      <c r="F1453">
        <v>1628</v>
      </c>
      <c r="G1453" t="s">
        <v>30</v>
      </c>
    </row>
    <row r="1454" spans="1:7" x14ac:dyDescent="0.3">
      <c r="A1454">
        <v>31453</v>
      </c>
      <c r="B1454">
        <v>66</v>
      </c>
      <c r="C1454" s="2">
        <v>44970</v>
      </c>
      <c r="D1454" s="2" t="str">
        <f>TEXT(Table5[[#This Row],[bill_date]],"mmmm")</f>
        <v>February</v>
      </c>
      <c r="E1454" s="9">
        <f>YEAR(Table5[[#This Row],[bill_date]])</f>
        <v>2023</v>
      </c>
      <c r="F1454">
        <v>847</v>
      </c>
      <c r="G1454" t="s">
        <v>30</v>
      </c>
    </row>
    <row r="1455" spans="1:7" x14ac:dyDescent="0.3">
      <c r="A1455">
        <v>31454</v>
      </c>
      <c r="B1455">
        <v>322</v>
      </c>
      <c r="C1455" s="2">
        <v>44639</v>
      </c>
      <c r="D1455" s="2" t="str">
        <f>TEXT(Table5[[#This Row],[bill_date]],"mmmm")</f>
        <v>March</v>
      </c>
      <c r="E1455" s="9">
        <f>YEAR(Table5[[#This Row],[bill_date]])</f>
        <v>2022</v>
      </c>
      <c r="F1455">
        <v>1990</v>
      </c>
      <c r="G1455" t="s">
        <v>28</v>
      </c>
    </row>
    <row r="1456" spans="1:7" x14ac:dyDescent="0.3">
      <c r="A1456">
        <v>31455</v>
      </c>
      <c r="B1456">
        <v>197</v>
      </c>
      <c r="C1456" s="2">
        <v>44563</v>
      </c>
      <c r="D1456" s="2" t="str">
        <f>TEXT(Table5[[#This Row],[bill_date]],"mmmm")</f>
        <v>January</v>
      </c>
      <c r="E1456" s="9">
        <f>YEAR(Table5[[#This Row],[bill_date]])</f>
        <v>2022</v>
      </c>
      <c r="F1456">
        <v>554</v>
      </c>
      <c r="G1456" t="s">
        <v>28</v>
      </c>
    </row>
    <row r="1457" spans="1:7" x14ac:dyDescent="0.3">
      <c r="A1457">
        <v>31456</v>
      </c>
      <c r="B1457">
        <v>46</v>
      </c>
      <c r="C1457" s="2">
        <v>45347</v>
      </c>
      <c r="D1457" s="2" t="str">
        <f>TEXT(Table5[[#This Row],[bill_date]],"mmmm")</f>
        <v>February</v>
      </c>
      <c r="E1457" s="9">
        <f>YEAR(Table5[[#This Row],[bill_date]])</f>
        <v>2024</v>
      </c>
      <c r="F1457">
        <v>974</v>
      </c>
      <c r="G1457" t="s">
        <v>30</v>
      </c>
    </row>
    <row r="1458" spans="1:7" x14ac:dyDescent="0.3">
      <c r="A1458">
        <v>31457</v>
      </c>
      <c r="B1458">
        <v>149</v>
      </c>
      <c r="C1458" s="2">
        <v>44596</v>
      </c>
      <c r="D1458" s="2" t="str">
        <f>TEXT(Table5[[#This Row],[bill_date]],"mmmm")</f>
        <v>February</v>
      </c>
      <c r="E1458" s="9">
        <f>YEAR(Table5[[#This Row],[bill_date]])</f>
        <v>2022</v>
      </c>
      <c r="F1458">
        <v>1221</v>
      </c>
      <c r="G1458" t="s">
        <v>30</v>
      </c>
    </row>
    <row r="1459" spans="1:7" x14ac:dyDescent="0.3">
      <c r="A1459">
        <v>31458</v>
      </c>
      <c r="B1459">
        <v>60</v>
      </c>
      <c r="C1459" s="2">
        <v>45338</v>
      </c>
      <c r="D1459" s="2" t="str">
        <f>TEXT(Table5[[#This Row],[bill_date]],"mmmm")</f>
        <v>February</v>
      </c>
      <c r="E1459" s="9">
        <f>YEAR(Table5[[#This Row],[bill_date]])</f>
        <v>2024</v>
      </c>
      <c r="F1459">
        <v>1444</v>
      </c>
      <c r="G1459" t="s">
        <v>30</v>
      </c>
    </row>
    <row r="1460" spans="1:7" x14ac:dyDescent="0.3">
      <c r="A1460">
        <v>31459</v>
      </c>
      <c r="B1460">
        <v>138</v>
      </c>
      <c r="C1460" s="2">
        <v>44956</v>
      </c>
      <c r="D1460" s="2" t="str">
        <f>TEXT(Table5[[#This Row],[bill_date]],"mmmm")</f>
        <v>January</v>
      </c>
      <c r="E1460" s="9">
        <f>YEAR(Table5[[#This Row],[bill_date]])</f>
        <v>2023</v>
      </c>
      <c r="F1460">
        <v>1598</v>
      </c>
      <c r="G1460" t="s">
        <v>30</v>
      </c>
    </row>
    <row r="1461" spans="1:7" x14ac:dyDescent="0.3">
      <c r="A1461">
        <v>31460</v>
      </c>
      <c r="B1461">
        <v>490</v>
      </c>
      <c r="C1461" s="2">
        <v>44779</v>
      </c>
      <c r="D1461" s="2" t="str">
        <f>TEXT(Table5[[#This Row],[bill_date]],"mmmm")</f>
        <v>August</v>
      </c>
      <c r="E1461" s="9">
        <f>YEAR(Table5[[#This Row],[bill_date]])</f>
        <v>2022</v>
      </c>
      <c r="F1461">
        <v>1536</v>
      </c>
      <c r="G1461" t="s">
        <v>28</v>
      </c>
    </row>
    <row r="1462" spans="1:7" x14ac:dyDescent="0.3">
      <c r="A1462">
        <v>31461</v>
      </c>
      <c r="B1462">
        <v>402</v>
      </c>
      <c r="C1462" s="2">
        <v>44628</v>
      </c>
      <c r="D1462" s="2" t="str">
        <f>TEXT(Table5[[#This Row],[bill_date]],"mmmm")</f>
        <v>March</v>
      </c>
      <c r="E1462" s="9">
        <f>YEAR(Table5[[#This Row],[bill_date]])</f>
        <v>2022</v>
      </c>
      <c r="F1462">
        <v>1372</v>
      </c>
      <c r="G1462" t="s">
        <v>30</v>
      </c>
    </row>
    <row r="1463" spans="1:7" x14ac:dyDescent="0.3">
      <c r="A1463">
        <v>31462</v>
      </c>
      <c r="B1463">
        <v>90</v>
      </c>
      <c r="C1463" s="2">
        <v>44630</v>
      </c>
      <c r="D1463" s="2" t="str">
        <f>TEXT(Table5[[#This Row],[bill_date]],"mmmm")</f>
        <v>March</v>
      </c>
      <c r="E1463" s="9">
        <f>YEAR(Table5[[#This Row],[bill_date]])</f>
        <v>2022</v>
      </c>
      <c r="F1463">
        <v>434</v>
      </c>
      <c r="G1463" t="s">
        <v>30</v>
      </c>
    </row>
    <row r="1464" spans="1:7" x14ac:dyDescent="0.3">
      <c r="A1464">
        <v>31463</v>
      </c>
      <c r="B1464">
        <v>212</v>
      </c>
      <c r="C1464" s="2">
        <v>44785</v>
      </c>
      <c r="D1464" s="2" t="str">
        <f>TEXT(Table5[[#This Row],[bill_date]],"mmmm")</f>
        <v>August</v>
      </c>
      <c r="E1464" s="9">
        <f>YEAR(Table5[[#This Row],[bill_date]])</f>
        <v>2022</v>
      </c>
      <c r="F1464">
        <v>1390</v>
      </c>
      <c r="G1464" t="s">
        <v>30</v>
      </c>
    </row>
    <row r="1465" spans="1:7" x14ac:dyDescent="0.3">
      <c r="A1465">
        <v>31464</v>
      </c>
      <c r="B1465">
        <v>169</v>
      </c>
      <c r="C1465" s="2">
        <v>44922</v>
      </c>
      <c r="D1465" s="2" t="str">
        <f>TEXT(Table5[[#This Row],[bill_date]],"mmmm")</f>
        <v>December</v>
      </c>
      <c r="E1465" s="9">
        <f>YEAR(Table5[[#This Row],[bill_date]])</f>
        <v>2022</v>
      </c>
      <c r="F1465">
        <v>1717</v>
      </c>
      <c r="G1465" t="s">
        <v>28</v>
      </c>
    </row>
    <row r="1466" spans="1:7" x14ac:dyDescent="0.3">
      <c r="A1466">
        <v>31465</v>
      </c>
      <c r="B1466">
        <v>420</v>
      </c>
      <c r="C1466" s="2">
        <v>45019</v>
      </c>
      <c r="D1466" s="2" t="str">
        <f>TEXT(Table5[[#This Row],[bill_date]],"mmmm")</f>
        <v>April</v>
      </c>
      <c r="E1466" s="9">
        <f>YEAR(Table5[[#This Row],[bill_date]])</f>
        <v>2023</v>
      </c>
      <c r="F1466">
        <v>1634</v>
      </c>
      <c r="G1466" t="s">
        <v>30</v>
      </c>
    </row>
    <row r="1467" spans="1:7" x14ac:dyDescent="0.3">
      <c r="A1467">
        <v>31466</v>
      </c>
      <c r="B1467">
        <v>113</v>
      </c>
      <c r="C1467" s="2">
        <v>44855</v>
      </c>
      <c r="D1467" s="2" t="str">
        <f>TEXT(Table5[[#This Row],[bill_date]],"mmmm")</f>
        <v>October</v>
      </c>
      <c r="E1467" s="9">
        <f>YEAR(Table5[[#This Row],[bill_date]])</f>
        <v>2022</v>
      </c>
      <c r="F1467">
        <v>1140</v>
      </c>
      <c r="G1467" t="s">
        <v>30</v>
      </c>
    </row>
    <row r="1468" spans="1:7" x14ac:dyDescent="0.3">
      <c r="A1468">
        <v>31467</v>
      </c>
      <c r="B1468">
        <v>341</v>
      </c>
      <c r="C1468" s="2">
        <v>44887</v>
      </c>
      <c r="D1468" s="2" t="str">
        <f>TEXT(Table5[[#This Row],[bill_date]],"mmmm")</f>
        <v>November</v>
      </c>
      <c r="E1468" s="9">
        <f>YEAR(Table5[[#This Row],[bill_date]])</f>
        <v>2022</v>
      </c>
      <c r="F1468">
        <v>267</v>
      </c>
      <c r="G1468" t="s">
        <v>30</v>
      </c>
    </row>
    <row r="1469" spans="1:7" x14ac:dyDescent="0.3">
      <c r="A1469">
        <v>31468</v>
      </c>
      <c r="B1469">
        <v>66</v>
      </c>
      <c r="C1469" s="2">
        <v>44764</v>
      </c>
      <c r="D1469" s="2" t="str">
        <f>TEXT(Table5[[#This Row],[bill_date]],"mmmm")</f>
        <v>July</v>
      </c>
      <c r="E1469" s="9">
        <f>YEAR(Table5[[#This Row],[bill_date]])</f>
        <v>2022</v>
      </c>
      <c r="F1469">
        <v>1943</v>
      </c>
      <c r="G1469" t="s">
        <v>30</v>
      </c>
    </row>
    <row r="1470" spans="1:7" x14ac:dyDescent="0.3">
      <c r="A1470">
        <v>31469</v>
      </c>
      <c r="B1470">
        <v>302</v>
      </c>
      <c r="C1470" s="2">
        <v>45154</v>
      </c>
      <c r="D1470" s="2" t="str">
        <f>TEXT(Table5[[#This Row],[bill_date]],"mmmm")</f>
        <v>August</v>
      </c>
      <c r="E1470" s="9">
        <f>YEAR(Table5[[#This Row],[bill_date]])</f>
        <v>2023</v>
      </c>
      <c r="F1470">
        <v>1786</v>
      </c>
      <c r="G1470" t="s">
        <v>30</v>
      </c>
    </row>
    <row r="1471" spans="1:7" x14ac:dyDescent="0.3">
      <c r="A1471">
        <v>31470</v>
      </c>
      <c r="B1471">
        <v>118</v>
      </c>
      <c r="C1471" s="2">
        <v>45139</v>
      </c>
      <c r="D1471" s="2" t="str">
        <f>TEXT(Table5[[#This Row],[bill_date]],"mmmm")</f>
        <v>August</v>
      </c>
      <c r="E1471" s="9">
        <f>YEAR(Table5[[#This Row],[bill_date]])</f>
        <v>2023</v>
      </c>
      <c r="F1471">
        <v>465</v>
      </c>
      <c r="G1471" t="s">
        <v>30</v>
      </c>
    </row>
    <row r="1472" spans="1:7" x14ac:dyDescent="0.3">
      <c r="A1472">
        <v>31471</v>
      </c>
      <c r="B1472">
        <v>225</v>
      </c>
      <c r="C1472" s="2">
        <v>44858</v>
      </c>
      <c r="D1472" s="2" t="str">
        <f>TEXT(Table5[[#This Row],[bill_date]],"mmmm")</f>
        <v>October</v>
      </c>
      <c r="E1472" s="9">
        <f>YEAR(Table5[[#This Row],[bill_date]])</f>
        <v>2022</v>
      </c>
      <c r="F1472">
        <v>1372</v>
      </c>
      <c r="G1472" t="s">
        <v>29</v>
      </c>
    </row>
    <row r="1473" spans="1:7" x14ac:dyDescent="0.3">
      <c r="A1473">
        <v>31472</v>
      </c>
      <c r="B1473">
        <v>151</v>
      </c>
      <c r="C1473" s="2">
        <v>45353</v>
      </c>
      <c r="D1473" s="2" t="str">
        <f>TEXT(Table5[[#This Row],[bill_date]],"mmmm")</f>
        <v>March</v>
      </c>
      <c r="E1473" s="9">
        <f>YEAR(Table5[[#This Row],[bill_date]])</f>
        <v>2024</v>
      </c>
      <c r="F1473">
        <v>1013</v>
      </c>
      <c r="G1473" t="s">
        <v>30</v>
      </c>
    </row>
    <row r="1474" spans="1:7" x14ac:dyDescent="0.3">
      <c r="A1474">
        <v>31473</v>
      </c>
      <c r="B1474">
        <v>167</v>
      </c>
      <c r="C1474" s="2">
        <v>44822</v>
      </c>
      <c r="D1474" s="2" t="str">
        <f>TEXT(Table5[[#This Row],[bill_date]],"mmmm")</f>
        <v>September</v>
      </c>
      <c r="E1474" s="9">
        <f>YEAR(Table5[[#This Row],[bill_date]])</f>
        <v>2022</v>
      </c>
      <c r="F1474">
        <v>1747</v>
      </c>
      <c r="G1474" t="s">
        <v>30</v>
      </c>
    </row>
    <row r="1475" spans="1:7" x14ac:dyDescent="0.3">
      <c r="A1475">
        <v>31474</v>
      </c>
      <c r="B1475">
        <v>95</v>
      </c>
      <c r="C1475" s="2">
        <v>45350</v>
      </c>
      <c r="D1475" s="2" t="str">
        <f>TEXT(Table5[[#This Row],[bill_date]],"mmmm")</f>
        <v>February</v>
      </c>
      <c r="E1475" s="9">
        <f>YEAR(Table5[[#This Row],[bill_date]])</f>
        <v>2024</v>
      </c>
      <c r="F1475">
        <v>580</v>
      </c>
      <c r="G1475" t="s">
        <v>28</v>
      </c>
    </row>
    <row r="1476" spans="1:7" x14ac:dyDescent="0.3">
      <c r="A1476">
        <v>31475</v>
      </c>
      <c r="B1476">
        <v>260</v>
      </c>
      <c r="C1476" s="2">
        <v>45079</v>
      </c>
      <c r="D1476" s="2" t="str">
        <f>TEXT(Table5[[#This Row],[bill_date]],"mmmm")</f>
        <v>June</v>
      </c>
      <c r="E1476" s="9">
        <f>YEAR(Table5[[#This Row],[bill_date]])</f>
        <v>2023</v>
      </c>
      <c r="F1476">
        <v>1834</v>
      </c>
      <c r="G1476" t="s">
        <v>28</v>
      </c>
    </row>
    <row r="1477" spans="1:7" x14ac:dyDescent="0.3">
      <c r="A1477">
        <v>31476</v>
      </c>
      <c r="B1477">
        <v>425</v>
      </c>
      <c r="C1477" s="2">
        <v>44693</v>
      </c>
      <c r="D1477" s="2" t="str">
        <f>TEXT(Table5[[#This Row],[bill_date]],"mmmm")</f>
        <v>May</v>
      </c>
      <c r="E1477" s="9">
        <f>YEAR(Table5[[#This Row],[bill_date]])</f>
        <v>2022</v>
      </c>
      <c r="F1477">
        <v>572</v>
      </c>
      <c r="G1477" t="s">
        <v>30</v>
      </c>
    </row>
    <row r="1478" spans="1:7" x14ac:dyDescent="0.3">
      <c r="A1478">
        <v>31477</v>
      </c>
      <c r="B1478">
        <v>259</v>
      </c>
      <c r="C1478" s="2">
        <v>45338</v>
      </c>
      <c r="D1478" s="2" t="str">
        <f>TEXT(Table5[[#This Row],[bill_date]],"mmmm")</f>
        <v>February</v>
      </c>
      <c r="E1478" s="9">
        <f>YEAR(Table5[[#This Row],[bill_date]])</f>
        <v>2024</v>
      </c>
      <c r="F1478">
        <v>883</v>
      </c>
      <c r="G1478" t="s">
        <v>30</v>
      </c>
    </row>
    <row r="1479" spans="1:7" x14ac:dyDescent="0.3">
      <c r="A1479">
        <v>31478</v>
      </c>
      <c r="B1479">
        <v>485</v>
      </c>
      <c r="C1479" s="2">
        <v>44886</v>
      </c>
      <c r="D1479" s="2" t="str">
        <f>TEXT(Table5[[#This Row],[bill_date]],"mmmm")</f>
        <v>November</v>
      </c>
      <c r="E1479" s="9">
        <f>YEAR(Table5[[#This Row],[bill_date]])</f>
        <v>2022</v>
      </c>
      <c r="F1479">
        <v>704</v>
      </c>
      <c r="G1479" t="s">
        <v>28</v>
      </c>
    </row>
    <row r="1480" spans="1:7" x14ac:dyDescent="0.3">
      <c r="A1480">
        <v>31479</v>
      </c>
      <c r="B1480">
        <v>437</v>
      </c>
      <c r="C1480" s="2">
        <v>44629</v>
      </c>
      <c r="D1480" s="2" t="str">
        <f>TEXT(Table5[[#This Row],[bill_date]],"mmmm")</f>
        <v>March</v>
      </c>
      <c r="E1480" s="9">
        <f>YEAR(Table5[[#This Row],[bill_date]])</f>
        <v>2022</v>
      </c>
      <c r="F1480">
        <v>435</v>
      </c>
      <c r="G1480" t="s">
        <v>30</v>
      </c>
    </row>
    <row r="1481" spans="1:7" x14ac:dyDescent="0.3">
      <c r="A1481">
        <v>31480</v>
      </c>
      <c r="B1481">
        <v>120</v>
      </c>
      <c r="C1481" s="2">
        <v>44687</v>
      </c>
      <c r="D1481" s="2" t="str">
        <f>TEXT(Table5[[#This Row],[bill_date]],"mmmm")</f>
        <v>May</v>
      </c>
      <c r="E1481" s="9">
        <f>YEAR(Table5[[#This Row],[bill_date]])</f>
        <v>2022</v>
      </c>
      <c r="F1481">
        <v>1809</v>
      </c>
      <c r="G1481" t="s">
        <v>30</v>
      </c>
    </row>
    <row r="1482" spans="1:7" x14ac:dyDescent="0.3">
      <c r="A1482">
        <v>31481</v>
      </c>
      <c r="B1482">
        <v>74</v>
      </c>
      <c r="C1482" s="2">
        <v>44954</v>
      </c>
      <c r="D1482" s="2" t="str">
        <f>TEXT(Table5[[#This Row],[bill_date]],"mmmm")</f>
        <v>January</v>
      </c>
      <c r="E1482" s="9">
        <f>YEAR(Table5[[#This Row],[bill_date]])</f>
        <v>2023</v>
      </c>
      <c r="F1482">
        <v>523</v>
      </c>
      <c r="G1482" t="s">
        <v>30</v>
      </c>
    </row>
    <row r="1483" spans="1:7" x14ac:dyDescent="0.3">
      <c r="A1483">
        <v>31482</v>
      </c>
      <c r="B1483">
        <v>362</v>
      </c>
      <c r="C1483" s="2">
        <v>44963</v>
      </c>
      <c r="D1483" s="2" t="str">
        <f>TEXT(Table5[[#This Row],[bill_date]],"mmmm")</f>
        <v>February</v>
      </c>
      <c r="E1483" s="9">
        <f>YEAR(Table5[[#This Row],[bill_date]])</f>
        <v>2023</v>
      </c>
      <c r="F1483">
        <v>1472</v>
      </c>
      <c r="G1483" t="s">
        <v>30</v>
      </c>
    </row>
    <row r="1484" spans="1:7" x14ac:dyDescent="0.3">
      <c r="A1484">
        <v>31483</v>
      </c>
      <c r="B1484">
        <v>96</v>
      </c>
      <c r="C1484" s="2">
        <v>45388</v>
      </c>
      <c r="D1484" s="2" t="str">
        <f>TEXT(Table5[[#This Row],[bill_date]],"mmmm")</f>
        <v>April</v>
      </c>
      <c r="E1484" s="9">
        <f>YEAR(Table5[[#This Row],[bill_date]])</f>
        <v>2024</v>
      </c>
      <c r="F1484">
        <v>788</v>
      </c>
      <c r="G1484" t="s">
        <v>30</v>
      </c>
    </row>
    <row r="1485" spans="1:7" x14ac:dyDescent="0.3">
      <c r="A1485">
        <v>31484</v>
      </c>
      <c r="B1485">
        <v>292</v>
      </c>
      <c r="C1485" s="2">
        <v>45244</v>
      </c>
      <c r="D1485" s="2" t="str">
        <f>TEXT(Table5[[#This Row],[bill_date]],"mmmm")</f>
        <v>November</v>
      </c>
      <c r="E1485" s="9">
        <f>YEAR(Table5[[#This Row],[bill_date]])</f>
        <v>2023</v>
      </c>
      <c r="F1485">
        <v>988</v>
      </c>
      <c r="G1485" t="s">
        <v>30</v>
      </c>
    </row>
    <row r="1486" spans="1:7" x14ac:dyDescent="0.3">
      <c r="A1486">
        <v>31485</v>
      </c>
      <c r="B1486">
        <v>177</v>
      </c>
      <c r="C1486" s="2">
        <v>44897</v>
      </c>
      <c r="D1486" s="2" t="str">
        <f>TEXT(Table5[[#This Row],[bill_date]],"mmmm")</f>
        <v>December</v>
      </c>
      <c r="E1486" s="9">
        <f>YEAR(Table5[[#This Row],[bill_date]])</f>
        <v>2022</v>
      </c>
      <c r="F1486">
        <v>1673</v>
      </c>
      <c r="G1486" t="s">
        <v>28</v>
      </c>
    </row>
    <row r="1487" spans="1:7" x14ac:dyDescent="0.3">
      <c r="A1487">
        <v>31486</v>
      </c>
      <c r="B1487">
        <v>27</v>
      </c>
      <c r="C1487" s="2">
        <v>44590</v>
      </c>
      <c r="D1487" s="2" t="str">
        <f>TEXT(Table5[[#This Row],[bill_date]],"mmmm")</f>
        <v>January</v>
      </c>
      <c r="E1487" s="9">
        <f>YEAR(Table5[[#This Row],[bill_date]])</f>
        <v>2022</v>
      </c>
      <c r="F1487">
        <v>952</v>
      </c>
      <c r="G1487" t="s">
        <v>30</v>
      </c>
    </row>
    <row r="1488" spans="1:7" x14ac:dyDescent="0.3">
      <c r="A1488">
        <v>31487</v>
      </c>
      <c r="B1488">
        <v>309</v>
      </c>
      <c r="C1488" s="2">
        <v>45249</v>
      </c>
      <c r="D1488" s="2" t="str">
        <f>TEXT(Table5[[#This Row],[bill_date]],"mmmm")</f>
        <v>November</v>
      </c>
      <c r="E1488" s="9">
        <f>YEAR(Table5[[#This Row],[bill_date]])</f>
        <v>2023</v>
      </c>
      <c r="F1488">
        <v>1644</v>
      </c>
      <c r="G1488" t="s">
        <v>30</v>
      </c>
    </row>
    <row r="1489" spans="1:7" x14ac:dyDescent="0.3">
      <c r="A1489">
        <v>31488</v>
      </c>
      <c r="B1489">
        <v>305</v>
      </c>
      <c r="C1489" s="2">
        <v>45380</v>
      </c>
      <c r="D1489" s="2" t="str">
        <f>TEXT(Table5[[#This Row],[bill_date]],"mmmm")</f>
        <v>March</v>
      </c>
      <c r="E1489" s="9">
        <f>YEAR(Table5[[#This Row],[bill_date]])</f>
        <v>2024</v>
      </c>
      <c r="F1489">
        <v>1438</v>
      </c>
      <c r="G1489" t="s">
        <v>30</v>
      </c>
    </row>
    <row r="1490" spans="1:7" x14ac:dyDescent="0.3">
      <c r="A1490">
        <v>31489</v>
      </c>
      <c r="B1490">
        <v>211</v>
      </c>
      <c r="C1490" s="2">
        <v>45365</v>
      </c>
      <c r="D1490" s="2" t="str">
        <f>TEXT(Table5[[#This Row],[bill_date]],"mmmm")</f>
        <v>March</v>
      </c>
      <c r="E1490" s="9">
        <f>YEAR(Table5[[#This Row],[bill_date]])</f>
        <v>2024</v>
      </c>
      <c r="F1490">
        <v>930</v>
      </c>
      <c r="G1490" t="s">
        <v>30</v>
      </c>
    </row>
    <row r="1491" spans="1:7" x14ac:dyDescent="0.3">
      <c r="A1491">
        <v>31490</v>
      </c>
      <c r="B1491">
        <v>358</v>
      </c>
      <c r="C1491" s="2">
        <v>45405</v>
      </c>
      <c r="D1491" s="2" t="str">
        <f>TEXT(Table5[[#This Row],[bill_date]],"mmmm")</f>
        <v>April</v>
      </c>
      <c r="E1491" s="9">
        <f>YEAR(Table5[[#This Row],[bill_date]])</f>
        <v>2024</v>
      </c>
      <c r="F1491">
        <v>219</v>
      </c>
      <c r="G1491" t="s">
        <v>30</v>
      </c>
    </row>
    <row r="1492" spans="1:7" x14ac:dyDescent="0.3">
      <c r="A1492">
        <v>31491</v>
      </c>
      <c r="B1492">
        <v>257</v>
      </c>
      <c r="C1492" s="2">
        <v>45178</v>
      </c>
      <c r="D1492" s="2" t="str">
        <f>TEXT(Table5[[#This Row],[bill_date]],"mmmm")</f>
        <v>September</v>
      </c>
      <c r="E1492" s="9">
        <f>YEAR(Table5[[#This Row],[bill_date]])</f>
        <v>2023</v>
      </c>
      <c r="F1492">
        <v>503</v>
      </c>
      <c r="G1492" t="s">
        <v>30</v>
      </c>
    </row>
    <row r="1493" spans="1:7" x14ac:dyDescent="0.3">
      <c r="A1493">
        <v>31492</v>
      </c>
      <c r="B1493">
        <v>474</v>
      </c>
      <c r="C1493" s="2">
        <v>44606</v>
      </c>
      <c r="D1493" s="2" t="str">
        <f>TEXT(Table5[[#This Row],[bill_date]],"mmmm")</f>
        <v>February</v>
      </c>
      <c r="E1493" s="9">
        <f>YEAR(Table5[[#This Row],[bill_date]])</f>
        <v>2022</v>
      </c>
      <c r="F1493">
        <v>1575</v>
      </c>
      <c r="G1493" t="s">
        <v>30</v>
      </c>
    </row>
    <row r="1494" spans="1:7" x14ac:dyDescent="0.3">
      <c r="A1494">
        <v>31493</v>
      </c>
      <c r="B1494">
        <v>430</v>
      </c>
      <c r="C1494" s="2">
        <v>44662</v>
      </c>
      <c r="D1494" s="2" t="str">
        <f>TEXT(Table5[[#This Row],[bill_date]],"mmmm")</f>
        <v>April</v>
      </c>
      <c r="E1494" s="9">
        <f>YEAR(Table5[[#This Row],[bill_date]])</f>
        <v>2022</v>
      </c>
      <c r="F1494">
        <v>802</v>
      </c>
      <c r="G1494" t="s">
        <v>30</v>
      </c>
    </row>
    <row r="1495" spans="1:7" x14ac:dyDescent="0.3">
      <c r="A1495">
        <v>31494</v>
      </c>
      <c r="B1495">
        <v>318</v>
      </c>
      <c r="C1495" s="2">
        <v>44787</v>
      </c>
      <c r="D1495" s="2" t="str">
        <f>TEXT(Table5[[#This Row],[bill_date]],"mmmm")</f>
        <v>August</v>
      </c>
      <c r="E1495" s="9">
        <f>YEAR(Table5[[#This Row],[bill_date]])</f>
        <v>2022</v>
      </c>
      <c r="F1495">
        <v>1005</v>
      </c>
      <c r="G1495" t="s">
        <v>30</v>
      </c>
    </row>
    <row r="1496" spans="1:7" x14ac:dyDescent="0.3">
      <c r="A1496">
        <v>31495</v>
      </c>
      <c r="B1496">
        <v>205</v>
      </c>
      <c r="C1496" s="2">
        <v>44980</v>
      </c>
      <c r="D1496" s="2" t="str">
        <f>TEXT(Table5[[#This Row],[bill_date]],"mmmm")</f>
        <v>February</v>
      </c>
      <c r="E1496" s="9">
        <f>YEAR(Table5[[#This Row],[bill_date]])</f>
        <v>2023</v>
      </c>
      <c r="F1496">
        <v>1208</v>
      </c>
      <c r="G1496" t="s">
        <v>30</v>
      </c>
    </row>
    <row r="1497" spans="1:7" x14ac:dyDescent="0.3">
      <c r="A1497">
        <v>31496</v>
      </c>
      <c r="B1497">
        <v>355</v>
      </c>
      <c r="C1497" s="2">
        <v>45177</v>
      </c>
      <c r="D1497" s="2" t="str">
        <f>TEXT(Table5[[#This Row],[bill_date]],"mmmm")</f>
        <v>September</v>
      </c>
      <c r="E1497" s="9">
        <f>YEAR(Table5[[#This Row],[bill_date]])</f>
        <v>2023</v>
      </c>
      <c r="F1497">
        <v>643</v>
      </c>
      <c r="G1497" t="s">
        <v>28</v>
      </c>
    </row>
    <row r="1498" spans="1:7" x14ac:dyDescent="0.3">
      <c r="A1498">
        <v>31497</v>
      </c>
      <c r="B1498">
        <v>66</v>
      </c>
      <c r="C1498" s="2">
        <v>44823</v>
      </c>
      <c r="D1498" s="2" t="str">
        <f>TEXT(Table5[[#This Row],[bill_date]],"mmmm")</f>
        <v>September</v>
      </c>
      <c r="E1498" s="9">
        <f>YEAR(Table5[[#This Row],[bill_date]])</f>
        <v>2022</v>
      </c>
      <c r="F1498">
        <v>1834</v>
      </c>
      <c r="G1498" t="s">
        <v>30</v>
      </c>
    </row>
    <row r="1499" spans="1:7" x14ac:dyDescent="0.3">
      <c r="A1499">
        <v>31498</v>
      </c>
      <c r="B1499">
        <v>150</v>
      </c>
      <c r="C1499" s="2">
        <v>45326</v>
      </c>
      <c r="D1499" s="2" t="str">
        <f>TEXT(Table5[[#This Row],[bill_date]],"mmmm")</f>
        <v>February</v>
      </c>
      <c r="E1499" s="9">
        <f>YEAR(Table5[[#This Row],[bill_date]])</f>
        <v>2024</v>
      </c>
      <c r="F1499">
        <v>464</v>
      </c>
      <c r="G1499" t="s">
        <v>30</v>
      </c>
    </row>
    <row r="1500" spans="1:7" x14ac:dyDescent="0.3">
      <c r="A1500">
        <v>31499</v>
      </c>
      <c r="B1500">
        <v>167</v>
      </c>
      <c r="C1500" s="2">
        <v>45238</v>
      </c>
      <c r="D1500" s="2" t="str">
        <f>TEXT(Table5[[#This Row],[bill_date]],"mmmm")</f>
        <v>November</v>
      </c>
      <c r="E1500" s="9">
        <f>YEAR(Table5[[#This Row],[bill_date]])</f>
        <v>2023</v>
      </c>
      <c r="F1500">
        <v>1195</v>
      </c>
      <c r="G1500" t="s">
        <v>29</v>
      </c>
    </row>
    <row r="1501" spans="1:7" x14ac:dyDescent="0.3">
      <c r="A1501">
        <v>31500</v>
      </c>
      <c r="B1501">
        <v>220</v>
      </c>
      <c r="C1501" s="2">
        <v>44853</v>
      </c>
      <c r="D1501" s="2" t="str">
        <f>TEXT(Table5[[#This Row],[bill_date]],"mmmm")</f>
        <v>October</v>
      </c>
      <c r="E1501" s="9">
        <f>YEAR(Table5[[#This Row],[bill_date]])</f>
        <v>2022</v>
      </c>
      <c r="F1501">
        <v>1390</v>
      </c>
      <c r="G1501" t="s">
        <v>28</v>
      </c>
    </row>
    <row r="1502" spans="1:7" x14ac:dyDescent="0.3">
      <c r="A1502">
        <v>31501</v>
      </c>
      <c r="B1502">
        <v>300</v>
      </c>
      <c r="C1502" s="2">
        <v>44773</v>
      </c>
      <c r="D1502" s="2" t="str">
        <f>TEXT(Table5[[#This Row],[bill_date]],"mmmm")</f>
        <v>July</v>
      </c>
      <c r="E1502" s="9">
        <f>YEAR(Table5[[#This Row],[bill_date]])</f>
        <v>2022</v>
      </c>
      <c r="F1502">
        <v>1280</v>
      </c>
      <c r="G1502" t="s">
        <v>30</v>
      </c>
    </row>
    <row r="1503" spans="1:7" x14ac:dyDescent="0.3">
      <c r="A1503">
        <v>31502</v>
      </c>
      <c r="B1503">
        <v>258</v>
      </c>
      <c r="C1503" s="2">
        <v>45217</v>
      </c>
      <c r="D1503" s="2" t="str">
        <f>TEXT(Table5[[#This Row],[bill_date]],"mmmm")</f>
        <v>October</v>
      </c>
      <c r="E1503" s="9">
        <f>YEAR(Table5[[#This Row],[bill_date]])</f>
        <v>2023</v>
      </c>
      <c r="F1503">
        <v>799</v>
      </c>
      <c r="G1503" t="s">
        <v>30</v>
      </c>
    </row>
    <row r="1504" spans="1:7" x14ac:dyDescent="0.3">
      <c r="A1504">
        <v>31503</v>
      </c>
      <c r="B1504">
        <v>203</v>
      </c>
      <c r="C1504" s="2">
        <v>45017</v>
      </c>
      <c r="D1504" s="2" t="str">
        <f>TEXT(Table5[[#This Row],[bill_date]],"mmmm")</f>
        <v>April</v>
      </c>
      <c r="E1504" s="9">
        <f>YEAR(Table5[[#This Row],[bill_date]])</f>
        <v>2023</v>
      </c>
      <c r="F1504">
        <v>1907</v>
      </c>
      <c r="G1504" t="s">
        <v>30</v>
      </c>
    </row>
    <row r="1505" spans="1:7" x14ac:dyDescent="0.3">
      <c r="A1505">
        <v>31504</v>
      </c>
      <c r="B1505">
        <v>240</v>
      </c>
      <c r="C1505" s="2">
        <v>44797</v>
      </c>
      <c r="D1505" s="2" t="str">
        <f>TEXT(Table5[[#This Row],[bill_date]],"mmmm")</f>
        <v>August</v>
      </c>
      <c r="E1505" s="9">
        <f>YEAR(Table5[[#This Row],[bill_date]])</f>
        <v>2022</v>
      </c>
      <c r="F1505">
        <v>1879</v>
      </c>
      <c r="G1505" t="s">
        <v>30</v>
      </c>
    </row>
    <row r="1506" spans="1:7" x14ac:dyDescent="0.3">
      <c r="A1506">
        <v>31505</v>
      </c>
      <c r="B1506">
        <v>315</v>
      </c>
      <c r="C1506" s="2">
        <v>45095</v>
      </c>
      <c r="D1506" s="2" t="str">
        <f>TEXT(Table5[[#This Row],[bill_date]],"mmmm")</f>
        <v>June</v>
      </c>
      <c r="E1506" s="9">
        <f>YEAR(Table5[[#This Row],[bill_date]])</f>
        <v>2023</v>
      </c>
      <c r="F1506">
        <v>831</v>
      </c>
      <c r="G1506" t="s">
        <v>28</v>
      </c>
    </row>
    <row r="1507" spans="1:7" x14ac:dyDescent="0.3">
      <c r="A1507">
        <v>31506</v>
      </c>
      <c r="B1507">
        <v>229</v>
      </c>
      <c r="C1507" s="2">
        <v>44630</v>
      </c>
      <c r="D1507" s="2" t="str">
        <f>TEXT(Table5[[#This Row],[bill_date]],"mmmm")</f>
        <v>March</v>
      </c>
      <c r="E1507" s="9">
        <f>YEAR(Table5[[#This Row],[bill_date]])</f>
        <v>2022</v>
      </c>
      <c r="F1507">
        <v>955</v>
      </c>
      <c r="G1507" t="s">
        <v>30</v>
      </c>
    </row>
    <row r="1508" spans="1:7" x14ac:dyDescent="0.3">
      <c r="A1508">
        <v>31507</v>
      </c>
      <c r="B1508">
        <v>474</v>
      </c>
      <c r="C1508" s="2">
        <v>45142</v>
      </c>
      <c r="D1508" s="2" t="str">
        <f>TEXT(Table5[[#This Row],[bill_date]],"mmmm")</f>
        <v>August</v>
      </c>
      <c r="E1508" s="9">
        <f>YEAR(Table5[[#This Row],[bill_date]])</f>
        <v>2023</v>
      </c>
      <c r="F1508">
        <v>522</v>
      </c>
      <c r="G1508" t="s">
        <v>30</v>
      </c>
    </row>
    <row r="1509" spans="1:7" x14ac:dyDescent="0.3">
      <c r="A1509">
        <v>31508</v>
      </c>
      <c r="B1509">
        <v>156</v>
      </c>
      <c r="C1509" s="2">
        <v>44807</v>
      </c>
      <c r="D1509" s="2" t="str">
        <f>TEXT(Table5[[#This Row],[bill_date]],"mmmm")</f>
        <v>September</v>
      </c>
      <c r="E1509" s="9">
        <f>YEAR(Table5[[#This Row],[bill_date]])</f>
        <v>2022</v>
      </c>
      <c r="F1509">
        <v>1488</v>
      </c>
      <c r="G1509" t="s">
        <v>28</v>
      </c>
    </row>
    <row r="1510" spans="1:7" x14ac:dyDescent="0.3">
      <c r="A1510">
        <v>31509</v>
      </c>
      <c r="B1510">
        <v>218</v>
      </c>
      <c r="C1510" s="2">
        <v>45136</v>
      </c>
      <c r="D1510" s="2" t="str">
        <f>TEXT(Table5[[#This Row],[bill_date]],"mmmm")</f>
        <v>July</v>
      </c>
      <c r="E1510" s="9">
        <f>YEAR(Table5[[#This Row],[bill_date]])</f>
        <v>2023</v>
      </c>
      <c r="F1510">
        <v>1284</v>
      </c>
      <c r="G1510" t="s">
        <v>30</v>
      </c>
    </row>
    <row r="1511" spans="1:7" x14ac:dyDescent="0.3">
      <c r="A1511">
        <v>31510</v>
      </c>
      <c r="B1511">
        <v>465</v>
      </c>
      <c r="C1511" s="2">
        <v>44798</v>
      </c>
      <c r="D1511" s="2" t="str">
        <f>TEXT(Table5[[#This Row],[bill_date]],"mmmm")</f>
        <v>August</v>
      </c>
      <c r="E1511" s="9">
        <f>YEAR(Table5[[#This Row],[bill_date]])</f>
        <v>2022</v>
      </c>
      <c r="F1511">
        <v>287</v>
      </c>
      <c r="G1511" t="s">
        <v>30</v>
      </c>
    </row>
    <row r="1512" spans="1:7" x14ac:dyDescent="0.3">
      <c r="A1512">
        <v>31511</v>
      </c>
      <c r="B1512">
        <v>195</v>
      </c>
      <c r="C1512" s="2">
        <v>44892</v>
      </c>
      <c r="D1512" s="2" t="str">
        <f>TEXT(Table5[[#This Row],[bill_date]],"mmmm")</f>
        <v>November</v>
      </c>
      <c r="E1512" s="9">
        <f>YEAR(Table5[[#This Row],[bill_date]])</f>
        <v>2022</v>
      </c>
      <c r="F1512">
        <v>614</v>
      </c>
      <c r="G1512" t="s">
        <v>28</v>
      </c>
    </row>
    <row r="1513" spans="1:7" x14ac:dyDescent="0.3">
      <c r="A1513">
        <v>31512</v>
      </c>
      <c r="B1513">
        <v>270</v>
      </c>
      <c r="C1513" s="2">
        <v>44924</v>
      </c>
      <c r="D1513" s="2" t="str">
        <f>TEXT(Table5[[#This Row],[bill_date]],"mmmm")</f>
        <v>December</v>
      </c>
      <c r="E1513" s="9">
        <f>YEAR(Table5[[#This Row],[bill_date]])</f>
        <v>2022</v>
      </c>
      <c r="F1513">
        <v>1806</v>
      </c>
      <c r="G1513" t="s">
        <v>30</v>
      </c>
    </row>
    <row r="1514" spans="1:7" x14ac:dyDescent="0.3">
      <c r="A1514">
        <v>31513</v>
      </c>
      <c r="B1514">
        <v>16</v>
      </c>
      <c r="C1514" s="2">
        <v>45092</v>
      </c>
      <c r="D1514" s="2" t="str">
        <f>TEXT(Table5[[#This Row],[bill_date]],"mmmm")</f>
        <v>June</v>
      </c>
      <c r="E1514" s="9">
        <f>YEAR(Table5[[#This Row],[bill_date]])</f>
        <v>2023</v>
      </c>
      <c r="F1514">
        <v>880</v>
      </c>
      <c r="G1514" t="s">
        <v>30</v>
      </c>
    </row>
    <row r="1515" spans="1:7" x14ac:dyDescent="0.3">
      <c r="A1515">
        <v>31514</v>
      </c>
      <c r="B1515">
        <v>241</v>
      </c>
      <c r="C1515" s="2">
        <v>45304</v>
      </c>
      <c r="D1515" s="2" t="str">
        <f>TEXT(Table5[[#This Row],[bill_date]],"mmmm")</f>
        <v>January</v>
      </c>
      <c r="E1515" s="9">
        <f>YEAR(Table5[[#This Row],[bill_date]])</f>
        <v>2024</v>
      </c>
      <c r="F1515">
        <v>1907</v>
      </c>
      <c r="G1515" t="s">
        <v>30</v>
      </c>
    </row>
    <row r="1516" spans="1:7" x14ac:dyDescent="0.3">
      <c r="A1516">
        <v>31515</v>
      </c>
      <c r="B1516">
        <v>252</v>
      </c>
      <c r="C1516" s="2">
        <v>45026</v>
      </c>
      <c r="D1516" s="2" t="str">
        <f>TEXT(Table5[[#This Row],[bill_date]],"mmmm")</f>
        <v>April</v>
      </c>
      <c r="E1516" s="9">
        <f>YEAR(Table5[[#This Row],[bill_date]])</f>
        <v>2023</v>
      </c>
      <c r="F1516">
        <v>1298</v>
      </c>
      <c r="G1516" t="s">
        <v>28</v>
      </c>
    </row>
    <row r="1517" spans="1:7" x14ac:dyDescent="0.3">
      <c r="A1517">
        <v>31516</v>
      </c>
      <c r="B1517">
        <v>51</v>
      </c>
      <c r="C1517" s="2">
        <v>44790</v>
      </c>
      <c r="D1517" s="2" t="str">
        <f>TEXT(Table5[[#This Row],[bill_date]],"mmmm")</f>
        <v>August</v>
      </c>
      <c r="E1517" s="9">
        <f>YEAR(Table5[[#This Row],[bill_date]])</f>
        <v>2022</v>
      </c>
      <c r="F1517">
        <v>603</v>
      </c>
      <c r="G1517" t="s">
        <v>30</v>
      </c>
    </row>
    <row r="1518" spans="1:7" x14ac:dyDescent="0.3">
      <c r="A1518">
        <v>31517</v>
      </c>
      <c r="B1518">
        <v>356</v>
      </c>
      <c r="C1518" s="2">
        <v>45431</v>
      </c>
      <c r="D1518" s="2" t="str">
        <f>TEXT(Table5[[#This Row],[bill_date]],"mmmm")</f>
        <v>May</v>
      </c>
      <c r="E1518" s="9">
        <f>YEAR(Table5[[#This Row],[bill_date]])</f>
        <v>2024</v>
      </c>
      <c r="F1518">
        <v>563</v>
      </c>
      <c r="G1518" t="s">
        <v>30</v>
      </c>
    </row>
    <row r="1519" spans="1:7" x14ac:dyDescent="0.3">
      <c r="A1519">
        <v>31518</v>
      </c>
      <c r="B1519">
        <v>28</v>
      </c>
      <c r="C1519" s="2">
        <v>45070</v>
      </c>
      <c r="D1519" s="2" t="str">
        <f>TEXT(Table5[[#This Row],[bill_date]],"mmmm")</f>
        <v>May</v>
      </c>
      <c r="E1519" s="9">
        <f>YEAR(Table5[[#This Row],[bill_date]])</f>
        <v>2023</v>
      </c>
      <c r="F1519">
        <v>1892</v>
      </c>
      <c r="G1519" t="s">
        <v>30</v>
      </c>
    </row>
    <row r="1520" spans="1:7" x14ac:dyDescent="0.3">
      <c r="A1520">
        <v>31519</v>
      </c>
      <c r="B1520">
        <v>476</v>
      </c>
      <c r="C1520" s="2">
        <v>44943</v>
      </c>
      <c r="D1520" s="2" t="str">
        <f>TEXT(Table5[[#This Row],[bill_date]],"mmmm")</f>
        <v>January</v>
      </c>
      <c r="E1520" s="9">
        <f>YEAR(Table5[[#This Row],[bill_date]])</f>
        <v>2023</v>
      </c>
      <c r="F1520">
        <v>1947</v>
      </c>
      <c r="G1520" t="s">
        <v>29</v>
      </c>
    </row>
    <row r="1521" spans="1:7" x14ac:dyDescent="0.3">
      <c r="A1521">
        <v>31520</v>
      </c>
      <c r="B1521">
        <v>53</v>
      </c>
      <c r="C1521" s="2">
        <v>44688</v>
      </c>
      <c r="D1521" s="2" t="str">
        <f>TEXT(Table5[[#This Row],[bill_date]],"mmmm")</f>
        <v>May</v>
      </c>
      <c r="E1521" s="9">
        <f>YEAR(Table5[[#This Row],[bill_date]])</f>
        <v>2022</v>
      </c>
      <c r="F1521">
        <v>583</v>
      </c>
      <c r="G1521" t="s">
        <v>30</v>
      </c>
    </row>
    <row r="1522" spans="1:7" x14ac:dyDescent="0.3">
      <c r="A1522">
        <v>31521</v>
      </c>
      <c r="B1522">
        <v>308</v>
      </c>
      <c r="C1522" s="2">
        <v>45219</v>
      </c>
      <c r="D1522" s="2" t="str">
        <f>TEXT(Table5[[#This Row],[bill_date]],"mmmm")</f>
        <v>October</v>
      </c>
      <c r="E1522" s="9">
        <f>YEAR(Table5[[#This Row],[bill_date]])</f>
        <v>2023</v>
      </c>
      <c r="F1522">
        <v>207</v>
      </c>
      <c r="G1522" t="s">
        <v>30</v>
      </c>
    </row>
    <row r="1523" spans="1:7" x14ac:dyDescent="0.3">
      <c r="A1523">
        <v>31522</v>
      </c>
      <c r="B1523">
        <v>116</v>
      </c>
      <c r="C1523" s="2">
        <v>45443</v>
      </c>
      <c r="D1523" s="2" t="str">
        <f>TEXT(Table5[[#This Row],[bill_date]],"mmmm")</f>
        <v>May</v>
      </c>
      <c r="E1523" s="9">
        <f>YEAR(Table5[[#This Row],[bill_date]])</f>
        <v>2024</v>
      </c>
      <c r="F1523">
        <v>713</v>
      </c>
      <c r="G1523" t="s">
        <v>30</v>
      </c>
    </row>
    <row r="1524" spans="1:7" x14ac:dyDescent="0.3">
      <c r="A1524">
        <v>31523</v>
      </c>
      <c r="B1524">
        <v>409</v>
      </c>
      <c r="C1524" s="2">
        <v>45402</v>
      </c>
      <c r="D1524" s="2" t="str">
        <f>TEXT(Table5[[#This Row],[bill_date]],"mmmm")</f>
        <v>April</v>
      </c>
      <c r="E1524" s="9">
        <f>YEAR(Table5[[#This Row],[bill_date]])</f>
        <v>2024</v>
      </c>
      <c r="F1524">
        <v>1591</v>
      </c>
      <c r="G1524" t="s">
        <v>29</v>
      </c>
    </row>
    <row r="1525" spans="1:7" x14ac:dyDescent="0.3">
      <c r="A1525">
        <v>31524</v>
      </c>
      <c r="B1525">
        <v>441</v>
      </c>
      <c r="C1525" s="2">
        <v>44675</v>
      </c>
      <c r="D1525" s="2" t="str">
        <f>TEXT(Table5[[#This Row],[bill_date]],"mmmm")</f>
        <v>April</v>
      </c>
      <c r="E1525" s="9">
        <f>YEAR(Table5[[#This Row],[bill_date]])</f>
        <v>2022</v>
      </c>
      <c r="F1525">
        <v>507</v>
      </c>
      <c r="G1525" t="s">
        <v>30</v>
      </c>
    </row>
    <row r="1526" spans="1:7" x14ac:dyDescent="0.3">
      <c r="A1526">
        <v>31525</v>
      </c>
      <c r="B1526">
        <v>9</v>
      </c>
      <c r="C1526" s="2">
        <v>44804</v>
      </c>
      <c r="D1526" s="2" t="str">
        <f>TEXT(Table5[[#This Row],[bill_date]],"mmmm")</f>
        <v>August</v>
      </c>
      <c r="E1526" s="9">
        <f>YEAR(Table5[[#This Row],[bill_date]])</f>
        <v>2022</v>
      </c>
      <c r="F1526">
        <v>368</v>
      </c>
      <c r="G1526" t="s">
        <v>30</v>
      </c>
    </row>
    <row r="1527" spans="1:7" x14ac:dyDescent="0.3">
      <c r="A1527">
        <v>31526</v>
      </c>
      <c r="B1527">
        <v>11</v>
      </c>
      <c r="C1527" s="2">
        <v>44706</v>
      </c>
      <c r="D1527" s="2" t="str">
        <f>TEXT(Table5[[#This Row],[bill_date]],"mmmm")</f>
        <v>May</v>
      </c>
      <c r="E1527" s="9">
        <f>YEAR(Table5[[#This Row],[bill_date]])</f>
        <v>2022</v>
      </c>
      <c r="F1527">
        <v>345</v>
      </c>
      <c r="G1527" t="s">
        <v>30</v>
      </c>
    </row>
    <row r="1528" spans="1:7" x14ac:dyDescent="0.3">
      <c r="A1528">
        <v>31527</v>
      </c>
      <c r="B1528">
        <v>485</v>
      </c>
      <c r="C1528" s="2">
        <v>45114</v>
      </c>
      <c r="D1528" s="2" t="str">
        <f>TEXT(Table5[[#This Row],[bill_date]],"mmmm")</f>
        <v>July</v>
      </c>
      <c r="E1528" s="9">
        <f>YEAR(Table5[[#This Row],[bill_date]])</f>
        <v>2023</v>
      </c>
      <c r="F1528">
        <v>1740</v>
      </c>
      <c r="G1528" t="s">
        <v>30</v>
      </c>
    </row>
    <row r="1529" spans="1:7" x14ac:dyDescent="0.3">
      <c r="A1529">
        <v>31528</v>
      </c>
      <c r="B1529">
        <v>107</v>
      </c>
      <c r="C1529" s="2">
        <v>45234</v>
      </c>
      <c r="D1529" s="2" t="str">
        <f>TEXT(Table5[[#This Row],[bill_date]],"mmmm")</f>
        <v>November</v>
      </c>
      <c r="E1529" s="9">
        <f>YEAR(Table5[[#This Row],[bill_date]])</f>
        <v>2023</v>
      </c>
      <c r="F1529">
        <v>1905</v>
      </c>
      <c r="G1529" t="s">
        <v>30</v>
      </c>
    </row>
    <row r="1530" spans="1:7" x14ac:dyDescent="0.3">
      <c r="A1530">
        <v>31529</v>
      </c>
      <c r="B1530">
        <v>301</v>
      </c>
      <c r="C1530" s="2">
        <v>45000</v>
      </c>
      <c r="D1530" s="2" t="str">
        <f>TEXT(Table5[[#This Row],[bill_date]],"mmmm")</f>
        <v>March</v>
      </c>
      <c r="E1530" s="9">
        <f>YEAR(Table5[[#This Row],[bill_date]])</f>
        <v>2023</v>
      </c>
      <c r="F1530">
        <v>278</v>
      </c>
      <c r="G1530" t="s">
        <v>30</v>
      </c>
    </row>
    <row r="1531" spans="1:7" x14ac:dyDescent="0.3">
      <c r="A1531">
        <v>31530</v>
      </c>
      <c r="B1531">
        <v>341</v>
      </c>
      <c r="C1531" s="2">
        <v>44899</v>
      </c>
      <c r="D1531" s="2" t="str">
        <f>TEXT(Table5[[#This Row],[bill_date]],"mmmm")</f>
        <v>December</v>
      </c>
      <c r="E1531" s="9">
        <f>YEAR(Table5[[#This Row],[bill_date]])</f>
        <v>2022</v>
      </c>
      <c r="F1531">
        <v>1002</v>
      </c>
      <c r="G1531" t="s">
        <v>30</v>
      </c>
    </row>
    <row r="1532" spans="1:7" x14ac:dyDescent="0.3">
      <c r="A1532">
        <v>31531</v>
      </c>
      <c r="B1532">
        <v>258</v>
      </c>
      <c r="C1532" s="2">
        <v>44969</v>
      </c>
      <c r="D1532" s="2" t="str">
        <f>TEXT(Table5[[#This Row],[bill_date]],"mmmm")</f>
        <v>February</v>
      </c>
      <c r="E1532" s="9">
        <f>YEAR(Table5[[#This Row],[bill_date]])</f>
        <v>2023</v>
      </c>
      <c r="F1532">
        <v>650</v>
      </c>
      <c r="G1532" t="s">
        <v>30</v>
      </c>
    </row>
    <row r="1533" spans="1:7" x14ac:dyDescent="0.3">
      <c r="A1533">
        <v>31532</v>
      </c>
      <c r="B1533">
        <v>182</v>
      </c>
      <c r="C1533" s="2">
        <v>45150</v>
      </c>
      <c r="D1533" s="2" t="str">
        <f>TEXT(Table5[[#This Row],[bill_date]],"mmmm")</f>
        <v>August</v>
      </c>
      <c r="E1533" s="9">
        <f>YEAR(Table5[[#This Row],[bill_date]])</f>
        <v>2023</v>
      </c>
      <c r="F1533">
        <v>1688</v>
      </c>
      <c r="G1533" t="s">
        <v>30</v>
      </c>
    </row>
    <row r="1534" spans="1:7" x14ac:dyDescent="0.3">
      <c r="A1534">
        <v>31533</v>
      </c>
      <c r="B1534">
        <v>418</v>
      </c>
      <c r="C1534" s="2">
        <v>44729</v>
      </c>
      <c r="D1534" s="2" t="str">
        <f>TEXT(Table5[[#This Row],[bill_date]],"mmmm")</f>
        <v>June</v>
      </c>
      <c r="E1534" s="9">
        <f>YEAR(Table5[[#This Row],[bill_date]])</f>
        <v>2022</v>
      </c>
      <c r="F1534">
        <v>1958</v>
      </c>
      <c r="G1534" t="s">
        <v>30</v>
      </c>
    </row>
    <row r="1535" spans="1:7" x14ac:dyDescent="0.3">
      <c r="A1535">
        <v>31534</v>
      </c>
      <c r="B1535">
        <v>170</v>
      </c>
      <c r="C1535" s="2">
        <v>45357</v>
      </c>
      <c r="D1535" s="2" t="str">
        <f>TEXT(Table5[[#This Row],[bill_date]],"mmmm")</f>
        <v>March</v>
      </c>
      <c r="E1535" s="9">
        <f>YEAR(Table5[[#This Row],[bill_date]])</f>
        <v>2024</v>
      </c>
      <c r="F1535">
        <v>1176</v>
      </c>
      <c r="G1535" t="s">
        <v>30</v>
      </c>
    </row>
    <row r="1536" spans="1:7" x14ac:dyDescent="0.3">
      <c r="A1536">
        <v>31535</v>
      </c>
      <c r="B1536">
        <v>461</v>
      </c>
      <c r="C1536" s="2">
        <v>45183</v>
      </c>
      <c r="D1536" s="2" t="str">
        <f>TEXT(Table5[[#This Row],[bill_date]],"mmmm")</f>
        <v>September</v>
      </c>
      <c r="E1536" s="9">
        <f>YEAR(Table5[[#This Row],[bill_date]])</f>
        <v>2023</v>
      </c>
      <c r="F1536">
        <v>1005</v>
      </c>
      <c r="G1536" t="s">
        <v>30</v>
      </c>
    </row>
    <row r="1537" spans="1:7" x14ac:dyDescent="0.3">
      <c r="A1537">
        <v>31536</v>
      </c>
      <c r="B1537">
        <v>325</v>
      </c>
      <c r="C1537" s="2">
        <v>45268</v>
      </c>
      <c r="D1537" s="2" t="str">
        <f>TEXT(Table5[[#This Row],[bill_date]],"mmmm")</f>
        <v>December</v>
      </c>
      <c r="E1537" s="9">
        <f>YEAR(Table5[[#This Row],[bill_date]])</f>
        <v>2023</v>
      </c>
      <c r="F1537">
        <v>1777</v>
      </c>
      <c r="G1537" t="s">
        <v>30</v>
      </c>
    </row>
    <row r="1538" spans="1:7" x14ac:dyDescent="0.3">
      <c r="A1538">
        <v>31537</v>
      </c>
      <c r="B1538">
        <v>139</v>
      </c>
      <c r="C1538" s="2">
        <v>45301</v>
      </c>
      <c r="D1538" s="2" t="str">
        <f>TEXT(Table5[[#This Row],[bill_date]],"mmmm")</f>
        <v>January</v>
      </c>
      <c r="E1538" s="9">
        <f>YEAR(Table5[[#This Row],[bill_date]])</f>
        <v>2024</v>
      </c>
      <c r="F1538">
        <v>955</v>
      </c>
      <c r="G1538" t="s">
        <v>30</v>
      </c>
    </row>
    <row r="1539" spans="1:7" x14ac:dyDescent="0.3">
      <c r="A1539">
        <v>31538</v>
      </c>
      <c r="B1539">
        <v>285</v>
      </c>
      <c r="C1539" s="2">
        <v>44728</v>
      </c>
      <c r="D1539" s="2" t="str">
        <f>TEXT(Table5[[#This Row],[bill_date]],"mmmm")</f>
        <v>June</v>
      </c>
      <c r="E1539" s="9">
        <f>YEAR(Table5[[#This Row],[bill_date]])</f>
        <v>2022</v>
      </c>
      <c r="F1539">
        <v>1634</v>
      </c>
      <c r="G1539" t="s">
        <v>30</v>
      </c>
    </row>
    <row r="1540" spans="1:7" x14ac:dyDescent="0.3">
      <c r="A1540">
        <v>31539</v>
      </c>
      <c r="B1540">
        <v>111</v>
      </c>
      <c r="C1540" s="2">
        <v>45094</v>
      </c>
      <c r="D1540" s="2" t="str">
        <f>TEXT(Table5[[#This Row],[bill_date]],"mmmm")</f>
        <v>June</v>
      </c>
      <c r="E1540" s="9">
        <f>YEAR(Table5[[#This Row],[bill_date]])</f>
        <v>2023</v>
      </c>
      <c r="F1540">
        <v>1784</v>
      </c>
      <c r="G1540" t="s">
        <v>30</v>
      </c>
    </row>
    <row r="1541" spans="1:7" x14ac:dyDescent="0.3">
      <c r="A1541">
        <v>31540</v>
      </c>
      <c r="B1541">
        <v>92</v>
      </c>
      <c r="C1541" s="2">
        <v>44726</v>
      </c>
      <c r="D1541" s="2" t="str">
        <f>TEXT(Table5[[#This Row],[bill_date]],"mmmm")</f>
        <v>June</v>
      </c>
      <c r="E1541" s="9">
        <f>YEAR(Table5[[#This Row],[bill_date]])</f>
        <v>2022</v>
      </c>
      <c r="F1541">
        <v>493</v>
      </c>
      <c r="G1541" t="s">
        <v>30</v>
      </c>
    </row>
    <row r="1542" spans="1:7" x14ac:dyDescent="0.3">
      <c r="A1542">
        <v>31541</v>
      </c>
      <c r="B1542">
        <v>220</v>
      </c>
      <c r="C1542" s="2">
        <v>45203</v>
      </c>
      <c r="D1542" s="2" t="str">
        <f>TEXT(Table5[[#This Row],[bill_date]],"mmmm")</f>
        <v>October</v>
      </c>
      <c r="E1542" s="9">
        <f>YEAR(Table5[[#This Row],[bill_date]])</f>
        <v>2023</v>
      </c>
      <c r="F1542">
        <v>1352</v>
      </c>
      <c r="G1542" t="s">
        <v>30</v>
      </c>
    </row>
    <row r="1543" spans="1:7" x14ac:dyDescent="0.3">
      <c r="A1543">
        <v>31542</v>
      </c>
      <c r="B1543">
        <v>5</v>
      </c>
      <c r="C1543" s="2">
        <v>44823</v>
      </c>
      <c r="D1543" s="2" t="str">
        <f>TEXT(Table5[[#This Row],[bill_date]],"mmmm")</f>
        <v>September</v>
      </c>
      <c r="E1543" s="9">
        <f>YEAR(Table5[[#This Row],[bill_date]])</f>
        <v>2022</v>
      </c>
      <c r="F1543">
        <v>1986</v>
      </c>
      <c r="G1543" t="s">
        <v>30</v>
      </c>
    </row>
    <row r="1544" spans="1:7" x14ac:dyDescent="0.3">
      <c r="A1544">
        <v>31543</v>
      </c>
      <c r="B1544">
        <v>20</v>
      </c>
      <c r="C1544" s="2">
        <v>45125</v>
      </c>
      <c r="D1544" s="2" t="str">
        <f>TEXT(Table5[[#This Row],[bill_date]],"mmmm")</f>
        <v>July</v>
      </c>
      <c r="E1544" s="9">
        <f>YEAR(Table5[[#This Row],[bill_date]])</f>
        <v>2023</v>
      </c>
      <c r="F1544">
        <v>1387</v>
      </c>
      <c r="G1544" t="s">
        <v>28</v>
      </c>
    </row>
    <row r="1545" spans="1:7" x14ac:dyDescent="0.3">
      <c r="A1545">
        <v>31544</v>
      </c>
      <c r="B1545">
        <v>101</v>
      </c>
      <c r="C1545" s="2">
        <v>44822</v>
      </c>
      <c r="D1545" s="2" t="str">
        <f>TEXT(Table5[[#This Row],[bill_date]],"mmmm")</f>
        <v>September</v>
      </c>
      <c r="E1545" s="9">
        <f>YEAR(Table5[[#This Row],[bill_date]])</f>
        <v>2022</v>
      </c>
      <c r="F1545">
        <v>811</v>
      </c>
      <c r="G1545" t="s">
        <v>28</v>
      </c>
    </row>
    <row r="1546" spans="1:7" x14ac:dyDescent="0.3">
      <c r="A1546">
        <v>31545</v>
      </c>
      <c r="B1546">
        <v>295</v>
      </c>
      <c r="C1546" s="2">
        <v>44736</v>
      </c>
      <c r="D1546" s="2" t="str">
        <f>TEXT(Table5[[#This Row],[bill_date]],"mmmm")</f>
        <v>June</v>
      </c>
      <c r="E1546" s="9">
        <f>YEAR(Table5[[#This Row],[bill_date]])</f>
        <v>2022</v>
      </c>
      <c r="F1546">
        <v>1081</v>
      </c>
      <c r="G1546" t="s">
        <v>28</v>
      </c>
    </row>
    <row r="1547" spans="1:7" x14ac:dyDescent="0.3">
      <c r="A1547">
        <v>31546</v>
      </c>
      <c r="B1547">
        <v>458</v>
      </c>
      <c r="C1547" s="2">
        <v>45372</v>
      </c>
      <c r="D1547" s="2" t="str">
        <f>TEXT(Table5[[#This Row],[bill_date]],"mmmm")</f>
        <v>March</v>
      </c>
      <c r="E1547" s="9">
        <f>YEAR(Table5[[#This Row],[bill_date]])</f>
        <v>2024</v>
      </c>
      <c r="F1547">
        <v>648</v>
      </c>
      <c r="G1547" t="s">
        <v>29</v>
      </c>
    </row>
    <row r="1548" spans="1:7" x14ac:dyDescent="0.3">
      <c r="A1548">
        <v>31547</v>
      </c>
      <c r="B1548">
        <v>416</v>
      </c>
      <c r="C1548" s="2">
        <v>44657</v>
      </c>
      <c r="D1548" s="2" t="str">
        <f>TEXT(Table5[[#This Row],[bill_date]],"mmmm")</f>
        <v>April</v>
      </c>
      <c r="E1548" s="9">
        <f>YEAR(Table5[[#This Row],[bill_date]])</f>
        <v>2022</v>
      </c>
      <c r="F1548">
        <v>1729</v>
      </c>
      <c r="G1548" t="s">
        <v>28</v>
      </c>
    </row>
    <row r="1549" spans="1:7" x14ac:dyDescent="0.3">
      <c r="A1549">
        <v>31548</v>
      </c>
      <c r="B1549">
        <v>157</v>
      </c>
      <c r="C1549" s="2">
        <v>44918</v>
      </c>
      <c r="D1549" s="2" t="str">
        <f>TEXT(Table5[[#This Row],[bill_date]],"mmmm")</f>
        <v>December</v>
      </c>
      <c r="E1549" s="9">
        <f>YEAR(Table5[[#This Row],[bill_date]])</f>
        <v>2022</v>
      </c>
      <c r="F1549">
        <v>267</v>
      </c>
      <c r="G1549" t="s">
        <v>30</v>
      </c>
    </row>
    <row r="1550" spans="1:7" x14ac:dyDescent="0.3">
      <c r="A1550">
        <v>31549</v>
      </c>
      <c r="B1550">
        <v>450</v>
      </c>
      <c r="C1550" s="2">
        <v>44931</v>
      </c>
      <c r="D1550" s="2" t="str">
        <f>TEXT(Table5[[#This Row],[bill_date]],"mmmm")</f>
        <v>January</v>
      </c>
      <c r="E1550" s="9">
        <f>YEAR(Table5[[#This Row],[bill_date]])</f>
        <v>2023</v>
      </c>
      <c r="F1550">
        <v>754</v>
      </c>
      <c r="G1550" t="s">
        <v>30</v>
      </c>
    </row>
    <row r="1551" spans="1:7" x14ac:dyDescent="0.3">
      <c r="A1551">
        <v>31550</v>
      </c>
      <c r="B1551">
        <v>383</v>
      </c>
      <c r="C1551" s="2">
        <v>45113</v>
      </c>
      <c r="D1551" s="2" t="str">
        <f>TEXT(Table5[[#This Row],[bill_date]],"mmmm")</f>
        <v>July</v>
      </c>
      <c r="E1551" s="9">
        <f>YEAR(Table5[[#This Row],[bill_date]])</f>
        <v>2023</v>
      </c>
      <c r="F1551">
        <v>1107</v>
      </c>
      <c r="G1551" t="s">
        <v>30</v>
      </c>
    </row>
    <row r="1552" spans="1:7" x14ac:dyDescent="0.3">
      <c r="A1552">
        <v>31551</v>
      </c>
      <c r="B1552">
        <v>1</v>
      </c>
      <c r="C1552" s="2">
        <v>45282</v>
      </c>
      <c r="D1552" s="2" t="str">
        <f>TEXT(Table5[[#This Row],[bill_date]],"mmmm")</f>
        <v>December</v>
      </c>
      <c r="E1552" s="9">
        <f>YEAR(Table5[[#This Row],[bill_date]])</f>
        <v>2023</v>
      </c>
      <c r="F1552">
        <v>1884</v>
      </c>
      <c r="G1552" t="s">
        <v>30</v>
      </c>
    </row>
    <row r="1553" spans="1:7" x14ac:dyDescent="0.3">
      <c r="A1553">
        <v>31552</v>
      </c>
      <c r="B1553">
        <v>212</v>
      </c>
      <c r="C1553" s="2">
        <v>44703</v>
      </c>
      <c r="D1553" s="2" t="str">
        <f>TEXT(Table5[[#This Row],[bill_date]],"mmmm")</f>
        <v>May</v>
      </c>
      <c r="E1553" s="9">
        <f>YEAR(Table5[[#This Row],[bill_date]])</f>
        <v>2022</v>
      </c>
      <c r="F1553">
        <v>698</v>
      </c>
      <c r="G1553" t="s">
        <v>29</v>
      </c>
    </row>
    <row r="1554" spans="1:7" x14ac:dyDescent="0.3">
      <c r="A1554">
        <v>31553</v>
      </c>
      <c r="B1554">
        <v>119</v>
      </c>
      <c r="C1554" s="2">
        <v>45331</v>
      </c>
      <c r="D1554" s="2" t="str">
        <f>TEXT(Table5[[#This Row],[bill_date]],"mmmm")</f>
        <v>February</v>
      </c>
      <c r="E1554" s="9">
        <f>YEAR(Table5[[#This Row],[bill_date]])</f>
        <v>2024</v>
      </c>
      <c r="F1554">
        <v>1357</v>
      </c>
      <c r="G1554" t="s">
        <v>30</v>
      </c>
    </row>
    <row r="1555" spans="1:7" x14ac:dyDescent="0.3">
      <c r="A1555">
        <v>31554</v>
      </c>
      <c r="B1555">
        <v>385</v>
      </c>
      <c r="C1555" s="2">
        <v>44728</v>
      </c>
      <c r="D1555" s="2" t="str">
        <f>TEXT(Table5[[#This Row],[bill_date]],"mmmm")</f>
        <v>June</v>
      </c>
      <c r="E1555" s="9">
        <f>YEAR(Table5[[#This Row],[bill_date]])</f>
        <v>2022</v>
      </c>
      <c r="F1555">
        <v>1028</v>
      </c>
      <c r="G1555" t="s">
        <v>30</v>
      </c>
    </row>
    <row r="1556" spans="1:7" x14ac:dyDescent="0.3">
      <c r="A1556">
        <v>31555</v>
      </c>
      <c r="B1556">
        <v>260</v>
      </c>
      <c r="C1556" s="2">
        <v>45264</v>
      </c>
      <c r="D1556" s="2" t="str">
        <f>TEXT(Table5[[#This Row],[bill_date]],"mmmm")</f>
        <v>December</v>
      </c>
      <c r="E1556" s="9">
        <f>YEAR(Table5[[#This Row],[bill_date]])</f>
        <v>2023</v>
      </c>
      <c r="F1556">
        <v>700</v>
      </c>
      <c r="G1556" t="s">
        <v>30</v>
      </c>
    </row>
    <row r="1557" spans="1:7" x14ac:dyDescent="0.3">
      <c r="A1557">
        <v>31556</v>
      </c>
      <c r="B1557">
        <v>399</v>
      </c>
      <c r="C1557" s="2">
        <v>44880</v>
      </c>
      <c r="D1557" s="2" t="str">
        <f>TEXT(Table5[[#This Row],[bill_date]],"mmmm")</f>
        <v>November</v>
      </c>
      <c r="E1557" s="9">
        <f>YEAR(Table5[[#This Row],[bill_date]])</f>
        <v>2022</v>
      </c>
      <c r="F1557">
        <v>1172</v>
      </c>
      <c r="G1557" t="s">
        <v>29</v>
      </c>
    </row>
    <row r="1558" spans="1:7" x14ac:dyDescent="0.3">
      <c r="A1558">
        <v>31557</v>
      </c>
      <c r="B1558">
        <v>175</v>
      </c>
      <c r="C1558" s="2">
        <v>45192</v>
      </c>
      <c r="D1558" s="2" t="str">
        <f>TEXT(Table5[[#This Row],[bill_date]],"mmmm")</f>
        <v>September</v>
      </c>
      <c r="E1558" s="9">
        <f>YEAR(Table5[[#This Row],[bill_date]])</f>
        <v>2023</v>
      </c>
      <c r="F1558">
        <v>1567</v>
      </c>
      <c r="G1558" t="s">
        <v>30</v>
      </c>
    </row>
    <row r="1559" spans="1:7" x14ac:dyDescent="0.3">
      <c r="A1559">
        <v>31558</v>
      </c>
      <c r="B1559">
        <v>414</v>
      </c>
      <c r="C1559" s="2">
        <v>45219</v>
      </c>
      <c r="D1559" s="2" t="str">
        <f>TEXT(Table5[[#This Row],[bill_date]],"mmmm")</f>
        <v>October</v>
      </c>
      <c r="E1559" s="9">
        <f>YEAR(Table5[[#This Row],[bill_date]])</f>
        <v>2023</v>
      </c>
      <c r="F1559">
        <v>928</v>
      </c>
      <c r="G1559" t="s">
        <v>30</v>
      </c>
    </row>
    <row r="1560" spans="1:7" x14ac:dyDescent="0.3">
      <c r="A1560">
        <v>31559</v>
      </c>
      <c r="B1560">
        <v>134</v>
      </c>
      <c r="C1560" s="2">
        <v>45423</v>
      </c>
      <c r="D1560" s="2" t="str">
        <f>TEXT(Table5[[#This Row],[bill_date]],"mmmm")</f>
        <v>May</v>
      </c>
      <c r="E1560" s="9">
        <f>YEAR(Table5[[#This Row],[bill_date]])</f>
        <v>2024</v>
      </c>
      <c r="F1560">
        <v>1099</v>
      </c>
      <c r="G1560" t="s">
        <v>30</v>
      </c>
    </row>
    <row r="1561" spans="1:7" x14ac:dyDescent="0.3">
      <c r="A1561">
        <v>31560</v>
      </c>
      <c r="B1561">
        <v>102</v>
      </c>
      <c r="C1561" s="2">
        <v>44896</v>
      </c>
      <c r="D1561" s="2" t="str">
        <f>TEXT(Table5[[#This Row],[bill_date]],"mmmm")</f>
        <v>December</v>
      </c>
      <c r="E1561" s="9">
        <f>YEAR(Table5[[#This Row],[bill_date]])</f>
        <v>2022</v>
      </c>
      <c r="F1561">
        <v>858</v>
      </c>
      <c r="G1561" t="s">
        <v>28</v>
      </c>
    </row>
    <row r="1562" spans="1:7" x14ac:dyDescent="0.3">
      <c r="A1562">
        <v>31561</v>
      </c>
      <c r="B1562">
        <v>385</v>
      </c>
      <c r="C1562" s="2">
        <v>45035</v>
      </c>
      <c r="D1562" s="2" t="str">
        <f>TEXT(Table5[[#This Row],[bill_date]],"mmmm")</f>
        <v>April</v>
      </c>
      <c r="E1562" s="9">
        <f>YEAR(Table5[[#This Row],[bill_date]])</f>
        <v>2023</v>
      </c>
      <c r="F1562">
        <v>1860</v>
      </c>
      <c r="G1562" t="s">
        <v>28</v>
      </c>
    </row>
    <row r="1563" spans="1:7" x14ac:dyDescent="0.3">
      <c r="A1563">
        <v>31562</v>
      </c>
      <c r="B1563">
        <v>455</v>
      </c>
      <c r="C1563" s="2">
        <v>45202</v>
      </c>
      <c r="D1563" s="2" t="str">
        <f>TEXT(Table5[[#This Row],[bill_date]],"mmmm")</f>
        <v>October</v>
      </c>
      <c r="E1563" s="9">
        <f>YEAR(Table5[[#This Row],[bill_date]])</f>
        <v>2023</v>
      </c>
      <c r="F1563">
        <v>959</v>
      </c>
      <c r="G1563" t="s">
        <v>28</v>
      </c>
    </row>
    <row r="1564" spans="1:7" x14ac:dyDescent="0.3">
      <c r="A1564">
        <v>31563</v>
      </c>
      <c r="B1564">
        <v>62</v>
      </c>
      <c r="C1564" s="2">
        <v>44706</v>
      </c>
      <c r="D1564" s="2" t="str">
        <f>TEXT(Table5[[#This Row],[bill_date]],"mmmm")</f>
        <v>May</v>
      </c>
      <c r="E1564" s="9">
        <f>YEAR(Table5[[#This Row],[bill_date]])</f>
        <v>2022</v>
      </c>
      <c r="F1564">
        <v>252</v>
      </c>
      <c r="G1564" t="s">
        <v>30</v>
      </c>
    </row>
    <row r="1565" spans="1:7" x14ac:dyDescent="0.3">
      <c r="A1565">
        <v>31564</v>
      </c>
      <c r="B1565">
        <v>448</v>
      </c>
      <c r="C1565" s="2">
        <v>44615</v>
      </c>
      <c r="D1565" s="2" t="str">
        <f>TEXT(Table5[[#This Row],[bill_date]],"mmmm")</f>
        <v>February</v>
      </c>
      <c r="E1565" s="9">
        <f>YEAR(Table5[[#This Row],[bill_date]])</f>
        <v>2022</v>
      </c>
      <c r="F1565">
        <v>530</v>
      </c>
      <c r="G1565" t="s">
        <v>30</v>
      </c>
    </row>
    <row r="1566" spans="1:7" x14ac:dyDescent="0.3">
      <c r="A1566">
        <v>31565</v>
      </c>
      <c r="B1566">
        <v>389</v>
      </c>
      <c r="C1566" s="2">
        <v>44683</v>
      </c>
      <c r="D1566" s="2" t="str">
        <f>TEXT(Table5[[#This Row],[bill_date]],"mmmm")</f>
        <v>May</v>
      </c>
      <c r="E1566" s="9">
        <f>YEAR(Table5[[#This Row],[bill_date]])</f>
        <v>2022</v>
      </c>
      <c r="F1566">
        <v>1157</v>
      </c>
      <c r="G1566" t="s">
        <v>30</v>
      </c>
    </row>
    <row r="1567" spans="1:7" x14ac:dyDescent="0.3">
      <c r="A1567">
        <v>31566</v>
      </c>
      <c r="B1567">
        <v>54</v>
      </c>
      <c r="C1567" s="2">
        <v>44685</v>
      </c>
      <c r="D1567" s="2" t="str">
        <f>TEXT(Table5[[#This Row],[bill_date]],"mmmm")</f>
        <v>May</v>
      </c>
      <c r="E1567" s="9">
        <f>YEAR(Table5[[#This Row],[bill_date]])</f>
        <v>2022</v>
      </c>
      <c r="F1567">
        <v>1642</v>
      </c>
      <c r="G1567" t="s">
        <v>28</v>
      </c>
    </row>
    <row r="1568" spans="1:7" x14ac:dyDescent="0.3">
      <c r="A1568">
        <v>31567</v>
      </c>
      <c r="B1568">
        <v>305</v>
      </c>
      <c r="C1568" s="2">
        <v>44728</v>
      </c>
      <c r="D1568" s="2" t="str">
        <f>TEXT(Table5[[#This Row],[bill_date]],"mmmm")</f>
        <v>June</v>
      </c>
      <c r="E1568" s="9">
        <f>YEAR(Table5[[#This Row],[bill_date]])</f>
        <v>2022</v>
      </c>
      <c r="F1568">
        <v>1957</v>
      </c>
      <c r="G1568" t="s">
        <v>30</v>
      </c>
    </row>
    <row r="1569" spans="1:7" x14ac:dyDescent="0.3">
      <c r="A1569">
        <v>31568</v>
      </c>
      <c r="B1569">
        <v>7</v>
      </c>
      <c r="C1569" s="2">
        <v>45395</v>
      </c>
      <c r="D1569" s="2" t="str">
        <f>TEXT(Table5[[#This Row],[bill_date]],"mmmm")</f>
        <v>April</v>
      </c>
      <c r="E1569" s="9">
        <f>YEAR(Table5[[#This Row],[bill_date]])</f>
        <v>2024</v>
      </c>
      <c r="F1569">
        <v>1943</v>
      </c>
      <c r="G1569" t="s">
        <v>30</v>
      </c>
    </row>
    <row r="1570" spans="1:7" x14ac:dyDescent="0.3">
      <c r="A1570">
        <v>31569</v>
      </c>
      <c r="B1570">
        <v>356</v>
      </c>
      <c r="C1570" s="2">
        <v>45216</v>
      </c>
      <c r="D1570" s="2" t="str">
        <f>TEXT(Table5[[#This Row],[bill_date]],"mmmm")</f>
        <v>October</v>
      </c>
      <c r="E1570" s="9">
        <f>YEAR(Table5[[#This Row],[bill_date]])</f>
        <v>2023</v>
      </c>
      <c r="F1570">
        <v>854</v>
      </c>
      <c r="G1570" t="s">
        <v>30</v>
      </c>
    </row>
    <row r="1571" spans="1:7" x14ac:dyDescent="0.3">
      <c r="A1571">
        <v>31570</v>
      </c>
      <c r="B1571">
        <v>3</v>
      </c>
      <c r="C1571" s="2">
        <v>44583</v>
      </c>
      <c r="D1571" s="2" t="str">
        <f>TEXT(Table5[[#This Row],[bill_date]],"mmmm")</f>
        <v>January</v>
      </c>
      <c r="E1571" s="9">
        <f>YEAR(Table5[[#This Row],[bill_date]])</f>
        <v>2022</v>
      </c>
      <c r="F1571">
        <v>511</v>
      </c>
      <c r="G1571" t="s">
        <v>30</v>
      </c>
    </row>
    <row r="1572" spans="1:7" x14ac:dyDescent="0.3">
      <c r="A1572">
        <v>31571</v>
      </c>
      <c r="B1572">
        <v>332</v>
      </c>
      <c r="C1572" s="2">
        <v>44837</v>
      </c>
      <c r="D1572" s="2" t="str">
        <f>TEXT(Table5[[#This Row],[bill_date]],"mmmm")</f>
        <v>October</v>
      </c>
      <c r="E1572" s="9">
        <f>YEAR(Table5[[#This Row],[bill_date]])</f>
        <v>2022</v>
      </c>
      <c r="F1572">
        <v>1360</v>
      </c>
      <c r="G1572" t="s">
        <v>30</v>
      </c>
    </row>
    <row r="1573" spans="1:7" x14ac:dyDescent="0.3">
      <c r="A1573">
        <v>31572</v>
      </c>
      <c r="B1573">
        <v>379</v>
      </c>
      <c r="C1573" s="2">
        <v>45422</v>
      </c>
      <c r="D1573" s="2" t="str">
        <f>TEXT(Table5[[#This Row],[bill_date]],"mmmm")</f>
        <v>May</v>
      </c>
      <c r="E1573" s="9">
        <f>YEAR(Table5[[#This Row],[bill_date]])</f>
        <v>2024</v>
      </c>
      <c r="F1573">
        <v>553</v>
      </c>
      <c r="G1573" t="s">
        <v>30</v>
      </c>
    </row>
    <row r="1574" spans="1:7" x14ac:dyDescent="0.3">
      <c r="A1574">
        <v>31573</v>
      </c>
      <c r="B1574">
        <v>445</v>
      </c>
      <c r="C1574" s="2">
        <v>44969</v>
      </c>
      <c r="D1574" s="2" t="str">
        <f>TEXT(Table5[[#This Row],[bill_date]],"mmmm")</f>
        <v>February</v>
      </c>
      <c r="E1574" s="9">
        <f>YEAR(Table5[[#This Row],[bill_date]])</f>
        <v>2023</v>
      </c>
      <c r="F1574">
        <v>1724</v>
      </c>
      <c r="G1574" t="s">
        <v>30</v>
      </c>
    </row>
    <row r="1575" spans="1:7" x14ac:dyDescent="0.3">
      <c r="A1575">
        <v>31574</v>
      </c>
      <c r="B1575">
        <v>335</v>
      </c>
      <c r="C1575" s="2">
        <v>45043</v>
      </c>
      <c r="D1575" s="2" t="str">
        <f>TEXT(Table5[[#This Row],[bill_date]],"mmmm")</f>
        <v>April</v>
      </c>
      <c r="E1575" s="9">
        <f>YEAR(Table5[[#This Row],[bill_date]])</f>
        <v>2023</v>
      </c>
      <c r="F1575">
        <v>423</v>
      </c>
      <c r="G1575" t="s">
        <v>30</v>
      </c>
    </row>
    <row r="1576" spans="1:7" x14ac:dyDescent="0.3">
      <c r="A1576">
        <v>31575</v>
      </c>
      <c r="B1576">
        <v>468</v>
      </c>
      <c r="C1576" s="2">
        <v>44860</v>
      </c>
      <c r="D1576" s="2" t="str">
        <f>TEXT(Table5[[#This Row],[bill_date]],"mmmm")</f>
        <v>October</v>
      </c>
      <c r="E1576" s="9">
        <f>YEAR(Table5[[#This Row],[bill_date]])</f>
        <v>2022</v>
      </c>
      <c r="F1576">
        <v>812</v>
      </c>
      <c r="G1576" t="s">
        <v>30</v>
      </c>
    </row>
    <row r="1577" spans="1:7" x14ac:dyDescent="0.3">
      <c r="A1577">
        <v>31576</v>
      </c>
      <c r="B1577">
        <v>425</v>
      </c>
      <c r="C1577" s="2">
        <v>44838</v>
      </c>
      <c r="D1577" s="2" t="str">
        <f>TEXT(Table5[[#This Row],[bill_date]],"mmmm")</f>
        <v>October</v>
      </c>
      <c r="E1577" s="9">
        <f>YEAR(Table5[[#This Row],[bill_date]])</f>
        <v>2022</v>
      </c>
      <c r="F1577">
        <v>297</v>
      </c>
      <c r="G1577" t="s">
        <v>29</v>
      </c>
    </row>
    <row r="1578" spans="1:7" x14ac:dyDescent="0.3">
      <c r="A1578">
        <v>31577</v>
      </c>
      <c r="B1578">
        <v>149</v>
      </c>
      <c r="C1578" s="2">
        <v>45377</v>
      </c>
      <c r="D1578" s="2" t="str">
        <f>TEXT(Table5[[#This Row],[bill_date]],"mmmm")</f>
        <v>March</v>
      </c>
      <c r="E1578" s="9">
        <f>YEAR(Table5[[#This Row],[bill_date]])</f>
        <v>2024</v>
      </c>
      <c r="F1578">
        <v>505</v>
      </c>
      <c r="G1578" t="s">
        <v>30</v>
      </c>
    </row>
    <row r="1579" spans="1:7" x14ac:dyDescent="0.3">
      <c r="A1579">
        <v>31578</v>
      </c>
      <c r="B1579">
        <v>288</v>
      </c>
      <c r="C1579" s="2">
        <v>44883</v>
      </c>
      <c r="D1579" s="2" t="str">
        <f>TEXT(Table5[[#This Row],[bill_date]],"mmmm")</f>
        <v>November</v>
      </c>
      <c r="E1579" s="9">
        <f>YEAR(Table5[[#This Row],[bill_date]])</f>
        <v>2022</v>
      </c>
      <c r="F1579">
        <v>993</v>
      </c>
      <c r="G1579" t="s">
        <v>30</v>
      </c>
    </row>
    <row r="1580" spans="1:7" x14ac:dyDescent="0.3">
      <c r="A1580">
        <v>31579</v>
      </c>
      <c r="B1580">
        <v>12</v>
      </c>
      <c r="C1580" s="2">
        <v>44676</v>
      </c>
      <c r="D1580" s="2" t="str">
        <f>TEXT(Table5[[#This Row],[bill_date]],"mmmm")</f>
        <v>April</v>
      </c>
      <c r="E1580" s="9">
        <f>YEAR(Table5[[#This Row],[bill_date]])</f>
        <v>2022</v>
      </c>
      <c r="F1580">
        <v>589</v>
      </c>
      <c r="G1580" t="s">
        <v>30</v>
      </c>
    </row>
    <row r="1581" spans="1:7" x14ac:dyDescent="0.3">
      <c r="A1581">
        <v>31580</v>
      </c>
      <c r="B1581">
        <v>485</v>
      </c>
      <c r="C1581" s="2">
        <v>44833</v>
      </c>
      <c r="D1581" s="2" t="str">
        <f>TEXT(Table5[[#This Row],[bill_date]],"mmmm")</f>
        <v>September</v>
      </c>
      <c r="E1581" s="9">
        <f>YEAR(Table5[[#This Row],[bill_date]])</f>
        <v>2022</v>
      </c>
      <c r="F1581">
        <v>1313</v>
      </c>
      <c r="G1581" t="s">
        <v>30</v>
      </c>
    </row>
    <row r="1582" spans="1:7" x14ac:dyDescent="0.3">
      <c r="A1582">
        <v>31581</v>
      </c>
      <c r="B1582">
        <v>104</v>
      </c>
      <c r="C1582" s="2">
        <v>44729</v>
      </c>
      <c r="D1582" s="2" t="str">
        <f>TEXT(Table5[[#This Row],[bill_date]],"mmmm")</f>
        <v>June</v>
      </c>
      <c r="E1582" s="9">
        <f>YEAR(Table5[[#This Row],[bill_date]])</f>
        <v>2022</v>
      </c>
      <c r="F1582">
        <v>572</v>
      </c>
      <c r="G1582" t="s">
        <v>30</v>
      </c>
    </row>
    <row r="1583" spans="1:7" x14ac:dyDescent="0.3">
      <c r="A1583">
        <v>31582</v>
      </c>
      <c r="B1583">
        <v>111</v>
      </c>
      <c r="C1583" s="2">
        <v>45350</v>
      </c>
      <c r="D1583" s="2" t="str">
        <f>TEXT(Table5[[#This Row],[bill_date]],"mmmm")</f>
        <v>February</v>
      </c>
      <c r="E1583" s="9">
        <f>YEAR(Table5[[#This Row],[bill_date]])</f>
        <v>2024</v>
      </c>
      <c r="F1583">
        <v>402</v>
      </c>
      <c r="G1583" t="s">
        <v>30</v>
      </c>
    </row>
    <row r="1584" spans="1:7" x14ac:dyDescent="0.3">
      <c r="A1584">
        <v>31583</v>
      </c>
      <c r="B1584">
        <v>263</v>
      </c>
      <c r="C1584" s="2">
        <v>44997</v>
      </c>
      <c r="D1584" s="2" t="str">
        <f>TEXT(Table5[[#This Row],[bill_date]],"mmmm")</f>
        <v>March</v>
      </c>
      <c r="E1584" s="9">
        <f>YEAR(Table5[[#This Row],[bill_date]])</f>
        <v>2023</v>
      </c>
      <c r="F1584">
        <v>1972</v>
      </c>
      <c r="G1584" t="s">
        <v>30</v>
      </c>
    </row>
    <row r="1585" spans="1:7" x14ac:dyDescent="0.3">
      <c r="A1585">
        <v>31584</v>
      </c>
      <c r="B1585">
        <v>435</v>
      </c>
      <c r="C1585" s="2">
        <v>45430</v>
      </c>
      <c r="D1585" s="2" t="str">
        <f>TEXT(Table5[[#This Row],[bill_date]],"mmmm")</f>
        <v>May</v>
      </c>
      <c r="E1585" s="9">
        <f>YEAR(Table5[[#This Row],[bill_date]])</f>
        <v>2024</v>
      </c>
      <c r="F1585">
        <v>807</v>
      </c>
      <c r="G1585" t="s">
        <v>30</v>
      </c>
    </row>
    <row r="1586" spans="1:7" x14ac:dyDescent="0.3">
      <c r="A1586">
        <v>31585</v>
      </c>
      <c r="B1586">
        <v>173</v>
      </c>
      <c r="C1586" s="2">
        <v>44825</v>
      </c>
      <c r="D1586" s="2" t="str">
        <f>TEXT(Table5[[#This Row],[bill_date]],"mmmm")</f>
        <v>September</v>
      </c>
      <c r="E1586" s="9">
        <f>YEAR(Table5[[#This Row],[bill_date]])</f>
        <v>2022</v>
      </c>
      <c r="F1586">
        <v>831</v>
      </c>
      <c r="G1586" t="s">
        <v>29</v>
      </c>
    </row>
    <row r="1587" spans="1:7" x14ac:dyDescent="0.3">
      <c r="A1587">
        <v>31586</v>
      </c>
      <c r="B1587">
        <v>95</v>
      </c>
      <c r="C1587" s="2">
        <v>44811</v>
      </c>
      <c r="D1587" s="2" t="str">
        <f>TEXT(Table5[[#This Row],[bill_date]],"mmmm")</f>
        <v>September</v>
      </c>
      <c r="E1587" s="9">
        <f>YEAR(Table5[[#This Row],[bill_date]])</f>
        <v>2022</v>
      </c>
      <c r="F1587">
        <v>1339</v>
      </c>
      <c r="G1587" t="s">
        <v>30</v>
      </c>
    </row>
    <row r="1588" spans="1:7" x14ac:dyDescent="0.3">
      <c r="A1588">
        <v>31587</v>
      </c>
      <c r="B1588">
        <v>321</v>
      </c>
      <c r="C1588" s="2">
        <v>45023</v>
      </c>
      <c r="D1588" s="2" t="str">
        <f>TEXT(Table5[[#This Row],[bill_date]],"mmmm")</f>
        <v>April</v>
      </c>
      <c r="E1588" s="9">
        <f>YEAR(Table5[[#This Row],[bill_date]])</f>
        <v>2023</v>
      </c>
      <c r="F1588">
        <v>264</v>
      </c>
      <c r="G1588" t="s">
        <v>30</v>
      </c>
    </row>
    <row r="1589" spans="1:7" x14ac:dyDescent="0.3">
      <c r="A1589">
        <v>31588</v>
      </c>
      <c r="B1589">
        <v>444</v>
      </c>
      <c r="C1589" s="2">
        <v>45439</v>
      </c>
      <c r="D1589" s="2" t="str">
        <f>TEXT(Table5[[#This Row],[bill_date]],"mmmm")</f>
        <v>May</v>
      </c>
      <c r="E1589" s="9">
        <f>YEAR(Table5[[#This Row],[bill_date]])</f>
        <v>2024</v>
      </c>
      <c r="F1589">
        <v>329</v>
      </c>
      <c r="G1589" t="s">
        <v>30</v>
      </c>
    </row>
    <row r="1590" spans="1:7" x14ac:dyDescent="0.3">
      <c r="A1590">
        <v>31589</v>
      </c>
      <c r="B1590">
        <v>203</v>
      </c>
      <c r="C1590" s="2">
        <v>45000</v>
      </c>
      <c r="D1590" s="2" t="str">
        <f>TEXT(Table5[[#This Row],[bill_date]],"mmmm")</f>
        <v>March</v>
      </c>
      <c r="E1590" s="9">
        <f>YEAR(Table5[[#This Row],[bill_date]])</f>
        <v>2023</v>
      </c>
      <c r="F1590">
        <v>977</v>
      </c>
      <c r="G1590" t="s">
        <v>30</v>
      </c>
    </row>
    <row r="1591" spans="1:7" x14ac:dyDescent="0.3">
      <c r="A1591">
        <v>31590</v>
      </c>
      <c r="B1591">
        <v>45</v>
      </c>
      <c r="C1591" s="2">
        <v>45328</v>
      </c>
      <c r="D1591" s="2" t="str">
        <f>TEXT(Table5[[#This Row],[bill_date]],"mmmm")</f>
        <v>February</v>
      </c>
      <c r="E1591" s="9">
        <f>YEAR(Table5[[#This Row],[bill_date]])</f>
        <v>2024</v>
      </c>
      <c r="F1591">
        <v>1099</v>
      </c>
      <c r="G1591" t="s">
        <v>28</v>
      </c>
    </row>
    <row r="1592" spans="1:7" x14ac:dyDescent="0.3">
      <c r="A1592">
        <v>31591</v>
      </c>
      <c r="B1592">
        <v>34</v>
      </c>
      <c r="C1592" s="2">
        <v>44903</v>
      </c>
      <c r="D1592" s="2" t="str">
        <f>TEXT(Table5[[#This Row],[bill_date]],"mmmm")</f>
        <v>December</v>
      </c>
      <c r="E1592" s="9">
        <f>YEAR(Table5[[#This Row],[bill_date]])</f>
        <v>2022</v>
      </c>
      <c r="F1592">
        <v>1026</v>
      </c>
      <c r="G1592" t="s">
        <v>30</v>
      </c>
    </row>
    <row r="1593" spans="1:7" x14ac:dyDescent="0.3">
      <c r="A1593">
        <v>31592</v>
      </c>
      <c r="B1593">
        <v>211</v>
      </c>
      <c r="C1593" s="2">
        <v>45027</v>
      </c>
      <c r="D1593" s="2" t="str">
        <f>TEXT(Table5[[#This Row],[bill_date]],"mmmm")</f>
        <v>April</v>
      </c>
      <c r="E1593" s="9">
        <f>YEAR(Table5[[#This Row],[bill_date]])</f>
        <v>2023</v>
      </c>
      <c r="F1593">
        <v>1608</v>
      </c>
      <c r="G1593" t="s">
        <v>30</v>
      </c>
    </row>
    <row r="1594" spans="1:7" x14ac:dyDescent="0.3">
      <c r="A1594">
        <v>31593</v>
      </c>
      <c r="B1594">
        <v>395</v>
      </c>
      <c r="C1594" s="2">
        <v>44619</v>
      </c>
      <c r="D1594" s="2" t="str">
        <f>TEXT(Table5[[#This Row],[bill_date]],"mmmm")</f>
        <v>February</v>
      </c>
      <c r="E1594" s="9">
        <f>YEAR(Table5[[#This Row],[bill_date]])</f>
        <v>2022</v>
      </c>
      <c r="F1594">
        <v>290</v>
      </c>
      <c r="G1594" t="s">
        <v>30</v>
      </c>
    </row>
    <row r="1595" spans="1:7" x14ac:dyDescent="0.3">
      <c r="A1595">
        <v>31594</v>
      </c>
      <c r="B1595">
        <v>225</v>
      </c>
      <c r="C1595" s="2">
        <v>44566</v>
      </c>
      <c r="D1595" s="2" t="str">
        <f>TEXT(Table5[[#This Row],[bill_date]],"mmmm")</f>
        <v>January</v>
      </c>
      <c r="E1595" s="9">
        <f>YEAR(Table5[[#This Row],[bill_date]])</f>
        <v>2022</v>
      </c>
      <c r="F1595">
        <v>1299</v>
      </c>
      <c r="G1595" t="s">
        <v>30</v>
      </c>
    </row>
    <row r="1596" spans="1:7" x14ac:dyDescent="0.3">
      <c r="A1596">
        <v>31595</v>
      </c>
      <c r="B1596">
        <v>417</v>
      </c>
      <c r="C1596" s="2">
        <v>45184</v>
      </c>
      <c r="D1596" s="2" t="str">
        <f>TEXT(Table5[[#This Row],[bill_date]],"mmmm")</f>
        <v>September</v>
      </c>
      <c r="E1596" s="9">
        <f>YEAR(Table5[[#This Row],[bill_date]])</f>
        <v>2023</v>
      </c>
      <c r="F1596">
        <v>1972</v>
      </c>
      <c r="G1596" t="s">
        <v>30</v>
      </c>
    </row>
    <row r="1597" spans="1:7" x14ac:dyDescent="0.3">
      <c r="A1597">
        <v>31596</v>
      </c>
      <c r="B1597">
        <v>264</v>
      </c>
      <c r="C1597" s="2">
        <v>45438</v>
      </c>
      <c r="D1597" s="2" t="str">
        <f>TEXT(Table5[[#This Row],[bill_date]],"mmmm")</f>
        <v>May</v>
      </c>
      <c r="E1597" s="9">
        <f>YEAR(Table5[[#This Row],[bill_date]])</f>
        <v>2024</v>
      </c>
      <c r="F1597">
        <v>1474</v>
      </c>
      <c r="G1597" t="s">
        <v>30</v>
      </c>
    </row>
    <row r="1598" spans="1:7" x14ac:dyDescent="0.3">
      <c r="A1598">
        <v>31597</v>
      </c>
      <c r="B1598">
        <v>301</v>
      </c>
      <c r="C1598" s="2">
        <v>45359</v>
      </c>
      <c r="D1598" s="2" t="str">
        <f>TEXT(Table5[[#This Row],[bill_date]],"mmmm")</f>
        <v>March</v>
      </c>
      <c r="E1598" s="9">
        <f>YEAR(Table5[[#This Row],[bill_date]])</f>
        <v>2024</v>
      </c>
      <c r="F1598">
        <v>937</v>
      </c>
      <c r="G1598" t="s">
        <v>30</v>
      </c>
    </row>
    <row r="1599" spans="1:7" x14ac:dyDescent="0.3">
      <c r="A1599">
        <v>31598</v>
      </c>
      <c r="B1599">
        <v>456</v>
      </c>
      <c r="C1599" s="2">
        <v>45424</v>
      </c>
      <c r="D1599" s="2" t="str">
        <f>TEXT(Table5[[#This Row],[bill_date]],"mmmm")</f>
        <v>May</v>
      </c>
      <c r="E1599" s="9">
        <f>YEAR(Table5[[#This Row],[bill_date]])</f>
        <v>2024</v>
      </c>
      <c r="F1599">
        <v>1542</v>
      </c>
      <c r="G1599" t="s">
        <v>29</v>
      </c>
    </row>
    <row r="1600" spans="1:7" x14ac:dyDescent="0.3">
      <c r="A1600">
        <v>31599</v>
      </c>
      <c r="B1600">
        <v>226</v>
      </c>
      <c r="C1600" s="2">
        <v>44826</v>
      </c>
      <c r="D1600" s="2" t="str">
        <f>TEXT(Table5[[#This Row],[bill_date]],"mmmm")</f>
        <v>September</v>
      </c>
      <c r="E1600" s="9">
        <f>YEAR(Table5[[#This Row],[bill_date]])</f>
        <v>2022</v>
      </c>
      <c r="F1600">
        <v>851</v>
      </c>
      <c r="G1600" t="s">
        <v>30</v>
      </c>
    </row>
    <row r="1601" spans="1:7" x14ac:dyDescent="0.3">
      <c r="A1601">
        <v>31600</v>
      </c>
      <c r="B1601">
        <v>104</v>
      </c>
      <c r="C1601" s="2">
        <v>44810</v>
      </c>
      <c r="D1601" s="2" t="str">
        <f>TEXT(Table5[[#This Row],[bill_date]],"mmmm")</f>
        <v>September</v>
      </c>
      <c r="E1601" s="9">
        <f>YEAR(Table5[[#This Row],[bill_date]])</f>
        <v>2022</v>
      </c>
      <c r="F1601">
        <v>252</v>
      </c>
      <c r="G1601" t="s">
        <v>30</v>
      </c>
    </row>
    <row r="1602" spans="1:7" x14ac:dyDescent="0.3">
      <c r="A1602">
        <v>31601</v>
      </c>
      <c r="B1602">
        <v>475</v>
      </c>
      <c r="C1602" s="2">
        <v>44656</v>
      </c>
      <c r="D1602" s="2" t="str">
        <f>TEXT(Table5[[#This Row],[bill_date]],"mmmm")</f>
        <v>April</v>
      </c>
      <c r="E1602" s="9">
        <f>YEAR(Table5[[#This Row],[bill_date]])</f>
        <v>2022</v>
      </c>
      <c r="F1602">
        <v>1874</v>
      </c>
      <c r="G1602" t="s">
        <v>30</v>
      </c>
    </row>
    <row r="1603" spans="1:7" x14ac:dyDescent="0.3">
      <c r="A1603">
        <v>31602</v>
      </c>
      <c r="B1603">
        <v>221</v>
      </c>
      <c r="C1603" s="2">
        <v>45424</v>
      </c>
      <c r="D1603" s="2" t="str">
        <f>TEXT(Table5[[#This Row],[bill_date]],"mmmm")</f>
        <v>May</v>
      </c>
      <c r="E1603" s="9">
        <f>YEAR(Table5[[#This Row],[bill_date]])</f>
        <v>2024</v>
      </c>
      <c r="F1603">
        <v>856</v>
      </c>
      <c r="G1603" t="s">
        <v>30</v>
      </c>
    </row>
    <row r="1604" spans="1:7" x14ac:dyDescent="0.3">
      <c r="A1604">
        <v>31603</v>
      </c>
      <c r="B1604">
        <v>334</v>
      </c>
      <c r="C1604" s="2">
        <v>45370</v>
      </c>
      <c r="D1604" s="2" t="str">
        <f>TEXT(Table5[[#This Row],[bill_date]],"mmmm")</f>
        <v>March</v>
      </c>
      <c r="E1604" s="9">
        <f>YEAR(Table5[[#This Row],[bill_date]])</f>
        <v>2024</v>
      </c>
      <c r="F1604">
        <v>1367</v>
      </c>
      <c r="G1604" t="s">
        <v>30</v>
      </c>
    </row>
    <row r="1605" spans="1:7" x14ac:dyDescent="0.3">
      <c r="A1605">
        <v>31604</v>
      </c>
      <c r="B1605">
        <v>418</v>
      </c>
      <c r="C1605" s="2">
        <v>45380</v>
      </c>
      <c r="D1605" s="2" t="str">
        <f>TEXT(Table5[[#This Row],[bill_date]],"mmmm")</f>
        <v>March</v>
      </c>
      <c r="E1605" s="9">
        <f>YEAR(Table5[[#This Row],[bill_date]])</f>
        <v>2024</v>
      </c>
      <c r="F1605">
        <v>877</v>
      </c>
      <c r="G1605" t="s">
        <v>30</v>
      </c>
    </row>
    <row r="1606" spans="1:7" x14ac:dyDescent="0.3">
      <c r="A1606">
        <v>31605</v>
      </c>
      <c r="B1606">
        <v>301</v>
      </c>
      <c r="C1606" s="2">
        <v>45258</v>
      </c>
      <c r="D1606" s="2" t="str">
        <f>TEXT(Table5[[#This Row],[bill_date]],"mmmm")</f>
        <v>November</v>
      </c>
      <c r="E1606" s="9">
        <f>YEAR(Table5[[#This Row],[bill_date]])</f>
        <v>2023</v>
      </c>
      <c r="F1606">
        <v>1308</v>
      </c>
      <c r="G1606" t="s">
        <v>30</v>
      </c>
    </row>
    <row r="1607" spans="1:7" x14ac:dyDescent="0.3">
      <c r="A1607">
        <v>31606</v>
      </c>
      <c r="B1607">
        <v>123</v>
      </c>
      <c r="C1607" s="2">
        <v>45018</v>
      </c>
      <c r="D1607" s="2" t="str">
        <f>TEXT(Table5[[#This Row],[bill_date]],"mmmm")</f>
        <v>April</v>
      </c>
      <c r="E1607" s="9">
        <f>YEAR(Table5[[#This Row],[bill_date]])</f>
        <v>2023</v>
      </c>
      <c r="F1607">
        <v>1363</v>
      </c>
      <c r="G1607" t="s">
        <v>30</v>
      </c>
    </row>
    <row r="1608" spans="1:7" x14ac:dyDescent="0.3">
      <c r="A1608">
        <v>31607</v>
      </c>
      <c r="B1608">
        <v>485</v>
      </c>
      <c r="C1608" s="2">
        <v>45302</v>
      </c>
      <c r="D1608" s="2" t="str">
        <f>TEXT(Table5[[#This Row],[bill_date]],"mmmm")</f>
        <v>January</v>
      </c>
      <c r="E1608" s="9">
        <f>YEAR(Table5[[#This Row],[bill_date]])</f>
        <v>2024</v>
      </c>
      <c r="F1608">
        <v>243</v>
      </c>
      <c r="G1608" t="s">
        <v>30</v>
      </c>
    </row>
    <row r="1609" spans="1:7" x14ac:dyDescent="0.3">
      <c r="A1609">
        <v>31608</v>
      </c>
      <c r="B1609">
        <v>449</v>
      </c>
      <c r="C1609" s="2">
        <v>44878</v>
      </c>
      <c r="D1609" s="2" t="str">
        <f>TEXT(Table5[[#This Row],[bill_date]],"mmmm")</f>
        <v>November</v>
      </c>
      <c r="E1609" s="9">
        <f>YEAR(Table5[[#This Row],[bill_date]])</f>
        <v>2022</v>
      </c>
      <c r="F1609">
        <v>1862</v>
      </c>
      <c r="G1609" t="s">
        <v>28</v>
      </c>
    </row>
    <row r="1610" spans="1:7" x14ac:dyDescent="0.3">
      <c r="A1610">
        <v>31609</v>
      </c>
      <c r="B1610">
        <v>457</v>
      </c>
      <c r="C1610" s="2">
        <v>45335</v>
      </c>
      <c r="D1610" s="2" t="str">
        <f>TEXT(Table5[[#This Row],[bill_date]],"mmmm")</f>
        <v>February</v>
      </c>
      <c r="E1610" s="9">
        <f>YEAR(Table5[[#This Row],[bill_date]])</f>
        <v>2024</v>
      </c>
      <c r="F1610">
        <v>315</v>
      </c>
      <c r="G1610" t="s">
        <v>28</v>
      </c>
    </row>
    <row r="1611" spans="1:7" x14ac:dyDescent="0.3">
      <c r="A1611">
        <v>31610</v>
      </c>
      <c r="B1611">
        <v>436</v>
      </c>
      <c r="C1611" s="2">
        <v>44680</v>
      </c>
      <c r="D1611" s="2" t="str">
        <f>TEXT(Table5[[#This Row],[bill_date]],"mmmm")</f>
        <v>April</v>
      </c>
      <c r="E1611" s="9">
        <f>YEAR(Table5[[#This Row],[bill_date]])</f>
        <v>2022</v>
      </c>
      <c r="F1611">
        <v>345</v>
      </c>
      <c r="G1611" t="s">
        <v>28</v>
      </c>
    </row>
    <row r="1612" spans="1:7" x14ac:dyDescent="0.3">
      <c r="A1612">
        <v>31611</v>
      </c>
      <c r="B1612">
        <v>394</v>
      </c>
      <c r="C1612" s="2">
        <v>45307</v>
      </c>
      <c r="D1612" s="2" t="str">
        <f>TEXT(Table5[[#This Row],[bill_date]],"mmmm")</f>
        <v>January</v>
      </c>
      <c r="E1612" s="9">
        <f>YEAR(Table5[[#This Row],[bill_date]])</f>
        <v>2024</v>
      </c>
      <c r="F1612">
        <v>857</v>
      </c>
      <c r="G1612" t="s">
        <v>29</v>
      </c>
    </row>
    <row r="1613" spans="1:7" x14ac:dyDescent="0.3">
      <c r="A1613">
        <v>31612</v>
      </c>
      <c r="B1613">
        <v>222</v>
      </c>
      <c r="C1613" s="2">
        <v>45355</v>
      </c>
      <c r="D1613" s="2" t="str">
        <f>TEXT(Table5[[#This Row],[bill_date]],"mmmm")</f>
        <v>March</v>
      </c>
      <c r="E1613" s="9">
        <f>YEAR(Table5[[#This Row],[bill_date]])</f>
        <v>2024</v>
      </c>
      <c r="F1613">
        <v>1243</v>
      </c>
      <c r="G1613" t="s">
        <v>30</v>
      </c>
    </row>
    <row r="1614" spans="1:7" x14ac:dyDescent="0.3">
      <c r="A1614">
        <v>31613</v>
      </c>
      <c r="B1614">
        <v>43</v>
      </c>
      <c r="C1614" s="2">
        <v>44763</v>
      </c>
      <c r="D1614" s="2" t="str">
        <f>TEXT(Table5[[#This Row],[bill_date]],"mmmm")</f>
        <v>July</v>
      </c>
      <c r="E1614" s="9">
        <f>YEAR(Table5[[#This Row],[bill_date]])</f>
        <v>2022</v>
      </c>
      <c r="F1614">
        <v>734</v>
      </c>
      <c r="G1614" t="s">
        <v>30</v>
      </c>
    </row>
    <row r="1615" spans="1:7" x14ac:dyDescent="0.3">
      <c r="A1615">
        <v>31614</v>
      </c>
      <c r="B1615">
        <v>210</v>
      </c>
      <c r="C1615" s="2">
        <v>45335</v>
      </c>
      <c r="D1615" s="2" t="str">
        <f>TEXT(Table5[[#This Row],[bill_date]],"mmmm")</f>
        <v>February</v>
      </c>
      <c r="E1615" s="9">
        <f>YEAR(Table5[[#This Row],[bill_date]])</f>
        <v>2024</v>
      </c>
      <c r="F1615">
        <v>1380</v>
      </c>
      <c r="G1615" t="s">
        <v>28</v>
      </c>
    </row>
    <row r="1616" spans="1:7" x14ac:dyDescent="0.3">
      <c r="A1616">
        <v>31615</v>
      </c>
      <c r="B1616">
        <v>337</v>
      </c>
      <c r="C1616" s="2">
        <v>44614</v>
      </c>
      <c r="D1616" s="2" t="str">
        <f>TEXT(Table5[[#This Row],[bill_date]],"mmmm")</f>
        <v>February</v>
      </c>
      <c r="E1616" s="9">
        <f>YEAR(Table5[[#This Row],[bill_date]])</f>
        <v>2022</v>
      </c>
      <c r="F1616">
        <v>1698</v>
      </c>
      <c r="G1616" t="s">
        <v>28</v>
      </c>
    </row>
    <row r="1617" spans="1:7" x14ac:dyDescent="0.3">
      <c r="A1617">
        <v>31616</v>
      </c>
      <c r="B1617">
        <v>454</v>
      </c>
      <c r="C1617" s="2">
        <v>44878</v>
      </c>
      <c r="D1617" s="2" t="str">
        <f>TEXT(Table5[[#This Row],[bill_date]],"mmmm")</f>
        <v>November</v>
      </c>
      <c r="E1617" s="9">
        <f>YEAR(Table5[[#This Row],[bill_date]])</f>
        <v>2022</v>
      </c>
      <c r="F1617">
        <v>1270</v>
      </c>
      <c r="G1617" t="s">
        <v>30</v>
      </c>
    </row>
    <row r="1618" spans="1:7" x14ac:dyDescent="0.3">
      <c r="A1618">
        <v>31617</v>
      </c>
      <c r="B1618">
        <v>11</v>
      </c>
      <c r="C1618" s="2">
        <v>45234</v>
      </c>
      <c r="D1618" s="2" t="str">
        <f>TEXT(Table5[[#This Row],[bill_date]],"mmmm")</f>
        <v>November</v>
      </c>
      <c r="E1618" s="9">
        <f>YEAR(Table5[[#This Row],[bill_date]])</f>
        <v>2023</v>
      </c>
      <c r="F1618">
        <v>617</v>
      </c>
      <c r="G1618" t="s">
        <v>30</v>
      </c>
    </row>
    <row r="1619" spans="1:7" x14ac:dyDescent="0.3">
      <c r="A1619">
        <v>31618</v>
      </c>
      <c r="B1619">
        <v>216</v>
      </c>
      <c r="C1619" s="2">
        <v>44805</v>
      </c>
      <c r="D1619" s="2" t="str">
        <f>TEXT(Table5[[#This Row],[bill_date]],"mmmm")</f>
        <v>September</v>
      </c>
      <c r="E1619" s="9">
        <f>YEAR(Table5[[#This Row],[bill_date]])</f>
        <v>2022</v>
      </c>
      <c r="F1619">
        <v>1332</v>
      </c>
      <c r="G1619" t="s">
        <v>30</v>
      </c>
    </row>
    <row r="1620" spans="1:7" x14ac:dyDescent="0.3">
      <c r="A1620">
        <v>31619</v>
      </c>
      <c r="B1620">
        <v>164</v>
      </c>
      <c r="C1620" s="2">
        <v>44655</v>
      </c>
      <c r="D1620" s="2" t="str">
        <f>TEXT(Table5[[#This Row],[bill_date]],"mmmm")</f>
        <v>April</v>
      </c>
      <c r="E1620" s="9">
        <f>YEAR(Table5[[#This Row],[bill_date]])</f>
        <v>2022</v>
      </c>
      <c r="F1620">
        <v>1211</v>
      </c>
      <c r="G1620" t="s">
        <v>30</v>
      </c>
    </row>
    <row r="1621" spans="1:7" x14ac:dyDescent="0.3">
      <c r="A1621">
        <v>31620</v>
      </c>
      <c r="B1621">
        <v>225</v>
      </c>
      <c r="C1621" s="2">
        <v>45113</v>
      </c>
      <c r="D1621" s="2" t="str">
        <f>TEXT(Table5[[#This Row],[bill_date]],"mmmm")</f>
        <v>July</v>
      </c>
      <c r="E1621" s="9">
        <f>YEAR(Table5[[#This Row],[bill_date]])</f>
        <v>2023</v>
      </c>
      <c r="F1621">
        <v>769</v>
      </c>
      <c r="G1621" t="s">
        <v>30</v>
      </c>
    </row>
    <row r="1622" spans="1:7" x14ac:dyDescent="0.3">
      <c r="A1622">
        <v>31621</v>
      </c>
      <c r="B1622">
        <v>225</v>
      </c>
      <c r="C1622" s="2">
        <v>44841</v>
      </c>
      <c r="D1622" s="2" t="str">
        <f>TEXT(Table5[[#This Row],[bill_date]],"mmmm")</f>
        <v>October</v>
      </c>
      <c r="E1622" s="9">
        <f>YEAR(Table5[[#This Row],[bill_date]])</f>
        <v>2022</v>
      </c>
      <c r="F1622">
        <v>1196</v>
      </c>
      <c r="G1622" t="s">
        <v>30</v>
      </c>
    </row>
    <row r="1623" spans="1:7" x14ac:dyDescent="0.3">
      <c r="A1623">
        <v>31622</v>
      </c>
      <c r="B1623">
        <v>246</v>
      </c>
      <c r="C1623" s="2">
        <v>44653</v>
      </c>
      <c r="D1623" s="2" t="str">
        <f>TEXT(Table5[[#This Row],[bill_date]],"mmmm")</f>
        <v>April</v>
      </c>
      <c r="E1623" s="9">
        <f>YEAR(Table5[[#This Row],[bill_date]])</f>
        <v>2022</v>
      </c>
      <c r="F1623">
        <v>1751</v>
      </c>
      <c r="G1623" t="s">
        <v>30</v>
      </c>
    </row>
    <row r="1624" spans="1:7" x14ac:dyDescent="0.3">
      <c r="A1624">
        <v>31623</v>
      </c>
      <c r="B1624">
        <v>146</v>
      </c>
      <c r="C1624" s="2">
        <v>45374</v>
      </c>
      <c r="D1624" s="2" t="str">
        <f>TEXT(Table5[[#This Row],[bill_date]],"mmmm")</f>
        <v>March</v>
      </c>
      <c r="E1624" s="9">
        <f>YEAR(Table5[[#This Row],[bill_date]])</f>
        <v>2024</v>
      </c>
      <c r="F1624">
        <v>1526</v>
      </c>
      <c r="G1624" t="s">
        <v>30</v>
      </c>
    </row>
    <row r="1625" spans="1:7" x14ac:dyDescent="0.3">
      <c r="A1625">
        <v>31624</v>
      </c>
      <c r="B1625">
        <v>191</v>
      </c>
      <c r="C1625" s="2">
        <v>44599</v>
      </c>
      <c r="D1625" s="2" t="str">
        <f>TEXT(Table5[[#This Row],[bill_date]],"mmmm")</f>
        <v>February</v>
      </c>
      <c r="E1625" s="9">
        <f>YEAR(Table5[[#This Row],[bill_date]])</f>
        <v>2022</v>
      </c>
      <c r="F1625">
        <v>680</v>
      </c>
      <c r="G1625" t="s">
        <v>30</v>
      </c>
    </row>
    <row r="1626" spans="1:7" x14ac:dyDescent="0.3">
      <c r="A1626">
        <v>31625</v>
      </c>
      <c r="B1626">
        <v>261</v>
      </c>
      <c r="C1626" s="2">
        <v>44974</v>
      </c>
      <c r="D1626" s="2" t="str">
        <f>TEXT(Table5[[#This Row],[bill_date]],"mmmm")</f>
        <v>February</v>
      </c>
      <c r="E1626" s="9">
        <f>YEAR(Table5[[#This Row],[bill_date]])</f>
        <v>2023</v>
      </c>
      <c r="F1626">
        <v>1789</v>
      </c>
      <c r="G1626" t="s">
        <v>30</v>
      </c>
    </row>
    <row r="1627" spans="1:7" x14ac:dyDescent="0.3">
      <c r="A1627">
        <v>31626</v>
      </c>
      <c r="B1627">
        <v>287</v>
      </c>
      <c r="C1627" s="2">
        <v>44804</v>
      </c>
      <c r="D1627" s="2" t="str">
        <f>TEXT(Table5[[#This Row],[bill_date]],"mmmm")</f>
        <v>August</v>
      </c>
      <c r="E1627" s="9">
        <f>YEAR(Table5[[#This Row],[bill_date]])</f>
        <v>2022</v>
      </c>
      <c r="F1627">
        <v>1359</v>
      </c>
      <c r="G1627" t="s">
        <v>29</v>
      </c>
    </row>
    <row r="1628" spans="1:7" x14ac:dyDescent="0.3">
      <c r="A1628">
        <v>31627</v>
      </c>
      <c r="B1628">
        <v>16</v>
      </c>
      <c r="C1628" s="2">
        <v>44925</v>
      </c>
      <c r="D1628" s="2" t="str">
        <f>TEXT(Table5[[#This Row],[bill_date]],"mmmm")</f>
        <v>December</v>
      </c>
      <c r="E1628" s="9">
        <f>YEAR(Table5[[#This Row],[bill_date]])</f>
        <v>2022</v>
      </c>
      <c r="F1628">
        <v>1299</v>
      </c>
      <c r="G1628" t="s">
        <v>30</v>
      </c>
    </row>
    <row r="1629" spans="1:7" x14ac:dyDescent="0.3">
      <c r="A1629">
        <v>31628</v>
      </c>
      <c r="B1629">
        <v>194</v>
      </c>
      <c r="C1629" s="2">
        <v>45209</v>
      </c>
      <c r="D1629" s="2" t="str">
        <f>TEXT(Table5[[#This Row],[bill_date]],"mmmm")</f>
        <v>October</v>
      </c>
      <c r="E1629" s="9">
        <f>YEAR(Table5[[#This Row],[bill_date]])</f>
        <v>2023</v>
      </c>
      <c r="F1629">
        <v>468</v>
      </c>
      <c r="G1629" t="s">
        <v>30</v>
      </c>
    </row>
    <row r="1630" spans="1:7" x14ac:dyDescent="0.3">
      <c r="A1630">
        <v>31629</v>
      </c>
      <c r="B1630">
        <v>9</v>
      </c>
      <c r="C1630" s="2">
        <v>44625</v>
      </c>
      <c r="D1630" s="2" t="str">
        <f>TEXT(Table5[[#This Row],[bill_date]],"mmmm")</f>
        <v>March</v>
      </c>
      <c r="E1630" s="9">
        <f>YEAR(Table5[[#This Row],[bill_date]])</f>
        <v>2022</v>
      </c>
      <c r="F1630">
        <v>1120</v>
      </c>
      <c r="G1630" t="s">
        <v>30</v>
      </c>
    </row>
    <row r="1631" spans="1:7" x14ac:dyDescent="0.3">
      <c r="A1631">
        <v>31630</v>
      </c>
      <c r="B1631">
        <v>2</v>
      </c>
      <c r="C1631" s="2">
        <v>45416</v>
      </c>
      <c r="D1631" s="2" t="str">
        <f>TEXT(Table5[[#This Row],[bill_date]],"mmmm")</f>
        <v>May</v>
      </c>
      <c r="E1631" s="9">
        <f>YEAR(Table5[[#This Row],[bill_date]])</f>
        <v>2024</v>
      </c>
      <c r="F1631">
        <v>890</v>
      </c>
      <c r="G1631" t="s">
        <v>30</v>
      </c>
    </row>
    <row r="1632" spans="1:7" x14ac:dyDescent="0.3">
      <c r="A1632">
        <v>31631</v>
      </c>
      <c r="B1632">
        <v>293</v>
      </c>
      <c r="C1632" s="2">
        <v>45436</v>
      </c>
      <c r="D1632" s="2" t="str">
        <f>TEXT(Table5[[#This Row],[bill_date]],"mmmm")</f>
        <v>May</v>
      </c>
      <c r="E1632" s="9">
        <f>YEAR(Table5[[#This Row],[bill_date]])</f>
        <v>2024</v>
      </c>
      <c r="F1632">
        <v>1307</v>
      </c>
      <c r="G1632" t="s">
        <v>28</v>
      </c>
    </row>
    <row r="1633" spans="1:7" x14ac:dyDescent="0.3">
      <c r="A1633">
        <v>31632</v>
      </c>
      <c r="B1633">
        <v>84</v>
      </c>
      <c r="C1633" s="2">
        <v>44762</v>
      </c>
      <c r="D1633" s="2" t="str">
        <f>TEXT(Table5[[#This Row],[bill_date]],"mmmm")</f>
        <v>July</v>
      </c>
      <c r="E1633" s="9">
        <f>YEAR(Table5[[#This Row],[bill_date]])</f>
        <v>2022</v>
      </c>
      <c r="F1633">
        <v>1010</v>
      </c>
      <c r="G1633" t="s">
        <v>30</v>
      </c>
    </row>
    <row r="1634" spans="1:7" x14ac:dyDescent="0.3">
      <c r="A1634">
        <v>31633</v>
      </c>
      <c r="B1634">
        <v>443</v>
      </c>
      <c r="C1634" s="2">
        <v>44868</v>
      </c>
      <c r="D1634" s="2" t="str">
        <f>TEXT(Table5[[#This Row],[bill_date]],"mmmm")</f>
        <v>November</v>
      </c>
      <c r="E1634" s="9">
        <f>YEAR(Table5[[#This Row],[bill_date]])</f>
        <v>2022</v>
      </c>
      <c r="F1634">
        <v>1690</v>
      </c>
      <c r="G1634" t="s">
        <v>28</v>
      </c>
    </row>
    <row r="1635" spans="1:7" x14ac:dyDescent="0.3">
      <c r="A1635">
        <v>31634</v>
      </c>
      <c r="B1635">
        <v>209</v>
      </c>
      <c r="C1635" s="2">
        <v>45335</v>
      </c>
      <c r="D1635" s="2" t="str">
        <f>TEXT(Table5[[#This Row],[bill_date]],"mmmm")</f>
        <v>February</v>
      </c>
      <c r="E1635" s="9">
        <f>YEAR(Table5[[#This Row],[bill_date]])</f>
        <v>2024</v>
      </c>
      <c r="F1635">
        <v>1873</v>
      </c>
      <c r="G1635" t="s">
        <v>28</v>
      </c>
    </row>
    <row r="1636" spans="1:7" x14ac:dyDescent="0.3">
      <c r="A1636">
        <v>31635</v>
      </c>
      <c r="B1636">
        <v>58</v>
      </c>
      <c r="C1636" s="2">
        <v>44736</v>
      </c>
      <c r="D1636" s="2" t="str">
        <f>TEXT(Table5[[#This Row],[bill_date]],"mmmm")</f>
        <v>June</v>
      </c>
      <c r="E1636" s="9">
        <f>YEAR(Table5[[#This Row],[bill_date]])</f>
        <v>2022</v>
      </c>
      <c r="F1636">
        <v>1904</v>
      </c>
      <c r="G1636" t="s">
        <v>30</v>
      </c>
    </row>
    <row r="1637" spans="1:7" x14ac:dyDescent="0.3">
      <c r="A1637">
        <v>31636</v>
      </c>
      <c r="B1637">
        <v>473</v>
      </c>
      <c r="C1637" s="2">
        <v>45250</v>
      </c>
      <c r="D1637" s="2" t="str">
        <f>TEXT(Table5[[#This Row],[bill_date]],"mmmm")</f>
        <v>November</v>
      </c>
      <c r="E1637" s="9">
        <f>YEAR(Table5[[#This Row],[bill_date]])</f>
        <v>2023</v>
      </c>
      <c r="F1637">
        <v>440</v>
      </c>
      <c r="G1637" t="s">
        <v>30</v>
      </c>
    </row>
    <row r="1638" spans="1:7" x14ac:dyDescent="0.3">
      <c r="A1638">
        <v>31637</v>
      </c>
      <c r="B1638">
        <v>339</v>
      </c>
      <c r="C1638" s="2">
        <v>45158</v>
      </c>
      <c r="D1638" s="2" t="str">
        <f>TEXT(Table5[[#This Row],[bill_date]],"mmmm")</f>
        <v>August</v>
      </c>
      <c r="E1638" s="9">
        <f>YEAR(Table5[[#This Row],[bill_date]])</f>
        <v>2023</v>
      </c>
      <c r="F1638">
        <v>1129</v>
      </c>
      <c r="G1638" t="s">
        <v>30</v>
      </c>
    </row>
    <row r="1639" spans="1:7" x14ac:dyDescent="0.3">
      <c r="A1639">
        <v>31638</v>
      </c>
      <c r="B1639">
        <v>106</v>
      </c>
      <c r="C1639" s="2">
        <v>45233</v>
      </c>
      <c r="D1639" s="2" t="str">
        <f>TEXT(Table5[[#This Row],[bill_date]],"mmmm")</f>
        <v>November</v>
      </c>
      <c r="E1639" s="9">
        <f>YEAR(Table5[[#This Row],[bill_date]])</f>
        <v>2023</v>
      </c>
      <c r="F1639">
        <v>1286</v>
      </c>
      <c r="G1639" t="s">
        <v>30</v>
      </c>
    </row>
    <row r="1640" spans="1:7" x14ac:dyDescent="0.3">
      <c r="A1640">
        <v>31639</v>
      </c>
      <c r="B1640">
        <v>136</v>
      </c>
      <c r="C1640" s="2">
        <v>45255</v>
      </c>
      <c r="D1640" s="2" t="str">
        <f>TEXT(Table5[[#This Row],[bill_date]],"mmmm")</f>
        <v>November</v>
      </c>
      <c r="E1640" s="9">
        <f>YEAR(Table5[[#This Row],[bill_date]])</f>
        <v>2023</v>
      </c>
      <c r="F1640">
        <v>1462</v>
      </c>
      <c r="G1640" t="s">
        <v>30</v>
      </c>
    </row>
    <row r="1641" spans="1:7" x14ac:dyDescent="0.3">
      <c r="A1641">
        <v>31640</v>
      </c>
      <c r="B1641">
        <v>308</v>
      </c>
      <c r="C1641" s="2">
        <v>45109</v>
      </c>
      <c r="D1641" s="2" t="str">
        <f>TEXT(Table5[[#This Row],[bill_date]],"mmmm")</f>
        <v>July</v>
      </c>
      <c r="E1641" s="9">
        <f>YEAR(Table5[[#This Row],[bill_date]])</f>
        <v>2023</v>
      </c>
      <c r="F1641">
        <v>1317</v>
      </c>
      <c r="G1641" t="s">
        <v>28</v>
      </c>
    </row>
    <row r="1642" spans="1:7" x14ac:dyDescent="0.3">
      <c r="A1642">
        <v>31641</v>
      </c>
      <c r="B1642">
        <v>331</v>
      </c>
      <c r="C1642" s="2">
        <v>45418</v>
      </c>
      <c r="D1642" s="2" t="str">
        <f>TEXT(Table5[[#This Row],[bill_date]],"mmmm")</f>
        <v>May</v>
      </c>
      <c r="E1642" s="9">
        <f>YEAR(Table5[[#This Row],[bill_date]])</f>
        <v>2024</v>
      </c>
      <c r="F1642">
        <v>1880</v>
      </c>
      <c r="G1642" t="s">
        <v>30</v>
      </c>
    </row>
    <row r="1643" spans="1:7" x14ac:dyDescent="0.3">
      <c r="A1643">
        <v>31642</v>
      </c>
      <c r="B1643">
        <v>461</v>
      </c>
      <c r="C1643" s="2">
        <v>44660</v>
      </c>
      <c r="D1643" s="2" t="str">
        <f>TEXT(Table5[[#This Row],[bill_date]],"mmmm")</f>
        <v>April</v>
      </c>
      <c r="E1643" s="9">
        <f>YEAR(Table5[[#This Row],[bill_date]])</f>
        <v>2022</v>
      </c>
      <c r="F1643">
        <v>596</v>
      </c>
      <c r="G1643" t="s">
        <v>30</v>
      </c>
    </row>
    <row r="1644" spans="1:7" x14ac:dyDescent="0.3">
      <c r="A1644">
        <v>31643</v>
      </c>
      <c r="B1644">
        <v>77</v>
      </c>
      <c r="C1644" s="2">
        <v>44787</v>
      </c>
      <c r="D1644" s="2" t="str">
        <f>TEXT(Table5[[#This Row],[bill_date]],"mmmm")</f>
        <v>August</v>
      </c>
      <c r="E1644" s="9">
        <f>YEAR(Table5[[#This Row],[bill_date]])</f>
        <v>2022</v>
      </c>
      <c r="F1644">
        <v>1086</v>
      </c>
      <c r="G1644" t="s">
        <v>30</v>
      </c>
    </row>
    <row r="1645" spans="1:7" x14ac:dyDescent="0.3">
      <c r="A1645">
        <v>31644</v>
      </c>
      <c r="B1645">
        <v>457</v>
      </c>
      <c r="C1645" s="2">
        <v>45110</v>
      </c>
      <c r="D1645" s="2" t="str">
        <f>TEXT(Table5[[#This Row],[bill_date]],"mmmm")</f>
        <v>July</v>
      </c>
      <c r="E1645" s="9">
        <f>YEAR(Table5[[#This Row],[bill_date]])</f>
        <v>2023</v>
      </c>
      <c r="F1645">
        <v>247</v>
      </c>
      <c r="G1645" t="s">
        <v>30</v>
      </c>
    </row>
    <row r="1646" spans="1:7" x14ac:dyDescent="0.3">
      <c r="A1646">
        <v>31645</v>
      </c>
      <c r="B1646">
        <v>325</v>
      </c>
      <c r="C1646" s="2">
        <v>44834</v>
      </c>
      <c r="D1646" s="2" t="str">
        <f>TEXT(Table5[[#This Row],[bill_date]],"mmmm")</f>
        <v>September</v>
      </c>
      <c r="E1646" s="9">
        <f>YEAR(Table5[[#This Row],[bill_date]])</f>
        <v>2022</v>
      </c>
      <c r="F1646">
        <v>1675</v>
      </c>
      <c r="G1646" t="s">
        <v>28</v>
      </c>
    </row>
    <row r="1647" spans="1:7" x14ac:dyDescent="0.3">
      <c r="A1647">
        <v>31646</v>
      </c>
      <c r="B1647">
        <v>210</v>
      </c>
      <c r="C1647" s="2">
        <v>45345</v>
      </c>
      <c r="D1647" s="2" t="str">
        <f>TEXT(Table5[[#This Row],[bill_date]],"mmmm")</f>
        <v>February</v>
      </c>
      <c r="E1647" s="9">
        <f>YEAR(Table5[[#This Row],[bill_date]])</f>
        <v>2024</v>
      </c>
      <c r="F1647">
        <v>343</v>
      </c>
      <c r="G1647" t="s">
        <v>30</v>
      </c>
    </row>
    <row r="1648" spans="1:7" x14ac:dyDescent="0.3">
      <c r="A1648">
        <v>31647</v>
      </c>
      <c r="B1648">
        <v>232</v>
      </c>
      <c r="C1648" s="2">
        <v>44747</v>
      </c>
      <c r="D1648" s="2" t="str">
        <f>TEXT(Table5[[#This Row],[bill_date]],"mmmm")</f>
        <v>July</v>
      </c>
      <c r="E1648" s="9">
        <f>YEAR(Table5[[#This Row],[bill_date]])</f>
        <v>2022</v>
      </c>
      <c r="F1648">
        <v>1115</v>
      </c>
      <c r="G1648" t="s">
        <v>30</v>
      </c>
    </row>
    <row r="1649" spans="1:7" x14ac:dyDescent="0.3">
      <c r="A1649">
        <v>31648</v>
      </c>
      <c r="B1649">
        <v>125</v>
      </c>
      <c r="C1649" s="2">
        <v>45013</v>
      </c>
      <c r="D1649" s="2" t="str">
        <f>TEXT(Table5[[#This Row],[bill_date]],"mmmm")</f>
        <v>March</v>
      </c>
      <c r="E1649" s="9">
        <f>YEAR(Table5[[#This Row],[bill_date]])</f>
        <v>2023</v>
      </c>
      <c r="F1649">
        <v>596</v>
      </c>
      <c r="G1649" t="s">
        <v>30</v>
      </c>
    </row>
    <row r="1650" spans="1:7" x14ac:dyDescent="0.3">
      <c r="A1650">
        <v>31649</v>
      </c>
      <c r="B1650">
        <v>180</v>
      </c>
      <c r="C1650" s="2">
        <v>45122</v>
      </c>
      <c r="D1650" s="2" t="str">
        <f>TEXT(Table5[[#This Row],[bill_date]],"mmmm")</f>
        <v>July</v>
      </c>
      <c r="E1650" s="9">
        <f>YEAR(Table5[[#This Row],[bill_date]])</f>
        <v>2023</v>
      </c>
      <c r="F1650">
        <v>969</v>
      </c>
      <c r="G1650" t="s">
        <v>30</v>
      </c>
    </row>
    <row r="1651" spans="1:7" x14ac:dyDescent="0.3">
      <c r="A1651">
        <v>31650</v>
      </c>
      <c r="B1651">
        <v>462</v>
      </c>
      <c r="C1651" s="2">
        <v>45066</v>
      </c>
      <c r="D1651" s="2" t="str">
        <f>TEXT(Table5[[#This Row],[bill_date]],"mmmm")</f>
        <v>May</v>
      </c>
      <c r="E1651" s="9">
        <f>YEAR(Table5[[#This Row],[bill_date]])</f>
        <v>2023</v>
      </c>
      <c r="F1651">
        <v>869</v>
      </c>
      <c r="G1651" t="s">
        <v>30</v>
      </c>
    </row>
    <row r="1652" spans="1:7" x14ac:dyDescent="0.3">
      <c r="A1652">
        <v>31651</v>
      </c>
      <c r="B1652">
        <v>290</v>
      </c>
      <c r="C1652" s="2">
        <v>44655</v>
      </c>
      <c r="D1652" s="2" t="str">
        <f>TEXT(Table5[[#This Row],[bill_date]],"mmmm")</f>
        <v>April</v>
      </c>
      <c r="E1652" s="9">
        <f>YEAR(Table5[[#This Row],[bill_date]])</f>
        <v>2022</v>
      </c>
      <c r="F1652">
        <v>1951</v>
      </c>
      <c r="G1652" t="s">
        <v>30</v>
      </c>
    </row>
    <row r="1653" spans="1:7" x14ac:dyDescent="0.3">
      <c r="A1653">
        <v>31652</v>
      </c>
      <c r="B1653">
        <v>214</v>
      </c>
      <c r="C1653" s="2">
        <v>44868</v>
      </c>
      <c r="D1653" s="2" t="str">
        <f>TEXT(Table5[[#This Row],[bill_date]],"mmmm")</f>
        <v>November</v>
      </c>
      <c r="E1653" s="9">
        <f>YEAR(Table5[[#This Row],[bill_date]])</f>
        <v>2022</v>
      </c>
      <c r="F1653">
        <v>1525</v>
      </c>
      <c r="G1653" t="s">
        <v>28</v>
      </c>
    </row>
    <row r="1654" spans="1:7" x14ac:dyDescent="0.3">
      <c r="A1654">
        <v>31653</v>
      </c>
      <c r="B1654">
        <v>432</v>
      </c>
      <c r="C1654" s="2">
        <v>45299</v>
      </c>
      <c r="D1654" s="2" t="str">
        <f>TEXT(Table5[[#This Row],[bill_date]],"mmmm")</f>
        <v>January</v>
      </c>
      <c r="E1654" s="9">
        <f>YEAR(Table5[[#This Row],[bill_date]])</f>
        <v>2024</v>
      </c>
      <c r="F1654">
        <v>626</v>
      </c>
      <c r="G1654" t="s">
        <v>30</v>
      </c>
    </row>
    <row r="1655" spans="1:7" x14ac:dyDescent="0.3">
      <c r="A1655">
        <v>31654</v>
      </c>
      <c r="B1655">
        <v>97</v>
      </c>
      <c r="C1655" s="2">
        <v>45078</v>
      </c>
      <c r="D1655" s="2" t="str">
        <f>TEXT(Table5[[#This Row],[bill_date]],"mmmm")</f>
        <v>June</v>
      </c>
      <c r="E1655" s="9">
        <f>YEAR(Table5[[#This Row],[bill_date]])</f>
        <v>2023</v>
      </c>
      <c r="F1655">
        <v>1239</v>
      </c>
      <c r="G1655" t="s">
        <v>28</v>
      </c>
    </row>
    <row r="1656" spans="1:7" x14ac:dyDescent="0.3">
      <c r="A1656">
        <v>31655</v>
      </c>
      <c r="B1656">
        <v>408</v>
      </c>
      <c r="C1656" s="2">
        <v>45426</v>
      </c>
      <c r="D1656" s="2" t="str">
        <f>TEXT(Table5[[#This Row],[bill_date]],"mmmm")</f>
        <v>May</v>
      </c>
      <c r="E1656" s="9">
        <f>YEAR(Table5[[#This Row],[bill_date]])</f>
        <v>2024</v>
      </c>
      <c r="F1656">
        <v>279</v>
      </c>
      <c r="G1656" t="s">
        <v>30</v>
      </c>
    </row>
    <row r="1657" spans="1:7" x14ac:dyDescent="0.3">
      <c r="A1657">
        <v>31656</v>
      </c>
      <c r="B1657">
        <v>249</v>
      </c>
      <c r="C1657" s="2">
        <v>44735</v>
      </c>
      <c r="D1657" s="2" t="str">
        <f>TEXT(Table5[[#This Row],[bill_date]],"mmmm")</f>
        <v>June</v>
      </c>
      <c r="E1657" s="9">
        <f>YEAR(Table5[[#This Row],[bill_date]])</f>
        <v>2022</v>
      </c>
      <c r="F1657">
        <v>382</v>
      </c>
      <c r="G1657" t="s">
        <v>28</v>
      </c>
    </row>
    <row r="1658" spans="1:7" x14ac:dyDescent="0.3">
      <c r="A1658">
        <v>31657</v>
      </c>
      <c r="B1658">
        <v>221</v>
      </c>
      <c r="C1658" s="2">
        <v>45256</v>
      </c>
      <c r="D1658" s="2" t="str">
        <f>TEXT(Table5[[#This Row],[bill_date]],"mmmm")</f>
        <v>November</v>
      </c>
      <c r="E1658" s="9">
        <f>YEAR(Table5[[#This Row],[bill_date]])</f>
        <v>2023</v>
      </c>
      <c r="F1658">
        <v>665</v>
      </c>
      <c r="G1658" t="s">
        <v>28</v>
      </c>
    </row>
    <row r="1659" spans="1:7" x14ac:dyDescent="0.3">
      <c r="A1659">
        <v>31658</v>
      </c>
      <c r="B1659">
        <v>13</v>
      </c>
      <c r="C1659" s="2">
        <v>44634</v>
      </c>
      <c r="D1659" s="2" t="str">
        <f>TEXT(Table5[[#This Row],[bill_date]],"mmmm")</f>
        <v>March</v>
      </c>
      <c r="E1659" s="9">
        <f>YEAR(Table5[[#This Row],[bill_date]])</f>
        <v>2022</v>
      </c>
      <c r="F1659">
        <v>481</v>
      </c>
      <c r="G1659" t="s">
        <v>29</v>
      </c>
    </row>
    <row r="1660" spans="1:7" x14ac:dyDescent="0.3">
      <c r="A1660">
        <v>31659</v>
      </c>
      <c r="B1660">
        <v>306</v>
      </c>
      <c r="C1660" s="2">
        <v>44706</v>
      </c>
      <c r="D1660" s="2" t="str">
        <f>TEXT(Table5[[#This Row],[bill_date]],"mmmm")</f>
        <v>May</v>
      </c>
      <c r="E1660" s="9">
        <f>YEAR(Table5[[#This Row],[bill_date]])</f>
        <v>2022</v>
      </c>
      <c r="F1660">
        <v>1293</v>
      </c>
      <c r="G1660" t="s">
        <v>28</v>
      </c>
    </row>
    <row r="1661" spans="1:7" x14ac:dyDescent="0.3">
      <c r="A1661">
        <v>31660</v>
      </c>
      <c r="B1661">
        <v>91</v>
      </c>
      <c r="C1661" s="2">
        <v>45225</v>
      </c>
      <c r="D1661" s="2" t="str">
        <f>TEXT(Table5[[#This Row],[bill_date]],"mmmm")</f>
        <v>October</v>
      </c>
      <c r="E1661" s="9">
        <f>YEAR(Table5[[#This Row],[bill_date]])</f>
        <v>2023</v>
      </c>
      <c r="F1661">
        <v>288</v>
      </c>
      <c r="G1661" t="s">
        <v>30</v>
      </c>
    </row>
    <row r="1662" spans="1:7" x14ac:dyDescent="0.3">
      <c r="A1662">
        <v>31661</v>
      </c>
      <c r="B1662">
        <v>193</v>
      </c>
      <c r="C1662" s="2">
        <v>44617</v>
      </c>
      <c r="D1662" s="2" t="str">
        <f>TEXT(Table5[[#This Row],[bill_date]],"mmmm")</f>
        <v>February</v>
      </c>
      <c r="E1662" s="9">
        <f>YEAR(Table5[[#This Row],[bill_date]])</f>
        <v>2022</v>
      </c>
      <c r="F1662">
        <v>907</v>
      </c>
      <c r="G1662" t="s">
        <v>30</v>
      </c>
    </row>
    <row r="1663" spans="1:7" x14ac:dyDescent="0.3">
      <c r="A1663">
        <v>31662</v>
      </c>
      <c r="B1663">
        <v>199</v>
      </c>
      <c r="C1663" s="2">
        <v>45256</v>
      </c>
      <c r="D1663" s="2" t="str">
        <f>TEXT(Table5[[#This Row],[bill_date]],"mmmm")</f>
        <v>November</v>
      </c>
      <c r="E1663" s="9">
        <f>YEAR(Table5[[#This Row],[bill_date]])</f>
        <v>2023</v>
      </c>
      <c r="F1663">
        <v>840</v>
      </c>
      <c r="G1663" t="s">
        <v>30</v>
      </c>
    </row>
    <row r="1664" spans="1:7" x14ac:dyDescent="0.3">
      <c r="A1664">
        <v>31663</v>
      </c>
      <c r="B1664">
        <v>260</v>
      </c>
      <c r="C1664" s="2">
        <v>45195</v>
      </c>
      <c r="D1664" s="2" t="str">
        <f>TEXT(Table5[[#This Row],[bill_date]],"mmmm")</f>
        <v>September</v>
      </c>
      <c r="E1664" s="9">
        <f>YEAR(Table5[[#This Row],[bill_date]])</f>
        <v>2023</v>
      </c>
      <c r="F1664">
        <v>1814</v>
      </c>
      <c r="G1664" t="s">
        <v>28</v>
      </c>
    </row>
    <row r="1665" spans="1:7" x14ac:dyDescent="0.3">
      <c r="A1665">
        <v>31664</v>
      </c>
      <c r="B1665">
        <v>64</v>
      </c>
      <c r="C1665" s="2">
        <v>44805</v>
      </c>
      <c r="D1665" s="2" t="str">
        <f>TEXT(Table5[[#This Row],[bill_date]],"mmmm")</f>
        <v>September</v>
      </c>
      <c r="E1665" s="9">
        <f>YEAR(Table5[[#This Row],[bill_date]])</f>
        <v>2022</v>
      </c>
      <c r="F1665">
        <v>1587</v>
      </c>
      <c r="G1665" t="s">
        <v>30</v>
      </c>
    </row>
    <row r="1666" spans="1:7" x14ac:dyDescent="0.3">
      <c r="A1666">
        <v>31665</v>
      </c>
      <c r="B1666">
        <v>330</v>
      </c>
      <c r="C1666" s="2">
        <v>45455</v>
      </c>
      <c r="D1666" s="2" t="str">
        <f>TEXT(Table5[[#This Row],[bill_date]],"mmmm")</f>
        <v>June</v>
      </c>
      <c r="E1666" s="9">
        <f>YEAR(Table5[[#This Row],[bill_date]])</f>
        <v>2024</v>
      </c>
      <c r="F1666">
        <v>401</v>
      </c>
      <c r="G1666" t="s">
        <v>28</v>
      </c>
    </row>
    <row r="1667" spans="1:7" x14ac:dyDescent="0.3">
      <c r="A1667">
        <v>31666</v>
      </c>
      <c r="B1667">
        <v>232</v>
      </c>
      <c r="C1667" s="2">
        <v>44765</v>
      </c>
      <c r="D1667" s="2" t="str">
        <f>TEXT(Table5[[#This Row],[bill_date]],"mmmm")</f>
        <v>July</v>
      </c>
      <c r="E1667" s="9">
        <f>YEAR(Table5[[#This Row],[bill_date]])</f>
        <v>2022</v>
      </c>
      <c r="F1667">
        <v>1453</v>
      </c>
      <c r="G1667" t="s">
        <v>30</v>
      </c>
    </row>
    <row r="1668" spans="1:7" x14ac:dyDescent="0.3">
      <c r="A1668">
        <v>31667</v>
      </c>
      <c r="B1668">
        <v>227</v>
      </c>
      <c r="C1668" s="2">
        <v>45152</v>
      </c>
      <c r="D1668" s="2" t="str">
        <f>TEXT(Table5[[#This Row],[bill_date]],"mmmm")</f>
        <v>August</v>
      </c>
      <c r="E1668" s="9">
        <f>YEAR(Table5[[#This Row],[bill_date]])</f>
        <v>2023</v>
      </c>
      <c r="F1668">
        <v>797</v>
      </c>
      <c r="G1668" t="s">
        <v>30</v>
      </c>
    </row>
    <row r="1669" spans="1:7" x14ac:dyDescent="0.3">
      <c r="A1669">
        <v>31668</v>
      </c>
      <c r="B1669">
        <v>167</v>
      </c>
      <c r="C1669" s="2">
        <v>44577</v>
      </c>
      <c r="D1669" s="2" t="str">
        <f>TEXT(Table5[[#This Row],[bill_date]],"mmmm")</f>
        <v>January</v>
      </c>
      <c r="E1669" s="9">
        <f>YEAR(Table5[[#This Row],[bill_date]])</f>
        <v>2022</v>
      </c>
      <c r="F1669">
        <v>1961</v>
      </c>
      <c r="G1669" t="s">
        <v>30</v>
      </c>
    </row>
    <row r="1670" spans="1:7" x14ac:dyDescent="0.3">
      <c r="A1670">
        <v>31669</v>
      </c>
      <c r="B1670">
        <v>251</v>
      </c>
      <c r="C1670" s="2">
        <v>44687</v>
      </c>
      <c r="D1670" s="2" t="str">
        <f>TEXT(Table5[[#This Row],[bill_date]],"mmmm")</f>
        <v>May</v>
      </c>
      <c r="E1670" s="9">
        <f>YEAR(Table5[[#This Row],[bill_date]])</f>
        <v>2022</v>
      </c>
      <c r="F1670">
        <v>204</v>
      </c>
      <c r="G1670" t="s">
        <v>30</v>
      </c>
    </row>
    <row r="1671" spans="1:7" x14ac:dyDescent="0.3">
      <c r="A1671">
        <v>31670</v>
      </c>
      <c r="B1671">
        <v>447</v>
      </c>
      <c r="C1671" s="2">
        <v>45160</v>
      </c>
      <c r="D1671" s="2" t="str">
        <f>TEXT(Table5[[#This Row],[bill_date]],"mmmm")</f>
        <v>August</v>
      </c>
      <c r="E1671" s="9">
        <f>YEAR(Table5[[#This Row],[bill_date]])</f>
        <v>2023</v>
      </c>
      <c r="F1671">
        <v>555</v>
      </c>
      <c r="G1671" t="s">
        <v>30</v>
      </c>
    </row>
    <row r="1672" spans="1:7" x14ac:dyDescent="0.3">
      <c r="A1672">
        <v>31671</v>
      </c>
      <c r="B1672">
        <v>186</v>
      </c>
      <c r="C1672" s="2">
        <v>45027</v>
      </c>
      <c r="D1672" s="2" t="str">
        <f>TEXT(Table5[[#This Row],[bill_date]],"mmmm")</f>
        <v>April</v>
      </c>
      <c r="E1672" s="9">
        <f>YEAR(Table5[[#This Row],[bill_date]])</f>
        <v>2023</v>
      </c>
      <c r="F1672">
        <v>1671</v>
      </c>
      <c r="G1672" t="s">
        <v>30</v>
      </c>
    </row>
    <row r="1673" spans="1:7" x14ac:dyDescent="0.3">
      <c r="A1673">
        <v>31672</v>
      </c>
      <c r="B1673">
        <v>249</v>
      </c>
      <c r="C1673" s="2">
        <v>45351</v>
      </c>
      <c r="D1673" s="2" t="str">
        <f>TEXT(Table5[[#This Row],[bill_date]],"mmmm")</f>
        <v>February</v>
      </c>
      <c r="E1673" s="9">
        <f>YEAR(Table5[[#This Row],[bill_date]])</f>
        <v>2024</v>
      </c>
      <c r="F1673">
        <v>1959</v>
      </c>
      <c r="G1673" t="s">
        <v>30</v>
      </c>
    </row>
    <row r="1674" spans="1:7" x14ac:dyDescent="0.3">
      <c r="A1674">
        <v>31673</v>
      </c>
      <c r="B1674">
        <v>272</v>
      </c>
      <c r="C1674" s="2">
        <v>45439</v>
      </c>
      <c r="D1674" s="2" t="str">
        <f>TEXT(Table5[[#This Row],[bill_date]],"mmmm")</f>
        <v>May</v>
      </c>
      <c r="E1674" s="9">
        <f>YEAR(Table5[[#This Row],[bill_date]])</f>
        <v>2024</v>
      </c>
      <c r="F1674">
        <v>1368</v>
      </c>
      <c r="G1674" t="s">
        <v>30</v>
      </c>
    </row>
    <row r="1675" spans="1:7" x14ac:dyDescent="0.3">
      <c r="A1675">
        <v>31674</v>
      </c>
      <c r="B1675">
        <v>475</v>
      </c>
      <c r="C1675" s="2">
        <v>44989</v>
      </c>
      <c r="D1675" s="2" t="str">
        <f>TEXT(Table5[[#This Row],[bill_date]],"mmmm")</f>
        <v>March</v>
      </c>
      <c r="E1675" s="9">
        <f>YEAR(Table5[[#This Row],[bill_date]])</f>
        <v>2023</v>
      </c>
      <c r="F1675">
        <v>253</v>
      </c>
      <c r="G1675" t="s">
        <v>30</v>
      </c>
    </row>
    <row r="1676" spans="1:7" x14ac:dyDescent="0.3">
      <c r="A1676">
        <v>31675</v>
      </c>
      <c r="B1676">
        <v>340</v>
      </c>
      <c r="C1676" s="2">
        <v>44912</v>
      </c>
      <c r="D1676" s="2" t="str">
        <f>TEXT(Table5[[#This Row],[bill_date]],"mmmm")</f>
        <v>December</v>
      </c>
      <c r="E1676" s="9">
        <f>YEAR(Table5[[#This Row],[bill_date]])</f>
        <v>2022</v>
      </c>
      <c r="F1676">
        <v>1289</v>
      </c>
      <c r="G1676" t="s">
        <v>28</v>
      </c>
    </row>
    <row r="1677" spans="1:7" x14ac:dyDescent="0.3">
      <c r="A1677">
        <v>31676</v>
      </c>
      <c r="B1677">
        <v>446</v>
      </c>
      <c r="C1677" s="2">
        <v>45116</v>
      </c>
      <c r="D1677" s="2" t="str">
        <f>TEXT(Table5[[#This Row],[bill_date]],"mmmm")</f>
        <v>July</v>
      </c>
      <c r="E1677" s="9">
        <f>YEAR(Table5[[#This Row],[bill_date]])</f>
        <v>2023</v>
      </c>
      <c r="F1677">
        <v>1919</v>
      </c>
      <c r="G1677" t="s">
        <v>30</v>
      </c>
    </row>
    <row r="1678" spans="1:7" x14ac:dyDescent="0.3">
      <c r="A1678">
        <v>31677</v>
      </c>
      <c r="B1678">
        <v>138</v>
      </c>
      <c r="C1678" s="2">
        <v>44640</v>
      </c>
      <c r="D1678" s="2" t="str">
        <f>TEXT(Table5[[#This Row],[bill_date]],"mmmm")</f>
        <v>March</v>
      </c>
      <c r="E1678" s="9">
        <f>YEAR(Table5[[#This Row],[bill_date]])</f>
        <v>2022</v>
      </c>
      <c r="F1678">
        <v>345</v>
      </c>
      <c r="G1678" t="s">
        <v>30</v>
      </c>
    </row>
    <row r="1679" spans="1:7" x14ac:dyDescent="0.3">
      <c r="A1679">
        <v>31678</v>
      </c>
      <c r="B1679">
        <v>109</v>
      </c>
      <c r="C1679" s="2">
        <v>45062</v>
      </c>
      <c r="D1679" s="2" t="str">
        <f>TEXT(Table5[[#This Row],[bill_date]],"mmmm")</f>
        <v>May</v>
      </c>
      <c r="E1679" s="9">
        <f>YEAR(Table5[[#This Row],[bill_date]])</f>
        <v>2023</v>
      </c>
      <c r="F1679">
        <v>784</v>
      </c>
      <c r="G1679" t="s">
        <v>28</v>
      </c>
    </row>
    <row r="1680" spans="1:7" x14ac:dyDescent="0.3">
      <c r="A1680">
        <v>31679</v>
      </c>
      <c r="B1680">
        <v>318</v>
      </c>
      <c r="C1680" s="2">
        <v>45350</v>
      </c>
      <c r="D1680" s="2" t="str">
        <f>TEXT(Table5[[#This Row],[bill_date]],"mmmm")</f>
        <v>February</v>
      </c>
      <c r="E1680" s="9">
        <f>YEAR(Table5[[#This Row],[bill_date]])</f>
        <v>2024</v>
      </c>
      <c r="F1680">
        <v>1178</v>
      </c>
      <c r="G1680" t="s">
        <v>30</v>
      </c>
    </row>
    <row r="1681" spans="1:7" x14ac:dyDescent="0.3">
      <c r="A1681">
        <v>31680</v>
      </c>
      <c r="B1681">
        <v>417</v>
      </c>
      <c r="C1681" s="2">
        <v>44940</v>
      </c>
      <c r="D1681" s="2" t="str">
        <f>TEXT(Table5[[#This Row],[bill_date]],"mmmm")</f>
        <v>January</v>
      </c>
      <c r="E1681" s="9">
        <f>YEAR(Table5[[#This Row],[bill_date]])</f>
        <v>2023</v>
      </c>
      <c r="F1681">
        <v>1873</v>
      </c>
      <c r="G1681" t="s">
        <v>30</v>
      </c>
    </row>
    <row r="1682" spans="1:7" x14ac:dyDescent="0.3">
      <c r="A1682">
        <v>31681</v>
      </c>
      <c r="B1682">
        <v>455</v>
      </c>
      <c r="C1682" s="2">
        <v>44825</v>
      </c>
      <c r="D1682" s="2" t="str">
        <f>TEXT(Table5[[#This Row],[bill_date]],"mmmm")</f>
        <v>September</v>
      </c>
      <c r="E1682" s="9">
        <f>YEAR(Table5[[#This Row],[bill_date]])</f>
        <v>2022</v>
      </c>
      <c r="F1682">
        <v>934</v>
      </c>
      <c r="G1682" t="s">
        <v>28</v>
      </c>
    </row>
    <row r="1683" spans="1:7" x14ac:dyDescent="0.3">
      <c r="A1683">
        <v>31682</v>
      </c>
      <c r="B1683">
        <v>426</v>
      </c>
      <c r="C1683" s="2">
        <v>44866</v>
      </c>
      <c r="D1683" s="2" t="str">
        <f>TEXT(Table5[[#This Row],[bill_date]],"mmmm")</f>
        <v>November</v>
      </c>
      <c r="E1683" s="9">
        <f>YEAR(Table5[[#This Row],[bill_date]])</f>
        <v>2022</v>
      </c>
      <c r="F1683">
        <v>1454</v>
      </c>
      <c r="G1683" t="s">
        <v>30</v>
      </c>
    </row>
    <row r="1684" spans="1:7" x14ac:dyDescent="0.3">
      <c r="A1684">
        <v>31683</v>
      </c>
      <c r="B1684">
        <v>44</v>
      </c>
      <c r="C1684" s="2">
        <v>45049</v>
      </c>
      <c r="D1684" s="2" t="str">
        <f>TEXT(Table5[[#This Row],[bill_date]],"mmmm")</f>
        <v>May</v>
      </c>
      <c r="E1684" s="9">
        <f>YEAR(Table5[[#This Row],[bill_date]])</f>
        <v>2023</v>
      </c>
      <c r="F1684">
        <v>1690</v>
      </c>
      <c r="G1684" t="s">
        <v>30</v>
      </c>
    </row>
    <row r="1685" spans="1:7" x14ac:dyDescent="0.3">
      <c r="A1685">
        <v>31684</v>
      </c>
      <c r="B1685">
        <v>430</v>
      </c>
      <c r="C1685" s="2">
        <v>45301</v>
      </c>
      <c r="D1685" s="2" t="str">
        <f>TEXT(Table5[[#This Row],[bill_date]],"mmmm")</f>
        <v>January</v>
      </c>
      <c r="E1685" s="9">
        <f>YEAR(Table5[[#This Row],[bill_date]])</f>
        <v>2024</v>
      </c>
      <c r="F1685">
        <v>893</v>
      </c>
      <c r="G1685" t="s">
        <v>30</v>
      </c>
    </row>
    <row r="1686" spans="1:7" x14ac:dyDescent="0.3">
      <c r="A1686">
        <v>31685</v>
      </c>
      <c r="B1686">
        <v>342</v>
      </c>
      <c r="C1686" s="2">
        <v>44686</v>
      </c>
      <c r="D1686" s="2" t="str">
        <f>TEXT(Table5[[#This Row],[bill_date]],"mmmm")</f>
        <v>May</v>
      </c>
      <c r="E1686" s="9">
        <f>YEAR(Table5[[#This Row],[bill_date]])</f>
        <v>2022</v>
      </c>
      <c r="F1686">
        <v>1318</v>
      </c>
      <c r="G1686" t="s">
        <v>30</v>
      </c>
    </row>
    <row r="1687" spans="1:7" x14ac:dyDescent="0.3">
      <c r="A1687">
        <v>31686</v>
      </c>
      <c r="B1687">
        <v>491</v>
      </c>
      <c r="C1687" s="2">
        <v>45179</v>
      </c>
      <c r="D1687" s="2" t="str">
        <f>TEXT(Table5[[#This Row],[bill_date]],"mmmm")</f>
        <v>September</v>
      </c>
      <c r="E1687" s="9">
        <f>YEAR(Table5[[#This Row],[bill_date]])</f>
        <v>2023</v>
      </c>
      <c r="F1687">
        <v>1713</v>
      </c>
      <c r="G1687" t="s">
        <v>30</v>
      </c>
    </row>
    <row r="1688" spans="1:7" x14ac:dyDescent="0.3">
      <c r="A1688">
        <v>31687</v>
      </c>
      <c r="B1688">
        <v>337</v>
      </c>
      <c r="C1688" s="2">
        <v>45303</v>
      </c>
      <c r="D1688" s="2" t="str">
        <f>TEXT(Table5[[#This Row],[bill_date]],"mmmm")</f>
        <v>January</v>
      </c>
      <c r="E1688" s="9">
        <f>YEAR(Table5[[#This Row],[bill_date]])</f>
        <v>2024</v>
      </c>
      <c r="F1688">
        <v>1052</v>
      </c>
      <c r="G1688" t="s">
        <v>30</v>
      </c>
    </row>
    <row r="1689" spans="1:7" x14ac:dyDescent="0.3">
      <c r="A1689">
        <v>31688</v>
      </c>
      <c r="B1689">
        <v>201</v>
      </c>
      <c r="C1689" s="2">
        <v>45207</v>
      </c>
      <c r="D1689" s="2" t="str">
        <f>TEXT(Table5[[#This Row],[bill_date]],"mmmm")</f>
        <v>October</v>
      </c>
      <c r="E1689" s="9">
        <f>YEAR(Table5[[#This Row],[bill_date]])</f>
        <v>2023</v>
      </c>
      <c r="F1689">
        <v>446</v>
      </c>
      <c r="G1689" t="s">
        <v>30</v>
      </c>
    </row>
    <row r="1690" spans="1:7" x14ac:dyDescent="0.3">
      <c r="A1690">
        <v>31689</v>
      </c>
      <c r="B1690">
        <v>378</v>
      </c>
      <c r="C1690" s="2">
        <v>44642</v>
      </c>
      <c r="D1690" s="2" t="str">
        <f>TEXT(Table5[[#This Row],[bill_date]],"mmmm")</f>
        <v>March</v>
      </c>
      <c r="E1690" s="9">
        <f>YEAR(Table5[[#This Row],[bill_date]])</f>
        <v>2022</v>
      </c>
      <c r="F1690">
        <v>330</v>
      </c>
      <c r="G1690" t="s">
        <v>28</v>
      </c>
    </row>
    <row r="1691" spans="1:7" x14ac:dyDescent="0.3">
      <c r="A1691">
        <v>31690</v>
      </c>
      <c r="B1691">
        <v>104</v>
      </c>
      <c r="C1691" s="2">
        <v>45433</v>
      </c>
      <c r="D1691" s="2" t="str">
        <f>TEXT(Table5[[#This Row],[bill_date]],"mmmm")</f>
        <v>May</v>
      </c>
      <c r="E1691" s="9">
        <f>YEAR(Table5[[#This Row],[bill_date]])</f>
        <v>2024</v>
      </c>
      <c r="F1691">
        <v>1747</v>
      </c>
      <c r="G1691" t="s">
        <v>30</v>
      </c>
    </row>
    <row r="1692" spans="1:7" x14ac:dyDescent="0.3">
      <c r="A1692">
        <v>31691</v>
      </c>
      <c r="B1692">
        <v>458</v>
      </c>
      <c r="C1692" s="2">
        <v>45182</v>
      </c>
      <c r="D1692" s="2" t="str">
        <f>TEXT(Table5[[#This Row],[bill_date]],"mmmm")</f>
        <v>September</v>
      </c>
      <c r="E1692" s="9">
        <f>YEAR(Table5[[#This Row],[bill_date]])</f>
        <v>2023</v>
      </c>
      <c r="F1692">
        <v>1292</v>
      </c>
      <c r="G1692" t="s">
        <v>30</v>
      </c>
    </row>
    <row r="1693" spans="1:7" x14ac:dyDescent="0.3">
      <c r="A1693">
        <v>31692</v>
      </c>
      <c r="B1693">
        <v>484</v>
      </c>
      <c r="C1693" s="2">
        <v>44736</v>
      </c>
      <c r="D1693" s="2" t="str">
        <f>TEXT(Table5[[#This Row],[bill_date]],"mmmm")</f>
        <v>June</v>
      </c>
      <c r="E1693" s="9">
        <f>YEAR(Table5[[#This Row],[bill_date]])</f>
        <v>2022</v>
      </c>
      <c r="F1693">
        <v>547</v>
      </c>
      <c r="G1693" t="s">
        <v>30</v>
      </c>
    </row>
    <row r="1694" spans="1:7" x14ac:dyDescent="0.3">
      <c r="A1694">
        <v>31693</v>
      </c>
      <c r="B1694">
        <v>479</v>
      </c>
      <c r="C1694" s="2">
        <v>45237</v>
      </c>
      <c r="D1694" s="2" t="str">
        <f>TEXT(Table5[[#This Row],[bill_date]],"mmmm")</f>
        <v>November</v>
      </c>
      <c r="E1694" s="9">
        <f>YEAR(Table5[[#This Row],[bill_date]])</f>
        <v>2023</v>
      </c>
      <c r="F1694">
        <v>640</v>
      </c>
      <c r="G1694" t="s">
        <v>30</v>
      </c>
    </row>
    <row r="1695" spans="1:7" x14ac:dyDescent="0.3">
      <c r="A1695">
        <v>31694</v>
      </c>
      <c r="B1695">
        <v>415</v>
      </c>
      <c r="C1695" s="2">
        <v>44686</v>
      </c>
      <c r="D1695" s="2" t="str">
        <f>TEXT(Table5[[#This Row],[bill_date]],"mmmm")</f>
        <v>May</v>
      </c>
      <c r="E1695" s="9">
        <f>YEAR(Table5[[#This Row],[bill_date]])</f>
        <v>2022</v>
      </c>
      <c r="F1695">
        <v>454</v>
      </c>
      <c r="G1695" t="s">
        <v>30</v>
      </c>
    </row>
    <row r="1696" spans="1:7" x14ac:dyDescent="0.3">
      <c r="A1696">
        <v>31695</v>
      </c>
      <c r="B1696">
        <v>389</v>
      </c>
      <c r="C1696" s="2">
        <v>44909</v>
      </c>
      <c r="D1696" s="2" t="str">
        <f>TEXT(Table5[[#This Row],[bill_date]],"mmmm")</f>
        <v>December</v>
      </c>
      <c r="E1696" s="9">
        <f>YEAR(Table5[[#This Row],[bill_date]])</f>
        <v>2022</v>
      </c>
      <c r="F1696">
        <v>1608</v>
      </c>
      <c r="G1696" t="s">
        <v>30</v>
      </c>
    </row>
    <row r="1697" spans="1:7" x14ac:dyDescent="0.3">
      <c r="A1697">
        <v>31696</v>
      </c>
      <c r="B1697">
        <v>120</v>
      </c>
      <c r="C1697" s="2">
        <v>45450</v>
      </c>
      <c r="D1697" s="2" t="str">
        <f>TEXT(Table5[[#This Row],[bill_date]],"mmmm")</f>
        <v>June</v>
      </c>
      <c r="E1697" s="9">
        <f>YEAR(Table5[[#This Row],[bill_date]])</f>
        <v>2024</v>
      </c>
      <c r="F1697">
        <v>703</v>
      </c>
      <c r="G1697" t="s">
        <v>30</v>
      </c>
    </row>
    <row r="1698" spans="1:7" x14ac:dyDescent="0.3">
      <c r="A1698">
        <v>31697</v>
      </c>
      <c r="B1698">
        <v>402</v>
      </c>
      <c r="C1698" s="2">
        <v>44928</v>
      </c>
      <c r="D1698" s="2" t="str">
        <f>TEXT(Table5[[#This Row],[bill_date]],"mmmm")</f>
        <v>January</v>
      </c>
      <c r="E1698" s="9">
        <f>YEAR(Table5[[#This Row],[bill_date]])</f>
        <v>2023</v>
      </c>
      <c r="F1698">
        <v>1922</v>
      </c>
      <c r="G1698" t="s">
        <v>30</v>
      </c>
    </row>
    <row r="1699" spans="1:7" x14ac:dyDescent="0.3">
      <c r="A1699">
        <v>31698</v>
      </c>
      <c r="B1699">
        <v>390</v>
      </c>
      <c r="C1699" s="2">
        <v>45096</v>
      </c>
      <c r="D1699" s="2" t="str">
        <f>TEXT(Table5[[#This Row],[bill_date]],"mmmm")</f>
        <v>June</v>
      </c>
      <c r="E1699" s="9">
        <f>YEAR(Table5[[#This Row],[bill_date]])</f>
        <v>2023</v>
      </c>
      <c r="F1699">
        <v>1823</v>
      </c>
      <c r="G1699" t="s">
        <v>28</v>
      </c>
    </row>
    <row r="1700" spans="1:7" x14ac:dyDescent="0.3">
      <c r="A1700">
        <v>31699</v>
      </c>
      <c r="B1700">
        <v>362</v>
      </c>
      <c r="C1700" s="2">
        <v>44976</v>
      </c>
      <c r="D1700" s="2" t="str">
        <f>TEXT(Table5[[#This Row],[bill_date]],"mmmm")</f>
        <v>February</v>
      </c>
      <c r="E1700" s="9">
        <f>YEAR(Table5[[#This Row],[bill_date]])</f>
        <v>2023</v>
      </c>
      <c r="F1700">
        <v>614</v>
      </c>
      <c r="G1700" t="s">
        <v>30</v>
      </c>
    </row>
    <row r="1701" spans="1:7" x14ac:dyDescent="0.3">
      <c r="A1701">
        <v>31700</v>
      </c>
      <c r="B1701">
        <v>434</v>
      </c>
      <c r="C1701" s="2">
        <v>45439</v>
      </c>
      <c r="D1701" s="2" t="str">
        <f>TEXT(Table5[[#This Row],[bill_date]],"mmmm")</f>
        <v>May</v>
      </c>
      <c r="E1701" s="9">
        <f>YEAR(Table5[[#This Row],[bill_date]])</f>
        <v>2024</v>
      </c>
      <c r="F1701">
        <v>517</v>
      </c>
      <c r="G1701" t="s">
        <v>30</v>
      </c>
    </row>
    <row r="1702" spans="1:7" x14ac:dyDescent="0.3">
      <c r="A1702">
        <v>31701</v>
      </c>
      <c r="B1702">
        <v>383</v>
      </c>
      <c r="C1702" s="2">
        <v>45404</v>
      </c>
      <c r="D1702" s="2" t="str">
        <f>TEXT(Table5[[#This Row],[bill_date]],"mmmm")</f>
        <v>April</v>
      </c>
      <c r="E1702" s="9">
        <f>YEAR(Table5[[#This Row],[bill_date]])</f>
        <v>2024</v>
      </c>
      <c r="F1702">
        <v>514</v>
      </c>
      <c r="G1702" t="s">
        <v>30</v>
      </c>
    </row>
    <row r="1703" spans="1:7" x14ac:dyDescent="0.3">
      <c r="A1703">
        <v>31702</v>
      </c>
      <c r="B1703">
        <v>28</v>
      </c>
      <c r="C1703" s="2">
        <v>45135</v>
      </c>
      <c r="D1703" s="2" t="str">
        <f>TEXT(Table5[[#This Row],[bill_date]],"mmmm")</f>
        <v>July</v>
      </c>
      <c r="E1703" s="9">
        <f>YEAR(Table5[[#This Row],[bill_date]])</f>
        <v>2023</v>
      </c>
      <c r="F1703">
        <v>1888</v>
      </c>
      <c r="G1703" t="s">
        <v>30</v>
      </c>
    </row>
    <row r="1704" spans="1:7" x14ac:dyDescent="0.3">
      <c r="A1704">
        <v>31703</v>
      </c>
      <c r="B1704">
        <v>107</v>
      </c>
      <c r="C1704" s="2">
        <v>45285</v>
      </c>
      <c r="D1704" s="2" t="str">
        <f>TEXT(Table5[[#This Row],[bill_date]],"mmmm")</f>
        <v>December</v>
      </c>
      <c r="E1704" s="9">
        <f>YEAR(Table5[[#This Row],[bill_date]])</f>
        <v>2023</v>
      </c>
      <c r="F1704">
        <v>1184</v>
      </c>
      <c r="G1704" t="s">
        <v>30</v>
      </c>
    </row>
    <row r="1705" spans="1:7" x14ac:dyDescent="0.3">
      <c r="A1705">
        <v>31704</v>
      </c>
      <c r="B1705">
        <v>280</v>
      </c>
      <c r="C1705" s="2">
        <v>44813</v>
      </c>
      <c r="D1705" s="2" t="str">
        <f>TEXT(Table5[[#This Row],[bill_date]],"mmmm")</f>
        <v>September</v>
      </c>
      <c r="E1705" s="9">
        <f>YEAR(Table5[[#This Row],[bill_date]])</f>
        <v>2022</v>
      </c>
      <c r="F1705">
        <v>1196</v>
      </c>
      <c r="G1705" t="s">
        <v>30</v>
      </c>
    </row>
    <row r="1706" spans="1:7" x14ac:dyDescent="0.3">
      <c r="A1706">
        <v>31705</v>
      </c>
      <c r="B1706">
        <v>453</v>
      </c>
      <c r="C1706" s="2">
        <v>45169</v>
      </c>
      <c r="D1706" s="2" t="str">
        <f>TEXT(Table5[[#This Row],[bill_date]],"mmmm")</f>
        <v>August</v>
      </c>
      <c r="E1706" s="9">
        <f>YEAR(Table5[[#This Row],[bill_date]])</f>
        <v>2023</v>
      </c>
      <c r="F1706">
        <v>1884</v>
      </c>
      <c r="G1706" t="s">
        <v>28</v>
      </c>
    </row>
    <row r="1707" spans="1:7" x14ac:dyDescent="0.3">
      <c r="A1707">
        <v>31706</v>
      </c>
      <c r="B1707">
        <v>28</v>
      </c>
      <c r="C1707" s="2">
        <v>45282</v>
      </c>
      <c r="D1707" s="2" t="str">
        <f>TEXT(Table5[[#This Row],[bill_date]],"mmmm")</f>
        <v>December</v>
      </c>
      <c r="E1707" s="9">
        <f>YEAR(Table5[[#This Row],[bill_date]])</f>
        <v>2023</v>
      </c>
      <c r="F1707">
        <v>528</v>
      </c>
      <c r="G1707" t="s">
        <v>30</v>
      </c>
    </row>
    <row r="1708" spans="1:7" x14ac:dyDescent="0.3">
      <c r="A1708">
        <v>31707</v>
      </c>
      <c r="B1708">
        <v>186</v>
      </c>
      <c r="C1708" s="2">
        <v>45130</v>
      </c>
      <c r="D1708" s="2" t="str">
        <f>TEXT(Table5[[#This Row],[bill_date]],"mmmm")</f>
        <v>July</v>
      </c>
      <c r="E1708" s="9">
        <f>YEAR(Table5[[#This Row],[bill_date]])</f>
        <v>2023</v>
      </c>
      <c r="F1708">
        <v>1354</v>
      </c>
      <c r="G1708" t="s">
        <v>30</v>
      </c>
    </row>
    <row r="1709" spans="1:7" x14ac:dyDescent="0.3">
      <c r="A1709">
        <v>31708</v>
      </c>
      <c r="B1709">
        <v>195</v>
      </c>
      <c r="C1709" s="2">
        <v>44795</v>
      </c>
      <c r="D1709" s="2" t="str">
        <f>TEXT(Table5[[#This Row],[bill_date]],"mmmm")</f>
        <v>August</v>
      </c>
      <c r="E1709" s="9">
        <f>YEAR(Table5[[#This Row],[bill_date]])</f>
        <v>2022</v>
      </c>
      <c r="F1709">
        <v>1366</v>
      </c>
      <c r="G1709" t="s">
        <v>28</v>
      </c>
    </row>
    <row r="1710" spans="1:7" x14ac:dyDescent="0.3">
      <c r="A1710">
        <v>31709</v>
      </c>
      <c r="B1710">
        <v>146</v>
      </c>
      <c r="C1710" s="2">
        <v>44919</v>
      </c>
      <c r="D1710" s="2" t="str">
        <f>TEXT(Table5[[#This Row],[bill_date]],"mmmm")</f>
        <v>December</v>
      </c>
      <c r="E1710" s="9">
        <f>YEAR(Table5[[#This Row],[bill_date]])</f>
        <v>2022</v>
      </c>
      <c r="F1710">
        <v>1469</v>
      </c>
      <c r="G1710" t="s">
        <v>30</v>
      </c>
    </row>
    <row r="1711" spans="1:7" x14ac:dyDescent="0.3">
      <c r="A1711">
        <v>31710</v>
      </c>
      <c r="B1711">
        <v>260</v>
      </c>
      <c r="C1711" s="2">
        <v>44887</v>
      </c>
      <c r="D1711" s="2" t="str">
        <f>TEXT(Table5[[#This Row],[bill_date]],"mmmm")</f>
        <v>November</v>
      </c>
      <c r="E1711" s="9">
        <f>YEAR(Table5[[#This Row],[bill_date]])</f>
        <v>2022</v>
      </c>
      <c r="F1711">
        <v>1285</v>
      </c>
      <c r="G1711" t="s">
        <v>28</v>
      </c>
    </row>
    <row r="1712" spans="1:7" x14ac:dyDescent="0.3">
      <c r="A1712">
        <v>31711</v>
      </c>
      <c r="B1712">
        <v>360</v>
      </c>
      <c r="C1712" s="2">
        <v>44626</v>
      </c>
      <c r="D1712" s="2" t="str">
        <f>TEXT(Table5[[#This Row],[bill_date]],"mmmm")</f>
        <v>March</v>
      </c>
      <c r="E1712" s="9">
        <f>YEAR(Table5[[#This Row],[bill_date]])</f>
        <v>2022</v>
      </c>
      <c r="F1712">
        <v>1904</v>
      </c>
      <c r="G1712" t="s">
        <v>30</v>
      </c>
    </row>
    <row r="1713" spans="1:7" x14ac:dyDescent="0.3">
      <c r="A1713">
        <v>31712</v>
      </c>
      <c r="B1713">
        <v>177</v>
      </c>
      <c r="C1713" s="2">
        <v>44854</v>
      </c>
      <c r="D1713" s="2" t="str">
        <f>TEXT(Table5[[#This Row],[bill_date]],"mmmm")</f>
        <v>October</v>
      </c>
      <c r="E1713" s="9">
        <f>YEAR(Table5[[#This Row],[bill_date]])</f>
        <v>2022</v>
      </c>
      <c r="F1713">
        <v>1725</v>
      </c>
      <c r="G1713" t="s">
        <v>30</v>
      </c>
    </row>
    <row r="1714" spans="1:7" x14ac:dyDescent="0.3">
      <c r="A1714">
        <v>31713</v>
      </c>
      <c r="B1714">
        <v>128</v>
      </c>
      <c r="C1714" s="2">
        <v>44885</v>
      </c>
      <c r="D1714" s="2" t="str">
        <f>TEXT(Table5[[#This Row],[bill_date]],"mmmm")</f>
        <v>November</v>
      </c>
      <c r="E1714" s="9">
        <f>YEAR(Table5[[#This Row],[bill_date]])</f>
        <v>2022</v>
      </c>
      <c r="F1714">
        <v>1458</v>
      </c>
      <c r="G1714" t="s">
        <v>30</v>
      </c>
    </row>
    <row r="1715" spans="1:7" x14ac:dyDescent="0.3">
      <c r="A1715">
        <v>31714</v>
      </c>
      <c r="B1715">
        <v>384</v>
      </c>
      <c r="C1715" s="2">
        <v>44892</v>
      </c>
      <c r="D1715" s="2" t="str">
        <f>TEXT(Table5[[#This Row],[bill_date]],"mmmm")</f>
        <v>November</v>
      </c>
      <c r="E1715" s="9">
        <f>YEAR(Table5[[#This Row],[bill_date]])</f>
        <v>2022</v>
      </c>
      <c r="F1715">
        <v>1619</v>
      </c>
      <c r="G1715" t="s">
        <v>30</v>
      </c>
    </row>
    <row r="1716" spans="1:7" x14ac:dyDescent="0.3">
      <c r="A1716">
        <v>31715</v>
      </c>
      <c r="B1716">
        <v>106</v>
      </c>
      <c r="C1716" s="2">
        <v>45090</v>
      </c>
      <c r="D1716" s="2" t="str">
        <f>TEXT(Table5[[#This Row],[bill_date]],"mmmm")</f>
        <v>June</v>
      </c>
      <c r="E1716" s="9">
        <f>YEAR(Table5[[#This Row],[bill_date]])</f>
        <v>2023</v>
      </c>
      <c r="F1716">
        <v>999</v>
      </c>
      <c r="G1716" t="s">
        <v>30</v>
      </c>
    </row>
    <row r="1717" spans="1:7" x14ac:dyDescent="0.3">
      <c r="A1717">
        <v>31716</v>
      </c>
      <c r="B1717">
        <v>416</v>
      </c>
      <c r="C1717" s="2">
        <v>44696</v>
      </c>
      <c r="D1717" s="2" t="str">
        <f>TEXT(Table5[[#This Row],[bill_date]],"mmmm")</f>
        <v>May</v>
      </c>
      <c r="E1717" s="9">
        <f>YEAR(Table5[[#This Row],[bill_date]])</f>
        <v>2022</v>
      </c>
      <c r="F1717">
        <v>321</v>
      </c>
      <c r="G1717" t="s">
        <v>30</v>
      </c>
    </row>
    <row r="1718" spans="1:7" x14ac:dyDescent="0.3">
      <c r="A1718">
        <v>31717</v>
      </c>
      <c r="B1718">
        <v>352</v>
      </c>
      <c r="C1718" s="2">
        <v>45381</v>
      </c>
      <c r="D1718" s="2" t="str">
        <f>TEXT(Table5[[#This Row],[bill_date]],"mmmm")</f>
        <v>March</v>
      </c>
      <c r="E1718" s="9">
        <f>YEAR(Table5[[#This Row],[bill_date]])</f>
        <v>2024</v>
      </c>
      <c r="F1718">
        <v>468</v>
      </c>
      <c r="G1718" t="s">
        <v>30</v>
      </c>
    </row>
    <row r="1719" spans="1:7" x14ac:dyDescent="0.3">
      <c r="A1719">
        <v>31718</v>
      </c>
      <c r="B1719">
        <v>383</v>
      </c>
      <c r="C1719" s="2">
        <v>44980</v>
      </c>
      <c r="D1719" s="2" t="str">
        <f>TEXT(Table5[[#This Row],[bill_date]],"mmmm")</f>
        <v>February</v>
      </c>
      <c r="E1719" s="9">
        <f>YEAR(Table5[[#This Row],[bill_date]])</f>
        <v>2023</v>
      </c>
      <c r="F1719">
        <v>206</v>
      </c>
      <c r="G1719" t="s">
        <v>30</v>
      </c>
    </row>
    <row r="1720" spans="1:7" x14ac:dyDescent="0.3">
      <c r="A1720">
        <v>31719</v>
      </c>
      <c r="B1720">
        <v>211</v>
      </c>
      <c r="C1720" s="2">
        <v>44691</v>
      </c>
      <c r="D1720" s="2" t="str">
        <f>TEXT(Table5[[#This Row],[bill_date]],"mmmm")</f>
        <v>May</v>
      </c>
      <c r="E1720" s="9">
        <f>YEAR(Table5[[#This Row],[bill_date]])</f>
        <v>2022</v>
      </c>
      <c r="F1720">
        <v>928</v>
      </c>
      <c r="G1720" t="s">
        <v>30</v>
      </c>
    </row>
    <row r="1721" spans="1:7" x14ac:dyDescent="0.3">
      <c r="A1721">
        <v>31720</v>
      </c>
      <c r="B1721">
        <v>349</v>
      </c>
      <c r="C1721" s="2">
        <v>45110</v>
      </c>
      <c r="D1721" s="2" t="str">
        <f>TEXT(Table5[[#This Row],[bill_date]],"mmmm")</f>
        <v>July</v>
      </c>
      <c r="E1721" s="9">
        <f>YEAR(Table5[[#This Row],[bill_date]])</f>
        <v>2023</v>
      </c>
      <c r="F1721">
        <v>540</v>
      </c>
      <c r="G1721" t="s">
        <v>30</v>
      </c>
    </row>
    <row r="1722" spans="1:7" x14ac:dyDescent="0.3">
      <c r="A1722">
        <v>31721</v>
      </c>
      <c r="B1722">
        <v>481</v>
      </c>
      <c r="C1722" s="2">
        <v>45323</v>
      </c>
      <c r="D1722" s="2" t="str">
        <f>TEXT(Table5[[#This Row],[bill_date]],"mmmm")</f>
        <v>February</v>
      </c>
      <c r="E1722" s="9">
        <f>YEAR(Table5[[#This Row],[bill_date]])</f>
        <v>2024</v>
      </c>
      <c r="F1722">
        <v>884</v>
      </c>
      <c r="G1722" t="s">
        <v>30</v>
      </c>
    </row>
    <row r="1723" spans="1:7" x14ac:dyDescent="0.3">
      <c r="A1723">
        <v>31722</v>
      </c>
      <c r="B1723">
        <v>322</v>
      </c>
      <c r="C1723" s="2">
        <v>45130</v>
      </c>
      <c r="D1723" s="2" t="str">
        <f>TEXT(Table5[[#This Row],[bill_date]],"mmmm")</f>
        <v>July</v>
      </c>
      <c r="E1723" s="9">
        <f>YEAR(Table5[[#This Row],[bill_date]])</f>
        <v>2023</v>
      </c>
      <c r="F1723">
        <v>1860</v>
      </c>
      <c r="G1723" t="s">
        <v>30</v>
      </c>
    </row>
    <row r="1724" spans="1:7" x14ac:dyDescent="0.3">
      <c r="A1724">
        <v>31723</v>
      </c>
      <c r="B1724">
        <v>314</v>
      </c>
      <c r="C1724" s="2">
        <v>44918</v>
      </c>
      <c r="D1724" s="2" t="str">
        <f>TEXT(Table5[[#This Row],[bill_date]],"mmmm")</f>
        <v>December</v>
      </c>
      <c r="E1724" s="9">
        <f>YEAR(Table5[[#This Row],[bill_date]])</f>
        <v>2022</v>
      </c>
      <c r="F1724">
        <v>1537</v>
      </c>
      <c r="G1724" t="s">
        <v>30</v>
      </c>
    </row>
    <row r="1725" spans="1:7" x14ac:dyDescent="0.3">
      <c r="A1725">
        <v>31724</v>
      </c>
      <c r="B1725">
        <v>11</v>
      </c>
      <c r="C1725" s="2">
        <v>45083</v>
      </c>
      <c r="D1725" s="2" t="str">
        <f>TEXT(Table5[[#This Row],[bill_date]],"mmmm")</f>
        <v>June</v>
      </c>
      <c r="E1725" s="9">
        <f>YEAR(Table5[[#This Row],[bill_date]])</f>
        <v>2023</v>
      </c>
      <c r="F1725">
        <v>1026</v>
      </c>
      <c r="G1725" t="s">
        <v>30</v>
      </c>
    </row>
    <row r="1726" spans="1:7" x14ac:dyDescent="0.3">
      <c r="A1726">
        <v>31725</v>
      </c>
      <c r="B1726">
        <v>367</v>
      </c>
      <c r="C1726" s="2">
        <v>45021</v>
      </c>
      <c r="D1726" s="2" t="str">
        <f>TEXT(Table5[[#This Row],[bill_date]],"mmmm")</f>
        <v>April</v>
      </c>
      <c r="E1726" s="9">
        <f>YEAR(Table5[[#This Row],[bill_date]])</f>
        <v>2023</v>
      </c>
      <c r="F1726">
        <v>1783</v>
      </c>
      <c r="G1726" t="s">
        <v>30</v>
      </c>
    </row>
    <row r="1727" spans="1:7" x14ac:dyDescent="0.3">
      <c r="A1727">
        <v>31726</v>
      </c>
      <c r="B1727">
        <v>481</v>
      </c>
      <c r="C1727" s="2">
        <v>45154</v>
      </c>
      <c r="D1727" s="2" t="str">
        <f>TEXT(Table5[[#This Row],[bill_date]],"mmmm")</f>
        <v>August</v>
      </c>
      <c r="E1727" s="9">
        <f>YEAR(Table5[[#This Row],[bill_date]])</f>
        <v>2023</v>
      </c>
      <c r="F1727">
        <v>534</v>
      </c>
      <c r="G1727" t="s">
        <v>30</v>
      </c>
    </row>
    <row r="1728" spans="1:7" x14ac:dyDescent="0.3">
      <c r="A1728">
        <v>31727</v>
      </c>
      <c r="B1728">
        <v>489</v>
      </c>
      <c r="C1728" s="2">
        <v>45163</v>
      </c>
      <c r="D1728" s="2" t="str">
        <f>TEXT(Table5[[#This Row],[bill_date]],"mmmm")</f>
        <v>August</v>
      </c>
      <c r="E1728" s="9">
        <f>YEAR(Table5[[#This Row],[bill_date]])</f>
        <v>2023</v>
      </c>
      <c r="F1728">
        <v>946</v>
      </c>
      <c r="G1728" t="s">
        <v>30</v>
      </c>
    </row>
    <row r="1729" spans="1:7" x14ac:dyDescent="0.3">
      <c r="A1729">
        <v>31728</v>
      </c>
      <c r="B1729">
        <v>360</v>
      </c>
      <c r="C1729" s="2">
        <v>45193</v>
      </c>
      <c r="D1729" s="2" t="str">
        <f>TEXT(Table5[[#This Row],[bill_date]],"mmmm")</f>
        <v>September</v>
      </c>
      <c r="E1729" s="9">
        <f>YEAR(Table5[[#This Row],[bill_date]])</f>
        <v>2023</v>
      </c>
      <c r="F1729">
        <v>1059</v>
      </c>
      <c r="G1729" t="s">
        <v>28</v>
      </c>
    </row>
    <row r="1730" spans="1:7" x14ac:dyDescent="0.3">
      <c r="A1730">
        <v>31729</v>
      </c>
      <c r="B1730">
        <v>321</v>
      </c>
      <c r="C1730" s="2">
        <v>45175</v>
      </c>
      <c r="D1730" s="2" t="str">
        <f>TEXT(Table5[[#This Row],[bill_date]],"mmmm")</f>
        <v>September</v>
      </c>
      <c r="E1730" s="9">
        <f>YEAR(Table5[[#This Row],[bill_date]])</f>
        <v>2023</v>
      </c>
      <c r="F1730">
        <v>454</v>
      </c>
      <c r="G1730" t="s">
        <v>30</v>
      </c>
    </row>
    <row r="1731" spans="1:7" x14ac:dyDescent="0.3">
      <c r="A1731">
        <v>31730</v>
      </c>
      <c r="B1731">
        <v>384</v>
      </c>
      <c r="C1731" s="2">
        <v>45056</v>
      </c>
      <c r="D1731" s="2" t="str">
        <f>TEXT(Table5[[#This Row],[bill_date]],"mmmm")</f>
        <v>May</v>
      </c>
      <c r="E1731" s="9">
        <f>YEAR(Table5[[#This Row],[bill_date]])</f>
        <v>2023</v>
      </c>
      <c r="F1731">
        <v>314</v>
      </c>
      <c r="G1731" t="s">
        <v>28</v>
      </c>
    </row>
    <row r="1732" spans="1:7" x14ac:dyDescent="0.3">
      <c r="A1732">
        <v>31731</v>
      </c>
      <c r="B1732">
        <v>490</v>
      </c>
      <c r="C1732" s="2">
        <v>45100</v>
      </c>
      <c r="D1732" s="2" t="str">
        <f>TEXT(Table5[[#This Row],[bill_date]],"mmmm")</f>
        <v>June</v>
      </c>
      <c r="E1732" s="9">
        <f>YEAR(Table5[[#This Row],[bill_date]])</f>
        <v>2023</v>
      </c>
      <c r="F1732">
        <v>989</v>
      </c>
      <c r="G1732" t="s">
        <v>30</v>
      </c>
    </row>
    <row r="1733" spans="1:7" x14ac:dyDescent="0.3">
      <c r="A1733">
        <v>31732</v>
      </c>
      <c r="B1733">
        <v>17</v>
      </c>
      <c r="C1733" s="2">
        <v>44822</v>
      </c>
      <c r="D1733" s="2" t="str">
        <f>TEXT(Table5[[#This Row],[bill_date]],"mmmm")</f>
        <v>September</v>
      </c>
      <c r="E1733" s="9">
        <f>YEAR(Table5[[#This Row],[bill_date]])</f>
        <v>2022</v>
      </c>
      <c r="F1733">
        <v>1611</v>
      </c>
      <c r="G1733" t="s">
        <v>30</v>
      </c>
    </row>
    <row r="1734" spans="1:7" x14ac:dyDescent="0.3">
      <c r="A1734">
        <v>31733</v>
      </c>
      <c r="B1734">
        <v>370</v>
      </c>
      <c r="C1734" s="2">
        <v>45134</v>
      </c>
      <c r="D1734" s="2" t="str">
        <f>TEXT(Table5[[#This Row],[bill_date]],"mmmm")</f>
        <v>July</v>
      </c>
      <c r="E1734" s="9">
        <f>YEAR(Table5[[#This Row],[bill_date]])</f>
        <v>2023</v>
      </c>
      <c r="F1734">
        <v>1307</v>
      </c>
      <c r="G1734" t="s">
        <v>30</v>
      </c>
    </row>
    <row r="1735" spans="1:7" x14ac:dyDescent="0.3">
      <c r="A1735">
        <v>31734</v>
      </c>
      <c r="B1735">
        <v>336</v>
      </c>
      <c r="C1735" s="2">
        <v>44697</v>
      </c>
      <c r="D1735" s="2" t="str">
        <f>TEXT(Table5[[#This Row],[bill_date]],"mmmm")</f>
        <v>May</v>
      </c>
      <c r="E1735" s="9">
        <f>YEAR(Table5[[#This Row],[bill_date]])</f>
        <v>2022</v>
      </c>
      <c r="F1735">
        <v>1854</v>
      </c>
      <c r="G1735" t="s">
        <v>30</v>
      </c>
    </row>
    <row r="1736" spans="1:7" x14ac:dyDescent="0.3">
      <c r="A1736">
        <v>31735</v>
      </c>
      <c r="B1736">
        <v>66</v>
      </c>
      <c r="C1736" s="2">
        <v>45170</v>
      </c>
      <c r="D1736" s="2" t="str">
        <f>TEXT(Table5[[#This Row],[bill_date]],"mmmm")</f>
        <v>September</v>
      </c>
      <c r="E1736" s="9">
        <f>YEAR(Table5[[#This Row],[bill_date]])</f>
        <v>2023</v>
      </c>
      <c r="F1736">
        <v>248</v>
      </c>
      <c r="G1736" t="s">
        <v>30</v>
      </c>
    </row>
    <row r="1737" spans="1:7" x14ac:dyDescent="0.3">
      <c r="A1737">
        <v>31736</v>
      </c>
      <c r="B1737">
        <v>374</v>
      </c>
      <c r="C1737" s="2">
        <v>45222</v>
      </c>
      <c r="D1737" s="2" t="str">
        <f>TEXT(Table5[[#This Row],[bill_date]],"mmmm")</f>
        <v>October</v>
      </c>
      <c r="E1737" s="9">
        <f>YEAR(Table5[[#This Row],[bill_date]])</f>
        <v>2023</v>
      </c>
      <c r="F1737">
        <v>1386</v>
      </c>
      <c r="G1737" t="s">
        <v>29</v>
      </c>
    </row>
    <row r="1738" spans="1:7" x14ac:dyDescent="0.3">
      <c r="A1738">
        <v>31737</v>
      </c>
      <c r="B1738">
        <v>113</v>
      </c>
      <c r="C1738" s="2">
        <v>44788</v>
      </c>
      <c r="D1738" s="2" t="str">
        <f>TEXT(Table5[[#This Row],[bill_date]],"mmmm")</f>
        <v>August</v>
      </c>
      <c r="E1738" s="9">
        <f>YEAR(Table5[[#This Row],[bill_date]])</f>
        <v>2022</v>
      </c>
      <c r="F1738">
        <v>1370</v>
      </c>
      <c r="G1738" t="s">
        <v>30</v>
      </c>
    </row>
    <row r="1739" spans="1:7" x14ac:dyDescent="0.3">
      <c r="A1739">
        <v>31738</v>
      </c>
      <c r="B1739">
        <v>132</v>
      </c>
      <c r="C1739" s="2">
        <v>45350</v>
      </c>
      <c r="D1739" s="2" t="str">
        <f>TEXT(Table5[[#This Row],[bill_date]],"mmmm")</f>
        <v>February</v>
      </c>
      <c r="E1739" s="9">
        <f>YEAR(Table5[[#This Row],[bill_date]])</f>
        <v>2024</v>
      </c>
      <c r="F1739">
        <v>753</v>
      </c>
      <c r="G1739" t="s">
        <v>30</v>
      </c>
    </row>
    <row r="1740" spans="1:7" x14ac:dyDescent="0.3">
      <c r="A1740">
        <v>31739</v>
      </c>
      <c r="B1740">
        <v>416</v>
      </c>
      <c r="C1740" s="2">
        <v>45380</v>
      </c>
      <c r="D1740" s="2" t="str">
        <f>TEXT(Table5[[#This Row],[bill_date]],"mmmm")</f>
        <v>March</v>
      </c>
      <c r="E1740" s="9">
        <f>YEAR(Table5[[#This Row],[bill_date]])</f>
        <v>2024</v>
      </c>
      <c r="F1740">
        <v>1358</v>
      </c>
      <c r="G1740" t="s">
        <v>30</v>
      </c>
    </row>
    <row r="1741" spans="1:7" x14ac:dyDescent="0.3">
      <c r="A1741">
        <v>31740</v>
      </c>
      <c r="B1741">
        <v>71</v>
      </c>
      <c r="C1741" s="2">
        <v>45408</v>
      </c>
      <c r="D1741" s="2" t="str">
        <f>TEXT(Table5[[#This Row],[bill_date]],"mmmm")</f>
        <v>April</v>
      </c>
      <c r="E1741" s="9">
        <f>YEAR(Table5[[#This Row],[bill_date]])</f>
        <v>2024</v>
      </c>
      <c r="F1741">
        <v>1980</v>
      </c>
      <c r="G1741" t="s">
        <v>30</v>
      </c>
    </row>
    <row r="1742" spans="1:7" x14ac:dyDescent="0.3">
      <c r="A1742">
        <v>31741</v>
      </c>
      <c r="B1742">
        <v>413</v>
      </c>
      <c r="C1742" s="2">
        <v>44789</v>
      </c>
      <c r="D1742" s="2" t="str">
        <f>TEXT(Table5[[#This Row],[bill_date]],"mmmm")</f>
        <v>August</v>
      </c>
      <c r="E1742" s="9">
        <f>YEAR(Table5[[#This Row],[bill_date]])</f>
        <v>2022</v>
      </c>
      <c r="F1742">
        <v>1440</v>
      </c>
      <c r="G1742" t="s">
        <v>30</v>
      </c>
    </row>
    <row r="1743" spans="1:7" x14ac:dyDescent="0.3">
      <c r="A1743">
        <v>31742</v>
      </c>
      <c r="B1743">
        <v>61</v>
      </c>
      <c r="C1743" s="2">
        <v>45388</v>
      </c>
      <c r="D1743" s="2" t="str">
        <f>TEXT(Table5[[#This Row],[bill_date]],"mmmm")</f>
        <v>April</v>
      </c>
      <c r="E1743" s="9">
        <f>YEAR(Table5[[#This Row],[bill_date]])</f>
        <v>2024</v>
      </c>
      <c r="F1743">
        <v>704</v>
      </c>
      <c r="G1743" t="s">
        <v>30</v>
      </c>
    </row>
    <row r="1744" spans="1:7" x14ac:dyDescent="0.3">
      <c r="A1744">
        <v>31743</v>
      </c>
      <c r="B1744">
        <v>444</v>
      </c>
      <c r="C1744" s="2">
        <v>45322</v>
      </c>
      <c r="D1744" s="2" t="str">
        <f>TEXT(Table5[[#This Row],[bill_date]],"mmmm")</f>
        <v>January</v>
      </c>
      <c r="E1744" s="9">
        <f>YEAR(Table5[[#This Row],[bill_date]])</f>
        <v>2024</v>
      </c>
      <c r="F1744">
        <v>1594</v>
      </c>
      <c r="G1744" t="s">
        <v>30</v>
      </c>
    </row>
    <row r="1745" spans="1:7" x14ac:dyDescent="0.3">
      <c r="A1745">
        <v>31744</v>
      </c>
      <c r="B1745">
        <v>457</v>
      </c>
      <c r="C1745" s="2">
        <v>44819</v>
      </c>
      <c r="D1745" s="2" t="str">
        <f>TEXT(Table5[[#This Row],[bill_date]],"mmmm")</f>
        <v>September</v>
      </c>
      <c r="E1745" s="9">
        <f>YEAR(Table5[[#This Row],[bill_date]])</f>
        <v>2022</v>
      </c>
      <c r="F1745">
        <v>432</v>
      </c>
      <c r="G1745" t="s">
        <v>30</v>
      </c>
    </row>
    <row r="1746" spans="1:7" x14ac:dyDescent="0.3">
      <c r="A1746">
        <v>31745</v>
      </c>
      <c r="B1746">
        <v>314</v>
      </c>
      <c r="C1746" s="2">
        <v>44975</v>
      </c>
      <c r="D1746" s="2" t="str">
        <f>TEXT(Table5[[#This Row],[bill_date]],"mmmm")</f>
        <v>February</v>
      </c>
      <c r="E1746" s="9">
        <f>YEAR(Table5[[#This Row],[bill_date]])</f>
        <v>2023</v>
      </c>
      <c r="F1746">
        <v>973</v>
      </c>
      <c r="G1746" t="s">
        <v>30</v>
      </c>
    </row>
    <row r="1747" spans="1:7" x14ac:dyDescent="0.3">
      <c r="A1747">
        <v>31746</v>
      </c>
      <c r="B1747">
        <v>483</v>
      </c>
      <c r="C1747" s="2">
        <v>45387</v>
      </c>
      <c r="D1747" s="2" t="str">
        <f>TEXT(Table5[[#This Row],[bill_date]],"mmmm")</f>
        <v>April</v>
      </c>
      <c r="E1747" s="9">
        <f>YEAR(Table5[[#This Row],[bill_date]])</f>
        <v>2024</v>
      </c>
      <c r="F1747">
        <v>1337</v>
      </c>
      <c r="G1747" t="s">
        <v>30</v>
      </c>
    </row>
    <row r="1748" spans="1:7" x14ac:dyDescent="0.3">
      <c r="A1748">
        <v>31747</v>
      </c>
      <c r="B1748">
        <v>244</v>
      </c>
      <c r="C1748" s="2">
        <v>44781</v>
      </c>
      <c r="D1748" s="2" t="str">
        <f>TEXT(Table5[[#This Row],[bill_date]],"mmmm")</f>
        <v>August</v>
      </c>
      <c r="E1748" s="9">
        <f>YEAR(Table5[[#This Row],[bill_date]])</f>
        <v>2022</v>
      </c>
      <c r="F1748">
        <v>387</v>
      </c>
      <c r="G1748" t="s">
        <v>30</v>
      </c>
    </row>
    <row r="1749" spans="1:7" x14ac:dyDescent="0.3">
      <c r="A1749">
        <v>31748</v>
      </c>
      <c r="B1749">
        <v>309</v>
      </c>
      <c r="C1749" s="2">
        <v>44797</v>
      </c>
      <c r="D1749" s="2" t="str">
        <f>TEXT(Table5[[#This Row],[bill_date]],"mmmm")</f>
        <v>August</v>
      </c>
      <c r="E1749" s="9">
        <f>YEAR(Table5[[#This Row],[bill_date]])</f>
        <v>2022</v>
      </c>
      <c r="F1749">
        <v>1639</v>
      </c>
      <c r="G1749" t="s">
        <v>30</v>
      </c>
    </row>
    <row r="1750" spans="1:7" x14ac:dyDescent="0.3">
      <c r="A1750">
        <v>31749</v>
      </c>
      <c r="B1750">
        <v>5</v>
      </c>
      <c r="C1750" s="2">
        <v>44581</v>
      </c>
      <c r="D1750" s="2" t="str">
        <f>TEXT(Table5[[#This Row],[bill_date]],"mmmm")</f>
        <v>January</v>
      </c>
      <c r="E1750" s="9">
        <f>YEAR(Table5[[#This Row],[bill_date]])</f>
        <v>2022</v>
      </c>
      <c r="F1750">
        <v>1419</v>
      </c>
      <c r="G1750" t="s">
        <v>30</v>
      </c>
    </row>
    <row r="1751" spans="1:7" x14ac:dyDescent="0.3">
      <c r="A1751">
        <v>31750</v>
      </c>
      <c r="B1751">
        <v>370</v>
      </c>
      <c r="C1751" s="2">
        <v>44985</v>
      </c>
      <c r="D1751" s="2" t="str">
        <f>TEXT(Table5[[#This Row],[bill_date]],"mmmm")</f>
        <v>February</v>
      </c>
      <c r="E1751" s="9">
        <f>YEAR(Table5[[#This Row],[bill_date]])</f>
        <v>2023</v>
      </c>
      <c r="F1751">
        <v>748</v>
      </c>
      <c r="G1751" t="s">
        <v>30</v>
      </c>
    </row>
    <row r="1752" spans="1:7" x14ac:dyDescent="0.3">
      <c r="A1752">
        <v>31751</v>
      </c>
      <c r="B1752">
        <v>317</v>
      </c>
      <c r="C1752" s="2">
        <v>44974</v>
      </c>
      <c r="D1752" s="2" t="str">
        <f>TEXT(Table5[[#This Row],[bill_date]],"mmmm")</f>
        <v>February</v>
      </c>
      <c r="E1752" s="9">
        <f>YEAR(Table5[[#This Row],[bill_date]])</f>
        <v>2023</v>
      </c>
      <c r="F1752">
        <v>722</v>
      </c>
      <c r="G1752" t="s">
        <v>30</v>
      </c>
    </row>
    <row r="1753" spans="1:7" x14ac:dyDescent="0.3">
      <c r="A1753">
        <v>31752</v>
      </c>
      <c r="B1753">
        <v>21</v>
      </c>
      <c r="C1753" s="2">
        <v>44950</v>
      </c>
      <c r="D1753" s="2" t="str">
        <f>TEXT(Table5[[#This Row],[bill_date]],"mmmm")</f>
        <v>January</v>
      </c>
      <c r="E1753" s="9">
        <f>YEAR(Table5[[#This Row],[bill_date]])</f>
        <v>2023</v>
      </c>
      <c r="F1753">
        <v>1858</v>
      </c>
      <c r="G1753" t="s">
        <v>30</v>
      </c>
    </row>
    <row r="1754" spans="1:7" x14ac:dyDescent="0.3">
      <c r="A1754">
        <v>31753</v>
      </c>
      <c r="B1754">
        <v>186</v>
      </c>
      <c r="C1754" s="2">
        <v>44906</v>
      </c>
      <c r="D1754" s="2" t="str">
        <f>TEXT(Table5[[#This Row],[bill_date]],"mmmm")</f>
        <v>December</v>
      </c>
      <c r="E1754" s="9">
        <f>YEAR(Table5[[#This Row],[bill_date]])</f>
        <v>2022</v>
      </c>
      <c r="F1754">
        <v>1778</v>
      </c>
      <c r="G1754" t="s">
        <v>30</v>
      </c>
    </row>
    <row r="1755" spans="1:7" x14ac:dyDescent="0.3">
      <c r="A1755">
        <v>31754</v>
      </c>
      <c r="B1755">
        <v>209</v>
      </c>
      <c r="C1755" s="2">
        <v>45211</v>
      </c>
      <c r="D1755" s="2" t="str">
        <f>TEXT(Table5[[#This Row],[bill_date]],"mmmm")</f>
        <v>October</v>
      </c>
      <c r="E1755" s="9">
        <f>YEAR(Table5[[#This Row],[bill_date]])</f>
        <v>2023</v>
      </c>
      <c r="F1755">
        <v>1019</v>
      </c>
      <c r="G1755" t="s">
        <v>30</v>
      </c>
    </row>
    <row r="1756" spans="1:7" x14ac:dyDescent="0.3">
      <c r="A1756">
        <v>31755</v>
      </c>
      <c r="B1756">
        <v>231</v>
      </c>
      <c r="C1756" s="2">
        <v>45028</v>
      </c>
      <c r="D1756" s="2" t="str">
        <f>TEXT(Table5[[#This Row],[bill_date]],"mmmm")</f>
        <v>April</v>
      </c>
      <c r="E1756" s="9">
        <f>YEAR(Table5[[#This Row],[bill_date]])</f>
        <v>2023</v>
      </c>
      <c r="F1756">
        <v>212</v>
      </c>
      <c r="G1756" t="s">
        <v>30</v>
      </c>
    </row>
    <row r="1757" spans="1:7" x14ac:dyDescent="0.3">
      <c r="A1757">
        <v>31756</v>
      </c>
      <c r="B1757">
        <v>14</v>
      </c>
      <c r="C1757" s="2">
        <v>44750</v>
      </c>
      <c r="D1757" s="2" t="str">
        <f>TEXT(Table5[[#This Row],[bill_date]],"mmmm")</f>
        <v>July</v>
      </c>
      <c r="E1757" s="9">
        <f>YEAR(Table5[[#This Row],[bill_date]])</f>
        <v>2022</v>
      </c>
      <c r="F1757">
        <v>1165</v>
      </c>
      <c r="G1757" t="s">
        <v>30</v>
      </c>
    </row>
    <row r="1758" spans="1:7" x14ac:dyDescent="0.3">
      <c r="A1758">
        <v>31757</v>
      </c>
      <c r="B1758">
        <v>352</v>
      </c>
      <c r="C1758" s="2">
        <v>45178</v>
      </c>
      <c r="D1758" s="2" t="str">
        <f>TEXT(Table5[[#This Row],[bill_date]],"mmmm")</f>
        <v>September</v>
      </c>
      <c r="E1758" s="9">
        <f>YEAR(Table5[[#This Row],[bill_date]])</f>
        <v>2023</v>
      </c>
      <c r="F1758">
        <v>1058</v>
      </c>
      <c r="G1758" t="s">
        <v>29</v>
      </c>
    </row>
    <row r="1759" spans="1:7" x14ac:dyDescent="0.3">
      <c r="A1759">
        <v>31758</v>
      </c>
      <c r="B1759">
        <v>79</v>
      </c>
      <c r="C1759" s="2">
        <v>44929</v>
      </c>
      <c r="D1759" s="2" t="str">
        <f>TEXT(Table5[[#This Row],[bill_date]],"mmmm")</f>
        <v>January</v>
      </c>
      <c r="E1759" s="9">
        <f>YEAR(Table5[[#This Row],[bill_date]])</f>
        <v>2023</v>
      </c>
      <c r="F1759">
        <v>1786</v>
      </c>
      <c r="G1759" t="s">
        <v>29</v>
      </c>
    </row>
    <row r="1760" spans="1:7" x14ac:dyDescent="0.3">
      <c r="A1760">
        <v>31759</v>
      </c>
      <c r="B1760">
        <v>469</v>
      </c>
      <c r="C1760" s="2">
        <v>44946</v>
      </c>
      <c r="D1760" s="2" t="str">
        <f>TEXT(Table5[[#This Row],[bill_date]],"mmmm")</f>
        <v>January</v>
      </c>
      <c r="E1760" s="9">
        <f>YEAR(Table5[[#This Row],[bill_date]])</f>
        <v>2023</v>
      </c>
      <c r="F1760">
        <v>1467</v>
      </c>
      <c r="G1760" t="s">
        <v>30</v>
      </c>
    </row>
    <row r="1761" spans="1:7" x14ac:dyDescent="0.3">
      <c r="A1761">
        <v>31760</v>
      </c>
      <c r="B1761">
        <v>182</v>
      </c>
      <c r="C1761" s="2">
        <v>44659</v>
      </c>
      <c r="D1761" s="2" t="str">
        <f>TEXT(Table5[[#This Row],[bill_date]],"mmmm")</f>
        <v>April</v>
      </c>
      <c r="E1761" s="9">
        <f>YEAR(Table5[[#This Row],[bill_date]])</f>
        <v>2022</v>
      </c>
      <c r="F1761">
        <v>1914</v>
      </c>
      <c r="G1761" t="s">
        <v>30</v>
      </c>
    </row>
    <row r="1762" spans="1:7" x14ac:dyDescent="0.3">
      <c r="A1762">
        <v>31761</v>
      </c>
      <c r="B1762">
        <v>78</v>
      </c>
      <c r="C1762" s="2">
        <v>44831</v>
      </c>
      <c r="D1762" s="2" t="str">
        <f>TEXT(Table5[[#This Row],[bill_date]],"mmmm")</f>
        <v>September</v>
      </c>
      <c r="E1762" s="9">
        <f>YEAR(Table5[[#This Row],[bill_date]])</f>
        <v>2022</v>
      </c>
      <c r="F1762">
        <v>1524</v>
      </c>
      <c r="G1762" t="s">
        <v>30</v>
      </c>
    </row>
    <row r="1763" spans="1:7" x14ac:dyDescent="0.3">
      <c r="A1763">
        <v>31762</v>
      </c>
      <c r="B1763">
        <v>297</v>
      </c>
      <c r="C1763" s="2">
        <v>45226</v>
      </c>
      <c r="D1763" s="2" t="str">
        <f>TEXT(Table5[[#This Row],[bill_date]],"mmmm")</f>
        <v>October</v>
      </c>
      <c r="E1763" s="9">
        <f>YEAR(Table5[[#This Row],[bill_date]])</f>
        <v>2023</v>
      </c>
      <c r="F1763">
        <v>1686</v>
      </c>
      <c r="G1763" t="s">
        <v>30</v>
      </c>
    </row>
    <row r="1764" spans="1:7" x14ac:dyDescent="0.3">
      <c r="A1764">
        <v>31763</v>
      </c>
      <c r="B1764">
        <v>272</v>
      </c>
      <c r="C1764" s="2">
        <v>44779</v>
      </c>
      <c r="D1764" s="2" t="str">
        <f>TEXT(Table5[[#This Row],[bill_date]],"mmmm")</f>
        <v>August</v>
      </c>
      <c r="E1764" s="9">
        <f>YEAR(Table5[[#This Row],[bill_date]])</f>
        <v>2022</v>
      </c>
      <c r="F1764">
        <v>1864</v>
      </c>
      <c r="G1764" t="s">
        <v>30</v>
      </c>
    </row>
    <row r="1765" spans="1:7" x14ac:dyDescent="0.3">
      <c r="A1765">
        <v>31764</v>
      </c>
      <c r="B1765">
        <v>51</v>
      </c>
      <c r="C1765" s="2">
        <v>44582</v>
      </c>
      <c r="D1765" s="2" t="str">
        <f>TEXT(Table5[[#This Row],[bill_date]],"mmmm")</f>
        <v>January</v>
      </c>
      <c r="E1765" s="9">
        <f>YEAR(Table5[[#This Row],[bill_date]])</f>
        <v>2022</v>
      </c>
      <c r="F1765">
        <v>631</v>
      </c>
      <c r="G1765" t="s">
        <v>30</v>
      </c>
    </row>
    <row r="1766" spans="1:7" x14ac:dyDescent="0.3">
      <c r="A1766">
        <v>31765</v>
      </c>
      <c r="B1766">
        <v>257</v>
      </c>
      <c r="C1766" s="2">
        <v>44833</v>
      </c>
      <c r="D1766" s="2" t="str">
        <f>TEXT(Table5[[#This Row],[bill_date]],"mmmm")</f>
        <v>September</v>
      </c>
      <c r="E1766" s="9">
        <f>YEAR(Table5[[#This Row],[bill_date]])</f>
        <v>2022</v>
      </c>
      <c r="F1766">
        <v>810</v>
      </c>
      <c r="G1766" t="s">
        <v>30</v>
      </c>
    </row>
    <row r="1767" spans="1:7" x14ac:dyDescent="0.3">
      <c r="A1767">
        <v>31766</v>
      </c>
      <c r="B1767">
        <v>296</v>
      </c>
      <c r="C1767" s="2">
        <v>45275</v>
      </c>
      <c r="D1767" s="2" t="str">
        <f>TEXT(Table5[[#This Row],[bill_date]],"mmmm")</f>
        <v>December</v>
      </c>
      <c r="E1767" s="9">
        <f>YEAR(Table5[[#This Row],[bill_date]])</f>
        <v>2023</v>
      </c>
      <c r="F1767">
        <v>660</v>
      </c>
      <c r="G1767" t="s">
        <v>28</v>
      </c>
    </row>
    <row r="1768" spans="1:7" x14ac:dyDescent="0.3">
      <c r="A1768">
        <v>31767</v>
      </c>
      <c r="B1768">
        <v>18</v>
      </c>
      <c r="C1768" s="2">
        <v>44721</v>
      </c>
      <c r="D1768" s="2" t="str">
        <f>TEXT(Table5[[#This Row],[bill_date]],"mmmm")</f>
        <v>June</v>
      </c>
      <c r="E1768" s="9">
        <f>YEAR(Table5[[#This Row],[bill_date]])</f>
        <v>2022</v>
      </c>
      <c r="F1768">
        <v>1076</v>
      </c>
      <c r="G1768" t="s">
        <v>28</v>
      </c>
    </row>
    <row r="1769" spans="1:7" x14ac:dyDescent="0.3">
      <c r="A1769">
        <v>31768</v>
      </c>
      <c r="B1769">
        <v>290</v>
      </c>
      <c r="C1769" s="2">
        <v>45053</v>
      </c>
      <c r="D1769" s="2" t="str">
        <f>TEXT(Table5[[#This Row],[bill_date]],"mmmm")</f>
        <v>May</v>
      </c>
      <c r="E1769" s="9">
        <f>YEAR(Table5[[#This Row],[bill_date]])</f>
        <v>2023</v>
      </c>
      <c r="F1769">
        <v>482</v>
      </c>
      <c r="G1769" t="s">
        <v>30</v>
      </c>
    </row>
    <row r="1770" spans="1:7" x14ac:dyDescent="0.3">
      <c r="A1770">
        <v>31769</v>
      </c>
      <c r="B1770">
        <v>218</v>
      </c>
      <c r="C1770" s="2">
        <v>44990</v>
      </c>
      <c r="D1770" s="2" t="str">
        <f>TEXT(Table5[[#This Row],[bill_date]],"mmmm")</f>
        <v>March</v>
      </c>
      <c r="E1770" s="9">
        <f>YEAR(Table5[[#This Row],[bill_date]])</f>
        <v>2023</v>
      </c>
      <c r="F1770">
        <v>821</v>
      </c>
      <c r="G1770" t="s">
        <v>30</v>
      </c>
    </row>
    <row r="1771" spans="1:7" x14ac:dyDescent="0.3">
      <c r="A1771">
        <v>31770</v>
      </c>
      <c r="B1771">
        <v>445</v>
      </c>
      <c r="C1771" s="2">
        <v>45137</v>
      </c>
      <c r="D1771" s="2" t="str">
        <f>TEXT(Table5[[#This Row],[bill_date]],"mmmm")</f>
        <v>July</v>
      </c>
      <c r="E1771" s="9">
        <f>YEAR(Table5[[#This Row],[bill_date]])</f>
        <v>2023</v>
      </c>
      <c r="F1771">
        <v>998</v>
      </c>
      <c r="G1771" t="s">
        <v>30</v>
      </c>
    </row>
    <row r="1772" spans="1:7" x14ac:dyDescent="0.3">
      <c r="A1772">
        <v>31771</v>
      </c>
      <c r="B1772">
        <v>100</v>
      </c>
      <c r="C1772" s="2">
        <v>45157</v>
      </c>
      <c r="D1772" s="2" t="str">
        <f>TEXT(Table5[[#This Row],[bill_date]],"mmmm")</f>
        <v>August</v>
      </c>
      <c r="E1772" s="9">
        <f>YEAR(Table5[[#This Row],[bill_date]])</f>
        <v>2023</v>
      </c>
      <c r="F1772">
        <v>1826</v>
      </c>
      <c r="G1772" t="s">
        <v>28</v>
      </c>
    </row>
    <row r="1773" spans="1:7" x14ac:dyDescent="0.3">
      <c r="A1773">
        <v>31772</v>
      </c>
      <c r="B1773">
        <v>149</v>
      </c>
      <c r="C1773" s="2">
        <v>45146</v>
      </c>
      <c r="D1773" s="2" t="str">
        <f>TEXT(Table5[[#This Row],[bill_date]],"mmmm")</f>
        <v>August</v>
      </c>
      <c r="E1773" s="9">
        <f>YEAR(Table5[[#This Row],[bill_date]])</f>
        <v>2023</v>
      </c>
      <c r="F1773">
        <v>1810</v>
      </c>
      <c r="G1773" t="s">
        <v>30</v>
      </c>
    </row>
    <row r="1774" spans="1:7" x14ac:dyDescent="0.3">
      <c r="A1774">
        <v>31773</v>
      </c>
      <c r="B1774">
        <v>385</v>
      </c>
      <c r="C1774" s="2">
        <v>45133</v>
      </c>
      <c r="D1774" s="2" t="str">
        <f>TEXT(Table5[[#This Row],[bill_date]],"mmmm")</f>
        <v>July</v>
      </c>
      <c r="E1774" s="9">
        <f>YEAR(Table5[[#This Row],[bill_date]])</f>
        <v>2023</v>
      </c>
      <c r="F1774">
        <v>915</v>
      </c>
      <c r="G1774" t="s">
        <v>30</v>
      </c>
    </row>
    <row r="1775" spans="1:7" x14ac:dyDescent="0.3">
      <c r="A1775">
        <v>31774</v>
      </c>
      <c r="B1775">
        <v>155</v>
      </c>
      <c r="C1775" s="2">
        <v>45427</v>
      </c>
      <c r="D1775" s="2" t="str">
        <f>TEXT(Table5[[#This Row],[bill_date]],"mmmm")</f>
        <v>May</v>
      </c>
      <c r="E1775" s="9">
        <f>YEAR(Table5[[#This Row],[bill_date]])</f>
        <v>2024</v>
      </c>
      <c r="F1775">
        <v>732</v>
      </c>
      <c r="G1775" t="s">
        <v>30</v>
      </c>
    </row>
    <row r="1776" spans="1:7" x14ac:dyDescent="0.3">
      <c r="A1776">
        <v>31775</v>
      </c>
      <c r="B1776">
        <v>435</v>
      </c>
      <c r="C1776" s="2">
        <v>45220</v>
      </c>
      <c r="D1776" s="2" t="str">
        <f>TEXT(Table5[[#This Row],[bill_date]],"mmmm")</f>
        <v>October</v>
      </c>
      <c r="E1776" s="9">
        <f>YEAR(Table5[[#This Row],[bill_date]])</f>
        <v>2023</v>
      </c>
      <c r="F1776">
        <v>880</v>
      </c>
      <c r="G1776" t="s">
        <v>30</v>
      </c>
    </row>
    <row r="1777" spans="1:7" x14ac:dyDescent="0.3">
      <c r="A1777">
        <v>31776</v>
      </c>
      <c r="B1777">
        <v>395</v>
      </c>
      <c r="C1777" s="2">
        <v>44608</v>
      </c>
      <c r="D1777" s="2" t="str">
        <f>TEXT(Table5[[#This Row],[bill_date]],"mmmm")</f>
        <v>February</v>
      </c>
      <c r="E1777" s="9">
        <f>YEAR(Table5[[#This Row],[bill_date]])</f>
        <v>2022</v>
      </c>
      <c r="F1777">
        <v>1590</v>
      </c>
      <c r="G1777" t="s">
        <v>30</v>
      </c>
    </row>
    <row r="1778" spans="1:7" x14ac:dyDescent="0.3">
      <c r="A1778">
        <v>31777</v>
      </c>
      <c r="B1778">
        <v>376</v>
      </c>
      <c r="C1778" s="2">
        <v>44784</v>
      </c>
      <c r="D1778" s="2" t="str">
        <f>TEXT(Table5[[#This Row],[bill_date]],"mmmm")</f>
        <v>August</v>
      </c>
      <c r="E1778" s="9">
        <f>YEAR(Table5[[#This Row],[bill_date]])</f>
        <v>2022</v>
      </c>
      <c r="F1778">
        <v>1219</v>
      </c>
      <c r="G1778" t="s">
        <v>29</v>
      </c>
    </row>
    <row r="1779" spans="1:7" x14ac:dyDescent="0.3">
      <c r="A1779">
        <v>31778</v>
      </c>
      <c r="B1779">
        <v>102</v>
      </c>
      <c r="C1779" s="2">
        <v>44719</v>
      </c>
      <c r="D1779" s="2" t="str">
        <f>TEXT(Table5[[#This Row],[bill_date]],"mmmm")</f>
        <v>June</v>
      </c>
      <c r="E1779" s="9">
        <f>YEAR(Table5[[#This Row],[bill_date]])</f>
        <v>2022</v>
      </c>
      <c r="F1779">
        <v>1379</v>
      </c>
      <c r="G1779" t="s">
        <v>30</v>
      </c>
    </row>
    <row r="1780" spans="1:7" x14ac:dyDescent="0.3">
      <c r="A1780">
        <v>31779</v>
      </c>
      <c r="B1780">
        <v>115</v>
      </c>
      <c r="C1780" s="2">
        <v>44608</v>
      </c>
      <c r="D1780" s="2" t="str">
        <f>TEXT(Table5[[#This Row],[bill_date]],"mmmm")</f>
        <v>February</v>
      </c>
      <c r="E1780" s="9">
        <f>YEAR(Table5[[#This Row],[bill_date]])</f>
        <v>2022</v>
      </c>
      <c r="F1780">
        <v>932</v>
      </c>
      <c r="G1780" t="s">
        <v>30</v>
      </c>
    </row>
    <row r="1781" spans="1:7" x14ac:dyDescent="0.3">
      <c r="A1781">
        <v>31780</v>
      </c>
      <c r="B1781">
        <v>270</v>
      </c>
      <c r="C1781" s="2">
        <v>45362</v>
      </c>
      <c r="D1781" s="2" t="str">
        <f>TEXT(Table5[[#This Row],[bill_date]],"mmmm")</f>
        <v>March</v>
      </c>
      <c r="E1781" s="9">
        <f>YEAR(Table5[[#This Row],[bill_date]])</f>
        <v>2024</v>
      </c>
      <c r="F1781">
        <v>1685</v>
      </c>
      <c r="G1781" t="s">
        <v>30</v>
      </c>
    </row>
    <row r="1782" spans="1:7" x14ac:dyDescent="0.3">
      <c r="A1782">
        <v>31781</v>
      </c>
      <c r="B1782">
        <v>92</v>
      </c>
      <c r="C1782" s="2">
        <v>45283</v>
      </c>
      <c r="D1782" s="2" t="str">
        <f>TEXT(Table5[[#This Row],[bill_date]],"mmmm")</f>
        <v>December</v>
      </c>
      <c r="E1782" s="9">
        <f>YEAR(Table5[[#This Row],[bill_date]])</f>
        <v>2023</v>
      </c>
      <c r="F1782">
        <v>1802</v>
      </c>
      <c r="G1782" t="s">
        <v>30</v>
      </c>
    </row>
    <row r="1783" spans="1:7" x14ac:dyDescent="0.3">
      <c r="A1783">
        <v>31782</v>
      </c>
      <c r="B1783">
        <v>439</v>
      </c>
      <c r="C1783" s="2">
        <v>45094</v>
      </c>
      <c r="D1783" s="2" t="str">
        <f>TEXT(Table5[[#This Row],[bill_date]],"mmmm")</f>
        <v>June</v>
      </c>
      <c r="E1783" s="9">
        <f>YEAR(Table5[[#This Row],[bill_date]])</f>
        <v>2023</v>
      </c>
      <c r="F1783">
        <v>359</v>
      </c>
      <c r="G1783" t="s">
        <v>28</v>
      </c>
    </row>
    <row r="1784" spans="1:7" x14ac:dyDescent="0.3">
      <c r="A1784">
        <v>31783</v>
      </c>
      <c r="B1784">
        <v>411</v>
      </c>
      <c r="C1784" s="2">
        <v>44912</v>
      </c>
      <c r="D1784" s="2" t="str">
        <f>TEXT(Table5[[#This Row],[bill_date]],"mmmm")</f>
        <v>December</v>
      </c>
      <c r="E1784" s="9">
        <f>YEAR(Table5[[#This Row],[bill_date]])</f>
        <v>2022</v>
      </c>
      <c r="F1784">
        <v>372</v>
      </c>
      <c r="G1784" t="s">
        <v>30</v>
      </c>
    </row>
    <row r="1785" spans="1:7" x14ac:dyDescent="0.3">
      <c r="A1785">
        <v>31784</v>
      </c>
      <c r="B1785">
        <v>406</v>
      </c>
      <c r="C1785" s="2">
        <v>44880</v>
      </c>
      <c r="D1785" s="2" t="str">
        <f>TEXT(Table5[[#This Row],[bill_date]],"mmmm")</f>
        <v>November</v>
      </c>
      <c r="E1785" s="9">
        <f>YEAR(Table5[[#This Row],[bill_date]])</f>
        <v>2022</v>
      </c>
      <c r="F1785">
        <v>1103</v>
      </c>
      <c r="G1785" t="s">
        <v>29</v>
      </c>
    </row>
    <row r="1786" spans="1:7" x14ac:dyDescent="0.3">
      <c r="A1786">
        <v>31785</v>
      </c>
      <c r="B1786">
        <v>21</v>
      </c>
      <c r="C1786" s="2">
        <v>44792</v>
      </c>
      <c r="D1786" s="2" t="str">
        <f>TEXT(Table5[[#This Row],[bill_date]],"mmmm")</f>
        <v>August</v>
      </c>
      <c r="E1786" s="9">
        <f>YEAR(Table5[[#This Row],[bill_date]])</f>
        <v>2022</v>
      </c>
      <c r="F1786">
        <v>1721</v>
      </c>
      <c r="G1786" t="s">
        <v>30</v>
      </c>
    </row>
    <row r="1787" spans="1:7" x14ac:dyDescent="0.3">
      <c r="A1787">
        <v>31786</v>
      </c>
      <c r="B1787">
        <v>120</v>
      </c>
      <c r="C1787" s="2">
        <v>44859</v>
      </c>
      <c r="D1787" s="2" t="str">
        <f>TEXT(Table5[[#This Row],[bill_date]],"mmmm")</f>
        <v>October</v>
      </c>
      <c r="E1787" s="9">
        <f>YEAR(Table5[[#This Row],[bill_date]])</f>
        <v>2022</v>
      </c>
      <c r="F1787">
        <v>1772</v>
      </c>
      <c r="G1787" t="s">
        <v>29</v>
      </c>
    </row>
    <row r="1788" spans="1:7" x14ac:dyDescent="0.3">
      <c r="A1788">
        <v>31787</v>
      </c>
      <c r="B1788">
        <v>408</v>
      </c>
      <c r="C1788" s="2">
        <v>45006</v>
      </c>
      <c r="D1788" s="2" t="str">
        <f>TEXT(Table5[[#This Row],[bill_date]],"mmmm")</f>
        <v>March</v>
      </c>
      <c r="E1788" s="9">
        <f>YEAR(Table5[[#This Row],[bill_date]])</f>
        <v>2023</v>
      </c>
      <c r="F1788">
        <v>1558</v>
      </c>
      <c r="G1788" t="s">
        <v>30</v>
      </c>
    </row>
    <row r="1789" spans="1:7" x14ac:dyDescent="0.3">
      <c r="A1789">
        <v>31788</v>
      </c>
      <c r="B1789">
        <v>19</v>
      </c>
      <c r="C1789" s="2">
        <v>44666</v>
      </c>
      <c r="D1789" s="2" t="str">
        <f>TEXT(Table5[[#This Row],[bill_date]],"mmmm")</f>
        <v>April</v>
      </c>
      <c r="E1789" s="9">
        <f>YEAR(Table5[[#This Row],[bill_date]])</f>
        <v>2022</v>
      </c>
      <c r="F1789">
        <v>224</v>
      </c>
      <c r="G1789" t="s">
        <v>30</v>
      </c>
    </row>
    <row r="1790" spans="1:7" x14ac:dyDescent="0.3">
      <c r="A1790">
        <v>31789</v>
      </c>
      <c r="B1790">
        <v>24</v>
      </c>
      <c r="C1790" s="2">
        <v>45199</v>
      </c>
      <c r="D1790" s="2" t="str">
        <f>TEXT(Table5[[#This Row],[bill_date]],"mmmm")</f>
        <v>September</v>
      </c>
      <c r="E1790" s="9">
        <f>YEAR(Table5[[#This Row],[bill_date]])</f>
        <v>2023</v>
      </c>
      <c r="F1790">
        <v>1988</v>
      </c>
      <c r="G1790" t="s">
        <v>30</v>
      </c>
    </row>
    <row r="1791" spans="1:7" x14ac:dyDescent="0.3">
      <c r="A1791">
        <v>31790</v>
      </c>
      <c r="B1791">
        <v>26</v>
      </c>
      <c r="C1791" s="2">
        <v>45444</v>
      </c>
      <c r="D1791" s="2" t="str">
        <f>TEXT(Table5[[#This Row],[bill_date]],"mmmm")</f>
        <v>June</v>
      </c>
      <c r="E1791" s="9">
        <f>YEAR(Table5[[#This Row],[bill_date]])</f>
        <v>2024</v>
      </c>
      <c r="F1791">
        <v>1726</v>
      </c>
      <c r="G1791" t="s">
        <v>30</v>
      </c>
    </row>
    <row r="1792" spans="1:7" x14ac:dyDescent="0.3">
      <c r="A1792">
        <v>31791</v>
      </c>
      <c r="B1792">
        <v>153</v>
      </c>
      <c r="C1792" s="2">
        <v>44860</v>
      </c>
      <c r="D1792" s="2" t="str">
        <f>TEXT(Table5[[#This Row],[bill_date]],"mmmm")</f>
        <v>October</v>
      </c>
      <c r="E1792" s="9">
        <f>YEAR(Table5[[#This Row],[bill_date]])</f>
        <v>2022</v>
      </c>
      <c r="F1792">
        <v>1521</v>
      </c>
      <c r="G1792" t="s">
        <v>30</v>
      </c>
    </row>
    <row r="1793" spans="1:7" x14ac:dyDescent="0.3">
      <c r="A1793">
        <v>31792</v>
      </c>
      <c r="B1793">
        <v>301</v>
      </c>
      <c r="C1793" s="2">
        <v>44629</v>
      </c>
      <c r="D1793" s="2" t="str">
        <f>TEXT(Table5[[#This Row],[bill_date]],"mmmm")</f>
        <v>March</v>
      </c>
      <c r="E1793" s="9">
        <f>YEAR(Table5[[#This Row],[bill_date]])</f>
        <v>2022</v>
      </c>
      <c r="F1793">
        <v>635</v>
      </c>
      <c r="G1793" t="s">
        <v>30</v>
      </c>
    </row>
    <row r="1794" spans="1:7" x14ac:dyDescent="0.3">
      <c r="A1794">
        <v>31793</v>
      </c>
      <c r="B1794">
        <v>364</v>
      </c>
      <c r="C1794" s="2">
        <v>45099</v>
      </c>
      <c r="D1794" s="2" t="str">
        <f>TEXT(Table5[[#This Row],[bill_date]],"mmmm")</f>
        <v>June</v>
      </c>
      <c r="E1794" s="9">
        <f>YEAR(Table5[[#This Row],[bill_date]])</f>
        <v>2023</v>
      </c>
      <c r="F1794">
        <v>957</v>
      </c>
      <c r="G1794" t="s">
        <v>30</v>
      </c>
    </row>
    <row r="1795" spans="1:7" x14ac:dyDescent="0.3">
      <c r="A1795">
        <v>31794</v>
      </c>
      <c r="B1795">
        <v>413</v>
      </c>
      <c r="C1795" s="2">
        <v>45234</v>
      </c>
      <c r="D1795" s="2" t="str">
        <f>TEXT(Table5[[#This Row],[bill_date]],"mmmm")</f>
        <v>November</v>
      </c>
      <c r="E1795" s="9">
        <f>YEAR(Table5[[#This Row],[bill_date]])</f>
        <v>2023</v>
      </c>
      <c r="F1795">
        <v>209</v>
      </c>
      <c r="G1795" t="s">
        <v>29</v>
      </c>
    </row>
    <row r="1796" spans="1:7" x14ac:dyDescent="0.3">
      <c r="A1796">
        <v>31795</v>
      </c>
      <c r="B1796">
        <v>202</v>
      </c>
      <c r="C1796" s="2">
        <v>45181</v>
      </c>
      <c r="D1796" s="2" t="str">
        <f>TEXT(Table5[[#This Row],[bill_date]],"mmmm")</f>
        <v>September</v>
      </c>
      <c r="E1796" s="9">
        <f>YEAR(Table5[[#This Row],[bill_date]])</f>
        <v>2023</v>
      </c>
      <c r="F1796">
        <v>1460</v>
      </c>
      <c r="G1796" t="s">
        <v>30</v>
      </c>
    </row>
    <row r="1797" spans="1:7" x14ac:dyDescent="0.3">
      <c r="A1797">
        <v>31796</v>
      </c>
      <c r="B1797">
        <v>499</v>
      </c>
      <c r="C1797" s="2">
        <v>45362</v>
      </c>
      <c r="D1797" s="2" t="str">
        <f>TEXT(Table5[[#This Row],[bill_date]],"mmmm")</f>
        <v>March</v>
      </c>
      <c r="E1797" s="9">
        <f>YEAR(Table5[[#This Row],[bill_date]])</f>
        <v>2024</v>
      </c>
      <c r="F1797">
        <v>817</v>
      </c>
      <c r="G1797" t="s">
        <v>28</v>
      </c>
    </row>
    <row r="1798" spans="1:7" x14ac:dyDescent="0.3">
      <c r="A1798">
        <v>31797</v>
      </c>
      <c r="B1798">
        <v>139</v>
      </c>
      <c r="C1798" s="2">
        <v>45378</v>
      </c>
      <c r="D1798" s="2" t="str">
        <f>TEXT(Table5[[#This Row],[bill_date]],"mmmm")</f>
        <v>March</v>
      </c>
      <c r="E1798" s="9">
        <f>YEAR(Table5[[#This Row],[bill_date]])</f>
        <v>2024</v>
      </c>
      <c r="F1798">
        <v>1632</v>
      </c>
      <c r="G1798" t="s">
        <v>30</v>
      </c>
    </row>
    <row r="1799" spans="1:7" x14ac:dyDescent="0.3">
      <c r="A1799">
        <v>31798</v>
      </c>
      <c r="B1799">
        <v>280</v>
      </c>
      <c r="C1799" s="2">
        <v>45157</v>
      </c>
      <c r="D1799" s="2" t="str">
        <f>TEXT(Table5[[#This Row],[bill_date]],"mmmm")</f>
        <v>August</v>
      </c>
      <c r="E1799" s="9">
        <f>YEAR(Table5[[#This Row],[bill_date]])</f>
        <v>2023</v>
      </c>
      <c r="F1799">
        <v>1556</v>
      </c>
      <c r="G1799" t="s">
        <v>30</v>
      </c>
    </row>
    <row r="1800" spans="1:7" x14ac:dyDescent="0.3">
      <c r="A1800">
        <v>31799</v>
      </c>
      <c r="B1800">
        <v>24</v>
      </c>
      <c r="C1800" s="2">
        <v>44602</v>
      </c>
      <c r="D1800" s="2" t="str">
        <f>TEXT(Table5[[#This Row],[bill_date]],"mmmm")</f>
        <v>February</v>
      </c>
      <c r="E1800" s="9">
        <f>YEAR(Table5[[#This Row],[bill_date]])</f>
        <v>2022</v>
      </c>
      <c r="F1800">
        <v>1535</v>
      </c>
      <c r="G1800" t="s">
        <v>30</v>
      </c>
    </row>
    <row r="1801" spans="1:7" x14ac:dyDescent="0.3">
      <c r="A1801">
        <v>31800</v>
      </c>
      <c r="B1801">
        <v>12</v>
      </c>
      <c r="C1801" s="2">
        <v>44761</v>
      </c>
      <c r="D1801" s="2" t="str">
        <f>TEXT(Table5[[#This Row],[bill_date]],"mmmm")</f>
        <v>July</v>
      </c>
      <c r="E1801" s="9">
        <f>YEAR(Table5[[#This Row],[bill_date]])</f>
        <v>2022</v>
      </c>
      <c r="F1801">
        <v>1223</v>
      </c>
      <c r="G1801" t="s">
        <v>30</v>
      </c>
    </row>
    <row r="1802" spans="1:7" x14ac:dyDescent="0.3">
      <c r="A1802">
        <v>31801</v>
      </c>
      <c r="B1802">
        <v>135</v>
      </c>
      <c r="C1802" s="2">
        <v>45109</v>
      </c>
      <c r="D1802" s="2" t="str">
        <f>TEXT(Table5[[#This Row],[bill_date]],"mmmm")</f>
        <v>July</v>
      </c>
      <c r="E1802" s="9">
        <f>YEAR(Table5[[#This Row],[bill_date]])</f>
        <v>2023</v>
      </c>
      <c r="F1802">
        <v>721</v>
      </c>
      <c r="G1802" t="s">
        <v>30</v>
      </c>
    </row>
    <row r="1803" spans="1:7" x14ac:dyDescent="0.3">
      <c r="A1803">
        <v>31802</v>
      </c>
      <c r="B1803">
        <v>424</v>
      </c>
      <c r="C1803" s="2">
        <v>45424</v>
      </c>
      <c r="D1803" s="2" t="str">
        <f>TEXT(Table5[[#This Row],[bill_date]],"mmmm")</f>
        <v>May</v>
      </c>
      <c r="E1803" s="9">
        <f>YEAR(Table5[[#This Row],[bill_date]])</f>
        <v>2024</v>
      </c>
      <c r="F1803">
        <v>1892</v>
      </c>
      <c r="G1803" t="s">
        <v>28</v>
      </c>
    </row>
    <row r="1804" spans="1:7" x14ac:dyDescent="0.3">
      <c r="A1804">
        <v>31803</v>
      </c>
      <c r="B1804">
        <v>81</v>
      </c>
      <c r="C1804" s="2">
        <v>44936</v>
      </c>
      <c r="D1804" s="2" t="str">
        <f>TEXT(Table5[[#This Row],[bill_date]],"mmmm")</f>
        <v>January</v>
      </c>
      <c r="E1804" s="9">
        <f>YEAR(Table5[[#This Row],[bill_date]])</f>
        <v>2023</v>
      </c>
      <c r="F1804">
        <v>286</v>
      </c>
      <c r="G1804" t="s">
        <v>30</v>
      </c>
    </row>
    <row r="1805" spans="1:7" x14ac:dyDescent="0.3">
      <c r="A1805">
        <v>31804</v>
      </c>
      <c r="B1805">
        <v>355</v>
      </c>
      <c r="C1805" s="2">
        <v>44967</v>
      </c>
      <c r="D1805" s="2" t="str">
        <f>TEXT(Table5[[#This Row],[bill_date]],"mmmm")</f>
        <v>February</v>
      </c>
      <c r="E1805" s="9">
        <f>YEAR(Table5[[#This Row],[bill_date]])</f>
        <v>2023</v>
      </c>
      <c r="F1805">
        <v>440</v>
      </c>
      <c r="G1805" t="s">
        <v>30</v>
      </c>
    </row>
    <row r="1806" spans="1:7" x14ac:dyDescent="0.3">
      <c r="A1806">
        <v>31805</v>
      </c>
      <c r="B1806">
        <v>70</v>
      </c>
      <c r="C1806" s="2">
        <v>44795</v>
      </c>
      <c r="D1806" s="2" t="str">
        <f>TEXT(Table5[[#This Row],[bill_date]],"mmmm")</f>
        <v>August</v>
      </c>
      <c r="E1806" s="9">
        <f>YEAR(Table5[[#This Row],[bill_date]])</f>
        <v>2022</v>
      </c>
      <c r="F1806">
        <v>1207</v>
      </c>
      <c r="G1806" t="s">
        <v>30</v>
      </c>
    </row>
    <row r="1807" spans="1:7" x14ac:dyDescent="0.3">
      <c r="A1807">
        <v>31806</v>
      </c>
      <c r="B1807">
        <v>204</v>
      </c>
      <c r="C1807" s="2">
        <v>45069</v>
      </c>
      <c r="D1807" s="2" t="str">
        <f>TEXT(Table5[[#This Row],[bill_date]],"mmmm")</f>
        <v>May</v>
      </c>
      <c r="E1807" s="9">
        <f>YEAR(Table5[[#This Row],[bill_date]])</f>
        <v>2023</v>
      </c>
      <c r="F1807">
        <v>1354</v>
      </c>
      <c r="G1807" t="s">
        <v>30</v>
      </c>
    </row>
    <row r="1808" spans="1:7" x14ac:dyDescent="0.3">
      <c r="A1808">
        <v>31807</v>
      </c>
      <c r="B1808">
        <v>79</v>
      </c>
      <c r="C1808" s="2">
        <v>44803</v>
      </c>
      <c r="D1808" s="2" t="str">
        <f>TEXT(Table5[[#This Row],[bill_date]],"mmmm")</f>
        <v>August</v>
      </c>
      <c r="E1808" s="9">
        <f>YEAR(Table5[[#This Row],[bill_date]])</f>
        <v>2022</v>
      </c>
      <c r="F1808">
        <v>796</v>
      </c>
      <c r="G1808" t="s">
        <v>30</v>
      </c>
    </row>
    <row r="1809" spans="1:7" x14ac:dyDescent="0.3">
      <c r="A1809">
        <v>31808</v>
      </c>
      <c r="B1809">
        <v>480</v>
      </c>
      <c r="C1809" s="2">
        <v>44900</v>
      </c>
      <c r="D1809" s="2" t="str">
        <f>TEXT(Table5[[#This Row],[bill_date]],"mmmm")</f>
        <v>December</v>
      </c>
      <c r="E1809" s="9">
        <f>YEAR(Table5[[#This Row],[bill_date]])</f>
        <v>2022</v>
      </c>
      <c r="F1809">
        <v>1844</v>
      </c>
      <c r="G1809" t="s">
        <v>30</v>
      </c>
    </row>
    <row r="1810" spans="1:7" x14ac:dyDescent="0.3">
      <c r="A1810">
        <v>31809</v>
      </c>
      <c r="B1810">
        <v>279</v>
      </c>
      <c r="C1810" s="2">
        <v>44581</v>
      </c>
      <c r="D1810" s="2" t="str">
        <f>TEXT(Table5[[#This Row],[bill_date]],"mmmm")</f>
        <v>January</v>
      </c>
      <c r="E1810" s="9">
        <f>YEAR(Table5[[#This Row],[bill_date]])</f>
        <v>2022</v>
      </c>
      <c r="F1810">
        <v>1550</v>
      </c>
      <c r="G1810" t="s">
        <v>28</v>
      </c>
    </row>
    <row r="1811" spans="1:7" x14ac:dyDescent="0.3">
      <c r="A1811">
        <v>31810</v>
      </c>
      <c r="B1811">
        <v>199</v>
      </c>
      <c r="C1811" s="2">
        <v>45416</v>
      </c>
      <c r="D1811" s="2" t="str">
        <f>TEXT(Table5[[#This Row],[bill_date]],"mmmm")</f>
        <v>May</v>
      </c>
      <c r="E1811" s="9">
        <f>YEAR(Table5[[#This Row],[bill_date]])</f>
        <v>2024</v>
      </c>
      <c r="F1811">
        <v>309</v>
      </c>
      <c r="G1811" t="s">
        <v>28</v>
      </c>
    </row>
    <row r="1812" spans="1:7" x14ac:dyDescent="0.3">
      <c r="A1812">
        <v>31811</v>
      </c>
      <c r="B1812">
        <v>379</v>
      </c>
      <c r="C1812" s="2">
        <v>45225</v>
      </c>
      <c r="D1812" s="2" t="str">
        <f>TEXT(Table5[[#This Row],[bill_date]],"mmmm")</f>
        <v>October</v>
      </c>
      <c r="E1812" s="9">
        <f>YEAR(Table5[[#This Row],[bill_date]])</f>
        <v>2023</v>
      </c>
      <c r="F1812">
        <v>1942</v>
      </c>
      <c r="G1812" t="s">
        <v>30</v>
      </c>
    </row>
    <row r="1813" spans="1:7" x14ac:dyDescent="0.3">
      <c r="A1813">
        <v>31812</v>
      </c>
      <c r="B1813">
        <v>294</v>
      </c>
      <c r="C1813" s="2">
        <v>45455</v>
      </c>
      <c r="D1813" s="2" t="str">
        <f>TEXT(Table5[[#This Row],[bill_date]],"mmmm")</f>
        <v>June</v>
      </c>
      <c r="E1813" s="9">
        <f>YEAR(Table5[[#This Row],[bill_date]])</f>
        <v>2024</v>
      </c>
      <c r="F1813">
        <v>487</v>
      </c>
      <c r="G1813" t="s">
        <v>29</v>
      </c>
    </row>
    <row r="1814" spans="1:7" x14ac:dyDescent="0.3">
      <c r="A1814">
        <v>31813</v>
      </c>
      <c r="B1814">
        <v>415</v>
      </c>
      <c r="C1814" s="2">
        <v>44732</v>
      </c>
      <c r="D1814" s="2" t="str">
        <f>TEXT(Table5[[#This Row],[bill_date]],"mmmm")</f>
        <v>June</v>
      </c>
      <c r="E1814" s="9">
        <f>YEAR(Table5[[#This Row],[bill_date]])</f>
        <v>2022</v>
      </c>
      <c r="F1814">
        <v>1639</v>
      </c>
      <c r="G1814" t="s">
        <v>28</v>
      </c>
    </row>
    <row r="1815" spans="1:7" x14ac:dyDescent="0.3">
      <c r="A1815">
        <v>31814</v>
      </c>
      <c r="B1815">
        <v>285</v>
      </c>
      <c r="C1815" s="2">
        <v>44777</v>
      </c>
      <c r="D1815" s="2" t="str">
        <f>TEXT(Table5[[#This Row],[bill_date]],"mmmm")</f>
        <v>August</v>
      </c>
      <c r="E1815" s="9">
        <f>YEAR(Table5[[#This Row],[bill_date]])</f>
        <v>2022</v>
      </c>
      <c r="F1815">
        <v>272</v>
      </c>
      <c r="G1815" t="s">
        <v>30</v>
      </c>
    </row>
    <row r="1816" spans="1:7" x14ac:dyDescent="0.3">
      <c r="A1816">
        <v>31815</v>
      </c>
      <c r="B1816">
        <v>428</v>
      </c>
      <c r="C1816" s="2">
        <v>45429</v>
      </c>
      <c r="D1816" s="2" t="str">
        <f>TEXT(Table5[[#This Row],[bill_date]],"mmmm")</f>
        <v>May</v>
      </c>
      <c r="E1816" s="9">
        <f>YEAR(Table5[[#This Row],[bill_date]])</f>
        <v>2024</v>
      </c>
      <c r="F1816">
        <v>1983</v>
      </c>
      <c r="G1816" t="s">
        <v>30</v>
      </c>
    </row>
    <row r="1817" spans="1:7" x14ac:dyDescent="0.3">
      <c r="A1817">
        <v>31816</v>
      </c>
      <c r="B1817">
        <v>156</v>
      </c>
      <c r="C1817" s="2">
        <v>45402</v>
      </c>
      <c r="D1817" s="2" t="str">
        <f>TEXT(Table5[[#This Row],[bill_date]],"mmmm")</f>
        <v>April</v>
      </c>
      <c r="E1817" s="9">
        <f>YEAR(Table5[[#This Row],[bill_date]])</f>
        <v>2024</v>
      </c>
      <c r="F1817">
        <v>306</v>
      </c>
      <c r="G1817" t="s">
        <v>30</v>
      </c>
    </row>
    <row r="1818" spans="1:7" x14ac:dyDescent="0.3">
      <c r="A1818">
        <v>31817</v>
      </c>
      <c r="B1818">
        <v>76</v>
      </c>
      <c r="C1818" s="2">
        <v>45305</v>
      </c>
      <c r="D1818" s="2" t="str">
        <f>TEXT(Table5[[#This Row],[bill_date]],"mmmm")</f>
        <v>January</v>
      </c>
      <c r="E1818" s="9">
        <f>YEAR(Table5[[#This Row],[bill_date]])</f>
        <v>2024</v>
      </c>
      <c r="F1818">
        <v>1738</v>
      </c>
      <c r="G1818" t="s">
        <v>30</v>
      </c>
    </row>
    <row r="1819" spans="1:7" x14ac:dyDescent="0.3">
      <c r="A1819">
        <v>31818</v>
      </c>
      <c r="B1819">
        <v>219</v>
      </c>
      <c r="C1819" s="2">
        <v>44577</v>
      </c>
      <c r="D1819" s="2" t="str">
        <f>TEXT(Table5[[#This Row],[bill_date]],"mmmm")</f>
        <v>January</v>
      </c>
      <c r="E1819" s="9">
        <f>YEAR(Table5[[#This Row],[bill_date]])</f>
        <v>2022</v>
      </c>
      <c r="F1819">
        <v>1949</v>
      </c>
      <c r="G1819" t="s">
        <v>30</v>
      </c>
    </row>
    <row r="1820" spans="1:7" x14ac:dyDescent="0.3">
      <c r="A1820">
        <v>31819</v>
      </c>
      <c r="B1820">
        <v>324</v>
      </c>
      <c r="C1820" s="2">
        <v>44844</v>
      </c>
      <c r="D1820" s="2" t="str">
        <f>TEXT(Table5[[#This Row],[bill_date]],"mmmm")</f>
        <v>October</v>
      </c>
      <c r="E1820" s="9">
        <f>YEAR(Table5[[#This Row],[bill_date]])</f>
        <v>2022</v>
      </c>
      <c r="F1820">
        <v>1913</v>
      </c>
      <c r="G1820" t="s">
        <v>30</v>
      </c>
    </row>
    <row r="1821" spans="1:7" x14ac:dyDescent="0.3">
      <c r="A1821">
        <v>31820</v>
      </c>
      <c r="B1821">
        <v>277</v>
      </c>
      <c r="C1821" s="2">
        <v>44862</v>
      </c>
      <c r="D1821" s="2" t="str">
        <f>TEXT(Table5[[#This Row],[bill_date]],"mmmm")</f>
        <v>October</v>
      </c>
      <c r="E1821" s="9">
        <f>YEAR(Table5[[#This Row],[bill_date]])</f>
        <v>2022</v>
      </c>
      <c r="F1821">
        <v>1889</v>
      </c>
      <c r="G1821" t="s">
        <v>30</v>
      </c>
    </row>
    <row r="1822" spans="1:7" x14ac:dyDescent="0.3">
      <c r="A1822">
        <v>31821</v>
      </c>
      <c r="B1822">
        <v>265</v>
      </c>
      <c r="C1822" s="2">
        <v>44726</v>
      </c>
      <c r="D1822" s="2" t="str">
        <f>TEXT(Table5[[#This Row],[bill_date]],"mmmm")</f>
        <v>June</v>
      </c>
      <c r="E1822" s="9">
        <f>YEAR(Table5[[#This Row],[bill_date]])</f>
        <v>2022</v>
      </c>
      <c r="F1822">
        <v>999</v>
      </c>
      <c r="G1822" t="s">
        <v>29</v>
      </c>
    </row>
    <row r="1823" spans="1:7" x14ac:dyDescent="0.3">
      <c r="A1823">
        <v>31822</v>
      </c>
      <c r="B1823">
        <v>49</v>
      </c>
      <c r="C1823" s="2">
        <v>45342</v>
      </c>
      <c r="D1823" s="2" t="str">
        <f>TEXT(Table5[[#This Row],[bill_date]],"mmmm")</f>
        <v>February</v>
      </c>
      <c r="E1823" s="9">
        <f>YEAR(Table5[[#This Row],[bill_date]])</f>
        <v>2024</v>
      </c>
      <c r="F1823">
        <v>935</v>
      </c>
      <c r="G1823" t="s">
        <v>30</v>
      </c>
    </row>
    <row r="1824" spans="1:7" x14ac:dyDescent="0.3">
      <c r="A1824">
        <v>31823</v>
      </c>
      <c r="B1824">
        <v>98</v>
      </c>
      <c r="C1824" s="2">
        <v>45252</v>
      </c>
      <c r="D1824" s="2" t="str">
        <f>TEXT(Table5[[#This Row],[bill_date]],"mmmm")</f>
        <v>November</v>
      </c>
      <c r="E1824" s="9">
        <f>YEAR(Table5[[#This Row],[bill_date]])</f>
        <v>2023</v>
      </c>
      <c r="F1824">
        <v>1327</v>
      </c>
      <c r="G1824" t="s">
        <v>30</v>
      </c>
    </row>
    <row r="1825" spans="1:7" x14ac:dyDescent="0.3">
      <c r="A1825">
        <v>31824</v>
      </c>
      <c r="B1825">
        <v>293</v>
      </c>
      <c r="C1825" s="2">
        <v>44819</v>
      </c>
      <c r="D1825" s="2" t="str">
        <f>TEXT(Table5[[#This Row],[bill_date]],"mmmm")</f>
        <v>September</v>
      </c>
      <c r="E1825" s="9">
        <f>YEAR(Table5[[#This Row],[bill_date]])</f>
        <v>2022</v>
      </c>
      <c r="F1825">
        <v>1604</v>
      </c>
      <c r="G1825" t="s">
        <v>30</v>
      </c>
    </row>
    <row r="1826" spans="1:7" x14ac:dyDescent="0.3">
      <c r="A1826">
        <v>31825</v>
      </c>
      <c r="B1826">
        <v>21</v>
      </c>
      <c r="C1826" s="2">
        <v>45149</v>
      </c>
      <c r="D1826" s="2" t="str">
        <f>TEXT(Table5[[#This Row],[bill_date]],"mmmm")</f>
        <v>August</v>
      </c>
      <c r="E1826" s="9">
        <f>YEAR(Table5[[#This Row],[bill_date]])</f>
        <v>2023</v>
      </c>
      <c r="F1826">
        <v>1818</v>
      </c>
      <c r="G1826" t="s">
        <v>30</v>
      </c>
    </row>
    <row r="1827" spans="1:7" x14ac:dyDescent="0.3">
      <c r="A1827">
        <v>31826</v>
      </c>
      <c r="B1827">
        <v>444</v>
      </c>
      <c r="C1827" s="2">
        <v>45178</v>
      </c>
      <c r="D1827" s="2" t="str">
        <f>TEXT(Table5[[#This Row],[bill_date]],"mmmm")</f>
        <v>September</v>
      </c>
      <c r="E1827" s="9">
        <f>YEAR(Table5[[#This Row],[bill_date]])</f>
        <v>2023</v>
      </c>
      <c r="F1827">
        <v>275</v>
      </c>
      <c r="G1827" t="s">
        <v>30</v>
      </c>
    </row>
    <row r="1828" spans="1:7" x14ac:dyDescent="0.3">
      <c r="A1828">
        <v>31827</v>
      </c>
      <c r="B1828">
        <v>23</v>
      </c>
      <c r="C1828" s="2">
        <v>44914</v>
      </c>
      <c r="D1828" s="2" t="str">
        <f>TEXT(Table5[[#This Row],[bill_date]],"mmmm")</f>
        <v>December</v>
      </c>
      <c r="E1828" s="9">
        <f>YEAR(Table5[[#This Row],[bill_date]])</f>
        <v>2022</v>
      </c>
      <c r="F1828">
        <v>401</v>
      </c>
      <c r="G1828" t="s">
        <v>30</v>
      </c>
    </row>
    <row r="1829" spans="1:7" x14ac:dyDescent="0.3">
      <c r="A1829">
        <v>31828</v>
      </c>
      <c r="B1829">
        <v>472</v>
      </c>
      <c r="C1829" s="2">
        <v>44648</v>
      </c>
      <c r="D1829" s="2" t="str">
        <f>TEXT(Table5[[#This Row],[bill_date]],"mmmm")</f>
        <v>March</v>
      </c>
      <c r="E1829" s="9">
        <f>YEAR(Table5[[#This Row],[bill_date]])</f>
        <v>2022</v>
      </c>
      <c r="F1829">
        <v>1049</v>
      </c>
      <c r="G1829" t="s">
        <v>30</v>
      </c>
    </row>
    <row r="1830" spans="1:7" x14ac:dyDescent="0.3">
      <c r="A1830">
        <v>31829</v>
      </c>
      <c r="B1830">
        <v>138</v>
      </c>
      <c r="C1830" s="2">
        <v>45388</v>
      </c>
      <c r="D1830" s="2" t="str">
        <f>TEXT(Table5[[#This Row],[bill_date]],"mmmm")</f>
        <v>April</v>
      </c>
      <c r="E1830" s="9">
        <f>YEAR(Table5[[#This Row],[bill_date]])</f>
        <v>2024</v>
      </c>
      <c r="F1830">
        <v>1723</v>
      </c>
      <c r="G1830" t="s">
        <v>30</v>
      </c>
    </row>
    <row r="1831" spans="1:7" x14ac:dyDescent="0.3">
      <c r="A1831">
        <v>31830</v>
      </c>
      <c r="B1831">
        <v>230</v>
      </c>
      <c r="C1831" s="2">
        <v>45087</v>
      </c>
      <c r="D1831" s="2" t="str">
        <f>TEXT(Table5[[#This Row],[bill_date]],"mmmm")</f>
        <v>June</v>
      </c>
      <c r="E1831" s="9">
        <f>YEAR(Table5[[#This Row],[bill_date]])</f>
        <v>2023</v>
      </c>
      <c r="F1831">
        <v>1463</v>
      </c>
      <c r="G1831" t="s">
        <v>30</v>
      </c>
    </row>
    <row r="1832" spans="1:7" x14ac:dyDescent="0.3">
      <c r="A1832">
        <v>31831</v>
      </c>
      <c r="B1832">
        <v>326</v>
      </c>
      <c r="C1832" s="2">
        <v>45432</v>
      </c>
      <c r="D1832" s="2" t="str">
        <f>TEXT(Table5[[#This Row],[bill_date]],"mmmm")</f>
        <v>May</v>
      </c>
      <c r="E1832" s="9">
        <f>YEAR(Table5[[#This Row],[bill_date]])</f>
        <v>2024</v>
      </c>
      <c r="F1832">
        <v>998</v>
      </c>
      <c r="G1832" t="s">
        <v>30</v>
      </c>
    </row>
    <row r="1833" spans="1:7" x14ac:dyDescent="0.3">
      <c r="A1833">
        <v>31832</v>
      </c>
      <c r="B1833">
        <v>405</v>
      </c>
      <c r="C1833" s="2">
        <v>45359</v>
      </c>
      <c r="D1833" s="2" t="str">
        <f>TEXT(Table5[[#This Row],[bill_date]],"mmmm")</f>
        <v>March</v>
      </c>
      <c r="E1833" s="9">
        <f>YEAR(Table5[[#This Row],[bill_date]])</f>
        <v>2024</v>
      </c>
      <c r="F1833">
        <v>905</v>
      </c>
      <c r="G1833" t="s">
        <v>30</v>
      </c>
    </row>
    <row r="1834" spans="1:7" x14ac:dyDescent="0.3">
      <c r="A1834">
        <v>31833</v>
      </c>
      <c r="B1834">
        <v>357</v>
      </c>
      <c r="C1834" s="2">
        <v>45320</v>
      </c>
      <c r="D1834" s="2" t="str">
        <f>TEXT(Table5[[#This Row],[bill_date]],"mmmm")</f>
        <v>January</v>
      </c>
      <c r="E1834" s="9">
        <f>YEAR(Table5[[#This Row],[bill_date]])</f>
        <v>2024</v>
      </c>
      <c r="F1834">
        <v>1594</v>
      </c>
      <c r="G1834" t="s">
        <v>30</v>
      </c>
    </row>
    <row r="1835" spans="1:7" x14ac:dyDescent="0.3">
      <c r="A1835">
        <v>31834</v>
      </c>
      <c r="B1835">
        <v>29</v>
      </c>
      <c r="C1835" s="2">
        <v>45439</v>
      </c>
      <c r="D1835" s="2" t="str">
        <f>TEXT(Table5[[#This Row],[bill_date]],"mmmm")</f>
        <v>May</v>
      </c>
      <c r="E1835" s="9">
        <f>YEAR(Table5[[#This Row],[bill_date]])</f>
        <v>2024</v>
      </c>
      <c r="F1835">
        <v>1427</v>
      </c>
      <c r="G1835" t="s">
        <v>30</v>
      </c>
    </row>
    <row r="1836" spans="1:7" x14ac:dyDescent="0.3">
      <c r="A1836">
        <v>31835</v>
      </c>
      <c r="B1836">
        <v>315</v>
      </c>
      <c r="C1836" s="2">
        <v>45314</v>
      </c>
      <c r="D1836" s="2" t="str">
        <f>TEXT(Table5[[#This Row],[bill_date]],"mmmm")</f>
        <v>January</v>
      </c>
      <c r="E1836" s="9">
        <f>YEAR(Table5[[#This Row],[bill_date]])</f>
        <v>2024</v>
      </c>
      <c r="F1836">
        <v>610</v>
      </c>
      <c r="G1836" t="s">
        <v>30</v>
      </c>
    </row>
    <row r="1837" spans="1:7" x14ac:dyDescent="0.3">
      <c r="A1837">
        <v>31836</v>
      </c>
      <c r="B1837">
        <v>424</v>
      </c>
      <c r="C1837" s="2">
        <v>45427</v>
      </c>
      <c r="D1837" s="2" t="str">
        <f>TEXT(Table5[[#This Row],[bill_date]],"mmmm")</f>
        <v>May</v>
      </c>
      <c r="E1837" s="9">
        <f>YEAR(Table5[[#This Row],[bill_date]])</f>
        <v>2024</v>
      </c>
      <c r="F1837">
        <v>1436</v>
      </c>
      <c r="G1837" t="s">
        <v>30</v>
      </c>
    </row>
    <row r="1838" spans="1:7" x14ac:dyDescent="0.3">
      <c r="A1838">
        <v>31837</v>
      </c>
      <c r="B1838">
        <v>21</v>
      </c>
      <c r="C1838" s="2">
        <v>44570</v>
      </c>
      <c r="D1838" s="2" t="str">
        <f>TEXT(Table5[[#This Row],[bill_date]],"mmmm")</f>
        <v>January</v>
      </c>
      <c r="E1838" s="9">
        <f>YEAR(Table5[[#This Row],[bill_date]])</f>
        <v>2022</v>
      </c>
      <c r="F1838">
        <v>639</v>
      </c>
      <c r="G1838" t="s">
        <v>30</v>
      </c>
    </row>
    <row r="1839" spans="1:7" x14ac:dyDescent="0.3">
      <c r="A1839">
        <v>31838</v>
      </c>
      <c r="B1839">
        <v>342</v>
      </c>
      <c r="C1839" s="2">
        <v>45024</v>
      </c>
      <c r="D1839" s="2" t="str">
        <f>TEXT(Table5[[#This Row],[bill_date]],"mmmm")</f>
        <v>April</v>
      </c>
      <c r="E1839" s="9">
        <f>YEAR(Table5[[#This Row],[bill_date]])</f>
        <v>2023</v>
      </c>
      <c r="F1839">
        <v>1753</v>
      </c>
      <c r="G1839" t="s">
        <v>30</v>
      </c>
    </row>
    <row r="1840" spans="1:7" x14ac:dyDescent="0.3">
      <c r="A1840">
        <v>31839</v>
      </c>
      <c r="B1840">
        <v>99</v>
      </c>
      <c r="C1840" s="2">
        <v>45097</v>
      </c>
      <c r="D1840" s="2" t="str">
        <f>TEXT(Table5[[#This Row],[bill_date]],"mmmm")</f>
        <v>June</v>
      </c>
      <c r="E1840" s="9">
        <f>YEAR(Table5[[#This Row],[bill_date]])</f>
        <v>2023</v>
      </c>
      <c r="F1840">
        <v>1893</v>
      </c>
      <c r="G1840" t="s">
        <v>28</v>
      </c>
    </row>
    <row r="1841" spans="1:7" x14ac:dyDescent="0.3">
      <c r="A1841">
        <v>31840</v>
      </c>
      <c r="B1841">
        <v>63</v>
      </c>
      <c r="C1841" s="2">
        <v>45185</v>
      </c>
      <c r="D1841" s="2" t="str">
        <f>TEXT(Table5[[#This Row],[bill_date]],"mmmm")</f>
        <v>September</v>
      </c>
      <c r="E1841" s="9">
        <f>YEAR(Table5[[#This Row],[bill_date]])</f>
        <v>2023</v>
      </c>
      <c r="F1841">
        <v>1434</v>
      </c>
      <c r="G1841" t="s">
        <v>30</v>
      </c>
    </row>
    <row r="1842" spans="1:7" x14ac:dyDescent="0.3">
      <c r="A1842">
        <v>31841</v>
      </c>
      <c r="B1842">
        <v>302</v>
      </c>
      <c r="C1842" s="2">
        <v>44858</v>
      </c>
      <c r="D1842" s="2" t="str">
        <f>TEXT(Table5[[#This Row],[bill_date]],"mmmm")</f>
        <v>October</v>
      </c>
      <c r="E1842" s="9">
        <f>YEAR(Table5[[#This Row],[bill_date]])</f>
        <v>2022</v>
      </c>
      <c r="F1842">
        <v>251</v>
      </c>
      <c r="G1842" t="s">
        <v>29</v>
      </c>
    </row>
    <row r="1843" spans="1:7" x14ac:dyDescent="0.3">
      <c r="A1843">
        <v>31842</v>
      </c>
      <c r="B1843">
        <v>133</v>
      </c>
      <c r="C1843" s="2">
        <v>44778</v>
      </c>
      <c r="D1843" s="2" t="str">
        <f>TEXT(Table5[[#This Row],[bill_date]],"mmmm")</f>
        <v>August</v>
      </c>
      <c r="E1843" s="9">
        <f>YEAR(Table5[[#This Row],[bill_date]])</f>
        <v>2022</v>
      </c>
      <c r="F1843">
        <v>1733</v>
      </c>
      <c r="G1843" t="s">
        <v>30</v>
      </c>
    </row>
    <row r="1844" spans="1:7" x14ac:dyDescent="0.3">
      <c r="A1844">
        <v>31843</v>
      </c>
      <c r="B1844">
        <v>15</v>
      </c>
      <c r="C1844" s="2">
        <v>44789</v>
      </c>
      <c r="D1844" s="2" t="str">
        <f>TEXT(Table5[[#This Row],[bill_date]],"mmmm")</f>
        <v>August</v>
      </c>
      <c r="E1844" s="9">
        <f>YEAR(Table5[[#This Row],[bill_date]])</f>
        <v>2022</v>
      </c>
      <c r="F1844">
        <v>1310</v>
      </c>
      <c r="G1844" t="s">
        <v>30</v>
      </c>
    </row>
    <row r="1845" spans="1:7" x14ac:dyDescent="0.3">
      <c r="A1845">
        <v>31844</v>
      </c>
      <c r="B1845">
        <v>105</v>
      </c>
      <c r="C1845" s="2">
        <v>44593</v>
      </c>
      <c r="D1845" s="2" t="str">
        <f>TEXT(Table5[[#This Row],[bill_date]],"mmmm")</f>
        <v>February</v>
      </c>
      <c r="E1845" s="9">
        <f>YEAR(Table5[[#This Row],[bill_date]])</f>
        <v>2022</v>
      </c>
      <c r="F1845">
        <v>870</v>
      </c>
      <c r="G1845" t="s">
        <v>28</v>
      </c>
    </row>
    <row r="1846" spans="1:7" x14ac:dyDescent="0.3">
      <c r="A1846">
        <v>31845</v>
      </c>
      <c r="B1846">
        <v>111</v>
      </c>
      <c r="C1846" s="2">
        <v>44992</v>
      </c>
      <c r="D1846" s="2" t="str">
        <f>TEXT(Table5[[#This Row],[bill_date]],"mmmm")</f>
        <v>March</v>
      </c>
      <c r="E1846" s="9">
        <f>YEAR(Table5[[#This Row],[bill_date]])</f>
        <v>2023</v>
      </c>
      <c r="F1846">
        <v>207</v>
      </c>
      <c r="G1846" t="s">
        <v>29</v>
      </c>
    </row>
    <row r="1847" spans="1:7" x14ac:dyDescent="0.3">
      <c r="A1847">
        <v>31846</v>
      </c>
      <c r="B1847">
        <v>339</v>
      </c>
      <c r="C1847" s="2">
        <v>45350</v>
      </c>
      <c r="D1847" s="2" t="str">
        <f>TEXT(Table5[[#This Row],[bill_date]],"mmmm")</f>
        <v>February</v>
      </c>
      <c r="E1847" s="9">
        <f>YEAR(Table5[[#This Row],[bill_date]])</f>
        <v>2024</v>
      </c>
      <c r="F1847">
        <v>889</v>
      </c>
      <c r="G1847" t="s">
        <v>30</v>
      </c>
    </row>
    <row r="1848" spans="1:7" x14ac:dyDescent="0.3">
      <c r="A1848">
        <v>31847</v>
      </c>
      <c r="B1848">
        <v>336</v>
      </c>
      <c r="C1848" s="2">
        <v>44731</v>
      </c>
      <c r="D1848" s="2" t="str">
        <f>TEXT(Table5[[#This Row],[bill_date]],"mmmm")</f>
        <v>June</v>
      </c>
      <c r="E1848" s="9">
        <f>YEAR(Table5[[#This Row],[bill_date]])</f>
        <v>2022</v>
      </c>
      <c r="F1848">
        <v>281</v>
      </c>
      <c r="G1848" t="s">
        <v>30</v>
      </c>
    </row>
    <row r="1849" spans="1:7" x14ac:dyDescent="0.3">
      <c r="A1849">
        <v>31848</v>
      </c>
      <c r="B1849">
        <v>424</v>
      </c>
      <c r="C1849" s="2">
        <v>44792</v>
      </c>
      <c r="D1849" s="2" t="str">
        <f>TEXT(Table5[[#This Row],[bill_date]],"mmmm")</f>
        <v>August</v>
      </c>
      <c r="E1849" s="9">
        <f>YEAR(Table5[[#This Row],[bill_date]])</f>
        <v>2022</v>
      </c>
      <c r="F1849">
        <v>1885</v>
      </c>
      <c r="G1849" t="s">
        <v>30</v>
      </c>
    </row>
    <row r="1850" spans="1:7" x14ac:dyDescent="0.3">
      <c r="A1850">
        <v>31849</v>
      </c>
      <c r="B1850">
        <v>111</v>
      </c>
      <c r="C1850" s="2">
        <v>44631</v>
      </c>
      <c r="D1850" s="2" t="str">
        <f>TEXT(Table5[[#This Row],[bill_date]],"mmmm")</f>
        <v>March</v>
      </c>
      <c r="E1850" s="9">
        <f>YEAR(Table5[[#This Row],[bill_date]])</f>
        <v>2022</v>
      </c>
      <c r="F1850">
        <v>1247</v>
      </c>
      <c r="G1850" t="s">
        <v>30</v>
      </c>
    </row>
    <row r="1851" spans="1:7" x14ac:dyDescent="0.3">
      <c r="A1851">
        <v>31850</v>
      </c>
      <c r="B1851">
        <v>363</v>
      </c>
      <c r="C1851" s="2">
        <v>44672</v>
      </c>
      <c r="D1851" s="2" t="str">
        <f>TEXT(Table5[[#This Row],[bill_date]],"mmmm")</f>
        <v>April</v>
      </c>
      <c r="E1851" s="9">
        <f>YEAR(Table5[[#This Row],[bill_date]])</f>
        <v>2022</v>
      </c>
      <c r="F1851">
        <v>423</v>
      </c>
      <c r="G1851" t="s">
        <v>29</v>
      </c>
    </row>
    <row r="1852" spans="1:7" x14ac:dyDescent="0.3">
      <c r="A1852">
        <v>31851</v>
      </c>
      <c r="B1852">
        <v>343</v>
      </c>
      <c r="C1852" s="2">
        <v>44650</v>
      </c>
      <c r="D1852" s="2" t="str">
        <f>TEXT(Table5[[#This Row],[bill_date]],"mmmm")</f>
        <v>March</v>
      </c>
      <c r="E1852" s="9">
        <f>YEAR(Table5[[#This Row],[bill_date]])</f>
        <v>2022</v>
      </c>
      <c r="F1852">
        <v>1719</v>
      </c>
      <c r="G1852" t="s">
        <v>30</v>
      </c>
    </row>
    <row r="1853" spans="1:7" x14ac:dyDescent="0.3">
      <c r="A1853">
        <v>31852</v>
      </c>
      <c r="B1853">
        <v>4</v>
      </c>
      <c r="C1853" s="2">
        <v>44563</v>
      </c>
      <c r="D1853" s="2" t="str">
        <f>TEXT(Table5[[#This Row],[bill_date]],"mmmm")</f>
        <v>January</v>
      </c>
      <c r="E1853" s="9">
        <f>YEAR(Table5[[#This Row],[bill_date]])</f>
        <v>2022</v>
      </c>
      <c r="F1853">
        <v>628</v>
      </c>
      <c r="G1853" t="s">
        <v>30</v>
      </c>
    </row>
    <row r="1854" spans="1:7" x14ac:dyDescent="0.3">
      <c r="A1854">
        <v>31853</v>
      </c>
      <c r="B1854">
        <v>469</v>
      </c>
      <c r="C1854" s="2">
        <v>44617</v>
      </c>
      <c r="D1854" s="2" t="str">
        <f>TEXT(Table5[[#This Row],[bill_date]],"mmmm")</f>
        <v>February</v>
      </c>
      <c r="E1854" s="9">
        <f>YEAR(Table5[[#This Row],[bill_date]])</f>
        <v>2022</v>
      </c>
      <c r="F1854">
        <v>1650</v>
      </c>
      <c r="G1854" t="s">
        <v>30</v>
      </c>
    </row>
    <row r="1855" spans="1:7" x14ac:dyDescent="0.3">
      <c r="A1855">
        <v>31854</v>
      </c>
      <c r="B1855">
        <v>152</v>
      </c>
      <c r="C1855" s="2">
        <v>45231</v>
      </c>
      <c r="D1855" s="2" t="str">
        <f>TEXT(Table5[[#This Row],[bill_date]],"mmmm")</f>
        <v>November</v>
      </c>
      <c r="E1855" s="9">
        <f>YEAR(Table5[[#This Row],[bill_date]])</f>
        <v>2023</v>
      </c>
      <c r="F1855">
        <v>1416</v>
      </c>
      <c r="G1855" t="s">
        <v>30</v>
      </c>
    </row>
    <row r="1856" spans="1:7" x14ac:dyDescent="0.3">
      <c r="A1856">
        <v>31855</v>
      </c>
      <c r="B1856">
        <v>42</v>
      </c>
      <c r="C1856" s="2">
        <v>44832</v>
      </c>
      <c r="D1856" s="2" t="str">
        <f>TEXT(Table5[[#This Row],[bill_date]],"mmmm")</f>
        <v>September</v>
      </c>
      <c r="E1856" s="9">
        <f>YEAR(Table5[[#This Row],[bill_date]])</f>
        <v>2022</v>
      </c>
      <c r="F1856">
        <v>1340</v>
      </c>
      <c r="G1856" t="s">
        <v>30</v>
      </c>
    </row>
    <row r="1857" spans="1:7" x14ac:dyDescent="0.3">
      <c r="A1857">
        <v>31856</v>
      </c>
      <c r="B1857">
        <v>375</v>
      </c>
      <c r="C1857" s="2">
        <v>44835</v>
      </c>
      <c r="D1857" s="2" t="str">
        <f>TEXT(Table5[[#This Row],[bill_date]],"mmmm")</f>
        <v>October</v>
      </c>
      <c r="E1857" s="9">
        <f>YEAR(Table5[[#This Row],[bill_date]])</f>
        <v>2022</v>
      </c>
      <c r="F1857">
        <v>1033</v>
      </c>
      <c r="G1857" t="s">
        <v>30</v>
      </c>
    </row>
    <row r="1858" spans="1:7" x14ac:dyDescent="0.3">
      <c r="A1858">
        <v>31857</v>
      </c>
      <c r="B1858">
        <v>26</v>
      </c>
      <c r="C1858" s="2">
        <v>45105</v>
      </c>
      <c r="D1858" s="2" t="str">
        <f>TEXT(Table5[[#This Row],[bill_date]],"mmmm")</f>
        <v>June</v>
      </c>
      <c r="E1858" s="9">
        <f>YEAR(Table5[[#This Row],[bill_date]])</f>
        <v>2023</v>
      </c>
      <c r="F1858">
        <v>1093</v>
      </c>
      <c r="G1858" t="s">
        <v>30</v>
      </c>
    </row>
    <row r="1859" spans="1:7" x14ac:dyDescent="0.3">
      <c r="A1859">
        <v>31858</v>
      </c>
      <c r="B1859">
        <v>362</v>
      </c>
      <c r="C1859" s="2">
        <v>44831</v>
      </c>
      <c r="D1859" s="2" t="str">
        <f>TEXT(Table5[[#This Row],[bill_date]],"mmmm")</f>
        <v>September</v>
      </c>
      <c r="E1859" s="9">
        <f>YEAR(Table5[[#This Row],[bill_date]])</f>
        <v>2022</v>
      </c>
      <c r="F1859">
        <v>958</v>
      </c>
      <c r="G1859" t="s">
        <v>29</v>
      </c>
    </row>
    <row r="1860" spans="1:7" x14ac:dyDescent="0.3">
      <c r="A1860">
        <v>31859</v>
      </c>
      <c r="B1860">
        <v>194</v>
      </c>
      <c r="C1860" s="2">
        <v>44751</v>
      </c>
      <c r="D1860" s="2" t="str">
        <f>TEXT(Table5[[#This Row],[bill_date]],"mmmm")</f>
        <v>July</v>
      </c>
      <c r="E1860" s="9">
        <f>YEAR(Table5[[#This Row],[bill_date]])</f>
        <v>2022</v>
      </c>
      <c r="F1860">
        <v>1193</v>
      </c>
      <c r="G1860" t="s">
        <v>30</v>
      </c>
    </row>
    <row r="1861" spans="1:7" x14ac:dyDescent="0.3">
      <c r="A1861">
        <v>31860</v>
      </c>
      <c r="B1861">
        <v>360</v>
      </c>
      <c r="C1861" s="2">
        <v>45283</v>
      </c>
      <c r="D1861" s="2" t="str">
        <f>TEXT(Table5[[#This Row],[bill_date]],"mmmm")</f>
        <v>December</v>
      </c>
      <c r="E1861" s="9">
        <f>YEAR(Table5[[#This Row],[bill_date]])</f>
        <v>2023</v>
      </c>
      <c r="F1861">
        <v>276</v>
      </c>
      <c r="G1861" t="s">
        <v>28</v>
      </c>
    </row>
    <row r="1862" spans="1:7" x14ac:dyDescent="0.3">
      <c r="A1862">
        <v>31861</v>
      </c>
      <c r="B1862">
        <v>8</v>
      </c>
      <c r="C1862" s="2">
        <v>45044</v>
      </c>
      <c r="D1862" s="2" t="str">
        <f>TEXT(Table5[[#This Row],[bill_date]],"mmmm")</f>
        <v>April</v>
      </c>
      <c r="E1862" s="9">
        <f>YEAR(Table5[[#This Row],[bill_date]])</f>
        <v>2023</v>
      </c>
      <c r="F1862">
        <v>1374</v>
      </c>
      <c r="G1862" t="s">
        <v>30</v>
      </c>
    </row>
    <row r="1863" spans="1:7" x14ac:dyDescent="0.3">
      <c r="A1863">
        <v>31862</v>
      </c>
      <c r="B1863">
        <v>73</v>
      </c>
      <c r="C1863" s="2">
        <v>44869</v>
      </c>
      <c r="D1863" s="2" t="str">
        <f>TEXT(Table5[[#This Row],[bill_date]],"mmmm")</f>
        <v>November</v>
      </c>
      <c r="E1863" s="9">
        <f>YEAR(Table5[[#This Row],[bill_date]])</f>
        <v>2022</v>
      </c>
      <c r="F1863">
        <v>1278</v>
      </c>
      <c r="G1863" t="s">
        <v>28</v>
      </c>
    </row>
    <row r="1864" spans="1:7" x14ac:dyDescent="0.3">
      <c r="A1864">
        <v>31863</v>
      </c>
      <c r="B1864">
        <v>450</v>
      </c>
      <c r="C1864" s="2">
        <v>44583</v>
      </c>
      <c r="D1864" s="2" t="str">
        <f>TEXT(Table5[[#This Row],[bill_date]],"mmmm")</f>
        <v>January</v>
      </c>
      <c r="E1864" s="9">
        <f>YEAR(Table5[[#This Row],[bill_date]])</f>
        <v>2022</v>
      </c>
      <c r="F1864">
        <v>555</v>
      </c>
      <c r="G1864" t="s">
        <v>30</v>
      </c>
    </row>
    <row r="1865" spans="1:7" x14ac:dyDescent="0.3">
      <c r="A1865">
        <v>31864</v>
      </c>
      <c r="B1865">
        <v>78</v>
      </c>
      <c r="C1865" s="2">
        <v>44575</v>
      </c>
      <c r="D1865" s="2" t="str">
        <f>TEXT(Table5[[#This Row],[bill_date]],"mmmm")</f>
        <v>January</v>
      </c>
      <c r="E1865" s="9">
        <f>YEAR(Table5[[#This Row],[bill_date]])</f>
        <v>2022</v>
      </c>
      <c r="F1865">
        <v>1481</v>
      </c>
      <c r="G1865" t="s">
        <v>29</v>
      </c>
    </row>
    <row r="1866" spans="1:7" x14ac:dyDescent="0.3">
      <c r="A1866">
        <v>31865</v>
      </c>
      <c r="B1866">
        <v>148</v>
      </c>
      <c r="C1866" s="2">
        <v>45047</v>
      </c>
      <c r="D1866" s="2" t="str">
        <f>TEXT(Table5[[#This Row],[bill_date]],"mmmm")</f>
        <v>May</v>
      </c>
      <c r="E1866" s="9">
        <f>YEAR(Table5[[#This Row],[bill_date]])</f>
        <v>2023</v>
      </c>
      <c r="F1866">
        <v>733</v>
      </c>
      <c r="G1866" t="s">
        <v>30</v>
      </c>
    </row>
    <row r="1867" spans="1:7" x14ac:dyDescent="0.3">
      <c r="A1867">
        <v>31866</v>
      </c>
      <c r="B1867">
        <v>322</v>
      </c>
      <c r="C1867" s="2">
        <v>45279</v>
      </c>
      <c r="D1867" s="2" t="str">
        <f>TEXT(Table5[[#This Row],[bill_date]],"mmmm")</f>
        <v>December</v>
      </c>
      <c r="E1867" s="9">
        <f>YEAR(Table5[[#This Row],[bill_date]])</f>
        <v>2023</v>
      </c>
      <c r="F1867">
        <v>872</v>
      </c>
      <c r="G1867" t="s">
        <v>30</v>
      </c>
    </row>
    <row r="1868" spans="1:7" x14ac:dyDescent="0.3">
      <c r="A1868">
        <v>31867</v>
      </c>
      <c r="B1868">
        <v>68</v>
      </c>
      <c r="C1868" s="2">
        <v>45107</v>
      </c>
      <c r="D1868" s="2" t="str">
        <f>TEXT(Table5[[#This Row],[bill_date]],"mmmm")</f>
        <v>June</v>
      </c>
      <c r="E1868" s="9">
        <f>YEAR(Table5[[#This Row],[bill_date]])</f>
        <v>2023</v>
      </c>
      <c r="F1868">
        <v>1816</v>
      </c>
      <c r="G1868" t="s">
        <v>30</v>
      </c>
    </row>
    <row r="1869" spans="1:7" x14ac:dyDescent="0.3">
      <c r="A1869">
        <v>31868</v>
      </c>
      <c r="B1869">
        <v>355</v>
      </c>
      <c r="C1869" s="2">
        <v>45415</v>
      </c>
      <c r="D1869" s="2" t="str">
        <f>TEXT(Table5[[#This Row],[bill_date]],"mmmm")</f>
        <v>May</v>
      </c>
      <c r="E1869" s="9">
        <f>YEAR(Table5[[#This Row],[bill_date]])</f>
        <v>2024</v>
      </c>
      <c r="F1869">
        <v>769</v>
      </c>
      <c r="G1869" t="s">
        <v>28</v>
      </c>
    </row>
    <row r="1870" spans="1:7" x14ac:dyDescent="0.3">
      <c r="A1870">
        <v>31869</v>
      </c>
      <c r="B1870">
        <v>183</v>
      </c>
      <c r="C1870" s="2">
        <v>45025</v>
      </c>
      <c r="D1870" s="2" t="str">
        <f>TEXT(Table5[[#This Row],[bill_date]],"mmmm")</f>
        <v>April</v>
      </c>
      <c r="E1870" s="9">
        <f>YEAR(Table5[[#This Row],[bill_date]])</f>
        <v>2023</v>
      </c>
      <c r="F1870">
        <v>776</v>
      </c>
      <c r="G1870" t="s">
        <v>30</v>
      </c>
    </row>
    <row r="1871" spans="1:7" x14ac:dyDescent="0.3">
      <c r="A1871">
        <v>31870</v>
      </c>
      <c r="B1871">
        <v>334</v>
      </c>
      <c r="C1871" s="2">
        <v>45129</v>
      </c>
      <c r="D1871" s="2" t="str">
        <f>TEXT(Table5[[#This Row],[bill_date]],"mmmm")</f>
        <v>July</v>
      </c>
      <c r="E1871" s="9">
        <f>YEAR(Table5[[#This Row],[bill_date]])</f>
        <v>2023</v>
      </c>
      <c r="F1871">
        <v>604</v>
      </c>
      <c r="G1871" t="s">
        <v>30</v>
      </c>
    </row>
    <row r="1872" spans="1:7" x14ac:dyDescent="0.3">
      <c r="A1872">
        <v>31871</v>
      </c>
      <c r="B1872">
        <v>85</v>
      </c>
      <c r="C1872" s="2">
        <v>45313</v>
      </c>
      <c r="D1872" s="2" t="str">
        <f>TEXT(Table5[[#This Row],[bill_date]],"mmmm")</f>
        <v>January</v>
      </c>
      <c r="E1872" s="9">
        <f>YEAR(Table5[[#This Row],[bill_date]])</f>
        <v>2024</v>
      </c>
      <c r="F1872">
        <v>313</v>
      </c>
      <c r="G1872" t="s">
        <v>30</v>
      </c>
    </row>
    <row r="1873" spans="1:7" x14ac:dyDescent="0.3">
      <c r="A1873">
        <v>31872</v>
      </c>
      <c r="B1873">
        <v>496</v>
      </c>
      <c r="C1873" s="2">
        <v>44994</v>
      </c>
      <c r="D1873" s="2" t="str">
        <f>TEXT(Table5[[#This Row],[bill_date]],"mmmm")</f>
        <v>March</v>
      </c>
      <c r="E1873" s="9">
        <f>YEAR(Table5[[#This Row],[bill_date]])</f>
        <v>2023</v>
      </c>
      <c r="F1873">
        <v>672</v>
      </c>
      <c r="G1873" t="s">
        <v>30</v>
      </c>
    </row>
    <row r="1874" spans="1:7" x14ac:dyDescent="0.3">
      <c r="A1874">
        <v>31873</v>
      </c>
      <c r="B1874">
        <v>79</v>
      </c>
      <c r="C1874" s="2">
        <v>45136</v>
      </c>
      <c r="D1874" s="2" t="str">
        <f>TEXT(Table5[[#This Row],[bill_date]],"mmmm")</f>
        <v>July</v>
      </c>
      <c r="E1874" s="9">
        <f>YEAR(Table5[[#This Row],[bill_date]])</f>
        <v>2023</v>
      </c>
      <c r="F1874">
        <v>952</v>
      </c>
      <c r="G1874" t="s">
        <v>28</v>
      </c>
    </row>
    <row r="1875" spans="1:7" x14ac:dyDescent="0.3">
      <c r="A1875">
        <v>31874</v>
      </c>
      <c r="B1875">
        <v>39</v>
      </c>
      <c r="C1875" s="2">
        <v>44961</v>
      </c>
      <c r="D1875" s="2" t="str">
        <f>TEXT(Table5[[#This Row],[bill_date]],"mmmm")</f>
        <v>February</v>
      </c>
      <c r="E1875" s="9">
        <f>YEAR(Table5[[#This Row],[bill_date]])</f>
        <v>2023</v>
      </c>
      <c r="F1875">
        <v>1556</v>
      </c>
      <c r="G1875" t="s">
        <v>30</v>
      </c>
    </row>
    <row r="1876" spans="1:7" x14ac:dyDescent="0.3">
      <c r="A1876">
        <v>31875</v>
      </c>
      <c r="B1876">
        <v>306</v>
      </c>
      <c r="C1876" s="2">
        <v>45153</v>
      </c>
      <c r="D1876" s="2" t="str">
        <f>TEXT(Table5[[#This Row],[bill_date]],"mmmm")</f>
        <v>August</v>
      </c>
      <c r="E1876" s="9">
        <f>YEAR(Table5[[#This Row],[bill_date]])</f>
        <v>2023</v>
      </c>
      <c r="F1876">
        <v>1843</v>
      </c>
      <c r="G1876" t="s">
        <v>30</v>
      </c>
    </row>
    <row r="1877" spans="1:7" x14ac:dyDescent="0.3">
      <c r="A1877">
        <v>31876</v>
      </c>
      <c r="B1877">
        <v>20</v>
      </c>
      <c r="C1877" s="2">
        <v>45113</v>
      </c>
      <c r="D1877" s="2" t="str">
        <f>TEXT(Table5[[#This Row],[bill_date]],"mmmm")</f>
        <v>July</v>
      </c>
      <c r="E1877" s="9">
        <f>YEAR(Table5[[#This Row],[bill_date]])</f>
        <v>2023</v>
      </c>
      <c r="F1877">
        <v>1531</v>
      </c>
      <c r="G1877" t="s">
        <v>30</v>
      </c>
    </row>
    <row r="1878" spans="1:7" x14ac:dyDescent="0.3">
      <c r="A1878">
        <v>31877</v>
      </c>
      <c r="B1878">
        <v>70</v>
      </c>
      <c r="C1878" s="2">
        <v>45367</v>
      </c>
      <c r="D1878" s="2" t="str">
        <f>TEXT(Table5[[#This Row],[bill_date]],"mmmm")</f>
        <v>March</v>
      </c>
      <c r="E1878" s="9">
        <f>YEAR(Table5[[#This Row],[bill_date]])</f>
        <v>2024</v>
      </c>
      <c r="F1878">
        <v>529</v>
      </c>
      <c r="G1878" t="s">
        <v>30</v>
      </c>
    </row>
    <row r="1879" spans="1:7" x14ac:dyDescent="0.3">
      <c r="A1879">
        <v>31878</v>
      </c>
      <c r="B1879">
        <v>156</v>
      </c>
      <c r="C1879" s="2">
        <v>44840</v>
      </c>
      <c r="D1879" s="2" t="str">
        <f>TEXT(Table5[[#This Row],[bill_date]],"mmmm")</f>
        <v>October</v>
      </c>
      <c r="E1879" s="9">
        <f>YEAR(Table5[[#This Row],[bill_date]])</f>
        <v>2022</v>
      </c>
      <c r="F1879">
        <v>1766</v>
      </c>
      <c r="G1879" t="s">
        <v>28</v>
      </c>
    </row>
    <row r="1880" spans="1:7" x14ac:dyDescent="0.3">
      <c r="A1880">
        <v>31879</v>
      </c>
      <c r="B1880">
        <v>117</v>
      </c>
      <c r="C1880" s="2">
        <v>45329</v>
      </c>
      <c r="D1880" s="2" t="str">
        <f>TEXT(Table5[[#This Row],[bill_date]],"mmmm")</f>
        <v>February</v>
      </c>
      <c r="E1880" s="9">
        <f>YEAR(Table5[[#This Row],[bill_date]])</f>
        <v>2024</v>
      </c>
      <c r="F1880">
        <v>923</v>
      </c>
      <c r="G1880" t="s">
        <v>30</v>
      </c>
    </row>
    <row r="1881" spans="1:7" x14ac:dyDescent="0.3">
      <c r="A1881">
        <v>31880</v>
      </c>
      <c r="B1881">
        <v>368</v>
      </c>
      <c r="C1881" s="2">
        <v>44671</v>
      </c>
      <c r="D1881" s="2" t="str">
        <f>TEXT(Table5[[#This Row],[bill_date]],"mmmm")</f>
        <v>April</v>
      </c>
      <c r="E1881" s="9">
        <f>YEAR(Table5[[#This Row],[bill_date]])</f>
        <v>2022</v>
      </c>
      <c r="F1881">
        <v>1181</v>
      </c>
      <c r="G1881" t="s">
        <v>30</v>
      </c>
    </row>
    <row r="1882" spans="1:7" x14ac:dyDescent="0.3">
      <c r="A1882">
        <v>31881</v>
      </c>
      <c r="B1882">
        <v>427</v>
      </c>
      <c r="C1882" s="2">
        <v>44609</v>
      </c>
      <c r="D1882" s="2" t="str">
        <f>TEXT(Table5[[#This Row],[bill_date]],"mmmm")</f>
        <v>February</v>
      </c>
      <c r="E1882" s="9">
        <f>YEAR(Table5[[#This Row],[bill_date]])</f>
        <v>2022</v>
      </c>
      <c r="F1882">
        <v>1726</v>
      </c>
      <c r="G1882" t="s">
        <v>30</v>
      </c>
    </row>
    <row r="1883" spans="1:7" x14ac:dyDescent="0.3">
      <c r="A1883">
        <v>31882</v>
      </c>
      <c r="B1883">
        <v>450</v>
      </c>
      <c r="C1883" s="2">
        <v>45305</v>
      </c>
      <c r="D1883" s="2" t="str">
        <f>TEXT(Table5[[#This Row],[bill_date]],"mmmm")</f>
        <v>January</v>
      </c>
      <c r="E1883" s="9">
        <f>YEAR(Table5[[#This Row],[bill_date]])</f>
        <v>2024</v>
      </c>
      <c r="F1883">
        <v>286</v>
      </c>
      <c r="G1883" t="s">
        <v>30</v>
      </c>
    </row>
    <row r="1884" spans="1:7" x14ac:dyDescent="0.3">
      <c r="A1884">
        <v>31883</v>
      </c>
      <c r="B1884">
        <v>28</v>
      </c>
      <c r="C1884" s="2">
        <v>44643</v>
      </c>
      <c r="D1884" s="2" t="str">
        <f>TEXT(Table5[[#This Row],[bill_date]],"mmmm")</f>
        <v>March</v>
      </c>
      <c r="E1884" s="9">
        <f>YEAR(Table5[[#This Row],[bill_date]])</f>
        <v>2022</v>
      </c>
      <c r="F1884">
        <v>1106</v>
      </c>
      <c r="G1884" t="s">
        <v>28</v>
      </c>
    </row>
    <row r="1885" spans="1:7" x14ac:dyDescent="0.3">
      <c r="A1885">
        <v>31884</v>
      </c>
      <c r="B1885">
        <v>375</v>
      </c>
      <c r="C1885" s="2">
        <v>45247</v>
      </c>
      <c r="D1885" s="2" t="str">
        <f>TEXT(Table5[[#This Row],[bill_date]],"mmmm")</f>
        <v>November</v>
      </c>
      <c r="E1885" s="9">
        <f>YEAR(Table5[[#This Row],[bill_date]])</f>
        <v>2023</v>
      </c>
      <c r="F1885">
        <v>772</v>
      </c>
      <c r="G1885" t="s">
        <v>30</v>
      </c>
    </row>
    <row r="1886" spans="1:7" x14ac:dyDescent="0.3">
      <c r="A1886">
        <v>31885</v>
      </c>
      <c r="B1886">
        <v>98</v>
      </c>
      <c r="C1886" s="2">
        <v>45186</v>
      </c>
      <c r="D1886" s="2" t="str">
        <f>TEXT(Table5[[#This Row],[bill_date]],"mmmm")</f>
        <v>September</v>
      </c>
      <c r="E1886" s="9">
        <f>YEAR(Table5[[#This Row],[bill_date]])</f>
        <v>2023</v>
      </c>
      <c r="F1886">
        <v>201</v>
      </c>
      <c r="G1886" t="s">
        <v>30</v>
      </c>
    </row>
    <row r="1887" spans="1:7" x14ac:dyDescent="0.3">
      <c r="A1887">
        <v>31886</v>
      </c>
      <c r="B1887">
        <v>462</v>
      </c>
      <c r="C1887" s="2">
        <v>44839</v>
      </c>
      <c r="D1887" s="2" t="str">
        <f>TEXT(Table5[[#This Row],[bill_date]],"mmmm")</f>
        <v>October</v>
      </c>
      <c r="E1887" s="9">
        <f>YEAR(Table5[[#This Row],[bill_date]])</f>
        <v>2022</v>
      </c>
      <c r="F1887">
        <v>1996</v>
      </c>
      <c r="G1887" t="s">
        <v>30</v>
      </c>
    </row>
    <row r="1888" spans="1:7" x14ac:dyDescent="0.3">
      <c r="A1888">
        <v>31887</v>
      </c>
      <c r="B1888">
        <v>329</v>
      </c>
      <c r="C1888" s="2">
        <v>44942</v>
      </c>
      <c r="D1888" s="2" t="str">
        <f>TEXT(Table5[[#This Row],[bill_date]],"mmmm")</f>
        <v>January</v>
      </c>
      <c r="E1888" s="9">
        <f>YEAR(Table5[[#This Row],[bill_date]])</f>
        <v>2023</v>
      </c>
      <c r="F1888">
        <v>1605</v>
      </c>
      <c r="G1888" t="s">
        <v>30</v>
      </c>
    </row>
    <row r="1889" spans="1:7" x14ac:dyDescent="0.3">
      <c r="A1889">
        <v>31888</v>
      </c>
      <c r="B1889">
        <v>151</v>
      </c>
      <c r="C1889" s="2">
        <v>44871</v>
      </c>
      <c r="D1889" s="2" t="str">
        <f>TEXT(Table5[[#This Row],[bill_date]],"mmmm")</f>
        <v>November</v>
      </c>
      <c r="E1889" s="9">
        <f>YEAR(Table5[[#This Row],[bill_date]])</f>
        <v>2022</v>
      </c>
      <c r="F1889">
        <v>1846</v>
      </c>
      <c r="G1889" t="s">
        <v>30</v>
      </c>
    </row>
    <row r="1890" spans="1:7" x14ac:dyDescent="0.3">
      <c r="A1890">
        <v>31889</v>
      </c>
      <c r="B1890">
        <v>364</v>
      </c>
      <c r="C1890" s="2">
        <v>45113</v>
      </c>
      <c r="D1890" s="2" t="str">
        <f>TEXT(Table5[[#This Row],[bill_date]],"mmmm")</f>
        <v>July</v>
      </c>
      <c r="E1890" s="9">
        <f>YEAR(Table5[[#This Row],[bill_date]])</f>
        <v>2023</v>
      </c>
      <c r="F1890">
        <v>722</v>
      </c>
      <c r="G1890" t="s">
        <v>30</v>
      </c>
    </row>
    <row r="1891" spans="1:7" x14ac:dyDescent="0.3">
      <c r="A1891">
        <v>31890</v>
      </c>
      <c r="B1891">
        <v>419</v>
      </c>
      <c r="C1891" s="2">
        <v>45103</v>
      </c>
      <c r="D1891" s="2" t="str">
        <f>TEXT(Table5[[#This Row],[bill_date]],"mmmm")</f>
        <v>June</v>
      </c>
      <c r="E1891" s="9">
        <f>YEAR(Table5[[#This Row],[bill_date]])</f>
        <v>2023</v>
      </c>
      <c r="F1891">
        <v>1787</v>
      </c>
      <c r="G1891" t="s">
        <v>30</v>
      </c>
    </row>
    <row r="1892" spans="1:7" x14ac:dyDescent="0.3">
      <c r="A1892">
        <v>31891</v>
      </c>
      <c r="B1892">
        <v>22</v>
      </c>
      <c r="C1892" s="2">
        <v>45328</v>
      </c>
      <c r="D1892" s="2" t="str">
        <f>TEXT(Table5[[#This Row],[bill_date]],"mmmm")</f>
        <v>February</v>
      </c>
      <c r="E1892" s="9">
        <f>YEAR(Table5[[#This Row],[bill_date]])</f>
        <v>2024</v>
      </c>
      <c r="F1892">
        <v>1370</v>
      </c>
      <c r="G1892" t="s">
        <v>30</v>
      </c>
    </row>
    <row r="1893" spans="1:7" x14ac:dyDescent="0.3">
      <c r="A1893">
        <v>31892</v>
      </c>
      <c r="B1893">
        <v>261</v>
      </c>
      <c r="C1893" s="2">
        <v>44801</v>
      </c>
      <c r="D1893" s="2" t="str">
        <f>TEXT(Table5[[#This Row],[bill_date]],"mmmm")</f>
        <v>August</v>
      </c>
      <c r="E1893" s="9">
        <f>YEAR(Table5[[#This Row],[bill_date]])</f>
        <v>2022</v>
      </c>
      <c r="F1893">
        <v>704</v>
      </c>
      <c r="G1893" t="s">
        <v>30</v>
      </c>
    </row>
    <row r="1894" spans="1:7" x14ac:dyDescent="0.3">
      <c r="A1894">
        <v>31893</v>
      </c>
      <c r="B1894">
        <v>60</v>
      </c>
      <c r="C1894" s="2">
        <v>44744</v>
      </c>
      <c r="D1894" s="2" t="str">
        <f>TEXT(Table5[[#This Row],[bill_date]],"mmmm")</f>
        <v>July</v>
      </c>
      <c r="E1894" s="9">
        <f>YEAR(Table5[[#This Row],[bill_date]])</f>
        <v>2022</v>
      </c>
      <c r="F1894">
        <v>844</v>
      </c>
      <c r="G1894" t="s">
        <v>30</v>
      </c>
    </row>
    <row r="1895" spans="1:7" x14ac:dyDescent="0.3">
      <c r="A1895">
        <v>31894</v>
      </c>
      <c r="B1895">
        <v>425</v>
      </c>
      <c r="C1895" s="2">
        <v>44745</v>
      </c>
      <c r="D1895" s="2" t="str">
        <f>TEXT(Table5[[#This Row],[bill_date]],"mmmm")</f>
        <v>July</v>
      </c>
      <c r="E1895" s="9">
        <f>YEAR(Table5[[#This Row],[bill_date]])</f>
        <v>2022</v>
      </c>
      <c r="F1895">
        <v>282</v>
      </c>
      <c r="G1895" t="s">
        <v>30</v>
      </c>
    </row>
    <row r="1896" spans="1:7" x14ac:dyDescent="0.3">
      <c r="A1896">
        <v>31895</v>
      </c>
      <c r="B1896">
        <v>413</v>
      </c>
      <c r="C1896" s="2">
        <v>45115</v>
      </c>
      <c r="D1896" s="2" t="str">
        <f>TEXT(Table5[[#This Row],[bill_date]],"mmmm")</f>
        <v>July</v>
      </c>
      <c r="E1896" s="9">
        <f>YEAR(Table5[[#This Row],[bill_date]])</f>
        <v>2023</v>
      </c>
      <c r="F1896">
        <v>1620</v>
      </c>
      <c r="G1896" t="s">
        <v>28</v>
      </c>
    </row>
    <row r="1897" spans="1:7" x14ac:dyDescent="0.3">
      <c r="A1897">
        <v>31896</v>
      </c>
      <c r="B1897">
        <v>163</v>
      </c>
      <c r="C1897" s="2">
        <v>45027</v>
      </c>
      <c r="D1897" s="2" t="str">
        <f>TEXT(Table5[[#This Row],[bill_date]],"mmmm")</f>
        <v>April</v>
      </c>
      <c r="E1897" s="9">
        <f>YEAR(Table5[[#This Row],[bill_date]])</f>
        <v>2023</v>
      </c>
      <c r="F1897">
        <v>382</v>
      </c>
      <c r="G1897" t="s">
        <v>30</v>
      </c>
    </row>
    <row r="1898" spans="1:7" x14ac:dyDescent="0.3">
      <c r="A1898">
        <v>31897</v>
      </c>
      <c r="B1898">
        <v>114</v>
      </c>
      <c r="C1898" s="2">
        <v>45200</v>
      </c>
      <c r="D1898" s="2" t="str">
        <f>TEXT(Table5[[#This Row],[bill_date]],"mmmm")</f>
        <v>October</v>
      </c>
      <c r="E1898" s="9">
        <f>YEAR(Table5[[#This Row],[bill_date]])</f>
        <v>2023</v>
      </c>
      <c r="F1898">
        <v>367</v>
      </c>
      <c r="G1898" t="s">
        <v>30</v>
      </c>
    </row>
    <row r="1899" spans="1:7" x14ac:dyDescent="0.3">
      <c r="A1899">
        <v>31898</v>
      </c>
      <c r="B1899">
        <v>354</v>
      </c>
      <c r="C1899" s="2">
        <v>44998</v>
      </c>
      <c r="D1899" s="2" t="str">
        <f>TEXT(Table5[[#This Row],[bill_date]],"mmmm")</f>
        <v>March</v>
      </c>
      <c r="E1899" s="9">
        <f>YEAR(Table5[[#This Row],[bill_date]])</f>
        <v>2023</v>
      </c>
      <c r="F1899">
        <v>1783</v>
      </c>
      <c r="G1899" t="s">
        <v>30</v>
      </c>
    </row>
    <row r="1900" spans="1:7" x14ac:dyDescent="0.3">
      <c r="A1900">
        <v>31899</v>
      </c>
      <c r="B1900">
        <v>196</v>
      </c>
      <c r="C1900" s="2">
        <v>45155</v>
      </c>
      <c r="D1900" s="2" t="str">
        <f>TEXT(Table5[[#This Row],[bill_date]],"mmmm")</f>
        <v>August</v>
      </c>
      <c r="E1900" s="9">
        <f>YEAR(Table5[[#This Row],[bill_date]])</f>
        <v>2023</v>
      </c>
      <c r="F1900">
        <v>306</v>
      </c>
      <c r="G1900" t="s">
        <v>30</v>
      </c>
    </row>
    <row r="1901" spans="1:7" x14ac:dyDescent="0.3">
      <c r="A1901">
        <v>31900</v>
      </c>
      <c r="B1901">
        <v>45</v>
      </c>
      <c r="C1901" s="2">
        <v>44794</v>
      </c>
      <c r="D1901" s="2" t="str">
        <f>TEXT(Table5[[#This Row],[bill_date]],"mmmm")</f>
        <v>August</v>
      </c>
      <c r="E1901" s="9">
        <f>YEAR(Table5[[#This Row],[bill_date]])</f>
        <v>2022</v>
      </c>
      <c r="F1901">
        <v>391</v>
      </c>
      <c r="G1901" t="s">
        <v>30</v>
      </c>
    </row>
    <row r="1902" spans="1:7" x14ac:dyDescent="0.3">
      <c r="A1902">
        <v>31901</v>
      </c>
      <c r="B1902">
        <v>113</v>
      </c>
      <c r="C1902" s="2">
        <v>45382</v>
      </c>
      <c r="D1902" s="2" t="str">
        <f>TEXT(Table5[[#This Row],[bill_date]],"mmmm")</f>
        <v>March</v>
      </c>
      <c r="E1902" s="9">
        <f>YEAR(Table5[[#This Row],[bill_date]])</f>
        <v>2024</v>
      </c>
      <c r="F1902">
        <v>1050</v>
      </c>
      <c r="G1902" t="s">
        <v>30</v>
      </c>
    </row>
    <row r="1903" spans="1:7" x14ac:dyDescent="0.3">
      <c r="A1903">
        <v>31902</v>
      </c>
      <c r="B1903">
        <v>393</v>
      </c>
      <c r="C1903" s="2">
        <v>45265</v>
      </c>
      <c r="D1903" s="2" t="str">
        <f>TEXT(Table5[[#This Row],[bill_date]],"mmmm")</f>
        <v>December</v>
      </c>
      <c r="E1903" s="9">
        <f>YEAR(Table5[[#This Row],[bill_date]])</f>
        <v>2023</v>
      </c>
      <c r="F1903">
        <v>1436</v>
      </c>
      <c r="G1903" t="s">
        <v>30</v>
      </c>
    </row>
    <row r="1904" spans="1:7" x14ac:dyDescent="0.3">
      <c r="A1904">
        <v>31903</v>
      </c>
      <c r="B1904">
        <v>179</v>
      </c>
      <c r="C1904" s="2">
        <v>44562</v>
      </c>
      <c r="D1904" s="2" t="str">
        <f>TEXT(Table5[[#This Row],[bill_date]],"mmmm")</f>
        <v>January</v>
      </c>
      <c r="E1904" s="9">
        <f>YEAR(Table5[[#This Row],[bill_date]])</f>
        <v>2022</v>
      </c>
      <c r="F1904">
        <v>1582</v>
      </c>
      <c r="G1904" t="s">
        <v>30</v>
      </c>
    </row>
    <row r="1905" spans="1:7" x14ac:dyDescent="0.3">
      <c r="A1905">
        <v>31904</v>
      </c>
      <c r="B1905">
        <v>270</v>
      </c>
      <c r="C1905" s="2">
        <v>45066</v>
      </c>
      <c r="D1905" s="2" t="str">
        <f>TEXT(Table5[[#This Row],[bill_date]],"mmmm")</f>
        <v>May</v>
      </c>
      <c r="E1905" s="9">
        <f>YEAR(Table5[[#This Row],[bill_date]])</f>
        <v>2023</v>
      </c>
      <c r="F1905">
        <v>1317</v>
      </c>
      <c r="G1905" t="s">
        <v>30</v>
      </c>
    </row>
    <row r="1906" spans="1:7" x14ac:dyDescent="0.3">
      <c r="A1906">
        <v>31905</v>
      </c>
      <c r="B1906">
        <v>493</v>
      </c>
      <c r="C1906" s="2">
        <v>44923</v>
      </c>
      <c r="D1906" s="2" t="str">
        <f>TEXT(Table5[[#This Row],[bill_date]],"mmmm")</f>
        <v>December</v>
      </c>
      <c r="E1906" s="9">
        <f>YEAR(Table5[[#This Row],[bill_date]])</f>
        <v>2022</v>
      </c>
      <c r="F1906">
        <v>1765</v>
      </c>
      <c r="G1906" t="s">
        <v>30</v>
      </c>
    </row>
    <row r="1907" spans="1:7" x14ac:dyDescent="0.3">
      <c r="A1907">
        <v>31906</v>
      </c>
      <c r="B1907">
        <v>325</v>
      </c>
      <c r="C1907" s="2">
        <v>45280</v>
      </c>
      <c r="D1907" s="2" t="str">
        <f>TEXT(Table5[[#This Row],[bill_date]],"mmmm")</f>
        <v>December</v>
      </c>
      <c r="E1907" s="9">
        <f>YEAR(Table5[[#This Row],[bill_date]])</f>
        <v>2023</v>
      </c>
      <c r="F1907">
        <v>1378</v>
      </c>
      <c r="G1907" t="s">
        <v>30</v>
      </c>
    </row>
    <row r="1908" spans="1:7" x14ac:dyDescent="0.3">
      <c r="A1908">
        <v>31907</v>
      </c>
      <c r="B1908">
        <v>370</v>
      </c>
      <c r="C1908" s="2">
        <v>45270</v>
      </c>
      <c r="D1908" s="2" t="str">
        <f>TEXT(Table5[[#This Row],[bill_date]],"mmmm")</f>
        <v>December</v>
      </c>
      <c r="E1908" s="9">
        <f>YEAR(Table5[[#This Row],[bill_date]])</f>
        <v>2023</v>
      </c>
      <c r="F1908">
        <v>1746</v>
      </c>
      <c r="G1908" t="s">
        <v>30</v>
      </c>
    </row>
    <row r="1909" spans="1:7" x14ac:dyDescent="0.3">
      <c r="A1909">
        <v>31908</v>
      </c>
      <c r="B1909">
        <v>56</v>
      </c>
      <c r="C1909" s="2">
        <v>44844</v>
      </c>
      <c r="D1909" s="2" t="str">
        <f>TEXT(Table5[[#This Row],[bill_date]],"mmmm")</f>
        <v>October</v>
      </c>
      <c r="E1909" s="9">
        <f>YEAR(Table5[[#This Row],[bill_date]])</f>
        <v>2022</v>
      </c>
      <c r="F1909">
        <v>470</v>
      </c>
      <c r="G1909" t="s">
        <v>30</v>
      </c>
    </row>
    <row r="1910" spans="1:7" x14ac:dyDescent="0.3">
      <c r="A1910">
        <v>31909</v>
      </c>
      <c r="B1910">
        <v>367</v>
      </c>
      <c r="C1910" s="2">
        <v>45090</v>
      </c>
      <c r="D1910" s="2" t="str">
        <f>TEXT(Table5[[#This Row],[bill_date]],"mmmm")</f>
        <v>June</v>
      </c>
      <c r="E1910" s="9">
        <f>YEAR(Table5[[#This Row],[bill_date]])</f>
        <v>2023</v>
      </c>
      <c r="F1910">
        <v>1959</v>
      </c>
      <c r="G1910" t="s">
        <v>30</v>
      </c>
    </row>
    <row r="1911" spans="1:7" x14ac:dyDescent="0.3">
      <c r="A1911">
        <v>31910</v>
      </c>
      <c r="B1911">
        <v>347</v>
      </c>
      <c r="C1911" s="2">
        <v>45392</v>
      </c>
      <c r="D1911" s="2" t="str">
        <f>TEXT(Table5[[#This Row],[bill_date]],"mmmm")</f>
        <v>April</v>
      </c>
      <c r="E1911" s="9">
        <f>YEAR(Table5[[#This Row],[bill_date]])</f>
        <v>2024</v>
      </c>
      <c r="F1911">
        <v>1385</v>
      </c>
      <c r="G1911" t="s">
        <v>30</v>
      </c>
    </row>
    <row r="1912" spans="1:7" x14ac:dyDescent="0.3">
      <c r="A1912">
        <v>31911</v>
      </c>
      <c r="B1912">
        <v>267</v>
      </c>
      <c r="C1912" s="2">
        <v>45457</v>
      </c>
      <c r="D1912" s="2" t="str">
        <f>TEXT(Table5[[#This Row],[bill_date]],"mmmm")</f>
        <v>June</v>
      </c>
      <c r="E1912" s="9">
        <f>YEAR(Table5[[#This Row],[bill_date]])</f>
        <v>2024</v>
      </c>
      <c r="F1912">
        <v>754</v>
      </c>
      <c r="G1912" t="s">
        <v>30</v>
      </c>
    </row>
    <row r="1913" spans="1:7" x14ac:dyDescent="0.3">
      <c r="A1913">
        <v>31912</v>
      </c>
      <c r="B1913">
        <v>414</v>
      </c>
      <c r="C1913" s="2">
        <v>44730</v>
      </c>
      <c r="D1913" s="2" t="str">
        <f>TEXT(Table5[[#This Row],[bill_date]],"mmmm")</f>
        <v>June</v>
      </c>
      <c r="E1913" s="9">
        <f>YEAR(Table5[[#This Row],[bill_date]])</f>
        <v>2022</v>
      </c>
      <c r="F1913">
        <v>1104</v>
      </c>
      <c r="G1913" t="s">
        <v>30</v>
      </c>
    </row>
    <row r="1914" spans="1:7" x14ac:dyDescent="0.3">
      <c r="A1914">
        <v>31913</v>
      </c>
      <c r="B1914">
        <v>115</v>
      </c>
      <c r="C1914" s="2">
        <v>45450</v>
      </c>
      <c r="D1914" s="2" t="str">
        <f>TEXT(Table5[[#This Row],[bill_date]],"mmmm")</f>
        <v>June</v>
      </c>
      <c r="E1914" s="9">
        <f>YEAR(Table5[[#This Row],[bill_date]])</f>
        <v>2024</v>
      </c>
      <c r="F1914">
        <v>936</v>
      </c>
      <c r="G1914" t="s">
        <v>30</v>
      </c>
    </row>
    <row r="1915" spans="1:7" x14ac:dyDescent="0.3">
      <c r="A1915">
        <v>31914</v>
      </c>
      <c r="B1915">
        <v>357</v>
      </c>
      <c r="C1915" s="2">
        <v>44747</v>
      </c>
      <c r="D1915" s="2" t="str">
        <f>TEXT(Table5[[#This Row],[bill_date]],"mmmm")</f>
        <v>July</v>
      </c>
      <c r="E1915" s="9">
        <f>YEAR(Table5[[#This Row],[bill_date]])</f>
        <v>2022</v>
      </c>
      <c r="F1915">
        <v>963</v>
      </c>
      <c r="G1915" t="s">
        <v>30</v>
      </c>
    </row>
    <row r="1916" spans="1:7" x14ac:dyDescent="0.3">
      <c r="A1916">
        <v>31915</v>
      </c>
      <c r="B1916">
        <v>167</v>
      </c>
      <c r="C1916" s="2">
        <v>44683</v>
      </c>
      <c r="D1916" s="2" t="str">
        <f>TEXT(Table5[[#This Row],[bill_date]],"mmmm")</f>
        <v>May</v>
      </c>
      <c r="E1916" s="9">
        <f>YEAR(Table5[[#This Row],[bill_date]])</f>
        <v>2022</v>
      </c>
      <c r="F1916">
        <v>943</v>
      </c>
      <c r="G1916" t="s">
        <v>30</v>
      </c>
    </row>
    <row r="1917" spans="1:7" x14ac:dyDescent="0.3">
      <c r="A1917">
        <v>31916</v>
      </c>
      <c r="B1917">
        <v>354</v>
      </c>
      <c r="C1917" s="2">
        <v>45002</v>
      </c>
      <c r="D1917" s="2" t="str">
        <f>TEXT(Table5[[#This Row],[bill_date]],"mmmm")</f>
        <v>March</v>
      </c>
      <c r="E1917" s="9">
        <f>YEAR(Table5[[#This Row],[bill_date]])</f>
        <v>2023</v>
      </c>
      <c r="F1917">
        <v>969</v>
      </c>
      <c r="G1917" t="s">
        <v>29</v>
      </c>
    </row>
    <row r="1918" spans="1:7" x14ac:dyDescent="0.3">
      <c r="A1918">
        <v>31917</v>
      </c>
      <c r="B1918">
        <v>115</v>
      </c>
      <c r="C1918" s="2">
        <v>45297</v>
      </c>
      <c r="D1918" s="2" t="str">
        <f>TEXT(Table5[[#This Row],[bill_date]],"mmmm")</f>
        <v>January</v>
      </c>
      <c r="E1918" s="9">
        <f>YEAR(Table5[[#This Row],[bill_date]])</f>
        <v>2024</v>
      </c>
      <c r="F1918">
        <v>997</v>
      </c>
      <c r="G1918" t="s">
        <v>29</v>
      </c>
    </row>
    <row r="1919" spans="1:7" x14ac:dyDescent="0.3">
      <c r="A1919">
        <v>31918</v>
      </c>
      <c r="B1919">
        <v>408</v>
      </c>
      <c r="C1919" s="2">
        <v>45200</v>
      </c>
      <c r="D1919" s="2" t="str">
        <f>TEXT(Table5[[#This Row],[bill_date]],"mmmm")</f>
        <v>October</v>
      </c>
      <c r="E1919" s="9">
        <f>YEAR(Table5[[#This Row],[bill_date]])</f>
        <v>2023</v>
      </c>
      <c r="F1919">
        <v>1402</v>
      </c>
      <c r="G1919" t="s">
        <v>29</v>
      </c>
    </row>
    <row r="1920" spans="1:7" x14ac:dyDescent="0.3">
      <c r="A1920">
        <v>31919</v>
      </c>
      <c r="B1920">
        <v>80</v>
      </c>
      <c r="C1920" s="2">
        <v>45239</v>
      </c>
      <c r="D1920" s="2" t="str">
        <f>TEXT(Table5[[#This Row],[bill_date]],"mmmm")</f>
        <v>November</v>
      </c>
      <c r="E1920" s="9">
        <f>YEAR(Table5[[#This Row],[bill_date]])</f>
        <v>2023</v>
      </c>
      <c r="F1920">
        <v>1445</v>
      </c>
      <c r="G1920" t="s">
        <v>30</v>
      </c>
    </row>
    <row r="1921" spans="1:7" x14ac:dyDescent="0.3">
      <c r="A1921">
        <v>31920</v>
      </c>
      <c r="B1921">
        <v>314</v>
      </c>
      <c r="C1921" s="2">
        <v>45035</v>
      </c>
      <c r="D1921" s="2" t="str">
        <f>TEXT(Table5[[#This Row],[bill_date]],"mmmm")</f>
        <v>April</v>
      </c>
      <c r="E1921" s="9">
        <f>YEAR(Table5[[#This Row],[bill_date]])</f>
        <v>2023</v>
      </c>
      <c r="F1921">
        <v>314</v>
      </c>
      <c r="G1921" t="s">
        <v>30</v>
      </c>
    </row>
    <row r="1922" spans="1:7" x14ac:dyDescent="0.3">
      <c r="A1922">
        <v>31921</v>
      </c>
      <c r="B1922">
        <v>286</v>
      </c>
      <c r="C1922" s="2">
        <v>44683</v>
      </c>
      <c r="D1922" s="2" t="str">
        <f>TEXT(Table5[[#This Row],[bill_date]],"mmmm")</f>
        <v>May</v>
      </c>
      <c r="E1922" s="9">
        <f>YEAR(Table5[[#This Row],[bill_date]])</f>
        <v>2022</v>
      </c>
      <c r="F1922">
        <v>1159</v>
      </c>
      <c r="G1922" t="s">
        <v>30</v>
      </c>
    </row>
    <row r="1923" spans="1:7" x14ac:dyDescent="0.3">
      <c r="A1923">
        <v>31922</v>
      </c>
      <c r="B1923">
        <v>408</v>
      </c>
      <c r="C1923" s="2">
        <v>45395</v>
      </c>
      <c r="D1923" s="2" t="str">
        <f>TEXT(Table5[[#This Row],[bill_date]],"mmmm")</f>
        <v>April</v>
      </c>
      <c r="E1923" s="9">
        <f>YEAR(Table5[[#This Row],[bill_date]])</f>
        <v>2024</v>
      </c>
      <c r="F1923">
        <v>1227</v>
      </c>
      <c r="G1923" t="s">
        <v>30</v>
      </c>
    </row>
    <row r="1924" spans="1:7" x14ac:dyDescent="0.3">
      <c r="A1924">
        <v>31923</v>
      </c>
      <c r="B1924">
        <v>323</v>
      </c>
      <c r="C1924" s="2">
        <v>45293</v>
      </c>
      <c r="D1924" s="2" t="str">
        <f>TEXT(Table5[[#This Row],[bill_date]],"mmmm")</f>
        <v>January</v>
      </c>
      <c r="E1924" s="9">
        <f>YEAR(Table5[[#This Row],[bill_date]])</f>
        <v>2024</v>
      </c>
      <c r="F1924">
        <v>971</v>
      </c>
      <c r="G1924" t="s">
        <v>30</v>
      </c>
    </row>
    <row r="1925" spans="1:7" x14ac:dyDescent="0.3">
      <c r="A1925">
        <v>31924</v>
      </c>
      <c r="B1925">
        <v>29</v>
      </c>
      <c r="C1925" s="2">
        <v>45352</v>
      </c>
      <c r="D1925" s="2" t="str">
        <f>TEXT(Table5[[#This Row],[bill_date]],"mmmm")</f>
        <v>March</v>
      </c>
      <c r="E1925" s="9">
        <f>YEAR(Table5[[#This Row],[bill_date]])</f>
        <v>2024</v>
      </c>
      <c r="F1925">
        <v>264</v>
      </c>
      <c r="G1925" t="s">
        <v>30</v>
      </c>
    </row>
    <row r="1926" spans="1:7" x14ac:dyDescent="0.3">
      <c r="A1926">
        <v>31925</v>
      </c>
      <c r="B1926">
        <v>42</v>
      </c>
      <c r="C1926" s="2">
        <v>45221</v>
      </c>
      <c r="D1926" s="2" t="str">
        <f>TEXT(Table5[[#This Row],[bill_date]],"mmmm")</f>
        <v>October</v>
      </c>
      <c r="E1926" s="9">
        <f>YEAR(Table5[[#This Row],[bill_date]])</f>
        <v>2023</v>
      </c>
      <c r="F1926">
        <v>725</v>
      </c>
      <c r="G1926" t="s">
        <v>30</v>
      </c>
    </row>
    <row r="1927" spans="1:7" x14ac:dyDescent="0.3">
      <c r="A1927">
        <v>31926</v>
      </c>
      <c r="B1927">
        <v>460</v>
      </c>
      <c r="C1927" s="2">
        <v>44853</v>
      </c>
      <c r="D1927" s="2" t="str">
        <f>TEXT(Table5[[#This Row],[bill_date]],"mmmm")</f>
        <v>October</v>
      </c>
      <c r="E1927" s="9">
        <f>YEAR(Table5[[#This Row],[bill_date]])</f>
        <v>2022</v>
      </c>
      <c r="F1927">
        <v>647</v>
      </c>
      <c r="G1927" t="s">
        <v>30</v>
      </c>
    </row>
    <row r="1928" spans="1:7" x14ac:dyDescent="0.3">
      <c r="A1928">
        <v>31927</v>
      </c>
      <c r="B1928">
        <v>119</v>
      </c>
      <c r="C1928" s="2">
        <v>44808</v>
      </c>
      <c r="D1928" s="2" t="str">
        <f>TEXT(Table5[[#This Row],[bill_date]],"mmmm")</f>
        <v>September</v>
      </c>
      <c r="E1928" s="9">
        <f>YEAR(Table5[[#This Row],[bill_date]])</f>
        <v>2022</v>
      </c>
      <c r="F1928">
        <v>1371</v>
      </c>
      <c r="G1928" t="s">
        <v>30</v>
      </c>
    </row>
    <row r="1929" spans="1:7" x14ac:dyDescent="0.3">
      <c r="A1929">
        <v>31928</v>
      </c>
      <c r="B1929">
        <v>62</v>
      </c>
      <c r="C1929" s="2">
        <v>44749</v>
      </c>
      <c r="D1929" s="2" t="str">
        <f>TEXT(Table5[[#This Row],[bill_date]],"mmmm")</f>
        <v>July</v>
      </c>
      <c r="E1929" s="9">
        <f>YEAR(Table5[[#This Row],[bill_date]])</f>
        <v>2022</v>
      </c>
      <c r="F1929">
        <v>299</v>
      </c>
      <c r="G1929" t="s">
        <v>30</v>
      </c>
    </row>
    <row r="1930" spans="1:7" x14ac:dyDescent="0.3">
      <c r="A1930">
        <v>31929</v>
      </c>
      <c r="B1930">
        <v>155</v>
      </c>
      <c r="C1930" s="2">
        <v>45084</v>
      </c>
      <c r="D1930" s="2" t="str">
        <f>TEXT(Table5[[#This Row],[bill_date]],"mmmm")</f>
        <v>June</v>
      </c>
      <c r="E1930" s="9">
        <f>YEAR(Table5[[#This Row],[bill_date]])</f>
        <v>2023</v>
      </c>
      <c r="F1930">
        <v>1489</v>
      </c>
      <c r="G1930" t="s">
        <v>30</v>
      </c>
    </row>
    <row r="1931" spans="1:7" x14ac:dyDescent="0.3">
      <c r="A1931">
        <v>31930</v>
      </c>
      <c r="B1931">
        <v>285</v>
      </c>
      <c r="C1931" s="2">
        <v>44845</v>
      </c>
      <c r="D1931" s="2" t="str">
        <f>TEXT(Table5[[#This Row],[bill_date]],"mmmm")</f>
        <v>October</v>
      </c>
      <c r="E1931" s="9">
        <f>YEAR(Table5[[#This Row],[bill_date]])</f>
        <v>2022</v>
      </c>
      <c r="F1931">
        <v>928</v>
      </c>
      <c r="G1931" t="s">
        <v>30</v>
      </c>
    </row>
    <row r="1932" spans="1:7" x14ac:dyDescent="0.3">
      <c r="A1932">
        <v>31931</v>
      </c>
      <c r="B1932">
        <v>450</v>
      </c>
      <c r="C1932" s="2">
        <v>45118</v>
      </c>
      <c r="D1932" s="2" t="str">
        <f>TEXT(Table5[[#This Row],[bill_date]],"mmmm")</f>
        <v>July</v>
      </c>
      <c r="E1932" s="9">
        <f>YEAR(Table5[[#This Row],[bill_date]])</f>
        <v>2023</v>
      </c>
      <c r="F1932">
        <v>752</v>
      </c>
      <c r="G1932" t="s">
        <v>30</v>
      </c>
    </row>
    <row r="1933" spans="1:7" x14ac:dyDescent="0.3">
      <c r="A1933">
        <v>31932</v>
      </c>
      <c r="B1933">
        <v>441</v>
      </c>
      <c r="C1933" s="2">
        <v>44685</v>
      </c>
      <c r="D1933" s="2" t="str">
        <f>TEXT(Table5[[#This Row],[bill_date]],"mmmm")</f>
        <v>May</v>
      </c>
      <c r="E1933" s="9">
        <f>YEAR(Table5[[#This Row],[bill_date]])</f>
        <v>2022</v>
      </c>
      <c r="F1933">
        <v>264</v>
      </c>
      <c r="G1933" t="s">
        <v>30</v>
      </c>
    </row>
    <row r="1934" spans="1:7" x14ac:dyDescent="0.3">
      <c r="A1934">
        <v>31933</v>
      </c>
      <c r="B1934">
        <v>189</v>
      </c>
      <c r="C1934" s="2">
        <v>45451</v>
      </c>
      <c r="D1934" s="2" t="str">
        <f>TEXT(Table5[[#This Row],[bill_date]],"mmmm")</f>
        <v>June</v>
      </c>
      <c r="E1934" s="9">
        <f>YEAR(Table5[[#This Row],[bill_date]])</f>
        <v>2024</v>
      </c>
      <c r="F1934">
        <v>1572</v>
      </c>
      <c r="G1934" t="s">
        <v>29</v>
      </c>
    </row>
    <row r="1935" spans="1:7" x14ac:dyDescent="0.3">
      <c r="A1935">
        <v>31934</v>
      </c>
      <c r="B1935">
        <v>285</v>
      </c>
      <c r="C1935" s="2">
        <v>44808</v>
      </c>
      <c r="D1935" s="2" t="str">
        <f>TEXT(Table5[[#This Row],[bill_date]],"mmmm")</f>
        <v>September</v>
      </c>
      <c r="E1935" s="9">
        <f>YEAR(Table5[[#This Row],[bill_date]])</f>
        <v>2022</v>
      </c>
      <c r="F1935">
        <v>318</v>
      </c>
      <c r="G1935" t="s">
        <v>30</v>
      </c>
    </row>
    <row r="1936" spans="1:7" x14ac:dyDescent="0.3">
      <c r="A1936">
        <v>31935</v>
      </c>
      <c r="B1936">
        <v>104</v>
      </c>
      <c r="C1936" s="2">
        <v>44967</v>
      </c>
      <c r="D1936" s="2" t="str">
        <f>TEXT(Table5[[#This Row],[bill_date]],"mmmm")</f>
        <v>February</v>
      </c>
      <c r="E1936" s="9">
        <f>YEAR(Table5[[#This Row],[bill_date]])</f>
        <v>2023</v>
      </c>
      <c r="F1936">
        <v>443</v>
      </c>
      <c r="G1936" t="s">
        <v>30</v>
      </c>
    </row>
    <row r="1937" spans="1:7" x14ac:dyDescent="0.3">
      <c r="A1937">
        <v>31936</v>
      </c>
      <c r="B1937">
        <v>57</v>
      </c>
      <c r="C1937" s="2">
        <v>44898</v>
      </c>
      <c r="D1937" s="2" t="str">
        <f>TEXT(Table5[[#This Row],[bill_date]],"mmmm")</f>
        <v>December</v>
      </c>
      <c r="E1937" s="9">
        <f>YEAR(Table5[[#This Row],[bill_date]])</f>
        <v>2022</v>
      </c>
      <c r="F1937">
        <v>587</v>
      </c>
      <c r="G1937" t="s">
        <v>30</v>
      </c>
    </row>
    <row r="1938" spans="1:7" x14ac:dyDescent="0.3">
      <c r="A1938">
        <v>31937</v>
      </c>
      <c r="B1938">
        <v>457</v>
      </c>
      <c r="C1938" s="2">
        <v>44720</v>
      </c>
      <c r="D1938" s="2" t="str">
        <f>TEXT(Table5[[#This Row],[bill_date]],"mmmm")</f>
        <v>June</v>
      </c>
      <c r="E1938" s="9">
        <f>YEAR(Table5[[#This Row],[bill_date]])</f>
        <v>2022</v>
      </c>
      <c r="F1938">
        <v>485</v>
      </c>
      <c r="G1938" t="s">
        <v>29</v>
      </c>
    </row>
    <row r="1939" spans="1:7" x14ac:dyDescent="0.3">
      <c r="A1939">
        <v>31938</v>
      </c>
      <c r="B1939">
        <v>311</v>
      </c>
      <c r="C1939" s="2">
        <v>44828</v>
      </c>
      <c r="D1939" s="2" t="str">
        <f>TEXT(Table5[[#This Row],[bill_date]],"mmmm")</f>
        <v>September</v>
      </c>
      <c r="E1939" s="9">
        <f>YEAR(Table5[[#This Row],[bill_date]])</f>
        <v>2022</v>
      </c>
      <c r="F1939">
        <v>1270</v>
      </c>
      <c r="G1939" t="s">
        <v>30</v>
      </c>
    </row>
    <row r="1940" spans="1:7" x14ac:dyDescent="0.3">
      <c r="A1940">
        <v>31939</v>
      </c>
      <c r="B1940">
        <v>372</v>
      </c>
      <c r="C1940" s="2">
        <v>44853</v>
      </c>
      <c r="D1940" s="2" t="str">
        <f>TEXT(Table5[[#This Row],[bill_date]],"mmmm")</f>
        <v>October</v>
      </c>
      <c r="E1940" s="9">
        <f>YEAR(Table5[[#This Row],[bill_date]])</f>
        <v>2022</v>
      </c>
      <c r="F1940">
        <v>998</v>
      </c>
      <c r="G1940" t="s">
        <v>28</v>
      </c>
    </row>
    <row r="1941" spans="1:7" x14ac:dyDescent="0.3">
      <c r="A1941">
        <v>31940</v>
      </c>
      <c r="B1941">
        <v>172</v>
      </c>
      <c r="C1941" s="2">
        <v>45151</v>
      </c>
      <c r="D1941" s="2" t="str">
        <f>TEXT(Table5[[#This Row],[bill_date]],"mmmm")</f>
        <v>August</v>
      </c>
      <c r="E1941" s="9">
        <f>YEAR(Table5[[#This Row],[bill_date]])</f>
        <v>2023</v>
      </c>
      <c r="F1941">
        <v>1023</v>
      </c>
      <c r="G1941" t="s">
        <v>30</v>
      </c>
    </row>
    <row r="1942" spans="1:7" x14ac:dyDescent="0.3">
      <c r="A1942">
        <v>31941</v>
      </c>
      <c r="B1942">
        <v>384</v>
      </c>
      <c r="C1942" s="2">
        <v>45364</v>
      </c>
      <c r="D1942" s="2" t="str">
        <f>TEXT(Table5[[#This Row],[bill_date]],"mmmm")</f>
        <v>March</v>
      </c>
      <c r="E1942" s="9">
        <f>YEAR(Table5[[#This Row],[bill_date]])</f>
        <v>2024</v>
      </c>
      <c r="F1942">
        <v>1989</v>
      </c>
      <c r="G1942" t="s">
        <v>30</v>
      </c>
    </row>
    <row r="1943" spans="1:7" x14ac:dyDescent="0.3">
      <c r="A1943">
        <v>31942</v>
      </c>
      <c r="B1943">
        <v>156</v>
      </c>
      <c r="C1943" s="2">
        <v>45456</v>
      </c>
      <c r="D1943" s="2" t="str">
        <f>TEXT(Table5[[#This Row],[bill_date]],"mmmm")</f>
        <v>June</v>
      </c>
      <c r="E1943" s="9">
        <f>YEAR(Table5[[#This Row],[bill_date]])</f>
        <v>2024</v>
      </c>
      <c r="F1943">
        <v>616</v>
      </c>
      <c r="G1943" t="s">
        <v>29</v>
      </c>
    </row>
    <row r="1944" spans="1:7" x14ac:dyDescent="0.3">
      <c r="A1944">
        <v>31943</v>
      </c>
      <c r="B1944">
        <v>165</v>
      </c>
      <c r="C1944" s="2">
        <v>44712</v>
      </c>
      <c r="D1944" s="2" t="str">
        <f>TEXT(Table5[[#This Row],[bill_date]],"mmmm")</f>
        <v>May</v>
      </c>
      <c r="E1944" s="9">
        <f>YEAR(Table5[[#This Row],[bill_date]])</f>
        <v>2022</v>
      </c>
      <c r="F1944">
        <v>1168</v>
      </c>
      <c r="G1944" t="s">
        <v>30</v>
      </c>
    </row>
    <row r="1945" spans="1:7" x14ac:dyDescent="0.3">
      <c r="A1945">
        <v>31944</v>
      </c>
      <c r="B1945">
        <v>407</v>
      </c>
      <c r="C1945" s="2">
        <v>44846</v>
      </c>
      <c r="D1945" s="2" t="str">
        <f>TEXT(Table5[[#This Row],[bill_date]],"mmmm")</f>
        <v>October</v>
      </c>
      <c r="E1945" s="9">
        <f>YEAR(Table5[[#This Row],[bill_date]])</f>
        <v>2022</v>
      </c>
      <c r="F1945">
        <v>549</v>
      </c>
      <c r="G1945" t="s">
        <v>30</v>
      </c>
    </row>
    <row r="1946" spans="1:7" x14ac:dyDescent="0.3">
      <c r="A1946">
        <v>31945</v>
      </c>
      <c r="B1946">
        <v>333</v>
      </c>
      <c r="C1946" s="2">
        <v>44712</v>
      </c>
      <c r="D1946" s="2" t="str">
        <f>TEXT(Table5[[#This Row],[bill_date]],"mmmm")</f>
        <v>May</v>
      </c>
      <c r="E1946" s="9">
        <f>YEAR(Table5[[#This Row],[bill_date]])</f>
        <v>2022</v>
      </c>
      <c r="F1946">
        <v>353</v>
      </c>
      <c r="G1946" t="s">
        <v>30</v>
      </c>
    </row>
    <row r="1947" spans="1:7" x14ac:dyDescent="0.3">
      <c r="A1947">
        <v>31946</v>
      </c>
      <c r="B1947">
        <v>69</v>
      </c>
      <c r="C1947" s="2">
        <v>44685</v>
      </c>
      <c r="D1947" s="2" t="str">
        <f>TEXT(Table5[[#This Row],[bill_date]],"mmmm")</f>
        <v>May</v>
      </c>
      <c r="E1947" s="9">
        <f>YEAR(Table5[[#This Row],[bill_date]])</f>
        <v>2022</v>
      </c>
      <c r="F1947">
        <v>1560</v>
      </c>
      <c r="G1947" t="s">
        <v>28</v>
      </c>
    </row>
    <row r="1948" spans="1:7" x14ac:dyDescent="0.3">
      <c r="A1948">
        <v>31947</v>
      </c>
      <c r="B1948">
        <v>480</v>
      </c>
      <c r="C1948" s="2">
        <v>45301</v>
      </c>
      <c r="D1948" s="2" t="str">
        <f>TEXT(Table5[[#This Row],[bill_date]],"mmmm")</f>
        <v>January</v>
      </c>
      <c r="E1948" s="9">
        <f>YEAR(Table5[[#This Row],[bill_date]])</f>
        <v>2024</v>
      </c>
      <c r="F1948">
        <v>1483</v>
      </c>
      <c r="G1948" t="s">
        <v>30</v>
      </c>
    </row>
    <row r="1949" spans="1:7" x14ac:dyDescent="0.3">
      <c r="A1949">
        <v>31948</v>
      </c>
      <c r="B1949">
        <v>476</v>
      </c>
      <c r="C1949" s="2">
        <v>44833</v>
      </c>
      <c r="D1949" s="2" t="str">
        <f>TEXT(Table5[[#This Row],[bill_date]],"mmmm")</f>
        <v>September</v>
      </c>
      <c r="E1949" s="9">
        <f>YEAR(Table5[[#This Row],[bill_date]])</f>
        <v>2022</v>
      </c>
      <c r="F1949">
        <v>1751</v>
      </c>
      <c r="G1949" t="s">
        <v>28</v>
      </c>
    </row>
    <row r="1950" spans="1:7" x14ac:dyDescent="0.3">
      <c r="A1950">
        <v>31949</v>
      </c>
      <c r="B1950">
        <v>58</v>
      </c>
      <c r="C1950" s="2">
        <v>45432</v>
      </c>
      <c r="D1950" s="2" t="str">
        <f>TEXT(Table5[[#This Row],[bill_date]],"mmmm")</f>
        <v>May</v>
      </c>
      <c r="E1950" s="9">
        <f>YEAR(Table5[[#This Row],[bill_date]])</f>
        <v>2024</v>
      </c>
      <c r="F1950">
        <v>401</v>
      </c>
      <c r="G1950" t="s">
        <v>30</v>
      </c>
    </row>
    <row r="1951" spans="1:7" x14ac:dyDescent="0.3">
      <c r="A1951">
        <v>31950</v>
      </c>
      <c r="B1951">
        <v>207</v>
      </c>
      <c r="C1951" s="2">
        <v>44901</v>
      </c>
      <c r="D1951" s="2" t="str">
        <f>TEXT(Table5[[#This Row],[bill_date]],"mmmm")</f>
        <v>December</v>
      </c>
      <c r="E1951" s="9">
        <f>YEAR(Table5[[#This Row],[bill_date]])</f>
        <v>2022</v>
      </c>
      <c r="F1951">
        <v>1163</v>
      </c>
      <c r="G1951" t="s">
        <v>29</v>
      </c>
    </row>
    <row r="1952" spans="1:7" x14ac:dyDescent="0.3">
      <c r="A1952">
        <v>31951</v>
      </c>
      <c r="B1952">
        <v>472</v>
      </c>
      <c r="C1952" s="2">
        <v>45290</v>
      </c>
      <c r="D1952" s="2" t="str">
        <f>TEXT(Table5[[#This Row],[bill_date]],"mmmm")</f>
        <v>December</v>
      </c>
      <c r="E1952" s="9">
        <f>YEAR(Table5[[#This Row],[bill_date]])</f>
        <v>2023</v>
      </c>
      <c r="F1952">
        <v>638</v>
      </c>
      <c r="G1952" t="s">
        <v>30</v>
      </c>
    </row>
    <row r="1953" spans="1:7" x14ac:dyDescent="0.3">
      <c r="A1953">
        <v>31952</v>
      </c>
      <c r="B1953">
        <v>416</v>
      </c>
      <c r="C1953" s="2">
        <v>45220</v>
      </c>
      <c r="D1953" s="2" t="str">
        <f>TEXT(Table5[[#This Row],[bill_date]],"mmmm")</f>
        <v>October</v>
      </c>
      <c r="E1953" s="9">
        <f>YEAR(Table5[[#This Row],[bill_date]])</f>
        <v>2023</v>
      </c>
      <c r="F1953">
        <v>1388</v>
      </c>
      <c r="G1953" t="s">
        <v>30</v>
      </c>
    </row>
    <row r="1954" spans="1:7" x14ac:dyDescent="0.3">
      <c r="A1954">
        <v>31953</v>
      </c>
      <c r="B1954">
        <v>85</v>
      </c>
      <c r="C1954" s="2">
        <v>45291</v>
      </c>
      <c r="D1954" s="2" t="str">
        <f>TEXT(Table5[[#This Row],[bill_date]],"mmmm")</f>
        <v>December</v>
      </c>
      <c r="E1954" s="9">
        <f>YEAR(Table5[[#This Row],[bill_date]])</f>
        <v>2023</v>
      </c>
      <c r="F1954">
        <v>577</v>
      </c>
      <c r="G1954" t="s">
        <v>30</v>
      </c>
    </row>
    <row r="1955" spans="1:7" x14ac:dyDescent="0.3">
      <c r="A1955">
        <v>31954</v>
      </c>
      <c r="B1955">
        <v>325</v>
      </c>
      <c r="C1955" s="2">
        <v>45169</v>
      </c>
      <c r="D1955" s="2" t="str">
        <f>TEXT(Table5[[#This Row],[bill_date]],"mmmm")</f>
        <v>August</v>
      </c>
      <c r="E1955" s="9">
        <f>YEAR(Table5[[#This Row],[bill_date]])</f>
        <v>2023</v>
      </c>
      <c r="F1955">
        <v>1660</v>
      </c>
      <c r="G1955" t="s">
        <v>30</v>
      </c>
    </row>
    <row r="1956" spans="1:7" x14ac:dyDescent="0.3">
      <c r="A1956">
        <v>31955</v>
      </c>
      <c r="B1956">
        <v>101</v>
      </c>
      <c r="C1956" s="2">
        <v>45008</v>
      </c>
      <c r="D1956" s="2" t="str">
        <f>TEXT(Table5[[#This Row],[bill_date]],"mmmm")</f>
        <v>March</v>
      </c>
      <c r="E1956" s="9">
        <f>YEAR(Table5[[#This Row],[bill_date]])</f>
        <v>2023</v>
      </c>
      <c r="F1956">
        <v>246</v>
      </c>
      <c r="G1956" t="s">
        <v>30</v>
      </c>
    </row>
    <row r="1957" spans="1:7" x14ac:dyDescent="0.3">
      <c r="A1957">
        <v>31956</v>
      </c>
      <c r="B1957">
        <v>292</v>
      </c>
      <c r="C1957" s="2">
        <v>45123</v>
      </c>
      <c r="D1957" s="2" t="str">
        <f>TEXT(Table5[[#This Row],[bill_date]],"mmmm")</f>
        <v>July</v>
      </c>
      <c r="E1957" s="9">
        <f>YEAR(Table5[[#This Row],[bill_date]])</f>
        <v>2023</v>
      </c>
      <c r="F1957">
        <v>427</v>
      </c>
      <c r="G1957" t="s">
        <v>30</v>
      </c>
    </row>
    <row r="1958" spans="1:7" x14ac:dyDescent="0.3">
      <c r="A1958">
        <v>31957</v>
      </c>
      <c r="B1958">
        <v>251</v>
      </c>
      <c r="C1958" s="2">
        <v>45018</v>
      </c>
      <c r="D1958" s="2" t="str">
        <f>TEXT(Table5[[#This Row],[bill_date]],"mmmm")</f>
        <v>April</v>
      </c>
      <c r="E1958" s="9">
        <f>YEAR(Table5[[#This Row],[bill_date]])</f>
        <v>2023</v>
      </c>
      <c r="F1958">
        <v>1947</v>
      </c>
      <c r="G1958" t="s">
        <v>30</v>
      </c>
    </row>
    <row r="1959" spans="1:7" x14ac:dyDescent="0.3">
      <c r="A1959">
        <v>31958</v>
      </c>
      <c r="B1959">
        <v>220</v>
      </c>
      <c r="C1959" s="2">
        <v>45116</v>
      </c>
      <c r="D1959" s="2" t="str">
        <f>TEXT(Table5[[#This Row],[bill_date]],"mmmm")</f>
        <v>July</v>
      </c>
      <c r="E1959" s="9">
        <f>YEAR(Table5[[#This Row],[bill_date]])</f>
        <v>2023</v>
      </c>
      <c r="F1959">
        <v>1950</v>
      </c>
      <c r="G1959" t="s">
        <v>30</v>
      </c>
    </row>
    <row r="1960" spans="1:7" x14ac:dyDescent="0.3">
      <c r="A1960">
        <v>31959</v>
      </c>
      <c r="B1960">
        <v>160</v>
      </c>
      <c r="C1960" s="2">
        <v>45092</v>
      </c>
      <c r="D1960" s="2" t="str">
        <f>TEXT(Table5[[#This Row],[bill_date]],"mmmm")</f>
        <v>June</v>
      </c>
      <c r="E1960" s="9">
        <f>YEAR(Table5[[#This Row],[bill_date]])</f>
        <v>2023</v>
      </c>
      <c r="F1960">
        <v>1188</v>
      </c>
      <c r="G1960" t="s">
        <v>30</v>
      </c>
    </row>
    <row r="1961" spans="1:7" x14ac:dyDescent="0.3">
      <c r="A1961">
        <v>31960</v>
      </c>
      <c r="B1961">
        <v>187</v>
      </c>
      <c r="C1961" s="2">
        <v>44674</v>
      </c>
      <c r="D1961" s="2" t="str">
        <f>TEXT(Table5[[#This Row],[bill_date]],"mmmm")</f>
        <v>April</v>
      </c>
      <c r="E1961" s="9">
        <f>YEAR(Table5[[#This Row],[bill_date]])</f>
        <v>2022</v>
      </c>
      <c r="F1961">
        <v>879</v>
      </c>
      <c r="G1961" t="s">
        <v>30</v>
      </c>
    </row>
    <row r="1962" spans="1:7" x14ac:dyDescent="0.3">
      <c r="A1962">
        <v>31961</v>
      </c>
      <c r="B1962">
        <v>384</v>
      </c>
      <c r="C1962" s="2">
        <v>45450</v>
      </c>
      <c r="D1962" s="2" t="str">
        <f>TEXT(Table5[[#This Row],[bill_date]],"mmmm")</f>
        <v>June</v>
      </c>
      <c r="E1962" s="9">
        <f>YEAR(Table5[[#This Row],[bill_date]])</f>
        <v>2024</v>
      </c>
      <c r="F1962">
        <v>1244</v>
      </c>
      <c r="G1962" t="s">
        <v>30</v>
      </c>
    </row>
    <row r="1963" spans="1:7" x14ac:dyDescent="0.3">
      <c r="A1963">
        <v>31962</v>
      </c>
      <c r="B1963">
        <v>444</v>
      </c>
      <c r="C1963" s="2">
        <v>45286</v>
      </c>
      <c r="D1963" s="2" t="str">
        <f>TEXT(Table5[[#This Row],[bill_date]],"mmmm")</f>
        <v>December</v>
      </c>
      <c r="E1963" s="9">
        <f>YEAR(Table5[[#This Row],[bill_date]])</f>
        <v>2023</v>
      </c>
      <c r="F1963">
        <v>1497</v>
      </c>
      <c r="G1963" t="s">
        <v>30</v>
      </c>
    </row>
    <row r="1964" spans="1:7" x14ac:dyDescent="0.3">
      <c r="A1964">
        <v>31963</v>
      </c>
      <c r="B1964">
        <v>87</v>
      </c>
      <c r="C1964" s="2">
        <v>45091</v>
      </c>
      <c r="D1964" s="2" t="str">
        <f>TEXT(Table5[[#This Row],[bill_date]],"mmmm")</f>
        <v>June</v>
      </c>
      <c r="E1964" s="9">
        <f>YEAR(Table5[[#This Row],[bill_date]])</f>
        <v>2023</v>
      </c>
      <c r="F1964">
        <v>1335</v>
      </c>
      <c r="G1964" t="s">
        <v>30</v>
      </c>
    </row>
    <row r="1965" spans="1:7" x14ac:dyDescent="0.3">
      <c r="A1965">
        <v>31964</v>
      </c>
      <c r="B1965">
        <v>464</v>
      </c>
      <c r="C1965" s="2">
        <v>45207</v>
      </c>
      <c r="D1965" s="2" t="str">
        <f>TEXT(Table5[[#This Row],[bill_date]],"mmmm")</f>
        <v>October</v>
      </c>
      <c r="E1965" s="9">
        <f>YEAR(Table5[[#This Row],[bill_date]])</f>
        <v>2023</v>
      </c>
      <c r="F1965">
        <v>1096</v>
      </c>
      <c r="G1965" t="s">
        <v>30</v>
      </c>
    </row>
    <row r="1966" spans="1:7" x14ac:dyDescent="0.3">
      <c r="A1966">
        <v>31965</v>
      </c>
      <c r="B1966">
        <v>498</v>
      </c>
      <c r="C1966" s="2">
        <v>45364</v>
      </c>
      <c r="D1966" s="2" t="str">
        <f>TEXT(Table5[[#This Row],[bill_date]],"mmmm")</f>
        <v>March</v>
      </c>
      <c r="E1966" s="9">
        <f>YEAR(Table5[[#This Row],[bill_date]])</f>
        <v>2024</v>
      </c>
      <c r="F1966">
        <v>1937</v>
      </c>
      <c r="G1966" t="s">
        <v>30</v>
      </c>
    </row>
    <row r="1967" spans="1:7" x14ac:dyDescent="0.3">
      <c r="A1967">
        <v>31966</v>
      </c>
      <c r="B1967">
        <v>330</v>
      </c>
      <c r="C1967" s="2">
        <v>45087</v>
      </c>
      <c r="D1967" s="2" t="str">
        <f>TEXT(Table5[[#This Row],[bill_date]],"mmmm")</f>
        <v>June</v>
      </c>
      <c r="E1967" s="9">
        <f>YEAR(Table5[[#This Row],[bill_date]])</f>
        <v>2023</v>
      </c>
      <c r="F1967">
        <v>1767</v>
      </c>
      <c r="G1967" t="s">
        <v>30</v>
      </c>
    </row>
    <row r="1968" spans="1:7" x14ac:dyDescent="0.3">
      <c r="A1968">
        <v>31967</v>
      </c>
      <c r="B1968">
        <v>349</v>
      </c>
      <c r="C1968" s="2">
        <v>44625</v>
      </c>
      <c r="D1968" s="2" t="str">
        <f>TEXT(Table5[[#This Row],[bill_date]],"mmmm")</f>
        <v>March</v>
      </c>
      <c r="E1968" s="9">
        <f>YEAR(Table5[[#This Row],[bill_date]])</f>
        <v>2022</v>
      </c>
      <c r="F1968">
        <v>1167</v>
      </c>
      <c r="G1968" t="s">
        <v>30</v>
      </c>
    </row>
    <row r="1969" spans="1:7" x14ac:dyDescent="0.3">
      <c r="A1969">
        <v>31968</v>
      </c>
      <c r="B1969">
        <v>500</v>
      </c>
      <c r="C1969" s="2">
        <v>44954</v>
      </c>
      <c r="D1969" s="2" t="str">
        <f>TEXT(Table5[[#This Row],[bill_date]],"mmmm")</f>
        <v>January</v>
      </c>
      <c r="E1969" s="9">
        <f>YEAR(Table5[[#This Row],[bill_date]])</f>
        <v>2023</v>
      </c>
      <c r="F1969">
        <v>1153</v>
      </c>
      <c r="G1969" t="s">
        <v>30</v>
      </c>
    </row>
    <row r="1970" spans="1:7" x14ac:dyDescent="0.3">
      <c r="A1970">
        <v>31969</v>
      </c>
      <c r="B1970">
        <v>155</v>
      </c>
      <c r="C1970" s="2">
        <v>45236</v>
      </c>
      <c r="D1970" s="2" t="str">
        <f>TEXT(Table5[[#This Row],[bill_date]],"mmmm")</f>
        <v>November</v>
      </c>
      <c r="E1970" s="9">
        <f>YEAR(Table5[[#This Row],[bill_date]])</f>
        <v>2023</v>
      </c>
      <c r="F1970">
        <v>1311</v>
      </c>
      <c r="G1970" t="s">
        <v>30</v>
      </c>
    </row>
    <row r="1971" spans="1:7" x14ac:dyDescent="0.3">
      <c r="A1971">
        <v>31970</v>
      </c>
      <c r="B1971">
        <v>355</v>
      </c>
      <c r="C1971" s="2">
        <v>45331</v>
      </c>
      <c r="D1971" s="2" t="str">
        <f>TEXT(Table5[[#This Row],[bill_date]],"mmmm")</f>
        <v>February</v>
      </c>
      <c r="E1971" s="9">
        <f>YEAR(Table5[[#This Row],[bill_date]])</f>
        <v>2024</v>
      </c>
      <c r="F1971">
        <v>844</v>
      </c>
      <c r="G1971" t="s">
        <v>30</v>
      </c>
    </row>
    <row r="1972" spans="1:7" x14ac:dyDescent="0.3">
      <c r="A1972">
        <v>31971</v>
      </c>
      <c r="B1972">
        <v>490</v>
      </c>
      <c r="C1972" s="2">
        <v>45060</v>
      </c>
      <c r="D1972" s="2" t="str">
        <f>TEXT(Table5[[#This Row],[bill_date]],"mmmm")</f>
        <v>May</v>
      </c>
      <c r="E1972" s="9">
        <f>YEAR(Table5[[#This Row],[bill_date]])</f>
        <v>2023</v>
      </c>
      <c r="F1972">
        <v>209</v>
      </c>
      <c r="G1972" t="s">
        <v>30</v>
      </c>
    </row>
    <row r="1973" spans="1:7" x14ac:dyDescent="0.3">
      <c r="A1973">
        <v>31972</v>
      </c>
      <c r="B1973">
        <v>493</v>
      </c>
      <c r="C1973" s="2">
        <v>45079</v>
      </c>
      <c r="D1973" s="2" t="str">
        <f>TEXT(Table5[[#This Row],[bill_date]],"mmmm")</f>
        <v>June</v>
      </c>
      <c r="E1973" s="9">
        <f>YEAR(Table5[[#This Row],[bill_date]])</f>
        <v>2023</v>
      </c>
      <c r="F1973">
        <v>1249</v>
      </c>
      <c r="G1973" t="s">
        <v>30</v>
      </c>
    </row>
    <row r="1974" spans="1:7" x14ac:dyDescent="0.3">
      <c r="A1974">
        <v>31973</v>
      </c>
      <c r="B1974">
        <v>280</v>
      </c>
      <c r="C1974" s="2">
        <v>44916</v>
      </c>
      <c r="D1974" s="2" t="str">
        <f>TEXT(Table5[[#This Row],[bill_date]],"mmmm")</f>
        <v>December</v>
      </c>
      <c r="E1974" s="9">
        <f>YEAR(Table5[[#This Row],[bill_date]])</f>
        <v>2022</v>
      </c>
      <c r="F1974">
        <v>654</v>
      </c>
      <c r="G1974" t="s">
        <v>30</v>
      </c>
    </row>
    <row r="1975" spans="1:7" x14ac:dyDescent="0.3">
      <c r="A1975">
        <v>31974</v>
      </c>
      <c r="B1975">
        <v>343</v>
      </c>
      <c r="C1975" s="2">
        <v>45194</v>
      </c>
      <c r="D1975" s="2" t="str">
        <f>TEXT(Table5[[#This Row],[bill_date]],"mmmm")</f>
        <v>September</v>
      </c>
      <c r="E1975" s="9">
        <f>YEAR(Table5[[#This Row],[bill_date]])</f>
        <v>2023</v>
      </c>
      <c r="F1975">
        <v>1253</v>
      </c>
      <c r="G1975" t="s">
        <v>30</v>
      </c>
    </row>
    <row r="1976" spans="1:7" x14ac:dyDescent="0.3">
      <c r="A1976">
        <v>31975</v>
      </c>
      <c r="B1976">
        <v>323</v>
      </c>
      <c r="C1976" s="2">
        <v>44714</v>
      </c>
      <c r="D1976" s="2" t="str">
        <f>TEXT(Table5[[#This Row],[bill_date]],"mmmm")</f>
        <v>June</v>
      </c>
      <c r="E1976" s="9">
        <f>YEAR(Table5[[#This Row],[bill_date]])</f>
        <v>2022</v>
      </c>
      <c r="F1976">
        <v>801</v>
      </c>
      <c r="G1976" t="s">
        <v>30</v>
      </c>
    </row>
    <row r="1977" spans="1:7" x14ac:dyDescent="0.3">
      <c r="A1977">
        <v>31976</v>
      </c>
      <c r="B1977">
        <v>164</v>
      </c>
      <c r="C1977" s="2">
        <v>44890</v>
      </c>
      <c r="D1977" s="2" t="str">
        <f>TEXT(Table5[[#This Row],[bill_date]],"mmmm")</f>
        <v>November</v>
      </c>
      <c r="E1977" s="9">
        <f>YEAR(Table5[[#This Row],[bill_date]])</f>
        <v>2022</v>
      </c>
      <c r="F1977">
        <v>1669</v>
      </c>
      <c r="G1977" t="s">
        <v>30</v>
      </c>
    </row>
    <row r="1978" spans="1:7" x14ac:dyDescent="0.3">
      <c r="A1978">
        <v>31977</v>
      </c>
      <c r="B1978">
        <v>493</v>
      </c>
      <c r="C1978" s="2">
        <v>45251</v>
      </c>
      <c r="D1978" s="2" t="str">
        <f>TEXT(Table5[[#This Row],[bill_date]],"mmmm")</f>
        <v>November</v>
      </c>
      <c r="E1978" s="9">
        <f>YEAR(Table5[[#This Row],[bill_date]])</f>
        <v>2023</v>
      </c>
      <c r="F1978">
        <v>1650</v>
      </c>
      <c r="G1978" t="s">
        <v>30</v>
      </c>
    </row>
    <row r="1979" spans="1:7" x14ac:dyDescent="0.3">
      <c r="A1979">
        <v>31978</v>
      </c>
      <c r="B1979">
        <v>398</v>
      </c>
      <c r="C1979" s="2">
        <v>45040</v>
      </c>
      <c r="D1979" s="2" t="str">
        <f>TEXT(Table5[[#This Row],[bill_date]],"mmmm")</f>
        <v>April</v>
      </c>
      <c r="E1979" s="9">
        <f>YEAR(Table5[[#This Row],[bill_date]])</f>
        <v>2023</v>
      </c>
      <c r="F1979">
        <v>1903</v>
      </c>
      <c r="G1979" t="s">
        <v>28</v>
      </c>
    </row>
    <row r="1980" spans="1:7" x14ac:dyDescent="0.3">
      <c r="A1980">
        <v>31979</v>
      </c>
      <c r="B1980">
        <v>68</v>
      </c>
      <c r="C1980" s="2">
        <v>44952</v>
      </c>
      <c r="D1980" s="2" t="str">
        <f>TEXT(Table5[[#This Row],[bill_date]],"mmmm")</f>
        <v>January</v>
      </c>
      <c r="E1980" s="9">
        <f>YEAR(Table5[[#This Row],[bill_date]])</f>
        <v>2023</v>
      </c>
      <c r="F1980">
        <v>1781</v>
      </c>
      <c r="G1980" t="s">
        <v>30</v>
      </c>
    </row>
    <row r="1981" spans="1:7" x14ac:dyDescent="0.3">
      <c r="A1981">
        <v>31980</v>
      </c>
      <c r="B1981">
        <v>428</v>
      </c>
      <c r="C1981" s="2">
        <v>45136</v>
      </c>
      <c r="D1981" s="2" t="str">
        <f>TEXT(Table5[[#This Row],[bill_date]],"mmmm")</f>
        <v>July</v>
      </c>
      <c r="E1981" s="9">
        <f>YEAR(Table5[[#This Row],[bill_date]])</f>
        <v>2023</v>
      </c>
      <c r="F1981">
        <v>1163</v>
      </c>
      <c r="G1981" t="s">
        <v>30</v>
      </c>
    </row>
    <row r="1982" spans="1:7" x14ac:dyDescent="0.3">
      <c r="A1982">
        <v>31981</v>
      </c>
      <c r="B1982">
        <v>432</v>
      </c>
      <c r="C1982" s="2">
        <v>44973</v>
      </c>
      <c r="D1982" s="2" t="str">
        <f>TEXT(Table5[[#This Row],[bill_date]],"mmmm")</f>
        <v>February</v>
      </c>
      <c r="E1982" s="9">
        <f>YEAR(Table5[[#This Row],[bill_date]])</f>
        <v>2023</v>
      </c>
      <c r="F1982">
        <v>789</v>
      </c>
      <c r="G1982" t="s">
        <v>30</v>
      </c>
    </row>
    <row r="1983" spans="1:7" x14ac:dyDescent="0.3">
      <c r="A1983">
        <v>31982</v>
      </c>
      <c r="B1983">
        <v>362</v>
      </c>
      <c r="C1983" s="2">
        <v>44819</v>
      </c>
      <c r="D1983" s="2" t="str">
        <f>TEXT(Table5[[#This Row],[bill_date]],"mmmm")</f>
        <v>September</v>
      </c>
      <c r="E1983" s="9">
        <f>YEAR(Table5[[#This Row],[bill_date]])</f>
        <v>2022</v>
      </c>
      <c r="F1983">
        <v>712</v>
      </c>
      <c r="G1983" t="s">
        <v>30</v>
      </c>
    </row>
    <row r="1984" spans="1:7" x14ac:dyDescent="0.3">
      <c r="A1984">
        <v>31983</v>
      </c>
      <c r="B1984">
        <v>375</v>
      </c>
      <c r="C1984" s="2">
        <v>45138</v>
      </c>
      <c r="D1984" s="2" t="str">
        <f>TEXT(Table5[[#This Row],[bill_date]],"mmmm")</f>
        <v>July</v>
      </c>
      <c r="E1984" s="9">
        <f>YEAR(Table5[[#This Row],[bill_date]])</f>
        <v>2023</v>
      </c>
      <c r="F1984">
        <v>597</v>
      </c>
      <c r="G1984" t="s">
        <v>30</v>
      </c>
    </row>
    <row r="1985" spans="1:7" x14ac:dyDescent="0.3">
      <c r="A1985">
        <v>31984</v>
      </c>
      <c r="B1985">
        <v>288</v>
      </c>
      <c r="C1985" s="2">
        <v>45430</v>
      </c>
      <c r="D1985" s="2" t="str">
        <f>TEXT(Table5[[#This Row],[bill_date]],"mmmm")</f>
        <v>May</v>
      </c>
      <c r="E1985" s="9">
        <f>YEAR(Table5[[#This Row],[bill_date]])</f>
        <v>2024</v>
      </c>
      <c r="F1985">
        <v>1754</v>
      </c>
      <c r="G1985" t="s">
        <v>30</v>
      </c>
    </row>
    <row r="1986" spans="1:7" x14ac:dyDescent="0.3">
      <c r="A1986">
        <v>31985</v>
      </c>
      <c r="B1986">
        <v>212</v>
      </c>
      <c r="C1986" s="2">
        <v>45068</v>
      </c>
      <c r="D1986" s="2" t="str">
        <f>TEXT(Table5[[#This Row],[bill_date]],"mmmm")</f>
        <v>May</v>
      </c>
      <c r="E1986" s="9">
        <f>YEAR(Table5[[#This Row],[bill_date]])</f>
        <v>2023</v>
      </c>
      <c r="F1986">
        <v>585</v>
      </c>
      <c r="G1986" t="s">
        <v>30</v>
      </c>
    </row>
    <row r="1987" spans="1:7" x14ac:dyDescent="0.3">
      <c r="A1987">
        <v>31986</v>
      </c>
      <c r="B1987">
        <v>120</v>
      </c>
      <c r="C1987" s="2">
        <v>45260</v>
      </c>
      <c r="D1987" s="2" t="str">
        <f>TEXT(Table5[[#This Row],[bill_date]],"mmmm")</f>
        <v>November</v>
      </c>
      <c r="E1987" s="9">
        <f>YEAR(Table5[[#This Row],[bill_date]])</f>
        <v>2023</v>
      </c>
      <c r="F1987">
        <v>816</v>
      </c>
      <c r="G1987" t="s">
        <v>30</v>
      </c>
    </row>
    <row r="1988" spans="1:7" x14ac:dyDescent="0.3">
      <c r="A1988">
        <v>31987</v>
      </c>
      <c r="B1988">
        <v>401</v>
      </c>
      <c r="C1988" s="2">
        <v>45300</v>
      </c>
      <c r="D1988" s="2" t="str">
        <f>TEXT(Table5[[#This Row],[bill_date]],"mmmm")</f>
        <v>January</v>
      </c>
      <c r="E1988" s="9">
        <f>YEAR(Table5[[#This Row],[bill_date]])</f>
        <v>2024</v>
      </c>
      <c r="F1988">
        <v>1552</v>
      </c>
      <c r="G1988" t="s">
        <v>30</v>
      </c>
    </row>
    <row r="1989" spans="1:7" x14ac:dyDescent="0.3">
      <c r="A1989">
        <v>31988</v>
      </c>
      <c r="B1989">
        <v>477</v>
      </c>
      <c r="C1989" s="2">
        <v>45272</v>
      </c>
      <c r="D1989" s="2" t="str">
        <f>TEXT(Table5[[#This Row],[bill_date]],"mmmm")</f>
        <v>December</v>
      </c>
      <c r="E1989" s="9">
        <f>YEAR(Table5[[#This Row],[bill_date]])</f>
        <v>2023</v>
      </c>
      <c r="F1989">
        <v>1824</v>
      </c>
      <c r="G1989" t="s">
        <v>28</v>
      </c>
    </row>
    <row r="1990" spans="1:7" x14ac:dyDescent="0.3">
      <c r="A1990">
        <v>31989</v>
      </c>
      <c r="B1990">
        <v>185</v>
      </c>
      <c r="C1990" s="2">
        <v>44855</v>
      </c>
      <c r="D1990" s="2" t="str">
        <f>TEXT(Table5[[#This Row],[bill_date]],"mmmm")</f>
        <v>October</v>
      </c>
      <c r="E1990" s="9">
        <f>YEAR(Table5[[#This Row],[bill_date]])</f>
        <v>2022</v>
      </c>
      <c r="F1990">
        <v>336</v>
      </c>
      <c r="G1990" t="s">
        <v>28</v>
      </c>
    </row>
    <row r="1991" spans="1:7" x14ac:dyDescent="0.3">
      <c r="A1991">
        <v>31990</v>
      </c>
      <c r="B1991">
        <v>423</v>
      </c>
      <c r="C1991" s="2">
        <v>45324</v>
      </c>
      <c r="D1991" s="2" t="str">
        <f>TEXT(Table5[[#This Row],[bill_date]],"mmmm")</f>
        <v>February</v>
      </c>
      <c r="E1991" s="9">
        <f>YEAR(Table5[[#This Row],[bill_date]])</f>
        <v>2024</v>
      </c>
      <c r="F1991">
        <v>1902</v>
      </c>
      <c r="G1991" t="s">
        <v>30</v>
      </c>
    </row>
    <row r="1992" spans="1:7" x14ac:dyDescent="0.3">
      <c r="A1992">
        <v>31991</v>
      </c>
      <c r="B1992">
        <v>416</v>
      </c>
      <c r="C1992" s="2">
        <v>45038</v>
      </c>
      <c r="D1992" s="2" t="str">
        <f>TEXT(Table5[[#This Row],[bill_date]],"mmmm")</f>
        <v>April</v>
      </c>
      <c r="E1992" s="9">
        <f>YEAR(Table5[[#This Row],[bill_date]])</f>
        <v>2023</v>
      </c>
      <c r="F1992">
        <v>851</v>
      </c>
      <c r="G1992" t="s">
        <v>30</v>
      </c>
    </row>
    <row r="1993" spans="1:7" x14ac:dyDescent="0.3">
      <c r="A1993">
        <v>31992</v>
      </c>
      <c r="B1993">
        <v>452</v>
      </c>
      <c r="C1993" s="2">
        <v>45391</v>
      </c>
      <c r="D1993" s="2" t="str">
        <f>TEXT(Table5[[#This Row],[bill_date]],"mmmm")</f>
        <v>April</v>
      </c>
      <c r="E1993" s="9">
        <f>YEAR(Table5[[#This Row],[bill_date]])</f>
        <v>2024</v>
      </c>
      <c r="F1993">
        <v>1947</v>
      </c>
      <c r="G1993" t="s">
        <v>30</v>
      </c>
    </row>
    <row r="1994" spans="1:7" x14ac:dyDescent="0.3">
      <c r="A1994">
        <v>31993</v>
      </c>
      <c r="B1994">
        <v>216</v>
      </c>
      <c r="C1994" s="2">
        <v>45266</v>
      </c>
      <c r="D1994" s="2" t="str">
        <f>TEXT(Table5[[#This Row],[bill_date]],"mmmm")</f>
        <v>December</v>
      </c>
      <c r="E1994" s="9">
        <f>YEAR(Table5[[#This Row],[bill_date]])</f>
        <v>2023</v>
      </c>
      <c r="F1994">
        <v>680</v>
      </c>
      <c r="G1994" t="s">
        <v>30</v>
      </c>
    </row>
    <row r="1995" spans="1:7" x14ac:dyDescent="0.3">
      <c r="A1995">
        <v>31994</v>
      </c>
      <c r="B1995">
        <v>492</v>
      </c>
      <c r="C1995" s="2">
        <v>45069</v>
      </c>
      <c r="D1995" s="2" t="str">
        <f>TEXT(Table5[[#This Row],[bill_date]],"mmmm")</f>
        <v>May</v>
      </c>
      <c r="E1995" s="9">
        <f>YEAR(Table5[[#This Row],[bill_date]])</f>
        <v>2023</v>
      </c>
      <c r="F1995">
        <v>498</v>
      </c>
      <c r="G1995" t="s">
        <v>30</v>
      </c>
    </row>
    <row r="1996" spans="1:7" x14ac:dyDescent="0.3">
      <c r="A1996">
        <v>31995</v>
      </c>
      <c r="B1996">
        <v>490</v>
      </c>
      <c r="C1996" s="2">
        <v>44680</v>
      </c>
      <c r="D1996" s="2" t="str">
        <f>TEXT(Table5[[#This Row],[bill_date]],"mmmm")</f>
        <v>April</v>
      </c>
      <c r="E1996" s="9">
        <f>YEAR(Table5[[#This Row],[bill_date]])</f>
        <v>2022</v>
      </c>
      <c r="F1996">
        <v>230</v>
      </c>
      <c r="G1996" t="s">
        <v>30</v>
      </c>
    </row>
    <row r="1997" spans="1:7" x14ac:dyDescent="0.3">
      <c r="A1997">
        <v>31996</v>
      </c>
      <c r="B1997">
        <v>130</v>
      </c>
      <c r="C1997" s="2">
        <v>45252</v>
      </c>
      <c r="D1997" s="2" t="str">
        <f>TEXT(Table5[[#This Row],[bill_date]],"mmmm")</f>
        <v>November</v>
      </c>
      <c r="E1997" s="9">
        <f>YEAR(Table5[[#This Row],[bill_date]])</f>
        <v>2023</v>
      </c>
      <c r="F1997">
        <v>655</v>
      </c>
      <c r="G1997" t="s">
        <v>28</v>
      </c>
    </row>
    <row r="1998" spans="1:7" x14ac:dyDescent="0.3">
      <c r="A1998">
        <v>31997</v>
      </c>
      <c r="B1998">
        <v>78</v>
      </c>
      <c r="C1998" s="2">
        <v>45039</v>
      </c>
      <c r="D1998" s="2" t="str">
        <f>TEXT(Table5[[#This Row],[bill_date]],"mmmm")</f>
        <v>April</v>
      </c>
      <c r="E1998" s="9">
        <f>YEAR(Table5[[#This Row],[bill_date]])</f>
        <v>2023</v>
      </c>
      <c r="F1998">
        <v>740</v>
      </c>
      <c r="G1998" t="s">
        <v>30</v>
      </c>
    </row>
    <row r="1999" spans="1:7" x14ac:dyDescent="0.3">
      <c r="A1999">
        <v>31998</v>
      </c>
      <c r="B1999">
        <v>488</v>
      </c>
      <c r="C1999" s="2">
        <v>45125</v>
      </c>
      <c r="D1999" s="2" t="str">
        <f>TEXT(Table5[[#This Row],[bill_date]],"mmmm")</f>
        <v>July</v>
      </c>
      <c r="E1999" s="9">
        <f>YEAR(Table5[[#This Row],[bill_date]])</f>
        <v>2023</v>
      </c>
      <c r="F1999">
        <v>1607</v>
      </c>
      <c r="G1999" t="s">
        <v>30</v>
      </c>
    </row>
    <row r="2000" spans="1:7" x14ac:dyDescent="0.3">
      <c r="A2000">
        <v>31999</v>
      </c>
      <c r="B2000">
        <v>170</v>
      </c>
      <c r="C2000" s="2">
        <v>45183</v>
      </c>
      <c r="D2000" s="2" t="str">
        <f>TEXT(Table5[[#This Row],[bill_date]],"mmmm")</f>
        <v>September</v>
      </c>
      <c r="E2000" s="9">
        <f>YEAR(Table5[[#This Row],[bill_date]])</f>
        <v>2023</v>
      </c>
      <c r="F2000">
        <v>1554</v>
      </c>
      <c r="G2000" t="s">
        <v>30</v>
      </c>
    </row>
    <row r="2001" spans="1:7" x14ac:dyDescent="0.3">
      <c r="A2001">
        <v>32000</v>
      </c>
      <c r="B2001">
        <v>38</v>
      </c>
      <c r="C2001" s="2">
        <v>45297</v>
      </c>
      <c r="D2001" s="2" t="str">
        <f>TEXT(Table5[[#This Row],[bill_date]],"mmmm")</f>
        <v>January</v>
      </c>
      <c r="E2001" s="9">
        <f>YEAR(Table5[[#This Row],[bill_date]])</f>
        <v>2024</v>
      </c>
      <c r="F2001">
        <v>242</v>
      </c>
      <c r="G2001" t="s">
        <v>30</v>
      </c>
    </row>
    <row r="2002" spans="1:7" x14ac:dyDescent="0.3">
      <c r="A2002">
        <v>32001</v>
      </c>
      <c r="B2002">
        <v>55</v>
      </c>
      <c r="C2002" s="2">
        <v>45403</v>
      </c>
      <c r="D2002" s="2" t="str">
        <f>TEXT(Table5[[#This Row],[bill_date]],"mmmm")</f>
        <v>April</v>
      </c>
      <c r="E2002" s="9">
        <f>YEAR(Table5[[#This Row],[bill_date]])</f>
        <v>2024</v>
      </c>
      <c r="F2002">
        <v>745</v>
      </c>
      <c r="G2002" t="s">
        <v>30</v>
      </c>
    </row>
    <row r="2003" spans="1:7" x14ac:dyDescent="0.3">
      <c r="A2003">
        <v>32002</v>
      </c>
      <c r="B2003">
        <v>439</v>
      </c>
      <c r="C2003" s="2">
        <v>45171</v>
      </c>
      <c r="D2003" s="2" t="str">
        <f>TEXT(Table5[[#This Row],[bill_date]],"mmmm")</f>
        <v>September</v>
      </c>
      <c r="E2003" s="9">
        <f>YEAR(Table5[[#This Row],[bill_date]])</f>
        <v>2023</v>
      </c>
      <c r="F2003">
        <v>1182</v>
      </c>
      <c r="G2003" t="s">
        <v>30</v>
      </c>
    </row>
    <row r="2004" spans="1:7" x14ac:dyDescent="0.3">
      <c r="A2004">
        <v>32003</v>
      </c>
      <c r="B2004">
        <v>290</v>
      </c>
      <c r="C2004" s="2">
        <v>44880</v>
      </c>
      <c r="D2004" s="2" t="str">
        <f>TEXT(Table5[[#This Row],[bill_date]],"mmmm")</f>
        <v>November</v>
      </c>
      <c r="E2004" s="9">
        <f>YEAR(Table5[[#This Row],[bill_date]])</f>
        <v>2022</v>
      </c>
      <c r="F2004">
        <v>622</v>
      </c>
      <c r="G2004" t="s">
        <v>30</v>
      </c>
    </row>
    <row r="2005" spans="1:7" x14ac:dyDescent="0.3">
      <c r="A2005">
        <v>32004</v>
      </c>
      <c r="B2005">
        <v>46</v>
      </c>
      <c r="C2005" s="2">
        <v>44956</v>
      </c>
      <c r="D2005" s="2" t="str">
        <f>TEXT(Table5[[#This Row],[bill_date]],"mmmm")</f>
        <v>January</v>
      </c>
      <c r="E2005" s="9">
        <f>YEAR(Table5[[#This Row],[bill_date]])</f>
        <v>2023</v>
      </c>
      <c r="F2005">
        <v>243</v>
      </c>
      <c r="G2005" t="s">
        <v>28</v>
      </c>
    </row>
    <row r="2006" spans="1:7" x14ac:dyDescent="0.3">
      <c r="A2006">
        <v>32005</v>
      </c>
      <c r="B2006">
        <v>171</v>
      </c>
      <c r="C2006" s="2">
        <v>44609</v>
      </c>
      <c r="D2006" s="2" t="str">
        <f>TEXT(Table5[[#This Row],[bill_date]],"mmmm")</f>
        <v>February</v>
      </c>
      <c r="E2006" s="9">
        <f>YEAR(Table5[[#This Row],[bill_date]])</f>
        <v>2022</v>
      </c>
      <c r="F2006">
        <v>578</v>
      </c>
      <c r="G2006" t="s">
        <v>30</v>
      </c>
    </row>
    <row r="2007" spans="1:7" x14ac:dyDescent="0.3">
      <c r="A2007">
        <v>32006</v>
      </c>
      <c r="B2007">
        <v>130</v>
      </c>
      <c r="C2007" s="2">
        <v>45174</v>
      </c>
      <c r="D2007" s="2" t="str">
        <f>TEXT(Table5[[#This Row],[bill_date]],"mmmm")</f>
        <v>September</v>
      </c>
      <c r="E2007" s="9">
        <f>YEAR(Table5[[#This Row],[bill_date]])</f>
        <v>2023</v>
      </c>
      <c r="F2007">
        <v>695</v>
      </c>
      <c r="G2007" t="s">
        <v>30</v>
      </c>
    </row>
    <row r="2008" spans="1:7" x14ac:dyDescent="0.3">
      <c r="A2008">
        <v>32007</v>
      </c>
      <c r="B2008">
        <v>164</v>
      </c>
      <c r="C2008" s="2">
        <v>44999</v>
      </c>
      <c r="D2008" s="2" t="str">
        <f>TEXT(Table5[[#This Row],[bill_date]],"mmmm")</f>
        <v>March</v>
      </c>
      <c r="E2008" s="9">
        <f>YEAR(Table5[[#This Row],[bill_date]])</f>
        <v>2023</v>
      </c>
      <c r="F2008">
        <v>1082</v>
      </c>
      <c r="G2008" t="s">
        <v>28</v>
      </c>
    </row>
    <row r="2009" spans="1:7" x14ac:dyDescent="0.3">
      <c r="A2009">
        <v>32008</v>
      </c>
      <c r="B2009">
        <v>70</v>
      </c>
      <c r="C2009" s="2">
        <v>45036</v>
      </c>
      <c r="D2009" s="2" t="str">
        <f>TEXT(Table5[[#This Row],[bill_date]],"mmmm")</f>
        <v>April</v>
      </c>
      <c r="E2009" s="9">
        <f>YEAR(Table5[[#This Row],[bill_date]])</f>
        <v>2023</v>
      </c>
      <c r="F2009">
        <v>1157</v>
      </c>
      <c r="G2009" t="s">
        <v>30</v>
      </c>
    </row>
    <row r="2010" spans="1:7" x14ac:dyDescent="0.3">
      <c r="A2010">
        <v>32009</v>
      </c>
      <c r="B2010">
        <v>292</v>
      </c>
      <c r="C2010" s="2">
        <v>45313</v>
      </c>
      <c r="D2010" s="2" t="str">
        <f>TEXT(Table5[[#This Row],[bill_date]],"mmmm")</f>
        <v>January</v>
      </c>
      <c r="E2010" s="9">
        <f>YEAR(Table5[[#This Row],[bill_date]])</f>
        <v>2024</v>
      </c>
      <c r="F2010">
        <v>336</v>
      </c>
      <c r="G2010" t="s">
        <v>30</v>
      </c>
    </row>
    <row r="2011" spans="1:7" x14ac:dyDescent="0.3">
      <c r="A2011">
        <v>32010</v>
      </c>
      <c r="B2011">
        <v>406</v>
      </c>
      <c r="C2011" s="2">
        <v>45147</v>
      </c>
      <c r="D2011" s="2" t="str">
        <f>TEXT(Table5[[#This Row],[bill_date]],"mmmm")</f>
        <v>August</v>
      </c>
      <c r="E2011" s="9">
        <f>YEAR(Table5[[#This Row],[bill_date]])</f>
        <v>2023</v>
      </c>
      <c r="F2011">
        <v>1781</v>
      </c>
      <c r="G2011" t="s">
        <v>30</v>
      </c>
    </row>
    <row r="2012" spans="1:7" x14ac:dyDescent="0.3">
      <c r="A2012">
        <v>32011</v>
      </c>
      <c r="B2012">
        <v>69</v>
      </c>
      <c r="C2012" s="2">
        <v>45111</v>
      </c>
      <c r="D2012" s="2" t="str">
        <f>TEXT(Table5[[#This Row],[bill_date]],"mmmm")</f>
        <v>July</v>
      </c>
      <c r="E2012" s="9">
        <f>YEAR(Table5[[#This Row],[bill_date]])</f>
        <v>2023</v>
      </c>
      <c r="F2012">
        <v>606</v>
      </c>
      <c r="G2012" t="s">
        <v>30</v>
      </c>
    </row>
    <row r="2013" spans="1:7" x14ac:dyDescent="0.3">
      <c r="A2013">
        <v>32012</v>
      </c>
      <c r="B2013">
        <v>422</v>
      </c>
      <c r="C2013" s="2">
        <v>45289</v>
      </c>
      <c r="D2013" s="2" t="str">
        <f>TEXT(Table5[[#This Row],[bill_date]],"mmmm")</f>
        <v>December</v>
      </c>
      <c r="E2013" s="9">
        <f>YEAR(Table5[[#This Row],[bill_date]])</f>
        <v>2023</v>
      </c>
      <c r="F2013">
        <v>383</v>
      </c>
      <c r="G2013" t="s">
        <v>30</v>
      </c>
    </row>
    <row r="2014" spans="1:7" x14ac:dyDescent="0.3">
      <c r="A2014">
        <v>32013</v>
      </c>
      <c r="B2014">
        <v>105</v>
      </c>
      <c r="C2014" s="2">
        <v>44697</v>
      </c>
      <c r="D2014" s="2" t="str">
        <f>TEXT(Table5[[#This Row],[bill_date]],"mmmm")</f>
        <v>May</v>
      </c>
      <c r="E2014" s="9">
        <f>YEAR(Table5[[#This Row],[bill_date]])</f>
        <v>2022</v>
      </c>
      <c r="F2014">
        <v>687</v>
      </c>
      <c r="G2014" t="s">
        <v>30</v>
      </c>
    </row>
    <row r="2015" spans="1:7" x14ac:dyDescent="0.3">
      <c r="A2015">
        <v>32014</v>
      </c>
      <c r="B2015">
        <v>54</v>
      </c>
      <c r="C2015" s="2">
        <v>45079</v>
      </c>
      <c r="D2015" s="2" t="str">
        <f>TEXT(Table5[[#This Row],[bill_date]],"mmmm")</f>
        <v>June</v>
      </c>
      <c r="E2015" s="9">
        <f>YEAR(Table5[[#This Row],[bill_date]])</f>
        <v>2023</v>
      </c>
      <c r="F2015">
        <v>216</v>
      </c>
      <c r="G2015" t="s">
        <v>30</v>
      </c>
    </row>
    <row r="2016" spans="1:7" x14ac:dyDescent="0.3">
      <c r="A2016">
        <v>32015</v>
      </c>
      <c r="B2016">
        <v>406</v>
      </c>
      <c r="C2016" s="2">
        <v>45320</v>
      </c>
      <c r="D2016" s="2" t="str">
        <f>TEXT(Table5[[#This Row],[bill_date]],"mmmm")</f>
        <v>January</v>
      </c>
      <c r="E2016" s="9">
        <f>YEAR(Table5[[#This Row],[bill_date]])</f>
        <v>2024</v>
      </c>
      <c r="F2016">
        <v>1919</v>
      </c>
      <c r="G2016" t="s">
        <v>30</v>
      </c>
    </row>
    <row r="2017" spans="1:7" x14ac:dyDescent="0.3">
      <c r="A2017">
        <v>32016</v>
      </c>
      <c r="B2017">
        <v>368</v>
      </c>
      <c r="C2017" s="2">
        <v>44885</v>
      </c>
      <c r="D2017" s="2" t="str">
        <f>TEXT(Table5[[#This Row],[bill_date]],"mmmm")</f>
        <v>November</v>
      </c>
      <c r="E2017" s="9">
        <f>YEAR(Table5[[#This Row],[bill_date]])</f>
        <v>2022</v>
      </c>
      <c r="F2017">
        <v>1294</v>
      </c>
      <c r="G2017" t="s">
        <v>28</v>
      </c>
    </row>
    <row r="2018" spans="1:7" x14ac:dyDescent="0.3">
      <c r="A2018">
        <v>32017</v>
      </c>
      <c r="B2018">
        <v>459</v>
      </c>
      <c r="C2018" s="2">
        <v>44758</v>
      </c>
      <c r="D2018" s="2" t="str">
        <f>TEXT(Table5[[#This Row],[bill_date]],"mmmm")</f>
        <v>July</v>
      </c>
      <c r="E2018" s="9">
        <f>YEAR(Table5[[#This Row],[bill_date]])</f>
        <v>2022</v>
      </c>
      <c r="F2018">
        <v>833</v>
      </c>
      <c r="G2018" t="s">
        <v>28</v>
      </c>
    </row>
    <row r="2019" spans="1:7" x14ac:dyDescent="0.3">
      <c r="A2019">
        <v>32018</v>
      </c>
      <c r="B2019">
        <v>363</v>
      </c>
      <c r="C2019" s="2">
        <v>44672</v>
      </c>
      <c r="D2019" s="2" t="str">
        <f>TEXT(Table5[[#This Row],[bill_date]],"mmmm")</f>
        <v>April</v>
      </c>
      <c r="E2019" s="9">
        <f>YEAR(Table5[[#This Row],[bill_date]])</f>
        <v>2022</v>
      </c>
      <c r="F2019">
        <v>369</v>
      </c>
      <c r="G2019" t="s">
        <v>30</v>
      </c>
    </row>
    <row r="2020" spans="1:7" x14ac:dyDescent="0.3">
      <c r="A2020">
        <v>32019</v>
      </c>
      <c r="B2020">
        <v>248</v>
      </c>
      <c r="C2020" s="2">
        <v>45361</v>
      </c>
      <c r="D2020" s="2" t="str">
        <f>TEXT(Table5[[#This Row],[bill_date]],"mmmm")</f>
        <v>March</v>
      </c>
      <c r="E2020" s="9">
        <f>YEAR(Table5[[#This Row],[bill_date]])</f>
        <v>2024</v>
      </c>
      <c r="F2020">
        <v>1299</v>
      </c>
      <c r="G2020" t="s">
        <v>30</v>
      </c>
    </row>
    <row r="2021" spans="1:7" x14ac:dyDescent="0.3">
      <c r="A2021">
        <v>32020</v>
      </c>
      <c r="B2021">
        <v>415</v>
      </c>
      <c r="C2021" s="2">
        <v>45111</v>
      </c>
      <c r="D2021" s="2" t="str">
        <f>TEXT(Table5[[#This Row],[bill_date]],"mmmm")</f>
        <v>July</v>
      </c>
      <c r="E2021" s="9">
        <f>YEAR(Table5[[#This Row],[bill_date]])</f>
        <v>2023</v>
      </c>
      <c r="F2021">
        <v>598</v>
      </c>
      <c r="G2021" t="s">
        <v>30</v>
      </c>
    </row>
    <row r="2022" spans="1:7" x14ac:dyDescent="0.3">
      <c r="A2022">
        <v>32021</v>
      </c>
      <c r="B2022">
        <v>309</v>
      </c>
      <c r="C2022" s="2">
        <v>44676</v>
      </c>
      <c r="D2022" s="2" t="str">
        <f>TEXT(Table5[[#This Row],[bill_date]],"mmmm")</f>
        <v>April</v>
      </c>
      <c r="E2022" s="9">
        <f>YEAR(Table5[[#This Row],[bill_date]])</f>
        <v>2022</v>
      </c>
      <c r="F2022">
        <v>1108</v>
      </c>
      <c r="G2022" t="s">
        <v>30</v>
      </c>
    </row>
    <row r="2023" spans="1:7" x14ac:dyDescent="0.3">
      <c r="A2023">
        <v>32022</v>
      </c>
      <c r="B2023">
        <v>373</v>
      </c>
      <c r="C2023" s="2">
        <v>45258</v>
      </c>
      <c r="D2023" s="2" t="str">
        <f>TEXT(Table5[[#This Row],[bill_date]],"mmmm")</f>
        <v>November</v>
      </c>
      <c r="E2023" s="9">
        <f>YEAR(Table5[[#This Row],[bill_date]])</f>
        <v>2023</v>
      </c>
      <c r="F2023">
        <v>1743</v>
      </c>
      <c r="G2023" t="s">
        <v>30</v>
      </c>
    </row>
    <row r="2024" spans="1:7" x14ac:dyDescent="0.3">
      <c r="A2024">
        <v>32023</v>
      </c>
      <c r="B2024">
        <v>106</v>
      </c>
      <c r="C2024" s="2">
        <v>45285</v>
      </c>
      <c r="D2024" s="2" t="str">
        <f>TEXT(Table5[[#This Row],[bill_date]],"mmmm")</f>
        <v>December</v>
      </c>
      <c r="E2024" s="9">
        <f>YEAR(Table5[[#This Row],[bill_date]])</f>
        <v>2023</v>
      </c>
      <c r="F2024">
        <v>1423</v>
      </c>
      <c r="G2024" t="s">
        <v>30</v>
      </c>
    </row>
    <row r="2025" spans="1:7" x14ac:dyDescent="0.3">
      <c r="A2025">
        <v>32024</v>
      </c>
      <c r="B2025">
        <v>349</v>
      </c>
      <c r="C2025" s="2">
        <v>45049</v>
      </c>
      <c r="D2025" s="2" t="str">
        <f>TEXT(Table5[[#This Row],[bill_date]],"mmmm")</f>
        <v>May</v>
      </c>
      <c r="E2025" s="9">
        <f>YEAR(Table5[[#This Row],[bill_date]])</f>
        <v>2023</v>
      </c>
      <c r="F2025">
        <v>1977</v>
      </c>
      <c r="G2025" t="s">
        <v>30</v>
      </c>
    </row>
    <row r="2026" spans="1:7" x14ac:dyDescent="0.3">
      <c r="A2026">
        <v>32025</v>
      </c>
      <c r="B2026">
        <v>315</v>
      </c>
      <c r="C2026" s="2">
        <v>44926</v>
      </c>
      <c r="D2026" s="2" t="str">
        <f>TEXT(Table5[[#This Row],[bill_date]],"mmmm")</f>
        <v>December</v>
      </c>
      <c r="E2026" s="9">
        <f>YEAR(Table5[[#This Row],[bill_date]])</f>
        <v>2022</v>
      </c>
      <c r="F2026">
        <v>1803</v>
      </c>
      <c r="G2026" t="s">
        <v>30</v>
      </c>
    </row>
    <row r="2027" spans="1:7" x14ac:dyDescent="0.3">
      <c r="A2027">
        <v>32026</v>
      </c>
      <c r="B2027">
        <v>97</v>
      </c>
      <c r="C2027" s="2">
        <v>45045</v>
      </c>
      <c r="D2027" s="2" t="str">
        <f>TEXT(Table5[[#This Row],[bill_date]],"mmmm")</f>
        <v>April</v>
      </c>
      <c r="E2027" s="9">
        <f>YEAR(Table5[[#This Row],[bill_date]])</f>
        <v>2023</v>
      </c>
      <c r="F2027">
        <v>437</v>
      </c>
      <c r="G2027" t="s">
        <v>30</v>
      </c>
    </row>
    <row r="2028" spans="1:7" x14ac:dyDescent="0.3">
      <c r="A2028">
        <v>32027</v>
      </c>
      <c r="B2028">
        <v>342</v>
      </c>
      <c r="C2028" s="2">
        <v>45328</v>
      </c>
      <c r="D2028" s="2" t="str">
        <f>TEXT(Table5[[#This Row],[bill_date]],"mmmm")</f>
        <v>February</v>
      </c>
      <c r="E2028" s="9">
        <f>YEAR(Table5[[#This Row],[bill_date]])</f>
        <v>2024</v>
      </c>
      <c r="F2028">
        <v>1539</v>
      </c>
      <c r="G2028" t="s">
        <v>30</v>
      </c>
    </row>
    <row r="2029" spans="1:7" x14ac:dyDescent="0.3">
      <c r="A2029">
        <v>32028</v>
      </c>
      <c r="B2029">
        <v>433</v>
      </c>
      <c r="C2029" s="2">
        <v>45393</v>
      </c>
      <c r="D2029" s="2" t="str">
        <f>TEXT(Table5[[#This Row],[bill_date]],"mmmm")</f>
        <v>April</v>
      </c>
      <c r="E2029" s="9">
        <f>YEAR(Table5[[#This Row],[bill_date]])</f>
        <v>2024</v>
      </c>
      <c r="F2029">
        <v>1745</v>
      </c>
      <c r="G2029" t="s">
        <v>30</v>
      </c>
    </row>
    <row r="2030" spans="1:7" x14ac:dyDescent="0.3">
      <c r="A2030">
        <v>32029</v>
      </c>
      <c r="B2030">
        <v>27</v>
      </c>
      <c r="C2030" s="2">
        <v>44871</v>
      </c>
      <c r="D2030" s="2" t="str">
        <f>TEXT(Table5[[#This Row],[bill_date]],"mmmm")</f>
        <v>November</v>
      </c>
      <c r="E2030" s="9">
        <f>YEAR(Table5[[#This Row],[bill_date]])</f>
        <v>2022</v>
      </c>
      <c r="F2030">
        <v>518</v>
      </c>
      <c r="G2030" t="s">
        <v>30</v>
      </c>
    </row>
    <row r="2031" spans="1:7" x14ac:dyDescent="0.3">
      <c r="A2031">
        <v>32030</v>
      </c>
      <c r="B2031">
        <v>72</v>
      </c>
      <c r="C2031" s="2">
        <v>44674</v>
      </c>
      <c r="D2031" s="2" t="str">
        <f>TEXT(Table5[[#This Row],[bill_date]],"mmmm")</f>
        <v>April</v>
      </c>
      <c r="E2031" s="9">
        <f>YEAR(Table5[[#This Row],[bill_date]])</f>
        <v>2022</v>
      </c>
      <c r="F2031">
        <v>1772</v>
      </c>
      <c r="G2031" t="s">
        <v>30</v>
      </c>
    </row>
    <row r="2032" spans="1:7" x14ac:dyDescent="0.3">
      <c r="A2032">
        <v>32031</v>
      </c>
      <c r="B2032">
        <v>378</v>
      </c>
      <c r="C2032" s="2">
        <v>44831</v>
      </c>
      <c r="D2032" s="2" t="str">
        <f>TEXT(Table5[[#This Row],[bill_date]],"mmmm")</f>
        <v>September</v>
      </c>
      <c r="E2032" s="9">
        <f>YEAR(Table5[[#This Row],[bill_date]])</f>
        <v>2022</v>
      </c>
      <c r="F2032">
        <v>720</v>
      </c>
      <c r="G2032" t="s">
        <v>28</v>
      </c>
    </row>
    <row r="2033" spans="1:7" x14ac:dyDescent="0.3">
      <c r="A2033">
        <v>32032</v>
      </c>
      <c r="B2033">
        <v>496</v>
      </c>
      <c r="C2033" s="2">
        <v>44881</v>
      </c>
      <c r="D2033" s="2" t="str">
        <f>TEXT(Table5[[#This Row],[bill_date]],"mmmm")</f>
        <v>November</v>
      </c>
      <c r="E2033" s="9">
        <f>YEAR(Table5[[#This Row],[bill_date]])</f>
        <v>2022</v>
      </c>
      <c r="F2033">
        <v>726</v>
      </c>
      <c r="G2033" t="s">
        <v>30</v>
      </c>
    </row>
    <row r="2034" spans="1:7" x14ac:dyDescent="0.3">
      <c r="A2034">
        <v>32033</v>
      </c>
      <c r="B2034">
        <v>185</v>
      </c>
      <c r="C2034" s="2">
        <v>44736</v>
      </c>
      <c r="D2034" s="2" t="str">
        <f>TEXT(Table5[[#This Row],[bill_date]],"mmmm")</f>
        <v>June</v>
      </c>
      <c r="E2034" s="9">
        <f>YEAR(Table5[[#This Row],[bill_date]])</f>
        <v>2022</v>
      </c>
      <c r="F2034">
        <v>675</v>
      </c>
      <c r="G2034" t="s">
        <v>30</v>
      </c>
    </row>
    <row r="2035" spans="1:7" x14ac:dyDescent="0.3">
      <c r="A2035">
        <v>32034</v>
      </c>
      <c r="B2035">
        <v>134</v>
      </c>
      <c r="C2035" s="2">
        <v>45383</v>
      </c>
      <c r="D2035" s="2" t="str">
        <f>TEXT(Table5[[#This Row],[bill_date]],"mmmm")</f>
        <v>April</v>
      </c>
      <c r="E2035" s="9">
        <f>YEAR(Table5[[#This Row],[bill_date]])</f>
        <v>2024</v>
      </c>
      <c r="F2035">
        <v>1547</v>
      </c>
      <c r="G2035" t="s">
        <v>30</v>
      </c>
    </row>
    <row r="2036" spans="1:7" x14ac:dyDescent="0.3">
      <c r="A2036">
        <v>32035</v>
      </c>
      <c r="B2036">
        <v>174</v>
      </c>
      <c r="C2036" s="2">
        <v>44580</v>
      </c>
      <c r="D2036" s="2" t="str">
        <f>TEXT(Table5[[#This Row],[bill_date]],"mmmm")</f>
        <v>January</v>
      </c>
      <c r="E2036" s="9">
        <f>YEAR(Table5[[#This Row],[bill_date]])</f>
        <v>2022</v>
      </c>
      <c r="F2036">
        <v>1688</v>
      </c>
      <c r="G2036" t="s">
        <v>30</v>
      </c>
    </row>
    <row r="2037" spans="1:7" x14ac:dyDescent="0.3">
      <c r="A2037">
        <v>32036</v>
      </c>
      <c r="B2037">
        <v>281</v>
      </c>
      <c r="C2037" s="2">
        <v>44764</v>
      </c>
      <c r="D2037" s="2" t="str">
        <f>TEXT(Table5[[#This Row],[bill_date]],"mmmm")</f>
        <v>July</v>
      </c>
      <c r="E2037" s="9">
        <f>YEAR(Table5[[#This Row],[bill_date]])</f>
        <v>2022</v>
      </c>
      <c r="F2037">
        <v>1977</v>
      </c>
      <c r="G2037" t="s">
        <v>30</v>
      </c>
    </row>
    <row r="2038" spans="1:7" x14ac:dyDescent="0.3">
      <c r="A2038">
        <v>32037</v>
      </c>
      <c r="B2038">
        <v>98</v>
      </c>
      <c r="C2038" s="2">
        <v>44687</v>
      </c>
      <c r="D2038" s="2" t="str">
        <f>TEXT(Table5[[#This Row],[bill_date]],"mmmm")</f>
        <v>May</v>
      </c>
      <c r="E2038" s="9">
        <f>YEAR(Table5[[#This Row],[bill_date]])</f>
        <v>2022</v>
      </c>
      <c r="F2038">
        <v>957</v>
      </c>
      <c r="G2038" t="s">
        <v>28</v>
      </c>
    </row>
    <row r="2039" spans="1:7" x14ac:dyDescent="0.3">
      <c r="A2039">
        <v>32038</v>
      </c>
      <c r="B2039">
        <v>393</v>
      </c>
      <c r="C2039" s="2">
        <v>45028</v>
      </c>
      <c r="D2039" s="2" t="str">
        <f>TEXT(Table5[[#This Row],[bill_date]],"mmmm")</f>
        <v>April</v>
      </c>
      <c r="E2039" s="9">
        <f>YEAR(Table5[[#This Row],[bill_date]])</f>
        <v>2023</v>
      </c>
      <c r="F2039">
        <v>240</v>
      </c>
      <c r="G2039" t="s">
        <v>30</v>
      </c>
    </row>
    <row r="2040" spans="1:7" x14ac:dyDescent="0.3">
      <c r="A2040">
        <v>32039</v>
      </c>
      <c r="B2040">
        <v>64</v>
      </c>
      <c r="C2040" s="2">
        <v>44815</v>
      </c>
      <c r="D2040" s="2" t="str">
        <f>TEXT(Table5[[#This Row],[bill_date]],"mmmm")</f>
        <v>September</v>
      </c>
      <c r="E2040" s="9">
        <f>YEAR(Table5[[#This Row],[bill_date]])</f>
        <v>2022</v>
      </c>
      <c r="F2040">
        <v>432</v>
      </c>
      <c r="G2040" t="s">
        <v>30</v>
      </c>
    </row>
    <row r="2041" spans="1:7" x14ac:dyDescent="0.3">
      <c r="A2041">
        <v>32040</v>
      </c>
      <c r="B2041">
        <v>484</v>
      </c>
      <c r="C2041" s="2">
        <v>45389</v>
      </c>
      <c r="D2041" s="2" t="str">
        <f>TEXT(Table5[[#This Row],[bill_date]],"mmmm")</f>
        <v>April</v>
      </c>
      <c r="E2041" s="9">
        <f>YEAR(Table5[[#This Row],[bill_date]])</f>
        <v>2024</v>
      </c>
      <c r="F2041">
        <v>754</v>
      </c>
      <c r="G2041" t="s">
        <v>30</v>
      </c>
    </row>
    <row r="2042" spans="1:7" x14ac:dyDescent="0.3">
      <c r="A2042">
        <v>32041</v>
      </c>
      <c r="B2042">
        <v>415</v>
      </c>
      <c r="C2042" s="2">
        <v>45328</v>
      </c>
      <c r="D2042" s="2" t="str">
        <f>TEXT(Table5[[#This Row],[bill_date]],"mmmm")</f>
        <v>February</v>
      </c>
      <c r="E2042" s="9">
        <f>YEAR(Table5[[#This Row],[bill_date]])</f>
        <v>2024</v>
      </c>
      <c r="F2042">
        <v>635</v>
      </c>
      <c r="G2042" t="s">
        <v>30</v>
      </c>
    </row>
    <row r="2043" spans="1:7" x14ac:dyDescent="0.3">
      <c r="A2043">
        <v>32042</v>
      </c>
      <c r="B2043">
        <v>403</v>
      </c>
      <c r="C2043" s="2">
        <v>45361</v>
      </c>
      <c r="D2043" s="2" t="str">
        <f>TEXT(Table5[[#This Row],[bill_date]],"mmmm")</f>
        <v>March</v>
      </c>
      <c r="E2043" s="9">
        <f>YEAR(Table5[[#This Row],[bill_date]])</f>
        <v>2024</v>
      </c>
      <c r="F2043">
        <v>874</v>
      </c>
      <c r="G2043" t="s">
        <v>28</v>
      </c>
    </row>
    <row r="2044" spans="1:7" x14ac:dyDescent="0.3">
      <c r="A2044">
        <v>32043</v>
      </c>
      <c r="B2044">
        <v>113</v>
      </c>
      <c r="C2044" s="2">
        <v>44853</v>
      </c>
      <c r="D2044" s="2" t="str">
        <f>TEXT(Table5[[#This Row],[bill_date]],"mmmm")</f>
        <v>October</v>
      </c>
      <c r="E2044" s="9">
        <f>YEAR(Table5[[#This Row],[bill_date]])</f>
        <v>2022</v>
      </c>
      <c r="F2044">
        <v>1884</v>
      </c>
      <c r="G2044" t="s">
        <v>30</v>
      </c>
    </row>
    <row r="2045" spans="1:7" x14ac:dyDescent="0.3">
      <c r="A2045">
        <v>32044</v>
      </c>
      <c r="B2045">
        <v>65</v>
      </c>
      <c r="C2045" s="2">
        <v>44713</v>
      </c>
      <c r="D2045" s="2" t="str">
        <f>TEXT(Table5[[#This Row],[bill_date]],"mmmm")</f>
        <v>June</v>
      </c>
      <c r="E2045" s="9">
        <f>YEAR(Table5[[#This Row],[bill_date]])</f>
        <v>2022</v>
      </c>
      <c r="F2045">
        <v>1502</v>
      </c>
      <c r="G2045" t="s">
        <v>28</v>
      </c>
    </row>
    <row r="2046" spans="1:7" x14ac:dyDescent="0.3">
      <c r="A2046">
        <v>32045</v>
      </c>
      <c r="B2046">
        <v>216</v>
      </c>
      <c r="C2046" s="2">
        <v>44760</v>
      </c>
      <c r="D2046" s="2" t="str">
        <f>TEXT(Table5[[#This Row],[bill_date]],"mmmm")</f>
        <v>July</v>
      </c>
      <c r="E2046" s="9">
        <f>YEAR(Table5[[#This Row],[bill_date]])</f>
        <v>2022</v>
      </c>
      <c r="F2046">
        <v>1426</v>
      </c>
      <c r="G2046" t="s">
        <v>30</v>
      </c>
    </row>
    <row r="2047" spans="1:7" x14ac:dyDescent="0.3">
      <c r="A2047">
        <v>32046</v>
      </c>
      <c r="B2047">
        <v>354</v>
      </c>
      <c r="C2047" s="2">
        <v>44760</v>
      </c>
      <c r="D2047" s="2" t="str">
        <f>TEXT(Table5[[#This Row],[bill_date]],"mmmm")</f>
        <v>July</v>
      </c>
      <c r="E2047" s="9">
        <f>YEAR(Table5[[#This Row],[bill_date]])</f>
        <v>2022</v>
      </c>
      <c r="F2047">
        <v>941</v>
      </c>
      <c r="G2047" t="s">
        <v>30</v>
      </c>
    </row>
    <row r="2048" spans="1:7" x14ac:dyDescent="0.3">
      <c r="A2048">
        <v>32047</v>
      </c>
      <c r="B2048">
        <v>401</v>
      </c>
      <c r="C2048" s="2">
        <v>45375</v>
      </c>
      <c r="D2048" s="2" t="str">
        <f>TEXT(Table5[[#This Row],[bill_date]],"mmmm")</f>
        <v>March</v>
      </c>
      <c r="E2048" s="9">
        <f>YEAR(Table5[[#This Row],[bill_date]])</f>
        <v>2024</v>
      </c>
      <c r="F2048">
        <v>1106</v>
      </c>
      <c r="G2048" t="s">
        <v>30</v>
      </c>
    </row>
    <row r="2049" spans="1:7" x14ac:dyDescent="0.3">
      <c r="A2049">
        <v>32048</v>
      </c>
      <c r="B2049">
        <v>290</v>
      </c>
      <c r="C2049" s="2">
        <v>45248</v>
      </c>
      <c r="D2049" s="2" t="str">
        <f>TEXT(Table5[[#This Row],[bill_date]],"mmmm")</f>
        <v>November</v>
      </c>
      <c r="E2049" s="9">
        <f>YEAR(Table5[[#This Row],[bill_date]])</f>
        <v>2023</v>
      </c>
      <c r="F2049">
        <v>1001</v>
      </c>
      <c r="G2049" t="s">
        <v>30</v>
      </c>
    </row>
    <row r="2050" spans="1:7" x14ac:dyDescent="0.3">
      <c r="A2050">
        <v>32049</v>
      </c>
      <c r="B2050">
        <v>483</v>
      </c>
      <c r="C2050" s="2">
        <v>45014</v>
      </c>
      <c r="D2050" s="2" t="str">
        <f>TEXT(Table5[[#This Row],[bill_date]],"mmmm")</f>
        <v>March</v>
      </c>
      <c r="E2050" s="9">
        <f>YEAR(Table5[[#This Row],[bill_date]])</f>
        <v>2023</v>
      </c>
      <c r="F2050">
        <v>1528</v>
      </c>
      <c r="G2050" t="s">
        <v>30</v>
      </c>
    </row>
    <row r="2051" spans="1:7" x14ac:dyDescent="0.3">
      <c r="A2051">
        <v>32050</v>
      </c>
      <c r="B2051">
        <v>420</v>
      </c>
      <c r="C2051" s="2">
        <v>45343</v>
      </c>
      <c r="D2051" s="2" t="str">
        <f>TEXT(Table5[[#This Row],[bill_date]],"mmmm")</f>
        <v>February</v>
      </c>
      <c r="E2051" s="9">
        <f>YEAR(Table5[[#This Row],[bill_date]])</f>
        <v>2024</v>
      </c>
      <c r="F2051">
        <v>1049</v>
      </c>
      <c r="G2051" t="s">
        <v>30</v>
      </c>
    </row>
    <row r="2052" spans="1:7" x14ac:dyDescent="0.3">
      <c r="A2052">
        <v>32051</v>
      </c>
      <c r="B2052">
        <v>397</v>
      </c>
      <c r="C2052" s="2">
        <v>44741</v>
      </c>
      <c r="D2052" s="2" t="str">
        <f>TEXT(Table5[[#This Row],[bill_date]],"mmmm")</f>
        <v>June</v>
      </c>
      <c r="E2052" s="9">
        <f>YEAR(Table5[[#This Row],[bill_date]])</f>
        <v>2022</v>
      </c>
      <c r="F2052">
        <v>1195</v>
      </c>
      <c r="G2052" t="s">
        <v>30</v>
      </c>
    </row>
    <row r="2053" spans="1:7" x14ac:dyDescent="0.3">
      <c r="A2053">
        <v>32052</v>
      </c>
      <c r="B2053">
        <v>315</v>
      </c>
      <c r="C2053" s="2">
        <v>44779</v>
      </c>
      <c r="D2053" s="2" t="str">
        <f>TEXT(Table5[[#This Row],[bill_date]],"mmmm")</f>
        <v>August</v>
      </c>
      <c r="E2053" s="9">
        <f>YEAR(Table5[[#This Row],[bill_date]])</f>
        <v>2022</v>
      </c>
      <c r="F2053">
        <v>1044</v>
      </c>
      <c r="G2053" t="s">
        <v>30</v>
      </c>
    </row>
    <row r="2054" spans="1:7" x14ac:dyDescent="0.3">
      <c r="A2054">
        <v>32053</v>
      </c>
      <c r="B2054">
        <v>89</v>
      </c>
      <c r="C2054" s="2">
        <v>45191</v>
      </c>
      <c r="D2054" s="2" t="str">
        <f>TEXT(Table5[[#This Row],[bill_date]],"mmmm")</f>
        <v>September</v>
      </c>
      <c r="E2054" s="9">
        <f>YEAR(Table5[[#This Row],[bill_date]])</f>
        <v>2023</v>
      </c>
      <c r="F2054">
        <v>708</v>
      </c>
      <c r="G2054" t="s">
        <v>30</v>
      </c>
    </row>
    <row r="2055" spans="1:7" x14ac:dyDescent="0.3">
      <c r="A2055">
        <v>32054</v>
      </c>
      <c r="B2055">
        <v>247</v>
      </c>
      <c r="C2055" s="2">
        <v>45379</v>
      </c>
      <c r="D2055" s="2" t="str">
        <f>TEXT(Table5[[#This Row],[bill_date]],"mmmm")</f>
        <v>March</v>
      </c>
      <c r="E2055" s="9">
        <f>YEAR(Table5[[#This Row],[bill_date]])</f>
        <v>2024</v>
      </c>
      <c r="F2055">
        <v>1518</v>
      </c>
      <c r="G2055" t="s">
        <v>30</v>
      </c>
    </row>
    <row r="2056" spans="1:7" x14ac:dyDescent="0.3">
      <c r="A2056">
        <v>32055</v>
      </c>
      <c r="B2056">
        <v>332</v>
      </c>
      <c r="C2056" s="2">
        <v>45394</v>
      </c>
      <c r="D2056" s="2" t="str">
        <f>TEXT(Table5[[#This Row],[bill_date]],"mmmm")</f>
        <v>April</v>
      </c>
      <c r="E2056" s="9">
        <f>YEAR(Table5[[#This Row],[bill_date]])</f>
        <v>2024</v>
      </c>
      <c r="F2056">
        <v>220</v>
      </c>
      <c r="G2056" t="s">
        <v>28</v>
      </c>
    </row>
    <row r="2057" spans="1:7" x14ac:dyDescent="0.3">
      <c r="A2057">
        <v>32056</v>
      </c>
      <c r="B2057">
        <v>149</v>
      </c>
      <c r="C2057" s="2">
        <v>45406</v>
      </c>
      <c r="D2057" s="2" t="str">
        <f>TEXT(Table5[[#This Row],[bill_date]],"mmmm")</f>
        <v>April</v>
      </c>
      <c r="E2057" s="9">
        <f>YEAR(Table5[[#This Row],[bill_date]])</f>
        <v>2024</v>
      </c>
      <c r="F2057">
        <v>1909</v>
      </c>
      <c r="G2057" t="s">
        <v>30</v>
      </c>
    </row>
    <row r="2058" spans="1:7" x14ac:dyDescent="0.3">
      <c r="A2058">
        <v>32057</v>
      </c>
      <c r="B2058">
        <v>357</v>
      </c>
      <c r="C2058" s="2">
        <v>44881</v>
      </c>
      <c r="D2058" s="2" t="str">
        <f>TEXT(Table5[[#This Row],[bill_date]],"mmmm")</f>
        <v>November</v>
      </c>
      <c r="E2058" s="9">
        <f>YEAR(Table5[[#This Row],[bill_date]])</f>
        <v>2022</v>
      </c>
      <c r="F2058">
        <v>1206</v>
      </c>
      <c r="G2058" t="s">
        <v>28</v>
      </c>
    </row>
    <row r="2059" spans="1:7" x14ac:dyDescent="0.3">
      <c r="A2059">
        <v>32058</v>
      </c>
      <c r="B2059">
        <v>366</v>
      </c>
      <c r="C2059" s="2">
        <v>44584</v>
      </c>
      <c r="D2059" s="2" t="str">
        <f>TEXT(Table5[[#This Row],[bill_date]],"mmmm")</f>
        <v>January</v>
      </c>
      <c r="E2059" s="9">
        <f>YEAR(Table5[[#This Row],[bill_date]])</f>
        <v>2022</v>
      </c>
      <c r="F2059">
        <v>440</v>
      </c>
      <c r="G2059" t="s">
        <v>30</v>
      </c>
    </row>
    <row r="2060" spans="1:7" x14ac:dyDescent="0.3">
      <c r="A2060">
        <v>32059</v>
      </c>
      <c r="B2060">
        <v>486</v>
      </c>
      <c r="C2060" s="2">
        <v>45198</v>
      </c>
      <c r="D2060" s="2" t="str">
        <f>TEXT(Table5[[#This Row],[bill_date]],"mmmm")</f>
        <v>September</v>
      </c>
      <c r="E2060" s="9">
        <f>YEAR(Table5[[#This Row],[bill_date]])</f>
        <v>2023</v>
      </c>
      <c r="F2060">
        <v>1041</v>
      </c>
      <c r="G2060" t="s">
        <v>30</v>
      </c>
    </row>
    <row r="2061" spans="1:7" x14ac:dyDescent="0.3">
      <c r="A2061">
        <v>32060</v>
      </c>
      <c r="B2061">
        <v>449</v>
      </c>
      <c r="C2061" s="2">
        <v>44645</v>
      </c>
      <c r="D2061" s="2" t="str">
        <f>TEXT(Table5[[#This Row],[bill_date]],"mmmm")</f>
        <v>March</v>
      </c>
      <c r="E2061" s="9">
        <f>YEAR(Table5[[#This Row],[bill_date]])</f>
        <v>2022</v>
      </c>
      <c r="F2061">
        <v>776</v>
      </c>
      <c r="G2061" t="s">
        <v>30</v>
      </c>
    </row>
    <row r="2062" spans="1:7" x14ac:dyDescent="0.3">
      <c r="A2062">
        <v>32061</v>
      </c>
      <c r="B2062">
        <v>240</v>
      </c>
      <c r="C2062" s="2">
        <v>45272</v>
      </c>
      <c r="D2062" s="2" t="str">
        <f>TEXT(Table5[[#This Row],[bill_date]],"mmmm")</f>
        <v>December</v>
      </c>
      <c r="E2062" s="9">
        <f>YEAR(Table5[[#This Row],[bill_date]])</f>
        <v>2023</v>
      </c>
      <c r="F2062">
        <v>1616</v>
      </c>
      <c r="G2062" t="s">
        <v>30</v>
      </c>
    </row>
    <row r="2063" spans="1:7" x14ac:dyDescent="0.3">
      <c r="A2063">
        <v>32062</v>
      </c>
      <c r="B2063">
        <v>6</v>
      </c>
      <c r="C2063" s="2">
        <v>44887</v>
      </c>
      <c r="D2063" s="2" t="str">
        <f>TEXT(Table5[[#This Row],[bill_date]],"mmmm")</f>
        <v>November</v>
      </c>
      <c r="E2063" s="9">
        <f>YEAR(Table5[[#This Row],[bill_date]])</f>
        <v>2022</v>
      </c>
      <c r="F2063">
        <v>1649</v>
      </c>
      <c r="G2063" t="s">
        <v>30</v>
      </c>
    </row>
    <row r="2064" spans="1:7" x14ac:dyDescent="0.3">
      <c r="A2064">
        <v>32063</v>
      </c>
      <c r="B2064">
        <v>237</v>
      </c>
      <c r="C2064" s="2">
        <v>45260</v>
      </c>
      <c r="D2064" s="2" t="str">
        <f>TEXT(Table5[[#This Row],[bill_date]],"mmmm")</f>
        <v>November</v>
      </c>
      <c r="E2064" s="9">
        <f>YEAR(Table5[[#This Row],[bill_date]])</f>
        <v>2023</v>
      </c>
      <c r="F2064">
        <v>651</v>
      </c>
      <c r="G2064" t="s">
        <v>30</v>
      </c>
    </row>
    <row r="2065" spans="1:7" x14ac:dyDescent="0.3">
      <c r="A2065">
        <v>32064</v>
      </c>
      <c r="B2065">
        <v>365</v>
      </c>
      <c r="C2065" s="2">
        <v>44890</v>
      </c>
      <c r="D2065" s="2" t="str">
        <f>TEXT(Table5[[#This Row],[bill_date]],"mmmm")</f>
        <v>November</v>
      </c>
      <c r="E2065" s="9">
        <f>YEAR(Table5[[#This Row],[bill_date]])</f>
        <v>2022</v>
      </c>
      <c r="F2065">
        <v>705</v>
      </c>
      <c r="G2065" t="s">
        <v>30</v>
      </c>
    </row>
    <row r="2066" spans="1:7" x14ac:dyDescent="0.3">
      <c r="A2066">
        <v>32065</v>
      </c>
      <c r="B2066">
        <v>267</v>
      </c>
      <c r="C2066" s="2">
        <v>45165</v>
      </c>
      <c r="D2066" s="2" t="str">
        <f>TEXT(Table5[[#This Row],[bill_date]],"mmmm")</f>
        <v>August</v>
      </c>
      <c r="E2066" s="9">
        <f>YEAR(Table5[[#This Row],[bill_date]])</f>
        <v>2023</v>
      </c>
      <c r="F2066">
        <v>1828</v>
      </c>
      <c r="G2066" t="s">
        <v>30</v>
      </c>
    </row>
    <row r="2067" spans="1:7" x14ac:dyDescent="0.3">
      <c r="A2067">
        <v>32066</v>
      </c>
      <c r="B2067">
        <v>336</v>
      </c>
      <c r="C2067" s="2">
        <v>44891</v>
      </c>
      <c r="D2067" s="2" t="str">
        <f>TEXT(Table5[[#This Row],[bill_date]],"mmmm")</f>
        <v>November</v>
      </c>
      <c r="E2067" s="9">
        <f>YEAR(Table5[[#This Row],[bill_date]])</f>
        <v>2022</v>
      </c>
      <c r="F2067">
        <v>411</v>
      </c>
      <c r="G2067" t="s">
        <v>30</v>
      </c>
    </row>
    <row r="2068" spans="1:7" x14ac:dyDescent="0.3">
      <c r="A2068">
        <v>32067</v>
      </c>
      <c r="B2068">
        <v>406</v>
      </c>
      <c r="C2068" s="2">
        <v>45255</v>
      </c>
      <c r="D2068" s="2" t="str">
        <f>TEXT(Table5[[#This Row],[bill_date]],"mmmm")</f>
        <v>November</v>
      </c>
      <c r="E2068" s="9">
        <f>YEAR(Table5[[#This Row],[bill_date]])</f>
        <v>2023</v>
      </c>
      <c r="F2068">
        <v>1463</v>
      </c>
      <c r="G2068" t="s">
        <v>30</v>
      </c>
    </row>
    <row r="2069" spans="1:7" x14ac:dyDescent="0.3">
      <c r="A2069">
        <v>32068</v>
      </c>
      <c r="B2069">
        <v>238</v>
      </c>
      <c r="C2069" s="2">
        <v>45300</v>
      </c>
      <c r="D2069" s="2" t="str">
        <f>TEXT(Table5[[#This Row],[bill_date]],"mmmm")</f>
        <v>January</v>
      </c>
      <c r="E2069" s="9">
        <f>YEAR(Table5[[#This Row],[bill_date]])</f>
        <v>2024</v>
      </c>
      <c r="F2069">
        <v>1191</v>
      </c>
      <c r="G2069" t="s">
        <v>30</v>
      </c>
    </row>
    <row r="2070" spans="1:7" x14ac:dyDescent="0.3">
      <c r="A2070">
        <v>32069</v>
      </c>
      <c r="B2070">
        <v>139</v>
      </c>
      <c r="C2070" s="2">
        <v>45272</v>
      </c>
      <c r="D2070" s="2" t="str">
        <f>TEXT(Table5[[#This Row],[bill_date]],"mmmm")</f>
        <v>December</v>
      </c>
      <c r="E2070" s="9">
        <f>YEAR(Table5[[#This Row],[bill_date]])</f>
        <v>2023</v>
      </c>
      <c r="F2070">
        <v>607</v>
      </c>
      <c r="G2070" t="s">
        <v>28</v>
      </c>
    </row>
    <row r="2071" spans="1:7" x14ac:dyDescent="0.3">
      <c r="A2071">
        <v>32070</v>
      </c>
      <c r="B2071">
        <v>165</v>
      </c>
      <c r="C2071" s="2">
        <v>45034</v>
      </c>
      <c r="D2071" s="2" t="str">
        <f>TEXT(Table5[[#This Row],[bill_date]],"mmmm")</f>
        <v>April</v>
      </c>
      <c r="E2071" s="9">
        <f>YEAR(Table5[[#This Row],[bill_date]])</f>
        <v>2023</v>
      </c>
      <c r="F2071">
        <v>820</v>
      </c>
      <c r="G2071" t="s">
        <v>30</v>
      </c>
    </row>
    <row r="2072" spans="1:7" x14ac:dyDescent="0.3">
      <c r="A2072">
        <v>32071</v>
      </c>
      <c r="B2072">
        <v>282</v>
      </c>
      <c r="C2072" s="2">
        <v>45039</v>
      </c>
      <c r="D2072" s="2" t="str">
        <f>TEXT(Table5[[#This Row],[bill_date]],"mmmm")</f>
        <v>April</v>
      </c>
      <c r="E2072" s="9">
        <f>YEAR(Table5[[#This Row],[bill_date]])</f>
        <v>2023</v>
      </c>
      <c r="F2072">
        <v>757</v>
      </c>
      <c r="G2072" t="s">
        <v>29</v>
      </c>
    </row>
    <row r="2073" spans="1:7" x14ac:dyDescent="0.3">
      <c r="A2073">
        <v>32072</v>
      </c>
      <c r="B2073">
        <v>185</v>
      </c>
      <c r="C2073" s="2">
        <v>44796</v>
      </c>
      <c r="D2073" s="2" t="str">
        <f>TEXT(Table5[[#This Row],[bill_date]],"mmmm")</f>
        <v>August</v>
      </c>
      <c r="E2073" s="9">
        <f>YEAR(Table5[[#This Row],[bill_date]])</f>
        <v>2022</v>
      </c>
      <c r="F2073">
        <v>1070</v>
      </c>
      <c r="G2073" t="s">
        <v>29</v>
      </c>
    </row>
    <row r="2074" spans="1:7" x14ac:dyDescent="0.3">
      <c r="A2074">
        <v>32073</v>
      </c>
      <c r="B2074">
        <v>154</v>
      </c>
      <c r="C2074" s="2">
        <v>45117</v>
      </c>
      <c r="D2074" s="2" t="str">
        <f>TEXT(Table5[[#This Row],[bill_date]],"mmmm")</f>
        <v>July</v>
      </c>
      <c r="E2074" s="9">
        <f>YEAR(Table5[[#This Row],[bill_date]])</f>
        <v>2023</v>
      </c>
      <c r="F2074">
        <v>866</v>
      </c>
      <c r="G2074" t="s">
        <v>30</v>
      </c>
    </row>
    <row r="2075" spans="1:7" x14ac:dyDescent="0.3">
      <c r="A2075">
        <v>32074</v>
      </c>
      <c r="B2075">
        <v>106</v>
      </c>
      <c r="C2075" s="2">
        <v>45149</v>
      </c>
      <c r="D2075" s="2" t="str">
        <f>TEXT(Table5[[#This Row],[bill_date]],"mmmm")</f>
        <v>August</v>
      </c>
      <c r="E2075" s="9">
        <f>YEAR(Table5[[#This Row],[bill_date]])</f>
        <v>2023</v>
      </c>
      <c r="F2075">
        <v>790</v>
      </c>
      <c r="G2075" t="s">
        <v>30</v>
      </c>
    </row>
    <row r="2076" spans="1:7" x14ac:dyDescent="0.3">
      <c r="A2076">
        <v>32075</v>
      </c>
      <c r="B2076">
        <v>149</v>
      </c>
      <c r="C2076" s="2">
        <v>45214</v>
      </c>
      <c r="D2076" s="2" t="str">
        <f>TEXT(Table5[[#This Row],[bill_date]],"mmmm")</f>
        <v>October</v>
      </c>
      <c r="E2076" s="9">
        <f>YEAR(Table5[[#This Row],[bill_date]])</f>
        <v>2023</v>
      </c>
      <c r="F2076">
        <v>1267</v>
      </c>
      <c r="G2076" t="s">
        <v>29</v>
      </c>
    </row>
    <row r="2077" spans="1:7" x14ac:dyDescent="0.3">
      <c r="A2077">
        <v>32076</v>
      </c>
      <c r="B2077">
        <v>185</v>
      </c>
      <c r="C2077" s="2">
        <v>45255</v>
      </c>
      <c r="D2077" s="2" t="str">
        <f>TEXT(Table5[[#This Row],[bill_date]],"mmmm")</f>
        <v>November</v>
      </c>
      <c r="E2077" s="9">
        <f>YEAR(Table5[[#This Row],[bill_date]])</f>
        <v>2023</v>
      </c>
      <c r="F2077">
        <v>905</v>
      </c>
      <c r="G2077" t="s">
        <v>30</v>
      </c>
    </row>
    <row r="2078" spans="1:7" x14ac:dyDescent="0.3">
      <c r="A2078">
        <v>32077</v>
      </c>
      <c r="B2078">
        <v>410</v>
      </c>
      <c r="C2078" s="2">
        <v>44680</v>
      </c>
      <c r="D2078" s="2" t="str">
        <f>TEXT(Table5[[#This Row],[bill_date]],"mmmm")</f>
        <v>April</v>
      </c>
      <c r="E2078" s="9">
        <f>YEAR(Table5[[#This Row],[bill_date]])</f>
        <v>2022</v>
      </c>
      <c r="F2078">
        <v>1459</v>
      </c>
      <c r="G2078" t="s">
        <v>30</v>
      </c>
    </row>
    <row r="2079" spans="1:7" x14ac:dyDescent="0.3">
      <c r="A2079">
        <v>32078</v>
      </c>
      <c r="B2079">
        <v>271</v>
      </c>
      <c r="C2079" s="2">
        <v>44601</v>
      </c>
      <c r="D2079" s="2" t="str">
        <f>TEXT(Table5[[#This Row],[bill_date]],"mmmm")</f>
        <v>February</v>
      </c>
      <c r="E2079" s="9">
        <f>YEAR(Table5[[#This Row],[bill_date]])</f>
        <v>2022</v>
      </c>
      <c r="F2079">
        <v>921</v>
      </c>
      <c r="G2079" t="s">
        <v>28</v>
      </c>
    </row>
    <row r="2080" spans="1:7" x14ac:dyDescent="0.3">
      <c r="A2080">
        <v>32079</v>
      </c>
      <c r="B2080">
        <v>359</v>
      </c>
      <c r="C2080" s="2">
        <v>44821</v>
      </c>
      <c r="D2080" s="2" t="str">
        <f>TEXT(Table5[[#This Row],[bill_date]],"mmmm")</f>
        <v>September</v>
      </c>
      <c r="E2080" s="9">
        <f>YEAR(Table5[[#This Row],[bill_date]])</f>
        <v>2022</v>
      </c>
      <c r="F2080">
        <v>978</v>
      </c>
      <c r="G2080" t="s">
        <v>30</v>
      </c>
    </row>
    <row r="2081" spans="1:7" x14ac:dyDescent="0.3">
      <c r="A2081">
        <v>32080</v>
      </c>
      <c r="B2081">
        <v>191</v>
      </c>
      <c r="C2081" s="2">
        <v>45317</v>
      </c>
      <c r="D2081" s="2" t="str">
        <f>TEXT(Table5[[#This Row],[bill_date]],"mmmm")</f>
        <v>January</v>
      </c>
      <c r="E2081" s="9">
        <f>YEAR(Table5[[#This Row],[bill_date]])</f>
        <v>2024</v>
      </c>
      <c r="F2081">
        <v>1817</v>
      </c>
      <c r="G2081" t="s">
        <v>30</v>
      </c>
    </row>
    <row r="2082" spans="1:7" x14ac:dyDescent="0.3">
      <c r="A2082">
        <v>32081</v>
      </c>
      <c r="B2082">
        <v>163</v>
      </c>
      <c r="C2082" s="2">
        <v>45202</v>
      </c>
      <c r="D2082" s="2" t="str">
        <f>TEXT(Table5[[#This Row],[bill_date]],"mmmm")</f>
        <v>October</v>
      </c>
      <c r="E2082" s="9">
        <f>YEAR(Table5[[#This Row],[bill_date]])</f>
        <v>2023</v>
      </c>
      <c r="F2082">
        <v>1335</v>
      </c>
      <c r="G2082" t="s">
        <v>30</v>
      </c>
    </row>
    <row r="2083" spans="1:7" x14ac:dyDescent="0.3">
      <c r="A2083">
        <v>32082</v>
      </c>
      <c r="B2083">
        <v>395</v>
      </c>
      <c r="C2083" s="2">
        <v>44567</v>
      </c>
      <c r="D2083" s="2" t="str">
        <f>TEXT(Table5[[#This Row],[bill_date]],"mmmm")</f>
        <v>January</v>
      </c>
      <c r="E2083" s="9">
        <f>YEAR(Table5[[#This Row],[bill_date]])</f>
        <v>2022</v>
      </c>
      <c r="F2083">
        <v>705</v>
      </c>
      <c r="G2083" t="s">
        <v>30</v>
      </c>
    </row>
    <row r="2084" spans="1:7" x14ac:dyDescent="0.3">
      <c r="A2084">
        <v>32083</v>
      </c>
      <c r="B2084">
        <v>201</v>
      </c>
      <c r="C2084" s="2">
        <v>44872</v>
      </c>
      <c r="D2084" s="2" t="str">
        <f>TEXT(Table5[[#This Row],[bill_date]],"mmmm")</f>
        <v>November</v>
      </c>
      <c r="E2084" s="9">
        <f>YEAR(Table5[[#This Row],[bill_date]])</f>
        <v>2022</v>
      </c>
      <c r="F2084">
        <v>1865</v>
      </c>
      <c r="G2084" t="s">
        <v>30</v>
      </c>
    </row>
    <row r="2085" spans="1:7" x14ac:dyDescent="0.3">
      <c r="A2085">
        <v>32084</v>
      </c>
      <c r="B2085">
        <v>106</v>
      </c>
      <c r="C2085" s="2">
        <v>44627</v>
      </c>
      <c r="D2085" s="2" t="str">
        <f>TEXT(Table5[[#This Row],[bill_date]],"mmmm")</f>
        <v>March</v>
      </c>
      <c r="E2085" s="9">
        <f>YEAR(Table5[[#This Row],[bill_date]])</f>
        <v>2022</v>
      </c>
      <c r="F2085">
        <v>648</v>
      </c>
      <c r="G2085" t="s">
        <v>30</v>
      </c>
    </row>
    <row r="2086" spans="1:7" x14ac:dyDescent="0.3">
      <c r="A2086">
        <v>32085</v>
      </c>
      <c r="B2086">
        <v>215</v>
      </c>
      <c r="C2086" s="2">
        <v>44935</v>
      </c>
      <c r="D2086" s="2" t="str">
        <f>TEXT(Table5[[#This Row],[bill_date]],"mmmm")</f>
        <v>January</v>
      </c>
      <c r="E2086" s="9">
        <f>YEAR(Table5[[#This Row],[bill_date]])</f>
        <v>2023</v>
      </c>
      <c r="F2086">
        <v>1790</v>
      </c>
      <c r="G2086" t="s">
        <v>30</v>
      </c>
    </row>
    <row r="2087" spans="1:7" x14ac:dyDescent="0.3">
      <c r="A2087">
        <v>32086</v>
      </c>
      <c r="B2087">
        <v>324</v>
      </c>
      <c r="C2087" s="2">
        <v>45292</v>
      </c>
      <c r="D2087" s="2" t="str">
        <f>TEXT(Table5[[#This Row],[bill_date]],"mmmm")</f>
        <v>January</v>
      </c>
      <c r="E2087" s="9">
        <f>YEAR(Table5[[#This Row],[bill_date]])</f>
        <v>2024</v>
      </c>
      <c r="F2087">
        <v>948</v>
      </c>
      <c r="G2087" t="s">
        <v>30</v>
      </c>
    </row>
    <row r="2088" spans="1:7" x14ac:dyDescent="0.3">
      <c r="A2088">
        <v>32087</v>
      </c>
      <c r="B2088">
        <v>478</v>
      </c>
      <c r="C2088" s="2">
        <v>44707</v>
      </c>
      <c r="D2088" s="2" t="str">
        <f>TEXT(Table5[[#This Row],[bill_date]],"mmmm")</f>
        <v>May</v>
      </c>
      <c r="E2088" s="9">
        <f>YEAR(Table5[[#This Row],[bill_date]])</f>
        <v>2022</v>
      </c>
      <c r="F2088">
        <v>736</v>
      </c>
      <c r="G2088" t="s">
        <v>28</v>
      </c>
    </row>
    <row r="2089" spans="1:7" x14ac:dyDescent="0.3">
      <c r="A2089">
        <v>32088</v>
      </c>
      <c r="B2089">
        <v>220</v>
      </c>
      <c r="C2089" s="2">
        <v>44795</v>
      </c>
      <c r="D2089" s="2" t="str">
        <f>TEXT(Table5[[#This Row],[bill_date]],"mmmm")</f>
        <v>August</v>
      </c>
      <c r="E2089" s="9">
        <f>YEAR(Table5[[#This Row],[bill_date]])</f>
        <v>2022</v>
      </c>
      <c r="F2089">
        <v>1979</v>
      </c>
      <c r="G2089" t="s">
        <v>30</v>
      </c>
    </row>
    <row r="2090" spans="1:7" x14ac:dyDescent="0.3">
      <c r="A2090">
        <v>32089</v>
      </c>
      <c r="B2090">
        <v>345</v>
      </c>
      <c r="C2090" s="2">
        <v>44590</v>
      </c>
      <c r="D2090" s="2" t="str">
        <f>TEXT(Table5[[#This Row],[bill_date]],"mmmm")</f>
        <v>January</v>
      </c>
      <c r="E2090" s="9">
        <f>YEAR(Table5[[#This Row],[bill_date]])</f>
        <v>2022</v>
      </c>
      <c r="F2090">
        <v>1431</v>
      </c>
      <c r="G2090" t="s">
        <v>30</v>
      </c>
    </row>
    <row r="2091" spans="1:7" x14ac:dyDescent="0.3">
      <c r="A2091">
        <v>32090</v>
      </c>
      <c r="B2091">
        <v>470</v>
      </c>
      <c r="C2091" s="2">
        <v>45382</v>
      </c>
      <c r="D2091" s="2" t="str">
        <f>TEXT(Table5[[#This Row],[bill_date]],"mmmm")</f>
        <v>March</v>
      </c>
      <c r="E2091" s="9">
        <f>YEAR(Table5[[#This Row],[bill_date]])</f>
        <v>2024</v>
      </c>
      <c r="F2091">
        <v>1512</v>
      </c>
      <c r="G2091" t="s">
        <v>30</v>
      </c>
    </row>
    <row r="2092" spans="1:7" x14ac:dyDescent="0.3">
      <c r="A2092">
        <v>32091</v>
      </c>
      <c r="B2092">
        <v>217</v>
      </c>
      <c r="C2092" s="2">
        <v>45234</v>
      </c>
      <c r="D2092" s="2" t="str">
        <f>TEXT(Table5[[#This Row],[bill_date]],"mmmm")</f>
        <v>November</v>
      </c>
      <c r="E2092" s="9">
        <f>YEAR(Table5[[#This Row],[bill_date]])</f>
        <v>2023</v>
      </c>
      <c r="F2092">
        <v>696</v>
      </c>
      <c r="G2092" t="s">
        <v>29</v>
      </c>
    </row>
    <row r="2093" spans="1:7" x14ac:dyDescent="0.3">
      <c r="A2093">
        <v>32092</v>
      </c>
      <c r="B2093">
        <v>500</v>
      </c>
      <c r="C2093" s="2">
        <v>45204</v>
      </c>
      <c r="D2093" s="2" t="str">
        <f>TEXT(Table5[[#This Row],[bill_date]],"mmmm")</f>
        <v>October</v>
      </c>
      <c r="E2093" s="9">
        <f>YEAR(Table5[[#This Row],[bill_date]])</f>
        <v>2023</v>
      </c>
      <c r="F2093">
        <v>1405</v>
      </c>
      <c r="G2093" t="s">
        <v>30</v>
      </c>
    </row>
    <row r="2094" spans="1:7" x14ac:dyDescent="0.3">
      <c r="A2094">
        <v>32093</v>
      </c>
      <c r="B2094">
        <v>474</v>
      </c>
      <c r="C2094" s="2">
        <v>45221</v>
      </c>
      <c r="D2094" s="2" t="str">
        <f>TEXT(Table5[[#This Row],[bill_date]],"mmmm")</f>
        <v>October</v>
      </c>
      <c r="E2094" s="9">
        <f>YEAR(Table5[[#This Row],[bill_date]])</f>
        <v>2023</v>
      </c>
      <c r="F2094">
        <v>1941</v>
      </c>
      <c r="G2094" t="s">
        <v>30</v>
      </c>
    </row>
    <row r="2095" spans="1:7" x14ac:dyDescent="0.3">
      <c r="A2095">
        <v>32094</v>
      </c>
      <c r="B2095">
        <v>434</v>
      </c>
      <c r="C2095" s="2">
        <v>45461</v>
      </c>
      <c r="D2095" s="2" t="str">
        <f>TEXT(Table5[[#This Row],[bill_date]],"mmmm")</f>
        <v>June</v>
      </c>
      <c r="E2095" s="9">
        <f>YEAR(Table5[[#This Row],[bill_date]])</f>
        <v>2024</v>
      </c>
      <c r="F2095">
        <v>914</v>
      </c>
      <c r="G2095" t="s">
        <v>30</v>
      </c>
    </row>
    <row r="2096" spans="1:7" x14ac:dyDescent="0.3">
      <c r="A2096">
        <v>32095</v>
      </c>
      <c r="B2096">
        <v>29</v>
      </c>
      <c r="C2096" s="2">
        <v>45155</v>
      </c>
      <c r="D2096" s="2" t="str">
        <f>TEXT(Table5[[#This Row],[bill_date]],"mmmm")</f>
        <v>August</v>
      </c>
      <c r="E2096" s="9">
        <f>YEAR(Table5[[#This Row],[bill_date]])</f>
        <v>2023</v>
      </c>
      <c r="F2096">
        <v>598</v>
      </c>
      <c r="G2096" t="s">
        <v>30</v>
      </c>
    </row>
    <row r="2097" spans="1:7" x14ac:dyDescent="0.3">
      <c r="A2097">
        <v>32096</v>
      </c>
      <c r="B2097">
        <v>238</v>
      </c>
      <c r="C2097" s="2">
        <v>45031</v>
      </c>
      <c r="D2097" s="2" t="str">
        <f>TEXT(Table5[[#This Row],[bill_date]],"mmmm")</f>
        <v>April</v>
      </c>
      <c r="E2097" s="9">
        <f>YEAR(Table5[[#This Row],[bill_date]])</f>
        <v>2023</v>
      </c>
      <c r="F2097">
        <v>1430</v>
      </c>
      <c r="G2097" t="s">
        <v>30</v>
      </c>
    </row>
    <row r="2098" spans="1:7" x14ac:dyDescent="0.3">
      <c r="A2098">
        <v>32097</v>
      </c>
      <c r="B2098">
        <v>64</v>
      </c>
      <c r="C2098" s="2">
        <v>44922</v>
      </c>
      <c r="D2098" s="2" t="str">
        <f>TEXT(Table5[[#This Row],[bill_date]],"mmmm")</f>
        <v>December</v>
      </c>
      <c r="E2098" s="9">
        <f>YEAR(Table5[[#This Row],[bill_date]])</f>
        <v>2022</v>
      </c>
      <c r="F2098">
        <v>1645</v>
      </c>
      <c r="G2098" t="s">
        <v>30</v>
      </c>
    </row>
    <row r="2099" spans="1:7" x14ac:dyDescent="0.3">
      <c r="A2099">
        <v>32098</v>
      </c>
      <c r="B2099">
        <v>425</v>
      </c>
      <c r="C2099" s="2">
        <v>45415</v>
      </c>
      <c r="D2099" s="2" t="str">
        <f>TEXT(Table5[[#This Row],[bill_date]],"mmmm")</f>
        <v>May</v>
      </c>
      <c r="E2099" s="9">
        <f>YEAR(Table5[[#This Row],[bill_date]])</f>
        <v>2024</v>
      </c>
      <c r="F2099">
        <v>1612</v>
      </c>
      <c r="G2099" t="s">
        <v>30</v>
      </c>
    </row>
    <row r="2100" spans="1:7" x14ac:dyDescent="0.3">
      <c r="A2100">
        <v>32099</v>
      </c>
      <c r="B2100">
        <v>96</v>
      </c>
      <c r="C2100" s="2">
        <v>45156</v>
      </c>
      <c r="D2100" s="2" t="str">
        <f>TEXT(Table5[[#This Row],[bill_date]],"mmmm")</f>
        <v>August</v>
      </c>
      <c r="E2100" s="9">
        <f>YEAR(Table5[[#This Row],[bill_date]])</f>
        <v>2023</v>
      </c>
      <c r="F2100">
        <v>1588</v>
      </c>
      <c r="G2100" t="s">
        <v>30</v>
      </c>
    </row>
    <row r="2101" spans="1:7" x14ac:dyDescent="0.3">
      <c r="A2101">
        <v>32100</v>
      </c>
      <c r="B2101">
        <v>154</v>
      </c>
      <c r="C2101" s="2">
        <v>45146</v>
      </c>
      <c r="D2101" s="2" t="str">
        <f>TEXT(Table5[[#This Row],[bill_date]],"mmmm")</f>
        <v>August</v>
      </c>
      <c r="E2101" s="9">
        <f>YEAR(Table5[[#This Row],[bill_date]])</f>
        <v>2023</v>
      </c>
      <c r="F2101">
        <v>782</v>
      </c>
      <c r="G2101" t="s">
        <v>30</v>
      </c>
    </row>
    <row r="2102" spans="1:7" x14ac:dyDescent="0.3">
      <c r="A2102">
        <v>32101</v>
      </c>
      <c r="B2102">
        <v>28</v>
      </c>
      <c r="C2102" s="2">
        <v>44916</v>
      </c>
      <c r="D2102" s="2" t="str">
        <f>TEXT(Table5[[#This Row],[bill_date]],"mmmm")</f>
        <v>December</v>
      </c>
      <c r="E2102" s="9">
        <f>YEAR(Table5[[#This Row],[bill_date]])</f>
        <v>2022</v>
      </c>
      <c r="F2102">
        <v>1658</v>
      </c>
      <c r="G2102" t="s">
        <v>30</v>
      </c>
    </row>
    <row r="2103" spans="1:7" x14ac:dyDescent="0.3">
      <c r="A2103">
        <v>32102</v>
      </c>
      <c r="B2103">
        <v>340</v>
      </c>
      <c r="C2103" s="2">
        <v>45287</v>
      </c>
      <c r="D2103" s="2" t="str">
        <f>TEXT(Table5[[#This Row],[bill_date]],"mmmm")</f>
        <v>December</v>
      </c>
      <c r="E2103" s="9">
        <f>YEAR(Table5[[#This Row],[bill_date]])</f>
        <v>2023</v>
      </c>
      <c r="F2103">
        <v>1119</v>
      </c>
      <c r="G2103" t="s">
        <v>30</v>
      </c>
    </row>
    <row r="2104" spans="1:7" x14ac:dyDescent="0.3">
      <c r="A2104">
        <v>32103</v>
      </c>
      <c r="B2104">
        <v>176</v>
      </c>
      <c r="C2104" s="2">
        <v>44587</v>
      </c>
      <c r="D2104" s="2" t="str">
        <f>TEXT(Table5[[#This Row],[bill_date]],"mmmm")</f>
        <v>January</v>
      </c>
      <c r="E2104" s="9">
        <f>YEAR(Table5[[#This Row],[bill_date]])</f>
        <v>2022</v>
      </c>
      <c r="F2104">
        <v>1534</v>
      </c>
      <c r="G2104" t="s">
        <v>30</v>
      </c>
    </row>
    <row r="2105" spans="1:7" x14ac:dyDescent="0.3">
      <c r="A2105">
        <v>32104</v>
      </c>
      <c r="B2105">
        <v>251</v>
      </c>
      <c r="C2105" s="2">
        <v>44851</v>
      </c>
      <c r="D2105" s="2" t="str">
        <f>TEXT(Table5[[#This Row],[bill_date]],"mmmm")</f>
        <v>October</v>
      </c>
      <c r="E2105" s="9">
        <f>YEAR(Table5[[#This Row],[bill_date]])</f>
        <v>2022</v>
      </c>
      <c r="F2105">
        <v>537</v>
      </c>
      <c r="G2105" t="s">
        <v>30</v>
      </c>
    </row>
    <row r="2106" spans="1:7" x14ac:dyDescent="0.3">
      <c r="A2106">
        <v>32105</v>
      </c>
      <c r="B2106">
        <v>194</v>
      </c>
      <c r="C2106" s="2">
        <v>44632</v>
      </c>
      <c r="D2106" s="2" t="str">
        <f>TEXT(Table5[[#This Row],[bill_date]],"mmmm")</f>
        <v>March</v>
      </c>
      <c r="E2106" s="9">
        <f>YEAR(Table5[[#This Row],[bill_date]])</f>
        <v>2022</v>
      </c>
      <c r="F2106">
        <v>1369</v>
      </c>
      <c r="G2106" t="s">
        <v>30</v>
      </c>
    </row>
    <row r="2107" spans="1:7" x14ac:dyDescent="0.3">
      <c r="A2107">
        <v>32106</v>
      </c>
      <c r="B2107">
        <v>279</v>
      </c>
      <c r="C2107" s="2">
        <v>45423</v>
      </c>
      <c r="D2107" s="2" t="str">
        <f>TEXT(Table5[[#This Row],[bill_date]],"mmmm")</f>
        <v>May</v>
      </c>
      <c r="E2107" s="9">
        <f>YEAR(Table5[[#This Row],[bill_date]])</f>
        <v>2024</v>
      </c>
      <c r="F2107">
        <v>1938</v>
      </c>
      <c r="G2107" t="s">
        <v>30</v>
      </c>
    </row>
    <row r="2108" spans="1:7" x14ac:dyDescent="0.3">
      <c r="A2108">
        <v>32107</v>
      </c>
      <c r="B2108">
        <v>39</v>
      </c>
      <c r="C2108" s="2">
        <v>45250</v>
      </c>
      <c r="D2108" s="2" t="str">
        <f>TEXT(Table5[[#This Row],[bill_date]],"mmmm")</f>
        <v>November</v>
      </c>
      <c r="E2108" s="9">
        <f>YEAR(Table5[[#This Row],[bill_date]])</f>
        <v>2023</v>
      </c>
      <c r="F2108">
        <v>655</v>
      </c>
      <c r="G2108" t="s">
        <v>30</v>
      </c>
    </row>
    <row r="2109" spans="1:7" x14ac:dyDescent="0.3">
      <c r="A2109">
        <v>32108</v>
      </c>
      <c r="B2109">
        <v>69</v>
      </c>
      <c r="C2109" s="2">
        <v>44650</v>
      </c>
      <c r="D2109" s="2" t="str">
        <f>TEXT(Table5[[#This Row],[bill_date]],"mmmm")</f>
        <v>March</v>
      </c>
      <c r="E2109" s="9">
        <f>YEAR(Table5[[#This Row],[bill_date]])</f>
        <v>2022</v>
      </c>
      <c r="F2109">
        <v>1633</v>
      </c>
      <c r="G2109" t="s">
        <v>30</v>
      </c>
    </row>
    <row r="2110" spans="1:7" x14ac:dyDescent="0.3">
      <c r="A2110">
        <v>32109</v>
      </c>
      <c r="B2110">
        <v>277</v>
      </c>
      <c r="C2110" s="2">
        <v>44738</v>
      </c>
      <c r="D2110" s="2" t="str">
        <f>TEXT(Table5[[#This Row],[bill_date]],"mmmm")</f>
        <v>June</v>
      </c>
      <c r="E2110" s="9">
        <f>YEAR(Table5[[#This Row],[bill_date]])</f>
        <v>2022</v>
      </c>
      <c r="F2110">
        <v>843</v>
      </c>
      <c r="G2110" t="s">
        <v>30</v>
      </c>
    </row>
    <row r="2111" spans="1:7" x14ac:dyDescent="0.3">
      <c r="A2111">
        <v>32110</v>
      </c>
      <c r="B2111">
        <v>120</v>
      </c>
      <c r="C2111" s="2">
        <v>44588</v>
      </c>
      <c r="D2111" s="2" t="str">
        <f>TEXT(Table5[[#This Row],[bill_date]],"mmmm")</f>
        <v>January</v>
      </c>
      <c r="E2111" s="9">
        <f>YEAR(Table5[[#This Row],[bill_date]])</f>
        <v>2022</v>
      </c>
      <c r="F2111">
        <v>480</v>
      </c>
      <c r="G2111" t="s">
        <v>30</v>
      </c>
    </row>
    <row r="2112" spans="1:7" x14ac:dyDescent="0.3">
      <c r="A2112">
        <v>32111</v>
      </c>
      <c r="B2112">
        <v>86</v>
      </c>
      <c r="C2112" s="2">
        <v>44850</v>
      </c>
      <c r="D2112" s="2" t="str">
        <f>TEXT(Table5[[#This Row],[bill_date]],"mmmm")</f>
        <v>October</v>
      </c>
      <c r="E2112" s="9">
        <f>YEAR(Table5[[#This Row],[bill_date]])</f>
        <v>2022</v>
      </c>
      <c r="F2112">
        <v>612</v>
      </c>
      <c r="G2112" t="s">
        <v>28</v>
      </c>
    </row>
    <row r="2113" spans="1:7" x14ac:dyDescent="0.3">
      <c r="A2113">
        <v>32112</v>
      </c>
      <c r="B2113">
        <v>177</v>
      </c>
      <c r="C2113" s="2">
        <v>45401</v>
      </c>
      <c r="D2113" s="2" t="str">
        <f>TEXT(Table5[[#This Row],[bill_date]],"mmmm")</f>
        <v>April</v>
      </c>
      <c r="E2113" s="9">
        <f>YEAR(Table5[[#This Row],[bill_date]])</f>
        <v>2024</v>
      </c>
      <c r="F2113">
        <v>1812</v>
      </c>
      <c r="G2113" t="s">
        <v>30</v>
      </c>
    </row>
    <row r="2114" spans="1:7" x14ac:dyDescent="0.3">
      <c r="A2114">
        <v>32113</v>
      </c>
      <c r="B2114">
        <v>459</v>
      </c>
      <c r="C2114" s="2">
        <v>45378</v>
      </c>
      <c r="D2114" s="2" t="str">
        <f>TEXT(Table5[[#This Row],[bill_date]],"mmmm")</f>
        <v>March</v>
      </c>
      <c r="E2114" s="9">
        <f>YEAR(Table5[[#This Row],[bill_date]])</f>
        <v>2024</v>
      </c>
      <c r="F2114">
        <v>1319</v>
      </c>
      <c r="G2114" t="s">
        <v>30</v>
      </c>
    </row>
    <row r="2115" spans="1:7" x14ac:dyDescent="0.3">
      <c r="A2115">
        <v>32114</v>
      </c>
      <c r="B2115">
        <v>94</v>
      </c>
      <c r="C2115" s="2">
        <v>45136</v>
      </c>
      <c r="D2115" s="2" t="str">
        <f>TEXT(Table5[[#This Row],[bill_date]],"mmmm")</f>
        <v>July</v>
      </c>
      <c r="E2115" s="9">
        <f>YEAR(Table5[[#This Row],[bill_date]])</f>
        <v>2023</v>
      </c>
      <c r="F2115">
        <v>361</v>
      </c>
      <c r="G2115" t="s">
        <v>28</v>
      </c>
    </row>
    <row r="2116" spans="1:7" x14ac:dyDescent="0.3">
      <c r="A2116">
        <v>32115</v>
      </c>
      <c r="B2116">
        <v>92</v>
      </c>
      <c r="C2116" s="2">
        <v>45092</v>
      </c>
      <c r="D2116" s="2" t="str">
        <f>TEXT(Table5[[#This Row],[bill_date]],"mmmm")</f>
        <v>June</v>
      </c>
      <c r="E2116" s="9">
        <f>YEAR(Table5[[#This Row],[bill_date]])</f>
        <v>2023</v>
      </c>
      <c r="F2116">
        <v>1041</v>
      </c>
      <c r="G2116" t="s">
        <v>30</v>
      </c>
    </row>
    <row r="2117" spans="1:7" x14ac:dyDescent="0.3">
      <c r="A2117">
        <v>32116</v>
      </c>
      <c r="B2117">
        <v>420</v>
      </c>
      <c r="C2117" s="2">
        <v>45045</v>
      </c>
      <c r="D2117" s="2" t="str">
        <f>TEXT(Table5[[#This Row],[bill_date]],"mmmm")</f>
        <v>April</v>
      </c>
      <c r="E2117" s="9">
        <f>YEAR(Table5[[#This Row],[bill_date]])</f>
        <v>2023</v>
      </c>
      <c r="F2117">
        <v>1659</v>
      </c>
      <c r="G2117" t="s">
        <v>30</v>
      </c>
    </row>
    <row r="2118" spans="1:7" x14ac:dyDescent="0.3">
      <c r="A2118">
        <v>32117</v>
      </c>
      <c r="B2118">
        <v>81</v>
      </c>
      <c r="C2118" s="2">
        <v>44995</v>
      </c>
      <c r="D2118" s="2" t="str">
        <f>TEXT(Table5[[#This Row],[bill_date]],"mmmm")</f>
        <v>March</v>
      </c>
      <c r="E2118" s="9">
        <f>YEAR(Table5[[#This Row],[bill_date]])</f>
        <v>2023</v>
      </c>
      <c r="F2118">
        <v>1418</v>
      </c>
      <c r="G2118" t="s">
        <v>30</v>
      </c>
    </row>
    <row r="2119" spans="1:7" x14ac:dyDescent="0.3">
      <c r="A2119">
        <v>32118</v>
      </c>
      <c r="B2119">
        <v>341</v>
      </c>
      <c r="C2119" s="2">
        <v>45054</v>
      </c>
      <c r="D2119" s="2" t="str">
        <f>TEXT(Table5[[#This Row],[bill_date]],"mmmm")</f>
        <v>May</v>
      </c>
      <c r="E2119" s="9">
        <f>YEAR(Table5[[#This Row],[bill_date]])</f>
        <v>2023</v>
      </c>
      <c r="F2119">
        <v>1850</v>
      </c>
      <c r="G2119" t="s">
        <v>30</v>
      </c>
    </row>
    <row r="2120" spans="1:7" x14ac:dyDescent="0.3">
      <c r="A2120">
        <v>32119</v>
      </c>
      <c r="B2120">
        <v>421</v>
      </c>
      <c r="C2120" s="2">
        <v>44839</v>
      </c>
      <c r="D2120" s="2" t="str">
        <f>TEXT(Table5[[#This Row],[bill_date]],"mmmm")</f>
        <v>October</v>
      </c>
      <c r="E2120" s="9">
        <f>YEAR(Table5[[#This Row],[bill_date]])</f>
        <v>2022</v>
      </c>
      <c r="F2120">
        <v>359</v>
      </c>
      <c r="G2120" t="s">
        <v>30</v>
      </c>
    </row>
    <row r="2121" spans="1:7" x14ac:dyDescent="0.3">
      <c r="A2121">
        <v>32120</v>
      </c>
      <c r="B2121">
        <v>228</v>
      </c>
      <c r="C2121" s="2">
        <v>44907</v>
      </c>
      <c r="D2121" s="2" t="str">
        <f>TEXT(Table5[[#This Row],[bill_date]],"mmmm")</f>
        <v>December</v>
      </c>
      <c r="E2121" s="9">
        <f>YEAR(Table5[[#This Row],[bill_date]])</f>
        <v>2022</v>
      </c>
      <c r="F2121">
        <v>453</v>
      </c>
      <c r="G2121" t="s">
        <v>30</v>
      </c>
    </row>
    <row r="2122" spans="1:7" x14ac:dyDescent="0.3">
      <c r="A2122">
        <v>32121</v>
      </c>
      <c r="B2122">
        <v>383</v>
      </c>
      <c r="C2122" s="2">
        <v>45140</v>
      </c>
      <c r="D2122" s="2" t="str">
        <f>TEXT(Table5[[#This Row],[bill_date]],"mmmm")</f>
        <v>August</v>
      </c>
      <c r="E2122" s="9">
        <f>YEAR(Table5[[#This Row],[bill_date]])</f>
        <v>2023</v>
      </c>
      <c r="F2122">
        <v>1292</v>
      </c>
      <c r="G2122" t="s">
        <v>30</v>
      </c>
    </row>
    <row r="2123" spans="1:7" x14ac:dyDescent="0.3">
      <c r="A2123">
        <v>32122</v>
      </c>
      <c r="B2123">
        <v>473</v>
      </c>
      <c r="C2123" s="2">
        <v>44799</v>
      </c>
      <c r="D2123" s="2" t="str">
        <f>TEXT(Table5[[#This Row],[bill_date]],"mmmm")</f>
        <v>August</v>
      </c>
      <c r="E2123" s="9">
        <f>YEAR(Table5[[#This Row],[bill_date]])</f>
        <v>2022</v>
      </c>
      <c r="F2123">
        <v>610</v>
      </c>
      <c r="G2123" t="s">
        <v>30</v>
      </c>
    </row>
    <row r="2124" spans="1:7" x14ac:dyDescent="0.3">
      <c r="A2124">
        <v>32123</v>
      </c>
      <c r="B2124">
        <v>88</v>
      </c>
      <c r="C2124" s="2">
        <v>44698</v>
      </c>
      <c r="D2124" s="2" t="str">
        <f>TEXT(Table5[[#This Row],[bill_date]],"mmmm")</f>
        <v>May</v>
      </c>
      <c r="E2124" s="9">
        <f>YEAR(Table5[[#This Row],[bill_date]])</f>
        <v>2022</v>
      </c>
      <c r="F2124">
        <v>912</v>
      </c>
      <c r="G2124" t="s">
        <v>30</v>
      </c>
    </row>
    <row r="2125" spans="1:7" x14ac:dyDescent="0.3">
      <c r="A2125">
        <v>32124</v>
      </c>
      <c r="B2125">
        <v>350</v>
      </c>
      <c r="C2125" s="2">
        <v>44724</v>
      </c>
      <c r="D2125" s="2" t="str">
        <f>TEXT(Table5[[#This Row],[bill_date]],"mmmm")</f>
        <v>June</v>
      </c>
      <c r="E2125" s="9">
        <f>YEAR(Table5[[#This Row],[bill_date]])</f>
        <v>2022</v>
      </c>
      <c r="F2125">
        <v>234</v>
      </c>
      <c r="G2125" t="s">
        <v>30</v>
      </c>
    </row>
    <row r="2126" spans="1:7" x14ac:dyDescent="0.3">
      <c r="A2126">
        <v>32125</v>
      </c>
      <c r="B2126">
        <v>128</v>
      </c>
      <c r="C2126" s="2">
        <v>45400</v>
      </c>
      <c r="D2126" s="2" t="str">
        <f>TEXT(Table5[[#This Row],[bill_date]],"mmmm")</f>
        <v>April</v>
      </c>
      <c r="E2126" s="9">
        <f>YEAR(Table5[[#This Row],[bill_date]])</f>
        <v>2024</v>
      </c>
      <c r="F2126">
        <v>1527</v>
      </c>
      <c r="G2126" t="s">
        <v>28</v>
      </c>
    </row>
    <row r="2127" spans="1:7" x14ac:dyDescent="0.3">
      <c r="A2127">
        <v>32126</v>
      </c>
      <c r="B2127">
        <v>298</v>
      </c>
      <c r="C2127" s="2">
        <v>45408</v>
      </c>
      <c r="D2127" s="2" t="str">
        <f>TEXT(Table5[[#This Row],[bill_date]],"mmmm")</f>
        <v>April</v>
      </c>
      <c r="E2127" s="9">
        <f>YEAR(Table5[[#This Row],[bill_date]])</f>
        <v>2024</v>
      </c>
      <c r="F2127">
        <v>928</v>
      </c>
      <c r="G2127" t="s">
        <v>30</v>
      </c>
    </row>
    <row r="2128" spans="1:7" x14ac:dyDescent="0.3">
      <c r="A2128">
        <v>32127</v>
      </c>
      <c r="B2128">
        <v>190</v>
      </c>
      <c r="C2128" s="2">
        <v>45461</v>
      </c>
      <c r="D2128" s="2" t="str">
        <f>TEXT(Table5[[#This Row],[bill_date]],"mmmm")</f>
        <v>June</v>
      </c>
      <c r="E2128" s="9">
        <f>YEAR(Table5[[#This Row],[bill_date]])</f>
        <v>2024</v>
      </c>
      <c r="F2128">
        <v>668</v>
      </c>
      <c r="G2128" t="s">
        <v>29</v>
      </c>
    </row>
    <row r="2129" spans="1:7" x14ac:dyDescent="0.3">
      <c r="A2129">
        <v>32128</v>
      </c>
      <c r="B2129">
        <v>355</v>
      </c>
      <c r="C2129" s="2">
        <v>44854</v>
      </c>
      <c r="D2129" s="2" t="str">
        <f>TEXT(Table5[[#This Row],[bill_date]],"mmmm")</f>
        <v>October</v>
      </c>
      <c r="E2129" s="9">
        <f>YEAR(Table5[[#This Row],[bill_date]])</f>
        <v>2022</v>
      </c>
      <c r="F2129">
        <v>507</v>
      </c>
      <c r="G2129" t="s">
        <v>30</v>
      </c>
    </row>
    <row r="2130" spans="1:7" x14ac:dyDescent="0.3">
      <c r="A2130">
        <v>32129</v>
      </c>
      <c r="B2130">
        <v>469</v>
      </c>
      <c r="C2130" s="2">
        <v>44589</v>
      </c>
      <c r="D2130" s="2" t="str">
        <f>TEXT(Table5[[#This Row],[bill_date]],"mmmm")</f>
        <v>January</v>
      </c>
      <c r="E2130" s="9">
        <f>YEAR(Table5[[#This Row],[bill_date]])</f>
        <v>2022</v>
      </c>
      <c r="F2130">
        <v>1419</v>
      </c>
      <c r="G2130" t="s">
        <v>30</v>
      </c>
    </row>
    <row r="2131" spans="1:7" x14ac:dyDescent="0.3">
      <c r="A2131">
        <v>32130</v>
      </c>
      <c r="B2131">
        <v>134</v>
      </c>
      <c r="C2131" s="2">
        <v>44817</v>
      </c>
      <c r="D2131" s="2" t="str">
        <f>TEXT(Table5[[#This Row],[bill_date]],"mmmm")</f>
        <v>September</v>
      </c>
      <c r="E2131" s="9">
        <f>YEAR(Table5[[#This Row],[bill_date]])</f>
        <v>2022</v>
      </c>
      <c r="F2131">
        <v>679</v>
      </c>
      <c r="G2131" t="s">
        <v>30</v>
      </c>
    </row>
    <row r="2132" spans="1:7" x14ac:dyDescent="0.3">
      <c r="A2132">
        <v>32131</v>
      </c>
      <c r="B2132">
        <v>469</v>
      </c>
      <c r="C2132" s="2">
        <v>45364</v>
      </c>
      <c r="D2132" s="2" t="str">
        <f>TEXT(Table5[[#This Row],[bill_date]],"mmmm")</f>
        <v>March</v>
      </c>
      <c r="E2132" s="9">
        <f>YEAR(Table5[[#This Row],[bill_date]])</f>
        <v>2024</v>
      </c>
      <c r="F2132">
        <v>1558</v>
      </c>
      <c r="G2132" t="s">
        <v>28</v>
      </c>
    </row>
    <row r="2133" spans="1:7" x14ac:dyDescent="0.3">
      <c r="A2133">
        <v>32132</v>
      </c>
      <c r="B2133">
        <v>136</v>
      </c>
      <c r="C2133" s="2">
        <v>45185</v>
      </c>
      <c r="D2133" s="2" t="str">
        <f>TEXT(Table5[[#This Row],[bill_date]],"mmmm")</f>
        <v>September</v>
      </c>
      <c r="E2133" s="9">
        <f>YEAR(Table5[[#This Row],[bill_date]])</f>
        <v>2023</v>
      </c>
      <c r="F2133">
        <v>902</v>
      </c>
      <c r="G2133" t="s">
        <v>30</v>
      </c>
    </row>
    <row r="2134" spans="1:7" x14ac:dyDescent="0.3">
      <c r="A2134">
        <v>32133</v>
      </c>
      <c r="B2134">
        <v>325</v>
      </c>
      <c r="C2134" s="2">
        <v>45313</v>
      </c>
      <c r="D2134" s="2" t="str">
        <f>TEXT(Table5[[#This Row],[bill_date]],"mmmm")</f>
        <v>January</v>
      </c>
      <c r="E2134" s="9">
        <f>YEAR(Table5[[#This Row],[bill_date]])</f>
        <v>2024</v>
      </c>
      <c r="F2134">
        <v>987</v>
      </c>
      <c r="G2134" t="s">
        <v>28</v>
      </c>
    </row>
    <row r="2135" spans="1:7" x14ac:dyDescent="0.3">
      <c r="A2135">
        <v>32134</v>
      </c>
      <c r="B2135">
        <v>40</v>
      </c>
      <c r="C2135" s="2">
        <v>45316</v>
      </c>
      <c r="D2135" s="2" t="str">
        <f>TEXT(Table5[[#This Row],[bill_date]],"mmmm")</f>
        <v>January</v>
      </c>
      <c r="E2135" s="9">
        <f>YEAR(Table5[[#This Row],[bill_date]])</f>
        <v>2024</v>
      </c>
      <c r="F2135">
        <v>489</v>
      </c>
      <c r="G2135" t="s">
        <v>30</v>
      </c>
    </row>
    <row r="2136" spans="1:7" x14ac:dyDescent="0.3">
      <c r="A2136">
        <v>32135</v>
      </c>
      <c r="B2136">
        <v>138</v>
      </c>
      <c r="C2136" s="2">
        <v>45226</v>
      </c>
      <c r="D2136" s="2" t="str">
        <f>TEXT(Table5[[#This Row],[bill_date]],"mmmm")</f>
        <v>October</v>
      </c>
      <c r="E2136" s="9">
        <f>YEAR(Table5[[#This Row],[bill_date]])</f>
        <v>2023</v>
      </c>
      <c r="F2136">
        <v>628</v>
      </c>
      <c r="G2136" t="s">
        <v>30</v>
      </c>
    </row>
    <row r="2137" spans="1:7" x14ac:dyDescent="0.3">
      <c r="A2137">
        <v>32136</v>
      </c>
      <c r="B2137">
        <v>287</v>
      </c>
      <c r="C2137" s="2">
        <v>44826</v>
      </c>
      <c r="D2137" s="2" t="str">
        <f>TEXT(Table5[[#This Row],[bill_date]],"mmmm")</f>
        <v>September</v>
      </c>
      <c r="E2137" s="9">
        <f>YEAR(Table5[[#This Row],[bill_date]])</f>
        <v>2022</v>
      </c>
      <c r="F2137">
        <v>796</v>
      </c>
      <c r="G2137" t="s">
        <v>30</v>
      </c>
    </row>
    <row r="2138" spans="1:7" x14ac:dyDescent="0.3">
      <c r="A2138">
        <v>32137</v>
      </c>
      <c r="B2138">
        <v>256</v>
      </c>
      <c r="C2138" s="2">
        <v>45125</v>
      </c>
      <c r="D2138" s="2" t="str">
        <f>TEXT(Table5[[#This Row],[bill_date]],"mmmm")</f>
        <v>July</v>
      </c>
      <c r="E2138" s="9">
        <f>YEAR(Table5[[#This Row],[bill_date]])</f>
        <v>2023</v>
      </c>
      <c r="F2138">
        <v>630</v>
      </c>
      <c r="G2138" t="s">
        <v>30</v>
      </c>
    </row>
    <row r="2139" spans="1:7" x14ac:dyDescent="0.3">
      <c r="A2139">
        <v>32138</v>
      </c>
      <c r="B2139">
        <v>286</v>
      </c>
      <c r="C2139" s="2">
        <v>45042</v>
      </c>
      <c r="D2139" s="2" t="str">
        <f>TEXT(Table5[[#This Row],[bill_date]],"mmmm")</f>
        <v>April</v>
      </c>
      <c r="E2139" s="9">
        <f>YEAR(Table5[[#This Row],[bill_date]])</f>
        <v>2023</v>
      </c>
      <c r="F2139">
        <v>1756</v>
      </c>
      <c r="G2139" t="s">
        <v>30</v>
      </c>
    </row>
    <row r="2140" spans="1:7" x14ac:dyDescent="0.3">
      <c r="A2140">
        <v>32139</v>
      </c>
      <c r="B2140">
        <v>435</v>
      </c>
      <c r="C2140" s="2">
        <v>44962</v>
      </c>
      <c r="D2140" s="2" t="str">
        <f>TEXT(Table5[[#This Row],[bill_date]],"mmmm")</f>
        <v>February</v>
      </c>
      <c r="E2140" s="9">
        <f>YEAR(Table5[[#This Row],[bill_date]])</f>
        <v>2023</v>
      </c>
      <c r="F2140">
        <v>844</v>
      </c>
      <c r="G2140" t="s">
        <v>30</v>
      </c>
    </row>
    <row r="2141" spans="1:7" x14ac:dyDescent="0.3">
      <c r="A2141">
        <v>32140</v>
      </c>
      <c r="B2141">
        <v>85</v>
      </c>
      <c r="C2141" s="2">
        <v>45021</v>
      </c>
      <c r="D2141" s="2" t="str">
        <f>TEXT(Table5[[#This Row],[bill_date]],"mmmm")</f>
        <v>April</v>
      </c>
      <c r="E2141" s="9">
        <f>YEAR(Table5[[#This Row],[bill_date]])</f>
        <v>2023</v>
      </c>
      <c r="F2141">
        <v>1732</v>
      </c>
      <c r="G2141" t="s">
        <v>30</v>
      </c>
    </row>
    <row r="2142" spans="1:7" x14ac:dyDescent="0.3">
      <c r="A2142">
        <v>32141</v>
      </c>
      <c r="B2142">
        <v>420</v>
      </c>
      <c r="C2142" s="2">
        <v>45338</v>
      </c>
      <c r="D2142" s="2" t="str">
        <f>TEXT(Table5[[#This Row],[bill_date]],"mmmm")</f>
        <v>February</v>
      </c>
      <c r="E2142" s="9">
        <f>YEAR(Table5[[#This Row],[bill_date]])</f>
        <v>2024</v>
      </c>
      <c r="F2142">
        <v>703</v>
      </c>
      <c r="G2142" t="s">
        <v>30</v>
      </c>
    </row>
    <row r="2143" spans="1:7" x14ac:dyDescent="0.3">
      <c r="A2143">
        <v>32142</v>
      </c>
      <c r="B2143">
        <v>317</v>
      </c>
      <c r="C2143" s="2">
        <v>45127</v>
      </c>
      <c r="D2143" s="2" t="str">
        <f>TEXT(Table5[[#This Row],[bill_date]],"mmmm")</f>
        <v>July</v>
      </c>
      <c r="E2143" s="9">
        <f>YEAR(Table5[[#This Row],[bill_date]])</f>
        <v>2023</v>
      </c>
      <c r="F2143">
        <v>871</v>
      </c>
      <c r="G2143" t="s">
        <v>30</v>
      </c>
    </row>
    <row r="2144" spans="1:7" x14ac:dyDescent="0.3">
      <c r="A2144">
        <v>32143</v>
      </c>
      <c r="B2144">
        <v>27</v>
      </c>
      <c r="C2144" s="2">
        <v>44694</v>
      </c>
      <c r="D2144" s="2" t="str">
        <f>TEXT(Table5[[#This Row],[bill_date]],"mmmm")</f>
        <v>May</v>
      </c>
      <c r="E2144" s="9">
        <f>YEAR(Table5[[#This Row],[bill_date]])</f>
        <v>2022</v>
      </c>
      <c r="F2144">
        <v>1005</v>
      </c>
      <c r="G2144" t="s">
        <v>30</v>
      </c>
    </row>
    <row r="2145" spans="1:7" x14ac:dyDescent="0.3">
      <c r="A2145">
        <v>32144</v>
      </c>
      <c r="B2145">
        <v>230</v>
      </c>
      <c r="C2145" s="2">
        <v>44752</v>
      </c>
      <c r="D2145" s="2" t="str">
        <f>TEXT(Table5[[#This Row],[bill_date]],"mmmm")</f>
        <v>July</v>
      </c>
      <c r="E2145" s="9">
        <f>YEAR(Table5[[#This Row],[bill_date]])</f>
        <v>2022</v>
      </c>
      <c r="F2145">
        <v>1777</v>
      </c>
      <c r="G2145" t="s">
        <v>30</v>
      </c>
    </row>
    <row r="2146" spans="1:7" x14ac:dyDescent="0.3">
      <c r="A2146">
        <v>32145</v>
      </c>
      <c r="B2146">
        <v>291</v>
      </c>
      <c r="C2146" s="2">
        <v>44685</v>
      </c>
      <c r="D2146" s="2" t="str">
        <f>TEXT(Table5[[#This Row],[bill_date]],"mmmm")</f>
        <v>May</v>
      </c>
      <c r="E2146" s="9">
        <f>YEAR(Table5[[#This Row],[bill_date]])</f>
        <v>2022</v>
      </c>
      <c r="F2146">
        <v>1631</v>
      </c>
      <c r="G2146" t="s">
        <v>30</v>
      </c>
    </row>
    <row r="2147" spans="1:7" x14ac:dyDescent="0.3">
      <c r="A2147">
        <v>32146</v>
      </c>
      <c r="B2147">
        <v>316</v>
      </c>
      <c r="C2147" s="2">
        <v>44992</v>
      </c>
      <c r="D2147" s="2" t="str">
        <f>TEXT(Table5[[#This Row],[bill_date]],"mmmm")</f>
        <v>March</v>
      </c>
      <c r="E2147" s="9">
        <f>YEAR(Table5[[#This Row],[bill_date]])</f>
        <v>2023</v>
      </c>
      <c r="F2147">
        <v>1624</v>
      </c>
      <c r="G2147" t="s">
        <v>30</v>
      </c>
    </row>
    <row r="2148" spans="1:7" x14ac:dyDescent="0.3">
      <c r="A2148">
        <v>32147</v>
      </c>
      <c r="B2148">
        <v>288</v>
      </c>
      <c r="C2148" s="2">
        <v>44779</v>
      </c>
      <c r="D2148" s="2" t="str">
        <f>TEXT(Table5[[#This Row],[bill_date]],"mmmm")</f>
        <v>August</v>
      </c>
      <c r="E2148" s="9">
        <f>YEAR(Table5[[#This Row],[bill_date]])</f>
        <v>2022</v>
      </c>
      <c r="F2148">
        <v>239</v>
      </c>
      <c r="G2148" t="s">
        <v>30</v>
      </c>
    </row>
    <row r="2149" spans="1:7" x14ac:dyDescent="0.3">
      <c r="A2149">
        <v>32148</v>
      </c>
      <c r="B2149">
        <v>346</v>
      </c>
      <c r="C2149" s="2">
        <v>45438</v>
      </c>
      <c r="D2149" s="2" t="str">
        <f>TEXT(Table5[[#This Row],[bill_date]],"mmmm")</f>
        <v>May</v>
      </c>
      <c r="E2149" s="9">
        <f>YEAR(Table5[[#This Row],[bill_date]])</f>
        <v>2024</v>
      </c>
      <c r="F2149">
        <v>582</v>
      </c>
      <c r="G2149" t="s">
        <v>30</v>
      </c>
    </row>
    <row r="2150" spans="1:7" x14ac:dyDescent="0.3">
      <c r="A2150">
        <v>32149</v>
      </c>
      <c r="B2150">
        <v>132</v>
      </c>
      <c r="C2150" s="2">
        <v>44964</v>
      </c>
      <c r="D2150" s="2" t="str">
        <f>TEXT(Table5[[#This Row],[bill_date]],"mmmm")</f>
        <v>February</v>
      </c>
      <c r="E2150" s="9">
        <f>YEAR(Table5[[#This Row],[bill_date]])</f>
        <v>2023</v>
      </c>
      <c r="F2150">
        <v>1084</v>
      </c>
      <c r="G2150" t="s">
        <v>30</v>
      </c>
    </row>
    <row r="2151" spans="1:7" x14ac:dyDescent="0.3">
      <c r="A2151">
        <v>32150</v>
      </c>
      <c r="B2151">
        <v>91</v>
      </c>
      <c r="C2151" s="2">
        <v>44883</v>
      </c>
      <c r="D2151" s="2" t="str">
        <f>TEXT(Table5[[#This Row],[bill_date]],"mmmm")</f>
        <v>November</v>
      </c>
      <c r="E2151" s="9">
        <f>YEAR(Table5[[#This Row],[bill_date]])</f>
        <v>2022</v>
      </c>
      <c r="F2151">
        <v>1513</v>
      </c>
      <c r="G2151" t="s">
        <v>30</v>
      </c>
    </row>
    <row r="2152" spans="1:7" x14ac:dyDescent="0.3">
      <c r="A2152">
        <v>32151</v>
      </c>
      <c r="B2152">
        <v>356</v>
      </c>
      <c r="C2152" s="2">
        <v>44862</v>
      </c>
      <c r="D2152" s="2" t="str">
        <f>TEXT(Table5[[#This Row],[bill_date]],"mmmm")</f>
        <v>October</v>
      </c>
      <c r="E2152" s="9">
        <f>YEAR(Table5[[#This Row],[bill_date]])</f>
        <v>2022</v>
      </c>
      <c r="F2152">
        <v>381</v>
      </c>
      <c r="G2152" t="s">
        <v>28</v>
      </c>
    </row>
    <row r="2153" spans="1:7" x14ac:dyDescent="0.3">
      <c r="A2153">
        <v>32152</v>
      </c>
      <c r="B2153">
        <v>229</v>
      </c>
      <c r="C2153" s="2">
        <v>44632</v>
      </c>
      <c r="D2153" s="2" t="str">
        <f>TEXT(Table5[[#This Row],[bill_date]],"mmmm")</f>
        <v>March</v>
      </c>
      <c r="E2153" s="9">
        <f>YEAR(Table5[[#This Row],[bill_date]])</f>
        <v>2022</v>
      </c>
      <c r="F2153">
        <v>962</v>
      </c>
      <c r="G2153" t="s">
        <v>28</v>
      </c>
    </row>
    <row r="2154" spans="1:7" x14ac:dyDescent="0.3">
      <c r="A2154">
        <v>32153</v>
      </c>
      <c r="B2154">
        <v>27</v>
      </c>
      <c r="C2154" s="2">
        <v>44775</v>
      </c>
      <c r="D2154" s="2" t="str">
        <f>TEXT(Table5[[#This Row],[bill_date]],"mmmm")</f>
        <v>August</v>
      </c>
      <c r="E2154" s="9">
        <f>YEAR(Table5[[#This Row],[bill_date]])</f>
        <v>2022</v>
      </c>
      <c r="F2154">
        <v>1262</v>
      </c>
      <c r="G2154" t="s">
        <v>29</v>
      </c>
    </row>
    <row r="2155" spans="1:7" x14ac:dyDescent="0.3">
      <c r="A2155">
        <v>32154</v>
      </c>
      <c r="B2155">
        <v>303</v>
      </c>
      <c r="C2155" s="2">
        <v>45435</v>
      </c>
      <c r="D2155" s="2" t="str">
        <f>TEXT(Table5[[#This Row],[bill_date]],"mmmm")</f>
        <v>May</v>
      </c>
      <c r="E2155" s="9">
        <f>YEAR(Table5[[#This Row],[bill_date]])</f>
        <v>2024</v>
      </c>
      <c r="F2155">
        <v>1821</v>
      </c>
      <c r="G2155" t="s">
        <v>30</v>
      </c>
    </row>
    <row r="2156" spans="1:7" x14ac:dyDescent="0.3">
      <c r="A2156">
        <v>32155</v>
      </c>
      <c r="B2156">
        <v>496</v>
      </c>
      <c r="C2156" s="2">
        <v>45106</v>
      </c>
      <c r="D2156" s="2" t="str">
        <f>TEXT(Table5[[#This Row],[bill_date]],"mmmm")</f>
        <v>June</v>
      </c>
      <c r="E2156" s="9">
        <f>YEAR(Table5[[#This Row],[bill_date]])</f>
        <v>2023</v>
      </c>
      <c r="F2156">
        <v>1447</v>
      </c>
      <c r="G2156" t="s">
        <v>30</v>
      </c>
    </row>
    <row r="2157" spans="1:7" x14ac:dyDescent="0.3">
      <c r="A2157">
        <v>32156</v>
      </c>
      <c r="B2157">
        <v>390</v>
      </c>
      <c r="C2157" s="2">
        <v>44935</v>
      </c>
      <c r="D2157" s="2" t="str">
        <f>TEXT(Table5[[#This Row],[bill_date]],"mmmm")</f>
        <v>January</v>
      </c>
      <c r="E2157" s="9">
        <f>YEAR(Table5[[#This Row],[bill_date]])</f>
        <v>2023</v>
      </c>
      <c r="F2157">
        <v>1507</v>
      </c>
      <c r="G2157" t="s">
        <v>30</v>
      </c>
    </row>
    <row r="2158" spans="1:7" x14ac:dyDescent="0.3">
      <c r="A2158">
        <v>32157</v>
      </c>
      <c r="B2158">
        <v>466</v>
      </c>
      <c r="C2158" s="2">
        <v>44897</v>
      </c>
      <c r="D2158" s="2" t="str">
        <f>TEXT(Table5[[#This Row],[bill_date]],"mmmm")</f>
        <v>December</v>
      </c>
      <c r="E2158" s="9">
        <f>YEAR(Table5[[#This Row],[bill_date]])</f>
        <v>2022</v>
      </c>
      <c r="F2158">
        <v>336</v>
      </c>
      <c r="G2158" t="s">
        <v>30</v>
      </c>
    </row>
    <row r="2159" spans="1:7" x14ac:dyDescent="0.3">
      <c r="A2159">
        <v>32158</v>
      </c>
      <c r="B2159">
        <v>282</v>
      </c>
      <c r="C2159" s="2">
        <v>44732</v>
      </c>
      <c r="D2159" s="2" t="str">
        <f>TEXT(Table5[[#This Row],[bill_date]],"mmmm")</f>
        <v>June</v>
      </c>
      <c r="E2159" s="9">
        <f>YEAR(Table5[[#This Row],[bill_date]])</f>
        <v>2022</v>
      </c>
      <c r="F2159">
        <v>533</v>
      </c>
      <c r="G2159" t="s">
        <v>30</v>
      </c>
    </row>
    <row r="2160" spans="1:7" x14ac:dyDescent="0.3">
      <c r="A2160">
        <v>32159</v>
      </c>
      <c r="B2160">
        <v>492</v>
      </c>
      <c r="C2160" s="2">
        <v>44905</v>
      </c>
      <c r="D2160" s="2" t="str">
        <f>TEXT(Table5[[#This Row],[bill_date]],"mmmm")</f>
        <v>December</v>
      </c>
      <c r="E2160" s="9">
        <f>YEAR(Table5[[#This Row],[bill_date]])</f>
        <v>2022</v>
      </c>
      <c r="F2160">
        <v>336</v>
      </c>
      <c r="G2160" t="s">
        <v>30</v>
      </c>
    </row>
    <row r="2161" spans="1:7" x14ac:dyDescent="0.3">
      <c r="A2161">
        <v>32160</v>
      </c>
      <c r="B2161">
        <v>280</v>
      </c>
      <c r="C2161" s="2">
        <v>45017</v>
      </c>
      <c r="D2161" s="2" t="str">
        <f>TEXT(Table5[[#This Row],[bill_date]],"mmmm")</f>
        <v>April</v>
      </c>
      <c r="E2161" s="9">
        <f>YEAR(Table5[[#This Row],[bill_date]])</f>
        <v>2023</v>
      </c>
      <c r="F2161">
        <v>1696</v>
      </c>
      <c r="G2161" t="s">
        <v>30</v>
      </c>
    </row>
    <row r="2162" spans="1:7" x14ac:dyDescent="0.3">
      <c r="A2162">
        <v>32161</v>
      </c>
      <c r="B2162">
        <v>500</v>
      </c>
      <c r="C2162" s="2">
        <v>45423</v>
      </c>
      <c r="D2162" s="2" t="str">
        <f>TEXT(Table5[[#This Row],[bill_date]],"mmmm")</f>
        <v>May</v>
      </c>
      <c r="E2162" s="9">
        <f>YEAR(Table5[[#This Row],[bill_date]])</f>
        <v>2024</v>
      </c>
      <c r="F2162">
        <v>686</v>
      </c>
      <c r="G2162" t="s">
        <v>29</v>
      </c>
    </row>
    <row r="2163" spans="1:7" x14ac:dyDescent="0.3">
      <c r="A2163">
        <v>32162</v>
      </c>
      <c r="B2163">
        <v>199</v>
      </c>
      <c r="C2163" s="2">
        <v>44971</v>
      </c>
      <c r="D2163" s="2" t="str">
        <f>TEXT(Table5[[#This Row],[bill_date]],"mmmm")</f>
        <v>February</v>
      </c>
      <c r="E2163" s="9">
        <f>YEAR(Table5[[#This Row],[bill_date]])</f>
        <v>2023</v>
      </c>
      <c r="F2163">
        <v>774</v>
      </c>
      <c r="G2163" t="s">
        <v>28</v>
      </c>
    </row>
    <row r="2164" spans="1:7" x14ac:dyDescent="0.3">
      <c r="A2164">
        <v>32163</v>
      </c>
      <c r="B2164">
        <v>375</v>
      </c>
      <c r="C2164" s="2">
        <v>44862</v>
      </c>
      <c r="D2164" s="2" t="str">
        <f>TEXT(Table5[[#This Row],[bill_date]],"mmmm")</f>
        <v>October</v>
      </c>
      <c r="E2164" s="9">
        <f>YEAR(Table5[[#This Row],[bill_date]])</f>
        <v>2022</v>
      </c>
      <c r="F2164">
        <v>827</v>
      </c>
      <c r="G2164" t="s">
        <v>30</v>
      </c>
    </row>
    <row r="2165" spans="1:7" x14ac:dyDescent="0.3">
      <c r="A2165">
        <v>32164</v>
      </c>
      <c r="B2165">
        <v>300</v>
      </c>
      <c r="C2165" s="2">
        <v>45057</v>
      </c>
      <c r="D2165" s="2" t="str">
        <f>TEXT(Table5[[#This Row],[bill_date]],"mmmm")</f>
        <v>May</v>
      </c>
      <c r="E2165" s="9">
        <f>YEAR(Table5[[#This Row],[bill_date]])</f>
        <v>2023</v>
      </c>
      <c r="F2165">
        <v>1832</v>
      </c>
      <c r="G2165" t="s">
        <v>30</v>
      </c>
    </row>
    <row r="2166" spans="1:7" x14ac:dyDescent="0.3">
      <c r="A2166">
        <v>32165</v>
      </c>
      <c r="B2166">
        <v>398</v>
      </c>
      <c r="C2166" s="2">
        <v>44852</v>
      </c>
      <c r="D2166" s="2" t="str">
        <f>TEXT(Table5[[#This Row],[bill_date]],"mmmm")</f>
        <v>October</v>
      </c>
      <c r="E2166" s="9">
        <f>YEAR(Table5[[#This Row],[bill_date]])</f>
        <v>2022</v>
      </c>
      <c r="F2166">
        <v>1368</v>
      </c>
      <c r="G2166" t="s">
        <v>30</v>
      </c>
    </row>
    <row r="2167" spans="1:7" x14ac:dyDescent="0.3">
      <c r="A2167">
        <v>32166</v>
      </c>
      <c r="B2167">
        <v>397</v>
      </c>
      <c r="C2167" s="2">
        <v>45310</v>
      </c>
      <c r="D2167" s="2" t="str">
        <f>TEXT(Table5[[#This Row],[bill_date]],"mmmm")</f>
        <v>January</v>
      </c>
      <c r="E2167" s="9">
        <f>YEAR(Table5[[#This Row],[bill_date]])</f>
        <v>2024</v>
      </c>
      <c r="F2167">
        <v>1096</v>
      </c>
      <c r="G2167" t="s">
        <v>30</v>
      </c>
    </row>
    <row r="2168" spans="1:7" x14ac:dyDescent="0.3">
      <c r="A2168">
        <v>32167</v>
      </c>
      <c r="B2168">
        <v>154</v>
      </c>
      <c r="C2168" s="2">
        <v>45410</v>
      </c>
      <c r="D2168" s="2" t="str">
        <f>TEXT(Table5[[#This Row],[bill_date]],"mmmm")</f>
        <v>April</v>
      </c>
      <c r="E2168" s="9">
        <f>YEAR(Table5[[#This Row],[bill_date]])</f>
        <v>2024</v>
      </c>
      <c r="F2168">
        <v>607</v>
      </c>
      <c r="G2168" t="s">
        <v>30</v>
      </c>
    </row>
    <row r="2169" spans="1:7" x14ac:dyDescent="0.3">
      <c r="A2169">
        <v>32168</v>
      </c>
      <c r="B2169">
        <v>299</v>
      </c>
      <c r="C2169" s="2">
        <v>44998</v>
      </c>
      <c r="D2169" s="2" t="str">
        <f>TEXT(Table5[[#This Row],[bill_date]],"mmmm")</f>
        <v>March</v>
      </c>
      <c r="E2169" s="9">
        <f>YEAR(Table5[[#This Row],[bill_date]])</f>
        <v>2023</v>
      </c>
      <c r="F2169">
        <v>1732</v>
      </c>
      <c r="G2169" t="s">
        <v>28</v>
      </c>
    </row>
    <row r="2170" spans="1:7" x14ac:dyDescent="0.3">
      <c r="A2170">
        <v>32169</v>
      </c>
      <c r="B2170">
        <v>43</v>
      </c>
      <c r="C2170" s="2">
        <v>44663</v>
      </c>
      <c r="D2170" s="2" t="str">
        <f>TEXT(Table5[[#This Row],[bill_date]],"mmmm")</f>
        <v>April</v>
      </c>
      <c r="E2170" s="9">
        <f>YEAR(Table5[[#This Row],[bill_date]])</f>
        <v>2022</v>
      </c>
      <c r="F2170">
        <v>1307</v>
      </c>
      <c r="G2170" t="s">
        <v>30</v>
      </c>
    </row>
    <row r="2171" spans="1:7" x14ac:dyDescent="0.3">
      <c r="A2171">
        <v>32170</v>
      </c>
      <c r="B2171">
        <v>322</v>
      </c>
      <c r="C2171" s="2">
        <v>44571</v>
      </c>
      <c r="D2171" s="2" t="str">
        <f>TEXT(Table5[[#This Row],[bill_date]],"mmmm")</f>
        <v>January</v>
      </c>
      <c r="E2171" s="9">
        <f>YEAR(Table5[[#This Row],[bill_date]])</f>
        <v>2022</v>
      </c>
      <c r="F2171">
        <v>1785</v>
      </c>
      <c r="G2171" t="s">
        <v>30</v>
      </c>
    </row>
    <row r="2172" spans="1:7" x14ac:dyDescent="0.3">
      <c r="A2172">
        <v>32171</v>
      </c>
      <c r="B2172">
        <v>110</v>
      </c>
      <c r="C2172" s="2">
        <v>44602</v>
      </c>
      <c r="D2172" s="2" t="str">
        <f>TEXT(Table5[[#This Row],[bill_date]],"mmmm")</f>
        <v>February</v>
      </c>
      <c r="E2172" s="9">
        <f>YEAR(Table5[[#This Row],[bill_date]])</f>
        <v>2022</v>
      </c>
      <c r="F2172">
        <v>1829</v>
      </c>
      <c r="G2172" t="s">
        <v>28</v>
      </c>
    </row>
    <row r="2173" spans="1:7" x14ac:dyDescent="0.3">
      <c r="A2173">
        <v>32172</v>
      </c>
      <c r="B2173">
        <v>111</v>
      </c>
      <c r="C2173" s="2">
        <v>44931</v>
      </c>
      <c r="D2173" s="2" t="str">
        <f>TEXT(Table5[[#This Row],[bill_date]],"mmmm")</f>
        <v>January</v>
      </c>
      <c r="E2173" s="9">
        <f>YEAR(Table5[[#This Row],[bill_date]])</f>
        <v>2023</v>
      </c>
      <c r="F2173">
        <v>1231</v>
      </c>
      <c r="G2173" t="s">
        <v>30</v>
      </c>
    </row>
    <row r="2174" spans="1:7" x14ac:dyDescent="0.3">
      <c r="A2174">
        <v>32173</v>
      </c>
      <c r="B2174">
        <v>471</v>
      </c>
      <c r="C2174" s="2">
        <v>44687</v>
      </c>
      <c r="D2174" s="2" t="str">
        <f>TEXT(Table5[[#This Row],[bill_date]],"mmmm")</f>
        <v>May</v>
      </c>
      <c r="E2174" s="9">
        <f>YEAR(Table5[[#This Row],[bill_date]])</f>
        <v>2022</v>
      </c>
      <c r="F2174">
        <v>1057</v>
      </c>
      <c r="G2174" t="s">
        <v>30</v>
      </c>
    </row>
    <row r="2175" spans="1:7" x14ac:dyDescent="0.3">
      <c r="A2175">
        <v>32174</v>
      </c>
      <c r="B2175">
        <v>412</v>
      </c>
      <c r="C2175" s="2">
        <v>45346</v>
      </c>
      <c r="D2175" s="2" t="str">
        <f>TEXT(Table5[[#This Row],[bill_date]],"mmmm")</f>
        <v>February</v>
      </c>
      <c r="E2175" s="9">
        <f>YEAR(Table5[[#This Row],[bill_date]])</f>
        <v>2024</v>
      </c>
      <c r="F2175">
        <v>1311</v>
      </c>
      <c r="G2175" t="s">
        <v>30</v>
      </c>
    </row>
    <row r="2176" spans="1:7" x14ac:dyDescent="0.3">
      <c r="A2176">
        <v>32175</v>
      </c>
      <c r="B2176">
        <v>1</v>
      </c>
      <c r="C2176" s="2">
        <v>44944</v>
      </c>
      <c r="D2176" s="2" t="str">
        <f>TEXT(Table5[[#This Row],[bill_date]],"mmmm")</f>
        <v>January</v>
      </c>
      <c r="E2176" s="9">
        <f>YEAR(Table5[[#This Row],[bill_date]])</f>
        <v>2023</v>
      </c>
      <c r="F2176">
        <v>1311</v>
      </c>
      <c r="G2176" t="s">
        <v>28</v>
      </c>
    </row>
    <row r="2177" spans="1:7" x14ac:dyDescent="0.3">
      <c r="A2177">
        <v>32176</v>
      </c>
      <c r="B2177">
        <v>480</v>
      </c>
      <c r="C2177" s="2">
        <v>44888</v>
      </c>
      <c r="D2177" s="2" t="str">
        <f>TEXT(Table5[[#This Row],[bill_date]],"mmmm")</f>
        <v>November</v>
      </c>
      <c r="E2177" s="9">
        <f>YEAR(Table5[[#This Row],[bill_date]])</f>
        <v>2022</v>
      </c>
      <c r="F2177">
        <v>417</v>
      </c>
      <c r="G2177" t="s">
        <v>30</v>
      </c>
    </row>
    <row r="2178" spans="1:7" x14ac:dyDescent="0.3">
      <c r="A2178">
        <v>32177</v>
      </c>
      <c r="B2178">
        <v>140</v>
      </c>
      <c r="C2178" s="2">
        <v>45011</v>
      </c>
      <c r="D2178" s="2" t="str">
        <f>TEXT(Table5[[#This Row],[bill_date]],"mmmm")</f>
        <v>March</v>
      </c>
      <c r="E2178" s="9">
        <f>YEAR(Table5[[#This Row],[bill_date]])</f>
        <v>2023</v>
      </c>
      <c r="F2178">
        <v>1040</v>
      </c>
      <c r="G2178" t="s">
        <v>30</v>
      </c>
    </row>
    <row r="2179" spans="1:7" x14ac:dyDescent="0.3">
      <c r="A2179">
        <v>32178</v>
      </c>
      <c r="B2179">
        <v>366</v>
      </c>
      <c r="C2179" s="2">
        <v>45084</v>
      </c>
      <c r="D2179" s="2" t="str">
        <f>TEXT(Table5[[#This Row],[bill_date]],"mmmm")</f>
        <v>June</v>
      </c>
      <c r="E2179" s="9">
        <f>YEAR(Table5[[#This Row],[bill_date]])</f>
        <v>2023</v>
      </c>
      <c r="F2179">
        <v>548</v>
      </c>
      <c r="G2179" t="s">
        <v>28</v>
      </c>
    </row>
    <row r="2180" spans="1:7" x14ac:dyDescent="0.3">
      <c r="A2180">
        <v>32179</v>
      </c>
      <c r="B2180">
        <v>178</v>
      </c>
      <c r="C2180" s="2">
        <v>45392</v>
      </c>
      <c r="D2180" s="2" t="str">
        <f>TEXT(Table5[[#This Row],[bill_date]],"mmmm")</f>
        <v>April</v>
      </c>
      <c r="E2180" s="9">
        <f>YEAR(Table5[[#This Row],[bill_date]])</f>
        <v>2024</v>
      </c>
      <c r="F2180">
        <v>603</v>
      </c>
      <c r="G2180" t="s">
        <v>30</v>
      </c>
    </row>
    <row r="2181" spans="1:7" x14ac:dyDescent="0.3">
      <c r="A2181">
        <v>32180</v>
      </c>
      <c r="B2181">
        <v>437</v>
      </c>
      <c r="C2181" s="2">
        <v>45268</v>
      </c>
      <c r="D2181" s="2" t="str">
        <f>TEXT(Table5[[#This Row],[bill_date]],"mmmm")</f>
        <v>December</v>
      </c>
      <c r="E2181" s="9">
        <f>YEAR(Table5[[#This Row],[bill_date]])</f>
        <v>2023</v>
      </c>
      <c r="F2181">
        <v>1383</v>
      </c>
      <c r="G2181" t="s">
        <v>30</v>
      </c>
    </row>
    <row r="2182" spans="1:7" x14ac:dyDescent="0.3">
      <c r="A2182">
        <v>32181</v>
      </c>
      <c r="B2182">
        <v>60</v>
      </c>
      <c r="C2182" s="2">
        <v>45093</v>
      </c>
      <c r="D2182" s="2" t="str">
        <f>TEXT(Table5[[#This Row],[bill_date]],"mmmm")</f>
        <v>June</v>
      </c>
      <c r="E2182" s="9">
        <f>YEAR(Table5[[#This Row],[bill_date]])</f>
        <v>2023</v>
      </c>
      <c r="F2182">
        <v>241</v>
      </c>
      <c r="G2182" t="s">
        <v>28</v>
      </c>
    </row>
    <row r="2183" spans="1:7" x14ac:dyDescent="0.3">
      <c r="A2183">
        <v>32182</v>
      </c>
      <c r="B2183">
        <v>183</v>
      </c>
      <c r="C2183" s="2">
        <v>44834</v>
      </c>
      <c r="D2183" s="2" t="str">
        <f>TEXT(Table5[[#This Row],[bill_date]],"mmmm")</f>
        <v>September</v>
      </c>
      <c r="E2183" s="9">
        <f>YEAR(Table5[[#This Row],[bill_date]])</f>
        <v>2022</v>
      </c>
      <c r="F2183">
        <v>1696</v>
      </c>
      <c r="G2183" t="s">
        <v>30</v>
      </c>
    </row>
    <row r="2184" spans="1:7" x14ac:dyDescent="0.3">
      <c r="A2184">
        <v>32183</v>
      </c>
      <c r="B2184">
        <v>419</v>
      </c>
      <c r="C2184" s="2">
        <v>45063</v>
      </c>
      <c r="D2184" s="2" t="str">
        <f>TEXT(Table5[[#This Row],[bill_date]],"mmmm")</f>
        <v>May</v>
      </c>
      <c r="E2184" s="9">
        <f>YEAR(Table5[[#This Row],[bill_date]])</f>
        <v>2023</v>
      </c>
      <c r="F2184">
        <v>1980</v>
      </c>
      <c r="G2184" t="s">
        <v>30</v>
      </c>
    </row>
    <row r="2185" spans="1:7" x14ac:dyDescent="0.3">
      <c r="A2185">
        <v>32184</v>
      </c>
      <c r="B2185">
        <v>445</v>
      </c>
      <c r="C2185" s="2">
        <v>45308</v>
      </c>
      <c r="D2185" s="2" t="str">
        <f>TEXT(Table5[[#This Row],[bill_date]],"mmmm")</f>
        <v>January</v>
      </c>
      <c r="E2185" s="9">
        <f>YEAR(Table5[[#This Row],[bill_date]])</f>
        <v>2024</v>
      </c>
      <c r="F2185">
        <v>456</v>
      </c>
      <c r="G2185" t="s">
        <v>30</v>
      </c>
    </row>
    <row r="2186" spans="1:7" x14ac:dyDescent="0.3">
      <c r="A2186">
        <v>32185</v>
      </c>
      <c r="B2186">
        <v>282</v>
      </c>
      <c r="C2186" s="2">
        <v>45048</v>
      </c>
      <c r="D2186" s="2" t="str">
        <f>TEXT(Table5[[#This Row],[bill_date]],"mmmm")</f>
        <v>May</v>
      </c>
      <c r="E2186" s="9">
        <f>YEAR(Table5[[#This Row],[bill_date]])</f>
        <v>2023</v>
      </c>
      <c r="F2186">
        <v>1381</v>
      </c>
      <c r="G2186" t="s">
        <v>30</v>
      </c>
    </row>
    <row r="2187" spans="1:7" x14ac:dyDescent="0.3">
      <c r="A2187">
        <v>32186</v>
      </c>
      <c r="B2187">
        <v>415</v>
      </c>
      <c r="C2187" s="2">
        <v>44788</v>
      </c>
      <c r="D2187" s="2" t="str">
        <f>TEXT(Table5[[#This Row],[bill_date]],"mmmm")</f>
        <v>August</v>
      </c>
      <c r="E2187" s="9">
        <f>YEAR(Table5[[#This Row],[bill_date]])</f>
        <v>2022</v>
      </c>
      <c r="F2187">
        <v>1354</v>
      </c>
      <c r="G2187" t="s">
        <v>30</v>
      </c>
    </row>
    <row r="2188" spans="1:7" x14ac:dyDescent="0.3">
      <c r="A2188">
        <v>32187</v>
      </c>
      <c r="B2188">
        <v>313</v>
      </c>
      <c r="C2188" s="2">
        <v>44788</v>
      </c>
      <c r="D2188" s="2" t="str">
        <f>TEXT(Table5[[#This Row],[bill_date]],"mmmm")</f>
        <v>August</v>
      </c>
      <c r="E2188" s="9">
        <f>YEAR(Table5[[#This Row],[bill_date]])</f>
        <v>2022</v>
      </c>
      <c r="F2188">
        <v>1781</v>
      </c>
      <c r="G2188" t="s">
        <v>30</v>
      </c>
    </row>
    <row r="2189" spans="1:7" x14ac:dyDescent="0.3">
      <c r="A2189">
        <v>32188</v>
      </c>
      <c r="B2189">
        <v>396</v>
      </c>
      <c r="C2189" s="2">
        <v>45427</v>
      </c>
      <c r="D2189" s="2" t="str">
        <f>TEXT(Table5[[#This Row],[bill_date]],"mmmm")</f>
        <v>May</v>
      </c>
      <c r="E2189" s="9">
        <f>YEAR(Table5[[#This Row],[bill_date]])</f>
        <v>2024</v>
      </c>
      <c r="F2189">
        <v>1050</v>
      </c>
      <c r="G2189" t="s">
        <v>30</v>
      </c>
    </row>
    <row r="2190" spans="1:7" x14ac:dyDescent="0.3">
      <c r="A2190">
        <v>32189</v>
      </c>
      <c r="B2190">
        <v>221</v>
      </c>
      <c r="C2190" s="2">
        <v>44902</v>
      </c>
      <c r="D2190" s="2" t="str">
        <f>TEXT(Table5[[#This Row],[bill_date]],"mmmm")</f>
        <v>December</v>
      </c>
      <c r="E2190" s="9">
        <f>YEAR(Table5[[#This Row],[bill_date]])</f>
        <v>2022</v>
      </c>
      <c r="F2190">
        <v>1823</v>
      </c>
      <c r="G2190" t="s">
        <v>29</v>
      </c>
    </row>
    <row r="2191" spans="1:7" x14ac:dyDescent="0.3">
      <c r="A2191">
        <v>32190</v>
      </c>
      <c r="B2191">
        <v>389</v>
      </c>
      <c r="C2191" s="2">
        <v>44833</v>
      </c>
      <c r="D2191" s="2" t="str">
        <f>TEXT(Table5[[#This Row],[bill_date]],"mmmm")</f>
        <v>September</v>
      </c>
      <c r="E2191" s="9">
        <f>YEAR(Table5[[#This Row],[bill_date]])</f>
        <v>2022</v>
      </c>
      <c r="F2191">
        <v>1267</v>
      </c>
      <c r="G2191" t="s">
        <v>30</v>
      </c>
    </row>
    <row r="2192" spans="1:7" x14ac:dyDescent="0.3">
      <c r="A2192">
        <v>32191</v>
      </c>
      <c r="B2192">
        <v>227</v>
      </c>
      <c r="C2192" s="2">
        <v>45352</v>
      </c>
      <c r="D2192" s="2" t="str">
        <f>TEXT(Table5[[#This Row],[bill_date]],"mmmm")</f>
        <v>March</v>
      </c>
      <c r="E2192" s="9">
        <f>YEAR(Table5[[#This Row],[bill_date]])</f>
        <v>2024</v>
      </c>
      <c r="F2192">
        <v>1543</v>
      </c>
      <c r="G2192" t="s">
        <v>29</v>
      </c>
    </row>
    <row r="2193" spans="1:7" x14ac:dyDescent="0.3">
      <c r="A2193">
        <v>32192</v>
      </c>
      <c r="B2193">
        <v>391</v>
      </c>
      <c r="C2193" s="2">
        <v>44956</v>
      </c>
      <c r="D2193" s="2" t="str">
        <f>TEXT(Table5[[#This Row],[bill_date]],"mmmm")</f>
        <v>January</v>
      </c>
      <c r="E2193" s="9">
        <f>YEAR(Table5[[#This Row],[bill_date]])</f>
        <v>2023</v>
      </c>
      <c r="F2193">
        <v>1212</v>
      </c>
      <c r="G2193" t="s">
        <v>28</v>
      </c>
    </row>
    <row r="2194" spans="1:7" x14ac:dyDescent="0.3">
      <c r="A2194">
        <v>32193</v>
      </c>
      <c r="B2194">
        <v>144</v>
      </c>
      <c r="C2194" s="2">
        <v>44685</v>
      </c>
      <c r="D2194" s="2" t="str">
        <f>TEXT(Table5[[#This Row],[bill_date]],"mmmm")</f>
        <v>May</v>
      </c>
      <c r="E2194" s="9">
        <f>YEAR(Table5[[#This Row],[bill_date]])</f>
        <v>2022</v>
      </c>
      <c r="F2194">
        <v>1416</v>
      </c>
      <c r="G2194" t="s">
        <v>30</v>
      </c>
    </row>
    <row r="2195" spans="1:7" x14ac:dyDescent="0.3">
      <c r="A2195">
        <v>32194</v>
      </c>
      <c r="B2195">
        <v>224</v>
      </c>
      <c r="C2195" s="2">
        <v>44756</v>
      </c>
      <c r="D2195" s="2" t="str">
        <f>TEXT(Table5[[#This Row],[bill_date]],"mmmm")</f>
        <v>July</v>
      </c>
      <c r="E2195" s="9">
        <f>YEAR(Table5[[#This Row],[bill_date]])</f>
        <v>2022</v>
      </c>
      <c r="F2195">
        <v>1740</v>
      </c>
      <c r="G2195" t="s">
        <v>30</v>
      </c>
    </row>
    <row r="2196" spans="1:7" x14ac:dyDescent="0.3">
      <c r="A2196">
        <v>32195</v>
      </c>
      <c r="B2196">
        <v>52</v>
      </c>
      <c r="C2196" s="2">
        <v>45144</v>
      </c>
      <c r="D2196" s="2" t="str">
        <f>TEXT(Table5[[#This Row],[bill_date]],"mmmm")</f>
        <v>August</v>
      </c>
      <c r="E2196" s="9">
        <f>YEAR(Table5[[#This Row],[bill_date]])</f>
        <v>2023</v>
      </c>
      <c r="F2196">
        <v>1485</v>
      </c>
      <c r="G2196" t="s">
        <v>30</v>
      </c>
    </row>
    <row r="2197" spans="1:7" x14ac:dyDescent="0.3">
      <c r="A2197">
        <v>32196</v>
      </c>
      <c r="B2197">
        <v>81</v>
      </c>
      <c r="C2197" s="2">
        <v>45305</v>
      </c>
      <c r="D2197" s="2" t="str">
        <f>TEXT(Table5[[#This Row],[bill_date]],"mmmm")</f>
        <v>January</v>
      </c>
      <c r="E2197" s="9">
        <f>YEAR(Table5[[#This Row],[bill_date]])</f>
        <v>2024</v>
      </c>
      <c r="F2197">
        <v>633</v>
      </c>
      <c r="G2197" t="s">
        <v>30</v>
      </c>
    </row>
    <row r="2198" spans="1:7" x14ac:dyDescent="0.3">
      <c r="A2198">
        <v>32197</v>
      </c>
      <c r="B2198">
        <v>149</v>
      </c>
      <c r="C2198" s="2">
        <v>44734</v>
      </c>
      <c r="D2198" s="2" t="str">
        <f>TEXT(Table5[[#This Row],[bill_date]],"mmmm")</f>
        <v>June</v>
      </c>
      <c r="E2198" s="9">
        <f>YEAR(Table5[[#This Row],[bill_date]])</f>
        <v>2022</v>
      </c>
      <c r="F2198">
        <v>1930</v>
      </c>
      <c r="G2198" t="s">
        <v>30</v>
      </c>
    </row>
    <row r="2199" spans="1:7" x14ac:dyDescent="0.3">
      <c r="A2199">
        <v>32198</v>
      </c>
      <c r="B2199">
        <v>27</v>
      </c>
      <c r="C2199" s="2">
        <v>44764</v>
      </c>
      <c r="D2199" s="2" t="str">
        <f>TEXT(Table5[[#This Row],[bill_date]],"mmmm")</f>
        <v>July</v>
      </c>
      <c r="E2199" s="9">
        <f>YEAR(Table5[[#This Row],[bill_date]])</f>
        <v>2022</v>
      </c>
      <c r="F2199">
        <v>728</v>
      </c>
      <c r="G2199" t="s">
        <v>30</v>
      </c>
    </row>
    <row r="2200" spans="1:7" x14ac:dyDescent="0.3">
      <c r="A2200">
        <v>32199</v>
      </c>
      <c r="B2200">
        <v>232</v>
      </c>
      <c r="C2200" s="2">
        <v>44594</v>
      </c>
      <c r="D2200" s="2" t="str">
        <f>TEXT(Table5[[#This Row],[bill_date]],"mmmm")</f>
        <v>February</v>
      </c>
      <c r="E2200" s="9">
        <f>YEAR(Table5[[#This Row],[bill_date]])</f>
        <v>2022</v>
      </c>
      <c r="F2200">
        <v>1519</v>
      </c>
      <c r="G2200" t="s">
        <v>30</v>
      </c>
    </row>
    <row r="2201" spans="1:7" x14ac:dyDescent="0.3">
      <c r="A2201">
        <v>32200</v>
      </c>
      <c r="B2201">
        <v>111</v>
      </c>
      <c r="C2201" s="2">
        <v>44772</v>
      </c>
      <c r="D2201" s="2" t="str">
        <f>TEXT(Table5[[#This Row],[bill_date]],"mmmm")</f>
        <v>July</v>
      </c>
      <c r="E2201" s="9">
        <f>YEAR(Table5[[#This Row],[bill_date]])</f>
        <v>2022</v>
      </c>
      <c r="F2201">
        <v>1723</v>
      </c>
      <c r="G2201" t="s">
        <v>30</v>
      </c>
    </row>
    <row r="2202" spans="1:7" x14ac:dyDescent="0.3">
      <c r="A2202">
        <v>32201</v>
      </c>
      <c r="B2202">
        <v>372</v>
      </c>
      <c r="C2202" s="2">
        <v>45374</v>
      </c>
      <c r="D2202" s="2" t="str">
        <f>TEXT(Table5[[#This Row],[bill_date]],"mmmm")</f>
        <v>March</v>
      </c>
      <c r="E2202" s="9">
        <f>YEAR(Table5[[#This Row],[bill_date]])</f>
        <v>2024</v>
      </c>
      <c r="F2202">
        <v>1841</v>
      </c>
      <c r="G2202" t="s">
        <v>30</v>
      </c>
    </row>
    <row r="2203" spans="1:7" x14ac:dyDescent="0.3">
      <c r="A2203">
        <v>32202</v>
      </c>
      <c r="B2203">
        <v>79</v>
      </c>
      <c r="C2203" s="2">
        <v>45255</v>
      </c>
      <c r="D2203" s="2" t="str">
        <f>TEXT(Table5[[#This Row],[bill_date]],"mmmm")</f>
        <v>November</v>
      </c>
      <c r="E2203" s="9">
        <f>YEAR(Table5[[#This Row],[bill_date]])</f>
        <v>2023</v>
      </c>
      <c r="F2203">
        <v>267</v>
      </c>
      <c r="G2203" t="s">
        <v>30</v>
      </c>
    </row>
    <row r="2204" spans="1:7" x14ac:dyDescent="0.3">
      <c r="A2204">
        <v>32203</v>
      </c>
      <c r="B2204">
        <v>279</v>
      </c>
      <c r="C2204" s="2">
        <v>45314</v>
      </c>
      <c r="D2204" s="2" t="str">
        <f>TEXT(Table5[[#This Row],[bill_date]],"mmmm")</f>
        <v>January</v>
      </c>
      <c r="E2204" s="9">
        <f>YEAR(Table5[[#This Row],[bill_date]])</f>
        <v>2024</v>
      </c>
      <c r="F2204">
        <v>1247</v>
      </c>
      <c r="G2204" t="s">
        <v>30</v>
      </c>
    </row>
    <row r="2205" spans="1:7" x14ac:dyDescent="0.3">
      <c r="A2205">
        <v>32204</v>
      </c>
      <c r="B2205">
        <v>127</v>
      </c>
      <c r="C2205" s="2">
        <v>44612</v>
      </c>
      <c r="D2205" s="2" t="str">
        <f>TEXT(Table5[[#This Row],[bill_date]],"mmmm")</f>
        <v>February</v>
      </c>
      <c r="E2205" s="9">
        <f>YEAR(Table5[[#This Row],[bill_date]])</f>
        <v>2022</v>
      </c>
      <c r="F2205">
        <v>766</v>
      </c>
      <c r="G2205" t="s">
        <v>30</v>
      </c>
    </row>
    <row r="2206" spans="1:7" x14ac:dyDescent="0.3">
      <c r="A2206">
        <v>32205</v>
      </c>
      <c r="B2206">
        <v>456</v>
      </c>
      <c r="C2206" s="2">
        <v>45444</v>
      </c>
      <c r="D2206" s="2" t="str">
        <f>TEXT(Table5[[#This Row],[bill_date]],"mmmm")</f>
        <v>June</v>
      </c>
      <c r="E2206" s="9">
        <f>YEAR(Table5[[#This Row],[bill_date]])</f>
        <v>2024</v>
      </c>
      <c r="F2206">
        <v>711</v>
      </c>
      <c r="G2206" t="s">
        <v>30</v>
      </c>
    </row>
    <row r="2207" spans="1:7" x14ac:dyDescent="0.3">
      <c r="A2207">
        <v>32206</v>
      </c>
      <c r="B2207">
        <v>281</v>
      </c>
      <c r="C2207" s="2">
        <v>45453</v>
      </c>
      <c r="D2207" s="2" t="str">
        <f>TEXT(Table5[[#This Row],[bill_date]],"mmmm")</f>
        <v>June</v>
      </c>
      <c r="E2207" s="9">
        <f>YEAR(Table5[[#This Row],[bill_date]])</f>
        <v>2024</v>
      </c>
      <c r="F2207">
        <v>381</v>
      </c>
      <c r="G2207" t="s">
        <v>30</v>
      </c>
    </row>
    <row r="2208" spans="1:7" x14ac:dyDescent="0.3">
      <c r="A2208">
        <v>32207</v>
      </c>
      <c r="B2208">
        <v>395</v>
      </c>
      <c r="C2208" s="2">
        <v>45416</v>
      </c>
      <c r="D2208" s="2" t="str">
        <f>TEXT(Table5[[#This Row],[bill_date]],"mmmm")</f>
        <v>May</v>
      </c>
      <c r="E2208" s="9">
        <f>YEAR(Table5[[#This Row],[bill_date]])</f>
        <v>2024</v>
      </c>
      <c r="F2208">
        <v>252</v>
      </c>
      <c r="G2208" t="s">
        <v>30</v>
      </c>
    </row>
    <row r="2209" spans="1:7" x14ac:dyDescent="0.3">
      <c r="A2209">
        <v>32208</v>
      </c>
      <c r="B2209">
        <v>319</v>
      </c>
      <c r="C2209" s="2">
        <v>44968</v>
      </c>
      <c r="D2209" s="2" t="str">
        <f>TEXT(Table5[[#This Row],[bill_date]],"mmmm")</f>
        <v>February</v>
      </c>
      <c r="E2209" s="9">
        <f>YEAR(Table5[[#This Row],[bill_date]])</f>
        <v>2023</v>
      </c>
      <c r="F2209">
        <v>1303</v>
      </c>
      <c r="G2209" t="s">
        <v>30</v>
      </c>
    </row>
    <row r="2210" spans="1:7" x14ac:dyDescent="0.3">
      <c r="A2210">
        <v>32209</v>
      </c>
      <c r="B2210">
        <v>441</v>
      </c>
      <c r="C2210" s="2">
        <v>45102</v>
      </c>
      <c r="D2210" s="2" t="str">
        <f>TEXT(Table5[[#This Row],[bill_date]],"mmmm")</f>
        <v>June</v>
      </c>
      <c r="E2210" s="9">
        <f>YEAR(Table5[[#This Row],[bill_date]])</f>
        <v>2023</v>
      </c>
      <c r="F2210">
        <v>358</v>
      </c>
      <c r="G2210" t="s">
        <v>30</v>
      </c>
    </row>
    <row r="2211" spans="1:7" x14ac:dyDescent="0.3">
      <c r="A2211">
        <v>32210</v>
      </c>
      <c r="B2211">
        <v>341</v>
      </c>
      <c r="C2211" s="2">
        <v>45079</v>
      </c>
      <c r="D2211" s="2" t="str">
        <f>TEXT(Table5[[#This Row],[bill_date]],"mmmm")</f>
        <v>June</v>
      </c>
      <c r="E2211" s="9">
        <f>YEAR(Table5[[#This Row],[bill_date]])</f>
        <v>2023</v>
      </c>
      <c r="F2211">
        <v>1608</v>
      </c>
      <c r="G2211" t="s">
        <v>30</v>
      </c>
    </row>
    <row r="2212" spans="1:7" x14ac:dyDescent="0.3">
      <c r="A2212">
        <v>32211</v>
      </c>
      <c r="B2212">
        <v>182</v>
      </c>
      <c r="C2212" s="2">
        <v>44694</v>
      </c>
      <c r="D2212" s="2" t="str">
        <f>TEXT(Table5[[#This Row],[bill_date]],"mmmm")</f>
        <v>May</v>
      </c>
      <c r="E2212" s="9">
        <f>YEAR(Table5[[#This Row],[bill_date]])</f>
        <v>2022</v>
      </c>
      <c r="F2212">
        <v>1671</v>
      </c>
      <c r="G2212" t="s">
        <v>30</v>
      </c>
    </row>
    <row r="2213" spans="1:7" x14ac:dyDescent="0.3">
      <c r="A2213">
        <v>32212</v>
      </c>
      <c r="B2213">
        <v>119</v>
      </c>
      <c r="C2213" s="2">
        <v>44657</v>
      </c>
      <c r="D2213" s="2" t="str">
        <f>TEXT(Table5[[#This Row],[bill_date]],"mmmm")</f>
        <v>April</v>
      </c>
      <c r="E2213" s="9">
        <f>YEAR(Table5[[#This Row],[bill_date]])</f>
        <v>2022</v>
      </c>
      <c r="F2213">
        <v>936</v>
      </c>
      <c r="G2213" t="s">
        <v>30</v>
      </c>
    </row>
    <row r="2214" spans="1:7" x14ac:dyDescent="0.3">
      <c r="A2214">
        <v>32213</v>
      </c>
      <c r="B2214">
        <v>266</v>
      </c>
      <c r="C2214" s="2">
        <v>44985</v>
      </c>
      <c r="D2214" s="2" t="str">
        <f>TEXT(Table5[[#This Row],[bill_date]],"mmmm")</f>
        <v>February</v>
      </c>
      <c r="E2214" s="9">
        <f>YEAR(Table5[[#This Row],[bill_date]])</f>
        <v>2023</v>
      </c>
      <c r="F2214">
        <v>462</v>
      </c>
      <c r="G2214" t="s">
        <v>30</v>
      </c>
    </row>
    <row r="2215" spans="1:7" x14ac:dyDescent="0.3">
      <c r="A2215">
        <v>32214</v>
      </c>
      <c r="B2215">
        <v>178</v>
      </c>
      <c r="C2215" s="2">
        <v>45419</v>
      </c>
      <c r="D2215" s="2" t="str">
        <f>TEXT(Table5[[#This Row],[bill_date]],"mmmm")</f>
        <v>May</v>
      </c>
      <c r="E2215" s="9">
        <f>YEAR(Table5[[#This Row],[bill_date]])</f>
        <v>2024</v>
      </c>
      <c r="F2215">
        <v>819</v>
      </c>
      <c r="G2215" t="s">
        <v>30</v>
      </c>
    </row>
    <row r="2216" spans="1:7" x14ac:dyDescent="0.3">
      <c r="A2216">
        <v>32215</v>
      </c>
      <c r="B2216">
        <v>201</v>
      </c>
      <c r="C2216" s="2">
        <v>44643</v>
      </c>
      <c r="D2216" s="2" t="str">
        <f>TEXT(Table5[[#This Row],[bill_date]],"mmmm")</f>
        <v>March</v>
      </c>
      <c r="E2216" s="9">
        <f>YEAR(Table5[[#This Row],[bill_date]])</f>
        <v>2022</v>
      </c>
      <c r="F2216">
        <v>1204</v>
      </c>
      <c r="G2216" t="s">
        <v>30</v>
      </c>
    </row>
    <row r="2217" spans="1:7" x14ac:dyDescent="0.3">
      <c r="A2217">
        <v>32216</v>
      </c>
      <c r="B2217">
        <v>368</v>
      </c>
      <c r="C2217" s="2">
        <v>45350</v>
      </c>
      <c r="D2217" s="2" t="str">
        <f>TEXT(Table5[[#This Row],[bill_date]],"mmmm")</f>
        <v>February</v>
      </c>
      <c r="E2217" s="9">
        <f>YEAR(Table5[[#This Row],[bill_date]])</f>
        <v>2024</v>
      </c>
      <c r="F2217">
        <v>1531</v>
      </c>
      <c r="G2217" t="s">
        <v>30</v>
      </c>
    </row>
    <row r="2218" spans="1:7" x14ac:dyDescent="0.3">
      <c r="A2218">
        <v>32217</v>
      </c>
      <c r="B2218">
        <v>385</v>
      </c>
      <c r="C2218" s="2">
        <v>44876</v>
      </c>
      <c r="D2218" s="2" t="str">
        <f>TEXT(Table5[[#This Row],[bill_date]],"mmmm")</f>
        <v>November</v>
      </c>
      <c r="E2218" s="9">
        <f>YEAR(Table5[[#This Row],[bill_date]])</f>
        <v>2022</v>
      </c>
      <c r="F2218">
        <v>1266</v>
      </c>
      <c r="G2218" t="s">
        <v>30</v>
      </c>
    </row>
    <row r="2219" spans="1:7" x14ac:dyDescent="0.3">
      <c r="A2219">
        <v>32218</v>
      </c>
      <c r="B2219">
        <v>470</v>
      </c>
      <c r="C2219" s="2">
        <v>45290</v>
      </c>
      <c r="D2219" s="2" t="str">
        <f>TEXT(Table5[[#This Row],[bill_date]],"mmmm")</f>
        <v>December</v>
      </c>
      <c r="E2219" s="9">
        <f>YEAR(Table5[[#This Row],[bill_date]])</f>
        <v>2023</v>
      </c>
      <c r="F2219">
        <v>399</v>
      </c>
      <c r="G2219" t="s">
        <v>30</v>
      </c>
    </row>
    <row r="2220" spans="1:7" x14ac:dyDescent="0.3">
      <c r="A2220">
        <v>32219</v>
      </c>
      <c r="B2220">
        <v>70</v>
      </c>
      <c r="C2220" s="2">
        <v>44841</v>
      </c>
      <c r="D2220" s="2" t="str">
        <f>TEXT(Table5[[#This Row],[bill_date]],"mmmm")</f>
        <v>October</v>
      </c>
      <c r="E2220" s="9">
        <f>YEAR(Table5[[#This Row],[bill_date]])</f>
        <v>2022</v>
      </c>
      <c r="F2220">
        <v>1506</v>
      </c>
      <c r="G2220" t="s">
        <v>30</v>
      </c>
    </row>
    <row r="2221" spans="1:7" x14ac:dyDescent="0.3">
      <c r="A2221">
        <v>32220</v>
      </c>
      <c r="B2221">
        <v>158</v>
      </c>
      <c r="C2221" s="2">
        <v>45204</v>
      </c>
      <c r="D2221" s="2" t="str">
        <f>TEXT(Table5[[#This Row],[bill_date]],"mmmm")</f>
        <v>October</v>
      </c>
      <c r="E2221" s="9">
        <f>YEAR(Table5[[#This Row],[bill_date]])</f>
        <v>2023</v>
      </c>
      <c r="F2221">
        <v>345</v>
      </c>
      <c r="G2221" t="s">
        <v>30</v>
      </c>
    </row>
    <row r="2222" spans="1:7" x14ac:dyDescent="0.3">
      <c r="A2222">
        <v>32221</v>
      </c>
      <c r="B2222">
        <v>311</v>
      </c>
      <c r="C2222" s="2">
        <v>44647</v>
      </c>
      <c r="D2222" s="2" t="str">
        <f>TEXT(Table5[[#This Row],[bill_date]],"mmmm")</f>
        <v>March</v>
      </c>
      <c r="E2222" s="9">
        <f>YEAR(Table5[[#This Row],[bill_date]])</f>
        <v>2022</v>
      </c>
      <c r="F2222">
        <v>1662</v>
      </c>
      <c r="G2222" t="s">
        <v>30</v>
      </c>
    </row>
    <row r="2223" spans="1:7" x14ac:dyDescent="0.3">
      <c r="A2223">
        <v>32222</v>
      </c>
      <c r="B2223">
        <v>98</v>
      </c>
      <c r="C2223" s="2">
        <v>45401</v>
      </c>
      <c r="D2223" s="2" t="str">
        <f>TEXT(Table5[[#This Row],[bill_date]],"mmmm")</f>
        <v>April</v>
      </c>
      <c r="E2223" s="9">
        <f>YEAR(Table5[[#This Row],[bill_date]])</f>
        <v>2024</v>
      </c>
      <c r="F2223">
        <v>1626</v>
      </c>
      <c r="G2223" t="s">
        <v>30</v>
      </c>
    </row>
    <row r="2224" spans="1:7" x14ac:dyDescent="0.3">
      <c r="A2224">
        <v>32223</v>
      </c>
      <c r="B2224">
        <v>205</v>
      </c>
      <c r="C2224" s="2">
        <v>44927</v>
      </c>
      <c r="D2224" s="2" t="str">
        <f>TEXT(Table5[[#This Row],[bill_date]],"mmmm")</f>
        <v>January</v>
      </c>
      <c r="E2224" s="9">
        <f>YEAR(Table5[[#This Row],[bill_date]])</f>
        <v>2023</v>
      </c>
      <c r="F2224">
        <v>909</v>
      </c>
      <c r="G2224" t="s">
        <v>30</v>
      </c>
    </row>
    <row r="2225" spans="1:7" x14ac:dyDescent="0.3">
      <c r="A2225">
        <v>32224</v>
      </c>
      <c r="B2225">
        <v>86</v>
      </c>
      <c r="C2225" s="2">
        <v>45386</v>
      </c>
      <c r="D2225" s="2" t="str">
        <f>TEXT(Table5[[#This Row],[bill_date]],"mmmm")</f>
        <v>April</v>
      </c>
      <c r="E2225" s="9">
        <f>YEAR(Table5[[#This Row],[bill_date]])</f>
        <v>2024</v>
      </c>
      <c r="F2225">
        <v>1968</v>
      </c>
      <c r="G2225" t="s">
        <v>30</v>
      </c>
    </row>
    <row r="2226" spans="1:7" x14ac:dyDescent="0.3">
      <c r="A2226">
        <v>32225</v>
      </c>
      <c r="B2226">
        <v>390</v>
      </c>
      <c r="C2226" s="2">
        <v>44927</v>
      </c>
      <c r="D2226" s="2" t="str">
        <f>TEXT(Table5[[#This Row],[bill_date]],"mmmm")</f>
        <v>January</v>
      </c>
      <c r="E2226" s="9">
        <f>YEAR(Table5[[#This Row],[bill_date]])</f>
        <v>2023</v>
      </c>
      <c r="F2226">
        <v>1406</v>
      </c>
      <c r="G2226" t="s">
        <v>30</v>
      </c>
    </row>
    <row r="2227" spans="1:7" x14ac:dyDescent="0.3">
      <c r="A2227">
        <v>32226</v>
      </c>
      <c r="B2227">
        <v>361</v>
      </c>
      <c r="C2227" s="2">
        <v>44654</v>
      </c>
      <c r="D2227" s="2" t="str">
        <f>TEXT(Table5[[#This Row],[bill_date]],"mmmm")</f>
        <v>April</v>
      </c>
      <c r="E2227" s="9">
        <f>YEAR(Table5[[#This Row],[bill_date]])</f>
        <v>2022</v>
      </c>
      <c r="F2227">
        <v>745</v>
      </c>
      <c r="G2227" t="s">
        <v>30</v>
      </c>
    </row>
    <row r="2228" spans="1:7" x14ac:dyDescent="0.3">
      <c r="A2228">
        <v>32227</v>
      </c>
      <c r="B2228">
        <v>494</v>
      </c>
      <c r="C2228" s="2">
        <v>44632</v>
      </c>
      <c r="D2228" s="2" t="str">
        <f>TEXT(Table5[[#This Row],[bill_date]],"mmmm")</f>
        <v>March</v>
      </c>
      <c r="E2228" s="9">
        <f>YEAR(Table5[[#This Row],[bill_date]])</f>
        <v>2022</v>
      </c>
      <c r="F2228">
        <v>1431</v>
      </c>
      <c r="G2228" t="s">
        <v>30</v>
      </c>
    </row>
    <row r="2229" spans="1:7" x14ac:dyDescent="0.3">
      <c r="A2229">
        <v>32228</v>
      </c>
      <c r="B2229">
        <v>280</v>
      </c>
      <c r="C2229" s="2">
        <v>44887</v>
      </c>
      <c r="D2229" s="2" t="str">
        <f>TEXT(Table5[[#This Row],[bill_date]],"mmmm")</f>
        <v>November</v>
      </c>
      <c r="E2229" s="9">
        <f>YEAR(Table5[[#This Row],[bill_date]])</f>
        <v>2022</v>
      </c>
      <c r="F2229">
        <v>1070</v>
      </c>
      <c r="G2229" t="s">
        <v>28</v>
      </c>
    </row>
    <row r="2230" spans="1:7" x14ac:dyDescent="0.3">
      <c r="A2230">
        <v>32229</v>
      </c>
      <c r="B2230">
        <v>85</v>
      </c>
      <c r="C2230" s="2">
        <v>45068</v>
      </c>
      <c r="D2230" s="2" t="str">
        <f>TEXT(Table5[[#This Row],[bill_date]],"mmmm")</f>
        <v>May</v>
      </c>
      <c r="E2230" s="9">
        <f>YEAR(Table5[[#This Row],[bill_date]])</f>
        <v>2023</v>
      </c>
      <c r="F2230">
        <v>773</v>
      </c>
      <c r="G2230" t="s">
        <v>30</v>
      </c>
    </row>
    <row r="2231" spans="1:7" x14ac:dyDescent="0.3">
      <c r="A2231">
        <v>32230</v>
      </c>
      <c r="B2231">
        <v>359</v>
      </c>
      <c r="C2231" s="2">
        <v>44887</v>
      </c>
      <c r="D2231" s="2" t="str">
        <f>TEXT(Table5[[#This Row],[bill_date]],"mmmm")</f>
        <v>November</v>
      </c>
      <c r="E2231" s="9">
        <f>YEAR(Table5[[#This Row],[bill_date]])</f>
        <v>2022</v>
      </c>
      <c r="F2231">
        <v>280</v>
      </c>
      <c r="G2231" t="s">
        <v>30</v>
      </c>
    </row>
    <row r="2232" spans="1:7" x14ac:dyDescent="0.3">
      <c r="A2232">
        <v>32231</v>
      </c>
      <c r="B2232">
        <v>215</v>
      </c>
      <c r="C2232" s="2">
        <v>45405</v>
      </c>
      <c r="D2232" s="2" t="str">
        <f>TEXT(Table5[[#This Row],[bill_date]],"mmmm")</f>
        <v>April</v>
      </c>
      <c r="E2232" s="9">
        <f>YEAR(Table5[[#This Row],[bill_date]])</f>
        <v>2024</v>
      </c>
      <c r="F2232">
        <v>461</v>
      </c>
      <c r="G2232" t="s">
        <v>30</v>
      </c>
    </row>
    <row r="2233" spans="1:7" x14ac:dyDescent="0.3">
      <c r="A2233">
        <v>32232</v>
      </c>
      <c r="B2233">
        <v>133</v>
      </c>
      <c r="C2233" s="2">
        <v>44752</v>
      </c>
      <c r="D2233" s="2" t="str">
        <f>TEXT(Table5[[#This Row],[bill_date]],"mmmm")</f>
        <v>July</v>
      </c>
      <c r="E2233" s="9">
        <f>YEAR(Table5[[#This Row],[bill_date]])</f>
        <v>2022</v>
      </c>
      <c r="F2233">
        <v>1989</v>
      </c>
      <c r="G2233" t="s">
        <v>30</v>
      </c>
    </row>
    <row r="2234" spans="1:7" x14ac:dyDescent="0.3">
      <c r="A2234">
        <v>32233</v>
      </c>
      <c r="B2234">
        <v>391</v>
      </c>
      <c r="C2234" s="2">
        <v>44775</v>
      </c>
      <c r="D2234" s="2" t="str">
        <f>TEXT(Table5[[#This Row],[bill_date]],"mmmm")</f>
        <v>August</v>
      </c>
      <c r="E2234" s="9">
        <f>YEAR(Table5[[#This Row],[bill_date]])</f>
        <v>2022</v>
      </c>
      <c r="F2234">
        <v>1121</v>
      </c>
      <c r="G2234" t="s">
        <v>30</v>
      </c>
    </row>
    <row r="2235" spans="1:7" x14ac:dyDescent="0.3">
      <c r="A2235">
        <v>32234</v>
      </c>
      <c r="B2235">
        <v>387</v>
      </c>
      <c r="C2235" s="2">
        <v>44608</v>
      </c>
      <c r="D2235" s="2" t="str">
        <f>TEXT(Table5[[#This Row],[bill_date]],"mmmm")</f>
        <v>February</v>
      </c>
      <c r="E2235" s="9">
        <f>YEAR(Table5[[#This Row],[bill_date]])</f>
        <v>2022</v>
      </c>
      <c r="F2235">
        <v>1261</v>
      </c>
      <c r="G2235" t="s">
        <v>30</v>
      </c>
    </row>
    <row r="2236" spans="1:7" x14ac:dyDescent="0.3">
      <c r="A2236">
        <v>32235</v>
      </c>
      <c r="B2236">
        <v>247</v>
      </c>
      <c r="C2236" s="2">
        <v>45291</v>
      </c>
      <c r="D2236" s="2" t="str">
        <f>TEXT(Table5[[#This Row],[bill_date]],"mmmm")</f>
        <v>December</v>
      </c>
      <c r="E2236" s="9">
        <f>YEAR(Table5[[#This Row],[bill_date]])</f>
        <v>2023</v>
      </c>
      <c r="F2236">
        <v>484</v>
      </c>
      <c r="G2236" t="s">
        <v>30</v>
      </c>
    </row>
    <row r="2237" spans="1:7" x14ac:dyDescent="0.3">
      <c r="A2237">
        <v>32236</v>
      </c>
      <c r="B2237">
        <v>141</v>
      </c>
      <c r="C2237" s="2">
        <v>44650</v>
      </c>
      <c r="D2237" s="2" t="str">
        <f>TEXT(Table5[[#This Row],[bill_date]],"mmmm")</f>
        <v>March</v>
      </c>
      <c r="E2237" s="9">
        <f>YEAR(Table5[[#This Row],[bill_date]])</f>
        <v>2022</v>
      </c>
      <c r="F2237">
        <v>221</v>
      </c>
      <c r="G2237" t="s">
        <v>30</v>
      </c>
    </row>
    <row r="2238" spans="1:7" x14ac:dyDescent="0.3">
      <c r="A2238">
        <v>32237</v>
      </c>
      <c r="B2238">
        <v>438</v>
      </c>
      <c r="C2238" s="2">
        <v>45348</v>
      </c>
      <c r="D2238" s="2" t="str">
        <f>TEXT(Table5[[#This Row],[bill_date]],"mmmm")</f>
        <v>February</v>
      </c>
      <c r="E2238" s="9">
        <f>YEAR(Table5[[#This Row],[bill_date]])</f>
        <v>2024</v>
      </c>
      <c r="F2238">
        <v>1818</v>
      </c>
      <c r="G2238" t="s">
        <v>30</v>
      </c>
    </row>
    <row r="2239" spans="1:7" x14ac:dyDescent="0.3">
      <c r="A2239">
        <v>32238</v>
      </c>
      <c r="B2239">
        <v>447</v>
      </c>
      <c r="C2239" s="2">
        <v>44788</v>
      </c>
      <c r="D2239" s="2" t="str">
        <f>TEXT(Table5[[#This Row],[bill_date]],"mmmm")</f>
        <v>August</v>
      </c>
      <c r="E2239" s="9">
        <f>YEAR(Table5[[#This Row],[bill_date]])</f>
        <v>2022</v>
      </c>
      <c r="F2239">
        <v>1696</v>
      </c>
      <c r="G2239" t="s">
        <v>28</v>
      </c>
    </row>
    <row r="2240" spans="1:7" x14ac:dyDescent="0.3">
      <c r="A2240">
        <v>32239</v>
      </c>
      <c r="B2240">
        <v>76</v>
      </c>
      <c r="C2240" s="2">
        <v>44958</v>
      </c>
      <c r="D2240" s="2" t="str">
        <f>TEXT(Table5[[#This Row],[bill_date]],"mmmm")</f>
        <v>February</v>
      </c>
      <c r="E2240" s="9">
        <f>YEAR(Table5[[#This Row],[bill_date]])</f>
        <v>2023</v>
      </c>
      <c r="F2240">
        <v>501</v>
      </c>
      <c r="G2240" t="s">
        <v>30</v>
      </c>
    </row>
    <row r="2241" spans="1:7" x14ac:dyDescent="0.3">
      <c r="A2241">
        <v>32240</v>
      </c>
      <c r="B2241">
        <v>390</v>
      </c>
      <c r="C2241" s="2">
        <v>44778</v>
      </c>
      <c r="D2241" s="2" t="str">
        <f>TEXT(Table5[[#This Row],[bill_date]],"mmmm")</f>
        <v>August</v>
      </c>
      <c r="E2241" s="9">
        <f>YEAR(Table5[[#This Row],[bill_date]])</f>
        <v>2022</v>
      </c>
      <c r="F2241">
        <v>404</v>
      </c>
      <c r="G2241" t="s">
        <v>28</v>
      </c>
    </row>
    <row r="2242" spans="1:7" x14ac:dyDescent="0.3">
      <c r="A2242">
        <v>32241</v>
      </c>
      <c r="B2242">
        <v>98</v>
      </c>
      <c r="C2242" s="2">
        <v>45313</v>
      </c>
      <c r="D2242" s="2" t="str">
        <f>TEXT(Table5[[#This Row],[bill_date]],"mmmm")</f>
        <v>January</v>
      </c>
      <c r="E2242" s="9">
        <f>YEAR(Table5[[#This Row],[bill_date]])</f>
        <v>2024</v>
      </c>
      <c r="F2242">
        <v>1654</v>
      </c>
      <c r="G2242" t="s">
        <v>30</v>
      </c>
    </row>
    <row r="2243" spans="1:7" x14ac:dyDescent="0.3">
      <c r="A2243">
        <v>32242</v>
      </c>
      <c r="B2243">
        <v>463</v>
      </c>
      <c r="C2243" s="2">
        <v>44862</v>
      </c>
      <c r="D2243" s="2" t="str">
        <f>TEXT(Table5[[#This Row],[bill_date]],"mmmm")</f>
        <v>October</v>
      </c>
      <c r="E2243" s="9">
        <f>YEAR(Table5[[#This Row],[bill_date]])</f>
        <v>2022</v>
      </c>
      <c r="F2243">
        <v>293</v>
      </c>
      <c r="G2243" t="s">
        <v>28</v>
      </c>
    </row>
    <row r="2244" spans="1:7" x14ac:dyDescent="0.3">
      <c r="A2244">
        <v>32243</v>
      </c>
      <c r="B2244">
        <v>303</v>
      </c>
      <c r="C2244" s="2">
        <v>44977</v>
      </c>
      <c r="D2244" s="2" t="str">
        <f>TEXT(Table5[[#This Row],[bill_date]],"mmmm")</f>
        <v>February</v>
      </c>
      <c r="E2244" s="9">
        <f>YEAR(Table5[[#This Row],[bill_date]])</f>
        <v>2023</v>
      </c>
      <c r="F2244">
        <v>673</v>
      </c>
      <c r="G2244" t="s">
        <v>28</v>
      </c>
    </row>
    <row r="2245" spans="1:7" x14ac:dyDescent="0.3">
      <c r="A2245">
        <v>32244</v>
      </c>
      <c r="B2245">
        <v>466</v>
      </c>
      <c r="C2245" s="2">
        <v>45414</v>
      </c>
      <c r="D2245" s="2" t="str">
        <f>TEXT(Table5[[#This Row],[bill_date]],"mmmm")</f>
        <v>May</v>
      </c>
      <c r="E2245" s="9">
        <f>YEAR(Table5[[#This Row],[bill_date]])</f>
        <v>2024</v>
      </c>
      <c r="F2245">
        <v>1797</v>
      </c>
      <c r="G2245" t="s">
        <v>30</v>
      </c>
    </row>
    <row r="2246" spans="1:7" x14ac:dyDescent="0.3">
      <c r="A2246">
        <v>32245</v>
      </c>
      <c r="B2246">
        <v>55</v>
      </c>
      <c r="C2246" s="2">
        <v>45455</v>
      </c>
      <c r="D2246" s="2" t="str">
        <f>TEXT(Table5[[#This Row],[bill_date]],"mmmm")</f>
        <v>June</v>
      </c>
      <c r="E2246" s="9">
        <f>YEAR(Table5[[#This Row],[bill_date]])</f>
        <v>2024</v>
      </c>
      <c r="F2246">
        <v>1598</v>
      </c>
      <c r="G2246" t="s">
        <v>30</v>
      </c>
    </row>
    <row r="2247" spans="1:7" x14ac:dyDescent="0.3">
      <c r="A2247">
        <v>32246</v>
      </c>
      <c r="B2247">
        <v>305</v>
      </c>
      <c r="C2247" s="2">
        <v>44731</v>
      </c>
      <c r="D2247" s="2" t="str">
        <f>TEXT(Table5[[#This Row],[bill_date]],"mmmm")</f>
        <v>June</v>
      </c>
      <c r="E2247" s="9">
        <f>YEAR(Table5[[#This Row],[bill_date]])</f>
        <v>2022</v>
      </c>
      <c r="F2247">
        <v>335</v>
      </c>
      <c r="G2247" t="s">
        <v>30</v>
      </c>
    </row>
    <row r="2248" spans="1:7" x14ac:dyDescent="0.3">
      <c r="A2248">
        <v>32247</v>
      </c>
      <c r="B2248">
        <v>441</v>
      </c>
      <c r="C2248" s="2">
        <v>44926</v>
      </c>
      <c r="D2248" s="2" t="str">
        <f>TEXT(Table5[[#This Row],[bill_date]],"mmmm")</f>
        <v>December</v>
      </c>
      <c r="E2248" s="9">
        <f>YEAR(Table5[[#This Row],[bill_date]])</f>
        <v>2022</v>
      </c>
      <c r="F2248">
        <v>349</v>
      </c>
      <c r="G2248" t="s">
        <v>30</v>
      </c>
    </row>
    <row r="2249" spans="1:7" x14ac:dyDescent="0.3">
      <c r="A2249">
        <v>32248</v>
      </c>
      <c r="B2249">
        <v>259</v>
      </c>
      <c r="C2249" s="2">
        <v>44793</v>
      </c>
      <c r="D2249" s="2" t="str">
        <f>TEXT(Table5[[#This Row],[bill_date]],"mmmm")</f>
        <v>August</v>
      </c>
      <c r="E2249" s="9">
        <f>YEAR(Table5[[#This Row],[bill_date]])</f>
        <v>2022</v>
      </c>
      <c r="F2249">
        <v>1851</v>
      </c>
      <c r="G2249" t="s">
        <v>28</v>
      </c>
    </row>
    <row r="2250" spans="1:7" x14ac:dyDescent="0.3">
      <c r="A2250">
        <v>32249</v>
      </c>
      <c r="B2250">
        <v>22</v>
      </c>
      <c r="C2250" s="2">
        <v>45181</v>
      </c>
      <c r="D2250" s="2" t="str">
        <f>TEXT(Table5[[#This Row],[bill_date]],"mmmm")</f>
        <v>September</v>
      </c>
      <c r="E2250" s="9">
        <f>YEAR(Table5[[#This Row],[bill_date]])</f>
        <v>2023</v>
      </c>
      <c r="F2250">
        <v>901</v>
      </c>
      <c r="G2250" t="s">
        <v>30</v>
      </c>
    </row>
    <row r="2251" spans="1:7" x14ac:dyDescent="0.3">
      <c r="A2251">
        <v>32250</v>
      </c>
      <c r="B2251">
        <v>35</v>
      </c>
      <c r="C2251" s="2">
        <v>44889</v>
      </c>
      <c r="D2251" s="2" t="str">
        <f>TEXT(Table5[[#This Row],[bill_date]],"mmmm")</f>
        <v>November</v>
      </c>
      <c r="E2251" s="9">
        <f>YEAR(Table5[[#This Row],[bill_date]])</f>
        <v>2022</v>
      </c>
      <c r="F2251">
        <v>400</v>
      </c>
      <c r="G2251" t="s">
        <v>30</v>
      </c>
    </row>
    <row r="2252" spans="1:7" x14ac:dyDescent="0.3">
      <c r="A2252">
        <v>32251</v>
      </c>
      <c r="B2252">
        <v>28</v>
      </c>
      <c r="C2252" s="2">
        <v>44794</v>
      </c>
      <c r="D2252" s="2" t="str">
        <f>TEXT(Table5[[#This Row],[bill_date]],"mmmm")</f>
        <v>August</v>
      </c>
      <c r="E2252" s="9">
        <f>YEAR(Table5[[#This Row],[bill_date]])</f>
        <v>2022</v>
      </c>
      <c r="F2252">
        <v>1141</v>
      </c>
      <c r="G2252" t="s">
        <v>30</v>
      </c>
    </row>
    <row r="2253" spans="1:7" x14ac:dyDescent="0.3">
      <c r="A2253">
        <v>32252</v>
      </c>
      <c r="B2253">
        <v>489</v>
      </c>
      <c r="C2253" s="2">
        <v>45243</v>
      </c>
      <c r="D2253" s="2" t="str">
        <f>TEXT(Table5[[#This Row],[bill_date]],"mmmm")</f>
        <v>November</v>
      </c>
      <c r="E2253" s="9">
        <f>YEAR(Table5[[#This Row],[bill_date]])</f>
        <v>2023</v>
      </c>
      <c r="F2253">
        <v>1472</v>
      </c>
      <c r="G2253" t="s">
        <v>30</v>
      </c>
    </row>
    <row r="2254" spans="1:7" x14ac:dyDescent="0.3">
      <c r="A2254">
        <v>32253</v>
      </c>
      <c r="B2254">
        <v>170</v>
      </c>
      <c r="C2254" s="2">
        <v>45208</v>
      </c>
      <c r="D2254" s="2" t="str">
        <f>TEXT(Table5[[#This Row],[bill_date]],"mmmm")</f>
        <v>October</v>
      </c>
      <c r="E2254" s="9">
        <f>YEAR(Table5[[#This Row],[bill_date]])</f>
        <v>2023</v>
      </c>
      <c r="F2254">
        <v>1821</v>
      </c>
      <c r="G2254" t="s">
        <v>30</v>
      </c>
    </row>
    <row r="2255" spans="1:7" x14ac:dyDescent="0.3">
      <c r="A2255">
        <v>32254</v>
      </c>
      <c r="B2255">
        <v>140</v>
      </c>
      <c r="C2255" s="2">
        <v>45204</v>
      </c>
      <c r="D2255" s="2" t="str">
        <f>TEXT(Table5[[#This Row],[bill_date]],"mmmm")</f>
        <v>October</v>
      </c>
      <c r="E2255" s="9">
        <f>YEAR(Table5[[#This Row],[bill_date]])</f>
        <v>2023</v>
      </c>
      <c r="F2255">
        <v>272</v>
      </c>
      <c r="G2255" t="s">
        <v>30</v>
      </c>
    </row>
    <row r="2256" spans="1:7" x14ac:dyDescent="0.3">
      <c r="A2256">
        <v>32255</v>
      </c>
      <c r="B2256">
        <v>129</v>
      </c>
      <c r="C2256" s="2">
        <v>44598</v>
      </c>
      <c r="D2256" s="2" t="str">
        <f>TEXT(Table5[[#This Row],[bill_date]],"mmmm")</f>
        <v>February</v>
      </c>
      <c r="E2256" s="9">
        <f>YEAR(Table5[[#This Row],[bill_date]])</f>
        <v>2022</v>
      </c>
      <c r="F2256">
        <v>1544</v>
      </c>
      <c r="G2256" t="s">
        <v>30</v>
      </c>
    </row>
    <row r="2257" spans="1:7" x14ac:dyDescent="0.3">
      <c r="A2257">
        <v>32256</v>
      </c>
      <c r="B2257">
        <v>100</v>
      </c>
      <c r="C2257" s="2">
        <v>45332</v>
      </c>
      <c r="D2257" s="2" t="str">
        <f>TEXT(Table5[[#This Row],[bill_date]],"mmmm")</f>
        <v>February</v>
      </c>
      <c r="E2257" s="9">
        <f>YEAR(Table5[[#This Row],[bill_date]])</f>
        <v>2024</v>
      </c>
      <c r="F2257">
        <v>747</v>
      </c>
      <c r="G2257" t="s">
        <v>28</v>
      </c>
    </row>
    <row r="2258" spans="1:7" x14ac:dyDescent="0.3">
      <c r="A2258">
        <v>32257</v>
      </c>
      <c r="B2258">
        <v>478</v>
      </c>
      <c r="C2258" s="2">
        <v>44963</v>
      </c>
      <c r="D2258" s="2" t="str">
        <f>TEXT(Table5[[#This Row],[bill_date]],"mmmm")</f>
        <v>February</v>
      </c>
      <c r="E2258" s="9">
        <f>YEAR(Table5[[#This Row],[bill_date]])</f>
        <v>2023</v>
      </c>
      <c r="F2258">
        <v>835</v>
      </c>
      <c r="G2258" t="s">
        <v>30</v>
      </c>
    </row>
    <row r="2259" spans="1:7" x14ac:dyDescent="0.3">
      <c r="A2259">
        <v>32258</v>
      </c>
      <c r="B2259">
        <v>373</v>
      </c>
      <c r="C2259" s="2">
        <v>45197</v>
      </c>
      <c r="D2259" s="2" t="str">
        <f>TEXT(Table5[[#This Row],[bill_date]],"mmmm")</f>
        <v>September</v>
      </c>
      <c r="E2259" s="9">
        <f>YEAR(Table5[[#This Row],[bill_date]])</f>
        <v>2023</v>
      </c>
      <c r="F2259">
        <v>1198</v>
      </c>
      <c r="G2259" t="s">
        <v>30</v>
      </c>
    </row>
    <row r="2260" spans="1:7" x14ac:dyDescent="0.3">
      <c r="A2260">
        <v>32259</v>
      </c>
      <c r="B2260">
        <v>247</v>
      </c>
      <c r="C2260" s="2">
        <v>44987</v>
      </c>
      <c r="D2260" s="2" t="str">
        <f>TEXT(Table5[[#This Row],[bill_date]],"mmmm")</f>
        <v>March</v>
      </c>
      <c r="E2260" s="9">
        <f>YEAR(Table5[[#This Row],[bill_date]])</f>
        <v>2023</v>
      </c>
      <c r="F2260">
        <v>1196</v>
      </c>
      <c r="G2260" t="s">
        <v>30</v>
      </c>
    </row>
    <row r="2261" spans="1:7" x14ac:dyDescent="0.3">
      <c r="A2261">
        <v>32260</v>
      </c>
      <c r="B2261">
        <v>23</v>
      </c>
      <c r="C2261" s="2">
        <v>44969</v>
      </c>
      <c r="D2261" s="2" t="str">
        <f>TEXT(Table5[[#This Row],[bill_date]],"mmmm")</f>
        <v>February</v>
      </c>
      <c r="E2261" s="9">
        <f>YEAR(Table5[[#This Row],[bill_date]])</f>
        <v>2023</v>
      </c>
      <c r="F2261">
        <v>1388</v>
      </c>
      <c r="G2261" t="s">
        <v>30</v>
      </c>
    </row>
    <row r="2262" spans="1:7" x14ac:dyDescent="0.3">
      <c r="A2262">
        <v>32261</v>
      </c>
      <c r="B2262">
        <v>357</v>
      </c>
      <c r="C2262" s="2">
        <v>45336</v>
      </c>
      <c r="D2262" s="2" t="str">
        <f>TEXT(Table5[[#This Row],[bill_date]],"mmmm")</f>
        <v>February</v>
      </c>
      <c r="E2262" s="9">
        <f>YEAR(Table5[[#This Row],[bill_date]])</f>
        <v>2024</v>
      </c>
      <c r="F2262">
        <v>1223</v>
      </c>
      <c r="G2262" t="s">
        <v>30</v>
      </c>
    </row>
    <row r="2263" spans="1:7" x14ac:dyDescent="0.3">
      <c r="A2263">
        <v>32262</v>
      </c>
      <c r="B2263">
        <v>284</v>
      </c>
      <c r="C2263" s="2">
        <v>45426</v>
      </c>
      <c r="D2263" s="2" t="str">
        <f>TEXT(Table5[[#This Row],[bill_date]],"mmmm")</f>
        <v>May</v>
      </c>
      <c r="E2263" s="9">
        <f>YEAR(Table5[[#This Row],[bill_date]])</f>
        <v>2024</v>
      </c>
      <c r="F2263">
        <v>1560</v>
      </c>
      <c r="G2263" t="s">
        <v>28</v>
      </c>
    </row>
    <row r="2264" spans="1:7" x14ac:dyDescent="0.3">
      <c r="A2264">
        <v>32263</v>
      </c>
      <c r="B2264">
        <v>113</v>
      </c>
      <c r="C2264" s="2">
        <v>44778</v>
      </c>
      <c r="D2264" s="2" t="str">
        <f>TEXT(Table5[[#This Row],[bill_date]],"mmmm")</f>
        <v>August</v>
      </c>
      <c r="E2264" s="9">
        <f>YEAR(Table5[[#This Row],[bill_date]])</f>
        <v>2022</v>
      </c>
      <c r="F2264">
        <v>489</v>
      </c>
      <c r="G2264" t="s">
        <v>30</v>
      </c>
    </row>
    <row r="2265" spans="1:7" x14ac:dyDescent="0.3">
      <c r="A2265">
        <v>32264</v>
      </c>
      <c r="B2265">
        <v>373</v>
      </c>
      <c r="C2265" s="2">
        <v>44731</v>
      </c>
      <c r="D2265" s="2" t="str">
        <f>TEXT(Table5[[#This Row],[bill_date]],"mmmm")</f>
        <v>June</v>
      </c>
      <c r="E2265" s="9">
        <f>YEAR(Table5[[#This Row],[bill_date]])</f>
        <v>2022</v>
      </c>
      <c r="F2265">
        <v>269</v>
      </c>
      <c r="G2265" t="s">
        <v>30</v>
      </c>
    </row>
    <row r="2266" spans="1:7" x14ac:dyDescent="0.3">
      <c r="A2266">
        <v>32265</v>
      </c>
      <c r="B2266">
        <v>197</v>
      </c>
      <c r="C2266" s="2">
        <v>45171</v>
      </c>
      <c r="D2266" s="2" t="str">
        <f>TEXT(Table5[[#This Row],[bill_date]],"mmmm")</f>
        <v>September</v>
      </c>
      <c r="E2266" s="9">
        <f>YEAR(Table5[[#This Row],[bill_date]])</f>
        <v>2023</v>
      </c>
      <c r="F2266">
        <v>306</v>
      </c>
      <c r="G2266" t="s">
        <v>30</v>
      </c>
    </row>
    <row r="2267" spans="1:7" x14ac:dyDescent="0.3">
      <c r="A2267">
        <v>32266</v>
      </c>
      <c r="B2267">
        <v>164</v>
      </c>
      <c r="C2267" s="2">
        <v>44919</v>
      </c>
      <c r="D2267" s="2" t="str">
        <f>TEXT(Table5[[#This Row],[bill_date]],"mmmm")</f>
        <v>December</v>
      </c>
      <c r="E2267" s="9">
        <f>YEAR(Table5[[#This Row],[bill_date]])</f>
        <v>2022</v>
      </c>
      <c r="F2267">
        <v>1712</v>
      </c>
      <c r="G2267" t="s">
        <v>30</v>
      </c>
    </row>
    <row r="2268" spans="1:7" x14ac:dyDescent="0.3">
      <c r="A2268">
        <v>32267</v>
      </c>
      <c r="B2268">
        <v>381</v>
      </c>
      <c r="C2268" s="2">
        <v>44747</v>
      </c>
      <c r="D2268" s="2" t="str">
        <f>TEXT(Table5[[#This Row],[bill_date]],"mmmm")</f>
        <v>July</v>
      </c>
      <c r="E2268" s="9">
        <f>YEAR(Table5[[#This Row],[bill_date]])</f>
        <v>2022</v>
      </c>
      <c r="F2268">
        <v>796</v>
      </c>
      <c r="G2268" t="s">
        <v>30</v>
      </c>
    </row>
    <row r="2269" spans="1:7" x14ac:dyDescent="0.3">
      <c r="A2269">
        <v>32268</v>
      </c>
      <c r="B2269">
        <v>310</v>
      </c>
      <c r="C2269" s="2">
        <v>45286</v>
      </c>
      <c r="D2269" s="2" t="str">
        <f>TEXT(Table5[[#This Row],[bill_date]],"mmmm")</f>
        <v>December</v>
      </c>
      <c r="E2269" s="9">
        <f>YEAR(Table5[[#This Row],[bill_date]])</f>
        <v>2023</v>
      </c>
      <c r="F2269">
        <v>1403</v>
      </c>
      <c r="G2269" t="s">
        <v>30</v>
      </c>
    </row>
    <row r="2270" spans="1:7" x14ac:dyDescent="0.3">
      <c r="A2270">
        <v>32269</v>
      </c>
      <c r="B2270">
        <v>431</v>
      </c>
      <c r="C2270" s="2">
        <v>45431</v>
      </c>
      <c r="D2270" s="2" t="str">
        <f>TEXT(Table5[[#This Row],[bill_date]],"mmmm")</f>
        <v>May</v>
      </c>
      <c r="E2270" s="9">
        <f>YEAR(Table5[[#This Row],[bill_date]])</f>
        <v>2024</v>
      </c>
      <c r="F2270">
        <v>1247</v>
      </c>
      <c r="G2270" t="s">
        <v>30</v>
      </c>
    </row>
    <row r="2271" spans="1:7" x14ac:dyDescent="0.3">
      <c r="A2271">
        <v>32270</v>
      </c>
      <c r="B2271">
        <v>56</v>
      </c>
      <c r="C2271" s="2">
        <v>45385</v>
      </c>
      <c r="D2271" s="2" t="str">
        <f>TEXT(Table5[[#This Row],[bill_date]],"mmmm")</f>
        <v>April</v>
      </c>
      <c r="E2271" s="9">
        <f>YEAR(Table5[[#This Row],[bill_date]])</f>
        <v>2024</v>
      </c>
      <c r="F2271">
        <v>1373</v>
      </c>
      <c r="G2271" t="s">
        <v>30</v>
      </c>
    </row>
    <row r="2272" spans="1:7" x14ac:dyDescent="0.3">
      <c r="A2272">
        <v>32271</v>
      </c>
      <c r="B2272">
        <v>10</v>
      </c>
      <c r="C2272" s="2">
        <v>45305</v>
      </c>
      <c r="D2272" s="2" t="str">
        <f>TEXT(Table5[[#This Row],[bill_date]],"mmmm")</f>
        <v>January</v>
      </c>
      <c r="E2272" s="9">
        <f>YEAR(Table5[[#This Row],[bill_date]])</f>
        <v>2024</v>
      </c>
      <c r="F2272">
        <v>1487</v>
      </c>
      <c r="G2272" t="s">
        <v>30</v>
      </c>
    </row>
    <row r="2273" spans="1:7" x14ac:dyDescent="0.3">
      <c r="A2273">
        <v>32272</v>
      </c>
      <c r="B2273">
        <v>133</v>
      </c>
      <c r="C2273" s="2">
        <v>45240</v>
      </c>
      <c r="D2273" s="2" t="str">
        <f>TEXT(Table5[[#This Row],[bill_date]],"mmmm")</f>
        <v>November</v>
      </c>
      <c r="E2273" s="9">
        <f>YEAR(Table5[[#This Row],[bill_date]])</f>
        <v>2023</v>
      </c>
      <c r="F2273">
        <v>401</v>
      </c>
      <c r="G2273" t="s">
        <v>30</v>
      </c>
    </row>
    <row r="2274" spans="1:7" x14ac:dyDescent="0.3">
      <c r="A2274">
        <v>32273</v>
      </c>
      <c r="B2274">
        <v>398</v>
      </c>
      <c r="C2274" s="2">
        <v>45379</v>
      </c>
      <c r="D2274" s="2" t="str">
        <f>TEXT(Table5[[#This Row],[bill_date]],"mmmm")</f>
        <v>March</v>
      </c>
      <c r="E2274" s="9">
        <f>YEAR(Table5[[#This Row],[bill_date]])</f>
        <v>2024</v>
      </c>
      <c r="F2274">
        <v>1785</v>
      </c>
      <c r="G2274" t="s">
        <v>30</v>
      </c>
    </row>
    <row r="2275" spans="1:7" x14ac:dyDescent="0.3">
      <c r="A2275">
        <v>32274</v>
      </c>
      <c r="B2275">
        <v>152</v>
      </c>
      <c r="C2275" s="2">
        <v>44722</v>
      </c>
      <c r="D2275" s="2" t="str">
        <f>TEXT(Table5[[#This Row],[bill_date]],"mmmm")</f>
        <v>June</v>
      </c>
      <c r="E2275" s="9">
        <f>YEAR(Table5[[#This Row],[bill_date]])</f>
        <v>2022</v>
      </c>
      <c r="F2275">
        <v>1697</v>
      </c>
      <c r="G2275" t="s">
        <v>30</v>
      </c>
    </row>
    <row r="2276" spans="1:7" x14ac:dyDescent="0.3">
      <c r="A2276">
        <v>32275</v>
      </c>
      <c r="B2276">
        <v>191</v>
      </c>
      <c r="C2276" s="2">
        <v>44845</v>
      </c>
      <c r="D2276" s="2" t="str">
        <f>TEXT(Table5[[#This Row],[bill_date]],"mmmm")</f>
        <v>October</v>
      </c>
      <c r="E2276" s="9">
        <f>YEAR(Table5[[#This Row],[bill_date]])</f>
        <v>2022</v>
      </c>
      <c r="F2276">
        <v>1442</v>
      </c>
      <c r="G2276" t="s">
        <v>30</v>
      </c>
    </row>
    <row r="2277" spans="1:7" x14ac:dyDescent="0.3">
      <c r="A2277">
        <v>32276</v>
      </c>
      <c r="B2277">
        <v>284</v>
      </c>
      <c r="C2277" s="2">
        <v>44745</v>
      </c>
      <c r="D2277" s="2" t="str">
        <f>TEXT(Table5[[#This Row],[bill_date]],"mmmm")</f>
        <v>July</v>
      </c>
      <c r="E2277" s="9">
        <f>YEAR(Table5[[#This Row],[bill_date]])</f>
        <v>2022</v>
      </c>
      <c r="F2277">
        <v>767</v>
      </c>
      <c r="G2277" t="s">
        <v>30</v>
      </c>
    </row>
    <row r="2278" spans="1:7" x14ac:dyDescent="0.3">
      <c r="A2278">
        <v>32277</v>
      </c>
      <c r="B2278">
        <v>277</v>
      </c>
      <c r="C2278" s="2">
        <v>45098</v>
      </c>
      <c r="D2278" s="2" t="str">
        <f>TEXT(Table5[[#This Row],[bill_date]],"mmmm")</f>
        <v>June</v>
      </c>
      <c r="E2278" s="9">
        <f>YEAR(Table5[[#This Row],[bill_date]])</f>
        <v>2023</v>
      </c>
      <c r="F2278">
        <v>1304</v>
      </c>
      <c r="G2278" t="s">
        <v>30</v>
      </c>
    </row>
    <row r="2279" spans="1:7" x14ac:dyDescent="0.3">
      <c r="A2279">
        <v>32278</v>
      </c>
      <c r="B2279">
        <v>493</v>
      </c>
      <c r="C2279" s="2">
        <v>44703</v>
      </c>
      <c r="D2279" s="2" t="str">
        <f>TEXT(Table5[[#This Row],[bill_date]],"mmmm")</f>
        <v>May</v>
      </c>
      <c r="E2279" s="9">
        <f>YEAR(Table5[[#This Row],[bill_date]])</f>
        <v>2022</v>
      </c>
      <c r="F2279">
        <v>362</v>
      </c>
      <c r="G2279" t="s">
        <v>30</v>
      </c>
    </row>
    <row r="2280" spans="1:7" x14ac:dyDescent="0.3">
      <c r="A2280">
        <v>32279</v>
      </c>
      <c r="B2280">
        <v>243</v>
      </c>
      <c r="C2280" s="2">
        <v>45256</v>
      </c>
      <c r="D2280" s="2" t="str">
        <f>TEXT(Table5[[#This Row],[bill_date]],"mmmm")</f>
        <v>November</v>
      </c>
      <c r="E2280" s="9">
        <f>YEAR(Table5[[#This Row],[bill_date]])</f>
        <v>2023</v>
      </c>
      <c r="F2280">
        <v>1128</v>
      </c>
      <c r="G2280" t="s">
        <v>30</v>
      </c>
    </row>
    <row r="2281" spans="1:7" x14ac:dyDescent="0.3">
      <c r="A2281">
        <v>32280</v>
      </c>
      <c r="B2281">
        <v>488</v>
      </c>
      <c r="C2281" s="2">
        <v>45157</v>
      </c>
      <c r="D2281" s="2" t="str">
        <f>TEXT(Table5[[#This Row],[bill_date]],"mmmm")</f>
        <v>August</v>
      </c>
      <c r="E2281" s="9">
        <f>YEAR(Table5[[#This Row],[bill_date]])</f>
        <v>2023</v>
      </c>
      <c r="F2281">
        <v>1491</v>
      </c>
      <c r="G2281" t="s">
        <v>28</v>
      </c>
    </row>
    <row r="2282" spans="1:7" x14ac:dyDescent="0.3">
      <c r="A2282">
        <v>32281</v>
      </c>
      <c r="B2282">
        <v>332</v>
      </c>
      <c r="C2282" s="2">
        <v>44792</v>
      </c>
      <c r="D2282" s="2" t="str">
        <f>TEXT(Table5[[#This Row],[bill_date]],"mmmm")</f>
        <v>August</v>
      </c>
      <c r="E2282" s="9">
        <f>YEAR(Table5[[#This Row],[bill_date]])</f>
        <v>2022</v>
      </c>
      <c r="F2282">
        <v>1405</v>
      </c>
      <c r="G2282" t="s">
        <v>30</v>
      </c>
    </row>
    <row r="2283" spans="1:7" x14ac:dyDescent="0.3">
      <c r="A2283">
        <v>32282</v>
      </c>
      <c r="B2283">
        <v>276</v>
      </c>
      <c r="C2283" s="2">
        <v>45029</v>
      </c>
      <c r="D2283" s="2" t="str">
        <f>TEXT(Table5[[#This Row],[bill_date]],"mmmm")</f>
        <v>April</v>
      </c>
      <c r="E2283" s="9">
        <f>YEAR(Table5[[#This Row],[bill_date]])</f>
        <v>2023</v>
      </c>
      <c r="F2283">
        <v>378</v>
      </c>
      <c r="G2283" t="s">
        <v>30</v>
      </c>
    </row>
    <row r="2284" spans="1:7" x14ac:dyDescent="0.3">
      <c r="A2284">
        <v>32283</v>
      </c>
      <c r="B2284">
        <v>190</v>
      </c>
      <c r="C2284" s="2">
        <v>44949</v>
      </c>
      <c r="D2284" s="2" t="str">
        <f>TEXT(Table5[[#This Row],[bill_date]],"mmmm")</f>
        <v>January</v>
      </c>
      <c r="E2284" s="9">
        <f>YEAR(Table5[[#This Row],[bill_date]])</f>
        <v>2023</v>
      </c>
      <c r="F2284">
        <v>796</v>
      </c>
      <c r="G2284" t="s">
        <v>30</v>
      </c>
    </row>
    <row r="2285" spans="1:7" x14ac:dyDescent="0.3">
      <c r="A2285">
        <v>32284</v>
      </c>
      <c r="B2285">
        <v>115</v>
      </c>
      <c r="C2285" s="2">
        <v>45296</v>
      </c>
      <c r="D2285" s="2" t="str">
        <f>TEXT(Table5[[#This Row],[bill_date]],"mmmm")</f>
        <v>January</v>
      </c>
      <c r="E2285" s="9">
        <f>YEAR(Table5[[#This Row],[bill_date]])</f>
        <v>2024</v>
      </c>
      <c r="F2285">
        <v>670</v>
      </c>
      <c r="G2285" t="s">
        <v>28</v>
      </c>
    </row>
    <row r="2286" spans="1:7" x14ac:dyDescent="0.3">
      <c r="A2286">
        <v>32285</v>
      </c>
      <c r="B2286">
        <v>352</v>
      </c>
      <c r="C2286" s="2">
        <v>44719</v>
      </c>
      <c r="D2286" s="2" t="str">
        <f>TEXT(Table5[[#This Row],[bill_date]],"mmmm")</f>
        <v>June</v>
      </c>
      <c r="E2286" s="9">
        <f>YEAR(Table5[[#This Row],[bill_date]])</f>
        <v>2022</v>
      </c>
      <c r="F2286">
        <v>1333</v>
      </c>
      <c r="G2286" t="s">
        <v>30</v>
      </c>
    </row>
    <row r="2287" spans="1:7" x14ac:dyDescent="0.3">
      <c r="A2287">
        <v>32286</v>
      </c>
      <c r="B2287">
        <v>307</v>
      </c>
      <c r="C2287" s="2">
        <v>44879</v>
      </c>
      <c r="D2287" s="2" t="str">
        <f>TEXT(Table5[[#This Row],[bill_date]],"mmmm")</f>
        <v>November</v>
      </c>
      <c r="E2287" s="9">
        <f>YEAR(Table5[[#This Row],[bill_date]])</f>
        <v>2022</v>
      </c>
      <c r="F2287">
        <v>1892</v>
      </c>
      <c r="G2287" t="s">
        <v>28</v>
      </c>
    </row>
    <row r="2288" spans="1:7" x14ac:dyDescent="0.3">
      <c r="A2288">
        <v>32287</v>
      </c>
      <c r="B2288">
        <v>358</v>
      </c>
      <c r="C2288" s="2">
        <v>44746</v>
      </c>
      <c r="D2288" s="2" t="str">
        <f>TEXT(Table5[[#This Row],[bill_date]],"mmmm")</f>
        <v>July</v>
      </c>
      <c r="E2288" s="9">
        <f>YEAR(Table5[[#This Row],[bill_date]])</f>
        <v>2022</v>
      </c>
      <c r="F2288">
        <v>1267</v>
      </c>
      <c r="G2288" t="s">
        <v>30</v>
      </c>
    </row>
    <row r="2289" spans="1:7" x14ac:dyDescent="0.3">
      <c r="A2289">
        <v>32288</v>
      </c>
      <c r="B2289">
        <v>296</v>
      </c>
      <c r="C2289" s="2">
        <v>44982</v>
      </c>
      <c r="D2289" s="2" t="str">
        <f>TEXT(Table5[[#This Row],[bill_date]],"mmmm")</f>
        <v>February</v>
      </c>
      <c r="E2289" s="9">
        <f>YEAR(Table5[[#This Row],[bill_date]])</f>
        <v>2023</v>
      </c>
      <c r="F2289">
        <v>1772</v>
      </c>
      <c r="G2289" t="s">
        <v>30</v>
      </c>
    </row>
    <row r="2290" spans="1:7" x14ac:dyDescent="0.3">
      <c r="A2290">
        <v>32289</v>
      </c>
      <c r="B2290">
        <v>234</v>
      </c>
      <c r="C2290" s="2">
        <v>44744</v>
      </c>
      <c r="D2290" s="2" t="str">
        <f>TEXT(Table5[[#This Row],[bill_date]],"mmmm")</f>
        <v>July</v>
      </c>
      <c r="E2290" s="9">
        <f>YEAR(Table5[[#This Row],[bill_date]])</f>
        <v>2022</v>
      </c>
      <c r="F2290">
        <v>730</v>
      </c>
      <c r="G2290" t="s">
        <v>30</v>
      </c>
    </row>
    <row r="2291" spans="1:7" x14ac:dyDescent="0.3">
      <c r="A2291">
        <v>32290</v>
      </c>
      <c r="B2291">
        <v>341</v>
      </c>
      <c r="C2291" s="2">
        <v>45158</v>
      </c>
      <c r="D2291" s="2" t="str">
        <f>TEXT(Table5[[#This Row],[bill_date]],"mmmm")</f>
        <v>August</v>
      </c>
      <c r="E2291" s="9">
        <f>YEAR(Table5[[#This Row],[bill_date]])</f>
        <v>2023</v>
      </c>
      <c r="F2291">
        <v>807</v>
      </c>
      <c r="G2291" t="s">
        <v>30</v>
      </c>
    </row>
    <row r="2292" spans="1:7" x14ac:dyDescent="0.3">
      <c r="A2292">
        <v>32291</v>
      </c>
      <c r="B2292">
        <v>81</v>
      </c>
      <c r="C2292" s="2">
        <v>45138</v>
      </c>
      <c r="D2292" s="2" t="str">
        <f>TEXT(Table5[[#This Row],[bill_date]],"mmmm")</f>
        <v>July</v>
      </c>
      <c r="E2292" s="9">
        <f>YEAR(Table5[[#This Row],[bill_date]])</f>
        <v>2023</v>
      </c>
      <c r="F2292">
        <v>629</v>
      </c>
      <c r="G2292" t="s">
        <v>28</v>
      </c>
    </row>
    <row r="2293" spans="1:7" x14ac:dyDescent="0.3">
      <c r="A2293">
        <v>32292</v>
      </c>
      <c r="B2293">
        <v>193</v>
      </c>
      <c r="C2293" s="2">
        <v>44613</v>
      </c>
      <c r="D2293" s="2" t="str">
        <f>TEXT(Table5[[#This Row],[bill_date]],"mmmm")</f>
        <v>February</v>
      </c>
      <c r="E2293" s="9">
        <f>YEAR(Table5[[#This Row],[bill_date]])</f>
        <v>2022</v>
      </c>
      <c r="F2293">
        <v>1580</v>
      </c>
      <c r="G2293" t="s">
        <v>30</v>
      </c>
    </row>
    <row r="2294" spans="1:7" x14ac:dyDescent="0.3">
      <c r="A2294">
        <v>32293</v>
      </c>
      <c r="B2294">
        <v>371</v>
      </c>
      <c r="C2294" s="2">
        <v>44564</v>
      </c>
      <c r="D2294" s="2" t="str">
        <f>TEXT(Table5[[#This Row],[bill_date]],"mmmm")</f>
        <v>January</v>
      </c>
      <c r="E2294" s="9">
        <f>YEAR(Table5[[#This Row],[bill_date]])</f>
        <v>2022</v>
      </c>
      <c r="F2294">
        <v>1281</v>
      </c>
      <c r="G2294" t="s">
        <v>30</v>
      </c>
    </row>
    <row r="2295" spans="1:7" x14ac:dyDescent="0.3">
      <c r="A2295">
        <v>32294</v>
      </c>
      <c r="B2295">
        <v>364</v>
      </c>
      <c r="C2295" s="2">
        <v>44638</v>
      </c>
      <c r="D2295" s="2" t="str">
        <f>TEXT(Table5[[#This Row],[bill_date]],"mmmm")</f>
        <v>March</v>
      </c>
      <c r="E2295" s="9">
        <f>YEAR(Table5[[#This Row],[bill_date]])</f>
        <v>2022</v>
      </c>
      <c r="F2295">
        <v>1173</v>
      </c>
      <c r="G2295" t="s">
        <v>30</v>
      </c>
    </row>
    <row r="2296" spans="1:7" x14ac:dyDescent="0.3">
      <c r="A2296">
        <v>32295</v>
      </c>
      <c r="B2296">
        <v>412</v>
      </c>
      <c r="C2296" s="2">
        <v>45208</v>
      </c>
      <c r="D2296" s="2" t="str">
        <f>TEXT(Table5[[#This Row],[bill_date]],"mmmm")</f>
        <v>October</v>
      </c>
      <c r="E2296" s="9">
        <f>YEAR(Table5[[#This Row],[bill_date]])</f>
        <v>2023</v>
      </c>
      <c r="F2296">
        <v>1173</v>
      </c>
      <c r="G2296" t="s">
        <v>29</v>
      </c>
    </row>
    <row r="2297" spans="1:7" x14ac:dyDescent="0.3">
      <c r="A2297">
        <v>32296</v>
      </c>
      <c r="B2297">
        <v>438</v>
      </c>
      <c r="C2297" s="2">
        <v>45399</v>
      </c>
      <c r="D2297" s="2" t="str">
        <f>TEXT(Table5[[#This Row],[bill_date]],"mmmm")</f>
        <v>April</v>
      </c>
      <c r="E2297" s="9">
        <f>YEAR(Table5[[#This Row],[bill_date]])</f>
        <v>2024</v>
      </c>
      <c r="F2297">
        <v>422</v>
      </c>
      <c r="G2297" t="s">
        <v>30</v>
      </c>
    </row>
    <row r="2298" spans="1:7" x14ac:dyDescent="0.3">
      <c r="A2298">
        <v>32297</v>
      </c>
      <c r="B2298">
        <v>258</v>
      </c>
      <c r="C2298" s="2">
        <v>45143</v>
      </c>
      <c r="D2298" s="2" t="str">
        <f>TEXT(Table5[[#This Row],[bill_date]],"mmmm")</f>
        <v>August</v>
      </c>
      <c r="E2298" s="9">
        <f>YEAR(Table5[[#This Row],[bill_date]])</f>
        <v>2023</v>
      </c>
      <c r="F2298">
        <v>1008</v>
      </c>
      <c r="G2298" t="s">
        <v>30</v>
      </c>
    </row>
    <row r="2299" spans="1:7" x14ac:dyDescent="0.3">
      <c r="A2299">
        <v>32298</v>
      </c>
      <c r="B2299">
        <v>465</v>
      </c>
      <c r="C2299" s="2">
        <v>45235</v>
      </c>
      <c r="D2299" s="2" t="str">
        <f>TEXT(Table5[[#This Row],[bill_date]],"mmmm")</f>
        <v>November</v>
      </c>
      <c r="E2299" s="9">
        <f>YEAR(Table5[[#This Row],[bill_date]])</f>
        <v>2023</v>
      </c>
      <c r="F2299">
        <v>387</v>
      </c>
      <c r="G2299" t="s">
        <v>30</v>
      </c>
    </row>
    <row r="2300" spans="1:7" x14ac:dyDescent="0.3">
      <c r="A2300">
        <v>32299</v>
      </c>
      <c r="B2300">
        <v>231</v>
      </c>
      <c r="C2300" s="2">
        <v>45169</v>
      </c>
      <c r="D2300" s="2" t="str">
        <f>TEXT(Table5[[#This Row],[bill_date]],"mmmm")</f>
        <v>August</v>
      </c>
      <c r="E2300" s="9">
        <f>YEAR(Table5[[#This Row],[bill_date]])</f>
        <v>2023</v>
      </c>
      <c r="F2300">
        <v>257</v>
      </c>
      <c r="G2300" t="s">
        <v>28</v>
      </c>
    </row>
    <row r="2301" spans="1:7" x14ac:dyDescent="0.3">
      <c r="A2301">
        <v>32300</v>
      </c>
      <c r="B2301">
        <v>14</v>
      </c>
      <c r="C2301" s="2">
        <v>44577</v>
      </c>
      <c r="D2301" s="2" t="str">
        <f>TEXT(Table5[[#This Row],[bill_date]],"mmmm")</f>
        <v>January</v>
      </c>
      <c r="E2301" s="9">
        <f>YEAR(Table5[[#This Row],[bill_date]])</f>
        <v>2022</v>
      </c>
      <c r="F2301">
        <v>1230</v>
      </c>
      <c r="G2301" t="s">
        <v>30</v>
      </c>
    </row>
    <row r="2302" spans="1:7" x14ac:dyDescent="0.3">
      <c r="A2302">
        <v>32301</v>
      </c>
      <c r="B2302">
        <v>14</v>
      </c>
      <c r="C2302" s="2">
        <v>44791</v>
      </c>
      <c r="D2302" s="2" t="str">
        <f>TEXT(Table5[[#This Row],[bill_date]],"mmmm")</f>
        <v>August</v>
      </c>
      <c r="E2302" s="9">
        <f>YEAR(Table5[[#This Row],[bill_date]])</f>
        <v>2022</v>
      </c>
      <c r="F2302">
        <v>1706</v>
      </c>
      <c r="G2302" t="s">
        <v>30</v>
      </c>
    </row>
    <row r="2303" spans="1:7" x14ac:dyDescent="0.3">
      <c r="A2303">
        <v>32302</v>
      </c>
      <c r="B2303">
        <v>44</v>
      </c>
      <c r="C2303" s="2">
        <v>45450</v>
      </c>
      <c r="D2303" s="2" t="str">
        <f>TEXT(Table5[[#This Row],[bill_date]],"mmmm")</f>
        <v>June</v>
      </c>
      <c r="E2303" s="9">
        <f>YEAR(Table5[[#This Row],[bill_date]])</f>
        <v>2024</v>
      </c>
      <c r="F2303">
        <v>1023</v>
      </c>
      <c r="G2303" t="s">
        <v>30</v>
      </c>
    </row>
    <row r="2304" spans="1:7" x14ac:dyDescent="0.3">
      <c r="A2304">
        <v>32303</v>
      </c>
      <c r="B2304">
        <v>496</v>
      </c>
      <c r="C2304" s="2">
        <v>44828</v>
      </c>
      <c r="D2304" s="2" t="str">
        <f>TEXT(Table5[[#This Row],[bill_date]],"mmmm")</f>
        <v>September</v>
      </c>
      <c r="E2304" s="9">
        <f>YEAR(Table5[[#This Row],[bill_date]])</f>
        <v>2022</v>
      </c>
      <c r="F2304">
        <v>604</v>
      </c>
      <c r="G2304" t="s">
        <v>30</v>
      </c>
    </row>
    <row r="2305" spans="1:7" x14ac:dyDescent="0.3">
      <c r="A2305">
        <v>32304</v>
      </c>
      <c r="B2305">
        <v>210</v>
      </c>
      <c r="C2305" s="2">
        <v>44867</v>
      </c>
      <c r="D2305" s="2" t="str">
        <f>TEXT(Table5[[#This Row],[bill_date]],"mmmm")</f>
        <v>November</v>
      </c>
      <c r="E2305" s="9">
        <f>YEAR(Table5[[#This Row],[bill_date]])</f>
        <v>2022</v>
      </c>
      <c r="F2305">
        <v>812</v>
      </c>
      <c r="G2305" t="s">
        <v>30</v>
      </c>
    </row>
    <row r="2306" spans="1:7" x14ac:dyDescent="0.3">
      <c r="A2306">
        <v>32305</v>
      </c>
      <c r="B2306">
        <v>40</v>
      </c>
      <c r="C2306" s="2">
        <v>45416</v>
      </c>
      <c r="D2306" s="2" t="str">
        <f>TEXT(Table5[[#This Row],[bill_date]],"mmmm")</f>
        <v>May</v>
      </c>
      <c r="E2306" s="9">
        <f>YEAR(Table5[[#This Row],[bill_date]])</f>
        <v>2024</v>
      </c>
      <c r="F2306">
        <v>1694</v>
      </c>
      <c r="G2306" t="s">
        <v>28</v>
      </c>
    </row>
    <row r="2307" spans="1:7" x14ac:dyDescent="0.3">
      <c r="A2307">
        <v>32306</v>
      </c>
      <c r="B2307">
        <v>34</v>
      </c>
      <c r="C2307" s="2">
        <v>44567</v>
      </c>
      <c r="D2307" s="2" t="str">
        <f>TEXT(Table5[[#This Row],[bill_date]],"mmmm")</f>
        <v>January</v>
      </c>
      <c r="E2307" s="9">
        <f>YEAR(Table5[[#This Row],[bill_date]])</f>
        <v>2022</v>
      </c>
      <c r="F2307">
        <v>1243</v>
      </c>
      <c r="G2307" t="s">
        <v>30</v>
      </c>
    </row>
    <row r="2308" spans="1:7" x14ac:dyDescent="0.3">
      <c r="A2308">
        <v>32307</v>
      </c>
      <c r="B2308">
        <v>235</v>
      </c>
      <c r="C2308" s="2">
        <v>44671</v>
      </c>
      <c r="D2308" s="2" t="str">
        <f>TEXT(Table5[[#This Row],[bill_date]],"mmmm")</f>
        <v>April</v>
      </c>
      <c r="E2308" s="9">
        <f>YEAR(Table5[[#This Row],[bill_date]])</f>
        <v>2022</v>
      </c>
      <c r="F2308">
        <v>582</v>
      </c>
      <c r="G2308" t="s">
        <v>29</v>
      </c>
    </row>
    <row r="2309" spans="1:7" x14ac:dyDescent="0.3">
      <c r="A2309">
        <v>32308</v>
      </c>
      <c r="B2309">
        <v>321</v>
      </c>
      <c r="C2309" s="2">
        <v>44704</v>
      </c>
      <c r="D2309" s="2" t="str">
        <f>TEXT(Table5[[#This Row],[bill_date]],"mmmm")</f>
        <v>May</v>
      </c>
      <c r="E2309" s="9">
        <f>YEAR(Table5[[#This Row],[bill_date]])</f>
        <v>2022</v>
      </c>
      <c r="F2309">
        <v>610</v>
      </c>
      <c r="G2309" t="s">
        <v>30</v>
      </c>
    </row>
    <row r="2310" spans="1:7" x14ac:dyDescent="0.3">
      <c r="A2310">
        <v>32309</v>
      </c>
      <c r="B2310">
        <v>234</v>
      </c>
      <c r="C2310" s="2">
        <v>45228</v>
      </c>
      <c r="D2310" s="2" t="str">
        <f>TEXT(Table5[[#This Row],[bill_date]],"mmmm")</f>
        <v>October</v>
      </c>
      <c r="E2310" s="9">
        <f>YEAR(Table5[[#This Row],[bill_date]])</f>
        <v>2023</v>
      </c>
      <c r="F2310">
        <v>1527</v>
      </c>
      <c r="G2310" t="s">
        <v>30</v>
      </c>
    </row>
    <row r="2311" spans="1:7" x14ac:dyDescent="0.3">
      <c r="A2311">
        <v>32310</v>
      </c>
      <c r="B2311">
        <v>274</v>
      </c>
      <c r="C2311" s="2">
        <v>44768</v>
      </c>
      <c r="D2311" s="2" t="str">
        <f>TEXT(Table5[[#This Row],[bill_date]],"mmmm")</f>
        <v>July</v>
      </c>
      <c r="E2311" s="9">
        <f>YEAR(Table5[[#This Row],[bill_date]])</f>
        <v>2022</v>
      </c>
      <c r="F2311">
        <v>926</v>
      </c>
      <c r="G2311" t="s">
        <v>30</v>
      </c>
    </row>
    <row r="2312" spans="1:7" x14ac:dyDescent="0.3">
      <c r="A2312">
        <v>32311</v>
      </c>
      <c r="B2312">
        <v>368</v>
      </c>
      <c r="C2312" s="2">
        <v>44990</v>
      </c>
      <c r="D2312" s="2" t="str">
        <f>TEXT(Table5[[#This Row],[bill_date]],"mmmm")</f>
        <v>March</v>
      </c>
      <c r="E2312" s="9">
        <f>YEAR(Table5[[#This Row],[bill_date]])</f>
        <v>2023</v>
      </c>
      <c r="F2312">
        <v>1532</v>
      </c>
      <c r="G2312" t="s">
        <v>30</v>
      </c>
    </row>
    <row r="2313" spans="1:7" x14ac:dyDescent="0.3">
      <c r="A2313">
        <v>32312</v>
      </c>
      <c r="B2313">
        <v>290</v>
      </c>
      <c r="C2313" s="2">
        <v>44727</v>
      </c>
      <c r="D2313" s="2" t="str">
        <f>TEXT(Table5[[#This Row],[bill_date]],"mmmm")</f>
        <v>June</v>
      </c>
      <c r="E2313" s="9">
        <f>YEAR(Table5[[#This Row],[bill_date]])</f>
        <v>2022</v>
      </c>
      <c r="F2313">
        <v>429</v>
      </c>
      <c r="G2313" t="s">
        <v>28</v>
      </c>
    </row>
    <row r="2314" spans="1:7" x14ac:dyDescent="0.3">
      <c r="A2314">
        <v>32313</v>
      </c>
      <c r="B2314">
        <v>343</v>
      </c>
      <c r="C2314" s="2">
        <v>44821</v>
      </c>
      <c r="D2314" s="2" t="str">
        <f>TEXT(Table5[[#This Row],[bill_date]],"mmmm")</f>
        <v>September</v>
      </c>
      <c r="E2314" s="9">
        <f>YEAR(Table5[[#This Row],[bill_date]])</f>
        <v>2022</v>
      </c>
      <c r="F2314">
        <v>434</v>
      </c>
      <c r="G2314" t="s">
        <v>29</v>
      </c>
    </row>
    <row r="2315" spans="1:7" x14ac:dyDescent="0.3">
      <c r="A2315">
        <v>32314</v>
      </c>
      <c r="B2315">
        <v>433</v>
      </c>
      <c r="C2315" s="2">
        <v>45246</v>
      </c>
      <c r="D2315" s="2" t="str">
        <f>TEXT(Table5[[#This Row],[bill_date]],"mmmm")</f>
        <v>November</v>
      </c>
      <c r="E2315" s="9">
        <f>YEAR(Table5[[#This Row],[bill_date]])</f>
        <v>2023</v>
      </c>
      <c r="F2315">
        <v>861</v>
      </c>
      <c r="G2315" t="s">
        <v>28</v>
      </c>
    </row>
    <row r="2316" spans="1:7" x14ac:dyDescent="0.3">
      <c r="A2316">
        <v>32315</v>
      </c>
      <c r="B2316">
        <v>336</v>
      </c>
      <c r="C2316" s="2">
        <v>44955</v>
      </c>
      <c r="D2316" s="2" t="str">
        <f>TEXT(Table5[[#This Row],[bill_date]],"mmmm")</f>
        <v>January</v>
      </c>
      <c r="E2316" s="9">
        <f>YEAR(Table5[[#This Row],[bill_date]])</f>
        <v>2023</v>
      </c>
      <c r="F2316">
        <v>1802</v>
      </c>
      <c r="G2316" t="s">
        <v>30</v>
      </c>
    </row>
    <row r="2317" spans="1:7" x14ac:dyDescent="0.3">
      <c r="A2317">
        <v>32316</v>
      </c>
      <c r="B2317">
        <v>467</v>
      </c>
      <c r="C2317" s="2">
        <v>44682</v>
      </c>
      <c r="D2317" s="2" t="str">
        <f>TEXT(Table5[[#This Row],[bill_date]],"mmmm")</f>
        <v>May</v>
      </c>
      <c r="E2317" s="9">
        <f>YEAR(Table5[[#This Row],[bill_date]])</f>
        <v>2022</v>
      </c>
      <c r="F2317">
        <v>244</v>
      </c>
      <c r="G2317" t="s">
        <v>30</v>
      </c>
    </row>
    <row r="2318" spans="1:7" x14ac:dyDescent="0.3">
      <c r="A2318">
        <v>32317</v>
      </c>
      <c r="B2318">
        <v>229</v>
      </c>
      <c r="C2318" s="2">
        <v>44974</v>
      </c>
      <c r="D2318" s="2" t="str">
        <f>TEXT(Table5[[#This Row],[bill_date]],"mmmm")</f>
        <v>February</v>
      </c>
      <c r="E2318" s="9">
        <f>YEAR(Table5[[#This Row],[bill_date]])</f>
        <v>2023</v>
      </c>
      <c r="F2318">
        <v>420</v>
      </c>
      <c r="G2318" t="s">
        <v>30</v>
      </c>
    </row>
    <row r="2319" spans="1:7" x14ac:dyDescent="0.3">
      <c r="A2319">
        <v>32318</v>
      </c>
      <c r="B2319">
        <v>380</v>
      </c>
      <c r="C2319" s="2">
        <v>44701</v>
      </c>
      <c r="D2319" s="2" t="str">
        <f>TEXT(Table5[[#This Row],[bill_date]],"mmmm")</f>
        <v>May</v>
      </c>
      <c r="E2319" s="9">
        <f>YEAR(Table5[[#This Row],[bill_date]])</f>
        <v>2022</v>
      </c>
      <c r="F2319">
        <v>950</v>
      </c>
      <c r="G2319" t="s">
        <v>28</v>
      </c>
    </row>
    <row r="2320" spans="1:7" x14ac:dyDescent="0.3">
      <c r="A2320">
        <v>32319</v>
      </c>
      <c r="B2320">
        <v>439</v>
      </c>
      <c r="C2320" s="2">
        <v>44729</v>
      </c>
      <c r="D2320" s="2" t="str">
        <f>TEXT(Table5[[#This Row],[bill_date]],"mmmm")</f>
        <v>June</v>
      </c>
      <c r="E2320" s="9">
        <f>YEAR(Table5[[#This Row],[bill_date]])</f>
        <v>2022</v>
      </c>
      <c r="F2320">
        <v>354</v>
      </c>
      <c r="G2320" t="s">
        <v>30</v>
      </c>
    </row>
    <row r="2321" spans="1:7" x14ac:dyDescent="0.3">
      <c r="A2321">
        <v>32320</v>
      </c>
      <c r="B2321">
        <v>318</v>
      </c>
      <c r="C2321" s="2">
        <v>44645</v>
      </c>
      <c r="D2321" s="2" t="str">
        <f>TEXT(Table5[[#This Row],[bill_date]],"mmmm")</f>
        <v>March</v>
      </c>
      <c r="E2321" s="9">
        <f>YEAR(Table5[[#This Row],[bill_date]])</f>
        <v>2022</v>
      </c>
      <c r="F2321">
        <v>1317</v>
      </c>
      <c r="G2321" t="s">
        <v>30</v>
      </c>
    </row>
    <row r="2322" spans="1:7" x14ac:dyDescent="0.3">
      <c r="A2322">
        <v>32321</v>
      </c>
      <c r="B2322">
        <v>128</v>
      </c>
      <c r="C2322" s="2">
        <v>44982</v>
      </c>
      <c r="D2322" s="2" t="str">
        <f>TEXT(Table5[[#This Row],[bill_date]],"mmmm")</f>
        <v>February</v>
      </c>
      <c r="E2322" s="9">
        <f>YEAR(Table5[[#This Row],[bill_date]])</f>
        <v>2023</v>
      </c>
      <c r="F2322">
        <v>1831</v>
      </c>
      <c r="G2322" t="s">
        <v>30</v>
      </c>
    </row>
    <row r="2323" spans="1:7" x14ac:dyDescent="0.3">
      <c r="A2323">
        <v>32322</v>
      </c>
      <c r="B2323">
        <v>326</v>
      </c>
      <c r="C2323" s="2">
        <v>45267</v>
      </c>
      <c r="D2323" s="2" t="str">
        <f>TEXT(Table5[[#This Row],[bill_date]],"mmmm")</f>
        <v>December</v>
      </c>
      <c r="E2323" s="9">
        <f>YEAR(Table5[[#This Row],[bill_date]])</f>
        <v>2023</v>
      </c>
      <c r="F2323">
        <v>1016</v>
      </c>
      <c r="G2323" t="s">
        <v>30</v>
      </c>
    </row>
    <row r="2324" spans="1:7" x14ac:dyDescent="0.3">
      <c r="A2324">
        <v>32323</v>
      </c>
      <c r="B2324">
        <v>408</v>
      </c>
      <c r="C2324" s="2">
        <v>45349</v>
      </c>
      <c r="D2324" s="2" t="str">
        <f>TEXT(Table5[[#This Row],[bill_date]],"mmmm")</f>
        <v>February</v>
      </c>
      <c r="E2324" s="9">
        <f>YEAR(Table5[[#This Row],[bill_date]])</f>
        <v>2024</v>
      </c>
      <c r="F2324">
        <v>1305</v>
      </c>
      <c r="G2324" t="s">
        <v>30</v>
      </c>
    </row>
    <row r="2325" spans="1:7" x14ac:dyDescent="0.3">
      <c r="A2325">
        <v>32324</v>
      </c>
      <c r="B2325">
        <v>209</v>
      </c>
      <c r="C2325" s="2">
        <v>44829</v>
      </c>
      <c r="D2325" s="2" t="str">
        <f>TEXT(Table5[[#This Row],[bill_date]],"mmmm")</f>
        <v>September</v>
      </c>
      <c r="E2325" s="9">
        <f>YEAR(Table5[[#This Row],[bill_date]])</f>
        <v>2022</v>
      </c>
      <c r="F2325">
        <v>1467</v>
      </c>
      <c r="G2325" t="s">
        <v>30</v>
      </c>
    </row>
    <row r="2326" spans="1:7" x14ac:dyDescent="0.3">
      <c r="A2326">
        <v>32325</v>
      </c>
      <c r="B2326">
        <v>304</v>
      </c>
      <c r="C2326" s="2">
        <v>44599</v>
      </c>
      <c r="D2326" s="2" t="str">
        <f>TEXT(Table5[[#This Row],[bill_date]],"mmmm")</f>
        <v>February</v>
      </c>
      <c r="E2326" s="9">
        <f>YEAR(Table5[[#This Row],[bill_date]])</f>
        <v>2022</v>
      </c>
      <c r="F2326">
        <v>773</v>
      </c>
      <c r="G2326" t="s">
        <v>29</v>
      </c>
    </row>
    <row r="2327" spans="1:7" x14ac:dyDescent="0.3">
      <c r="A2327">
        <v>32326</v>
      </c>
      <c r="B2327">
        <v>80</v>
      </c>
      <c r="C2327" s="2">
        <v>44864</v>
      </c>
      <c r="D2327" s="2" t="str">
        <f>TEXT(Table5[[#This Row],[bill_date]],"mmmm")</f>
        <v>October</v>
      </c>
      <c r="E2327" s="9">
        <f>YEAR(Table5[[#This Row],[bill_date]])</f>
        <v>2022</v>
      </c>
      <c r="F2327">
        <v>208</v>
      </c>
      <c r="G2327" t="s">
        <v>30</v>
      </c>
    </row>
    <row r="2328" spans="1:7" x14ac:dyDescent="0.3">
      <c r="A2328">
        <v>32327</v>
      </c>
      <c r="B2328">
        <v>295</v>
      </c>
      <c r="C2328" s="2">
        <v>44899</v>
      </c>
      <c r="D2328" s="2" t="str">
        <f>TEXT(Table5[[#This Row],[bill_date]],"mmmm")</f>
        <v>December</v>
      </c>
      <c r="E2328" s="9">
        <f>YEAR(Table5[[#This Row],[bill_date]])</f>
        <v>2022</v>
      </c>
      <c r="F2328">
        <v>287</v>
      </c>
      <c r="G2328" t="s">
        <v>30</v>
      </c>
    </row>
    <row r="2329" spans="1:7" x14ac:dyDescent="0.3">
      <c r="A2329">
        <v>32328</v>
      </c>
      <c r="B2329">
        <v>176</v>
      </c>
      <c r="C2329" s="2">
        <v>45315</v>
      </c>
      <c r="D2329" s="2" t="str">
        <f>TEXT(Table5[[#This Row],[bill_date]],"mmmm")</f>
        <v>January</v>
      </c>
      <c r="E2329" s="9">
        <f>YEAR(Table5[[#This Row],[bill_date]])</f>
        <v>2024</v>
      </c>
      <c r="F2329">
        <v>1899</v>
      </c>
      <c r="G2329" t="s">
        <v>30</v>
      </c>
    </row>
    <row r="2330" spans="1:7" x14ac:dyDescent="0.3">
      <c r="A2330">
        <v>32329</v>
      </c>
      <c r="B2330">
        <v>233</v>
      </c>
      <c r="C2330" s="2">
        <v>44891</v>
      </c>
      <c r="D2330" s="2" t="str">
        <f>TEXT(Table5[[#This Row],[bill_date]],"mmmm")</f>
        <v>November</v>
      </c>
      <c r="E2330" s="9">
        <f>YEAR(Table5[[#This Row],[bill_date]])</f>
        <v>2022</v>
      </c>
      <c r="F2330">
        <v>1107</v>
      </c>
      <c r="G2330" t="s">
        <v>30</v>
      </c>
    </row>
    <row r="2331" spans="1:7" x14ac:dyDescent="0.3">
      <c r="A2331">
        <v>32330</v>
      </c>
      <c r="B2331">
        <v>326</v>
      </c>
      <c r="C2331" s="2">
        <v>44760</v>
      </c>
      <c r="D2331" s="2" t="str">
        <f>TEXT(Table5[[#This Row],[bill_date]],"mmmm")</f>
        <v>July</v>
      </c>
      <c r="E2331" s="9">
        <f>YEAR(Table5[[#This Row],[bill_date]])</f>
        <v>2022</v>
      </c>
      <c r="F2331">
        <v>524</v>
      </c>
      <c r="G2331" t="s">
        <v>30</v>
      </c>
    </row>
    <row r="2332" spans="1:7" x14ac:dyDescent="0.3">
      <c r="A2332">
        <v>32331</v>
      </c>
      <c r="B2332">
        <v>336</v>
      </c>
      <c r="C2332" s="2">
        <v>45371</v>
      </c>
      <c r="D2332" s="2" t="str">
        <f>TEXT(Table5[[#This Row],[bill_date]],"mmmm")</f>
        <v>March</v>
      </c>
      <c r="E2332" s="9">
        <f>YEAR(Table5[[#This Row],[bill_date]])</f>
        <v>2024</v>
      </c>
      <c r="F2332">
        <v>484</v>
      </c>
      <c r="G2332" t="s">
        <v>30</v>
      </c>
    </row>
    <row r="2333" spans="1:7" x14ac:dyDescent="0.3">
      <c r="A2333">
        <v>32332</v>
      </c>
      <c r="B2333">
        <v>265</v>
      </c>
      <c r="C2333" s="2">
        <v>44566</v>
      </c>
      <c r="D2333" s="2" t="str">
        <f>TEXT(Table5[[#This Row],[bill_date]],"mmmm")</f>
        <v>January</v>
      </c>
      <c r="E2333" s="9">
        <f>YEAR(Table5[[#This Row],[bill_date]])</f>
        <v>2022</v>
      </c>
      <c r="F2333">
        <v>413</v>
      </c>
      <c r="G2333" t="s">
        <v>30</v>
      </c>
    </row>
    <row r="2334" spans="1:7" x14ac:dyDescent="0.3">
      <c r="A2334">
        <v>32333</v>
      </c>
      <c r="B2334">
        <v>285</v>
      </c>
      <c r="C2334" s="2">
        <v>44993</v>
      </c>
      <c r="D2334" s="2" t="str">
        <f>TEXT(Table5[[#This Row],[bill_date]],"mmmm")</f>
        <v>March</v>
      </c>
      <c r="E2334" s="9">
        <f>YEAR(Table5[[#This Row],[bill_date]])</f>
        <v>2023</v>
      </c>
      <c r="F2334">
        <v>1194</v>
      </c>
      <c r="G2334" t="s">
        <v>30</v>
      </c>
    </row>
    <row r="2335" spans="1:7" x14ac:dyDescent="0.3">
      <c r="A2335">
        <v>32334</v>
      </c>
      <c r="B2335">
        <v>452</v>
      </c>
      <c r="C2335" s="2">
        <v>44932</v>
      </c>
      <c r="D2335" s="2" t="str">
        <f>TEXT(Table5[[#This Row],[bill_date]],"mmmm")</f>
        <v>January</v>
      </c>
      <c r="E2335" s="9">
        <f>YEAR(Table5[[#This Row],[bill_date]])</f>
        <v>2023</v>
      </c>
      <c r="F2335">
        <v>1294</v>
      </c>
      <c r="G2335" t="s">
        <v>30</v>
      </c>
    </row>
    <row r="2336" spans="1:7" x14ac:dyDescent="0.3">
      <c r="A2336">
        <v>32335</v>
      </c>
      <c r="B2336">
        <v>444</v>
      </c>
      <c r="C2336" s="2">
        <v>45456</v>
      </c>
      <c r="D2336" s="2" t="str">
        <f>TEXT(Table5[[#This Row],[bill_date]],"mmmm")</f>
        <v>June</v>
      </c>
      <c r="E2336" s="9">
        <f>YEAR(Table5[[#This Row],[bill_date]])</f>
        <v>2024</v>
      </c>
      <c r="F2336">
        <v>1430</v>
      </c>
      <c r="G2336" t="s">
        <v>30</v>
      </c>
    </row>
    <row r="2337" spans="1:7" x14ac:dyDescent="0.3">
      <c r="A2337">
        <v>32336</v>
      </c>
      <c r="B2337">
        <v>410</v>
      </c>
      <c r="C2337" s="2">
        <v>45428</v>
      </c>
      <c r="D2337" s="2" t="str">
        <f>TEXT(Table5[[#This Row],[bill_date]],"mmmm")</f>
        <v>May</v>
      </c>
      <c r="E2337" s="9">
        <f>YEAR(Table5[[#This Row],[bill_date]])</f>
        <v>2024</v>
      </c>
      <c r="F2337">
        <v>1361</v>
      </c>
      <c r="G2337" t="s">
        <v>28</v>
      </c>
    </row>
    <row r="2338" spans="1:7" x14ac:dyDescent="0.3">
      <c r="A2338">
        <v>32337</v>
      </c>
      <c r="B2338">
        <v>118</v>
      </c>
      <c r="C2338" s="2">
        <v>44664</v>
      </c>
      <c r="D2338" s="2" t="str">
        <f>TEXT(Table5[[#This Row],[bill_date]],"mmmm")</f>
        <v>April</v>
      </c>
      <c r="E2338" s="9">
        <f>YEAR(Table5[[#This Row],[bill_date]])</f>
        <v>2022</v>
      </c>
      <c r="F2338">
        <v>1980</v>
      </c>
      <c r="G2338" t="s">
        <v>28</v>
      </c>
    </row>
    <row r="2339" spans="1:7" x14ac:dyDescent="0.3">
      <c r="A2339">
        <v>32338</v>
      </c>
      <c r="B2339">
        <v>166</v>
      </c>
      <c r="C2339" s="2">
        <v>44996</v>
      </c>
      <c r="D2339" s="2" t="str">
        <f>TEXT(Table5[[#This Row],[bill_date]],"mmmm")</f>
        <v>March</v>
      </c>
      <c r="E2339" s="9">
        <f>YEAR(Table5[[#This Row],[bill_date]])</f>
        <v>2023</v>
      </c>
      <c r="F2339">
        <v>1601</v>
      </c>
      <c r="G2339" t="s">
        <v>30</v>
      </c>
    </row>
    <row r="2340" spans="1:7" x14ac:dyDescent="0.3">
      <c r="A2340">
        <v>32339</v>
      </c>
      <c r="B2340">
        <v>318</v>
      </c>
      <c r="C2340" s="2">
        <v>45211</v>
      </c>
      <c r="D2340" s="2" t="str">
        <f>TEXT(Table5[[#This Row],[bill_date]],"mmmm")</f>
        <v>October</v>
      </c>
      <c r="E2340" s="9">
        <f>YEAR(Table5[[#This Row],[bill_date]])</f>
        <v>2023</v>
      </c>
      <c r="F2340">
        <v>1863</v>
      </c>
      <c r="G2340" t="s">
        <v>28</v>
      </c>
    </row>
    <row r="2341" spans="1:7" x14ac:dyDescent="0.3">
      <c r="A2341">
        <v>32340</v>
      </c>
      <c r="B2341">
        <v>410</v>
      </c>
      <c r="C2341" s="2">
        <v>45366</v>
      </c>
      <c r="D2341" s="2" t="str">
        <f>TEXT(Table5[[#This Row],[bill_date]],"mmmm")</f>
        <v>March</v>
      </c>
      <c r="E2341" s="9">
        <f>YEAR(Table5[[#This Row],[bill_date]])</f>
        <v>2024</v>
      </c>
      <c r="F2341">
        <v>1180</v>
      </c>
      <c r="G2341" t="s">
        <v>30</v>
      </c>
    </row>
    <row r="2342" spans="1:7" x14ac:dyDescent="0.3">
      <c r="A2342">
        <v>32341</v>
      </c>
      <c r="B2342">
        <v>142</v>
      </c>
      <c r="C2342" s="2">
        <v>44942</v>
      </c>
      <c r="D2342" s="2" t="str">
        <f>TEXT(Table5[[#This Row],[bill_date]],"mmmm")</f>
        <v>January</v>
      </c>
      <c r="E2342" s="9">
        <f>YEAR(Table5[[#This Row],[bill_date]])</f>
        <v>2023</v>
      </c>
      <c r="F2342">
        <v>600</v>
      </c>
      <c r="G2342" t="s">
        <v>28</v>
      </c>
    </row>
    <row r="2343" spans="1:7" x14ac:dyDescent="0.3">
      <c r="A2343">
        <v>32342</v>
      </c>
      <c r="B2343">
        <v>483</v>
      </c>
      <c r="C2343" s="2">
        <v>44627</v>
      </c>
      <c r="D2343" s="2" t="str">
        <f>TEXT(Table5[[#This Row],[bill_date]],"mmmm")</f>
        <v>March</v>
      </c>
      <c r="E2343" s="9">
        <f>YEAR(Table5[[#This Row],[bill_date]])</f>
        <v>2022</v>
      </c>
      <c r="F2343">
        <v>810</v>
      </c>
      <c r="G2343" t="s">
        <v>30</v>
      </c>
    </row>
    <row r="2344" spans="1:7" x14ac:dyDescent="0.3">
      <c r="A2344">
        <v>32343</v>
      </c>
      <c r="B2344">
        <v>247</v>
      </c>
      <c r="C2344" s="2">
        <v>45140</v>
      </c>
      <c r="D2344" s="2" t="str">
        <f>TEXT(Table5[[#This Row],[bill_date]],"mmmm")</f>
        <v>August</v>
      </c>
      <c r="E2344" s="9">
        <f>YEAR(Table5[[#This Row],[bill_date]])</f>
        <v>2023</v>
      </c>
      <c r="F2344">
        <v>721</v>
      </c>
      <c r="G2344" t="s">
        <v>30</v>
      </c>
    </row>
    <row r="2345" spans="1:7" x14ac:dyDescent="0.3">
      <c r="A2345">
        <v>32344</v>
      </c>
      <c r="B2345">
        <v>177</v>
      </c>
      <c r="C2345" s="2">
        <v>44831</v>
      </c>
      <c r="D2345" s="2" t="str">
        <f>TEXT(Table5[[#This Row],[bill_date]],"mmmm")</f>
        <v>September</v>
      </c>
      <c r="E2345" s="9">
        <f>YEAR(Table5[[#This Row],[bill_date]])</f>
        <v>2022</v>
      </c>
      <c r="F2345">
        <v>538</v>
      </c>
      <c r="G2345" t="s">
        <v>28</v>
      </c>
    </row>
    <row r="2346" spans="1:7" x14ac:dyDescent="0.3">
      <c r="A2346">
        <v>32345</v>
      </c>
      <c r="B2346">
        <v>299</v>
      </c>
      <c r="C2346" s="2">
        <v>44608</v>
      </c>
      <c r="D2346" s="2" t="str">
        <f>TEXT(Table5[[#This Row],[bill_date]],"mmmm")</f>
        <v>February</v>
      </c>
      <c r="E2346" s="9">
        <f>YEAR(Table5[[#This Row],[bill_date]])</f>
        <v>2022</v>
      </c>
      <c r="F2346">
        <v>1398</v>
      </c>
      <c r="G2346" t="s">
        <v>30</v>
      </c>
    </row>
    <row r="2347" spans="1:7" x14ac:dyDescent="0.3">
      <c r="A2347">
        <v>32346</v>
      </c>
      <c r="B2347">
        <v>344</v>
      </c>
      <c r="C2347" s="2">
        <v>44926</v>
      </c>
      <c r="D2347" s="2" t="str">
        <f>TEXT(Table5[[#This Row],[bill_date]],"mmmm")</f>
        <v>December</v>
      </c>
      <c r="E2347" s="9">
        <f>YEAR(Table5[[#This Row],[bill_date]])</f>
        <v>2022</v>
      </c>
      <c r="F2347">
        <v>1027</v>
      </c>
      <c r="G2347" t="s">
        <v>30</v>
      </c>
    </row>
    <row r="2348" spans="1:7" x14ac:dyDescent="0.3">
      <c r="A2348">
        <v>32347</v>
      </c>
      <c r="B2348">
        <v>264</v>
      </c>
      <c r="C2348" s="2">
        <v>45442</v>
      </c>
      <c r="D2348" s="2" t="str">
        <f>TEXT(Table5[[#This Row],[bill_date]],"mmmm")</f>
        <v>May</v>
      </c>
      <c r="E2348" s="9">
        <f>YEAR(Table5[[#This Row],[bill_date]])</f>
        <v>2024</v>
      </c>
      <c r="F2348">
        <v>1104</v>
      </c>
      <c r="G2348" t="s">
        <v>30</v>
      </c>
    </row>
    <row r="2349" spans="1:7" x14ac:dyDescent="0.3">
      <c r="A2349">
        <v>32348</v>
      </c>
      <c r="B2349">
        <v>168</v>
      </c>
      <c r="C2349" s="2">
        <v>44741</v>
      </c>
      <c r="D2349" s="2" t="str">
        <f>TEXT(Table5[[#This Row],[bill_date]],"mmmm")</f>
        <v>June</v>
      </c>
      <c r="E2349" s="9">
        <f>YEAR(Table5[[#This Row],[bill_date]])</f>
        <v>2022</v>
      </c>
      <c r="F2349">
        <v>555</v>
      </c>
      <c r="G2349" t="s">
        <v>28</v>
      </c>
    </row>
    <row r="2350" spans="1:7" x14ac:dyDescent="0.3">
      <c r="A2350">
        <v>32349</v>
      </c>
      <c r="B2350">
        <v>25</v>
      </c>
      <c r="C2350" s="2">
        <v>44629</v>
      </c>
      <c r="D2350" s="2" t="str">
        <f>TEXT(Table5[[#This Row],[bill_date]],"mmmm")</f>
        <v>March</v>
      </c>
      <c r="E2350" s="9">
        <f>YEAR(Table5[[#This Row],[bill_date]])</f>
        <v>2022</v>
      </c>
      <c r="F2350">
        <v>576</v>
      </c>
      <c r="G2350" t="s">
        <v>30</v>
      </c>
    </row>
    <row r="2351" spans="1:7" x14ac:dyDescent="0.3">
      <c r="A2351">
        <v>32350</v>
      </c>
      <c r="B2351">
        <v>191</v>
      </c>
      <c r="C2351" s="2">
        <v>44676</v>
      </c>
      <c r="D2351" s="2" t="str">
        <f>TEXT(Table5[[#This Row],[bill_date]],"mmmm")</f>
        <v>April</v>
      </c>
      <c r="E2351" s="9">
        <f>YEAR(Table5[[#This Row],[bill_date]])</f>
        <v>2022</v>
      </c>
      <c r="F2351">
        <v>1538</v>
      </c>
      <c r="G2351" t="s">
        <v>30</v>
      </c>
    </row>
    <row r="2352" spans="1:7" x14ac:dyDescent="0.3">
      <c r="A2352">
        <v>32351</v>
      </c>
      <c r="B2352">
        <v>388</v>
      </c>
      <c r="C2352" s="2">
        <v>44587</v>
      </c>
      <c r="D2352" s="2" t="str">
        <f>TEXT(Table5[[#This Row],[bill_date]],"mmmm")</f>
        <v>January</v>
      </c>
      <c r="E2352" s="9">
        <f>YEAR(Table5[[#This Row],[bill_date]])</f>
        <v>2022</v>
      </c>
      <c r="F2352">
        <v>1884</v>
      </c>
      <c r="G2352" t="s">
        <v>30</v>
      </c>
    </row>
    <row r="2353" spans="1:7" x14ac:dyDescent="0.3">
      <c r="A2353">
        <v>32352</v>
      </c>
      <c r="B2353">
        <v>15</v>
      </c>
      <c r="C2353" s="2">
        <v>45120</v>
      </c>
      <c r="D2353" s="2" t="str">
        <f>TEXT(Table5[[#This Row],[bill_date]],"mmmm")</f>
        <v>July</v>
      </c>
      <c r="E2353" s="9">
        <f>YEAR(Table5[[#This Row],[bill_date]])</f>
        <v>2023</v>
      </c>
      <c r="F2353">
        <v>273</v>
      </c>
      <c r="G2353" t="s">
        <v>28</v>
      </c>
    </row>
    <row r="2354" spans="1:7" x14ac:dyDescent="0.3">
      <c r="A2354">
        <v>32353</v>
      </c>
      <c r="B2354">
        <v>16</v>
      </c>
      <c r="C2354" s="2">
        <v>44768</v>
      </c>
      <c r="D2354" s="2" t="str">
        <f>TEXT(Table5[[#This Row],[bill_date]],"mmmm")</f>
        <v>July</v>
      </c>
      <c r="E2354" s="9">
        <f>YEAR(Table5[[#This Row],[bill_date]])</f>
        <v>2022</v>
      </c>
      <c r="F2354">
        <v>1321</v>
      </c>
      <c r="G2354" t="s">
        <v>30</v>
      </c>
    </row>
    <row r="2355" spans="1:7" x14ac:dyDescent="0.3">
      <c r="A2355">
        <v>32354</v>
      </c>
      <c r="B2355">
        <v>310</v>
      </c>
      <c r="C2355" s="2">
        <v>44634</v>
      </c>
      <c r="D2355" s="2" t="str">
        <f>TEXT(Table5[[#This Row],[bill_date]],"mmmm")</f>
        <v>March</v>
      </c>
      <c r="E2355" s="9">
        <f>YEAR(Table5[[#This Row],[bill_date]])</f>
        <v>2022</v>
      </c>
      <c r="F2355">
        <v>463</v>
      </c>
      <c r="G2355" t="s">
        <v>30</v>
      </c>
    </row>
    <row r="2356" spans="1:7" x14ac:dyDescent="0.3">
      <c r="A2356">
        <v>32355</v>
      </c>
      <c r="B2356">
        <v>127</v>
      </c>
      <c r="C2356" s="2">
        <v>44820</v>
      </c>
      <c r="D2356" s="2" t="str">
        <f>TEXT(Table5[[#This Row],[bill_date]],"mmmm")</f>
        <v>September</v>
      </c>
      <c r="E2356" s="9">
        <f>YEAR(Table5[[#This Row],[bill_date]])</f>
        <v>2022</v>
      </c>
      <c r="F2356">
        <v>1109</v>
      </c>
      <c r="G2356" t="s">
        <v>30</v>
      </c>
    </row>
    <row r="2357" spans="1:7" x14ac:dyDescent="0.3">
      <c r="A2357">
        <v>32356</v>
      </c>
      <c r="B2357">
        <v>267</v>
      </c>
      <c r="C2357" s="2">
        <v>44947</v>
      </c>
      <c r="D2357" s="2" t="str">
        <f>TEXT(Table5[[#This Row],[bill_date]],"mmmm")</f>
        <v>January</v>
      </c>
      <c r="E2357" s="9">
        <f>YEAR(Table5[[#This Row],[bill_date]])</f>
        <v>2023</v>
      </c>
      <c r="F2357">
        <v>1212</v>
      </c>
      <c r="G2357" t="s">
        <v>30</v>
      </c>
    </row>
    <row r="2358" spans="1:7" x14ac:dyDescent="0.3">
      <c r="A2358">
        <v>32357</v>
      </c>
      <c r="B2358">
        <v>28</v>
      </c>
      <c r="C2358" s="2">
        <v>44591</v>
      </c>
      <c r="D2358" s="2" t="str">
        <f>TEXT(Table5[[#This Row],[bill_date]],"mmmm")</f>
        <v>January</v>
      </c>
      <c r="E2358" s="9">
        <f>YEAR(Table5[[#This Row],[bill_date]])</f>
        <v>2022</v>
      </c>
      <c r="F2358">
        <v>1977</v>
      </c>
      <c r="G2358" t="s">
        <v>30</v>
      </c>
    </row>
    <row r="2359" spans="1:7" x14ac:dyDescent="0.3">
      <c r="A2359">
        <v>32358</v>
      </c>
      <c r="B2359">
        <v>263</v>
      </c>
      <c r="C2359" s="2">
        <v>44982</v>
      </c>
      <c r="D2359" s="2" t="str">
        <f>TEXT(Table5[[#This Row],[bill_date]],"mmmm")</f>
        <v>February</v>
      </c>
      <c r="E2359" s="9">
        <f>YEAR(Table5[[#This Row],[bill_date]])</f>
        <v>2023</v>
      </c>
      <c r="F2359">
        <v>1305</v>
      </c>
      <c r="G2359" t="s">
        <v>30</v>
      </c>
    </row>
    <row r="2360" spans="1:7" x14ac:dyDescent="0.3">
      <c r="A2360">
        <v>32359</v>
      </c>
      <c r="B2360">
        <v>370</v>
      </c>
      <c r="C2360" s="2">
        <v>44564</v>
      </c>
      <c r="D2360" s="2" t="str">
        <f>TEXT(Table5[[#This Row],[bill_date]],"mmmm")</f>
        <v>January</v>
      </c>
      <c r="E2360" s="9">
        <f>YEAR(Table5[[#This Row],[bill_date]])</f>
        <v>2022</v>
      </c>
      <c r="F2360">
        <v>1804</v>
      </c>
      <c r="G2360" t="s">
        <v>30</v>
      </c>
    </row>
    <row r="2361" spans="1:7" x14ac:dyDescent="0.3">
      <c r="A2361">
        <v>32360</v>
      </c>
      <c r="B2361">
        <v>384</v>
      </c>
      <c r="C2361" s="2">
        <v>45082</v>
      </c>
      <c r="D2361" s="2" t="str">
        <f>TEXT(Table5[[#This Row],[bill_date]],"mmmm")</f>
        <v>June</v>
      </c>
      <c r="E2361" s="9">
        <f>YEAR(Table5[[#This Row],[bill_date]])</f>
        <v>2023</v>
      </c>
      <c r="F2361">
        <v>426</v>
      </c>
      <c r="G2361" t="s">
        <v>30</v>
      </c>
    </row>
    <row r="2362" spans="1:7" x14ac:dyDescent="0.3">
      <c r="A2362">
        <v>32361</v>
      </c>
      <c r="B2362">
        <v>294</v>
      </c>
      <c r="C2362" s="2">
        <v>45081</v>
      </c>
      <c r="D2362" s="2" t="str">
        <f>TEXT(Table5[[#This Row],[bill_date]],"mmmm")</f>
        <v>June</v>
      </c>
      <c r="E2362" s="9">
        <f>YEAR(Table5[[#This Row],[bill_date]])</f>
        <v>2023</v>
      </c>
      <c r="F2362">
        <v>1906</v>
      </c>
      <c r="G2362" t="s">
        <v>30</v>
      </c>
    </row>
    <row r="2363" spans="1:7" x14ac:dyDescent="0.3">
      <c r="A2363">
        <v>32362</v>
      </c>
      <c r="B2363">
        <v>152</v>
      </c>
      <c r="C2363" s="2">
        <v>45082</v>
      </c>
      <c r="D2363" s="2" t="str">
        <f>TEXT(Table5[[#This Row],[bill_date]],"mmmm")</f>
        <v>June</v>
      </c>
      <c r="E2363" s="9">
        <f>YEAR(Table5[[#This Row],[bill_date]])</f>
        <v>2023</v>
      </c>
      <c r="F2363">
        <v>329</v>
      </c>
      <c r="G2363" t="s">
        <v>28</v>
      </c>
    </row>
    <row r="2364" spans="1:7" x14ac:dyDescent="0.3">
      <c r="A2364">
        <v>32363</v>
      </c>
      <c r="B2364">
        <v>479</v>
      </c>
      <c r="C2364" s="2">
        <v>45449</v>
      </c>
      <c r="D2364" s="2" t="str">
        <f>TEXT(Table5[[#This Row],[bill_date]],"mmmm")</f>
        <v>June</v>
      </c>
      <c r="E2364" s="9">
        <f>YEAR(Table5[[#This Row],[bill_date]])</f>
        <v>2024</v>
      </c>
      <c r="F2364">
        <v>1232</v>
      </c>
      <c r="G2364" t="s">
        <v>30</v>
      </c>
    </row>
    <row r="2365" spans="1:7" x14ac:dyDescent="0.3">
      <c r="A2365">
        <v>32364</v>
      </c>
      <c r="B2365">
        <v>68</v>
      </c>
      <c r="C2365" s="2">
        <v>44962</v>
      </c>
      <c r="D2365" s="2" t="str">
        <f>TEXT(Table5[[#This Row],[bill_date]],"mmmm")</f>
        <v>February</v>
      </c>
      <c r="E2365" s="9">
        <f>YEAR(Table5[[#This Row],[bill_date]])</f>
        <v>2023</v>
      </c>
      <c r="F2365">
        <v>1790</v>
      </c>
      <c r="G2365" t="s">
        <v>30</v>
      </c>
    </row>
    <row r="2366" spans="1:7" x14ac:dyDescent="0.3">
      <c r="A2366">
        <v>32365</v>
      </c>
      <c r="B2366">
        <v>37</v>
      </c>
      <c r="C2366" s="2">
        <v>45225</v>
      </c>
      <c r="D2366" s="2" t="str">
        <f>TEXT(Table5[[#This Row],[bill_date]],"mmmm")</f>
        <v>October</v>
      </c>
      <c r="E2366" s="9">
        <f>YEAR(Table5[[#This Row],[bill_date]])</f>
        <v>2023</v>
      </c>
      <c r="F2366">
        <v>743</v>
      </c>
      <c r="G2366" t="s">
        <v>30</v>
      </c>
    </row>
    <row r="2367" spans="1:7" x14ac:dyDescent="0.3">
      <c r="A2367">
        <v>32366</v>
      </c>
      <c r="B2367">
        <v>376</v>
      </c>
      <c r="C2367" s="2">
        <v>45215</v>
      </c>
      <c r="D2367" s="2" t="str">
        <f>TEXT(Table5[[#This Row],[bill_date]],"mmmm")</f>
        <v>October</v>
      </c>
      <c r="E2367" s="9">
        <f>YEAR(Table5[[#This Row],[bill_date]])</f>
        <v>2023</v>
      </c>
      <c r="F2367">
        <v>442</v>
      </c>
      <c r="G2367" t="s">
        <v>30</v>
      </c>
    </row>
    <row r="2368" spans="1:7" x14ac:dyDescent="0.3">
      <c r="A2368">
        <v>32367</v>
      </c>
      <c r="B2368">
        <v>35</v>
      </c>
      <c r="C2368" s="2">
        <v>45409</v>
      </c>
      <c r="D2368" s="2" t="str">
        <f>TEXT(Table5[[#This Row],[bill_date]],"mmmm")</f>
        <v>April</v>
      </c>
      <c r="E2368" s="9">
        <f>YEAR(Table5[[#This Row],[bill_date]])</f>
        <v>2024</v>
      </c>
      <c r="F2368">
        <v>1448</v>
      </c>
      <c r="G2368" t="s">
        <v>30</v>
      </c>
    </row>
    <row r="2369" spans="1:7" x14ac:dyDescent="0.3">
      <c r="A2369">
        <v>32368</v>
      </c>
      <c r="B2369">
        <v>134</v>
      </c>
      <c r="C2369" s="2">
        <v>44835</v>
      </c>
      <c r="D2369" s="2" t="str">
        <f>TEXT(Table5[[#This Row],[bill_date]],"mmmm")</f>
        <v>October</v>
      </c>
      <c r="E2369" s="9">
        <f>YEAR(Table5[[#This Row],[bill_date]])</f>
        <v>2022</v>
      </c>
      <c r="F2369">
        <v>426</v>
      </c>
      <c r="G2369" t="s">
        <v>29</v>
      </c>
    </row>
    <row r="2370" spans="1:7" x14ac:dyDescent="0.3">
      <c r="A2370">
        <v>32369</v>
      </c>
      <c r="B2370">
        <v>366</v>
      </c>
      <c r="C2370" s="2">
        <v>45033</v>
      </c>
      <c r="D2370" s="2" t="str">
        <f>TEXT(Table5[[#This Row],[bill_date]],"mmmm")</f>
        <v>April</v>
      </c>
      <c r="E2370" s="9">
        <f>YEAR(Table5[[#This Row],[bill_date]])</f>
        <v>2023</v>
      </c>
      <c r="F2370">
        <v>443</v>
      </c>
      <c r="G2370" t="s">
        <v>30</v>
      </c>
    </row>
    <row r="2371" spans="1:7" x14ac:dyDescent="0.3">
      <c r="A2371">
        <v>32370</v>
      </c>
      <c r="B2371">
        <v>161</v>
      </c>
      <c r="C2371" s="2">
        <v>44933</v>
      </c>
      <c r="D2371" s="2" t="str">
        <f>TEXT(Table5[[#This Row],[bill_date]],"mmmm")</f>
        <v>January</v>
      </c>
      <c r="E2371" s="9">
        <f>YEAR(Table5[[#This Row],[bill_date]])</f>
        <v>2023</v>
      </c>
      <c r="F2371">
        <v>642</v>
      </c>
      <c r="G2371" t="s">
        <v>30</v>
      </c>
    </row>
    <row r="2372" spans="1:7" x14ac:dyDescent="0.3">
      <c r="A2372">
        <v>32371</v>
      </c>
      <c r="B2372">
        <v>372</v>
      </c>
      <c r="C2372" s="2">
        <v>44992</v>
      </c>
      <c r="D2372" s="2" t="str">
        <f>TEXT(Table5[[#This Row],[bill_date]],"mmmm")</f>
        <v>March</v>
      </c>
      <c r="E2372" s="9">
        <f>YEAR(Table5[[#This Row],[bill_date]])</f>
        <v>2023</v>
      </c>
      <c r="F2372">
        <v>813</v>
      </c>
      <c r="G2372" t="s">
        <v>30</v>
      </c>
    </row>
    <row r="2373" spans="1:7" x14ac:dyDescent="0.3">
      <c r="A2373">
        <v>32372</v>
      </c>
      <c r="B2373">
        <v>224</v>
      </c>
      <c r="C2373" s="2">
        <v>45100</v>
      </c>
      <c r="D2373" s="2" t="str">
        <f>TEXT(Table5[[#This Row],[bill_date]],"mmmm")</f>
        <v>June</v>
      </c>
      <c r="E2373" s="9">
        <f>YEAR(Table5[[#This Row],[bill_date]])</f>
        <v>2023</v>
      </c>
      <c r="F2373">
        <v>1931</v>
      </c>
      <c r="G2373" t="s">
        <v>30</v>
      </c>
    </row>
    <row r="2374" spans="1:7" x14ac:dyDescent="0.3">
      <c r="A2374">
        <v>32373</v>
      </c>
      <c r="B2374">
        <v>110</v>
      </c>
      <c r="C2374" s="2">
        <v>44909</v>
      </c>
      <c r="D2374" s="2" t="str">
        <f>TEXT(Table5[[#This Row],[bill_date]],"mmmm")</f>
        <v>December</v>
      </c>
      <c r="E2374" s="9">
        <f>YEAR(Table5[[#This Row],[bill_date]])</f>
        <v>2022</v>
      </c>
      <c r="F2374">
        <v>1085</v>
      </c>
      <c r="G2374" t="s">
        <v>29</v>
      </c>
    </row>
    <row r="2375" spans="1:7" x14ac:dyDescent="0.3">
      <c r="A2375">
        <v>32374</v>
      </c>
      <c r="B2375">
        <v>102</v>
      </c>
      <c r="C2375" s="2">
        <v>44632</v>
      </c>
      <c r="D2375" s="2" t="str">
        <f>TEXT(Table5[[#This Row],[bill_date]],"mmmm")</f>
        <v>March</v>
      </c>
      <c r="E2375" s="9">
        <f>YEAR(Table5[[#This Row],[bill_date]])</f>
        <v>2022</v>
      </c>
      <c r="F2375">
        <v>1023</v>
      </c>
      <c r="G2375" t="s">
        <v>30</v>
      </c>
    </row>
    <row r="2376" spans="1:7" x14ac:dyDescent="0.3">
      <c r="A2376">
        <v>32375</v>
      </c>
      <c r="B2376">
        <v>355</v>
      </c>
      <c r="C2376" s="2">
        <v>45043</v>
      </c>
      <c r="D2376" s="2" t="str">
        <f>TEXT(Table5[[#This Row],[bill_date]],"mmmm")</f>
        <v>April</v>
      </c>
      <c r="E2376" s="9">
        <f>YEAR(Table5[[#This Row],[bill_date]])</f>
        <v>2023</v>
      </c>
      <c r="F2376">
        <v>1683</v>
      </c>
      <c r="G2376" t="s">
        <v>30</v>
      </c>
    </row>
    <row r="2377" spans="1:7" x14ac:dyDescent="0.3">
      <c r="A2377">
        <v>32376</v>
      </c>
      <c r="B2377">
        <v>465</v>
      </c>
      <c r="C2377" s="2">
        <v>45292</v>
      </c>
      <c r="D2377" s="2" t="str">
        <f>TEXT(Table5[[#This Row],[bill_date]],"mmmm")</f>
        <v>January</v>
      </c>
      <c r="E2377" s="9">
        <f>YEAR(Table5[[#This Row],[bill_date]])</f>
        <v>2024</v>
      </c>
      <c r="F2377">
        <v>1134</v>
      </c>
      <c r="G2377" t="s">
        <v>28</v>
      </c>
    </row>
    <row r="2378" spans="1:7" x14ac:dyDescent="0.3">
      <c r="A2378">
        <v>32377</v>
      </c>
      <c r="B2378">
        <v>182</v>
      </c>
      <c r="C2378" s="2">
        <v>45363</v>
      </c>
      <c r="D2378" s="2" t="str">
        <f>TEXT(Table5[[#This Row],[bill_date]],"mmmm")</f>
        <v>March</v>
      </c>
      <c r="E2378" s="9">
        <f>YEAR(Table5[[#This Row],[bill_date]])</f>
        <v>2024</v>
      </c>
      <c r="F2378">
        <v>1943</v>
      </c>
      <c r="G2378" t="s">
        <v>30</v>
      </c>
    </row>
    <row r="2379" spans="1:7" x14ac:dyDescent="0.3">
      <c r="A2379">
        <v>32378</v>
      </c>
      <c r="B2379">
        <v>480</v>
      </c>
      <c r="C2379" s="2">
        <v>44817</v>
      </c>
      <c r="D2379" s="2" t="str">
        <f>TEXT(Table5[[#This Row],[bill_date]],"mmmm")</f>
        <v>September</v>
      </c>
      <c r="E2379" s="9">
        <f>YEAR(Table5[[#This Row],[bill_date]])</f>
        <v>2022</v>
      </c>
      <c r="F2379">
        <v>580</v>
      </c>
      <c r="G2379" t="s">
        <v>28</v>
      </c>
    </row>
    <row r="2380" spans="1:7" x14ac:dyDescent="0.3">
      <c r="A2380">
        <v>32379</v>
      </c>
      <c r="B2380">
        <v>398</v>
      </c>
      <c r="C2380" s="2">
        <v>44664</v>
      </c>
      <c r="D2380" s="2" t="str">
        <f>TEXT(Table5[[#This Row],[bill_date]],"mmmm")</f>
        <v>April</v>
      </c>
      <c r="E2380" s="9">
        <f>YEAR(Table5[[#This Row],[bill_date]])</f>
        <v>2022</v>
      </c>
      <c r="F2380">
        <v>1414</v>
      </c>
      <c r="G2380" t="s">
        <v>30</v>
      </c>
    </row>
    <row r="2381" spans="1:7" x14ac:dyDescent="0.3">
      <c r="A2381">
        <v>32380</v>
      </c>
      <c r="B2381">
        <v>147</v>
      </c>
      <c r="C2381" s="2">
        <v>44708</v>
      </c>
      <c r="D2381" s="2" t="str">
        <f>TEXT(Table5[[#This Row],[bill_date]],"mmmm")</f>
        <v>May</v>
      </c>
      <c r="E2381" s="9">
        <f>YEAR(Table5[[#This Row],[bill_date]])</f>
        <v>2022</v>
      </c>
      <c r="F2381">
        <v>837</v>
      </c>
      <c r="G2381" t="s">
        <v>30</v>
      </c>
    </row>
    <row r="2382" spans="1:7" x14ac:dyDescent="0.3">
      <c r="A2382">
        <v>32381</v>
      </c>
      <c r="B2382">
        <v>216</v>
      </c>
      <c r="C2382" s="2">
        <v>45231</v>
      </c>
      <c r="D2382" s="2" t="str">
        <f>TEXT(Table5[[#This Row],[bill_date]],"mmmm")</f>
        <v>November</v>
      </c>
      <c r="E2382" s="9">
        <f>YEAR(Table5[[#This Row],[bill_date]])</f>
        <v>2023</v>
      </c>
      <c r="F2382">
        <v>720</v>
      </c>
      <c r="G2382" t="s">
        <v>30</v>
      </c>
    </row>
    <row r="2383" spans="1:7" x14ac:dyDescent="0.3">
      <c r="A2383">
        <v>32382</v>
      </c>
      <c r="B2383">
        <v>487</v>
      </c>
      <c r="C2383" s="2">
        <v>45421</v>
      </c>
      <c r="D2383" s="2" t="str">
        <f>TEXT(Table5[[#This Row],[bill_date]],"mmmm")</f>
        <v>May</v>
      </c>
      <c r="E2383" s="9">
        <f>YEAR(Table5[[#This Row],[bill_date]])</f>
        <v>2024</v>
      </c>
      <c r="F2383">
        <v>1040</v>
      </c>
      <c r="G2383" t="s">
        <v>30</v>
      </c>
    </row>
    <row r="2384" spans="1:7" x14ac:dyDescent="0.3">
      <c r="A2384">
        <v>32383</v>
      </c>
      <c r="B2384">
        <v>139</v>
      </c>
      <c r="C2384" s="2">
        <v>44701</v>
      </c>
      <c r="D2384" s="2" t="str">
        <f>TEXT(Table5[[#This Row],[bill_date]],"mmmm")</f>
        <v>May</v>
      </c>
      <c r="E2384" s="9">
        <f>YEAR(Table5[[#This Row],[bill_date]])</f>
        <v>2022</v>
      </c>
      <c r="F2384">
        <v>1800</v>
      </c>
      <c r="G2384" t="s">
        <v>30</v>
      </c>
    </row>
    <row r="2385" spans="1:7" x14ac:dyDescent="0.3">
      <c r="A2385">
        <v>32384</v>
      </c>
      <c r="B2385">
        <v>327</v>
      </c>
      <c r="C2385" s="2">
        <v>45216</v>
      </c>
      <c r="D2385" s="2" t="str">
        <f>TEXT(Table5[[#This Row],[bill_date]],"mmmm")</f>
        <v>October</v>
      </c>
      <c r="E2385" s="9">
        <f>YEAR(Table5[[#This Row],[bill_date]])</f>
        <v>2023</v>
      </c>
      <c r="F2385">
        <v>356</v>
      </c>
      <c r="G2385" t="s">
        <v>30</v>
      </c>
    </row>
    <row r="2386" spans="1:7" x14ac:dyDescent="0.3">
      <c r="A2386">
        <v>32385</v>
      </c>
      <c r="B2386">
        <v>429</v>
      </c>
      <c r="C2386" s="2">
        <v>45182</v>
      </c>
      <c r="D2386" s="2" t="str">
        <f>TEXT(Table5[[#This Row],[bill_date]],"mmmm")</f>
        <v>September</v>
      </c>
      <c r="E2386" s="9">
        <f>YEAR(Table5[[#This Row],[bill_date]])</f>
        <v>2023</v>
      </c>
      <c r="F2386">
        <v>1478</v>
      </c>
      <c r="G2386" t="s">
        <v>30</v>
      </c>
    </row>
    <row r="2387" spans="1:7" x14ac:dyDescent="0.3">
      <c r="A2387">
        <v>32386</v>
      </c>
      <c r="B2387">
        <v>188</v>
      </c>
      <c r="C2387" s="2">
        <v>44984</v>
      </c>
      <c r="D2387" s="2" t="str">
        <f>TEXT(Table5[[#This Row],[bill_date]],"mmmm")</f>
        <v>February</v>
      </c>
      <c r="E2387" s="9">
        <f>YEAR(Table5[[#This Row],[bill_date]])</f>
        <v>2023</v>
      </c>
      <c r="F2387">
        <v>745</v>
      </c>
      <c r="G2387" t="s">
        <v>30</v>
      </c>
    </row>
    <row r="2388" spans="1:7" x14ac:dyDescent="0.3">
      <c r="A2388">
        <v>32387</v>
      </c>
      <c r="B2388">
        <v>88</v>
      </c>
      <c r="C2388" s="2">
        <v>45432</v>
      </c>
      <c r="D2388" s="2" t="str">
        <f>TEXT(Table5[[#This Row],[bill_date]],"mmmm")</f>
        <v>May</v>
      </c>
      <c r="E2388" s="9">
        <f>YEAR(Table5[[#This Row],[bill_date]])</f>
        <v>2024</v>
      </c>
      <c r="F2388">
        <v>704</v>
      </c>
      <c r="G2388" t="s">
        <v>28</v>
      </c>
    </row>
    <row r="2389" spans="1:7" x14ac:dyDescent="0.3">
      <c r="A2389">
        <v>32388</v>
      </c>
      <c r="B2389">
        <v>247</v>
      </c>
      <c r="C2389" s="2">
        <v>45393</v>
      </c>
      <c r="D2389" s="2" t="str">
        <f>TEXT(Table5[[#This Row],[bill_date]],"mmmm")</f>
        <v>April</v>
      </c>
      <c r="E2389" s="9">
        <f>YEAR(Table5[[#This Row],[bill_date]])</f>
        <v>2024</v>
      </c>
      <c r="F2389">
        <v>1019</v>
      </c>
      <c r="G2389" t="s">
        <v>28</v>
      </c>
    </row>
    <row r="2390" spans="1:7" x14ac:dyDescent="0.3">
      <c r="A2390">
        <v>32389</v>
      </c>
      <c r="B2390">
        <v>186</v>
      </c>
      <c r="C2390" s="2">
        <v>44625</v>
      </c>
      <c r="D2390" s="2" t="str">
        <f>TEXT(Table5[[#This Row],[bill_date]],"mmmm")</f>
        <v>March</v>
      </c>
      <c r="E2390" s="9">
        <f>YEAR(Table5[[#This Row],[bill_date]])</f>
        <v>2022</v>
      </c>
      <c r="F2390">
        <v>365</v>
      </c>
      <c r="G2390" t="s">
        <v>30</v>
      </c>
    </row>
    <row r="2391" spans="1:7" x14ac:dyDescent="0.3">
      <c r="A2391">
        <v>32390</v>
      </c>
      <c r="B2391">
        <v>88</v>
      </c>
      <c r="C2391" s="2">
        <v>44832</v>
      </c>
      <c r="D2391" s="2" t="str">
        <f>TEXT(Table5[[#This Row],[bill_date]],"mmmm")</f>
        <v>September</v>
      </c>
      <c r="E2391" s="9">
        <f>YEAR(Table5[[#This Row],[bill_date]])</f>
        <v>2022</v>
      </c>
      <c r="F2391">
        <v>220</v>
      </c>
      <c r="G2391" t="s">
        <v>29</v>
      </c>
    </row>
    <row r="2392" spans="1:7" x14ac:dyDescent="0.3">
      <c r="A2392">
        <v>32391</v>
      </c>
      <c r="B2392">
        <v>334</v>
      </c>
      <c r="C2392" s="2">
        <v>45259</v>
      </c>
      <c r="D2392" s="2" t="str">
        <f>TEXT(Table5[[#This Row],[bill_date]],"mmmm")</f>
        <v>November</v>
      </c>
      <c r="E2392" s="9">
        <f>YEAR(Table5[[#This Row],[bill_date]])</f>
        <v>2023</v>
      </c>
      <c r="F2392">
        <v>265</v>
      </c>
      <c r="G2392" t="s">
        <v>30</v>
      </c>
    </row>
    <row r="2393" spans="1:7" x14ac:dyDescent="0.3">
      <c r="A2393">
        <v>32392</v>
      </c>
      <c r="B2393">
        <v>152</v>
      </c>
      <c r="C2393" s="2">
        <v>45429</v>
      </c>
      <c r="D2393" s="2" t="str">
        <f>TEXT(Table5[[#This Row],[bill_date]],"mmmm")</f>
        <v>May</v>
      </c>
      <c r="E2393" s="9">
        <f>YEAR(Table5[[#This Row],[bill_date]])</f>
        <v>2024</v>
      </c>
      <c r="F2393">
        <v>908</v>
      </c>
      <c r="G2393" t="s">
        <v>30</v>
      </c>
    </row>
    <row r="2394" spans="1:7" x14ac:dyDescent="0.3">
      <c r="A2394">
        <v>32393</v>
      </c>
      <c r="B2394">
        <v>267</v>
      </c>
      <c r="C2394" s="2">
        <v>45396</v>
      </c>
      <c r="D2394" s="2" t="str">
        <f>TEXT(Table5[[#This Row],[bill_date]],"mmmm")</f>
        <v>April</v>
      </c>
      <c r="E2394" s="9">
        <f>YEAR(Table5[[#This Row],[bill_date]])</f>
        <v>2024</v>
      </c>
      <c r="F2394">
        <v>810</v>
      </c>
      <c r="G2394" t="s">
        <v>30</v>
      </c>
    </row>
    <row r="2395" spans="1:7" x14ac:dyDescent="0.3">
      <c r="A2395">
        <v>32394</v>
      </c>
      <c r="B2395">
        <v>200</v>
      </c>
      <c r="C2395" s="2">
        <v>45074</v>
      </c>
      <c r="D2395" s="2" t="str">
        <f>TEXT(Table5[[#This Row],[bill_date]],"mmmm")</f>
        <v>May</v>
      </c>
      <c r="E2395" s="9">
        <f>YEAR(Table5[[#This Row],[bill_date]])</f>
        <v>2023</v>
      </c>
      <c r="F2395">
        <v>1046</v>
      </c>
      <c r="G2395" t="s">
        <v>30</v>
      </c>
    </row>
    <row r="2396" spans="1:7" x14ac:dyDescent="0.3">
      <c r="A2396">
        <v>32395</v>
      </c>
      <c r="B2396">
        <v>383</v>
      </c>
      <c r="C2396" s="2">
        <v>44568</v>
      </c>
      <c r="D2396" s="2" t="str">
        <f>TEXT(Table5[[#This Row],[bill_date]],"mmmm")</f>
        <v>January</v>
      </c>
      <c r="E2396" s="9">
        <f>YEAR(Table5[[#This Row],[bill_date]])</f>
        <v>2022</v>
      </c>
      <c r="F2396">
        <v>1929</v>
      </c>
      <c r="G2396" t="s">
        <v>30</v>
      </c>
    </row>
    <row r="2397" spans="1:7" x14ac:dyDescent="0.3">
      <c r="A2397">
        <v>32396</v>
      </c>
      <c r="B2397">
        <v>428</v>
      </c>
      <c r="C2397" s="2">
        <v>44954</v>
      </c>
      <c r="D2397" s="2" t="str">
        <f>TEXT(Table5[[#This Row],[bill_date]],"mmmm")</f>
        <v>January</v>
      </c>
      <c r="E2397" s="9">
        <f>YEAR(Table5[[#This Row],[bill_date]])</f>
        <v>2023</v>
      </c>
      <c r="F2397">
        <v>1834</v>
      </c>
      <c r="G2397" t="s">
        <v>28</v>
      </c>
    </row>
    <row r="2398" spans="1:7" x14ac:dyDescent="0.3">
      <c r="A2398">
        <v>32397</v>
      </c>
      <c r="B2398">
        <v>335</v>
      </c>
      <c r="C2398" s="2">
        <v>44562</v>
      </c>
      <c r="D2398" s="2" t="str">
        <f>TEXT(Table5[[#This Row],[bill_date]],"mmmm")</f>
        <v>January</v>
      </c>
      <c r="E2398" s="9">
        <f>YEAR(Table5[[#This Row],[bill_date]])</f>
        <v>2022</v>
      </c>
      <c r="F2398">
        <v>785</v>
      </c>
      <c r="G2398" t="s">
        <v>30</v>
      </c>
    </row>
    <row r="2399" spans="1:7" x14ac:dyDescent="0.3">
      <c r="A2399">
        <v>32398</v>
      </c>
      <c r="B2399">
        <v>490</v>
      </c>
      <c r="C2399" s="2">
        <v>44822</v>
      </c>
      <c r="D2399" s="2" t="str">
        <f>TEXT(Table5[[#This Row],[bill_date]],"mmmm")</f>
        <v>September</v>
      </c>
      <c r="E2399" s="9">
        <f>YEAR(Table5[[#This Row],[bill_date]])</f>
        <v>2022</v>
      </c>
      <c r="F2399">
        <v>1086</v>
      </c>
      <c r="G2399" t="s">
        <v>30</v>
      </c>
    </row>
    <row r="2400" spans="1:7" x14ac:dyDescent="0.3">
      <c r="A2400">
        <v>32399</v>
      </c>
      <c r="B2400">
        <v>246</v>
      </c>
      <c r="C2400" s="2">
        <v>44608</v>
      </c>
      <c r="D2400" s="2" t="str">
        <f>TEXT(Table5[[#This Row],[bill_date]],"mmmm")</f>
        <v>February</v>
      </c>
      <c r="E2400" s="9">
        <f>YEAR(Table5[[#This Row],[bill_date]])</f>
        <v>2022</v>
      </c>
      <c r="F2400">
        <v>215</v>
      </c>
      <c r="G2400" t="s">
        <v>30</v>
      </c>
    </row>
    <row r="2401" spans="1:7" x14ac:dyDescent="0.3">
      <c r="A2401">
        <v>32400</v>
      </c>
      <c r="B2401">
        <v>450</v>
      </c>
      <c r="C2401" s="2">
        <v>45429</v>
      </c>
      <c r="D2401" s="2" t="str">
        <f>TEXT(Table5[[#This Row],[bill_date]],"mmmm")</f>
        <v>May</v>
      </c>
      <c r="E2401" s="9">
        <f>YEAR(Table5[[#This Row],[bill_date]])</f>
        <v>2024</v>
      </c>
      <c r="F2401">
        <v>857</v>
      </c>
      <c r="G2401" t="s">
        <v>30</v>
      </c>
    </row>
    <row r="2402" spans="1:7" x14ac:dyDescent="0.3">
      <c r="A2402">
        <v>32401</v>
      </c>
      <c r="B2402">
        <v>216</v>
      </c>
      <c r="C2402" s="2">
        <v>45339</v>
      </c>
      <c r="D2402" s="2" t="str">
        <f>TEXT(Table5[[#This Row],[bill_date]],"mmmm")</f>
        <v>February</v>
      </c>
      <c r="E2402" s="9">
        <f>YEAR(Table5[[#This Row],[bill_date]])</f>
        <v>2024</v>
      </c>
      <c r="F2402">
        <v>960</v>
      </c>
      <c r="G2402" t="s">
        <v>30</v>
      </c>
    </row>
    <row r="2403" spans="1:7" x14ac:dyDescent="0.3">
      <c r="A2403">
        <v>32402</v>
      </c>
      <c r="B2403">
        <v>429</v>
      </c>
      <c r="C2403" s="2">
        <v>44563</v>
      </c>
      <c r="D2403" s="2" t="str">
        <f>TEXT(Table5[[#This Row],[bill_date]],"mmmm")</f>
        <v>January</v>
      </c>
      <c r="E2403" s="9">
        <f>YEAR(Table5[[#This Row],[bill_date]])</f>
        <v>2022</v>
      </c>
      <c r="F2403">
        <v>453</v>
      </c>
      <c r="G2403" t="s">
        <v>30</v>
      </c>
    </row>
    <row r="2404" spans="1:7" x14ac:dyDescent="0.3">
      <c r="A2404">
        <v>32403</v>
      </c>
      <c r="B2404">
        <v>74</v>
      </c>
      <c r="C2404" s="2">
        <v>45096</v>
      </c>
      <c r="D2404" s="2" t="str">
        <f>TEXT(Table5[[#This Row],[bill_date]],"mmmm")</f>
        <v>June</v>
      </c>
      <c r="E2404" s="9">
        <f>YEAR(Table5[[#This Row],[bill_date]])</f>
        <v>2023</v>
      </c>
      <c r="F2404">
        <v>1410</v>
      </c>
      <c r="G2404" t="s">
        <v>30</v>
      </c>
    </row>
    <row r="2405" spans="1:7" x14ac:dyDescent="0.3">
      <c r="A2405">
        <v>32404</v>
      </c>
      <c r="B2405">
        <v>160</v>
      </c>
      <c r="C2405" s="2">
        <v>44920</v>
      </c>
      <c r="D2405" s="2" t="str">
        <f>TEXT(Table5[[#This Row],[bill_date]],"mmmm")</f>
        <v>December</v>
      </c>
      <c r="E2405" s="9">
        <f>YEAR(Table5[[#This Row],[bill_date]])</f>
        <v>2022</v>
      </c>
      <c r="F2405">
        <v>526</v>
      </c>
      <c r="G2405" t="s">
        <v>30</v>
      </c>
    </row>
    <row r="2406" spans="1:7" x14ac:dyDescent="0.3">
      <c r="A2406">
        <v>32405</v>
      </c>
      <c r="B2406">
        <v>255</v>
      </c>
      <c r="C2406" s="2">
        <v>45038</v>
      </c>
      <c r="D2406" s="2" t="str">
        <f>TEXT(Table5[[#This Row],[bill_date]],"mmmm")</f>
        <v>April</v>
      </c>
      <c r="E2406" s="9">
        <f>YEAR(Table5[[#This Row],[bill_date]])</f>
        <v>2023</v>
      </c>
      <c r="F2406">
        <v>1602</v>
      </c>
      <c r="G2406" t="s">
        <v>30</v>
      </c>
    </row>
    <row r="2407" spans="1:7" x14ac:dyDescent="0.3">
      <c r="A2407">
        <v>32406</v>
      </c>
      <c r="B2407">
        <v>17</v>
      </c>
      <c r="C2407" s="2">
        <v>44983</v>
      </c>
      <c r="D2407" s="2" t="str">
        <f>TEXT(Table5[[#This Row],[bill_date]],"mmmm")</f>
        <v>February</v>
      </c>
      <c r="E2407" s="9">
        <f>YEAR(Table5[[#This Row],[bill_date]])</f>
        <v>2023</v>
      </c>
      <c r="F2407">
        <v>544</v>
      </c>
      <c r="G2407" t="s">
        <v>30</v>
      </c>
    </row>
    <row r="2408" spans="1:7" x14ac:dyDescent="0.3">
      <c r="A2408">
        <v>32407</v>
      </c>
      <c r="B2408">
        <v>438</v>
      </c>
      <c r="C2408" s="2">
        <v>45376</v>
      </c>
      <c r="D2408" s="2" t="str">
        <f>TEXT(Table5[[#This Row],[bill_date]],"mmmm")</f>
        <v>March</v>
      </c>
      <c r="E2408" s="9">
        <f>YEAR(Table5[[#This Row],[bill_date]])</f>
        <v>2024</v>
      </c>
      <c r="F2408">
        <v>438</v>
      </c>
      <c r="G2408" t="s">
        <v>28</v>
      </c>
    </row>
    <row r="2409" spans="1:7" x14ac:dyDescent="0.3">
      <c r="A2409">
        <v>32408</v>
      </c>
      <c r="B2409">
        <v>138</v>
      </c>
      <c r="C2409" s="2">
        <v>45157</v>
      </c>
      <c r="D2409" s="2" t="str">
        <f>TEXT(Table5[[#This Row],[bill_date]],"mmmm")</f>
        <v>August</v>
      </c>
      <c r="E2409" s="9">
        <f>YEAR(Table5[[#This Row],[bill_date]])</f>
        <v>2023</v>
      </c>
      <c r="F2409">
        <v>1695</v>
      </c>
      <c r="G2409" t="s">
        <v>30</v>
      </c>
    </row>
    <row r="2410" spans="1:7" x14ac:dyDescent="0.3">
      <c r="A2410">
        <v>32409</v>
      </c>
      <c r="B2410">
        <v>470</v>
      </c>
      <c r="C2410" s="2">
        <v>44765</v>
      </c>
      <c r="D2410" s="2" t="str">
        <f>TEXT(Table5[[#This Row],[bill_date]],"mmmm")</f>
        <v>July</v>
      </c>
      <c r="E2410" s="9">
        <f>YEAR(Table5[[#This Row],[bill_date]])</f>
        <v>2022</v>
      </c>
      <c r="F2410">
        <v>505</v>
      </c>
      <c r="G2410" t="s">
        <v>30</v>
      </c>
    </row>
    <row r="2411" spans="1:7" x14ac:dyDescent="0.3">
      <c r="A2411">
        <v>32410</v>
      </c>
      <c r="B2411">
        <v>6</v>
      </c>
      <c r="C2411" s="2">
        <v>44788</v>
      </c>
      <c r="D2411" s="2" t="str">
        <f>TEXT(Table5[[#This Row],[bill_date]],"mmmm")</f>
        <v>August</v>
      </c>
      <c r="E2411" s="9">
        <f>YEAR(Table5[[#This Row],[bill_date]])</f>
        <v>2022</v>
      </c>
      <c r="F2411">
        <v>374</v>
      </c>
      <c r="G2411" t="s">
        <v>30</v>
      </c>
    </row>
    <row r="2412" spans="1:7" x14ac:dyDescent="0.3">
      <c r="A2412">
        <v>32411</v>
      </c>
      <c r="B2412">
        <v>219</v>
      </c>
      <c r="C2412" s="2">
        <v>45325</v>
      </c>
      <c r="D2412" s="2" t="str">
        <f>TEXT(Table5[[#This Row],[bill_date]],"mmmm")</f>
        <v>February</v>
      </c>
      <c r="E2412" s="9">
        <f>YEAR(Table5[[#This Row],[bill_date]])</f>
        <v>2024</v>
      </c>
      <c r="F2412">
        <v>511</v>
      </c>
      <c r="G2412" t="s">
        <v>30</v>
      </c>
    </row>
    <row r="2413" spans="1:7" x14ac:dyDescent="0.3">
      <c r="A2413">
        <v>32412</v>
      </c>
      <c r="B2413">
        <v>404</v>
      </c>
      <c r="C2413" s="2">
        <v>45378</v>
      </c>
      <c r="D2413" s="2" t="str">
        <f>TEXT(Table5[[#This Row],[bill_date]],"mmmm")</f>
        <v>March</v>
      </c>
      <c r="E2413" s="9">
        <f>YEAR(Table5[[#This Row],[bill_date]])</f>
        <v>2024</v>
      </c>
      <c r="F2413">
        <v>1104</v>
      </c>
      <c r="G2413" t="s">
        <v>30</v>
      </c>
    </row>
    <row r="2414" spans="1:7" x14ac:dyDescent="0.3">
      <c r="A2414">
        <v>32413</v>
      </c>
      <c r="B2414">
        <v>1</v>
      </c>
      <c r="C2414" s="2">
        <v>44712</v>
      </c>
      <c r="D2414" s="2" t="str">
        <f>TEXT(Table5[[#This Row],[bill_date]],"mmmm")</f>
        <v>May</v>
      </c>
      <c r="E2414" s="9">
        <f>YEAR(Table5[[#This Row],[bill_date]])</f>
        <v>2022</v>
      </c>
      <c r="F2414">
        <v>742</v>
      </c>
      <c r="G2414" t="s">
        <v>30</v>
      </c>
    </row>
    <row r="2415" spans="1:7" x14ac:dyDescent="0.3">
      <c r="A2415">
        <v>32414</v>
      </c>
      <c r="B2415">
        <v>64</v>
      </c>
      <c r="C2415" s="2">
        <v>44808</v>
      </c>
      <c r="D2415" s="2" t="str">
        <f>TEXT(Table5[[#This Row],[bill_date]],"mmmm")</f>
        <v>September</v>
      </c>
      <c r="E2415" s="9">
        <f>YEAR(Table5[[#This Row],[bill_date]])</f>
        <v>2022</v>
      </c>
      <c r="F2415">
        <v>533</v>
      </c>
      <c r="G2415" t="s">
        <v>30</v>
      </c>
    </row>
    <row r="2416" spans="1:7" x14ac:dyDescent="0.3">
      <c r="A2416">
        <v>32415</v>
      </c>
      <c r="B2416">
        <v>209</v>
      </c>
      <c r="C2416" s="2">
        <v>45379</v>
      </c>
      <c r="D2416" s="2" t="str">
        <f>TEXT(Table5[[#This Row],[bill_date]],"mmmm")</f>
        <v>March</v>
      </c>
      <c r="E2416" s="9">
        <f>YEAR(Table5[[#This Row],[bill_date]])</f>
        <v>2024</v>
      </c>
      <c r="F2416">
        <v>1601</v>
      </c>
      <c r="G2416" t="s">
        <v>30</v>
      </c>
    </row>
    <row r="2417" spans="1:7" x14ac:dyDescent="0.3">
      <c r="A2417">
        <v>32416</v>
      </c>
      <c r="B2417">
        <v>1</v>
      </c>
      <c r="C2417" s="2">
        <v>44578</v>
      </c>
      <c r="D2417" s="2" t="str">
        <f>TEXT(Table5[[#This Row],[bill_date]],"mmmm")</f>
        <v>January</v>
      </c>
      <c r="E2417" s="9">
        <f>YEAR(Table5[[#This Row],[bill_date]])</f>
        <v>2022</v>
      </c>
      <c r="F2417">
        <v>1856</v>
      </c>
      <c r="G2417" t="s">
        <v>30</v>
      </c>
    </row>
    <row r="2418" spans="1:7" x14ac:dyDescent="0.3">
      <c r="A2418">
        <v>32417</v>
      </c>
      <c r="B2418">
        <v>357</v>
      </c>
      <c r="C2418" s="2">
        <v>44865</v>
      </c>
      <c r="D2418" s="2" t="str">
        <f>TEXT(Table5[[#This Row],[bill_date]],"mmmm")</f>
        <v>October</v>
      </c>
      <c r="E2418" s="9">
        <f>YEAR(Table5[[#This Row],[bill_date]])</f>
        <v>2022</v>
      </c>
      <c r="F2418">
        <v>1034</v>
      </c>
      <c r="G2418" t="s">
        <v>30</v>
      </c>
    </row>
    <row r="2419" spans="1:7" x14ac:dyDescent="0.3">
      <c r="A2419">
        <v>32418</v>
      </c>
      <c r="B2419">
        <v>189</v>
      </c>
      <c r="C2419" s="2">
        <v>45450</v>
      </c>
      <c r="D2419" s="2" t="str">
        <f>TEXT(Table5[[#This Row],[bill_date]],"mmmm")</f>
        <v>June</v>
      </c>
      <c r="E2419" s="9">
        <f>YEAR(Table5[[#This Row],[bill_date]])</f>
        <v>2024</v>
      </c>
      <c r="F2419">
        <v>1762</v>
      </c>
      <c r="G2419" t="s">
        <v>30</v>
      </c>
    </row>
    <row r="2420" spans="1:7" x14ac:dyDescent="0.3">
      <c r="A2420">
        <v>32419</v>
      </c>
      <c r="B2420">
        <v>463</v>
      </c>
      <c r="C2420" s="2">
        <v>45075</v>
      </c>
      <c r="D2420" s="2" t="str">
        <f>TEXT(Table5[[#This Row],[bill_date]],"mmmm")</f>
        <v>May</v>
      </c>
      <c r="E2420" s="9">
        <f>YEAR(Table5[[#This Row],[bill_date]])</f>
        <v>2023</v>
      </c>
      <c r="F2420">
        <v>1098</v>
      </c>
      <c r="G2420" t="s">
        <v>29</v>
      </c>
    </row>
    <row r="2421" spans="1:7" x14ac:dyDescent="0.3">
      <c r="A2421">
        <v>32420</v>
      </c>
      <c r="B2421">
        <v>247</v>
      </c>
      <c r="C2421" s="2">
        <v>44758</v>
      </c>
      <c r="D2421" s="2" t="str">
        <f>TEXT(Table5[[#This Row],[bill_date]],"mmmm")</f>
        <v>July</v>
      </c>
      <c r="E2421" s="9">
        <f>YEAR(Table5[[#This Row],[bill_date]])</f>
        <v>2022</v>
      </c>
      <c r="F2421">
        <v>899</v>
      </c>
      <c r="G2421" t="s">
        <v>28</v>
      </c>
    </row>
    <row r="2422" spans="1:7" x14ac:dyDescent="0.3">
      <c r="A2422">
        <v>32421</v>
      </c>
      <c r="B2422">
        <v>257</v>
      </c>
      <c r="C2422" s="2">
        <v>45007</v>
      </c>
      <c r="D2422" s="2" t="str">
        <f>TEXT(Table5[[#This Row],[bill_date]],"mmmm")</f>
        <v>March</v>
      </c>
      <c r="E2422" s="9">
        <f>YEAR(Table5[[#This Row],[bill_date]])</f>
        <v>2023</v>
      </c>
      <c r="F2422">
        <v>1555</v>
      </c>
      <c r="G2422" t="s">
        <v>30</v>
      </c>
    </row>
    <row r="2423" spans="1:7" x14ac:dyDescent="0.3">
      <c r="A2423">
        <v>32422</v>
      </c>
      <c r="B2423">
        <v>465</v>
      </c>
      <c r="C2423" s="2">
        <v>44902</v>
      </c>
      <c r="D2423" s="2" t="str">
        <f>TEXT(Table5[[#This Row],[bill_date]],"mmmm")</f>
        <v>December</v>
      </c>
      <c r="E2423" s="9">
        <f>YEAR(Table5[[#This Row],[bill_date]])</f>
        <v>2022</v>
      </c>
      <c r="F2423">
        <v>1362</v>
      </c>
      <c r="G2423" t="s">
        <v>30</v>
      </c>
    </row>
    <row r="2424" spans="1:7" x14ac:dyDescent="0.3">
      <c r="A2424">
        <v>32423</v>
      </c>
      <c r="B2424">
        <v>174</v>
      </c>
      <c r="C2424" s="2">
        <v>45342</v>
      </c>
      <c r="D2424" s="2" t="str">
        <f>TEXT(Table5[[#This Row],[bill_date]],"mmmm")</f>
        <v>February</v>
      </c>
      <c r="E2424" s="9">
        <f>YEAR(Table5[[#This Row],[bill_date]])</f>
        <v>2024</v>
      </c>
      <c r="F2424">
        <v>1507</v>
      </c>
      <c r="G2424" t="s">
        <v>30</v>
      </c>
    </row>
    <row r="2425" spans="1:7" x14ac:dyDescent="0.3">
      <c r="A2425">
        <v>32424</v>
      </c>
      <c r="B2425">
        <v>109</v>
      </c>
      <c r="C2425" s="2">
        <v>44622</v>
      </c>
      <c r="D2425" s="2" t="str">
        <f>TEXT(Table5[[#This Row],[bill_date]],"mmmm")</f>
        <v>March</v>
      </c>
      <c r="E2425" s="9">
        <f>YEAR(Table5[[#This Row],[bill_date]])</f>
        <v>2022</v>
      </c>
      <c r="F2425">
        <v>1565</v>
      </c>
      <c r="G2425" t="s">
        <v>30</v>
      </c>
    </row>
    <row r="2426" spans="1:7" x14ac:dyDescent="0.3">
      <c r="A2426">
        <v>32425</v>
      </c>
      <c r="B2426">
        <v>60</v>
      </c>
      <c r="C2426" s="2">
        <v>44828</v>
      </c>
      <c r="D2426" s="2" t="str">
        <f>TEXT(Table5[[#This Row],[bill_date]],"mmmm")</f>
        <v>September</v>
      </c>
      <c r="E2426" s="9">
        <f>YEAR(Table5[[#This Row],[bill_date]])</f>
        <v>2022</v>
      </c>
      <c r="F2426">
        <v>467</v>
      </c>
      <c r="G2426" t="s">
        <v>30</v>
      </c>
    </row>
    <row r="2427" spans="1:7" x14ac:dyDescent="0.3">
      <c r="A2427">
        <v>32426</v>
      </c>
      <c r="B2427">
        <v>43</v>
      </c>
      <c r="C2427" s="2">
        <v>44658</v>
      </c>
      <c r="D2427" s="2" t="str">
        <f>TEXT(Table5[[#This Row],[bill_date]],"mmmm")</f>
        <v>April</v>
      </c>
      <c r="E2427" s="9">
        <f>YEAR(Table5[[#This Row],[bill_date]])</f>
        <v>2022</v>
      </c>
      <c r="F2427">
        <v>1004</v>
      </c>
      <c r="G2427" t="s">
        <v>28</v>
      </c>
    </row>
    <row r="2428" spans="1:7" x14ac:dyDescent="0.3">
      <c r="A2428">
        <v>32427</v>
      </c>
      <c r="B2428">
        <v>428</v>
      </c>
      <c r="C2428" s="2">
        <v>44844</v>
      </c>
      <c r="D2428" s="2" t="str">
        <f>TEXT(Table5[[#This Row],[bill_date]],"mmmm")</f>
        <v>October</v>
      </c>
      <c r="E2428" s="9">
        <f>YEAR(Table5[[#This Row],[bill_date]])</f>
        <v>2022</v>
      </c>
      <c r="F2428">
        <v>384</v>
      </c>
      <c r="G2428" t="s">
        <v>30</v>
      </c>
    </row>
    <row r="2429" spans="1:7" x14ac:dyDescent="0.3">
      <c r="A2429">
        <v>32428</v>
      </c>
      <c r="B2429">
        <v>38</v>
      </c>
      <c r="C2429" s="2">
        <v>44808</v>
      </c>
      <c r="D2429" s="2" t="str">
        <f>TEXT(Table5[[#This Row],[bill_date]],"mmmm")</f>
        <v>September</v>
      </c>
      <c r="E2429" s="9">
        <f>YEAR(Table5[[#This Row],[bill_date]])</f>
        <v>2022</v>
      </c>
      <c r="F2429">
        <v>308</v>
      </c>
      <c r="G2429" t="s">
        <v>30</v>
      </c>
    </row>
    <row r="2430" spans="1:7" x14ac:dyDescent="0.3">
      <c r="A2430">
        <v>32429</v>
      </c>
      <c r="B2430">
        <v>363</v>
      </c>
      <c r="C2430" s="2">
        <v>44596</v>
      </c>
      <c r="D2430" s="2" t="str">
        <f>TEXT(Table5[[#This Row],[bill_date]],"mmmm")</f>
        <v>February</v>
      </c>
      <c r="E2430" s="9">
        <f>YEAR(Table5[[#This Row],[bill_date]])</f>
        <v>2022</v>
      </c>
      <c r="F2430">
        <v>965</v>
      </c>
      <c r="G2430" t="s">
        <v>30</v>
      </c>
    </row>
    <row r="2431" spans="1:7" x14ac:dyDescent="0.3">
      <c r="A2431">
        <v>32430</v>
      </c>
      <c r="B2431">
        <v>258</v>
      </c>
      <c r="C2431" s="2">
        <v>45347</v>
      </c>
      <c r="D2431" s="2" t="str">
        <f>TEXT(Table5[[#This Row],[bill_date]],"mmmm")</f>
        <v>February</v>
      </c>
      <c r="E2431" s="9">
        <f>YEAR(Table5[[#This Row],[bill_date]])</f>
        <v>2024</v>
      </c>
      <c r="F2431">
        <v>233</v>
      </c>
      <c r="G2431" t="s">
        <v>30</v>
      </c>
    </row>
    <row r="2432" spans="1:7" x14ac:dyDescent="0.3">
      <c r="A2432">
        <v>32431</v>
      </c>
      <c r="B2432">
        <v>82</v>
      </c>
      <c r="C2432" s="2">
        <v>45030</v>
      </c>
      <c r="D2432" s="2" t="str">
        <f>TEXT(Table5[[#This Row],[bill_date]],"mmmm")</f>
        <v>April</v>
      </c>
      <c r="E2432" s="9">
        <f>YEAR(Table5[[#This Row],[bill_date]])</f>
        <v>2023</v>
      </c>
      <c r="F2432">
        <v>1444</v>
      </c>
      <c r="G2432" t="s">
        <v>30</v>
      </c>
    </row>
    <row r="2433" spans="1:7" x14ac:dyDescent="0.3">
      <c r="A2433">
        <v>32432</v>
      </c>
      <c r="B2433">
        <v>396</v>
      </c>
      <c r="C2433" s="2">
        <v>44629</v>
      </c>
      <c r="D2433" s="2" t="str">
        <f>TEXT(Table5[[#This Row],[bill_date]],"mmmm")</f>
        <v>March</v>
      </c>
      <c r="E2433" s="9">
        <f>YEAR(Table5[[#This Row],[bill_date]])</f>
        <v>2022</v>
      </c>
      <c r="F2433">
        <v>1844</v>
      </c>
      <c r="G2433" t="s">
        <v>28</v>
      </c>
    </row>
    <row r="2434" spans="1:7" x14ac:dyDescent="0.3">
      <c r="A2434">
        <v>32433</v>
      </c>
      <c r="B2434">
        <v>221</v>
      </c>
      <c r="C2434" s="2">
        <v>44750</v>
      </c>
      <c r="D2434" s="2" t="str">
        <f>TEXT(Table5[[#This Row],[bill_date]],"mmmm")</f>
        <v>July</v>
      </c>
      <c r="E2434" s="9">
        <f>YEAR(Table5[[#This Row],[bill_date]])</f>
        <v>2022</v>
      </c>
      <c r="F2434">
        <v>1995</v>
      </c>
      <c r="G2434" t="s">
        <v>30</v>
      </c>
    </row>
    <row r="2435" spans="1:7" x14ac:dyDescent="0.3">
      <c r="A2435">
        <v>32434</v>
      </c>
      <c r="B2435">
        <v>407</v>
      </c>
      <c r="C2435" s="2">
        <v>44602</v>
      </c>
      <c r="D2435" s="2" t="str">
        <f>TEXT(Table5[[#This Row],[bill_date]],"mmmm")</f>
        <v>February</v>
      </c>
      <c r="E2435" s="9">
        <f>YEAR(Table5[[#This Row],[bill_date]])</f>
        <v>2022</v>
      </c>
      <c r="F2435">
        <v>1736</v>
      </c>
      <c r="G2435" t="s">
        <v>30</v>
      </c>
    </row>
    <row r="2436" spans="1:7" x14ac:dyDescent="0.3">
      <c r="A2436">
        <v>32435</v>
      </c>
      <c r="B2436">
        <v>111</v>
      </c>
      <c r="C2436" s="2">
        <v>45169</v>
      </c>
      <c r="D2436" s="2" t="str">
        <f>TEXT(Table5[[#This Row],[bill_date]],"mmmm")</f>
        <v>August</v>
      </c>
      <c r="E2436" s="9">
        <f>YEAR(Table5[[#This Row],[bill_date]])</f>
        <v>2023</v>
      </c>
      <c r="F2436">
        <v>1968</v>
      </c>
      <c r="G2436" t="s">
        <v>30</v>
      </c>
    </row>
    <row r="2437" spans="1:7" x14ac:dyDescent="0.3">
      <c r="A2437">
        <v>32436</v>
      </c>
      <c r="B2437">
        <v>265</v>
      </c>
      <c r="C2437" s="2">
        <v>45244</v>
      </c>
      <c r="D2437" s="2" t="str">
        <f>TEXT(Table5[[#This Row],[bill_date]],"mmmm")</f>
        <v>November</v>
      </c>
      <c r="E2437" s="9">
        <f>YEAR(Table5[[#This Row],[bill_date]])</f>
        <v>2023</v>
      </c>
      <c r="F2437">
        <v>996</v>
      </c>
      <c r="G2437" t="s">
        <v>30</v>
      </c>
    </row>
    <row r="2438" spans="1:7" x14ac:dyDescent="0.3">
      <c r="A2438">
        <v>32437</v>
      </c>
      <c r="B2438">
        <v>136</v>
      </c>
      <c r="C2438" s="2">
        <v>44628</v>
      </c>
      <c r="D2438" s="2" t="str">
        <f>TEXT(Table5[[#This Row],[bill_date]],"mmmm")</f>
        <v>March</v>
      </c>
      <c r="E2438" s="9">
        <f>YEAR(Table5[[#This Row],[bill_date]])</f>
        <v>2022</v>
      </c>
      <c r="F2438">
        <v>1321</v>
      </c>
      <c r="G2438" t="s">
        <v>30</v>
      </c>
    </row>
    <row r="2439" spans="1:7" x14ac:dyDescent="0.3">
      <c r="A2439">
        <v>32438</v>
      </c>
      <c r="B2439">
        <v>434</v>
      </c>
      <c r="C2439" s="2">
        <v>44869</v>
      </c>
      <c r="D2439" s="2" t="str">
        <f>TEXT(Table5[[#This Row],[bill_date]],"mmmm")</f>
        <v>November</v>
      </c>
      <c r="E2439" s="9">
        <f>YEAR(Table5[[#This Row],[bill_date]])</f>
        <v>2022</v>
      </c>
      <c r="F2439">
        <v>829</v>
      </c>
      <c r="G2439" t="s">
        <v>30</v>
      </c>
    </row>
    <row r="2440" spans="1:7" x14ac:dyDescent="0.3">
      <c r="A2440">
        <v>32439</v>
      </c>
      <c r="B2440">
        <v>336</v>
      </c>
      <c r="C2440" s="2">
        <v>44680</v>
      </c>
      <c r="D2440" s="2" t="str">
        <f>TEXT(Table5[[#This Row],[bill_date]],"mmmm")</f>
        <v>April</v>
      </c>
      <c r="E2440" s="9">
        <f>YEAR(Table5[[#This Row],[bill_date]])</f>
        <v>2022</v>
      </c>
      <c r="F2440">
        <v>208</v>
      </c>
      <c r="G2440" t="s">
        <v>30</v>
      </c>
    </row>
    <row r="2441" spans="1:7" x14ac:dyDescent="0.3">
      <c r="A2441">
        <v>32440</v>
      </c>
      <c r="B2441">
        <v>318</v>
      </c>
      <c r="C2441" s="2">
        <v>45414</v>
      </c>
      <c r="D2441" s="2" t="str">
        <f>TEXT(Table5[[#This Row],[bill_date]],"mmmm")</f>
        <v>May</v>
      </c>
      <c r="E2441" s="9">
        <f>YEAR(Table5[[#This Row],[bill_date]])</f>
        <v>2024</v>
      </c>
      <c r="F2441">
        <v>1807</v>
      </c>
      <c r="G2441" t="s">
        <v>28</v>
      </c>
    </row>
    <row r="2442" spans="1:7" x14ac:dyDescent="0.3">
      <c r="A2442">
        <v>32441</v>
      </c>
      <c r="B2442">
        <v>23</v>
      </c>
      <c r="C2442" s="2">
        <v>45244</v>
      </c>
      <c r="D2442" s="2" t="str">
        <f>TEXT(Table5[[#This Row],[bill_date]],"mmmm")</f>
        <v>November</v>
      </c>
      <c r="E2442" s="9">
        <f>YEAR(Table5[[#This Row],[bill_date]])</f>
        <v>2023</v>
      </c>
      <c r="F2442">
        <v>407</v>
      </c>
      <c r="G2442" t="s">
        <v>28</v>
      </c>
    </row>
    <row r="2443" spans="1:7" x14ac:dyDescent="0.3">
      <c r="A2443">
        <v>32442</v>
      </c>
      <c r="B2443">
        <v>349</v>
      </c>
      <c r="C2443" s="2">
        <v>44747</v>
      </c>
      <c r="D2443" s="2" t="str">
        <f>TEXT(Table5[[#This Row],[bill_date]],"mmmm")</f>
        <v>July</v>
      </c>
      <c r="E2443" s="9">
        <f>YEAR(Table5[[#This Row],[bill_date]])</f>
        <v>2022</v>
      </c>
      <c r="F2443">
        <v>1858</v>
      </c>
      <c r="G2443" t="s">
        <v>30</v>
      </c>
    </row>
    <row r="2444" spans="1:7" x14ac:dyDescent="0.3">
      <c r="A2444">
        <v>32443</v>
      </c>
      <c r="B2444">
        <v>59</v>
      </c>
      <c r="C2444" s="2">
        <v>44631</v>
      </c>
      <c r="D2444" s="2" t="str">
        <f>TEXT(Table5[[#This Row],[bill_date]],"mmmm")</f>
        <v>March</v>
      </c>
      <c r="E2444" s="9">
        <f>YEAR(Table5[[#This Row],[bill_date]])</f>
        <v>2022</v>
      </c>
      <c r="F2444">
        <v>236</v>
      </c>
      <c r="G2444" t="s">
        <v>28</v>
      </c>
    </row>
    <row r="2445" spans="1:7" x14ac:dyDescent="0.3">
      <c r="A2445">
        <v>32444</v>
      </c>
      <c r="B2445">
        <v>266</v>
      </c>
      <c r="C2445" s="2">
        <v>45318</v>
      </c>
      <c r="D2445" s="2" t="str">
        <f>TEXT(Table5[[#This Row],[bill_date]],"mmmm")</f>
        <v>January</v>
      </c>
      <c r="E2445" s="9">
        <f>YEAR(Table5[[#This Row],[bill_date]])</f>
        <v>2024</v>
      </c>
      <c r="F2445">
        <v>292</v>
      </c>
      <c r="G2445" t="s">
        <v>30</v>
      </c>
    </row>
    <row r="2446" spans="1:7" x14ac:dyDescent="0.3">
      <c r="A2446">
        <v>32445</v>
      </c>
      <c r="B2446">
        <v>140</v>
      </c>
      <c r="C2446" s="2">
        <v>45232</v>
      </c>
      <c r="D2446" s="2" t="str">
        <f>TEXT(Table5[[#This Row],[bill_date]],"mmmm")</f>
        <v>November</v>
      </c>
      <c r="E2446" s="9">
        <f>YEAR(Table5[[#This Row],[bill_date]])</f>
        <v>2023</v>
      </c>
      <c r="F2446">
        <v>1455</v>
      </c>
      <c r="G2446" t="s">
        <v>30</v>
      </c>
    </row>
    <row r="2447" spans="1:7" x14ac:dyDescent="0.3">
      <c r="A2447">
        <v>32446</v>
      </c>
      <c r="B2447">
        <v>446</v>
      </c>
      <c r="C2447" s="2">
        <v>44845</v>
      </c>
      <c r="D2447" s="2" t="str">
        <f>TEXT(Table5[[#This Row],[bill_date]],"mmmm")</f>
        <v>October</v>
      </c>
      <c r="E2447" s="9">
        <f>YEAR(Table5[[#This Row],[bill_date]])</f>
        <v>2022</v>
      </c>
      <c r="F2447">
        <v>1085</v>
      </c>
      <c r="G2447" t="s">
        <v>30</v>
      </c>
    </row>
    <row r="2448" spans="1:7" x14ac:dyDescent="0.3">
      <c r="A2448">
        <v>32447</v>
      </c>
      <c r="B2448">
        <v>381</v>
      </c>
      <c r="C2448" s="2">
        <v>45180</v>
      </c>
      <c r="D2448" s="2" t="str">
        <f>TEXT(Table5[[#This Row],[bill_date]],"mmmm")</f>
        <v>September</v>
      </c>
      <c r="E2448" s="9">
        <f>YEAR(Table5[[#This Row],[bill_date]])</f>
        <v>2023</v>
      </c>
      <c r="F2448">
        <v>1385</v>
      </c>
      <c r="G2448" t="s">
        <v>28</v>
      </c>
    </row>
    <row r="2449" spans="1:7" x14ac:dyDescent="0.3">
      <c r="A2449">
        <v>32448</v>
      </c>
      <c r="B2449">
        <v>116</v>
      </c>
      <c r="C2449" s="2">
        <v>45109</v>
      </c>
      <c r="D2449" s="2" t="str">
        <f>TEXT(Table5[[#This Row],[bill_date]],"mmmm")</f>
        <v>July</v>
      </c>
      <c r="E2449" s="9">
        <f>YEAR(Table5[[#This Row],[bill_date]])</f>
        <v>2023</v>
      </c>
      <c r="F2449">
        <v>1037</v>
      </c>
      <c r="G2449" t="s">
        <v>30</v>
      </c>
    </row>
    <row r="2450" spans="1:7" x14ac:dyDescent="0.3">
      <c r="A2450">
        <v>32449</v>
      </c>
      <c r="B2450">
        <v>204</v>
      </c>
      <c r="C2450" s="2">
        <v>44909</v>
      </c>
      <c r="D2450" s="2" t="str">
        <f>TEXT(Table5[[#This Row],[bill_date]],"mmmm")</f>
        <v>December</v>
      </c>
      <c r="E2450" s="9">
        <f>YEAR(Table5[[#This Row],[bill_date]])</f>
        <v>2022</v>
      </c>
      <c r="F2450">
        <v>850</v>
      </c>
      <c r="G2450" t="s">
        <v>30</v>
      </c>
    </row>
    <row r="2451" spans="1:7" x14ac:dyDescent="0.3">
      <c r="A2451">
        <v>32450</v>
      </c>
      <c r="B2451">
        <v>158</v>
      </c>
      <c r="C2451" s="2">
        <v>44756</v>
      </c>
      <c r="D2451" s="2" t="str">
        <f>TEXT(Table5[[#This Row],[bill_date]],"mmmm")</f>
        <v>July</v>
      </c>
      <c r="E2451" s="9">
        <f>YEAR(Table5[[#This Row],[bill_date]])</f>
        <v>2022</v>
      </c>
      <c r="F2451">
        <v>440</v>
      </c>
      <c r="G2451" t="s">
        <v>30</v>
      </c>
    </row>
    <row r="2452" spans="1:7" x14ac:dyDescent="0.3">
      <c r="A2452">
        <v>32451</v>
      </c>
      <c r="B2452">
        <v>330</v>
      </c>
      <c r="C2452" s="2">
        <v>45341</v>
      </c>
      <c r="D2452" s="2" t="str">
        <f>TEXT(Table5[[#This Row],[bill_date]],"mmmm")</f>
        <v>February</v>
      </c>
      <c r="E2452" s="9">
        <f>YEAR(Table5[[#This Row],[bill_date]])</f>
        <v>2024</v>
      </c>
      <c r="F2452">
        <v>880</v>
      </c>
      <c r="G2452" t="s">
        <v>30</v>
      </c>
    </row>
    <row r="2453" spans="1:7" x14ac:dyDescent="0.3">
      <c r="A2453">
        <v>32452</v>
      </c>
      <c r="B2453">
        <v>462</v>
      </c>
      <c r="C2453" s="2">
        <v>45045</v>
      </c>
      <c r="D2453" s="2" t="str">
        <f>TEXT(Table5[[#This Row],[bill_date]],"mmmm")</f>
        <v>April</v>
      </c>
      <c r="E2453" s="9">
        <f>YEAR(Table5[[#This Row],[bill_date]])</f>
        <v>2023</v>
      </c>
      <c r="F2453">
        <v>296</v>
      </c>
      <c r="G2453" t="s">
        <v>30</v>
      </c>
    </row>
    <row r="2454" spans="1:7" x14ac:dyDescent="0.3">
      <c r="A2454">
        <v>32453</v>
      </c>
      <c r="B2454">
        <v>196</v>
      </c>
      <c r="C2454" s="2">
        <v>45149</v>
      </c>
      <c r="D2454" s="2" t="str">
        <f>TEXT(Table5[[#This Row],[bill_date]],"mmmm")</f>
        <v>August</v>
      </c>
      <c r="E2454" s="9">
        <f>YEAR(Table5[[#This Row],[bill_date]])</f>
        <v>2023</v>
      </c>
      <c r="F2454">
        <v>1605</v>
      </c>
      <c r="G2454" t="s">
        <v>30</v>
      </c>
    </row>
    <row r="2455" spans="1:7" x14ac:dyDescent="0.3">
      <c r="A2455">
        <v>32454</v>
      </c>
      <c r="B2455">
        <v>431</v>
      </c>
      <c r="C2455" s="2">
        <v>44841</v>
      </c>
      <c r="D2455" s="2" t="str">
        <f>TEXT(Table5[[#This Row],[bill_date]],"mmmm")</f>
        <v>October</v>
      </c>
      <c r="E2455" s="9">
        <f>YEAR(Table5[[#This Row],[bill_date]])</f>
        <v>2022</v>
      </c>
      <c r="F2455">
        <v>777</v>
      </c>
      <c r="G2455" t="s">
        <v>30</v>
      </c>
    </row>
    <row r="2456" spans="1:7" x14ac:dyDescent="0.3">
      <c r="A2456">
        <v>32455</v>
      </c>
      <c r="B2456">
        <v>212</v>
      </c>
      <c r="C2456" s="2">
        <v>45394</v>
      </c>
      <c r="D2456" s="2" t="str">
        <f>TEXT(Table5[[#This Row],[bill_date]],"mmmm")</f>
        <v>April</v>
      </c>
      <c r="E2456" s="9">
        <f>YEAR(Table5[[#This Row],[bill_date]])</f>
        <v>2024</v>
      </c>
      <c r="F2456">
        <v>1511</v>
      </c>
      <c r="G2456" t="s">
        <v>30</v>
      </c>
    </row>
    <row r="2457" spans="1:7" x14ac:dyDescent="0.3">
      <c r="A2457">
        <v>32456</v>
      </c>
      <c r="B2457">
        <v>41</v>
      </c>
      <c r="C2457" s="2">
        <v>44909</v>
      </c>
      <c r="D2457" s="2" t="str">
        <f>TEXT(Table5[[#This Row],[bill_date]],"mmmm")</f>
        <v>December</v>
      </c>
      <c r="E2457" s="9">
        <f>YEAR(Table5[[#This Row],[bill_date]])</f>
        <v>2022</v>
      </c>
      <c r="F2457">
        <v>814</v>
      </c>
      <c r="G2457" t="s">
        <v>30</v>
      </c>
    </row>
    <row r="2458" spans="1:7" x14ac:dyDescent="0.3">
      <c r="A2458">
        <v>32457</v>
      </c>
      <c r="B2458">
        <v>359</v>
      </c>
      <c r="C2458" s="2">
        <v>45153</v>
      </c>
      <c r="D2458" s="2" t="str">
        <f>TEXT(Table5[[#This Row],[bill_date]],"mmmm")</f>
        <v>August</v>
      </c>
      <c r="E2458" s="9">
        <f>YEAR(Table5[[#This Row],[bill_date]])</f>
        <v>2023</v>
      </c>
      <c r="F2458">
        <v>339</v>
      </c>
      <c r="G2458" t="s">
        <v>30</v>
      </c>
    </row>
    <row r="2459" spans="1:7" x14ac:dyDescent="0.3">
      <c r="A2459">
        <v>32458</v>
      </c>
      <c r="B2459">
        <v>7</v>
      </c>
      <c r="C2459" s="2">
        <v>45039</v>
      </c>
      <c r="D2459" s="2" t="str">
        <f>TEXT(Table5[[#This Row],[bill_date]],"mmmm")</f>
        <v>April</v>
      </c>
      <c r="E2459" s="9">
        <f>YEAR(Table5[[#This Row],[bill_date]])</f>
        <v>2023</v>
      </c>
      <c r="F2459">
        <v>401</v>
      </c>
      <c r="G2459" t="s">
        <v>29</v>
      </c>
    </row>
    <row r="2460" spans="1:7" x14ac:dyDescent="0.3">
      <c r="A2460">
        <v>32459</v>
      </c>
      <c r="B2460">
        <v>350</v>
      </c>
      <c r="C2460" s="2">
        <v>44659</v>
      </c>
      <c r="D2460" s="2" t="str">
        <f>TEXT(Table5[[#This Row],[bill_date]],"mmmm")</f>
        <v>April</v>
      </c>
      <c r="E2460" s="9">
        <f>YEAR(Table5[[#This Row],[bill_date]])</f>
        <v>2022</v>
      </c>
      <c r="F2460">
        <v>1710</v>
      </c>
      <c r="G2460" t="s">
        <v>30</v>
      </c>
    </row>
    <row r="2461" spans="1:7" x14ac:dyDescent="0.3">
      <c r="A2461">
        <v>32460</v>
      </c>
      <c r="B2461">
        <v>372</v>
      </c>
      <c r="C2461" s="2">
        <v>44843</v>
      </c>
      <c r="D2461" s="2" t="str">
        <f>TEXT(Table5[[#This Row],[bill_date]],"mmmm")</f>
        <v>October</v>
      </c>
      <c r="E2461" s="9">
        <f>YEAR(Table5[[#This Row],[bill_date]])</f>
        <v>2022</v>
      </c>
      <c r="F2461">
        <v>1626</v>
      </c>
      <c r="G2461" t="s">
        <v>30</v>
      </c>
    </row>
    <row r="2462" spans="1:7" x14ac:dyDescent="0.3">
      <c r="A2462">
        <v>32461</v>
      </c>
      <c r="B2462">
        <v>105</v>
      </c>
      <c r="C2462" s="2">
        <v>45191</v>
      </c>
      <c r="D2462" s="2" t="str">
        <f>TEXT(Table5[[#This Row],[bill_date]],"mmmm")</f>
        <v>September</v>
      </c>
      <c r="E2462" s="9">
        <f>YEAR(Table5[[#This Row],[bill_date]])</f>
        <v>2023</v>
      </c>
      <c r="F2462">
        <v>615</v>
      </c>
      <c r="G2462" t="s">
        <v>30</v>
      </c>
    </row>
    <row r="2463" spans="1:7" x14ac:dyDescent="0.3">
      <c r="A2463">
        <v>32462</v>
      </c>
      <c r="B2463">
        <v>472</v>
      </c>
      <c r="C2463" s="2">
        <v>44980</v>
      </c>
      <c r="D2463" s="2" t="str">
        <f>TEXT(Table5[[#This Row],[bill_date]],"mmmm")</f>
        <v>February</v>
      </c>
      <c r="E2463" s="9">
        <f>YEAR(Table5[[#This Row],[bill_date]])</f>
        <v>2023</v>
      </c>
      <c r="F2463">
        <v>1000</v>
      </c>
      <c r="G2463" t="s">
        <v>30</v>
      </c>
    </row>
    <row r="2464" spans="1:7" x14ac:dyDescent="0.3">
      <c r="A2464">
        <v>32463</v>
      </c>
      <c r="B2464">
        <v>458</v>
      </c>
      <c r="C2464" s="2">
        <v>44784</v>
      </c>
      <c r="D2464" s="2" t="str">
        <f>TEXT(Table5[[#This Row],[bill_date]],"mmmm")</f>
        <v>August</v>
      </c>
      <c r="E2464" s="9">
        <f>YEAR(Table5[[#This Row],[bill_date]])</f>
        <v>2022</v>
      </c>
      <c r="F2464">
        <v>1528</v>
      </c>
      <c r="G2464" t="s">
        <v>30</v>
      </c>
    </row>
    <row r="2465" spans="1:7" x14ac:dyDescent="0.3">
      <c r="A2465">
        <v>32464</v>
      </c>
      <c r="B2465">
        <v>308</v>
      </c>
      <c r="C2465" s="2">
        <v>44813</v>
      </c>
      <c r="D2465" s="2" t="str">
        <f>TEXT(Table5[[#This Row],[bill_date]],"mmmm")</f>
        <v>September</v>
      </c>
      <c r="E2465" s="9">
        <f>YEAR(Table5[[#This Row],[bill_date]])</f>
        <v>2022</v>
      </c>
      <c r="F2465">
        <v>1144</v>
      </c>
      <c r="G2465" t="s">
        <v>30</v>
      </c>
    </row>
    <row r="2466" spans="1:7" x14ac:dyDescent="0.3">
      <c r="A2466">
        <v>32465</v>
      </c>
      <c r="B2466">
        <v>45</v>
      </c>
      <c r="C2466" s="2">
        <v>44641</v>
      </c>
      <c r="D2466" s="2" t="str">
        <f>TEXT(Table5[[#This Row],[bill_date]],"mmmm")</f>
        <v>March</v>
      </c>
      <c r="E2466" s="9">
        <f>YEAR(Table5[[#This Row],[bill_date]])</f>
        <v>2022</v>
      </c>
      <c r="F2466">
        <v>335</v>
      </c>
      <c r="G2466" t="s">
        <v>29</v>
      </c>
    </row>
    <row r="2467" spans="1:7" x14ac:dyDescent="0.3">
      <c r="A2467">
        <v>32466</v>
      </c>
      <c r="B2467">
        <v>38</v>
      </c>
      <c r="C2467" s="2">
        <v>45387</v>
      </c>
      <c r="D2467" s="2" t="str">
        <f>TEXT(Table5[[#This Row],[bill_date]],"mmmm")</f>
        <v>April</v>
      </c>
      <c r="E2467" s="9">
        <f>YEAR(Table5[[#This Row],[bill_date]])</f>
        <v>2024</v>
      </c>
      <c r="F2467">
        <v>973</v>
      </c>
      <c r="G2467" t="s">
        <v>30</v>
      </c>
    </row>
    <row r="2468" spans="1:7" x14ac:dyDescent="0.3">
      <c r="A2468">
        <v>32467</v>
      </c>
      <c r="B2468">
        <v>164</v>
      </c>
      <c r="C2468" s="2">
        <v>45243</v>
      </c>
      <c r="D2468" s="2" t="str">
        <f>TEXT(Table5[[#This Row],[bill_date]],"mmmm")</f>
        <v>November</v>
      </c>
      <c r="E2468" s="9">
        <f>YEAR(Table5[[#This Row],[bill_date]])</f>
        <v>2023</v>
      </c>
      <c r="F2468">
        <v>1103</v>
      </c>
      <c r="G2468" t="s">
        <v>30</v>
      </c>
    </row>
    <row r="2469" spans="1:7" x14ac:dyDescent="0.3">
      <c r="A2469">
        <v>32468</v>
      </c>
      <c r="B2469">
        <v>81</v>
      </c>
      <c r="C2469" s="2">
        <v>44974</v>
      </c>
      <c r="D2469" s="2" t="str">
        <f>TEXT(Table5[[#This Row],[bill_date]],"mmmm")</f>
        <v>February</v>
      </c>
      <c r="E2469" s="9">
        <f>YEAR(Table5[[#This Row],[bill_date]])</f>
        <v>2023</v>
      </c>
      <c r="F2469">
        <v>816</v>
      </c>
      <c r="G2469" t="s">
        <v>30</v>
      </c>
    </row>
    <row r="2470" spans="1:7" x14ac:dyDescent="0.3">
      <c r="A2470">
        <v>32469</v>
      </c>
      <c r="B2470">
        <v>341</v>
      </c>
      <c r="C2470" s="2">
        <v>45230</v>
      </c>
      <c r="D2470" s="2" t="str">
        <f>TEXT(Table5[[#This Row],[bill_date]],"mmmm")</f>
        <v>October</v>
      </c>
      <c r="E2470" s="9">
        <f>YEAR(Table5[[#This Row],[bill_date]])</f>
        <v>2023</v>
      </c>
      <c r="F2470">
        <v>1120</v>
      </c>
      <c r="G2470" t="s">
        <v>30</v>
      </c>
    </row>
    <row r="2471" spans="1:7" x14ac:dyDescent="0.3">
      <c r="A2471">
        <v>32470</v>
      </c>
      <c r="B2471">
        <v>58</v>
      </c>
      <c r="C2471" s="2">
        <v>44954</v>
      </c>
      <c r="D2471" s="2" t="str">
        <f>TEXT(Table5[[#This Row],[bill_date]],"mmmm")</f>
        <v>January</v>
      </c>
      <c r="E2471" s="9">
        <f>YEAR(Table5[[#This Row],[bill_date]])</f>
        <v>2023</v>
      </c>
      <c r="F2471">
        <v>1352</v>
      </c>
      <c r="G2471" t="s">
        <v>29</v>
      </c>
    </row>
    <row r="2472" spans="1:7" x14ac:dyDescent="0.3">
      <c r="A2472">
        <v>32471</v>
      </c>
      <c r="B2472">
        <v>302</v>
      </c>
      <c r="C2472" s="2">
        <v>44895</v>
      </c>
      <c r="D2472" s="2" t="str">
        <f>TEXT(Table5[[#This Row],[bill_date]],"mmmm")</f>
        <v>November</v>
      </c>
      <c r="E2472" s="9">
        <f>YEAR(Table5[[#This Row],[bill_date]])</f>
        <v>2022</v>
      </c>
      <c r="F2472">
        <v>1995</v>
      </c>
      <c r="G2472" t="s">
        <v>30</v>
      </c>
    </row>
    <row r="2473" spans="1:7" x14ac:dyDescent="0.3">
      <c r="A2473">
        <v>32472</v>
      </c>
      <c r="B2473">
        <v>123</v>
      </c>
      <c r="C2473" s="2">
        <v>45450</v>
      </c>
      <c r="D2473" s="2" t="str">
        <f>TEXT(Table5[[#This Row],[bill_date]],"mmmm")</f>
        <v>June</v>
      </c>
      <c r="E2473" s="9">
        <f>YEAR(Table5[[#This Row],[bill_date]])</f>
        <v>2024</v>
      </c>
      <c r="F2473">
        <v>823</v>
      </c>
      <c r="G2473" t="s">
        <v>30</v>
      </c>
    </row>
    <row r="2474" spans="1:7" x14ac:dyDescent="0.3">
      <c r="A2474">
        <v>32473</v>
      </c>
      <c r="B2474">
        <v>195</v>
      </c>
      <c r="C2474" s="2">
        <v>44889</v>
      </c>
      <c r="D2474" s="2" t="str">
        <f>TEXT(Table5[[#This Row],[bill_date]],"mmmm")</f>
        <v>November</v>
      </c>
      <c r="E2474" s="9">
        <f>YEAR(Table5[[#This Row],[bill_date]])</f>
        <v>2022</v>
      </c>
      <c r="F2474">
        <v>1032</v>
      </c>
      <c r="G2474" t="s">
        <v>30</v>
      </c>
    </row>
    <row r="2475" spans="1:7" x14ac:dyDescent="0.3">
      <c r="A2475">
        <v>32474</v>
      </c>
      <c r="B2475">
        <v>193</v>
      </c>
      <c r="C2475" s="2">
        <v>44563</v>
      </c>
      <c r="D2475" s="2" t="str">
        <f>TEXT(Table5[[#This Row],[bill_date]],"mmmm")</f>
        <v>January</v>
      </c>
      <c r="E2475" s="9">
        <f>YEAR(Table5[[#This Row],[bill_date]])</f>
        <v>2022</v>
      </c>
      <c r="F2475">
        <v>1338</v>
      </c>
      <c r="G2475" t="s">
        <v>30</v>
      </c>
    </row>
    <row r="2476" spans="1:7" x14ac:dyDescent="0.3">
      <c r="A2476">
        <v>32475</v>
      </c>
      <c r="B2476">
        <v>402</v>
      </c>
      <c r="C2476" s="2">
        <v>44764</v>
      </c>
      <c r="D2476" s="2" t="str">
        <f>TEXT(Table5[[#This Row],[bill_date]],"mmmm")</f>
        <v>July</v>
      </c>
      <c r="E2476" s="9">
        <f>YEAR(Table5[[#This Row],[bill_date]])</f>
        <v>2022</v>
      </c>
      <c r="F2476">
        <v>336</v>
      </c>
      <c r="G2476" t="s">
        <v>30</v>
      </c>
    </row>
    <row r="2477" spans="1:7" x14ac:dyDescent="0.3">
      <c r="A2477">
        <v>32476</v>
      </c>
      <c r="B2477">
        <v>386</v>
      </c>
      <c r="C2477" s="2">
        <v>44819</v>
      </c>
      <c r="D2477" s="2" t="str">
        <f>TEXT(Table5[[#This Row],[bill_date]],"mmmm")</f>
        <v>September</v>
      </c>
      <c r="E2477" s="9">
        <f>YEAR(Table5[[#This Row],[bill_date]])</f>
        <v>2022</v>
      </c>
      <c r="F2477">
        <v>613</v>
      </c>
      <c r="G2477" t="s">
        <v>30</v>
      </c>
    </row>
    <row r="2478" spans="1:7" x14ac:dyDescent="0.3">
      <c r="A2478">
        <v>32477</v>
      </c>
      <c r="B2478">
        <v>104</v>
      </c>
      <c r="C2478" s="2">
        <v>45324</v>
      </c>
      <c r="D2478" s="2" t="str">
        <f>TEXT(Table5[[#This Row],[bill_date]],"mmmm")</f>
        <v>February</v>
      </c>
      <c r="E2478" s="9">
        <f>YEAR(Table5[[#This Row],[bill_date]])</f>
        <v>2024</v>
      </c>
      <c r="F2478">
        <v>1383</v>
      </c>
      <c r="G2478" t="s">
        <v>29</v>
      </c>
    </row>
    <row r="2479" spans="1:7" x14ac:dyDescent="0.3">
      <c r="A2479">
        <v>32478</v>
      </c>
      <c r="B2479">
        <v>112</v>
      </c>
      <c r="C2479" s="2">
        <v>44928</v>
      </c>
      <c r="D2479" s="2" t="str">
        <f>TEXT(Table5[[#This Row],[bill_date]],"mmmm")</f>
        <v>January</v>
      </c>
      <c r="E2479" s="9">
        <f>YEAR(Table5[[#This Row],[bill_date]])</f>
        <v>2023</v>
      </c>
      <c r="F2479">
        <v>818</v>
      </c>
      <c r="G2479" t="s">
        <v>30</v>
      </c>
    </row>
    <row r="2480" spans="1:7" x14ac:dyDescent="0.3">
      <c r="A2480">
        <v>32479</v>
      </c>
      <c r="B2480">
        <v>132</v>
      </c>
      <c r="C2480" s="2">
        <v>44707</v>
      </c>
      <c r="D2480" s="2" t="str">
        <f>TEXT(Table5[[#This Row],[bill_date]],"mmmm")</f>
        <v>May</v>
      </c>
      <c r="E2480" s="9">
        <f>YEAR(Table5[[#This Row],[bill_date]])</f>
        <v>2022</v>
      </c>
      <c r="F2480">
        <v>446</v>
      </c>
      <c r="G2480" t="s">
        <v>30</v>
      </c>
    </row>
    <row r="2481" spans="1:7" x14ac:dyDescent="0.3">
      <c r="A2481">
        <v>32480</v>
      </c>
      <c r="B2481">
        <v>96</v>
      </c>
      <c r="C2481" s="2">
        <v>45398</v>
      </c>
      <c r="D2481" s="2" t="str">
        <f>TEXT(Table5[[#This Row],[bill_date]],"mmmm")</f>
        <v>April</v>
      </c>
      <c r="E2481" s="9">
        <f>YEAR(Table5[[#This Row],[bill_date]])</f>
        <v>2024</v>
      </c>
      <c r="F2481">
        <v>1356</v>
      </c>
      <c r="G2481" t="s">
        <v>30</v>
      </c>
    </row>
    <row r="2482" spans="1:7" x14ac:dyDescent="0.3">
      <c r="A2482">
        <v>32481</v>
      </c>
      <c r="B2482">
        <v>83</v>
      </c>
      <c r="C2482" s="2">
        <v>44939</v>
      </c>
      <c r="D2482" s="2" t="str">
        <f>TEXT(Table5[[#This Row],[bill_date]],"mmmm")</f>
        <v>January</v>
      </c>
      <c r="E2482" s="9">
        <f>YEAR(Table5[[#This Row],[bill_date]])</f>
        <v>2023</v>
      </c>
      <c r="F2482">
        <v>724</v>
      </c>
      <c r="G2482" t="s">
        <v>28</v>
      </c>
    </row>
    <row r="2483" spans="1:7" x14ac:dyDescent="0.3">
      <c r="A2483">
        <v>32482</v>
      </c>
      <c r="B2483">
        <v>468</v>
      </c>
      <c r="C2483" s="2">
        <v>45002</v>
      </c>
      <c r="D2483" s="2" t="str">
        <f>TEXT(Table5[[#This Row],[bill_date]],"mmmm")</f>
        <v>March</v>
      </c>
      <c r="E2483" s="9">
        <f>YEAR(Table5[[#This Row],[bill_date]])</f>
        <v>2023</v>
      </c>
      <c r="F2483">
        <v>1812</v>
      </c>
      <c r="G2483" t="s">
        <v>30</v>
      </c>
    </row>
    <row r="2484" spans="1:7" x14ac:dyDescent="0.3">
      <c r="A2484">
        <v>32483</v>
      </c>
      <c r="B2484">
        <v>170</v>
      </c>
      <c r="C2484" s="2">
        <v>45016</v>
      </c>
      <c r="D2484" s="2" t="str">
        <f>TEXT(Table5[[#This Row],[bill_date]],"mmmm")</f>
        <v>March</v>
      </c>
      <c r="E2484" s="9">
        <f>YEAR(Table5[[#This Row],[bill_date]])</f>
        <v>2023</v>
      </c>
      <c r="F2484">
        <v>1493</v>
      </c>
      <c r="G2484" t="s">
        <v>30</v>
      </c>
    </row>
    <row r="2485" spans="1:7" x14ac:dyDescent="0.3">
      <c r="A2485">
        <v>32484</v>
      </c>
      <c r="B2485">
        <v>49</v>
      </c>
      <c r="C2485" s="2">
        <v>44968</v>
      </c>
      <c r="D2485" s="2" t="str">
        <f>TEXT(Table5[[#This Row],[bill_date]],"mmmm")</f>
        <v>February</v>
      </c>
      <c r="E2485" s="9">
        <f>YEAR(Table5[[#This Row],[bill_date]])</f>
        <v>2023</v>
      </c>
      <c r="F2485">
        <v>423</v>
      </c>
      <c r="G2485" t="s">
        <v>30</v>
      </c>
    </row>
    <row r="2486" spans="1:7" x14ac:dyDescent="0.3">
      <c r="A2486">
        <v>32485</v>
      </c>
      <c r="B2486">
        <v>433</v>
      </c>
      <c r="C2486" s="2">
        <v>45348</v>
      </c>
      <c r="D2486" s="2" t="str">
        <f>TEXT(Table5[[#This Row],[bill_date]],"mmmm")</f>
        <v>February</v>
      </c>
      <c r="E2486" s="9">
        <f>YEAR(Table5[[#This Row],[bill_date]])</f>
        <v>2024</v>
      </c>
      <c r="F2486">
        <v>1343</v>
      </c>
      <c r="G2486" t="s">
        <v>29</v>
      </c>
    </row>
    <row r="2487" spans="1:7" x14ac:dyDescent="0.3">
      <c r="A2487">
        <v>32486</v>
      </c>
      <c r="B2487">
        <v>373</v>
      </c>
      <c r="C2487" s="2">
        <v>44580</v>
      </c>
      <c r="D2487" s="2" t="str">
        <f>TEXT(Table5[[#This Row],[bill_date]],"mmmm")</f>
        <v>January</v>
      </c>
      <c r="E2487" s="9">
        <f>YEAR(Table5[[#This Row],[bill_date]])</f>
        <v>2022</v>
      </c>
      <c r="F2487">
        <v>933</v>
      </c>
      <c r="G2487" t="s">
        <v>30</v>
      </c>
    </row>
    <row r="2488" spans="1:7" x14ac:dyDescent="0.3">
      <c r="A2488">
        <v>32487</v>
      </c>
      <c r="B2488">
        <v>135</v>
      </c>
      <c r="C2488" s="2">
        <v>45441</v>
      </c>
      <c r="D2488" s="2" t="str">
        <f>TEXT(Table5[[#This Row],[bill_date]],"mmmm")</f>
        <v>May</v>
      </c>
      <c r="E2488" s="9">
        <f>YEAR(Table5[[#This Row],[bill_date]])</f>
        <v>2024</v>
      </c>
      <c r="F2488">
        <v>919</v>
      </c>
      <c r="G2488" t="s">
        <v>30</v>
      </c>
    </row>
    <row r="2489" spans="1:7" x14ac:dyDescent="0.3">
      <c r="A2489">
        <v>32488</v>
      </c>
      <c r="B2489">
        <v>265</v>
      </c>
      <c r="C2489" s="2">
        <v>44994</v>
      </c>
      <c r="D2489" s="2" t="str">
        <f>TEXT(Table5[[#This Row],[bill_date]],"mmmm")</f>
        <v>March</v>
      </c>
      <c r="E2489" s="9">
        <f>YEAR(Table5[[#This Row],[bill_date]])</f>
        <v>2023</v>
      </c>
      <c r="F2489">
        <v>661</v>
      </c>
      <c r="G2489" t="s">
        <v>30</v>
      </c>
    </row>
    <row r="2490" spans="1:7" x14ac:dyDescent="0.3">
      <c r="A2490">
        <v>32489</v>
      </c>
      <c r="B2490">
        <v>199</v>
      </c>
      <c r="C2490" s="2">
        <v>44990</v>
      </c>
      <c r="D2490" s="2" t="str">
        <f>TEXT(Table5[[#This Row],[bill_date]],"mmmm")</f>
        <v>March</v>
      </c>
      <c r="E2490" s="9">
        <f>YEAR(Table5[[#This Row],[bill_date]])</f>
        <v>2023</v>
      </c>
      <c r="F2490">
        <v>1114</v>
      </c>
      <c r="G2490" t="s">
        <v>29</v>
      </c>
    </row>
    <row r="2491" spans="1:7" x14ac:dyDescent="0.3">
      <c r="A2491">
        <v>32490</v>
      </c>
      <c r="B2491">
        <v>283</v>
      </c>
      <c r="C2491" s="2">
        <v>44813</v>
      </c>
      <c r="D2491" s="2" t="str">
        <f>TEXT(Table5[[#This Row],[bill_date]],"mmmm")</f>
        <v>September</v>
      </c>
      <c r="E2491" s="9">
        <f>YEAR(Table5[[#This Row],[bill_date]])</f>
        <v>2022</v>
      </c>
      <c r="F2491">
        <v>438</v>
      </c>
      <c r="G2491" t="s">
        <v>29</v>
      </c>
    </row>
    <row r="2492" spans="1:7" x14ac:dyDescent="0.3">
      <c r="A2492">
        <v>32491</v>
      </c>
      <c r="B2492">
        <v>405</v>
      </c>
      <c r="C2492" s="2">
        <v>45357</v>
      </c>
      <c r="D2492" s="2" t="str">
        <f>TEXT(Table5[[#This Row],[bill_date]],"mmmm")</f>
        <v>March</v>
      </c>
      <c r="E2492" s="9">
        <f>YEAR(Table5[[#This Row],[bill_date]])</f>
        <v>2024</v>
      </c>
      <c r="F2492">
        <v>219</v>
      </c>
      <c r="G2492" t="s">
        <v>30</v>
      </c>
    </row>
    <row r="2493" spans="1:7" x14ac:dyDescent="0.3">
      <c r="A2493">
        <v>32492</v>
      </c>
      <c r="B2493">
        <v>35</v>
      </c>
      <c r="C2493" s="2">
        <v>45404</v>
      </c>
      <c r="D2493" s="2" t="str">
        <f>TEXT(Table5[[#This Row],[bill_date]],"mmmm")</f>
        <v>April</v>
      </c>
      <c r="E2493" s="9">
        <f>YEAR(Table5[[#This Row],[bill_date]])</f>
        <v>2024</v>
      </c>
      <c r="F2493">
        <v>646</v>
      </c>
      <c r="G2493" t="s">
        <v>28</v>
      </c>
    </row>
    <row r="2494" spans="1:7" x14ac:dyDescent="0.3">
      <c r="A2494">
        <v>32493</v>
      </c>
      <c r="B2494">
        <v>344</v>
      </c>
      <c r="C2494" s="2">
        <v>45123</v>
      </c>
      <c r="D2494" s="2" t="str">
        <f>TEXT(Table5[[#This Row],[bill_date]],"mmmm")</f>
        <v>July</v>
      </c>
      <c r="E2494" s="9">
        <f>YEAR(Table5[[#This Row],[bill_date]])</f>
        <v>2023</v>
      </c>
      <c r="F2494">
        <v>1551</v>
      </c>
      <c r="G2494" t="s">
        <v>30</v>
      </c>
    </row>
    <row r="2495" spans="1:7" x14ac:dyDescent="0.3">
      <c r="A2495">
        <v>32494</v>
      </c>
      <c r="B2495">
        <v>480</v>
      </c>
      <c r="C2495" s="2">
        <v>45384</v>
      </c>
      <c r="D2495" s="2" t="str">
        <f>TEXT(Table5[[#This Row],[bill_date]],"mmmm")</f>
        <v>April</v>
      </c>
      <c r="E2495" s="9">
        <f>YEAR(Table5[[#This Row],[bill_date]])</f>
        <v>2024</v>
      </c>
      <c r="F2495">
        <v>646</v>
      </c>
      <c r="G2495" t="s">
        <v>30</v>
      </c>
    </row>
    <row r="2496" spans="1:7" x14ac:dyDescent="0.3">
      <c r="A2496">
        <v>32495</v>
      </c>
      <c r="B2496">
        <v>204</v>
      </c>
      <c r="C2496" s="2">
        <v>45210</v>
      </c>
      <c r="D2496" s="2" t="str">
        <f>TEXT(Table5[[#This Row],[bill_date]],"mmmm")</f>
        <v>October</v>
      </c>
      <c r="E2496" s="9">
        <f>YEAR(Table5[[#This Row],[bill_date]])</f>
        <v>2023</v>
      </c>
      <c r="F2496">
        <v>1827</v>
      </c>
      <c r="G2496" t="s">
        <v>30</v>
      </c>
    </row>
    <row r="2497" spans="1:7" x14ac:dyDescent="0.3">
      <c r="A2497">
        <v>32496</v>
      </c>
      <c r="B2497">
        <v>471</v>
      </c>
      <c r="C2497" s="2">
        <v>45299</v>
      </c>
      <c r="D2497" s="2" t="str">
        <f>TEXT(Table5[[#This Row],[bill_date]],"mmmm")</f>
        <v>January</v>
      </c>
      <c r="E2497" s="9">
        <f>YEAR(Table5[[#This Row],[bill_date]])</f>
        <v>2024</v>
      </c>
      <c r="F2497">
        <v>453</v>
      </c>
      <c r="G2497" t="s">
        <v>28</v>
      </c>
    </row>
    <row r="2498" spans="1:7" x14ac:dyDescent="0.3">
      <c r="A2498">
        <v>32497</v>
      </c>
      <c r="B2498">
        <v>420</v>
      </c>
      <c r="C2498" s="2">
        <v>44782</v>
      </c>
      <c r="D2498" s="2" t="str">
        <f>TEXT(Table5[[#This Row],[bill_date]],"mmmm")</f>
        <v>August</v>
      </c>
      <c r="E2498" s="9">
        <f>YEAR(Table5[[#This Row],[bill_date]])</f>
        <v>2022</v>
      </c>
      <c r="F2498">
        <v>1384</v>
      </c>
      <c r="G2498" t="s">
        <v>30</v>
      </c>
    </row>
    <row r="2499" spans="1:7" x14ac:dyDescent="0.3">
      <c r="A2499">
        <v>32498</v>
      </c>
      <c r="B2499">
        <v>241</v>
      </c>
      <c r="C2499" s="2">
        <v>44674</v>
      </c>
      <c r="D2499" s="2" t="str">
        <f>TEXT(Table5[[#This Row],[bill_date]],"mmmm")</f>
        <v>April</v>
      </c>
      <c r="E2499" s="9">
        <f>YEAR(Table5[[#This Row],[bill_date]])</f>
        <v>2022</v>
      </c>
      <c r="F2499">
        <v>501</v>
      </c>
      <c r="G2499" t="s">
        <v>30</v>
      </c>
    </row>
    <row r="2500" spans="1:7" x14ac:dyDescent="0.3">
      <c r="A2500">
        <v>32499</v>
      </c>
      <c r="B2500">
        <v>349</v>
      </c>
      <c r="C2500" s="2">
        <v>44710</v>
      </c>
      <c r="D2500" s="2" t="str">
        <f>TEXT(Table5[[#This Row],[bill_date]],"mmmm")</f>
        <v>May</v>
      </c>
      <c r="E2500" s="9">
        <f>YEAR(Table5[[#This Row],[bill_date]])</f>
        <v>2022</v>
      </c>
      <c r="F2500">
        <v>1986</v>
      </c>
      <c r="G2500" t="s">
        <v>30</v>
      </c>
    </row>
    <row r="2501" spans="1:7" x14ac:dyDescent="0.3">
      <c r="A2501">
        <v>32500</v>
      </c>
      <c r="B2501">
        <v>323</v>
      </c>
      <c r="C2501" s="2">
        <v>45121</v>
      </c>
      <c r="D2501" s="2" t="str">
        <f>TEXT(Table5[[#This Row],[bill_date]],"mmmm")</f>
        <v>July</v>
      </c>
      <c r="E2501" s="9">
        <f>YEAR(Table5[[#This Row],[bill_date]])</f>
        <v>2023</v>
      </c>
      <c r="F2501">
        <v>975</v>
      </c>
      <c r="G2501" t="s">
        <v>30</v>
      </c>
    </row>
    <row r="2502" spans="1:7" x14ac:dyDescent="0.3">
      <c r="A2502">
        <v>32501</v>
      </c>
      <c r="B2502">
        <v>43</v>
      </c>
      <c r="C2502" s="2">
        <v>44619</v>
      </c>
      <c r="D2502" s="2" t="str">
        <f>TEXT(Table5[[#This Row],[bill_date]],"mmmm")</f>
        <v>February</v>
      </c>
      <c r="E2502" s="9">
        <f>YEAR(Table5[[#This Row],[bill_date]])</f>
        <v>2022</v>
      </c>
      <c r="F2502">
        <v>1410</v>
      </c>
      <c r="G2502" t="s">
        <v>30</v>
      </c>
    </row>
    <row r="2503" spans="1:7" x14ac:dyDescent="0.3">
      <c r="A2503">
        <v>32502</v>
      </c>
      <c r="B2503">
        <v>264</v>
      </c>
      <c r="C2503" s="2">
        <v>44758</v>
      </c>
      <c r="D2503" s="2" t="str">
        <f>TEXT(Table5[[#This Row],[bill_date]],"mmmm")</f>
        <v>July</v>
      </c>
      <c r="E2503" s="9">
        <f>YEAR(Table5[[#This Row],[bill_date]])</f>
        <v>2022</v>
      </c>
      <c r="F2503">
        <v>822</v>
      </c>
      <c r="G2503" t="s">
        <v>30</v>
      </c>
    </row>
    <row r="2504" spans="1:7" x14ac:dyDescent="0.3">
      <c r="A2504">
        <v>32503</v>
      </c>
      <c r="B2504">
        <v>482</v>
      </c>
      <c r="C2504" s="2">
        <v>45298</v>
      </c>
      <c r="D2504" s="2" t="str">
        <f>TEXT(Table5[[#This Row],[bill_date]],"mmmm")</f>
        <v>January</v>
      </c>
      <c r="E2504" s="9">
        <f>YEAR(Table5[[#This Row],[bill_date]])</f>
        <v>2024</v>
      </c>
      <c r="F2504">
        <v>1252</v>
      </c>
      <c r="G2504" t="s">
        <v>30</v>
      </c>
    </row>
    <row r="2505" spans="1:7" x14ac:dyDescent="0.3">
      <c r="A2505">
        <v>32504</v>
      </c>
      <c r="B2505">
        <v>377</v>
      </c>
      <c r="C2505" s="2">
        <v>45210</v>
      </c>
      <c r="D2505" s="2" t="str">
        <f>TEXT(Table5[[#This Row],[bill_date]],"mmmm")</f>
        <v>October</v>
      </c>
      <c r="E2505" s="9">
        <f>YEAR(Table5[[#This Row],[bill_date]])</f>
        <v>2023</v>
      </c>
      <c r="F2505">
        <v>1658</v>
      </c>
      <c r="G2505" t="s">
        <v>30</v>
      </c>
    </row>
    <row r="2506" spans="1:7" x14ac:dyDescent="0.3">
      <c r="A2506">
        <v>32505</v>
      </c>
      <c r="B2506">
        <v>78</v>
      </c>
      <c r="C2506" s="2">
        <v>45268</v>
      </c>
      <c r="D2506" s="2" t="str">
        <f>TEXT(Table5[[#This Row],[bill_date]],"mmmm")</f>
        <v>December</v>
      </c>
      <c r="E2506" s="9">
        <f>YEAR(Table5[[#This Row],[bill_date]])</f>
        <v>2023</v>
      </c>
      <c r="F2506">
        <v>1537</v>
      </c>
      <c r="G2506" t="s">
        <v>28</v>
      </c>
    </row>
    <row r="2507" spans="1:7" x14ac:dyDescent="0.3">
      <c r="A2507">
        <v>32506</v>
      </c>
      <c r="B2507">
        <v>36</v>
      </c>
      <c r="C2507" s="2">
        <v>45279</v>
      </c>
      <c r="D2507" s="2" t="str">
        <f>TEXT(Table5[[#This Row],[bill_date]],"mmmm")</f>
        <v>December</v>
      </c>
      <c r="E2507" s="9">
        <f>YEAR(Table5[[#This Row],[bill_date]])</f>
        <v>2023</v>
      </c>
      <c r="F2507">
        <v>1085</v>
      </c>
      <c r="G2507" t="s">
        <v>30</v>
      </c>
    </row>
    <row r="2508" spans="1:7" x14ac:dyDescent="0.3">
      <c r="A2508">
        <v>32507</v>
      </c>
      <c r="B2508">
        <v>383</v>
      </c>
      <c r="C2508" s="2">
        <v>44579</v>
      </c>
      <c r="D2508" s="2" t="str">
        <f>TEXT(Table5[[#This Row],[bill_date]],"mmmm")</f>
        <v>January</v>
      </c>
      <c r="E2508" s="9">
        <f>YEAR(Table5[[#This Row],[bill_date]])</f>
        <v>2022</v>
      </c>
      <c r="F2508">
        <v>586</v>
      </c>
      <c r="G2508" t="s">
        <v>28</v>
      </c>
    </row>
    <row r="2509" spans="1:7" x14ac:dyDescent="0.3">
      <c r="A2509">
        <v>32508</v>
      </c>
      <c r="B2509">
        <v>304</v>
      </c>
      <c r="C2509" s="2">
        <v>45341</v>
      </c>
      <c r="D2509" s="2" t="str">
        <f>TEXT(Table5[[#This Row],[bill_date]],"mmmm")</f>
        <v>February</v>
      </c>
      <c r="E2509" s="9">
        <f>YEAR(Table5[[#This Row],[bill_date]])</f>
        <v>2024</v>
      </c>
      <c r="F2509">
        <v>878</v>
      </c>
      <c r="G2509" t="s">
        <v>30</v>
      </c>
    </row>
    <row r="2510" spans="1:7" x14ac:dyDescent="0.3">
      <c r="A2510">
        <v>32509</v>
      </c>
      <c r="B2510">
        <v>174</v>
      </c>
      <c r="C2510" s="2">
        <v>44776</v>
      </c>
      <c r="D2510" s="2" t="str">
        <f>TEXT(Table5[[#This Row],[bill_date]],"mmmm")</f>
        <v>August</v>
      </c>
      <c r="E2510" s="9">
        <f>YEAR(Table5[[#This Row],[bill_date]])</f>
        <v>2022</v>
      </c>
      <c r="F2510">
        <v>678</v>
      </c>
      <c r="G2510" t="s">
        <v>30</v>
      </c>
    </row>
    <row r="2511" spans="1:7" x14ac:dyDescent="0.3">
      <c r="A2511">
        <v>32510</v>
      </c>
      <c r="B2511">
        <v>416</v>
      </c>
      <c r="C2511" s="2">
        <v>45279</v>
      </c>
      <c r="D2511" s="2" t="str">
        <f>TEXT(Table5[[#This Row],[bill_date]],"mmmm")</f>
        <v>December</v>
      </c>
      <c r="E2511" s="9">
        <f>YEAR(Table5[[#This Row],[bill_date]])</f>
        <v>2023</v>
      </c>
      <c r="F2511">
        <v>806</v>
      </c>
      <c r="G2511" t="s">
        <v>30</v>
      </c>
    </row>
    <row r="2512" spans="1:7" x14ac:dyDescent="0.3">
      <c r="A2512">
        <v>32511</v>
      </c>
      <c r="B2512">
        <v>135</v>
      </c>
      <c r="C2512" s="2">
        <v>45197</v>
      </c>
      <c r="D2512" s="2" t="str">
        <f>TEXT(Table5[[#This Row],[bill_date]],"mmmm")</f>
        <v>September</v>
      </c>
      <c r="E2512" s="9">
        <f>YEAR(Table5[[#This Row],[bill_date]])</f>
        <v>2023</v>
      </c>
      <c r="F2512">
        <v>333</v>
      </c>
      <c r="G2512" t="s">
        <v>30</v>
      </c>
    </row>
    <row r="2513" spans="1:7" x14ac:dyDescent="0.3">
      <c r="A2513">
        <v>32512</v>
      </c>
      <c r="B2513">
        <v>330</v>
      </c>
      <c r="C2513" s="2">
        <v>44577</v>
      </c>
      <c r="D2513" s="2" t="str">
        <f>TEXT(Table5[[#This Row],[bill_date]],"mmmm")</f>
        <v>January</v>
      </c>
      <c r="E2513" s="9">
        <f>YEAR(Table5[[#This Row],[bill_date]])</f>
        <v>2022</v>
      </c>
      <c r="F2513">
        <v>1260</v>
      </c>
      <c r="G2513" t="s">
        <v>28</v>
      </c>
    </row>
    <row r="2514" spans="1:7" x14ac:dyDescent="0.3">
      <c r="A2514">
        <v>32513</v>
      </c>
      <c r="B2514">
        <v>140</v>
      </c>
      <c r="C2514" s="2">
        <v>45238</v>
      </c>
      <c r="D2514" s="2" t="str">
        <f>TEXT(Table5[[#This Row],[bill_date]],"mmmm")</f>
        <v>November</v>
      </c>
      <c r="E2514" s="9">
        <f>YEAR(Table5[[#This Row],[bill_date]])</f>
        <v>2023</v>
      </c>
      <c r="F2514">
        <v>486</v>
      </c>
      <c r="G2514" t="s">
        <v>30</v>
      </c>
    </row>
    <row r="2515" spans="1:7" x14ac:dyDescent="0.3">
      <c r="A2515">
        <v>32514</v>
      </c>
      <c r="B2515">
        <v>55</v>
      </c>
      <c r="C2515" s="2">
        <v>45221</v>
      </c>
      <c r="D2515" s="2" t="str">
        <f>TEXT(Table5[[#This Row],[bill_date]],"mmmm")</f>
        <v>October</v>
      </c>
      <c r="E2515" s="9">
        <f>YEAR(Table5[[#This Row],[bill_date]])</f>
        <v>2023</v>
      </c>
      <c r="F2515">
        <v>1291</v>
      </c>
      <c r="G2515" t="s">
        <v>30</v>
      </c>
    </row>
    <row r="2516" spans="1:7" x14ac:dyDescent="0.3">
      <c r="A2516">
        <v>32515</v>
      </c>
      <c r="B2516">
        <v>252</v>
      </c>
      <c r="C2516" s="2">
        <v>45349</v>
      </c>
      <c r="D2516" s="2" t="str">
        <f>TEXT(Table5[[#This Row],[bill_date]],"mmmm")</f>
        <v>February</v>
      </c>
      <c r="E2516" s="9">
        <f>YEAR(Table5[[#This Row],[bill_date]])</f>
        <v>2024</v>
      </c>
      <c r="F2516">
        <v>944</v>
      </c>
      <c r="G2516" t="s">
        <v>29</v>
      </c>
    </row>
    <row r="2517" spans="1:7" x14ac:dyDescent="0.3">
      <c r="A2517">
        <v>32516</v>
      </c>
      <c r="B2517">
        <v>488</v>
      </c>
      <c r="C2517" s="2">
        <v>44960</v>
      </c>
      <c r="D2517" s="2" t="str">
        <f>TEXT(Table5[[#This Row],[bill_date]],"mmmm")</f>
        <v>February</v>
      </c>
      <c r="E2517" s="9">
        <f>YEAR(Table5[[#This Row],[bill_date]])</f>
        <v>2023</v>
      </c>
      <c r="F2517">
        <v>1289</v>
      </c>
      <c r="G2517" t="s">
        <v>28</v>
      </c>
    </row>
    <row r="2518" spans="1:7" x14ac:dyDescent="0.3">
      <c r="A2518">
        <v>32517</v>
      </c>
      <c r="B2518">
        <v>279</v>
      </c>
      <c r="C2518" s="2">
        <v>44794</v>
      </c>
      <c r="D2518" s="2" t="str">
        <f>TEXT(Table5[[#This Row],[bill_date]],"mmmm")</f>
        <v>August</v>
      </c>
      <c r="E2518" s="9">
        <f>YEAR(Table5[[#This Row],[bill_date]])</f>
        <v>2022</v>
      </c>
      <c r="F2518">
        <v>1790</v>
      </c>
      <c r="G2518" t="s">
        <v>30</v>
      </c>
    </row>
    <row r="2519" spans="1:7" x14ac:dyDescent="0.3">
      <c r="A2519">
        <v>32518</v>
      </c>
      <c r="B2519">
        <v>459</v>
      </c>
      <c r="C2519" s="2">
        <v>44586</v>
      </c>
      <c r="D2519" s="2" t="str">
        <f>TEXT(Table5[[#This Row],[bill_date]],"mmmm")</f>
        <v>January</v>
      </c>
      <c r="E2519" s="9">
        <f>YEAR(Table5[[#This Row],[bill_date]])</f>
        <v>2022</v>
      </c>
      <c r="F2519">
        <v>390</v>
      </c>
      <c r="G2519" t="s">
        <v>30</v>
      </c>
    </row>
    <row r="2520" spans="1:7" x14ac:dyDescent="0.3">
      <c r="A2520">
        <v>32519</v>
      </c>
      <c r="B2520">
        <v>180</v>
      </c>
      <c r="C2520" s="2">
        <v>44962</v>
      </c>
      <c r="D2520" s="2" t="str">
        <f>TEXT(Table5[[#This Row],[bill_date]],"mmmm")</f>
        <v>February</v>
      </c>
      <c r="E2520" s="9">
        <f>YEAR(Table5[[#This Row],[bill_date]])</f>
        <v>2023</v>
      </c>
      <c r="F2520">
        <v>1342</v>
      </c>
      <c r="G2520" t="s">
        <v>30</v>
      </c>
    </row>
    <row r="2521" spans="1:7" x14ac:dyDescent="0.3">
      <c r="A2521">
        <v>32520</v>
      </c>
      <c r="B2521">
        <v>13</v>
      </c>
      <c r="C2521" s="2">
        <v>45341</v>
      </c>
      <c r="D2521" s="2" t="str">
        <f>TEXT(Table5[[#This Row],[bill_date]],"mmmm")</f>
        <v>February</v>
      </c>
      <c r="E2521" s="9">
        <f>YEAR(Table5[[#This Row],[bill_date]])</f>
        <v>2024</v>
      </c>
      <c r="F2521">
        <v>599</v>
      </c>
      <c r="G2521" t="s">
        <v>30</v>
      </c>
    </row>
    <row r="2522" spans="1:7" x14ac:dyDescent="0.3">
      <c r="A2522">
        <v>32521</v>
      </c>
      <c r="B2522">
        <v>204</v>
      </c>
      <c r="C2522" s="2">
        <v>44926</v>
      </c>
      <c r="D2522" s="2" t="str">
        <f>TEXT(Table5[[#This Row],[bill_date]],"mmmm")</f>
        <v>December</v>
      </c>
      <c r="E2522" s="9">
        <f>YEAR(Table5[[#This Row],[bill_date]])</f>
        <v>2022</v>
      </c>
      <c r="F2522">
        <v>1622</v>
      </c>
      <c r="G2522" t="s">
        <v>30</v>
      </c>
    </row>
    <row r="2523" spans="1:7" x14ac:dyDescent="0.3">
      <c r="A2523">
        <v>32522</v>
      </c>
      <c r="B2523">
        <v>455</v>
      </c>
      <c r="C2523" s="2">
        <v>44856</v>
      </c>
      <c r="D2523" s="2" t="str">
        <f>TEXT(Table5[[#This Row],[bill_date]],"mmmm")</f>
        <v>October</v>
      </c>
      <c r="E2523" s="9">
        <f>YEAR(Table5[[#This Row],[bill_date]])</f>
        <v>2022</v>
      </c>
      <c r="F2523">
        <v>1745</v>
      </c>
      <c r="G2523" t="s">
        <v>30</v>
      </c>
    </row>
    <row r="2524" spans="1:7" x14ac:dyDescent="0.3">
      <c r="A2524">
        <v>32523</v>
      </c>
      <c r="B2524">
        <v>309</v>
      </c>
      <c r="C2524" s="2">
        <v>44998</v>
      </c>
      <c r="D2524" s="2" t="str">
        <f>TEXT(Table5[[#This Row],[bill_date]],"mmmm")</f>
        <v>March</v>
      </c>
      <c r="E2524" s="9">
        <f>YEAR(Table5[[#This Row],[bill_date]])</f>
        <v>2023</v>
      </c>
      <c r="F2524">
        <v>1107</v>
      </c>
      <c r="G2524" t="s">
        <v>30</v>
      </c>
    </row>
    <row r="2525" spans="1:7" x14ac:dyDescent="0.3">
      <c r="A2525">
        <v>32524</v>
      </c>
      <c r="B2525">
        <v>63</v>
      </c>
      <c r="C2525" s="2">
        <v>44632</v>
      </c>
      <c r="D2525" s="2" t="str">
        <f>TEXT(Table5[[#This Row],[bill_date]],"mmmm")</f>
        <v>March</v>
      </c>
      <c r="E2525" s="9">
        <f>YEAR(Table5[[#This Row],[bill_date]])</f>
        <v>2022</v>
      </c>
      <c r="F2525">
        <v>856</v>
      </c>
      <c r="G2525" t="s">
        <v>30</v>
      </c>
    </row>
    <row r="2526" spans="1:7" x14ac:dyDescent="0.3">
      <c r="A2526">
        <v>32525</v>
      </c>
      <c r="B2526">
        <v>492</v>
      </c>
      <c r="C2526" s="2">
        <v>45273</v>
      </c>
      <c r="D2526" s="2" t="str">
        <f>TEXT(Table5[[#This Row],[bill_date]],"mmmm")</f>
        <v>December</v>
      </c>
      <c r="E2526" s="9">
        <f>YEAR(Table5[[#This Row],[bill_date]])</f>
        <v>2023</v>
      </c>
      <c r="F2526">
        <v>1236</v>
      </c>
      <c r="G2526" t="s">
        <v>30</v>
      </c>
    </row>
    <row r="2527" spans="1:7" x14ac:dyDescent="0.3">
      <c r="A2527">
        <v>32526</v>
      </c>
      <c r="B2527">
        <v>74</v>
      </c>
      <c r="C2527" s="2">
        <v>45120</v>
      </c>
      <c r="D2527" s="2" t="str">
        <f>TEXT(Table5[[#This Row],[bill_date]],"mmmm")</f>
        <v>July</v>
      </c>
      <c r="E2527" s="9">
        <f>YEAR(Table5[[#This Row],[bill_date]])</f>
        <v>2023</v>
      </c>
      <c r="F2527">
        <v>1768</v>
      </c>
      <c r="G2527" t="s">
        <v>30</v>
      </c>
    </row>
    <row r="2528" spans="1:7" x14ac:dyDescent="0.3">
      <c r="A2528">
        <v>32527</v>
      </c>
      <c r="B2528">
        <v>455</v>
      </c>
      <c r="C2528" s="2">
        <v>44586</v>
      </c>
      <c r="D2528" s="2" t="str">
        <f>TEXT(Table5[[#This Row],[bill_date]],"mmmm")</f>
        <v>January</v>
      </c>
      <c r="E2528" s="9">
        <f>YEAR(Table5[[#This Row],[bill_date]])</f>
        <v>2022</v>
      </c>
      <c r="F2528">
        <v>1938</v>
      </c>
      <c r="G2528" t="s">
        <v>30</v>
      </c>
    </row>
    <row r="2529" spans="1:7" x14ac:dyDescent="0.3">
      <c r="A2529">
        <v>32528</v>
      </c>
      <c r="B2529">
        <v>307</v>
      </c>
      <c r="C2529" s="2">
        <v>45286</v>
      </c>
      <c r="D2529" s="2" t="str">
        <f>TEXT(Table5[[#This Row],[bill_date]],"mmmm")</f>
        <v>December</v>
      </c>
      <c r="E2529" s="9">
        <f>YEAR(Table5[[#This Row],[bill_date]])</f>
        <v>2023</v>
      </c>
      <c r="F2529">
        <v>1820</v>
      </c>
      <c r="G2529" t="s">
        <v>30</v>
      </c>
    </row>
    <row r="2530" spans="1:7" x14ac:dyDescent="0.3">
      <c r="A2530">
        <v>32529</v>
      </c>
      <c r="B2530">
        <v>442</v>
      </c>
      <c r="C2530" s="2">
        <v>44935</v>
      </c>
      <c r="D2530" s="2" t="str">
        <f>TEXT(Table5[[#This Row],[bill_date]],"mmmm")</f>
        <v>January</v>
      </c>
      <c r="E2530" s="9">
        <f>YEAR(Table5[[#This Row],[bill_date]])</f>
        <v>2023</v>
      </c>
      <c r="F2530">
        <v>667</v>
      </c>
      <c r="G2530" t="s">
        <v>30</v>
      </c>
    </row>
    <row r="2531" spans="1:7" x14ac:dyDescent="0.3">
      <c r="A2531">
        <v>32530</v>
      </c>
      <c r="B2531">
        <v>155</v>
      </c>
      <c r="C2531" s="2">
        <v>45106</v>
      </c>
      <c r="D2531" s="2" t="str">
        <f>TEXT(Table5[[#This Row],[bill_date]],"mmmm")</f>
        <v>June</v>
      </c>
      <c r="E2531" s="9">
        <f>YEAR(Table5[[#This Row],[bill_date]])</f>
        <v>2023</v>
      </c>
      <c r="F2531">
        <v>1091</v>
      </c>
      <c r="G2531" t="s">
        <v>30</v>
      </c>
    </row>
    <row r="2532" spans="1:7" x14ac:dyDescent="0.3">
      <c r="A2532">
        <v>32531</v>
      </c>
      <c r="B2532">
        <v>7</v>
      </c>
      <c r="C2532" s="2">
        <v>45019</v>
      </c>
      <c r="D2532" s="2" t="str">
        <f>TEXT(Table5[[#This Row],[bill_date]],"mmmm")</f>
        <v>April</v>
      </c>
      <c r="E2532" s="9">
        <f>YEAR(Table5[[#This Row],[bill_date]])</f>
        <v>2023</v>
      </c>
      <c r="F2532">
        <v>352</v>
      </c>
      <c r="G2532" t="s">
        <v>30</v>
      </c>
    </row>
    <row r="2533" spans="1:7" x14ac:dyDescent="0.3">
      <c r="A2533">
        <v>32532</v>
      </c>
      <c r="B2533">
        <v>375</v>
      </c>
      <c r="C2533" s="2">
        <v>44775</v>
      </c>
      <c r="D2533" s="2" t="str">
        <f>TEXT(Table5[[#This Row],[bill_date]],"mmmm")</f>
        <v>August</v>
      </c>
      <c r="E2533" s="9">
        <f>YEAR(Table5[[#This Row],[bill_date]])</f>
        <v>2022</v>
      </c>
      <c r="F2533">
        <v>1392</v>
      </c>
      <c r="G2533" t="s">
        <v>30</v>
      </c>
    </row>
    <row r="2534" spans="1:7" x14ac:dyDescent="0.3">
      <c r="A2534">
        <v>32533</v>
      </c>
      <c r="B2534">
        <v>306</v>
      </c>
      <c r="C2534" s="2">
        <v>44772</v>
      </c>
      <c r="D2534" s="2" t="str">
        <f>TEXT(Table5[[#This Row],[bill_date]],"mmmm")</f>
        <v>July</v>
      </c>
      <c r="E2534" s="9">
        <f>YEAR(Table5[[#This Row],[bill_date]])</f>
        <v>2022</v>
      </c>
      <c r="F2534">
        <v>1155</v>
      </c>
      <c r="G2534" t="s">
        <v>30</v>
      </c>
    </row>
    <row r="2535" spans="1:7" x14ac:dyDescent="0.3">
      <c r="A2535">
        <v>32534</v>
      </c>
      <c r="B2535">
        <v>408</v>
      </c>
      <c r="C2535" s="2">
        <v>45102</v>
      </c>
      <c r="D2535" s="2" t="str">
        <f>TEXT(Table5[[#This Row],[bill_date]],"mmmm")</f>
        <v>June</v>
      </c>
      <c r="E2535" s="9">
        <f>YEAR(Table5[[#This Row],[bill_date]])</f>
        <v>2023</v>
      </c>
      <c r="F2535">
        <v>877</v>
      </c>
      <c r="G2535" t="s">
        <v>30</v>
      </c>
    </row>
    <row r="2536" spans="1:7" x14ac:dyDescent="0.3">
      <c r="A2536">
        <v>32535</v>
      </c>
      <c r="B2536">
        <v>343</v>
      </c>
      <c r="C2536" s="2">
        <v>45332</v>
      </c>
      <c r="D2536" s="2" t="str">
        <f>TEXT(Table5[[#This Row],[bill_date]],"mmmm")</f>
        <v>February</v>
      </c>
      <c r="E2536" s="9">
        <f>YEAR(Table5[[#This Row],[bill_date]])</f>
        <v>2024</v>
      </c>
      <c r="F2536">
        <v>1608</v>
      </c>
      <c r="G2536" t="s">
        <v>30</v>
      </c>
    </row>
    <row r="2537" spans="1:7" x14ac:dyDescent="0.3">
      <c r="A2537">
        <v>32536</v>
      </c>
      <c r="B2537">
        <v>153</v>
      </c>
      <c r="C2537" s="2">
        <v>44600</v>
      </c>
      <c r="D2537" s="2" t="str">
        <f>TEXT(Table5[[#This Row],[bill_date]],"mmmm")</f>
        <v>February</v>
      </c>
      <c r="E2537" s="9">
        <f>YEAR(Table5[[#This Row],[bill_date]])</f>
        <v>2022</v>
      </c>
      <c r="F2537">
        <v>895</v>
      </c>
      <c r="G2537" t="s">
        <v>30</v>
      </c>
    </row>
    <row r="2538" spans="1:7" x14ac:dyDescent="0.3">
      <c r="A2538">
        <v>32537</v>
      </c>
      <c r="B2538">
        <v>44</v>
      </c>
      <c r="C2538" s="2">
        <v>44821</v>
      </c>
      <c r="D2538" s="2" t="str">
        <f>TEXT(Table5[[#This Row],[bill_date]],"mmmm")</f>
        <v>September</v>
      </c>
      <c r="E2538" s="9">
        <f>YEAR(Table5[[#This Row],[bill_date]])</f>
        <v>2022</v>
      </c>
      <c r="F2538">
        <v>504</v>
      </c>
      <c r="G2538" t="s">
        <v>30</v>
      </c>
    </row>
    <row r="2539" spans="1:7" x14ac:dyDescent="0.3">
      <c r="A2539">
        <v>32538</v>
      </c>
      <c r="B2539">
        <v>36</v>
      </c>
      <c r="C2539" s="2">
        <v>45238</v>
      </c>
      <c r="D2539" s="2" t="str">
        <f>TEXT(Table5[[#This Row],[bill_date]],"mmmm")</f>
        <v>November</v>
      </c>
      <c r="E2539" s="9">
        <f>YEAR(Table5[[#This Row],[bill_date]])</f>
        <v>2023</v>
      </c>
      <c r="F2539">
        <v>1847</v>
      </c>
      <c r="G2539" t="s">
        <v>30</v>
      </c>
    </row>
    <row r="2540" spans="1:7" x14ac:dyDescent="0.3">
      <c r="A2540">
        <v>32539</v>
      </c>
      <c r="B2540">
        <v>441</v>
      </c>
      <c r="C2540" s="2">
        <v>44656</v>
      </c>
      <c r="D2540" s="2" t="str">
        <f>TEXT(Table5[[#This Row],[bill_date]],"mmmm")</f>
        <v>April</v>
      </c>
      <c r="E2540" s="9">
        <f>YEAR(Table5[[#This Row],[bill_date]])</f>
        <v>2022</v>
      </c>
      <c r="F2540">
        <v>1878</v>
      </c>
      <c r="G2540" t="s">
        <v>30</v>
      </c>
    </row>
    <row r="2541" spans="1:7" x14ac:dyDescent="0.3">
      <c r="A2541">
        <v>32540</v>
      </c>
      <c r="B2541">
        <v>97</v>
      </c>
      <c r="C2541" s="2">
        <v>44951</v>
      </c>
      <c r="D2541" s="2" t="str">
        <f>TEXT(Table5[[#This Row],[bill_date]],"mmmm")</f>
        <v>January</v>
      </c>
      <c r="E2541" s="9">
        <f>YEAR(Table5[[#This Row],[bill_date]])</f>
        <v>2023</v>
      </c>
      <c r="F2541">
        <v>1540</v>
      </c>
      <c r="G2541" t="s">
        <v>30</v>
      </c>
    </row>
    <row r="2542" spans="1:7" x14ac:dyDescent="0.3">
      <c r="A2542">
        <v>32541</v>
      </c>
      <c r="B2542">
        <v>165</v>
      </c>
      <c r="C2542" s="2">
        <v>44781</v>
      </c>
      <c r="D2542" s="2" t="str">
        <f>TEXT(Table5[[#This Row],[bill_date]],"mmmm")</f>
        <v>August</v>
      </c>
      <c r="E2542" s="9">
        <f>YEAR(Table5[[#This Row],[bill_date]])</f>
        <v>2022</v>
      </c>
      <c r="F2542">
        <v>552</v>
      </c>
      <c r="G2542" t="s">
        <v>30</v>
      </c>
    </row>
    <row r="2543" spans="1:7" x14ac:dyDescent="0.3">
      <c r="A2543">
        <v>32542</v>
      </c>
      <c r="B2543">
        <v>234</v>
      </c>
      <c r="C2543" s="2">
        <v>44829</v>
      </c>
      <c r="D2543" s="2" t="str">
        <f>TEXT(Table5[[#This Row],[bill_date]],"mmmm")</f>
        <v>September</v>
      </c>
      <c r="E2543" s="9">
        <f>YEAR(Table5[[#This Row],[bill_date]])</f>
        <v>2022</v>
      </c>
      <c r="F2543">
        <v>1105</v>
      </c>
      <c r="G2543" t="s">
        <v>30</v>
      </c>
    </row>
    <row r="2544" spans="1:7" x14ac:dyDescent="0.3">
      <c r="A2544">
        <v>32543</v>
      </c>
      <c r="B2544">
        <v>103</v>
      </c>
      <c r="C2544" s="2">
        <v>45055</v>
      </c>
      <c r="D2544" s="2" t="str">
        <f>TEXT(Table5[[#This Row],[bill_date]],"mmmm")</f>
        <v>May</v>
      </c>
      <c r="E2544" s="9">
        <f>YEAR(Table5[[#This Row],[bill_date]])</f>
        <v>2023</v>
      </c>
      <c r="F2544">
        <v>1433</v>
      </c>
      <c r="G2544" t="s">
        <v>30</v>
      </c>
    </row>
    <row r="2545" spans="1:7" x14ac:dyDescent="0.3">
      <c r="A2545">
        <v>32544</v>
      </c>
      <c r="B2545">
        <v>436</v>
      </c>
      <c r="C2545" s="2">
        <v>45191</v>
      </c>
      <c r="D2545" s="2" t="str">
        <f>TEXT(Table5[[#This Row],[bill_date]],"mmmm")</f>
        <v>September</v>
      </c>
      <c r="E2545" s="9">
        <f>YEAR(Table5[[#This Row],[bill_date]])</f>
        <v>2023</v>
      </c>
      <c r="F2545">
        <v>1925</v>
      </c>
      <c r="G2545" t="s">
        <v>30</v>
      </c>
    </row>
    <row r="2546" spans="1:7" x14ac:dyDescent="0.3">
      <c r="A2546">
        <v>32545</v>
      </c>
      <c r="B2546">
        <v>381</v>
      </c>
      <c r="C2546" s="2">
        <v>44627</v>
      </c>
      <c r="D2546" s="2" t="str">
        <f>TEXT(Table5[[#This Row],[bill_date]],"mmmm")</f>
        <v>March</v>
      </c>
      <c r="E2546" s="9">
        <f>YEAR(Table5[[#This Row],[bill_date]])</f>
        <v>2022</v>
      </c>
      <c r="F2546">
        <v>996</v>
      </c>
      <c r="G2546" t="s">
        <v>30</v>
      </c>
    </row>
    <row r="2547" spans="1:7" x14ac:dyDescent="0.3">
      <c r="A2547">
        <v>32546</v>
      </c>
      <c r="B2547">
        <v>447</v>
      </c>
      <c r="C2547" s="2">
        <v>44948</v>
      </c>
      <c r="D2547" s="2" t="str">
        <f>TEXT(Table5[[#This Row],[bill_date]],"mmmm")</f>
        <v>January</v>
      </c>
      <c r="E2547" s="9">
        <f>YEAR(Table5[[#This Row],[bill_date]])</f>
        <v>2023</v>
      </c>
      <c r="F2547">
        <v>892</v>
      </c>
      <c r="G2547" t="s">
        <v>28</v>
      </c>
    </row>
    <row r="2548" spans="1:7" x14ac:dyDescent="0.3">
      <c r="A2548">
        <v>32547</v>
      </c>
      <c r="B2548">
        <v>7</v>
      </c>
      <c r="C2548" s="2">
        <v>44754</v>
      </c>
      <c r="D2548" s="2" t="str">
        <f>TEXT(Table5[[#This Row],[bill_date]],"mmmm")</f>
        <v>July</v>
      </c>
      <c r="E2548" s="9">
        <f>YEAR(Table5[[#This Row],[bill_date]])</f>
        <v>2022</v>
      </c>
      <c r="F2548">
        <v>1677</v>
      </c>
      <c r="G2548" t="s">
        <v>29</v>
      </c>
    </row>
    <row r="2549" spans="1:7" x14ac:dyDescent="0.3">
      <c r="A2549">
        <v>32548</v>
      </c>
      <c r="B2549">
        <v>94</v>
      </c>
      <c r="C2549" s="2">
        <v>44881</v>
      </c>
      <c r="D2549" s="2" t="str">
        <f>TEXT(Table5[[#This Row],[bill_date]],"mmmm")</f>
        <v>November</v>
      </c>
      <c r="E2549" s="9">
        <f>YEAR(Table5[[#This Row],[bill_date]])</f>
        <v>2022</v>
      </c>
      <c r="F2549">
        <v>1889</v>
      </c>
      <c r="G2549" t="s">
        <v>30</v>
      </c>
    </row>
    <row r="2550" spans="1:7" x14ac:dyDescent="0.3">
      <c r="A2550">
        <v>32549</v>
      </c>
      <c r="B2550">
        <v>444</v>
      </c>
      <c r="C2550" s="2">
        <v>45108</v>
      </c>
      <c r="D2550" s="2" t="str">
        <f>TEXT(Table5[[#This Row],[bill_date]],"mmmm")</f>
        <v>July</v>
      </c>
      <c r="E2550" s="9">
        <f>YEAR(Table5[[#This Row],[bill_date]])</f>
        <v>2023</v>
      </c>
      <c r="F2550">
        <v>1052</v>
      </c>
      <c r="G2550" t="s">
        <v>30</v>
      </c>
    </row>
    <row r="2551" spans="1:7" x14ac:dyDescent="0.3">
      <c r="A2551">
        <v>32550</v>
      </c>
      <c r="B2551">
        <v>479</v>
      </c>
      <c r="C2551" s="2">
        <v>44736</v>
      </c>
      <c r="D2551" s="2" t="str">
        <f>TEXT(Table5[[#This Row],[bill_date]],"mmmm")</f>
        <v>June</v>
      </c>
      <c r="E2551" s="9">
        <f>YEAR(Table5[[#This Row],[bill_date]])</f>
        <v>2022</v>
      </c>
      <c r="F2551">
        <v>390</v>
      </c>
      <c r="G2551" t="s">
        <v>30</v>
      </c>
    </row>
    <row r="2552" spans="1:7" x14ac:dyDescent="0.3">
      <c r="A2552">
        <v>32551</v>
      </c>
      <c r="B2552">
        <v>121</v>
      </c>
      <c r="C2552" s="2">
        <v>44673</v>
      </c>
      <c r="D2552" s="2" t="str">
        <f>TEXT(Table5[[#This Row],[bill_date]],"mmmm")</f>
        <v>April</v>
      </c>
      <c r="E2552" s="9">
        <f>YEAR(Table5[[#This Row],[bill_date]])</f>
        <v>2022</v>
      </c>
      <c r="F2552">
        <v>791</v>
      </c>
      <c r="G2552" t="s">
        <v>28</v>
      </c>
    </row>
    <row r="2553" spans="1:7" x14ac:dyDescent="0.3">
      <c r="A2553">
        <v>32552</v>
      </c>
      <c r="B2553">
        <v>365</v>
      </c>
      <c r="C2553" s="2">
        <v>44869</v>
      </c>
      <c r="D2553" s="2" t="str">
        <f>TEXT(Table5[[#This Row],[bill_date]],"mmmm")</f>
        <v>November</v>
      </c>
      <c r="E2553" s="9">
        <f>YEAR(Table5[[#This Row],[bill_date]])</f>
        <v>2022</v>
      </c>
      <c r="F2553">
        <v>1557</v>
      </c>
      <c r="G2553" t="s">
        <v>30</v>
      </c>
    </row>
    <row r="2554" spans="1:7" x14ac:dyDescent="0.3">
      <c r="A2554">
        <v>32553</v>
      </c>
      <c r="B2554">
        <v>494</v>
      </c>
      <c r="C2554" s="2">
        <v>45363</v>
      </c>
      <c r="D2554" s="2" t="str">
        <f>TEXT(Table5[[#This Row],[bill_date]],"mmmm")</f>
        <v>March</v>
      </c>
      <c r="E2554" s="9">
        <f>YEAR(Table5[[#This Row],[bill_date]])</f>
        <v>2024</v>
      </c>
      <c r="F2554">
        <v>1103</v>
      </c>
      <c r="G2554" t="s">
        <v>30</v>
      </c>
    </row>
    <row r="2555" spans="1:7" x14ac:dyDescent="0.3">
      <c r="A2555">
        <v>32554</v>
      </c>
      <c r="B2555">
        <v>37</v>
      </c>
      <c r="C2555" s="2">
        <v>44901</v>
      </c>
      <c r="D2555" s="2" t="str">
        <f>TEXT(Table5[[#This Row],[bill_date]],"mmmm")</f>
        <v>December</v>
      </c>
      <c r="E2555" s="9">
        <f>YEAR(Table5[[#This Row],[bill_date]])</f>
        <v>2022</v>
      </c>
      <c r="F2555">
        <v>1166</v>
      </c>
      <c r="G2555" t="s">
        <v>28</v>
      </c>
    </row>
    <row r="2556" spans="1:7" x14ac:dyDescent="0.3">
      <c r="A2556">
        <v>32555</v>
      </c>
      <c r="B2556">
        <v>21</v>
      </c>
      <c r="C2556" s="2">
        <v>44641</v>
      </c>
      <c r="D2556" s="2" t="str">
        <f>TEXT(Table5[[#This Row],[bill_date]],"mmmm")</f>
        <v>March</v>
      </c>
      <c r="E2556" s="9">
        <f>YEAR(Table5[[#This Row],[bill_date]])</f>
        <v>2022</v>
      </c>
      <c r="F2556">
        <v>1218</v>
      </c>
      <c r="G2556" t="s">
        <v>30</v>
      </c>
    </row>
    <row r="2557" spans="1:7" x14ac:dyDescent="0.3">
      <c r="A2557">
        <v>32556</v>
      </c>
      <c r="B2557">
        <v>98</v>
      </c>
      <c r="C2557" s="2">
        <v>45039</v>
      </c>
      <c r="D2557" s="2" t="str">
        <f>TEXT(Table5[[#This Row],[bill_date]],"mmmm")</f>
        <v>April</v>
      </c>
      <c r="E2557" s="9">
        <f>YEAR(Table5[[#This Row],[bill_date]])</f>
        <v>2023</v>
      </c>
      <c r="F2557">
        <v>1096</v>
      </c>
      <c r="G2557" t="s">
        <v>30</v>
      </c>
    </row>
    <row r="2558" spans="1:7" x14ac:dyDescent="0.3">
      <c r="A2558">
        <v>32557</v>
      </c>
      <c r="B2558">
        <v>302</v>
      </c>
      <c r="C2558" s="2">
        <v>44672</v>
      </c>
      <c r="D2558" s="2" t="str">
        <f>TEXT(Table5[[#This Row],[bill_date]],"mmmm")</f>
        <v>April</v>
      </c>
      <c r="E2558" s="9">
        <f>YEAR(Table5[[#This Row],[bill_date]])</f>
        <v>2022</v>
      </c>
      <c r="F2558">
        <v>1783</v>
      </c>
      <c r="G2558" t="s">
        <v>28</v>
      </c>
    </row>
    <row r="2559" spans="1:7" x14ac:dyDescent="0.3">
      <c r="A2559">
        <v>32558</v>
      </c>
      <c r="B2559">
        <v>21</v>
      </c>
      <c r="C2559" s="2">
        <v>45048</v>
      </c>
      <c r="D2559" s="2" t="str">
        <f>TEXT(Table5[[#This Row],[bill_date]],"mmmm")</f>
        <v>May</v>
      </c>
      <c r="E2559" s="9">
        <f>YEAR(Table5[[#This Row],[bill_date]])</f>
        <v>2023</v>
      </c>
      <c r="F2559">
        <v>1014</v>
      </c>
      <c r="G2559" t="s">
        <v>28</v>
      </c>
    </row>
    <row r="2560" spans="1:7" x14ac:dyDescent="0.3">
      <c r="A2560">
        <v>32559</v>
      </c>
      <c r="B2560">
        <v>232</v>
      </c>
      <c r="C2560" s="2">
        <v>45014</v>
      </c>
      <c r="D2560" s="2" t="str">
        <f>TEXT(Table5[[#This Row],[bill_date]],"mmmm")</f>
        <v>March</v>
      </c>
      <c r="E2560" s="9">
        <f>YEAR(Table5[[#This Row],[bill_date]])</f>
        <v>2023</v>
      </c>
      <c r="F2560">
        <v>765</v>
      </c>
      <c r="G2560" t="s">
        <v>30</v>
      </c>
    </row>
    <row r="2561" spans="1:7" x14ac:dyDescent="0.3">
      <c r="A2561">
        <v>32560</v>
      </c>
      <c r="B2561">
        <v>468</v>
      </c>
      <c r="C2561" s="2">
        <v>44974</v>
      </c>
      <c r="D2561" s="2" t="str">
        <f>TEXT(Table5[[#This Row],[bill_date]],"mmmm")</f>
        <v>February</v>
      </c>
      <c r="E2561" s="9">
        <f>YEAR(Table5[[#This Row],[bill_date]])</f>
        <v>2023</v>
      </c>
      <c r="F2561">
        <v>1289</v>
      </c>
      <c r="G2561" t="s">
        <v>30</v>
      </c>
    </row>
    <row r="2562" spans="1:7" x14ac:dyDescent="0.3">
      <c r="A2562">
        <v>32561</v>
      </c>
      <c r="B2562">
        <v>354</v>
      </c>
      <c r="C2562" s="2">
        <v>45165</v>
      </c>
      <c r="D2562" s="2" t="str">
        <f>TEXT(Table5[[#This Row],[bill_date]],"mmmm")</f>
        <v>August</v>
      </c>
      <c r="E2562" s="9">
        <f>YEAR(Table5[[#This Row],[bill_date]])</f>
        <v>2023</v>
      </c>
      <c r="F2562">
        <v>825</v>
      </c>
      <c r="G2562" t="s">
        <v>30</v>
      </c>
    </row>
    <row r="2563" spans="1:7" x14ac:dyDescent="0.3">
      <c r="A2563">
        <v>32562</v>
      </c>
      <c r="B2563">
        <v>72</v>
      </c>
      <c r="C2563" s="2">
        <v>44747</v>
      </c>
      <c r="D2563" s="2" t="str">
        <f>TEXT(Table5[[#This Row],[bill_date]],"mmmm")</f>
        <v>July</v>
      </c>
      <c r="E2563" s="9">
        <f>YEAR(Table5[[#This Row],[bill_date]])</f>
        <v>2022</v>
      </c>
      <c r="F2563">
        <v>310</v>
      </c>
      <c r="G2563" t="s">
        <v>30</v>
      </c>
    </row>
    <row r="2564" spans="1:7" x14ac:dyDescent="0.3">
      <c r="A2564">
        <v>32563</v>
      </c>
      <c r="B2564">
        <v>352</v>
      </c>
      <c r="C2564" s="2">
        <v>45114</v>
      </c>
      <c r="D2564" s="2" t="str">
        <f>TEXT(Table5[[#This Row],[bill_date]],"mmmm")</f>
        <v>July</v>
      </c>
      <c r="E2564" s="9">
        <f>YEAR(Table5[[#This Row],[bill_date]])</f>
        <v>2023</v>
      </c>
      <c r="F2564">
        <v>869</v>
      </c>
      <c r="G2564" t="s">
        <v>30</v>
      </c>
    </row>
    <row r="2565" spans="1:7" x14ac:dyDescent="0.3">
      <c r="A2565">
        <v>32564</v>
      </c>
      <c r="B2565">
        <v>52</v>
      </c>
      <c r="C2565" s="2">
        <v>44648</v>
      </c>
      <c r="D2565" s="2" t="str">
        <f>TEXT(Table5[[#This Row],[bill_date]],"mmmm")</f>
        <v>March</v>
      </c>
      <c r="E2565" s="9">
        <f>YEAR(Table5[[#This Row],[bill_date]])</f>
        <v>2022</v>
      </c>
      <c r="F2565">
        <v>1329</v>
      </c>
      <c r="G2565" t="s">
        <v>30</v>
      </c>
    </row>
    <row r="2566" spans="1:7" x14ac:dyDescent="0.3">
      <c r="A2566">
        <v>32565</v>
      </c>
      <c r="B2566">
        <v>222</v>
      </c>
      <c r="C2566" s="2">
        <v>44785</v>
      </c>
      <c r="D2566" s="2" t="str">
        <f>TEXT(Table5[[#This Row],[bill_date]],"mmmm")</f>
        <v>August</v>
      </c>
      <c r="E2566" s="9">
        <f>YEAR(Table5[[#This Row],[bill_date]])</f>
        <v>2022</v>
      </c>
      <c r="F2566">
        <v>224</v>
      </c>
      <c r="G2566" t="s">
        <v>28</v>
      </c>
    </row>
    <row r="2567" spans="1:7" x14ac:dyDescent="0.3">
      <c r="A2567">
        <v>32566</v>
      </c>
      <c r="B2567">
        <v>285</v>
      </c>
      <c r="C2567" s="2">
        <v>44612</v>
      </c>
      <c r="D2567" s="2" t="str">
        <f>TEXT(Table5[[#This Row],[bill_date]],"mmmm")</f>
        <v>February</v>
      </c>
      <c r="E2567" s="9">
        <f>YEAR(Table5[[#This Row],[bill_date]])</f>
        <v>2022</v>
      </c>
      <c r="F2567">
        <v>1199</v>
      </c>
      <c r="G2567" t="s">
        <v>28</v>
      </c>
    </row>
    <row r="2568" spans="1:7" x14ac:dyDescent="0.3">
      <c r="A2568">
        <v>32567</v>
      </c>
      <c r="B2568">
        <v>325</v>
      </c>
      <c r="C2568" s="2">
        <v>44687</v>
      </c>
      <c r="D2568" s="2" t="str">
        <f>TEXT(Table5[[#This Row],[bill_date]],"mmmm")</f>
        <v>May</v>
      </c>
      <c r="E2568" s="9">
        <f>YEAR(Table5[[#This Row],[bill_date]])</f>
        <v>2022</v>
      </c>
      <c r="F2568">
        <v>820</v>
      </c>
      <c r="G2568" t="s">
        <v>30</v>
      </c>
    </row>
    <row r="2569" spans="1:7" x14ac:dyDescent="0.3">
      <c r="A2569">
        <v>32568</v>
      </c>
      <c r="B2569">
        <v>478</v>
      </c>
      <c r="C2569" s="2">
        <v>44707</v>
      </c>
      <c r="D2569" s="2" t="str">
        <f>TEXT(Table5[[#This Row],[bill_date]],"mmmm")</f>
        <v>May</v>
      </c>
      <c r="E2569" s="9">
        <f>YEAR(Table5[[#This Row],[bill_date]])</f>
        <v>2022</v>
      </c>
      <c r="F2569">
        <v>1288</v>
      </c>
      <c r="G2569" t="s">
        <v>29</v>
      </c>
    </row>
    <row r="2570" spans="1:7" x14ac:dyDescent="0.3">
      <c r="A2570">
        <v>32569</v>
      </c>
      <c r="B2570">
        <v>460</v>
      </c>
      <c r="C2570" s="2">
        <v>44602</v>
      </c>
      <c r="D2570" s="2" t="str">
        <f>TEXT(Table5[[#This Row],[bill_date]],"mmmm")</f>
        <v>February</v>
      </c>
      <c r="E2570" s="9">
        <f>YEAR(Table5[[#This Row],[bill_date]])</f>
        <v>2022</v>
      </c>
      <c r="F2570">
        <v>1636</v>
      </c>
      <c r="G2570" t="s">
        <v>30</v>
      </c>
    </row>
    <row r="2571" spans="1:7" x14ac:dyDescent="0.3">
      <c r="A2571">
        <v>32570</v>
      </c>
      <c r="B2571">
        <v>167</v>
      </c>
      <c r="C2571" s="2">
        <v>44916</v>
      </c>
      <c r="D2571" s="2" t="str">
        <f>TEXT(Table5[[#This Row],[bill_date]],"mmmm")</f>
        <v>December</v>
      </c>
      <c r="E2571" s="9">
        <f>YEAR(Table5[[#This Row],[bill_date]])</f>
        <v>2022</v>
      </c>
      <c r="F2571">
        <v>915</v>
      </c>
      <c r="G2571" t="s">
        <v>30</v>
      </c>
    </row>
    <row r="2572" spans="1:7" x14ac:dyDescent="0.3">
      <c r="A2572">
        <v>32571</v>
      </c>
      <c r="B2572">
        <v>283</v>
      </c>
      <c r="C2572" s="2">
        <v>45006</v>
      </c>
      <c r="D2572" s="2" t="str">
        <f>TEXT(Table5[[#This Row],[bill_date]],"mmmm")</f>
        <v>March</v>
      </c>
      <c r="E2572" s="9">
        <f>YEAR(Table5[[#This Row],[bill_date]])</f>
        <v>2023</v>
      </c>
      <c r="F2572">
        <v>811</v>
      </c>
      <c r="G2572" t="s">
        <v>30</v>
      </c>
    </row>
    <row r="2573" spans="1:7" x14ac:dyDescent="0.3">
      <c r="A2573">
        <v>32572</v>
      </c>
      <c r="B2573">
        <v>205</v>
      </c>
      <c r="C2573" s="2">
        <v>44924</v>
      </c>
      <c r="D2573" s="2" t="str">
        <f>TEXT(Table5[[#This Row],[bill_date]],"mmmm")</f>
        <v>December</v>
      </c>
      <c r="E2573" s="9">
        <f>YEAR(Table5[[#This Row],[bill_date]])</f>
        <v>2022</v>
      </c>
      <c r="F2573">
        <v>1722</v>
      </c>
      <c r="G2573" t="s">
        <v>30</v>
      </c>
    </row>
    <row r="2574" spans="1:7" x14ac:dyDescent="0.3">
      <c r="A2574">
        <v>32573</v>
      </c>
      <c r="B2574">
        <v>367</v>
      </c>
      <c r="C2574" s="2">
        <v>45097</v>
      </c>
      <c r="D2574" s="2" t="str">
        <f>TEXT(Table5[[#This Row],[bill_date]],"mmmm")</f>
        <v>June</v>
      </c>
      <c r="E2574" s="9">
        <f>YEAR(Table5[[#This Row],[bill_date]])</f>
        <v>2023</v>
      </c>
      <c r="F2574">
        <v>1940</v>
      </c>
      <c r="G2574" t="s">
        <v>28</v>
      </c>
    </row>
    <row r="2575" spans="1:7" x14ac:dyDescent="0.3">
      <c r="A2575">
        <v>32574</v>
      </c>
      <c r="B2575">
        <v>138</v>
      </c>
      <c r="C2575" s="2">
        <v>45376</v>
      </c>
      <c r="D2575" s="2" t="str">
        <f>TEXT(Table5[[#This Row],[bill_date]],"mmmm")</f>
        <v>March</v>
      </c>
      <c r="E2575" s="9">
        <f>YEAR(Table5[[#This Row],[bill_date]])</f>
        <v>2024</v>
      </c>
      <c r="F2575">
        <v>1223</v>
      </c>
      <c r="G2575" t="s">
        <v>30</v>
      </c>
    </row>
    <row r="2576" spans="1:7" x14ac:dyDescent="0.3">
      <c r="A2576">
        <v>32575</v>
      </c>
      <c r="B2576">
        <v>36</v>
      </c>
      <c r="C2576" s="2">
        <v>44845</v>
      </c>
      <c r="D2576" s="2" t="str">
        <f>TEXT(Table5[[#This Row],[bill_date]],"mmmm")</f>
        <v>October</v>
      </c>
      <c r="E2576" s="9">
        <f>YEAR(Table5[[#This Row],[bill_date]])</f>
        <v>2022</v>
      </c>
      <c r="F2576">
        <v>1958</v>
      </c>
      <c r="G2576" t="s">
        <v>30</v>
      </c>
    </row>
    <row r="2577" spans="1:7" x14ac:dyDescent="0.3">
      <c r="A2577">
        <v>32576</v>
      </c>
      <c r="B2577">
        <v>95</v>
      </c>
      <c r="C2577" s="2">
        <v>44597</v>
      </c>
      <c r="D2577" s="2" t="str">
        <f>TEXT(Table5[[#This Row],[bill_date]],"mmmm")</f>
        <v>February</v>
      </c>
      <c r="E2577" s="9">
        <f>YEAR(Table5[[#This Row],[bill_date]])</f>
        <v>2022</v>
      </c>
      <c r="F2577">
        <v>780</v>
      </c>
      <c r="G2577" t="s">
        <v>30</v>
      </c>
    </row>
    <row r="2578" spans="1:7" x14ac:dyDescent="0.3">
      <c r="A2578">
        <v>32577</v>
      </c>
      <c r="B2578">
        <v>16</v>
      </c>
      <c r="C2578" s="2">
        <v>44838</v>
      </c>
      <c r="D2578" s="2" t="str">
        <f>TEXT(Table5[[#This Row],[bill_date]],"mmmm")</f>
        <v>October</v>
      </c>
      <c r="E2578" s="9">
        <f>YEAR(Table5[[#This Row],[bill_date]])</f>
        <v>2022</v>
      </c>
      <c r="F2578">
        <v>1884</v>
      </c>
      <c r="G2578" t="s">
        <v>30</v>
      </c>
    </row>
    <row r="2579" spans="1:7" x14ac:dyDescent="0.3">
      <c r="A2579">
        <v>32578</v>
      </c>
      <c r="B2579">
        <v>487</v>
      </c>
      <c r="C2579" s="2">
        <v>45257</v>
      </c>
      <c r="D2579" s="2" t="str">
        <f>TEXT(Table5[[#This Row],[bill_date]],"mmmm")</f>
        <v>November</v>
      </c>
      <c r="E2579" s="9">
        <f>YEAR(Table5[[#This Row],[bill_date]])</f>
        <v>2023</v>
      </c>
      <c r="F2579">
        <v>657</v>
      </c>
      <c r="G2579" t="s">
        <v>30</v>
      </c>
    </row>
    <row r="2580" spans="1:7" x14ac:dyDescent="0.3">
      <c r="A2580">
        <v>32579</v>
      </c>
      <c r="B2580">
        <v>237</v>
      </c>
      <c r="C2580" s="2">
        <v>44886</v>
      </c>
      <c r="D2580" s="2" t="str">
        <f>TEXT(Table5[[#This Row],[bill_date]],"mmmm")</f>
        <v>November</v>
      </c>
      <c r="E2580" s="9">
        <f>YEAR(Table5[[#This Row],[bill_date]])</f>
        <v>2022</v>
      </c>
      <c r="F2580">
        <v>567</v>
      </c>
      <c r="G2580" t="s">
        <v>29</v>
      </c>
    </row>
    <row r="2581" spans="1:7" x14ac:dyDescent="0.3">
      <c r="A2581">
        <v>32580</v>
      </c>
      <c r="B2581">
        <v>164</v>
      </c>
      <c r="C2581" s="2">
        <v>45227</v>
      </c>
      <c r="D2581" s="2" t="str">
        <f>TEXT(Table5[[#This Row],[bill_date]],"mmmm")</f>
        <v>October</v>
      </c>
      <c r="E2581" s="9">
        <f>YEAR(Table5[[#This Row],[bill_date]])</f>
        <v>2023</v>
      </c>
      <c r="F2581">
        <v>925</v>
      </c>
      <c r="G2581" t="s">
        <v>30</v>
      </c>
    </row>
    <row r="2582" spans="1:7" x14ac:dyDescent="0.3">
      <c r="A2582">
        <v>32581</v>
      </c>
      <c r="B2582">
        <v>90</v>
      </c>
      <c r="C2582" s="2">
        <v>44743</v>
      </c>
      <c r="D2582" s="2" t="str">
        <f>TEXT(Table5[[#This Row],[bill_date]],"mmmm")</f>
        <v>July</v>
      </c>
      <c r="E2582" s="9">
        <f>YEAR(Table5[[#This Row],[bill_date]])</f>
        <v>2022</v>
      </c>
      <c r="F2582">
        <v>340</v>
      </c>
      <c r="G2582" t="s">
        <v>30</v>
      </c>
    </row>
    <row r="2583" spans="1:7" x14ac:dyDescent="0.3">
      <c r="A2583">
        <v>32582</v>
      </c>
      <c r="B2583">
        <v>108</v>
      </c>
      <c r="C2583" s="2">
        <v>45032</v>
      </c>
      <c r="D2583" s="2" t="str">
        <f>TEXT(Table5[[#This Row],[bill_date]],"mmmm")</f>
        <v>April</v>
      </c>
      <c r="E2583" s="9">
        <f>YEAR(Table5[[#This Row],[bill_date]])</f>
        <v>2023</v>
      </c>
      <c r="F2583">
        <v>212</v>
      </c>
      <c r="G2583" t="s">
        <v>30</v>
      </c>
    </row>
    <row r="2584" spans="1:7" x14ac:dyDescent="0.3">
      <c r="A2584">
        <v>32583</v>
      </c>
      <c r="B2584">
        <v>84</v>
      </c>
      <c r="C2584" s="2">
        <v>45373</v>
      </c>
      <c r="D2584" s="2" t="str">
        <f>TEXT(Table5[[#This Row],[bill_date]],"mmmm")</f>
        <v>March</v>
      </c>
      <c r="E2584" s="9">
        <f>YEAR(Table5[[#This Row],[bill_date]])</f>
        <v>2024</v>
      </c>
      <c r="F2584">
        <v>1690</v>
      </c>
      <c r="G2584" t="s">
        <v>30</v>
      </c>
    </row>
    <row r="2585" spans="1:7" x14ac:dyDescent="0.3">
      <c r="A2585">
        <v>32584</v>
      </c>
      <c r="B2585">
        <v>255</v>
      </c>
      <c r="C2585" s="2">
        <v>44978</v>
      </c>
      <c r="D2585" s="2" t="str">
        <f>TEXT(Table5[[#This Row],[bill_date]],"mmmm")</f>
        <v>February</v>
      </c>
      <c r="E2585" s="9">
        <f>YEAR(Table5[[#This Row],[bill_date]])</f>
        <v>2023</v>
      </c>
      <c r="F2585">
        <v>909</v>
      </c>
      <c r="G2585" t="s">
        <v>29</v>
      </c>
    </row>
    <row r="2586" spans="1:7" x14ac:dyDescent="0.3">
      <c r="A2586">
        <v>32585</v>
      </c>
      <c r="B2586">
        <v>418</v>
      </c>
      <c r="C2586" s="2">
        <v>45227</v>
      </c>
      <c r="D2586" s="2" t="str">
        <f>TEXT(Table5[[#This Row],[bill_date]],"mmmm")</f>
        <v>October</v>
      </c>
      <c r="E2586" s="9">
        <f>YEAR(Table5[[#This Row],[bill_date]])</f>
        <v>2023</v>
      </c>
      <c r="F2586">
        <v>729</v>
      </c>
      <c r="G2586" t="s">
        <v>28</v>
      </c>
    </row>
    <row r="2587" spans="1:7" x14ac:dyDescent="0.3">
      <c r="A2587">
        <v>32586</v>
      </c>
      <c r="B2587">
        <v>165</v>
      </c>
      <c r="C2587" s="2">
        <v>45450</v>
      </c>
      <c r="D2587" s="2" t="str">
        <f>TEXT(Table5[[#This Row],[bill_date]],"mmmm")</f>
        <v>June</v>
      </c>
      <c r="E2587" s="9">
        <f>YEAR(Table5[[#This Row],[bill_date]])</f>
        <v>2024</v>
      </c>
      <c r="F2587">
        <v>1632</v>
      </c>
      <c r="G2587" t="s">
        <v>30</v>
      </c>
    </row>
    <row r="2588" spans="1:7" x14ac:dyDescent="0.3">
      <c r="A2588">
        <v>32587</v>
      </c>
      <c r="B2588">
        <v>200</v>
      </c>
      <c r="C2588" s="2">
        <v>44711</v>
      </c>
      <c r="D2588" s="2" t="str">
        <f>TEXT(Table5[[#This Row],[bill_date]],"mmmm")</f>
        <v>May</v>
      </c>
      <c r="E2588" s="9">
        <f>YEAR(Table5[[#This Row],[bill_date]])</f>
        <v>2022</v>
      </c>
      <c r="F2588">
        <v>1025</v>
      </c>
      <c r="G2588" t="s">
        <v>30</v>
      </c>
    </row>
    <row r="2589" spans="1:7" x14ac:dyDescent="0.3">
      <c r="A2589">
        <v>32588</v>
      </c>
      <c r="B2589">
        <v>324</v>
      </c>
      <c r="C2589" s="2">
        <v>44965</v>
      </c>
      <c r="D2589" s="2" t="str">
        <f>TEXT(Table5[[#This Row],[bill_date]],"mmmm")</f>
        <v>February</v>
      </c>
      <c r="E2589" s="9">
        <f>YEAR(Table5[[#This Row],[bill_date]])</f>
        <v>2023</v>
      </c>
      <c r="F2589">
        <v>1372</v>
      </c>
      <c r="G2589" t="s">
        <v>30</v>
      </c>
    </row>
    <row r="2590" spans="1:7" x14ac:dyDescent="0.3">
      <c r="A2590">
        <v>32589</v>
      </c>
      <c r="B2590">
        <v>315</v>
      </c>
      <c r="C2590" s="2">
        <v>45075</v>
      </c>
      <c r="D2590" s="2" t="str">
        <f>TEXT(Table5[[#This Row],[bill_date]],"mmmm")</f>
        <v>May</v>
      </c>
      <c r="E2590" s="9">
        <f>YEAR(Table5[[#This Row],[bill_date]])</f>
        <v>2023</v>
      </c>
      <c r="F2590">
        <v>1996</v>
      </c>
      <c r="G2590" t="s">
        <v>29</v>
      </c>
    </row>
    <row r="2591" spans="1:7" x14ac:dyDescent="0.3">
      <c r="A2591">
        <v>32590</v>
      </c>
      <c r="B2591">
        <v>157</v>
      </c>
      <c r="C2591" s="2">
        <v>45370</v>
      </c>
      <c r="D2591" s="2" t="str">
        <f>TEXT(Table5[[#This Row],[bill_date]],"mmmm")</f>
        <v>March</v>
      </c>
      <c r="E2591" s="9">
        <f>YEAR(Table5[[#This Row],[bill_date]])</f>
        <v>2024</v>
      </c>
      <c r="F2591">
        <v>1029</v>
      </c>
      <c r="G2591" t="s">
        <v>30</v>
      </c>
    </row>
    <row r="2592" spans="1:7" x14ac:dyDescent="0.3">
      <c r="A2592">
        <v>32591</v>
      </c>
      <c r="B2592">
        <v>31</v>
      </c>
      <c r="C2592" s="2">
        <v>45127</v>
      </c>
      <c r="D2592" s="2" t="str">
        <f>TEXT(Table5[[#This Row],[bill_date]],"mmmm")</f>
        <v>July</v>
      </c>
      <c r="E2592" s="9">
        <f>YEAR(Table5[[#This Row],[bill_date]])</f>
        <v>2023</v>
      </c>
      <c r="F2592">
        <v>1555</v>
      </c>
      <c r="G2592" t="s">
        <v>30</v>
      </c>
    </row>
    <row r="2593" spans="1:7" x14ac:dyDescent="0.3">
      <c r="A2593">
        <v>32592</v>
      </c>
      <c r="B2593">
        <v>66</v>
      </c>
      <c r="C2593" s="2">
        <v>45002</v>
      </c>
      <c r="D2593" s="2" t="str">
        <f>TEXT(Table5[[#This Row],[bill_date]],"mmmm")</f>
        <v>March</v>
      </c>
      <c r="E2593" s="9">
        <f>YEAR(Table5[[#This Row],[bill_date]])</f>
        <v>2023</v>
      </c>
      <c r="F2593">
        <v>1296</v>
      </c>
      <c r="G2593" t="s">
        <v>30</v>
      </c>
    </row>
    <row r="2594" spans="1:7" x14ac:dyDescent="0.3">
      <c r="A2594">
        <v>32593</v>
      </c>
      <c r="B2594">
        <v>89</v>
      </c>
      <c r="C2594" s="2">
        <v>44807</v>
      </c>
      <c r="D2594" s="2" t="str">
        <f>TEXT(Table5[[#This Row],[bill_date]],"mmmm")</f>
        <v>September</v>
      </c>
      <c r="E2594" s="9">
        <f>YEAR(Table5[[#This Row],[bill_date]])</f>
        <v>2022</v>
      </c>
      <c r="F2594">
        <v>636</v>
      </c>
      <c r="G2594" t="s">
        <v>30</v>
      </c>
    </row>
    <row r="2595" spans="1:7" x14ac:dyDescent="0.3">
      <c r="A2595">
        <v>32594</v>
      </c>
      <c r="B2595">
        <v>486</v>
      </c>
      <c r="C2595" s="2">
        <v>44607</v>
      </c>
      <c r="D2595" s="2" t="str">
        <f>TEXT(Table5[[#This Row],[bill_date]],"mmmm")</f>
        <v>February</v>
      </c>
      <c r="E2595" s="9">
        <f>YEAR(Table5[[#This Row],[bill_date]])</f>
        <v>2022</v>
      </c>
      <c r="F2595">
        <v>581</v>
      </c>
      <c r="G2595" t="s">
        <v>30</v>
      </c>
    </row>
    <row r="2596" spans="1:7" x14ac:dyDescent="0.3">
      <c r="A2596">
        <v>32595</v>
      </c>
      <c r="B2596">
        <v>259</v>
      </c>
      <c r="C2596" s="2">
        <v>44636</v>
      </c>
      <c r="D2596" s="2" t="str">
        <f>TEXT(Table5[[#This Row],[bill_date]],"mmmm")</f>
        <v>March</v>
      </c>
      <c r="E2596" s="9">
        <f>YEAR(Table5[[#This Row],[bill_date]])</f>
        <v>2022</v>
      </c>
      <c r="F2596">
        <v>1113</v>
      </c>
      <c r="G2596" t="s">
        <v>30</v>
      </c>
    </row>
    <row r="2597" spans="1:7" x14ac:dyDescent="0.3">
      <c r="A2597">
        <v>32596</v>
      </c>
      <c r="B2597">
        <v>253</v>
      </c>
      <c r="C2597" s="2">
        <v>44710</v>
      </c>
      <c r="D2597" s="2" t="str">
        <f>TEXT(Table5[[#This Row],[bill_date]],"mmmm")</f>
        <v>May</v>
      </c>
      <c r="E2597" s="9">
        <f>YEAR(Table5[[#This Row],[bill_date]])</f>
        <v>2022</v>
      </c>
      <c r="F2597">
        <v>1573</v>
      </c>
      <c r="G2597" t="s">
        <v>28</v>
      </c>
    </row>
    <row r="2598" spans="1:7" x14ac:dyDescent="0.3">
      <c r="A2598">
        <v>32597</v>
      </c>
      <c r="B2598">
        <v>494</v>
      </c>
      <c r="C2598" s="2">
        <v>44967</v>
      </c>
      <c r="D2598" s="2" t="str">
        <f>TEXT(Table5[[#This Row],[bill_date]],"mmmm")</f>
        <v>February</v>
      </c>
      <c r="E2598" s="9">
        <f>YEAR(Table5[[#This Row],[bill_date]])</f>
        <v>2023</v>
      </c>
      <c r="F2598">
        <v>1488</v>
      </c>
      <c r="G2598" t="s">
        <v>29</v>
      </c>
    </row>
    <row r="2599" spans="1:7" x14ac:dyDescent="0.3">
      <c r="A2599">
        <v>32598</v>
      </c>
      <c r="B2599">
        <v>234</v>
      </c>
      <c r="C2599" s="2">
        <v>44564</v>
      </c>
      <c r="D2599" s="2" t="str">
        <f>TEXT(Table5[[#This Row],[bill_date]],"mmmm")</f>
        <v>January</v>
      </c>
      <c r="E2599" s="9">
        <f>YEAR(Table5[[#This Row],[bill_date]])</f>
        <v>2022</v>
      </c>
      <c r="F2599">
        <v>1003</v>
      </c>
      <c r="G2599" t="s">
        <v>30</v>
      </c>
    </row>
    <row r="2600" spans="1:7" x14ac:dyDescent="0.3">
      <c r="A2600">
        <v>32599</v>
      </c>
      <c r="B2600">
        <v>107</v>
      </c>
      <c r="C2600" s="2">
        <v>44570</v>
      </c>
      <c r="D2600" s="2" t="str">
        <f>TEXT(Table5[[#This Row],[bill_date]],"mmmm")</f>
        <v>January</v>
      </c>
      <c r="E2600" s="9">
        <f>YEAR(Table5[[#This Row],[bill_date]])</f>
        <v>2022</v>
      </c>
      <c r="F2600">
        <v>1171</v>
      </c>
      <c r="G2600" t="s">
        <v>28</v>
      </c>
    </row>
    <row r="2601" spans="1:7" x14ac:dyDescent="0.3">
      <c r="A2601">
        <v>32600</v>
      </c>
      <c r="B2601">
        <v>69</v>
      </c>
      <c r="C2601" s="2">
        <v>45075</v>
      </c>
      <c r="D2601" s="2" t="str">
        <f>TEXT(Table5[[#This Row],[bill_date]],"mmmm")</f>
        <v>May</v>
      </c>
      <c r="E2601" s="9">
        <f>YEAR(Table5[[#This Row],[bill_date]])</f>
        <v>2023</v>
      </c>
      <c r="F2601">
        <v>1879</v>
      </c>
      <c r="G2601" t="s">
        <v>30</v>
      </c>
    </row>
    <row r="2602" spans="1:7" x14ac:dyDescent="0.3">
      <c r="A2602">
        <v>32601</v>
      </c>
      <c r="B2602">
        <v>278</v>
      </c>
      <c r="C2602" s="2">
        <v>44799</v>
      </c>
      <c r="D2602" s="2" t="str">
        <f>TEXT(Table5[[#This Row],[bill_date]],"mmmm")</f>
        <v>August</v>
      </c>
      <c r="E2602" s="9">
        <f>YEAR(Table5[[#This Row],[bill_date]])</f>
        <v>2022</v>
      </c>
      <c r="F2602">
        <v>1149</v>
      </c>
      <c r="G2602" t="s">
        <v>30</v>
      </c>
    </row>
    <row r="2603" spans="1:7" x14ac:dyDescent="0.3">
      <c r="A2603">
        <v>32602</v>
      </c>
      <c r="B2603">
        <v>336</v>
      </c>
      <c r="C2603" s="2">
        <v>45101</v>
      </c>
      <c r="D2603" s="2" t="str">
        <f>TEXT(Table5[[#This Row],[bill_date]],"mmmm")</f>
        <v>June</v>
      </c>
      <c r="E2603" s="9">
        <f>YEAR(Table5[[#This Row],[bill_date]])</f>
        <v>2023</v>
      </c>
      <c r="F2603">
        <v>1867</v>
      </c>
      <c r="G2603" t="s">
        <v>30</v>
      </c>
    </row>
    <row r="2604" spans="1:7" x14ac:dyDescent="0.3">
      <c r="A2604">
        <v>32603</v>
      </c>
      <c r="B2604">
        <v>201</v>
      </c>
      <c r="C2604" s="2">
        <v>44851</v>
      </c>
      <c r="D2604" s="2" t="str">
        <f>TEXT(Table5[[#This Row],[bill_date]],"mmmm")</f>
        <v>October</v>
      </c>
      <c r="E2604" s="9">
        <f>YEAR(Table5[[#This Row],[bill_date]])</f>
        <v>2022</v>
      </c>
      <c r="F2604">
        <v>603</v>
      </c>
      <c r="G2604" t="s">
        <v>30</v>
      </c>
    </row>
    <row r="2605" spans="1:7" x14ac:dyDescent="0.3">
      <c r="A2605">
        <v>32604</v>
      </c>
      <c r="B2605">
        <v>53</v>
      </c>
      <c r="C2605" s="2">
        <v>44742</v>
      </c>
      <c r="D2605" s="2" t="str">
        <f>TEXT(Table5[[#This Row],[bill_date]],"mmmm")</f>
        <v>June</v>
      </c>
      <c r="E2605" s="9">
        <f>YEAR(Table5[[#This Row],[bill_date]])</f>
        <v>2022</v>
      </c>
      <c r="F2605">
        <v>1219</v>
      </c>
      <c r="G2605" t="s">
        <v>28</v>
      </c>
    </row>
    <row r="2606" spans="1:7" x14ac:dyDescent="0.3">
      <c r="A2606">
        <v>32605</v>
      </c>
      <c r="B2606">
        <v>432</v>
      </c>
      <c r="C2606" s="2">
        <v>44876</v>
      </c>
      <c r="D2606" s="2" t="str">
        <f>TEXT(Table5[[#This Row],[bill_date]],"mmmm")</f>
        <v>November</v>
      </c>
      <c r="E2606" s="9">
        <f>YEAR(Table5[[#This Row],[bill_date]])</f>
        <v>2022</v>
      </c>
      <c r="F2606">
        <v>1084</v>
      </c>
      <c r="G2606" t="s">
        <v>30</v>
      </c>
    </row>
    <row r="2607" spans="1:7" x14ac:dyDescent="0.3">
      <c r="A2607">
        <v>32606</v>
      </c>
      <c r="B2607">
        <v>457</v>
      </c>
      <c r="C2607" s="2">
        <v>44827</v>
      </c>
      <c r="D2607" s="2" t="str">
        <f>TEXT(Table5[[#This Row],[bill_date]],"mmmm")</f>
        <v>September</v>
      </c>
      <c r="E2607" s="9">
        <f>YEAR(Table5[[#This Row],[bill_date]])</f>
        <v>2022</v>
      </c>
      <c r="F2607">
        <v>1645</v>
      </c>
      <c r="G2607" t="s">
        <v>28</v>
      </c>
    </row>
    <row r="2608" spans="1:7" x14ac:dyDescent="0.3">
      <c r="A2608">
        <v>32607</v>
      </c>
      <c r="B2608">
        <v>241</v>
      </c>
      <c r="C2608" s="2">
        <v>44644</v>
      </c>
      <c r="D2608" s="2" t="str">
        <f>TEXT(Table5[[#This Row],[bill_date]],"mmmm")</f>
        <v>March</v>
      </c>
      <c r="E2608" s="9">
        <f>YEAR(Table5[[#This Row],[bill_date]])</f>
        <v>2022</v>
      </c>
      <c r="F2608">
        <v>1882</v>
      </c>
      <c r="G2608" t="s">
        <v>30</v>
      </c>
    </row>
    <row r="2609" spans="1:7" x14ac:dyDescent="0.3">
      <c r="A2609">
        <v>32608</v>
      </c>
      <c r="B2609">
        <v>332</v>
      </c>
      <c r="C2609" s="2">
        <v>45422</v>
      </c>
      <c r="D2609" s="2" t="str">
        <f>TEXT(Table5[[#This Row],[bill_date]],"mmmm")</f>
        <v>May</v>
      </c>
      <c r="E2609" s="9">
        <f>YEAR(Table5[[#This Row],[bill_date]])</f>
        <v>2024</v>
      </c>
      <c r="F2609">
        <v>1165</v>
      </c>
      <c r="G2609" t="s">
        <v>30</v>
      </c>
    </row>
    <row r="2610" spans="1:7" x14ac:dyDescent="0.3">
      <c r="A2610">
        <v>32609</v>
      </c>
      <c r="B2610">
        <v>175</v>
      </c>
      <c r="C2610" s="2">
        <v>45326</v>
      </c>
      <c r="D2610" s="2" t="str">
        <f>TEXT(Table5[[#This Row],[bill_date]],"mmmm")</f>
        <v>February</v>
      </c>
      <c r="E2610" s="9">
        <f>YEAR(Table5[[#This Row],[bill_date]])</f>
        <v>2024</v>
      </c>
      <c r="F2610">
        <v>277</v>
      </c>
      <c r="G2610" t="s">
        <v>30</v>
      </c>
    </row>
    <row r="2611" spans="1:7" x14ac:dyDescent="0.3">
      <c r="A2611">
        <v>32610</v>
      </c>
      <c r="B2611">
        <v>42</v>
      </c>
      <c r="C2611" s="2">
        <v>44819</v>
      </c>
      <c r="D2611" s="2" t="str">
        <f>TEXT(Table5[[#This Row],[bill_date]],"mmmm")</f>
        <v>September</v>
      </c>
      <c r="E2611" s="9">
        <f>YEAR(Table5[[#This Row],[bill_date]])</f>
        <v>2022</v>
      </c>
      <c r="F2611">
        <v>507</v>
      </c>
      <c r="G2611" t="s">
        <v>28</v>
      </c>
    </row>
    <row r="2612" spans="1:7" x14ac:dyDescent="0.3">
      <c r="A2612">
        <v>32611</v>
      </c>
      <c r="B2612">
        <v>260</v>
      </c>
      <c r="C2612" s="2">
        <v>45121</v>
      </c>
      <c r="D2612" s="2" t="str">
        <f>TEXT(Table5[[#This Row],[bill_date]],"mmmm")</f>
        <v>July</v>
      </c>
      <c r="E2612" s="9">
        <f>YEAR(Table5[[#This Row],[bill_date]])</f>
        <v>2023</v>
      </c>
      <c r="F2612">
        <v>925</v>
      </c>
      <c r="G2612" t="s">
        <v>30</v>
      </c>
    </row>
    <row r="2613" spans="1:7" x14ac:dyDescent="0.3">
      <c r="A2613">
        <v>32612</v>
      </c>
      <c r="B2613">
        <v>369</v>
      </c>
      <c r="C2613" s="2">
        <v>45207</v>
      </c>
      <c r="D2613" s="2" t="str">
        <f>TEXT(Table5[[#This Row],[bill_date]],"mmmm")</f>
        <v>October</v>
      </c>
      <c r="E2613" s="9">
        <f>YEAR(Table5[[#This Row],[bill_date]])</f>
        <v>2023</v>
      </c>
      <c r="F2613">
        <v>1255</v>
      </c>
      <c r="G2613" t="s">
        <v>30</v>
      </c>
    </row>
    <row r="2614" spans="1:7" x14ac:dyDescent="0.3">
      <c r="A2614">
        <v>32613</v>
      </c>
      <c r="B2614">
        <v>210</v>
      </c>
      <c r="C2614" s="2">
        <v>45373</v>
      </c>
      <c r="D2614" s="2" t="str">
        <f>TEXT(Table5[[#This Row],[bill_date]],"mmmm")</f>
        <v>March</v>
      </c>
      <c r="E2614" s="9">
        <f>YEAR(Table5[[#This Row],[bill_date]])</f>
        <v>2024</v>
      </c>
      <c r="F2614">
        <v>1088</v>
      </c>
      <c r="G2614" t="s">
        <v>28</v>
      </c>
    </row>
    <row r="2615" spans="1:7" x14ac:dyDescent="0.3">
      <c r="A2615">
        <v>32614</v>
      </c>
      <c r="B2615">
        <v>466</v>
      </c>
      <c r="C2615" s="2">
        <v>44760</v>
      </c>
      <c r="D2615" s="2" t="str">
        <f>TEXT(Table5[[#This Row],[bill_date]],"mmmm")</f>
        <v>July</v>
      </c>
      <c r="E2615" s="9">
        <f>YEAR(Table5[[#This Row],[bill_date]])</f>
        <v>2022</v>
      </c>
      <c r="F2615">
        <v>1650</v>
      </c>
      <c r="G2615" t="s">
        <v>30</v>
      </c>
    </row>
    <row r="2616" spans="1:7" x14ac:dyDescent="0.3">
      <c r="A2616">
        <v>32615</v>
      </c>
      <c r="B2616">
        <v>42</v>
      </c>
      <c r="C2616" s="2">
        <v>44853</v>
      </c>
      <c r="D2616" s="2" t="str">
        <f>TEXT(Table5[[#This Row],[bill_date]],"mmmm")</f>
        <v>October</v>
      </c>
      <c r="E2616" s="9">
        <f>YEAR(Table5[[#This Row],[bill_date]])</f>
        <v>2022</v>
      </c>
      <c r="F2616">
        <v>1928</v>
      </c>
      <c r="G2616" t="s">
        <v>30</v>
      </c>
    </row>
    <row r="2617" spans="1:7" x14ac:dyDescent="0.3">
      <c r="A2617">
        <v>32616</v>
      </c>
      <c r="B2617">
        <v>427</v>
      </c>
      <c r="C2617" s="2">
        <v>45209</v>
      </c>
      <c r="D2617" s="2" t="str">
        <f>TEXT(Table5[[#This Row],[bill_date]],"mmmm")</f>
        <v>October</v>
      </c>
      <c r="E2617" s="9">
        <f>YEAR(Table5[[#This Row],[bill_date]])</f>
        <v>2023</v>
      </c>
      <c r="F2617">
        <v>1912</v>
      </c>
      <c r="G2617" t="s">
        <v>30</v>
      </c>
    </row>
    <row r="2618" spans="1:7" x14ac:dyDescent="0.3">
      <c r="A2618">
        <v>32617</v>
      </c>
      <c r="B2618">
        <v>353</v>
      </c>
      <c r="C2618" s="2">
        <v>44644</v>
      </c>
      <c r="D2618" s="2" t="str">
        <f>TEXT(Table5[[#This Row],[bill_date]],"mmmm")</f>
        <v>March</v>
      </c>
      <c r="E2618" s="9">
        <f>YEAR(Table5[[#This Row],[bill_date]])</f>
        <v>2022</v>
      </c>
      <c r="F2618">
        <v>1557</v>
      </c>
      <c r="G2618" t="s">
        <v>30</v>
      </c>
    </row>
    <row r="2619" spans="1:7" x14ac:dyDescent="0.3">
      <c r="A2619">
        <v>32618</v>
      </c>
      <c r="B2619">
        <v>170</v>
      </c>
      <c r="C2619" s="2">
        <v>44827</v>
      </c>
      <c r="D2619" s="2" t="str">
        <f>TEXT(Table5[[#This Row],[bill_date]],"mmmm")</f>
        <v>September</v>
      </c>
      <c r="E2619" s="9">
        <f>YEAR(Table5[[#This Row],[bill_date]])</f>
        <v>2022</v>
      </c>
      <c r="F2619">
        <v>1677</v>
      </c>
      <c r="G2619" t="s">
        <v>29</v>
      </c>
    </row>
    <row r="2620" spans="1:7" x14ac:dyDescent="0.3">
      <c r="A2620">
        <v>32619</v>
      </c>
      <c r="B2620">
        <v>382</v>
      </c>
      <c r="C2620" s="2">
        <v>44978</v>
      </c>
      <c r="D2620" s="2" t="str">
        <f>TEXT(Table5[[#This Row],[bill_date]],"mmmm")</f>
        <v>February</v>
      </c>
      <c r="E2620" s="9">
        <f>YEAR(Table5[[#This Row],[bill_date]])</f>
        <v>2023</v>
      </c>
      <c r="F2620">
        <v>911</v>
      </c>
      <c r="G2620" t="s">
        <v>28</v>
      </c>
    </row>
    <row r="2621" spans="1:7" x14ac:dyDescent="0.3">
      <c r="A2621">
        <v>32620</v>
      </c>
      <c r="B2621">
        <v>259</v>
      </c>
      <c r="C2621" s="2">
        <v>45431</v>
      </c>
      <c r="D2621" s="2" t="str">
        <f>TEXT(Table5[[#This Row],[bill_date]],"mmmm")</f>
        <v>May</v>
      </c>
      <c r="E2621" s="9">
        <f>YEAR(Table5[[#This Row],[bill_date]])</f>
        <v>2024</v>
      </c>
      <c r="F2621">
        <v>1149</v>
      </c>
      <c r="G2621" t="s">
        <v>30</v>
      </c>
    </row>
    <row r="2622" spans="1:7" x14ac:dyDescent="0.3">
      <c r="A2622">
        <v>32621</v>
      </c>
      <c r="B2622">
        <v>443</v>
      </c>
      <c r="C2622" s="2">
        <v>45292</v>
      </c>
      <c r="D2622" s="2" t="str">
        <f>TEXT(Table5[[#This Row],[bill_date]],"mmmm")</f>
        <v>January</v>
      </c>
      <c r="E2622" s="9">
        <f>YEAR(Table5[[#This Row],[bill_date]])</f>
        <v>2024</v>
      </c>
      <c r="F2622">
        <v>1634</v>
      </c>
      <c r="G2622" t="s">
        <v>30</v>
      </c>
    </row>
    <row r="2623" spans="1:7" x14ac:dyDescent="0.3">
      <c r="A2623">
        <v>32622</v>
      </c>
      <c r="B2623">
        <v>486</v>
      </c>
      <c r="C2623" s="2">
        <v>45422</v>
      </c>
      <c r="D2623" s="2" t="str">
        <f>TEXT(Table5[[#This Row],[bill_date]],"mmmm")</f>
        <v>May</v>
      </c>
      <c r="E2623" s="9">
        <f>YEAR(Table5[[#This Row],[bill_date]])</f>
        <v>2024</v>
      </c>
      <c r="F2623">
        <v>668</v>
      </c>
      <c r="G2623" t="s">
        <v>29</v>
      </c>
    </row>
    <row r="2624" spans="1:7" x14ac:dyDescent="0.3">
      <c r="A2624">
        <v>32623</v>
      </c>
      <c r="B2624">
        <v>337</v>
      </c>
      <c r="C2624" s="2">
        <v>44580</v>
      </c>
      <c r="D2624" s="2" t="str">
        <f>TEXT(Table5[[#This Row],[bill_date]],"mmmm")</f>
        <v>January</v>
      </c>
      <c r="E2624" s="9">
        <f>YEAR(Table5[[#This Row],[bill_date]])</f>
        <v>2022</v>
      </c>
      <c r="F2624">
        <v>1737</v>
      </c>
      <c r="G2624" t="s">
        <v>28</v>
      </c>
    </row>
    <row r="2625" spans="1:7" x14ac:dyDescent="0.3">
      <c r="A2625">
        <v>32624</v>
      </c>
      <c r="B2625">
        <v>204</v>
      </c>
      <c r="C2625" s="2">
        <v>45091</v>
      </c>
      <c r="D2625" s="2" t="str">
        <f>TEXT(Table5[[#This Row],[bill_date]],"mmmm")</f>
        <v>June</v>
      </c>
      <c r="E2625" s="9">
        <f>YEAR(Table5[[#This Row],[bill_date]])</f>
        <v>2023</v>
      </c>
      <c r="F2625">
        <v>763</v>
      </c>
      <c r="G2625" t="s">
        <v>30</v>
      </c>
    </row>
    <row r="2626" spans="1:7" x14ac:dyDescent="0.3">
      <c r="A2626">
        <v>32625</v>
      </c>
      <c r="B2626">
        <v>395</v>
      </c>
      <c r="C2626" s="2">
        <v>44932</v>
      </c>
      <c r="D2626" s="2" t="str">
        <f>TEXT(Table5[[#This Row],[bill_date]],"mmmm")</f>
        <v>January</v>
      </c>
      <c r="E2626" s="9">
        <f>YEAR(Table5[[#This Row],[bill_date]])</f>
        <v>2023</v>
      </c>
      <c r="F2626">
        <v>1136</v>
      </c>
      <c r="G2626" t="s">
        <v>30</v>
      </c>
    </row>
    <row r="2627" spans="1:7" x14ac:dyDescent="0.3">
      <c r="A2627">
        <v>32626</v>
      </c>
      <c r="B2627">
        <v>337</v>
      </c>
      <c r="C2627" s="2">
        <v>45252</v>
      </c>
      <c r="D2627" s="2" t="str">
        <f>TEXT(Table5[[#This Row],[bill_date]],"mmmm")</f>
        <v>November</v>
      </c>
      <c r="E2627" s="9">
        <f>YEAR(Table5[[#This Row],[bill_date]])</f>
        <v>2023</v>
      </c>
      <c r="F2627">
        <v>1992</v>
      </c>
      <c r="G2627" t="s">
        <v>28</v>
      </c>
    </row>
    <row r="2628" spans="1:7" x14ac:dyDescent="0.3">
      <c r="A2628">
        <v>32627</v>
      </c>
      <c r="B2628">
        <v>163</v>
      </c>
      <c r="C2628" s="2">
        <v>44584</v>
      </c>
      <c r="D2628" s="2" t="str">
        <f>TEXT(Table5[[#This Row],[bill_date]],"mmmm")</f>
        <v>January</v>
      </c>
      <c r="E2628" s="9">
        <f>YEAR(Table5[[#This Row],[bill_date]])</f>
        <v>2022</v>
      </c>
      <c r="F2628">
        <v>319</v>
      </c>
      <c r="G2628" t="s">
        <v>30</v>
      </c>
    </row>
    <row r="2629" spans="1:7" x14ac:dyDescent="0.3">
      <c r="A2629">
        <v>32628</v>
      </c>
      <c r="B2629">
        <v>105</v>
      </c>
      <c r="C2629" s="2">
        <v>44946</v>
      </c>
      <c r="D2629" s="2" t="str">
        <f>TEXT(Table5[[#This Row],[bill_date]],"mmmm")</f>
        <v>January</v>
      </c>
      <c r="E2629" s="9">
        <f>YEAR(Table5[[#This Row],[bill_date]])</f>
        <v>2023</v>
      </c>
      <c r="F2629">
        <v>348</v>
      </c>
      <c r="G2629" t="s">
        <v>29</v>
      </c>
    </row>
    <row r="2630" spans="1:7" x14ac:dyDescent="0.3">
      <c r="A2630">
        <v>32629</v>
      </c>
      <c r="B2630">
        <v>178</v>
      </c>
      <c r="C2630" s="2">
        <v>45388</v>
      </c>
      <c r="D2630" s="2" t="str">
        <f>TEXT(Table5[[#This Row],[bill_date]],"mmmm")</f>
        <v>April</v>
      </c>
      <c r="E2630" s="9">
        <f>YEAR(Table5[[#This Row],[bill_date]])</f>
        <v>2024</v>
      </c>
      <c r="F2630">
        <v>351</v>
      </c>
      <c r="G2630" t="s">
        <v>30</v>
      </c>
    </row>
    <row r="2631" spans="1:7" x14ac:dyDescent="0.3">
      <c r="A2631">
        <v>32630</v>
      </c>
      <c r="B2631">
        <v>191</v>
      </c>
      <c r="C2631" s="2">
        <v>45317</v>
      </c>
      <c r="D2631" s="2" t="str">
        <f>TEXT(Table5[[#This Row],[bill_date]],"mmmm")</f>
        <v>January</v>
      </c>
      <c r="E2631" s="9">
        <f>YEAR(Table5[[#This Row],[bill_date]])</f>
        <v>2024</v>
      </c>
      <c r="F2631">
        <v>1951</v>
      </c>
      <c r="G2631" t="s">
        <v>30</v>
      </c>
    </row>
    <row r="2632" spans="1:7" x14ac:dyDescent="0.3">
      <c r="A2632">
        <v>32631</v>
      </c>
      <c r="B2632">
        <v>124</v>
      </c>
      <c r="C2632" s="2">
        <v>45180</v>
      </c>
      <c r="D2632" s="2" t="str">
        <f>TEXT(Table5[[#This Row],[bill_date]],"mmmm")</f>
        <v>September</v>
      </c>
      <c r="E2632" s="9">
        <f>YEAR(Table5[[#This Row],[bill_date]])</f>
        <v>2023</v>
      </c>
      <c r="F2632">
        <v>1202</v>
      </c>
      <c r="G2632" t="s">
        <v>30</v>
      </c>
    </row>
    <row r="2633" spans="1:7" x14ac:dyDescent="0.3">
      <c r="A2633">
        <v>32632</v>
      </c>
      <c r="B2633">
        <v>198</v>
      </c>
      <c r="C2633" s="2">
        <v>45204</v>
      </c>
      <c r="D2633" s="2" t="str">
        <f>TEXT(Table5[[#This Row],[bill_date]],"mmmm")</f>
        <v>October</v>
      </c>
      <c r="E2633" s="9">
        <f>YEAR(Table5[[#This Row],[bill_date]])</f>
        <v>2023</v>
      </c>
      <c r="F2633">
        <v>1869</v>
      </c>
      <c r="G2633" t="s">
        <v>30</v>
      </c>
    </row>
    <row r="2634" spans="1:7" x14ac:dyDescent="0.3">
      <c r="A2634">
        <v>32633</v>
      </c>
      <c r="B2634">
        <v>99</v>
      </c>
      <c r="C2634" s="2">
        <v>45083</v>
      </c>
      <c r="D2634" s="2" t="str">
        <f>TEXT(Table5[[#This Row],[bill_date]],"mmmm")</f>
        <v>June</v>
      </c>
      <c r="E2634" s="9">
        <f>YEAR(Table5[[#This Row],[bill_date]])</f>
        <v>2023</v>
      </c>
      <c r="F2634">
        <v>1478</v>
      </c>
      <c r="G2634" t="s">
        <v>30</v>
      </c>
    </row>
    <row r="2635" spans="1:7" x14ac:dyDescent="0.3">
      <c r="A2635">
        <v>32634</v>
      </c>
      <c r="B2635">
        <v>6</v>
      </c>
      <c r="C2635" s="2">
        <v>44940</v>
      </c>
      <c r="D2635" s="2" t="str">
        <f>TEXT(Table5[[#This Row],[bill_date]],"mmmm")</f>
        <v>January</v>
      </c>
      <c r="E2635" s="9">
        <f>YEAR(Table5[[#This Row],[bill_date]])</f>
        <v>2023</v>
      </c>
      <c r="F2635">
        <v>772</v>
      </c>
      <c r="G2635" t="s">
        <v>30</v>
      </c>
    </row>
    <row r="2636" spans="1:7" x14ac:dyDescent="0.3">
      <c r="A2636">
        <v>32635</v>
      </c>
      <c r="B2636">
        <v>288</v>
      </c>
      <c r="C2636" s="2">
        <v>45272</v>
      </c>
      <c r="D2636" s="2" t="str">
        <f>TEXT(Table5[[#This Row],[bill_date]],"mmmm")</f>
        <v>December</v>
      </c>
      <c r="E2636" s="9">
        <f>YEAR(Table5[[#This Row],[bill_date]])</f>
        <v>2023</v>
      </c>
      <c r="F2636">
        <v>1285</v>
      </c>
      <c r="G2636" t="s">
        <v>30</v>
      </c>
    </row>
    <row r="2637" spans="1:7" x14ac:dyDescent="0.3">
      <c r="A2637">
        <v>32636</v>
      </c>
      <c r="B2637">
        <v>267</v>
      </c>
      <c r="C2637" s="2">
        <v>45378</v>
      </c>
      <c r="D2637" s="2" t="str">
        <f>TEXT(Table5[[#This Row],[bill_date]],"mmmm")</f>
        <v>March</v>
      </c>
      <c r="E2637" s="9">
        <f>YEAR(Table5[[#This Row],[bill_date]])</f>
        <v>2024</v>
      </c>
      <c r="F2637">
        <v>1515</v>
      </c>
      <c r="G2637" t="s">
        <v>30</v>
      </c>
    </row>
    <row r="2638" spans="1:7" x14ac:dyDescent="0.3">
      <c r="A2638">
        <v>32637</v>
      </c>
      <c r="B2638">
        <v>43</v>
      </c>
      <c r="C2638" s="2">
        <v>45385</v>
      </c>
      <c r="D2638" s="2" t="str">
        <f>TEXT(Table5[[#This Row],[bill_date]],"mmmm")</f>
        <v>April</v>
      </c>
      <c r="E2638" s="9">
        <f>YEAR(Table5[[#This Row],[bill_date]])</f>
        <v>2024</v>
      </c>
      <c r="F2638">
        <v>266</v>
      </c>
      <c r="G2638" t="s">
        <v>30</v>
      </c>
    </row>
    <row r="2639" spans="1:7" x14ac:dyDescent="0.3">
      <c r="A2639">
        <v>32638</v>
      </c>
      <c r="B2639">
        <v>295</v>
      </c>
      <c r="C2639" s="2">
        <v>44651</v>
      </c>
      <c r="D2639" s="2" t="str">
        <f>TEXT(Table5[[#This Row],[bill_date]],"mmmm")</f>
        <v>March</v>
      </c>
      <c r="E2639" s="9">
        <f>YEAR(Table5[[#This Row],[bill_date]])</f>
        <v>2022</v>
      </c>
      <c r="F2639">
        <v>423</v>
      </c>
      <c r="G2639" t="s">
        <v>28</v>
      </c>
    </row>
    <row r="2640" spans="1:7" x14ac:dyDescent="0.3">
      <c r="A2640">
        <v>32639</v>
      </c>
      <c r="B2640">
        <v>141</v>
      </c>
      <c r="C2640" s="2">
        <v>44705</v>
      </c>
      <c r="D2640" s="2" t="str">
        <f>TEXT(Table5[[#This Row],[bill_date]],"mmmm")</f>
        <v>May</v>
      </c>
      <c r="E2640" s="9">
        <f>YEAR(Table5[[#This Row],[bill_date]])</f>
        <v>2022</v>
      </c>
      <c r="F2640">
        <v>1045</v>
      </c>
      <c r="G2640" t="s">
        <v>29</v>
      </c>
    </row>
    <row r="2641" spans="1:7" x14ac:dyDescent="0.3">
      <c r="A2641">
        <v>32640</v>
      </c>
      <c r="B2641">
        <v>269</v>
      </c>
      <c r="C2641" s="2">
        <v>45368</v>
      </c>
      <c r="D2641" s="2" t="str">
        <f>TEXT(Table5[[#This Row],[bill_date]],"mmmm")</f>
        <v>March</v>
      </c>
      <c r="E2641" s="9">
        <f>YEAR(Table5[[#This Row],[bill_date]])</f>
        <v>2024</v>
      </c>
      <c r="F2641">
        <v>1871</v>
      </c>
      <c r="G2641" t="s">
        <v>30</v>
      </c>
    </row>
    <row r="2642" spans="1:7" x14ac:dyDescent="0.3">
      <c r="A2642">
        <v>32641</v>
      </c>
      <c r="B2642">
        <v>39</v>
      </c>
      <c r="C2642" s="2">
        <v>45182</v>
      </c>
      <c r="D2642" s="2" t="str">
        <f>TEXT(Table5[[#This Row],[bill_date]],"mmmm")</f>
        <v>September</v>
      </c>
      <c r="E2642" s="9">
        <f>YEAR(Table5[[#This Row],[bill_date]])</f>
        <v>2023</v>
      </c>
      <c r="F2642">
        <v>1676</v>
      </c>
      <c r="G2642" t="s">
        <v>28</v>
      </c>
    </row>
    <row r="2643" spans="1:7" x14ac:dyDescent="0.3">
      <c r="A2643">
        <v>32642</v>
      </c>
      <c r="B2643">
        <v>430</v>
      </c>
      <c r="C2643" s="2">
        <v>45425</v>
      </c>
      <c r="D2643" s="2" t="str">
        <f>TEXT(Table5[[#This Row],[bill_date]],"mmmm")</f>
        <v>May</v>
      </c>
      <c r="E2643" s="9">
        <f>YEAR(Table5[[#This Row],[bill_date]])</f>
        <v>2024</v>
      </c>
      <c r="F2643">
        <v>756</v>
      </c>
      <c r="G2643" t="s">
        <v>28</v>
      </c>
    </row>
    <row r="2644" spans="1:7" x14ac:dyDescent="0.3">
      <c r="A2644">
        <v>32643</v>
      </c>
      <c r="B2644">
        <v>162</v>
      </c>
      <c r="C2644" s="2">
        <v>44765</v>
      </c>
      <c r="D2644" s="2" t="str">
        <f>TEXT(Table5[[#This Row],[bill_date]],"mmmm")</f>
        <v>July</v>
      </c>
      <c r="E2644" s="9">
        <f>YEAR(Table5[[#This Row],[bill_date]])</f>
        <v>2022</v>
      </c>
      <c r="F2644">
        <v>1829</v>
      </c>
      <c r="G2644" t="s">
        <v>30</v>
      </c>
    </row>
    <row r="2645" spans="1:7" x14ac:dyDescent="0.3">
      <c r="A2645">
        <v>32644</v>
      </c>
      <c r="B2645">
        <v>195</v>
      </c>
      <c r="C2645" s="2">
        <v>45117</v>
      </c>
      <c r="D2645" s="2" t="str">
        <f>TEXT(Table5[[#This Row],[bill_date]],"mmmm")</f>
        <v>July</v>
      </c>
      <c r="E2645" s="9">
        <f>YEAR(Table5[[#This Row],[bill_date]])</f>
        <v>2023</v>
      </c>
      <c r="F2645">
        <v>1512</v>
      </c>
      <c r="G2645" t="s">
        <v>30</v>
      </c>
    </row>
    <row r="2646" spans="1:7" x14ac:dyDescent="0.3">
      <c r="A2646">
        <v>32645</v>
      </c>
      <c r="B2646">
        <v>416</v>
      </c>
      <c r="C2646" s="2">
        <v>45081</v>
      </c>
      <c r="D2646" s="2" t="str">
        <f>TEXT(Table5[[#This Row],[bill_date]],"mmmm")</f>
        <v>June</v>
      </c>
      <c r="E2646" s="9">
        <f>YEAR(Table5[[#This Row],[bill_date]])</f>
        <v>2023</v>
      </c>
      <c r="F2646">
        <v>1074</v>
      </c>
      <c r="G2646" t="s">
        <v>30</v>
      </c>
    </row>
    <row r="2647" spans="1:7" x14ac:dyDescent="0.3">
      <c r="A2647">
        <v>32646</v>
      </c>
      <c r="B2647">
        <v>324</v>
      </c>
      <c r="C2647" s="2">
        <v>44953</v>
      </c>
      <c r="D2647" s="2" t="str">
        <f>TEXT(Table5[[#This Row],[bill_date]],"mmmm")</f>
        <v>January</v>
      </c>
      <c r="E2647" s="9">
        <f>YEAR(Table5[[#This Row],[bill_date]])</f>
        <v>2023</v>
      </c>
      <c r="F2647">
        <v>445</v>
      </c>
      <c r="G2647" t="s">
        <v>28</v>
      </c>
    </row>
    <row r="2648" spans="1:7" x14ac:dyDescent="0.3">
      <c r="A2648">
        <v>32647</v>
      </c>
      <c r="B2648">
        <v>104</v>
      </c>
      <c r="C2648" s="2">
        <v>44862</v>
      </c>
      <c r="D2648" s="2" t="str">
        <f>TEXT(Table5[[#This Row],[bill_date]],"mmmm")</f>
        <v>October</v>
      </c>
      <c r="E2648" s="9">
        <f>YEAR(Table5[[#This Row],[bill_date]])</f>
        <v>2022</v>
      </c>
      <c r="F2648">
        <v>1538</v>
      </c>
      <c r="G2648" t="s">
        <v>30</v>
      </c>
    </row>
    <row r="2649" spans="1:7" x14ac:dyDescent="0.3">
      <c r="A2649">
        <v>32648</v>
      </c>
      <c r="B2649">
        <v>245</v>
      </c>
      <c r="C2649" s="2">
        <v>45066</v>
      </c>
      <c r="D2649" s="2" t="str">
        <f>TEXT(Table5[[#This Row],[bill_date]],"mmmm")</f>
        <v>May</v>
      </c>
      <c r="E2649" s="9">
        <f>YEAR(Table5[[#This Row],[bill_date]])</f>
        <v>2023</v>
      </c>
      <c r="F2649">
        <v>1107</v>
      </c>
      <c r="G2649" t="s">
        <v>30</v>
      </c>
    </row>
    <row r="2650" spans="1:7" x14ac:dyDescent="0.3">
      <c r="A2650">
        <v>32649</v>
      </c>
      <c r="B2650">
        <v>65</v>
      </c>
      <c r="C2650" s="2">
        <v>45426</v>
      </c>
      <c r="D2650" s="2" t="str">
        <f>TEXT(Table5[[#This Row],[bill_date]],"mmmm")</f>
        <v>May</v>
      </c>
      <c r="E2650" s="9">
        <f>YEAR(Table5[[#This Row],[bill_date]])</f>
        <v>2024</v>
      </c>
      <c r="F2650">
        <v>490</v>
      </c>
      <c r="G2650" t="s">
        <v>30</v>
      </c>
    </row>
    <row r="2651" spans="1:7" x14ac:dyDescent="0.3">
      <c r="A2651">
        <v>32650</v>
      </c>
      <c r="B2651">
        <v>201</v>
      </c>
      <c r="C2651" s="2">
        <v>44714</v>
      </c>
      <c r="D2651" s="2" t="str">
        <f>TEXT(Table5[[#This Row],[bill_date]],"mmmm")</f>
        <v>June</v>
      </c>
      <c r="E2651" s="9">
        <f>YEAR(Table5[[#This Row],[bill_date]])</f>
        <v>2022</v>
      </c>
      <c r="F2651">
        <v>1702</v>
      </c>
      <c r="G2651" t="s">
        <v>30</v>
      </c>
    </row>
    <row r="2652" spans="1:7" x14ac:dyDescent="0.3">
      <c r="A2652">
        <v>32651</v>
      </c>
      <c r="B2652">
        <v>369</v>
      </c>
      <c r="C2652" s="2">
        <v>45090</v>
      </c>
      <c r="D2652" s="2" t="str">
        <f>TEXT(Table5[[#This Row],[bill_date]],"mmmm")</f>
        <v>June</v>
      </c>
      <c r="E2652" s="9">
        <f>YEAR(Table5[[#This Row],[bill_date]])</f>
        <v>2023</v>
      </c>
      <c r="F2652">
        <v>412</v>
      </c>
      <c r="G2652" t="s">
        <v>30</v>
      </c>
    </row>
    <row r="2653" spans="1:7" x14ac:dyDescent="0.3">
      <c r="A2653">
        <v>32652</v>
      </c>
      <c r="B2653">
        <v>242</v>
      </c>
      <c r="C2653" s="2">
        <v>44900</v>
      </c>
      <c r="D2653" s="2" t="str">
        <f>TEXT(Table5[[#This Row],[bill_date]],"mmmm")</f>
        <v>December</v>
      </c>
      <c r="E2653" s="9">
        <f>YEAR(Table5[[#This Row],[bill_date]])</f>
        <v>2022</v>
      </c>
      <c r="F2653">
        <v>966</v>
      </c>
      <c r="G2653" t="s">
        <v>30</v>
      </c>
    </row>
    <row r="2654" spans="1:7" x14ac:dyDescent="0.3">
      <c r="A2654">
        <v>32653</v>
      </c>
      <c r="B2654">
        <v>7</v>
      </c>
      <c r="C2654" s="2">
        <v>45310</v>
      </c>
      <c r="D2654" s="2" t="str">
        <f>TEXT(Table5[[#This Row],[bill_date]],"mmmm")</f>
        <v>January</v>
      </c>
      <c r="E2654" s="9">
        <f>YEAR(Table5[[#This Row],[bill_date]])</f>
        <v>2024</v>
      </c>
      <c r="F2654">
        <v>1782</v>
      </c>
      <c r="G2654" t="s">
        <v>30</v>
      </c>
    </row>
    <row r="2655" spans="1:7" x14ac:dyDescent="0.3">
      <c r="A2655">
        <v>32654</v>
      </c>
      <c r="B2655">
        <v>219</v>
      </c>
      <c r="C2655" s="2">
        <v>45073</v>
      </c>
      <c r="D2655" s="2" t="str">
        <f>TEXT(Table5[[#This Row],[bill_date]],"mmmm")</f>
        <v>May</v>
      </c>
      <c r="E2655" s="9">
        <f>YEAR(Table5[[#This Row],[bill_date]])</f>
        <v>2023</v>
      </c>
      <c r="F2655">
        <v>803</v>
      </c>
      <c r="G2655" t="s">
        <v>30</v>
      </c>
    </row>
    <row r="2656" spans="1:7" x14ac:dyDescent="0.3">
      <c r="A2656">
        <v>32655</v>
      </c>
      <c r="B2656">
        <v>3</v>
      </c>
      <c r="C2656" s="2">
        <v>44896</v>
      </c>
      <c r="D2656" s="2" t="str">
        <f>TEXT(Table5[[#This Row],[bill_date]],"mmmm")</f>
        <v>December</v>
      </c>
      <c r="E2656" s="9">
        <f>YEAR(Table5[[#This Row],[bill_date]])</f>
        <v>2022</v>
      </c>
      <c r="F2656">
        <v>1169</v>
      </c>
      <c r="G2656" t="s">
        <v>30</v>
      </c>
    </row>
    <row r="2657" spans="1:7" x14ac:dyDescent="0.3">
      <c r="A2657">
        <v>32656</v>
      </c>
      <c r="B2657">
        <v>342</v>
      </c>
      <c r="C2657" s="2">
        <v>45070</v>
      </c>
      <c r="D2657" s="2" t="str">
        <f>TEXT(Table5[[#This Row],[bill_date]],"mmmm")</f>
        <v>May</v>
      </c>
      <c r="E2657" s="9">
        <f>YEAR(Table5[[#This Row],[bill_date]])</f>
        <v>2023</v>
      </c>
      <c r="F2657">
        <v>1740</v>
      </c>
      <c r="G2657" t="s">
        <v>30</v>
      </c>
    </row>
    <row r="2658" spans="1:7" x14ac:dyDescent="0.3">
      <c r="A2658">
        <v>32657</v>
      </c>
      <c r="B2658">
        <v>464</v>
      </c>
      <c r="C2658" s="2">
        <v>44617</v>
      </c>
      <c r="D2658" s="2" t="str">
        <f>TEXT(Table5[[#This Row],[bill_date]],"mmmm")</f>
        <v>February</v>
      </c>
      <c r="E2658" s="9">
        <f>YEAR(Table5[[#This Row],[bill_date]])</f>
        <v>2022</v>
      </c>
      <c r="F2658">
        <v>1415</v>
      </c>
      <c r="G2658" t="s">
        <v>30</v>
      </c>
    </row>
    <row r="2659" spans="1:7" x14ac:dyDescent="0.3">
      <c r="A2659">
        <v>32658</v>
      </c>
      <c r="B2659">
        <v>456</v>
      </c>
      <c r="C2659" s="2">
        <v>45117</v>
      </c>
      <c r="D2659" s="2" t="str">
        <f>TEXT(Table5[[#This Row],[bill_date]],"mmmm")</f>
        <v>July</v>
      </c>
      <c r="E2659" s="9">
        <f>YEAR(Table5[[#This Row],[bill_date]])</f>
        <v>2023</v>
      </c>
      <c r="F2659">
        <v>1209</v>
      </c>
      <c r="G2659" t="s">
        <v>30</v>
      </c>
    </row>
    <row r="2660" spans="1:7" x14ac:dyDescent="0.3">
      <c r="A2660">
        <v>32659</v>
      </c>
      <c r="B2660">
        <v>453</v>
      </c>
      <c r="C2660" s="2">
        <v>45382</v>
      </c>
      <c r="D2660" s="2" t="str">
        <f>TEXT(Table5[[#This Row],[bill_date]],"mmmm")</f>
        <v>March</v>
      </c>
      <c r="E2660" s="9">
        <f>YEAR(Table5[[#This Row],[bill_date]])</f>
        <v>2024</v>
      </c>
      <c r="F2660">
        <v>1837</v>
      </c>
      <c r="G2660" t="s">
        <v>30</v>
      </c>
    </row>
    <row r="2661" spans="1:7" x14ac:dyDescent="0.3">
      <c r="A2661">
        <v>32660</v>
      </c>
      <c r="B2661">
        <v>305</v>
      </c>
      <c r="C2661" s="2">
        <v>45314</v>
      </c>
      <c r="D2661" s="2" t="str">
        <f>TEXT(Table5[[#This Row],[bill_date]],"mmmm")</f>
        <v>January</v>
      </c>
      <c r="E2661" s="9">
        <f>YEAR(Table5[[#This Row],[bill_date]])</f>
        <v>2024</v>
      </c>
      <c r="F2661">
        <v>1656</v>
      </c>
      <c r="G2661" t="s">
        <v>28</v>
      </c>
    </row>
    <row r="2662" spans="1:7" x14ac:dyDescent="0.3">
      <c r="A2662">
        <v>32661</v>
      </c>
      <c r="B2662">
        <v>314</v>
      </c>
      <c r="C2662" s="2">
        <v>45112</v>
      </c>
      <c r="D2662" s="2" t="str">
        <f>TEXT(Table5[[#This Row],[bill_date]],"mmmm")</f>
        <v>July</v>
      </c>
      <c r="E2662" s="9">
        <f>YEAR(Table5[[#This Row],[bill_date]])</f>
        <v>2023</v>
      </c>
      <c r="F2662">
        <v>272</v>
      </c>
      <c r="G2662" t="s">
        <v>28</v>
      </c>
    </row>
    <row r="2663" spans="1:7" x14ac:dyDescent="0.3">
      <c r="A2663">
        <v>32662</v>
      </c>
      <c r="B2663">
        <v>478</v>
      </c>
      <c r="C2663" s="2">
        <v>44691</v>
      </c>
      <c r="D2663" s="2" t="str">
        <f>TEXT(Table5[[#This Row],[bill_date]],"mmmm")</f>
        <v>May</v>
      </c>
      <c r="E2663" s="9">
        <f>YEAR(Table5[[#This Row],[bill_date]])</f>
        <v>2022</v>
      </c>
      <c r="F2663">
        <v>1296</v>
      </c>
      <c r="G2663" t="s">
        <v>30</v>
      </c>
    </row>
    <row r="2664" spans="1:7" x14ac:dyDescent="0.3">
      <c r="A2664">
        <v>32663</v>
      </c>
      <c r="B2664">
        <v>284</v>
      </c>
      <c r="C2664" s="2">
        <v>44659</v>
      </c>
      <c r="D2664" s="2" t="str">
        <f>TEXT(Table5[[#This Row],[bill_date]],"mmmm")</f>
        <v>April</v>
      </c>
      <c r="E2664" s="9">
        <f>YEAR(Table5[[#This Row],[bill_date]])</f>
        <v>2022</v>
      </c>
      <c r="F2664">
        <v>823</v>
      </c>
      <c r="G2664" t="s">
        <v>30</v>
      </c>
    </row>
    <row r="2665" spans="1:7" x14ac:dyDescent="0.3">
      <c r="A2665">
        <v>32664</v>
      </c>
      <c r="B2665">
        <v>371</v>
      </c>
      <c r="C2665" s="2">
        <v>45354</v>
      </c>
      <c r="D2665" s="2" t="str">
        <f>TEXT(Table5[[#This Row],[bill_date]],"mmmm")</f>
        <v>March</v>
      </c>
      <c r="E2665" s="9">
        <f>YEAR(Table5[[#This Row],[bill_date]])</f>
        <v>2024</v>
      </c>
      <c r="F2665">
        <v>862</v>
      </c>
      <c r="G2665" t="s">
        <v>30</v>
      </c>
    </row>
    <row r="2666" spans="1:7" x14ac:dyDescent="0.3">
      <c r="A2666">
        <v>32665</v>
      </c>
      <c r="B2666">
        <v>411</v>
      </c>
      <c r="C2666" s="2">
        <v>44983</v>
      </c>
      <c r="D2666" s="2" t="str">
        <f>TEXT(Table5[[#This Row],[bill_date]],"mmmm")</f>
        <v>February</v>
      </c>
      <c r="E2666" s="9">
        <f>YEAR(Table5[[#This Row],[bill_date]])</f>
        <v>2023</v>
      </c>
      <c r="F2666">
        <v>1485</v>
      </c>
      <c r="G2666" t="s">
        <v>30</v>
      </c>
    </row>
    <row r="2667" spans="1:7" x14ac:dyDescent="0.3">
      <c r="A2667">
        <v>32666</v>
      </c>
      <c r="B2667">
        <v>498</v>
      </c>
      <c r="C2667" s="2">
        <v>44641</v>
      </c>
      <c r="D2667" s="2" t="str">
        <f>TEXT(Table5[[#This Row],[bill_date]],"mmmm")</f>
        <v>March</v>
      </c>
      <c r="E2667" s="9">
        <f>YEAR(Table5[[#This Row],[bill_date]])</f>
        <v>2022</v>
      </c>
      <c r="F2667">
        <v>1308</v>
      </c>
      <c r="G2667" t="s">
        <v>28</v>
      </c>
    </row>
    <row r="2668" spans="1:7" x14ac:dyDescent="0.3">
      <c r="A2668">
        <v>32667</v>
      </c>
      <c r="B2668">
        <v>22</v>
      </c>
      <c r="C2668" s="2">
        <v>44849</v>
      </c>
      <c r="D2668" s="2" t="str">
        <f>TEXT(Table5[[#This Row],[bill_date]],"mmmm")</f>
        <v>October</v>
      </c>
      <c r="E2668" s="9">
        <f>YEAR(Table5[[#This Row],[bill_date]])</f>
        <v>2022</v>
      </c>
      <c r="F2668">
        <v>256</v>
      </c>
      <c r="G2668" t="s">
        <v>30</v>
      </c>
    </row>
    <row r="2669" spans="1:7" x14ac:dyDescent="0.3">
      <c r="A2669">
        <v>32668</v>
      </c>
      <c r="B2669">
        <v>94</v>
      </c>
      <c r="C2669" s="2">
        <v>45408</v>
      </c>
      <c r="D2669" s="2" t="str">
        <f>TEXT(Table5[[#This Row],[bill_date]],"mmmm")</f>
        <v>April</v>
      </c>
      <c r="E2669" s="9">
        <f>YEAR(Table5[[#This Row],[bill_date]])</f>
        <v>2024</v>
      </c>
      <c r="F2669">
        <v>1883</v>
      </c>
      <c r="G2669" t="s">
        <v>30</v>
      </c>
    </row>
    <row r="2670" spans="1:7" x14ac:dyDescent="0.3">
      <c r="A2670">
        <v>32669</v>
      </c>
      <c r="B2670">
        <v>357</v>
      </c>
      <c r="C2670" s="2">
        <v>45307</v>
      </c>
      <c r="D2670" s="2" t="str">
        <f>TEXT(Table5[[#This Row],[bill_date]],"mmmm")</f>
        <v>January</v>
      </c>
      <c r="E2670" s="9">
        <f>YEAR(Table5[[#This Row],[bill_date]])</f>
        <v>2024</v>
      </c>
      <c r="F2670">
        <v>924</v>
      </c>
      <c r="G2670" t="s">
        <v>30</v>
      </c>
    </row>
    <row r="2671" spans="1:7" x14ac:dyDescent="0.3">
      <c r="A2671">
        <v>32670</v>
      </c>
      <c r="B2671">
        <v>71</v>
      </c>
      <c r="C2671" s="2">
        <v>45407</v>
      </c>
      <c r="D2671" s="2" t="str">
        <f>TEXT(Table5[[#This Row],[bill_date]],"mmmm")</f>
        <v>April</v>
      </c>
      <c r="E2671" s="9">
        <f>YEAR(Table5[[#This Row],[bill_date]])</f>
        <v>2024</v>
      </c>
      <c r="F2671">
        <v>1639</v>
      </c>
      <c r="G2671" t="s">
        <v>28</v>
      </c>
    </row>
    <row r="2672" spans="1:7" x14ac:dyDescent="0.3">
      <c r="A2672">
        <v>32671</v>
      </c>
      <c r="B2672">
        <v>370</v>
      </c>
      <c r="C2672" s="2">
        <v>44730</v>
      </c>
      <c r="D2672" s="2" t="str">
        <f>TEXT(Table5[[#This Row],[bill_date]],"mmmm")</f>
        <v>June</v>
      </c>
      <c r="E2672" s="9">
        <f>YEAR(Table5[[#This Row],[bill_date]])</f>
        <v>2022</v>
      </c>
      <c r="F2672">
        <v>1503</v>
      </c>
      <c r="G2672" t="s">
        <v>30</v>
      </c>
    </row>
    <row r="2673" spans="1:7" x14ac:dyDescent="0.3">
      <c r="A2673">
        <v>32672</v>
      </c>
      <c r="B2673">
        <v>222</v>
      </c>
      <c r="C2673" s="2">
        <v>44640</v>
      </c>
      <c r="D2673" s="2" t="str">
        <f>TEXT(Table5[[#This Row],[bill_date]],"mmmm")</f>
        <v>March</v>
      </c>
      <c r="E2673" s="9">
        <f>YEAR(Table5[[#This Row],[bill_date]])</f>
        <v>2022</v>
      </c>
      <c r="F2673">
        <v>1829</v>
      </c>
      <c r="G2673" t="s">
        <v>30</v>
      </c>
    </row>
    <row r="2674" spans="1:7" x14ac:dyDescent="0.3">
      <c r="A2674">
        <v>32673</v>
      </c>
      <c r="B2674">
        <v>13</v>
      </c>
      <c r="C2674" s="2">
        <v>44632</v>
      </c>
      <c r="D2674" s="2" t="str">
        <f>TEXT(Table5[[#This Row],[bill_date]],"mmmm")</f>
        <v>March</v>
      </c>
      <c r="E2674" s="9">
        <f>YEAR(Table5[[#This Row],[bill_date]])</f>
        <v>2022</v>
      </c>
      <c r="F2674">
        <v>406</v>
      </c>
      <c r="G2674" t="s">
        <v>30</v>
      </c>
    </row>
    <row r="2675" spans="1:7" x14ac:dyDescent="0.3">
      <c r="A2675">
        <v>32674</v>
      </c>
      <c r="B2675">
        <v>406</v>
      </c>
      <c r="C2675" s="2">
        <v>44824</v>
      </c>
      <c r="D2675" s="2" t="str">
        <f>TEXT(Table5[[#This Row],[bill_date]],"mmmm")</f>
        <v>September</v>
      </c>
      <c r="E2675" s="9">
        <f>YEAR(Table5[[#This Row],[bill_date]])</f>
        <v>2022</v>
      </c>
      <c r="F2675">
        <v>1365</v>
      </c>
      <c r="G2675" t="s">
        <v>30</v>
      </c>
    </row>
    <row r="2676" spans="1:7" x14ac:dyDescent="0.3">
      <c r="A2676">
        <v>32675</v>
      </c>
      <c r="B2676">
        <v>459</v>
      </c>
      <c r="C2676" s="2">
        <v>45273</v>
      </c>
      <c r="D2676" s="2" t="str">
        <f>TEXT(Table5[[#This Row],[bill_date]],"mmmm")</f>
        <v>December</v>
      </c>
      <c r="E2676" s="9">
        <f>YEAR(Table5[[#This Row],[bill_date]])</f>
        <v>2023</v>
      </c>
      <c r="F2676">
        <v>611</v>
      </c>
      <c r="G2676" t="s">
        <v>28</v>
      </c>
    </row>
    <row r="2677" spans="1:7" x14ac:dyDescent="0.3">
      <c r="A2677">
        <v>32676</v>
      </c>
      <c r="B2677">
        <v>5</v>
      </c>
      <c r="C2677" s="2">
        <v>45284</v>
      </c>
      <c r="D2677" s="2" t="str">
        <f>TEXT(Table5[[#This Row],[bill_date]],"mmmm")</f>
        <v>December</v>
      </c>
      <c r="E2677" s="9">
        <f>YEAR(Table5[[#This Row],[bill_date]])</f>
        <v>2023</v>
      </c>
      <c r="F2677">
        <v>1817</v>
      </c>
      <c r="G2677" t="s">
        <v>30</v>
      </c>
    </row>
    <row r="2678" spans="1:7" x14ac:dyDescent="0.3">
      <c r="A2678">
        <v>32677</v>
      </c>
      <c r="B2678">
        <v>22</v>
      </c>
      <c r="C2678" s="2">
        <v>45091</v>
      </c>
      <c r="D2678" s="2" t="str">
        <f>TEXT(Table5[[#This Row],[bill_date]],"mmmm")</f>
        <v>June</v>
      </c>
      <c r="E2678" s="9">
        <f>YEAR(Table5[[#This Row],[bill_date]])</f>
        <v>2023</v>
      </c>
      <c r="F2678">
        <v>1274</v>
      </c>
      <c r="G2678" t="s">
        <v>30</v>
      </c>
    </row>
    <row r="2679" spans="1:7" x14ac:dyDescent="0.3">
      <c r="A2679">
        <v>32678</v>
      </c>
      <c r="B2679">
        <v>463</v>
      </c>
      <c r="C2679" s="2">
        <v>45346</v>
      </c>
      <c r="D2679" s="2" t="str">
        <f>TEXT(Table5[[#This Row],[bill_date]],"mmmm")</f>
        <v>February</v>
      </c>
      <c r="E2679" s="9">
        <f>YEAR(Table5[[#This Row],[bill_date]])</f>
        <v>2024</v>
      </c>
      <c r="F2679">
        <v>1239</v>
      </c>
      <c r="G2679" t="s">
        <v>28</v>
      </c>
    </row>
    <row r="2680" spans="1:7" x14ac:dyDescent="0.3">
      <c r="A2680">
        <v>32679</v>
      </c>
      <c r="B2680">
        <v>383</v>
      </c>
      <c r="C2680" s="2">
        <v>44771</v>
      </c>
      <c r="D2680" s="2" t="str">
        <f>TEXT(Table5[[#This Row],[bill_date]],"mmmm")</f>
        <v>July</v>
      </c>
      <c r="E2680" s="9">
        <f>YEAR(Table5[[#This Row],[bill_date]])</f>
        <v>2022</v>
      </c>
      <c r="F2680">
        <v>928</v>
      </c>
      <c r="G2680" t="s">
        <v>28</v>
      </c>
    </row>
    <row r="2681" spans="1:7" x14ac:dyDescent="0.3">
      <c r="A2681">
        <v>32680</v>
      </c>
      <c r="B2681">
        <v>309</v>
      </c>
      <c r="C2681" s="2">
        <v>44678</v>
      </c>
      <c r="D2681" s="2" t="str">
        <f>TEXT(Table5[[#This Row],[bill_date]],"mmmm")</f>
        <v>April</v>
      </c>
      <c r="E2681" s="9">
        <f>YEAR(Table5[[#This Row],[bill_date]])</f>
        <v>2022</v>
      </c>
      <c r="F2681">
        <v>938</v>
      </c>
      <c r="G2681" t="s">
        <v>30</v>
      </c>
    </row>
    <row r="2682" spans="1:7" x14ac:dyDescent="0.3">
      <c r="A2682">
        <v>32681</v>
      </c>
      <c r="B2682">
        <v>295</v>
      </c>
      <c r="C2682" s="2">
        <v>45177</v>
      </c>
      <c r="D2682" s="2" t="str">
        <f>TEXT(Table5[[#This Row],[bill_date]],"mmmm")</f>
        <v>September</v>
      </c>
      <c r="E2682" s="9">
        <f>YEAR(Table5[[#This Row],[bill_date]])</f>
        <v>2023</v>
      </c>
      <c r="F2682">
        <v>1002</v>
      </c>
      <c r="G2682" t="s">
        <v>30</v>
      </c>
    </row>
    <row r="2683" spans="1:7" x14ac:dyDescent="0.3">
      <c r="A2683">
        <v>32682</v>
      </c>
      <c r="B2683">
        <v>37</v>
      </c>
      <c r="C2683" s="2">
        <v>44638</v>
      </c>
      <c r="D2683" s="2" t="str">
        <f>TEXT(Table5[[#This Row],[bill_date]],"mmmm")</f>
        <v>March</v>
      </c>
      <c r="E2683" s="9">
        <f>YEAR(Table5[[#This Row],[bill_date]])</f>
        <v>2022</v>
      </c>
      <c r="F2683">
        <v>617</v>
      </c>
      <c r="G2683" t="s">
        <v>28</v>
      </c>
    </row>
    <row r="2684" spans="1:7" x14ac:dyDescent="0.3">
      <c r="A2684">
        <v>32683</v>
      </c>
      <c r="B2684">
        <v>31</v>
      </c>
      <c r="C2684" s="2">
        <v>44876</v>
      </c>
      <c r="D2684" s="2" t="str">
        <f>TEXT(Table5[[#This Row],[bill_date]],"mmmm")</f>
        <v>November</v>
      </c>
      <c r="E2684" s="9">
        <f>YEAR(Table5[[#This Row],[bill_date]])</f>
        <v>2022</v>
      </c>
      <c r="F2684">
        <v>1646</v>
      </c>
      <c r="G2684" t="s">
        <v>28</v>
      </c>
    </row>
    <row r="2685" spans="1:7" x14ac:dyDescent="0.3">
      <c r="A2685">
        <v>32684</v>
      </c>
      <c r="B2685">
        <v>62</v>
      </c>
      <c r="C2685" s="2">
        <v>44572</v>
      </c>
      <c r="D2685" s="2" t="str">
        <f>TEXT(Table5[[#This Row],[bill_date]],"mmmm")</f>
        <v>January</v>
      </c>
      <c r="E2685" s="9">
        <f>YEAR(Table5[[#This Row],[bill_date]])</f>
        <v>2022</v>
      </c>
      <c r="F2685">
        <v>1117</v>
      </c>
      <c r="G2685" t="s">
        <v>28</v>
      </c>
    </row>
    <row r="2686" spans="1:7" x14ac:dyDescent="0.3">
      <c r="A2686">
        <v>32685</v>
      </c>
      <c r="B2686">
        <v>221</v>
      </c>
      <c r="C2686" s="2">
        <v>45454</v>
      </c>
      <c r="D2686" s="2" t="str">
        <f>TEXT(Table5[[#This Row],[bill_date]],"mmmm")</f>
        <v>June</v>
      </c>
      <c r="E2686" s="9">
        <f>YEAR(Table5[[#This Row],[bill_date]])</f>
        <v>2024</v>
      </c>
      <c r="F2686">
        <v>399</v>
      </c>
      <c r="G2686" t="s">
        <v>30</v>
      </c>
    </row>
    <row r="2687" spans="1:7" x14ac:dyDescent="0.3">
      <c r="A2687">
        <v>32686</v>
      </c>
      <c r="B2687">
        <v>359</v>
      </c>
      <c r="C2687" s="2">
        <v>44612</v>
      </c>
      <c r="D2687" s="2" t="str">
        <f>TEXT(Table5[[#This Row],[bill_date]],"mmmm")</f>
        <v>February</v>
      </c>
      <c r="E2687" s="9">
        <f>YEAR(Table5[[#This Row],[bill_date]])</f>
        <v>2022</v>
      </c>
      <c r="F2687">
        <v>1640</v>
      </c>
      <c r="G2687" t="s">
        <v>28</v>
      </c>
    </row>
    <row r="2688" spans="1:7" x14ac:dyDescent="0.3">
      <c r="A2688">
        <v>32687</v>
      </c>
      <c r="B2688">
        <v>81</v>
      </c>
      <c r="C2688" s="2">
        <v>44568</v>
      </c>
      <c r="D2688" s="2" t="str">
        <f>TEXT(Table5[[#This Row],[bill_date]],"mmmm")</f>
        <v>January</v>
      </c>
      <c r="E2688" s="9">
        <f>YEAR(Table5[[#This Row],[bill_date]])</f>
        <v>2022</v>
      </c>
      <c r="F2688">
        <v>1664</v>
      </c>
      <c r="G2688" t="s">
        <v>30</v>
      </c>
    </row>
    <row r="2689" spans="1:7" x14ac:dyDescent="0.3">
      <c r="A2689">
        <v>32688</v>
      </c>
      <c r="B2689">
        <v>383</v>
      </c>
      <c r="C2689" s="2">
        <v>45110</v>
      </c>
      <c r="D2689" s="2" t="str">
        <f>TEXT(Table5[[#This Row],[bill_date]],"mmmm")</f>
        <v>July</v>
      </c>
      <c r="E2689" s="9">
        <f>YEAR(Table5[[#This Row],[bill_date]])</f>
        <v>2023</v>
      </c>
      <c r="F2689">
        <v>1724</v>
      </c>
      <c r="G2689" t="s">
        <v>30</v>
      </c>
    </row>
    <row r="2690" spans="1:7" x14ac:dyDescent="0.3">
      <c r="A2690">
        <v>32689</v>
      </c>
      <c r="B2690">
        <v>233</v>
      </c>
      <c r="C2690" s="2">
        <v>44822</v>
      </c>
      <c r="D2690" s="2" t="str">
        <f>TEXT(Table5[[#This Row],[bill_date]],"mmmm")</f>
        <v>September</v>
      </c>
      <c r="E2690" s="9">
        <f>YEAR(Table5[[#This Row],[bill_date]])</f>
        <v>2022</v>
      </c>
      <c r="F2690">
        <v>1304</v>
      </c>
      <c r="G2690" t="s">
        <v>30</v>
      </c>
    </row>
    <row r="2691" spans="1:7" x14ac:dyDescent="0.3">
      <c r="A2691">
        <v>32690</v>
      </c>
      <c r="B2691">
        <v>6</v>
      </c>
      <c r="C2691" s="2">
        <v>45135</v>
      </c>
      <c r="D2691" s="2" t="str">
        <f>TEXT(Table5[[#This Row],[bill_date]],"mmmm")</f>
        <v>July</v>
      </c>
      <c r="E2691" s="9">
        <f>YEAR(Table5[[#This Row],[bill_date]])</f>
        <v>2023</v>
      </c>
      <c r="F2691">
        <v>1862</v>
      </c>
      <c r="G2691" t="s">
        <v>30</v>
      </c>
    </row>
    <row r="2692" spans="1:7" x14ac:dyDescent="0.3">
      <c r="A2692">
        <v>32691</v>
      </c>
      <c r="B2692">
        <v>105</v>
      </c>
      <c r="C2692" s="2">
        <v>45073</v>
      </c>
      <c r="D2692" s="2" t="str">
        <f>TEXT(Table5[[#This Row],[bill_date]],"mmmm")</f>
        <v>May</v>
      </c>
      <c r="E2692" s="9">
        <f>YEAR(Table5[[#This Row],[bill_date]])</f>
        <v>2023</v>
      </c>
      <c r="F2692">
        <v>278</v>
      </c>
      <c r="G2692" t="s">
        <v>30</v>
      </c>
    </row>
    <row r="2693" spans="1:7" x14ac:dyDescent="0.3">
      <c r="A2693">
        <v>32692</v>
      </c>
      <c r="B2693">
        <v>337</v>
      </c>
      <c r="C2693" s="2">
        <v>44761</v>
      </c>
      <c r="D2693" s="2" t="str">
        <f>TEXT(Table5[[#This Row],[bill_date]],"mmmm")</f>
        <v>July</v>
      </c>
      <c r="E2693" s="9">
        <f>YEAR(Table5[[#This Row],[bill_date]])</f>
        <v>2022</v>
      </c>
      <c r="F2693">
        <v>387</v>
      </c>
      <c r="G2693" t="s">
        <v>30</v>
      </c>
    </row>
    <row r="2694" spans="1:7" x14ac:dyDescent="0.3">
      <c r="A2694">
        <v>32693</v>
      </c>
      <c r="B2694">
        <v>162</v>
      </c>
      <c r="C2694" s="2">
        <v>44891</v>
      </c>
      <c r="D2694" s="2" t="str">
        <f>TEXT(Table5[[#This Row],[bill_date]],"mmmm")</f>
        <v>November</v>
      </c>
      <c r="E2694" s="9">
        <f>YEAR(Table5[[#This Row],[bill_date]])</f>
        <v>2022</v>
      </c>
      <c r="F2694">
        <v>1702</v>
      </c>
      <c r="G2694" t="s">
        <v>30</v>
      </c>
    </row>
    <row r="2695" spans="1:7" x14ac:dyDescent="0.3">
      <c r="A2695">
        <v>32694</v>
      </c>
      <c r="B2695">
        <v>343</v>
      </c>
      <c r="C2695" s="2">
        <v>44651</v>
      </c>
      <c r="D2695" s="2" t="str">
        <f>TEXT(Table5[[#This Row],[bill_date]],"mmmm")</f>
        <v>March</v>
      </c>
      <c r="E2695" s="9">
        <f>YEAR(Table5[[#This Row],[bill_date]])</f>
        <v>2022</v>
      </c>
      <c r="F2695">
        <v>1378</v>
      </c>
      <c r="G2695" t="s">
        <v>30</v>
      </c>
    </row>
    <row r="2696" spans="1:7" x14ac:dyDescent="0.3">
      <c r="A2696">
        <v>32695</v>
      </c>
      <c r="B2696">
        <v>52</v>
      </c>
      <c r="C2696" s="2">
        <v>45152</v>
      </c>
      <c r="D2696" s="2" t="str">
        <f>TEXT(Table5[[#This Row],[bill_date]],"mmmm")</f>
        <v>August</v>
      </c>
      <c r="E2696" s="9">
        <f>YEAR(Table5[[#This Row],[bill_date]])</f>
        <v>2023</v>
      </c>
      <c r="F2696">
        <v>1026</v>
      </c>
      <c r="G2696" t="s">
        <v>29</v>
      </c>
    </row>
    <row r="2697" spans="1:7" x14ac:dyDescent="0.3">
      <c r="A2697">
        <v>32696</v>
      </c>
      <c r="B2697">
        <v>158</v>
      </c>
      <c r="C2697" s="2">
        <v>44616</v>
      </c>
      <c r="D2697" s="2" t="str">
        <f>TEXT(Table5[[#This Row],[bill_date]],"mmmm")</f>
        <v>February</v>
      </c>
      <c r="E2697" s="9">
        <f>YEAR(Table5[[#This Row],[bill_date]])</f>
        <v>2022</v>
      </c>
      <c r="F2697">
        <v>1382</v>
      </c>
      <c r="G2697" t="s">
        <v>30</v>
      </c>
    </row>
    <row r="2698" spans="1:7" x14ac:dyDescent="0.3">
      <c r="A2698">
        <v>32697</v>
      </c>
      <c r="B2698">
        <v>13</v>
      </c>
      <c r="C2698" s="2">
        <v>44782</v>
      </c>
      <c r="D2698" s="2" t="str">
        <f>TEXT(Table5[[#This Row],[bill_date]],"mmmm")</f>
        <v>August</v>
      </c>
      <c r="E2698" s="9">
        <f>YEAR(Table5[[#This Row],[bill_date]])</f>
        <v>2022</v>
      </c>
      <c r="F2698">
        <v>952</v>
      </c>
      <c r="G2698" t="s">
        <v>30</v>
      </c>
    </row>
    <row r="2699" spans="1:7" x14ac:dyDescent="0.3">
      <c r="A2699">
        <v>32698</v>
      </c>
      <c r="B2699">
        <v>186</v>
      </c>
      <c r="C2699" s="2">
        <v>44653</v>
      </c>
      <c r="D2699" s="2" t="str">
        <f>TEXT(Table5[[#This Row],[bill_date]],"mmmm")</f>
        <v>April</v>
      </c>
      <c r="E2699" s="9">
        <f>YEAR(Table5[[#This Row],[bill_date]])</f>
        <v>2022</v>
      </c>
      <c r="F2699">
        <v>1024</v>
      </c>
      <c r="G2699" t="s">
        <v>30</v>
      </c>
    </row>
    <row r="2700" spans="1:7" x14ac:dyDescent="0.3">
      <c r="A2700">
        <v>32699</v>
      </c>
      <c r="B2700">
        <v>222</v>
      </c>
      <c r="C2700" s="2">
        <v>45147</v>
      </c>
      <c r="D2700" s="2" t="str">
        <f>TEXT(Table5[[#This Row],[bill_date]],"mmmm")</f>
        <v>August</v>
      </c>
      <c r="E2700" s="9">
        <f>YEAR(Table5[[#This Row],[bill_date]])</f>
        <v>2023</v>
      </c>
      <c r="F2700">
        <v>1816</v>
      </c>
      <c r="G2700" t="s">
        <v>28</v>
      </c>
    </row>
    <row r="2701" spans="1:7" x14ac:dyDescent="0.3">
      <c r="A2701">
        <v>32700</v>
      </c>
      <c r="B2701">
        <v>241</v>
      </c>
      <c r="C2701" s="2">
        <v>44617</v>
      </c>
      <c r="D2701" s="2" t="str">
        <f>TEXT(Table5[[#This Row],[bill_date]],"mmmm")</f>
        <v>February</v>
      </c>
      <c r="E2701" s="9">
        <f>YEAR(Table5[[#This Row],[bill_date]])</f>
        <v>2022</v>
      </c>
      <c r="F2701">
        <v>1266</v>
      </c>
      <c r="G2701" t="s">
        <v>30</v>
      </c>
    </row>
    <row r="2702" spans="1:7" x14ac:dyDescent="0.3">
      <c r="A2702">
        <v>32701</v>
      </c>
      <c r="B2702">
        <v>309</v>
      </c>
      <c r="C2702" s="2">
        <v>45305</v>
      </c>
      <c r="D2702" s="2" t="str">
        <f>TEXT(Table5[[#This Row],[bill_date]],"mmmm")</f>
        <v>January</v>
      </c>
      <c r="E2702" s="9">
        <f>YEAR(Table5[[#This Row],[bill_date]])</f>
        <v>2024</v>
      </c>
      <c r="F2702">
        <v>1384</v>
      </c>
      <c r="G2702" t="s">
        <v>29</v>
      </c>
    </row>
    <row r="2703" spans="1:7" x14ac:dyDescent="0.3">
      <c r="A2703">
        <v>32702</v>
      </c>
      <c r="B2703">
        <v>148</v>
      </c>
      <c r="C2703" s="2">
        <v>44740</v>
      </c>
      <c r="D2703" s="2" t="str">
        <f>TEXT(Table5[[#This Row],[bill_date]],"mmmm")</f>
        <v>June</v>
      </c>
      <c r="E2703" s="9">
        <f>YEAR(Table5[[#This Row],[bill_date]])</f>
        <v>2022</v>
      </c>
      <c r="F2703">
        <v>1955</v>
      </c>
      <c r="G2703" t="s">
        <v>30</v>
      </c>
    </row>
    <row r="2704" spans="1:7" x14ac:dyDescent="0.3">
      <c r="A2704">
        <v>32703</v>
      </c>
      <c r="B2704">
        <v>390</v>
      </c>
      <c r="C2704" s="2">
        <v>44622</v>
      </c>
      <c r="D2704" s="2" t="str">
        <f>TEXT(Table5[[#This Row],[bill_date]],"mmmm")</f>
        <v>March</v>
      </c>
      <c r="E2704" s="9">
        <f>YEAR(Table5[[#This Row],[bill_date]])</f>
        <v>2022</v>
      </c>
      <c r="F2704">
        <v>1883</v>
      </c>
      <c r="G2704" t="s">
        <v>30</v>
      </c>
    </row>
    <row r="2705" spans="1:7" x14ac:dyDescent="0.3">
      <c r="A2705">
        <v>32704</v>
      </c>
      <c r="B2705">
        <v>55</v>
      </c>
      <c r="C2705" s="2">
        <v>45433</v>
      </c>
      <c r="D2705" s="2" t="str">
        <f>TEXT(Table5[[#This Row],[bill_date]],"mmmm")</f>
        <v>May</v>
      </c>
      <c r="E2705" s="9">
        <f>YEAR(Table5[[#This Row],[bill_date]])</f>
        <v>2024</v>
      </c>
      <c r="F2705">
        <v>1858</v>
      </c>
      <c r="G2705" t="s">
        <v>28</v>
      </c>
    </row>
    <row r="2706" spans="1:7" x14ac:dyDescent="0.3">
      <c r="A2706">
        <v>32705</v>
      </c>
      <c r="B2706">
        <v>415</v>
      </c>
      <c r="C2706" s="2">
        <v>44678</v>
      </c>
      <c r="D2706" s="2" t="str">
        <f>TEXT(Table5[[#This Row],[bill_date]],"mmmm")</f>
        <v>April</v>
      </c>
      <c r="E2706" s="9">
        <f>YEAR(Table5[[#This Row],[bill_date]])</f>
        <v>2022</v>
      </c>
      <c r="F2706">
        <v>708</v>
      </c>
      <c r="G2706" t="s">
        <v>30</v>
      </c>
    </row>
    <row r="2707" spans="1:7" x14ac:dyDescent="0.3">
      <c r="A2707">
        <v>32706</v>
      </c>
      <c r="B2707">
        <v>59</v>
      </c>
      <c r="C2707" s="2">
        <v>45151</v>
      </c>
      <c r="D2707" s="2" t="str">
        <f>TEXT(Table5[[#This Row],[bill_date]],"mmmm")</f>
        <v>August</v>
      </c>
      <c r="E2707" s="9">
        <f>YEAR(Table5[[#This Row],[bill_date]])</f>
        <v>2023</v>
      </c>
      <c r="F2707">
        <v>1735</v>
      </c>
      <c r="G2707" t="s">
        <v>30</v>
      </c>
    </row>
    <row r="2708" spans="1:7" x14ac:dyDescent="0.3">
      <c r="A2708">
        <v>32707</v>
      </c>
      <c r="B2708">
        <v>403</v>
      </c>
      <c r="C2708" s="2">
        <v>44797</v>
      </c>
      <c r="D2708" s="2" t="str">
        <f>TEXT(Table5[[#This Row],[bill_date]],"mmmm")</f>
        <v>August</v>
      </c>
      <c r="E2708" s="9">
        <f>YEAR(Table5[[#This Row],[bill_date]])</f>
        <v>2022</v>
      </c>
      <c r="F2708">
        <v>893</v>
      </c>
      <c r="G2708" t="s">
        <v>30</v>
      </c>
    </row>
    <row r="2709" spans="1:7" x14ac:dyDescent="0.3">
      <c r="A2709">
        <v>32708</v>
      </c>
      <c r="B2709">
        <v>198</v>
      </c>
      <c r="C2709" s="2">
        <v>44594</v>
      </c>
      <c r="D2709" s="2" t="str">
        <f>TEXT(Table5[[#This Row],[bill_date]],"mmmm")</f>
        <v>February</v>
      </c>
      <c r="E2709" s="9">
        <f>YEAR(Table5[[#This Row],[bill_date]])</f>
        <v>2022</v>
      </c>
      <c r="F2709">
        <v>1430</v>
      </c>
      <c r="G2709" t="s">
        <v>29</v>
      </c>
    </row>
    <row r="2710" spans="1:7" x14ac:dyDescent="0.3">
      <c r="A2710">
        <v>32709</v>
      </c>
      <c r="B2710">
        <v>98</v>
      </c>
      <c r="C2710" s="2">
        <v>45128</v>
      </c>
      <c r="D2710" s="2" t="str">
        <f>TEXT(Table5[[#This Row],[bill_date]],"mmmm")</f>
        <v>July</v>
      </c>
      <c r="E2710" s="9">
        <f>YEAR(Table5[[#This Row],[bill_date]])</f>
        <v>2023</v>
      </c>
      <c r="F2710">
        <v>1319</v>
      </c>
      <c r="G2710" t="s">
        <v>28</v>
      </c>
    </row>
    <row r="2711" spans="1:7" x14ac:dyDescent="0.3">
      <c r="A2711">
        <v>32710</v>
      </c>
      <c r="B2711">
        <v>156</v>
      </c>
      <c r="C2711" s="2">
        <v>44804</v>
      </c>
      <c r="D2711" s="2" t="str">
        <f>TEXT(Table5[[#This Row],[bill_date]],"mmmm")</f>
        <v>August</v>
      </c>
      <c r="E2711" s="9">
        <f>YEAR(Table5[[#This Row],[bill_date]])</f>
        <v>2022</v>
      </c>
      <c r="F2711">
        <v>219</v>
      </c>
      <c r="G2711" t="s">
        <v>30</v>
      </c>
    </row>
    <row r="2712" spans="1:7" x14ac:dyDescent="0.3">
      <c r="A2712">
        <v>32711</v>
      </c>
      <c r="B2712">
        <v>250</v>
      </c>
      <c r="C2712" s="2">
        <v>45347</v>
      </c>
      <c r="D2712" s="2" t="str">
        <f>TEXT(Table5[[#This Row],[bill_date]],"mmmm")</f>
        <v>February</v>
      </c>
      <c r="E2712" s="9">
        <f>YEAR(Table5[[#This Row],[bill_date]])</f>
        <v>2024</v>
      </c>
      <c r="F2712">
        <v>1577</v>
      </c>
      <c r="G2712" t="s">
        <v>30</v>
      </c>
    </row>
    <row r="2713" spans="1:7" x14ac:dyDescent="0.3">
      <c r="A2713">
        <v>32712</v>
      </c>
      <c r="B2713">
        <v>397</v>
      </c>
      <c r="C2713" s="2">
        <v>44635</v>
      </c>
      <c r="D2713" s="2" t="str">
        <f>TEXT(Table5[[#This Row],[bill_date]],"mmmm")</f>
        <v>March</v>
      </c>
      <c r="E2713" s="9">
        <f>YEAR(Table5[[#This Row],[bill_date]])</f>
        <v>2022</v>
      </c>
      <c r="F2713">
        <v>1727</v>
      </c>
      <c r="G2713" t="s">
        <v>28</v>
      </c>
    </row>
    <row r="2714" spans="1:7" x14ac:dyDescent="0.3">
      <c r="A2714">
        <v>32713</v>
      </c>
      <c r="B2714">
        <v>180</v>
      </c>
      <c r="C2714" s="2">
        <v>44582</v>
      </c>
      <c r="D2714" s="2" t="str">
        <f>TEXT(Table5[[#This Row],[bill_date]],"mmmm")</f>
        <v>January</v>
      </c>
      <c r="E2714" s="9">
        <f>YEAR(Table5[[#This Row],[bill_date]])</f>
        <v>2022</v>
      </c>
      <c r="F2714">
        <v>1626</v>
      </c>
      <c r="G2714" t="s">
        <v>30</v>
      </c>
    </row>
    <row r="2715" spans="1:7" x14ac:dyDescent="0.3">
      <c r="A2715">
        <v>32714</v>
      </c>
      <c r="B2715">
        <v>74</v>
      </c>
      <c r="C2715" s="2">
        <v>45426</v>
      </c>
      <c r="D2715" s="2" t="str">
        <f>TEXT(Table5[[#This Row],[bill_date]],"mmmm")</f>
        <v>May</v>
      </c>
      <c r="E2715" s="9">
        <f>YEAR(Table5[[#This Row],[bill_date]])</f>
        <v>2024</v>
      </c>
      <c r="F2715">
        <v>1445</v>
      </c>
      <c r="G2715" t="s">
        <v>30</v>
      </c>
    </row>
    <row r="2716" spans="1:7" x14ac:dyDescent="0.3">
      <c r="A2716">
        <v>32715</v>
      </c>
      <c r="B2716">
        <v>61</v>
      </c>
      <c r="C2716" s="2">
        <v>45274</v>
      </c>
      <c r="D2716" s="2" t="str">
        <f>TEXT(Table5[[#This Row],[bill_date]],"mmmm")</f>
        <v>December</v>
      </c>
      <c r="E2716" s="9">
        <f>YEAR(Table5[[#This Row],[bill_date]])</f>
        <v>2023</v>
      </c>
      <c r="F2716">
        <v>598</v>
      </c>
      <c r="G2716" t="s">
        <v>30</v>
      </c>
    </row>
    <row r="2717" spans="1:7" x14ac:dyDescent="0.3">
      <c r="A2717">
        <v>32716</v>
      </c>
      <c r="B2717">
        <v>425</v>
      </c>
      <c r="C2717" s="2">
        <v>44715</v>
      </c>
      <c r="D2717" s="2" t="str">
        <f>TEXT(Table5[[#This Row],[bill_date]],"mmmm")</f>
        <v>June</v>
      </c>
      <c r="E2717" s="9">
        <f>YEAR(Table5[[#This Row],[bill_date]])</f>
        <v>2022</v>
      </c>
      <c r="F2717">
        <v>1684</v>
      </c>
      <c r="G2717" t="s">
        <v>30</v>
      </c>
    </row>
    <row r="2718" spans="1:7" x14ac:dyDescent="0.3">
      <c r="A2718">
        <v>32717</v>
      </c>
      <c r="B2718">
        <v>45</v>
      </c>
      <c r="C2718" s="2">
        <v>44815</v>
      </c>
      <c r="D2718" s="2" t="str">
        <f>TEXT(Table5[[#This Row],[bill_date]],"mmmm")</f>
        <v>September</v>
      </c>
      <c r="E2718" s="9">
        <f>YEAR(Table5[[#This Row],[bill_date]])</f>
        <v>2022</v>
      </c>
      <c r="F2718">
        <v>758</v>
      </c>
      <c r="G2718" t="s">
        <v>28</v>
      </c>
    </row>
    <row r="2719" spans="1:7" x14ac:dyDescent="0.3">
      <c r="A2719">
        <v>32718</v>
      </c>
      <c r="B2719">
        <v>135</v>
      </c>
      <c r="C2719" s="2">
        <v>44768</v>
      </c>
      <c r="D2719" s="2" t="str">
        <f>TEXT(Table5[[#This Row],[bill_date]],"mmmm")</f>
        <v>July</v>
      </c>
      <c r="E2719" s="9">
        <f>YEAR(Table5[[#This Row],[bill_date]])</f>
        <v>2022</v>
      </c>
      <c r="F2719">
        <v>1254</v>
      </c>
      <c r="G2719" t="s">
        <v>30</v>
      </c>
    </row>
    <row r="2720" spans="1:7" x14ac:dyDescent="0.3">
      <c r="A2720">
        <v>32719</v>
      </c>
      <c r="B2720">
        <v>210</v>
      </c>
      <c r="C2720" s="2">
        <v>44710</v>
      </c>
      <c r="D2720" s="2" t="str">
        <f>TEXT(Table5[[#This Row],[bill_date]],"mmmm")</f>
        <v>May</v>
      </c>
      <c r="E2720" s="9">
        <f>YEAR(Table5[[#This Row],[bill_date]])</f>
        <v>2022</v>
      </c>
      <c r="F2720">
        <v>687</v>
      </c>
      <c r="G2720" t="s">
        <v>30</v>
      </c>
    </row>
    <row r="2721" spans="1:7" x14ac:dyDescent="0.3">
      <c r="A2721">
        <v>32720</v>
      </c>
      <c r="B2721">
        <v>86</v>
      </c>
      <c r="C2721" s="2">
        <v>45256</v>
      </c>
      <c r="D2721" s="2" t="str">
        <f>TEXT(Table5[[#This Row],[bill_date]],"mmmm")</f>
        <v>November</v>
      </c>
      <c r="E2721" s="9">
        <f>YEAR(Table5[[#This Row],[bill_date]])</f>
        <v>2023</v>
      </c>
      <c r="F2721">
        <v>486</v>
      </c>
      <c r="G2721" t="s">
        <v>30</v>
      </c>
    </row>
    <row r="2722" spans="1:7" x14ac:dyDescent="0.3">
      <c r="A2722">
        <v>32721</v>
      </c>
      <c r="B2722">
        <v>270</v>
      </c>
      <c r="C2722" s="2">
        <v>44863</v>
      </c>
      <c r="D2722" s="2" t="str">
        <f>TEXT(Table5[[#This Row],[bill_date]],"mmmm")</f>
        <v>October</v>
      </c>
      <c r="E2722" s="9">
        <f>YEAR(Table5[[#This Row],[bill_date]])</f>
        <v>2022</v>
      </c>
      <c r="F2722">
        <v>1659</v>
      </c>
      <c r="G2722" t="s">
        <v>28</v>
      </c>
    </row>
    <row r="2723" spans="1:7" x14ac:dyDescent="0.3">
      <c r="A2723">
        <v>32722</v>
      </c>
      <c r="B2723">
        <v>292</v>
      </c>
      <c r="C2723" s="2">
        <v>44858</v>
      </c>
      <c r="D2723" s="2" t="str">
        <f>TEXT(Table5[[#This Row],[bill_date]],"mmmm")</f>
        <v>October</v>
      </c>
      <c r="E2723" s="9">
        <f>YEAR(Table5[[#This Row],[bill_date]])</f>
        <v>2022</v>
      </c>
      <c r="F2723">
        <v>1602</v>
      </c>
      <c r="G2723" t="s">
        <v>30</v>
      </c>
    </row>
    <row r="2724" spans="1:7" x14ac:dyDescent="0.3">
      <c r="A2724">
        <v>32723</v>
      </c>
      <c r="B2724">
        <v>264</v>
      </c>
      <c r="C2724" s="2">
        <v>45052</v>
      </c>
      <c r="D2724" s="2" t="str">
        <f>TEXT(Table5[[#This Row],[bill_date]],"mmmm")</f>
        <v>May</v>
      </c>
      <c r="E2724" s="9">
        <f>YEAR(Table5[[#This Row],[bill_date]])</f>
        <v>2023</v>
      </c>
      <c r="F2724">
        <v>635</v>
      </c>
      <c r="G2724" t="s">
        <v>30</v>
      </c>
    </row>
    <row r="2725" spans="1:7" x14ac:dyDescent="0.3">
      <c r="A2725">
        <v>32724</v>
      </c>
      <c r="B2725">
        <v>268</v>
      </c>
      <c r="C2725" s="2">
        <v>45334</v>
      </c>
      <c r="D2725" s="2" t="str">
        <f>TEXT(Table5[[#This Row],[bill_date]],"mmmm")</f>
        <v>February</v>
      </c>
      <c r="E2725" s="9">
        <f>YEAR(Table5[[#This Row],[bill_date]])</f>
        <v>2024</v>
      </c>
      <c r="F2725">
        <v>328</v>
      </c>
      <c r="G2725" t="s">
        <v>30</v>
      </c>
    </row>
    <row r="2726" spans="1:7" x14ac:dyDescent="0.3">
      <c r="A2726">
        <v>32725</v>
      </c>
      <c r="B2726">
        <v>424</v>
      </c>
      <c r="C2726" s="2">
        <v>44605</v>
      </c>
      <c r="D2726" s="2" t="str">
        <f>TEXT(Table5[[#This Row],[bill_date]],"mmmm")</f>
        <v>February</v>
      </c>
      <c r="E2726" s="9">
        <f>YEAR(Table5[[#This Row],[bill_date]])</f>
        <v>2022</v>
      </c>
      <c r="F2726">
        <v>639</v>
      </c>
      <c r="G2726" t="s">
        <v>30</v>
      </c>
    </row>
    <row r="2727" spans="1:7" x14ac:dyDescent="0.3">
      <c r="A2727">
        <v>32726</v>
      </c>
      <c r="B2727">
        <v>496</v>
      </c>
      <c r="C2727" s="2">
        <v>44705</v>
      </c>
      <c r="D2727" s="2" t="str">
        <f>TEXT(Table5[[#This Row],[bill_date]],"mmmm")</f>
        <v>May</v>
      </c>
      <c r="E2727" s="9">
        <f>YEAR(Table5[[#This Row],[bill_date]])</f>
        <v>2022</v>
      </c>
      <c r="F2727">
        <v>1715</v>
      </c>
      <c r="G2727" t="s">
        <v>30</v>
      </c>
    </row>
    <row r="2728" spans="1:7" x14ac:dyDescent="0.3">
      <c r="A2728">
        <v>32727</v>
      </c>
      <c r="B2728">
        <v>225</v>
      </c>
      <c r="C2728" s="2">
        <v>44805</v>
      </c>
      <c r="D2728" s="2" t="str">
        <f>TEXT(Table5[[#This Row],[bill_date]],"mmmm")</f>
        <v>September</v>
      </c>
      <c r="E2728" s="9">
        <f>YEAR(Table5[[#This Row],[bill_date]])</f>
        <v>2022</v>
      </c>
      <c r="F2728">
        <v>988</v>
      </c>
      <c r="G2728" t="s">
        <v>30</v>
      </c>
    </row>
    <row r="2729" spans="1:7" x14ac:dyDescent="0.3">
      <c r="A2729">
        <v>32728</v>
      </c>
      <c r="B2729">
        <v>216</v>
      </c>
      <c r="C2729" s="2">
        <v>44980</v>
      </c>
      <c r="D2729" s="2" t="str">
        <f>TEXT(Table5[[#This Row],[bill_date]],"mmmm")</f>
        <v>February</v>
      </c>
      <c r="E2729" s="9">
        <f>YEAR(Table5[[#This Row],[bill_date]])</f>
        <v>2023</v>
      </c>
      <c r="F2729">
        <v>1195</v>
      </c>
      <c r="G2729" t="s">
        <v>28</v>
      </c>
    </row>
    <row r="2730" spans="1:7" x14ac:dyDescent="0.3">
      <c r="A2730">
        <v>32729</v>
      </c>
      <c r="B2730">
        <v>362</v>
      </c>
      <c r="C2730" s="2">
        <v>45078</v>
      </c>
      <c r="D2730" s="2" t="str">
        <f>TEXT(Table5[[#This Row],[bill_date]],"mmmm")</f>
        <v>June</v>
      </c>
      <c r="E2730" s="9">
        <f>YEAR(Table5[[#This Row],[bill_date]])</f>
        <v>2023</v>
      </c>
      <c r="F2730">
        <v>1467</v>
      </c>
      <c r="G2730" t="s">
        <v>30</v>
      </c>
    </row>
    <row r="2731" spans="1:7" x14ac:dyDescent="0.3">
      <c r="A2731">
        <v>32730</v>
      </c>
      <c r="B2731">
        <v>231</v>
      </c>
      <c r="C2731" s="2">
        <v>44623</v>
      </c>
      <c r="D2731" s="2" t="str">
        <f>TEXT(Table5[[#This Row],[bill_date]],"mmmm")</f>
        <v>March</v>
      </c>
      <c r="E2731" s="9">
        <f>YEAR(Table5[[#This Row],[bill_date]])</f>
        <v>2022</v>
      </c>
      <c r="F2731">
        <v>1274</v>
      </c>
      <c r="G2731" t="s">
        <v>30</v>
      </c>
    </row>
    <row r="2732" spans="1:7" x14ac:dyDescent="0.3">
      <c r="A2732">
        <v>32731</v>
      </c>
      <c r="B2732">
        <v>190</v>
      </c>
      <c r="C2732" s="2">
        <v>45419</v>
      </c>
      <c r="D2732" s="2" t="str">
        <f>TEXT(Table5[[#This Row],[bill_date]],"mmmm")</f>
        <v>May</v>
      </c>
      <c r="E2732" s="9">
        <f>YEAR(Table5[[#This Row],[bill_date]])</f>
        <v>2024</v>
      </c>
      <c r="F2732">
        <v>919</v>
      </c>
      <c r="G2732" t="s">
        <v>30</v>
      </c>
    </row>
    <row r="2733" spans="1:7" x14ac:dyDescent="0.3">
      <c r="A2733">
        <v>32732</v>
      </c>
      <c r="B2733">
        <v>142</v>
      </c>
      <c r="C2733" s="2">
        <v>45099</v>
      </c>
      <c r="D2733" s="2" t="str">
        <f>TEXT(Table5[[#This Row],[bill_date]],"mmmm")</f>
        <v>June</v>
      </c>
      <c r="E2733" s="9">
        <f>YEAR(Table5[[#This Row],[bill_date]])</f>
        <v>2023</v>
      </c>
      <c r="F2733">
        <v>1062</v>
      </c>
      <c r="G2733" t="s">
        <v>30</v>
      </c>
    </row>
    <row r="2734" spans="1:7" x14ac:dyDescent="0.3">
      <c r="A2734">
        <v>32733</v>
      </c>
      <c r="B2734">
        <v>177</v>
      </c>
      <c r="C2734" s="2">
        <v>44878</v>
      </c>
      <c r="D2734" s="2" t="str">
        <f>TEXT(Table5[[#This Row],[bill_date]],"mmmm")</f>
        <v>November</v>
      </c>
      <c r="E2734" s="9">
        <f>YEAR(Table5[[#This Row],[bill_date]])</f>
        <v>2022</v>
      </c>
      <c r="F2734">
        <v>428</v>
      </c>
      <c r="G2734" t="s">
        <v>28</v>
      </c>
    </row>
    <row r="2735" spans="1:7" x14ac:dyDescent="0.3">
      <c r="A2735">
        <v>32734</v>
      </c>
      <c r="B2735">
        <v>51</v>
      </c>
      <c r="C2735" s="2">
        <v>44996</v>
      </c>
      <c r="D2735" s="2" t="str">
        <f>TEXT(Table5[[#This Row],[bill_date]],"mmmm")</f>
        <v>March</v>
      </c>
      <c r="E2735" s="9">
        <f>YEAR(Table5[[#This Row],[bill_date]])</f>
        <v>2023</v>
      </c>
      <c r="F2735">
        <v>663</v>
      </c>
      <c r="G2735" t="s">
        <v>30</v>
      </c>
    </row>
    <row r="2736" spans="1:7" x14ac:dyDescent="0.3">
      <c r="A2736">
        <v>32735</v>
      </c>
      <c r="B2736">
        <v>190</v>
      </c>
      <c r="C2736" s="2">
        <v>45398</v>
      </c>
      <c r="D2736" s="2" t="str">
        <f>TEXT(Table5[[#This Row],[bill_date]],"mmmm")</f>
        <v>April</v>
      </c>
      <c r="E2736" s="9">
        <f>YEAR(Table5[[#This Row],[bill_date]])</f>
        <v>2024</v>
      </c>
      <c r="F2736">
        <v>384</v>
      </c>
      <c r="G2736" t="s">
        <v>30</v>
      </c>
    </row>
    <row r="2737" spans="1:7" x14ac:dyDescent="0.3">
      <c r="A2737">
        <v>32736</v>
      </c>
      <c r="B2737">
        <v>5</v>
      </c>
      <c r="C2737" s="2">
        <v>45257</v>
      </c>
      <c r="D2737" s="2" t="str">
        <f>TEXT(Table5[[#This Row],[bill_date]],"mmmm")</f>
        <v>November</v>
      </c>
      <c r="E2737" s="9">
        <f>YEAR(Table5[[#This Row],[bill_date]])</f>
        <v>2023</v>
      </c>
      <c r="F2737">
        <v>360</v>
      </c>
      <c r="G2737" t="s">
        <v>30</v>
      </c>
    </row>
    <row r="2738" spans="1:7" x14ac:dyDescent="0.3">
      <c r="A2738">
        <v>32737</v>
      </c>
      <c r="B2738">
        <v>211</v>
      </c>
      <c r="C2738" s="2">
        <v>45379</v>
      </c>
      <c r="D2738" s="2" t="str">
        <f>TEXT(Table5[[#This Row],[bill_date]],"mmmm")</f>
        <v>March</v>
      </c>
      <c r="E2738" s="9">
        <f>YEAR(Table5[[#This Row],[bill_date]])</f>
        <v>2024</v>
      </c>
      <c r="F2738">
        <v>1421</v>
      </c>
      <c r="G2738" t="s">
        <v>30</v>
      </c>
    </row>
    <row r="2739" spans="1:7" x14ac:dyDescent="0.3">
      <c r="A2739">
        <v>32738</v>
      </c>
      <c r="B2739">
        <v>195</v>
      </c>
      <c r="C2739" s="2">
        <v>44942</v>
      </c>
      <c r="D2739" s="2" t="str">
        <f>TEXT(Table5[[#This Row],[bill_date]],"mmmm")</f>
        <v>January</v>
      </c>
      <c r="E2739" s="9">
        <f>YEAR(Table5[[#This Row],[bill_date]])</f>
        <v>2023</v>
      </c>
      <c r="F2739">
        <v>599</v>
      </c>
      <c r="G2739" t="s">
        <v>28</v>
      </c>
    </row>
    <row r="2740" spans="1:7" x14ac:dyDescent="0.3">
      <c r="A2740">
        <v>32739</v>
      </c>
      <c r="B2740">
        <v>1</v>
      </c>
      <c r="C2740" s="2">
        <v>44597</v>
      </c>
      <c r="D2740" s="2" t="str">
        <f>TEXT(Table5[[#This Row],[bill_date]],"mmmm")</f>
        <v>February</v>
      </c>
      <c r="E2740" s="9">
        <f>YEAR(Table5[[#This Row],[bill_date]])</f>
        <v>2022</v>
      </c>
      <c r="F2740">
        <v>1694</v>
      </c>
      <c r="G2740" t="s">
        <v>30</v>
      </c>
    </row>
    <row r="2741" spans="1:7" x14ac:dyDescent="0.3">
      <c r="A2741">
        <v>32740</v>
      </c>
      <c r="B2741">
        <v>104</v>
      </c>
      <c r="C2741" s="2">
        <v>45103</v>
      </c>
      <c r="D2741" s="2" t="str">
        <f>TEXT(Table5[[#This Row],[bill_date]],"mmmm")</f>
        <v>June</v>
      </c>
      <c r="E2741" s="9">
        <f>YEAR(Table5[[#This Row],[bill_date]])</f>
        <v>2023</v>
      </c>
      <c r="F2741">
        <v>1678</v>
      </c>
      <c r="G2741" t="s">
        <v>30</v>
      </c>
    </row>
    <row r="2742" spans="1:7" x14ac:dyDescent="0.3">
      <c r="A2742">
        <v>32741</v>
      </c>
      <c r="B2742">
        <v>361</v>
      </c>
      <c r="C2742" s="2">
        <v>45142</v>
      </c>
      <c r="D2742" s="2" t="str">
        <f>TEXT(Table5[[#This Row],[bill_date]],"mmmm")</f>
        <v>August</v>
      </c>
      <c r="E2742" s="9">
        <f>YEAR(Table5[[#This Row],[bill_date]])</f>
        <v>2023</v>
      </c>
      <c r="F2742">
        <v>989</v>
      </c>
      <c r="G2742" t="s">
        <v>30</v>
      </c>
    </row>
    <row r="2743" spans="1:7" x14ac:dyDescent="0.3">
      <c r="A2743">
        <v>32742</v>
      </c>
      <c r="B2743">
        <v>101</v>
      </c>
      <c r="C2743" s="2">
        <v>44793</v>
      </c>
      <c r="D2743" s="2" t="str">
        <f>TEXT(Table5[[#This Row],[bill_date]],"mmmm")</f>
        <v>August</v>
      </c>
      <c r="E2743" s="9">
        <f>YEAR(Table5[[#This Row],[bill_date]])</f>
        <v>2022</v>
      </c>
      <c r="F2743">
        <v>1213</v>
      </c>
      <c r="G2743" t="s">
        <v>30</v>
      </c>
    </row>
    <row r="2744" spans="1:7" x14ac:dyDescent="0.3">
      <c r="A2744">
        <v>32743</v>
      </c>
      <c r="B2744">
        <v>128</v>
      </c>
      <c r="C2744" s="2">
        <v>45249</v>
      </c>
      <c r="D2744" s="2" t="str">
        <f>TEXT(Table5[[#This Row],[bill_date]],"mmmm")</f>
        <v>November</v>
      </c>
      <c r="E2744" s="9">
        <f>YEAR(Table5[[#This Row],[bill_date]])</f>
        <v>2023</v>
      </c>
      <c r="F2744">
        <v>743</v>
      </c>
      <c r="G2744" t="s">
        <v>28</v>
      </c>
    </row>
    <row r="2745" spans="1:7" x14ac:dyDescent="0.3">
      <c r="A2745">
        <v>32744</v>
      </c>
      <c r="B2745">
        <v>353</v>
      </c>
      <c r="C2745" s="2">
        <v>45351</v>
      </c>
      <c r="D2745" s="2" t="str">
        <f>TEXT(Table5[[#This Row],[bill_date]],"mmmm")</f>
        <v>February</v>
      </c>
      <c r="E2745" s="9">
        <f>YEAR(Table5[[#This Row],[bill_date]])</f>
        <v>2024</v>
      </c>
      <c r="F2745">
        <v>611</v>
      </c>
      <c r="G2745" t="s">
        <v>28</v>
      </c>
    </row>
    <row r="2746" spans="1:7" x14ac:dyDescent="0.3">
      <c r="A2746">
        <v>32745</v>
      </c>
      <c r="B2746">
        <v>305</v>
      </c>
      <c r="C2746" s="2">
        <v>44594</v>
      </c>
      <c r="D2746" s="2" t="str">
        <f>TEXT(Table5[[#This Row],[bill_date]],"mmmm")</f>
        <v>February</v>
      </c>
      <c r="E2746" s="9">
        <f>YEAR(Table5[[#This Row],[bill_date]])</f>
        <v>2022</v>
      </c>
      <c r="F2746">
        <v>729</v>
      </c>
      <c r="G2746" t="s">
        <v>30</v>
      </c>
    </row>
    <row r="2747" spans="1:7" x14ac:dyDescent="0.3">
      <c r="A2747">
        <v>32746</v>
      </c>
      <c r="B2747">
        <v>249</v>
      </c>
      <c r="C2747" s="2">
        <v>45142</v>
      </c>
      <c r="D2747" s="2" t="str">
        <f>TEXT(Table5[[#This Row],[bill_date]],"mmmm")</f>
        <v>August</v>
      </c>
      <c r="E2747" s="9">
        <f>YEAR(Table5[[#This Row],[bill_date]])</f>
        <v>2023</v>
      </c>
      <c r="F2747">
        <v>1343</v>
      </c>
      <c r="G2747" t="s">
        <v>30</v>
      </c>
    </row>
    <row r="2748" spans="1:7" x14ac:dyDescent="0.3">
      <c r="A2748">
        <v>32747</v>
      </c>
      <c r="B2748">
        <v>494</v>
      </c>
      <c r="C2748" s="2">
        <v>44913</v>
      </c>
      <c r="D2748" s="2" t="str">
        <f>TEXT(Table5[[#This Row],[bill_date]],"mmmm")</f>
        <v>December</v>
      </c>
      <c r="E2748" s="9">
        <f>YEAR(Table5[[#This Row],[bill_date]])</f>
        <v>2022</v>
      </c>
      <c r="F2748">
        <v>267</v>
      </c>
      <c r="G2748" t="s">
        <v>30</v>
      </c>
    </row>
    <row r="2749" spans="1:7" x14ac:dyDescent="0.3">
      <c r="A2749">
        <v>32748</v>
      </c>
      <c r="B2749">
        <v>401</v>
      </c>
      <c r="C2749" s="2">
        <v>44816</v>
      </c>
      <c r="D2749" s="2" t="str">
        <f>TEXT(Table5[[#This Row],[bill_date]],"mmmm")</f>
        <v>September</v>
      </c>
      <c r="E2749" s="9">
        <f>YEAR(Table5[[#This Row],[bill_date]])</f>
        <v>2022</v>
      </c>
      <c r="F2749">
        <v>491</v>
      </c>
      <c r="G2749" t="s">
        <v>30</v>
      </c>
    </row>
    <row r="2750" spans="1:7" x14ac:dyDescent="0.3">
      <c r="A2750">
        <v>32749</v>
      </c>
      <c r="B2750">
        <v>457</v>
      </c>
      <c r="C2750" s="2">
        <v>44611</v>
      </c>
      <c r="D2750" s="2" t="str">
        <f>TEXT(Table5[[#This Row],[bill_date]],"mmmm")</f>
        <v>February</v>
      </c>
      <c r="E2750" s="9">
        <f>YEAR(Table5[[#This Row],[bill_date]])</f>
        <v>2022</v>
      </c>
      <c r="F2750">
        <v>1949</v>
      </c>
      <c r="G2750" t="s">
        <v>30</v>
      </c>
    </row>
    <row r="2751" spans="1:7" x14ac:dyDescent="0.3">
      <c r="A2751">
        <v>32750</v>
      </c>
      <c r="B2751">
        <v>351</v>
      </c>
      <c r="C2751" s="2">
        <v>44584</v>
      </c>
      <c r="D2751" s="2" t="str">
        <f>TEXT(Table5[[#This Row],[bill_date]],"mmmm")</f>
        <v>January</v>
      </c>
      <c r="E2751" s="9">
        <f>YEAR(Table5[[#This Row],[bill_date]])</f>
        <v>2022</v>
      </c>
      <c r="F2751">
        <v>833</v>
      </c>
      <c r="G2751" t="s">
        <v>29</v>
      </c>
    </row>
    <row r="2752" spans="1:7" x14ac:dyDescent="0.3">
      <c r="A2752">
        <v>32751</v>
      </c>
      <c r="B2752">
        <v>291</v>
      </c>
      <c r="C2752" s="2">
        <v>44815</v>
      </c>
      <c r="D2752" s="2" t="str">
        <f>TEXT(Table5[[#This Row],[bill_date]],"mmmm")</f>
        <v>September</v>
      </c>
      <c r="E2752" s="9">
        <f>YEAR(Table5[[#This Row],[bill_date]])</f>
        <v>2022</v>
      </c>
      <c r="F2752">
        <v>1632</v>
      </c>
      <c r="G2752" t="s">
        <v>30</v>
      </c>
    </row>
    <row r="2753" spans="1:7" x14ac:dyDescent="0.3">
      <c r="A2753">
        <v>32752</v>
      </c>
      <c r="B2753">
        <v>451</v>
      </c>
      <c r="C2753" s="2">
        <v>44955</v>
      </c>
      <c r="D2753" s="2" t="str">
        <f>TEXT(Table5[[#This Row],[bill_date]],"mmmm")</f>
        <v>January</v>
      </c>
      <c r="E2753" s="9">
        <f>YEAR(Table5[[#This Row],[bill_date]])</f>
        <v>2023</v>
      </c>
      <c r="F2753">
        <v>1502</v>
      </c>
      <c r="G2753" t="s">
        <v>30</v>
      </c>
    </row>
    <row r="2754" spans="1:7" x14ac:dyDescent="0.3">
      <c r="A2754">
        <v>32753</v>
      </c>
      <c r="B2754">
        <v>269</v>
      </c>
      <c r="C2754" s="2">
        <v>45237</v>
      </c>
      <c r="D2754" s="2" t="str">
        <f>TEXT(Table5[[#This Row],[bill_date]],"mmmm")</f>
        <v>November</v>
      </c>
      <c r="E2754" s="9">
        <f>YEAR(Table5[[#This Row],[bill_date]])</f>
        <v>2023</v>
      </c>
      <c r="F2754">
        <v>764</v>
      </c>
      <c r="G2754" t="s">
        <v>30</v>
      </c>
    </row>
    <row r="2755" spans="1:7" x14ac:dyDescent="0.3">
      <c r="A2755">
        <v>32754</v>
      </c>
      <c r="B2755">
        <v>372</v>
      </c>
      <c r="C2755" s="2">
        <v>45443</v>
      </c>
      <c r="D2755" s="2" t="str">
        <f>TEXT(Table5[[#This Row],[bill_date]],"mmmm")</f>
        <v>May</v>
      </c>
      <c r="E2755" s="9">
        <f>YEAR(Table5[[#This Row],[bill_date]])</f>
        <v>2024</v>
      </c>
      <c r="F2755">
        <v>731</v>
      </c>
      <c r="G2755" t="s">
        <v>30</v>
      </c>
    </row>
    <row r="2756" spans="1:7" x14ac:dyDescent="0.3">
      <c r="A2756">
        <v>32755</v>
      </c>
      <c r="B2756">
        <v>421</v>
      </c>
      <c r="C2756" s="2">
        <v>44834</v>
      </c>
      <c r="D2756" s="2" t="str">
        <f>TEXT(Table5[[#This Row],[bill_date]],"mmmm")</f>
        <v>September</v>
      </c>
      <c r="E2756" s="9">
        <f>YEAR(Table5[[#This Row],[bill_date]])</f>
        <v>2022</v>
      </c>
      <c r="F2756">
        <v>1831</v>
      </c>
      <c r="G2756" t="s">
        <v>30</v>
      </c>
    </row>
    <row r="2757" spans="1:7" x14ac:dyDescent="0.3">
      <c r="A2757">
        <v>32756</v>
      </c>
      <c r="B2757">
        <v>38</v>
      </c>
      <c r="C2757" s="2">
        <v>45254</v>
      </c>
      <c r="D2757" s="2" t="str">
        <f>TEXT(Table5[[#This Row],[bill_date]],"mmmm")</f>
        <v>November</v>
      </c>
      <c r="E2757" s="9">
        <f>YEAR(Table5[[#This Row],[bill_date]])</f>
        <v>2023</v>
      </c>
      <c r="F2757">
        <v>848</v>
      </c>
      <c r="G2757" t="s">
        <v>30</v>
      </c>
    </row>
    <row r="2758" spans="1:7" x14ac:dyDescent="0.3">
      <c r="A2758">
        <v>32757</v>
      </c>
      <c r="B2758">
        <v>334</v>
      </c>
      <c r="C2758" s="2">
        <v>45420</v>
      </c>
      <c r="D2758" s="2" t="str">
        <f>TEXT(Table5[[#This Row],[bill_date]],"mmmm")</f>
        <v>May</v>
      </c>
      <c r="E2758" s="9">
        <f>YEAR(Table5[[#This Row],[bill_date]])</f>
        <v>2024</v>
      </c>
      <c r="F2758">
        <v>752</v>
      </c>
      <c r="G2758" t="s">
        <v>28</v>
      </c>
    </row>
    <row r="2759" spans="1:7" x14ac:dyDescent="0.3">
      <c r="A2759">
        <v>32758</v>
      </c>
      <c r="B2759">
        <v>390</v>
      </c>
      <c r="C2759" s="2">
        <v>44811</v>
      </c>
      <c r="D2759" s="2" t="str">
        <f>TEXT(Table5[[#This Row],[bill_date]],"mmmm")</f>
        <v>September</v>
      </c>
      <c r="E2759" s="9">
        <f>YEAR(Table5[[#This Row],[bill_date]])</f>
        <v>2022</v>
      </c>
      <c r="F2759">
        <v>1151</v>
      </c>
      <c r="G2759" t="s">
        <v>30</v>
      </c>
    </row>
    <row r="2760" spans="1:7" x14ac:dyDescent="0.3">
      <c r="A2760">
        <v>32759</v>
      </c>
      <c r="B2760">
        <v>250</v>
      </c>
      <c r="C2760" s="2">
        <v>44798</v>
      </c>
      <c r="D2760" s="2" t="str">
        <f>TEXT(Table5[[#This Row],[bill_date]],"mmmm")</f>
        <v>August</v>
      </c>
      <c r="E2760" s="9">
        <f>YEAR(Table5[[#This Row],[bill_date]])</f>
        <v>2022</v>
      </c>
      <c r="F2760">
        <v>956</v>
      </c>
      <c r="G2760" t="s">
        <v>30</v>
      </c>
    </row>
    <row r="2761" spans="1:7" x14ac:dyDescent="0.3">
      <c r="A2761">
        <v>32760</v>
      </c>
      <c r="B2761">
        <v>221</v>
      </c>
      <c r="C2761" s="2">
        <v>44793</v>
      </c>
      <c r="D2761" s="2" t="str">
        <f>TEXT(Table5[[#This Row],[bill_date]],"mmmm")</f>
        <v>August</v>
      </c>
      <c r="E2761" s="9">
        <f>YEAR(Table5[[#This Row],[bill_date]])</f>
        <v>2022</v>
      </c>
      <c r="F2761">
        <v>1641</v>
      </c>
      <c r="G2761" t="s">
        <v>30</v>
      </c>
    </row>
    <row r="2762" spans="1:7" x14ac:dyDescent="0.3">
      <c r="A2762">
        <v>32761</v>
      </c>
      <c r="B2762">
        <v>63</v>
      </c>
      <c r="C2762" s="2">
        <v>44989</v>
      </c>
      <c r="D2762" s="2" t="str">
        <f>TEXT(Table5[[#This Row],[bill_date]],"mmmm")</f>
        <v>March</v>
      </c>
      <c r="E2762" s="9">
        <f>YEAR(Table5[[#This Row],[bill_date]])</f>
        <v>2023</v>
      </c>
      <c r="F2762">
        <v>226</v>
      </c>
      <c r="G2762" t="s">
        <v>30</v>
      </c>
    </row>
    <row r="2763" spans="1:7" x14ac:dyDescent="0.3">
      <c r="A2763">
        <v>32762</v>
      </c>
      <c r="B2763">
        <v>253</v>
      </c>
      <c r="C2763" s="2">
        <v>45195</v>
      </c>
      <c r="D2763" s="2" t="str">
        <f>TEXT(Table5[[#This Row],[bill_date]],"mmmm")</f>
        <v>September</v>
      </c>
      <c r="E2763" s="9">
        <f>YEAR(Table5[[#This Row],[bill_date]])</f>
        <v>2023</v>
      </c>
      <c r="F2763">
        <v>1618</v>
      </c>
      <c r="G2763" t="s">
        <v>30</v>
      </c>
    </row>
    <row r="2764" spans="1:7" x14ac:dyDescent="0.3">
      <c r="A2764">
        <v>32763</v>
      </c>
      <c r="B2764">
        <v>433</v>
      </c>
      <c r="C2764" s="2">
        <v>44803</v>
      </c>
      <c r="D2764" s="2" t="str">
        <f>TEXT(Table5[[#This Row],[bill_date]],"mmmm")</f>
        <v>August</v>
      </c>
      <c r="E2764" s="9">
        <f>YEAR(Table5[[#This Row],[bill_date]])</f>
        <v>2022</v>
      </c>
      <c r="F2764">
        <v>768</v>
      </c>
      <c r="G2764" t="s">
        <v>28</v>
      </c>
    </row>
    <row r="2765" spans="1:7" x14ac:dyDescent="0.3">
      <c r="A2765">
        <v>32764</v>
      </c>
      <c r="B2765">
        <v>265</v>
      </c>
      <c r="C2765" s="2">
        <v>44695</v>
      </c>
      <c r="D2765" s="2" t="str">
        <f>TEXT(Table5[[#This Row],[bill_date]],"mmmm")</f>
        <v>May</v>
      </c>
      <c r="E2765" s="9">
        <f>YEAR(Table5[[#This Row],[bill_date]])</f>
        <v>2022</v>
      </c>
      <c r="F2765">
        <v>837</v>
      </c>
      <c r="G2765" t="s">
        <v>30</v>
      </c>
    </row>
    <row r="2766" spans="1:7" x14ac:dyDescent="0.3">
      <c r="A2766">
        <v>32765</v>
      </c>
      <c r="B2766">
        <v>164</v>
      </c>
      <c r="C2766" s="2">
        <v>44632</v>
      </c>
      <c r="D2766" s="2" t="str">
        <f>TEXT(Table5[[#This Row],[bill_date]],"mmmm")</f>
        <v>March</v>
      </c>
      <c r="E2766" s="9">
        <f>YEAR(Table5[[#This Row],[bill_date]])</f>
        <v>2022</v>
      </c>
      <c r="F2766">
        <v>626</v>
      </c>
      <c r="G2766" t="s">
        <v>30</v>
      </c>
    </row>
    <row r="2767" spans="1:7" x14ac:dyDescent="0.3">
      <c r="A2767">
        <v>32766</v>
      </c>
      <c r="B2767">
        <v>23</v>
      </c>
      <c r="C2767" s="2">
        <v>45419</v>
      </c>
      <c r="D2767" s="2" t="str">
        <f>TEXT(Table5[[#This Row],[bill_date]],"mmmm")</f>
        <v>May</v>
      </c>
      <c r="E2767" s="9">
        <f>YEAR(Table5[[#This Row],[bill_date]])</f>
        <v>2024</v>
      </c>
      <c r="F2767">
        <v>973</v>
      </c>
      <c r="G2767" t="s">
        <v>30</v>
      </c>
    </row>
    <row r="2768" spans="1:7" x14ac:dyDescent="0.3">
      <c r="A2768">
        <v>32767</v>
      </c>
      <c r="B2768">
        <v>79</v>
      </c>
      <c r="C2768" s="2">
        <v>45026</v>
      </c>
      <c r="D2768" s="2" t="str">
        <f>TEXT(Table5[[#This Row],[bill_date]],"mmmm")</f>
        <v>April</v>
      </c>
      <c r="E2768" s="9">
        <f>YEAR(Table5[[#This Row],[bill_date]])</f>
        <v>2023</v>
      </c>
      <c r="F2768">
        <v>1366</v>
      </c>
      <c r="G2768" t="s">
        <v>30</v>
      </c>
    </row>
    <row r="2769" spans="1:7" x14ac:dyDescent="0.3">
      <c r="A2769">
        <v>32768</v>
      </c>
      <c r="B2769">
        <v>118</v>
      </c>
      <c r="C2769" s="2">
        <v>44982</v>
      </c>
      <c r="D2769" s="2" t="str">
        <f>TEXT(Table5[[#This Row],[bill_date]],"mmmm")</f>
        <v>February</v>
      </c>
      <c r="E2769" s="9">
        <f>YEAR(Table5[[#This Row],[bill_date]])</f>
        <v>2023</v>
      </c>
      <c r="F2769">
        <v>1178</v>
      </c>
      <c r="G2769" t="s">
        <v>30</v>
      </c>
    </row>
    <row r="2770" spans="1:7" x14ac:dyDescent="0.3">
      <c r="A2770">
        <v>32769</v>
      </c>
      <c r="B2770">
        <v>185</v>
      </c>
      <c r="C2770" s="2">
        <v>44871</v>
      </c>
      <c r="D2770" s="2" t="str">
        <f>TEXT(Table5[[#This Row],[bill_date]],"mmmm")</f>
        <v>November</v>
      </c>
      <c r="E2770" s="9">
        <f>YEAR(Table5[[#This Row],[bill_date]])</f>
        <v>2022</v>
      </c>
      <c r="F2770">
        <v>1315</v>
      </c>
      <c r="G2770" t="s">
        <v>28</v>
      </c>
    </row>
    <row r="2771" spans="1:7" x14ac:dyDescent="0.3">
      <c r="A2771">
        <v>32770</v>
      </c>
      <c r="B2771">
        <v>434</v>
      </c>
      <c r="C2771" s="2">
        <v>44840</v>
      </c>
      <c r="D2771" s="2" t="str">
        <f>TEXT(Table5[[#This Row],[bill_date]],"mmmm")</f>
        <v>October</v>
      </c>
      <c r="E2771" s="9">
        <f>YEAR(Table5[[#This Row],[bill_date]])</f>
        <v>2022</v>
      </c>
      <c r="F2771">
        <v>233</v>
      </c>
      <c r="G2771" t="s">
        <v>30</v>
      </c>
    </row>
    <row r="2772" spans="1:7" x14ac:dyDescent="0.3">
      <c r="A2772">
        <v>32771</v>
      </c>
      <c r="B2772">
        <v>495</v>
      </c>
      <c r="C2772" s="2">
        <v>44780</v>
      </c>
      <c r="D2772" s="2" t="str">
        <f>TEXT(Table5[[#This Row],[bill_date]],"mmmm")</f>
        <v>August</v>
      </c>
      <c r="E2772" s="9">
        <f>YEAR(Table5[[#This Row],[bill_date]])</f>
        <v>2022</v>
      </c>
      <c r="F2772">
        <v>1826</v>
      </c>
      <c r="G2772" t="s">
        <v>30</v>
      </c>
    </row>
    <row r="2773" spans="1:7" x14ac:dyDescent="0.3">
      <c r="A2773">
        <v>32772</v>
      </c>
      <c r="B2773">
        <v>59</v>
      </c>
      <c r="C2773" s="2">
        <v>45258</v>
      </c>
      <c r="D2773" s="2" t="str">
        <f>TEXT(Table5[[#This Row],[bill_date]],"mmmm")</f>
        <v>November</v>
      </c>
      <c r="E2773" s="9">
        <f>YEAR(Table5[[#This Row],[bill_date]])</f>
        <v>2023</v>
      </c>
      <c r="F2773">
        <v>1997</v>
      </c>
      <c r="G2773" t="s">
        <v>28</v>
      </c>
    </row>
    <row r="2774" spans="1:7" x14ac:dyDescent="0.3">
      <c r="A2774">
        <v>32773</v>
      </c>
      <c r="B2774">
        <v>370</v>
      </c>
      <c r="C2774" s="2">
        <v>44868</v>
      </c>
      <c r="D2774" s="2" t="str">
        <f>TEXT(Table5[[#This Row],[bill_date]],"mmmm")</f>
        <v>November</v>
      </c>
      <c r="E2774" s="9">
        <f>YEAR(Table5[[#This Row],[bill_date]])</f>
        <v>2022</v>
      </c>
      <c r="F2774">
        <v>1692</v>
      </c>
      <c r="G2774" t="s">
        <v>30</v>
      </c>
    </row>
    <row r="2775" spans="1:7" x14ac:dyDescent="0.3">
      <c r="A2775">
        <v>32774</v>
      </c>
      <c r="B2775">
        <v>391</v>
      </c>
      <c r="C2775" s="2">
        <v>44875</v>
      </c>
      <c r="D2775" s="2" t="str">
        <f>TEXT(Table5[[#This Row],[bill_date]],"mmmm")</f>
        <v>November</v>
      </c>
      <c r="E2775" s="9">
        <f>YEAR(Table5[[#This Row],[bill_date]])</f>
        <v>2022</v>
      </c>
      <c r="F2775">
        <v>724</v>
      </c>
      <c r="G2775" t="s">
        <v>29</v>
      </c>
    </row>
    <row r="2776" spans="1:7" x14ac:dyDescent="0.3">
      <c r="A2776">
        <v>32775</v>
      </c>
      <c r="B2776">
        <v>303</v>
      </c>
      <c r="C2776" s="2">
        <v>44964</v>
      </c>
      <c r="D2776" s="2" t="str">
        <f>TEXT(Table5[[#This Row],[bill_date]],"mmmm")</f>
        <v>February</v>
      </c>
      <c r="E2776" s="9">
        <f>YEAR(Table5[[#This Row],[bill_date]])</f>
        <v>2023</v>
      </c>
      <c r="F2776">
        <v>1537</v>
      </c>
      <c r="G2776" t="s">
        <v>30</v>
      </c>
    </row>
    <row r="2777" spans="1:7" x14ac:dyDescent="0.3">
      <c r="A2777">
        <v>32776</v>
      </c>
      <c r="B2777">
        <v>252</v>
      </c>
      <c r="C2777" s="2">
        <v>45290</v>
      </c>
      <c r="D2777" s="2" t="str">
        <f>TEXT(Table5[[#This Row],[bill_date]],"mmmm")</f>
        <v>December</v>
      </c>
      <c r="E2777" s="9">
        <f>YEAR(Table5[[#This Row],[bill_date]])</f>
        <v>2023</v>
      </c>
      <c r="F2777">
        <v>1706</v>
      </c>
      <c r="G2777" t="s">
        <v>30</v>
      </c>
    </row>
    <row r="2778" spans="1:7" x14ac:dyDescent="0.3">
      <c r="A2778">
        <v>32777</v>
      </c>
      <c r="B2778">
        <v>89</v>
      </c>
      <c r="C2778" s="2">
        <v>45049</v>
      </c>
      <c r="D2778" s="2" t="str">
        <f>TEXT(Table5[[#This Row],[bill_date]],"mmmm")</f>
        <v>May</v>
      </c>
      <c r="E2778" s="9">
        <f>YEAR(Table5[[#This Row],[bill_date]])</f>
        <v>2023</v>
      </c>
      <c r="F2778">
        <v>1028</v>
      </c>
      <c r="G2778" t="s">
        <v>30</v>
      </c>
    </row>
    <row r="2779" spans="1:7" x14ac:dyDescent="0.3">
      <c r="A2779">
        <v>32778</v>
      </c>
      <c r="B2779">
        <v>229</v>
      </c>
      <c r="C2779" s="2">
        <v>45354</v>
      </c>
      <c r="D2779" s="2" t="str">
        <f>TEXT(Table5[[#This Row],[bill_date]],"mmmm")</f>
        <v>March</v>
      </c>
      <c r="E2779" s="9">
        <f>YEAR(Table5[[#This Row],[bill_date]])</f>
        <v>2024</v>
      </c>
      <c r="F2779">
        <v>1936</v>
      </c>
      <c r="G2779" t="s">
        <v>29</v>
      </c>
    </row>
    <row r="2780" spans="1:7" x14ac:dyDescent="0.3">
      <c r="A2780">
        <v>32779</v>
      </c>
      <c r="B2780">
        <v>343</v>
      </c>
      <c r="C2780" s="2">
        <v>44966</v>
      </c>
      <c r="D2780" s="2" t="str">
        <f>TEXT(Table5[[#This Row],[bill_date]],"mmmm")</f>
        <v>February</v>
      </c>
      <c r="E2780" s="9">
        <f>YEAR(Table5[[#This Row],[bill_date]])</f>
        <v>2023</v>
      </c>
      <c r="F2780">
        <v>574</v>
      </c>
      <c r="G2780" t="s">
        <v>28</v>
      </c>
    </row>
    <row r="2781" spans="1:7" x14ac:dyDescent="0.3">
      <c r="A2781">
        <v>32780</v>
      </c>
      <c r="B2781">
        <v>331</v>
      </c>
      <c r="C2781" s="2">
        <v>44940</v>
      </c>
      <c r="D2781" s="2" t="str">
        <f>TEXT(Table5[[#This Row],[bill_date]],"mmmm")</f>
        <v>January</v>
      </c>
      <c r="E2781" s="9">
        <f>YEAR(Table5[[#This Row],[bill_date]])</f>
        <v>2023</v>
      </c>
      <c r="F2781">
        <v>1032</v>
      </c>
      <c r="G2781" t="s">
        <v>30</v>
      </c>
    </row>
    <row r="2782" spans="1:7" x14ac:dyDescent="0.3">
      <c r="A2782">
        <v>32781</v>
      </c>
      <c r="B2782">
        <v>440</v>
      </c>
      <c r="C2782" s="2">
        <v>44842</v>
      </c>
      <c r="D2782" s="2" t="str">
        <f>TEXT(Table5[[#This Row],[bill_date]],"mmmm")</f>
        <v>October</v>
      </c>
      <c r="E2782" s="9">
        <f>YEAR(Table5[[#This Row],[bill_date]])</f>
        <v>2022</v>
      </c>
      <c r="F2782">
        <v>854</v>
      </c>
      <c r="G2782" t="s">
        <v>30</v>
      </c>
    </row>
    <row r="2783" spans="1:7" x14ac:dyDescent="0.3">
      <c r="A2783">
        <v>32782</v>
      </c>
      <c r="B2783">
        <v>238</v>
      </c>
      <c r="C2783" s="2">
        <v>45198</v>
      </c>
      <c r="D2783" s="2" t="str">
        <f>TEXT(Table5[[#This Row],[bill_date]],"mmmm")</f>
        <v>September</v>
      </c>
      <c r="E2783" s="9">
        <f>YEAR(Table5[[#This Row],[bill_date]])</f>
        <v>2023</v>
      </c>
      <c r="F2783">
        <v>1065</v>
      </c>
      <c r="G2783" t="s">
        <v>30</v>
      </c>
    </row>
    <row r="2784" spans="1:7" x14ac:dyDescent="0.3">
      <c r="A2784">
        <v>32783</v>
      </c>
      <c r="B2784">
        <v>392</v>
      </c>
      <c r="C2784" s="2">
        <v>45252</v>
      </c>
      <c r="D2784" s="2" t="str">
        <f>TEXT(Table5[[#This Row],[bill_date]],"mmmm")</f>
        <v>November</v>
      </c>
      <c r="E2784" s="9">
        <f>YEAR(Table5[[#This Row],[bill_date]])</f>
        <v>2023</v>
      </c>
      <c r="F2784">
        <v>1205</v>
      </c>
      <c r="G2784" t="s">
        <v>30</v>
      </c>
    </row>
    <row r="2785" spans="1:7" x14ac:dyDescent="0.3">
      <c r="A2785">
        <v>32784</v>
      </c>
      <c r="B2785">
        <v>292</v>
      </c>
      <c r="C2785" s="2">
        <v>44888</v>
      </c>
      <c r="D2785" s="2" t="str">
        <f>TEXT(Table5[[#This Row],[bill_date]],"mmmm")</f>
        <v>November</v>
      </c>
      <c r="E2785" s="9">
        <f>YEAR(Table5[[#This Row],[bill_date]])</f>
        <v>2022</v>
      </c>
      <c r="F2785">
        <v>686</v>
      </c>
      <c r="G2785" t="s">
        <v>30</v>
      </c>
    </row>
    <row r="2786" spans="1:7" x14ac:dyDescent="0.3">
      <c r="A2786">
        <v>32785</v>
      </c>
      <c r="B2786">
        <v>426</v>
      </c>
      <c r="C2786" s="2">
        <v>44596</v>
      </c>
      <c r="D2786" s="2" t="str">
        <f>TEXT(Table5[[#This Row],[bill_date]],"mmmm")</f>
        <v>February</v>
      </c>
      <c r="E2786" s="9">
        <f>YEAR(Table5[[#This Row],[bill_date]])</f>
        <v>2022</v>
      </c>
      <c r="F2786">
        <v>1718</v>
      </c>
      <c r="G2786" t="s">
        <v>30</v>
      </c>
    </row>
    <row r="2787" spans="1:7" x14ac:dyDescent="0.3">
      <c r="A2787">
        <v>32786</v>
      </c>
      <c r="B2787">
        <v>295</v>
      </c>
      <c r="C2787" s="2">
        <v>44631</v>
      </c>
      <c r="D2787" s="2" t="str">
        <f>TEXT(Table5[[#This Row],[bill_date]],"mmmm")</f>
        <v>March</v>
      </c>
      <c r="E2787" s="9">
        <f>YEAR(Table5[[#This Row],[bill_date]])</f>
        <v>2022</v>
      </c>
      <c r="F2787">
        <v>1598</v>
      </c>
      <c r="G2787" t="s">
        <v>30</v>
      </c>
    </row>
    <row r="2788" spans="1:7" x14ac:dyDescent="0.3">
      <c r="A2788">
        <v>32787</v>
      </c>
      <c r="B2788">
        <v>321</v>
      </c>
      <c r="C2788" s="2">
        <v>44921</v>
      </c>
      <c r="D2788" s="2" t="str">
        <f>TEXT(Table5[[#This Row],[bill_date]],"mmmm")</f>
        <v>December</v>
      </c>
      <c r="E2788" s="9">
        <f>YEAR(Table5[[#This Row],[bill_date]])</f>
        <v>2022</v>
      </c>
      <c r="F2788">
        <v>1713</v>
      </c>
      <c r="G2788" t="s">
        <v>30</v>
      </c>
    </row>
    <row r="2789" spans="1:7" x14ac:dyDescent="0.3">
      <c r="A2789">
        <v>32788</v>
      </c>
      <c r="B2789">
        <v>500</v>
      </c>
      <c r="C2789" s="2">
        <v>45251</v>
      </c>
      <c r="D2789" s="2" t="str">
        <f>TEXT(Table5[[#This Row],[bill_date]],"mmmm")</f>
        <v>November</v>
      </c>
      <c r="E2789" s="9">
        <f>YEAR(Table5[[#This Row],[bill_date]])</f>
        <v>2023</v>
      </c>
      <c r="F2789">
        <v>1521</v>
      </c>
      <c r="G2789" t="s">
        <v>30</v>
      </c>
    </row>
    <row r="2790" spans="1:7" x14ac:dyDescent="0.3">
      <c r="A2790">
        <v>32789</v>
      </c>
      <c r="B2790">
        <v>44</v>
      </c>
      <c r="C2790" s="2">
        <v>44969</v>
      </c>
      <c r="D2790" s="2" t="str">
        <f>TEXT(Table5[[#This Row],[bill_date]],"mmmm")</f>
        <v>February</v>
      </c>
      <c r="E2790" s="9">
        <f>YEAR(Table5[[#This Row],[bill_date]])</f>
        <v>2023</v>
      </c>
      <c r="F2790">
        <v>551</v>
      </c>
      <c r="G2790" t="s">
        <v>30</v>
      </c>
    </row>
    <row r="2791" spans="1:7" x14ac:dyDescent="0.3">
      <c r="A2791">
        <v>32790</v>
      </c>
      <c r="B2791">
        <v>333</v>
      </c>
      <c r="C2791" s="2">
        <v>45122</v>
      </c>
      <c r="D2791" s="2" t="str">
        <f>TEXT(Table5[[#This Row],[bill_date]],"mmmm")</f>
        <v>July</v>
      </c>
      <c r="E2791" s="9">
        <f>YEAR(Table5[[#This Row],[bill_date]])</f>
        <v>2023</v>
      </c>
      <c r="F2791">
        <v>552</v>
      </c>
      <c r="G2791" t="s">
        <v>30</v>
      </c>
    </row>
    <row r="2792" spans="1:7" x14ac:dyDescent="0.3">
      <c r="A2792">
        <v>32791</v>
      </c>
      <c r="B2792">
        <v>80</v>
      </c>
      <c r="C2792" s="2">
        <v>45141</v>
      </c>
      <c r="D2792" s="2" t="str">
        <f>TEXT(Table5[[#This Row],[bill_date]],"mmmm")</f>
        <v>August</v>
      </c>
      <c r="E2792" s="9">
        <f>YEAR(Table5[[#This Row],[bill_date]])</f>
        <v>2023</v>
      </c>
      <c r="F2792">
        <v>1703</v>
      </c>
      <c r="G2792" t="s">
        <v>30</v>
      </c>
    </row>
    <row r="2793" spans="1:7" x14ac:dyDescent="0.3">
      <c r="A2793">
        <v>32792</v>
      </c>
      <c r="B2793">
        <v>174</v>
      </c>
      <c r="C2793" s="2">
        <v>45080</v>
      </c>
      <c r="D2793" s="2" t="str">
        <f>TEXT(Table5[[#This Row],[bill_date]],"mmmm")</f>
        <v>June</v>
      </c>
      <c r="E2793" s="9">
        <f>YEAR(Table5[[#This Row],[bill_date]])</f>
        <v>2023</v>
      </c>
      <c r="F2793">
        <v>1177</v>
      </c>
      <c r="G2793" t="s">
        <v>30</v>
      </c>
    </row>
    <row r="2794" spans="1:7" x14ac:dyDescent="0.3">
      <c r="A2794">
        <v>32793</v>
      </c>
      <c r="B2794">
        <v>141</v>
      </c>
      <c r="C2794" s="2">
        <v>45167</v>
      </c>
      <c r="D2794" s="2" t="str">
        <f>TEXT(Table5[[#This Row],[bill_date]],"mmmm")</f>
        <v>August</v>
      </c>
      <c r="E2794" s="9">
        <f>YEAR(Table5[[#This Row],[bill_date]])</f>
        <v>2023</v>
      </c>
      <c r="F2794">
        <v>602</v>
      </c>
      <c r="G2794" t="s">
        <v>30</v>
      </c>
    </row>
    <row r="2795" spans="1:7" x14ac:dyDescent="0.3">
      <c r="A2795">
        <v>32794</v>
      </c>
      <c r="B2795">
        <v>37</v>
      </c>
      <c r="C2795" s="2">
        <v>44945</v>
      </c>
      <c r="D2795" s="2" t="str">
        <f>TEXT(Table5[[#This Row],[bill_date]],"mmmm")</f>
        <v>January</v>
      </c>
      <c r="E2795" s="9">
        <f>YEAR(Table5[[#This Row],[bill_date]])</f>
        <v>2023</v>
      </c>
      <c r="F2795">
        <v>1616</v>
      </c>
      <c r="G2795" t="s">
        <v>30</v>
      </c>
    </row>
    <row r="2796" spans="1:7" x14ac:dyDescent="0.3">
      <c r="A2796">
        <v>32795</v>
      </c>
      <c r="B2796">
        <v>14</v>
      </c>
      <c r="C2796" s="2">
        <v>44642</v>
      </c>
      <c r="D2796" s="2" t="str">
        <f>TEXT(Table5[[#This Row],[bill_date]],"mmmm")</f>
        <v>March</v>
      </c>
      <c r="E2796" s="9">
        <f>YEAR(Table5[[#This Row],[bill_date]])</f>
        <v>2022</v>
      </c>
      <c r="F2796">
        <v>601</v>
      </c>
      <c r="G2796" t="s">
        <v>30</v>
      </c>
    </row>
    <row r="2797" spans="1:7" x14ac:dyDescent="0.3">
      <c r="A2797">
        <v>32796</v>
      </c>
      <c r="B2797">
        <v>122</v>
      </c>
      <c r="C2797" s="2">
        <v>44999</v>
      </c>
      <c r="D2797" s="2" t="str">
        <f>TEXT(Table5[[#This Row],[bill_date]],"mmmm")</f>
        <v>March</v>
      </c>
      <c r="E2797" s="9">
        <f>YEAR(Table5[[#This Row],[bill_date]])</f>
        <v>2023</v>
      </c>
      <c r="F2797">
        <v>955</v>
      </c>
      <c r="G2797" t="s">
        <v>30</v>
      </c>
    </row>
    <row r="2798" spans="1:7" x14ac:dyDescent="0.3">
      <c r="A2798">
        <v>32797</v>
      </c>
      <c r="B2798">
        <v>397</v>
      </c>
      <c r="C2798" s="2">
        <v>44811</v>
      </c>
      <c r="D2798" s="2" t="str">
        <f>TEXT(Table5[[#This Row],[bill_date]],"mmmm")</f>
        <v>September</v>
      </c>
      <c r="E2798" s="9">
        <f>YEAR(Table5[[#This Row],[bill_date]])</f>
        <v>2022</v>
      </c>
      <c r="F2798">
        <v>1713</v>
      </c>
      <c r="G2798" t="s">
        <v>28</v>
      </c>
    </row>
    <row r="2799" spans="1:7" x14ac:dyDescent="0.3">
      <c r="A2799">
        <v>32798</v>
      </c>
      <c r="B2799">
        <v>238</v>
      </c>
      <c r="C2799" s="2">
        <v>44599</v>
      </c>
      <c r="D2799" s="2" t="str">
        <f>TEXT(Table5[[#This Row],[bill_date]],"mmmm")</f>
        <v>February</v>
      </c>
      <c r="E2799" s="9">
        <f>YEAR(Table5[[#This Row],[bill_date]])</f>
        <v>2022</v>
      </c>
      <c r="F2799">
        <v>1746</v>
      </c>
      <c r="G2799" t="s">
        <v>30</v>
      </c>
    </row>
    <row r="2800" spans="1:7" x14ac:dyDescent="0.3">
      <c r="A2800">
        <v>32799</v>
      </c>
      <c r="B2800">
        <v>396</v>
      </c>
      <c r="C2800" s="2">
        <v>45423</v>
      </c>
      <c r="D2800" s="2" t="str">
        <f>TEXT(Table5[[#This Row],[bill_date]],"mmmm")</f>
        <v>May</v>
      </c>
      <c r="E2800" s="9">
        <f>YEAR(Table5[[#This Row],[bill_date]])</f>
        <v>2024</v>
      </c>
      <c r="F2800">
        <v>592</v>
      </c>
      <c r="G2800" t="s">
        <v>30</v>
      </c>
    </row>
    <row r="2801" spans="1:7" x14ac:dyDescent="0.3">
      <c r="A2801">
        <v>32800</v>
      </c>
      <c r="B2801">
        <v>55</v>
      </c>
      <c r="C2801" s="2">
        <v>44606</v>
      </c>
      <c r="D2801" s="2" t="str">
        <f>TEXT(Table5[[#This Row],[bill_date]],"mmmm")</f>
        <v>February</v>
      </c>
      <c r="E2801" s="9">
        <f>YEAR(Table5[[#This Row],[bill_date]])</f>
        <v>2022</v>
      </c>
      <c r="F2801">
        <v>781</v>
      </c>
      <c r="G2801" t="s">
        <v>30</v>
      </c>
    </row>
    <row r="2802" spans="1:7" x14ac:dyDescent="0.3">
      <c r="A2802">
        <v>32801</v>
      </c>
      <c r="B2802">
        <v>412</v>
      </c>
      <c r="C2802" s="2">
        <v>44920</v>
      </c>
      <c r="D2802" s="2" t="str">
        <f>TEXT(Table5[[#This Row],[bill_date]],"mmmm")</f>
        <v>December</v>
      </c>
      <c r="E2802" s="9">
        <f>YEAR(Table5[[#This Row],[bill_date]])</f>
        <v>2022</v>
      </c>
      <c r="F2802">
        <v>1918</v>
      </c>
      <c r="G2802" t="s">
        <v>29</v>
      </c>
    </row>
    <row r="2803" spans="1:7" x14ac:dyDescent="0.3">
      <c r="A2803">
        <v>32802</v>
      </c>
      <c r="B2803">
        <v>22</v>
      </c>
      <c r="C2803" s="2">
        <v>44698</v>
      </c>
      <c r="D2803" s="2" t="str">
        <f>TEXT(Table5[[#This Row],[bill_date]],"mmmm")</f>
        <v>May</v>
      </c>
      <c r="E2803" s="9">
        <f>YEAR(Table5[[#This Row],[bill_date]])</f>
        <v>2022</v>
      </c>
      <c r="F2803">
        <v>302</v>
      </c>
      <c r="G2803" t="s">
        <v>29</v>
      </c>
    </row>
    <row r="2804" spans="1:7" x14ac:dyDescent="0.3">
      <c r="A2804">
        <v>32803</v>
      </c>
      <c r="B2804">
        <v>340</v>
      </c>
      <c r="C2804" s="2">
        <v>45384</v>
      </c>
      <c r="D2804" s="2" t="str">
        <f>TEXT(Table5[[#This Row],[bill_date]],"mmmm")</f>
        <v>April</v>
      </c>
      <c r="E2804" s="9">
        <f>YEAR(Table5[[#This Row],[bill_date]])</f>
        <v>2024</v>
      </c>
      <c r="F2804">
        <v>209</v>
      </c>
      <c r="G2804" t="s">
        <v>28</v>
      </c>
    </row>
    <row r="2805" spans="1:7" x14ac:dyDescent="0.3">
      <c r="A2805">
        <v>32804</v>
      </c>
      <c r="B2805">
        <v>495</v>
      </c>
      <c r="C2805" s="2">
        <v>45381</v>
      </c>
      <c r="D2805" s="2" t="str">
        <f>TEXT(Table5[[#This Row],[bill_date]],"mmmm")</f>
        <v>March</v>
      </c>
      <c r="E2805" s="9">
        <f>YEAR(Table5[[#This Row],[bill_date]])</f>
        <v>2024</v>
      </c>
      <c r="F2805">
        <v>1208</v>
      </c>
      <c r="G2805" t="s">
        <v>30</v>
      </c>
    </row>
    <row r="2806" spans="1:7" x14ac:dyDescent="0.3">
      <c r="A2806">
        <v>32805</v>
      </c>
      <c r="B2806">
        <v>403</v>
      </c>
      <c r="C2806" s="2">
        <v>45022</v>
      </c>
      <c r="D2806" s="2" t="str">
        <f>TEXT(Table5[[#This Row],[bill_date]],"mmmm")</f>
        <v>April</v>
      </c>
      <c r="E2806" s="9">
        <f>YEAR(Table5[[#This Row],[bill_date]])</f>
        <v>2023</v>
      </c>
      <c r="F2806">
        <v>1942</v>
      </c>
      <c r="G2806" t="s">
        <v>30</v>
      </c>
    </row>
    <row r="2807" spans="1:7" x14ac:dyDescent="0.3">
      <c r="A2807">
        <v>32806</v>
      </c>
      <c r="B2807">
        <v>203</v>
      </c>
      <c r="C2807" s="2">
        <v>44928</v>
      </c>
      <c r="D2807" s="2" t="str">
        <f>TEXT(Table5[[#This Row],[bill_date]],"mmmm")</f>
        <v>January</v>
      </c>
      <c r="E2807" s="9">
        <f>YEAR(Table5[[#This Row],[bill_date]])</f>
        <v>2023</v>
      </c>
      <c r="F2807">
        <v>1447</v>
      </c>
      <c r="G2807" t="s">
        <v>30</v>
      </c>
    </row>
    <row r="2808" spans="1:7" x14ac:dyDescent="0.3">
      <c r="A2808">
        <v>32807</v>
      </c>
      <c r="B2808">
        <v>414</v>
      </c>
      <c r="C2808" s="2">
        <v>44866</v>
      </c>
      <c r="D2808" s="2" t="str">
        <f>TEXT(Table5[[#This Row],[bill_date]],"mmmm")</f>
        <v>November</v>
      </c>
      <c r="E2808" s="9">
        <f>YEAR(Table5[[#This Row],[bill_date]])</f>
        <v>2022</v>
      </c>
      <c r="F2808">
        <v>1539</v>
      </c>
      <c r="G2808" t="s">
        <v>30</v>
      </c>
    </row>
    <row r="2809" spans="1:7" x14ac:dyDescent="0.3">
      <c r="A2809">
        <v>32808</v>
      </c>
      <c r="B2809">
        <v>438</v>
      </c>
      <c r="C2809" s="2">
        <v>44790</v>
      </c>
      <c r="D2809" s="2" t="str">
        <f>TEXT(Table5[[#This Row],[bill_date]],"mmmm")</f>
        <v>August</v>
      </c>
      <c r="E2809" s="9">
        <f>YEAR(Table5[[#This Row],[bill_date]])</f>
        <v>2022</v>
      </c>
      <c r="F2809">
        <v>620</v>
      </c>
      <c r="G2809" t="s">
        <v>30</v>
      </c>
    </row>
    <row r="2810" spans="1:7" x14ac:dyDescent="0.3">
      <c r="A2810">
        <v>32809</v>
      </c>
      <c r="B2810">
        <v>346</v>
      </c>
      <c r="C2810" s="2">
        <v>44744</v>
      </c>
      <c r="D2810" s="2" t="str">
        <f>TEXT(Table5[[#This Row],[bill_date]],"mmmm")</f>
        <v>July</v>
      </c>
      <c r="E2810" s="9">
        <f>YEAR(Table5[[#This Row],[bill_date]])</f>
        <v>2022</v>
      </c>
      <c r="F2810">
        <v>471</v>
      </c>
      <c r="G2810" t="s">
        <v>30</v>
      </c>
    </row>
    <row r="2811" spans="1:7" x14ac:dyDescent="0.3">
      <c r="A2811">
        <v>32810</v>
      </c>
      <c r="B2811">
        <v>15</v>
      </c>
      <c r="C2811" s="2">
        <v>45028</v>
      </c>
      <c r="D2811" s="2" t="str">
        <f>TEXT(Table5[[#This Row],[bill_date]],"mmmm")</f>
        <v>April</v>
      </c>
      <c r="E2811" s="9">
        <f>YEAR(Table5[[#This Row],[bill_date]])</f>
        <v>2023</v>
      </c>
      <c r="F2811">
        <v>252</v>
      </c>
      <c r="G2811" t="s">
        <v>29</v>
      </c>
    </row>
    <row r="2812" spans="1:7" x14ac:dyDescent="0.3">
      <c r="A2812">
        <v>32811</v>
      </c>
      <c r="B2812">
        <v>30</v>
      </c>
      <c r="C2812" s="2">
        <v>45399</v>
      </c>
      <c r="D2812" s="2" t="str">
        <f>TEXT(Table5[[#This Row],[bill_date]],"mmmm")</f>
        <v>April</v>
      </c>
      <c r="E2812" s="9">
        <f>YEAR(Table5[[#This Row],[bill_date]])</f>
        <v>2024</v>
      </c>
      <c r="F2812">
        <v>1395</v>
      </c>
      <c r="G2812" t="s">
        <v>30</v>
      </c>
    </row>
    <row r="2813" spans="1:7" x14ac:dyDescent="0.3">
      <c r="A2813">
        <v>32812</v>
      </c>
      <c r="B2813">
        <v>29</v>
      </c>
      <c r="C2813" s="2">
        <v>44765</v>
      </c>
      <c r="D2813" s="2" t="str">
        <f>TEXT(Table5[[#This Row],[bill_date]],"mmmm")</f>
        <v>July</v>
      </c>
      <c r="E2813" s="9">
        <f>YEAR(Table5[[#This Row],[bill_date]])</f>
        <v>2022</v>
      </c>
      <c r="F2813">
        <v>445</v>
      </c>
      <c r="G2813" t="s">
        <v>30</v>
      </c>
    </row>
    <row r="2814" spans="1:7" x14ac:dyDescent="0.3">
      <c r="A2814">
        <v>32813</v>
      </c>
      <c r="B2814">
        <v>252</v>
      </c>
      <c r="C2814" s="2">
        <v>45184</v>
      </c>
      <c r="D2814" s="2" t="str">
        <f>TEXT(Table5[[#This Row],[bill_date]],"mmmm")</f>
        <v>September</v>
      </c>
      <c r="E2814" s="9">
        <f>YEAR(Table5[[#This Row],[bill_date]])</f>
        <v>2023</v>
      </c>
      <c r="F2814">
        <v>863</v>
      </c>
      <c r="G2814" t="s">
        <v>30</v>
      </c>
    </row>
    <row r="2815" spans="1:7" x14ac:dyDescent="0.3">
      <c r="A2815">
        <v>32814</v>
      </c>
      <c r="B2815">
        <v>160</v>
      </c>
      <c r="C2815" s="2">
        <v>45460</v>
      </c>
      <c r="D2815" s="2" t="str">
        <f>TEXT(Table5[[#This Row],[bill_date]],"mmmm")</f>
        <v>June</v>
      </c>
      <c r="E2815" s="9">
        <f>YEAR(Table5[[#This Row],[bill_date]])</f>
        <v>2024</v>
      </c>
      <c r="F2815">
        <v>816</v>
      </c>
      <c r="G2815" t="s">
        <v>30</v>
      </c>
    </row>
    <row r="2816" spans="1:7" x14ac:dyDescent="0.3">
      <c r="A2816">
        <v>32815</v>
      </c>
      <c r="B2816">
        <v>117</v>
      </c>
      <c r="C2816" s="2">
        <v>44629</v>
      </c>
      <c r="D2816" s="2" t="str">
        <f>TEXT(Table5[[#This Row],[bill_date]],"mmmm")</f>
        <v>March</v>
      </c>
      <c r="E2816" s="9">
        <f>YEAR(Table5[[#This Row],[bill_date]])</f>
        <v>2022</v>
      </c>
      <c r="F2816">
        <v>1381</v>
      </c>
      <c r="G2816" t="s">
        <v>30</v>
      </c>
    </row>
    <row r="2817" spans="1:7" x14ac:dyDescent="0.3">
      <c r="A2817">
        <v>32816</v>
      </c>
      <c r="B2817">
        <v>158</v>
      </c>
      <c r="C2817" s="2">
        <v>45430</v>
      </c>
      <c r="D2817" s="2" t="str">
        <f>TEXT(Table5[[#This Row],[bill_date]],"mmmm")</f>
        <v>May</v>
      </c>
      <c r="E2817" s="9">
        <f>YEAR(Table5[[#This Row],[bill_date]])</f>
        <v>2024</v>
      </c>
      <c r="F2817">
        <v>1328</v>
      </c>
      <c r="G2817" t="s">
        <v>30</v>
      </c>
    </row>
    <row r="2818" spans="1:7" x14ac:dyDescent="0.3">
      <c r="A2818">
        <v>32817</v>
      </c>
      <c r="B2818">
        <v>108</v>
      </c>
      <c r="C2818" s="2">
        <v>45111</v>
      </c>
      <c r="D2818" s="2" t="str">
        <f>TEXT(Table5[[#This Row],[bill_date]],"mmmm")</f>
        <v>July</v>
      </c>
      <c r="E2818" s="9">
        <f>YEAR(Table5[[#This Row],[bill_date]])</f>
        <v>2023</v>
      </c>
      <c r="F2818">
        <v>1927</v>
      </c>
      <c r="G2818" t="s">
        <v>28</v>
      </c>
    </row>
    <row r="2819" spans="1:7" x14ac:dyDescent="0.3">
      <c r="A2819">
        <v>32818</v>
      </c>
      <c r="B2819">
        <v>115</v>
      </c>
      <c r="C2819" s="2">
        <v>45271</v>
      </c>
      <c r="D2819" s="2" t="str">
        <f>TEXT(Table5[[#This Row],[bill_date]],"mmmm")</f>
        <v>December</v>
      </c>
      <c r="E2819" s="9">
        <f>YEAR(Table5[[#This Row],[bill_date]])</f>
        <v>2023</v>
      </c>
      <c r="F2819">
        <v>493</v>
      </c>
      <c r="G2819" t="s">
        <v>28</v>
      </c>
    </row>
    <row r="2820" spans="1:7" x14ac:dyDescent="0.3">
      <c r="A2820">
        <v>32819</v>
      </c>
      <c r="B2820">
        <v>272</v>
      </c>
      <c r="C2820" s="2">
        <v>44866</v>
      </c>
      <c r="D2820" s="2" t="str">
        <f>TEXT(Table5[[#This Row],[bill_date]],"mmmm")</f>
        <v>November</v>
      </c>
      <c r="E2820" s="9">
        <f>YEAR(Table5[[#This Row],[bill_date]])</f>
        <v>2022</v>
      </c>
      <c r="F2820">
        <v>474</v>
      </c>
      <c r="G2820" t="s">
        <v>30</v>
      </c>
    </row>
    <row r="2821" spans="1:7" x14ac:dyDescent="0.3">
      <c r="A2821">
        <v>32820</v>
      </c>
      <c r="B2821">
        <v>420</v>
      </c>
      <c r="C2821" s="2">
        <v>45165</v>
      </c>
      <c r="D2821" s="2" t="str">
        <f>TEXT(Table5[[#This Row],[bill_date]],"mmmm")</f>
        <v>August</v>
      </c>
      <c r="E2821" s="9">
        <f>YEAR(Table5[[#This Row],[bill_date]])</f>
        <v>2023</v>
      </c>
      <c r="F2821">
        <v>783</v>
      </c>
      <c r="G2821" t="s">
        <v>28</v>
      </c>
    </row>
    <row r="2822" spans="1:7" x14ac:dyDescent="0.3">
      <c r="A2822">
        <v>32821</v>
      </c>
      <c r="B2822">
        <v>338</v>
      </c>
      <c r="C2822" s="2">
        <v>45337</v>
      </c>
      <c r="D2822" s="2" t="str">
        <f>TEXT(Table5[[#This Row],[bill_date]],"mmmm")</f>
        <v>February</v>
      </c>
      <c r="E2822" s="9">
        <f>YEAR(Table5[[#This Row],[bill_date]])</f>
        <v>2024</v>
      </c>
      <c r="F2822">
        <v>1265</v>
      </c>
      <c r="G2822" t="s">
        <v>28</v>
      </c>
    </row>
    <row r="2823" spans="1:7" x14ac:dyDescent="0.3">
      <c r="A2823">
        <v>32822</v>
      </c>
      <c r="B2823">
        <v>489</v>
      </c>
      <c r="C2823" s="2">
        <v>45316</v>
      </c>
      <c r="D2823" s="2" t="str">
        <f>TEXT(Table5[[#This Row],[bill_date]],"mmmm")</f>
        <v>January</v>
      </c>
      <c r="E2823" s="9">
        <f>YEAR(Table5[[#This Row],[bill_date]])</f>
        <v>2024</v>
      </c>
      <c r="F2823">
        <v>392</v>
      </c>
      <c r="G2823" t="s">
        <v>30</v>
      </c>
    </row>
    <row r="2824" spans="1:7" x14ac:dyDescent="0.3">
      <c r="A2824">
        <v>32823</v>
      </c>
      <c r="B2824">
        <v>176</v>
      </c>
      <c r="C2824" s="2">
        <v>45189</v>
      </c>
      <c r="D2824" s="2" t="str">
        <f>TEXT(Table5[[#This Row],[bill_date]],"mmmm")</f>
        <v>September</v>
      </c>
      <c r="E2824" s="9">
        <f>YEAR(Table5[[#This Row],[bill_date]])</f>
        <v>2023</v>
      </c>
      <c r="F2824">
        <v>1863</v>
      </c>
      <c r="G2824" t="s">
        <v>30</v>
      </c>
    </row>
    <row r="2825" spans="1:7" x14ac:dyDescent="0.3">
      <c r="A2825">
        <v>32824</v>
      </c>
      <c r="B2825">
        <v>231</v>
      </c>
      <c r="C2825" s="2">
        <v>44656</v>
      </c>
      <c r="D2825" s="2" t="str">
        <f>TEXT(Table5[[#This Row],[bill_date]],"mmmm")</f>
        <v>April</v>
      </c>
      <c r="E2825" s="9">
        <f>YEAR(Table5[[#This Row],[bill_date]])</f>
        <v>2022</v>
      </c>
      <c r="F2825">
        <v>509</v>
      </c>
      <c r="G2825" t="s">
        <v>28</v>
      </c>
    </row>
    <row r="2826" spans="1:7" x14ac:dyDescent="0.3">
      <c r="A2826">
        <v>32825</v>
      </c>
      <c r="B2826">
        <v>284</v>
      </c>
      <c r="C2826" s="2">
        <v>45286</v>
      </c>
      <c r="D2826" s="2" t="str">
        <f>TEXT(Table5[[#This Row],[bill_date]],"mmmm")</f>
        <v>December</v>
      </c>
      <c r="E2826" s="9">
        <f>YEAR(Table5[[#This Row],[bill_date]])</f>
        <v>2023</v>
      </c>
      <c r="F2826">
        <v>818</v>
      </c>
      <c r="G2826" t="s">
        <v>30</v>
      </c>
    </row>
    <row r="2827" spans="1:7" x14ac:dyDescent="0.3">
      <c r="A2827">
        <v>32826</v>
      </c>
      <c r="B2827">
        <v>318</v>
      </c>
      <c r="C2827" s="2">
        <v>44807</v>
      </c>
      <c r="D2827" s="2" t="str">
        <f>TEXT(Table5[[#This Row],[bill_date]],"mmmm")</f>
        <v>September</v>
      </c>
      <c r="E2827" s="9">
        <f>YEAR(Table5[[#This Row],[bill_date]])</f>
        <v>2022</v>
      </c>
      <c r="F2827">
        <v>1325</v>
      </c>
      <c r="G2827" t="s">
        <v>30</v>
      </c>
    </row>
    <row r="2828" spans="1:7" x14ac:dyDescent="0.3">
      <c r="A2828">
        <v>32827</v>
      </c>
      <c r="B2828">
        <v>250</v>
      </c>
      <c r="C2828" s="2">
        <v>45246</v>
      </c>
      <c r="D2828" s="2" t="str">
        <f>TEXT(Table5[[#This Row],[bill_date]],"mmmm")</f>
        <v>November</v>
      </c>
      <c r="E2828" s="9">
        <f>YEAR(Table5[[#This Row],[bill_date]])</f>
        <v>2023</v>
      </c>
      <c r="F2828">
        <v>843</v>
      </c>
      <c r="G2828" t="s">
        <v>30</v>
      </c>
    </row>
    <row r="2829" spans="1:7" x14ac:dyDescent="0.3">
      <c r="A2829">
        <v>32828</v>
      </c>
      <c r="B2829">
        <v>467</v>
      </c>
      <c r="C2829" s="2">
        <v>45358</v>
      </c>
      <c r="D2829" s="2" t="str">
        <f>TEXT(Table5[[#This Row],[bill_date]],"mmmm")</f>
        <v>March</v>
      </c>
      <c r="E2829" s="9">
        <f>YEAR(Table5[[#This Row],[bill_date]])</f>
        <v>2024</v>
      </c>
      <c r="F2829">
        <v>448</v>
      </c>
      <c r="G2829" t="s">
        <v>30</v>
      </c>
    </row>
    <row r="2830" spans="1:7" x14ac:dyDescent="0.3">
      <c r="A2830">
        <v>32829</v>
      </c>
      <c r="B2830">
        <v>440</v>
      </c>
      <c r="C2830" s="2">
        <v>44640</v>
      </c>
      <c r="D2830" s="2" t="str">
        <f>TEXT(Table5[[#This Row],[bill_date]],"mmmm")</f>
        <v>March</v>
      </c>
      <c r="E2830" s="9">
        <f>YEAR(Table5[[#This Row],[bill_date]])</f>
        <v>2022</v>
      </c>
      <c r="F2830">
        <v>1618</v>
      </c>
      <c r="G2830" t="s">
        <v>30</v>
      </c>
    </row>
    <row r="2831" spans="1:7" x14ac:dyDescent="0.3">
      <c r="A2831">
        <v>32830</v>
      </c>
      <c r="B2831">
        <v>56</v>
      </c>
      <c r="C2831" s="2">
        <v>44994</v>
      </c>
      <c r="D2831" s="2" t="str">
        <f>TEXT(Table5[[#This Row],[bill_date]],"mmmm")</f>
        <v>March</v>
      </c>
      <c r="E2831" s="9">
        <f>YEAR(Table5[[#This Row],[bill_date]])</f>
        <v>2023</v>
      </c>
      <c r="F2831">
        <v>980</v>
      </c>
      <c r="G2831" t="s">
        <v>30</v>
      </c>
    </row>
    <row r="2832" spans="1:7" x14ac:dyDescent="0.3">
      <c r="A2832">
        <v>32831</v>
      </c>
      <c r="B2832">
        <v>331</v>
      </c>
      <c r="C2832" s="2">
        <v>44841</v>
      </c>
      <c r="D2832" s="2" t="str">
        <f>TEXT(Table5[[#This Row],[bill_date]],"mmmm")</f>
        <v>October</v>
      </c>
      <c r="E2832" s="9">
        <f>YEAR(Table5[[#This Row],[bill_date]])</f>
        <v>2022</v>
      </c>
      <c r="F2832">
        <v>1154</v>
      </c>
      <c r="G2832" t="s">
        <v>30</v>
      </c>
    </row>
    <row r="2833" spans="1:7" x14ac:dyDescent="0.3">
      <c r="A2833">
        <v>32832</v>
      </c>
      <c r="B2833">
        <v>273</v>
      </c>
      <c r="C2833" s="2">
        <v>45222</v>
      </c>
      <c r="D2833" s="2" t="str">
        <f>TEXT(Table5[[#This Row],[bill_date]],"mmmm")</f>
        <v>October</v>
      </c>
      <c r="E2833" s="9">
        <f>YEAR(Table5[[#This Row],[bill_date]])</f>
        <v>2023</v>
      </c>
      <c r="F2833">
        <v>1837</v>
      </c>
      <c r="G2833" t="s">
        <v>30</v>
      </c>
    </row>
    <row r="2834" spans="1:7" x14ac:dyDescent="0.3">
      <c r="A2834">
        <v>32833</v>
      </c>
      <c r="B2834">
        <v>190</v>
      </c>
      <c r="C2834" s="2">
        <v>44930</v>
      </c>
      <c r="D2834" s="2" t="str">
        <f>TEXT(Table5[[#This Row],[bill_date]],"mmmm")</f>
        <v>January</v>
      </c>
      <c r="E2834" s="9">
        <f>YEAR(Table5[[#This Row],[bill_date]])</f>
        <v>2023</v>
      </c>
      <c r="F2834">
        <v>494</v>
      </c>
      <c r="G2834" t="s">
        <v>30</v>
      </c>
    </row>
    <row r="2835" spans="1:7" x14ac:dyDescent="0.3">
      <c r="A2835">
        <v>32834</v>
      </c>
      <c r="B2835">
        <v>21</v>
      </c>
      <c r="C2835" s="2">
        <v>44840</v>
      </c>
      <c r="D2835" s="2" t="str">
        <f>TEXT(Table5[[#This Row],[bill_date]],"mmmm")</f>
        <v>October</v>
      </c>
      <c r="E2835" s="9">
        <f>YEAR(Table5[[#This Row],[bill_date]])</f>
        <v>2022</v>
      </c>
      <c r="F2835">
        <v>436</v>
      </c>
      <c r="G2835" t="s">
        <v>29</v>
      </c>
    </row>
    <row r="2836" spans="1:7" x14ac:dyDescent="0.3">
      <c r="A2836">
        <v>32835</v>
      </c>
      <c r="B2836">
        <v>165</v>
      </c>
      <c r="C2836" s="2">
        <v>44912</v>
      </c>
      <c r="D2836" s="2" t="str">
        <f>TEXT(Table5[[#This Row],[bill_date]],"mmmm")</f>
        <v>December</v>
      </c>
      <c r="E2836" s="9">
        <f>YEAR(Table5[[#This Row],[bill_date]])</f>
        <v>2022</v>
      </c>
      <c r="F2836">
        <v>1842</v>
      </c>
      <c r="G2836" t="s">
        <v>30</v>
      </c>
    </row>
    <row r="2837" spans="1:7" x14ac:dyDescent="0.3">
      <c r="A2837">
        <v>32836</v>
      </c>
      <c r="B2837">
        <v>492</v>
      </c>
      <c r="C2837" s="2">
        <v>44787</v>
      </c>
      <c r="D2837" s="2" t="str">
        <f>TEXT(Table5[[#This Row],[bill_date]],"mmmm")</f>
        <v>August</v>
      </c>
      <c r="E2837" s="9">
        <f>YEAR(Table5[[#This Row],[bill_date]])</f>
        <v>2022</v>
      </c>
      <c r="F2837">
        <v>1871</v>
      </c>
      <c r="G2837" t="s">
        <v>30</v>
      </c>
    </row>
    <row r="2838" spans="1:7" x14ac:dyDescent="0.3">
      <c r="A2838">
        <v>32837</v>
      </c>
      <c r="B2838">
        <v>371</v>
      </c>
      <c r="C2838" s="2">
        <v>44967</v>
      </c>
      <c r="D2838" s="2" t="str">
        <f>TEXT(Table5[[#This Row],[bill_date]],"mmmm")</f>
        <v>February</v>
      </c>
      <c r="E2838" s="9">
        <f>YEAR(Table5[[#This Row],[bill_date]])</f>
        <v>2023</v>
      </c>
      <c r="F2838">
        <v>1008</v>
      </c>
      <c r="G2838" t="s">
        <v>30</v>
      </c>
    </row>
    <row r="2839" spans="1:7" x14ac:dyDescent="0.3">
      <c r="A2839">
        <v>32838</v>
      </c>
      <c r="B2839">
        <v>418</v>
      </c>
      <c r="C2839" s="2">
        <v>45007</v>
      </c>
      <c r="D2839" s="2" t="str">
        <f>TEXT(Table5[[#This Row],[bill_date]],"mmmm")</f>
        <v>March</v>
      </c>
      <c r="E2839" s="9">
        <f>YEAR(Table5[[#This Row],[bill_date]])</f>
        <v>2023</v>
      </c>
      <c r="F2839">
        <v>487</v>
      </c>
      <c r="G2839" t="s">
        <v>30</v>
      </c>
    </row>
    <row r="2840" spans="1:7" x14ac:dyDescent="0.3">
      <c r="A2840">
        <v>32839</v>
      </c>
      <c r="B2840">
        <v>481</v>
      </c>
      <c r="C2840" s="2">
        <v>44884</v>
      </c>
      <c r="D2840" s="2" t="str">
        <f>TEXT(Table5[[#This Row],[bill_date]],"mmmm")</f>
        <v>November</v>
      </c>
      <c r="E2840" s="9">
        <f>YEAR(Table5[[#This Row],[bill_date]])</f>
        <v>2022</v>
      </c>
      <c r="F2840">
        <v>735</v>
      </c>
      <c r="G2840" t="s">
        <v>30</v>
      </c>
    </row>
    <row r="2841" spans="1:7" x14ac:dyDescent="0.3">
      <c r="A2841">
        <v>32840</v>
      </c>
      <c r="B2841">
        <v>285</v>
      </c>
      <c r="C2841" s="2">
        <v>45191</v>
      </c>
      <c r="D2841" s="2" t="str">
        <f>TEXT(Table5[[#This Row],[bill_date]],"mmmm")</f>
        <v>September</v>
      </c>
      <c r="E2841" s="9">
        <f>YEAR(Table5[[#This Row],[bill_date]])</f>
        <v>2023</v>
      </c>
      <c r="F2841">
        <v>1852</v>
      </c>
      <c r="G2841" t="s">
        <v>30</v>
      </c>
    </row>
    <row r="2842" spans="1:7" x14ac:dyDescent="0.3">
      <c r="A2842">
        <v>32841</v>
      </c>
      <c r="B2842">
        <v>68</v>
      </c>
      <c r="C2842" s="2">
        <v>44634</v>
      </c>
      <c r="D2842" s="2" t="str">
        <f>TEXT(Table5[[#This Row],[bill_date]],"mmmm")</f>
        <v>March</v>
      </c>
      <c r="E2842" s="9">
        <f>YEAR(Table5[[#This Row],[bill_date]])</f>
        <v>2022</v>
      </c>
      <c r="F2842">
        <v>1964</v>
      </c>
      <c r="G2842" t="s">
        <v>30</v>
      </c>
    </row>
    <row r="2843" spans="1:7" x14ac:dyDescent="0.3">
      <c r="A2843">
        <v>32842</v>
      </c>
      <c r="B2843">
        <v>480</v>
      </c>
      <c r="C2843" s="2">
        <v>45079</v>
      </c>
      <c r="D2843" s="2" t="str">
        <f>TEXT(Table5[[#This Row],[bill_date]],"mmmm")</f>
        <v>June</v>
      </c>
      <c r="E2843" s="9">
        <f>YEAR(Table5[[#This Row],[bill_date]])</f>
        <v>2023</v>
      </c>
      <c r="F2843">
        <v>454</v>
      </c>
      <c r="G2843" t="s">
        <v>30</v>
      </c>
    </row>
    <row r="2844" spans="1:7" x14ac:dyDescent="0.3">
      <c r="A2844">
        <v>32843</v>
      </c>
      <c r="B2844">
        <v>444</v>
      </c>
      <c r="C2844" s="2">
        <v>44882</v>
      </c>
      <c r="D2844" s="2" t="str">
        <f>TEXT(Table5[[#This Row],[bill_date]],"mmmm")</f>
        <v>November</v>
      </c>
      <c r="E2844" s="9">
        <f>YEAR(Table5[[#This Row],[bill_date]])</f>
        <v>2022</v>
      </c>
      <c r="F2844">
        <v>719</v>
      </c>
      <c r="G2844" t="s">
        <v>30</v>
      </c>
    </row>
    <row r="2845" spans="1:7" x14ac:dyDescent="0.3">
      <c r="A2845">
        <v>32844</v>
      </c>
      <c r="B2845">
        <v>267</v>
      </c>
      <c r="C2845" s="2">
        <v>44583</v>
      </c>
      <c r="D2845" s="2" t="str">
        <f>TEXT(Table5[[#This Row],[bill_date]],"mmmm")</f>
        <v>January</v>
      </c>
      <c r="E2845" s="9">
        <f>YEAR(Table5[[#This Row],[bill_date]])</f>
        <v>2022</v>
      </c>
      <c r="F2845">
        <v>1341</v>
      </c>
      <c r="G2845" t="s">
        <v>30</v>
      </c>
    </row>
    <row r="2846" spans="1:7" x14ac:dyDescent="0.3">
      <c r="A2846">
        <v>32845</v>
      </c>
      <c r="B2846">
        <v>218</v>
      </c>
      <c r="C2846" s="2">
        <v>44740</v>
      </c>
      <c r="D2846" s="2" t="str">
        <f>TEXT(Table5[[#This Row],[bill_date]],"mmmm")</f>
        <v>June</v>
      </c>
      <c r="E2846" s="9">
        <f>YEAR(Table5[[#This Row],[bill_date]])</f>
        <v>2022</v>
      </c>
      <c r="F2846">
        <v>317</v>
      </c>
      <c r="G2846" t="s">
        <v>30</v>
      </c>
    </row>
    <row r="2847" spans="1:7" x14ac:dyDescent="0.3">
      <c r="A2847">
        <v>32846</v>
      </c>
      <c r="B2847">
        <v>338</v>
      </c>
      <c r="C2847" s="2">
        <v>45269</v>
      </c>
      <c r="D2847" s="2" t="str">
        <f>TEXT(Table5[[#This Row],[bill_date]],"mmmm")</f>
        <v>December</v>
      </c>
      <c r="E2847" s="9">
        <f>YEAR(Table5[[#This Row],[bill_date]])</f>
        <v>2023</v>
      </c>
      <c r="F2847">
        <v>1313</v>
      </c>
      <c r="G2847" t="s">
        <v>30</v>
      </c>
    </row>
    <row r="2848" spans="1:7" x14ac:dyDescent="0.3">
      <c r="A2848">
        <v>32847</v>
      </c>
      <c r="B2848">
        <v>384</v>
      </c>
      <c r="C2848" s="2">
        <v>44670</v>
      </c>
      <c r="D2848" s="2" t="str">
        <f>TEXT(Table5[[#This Row],[bill_date]],"mmmm")</f>
        <v>April</v>
      </c>
      <c r="E2848" s="9">
        <f>YEAR(Table5[[#This Row],[bill_date]])</f>
        <v>2022</v>
      </c>
      <c r="F2848">
        <v>370</v>
      </c>
      <c r="G2848" t="s">
        <v>30</v>
      </c>
    </row>
    <row r="2849" spans="1:7" x14ac:dyDescent="0.3">
      <c r="A2849">
        <v>32848</v>
      </c>
      <c r="B2849">
        <v>373</v>
      </c>
      <c r="C2849" s="2">
        <v>44933</v>
      </c>
      <c r="D2849" s="2" t="str">
        <f>TEXT(Table5[[#This Row],[bill_date]],"mmmm")</f>
        <v>January</v>
      </c>
      <c r="E2849" s="9">
        <f>YEAR(Table5[[#This Row],[bill_date]])</f>
        <v>2023</v>
      </c>
      <c r="F2849">
        <v>921</v>
      </c>
      <c r="G2849" t="s">
        <v>30</v>
      </c>
    </row>
    <row r="2850" spans="1:7" x14ac:dyDescent="0.3">
      <c r="A2850">
        <v>32849</v>
      </c>
      <c r="B2850">
        <v>96</v>
      </c>
      <c r="C2850" s="2">
        <v>45258</v>
      </c>
      <c r="D2850" s="2" t="str">
        <f>TEXT(Table5[[#This Row],[bill_date]],"mmmm")</f>
        <v>November</v>
      </c>
      <c r="E2850" s="9">
        <f>YEAR(Table5[[#This Row],[bill_date]])</f>
        <v>2023</v>
      </c>
      <c r="F2850">
        <v>1024</v>
      </c>
      <c r="G2850" t="s">
        <v>30</v>
      </c>
    </row>
    <row r="2851" spans="1:7" x14ac:dyDescent="0.3">
      <c r="A2851">
        <v>32850</v>
      </c>
      <c r="B2851">
        <v>188</v>
      </c>
      <c r="C2851" s="2">
        <v>45017</v>
      </c>
      <c r="D2851" s="2" t="str">
        <f>TEXT(Table5[[#This Row],[bill_date]],"mmmm")</f>
        <v>April</v>
      </c>
      <c r="E2851" s="9">
        <f>YEAR(Table5[[#This Row],[bill_date]])</f>
        <v>2023</v>
      </c>
      <c r="F2851">
        <v>1338</v>
      </c>
      <c r="G2851" t="s">
        <v>30</v>
      </c>
    </row>
    <row r="2852" spans="1:7" x14ac:dyDescent="0.3">
      <c r="A2852">
        <v>32851</v>
      </c>
      <c r="B2852">
        <v>475</v>
      </c>
      <c r="C2852" s="2">
        <v>45128</v>
      </c>
      <c r="D2852" s="2" t="str">
        <f>TEXT(Table5[[#This Row],[bill_date]],"mmmm")</f>
        <v>July</v>
      </c>
      <c r="E2852" s="9">
        <f>YEAR(Table5[[#This Row],[bill_date]])</f>
        <v>2023</v>
      </c>
      <c r="F2852">
        <v>1756</v>
      </c>
      <c r="G2852" t="s">
        <v>30</v>
      </c>
    </row>
    <row r="2853" spans="1:7" x14ac:dyDescent="0.3">
      <c r="A2853">
        <v>32852</v>
      </c>
      <c r="B2853">
        <v>208</v>
      </c>
      <c r="C2853" s="2">
        <v>44790</v>
      </c>
      <c r="D2853" s="2" t="str">
        <f>TEXT(Table5[[#This Row],[bill_date]],"mmmm")</f>
        <v>August</v>
      </c>
      <c r="E2853" s="9">
        <f>YEAR(Table5[[#This Row],[bill_date]])</f>
        <v>2022</v>
      </c>
      <c r="F2853">
        <v>547</v>
      </c>
      <c r="G2853" t="s">
        <v>30</v>
      </c>
    </row>
    <row r="2854" spans="1:7" x14ac:dyDescent="0.3">
      <c r="A2854">
        <v>32853</v>
      </c>
      <c r="B2854">
        <v>74</v>
      </c>
      <c r="C2854" s="2">
        <v>45092</v>
      </c>
      <c r="D2854" s="2" t="str">
        <f>TEXT(Table5[[#This Row],[bill_date]],"mmmm")</f>
        <v>June</v>
      </c>
      <c r="E2854" s="9">
        <f>YEAR(Table5[[#This Row],[bill_date]])</f>
        <v>2023</v>
      </c>
      <c r="F2854">
        <v>765</v>
      </c>
      <c r="G2854" t="s">
        <v>30</v>
      </c>
    </row>
    <row r="2855" spans="1:7" x14ac:dyDescent="0.3">
      <c r="A2855">
        <v>32854</v>
      </c>
      <c r="B2855">
        <v>364</v>
      </c>
      <c r="C2855" s="2">
        <v>44925</v>
      </c>
      <c r="D2855" s="2" t="str">
        <f>TEXT(Table5[[#This Row],[bill_date]],"mmmm")</f>
        <v>December</v>
      </c>
      <c r="E2855" s="9">
        <f>YEAR(Table5[[#This Row],[bill_date]])</f>
        <v>2022</v>
      </c>
      <c r="F2855">
        <v>674</v>
      </c>
      <c r="G2855" t="s">
        <v>30</v>
      </c>
    </row>
    <row r="2856" spans="1:7" x14ac:dyDescent="0.3">
      <c r="A2856">
        <v>32855</v>
      </c>
      <c r="B2856">
        <v>162</v>
      </c>
      <c r="C2856" s="2">
        <v>45458</v>
      </c>
      <c r="D2856" s="2" t="str">
        <f>TEXT(Table5[[#This Row],[bill_date]],"mmmm")</f>
        <v>June</v>
      </c>
      <c r="E2856" s="9">
        <f>YEAR(Table5[[#This Row],[bill_date]])</f>
        <v>2024</v>
      </c>
      <c r="F2856">
        <v>1667</v>
      </c>
      <c r="G2856" t="s">
        <v>30</v>
      </c>
    </row>
    <row r="2857" spans="1:7" x14ac:dyDescent="0.3">
      <c r="A2857">
        <v>32856</v>
      </c>
      <c r="B2857">
        <v>161</v>
      </c>
      <c r="C2857" s="2">
        <v>44986</v>
      </c>
      <c r="D2857" s="2" t="str">
        <f>TEXT(Table5[[#This Row],[bill_date]],"mmmm")</f>
        <v>March</v>
      </c>
      <c r="E2857" s="9">
        <f>YEAR(Table5[[#This Row],[bill_date]])</f>
        <v>2023</v>
      </c>
      <c r="F2857">
        <v>306</v>
      </c>
      <c r="G2857" t="s">
        <v>28</v>
      </c>
    </row>
    <row r="2858" spans="1:7" x14ac:dyDescent="0.3">
      <c r="A2858">
        <v>32857</v>
      </c>
      <c r="B2858">
        <v>394</v>
      </c>
      <c r="C2858" s="2">
        <v>44777</v>
      </c>
      <c r="D2858" s="2" t="str">
        <f>TEXT(Table5[[#This Row],[bill_date]],"mmmm")</f>
        <v>August</v>
      </c>
      <c r="E2858" s="9">
        <f>YEAR(Table5[[#This Row],[bill_date]])</f>
        <v>2022</v>
      </c>
      <c r="F2858">
        <v>787</v>
      </c>
      <c r="G2858" t="s">
        <v>30</v>
      </c>
    </row>
    <row r="2859" spans="1:7" x14ac:dyDescent="0.3">
      <c r="A2859">
        <v>32858</v>
      </c>
      <c r="B2859">
        <v>490</v>
      </c>
      <c r="C2859" s="2">
        <v>44609</v>
      </c>
      <c r="D2859" s="2" t="str">
        <f>TEXT(Table5[[#This Row],[bill_date]],"mmmm")</f>
        <v>February</v>
      </c>
      <c r="E2859" s="9">
        <f>YEAR(Table5[[#This Row],[bill_date]])</f>
        <v>2022</v>
      </c>
      <c r="F2859">
        <v>1795</v>
      </c>
      <c r="G2859" t="s">
        <v>30</v>
      </c>
    </row>
    <row r="2860" spans="1:7" x14ac:dyDescent="0.3">
      <c r="A2860">
        <v>32859</v>
      </c>
      <c r="B2860">
        <v>60</v>
      </c>
      <c r="C2860" s="2">
        <v>45026</v>
      </c>
      <c r="D2860" s="2" t="str">
        <f>TEXT(Table5[[#This Row],[bill_date]],"mmmm")</f>
        <v>April</v>
      </c>
      <c r="E2860" s="9">
        <f>YEAR(Table5[[#This Row],[bill_date]])</f>
        <v>2023</v>
      </c>
      <c r="F2860">
        <v>1344</v>
      </c>
      <c r="G2860" t="s">
        <v>30</v>
      </c>
    </row>
    <row r="2861" spans="1:7" x14ac:dyDescent="0.3">
      <c r="A2861">
        <v>32860</v>
      </c>
      <c r="B2861">
        <v>26</v>
      </c>
      <c r="C2861" s="2">
        <v>45233</v>
      </c>
      <c r="D2861" s="2" t="str">
        <f>TEXT(Table5[[#This Row],[bill_date]],"mmmm")</f>
        <v>November</v>
      </c>
      <c r="E2861" s="9">
        <f>YEAR(Table5[[#This Row],[bill_date]])</f>
        <v>2023</v>
      </c>
      <c r="F2861">
        <v>1826</v>
      </c>
      <c r="G2861" t="s">
        <v>30</v>
      </c>
    </row>
    <row r="2862" spans="1:7" x14ac:dyDescent="0.3">
      <c r="A2862">
        <v>32861</v>
      </c>
      <c r="B2862">
        <v>362</v>
      </c>
      <c r="C2862" s="2">
        <v>44834</v>
      </c>
      <c r="D2862" s="2" t="str">
        <f>TEXT(Table5[[#This Row],[bill_date]],"mmmm")</f>
        <v>September</v>
      </c>
      <c r="E2862" s="9">
        <f>YEAR(Table5[[#This Row],[bill_date]])</f>
        <v>2022</v>
      </c>
      <c r="F2862">
        <v>1444</v>
      </c>
      <c r="G2862" t="s">
        <v>30</v>
      </c>
    </row>
    <row r="2863" spans="1:7" x14ac:dyDescent="0.3">
      <c r="A2863">
        <v>32862</v>
      </c>
      <c r="B2863">
        <v>25</v>
      </c>
      <c r="C2863" s="2">
        <v>45169</v>
      </c>
      <c r="D2863" s="2" t="str">
        <f>TEXT(Table5[[#This Row],[bill_date]],"mmmm")</f>
        <v>August</v>
      </c>
      <c r="E2863" s="9">
        <f>YEAR(Table5[[#This Row],[bill_date]])</f>
        <v>2023</v>
      </c>
      <c r="F2863">
        <v>1681</v>
      </c>
      <c r="G2863" t="s">
        <v>30</v>
      </c>
    </row>
    <row r="2864" spans="1:7" x14ac:dyDescent="0.3">
      <c r="A2864">
        <v>32863</v>
      </c>
      <c r="B2864">
        <v>258</v>
      </c>
      <c r="C2864" s="2">
        <v>44591</v>
      </c>
      <c r="D2864" s="2" t="str">
        <f>TEXT(Table5[[#This Row],[bill_date]],"mmmm")</f>
        <v>January</v>
      </c>
      <c r="E2864" s="9">
        <f>YEAR(Table5[[#This Row],[bill_date]])</f>
        <v>2022</v>
      </c>
      <c r="F2864">
        <v>1864</v>
      </c>
      <c r="G2864" t="s">
        <v>30</v>
      </c>
    </row>
    <row r="2865" spans="1:7" x14ac:dyDescent="0.3">
      <c r="A2865">
        <v>32864</v>
      </c>
      <c r="B2865">
        <v>346</v>
      </c>
      <c r="C2865" s="2">
        <v>45194</v>
      </c>
      <c r="D2865" s="2" t="str">
        <f>TEXT(Table5[[#This Row],[bill_date]],"mmmm")</f>
        <v>September</v>
      </c>
      <c r="E2865" s="9">
        <f>YEAR(Table5[[#This Row],[bill_date]])</f>
        <v>2023</v>
      </c>
      <c r="F2865">
        <v>1720</v>
      </c>
      <c r="G2865" t="s">
        <v>30</v>
      </c>
    </row>
    <row r="2866" spans="1:7" x14ac:dyDescent="0.3">
      <c r="A2866">
        <v>32865</v>
      </c>
      <c r="B2866">
        <v>340</v>
      </c>
      <c r="C2866" s="2">
        <v>45440</v>
      </c>
      <c r="D2866" s="2" t="str">
        <f>TEXT(Table5[[#This Row],[bill_date]],"mmmm")</f>
        <v>May</v>
      </c>
      <c r="E2866" s="9">
        <f>YEAR(Table5[[#This Row],[bill_date]])</f>
        <v>2024</v>
      </c>
      <c r="F2866">
        <v>568</v>
      </c>
      <c r="G2866" t="s">
        <v>30</v>
      </c>
    </row>
    <row r="2867" spans="1:7" x14ac:dyDescent="0.3">
      <c r="A2867">
        <v>32866</v>
      </c>
      <c r="B2867">
        <v>3</v>
      </c>
      <c r="C2867" s="2">
        <v>45427</v>
      </c>
      <c r="D2867" s="2" t="str">
        <f>TEXT(Table5[[#This Row],[bill_date]],"mmmm")</f>
        <v>May</v>
      </c>
      <c r="E2867" s="9">
        <f>YEAR(Table5[[#This Row],[bill_date]])</f>
        <v>2024</v>
      </c>
      <c r="F2867">
        <v>958</v>
      </c>
      <c r="G2867" t="s">
        <v>30</v>
      </c>
    </row>
    <row r="2868" spans="1:7" x14ac:dyDescent="0.3">
      <c r="A2868">
        <v>32867</v>
      </c>
      <c r="B2868">
        <v>288</v>
      </c>
      <c r="C2868" s="2">
        <v>44751</v>
      </c>
      <c r="D2868" s="2" t="str">
        <f>TEXT(Table5[[#This Row],[bill_date]],"mmmm")</f>
        <v>July</v>
      </c>
      <c r="E2868" s="9">
        <f>YEAR(Table5[[#This Row],[bill_date]])</f>
        <v>2022</v>
      </c>
      <c r="F2868">
        <v>1343</v>
      </c>
      <c r="G2868" t="s">
        <v>30</v>
      </c>
    </row>
    <row r="2869" spans="1:7" x14ac:dyDescent="0.3">
      <c r="A2869">
        <v>32868</v>
      </c>
      <c r="B2869">
        <v>257</v>
      </c>
      <c r="C2869" s="2">
        <v>44713</v>
      </c>
      <c r="D2869" s="2" t="str">
        <f>TEXT(Table5[[#This Row],[bill_date]],"mmmm")</f>
        <v>June</v>
      </c>
      <c r="E2869" s="9">
        <f>YEAR(Table5[[#This Row],[bill_date]])</f>
        <v>2022</v>
      </c>
      <c r="F2869">
        <v>1423</v>
      </c>
      <c r="G2869" t="s">
        <v>30</v>
      </c>
    </row>
    <row r="2870" spans="1:7" x14ac:dyDescent="0.3">
      <c r="A2870">
        <v>32869</v>
      </c>
      <c r="B2870">
        <v>280</v>
      </c>
      <c r="C2870" s="2">
        <v>44937</v>
      </c>
      <c r="D2870" s="2" t="str">
        <f>TEXT(Table5[[#This Row],[bill_date]],"mmmm")</f>
        <v>January</v>
      </c>
      <c r="E2870" s="9">
        <f>YEAR(Table5[[#This Row],[bill_date]])</f>
        <v>2023</v>
      </c>
      <c r="F2870">
        <v>1383</v>
      </c>
      <c r="G2870" t="s">
        <v>30</v>
      </c>
    </row>
    <row r="2871" spans="1:7" x14ac:dyDescent="0.3">
      <c r="A2871">
        <v>32870</v>
      </c>
      <c r="B2871">
        <v>306</v>
      </c>
      <c r="C2871" s="2">
        <v>44816</v>
      </c>
      <c r="D2871" s="2" t="str">
        <f>TEXT(Table5[[#This Row],[bill_date]],"mmmm")</f>
        <v>September</v>
      </c>
      <c r="E2871" s="9">
        <f>YEAR(Table5[[#This Row],[bill_date]])</f>
        <v>2022</v>
      </c>
      <c r="F2871">
        <v>1984</v>
      </c>
      <c r="G2871" t="s">
        <v>30</v>
      </c>
    </row>
    <row r="2872" spans="1:7" x14ac:dyDescent="0.3">
      <c r="A2872">
        <v>32871</v>
      </c>
      <c r="B2872">
        <v>427</v>
      </c>
      <c r="C2872" s="2">
        <v>45264</v>
      </c>
      <c r="D2872" s="2" t="str">
        <f>TEXT(Table5[[#This Row],[bill_date]],"mmmm")</f>
        <v>December</v>
      </c>
      <c r="E2872" s="9">
        <f>YEAR(Table5[[#This Row],[bill_date]])</f>
        <v>2023</v>
      </c>
      <c r="F2872">
        <v>1440</v>
      </c>
      <c r="G2872" t="s">
        <v>30</v>
      </c>
    </row>
    <row r="2873" spans="1:7" x14ac:dyDescent="0.3">
      <c r="A2873">
        <v>32872</v>
      </c>
      <c r="B2873">
        <v>248</v>
      </c>
      <c r="C2873" s="2">
        <v>45215</v>
      </c>
      <c r="D2873" s="2" t="str">
        <f>TEXT(Table5[[#This Row],[bill_date]],"mmmm")</f>
        <v>October</v>
      </c>
      <c r="E2873" s="9">
        <f>YEAR(Table5[[#This Row],[bill_date]])</f>
        <v>2023</v>
      </c>
      <c r="F2873">
        <v>773</v>
      </c>
      <c r="G2873" t="s">
        <v>30</v>
      </c>
    </row>
    <row r="2874" spans="1:7" x14ac:dyDescent="0.3">
      <c r="A2874">
        <v>32873</v>
      </c>
      <c r="B2874">
        <v>44</v>
      </c>
      <c r="C2874" s="2">
        <v>45319</v>
      </c>
      <c r="D2874" s="2" t="str">
        <f>TEXT(Table5[[#This Row],[bill_date]],"mmmm")</f>
        <v>January</v>
      </c>
      <c r="E2874" s="9">
        <f>YEAR(Table5[[#This Row],[bill_date]])</f>
        <v>2024</v>
      </c>
      <c r="F2874">
        <v>1622</v>
      </c>
      <c r="G2874" t="s">
        <v>30</v>
      </c>
    </row>
    <row r="2875" spans="1:7" x14ac:dyDescent="0.3">
      <c r="A2875">
        <v>32874</v>
      </c>
      <c r="B2875">
        <v>33</v>
      </c>
      <c r="C2875" s="2">
        <v>44595</v>
      </c>
      <c r="D2875" s="2" t="str">
        <f>TEXT(Table5[[#This Row],[bill_date]],"mmmm")</f>
        <v>February</v>
      </c>
      <c r="E2875" s="9">
        <f>YEAR(Table5[[#This Row],[bill_date]])</f>
        <v>2022</v>
      </c>
      <c r="F2875">
        <v>1951</v>
      </c>
      <c r="G2875" t="s">
        <v>30</v>
      </c>
    </row>
    <row r="2876" spans="1:7" x14ac:dyDescent="0.3">
      <c r="A2876">
        <v>32875</v>
      </c>
      <c r="B2876">
        <v>294</v>
      </c>
      <c r="C2876" s="2">
        <v>44748</v>
      </c>
      <c r="D2876" s="2" t="str">
        <f>TEXT(Table5[[#This Row],[bill_date]],"mmmm")</f>
        <v>July</v>
      </c>
      <c r="E2876" s="9">
        <f>YEAR(Table5[[#This Row],[bill_date]])</f>
        <v>2022</v>
      </c>
      <c r="F2876">
        <v>1607</v>
      </c>
      <c r="G2876" t="s">
        <v>30</v>
      </c>
    </row>
    <row r="2877" spans="1:7" x14ac:dyDescent="0.3">
      <c r="A2877">
        <v>32876</v>
      </c>
      <c r="B2877">
        <v>112</v>
      </c>
      <c r="C2877" s="2">
        <v>45440</v>
      </c>
      <c r="D2877" s="2" t="str">
        <f>TEXT(Table5[[#This Row],[bill_date]],"mmmm")</f>
        <v>May</v>
      </c>
      <c r="E2877" s="9">
        <f>YEAR(Table5[[#This Row],[bill_date]])</f>
        <v>2024</v>
      </c>
      <c r="F2877">
        <v>262</v>
      </c>
      <c r="G2877" t="s">
        <v>30</v>
      </c>
    </row>
    <row r="2878" spans="1:7" x14ac:dyDescent="0.3">
      <c r="A2878">
        <v>32877</v>
      </c>
      <c r="B2878">
        <v>308</v>
      </c>
      <c r="C2878" s="2">
        <v>45010</v>
      </c>
      <c r="D2878" s="2" t="str">
        <f>TEXT(Table5[[#This Row],[bill_date]],"mmmm")</f>
        <v>March</v>
      </c>
      <c r="E2878" s="9">
        <f>YEAR(Table5[[#This Row],[bill_date]])</f>
        <v>2023</v>
      </c>
      <c r="F2878">
        <v>410</v>
      </c>
      <c r="G2878" t="s">
        <v>28</v>
      </c>
    </row>
    <row r="2879" spans="1:7" x14ac:dyDescent="0.3">
      <c r="A2879">
        <v>32878</v>
      </c>
      <c r="B2879">
        <v>291</v>
      </c>
      <c r="C2879" s="2">
        <v>44647</v>
      </c>
      <c r="D2879" s="2" t="str">
        <f>TEXT(Table5[[#This Row],[bill_date]],"mmmm")</f>
        <v>March</v>
      </c>
      <c r="E2879" s="9">
        <f>YEAR(Table5[[#This Row],[bill_date]])</f>
        <v>2022</v>
      </c>
      <c r="F2879">
        <v>1854</v>
      </c>
      <c r="G2879" t="s">
        <v>30</v>
      </c>
    </row>
    <row r="2880" spans="1:7" x14ac:dyDescent="0.3">
      <c r="A2880">
        <v>32879</v>
      </c>
      <c r="B2880">
        <v>273</v>
      </c>
      <c r="C2880" s="2">
        <v>45234</v>
      </c>
      <c r="D2880" s="2" t="str">
        <f>TEXT(Table5[[#This Row],[bill_date]],"mmmm")</f>
        <v>November</v>
      </c>
      <c r="E2880" s="9">
        <f>YEAR(Table5[[#This Row],[bill_date]])</f>
        <v>2023</v>
      </c>
      <c r="F2880">
        <v>267</v>
      </c>
      <c r="G2880" t="s">
        <v>30</v>
      </c>
    </row>
    <row r="2881" spans="1:7" x14ac:dyDescent="0.3">
      <c r="A2881">
        <v>32880</v>
      </c>
      <c r="B2881">
        <v>314</v>
      </c>
      <c r="C2881" s="2">
        <v>45437</v>
      </c>
      <c r="D2881" s="2" t="str">
        <f>TEXT(Table5[[#This Row],[bill_date]],"mmmm")</f>
        <v>May</v>
      </c>
      <c r="E2881" s="9">
        <f>YEAR(Table5[[#This Row],[bill_date]])</f>
        <v>2024</v>
      </c>
      <c r="F2881">
        <v>1346</v>
      </c>
      <c r="G2881" t="s">
        <v>30</v>
      </c>
    </row>
    <row r="2882" spans="1:7" x14ac:dyDescent="0.3">
      <c r="A2882">
        <v>32881</v>
      </c>
      <c r="B2882">
        <v>304</v>
      </c>
      <c r="C2882" s="2">
        <v>44679</v>
      </c>
      <c r="D2882" s="2" t="str">
        <f>TEXT(Table5[[#This Row],[bill_date]],"mmmm")</f>
        <v>April</v>
      </c>
      <c r="E2882" s="9">
        <f>YEAR(Table5[[#This Row],[bill_date]])</f>
        <v>2022</v>
      </c>
      <c r="F2882">
        <v>575</v>
      </c>
      <c r="G2882" t="s">
        <v>28</v>
      </c>
    </row>
    <row r="2883" spans="1:7" x14ac:dyDescent="0.3">
      <c r="A2883">
        <v>32882</v>
      </c>
      <c r="B2883">
        <v>43</v>
      </c>
      <c r="C2883" s="2">
        <v>45184</v>
      </c>
      <c r="D2883" s="2" t="str">
        <f>TEXT(Table5[[#This Row],[bill_date]],"mmmm")</f>
        <v>September</v>
      </c>
      <c r="E2883" s="9">
        <f>YEAR(Table5[[#This Row],[bill_date]])</f>
        <v>2023</v>
      </c>
      <c r="F2883">
        <v>1879</v>
      </c>
      <c r="G2883" t="s">
        <v>30</v>
      </c>
    </row>
    <row r="2884" spans="1:7" x14ac:dyDescent="0.3">
      <c r="A2884">
        <v>32883</v>
      </c>
      <c r="B2884">
        <v>304</v>
      </c>
      <c r="C2884" s="2">
        <v>44619</v>
      </c>
      <c r="D2884" s="2" t="str">
        <f>TEXT(Table5[[#This Row],[bill_date]],"mmmm")</f>
        <v>February</v>
      </c>
      <c r="E2884" s="9">
        <f>YEAR(Table5[[#This Row],[bill_date]])</f>
        <v>2022</v>
      </c>
      <c r="F2884">
        <v>1518</v>
      </c>
      <c r="G2884" t="s">
        <v>30</v>
      </c>
    </row>
    <row r="2885" spans="1:7" x14ac:dyDescent="0.3">
      <c r="A2885">
        <v>32884</v>
      </c>
      <c r="B2885">
        <v>44</v>
      </c>
      <c r="C2885" s="2">
        <v>44579</v>
      </c>
      <c r="D2885" s="2" t="str">
        <f>TEXT(Table5[[#This Row],[bill_date]],"mmmm")</f>
        <v>January</v>
      </c>
      <c r="E2885" s="9">
        <f>YEAR(Table5[[#This Row],[bill_date]])</f>
        <v>2022</v>
      </c>
      <c r="F2885">
        <v>1580</v>
      </c>
      <c r="G2885" t="s">
        <v>30</v>
      </c>
    </row>
    <row r="2886" spans="1:7" x14ac:dyDescent="0.3">
      <c r="A2886">
        <v>32885</v>
      </c>
      <c r="B2886">
        <v>289</v>
      </c>
      <c r="C2886" s="2">
        <v>45440</v>
      </c>
      <c r="D2886" s="2" t="str">
        <f>TEXT(Table5[[#This Row],[bill_date]],"mmmm")</f>
        <v>May</v>
      </c>
      <c r="E2886" s="9">
        <f>YEAR(Table5[[#This Row],[bill_date]])</f>
        <v>2024</v>
      </c>
      <c r="F2886">
        <v>1863</v>
      </c>
      <c r="G2886" t="s">
        <v>30</v>
      </c>
    </row>
    <row r="2887" spans="1:7" x14ac:dyDescent="0.3">
      <c r="A2887">
        <v>32886</v>
      </c>
      <c r="B2887">
        <v>459</v>
      </c>
      <c r="C2887" s="2">
        <v>45432</v>
      </c>
      <c r="D2887" s="2" t="str">
        <f>TEXT(Table5[[#This Row],[bill_date]],"mmmm")</f>
        <v>May</v>
      </c>
      <c r="E2887" s="9">
        <f>YEAR(Table5[[#This Row],[bill_date]])</f>
        <v>2024</v>
      </c>
      <c r="F2887">
        <v>723</v>
      </c>
      <c r="G2887" t="s">
        <v>30</v>
      </c>
    </row>
    <row r="2888" spans="1:7" x14ac:dyDescent="0.3">
      <c r="A2888">
        <v>32887</v>
      </c>
      <c r="B2888">
        <v>87</v>
      </c>
      <c r="C2888" s="2">
        <v>44701</v>
      </c>
      <c r="D2888" s="2" t="str">
        <f>TEXT(Table5[[#This Row],[bill_date]],"mmmm")</f>
        <v>May</v>
      </c>
      <c r="E2888" s="9">
        <f>YEAR(Table5[[#This Row],[bill_date]])</f>
        <v>2022</v>
      </c>
      <c r="F2888">
        <v>266</v>
      </c>
      <c r="G2888" t="s">
        <v>30</v>
      </c>
    </row>
    <row r="2889" spans="1:7" x14ac:dyDescent="0.3">
      <c r="A2889">
        <v>32888</v>
      </c>
      <c r="B2889">
        <v>230</v>
      </c>
      <c r="C2889" s="2">
        <v>45019</v>
      </c>
      <c r="D2889" s="2" t="str">
        <f>TEXT(Table5[[#This Row],[bill_date]],"mmmm")</f>
        <v>April</v>
      </c>
      <c r="E2889" s="9">
        <f>YEAR(Table5[[#This Row],[bill_date]])</f>
        <v>2023</v>
      </c>
      <c r="F2889">
        <v>1492</v>
      </c>
      <c r="G2889" t="s">
        <v>30</v>
      </c>
    </row>
    <row r="2890" spans="1:7" x14ac:dyDescent="0.3">
      <c r="A2890">
        <v>32889</v>
      </c>
      <c r="B2890">
        <v>480</v>
      </c>
      <c r="C2890" s="2">
        <v>45267</v>
      </c>
      <c r="D2890" s="2" t="str">
        <f>TEXT(Table5[[#This Row],[bill_date]],"mmmm")</f>
        <v>December</v>
      </c>
      <c r="E2890" s="9">
        <f>YEAR(Table5[[#This Row],[bill_date]])</f>
        <v>2023</v>
      </c>
      <c r="F2890">
        <v>1355</v>
      </c>
      <c r="G2890" t="s">
        <v>28</v>
      </c>
    </row>
    <row r="2891" spans="1:7" x14ac:dyDescent="0.3">
      <c r="A2891">
        <v>32890</v>
      </c>
      <c r="B2891">
        <v>83</v>
      </c>
      <c r="C2891" s="2">
        <v>45203</v>
      </c>
      <c r="D2891" s="2" t="str">
        <f>TEXT(Table5[[#This Row],[bill_date]],"mmmm")</f>
        <v>October</v>
      </c>
      <c r="E2891" s="9">
        <f>YEAR(Table5[[#This Row],[bill_date]])</f>
        <v>2023</v>
      </c>
      <c r="F2891">
        <v>1284</v>
      </c>
      <c r="G2891" t="s">
        <v>30</v>
      </c>
    </row>
    <row r="2892" spans="1:7" x14ac:dyDescent="0.3">
      <c r="A2892">
        <v>32891</v>
      </c>
      <c r="B2892">
        <v>204</v>
      </c>
      <c r="C2892" s="2">
        <v>44773</v>
      </c>
      <c r="D2892" s="2" t="str">
        <f>TEXT(Table5[[#This Row],[bill_date]],"mmmm")</f>
        <v>July</v>
      </c>
      <c r="E2892" s="9">
        <f>YEAR(Table5[[#This Row],[bill_date]])</f>
        <v>2022</v>
      </c>
      <c r="F2892">
        <v>359</v>
      </c>
      <c r="G2892" t="s">
        <v>30</v>
      </c>
    </row>
    <row r="2893" spans="1:7" x14ac:dyDescent="0.3">
      <c r="A2893">
        <v>32892</v>
      </c>
      <c r="B2893">
        <v>476</v>
      </c>
      <c r="C2893" s="2">
        <v>45047</v>
      </c>
      <c r="D2893" s="2" t="str">
        <f>TEXT(Table5[[#This Row],[bill_date]],"mmmm")</f>
        <v>May</v>
      </c>
      <c r="E2893" s="9">
        <f>YEAR(Table5[[#This Row],[bill_date]])</f>
        <v>2023</v>
      </c>
      <c r="F2893">
        <v>1248</v>
      </c>
      <c r="G2893" t="s">
        <v>30</v>
      </c>
    </row>
    <row r="2894" spans="1:7" x14ac:dyDescent="0.3">
      <c r="A2894">
        <v>32893</v>
      </c>
      <c r="B2894">
        <v>130</v>
      </c>
      <c r="C2894" s="2">
        <v>45357</v>
      </c>
      <c r="D2894" s="2" t="str">
        <f>TEXT(Table5[[#This Row],[bill_date]],"mmmm")</f>
        <v>March</v>
      </c>
      <c r="E2894" s="9">
        <f>YEAR(Table5[[#This Row],[bill_date]])</f>
        <v>2024</v>
      </c>
      <c r="F2894">
        <v>957</v>
      </c>
      <c r="G2894" t="s">
        <v>30</v>
      </c>
    </row>
    <row r="2895" spans="1:7" x14ac:dyDescent="0.3">
      <c r="A2895">
        <v>32894</v>
      </c>
      <c r="B2895">
        <v>138</v>
      </c>
      <c r="C2895" s="2">
        <v>44681</v>
      </c>
      <c r="D2895" s="2" t="str">
        <f>TEXT(Table5[[#This Row],[bill_date]],"mmmm")</f>
        <v>April</v>
      </c>
      <c r="E2895" s="9">
        <f>YEAR(Table5[[#This Row],[bill_date]])</f>
        <v>2022</v>
      </c>
      <c r="F2895">
        <v>899</v>
      </c>
      <c r="G2895" t="s">
        <v>30</v>
      </c>
    </row>
    <row r="2896" spans="1:7" x14ac:dyDescent="0.3">
      <c r="A2896">
        <v>32895</v>
      </c>
      <c r="B2896">
        <v>83</v>
      </c>
      <c r="C2896" s="2">
        <v>45452</v>
      </c>
      <c r="D2896" s="2" t="str">
        <f>TEXT(Table5[[#This Row],[bill_date]],"mmmm")</f>
        <v>June</v>
      </c>
      <c r="E2896" s="9">
        <f>YEAR(Table5[[#This Row],[bill_date]])</f>
        <v>2024</v>
      </c>
      <c r="F2896">
        <v>1508</v>
      </c>
      <c r="G2896" t="s">
        <v>29</v>
      </c>
    </row>
    <row r="2897" spans="1:7" x14ac:dyDescent="0.3">
      <c r="A2897">
        <v>32896</v>
      </c>
      <c r="B2897">
        <v>412</v>
      </c>
      <c r="C2897" s="2">
        <v>45115</v>
      </c>
      <c r="D2897" s="2" t="str">
        <f>TEXT(Table5[[#This Row],[bill_date]],"mmmm")</f>
        <v>July</v>
      </c>
      <c r="E2897" s="9">
        <f>YEAR(Table5[[#This Row],[bill_date]])</f>
        <v>2023</v>
      </c>
      <c r="F2897">
        <v>1668</v>
      </c>
      <c r="G2897" t="s">
        <v>30</v>
      </c>
    </row>
    <row r="2898" spans="1:7" x14ac:dyDescent="0.3">
      <c r="A2898">
        <v>32897</v>
      </c>
      <c r="B2898">
        <v>175</v>
      </c>
      <c r="C2898" s="2">
        <v>44564</v>
      </c>
      <c r="D2898" s="2" t="str">
        <f>TEXT(Table5[[#This Row],[bill_date]],"mmmm")</f>
        <v>January</v>
      </c>
      <c r="E2898" s="9">
        <f>YEAR(Table5[[#This Row],[bill_date]])</f>
        <v>2022</v>
      </c>
      <c r="F2898">
        <v>1028</v>
      </c>
      <c r="G2898" t="s">
        <v>30</v>
      </c>
    </row>
    <row r="2899" spans="1:7" x14ac:dyDescent="0.3">
      <c r="A2899">
        <v>32898</v>
      </c>
      <c r="B2899">
        <v>136</v>
      </c>
      <c r="C2899" s="2">
        <v>44790</v>
      </c>
      <c r="D2899" s="2" t="str">
        <f>TEXT(Table5[[#This Row],[bill_date]],"mmmm")</f>
        <v>August</v>
      </c>
      <c r="E2899" s="9">
        <f>YEAR(Table5[[#This Row],[bill_date]])</f>
        <v>2022</v>
      </c>
      <c r="F2899">
        <v>1047</v>
      </c>
      <c r="G2899" t="s">
        <v>30</v>
      </c>
    </row>
    <row r="2900" spans="1:7" x14ac:dyDescent="0.3">
      <c r="A2900">
        <v>32899</v>
      </c>
      <c r="B2900">
        <v>107</v>
      </c>
      <c r="C2900" s="2">
        <v>44790</v>
      </c>
      <c r="D2900" s="2" t="str">
        <f>TEXT(Table5[[#This Row],[bill_date]],"mmmm")</f>
        <v>August</v>
      </c>
      <c r="E2900" s="9">
        <f>YEAR(Table5[[#This Row],[bill_date]])</f>
        <v>2022</v>
      </c>
      <c r="F2900">
        <v>1954</v>
      </c>
      <c r="G2900" t="s">
        <v>30</v>
      </c>
    </row>
    <row r="2901" spans="1:7" x14ac:dyDescent="0.3">
      <c r="A2901">
        <v>32900</v>
      </c>
      <c r="B2901">
        <v>151</v>
      </c>
      <c r="C2901" s="2">
        <v>44904</v>
      </c>
      <c r="D2901" s="2" t="str">
        <f>TEXT(Table5[[#This Row],[bill_date]],"mmmm")</f>
        <v>December</v>
      </c>
      <c r="E2901" s="9">
        <f>YEAR(Table5[[#This Row],[bill_date]])</f>
        <v>2022</v>
      </c>
      <c r="F2901">
        <v>1036</v>
      </c>
      <c r="G2901" t="s">
        <v>30</v>
      </c>
    </row>
    <row r="2902" spans="1:7" x14ac:dyDescent="0.3">
      <c r="A2902">
        <v>32901</v>
      </c>
      <c r="B2902">
        <v>432</v>
      </c>
      <c r="C2902" s="2">
        <v>44702</v>
      </c>
      <c r="D2902" s="2" t="str">
        <f>TEXT(Table5[[#This Row],[bill_date]],"mmmm")</f>
        <v>May</v>
      </c>
      <c r="E2902" s="9">
        <f>YEAR(Table5[[#This Row],[bill_date]])</f>
        <v>2022</v>
      </c>
      <c r="F2902">
        <v>447</v>
      </c>
      <c r="G2902" t="s">
        <v>28</v>
      </c>
    </row>
    <row r="2903" spans="1:7" x14ac:dyDescent="0.3">
      <c r="A2903">
        <v>32902</v>
      </c>
      <c r="B2903">
        <v>109</v>
      </c>
      <c r="C2903" s="2">
        <v>44618</v>
      </c>
      <c r="D2903" s="2" t="str">
        <f>TEXT(Table5[[#This Row],[bill_date]],"mmmm")</f>
        <v>February</v>
      </c>
      <c r="E2903" s="9">
        <f>YEAR(Table5[[#This Row],[bill_date]])</f>
        <v>2022</v>
      </c>
      <c r="F2903">
        <v>1313</v>
      </c>
      <c r="G2903" t="s">
        <v>30</v>
      </c>
    </row>
    <row r="2904" spans="1:7" x14ac:dyDescent="0.3">
      <c r="A2904">
        <v>32903</v>
      </c>
      <c r="B2904">
        <v>222</v>
      </c>
      <c r="C2904" s="2">
        <v>44777</v>
      </c>
      <c r="D2904" s="2" t="str">
        <f>TEXT(Table5[[#This Row],[bill_date]],"mmmm")</f>
        <v>August</v>
      </c>
      <c r="E2904" s="9">
        <f>YEAR(Table5[[#This Row],[bill_date]])</f>
        <v>2022</v>
      </c>
      <c r="F2904">
        <v>1258</v>
      </c>
      <c r="G2904" t="s">
        <v>28</v>
      </c>
    </row>
    <row r="2905" spans="1:7" x14ac:dyDescent="0.3">
      <c r="A2905">
        <v>32904</v>
      </c>
      <c r="B2905">
        <v>348</v>
      </c>
      <c r="C2905" s="2">
        <v>45204</v>
      </c>
      <c r="D2905" s="2" t="str">
        <f>TEXT(Table5[[#This Row],[bill_date]],"mmmm")</f>
        <v>October</v>
      </c>
      <c r="E2905" s="9">
        <f>YEAR(Table5[[#This Row],[bill_date]])</f>
        <v>2023</v>
      </c>
      <c r="F2905">
        <v>1229</v>
      </c>
      <c r="G2905" t="s">
        <v>30</v>
      </c>
    </row>
    <row r="2906" spans="1:7" x14ac:dyDescent="0.3">
      <c r="A2906">
        <v>32905</v>
      </c>
      <c r="B2906">
        <v>319</v>
      </c>
      <c r="C2906" s="2">
        <v>44675</v>
      </c>
      <c r="D2906" s="2" t="str">
        <f>TEXT(Table5[[#This Row],[bill_date]],"mmmm")</f>
        <v>April</v>
      </c>
      <c r="E2906" s="9">
        <f>YEAR(Table5[[#This Row],[bill_date]])</f>
        <v>2022</v>
      </c>
      <c r="F2906">
        <v>1728</v>
      </c>
      <c r="G2906" t="s">
        <v>28</v>
      </c>
    </row>
    <row r="2907" spans="1:7" x14ac:dyDescent="0.3">
      <c r="A2907">
        <v>32906</v>
      </c>
      <c r="B2907">
        <v>333</v>
      </c>
      <c r="C2907" s="2">
        <v>45264</v>
      </c>
      <c r="D2907" s="2" t="str">
        <f>TEXT(Table5[[#This Row],[bill_date]],"mmmm")</f>
        <v>December</v>
      </c>
      <c r="E2907" s="9">
        <f>YEAR(Table5[[#This Row],[bill_date]])</f>
        <v>2023</v>
      </c>
      <c r="F2907">
        <v>1543</v>
      </c>
      <c r="G2907" t="s">
        <v>30</v>
      </c>
    </row>
    <row r="2908" spans="1:7" x14ac:dyDescent="0.3">
      <c r="A2908">
        <v>32907</v>
      </c>
      <c r="B2908">
        <v>247</v>
      </c>
      <c r="C2908" s="2">
        <v>45316</v>
      </c>
      <c r="D2908" s="2" t="str">
        <f>TEXT(Table5[[#This Row],[bill_date]],"mmmm")</f>
        <v>January</v>
      </c>
      <c r="E2908" s="9">
        <f>YEAR(Table5[[#This Row],[bill_date]])</f>
        <v>2024</v>
      </c>
      <c r="F2908">
        <v>400</v>
      </c>
      <c r="G2908" t="s">
        <v>30</v>
      </c>
    </row>
    <row r="2909" spans="1:7" x14ac:dyDescent="0.3">
      <c r="A2909">
        <v>32908</v>
      </c>
      <c r="B2909">
        <v>37</v>
      </c>
      <c r="C2909" s="2">
        <v>44855</v>
      </c>
      <c r="D2909" s="2" t="str">
        <f>TEXT(Table5[[#This Row],[bill_date]],"mmmm")</f>
        <v>October</v>
      </c>
      <c r="E2909" s="9">
        <f>YEAR(Table5[[#This Row],[bill_date]])</f>
        <v>2022</v>
      </c>
      <c r="F2909">
        <v>1043</v>
      </c>
      <c r="G2909" t="s">
        <v>30</v>
      </c>
    </row>
    <row r="2910" spans="1:7" x14ac:dyDescent="0.3">
      <c r="A2910">
        <v>32909</v>
      </c>
      <c r="B2910">
        <v>268</v>
      </c>
      <c r="C2910" s="2">
        <v>45388</v>
      </c>
      <c r="D2910" s="2" t="str">
        <f>TEXT(Table5[[#This Row],[bill_date]],"mmmm")</f>
        <v>April</v>
      </c>
      <c r="E2910" s="9">
        <f>YEAR(Table5[[#This Row],[bill_date]])</f>
        <v>2024</v>
      </c>
      <c r="F2910">
        <v>1775</v>
      </c>
      <c r="G2910" t="s">
        <v>30</v>
      </c>
    </row>
    <row r="2911" spans="1:7" x14ac:dyDescent="0.3">
      <c r="A2911">
        <v>32910</v>
      </c>
      <c r="B2911">
        <v>74</v>
      </c>
      <c r="C2911" s="2">
        <v>44589</v>
      </c>
      <c r="D2911" s="2" t="str">
        <f>TEXT(Table5[[#This Row],[bill_date]],"mmmm")</f>
        <v>January</v>
      </c>
      <c r="E2911" s="9">
        <f>YEAR(Table5[[#This Row],[bill_date]])</f>
        <v>2022</v>
      </c>
      <c r="F2911">
        <v>742</v>
      </c>
      <c r="G2911" t="s">
        <v>30</v>
      </c>
    </row>
    <row r="2912" spans="1:7" x14ac:dyDescent="0.3">
      <c r="A2912">
        <v>32911</v>
      </c>
      <c r="B2912">
        <v>115</v>
      </c>
      <c r="C2912" s="2">
        <v>45099</v>
      </c>
      <c r="D2912" s="2" t="str">
        <f>TEXT(Table5[[#This Row],[bill_date]],"mmmm")</f>
        <v>June</v>
      </c>
      <c r="E2912" s="9">
        <f>YEAR(Table5[[#This Row],[bill_date]])</f>
        <v>2023</v>
      </c>
      <c r="F2912">
        <v>1876</v>
      </c>
      <c r="G2912" t="s">
        <v>30</v>
      </c>
    </row>
    <row r="2913" spans="1:7" x14ac:dyDescent="0.3">
      <c r="A2913">
        <v>32912</v>
      </c>
      <c r="B2913">
        <v>81</v>
      </c>
      <c r="C2913" s="2">
        <v>45157</v>
      </c>
      <c r="D2913" s="2" t="str">
        <f>TEXT(Table5[[#This Row],[bill_date]],"mmmm")</f>
        <v>August</v>
      </c>
      <c r="E2913" s="9">
        <f>YEAR(Table5[[#This Row],[bill_date]])</f>
        <v>2023</v>
      </c>
      <c r="F2913">
        <v>1478</v>
      </c>
      <c r="G2913" t="s">
        <v>30</v>
      </c>
    </row>
    <row r="2914" spans="1:7" x14ac:dyDescent="0.3">
      <c r="A2914">
        <v>32913</v>
      </c>
      <c r="B2914">
        <v>193</v>
      </c>
      <c r="C2914" s="2">
        <v>45420</v>
      </c>
      <c r="D2914" s="2" t="str">
        <f>TEXT(Table5[[#This Row],[bill_date]],"mmmm")</f>
        <v>May</v>
      </c>
      <c r="E2914" s="9">
        <f>YEAR(Table5[[#This Row],[bill_date]])</f>
        <v>2024</v>
      </c>
      <c r="F2914">
        <v>359</v>
      </c>
      <c r="G2914" t="s">
        <v>30</v>
      </c>
    </row>
    <row r="2915" spans="1:7" x14ac:dyDescent="0.3">
      <c r="A2915">
        <v>32914</v>
      </c>
      <c r="B2915">
        <v>214</v>
      </c>
      <c r="C2915" s="2">
        <v>44882</v>
      </c>
      <c r="D2915" s="2" t="str">
        <f>TEXT(Table5[[#This Row],[bill_date]],"mmmm")</f>
        <v>November</v>
      </c>
      <c r="E2915" s="9">
        <f>YEAR(Table5[[#This Row],[bill_date]])</f>
        <v>2022</v>
      </c>
      <c r="F2915">
        <v>1252</v>
      </c>
      <c r="G2915" t="s">
        <v>30</v>
      </c>
    </row>
    <row r="2916" spans="1:7" x14ac:dyDescent="0.3">
      <c r="A2916">
        <v>32915</v>
      </c>
      <c r="B2916">
        <v>15</v>
      </c>
      <c r="C2916" s="2">
        <v>45403</v>
      </c>
      <c r="D2916" s="2" t="str">
        <f>TEXT(Table5[[#This Row],[bill_date]],"mmmm")</f>
        <v>April</v>
      </c>
      <c r="E2916" s="9">
        <f>YEAR(Table5[[#This Row],[bill_date]])</f>
        <v>2024</v>
      </c>
      <c r="F2916">
        <v>1679</v>
      </c>
      <c r="G2916" t="s">
        <v>28</v>
      </c>
    </row>
    <row r="2917" spans="1:7" x14ac:dyDescent="0.3">
      <c r="A2917">
        <v>32916</v>
      </c>
      <c r="B2917">
        <v>336</v>
      </c>
      <c r="C2917" s="2">
        <v>45275</v>
      </c>
      <c r="D2917" s="2" t="str">
        <f>TEXT(Table5[[#This Row],[bill_date]],"mmmm")</f>
        <v>December</v>
      </c>
      <c r="E2917" s="9">
        <f>YEAR(Table5[[#This Row],[bill_date]])</f>
        <v>2023</v>
      </c>
      <c r="F2917">
        <v>460</v>
      </c>
      <c r="G2917" t="s">
        <v>30</v>
      </c>
    </row>
    <row r="2918" spans="1:7" x14ac:dyDescent="0.3">
      <c r="A2918">
        <v>32917</v>
      </c>
      <c r="B2918">
        <v>84</v>
      </c>
      <c r="C2918" s="2">
        <v>45134</v>
      </c>
      <c r="D2918" s="2" t="str">
        <f>TEXT(Table5[[#This Row],[bill_date]],"mmmm")</f>
        <v>July</v>
      </c>
      <c r="E2918" s="9">
        <f>YEAR(Table5[[#This Row],[bill_date]])</f>
        <v>2023</v>
      </c>
      <c r="F2918">
        <v>208</v>
      </c>
      <c r="G2918" t="s">
        <v>29</v>
      </c>
    </row>
    <row r="2919" spans="1:7" x14ac:dyDescent="0.3">
      <c r="A2919">
        <v>32918</v>
      </c>
      <c r="B2919">
        <v>375</v>
      </c>
      <c r="C2919" s="2">
        <v>45258</v>
      </c>
      <c r="D2919" s="2" t="str">
        <f>TEXT(Table5[[#This Row],[bill_date]],"mmmm")</f>
        <v>November</v>
      </c>
      <c r="E2919" s="9">
        <f>YEAR(Table5[[#This Row],[bill_date]])</f>
        <v>2023</v>
      </c>
      <c r="F2919">
        <v>913</v>
      </c>
      <c r="G2919" t="s">
        <v>28</v>
      </c>
    </row>
    <row r="2920" spans="1:7" x14ac:dyDescent="0.3">
      <c r="A2920">
        <v>32919</v>
      </c>
      <c r="B2920">
        <v>266</v>
      </c>
      <c r="C2920" s="2">
        <v>45319</v>
      </c>
      <c r="D2920" s="2" t="str">
        <f>TEXT(Table5[[#This Row],[bill_date]],"mmmm")</f>
        <v>January</v>
      </c>
      <c r="E2920" s="9">
        <f>YEAR(Table5[[#This Row],[bill_date]])</f>
        <v>2024</v>
      </c>
      <c r="F2920">
        <v>557</v>
      </c>
      <c r="G2920" t="s">
        <v>30</v>
      </c>
    </row>
    <row r="2921" spans="1:7" x14ac:dyDescent="0.3">
      <c r="A2921">
        <v>32920</v>
      </c>
      <c r="B2921">
        <v>298</v>
      </c>
      <c r="C2921" s="2">
        <v>45074</v>
      </c>
      <c r="D2921" s="2" t="str">
        <f>TEXT(Table5[[#This Row],[bill_date]],"mmmm")</f>
        <v>May</v>
      </c>
      <c r="E2921" s="9">
        <f>YEAR(Table5[[#This Row],[bill_date]])</f>
        <v>2023</v>
      </c>
      <c r="F2921">
        <v>1498</v>
      </c>
      <c r="G2921" t="s">
        <v>30</v>
      </c>
    </row>
    <row r="2922" spans="1:7" x14ac:dyDescent="0.3">
      <c r="A2922">
        <v>32921</v>
      </c>
      <c r="B2922">
        <v>154</v>
      </c>
      <c r="C2922" s="2">
        <v>45316</v>
      </c>
      <c r="D2922" s="2" t="str">
        <f>TEXT(Table5[[#This Row],[bill_date]],"mmmm")</f>
        <v>January</v>
      </c>
      <c r="E2922" s="9">
        <f>YEAR(Table5[[#This Row],[bill_date]])</f>
        <v>2024</v>
      </c>
      <c r="F2922">
        <v>322</v>
      </c>
      <c r="G2922" t="s">
        <v>30</v>
      </c>
    </row>
    <row r="2923" spans="1:7" x14ac:dyDescent="0.3">
      <c r="A2923">
        <v>32922</v>
      </c>
      <c r="B2923">
        <v>305</v>
      </c>
      <c r="C2923" s="2">
        <v>44593</v>
      </c>
      <c r="D2923" s="2" t="str">
        <f>TEXT(Table5[[#This Row],[bill_date]],"mmmm")</f>
        <v>February</v>
      </c>
      <c r="E2923" s="9">
        <f>YEAR(Table5[[#This Row],[bill_date]])</f>
        <v>2022</v>
      </c>
      <c r="F2923">
        <v>828</v>
      </c>
      <c r="G2923" t="s">
        <v>30</v>
      </c>
    </row>
    <row r="2924" spans="1:7" x14ac:dyDescent="0.3">
      <c r="A2924">
        <v>32923</v>
      </c>
      <c r="B2924">
        <v>253</v>
      </c>
      <c r="C2924" s="2">
        <v>45308</v>
      </c>
      <c r="D2924" s="2" t="str">
        <f>TEXT(Table5[[#This Row],[bill_date]],"mmmm")</f>
        <v>January</v>
      </c>
      <c r="E2924" s="9">
        <f>YEAR(Table5[[#This Row],[bill_date]])</f>
        <v>2024</v>
      </c>
      <c r="F2924">
        <v>466</v>
      </c>
      <c r="G2924" t="s">
        <v>30</v>
      </c>
    </row>
    <row r="2925" spans="1:7" x14ac:dyDescent="0.3">
      <c r="A2925">
        <v>32924</v>
      </c>
      <c r="B2925">
        <v>407</v>
      </c>
      <c r="C2925" s="2">
        <v>44972</v>
      </c>
      <c r="D2925" s="2" t="str">
        <f>TEXT(Table5[[#This Row],[bill_date]],"mmmm")</f>
        <v>February</v>
      </c>
      <c r="E2925" s="9">
        <f>YEAR(Table5[[#This Row],[bill_date]])</f>
        <v>2023</v>
      </c>
      <c r="F2925">
        <v>476</v>
      </c>
      <c r="G2925" t="s">
        <v>30</v>
      </c>
    </row>
    <row r="2926" spans="1:7" x14ac:dyDescent="0.3">
      <c r="A2926">
        <v>32925</v>
      </c>
      <c r="B2926">
        <v>448</v>
      </c>
      <c r="C2926" s="2">
        <v>44958</v>
      </c>
      <c r="D2926" s="2" t="str">
        <f>TEXT(Table5[[#This Row],[bill_date]],"mmmm")</f>
        <v>February</v>
      </c>
      <c r="E2926" s="9">
        <f>YEAR(Table5[[#This Row],[bill_date]])</f>
        <v>2023</v>
      </c>
      <c r="F2926">
        <v>1222</v>
      </c>
      <c r="G2926" t="s">
        <v>28</v>
      </c>
    </row>
    <row r="2927" spans="1:7" x14ac:dyDescent="0.3">
      <c r="A2927">
        <v>32926</v>
      </c>
      <c r="B2927">
        <v>273</v>
      </c>
      <c r="C2927" s="2">
        <v>44578</v>
      </c>
      <c r="D2927" s="2" t="str">
        <f>TEXT(Table5[[#This Row],[bill_date]],"mmmm")</f>
        <v>January</v>
      </c>
      <c r="E2927" s="9">
        <f>YEAR(Table5[[#This Row],[bill_date]])</f>
        <v>2022</v>
      </c>
      <c r="F2927">
        <v>274</v>
      </c>
      <c r="G2927" t="s">
        <v>29</v>
      </c>
    </row>
    <row r="2928" spans="1:7" x14ac:dyDescent="0.3">
      <c r="A2928">
        <v>32927</v>
      </c>
      <c r="B2928">
        <v>418</v>
      </c>
      <c r="C2928" s="2">
        <v>45162</v>
      </c>
      <c r="D2928" s="2" t="str">
        <f>TEXT(Table5[[#This Row],[bill_date]],"mmmm")</f>
        <v>August</v>
      </c>
      <c r="E2928" s="9">
        <f>YEAR(Table5[[#This Row],[bill_date]])</f>
        <v>2023</v>
      </c>
      <c r="F2928">
        <v>724</v>
      </c>
      <c r="G2928" t="s">
        <v>30</v>
      </c>
    </row>
    <row r="2929" spans="1:7" x14ac:dyDescent="0.3">
      <c r="A2929">
        <v>32928</v>
      </c>
      <c r="B2929">
        <v>361</v>
      </c>
      <c r="C2929" s="2">
        <v>44613</v>
      </c>
      <c r="D2929" s="2" t="str">
        <f>TEXT(Table5[[#This Row],[bill_date]],"mmmm")</f>
        <v>February</v>
      </c>
      <c r="E2929" s="9">
        <f>YEAR(Table5[[#This Row],[bill_date]])</f>
        <v>2022</v>
      </c>
      <c r="F2929">
        <v>816</v>
      </c>
      <c r="G2929" t="s">
        <v>29</v>
      </c>
    </row>
    <row r="2930" spans="1:7" x14ac:dyDescent="0.3">
      <c r="A2930">
        <v>32929</v>
      </c>
      <c r="B2930">
        <v>313</v>
      </c>
      <c r="C2930" s="2">
        <v>44931</v>
      </c>
      <c r="D2930" s="2" t="str">
        <f>TEXT(Table5[[#This Row],[bill_date]],"mmmm")</f>
        <v>January</v>
      </c>
      <c r="E2930" s="9">
        <f>YEAR(Table5[[#This Row],[bill_date]])</f>
        <v>2023</v>
      </c>
      <c r="F2930">
        <v>1398</v>
      </c>
      <c r="G2930" t="s">
        <v>30</v>
      </c>
    </row>
    <row r="2931" spans="1:7" x14ac:dyDescent="0.3">
      <c r="A2931">
        <v>32930</v>
      </c>
      <c r="B2931">
        <v>342</v>
      </c>
      <c r="C2931" s="2">
        <v>44725</v>
      </c>
      <c r="D2931" s="2" t="str">
        <f>TEXT(Table5[[#This Row],[bill_date]],"mmmm")</f>
        <v>June</v>
      </c>
      <c r="E2931" s="9">
        <f>YEAR(Table5[[#This Row],[bill_date]])</f>
        <v>2022</v>
      </c>
      <c r="F2931">
        <v>1916</v>
      </c>
      <c r="G2931" t="s">
        <v>28</v>
      </c>
    </row>
    <row r="2932" spans="1:7" x14ac:dyDescent="0.3">
      <c r="A2932">
        <v>32931</v>
      </c>
      <c r="B2932">
        <v>132</v>
      </c>
      <c r="C2932" s="2">
        <v>44864</v>
      </c>
      <c r="D2932" s="2" t="str">
        <f>TEXT(Table5[[#This Row],[bill_date]],"mmmm")</f>
        <v>October</v>
      </c>
      <c r="E2932" s="9">
        <f>YEAR(Table5[[#This Row],[bill_date]])</f>
        <v>2022</v>
      </c>
      <c r="F2932">
        <v>1258</v>
      </c>
      <c r="G2932" t="s">
        <v>30</v>
      </c>
    </row>
    <row r="2933" spans="1:7" x14ac:dyDescent="0.3">
      <c r="A2933">
        <v>32932</v>
      </c>
      <c r="B2933">
        <v>199</v>
      </c>
      <c r="C2933" s="2">
        <v>45011</v>
      </c>
      <c r="D2933" s="2" t="str">
        <f>TEXT(Table5[[#This Row],[bill_date]],"mmmm")</f>
        <v>March</v>
      </c>
      <c r="E2933" s="9">
        <f>YEAR(Table5[[#This Row],[bill_date]])</f>
        <v>2023</v>
      </c>
      <c r="F2933">
        <v>1789</v>
      </c>
      <c r="G2933" t="s">
        <v>30</v>
      </c>
    </row>
    <row r="2934" spans="1:7" x14ac:dyDescent="0.3">
      <c r="A2934">
        <v>32933</v>
      </c>
      <c r="B2934">
        <v>325</v>
      </c>
      <c r="C2934" s="2">
        <v>45105</v>
      </c>
      <c r="D2934" s="2" t="str">
        <f>TEXT(Table5[[#This Row],[bill_date]],"mmmm")</f>
        <v>June</v>
      </c>
      <c r="E2934" s="9">
        <f>YEAR(Table5[[#This Row],[bill_date]])</f>
        <v>2023</v>
      </c>
      <c r="F2934">
        <v>468</v>
      </c>
      <c r="G2934" t="s">
        <v>30</v>
      </c>
    </row>
    <row r="2935" spans="1:7" x14ac:dyDescent="0.3">
      <c r="A2935">
        <v>32934</v>
      </c>
      <c r="B2935">
        <v>351</v>
      </c>
      <c r="C2935" s="2">
        <v>45271</v>
      </c>
      <c r="D2935" s="2" t="str">
        <f>TEXT(Table5[[#This Row],[bill_date]],"mmmm")</f>
        <v>December</v>
      </c>
      <c r="E2935" s="9">
        <f>YEAR(Table5[[#This Row],[bill_date]])</f>
        <v>2023</v>
      </c>
      <c r="F2935">
        <v>200</v>
      </c>
      <c r="G2935" t="s">
        <v>30</v>
      </c>
    </row>
    <row r="2936" spans="1:7" x14ac:dyDescent="0.3">
      <c r="A2936">
        <v>32935</v>
      </c>
      <c r="B2936">
        <v>83</v>
      </c>
      <c r="C2936" s="2">
        <v>45063</v>
      </c>
      <c r="D2936" s="2" t="str">
        <f>TEXT(Table5[[#This Row],[bill_date]],"mmmm")</f>
        <v>May</v>
      </c>
      <c r="E2936" s="9">
        <f>YEAR(Table5[[#This Row],[bill_date]])</f>
        <v>2023</v>
      </c>
      <c r="F2936">
        <v>1478</v>
      </c>
      <c r="G2936" t="s">
        <v>30</v>
      </c>
    </row>
    <row r="2937" spans="1:7" x14ac:dyDescent="0.3">
      <c r="A2937">
        <v>32936</v>
      </c>
      <c r="B2937">
        <v>452</v>
      </c>
      <c r="C2937" s="2">
        <v>44912</v>
      </c>
      <c r="D2937" s="2" t="str">
        <f>TEXT(Table5[[#This Row],[bill_date]],"mmmm")</f>
        <v>December</v>
      </c>
      <c r="E2937" s="9">
        <f>YEAR(Table5[[#This Row],[bill_date]])</f>
        <v>2022</v>
      </c>
      <c r="F2937">
        <v>1736</v>
      </c>
      <c r="G2937" t="s">
        <v>29</v>
      </c>
    </row>
    <row r="2938" spans="1:7" x14ac:dyDescent="0.3">
      <c r="A2938">
        <v>32937</v>
      </c>
      <c r="B2938">
        <v>306</v>
      </c>
      <c r="C2938" s="2">
        <v>44940</v>
      </c>
      <c r="D2938" s="2" t="str">
        <f>TEXT(Table5[[#This Row],[bill_date]],"mmmm")</f>
        <v>January</v>
      </c>
      <c r="E2938" s="9">
        <f>YEAR(Table5[[#This Row],[bill_date]])</f>
        <v>2023</v>
      </c>
      <c r="F2938">
        <v>771</v>
      </c>
      <c r="G2938" t="s">
        <v>30</v>
      </c>
    </row>
    <row r="2939" spans="1:7" x14ac:dyDescent="0.3">
      <c r="A2939">
        <v>32938</v>
      </c>
      <c r="B2939">
        <v>126</v>
      </c>
      <c r="C2939" s="2">
        <v>45000</v>
      </c>
      <c r="D2939" s="2" t="str">
        <f>TEXT(Table5[[#This Row],[bill_date]],"mmmm")</f>
        <v>March</v>
      </c>
      <c r="E2939" s="9">
        <f>YEAR(Table5[[#This Row],[bill_date]])</f>
        <v>2023</v>
      </c>
      <c r="F2939">
        <v>1585</v>
      </c>
      <c r="G2939" t="s">
        <v>30</v>
      </c>
    </row>
    <row r="2940" spans="1:7" x14ac:dyDescent="0.3">
      <c r="A2940">
        <v>32939</v>
      </c>
      <c r="B2940">
        <v>214</v>
      </c>
      <c r="C2940" s="2">
        <v>44762</v>
      </c>
      <c r="D2940" s="2" t="str">
        <f>TEXT(Table5[[#This Row],[bill_date]],"mmmm")</f>
        <v>July</v>
      </c>
      <c r="E2940" s="9">
        <f>YEAR(Table5[[#This Row],[bill_date]])</f>
        <v>2022</v>
      </c>
      <c r="F2940">
        <v>1329</v>
      </c>
      <c r="G2940" t="s">
        <v>30</v>
      </c>
    </row>
    <row r="2941" spans="1:7" x14ac:dyDescent="0.3">
      <c r="A2941">
        <v>32940</v>
      </c>
      <c r="B2941">
        <v>323</v>
      </c>
      <c r="C2941" s="2">
        <v>44668</v>
      </c>
      <c r="D2941" s="2" t="str">
        <f>TEXT(Table5[[#This Row],[bill_date]],"mmmm")</f>
        <v>April</v>
      </c>
      <c r="E2941" s="9">
        <f>YEAR(Table5[[#This Row],[bill_date]])</f>
        <v>2022</v>
      </c>
      <c r="F2941">
        <v>1356</v>
      </c>
      <c r="G2941" t="s">
        <v>30</v>
      </c>
    </row>
    <row r="2942" spans="1:7" x14ac:dyDescent="0.3">
      <c r="A2942">
        <v>32941</v>
      </c>
      <c r="B2942">
        <v>215</v>
      </c>
      <c r="C2942" s="2">
        <v>45066</v>
      </c>
      <c r="D2942" s="2" t="str">
        <f>TEXT(Table5[[#This Row],[bill_date]],"mmmm")</f>
        <v>May</v>
      </c>
      <c r="E2942" s="9">
        <f>YEAR(Table5[[#This Row],[bill_date]])</f>
        <v>2023</v>
      </c>
      <c r="F2942">
        <v>1631</v>
      </c>
      <c r="G2942" t="s">
        <v>30</v>
      </c>
    </row>
    <row r="2943" spans="1:7" x14ac:dyDescent="0.3">
      <c r="A2943">
        <v>32942</v>
      </c>
      <c r="B2943">
        <v>452</v>
      </c>
      <c r="C2943" s="2">
        <v>44945</v>
      </c>
      <c r="D2943" s="2" t="str">
        <f>TEXT(Table5[[#This Row],[bill_date]],"mmmm")</f>
        <v>January</v>
      </c>
      <c r="E2943" s="9">
        <f>YEAR(Table5[[#This Row],[bill_date]])</f>
        <v>2023</v>
      </c>
      <c r="F2943">
        <v>1673</v>
      </c>
      <c r="G2943" t="s">
        <v>29</v>
      </c>
    </row>
    <row r="2944" spans="1:7" x14ac:dyDescent="0.3">
      <c r="A2944">
        <v>32943</v>
      </c>
      <c r="B2944">
        <v>238</v>
      </c>
      <c r="C2944" s="2">
        <v>45409</v>
      </c>
      <c r="D2944" s="2" t="str">
        <f>TEXT(Table5[[#This Row],[bill_date]],"mmmm")</f>
        <v>April</v>
      </c>
      <c r="E2944" s="9">
        <f>YEAR(Table5[[#This Row],[bill_date]])</f>
        <v>2024</v>
      </c>
      <c r="F2944">
        <v>733</v>
      </c>
      <c r="G2944" t="s">
        <v>30</v>
      </c>
    </row>
    <row r="2945" spans="1:7" x14ac:dyDescent="0.3">
      <c r="A2945">
        <v>32944</v>
      </c>
      <c r="B2945">
        <v>88</v>
      </c>
      <c r="C2945" s="2">
        <v>45418</v>
      </c>
      <c r="D2945" s="2" t="str">
        <f>TEXT(Table5[[#This Row],[bill_date]],"mmmm")</f>
        <v>May</v>
      </c>
      <c r="E2945" s="9">
        <f>YEAR(Table5[[#This Row],[bill_date]])</f>
        <v>2024</v>
      </c>
      <c r="F2945">
        <v>1807</v>
      </c>
      <c r="G2945" t="s">
        <v>30</v>
      </c>
    </row>
    <row r="2946" spans="1:7" x14ac:dyDescent="0.3">
      <c r="A2946">
        <v>32945</v>
      </c>
      <c r="B2946">
        <v>384</v>
      </c>
      <c r="C2946" s="2">
        <v>44857</v>
      </c>
      <c r="D2946" s="2" t="str">
        <f>TEXT(Table5[[#This Row],[bill_date]],"mmmm")</f>
        <v>October</v>
      </c>
      <c r="E2946" s="9">
        <f>YEAR(Table5[[#This Row],[bill_date]])</f>
        <v>2022</v>
      </c>
      <c r="F2946">
        <v>549</v>
      </c>
      <c r="G2946" t="s">
        <v>30</v>
      </c>
    </row>
    <row r="2947" spans="1:7" x14ac:dyDescent="0.3">
      <c r="A2947">
        <v>32946</v>
      </c>
      <c r="B2947">
        <v>443</v>
      </c>
      <c r="C2947" s="2">
        <v>44589</v>
      </c>
      <c r="D2947" s="2" t="str">
        <f>TEXT(Table5[[#This Row],[bill_date]],"mmmm")</f>
        <v>January</v>
      </c>
      <c r="E2947" s="9">
        <f>YEAR(Table5[[#This Row],[bill_date]])</f>
        <v>2022</v>
      </c>
      <c r="F2947">
        <v>1250</v>
      </c>
      <c r="G2947" t="s">
        <v>30</v>
      </c>
    </row>
    <row r="2948" spans="1:7" x14ac:dyDescent="0.3">
      <c r="A2948">
        <v>32947</v>
      </c>
      <c r="B2948">
        <v>462</v>
      </c>
      <c r="C2948" s="2">
        <v>44898</v>
      </c>
      <c r="D2948" s="2" t="str">
        <f>TEXT(Table5[[#This Row],[bill_date]],"mmmm")</f>
        <v>December</v>
      </c>
      <c r="E2948" s="9">
        <f>YEAR(Table5[[#This Row],[bill_date]])</f>
        <v>2022</v>
      </c>
      <c r="F2948">
        <v>735</v>
      </c>
      <c r="G2948" t="s">
        <v>30</v>
      </c>
    </row>
    <row r="2949" spans="1:7" x14ac:dyDescent="0.3">
      <c r="A2949">
        <v>32948</v>
      </c>
      <c r="B2949">
        <v>113</v>
      </c>
      <c r="C2949" s="2">
        <v>44848</v>
      </c>
      <c r="D2949" s="2" t="str">
        <f>TEXT(Table5[[#This Row],[bill_date]],"mmmm")</f>
        <v>October</v>
      </c>
      <c r="E2949" s="9">
        <f>YEAR(Table5[[#This Row],[bill_date]])</f>
        <v>2022</v>
      </c>
      <c r="F2949">
        <v>1065</v>
      </c>
      <c r="G2949" t="s">
        <v>30</v>
      </c>
    </row>
    <row r="2950" spans="1:7" x14ac:dyDescent="0.3">
      <c r="A2950">
        <v>32949</v>
      </c>
      <c r="B2950">
        <v>105</v>
      </c>
      <c r="C2950" s="2">
        <v>45192</v>
      </c>
      <c r="D2950" s="2" t="str">
        <f>TEXT(Table5[[#This Row],[bill_date]],"mmmm")</f>
        <v>September</v>
      </c>
      <c r="E2950" s="9">
        <f>YEAR(Table5[[#This Row],[bill_date]])</f>
        <v>2023</v>
      </c>
      <c r="F2950">
        <v>1287</v>
      </c>
      <c r="G2950" t="s">
        <v>30</v>
      </c>
    </row>
    <row r="2951" spans="1:7" x14ac:dyDescent="0.3">
      <c r="A2951">
        <v>32950</v>
      </c>
      <c r="B2951">
        <v>371</v>
      </c>
      <c r="C2951" s="2">
        <v>44904</v>
      </c>
      <c r="D2951" s="2" t="str">
        <f>TEXT(Table5[[#This Row],[bill_date]],"mmmm")</f>
        <v>December</v>
      </c>
      <c r="E2951" s="9">
        <f>YEAR(Table5[[#This Row],[bill_date]])</f>
        <v>2022</v>
      </c>
      <c r="F2951">
        <v>1416</v>
      </c>
      <c r="G2951" t="s">
        <v>30</v>
      </c>
    </row>
    <row r="2952" spans="1:7" x14ac:dyDescent="0.3">
      <c r="A2952">
        <v>32951</v>
      </c>
      <c r="B2952">
        <v>63</v>
      </c>
      <c r="C2952" s="2">
        <v>44592</v>
      </c>
      <c r="D2952" s="2" t="str">
        <f>TEXT(Table5[[#This Row],[bill_date]],"mmmm")</f>
        <v>January</v>
      </c>
      <c r="E2952" s="9">
        <f>YEAR(Table5[[#This Row],[bill_date]])</f>
        <v>2022</v>
      </c>
      <c r="F2952">
        <v>1429</v>
      </c>
      <c r="G2952" t="s">
        <v>30</v>
      </c>
    </row>
    <row r="2953" spans="1:7" x14ac:dyDescent="0.3">
      <c r="A2953">
        <v>32952</v>
      </c>
      <c r="B2953">
        <v>451</v>
      </c>
      <c r="C2953" s="2">
        <v>45227</v>
      </c>
      <c r="D2953" s="2" t="str">
        <f>TEXT(Table5[[#This Row],[bill_date]],"mmmm")</f>
        <v>October</v>
      </c>
      <c r="E2953" s="9">
        <f>YEAR(Table5[[#This Row],[bill_date]])</f>
        <v>2023</v>
      </c>
      <c r="F2953">
        <v>1521</v>
      </c>
      <c r="G2953" t="s">
        <v>30</v>
      </c>
    </row>
    <row r="2954" spans="1:7" x14ac:dyDescent="0.3">
      <c r="A2954">
        <v>32953</v>
      </c>
      <c r="B2954">
        <v>239</v>
      </c>
      <c r="C2954" s="2">
        <v>45333</v>
      </c>
      <c r="D2954" s="2" t="str">
        <f>TEXT(Table5[[#This Row],[bill_date]],"mmmm")</f>
        <v>February</v>
      </c>
      <c r="E2954" s="9">
        <f>YEAR(Table5[[#This Row],[bill_date]])</f>
        <v>2024</v>
      </c>
      <c r="F2954">
        <v>1262</v>
      </c>
      <c r="G2954" t="s">
        <v>28</v>
      </c>
    </row>
    <row r="2955" spans="1:7" x14ac:dyDescent="0.3">
      <c r="A2955">
        <v>32954</v>
      </c>
      <c r="B2955">
        <v>469</v>
      </c>
      <c r="C2955" s="2">
        <v>45048</v>
      </c>
      <c r="D2955" s="2" t="str">
        <f>TEXT(Table5[[#This Row],[bill_date]],"mmmm")</f>
        <v>May</v>
      </c>
      <c r="E2955" s="9">
        <f>YEAR(Table5[[#This Row],[bill_date]])</f>
        <v>2023</v>
      </c>
      <c r="F2955">
        <v>662</v>
      </c>
      <c r="G2955" t="s">
        <v>30</v>
      </c>
    </row>
    <row r="2956" spans="1:7" x14ac:dyDescent="0.3">
      <c r="A2956">
        <v>32955</v>
      </c>
      <c r="B2956">
        <v>26</v>
      </c>
      <c r="C2956" s="2">
        <v>45180</v>
      </c>
      <c r="D2956" s="2" t="str">
        <f>TEXT(Table5[[#This Row],[bill_date]],"mmmm")</f>
        <v>September</v>
      </c>
      <c r="E2956" s="9">
        <f>YEAR(Table5[[#This Row],[bill_date]])</f>
        <v>2023</v>
      </c>
      <c r="F2956">
        <v>221</v>
      </c>
      <c r="G2956" t="s">
        <v>30</v>
      </c>
    </row>
    <row r="2957" spans="1:7" x14ac:dyDescent="0.3">
      <c r="A2957">
        <v>32956</v>
      </c>
      <c r="B2957">
        <v>128</v>
      </c>
      <c r="C2957" s="2">
        <v>44812</v>
      </c>
      <c r="D2957" s="2" t="str">
        <f>TEXT(Table5[[#This Row],[bill_date]],"mmmm")</f>
        <v>September</v>
      </c>
      <c r="E2957" s="9">
        <f>YEAR(Table5[[#This Row],[bill_date]])</f>
        <v>2022</v>
      </c>
      <c r="F2957">
        <v>887</v>
      </c>
      <c r="G2957" t="s">
        <v>30</v>
      </c>
    </row>
    <row r="2958" spans="1:7" x14ac:dyDescent="0.3">
      <c r="A2958">
        <v>32957</v>
      </c>
      <c r="B2958">
        <v>1</v>
      </c>
      <c r="C2958" s="2">
        <v>44924</v>
      </c>
      <c r="D2958" s="2" t="str">
        <f>TEXT(Table5[[#This Row],[bill_date]],"mmmm")</f>
        <v>December</v>
      </c>
      <c r="E2958" s="9">
        <f>YEAR(Table5[[#This Row],[bill_date]])</f>
        <v>2022</v>
      </c>
      <c r="F2958">
        <v>1998</v>
      </c>
      <c r="G2958" t="s">
        <v>30</v>
      </c>
    </row>
    <row r="2959" spans="1:7" x14ac:dyDescent="0.3">
      <c r="A2959">
        <v>32958</v>
      </c>
      <c r="B2959">
        <v>94</v>
      </c>
      <c r="C2959" s="2">
        <v>44668</v>
      </c>
      <c r="D2959" s="2" t="str">
        <f>TEXT(Table5[[#This Row],[bill_date]],"mmmm")</f>
        <v>April</v>
      </c>
      <c r="E2959" s="9">
        <f>YEAR(Table5[[#This Row],[bill_date]])</f>
        <v>2022</v>
      </c>
      <c r="F2959">
        <v>326</v>
      </c>
      <c r="G2959" t="s">
        <v>30</v>
      </c>
    </row>
    <row r="2960" spans="1:7" x14ac:dyDescent="0.3">
      <c r="A2960">
        <v>32959</v>
      </c>
      <c r="B2960">
        <v>371</v>
      </c>
      <c r="C2960" s="2">
        <v>45067</v>
      </c>
      <c r="D2960" s="2" t="str">
        <f>TEXT(Table5[[#This Row],[bill_date]],"mmmm")</f>
        <v>May</v>
      </c>
      <c r="E2960" s="9">
        <f>YEAR(Table5[[#This Row],[bill_date]])</f>
        <v>2023</v>
      </c>
      <c r="F2960">
        <v>1485</v>
      </c>
      <c r="G2960" t="s">
        <v>30</v>
      </c>
    </row>
    <row r="2961" spans="1:7" x14ac:dyDescent="0.3">
      <c r="A2961">
        <v>32960</v>
      </c>
      <c r="B2961">
        <v>452</v>
      </c>
      <c r="C2961" s="2">
        <v>45003</v>
      </c>
      <c r="D2961" s="2" t="str">
        <f>TEXT(Table5[[#This Row],[bill_date]],"mmmm")</f>
        <v>March</v>
      </c>
      <c r="E2961" s="9">
        <f>YEAR(Table5[[#This Row],[bill_date]])</f>
        <v>2023</v>
      </c>
      <c r="F2961">
        <v>233</v>
      </c>
      <c r="G2961" t="s">
        <v>30</v>
      </c>
    </row>
    <row r="2962" spans="1:7" x14ac:dyDescent="0.3">
      <c r="A2962">
        <v>32961</v>
      </c>
      <c r="B2962">
        <v>462</v>
      </c>
      <c r="C2962" s="2">
        <v>44678</v>
      </c>
      <c r="D2962" s="2" t="str">
        <f>TEXT(Table5[[#This Row],[bill_date]],"mmmm")</f>
        <v>April</v>
      </c>
      <c r="E2962" s="9">
        <f>YEAR(Table5[[#This Row],[bill_date]])</f>
        <v>2022</v>
      </c>
      <c r="F2962">
        <v>685</v>
      </c>
      <c r="G2962" t="s">
        <v>30</v>
      </c>
    </row>
    <row r="2963" spans="1:7" x14ac:dyDescent="0.3">
      <c r="A2963">
        <v>32962</v>
      </c>
      <c r="B2963">
        <v>402</v>
      </c>
      <c r="C2963" s="2">
        <v>44806</v>
      </c>
      <c r="D2963" s="2" t="str">
        <f>TEXT(Table5[[#This Row],[bill_date]],"mmmm")</f>
        <v>September</v>
      </c>
      <c r="E2963" s="9">
        <f>YEAR(Table5[[#This Row],[bill_date]])</f>
        <v>2022</v>
      </c>
      <c r="F2963">
        <v>299</v>
      </c>
      <c r="G2963" t="s">
        <v>30</v>
      </c>
    </row>
    <row r="2964" spans="1:7" x14ac:dyDescent="0.3">
      <c r="A2964">
        <v>32963</v>
      </c>
      <c r="B2964">
        <v>12</v>
      </c>
      <c r="C2964" s="2">
        <v>44640</v>
      </c>
      <c r="D2964" s="2" t="str">
        <f>TEXT(Table5[[#This Row],[bill_date]],"mmmm")</f>
        <v>March</v>
      </c>
      <c r="E2964" s="9">
        <f>YEAR(Table5[[#This Row],[bill_date]])</f>
        <v>2022</v>
      </c>
      <c r="F2964">
        <v>935</v>
      </c>
      <c r="G2964" t="s">
        <v>30</v>
      </c>
    </row>
    <row r="2965" spans="1:7" x14ac:dyDescent="0.3">
      <c r="A2965">
        <v>32964</v>
      </c>
      <c r="B2965">
        <v>166</v>
      </c>
      <c r="C2965" s="2">
        <v>45302</v>
      </c>
      <c r="D2965" s="2" t="str">
        <f>TEXT(Table5[[#This Row],[bill_date]],"mmmm")</f>
        <v>January</v>
      </c>
      <c r="E2965" s="9">
        <f>YEAR(Table5[[#This Row],[bill_date]])</f>
        <v>2024</v>
      </c>
      <c r="F2965">
        <v>939</v>
      </c>
      <c r="G2965" t="s">
        <v>28</v>
      </c>
    </row>
    <row r="2966" spans="1:7" x14ac:dyDescent="0.3">
      <c r="A2966">
        <v>32965</v>
      </c>
      <c r="B2966">
        <v>298</v>
      </c>
      <c r="C2966" s="2">
        <v>45047</v>
      </c>
      <c r="D2966" s="2" t="str">
        <f>TEXT(Table5[[#This Row],[bill_date]],"mmmm")</f>
        <v>May</v>
      </c>
      <c r="E2966" s="9">
        <f>YEAR(Table5[[#This Row],[bill_date]])</f>
        <v>2023</v>
      </c>
      <c r="F2966">
        <v>809</v>
      </c>
      <c r="G2966" t="s">
        <v>30</v>
      </c>
    </row>
    <row r="2967" spans="1:7" x14ac:dyDescent="0.3">
      <c r="A2967">
        <v>32966</v>
      </c>
      <c r="B2967">
        <v>420</v>
      </c>
      <c r="C2967" s="2">
        <v>44584</v>
      </c>
      <c r="D2967" s="2" t="str">
        <f>TEXT(Table5[[#This Row],[bill_date]],"mmmm")</f>
        <v>January</v>
      </c>
      <c r="E2967" s="9">
        <f>YEAR(Table5[[#This Row],[bill_date]])</f>
        <v>2022</v>
      </c>
      <c r="F2967">
        <v>1304</v>
      </c>
      <c r="G2967" t="s">
        <v>30</v>
      </c>
    </row>
    <row r="2968" spans="1:7" x14ac:dyDescent="0.3">
      <c r="A2968">
        <v>32967</v>
      </c>
      <c r="B2968">
        <v>272</v>
      </c>
      <c r="C2968" s="2">
        <v>44758</v>
      </c>
      <c r="D2968" s="2" t="str">
        <f>TEXT(Table5[[#This Row],[bill_date]],"mmmm")</f>
        <v>July</v>
      </c>
      <c r="E2968" s="9">
        <f>YEAR(Table5[[#This Row],[bill_date]])</f>
        <v>2022</v>
      </c>
      <c r="F2968">
        <v>1539</v>
      </c>
      <c r="G2968" t="s">
        <v>30</v>
      </c>
    </row>
    <row r="2969" spans="1:7" x14ac:dyDescent="0.3">
      <c r="A2969">
        <v>32968</v>
      </c>
      <c r="B2969">
        <v>449</v>
      </c>
      <c r="C2969" s="2">
        <v>44922</v>
      </c>
      <c r="D2969" s="2" t="str">
        <f>TEXT(Table5[[#This Row],[bill_date]],"mmmm")</f>
        <v>December</v>
      </c>
      <c r="E2969" s="9">
        <f>YEAR(Table5[[#This Row],[bill_date]])</f>
        <v>2022</v>
      </c>
      <c r="F2969">
        <v>528</v>
      </c>
      <c r="G2969" t="s">
        <v>30</v>
      </c>
    </row>
    <row r="2970" spans="1:7" x14ac:dyDescent="0.3">
      <c r="A2970">
        <v>32969</v>
      </c>
      <c r="B2970">
        <v>67</v>
      </c>
      <c r="C2970" s="2">
        <v>45261</v>
      </c>
      <c r="D2970" s="2" t="str">
        <f>TEXT(Table5[[#This Row],[bill_date]],"mmmm")</f>
        <v>December</v>
      </c>
      <c r="E2970" s="9">
        <f>YEAR(Table5[[#This Row],[bill_date]])</f>
        <v>2023</v>
      </c>
      <c r="F2970">
        <v>394</v>
      </c>
      <c r="G2970" t="s">
        <v>30</v>
      </c>
    </row>
    <row r="2971" spans="1:7" x14ac:dyDescent="0.3">
      <c r="A2971">
        <v>32970</v>
      </c>
      <c r="B2971">
        <v>167</v>
      </c>
      <c r="C2971" s="2">
        <v>44988</v>
      </c>
      <c r="D2971" s="2" t="str">
        <f>TEXT(Table5[[#This Row],[bill_date]],"mmmm")</f>
        <v>March</v>
      </c>
      <c r="E2971" s="9">
        <f>YEAR(Table5[[#This Row],[bill_date]])</f>
        <v>2023</v>
      </c>
      <c r="F2971">
        <v>612</v>
      </c>
      <c r="G2971" t="s">
        <v>30</v>
      </c>
    </row>
    <row r="2972" spans="1:7" x14ac:dyDescent="0.3">
      <c r="A2972">
        <v>32971</v>
      </c>
      <c r="B2972">
        <v>254</v>
      </c>
      <c r="C2972" s="2">
        <v>44778</v>
      </c>
      <c r="D2972" s="2" t="str">
        <f>TEXT(Table5[[#This Row],[bill_date]],"mmmm")</f>
        <v>August</v>
      </c>
      <c r="E2972" s="9">
        <f>YEAR(Table5[[#This Row],[bill_date]])</f>
        <v>2022</v>
      </c>
      <c r="F2972">
        <v>1731</v>
      </c>
      <c r="G2972" t="s">
        <v>30</v>
      </c>
    </row>
    <row r="2973" spans="1:7" x14ac:dyDescent="0.3">
      <c r="A2973">
        <v>32972</v>
      </c>
      <c r="B2973">
        <v>355</v>
      </c>
      <c r="C2973" s="2">
        <v>45320</v>
      </c>
      <c r="D2973" s="2" t="str">
        <f>TEXT(Table5[[#This Row],[bill_date]],"mmmm")</f>
        <v>January</v>
      </c>
      <c r="E2973" s="9">
        <f>YEAR(Table5[[#This Row],[bill_date]])</f>
        <v>2024</v>
      </c>
      <c r="F2973">
        <v>1703</v>
      </c>
      <c r="G2973" t="s">
        <v>30</v>
      </c>
    </row>
    <row r="2974" spans="1:7" x14ac:dyDescent="0.3">
      <c r="A2974">
        <v>32973</v>
      </c>
      <c r="B2974">
        <v>253</v>
      </c>
      <c r="C2974" s="2">
        <v>45227</v>
      </c>
      <c r="D2974" s="2" t="str">
        <f>TEXT(Table5[[#This Row],[bill_date]],"mmmm")</f>
        <v>October</v>
      </c>
      <c r="E2974" s="9">
        <f>YEAR(Table5[[#This Row],[bill_date]])</f>
        <v>2023</v>
      </c>
      <c r="F2974">
        <v>266</v>
      </c>
      <c r="G2974" t="s">
        <v>30</v>
      </c>
    </row>
    <row r="2975" spans="1:7" x14ac:dyDescent="0.3">
      <c r="A2975">
        <v>32974</v>
      </c>
      <c r="B2975">
        <v>246</v>
      </c>
      <c r="C2975" s="2">
        <v>45268</v>
      </c>
      <c r="D2975" s="2" t="str">
        <f>TEXT(Table5[[#This Row],[bill_date]],"mmmm")</f>
        <v>December</v>
      </c>
      <c r="E2975" s="9">
        <f>YEAR(Table5[[#This Row],[bill_date]])</f>
        <v>2023</v>
      </c>
      <c r="F2975">
        <v>1615</v>
      </c>
      <c r="G2975" t="s">
        <v>30</v>
      </c>
    </row>
    <row r="2976" spans="1:7" x14ac:dyDescent="0.3">
      <c r="A2976">
        <v>32975</v>
      </c>
      <c r="B2976">
        <v>59</v>
      </c>
      <c r="C2976" s="2">
        <v>45189</v>
      </c>
      <c r="D2976" s="2" t="str">
        <f>TEXT(Table5[[#This Row],[bill_date]],"mmmm")</f>
        <v>September</v>
      </c>
      <c r="E2976" s="9">
        <f>YEAR(Table5[[#This Row],[bill_date]])</f>
        <v>2023</v>
      </c>
      <c r="F2976">
        <v>1495</v>
      </c>
      <c r="G2976" t="s">
        <v>30</v>
      </c>
    </row>
    <row r="2977" spans="1:7" x14ac:dyDescent="0.3">
      <c r="A2977">
        <v>32976</v>
      </c>
      <c r="B2977">
        <v>463</v>
      </c>
      <c r="C2977" s="2">
        <v>44757</v>
      </c>
      <c r="D2977" s="2" t="str">
        <f>TEXT(Table5[[#This Row],[bill_date]],"mmmm")</f>
        <v>July</v>
      </c>
      <c r="E2977" s="9">
        <f>YEAR(Table5[[#This Row],[bill_date]])</f>
        <v>2022</v>
      </c>
      <c r="F2977">
        <v>1521</v>
      </c>
      <c r="G2977" t="s">
        <v>30</v>
      </c>
    </row>
    <row r="2978" spans="1:7" x14ac:dyDescent="0.3">
      <c r="A2978">
        <v>32977</v>
      </c>
      <c r="B2978">
        <v>294</v>
      </c>
      <c r="C2978" s="2">
        <v>45128</v>
      </c>
      <c r="D2978" s="2" t="str">
        <f>TEXT(Table5[[#This Row],[bill_date]],"mmmm")</f>
        <v>July</v>
      </c>
      <c r="E2978" s="9">
        <f>YEAR(Table5[[#This Row],[bill_date]])</f>
        <v>2023</v>
      </c>
      <c r="F2978">
        <v>1069</v>
      </c>
      <c r="G2978" t="s">
        <v>30</v>
      </c>
    </row>
    <row r="2979" spans="1:7" x14ac:dyDescent="0.3">
      <c r="A2979">
        <v>32978</v>
      </c>
      <c r="B2979">
        <v>144</v>
      </c>
      <c r="C2979" s="2">
        <v>45248</v>
      </c>
      <c r="D2979" s="2" t="str">
        <f>TEXT(Table5[[#This Row],[bill_date]],"mmmm")</f>
        <v>November</v>
      </c>
      <c r="E2979" s="9">
        <f>YEAR(Table5[[#This Row],[bill_date]])</f>
        <v>2023</v>
      </c>
      <c r="F2979">
        <v>1069</v>
      </c>
      <c r="G2979" t="s">
        <v>30</v>
      </c>
    </row>
    <row r="2980" spans="1:7" x14ac:dyDescent="0.3">
      <c r="A2980">
        <v>32979</v>
      </c>
      <c r="B2980">
        <v>209</v>
      </c>
      <c r="C2980" s="2">
        <v>45004</v>
      </c>
      <c r="D2980" s="2" t="str">
        <f>TEXT(Table5[[#This Row],[bill_date]],"mmmm")</f>
        <v>March</v>
      </c>
      <c r="E2980" s="9">
        <f>YEAR(Table5[[#This Row],[bill_date]])</f>
        <v>2023</v>
      </c>
      <c r="F2980">
        <v>339</v>
      </c>
      <c r="G2980" t="s">
        <v>30</v>
      </c>
    </row>
    <row r="2981" spans="1:7" x14ac:dyDescent="0.3">
      <c r="A2981">
        <v>32980</v>
      </c>
      <c r="B2981">
        <v>226</v>
      </c>
      <c r="C2981" s="2">
        <v>45020</v>
      </c>
      <c r="D2981" s="2" t="str">
        <f>TEXT(Table5[[#This Row],[bill_date]],"mmmm")</f>
        <v>April</v>
      </c>
      <c r="E2981" s="9">
        <f>YEAR(Table5[[#This Row],[bill_date]])</f>
        <v>2023</v>
      </c>
      <c r="F2981">
        <v>383</v>
      </c>
      <c r="G2981" t="s">
        <v>30</v>
      </c>
    </row>
    <row r="2982" spans="1:7" x14ac:dyDescent="0.3">
      <c r="A2982">
        <v>32981</v>
      </c>
      <c r="B2982">
        <v>458</v>
      </c>
      <c r="C2982" s="2">
        <v>45020</v>
      </c>
      <c r="D2982" s="2" t="str">
        <f>TEXT(Table5[[#This Row],[bill_date]],"mmmm")</f>
        <v>April</v>
      </c>
      <c r="E2982" s="9">
        <f>YEAR(Table5[[#This Row],[bill_date]])</f>
        <v>2023</v>
      </c>
      <c r="F2982">
        <v>1888</v>
      </c>
      <c r="G2982" t="s">
        <v>30</v>
      </c>
    </row>
    <row r="2983" spans="1:7" x14ac:dyDescent="0.3">
      <c r="A2983">
        <v>32982</v>
      </c>
      <c r="B2983">
        <v>395</v>
      </c>
      <c r="C2983" s="2">
        <v>45045</v>
      </c>
      <c r="D2983" s="2" t="str">
        <f>TEXT(Table5[[#This Row],[bill_date]],"mmmm")</f>
        <v>April</v>
      </c>
      <c r="E2983" s="9">
        <f>YEAR(Table5[[#This Row],[bill_date]])</f>
        <v>2023</v>
      </c>
      <c r="F2983">
        <v>1411</v>
      </c>
      <c r="G2983" t="s">
        <v>30</v>
      </c>
    </row>
    <row r="2984" spans="1:7" x14ac:dyDescent="0.3">
      <c r="A2984">
        <v>32983</v>
      </c>
      <c r="B2984">
        <v>284</v>
      </c>
      <c r="C2984" s="2">
        <v>44705</v>
      </c>
      <c r="D2984" s="2" t="str">
        <f>TEXT(Table5[[#This Row],[bill_date]],"mmmm")</f>
        <v>May</v>
      </c>
      <c r="E2984" s="9">
        <f>YEAR(Table5[[#This Row],[bill_date]])</f>
        <v>2022</v>
      </c>
      <c r="F2984">
        <v>1796</v>
      </c>
      <c r="G2984" t="s">
        <v>30</v>
      </c>
    </row>
    <row r="2985" spans="1:7" x14ac:dyDescent="0.3">
      <c r="A2985">
        <v>32984</v>
      </c>
      <c r="B2985">
        <v>91</v>
      </c>
      <c r="C2985" s="2">
        <v>44875</v>
      </c>
      <c r="D2985" s="2" t="str">
        <f>TEXT(Table5[[#This Row],[bill_date]],"mmmm")</f>
        <v>November</v>
      </c>
      <c r="E2985" s="9">
        <f>YEAR(Table5[[#This Row],[bill_date]])</f>
        <v>2022</v>
      </c>
      <c r="F2985">
        <v>1241</v>
      </c>
      <c r="G2985" t="s">
        <v>30</v>
      </c>
    </row>
    <row r="2986" spans="1:7" x14ac:dyDescent="0.3">
      <c r="A2986">
        <v>32985</v>
      </c>
      <c r="B2986">
        <v>486</v>
      </c>
      <c r="C2986" s="2">
        <v>45436</v>
      </c>
      <c r="D2986" s="2" t="str">
        <f>TEXT(Table5[[#This Row],[bill_date]],"mmmm")</f>
        <v>May</v>
      </c>
      <c r="E2986" s="9">
        <f>YEAR(Table5[[#This Row],[bill_date]])</f>
        <v>2024</v>
      </c>
      <c r="F2986">
        <v>279</v>
      </c>
      <c r="G2986" t="s">
        <v>30</v>
      </c>
    </row>
    <row r="2987" spans="1:7" x14ac:dyDescent="0.3">
      <c r="A2987">
        <v>32986</v>
      </c>
      <c r="B2987">
        <v>466</v>
      </c>
      <c r="C2987" s="2">
        <v>45290</v>
      </c>
      <c r="D2987" s="2" t="str">
        <f>TEXT(Table5[[#This Row],[bill_date]],"mmmm")</f>
        <v>December</v>
      </c>
      <c r="E2987" s="9">
        <f>YEAR(Table5[[#This Row],[bill_date]])</f>
        <v>2023</v>
      </c>
      <c r="F2987">
        <v>696</v>
      </c>
      <c r="G2987" t="s">
        <v>28</v>
      </c>
    </row>
    <row r="2988" spans="1:7" x14ac:dyDescent="0.3">
      <c r="A2988">
        <v>32987</v>
      </c>
      <c r="B2988">
        <v>111</v>
      </c>
      <c r="C2988" s="2">
        <v>44818</v>
      </c>
      <c r="D2988" s="2" t="str">
        <f>TEXT(Table5[[#This Row],[bill_date]],"mmmm")</f>
        <v>September</v>
      </c>
      <c r="E2988" s="9">
        <f>YEAR(Table5[[#This Row],[bill_date]])</f>
        <v>2022</v>
      </c>
      <c r="F2988">
        <v>1764</v>
      </c>
      <c r="G2988" t="s">
        <v>30</v>
      </c>
    </row>
    <row r="2989" spans="1:7" x14ac:dyDescent="0.3">
      <c r="A2989">
        <v>32988</v>
      </c>
      <c r="B2989">
        <v>240</v>
      </c>
      <c r="C2989" s="2">
        <v>45200</v>
      </c>
      <c r="D2989" s="2" t="str">
        <f>TEXT(Table5[[#This Row],[bill_date]],"mmmm")</f>
        <v>October</v>
      </c>
      <c r="E2989" s="9">
        <f>YEAR(Table5[[#This Row],[bill_date]])</f>
        <v>2023</v>
      </c>
      <c r="F2989">
        <v>1861</v>
      </c>
      <c r="G2989" t="s">
        <v>30</v>
      </c>
    </row>
    <row r="2990" spans="1:7" x14ac:dyDescent="0.3">
      <c r="A2990">
        <v>32989</v>
      </c>
      <c r="B2990">
        <v>350</v>
      </c>
      <c r="C2990" s="2">
        <v>45035</v>
      </c>
      <c r="D2990" s="2" t="str">
        <f>TEXT(Table5[[#This Row],[bill_date]],"mmmm")</f>
        <v>April</v>
      </c>
      <c r="E2990" s="9">
        <f>YEAR(Table5[[#This Row],[bill_date]])</f>
        <v>2023</v>
      </c>
      <c r="F2990">
        <v>416</v>
      </c>
      <c r="G2990" t="s">
        <v>28</v>
      </c>
    </row>
    <row r="2991" spans="1:7" x14ac:dyDescent="0.3">
      <c r="A2991">
        <v>32990</v>
      </c>
      <c r="B2991">
        <v>333</v>
      </c>
      <c r="C2991" s="2">
        <v>45246</v>
      </c>
      <c r="D2991" s="2" t="str">
        <f>TEXT(Table5[[#This Row],[bill_date]],"mmmm")</f>
        <v>November</v>
      </c>
      <c r="E2991" s="9">
        <f>YEAR(Table5[[#This Row],[bill_date]])</f>
        <v>2023</v>
      </c>
      <c r="F2991">
        <v>723</v>
      </c>
      <c r="G2991" t="s">
        <v>30</v>
      </c>
    </row>
    <row r="2992" spans="1:7" x14ac:dyDescent="0.3">
      <c r="A2992">
        <v>32991</v>
      </c>
      <c r="B2992">
        <v>80</v>
      </c>
      <c r="C2992" s="2">
        <v>45167</v>
      </c>
      <c r="D2992" s="2" t="str">
        <f>TEXT(Table5[[#This Row],[bill_date]],"mmmm")</f>
        <v>August</v>
      </c>
      <c r="E2992" s="9">
        <f>YEAR(Table5[[#This Row],[bill_date]])</f>
        <v>2023</v>
      </c>
      <c r="F2992">
        <v>1911</v>
      </c>
      <c r="G2992" t="s">
        <v>30</v>
      </c>
    </row>
    <row r="2993" spans="1:7" x14ac:dyDescent="0.3">
      <c r="A2993">
        <v>32992</v>
      </c>
      <c r="B2993">
        <v>386</v>
      </c>
      <c r="C2993" s="2">
        <v>45060</v>
      </c>
      <c r="D2993" s="2" t="str">
        <f>TEXT(Table5[[#This Row],[bill_date]],"mmmm")</f>
        <v>May</v>
      </c>
      <c r="E2993" s="9">
        <f>YEAR(Table5[[#This Row],[bill_date]])</f>
        <v>2023</v>
      </c>
      <c r="F2993">
        <v>1560</v>
      </c>
      <c r="G2993" t="s">
        <v>30</v>
      </c>
    </row>
    <row r="2994" spans="1:7" x14ac:dyDescent="0.3">
      <c r="A2994">
        <v>32993</v>
      </c>
      <c r="B2994">
        <v>404</v>
      </c>
      <c r="C2994" s="2">
        <v>44780</v>
      </c>
      <c r="D2994" s="2" t="str">
        <f>TEXT(Table5[[#This Row],[bill_date]],"mmmm")</f>
        <v>August</v>
      </c>
      <c r="E2994" s="9">
        <f>YEAR(Table5[[#This Row],[bill_date]])</f>
        <v>2022</v>
      </c>
      <c r="F2994">
        <v>319</v>
      </c>
      <c r="G2994" t="s">
        <v>28</v>
      </c>
    </row>
    <row r="2995" spans="1:7" x14ac:dyDescent="0.3">
      <c r="A2995">
        <v>32994</v>
      </c>
      <c r="B2995">
        <v>204</v>
      </c>
      <c r="C2995" s="2">
        <v>45125</v>
      </c>
      <c r="D2995" s="2" t="str">
        <f>TEXT(Table5[[#This Row],[bill_date]],"mmmm")</f>
        <v>July</v>
      </c>
      <c r="E2995" s="9">
        <f>YEAR(Table5[[#This Row],[bill_date]])</f>
        <v>2023</v>
      </c>
      <c r="F2995">
        <v>667</v>
      </c>
      <c r="G2995" t="s">
        <v>30</v>
      </c>
    </row>
    <row r="2996" spans="1:7" x14ac:dyDescent="0.3">
      <c r="A2996">
        <v>32995</v>
      </c>
      <c r="B2996">
        <v>477</v>
      </c>
      <c r="C2996" s="2">
        <v>45092</v>
      </c>
      <c r="D2996" s="2" t="str">
        <f>TEXT(Table5[[#This Row],[bill_date]],"mmmm")</f>
        <v>June</v>
      </c>
      <c r="E2996" s="9">
        <f>YEAR(Table5[[#This Row],[bill_date]])</f>
        <v>2023</v>
      </c>
      <c r="F2996">
        <v>1594</v>
      </c>
      <c r="G2996" t="s">
        <v>30</v>
      </c>
    </row>
    <row r="2997" spans="1:7" x14ac:dyDescent="0.3">
      <c r="A2997">
        <v>32996</v>
      </c>
      <c r="B2997">
        <v>238</v>
      </c>
      <c r="C2997" s="2">
        <v>44919</v>
      </c>
      <c r="D2997" s="2" t="str">
        <f>TEXT(Table5[[#This Row],[bill_date]],"mmmm")</f>
        <v>December</v>
      </c>
      <c r="E2997" s="9">
        <f>YEAR(Table5[[#This Row],[bill_date]])</f>
        <v>2022</v>
      </c>
      <c r="F2997">
        <v>1704</v>
      </c>
      <c r="G2997" t="s">
        <v>30</v>
      </c>
    </row>
    <row r="2998" spans="1:7" x14ac:dyDescent="0.3">
      <c r="A2998">
        <v>32997</v>
      </c>
      <c r="B2998">
        <v>328</v>
      </c>
      <c r="C2998" s="2">
        <v>44798</v>
      </c>
      <c r="D2998" s="2" t="str">
        <f>TEXT(Table5[[#This Row],[bill_date]],"mmmm")</f>
        <v>August</v>
      </c>
      <c r="E2998" s="9">
        <f>YEAR(Table5[[#This Row],[bill_date]])</f>
        <v>2022</v>
      </c>
      <c r="F2998">
        <v>377</v>
      </c>
      <c r="G2998" t="s">
        <v>30</v>
      </c>
    </row>
    <row r="2999" spans="1:7" x14ac:dyDescent="0.3">
      <c r="A2999">
        <v>32998</v>
      </c>
      <c r="B2999">
        <v>294</v>
      </c>
      <c r="C2999" s="2">
        <v>45244</v>
      </c>
      <c r="D2999" s="2" t="str">
        <f>TEXT(Table5[[#This Row],[bill_date]],"mmmm")</f>
        <v>November</v>
      </c>
      <c r="E2999" s="9">
        <f>YEAR(Table5[[#This Row],[bill_date]])</f>
        <v>2023</v>
      </c>
      <c r="F2999">
        <v>309</v>
      </c>
      <c r="G2999" t="s">
        <v>30</v>
      </c>
    </row>
    <row r="3000" spans="1:7" x14ac:dyDescent="0.3">
      <c r="A3000">
        <v>32999</v>
      </c>
      <c r="B3000">
        <v>494</v>
      </c>
      <c r="C3000" s="2">
        <v>44836</v>
      </c>
      <c r="D3000" s="2" t="str">
        <f>TEXT(Table5[[#This Row],[bill_date]],"mmmm")</f>
        <v>October</v>
      </c>
      <c r="E3000" s="9">
        <f>YEAR(Table5[[#This Row],[bill_date]])</f>
        <v>2022</v>
      </c>
      <c r="F3000">
        <v>207</v>
      </c>
      <c r="G3000" t="s">
        <v>28</v>
      </c>
    </row>
    <row r="3001" spans="1:7" x14ac:dyDescent="0.3">
      <c r="A3001">
        <v>33000</v>
      </c>
      <c r="B3001">
        <v>184</v>
      </c>
      <c r="C3001" s="2">
        <v>45368</v>
      </c>
      <c r="D3001" s="2" t="str">
        <f>TEXT(Table5[[#This Row],[bill_date]],"mmmm")</f>
        <v>March</v>
      </c>
      <c r="E3001" s="9">
        <f>YEAR(Table5[[#This Row],[bill_date]])</f>
        <v>2024</v>
      </c>
      <c r="F3001">
        <v>420</v>
      </c>
      <c r="G3001" t="s">
        <v>30</v>
      </c>
    </row>
    <row r="3002" spans="1:7" x14ac:dyDescent="0.3">
      <c r="A3002">
        <v>33001</v>
      </c>
      <c r="B3002">
        <v>495</v>
      </c>
      <c r="C3002" s="2">
        <v>45437</v>
      </c>
      <c r="D3002" s="2" t="str">
        <f>TEXT(Table5[[#This Row],[bill_date]],"mmmm")</f>
        <v>May</v>
      </c>
      <c r="E3002" s="9">
        <f>YEAR(Table5[[#This Row],[bill_date]])</f>
        <v>2024</v>
      </c>
      <c r="F3002">
        <v>995</v>
      </c>
      <c r="G3002" t="s">
        <v>30</v>
      </c>
    </row>
    <row r="3003" spans="1:7" x14ac:dyDescent="0.3">
      <c r="A3003">
        <v>33002</v>
      </c>
      <c r="B3003">
        <v>212</v>
      </c>
      <c r="C3003" s="2">
        <v>45233</v>
      </c>
      <c r="D3003" s="2" t="str">
        <f>TEXT(Table5[[#This Row],[bill_date]],"mmmm")</f>
        <v>November</v>
      </c>
      <c r="E3003" s="9">
        <f>YEAR(Table5[[#This Row],[bill_date]])</f>
        <v>2023</v>
      </c>
      <c r="F3003">
        <v>1059</v>
      </c>
      <c r="G3003" t="s">
        <v>28</v>
      </c>
    </row>
    <row r="3004" spans="1:7" x14ac:dyDescent="0.3">
      <c r="A3004">
        <v>33003</v>
      </c>
      <c r="B3004">
        <v>251</v>
      </c>
      <c r="C3004" s="2">
        <v>45313</v>
      </c>
      <c r="D3004" s="2" t="str">
        <f>TEXT(Table5[[#This Row],[bill_date]],"mmmm")</f>
        <v>January</v>
      </c>
      <c r="E3004" s="9">
        <f>YEAR(Table5[[#This Row],[bill_date]])</f>
        <v>2024</v>
      </c>
      <c r="F3004">
        <v>820</v>
      </c>
      <c r="G3004" t="s">
        <v>30</v>
      </c>
    </row>
    <row r="3005" spans="1:7" x14ac:dyDescent="0.3">
      <c r="A3005">
        <v>33004</v>
      </c>
      <c r="B3005">
        <v>227</v>
      </c>
      <c r="C3005" s="2">
        <v>45138</v>
      </c>
      <c r="D3005" s="2" t="str">
        <f>TEXT(Table5[[#This Row],[bill_date]],"mmmm")</f>
        <v>July</v>
      </c>
      <c r="E3005" s="9">
        <f>YEAR(Table5[[#This Row],[bill_date]])</f>
        <v>2023</v>
      </c>
      <c r="F3005">
        <v>1870</v>
      </c>
      <c r="G3005" t="s">
        <v>30</v>
      </c>
    </row>
    <row r="3006" spans="1:7" x14ac:dyDescent="0.3">
      <c r="A3006">
        <v>33005</v>
      </c>
      <c r="B3006">
        <v>167</v>
      </c>
      <c r="C3006" s="2">
        <v>44778</v>
      </c>
      <c r="D3006" s="2" t="str">
        <f>TEXT(Table5[[#This Row],[bill_date]],"mmmm")</f>
        <v>August</v>
      </c>
      <c r="E3006" s="9">
        <f>YEAR(Table5[[#This Row],[bill_date]])</f>
        <v>2022</v>
      </c>
      <c r="F3006">
        <v>1330</v>
      </c>
      <c r="G3006" t="s">
        <v>30</v>
      </c>
    </row>
    <row r="3007" spans="1:7" x14ac:dyDescent="0.3">
      <c r="A3007">
        <v>33006</v>
      </c>
      <c r="B3007">
        <v>31</v>
      </c>
      <c r="C3007" s="2">
        <v>45120</v>
      </c>
      <c r="D3007" s="2" t="str">
        <f>TEXT(Table5[[#This Row],[bill_date]],"mmmm")</f>
        <v>July</v>
      </c>
      <c r="E3007" s="9">
        <f>YEAR(Table5[[#This Row],[bill_date]])</f>
        <v>2023</v>
      </c>
      <c r="F3007">
        <v>1559</v>
      </c>
      <c r="G3007" t="s">
        <v>30</v>
      </c>
    </row>
    <row r="3008" spans="1:7" x14ac:dyDescent="0.3">
      <c r="A3008">
        <v>33007</v>
      </c>
      <c r="B3008">
        <v>336</v>
      </c>
      <c r="C3008" s="2">
        <v>44958</v>
      </c>
      <c r="D3008" s="2" t="str">
        <f>TEXT(Table5[[#This Row],[bill_date]],"mmmm")</f>
        <v>February</v>
      </c>
      <c r="E3008" s="9">
        <f>YEAR(Table5[[#This Row],[bill_date]])</f>
        <v>2023</v>
      </c>
      <c r="F3008">
        <v>402</v>
      </c>
      <c r="G3008" t="s">
        <v>30</v>
      </c>
    </row>
    <row r="3009" spans="1:7" x14ac:dyDescent="0.3">
      <c r="A3009">
        <v>33008</v>
      </c>
      <c r="B3009">
        <v>151</v>
      </c>
      <c r="C3009" s="2">
        <v>44635</v>
      </c>
      <c r="D3009" s="2" t="str">
        <f>TEXT(Table5[[#This Row],[bill_date]],"mmmm")</f>
        <v>March</v>
      </c>
      <c r="E3009" s="9">
        <f>YEAR(Table5[[#This Row],[bill_date]])</f>
        <v>2022</v>
      </c>
      <c r="F3009">
        <v>725</v>
      </c>
      <c r="G3009" t="s">
        <v>30</v>
      </c>
    </row>
    <row r="3010" spans="1:7" x14ac:dyDescent="0.3">
      <c r="A3010">
        <v>33009</v>
      </c>
      <c r="B3010">
        <v>162</v>
      </c>
      <c r="C3010" s="2">
        <v>45237</v>
      </c>
      <c r="D3010" s="2" t="str">
        <f>TEXT(Table5[[#This Row],[bill_date]],"mmmm")</f>
        <v>November</v>
      </c>
      <c r="E3010" s="9">
        <f>YEAR(Table5[[#This Row],[bill_date]])</f>
        <v>2023</v>
      </c>
      <c r="F3010">
        <v>651</v>
      </c>
      <c r="G3010" t="s">
        <v>30</v>
      </c>
    </row>
    <row r="3011" spans="1:7" x14ac:dyDescent="0.3">
      <c r="A3011">
        <v>33010</v>
      </c>
      <c r="B3011">
        <v>96</v>
      </c>
      <c r="C3011" s="2">
        <v>45271</v>
      </c>
      <c r="D3011" s="2" t="str">
        <f>TEXT(Table5[[#This Row],[bill_date]],"mmmm")</f>
        <v>December</v>
      </c>
      <c r="E3011" s="9">
        <f>YEAR(Table5[[#This Row],[bill_date]])</f>
        <v>2023</v>
      </c>
      <c r="F3011">
        <v>1896</v>
      </c>
      <c r="G3011" t="s">
        <v>30</v>
      </c>
    </row>
    <row r="3012" spans="1:7" x14ac:dyDescent="0.3">
      <c r="A3012">
        <v>33011</v>
      </c>
      <c r="B3012">
        <v>273</v>
      </c>
      <c r="C3012" s="2">
        <v>44889</v>
      </c>
      <c r="D3012" s="2" t="str">
        <f>TEXT(Table5[[#This Row],[bill_date]],"mmmm")</f>
        <v>November</v>
      </c>
      <c r="E3012" s="9">
        <f>YEAR(Table5[[#This Row],[bill_date]])</f>
        <v>2022</v>
      </c>
      <c r="F3012">
        <v>1144</v>
      </c>
      <c r="G3012" t="s">
        <v>30</v>
      </c>
    </row>
    <row r="3013" spans="1:7" x14ac:dyDescent="0.3">
      <c r="A3013">
        <v>33012</v>
      </c>
      <c r="B3013">
        <v>363</v>
      </c>
      <c r="C3013" s="2">
        <v>44969</v>
      </c>
      <c r="D3013" s="2" t="str">
        <f>TEXT(Table5[[#This Row],[bill_date]],"mmmm")</f>
        <v>February</v>
      </c>
      <c r="E3013" s="9">
        <f>YEAR(Table5[[#This Row],[bill_date]])</f>
        <v>2023</v>
      </c>
      <c r="F3013">
        <v>393</v>
      </c>
      <c r="G3013" t="s">
        <v>30</v>
      </c>
    </row>
    <row r="3014" spans="1:7" x14ac:dyDescent="0.3">
      <c r="A3014">
        <v>33013</v>
      </c>
      <c r="B3014">
        <v>24</v>
      </c>
      <c r="C3014" s="2">
        <v>44709</v>
      </c>
      <c r="D3014" s="2" t="str">
        <f>TEXT(Table5[[#This Row],[bill_date]],"mmmm")</f>
        <v>May</v>
      </c>
      <c r="E3014" s="9">
        <f>YEAR(Table5[[#This Row],[bill_date]])</f>
        <v>2022</v>
      </c>
      <c r="F3014">
        <v>459</v>
      </c>
      <c r="G3014" t="s">
        <v>28</v>
      </c>
    </row>
    <row r="3015" spans="1:7" x14ac:dyDescent="0.3">
      <c r="A3015">
        <v>33014</v>
      </c>
      <c r="B3015">
        <v>419</v>
      </c>
      <c r="C3015" s="2">
        <v>44647</v>
      </c>
      <c r="D3015" s="2" t="str">
        <f>TEXT(Table5[[#This Row],[bill_date]],"mmmm")</f>
        <v>March</v>
      </c>
      <c r="E3015" s="9">
        <f>YEAR(Table5[[#This Row],[bill_date]])</f>
        <v>2022</v>
      </c>
      <c r="F3015">
        <v>1064</v>
      </c>
      <c r="G3015" t="s">
        <v>30</v>
      </c>
    </row>
    <row r="3016" spans="1:7" x14ac:dyDescent="0.3">
      <c r="A3016">
        <v>33015</v>
      </c>
      <c r="B3016">
        <v>118</v>
      </c>
      <c r="C3016" s="2">
        <v>45082</v>
      </c>
      <c r="D3016" s="2" t="str">
        <f>TEXT(Table5[[#This Row],[bill_date]],"mmmm")</f>
        <v>June</v>
      </c>
      <c r="E3016" s="9">
        <f>YEAR(Table5[[#This Row],[bill_date]])</f>
        <v>2023</v>
      </c>
      <c r="F3016">
        <v>1231</v>
      </c>
      <c r="G3016" t="s">
        <v>30</v>
      </c>
    </row>
    <row r="3017" spans="1:7" x14ac:dyDescent="0.3">
      <c r="A3017">
        <v>33016</v>
      </c>
      <c r="B3017">
        <v>407</v>
      </c>
      <c r="C3017" s="2">
        <v>45064</v>
      </c>
      <c r="D3017" s="2" t="str">
        <f>TEXT(Table5[[#This Row],[bill_date]],"mmmm")</f>
        <v>May</v>
      </c>
      <c r="E3017" s="9">
        <f>YEAR(Table5[[#This Row],[bill_date]])</f>
        <v>2023</v>
      </c>
      <c r="F3017">
        <v>1438</v>
      </c>
      <c r="G3017" t="s">
        <v>30</v>
      </c>
    </row>
    <row r="3018" spans="1:7" x14ac:dyDescent="0.3">
      <c r="A3018">
        <v>33017</v>
      </c>
      <c r="B3018">
        <v>392</v>
      </c>
      <c r="C3018" s="2">
        <v>45326</v>
      </c>
      <c r="D3018" s="2" t="str">
        <f>TEXT(Table5[[#This Row],[bill_date]],"mmmm")</f>
        <v>February</v>
      </c>
      <c r="E3018" s="9">
        <f>YEAR(Table5[[#This Row],[bill_date]])</f>
        <v>2024</v>
      </c>
      <c r="F3018">
        <v>1995</v>
      </c>
      <c r="G3018" t="s">
        <v>30</v>
      </c>
    </row>
    <row r="3019" spans="1:7" x14ac:dyDescent="0.3">
      <c r="A3019">
        <v>33018</v>
      </c>
      <c r="B3019">
        <v>438</v>
      </c>
      <c r="C3019" s="2">
        <v>44793</v>
      </c>
      <c r="D3019" s="2" t="str">
        <f>TEXT(Table5[[#This Row],[bill_date]],"mmmm")</f>
        <v>August</v>
      </c>
      <c r="E3019" s="9">
        <f>YEAR(Table5[[#This Row],[bill_date]])</f>
        <v>2022</v>
      </c>
      <c r="F3019">
        <v>1121</v>
      </c>
      <c r="G3019" t="s">
        <v>30</v>
      </c>
    </row>
    <row r="3020" spans="1:7" x14ac:dyDescent="0.3">
      <c r="A3020">
        <v>33019</v>
      </c>
      <c r="B3020">
        <v>87</v>
      </c>
      <c r="C3020" s="2">
        <v>45449</v>
      </c>
      <c r="D3020" s="2" t="str">
        <f>TEXT(Table5[[#This Row],[bill_date]],"mmmm")</f>
        <v>June</v>
      </c>
      <c r="E3020" s="9">
        <f>YEAR(Table5[[#This Row],[bill_date]])</f>
        <v>2024</v>
      </c>
      <c r="F3020">
        <v>1335</v>
      </c>
      <c r="G3020" t="s">
        <v>30</v>
      </c>
    </row>
    <row r="3021" spans="1:7" x14ac:dyDescent="0.3">
      <c r="A3021">
        <v>33020</v>
      </c>
      <c r="B3021">
        <v>405</v>
      </c>
      <c r="C3021" s="2">
        <v>45059</v>
      </c>
      <c r="D3021" s="2" t="str">
        <f>TEXT(Table5[[#This Row],[bill_date]],"mmmm")</f>
        <v>May</v>
      </c>
      <c r="E3021" s="9">
        <f>YEAR(Table5[[#This Row],[bill_date]])</f>
        <v>2023</v>
      </c>
      <c r="F3021">
        <v>1851</v>
      </c>
      <c r="G3021" t="s">
        <v>30</v>
      </c>
    </row>
    <row r="3022" spans="1:7" x14ac:dyDescent="0.3">
      <c r="A3022">
        <v>33021</v>
      </c>
      <c r="B3022">
        <v>275</v>
      </c>
      <c r="C3022" s="2">
        <v>44984</v>
      </c>
      <c r="D3022" s="2" t="str">
        <f>TEXT(Table5[[#This Row],[bill_date]],"mmmm")</f>
        <v>February</v>
      </c>
      <c r="E3022" s="9">
        <f>YEAR(Table5[[#This Row],[bill_date]])</f>
        <v>2023</v>
      </c>
      <c r="F3022">
        <v>538</v>
      </c>
      <c r="G3022" t="s">
        <v>30</v>
      </c>
    </row>
    <row r="3023" spans="1:7" x14ac:dyDescent="0.3">
      <c r="A3023">
        <v>33022</v>
      </c>
      <c r="B3023">
        <v>415</v>
      </c>
      <c r="C3023" s="2">
        <v>45028</v>
      </c>
      <c r="D3023" s="2" t="str">
        <f>TEXT(Table5[[#This Row],[bill_date]],"mmmm")</f>
        <v>April</v>
      </c>
      <c r="E3023" s="9">
        <f>YEAR(Table5[[#This Row],[bill_date]])</f>
        <v>2023</v>
      </c>
      <c r="F3023">
        <v>245</v>
      </c>
      <c r="G3023" t="s">
        <v>30</v>
      </c>
    </row>
    <row r="3024" spans="1:7" x14ac:dyDescent="0.3">
      <c r="A3024">
        <v>33023</v>
      </c>
      <c r="B3024">
        <v>50</v>
      </c>
      <c r="C3024" s="2">
        <v>44808</v>
      </c>
      <c r="D3024" s="2" t="str">
        <f>TEXT(Table5[[#This Row],[bill_date]],"mmmm")</f>
        <v>September</v>
      </c>
      <c r="E3024" s="9">
        <f>YEAR(Table5[[#This Row],[bill_date]])</f>
        <v>2022</v>
      </c>
      <c r="F3024">
        <v>1028</v>
      </c>
      <c r="G3024" t="s">
        <v>28</v>
      </c>
    </row>
    <row r="3025" spans="1:7" x14ac:dyDescent="0.3">
      <c r="A3025">
        <v>33024</v>
      </c>
      <c r="B3025">
        <v>327</v>
      </c>
      <c r="C3025" s="2">
        <v>44931</v>
      </c>
      <c r="D3025" s="2" t="str">
        <f>TEXT(Table5[[#This Row],[bill_date]],"mmmm")</f>
        <v>January</v>
      </c>
      <c r="E3025" s="9">
        <f>YEAR(Table5[[#This Row],[bill_date]])</f>
        <v>2023</v>
      </c>
      <c r="F3025">
        <v>1011</v>
      </c>
      <c r="G3025" t="s">
        <v>30</v>
      </c>
    </row>
    <row r="3026" spans="1:7" x14ac:dyDescent="0.3">
      <c r="A3026">
        <v>33025</v>
      </c>
      <c r="B3026">
        <v>112</v>
      </c>
      <c r="C3026" s="2">
        <v>45074</v>
      </c>
      <c r="D3026" s="2" t="str">
        <f>TEXT(Table5[[#This Row],[bill_date]],"mmmm")</f>
        <v>May</v>
      </c>
      <c r="E3026" s="9">
        <f>YEAR(Table5[[#This Row],[bill_date]])</f>
        <v>2023</v>
      </c>
      <c r="F3026">
        <v>687</v>
      </c>
      <c r="G3026" t="s">
        <v>30</v>
      </c>
    </row>
    <row r="3027" spans="1:7" x14ac:dyDescent="0.3">
      <c r="A3027">
        <v>33026</v>
      </c>
      <c r="B3027">
        <v>280</v>
      </c>
      <c r="C3027" s="2">
        <v>45340</v>
      </c>
      <c r="D3027" s="2" t="str">
        <f>TEXT(Table5[[#This Row],[bill_date]],"mmmm")</f>
        <v>February</v>
      </c>
      <c r="E3027" s="9">
        <f>YEAR(Table5[[#This Row],[bill_date]])</f>
        <v>2024</v>
      </c>
      <c r="F3027">
        <v>1544</v>
      </c>
      <c r="G3027" t="s">
        <v>30</v>
      </c>
    </row>
    <row r="3028" spans="1:7" x14ac:dyDescent="0.3">
      <c r="A3028">
        <v>33027</v>
      </c>
      <c r="B3028">
        <v>302</v>
      </c>
      <c r="C3028" s="2">
        <v>44666</v>
      </c>
      <c r="D3028" s="2" t="str">
        <f>TEXT(Table5[[#This Row],[bill_date]],"mmmm")</f>
        <v>April</v>
      </c>
      <c r="E3028" s="9">
        <f>YEAR(Table5[[#This Row],[bill_date]])</f>
        <v>2022</v>
      </c>
      <c r="F3028">
        <v>989</v>
      </c>
      <c r="G3028" t="s">
        <v>30</v>
      </c>
    </row>
    <row r="3029" spans="1:7" x14ac:dyDescent="0.3">
      <c r="A3029">
        <v>33028</v>
      </c>
      <c r="B3029">
        <v>136</v>
      </c>
      <c r="C3029" s="2">
        <v>44795</v>
      </c>
      <c r="D3029" s="2" t="str">
        <f>TEXT(Table5[[#This Row],[bill_date]],"mmmm")</f>
        <v>August</v>
      </c>
      <c r="E3029" s="9">
        <f>YEAR(Table5[[#This Row],[bill_date]])</f>
        <v>2022</v>
      </c>
      <c r="F3029">
        <v>1320</v>
      </c>
      <c r="G3029" t="s">
        <v>30</v>
      </c>
    </row>
    <row r="3030" spans="1:7" x14ac:dyDescent="0.3">
      <c r="A3030">
        <v>33029</v>
      </c>
      <c r="B3030">
        <v>333</v>
      </c>
      <c r="C3030" s="2">
        <v>45019</v>
      </c>
      <c r="D3030" s="2" t="str">
        <f>TEXT(Table5[[#This Row],[bill_date]],"mmmm")</f>
        <v>April</v>
      </c>
      <c r="E3030" s="9">
        <f>YEAR(Table5[[#This Row],[bill_date]])</f>
        <v>2023</v>
      </c>
      <c r="F3030">
        <v>1667</v>
      </c>
      <c r="G3030" t="s">
        <v>28</v>
      </c>
    </row>
    <row r="3031" spans="1:7" x14ac:dyDescent="0.3">
      <c r="A3031">
        <v>33030</v>
      </c>
      <c r="B3031">
        <v>3</v>
      </c>
      <c r="C3031" s="2">
        <v>44818</v>
      </c>
      <c r="D3031" s="2" t="str">
        <f>TEXT(Table5[[#This Row],[bill_date]],"mmmm")</f>
        <v>September</v>
      </c>
      <c r="E3031" s="9">
        <f>YEAR(Table5[[#This Row],[bill_date]])</f>
        <v>2022</v>
      </c>
      <c r="F3031">
        <v>291</v>
      </c>
      <c r="G3031" t="s">
        <v>30</v>
      </c>
    </row>
    <row r="3032" spans="1:7" x14ac:dyDescent="0.3">
      <c r="A3032">
        <v>33031</v>
      </c>
      <c r="B3032">
        <v>162</v>
      </c>
      <c r="C3032" s="2">
        <v>45036</v>
      </c>
      <c r="D3032" s="2" t="str">
        <f>TEXT(Table5[[#This Row],[bill_date]],"mmmm")</f>
        <v>April</v>
      </c>
      <c r="E3032" s="9">
        <f>YEAR(Table5[[#This Row],[bill_date]])</f>
        <v>2023</v>
      </c>
      <c r="F3032">
        <v>1474</v>
      </c>
      <c r="G3032" t="s">
        <v>30</v>
      </c>
    </row>
    <row r="3033" spans="1:7" x14ac:dyDescent="0.3">
      <c r="A3033">
        <v>33032</v>
      </c>
      <c r="B3033">
        <v>77</v>
      </c>
      <c r="C3033" s="2">
        <v>45154</v>
      </c>
      <c r="D3033" s="2" t="str">
        <f>TEXT(Table5[[#This Row],[bill_date]],"mmmm")</f>
        <v>August</v>
      </c>
      <c r="E3033" s="9">
        <f>YEAR(Table5[[#This Row],[bill_date]])</f>
        <v>2023</v>
      </c>
      <c r="F3033">
        <v>1385</v>
      </c>
      <c r="G3033" t="s">
        <v>30</v>
      </c>
    </row>
    <row r="3034" spans="1:7" x14ac:dyDescent="0.3">
      <c r="A3034">
        <v>33033</v>
      </c>
      <c r="B3034">
        <v>185</v>
      </c>
      <c r="C3034" s="2">
        <v>45196</v>
      </c>
      <c r="D3034" s="2" t="str">
        <f>TEXT(Table5[[#This Row],[bill_date]],"mmmm")</f>
        <v>September</v>
      </c>
      <c r="E3034" s="9">
        <f>YEAR(Table5[[#This Row],[bill_date]])</f>
        <v>2023</v>
      </c>
      <c r="F3034">
        <v>1380</v>
      </c>
      <c r="G3034" t="s">
        <v>30</v>
      </c>
    </row>
    <row r="3035" spans="1:7" x14ac:dyDescent="0.3">
      <c r="A3035">
        <v>33034</v>
      </c>
      <c r="B3035">
        <v>374</v>
      </c>
      <c r="C3035" s="2">
        <v>44733</v>
      </c>
      <c r="D3035" s="2" t="str">
        <f>TEXT(Table5[[#This Row],[bill_date]],"mmmm")</f>
        <v>June</v>
      </c>
      <c r="E3035" s="9">
        <f>YEAR(Table5[[#This Row],[bill_date]])</f>
        <v>2022</v>
      </c>
      <c r="F3035">
        <v>777</v>
      </c>
      <c r="G3035" t="s">
        <v>30</v>
      </c>
    </row>
    <row r="3036" spans="1:7" x14ac:dyDescent="0.3">
      <c r="A3036">
        <v>33035</v>
      </c>
      <c r="B3036">
        <v>58</v>
      </c>
      <c r="C3036" s="2">
        <v>45380</v>
      </c>
      <c r="D3036" s="2" t="str">
        <f>TEXT(Table5[[#This Row],[bill_date]],"mmmm")</f>
        <v>March</v>
      </c>
      <c r="E3036" s="9">
        <f>YEAR(Table5[[#This Row],[bill_date]])</f>
        <v>2024</v>
      </c>
      <c r="F3036">
        <v>336</v>
      </c>
      <c r="G3036" t="s">
        <v>30</v>
      </c>
    </row>
    <row r="3037" spans="1:7" x14ac:dyDescent="0.3">
      <c r="A3037">
        <v>33036</v>
      </c>
      <c r="B3037">
        <v>480</v>
      </c>
      <c r="C3037" s="2">
        <v>44834</v>
      </c>
      <c r="D3037" s="2" t="str">
        <f>TEXT(Table5[[#This Row],[bill_date]],"mmmm")</f>
        <v>September</v>
      </c>
      <c r="E3037" s="9">
        <f>YEAR(Table5[[#This Row],[bill_date]])</f>
        <v>2022</v>
      </c>
      <c r="F3037">
        <v>1606</v>
      </c>
      <c r="G3037" t="s">
        <v>30</v>
      </c>
    </row>
    <row r="3038" spans="1:7" x14ac:dyDescent="0.3">
      <c r="A3038">
        <v>33037</v>
      </c>
      <c r="B3038">
        <v>163</v>
      </c>
      <c r="C3038" s="2">
        <v>45432</v>
      </c>
      <c r="D3038" s="2" t="str">
        <f>TEXT(Table5[[#This Row],[bill_date]],"mmmm")</f>
        <v>May</v>
      </c>
      <c r="E3038" s="9">
        <f>YEAR(Table5[[#This Row],[bill_date]])</f>
        <v>2024</v>
      </c>
      <c r="F3038">
        <v>510</v>
      </c>
      <c r="G3038" t="s">
        <v>30</v>
      </c>
    </row>
    <row r="3039" spans="1:7" x14ac:dyDescent="0.3">
      <c r="A3039">
        <v>33038</v>
      </c>
      <c r="B3039">
        <v>21</v>
      </c>
      <c r="C3039" s="2">
        <v>45320</v>
      </c>
      <c r="D3039" s="2" t="str">
        <f>TEXT(Table5[[#This Row],[bill_date]],"mmmm")</f>
        <v>January</v>
      </c>
      <c r="E3039" s="9">
        <f>YEAR(Table5[[#This Row],[bill_date]])</f>
        <v>2024</v>
      </c>
      <c r="F3039">
        <v>488</v>
      </c>
      <c r="G3039" t="s">
        <v>30</v>
      </c>
    </row>
    <row r="3040" spans="1:7" x14ac:dyDescent="0.3">
      <c r="A3040">
        <v>33039</v>
      </c>
      <c r="B3040">
        <v>65</v>
      </c>
      <c r="C3040" s="2">
        <v>45436</v>
      </c>
      <c r="D3040" s="2" t="str">
        <f>TEXT(Table5[[#This Row],[bill_date]],"mmmm")</f>
        <v>May</v>
      </c>
      <c r="E3040" s="9">
        <f>YEAR(Table5[[#This Row],[bill_date]])</f>
        <v>2024</v>
      </c>
      <c r="F3040">
        <v>263</v>
      </c>
      <c r="G3040" t="s">
        <v>30</v>
      </c>
    </row>
    <row r="3041" spans="1:7" x14ac:dyDescent="0.3">
      <c r="A3041">
        <v>33040</v>
      </c>
      <c r="B3041">
        <v>66</v>
      </c>
      <c r="C3041" s="2">
        <v>45449</v>
      </c>
      <c r="D3041" s="2" t="str">
        <f>TEXT(Table5[[#This Row],[bill_date]],"mmmm")</f>
        <v>June</v>
      </c>
      <c r="E3041" s="9">
        <f>YEAR(Table5[[#This Row],[bill_date]])</f>
        <v>2024</v>
      </c>
      <c r="F3041">
        <v>1996</v>
      </c>
      <c r="G3041" t="s">
        <v>28</v>
      </c>
    </row>
    <row r="3042" spans="1:7" x14ac:dyDescent="0.3">
      <c r="A3042">
        <v>33041</v>
      </c>
      <c r="B3042">
        <v>441</v>
      </c>
      <c r="C3042" s="2">
        <v>44755</v>
      </c>
      <c r="D3042" s="2" t="str">
        <f>TEXT(Table5[[#This Row],[bill_date]],"mmmm")</f>
        <v>July</v>
      </c>
      <c r="E3042" s="9">
        <f>YEAR(Table5[[#This Row],[bill_date]])</f>
        <v>2022</v>
      </c>
      <c r="F3042">
        <v>1420</v>
      </c>
      <c r="G3042" t="s">
        <v>30</v>
      </c>
    </row>
    <row r="3043" spans="1:7" x14ac:dyDescent="0.3">
      <c r="A3043">
        <v>33042</v>
      </c>
      <c r="B3043">
        <v>298</v>
      </c>
      <c r="C3043" s="2">
        <v>44673</v>
      </c>
      <c r="D3043" s="2" t="str">
        <f>TEXT(Table5[[#This Row],[bill_date]],"mmmm")</f>
        <v>April</v>
      </c>
      <c r="E3043" s="9">
        <f>YEAR(Table5[[#This Row],[bill_date]])</f>
        <v>2022</v>
      </c>
      <c r="F3043">
        <v>1905</v>
      </c>
      <c r="G3043" t="s">
        <v>29</v>
      </c>
    </row>
    <row r="3044" spans="1:7" x14ac:dyDescent="0.3">
      <c r="A3044">
        <v>33043</v>
      </c>
      <c r="B3044">
        <v>299</v>
      </c>
      <c r="C3044" s="2">
        <v>44584</v>
      </c>
      <c r="D3044" s="2" t="str">
        <f>TEXT(Table5[[#This Row],[bill_date]],"mmmm")</f>
        <v>January</v>
      </c>
      <c r="E3044" s="9">
        <f>YEAR(Table5[[#This Row],[bill_date]])</f>
        <v>2022</v>
      </c>
      <c r="F3044">
        <v>1750</v>
      </c>
      <c r="G3044" t="s">
        <v>30</v>
      </c>
    </row>
    <row r="3045" spans="1:7" x14ac:dyDescent="0.3">
      <c r="A3045">
        <v>33044</v>
      </c>
      <c r="B3045">
        <v>282</v>
      </c>
      <c r="C3045" s="2">
        <v>45455</v>
      </c>
      <c r="D3045" s="2" t="str">
        <f>TEXT(Table5[[#This Row],[bill_date]],"mmmm")</f>
        <v>June</v>
      </c>
      <c r="E3045" s="9">
        <f>YEAR(Table5[[#This Row],[bill_date]])</f>
        <v>2024</v>
      </c>
      <c r="F3045">
        <v>901</v>
      </c>
      <c r="G3045" t="s">
        <v>30</v>
      </c>
    </row>
    <row r="3046" spans="1:7" x14ac:dyDescent="0.3">
      <c r="A3046">
        <v>33045</v>
      </c>
      <c r="B3046">
        <v>451</v>
      </c>
      <c r="C3046" s="2">
        <v>44876</v>
      </c>
      <c r="D3046" s="2" t="str">
        <f>TEXT(Table5[[#This Row],[bill_date]],"mmmm")</f>
        <v>November</v>
      </c>
      <c r="E3046" s="9">
        <f>YEAR(Table5[[#This Row],[bill_date]])</f>
        <v>2022</v>
      </c>
      <c r="F3046">
        <v>1159</v>
      </c>
      <c r="G3046" t="s">
        <v>30</v>
      </c>
    </row>
    <row r="3047" spans="1:7" x14ac:dyDescent="0.3">
      <c r="A3047">
        <v>33046</v>
      </c>
      <c r="B3047">
        <v>472</v>
      </c>
      <c r="C3047" s="2">
        <v>44763</v>
      </c>
      <c r="D3047" s="2" t="str">
        <f>TEXT(Table5[[#This Row],[bill_date]],"mmmm")</f>
        <v>July</v>
      </c>
      <c r="E3047" s="9">
        <f>YEAR(Table5[[#This Row],[bill_date]])</f>
        <v>2022</v>
      </c>
      <c r="F3047">
        <v>1759</v>
      </c>
      <c r="G3047" t="s">
        <v>30</v>
      </c>
    </row>
    <row r="3048" spans="1:7" x14ac:dyDescent="0.3">
      <c r="A3048">
        <v>33047</v>
      </c>
      <c r="B3048">
        <v>410</v>
      </c>
      <c r="C3048" s="2">
        <v>45062</v>
      </c>
      <c r="D3048" s="2" t="str">
        <f>TEXT(Table5[[#This Row],[bill_date]],"mmmm")</f>
        <v>May</v>
      </c>
      <c r="E3048" s="9">
        <f>YEAR(Table5[[#This Row],[bill_date]])</f>
        <v>2023</v>
      </c>
      <c r="F3048">
        <v>1472</v>
      </c>
      <c r="G3048" t="s">
        <v>29</v>
      </c>
    </row>
    <row r="3049" spans="1:7" x14ac:dyDescent="0.3">
      <c r="A3049">
        <v>33048</v>
      </c>
      <c r="B3049">
        <v>392</v>
      </c>
      <c r="C3049" s="2">
        <v>45179</v>
      </c>
      <c r="D3049" s="2" t="str">
        <f>TEXT(Table5[[#This Row],[bill_date]],"mmmm")</f>
        <v>September</v>
      </c>
      <c r="E3049" s="9">
        <f>YEAR(Table5[[#This Row],[bill_date]])</f>
        <v>2023</v>
      </c>
      <c r="F3049">
        <v>737</v>
      </c>
      <c r="G3049" t="s">
        <v>30</v>
      </c>
    </row>
    <row r="3050" spans="1:7" x14ac:dyDescent="0.3">
      <c r="A3050">
        <v>33049</v>
      </c>
      <c r="B3050">
        <v>175</v>
      </c>
      <c r="C3050" s="2">
        <v>45167</v>
      </c>
      <c r="D3050" s="2" t="str">
        <f>TEXT(Table5[[#This Row],[bill_date]],"mmmm")</f>
        <v>August</v>
      </c>
      <c r="E3050" s="9">
        <f>YEAR(Table5[[#This Row],[bill_date]])</f>
        <v>2023</v>
      </c>
      <c r="F3050">
        <v>1904</v>
      </c>
      <c r="G3050" t="s">
        <v>30</v>
      </c>
    </row>
    <row r="3051" spans="1:7" x14ac:dyDescent="0.3">
      <c r="A3051">
        <v>33050</v>
      </c>
      <c r="B3051">
        <v>165</v>
      </c>
      <c r="C3051" s="2">
        <v>44586</v>
      </c>
      <c r="D3051" s="2" t="str">
        <f>TEXT(Table5[[#This Row],[bill_date]],"mmmm")</f>
        <v>January</v>
      </c>
      <c r="E3051" s="9">
        <f>YEAR(Table5[[#This Row],[bill_date]])</f>
        <v>2022</v>
      </c>
      <c r="F3051">
        <v>315</v>
      </c>
      <c r="G3051" t="s">
        <v>30</v>
      </c>
    </row>
    <row r="3052" spans="1:7" x14ac:dyDescent="0.3">
      <c r="A3052">
        <v>33051</v>
      </c>
      <c r="B3052">
        <v>456</v>
      </c>
      <c r="C3052" s="2">
        <v>45218</v>
      </c>
      <c r="D3052" s="2" t="str">
        <f>TEXT(Table5[[#This Row],[bill_date]],"mmmm")</f>
        <v>October</v>
      </c>
      <c r="E3052" s="9">
        <f>YEAR(Table5[[#This Row],[bill_date]])</f>
        <v>2023</v>
      </c>
      <c r="F3052">
        <v>1090</v>
      </c>
      <c r="G3052" t="s">
        <v>30</v>
      </c>
    </row>
    <row r="3053" spans="1:7" x14ac:dyDescent="0.3">
      <c r="A3053">
        <v>33052</v>
      </c>
      <c r="B3053">
        <v>82</v>
      </c>
      <c r="C3053" s="2">
        <v>45069</v>
      </c>
      <c r="D3053" s="2" t="str">
        <f>TEXT(Table5[[#This Row],[bill_date]],"mmmm")</f>
        <v>May</v>
      </c>
      <c r="E3053" s="9">
        <f>YEAR(Table5[[#This Row],[bill_date]])</f>
        <v>2023</v>
      </c>
      <c r="F3053">
        <v>765</v>
      </c>
      <c r="G3053" t="s">
        <v>30</v>
      </c>
    </row>
    <row r="3054" spans="1:7" x14ac:dyDescent="0.3">
      <c r="A3054">
        <v>33053</v>
      </c>
      <c r="B3054">
        <v>146</v>
      </c>
      <c r="C3054" s="2">
        <v>44927</v>
      </c>
      <c r="D3054" s="2" t="str">
        <f>TEXT(Table5[[#This Row],[bill_date]],"mmmm")</f>
        <v>January</v>
      </c>
      <c r="E3054" s="9">
        <f>YEAR(Table5[[#This Row],[bill_date]])</f>
        <v>2023</v>
      </c>
      <c r="F3054">
        <v>684</v>
      </c>
      <c r="G3054" t="s">
        <v>30</v>
      </c>
    </row>
    <row r="3055" spans="1:7" x14ac:dyDescent="0.3">
      <c r="A3055">
        <v>33054</v>
      </c>
      <c r="B3055">
        <v>204</v>
      </c>
      <c r="C3055" s="2">
        <v>45092</v>
      </c>
      <c r="D3055" s="2" t="str">
        <f>TEXT(Table5[[#This Row],[bill_date]],"mmmm")</f>
        <v>June</v>
      </c>
      <c r="E3055" s="9">
        <f>YEAR(Table5[[#This Row],[bill_date]])</f>
        <v>2023</v>
      </c>
      <c r="F3055">
        <v>1585</v>
      </c>
      <c r="G3055" t="s">
        <v>30</v>
      </c>
    </row>
    <row r="3056" spans="1:7" x14ac:dyDescent="0.3">
      <c r="A3056">
        <v>33055</v>
      </c>
      <c r="B3056">
        <v>164</v>
      </c>
      <c r="C3056" s="2">
        <v>45283</v>
      </c>
      <c r="D3056" s="2" t="str">
        <f>TEXT(Table5[[#This Row],[bill_date]],"mmmm")</f>
        <v>December</v>
      </c>
      <c r="E3056" s="9">
        <f>YEAR(Table5[[#This Row],[bill_date]])</f>
        <v>2023</v>
      </c>
      <c r="F3056">
        <v>1248</v>
      </c>
      <c r="G3056" t="s">
        <v>30</v>
      </c>
    </row>
    <row r="3057" spans="1:7" x14ac:dyDescent="0.3">
      <c r="A3057">
        <v>33056</v>
      </c>
      <c r="B3057">
        <v>104</v>
      </c>
      <c r="C3057" s="2">
        <v>45155</v>
      </c>
      <c r="D3057" s="2" t="str">
        <f>TEXT(Table5[[#This Row],[bill_date]],"mmmm")</f>
        <v>August</v>
      </c>
      <c r="E3057" s="9">
        <f>YEAR(Table5[[#This Row],[bill_date]])</f>
        <v>2023</v>
      </c>
      <c r="F3057">
        <v>982</v>
      </c>
      <c r="G3057" t="s">
        <v>30</v>
      </c>
    </row>
    <row r="3058" spans="1:7" x14ac:dyDescent="0.3">
      <c r="A3058">
        <v>33057</v>
      </c>
      <c r="B3058">
        <v>130</v>
      </c>
      <c r="C3058" s="2">
        <v>44607</v>
      </c>
      <c r="D3058" s="2" t="str">
        <f>TEXT(Table5[[#This Row],[bill_date]],"mmmm")</f>
        <v>February</v>
      </c>
      <c r="E3058" s="9">
        <f>YEAR(Table5[[#This Row],[bill_date]])</f>
        <v>2022</v>
      </c>
      <c r="F3058">
        <v>1210</v>
      </c>
      <c r="G3058" t="s">
        <v>30</v>
      </c>
    </row>
    <row r="3059" spans="1:7" x14ac:dyDescent="0.3">
      <c r="A3059">
        <v>33058</v>
      </c>
      <c r="B3059">
        <v>84</v>
      </c>
      <c r="C3059" s="2">
        <v>44596</v>
      </c>
      <c r="D3059" s="2" t="str">
        <f>TEXT(Table5[[#This Row],[bill_date]],"mmmm")</f>
        <v>February</v>
      </c>
      <c r="E3059" s="9">
        <f>YEAR(Table5[[#This Row],[bill_date]])</f>
        <v>2022</v>
      </c>
      <c r="F3059">
        <v>1075</v>
      </c>
      <c r="G3059" t="s">
        <v>30</v>
      </c>
    </row>
    <row r="3060" spans="1:7" x14ac:dyDescent="0.3">
      <c r="A3060">
        <v>33059</v>
      </c>
      <c r="B3060">
        <v>120</v>
      </c>
      <c r="C3060" s="2">
        <v>44763</v>
      </c>
      <c r="D3060" s="2" t="str">
        <f>TEXT(Table5[[#This Row],[bill_date]],"mmmm")</f>
        <v>July</v>
      </c>
      <c r="E3060" s="9">
        <f>YEAR(Table5[[#This Row],[bill_date]])</f>
        <v>2022</v>
      </c>
      <c r="F3060">
        <v>818</v>
      </c>
      <c r="G3060" t="s">
        <v>30</v>
      </c>
    </row>
    <row r="3061" spans="1:7" x14ac:dyDescent="0.3">
      <c r="A3061">
        <v>33060</v>
      </c>
      <c r="B3061">
        <v>259</v>
      </c>
      <c r="C3061" s="2">
        <v>45096</v>
      </c>
      <c r="D3061" s="2" t="str">
        <f>TEXT(Table5[[#This Row],[bill_date]],"mmmm")</f>
        <v>June</v>
      </c>
      <c r="E3061" s="9">
        <f>YEAR(Table5[[#This Row],[bill_date]])</f>
        <v>2023</v>
      </c>
      <c r="F3061">
        <v>1824</v>
      </c>
      <c r="G3061" t="s">
        <v>28</v>
      </c>
    </row>
    <row r="3062" spans="1:7" x14ac:dyDescent="0.3">
      <c r="A3062">
        <v>33061</v>
      </c>
      <c r="B3062">
        <v>104</v>
      </c>
      <c r="C3062" s="2">
        <v>44926</v>
      </c>
      <c r="D3062" s="2" t="str">
        <f>TEXT(Table5[[#This Row],[bill_date]],"mmmm")</f>
        <v>December</v>
      </c>
      <c r="E3062" s="9">
        <f>YEAR(Table5[[#This Row],[bill_date]])</f>
        <v>2022</v>
      </c>
      <c r="F3062">
        <v>1715</v>
      </c>
      <c r="G3062" t="s">
        <v>28</v>
      </c>
    </row>
    <row r="3063" spans="1:7" x14ac:dyDescent="0.3">
      <c r="A3063">
        <v>33062</v>
      </c>
      <c r="B3063">
        <v>364</v>
      </c>
      <c r="C3063" s="2">
        <v>45031</v>
      </c>
      <c r="D3063" s="2" t="str">
        <f>TEXT(Table5[[#This Row],[bill_date]],"mmmm")</f>
        <v>April</v>
      </c>
      <c r="E3063" s="9">
        <f>YEAR(Table5[[#This Row],[bill_date]])</f>
        <v>2023</v>
      </c>
      <c r="F3063">
        <v>1579</v>
      </c>
      <c r="G3063" t="s">
        <v>30</v>
      </c>
    </row>
    <row r="3064" spans="1:7" x14ac:dyDescent="0.3">
      <c r="A3064">
        <v>33063</v>
      </c>
      <c r="B3064">
        <v>34</v>
      </c>
      <c r="C3064" s="2">
        <v>44861</v>
      </c>
      <c r="D3064" s="2" t="str">
        <f>TEXT(Table5[[#This Row],[bill_date]],"mmmm")</f>
        <v>October</v>
      </c>
      <c r="E3064" s="9">
        <f>YEAR(Table5[[#This Row],[bill_date]])</f>
        <v>2022</v>
      </c>
      <c r="F3064">
        <v>1634</v>
      </c>
      <c r="G3064" t="s">
        <v>30</v>
      </c>
    </row>
    <row r="3065" spans="1:7" x14ac:dyDescent="0.3">
      <c r="A3065">
        <v>33064</v>
      </c>
      <c r="B3065">
        <v>382</v>
      </c>
      <c r="C3065" s="2">
        <v>45338</v>
      </c>
      <c r="D3065" s="2" t="str">
        <f>TEXT(Table5[[#This Row],[bill_date]],"mmmm")</f>
        <v>February</v>
      </c>
      <c r="E3065" s="9">
        <f>YEAR(Table5[[#This Row],[bill_date]])</f>
        <v>2024</v>
      </c>
      <c r="F3065">
        <v>1698</v>
      </c>
      <c r="G3065" t="s">
        <v>30</v>
      </c>
    </row>
    <row r="3066" spans="1:7" x14ac:dyDescent="0.3">
      <c r="A3066">
        <v>33065</v>
      </c>
      <c r="B3066">
        <v>369</v>
      </c>
      <c r="C3066" s="2">
        <v>44977</v>
      </c>
      <c r="D3066" s="2" t="str">
        <f>TEXT(Table5[[#This Row],[bill_date]],"mmmm")</f>
        <v>February</v>
      </c>
      <c r="E3066" s="9">
        <f>YEAR(Table5[[#This Row],[bill_date]])</f>
        <v>2023</v>
      </c>
      <c r="F3066">
        <v>612</v>
      </c>
      <c r="G3066" t="s">
        <v>30</v>
      </c>
    </row>
    <row r="3067" spans="1:7" x14ac:dyDescent="0.3">
      <c r="A3067">
        <v>33066</v>
      </c>
      <c r="B3067">
        <v>366</v>
      </c>
      <c r="C3067" s="2">
        <v>44907</v>
      </c>
      <c r="D3067" s="2" t="str">
        <f>TEXT(Table5[[#This Row],[bill_date]],"mmmm")</f>
        <v>December</v>
      </c>
      <c r="E3067" s="9">
        <f>YEAR(Table5[[#This Row],[bill_date]])</f>
        <v>2022</v>
      </c>
      <c r="F3067">
        <v>1344</v>
      </c>
      <c r="G3067" t="s">
        <v>30</v>
      </c>
    </row>
    <row r="3068" spans="1:7" x14ac:dyDescent="0.3">
      <c r="A3068">
        <v>33067</v>
      </c>
      <c r="B3068">
        <v>174</v>
      </c>
      <c r="C3068" s="2">
        <v>44910</v>
      </c>
      <c r="D3068" s="2" t="str">
        <f>TEXT(Table5[[#This Row],[bill_date]],"mmmm")</f>
        <v>December</v>
      </c>
      <c r="E3068" s="9">
        <f>YEAR(Table5[[#This Row],[bill_date]])</f>
        <v>2022</v>
      </c>
      <c r="F3068">
        <v>1683</v>
      </c>
      <c r="G3068" t="s">
        <v>30</v>
      </c>
    </row>
    <row r="3069" spans="1:7" x14ac:dyDescent="0.3">
      <c r="A3069">
        <v>33068</v>
      </c>
      <c r="B3069">
        <v>446</v>
      </c>
      <c r="C3069" s="2">
        <v>45260</v>
      </c>
      <c r="D3069" s="2" t="str">
        <f>TEXT(Table5[[#This Row],[bill_date]],"mmmm")</f>
        <v>November</v>
      </c>
      <c r="E3069" s="9">
        <f>YEAR(Table5[[#This Row],[bill_date]])</f>
        <v>2023</v>
      </c>
      <c r="F3069">
        <v>627</v>
      </c>
      <c r="G3069" t="s">
        <v>30</v>
      </c>
    </row>
    <row r="3070" spans="1:7" x14ac:dyDescent="0.3">
      <c r="A3070">
        <v>33069</v>
      </c>
      <c r="B3070">
        <v>326</v>
      </c>
      <c r="C3070" s="2">
        <v>45371</v>
      </c>
      <c r="D3070" s="2" t="str">
        <f>TEXT(Table5[[#This Row],[bill_date]],"mmmm")</f>
        <v>March</v>
      </c>
      <c r="E3070" s="9">
        <f>YEAR(Table5[[#This Row],[bill_date]])</f>
        <v>2024</v>
      </c>
      <c r="F3070">
        <v>441</v>
      </c>
      <c r="G3070" t="s">
        <v>30</v>
      </c>
    </row>
    <row r="3071" spans="1:7" x14ac:dyDescent="0.3">
      <c r="A3071">
        <v>33070</v>
      </c>
      <c r="B3071">
        <v>232</v>
      </c>
      <c r="C3071" s="2">
        <v>44751</v>
      </c>
      <c r="D3071" s="2" t="str">
        <f>TEXT(Table5[[#This Row],[bill_date]],"mmmm")</f>
        <v>July</v>
      </c>
      <c r="E3071" s="9">
        <f>YEAR(Table5[[#This Row],[bill_date]])</f>
        <v>2022</v>
      </c>
      <c r="F3071">
        <v>1625</v>
      </c>
      <c r="G3071" t="s">
        <v>30</v>
      </c>
    </row>
    <row r="3072" spans="1:7" x14ac:dyDescent="0.3">
      <c r="A3072">
        <v>33071</v>
      </c>
      <c r="B3072">
        <v>185</v>
      </c>
      <c r="C3072" s="2">
        <v>44964</v>
      </c>
      <c r="D3072" s="2" t="str">
        <f>TEXT(Table5[[#This Row],[bill_date]],"mmmm")</f>
        <v>February</v>
      </c>
      <c r="E3072" s="9">
        <f>YEAR(Table5[[#This Row],[bill_date]])</f>
        <v>2023</v>
      </c>
      <c r="F3072">
        <v>450</v>
      </c>
      <c r="G3072" t="s">
        <v>28</v>
      </c>
    </row>
    <row r="3073" spans="1:7" x14ac:dyDescent="0.3">
      <c r="A3073">
        <v>33072</v>
      </c>
      <c r="B3073">
        <v>394</v>
      </c>
      <c r="C3073" s="2">
        <v>45313</v>
      </c>
      <c r="D3073" s="2" t="str">
        <f>TEXT(Table5[[#This Row],[bill_date]],"mmmm")</f>
        <v>January</v>
      </c>
      <c r="E3073" s="9">
        <f>YEAR(Table5[[#This Row],[bill_date]])</f>
        <v>2024</v>
      </c>
      <c r="F3073">
        <v>1297</v>
      </c>
      <c r="G3073" t="s">
        <v>30</v>
      </c>
    </row>
    <row r="3074" spans="1:7" x14ac:dyDescent="0.3">
      <c r="A3074">
        <v>33073</v>
      </c>
      <c r="B3074">
        <v>344</v>
      </c>
      <c r="C3074" s="2">
        <v>44910</v>
      </c>
      <c r="D3074" s="2" t="str">
        <f>TEXT(Table5[[#This Row],[bill_date]],"mmmm")</f>
        <v>December</v>
      </c>
      <c r="E3074" s="9">
        <f>YEAR(Table5[[#This Row],[bill_date]])</f>
        <v>2022</v>
      </c>
      <c r="F3074">
        <v>310</v>
      </c>
      <c r="G3074" t="s">
        <v>30</v>
      </c>
    </row>
    <row r="3075" spans="1:7" x14ac:dyDescent="0.3">
      <c r="A3075">
        <v>33074</v>
      </c>
      <c r="B3075">
        <v>18</v>
      </c>
      <c r="C3075" s="2">
        <v>44934</v>
      </c>
      <c r="D3075" s="2" t="str">
        <f>TEXT(Table5[[#This Row],[bill_date]],"mmmm")</f>
        <v>January</v>
      </c>
      <c r="E3075" s="9">
        <f>YEAR(Table5[[#This Row],[bill_date]])</f>
        <v>2023</v>
      </c>
      <c r="F3075">
        <v>1885</v>
      </c>
      <c r="G3075" t="s">
        <v>30</v>
      </c>
    </row>
    <row r="3076" spans="1:7" x14ac:dyDescent="0.3">
      <c r="A3076">
        <v>33075</v>
      </c>
      <c r="B3076">
        <v>417</v>
      </c>
      <c r="C3076" s="2">
        <v>45200</v>
      </c>
      <c r="D3076" s="2" t="str">
        <f>TEXT(Table5[[#This Row],[bill_date]],"mmmm")</f>
        <v>October</v>
      </c>
      <c r="E3076" s="9">
        <f>YEAR(Table5[[#This Row],[bill_date]])</f>
        <v>2023</v>
      </c>
      <c r="F3076">
        <v>980</v>
      </c>
      <c r="G3076" t="s">
        <v>30</v>
      </c>
    </row>
    <row r="3077" spans="1:7" x14ac:dyDescent="0.3">
      <c r="A3077">
        <v>33076</v>
      </c>
      <c r="B3077">
        <v>231</v>
      </c>
      <c r="C3077" s="2">
        <v>45066</v>
      </c>
      <c r="D3077" s="2" t="str">
        <f>TEXT(Table5[[#This Row],[bill_date]],"mmmm")</f>
        <v>May</v>
      </c>
      <c r="E3077" s="9">
        <f>YEAR(Table5[[#This Row],[bill_date]])</f>
        <v>2023</v>
      </c>
      <c r="F3077">
        <v>1168</v>
      </c>
      <c r="G3077" t="s">
        <v>30</v>
      </c>
    </row>
    <row r="3078" spans="1:7" x14ac:dyDescent="0.3">
      <c r="A3078">
        <v>33077</v>
      </c>
      <c r="B3078">
        <v>135</v>
      </c>
      <c r="C3078" s="2">
        <v>44852</v>
      </c>
      <c r="D3078" s="2" t="str">
        <f>TEXT(Table5[[#This Row],[bill_date]],"mmmm")</f>
        <v>October</v>
      </c>
      <c r="E3078" s="9">
        <f>YEAR(Table5[[#This Row],[bill_date]])</f>
        <v>2022</v>
      </c>
      <c r="F3078">
        <v>1832</v>
      </c>
      <c r="G3078" t="s">
        <v>30</v>
      </c>
    </row>
    <row r="3079" spans="1:7" x14ac:dyDescent="0.3">
      <c r="A3079">
        <v>33078</v>
      </c>
      <c r="B3079">
        <v>45</v>
      </c>
      <c r="C3079" s="2">
        <v>44672</v>
      </c>
      <c r="D3079" s="2" t="str">
        <f>TEXT(Table5[[#This Row],[bill_date]],"mmmm")</f>
        <v>April</v>
      </c>
      <c r="E3079" s="9">
        <f>YEAR(Table5[[#This Row],[bill_date]])</f>
        <v>2022</v>
      </c>
      <c r="F3079">
        <v>558</v>
      </c>
      <c r="G3079" t="s">
        <v>30</v>
      </c>
    </row>
    <row r="3080" spans="1:7" x14ac:dyDescent="0.3">
      <c r="A3080">
        <v>33079</v>
      </c>
      <c r="B3080">
        <v>112</v>
      </c>
      <c r="C3080" s="2">
        <v>45116</v>
      </c>
      <c r="D3080" s="2" t="str">
        <f>TEXT(Table5[[#This Row],[bill_date]],"mmmm")</f>
        <v>July</v>
      </c>
      <c r="E3080" s="9">
        <f>YEAR(Table5[[#This Row],[bill_date]])</f>
        <v>2023</v>
      </c>
      <c r="F3080">
        <v>965</v>
      </c>
      <c r="G3080" t="s">
        <v>30</v>
      </c>
    </row>
    <row r="3081" spans="1:7" x14ac:dyDescent="0.3">
      <c r="A3081">
        <v>33080</v>
      </c>
      <c r="B3081">
        <v>492</v>
      </c>
      <c r="C3081" s="2">
        <v>45064</v>
      </c>
      <c r="D3081" s="2" t="str">
        <f>TEXT(Table5[[#This Row],[bill_date]],"mmmm")</f>
        <v>May</v>
      </c>
      <c r="E3081" s="9">
        <f>YEAR(Table5[[#This Row],[bill_date]])</f>
        <v>2023</v>
      </c>
      <c r="F3081">
        <v>1117</v>
      </c>
      <c r="G3081" t="s">
        <v>30</v>
      </c>
    </row>
    <row r="3082" spans="1:7" x14ac:dyDescent="0.3">
      <c r="A3082">
        <v>33081</v>
      </c>
      <c r="B3082">
        <v>413</v>
      </c>
      <c r="C3082" s="2">
        <v>44862</v>
      </c>
      <c r="D3082" s="2" t="str">
        <f>TEXT(Table5[[#This Row],[bill_date]],"mmmm")</f>
        <v>October</v>
      </c>
      <c r="E3082" s="9">
        <f>YEAR(Table5[[#This Row],[bill_date]])</f>
        <v>2022</v>
      </c>
      <c r="F3082">
        <v>366</v>
      </c>
      <c r="G3082" t="s">
        <v>30</v>
      </c>
    </row>
    <row r="3083" spans="1:7" x14ac:dyDescent="0.3">
      <c r="A3083">
        <v>33082</v>
      </c>
      <c r="B3083">
        <v>83</v>
      </c>
      <c r="C3083" s="2">
        <v>45207</v>
      </c>
      <c r="D3083" s="2" t="str">
        <f>TEXT(Table5[[#This Row],[bill_date]],"mmmm")</f>
        <v>October</v>
      </c>
      <c r="E3083" s="9">
        <f>YEAR(Table5[[#This Row],[bill_date]])</f>
        <v>2023</v>
      </c>
      <c r="F3083">
        <v>1472</v>
      </c>
      <c r="G3083" t="s">
        <v>30</v>
      </c>
    </row>
    <row r="3084" spans="1:7" x14ac:dyDescent="0.3">
      <c r="A3084">
        <v>33083</v>
      </c>
      <c r="B3084">
        <v>422</v>
      </c>
      <c r="C3084" s="2">
        <v>44574</v>
      </c>
      <c r="D3084" s="2" t="str">
        <f>TEXT(Table5[[#This Row],[bill_date]],"mmmm")</f>
        <v>January</v>
      </c>
      <c r="E3084" s="9">
        <f>YEAR(Table5[[#This Row],[bill_date]])</f>
        <v>2022</v>
      </c>
      <c r="F3084">
        <v>956</v>
      </c>
      <c r="G3084" t="s">
        <v>30</v>
      </c>
    </row>
    <row r="3085" spans="1:7" x14ac:dyDescent="0.3">
      <c r="A3085">
        <v>33084</v>
      </c>
      <c r="B3085">
        <v>39</v>
      </c>
      <c r="C3085" s="2">
        <v>45084</v>
      </c>
      <c r="D3085" s="2" t="str">
        <f>TEXT(Table5[[#This Row],[bill_date]],"mmmm")</f>
        <v>June</v>
      </c>
      <c r="E3085" s="9">
        <f>YEAR(Table5[[#This Row],[bill_date]])</f>
        <v>2023</v>
      </c>
      <c r="F3085">
        <v>411</v>
      </c>
      <c r="G3085" t="s">
        <v>30</v>
      </c>
    </row>
    <row r="3086" spans="1:7" x14ac:dyDescent="0.3">
      <c r="A3086">
        <v>33085</v>
      </c>
      <c r="B3086">
        <v>254</v>
      </c>
      <c r="C3086" s="2">
        <v>44663</v>
      </c>
      <c r="D3086" s="2" t="str">
        <f>TEXT(Table5[[#This Row],[bill_date]],"mmmm")</f>
        <v>April</v>
      </c>
      <c r="E3086" s="9">
        <f>YEAR(Table5[[#This Row],[bill_date]])</f>
        <v>2022</v>
      </c>
      <c r="F3086">
        <v>1665</v>
      </c>
      <c r="G3086" t="s">
        <v>30</v>
      </c>
    </row>
    <row r="3087" spans="1:7" x14ac:dyDescent="0.3">
      <c r="A3087">
        <v>33086</v>
      </c>
      <c r="B3087">
        <v>409</v>
      </c>
      <c r="C3087" s="2">
        <v>44758</v>
      </c>
      <c r="D3087" s="2" t="str">
        <f>TEXT(Table5[[#This Row],[bill_date]],"mmmm")</f>
        <v>July</v>
      </c>
      <c r="E3087" s="9">
        <f>YEAR(Table5[[#This Row],[bill_date]])</f>
        <v>2022</v>
      </c>
      <c r="F3087">
        <v>986</v>
      </c>
      <c r="G3087" t="s">
        <v>30</v>
      </c>
    </row>
    <row r="3088" spans="1:7" x14ac:dyDescent="0.3">
      <c r="A3088">
        <v>33087</v>
      </c>
      <c r="B3088">
        <v>145</v>
      </c>
      <c r="C3088" s="2">
        <v>44952</v>
      </c>
      <c r="D3088" s="2" t="str">
        <f>TEXT(Table5[[#This Row],[bill_date]],"mmmm")</f>
        <v>January</v>
      </c>
      <c r="E3088" s="9">
        <f>YEAR(Table5[[#This Row],[bill_date]])</f>
        <v>2023</v>
      </c>
      <c r="F3088">
        <v>990</v>
      </c>
      <c r="G3088" t="s">
        <v>30</v>
      </c>
    </row>
    <row r="3089" spans="1:7" x14ac:dyDescent="0.3">
      <c r="A3089">
        <v>33088</v>
      </c>
      <c r="B3089">
        <v>317</v>
      </c>
      <c r="C3089" s="2">
        <v>44616</v>
      </c>
      <c r="D3089" s="2" t="str">
        <f>TEXT(Table5[[#This Row],[bill_date]],"mmmm")</f>
        <v>February</v>
      </c>
      <c r="E3089" s="9">
        <f>YEAR(Table5[[#This Row],[bill_date]])</f>
        <v>2022</v>
      </c>
      <c r="F3089">
        <v>244</v>
      </c>
      <c r="G3089" t="s">
        <v>30</v>
      </c>
    </row>
    <row r="3090" spans="1:7" x14ac:dyDescent="0.3">
      <c r="A3090">
        <v>33089</v>
      </c>
      <c r="B3090">
        <v>51</v>
      </c>
      <c r="C3090" s="2">
        <v>44744</v>
      </c>
      <c r="D3090" s="2" t="str">
        <f>TEXT(Table5[[#This Row],[bill_date]],"mmmm")</f>
        <v>July</v>
      </c>
      <c r="E3090" s="9">
        <f>YEAR(Table5[[#This Row],[bill_date]])</f>
        <v>2022</v>
      </c>
      <c r="F3090">
        <v>1240</v>
      </c>
      <c r="G3090" t="s">
        <v>30</v>
      </c>
    </row>
    <row r="3091" spans="1:7" x14ac:dyDescent="0.3">
      <c r="A3091">
        <v>33090</v>
      </c>
      <c r="B3091">
        <v>293</v>
      </c>
      <c r="C3091" s="2">
        <v>44580</v>
      </c>
      <c r="D3091" s="2" t="str">
        <f>TEXT(Table5[[#This Row],[bill_date]],"mmmm")</f>
        <v>January</v>
      </c>
      <c r="E3091" s="9">
        <f>YEAR(Table5[[#This Row],[bill_date]])</f>
        <v>2022</v>
      </c>
      <c r="F3091">
        <v>1077</v>
      </c>
      <c r="G3091" t="s">
        <v>30</v>
      </c>
    </row>
    <row r="3092" spans="1:7" x14ac:dyDescent="0.3">
      <c r="A3092">
        <v>33091</v>
      </c>
      <c r="B3092">
        <v>67</v>
      </c>
      <c r="C3092" s="2">
        <v>44924</v>
      </c>
      <c r="D3092" s="2" t="str">
        <f>TEXT(Table5[[#This Row],[bill_date]],"mmmm")</f>
        <v>December</v>
      </c>
      <c r="E3092" s="9">
        <f>YEAR(Table5[[#This Row],[bill_date]])</f>
        <v>2022</v>
      </c>
      <c r="F3092">
        <v>956</v>
      </c>
      <c r="G3092" t="s">
        <v>30</v>
      </c>
    </row>
    <row r="3093" spans="1:7" x14ac:dyDescent="0.3">
      <c r="A3093">
        <v>33092</v>
      </c>
      <c r="B3093">
        <v>24</v>
      </c>
      <c r="C3093" s="2">
        <v>45335</v>
      </c>
      <c r="D3093" s="2" t="str">
        <f>TEXT(Table5[[#This Row],[bill_date]],"mmmm")</f>
        <v>February</v>
      </c>
      <c r="E3093" s="9">
        <f>YEAR(Table5[[#This Row],[bill_date]])</f>
        <v>2024</v>
      </c>
      <c r="F3093">
        <v>1572</v>
      </c>
      <c r="G3093" t="s">
        <v>30</v>
      </c>
    </row>
    <row r="3094" spans="1:7" x14ac:dyDescent="0.3">
      <c r="A3094">
        <v>33093</v>
      </c>
      <c r="B3094">
        <v>122</v>
      </c>
      <c r="C3094" s="2">
        <v>45034</v>
      </c>
      <c r="D3094" s="2" t="str">
        <f>TEXT(Table5[[#This Row],[bill_date]],"mmmm")</f>
        <v>April</v>
      </c>
      <c r="E3094" s="9">
        <f>YEAR(Table5[[#This Row],[bill_date]])</f>
        <v>2023</v>
      </c>
      <c r="F3094">
        <v>1442</v>
      </c>
      <c r="G3094" t="s">
        <v>30</v>
      </c>
    </row>
    <row r="3095" spans="1:7" x14ac:dyDescent="0.3">
      <c r="A3095">
        <v>33094</v>
      </c>
      <c r="B3095">
        <v>466</v>
      </c>
      <c r="C3095" s="2">
        <v>44570</v>
      </c>
      <c r="D3095" s="2" t="str">
        <f>TEXT(Table5[[#This Row],[bill_date]],"mmmm")</f>
        <v>January</v>
      </c>
      <c r="E3095" s="9">
        <f>YEAR(Table5[[#This Row],[bill_date]])</f>
        <v>2022</v>
      </c>
      <c r="F3095">
        <v>886</v>
      </c>
      <c r="G3095" t="s">
        <v>29</v>
      </c>
    </row>
    <row r="3096" spans="1:7" x14ac:dyDescent="0.3">
      <c r="A3096">
        <v>33095</v>
      </c>
      <c r="B3096">
        <v>49</v>
      </c>
      <c r="C3096" s="2">
        <v>45221</v>
      </c>
      <c r="D3096" s="2" t="str">
        <f>TEXT(Table5[[#This Row],[bill_date]],"mmmm")</f>
        <v>October</v>
      </c>
      <c r="E3096" s="9">
        <f>YEAR(Table5[[#This Row],[bill_date]])</f>
        <v>2023</v>
      </c>
      <c r="F3096">
        <v>596</v>
      </c>
      <c r="G3096" t="s">
        <v>30</v>
      </c>
    </row>
    <row r="3097" spans="1:7" x14ac:dyDescent="0.3">
      <c r="A3097">
        <v>33096</v>
      </c>
      <c r="B3097">
        <v>474</v>
      </c>
      <c r="C3097" s="2">
        <v>44586</v>
      </c>
      <c r="D3097" s="2" t="str">
        <f>TEXT(Table5[[#This Row],[bill_date]],"mmmm")</f>
        <v>January</v>
      </c>
      <c r="E3097" s="9">
        <f>YEAR(Table5[[#This Row],[bill_date]])</f>
        <v>2022</v>
      </c>
      <c r="F3097">
        <v>1968</v>
      </c>
      <c r="G3097" t="s">
        <v>30</v>
      </c>
    </row>
    <row r="3098" spans="1:7" x14ac:dyDescent="0.3">
      <c r="A3098">
        <v>33097</v>
      </c>
      <c r="B3098">
        <v>149</v>
      </c>
      <c r="C3098" s="2">
        <v>44867</v>
      </c>
      <c r="D3098" s="2" t="str">
        <f>TEXT(Table5[[#This Row],[bill_date]],"mmmm")</f>
        <v>November</v>
      </c>
      <c r="E3098" s="9">
        <f>YEAR(Table5[[#This Row],[bill_date]])</f>
        <v>2022</v>
      </c>
      <c r="F3098">
        <v>859</v>
      </c>
      <c r="G3098" t="s">
        <v>29</v>
      </c>
    </row>
    <row r="3099" spans="1:7" x14ac:dyDescent="0.3">
      <c r="A3099">
        <v>33098</v>
      </c>
      <c r="B3099">
        <v>459</v>
      </c>
      <c r="C3099" s="2">
        <v>45145</v>
      </c>
      <c r="D3099" s="2" t="str">
        <f>TEXT(Table5[[#This Row],[bill_date]],"mmmm")</f>
        <v>August</v>
      </c>
      <c r="E3099" s="9">
        <f>YEAR(Table5[[#This Row],[bill_date]])</f>
        <v>2023</v>
      </c>
      <c r="F3099">
        <v>296</v>
      </c>
      <c r="G3099" t="s">
        <v>30</v>
      </c>
    </row>
    <row r="3100" spans="1:7" x14ac:dyDescent="0.3">
      <c r="A3100">
        <v>33099</v>
      </c>
      <c r="B3100">
        <v>185</v>
      </c>
      <c r="C3100" s="2">
        <v>44995</v>
      </c>
      <c r="D3100" s="2" t="str">
        <f>TEXT(Table5[[#This Row],[bill_date]],"mmmm")</f>
        <v>March</v>
      </c>
      <c r="E3100" s="9">
        <f>YEAR(Table5[[#This Row],[bill_date]])</f>
        <v>2023</v>
      </c>
      <c r="F3100">
        <v>1227</v>
      </c>
      <c r="G3100" t="s">
        <v>28</v>
      </c>
    </row>
    <row r="3101" spans="1:7" x14ac:dyDescent="0.3">
      <c r="A3101">
        <v>33100</v>
      </c>
      <c r="B3101">
        <v>250</v>
      </c>
      <c r="C3101" s="2">
        <v>44983</v>
      </c>
      <c r="D3101" s="2" t="str">
        <f>TEXT(Table5[[#This Row],[bill_date]],"mmmm")</f>
        <v>February</v>
      </c>
      <c r="E3101" s="9">
        <f>YEAR(Table5[[#This Row],[bill_date]])</f>
        <v>2023</v>
      </c>
      <c r="F3101">
        <v>357</v>
      </c>
      <c r="G3101" t="s">
        <v>30</v>
      </c>
    </row>
    <row r="3102" spans="1:7" x14ac:dyDescent="0.3">
      <c r="A3102">
        <v>33101</v>
      </c>
      <c r="B3102">
        <v>425</v>
      </c>
      <c r="C3102" s="2">
        <v>45395</v>
      </c>
      <c r="D3102" s="2" t="str">
        <f>TEXT(Table5[[#This Row],[bill_date]],"mmmm")</f>
        <v>April</v>
      </c>
      <c r="E3102" s="9">
        <f>YEAR(Table5[[#This Row],[bill_date]])</f>
        <v>2024</v>
      </c>
      <c r="F3102">
        <v>285</v>
      </c>
      <c r="G3102" t="s">
        <v>30</v>
      </c>
    </row>
    <row r="3103" spans="1:7" x14ac:dyDescent="0.3">
      <c r="A3103">
        <v>33102</v>
      </c>
      <c r="B3103">
        <v>145</v>
      </c>
      <c r="C3103" s="2">
        <v>44618</v>
      </c>
      <c r="D3103" s="2" t="str">
        <f>TEXT(Table5[[#This Row],[bill_date]],"mmmm")</f>
        <v>February</v>
      </c>
      <c r="E3103" s="9">
        <f>YEAR(Table5[[#This Row],[bill_date]])</f>
        <v>2022</v>
      </c>
      <c r="F3103">
        <v>1965</v>
      </c>
      <c r="G3103" t="s">
        <v>30</v>
      </c>
    </row>
    <row r="3104" spans="1:7" x14ac:dyDescent="0.3">
      <c r="A3104">
        <v>33103</v>
      </c>
      <c r="B3104">
        <v>243</v>
      </c>
      <c r="C3104" s="2">
        <v>45095</v>
      </c>
      <c r="D3104" s="2" t="str">
        <f>TEXT(Table5[[#This Row],[bill_date]],"mmmm")</f>
        <v>June</v>
      </c>
      <c r="E3104" s="9">
        <f>YEAR(Table5[[#This Row],[bill_date]])</f>
        <v>2023</v>
      </c>
      <c r="F3104">
        <v>1342</v>
      </c>
      <c r="G3104" t="s">
        <v>28</v>
      </c>
    </row>
    <row r="3105" spans="1:7" x14ac:dyDescent="0.3">
      <c r="A3105">
        <v>33104</v>
      </c>
      <c r="B3105">
        <v>365</v>
      </c>
      <c r="C3105" s="2">
        <v>45385</v>
      </c>
      <c r="D3105" s="2" t="str">
        <f>TEXT(Table5[[#This Row],[bill_date]],"mmmm")</f>
        <v>April</v>
      </c>
      <c r="E3105" s="9">
        <f>YEAR(Table5[[#This Row],[bill_date]])</f>
        <v>2024</v>
      </c>
      <c r="F3105">
        <v>641</v>
      </c>
      <c r="G3105" t="s">
        <v>30</v>
      </c>
    </row>
    <row r="3106" spans="1:7" x14ac:dyDescent="0.3">
      <c r="A3106">
        <v>33105</v>
      </c>
      <c r="B3106">
        <v>358</v>
      </c>
      <c r="C3106" s="2">
        <v>45109</v>
      </c>
      <c r="D3106" s="2" t="str">
        <f>TEXT(Table5[[#This Row],[bill_date]],"mmmm")</f>
        <v>July</v>
      </c>
      <c r="E3106" s="9">
        <f>YEAR(Table5[[#This Row],[bill_date]])</f>
        <v>2023</v>
      </c>
      <c r="F3106">
        <v>370</v>
      </c>
      <c r="G3106" t="s">
        <v>30</v>
      </c>
    </row>
    <row r="3107" spans="1:7" x14ac:dyDescent="0.3">
      <c r="A3107">
        <v>33106</v>
      </c>
      <c r="B3107">
        <v>149</v>
      </c>
      <c r="C3107" s="2">
        <v>44740</v>
      </c>
      <c r="D3107" s="2" t="str">
        <f>TEXT(Table5[[#This Row],[bill_date]],"mmmm")</f>
        <v>June</v>
      </c>
      <c r="E3107" s="9">
        <f>YEAR(Table5[[#This Row],[bill_date]])</f>
        <v>2022</v>
      </c>
      <c r="F3107">
        <v>1798</v>
      </c>
      <c r="G3107" t="s">
        <v>29</v>
      </c>
    </row>
    <row r="3108" spans="1:7" x14ac:dyDescent="0.3">
      <c r="A3108">
        <v>33107</v>
      </c>
      <c r="B3108">
        <v>68</v>
      </c>
      <c r="C3108" s="2">
        <v>44629</v>
      </c>
      <c r="D3108" s="2" t="str">
        <f>TEXT(Table5[[#This Row],[bill_date]],"mmmm")</f>
        <v>March</v>
      </c>
      <c r="E3108" s="9">
        <f>YEAR(Table5[[#This Row],[bill_date]])</f>
        <v>2022</v>
      </c>
      <c r="F3108">
        <v>1828</v>
      </c>
      <c r="G3108" t="s">
        <v>30</v>
      </c>
    </row>
    <row r="3109" spans="1:7" x14ac:dyDescent="0.3">
      <c r="A3109">
        <v>33108</v>
      </c>
      <c r="B3109">
        <v>224</v>
      </c>
      <c r="C3109" s="2">
        <v>45057</v>
      </c>
      <c r="D3109" s="2" t="str">
        <f>TEXT(Table5[[#This Row],[bill_date]],"mmmm")</f>
        <v>May</v>
      </c>
      <c r="E3109" s="9">
        <f>YEAR(Table5[[#This Row],[bill_date]])</f>
        <v>2023</v>
      </c>
      <c r="F3109">
        <v>880</v>
      </c>
      <c r="G3109" t="s">
        <v>30</v>
      </c>
    </row>
    <row r="3110" spans="1:7" x14ac:dyDescent="0.3">
      <c r="A3110">
        <v>33109</v>
      </c>
      <c r="B3110">
        <v>210</v>
      </c>
      <c r="C3110" s="2">
        <v>44562</v>
      </c>
      <c r="D3110" s="2" t="str">
        <f>TEXT(Table5[[#This Row],[bill_date]],"mmmm")</f>
        <v>January</v>
      </c>
      <c r="E3110" s="9">
        <f>YEAR(Table5[[#This Row],[bill_date]])</f>
        <v>2022</v>
      </c>
      <c r="F3110">
        <v>433</v>
      </c>
      <c r="G3110" t="s">
        <v>30</v>
      </c>
    </row>
    <row r="3111" spans="1:7" x14ac:dyDescent="0.3">
      <c r="A3111">
        <v>33110</v>
      </c>
      <c r="B3111">
        <v>192</v>
      </c>
      <c r="C3111" s="2">
        <v>44609</v>
      </c>
      <c r="D3111" s="2" t="str">
        <f>TEXT(Table5[[#This Row],[bill_date]],"mmmm")</f>
        <v>February</v>
      </c>
      <c r="E3111" s="9">
        <f>YEAR(Table5[[#This Row],[bill_date]])</f>
        <v>2022</v>
      </c>
      <c r="F3111">
        <v>1700</v>
      </c>
      <c r="G3111" t="s">
        <v>30</v>
      </c>
    </row>
    <row r="3112" spans="1:7" x14ac:dyDescent="0.3">
      <c r="A3112">
        <v>33111</v>
      </c>
      <c r="B3112">
        <v>300</v>
      </c>
      <c r="C3112" s="2">
        <v>44978</v>
      </c>
      <c r="D3112" s="2" t="str">
        <f>TEXT(Table5[[#This Row],[bill_date]],"mmmm")</f>
        <v>February</v>
      </c>
      <c r="E3112" s="9">
        <f>YEAR(Table5[[#This Row],[bill_date]])</f>
        <v>2023</v>
      </c>
      <c r="F3112">
        <v>319</v>
      </c>
      <c r="G3112" t="s">
        <v>28</v>
      </c>
    </row>
    <row r="3113" spans="1:7" x14ac:dyDescent="0.3">
      <c r="A3113">
        <v>33112</v>
      </c>
      <c r="B3113">
        <v>124</v>
      </c>
      <c r="C3113" s="2">
        <v>45225</v>
      </c>
      <c r="D3113" s="2" t="str">
        <f>TEXT(Table5[[#This Row],[bill_date]],"mmmm")</f>
        <v>October</v>
      </c>
      <c r="E3113" s="9">
        <f>YEAR(Table5[[#This Row],[bill_date]])</f>
        <v>2023</v>
      </c>
      <c r="F3113">
        <v>695</v>
      </c>
      <c r="G3113" t="s">
        <v>30</v>
      </c>
    </row>
    <row r="3114" spans="1:7" x14ac:dyDescent="0.3">
      <c r="A3114">
        <v>33113</v>
      </c>
      <c r="B3114">
        <v>284</v>
      </c>
      <c r="C3114" s="2">
        <v>44758</v>
      </c>
      <c r="D3114" s="2" t="str">
        <f>TEXT(Table5[[#This Row],[bill_date]],"mmmm")</f>
        <v>July</v>
      </c>
      <c r="E3114" s="9">
        <f>YEAR(Table5[[#This Row],[bill_date]])</f>
        <v>2022</v>
      </c>
      <c r="F3114">
        <v>810</v>
      </c>
      <c r="G3114" t="s">
        <v>30</v>
      </c>
    </row>
    <row r="3115" spans="1:7" x14ac:dyDescent="0.3">
      <c r="A3115">
        <v>33114</v>
      </c>
      <c r="B3115">
        <v>292</v>
      </c>
      <c r="C3115" s="2">
        <v>45131</v>
      </c>
      <c r="D3115" s="2" t="str">
        <f>TEXT(Table5[[#This Row],[bill_date]],"mmmm")</f>
        <v>July</v>
      </c>
      <c r="E3115" s="9">
        <f>YEAR(Table5[[#This Row],[bill_date]])</f>
        <v>2023</v>
      </c>
      <c r="F3115">
        <v>620</v>
      </c>
      <c r="G3115" t="s">
        <v>30</v>
      </c>
    </row>
    <row r="3116" spans="1:7" x14ac:dyDescent="0.3">
      <c r="A3116">
        <v>33115</v>
      </c>
      <c r="B3116">
        <v>421</v>
      </c>
      <c r="C3116" s="2">
        <v>44609</v>
      </c>
      <c r="D3116" s="2" t="str">
        <f>TEXT(Table5[[#This Row],[bill_date]],"mmmm")</f>
        <v>February</v>
      </c>
      <c r="E3116" s="9">
        <f>YEAR(Table5[[#This Row],[bill_date]])</f>
        <v>2022</v>
      </c>
      <c r="F3116">
        <v>333</v>
      </c>
      <c r="G3116" t="s">
        <v>28</v>
      </c>
    </row>
    <row r="3117" spans="1:7" x14ac:dyDescent="0.3">
      <c r="A3117">
        <v>33116</v>
      </c>
      <c r="B3117">
        <v>383</v>
      </c>
      <c r="C3117" s="2">
        <v>44916</v>
      </c>
      <c r="D3117" s="2" t="str">
        <f>TEXT(Table5[[#This Row],[bill_date]],"mmmm")</f>
        <v>December</v>
      </c>
      <c r="E3117" s="9">
        <f>YEAR(Table5[[#This Row],[bill_date]])</f>
        <v>2022</v>
      </c>
      <c r="F3117">
        <v>513</v>
      </c>
      <c r="G3117" t="s">
        <v>30</v>
      </c>
    </row>
    <row r="3118" spans="1:7" x14ac:dyDescent="0.3">
      <c r="A3118">
        <v>33117</v>
      </c>
      <c r="B3118">
        <v>300</v>
      </c>
      <c r="C3118" s="2">
        <v>44795</v>
      </c>
      <c r="D3118" s="2" t="str">
        <f>TEXT(Table5[[#This Row],[bill_date]],"mmmm")</f>
        <v>August</v>
      </c>
      <c r="E3118" s="9">
        <f>YEAR(Table5[[#This Row],[bill_date]])</f>
        <v>2022</v>
      </c>
      <c r="F3118">
        <v>267</v>
      </c>
      <c r="G3118" t="s">
        <v>30</v>
      </c>
    </row>
    <row r="3119" spans="1:7" x14ac:dyDescent="0.3">
      <c r="A3119">
        <v>33118</v>
      </c>
      <c r="B3119">
        <v>50</v>
      </c>
      <c r="C3119" s="2">
        <v>44998</v>
      </c>
      <c r="D3119" s="2" t="str">
        <f>TEXT(Table5[[#This Row],[bill_date]],"mmmm")</f>
        <v>March</v>
      </c>
      <c r="E3119" s="9">
        <f>YEAR(Table5[[#This Row],[bill_date]])</f>
        <v>2023</v>
      </c>
      <c r="F3119">
        <v>396</v>
      </c>
      <c r="G3119" t="s">
        <v>30</v>
      </c>
    </row>
    <row r="3120" spans="1:7" x14ac:dyDescent="0.3">
      <c r="A3120">
        <v>33119</v>
      </c>
      <c r="B3120">
        <v>474</v>
      </c>
      <c r="C3120" s="2">
        <v>45261</v>
      </c>
      <c r="D3120" s="2" t="str">
        <f>TEXT(Table5[[#This Row],[bill_date]],"mmmm")</f>
        <v>December</v>
      </c>
      <c r="E3120" s="9">
        <f>YEAR(Table5[[#This Row],[bill_date]])</f>
        <v>2023</v>
      </c>
      <c r="F3120">
        <v>1015</v>
      </c>
      <c r="G3120" t="s">
        <v>28</v>
      </c>
    </row>
    <row r="3121" spans="1:7" x14ac:dyDescent="0.3">
      <c r="A3121">
        <v>33120</v>
      </c>
      <c r="B3121">
        <v>369</v>
      </c>
      <c r="C3121" s="2">
        <v>45455</v>
      </c>
      <c r="D3121" s="2" t="str">
        <f>TEXT(Table5[[#This Row],[bill_date]],"mmmm")</f>
        <v>June</v>
      </c>
      <c r="E3121" s="9">
        <f>YEAR(Table5[[#This Row],[bill_date]])</f>
        <v>2024</v>
      </c>
      <c r="F3121">
        <v>1940</v>
      </c>
      <c r="G3121" t="s">
        <v>30</v>
      </c>
    </row>
    <row r="3122" spans="1:7" x14ac:dyDescent="0.3">
      <c r="A3122">
        <v>33121</v>
      </c>
      <c r="B3122">
        <v>183</v>
      </c>
      <c r="C3122" s="2">
        <v>45187</v>
      </c>
      <c r="D3122" s="2" t="str">
        <f>TEXT(Table5[[#This Row],[bill_date]],"mmmm")</f>
        <v>September</v>
      </c>
      <c r="E3122" s="9">
        <f>YEAR(Table5[[#This Row],[bill_date]])</f>
        <v>2023</v>
      </c>
      <c r="F3122">
        <v>209</v>
      </c>
      <c r="G3122" t="s">
        <v>28</v>
      </c>
    </row>
    <row r="3123" spans="1:7" x14ac:dyDescent="0.3">
      <c r="A3123">
        <v>33122</v>
      </c>
      <c r="B3123">
        <v>247</v>
      </c>
      <c r="C3123" s="2">
        <v>44651</v>
      </c>
      <c r="D3123" s="2" t="str">
        <f>TEXT(Table5[[#This Row],[bill_date]],"mmmm")</f>
        <v>March</v>
      </c>
      <c r="E3123" s="9">
        <f>YEAR(Table5[[#This Row],[bill_date]])</f>
        <v>2022</v>
      </c>
      <c r="F3123">
        <v>1067</v>
      </c>
      <c r="G3123" t="s">
        <v>30</v>
      </c>
    </row>
    <row r="3124" spans="1:7" x14ac:dyDescent="0.3">
      <c r="A3124">
        <v>33123</v>
      </c>
      <c r="B3124">
        <v>88</v>
      </c>
      <c r="C3124" s="2">
        <v>44930</v>
      </c>
      <c r="D3124" s="2" t="str">
        <f>TEXT(Table5[[#This Row],[bill_date]],"mmmm")</f>
        <v>January</v>
      </c>
      <c r="E3124" s="9">
        <f>YEAR(Table5[[#This Row],[bill_date]])</f>
        <v>2023</v>
      </c>
      <c r="F3124">
        <v>1352</v>
      </c>
      <c r="G3124" t="s">
        <v>30</v>
      </c>
    </row>
    <row r="3125" spans="1:7" x14ac:dyDescent="0.3">
      <c r="A3125">
        <v>33124</v>
      </c>
      <c r="B3125">
        <v>138</v>
      </c>
      <c r="C3125" s="2">
        <v>44730</v>
      </c>
      <c r="D3125" s="2" t="str">
        <f>TEXT(Table5[[#This Row],[bill_date]],"mmmm")</f>
        <v>June</v>
      </c>
      <c r="E3125" s="9">
        <f>YEAR(Table5[[#This Row],[bill_date]])</f>
        <v>2022</v>
      </c>
      <c r="F3125">
        <v>933</v>
      </c>
      <c r="G3125" t="s">
        <v>30</v>
      </c>
    </row>
    <row r="3126" spans="1:7" x14ac:dyDescent="0.3">
      <c r="A3126">
        <v>33125</v>
      </c>
      <c r="B3126">
        <v>38</v>
      </c>
      <c r="C3126" s="2">
        <v>44924</v>
      </c>
      <c r="D3126" s="2" t="str">
        <f>TEXT(Table5[[#This Row],[bill_date]],"mmmm")</f>
        <v>December</v>
      </c>
      <c r="E3126" s="9">
        <f>YEAR(Table5[[#This Row],[bill_date]])</f>
        <v>2022</v>
      </c>
      <c r="F3126">
        <v>1332</v>
      </c>
      <c r="G3126" t="s">
        <v>30</v>
      </c>
    </row>
    <row r="3127" spans="1:7" x14ac:dyDescent="0.3">
      <c r="A3127">
        <v>33126</v>
      </c>
      <c r="B3127">
        <v>49</v>
      </c>
      <c r="C3127" s="2">
        <v>45434</v>
      </c>
      <c r="D3127" s="2" t="str">
        <f>TEXT(Table5[[#This Row],[bill_date]],"mmmm")</f>
        <v>May</v>
      </c>
      <c r="E3127" s="9">
        <f>YEAR(Table5[[#This Row],[bill_date]])</f>
        <v>2024</v>
      </c>
      <c r="F3127">
        <v>1249</v>
      </c>
      <c r="G3127" t="s">
        <v>30</v>
      </c>
    </row>
    <row r="3128" spans="1:7" x14ac:dyDescent="0.3">
      <c r="A3128">
        <v>33127</v>
      </c>
      <c r="B3128">
        <v>72</v>
      </c>
      <c r="C3128" s="2">
        <v>44738</v>
      </c>
      <c r="D3128" s="2" t="str">
        <f>TEXT(Table5[[#This Row],[bill_date]],"mmmm")</f>
        <v>June</v>
      </c>
      <c r="E3128" s="9">
        <f>YEAR(Table5[[#This Row],[bill_date]])</f>
        <v>2022</v>
      </c>
      <c r="F3128">
        <v>1622</v>
      </c>
      <c r="G3128" t="s">
        <v>30</v>
      </c>
    </row>
    <row r="3129" spans="1:7" x14ac:dyDescent="0.3">
      <c r="A3129">
        <v>33128</v>
      </c>
      <c r="B3129">
        <v>258</v>
      </c>
      <c r="C3129" s="2">
        <v>45061</v>
      </c>
      <c r="D3129" s="2" t="str">
        <f>TEXT(Table5[[#This Row],[bill_date]],"mmmm")</f>
        <v>May</v>
      </c>
      <c r="E3129" s="9">
        <f>YEAR(Table5[[#This Row],[bill_date]])</f>
        <v>2023</v>
      </c>
      <c r="F3129">
        <v>1542</v>
      </c>
      <c r="G3129" t="s">
        <v>30</v>
      </c>
    </row>
    <row r="3130" spans="1:7" x14ac:dyDescent="0.3">
      <c r="A3130">
        <v>33129</v>
      </c>
      <c r="B3130">
        <v>44</v>
      </c>
      <c r="C3130" s="2">
        <v>45265</v>
      </c>
      <c r="D3130" s="2" t="str">
        <f>TEXT(Table5[[#This Row],[bill_date]],"mmmm")</f>
        <v>December</v>
      </c>
      <c r="E3130" s="9">
        <f>YEAR(Table5[[#This Row],[bill_date]])</f>
        <v>2023</v>
      </c>
      <c r="F3130">
        <v>1416</v>
      </c>
      <c r="G3130" t="s">
        <v>30</v>
      </c>
    </row>
    <row r="3131" spans="1:7" x14ac:dyDescent="0.3">
      <c r="A3131">
        <v>33130</v>
      </c>
      <c r="B3131">
        <v>291</v>
      </c>
      <c r="C3131" s="2">
        <v>44694</v>
      </c>
      <c r="D3131" s="2" t="str">
        <f>TEXT(Table5[[#This Row],[bill_date]],"mmmm")</f>
        <v>May</v>
      </c>
      <c r="E3131" s="9">
        <f>YEAR(Table5[[#This Row],[bill_date]])</f>
        <v>2022</v>
      </c>
      <c r="F3131">
        <v>1568</v>
      </c>
      <c r="G3131" t="s">
        <v>28</v>
      </c>
    </row>
    <row r="3132" spans="1:7" x14ac:dyDescent="0.3">
      <c r="A3132">
        <v>33131</v>
      </c>
      <c r="B3132">
        <v>116</v>
      </c>
      <c r="C3132" s="2">
        <v>44733</v>
      </c>
      <c r="D3132" s="2" t="str">
        <f>TEXT(Table5[[#This Row],[bill_date]],"mmmm")</f>
        <v>June</v>
      </c>
      <c r="E3132" s="9">
        <f>YEAR(Table5[[#This Row],[bill_date]])</f>
        <v>2022</v>
      </c>
      <c r="F3132">
        <v>214</v>
      </c>
      <c r="G3132" t="s">
        <v>28</v>
      </c>
    </row>
    <row r="3133" spans="1:7" x14ac:dyDescent="0.3">
      <c r="A3133">
        <v>33132</v>
      </c>
      <c r="B3133">
        <v>149</v>
      </c>
      <c r="C3133" s="2">
        <v>45091</v>
      </c>
      <c r="D3133" s="2" t="str">
        <f>TEXT(Table5[[#This Row],[bill_date]],"mmmm")</f>
        <v>June</v>
      </c>
      <c r="E3133" s="9">
        <f>YEAR(Table5[[#This Row],[bill_date]])</f>
        <v>2023</v>
      </c>
      <c r="F3133">
        <v>1295</v>
      </c>
      <c r="G3133" t="s">
        <v>30</v>
      </c>
    </row>
    <row r="3134" spans="1:7" x14ac:dyDescent="0.3">
      <c r="A3134">
        <v>33133</v>
      </c>
      <c r="B3134">
        <v>313</v>
      </c>
      <c r="C3134" s="2">
        <v>45324</v>
      </c>
      <c r="D3134" s="2" t="str">
        <f>TEXT(Table5[[#This Row],[bill_date]],"mmmm")</f>
        <v>February</v>
      </c>
      <c r="E3134" s="9">
        <f>YEAR(Table5[[#This Row],[bill_date]])</f>
        <v>2024</v>
      </c>
      <c r="F3134">
        <v>1146</v>
      </c>
      <c r="G3134" t="s">
        <v>30</v>
      </c>
    </row>
    <row r="3135" spans="1:7" x14ac:dyDescent="0.3">
      <c r="A3135">
        <v>33134</v>
      </c>
      <c r="B3135">
        <v>347</v>
      </c>
      <c r="C3135" s="2">
        <v>45002</v>
      </c>
      <c r="D3135" s="2" t="str">
        <f>TEXT(Table5[[#This Row],[bill_date]],"mmmm")</f>
        <v>March</v>
      </c>
      <c r="E3135" s="9">
        <f>YEAR(Table5[[#This Row],[bill_date]])</f>
        <v>2023</v>
      </c>
      <c r="F3135">
        <v>1850</v>
      </c>
      <c r="G3135" t="s">
        <v>30</v>
      </c>
    </row>
    <row r="3136" spans="1:7" x14ac:dyDescent="0.3">
      <c r="A3136">
        <v>33135</v>
      </c>
      <c r="B3136">
        <v>279</v>
      </c>
      <c r="C3136" s="2">
        <v>44673</v>
      </c>
      <c r="D3136" s="2" t="str">
        <f>TEXT(Table5[[#This Row],[bill_date]],"mmmm")</f>
        <v>April</v>
      </c>
      <c r="E3136" s="9">
        <f>YEAR(Table5[[#This Row],[bill_date]])</f>
        <v>2022</v>
      </c>
      <c r="F3136">
        <v>1423</v>
      </c>
      <c r="G3136" t="s">
        <v>30</v>
      </c>
    </row>
    <row r="3137" spans="1:7" x14ac:dyDescent="0.3">
      <c r="A3137">
        <v>33136</v>
      </c>
      <c r="B3137">
        <v>288</v>
      </c>
      <c r="C3137" s="2">
        <v>44601</v>
      </c>
      <c r="D3137" s="2" t="str">
        <f>TEXT(Table5[[#This Row],[bill_date]],"mmmm")</f>
        <v>February</v>
      </c>
      <c r="E3137" s="9">
        <f>YEAR(Table5[[#This Row],[bill_date]])</f>
        <v>2022</v>
      </c>
      <c r="F3137">
        <v>1867</v>
      </c>
      <c r="G3137" t="s">
        <v>30</v>
      </c>
    </row>
    <row r="3138" spans="1:7" x14ac:dyDescent="0.3">
      <c r="A3138">
        <v>33137</v>
      </c>
      <c r="B3138">
        <v>218</v>
      </c>
      <c r="C3138" s="2">
        <v>44663</v>
      </c>
      <c r="D3138" s="2" t="str">
        <f>TEXT(Table5[[#This Row],[bill_date]],"mmmm")</f>
        <v>April</v>
      </c>
      <c r="E3138" s="9">
        <f>YEAR(Table5[[#This Row],[bill_date]])</f>
        <v>2022</v>
      </c>
      <c r="F3138">
        <v>1386</v>
      </c>
      <c r="G3138" t="s">
        <v>30</v>
      </c>
    </row>
    <row r="3139" spans="1:7" x14ac:dyDescent="0.3">
      <c r="A3139">
        <v>33138</v>
      </c>
      <c r="B3139">
        <v>71</v>
      </c>
      <c r="C3139" s="2">
        <v>44930</v>
      </c>
      <c r="D3139" s="2" t="str">
        <f>TEXT(Table5[[#This Row],[bill_date]],"mmmm")</f>
        <v>January</v>
      </c>
      <c r="E3139" s="9">
        <f>YEAR(Table5[[#This Row],[bill_date]])</f>
        <v>2023</v>
      </c>
      <c r="F3139">
        <v>205</v>
      </c>
      <c r="G3139" t="s">
        <v>30</v>
      </c>
    </row>
    <row r="3140" spans="1:7" x14ac:dyDescent="0.3">
      <c r="A3140">
        <v>33139</v>
      </c>
      <c r="B3140">
        <v>161</v>
      </c>
      <c r="C3140" s="2">
        <v>44735</v>
      </c>
      <c r="D3140" s="2" t="str">
        <f>TEXT(Table5[[#This Row],[bill_date]],"mmmm")</f>
        <v>June</v>
      </c>
      <c r="E3140" s="9">
        <f>YEAR(Table5[[#This Row],[bill_date]])</f>
        <v>2022</v>
      </c>
      <c r="F3140">
        <v>259</v>
      </c>
      <c r="G3140" t="s">
        <v>30</v>
      </c>
    </row>
    <row r="3141" spans="1:7" x14ac:dyDescent="0.3">
      <c r="A3141">
        <v>33140</v>
      </c>
      <c r="B3141">
        <v>273</v>
      </c>
      <c r="C3141" s="2">
        <v>45387</v>
      </c>
      <c r="D3141" s="2" t="str">
        <f>TEXT(Table5[[#This Row],[bill_date]],"mmmm")</f>
        <v>April</v>
      </c>
      <c r="E3141" s="9">
        <f>YEAR(Table5[[#This Row],[bill_date]])</f>
        <v>2024</v>
      </c>
      <c r="F3141">
        <v>1574</v>
      </c>
      <c r="G3141" t="s">
        <v>30</v>
      </c>
    </row>
    <row r="3142" spans="1:7" x14ac:dyDescent="0.3">
      <c r="A3142">
        <v>33141</v>
      </c>
      <c r="B3142">
        <v>127</v>
      </c>
      <c r="C3142" s="2">
        <v>44902</v>
      </c>
      <c r="D3142" s="2" t="str">
        <f>TEXT(Table5[[#This Row],[bill_date]],"mmmm")</f>
        <v>December</v>
      </c>
      <c r="E3142" s="9">
        <f>YEAR(Table5[[#This Row],[bill_date]])</f>
        <v>2022</v>
      </c>
      <c r="F3142">
        <v>1123</v>
      </c>
      <c r="G3142" t="s">
        <v>30</v>
      </c>
    </row>
    <row r="3143" spans="1:7" x14ac:dyDescent="0.3">
      <c r="A3143">
        <v>33142</v>
      </c>
      <c r="B3143">
        <v>456</v>
      </c>
      <c r="C3143" s="2">
        <v>45375</v>
      </c>
      <c r="D3143" s="2" t="str">
        <f>TEXT(Table5[[#This Row],[bill_date]],"mmmm")</f>
        <v>March</v>
      </c>
      <c r="E3143" s="9">
        <f>YEAR(Table5[[#This Row],[bill_date]])</f>
        <v>2024</v>
      </c>
      <c r="F3143">
        <v>683</v>
      </c>
      <c r="G3143" t="s">
        <v>30</v>
      </c>
    </row>
    <row r="3144" spans="1:7" x14ac:dyDescent="0.3">
      <c r="A3144">
        <v>33143</v>
      </c>
      <c r="B3144">
        <v>170</v>
      </c>
      <c r="C3144" s="2">
        <v>44757</v>
      </c>
      <c r="D3144" s="2" t="str">
        <f>TEXT(Table5[[#This Row],[bill_date]],"mmmm")</f>
        <v>July</v>
      </c>
      <c r="E3144" s="9">
        <f>YEAR(Table5[[#This Row],[bill_date]])</f>
        <v>2022</v>
      </c>
      <c r="F3144">
        <v>830</v>
      </c>
      <c r="G3144" t="s">
        <v>30</v>
      </c>
    </row>
    <row r="3145" spans="1:7" x14ac:dyDescent="0.3">
      <c r="A3145">
        <v>33144</v>
      </c>
      <c r="B3145">
        <v>17</v>
      </c>
      <c r="C3145" s="2">
        <v>45145</v>
      </c>
      <c r="D3145" s="2" t="str">
        <f>TEXT(Table5[[#This Row],[bill_date]],"mmmm")</f>
        <v>August</v>
      </c>
      <c r="E3145" s="9">
        <f>YEAR(Table5[[#This Row],[bill_date]])</f>
        <v>2023</v>
      </c>
      <c r="F3145">
        <v>1673</v>
      </c>
      <c r="G3145" t="s">
        <v>30</v>
      </c>
    </row>
    <row r="3146" spans="1:7" x14ac:dyDescent="0.3">
      <c r="A3146">
        <v>33145</v>
      </c>
      <c r="B3146">
        <v>304</v>
      </c>
      <c r="C3146" s="2">
        <v>44743</v>
      </c>
      <c r="D3146" s="2" t="str">
        <f>TEXT(Table5[[#This Row],[bill_date]],"mmmm")</f>
        <v>July</v>
      </c>
      <c r="E3146" s="9">
        <f>YEAR(Table5[[#This Row],[bill_date]])</f>
        <v>2022</v>
      </c>
      <c r="F3146">
        <v>1636</v>
      </c>
      <c r="G3146" t="s">
        <v>30</v>
      </c>
    </row>
    <row r="3147" spans="1:7" x14ac:dyDescent="0.3">
      <c r="A3147">
        <v>33146</v>
      </c>
      <c r="B3147">
        <v>490</v>
      </c>
      <c r="C3147" s="2">
        <v>45314</v>
      </c>
      <c r="D3147" s="2" t="str">
        <f>TEXT(Table5[[#This Row],[bill_date]],"mmmm")</f>
        <v>January</v>
      </c>
      <c r="E3147" s="9">
        <f>YEAR(Table5[[#This Row],[bill_date]])</f>
        <v>2024</v>
      </c>
      <c r="F3147">
        <v>1134</v>
      </c>
      <c r="G3147" t="s">
        <v>30</v>
      </c>
    </row>
    <row r="3148" spans="1:7" x14ac:dyDescent="0.3">
      <c r="A3148">
        <v>33147</v>
      </c>
      <c r="B3148">
        <v>239</v>
      </c>
      <c r="C3148" s="2">
        <v>45362</v>
      </c>
      <c r="D3148" s="2" t="str">
        <f>TEXT(Table5[[#This Row],[bill_date]],"mmmm")</f>
        <v>March</v>
      </c>
      <c r="E3148" s="9">
        <f>YEAR(Table5[[#This Row],[bill_date]])</f>
        <v>2024</v>
      </c>
      <c r="F3148">
        <v>1253</v>
      </c>
      <c r="G3148" t="s">
        <v>30</v>
      </c>
    </row>
    <row r="3149" spans="1:7" x14ac:dyDescent="0.3">
      <c r="A3149">
        <v>33148</v>
      </c>
      <c r="B3149">
        <v>176</v>
      </c>
      <c r="C3149" s="2">
        <v>44884</v>
      </c>
      <c r="D3149" s="2" t="str">
        <f>TEXT(Table5[[#This Row],[bill_date]],"mmmm")</f>
        <v>November</v>
      </c>
      <c r="E3149" s="9">
        <f>YEAR(Table5[[#This Row],[bill_date]])</f>
        <v>2022</v>
      </c>
      <c r="F3149">
        <v>758</v>
      </c>
      <c r="G3149" t="s">
        <v>30</v>
      </c>
    </row>
    <row r="3150" spans="1:7" x14ac:dyDescent="0.3">
      <c r="A3150">
        <v>33149</v>
      </c>
      <c r="B3150">
        <v>210</v>
      </c>
      <c r="C3150" s="2">
        <v>44674</v>
      </c>
      <c r="D3150" s="2" t="str">
        <f>TEXT(Table5[[#This Row],[bill_date]],"mmmm")</f>
        <v>April</v>
      </c>
      <c r="E3150" s="9">
        <f>YEAR(Table5[[#This Row],[bill_date]])</f>
        <v>2022</v>
      </c>
      <c r="F3150">
        <v>289</v>
      </c>
      <c r="G3150" t="s">
        <v>30</v>
      </c>
    </row>
    <row r="3151" spans="1:7" x14ac:dyDescent="0.3">
      <c r="A3151">
        <v>33150</v>
      </c>
      <c r="B3151">
        <v>484</v>
      </c>
      <c r="C3151" s="2">
        <v>45413</v>
      </c>
      <c r="D3151" s="2" t="str">
        <f>TEXT(Table5[[#This Row],[bill_date]],"mmmm")</f>
        <v>May</v>
      </c>
      <c r="E3151" s="9">
        <f>YEAR(Table5[[#This Row],[bill_date]])</f>
        <v>2024</v>
      </c>
      <c r="F3151">
        <v>1740</v>
      </c>
      <c r="G3151" t="s">
        <v>30</v>
      </c>
    </row>
    <row r="3152" spans="1:7" x14ac:dyDescent="0.3">
      <c r="A3152">
        <v>33151</v>
      </c>
      <c r="B3152">
        <v>57</v>
      </c>
      <c r="C3152" s="2">
        <v>45236</v>
      </c>
      <c r="D3152" s="2" t="str">
        <f>TEXT(Table5[[#This Row],[bill_date]],"mmmm")</f>
        <v>November</v>
      </c>
      <c r="E3152" s="9">
        <f>YEAR(Table5[[#This Row],[bill_date]])</f>
        <v>2023</v>
      </c>
      <c r="F3152">
        <v>644</v>
      </c>
      <c r="G3152" t="s">
        <v>30</v>
      </c>
    </row>
    <row r="3153" spans="1:7" x14ac:dyDescent="0.3">
      <c r="A3153">
        <v>33152</v>
      </c>
      <c r="B3153">
        <v>359</v>
      </c>
      <c r="C3153" s="2">
        <v>45112</v>
      </c>
      <c r="D3153" s="2" t="str">
        <f>TEXT(Table5[[#This Row],[bill_date]],"mmmm")</f>
        <v>July</v>
      </c>
      <c r="E3153" s="9">
        <f>YEAR(Table5[[#This Row],[bill_date]])</f>
        <v>2023</v>
      </c>
      <c r="F3153">
        <v>1507</v>
      </c>
      <c r="G3153" t="s">
        <v>30</v>
      </c>
    </row>
    <row r="3154" spans="1:7" x14ac:dyDescent="0.3">
      <c r="A3154">
        <v>33153</v>
      </c>
      <c r="B3154">
        <v>189</v>
      </c>
      <c r="C3154" s="2">
        <v>44796</v>
      </c>
      <c r="D3154" s="2" t="str">
        <f>TEXT(Table5[[#This Row],[bill_date]],"mmmm")</f>
        <v>August</v>
      </c>
      <c r="E3154" s="9">
        <f>YEAR(Table5[[#This Row],[bill_date]])</f>
        <v>2022</v>
      </c>
      <c r="F3154">
        <v>1615</v>
      </c>
      <c r="G3154" t="s">
        <v>30</v>
      </c>
    </row>
    <row r="3155" spans="1:7" x14ac:dyDescent="0.3">
      <c r="A3155">
        <v>33154</v>
      </c>
      <c r="B3155">
        <v>44</v>
      </c>
      <c r="C3155" s="2">
        <v>45066</v>
      </c>
      <c r="D3155" s="2" t="str">
        <f>TEXT(Table5[[#This Row],[bill_date]],"mmmm")</f>
        <v>May</v>
      </c>
      <c r="E3155" s="9">
        <f>YEAR(Table5[[#This Row],[bill_date]])</f>
        <v>2023</v>
      </c>
      <c r="F3155">
        <v>1148</v>
      </c>
      <c r="G3155" t="s">
        <v>30</v>
      </c>
    </row>
    <row r="3156" spans="1:7" x14ac:dyDescent="0.3">
      <c r="A3156">
        <v>33155</v>
      </c>
      <c r="B3156">
        <v>407</v>
      </c>
      <c r="C3156" s="2">
        <v>44632</v>
      </c>
      <c r="D3156" s="2" t="str">
        <f>TEXT(Table5[[#This Row],[bill_date]],"mmmm")</f>
        <v>March</v>
      </c>
      <c r="E3156" s="9">
        <f>YEAR(Table5[[#This Row],[bill_date]])</f>
        <v>2022</v>
      </c>
      <c r="F3156">
        <v>1818</v>
      </c>
      <c r="G3156" t="s">
        <v>30</v>
      </c>
    </row>
    <row r="3157" spans="1:7" x14ac:dyDescent="0.3">
      <c r="A3157">
        <v>33156</v>
      </c>
      <c r="B3157">
        <v>460</v>
      </c>
      <c r="C3157" s="2">
        <v>44780</v>
      </c>
      <c r="D3157" s="2" t="str">
        <f>TEXT(Table5[[#This Row],[bill_date]],"mmmm")</f>
        <v>August</v>
      </c>
      <c r="E3157" s="9">
        <f>YEAR(Table5[[#This Row],[bill_date]])</f>
        <v>2022</v>
      </c>
      <c r="F3157">
        <v>1361</v>
      </c>
      <c r="G3157" t="s">
        <v>30</v>
      </c>
    </row>
    <row r="3158" spans="1:7" x14ac:dyDescent="0.3">
      <c r="A3158">
        <v>33157</v>
      </c>
      <c r="B3158">
        <v>122</v>
      </c>
      <c r="C3158" s="2">
        <v>45078</v>
      </c>
      <c r="D3158" s="2" t="str">
        <f>TEXT(Table5[[#This Row],[bill_date]],"mmmm")</f>
        <v>June</v>
      </c>
      <c r="E3158" s="9">
        <f>YEAR(Table5[[#This Row],[bill_date]])</f>
        <v>2023</v>
      </c>
      <c r="F3158">
        <v>528</v>
      </c>
      <c r="G3158" t="s">
        <v>28</v>
      </c>
    </row>
    <row r="3159" spans="1:7" x14ac:dyDescent="0.3">
      <c r="A3159">
        <v>33158</v>
      </c>
      <c r="B3159">
        <v>471</v>
      </c>
      <c r="C3159" s="2">
        <v>45314</v>
      </c>
      <c r="D3159" s="2" t="str">
        <f>TEXT(Table5[[#This Row],[bill_date]],"mmmm")</f>
        <v>January</v>
      </c>
      <c r="E3159" s="9">
        <f>YEAR(Table5[[#This Row],[bill_date]])</f>
        <v>2024</v>
      </c>
      <c r="F3159">
        <v>1355</v>
      </c>
      <c r="G3159" t="s">
        <v>30</v>
      </c>
    </row>
    <row r="3160" spans="1:7" x14ac:dyDescent="0.3">
      <c r="A3160">
        <v>33159</v>
      </c>
      <c r="B3160">
        <v>309</v>
      </c>
      <c r="C3160" s="2">
        <v>44726</v>
      </c>
      <c r="D3160" s="2" t="str">
        <f>TEXT(Table5[[#This Row],[bill_date]],"mmmm")</f>
        <v>June</v>
      </c>
      <c r="E3160" s="9">
        <f>YEAR(Table5[[#This Row],[bill_date]])</f>
        <v>2022</v>
      </c>
      <c r="F3160">
        <v>1837</v>
      </c>
      <c r="G3160" t="s">
        <v>30</v>
      </c>
    </row>
    <row r="3161" spans="1:7" x14ac:dyDescent="0.3">
      <c r="A3161">
        <v>33160</v>
      </c>
      <c r="B3161">
        <v>33</v>
      </c>
      <c r="C3161" s="2">
        <v>45074</v>
      </c>
      <c r="D3161" s="2" t="str">
        <f>TEXT(Table5[[#This Row],[bill_date]],"mmmm")</f>
        <v>May</v>
      </c>
      <c r="E3161" s="9">
        <f>YEAR(Table5[[#This Row],[bill_date]])</f>
        <v>2023</v>
      </c>
      <c r="F3161">
        <v>1548</v>
      </c>
      <c r="G3161" t="s">
        <v>30</v>
      </c>
    </row>
    <row r="3162" spans="1:7" x14ac:dyDescent="0.3">
      <c r="A3162">
        <v>33161</v>
      </c>
      <c r="B3162">
        <v>312</v>
      </c>
      <c r="C3162" s="2">
        <v>44942</v>
      </c>
      <c r="D3162" s="2" t="str">
        <f>TEXT(Table5[[#This Row],[bill_date]],"mmmm")</f>
        <v>January</v>
      </c>
      <c r="E3162" s="9">
        <f>YEAR(Table5[[#This Row],[bill_date]])</f>
        <v>2023</v>
      </c>
      <c r="F3162">
        <v>1829</v>
      </c>
      <c r="G3162" t="s">
        <v>30</v>
      </c>
    </row>
    <row r="3163" spans="1:7" x14ac:dyDescent="0.3">
      <c r="A3163">
        <v>33162</v>
      </c>
      <c r="B3163">
        <v>28</v>
      </c>
      <c r="C3163" s="2">
        <v>44745</v>
      </c>
      <c r="D3163" s="2" t="str">
        <f>TEXT(Table5[[#This Row],[bill_date]],"mmmm")</f>
        <v>July</v>
      </c>
      <c r="E3163" s="9">
        <f>YEAR(Table5[[#This Row],[bill_date]])</f>
        <v>2022</v>
      </c>
      <c r="F3163">
        <v>1752</v>
      </c>
      <c r="G3163" t="s">
        <v>28</v>
      </c>
    </row>
    <row r="3164" spans="1:7" x14ac:dyDescent="0.3">
      <c r="A3164">
        <v>33163</v>
      </c>
      <c r="B3164">
        <v>492</v>
      </c>
      <c r="C3164" s="2">
        <v>44930</v>
      </c>
      <c r="D3164" s="2" t="str">
        <f>TEXT(Table5[[#This Row],[bill_date]],"mmmm")</f>
        <v>January</v>
      </c>
      <c r="E3164" s="9">
        <f>YEAR(Table5[[#This Row],[bill_date]])</f>
        <v>2023</v>
      </c>
      <c r="F3164">
        <v>1243</v>
      </c>
      <c r="G3164" t="s">
        <v>28</v>
      </c>
    </row>
    <row r="3165" spans="1:7" x14ac:dyDescent="0.3">
      <c r="A3165">
        <v>33164</v>
      </c>
      <c r="B3165">
        <v>151</v>
      </c>
      <c r="C3165" s="2">
        <v>45009</v>
      </c>
      <c r="D3165" s="2" t="str">
        <f>TEXT(Table5[[#This Row],[bill_date]],"mmmm")</f>
        <v>March</v>
      </c>
      <c r="E3165" s="9">
        <f>YEAR(Table5[[#This Row],[bill_date]])</f>
        <v>2023</v>
      </c>
      <c r="F3165">
        <v>1153</v>
      </c>
      <c r="G3165" t="s">
        <v>30</v>
      </c>
    </row>
    <row r="3166" spans="1:7" x14ac:dyDescent="0.3">
      <c r="A3166">
        <v>33165</v>
      </c>
      <c r="B3166">
        <v>63</v>
      </c>
      <c r="C3166" s="2">
        <v>44569</v>
      </c>
      <c r="D3166" s="2" t="str">
        <f>TEXT(Table5[[#This Row],[bill_date]],"mmmm")</f>
        <v>January</v>
      </c>
      <c r="E3166" s="9">
        <f>YEAR(Table5[[#This Row],[bill_date]])</f>
        <v>2022</v>
      </c>
      <c r="F3166">
        <v>677</v>
      </c>
      <c r="G3166" t="s">
        <v>30</v>
      </c>
    </row>
    <row r="3167" spans="1:7" x14ac:dyDescent="0.3">
      <c r="A3167">
        <v>33166</v>
      </c>
      <c r="B3167">
        <v>7</v>
      </c>
      <c r="C3167" s="2">
        <v>45181</v>
      </c>
      <c r="D3167" s="2" t="str">
        <f>TEXT(Table5[[#This Row],[bill_date]],"mmmm")</f>
        <v>September</v>
      </c>
      <c r="E3167" s="9">
        <f>YEAR(Table5[[#This Row],[bill_date]])</f>
        <v>2023</v>
      </c>
      <c r="F3167">
        <v>1680</v>
      </c>
      <c r="G3167" t="s">
        <v>30</v>
      </c>
    </row>
    <row r="3168" spans="1:7" x14ac:dyDescent="0.3">
      <c r="A3168">
        <v>33167</v>
      </c>
      <c r="B3168">
        <v>111</v>
      </c>
      <c r="C3168" s="2">
        <v>44943</v>
      </c>
      <c r="D3168" s="2" t="str">
        <f>TEXT(Table5[[#This Row],[bill_date]],"mmmm")</f>
        <v>January</v>
      </c>
      <c r="E3168" s="9">
        <f>YEAR(Table5[[#This Row],[bill_date]])</f>
        <v>2023</v>
      </c>
      <c r="F3168">
        <v>716</v>
      </c>
      <c r="G3168" t="s">
        <v>30</v>
      </c>
    </row>
    <row r="3169" spans="1:7" x14ac:dyDescent="0.3">
      <c r="A3169">
        <v>33168</v>
      </c>
      <c r="B3169">
        <v>130</v>
      </c>
      <c r="C3169" s="2">
        <v>44943</v>
      </c>
      <c r="D3169" s="2" t="str">
        <f>TEXT(Table5[[#This Row],[bill_date]],"mmmm")</f>
        <v>January</v>
      </c>
      <c r="E3169" s="9">
        <f>YEAR(Table5[[#This Row],[bill_date]])</f>
        <v>2023</v>
      </c>
      <c r="F3169">
        <v>734</v>
      </c>
      <c r="G3169" t="s">
        <v>29</v>
      </c>
    </row>
    <row r="3170" spans="1:7" x14ac:dyDescent="0.3">
      <c r="A3170">
        <v>33169</v>
      </c>
      <c r="B3170">
        <v>449</v>
      </c>
      <c r="C3170" s="2">
        <v>45009</v>
      </c>
      <c r="D3170" s="2" t="str">
        <f>TEXT(Table5[[#This Row],[bill_date]],"mmmm")</f>
        <v>March</v>
      </c>
      <c r="E3170" s="9">
        <f>YEAR(Table5[[#This Row],[bill_date]])</f>
        <v>2023</v>
      </c>
      <c r="F3170">
        <v>423</v>
      </c>
      <c r="G3170" t="s">
        <v>30</v>
      </c>
    </row>
    <row r="3171" spans="1:7" x14ac:dyDescent="0.3">
      <c r="A3171">
        <v>33170</v>
      </c>
      <c r="B3171">
        <v>132</v>
      </c>
      <c r="C3171" s="2">
        <v>45258</v>
      </c>
      <c r="D3171" s="2" t="str">
        <f>TEXT(Table5[[#This Row],[bill_date]],"mmmm")</f>
        <v>November</v>
      </c>
      <c r="E3171" s="9">
        <f>YEAR(Table5[[#This Row],[bill_date]])</f>
        <v>2023</v>
      </c>
      <c r="F3171">
        <v>770</v>
      </c>
      <c r="G3171" t="s">
        <v>28</v>
      </c>
    </row>
    <row r="3172" spans="1:7" x14ac:dyDescent="0.3">
      <c r="A3172">
        <v>33171</v>
      </c>
      <c r="B3172">
        <v>8</v>
      </c>
      <c r="C3172" s="2">
        <v>45357</v>
      </c>
      <c r="D3172" s="2" t="str">
        <f>TEXT(Table5[[#This Row],[bill_date]],"mmmm")</f>
        <v>March</v>
      </c>
      <c r="E3172" s="9">
        <f>YEAR(Table5[[#This Row],[bill_date]])</f>
        <v>2024</v>
      </c>
      <c r="F3172">
        <v>1954</v>
      </c>
      <c r="G3172" t="s">
        <v>30</v>
      </c>
    </row>
    <row r="3173" spans="1:7" x14ac:dyDescent="0.3">
      <c r="A3173">
        <v>33172</v>
      </c>
      <c r="B3173">
        <v>382</v>
      </c>
      <c r="C3173" s="2">
        <v>44715</v>
      </c>
      <c r="D3173" s="2" t="str">
        <f>TEXT(Table5[[#This Row],[bill_date]],"mmmm")</f>
        <v>June</v>
      </c>
      <c r="E3173" s="9">
        <f>YEAR(Table5[[#This Row],[bill_date]])</f>
        <v>2022</v>
      </c>
      <c r="F3173">
        <v>1552</v>
      </c>
      <c r="G3173" t="s">
        <v>30</v>
      </c>
    </row>
    <row r="3174" spans="1:7" x14ac:dyDescent="0.3">
      <c r="A3174">
        <v>33173</v>
      </c>
      <c r="B3174">
        <v>305</v>
      </c>
      <c r="C3174" s="2">
        <v>44595</v>
      </c>
      <c r="D3174" s="2" t="str">
        <f>TEXT(Table5[[#This Row],[bill_date]],"mmmm")</f>
        <v>February</v>
      </c>
      <c r="E3174" s="9">
        <f>YEAR(Table5[[#This Row],[bill_date]])</f>
        <v>2022</v>
      </c>
      <c r="F3174">
        <v>1780</v>
      </c>
      <c r="G3174" t="s">
        <v>30</v>
      </c>
    </row>
    <row r="3175" spans="1:7" x14ac:dyDescent="0.3">
      <c r="A3175">
        <v>33174</v>
      </c>
      <c r="B3175">
        <v>29</v>
      </c>
      <c r="C3175" s="2">
        <v>45058</v>
      </c>
      <c r="D3175" s="2" t="str">
        <f>TEXT(Table5[[#This Row],[bill_date]],"mmmm")</f>
        <v>May</v>
      </c>
      <c r="E3175" s="9">
        <f>YEAR(Table5[[#This Row],[bill_date]])</f>
        <v>2023</v>
      </c>
      <c r="F3175">
        <v>566</v>
      </c>
      <c r="G3175" t="s">
        <v>30</v>
      </c>
    </row>
    <row r="3176" spans="1:7" x14ac:dyDescent="0.3">
      <c r="A3176">
        <v>33175</v>
      </c>
      <c r="B3176">
        <v>338</v>
      </c>
      <c r="C3176" s="2">
        <v>45425</v>
      </c>
      <c r="D3176" s="2" t="str">
        <f>TEXT(Table5[[#This Row],[bill_date]],"mmmm")</f>
        <v>May</v>
      </c>
      <c r="E3176" s="9">
        <f>YEAR(Table5[[#This Row],[bill_date]])</f>
        <v>2024</v>
      </c>
      <c r="F3176">
        <v>1364</v>
      </c>
      <c r="G3176" t="s">
        <v>28</v>
      </c>
    </row>
    <row r="3177" spans="1:7" x14ac:dyDescent="0.3">
      <c r="A3177">
        <v>33176</v>
      </c>
      <c r="B3177">
        <v>311</v>
      </c>
      <c r="C3177" s="2">
        <v>44583</v>
      </c>
      <c r="D3177" s="2" t="str">
        <f>TEXT(Table5[[#This Row],[bill_date]],"mmmm")</f>
        <v>January</v>
      </c>
      <c r="E3177" s="9">
        <f>YEAR(Table5[[#This Row],[bill_date]])</f>
        <v>2022</v>
      </c>
      <c r="F3177">
        <v>1812</v>
      </c>
      <c r="G3177" t="s">
        <v>30</v>
      </c>
    </row>
    <row r="3178" spans="1:7" x14ac:dyDescent="0.3">
      <c r="A3178">
        <v>33177</v>
      </c>
      <c r="B3178">
        <v>421</v>
      </c>
      <c r="C3178" s="2">
        <v>44941</v>
      </c>
      <c r="D3178" s="2" t="str">
        <f>TEXT(Table5[[#This Row],[bill_date]],"mmmm")</f>
        <v>January</v>
      </c>
      <c r="E3178" s="9">
        <f>YEAR(Table5[[#This Row],[bill_date]])</f>
        <v>2023</v>
      </c>
      <c r="F3178">
        <v>1421</v>
      </c>
      <c r="G3178" t="s">
        <v>30</v>
      </c>
    </row>
    <row r="3179" spans="1:7" x14ac:dyDescent="0.3">
      <c r="A3179">
        <v>33178</v>
      </c>
      <c r="B3179">
        <v>351</v>
      </c>
      <c r="C3179" s="2">
        <v>44709</v>
      </c>
      <c r="D3179" s="2" t="str">
        <f>TEXT(Table5[[#This Row],[bill_date]],"mmmm")</f>
        <v>May</v>
      </c>
      <c r="E3179" s="9">
        <f>YEAR(Table5[[#This Row],[bill_date]])</f>
        <v>2022</v>
      </c>
      <c r="F3179">
        <v>1221</v>
      </c>
      <c r="G3179" t="s">
        <v>30</v>
      </c>
    </row>
    <row r="3180" spans="1:7" x14ac:dyDescent="0.3">
      <c r="A3180">
        <v>33179</v>
      </c>
      <c r="B3180">
        <v>6</v>
      </c>
      <c r="C3180" s="2">
        <v>45224</v>
      </c>
      <c r="D3180" s="2" t="str">
        <f>TEXT(Table5[[#This Row],[bill_date]],"mmmm")</f>
        <v>October</v>
      </c>
      <c r="E3180" s="9">
        <f>YEAR(Table5[[#This Row],[bill_date]])</f>
        <v>2023</v>
      </c>
      <c r="F3180">
        <v>1849</v>
      </c>
      <c r="G3180" t="s">
        <v>30</v>
      </c>
    </row>
    <row r="3181" spans="1:7" x14ac:dyDescent="0.3">
      <c r="A3181">
        <v>33180</v>
      </c>
      <c r="B3181">
        <v>492</v>
      </c>
      <c r="C3181" s="2">
        <v>45140</v>
      </c>
      <c r="D3181" s="2" t="str">
        <f>TEXT(Table5[[#This Row],[bill_date]],"mmmm")</f>
        <v>August</v>
      </c>
      <c r="E3181" s="9">
        <f>YEAR(Table5[[#This Row],[bill_date]])</f>
        <v>2023</v>
      </c>
      <c r="F3181">
        <v>1258</v>
      </c>
      <c r="G3181" t="s">
        <v>30</v>
      </c>
    </row>
    <row r="3182" spans="1:7" x14ac:dyDescent="0.3">
      <c r="A3182">
        <v>33181</v>
      </c>
      <c r="B3182">
        <v>408</v>
      </c>
      <c r="C3182" s="2">
        <v>45151</v>
      </c>
      <c r="D3182" s="2" t="str">
        <f>TEXT(Table5[[#This Row],[bill_date]],"mmmm")</f>
        <v>August</v>
      </c>
      <c r="E3182" s="9">
        <f>YEAR(Table5[[#This Row],[bill_date]])</f>
        <v>2023</v>
      </c>
      <c r="F3182">
        <v>664</v>
      </c>
      <c r="G3182" t="s">
        <v>29</v>
      </c>
    </row>
    <row r="3183" spans="1:7" x14ac:dyDescent="0.3">
      <c r="A3183">
        <v>33182</v>
      </c>
      <c r="B3183">
        <v>112</v>
      </c>
      <c r="C3183" s="2">
        <v>45305</v>
      </c>
      <c r="D3183" s="2" t="str">
        <f>TEXT(Table5[[#This Row],[bill_date]],"mmmm")</f>
        <v>January</v>
      </c>
      <c r="E3183" s="9">
        <f>YEAR(Table5[[#This Row],[bill_date]])</f>
        <v>2024</v>
      </c>
      <c r="F3183">
        <v>770</v>
      </c>
      <c r="G3183" t="s">
        <v>30</v>
      </c>
    </row>
    <row r="3184" spans="1:7" x14ac:dyDescent="0.3">
      <c r="A3184">
        <v>33183</v>
      </c>
      <c r="B3184">
        <v>105</v>
      </c>
      <c r="C3184" s="2">
        <v>45112</v>
      </c>
      <c r="D3184" s="2" t="str">
        <f>TEXT(Table5[[#This Row],[bill_date]],"mmmm")</f>
        <v>July</v>
      </c>
      <c r="E3184" s="9">
        <f>YEAR(Table5[[#This Row],[bill_date]])</f>
        <v>2023</v>
      </c>
      <c r="F3184">
        <v>636</v>
      </c>
      <c r="G3184" t="s">
        <v>30</v>
      </c>
    </row>
    <row r="3185" spans="1:7" x14ac:dyDescent="0.3">
      <c r="A3185">
        <v>33184</v>
      </c>
      <c r="B3185">
        <v>207</v>
      </c>
      <c r="C3185" s="2">
        <v>45238</v>
      </c>
      <c r="D3185" s="2" t="str">
        <f>TEXT(Table5[[#This Row],[bill_date]],"mmmm")</f>
        <v>November</v>
      </c>
      <c r="E3185" s="9">
        <f>YEAR(Table5[[#This Row],[bill_date]])</f>
        <v>2023</v>
      </c>
      <c r="F3185">
        <v>955</v>
      </c>
      <c r="G3185" t="s">
        <v>30</v>
      </c>
    </row>
    <row r="3186" spans="1:7" x14ac:dyDescent="0.3">
      <c r="A3186">
        <v>33185</v>
      </c>
      <c r="B3186">
        <v>40</v>
      </c>
      <c r="C3186" s="2">
        <v>44660</v>
      </c>
      <c r="D3186" s="2" t="str">
        <f>TEXT(Table5[[#This Row],[bill_date]],"mmmm")</f>
        <v>April</v>
      </c>
      <c r="E3186" s="9">
        <f>YEAR(Table5[[#This Row],[bill_date]])</f>
        <v>2022</v>
      </c>
      <c r="F3186">
        <v>789</v>
      </c>
      <c r="G3186" t="s">
        <v>30</v>
      </c>
    </row>
    <row r="3187" spans="1:7" x14ac:dyDescent="0.3">
      <c r="A3187">
        <v>33186</v>
      </c>
      <c r="B3187">
        <v>268</v>
      </c>
      <c r="C3187" s="2">
        <v>45202</v>
      </c>
      <c r="D3187" s="2" t="str">
        <f>TEXT(Table5[[#This Row],[bill_date]],"mmmm")</f>
        <v>October</v>
      </c>
      <c r="E3187" s="9">
        <f>YEAR(Table5[[#This Row],[bill_date]])</f>
        <v>2023</v>
      </c>
      <c r="F3187">
        <v>1079</v>
      </c>
      <c r="G3187" t="s">
        <v>30</v>
      </c>
    </row>
    <row r="3188" spans="1:7" x14ac:dyDescent="0.3">
      <c r="A3188">
        <v>33187</v>
      </c>
      <c r="B3188">
        <v>320</v>
      </c>
      <c r="C3188" s="2">
        <v>45092</v>
      </c>
      <c r="D3188" s="2" t="str">
        <f>TEXT(Table5[[#This Row],[bill_date]],"mmmm")</f>
        <v>June</v>
      </c>
      <c r="E3188" s="9">
        <f>YEAR(Table5[[#This Row],[bill_date]])</f>
        <v>2023</v>
      </c>
      <c r="F3188">
        <v>389</v>
      </c>
      <c r="G3188" t="s">
        <v>28</v>
      </c>
    </row>
    <row r="3189" spans="1:7" x14ac:dyDescent="0.3">
      <c r="A3189">
        <v>33188</v>
      </c>
      <c r="B3189">
        <v>46</v>
      </c>
      <c r="C3189" s="2">
        <v>44832</v>
      </c>
      <c r="D3189" s="2" t="str">
        <f>TEXT(Table5[[#This Row],[bill_date]],"mmmm")</f>
        <v>September</v>
      </c>
      <c r="E3189" s="9">
        <f>YEAR(Table5[[#This Row],[bill_date]])</f>
        <v>2022</v>
      </c>
      <c r="F3189">
        <v>295</v>
      </c>
      <c r="G3189" t="s">
        <v>30</v>
      </c>
    </row>
    <row r="3190" spans="1:7" x14ac:dyDescent="0.3">
      <c r="A3190">
        <v>33189</v>
      </c>
      <c r="B3190">
        <v>241</v>
      </c>
      <c r="C3190" s="2">
        <v>44562</v>
      </c>
      <c r="D3190" s="2" t="str">
        <f>TEXT(Table5[[#This Row],[bill_date]],"mmmm")</f>
        <v>January</v>
      </c>
      <c r="E3190" s="9">
        <f>YEAR(Table5[[#This Row],[bill_date]])</f>
        <v>2022</v>
      </c>
      <c r="F3190">
        <v>702</v>
      </c>
      <c r="G3190" t="s">
        <v>30</v>
      </c>
    </row>
    <row r="3191" spans="1:7" x14ac:dyDescent="0.3">
      <c r="A3191">
        <v>33190</v>
      </c>
      <c r="B3191">
        <v>270</v>
      </c>
      <c r="C3191" s="2">
        <v>44848</v>
      </c>
      <c r="D3191" s="2" t="str">
        <f>TEXT(Table5[[#This Row],[bill_date]],"mmmm")</f>
        <v>October</v>
      </c>
      <c r="E3191" s="9">
        <f>YEAR(Table5[[#This Row],[bill_date]])</f>
        <v>2022</v>
      </c>
      <c r="F3191">
        <v>1589</v>
      </c>
      <c r="G3191" t="s">
        <v>29</v>
      </c>
    </row>
    <row r="3192" spans="1:7" x14ac:dyDescent="0.3">
      <c r="A3192">
        <v>33191</v>
      </c>
      <c r="B3192">
        <v>155</v>
      </c>
      <c r="C3192" s="2">
        <v>44741</v>
      </c>
      <c r="D3192" s="2" t="str">
        <f>TEXT(Table5[[#This Row],[bill_date]],"mmmm")</f>
        <v>June</v>
      </c>
      <c r="E3192" s="9">
        <f>YEAR(Table5[[#This Row],[bill_date]])</f>
        <v>2022</v>
      </c>
      <c r="F3192">
        <v>1086</v>
      </c>
      <c r="G3192" t="s">
        <v>28</v>
      </c>
    </row>
    <row r="3193" spans="1:7" x14ac:dyDescent="0.3">
      <c r="A3193">
        <v>33192</v>
      </c>
      <c r="B3193">
        <v>116</v>
      </c>
      <c r="C3193" s="2">
        <v>44817</v>
      </c>
      <c r="D3193" s="2" t="str">
        <f>TEXT(Table5[[#This Row],[bill_date]],"mmmm")</f>
        <v>September</v>
      </c>
      <c r="E3193" s="9">
        <f>YEAR(Table5[[#This Row],[bill_date]])</f>
        <v>2022</v>
      </c>
      <c r="F3193">
        <v>348</v>
      </c>
      <c r="G3193" t="s">
        <v>30</v>
      </c>
    </row>
    <row r="3194" spans="1:7" x14ac:dyDescent="0.3">
      <c r="A3194">
        <v>33193</v>
      </c>
      <c r="B3194">
        <v>37</v>
      </c>
      <c r="C3194" s="2">
        <v>44735</v>
      </c>
      <c r="D3194" s="2" t="str">
        <f>TEXT(Table5[[#This Row],[bill_date]],"mmmm")</f>
        <v>June</v>
      </c>
      <c r="E3194" s="9">
        <f>YEAR(Table5[[#This Row],[bill_date]])</f>
        <v>2022</v>
      </c>
      <c r="F3194">
        <v>241</v>
      </c>
      <c r="G3194" t="s">
        <v>30</v>
      </c>
    </row>
    <row r="3195" spans="1:7" x14ac:dyDescent="0.3">
      <c r="A3195">
        <v>33194</v>
      </c>
      <c r="B3195">
        <v>205</v>
      </c>
      <c r="C3195" s="2">
        <v>45415</v>
      </c>
      <c r="D3195" s="2" t="str">
        <f>TEXT(Table5[[#This Row],[bill_date]],"mmmm")</f>
        <v>May</v>
      </c>
      <c r="E3195" s="9">
        <f>YEAR(Table5[[#This Row],[bill_date]])</f>
        <v>2024</v>
      </c>
      <c r="F3195">
        <v>1519</v>
      </c>
      <c r="G3195" t="s">
        <v>28</v>
      </c>
    </row>
    <row r="3196" spans="1:7" x14ac:dyDescent="0.3">
      <c r="A3196">
        <v>33195</v>
      </c>
      <c r="B3196">
        <v>249</v>
      </c>
      <c r="C3196" s="2">
        <v>44611</v>
      </c>
      <c r="D3196" s="2" t="str">
        <f>TEXT(Table5[[#This Row],[bill_date]],"mmmm")</f>
        <v>February</v>
      </c>
      <c r="E3196" s="9">
        <f>YEAR(Table5[[#This Row],[bill_date]])</f>
        <v>2022</v>
      </c>
      <c r="F3196">
        <v>1111</v>
      </c>
      <c r="G3196" t="s">
        <v>30</v>
      </c>
    </row>
    <row r="3197" spans="1:7" x14ac:dyDescent="0.3">
      <c r="A3197">
        <v>33196</v>
      </c>
      <c r="B3197">
        <v>486</v>
      </c>
      <c r="C3197" s="2">
        <v>45093</v>
      </c>
      <c r="D3197" s="2" t="str">
        <f>TEXT(Table5[[#This Row],[bill_date]],"mmmm")</f>
        <v>June</v>
      </c>
      <c r="E3197" s="9">
        <f>YEAR(Table5[[#This Row],[bill_date]])</f>
        <v>2023</v>
      </c>
      <c r="F3197">
        <v>517</v>
      </c>
      <c r="G3197" t="s">
        <v>28</v>
      </c>
    </row>
    <row r="3198" spans="1:7" x14ac:dyDescent="0.3">
      <c r="A3198">
        <v>33197</v>
      </c>
      <c r="B3198">
        <v>110</v>
      </c>
      <c r="C3198" s="2">
        <v>45178</v>
      </c>
      <c r="D3198" s="2" t="str">
        <f>TEXT(Table5[[#This Row],[bill_date]],"mmmm")</f>
        <v>September</v>
      </c>
      <c r="E3198" s="9">
        <f>YEAR(Table5[[#This Row],[bill_date]])</f>
        <v>2023</v>
      </c>
      <c r="F3198">
        <v>416</v>
      </c>
      <c r="G3198" t="s">
        <v>30</v>
      </c>
    </row>
    <row r="3199" spans="1:7" x14ac:dyDescent="0.3">
      <c r="A3199">
        <v>33198</v>
      </c>
      <c r="B3199">
        <v>486</v>
      </c>
      <c r="C3199" s="2">
        <v>44751</v>
      </c>
      <c r="D3199" s="2" t="str">
        <f>TEXT(Table5[[#This Row],[bill_date]],"mmmm")</f>
        <v>July</v>
      </c>
      <c r="E3199" s="9">
        <f>YEAR(Table5[[#This Row],[bill_date]])</f>
        <v>2022</v>
      </c>
      <c r="F3199">
        <v>1941</v>
      </c>
      <c r="G3199" t="s">
        <v>30</v>
      </c>
    </row>
    <row r="3200" spans="1:7" x14ac:dyDescent="0.3">
      <c r="A3200">
        <v>33199</v>
      </c>
      <c r="B3200">
        <v>318</v>
      </c>
      <c r="C3200" s="2">
        <v>45312</v>
      </c>
      <c r="D3200" s="2" t="str">
        <f>TEXT(Table5[[#This Row],[bill_date]],"mmmm")</f>
        <v>January</v>
      </c>
      <c r="E3200" s="9">
        <f>YEAR(Table5[[#This Row],[bill_date]])</f>
        <v>2024</v>
      </c>
      <c r="F3200">
        <v>686</v>
      </c>
      <c r="G3200" t="s">
        <v>30</v>
      </c>
    </row>
    <row r="3201" spans="1:7" x14ac:dyDescent="0.3">
      <c r="A3201">
        <v>33200</v>
      </c>
      <c r="B3201">
        <v>323</v>
      </c>
      <c r="C3201" s="2">
        <v>44604</v>
      </c>
      <c r="D3201" s="2" t="str">
        <f>TEXT(Table5[[#This Row],[bill_date]],"mmmm")</f>
        <v>February</v>
      </c>
      <c r="E3201" s="9">
        <f>YEAR(Table5[[#This Row],[bill_date]])</f>
        <v>2022</v>
      </c>
      <c r="F3201">
        <v>344</v>
      </c>
      <c r="G3201" t="s">
        <v>30</v>
      </c>
    </row>
    <row r="3202" spans="1:7" x14ac:dyDescent="0.3">
      <c r="A3202">
        <v>33201</v>
      </c>
      <c r="B3202">
        <v>80</v>
      </c>
      <c r="C3202" s="2">
        <v>45078</v>
      </c>
      <c r="D3202" s="2" t="str">
        <f>TEXT(Table5[[#This Row],[bill_date]],"mmmm")</f>
        <v>June</v>
      </c>
      <c r="E3202" s="9">
        <f>YEAR(Table5[[#This Row],[bill_date]])</f>
        <v>2023</v>
      </c>
      <c r="F3202">
        <v>526</v>
      </c>
      <c r="G3202" t="s">
        <v>28</v>
      </c>
    </row>
    <row r="3203" spans="1:7" x14ac:dyDescent="0.3">
      <c r="A3203">
        <v>33202</v>
      </c>
      <c r="B3203">
        <v>76</v>
      </c>
      <c r="C3203" s="2">
        <v>45321</v>
      </c>
      <c r="D3203" s="2" t="str">
        <f>TEXT(Table5[[#This Row],[bill_date]],"mmmm")</f>
        <v>January</v>
      </c>
      <c r="E3203" s="9">
        <f>YEAR(Table5[[#This Row],[bill_date]])</f>
        <v>2024</v>
      </c>
      <c r="F3203">
        <v>457</v>
      </c>
      <c r="G3203" t="s">
        <v>30</v>
      </c>
    </row>
    <row r="3204" spans="1:7" x14ac:dyDescent="0.3">
      <c r="A3204">
        <v>33203</v>
      </c>
      <c r="B3204">
        <v>270</v>
      </c>
      <c r="C3204" s="2">
        <v>44627</v>
      </c>
      <c r="D3204" s="2" t="str">
        <f>TEXT(Table5[[#This Row],[bill_date]],"mmmm")</f>
        <v>March</v>
      </c>
      <c r="E3204" s="9">
        <f>YEAR(Table5[[#This Row],[bill_date]])</f>
        <v>2022</v>
      </c>
      <c r="F3204">
        <v>764</v>
      </c>
      <c r="G3204" t="s">
        <v>30</v>
      </c>
    </row>
    <row r="3205" spans="1:7" x14ac:dyDescent="0.3">
      <c r="A3205">
        <v>33204</v>
      </c>
      <c r="B3205">
        <v>98</v>
      </c>
      <c r="C3205" s="2">
        <v>44957</v>
      </c>
      <c r="D3205" s="2" t="str">
        <f>TEXT(Table5[[#This Row],[bill_date]],"mmmm")</f>
        <v>January</v>
      </c>
      <c r="E3205" s="9">
        <f>YEAR(Table5[[#This Row],[bill_date]])</f>
        <v>2023</v>
      </c>
      <c r="F3205">
        <v>317</v>
      </c>
      <c r="G3205" t="s">
        <v>30</v>
      </c>
    </row>
    <row r="3206" spans="1:7" x14ac:dyDescent="0.3">
      <c r="A3206">
        <v>33205</v>
      </c>
      <c r="B3206">
        <v>498</v>
      </c>
      <c r="C3206" s="2">
        <v>44812</v>
      </c>
      <c r="D3206" s="2" t="str">
        <f>TEXT(Table5[[#This Row],[bill_date]],"mmmm")</f>
        <v>September</v>
      </c>
      <c r="E3206" s="9">
        <f>YEAR(Table5[[#This Row],[bill_date]])</f>
        <v>2022</v>
      </c>
      <c r="F3206">
        <v>1977</v>
      </c>
      <c r="G3206" t="s">
        <v>30</v>
      </c>
    </row>
    <row r="3207" spans="1:7" x14ac:dyDescent="0.3">
      <c r="A3207">
        <v>33206</v>
      </c>
      <c r="B3207">
        <v>479</v>
      </c>
      <c r="C3207" s="2">
        <v>44689</v>
      </c>
      <c r="D3207" s="2" t="str">
        <f>TEXT(Table5[[#This Row],[bill_date]],"mmmm")</f>
        <v>May</v>
      </c>
      <c r="E3207" s="9">
        <f>YEAR(Table5[[#This Row],[bill_date]])</f>
        <v>2022</v>
      </c>
      <c r="F3207">
        <v>1364</v>
      </c>
      <c r="G3207" t="s">
        <v>30</v>
      </c>
    </row>
    <row r="3208" spans="1:7" x14ac:dyDescent="0.3">
      <c r="A3208">
        <v>33207</v>
      </c>
      <c r="B3208">
        <v>423</v>
      </c>
      <c r="C3208" s="2">
        <v>45258</v>
      </c>
      <c r="D3208" s="2" t="str">
        <f>TEXT(Table5[[#This Row],[bill_date]],"mmmm")</f>
        <v>November</v>
      </c>
      <c r="E3208" s="9">
        <f>YEAR(Table5[[#This Row],[bill_date]])</f>
        <v>2023</v>
      </c>
      <c r="F3208">
        <v>488</v>
      </c>
      <c r="G3208" t="s">
        <v>30</v>
      </c>
    </row>
    <row r="3209" spans="1:7" x14ac:dyDescent="0.3">
      <c r="A3209">
        <v>33208</v>
      </c>
      <c r="B3209">
        <v>389</v>
      </c>
      <c r="C3209" s="2">
        <v>44749</v>
      </c>
      <c r="D3209" s="2" t="str">
        <f>TEXT(Table5[[#This Row],[bill_date]],"mmmm")</f>
        <v>July</v>
      </c>
      <c r="E3209" s="9">
        <f>YEAR(Table5[[#This Row],[bill_date]])</f>
        <v>2022</v>
      </c>
      <c r="F3209">
        <v>1861</v>
      </c>
      <c r="G3209" t="s">
        <v>30</v>
      </c>
    </row>
    <row r="3210" spans="1:7" x14ac:dyDescent="0.3">
      <c r="A3210">
        <v>33209</v>
      </c>
      <c r="B3210">
        <v>76</v>
      </c>
      <c r="C3210" s="2">
        <v>44744</v>
      </c>
      <c r="D3210" s="2" t="str">
        <f>TEXT(Table5[[#This Row],[bill_date]],"mmmm")</f>
        <v>July</v>
      </c>
      <c r="E3210" s="9">
        <f>YEAR(Table5[[#This Row],[bill_date]])</f>
        <v>2022</v>
      </c>
      <c r="F3210">
        <v>423</v>
      </c>
      <c r="G3210" t="s">
        <v>30</v>
      </c>
    </row>
    <row r="3211" spans="1:7" x14ac:dyDescent="0.3">
      <c r="A3211">
        <v>33210</v>
      </c>
      <c r="B3211">
        <v>282</v>
      </c>
      <c r="C3211" s="2">
        <v>45144</v>
      </c>
      <c r="D3211" s="2" t="str">
        <f>TEXT(Table5[[#This Row],[bill_date]],"mmmm")</f>
        <v>August</v>
      </c>
      <c r="E3211" s="9">
        <f>YEAR(Table5[[#This Row],[bill_date]])</f>
        <v>2023</v>
      </c>
      <c r="F3211">
        <v>1092</v>
      </c>
      <c r="G3211" t="s">
        <v>30</v>
      </c>
    </row>
    <row r="3212" spans="1:7" x14ac:dyDescent="0.3">
      <c r="A3212">
        <v>33211</v>
      </c>
      <c r="B3212">
        <v>81</v>
      </c>
      <c r="C3212" s="2">
        <v>45139</v>
      </c>
      <c r="D3212" s="2" t="str">
        <f>TEXT(Table5[[#This Row],[bill_date]],"mmmm")</f>
        <v>August</v>
      </c>
      <c r="E3212" s="9">
        <f>YEAR(Table5[[#This Row],[bill_date]])</f>
        <v>2023</v>
      </c>
      <c r="F3212">
        <v>1451</v>
      </c>
      <c r="G3212" t="s">
        <v>30</v>
      </c>
    </row>
    <row r="3213" spans="1:7" x14ac:dyDescent="0.3">
      <c r="A3213">
        <v>33212</v>
      </c>
      <c r="B3213">
        <v>364</v>
      </c>
      <c r="C3213" s="2">
        <v>45402</v>
      </c>
      <c r="D3213" s="2" t="str">
        <f>TEXT(Table5[[#This Row],[bill_date]],"mmmm")</f>
        <v>April</v>
      </c>
      <c r="E3213" s="9">
        <f>YEAR(Table5[[#This Row],[bill_date]])</f>
        <v>2024</v>
      </c>
      <c r="F3213">
        <v>951</v>
      </c>
      <c r="G3213" t="s">
        <v>30</v>
      </c>
    </row>
    <row r="3214" spans="1:7" x14ac:dyDescent="0.3">
      <c r="A3214">
        <v>33213</v>
      </c>
      <c r="B3214">
        <v>309</v>
      </c>
      <c r="C3214" s="2">
        <v>45323</v>
      </c>
      <c r="D3214" s="2" t="str">
        <f>TEXT(Table5[[#This Row],[bill_date]],"mmmm")</f>
        <v>February</v>
      </c>
      <c r="E3214" s="9">
        <f>YEAR(Table5[[#This Row],[bill_date]])</f>
        <v>2024</v>
      </c>
      <c r="F3214">
        <v>1479</v>
      </c>
      <c r="G3214" t="s">
        <v>30</v>
      </c>
    </row>
    <row r="3215" spans="1:7" x14ac:dyDescent="0.3">
      <c r="A3215">
        <v>33214</v>
      </c>
      <c r="B3215">
        <v>63</v>
      </c>
      <c r="C3215" s="2">
        <v>45228</v>
      </c>
      <c r="D3215" s="2" t="str">
        <f>TEXT(Table5[[#This Row],[bill_date]],"mmmm")</f>
        <v>October</v>
      </c>
      <c r="E3215" s="9">
        <f>YEAR(Table5[[#This Row],[bill_date]])</f>
        <v>2023</v>
      </c>
      <c r="F3215">
        <v>443</v>
      </c>
      <c r="G3215" t="s">
        <v>28</v>
      </c>
    </row>
    <row r="3216" spans="1:7" x14ac:dyDescent="0.3">
      <c r="A3216">
        <v>33215</v>
      </c>
      <c r="B3216">
        <v>267</v>
      </c>
      <c r="C3216" s="2">
        <v>44973</v>
      </c>
      <c r="D3216" s="2" t="str">
        <f>TEXT(Table5[[#This Row],[bill_date]],"mmmm")</f>
        <v>February</v>
      </c>
      <c r="E3216" s="9">
        <f>YEAR(Table5[[#This Row],[bill_date]])</f>
        <v>2023</v>
      </c>
      <c r="F3216">
        <v>374</v>
      </c>
      <c r="G3216" t="s">
        <v>30</v>
      </c>
    </row>
    <row r="3217" spans="1:7" x14ac:dyDescent="0.3">
      <c r="A3217">
        <v>33216</v>
      </c>
      <c r="B3217">
        <v>33</v>
      </c>
      <c r="C3217" s="2">
        <v>44640</v>
      </c>
      <c r="D3217" s="2" t="str">
        <f>TEXT(Table5[[#This Row],[bill_date]],"mmmm")</f>
        <v>March</v>
      </c>
      <c r="E3217" s="9">
        <f>YEAR(Table5[[#This Row],[bill_date]])</f>
        <v>2022</v>
      </c>
      <c r="F3217">
        <v>1577</v>
      </c>
      <c r="G3217" t="s">
        <v>30</v>
      </c>
    </row>
    <row r="3218" spans="1:7" x14ac:dyDescent="0.3">
      <c r="A3218">
        <v>33217</v>
      </c>
      <c r="B3218">
        <v>297</v>
      </c>
      <c r="C3218" s="2">
        <v>44580</v>
      </c>
      <c r="D3218" s="2" t="str">
        <f>TEXT(Table5[[#This Row],[bill_date]],"mmmm")</f>
        <v>January</v>
      </c>
      <c r="E3218" s="9">
        <f>YEAR(Table5[[#This Row],[bill_date]])</f>
        <v>2022</v>
      </c>
      <c r="F3218">
        <v>720</v>
      </c>
      <c r="G3218" t="s">
        <v>30</v>
      </c>
    </row>
    <row r="3219" spans="1:7" x14ac:dyDescent="0.3">
      <c r="A3219">
        <v>33218</v>
      </c>
      <c r="B3219">
        <v>40</v>
      </c>
      <c r="C3219" s="2">
        <v>45039</v>
      </c>
      <c r="D3219" s="2" t="str">
        <f>TEXT(Table5[[#This Row],[bill_date]],"mmmm")</f>
        <v>April</v>
      </c>
      <c r="E3219" s="9">
        <f>YEAR(Table5[[#This Row],[bill_date]])</f>
        <v>2023</v>
      </c>
      <c r="F3219">
        <v>1817</v>
      </c>
      <c r="G3219" t="s">
        <v>30</v>
      </c>
    </row>
    <row r="3220" spans="1:7" x14ac:dyDescent="0.3">
      <c r="A3220">
        <v>33219</v>
      </c>
      <c r="B3220">
        <v>174</v>
      </c>
      <c r="C3220" s="2">
        <v>45342</v>
      </c>
      <c r="D3220" s="2" t="str">
        <f>TEXT(Table5[[#This Row],[bill_date]],"mmmm")</f>
        <v>February</v>
      </c>
      <c r="E3220" s="9">
        <f>YEAR(Table5[[#This Row],[bill_date]])</f>
        <v>2024</v>
      </c>
      <c r="F3220">
        <v>1361</v>
      </c>
      <c r="G3220" t="s">
        <v>30</v>
      </c>
    </row>
    <row r="3221" spans="1:7" x14ac:dyDescent="0.3">
      <c r="A3221">
        <v>33220</v>
      </c>
      <c r="B3221">
        <v>260</v>
      </c>
      <c r="C3221" s="2">
        <v>44606</v>
      </c>
      <c r="D3221" s="2" t="str">
        <f>TEXT(Table5[[#This Row],[bill_date]],"mmmm")</f>
        <v>February</v>
      </c>
      <c r="E3221" s="9">
        <f>YEAR(Table5[[#This Row],[bill_date]])</f>
        <v>2022</v>
      </c>
      <c r="F3221">
        <v>317</v>
      </c>
      <c r="G3221" t="s">
        <v>30</v>
      </c>
    </row>
    <row r="3222" spans="1:7" x14ac:dyDescent="0.3">
      <c r="A3222">
        <v>33221</v>
      </c>
      <c r="B3222">
        <v>224</v>
      </c>
      <c r="C3222" s="2">
        <v>45335</v>
      </c>
      <c r="D3222" s="2" t="str">
        <f>TEXT(Table5[[#This Row],[bill_date]],"mmmm")</f>
        <v>February</v>
      </c>
      <c r="E3222" s="9">
        <f>YEAR(Table5[[#This Row],[bill_date]])</f>
        <v>2024</v>
      </c>
      <c r="F3222">
        <v>1861</v>
      </c>
      <c r="G3222" t="s">
        <v>28</v>
      </c>
    </row>
    <row r="3223" spans="1:7" x14ac:dyDescent="0.3">
      <c r="A3223">
        <v>33222</v>
      </c>
      <c r="B3223">
        <v>223</v>
      </c>
      <c r="C3223" s="2">
        <v>44783</v>
      </c>
      <c r="D3223" s="2" t="str">
        <f>TEXT(Table5[[#This Row],[bill_date]],"mmmm")</f>
        <v>August</v>
      </c>
      <c r="E3223" s="9">
        <f>YEAR(Table5[[#This Row],[bill_date]])</f>
        <v>2022</v>
      </c>
      <c r="F3223">
        <v>1833</v>
      </c>
      <c r="G3223" t="s">
        <v>30</v>
      </c>
    </row>
    <row r="3224" spans="1:7" x14ac:dyDescent="0.3">
      <c r="A3224">
        <v>33223</v>
      </c>
      <c r="B3224">
        <v>267</v>
      </c>
      <c r="C3224" s="2">
        <v>44690</v>
      </c>
      <c r="D3224" s="2" t="str">
        <f>TEXT(Table5[[#This Row],[bill_date]],"mmmm")</f>
        <v>May</v>
      </c>
      <c r="E3224" s="9">
        <f>YEAR(Table5[[#This Row],[bill_date]])</f>
        <v>2022</v>
      </c>
      <c r="F3224">
        <v>1800</v>
      </c>
      <c r="G3224" t="s">
        <v>30</v>
      </c>
    </row>
    <row r="3225" spans="1:7" x14ac:dyDescent="0.3">
      <c r="A3225">
        <v>33224</v>
      </c>
      <c r="B3225">
        <v>465</v>
      </c>
      <c r="C3225" s="2">
        <v>45179</v>
      </c>
      <c r="D3225" s="2" t="str">
        <f>TEXT(Table5[[#This Row],[bill_date]],"mmmm")</f>
        <v>September</v>
      </c>
      <c r="E3225" s="9">
        <f>YEAR(Table5[[#This Row],[bill_date]])</f>
        <v>2023</v>
      </c>
      <c r="F3225">
        <v>457</v>
      </c>
      <c r="G3225" t="s">
        <v>30</v>
      </c>
    </row>
    <row r="3226" spans="1:7" x14ac:dyDescent="0.3">
      <c r="A3226">
        <v>33225</v>
      </c>
      <c r="B3226">
        <v>155</v>
      </c>
      <c r="C3226" s="2">
        <v>45324</v>
      </c>
      <c r="D3226" s="2" t="str">
        <f>TEXT(Table5[[#This Row],[bill_date]],"mmmm")</f>
        <v>February</v>
      </c>
      <c r="E3226" s="9">
        <f>YEAR(Table5[[#This Row],[bill_date]])</f>
        <v>2024</v>
      </c>
      <c r="F3226">
        <v>1877</v>
      </c>
      <c r="G3226" t="s">
        <v>30</v>
      </c>
    </row>
    <row r="3227" spans="1:7" x14ac:dyDescent="0.3">
      <c r="A3227">
        <v>33226</v>
      </c>
      <c r="B3227">
        <v>264</v>
      </c>
      <c r="C3227" s="2">
        <v>45194</v>
      </c>
      <c r="D3227" s="2" t="str">
        <f>TEXT(Table5[[#This Row],[bill_date]],"mmmm")</f>
        <v>September</v>
      </c>
      <c r="E3227" s="9">
        <f>YEAR(Table5[[#This Row],[bill_date]])</f>
        <v>2023</v>
      </c>
      <c r="F3227">
        <v>769</v>
      </c>
      <c r="G3227" t="s">
        <v>30</v>
      </c>
    </row>
    <row r="3228" spans="1:7" x14ac:dyDescent="0.3">
      <c r="A3228">
        <v>33227</v>
      </c>
      <c r="B3228">
        <v>149</v>
      </c>
      <c r="C3228" s="2">
        <v>44791</v>
      </c>
      <c r="D3228" s="2" t="str">
        <f>TEXT(Table5[[#This Row],[bill_date]],"mmmm")</f>
        <v>August</v>
      </c>
      <c r="E3228" s="9">
        <f>YEAR(Table5[[#This Row],[bill_date]])</f>
        <v>2022</v>
      </c>
      <c r="F3228">
        <v>1978</v>
      </c>
      <c r="G3228" t="s">
        <v>30</v>
      </c>
    </row>
    <row r="3229" spans="1:7" x14ac:dyDescent="0.3">
      <c r="A3229">
        <v>33228</v>
      </c>
      <c r="B3229">
        <v>225</v>
      </c>
      <c r="C3229" s="2">
        <v>45354</v>
      </c>
      <c r="D3229" s="2" t="str">
        <f>TEXT(Table5[[#This Row],[bill_date]],"mmmm")</f>
        <v>March</v>
      </c>
      <c r="E3229" s="9">
        <f>YEAR(Table5[[#This Row],[bill_date]])</f>
        <v>2024</v>
      </c>
      <c r="F3229">
        <v>1414</v>
      </c>
      <c r="G3229" t="s">
        <v>30</v>
      </c>
    </row>
    <row r="3230" spans="1:7" x14ac:dyDescent="0.3">
      <c r="A3230">
        <v>33229</v>
      </c>
      <c r="B3230">
        <v>383</v>
      </c>
      <c r="C3230" s="2">
        <v>44788</v>
      </c>
      <c r="D3230" s="2" t="str">
        <f>TEXT(Table5[[#This Row],[bill_date]],"mmmm")</f>
        <v>August</v>
      </c>
      <c r="E3230" s="9">
        <f>YEAR(Table5[[#This Row],[bill_date]])</f>
        <v>2022</v>
      </c>
      <c r="F3230">
        <v>1141</v>
      </c>
      <c r="G3230" t="s">
        <v>30</v>
      </c>
    </row>
    <row r="3231" spans="1:7" x14ac:dyDescent="0.3">
      <c r="A3231">
        <v>33230</v>
      </c>
      <c r="B3231">
        <v>498</v>
      </c>
      <c r="C3231" s="2">
        <v>44958</v>
      </c>
      <c r="D3231" s="2" t="str">
        <f>TEXT(Table5[[#This Row],[bill_date]],"mmmm")</f>
        <v>February</v>
      </c>
      <c r="E3231" s="9">
        <f>YEAR(Table5[[#This Row],[bill_date]])</f>
        <v>2023</v>
      </c>
      <c r="F3231">
        <v>1352</v>
      </c>
      <c r="G3231" t="s">
        <v>30</v>
      </c>
    </row>
    <row r="3232" spans="1:7" x14ac:dyDescent="0.3">
      <c r="A3232">
        <v>33231</v>
      </c>
      <c r="B3232">
        <v>127</v>
      </c>
      <c r="C3232" s="2">
        <v>44836</v>
      </c>
      <c r="D3232" s="2" t="str">
        <f>TEXT(Table5[[#This Row],[bill_date]],"mmmm")</f>
        <v>October</v>
      </c>
      <c r="E3232" s="9">
        <f>YEAR(Table5[[#This Row],[bill_date]])</f>
        <v>2022</v>
      </c>
      <c r="F3232">
        <v>356</v>
      </c>
      <c r="G3232" t="s">
        <v>30</v>
      </c>
    </row>
    <row r="3233" spans="1:7" x14ac:dyDescent="0.3">
      <c r="A3233">
        <v>33232</v>
      </c>
      <c r="B3233">
        <v>5</v>
      </c>
      <c r="C3233" s="2">
        <v>44699</v>
      </c>
      <c r="D3233" s="2" t="str">
        <f>TEXT(Table5[[#This Row],[bill_date]],"mmmm")</f>
        <v>May</v>
      </c>
      <c r="E3233" s="9">
        <f>YEAR(Table5[[#This Row],[bill_date]])</f>
        <v>2022</v>
      </c>
      <c r="F3233">
        <v>1900</v>
      </c>
      <c r="G3233" t="s">
        <v>30</v>
      </c>
    </row>
    <row r="3234" spans="1:7" x14ac:dyDescent="0.3">
      <c r="A3234">
        <v>33233</v>
      </c>
      <c r="B3234">
        <v>446</v>
      </c>
      <c r="C3234" s="2">
        <v>44734</v>
      </c>
      <c r="D3234" s="2" t="str">
        <f>TEXT(Table5[[#This Row],[bill_date]],"mmmm")</f>
        <v>June</v>
      </c>
      <c r="E3234" s="9">
        <f>YEAR(Table5[[#This Row],[bill_date]])</f>
        <v>2022</v>
      </c>
      <c r="F3234">
        <v>459</v>
      </c>
      <c r="G3234" t="s">
        <v>30</v>
      </c>
    </row>
    <row r="3235" spans="1:7" x14ac:dyDescent="0.3">
      <c r="A3235">
        <v>33234</v>
      </c>
      <c r="B3235">
        <v>288</v>
      </c>
      <c r="C3235" s="2">
        <v>44888</v>
      </c>
      <c r="D3235" s="2" t="str">
        <f>TEXT(Table5[[#This Row],[bill_date]],"mmmm")</f>
        <v>November</v>
      </c>
      <c r="E3235" s="9">
        <f>YEAR(Table5[[#This Row],[bill_date]])</f>
        <v>2022</v>
      </c>
      <c r="F3235">
        <v>588</v>
      </c>
      <c r="G3235" t="s">
        <v>30</v>
      </c>
    </row>
    <row r="3236" spans="1:7" x14ac:dyDescent="0.3">
      <c r="A3236">
        <v>33235</v>
      </c>
      <c r="B3236">
        <v>345</v>
      </c>
      <c r="C3236" s="2">
        <v>45344</v>
      </c>
      <c r="D3236" s="2" t="str">
        <f>TEXT(Table5[[#This Row],[bill_date]],"mmmm")</f>
        <v>February</v>
      </c>
      <c r="E3236" s="9">
        <f>YEAR(Table5[[#This Row],[bill_date]])</f>
        <v>2024</v>
      </c>
      <c r="F3236">
        <v>843</v>
      </c>
      <c r="G3236" t="s">
        <v>30</v>
      </c>
    </row>
    <row r="3237" spans="1:7" x14ac:dyDescent="0.3">
      <c r="A3237">
        <v>33236</v>
      </c>
      <c r="B3237">
        <v>58</v>
      </c>
      <c r="C3237" s="2">
        <v>44776</v>
      </c>
      <c r="D3237" s="2" t="str">
        <f>TEXT(Table5[[#This Row],[bill_date]],"mmmm")</f>
        <v>August</v>
      </c>
      <c r="E3237" s="9">
        <f>YEAR(Table5[[#This Row],[bill_date]])</f>
        <v>2022</v>
      </c>
      <c r="F3237">
        <v>1746</v>
      </c>
      <c r="G3237" t="s">
        <v>30</v>
      </c>
    </row>
    <row r="3238" spans="1:7" x14ac:dyDescent="0.3">
      <c r="A3238">
        <v>33237</v>
      </c>
      <c r="B3238">
        <v>72</v>
      </c>
      <c r="C3238" s="2">
        <v>44789</v>
      </c>
      <c r="D3238" s="2" t="str">
        <f>TEXT(Table5[[#This Row],[bill_date]],"mmmm")</f>
        <v>August</v>
      </c>
      <c r="E3238" s="9">
        <f>YEAR(Table5[[#This Row],[bill_date]])</f>
        <v>2022</v>
      </c>
      <c r="F3238">
        <v>330</v>
      </c>
      <c r="G3238" t="s">
        <v>30</v>
      </c>
    </row>
    <row r="3239" spans="1:7" x14ac:dyDescent="0.3">
      <c r="A3239">
        <v>33238</v>
      </c>
      <c r="B3239">
        <v>155</v>
      </c>
      <c r="C3239" s="2">
        <v>44668</v>
      </c>
      <c r="D3239" s="2" t="str">
        <f>TEXT(Table5[[#This Row],[bill_date]],"mmmm")</f>
        <v>April</v>
      </c>
      <c r="E3239" s="9">
        <f>YEAR(Table5[[#This Row],[bill_date]])</f>
        <v>2022</v>
      </c>
      <c r="F3239">
        <v>606</v>
      </c>
      <c r="G3239" t="s">
        <v>30</v>
      </c>
    </row>
    <row r="3240" spans="1:7" x14ac:dyDescent="0.3">
      <c r="A3240">
        <v>33239</v>
      </c>
      <c r="B3240">
        <v>282</v>
      </c>
      <c r="C3240" s="2">
        <v>44720</v>
      </c>
      <c r="D3240" s="2" t="str">
        <f>TEXT(Table5[[#This Row],[bill_date]],"mmmm")</f>
        <v>June</v>
      </c>
      <c r="E3240" s="9">
        <f>YEAR(Table5[[#This Row],[bill_date]])</f>
        <v>2022</v>
      </c>
      <c r="F3240">
        <v>1375</v>
      </c>
      <c r="G3240" t="s">
        <v>30</v>
      </c>
    </row>
    <row r="3241" spans="1:7" x14ac:dyDescent="0.3">
      <c r="A3241">
        <v>33240</v>
      </c>
      <c r="B3241">
        <v>168</v>
      </c>
      <c r="C3241" s="2">
        <v>45455</v>
      </c>
      <c r="D3241" s="2" t="str">
        <f>TEXT(Table5[[#This Row],[bill_date]],"mmmm")</f>
        <v>June</v>
      </c>
      <c r="E3241" s="9">
        <f>YEAR(Table5[[#This Row],[bill_date]])</f>
        <v>2024</v>
      </c>
      <c r="F3241">
        <v>480</v>
      </c>
      <c r="G3241" t="s">
        <v>30</v>
      </c>
    </row>
    <row r="3242" spans="1:7" x14ac:dyDescent="0.3">
      <c r="A3242">
        <v>33241</v>
      </c>
      <c r="B3242">
        <v>29</v>
      </c>
      <c r="C3242" s="2">
        <v>44697</v>
      </c>
      <c r="D3242" s="2" t="str">
        <f>TEXT(Table5[[#This Row],[bill_date]],"mmmm")</f>
        <v>May</v>
      </c>
      <c r="E3242" s="9">
        <f>YEAR(Table5[[#This Row],[bill_date]])</f>
        <v>2022</v>
      </c>
      <c r="F3242">
        <v>765</v>
      </c>
      <c r="G3242" t="s">
        <v>30</v>
      </c>
    </row>
    <row r="3243" spans="1:7" x14ac:dyDescent="0.3">
      <c r="A3243">
        <v>33242</v>
      </c>
      <c r="B3243">
        <v>457</v>
      </c>
      <c r="C3243" s="2">
        <v>45324</v>
      </c>
      <c r="D3243" s="2" t="str">
        <f>TEXT(Table5[[#This Row],[bill_date]],"mmmm")</f>
        <v>February</v>
      </c>
      <c r="E3243" s="9">
        <f>YEAR(Table5[[#This Row],[bill_date]])</f>
        <v>2024</v>
      </c>
      <c r="F3243">
        <v>966</v>
      </c>
      <c r="G3243" t="s">
        <v>30</v>
      </c>
    </row>
    <row r="3244" spans="1:7" x14ac:dyDescent="0.3">
      <c r="A3244">
        <v>33243</v>
      </c>
      <c r="B3244">
        <v>82</v>
      </c>
      <c r="C3244" s="2">
        <v>44591</v>
      </c>
      <c r="D3244" s="2" t="str">
        <f>TEXT(Table5[[#This Row],[bill_date]],"mmmm")</f>
        <v>January</v>
      </c>
      <c r="E3244" s="9">
        <f>YEAR(Table5[[#This Row],[bill_date]])</f>
        <v>2022</v>
      </c>
      <c r="F3244">
        <v>1860</v>
      </c>
      <c r="G3244" t="s">
        <v>30</v>
      </c>
    </row>
    <row r="3245" spans="1:7" x14ac:dyDescent="0.3">
      <c r="A3245">
        <v>33244</v>
      </c>
      <c r="B3245">
        <v>263</v>
      </c>
      <c r="C3245" s="2">
        <v>44659</v>
      </c>
      <c r="D3245" s="2" t="str">
        <f>TEXT(Table5[[#This Row],[bill_date]],"mmmm")</f>
        <v>April</v>
      </c>
      <c r="E3245" s="9">
        <f>YEAR(Table5[[#This Row],[bill_date]])</f>
        <v>2022</v>
      </c>
      <c r="F3245">
        <v>244</v>
      </c>
      <c r="G3245" t="s">
        <v>28</v>
      </c>
    </row>
    <row r="3246" spans="1:7" x14ac:dyDescent="0.3">
      <c r="A3246">
        <v>33245</v>
      </c>
      <c r="B3246">
        <v>106</v>
      </c>
      <c r="C3246" s="2">
        <v>45170</v>
      </c>
      <c r="D3246" s="2" t="str">
        <f>TEXT(Table5[[#This Row],[bill_date]],"mmmm")</f>
        <v>September</v>
      </c>
      <c r="E3246" s="9">
        <f>YEAR(Table5[[#This Row],[bill_date]])</f>
        <v>2023</v>
      </c>
      <c r="F3246">
        <v>884</v>
      </c>
      <c r="G3246" t="s">
        <v>30</v>
      </c>
    </row>
    <row r="3247" spans="1:7" x14ac:dyDescent="0.3">
      <c r="A3247">
        <v>33246</v>
      </c>
      <c r="B3247">
        <v>277</v>
      </c>
      <c r="C3247" s="2">
        <v>45330</v>
      </c>
      <c r="D3247" s="2" t="str">
        <f>TEXT(Table5[[#This Row],[bill_date]],"mmmm")</f>
        <v>February</v>
      </c>
      <c r="E3247" s="9">
        <f>YEAR(Table5[[#This Row],[bill_date]])</f>
        <v>2024</v>
      </c>
      <c r="F3247">
        <v>1521</v>
      </c>
      <c r="G3247" t="s">
        <v>29</v>
      </c>
    </row>
    <row r="3248" spans="1:7" x14ac:dyDescent="0.3">
      <c r="A3248">
        <v>33247</v>
      </c>
      <c r="B3248">
        <v>464</v>
      </c>
      <c r="C3248" s="2">
        <v>45345</v>
      </c>
      <c r="D3248" s="2" t="str">
        <f>TEXT(Table5[[#This Row],[bill_date]],"mmmm")</f>
        <v>February</v>
      </c>
      <c r="E3248" s="9">
        <f>YEAR(Table5[[#This Row],[bill_date]])</f>
        <v>2024</v>
      </c>
      <c r="F3248">
        <v>219</v>
      </c>
      <c r="G3248" t="s">
        <v>30</v>
      </c>
    </row>
    <row r="3249" spans="1:7" x14ac:dyDescent="0.3">
      <c r="A3249">
        <v>33248</v>
      </c>
      <c r="B3249">
        <v>451</v>
      </c>
      <c r="C3249" s="2">
        <v>45443</v>
      </c>
      <c r="D3249" s="2" t="str">
        <f>TEXT(Table5[[#This Row],[bill_date]],"mmmm")</f>
        <v>May</v>
      </c>
      <c r="E3249" s="9">
        <f>YEAR(Table5[[#This Row],[bill_date]])</f>
        <v>2024</v>
      </c>
      <c r="F3249">
        <v>1989</v>
      </c>
      <c r="G3249" t="s">
        <v>30</v>
      </c>
    </row>
    <row r="3250" spans="1:7" x14ac:dyDescent="0.3">
      <c r="A3250">
        <v>33249</v>
      </c>
      <c r="B3250">
        <v>352</v>
      </c>
      <c r="C3250" s="2">
        <v>45084</v>
      </c>
      <c r="D3250" s="2" t="str">
        <f>TEXT(Table5[[#This Row],[bill_date]],"mmmm")</f>
        <v>June</v>
      </c>
      <c r="E3250" s="9">
        <f>YEAR(Table5[[#This Row],[bill_date]])</f>
        <v>2023</v>
      </c>
      <c r="F3250">
        <v>1195</v>
      </c>
      <c r="G3250" t="s">
        <v>30</v>
      </c>
    </row>
    <row r="3251" spans="1:7" x14ac:dyDescent="0.3">
      <c r="A3251">
        <v>33250</v>
      </c>
      <c r="B3251">
        <v>10</v>
      </c>
      <c r="C3251" s="2">
        <v>44903</v>
      </c>
      <c r="D3251" s="2" t="str">
        <f>TEXT(Table5[[#This Row],[bill_date]],"mmmm")</f>
        <v>December</v>
      </c>
      <c r="E3251" s="9">
        <f>YEAR(Table5[[#This Row],[bill_date]])</f>
        <v>2022</v>
      </c>
      <c r="F3251">
        <v>1387</v>
      </c>
      <c r="G3251" t="s">
        <v>28</v>
      </c>
    </row>
    <row r="3252" spans="1:7" x14ac:dyDescent="0.3">
      <c r="A3252">
        <v>33251</v>
      </c>
      <c r="B3252">
        <v>62</v>
      </c>
      <c r="C3252" s="2">
        <v>44729</v>
      </c>
      <c r="D3252" s="2" t="str">
        <f>TEXT(Table5[[#This Row],[bill_date]],"mmmm")</f>
        <v>June</v>
      </c>
      <c r="E3252" s="9">
        <f>YEAR(Table5[[#This Row],[bill_date]])</f>
        <v>2022</v>
      </c>
      <c r="F3252">
        <v>466</v>
      </c>
      <c r="G3252" t="s">
        <v>28</v>
      </c>
    </row>
    <row r="3253" spans="1:7" x14ac:dyDescent="0.3">
      <c r="A3253">
        <v>33252</v>
      </c>
      <c r="B3253">
        <v>224</v>
      </c>
      <c r="C3253" s="2">
        <v>44772</v>
      </c>
      <c r="D3253" s="2" t="str">
        <f>TEXT(Table5[[#This Row],[bill_date]],"mmmm")</f>
        <v>July</v>
      </c>
      <c r="E3253" s="9">
        <f>YEAR(Table5[[#This Row],[bill_date]])</f>
        <v>2022</v>
      </c>
      <c r="F3253">
        <v>299</v>
      </c>
      <c r="G3253" t="s">
        <v>30</v>
      </c>
    </row>
    <row r="3254" spans="1:7" x14ac:dyDescent="0.3">
      <c r="A3254">
        <v>33253</v>
      </c>
      <c r="B3254">
        <v>136</v>
      </c>
      <c r="C3254" s="2">
        <v>45245</v>
      </c>
      <c r="D3254" s="2" t="str">
        <f>TEXT(Table5[[#This Row],[bill_date]],"mmmm")</f>
        <v>November</v>
      </c>
      <c r="E3254" s="9">
        <f>YEAR(Table5[[#This Row],[bill_date]])</f>
        <v>2023</v>
      </c>
      <c r="F3254">
        <v>859</v>
      </c>
      <c r="G3254" t="s">
        <v>30</v>
      </c>
    </row>
    <row r="3255" spans="1:7" x14ac:dyDescent="0.3">
      <c r="A3255">
        <v>33254</v>
      </c>
      <c r="B3255">
        <v>224</v>
      </c>
      <c r="C3255" s="2">
        <v>45399</v>
      </c>
      <c r="D3255" s="2" t="str">
        <f>TEXT(Table5[[#This Row],[bill_date]],"mmmm")</f>
        <v>April</v>
      </c>
      <c r="E3255" s="9">
        <f>YEAR(Table5[[#This Row],[bill_date]])</f>
        <v>2024</v>
      </c>
      <c r="F3255">
        <v>851</v>
      </c>
      <c r="G3255" t="s">
        <v>30</v>
      </c>
    </row>
    <row r="3256" spans="1:7" x14ac:dyDescent="0.3">
      <c r="A3256">
        <v>33255</v>
      </c>
      <c r="B3256">
        <v>114</v>
      </c>
      <c r="C3256" s="2">
        <v>45193</v>
      </c>
      <c r="D3256" s="2" t="str">
        <f>TEXT(Table5[[#This Row],[bill_date]],"mmmm")</f>
        <v>September</v>
      </c>
      <c r="E3256" s="9">
        <f>YEAR(Table5[[#This Row],[bill_date]])</f>
        <v>2023</v>
      </c>
      <c r="F3256">
        <v>1595</v>
      </c>
      <c r="G3256" t="s">
        <v>30</v>
      </c>
    </row>
    <row r="3257" spans="1:7" x14ac:dyDescent="0.3">
      <c r="A3257">
        <v>33256</v>
      </c>
      <c r="B3257">
        <v>260</v>
      </c>
      <c r="C3257" s="2">
        <v>44746</v>
      </c>
      <c r="D3257" s="2" t="str">
        <f>TEXT(Table5[[#This Row],[bill_date]],"mmmm")</f>
        <v>July</v>
      </c>
      <c r="E3257" s="9">
        <f>YEAR(Table5[[#This Row],[bill_date]])</f>
        <v>2022</v>
      </c>
      <c r="F3257">
        <v>231</v>
      </c>
      <c r="G3257" t="s">
        <v>30</v>
      </c>
    </row>
    <row r="3258" spans="1:7" x14ac:dyDescent="0.3">
      <c r="A3258">
        <v>33257</v>
      </c>
      <c r="B3258">
        <v>157</v>
      </c>
      <c r="C3258" s="2">
        <v>44993</v>
      </c>
      <c r="D3258" s="2" t="str">
        <f>TEXT(Table5[[#This Row],[bill_date]],"mmmm")</f>
        <v>March</v>
      </c>
      <c r="E3258" s="9">
        <f>YEAR(Table5[[#This Row],[bill_date]])</f>
        <v>2023</v>
      </c>
      <c r="F3258">
        <v>434</v>
      </c>
      <c r="G3258" t="s">
        <v>30</v>
      </c>
    </row>
    <row r="3259" spans="1:7" x14ac:dyDescent="0.3">
      <c r="A3259">
        <v>33258</v>
      </c>
      <c r="B3259">
        <v>396</v>
      </c>
      <c r="C3259" s="2">
        <v>44985</v>
      </c>
      <c r="D3259" s="2" t="str">
        <f>TEXT(Table5[[#This Row],[bill_date]],"mmmm")</f>
        <v>February</v>
      </c>
      <c r="E3259" s="9">
        <f>YEAR(Table5[[#This Row],[bill_date]])</f>
        <v>2023</v>
      </c>
      <c r="F3259">
        <v>396</v>
      </c>
      <c r="G3259" t="s">
        <v>30</v>
      </c>
    </row>
    <row r="3260" spans="1:7" x14ac:dyDescent="0.3">
      <c r="A3260">
        <v>33259</v>
      </c>
      <c r="B3260">
        <v>229</v>
      </c>
      <c r="C3260" s="2">
        <v>44600</v>
      </c>
      <c r="D3260" s="2" t="str">
        <f>TEXT(Table5[[#This Row],[bill_date]],"mmmm")</f>
        <v>February</v>
      </c>
      <c r="E3260" s="9">
        <f>YEAR(Table5[[#This Row],[bill_date]])</f>
        <v>2022</v>
      </c>
      <c r="F3260">
        <v>705</v>
      </c>
      <c r="G3260" t="s">
        <v>30</v>
      </c>
    </row>
    <row r="3261" spans="1:7" x14ac:dyDescent="0.3">
      <c r="A3261">
        <v>33260</v>
      </c>
      <c r="B3261">
        <v>100</v>
      </c>
      <c r="C3261" s="2">
        <v>44948</v>
      </c>
      <c r="D3261" s="2" t="str">
        <f>TEXT(Table5[[#This Row],[bill_date]],"mmmm")</f>
        <v>January</v>
      </c>
      <c r="E3261" s="9">
        <f>YEAR(Table5[[#This Row],[bill_date]])</f>
        <v>2023</v>
      </c>
      <c r="F3261">
        <v>945</v>
      </c>
      <c r="G3261" t="s">
        <v>30</v>
      </c>
    </row>
    <row r="3262" spans="1:7" x14ac:dyDescent="0.3">
      <c r="A3262">
        <v>33261</v>
      </c>
      <c r="B3262">
        <v>255</v>
      </c>
      <c r="C3262" s="2">
        <v>45330</v>
      </c>
      <c r="D3262" s="2" t="str">
        <f>TEXT(Table5[[#This Row],[bill_date]],"mmmm")</f>
        <v>February</v>
      </c>
      <c r="E3262" s="9">
        <f>YEAR(Table5[[#This Row],[bill_date]])</f>
        <v>2024</v>
      </c>
      <c r="F3262">
        <v>530</v>
      </c>
      <c r="G3262" t="s">
        <v>30</v>
      </c>
    </row>
    <row r="3263" spans="1:7" x14ac:dyDescent="0.3">
      <c r="A3263">
        <v>33262</v>
      </c>
      <c r="B3263">
        <v>179</v>
      </c>
      <c r="C3263" s="2">
        <v>45352</v>
      </c>
      <c r="D3263" s="2" t="str">
        <f>TEXT(Table5[[#This Row],[bill_date]],"mmmm")</f>
        <v>March</v>
      </c>
      <c r="E3263" s="9">
        <f>YEAR(Table5[[#This Row],[bill_date]])</f>
        <v>2024</v>
      </c>
      <c r="F3263">
        <v>1667</v>
      </c>
      <c r="G3263" t="s">
        <v>28</v>
      </c>
    </row>
    <row r="3264" spans="1:7" x14ac:dyDescent="0.3">
      <c r="A3264">
        <v>33263</v>
      </c>
      <c r="B3264">
        <v>275</v>
      </c>
      <c r="C3264" s="2">
        <v>45303</v>
      </c>
      <c r="D3264" s="2" t="str">
        <f>TEXT(Table5[[#This Row],[bill_date]],"mmmm")</f>
        <v>January</v>
      </c>
      <c r="E3264" s="9">
        <f>YEAR(Table5[[#This Row],[bill_date]])</f>
        <v>2024</v>
      </c>
      <c r="F3264">
        <v>684</v>
      </c>
      <c r="G3264" t="s">
        <v>30</v>
      </c>
    </row>
    <row r="3265" spans="1:7" x14ac:dyDescent="0.3">
      <c r="A3265">
        <v>33264</v>
      </c>
      <c r="B3265">
        <v>229</v>
      </c>
      <c r="C3265" s="2">
        <v>45012</v>
      </c>
      <c r="D3265" s="2" t="str">
        <f>TEXT(Table5[[#This Row],[bill_date]],"mmmm")</f>
        <v>March</v>
      </c>
      <c r="E3265" s="9">
        <f>YEAR(Table5[[#This Row],[bill_date]])</f>
        <v>2023</v>
      </c>
      <c r="F3265">
        <v>318</v>
      </c>
      <c r="G3265" t="s">
        <v>30</v>
      </c>
    </row>
    <row r="3266" spans="1:7" x14ac:dyDescent="0.3">
      <c r="A3266">
        <v>33265</v>
      </c>
      <c r="B3266">
        <v>367</v>
      </c>
      <c r="C3266" s="2">
        <v>44676</v>
      </c>
      <c r="D3266" s="2" t="str">
        <f>TEXT(Table5[[#This Row],[bill_date]],"mmmm")</f>
        <v>April</v>
      </c>
      <c r="E3266" s="9">
        <f>YEAR(Table5[[#This Row],[bill_date]])</f>
        <v>2022</v>
      </c>
      <c r="F3266">
        <v>356</v>
      </c>
      <c r="G3266" t="s">
        <v>30</v>
      </c>
    </row>
    <row r="3267" spans="1:7" x14ac:dyDescent="0.3">
      <c r="A3267">
        <v>33266</v>
      </c>
      <c r="B3267">
        <v>31</v>
      </c>
      <c r="C3267" s="2">
        <v>44962</v>
      </c>
      <c r="D3267" s="2" t="str">
        <f>TEXT(Table5[[#This Row],[bill_date]],"mmmm")</f>
        <v>February</v>
      </c>
      <c r="E3267" s="9">
        <f>YEAR(Table5[[#This Row],[bill_date]])</f>
        <v>2023</v>
      </c>
      <c r="F3267">
        <v>1259</v>
      </c>
      <c r="G3267" t="s">
        <v>30</v>
      </c>
    </row>
    <row r="3268" spans="1:7" x14ac:dyDescent="0.3">
      <c r="A3268">
        <v>33267</v>
      </c>
      <c r="B3268">
        <v>108</v>
      </c>
      <c r="C3268" s="2">
        <v>44865</v>
      </c>
      <c r="D3268" s="2" t="str">
        <f>TEXT(Table5[[#This Row],[bill_date]],"mmmm")</f>
        <v>October</v>
      </c>
      <c r="E3268" s="9">
        <f>YEAR(Table5[[#This Row],[bill_date]])</f>
        <v>2022</v>
      </c>
      <c r="F3268">
        <v>1048</v>
      </c>
      <c r="G3268" t="s">
        <v>30</v>
      </c>
    </row>
    <row r="3269" spans="1:7" x14ac:dyDescent="0.3">
      <c r="A3269">
        <v>33268</v>
      </c>
      <c r="B3269">
        <v>282</v>
      </c>
      <c r="C3269" s="2">
        <v>45164</v>
      </c>
      <c r="D3269" s="2" t="str">
        <f>TEXT(Table5[[#This Row],[bill_date]],"mmmm")</f>
        <v>August</v>
      </c>
      <c r="E3269" s="9">
        <f>YEAR(Table5[[#This Row],[bill_date]])</f>
        <v>2023</v>
      </c>
      <c r="F3269">
        <v>342</v>
      </c>
      <c r="G3269" t="s">
        <v>30</v>
      </c>
    </row>
    <row r="3270" spans="1:7" x14ac:dyDescent="0.3">
      <c r="A3270">
        <v>33269</v>
      </c>
      <c r="B3270">
        <v>109</v>
      </c>
      <c r="C3270" s="2">
        <v>44870</v>
      </c>
      <c r="D3270" s="2" t="str">
        <f>TEXT(Table5[[#This Row],[bill_date]],"mmmm")</f>
        <v>November</v>
      </c>
      <c r="E3270" s="9">
        <f>YEAR(Table5[[#This Row],[bill_date]])</f>
        <v>2022</v>
      </c>
      <c r="F3270">
        <v>1779</v>
      </c>
      <c r="G3270" t="s">
        <v>30</v>
      </c>
    </row>
    <row r="3271" spans="1:7" x14ac:dyDescent="0.3">
      <c r="A3271">
        <v>33270</v>
      </c>
      <c r="B3271">
        <v>390</v>
      </c>
      <c r="C3271" s="2">
        <v>45134</v>
      </c>
      <c r="D3271" s="2" t="str">
        <f>TEXT(Table5[[#This Row],[bill_date]],"mmmm")</f>
        <v>July</v>
      </c>
      <c r="E3271" s="9">
        <f>YEAR(Table5[[#This Row],[bill_date]])</f>
        <v>2023</v>
      </c>
      <c r="F3271">
        <v>1933</v>
      </c>
      <c r="G3271" t="s">
        <v>30</v>
      </c>
    </row>
    <row r="3272" spans="1:7" x14ac:dyDescent="0.3">
      <c r="A3272">
        <v>33271</v>
      </c>
      <c r="B3272">
        <v>29</v>
      </c>
      <c r="C3272" s="2">
        <v>44664</v>
      </c>
      <c r="D3272" s="2" t="str">
        <f>TEXT(Table5[[#This Row],[bill_date]],"mmmm")</f>
        <v>April</v>
      </c>
      <c r="E3272" s="9">
        <f>YEAR(Table5[[#This Row],[bill_date]])</f>
        <v>2022</v>
      </c>
      <c r="F3272">
        <v>1972</v>
      </c>
      <c r="G3272" t="s">
        <v>30</v>
      </c>
    </row>
    <row r="3273" spans="1:7" x14ac:dyDescent="0.3">
      <c r="A3273">
        <v>33272</v>
      </c>
      <c r="B3273">
        <v>17</v>
      </c>
      <c r="C3273" s="2">
        <v>45288</v>
      </c>
      <c r="D3273" s="2" t="str">
        <f>TEXT(Table5[[#This Row],[bill_date]],"mmmm")</f>
        <v>December</v>
      </c>
      <c r="E3273" s="9">
        <f>YEAR(Table5[[#This Row],[bill_date]])</f>
        <v>2023</v>
      </c>
      <c r="F3273">
        <v>839</v>
      </c>
      <c r="G3273" t="s">
        <v>28</v>
      </c>
    </row>
    <row r="3274" spans="1:7" x14ac:dyDescent="0.3">
      <c r="A3274">
        <v>33273</v>
      </c>
      <c r="B3274">
        <v>404</v>
      </c>
      <c r="C3274" s="2">
        <v>44663</v>
      </c>
      <c r="D3274" s="2" t="str">
        <f>TEXT(Table5[[#This Row],[bill_date]],"mmmm")</f>
        <v>April</v>
      </c>
      <c r="E3274" s="9">
        <f>YEAR(Table5[[#This Row],[bill_date]])</f>
        <v>2022</v>
      </c>
      <c r="F3274">
        <v>891</v>
      </c>
      <c r="G3274" t="s">
        <v>30</v>
      </c>
    </row>
    <row r="3275" spans="1:7" x14ac:dyDescent="0.3">
      <c r="A3275">
        <v>33274</v>
      </c>
      <c r="B3275">
        <v>170</v>
      </c>
      <c r="C3275" s="2">
        <v>45216</v>
      </c>
      <c r="D3275" s="2" t="str">
        <f>TEXT(Table5[[#This Row],[bill_date]],"mmmm")</f>
        <v>October</v>
      </c>
      <c r="E3275" s="9">
        <f>YEAR(Table5[[#This Row],[bill_date]])</f>
        <v>2023</v>
      </c>
      <c r="F3275">
        <v>1250</v>
      </c>
      <c r="G3275" t="s">
        <v>30</v>
      </c>
    </row>
    <row r="3276" spans="1:7" x14ac:dyDescent="0.3">
      <c r="A3276">
        <v>33275</v>
      </c>
      <c r="B3276">
        <v>366</v>
      </c>
      <c r="C3276" s="2">
        <v>44651</v>
      </c>
      <c r="D3276" s="2" t="str">
        <f>TEXT(Table5[[#This Row],[bill_date]],"mmmm")</f>
        <v>March</v>
      </c>
      <c r="E3276" s="9">
        <f>YEAR(Table5[[#This Row],[bill_date]])</f>
        <v>2022</v>
      </c>
      <c r="F3276">
        <v>1147</v>
      </c>
      <c r="G3276" t="s">
        <v>30</v>
      </c>
    </row>
    <row r="3277" spans="1:7" x14ac:dyDescent="0.3">
      <c r="A3277">
        <v>33276</v>
      </c>
      <c r="B3277">
        <v>175</v>
      </c>
      <c r="C3277" s="2">
        <v>44679</v>
      </c>
      <c r="D3277" s="2" t="str">
        <f>TEXT(Table5[[#This Row],[bill_date]],"mmmm")</f>
        <v>April</v>
      </c>
      <c r="E3277" s="9">
        <f>YEAR(Table5[[#This Row],[bill_date]])</f>
        <v>2022</v>
      </c>
      <c r="F3277">
        <v>1801</v>
      </c>
      <c r="G3277" t="s">
        <v>28</v>
      </c>
    </row>
    <row r="3278" spans="1:7" x14ac:dyDescent="0.3">
      <c r="A3278">
        <v>33277</v>
      </c>
      <c r="B3278">
        <v>74</v>
      </c>
      <c r="C3278" s="2">
        <v>44700</v>
      </c>
      <c r="D3278" s="2" t="str">
        <f>TEXT(Table5[[#This Row],[bill_date]],"mmmm")</f>
        <v>May</v>
      </c>
      <c r="E3278" s="9">
        <f>YEAR(Table5[[#This Row],[bill_date]])</f>
        <v>2022</v>
      </c>
      <c r="F3278">
        <v>952</v>
      </c>
      <c r="G3278" t="s">
        <v>30</v>
      </c>
    </row>
    <row r="3279" spans="1:7" x14ac:dyDescent="0.3">
      <c r="A3279">
        <v>33278</v>
      </c>
      <c r="B3279">
        <v>454</v>
      </c>
      <c r="C3279" s="2">
        <v>44864</v>
      </c>
      <c r="D3279" s="2" t="str">
        <f>TEXT(Table5[[#This Row],[bill_date]],"mmmm")</f>
        <v>October</v>
      </c>
      <c r="E3279" s="9">
        <f>YEAR(Table5[[#This Row],[bill_date]])</f>
        <v>2022</v>
      </c>
      <c r="F3279">
        <v>1073</v>
      </c>
      <c r="G3279" t="s">
        <v>30</v>
      </c>
    </row>
    <row r="3280" spans="1:7" x14ac:dyDescent="0.3">
      <c r="A3280">
        <v>33279</v>
      </c>
      <c r="B3280">
        <v>240</v>
      </c>
      <c r="C3280" s="2">
        <v>45313</v>
      </c>
      <c r="D3280" s="2" t="str">
        <f>TEXT(Table5[[#This Row],[bill_date]],"mmmm")</f>
        <v>January</v>
      </c>
      <c r="E3280" s="9">
        <f>YEAR(Table5[[#This Row],[bill_date]])</f>
        <v>2024</v>
      </c>
      <c r="F3280">
        <v>1466</v>
      </c>
      <c r="G3280" t="s">
        <v>30</v>
      </c>
    </row>
    <row r="3281" spans="1:7" x14ac:dyDescent="0.3">
      <c r="A3281">
        <v>33280</v>
      </c>
      <c r="B3281">
        <v>96</v>
      </c>
      <c r="C3281" s="2">
        <v>45209</v>
      </c>
      <c r="D3281" s="2" t="str">
        <f>TEXT(Table5[[#This Row],[bill_date]],"mmmm")</f>
        <v>October</v>
      </c>
      <c r="E3281" s="9">
        <f>YEAR(Table5[[#This Row],[bill_date]])</f>
        <v>2023</v>
      </c>
      <c r="F3281">
        <v>1901</v>
      </c>
      <c r="G3281" t="s">
        <v>30</v>
      </c>
    </row>
    <row r="3282" spans="1:7" x14ac:dyDescent="0.3">
      <c r="A3282">
        <v>33281</v>
      </c>
      <c r="B3282">
        <v>2</v>
      </c>
      <c r="C3282" s="2">
        <v>45078</v>
      </c>
      <c r="D3282" s="2" t="str">
        <f>TEXT(Table5[[#This Row],[bill_date]],"mmmm")</f>
        <v>June</v>
      </c>
      <c r="E3282" s="9">
        <f>YEAR(Table5[[#This Row],[bill_date]])</f>
        <v>2023</v>
      </c>
      <c r="F3282">
        <v>1488</v>
      </c>
      <c r="G3282" t="s">
        <v>28</v>
      </c>
    </row>
    <row r="3283" spans="1:7" x14ac:dyDescent="0.3">
      <c r="A3283">
        <v>33282</v>
      </c>
      <c r="B3283">
        <v>202</v>
      </c>
      <c r="C3283" s="2">
        <v>44770</v>
      </c>
      <c r="D3283" s="2" t="str">
        <f>TEXT(Table5[[#This Row],[bill_date]],"mmmm")</f>
        <v>July</v>
      </c>
      <c r="E3283" s="9">
        <f>YEAR(Table5[[#This Row],[bill_date]])</f>
        <v>2022</v>
      </c>
      <c r="F3283">
        <v>249</v>
      </c>
      <c r="G3283" t="s">
        <v>30</v>
      </c>
    </row>
    <row r="3284" spans="1:7" x14ac:dyDescent="0.3">
      <c r="A3284">
        <v>33283</v>
      </c>
      <c r="B3284">
        <v>37</v>
      </c>
      <c r="C3284" s="2">
        <v>44648</v>
      </c>
      <c r="D3284" s="2" t="str">
        <f>TEXT(Table5[[#This Row],[bill_date]],"mmmm")</f>
        <v>March</v>
      </c>
      <c r="E3284" s="9">
        <f>YEAR(Table5[[#This Row],[bill_date]])</f>
        <v>2022</v>
      </c>
      <c r="F3284">
        <v>307</v>
      </c>
      <c r="G3284" t="s">
        <v>30</v>
      </c>
    </row>
    <row r="3285" spans="1:7" x14ac:dyDescent="0.3">
      <c r="A3285">
        <v>33284</v>
      </c>
      <c r="B3285">
        <v>91</v>
      </c>
      <c r="C3285" s="2">
        <v>45420</v>
      </c>
      <c r="D3285" s="2" t="str">
        <f>TEXT(Table5[[#This Row],[bill_date]],"mmmm")</f>
        <v>May</v>
      </c>
      <c r="E3285" s="9">
        <f>YEAR(Table5[[#This Row],[bill_date]])</f>
        <v>2024</v>
      </c>
      <c r="F3285">
        <v>1620</v>
      </c>
      <c r="G3285" t="s">
        <v>30</v>
      </c>
    </row>
    <row r="3286" spans="1:7" x14ac:dyDescent="0.3">
      <c r="A3286">
        <v>33285</v>
      </c>
      <c r="B3286">
        <v>233</v>
      </c>
      <c r="C3286" s="2">
        <v>44880</v>
      </c>
      <c r="D3286" s="2" t="str">
        <f>TEXT(Table5[[#This Row],[bill_date]],"mmmm")</f>
        <v>November</v>
      </c>
      <c r="E3286" s="9">
        <f>YEAR(Table5[[#This Row],[bill_date]])</f>
        <v>2022</v>
      </c>
      <c r="F3286">
        <v>1557</v>
      </c>
      <c r="G3286" t="s">
        <v>30</v>
      </c>
    </row>
    <row r="3287" spans="1:7" x14ac:dyDescent="0.3">
      <c r="A3287">
        <v>33286</v>
      </c>
      <c r="B3287">
        <v>147</v>
      </c>
      <c r="C3287" s="2">
        <v>45350</v>
      </c>
      <c r="D3287" s="2" t="str">
        <f>TEXT(Table5[[#This Row],[bill_date]],"mmmm")</f>
        <v>February</v>
      </c>
      <c r="E3287" s="9">
        <f>YEAR(Table5[[#This Row],[bill_date]])</f>
        <v>2024</v>
      </c>
      <c r="F3287">
        <v>332</v>
      </c>
      <c r="G3287" t="s">
        <v>30</v>
      </c>
    </row>
    <row r="3288" spans="1:7" x14ac:dyDescent="0.3">
      <c r="A3288">
        <v>33287</v>
      </c>
      <c r="B3288">
        <v>499</v>
      </c>
      <c r="C3288" s="2">
        <v>45448</v>
      </c>
      <c r="D3288" s="2" t="str">
        <f>TEXT(Table5[[#This Row],[bill_date]],"mmmm")</f>
        <v>June</v>
      </c>
      <c r="E3288" s="9">
        <f>YEAR(Table5[[#This Row],[bill_date]])</f>
        <v>2024</v>
      </c>
      <c r="F3288">
        <v>1901</v>
      </c>
      <c r="G3288" t="s">
        <v>30</v>
      </c>
    </row>
    <row r="3289" spans="1:7" x14ac:dyDescent="0.3">
      <c r="A3289">
        <v>33288</v>
      </c>
      <c r="B3289">
        <v>297</v>
      </c>
      <c r="C3289" s="2">
        <v>45194</v>
      </c>
      <c r="D3289" s="2" t="str">
        <f>TEXT(Table5[[#This Row],[bill_date]],"mmmm")</f>
        <v>September</v>
      </c>
      <c r="E3289" s="9">
        <f>YEAR(Table5[[#This Row],[bill_date]])</f>
        <v>2023</v>
      </c>
      <c r="F3289">
        <v>278</v>
      </c>
      <c r="G3289" t="s">
        <v>30</v>
      </c>
    </row>
    <row r="3290" spans="1:7" x14ac:dyDescent="0.3">
      <c r="A3290">
        <v>33289</v>
      </c>
      <c r="B3290">
        <v>400</v>
      </c>
      <c r="C3290" s="2">
        <v>44806</v>
      </c>
      <c r="D3290" s="2" t="str">
        <f>TEXT(Table5[[#This Row],[bill_date]],"mmmm")</f>
        <v>September</v>
      </c>
      <c r="E3290" s="9">
        <f>YEAR(Table5[[#This Row],[bill_date]])</f>
        <v>2022</v>
      </c>
      <c r="F3290">
        <v>1205</v>
      </c>
      <c r="G3290" t="s">
        <v>30</v>
      </c>
    </row>
    <row r="3291" spans="1:7" x14ac:dyDescent="0.3">
      <c r="A3291">
        <v>33290</v>
      </c>
      <c r="B3291">
        <v>253</v>
      </c>
      <c r="C3291" s="2">
        <v>45431</v>
      </c>
      <c r="D3291" s="2" t="str">
        <f>TEXT(Table5[[#This Row],[bill_date]],"mmmm")</f>
        <v>May</v>
      </c>
      <c r="E3291" s="9">
        <f>YEAR(Table5[[#This Row],[bill_date]])</f>
        <v>2024</v>
      </c>
      <c r="F3291">
        <v>536</v>
      </c>
      <c r="G3291" t="s">
        <v>30</v>
      </c>
    </row>
    <row r="3292" spans="1:7" x14ac:dyDescent="0.3">
      <c r="A3292">
        <v>33291</v>
      </c>
      <c r="B3292">
        <v>371</v>
      </c>
      <c r="C3292" s="2">
        <v>44651</v>
      </c>
      <c r="D3292" s="2" t="str">
        <f>TEXT(Table5[[#This Row],[bill_date]],"mmmm")</f>
        <v>March</v>
      </c>
      <c r="E3292" s="9">
        <f>YEAR(Table5[[#This Row],[bill_date]])</f>
        <v>2022</v>
      </c>
      <c r="F3292">
        <v>1833</v>
      </c>
      <c r="G3292" t="s">
        <v>30</v>
      </c>
    </row>
    <row r="3293" spans="1:7" x14ac:dyDescent="0.3">
      <c r="A3293">
        <v>33292</v>
      </c>
      <c r="B3293">
        <v>212</v>
      </c>
      <c r="C3293" s="2">
        <v>45039</v>
      </c>
      <c r="D3293" s="2" t="str">
        <f>TEXT(Table5[[#This Row],[bill_date]],"mmmm")</f>
        <v>April</v>
      </c>
      <c r="E3293" s="9">
        <f>YEAR(Table5[[#This Row],[bill_date]])</f>
        <v>2023</v>
      </c>
      <c r="F3293">
        <v>630</v>
      </c>
      <c r="G3293" t="s">
        <v>28</v>
      </c>
    </row>
    <row r="3294" spans="1:7" x14ac:dyDescent="0.3">
      <c r="A3294">
        <v>33293</v>
      </c>
      <c r="B3294">
        <v>444</v>
      </c>
      <c r="C3294" s="2">
        <v>45213</v>
      </c>
      <c r="D3294" s="2" t="str">
        <f>TEXT(Table5[[#This Row],[bill_date]],"mmmm")</f>
        <v>October</v>
      </c>
      <c r="E3294" s="9">
        <f>YEAR(Table5[[#This Row],[bill_date]])</f>
        <v>2023</v>
      </c>
      <c r="F3294">
        <v>1887</v>
      </c>
      <c r="G3294" t="s">
        <v>30</v>
      </c>
    </row>
    <row r="3295" spans="1:7" x14ac:dyDescent="0.3">
      <c r="A3295">
        <v>33294</v>
      </c>
      <c r="B3295">
        <v>441</v>
      </c>
      <c r="C3295" s="2">
        <v>44673</v>
      </c>
      <c r="D3295" s="2" t="str">
        <f>TEXT(Table5[[#This Row],[bill_date]],"mmmm")</f>
        <v>April</v>
      </c>
      <c r="E3295" s="9">
        <f>YEAR(Table5[[#This Row],[bill_date]])</f>
        <v>2022</v>
      </c>
      <c r="F3295">
        <v>1703</v>
      </c>
      <c r="G3295" t="s">
        <v>30</v>
      </c>
    </row>
    <row r="3296" spans="1:7" x14ac:dyDescent="0.3">
      <c r="A3296">
        <v>33295</v>
      </c>
      <c r="B3296">
        <v>484</v>
      </c>
      <c r="C3296" s="2">
        <v>44955</v>
      </c>
      <c r="D3296" s="2" t="str">
        <f>TEXT(Table5[[#This Row],[bill_date]],"mmmm")</f>
        <v>January</v>
      </c>
      <c r="E3296" s="9">
        <f>YEAR(Table5[[#This Row],[bill_date]])</f>
        <v>2023</v>
      </c>
      <c r="F3296">
        <v>1086</v>
      </c>
      <c r="G3296" t="s">
        <v>30</v>
      </c>
    </row>
    <row r="3297" spans="1:7" x14ac:dyDescent="0.3">
      <c r="A3297">
        <v>33296</v>
      </c>
      <c r="B3297">
        <v>64</v>
      </c>
      <c r="C3297" s="2">
        <v>45448</v>
      </c>
      <c r="D3297" s="2" t="str">
        <f>TEXT(Table5[[#This Row],[bill_date]],"mmmm")</f>
        <v>June</v>
      </c>
      <c r="E3297" s="9">
        <f>YEAR(Table5[[#This Row],[bill_date]])</f>
        <v>2024</v>
      </c>
      <c r="F3297">
        <v>1511</v>
      </c>
      <c r="G3297" t="s">
        <v>30</v>
      </c>
    </row>
    <row r="3298" spans="1:7" x14ac:dyDescent="0.3">
      <c r="A3298">
        <v>33297</v>
      </c>
      <c r="B3298">
        <v>5</v>
      </c>
      <c r="C3298" s="2">
        <v>44801</v>
      </c>
      <c r="D3298" s="2" t="str">
        <f>TEXT(Table5[[#This Row],[bill_date]],"mmmm")</f>
        <v>August</v>
      </c>
      <c r="E3298" s="9">
        <f>YEAR(Table5[[#This Row],[bill_date]])</f>
        <v>2022</v>
      </c>
      <c r="F3298">
        <v>1817</v>
      </c>
      <c r="G3298" t="s">
        <v>28</v>
      </c>
    </row>
    <row r="3299" spans="1:7" x14ac:dyDescent="0.3">
      <c r="A3299">
        <v>33298</v>
      </c>
      <c r="B3299">
        <v>146</v>
      </c>
      <c r="C3299" s="2">
        <v>44833</v>
      </c>
      <c r="D3299" s="2" t="str">
        <f>TEXT(Table5[[#This Row],[bill_date]],"mmmm")</f>
        <v>September</v>
      </c>
      <c r="E3299" s="9">
        <f>YEAR(Table5[[#This Row],[bill_date]])</f>
        <v>2022</v>
      </c>
      <c r="F3299">
        <v>300</v>
      </c>
      <c r="G3299" t="s">
        <v>28</v>
      </c>
    </row>
    <row r="3300" spans="1:7" x14ac:dyDescent="0.3">
      <c r="A3300">
        <v>33299</v>
      </c>
      <c r="B3300">
        <v>72</v>
      </c>
      <c r="C3300" s="2">
        <v>44704</v>
      </c>
      <c r="D3300" s="2" t="str">
        <f>TEXT(Table5[[#This Row],[bill_date]],"mmmm")</f>
        <v>May</v>
      </c>
      <c r="E3300" s="9">
        <f>YEAR(Table5[[#This Row],[bill_date]])</f>
        <v>2022</v>
      </c>
      <c r="F3300">
        <v>529</v>
      </c>
      <c r="G3300" t="s">
        <v>30</v>
      </c>
    </row>
    <row r="3301" spans="1:7" x14ac:dyDescent="0.3">
      <c r="A3301">
        <v>33300</v>
      </c>
      <c r="B3301">
        <v>397</v>
      </c>
      <c r="C3301" s="2">
        <v>45280</v>
      </c>
      <c r="D3301" s="2" t="str">
        <f>TEXT(Table5[[#This Row],[bill_date]],"mmmm")</f>
        <v>December</v>
      </c>
      <c r="E3301" s="9">
        <f>YEAR(Table5[[#This Row],[bill_date]])</f>
        <v>2023</v>
      </c>
      <c r="F3301">
        <v>574</v>
      </c>
      <c r="G3301" t="s">
        <v>30</v>
      </c>
    </row>
    <row r="3302" spans="1:7" x14ac:dyDescent="0.3">
      <c r="A3302">
        <v>33301</v>
      </c>
      <c r="B3302">
        <v>105</v>
      </c>
      <c r="C3302" s="2">
        <v>44680</v>
      </c>
      <c r="D3302" s="2" t="str">
        <f>TEXT(Table5[[#This Row],[bill_date]],"mmmm")</f>
        <v>April</v>
      </c>
      <c r="E3302" s="9">
        <f>YEAR(Table5[[#This Row],[bill_date]])</f>
        <v>2022</v>
      </c>
      <c r="F3302">
        <v>429</v>
      </c>
      <c r="G3302" t="s">
        <v>29</v>
      </c>
    </row>
    <row r="3303" spans="1:7" x14ac:dyDescent="0.3">
      <c r="A3303">
        <v>33302</v>
      </c>
      <c r="B3303">
        <v>330</v>
      </c>
      <c r="C3303" s="2">
        <v>45157</v>
      </c>
      <c r="D3303" s="2" t="str">
        <f>TEXT(Table5[[#This Row],[bill_date]],"mmmm")</f>
        <v>August</v>
      </c>
      <c r="E3303" s="9">
        <f>YEAR(Table5[[#This Row],[bill_date]])</f>
        <v>2023</v>
      </c>
      <c r="F3303">
        <v>1673</v>
      </c>
      <c r="G3303" t="s">
        <v>30</v>
      </c>
    </row>
    <row r="3304" spans="1:7" x14ac:dyDescent="0.3">
      <c r="A3304">
        <v>33303</v>
      </c>
      <c r="B3304">
        <v>36</v>
      </c>
      <c r="C3304" s="2">
        <v>45461</v>
      </c>
      <c r="D3304" s="2" t="str">
        <f>TEXT(Table5[[#This Row],[bill_date]],"mmmm")</f>
        <v>June</v>
      </c>
      <c r="E3304" s="9">
        <f>YEAR(Table5[[#This Row],[bill_date]])</f>
        <v>2024</v>
      </c>
      <c r="F3304">
        <v>962</v>
      </c>
      <c r="G3304" t="s">
        <v>30</v>
      </c>
    </row>
    <row r="3305" spans="1:7" x14ac:dyDescent="0.3">
      <c r="A3305">
        <v>33304</v>
      </c>
      <c r="B3305">
        <v>147</v>
      </c>
      <c r="C3305" s="2">
        <v>44812</v>
      </c>
      <c r="D3305" s="2" t="str">
        <f>TEXT(Table5[[#This Row],[bill_date]],"mmmm")</f>
        <v>September</v>
      </c>
      <c r="E3305" s="9">
        <f>YEAR(Table5[[#This Row],[bill_date]])</f>
        <v>2022</v>
      </c>
      <c r="F3305">
        <v>1543</v>
      </c>
      <c r="G3305" t="s">
        <v>28</v>
      </c>
    </row>
    <row r="3306" spans="1:7" x14ac:dyDescent="0.3">
      <c r="A3306">
        <v>33305</v>
      </c>
      <c r="B3306">
        <v>415</v>
      </c>
      <c r="C3306" s="2">
        <v>44839</v>
      </c>
      <c r="D3306" s="2" t="str">
        <f>TEXT(Table5[[#This Row],[bill_date]],"mmmm")</f>
        <v>October</v>
      </c>
      <c r="E3306" s="9">
        <f>YEAR(Table5[[#This Row],[bill_date]])</f>
        <v>2022</v>
      </c>
      <c r="F3306">
        <v>622</v>
      </c>
      <c r="G3306" t="s">
        <v>30</v>
      </c>
    </row>
    <row r="3307" spans="1:7" x14ac:dyDescent="0.3">
      <c r="A3307">
        <v>33306</v>
      </c>
      <c r="B3307">
        <v>256</v>
      </c>
      <c r="C3307" s="2">
        <v>44724</v>
      </c>
      <c r="D3307" s="2" t="str">
        <f>TEXT(Table5[[#This Row],[bill_date]],"mmmm")</f>
        <v>June</v>
      </c>
      <c r="E3307" s="9">
        <f>YEAR(Table5[[#This Row],[bill_date]])</f>
        <v>2022</v>
      </c>
      <c r="F3307">
        <v>1247</v>
      </c>
      <c r="G3307" t="s">
        <v>30</v>
      </c>
    </row>
    <row r="3308" spans="1:7" x14ac:dyDescent="0.3">
      <c r="A3308">
        <v>33307</v>
      </c>
      <c r="B3308">
        <v>228</v>
      </c>
      <c r="C3308" s="2">
        <v>45215</v>
      </c>
      <c r="D3308" s="2" t="str">
        <f>TEXT(Table5[[#This Row],[bill_date]],"mmmm")</f>
        <v>October</v>
      </c>
      <c r="E3308" s="9">
        <f>YEAR(Table5[[#This Row],[bill_date]])</f>
        <v>2023</v>
      </c>
      <c r="F3308">
        <v>767</v>
      </c>
      <c r="G3308" t="s">
        <v>30</v>
      </c>
    </row>
    <row r="3309" spans="1:7" x14ac:dyDescent="0.3">
      <c r="A3309">
        <v>33308</v>
      </c>
      <c r="B3309">
        <v>349</v>
      </c>
      <c r="C3309" s="2">
        <v>44911</v>
      </c>
      <c r="D3309" s="2" t="str">
        <f>TEXT(Table5[[#This Row],[bill_date]],"mmmm")</f>
        <v>December</v>
      </c>
      <c r="E3309" s="9">
        <f>YEAR(Table5[[#This Row],[bill_date]])</f>
        <v>2022</v>
      </c>
      <c r="F3309">
        <v>614</v>
      </c>
      <c r="G3309" t="s">
        <v>30</v>
      </c>
    </row>
    <row r="3310" spans="1:7" x14ac:dyDescent="0.3">
      <c r="A3310">
        <v>33309</v>
      </c>
      <c r="B3310">
        <v>365</v>
      </c>
      <c r="C3310" s="2">
        <v>44592</v>
      </c>
      <c r="D3310" s="2" t="str">
        <f>TEXT(Table5[[#This Row],[bill_date]],"mmmm")</f>
        <v>January</v>
      </c>
      <c r="E3310" s="9">
        <f>YEAR(Table5[[#This Row],[bill_date]])</f>
        <v>2022</v>
      </c>
      <c r="F3310">
        <v>500</v>
      </c>
      <c r="G3310" t="s">
        <v>30</v>
      </c>
    </row>
    <row r="3311" spans="1:7" x14ac:dyDescent="0.3">
      <c r="A3311">
        <v>33310</v>
      </c>
      <c r="B3311">
        <v>279</v>
      </c>
      <c r="C3311" s="2">
        <v>45019</v>
      </c>
      <c r="D3311" s="2" t="str">
        <f>TEXT(Table5[[#This Row],[bill_date]],"mmmm")</f>
        <v>April</v>
      </c>
      <c r="E3311" s="9">
        <f>YEAR(Table5[[#This Row],[bill_date]])</f>
        <v>2023</v>
      </c>
      <c r="F3311">
        <v>1322</v>
      </c>
      <c r="G3311" t="s">
        <v>28</v>
      </c>
    </row>
    <row r="3312" spans="1:7" x14ac:dyDescent="0.3">
      <c r="A3312">
        <v>33311</v>
      </c>
      <c r="B3312">
        <v>416</v>
      </c>
      <c r="C3312" s="2">
        <v>45399</v>
      </c>
      <c r="D3312" s="2" t="str">
        <f>TEXT(Table5[[#This Row],[bill_date]],"mmmm")</f>
        <v>April</v>
      </c>
      <c r="E3312" s="9">
        <f>YEAR(Table5[[#This Row],[bill_date]])</f>
        <v>2024</v>
      </c>
      <c r="F3312">
        <v>1610</v>
      </c>
      <c r="G3312" t="s">
        <v>30</v>
      </c>
    </row>
    <row r="3313" spans="1:7" x14ac:dyDescent="0.3">
      <c r="A3313">
        <v>33312</v>
      </c>
      <c r="B3313">
        <v>113</v>
      </c>
      <c r="C3313" s="2">
        <v>44652</v>
      </c>
      <c r="D3313" s="2" t="str">
        <f>TEXT(Table5[[#This Row],[bill_date]],"mmmm")</f>
        <v>April</v>
      </c>
      <c r="E3313" s="9">
        <f>YEAR(Table5[[#This Row],[bill_date]])</f>
        <v>2022</v>
      </c>
      <c r="F3313">
        <v>317</v>
      </c>
      <c r="G3313" t="s">
        <v>30</v>
      </c>
    </row>
    <row r="3314" spans="1:7" x14ac:dyDescent="0.3">
      <c r="A3314">
        <v>33313</v>
      </c>
      <c r="B3314">
        <v>11</v>
      </c>
      <c r="C3314" s="2">
        <v>44689</v>
      </c>
      <c r="D3314" s="2" t="str">
        <f>TEXT(Table5[[#This Row],[bill_date]],"mmmm")</f>
        <v>May</v>
      </c>
      <c r="E3314" s="9">
        <f>YEAR(Table5[[#This Row],[bill_date]])</f>
        <v>2022</v>
      </c>
      <c r="F3314">
        <v>1885</v>
      </c>
      <c r="G3314" t="s">
        <v>30</v>
      </c>
    </row>
    <row r="3315" spans="1:7" x14ac:dyDescent="0.3">
      <c r="A3315">
        <v>33314</v>
      </c>
      <c r="B3315">
        <v>194</v>
      </c>
      <c r="C3315" s="2">
        <v>45340</v>
      </c>
      <c r="D3315" s="2" t="str">
        <f>TEXT(Table5[[#This Row],[bill_date]],"mmmm")</f>
        <v>February</v>
      </c>
      <c r="E3315" s="9">
        <f>YEAR(Table5[[#This Row],[bill_date]])</f>
        <v>2024</v>
      </c>
      <c r="F3315">
        <v>1814</v>
      </c>
      <c r="G3315" t="s">
        <v>28</v>
      </c>
    </row>
    <row r="3316" spans="1:7" x14ac:dyDescent="0.3">
      <c r="A3316">
        <v>33315</v>
      </c>
      <c r="B3316">
        <v>224</v>
      </c>
      <c r="C3316" s="2">
        <v>45109</v>
      </c>
      <c r="D3316" s="2" t="str">
        <f>TEXT(Table5[[#This Row],[bill_date]],"mmmm")</f>
        <v>July</v>
      </c>
      <c r="E3316" s="9">
        <f>YEAR(Table5[[#This Row],[bill_date]])</f>
        <v>2023</v>
      </c>
      <c r="F3316">
        <v>529</v>
      </c>
      <c r="G3316" t="s">
        <v>30</v>
      </c>
    </row>
    <row r="3317" spans="1:7" x14ac:dyDescent="0.3">
      <c r="A3317">
        <v>33316</v>
      </c>
      <c r="B3317">
        <v>250</v>
      </c>
      <c r="C3317" s="2">
        <v>45409</v>
      </c>
      <c r="D3317" s="2" t="str">
        <f>TEXT(Table5[[#This Row],[bill_date]],"mmmm")</f>
        <v>April</v>
      </c>
      <c r="E3317" s="9">
        <f>YEAR(Table5[[#This Row],[bill_date]])</f>
        <v>2024</v>
      </c>
      <c r="F3317">
        <v>860</v>
      </c>
      <c r="G3317" t="s">
        <v>30</v>
      </c>
    </row>
    <row r="3318" spans="1:7" x14ac:dyDescent="0.3">
      <c r="A3318">
        <v>33317</v>
      </c>
      <c r="B3318">
        <v>389</v>
      </c>
      <c r="C3318" s="2">
        <v>45353</v>
      </c>
      <c r="D3318" s="2" t="str">
        <f>TEXT(Table5[[#This Row],[bill_date]],"mmmm")</f>
        <v>March</v>
      </c>
      <c r="E3318" s="9">
        <f>YEAR(Table5[[#This Row],[bill_date]])</f>
        <v>2024</v>
      </c>
      <c r="F3318">
        <v>557</v>
      </c>
      <c r="G3318" t="s">
        <v>30</v>
      </c>
    </row>
    <row r="3319" spans="1:7" x14ac:dyDescent="0.3">
      <c r="A3319">
        <v>33318</v>
      </c>
      <c r="B3319">
        <v>249</v>
      </c>
      <c r="C3319" s="2">
        <v>45286</v>
      </c>
      <c r="D3319" s="2" t="str">
        <f>TEXT(Table5[[#This Row],[bill_date]],"mmmm")</f>
        <v>December</v>
      </c>
      <c r="E3319" s="9">
        <f>YEAR(Table5[[#This Row],[bill_date]])</f>
        <v>2023</v>
      </c>
      <c r="F3319">
        <v>1348</v>
      </c>
      <c r="G3319" t="s">
        <v>30</v>
      </c>
    </row>
    <row r="3320" spans="1:7" x14ac:dyDescent="0.3">
      <c r="A3320">
        <v>33319</v>
      </c>
      <c r="B3320">
        <v>351</v>
      </c>
      <c r="C3320" s="2">
        <v>45070</v>
      </c>
      <c r="D3320" s="2" t="str">
        <f>TEXT(Table5[[#This Row],[bill_date]],"mmmm")</f>
        <v>May</v>
      </c>
      <c r="E3320" s="9">
        <f>YEAR(Table5[[#This Row],[bill_date]])</f>
        <v>2023</v>
      </c>
      <c r="F3320">
        <v>487</v>
      </c>
      <c r="G3320" t="s">
        <v>28</v>
      </c>
    </row>
    <row r="3321" spans="1:7" x14ac:dyDescent="0.3">
      <c r="A3321">
        <v>33320</v>
      </c>
      <c r="B3321">
        <v>269</v>
      </c>
      <c r="C3321" s="2">
        <v>45306</v>
      </c>
      <c r="D3321" s="2" t="str">
        <f>TEXT(Table5[[#This Row],[bill_date]],"mmmm")</f>
        <v>January</v>
      </c>
      <c r="E3321" s="9">
        <f>YEAR(Table5[[#This Row],[bill_date]])</f>
        <v>2024</v>
      </c>
      <c r="F3321">
        <v>751</v>
      </c>
      <c r="G3321" t="s">
        <v>30</v>
      </c>
    </row>
    <row r="3322" spans="1:7" x14ac:dyDescent="0.3">
      <c r="A3322">
        <v>33321</v>
      </c>
      <c r="B3322">
        <v>342</v>
      </c>
      <c r="C3322" s="2">
        <v>45301</v>
      </c>
      <c r="D3322" s="2" t="str">
        <f>TEXT(Table5[[#This Row],[bill_date]],"mmmm")</f>
        <v>January</v>
      </c>
      <c r="E3322" s="9">
        <f>YEAR(Table5[[#This Row],[bill_date]])</f>
        <v>2024</v>
      </c>
      <c r="F3322">
        <v>1924</v>
      </c>
      <c r="G3322" t="s">
        <v>30</v>
      </c>
    </row>
    <row r="3323" spans="1:7" x14ac:dyDescent="0.3">
      <c r="A3323">
        <v>33322</v>
      </c>
      <c r="B3323">
        <v>448</v>
      </c>
      <c r="C3323" s="2">
        <v>45442</v>
      </c>
      <c r="D3323" s="2" t="str">
        <f>TEXT(Table5[[#This Row],[bill_date]],"mmmm")</f>
        <v>May</v>
      </c>
      <c r="E3323" s="9">
        <f>YEAR(Table5[[#This Row],[bill_date]])</f>
        <v>2024</v>
      </c>
      <c r="F3323">
        <v>638</v>
      </c>
      <c r="G3323" t="s">
        <v>30</v>
      </c>
    </row>
    <row r="3324" spans="1:7" x14ac:dyDescent="0.3">
      <c r="A3324">
        <v>33323</v>
      </c>
      <c r="B3324">
        <v>291</v>
      </c>
      <c r="C3324" s="2">
        <v>45371</v>
      </c>
      <c r="D3324" s="2" t="str">
        <f>TEXT(Table5[[#This Row],[bill_date]],"mmmm")</f>
        <v>March</v>
      </c>
      <c r="E3324" s="9">
        <f>YEAR(Table5[[#This Row],[bill_date]])</f>
        <v>2024</v>
      </c>
      <c r="F3324">
        <v>773</v>
      </c>
      <c r="G3324" t="s">
        <v>30</v>
      </c>
    </row>
    <row r="3325" spans="1:7" x14ac:dyDescent="0.3">
      <c r="A3325">
        <v>33324</v>
      </c>
      <c r="B3325">
        <v>83</v>
      </c>
      <c r="C3325" s="2">
        <v>44798</v>
      </c>
      <c r="D3325" s="2" t="str">
        <f>TEXT(Table5[[#This Row],[bill_date]],"mmmm")</f>
        <v>August</v>
      </c>
      <c r="E3325" s="9">
        <f>YEAR(Table5[[#This Row],[bill_date]])</f>
        <v>2022</v>
      </c>
      <c r="F3325">
        <v>915</v>
      </c>
      <c r="G3325" t="s">
        <v>30</v>
      </c>
    </row>
    <row r="3326" spans="1:7" x14ac:dyDescent="0.3">
      <c r="A3326">
        <v>33325</v>
      </c>
      <c r="B3326">
        <v>29</v>
      </c>
      <c r="C3326" s="2">
        <v>45094</v>
      </c>
      <c r="D3326" s="2" t="str">
        <f>TEXT(Table5[[#This Row],[bill_date]],"mmmm")</f>
        <v>June</v>
      </c>
      <c r="E3326" s="9">
        <f>YEAR(Table5[[#This Row],[bill_date]])</f>
        <v>2023</v>
      </c>
      <c r="F3326">
        <v>1563</v>
      </c>
      <c r="G3326" t="s">
        <v>30</v>
      </c>
    </row>
    <row r="3327" spans="1:7" x14ac:dyDescent="0.3">
      <c r="A3327">
        <v>33326</v>
      </c>
      <c r="B3327">
        <v>407</v>
      </c>
      <c r="C3327" s="2">
        <v>45169</v>
      </c>
      <c r="D3327" s="2" t="str">
        <f>TEXT(Table5[[#This Row],[bill_date]],"mmmm")</f>
        <v>August</v>
      </c>
      <c r="E3327" s="9">
        <f>YEAR(Table5[[#This Row],[bill_date]])</f>
        <v>2023</v>
      </c>
      <c r="F3327">
        <v>1426</v>
      </c>
      <c r="G3327" t="s">
        <v>30</v>
      </c>
    </row>
    <row r="3328" spans="1:7" x14ac:dyDescent="0.3">
      <c r="A3328">
        <v>33327</v>
      </c>
      <c r="B3328">
        <v>339</v>
      </c>
      <c r="C3328" s="2">
        <v>44612</v>
      </c>
      <c r="D3328" s="2" t="str">
        <f>TEXT(Table5[[#This Row],[bill_date]],"mmmm")</f>
        <v>February</v>
      </c>
      <c r="E3328" s="9">
        <f>YEAR(Table5[[#This Row],[bill_date]])</f>
        <v>2022</v>
      </c>
      <c r="F3328">
        <v>1401</v>
      </c>
      <c r="G3328" t="s">
        <v>30</v>
      </c>
    </row>
    <row r="3329" spans="1:7" x14ac:dyDescent="0.3">
      <c r="A3329">
        <v>33328</v>
      </c>
      <c r="B3329">
        <v>80</v>
      </c>
      <c r="C3329" s="2">
        <v>45410</v>
      </c>
      <c r="D3329" s="2" t="str">
        <f>TEXT(Table5[[#This Row],[bill_date]],"mmmm")</f>
        <v>April</v>
      </c>
      <c r="E3329" s="9">
        <f>YEAR(Table5[[#This Row],[bill_date]])</f>
        <v>2024</v>
      </c>
      <c r="F3329">
        <v>544</v>
      </c>
      <c r="G3329" t="s">
        <v>30</v>
      </c>
    </row>
    <row r="3330" spans="1:7" x14ac:dyDescent="0.3">
      <c r="A3330">
        <v>33329</v>
      </c>
      <c r="B3330">
        <v>95</v>
      </c>
      <c r="C3330" s="2">
        <v>45384</v>
      </c>
      <c r="D3330" s="2" t="str">
        <f>TEXT(Table5[[#This Row],[bill_date]],"mmmm")</f>
        <v>April</v>
      </c>
      <c r="E3330" s="9">
        <f>YEAR(Table5[[#This Row],[bill_date]])</f>
        <v>2024</v>
      </c>
      <c r="F3330">
        <v>1213</v>
      </c>
      <c r="G3330" t="s">
        <v>30</v>
      </c>
    </row>
    <row r="3331" spans="1:7" x14ac:dyDescent="0.3">
      <c r="A3331">
        <v>33330</v>
      </c>
      <c r="B3331">
        <v>400</v>
      </c>
      <c r="C3331" s="2">
        <v>45030</v>
      </c>
      <c r="D3331" s="2" t="str">
        <f>TEXT(Table5[[#This Row],[bill_date]],"mmmm")</f>
        <v>April</v>
      </c>
      <c r="E3331" s="9">
        <f>YEAR(Table5[[#This Row],[bill_date]])</f>
        <v>2023</v>
      </c>
      <c r="F3331">
        <v>1211</v>
      </c>
      <c r="G3331" t="s">
        <v>30</v>
      </c>
    </row>
    <row r="3332" spans="1:7" x14ac:dyDescent="0.3">
      <c r="A3332">
        <v>33331</v>
      </c>
      <c r="B3332">
        <v>410</v>
      </c>
      <c r="C3332" s="2">
        <v>45453</v>
      </c>
      <c r="D3332" s="2" t="str">
        <f>TEXT(Table5[[#This Row],[bill_date]],"mmmm")</f>
        <v>June</v>
      </c>
      <c r="E3332" s="9">
        <f>YEAR(Table5[[#This Row],[bill_date]])</f>
        <v>2024</v>
      </c>
      <c r="F3332">
        <v>1031</v>
      </c>
      <c r="G3332" t="s">
        <v>30</v>
      </c>
    </row>
    <row r="3333" spans="1:7" x14ac:dyDescent="0.3">
      <c r="A3333">
        <v>33332</v>
      </c>
      <c r="B3333">
        <v>259</v>
      </c>
      <c r="C3333" s="2">
        <v>44949</v>
      </c>
      <c r="D3333" s="2" t="str">
        <f>TEXT(Table5[[#This Row],[bill_date]],"mmmm")</f>
        <v>January</v>
      </c>
      <c r="E3333" s="9">
        <f>YEAR(Table5[[#This Row],[bill_date]])</f>
        <v>2023</v>
      </c>
      <c r="F3333">
        <v>303</v>
      </c>
      <c r="G3333" t="s">
        <v>30</v>
      </c>
    </row>
    <row r="3334" spans="1:7" x14ac:dyDescent="0.3">
      <c r="A3334">
        <v>33333</v>
      </c>
      <c r="B3334">
        <v>122</v>
      </c>
      <c r="C3334" s="2">
        <v>44623</v>
      </c>
      <c r="D3334" s="2" t="str">
        <f>TEXT(Table5[[#This Row],[bill_date]],"mmmm")</f>
        <v>March</v>
      </c>
      <c r="E3334" s="9">
        <f>YEAR(Table5[[#This Row],[bill_date]])</f>
        <v>2022</v>
      </c>
      <c r="F3334">
        <v>511</v>
      </c>
      <c r="G3334" t="s">
        <v>28</v>
      </c>
    </row>
    <row r="3335" spans="1:7" x14ac:dyDescent="0.3">
      <c r="A3335">
        <v>33334</v>
      </c>
      <c r="B3335">
        <v>124</v>
      </c>
      <c r="C3335" s="2">
        <v>44904</v>
      </c>
      <c r="D3335" s="2" t="str">
        <f>TEXT(Table5[[#This Row],[bill_date]],"mmmm")</f>
        <v>December</v>
      </c>
      <c r="E3335" s="9">
        <f>YEAR(Table5[[#This Row],[bill_date]])</f>
        <v>2022</v>
      </c>
      <c r="F3335">
        <v>284</v>
      </c>
      <c r="G3335" t="s">
        <v>30</v>
      </c>
    </row>
    <row r="3336" spans="1:7" x14ac:dyDescent="0.3">
      <c r="A3336">
        <v>33335</v>
      </c>
      <c r="B3336">
        <v>23</v>
      </c>
      <c r="C3336" s="2">
        <v>44714</v>
      </c>
      <c r="D3336" s="2" t="str">
        <f>TEXT(Table5[[#This Row],[bill_date]],"mmmm")</f>
        <v>June</v>
      </c>
      <c r="E3336" s="9">
        <f>YEAR(Table5[[#This Row],[bill_date]])</f>
        <v>2022</v>
      </c>
      <c r="F3336">
        <v>1663</v>
      </c>
      <c r="G3336" t="s">
        <v>30</v>
      </c>
    </row>
    <row r="3337" spans="1:7" x14ac:dyDescent="0.3">
      <c r="A3337">
        <v>33336</v>
      </c>
      <c r="B3337">
        <v>441</v>
      </c>
      <c r="C3337" s="2">
        <v>45297</v>
      </c>
      <c r="D3337" s="2" t="str">
        <f>TEXT(Table5[[#This Row],[bill_date]],"mmmm")</f>
        <v>January</v>
      </c>
      <c r="E3337" s="9">
        <f>YEAR(Table5[[#This Row],[bill_date]])</f>
        <v>2024</v>
      </c>
      <c r="F3337">
        <v>1702</v>
      </c>
      <c r="G3337" t="s">
        <v>30</v>
      </c>
    </row>
    <row r="3338" spans="1:7" x14ac:dyDescent="0.3">
      <c r="A3338">
        <v>33337</v>
      </c>
      <c r="B3338">
        <v>393</v>
      </c>
      <c r="C3338" s="2">
        <v>45215</v>
      </c>
      <c r="D3338" s="2" t="str">
        <f>TEXT(Table5[[#This Row],[bill_date]],"mmmm")</f>
        <v>October</v>
      </c>
      <c r="E3338" s="9">
        <f>YEAR(Table5[[#This Row],[bill_date]])</f>
        <v>2023</v>
      </c>
      <c r="F3338">
        <v>1550</v>
      </c>
      <c r="G3338" t="s">
        <v>30</v>
      </c>
    </row>
    <row r="3339" spans="1:7" x14ac:dyDescent="0.3">
      <c r="A3339">
        <v>33338</v>
      </c>
      <c r="B3339">
        <v>435</v>
      </c>
      <c r="C3339" s="2">
        <v>44602</v>
      </c>
      <c r="D3339" s="2" t="str">
        <f>TEXT(Table5[[#This Row],[bill_date]],"mmmm")</f>
        <v>February</v>
      </c>
      <c r="E3339" s="9">
        <f>YEAR(Table5[[#This Row],[bill_date]])</f>
        <v>2022</v>
      </c>
      <c r="F3339">
        <v>1473</v>
      </c>
      <c r="G3339" t="s">
        <v>30</v>
      </c>
    </row>
    <row r="3340" spans="1:7" x14ac:dyDescent="0.3">
      <c r="A3340">
        <v>33339</v>
      </c>
      <c r="B3340">
        <v>216</v>
      </c>
      <c r="C3340" s="2">
        <v>45047</v>
      </c>
      <c r="D3340" s="2" t="str">
        <f>TEXT(Table5[[#This Row],[bill_date]],"mmmm")</f>
        <v>May</v>
      </c>
      <c r="E3340" s="9">
        <f>YEAR(Table5[[#This Row],[bill_date]])</f>
        <v>2023</v>
      </c>
      <c r="F3340">
        <v>680</v>
      </c>
      <c r="G3340" t="s">
        <v>28</v>
      </c>
    </row>
    <row r="3341" spans="1:7" x14ac:dyDescent="0.3">
      <c r="A3341">
        <v>33340</v>
      </c>
      <c r="B3341">
        <v>289</v>
      </c>
      <c r="C3341" s="2">
        <v>45239</v>
      </c>
      <c r="D3341" s="2" t="str">
        <f>TEXT(Table5[[#This Row],[bill_date]],"mmmm")</f>
        <v>November</v>
      </c>
      <c r="E3341" s="9">
        <f>YEAR(Table5[[#This Row],[bill_date]])</f>
        <v>2023</v>
      </c>
      <c r="F3341">
        <v>1048</v>
      </c>
      <c r="G3341" t="s">
        <v>29</v>
      </c>
    </row>
    <row r="3342" spans="1:7" x14ac:dyDescent="0.3">
      <c r="A3342">
        <v>33341</v>
      </c>
      <c r="B3342">
        <v>462</v>
      </c>
      <c r="C3342" s="2">
        <v>45263</v>
      </c>
      <c r="D3342" s="2" t="str">
        <f>TEXT(Table5[[#This Row],[bill_date]],"mmmm")</f>
        <v>December</v>
      </c>
      <c r="E3342" s="9">
        <f>YEAR(Table5[[#This Row],[bill_date]])</f>
        <v>2023</v>
      </c>
      <c r="F3342">
        <v>1226</v>
      </c>
      <c r="G3342" t="s">
        <v>30</v>
      </c>
    </row>
    <row r="3343" spans="1:7" x14ac:dyDescent="0.3">
      <c r="A3343">
        <v>33342</v>
      </c>
      <c r="B3343">
        <v>92</v>
      </c>
      <c r="C3343" s="2">
        <v>45370</v>
      </c>
      <c r="D3343" s="2" t="str">
        <f>TEXT(Table5[[#This Row],[bill_date]],"mmmm")</f>
        <v>March</v>
      </c>
      <c r="E3343" s="9">
        <f>YEAR(Table5[[#This Row],[bill_date]])</f>
        <v>2024</v>
      </c>
      <c r="F3343">
        <v>1406</v>
      </c>
      <c r="G3343" t="s">
        <v>30</v>
      </c>
    </row>
    <row r="3344" spans="1:7" x14ac:dyDescent="0.3">
      <c r="A3344">
        <v>33343</v>
      </c>
      <c r="B3344">
        <v>24</v>
      </c>
      <c r="C3344" s="2">
        <v>45118</v>
      </c>
      <c r="D3344" s="2" t="str">
        <f>TEXT(Table5[[#This Row],[bill_date]],"mmmm")</f>
        <v>July</v>
      </c>
      <c r="E3344" s="9">
        <f>YEAR(Table5[[#This Row],[bill_date]])</f>
        <v>2023</v>
      </c>
      <c r="F3344">
        <v>1915</v>
      </c>
      <c r="G3344" t="s">
        <v>30</v>
      </c>
    </row>
    <row r="3345" spans="1:7" x14ac:dyDescent="0.3">
      <c r="A3345">
        <v>33344</v>
      </c>
      <c r="B3345">
        <v>107</v>
      </c>
      <c r="C3345" s="2">
        <v>45281</v>
      </c>
      <c r="D3345" s="2" t="str">
        <f>TEXT(Table5[[#This Row],[bill_date]],"mmmm")</f>
        <v>December</v>
      </c>
      <c r="E3345" s="9">
        <f>YEAR(Table5[[#This Row],[bill_date]])</f>
        <v>2023</v>
      </c>
      <c r="F3345">
        <v>498</v>
      </c>
      <c r="G3345" t="s">
        <v>30</v>
      </c>
    </row>
    <row r="3346" spans="1:7" x14ac:dyDescent="0.3">
      <c r="A3346">
        <v>33345</v>
      </c>
      <c r="B3346">
        <v>306</v>
      </c>
      <c r="C3346" s="2">
        <v>44943</v>
      </c>
      <c r="D3346" s="2" t="str">
        <f>TEXT(Table5[[#This Row],[bill_date]],"mmmm")</f>
        <v>January</v>
      </c>
      <c r="E3346" s="9">
        <f>YEAR(Table5[[#This Row],[bill_date]])</f>
        <v>2023</v>
      </c>
      <c r="F3346">
        <v>726</v>
      </c>
      <c r="G3346" t="s">
        <v>30</v>
      </c>
    </row>
    <row r="3347" spans="1:7" x14ac:dyDescent="0.3">
      <c r="A3347">
        <v>33346</v>
      </c>
      <c r="B3347">
        <v>52</v>
      </c>
      <c r="C3347" s="2">
        <v>44657</v>
      </c>
      <c r="D3347" s="2" t="str">
        <f>TEXT(Table5[[#This Row],[bill_date]],"mmmm")</f>
        <v>April</v>
      </c>
      <c r="E3347" s="9">
        <f>YEAR(Table5[[#This Row],[bill_date]])</f>
        <v>2022</v>
      </c>
      <c r="F3347">
        <v>804</v>
      </c>
      <c r="G3347" t="s">
        <v>30</v>
      </c>
    </row>
    <row r="3348" spans="1:7" x14ac:dyDescent="0.3">
      <c r="A3348">
        <v>33347</v>
      </c>
      <c r="B3348">
        <v>199</v>
      </c>
      <c r="C3348" s="2">
        <v>45348</v>
      </c>
      <c r="D3348" s="2" t="str">
        <f>TEXT(Table5[[#This Row],[bill_date]],"mmmm")</f>
        <v>February</v>
      </c>
      <c r="E3348" s="9">
        <f>YEAR(Table5[[#This Row],[bill_date]])</f>
        <v>2024</v>
      </c>
      <c r="F3348">
        <v>1125</v>
      </c>
      <c r="G3348" t="s">
        <v>30</v>
      </c>
    </row>
    <row r="3349" spans="1:7" x14ac:dyDescent="0.3">
      <c r="A3349">
        <v>33348</v>
      </c>
      <c r="B3349">
        <v>294</v>
      </c>
      <c r="C3349" s="2">
        <v>44854</v>
      </c>
      <c r="D3349" s="2" t="str">
        <f>TEXT(Table5[[#This Row],[bill_date]],"mmmm")</f>
        <v>October</v>
      </c>
      <c r="E3349" s="9">
        <f>YEAR(Table5[[#This Row],[bill_date]])</f>
        <v>2022</v>
      </c>
      <c r="F3349">
        <v>1378</v>
      </c>
      <c r="G3349" t="s">
        <v>29</v>
      </c>
    </row>
    <row r="3350" spans="1:7" x14ac:dyDescent="0.3">
      <c r="A3350">
        <v>33349</v>
      </c>
      <c r="B3350">
        <v>300</v>
      </c>
      <c r="C3350" s="2">
        <v>44796</v>
      </c>
      <c r="D3350" s="2" t="str">
        <f>TEXT(Table5[[#This Row],[bill_date]],"mmmm")</f>
        <v>August</v>
      </c>
      <c r="E3350" s="9">
        <f>YEAR(Table5[[#This Row],[bill_date]])</f>
        <v>2022</v>
      </c>
      <c r="F3350">
        <v>1656</v>
      </c>
      <c r="G3350" t="s">
        <v>30</v>
      </c>
    </row>
    <row r="3351" spans="1:7" x14ac:dyDescent="0.3">
      <c r="A3351">
        <v>33350</v>
      </c>
      <c r="B3351">
        <v>345</v>
      </c>
      <c r="C3351" s="2">
        <v>44902</v>
      </c>
      <c r="D3351" s="2" t="str">
        <f>TEXT(Table5[[#This Row],[bill_date]],"mmmm")</f>
        <v>December</v>
      </c>
      <c r="E3351" s="9">
        <f>YEAR(Table5[[#This Row],[bill_date]])</f>
        <v>2022</v>
      </c>
      <c r="F3351">
        <v>1579</v>
      </c>
      <c r="G3351" t="s">
        <v>30</v>
      </c>
    </row>
    <row r="3352" spans="1:7" x14ac:dyDescent="0.3">
      <c r="A3352">
        <v>33351</v>
      </c>
      <c r="B3352">
        <v>382</v>
      </c>
      <c r="C3352" s="2">
        <v>45280</v>
      </c>
      <c r="D3352" s="2" t="str">
        <f>TEXT(Table5[[#This Row],[bill_date]],"mmmm")</f>
        <v>December</v>
      </c>
      <c r="E3352" s="9">
        <f>YEAR(Table5[[#This Row],[bill_date]])</f>
        <v>2023</v>
      </c>
      <c r="F3352">
        <v>1750</v>
      </c>
      <c r="G3352" t="s">
        <v>30</v>
      </c>
    </row>
    <row r="3353" spans="1:7" x14ac:dyDescent="0.3">
      <c r="A3353">
        <v>33352</v>
      </c>
      <c r="B3353">
        <v>56</v>
      </c>
      <c r="C3353" s="2">
        <v>45099</v>
      </c>
      <c r="D3353" s="2" t="str">
        <f>TEXT(Table5[[#This Row],[bill_date]],"mmmm")</f>
        <v>June</v>
      </c>
      <c r="E3353" s="9">
        <f>YEAR(Table5[[#This Row],[bill_date]])</f>
        <v>2023</v>
      </c>
      <c r="F3353">
        <v>1263</v>
      </c>
      <c r="G3353" t="s">
        <v>30</v>
      </c>
    </row>
    <row r="3354" spans="1:7" x14ac:dyDescent="0.3">
      <c r="A3354">
        <v>33353</v>
      </c>
      <c r="B3354">
        <v>194</v>
      </c>
      <c r="C3354" s="2">
        <v>44911</v>
      </c>
      <c r="D3354" s="2" t="str">
        <f>TEXT(Table5[[#This Row],[bill_date]],"mmmm")</f>
        <v>December</v>
      </c>
      <c r="E3354" s="9">
        <f>YEAR(Table5[[#This Row],[bill_date]])</f>
        <v>2022</v>
      </c>
      <c r="F3354">
        <v>847</v>
      </c>
      <c r="G3354" t="s">
        <v>30</v>
      </c>
    </row>
    <row r="3355" spans="1:7" x14ac:dyDescent="0.3">
      <c r="A3355">
        <v>33354</v>
      </c>
      <c r="B3355">
        <v>45</v>
      </c>
      <c r="C3355" s="2">
        <v>45433</v>
      </c>
      <c r="D3355" s="2" t="str">
        <f>TEXT(Table5[[#This Row],[bill_date]],"mmmm")</f>
        <v>May</v>
      </c>
      <c r="E3355" s="9">
        <f>YEAR(Table5[[#This Row],[bill_date]])</f>
        <v>2024</v>
      </c>
      <c r="F3355">
        <v>1480</v>
      </c>
      <c r="G3355" t="s">
        <v>30</v>
      </c>
    </row>
    <row r="3356" spans="1:7" x14ac:dyDescent="0.3">
      <c r="A3356">
        <v>33355</v>
      </c>
      <c r="B3356">
        <v>436</v>
      </c>
      <c r="C3356" s="2">
        <v>44768</v>
      </c>
      <c r="D3356" s="2" t="str">
        <f>TEXT(Table5[[#This Row],[bill_date]],"mmmm")</f>
        <v>July</v>
      </c>
      <c r="E3356" s="9">
        <f>YEAR(Table5[[#This Row],[bill_date]])</f>
        <v>2022</v>
      </c>
      <c r="F3356">
        <v>1588</v>
      </c>
      <c r="G3356" t="s">
        <v>30</v>
      </c>
    </row>
    <row r="3357" spans="1:7" x14ac:dyDescent="0.3">
      <c r="A3357">
        <v>33356</v>
      </c>
      <c r="B3357">
        <v>385</v>
      </c>
      <c r="C3357" s="2">
        <v>45052</v>
      </c>
      <c r="D3357" s="2" t="str">
        <f>TEXT(Table5[[#This Row],[bill_date]],"mmmm")</f>
        <v>May</v>
      </c>
      <c r="E3357" s="9">
        <f>YEAR(Table5[[#This Row],[bill_date]])</f>
        <v>2023</v>
      </c>
      <c r="F3357">
        <v>753</v>
      </c>
      <c r="G3357" t="s">
        <v>30</v>
      </c>
    </row>
    <row r="3358" spans="1:7" x14ac:dyDescent="0.3">
      <c r="A3358">
        <v>33357</v>
      </c>
      <c r="B3358">
        <v>343</v>
      </c>
      <c r="C3358" s="2">
        <v>44942</v>
      </c>
      <c r="D3358" s="2" t="str">
        <f>TEXT(Table5[[#This Row],[bill_date]],"mmmm")</f>
        <v>January</v>
      </c>
      <c r="E3358" s="9">
        <f>YEAR(Table5[[#This Row],[bill_date]])</f>
        <v>2023</v>
      </c>
      <c r="F3358">
        <v>1288</v>
      </c>
      <c r="G3358" t="s">
        <v>30</v>
      </c>
    </row>
    <row r="3359" spans="1:7" x14ac:dyDescent="0.3">
      <c r="A3359">
        <v>33358</v>
      </c>
      <c r="B3359">
        <v>239</v>
      </c>
      <c r="C3359" s="2">
        <v>44702</v>
      </c>
      <c r="D3359" s="2" t="str">
        <f>TEXT(Table5[[#This Row],[bill_date]],"mmmm")</f>
        <v>May</v>
      </c>
      <c r="E3359" s="9">
        <f>YEAR(Table5[[#This Row],[bill_date]])</f>
        <v>2022</v>
      </c>
      <c r="F3359">
        <v>1430</v>
      </c>
      <c r="G3359" t="s">
        <v>30</v>
      </c>
    </row>
    <row r="3360" spans="1:7" x14ac:dyDescent="0.3">
      <c r="A3360">
        <v>33359</v>
      </c>
      <c r="B3360">
        <v>372</v>
      </c>
      <c r="C3360" s="2">
        <v>45420</v>
      </c>
      <c r="D3360" s="2" t="str">
        <f>TEXT(Table5[[#This Row],[bill_date]],"mmmm")</f>
        <v>May</v>
      </c>
      <c r="E3360" s="9">
        <f>YEAR(Table5[[#This Row],[bill_date]])</f>
        <v>2024</v>
      </c>
      <c r="F3360">
        <v>443</v>
      </c>
      <c r="G3360" t="s">
        <v>30</v>
      </c>
    </row>
    <row r="3361" spans="1:7" x14ac:dyDescent="0.3">
      <c r="A3361">
        <v>33360</v>
      </c>
      <c r="B3361">
        <v>232</v>
      </c>
      <c r="C3361" s="2">
        <v>45160</v>
      </c>
      <c r="D3361" s="2" t="str">
        <f>TEXT(Table5[[#This Row],[bill_date]],"mmmm")</f>
        <v>August</v>
      </c>
      <c r="E3361" s="9">
        <f>YEAR(Table5[[#This Row],[bill_date]])</f>
        <v>2023</v>
      </c>
      <c r="F3361">
        <v>1465</v>
      </c>
      <c r="G3361" t="s">
        <v>30</v>
      </c>
    </row>
    <row r="3362" spans="1:7" x14ac:dyDescent="0.3">
      <c r="A3362">
        <v>33361</v>
      </c>
      <c r="B3362">
        <v>466</v>
      </c>
      <c r="C3362" s="2">
        <v>45452</v>
      </c>
      <c r="D3362" s="2" t="str">
        <f>TEXT(Table5[[#This Row],[bill_date]],"mmmm")</f>
        <v>June</v>
      </c>
      <c r="E3362" s="9">
        <f>YEAR(Table5[[#This Row],[bill_date]])</f>
        <v>2024</v>
      </c>
      <c r="F3362">
        <v>787</v>
      </c>
      <c r="G3362" t="s">
        <v>30</v>
      </c>
    </row>
    <row r="3363" spans="1:7" x14ac:dyDescent="0.3">
      <c r="A3363">
        <v>33362</v>
      </c>
      <c r="B3363">
        <v>320</v>
      </c>
      <c r="C3363" s="2">
        <v>45171</v>
      </c>
      <c r="D3363" s="2" t="str">
        <f>TEXT(Table5[[#This Row],[bill_date]],"mmmm")</f>
        <v>September</v>
      </c>
      <c r="E3363" s="9">
        <f>YEAR(Table5[[#This Row],[bill_date]])</f>
        <v>2023</v>
      </c>
      <c r="F3363">
        <v>929</v>
      </c>
      <c r="G3363" t="s">
        <v>30</v>
      </c>
    </row>
    <row r="3364" spans="1:7" x14ac:dyDescent="0.3">
      <c r="A3364">
        <v>33363</v>
      </c>
      <c r="B3364">
        <v>239</v>
      </c>
      <c r="C3364" s="2">
        <v>44584</v>
      </c>
      <c r="D3364" s="2" t="str">
        <f>TEXT(Table5[[#This Row],[bill_date]],"mmmm")</f>
        <v>January</v>
      </c>
      <c r="E3364" s="9">
        <f>YEAR(Table5[[#This Row],[bill_date]])</f>
        <v>2022</v>
      </c>
      <c r="F3364">
        <v>1603</v>
      </c>
      <c r="G3364" t="s">
        <v>30</v>
      </c>
    </row>
    <row r="3365" spans="1:7" x14ac:dyDescent="0.3">
      <c r="A3365">
        <v>33364</v>
      </c>
      <c r="B3365">
        <v>392</v>
      </c>
      <c r="C3365" s="2">
        <v>45323</v>
      </c>
      <c r="D3365" s="2" t="str">
        <f>TEXT(Table5[[#This Row],[bill_date]],"mmmm")</f>
        <v>February</v>
      </c>
      <c r="E3365" s="9">
        <f>YEAR(Table5[[#This Row],[bill_date]])</f>
        <v>2024</v>
      </c>
      <c r="F3365">
        <v>1445</v>
      </c>
      <c r="G3365" t="s">
        <v>30</v>
      </c>
    </row>
    <row r="3366" spans="1:7" x14ac:dyDescent="0.3">
      <c r="A3366">
        <v>33365</v>
      </c>
      <c r="B3366">
        <v>482</v>
      </c>
      <c r="C3366" s="2">
        <v>44925</v>
      </c>
      <c r="D3366" s="2" t="str">
        <f>TEXT(Table5[[#This Row],[bill_date]],"mmmm")</f>
        <v>December</v>
      </c>
      <c r="E3366" s="9">
        <f>YEAR(Table5[[#This Row],[bill_date]])</f>
        <v>2022</v>
      </c>
      <c r="F3366">
        <v>1243</v>
      </c>
      <c r="G3366" t="s">
        <v>30</v>
      </c>
    </row>
    <row r="3367" spans="1:7" x14ac:dyDescent="0.3">
      <c r="A3367">
        <v>33366</v>
      </c>
      <c r="B3367">
        <v>427</v>
      </c>
      <c r="C3367" s="2">
        <v>45323</v>
      </c>
      <c r="D3367" s="2" t="str">
        <f>TEXT(Table5[[#This Row],[bill_date]],"mmmm")</f>
        <v>February</v>
      </c>
      <c r="E3367" s="9">
        <f>YEAR(Table5[[#This Row],[bill_date]])</f>
        <v>2024</v>
      </c>
      <c r="F3367">
        <v>345</v>
      </c>
      <c r="G3367" t="s">
        <v>30</v>
      </c>
    </row>
    <row r="3368" spans="1:7" x14ac:dyDescent="0.3">
      <c r="A3368">
        <v>33367</v>
      </c>
      <c r="B3368">
        <v>136</v>
      </c>
      <c r="C3368" s="2">
        <v>44709</v>
      </c>
      <c r="D3368" s="2" t="str">
        <f>TEXT(Table5[[#This Row],[bill_date]],"mmmm")</f>
        <v>May</v>
      </c>
      <c r="E3368" s="9">
        <f>YEAR(Table5[[#This Row],[bill_date]])</f>
        <v>2022</v>
      </c>
      <c r="F3368">
        <v>1590</v>
      </c>
      <c r="G3368" t="s">
        <v>30</v>
      </c>
    </row>
    <row r="3369" spans="1:7" x14ac:dyDescent="0.3">
      <c r="A3369">
        <v>33368</v>
      </c>
      <c r="B3369">
        <v>285</v>
      </c>
      <c r="C3369" s="2">
        <v>45127</v>
      </c>
      <c r="D3369" s="2" t="str">
        <f>TEXT(Table5[[#This Row],[bill_date]],"mmmm")</f>
        <v>July</v>
      </c>
      <c r="E3369" s="9">
        <f>YEAR(Table5[[#This Row],[bill_date]])</f>
        <v>2023</v>
      </c>
      <c r="F3369">
        <v>511</v>
      </c>
      <c r="G3369" t="s">
        <v>28</v>
      </c>
    </row>
    <row r="3370" spans="1:7" x14ac:dyDescent="0.3">
      <c r="A3370">
        <v>33369</v>
      </c>
      <c r="B3370">
        <v>13</v>
      </c>
      <c r="C3370" s="2">
        <v>45388</v>
      </c>
      <c r="D3370" s="2" t="str">
        <f>TEXT(Table5[[#This Row],[bill_date]],"mmmm")</f>
        <v>April</v>
      </c>
      <c r="E3370" s="9">
        <f>YEAR(Table5[[#This Row],[bill_date]])</f>
        <v>2024</v>
      </c>
      <c r="F3370">
        <v>1811</v>
      </c>
      <c r="G3370" t="s">
        <v>28</v>
      </c>
    </row>
    <row r="3371" spans="1:7" x14ac:dyDescent="0.3">
      <c r="A3371">
        <v>33370</v>
      </c>
      <c r="B3371">
        <v>385</v>
      </c>
      <c r="C3371" s="2">
        <v>45112</v>
      </c>
      <c r="D3371" s="2" t="str">
        <f>TEXT(Table5[[#This Row],[bill_date]],"mmmm")</f>
        <v>July</v>
      </c>
      <c r="E3371" s="9">
        <f>YEAR(Table5[[#This Row],[bill_date]])</f>
        <v>2023</v>
      </c>
      <c r="F3371">
        <v>514</v>
      </c>
      <c r="G3371" t="s">
        <v>30</v>
      </c>
    </row>
    <row r="3372" spans="1:7" x14ac:dyDescent="0.3">
      <c r="A3372">
        <v>33371</v>
      </c>
      <c r="B3372">
        <v>29</v>
      </c>
      <c r="C3372" s="2">
        <v>45066</v>
      </c>
      <c r="D3372" s="2" t="str">
        <f>TEXT(Table5[[#This Row],[bill_date]],"mmmm")</f>
        <v>May</v>
      </c>
      <c r="E3372" s="9">
        <f>YEAR(Table5[[#This Row],[bill_date]])</f>
        <v>2023</v>
      </c>
      <c r="F3372">
        <v>601</v>
      </c>
      <c r="G3372" t="s">
        <v>29</v>
      </c>
    </row>
    <row r="3373" spans="1:7" x14ac:dyDescent="0.3">
      <c r="A3373">
        <v>33372</v>
      </c>
      <c r="B3373">
        <v>178</v>
      </c>
      <c r="C3373" s="2">
        <v>45407</v>
      </c>
      <c r="D3373" s="2" t="str">
        <f>TEXT(Table5[[#This Row],[bill_date]],"mmmm")</f>
        <v>April</v>
      </c>
      <c r="E3373" s="9">
        <f>YEAR(Table5[[#This Row],[bill_date]])</f>
        <v>2024</v>
      </c>
      <c r="F3373">
        <v>1670</v>
      </c>
      <c r="G3373" t="s">
        <v>28</v>
      </c>
    </row>
    <row r="3374" spans="1:7" x14ac:dyDescent="0.3">
      <c r="A3374">
        <v>33373</v>
      </c>
      <c r="B3374">
        <v>293</v>
      </c>
      <c r="C3374" s="2">
        <v>44779</v>
      </c>
      <c r="D3374" s="2" t="str">
        <f>TEXT(Table5[[#This Row],[bill_date]],"mmmm")</f>
        <v>August</v>
      </c>
      <c r="E3374" s="9">
        <f>YEAR(Table5[[#This Row],[bill_date]])</f>
        <v>2022</v>
      </c>
      <c r="F3374">
        <v>1769</v>
      </c>
      <c r="G3374" t="s">
        <v>28</v>
      </c>
    </row>
    <row r="3375" spans="1:7" x14ac:dyDescent="0.3">
      <c r="A3375">
        <v>33374</v>
      </c>
      <c r="B3375">
        <v>257</v>
      </c>
      <c r="C3375" s="2">
        <v>45420</v>
      </c>
      <c r="D3375" s="2" t="str">
        <f>TEXT(Table5[[#This Row],[bill_date]],"mmmm")</f>
        <v>May</v>
      </c>
      <c r="E3375" s="9">
        <f>YEAR(Table5[[#This Row],[bill_date]])</f>
        <v>2024</v>
      </c>
      <c r="F3375">
        <v>324</v>
      </c>
      <c r="G3375" t="s">
        <v>30</v>
      </c>
    </row>
    <row r="3376" spans="1:7" x14ac:dyDescent="0.3">
      <c r="A3376">
        <v>33375</v>
      </c>
      <c r="B3376">
        <v>108</v>
      </c>
      <c r="C3376" s="2">
        <v>45043</v>
      </c>
      <c r="D3376" s="2" t="str">
        <f>TEXT(Table5[[#This Row],[bill_date]],"mmmm")</f>
        <v>April</v>
      </c>
      <c r="E3376" s="9">
        <f>YEAR(Table5[[#This Row],[bill_date]])</f>
        <v>2023</v>
      </c>
      <c r="F3376">
        <v>1033</v>
      </c>
      <c r="G3376" t="s">
        <v>28</v>
      </c>
    </row>
    <row r="3377" spans="1:7" x14ac:dyDescent="0.3">
      <c r="A3377">
        <v>33376</v>
      </c>
      <c r="B3377">
        <v>69</v>
      </c>
      <c r="C3377" s="2">
        <v>44977</v>
      </c>
      <c r="D3377" s="2" t="str">
        <f>TEXT(Table5[[#This Row],[bill_date]],"mmmm")</f>
        <v>February</v>
      </c>
      <c r="E3377" s="9">
        <f>YEAR(Table5[[#This Row],[bill_date]])</f>
        <v>2023</v>
      </c>
      <c r="F3377">
        <v>694</v>
      </c>
      <c r="G3377" t="s">
        <v>30</v>
      </c>
    </row>
    <row r="3378" spans="1:7" x14ac:dyDescent="0.3">
      <c r="A3378">
        <v>33377</v>
      </c>
      <c r="B3378">
        <v>373</v>
      </c>
      <c r="C3378" s="2">
        <v>45310</v>
      </c>
      <c r="D3378" s="2" t="str">
        <f>TEXT(Table5[[#This Row],[bill_date]],"mmmm")</f>
        <v>January</v>
      </c>
      <c r="E3378" s="9">
        <f>YEAR(Table5[[#This Row],[bill_date]])</f>
        <v>2024</v>
      </c>
      <c r="F3378">
        <v>1179</v>
      </c>
      <c r="G3378" t="s">
        <v>30</v>
      </c>
    </row>
    <row r="3379" spans="1:7" x14ac:dyDescent="0.3">
      <c r="A3379">
        <v>33378</v>
      </c>
      <c r="B3379">
        <v>176</v>
      </c>
      <c r="C3379" s="2">
        <v>44886</v>
      </c>
      <c r="D3379" s="2" t="str">
        <f>TEXT(Table5[[#This Row],[bill_date]],"mmmm")</f>
        <v>November</v>
      </c>
      <c r="E3379" s="9">
        <f>YEAR(Table5[[#This Row],[bill_date]])</f>
        <v>2022</v>
      </c>
      <c r="F3379">
        <v>942</v>
      </c>
      <c r="G3379" t="s">
        <v>30</v>
      </c>
    </row>
    <row r="3380" spans="1:7" x14ac:dyDescent="0.3">
      <c r="A3380">
        <v>33379</v>
      </c>
      <c r="B3380">
        <v>183</v>
      </c>
      <c r="C3380" s="2">
        <v>45397</v>
      </c>
      <c r="D3380" s="2" t="str">
        <f>TEXT(Table5[[#This Row],[bill_date]],"mmmm")</f>
        <v>April</v>
      </c>
      <c r="E3380" s="9">
        <f>YEAR(Table5[[#This Row],[bill_date]])</f>
        <v>2024</v>
      </c>
      <c r="F3380">
        <v>1821</v>
      </c>
      <c r="G3380" t="s">
        <v>30</v>
      </c>
    </row>
    <row r="3381" spans="1:7" x14ac:dyDescent="0.3">
      <c r="A3381">
        <v>33380</v>
      </c>
      <c r="B3381">
        <v>242</v>
      </c>
      <c r="C3381" s="2">
        <v>45416</v>
      </c>
      <c r="D3381" s="2" t="str">
        <f>TEXT(Table5[[#This Row],[bill_date]],"mmmm")</f>
        <v>May</v>
      </c>
      <c r="E3381" s="9">
        <f>YEAR(Table5[[#This Row],[bill_date]])</f>
        <v>2024</v>
      </c>
      <c r="F3381">
        <v>898</v>
      </c>
      <c r="G3381" t="s">
        <v>30</v>
      </c>
    </row>
    <row r="3382" spans="1:7" x14ac:dyDescent="0.3">
      <c r="A3382">
        <v>33381</v>
      </c>
      <c r="B3382">
        <v>194</v>
      </c>
      <c r="C3382" s="2">
        <v>45350</v>
      </c>
      <c r="D3382" s="2" t="str">
        <f>TEXT(Table5[[#This Row],[bill_date]],"mmmm")</f>
        <v>February</v>
      </c>
      <c r="E3382" s="9">
        <f>YEAR(Table5[[#This Row],[bill_date]])</f>
        <v>2024</v>
      </c>
      <c r="F3382">
        <v>243</v>
      </c>
      <c r="G3382" t="s">
        <v>28</v>
      </c>
    </row>
    <row r="3383" spans="1:7" x14ac:dyDescent="0.3">
      <c r="A3383">
        <v>33382</v>
      </c>
      <c r="B3383">
        <v>367</v>
      </c>
      <c r="C3383" s="2">
        <v>45298</v>
      </c>
      <c r="D3383" s="2" t="str">
        <f>TEXT(Table5[[#This Row],[bill_date]],"mmmm")</f>
        <v>January</v>
      </c>
      <c r="E3383" s="9">
        <f>YEAR(Table5[[#This Row],[bill_date]])</f>
        <v>2024</v>
      </c>
      <c r="F3383">
        <v>1553</v>
      </c>
      <c r="G3383" t="s">
        <v>28</v>
      </c>
    </row>
    <row r="3384" spans="1:7" x14ac:dyDescent="0.3">
      <c r="A3384">
        <v>33383</v>
      </c>
      <c r="B3384">
        <v>319</v>
      </c>
      <c r="C3384" s="2">
        <v>45050</v>
      </c>
      <c r="D3384" s="2" t="str">
        <f>TEXT(Table5[[#This Row],[bill_date]],"mmmm")</f>
        <v>May</v>
      </c>
      <c r="E3384" s="9">
        <f>YEAR(Table5[[#This Row],[bill_date]])</f>
        <v>2023</v>
      </c>
      <c r="F3384">
        <v>1034</v>
      </c>
      <c r="G3384" t="s">
        <v>28</v>
      </c>
    </row>
    <row r="3385" spans="1:7" x14ac:dyDescent="0.3">
      <c r="A3385">
        <v>33384</v>
      </c>
      <c r="B3385">
        <v>22</v>
      </c>
      <c r="C3385" s="2">
        <v>44969</v>
      </c>
      <c r="D3385" s="2" t="str">
        <f>TEXT(Table5[[#This Row],[bill_date]],"mmmm")</f>
        <v>February</v>
      </c>
      <c r="E3385" s="9">
        <f>YEAR(Table5[[#This Row],[bill_date]])</f>
        <v>2023</v>
      </c>
      <c r="F3385">
        <v>1162</v>
      </c>
      <c r="G3385" t="s">
        <v>28</v>
      </c>
    </row>
    <row r="3386" spans="1:7" x14ac:dyDescent="0.3">
      <c r="A3386">
        <v>33385</v>
      </c>
      <c r="B3386">
        <v>350</v>
      </c>
      <c r="C3386" s="2">
        <v>44705</v>
      </c>
      <c r="D3386" s="2" t="str">
        <f>TEXT(Table5[[#This Row],[bill_date]],"mmmm")</f>
        <v>May</v>
      </c>
      <c r="E3386" s="9">
        <f>YEAR(Table5[[#This Row],[bill_date]])</f>
        <v>2022</v>
      </c>
      <c r="F3386">
        <v>1109</v>
      </c>
      <c r="G3386" t="s">
        <v>30</v>
      </c>
    </row>
    <row r="3387" spans="1:7" x14ac:dyDescent="0.3">
      <c r="A3387">
        <v>33386</v>
      </c>
      <c r="B3387">
        <v>11</v>
      </c>
      <c r="C3387" s="2">
        <v>45361</v>
      </c>
      <c r="D3387" s="2" t="str">
        <f>TEXT(Table5[[#This Row],[bill_date]],"mmmm")</f>
        <v>March</v>
      </c>
      <c r="E3387" s="9">
        <f>YEAR(Table5[[#This Row],[bill_date]])</f>
        <v>2024</v>
      </c>
      <c r="F3387">
        <v>1058</v>
      </c>
      <c r="G3387" t="s">
        <v>30</v>
      </c>
    </row>
    <row r="3388" spans="1:7" x14ac:dyDescent="0.3">
      <c r="A3388">
        <v>33387</v>
      </c>
      <c r="B3388">
        <v>285</v>
      </c>
      <c r="C3388" s="2">
        <v>44772</v>
      </c>
      <c r="D3388" s="2" t="str">
        <f>TEXT(Table5[[#This Row],[bill_date]],"mmmm")</f>
        <v>July</v>
      </c>
      <c r="E3388" s="9">
        <f>YEAR(Table5[[#This Row],[bill_date]])</f>
        <v>2022</v>
      </c>
      <c r="F3388">
        <v>1294</v>
      </c>
      <c r="G3388" t="s">
        <v>28</v>
      </c>
    </row>
    <row r="3389" spans="1:7" x14ac:dyDescent="0.3">
      <c r="A3389">
        <v>33388</v>
      </c>
      <c r="B3389">
        <v>362</v>
      </c>
      <c r="C3389" s="2">
        <v>45227</v>
      </c>
      <c r="D3389" s="2" t="str">
        <f>TEXT(Table5[[#This Row],[bill_date]],"mmmm")</f>
        <v>October</v>
      </c>
      <c r="E3389" s="9">
        <f>YEAR(Table5[[#This Row],[bill_date]])</f>
        <v>2023</v>
      </c>
      <c r="F3389">
        <v>926</v>
      </c>
      <c r="G3389" t="s">
        <v>30</v>
      </c>
    </row>
    <row r="3390" spans="1:7" x14ac:dyDescent="0.3">
      <c r="A3390">
        <v>33389</v>
      </c>
      <c r="B3390">
        <v>259</v>
      </c>
      <c r="C3390" s="2">
        <v>44820</v>
      </c>
      <c r="D3390" s="2" t="str">
        <f>TEXT(Table5[[#This Row],[bill_date]],"mmmm")</f>
        <v>September</v>
      </c>
      <c r="E3390" s="9">
        <f>YEAR(Table5[[#This Row],[bill_date]])</f>
        <v>2022</v>
      </c>
      <c r="F3390">
        <v>296</v>
      </c>
      <c r="G3390" t="s">
        <v>28</v>
      </c>
    </row>
    <row r="3391" spans="1:7" x14ac:dyDescent="0.3">
      <c r="A3391">
        <v>33390</v>
      </c>
      <c r="B3391">
        <v>173</v>
      </c>
      <c r="C3391" s="2">
        <v>44788</v>
      </c>
      <c r="D3391" s="2" t="str">
        <f>TEXT(Table5[[#This Row],[bill_date]],"mmmm")</f>
        <v>August</v>
      </c>
      <c r="E3391" s="9">
        <f>YEAR(Table5[[#This Row],[bill_date]])</f>
        <v>2022</v>
      </c>
      <c r="F3391">
        <v>1493</v>
      </c>
      <c r="G3391" t="s">
        <v>30</v>
      </c>
    </row>
    <row r="3392" spans="1:7" x14ac:dyDescent="0.3">
      <c r="A3392">
        <v>33391</v>
      </c>
      <c r="B3392">
        <v>205</v>
      </c>
      <c r="C3392" s="2">
        <v>45155</v>
      </c>
      <c r="D3392" s="2" t="str">
        <f>TEXT(Table5[[#This Row],[bill_date]],"mmmm")</f>
        <v>August</v>
      </c>
      <c r="E3392" s="9">
        <f>YEAR(Table5[[#This Row],[bill_date]])</f>
        <v>2023</v>
      </c>
      <c r="F3392">
        <v>1629</v>
      </c>
      <c r="G3392" t="s">
        <v>29</v>
      </c>
    </row>
    <row r="3393" spans="1:7" x14ac:dyDescent="0.3">
      <c r="A3393">
        <v>33392</v>
      </c>
      <c r="B3393">
        <v>248</v>
      </c>
      <c r="C3393" s="2">
        <v>45450</v>
      </c>
      <c r="D3393" s="2" t="str">
        <f>TEXT(Table5[[#This Row],[bill_date]],"mmmm")</f>
        <v>June</v>
      </c>
      <c r="E3393" s="9">
        <f>YEAR(Table5[[#This Row],[bill_date]])</f>
        <v>2024</v>
      </c>
      <c r="F3393">
        <v>1666</v>
      </c>
      <c r="G3393" t="s">
        <v>30</v>
      </c>
    </row>
    <row r="3394" spans="1:7" x14ac:dyDescent="0.3">
      <c r="A3394">
        <v>33393</v>
      </c>
      <c r="B3394">
        <v>259</v>
      </c>
      <c r="C3394" s="2">
        <v>44933</v>
      </c>
      <c r="D3394" s="2" t="str">
        <f>TEXT(Table5[[#This Row],[bill_date]],"mmmm")</f>
        <v>January</v>
      </c>
      <c r="E3394" s="9">
        <f>YEAR(Table5[[#This Row],[bill_date]])</f>
        <v>2023</v>
      </c>
      <c r="F3394">
        <v>1313</v>
      </c>
      <c r="G3394" t="s">
        <v>30</v>
      </c>
    </row>
    <row r="3395" spans="1:7" x14ac:dyDescent="0.3">
      <c r="A3395">
        <v>33394</v>
      </c>
      <c r="B3395">
        <v>330</v>
      </c>
      <c r="C3395" s="2">
        <v>44952</v>
      </c>
      <c r="D3395" s="2" t="str">
        <f>TEXT(Table5[[#This Row],[bill_date]],"mmmm")</f>
        <v>January</v>
      </c>
      <c r="E3395" s="9">
        <f>YEAR(Table5[[#This Row],[bill_date]])</f>
        <v>2023</v>
      </c>
      <c r="F3395">
        <v>1876</v>
      </c>
      <c r="G3395" t="s">
        <v>28</v>
      </c>
    </row>
    <row r="3396" spans="1:7" x14ac:dyDescent="0.3">
      <c r="A3396">
        <v>33395</v>
      </c>
      <c r="B3396">
        <v>452</v>
      </c>
      <c r="C3396" s="2">
        <v>44649</v>
      </c>
      <c r="D3396" s="2" t="str">
        <f>TEXT(Table5[[#This Row],[bill_date]],"mmmm")</f>
        <v>March</v>
      </c>
      <c r="E3396" s="9">
        <f>YEAR(Table5[[#This Row],[bill_date]])</f>
        <v>2022</v>
      </c>
      <c r="F3396">
        <v>315</v>
      </c>
      <c r="G3396" t="s">
        <v>30</v>
      </c>
    </row>
    <row r="3397" spans="1:7" x14ac:dyDescent="0.3">
      <c r="A3397">
        <v>33396</v>
      </c>
      <c r="B3397">
        <v>270</v>
      </c>
      <c r="C3397" s="2">
        <v>44961</v>
      </c>
      <c r="D3397" s="2" t="str">
        <f>TEXT(Table5[[#This Row],[bill_date]],"mmmm")</f>
        <v>February</v>
      </c>
      <c r="E3397" s="9">
        <f>YEAR(Table5[[#This Row],[bill_date]])</f>
        <v>2023</v>
      </c>
      <c r="F3397">
        <v>1736</v>
      </c>
      <c r="G3397" t="s">
        <v>30</v>
      </c>
    </row>
    <row r="3398" spans="1:7" x14ac:dyDescent="0.3">
      <c r="A3398">
        <v>33397</v>
      </c>
      <c r="B3398">
        <v>471</v>
      </c>
      <c r="C3398" s="2">
        <v>44870</v>
      </c>
      <c r="D3398" s="2" t="str">
        <f>TEXT(Table5[[#This Row],[bill_date]],"mmmm")</f>
        <v>November</v>
      </c>
      <c r="E3398" s="9">
        <f>YEAR(Table5[[#This Row],[bill_date]])</f>
        <v>2022</v>
      </c>
      <c r="F3398">
        <v>1193</v>
      </c>
      <c r="G3398" t="s">
        <v>30</v>
      </c>
    </row>
    <row r="3399" spans="1:7" x14ac:dyDescent="0.3">
      <c r="A3399">
        <v>33398</v>
      </c>
      <c r="B3399">
        <v>81</v>
      </c>
      <c r="C3399" s="2">
        <v>44565</v>
      </c>
      <c r="D3399" s="2" t="str">
        <f>TEXT(Table5[[#This Row],[bill_date]],"mmmm")</f>
        <v>January</v>
      </c>
      <c r="E3399" s="9">
        <f>YEAR(Table5[[#This Row],[bill_date]])</f>
        <v>2022</v>
      </c>
      <c r="F3399">
        <v>1265</v>
      </c>
      <c r="G3399" t="s">
        <v>30</v>
      </c>
    </row>
    <row r="3400" spans="1:7" x14ac:dyDescent="0.3">
      <c r="A3400">
        <v>33399</v>
      </c>
      <c r="B3400">
        <v>321</v>
      </c>
      <c r="C3400" s="2">
        <v>44734</v>
      </c>
      <c r="D3400" s="2" t="str">
        <f>TEXT(Table5[[#This Row],[bill_date]],"mmmm")</f>
        <v>June</v>
      </c>
      <c r="E3400" s="9">
        <f>YEAR(Table5[[#This Row],[bill_date]])</f>
        <v>2022</v>
      </c>
      <c r="F3400">
        <v>269</v>
      </c>
      <c r="G3400" t="s">
        <v>30</v>
      </c>
    </row>
    <row r="3401" spans="1:7" x14ac:dyDescent="0.3">
      <c r="A3401">
        <v>33400</v>
      </c>
      <c r="B3401">
        <v>441</v>
      </c>
      <c r="C3401" s="2">
        <v>45105</v>
      </c>
      <c r="D3401" s="2" t="str">
        <f>TEXT(Table5[[#This Row],[bill_date]],"mmmm")</f>
        <v>June</v>
      </c>
      <c r="E3401" s="9">
        <f>YEAR(Table5[[#This Row],[bill_date]])</f>
        <v>2023</v>
      </c>
      <c r="F3401">
        <v>1366</v>
      </c>
      <c r="G3401" t="s">
        <v>28</v>
      </c>
    </row>
    <row r="3402" spans="1:7" x14ac:dyDescent="0.3">
      <c r="A3402">
        <v>33401</v>
      </c>
      <c r="B3402">
        <v>399</v>
      </c>
      <c r="C3402" s="2">
        <v>45307</v>
      </c>
      <c r="D3402" s="2" t="str">
        <f>TEXT(Table5[[#This Row],[bill_date]],"mmmm")</f>
        <v>January</v>
      </c>
      <c r="E3402" s="9">
        <f>YEAR(Table5[[#This Row],[bill_date]])</f>
        <v>2024</v>
      </c>
      <c r="F3402">
        <v>1564</v>
      </c>
      <c r="G3402" t="s">
        <v>30</v>
      </c>
    </row>
    <row r="3403" spans="1:7" x14ac:dyDescent="0.3">
      <c r="A3403">
        <v>33402</v>
      </c>
      <c r="B3403">
        <v>188</v>
      </c>
      <c r="C3403" s="2">
        <v>44787</v>
      </c>
      <c r="D3403" s="2" t="str">
        <f>TEXT(Table5[[#This Row],[bill_date]],"mmmm")</f>
        <v>August</v>
      </c>
      <c r="E3403" s="9">
        <f>YEAR(Table5[[#This Row],[bill_date]])</f>
        <v>2022</v>
      </c>
      <c r="F3403">
        <v>956</v>
      </c>
      <c r="G3403" t="s">
        <v>30</v>
      </c>
    </row>
    <row r="3404" spans="1:7" x14ac:dyDescent="0.3">
      <c r="A3404">
        <v>33403</v>
      </c>
      <c r="B3404">
        <v>438</v>
      </c>
      <c r="C3404" s="2">
        <v>44900</v>
      </c>
      <c r="D3404" s="2" t="str">
        <f>TEXT(Table5[[#This Row],[bill_date]],"mmmm")</f>
        <v>December</v>
      </c>
      <c r="E3404" s="9">
        <f>YEAR(Table5[[#This Row],[bill_date]])</f>
        <v>2022</v>
      </c>
      <c r="F3404">
        <v>994</v>
      </c>
      <c r="G3404" t="s">
        <v>30</v>
      </c>
    </row>
    <row r="3405" spans="1:7" x14ac:dyDescent="0.3">
      <c r="A3405">
        <v>33404</v>
      </c>
      <c r="B3405">
        <v>373</v>
      </c>
      <c r="C3405" s="2">
        <v>44767</v>
      </c>
      <c r="D3405" s="2" t="str">
        <f>TEXT(Table5[[#This Row],[bill_date]],"mmmm")</f>
        <v>July</v>
      </c>
      <c r="E3405" s="9">
        <f>YEAR(Table5[[#This Row],[bill_date]])</f>
        <v>2022</v>
      </c>
      <c r="F3405">
        <v>1037</v>
      </c>
      <c r="G3405" t="s">
        <v>30</v>
      </c>
    </row>
    <row r="3406" spans="1:7" x14ac:dyDescent="0.3">
      <c r="A3406">
        <v>33405</v>
      </c>
      <c r="B3406">
        <v>386</v>
      </c>
      <c r="C3406" s="2">
        <v>44663</v>
      </c>
      <c r="D3406" s="2" t="str">
        <f>TEXT(Table5[[#This Row],[bill_date]],"mmmm")</f>
        <v>April</v>
      </c>
      <c r="E3406" s="9">
        <f>YEAR(Table5[[#This Row],[bill_date]])</f>
        <v>2022</v>
      </c>
      <c r="F3406">
        <v>924</v>
      </c>
      <c r="G3406" t="s">
        <v>30</v>
      </c>
    </row>
    <row r="3407" spans="1:7" x14ac:dyDescent="0.3">
      <c r="A3407">
        <v>33406</v>
      </c>
      <c r="B3407">
        <v>338</v>
      </c>
      <c r="C3407" s="2">
        <v>44619</v>
      </c>
      <c r="D3407" s="2" t="str">
        <f>TEXT(Table5[[#This Row],[bill_date]],"mmmm")</f>
        <v>February</v>
      </c>
      <c r="E3407" s="9">
        <f>YEAR(Table5[[#This Row],[bill_date]])</f>
        <v>2022</v>
      </c>
      <c r="F3407">
        <v>305</v>
      </c>
      <c r="G3407" t="s">
        <v>30</v>
      </c>
    </row>
    <row r="3408" spans="1:7" x14ac:dyDescent="0.3">
      <c r="A3408">
        <v>33407</v>
      </c>
      <c r="B3408">
        <v>448</v>
      </c>
      <c r="C3408" s="2">
        <v>45342</v>
      </c>
      <c r="D3408" s="2" t="str">
        <f>TEXT(Table5[[#This Row],[bill_date]],"mmmm")</f>
        <v>February</v>
      </c>
      <c r="E3408" s="9">
        <f>YEAR(Table5[[#This Row],[bill_date]])</f>
        <v>2024</v>
      </c>
      <c r="F3408">
        <v>584</v>
      </c>
      <c r="G3408" t="s">
        <v>30</v>
      </c>
    </row>
    <row r="3409" spans="1:7" x14ac:dyDescent="0.3">
      <c r="A3409">
        <v>33408</v>
      </c>
      <c r="B3409">
        <v>231</v>
      </c>
      <c r="C3409" s="2">
        <v>44711</v>
      </c>
      <c r="D3409" s="2" t="str">
        <f>TEXT(Table5[[#This Row],[bill_date]],"mmmm")</f>
        <v>May</v>
      </c>
      <c r="E3409" s="9">
        <f>YEAR(Table5[[#This Row],[bill_date]])</f>
        <v>2022</v>
      </c>
      <c r="F3409">
        <v>654</v>
      </c>
      <c r="G3409" t="s">
        <v>30</v>
      </c>
    </row>
    <row r="3410" spans="1:7" x14ac:dyDescent="0.3">
      <c r="A3410">
        <v>33409</v>
      </c>
      <c r="B3410">
        <v>470</v>
      </c>
      <c r="C3410" s="2">
        <v>44813</v>
      </c>
      <c r="D3410" s="2" t="str">
        <f>TEXT(Table5[[#This Row],[bill_date]],"mmmm")</f>
        <v>September</v>
      </c>
      <c r="E3410" s="9">
        <f>YEAR(Table5[[#This Row],[bill_date]])</f>
        <v>2022</v>
      </c>
      <c r="F3410">
        <v>973</v>
      </c>
      <c r="G3410" t="s">
        <v>28</v>
      </c>
    </row>
    <row r="3411" spans="1:7" x14ac:dyDescent="0.3">
      <c r="A3411">
        <v>33410</v>
      </c>
      <c r="B3411">
        <v>28</v>
      </c>
      <c r="C3411" s="2">
        <v>45040</v>
      </c>
      <c r="D3411" s="2" t="str">
        <f>TEXT(Table5[[#This Row],[bill_date]],"mmmm")</f>
        <v>April</v>
      </c>
      <c r="E3411" s="9">
        <f>YEAR(Table5[[#This Row],[bill_date]])</f>
        <v>2023</v>
      </c>
      <c r="F3411">
        <v>492</v>
      </c>
      <c r="G3411" t="s">
        <v>30</v>
      </c>
    </row>
    <row r="3412" spans="1:7" x14ac:dyDescent="0.3">
      <c r="A3412">
        <v>33411</v>
      </c>
      <c r="B3412">
        <v>350</v>
      </c>
      <c r="C3412" s="2">
        <v>45117</v>
      </c>
      <c r="D3412" s="2" t="str">
        <f>TEXT(Table5[[#This Row],[bill_date]],"mmmm")</f>
        <v>July</v>
      </c>
      <c r="E3412" s="9">
        <f>YEAR(Table5[[#This Row],[bill_date]])</f>
        <v>2023</v>
      </c>
      <c r="F3412">
        <v>374</v>
      </c>
      <c r="G3412" t="s">
        <v>30</v>
      </c>
    </row>
    <row r="3413" spans="1:7" x14ac:dyDescent="0.3">
      <c r="A3413">
        <v>33412</v>
      </c>
      <c r="B3413">
        <v>461</v>
      </c>
      <c r="C3413" s="2">
        <v>44989</v>
      </c>
      <c r="D3413" s="2" t="str">
        <f>TEXT(Table5[[#This Row],[bill_date]],"mmmm")</f>
        <v>March</v>
      </c>
      <c r="E3413" s="9">
        <f>YEAR(Table5[[#This Row],[bill_date]])</f>
        <v>2023</v>
      </c>
      <c r="F3413">
        <v>1329</v>
      </c>
      <c r="G3413" t="s">
        <v>30</v>
      </c>
    </row>
    <row r="3414" spans="1:7" x14ac:dyDescent="0.3">
      <c r="A3414">
        <v>33413</v>
      </c>
      <c r="B3414">
        <v>323</v>
      </c>
      <c r="C3414" s="2">
        <v>45103</v>
      </c>
      <c r="D3414" s="2" t="str">
        <f>TEXT(Table5[[#This Row],[bill_date]],"mmmm")</f>
        <v>June</v>
      </c>
      <c r="E3414" s="9">
        <f>YEAR(Table5[[#This Row],[bill_date]])</f>
        <v>2023</v>
      </c>
      <c r="F3414">
        <v>1308</v>
      </c>
      <c r="G3414" t="s">
        <v>30</v>
      </c>
    </row>
    <row r="3415" spans="1:7" x14ac:dyDescent="0.3">
      <c r="A3415">
        <v>33414</v>
      </c>
      <c r="B3415">
        <v>3</v>
      </c>
      <c r="C3415" s="2">
        <v>45085</v>
      </c>
      <c r="D3415" s="2" t="str">
        <f>TEXT(Table5[[#This Row],[bill_date]],"mmmm")</f>
        <v>June</v>
      </c>
      <c r="E3415" s="9">
        <f>YEAR(Table5[[#This Row],[bill_date]])</f>
        <v>2023</v>
      </c>
      <c r="F3415">
        <v>1732</v>
      </c>
      <c r="G3415" t="s">
        <v>30</v>
      </c>
    </row>
    <row r="3416" spans="1:7" x14ac:dyDescent="0.3">
      <c r="A3416">
        <v>33415</v>
      </c>
      <c r="B3416">
        <v>237</v>
      </c>
      <c r="C3416" s="2">
        <v>45052</v>
      </c>
      <c r="D3416" s="2" t="str">
        <f>TEXT(Table5[[#This Row],[bill_date]],"mmmm")</f>
        <v>May</v>
      </c>
      <c r="E3416" s="9">
        <f>YEAR(Table5[[#This Row],[bill_date]])</f>
        <v>2023</v>
      </c>
      <c r="F3416">
        <v>1449</v>
      </c>
      <c r="G3416" t="s">
        <v>30</v>
      </c>
    </row>
    <row r="3417" spans="1:7" x14ac:dyDescent="0.3">
      <c r="A3417">
        <v>33416</v>
      </c>
      <c r="B3417">
        <v>181</v>
      </c>
      <c r="C3417" s="2">
        <v>45087</v>
      </c>
      <c r="D3417" s="2" t="str">
        <f>TEXT(Table5[[#This Row],[bill_date]],"mmmm")</f>
        <v>June</v>
      </c>
      <c r="E3417" s="9">
        <f>YEAR(Table5[[#This Row],[bill_date]])</f>
        <v>2023</v>
      </c>
      <c r="F3417">
        <v>792</v>
      </c>
      <c r="G3417" t="s">
        <v>30</v>
      </c>
    </row>
    <row r="3418" spans="1:7" x14ac:dyDescent="0.3">
      <c r="A3418">
        <v>33417</v>
      </c>
      <c r="B3418">
        <v>410</v>
      </c>
      <c r="C3418" s="2">
        <v>44853</v>
      </c>
      <c r="D3418" s="2" t="str">
        <f>TEXT(Table5[[#This Row],[bill_date]],"mmmm")</f>
        <v>October</v>
      </c>
      <c r="E3418" s="9">
        <f>YEAR(Table5[[#This Row],[bill_date]])</f>
        <v>2022</v>
      </c>
      <c r="F3418">
        <v>527</v>
      </c>
      <c r="G3418" t="s">
        <v>30</v>
      </c>
    </row>
    <row r="3419" spans="1:7" x14ac:dyDescent="0.3">
      <c r="A3419">
        <v>33418</v>
      </c>
      <c r="B3419">
        <v>4</v>
      </c>
      <c r="C3419" s="2">
        <v>44606</v>
      </c>
      <c r="D3419" s="2" t="str">
        <f>TEXT(Table5[[#This Row],[bill_date]],"mmmm")</f>
        <v>February</v>
      </c>
      <c r="E3419" s="9">
        <f>YEAR(Table5[[#This Row],[bill_date]])</f>
        <v>2022</v>
      </c>
      <c r="F3419">
        <v>1463</v>
      </c>
      <c r="G3419" t="s">
        <v>28</v>
      </c>
    </row>
    <row r="3420" spans="1:7" x14ac:dyDescent="0.3">
      <c r="A3420">
        <v>33419</v>
      </c>
      <c r="B3420">
        <v>400</v>
      </c>
      <c r="C3420" s="2">
        <v>44761</v>
      </c>
      <c r="D3420" s="2" t="str">
        <f>TEXT(Table5[[#This Row],[bill_date]],"mmmm")</f>
        <v>July</v>
      </c>
      <c r="E3420" s="9">
        <f>YEAR(Table5[[#This Row],[bill_date]])</f>
        <v>2022</v>
      </c>
      <c r="F3420">
        <v>1224</v>
      </c>
      <c r="G3420" t="s">
        <v>30</v>
      </c>
    </row>
    <row r="3421" spans="1:7" x14ac:dyDescent="0.3">
      <c r="A3421">
        <v>33420</v>
      </c>
      <c r="B3421">
        <v>348</v>
      </c>
      <c r="C3421" s="2">
        <v>44585</v>
      </c>
      <c r="D3421" s="2" t="str">
        <f>TEXT(Table5[[#This Row],[bill_date]],"mmmm")</f>
        <v>January</v>
      </c>
      <c r="E3421" s="9">
        <f>YEAR(Table5[[#This Row],[bill_date]])</f>
        <v>2022</v>
      </c>
      <c r="F3421">
        <v>1473</v>
      </c>
      <c r="G3421" t="s">
        <v>29</v>
      </c>
    </row>
    <row r="3422" spans="1:7" x14ac:dyDescent="0.3">
      <c r="A3422">
        <v>33421</v>
      </c>
      <c r="B3422">
        <v>72</v>
      </c>
      <c r="C3422" s="2">
        <v>45324</v>
      </c>
      <c r="D3422" s="2" t="str">
        <f>TEXT(Table5[[#This Row],[bill_date]],"mmmm")</f>
        <v>February</v>
      </c>
      <c r="E3422" s="9">
        <f>YEAR(Table5[[#This Row],[bill_date]])</f>
        <v>2024</v>
      </c>
      <c r="F3422">
        <v>240</v>
      </c>
      <c r="G3422" t="s">
        <v>28</v>
      </c>
    </row>
    <row r="3423" spans="1:7" x14ac:dyDescent="0.3">
      <c r="A3423">
        <v>33422</v>
      </c>
      <c r="B3423">
        <v>182</v>
      </c>
      <c r="C3423" s="2">
        <v>45192</v>
      </c>
      <c r="D3423" s="2" t="str">
        <f>TEXT(Table5[[#This Row],[bill_date]],"mmmm")</f>
        <v>September</v>
      </c>
      <c r="E3423" s="9">
        <f>YEAR(Table5[[#This Row],[bill_date]])</f>
        <v>2023</v>
      </c>
      <c r="F3423">
        <v>1648</v>
      </c>
      <c r="G3423" t="s">
        <v>29</v>
      </c>
    </row>
    <row r="3424" spans="1:7" x14ac:dyDescent="0.3">
      <c r="A3424">
        <v>33423</v>
      </c>
      <c r="B3424">
        <v>104</v>
      </c>
      <c r="C3424" s="2">
        <v>44948</v>
      </c>
      <c r="D3424" s="2" t="str">
        <f>TEXT(Table5[[#This Row],[bill_date]],"mmmm")</f>
        <v>January</v>
      </c>
      <c r="E3424" s="9">
        <f>YEAR(Table5[[#This Row],[bill_date]])</f>
        <v>2023</v>
      </c>
      <c r="F3424">
        <v>279</v>
      </c>
      <c r="G3424" t="s">
        <v>30</v>
      </c>
    </row>
    <row r="3425" spans="1:7" x14ac:dyDescent="0.3">
      <c r="A3425">
        <v>33424</v>
      </c>
      <c r="B3425">
        <v>272</v>
      </c>
      <c r="C3425" s="2">
        <v>45151</v>
      </c>
      <c r="D3425" s="2" t="str">
        <f>TEXT(Table5[[#This Row],[bill_date]],"mmmm")</f>
        <v>August</v>
      </c>
      <c r="E3425" s="9">
        <f>YEAR(Table5[[#This Row],[bill_date]])</f>
        <v>2023</v>
      </c>
      <c r="F3425">
        <v>686</v>
      </c>
      <c r="G3425" t="s">
        <v>30</v>
      </c>
    </row>
    <row r="3426" spans="1:7" x14ac:dyDescent="0.3">
      <c r="A3426">
        <v>33425</v>
      </c>
      <c r="B3426">
        <v>287</v>
      </c>
      <c r="C3426" s="2">
        <v>44996</v>
      </c>
      <c r="D3426" s="2" t="str">
        <f>TEXT(Table5[[#This Row],[bill_date]],"mmmm")</f>
        <v>March</v>
      </c>
      <c r="E3426" s="9">
        <f>YEAR(Table5[[#This Row],[bill_date]])</f>
        <v>2023</v>
      </c>
      <c r="F3426">
        <v>1114</v>
      </c>
      <c r="G3426" t="s">
        <v>30</v>
      </c>
    </row>
    <row r="3427" spans="1:7" x14ac:dyDescent="0.3">
      <c r="A3427">
        <v>33426</v>
      </c>
      <c r="B3427">
        <v>87</v>
      </c>
      <c r="C3427" s="2">
        <v>44803</v>
      </c>
      <c r="D3427" s="2" t="str">
        <f>TEXT(Table5[[#This Row],[bill_date]],"mmmm")</f>
        <v>August</v>
      </c>
      <c r="E3427" s="9">
        <f>YEAR(Table5[[#This Row],[bill_date]])</f>
        <v>2022</v>
      </c>
      <c r="F3427">
        <v>460</v>
      </c>
      <c r="G3427" t="s">
        <v>29</v>
      </c>
    </row>
    <row r="3428" spans="1:7" x14ac:dyDescent="0.3">
      <c r="A3428">
        <v>33427</v>
      </c>
      <c r="B3428">
        <v>386</v>
      </c>
      <c r="C3428" s="2">
        <v>44764</v>
      </c>
      <c r="D3428" s="2" t="str">
        <f>TEXT(Table5[[#This Row],[bill_date]],"mmmm")</f>
        <v>July</v>
      </c>
      <c r="E3428" s="9">
        <f>YEAR(Table5[[#This Row],[bill_date]])</f>
        <v>2022</v>
      </c>
      <c r="F3428">
        <v>1617</v>
      </c>
      <c r="G3428" t="s">
        <v>30</v>
      </c>
    </row>
    <row r="3429" spans="1:7" x14ac:dyDescent="0.3">
      <c r="A3429">
        <v>33428</v>
      </c>
      <c r="B3429">
        <v>73</v>
      </c>
      <c r="C3429" s="2">
        <v>44798</v>
      </c>
      <c r="D3429" s="2" t="str">
        <f>TEXT(Table5[[#This Row],[bill_date]],"mmmm")</f>
        <v>August</v>
      </c>
      <c r="E3429" s="9">
        <f>YEAR(Table5[[#This Row],[bill_date]])</f>
        <v>2022</v>
      </c>
      <c r="F3429">
        <v>907</v>
      </c>
      <c r="G3429" t="s">
        <v>30</v>
      </c>
    </row>
    <row r="3430" spans="1:7" x14ac:dyDescent="0.3">
      <c r="A3430">
        <v>33429</v>
      </c>
      <c r="B3430">
        <v>91</v>
      </c>
      <c r="C3430" s="2">
        <v>44855</v>
      </c>
      <c r="D3430" s="2" t="str">
        <f>TEXT(Table5[[#This Row],[bill_date]],"mmmm")</f>
        <v>October</v>
      </c>
      <c r="E3430" s="9">
        <f>YEAR(Table5[[#This Row],[bill_date]])</f>
        <v>2022</v>
      </c>
      <c r="F3430">
        <v>1470</v>
      </c>
      <c r="G3430" t="s">
        <v>30</v>
      </c>
    </row>
    <row r="3431" spans="1:7" x14ac:dyDescent="0.3">
      <c r="A3431">
        <v>33430</v>
      </c>
      <c r="B3431">
        <v>173</v>
      </c>
      <c r="C3431" s="2">
        <v>44909</v>
      </c>
      <c r="D3431" s="2" t="str">
        <f>TEXT(Table5[[#This Row],[bill_date]],"mmmm")</f>
        <v>December</v>
      </c>
      <c r="E3431" s="9">
        <f>YEAR(Table5[[#This Row],[bill_date]])</f>
        <v>2022</v>
      </c>
      <c r="F3431">
        <v>1552</v>
      </c>
      <c r="G3431" t="s">
        <v>30</v>
      </c>
    </row>
    <row r="3432" spans="1:7" x14ac:dyDescent="0.3">
      <c r="A3432">
        <v>33431</v>
      </c>
      <c r="B3432">
        <v>310</v>
      </c>
      <c r="C3432" s="2">
        <v>44648</v>
      </c>
      <c r="D3432" s="2" t="str">
        <f>TEXT(Table5[[#This Row],[bill_date]],"mmmm")</f>
        <v>March</v>
      </c>
      <c r="E3432" s="9">
        <f>YEAR(Table5[[#This Row],[bill_date]])</f>
        <v>2022</v>
      </c>
      <c r="F3432">
        <v>1191</v>
      </c>
      <c r="G3432" t="s">
        <v>30</v>
      </c>
    </row>
    <row r="3433" spans="1:7" x14ac:dyDescent="0.3">
      <c r="A3433">
        <v>33432</v>
      </c>
      <c r="B3433">
        <v>187</v>
      </c>
      <c r="C3433" s="2">
        <v>44771</v>
      </c>
      <c r="D3433" s="2" t="str">
        <f>TEXT(Table5[[#This Row],[bill_date]],"mmmm")</f>
        <v>July</v>
      </c>
      <c r="E3433" s="9">
        <f>YEAR(Table5[[#This Row],[bill_date]])</f>
        <v>2022</v>
      </c>
      <c r="F3433">
        <v>1006</v>
      </c>
      <c r="G3433" t="s">
        <v>30</v>
      </c>
    </row>
    <row r="3434" spans="1:7" x14ac:dyDescent="0.3">
      <c r="A3434">
        <v>33433</v>
      </c>
      <c r="B3434">
        <v>443</v>
      </c>
      <c r="C3434" s="2">
        <v>45349</v>
      </c>
      <c r="D3434" s="2" t="str">
        <f>TEXT(Table5[[#This Row],[bill_date]],"mmmm")</f>
        <v>February</v>
      </c>
      <c r="E3434" s="9">
        <f>YEAR(Table5[[#This Row],[bill_date]])</f>
        <v>2024</v>
      </c>
      <c r="F3434">
        <v>746</v>
      </c>
      <c r="G3434" t="s">
        <v>30</v>
      </c>
    </row>
    <row r="3435" spans="1:7" x14ac:dyDescent="0.3">
      <c r="A3435">
        <v>33434</v>
      </c>
      <c r="B3435">
        <v>406</v>
      </c>
      <c r="C3435" s="2">
        <v>45170</v>
      </c>
      <c r="D3435" s="2" t="str">
        <f>TEXT(Table5[[#This Row],[bill_date]],"mmmm")</f>
        <v>September</v>
      </c>
      <c r="E3435" s="9">
        <f>YEAR(Table5[[#This Row],[bill_date]])</f>
        <v>2023</v>
      </c>
      <c r="F3435">
        <v>813</v>
      </c>
      <c r="G3435" t="s">
        <v>30</v>
      </c>
    </row>
    <row r="3436" spans="1:7" x14ac:dyDescent="0.3">
      <c r="A3436">
        <v>33435</v>
      </c>
      <c r="B3436">
        <v>236</v>
      </c>
      <c r="C3436" s="2">
        <v>44563</v>
      </c>
      <c r="D3436" s="2" t="str">
        <f>TEXT(Table5[[#This Row],[bill_date]],"mmmm")</f>
        <v>January</v>
      </c>
      <c r="E3436" s="9">
        <f>YEAR(Table5[[#This Row],[bill_date]])</f>
        <v>2022</v>
      </c>
      <c r="F3436">
        <v>1145</v>
      </c>
      <c r="G3436" t="s">
        <v>30</v>
      </c>
    </row>
    <row r="3437" spans="1:7" x14ac:dyDescent="0.3">
      <c r="A3437">
        <v>33436</v>
      </c>
      <c r="B3437">
        <v>162</v>
      </c>
      <c r="C3437" s="2">
        <v>44790</v>
      </c>
      <c r="D3437" s="2" t="str">
        <f>TEXT(Table5[[#This Row],[bill_date]],"mmmm")</f>
        <v>August</v>
      </c>
      <c r="E3437" s="9">
        <f>YEAR(Table5[[#This Row],[bill_date]])</f>
        <v>2022</v>
      </c>
      <c r="F3437">
        <v>1013</v>
      </c>
      <c r="G3437" t="s">
        <v>30</v>
      </c>
    </row>
    <row r="3438" spans="1:7" x14ac:dyDescent="0.3">
      <c r="A3438">
        <v>33437</v>
      </c>
      <c r="B3438">
        <v>73</v>
      </c>
      <c r="C3438" s="2">
        <v>44971</v>
      </c>
      <c r="D3438" s="2" t="str">
        <f>TEXT(Table5[[#This Row],[bill_date]],"mmmm")</f>
        <v>February</v>
      </c>
      <c r="E3438" s="9">
        <f>YEAR(Table5[[#This Row],[bill_date]])</f>
        <v>2023</v>
      </c>
      <c r="F3438">
        <v>296</v>
      </c>
      <c r="G3438" t="s">
        <v>30</v>
      </c>
    </row>
    <row r="3439" spans="1:7" x14ac:dyDescent="0.3">
      <c r="A3439">
        <v>33438</v>
      </c>
      <c r="B3439">
        <v>225</v>
      </c>
      <c r="C3439" s="2">
        <v>44804</v>
      </c>
      <c r="D3439" s="2" t="str">
        <f>TEXT(Table5[[#This Row],[bill_date]],"mmmm")</f>
        <v>August</v>
      </c>
      <c r="E3439" s="9">
        <f>YEAR(Table5[[#This Row],[bill_date]])</f>
        <v>2022</v>
      </c>
      <c r="F3439">
        <v>1367</v>
      </c>
      <c r="G3439" t="s">
        <v>30</v>
      </c>
    </row>
    <row r="3440" spans="1:7" x14ac:dyDescent="0.3">
      <c r="A3440">
        <v>33439</v>
      </c>
      <c r="B3440">
        <v>384</v>
      </c>
      <c r="C3440" s="2">
        <v>45331</v>
      </c>
      <c r="D3440" s="2" t="str">
        <f>TEXT(Table5[[#This Row],[bill_date]],"mmmm")</f>
        <v>February</v>
      </c>
      <c r="E3440" s="9">
        <f>YEAR(Table5[[#This Row],[bill_date]])</f>
        <v>2024</v>
      </c>
      <c r="F3440">
        <v>992</v>
      </c>
      <c r="G3440" t="s">
        <v>30</v>
      </c>
    </row>
    <row r="3441" spans="1:7" x14ac:dyDescent="0.3">
      <c r="A3441">
        <v>33440</v>
      </c>
      <c r="B3441">
        <v>230</v>
      </c>
      <c r="C3441" s="2">
        <v>45029</v>
      </c>
      <c r="D3441" s="2" t="str">
        <f>TEXT(Table5[[#This Row],[bill_date]],"mmmm")</f>
        <v>April</v>
      </c>
      <c r="E3441" s="9">
        <f>YEAR(Table5[[#This Row],[bill_date]])</f>
        <v>2023</v>
      </c>
      <c r="F3441">
        <v>325</v>
      </c>
      <c r="G3441" t="s">
        <v>28</v>
      </c>
    </row>
    <row r="3442" spans="1:7" x14ac:dyDescent="0.3">
      <c r="A3442">
        <v>33441</v>
      </c>
      <c r="B3442">
        <v>254</v>
      </c>
      <c r="C3442" s="2">
        <v>45019</v>
      </c>
      <c r="D3442" s="2" t="str">
        <f>TEXT(Table5[[#This Row],[bill_date]],"mmmm")</f>
        <v>April</v>
      </c>
      <c r="E3442" s="9">
        <f>YEAR(Table5[[#This Row],[bill_date]])</f>
        <v>2023</v>
      </c>
      <c r="F3442">
        <v>1526</v>
      </c>
      <c r="G3442" t="s">
        <v>30</v>
      </c>
    </row>
    <row r="3443" spans="1:7" x14ac:dyDescent="0.3">
      <c r="A3443">
        <v>33442</v>
      </c>
      <c r="B3443">
        <v>440</v>
      </c>
      <c r="C3443" s="2">
        <v>45115</v>
      </c>
      <c r="D3443" s="2" t="str">
        <f>TEXT(Table5[[#This Row],[bill_date]],"mmmm")</f>
        <v>July</v>
      </c>
      <c r="E3443" s="9">
        <f>YEAR(Table5[[#This Row],[bill_date]])</f>
        <v>2023</v>
      </c>
      <c r="F3443">
        <v>993</v>
      </c>
      <c r="G3443" t="s">
        <v>30</v>
      </c>
    </row>
    <row r="3444" spans="1:7" x14ac:dyDescent="0.3">
      <c r="A3444">
        <v>33443</v>
      </c>
      <c r="B3444">
        <v>162</v>
      </c>
      <c r="C3444" s="2">
        <v>44774</v>
      </c>
      <c r="D3444" s="2" t="str">
        <f>TEXT(Table5[[#This Row],[bill_date]],"mmmm")</f>
        <v>August</v>
      </c>
      <c r="E3444" s="9">
        <f>YEAR(Table5[[#This Row],[bill_date]])</f>
        <v>2022</v>
      </c>
      <c r="F3444">
        <v>777</v>
      </c>
      <c r="G3444" t="s">
        <v>28</v>
      </c>
    </row>
    <row r="3445" spans="1:7" x14ac:dyDescent="0.3">
      <c r="A3445">
        <v>33444</v>
      </c>
      <c r="B3445">
        <v>355</v>
      </c>
      <c r="C3445" s="2">
        <v>45369</v>
      </c>
      <c r="D3445" s="2" t="str">
        <f>TEXT(Table5[[#This Row],[bill_date]],"mmmm")</f>
        <v>March</v>
      </c>
      <c r="E3445" s="9">
        <f>YEAR(Table5[[#This Row],[bill_date]])</f>
        <v>2024</v>
      </c>
      <c r="F3445">
        <v>1601</v>
      </c>
      <c r="G3445" t="s">
        <v>30</v>
      </c>
    </row>
    <row r="3446" spans="1:7" x14ac:dyDescent="0.3">
      <c r="A3446">
        <v>33445</v>
      </c>
      <c r="B3446">
        <v>250</v>
      </c>
      <c r="C3446" s="2">
        <v>44947</v>
      </c>
      <c r="D3446" s="2" t="str">
        <f>TEXT(Table5[[#This Row],[bill_date]],"mmmm")</f>
        <v>January</v>
      </c>
      <c r="E3446" s="9">
        <f>YEAR(Table5[[#This Row],[bill_date]])</f>
        <v>2023</v>
      </c>
      <c r="F3446">
        <v>1369</v>
      </c>
      <c r="G3446" t="s">
        <v>30</v>
      </c>
    </row>
    <row r="3447" spans="1:7" x14ac:dyDescent="0.3">
      <c r="A3447">
        <v>33446</v>
      </c>
      <c r="B3447">
        <v>495</v>
      </c>
      <c r="C3447" s="2">
        <v>44973</v>
      </c>
      <c r="D3447" s="2" t="str">
        <f>TEXT(Table5[[#This Row],[bill_date]],"mmmm")</f>
        <v>February</v>
      </c>
      <c r="E3447" s="9">
        <f>YEAR(Table5[[#This Row],[bill_date]])</f>
        <v>2023</v>
      </c>
      <c r="F3447">
        <v>1038</v>
      </c>
      <c r="G3447" t="s">
        <v>30</v>
      </c>
    </row>
    <row r="3448" spans="1:7" x14ac:dyDescent="0.3">
      <c r="A3448">
        <v>33447</v>
      </c>
      <c r="B3448">
        <v>410</v>
      </c>
      <c r="C3448" s="2">
        <v>45076</v>
      </c>
      <c r="D3448" s="2" t="str">
        <f>TEXT(Table5[[#This Row],[bill_date]],"mmmm")</f>
        <v>May</v>
      </c>
      <c r="E3448" s="9">
        <f>YEAR(Table5[[#This Row],[bill_date]])</f>
        <v>2023</v>
      </c>
      <c r="F3448">
        <v>1303</v>
      </c>
      <c r="G3448" t="s">
        <v>30</v>
      </c>
    </row>
    <row r="3449" spans="1:7" x14ac:dyDescent="0.3">
      <c r="A3449">
        <v>33448</v>
      </c>
      <c r="B3449">
        <v>199</v>
      </c>
      <c r="C3449" s="2">
        <v>45089</v>
      </c>
      <c r="D3449" s="2" t="str">
        <f>TEXT(Table5[[#This Row],[bill_date]],"mmmm")</f>
        <v>June</v>
      </c>
      <c r="E3449" s="9">
        <f>YEAR(Table5[[#This Row],[bill_date]])</f>
        <v>2023</v>
      </c>
      <c r="F3449">
        <v>1987</v>
      </c>
      <c r="G3449" t="s">
        <v>30</v>
      </c>
    </row>
    <row r="3450" spans="1:7" x14ac:dyDescent="0.3">
      <c r="A3450">
        <v>33449</v>
      </c>
      <c r="B3450">
        <v>429</v>
      </c>
      <c r="C3450" s="2">
        <v>44949</v>
      </c>
      <c r="D3450" s="2" t="str">
        <f>TEXT(Table5[[#This Row],[bill_date]],"mmmm")</f>
        <v>January</v>
      </c>
      <c r="E3450" s="9">
        <f>YEAR(Table5[[#This Row],[bill_date]])</f>
        <v>2023</v>
      </c>
      <c r="F3450">
        <v>1464</v>
      </c>
      <c r="G3450" t="s">
        <v>28</v>
      </c>
    </row>
    <row r="3451" spans="1:7" x14ac:dyDescent="0.3">
      <c r="A3451">
        <v>33450</v>
      </c>
      <c r="B3451">
        <v>240</v>
      </c>
      <c r="C3451" s="2">
        <v>44840</v>
      </c>
      <c r="D3451" s="2" t="str">
        <f>TEXT(Table5[[#This Row],[bill_date]],"mmmm")</f>
        <v>October</v>
      </c>
      <c r="E3451" s="9">
        <f>YEAR(Table5[[#This Row],[bill_date]])</f>
        <v>2022</v>
      </c>
      <c r="F3451">
        <v>1799</v>
      </c>
      <c r="G3451" t="s">
        <v>30</v>
      </c>
    </row>
    <row r="3452" spans="1:7" x14ac:dyDescent="0.3">
      <c r="A3452">
        <v>33451</v>
      </c>
      <c r="B3452">
        <v>237</v>
      </c>
      <c r="C3452" s="2">
        <v>44663</v>
      </c>
      <c r="D3452" s="2" t="str">
        <f>TEXT(Table5[[#This Row],[bill_date]],"mmmm")</f>
        <v>April</v>
      </c>
      <c r="E3452" s="9">
        <f>YEAR(Table5[[#This Row],[bill_date]])</f>
        <v>2022</v>
      </c>
      <c r="F3452">
        <v>781</v>
      </c>
      <c r="G3452" t="s">
        <v>30</v>
      </c>
    </row>
    <row r="3453" spans="1:7" x14ac:dyDescent="0.3">
      <c r="A3453">
        <v>33452</v>
      </c>
      <c r="B3453">
        <v>475</v>
      </c>
      <c r="C3453" s="2">
        <v>45150</v>
      </c>
      <c r="D3453" s="2" t="str">
        <f>TEXT(Table5[[#This Row],[bill_date]],"mmmm")</f>
        <v>August</v>
      </c>
      <c r="E3453" s="9">
        <f>YEAR(Table5[[#This Row],[bill_date]])</f>
        <v>2023</v>
      </c>
      <c r="F3453">
        <v>746</v>
      </c>
      <c r="G3453" t="s">
        <v>30</v>
      </c>
    </row>
    <row r="3454" spans="1:7" x14ac:dyDescent="0.3">
      <c r="A3454">
        <v>33453</v>
      </c>
      <c r="B3454">
        <v>76</v>
      </c>
      <c r="C3454" s="2">
        <v>44951</v>
      </c>
      <c r="D3454" s="2" t="str">
        <f>TEXT(Table5[[#This Row],[bill_date]],"mmmm")</f>
        <v>January</v>
      </c>
      <c r="E3454" s="9">
        <f>YEAR(Table5[[#This Row],[bill_date]])</f>
        <v>2023</v>
      </c>
      <c r="F3454">
        <v>265</v>
      </c>
      <c r="G3454" t="s">
        <v>30</v>
      </c>
    </row>
    <row r="3455" spans="1:7" x14ac:dyDescent="0.3">
      <c r="A3455">
        <v>33454</v>
      </c>
      <c r="B3455">
        <v>465</v>
      </c>
      <c r="C3455" s="2">
        <v>44763</v>
      </c>
      <c r="D3455" s="2" t="str">
        <f>TEXT(Table5[[#This Row],[bill_date]],"mmmm")</f>
        <v>July</v>
      </c>
      <c r="E3455" s="9">
        <f>YEAR(Table5[[#This Row],[bill_date]])</f>
        <v>2022</v>
      </c>
      <c r="F3455">
        <v>1817</v>
      </c>
      <c r="G3455" t="s">
        <v>30</v>
      </c>
    </row>
    <row r="3456" spans="1:7" x14ac:dyDescent="0.3">
      <c r="A3456">
        <v>33455</v>
      </c>
      <c r="B3456">
        <v>405</v>
      </c>
      <c r="C3456" s="2">
        <v>45128</v>
      </c>
      <c r="D3456" s="2" t="str">
        <f>TEXT(Table5[[#This Row],[bill_date]],"mmmm")</f>
        <v>July</v>
      </c>
      <c r="E3456" s="9">
        <f>YEAR(Table5[[#This Row],[bill_date]])</f>
        <v>2023</v>
      </c>
      <c r="F3456">
        <v>880</v>
      </c>
      <c r="G3456" t="s">
        <v>30</v>
      </c>
    </row>
    <row r="3457" spans="1:7" x14ac:dyDescent="0.3">
      <c r="A3457">
        <v>33456</v>
      </c>
      <c r="B3457">
        <v>427</v>
      </c>
      <c r="C3457" s="2">
        <v>45282</v>
      </c>
      <c r="D3457" s="2" t="str">
        <f>TEXT(Table5[[#This Row],[bill_date]],"mmmm")</f>
        <v>December</v>
      </c>
      <c r="E3457" s="9">
        <f>YEAR(Table5[[#This Row],[bill_date]])</f>
        <v>2023</v>
      </c>
      <c r="F3457">
        <v>1697</v>
      </c>
      <c r="G3457" t="s">
        <v>30</v>
      </c>
    </row>
    <row r="3458" spans="1:7" x14ac:dyDescent="0.3">
      <c r="A3458">
        <v>33457</v>
      </c>
      <c r="B3458">
        <v>342</v>
      </c>
      <c r="C3458" s="2">
        <v>44953</v>
      </c>
      <c r="D3458" s="2" t="str">
        <f>TEXT(Table5[[#This Row],[bill_date]],"mmmm")</f>
        <v>January</v>
      </c>
      <c r="E3458" s="9">
        <f>YEAR(Table5[[#This Row],[bill_date]])</f>
        <v>2023</v>
      </c>
      <c r="F3458">
        <v>777</v>
      </c>
      <c r="G3458" t="s">
        <v>28</v>
      </c>
    </row>
    <row r="3459" spans="1:7" x14ac:dyDescent="0.3">
      <c r="A3459">
        <v>33458</v>
      </c>
      <c r="B3459">
        <v>474</v>
      </c>
      <c r="C3459" s="2">
        <v>45402</v>
      </c>
      <c r="D3459" s="2" t="str">
        <f>TEXT(Table5[[#This Row],[bill_date]],"mmmm")</f>
        <v>April</v>
      </c>
      <c r="E3459" s="9">
        <f>YEAR(Table5[[#This Row],[bill_date]])</f>
        <v>2024</v>
      </c>
      <c r="F3459">
        <v>1832</v>
      </c>
      <c r="G3459" t="s">
        <v>30</v>
      </c>
    </row>
    <row r="3460" spans="1:7" x14ac:dyDescent="0.3">
      <c r="A3460">
        <v>33459</v>
      </c>
      <c r="B3460">
        <v>295</v>
      </c>
      <c r="C3460" s="2">
        <v>44915</v>
      </c>
      <c r="D3460" s="2" t="str">
        <f>TEXT(Table5[[#This Row],[bill_date]],"mmmm")</f>
        <v>December</v>
      </c>
      <c r="E3460" s="9">
        <f>YEAR(Table5[[#This Row],[bill_date]])</f>
        <v>2022</v>
      </c>
      <c r="F3460">
        <v>1035</v>
      </c>
      <c r="G3460" t="s">
        <v>30</v>
      </c>
    </row>
    <row r="3461" spans="1:7" x14ac:dyDescent="0.3">
      <c r="A3461">
        <v>33460</v>
      </c>
      <c r="B3461">
        <v>397</v>
      </c>
      <c r="C3461" s="2">
        <v>45154</v>
      </c>
      <c r="D3461" s="2" t="str">
        <f>TEXT(Table5[[#This Row],[bill_date]],"mmmm")</f>
        <v>August</v>
      </c>
      <c r="E3461" s="9">
        <f>YEAR(Table5[[#This Row],[bill_date]])</f>
        <v>2023</v>
      </c>
      <c r="F3461">
        <v>1655</v>
      </c>
      <c r="G3461" t="s">
        <v>28</v>
      </c>
    </row>
    <row r="3462" spans="1:7" x14ac:dyDescent="0.3">
      <c r="A3462">
        <v>33461</v>
      </c>
      <c r="B3462">
        <v>490</v>
      </c>
      <c r="C3462" s="2">
        <v>45317</v>
      </c>
      <c r="D3462" s="2" t="str">
        <f>TEXT(Table5[[#This Row],[bill_date]],"mmmm")</f>
        <v>January</v>
      </c>
      <c r="E3462" s="9">
        <f>YEAR(Table5[[#This Row],[bill_date]])</f>
        <v>2024</v>
      </c>
      <c r="F3462">
        <v>1984</v>
      </c>
      <c r="G3462" t="s">
        <v>30</v>
      </c>
    </row>
    <row r="3463" spans="1:7" x14ac:dyDescent="0.3">
      <c r="A3463">
        <v>33462</v>
      </c>
      <c r="B3463">
        <v>426</v>
      </c>
      <c r="C3463" s="2">
        <v>44796</v>
      </c>
      <c r="D3463" s="2" t="str">
        <f>TEXT(Table5[[#This Row],[bill_date]],"mmmm")</f>
        <v>August</v>
      </c>
      <c r="E3463" s="9">
        <f>YEAR(Table5[[#This Row],[bill_date]])</f>
        <v>2022</v>
      </c>
      <c r="F3463">
        <v>1524</v>
      </c>
      <c r="G3463" t="s">
        <v>30</v>
      </c>
    </row>
    <row r="3464" spans="1:7" x14ac:dyDescent="0.3">
      <c r="A3464">
        <v>33463</v>
      </c>
      <c r="B3464">
        <v>45</v>
      </c>
      <c r="C3464" s="2">
        <v>44675</v>
      </c>
      <c r="D3464" s="2" t="str">
        <f>TEXT(Table5[[#This Row],[bill_date]],"mmmm")</f>
        <v>April</v>
      </c>
      <c r="E3464" s="9">
        <f>YEAR(Table5[[#This Row],[bill_date]])</f>
        <v>2022</v>
      </c>
      <c r="F3464">
        <v>1942</v>
      </c>
      <c r="G3464" t="s">
        <v>30</v>
      </c>
    </row>
    <row r="3465" spans="1:7" x14ac:dyDescent="0.3">
      <c r="A3465">
        <v>33464</v>
      </c>
      <c r="B3465">
        <v>343</v>
      </c>
      <c r="C3465" s="2">
        <v>44628</v>
      </c>
      <c r="D3465" s="2" t="str">
        <f>TEXT(Table5[[#This Row],[bill_date]],"mmmm")</f>
        <v>March</v>
      </c>
      <c r="E3465" s="9">
        <f>YEAR(Table5[[#This Row],[bill_date]])</f>
        <v>2022</v>
      </c>
      <c r="F3465">
        <v>1022</v>
      </c>
      <c r="G3465" t="s">
        <v>30</v>
      </c>
    </row>
    <row r="3466" spans="1:7" x14ac:dyDescent="0.3">
      <c r="A3466">
        <v>33465</v>
      </c>
      <c r="B3466">
        <v>179</v>
      </c>
      <c r="C3466" s="2">
        <v>45370</v>
      </c>
      <c r="D3466" s="2" t="str">
        <f>TEXT(Table5[[#This Row],[bill_date]],"mmmm")</f>
        <v>March</v>
      </c>
      <c r="E3466" s="9">
        <f>YEAR(Table5[[#This Row],[bill_date]])</f>
        <v>2024</v>
      </c>
      <c r="F3466">
        <v>1597</v>
      </c>
      <c r="G3466" t="s">
        <v>30</v>
      </c>
    </row>
    <row r="3467" spans="1:7" x14ac:dyDescent="0.3">
      <c r="A3467">
        <v>33466</v>
      </c>
      <c r="B3467">
        <v>222</v>
      </c>
      <c r="C3467" s="2">
        <v>44601</v>
      </c>
      <c r="D3467" s="2" t="str">
        <f>TEXT(Table5[[#This Row],[bill_date]],"mmmm")</f>
        <v>February</v>
      </c>
      <c r="E3467" s="9">
        <f>YEAR(Table5[[#This Row],[bill_date]])</f>
        <v>2022</v>
      </c>
      <c r="F3467">
        <v>773</v>
      </c>
      <c r="G3467" t="s">
        <v>30</v>
      </c>
    </row>
    <row r="3468" spans="1:7" x14ac:dyDescent="0.3">
      <c r="A3468">
        <v>33467</v>
      </c>
      <c r="B3468">
        <v>375</v>
      </c>
      <c r="C3468" s="2">
        <v>45294</v>
      </c>
      <c r="D3468" s="2" t="str">
        <f>TEXT(Table5[[#This Row],[bill_date]],"mmmm")</f>
        <v>January</v>
      </c>
      <c r="E3468" s="9">
        <f>YEAR(Table5[[#This Row],[bill_date]])</f>
        <v>2024</v>
      </c>
      <c r="F3468">
        <v>1300</v>
      </c>
      <c r="G3468" t="s">
        <v>30</v>
      </c>
    </row>
    <row r="3469" spans="1:7" x14ac:dyDescent="0.3">
      <c r="A3469">
        <v>33468</v>
      </c>
      <c r="B3469">
        <v>17</v>
      </c>
      <c r="C3469" s="2">
        <v>44664</v>
      </c>
      <c r="D3469" s="2" t="str">
        <f>TEXT(Table5[[#This Row],[bill_date]],"mmmm")</f>
        <v>April</v>
      </c>
      <c r="E3469" s="9">
        <f>YEAR(Table5[[#This Row],[bill_date]])</f>
        <v>2022</v>
      </c>
      <c r="F3469">
        <v>228</v>
      </c>
      <c r="G3469" t="s">
        <v>30</v>
      </c>
    </row>
    <row r="3470" spans="1:7" x14ac:dyDescent="0.3">
      <c r="A3470">
        <v>33469</v>
      </c>
      <c r="B3470">
        <v>219</v>
      </c>
      <c r="C3470" s="2">
        <v>44972</v>
      </c>
      <c r="D3470" s="2" t="str">
        <f>TEXT(Table5[[#This Row],[bill_date]],"mmmm")</f>
        <v>February</v>
      </c>
      <c r="E3470" s="9">
        <f>YEAR(Table5[[#This Row],[bill_date]])</f>
        <v>2023</v>
      </c>
      <c r="F3470">
        <v>1574</v>
      </c>
      <c r="G3470" t="s">
        <v>30</v>
      </c>
    </row>
    <row r="3471" spans="1:7" x14ac:dyDescent="0.3">
      <c r="A3471">
        <v>33470</v>
      </c>
      <c r="B3471">
        <v>84</v>
      </c>
      <c r="C3471" s="2">
        <v>44856</v>
      </c>
      <c r="D3471" s="2" t="str">
        <f>TEXT(Table5[[#This Row],[bill_date]],"mmmm")</f>
        <v>October</v>
      </c>
      <c r="E3471" s="9">
        <f>YEAR(Table5[[#This Row],[bill_date]])</f>
        <v>2022</v>
      </c>
      <c r="F3471">
        <v>961</v>
      </c>
      <c r="G3471" t="s">
        <v>30</v>
      </c>
    </row>
    <row r="3472" spans="1:7" x14ac:dyDescent="0.3">
      <c r="A3472">
        <v>33471</v>
      </c>
      <c r="B3472">
        <v>191</v>
      </c>
      <c r="C3472" s="2">
        <v>45126</v>
      </c>
      <c r="D3472" s="2" t="str">
        <f>TEXT(Table5[[#This Row],[bill_date]],"mmmm")</f>
        <v>July</v>
      </c>
      <c r="E3472" s="9">
        <f>YEAR(Table5[[#This Row],[bill_date]])</f>
        <v>2023</v>
      </c>
      <c r="F3472">
        <v>1029</v>
      </c>
      <c r="G3472" t="s">
        <v>30</v>
      </c>
    </row>
    <row r="3473" spans="1:7" x14ac:dyDescent="0.3">
      <c r="A3473">
        <v>33472</v>
      </c>
      <c r="B3473">
        <v>391</v>
      </c>
      <c r="C3473" s="2">
        <v>45369</v>
      </c>
      <c r="D3473" s="2" t="str">
        <f>TEXT(Table5[[#This Row],[bill_date]],"mmmm")</f>
        <v>March</v>
      </c>
      <c r="E3473" s="9">
        <f>YEAR(Table5[[#This Row],[bill_date]])</f>
        <v>2024</v>
      </c>
      <c r="F3473">
        <v>1337</v>
      </c>
      <c r="G3473" t="s">
        <v>30</v>
      </c>
    </row>
    <row r="3474" spans="1:7" x14ac:dyDescent="0.3">
      <c r="A3474">
        <v>33473</v>
      </c>
      <c r="B3474">
        <v>439</v>
      </c>
      <c r="C3474" s="2">
        <v>45125</v>
      </c>
      <c r="D3474" s="2" t="str">
        <f>TEXT(Table5[[#This Row],[bill_date]],"mmmm")</f>
        <v>July</v>
      </c>
      <c r="E3474" s="9">
        <f>YEAR(Table5[[#This Row],[bill_date]])</f>
        <v>2023</v>
      </c>
      <c r="F3474">
        <v>1554</v>
      </c>
      <c r="G3474" t="s">
        <v>30</v>
      </c>
    </row>
    <row r="3475" spans="1:7" x14ac:dyDescent="0.3">
      <c r="A3475">
        <v>33474</v>
      </c>
      <c r="B3475">
        <v>132</v>
      </c>
      <c r="C3475" s="2">
        <v>44598</v>
      </c>
      <c r="D3475" s="2" t="str">
        <f>TEXT(Table5[[#This Row],[bill_date]],"mmmm")</f>
        <v>February</v>
      </c>
      <c r="E3475" s="9">
        <f>YEAR(Table5[[#This Row],[bill_date]])</f>
        <v>2022</v>
      </c>
      <c r="F3475">
        <v>1727</v>
      </c>
      <c r="G3475" t="s">
        <v>30</v>
      </c>
    </row>
    <row r="3476" spans="1:7" x14ac:dyDescent="0.3">
      <c r="A3476">
        <v>33475</v>
      </c>
      <c r="B3476">
        <v>497</v>
      </c>
      <c r="C3476" s="2">
        <v>44628</v>
      </c>
      <c r="D3476" s="2" t="str">
        <f>TEXT(Table5[[#This Row],[bill_date]],"mmmm")</f>
        <v>March</v>
      </c>
      <c r="E3476" s="9">
        <f>YEAR(Table5[[#This Row],[bill_date]])</f>
        <v>2022</v>
      </c>
      <c r="F3476">
        <v>929</v>
      </c>
      <c r="G3476" t="s">
        <v>28</v>
      </c>
    </row>
    <row r="3477" spans="1:7" x14ac:dyDescent="0.3">
      <c r="A3477">
        <v>33476</v>
      </c>
      <c r="B3477">
        <v>287</v>
      </c>
      <c r="C3477" s="2">
        <v>44964</v>
      </c>
      <c r="D3477" s="2" t="str">
        <f>TEXT(Table5[[#This Row],[bill_date]],"mmmm")</f>
        <v>February</v>
      </c>
      <c r="E3477" s="9">
        <f>YEAR(Table5[[#This Row],[bill_date]])</f>
        <v>2023</v>
      </c>
      <c r="F3477">
        <v>1376</v>
      </c>
      <c r="G3477" t="s">
        <v>30</v>
      </c>
    </row>
    <row r="3478" spans="1:7" x14ac:dyDescent="0.3">
      <c r="A3478">
        <v>33477</v>
      </c>
      <c r="B3478">
        <v>94</v>
      </c>
      <c r="C3478" s="2">
        <v>45235</v>
      </c>
      <c r="D3478" s="2" t="str">
        <f>TEXT(Table5[[#This Row],[bill_date]],"mmmm")</f>
        <v>November</v>
      </c>
      <c r="E3478" s="9">
        <f>YEAR(Table5[[#This Row],[bill_date]])</f>
        <v>2023</v>
      </c>
      <c r="F3478">
        <v>1955</v>
      </c>
      <c r="G3478" t="s">
        <v>30</v>
      </c>
    </row>
    <row r="3479" spans="1:7" x14ac:dyDescent="0.3">
      <c r="A3479">
        <v>33478</v>
      </c>
      <c r="B3479">
        <v>95</v>
      </c>
      <c r="C3479" s="2">
        <v>44767</v>
      </c>
      <c r="D3479" s="2" t="str">
        <f>TEXT(Table5[[#This Row],[bill_date]],"mmmm")</f>
        <v>July</v>
      </c>
      <c r="E3479" s="9">
        <f>YEAR(Table5[[#This Row],[bill_date]])</f>
        <v>2022</v>
      </c>
      <c r="F3479">
        <v>733</v>
      </c>
      <c r="G3479" t="s">
        <v>30</v>
      </c>
    </row>
    <row r="3480" spans="1:7" x14ac:dyDescent="0.3">
      <c r="A3480">
        <v>33479</v>
      </c>
      <c r="B3480">
        <v>184</v>
      </c>
      <c r="C3480" s="2">
        <v>44902</v>
      </c>
      <c r="D3480" s="2" t="str">
        <f>TEXT(Table5[[#This Row],[bill_date]],"mmmm")</f>
        <v>December</v>
      </c>
      <c r="E3480" s="9">
        <f>YEAR(Table5[[#This Row],[bill_date]])</f>
        <v>2022</v>
      </c>
      <c r="F3480">
        <v>567</v>
      </c>
      <c r="G3480" t="s">
        <v>30</v>
      </c>
    </row>
    <row r="3481" spans="1:7" x14ac:dyDescent="0.3">
      <c r="A3481">
        <v>33480</v>
      </c>
      <c r="B3481">
        <v>132</v>
      </c>
      <c r="C3481" s="2">
        <v>45395</v>
      </c>
      <c r="D3481" s="2" t="str">
        <f>TEXT(Table5[[#This Row],[bill_date]],"mmmm")</f>
        <v>April</v>
      </c>
      <c r="E3481" s="9">
        <f>YEAR(Table5[[#This Row],[bill_date]])</f>
        <v>2024</v>
      </c>
      <c r="F3481">
        <v>1948</v>
      </c>
      <c r="G3481" t="s">
        <v>30</v>
      </c>
    </row>
    <row r="3482" spans="1:7" x14ac:dyDescent="0.3">
      <c r="A3482">
        <v>33481</v>
      </c>
      <c r="B3482">
        <v>82</v>
      </c>
      <c r="C3482" s="2">
        <v>44613</v>
      </c>
      <c r="D3482" s="2" t="str">
        <f>TEXT(Table5[[#This Row],[bill_date]],"mmmm")</f>
        <v>February</v>
      </c>
      <c r="E3482" s="9">
        <f>YEAR(Table5[[#This Row],[bill_date]])</f>
        <v>2022</v>
      </c>
      <c r="F3482">
        <v>1882</v>
      </c>
      <c r="G3482" t="s">
        <v>29</v>
      </c>
    </row>
    <row r="3483" spans="1:7" x14ac:dyDescent="0.3">
      <c r="A3483">
        <v>33482</v>
      </c>
      <c r="B3483">
        <v>340</v>
      </c>
      <c r="C3483" s="2">
        <v>44987</v>
      </c>
      <c r="D3483" s="2" t="str">
        <f>TEXT(Table5[[#This Row],[bill_date]],"mmmm")</f>
        <v>March</v>
      </c>
      <c r="E3483" s="9">
        <f>YEAR(Table5[[#This Row],[bill_date]])</f>
        <v>2023</v>
      </c>
      <c r="F3483">
        <v>1580</v>
      </c>
      <c r="G3483" t="s">
        <v>30</v>
      </c>
    </row>
    <row r="3484" spans="1:7" x14ac:dyDescent="0.3">
      <c r="A3484">
        <v>33483</v>
      </c>
      <c r="B3484">
        <v>296</v>
      </c>
      <c r="C3484" s="2">
        <v>44770</v>
      </c>
      <c r="D3484" s="2" t="str">
        <f>TEXT(Table5[[#This Row],[bill_date]],"mmmm")</f>
        <v>July</v>
      </c>
      <c r="E3484" s="9">
        <f>YEAR(Table5[[#This Row],[bill_date]])</f>
        <v>2022</v>
      </c>
      <c r="F3484">
        <v>500</v>
      </c>
      <c r="G3484" t="s">
        <v>30</v>
      </c>
    </row>
    <row r="3485" spans="1:7" x14ac:dyDescent="0.3">
      <c r="A3485">
        <v>33484</v>
      </c>
      <c r="B3485">
        <v>360</v>
      </c>
      <c r="C3485" s="2">
        <v>45075</v>
      </c>
      <c r="D3485" s="2" t="str">
        <f>TEXT(Table5[[#This Row],[bill_date]],"mmmm")</f>
        <v>May</v>
      </c>
      <c r="E3485" s="9">
        <f>YEAR(Table5[[#This Row],[bill_date]])</f>
        <v>2023</v>
      </c>
      <c r="F3485">
        <v>1942</v>
      </c>
      <c r="G3485" t="s">
        <v>30</v>
      </c>
    </row>
    <row r="3486" spans="1:7" x14ac:dyDescent="0.3">
      <c r="A3486">
        <v>33485</v>
      </c>
      <c r="B3486">
        <v>112</v>
      </c>
      <c r="C3486" s="2">
        <v>45202</v>
      </c>
      <c r="D3486" s="2" t="str">
        <f>TEXT(Table5[[#This Row],[bill_date]],"mmmm")</f>
        <v>October</v>
      </c>
      <c r="E3486" s="9">
        <f>YEAR(Table5[[#This Row],[bill_date]])</f>
        <v>2023</v>
      </c>
      <c r="F3486">
        <v>1893</v>
      </c>
      <c r="G3486" t="s">
        <v>30</v>
      </c>
    </row>
    <row r="3487" spans="1:7" x14ac:dyDescent="0.3">
      <c r="A3487">
        <v>33486</v>
      </c>
      <c r="B3487">
        <v>303</v>
      </c>
      <c r="C3487" s="2">
        <v>44739</v>
      </c>
      <c r="D3487" s="2" t="str">
        <f>TEXT(Table5[[#This Row],[bill_date]],"mmmm")</f>
        <v>June</v>
      </c>
      <c r="E3487" s="9">
        <f>YEAR(Table5[[#This Row],[bill_date]])</f>
        <v>2022</v>
      </c>
      <c r="F3487">
        <v>1673</v>
      </c>
      <c r="G3487" t="s">
        <v>30</v>
      </c>
    </row>
    <row r="3488" spans="1:7" x14ac:dyDescent="0.3">
      <c r="A3488">
        <v>33487</v>
      </c>
      <c r="B3488">
        <v>306</v>
      </c>
      <c r="C3488" s="2">
        <v>45237</v>
      </c>
      <c r="D3488" s="2" t="str">
        <f>TEXT(Table5[[#This Row],[bill_date]],"mmmm")</f>
        <v>November</v>
      </c>
      <c r="E3488" s="9">
        <f>YEAR(Table5[[#This Row],[bill_date]])</f>
        <v>2023</v>
      </c>
      <c r="F3488">
        <v>1115</v>
      </c>
      <c r="G3488" t="s">
        <v>30</v>
      </c>
    </row>
    <row r="3489" spans="1:7" x14ac:dyDescent="0.3">
      <c r="A3489">
        <v>33488</v>
      </c>
      <c r="B3489">
        <v>407</v>
      </c>
      <c r="C3489" s="2">
        <v>45426</v>
      </c>
      <c r="D3489" s="2" t="str">
        <f>TEXT(Table5[[#This Row],[bill_date]],"mmmm")</f>
        <v>May</v>
      </c>
      <c r="E3489" s="9">
        <f>YEAR(Table5[[#This Row],[bill_date]])</f>
        <v>2024</v>
      </c>
      <c r="F3489">
        <v>505</v>
      </c>
      <c r="G3489" t="s">
        <v>30</v>
      </c>
    </row>
    <row r="3490" spans="1:7" x14ac:dyDescent="0.3">
      <c r="A3490">
        <v>33489</v>
      </c>
      <c r="B3490">
        <v>51</v>
      </c>
      <c r="C3490" s="2">
        <v>44583</v>
      </c>
      <c r="D3490" s="2" t="str">
        <f>TEXT(Table5[[#This Row],[bill_date]],"mmmm")</f>
        <v>January</v>
      </c>
      <c r="E3490" s="9">
        <f>YEAR(Table5[[#This Row],[bill_date]])</f>
        <v>2022</v>
      </c>
      <c r="F3490">
        <v>1901</v>
      </c>
      <c r="G3490" t="s">
        <v>30</v>
      </c>
    </row>
    <row r="3491" spans="1:7" x14ac:dyDescent="0.3">
      <c r="A3491">
        <v>33490</v>
      </c>
      <c r="B3491">
        <v>294</v>
      </c>
      <c r="C3491" s="2">
        <v>44930</v>
      </c>
      <c r="D3491" s="2" t="str">
        <f>TEXT(Table5[[#This Row],[bill_date]],"mmmm")</f>
        <v>January</v>
      </c>
      <c r="E3491" s="9">
        <f>YEAR(Table5[[#This Row],[bill_date]])</f>
        <v>2023</v>
      </c>
      <c r="F3491">
        <v>1285</v>
      </c>
      <c r="G3491" t="s">
        <v>28</v>
      </c>
    </row>
    <row r="3492" spans="1:7" x14ac:dyDescent="0.3">
      <c r="A3492">
        <v>33491</v>
      </c>
      <c r="B3492">
        <v>393</v>
      </c>
      <c r="C3492" s="2">
        <v>45300</v>
      </c>
      <c r="D3492" s="2" t="str">
        <f>TEXT(Table5[[#This Row],[bill_date]],"mmmm")</f>
        <v>January</v>
      </c>
      <c r="E3492" s="9">
        <f>YEAR(Table5[[#This Row],[bill_date]])</f>
        <v>2024</v>
      </c>
      <c r="F3492">
        <v>1035</v>
      </c>
      <c r="G3492" t="s">
        <v>30</v>
      </c>
    </row>
    <row r="3493" spans="1:7" x14ac:dyDescent="0.3">
      <c r="A3493">
        <v>33492</v>
      </c>
      <c r="B3493">
        <v>189</v>
      </c>
      <c r="C3493" s="2">
        <v>44643</v>
      </c>
      <c r="D3493" s="2" t="str">
        <f>TEXT(Table5[[#This Row],[bill_date]],"mmmm")</f>
        <v>March</v>
      </c>
      <c r="E3493" s="9">
        <f>YEAR(Table5[[#This Row],[bill_date]])</f>
        <v>2022</v>
      </c>
      <c r="F3493">
        <v>1498</v>
      </c>
      <c r="G3493" t="s">
        <v>30</v>
      </c>
    </row>
    <row r="3494" spans="1:7" x14ac:dyDescent="0.3">
      <c r="A3494">
        <v>33493</v>
      </c>
      <c r="B3494">
        <v>208</v>
      </c>
      <c r="C3494" s="2">
        <v>44725</v>
      </c>
      <c r="D3494" s="2" t="str">
        <f>TEXT(Table5[[#This Row],[bill_date]],"mmmm")</f>
        <v>June</v>
      </c>
      <c r="E3494" s="9">
        <f>YEAR(Table5[[#This Row],[bill_date]])</f>
        <v>2022</v>
      </c>
      <c r="F3494">
        <v>709</v>
      </c>
      <c r="G3494" t="s">
        <v>30</v>
      </c>
    </row>
    <row r="3495" spans="1:7" x14ac:dyDescent="0.3">
      <c r="A3495">
        <v>33494</v>
      </c>
      <c r="B3495">
        <v>149</v>
      </c>
      <c r="C3495" s="2">
        <v>44938</v>
      </c>
      <c r="D3495" s="2" t="str">
        <f>TEXT(Table5[[#This Row],[bill_date]],"mmmm")</f>
        <v>January</v>
      </c>
      <c r="E3495" s="9">
        <f>YEAR(Table5[[#This Row],[bill_date]])</f>
        <v>2023</v>
      </c>
      <c r="F3495">
        <v>1216</v>
      </c>
      <c r="G3495" t="s">
        <v>30</v>
      </c>
    </row>
    <row r="3496" spans="1:7" x14ac:dyDescent="0.3">
      <c r="A3496">
        <v>33495</v>
      </c>
      <c r="B3496">
        <v>265</v>
      </c>
      <c r="C3496" s="2">
        <v>44564</v>
      </c>
      <c r="D3496" s="2" t="str">
        <f>TEXT(Table5[[#This Row],[bill_date]],"mmmm")</f>
        <v>January</v>
      </c>
      <c r="E3496" s="9">
        <f>YEAR(Table5[[#This Row],[bill_date]])</f>
        <v>2022</v>
      </c>
      <c r="F3496">
        <v>1085</v>
      </c>
      <c r="G3496" t="s">
        <v>30</v>
      </c>
    </row>
    <row r="3497" spans="1:7" x14ac:dyDescent="0.3">
      <c r="A3497">
        <v>33496</v>
      </c>
      <c r="B3497">
        <v>372</v>
      </c>
      <c r="C3497" s="2">
        <v>45245</v>
      </c>
      <c r="D3497" s="2" t="str">
        <f>TEXT(Table5[[#This Row],[bill_date]],"mmmm")</f>
        <v>November</v>
      </c>
      <c r="E3497" s="9">
        <f>YEAR(Table5[[#This Row],[bill_date]])</f>
        <v>2023</v>
      </c>
      <c r="F3497">
        <v>1757</v>
      </c>
      <c r="G3497" t="s">
        <v>30</v>
      </c>
    </row>
    <row r="3498" spans="1:7" x14ac:dyDescent="0.3">
      <c r="A3498">
        <v>33497</v>
      </c>
      <c r="B3498">
        <v>281</v>
      </c>
      <c r="C3498" s="2">
        <v>44679</v>
      </c>
      <c r="D3498" s="2" t="str">
        <f>TEXT(Table5[[#This Row],[bill_date]],"mmmm")</f>
        <v>April</v>
      </c>
      <c r="E3498" s="9">
        <f>YEAR(Table5[[#This Row],[bill_date]])</f>
        <v>2022</v>
      </c>
      <c r="F3498">
        <v>1958</v>
      </c>
      <c r="G3498" t="s">
        <v>30</v>
      </c>
    </row>
    <row r="3499" spans="1:7" x14ac:dyDescent="0.3">
      <c r="A3499">
        <v>33498</v>
      </c>
      <c r="B3499">
        <v>113</v>
      </c>
      <c r="C3499" s="2">
        <v>45217</v>
      </c>
      <c r="D3499" s="2" t="str">
        <f>TEXT(Table5[[#This Row],[bill_date]],"mmmm")</f>
        <v>October</v>
      </c>
      <c r="E3499" s="9">
        <f>YEAR(Table5[[#This Row],[bill_date]])</f>
        <v>2023</v>
      </c>
      <c r="F3499">
        <v>1136</v>
      </c>
      <c r="G3499" t="s">
        <v>30</v>
      </c>
    </row>
    <row r="3500" spans="1:7" x14ac:dyDescent="0.3">
      <c r="A3500">
        <v>33499</v>
      </c>
      <c r="B3500">
        <v>36</v>
      </c>
      <c r="C3500" s="2">
        <v>45325</v>
      </c>
      <c r="D3500" s="2" t="str">
        <f>TEXT(Table5[[#This Row],[bill_date]],"mmmm")</f>
        <v>February</v>
      </c>
      <c r="E3500" s="9">
        <f>YEAR(Table5[[#This Row],[bill_date]])</f>
        <v>2024</v>
      </c>
      <c r="F3500">
        <v>1935</v>
      </c>
      <c r="G3500" t="s">
        <v>30</v>
      </c>
    </row>
    <row r="3501" spans="1:7" x14ac:dyDescent="0.3">
      <c r="A3501">
        <v>33500</v>
      </c>
      <c r="B3501">
        <v>111</v>
      </c>
      <c r="C3501" s="2">
        <v>44956</v>
      </c>
      <c r="D3501" s="2" t="str">
        <f>TEXT(Table5[[#This Row],[bill_date]],"mmmm")</f>
        <v>January</v>
      </c>
      <c r="E3501" s="9">
        <f>YEAR(Table5[[#This Row],[bill_date]])</f>
        <v>2023</v>
      </c>
      <c r="F3501">
        <v>585</v>
      </c>
      <c r="G3501" t="s">
        <v>29</v>
      </c>
    </row>
    <row r="3502" spans="1:7" x14ac:dyDescent="0.3">
      <c r="A3502">
        <v>33501</v>
      </c>
      <c r="B3502">
        <v>171</v>
      </c>
      <c r="C3502" s="2">
        <v>44827</v>
      </c>
      <c r="D3502" s="2" t="str">
        <f>TEXT(Table5[[#This Row],[bill_date]],"mmmm")</f>
        <v>September</v>
      </c>
      <c r="E3502" s="9">
        <f>YEAR(Table5[[#This Row],[bill_date]])</f>
        <v>2022</v>
      </c>
      <c r="F3502">
        <v>993</v>
      </c>
      <c r="G3502" t="s">
        <v>30</v>
      </c>
    </row>
    <row r="3503" spans="1:7" x14ac:dyDescent="0.3">
      <c r="A3503">
        <v>33502</v>
      </c>
      <c r="B3503">
        <v>78</v>
      </c>
      <c r="C3503" s="2">
        <v>44996</v>
      </c>
      <c r="D3503" s="2" t="str">
        <f>TEXT(Table5[[#This Row],[bill_date]],"mmmm")</f>
        <v>March</v>
      </c>
      <c r="E3503" s="9">
        <f>YEAR(Table5[[#This Row],[bill_date]])</f>
        <v>2023</v>
      </c>
      <c r="F3503">
        <v>1057</v>
      </c>
      <c r="G3503" t="s">
        <v>30</v>
      </c>
    </row>
    <row r="3504" spans="1:7" x14ac:dyDescent="0.3">
      <c r="A3504">
        <v>33503</v>
      </c>
      <c r="B3504">
        <v>337</v>
      </c>
      <c r="C3504" s="2">
        <v>45243</v>
      </c>
      <c r="D3504" s="2" t="str">
        <f>TEXT(Table5[[#This Row],[bill_date]],"mmmm")</f>
        <v>November</v>
      </c>
      <c r="E3504" s="9">
        <f>YEAR(Table5[[#This Row],[bill_date]])</f>
        <v>2023</v>
      </c>
      <c r="F3504">
        <v>656</v>
      </c>
      <c r="G3504" t="s">
        <v>30</v>
      </c>
    </row>
    <row r="3505" spans="1:7" x14ac:dyDescent="0.3">
      <c r="A3505">
        <v>33504</v>
      </c>
      <c r="B3505">
        <v>28</v>
      </c>
      <c r="C3505" s="2">
        <v>45286</v>
      </c>
      <c r="D3505" s="2" t="str">
        <f>TEXT(Table5[[#This Row],[bill_date]],"mmmm")</f>
        <v>December</v>
      </c>
      <c r="E3505" s="9">
        <f>YEAR(Table5[[#This Row],[bill_date]])</f>
        <v>2023</v>
      </c>
      <c r="F3505">
        <v>1630</v>
      </c>
      <c r="G3505" t="s">
        <v>30</v>
      </c>
    </row>
    <row r="3506" spans="1:7" x14ac:dyDescent="0.3">
      <c r="A3506">
        <v>33505</v>
      </c>
      <c r="B3506">
        <v>448</v>
      </c>
      <c r="C3506" s="2">
        <v>45354</v>
      </c>
      <c r="D3506" s="2" t="str">
        <f>TEXT(Table5[[#This Row],[bill_date]],"mmmm")</f>
        <v>March</v>
      </c>
      <c r="E3506" s="9">
        <f>YEAR(Table5[[#This Row],[bill_date]])</f>
        <v>2024</v>
      </c>
      <c r="F3506">
        <v>1949</v>
      </c>
      <c r="G3506" t="s">
        <v>30</v>
      </c>
    </row>
    <row r="3507" spans="1:7" x14ac:dyDescent="0.3">
      <c r="A3507">
        <v>33506</v>
      </c>
      <c r="B3507">
        <v>45</v>
      </c>
      <c r="C3507" s="2">
        <v>44788</v>
      </c>
      <c r="D3507" s="2" t="str">
        <f>TEXT(Table5[[#This Row],[bill_date]],"mmmm")</f>
        <v>August</v>
      </c>
      <c r="E3507" s="9">
        <f>YEAR(Table5[[#This Row],[bill_date]])</f>
        <v>2022</v>
      </c>
      <c r="F3507">
        <v>1608</v>
      </c>
      <c r="G3507" t="s">
        <v>30</v>
      </c>
    </row>
    <row r="3508" spans="1:7" x14ac:dyDescent="0.3">
      <c r="A3508">
        <v>33507</v>
      </c>
      <c r="B3508">
        <v>361</v>
      </c>
      <c r="C3508" s="2">
        <v>44937</v>
      </c>
      <c r="D3508" s="2" t="str">
        <f>TEXT(Table5[[#This Row],[bill_date]],"mmmm")</f>
        <v>January</v>
      </c>
      <c r="E3508" s="9">
        <f>YEAR(Table5[[#This Row],[bill_date]])</f>
        <v>2023</v>
      </c>
      <c r="F3508">
        <v>1612</v>
      </c>
      <c r="G3508" t="s">
        <v>30</v>
      </c>
    </row>
    <row r="3509" spans="1:7" x14ac:dyDescent="0.3">
      <c r="A3509">
        <v>33508</v>
      </c>
      <c r="B3509">
        <v>440</v>
      </c>
      <c r="C3509" s="2">
        <v>44823</v>
      </c>
      <c r="D3509" s="2" t="str">
        <f>TEXT(Table5[[#This Row],[bill_date]],"mmmm")</f>
        <v>September</v>
      </c>
      <c r="E3509" s="9">
        <f>YEAR(Table5[[#This Row],[bill_date]])</f>
        <v>2022</v>
      </c>
      <c r="F3509">
        <v>1451</v>
      </c>
      <c r="G3509" t="s">
        <v>30</v>
      </c>
    </row>
    <row r="3510" spans="1:7" x14ac:dyDescent="0.3">
      <c r="A3510">
        <v>33509</v>
      </c>
      <c r="B3510">
        <v>304</v>
      </c>
      <c r="C3510" s="2">
        <v>44927</v>
      </c>
      <c r="D3510" s="2" t="str">
        <f>TEXT(Table5[[#This Row],[bill_date]],"mmmm")</f>
        <v>January</v>
      </c>
      <c r="E3510" s="9">
        <f>YEAR(Table5[[#This Row],[bill_date]])</f>
        <v>2023</v>
      </c>
      <c r="F3510">
        <v>1449</v>
      </c>
      <c r="G3510" t="s">
        <v>28</v>
      </c>
    </row>
    <row r="3511" spans="1:7" x14ac:dyDescent="0.3">
      <c r="A3511">
        <v>33510</v>
      </c>
      <c r="B3511">
        <v>392</v>
      </c>
      <c r="C3511" s="2">
        <v>45328</v>
      </c>
      <c r="D3511" s="2" t="str">
        <f>TEXT(Table5[[#This Row],[bill_date]],"mmmm")</f>
        <v>February</v>
      </c>
      <c r="E3511" s="9">
        <f>YEAR(Table5[[#This Row],[bill_date]])</f>
        <v>2024</v>
      </c>
      <c r="F3511">
        <v>1549</v>
      </c>
      <c r="G3511" t="s">
        <v>30</v>
      </c>
    </row>
    <row r="3512" spans="1:7" x14ac:dyDescent="0.3">
      <c r="A3512">
        <v>33511</v>
      </c>
      <c r="B3512">
        <v>142</v>
      </c>
      <c r="C3512" s="2">
        <v>44989</v>
      </c>
      <c r="D3512" s="2" t="str">
        <f>TEXT(Table5[[#This Row],[bill_date]],"mmmm")</f>
        <v>March</v>
      </c>
      <c r="E3512" s="9">
        <f>YEAR(Table5[[#This Row],[bill_date]])</f>
        <v>2023</v>
      </c>
      <c r="F3512">
        <v>1557</v>
      </c>
      <c r="G3512" t="s">
        <v>28</v>
      </c>
    </row>
    <row r="3513" spans="1:7" x14ac:dyDescent="0.3">
      <c r="A3513">
        <v>33512</v>
      </c>
      <c r="B3513">
        <v>15</v>
      </c>
      <c r="C3513" s="2">
        <v>44569</v>
      </c>
      <c r="D3513" s="2" t="str">
        <f>TEXT(Table5[[#This Row],[bill_date]],"mmmm")</f>
        <v>January</v>
      </c>
      <c r="E3513" s="9">
        <f>YEAR(Table5[[#This Row],[bill_date]])</f>
        <v>2022</v>
      </c>
      <c r="F3513">
        <v>475</v>
      </c>
      <c r="G3513" t="s">
        <v>30</v>
      </c>
    </row>
    <row r="3514" spans="1:7" x14ac:dyDescent="0.3">
      <c r="A3514">
        <v>33513</v>
      </c>
      <c r="B3514">
        <v>128</v>
      </c>
      <c r="C3514" s="2">
        <v>44602</v>
      </c>
      <c r="D3514" s="2" t="str">
        <f>TEXT(Table5[[#This Row],[bill_date]],"mmmm")</f>
        <v>February</v>
      </c>
      <c r="E3514" s="9">
        <f>YEAR(Table5[[#This Row],[bill_date]])</f>
        <v>2022</v>
      </c>
      <c r="F3514">
        <v>428</v>
      </c>
      <c r="G3514" t="s">
        <v>30</v>
      </c>
    </row>
    <row r="3515" spans="1:7" x14ac:dyDescent="0.3">
      <c r="A3515">
        <v>33514</v>
      </c>
      <c r="B3515">
        <v>167</v>
      </c>
      <c r="C3515" s="2">
        <v>45439</v>
      </c>
      <c r="D3515" s="2" t="str">
        <f>TEXT(Table5[[#This Row],[bill_date]],"mmmm")</f>
        <v>May</v>
      </c>
      <c r="E3515" s="9">
        <f>YEAR(Table5[[#This Row],[bill_date]])</f>
        <v>2024</v>
      </c>
      <c r="F3515">
        <v>1949</v>
      </c>
      <c r="G3515" t="s">
        <v>30</v>
      </c>
    </row>
    <row r="3516" spans="1:7" x14ac:dyDescent="0.3">
      <c r="A3516">
        <v>33515</v>
      </c>
      <c r="B3516">
        <v>153</v>
      </c>
      <c r="C3516" s="2">
        <v>44818</v>
      </c>
      <c r="D3516" s="2" t="str">
        <f>TEXT(Table5[[#This Row],[bill_date]],"mmmm")</f>
        <v>September</v>
      </c>
      <c r="E3516" s="9">
        <f>YEAR(Table5[[#This Row],[bill_date]])</f>
        <v>2022</v>
      </c>
      <c r="F3516">
        <v>1379</v>
      </c>
      <c r="G3516" t="s">
        <v>30</v>
      </c>
    </row>
    <row r="3517" spans="1:7" x14ac:dyDescent="0.3">
      <c r="A3517">
        <v>33516</v>
      </c>
      <c r="B3517">
        <v>63</v>
      </c>
      <c r="C3517" s="2">
        <v>45204</v>
      </c>
      <c r="D3517" s="2" t="str">
        <f>TEXT(Table5[[#This Row],[bill_date]],"mmmm")</f>
        <v>October</v>
      </c>
      <c r="E3517" s="9">
        <f>YEAR(Table5[[#This Row],[bill_date]])</f>
        <v>2023</v>
      </c>
      <c r="F3517">
        <v>211</v>
      </c>
      <c r="G3517" t="s">
        <v>30</v>
      </c>
    </row>
    <row r="3518" spans="1:7" x14ac:dyDescent="0.3">
      <c r="A3518">
        <v>33517</v>
      </c>
      <c r="B3518">
        <v>59</v>
      </c>
      <c r="C3518" s="2">
        <v>45125</v>
      </c>
      <c r="D3518" s="2" t="str">
        <f>TEXT(Table5[[#This Row],[bill_date]],"mmmm")</f>
        <v>July</v>
      </c>
      <c r="E3518" s="9">
        <f>YEAR(Table5[[#This Row],[bill_date]])</f>
        <v>2023</v>
      </c>
      <c r="F3518">
        <v>1725</v>
      </c>
      <c r="G3518" t="s">
        <v>30</v>
      </c>
    </row>
    <row r="3519" spans="1:7" x14ac:dyDescent="0.3">
      <c r="A3519">
        <v>33518</v>
      </c>
      <c r="B3519">
        <v>203</v>
      </c>
      <c r="C3519" s="2">
        <v>44663</v>
      </c>
      <c r="D3519" s="2" t="str">
        <f>TEXT(Table5[[#This Row],[bill_date]],"mmmm")</f>
        <v>April</v>
      </c>
      <c r="E3519" s="9">
        <f>YEAR(Table5[[#This Row],[bill_date]])</f>
        <v>2022</v>
      </c>
      <c r="F3519">
        <v>395</v>
      </c>
      <c r="G3519" t="s">
        <v>30</v>
      </c>
    </row>
    <row r="3520" spans="1:7" x14ac:dyDescent="0.3">
      <c r="A3520">
        <v>33519</v>
      </c>
      <c r="B3520">
        <v>157</v>
      </c>
      <c r="C3520" s="2">
        <v>44780</v>
      </c>
      <c r="D3520" s="2" t="str">
        <f>TEXT(Table5[[#This Row],[bill_date]],"mmmm")</f>
        <v>August</v>
      </c>
      <c r="E3520" s="9">
        <f>YEAR(Table5[[#This Row],[bill_date]])</f>
        <v>2022</v>
      </c>
      <c r="F3520">
        <v>1845</v>
      </c>
      <c r="G3520" t="s">
        <v>28</v>
      </c>
    </row>
    <row r="3521" spans="1:7" x14ac:dyDescent="0.3">
      <c r="A3521">
        <v>33520</v>
      </c>
      <c r="B3521">
        <v>3</v>
      </c>
      <c r="C3521" s="2">
        <v>44805</v>
      </c>
      <c r="D3521" s="2" t="str">
        <f>TEXT(Table5[[#This Row],[bill_date]],"mmmm")</f>
        <v>September</v>
      </c>
      <c r="E3521" s="9">
        <f>YEAR(Table5[[#This Row],[bill_date]])</f>
        <v>2022</v>
      </c>
      <c r="F3521">
        <v>813</v>
      </c>
      <c r="G3521" t="s">
        <v>28</v>
      </c>
    </row>
    <row r="3522" spans="1:7" x14ac:dyDescent="0.3">
      <c r="A3522">
        <v>33521</v>
      </c>
      <c r="B3522">
        <v>39</v>
      </c>
      <c r="C3522" s="2">
        <v>45406</v>
      </c>
      <c r="D3522" s="2" t="str">
        <f>TEXT(Table5[[#This Row],[bill_date]],"mmmm")</f>
        <v>April</v>
      </c>
      <c r="E3522" s="9">
        <f>YEAR(Table5[[#This Row],[bill_date]])</f>
        <v>2024</v>
      </c>
      <c r="F3522">
        <v>301</v>
      </c>
      <c r="G3522" t="s">
        <v>30</v>
      </c>
    </row>
    <row r="3523" spans="1:7" x14ac:dyDescent="0.3">
      <c r="A3523">
        <v>33522</v>
      </c>
      <c r="B3523">
        <v>278</v>
      </c>
      <c r="C3523" s="2">
        <v>44864</v>
      </c>
      <c r="D3523" s="2" t="str">
        <f>TEXT(Table5[[#This Row],[bill_date]],"mmmm")</f>
        <v>October</v>
      </c>
      <c r="E3523" s="9">
        <f>YEAR(Table5[[#This Row],[bill_date]])</f>
        <v>2022</v>
      </c>
      <c r="F3523">
        <v>1392</v>
      </c>
      <c r="G3523" t="s">
        <v>30</v>
      </c>
    </row>
    <row r="3524" spans="1:7" x14ac:dyDescent="0.3">
      <c r="A3524">
        <v>33523</v>
      </c>
      <c r="B3524">
        <v>101</v>
      </c>
      <c r="C3524" s="2">
        <v>44931</v>
      </c>
      <c r="D3524" s="2" t="str">
        <f>TEXT(Table5[[#This Row],[bill_date]],"mmmm")</f>
        <v>January</v>
      </c>
      <c r="E3524" s="9">
        <f>YEAR(Table5[[#This Row],[bill_date]])</f>
        <v>2023</v>
      </c>
      <c r="F3524">
        <v>307</v>
      </c>
      <c r="G3524" t="s">
        <v>30</v>
      </c>
    </row>
    <row r="3525" spans="1:7" x14ac:dyDescent="0.3">
      <c r="A3525">
        <v>33524</v>
      </c>
      <c r="B3525">
        <v>383</v>
      </c>
      <c r="C3525" s="2">
        <v>45412</v>
      </c>
      <c r="D3525" s="2" t="str">
        <f>TEXT(Table5[[#This Row],[bill_date]],"mmmm")</f>
        <v>April</v>
      </c>
      <c r="E3525" s="9">
        <f>YEAR(Table5[[#This Row],[bill_date]])</f>
        <v>2024</v>
      </c>
      <c r="F3525">
        <v>574</v>
      </c>
      <c r="G3525" t="s">
        <v>28</v>
      </c>
    </row>
    <row r="3526" spans="1:7" x14ac:dyDescent="0.3">
      <c r="A3526">
        <v>33525</v>
      </c>
      <c r="B3526">
        <v>169</v>
      </c>
      <c r="C3526" s="2">
        <v>44836</v>
      </c>
      <c r="D3526" s="2" t="str">
        <f>TEXT(Table5[[#This Row],[bill_date]],"mmmm")</f>
        <v>October</v>
      </c>
      <c r="E3526" s="9">
        <f>YEAR(Table5[[#This Row],[bill_date]])</f>
        <v>2022</v>
      </c>
      <c r="F3526">
        <v>324</v>
      </c>
      <c r="G3526" t="s">
        <v>30</v>
      </c>
    </row>
    <row r="3527" spans="1:7" x14ac:dyDescent="0.3">
      <c r="A3527">
        <v>33526</v>
      </c>
      <c r="B3527">
        <v>20</v>
      </c>
      <c r="C3527" s="2">
        <v>44631</v>
      </c>
      <c r="D3527" s="2" t="str">
        <f>TEXT(Table5[[#This Row],[bill_date]],"mmmm")</f>
        <v>March</v>
      </c>
      <c r="E3527" s="9">
        <f>YEAR(Table5[[#This Row],[bill_date]])</f>
        <v>2022</v>
      </c>
      <c r="F3527">
        <v>945</v>
      </c>
      <c r="G3527" t="s">
        <v>30</v>
      </c>
    </row>
    <row r="3528" spans="1:7" x14ac:dyDescent="0.3">
      <c r="A3528">
        <v>33527</v>
      </c>
      <c r="B3528">
        <v>403</v>
      </c>
      <c r="C3528" s="2">
        <v>44608</v>
      </c>
      <c r="D3528" s="2" t="str">
        <f>TEXT(Table5[[#This Row],[bill_date]],"mmmm")</f>
        <v>February</v>
      </c>
      <c r="E3528" s="9">
        <f>YEAR(Table5[[#This Row],[bill_date]])</f>
        <v>2022</v>
      </c>
      <c r="F3528">
        <v>583</v>
      </c>
      <c r="G3528" t="s">
        <v>30</v>
      </c>
    </row>
    <row r="3529" spans="1:7" x14ac:dyDescent="0.3">
      <c r="A3529">
        <v>33528</v>
      </c>
      <c r="B3529">
        <v>141</v>
      </c>
      <c r="C3529" s="2">
        <v>44678</v>
      </c>
      <c r="D3529" s="2" t="str">
        <f>TEXT(Table5[[#This Row],[bill_date]],"mmmm")</f>
        <v>April</v>
      </c>
      <c r="E3529" s="9">
        <f>YEAR(Table5[[#This Row],[bill_date]])</f>
        <v>2022</v>
      </c>
      <c r="F3529">
        <v>346</v>
      </c>
      <c r="G3529" t="s">
        <v>30</v>
      </c>
    </row>
    <row r="3530" spans="1:7" x14ac:dyDescent="0.3">
      <c r="A3530">
        <v>33529</v>
      </c>
      <c r="B3530">
        <v>347</v>
      </c>
      <c r="C3530" s="2">
        <v>45151</v>
      </c>
      <c r="D3530" s="2" t="str">
        <f>TEXT(Table5[[#This Row],[bill_date]],"mmmm")</f>
        <v>August</v>
      </c>
      <c r="E3530" s="9">
        <f>YEAR(Table5[[#This Row],[bill_date]])</f>
        <v>2023</v>
      </c>
      <c r="F3530">
        <v>881</v>
      </c>
      <c r="G3530" t="s">
        <v>30</v>
      </c>
    </row>
    <row r="3531" spans="1:7" x14ac:dyDescent="0.3">
      <c r="A3531">
        <v>33530</v>
      </c>
      <c r="B3531">
        <v>275</v>
      </c>
      <c r="C3531" s="2">
        <v>45078</v>
      </c>
      <c r="D3531" s="2" t="str">
        <f>TEXT(Table5[[#This Row],[bill_date]],"mmmm")</f>
        <v>June</v>
      </c>
      <c r="E3531" s="9">
        <f>YEAR(Table5[[#This Row],[bill_date]])</f>
        <v>2023</v>
      </c>
      <c r="F3531">
        <v>1223</v>
      </c>
      <c r="G3531" t="s">
        <v>30</v>
      </c>
    </row>
    <row r="3532" spans="1:7" x14ac:dyDescent="0.3">
      <c r="A3532">
        <v>33531</v>
      </c>
      <c r="B3532">
        <v>464</v>
      </c>
      <c r="C3532" s="2">
        <v>44815</v>
      </c>
      <c r="D3532" s="2" t="str">
        <f>TEXT(Table5[[#This Row],[bill_date]],"mmmm")</f>
        <v>September</v>
      </c>
      <c r="E3532" s="9">
        <f>YEAR(Table5[[#This Row],[bill_date]])</f>
        <v>2022</v>
      </c>
      <c r="F3532">
        <v>1193</v>
      </c>
      <c r="G3532" t="s">
        <v>29</v>
      </c>
    </row>
    <row r="3533" spans="1:7" x14ac:dyDescent="0.3">
      <c r="A3533">
        <v>33532</v>
      </c>
      <c r="B3533">
        <v>322</v>
      </c>
      <c r="C3533" s="2">
        <v>45393</v>
      </c>
      <c r="D3533" s="2" t="str">
        <f>TEXT(Table5[[#This Row],[bill_date]],"mmmm")</f>
        <v>April</v>
      </c>
      <c r="E3533" s="9">
        <f>YEAR(Table5[[#This Row],[bill_date]])</f>
        <v>2024</v>
      </c>
      <c r="F3533">
        <v>750</v>
      </c>
      <c r="G3533" t="s">
        <v>28</v>
      </c>
    </row>
    <row r="3534" spans="1:7" x14ac:dyDescent="0.3">
      <c r="A3534">
        <v>33533</v>
      </c>
      <c r="B3534">
        <v>193</v>
      </c>
      <c r="C3534" s="2">
        <v>45180</v>
      </c>
      <c r="D3534" s="2" t="str">
        <f>TEXT(Table5[[#This Row],[bill_date]],"mmmm")</f>
        <v>September</v>
      </c>
      <c r="E3534" s="9">
        <f>YEAR(Table5[[#This Row],[bill_date]])</f>
        <v>2023</v>
      </c>
      <c r="F3534">
        <v>947</v>
      </c>
      <c r="G3534" t="s">
        <v>28</v>
      </c>
    </row>
    <row r="3535" spans="1:7" x14ac:dyDescent="0.3">
      <c r="A3535">
        <v>33534</v>
      </c>
      <c r="B3535">
        <v>387</v>
      </c>
      <c r="C3535" s="2">
        <v>45317</v>
      </c>
      <c r="D3535" s="2" t="str">
        <f>TEXT(Table5[[#This Row],[bill_date]],"mmmm")</f>
        <v>January</v>
      </c>
      <c r="E3535" s="9">
        <f>YEAR(Table5[[#This Row],[bill_date]])</f>
        <v>2024</v>
      </c>
      <c r="F3535">
        <v>1229</v>
      </c>
      <c r="G3535" t="s">
        <v>30</v>
      </c>
    </row>
    <row r="3536" spans="1:7" x14ac:dyDescent="0.3">
      <c r="A3536">
        <v>33535</v>
      </c>
      <c r="B3536">
        <v>152</v>
      </c>
      <c r="C3536" s="2">
        <v>44734</v>
      </c>
      <c r="D3536" s="2" t="str">
        <f>TEXT(Table5[[#This Row],[bill_date]],"mmmm")</f>
        <v>June</v>
      </c>
      <c r="E3536" s="9">
        <f>YEAR(Table5[[#This Row],[bill_date]])</f>
        <v>2022</v>
      </c>
      <c r="F3536">
        <v>1385</v>
      </c>
      <c r="G3536" t="s">
        <v>29</v>
      </c>
    </row>
    <row r="3537" spans="1:7" x14ac:dyDescent="0.3">
      <c r="A3537">
        <v>33536</v>
      </c>
      <c r="B3537">
        <v>236</v>
      </c>
      <c r="C3537" s="2">
        <v>44990</v>
      </c>
      <c r="D3537" s="2" t="str">
        <f>TEXT(Table5[[#This Row],[bill_date]],"mmmm")</f>
        <v>March</v>
      </c>
      <c r="E3537" s="9">
        <f>YEAR(Table5[[#This Row],[bill_date]])</f>
        <v>2023</v>
      </c>
      <c r="F3537">
        <v>634</v>
      </c>
      <c r="G3537" t="s">
        <v>30</v>
      </c>
    </row>
    <row r="3538" spans="1:7" x14ac:dyDescent="0.3">
      <c r="A3538">
        <v>33537</v>
      </c>
      <c r="B3538">
        <v>294</v>
      </c>
      <c r="C3538" s="2">
        <v>44597</v>
      </c>
      <c r="D3538" s="2" t="str">
        <f>TEXT(Table5[[#This Row],[bill_date]],"mmmm")</f>
        <v>February</v>
      </c>
      <c r="E3538" s="9">
        <f>YEAR(Table5[[#This Row],[bill_date]])</f>
        <v>2022</v>
      </c>
      <c r="F3538">
        <v>1000</v>
      </c>
      <c r="G3538" t="s">
        <v>30</v>
      </c>
    </row>
    <row r="3539" spans="1:7" x14ac:dyDescent="0.3">
      <c r="A3539">
        <v>33538</v>
      </c>
      <c r="B3539">
        <v>386</v>
      </c>
      <c r="C3539" s="2">
        <v>44968</v>
      </c>
      <c r="D3539" s="2" t="str">
        <f>TEXT(Table5[[#This Row],[bill_date]],"mmmm")</f>
        <v>February</v>
      </c>
      <c r="E3539" s="9">
        <f>YEAR(Table5[[#This Row],[bill_date]])</f>
        <v>2023</v>
      </c>
      <c r="F3539">
        <v>1656</v>
      </c>
      <c r="G3539" t="s">
        <v>28</v>
      </c>
    </row>
    <row r="3540" spans="1:7" x14ac:dyDescent="0.3">
      <c r="A3540">
        <v>33539</v>
      </c>
      <c r="B3540">
        <v>440</v>
      </c>
      <c r="C3540" s="2">
        <v>44977</v>
      </c>
      <c r="D3540" s="2" t="str">
        <f>TEXT(Table5[[#This Row],[bill_date]],"mmmm")</f>
        <v>February</v>
      </c>
      <c r="E3540" s="9">
        <f>YEAR(Table5[[#This Row],[bill_date]])</f>
        <v>2023</v>
      </c>
      <c r="F3540">
        <v>523</v>
      </c>
      <c r="G3540" t="s">
        <v>30</v>
      </c>
    </row>
    <row r="3541" spans="1:7" x14ac:dyDescent="0.3">
      <c r="A3541">
        <v>33540</v>
      </c>
      <c r="B3541">
        <v>208</v>
      </c>
      <c r="C3541" s="2">
        <v>45246</v>
      </c>
      <c r="D3541" s="2" t="str">
        <f>TEXT(Table5[[#This Row],[bill_date]],"mmmm")</f>
        <v>November</v>
      </c>
      <c r="E3541" s="9">
        <f>YEAR(Table5[[#This Row],[bill_date]])</f>
        <v>2023</v>
      </c>
      <c r="F3541">
        <v>355</v>
      </c>
      <c r="G3541" t="s">
        <v>30</v>
      </c>
    </row>
    <row r="3542" spans="1:7" x14ac:dyDescent="0.3">
      <c r="A3542">
        <v>33541</v>
      </c>
      <c r="B3542">
        <v>477</v>
      </c>
      <c r="C3542" s="2">
        <v>44973</v>
      </c>
      <c r="D3542" s="2" t="str">
        <f>TEXT(Table5[[#This Row],[bill_date]],"mmmm")</f>
        <v>February</v>
      </c>
      <c r="E3542" s="9">
        <f>YEAR(Table5[[#This Row],[bill_date]])</f>
        <v>2023</v>
      </c>
      <c r="F3542">
        <v>1336</v>
      </c>
      <c r="G3542" t="s">
        <v>30</v>
      </c>
    </row>
    <row r="3543" spans="1:7" x14ac:dyDescent="0.3">
      <c r="A3543">
        <v>33542</v>
      </c>
      <c r="B3543">
        <v>37</v>
      </c>
      <c r="C3543" s="2">
        <v>45049</v>
      </c>
      <c r="D3543" s="2" t="str">
        <f>TEXT(Table5[[#This Row],[bill_date]],"mmmm")</f>
        <v>May</v>
      </c>
      <c r="E3543" s="9">
        <f>YEAR(Table5[[#This Row],[bill_date]])</f>
        <v>2023</v>
      </c>
      <c r="F3543">
        <v>310</v>
      </c>
      <c r="G3543" t="s">
        <v>28</v>
      </c>
    </row>
    <row r="3544" spans="1:7" x14ac:dyDescent="0.3">
      <c r="A3544">
        <v>33543</v>
      </c>
      <c r="B3544">
        <v>492</v>
      </c>
      <c r="C3544" s="2">
        <v>45253</v>
      </c>
      <c r="D3544" s="2" t="str">
        <f>TEXT(Table5[[#This Row],[bill_date]],"mmmm")</f>
        <v>November</v>
      </c>
      <c r="E3544" s="9">
        <f>YEAR(Table5[[#This Row],[bill_date]])</f>
        <v>2023</v>
      </c>
      <c r="F3544">
        <v>1185</v>
      </c>
      <c r="G3544" t="s">
        <v>28</v>
      </c>
    </row>
    <row r="3545" spans="1:7" x14ac:dyDescent="0.3">
      <c r="A3545">
        <v>33544</v>
      </c>
      <c r="B3545">
        <v>388</v>
      </c>
      <c r="C3545" s="2">
        <v>45340</v>
      </c>
      <c r="D3545" s="2" t="str">
        <f>TEXT(Table5[[#This Row],[bill_date]],"mmmm")</f>
        <v>February</v>
      </c>
      <c r="E3545" s="9">
        <f>YEAR(Table5[[#This Row],[bill_date]])</f>
        <v>2024</v>
      </c>
      <c r="F3545">
        <v>1677</v>
      </c>
      <c r="G3545" t="s">
        <v>30</v>
      </c>
    </row>
    <row r="3546" spans="1:7" x14ac:dyDescent="0.3">
      <c r="A3546">
        <v>33545</v>
      </c>
      <c r="B3546">
        <v>78</v>
      </c>
      <c r="C3546" s="2">
        <v>45328</v>
      </c>
      <c r="D3546" s="2" t="str">
        <f>TEXT(Table5[[#This Row],[bill_date]],"mmmm")</f>
        <v>February</v>
      </c>
      <c r="E3546" s="9">
        <f>YEAR(Table5[[#This Row],[bill_date]])</f>
        <v>2024</v>
      </c>
      <c r="F3546">
        <v>1991</v>
      </c>
      <c r="G3546" t="s">
        <v>29</v>
      </c>
    </row>
    <row r="3547" spans="1:7" x14ac:dyDescent="0.3">
      <c r="A3547">
        <v>33546</v>
      </c>
      <c r="B3547">
        <v>465</v>
      </c>
      <c r="C3547" s="2">
        <v>45393</v>
      </c>
      <c r="D3547" s="2" t="str">
        <f>TEXT(Table5[[#This Row],[bill_date]],"mmmm")</f>
        <v>April</v>
      </c>
      <c r="E3547" s="9">
        <f>YEAR(Table5[[#This Row],[bill_date]])</f>
        <v>2024</v>
      </c>
      <c r="F3547">
        <v>1295</v>
      </c>
      <c r="G3547" t="s">
        <v>28</v>
      </c>
    </row>
    <row r="3548" spans="1:7" x14ac:dyDescent="0.3">
      <c r="A3548">
        <v>33547</v>
      </c>
      <c r="B3548">
        <v>172</v>
      </c>
      <c r="C3548" s="2">
        <v>44882</v>
      </c>
      <c r="D3548" s="2" t="str">
        <f>TEXT(Table5[[#This Row],[bill_date]],"mmmm")</f>
        <v>November</v>
      </c>
      <c r="E3548" s="9">
        <f>YEAR(Table5[[#This Row],[bill_date]])</f>
        <v>2022</v>
      </c>
      <c r="F3548">
        <v>1152</v>
      </c>
      <c r="G3548" t="s">
        <v>30</v>
      </c>
    </row>
    <row r="3549" spans="1:7" x14ac:dyDescent="0.3">
      <c r="A3549">
        <v>33548</v>
      </c>
      <c r="B3549">
        <v>45</v>
      </c>
      <c r="C3549" s="2">
        <v>44634</v>
      </c>
      <c r="D3549" s="2" t="str">
        <f>TEXT(Table5[[#This Row],[bill_date]],"mmmm")</f>
        <v>March</v>
      </c>
      <c r="E3549" s="9">
        <f>YEAR(Table5[[#This Row],[bill_date]])</f>
        <v>2022</v>
      </c>
      <c r="F3549">
        <v>1415</v>
      </c>
      <c r="G3549" t="s">
        <v>30</v>
      </c>
    </row>
    <row r="3550" spans="1:7" x14ac:dyDescent="0.3">
      <c r="A3550">
        <v>33549</v>
      </c>
      <c r="B3550">
        <v>337</v>
      </c>
      <c r="C3550" s="2">
        <v>45130</v>
      </c>
      <c r="D3550" s="2" t="str">
        <f>TEXT(Table5[[#This Row],[bill_date]],"mmmm")</f>
        <v>July</v>
      </c>
      <c r="E3550" s="9">
        <f>YEAR(Table5[[#This Row],[bill_date]])</f>
        <v>2023</v>
      </c>
      <c r="F3550">
        <v>1697</v>
      </c>
      <c r="G3550" t="s">
        <v>30</v>
      </c>
    </row>
    <row r="3551" spans="1:7" x14ac:dyDescent="0.3">
      <c r="A3551">
        <v>33550</v>
      </c>
      <c r="B3551">
        <v>84</v>
      </c>
      <c r="C3551" s="2">
        <v>45139</v>
      </c>
      <c r="D3551" s="2" t="str">
        <f>TEXT(Table5[[#This Row],[bill_date]],"mmmm")</f>
        <v>August</v>
      </c>
      <c r="E3551" s="9">
        <f>YEAR(Table5[[#This Row],[bill_date]])</f>
        <v>2023</v>
      </c>
      <c r="F3551">
        <v>1495</v>
      </c>
      <c r="G3551" t="s">
        <v>30</v>
      </c>
    </row>
    <row r="3552" spans="1:7" x14ac:dyDescent="0.3">
      <c r="A3552">
        <v>33551</v>
      </c>
      <c r="B3552">
        <v>380</v>
      </c>
      <c r="C3552" s="2">
        <v>45205</v>
      </c>
      <c r="D3552" s="2" t="str">
        <f>TEXT(Table5[[#This Row],[bill_date]],"mmmm")</f>
        <v>October</v>
      </c>
      <c r="E3552" s="9">
        <f>YEAR(Table5[[#This Row],[bill_date]])</f>
        <v>2023</v>
      </c>
      <c r="F3552">
        <v>1156</v>
      </c>
      <c r="G3552" t="s">
        <v>30</v>
      </c>
    </row>
    <row r="3553" spans="1:7" x14ac:dyDescent="0.3">
      <c r="A3553">
        <v>33552</v>
      </c>
      <c r="B3553">
        <v>431</v>
      </c>
      <c r="C3553" s="2">
        <v>44974</v>
      </c>
      <c r="D3553" s="2" t="str">
        <f>TEXT(Table5[[#This Row],[bill_date]],"mmmm")</f>
        <v>February</v>
      </c>
      <c r="E3553" s="9">
        <f>YEAR(Table5[[#This Row],[bill_date]])</f>
        <v>2023</v>
      </c>
      <c r="F3553">
        <v>934</v>
      </c>
      <c r="G3553" t="s">
        <v>30</v>
      </c>
    </row>
    <row r="3554" spans="1:7" x14ac:dyDescent="0.3">
      <c r="A3554">
        <v>33553</v>
      </c>
      <c r="B3554">
        <v>93</v>
      </c>
      <c r="C3554" s="2">
        <v>45333</v>
      </c>
      <c r="D3554" s="2" t="str">
        <f>TEXT(Table5[[#This Row],[bill_date]],"mmmm")</f>
        <v>February</v>
      </c>
      <c r="E3554" s="9">
        <f>YEAR(Table5[[#This Row],[bill_date]])</f>
        <v>2024</v>
      </c>
      <c r="F3554">
        <v>1071</v>
      </c>
      <c r="G3554" t="s">
        <v>30</v>
      </c>
    </row>
    <row r="3555" spans="1:7" x14ac:dyDescent="0.3">
      <c r="A3555">
        <v>33554</v>
      </c>
      <c r="B3555">
        <v>489</v>
      </c>
      <c r="C3555" s="2">
        <v>44685</v>
      </c>
      <c r="D3555" s="2" t="str">
        <f>TEXT(Table5[[#This Row],[bill_date]],"mmmm")</f>
        <v>May</v>
      </c>
      <c r="E3555" s="9">
        <f>YEAR(Table5[[#This Row],[bill_date]])</f>
        <v>2022</v>
      </c>
      <c r="F3555">
        <v>292</v>
      </c>
      <c r="G3555" t="s">
        <v>29</v>
      </c>
    </row>
    <row r="3556" spans="1:7" x14ac:dyDescent="0.3">
      <c r="A3556">
        <v>33555</v>
      </c>
      <c r="B3556">
        <v>154</v>
      </c>
      <c r="C3556" s="2">
        <v>44946</v>
      </c>
      <c r="D3556" s="2" t="str">
        <f>TEXT(Table5[[#This Row],[bill_date]],"mmmm")</f>
        <v>January</v>
      </c>
      <c r="E3556" s="9">
        <f>YEAR(Table5[[#This Row],[bill_date]])</f>
        <v>2023</v>
      </c>
      <c r="F3556">
        <v>917</v>
      </c>
      <c r="G3556" t="s">
        <v>28</v>
      </c>
    </row>
    <row r="3557" spans="1:7" x14ac:dyDescent="0.3">
      <c r="A3557">
        <v>33556</v>
      </c>
      <c r="B3557">
        <v>106</v>
      </c>
      <c r="C3557" s="2">
        <v>45165</v>
      </c>
      <c r="D3557" s="2" t="str">
        <f>TEXT(Table5[[#This Row],[bill_date]],"mmmm")</f>
        <v>August</v>
      </c>
      <c r="E3557" s="9">
        <f>YEAR(Table5[[#This Row],[bill_date]])</f>
        <v>2023</v>
      </c>
      <c r="F3557">
        <v>880</v>
      </c>
      <c r="G3557" t="s">
        <v>30</v>
      </c>
    </row>
    <row r="3558" spans="1:7" x14ac:dyDescent="0.3">
      <c r="A3558">
        <v>33557</v>
      </c>
      <c r="B3558">
        <v>358</v>
      </c>
      <c r="C3558" s="2">
        <v>45347</v>
      </c>
      <c r="D3558" s="2" t="str">
        <f>TEXT(Table5[[#This Row],[bill_date]],"mmmm")</f>
        <v>February</v>
      </c>
      <c r="E3558" s="9">
        <f>YEAR(Table5[[#This Row],[bill_date]])</f>
        <v>2024</v>
      </c>
      <c r="F3558">
        <v>866</v>
      </c>
      <c r="G3558" t="s">
        <v>30</v>
      </c>
    </row>
    <row r="3559" spans="1:7" x14ac:dyDescent="0.3">
      <c r="A3559">
        <v>33558</v>
      </c>
      <c r="B3559">
        <v>209</v>
      </c>
      <c r="C3559" s="2">
        <v>45214</v>
      </c>
      <c r="D3559" s="2" t="str">
        <f>TEXT(Table5[[#This Row],[bill_date]],"mmmm")</f>
        <v>October</v>
      </c>
      <c r="E3559" s="9">
        <f>YEAR(Table5[[#This Row],[bill_date]])</f>
        <v>2023</v>
      </c>
      <c r="F3559">
        <v>1978</v>
      </c>
      <c r="G3559" t="s">
        <v>28</v>
      </c>
    </row>
    <row r="3560" spans="1:7" x14ac:dyDescent="0.3">
      <c r="A3560">
        <v>33559</v>
      </c>
      <c r="B3560">
        <v>204</v>
      </c>
      <c r="C3560" s="2">
        <v>44793</v>
      </c>
      <c r="D3560" s="2" t="str">
        <f>TEXT(Table5[[#This Row],[bill_date]],"mmmm")</f>
        <v>August</v>
      </c>
      <c r="E3560" s="9">
        <f>YEAR(Table5[[#This Row],[bill_date]])</f>
        <v>2022</v>
      </c>
      <c r="F3560">
        <v>713</v>
      </c>
      <c r="G3560" t="s">
        <v>30</v>
      </c>
    </row>
    <row r="3561" spans="1:7" x14ac:dyDescent="0.3">
      <c r="A3561">
        <v>33560</v>
      </c>
      <c r="B3561">
        <v>248</v>
      </c>
      <c r="C3561" s="2">
        <v>45143</v>
      </c>
      <c r="D3561" s="2" t="str">
        <f>TEXT(Table5[[#This Row],[bill_date]],"mmmm")</f>
        <v>August</v>
      </c>
      <c r="E3561" s="9">
        <f>YEAR(Table5[[#This Row],[bill_date]])</f>
        <v>2023</v>
      </c>
      <c r="F3561">
        <v>1442</v>
      </c>
      <c r="G3561" t="s">
        <v>30</v>
      </c>
    </row>
    <row r="3562" spans="1:7" x14ac:dyDescent="0.3">
      <c r="A3562">
        <v>33561</v>
      </c>
      <c r="B3562">
        <v>348</v>
      </c>
      <c r="C3562" s="2">
        <v>44994</v>
      </c>
      <c r="D3562" s="2" t="str">
        <f>TEXT(Table5[[#This Row],[bill_date]],"mmmm")</f>
        <v>March</v>
      </c>
      <c r="E3562" s="9">
        <f>YEAR(Table5[[#This Row],[bill_date]])</f>
        <v>2023</v>
      </c>
      <c r="F3562">
        <v>1227</v>
      </c>
      <c r="G3562" t="s">
        <v>30</v>
      </c>
    </row>
    <row r="3563" spans="1:7" x14ac:dyDescent="0.3">
      <c r="A3563">
        <v>33562</v>
      </c>
      <c r="B3563">
        <v>393</v>
      </c>
      <c r="C3563" s="2">
        <v>45052</v>
      </c>
      <c r="D3563" s="2" t="str">
        <f>TEXT(Table5[[#This Row],[bill_date]],"mmmm")</f>
        <v>May</v>
      </c>
      <c r="E3563" s="9">
        <f>YEAR(Table5[[#This Row],[bill_date]])</f>
        <v>2023</v>
      </c>
      <c r="F3563">
        <v>392</v>
      </c>
      <c r="G3563" t="s">
        <v>30</v>
      </c>
    </row>
    <row r="3564" spans="1:7" x14ac:dyDescent="0.3">
      <c r="A3564">
        <v>33563</v>
      </c>
      <c r="B3564">
        <v>352</v>
      </c>
      <c r="C3564" s="2">
        <v>45248</v>
      </c>
      <c r="D3564" s="2" t="str">
        <f>TEXT(Table5[[#This Row],[bill_date]],"mmmm")</f>
        <v>November</v>
      </c>
      <c r="E3564" s="9">
        <f>YEAR(Table5[[#This Row],[bill_date]])</f>
        <v>2023</v>
      </c>
      <c r="F3564">
        <v>252</v>
      </c>
      <c r="G3564" t="s">
        <v>30</v>
      </c>
    </row>
    <row r="3565" spans="1:7" x14ac:dyDescent="0.3">
      <c r="A3565">
        <v>33564</v>
      </c>
      <c r="B3565">
        <v>226</v>
      </c>
      <c r="C3565" s="2">
        <v>45432</v>
      </c>
      <c r="D3565" s="2" t="str">
        <f>TEXT(Table5[[#This Row],[bill_date]],"mmmm")</f>
        <v>May</v>
      </c>
      <c r="E3565" s="9">
        <f>YEAR(Table5[[#This Row],[bill_date]])</f>
        <v>2024</v>
      </c>
      <c r="F3565">
        <v>1132</v>
      </c>
      <c r="G3565" t="s">
        <v>29</v>
      </c>
    </row>
    <row r="3566" spans="1:7" x14ac:dyDescent="0.3">
      <c r="A3566">
        <v>33565</v>
      </c>
      <c r="B3566">
        <v>336</v>
      </c>
      <c r="C3566" s="2">
        <v>44647</v>
      </c>
      <c r="D3566" s="2" t="str">
        <f>TEXT(Table5[[#This Row],[bill_date]],"mmmm")</f>
        <v>March</v>
      </c>
      <c r="E3566" s="9">
        <f>YEAR(Table5[[#This Row],[bill_date]])</f>
        <v>2022</v>
      </c>
      <c r="F3566">
        <v>1174</v>
      </c>
      <c r="G3566" t="s">
        <v>30</v>
      </c>
    </row>
    <row r="3567" spans="1:7" x14ac:dyDescent="0.3">
      <c r="A3567">
        <v>33566</v>
      </c>
      <c r="B3567">
        <v>48</v>
      </c>
      <c r="C3567" s="2">
        <v>45326</v>
      </c>
      <c r="D3567" s="2" t="str">
        <f>TEXT(Table5[[#This Row],[bill_date]],"mmmm")</f>
        <v>February</v>
      </c>
      <c r="E3567" s="9">
        <f>YEAR(Table5[[#This Row],[bill_date]])</f>
        <v>2024</v>
      </c>
      <c r="F3567">
        <v>1010</v>
      </c>
      <c r="G3567" t="s">
        <v>30</v>
      </c>
    </row>
    <row r="3568" spans="1:7" x14ac:dyDescent="0.3">
      <c r="A3568">
        <v>33567</v>
      </c>
      <c r="B3568">
        <v>246</v>
      </c>
      <c r="C3568" s="2">
        <v>44591</v>
      </c>
      <c r="D3568" s="2" t="str">
        <f>TEXT(Table5[[#This Row],[bill_date]],"mmmm")</f>
        <v>January</v>
      </c>
      <c r="E3568" s="9">
        <f>YEAR(Table5[[#This Row],[bill_date]])</f>
        <v>2022</v>
      </c>
      <c r="F3568">
        <v>1431</v>
      </c>
      <c r="G3568" t="s">
        <v>30</v>
      </c>
    </row>
    <row r="3569" spans="1:7" x14ac:dyDescent="0.3">
      <c r="A3569">
        <v>33568</v>
      </c>
      <c r="B3569">
        <v>31</v>
      </c>
      <c r="C3569" s="2">
        <v>45228</v>
      </c>
      <c r="D3569" s="2" t="str">
        <f>TEXT(Table5[[#This Row],[bill_date]],"mmmm")</f>
        <v>October</v>
      </c>
      <c r="E3569" s="9">
        <f>YEAR(Table5[[#This Row],[bill_date]])</f>
        <v>2023</v>
      </c>
      <c r="F3569">
        <v>1810</v>
      </c>
      <c r="G3569" t="s">
        <v>30</v>
      </c>
    </row>
    <row r="3570" spans="1:7" x14ac:dyDescent="0.3">
      <c r="A3570">
        <v>33569</v>
      </c>
      <c r="B3570">
        <v>183</v>
      </c>
      <c r="C3570" s="2">
        <v>44761</v>
      </c>
      <c r="D3570" s="2" t="str">
        <f>TEXT(Table5[[#This Row],[bill_date]],"mmmm")</f>
        <v>July</v>
      </c>
      <c r="E3570" s="9">
        <f>YEAR(Table5[[#This Row],[bill_date]])</f>
        <v>2022</v>
      </c>
      <c r="F3570">
        <v>1952</v>
      </c>
      <c r="G3570" t="s">
        <v>30</v>
      </c>
    </row>
    <row r="3571" spans="1:7" x14ac:dyDescent="0.3">
      <c r="A3571">
        <v>33570</v>
      </c>
      <c r="B3571">
        <v>475</v>
      </c>
      <c r="C3571" s="2">
        <v>45436</v>
      </c>
      <c r="D3571" s="2" t="str">
        <f>TEXT(Table5[[#This Row],[bill_date]],"mmmm")</f>
        <v>May</v>
      </c>
      <c r="E3571" s="9">
        <f>YEAR(Table5[[#This Row],[bill_date]])</f>
        <v>2024</v>
      </c>
      <c r="F3571">
        <v>1719</v>
      </c>
      <c r="G3571" t="s">
        <v>30</v>
      </c>
    </row>
    <row r="3572" spans="1:7" x14ac:dyDescent="0.3">
      <c r="A3572">
        <v>33571</v>
      </c>
      <c r="B3572">
        <v>477</v>
      </c>
      <c r="C3572" s="2">
        <v>44717</v>
      </c>
      <c r="D3572" s="2" t="str">
        <f>TEXT(Table5[[#This Row],[bill_date]],"mmmm")</f>
        <v>June</v>
      </c>
      <c r="E3572" s="9">
        <f>YEAR(Table5[[#This Row],[bill_date]])</f>
        <v>2022</v>
      </c>
      <c r="F3572">
        <v>1852</v>
      </c>
      <c r="G3572" t="s">
        <v>30</v>
      </c>
    </row>
    <row r="3573" spans="1:7" x14ac:dyDescent="0.3">
      <c r="A3573">
        <v>33572</v>
      </c>
      <c r="B3573">
        <v>257</v>
      </c>
      <c r="C3573" s="2">
        <v>45318</v>
      </c>
      <c r="D3573" s="2" t="str">
        <f>TEXT(Table5[[#This Row],[bill_date]],"mmmm")</f>
        <v>January</v>
      </c>
      <c r="E3573" s="9">
        <f>YEAR(Table5[[#This Row],[bill_date]])</f>
        <v>2024</v>
      </c>
      <c r="F3573">
        <v>1677</v>
      </c>
      <c r="G3573" t="s">
        <v>30</v>
      </c>
    </row>
    <row r="3574" spans="1:7" x14ac:dyDescent="0.3">
      <c r="A3574">
        <v>33573</v>
      </c>
      <c r="B3574">
        <v>126</v>
      </c>
      <c r="C3574" s="2">
        <v>45459</v>
      </c>
      <c r="D3574" s="2" t="str">
        <f>TEXT(Table5[[#This Row],[bill_date]],"mmmm")</f>
        <v>June</v>
      </c>
      <c r="E3574" s="9">
        <f>YEAR(Table5[[#This Row],[bill_date]])</f>
        <v>2024</v>
      </c>
      <c r="F3574">
        <v>1302</v>
      </c>
      <c r="G3574" t="s">
        <v>28</v>
      </c>
    </row>
    <row r="3575" spans="1:7" x14ac:dyDescent="0.3">
      <c r="A3575">
        <v>33574</v>
      </c>
      <c r="B3575">
        <v>219</v>
      </c>
      <c r="C3575" s="2">
        <v>45093</v>
      </c>
      <c r="D3575" s="2" t="str">
        <f>TEXT(Table5[[#This Row],[bill_date]],"mmmm")</f>
        <v>June</v>
      </c>
      <c r="E3575" s="9">
        <f>YEAR(Table5[[#This Row],[bill_date]])</f>
        <v>2023</v>
      </c>
      <c r="F3575">
        <v>1921</v>
      </c>
      <c r="G3575" t="s">
        <v>28</v>
      </c>
    </row>
    <row r="3576" spans="1:7" x14ac:dyDescent="0.3">
      <c r="A3576">
        <v>33575</v>
      </c>
      <c r="B3576">
        <v>245</v>
      </c>
      <c r="C3576" s="2">
        <v>45276</v>
      </c>
      <c r="D3576" s="2" t="str">
        <f>TEXT(Table5[[#This Row],[bill_date]],"mmmm")</f>
        <v>December</v>
      </c>
      <c r="E3576" s="9">
        <f>YEAR(Table5[[#This Row],[bill_date]])</f>
        <v>2023</v>
      </c>
      <c r="F3576">
        <v>1230</v>
      </c>
      <c r="G3576" t="s">
        <v>28</v>
      </c>
    </row>
    <row r="3577" spans="1:7" x14ac:dyDescent="0.3">
      <c r="A3577">
        <v>33576</v>
      </c>
      <c r="B3577">
        <v>480</v>
      </c>
      <c r="C3577" s="2">
        <v>45407</v>
      </c>
      <c r="D3577" s="2" t="str">
        <f>TEXT(Table5[[#This Row],[bill_date]],"mmmm")</f>
        <v>April</v>
      </c>
      <c r="E3577" s="9">
        <f>YEAR(Table5[[#This Row],[bill_date]])</f>
        <v>2024</v>
      </c>
      <c r="F3577">
        <v>289</v>
      </c>
      <c r="G3577" t="s">
        <v>30</v>
      </c>
    </row>
    <row r="3578" spans="1:7" x14ac:dyDescent="0.3">
      <c r="A3578">
        <v>33577</v>
      </c>
      <c r="B3578">
        <v>443</v>
      </c>
      <c r="C3578" s="2">
        <v>44713</v>
      </c>
      <c r="D3578" s="2" t="str">
        <f>TEXT(Table5[[#This Row],[bill_date]],"mmmm")</f>
        <v>June</v>
      </c>
      <c r="E3578" s="9">
        <f>YEAR(Table5[[#This Row],[bill_date]])</f>
        <v>2022</v>
      </c>
      <c r="F3578">
        <v>544</v>
      </c>
      <c r="G3578" t="s">
        <v>30</v>
      </c>
    </row>
    <row r="3579" spans="1:7" x14ac:dyDescent="0.3">
      <c r="A3579">
        <v>33578</v>
      </c>
      <c r="B3579">
        <v>139</v>
      </c>
      <c r="C3579" s="2">
        <v>44638</v>
      </c>
      <c r="D3579" s="2" t="str">
        <f>TEXT(Table5[[#This Row],[bill_date]],"mmmm")</f>
        <v>March</v>
      </c>
      <c r="E3579" s="9">
        <f>YEAR(Table5[[#This Row],[bill_date]])</f>
        <v>2022</v>
      </c>
      <c r="F3579">
        <v>1220</v>
      </c>
      <c r="G3579" t="s">
        <v>28</v>
      </c>
    </row>
    <row r="3580" spans="1:7" x14ac:dyDescent="0.3">
      <c r="A3580">
        <v>33579</v>
      </c>
      <c r="B3580">
        <v>227</v>
      </c>
      <c r="C3580" s="2">
        <v>44889</v>
      </c>
      <c r="D3580" s="2" t="str">
        <f>TEXT(Table5[[#This Row],[bill_date]],"mmmm")</f>
        <v>November</v>
      </c>
      <c r="E3580" s="9">
        <f>YEAR(Table5[[#This Row],[bill_date]])</f>
        <v>2022</v>
      </c>
      <c r="F3580">
        <v>549</v>
      </c>
      <c r="G3580" t="s">
        <v>30</v>
      </c>
    </row>
    <row r="3581" spans="1:7" x14ac:dyDescent="0.3">
      <c r="A3581">
        <v>33580</v>
      </c>
      <c r="B3581">
        <v>386</v>
      </c>
      <c r="C3581" s="2">
        <v>44733</v>
      </c>
      <c r="D3581" s="2" t="str">
        <f>TEXT(Table5[[#This Row],[bill_date]],"mmmm")</f>
        <v>June</v>
      </c>
      <c r="E3581" s="9">
        <f>YEAR(Table5[[#This Row],[bill_date]])</f>
        <v>2022</v>
      </c>
      <c r="F3581">
        <v>408</v>
      </c>
      <c r="G3581" t="s">
        <v>30</v>
      </c>
    </row>
    <row r="3582" spans="1:7" x14ac:dyDescent="0.3">
      <c r="A3582">
        <v>33581</v>
      </c>
      <c r="B3582">
        <v>302</v>
      </c>
      <c r="C3582" s="2">
        <v>44966</v>
      </c>
      <c r="D3582" s="2" t="str">
        <f>TEXT(Table5[[#This Row],[bill_date]],"mmmm")</f>
        <v>February</v>
      </c>
      <c r="E3582" s="9">
        <f>YEAR(Table5[[#This Row],[bill_date]])</f>
        <v>2023</v>
      </c>
      <c r="F3582">
        <v>456</v>
      </c>
      <c r="G3582" t="s">
        <v>30</v>
      </c>
    </row>
    <row r="3583" spans="1:7" x14ac:dyDescent="0.3">
      <c r="A3583">
        <v>33582</v>
      </c>
      <c r="B3583">
        <v>257</v>
      </c>
      <c r="C3583" s="2">
        <v>44967</v>
      </c>
      <c r="D3583" s="2" t="str">
        <f>TEXT(Table5[[#This Row],[bill_date]],"mmmm")</f>
        <v>February</v>
      </c>
      <c r="E3583" s="9">
        <f>YEAR(Table5[[#This Row],[bill_date]])</f>
        <v>2023</v>
      </c>
      <c r="F3583">
        <v>1263</v>
      </c>
      <c r="G3583" t="s">
        <v>28</v>
      </c>
    </row>
    <row r="3584" spans="1:7" x14ac:dyDescent="0.3">
      <c r="A3584">
        <v>33583</v>
      </c>
      <c r="B3584">
        <v>255</v>
      </c>
      <c r="C3584" s="2">
        <v>45402</v>
      </c>
      <c r="D3584" s="2" t="str">
        <f>TEXT(Table5[[#This Row],[bill_date]],"mmmm")</f>
        <v>April</v>
      </c>
      <c r="E3584" s="9">
        <f>YEAR(Table5[[#This Row],[bill_date]])</f>
        <v>2024</v>
      </c>
      <c r="F3584">
        <v>925</v>
      </c>
      <c r="G3584" t="s">
        <v>28</v>
      </c>
    </row>
    <row r="3585" spans="1:7" x14ac:dyDescent="0.3">
      <c r="A3585">
        <v>33584</v>
      </c>
      <c r="B3585">
        <v>70</v>
      </c>
      <c r="C3585" s="2">
        <v>45323</v>
      </c>
      <c r="D3585" s="2" t="str">
        <f>TEXT(Table5[[#This Row],[bill_date]],"mmmm")</f>
        <v>February</v>
      </c>
      <c r="E3585" s="9">
        <f>YEAR(Table5[[#This Row],[bill_date]])</f>
        <v>2024</v>
      </c>
      <c r="F3585">
        <v>894</v>
      </c>
      <c r="G3585" t="s">
        <v>30</v>
      </c>
    </row>
    <row r="3586" spans="1:7" x14ac:dyDescent="0.3">
      <c r="A3586">
        <v>33585</v>
      </c>
      <c r="B3586">
        <v>455</v>
      </c>
      <c r="C3586" s="2">
        <v>45259</v>
      </c>
      <c r="D3586" s="2" t="str">
        <f>TEXT(Table5[[#This Row],[bill_date]],"mmmm")</f>
        <v>November</v>
      </c>
      <c r="E3586" s="9">
        <f>YEAR(Table5[[#This Row],[bill_date]])</f>
        <v>2023</v>
      </c>
      <c r="F3586">
        <v>502</v>
      </c>
      <c r="G3586" t="s">
        <v>29</v>
      </c>
    </row>
    <row r="3587" spans="1:7" x14ac:dyDescent="0.3">
      <c r="A3587">
        <v>33586</v>
      </c>
      <c r="B3587">
        <v>66</v>
      </c>
      <c r="C3587" s="2">
        <v>44923</v>
      </c>
      <c r="D3587" s="2" t="str">
        <f>TEXT(Table5[[#This Row],[bill_date]],"mmmm")</f>
        <v>December</v>
      </c>
      <c r="E3587" s="9">
        <f>YEAR(Table5[[#This Row],[bill_date]])</f>
        <v>2022</v>
      </c>
      <c r="F3587">
        <v>1463</v>
      </c>
      <c r="G3587" t="s">
        <v>30</v>
      </c>
    </row>
    <row r="3588" spans="1:7" x14ac:dyDescent="0.3">
      <c r="A3588">
        <v>33587</v>
      </c>
      <c r="B3588">
        <v>2</v>
      </c>
      <c r="C3588" s="2">
        <v>44689</v>
      </c>
      <c r="D3588" s="2" t="str">
        <f>TEXT(Table5[[#This Row],[bill_date]],"mmmm")</f>
        <v>May</v>
      </c>
      <c r="E3588" s="9">
        <f>YEAR(Table5[[#This Row],[bill_date]])</f>
        <v>2022</v>
      </c>
      <c r="F3588">
        <v>1840</v>
      </c>
      <c r="G3588" t="s">
        <v>30</v>
      </c>
    </row>
    <row r="3589" spans="1:7" x14ac:dyDescent="0.3">
      <c r="A3589">
        <v>33588</v>
      </c>
      <c r="B3589">
        <v>495</v>
      </c>
      <c r="C3589" s="2">
        <v>45436</v>
      </c>
      <c r="D3589" s="2" t="str">
        <f>TEXT(Table5[[#This Row],[bill_date]],"mmmm")</f>
        <v>May</v>
      </c>
      <c r="E3589" s="9">
        <f>YEAR(Table5[[#This Row],[bill_date]])</f>
        <v>2024</v>
      </c>
      <c r="F3589">
        <v>1756</v>
      </c>
      <c r="G3589" t="s">
        <v>30</v>
      </c>
    </row>
    <row r="3590" spans="1:7" x14ac:dyDescent="0.3">
      <c r="A3590">
        <v>33589</v>
      </c>
      <c r="B3590">
        <v>325</v>
      </c>
      <c r="C3590" s="2">
        <v>45084</v>
      </c>
      <c r="D3590" s="2" t="str">
        <f>TEXT(Table5[[#This Row],[bill_date]],"mmmm")</f>
        <v>June</v>
      </c>
      <c r="E3590" s="9">
        <f>YEAR(Table5[[#This Row],[bill_date]])</f>
        <v>2023</v>
      </c>
      <c r="F3590">
        <v>1063</v>
      </c>
      <c r="G3590" t="s">
        <v>30</v>
      </c>
    </row>
    <row r="3591" spans="1:7" x14ac:dyDescent="0.3">
      <c r="A3591">
        <v>33590</v>
      </c>
      <c r="B3591">
        <v>269</v>
      </c>
      <c r="C3591" s="2">
        <v>44897</v>
      </c>
      <c r="D3591" s="2" t="str">
        <f>TEXT(Table5[[#This Row],[bill_date]],"mmmm")</f>
        <v>December</v>
      </c>
      <c r="E3591" s="9">
        <f>YEAR(Table5[[#This Row],[bill_date]])</f>
        <v>2022</v>
      </c>
      <c r="F3591">
        <v>443</v>
      </c>
      <c r="G3591" t="s">
        <v>28</v>
      </c>
    </row>
    <row r="3592" spans="1:7" x14ac:dyDescent="0.3">
      <c r="A3592">
        <v>33591</v>
      </c>
      <c r="B3592">
        <v>403</v>
      </c>
      <c r="C3592" s="2">
        <v>45315</v>
      </c>
      <c r="D3592" s="2" t="str">
        <f>TEXT(Table5[[#This Row],[bill_date]],"mmmm")</f>
        <v>January</v>
      </c>
      <c r="E3592" s="9">
        <f>YEAR(Table5[[#This Row],[bill_date]])</f>
        <v>2024</v>
      </c>
      <c r="F3592">
        <v>984</v>
      </c>
      <c r="G3592" t="s">
        <v>30</v>
      </c>
    </row>
    <row r="3593" spans="1:7" x14ac:dyDescent="0.3">
      <c r="A3593">
        <v>33592</v>
      </c>
      <c r="B3593">
        <v>339</v>
      </c>
      <c r="C3593" s="2">
        <v>45254</v>
      </c>
      <c r="D3593" s="2" t="str">
        <f>TEXT(Table5[[#This Row],[bill_date]],"mmmm")</f>
        <v>November</v>
      </c>
      <c r="E3593" s="9">
        <f>YEAR(Table5[[#This Row],[bill_date]])</f>
        <v>2023</v>
      </c>
      <c r="F3593">
        <v>789</v>
      </c>
      <c r="G3593" t="s">
        <v>30</v>
      </c>
    </row>
    <row r="3594" spans="1:7" x14ac:dyDescent="0.3">
      <c r="A3594">
        <v>33593</v>
      </c>
      <c r="B3594">
        <v>303</v>
      </c>
      <c r="C3594" s="2">
        <v>44826</v>
      </c>
      <c r="D3594" s="2" t="str">
        <f>TEXT(Table5[[#This Row],[bill_date]],"mmmm")</f>
        <v>September</v>
      </c>
      <c r="E3594" s="9">
        <f>YEAR(Table5[[#This Row],[bill_date]])</f>
        <v>2022</v>
      </c>
      <c r="F3594">
        <v>502</v>
      </c>
      <c r="G3594" t="s">
        <v>29</v>
      </c>
    </row>
    <row r="3595" spans="1:7" x14ac:dyDescent="0.3">
      <c r="A3595">
        <v>33594</v>
      </c>
      <c r="B3595">
        <v>129</v>
      </c>
      <c r="C3595" s="2">
        <v>44756</v>
      </c>
      <c r="D3595" s="2" t="str">
        <f>TEXT(Table5[[#This Row],[bill_date]],"mmmm")</f>
        <v>July</v>
      </c>
      <c r="E3595" s="9">
        <f>YEAR(Table5[[#This Row],[bill_date]])</f>
        <v>2022</v>
      </c>
      <c r="F3595">
        <v>1757</v>
      </c>
      <c r="G3595" t="s">
        <v>30</v>
      </c>
    </row>
    <row r="3596" spans="1:7" x14ac:dyDescent="0.3">
      <c r="A3596">
        <v>33595</v>
      </c>
      <c r="B3596">
        <v>483</v>
      </c>
      <c r="C3596" s="2">
        <v>45319</v>
      </c>
      <c r="D3596" s="2" t="str">
        <f>TEXT(Table5[[#This Row],[bill_date]],"mmmm")</f>
        <v>January</v>
      </c>
      <c r="E3596" s="9">
        <f>YEAR(Table5[[#This Row],[bill_date]])</f>
        <v>2024</v>
      </c>
      <c r="F3596">
        <v>309</v>
      </c>
      <c r="G3596" t="s">
        <v>30</v>
      </c>
    </row>
    <row r="3597" spans="1:7" x14ac:dyDescent="0.3">
      <c r="A3597">
        <v>33596</v>
      </c>
      <c r="B3597">
        <v>146</v>
      </c>
      <c r="C3597" s="2">
        <v>44661</v>
      </c>
      <c r="D3597" s="2" t="str">
        <f>TEXT(Table5[[#This Row],[bill_date]],"mmmm")</f>
        <v>April</v>
      </c>
      <c r="E3597" s="9">
        <f>YEAR(Table5[[#This Row],[bill_date]])</f>
        <v>2022</v>
      </c>
      <c r="F3597">
        <v>1352</v>
      </c>
      <c r="G3597" t="s">
        <v>30</v>
      </c>
    </row>
    <row r="3598" spans="1:7" x14ac:dyDescent="0.3">
      <c r="A3598">
        <v>33597</v>
      </c>
      <c r="B3598">
        <v>113</v>
      </c>
      <c r="C3598" s="2">
        <v>45125</v>
      </c>
      <c r="D3598" s="2" t="str">
        <f>TEXT(Table5[[#This Row],[bill_date]],"mmmm")</f>
        <v>July</v>
      </c>
      <c r="E3598" s="9">
        <f>YEAR(Table5[[#This Row],[bill_date]])</f>
        <v>2023</v>
      </c>
      <c r="F3598">
        <v>1584</v>
      </c>
      <c r="G3598" t="s">
        <v>30</v>
      </c>
    </row>
    <row r="3599" spans="1:7" x14ac:dyDescent="0.3">
      <c r="A3599">
        <v>33598</v>
      </c>
      <c r="B3599">
        <v>288</v>
      </c>
      <c r="C3599" s="2">
        <v>44932</v>
      </c>
      <c r="D3599" s="2" t="str">
        <f>TEXT(Table5[[#This Row],[bill_date]],"mmmm")</f>
        <v>January</v>
      </c>
      <c r="E3599" s="9">
        <f>YEAR(Table5[[#This Row],[bill_date]])</f>
        <v>2023</v>
      </c>
      <c r="F3599">
        <v>458</v>
      </c>
      <c r="G3599" t="s">
        <v>30</v>
      </c>
    </row>
    <row r="3600" spans="1:7" x14ac:dyDescent="0.3">
      <c r="A3600">
        <v>33599</v>
      </c>
      <c r="B3600">
        <v>96</v>
      </c>
      <c r="C3600" s="2">
        <v>45458</v>
      </c>
      <c r="D3600" s="2" t="str">
        <f>TEXT(Table5[[#This Row],[bill_date]],"mmmm")</f>
        <v>June</v>
      </c>
      <c r="E3600" s="9">
        <f>YEAR(Table5[[#This Row],[bill_date]])</f>
        <v>2024</v>
      </c>
      <c r="F3600">
        <v>864</v>
      </c>
      <c r="G3600" t="s">
        <v>30</v>
      </c>
    </row>
    <row r="3601" spans="1:7" x14ac:dyDescent="0.3">
      <c r="A3601">
        <v>33600</v>
      </c>
      <c r="B3601">
        <v>456</v>
      </c>
      <c r="C3601" s="2">
        <v>44989</v>
      </c>
      <c r="D3601" s="2" t="str">
        <f>TEXT(Table5[[#This Row],[bill_date]],"mmmm")</f>
        <v>March</v>
      </c>
      <c r="E3601" s="9">
        <f>YEAR(Table5[[#This Row],[bill_date]])</f>
        <v>2023</v>
      </c>
      <c r="F3601">
        <v>729</v>
      </c>
      <c r="G3601" t="s">
        <v>30</v>
      </c>
    </row>
    <row r="3602" spans="1:7" x14ac:dyDescent="0.3">
      <c r="A3602">
        <v>33601</v>
      </c>
      <c r="B3602">
        <v>267</v>
      </c>
      <c r="C3602" s="2">
        <v>45148</v>
      </c>
      <c r="D3602" s="2" t="str">
        <f>TEXT(Table5[[#This Row],[bill_date]],"mmmm")</f>
        <v>August</v>
      </c>
      <c r="E3602" s="9">
        <f>YEAR(Table5[[#This Row],[bill_date]])</f>
        <v>2023</v>
      </c>
      <c r="F3602">
        <v>759</v>
      </c>
      <c r="G3602" t="s">
        <v>30</v>
      </c>
    </row>
    <row r="3603" spans="1:7" x14ac:dyDescent="0.3">
      <c r="A3603">
        <v>33602</v>
      </c>
      <c r="B3603">
        <v>404</v>
      </c>
      <c r="C3603" s="2">
        <v>44694</v>
      </c>
      <c r="D3603" s="2" t="str">
        <f>TEXT(Table5[[#This Row],[bill_date]],"mmmm")</f>
        <v>May</v>
      </c>
      <c r="E3603" s="9">
        <f>YEAR(Table5[[#This Row],[bill_date]])</f>
        <v>2022</v>
      </c>
      <c r="F3603">
        <v>1808</v>
      </c>
      <c r="G3603" t="s">
        <v>30</v>
      </c>
    </row>
    <row r="3604" spans="1:7" x14ac:dyDescent="0.3">
      <c r="A3604">
        <v>33603</v>
      </c>
      <c r="B3604">
        <v>8</v>
      </c>
      <c r="C3604" s="2">
        <v>44817</v>
      </c>
      <c r="D3604" s="2" t="str">
        <f>TEXT(Table5[[#This Row],[bill_date]],"mmmm")</f>
        <v>September</v>
      </c>
      <c r="E3604" s="9">
        <f>YEAR(Table5[[#This Row],[bill_date]])</f>
        <v>2022</v>
      </c>
      <c r="F3604">
        <v>1436</v>
      </c>
      <c r="G3604" t="s">
        <v>30</v>
      </c>
    </row>
    <row r="3605" spans="1:7" x14ac:dyDescent="0.3">
      <c r="A3605">
        <v>33604</v>
      </c>
      <c r="B3605">
        <v>220</v>
      </c>
      <c r="C3605" s="2">
        <v>45011</v>
      </c>
      <c r="D3605" s="2" t="str">
        <f>TEXT(Table5[[#This Row],[bill_date]],"mmmm")</f>
        <v>March</v>
      </c>
      <c r="E3605" s="9">
        <f>YEAR(Table5[[#This Row],[bill_date]])</f>
        <v>2023</v>
      </c>
      <c r="F3605">
        <v>251</v>
      </c>
      <c r="G3605" t="s">
        <v>30</v>
      </c>
    </row>
    <row r="3606" spans="1:7" x14ac:dyDescent="0.3">
      <c r="A3606">
        <v>33605</v>
      </c>
      <c r="B3606">
        <v>213</v>
      </c>
      <c r="C3606" s="2">
        <v>45282</v>
      </c>
      <c r="D3606" s="2" t="str">
        <f>TEXT(Table5[[#This Row],[bill_date]],"mmmm")</f>
        <v>December</v>
      </c>
      <c r="E3606" s="9">
        <f>YEAR(Table5[[#This Row],[bill_date]])</f>
        <v>2023</v>
      </c>
      <c r="F3606">
        <v>1100</v>
      </c>
      <c r="G3606" t="s">
        <v>30</v>
      </c>
    </row>
    <row r="3607" spans="1:7" x14ac:dyDescent="0.3">
      <c r="A3607">
        <v>33606</v>
      </c>
      <c r="B3607">
        <v>102</v>
      </c>
      <c r="C3607" s="2">
        <v>44965</v>
      </c>
      <c r="D3607" s="2" t="str">
        <f>TEXT(Table5[[#This Row],[bill_date]],"mmmm")</f>
        <v>February</v>
      </c>
      <c r="E3607" s="9">
        <f>YEAR(Table5[[#This Row],[bill_date]])</f>
        <v>2023</v>
      </c>
      <c r="F3607">
        <v>388</v>
      </c>
      <c r="G3607" t="s">
        <v>30</v>
      </c>
    </row>
    <row r="3608" spans="1:7" x14ac:dyDescent="0.3">
      <c r="A3608">
        <v>33607</v>
      </c>
      <c r="B3608">
        <v>166</v>
      </c>
      <c r="C3608" s="2">
        <v>45216</v>
      </c>
      <c r="D3608" s="2" t="str">
        <f>TEXT(Table5[[#This Row],[bill_date]],"mmmm")</f>
        <v>October</v>
      </c>
      <c r="E3608" s="9">
        <f>YEAR(Table5[[#This Row],[bill_date]])</f>
        <v>2023</v>
      </c>
      <c r="F3608">
        <v>1863</v>
      </c>
      <c r="G3608" t="s">
        <v>30</v>
      </c>
    </row>
    <row r="3609" spans="1:7" x14ac:dyDescent="0.3">
      <c r="A3609">
        <v>33608</v>
      </c>
      <c r="B3609">
        <v>262</v>
      </c>
      <c r="C3609" s="2">
        <v>45141</v>
      </c>
      <c r="D3609" s="2" t="str">
        <f>TEXT(Table5[[#This Row],[bill_date]],"mmmm")</f>
        <v>August</v>
      </c>
      <c r="E3609" s="9">
        <f>YEAR(Table5[[#This Row],[bill_date]])</f>
        <v>2023</v>
      </c>
      <c r="F3609">
        <v>1713</v>
      </c>
      <c r="G3609" t="s">
        <v>30</v>
      </c>
    </row>
    <row r="3610" spans="1:7" x14ac:dyDescent="0.3">
      <c r="A3610">
        <v>33609</v>
      </c>
      <c r="B3610">
        <v>2</v>
      </c>
      <c r="C3610" s="2">
        <v>44615</v>
      </c>
      <c r="D3610" s="2" t="str">
        <f>TEXT(Table5[[#This Row],[bill_date]],"mmmm")</f>
        <v>February</v>
      </c>
      <c r="E3610" s="9">
        <f>YEAR(Table5[[#This Row],[bill_date]])</f>
        <v>2022</v>
      </c>
      <c r="F3610">
        <v>342</v>
      </c>
      <c r="G3610" t="s">
        <v>30</v>
      </c>
    </row>
    <row r="3611" spans="1:7" x14ac:dyDescent="0.3">
      <c r="A3611">
        <v>33610</v>
      </c>
      <c r="B3611">
        <v>202</v>
      </c>
      <c r="C3611" s="2">
        <v>45340</v>
      </c>
      <c r="D3611" s="2" t="str">
        <f>TEXT(Table5[[#This Row],[bill_date]],"mmmm")</f>
        <v>February</v>
      </c>
      <c r="E3611" s="9">
        <f>YEAR(Table5[[#This Row],[bill_date]])</f>
        <v>2024</v>
      </c>
      <c r="F3611">
        <v>958</v>
      </c>
      <c r="G3611" t="s">
        <v>28</v>
      </c>
    </row>
    <row r="3612" spans="1:7" x14ac:dyDescent="0.3">
      <c r="A3612">
        <v>33611</v>
      </c>
      <c r="B3612">
        <v>490</v>
      </c>
      <c r="C3612" s="2">
        <v>44968</v>
      </c>
      <c r="D3612" s="2" t="str">
        <f>TEXT(Table5[[#This Row],[bill_date]],"mmmm")</f>
        <v>February</v>
      </c>
      <c r="E3612" s="9">
        <f>YEAR(Table5[[#This Row],[bill_date]])</f>
        <v>2023</v>
      </c>
      <c r="F3612">
        <v>1402</v>
      </c>
      <c r="G3612" t="s">
        <v>30</v>
      </c>
    </row>
    <row r="3613" spans="1:7" x14ac:dyDescent="0.3">
      <c r="A3613">
        <v>33612</v>
      </c>
      <c r="B3613">
        <v>329</v>
      </c>
      <c r="C3613" s="2">
        <v>44946</v>
      </c>
      <c r="D3613" s="2" t="str">
        <f>TEXT(Table5[[#This Row],[bill_date]],"mmmm")</f>
        <v>January</v>
      </c>
      <c r="E3613" s="9">
        <f>YEAR(Table5[[#This Row],[bill_date]])</f>
        <v>2023</v>
      </c>
      <c r="F3613">
        <v>1741</v>
      </c>
      <c r="G3613" t="s">
        <v>30</v>
      </c>
    </row>
    <row r="3614" spans="1:7" x14ac:dyDescent="0.3">
      <c r="A3614">
        <v>33613</v>
      </c>
      <c r="B3614">
        <v>183</v>
      </c>
      <c r="C3614" s="2">
        <v>44803</v>
      </c>
      <c r="D3614" s="2" t="str">
        <f>TEXT(Table5[[#This Row],[bill_date]],"mmmm")</f>
        <v>August</v>
      </c>
      <c r="E3614" s="9">
        <f>YEAR(Table5[[#This Row],[bill_date]])</f>
        <v>2022</v>
      </c>
      <c r="F3614">
        <v>1001</v>
      </c>
      <c r="G3614" t="s">
        <v>30</v>
      </c>
    </row>
    <row r="3615" spans="1:7" x14ac:dyDescent="0.3">
      <c r="A3615">
        <v>33614</v>
      </c>
      <c r="B3615">
        <v>259</v>
      </c>
      <c r="C3615" s="2">
        <v>44608</v>
      </c>
      <c r="D3615" s="2" t="str">
        <f>TEXT(Table5[[#This Row],[bill_date]],"mmmm")</f>
        <v>February</v>
      </c>
      <c r="E3615" s="9">
        <f>YEAR(Table5[[#This Row],[bill_date]])</f>
        <v>2022</v>
      </c>
      <c r="F3615">
        <v>916</v>
      </c>
      <c r="G3615" t="s">
        <v>30</v>
      </c>
    </row>
    <row r="3616" spans="1:7" x14ac:dyDescent="0.3">
      <c r="A3616">
        <v>33615</v>
      </c>
      <c r="B3616">
        <v>322</v>
      </c>
      <c r="C3616" s="2">
        <v>44676</v>
      </c>
      <c r="D3616" s="2" t="str">
        <f>TEXT(Table5[[#This Row],[bill_date]],"mmmm")</f>
        <v>April</v>
      </c>
      <c r="E3616" s="9">
        <f>YEAR(Table5[[#This Row],[bill_date]])</f>
        <v>2022</v>
      </c>
      <c r="F3616">
        <v>1290</v>
      </c>
      <c r="G3616" t="s">
        <v>29</v>
      </c>
    </row>
    <row r="3617" spans="1:7" x14ac:dyDescent="0.3">
      <c r="A3617">
        <v>33616</v>
      </c>
      <c r="B3617">
        <v>228</v>
      </c>
      <c r="C3617" s="2">
        <v>45269</v>
      </c>
      <c r="D3617" s="2" t="str">
        <f>TEXT(Table5[[#This Row],[bill_date]],"mmmm")</f>
        <v>December</v>
      </c>
      <c r="E3617" s="9">
        <f>YEAR(Table5[[#This Row],[bill_date]])</f>
        <v>2023</v>
      </c>
      <c r="F3617">
        <v>1071</v>
      </c>
      <c r="G3617" t="s">
        <v>30</v>
      </c>
    </row>
    <row r="3618" spans="1:7" x14ac:dyDescent="0.3">
      <c r="A3618">
        <v>33617</v>
      </c>
      <c r="B3618">
        <v>200</v>
      </c>
      <c r="C3618" s="2">
        <v>45367</v>
      </c>
      <c r="D3618" s="2" t="str">
        <f>TEXT(Table5[[#This Row],[bill_date]],"mmmm")</f>
        <v>March</v>
      </c>
      <c r="E3618" s="9">
        <f>YEAR(Table5[[#This Row],[bill_date]])</f>
        <v>2024</v>
      </c>
      <c r="F3618">
        <v>853</v>
      </c>
      <c r="G3618" t="s">
        <v>30</v>
      </c>
    </row>
    <row r="3619" spans="1:7" x14ac:dyDescent="0.3">
      <c r="A3619">
        <v>33618</v>
      </c>
      <c r="B3619">
        <v>457</v>
      </c>
      <c r="C3619" s="2">
        <v>44691</v>
      </c>
      <c r="D3619" s="2" t="str">
        <f>TEXT(Table5[[#This Row],[bill_date]],"mmmm")</f>
        <v>May</v>
      </c>
      <c r="E3619" s="9">
        <f>YEAR(Table5[[#This Row],[bill_date]])</f>
        <v>2022</v>
      </c>
      <c r="F3619">
        <v>1330</v>
      </c>
      <c r="G3619" t="s">
        <v>30</v>
      </c>
    </row>
    <row r="3620" spans="1:7" x14ac:dyDescent="0.3">
      <c r="A3620">
        <v>33619</v>
      </c>
      <c r="B3620">
        <v>26</v>
      </c>
      <c r="C3620" s="2">
        <v>45118</v>
      </c>
      <c r="D3620" s="2" t="str">
        <f>TEXT(Table5[[#This Row],[bill_date]],"mmmm")</f>
        <v>July</v>
      </c>
      <c r="E3620" s="9">
        <f>YEAR(Table5[[#This Row],[bill_date]])</f>
        <v>2023</v>
      </c>
      <c r="F3620">
        <v>383</v>
      </c>
      <c r="G3620" t="s">
        <v>30</v>
      </c>
    </row>
    <row r="3621" spans="1:7" x14ac:dyDescent="0.3">
      <c r="A3621">
        <v>33620</v>
      </c>
      <c r="B3621">
        <v>482</v>
      </c>
      <c r="C3621" s="2">
        <v>44716</v>
      </c>
      <c r="D3621" s="2" t="str">
        <f>TEXT(Table5[[#This Row],[bill_date]],"mmmm")</f>
        <v>June</v>
      </c>
      <c r="E3621" s="9">
        <f>YEAR(Table5[[#This Row],[bill_date]])</f>
        <v>2022</v>
      </c>
      <c r="F3621">
        <v>1974</v>
      </c>
      <c r="G3621" t="s">
        <v>30</v>
      </c>
    </row>
    <row r="3622" spans="1:7" x14ac:dyDescent="0.3">
      <c r="A3622">
        <v>33621</v>
      </c>
      <c r="B3622">
        <v>432</v>
      </c>
      <c r="C3622" s="2">
        <v>45056</v>
      </c>
      <c r="D3622" s="2" t="str">
        <f>TEXT(Table5[[#This Row],[bill_date]],"mmmm")</f>
        <v>May</v>
      </c>
      <c r="E3622" s="9">
        <f>YEAR(Table5[[#This Row],[bill_date]])</f>
        <v>2023</v>
      </c>
      <c r="F3622">
        <v>1373</v>
      </c>
      <c r="G3622" t="s">
        <v>30</v>
      </c>
    </row>
    <row r="3623" spans="1:7" x14ac:dyDescent="0.3">
      <c r="A3623">
        <v>33622</v>
      </c>
      <c r="B3623">
        <v>350</v>
      </c>
      <c r="C3623" s="2">
        <v>45390</v>
      </c>
      <c r="D3623" s="2" t="str">
        <f>TEXT(Table5[[#This Row],[bill_date]],"mmmm")</f>
        <v>April</v>
      </c>
      <c r="E3623" s="9">
        <f>YEAR(Table5[[#This Row],[bill_date]])</f>
        <v>2024</v>
      </c>
      <c r="F3623">
        <v>1945</v>
      </c>
      <c r="G3623" t="s">
        <v>30</v>
      </c>
    </row>
    <row r="3624" spans="1:7" x14ac:dyDescent="0.3">
      <c r="A3624">
        <v>33623</v>
      </c>
      <c r="B3624">
        <v>102</v>
      </c>
      <c r="C3624" s="2">
        <v>44643</v>
      </c>
      <c r="D3624" s="2" t="str">
        <f>TEXT(Table5[[#This Row],[bill_date]],"mmmm")</f>
        <v>March</v>
      </c>
      <c r="E3624" s="9">
        <f>YEAR(Table5[[#This Row],[bill_date]])</f>
        <v>2022</v>
      </c>
      <c r="F3624">
        <v>788</v>
      </c>
      <c r="G3624" t="s">
        <v>28</v>
      </c>
    </row>
    <row r="3625" spans="1:7" x14ac:dyDescent="0.3">
      <c r="A3625">
        <v>33624</v>
      </c>
      <c r="B3625">
        <v>136</v>
      </c>
      <c r="C3625" s="2">
        <v>45340</v>
      </c>
      <c r="D3625" s="2" t="str">
        <f>TEXT(Table5[[#This Row],[bill_date]],"mmmm")</f>
        <v>February</v>
      </c>
      <c r="E3625" s="9">
        <f>YEAR(Table5[[#This Row],[bill_date]])</f>
        <v>2024</v>
      </c>
      <c r="F3625">
        <v>1697</v>
      </c>
      <c r="G3625" t="s">
        <v>30</v>
      </c>
    </row>
    <row r="3626" spans="1:7" x14ac:dyDescent="0.3">
      <c r="A3626">
        <v>33625</v>
      </c>
      <c r="B3626">
        <v>451</v>
      </c>
      <c r="C3626" s="2">
        <v>45230</v>
      </c>
      <c r="D3626" s="2" t="str">
        <f>TEXT(Table5[[#This Row],[bill_date]],"mmmm")</f>
        <v>October</v>
      </c>
      <c r="E3626" s="9">
        <f>YEAR(Table5[[#This Row],[bill_date]])</f>
        <v>2023</v>
      </c>
      <c r="F3626">
        <v>1962</v>
      </c>
      <c r="G3626" t="s">
        <v>30</v>
      </c>
    </row>
    <row r="3627" spans="1:7" x14ac:dyDescent="0.3">
      <c r="A3627">
        <v>33626</v>
      </c>
      <c r="B3627">
        <v>331</v>
      </c>
      <c r="C3627" s="2">
        <v>44586</v>
      </c>
      <c r="D3627" s="2" t="str">
        <f>TEXT(Table5[[#This Row],[bill_date]],"mmmm")</f>
        <v>January</v>
      </c>
      <c r="E3627" s="9">
        <f>YEAR(Table5[[#This Row],[bill_date]])</f>
        <v>2022</v>
      </c>
      <c r="F3627">
        <v>957</v>
      </c>
      <c r="G3627" t="s">
        <v>28</v>
      </c>
    </row>
    <row r="3628" spans="1:7" x14ac:dyDescent="0.3">
      <c r="A3628">
        <v>33627</v>
      </c>
      <c r="B3628">
        <v>345</v>
      </c>
      <c r="C3628" s="2">
        <v>44895</v>
      </c>
      <c r="D3628" s="2" t="str">
        <f>TEXT(Table5[[#This Row],[bill_date]],"mmmm")</f>
        <v>November</v>
      </c>
      <c r="E3628" s="9">
        <f>YEAR(Table5[[#This Row],[bill_date]])</f>
        <v>2022</v>
      </c>
      <c r="F3628">
        <v>300</v>
      </c>
      <c r="G3628" t="s">
        <v>30</v>
      </c>
    </row>
    <row r="3629" spans="1:7" x14ac:dyDescent="0.3">
      <c r="A3629">
        <v>33628</v>
      </c>
      <c r="B3629">
        <v>372</v>
      </c>
      <c r="C3629" s="2">
        <v>44743</v>
      </c>
      <c r="D3629" s="2" t="str">
        <f>TEXT(Table5[[#This Row],[bill_date]],"mmmm")</f>
        <v>July</v>
      </c>
      <c r="E3629" s="9">
        <f>YEAR(Table5[[#This Row],[bill_date]])</f>
        <v>2022</v>
      </c>
      <c r="F3629">
        <v>1948</v>
      </c>
      <c r="G3629" t="s">
        <v>30</v>
      </c>
    </row>
    <row r="3630" spans="1:7" x14ac:dyDescent="0.3">
      <c r="A3630">
        <v>33629</v>
      </c>
      <c r="B3630">
        <v>197</v>
      </c>
      <c r="C3630" s="2">
        <v>44993</v>
      </c>
      <c r="D3630" s="2" t="str">
        <f>TEXT(Table5[[#This Row],[bill_date]],"mmmm")</f>
        <v>March</v>
      </c>
      <c r="E3630" s="9">
        <f>YEAR(Table5[[#This Row],[bill_date]])</f>
        <v>2023</v>
      </c>
      <c r="F3630">
        <v>1361</v>
      </c>
      <c r="G3630" t="s">
        <v>28</v>
      </c>
    </row>
    <row r="3631" spans="1:7" x14ac:dyDescent="0.3">
      <c r="A3631">
        <v>33630</v>
      </c>
      <c r="B3631">
        <v>460</v>
      </c>
      <c r="C3631" s="2">
        <v>44735</v>
      </c>
      <c r="D3631" s="2" t="str">
        <f>TEXT(Table5[[#This Row],[bill_date]],"mmmm")</f>
        <v>June</v>
      </c>
      <c r="E3631" s="9">
        <f>YEAR(Table5[[#This Row],[bill_date]])</f>
        <v>2022</v>
      </c>
      <c r="F3631">
        <v>1610</v>
      </c>
      <c r="G3631" t="s">
        <v>30</v>
      </c>
    </row>
    <row r="3632" spans="1:7" x14ac:dyDescent="0.3">
      <c r="A3632">
        <v>33631</v>
      </c>
      <c r="B3632">
        <v>30</v>
      </c>
      <c r="C3632" s="2">
        <v>45370</v>
      </c>
      <c r="D3632" s="2" t="str">
        <f>TEXT(Table5[[#This Row],[bill_date]],"mmmm")</f>
        <v>March</v>
      </c>
      <c r="E3632" s="9">
        <f>YEAR(Table5[[#This Row],[bill_date]])</f>
        <v>2024</v>
      </c>
      <c r="F3632">
        <v>1920</v>
      </c>
      <c r="G3632" t="s">
        <v>30</v>
      </c>
    </row>
    <row r="3633" spans="1:7" x14ac:dyDescent="0.3">
      <c r="A3633">
        <v>33632</v>
      </c>
      <c r="B3633">
        <v>411</v>
      </c>
      <c r="C3633" s="2">
        <v>44602</v>
      </c>
      <c r="D3633" s="2" t="str">
        <f>TEXT(Table5[[#This Row],[bill_date]],"mmmm")</f>
        <v>February</v>
      </c>
      <c r="E3633" s="9">
        <f>YEAR(Table5[[#This Row],[bill_date]])</f>
        <v>2022</v>
      </c>
      <c r="F3633">
        <v>878</v>
      </c>
      <c r="G3633" t="s">
        <v>29</v>
      </c>
    </row>
    <row r="3634" spans="1:7" x14ac:dyDescent="0.3">
      <c r="A3634">
        <v>33633</v>
      </c>
      <c r="B3634">
        <v>299</v>
      </c>
      <c r="C3634" s="2">
        <v>45006</v>
      </c>
      <c r="D3634" s="2" t="str">
        <f>TEXT(Table5[[#This Row],[bill_date]],"mmmm")</f>
        <v>March</v>
      </c>
      <c r="E3634" s="9">
        <f>YEAR(Table5[[#This Row],[bill_date]])</f>
        <v>2023</v>
      </c>
      <c r="F3634">
        <v>687</v>
      </c>
      <c r="G3634" t="s">
        <v>28</v>
      </c>
    </row>
    <row r="3635" spans="1:7" x14ac:dyDescent="0.3">
      <c r="A3635">
        <v>33634</v>
      </c>
      <c r="B3635">
        <v>133</v>
      </c>
      <c r="C3635" s="2">
        <v>45430</v>
      </c>
      <c r="D3635" s="2" t="str">
        <f>TEXT(Table5[[#This Row],[bill_date]],"mmmm")</f>
        <v>May</v>
      </c>
      <c r="E3635" s="9">
        <f>YEAR(Table5[[#This Row],[bill_date]])</f>
        <v>2024</v>
      </c>
      <c r="F3635">
        <v>1280</v>
      </c>
      <c r="G3635" t="s">
        <v>28</v>
      </c>
    </row>
    <row r="3636" spans="1:7" x14ac:dyDescent="0.3">
      <c r="A3636">
        <v>33635</v>
      </c>
      <c r="B3636">
        <v>256</v>
      </c>
      <c r="C3636" s="2">
        <v>44956</v>
      </c>
      <c r="D3636" s="2" t="str">
        <f>TEXT(Table5[[#This Row],[bill_date]],"mmmm")</f>
        <v>January</v>
      </c>
      <c r="E3636" s="9">
        <f>YEAR(Table5[[#This Row],[bill_date]])</f>
        <v>2023</v>
      </c>
      <c r="F3636">
        <v>829</v>
      </c>
      <c r="G3636" t="s">
        <v>30</v>
      </c>
    </row>
    <row r="3637" spans="1:7" x14ac:dyDescent="0.3">
      <c r="A3637">
        <v>33636</v>
      </c>
      <c r="B3637">
        <v>20</v>
      </c>
      <c r="C3637" s="2">
        <v>44849</v>
      </c>
      <c r="D3637" s="2" t="str">
        <f>TEXT(Table5[[#This Row],[bill_date]],"mmmm")</f>
        <v>October</v>
      </c>
      <c r="E3637" s="9">
        <f>YEAR(Table5[[#This Row],[bill_date]])</f>
        <v>2022</v>
      </c>
      <c r="F3637">
        <v>286</v>
      </c>
      <c r="G3637" t="s">
        <v>30</v>
      </c>
    </row>
    <row r="3638" spans="1:7" x14ac:dyDescent="0.3">
      <c r="A3638">
        <v>33637</v>
      </c>
      <c r="B3638">
        <v>308</v>
      </c>
      <c r="C3638" s="2">
        <v>45122</v>
      </c>
      <c r="D3638" s="2" t="str">
        <f>TEXT(Table5[[#This Row],[bill_date]],"mmmm")</f>
        <v>July</v>
      </c>
      <c r="E3638" s="9">
        <f>YEAR(Table5[[#This Row],[bill_date]])</f>
        <v>2023</v>
      </c>
      <c r="F3638">
        <v>1344</v>
      </c>
      <c r="G3638" t="s">
        <v>30</v>
      </c>
    </row>
    <row r="3639" spans="1:7" x14ac:dyDescent="0.3">
      <c r="A3639">
        <v>33638</v>
      </c>
      <c r="B3639">
        <v>21</v>
      </c>
      <c r="C3639" s="2">
        <v>44823</v>
      </c>
      <c r="D3639" s="2" t="str">
        <f>TEXT(Table5[[#This Row],[bill_date]],"mmmm")</f>
        <v>September</v>
      </c>
      <c r="E3639" s="9">
        <f>YEAR(Table5[[#This Row],[bill_date]])</f>
        <v>2022</v>
      </c>
      <c r="F3639">
        <v>1192</v>
      </c>
      <c r="G3639" t="s">
        <v>30</v>
      </c>
    </row>
    <row r="3640" spans="1:7" x14ac:dyDescent="0.3">
      <c r="A3640">
        <v>33639</v>
      </c>
      <c r="B3640">
        <v>387</v>
      </c>
      <c r="C3640" s="2">
        <v>45317</v>
      </c>
      <c r="D3640" s="2" t="str">
        <f>TEXT(Table5[[#This Row],[bill_date]],"mmmm")</f>
        <v>January</v>
      </c>
      <c r="E3640" s="9">
        <f>YEAR(Table5[[#This Row],[bill_date]])</f>
        <v>2024</v>
      </c>
      <c r="F3640">
        <v>1466</v>
      </c>
      <c r="G3640" t="s">
        <v>30</v>
      </c>
    </row>
    <row r="3641" spans="1:7" x14ac:dyDescent="0.3">
      <c r="A3641">
        <v>33640</v>
      </c>
      <c r="B3641">
        <v>41</v>
      </c>
      <c r="C3641" s="2">
        <v>44618</v>
      </c>
      <c r="D3641" s="2" t="str">
        <f>TEXT(Table5[[#This Row],[bill_date]],"mmmm")</f>
        <v>February</v>
      </c>
      <c r="E3641" s="9">
        <f>YEAR(Table5[[#This Row],[bill_date]])</f>
        <v>2022</v>
      </c>
      <c r="F3641">
        <v>1289</v>
      </c>
      <c r="G3641" t="s">
        <v>30</v>
      </c>
    </row>
    <row r="3642" spans="1:7" x14ac:dyDescent="0.3">
      <c r="A3642">
        <v>33641</v>
      </c>
      <c r="B3642">
        <v>380</v>
      </c>
      <c r="C3642" s="2">
        <v>44567</v>
      </c>
      <c r="D3642" s="2" t="str">
        <f>TEXT(Table5[[#This Row],[bill_date]],"mmmm")</f>
        <v>January</v>
      </c>
      <c r="E3642" s="9">
        <f>YEAR(Table5[[#This Row],[bill_date]])</f>
        <v>2022</v>
      </c>
      <c r="F3642">
        <v>492</v>
      </c>
      <c r="G3642" t="s">
        <v>30</v>
      </c>
    </row>
    <row r="3643" spans="1:7" x14ac:dyDescent="0.3">
      <c r="A3643">
        <v>33642</v>
      </c>
      <c r="B3643">
        <v>498</v>
      </c>
      <c r="C3643" s="2">
        <v>45120</v>
      </c>
      <c r="D3643" s="2" t="str">
        <f>TEXT(Table5[[#This Row],[bill_date]],"mmmm")</f>
        <v>July</v>
      </c>
      <c r="E3643" s="9">
        <f>YEAR(Table5[[#This Row],[bill_date]])</f>
        <v>2023</v>
      </c>
      <c r="F3643">
        <v>1352</v>
      </c>
      <c r="G3643" t="s">
        <v>29</v>
      </c>
    </row>
    <row r="3644" spans="1:7" x14ac:dyDescent="0.3">
      <c r="A3644">
        <v>33643</v>
      </c>
      <c r="B3644">
        <v>448</v>
      </c>
      <c r="C3644" s="2">
        <v>45136</v>
      </c>
      <c r="D3644" s="2" t="str">
        <f>TEXT(Table5[[#This Row],[bill_date]],"mmmm")</f>
        <v>July</v>
      </c>
      <c r="E3644" s="9">
        <f>YEAR(Table5[[#This Row],[bill_date]])</f>
        <v>2023</v>
      </c>
      <c r="F3644">
        <v>1053</v>
      </c>
      <c r="G3644" t="s">
        <v>30</v>
      </c>
    </row>
    <row r="3645" spans="1:7" x14ac:dyDescent="0.3">
      <c r="A3645">
        <v>33644</v>
      </c>
      <c r="B3645">
        <v>364</v>
      </c>
      <c r="C3645" s="2">
        <v>45140</v>
      </c>
      <c r="D3645" s="2" t="str">
        <f>TEXT(Table5[[#This Row],[bill_date]],"mmmm")</f>
        <v>August</v>
      </c>
      <c r="E3645" s="9">
        <f>YEAR(Table5[[#This Row],[bill_date]])</f>
        <v>2023</v>
      </c>
      <c r="F3645">
        <v>238</v>
      </c>
      <c r="G3645" t="s">
        <v>30</v>
      </c>
    </row>
    <row r="3646" spans="1:7" x14ac:dyDescent="0.3">
      <c r="A3646">
        <v>33645</v>
      </c>
      <c r="B3646">
        <v>452</v>
      </c>
      <c r="C3646" s="2">
        <v>45256</v>
      </c>
      <c r="D3646" s="2" t="str">
        <f>TEXT(Table5[[#This Row],[bill_date]],"mmmm")</f>
        <v>November</v>
      </c>
      <c r="E3646" s="9">
        <f>YEAR(Table5[[#This Row],[bill_date]])</f>
        <v>2023</v>
      </c>
      <c r="F3646">
        <v>1434</v>
      </c>
      <c r="G3646" t="s">
        <v>30</v>
      </c>
    </row>
    <row r="3647" spans="1:7" x14ac:dyDescent="0.3">
      <c r="A3647">
        <v>33646</v>
      </c>
      <c r="B3647">
        <v>472</v>
      </c>
      <c r="C3647" s="2">
        <v>44723</v>
      </c>
      <c r="D3647" s="2" t="str">
        <f>TEXT(Table5[[#This Row],[bill_date]],"mmmm")</f>
        <v>June</v>
      </c>
      <c r="E3647" s="9">
        <f>YEAR(Table5[[#This Row],[bill_date]])</f>
        <v>2022</v>
      </c>
      <c r="F3647">
        <v>1278</v>
      </c>
      <c r="G3647" t="s">
        <v>28</v>
      </c>
    </row>
    <row r="3648" spans="1:7" x14ac:dyDescent="0.3">
      <c r="A3648">
        <v>33647</v>
      </c>
      <c r="B3648">
        <v>455</v>
      </c>
      <c r="C3648" s="2">
        <v>44858</v>
      </c>
      <c r="D3648" s="2" t="str">
        <f>TEXT(Table5[[#This Row],[bill_date]],"mmmm")</f>
        <v>October</v>
      </c>
      <c r="E3648" s="9">
        <f>YEAR(Table5[[#This Row],[bill_date]])</f>
        <v>2022</v>
      </c>
      <c r="F3648">
        <v>910</v>
      </c>
      <c r="G3648" t="s">
        <v>30</v>
      </c>
    </row>
    <row r="3649" spans="1:7" x14ac:dyDescent="0.3">
      <c r="A3649">
        <v>33648</v>
      </c>
      <c r="B3649">
        <v>152</v>
      </c>
      <c r="C3649" s="2">
        <v>45178</v>
      </c>
      <c r="D3649" s="2" t="str">
        <f>TEXT(Table5[[#This Row],[bill_date]],"mmmm")</f>
        <v>September</v>
      </c>
      <c r="E3649" s="9">
        <f>YEAR(Table5[[#This Row],[bill_date]])</f>
        <v>2023</v>
      </c>
      <c r="F3649">
        <v>489</v>
      </c>
      <c r="G3649" t="s">
        <v>30</v>
      </c>
    </row>
    <row r="3650" spans="1:7" x14ac:dyDescent="0.3">
      <c r="A3650">
        <v>33649</v>
      </c>
      <c r="B3650">
        <v>308</v>
      </c>
      <c r="C3650" s="2">
        <v>45336</v>
      </c>
      <c r="D3650" s="2" t="str">
        <f>TEXT(Table5[[#This Row],[bill_date]],"mmmm")</f>
        <v>February</v>
      </c>
      <c r="E3650" s="9">
        <f>YEAR(Table5[[#This Row],[bill_date]])</f>
        <v>2024</v>
      </c>
      <c r="F3650">
        <v>1015</v>
      </c>
      <c r="G3650" t="s">
        <v>30</v>
      </c>
    </row>
    <row r="3651" spans="1:7" x14ac:dyDescent="0.3">
      <c r="A3651">
        <v>33650</v>
      </c>
      <c r="B3651">
        <v>459</v>
      </c>
      <c r="C3651" s="2">
        <v>44618</v>
      </c>
      <c r="D3651" s="2" t="str">
        <f>TEXT(Table5[[#This Row],[bill_date]],"mmmm")</f>
        <v>February</v>
      </c>
      <c r="E3651" s="9">
        <f>YEAR(Table5[[#This Row],[bill_date]])</f>
        <v>2022</v>
      </c>
      <c r="F3651">
        <v>1841</v>
      </c>
      <c r="G3651" t="s">
        <v>30</v>
      </c>
    </row>
    <row r="3652" spans="1:7" x14ac:dyDescent="0.3">
      <c r="A3652">
        <v>33651</v>
      </c>
      <c r="B3652">
        <v>2</v>
      </c>
      <c r="C3652" s="2">
        <v>45089</v>
      </c>
      <c r="D3652" s="2" t="str">
        <f>TEXT(Table5[[#This Row],[bill_date]],"mmmm")</f>
        <v>June</v>
      </c>
      <c r="E3652" s="9">
        <f>YEAR(Table5[[#This Row],[bill_date]])</f>
        <v>2023</v>
      </c>
      <c r="F3652">
        <v>905</v>
      </c>
      <c r="G3652" t="s">
        <v>30</v>
      </c>
    </row>
    <row r="3653" spans="1:7" x14ac:dyDescent="0.3">
      <c r="A3653">
        <v>33652</v>
      </c>
      <c r="B3653">
        <v>44</v>
      </c>
      <c r="C3653" s="2">
        <v>44620</v>
      </c>
      <c r="D3653" s="2" t="str">
        <f>TEXT(Table5[[#This Row],[bill_date]],"mmmm")</f>
        <v>February</v>
      </c>
      <c r="E3653" s="9">
        <f>YEAR(Table5[[#This Row],[bill_date]])</f>
        <v>2022</v>
      </c>
      <c r="F3653">
        <v>1574</v>
      </c>
      <c r="G3653" t="s">
        <v>30</v>
      </c>
    </row>
    <row r="3654" spans="1:7" x14ac:dyDescent="0.3">
      <c r="A3654">
        <v>33653</v>
      </c>
      <c r="B3654">
        <v>41</v>
      </c>
      <c r="C3654" s="2">
        <v>44727</v>
      </c>
      <c r="D3654" s="2" t="str">
        <f>TEXT(Table5[[#This Row],[bill_date]],"mmmm")</f>
        <v>June</v>
      </c>
      <c r="E3654" s="9">
        <f>YEAR(Table5[[#This Row],[bill_date]])</f>
        <v>2022</v>
      </c>
      <c r="F3654">
        <v>1344</v>
      </c>
      <c r="G3654" t="s">
        <v>30</v>
      </c>
    </row>
    <row r="3655" spans="1:7" x14ac:dyDescent="0.3">
      <c r="A3655">
        <v>33654</v>
      </c>
      <c r="B3655">
        <v>326</v>
      </c>
      <c r="C3655" s="2">
        <v>45323</v>
      </c>
      <c r="D3655" s="2" t="str">
        <f>TEXT(Table5[[#This Row],[bill_date]],"mmmm")</f>
        <v>February</v>
      </c>
      <c r="E3655" s="9">
        <f>YEAR(Table5[[#This Row],[bill_date]])</f>
        <v>2024</v>
      </c>
      <c r="F3655">
        <v>1317</v>
      </c>
      <c r="G3655" t="s">
        <v>30</v>
      </c>
    </row>
    <row r="3656" spans="1:7" x14ac:dyDescent="0.3">
      <c r="A3656">
        <v>33655</v>
      </c>
      <c r="B3656">
        <v>263</v>
      </c>
      <c r="C3656" s="2">
        <v>45107</v>
      </c>
      <c r="D3656" s="2" t="str">
        <f>TEXT(Table5[[#This Row],[bill_date]],"mmmm")</f>
        <v>June</v>
      </c>
      <c r="E3656" s="9">
        <f>YEAR(Table5[[#This Row],[bill_date]])</f>
        <v>2023</v>
      </c>
      <c r="F3656">
        <v>1650</v>
      </c>
      <c r="G3656" t="s">
        <v>30</v>
      </c>
    </row>
    <row r="3657" spans="1:7" x14ac:dyDescent="0.3">
      <c r="A3657">
        <v>33656</v>
      </c>
      <c r="B3657">
        <v>294</v>
      </c>
      <c r="C3657" s="2">
        <v>44607</v>
      </c>
      <c r="D3657" s="2" t="str">
        <f>TEXT(Table5[[#This Row],[bill_date]],"mmmm")</f>
        <v>February</v>
      </c>
      <c r="E3657" s="9">
        <f>YEAR(Table5[[#This Row],[bill_date]])</f>
        <v>2022</v>
      </c>
      <c r="F3657">
        <v>997</v>
      </c>
      <c r="G3657" t="s">
        <v>30</v>
      </c>
    </row>
    <row r="3658" spans="1:7" x14ac:dyDescent="0.3">
      <c r="A3658">
        <v>33657</v>
      </c>
      <c r="B3658">
        <v>466</v>
      </c>
      <c r="C3658" s="2">
        <v>45372</v>
      </c>
      <c r="D3658" s="2" t="str">
        <f>TEXT(Table5[[#This Row],[bill_date]],"mmmm")</f>
        <v>March</v>
      </c>
      <c r="E3658" s="9">
        <f>YEAR(Table5[[#This Row],[bill_date]])</f>
        <v>2024</v>
      </c>
      <c r="F3658">
        <v>1859</v>
      </c>
      <c r="G3658" t="s">
        <v>30</v>
      </c>
    </row>
    <row r="3659" spans="1:7" x14ac:dyDescent="0.3">
      <c r="A3659">
        <v>33658</v>
      </c>
      <c r="B3659">
        <v>173</v>
      </c>
      <c r="C3659" s="2">
        <v>44608</v>
      </c>
      <c r="D3659" s="2" t="str">
        <f>TEXT(Table5[[#This Row],[bill_date]],"mmmm")</f>
        <v>February</v>
      </c>
      <c r="E3659" s="9">
        <f>YEAR(Table5[[#This Row],[bill_date]])</f>
        <v>2022</v>
      </c>
      <c r="F3659">
        <v>1671</v>
      </c>
      <c r="G3659" t="s">
        <v>30</v>
      </c>
    </row>
    <row r="3660" spans="1:7" x14ac:dyDescent="0.3">
      <c r="A3660">
        <v>33659</v>
      </c>
      <c r="B3660">
        <v>9</v>
      </c>
      <c r="C3660" s="2">
        <v>44951</v>
      </c>
      <c r="D3660" s="2" t="str">
        <f>TEXT(Table5[[#This Row],[bill_date]],"mmmm")</f>
        <v>January</v>
      </c>
      <c r="E3660" s="9">
        <f>YEAR(Table5[[#This Row],[bill_date]])</f>
        <v>2023</v>
      </c>
      <c r="F3660">
        <v>1042</v>
      </c>
      <c r="G3660" t="s">
        <v>28</v>
      </c>
    </row>
    <row r="3661" spans="1:7" x14ac:dyDescent="0.3">
      <c r="A3661">
        <v>33660</v>
      </c>
      <c r="B3661">
        <v>53</v>
      </c>
      <c r="C3661" s="2">
        <v>44813</v>
      </c>
      <c r="D3661" s="2" t="str">
        <f>TEXT(Table5[[#This Row],[bill_date]],"mmmm")</f>
        <v>September</v>
      </c>
      <c r="E3661" s="9">
        <f>YEAR(Table5[[#This Row],[bill_date]])</f>
        <v>2022</v>
      </c>
      <c r="F3661">
        <v>836</v>
      </c>
      <c r="G3661" t="s">
        <v>30</v>
      </c>
    </row>
    <row r="3662" spans="1:7" x14ac:dyDescent="0.3">
      <c r="A3662">
        <v>33661</v>
      </c>
      <c r="B3662">
        <v>284</v>
      </c>
      <c r="C3662" s="2">
        <v>44727</v>
      </c>
      <c r="D3662" s="2" t="str">
        <f>TEXT(Table5[[#This Row],[bill_date]],"mmmm")</f>
        <v>June</v>
      </c>
      <c r="E3662" s="9">
        <f>YEAR(Table5[[#This Row],[bill_date]])</f>
        <v>2022</v>
      </c>
      <c r="F3662">
        <v>1112</v>
      </c>
      <c r="G3662" t="s">
        <v>30</v>
      </c>
    </row>
    <row r="3663" spans="1:7" x14ac:dyDescent="0.3">
      <c r="A3663">
        <v>33662</v>
      </c>
      <c r="B3663">
        <v>128</v>
      </c>
      <c r="C3663" s="2">
        <v>44929</v>
      </c>
      <c r="D3663" s="2" t="str">
        <f>TEXT(Table5[[#This Row],[bill_date]],"mmmm")</f>
        <v>January</v>
      </c>
      <c r="E3663" s="9">
        <f>YEAR(Table5[[#This Row],[bill_date]])</f>
        <v>2023</v>
      </c>
      <c r="F3663">
        <v>542</v>
      </c>
      <c r="G3663" t="s">
        <v>30</v>
      </c>
    </row>
    <row r="3664" spans="1:7" x14ac:dyDescent="0.3">
      <c r="A3664">
        <v>33663</v>
      </c>
      <c r="B3664">
        <v>19</v>
      </c>
      <c r="C3664" s="2">
        <v>44940</v>
      </c>
      <c r="D3664" s="2" t="str">
        <f>TEXT(Table5[[#This Row],[bill_date]],"mmmm")</f>
        <v>January</v>
      </c>
      <c r="E3664" s="9">
        <f>YEAR(Table5[[#This Row],[bill_date]])</f>
        <v>2023</v>
      </c>
      <c r="F3664">
        <v>1770</v>
      </c>
      <c r="G3664" t="s">
        <v>30</v>
      </c>
    </row>
    <row r="3665" spans="1:7" x14ac:dyDescent="0.3">
      <c r="A3665">
        <v>33664</v>
      </c>
      <c r="B3665">
        <v>452</v>
      </c>
      <c r="C3665" s="2">
        <v>44878</v>
      </c>
      <c r="D3665" s="2" t="str">
        <f>TEXT(Table5[[#This Row],[bill_date]],"mmmm")</f>
        <v>November</v>
      </c>
      <c r="E3665" s="9">
        <f>YEAR(Table5[[#This Row],[bill_date]])</f>
        <v>2022</v>
      </c>
      <c r="F3665">
        <v>1951</v>
      </c>
      <c r="G3665" t="s">
        <v>28</v>
      </c>
    </row>
    <row r="3666" spans="1:7" x14ac:dyDescent="0.3">
      <c r="A3666">
        <v>33665</v>
      </c>
      <c r="B3666">
        <v>132</v>
      </c>
      <c r="C3666" s="2">
        <v>44693</v>
      </c>
      <c r="D3666" s="2" t="str">
        <f>TEXT(Table5[[#This Row],[bill_date]],"mmmm")</f>
        <v>May</v>
      </c>
      <c r="E3666" s="9">
        <f>YEAR(Table5[[#This Row],[bill_date]])</f>
        <v>2022</v>
      </c>
      <c r="F3666">
        <v>1225</v>
      </c>
      <c r="G3666" t="s">
        <v>30</v>
      </c>
    </row>
    <row r="3667" spans="1:7" x14ac:dyDescent="0.3">
      <c r="A3667">
        <v>33666</v>
      </c>
      <c r="B3667">
        <v>13</v>
      </c>
      <c r="C3667" s="2">
        <v>44950</v>
      </c>
      <c r="D3667" s="2" t="str">
        <f>TEXT(Table5[[#This Row],[bill_date]],"mmmm")</f>
        <v>January</v>
      </c>
      <c r="E3667" s="9">
        <f>YEAR(Table5[[#This Row],[bill_date]])</f>
        <v>2023</v>
      </c>
      <c r="F3667">
        <v>1252</v>
      </c>
      <c r="G3667" t="s">
        <v>30</v>
      </c>
    </row>
    <row r="3668" spans="1:7" x14ac:dyDescent="0.3">
      <c r="A3668">
        <v>33667</v>
      </c>
      <c r="B3668">
        <v>220</v>
      </c>
      <c r="C3668" s="2">
        <v>45143</v>
      </c>
      <c r="D3668" s="2" t="str">
        <f>TEXT(Table5[[#This Row],[bill_date]],"mmmm")</f>
        <v>August</v>
      </c>
      <c r="E3668" s="9">
        <f>YEAR(Table5[[#This Row],[bill_date]])</f>
        <v>2023</v>
      </c>
      <c r="F3668">
        <v>1175</v>
      </c>
      <c r="G3668" t="s">
        <v>28</v>
      </c>
    </row>
    <row r="3669" spans="1:7" x14ac:dyDescent="0.3">
      <c r="A3669">
        <v>33668</v>
      </c>
      <c r="B3669">
        <v>267</v>
      </c>
      <c r="C3669" s="2">
        <v>45133</v>
      </c>
      <c r="D3669" s="2" t="str">
        <f>TEXT(Table5[[#This Row],[bill_date]],"mmmm")</f>
        <v>July</v>
      </c>
      <c r="E3669" s="9">
        <f>YEAR(Table5[[#This Row],[bill_date]])</f>
        <v>2023</v>
      </c>
      <c r="F3669">
        <v>1477</v>
      </c>
      <c r="G3669" t="s">
        <v>30</v>
      </c>
    </row>
    <row r="3670" spans="1:7" x14ac:dyDescent="0.3">
      <c r="A3670">
        <v>33669</v>
      </c>
      <c r="B3670">
        <v>245</v>
      </c>
      <c r="C3670" s="2">
        <v>45278</v>
      </c>
      <c r="D3670" s="2" t="str">
        <f>TEXT(Table5[[#This Row],[bill_date]],"mmmm")</f>
        <v>December</v>
      </c>
      <c r="E3670" s="9">
        <f>YEAR(Table5[[#This Row],[bill_date]])</f>
        <v>2023</v>
      </c>
      <c r="F3670">
        <v>243</v>
      </c>
      <c r="G3670" t="s">
        <v>30</v>
      </c>
    </row>
    <row r="3671" spans="1:7" x14ac:dyDescent="0.3">
      <c r="A3671">
        <v>33670</v>
      </c>
      <c r="B3671">
        <v>258</v>
      </c>
      <c r="C3671" s="2">
        <v>45311</v>
      </c>
      <c r="D3671" s="2" t="str">
        <f>TEXT(Table5[[#This Row],[bill_date]],"mmmm")</f>
        <v>January</v>
      </c>
      <c r="E3671" s="9">
        <f>YEAR(Table5[[#This Row],[bill_date]])</f>
        <v>2024</v>
      </c>
      <c r="F3671">
        <v>1399</v>
      </c>
      <c r="G3671" t="s">
        <v>30</v>
      </c>
    </row>
    <row r="3672" spans="1:7" x14ac:dyDescent="0.3">
      <c r="A3672">
        <v>33671</v>
      </c>
      <c r="B3672">
        <v>454</v>
      </c>
      <c r="C3672" s="2">
        <v>45417</v>
      </c>
      <c r="D3672" s="2" t="str">
        <f>TEXT(Table5[[#This Row],[bill_date]],"mmmm")</f>
        <v>May</v>
      </c>
      <c r="E3672" s="9">
        <f>YEAR(Table5[[#This Row],[bill_date]])</f>
        <v>2024</v>
      </c>
      <c r="F3672">
        <v>1444</v>
      </c>
      <c r="G3672" t="s">
        <v>30</v>
      </c>
    </row>
    <row r="3673" spans="1:7" x14ac:dyDescent="0.3">
      <c r="A3673">
        <v>33672</v>
      </c>
      <c r="B3673">
        <v>140</v>
      </c>
      <c r="C3673" s="2">
        <v>44909</v>
      </c>
      <c r="D3673" s="2" t="str">
        <f>TEXT(Table5[[#This Row],[bill_date]],"mmmm")</f>
        <v>December</v>
      </c>
      <c r="E3673" s="9">
        <f>YEAR(Table5[[#This Row],[bill_date]])</f>
        <v>2022</v>
      </c>
      <c r="F3673">
        <v>1847</v>
      </c>
      <c r="G3673" t="s">
        <v>30</v>
      </c>
    </row>
    <row r="3674" spans="1:7" x14ac:dyDescent="0.3">
      <c r="A3674">
        <v>33673</v>
      </c>
      <c r="B3674">
        <v>382</v>
      </c>
      <c r="C3674" s="2">
        <v>45406</v>
      </c>
      <c r="D3674" s="2" t="str">
        <f>TEXT(Table5[[#This Row],[bill_date]],"mmmm")</f>
        <v>April</v>
      </c>
      <c r="E3674" s="9">
        <f>YEAR(Table5[[#This Row],[bill_date]])</f>
        <v>2024</v>
      </c>
      <c r="F3674">
        <v>320</v>
      </c>
      <c r="G3674" t="s">
        <v>30</v>
      </c>
    </row>
    <row r="3675" spans="1:7" x14ac:dyDescent="0.3">
      <c r="A3675">
        <v>33674</v>
      </c>
      <c r="B3675">
        <v>247</v>
      </c>
      <c r="C3675" s="2">
        <v>45179</v>
      </c>
      <c r="D3675" s="2" t="str">
        <f>TEXT(Table5[[#This Row],[bill_date]],"mmmm")</f>
        <v>September</v>
      </c>
      <c r="E3675" s="9">
        <f>YEAR(Table5[[#This Row],[bill_date]])</f>
        <v>2023</v>
      </c>
      <c r="F3675">
        <v>473</v>
      </c>
      <c r="G3675" t="s">
        <v>30</v>
      </c>
    </row>
    <row r="3676" spans="1:7" x14ac:dyDescent="0.3">
      <c r="A3676">
        <v>33675</v>
      </c>
      <c r="B3676">
        <v>232</v>
      </c>
      <c r="C3676" s="2">
        <v>45058</v>
      </c>
      <c r="D3676" s="2" t="str">
        <f>TEXT(Table5[[#This Row],[bill_date]],"mmmm")</f>
        <v>May</v>
      </c>
      <c r="E3676" s="9">
        <f>YEAR(Table5[[#This Row],[bill_date]])</f>
        <v>2023</v>
      </c>
      <c r="F3676">
        <v>1158</v>
      </c>
      <c r="G3676" t="s">
        <v>30</v>
      </c>
    </row>
    <row r="3677" spans="1:7" x14ac:dyDescent="0.3">
      <c r="A3677">
        <v>33676</v>
      </c>
      <c r="B3677">
        <v>421</v>
      </c>
      <c r="C3677" s="2">
        <v>45257</v>
      </c>
      <c r="D3677" s="2" t="str">
        <f>TEXT(Table5[[#This Row],[bill_date]],"mmmm")</f>
        <v>November</v>
      </c>
      <c r="E3677" s="9">
        <f>YEAR(Table5[[#This Row],[bill_date]])</f>
        <v>2023</v>
      </c>
      <c r="F3677">
        <v>1099</v>
      </c>
      <c r="G3677" t="s">
        <v>30</v>
      </c>
    </row>
    <row r="3678" spans="1:7" x14ac:dyDescent="0.3">
      <c r="A3678">
        <v>33677</v>
      </c>
      <c r="B3678">
        <v>56</v>
      </c>
      <c r="C3678" s="2">
        <v>45411</v>
      </c>
      <c r="D3678" s="2" t="str">
        <f>TEXT(Table5[[#This Row],[bill_date]],"mmmm")</f>
        <v>April</v>
      </c>
      <c r="E3678" s="9">
        <f>YEAR(Table5[[#This Row],[bill_date]])</f>
        <v>2024</v>
      </c>
      <c r="F3678">
        <v>1966</v>
      </c>
      <c r="G3678" t="s">
        <v>30</v>
      </c>
    </row>
    <row r="3679" spans="1:7" x14ac:dyDescent="0.3">
      <c r="A3679">
        <v>33678</v>
      </c>
      <c r="B3679">
        <v>88</v>
      </c>
      <c r="C3679" s="2">
        <v>45072</v>
      </c>
      <c r="D3679" s="2" t="str">
        <f>TEXT(Table5[[#This Row],[bill_date]],"mmmm")</f>
        <v>May</v>
      </c>
      <c r="E3679" s="9">
        <f>YEAR(Table5[[#This Row],[bill_date]])</f>
        <v>2023</v>
      </c>
      <c r="F3679">
        <v>510</v>
      </c>
      <c r="G3679" t="s">
        <v>30</v>
      </c>
    </row>
    <row r="3680" spans="1:7" x14ac:dyDescent="0.3">
      <c r="A3680">
        <v>33679</v>
      </c>
      <c r="B3680">
        <v>254</v>
      </c>
      <c r="C3680" s="2">
        <v>45080</v>
      </c>
      <c r="D3680" s="2" t="str">
        <f>TEXT(Table5[[#This Row],[bill_date]],"mmmm")</f>
        <v>June</v>
      </c>
      <c r="E3680" s="9">
        <f>YEAR(Table5[[#This Row],[bill_date]])</f>
        <v>2023</v>
      </c>
      <c r="F3680">
        <v>616</v>
      </c>
      <c r="G3680" t="s">
        <v>30</v>
      </c>
    </row>
    <row r="3681" spans="1:7" x14ac:dyDescent="0.3">
      <c r="A3681">
        <v>33680</v>
      </c>
      <c r="B3681">
        <v>52</v>
      </c>
      <c r="C3681" s="2">
        <v>45013</v>
      </c>
      <c r="D3681" s="2" t="str">
        <f>TEXT(Table5[[#This Row],[bill_date]],"mmmm")</f>
        <v>March</v>
      </c>
      <c r="E3681" s="9">
        <f>YEAR(Table5[[#This Row],[bill_date]])</f>
        <v>2023</v>
      </c>
      <c r="F3681">
        <v>959</v>
      </c>
      <c r="G3681" t="s">
        <v>30</v>
      </c>
    </row>
    <row r="3682" spans="1:7" x14ac:dyDescent="0.3">
      <c r="A3682">
        <v>33681</v>
      </c>
      <c r="B3682">
        <v>247</v>
      </c>
      <c r="C3682" s="2">
        <v>45104</v>
      </c>
      <c r="D3682" s="2" t="str">
        <f>TEXT(Table5[[#This Row],[bill_date]],"mmmm")</f>
        <v>June</v>
      </c>
      <c r="E3682" s="9">
        <f>YEAR(Table5[[#This Row],[bill_date]])</f>
        <v>2023</v>
      </c>
      <c r="F3682">
        <v>1551</v>
      </c>
      <c r="G3682" t="s">
        <v>30</v>
      </c>
    </row>
    <row r="3683" spans="1:7" x14ac:dyDescent="0.3">
      <c r="A3683">
        <v>33682</v>
      </c>
      <c r="B3683">
        <v>252</v>
      </c>
      <c r="C3683" s="2">
        <v>44777</v>
      </c>
      <c r="D3683" s="2" t="str">
        <f>TEXT(Table5[[#This Row],[bill_date]],"mmmm")</f>
        <v>August</v>
      </c>
      <c r="E3683" s="9">
        <f>YEAR(Table5[[#This Row],[bill_date]])</f>
        <v>2022</v>
      </c>
      <c r="F3683">
        <v>1325</v>
      </c>
      <c r="G3683" t="s">
        <v>30</v>
      </c>
    </row>
    <row r="3684" spans="1:7" x14ac:dyDescent="0.3">
      <c r="A3684">
        <v>33683</v>
      </c>
      <c r="B3684">
        <v>125</v>
      </c>
      <c r="C3684" s="2">
        <v>45031</v>
      </c>
      <c r="D3684" s="2" t="str">
        <f>TEXT(Table5[[#This Row],[bill_date]],"mmmm")</f>
        <v>April</v>
      </c>
      <c r="E3684" s="9">
        <f>YEAR(Table5[[#This Row],[bill_date]])</f>
        <v>2023</v>
      </c>
      <c r="F3684">
        <v>886</v>
      </c>
      <c r="G3684" t="s">
        <v>30</v>
      </c>
    </row>
    <row r="3685" spans="1:7" x14ac:dyDescent="0.3">
      <c r="A3685">
        <v>33684</v>
      </c>
      <c r="B3685">
        <v>201</v>
      </c>
      <c r="C3685" s="2">
        <v>45414</v>
      </c>
      <c r="D3685" s="2" t="str">
        <f>TEXT(Table5[[#This Row],[bill_date]],"mmmm")</f>
        <v>May</v>
      </c>
      <c r="E3685" s="9">
        <f>YEAR(Table5[[#This Row],[bill_date]])</f>
        <v>2024</v>
      </c>
      <c r="F3685">
        <v>1970</v>
      </c>
      <c r="G3685" t="s">
        <v>30</v>
      </c>
    </row>
    <row r="3686" spans="1:7" x14ac:dyDescent="0.3">
      <c r="A3686">
        <v>33685</v>
      </c>
      <c r="B3686">
        <v>474</v>
      </c>
      <c r="C3686" s="2">
        <v>44865</v>
      </c>
      <c r="D3686" s="2" t="str">
        <f>TEXT(Table5[[#This Row],[bill_date]],"mmmm")</f>
        <v>October</v>
      </c>
      <c r="E3686" s="9">
        <f>YEAR(Table5[[#This Row],[bill_date]])</f>
        <v>2022</v>
      </c>
      <c r="F3686">
        <v>480</v>
      </c>
      <c r="G3686" t="s">
        <v>30</v>
      </c>
    </row>
    <row r="3687" spans="1:7" x14ac:dyDescent="0.3">
      <c r="A3687">
        <v>33686</v>
      </c>
      <c r="B3687">
        <v>388</v>
      </c>
      <c r="C3687" s="2">
        <v>44859</v>
      </c>
      <c r="D3687" s="2" t="str">
        <f>TEXT(Table5[[#This Row],[bill_date]],"mmmm")</f>
        <v>October</v>
      </c>
      <c r="E3687" s="9">
        <f>YEAR(Table5[[#This Row],[bill_date]])</f>
        <v>2022</v>
      </c>
      <c r="F3687">
        <v>1467</v>
      </c>
      <c r="G3687" t="s">
        <v>30</v>
      </c>
    </row>
    <row r="3688" spans="1:7" x14ac:dyDescent="0.3">
      <c r="A3688">
        <v>33687</v>
      </c>
      <c r="B3688">
        <v>361</v>
      </c>
      <c r="C3688" s="2">
        <v>44907</v>
      </c>
      <c r="D3688" s="2" t="str">
        <f>TEXT(Table5[[#This Row],[bill_date]],"mmmm")</f>
        <v>December</v>
      </c>
      <c r="E3688" s="9">
        <f>YEAR(Table5[[#This Row],[bill_date]])</f>
        <v>2022</v>
      </c>
      <c r="F3688">
        <v>1355</v>
      </c>
      <c r="G3688" t="s">
        <v>30</v>
      </c>
    </row>
    <row r="3689" spans="1:7" x14ac:dyDescent="0.3">
      <c r="A3689">
        <v>33688</v>
      </c>
      <c r="B3689">
        <v>492</v>
      </c>
      <c r="C3689" s="2">
        <v>44847</v>
      </c>
      <c r="D3689" s="2" t="str">
        <f>TEXT(Table5[[#This Row],[bill_date]],"mmmm")</f>
        <v>October</v>
      </c>
      <c r="E3689" s="9">
        <f>YEAR(Table5[[#This Row],[bill_date]])</f>
        <v>2022</v>
      </c>
      <c r="F3689">
        <v>1054</v>
      </c>
      <c r="G3689" t="s">
        <v>30</v>
      </c>
    </row>
    <row r="3690" spans="1:7" x14ac:dyDescent="0.3">
      <c r="A3690">
        <v>33689</v>
      </c>
      <c r="B3690">
        <v>132</v>
      </c>
      <c r="C3690" s="2">
        <v>45446</v>
      </c>
      <c r="D3690" s="2" t="str">
        <f>TEXT(Table5[[#This Row],[bill_date]],"mmmm")</f>
        <v>June</v>
      </c>
      <c r="E3690" s="9">
        <f>YEAR(Table5[[#This Row],[bill_date]])</f>
        <v>2024</v>
      </c>
      <c r="F3690">
        <v>869</v>
      </c>
      <c r="G3690" t="s">
        <v>30</v>
      </c>
    </row>
    <row r="3691" spans="1:7" x14ac:dyDescent="0.3">
      <c r="A3691">
        <v>33690</v>
      </c>
      <c r="B3691">
        <v>177</v>
      </c>
      <c r="C3691" s="2">
        <v>44687</v>
      </c>
      <c r="D3691" s="2" t="str">
        <f>TEXT(Table5[[#This Row],[bill_date]],"mmmm")</f>
        <v>May</v>
      </c>
      <c r="E3691" s="9">
        <f>YEAR(Table5[[#This Row],[bill_date]])</f>
        <v>2022</v>
      </c>
      <c r="F3691">
        <v>539</v>
      </c>
      <c r="G3691" t="s">
        <v>30</v>
      </c>
    </row>
    <row r="3692" spans="1:7" x14ac:dyDescent="0.3">
      <c r="A3692">
        <v>33691</v>
      </c>
      <c r="B3692">
        <v>52</v>
      </c>
      <c r="C3692" s="2">
        <v>44612</v>
      </c>
      <c r="D3692" s="2" t="str">
        <f>TEXT(Table5[[#This Row],[bill_date]],"mmmm")</f>
        <v>February</v>
      </c>
      <c r="E3692" s="9">
        <f>YEAR(Table5[[#This Row],[bill_date]])</f>
        <v>2022</v>
      </c>
      <c r="F3692">
        <v>220</v>
      </c>
      <c r="G3692" t="s">
        <v>30</v>
      </c>
    </row>
    <row r="3693" spans="1:7" x14ac:dyDescent="0.3">
      <c r="A3693">
        <v>33692</v>
      </c>
      <c r="B3693">
        <v>34</v>
      </c>
      <c r="C3693" s="2">
        <v>44980</v>
      </c>
      <c r="D3693" s="2" t="str">
        <f>TEXT(Table5[[#This Row],[bill_date]],"mmmm")</f>
        <v>February</v>
      </c>
      <c r="E3693" s="9">
        <f>YEAR(Table5[[#This Row],[bill_date]])</f>
        <v>2023</v>
      </c>
      <c r="F3693">
        <v>1836</v>
      </c>
      <c r="G3693" t="s">
        <v>30</v>
      </c>
    </row>
    <row r="3694" spans="1:7" x14ac:dyDescent="0.3">
      <c r="A3694">
        <v>33693</v>
      </c>
      <c r="B3694">
        <v>22</v>
      </c>
      <c r="C3694" s="2">
        <v>45263</v>
      </c>
      <c r="D3694" s="2" t="str">
        <f>TEXT(Table5[[#This Row],[bill_date]],"mmmm")</f>
        <v>December</v>
      </c>
      <c r="E3694" s="9">
        <f>YEAR(Table5[[#This Row],[bill_date]])</f>
        <v>2023</v>
      </c>
      <c r="F3694">
        <v>1372</v>
      </c>
      <c r="G3694" t="s">
        <v>30</v>
      </c>
    </row>
    <row r="3695" spans="1:7" x14ac:dyDescent="0.3">
      <c r="A3695">
        <v>33694</v>
      </c>
      <c r="B3695">
        <v>141</v>
      </c>
      <c r="C3695" s="2">
        <v>44612</v>
      </c>
      <c r="D3695" s="2" t="str">
        <f>TEXT(Table5[[#This Row],[bill_date]],"mmmm")</f>
        <v>February</v>
      </c>
      <c r="E3695" s="9">
        <f>YEAR(Table5[[#This Row],[bill_date]])</f>
        <v>2022</v>
      </c>
      <c r="F3695">
        <v>767</v>
      </c>
      <c r="G3695" t="s">
        <v>29</v>
      </c>
    </row>
    <row r="3696" spans="1:7" x14ac:dyDescent="0.3">
      <c r="A3696">
        <v>33695</v>
      </c>
      <c r="B3696">
        <v>319</v>
      </c>
      <c r="C3696" s="2">
        <v>45032</v>
      </c>
      <c r="D3696" s="2" t="str">
        <f>TEXT(Table5[[#This Row],[bill_date]],"mmmm")</f>
        <v>April</v>
      </c>
      <c r="E3696" s="9">
        <f>YEAR(Table5[[#This Row],[bill_date]])</f>
        <v>2023</v>
      </c>
      <c r="F3696">
        <v>868</v>
      </c>
      <c r="G3696" t="s">
        <v>28</v>
      </c>
    </row>
    <row r="3697" spans="1:7" x14ac:dyDescent="0.3">
      <c r="A3697">
        <v>33696</v>
      </c>
      <c r="B3697">
        <v>271</v>
      </c>
      <c r="C3697" s="2">
        <v>44937</v>
      </c>
      <c r="D3697" s="2" t="str">
        <f>TEXT(Table5[[#This Row],[bill_date]],"mmmm")</f>
        <v>January</v>
      </c>
      <c r="E3697" s="9">
        <f>YEAR(Table5[[#This Row],[bill_date]])</f>
        <v>2023</v>
      </c>
      <c r="F3697">
        <v>1168</v>
      </c>
      <c r="G3697" t="s">
        <v>30</v>
      </c>
    </row>
    <row r="3698" spans="1:7" x14ac:dyDescent="0.3">
      <c r="A3698">
        <v>33697</v>
      </c>
      <c r="B3698">
        <v>168</v>
      </c>
      <c r="C3698" s="2">
        <v>44926</v>
      </c>
      <c r="D3698" s="2" t="str">
        <f>TEXT(Table5[[#This Row],[bill_date]],"mmmm")</f>
        <v>December</v>
      </c>
      <c r="E3698" s="9">
        <f>YEAR(Table5[[#This Row],[bill_date]])</f>
        <v>2022</v>
      </c>
      <c r="F3698">
        <v>1929</v>
      </c>
      <c r="G3698" t="s">
        <v>30</v>
      </c>
    </row>
    <row r="3699" spans="1:7" x14ac:dyDescent="0.3">
      <c r="A3699">
        <v>33698</v>
      </c>
      <c r="B3699">
        <v>38</v>
      </c>
      <c r="C3699" s="2">
        <v>44793</v>
      </c>
      <c r="D3699" s="2" t="str">
        <f>TEXT(Table5[[#This Row],[bill_date]],"mmmm")</f>
        <v>August</v>
      </c>
      <c r="E3699" s="9">
        <f>YEAR(Table5[[#This Row],[bill_date]])</f>
        <v>2022</v>
      </c>
      <c r="F3699">
        <v>1389</v>
      </c>
      <c r="G3699" t="s">
        <v>30</v>
      </c>
    </row>
    <row r="3700" spans="1:7" x14ac:dyDescent="0.3">
      <c r="A3700">
        <v>33699</v>
      </c>
      <c r="B3700">
        <v>361</v>
      </c>
      <c r="C3700" s="2">
        <v>45251</v>
      </c>
      <c r="D3700" s="2" t="str">
        <f>TEXT(Table5[[#This Row],[bill_date]],"mmmm")</f>
        <v>November</v>
      </c>
      <c r="E3700" s="9">
        <f>YEAR(Table5[[#This Row],[bill_date]])</f>
        <v>2023</v>
      </c>
      <c r="F3700">
        <v>543</v>
      </c>
      <c r="G3700" t="s">
        <v>30</v>
      </c>
    </row>
    <row r="3701" spans="1:7" x14ac:dyDescent="0.3">
      <c r="A3701">
        <v>33700</v>
      </c>
      <c r="B3701">
        <v>246</v>
      </c>
      <c r="C3701" s="2">
        <v>45231</v>
      </c>
      <c r="D3701" s="2" t="str">
        <f>TEXT(Table5[[#This Row],[bill_date]],"mmmm")</f>
        <v>November</v>
      </c>
      <c r="E3701" s="9">
        <f>YEAR(Table5[[#This Row],[bill_date]])</f>
        <v>2023</v>
      </c>
      <c r="F3701">
        <v>1928</v>
      </c>
      <c r="G3701" t="s">
        <v>30</v>
      </c>
    </row>
    <row r="3702" spans="1:7" x14ac:dyDescent="0.3">
      <c r="A3702">
        <v>33701</v>
      </c>
      <c r="B3702">
        <v>235</v>
      </c>
      <c r="C3702" s="2">
        <v>45220</v>
      </c>
      <c r="D3702" s="2" t="str">
        <f>TEXT(Table5[[#This Row],[bill_date]],"mmmm")</f>
        <v>October</v>
      </c>
      <c r="E3702" s="9">
        <f>YEAR(Table5[[#This Row],[bill_date]])</f>
        <v>2023</v>
      </c>
      <c r="F3702">
        <v>1683</v>
      </c>
      <c r="G3702" t="s">
        <v>30</v>
      </c>
    </row>
    <row r="3703" spans="1:7" x14ac:dyDescent="0.3">
      <c r="A3703">
        <v>33702</v>
      </c>
      <c r="B3703">
        <v>55</v>
      </c>
      <c r="C3703" s="2">
        <v>45041</v>
      </c>
      <c r="D3703" s="2" t="str">
        <f>TEXT(Table5[[#This Row],[bill_date]],"mmmm")</f>
        <v>April</v>
      </c>
      <c r="E3703" s="9">
        <f>YEAR(Table5[[#This Row],[bill_date]])</f>
        <v>2023</v>
      </c>
      <c r="F3703">
        <v>1482</v>
      </c>
      <c r="G3703" t="s">
        <v>30</v>
      </c>
    </row>
    <row r="3704" spans="1:7" x14ac:dyDescent="0.3">
      <c r="A3704">
        <v>33703</v>
      </c>
      <c r="B3704">
        <v>428</v>
      </c>
      <c r="C3704" s="2">
        <v>44867</v>
      </c>
      <c r="D3704" s="2" t="str">
        <f>TEXT(Table5[[#This Row],[bill_date]],"mmmm")</f>
        <v>November</v>
      </c>
      <c r="E3704" s="9">
        <f>YEAR(Table5[[#This Row],[bill_date]])</f>
        <v>2022</v>
      </c>
      <c r="F3704">
        <v>398</v>
      </c>
      <c r="G3704" t="s">
        <v>28</v>
      </c>
    </row>
    <row r="3705" spans="1:7" x14ac:dyDescent="0.3">
      <c r="A3705">
        <v>33704</v>
      </c>
      <c r="B3705">
        <v>373</v>
      </c>
      <c r="C3705" s="2">
        <v>44999</v>
      </c>
      <c r="D3705" s="2" t="str">
        <f>TEXT(Table5[[#This Row],[bill_date]],"mmmm")</f>
        <v>March</v>
      </c>
      <c r="E3705" s="9">
        <f>YEAR(Table5[[#This Row],[bill_date]])</f>
        <v>2023</v>
      </c>
      <c r="F3705">
        <v>203</v>
      </c>
      <c r="G3705" t="s">
        <v>28</v>
      </c>
    </row>
    <row r="3706" spans="1:7" x14ac:dyDescent="0.3">
      <c r="A3706">
        <v>33705</v>
      </c>
      <c r="B3706">
        <v>120</v>
      </c>
      <c r="C3706" s="2">
        <v>44812</v>
      </c>
      <c r="D3706" s="2" t="str">
        <f>TEXT(Table5[[#This Row],[bill_date]],"mmmm")</f>
        <v>September</v>
      </c>
      <c r="E3706" s="9">
        <f>YEAR(Table5[[#This Row],[bill_date]])</f>
        <v>2022</v>
      </c>
      <c r="F3706">
        <v>498</v>
      </c>
      <c r="G3706" t="s">
        <v>28</v>
      </c>
    </row>
    <row r="3707" spans="1:7" x14ac:dyDescent="0.3">
      <c r="A3707">
        <v>33706</v>
      </c>
      <c r="B3707">
        <v>66</v>
      </c>
      <c r="C3707" s="2">
        <v>45412</v>
      </c>
      <c r="D3707" s="2" t="str">
        <f>TEXT(Table5[[#This Row],[bill_date]],"mmmm")</f>
        <v>April</v>
      </c>
      <c r="E3707" s="9">
        <f>YEAR(Table5[[#This Row],[bill_date]])</f>
        <v>2024</v>
      </c>
      <c r="F3707">
        <v>1825</v>
      </c>
      <c r="G3707" t="s">
        <v>30</v>
      </c>
    </row>
    <row r="3708" spans="1:7" x14ac:dyDescent="0.3">
      <c r="A3708">
        <v>33707</v>
      </c>
      <c r="B3708">
        <v>322</v>
      </c>
      <c r="C3708" s="2">
        <v>44903</v>
      </c>
      <c r="D3708" s="2" t="str">
        <f>TEXT(Table5[[#This Row],[bill_date]],"mmmm")</f>
        <v>December</v>
      </c>
      <c r="E3708" s="9">
        <f>YEAR(Table5[[#This Row],[bill_date]])</f>
        <v>2022</v>
      </c>
      <c r="F3708">
        <v>1758</v>
      </c>
      <c r="G3708" t="s">
        <v>30</v>
      </c>
    </row>
    <row r="3709" spans="1:7" x14ac:dyDescent="0.3">
      <c r="A3709">
        <v>33708</v>
      </c>
      <c r="B3709">
        <v>427</v>
      </c>
      <c r="C3709" s="2">
        <v>44693</v>
      </c>
      <c r="D3709" s="2" t="str">
        <f>TEXT(Table5[[#This Row],[bill_date]],"mmmm")</f>
        <v>May</v>
      </c>
      <c r="E3709" s="9">
        <f>YEAR(Table5[[#This Row],[bill_date]])</f>
        <v>2022</v>
      </c>
      <c r="F3709">
        <v>1458</v>
      </c>
      <c r="G3709" t="s">
        <v>29</v>
      </c>
    </row>
    <row r="3710" spans="1:7" x14ac:dyDescent="0.3">
      <c r="A3710">
        <v>33709</v>
      </c>
      <c r="B3710">
        <v>328</v>
      </c>
      <c r="C3710" s="2">
        <v>45310</v>
      </c>
      <c r="D3710" s="2" t="str">
        <f>TEXT(Table5[[#This Row],[bill_date]],"mmmm")</f>
        <v>January</v>
      </c>
      <c r="E3710" s="9">
        <f>YEAR(Table5[[#This Row],[bill_date]])</f>
        <v>2024</v>
      </c>
      <c r="F3710">
        <v>1969</v>
      </c>
      <c r="G3710" t="s">
        <v>30</v>
      </c>
    </row>
    <row r="3711" spans="1:7" x14ac:dyDescent="0.3">
      <c r="A3711">
        <v>33710</v>
      </c>
      <c r="B3711">
        <v>166</v>
      </c>
      <c r="C3711" s="2">
        <v>45085</v>
      </c>
      <c r="D3711" s="2" t="str">
        <f>TEXT(Table5[[#This Row],[bill_date]],"mmmm")</f>
        <v>June</v>
      </c>
      <c r="E3711" s="9">
        <f>YEAR(Table5[[#This Row],[bill_date]])</f>
        <v>2023</v>
      </c>
      <c r="F3711">
        <v>936</v>
      </c>
      <c r="G3711" t="s">
        <v>30</v>
      </c>
    </row>
    <row r="3712" spans="1:7" x14ac:dyDescent="0.3">
      <c r="A3712">
        <v>33711</v>
      </c>
      <c r="B3712">
        <v>210</v>
      </c>
      <c r="C3712" s="2">
        <v>45216</v>
      </c>
      <c r="D3712" s="2" t="str">
        <f>TEXT(Table5[[#This Row],[bill_date]],"mmmm")</f>
        <v>October</v>
      </c>
      <c r="E3712" s="9">
        <f>YEAR(Table5[[#This Row],[bill_date]])</f>
        <v>2023</v>
      </c>
      <c r="F3712">
        <v>738</v>
      </c>
      <c r="G3712" t="s">
        <v>28</v>
      </c>
    </row>
    <row r="3713" spans="1:7" x14ac:dyDescent="0.3">
      <c r="A3713">
        <v>33712</v>
      </c>
      <c r="B3713">
        <v>413</v>
      </c>
      <c r="C3713" s="2">
        <v>45067</v>
      </c>
      <c r="D3713" s="2" t="str">
        <f>TEXT(Table5[[#This Row],[bill_date]],"mmmm")</f>
        <v>May</v>
      </c>
      <c r="E3713" s="9">
        <f>YEAR(Table5[[#This Row],[bill_date]])</f>
        <v>2023</v>
      </c>
      <c r="F3713">
        <v>1374</v>
      </c>
      <c r="G3713" t="s">
        <v>30</v>
      </c>
    </row>
    <row r="3714" spans="1:7" x14ac:dyDescent="0.3">
      <c r="A3714">
        <v>33713</v>
      </c>
      <c r="B3714">
        <v>75</v>
      </c>
      <c r="C3714" s="2">
        <v>44960</v>
      </c>
      <c r="D3714" s="2" t="str">
        <f>TEXT(Table5[[#This Row],[bill_date]],"mmmm")</f>
        <v>February</v>
      </c>
      <c r="E3714" s="9">
        <f>YEAR(Table5[[#This Row],[bill_date]])</f>
        <v>2023</v>
      </c>
      <c r="F3714">
        <v>1094</v>
      </c>
      <c r="G3714" t="s">
        <v>30</v>
      </c>
    </row>
    <row r="3715" spans="1:7" x14ac:dyDescent="0.3">
      <c r="A3715">
        <v>33714</v>
      </c>
      <c r="B3715">
        <v>440</v>
      </c>
      <c r="C3715" s="2">
        <v>44679</v>
      </c>
      <c r="D3715" s="2" t="str">
        <f>TEXT(Table5[[#This Row],[bill_date]],"mmmm")</f>
        <v>April</v>
      </c>
      <c r="E3715" s="9">
        <f>YEAR(Table5[[#This Row],[bill_date]])</f>
        <v>2022</v>
      </c>
      <c r="F3715">
        <v>444</v>
      </c>
      <c r="G3715" t="s">
        <v>30</v>
      </c>
    </row>
    <row r="3716" spans="1:7" x14ac:dyDescent="0.3">
      <c r="A3716">
        <v>33715</v>
      </c>
      <c r="B3716">
        <v>134</v>
      </c>
      <c r="C3716" s="2">
        <v>44622</v>
      </c>
      <c r="D3716" s="2" t="str">
        <f>TEXT(Table5[[#This Row],[bill_date]],"mmmm")</f>
        <v>March</v>
      </c>
      <c r="E3716" s="9">
        <f>YEAR(Table5[[#This Row],[bill_date]])</f>
        <v>2022</v>
      </c>
      <c r="F3716">
        <v>1227</v>
      </c>
      <c r="G3716" t="s">
        <v>30</v>
      </c>
    </row>
    <row r="3717" spans="1:7" x14ac:dyDescent="0.3">
      <c r="A3717">
        <v>33716</v>
      </c>
      <c r="B3717">
        <v>265</v>
      </c>
      <c r="C3717" s="2">
        <v>44742</v>
      </c>
      <c r="D3717" s="2" t="str">
        <f>TEXT(Table5[[#This Row],[bill_date]],"mmmm")</f>
        <v>June</v>
      </c>
      <c r="E3717" s="9">
        <f>YEAR(Table5[[#This Row],[bill_date]])</f>
        <v>2022</v>
      </c>
      <c r="F3717">
        <v>211</v>
      </c>
      <c r="G3717" t="s">
        <v>30</v>
      </c>
    </row>
    <row r="3718" spans="1:7" x14ac:dyDescent="0.3">
      <c r="A3718">
        <v>33717</v>
      </c>
      <c r="B3718">
        <v>406</v>
      </c>
      <c r="C3718" s="2">
        <v>44874</v>
      </c>
      <c r="D3718" s="2" t="str">
        <f>TEXT(Table5[[#This Row],[bill_date]],"mmmm")</f>
        <v>November</v>
      </c>
      <c r="E3718" s="9">
        <f>YEAR(Table5[[#This Row],[bill_date]])</f>
        <v>2022</v>
      </c>
      <c r="F3718">
        <v>1176</v>
      </c>
      <c r="G3718" t="s">
        <v>30</v>
      </c>
    </row>
    <row r="3719" spans="1:7" x14ac:dyDescent="0.3">
      <c r="A3719">
        <v>33718</v>
      </c>
      <c r="B3719">
        <v>174</v>
      </c>
      <c r="C3719" s="2">
        <v>44826</v>
      </c>
      <c r="D3719" s="2" t="str">
        <f>TEXT(Table5[[#This Row],[bill_date]],"mmmm")</f>
        <v>September</v>
      </c>
      <c r="E3719" s="9">
        <f>YEAR(Table5[[#This Row],[bill_date]])</f>
        <v>2022</v>
      </c>
      <c r="F3719">
        <v>1789</v>
      </c>
      <c r="G3719" t="s">
        <v>30</v>
      </c>
    </row>
    <row r="3720" spans="1:7" x14ac:dyDescent="0.3">
      <c r="A3720">
        <v>33719</v>
      </c>
      <c r="B3720">
        <v>243</v>
      </c>
      <c r="C3720" s="2">
        <v>44590</v>
      </c>
      <c r="D3720" s="2" t="str">
        <f>TEXT(Table5[[#This Row],[bill_date]],"mmmm")</f>
        <v>January</v>
      </c>
      <c r="E3720" s="9">
        <f>YEAR(Table5[[#This Row],[bill_date]])</f>
        <v>2022</v>
      </c>
      <c r="F3720">
        <v>1687</v>
      </c>
      <c r="G3720" t="s">
        <v>29</v>
      </c>
    </row>
    <row r="3721" spans="1:7" x14ac:dyDescent="0.3">
      <c r="A3721">
        <v>33720</v>
      </c>
      <c r="B3721">
        <v>89</v>
      </c>
      <c r="C3721" s="2">
        <v>44824</v>
      </c>
      <c r="D3721" s="2" t="str">
        <f>TEXT(Table5[[#This Row],[bill_date]],"mmmm")</f>
        <v>September</v>
      </c>
      <c r="E3721" s="9">
        <f>YEAR(Table5[[#This Row],[bill_date]])</f>
        <v>2022</v>
      </c>
      <c r="F3721">
        <v>484</v>
      </c>
      <c r="G3721" t="s">
        <v>28</v>
      </c>
    </row>
    <row r="3722" spans="1:7" x14ac:dyDescent="0.3">
      <c r="A3722">
        <v>33721</v>
      </c>
      <c r="B3722">
        <v>250</v>
      </c>
      <c r="C3722" s="2">
        <v>45273</v>
      </c>
      <c r="D3722" s="2" t="str">
        <f>TEXT(Table5[[#This Row],[bill_date]],"mmmm")</f>
        <v>December</v>
      </c>
      <c r="E3722" s="9">
        <f>YEAR(Table5[[#This Row],[bill_date]])</f>
        <v>2023</v>
      </c>
      <c r="F3722">
        <v>1836</v>
      </c>
      <c r="G3722" t="s">
        <v>30</v>
      </c>
    </row>
    <row r="3723" spans="1:7" x14ac:dyDescent="0.3">
      <c r="A3723">
        <v>33722</v>
      </c>
      <c r="B3723">
        <v>31</v>
      </c>
      <c r="C3723" s="2">
        <v>45178</v>
      </c>
      <c r="D3723" s="2" t="str">
        <f>TEXT(Table5[[#This Row],[bill_date]],"mmmm")</f>
        <v>September</v>
      </c>
      <c r="E3723" s="9">
        <f>YEAR(Table5[[#This Row],[bill_date]])</f>
        <v>2023</v>
      </c>
      <c r="F3723">
        <v>537</v>
      </c>
      <c r="G3723" t="s">
        <v>30</v>
      </c>
    </row>
    <row r="3724" spans="1:7" x14ac:dyDescent="0.3">
      <c r="A3724">
        <v>33723</v>
      </c>
      <c r="B3724">
        <v>277</v>
      </c>
      <c r="C3724" s="2">
        <v>45152</v>
      </c>
      <c r="D3724" s="2" t="str">
        <f>TEXT(Table5[[#This Row],[bill_date]],"mmmm")</f>
        <v>August</v>
      </c>
      <c r="E3724" s="9">
        <f>YEAR(Table5[[#This Row],[bill_date]])</f>
        <v>2023</v>
      </c>
      <c r="F3724">
        <v>1436</v>
      </c>
      <c r="G3724" t="s">
        <v>30</v>
      </c>
    </row>
    <row r="3725" spans="1:7" x14ac:dyDescent="0.3">
      <c r="A3725">
        <v>33724</v>
      </c>
      <c r="B3725">
        <v>38</v>
      </c>
      <c r="C3725" s="2">
        <v>45217</v>
      </c>
      <c r="D3725" s="2" t="str">
        <f>TEXT(Table5[[#This Row],[bill_date]],"mmmm")</f>
        <v>October</v>
      </c>
      <c r="E3725" s="9">
        <f>YEAR(Table5[[#This Row],[bill_date]])</f>
        <v>2023</v>
      </c>
      <c r="F3725">
        <v>1143</v>
      </c>
      <c r="G3725" t="s">
        <v>28</v>
      </c>
    </row>
    <row r="3726" spans="1:7" x14ac:dyDescent="0.3">
      <c r="A3726">
        <v>33725</v>
      </c>
      <c r="B3726">
        <v>308</v>
      </c>
      <c r="C3726" s="2">
        <v>45272</v>
      </c>
      <c r="D3726" s="2" t="str">
        <f>TEXT(Table5[[#This Row],[bill_date]],"mmmm")</f>
        <v>December</v>
      </c>
      <c r="E3726" s="9">
        <f>YEAR(Table5[[#This Row],[bill_date]])</f>
        <v>2023</v>
      </c>
      <c r="F3726">
        <v>311</v>
      </c>
      <c r="G3726" t="s">
        <v>28</v>
      </c>
    </row>
    <row r="3727" spans="1:7" x14ac:dyDescent="0.3">
      <c r="A3727">
        <v>33726</v>
      </c>
      <c r="B3727">
        <v>403</v>
      </c>
      <c r="C3727" s="2">
        <v>45179</v>
      </c>
      <c r="D3727" s="2" t="str">
        <f>TEXT(Table5[[#This Row],[bill_date]],"mmmm")</f>
        <v>September</v>
      </c>
      <c r="E3727" s="9">
        <f>YEAR(Table5[[#This Row],[bill_date]])</f>
        <v>2023</v>
      </c>
      <c r="F3727">
        <v>536</v>
      </c>
      <c r="G3727" t="s">
        <v>30</v>
      </c>
    </row>
    <row r="3728" spans="1:7" x14ac:dyDescent="0.3">
      <c r="A3728">
        <v>33727</v>
      </c>
      <c r="B3728">
        <v>138</v>
      </c>
      <c r="C3728" s="2">
        <v>44900</v>
      </c>
      <c r="D3728" s="2" t="str">
        <f>TEXT(Table5[[#This Row],[bill_date]],"mmmm")</f>
        <v>December</v>
      </c>
      <c r="E3728" s="9">
        <f>YEAR(Table5[[#This Row],[bill_date]])</f>
        <v>2022</v>
      </c>
      <c r="F3728">
        <v>288</v>
      </c>
      <c r="G3728" t="s">
        <v>30</v>
      </c>
    </row>
    <row r="3729" spans="1:7" x14ac:dyDescent="0.3">
      <c r="A3729">
        <v>33728</v>
      </c>
      <c r="B3729">
        <v>430</v>
      </c>
      <c r="C3729" s="2">
        <v>44983</v>
      </c>
      <c r="D3729" s="2" t="str">
        <f>TEXT(Table5[[#This Row],[bill_date]],"mmmm")</f>
        <v>February</v>
      </c>
      <c r="E3729" s="9">
        <f>YEAR(Table5[[#This Row],[bill_date]])</f>
        <v>2023</v>
      </c>
      <c r="F3729">
        <v>981</v>
      </c>
      <c r="G3729" t="s">
        <v>30</v>
      </c>
    </row>
    <row r="3730" spans="1:7" x14ac:dyDescent="0.3">
      <c r="A3730">
        <v>33729</v>
      </c>
      <c r="B3730">
        <v>485</v>
      </c>
      <c r="C3730" s="2">
        <v>44650</v>
      </c>
      <c r="D3730" s="2" t="str">
        <f>TEXT(Table5[[#This Row],[bill_date]],"mmmm")</f>
        <v>March</v>
      </c>
      <c r="E3730" s="9">
        <f>YEAR(Table5[[#This Row],[bill_date]])</f>
        <v>2022</v>
      </c>
      <c r="F3730">
        <v>957</v>
      </c>
      <c r="G3730" t="s">
        <v>30</v>
      </c>
    </row>
    <row r="3731" spans="1:7" x14ac:dyDescent="0.3">
      <c r="A3731">
        <v>33730</v>
      </c>
      <c r="B3731">
        <v>76</v>
      </c>
      <c r="C3731" s="2">
        <v>44893</v>
      </c>
      <c r="D3731" s="2" t="str">
        <f>TEXT(Table5[[#This Row],[bill_date]],"mmmm")</f>
        <v>November</v>
      </c>
      <c r="E3731" s="9">
        <f>YEAR(Table5[[#This Row],[bill_date]])</f>
        <v>2022</v>
      </c>
      <c r="F3731">
        <v>1698</v>
      </c>
      <c r="G3731" t="s">
        <v>28</v>
      </c>
    </row>
    <row r="3732" spans="1:7" x14ac:dyDescent="0.3">
      <c r="A3732">
        <v>33731</v>
      </c>
      <c r="B3732">
        <v>339</v>
      </c>
      <c r="C3732" s="2">
        <v>44992</v>
      </c>
      <c r="D3732" s="2" t="str">
        <f>TEXT(Table5[[#This Row],[bill_date]],"mmmm")</f>
        <v>March</v>
      </c>
      <c r="E3732" s="9">
        <f>YEAR(Table5[[#This Row],[bill_date]])</f>
        <v>2023</v>
      </c>
      <c r="F3732">
        <v>1252</v>
      </c>
      <c r="G3732" t="s">
        <v>30</v>
      </c>
    </row>
    <row r="3733" spans="1:7" x14ac:dyDescent="0.3">
      <c r="A3733">
        <v>33732</v>
      </c>
      <c r="B3733">
        <v>253</v>
      </c>
      <c r="C3733" s="2">
        <v>45339</v>
      </c>
      <c r="D3733" s="2" t="str">
        <f>TEXT(Table5[[#This Row],[bill_date]],"mmmm")</f>
        <v>February</v>
      </c>
      <c r="E3733" s="9">
        <f>YEAR(Table5[[#This Row],[bill_date]])</f>
        <v>2024</v>
      </c>
      <c r="F3733">
        <v>1762</v>
      </c>
      <c r="G3733" t="s">
        <v>30</v>
      </c>
    </row>
    <row r="3734" spans="1:7" x14ac:dyDescent="0.3">
      <c r="A3734">
        <v>33733</v>
      </c>
      <c r="B3734">
        <v>450</v>
      </c>
      <c r="C3734" s="2">
        <v>45324</v>
      </c>
      <c r="D3734" s="2" t="str">
        <f>TEXT(Table5[[#This Row],[bill_date]],"mmmm")</f>
        <v>February</v>
      </c>
      <c r="E3734" s="9">
        <f>YEAR(Table5[[#This Row],[bill_date]])</f>
        <v>2024</v>
      </c>
      <c r="F3734">
        <v>1690</v>
      </c>
      <c r="G3734" t="s">
        <v>30</v>
      </c>
    </row>
    <row r="3735" spans="1:7" x14ac:dyDescent="0.3">
      <c r="A3735">
        <v>33734</v>
      </c>
      <c r="B3735">
        <v>79</v>
      </c>
      <c r="C3735" s="2">
        <v>44713</v>
      </c>
      <c r="D3735" s="2" t="str">
        <f>TEXT(Table5[[#This Row],[bill_date]],"mmmm")</f>
        <v>June</v>
      </c>
      <c r="E3735" s="9">
        <f>YEAR(Table5[[#This Row],[bill_date]])</f>
        <v>2022</v>
      </c>
      <c r="F3735">
        <v>1610</v>
      </c>
      <c r="G3735" t="s">
        <v>30</v>
      </c>
    </row>
    <row r="3736" spans="1:7" x14ac:dyDescent="0.3">
      <c r="A3736">
        <v>33735</v>
      </c>
      <c r="B3736">
        <v>38</v>
      </c>
      <c r="C3736" s="2">
        <v>45379</v>
      </c>
      <c r="D3736" s="2" t="str">
        <f>TEXT(Table5[[#This Row],[bill_date]],"mmmm")</f>
        <v>March</v>
      </c>
      <c r="E3736" s="9">
        <f>YEAR(Table5[[#This Row],[bill_date]])</f>
        <v>2024</v>
      </c>
      <c r="F3736">
        <v>1802</v>
      </c>
      <c r="G3736" t="s">
        <v>30</v>
      </c>
    </row>
    <row r="3737" spans="1:7" x14ac:dyDescent="0.3">
      <c r="A3737">
        <v>33736</v>
      </c>
      <c r="B3737">
        <v>318</v>
      </c>
      <c r="C3737" s="2">
        <v>45269</v>
      </c>
      <c r="D3737" s="2" t="str">
        <f>TEXT(Table5[[#This Row],[bill_date]],"mmmm")</f>
        <v>December</v>
      </c>
      <c r="E3737" s="9">
        <f>YEAR(Table5[[#This Row],[bill_date]])</f>
        <v>2023</v>
      </c>
      <c r="F3737">
        <v>555</v>
      </c>
      <c r="G3737" t="s">
        <v>29</v>
      </c>
    </row>
    <row r="3738" spans="1:7" x14ac:dyDescent="0.3">
      <c r="A3738">
        <v>33737</v>
      </c>
      <c r="B3738">
        <v>328</v>
      </c>
      <c r="C3738" s="2">
        <v>44687</v>
      </c>
      <c r="D3738" s="2" t="str">
        <f>TEXT(Table5[[#This Row],[bill_date]],"mmmm")</f>
        <v>May</v>
      </c>
      <c r="E3738" s="9">
        <f>YEAR(Table5[[#This Row],[bill_date]])</f>
        <v>2022</v>
      </c>
      <c r="F3738">
        <v>1877</v>
      </c>
      <c r="G3738" t="s">
        <v>30</v>
      </c>
    </row>
    <row r="3739" spans="1:7" x14ac:dyDescent="0.3">
      <c r="A3739">
        <v>33738</v>
      </c>
      <c r="B3739">
        <v>430</v>
      </c>
      <c r="C3739" s="2">
        <v>44604</v>
      </c>
      <c r="D3739" s="2" t="str">
        <f>TEXT(Table5[[#This Row],[bill_date]],"mmmm")</f>
        <v>February</v>
      </c>
      <c r="E3739" s="9">
        <f>YEAR(Table5[[#This Row],[bill_date]])</f>
        <v>2022</v>
      </c>
      <c r="F3739">
        <v>744</v>
      </c>
      <c r="G3739" t="s">
        <v>30</v>
      </c>
    </row>
    <row r="3740" spans="1:7" x14ac:dyDescent="0.3">
      <c r="A3740">
        <v>33739</v>
      </c>
      <c r="B3740">
        <v>163</v>
      </c>
      <c r="C3740" s="2">
        <v>44982</v>
      </c>
      <c r="D3740" s="2" t="str">
        <f>TEXT(Table5[[#This Row],[bill_date]],"mmmm")</f>
        <v>February</v>
      </c>
      <c r="E3740" s="9">
        <f>YEAR(Table5[[#This Row],[bill_date]])</f>
        <v>2023</v>
      </c>
      <c r="F3740">
        <v>657</v>
      </c>
      <c r="G3740" t="s">
        <v>30</v>
      </c>
    </row>
    <row r="3741" spans="1:7" x14ac:dyDescent="0.3">
      <c r="A3741">
        <v>33740</v>
      </c>
      <c r="B3741">
        <v>358</v>
      </c>
      <c r="C3741" s="2">
        <v>45246</v>
      </c>
      <c r="D3741" s="2" t="str">
        <f>TEXT(Table5[[#This Row],[bill_date]],"mmmm")</f>
        <v>November</v>
      </c>
      <c r="E3741" s="9">
        <f>YEAR(Table5[[#This Row],[bill_date]])</f>
        <v>2023</v>
      </c>
      <c r="F3741">
        <v>669</v>
      </c>
      <c r="G3741" t="s">
        <v>30</v>
      </c>
    </row>
    <row r="3742" spans="1:7" x14ac:dyDescent="0.3">
      <c r="A3742">
        <v>33741</v>
      </c>
      <c r="B3742">
        <v>427</v>
      </c>
      <c r="C3742" s="2">
        <v>45051</v>
      </c>
      <c r="D3742" s="2" t="str">
        <f>TEXT(Table5[[#This Row],[bill_date]],"mmmm")</f>
        <v>May</v>
      </c>
      <c r="E3742" s="9">
        <f>YEAR(Table5[[#This Row],[bill_date]])</f>
        <v>2023</v>
      </c>
      <c r="F3742">
        <v>1065</v>
      </c>
      <c r="G3742" t="s">
        <v>30</v>
      </c>
    </row>
    <row r="3743" spans="1:7" x14ac:dyDescent="0.3">
      <c r="A3743">
        <v>33742</v>
      </c>
      <c r="B3743">
        <v>128</v>
      </c>
      <c r="C3743" s="2">
        <v>45127</v>
      </c>
      <c r="D3743" s="2" t="str">
        <f>TEXT(Table5[[#This Row],[bill_date]],"mmmm")</f>
        <v>July</v>
      </c>
      <c r="E3743" s="9">
        <f>YEAR(Table5[[#This Row],[bill_date]])</f>
        <v>2023</v>
      </c>
      <c r="F3743">
        <v>1137</v>
      </c>
      <c r="G3743" t="s">
        <v>30</v>
      </c>
    </row>
    <row r="3744" spans="1:7" x14ac:dyDescent="0.3">
      <c r="A3744">
        <v>33743</v>
      </c>
      <c r="B3744">
        <v>158</v>
      </c>
      <c r="C3744" s="2">
        <v>44814</v>
      </c>
      <c r="D3744" s="2" t="str">
        <f>TEXT(Table5[[#This Row],[bill_date]],"mmmm")</f>
        <v>September</v>
      </c>
      <c r="E3744" s="9">
        <f>YEAR(Table5[[#This Row],[bill_date]])</f>
        <v>2022</v>
      </c>
      <c r="F3744">
        <v>1449</v>
      </c>
      <c r="G3744" t="s">
        <v>29</v>
      </c>
    </row>
    <row r="3745" spans="1:7" x14ac:dyDescent="0.3">
      <c r="A3745">
        <v>33744</v>
      </c>
      <c r="B3745">
        <v>329</v>
      </c>
      <c r="C3745" s="2">
        <v>45372</v>
      </c>
      <c r="D3745" s="2" t="str">
        <f>TEXT(Table5[[#This Row],[bill_date]],"mmmm")</f>
        <v>March</v>
      </c>
      <c r="E3745" s="9">
        <f>YEAR(Table5[[#This Row],[bill_date]])</f>
        <v>2024</v>
      </c>
      <c r="F3745">
        <v>1937</v>
      </c>
      <c r="G3745" t="s">
        <v>28</v>
      </c>
    </row>
    <row r="3746" spans="1:7" x14ac:dyDescent="0.3">
      <c r="A3746">
        <v>33745</v>
      </c>
      <c r="B3746">
        <v>319</v>
      </c>
      <c r="C3746" s="2">
        <v>45269</v>
      </c>
      <c r="D3746" s="2" t="str">
        <f>TEXT(Table5[[#This Row],[bill_date]],"mmmm")</f>
        <v>December</v>
      </c>
      <c r="E3746" s="9">
        <f>YEAR(Table5[[#This Row],[bill_date]])</f>
        <v>2023</v>
      </c>
      <c r="F3746">
        <v>771</v>
      </c>
      <c r="G3746" t="s">
        <v>30</v>
      </c>
    </row>
    <row r="3747" spans="1:7" x14ac:dyDescent="0.3">
      <c r="A3747">
        <v>33746</v>
      </c>
      <c r="B3747">
        <v>414</v>
      </c>
      <c r="C3747" s="2">
        <v>45045</v>
      </c>
      <c r="D3747" s="2" t="str">
        <f>TEXT(Table5[[#This Row],[bill_date]],"mmmm")</f>
        <v>April</v>
      </c>
      <c r="E3747" s="9">
        <f>YEAR(Table5[[#This Row],[bill_date]])</f>
        <v>2023</v>
      </c>
      <c r="F3747">
        <v>1413</v>
      </c>
      <c r="G3747" t="s">
        <v>30</v>
      </c>
    </row>
    <row r="3748" spans="1:7" x14ac:dyDescent="0.3">
      <c r="A3748">
        <v>33747</v>
      </c>
      <c r="B3748">
        <v>369</v>
      </c>
      <c r="C3748" s="2">
        <v>44854</v>
      </c>
      <c r="D3748" s="2" t="str">
        <f>TEXT(Table5[[#This Row],[bill_date]],"mmmm")</f>
        <v>October</v>
      </c>
      <c r="E3748" s="9">
        <f>YEAR(Table5[[#This Row],[bill_date]])</f>
        <v>2022</v>
      </c>
      <c r="F3748">
        <v>1224</v>
      </c>
      <c r="G3748" t="s">
        <v>28</v>
      </c>
    </row>
    <row r="3749" spans="1:7" x14ac:dyDescent="0.3">
      <c r="A3749">
        <v>33748</v>
      </c>
      <c r="B3749">
        <v>83</v>
      </c>
      <c r="C3749" s="2">
        <v>44778</v>
      </c>
      <c r="D3749" s="2" t="str">
        <f>TEXT(Table5[[#This Row],[bill_date]],"mmmm")</f>
        <v>August</v>
      </c>
      <c r="E3749" s="9">
        <f>YEAR(Table5[[#This Row],[bill_date]])</f>
        <v>2022</v>
      </c>
      <c r="F3749">
        <v>1340</v>
      </c>
      <c r="G3749" t="s">
        <v>30</v>
      </c>
    </row>
    <row r="3750" spans="1:7" x14ac:dyDescent="0.3">
      <c r="A3750">
        <v>33749</v>
      </c>
      <c r="B3750">
        <v>413</v>
      </c>
      <c r="C3750" s="2">
        <v>44730</v>
      </c>
      <c r="D3750" s="2" t="str">
        <f>TEXT(Table5[[#This Row],[bill_date]],"mmmm")</f>
        <v>June</v>
      </c>
      <c r="E3750" s="9">
        <f>YEAR(Table5[[#This Row],[bill_date]])</f>
        <v>2022</v>
      </c>
      <c r="F3750">
        <v>506</v>
      </c>
      <c r="G3750" t="s">
        <v>30</v>
      </c>
    </row>
    <row r="3751" spans="1:7" x14ac:dyDescent="0.3">
      <c r="A3751">
        <v>33750</v>
      </c>
      <c r="B3751">
        <v>450</v>
      </c>
      <c r="C3751" s="2">
        <v>45295</v>
      </c>
      <c r="D3751" s="2" t="str">
        <f>TEXT(Table5[[#This Row],[bill_date]],"mmmm")</f>
        <v>January</v>
      </c>
      <c r="E3751" s="9">
        <f>YEAR(Table5[[#This Row],[bill_date]])</f>
        <v>2024</v>
      </c>
      <c r="F3751">
        <v>762</v>
      </c>
      <c r="G3751" t="s">
        <v>30</v>
      </c>
    </row>
    <row r="3752" spans="1:7" x14ac:dyDescent="0.3">
      <c r="A3752">
        <v>33751</v>
      </c>
      <c r="B3752">
        <v>476</v>
      </c>
      <c r="C3752" s="2">
        <v>45201</v>
      </c>
      <c r="D3752" s="2" t="str">
        <f>TEXT(Table5[[#This Row],[bill_date]],"mmmm")</f>
        <v>October</v>
      </c>
      <c r="E3752" s="9">
        <f>YEAR(Table5[[#This Row],[bill_date]])</f>
        <v>2023</v>
      </c>
      <c r="F3752">
        <v>1237</v>
      </c>
      <c r="G3752" t="s">
        <v>30</v>
      </c>
    </row>
    <row r="3753" spans="1:7" x14ac:dyDescent="0.3">
      <c r="A3753">
        <v>33752</v>
      </c>
      <c r="B3753">
        <v>456</v>
      </c>
      <c r="C3753" s="2">
        <v>44946</v>
      </c>
      <c r="D3753" s="2" t="str">
        <f>TEXT(Table5[[#This Row],[bill_date]],"mmmm")</f>
        <v>January</v>
      </c>
      <c r="E3753" s="9">
        <f>YEAR(Table5[[#This Row],[bill_date]])</f>
        <v>2023</v>
      </c>
      <c r="F3753">
        <v>622</v>
      </c>
      <c r="G3753" t="s">
        <v>29</v>
      </c>
    </row>
    <row r="3754" spans="1:7" x14ac:dyDescent="0.3">
      <c r="A3754">
        <v>33753</v>
      </c>
      <c r="B3754">
        <v>217</v>
      </c>
      <c r="C3754" s="2">
        <v>45422</v>
      </c>
      <c r="D3754" s="2" t="str">
        <f>TEXT(Table5[[#This Row],[bill_date]],"mmmm")</f>
        <v>May</v>
      </c>
      <c r="E3754" s="9">
        <f>YEAR(Table5[[#This Row],[bill_date]])</f>
        <v>2024</v>
      </c>
      <c r="F3754">
        <v>1701</v>
      </c>
      <c r="G3754" t="s">
        <v>30</v>
      </c>
    </row>
    <row r="3755" spans="1:7" x14ac:dyDescent="0.3">
      <c r="A3755">
        <v>33754</v>
      </c>
      <c r="B3755">
        <v>202</v>
      </c>
      <c r="C3755" s="2">
        <v>44577</v>
      </c>
      <c r="D3755" s="2" t="str">
        <f>TEXT(Table5[[#This Row],[bill_date]],"mmmm")</f>
        <v>January</v>
      </c>
      <c r="E3755" s="9">
        <f>YEAR(Table5[[#This Row],[bill_date]])</f>
        <v>2022</v>
      </c>
      <c r="F3755">
        <v>1318</v>
      </c>
      <c r="G3755" t="s">
        <v>30</v>
      </c>
    </row>
    <row r="3756" spans="1:7" x14ac:dyDescent="0.3">
      <c r="A3756">
        <v>33755</v>
      </c>
      <c r="B3756">
        <v>278</v>
      </c>
      <c r="C3756" s="2">
        <v>44598</v>
      </c>
      <c r="D3756" s="2" t="str">
        <f>TEXT(Table5[[#This Row],[bill_date]],"mmmm")</f>
        <v>February</v>
      </c>
      <c r="E3756" s="9">
        <f>YEAR(Table5[[#This Row],[bill_date]])</f>
        <v>2022</v>
      </c>
      <c r="F3756">
        <v>808</v>
      </c>
      <c r="G3756" t="s">
        <v>30</v>
      </c>
    </row>
    <row r="3757" spans="1:7" x14ac:dyDescent="0.3">
      <c r="A3757">
        <v>33756</v>
      </c>
      <c r="B3757">
        <v>419</v>
      </c>
      <c r="C3757" s="2">
        <v>44982</v>
      </c>
      <c r="D3757" s="2" t="str">
        <f>TEXT(Table5[[#This Row],[bill_date]],"mmmm")</f>
        <v>February</v>
      </c>
      <c r="E3757" s="9">
        <f>YEAR(Table5[[#This Row],[bill_date]])</f>
        <v>2023</v>
      </c>
      <c r="F3757">
        <v>253</v>
      </c>
      <c r="G3757" t="s">
        <v>29</v>
      </c>
    </row>
    <row r="3758" spans="1:7" x14ac:dyDescent="0.3">
      <c r="A3758">
        <v>33757</v>
      </c>
      <c r="B3758">
        <v>426</v>
      </c>
      <c r="C3758" s="2">
        <v>44857</v>
      </c>
      <c r="D3758" s="2" t="str">
        <f>TEXT(Table5[[#This Row],[bill_date]],"mmmm")</f>
        <v>October</v>
      </c>
      <c r="E3758" s="9">
        <f>YEAR(Table5[[#This Row],[bill_date]])</f>
        <v>2022</v>
      </c>
      <c r="F3758">
        <v>1500</v>
      </c>
      <c r="G3758" t="s">
        <v>30</v>
      </c>
    </row>
    <row r="3759" spans="1:7" x14ac:dyDescent="0.3">
      <c r="A3759">
        <v>33758</v>
      </c>
      <c r="B3759">
        <v>152</v>
      </c>
      <c r="C3759" s="2">
        <v>44996</v>
      </c>
      <c r="D3759" s="2" t="str">
        <f>TEXT(Table5[[#This Row],[bill_date]],"mmmm")</f>
        <v>March</v>
      </c>
      <c r="E3759" s="9">
        <f>YEAR(Table5[[#This Row],[bill_date]])</f>
        <v>2023</v>
      </c>
      <c r="F3759">
        <v>611</v>
      </c>
      <c r="G3759" t="s">
        <v>29</v>
      </c>
    </row>
    <row r="3760" spans="1:7" x14ac:dyDescent="0.3">
      <c r="A3760">
        <v>33759</v>
      </c>
      <c r="B3760">
        <v>26</v>
      </c>
      <c r="C3760" s="2">
        <v>44881</v>
      </c>
      <c r="D3760" s="2" t="str">
        <f>TEXT(Table5[[#This Row],[bill_date]],"mmmm")</f>
        <v>November</v>
      </c>
      <c r="E3760" s="9">
        <f>YEAR(Table5[[#This Row],[bill_date]])</f>
        <v>2022</v>
      </c>
      <c r="F3760">
        <v>1467</v>
      </c>
      <c r="G3760" t="s">
        <v>28</v>
      </c>
    </row>
    <row r="3761" spans="1:7" x14ac:dyDescent="0.3">
      <c r="A3761">
        <v>33760</v>
      </c>
      <c r="B3761">
        <v>415</v>
      </c>
      <c r="C3761" s="2">
        <v>45298</v>
      </c>
      <c r="D3761" s="2" t="str">
        <f>TEXT(Table5[[#This Row],[bill_date]],"mmmm")</f>
        <v>January</v>
      </c>
      <c r="E3761" s="9">
        <f>YEAR(Table5[[#This Row],[bill_date]])</f>
        <v>2024</v>
      </c>
      <c r="F3761">
        <v>1180</v>
      </c>
      <c r="G3761" t="s">
        <v>28</v>
      </c>
    </row>
    <row r="3762" spans="1:7" x14ac:dyDescent="0.3">
      <c r="A3762">
        <v>33761</v>
      </c>
      <c r="B3762">
        <v>343</v>
      </c>
      <c r="C3762" s="2">
        <v>45187</v>
      </c>
      <c r="D3762" s="2" t="str">
        <f>TEXT(Table5[[#This Row],[bill_date]],"mmmm")</f>
        <v>September</v>
      </c>
      <c r="E3762" s="9">
        <f>YEAR(Table5[[#This Row],[bill_date]])</f>
        <v>2023</v>
      </c>
      <c r="F3762">
        <v>1618</v>
      </c>
      <c r="G3762" t="s">
        <v>30</v>
      </c>
    </row>
    <row r="3763" spans="1:7" x14ac:dyDescent="0.3">
      <c r="A3763">
        <v>33762</v>
      </c>
      <c r="B3763">
        <v>254</v>
      </c>
      <c r="C3763" s="2">
        <v>45095</v>
      </c>
      <c r="D3763" s="2" t="str">
        <f>TEXT(Table5[[#This Row],[bill_date]],"mmmm")</f>
        <v>June</v>
      </c>
      <c r="E3763" s="9">
        <f>YEAR(Table5[[#This Row],[bill_date]])</f>
        <v>2023</v>
      </c>
      <c r="F3763">
        <v>1693</v>
      </c>
      <c r="G3763" t="s">
        <v>30</v>
      </c>
    </row>
    <row r="3764" spans="1:7" x14ac:dyDescent="0.3">
      <c r="A3764">
        <v>33763</v>
      </c>
      <c r="B3764">
        <v>386</v>
      </c>
      <c r="C3764" s="2">
        <v>44860</v>
      </c>
      <c r="D3764" s="2" t="str">
        <f>TEXT(Table5[[#This Row],[bill_date]],"mmmm")</f>
        <v>October</v>
      </c>
      <c r="E3764" s="9">
        <f>YEAR(Table5[[#This Row],[bill_date]])</f>
        <v>2022</v>
      </c>
      <c r="F3764">
        <v>236</v>
      </c>
      <c r="G3764" t="s">
        <v>29</v>
      </c>
    </row>
    <row r="3765" spans="1:7" x14ac:dyDescent="0.3">
      <c r="A3765">
        <v>33764</v>
      </c>
      <c r="B3765">
        <v>251</v>
      </c>
      <c r="C3765" s="2">
        <v>45135</v>
      </c>
      <c r="D3765" s="2" t="str">
        <f>TEXT(Table5[[#This Row],[bill_date]],"mmmm")</f>
        <v>July</v>
      </c>
      <c r="E3765" s="9">
        <f>YEAR(Table5[[#This Row],[bill_date]])</f>
        <v>2023</v>
      </c>
      <c r="F3765">
        <v>1854</v>
      </c>
      <c r="G3765" t="s">
        <v>29</v>
      </c>
    </row>
    <row r="3766" spans="1:7" x14ac:dyDescent="0.3">
      <c r="A3766">
        <v>33765</v>
      </c>
      <c r="B3766">
        <v>167</v>
      </c>
      <c r="C3766" s="2">
        <v>45255</v>
      </c>
      <c r="D3766" s="2" t="str">
        <f>TEXT(Table5[[#This Row],[bill_date]],"mmmm")</f>
        <v>November</v>
      </c>
      <c r="E3766" s="9">
        <f>YEAR(Table5[[#This Row],[bill_date]])</f>
        <v>2023</v>
      </c>
      <c r="F3766">
        <v>968</v>
      </c>
      <c r="G3766" t="s">
        <v>28</v>
      </c>
    </row>
    <row r="3767" spans="1:7" x14ac:dyDescent="0.3">
      <c r="A3767">
        <v>33766</v>
      </c>
      <c r="B3767">
        <v>353</v>
      </c>
      <c r="C3767" s="2">
        <v>45358</v>
      </c>
      <c r="D3767" s="2" t="str">
        <f>TEXT(Table5[[#This Row],[bill_date]],"mmmm")</f>
        <v>March</v>
      </c>
      <c r="E3767" s="9">
        <f>YEAR(Table5[[#This Row],[bill_date]])</f>
        <v>2024</v>
      </c>
      <c r="F3767">
        <v>1362</v>
      </c>
      <c r="G3767" t="s">
        <v>30</v>
      </c>
    </row>
    <row r="3768" spans="1:7" x14ac:dyDescent="0.3">
      <c r="A3768">
        <v>33767</v>
      </c>
      <c r="B3768">
        <v>472</v>
      </c>
      <c r="C3768" s="2">
        <v>44577</v>
      </c>
      <c r="D3768" s="2" t="str">
        <f>TEXT(Table5[[#This Row],[bill_date]],"mmmm")</f>
        <v>January</v>
      </c>
      <c r="E3768" s="9">
        <f>YEAR(Table5[[#This Row],[bill_date]])</f>
        <v>2022</v>
      </c>
      <c r="F3768">
        <v>381</v>
      </c>
      <c r="G3768" t="s">
        <v>30</v>
      </c>
    </row>
    <row r="3769" spans="1:7" x14ac:dyDescent="0.3">
      <c r="A3769">
        <v>33768</v>
      </c>
      <c r="B3769">
        <v>140</v>
      </c>
      <c r="C3769" s="2">
        <v>44956</v>
      </c>
      <c r="D3769" s="2" t="str">
        <f>TEXT(Table5[[#This Row],[bill_date]],"mmmm")</f>
        <v>January</v>
      </c>
      <c r="E3769" s="9">
        <f>YEAR(Table5[[#This Row],[bill_date]])</f>
        <v>2023</v>
      </c>
      <c r="F3769">
        <v>1435</v>
      </c>
      <c r="G3769" t="s">
        <v>28</v>
      </c>
    </row>
    <row r="3770" spans="1:7" x14ac:dyDescent="0.3">
      <c r="A3770">
        <v>33769</v>
      </c>
      <c r="B3770">
        <v>229</v>
      </c>
      <c r="C3770" s="2">
        <v>44838</v>
      </c>
      <c r="D3770" s="2" t="str">
        <f>TEXT(Table5[[#This Row],[bill_date]],"mmmm")</f>
        <v>October</v>
      </c>
      <c r="E3770" s="9">
        <f>YEAR(Table5[[#This Row],[bill_date]])</f>
        <v>2022</v>
      </c>
      <c r="F3770">
        <v>324</v>
      </c>
      <c r="G3770" t="s">
        <v>30</v>
      </c>
    </row>
    <row r="3771" spans="1:7" x14ac:dyDescent="0.3">
      <c r="A3771">
        <v>33770</v>
      </c>
      <c r="B3771">
        <v>73</v>
      </c>
      <c r="C3771" s="2">
        <v>45210</v>
      </c>
      <c r="D3771" s="2" t="str">
        <f>TEXT(Table5[[#This Row],[bill_date]],"mmmm")</f>
        <v>October</v>
      </c>
      <c r="E3771" s="9">
        <f>YEAR(Table5[[#This Row],[bill_date]])</f>
        <v>2023</v>
      </c>
      <c r="F3771">
        <v>338</v>
      </c>
      <c r="G3771" t="s">
        <v>30</v>
      </c>
    </row>
    <row r="3772" spans="1:7" x14ac:dyDescent="0.3">
      <c r="A3772">
        <v>33771</v>
      </c>
      <c r="B3772">
        <v>428</v>
      </c>
      <c r="C3772" s="2">
        <v>44844</v>
      </c>
      <c r="D3772" s="2" t="str">
        <f>TEXT(Table5[[#This Row],[bill_date]],"mmmm")</f>
        <v>October</v>
      </c>
      <c r="E3772" s="9">
        <f>YEAR(Table5[[#This Row],[bill_date]])</f>
        <v>2022</v>
      </c>
      <c r="F3772">
        <v>819</v>
      </c>
      <c r="G3772" t="s">
        <v>30</v>
      </c>
    </row>
    <row r="3773" spans="1:7" x14ac:dyDescent="0.3">
      <c r="A3773">
        <v>33772</v>
      </c>
      <c r="B3773">
        <v>299</v>
      </c>
      <c r="C3773" s="2">
        <v>45200</v>
      </c>
      <c r="D3773" s="2" t="str">
        <f>TEXT(Table5[[#This Row],[bill_date]],"mmmm")</f>
        <v>October</v>
      </c>
      <c r="E3773" s="9">
        <f>YEAR(Table5[[#This Row],[bill_date]])</f>
        <v>2023</v>
      </c>
      <c r="F3773">
        <v>1701</v>
      </c>
      <c r="G3773" t="s">
        <v>30</v>
      </c>
    </row>
    <row r="3774" spans="1:7" x14ac:dyDescent="0.3">
      <c r="A3774">
        <v>33773</v>
      </c>
      <c r="B3774">
        <v>236</v>
      </c>
      <c r="C3774" s="2">
        <v>44647</v>
      </c>
      <c r="D3774" s="2" t="str">
        <f>TEXT(Table5[[#This Row],[bill_date]],"mmmm")</f>
        <v>March</v>
      </c>
      <c r="E3774" s="9">
        <f>YEAR(Table5[[#This Row],[bill_date]])</f>
        <v>2022</v>
      </c>
      <c r="F3774">
        <v>1743</v>
      </c>
      <c r="G3774" t="s">
        <v>28</v>
      </c>
    </row>
    <row r="3775" spans="1:7" x14ac:dyDescent="0.3">
      <c r="A3775">
        <v>33774</v>
      </c>
      <c r="B3775">
        <v>195</v>
      </c>
      <c r="C3775" s="2">
        <v>44768</v>
      </c>
      <c r="D3775" s="2" t="str">
        <f>TEXT(Table5[[#This Row],[bill_date]],"mmmm")</f>
        <v>July</v>
      </c>
      <c r="E3775" s="9">
        <f>YEAR(Table5[[#This Row],[bill_date]])</f>
        <v>2022</v>
      </c>
      <c r="F3775">
        <v>1685</v>
      </c>
      <c r="G3775" t="s">
        <v>30</v>
      </c>
    </row>
    <row r="3776" spans="1:7" x14ac:dyDescent="0.3">
      <c r="A3776">
        <v>33775</v>
      </c>
      <c r="B3776">
        <v>492</v>
      </c>
      <c r="C3776" s="2">
        <v>45436</v>
      </c>
      <c r="D3776" s="2" t="str">
        <f>TEXT(Table5[[#This Row],[bill_date]],"mmmm")</f>
        <v>May</v>
      </c>
      <c r="E3776" s="9">
        <f>YEAR(Table5[[#This Row],[bill_date]])</f>
        <v>2024</v>
      </c>
      <c r="F3776">
        <v>230</v>
      </c>
      <c r="G3776" t="s">
        <v>30</v>
      </c>
    </row>
    <row r="3777" spans="1:7" x14ac:dyDescent="0.3">
      <c r="A3777">
        <v>33776</v>
      </c>
      <c r="B3777">
        <v>471</v>
      </c>
      <c r="C3777" s="2">
        <v>45224</v>
      </c>
      <c r="D3777" s="2" t="str">
        <f>TEXT(Table5[[#This Row],[bill_date]],"mmmm")</f>
        <v>October</v>
      </c>
      <c r="E3777" s="9">
        <f>YEAR(Table5[[#This Row],[bill_date]])</f>
        <v>2023</v>
      </c>
      <c r="F3777">
        <v>433</v>
      </c>
      <c r="G3777" t="s">
        <v>30</v>
      </c>
    </row>
    <row r="3778" spans="1:7" x14ac:dyDescent="0.3">
      <c r="A3778">
        <v>33777</v>
      </c>
      <c r="B3778">
        <v>88</v>
      </c>
      <c r="C3778" s="2">
        <v>45124</v>
      </c>
      <c r="D3778" s="2" t="str">
        <f>TEXT(Table5[[#This Row],[bill_date]],"mmmm")</f>
        <v>July</v>
      </c>
      <c r="E3778" s="9">
        <f>YEAR(Table5[[#This Row],[bill_date]])</f>
        <v>2023</v>
      </c>
      <c r="F3778">
        <v>271</v>
      </c>
      <c r="G3778" t="s">
        <v>28</v>
      </c>
    </row>
    <row r="3779" spans="1:7" x14ac:dyDescent="0.3">
      <c r="A3779">
        <v>33778</v>
      </c>
      <c r="B3779">
        <v>97</v>
      </c>
      <c r="C3779" s="2">
        <v>45038</v>
      </c>
      <c r="D3779" s="2" t="str">
        <f>TEXT(Table5[[#This Row],[bill_date]],"mmmm")</f>
        <v>April</v>
      </c>
      <c r="E3779" s="9">
        <f>YEAR(Table5[[#This Row],[bill_date]])</f>
        <v>2023</v>
      </c>
      <c r="F3779">
        <v>670</v>
      </c>
      <c r="G3779" t="s">
        <v>30</v>
      </c>
    </row>
    <row r="3780" spans="1:7" x14ac:dyDescent="0.3">
      <c r="A3780">
        <v>33779</v>
      </c>
      <c r="B3780">
        <v>478</v>
      </c>
      <c r="C3780" s="2">
        <v>45304</v>
      </c>
      <c r="D3780" s="2" t="str">
        <f>TEXT(Table5[[#This Row],[bill_date]],"mmmm")</f>
        <v>January</v>
      </c>
      <c r="E3780" s="9">
        <f>YEAR(Table5[[#This Row],[bill_date]])</f>
        <v>2024</v>
      </c>
      <c r="F3780">
        <v>1870</v>
      </c>
      <c r="G3780" t="s">
        <v>30</v>
      </c>
    </row>
    <row r="3781" spans="1:7" x14ac:dyDescent="0.3">
      <c r="A3781">
        <v>33780</v>
      </c>
      <c r="B3781">
        <v>166</v>
      </c>
      <c r="C3781" s="2">
        <v>45153</v>
      </c>
      <c r="D3781" s="2" t="str">
        <f>TEXT(Table5[[#This Row],[bill_date]],"mmmm")</f>
        <v>August</v>
      </c>
      <c r="E3781" s="9">
        <f>YEAR(Table5[[#This Row],[bill_date]])</f>
        <v>2023</v>
      </c>
      <c r="F3781">
        <v>1988</v>
      </c>
      <c r="G3781" t="s">
        <v>30</v>
      </c>
    </row>
    <row r="3782" spans="1:7" x14ac:dyDescent="0.3">
      <c r="A3782">
        <v>33781</v>
      </c>
      <c r="B3782">
        <v>491</v>
      </c>
      <c r="C3782" s="2">
        <v>44692</v>
      </c>
      <c r="D3782" s="2" t="str">
        <f>TEXT(Table5[[#This Row],[bill_date]],"mmmm")</f>
        <v>May</v>
      </c>
      <c r="E3782" s="9">
        <f>YEAR(Table5[[#This Row],[bill_date]])</f>
        <v>2022</v>
      </c>
      <c r="F3782">
        <v>826</v>
      </c>
      <c r="G3782" t="s">
        <v>30</v>
      </c>
    </row>
    <row r="3783" spans="1:7" x14ac:dyDescent="0.3">
      <c r="A3783">
        <v>33782</v>
      </c>
      <c r="B3783">
        <v>450</v>
      </c>
      <c r="C3783" s="2">
        <v>44961</v>
      </c>
      <c r="D3783" s="2" t="str">
        <f>TEXT(Table5[[#This Row],[bill_date]],"mmmm")</f>
        <v>February</v>
      </c>
      <c r="E3783" s="9">
        <f>YEAR(Table5[[#This Row],[bill_date]])</f>
        <v>2023</v>
      </c>
      <c r="F3783">
        <v>866</v>
      </c>
      <c r="G3783" t="s">
        <v>29</v>
      </c>
    </row>
    <row r="3784" spans="1:7" x14ac:dyDescent="0.3">
      <c r="A3784">
        <v>33783</v>
      </c>
      <c r="B3784">
        <v>296</v>
      </c>
      <c r="C3784" s="2">
        <v>44697</v>
      </c>
      <c r="D3784" s="2" t="str">
        <f>TEXT(Table5[[#This Row],[bill_date]],"mmmm")</f>
        <v>May</v>
      </c>
      <c r="E3784" s="9">
        <f>YEAR(Table5[[#This Row],[bill_date]])</f>
        <v>2022</v>
      </c>
      <c r="F3784">
        <v>792</v>
      </c>
      <c r="G3784" t="s">
        <v>30</v>
      </c>
    </row>
    <row r="3785" spans="1:7" x14ac:dyDescent="0.3">
      <c r="A3785">
        <v>33784</v>
      </c>
      <c r="B3785">
        <v>406</v>
      </c>
      <c r="C3785" s="2">
        <v>44907</v>
      </c>
      <c r="D3785" s="2" t="str">
        <f>TEXT(Table5[[#This Row],[bill_date]],"mmmm")</f>
        <v>December</v>
      </c>
      <c r="E3785" s="9">
        <f>YEAR(Table5[[#This Row],[bill_date]])</f>
        <v>2022</v>
      </c>
      <c r="F3785">
        <v>817</v>
      </c>
      <c r="G3785" t="s">
        <v>30</v>
      </c>
    </row>
    <row r="3786" spans="1:7" x14ac:dyDescent="0.3">
      <c r="A3786">
        <v>33785</v>
      </c>
      <c r="B3786">
        <v>203</v>
      </c>
      <c r="C3786" s="2">
        <v>44731</v>
      </c>
      <c r="D3786" s="2" t="str">
        <f>TEXT(Table5[[#This Row],[bill_date]],"mmmm")</f>
        <v>June</v>
      </c>
      <c r="E3786" s="9">
        <f>YEAR(Table5[[#This Row],[bill_date]])</f>
        <v>2022</v>
      </c>
      <c r="F3786">
        <v>1963</v>
      </c>
      <c r="G3786" t="s">
        <v>30</v>
      </c>
    </row>
    <row r="3787" spans="1:7" x14ac:dyDescent="0.3">
      <c r="A3787">
        <v>33786</v>
      </c>
      <c r="B3787">
        <v>447</v>
      </c>
      <c r="C3787" s="2">
        <v>44724</v>
      </c>
      <c r="D3787" s="2" t="str">
        <f>TEXT(Table5[[#This Row],[bill_date]],"mmmm")</f>
        <v>June</v>
      </c>
      <c r="E3787" s="9">
        <f>YEAR(Table5[[#This Row],[bill_date]])</f>
        <v>2022</v>
      </c>
      <c r="F3787">
        <v>490</v>
      </c>
      <c r="G3787" t="s">
        <v>30</v>
      </c>
    </row>
    <row r="3788" spans="1:7" x14ac:dyDescent="0.3">
      <c r="A3788">
        <v>33787</v>
      </c>
      <c r="B3788">
        <v>187</v>
      </c>
      <c r="C3788" s="2">
        <v>44760</v>
      </c>
      <c r="D3788" s="2" t="str">
        <f>TEXT(Table5[[#This Row],[bill_date]],"mmmm")</f>
        <v>July</v>
      </c>
      <c r="E3788" s="9">
        <f>YEAR(Table5[[#This Row],[bill_date]])</f>
        <v>2022</v>
      </c>
      <c r="F3788">
        <v>827</v>
      </c>
      <c r="G3788" t="s">
        <v>28</v>
      </c>
    </row>
    <row r="3789" spans="1:7" x14ac:dyDescent="0.3">
      <c r="A3789">
        <v>33788</v>
      </c>
      <c r="B3789">
        <v>460</v>
      </c>
      <c r="C3789" s="2">
        <v>45300</v>
      </c>
      <c r="D3789" s="2" t="str">
        <f>TEXT(Table5[[#This Row],[bill_date]],"mmmm")</f>
        <v>January</v>
      </c>
      <c r="E3789" s="9">
        <f>YEAR(Table5[[#This Row],[bill_date]])</f>
        <v>2024</v>
      </c>
      <c r="F3789">
        <v>1510</v>
      </c>
      <c r="G3789" t="s">
        <v>30</v>
      </c>
    </row>
    <row r="3790" spans="1:7" x14ac:dyDescent="0.3">
      <c r="A3790">
        <v>33789</v>
      </c>
      <c r="B3790">
        <v>275</v>
      </c>
      <c r="C3790" s="2">
        <v>44609</v>
      </c>
      <c r="D3790" s="2" t="str">
        <f>TEXT(Table5[[#This Row],[bill_date]],"mmmm")</f>
        <v>February</v>
      </c>
      <c r="E3790" s="9">
        <f>YEAR(Table5[[#This Row],[bill_date]])</f>
        <v>2022</v>
      </c>
      <c r="F3790">
        <v>411</v>
      </c>
      <c r="G3790" t="s">
        <v>30</v>
      </c>
    </row>
    <row r="3791" spans="1:7" x14ac:dyDescent="0.3">
      <c r="A3791">
        <v>33790</v>
      </c>
      <c r="B3791">
        <v>20</v>
      </c>
      <c r="C3791" s="2">
        <v>45383</v>
      </c>
      <c r="D3791" s="2" t="str">
        <f>TEXT(Table5[[#This Row],[bill_date]],"mmmm")</f>
        <v>April</v>
      </c>
      <c r="E3791" s="9">
        <f>YEAR(Table5[[#This Row],[bill_date]])</f>
        <v>2024</v>
      </c>
      <c r="F3791">
        <v>365</v>
      </c>
      <c r="G3791" t="s">
        <v>28</v>
      </c>
    </row>
    <row r="3792" spans="1:7" x14ac:dyDescent="0.3">
      <c r="A3792">
        <v>33791</v>
      </c>
      <c r="B3792">
        <v>375</v>
      </c>
      <c r="C3792" s="2">
        <v>45326</v>
      </c>
      <c r="D3792" s="2" t="str">
        <f>TEXT(Table5[[#This Row],[bill_date]],"mmmm")</f>
        <v>February</v>
      </c>
      <c r="E3792" s="9">
        <f>YEAR(Table5[[#This Row],[bill_date]])</f>
        <v>2024</v>
      </c>
      <c r="F3792">
        <v>1271</v>
      </c>
      <c r="G3792" t="s">
        <v>30</v>
      </c>
    </row>
    <row r="3793" spans="1:7" x14ac:dyDescent="0.3">
      <c r="A3793">
        <v>33792</v>
      </c>
      <c r="B3793">
        <v>73</v>
      </c>
      <c r="C3793" s="2">
        <v>45055</v>
      </c>
      <c r="D3793" s="2" t="str">
        <f>TEXT(Table5[[#This Row],[bill_date]],"mmmm")</f>
        <v>May</v>
      </c>
      <c r="E3793" s="9">
        <f>YEAR(Table5[[#This Row],[bill_date]])</f>
        <v>2023</v>
      </c>
      <c r="F3793">
        <v>1443</v>
      </c>
      <c r="G3793" t="s">
        <v>30</v>
      </c>
    </row>
    <row r="3794" spans="1:7" x14ac:dyDescent="0.3">
      <c r="A3794">
        <v>33793</v>
      </c>
      <c r="B3794">
        <v>427</v>
      </c>
      <c r="C3794" s="2">
        <v>44664</v>
      </c>
      <c r="D3794" s="2" t="str">
        <f>TEXT(Table5[[#This Row],[bill_date]],"mmmm")</f>
        <v>April</v>
      </c>
      <c r="E3794" s="9">
        <f>YEAR(Table5[[#This Row],[bill_date]])</f>
        <v>2022</v>
      </c>
      <c r="F3794">
        <v>600</v>
      </c>
      <c r="G3794" t="s">
        <v>30</v>
      </c>
    </row>
    <row r="3795" spans="1:7" x14ac:dyDescent="0.3">
      <c r="A3795">
        <v>33794</v>
      </c>
      <c r="B3795">
        <v>442</v>
      </c>
      <c r="C3795" s="2">
        <v>45109</v>
      </c>
      <c r="D3795" s="2" t="str">
        <f>TEXT(Table5[[#This Row],[bill_date]],"mmmm")</f>
        <v>July</v>
      </c>
      <c r="E3795" s="9">
        <f>YEAR(Table5[[#This Row],[bill_date]])</f>
        <v>2023</v>
      </c>
      <c r="F3795">
        <v>989</v>
      </c>
      <c r="G3795" t="s">
        <v>30</v>
      </c>
    </row>
    <row r="3796" spans="1:7" x14ac:dyDescent="0.3">
      <c r="A3796">
        <v>33795</v>
      </c>
      <c r="B3796">
        <v>338</v>
      </c>
      <c r="C3796" s="2">
        <v>44567</v>
      </c>
      <c r="D3796" s="2" t="str">
        <f>TEXT(Table5[[#This Row],[bill_date]],"mmmm")</f>
        <v>January</v>
      </c>
      <c r="E3796" s="9">
        <f>YEAR(Table5[[#This Row],[bill_date]])</f>
        <v>2022</v>
      </c>
      <c r="F3796">
        <v>1511</v>
      </c>
      <c r="G3796" t="s">
        <v>30</v>
      </c>
    </row>
    <row r="3797" spans="1:7" x14ac:dyDescent="0.3">
      <c r="A3797">
        <v>33796</v>
      </c>
      <c r="B3797">
        <v>361</v>
      </c>
      <c r="C3797" s="2">
        <v>45272</v>
      </c>
      <c r="D3797" s="2" t="str">
        <f>TEXT(Table5[[#This Row],[bill_date]],"mmmm")</f>
        <v>December</v>
      </c>
      <c r="E3797" s="9">
        <f>YEAR(Table5[[#This Row],[bill_date]])</f>
        <v>2023</v>
      </c>
      <c r="F3797">
        <v>1167</v>
      </c>
      <c r="G3797" t="s">
        <v>30</v>
      </c>
    </row>
    <row r="3798" spans="1:7" x14ac:dyDescent="0.3">
      <c r="A3798">
        <v>33797</v>
      </c>
      <c r="B3798">
        <v>495</v>
      </c>
      <c r="C3798" s="2">
        <v>44573</v>
      </c>
      <c r="D3798" s="2" t="str">
        <f>TEXT(Table5[[#This Row],[bill_date]],"mmmm")</f>
        <v>January</v>
      </c>
      <c r="E3798" s="9">
        <f>YEAR(Table5[[#This Row],[bill_date]])</f>
        <v>2022</v>
      </c>
      <c r="F3798">
        <v>377</v>
      </c>
      <c r="G3798" t="s">
        <v>30</v>
      </c>
    </row>
    <row r="3799" spans="1:7" x14ac:dyDescent="0.3">
      <c r="A3799">
        <v>33798</v>
      </c>
      <c r="B3799">
        <v>310</v>
      </c>
      <c r="C3799" s="2">
        <v>44664</v>
      </c>
      <c r="D3799" s="2" t="str">
        <f>TEXT(Table5[[#This Row],[bill_date]],"mmmm")</f>
        <v>April</v>
      </c>
      <c r="E3799" s="9">
        <f>YEAR(Table5[[#This Row],[bill_date]])</f>
        <v>2022</v>
      </c>
      <c r="F3799">
        <v>369</v>
      </c>
      <c r="G3799" t="s">
        <v>30</v>
      </c>
    </row>
    <row r="3800" spans="1:7" x14ac:dyDescent="0.3">
      <c r="A3800">
        <v>33799</v>
      </c>
      <c r="B3800">
        <v>82</v>
      </c>
      <c r="C3800" s="2">
        <v>45260</v>
      </c>
      <c r="D3800" s="2" t="str">
        <f>TEXT(Table5[[#This Row],[bill_date]],"mmmm")</f>
        <v>November</v>
      </c>
      <c r="E3800" s="9">
        <f>YEAR(Table5[[#This Row],[bill_date]])</f>
        <v>2023</v>
      </c>
      <c r="F3800">
        <v>202</v>
      </c>
      <c r="G3800" t="s">
        <v>30</v>
      </c>
    </row>
    <row r="3801" spans="1:7" x14ac:dyDescent="0.3">
      <c r="A3801">
        <v>33800</v>
      </c>
      <c r="B3801">
        <v>296</v>
      </c>
      <c r="C3801" s="2">
        <v>45394</v>
      </c>
      <c r="D3801" s="2" t="str">
        <f>TEXT(Table5[[#This Row],[bill_date]],"mmmm")</f>
        <v>April</v>
      </c>
      <c r="E3801" s="9">
        <f>YEAR(Table5[[#This Row],[bill_date]])</f>
        <v>2024</v>
      </c>
      <c r="F3801">
        <v>534</v>
      </c>
      <c r="G3801" t="s">
        <v>30</v>
      </c>
    </row>
    <row r="3802" spans="1:7" x14ac:dyDescent="0.3">
      <c r="A3802">
        <v>33801</v>
      </c>
      <c r="B3802">
        <v>356</v>
      </c>
      <c r="C3802" s="2">
        <v>45251</v>
      </c>
      <c r="D3802" s="2" t="str">
        <f>TEXT(Table5[[#This Row],[bill_date]],"mmmm")</f>
        <v>November</v>
      </c>
      <c r="E3802" s="9">
        <f>YEAR(Table5[[#This Row],[bill_date]])</f>
        <v>2023</v>
      </c>
      <c r="F3802">
        <v>393</v>
      </c>
      <c r="G3802" t="s">
        <v>28</v>
      </c>
    </row>
    <row r="3803" spans="1:7" x14ac:dyDescent="0.3">
      <c r="A3803">
        <v>33802</v>
      </c>
      <c r="B3803">
        <v>27</v>
      </c>
      <c r="C3803" s="2">
        <v>44988</v>
      </c>
      <c r="D3803" s="2" t="str">
        <f>TEXT(Table5[[#This Row],[bill_date]],"mmmm")</f>
        <v>March</v>
      </c>
      <c r="E3803" s="9">
        <f>YEAR(Table5[[#This Row],[bill_date]])</f>
        <v>2023</v>
      </c>
      <c r="F3803">
        <v>1686</v>
      </c>
      <c r="G3803" t="s">
        <v>30</v>
      </c>
    </row>
    <row r="3804" spans="1:7" x14ac:dyDescent="0.3">
      <c r="A3804">
        <v>33803</v>
      </c>
      <c r="B3804">
        <v>141</v>
      </c>
      <c r="C3804" s="2">
        <v>44732</v>
      </c>
      <c r="D3804" s="2" t="str">
        <f>TEXT(Table5[[#This Row],[bill_date]],"mmmm")</f>
        <v>June</v>
      </c>
      <c r="E3804" s="9">
        <f>YEAR(Table5[[#This Row],[bill_date]])</f>
        <v>2022</v>
      </c>
      <c r="F3804">
        <v>1091</v>
      </c>
      <c r="G3804" t="s">
        <v>30</v>
      </c>
    </row>
    <row r="3805" spans="1:7" x14ac:dyDescent="0.3">
      <c r="A3805">
        <v>33804</v>
      </c>
      <c r="B3805">
        <v>47</v>
      </c>
      <c r="C3805" s="2">
        <v>45250</v>
      </c>
      <c r="D3805" s="2" t="str">
        <f>TEXT(Table5[[#This Row],[bill_date]],"mmmm")</f>
        <v>November</v>
      </c>
      <c r="E3805" s="9">
        <f>YEAR(Table5[[#This Row],[bill_date]])</f>
        <v>2023</v>
      </c>
      <c r="F3805">
        <v>968</v>
      </c>
      <c r="G3805" t="s">
        <v>30</v>
      </c>
    </row>
    <row r="3806" spans="1:7" x14ac:dyDescent="0.3">
      <c r="A3806">
        <v>33805</v>
      </c>
      <c r="B3806">
        <v>456</v>
      </c>
      <c r="C3806" s="2">
        <v>44650</v>
      </c>
      <c r="D3806" s="2" t="str">
        <f>TEXT(Table5[[#This Row],[bill_date]],"mmmm")</f>
        <v>March</v>
      </c>
      <c r="E3806" s="9">
        <f>YEAR(Table5[[#This Row],[bill_date]])</f>
        <v>2022</v>
      </c>
      <c r="F3806">
        <v>1779</v>
      </c>
      <c r="G3806" t="s">
        <v>30</v>
      </c>
    </row>
    <row r="3807" spans="1:7" x14ac:dyDescent="0.3">
      <c r="A3807">
        <v>33806</v>
      </c>
      <c r="B3807">
        <v>112</v>
      </c>
      <c r="C3807" s="2">
        <v>45277</v>
      </c>
      <c r="D3807" s="2" t="str">
        <f>TEXT(Table5[[#This Row],[bill_date]],"mmmm")</f>
        <v>December</v>
      </c>
      <c r="E3807" s="9">
        <f>YEAR(Table5[[#This Row],[bill_date]])</f>
        <v>2023</v>
      </c>
      <c r="F3807">
        <v>1689</v>
      </c>
      <c r="G3807" t="s">
        <v>30</v>
      </c>
    </row>
    <row r="3808" spans="1:7" x14ac:dyDescent="0.3">
      <c r="A3808">
        <v>33807</v>
      </c>
      <c r="B3808">
        <v>235</v>
      </c>
      <c r="C3808" s="2">
        <v>45000</v>
      </c>
      <c r="D3808" s="2" t="str">
        <f>TEXT(Table5[[#This Row],[bill_date]],"mmmm")</f>
        <v>March</v>
      </c>
      <c r="E3808" s="9">
        <f>YEAR(Table5[[#This Row],[bill_date]])</f>
        <v>2023</v>
      </c>
      <c r="F3808">
        <v>1566</v>
      </c>
      <c r="G3808" t="s">
        <v>30</v>
      </c>
    </row>
    <row r="3809" spans="1:7" x14ac:dyDescent="0.3">
      <c r="A3809">
        <v>33808</v>
      </c>
      <c r="B3809">
        <v>151</v>
      </c>
      <c r="C3809" s="2">
        <v>44908</v>
      </c>
      <c r="D3809" s="2" t="str">
        <f>TEXT(Table5[[#This Row],[bill_date]],"mmmm")</f>
        <v>December</v>
      </c>
      <c r="E3809" s="9">
        <f>YEAR(Table5[[#This Row],[bill_date]])</f>
        <v>2022</v>
      </c>
      <c r="F3809">
        <v>1430</v>
      </c>
      <c r="G3809" t="s">
        <v>30</v>
      </c>
    </row>
    <row r="3810" spans="1:7" x14ac:dyDescent="0.3">
      <c r="A3810">
        <v>33809</v>
      </c>
      <c r="B3810">
        <v>375</v>
      </c>
      <c r="C3810" s="2">
        <v>45416</v>
      </c>
      <c r="D3810" s="2" t="str">
        <f>TEXT(Table5[[#This Row],[bill_date]],"mmmm")</f>
        <v>May</v>
      </c>
      <c r="E3810" s="9">
        <f>YEAR(Table5[[#This Row],[bill_date]])</f>
        <v>2024</v>
      </c>
      <c r="F3810">
        <v>1849</v>
      </c>
      <c r="G3810" t="s">
        <v>30</v>
      </c>
    </row>
    <row r="3811" spans="1:7" x14ac:dyDescent="0.3">
      <c r="A3811">
        <v>33810</v>
      </c>
      <c r="B3811">
        <v>315</v>
      </c>
      <c r="C3811" s="2">
        <v>44772</v>
      </c>
      <c r="D3811" s="2" t="str">
        <f>TEXT(Table5[[#This Row],[bill_date]],"mmmm")</f>
        <v>July</v>
      </c>
      <c r="E3811" s="9">
        <f>YEAR(Table5[[#This Row],[bill_date]])</f>
        <v>2022</v>
      </c>
      <c r="F3811">
        <v>1725</v>
      </c>
      <c r="G3811" t="s">
        <v>28</v>
      </c>
    </row>
    <row r="3812" spans="1:7" x14ac:dyDescent="0.3">
      <c r="A3812">
        <v>33811</v>
      </c>
      <c r="B3812">
        <v>333</v>
      </c>
      <c r="C3812" s="2">
        <v>45286</v>
      </c>
      <c r="D3812" s="2" t="str">
        <f>TEXT(Table5[[#This Row],[bill_date]],"mmmm")</f>
        <v>December</v>
      </c>
      <c r="E3812" s="9">
        <f>YEAR(Table5[[#This Row],[bill_date]])</f>
        <v>2023</v>
      </c>
      <c r="F3812">
        <v>328</v>
      </c>
      <c r="G3812" t="s">
        <v>30</v>
      </c>
    </row>
    <row r="3813" spans="1:7" x14ac:dyDescent="0.3">
      <c r="A3813">
        <v>33812</v>
      </c>
      <c r="B3813">
        <v>126</v>
      </c>
      <c r="C3813" s="2">
        <v>44995</v>
      </c>
      <c r="D3813" s="2" t="str">
        <f>TEXT(Table5[[#This Row],[bill_date]],"mmmm")</f>
        <v>March</v>
      </c>
      <c r="E3813" s="9">
        <f>YEAR(Table5[[#This Row],[bill_date]])</f>
        <v>2023</v>
      </c>
      <c r="F3813">
        <v>1894</v>
      </c>
      <c r="G3813" t="s">
        <v>30</v>
      </c>
    </row>
    <row r="3814" spans="1:7" x14ac:dyDescent="0.3">
      <c r="A3814">
        <v>33813</v>
      </c>
      <c r="B3814">
        <v>7</v>
      </c>
      <c r="C3814" s="2">
        <v>45094</v>
      </c>
      <c r="D3814" s="2" t="str">
        <f>TEXT(Table5[[#This Row],[bill_date]],"mmmm")</f>
        <v>June</v>
      </c>
      <c r="E3814" s="9">
        <f>YEAR(Table5[[#This Row],[bill_date]])</f>
        <v>2023</v>
      </c>
      <c r="F3814">
        <v>1223</v>
      </c>
      <c r="G3814" t="s">
        <v>30</v>
      </c>
    </row>
    <row r="3815" spans="1:7" x14ac:dyDescent="0.3">
      <c r="A3815">
        <v>33814</v>
      </c>
      <c r="B3815">
        <v>50</v>
      </c>
      <c r="C3815" s="2">
        <v>45161</v>
      </c>
      <c r="D3815" s="2" t="str">
        <f>TEXT(Table5[[#This Row],[bill_date]],"mmmm")</f>
        <v>August</v>
      </c>
      <c r="E3815" s="9">
        <f>YEAR(Table5[[#This Row],[bill_date]])</f>
        <v>2023</v>
      </c>
      <c r="F3815">
        <v>984</v>
      </c>
      <c r="G3815" t="s">
        <v>28</v>
      </c>
    </row>
    <row r="3816" spans="1:7" x14ac:dyDescent="0.3">
      <c r="A3816">
        <v>33815</v>
      </c>
      <c r="B3816">
        <v>360</v>
      </c>
      <c r="C3816" s="2">
        <v>45086</v>
      </c>
      <c r="D3816" s="2" t="str">
        <f>TEXT(Table5[[#This Row],[bill_date]],"mmmm")</f>
        <v>June</v>
      </c>
      <c r="E3816" s="9">
        <f>YEAR(Table5[[#This Row],[bill_date]])</f>
        <v>2023</v>
      </c>
      <c r="F3816">
        <v>685</v>
      </c>
      <c r="G3816" t="s">
        <v>30</v>
      </c>
    </row>
    <row r="3817" spans="1:7" x14ac:dyDescent="0.3">
      <c r="A3817">
        <v>33816</v>
      </c>
      <c r="B3817">
        <v>66</v>
      </c>
      <c r="C3817" s="2">
        <v>44987</v>
      </c>
      <c r="D3817" s="2" t="str">
        <f>TEXT(Table5[[#This Row],[bill_date]],"mmmm")</f>
        <v>March</v>
      </c>
      <c r="E3817" s="9">
        <f>YEAR(Table5[[#This Row],[bill_date]])</f>
        <v>2023</v>
      </c>
      <c r="F3817">
        <v>1670</v>
      </c>
      <c r="G3817" t="s">
        <v>28</v>
      </c>
    </row>
    <row r="3818" spans="1:7" x14ac:dyDescent="0.3">
      <c r="A3818">
        <v>33817</v>
      </c>
      <c r="B3818">
        <v>387</v>
      </c>
      <c r="C3818" s="2">
        <v>44681</v>
      </c>
      <c r="D3818" s="2" t="str">
        <f>TEXT(Table5[[#This Row],[bill_date]],"mmmm")</f>
        <v>April</v>
      </c>
      <c r="E3818" s="9">
        <f>YEAR(Table5[[#This Row],[bill_date]])</f>
        <v>2022</v>
      </c>
      <c r="F3818">
        <v>1894</v>
      </c>
      <c r="G3818" t="s">
        <v>30</v>
      </c>
    </row>
    <row r="3819" spans="1:7" x14ac:dyDescent="0.3">
      <c r="A3819">
        <v>33818</v>
      </c>
      <c r="B3819">
        <v>362</v>
      </c>
      <c r="C3819" s="2">
        <v>44739</v>
      </c>
      <c r="D3819" s="2" t="str">
        <f>TEXT(Table5[[#This Row],[bill_date]],"mmmm")</f>
        <v>June</v>
      </c>
      <c r="E3819" s="9">
        <f>YEAR(Table5[[#This Row],[bill_date]])</f>
        <v>2022</v>
      </c>
      <c r="F3819">
        <v>521</v>
      </c>
      <c r="G3819" t="s">
        <v>30</v>
      </c>
    </row>
    <row r="3820" spans="1:7" x14ac:dyDescent="0.3">
      <c r="A3820">
        <v>33819</v>
      </c>
      <c r="B3820">
        <v>167</v>
      </c>
      <c r="C3820" s="2">
        <v>44690</v>
      </c>
      <c r="D3820" s="2" t="str">
        <f>TEXT(Table5[[#This Row],[bill_date]],"mmmm")</f>
        <v>May</v>
      </c>
      <c r="E3820" s="9">
        <f>YEAR(Table5[[#This Row],[bill_date]])</f>
        <v>2022</v>
      </c>
      <c r="F3820">
        <v>1982</v>
      </c>
      <c r="G3820" t="s">
        <v>30</v>
      </c>
    </row>
    <row r="3821" spans="1:7" x14ac:dyDescent="0.3">
      <c r="A3821">
        <v>33820</v>
      </c>
      <c r="B3821">
        <v>471</v>
      </c>
      <c r="C3821" s="2">
        <v>45124</v>
      </c>
      <c r="D3821" s="2" t="str">
        <f>TEXT(Table5[[#This Row],[bill_date]],"mmmm")</f>
        <v>July</v>
      </c>
      <c r="E3821" s="9">
        <f>YEAR(Table5[[#This Row],[bill_date]])</f>
        <v>2023</v>
      </c>
      <c r="F3821">
        <v>222</v>
      </c>
      <c r="G3821" t="s">
        <v>30</v>
      </c>
    </row>
    <row r="3822" spans="1:7" x14ac:dyDescent="0.3">
      <c r="A3822">
        <v>33821</v>
      </c>
      <c r="B3822">
        <v>252</v>
      </c>
      <c r="C3822" s="2">
        <v>44979</v>
      </c>
      <c r="D3822" s="2" t="str">
        <f>TEXT(Table5[[#This Row],[bill_date]],"mmmm")</f>
        <v>February</v>
      </c>
      <c r="E3822" s="9">
        <f>YEAR(Table5[[#This Row],[bill_date]])</f>
        <v>2023</v>
      </c>
      <c r="F3822">
        <v>575</v>
      </c>
      <c r="G3822" t="s">
        <v>30</v>
      </c>
    </row>
    <row r="3823" spans="1:7" x14ac:dyDescent="0.3">
      <c r="A3823">
        <v>33822</v>
      </c>
      <c r="B3823">
        <v>263</v>
      </c>
      <c r="C3823" s="2">
        <v>45115</v>
      </c>
      <c r="D3823" s="2" t="str">
        <f>TEXT(Table5[[#This Row],[bill_date]],"mmmm")</f>
        <v>July</v>
      </c>
      <c r="E3823" s="9">
        <f>YEAR(Table5[[#This Row],[bill_date]])</f>
        <v>2023</v>
      </c>
      <c r="F3823">
        <v>977</v>
      </c>
      <c r="G3823" t="s">
        <v>30</v>
      </c>
    </row>
    <row r="3824" spans="1:7" x14ac:dyDescent="0.3">
      <c r="A3824">
        <v>33823</v>
      </c>
      <c r="B3824">
        <v>196</v>
      </c>
      <c r="C3824" s="2">
        <v>44879</v>
      </c>
      <c r="D3824" s="2" t="str">
        <f>TEXT(Table5[[#This Row],[bill_date]],"mmmm")</f>
        <v>November</v>
      </c>
      <c r="E3824" s="9">
        <f>YEAR(Table5[[#This Row],[bill_date]])</f>
        <v>2022</v>
      </c>
      <c r="F3824">
        <v>1378</v>
      </c>
      <c r="G3824" t="s">
        <v>30</v>
      </c>
    </row>
    <row r="3825" spans="1:7" x14ac:dyDescent="0.3">
      <c r="A3825">
        <v>33824</v>
      </c>
      <c r="B3825">
        <v>183</v>
      </c>
      <c r="C3825" s="2">
        <v>45168</v>
      </c>
      <c r="D3825" s="2" t="str">
        <f>TEXT(Table5[[#This Row],[bill_date]],"mmmm")</f>
        <v>August</v>
      </c>
      <c r="E3825" s="9">
        <f>YEAR(Table5[[#This Row],[bill_date]])</f>
        <v>2023</v>
      </c>
      <c r="F3825">
        <v>1494</v>
      </c>
      <c r="G3825" t="s">
        <v>30</v>
      </c>
    </row>
    <row r="3826" spans="1:7" x14ac:dyDescent="0.3">
      <c r="A3826">
        <v>33825</v>
      </c>
      <c r="B3826">
        <v>264</v>
      </c>
      <c r="C3826" s="2">
        <v>44803</v>
      </c>
      <c r="D3826" s="2" t="str">
        <f>TEXT(Table5[[#This Row],[bill_date]],"mmmm")</f>
        <v>August</v>
      </c>
      <c r="E3826" s="9">
        <f>YEAR(Table5[[#This Row],[bill_date]])</f>
        <v>2022</v>
      </c>
      <c r="F3826">
        <v>291</v>
      </c>
      <c r="G3826" t="s">
        <v>29</v>
      </c>
    </row>
    <row r="3827" spans="1:7" x14ac:dyDescent="0.3">
      <c r="A3827">
        <v>33826</v>
      </c>
      <c r="B3827">
        <v>288</v>
      </c>
      <c r="C3827" s="2">
        <v>44917</v>
      </c>
      <c r="D3827" s="2" t="str">
        <f>TEXT(Table5[[#This Row],[bill_date]],"mmmm")</f>
        <v>December</v>
      </c>
      <c r="E3827" s="9">
        <f>YEAR(Table5[[#This Row],[bill_date]])</f>
        <v>2022</v>
      </c>
      <c r="F3827">
        <v>1746</v>
      </c>
      <c r="G3827" t="s">
        <v>30</v>
      </c>
    </row>
    <row r="3828" spans="1:7" x14ac:dyDescent="0.3">
      <c r="A3828">
        <v>33827</v>
      </c>
      <c r="B3828">
        <v>275</v>
      </c>
      <c r="C3828" s="2">
        <v>45134</v>
      </c>
      <c r="D3828" s="2" t="str">
        <f>TEXT(Table5[[#This Row],[bill_date]],"mmmm")</f>
        <v>July</v>
      </c>
      <c r="E3828" s="9">
        <f>YEAR(Table5[[#This Row],[bill_date]])</f>
        <v>2023</v>
      </c>
      <c r="F3828">
        <v>1972</v>
      </c>
      <c r="G3828" t="s">
        <v>30</v>
      </c>
    </row>
    <row r="3829" spans="1:7" x14ac:dyDescent="0.3">
      <c r="A3829">
        <v>33828</v>
      </c>
      <c r="B3829">
        <v>118</v>
      </c>
      <c r="C3829" s="2">
        <v>45422</v>
      </c>
      <c r="D3829" s="2" t="str">
        <f>TEXT(Table5[[#This Row],[bill_date]],"mmmm")</f>
        <v>May</v>
      </c>
      <c r="E3829" s="9">
        <f>YEAR(Table5[[#This Row],[bill_date]])</f>
        <v>2024</v>
      </c>
      <c r="F3829">
        <v>319</v>
      </c>
      <c r="G3829" t="s">
        <v>30</v>
      </c>
    </row>
    <row r="3830" spans="1:7" x14ac:dyDescent="0.3">
      <c r="A3830">
        <v>33829</v>
      </c>
      <c r="B3830">
        <v>396</v>
      </c>
      <c r="C3830" s="2">
        <v>44999</v>
      </c>
      <c r="D3830" s="2" t="str">
        <f>TEXT(Table5[[#This Row],[bill_date]],"mmmm")</f>
        <v>March</v>
      </c>
      <c r="E3830" s="9">
        <f>YEAR(Table5[[#This Row],[bill_date]])</f>
        <v>2023</v>
      </c>
      <c r="F3830">
        <v>650</v>
      </c>
      <c r="G3830" t="s">
        <v>30</v>
      </c>
    </row>
    <row r="3831" spans="1:7" x14ac:dyDescent="0.3">
      <c r="A3831">
        <v>33830</v>
      </c>
      <c r="B3831">
        <v>313</v>
      </c>
      <c r="C3831" s="2">
        <v>45019</v>
      </c>
      <c r="D3831" s="2" t="str">
        <f>TEXT(Table5[[#This Row],[bill_date]],"mmmm")</f>
        <v>April</v>
      </c>
      <c r="E3831" s="9">
        <f>YEAR(Table5[[#This Row],[bill_date]])</f>
        <v>2023</v>
      </c>
      <c r="F3831">
        <v>800</v>
      </c>
      <c r="G3831" t="s">
        <v>30</v>
      </c>
    </row>
    <row r="3832" spans="1:7" x14ac:dyDescent="0.3">
      <c r="A3832">
        <v>33831</v>
      </c>
      <c r="B3832">
        <v>394</v>
      </c>
      <c r="C3832" s="2">
        <v>45003</v>
      </c>
      <c r="D3832" s="2" t="str">
        <f>TEXT(Table5[[#This Row],[bill_date]],"mmmm")</f>
        <v>March</v>
      </c>
      <c r="E3832" s="9">
        <f>YEAR(Table5[[#This Row],[bill_date]])</f>
        <v>2023</v>
      </c>
      <c r="F3832">
        <v>1098</v>
      </c>
      <c r="G3832" t="s">
        <v>30</v>
      </c>
    </row>
    <row r="3833" spans="1:7" x14ac:dyDescent="0.3">
      <c r="A3833">
        <v>33832</v>
      </c>
      <c r="B3833">
        <v>462</v>
      </c>
      <c r="C3833" s="2">
        <v>44789</v>
      </c>
      <c r="D3833" s="2" t="str">
        <f>TEXT(Table5[[#This Row],[bill_date]],"mmmm")</f>
        <v>August</v>
      </c>
      <c r="E3833" s="9">
        <f>YEAR(Table5[[#This Row],[bill_date]])</f>
        <v>2022</v>
      </c>
      <c r="F3833">
        <v>785</v>
      </c>
      <c r="G3833" t="s">
        <v>30</v>
      </c>
    </row>
    <row r="3834" spans="1:7" x14ac:dyDescent="0.3">
      <c r="A3834">
        <v>33833</v>
      </c>
      <c r="B3834">
        <v>347</v>
      </c>
      <c r="C3834" s="2">
        <v>44969</v>
      </c>
      <c r="D3834" s="2" t="str">
        <f>TEXT(Table5[[#This Row],[bill_date]],"mmmm")</f>
        <v>February</v>
      </c>
      <c r="E3834" s="9">
        <f>YEAR(Table5[[#This Row],[bill_date]])</f>
        <v>2023</v>
      </c>
      <c r="F3834">
        <v>1544</v>
      </c>
      <c r="G3834" t="s">
        <v>30</v>
      </c>
    </row>
    <row r="3835" spans="1:7" x14ac:dyDescent="0.3">
      <c r="A3835">
        <v>33834</v>
      </c>
      <c r="B3835">
        <v>492</v>
      </c>
      <c r="C3835" s="2">
        <v>44838</v>
      </c>
      <c r="D3835" s="2" t="str">
        <f>TEXT(Table5[[#This Row],[bill_date]],"mmmm")</f>
        <v>October</v>
      </c>
      <c r="E3835" s="9">
        <f>YEAR(Table5[[#This Row],[bill_date]])</f>
        <v>2022</v>
      </c>
      <c r="F3835">
        <v>1253</v>
      </c>
      <c r="G3835" t="s">
        <v>28</v>
      </c>
    </row>
    <row r="3836" spans="1:7" x14ac:dyDescent="0.3">
      <c r="A3836">
        <v>33835</v>
      </c>
      <c r="B3836">
        <v>277</v>
      </c>
      <c r="C3836" s="2">
        <v>44579</v>
      </c>
      <c r="D3836" s="2" t="str">
        <f>TEXT(Table5[[#This Row],[bill_date]],"mmmm")</f>
        <v>January</v>
      </c>
      <c r="E3836" s="9">
        <f>YEAR(Table5[[#This Row],[bill_date]])</f>
        <v>2022</v>
      </c>
      <c r="F3836">
        <v>1150</v>
      </c>
      <c r="G3836" t="s">
        <v>30</v>
      </c>
    </row>
    <row r="3837" spans="1:7" x14ac:dyDescent="0.3">
      <c r="A3837">
        <v>33836</v>
      </c>
      <c r="B3837">
        <v>404</v>
      </c>
      <c r="C3837" s="2">
        <v>45317</v>
      </c>
      <c r="D3837" s="2" t="str">
        <f>TEXT(Table5[[#This Row],[bill_date]],"mmmm")</f>
        <v>January</v>
      </c>
      <c r="E3837" s="9">
        <f>YEAR(Table5[[#This Row],[bill_date]])</f>
        <v>2024</v>
      </c>
      <c r="F3837">
        <v>1656</v>
      </c>
      <c r="G3837" t="s">
        <v>30</v>
      </c>
    </row>
    <row r="3838" spans="1:7" x14ac:dyDescent="0.3">
      <c r="A3838">
        <v>33837</v>
      </c>
      <c r="B3838">
        <v>377</v>
      </c>
      <c r="C3838" s="2">
        <v>44872</v>
      </c>
      <c r="D3838" s="2" t="str">
        <f>TEXT(Table5[[#This Row],[bill_date]],"mmmm")</f>
        <v>November</v>
      </c>
      <c r="E3838" s="9">
        <f>YEAR(Table5[[#This Row],[bill_date]])</f>
        <v>2022</v>
      </c>
      <c r="F3838">
        <v>905</v>
      </c>
      <c r="G3838" t="s">
        <v>30</v>
      </c>
    </row>
    <row r="3839" spans="1:7" x14ac:dyDescent="0.3">
      <c r="A3839">
        <v>33838</v>
      </c>
      <c r="B3839">
        <v>132</v>
      </c>
      <c r="C3839" s="2">
        <v>44885</v>
      </c>
      <c r="D3839" s="2" t="str">
        <f>TEXT(Table5[[#This Row],[bill_date]],"mmmm")</f>
        <v>November</v>
      </c>
      <c r="E3839" s="9">
        <f>YEAR(Table5[[#This Row],[bill_date]])</f>
        <v>2022</v>
      </c>
      <c r="F3839">
        <v>799</v>
      </c>
      <c r="G3839" t="s">
        <v>30</v>
      </c>
    </row>
    <row r="3840" spans="1:7" x14ac:dyDescent="0.3">
      <c r="A3840">
        <v>33839</v>
      </c>
      <c r="B3840">
        <v>147</v>
      </c>
      <c r="C3840" s="2">
        <v>44608</v>
      </c>
      <c r="D3840" s="2" t="str">
        <f>TEXT(Table5[[#This Row],[bill_date]],"mmmm")</f>
        <v>February</v>
      </c>
      <c r="E3840" s="9">
        <f>YEAR(Table5[[#This Row],[bill_date]])</f>
        <v>2022</v>
      </c>
      <c r="F3840">
        <v>808</v>
      </c>
      <c r="G3840" t="s">
        <v>30</v>
      </c>
    </row>
    <row r="3841" spans="1:7" x14ac:dyDescent="0.3">
      <c r="A3841">
        <v>33840</v>
      </c>
      <c r="B3841">
        <v>29</v>
      </c>
      <c r="C3841" s="2">
        <v>45383</v>
      </c>
      <c r="D3841" s="2" t="str">
        <f>TEXT(Table5[[#This Row],[bill_date]],"mmmm")</f>
        <v>April</v>
      </c>
      <c r="E3841" s="9">
        <f>YEAR(Table5[[#This Row],[bill_date]])</f>
        <v>2024</v>
      </c>
      <c r="F3841">
        <v>327</v>
      </c>
      <c r="G3841" t="s">
        <v>30</v>
      </c>
    </row>
    <row r="3842" spans="1:7" x14ac:dyDescent="0.3">
      <c r="A3842">
        <v>33841</v>
      </c>
      <c r="B3842">
        <v>327</v>
      </c>
      <c r="C3842" s="2">
        <v>45091</v>
      </c>
      <c r="D3842" s="2" t="str">
        <f>TEXT(Table5[[#This Row],[bill_date]],"mmmm")</f>
        <v>June</v>
      </c>
      <c r="E3842" s="9">
        <f>YEAR(Table5[[#This Row],[bill_date]])</f>
        <v>2023</v>
      </c>
      <c r="F3842">
        <v>651</v>
      </c>
      <c r="G3842" t="s">
        <v>30</v>
      </c>
    </row>
    <row r="3843" spans="1:7" x14ac:dyDescent="0.3">
      <c r="A3843">
        <v>33842</v>
      </c>
      <c r="B3843">
        <v>320</v>
      </c>
      <c r="C3843" s="2">
        <v>45457</v>
      </c>
      <c r="D3843" s="2" t="str">
        <f>TEXT(Table5[[#This Row],[bill_date]],"mmmm")</f>
        <v>June</v>
      </c>
      <c r="E3843" s="9">
        <f>YEAR(Table5[[#This Row],[bill_date]])</f>
        <v>2024</v>
      </c>
      <c r="F3843">
        <v>1005</v>
      </c>
      <c r="G3843" t="s">
        <v>28</v>
      </c>
    </row>
    <row r="3844" spans="1:7" x14ac:dyDescent="0.3">
      <c r="A3844">
        <v>33843</v>
      </c>
      <c r="B3844">
        <v>225</v>
      </c>
      <c r="C3844" s="2">
        <v>45274</v>
      </c>
      <c r="D3844" s="2" t="str">
        <f>TEXT(Table5[[#This Row],[bill_date]],"mmmm")</f>
        <v>December</v>
      </c>
      <c r="E3844" s="9">
        <f>YEAR(Table5[[#This Row],[bill_date]])</f>
        <v>2023</v>
      </c>
      <c r="F3844">
        <v>634</v>
      </c>
      <c r="G3844" t="s">
        <v>30</v>
      </c>
    </row>
    <row r="3845" spans="1:7" x14ac:dyDescent="0.3">
      <c r="A3845">
        <v>33844</v>
      </c>
      <c r="B3845">
        <v>456</v>
      </c>
      <c r="C3845" s="2">
        <v>45061</v>
      </c>
      <c r="D3845" s="2" t="str">
        <f>TEXT(Table5[[#This Row],[bill_date]],"mmmm")</f>
        <v>May</v>
      </c>
      <c r="E3845" s="9">
        <f>YEAR(Table5[[#This Row],[bill_date]])</f>
        <v>2023</v>
      </c>
      <c r="F3845">
        <v>1829</v>
      </c>
      <c r="G3845" t="s">
        <v>30</v>
      </c>
    </row>
    <row r="3846" spans="1:7" x14ac:dyDescent="0.3">
      <c r="A3846">
        <v>33845</v>
      </c>
      <c r="B3846">
        <v>139</v>
      </c>
      <c r="C3846" s="2">
        <v>45326</v>
      </c>
      <c r="D3846" s="2" t="str">
        <f>TEXT(Table5[[#This Row],[bill_date]],"mmmm")</f>
        <v>February</v>
      </c>
      <c r="E3846" s="9">
        <f>YEAR(Table5[[#This Row],[bill_date]])</f>
        <v>2024</v>
      </c>
      <c r="F3846">
        <v>1898</v>
      </c>
      <c r="G3846" t="s">
        <v>30</v>
      </c>
    </row>
    <row r="3847" spans="1:7" x14ac:dyDescent="0.3">
      <c r="A3847">
        <v>33846</v>
      </c>
      <c r="B3847">
        <v>289</v>
      </c>
      <c r="C3847" s="2">
        <v>44753</v>
      </c>
      <c r="D3847" s="2" t="str">
        <f>TEXT(Table5[[#This Row],[bill_date]],"mmmm")</f>
        <v>July</v>
      </c>
      <c r="E3847" s="9">
        <f>YEAR(Table5[[#This Row],[bill_date]])</f>
        <v>2022</v>
      </c>
      <c r="F3847">
        <v>705</v>
      </c>
      <c r="G3847" t="s">
        <v>30</v>
      </c>
    </row>
    <row r="3848" spans="1:7" x14ac:dyDescent="0.3">
      <c r="A3848">
        <v>33847</v>
      </c>
      <c r="B3848">
        <v>281</v>
      </c>
      <c r="C3848" s="2">
        <v>44610</v>
      </c>
      <c r="D3848" s="2" t="str">
        <f>TEXT(Table5[[#This Row],[bill_date]],"mmmm")</f>
        <v>February</v>
      </c>
      <c r="E3848" s="9">
        <f>YEAR(Table5[[#This Row],[bill_date]])</f>
        <v>2022</v>
      </c>
      <c r="F3848">
        <v>1964</v>
      </c>
      <c r="G3848" t="s">
        <v>30</v>
      </c>
    </row>
    <row r="3849" spans="1:7" x14ac:dyDescent="0.3">
      <c r="A3849">
        <v>33848</v>
      </c>
      <c r="B3849">
        <v>417</v>
      </c>
      <c r="C3849" s="2">
        <v>44655</v>
      </c>
      <c r="D3849" s="2" t="str">
        <f>TEXT(Table5[[#This Row],[bill_date]],"mmmm")</f>
        <v>April</v>
      </c>
      <c r="E3849" s="9">
        <f>YEAR(Table5[[#This Row],[bill_date]])</f>
        <v>2022</v>
      </c>
      <c r="F3849">
        <v>850</v>
      </c>
      <c r="G3849" t="s">
        <v>29</v>
      </c>
    </row>
    <row r="3850" spans="1:7" x14ac:dyDescent="0.3">
      <c r="A3850">
        <v>33849</v>
      </c>
      <c r="B3850">
        <v>484</v>
      </c>
      <c r="C3850" s="2">
        <v>45310</v>
      </c>
      <c r="D3850" s="2" t="str">
        <f>TEXT(Table5[[#This Row],[bill_date]],"mmmm")</f>
        <v>January</v>
      </c>
      <c r="E3850" s="9">
        <f>YEAR(Table5[[#This Row],[bill_date]])</f>
        <v>2024</v>
      </c>
      <c r="F3850">
        <v>1539</v>
      </c>
      <c r="G3850" t="s">
        <v>30</v>
      </c>
    </row>
    <row r="3851" spans="1:7" x14ac:dyDescent="0.3">
      <c r="A3851">
        <v>33850</v>
      </c>
      <c r="B3851">
        <v>26</v>
      </c>
      <c r="C3851" s="2">
        <v>45295</v>
      </c>
      <c r="D3851" s="2" t="str">
        <f>TEXT(Table5[[#This Row],[bill_date]],"mmmm")</f>
        <v>January</v>
      </c>
      <c r="E3851" s="9">
        <f>YEAR(Table5[[#This Row],[bill_date]])</f>
        <v>2024</v>
      </c>
      <c r="F3851">
        <v>1686</v>
      </c>
      <c r="G3851" t="s">
        <v>30</v>
      </c>
    </row>
    <row r="3852" spans="1:7" x14ac:dyDescent="0.3">
      <c r="A3852">
        <v>33851</v>
      </c>
      <c r="B3852">
        <v>292</v>
      </c>
      <c r="C3852" s="2">
        <v>44728</v>
      </c>
      <c r="D3852" s="2" t="str">
        <f>TEXT(Table5[[#This Row],[bill_date]],"mmmm")</f>
        <v>June</v>
      </c>
      <c r="E3852" s="9">
        <f>YEAR(Table5[[#This Row],[bill_date]])</f>
        <v>2022</v>
      </c>
      <c r="F3852">
        <v>1550</v>
      </c>
      <c r="G3852" t="s">
        <v>28</v>
      </c>
    </row>
    <row r="3853" spans="1:7" x14ac:dyDescent="0.3">
      <c r="A3853">
        <v>33852</v>
      </c>
      <c r="B3853">
        <v>267</v>
      </c>
      <c r="C3853" s="2">
        <v>45055</v>
      </c>
      <c r="D3853" s="2" t="str">
        <f>TEXT(Table5[[#This Row],[bill_date]],"mmmm")</f>
        <v>May</v>
      </c>
      <c r="E3853" s="9">
        <f>YEAR(Table5[[#This Row],[bill_date]])</f>
        <v>2023</v>
      </c>
      <c r="F3853">
        <v>1105</v>
      </c>
      <c r="G3853" t="s">
        <v>30</v>
      </c>
    </row>
    <row r="3854" spans="1:7" x14ac:dyDescent="0.3">
      <c r="A3854">
        <v>33853</v>
      </c>
      <c r="B3854">
        <v>286</v>
      </c>
      <c r="C3854" s="2">
        <v>44815</v>
      </c>
      <c r="D3854" s="2" t="str">
        <f>TEXT(Table5[[#This Row],[bill_date]],"mmmm")</f>
        <v>September</v>
      </c>
      <c r="E3854" s="9">
        <f>YEAR(Table5[[#This Row],[bill_date]])</f>
        <v>2022</v>
      </c>
      <c r="F3854">
        <v>307</v>
      </c>
      <c r="G3854" t="s">
        <v>30</v>
      </c>
    </row>
    <row r="3855" spans="1:7" x14ac:dyDescent="0.3">
      <c r="A3855">
        <v>33854</v>
      </c>
      <c r="B3855">
        <v>313</v>
      </c>
      <c r="C3855" s="2">
        <v>44618</v>
      </c>
      <c r="D3855" s="2" t="str">
        <f>TEXT(Table5[[#This Row],[bill_date]],"mmmm")</f>
        <v>February</v>
      </c>
      <c r="E3855" s="9">
        <f>YEAR(Table5[[#This Row],[bill_date]])</f>
        <v>2022</v>
      </c>
      <c r="F3855">
        <v>724</v>
      </c>
      <c r="G3855" t="s">
        <v>30</v>
      </c>
    </row>
    <row r="3856" spans="1:7" x14ac:dyDescent="0.3">
      <c r="A3856">
        <v>33855</v>
      </c>
      <c r="B3856">
        <v>97</v>
      </c>
      <c r="C3856" s="2">
        <v>44567</v>
      </c>
      <c r="D3856" s="2" t="str">
        <f>TEXT(Table5[[#This Row],[bill_date]],"mmmm")</f>
        <v>January</v>
      </c>
      <c r="E3856" s="9">
        <f>YEAR(Table5[[#This Row],[bill_date]])</f>
        <v>2022</v>
      </c>
      <c r="F3856">
        <v>1697</v>
      </c>
      <c r="G3856" t="s">
        <v>28</v>
      </c>
    </row>
    <row r="3857" spans="1:7" x14ac:dyDescent="0.3">
      <c r="A3857">
        <v>33856</v>
      </c>
      <c r="B3857">
        <v>138</v>
      </c>
      <c r="C3857" s="2">
        <v>44799</v>
      </c>
      <c r="D3857" s="2" t="str">
        <f>TEXT(Table5[[#This Row],[bill_date]],"mmmm")</f>
        <v>August</v>
      </c>
      <c r="E3857" s="9">
        <f>YEAR(Table5[[#This Row],[bill_date]])</f>
        <v>2022</v>
      </c>
      <c r="F3857">
        <v>1148</v>
      </c>
      <c r="G3857" t="s">
        <v>30</v>
      </c>
    </row>
    <row r="3858" spans="1:7" x14ac:dyDescent="0.3">
      <c r="A3858">
        <v>33857</v>
      </c>
      <c r="B3858">
        <v>477</v>
      </c>
      <c r="C3858" s="2">
        <v>45294</v>
      </c>
      <c r="D3858" s="2" t="str">
        <f>TEXT(Table5[[#This Row],[bill_date]],"mmmm")</f>
        <v>January</v>
      </c>
      <c r="E3858" s="9">
        <f>YEAR(Table5[[#This Row],[bill_date]])</f>
        <v>2024</v>
      </c>
      <c r="F3858">
        <v>590</v>
      </c>
      <c r="G3858" t="s">
        <v>29</v>
      </c>
    </row>
    <row r="3859" spans="1:7" x14ac:dyDescent="0.3">
      <c r="A3859">
        <v>33858</v>
      </c>
      <c r="B3859">
        <v>281</v>
      </c>
      <c r="C3859" s="2">
        <v>44785</v>
      </c>
      <c r="D3859" s="2" t="str">
        <f>TEXT(Table5[[#This Row],[bill_date]],"mmmm")</f>
        <v>August</v>
      </c>
      <c r="E3859" s="9">
        <f>YEAR(Table5[[#This Row],[bill_date]])</f>
        <v>2022</v>
      </c>
      <c r="F3859">
        <v>871</v>
      </c>
      <c r="G3859" t="s">
        <v>30</v>
      </c>
    </row>
    <row r="3860" spans="1:7" x14ac:dyDescent="0.3">
      <c r="A3860">
        <v>33859</v>
      </c>
      <c r="B3860">
        <v>96</v>
      </c>
      <c r="C3860" s="2">
        <v>45151</v>
      </c>
      <c r="D3860" s="2" t="str">
        <f>TEXT(Table5[[#This Row],[bill_date]],"mmmm")</f>
        <v>August</v>
      </c>
      <c r="E3860" s="9">
        <f>YEAR(Table5[[#This Row],[bill_date]])</f>
        <v>2023</v>
      </c>
      <c r="F3860">
        <v>1866</v>
      </c>
      <c r="G3860" t="s">
        <v>30</v>
      </c>
    </row>
    <row r="3861" spans="1:7" x14ac:dyDescent="0.3">
      <c r="A3861">
        <v>33860</v>
      </c>
      <c r="B3861">
        <v>452</v>
      </c>
      <c r="C3861" s="2">
        <v>44581</v>
      </c>
      <c r="D3861" s="2" t="str">
        <f>TEXT(Table5[[#This Row],[bill_date]],"mmmm")</f>
        <v>January</v>
      </c>
      <c r="E3861" s="9">
        <f>YEAR(Table5[[#This Row],[bill_date]])</f>
        <v>2022</v>
      </c>
      <c r="F3861">
        <v>1335</v>
      </c>
      <c r="G3861" t="s">
        <v>30</v>
      </c>
    </row>
    <row r="3862" spans="1:7" x14ac:dyDescent="0.3">
      <c r="A3862">
        <v>33861</v>
      </c>
      <c r="B3862">
        <v>57</v>
      </c>
      <c r="C3862" s="2">
        <v>45379</v>
      </c>
      <c r="D3862" s="2" t="str">
        <f>TEXT(Table5[[#This Row],[bill_date]],"mmmm")</f>
        <v>March</v>
      </c>
      <c r="E3862" s="9">
        <f>YEAR(Table5[[#This Row],[bill_date]])</f>
        <v>2024</v>
      </c>
      <c r="F3862">
        <v>1508</v>
      </c>
      <c r="G3862" t="s">
        <v>28</v>
      </c>
    </row>
    <row r="3863" spans="1:7" x14ac:dyDescent="0.3">
      <c r="A3863">
        <v>33862</v>
      </c>
      <c r="B3863">
        <v>123</v>
      </c>
      <c r="C3863" s="2">
        <v>45338</v>
      </c>
      <c r="D3863" s="2" t="str">
        <f>TEXT(Table5[[#This Row],[bill_date]],"mmmm")</f>
        <v>February</v>
      </c>
      <c r="E3863" s="9">
        <f>YEAR(Table5[[#This Row],[bill_date]])</f>
        <v>2024</v>
      </c>
      <c r="F3863">
        <v>1050</v>
      </c>
      <c r="G3863" t="s">
        <v>30</v>
      </c>
    </row>
    <row r="3864" spans="1:7" x14ac:dyDescent="0.3">
      <c r="A3864">
        <v>33863</v>
      </c>
      <c r="B3864">
        <v>231</v>
      </c>
      <c r="C3864" s="2">
        <v>44765</v>
      </c>
      <c r="D3864" s="2" t="str">
        <f>TEXT(Table5[[#This Row],[bill_date]],"mmmm")</f>
        <v>July</v>
      </c>
      <c r="E3864" s="9">
        <f>YEAR(Table5[[#This Row],[bill_date]])</f>
        <v>2022</v>
      </c>
      <c r="F3864">
        <v>804</v>
      </c>
      <c r="G3864" t="s">
        <v>30</v>
      </c>
    </row>
    <row r="3865" spans="1:7" x14ac:dyDescent="0.3">
      <c r="A3865">
        <v>33864</v>
      </c>
      <c r="B3865">
        <v>290</v>
      </c>
      <c r="C3865" s="2">
        <v>44703</v>
      </c>
      <c r="D3865" s="2" t="str">
        <f>TEXT(Table5[[#This Row],[bill_date]],"mmmm")</f>
        <v>May</v>
      </c>
      <c r="E3865" s="9">
        <f>YEAR(Table5[[#This Row],[bill_date]])</f>
        <v>2022</v>
      </c>
      <c r="F3865">
        <v>545</v>
      </c>
      <c r="G3865" t="s">
        <v>28</v>
      </c>
    </row>
    <row r="3866" spans="1:7" x14ac:dyDescent="0.3">
      <c r="A3866">
        <v>33865</v>
      </c>
      <c r="B3866">
        <v>86</v>
      </c>
      <c r="C3866" s="2">
        <v>44937</v>
      </c>
      <c r="D3866" s="2" t="str">
        <f>TEXT(Table5[[#This Row],[bill_date]],"mmmm")</f>
        <v>January</v>
      </c>
      <c r="E3866" s="9">
        <f>YEAR(Table5[[#This Row],[bill_date]])</f>
        <v>2023</v>
      </c>
      <c r="F3866">
        <v>1823</v>
      </c>
      <c r="G3866" t="s">
        <v>30</v>
      </c>
    </row>
    <row r="3867" spans="1:7" x14ac:dyDescent="0.3">
      <c r="A3867">
        <v>33866</v>
      </c>
      <c r="B3867">
        <v>461</v>
      </c>
      <c r="C3867" s="2">
        <v>44968</v>
      </c>
      <c r="D3867" s="2" t="str">
        <f>TEXT(Table5[[#This Row],[bill_date]],"mmmm")</f>
        <v>February</v>
      </c>
      <c r="E3867" s="9">
        <f>YEAR(Table5[[#This Row],[bill_date]])</f>
        <v>2023</v>
      </c>
      <c r="F3867">
        <v>1020</v>
      </c>
      <c r="G3867" t="s">
        <v>30</v>
      </c>
    </row>
    <row r="3868" spans="1:7" x14ac:dyDescent="0.3">
      <c r="A3868">
        <v>33867</v>
      </c>
      <c r="B3868">
        <v>310</v>
      </c>
      <c r="C3868" s="2">
        <v>45377</v>
      </c>
      <c r="D3868" s="2" t="str">
        <f>TEXT(Table5[[#This Row],[bill_date]],"mmmm")</f>
        <v>March</v>
      </c>
      <c r="E3868" s="9">
        <f>YEAR(Table5[[#This Row],[bill_date]])</f>
        <v>2024</v>
      </c>
      <c r="F3868">
        <v>1868</v>
      </c>
      <c r="G3868" t="s">
        <v>30</v>
      </c>
    </row>
    <row r="3869" spans="1:7" x14ac:dyDescent="0.3">
      <c r="A3869">
        <v>33868</v>
      </c>
      <c r="B3869">
        <v>51</v>
      </c>
      <c r="C3869" s="2">
        <v>44641</v>
      </c>
      <c r="D3869" s="2" t="str">
        <f>TEXT(Table5[[#This Row],[bill_date]],"mmmm")</f>
        <v>March</v>
      </c>
      <c r="E3869" s="9">
        <f>YEAR(Table5[[#This Row],[bill_date]])</f>
        <v>2022</v>
      </c>
      <c r="F3869">
        <v>1483</v>
      </c>
      <c r="G3869" t="s">
        <v>30</v>
      </c>
    </row>
    <row r="3870" spans="1:7" x14ac:dyDescent="0.3">
      <c r="A3870">
        <v>33869</v>
      </c>
      <c r="B3870">
        <v>228</v>
      </c>
      <c r="C3870" s="2">
        <v>44771</v>
      </c>
      <c r="D3870" s="2" t="str">
        <f>TEXT(Table5[[#This Row],[bill_date]],"mmmm")</f>
        <v>July</v>
      </c>
      <c r="E3870" s="9">
        <f>YEAR(Table5[[#This Row],[bill_date]])</f>
        <v>2022</v>
      </c>
      <c r="F3870">
        <v>916</v>
      </c>
      <c r="G3870" t="s">
        <v>30</v>
      </c>
    </row>
    <row r="3871" spans="1:7" x14ac:dyDescent="0.3">
      <c r="A3871">
        <v>33870</v>
      </c>
      <c r="B3871">
        <v>6</v>
      </c>
      <c r="C3871" s="2">
        <v>45329</v>
      </c>
      <c r="D3871" s="2" t="str">
        <f>TEXT(Table5[[#This Row],[bill_date]],"mmmm")</f>
        <v>February</v>
      </c>
      <c r="E3871" s="9">
        <f>YEAR(Table5[[#This Row],[bill_date]])</f>
        <v>2024</v>
      </c>
      <c r="F3871">
        <v>505</v>
      </c>
      <c r="G3871" t="s">
        <v>30</v>
      </c>
    </row>
    <row r="3872" spans="1:7" x14ac:dyDescent="0.3">
      <c r="A3872">
        <v>33871</v>
      </c>
      <c r="B3872">
        <v>443</v>
      </c>
      <c r="C3872" s="2">
        <v>44873</v>
      </c>
      <c r="D3872" s="2" t="str">
        <f>TEXT(Table5[[#This Row],[bill_date]],"mmmm")</f>
        <v>November</v>
      </c>
      <c r="E3872" s="9">
        <f>YEAR(Table5[[#This Row],[bill_date]])</f>
        <v>2022</v>
      </c>
      <c r="F3872">
        <v>1108</v>
      </c>
      <c r="G3872" t="s">
        <v>30</v>
      </c>
    </row>
    <row r="3873" spans="1:7" x14ac:dyDescent="0.3">
      <c r="A3873">
        <v>33872</v>
      </c>
      <c r="B3873">
        <v>310</v>
      </c>
      <c r="C3873" s="2">
        <v>44938</v>
      </c>
      <c r="D3873" s="2" t="str">
        <f>TEXT(Table5[[#This Row],[bill_date]],"mmmm")</f>
        <v>January</v>
      </c>
      <c r="E3873" s="9">
        <f>YEAR(Table5[[#This Row],[bill_date]])</f>
        <v>2023</v>
      </c>
      <c r="F3873">
        <v>1256</v>
      </c>
      <c r="G3873" t="s">
        <v>30</v>
      </c>
    </row>
    <row r="3874" spans="1:7" x14ac:dyDescent="0.3">
      <c r="A3874">
        <v>33873</v>
      </c>
      <c r="B3874">
        <v>273</v>
      </c>
      <c r="C3874" s="2">
        <v>44601</v>
      </c>
      <c r="D3874" s="2" t="str">
        <f>TEXT(Table5[[#This Row],[bill_date]],"mmmm")</f>
        <v>February</v>
      </c>
      <c r="E3874" s="9">
        <f>YEAR(Table5[[#This Row],[bill_date]])</f>
        <v>2022</v>
      </c>
      <c r="F3874">
        <v>367</v>
      </c>
      <c r="G3874" t="s">
        <v>30</v>
      </c>
    </row>
    <row r="3875" spans="1:7" x14ac:dyDescent="0.3">
      <c r="A3875">
        <v>33874</v>
      </c>
      <c r="B3875">
        <v>410</v>
      </c>
      <c r="C3875" s="2">
        <v>44914</v>
      </c>
      <c r="D3875" s="2" t="str">
        <f>TEXT(Table5[[#This Row],[bill_date]],"mmmm")</f>
        <v>December</v>
      </c>
      <c r="E3875" s="9">
        <f>YEAR(Table5[[#This Row],[bill_date]])</f>
        <v>2022</v>
      </c>
      <c r="F3875">
        <v>1567</v>
      </c>
      <c r="G3875" t="s">
        <v>28</v>
      </c>
    </row>
    <row r="3876" spans="1:7" x14ac:dyDescent="0.3">
      <c r="A3876">
        <v>33875</v>
      </c>
      <c r="B3876">
        <v>344</v>
      </c>
      <c r="C3876" s="2">
        <v>45014</v>
      </c>
      <c r="D3876" s="2" t="str">
        <f>TEXT(Table5[[#This Row],[bill_date]],"mmmm")</f>
        <v>March</v>
      </c>
      <c r="E3876" s="9">
        <f>YEAR(Table5[[#This Row],[bill_date]])</f>
        <v>2023</v>
      </c>
      <c r="F3876">
        <v>1368</v>
      </c>
      <c r="G3876" t="s">
        <v>28</v>
      </c>
    </row>
    <row r="3877" spans="1:7" x14ac:dyDescent="0.3">
      <c r="A3877">
        <v>33876</v>
      </c>
      <c r="B3877">
        <v>393</v>
      </c>
      <c r="C3877" s="2">
        <v>44984</v>
      </c>
      <c r="D3877" s="2" t="str">
        <f>TEXT(Table5[[#This Row],[bill_date]],"mmmm")</f>
        <v>February</v>
      </c>
      <c r="E3877" s="9">
        <f>YEAR(Table5[[#This Row],[bill_date]])</f>
        <v>2023</v>
      </c>
      <c r="F3877">
        <v>730</v>
      </c>
      <c r="G3877" t="s">
        <v>30</v>
      </c>
    </row>
    <row r="3878" spans="1:7" x14ac:dyDescent="0.3">
      <c r="A3878">
        <v>33877</v>
      </c>
      <c r="B3878">
        <v>2</v>
      </c>
      <c r="C3878" s="2">
        <v>45275</v>
      </c>
      <c r="D3878" s="2" t="str">
        <f>TEXT(Table5[[#This Row],[bill_date]],"mmmm")</f>
        <v>December</v>
      </c>
      <c r="E3878" s="9">
        <f>YEAR(Table5[[#This Row],[bill_date]])</f>
        <v>2023</v>
      </c>
      <c r="F3878">
        <v>1841</v>
      </c>
      <c r="G3878" t="s">
        <v>28</v>
      </c>
    </row>
    <row r="3879" spans="1:7" x14ac:dyDescent="0.3">
      <c r="A3879">
        <v>33878</v>
      </c>
      <c r="B3879">
        <v>276</v>
      </c>
      <c r="C3879" s="2">
        <v>44647</v>
      </c>
      <c r="D3879" s="2" t="str">
        <f>TEXT(Table5[[#This Row],[bill_date]],"mmmm")</f>
        <v>March</v>
      </c>
      <c r="E3879" s="9">
        <f>YEAR(Table5[[#This Row],[bill_date]])</f>
        <v>2022</v>
      </c>
      <c r="F3879">
        <v>1870</v>
      </c>
      <c r="G3879" t="s">
        <v>28</v>
      </c>
    </row>
    <row r="3880" spans="1:7" x14ac:dyDescent="0.3">
      <c r="A3880">
        <v>33879</v>
      </c>
      <c r="B3880">
        <v>91</v>
      </c>
      <c r="C3880" s="2">
        <v>45116</v>
      </c>
      <c r="D3880" s="2" t="str">
        <f>TEXT(Table5[[#This Row],[bill_date]],"mmmm")</f>
        <v>July</v>
      </c>
      <c r="E3880" s="9">
        <f>YEAR(Table5[[#This Row],[bill_date]])</f>
        <v>2023</v>
      </c>
      <c r="F3880">
        <v>736</v>
      </c>
      <c r="G3880" t="s">
        <v>30</v>
      </c>
    </row>
    <row r="3881" spans="1:7" x14ac:dyDescent="0.3">
      <c r="A3881">
        <v>33880</v>
      </c>
      <c r="B3881">
        <v>262</v>
      </c>
      <c r="C3881" s="2">
        <v>44797</v>
      </c>
      <c r="D3881" s="2" t="str">
        <f>TEXT(Table5[[#This Row],[bill_date]],"mmmm")</f>
        <v>August</v>
      </c>
      <c r="E3881" s="9">
        <f>YEAR(Table5[[#This Row],[bill_date]])</f>
        <v>2022</v>
      </c>
      <c r="F3881">
        <v>1468</v>
      </c>
      <c r="G3881" t="s">
        <v>29</v>
      </c>
    </row>
    <row r="3882" spans="1:7" x14ac:dyDescent="0.3">
      <c r="A3882">
        <v>33881</v>
      </c>
      <c r="B3882">
        <v>242</v>
      </c>
      <c r="C3882" s="2">
        <v>45451</v>
      </c>
      <c r="D3882" s="2" t="str">
        <f>TEXT(Table5[[#This Row],[bill_date]],"mmmm")</f>
        <v>June</v>
      </c>
      <c r="E3882" s="9">
        <f>YEAR(Table5[[#This Row],[bill_date]])</f>
        <v>2024</v>
      </c>
      <c r="F3882">
        <v>1563</v>
      </c>
      <c r="G3882" t="s">
        <v>29</v>
      </c>
    </row>
    <row r="3883" spans="1:7" x14ac:dyDescent="0.3">
      <c r="A3883">
        <v>33882</v>
      </c>
      <c r="B3883">
        <v>475</v>
      </c>
      <c r="C3883" s="2">
        <v>44976</v>
      </c>
      <c r="D3883" s="2" t="str">
        <f>TEXT(Table5[[#This Row],[bill_date]],"mmmm")</f>
        <v>February</v>
      </c>
      <c r="E3883" s="9">
        <f>YEAR(Table5[[#This Row],[bill_date]])</f>
        <v>2023</v>
      </c>
      <c r="F3883">
        <v>1889</v>
      </c>
      <c r="G3883" t="s">
        <v>30</v>
      </c>
    </row>
    <row r="3884" spans="1:7" x14ac:dyDescent="0.3">
      <c r="A3884">
        <v>33883</v>
      </c>
      <c r="B3884">
        <v>375</v>
      </c>
      <c r="C3884" s="2">
        <v>45143</v>
      </c>
      <c r="D3884" s="2" t="str">
        <f>TEXT(Table5[[#This Row],[bill_date]],"mmmm")</f>
        <v>August</v>
      </c>
      <c r="E3884" s="9">
        <f>YEAR(Table5[[#This Row],[bill_date]])</f>
        <v>2023</v>
      </c>
      <c r="F3884">
        <v>1126</v>
      </c>
      <c r="G3884" t="s">
        <v>30</v>
      </c>
    </row>
    <row r="3885" spans="1:7" x14ac:dyDescent="0.3">
      <c r="A3885">
        <v>33884</v>
      </c>
      <c r="B3885">
        <v>246</v>
      </c>
      <c r="C3885" s="2">
        <v>44917</v>
      </c>
      <c r="D3885" s="2" t="str">
        <f>TEXT(Table5[[#This Row],[bill_date]],"mmmm")</f>
        <v>December</v>
      </c>
      <c r="E3885" s="9">
        <f>YEAR(Table5[[#This Row],[bill_date]])</f>
        <v>2022</v>
      </c>
      <c r="F3885">
        <v>1776</v>
      </c>
      <c r="G3885" t="s">
        <v>30</v>
      </c>
    </row>
    <row r="3886" spans="1:7" x14ac:dyDescent="0.3">
      <c r="A3886">
        <v>33885</v>
      </c>
      <c r="B3886">
        <v>472</v>
      </c>
      <c r="C3886" s="2">
        <v>45204</v>
      </c>
      <c r="D3886" s="2" t="str">
        <f>TEXT(Table5[[#This Row],[bill_date]],"mmmm")</f>
        <v>October</v>
      </c>
      <c r="E3886" s="9">
        <f>YEAR(Table5[[#This Row],[bill_date]])</f>
        <v>2023</v>
      </c>
      <c r="F3886">
        <v>888</v>
      </c>
      <c r="G3886" t="s">
        <v>30</v>
      </c>
    </row>
    <row r="3887" spans="1:7" x14ac:dyDescent="0.3">
      <c r="A3887">
        <v>33886</v>
      </c>
      <c r="B3887">
        <v>79</v>
      </c>
      <c r="C3887" s="2">
        <v>45205</v>
      </c>
      <c r="D3887" s="2" t="str">
        <f>TEXT(Table5[[#This Row],[bill_date]],"mmmm")</f>
        <v>October</v>
      </c>
      <c r="E3887" s="9">
        <f>YEAR(Table5[[#This Row],[bill_date]])</f>
        <v>2023</v>
      </c>
      <c r="F3887">
        <v>1303</v>
      </c>
      <c r="G3887" t="s">
        <v>30</v>
      </c>
    </row>
    <row r="3888" spans="1:7" x14ac:dyDescent="0.3">
      <c r="A3888">
        <v>33887</v>
      </c>
      <c r="B3888">
        <v>311</v>
      </c>
      <c r="C3888" s="2">
        <v>44809</v>
      </c>
      <c r="D3888" s="2" t="str">
        <f>TEXT(Table5[[#This Row],[bill_date]],"mmmm")</f>
        <v>September</v>
      </c>
      <c r="E3888" s="9">
        <f>YEAR(Table5[[#This Row],[bill_date]])</f>
        <v>2022</v>
      </c>
      <c r="F3888">
        <v>887</v>
      </c>
      <c r="G3888" t="s">
        <v>28</v>
      </c>
    </row>
    <row r="3889" spans="1:7" x14ac:dyDescent="0.3">
      <c r="A3889">
        <v>33888</v>
      </c>
      <c r="B3889">
        <v>304</v>
      </c>
      <c r="C3889" s="2">
        <v>45228</v>
      </c>
      <c r="D3889" s="2" t="str">
        <f>TEXT(Table5[[#This Row],[bill_date]],"mmmm")</f>
        <v>October</v>
      </c>
      <c r="E3889" s="9">
        <f>YEAR(Table5[[#This Row],[bill_date]])</f>
        <v>2023</v>
      </c>
      <c r="F3889">
        <v>903</v>
      </c>
      <c r="G3889" t="s">
        <v>30</v>
      </c>
    </row>
    <row r="3890" spans="1:7" x14ac:dyDescent="0.3">
      <c r="A3890">
        <v>33889</v>
      </c>
      <c r="B3890">
        <v>58</v>
      </c>
      <c r="C3890" s="2">
        <v>45303</v>
      </c>
      <c r="D3890" s="2" t="str">
        <f>TEXT(Table5[[#This Row],[bill_date]],"mmmm")</f>
        <v>January</v>
      </c>
      <c r="E3890" s="9">
        <f>YEAR(Table5[[#This Row],[bill_date]])</f>
        <v>2024</v>
      </c>
      <c r="F3890">
        <v>389</v>
      </c>
      <c r="G3890" t="s">
        <v>30</v>
      </c>
    </row>
    <row r="3891" spans="1:7" x14ac:dyDescent="0.3">
      <c r="A3891">
        <v>33890</v>
      </c>
      <c r="B3891">
        <v>225</v>
      </c>
      <c r="C3891" s="2">
        <v>45162</v>
      </c>
      <c r="D3891" s="2" t="str">
        <f>TEXT(Table5[[#This Row],[bill_date]],"mmmm")</f>
        <v>August</v>
      </c>
      <c r="E3891" s="9">
        <f>YEAR(Table5[[#This Row],[bill_date]])</f>
        <v>2023</v>
      </c>
      <c r="F3891">
        <v>481</v>
      </c>
      <c r="G3891" t="s">
        <v>30</v>
      </c>
    </row>
    <row r="3892" spans="1:7" x14ac:dyDescent="0.3">
      <c r="A3892">
        <v>33891</v>
      </c>
      <c r="B3892">
        <v>426</v>
      </c>
      <c r="C3892" s="2">
        <v>44790</v>
      </c>
      <c r="D3892" s="2" t="str">
        <f>TEXT(Table5[[#This Row],[bill_date]],"mmmm")</f>
        <v>August</v>
      </c>
      <c r="E3892" s="9">
        <f>YEAR(Table5[[#This Row],[bill_date]])</f>
        <v>2022</v>
      </c>
      <c r="F3892">
        <v>1980</v>
      </c>
      <c r="G3892" t="s">
        <v>30</v>
      </c>
    </row>
    <row r="3893" spans="1:7" x14ac:dyDescent="0.3">
      <c r="A3893">
        <v>33892</v>
      </c>
      <c r="B3893">
        <v>202</v>
      </c>
      <c r="C3893" s="2">
        <v>45100</v>
      </c>
      <c r="D3893" s="2" t="str">
        <f>TEXT(Table5[[#This Row],[bill_date]],"mmmm")</f>
        <v>June</v>
      </c>
      <c r="E3893" s="9">
        <f>YEAR(Table5[[#This Row],[bill_date]])</f>
        <v>2023</v>
      </c>
      <c r="F3893">
        <v>1834</v>
      </c>
      <c r="G3893" t="s">
        <v>30</v>
      </c>
    </row>
    <row r="3894" spans="1:7" x14ac:dyDescent="0.3">
      <c r="A3894">
        <v>33893</v>
      </c>
      <c r="B3894">
        <v>405</v>
      </c>
      <c r="C3894" s="2">
        <v>44922</v>
      </c>
      <c r="D3894" s="2" t="str">
        <f>TEXT(Table5[[#This Row],[bill_date]],"mmmm")</f>
        <v>December</v>
      </c>
      <c r="E3894" s="9">
        <f>YEAR(Table5[[#This Row],[bill_date]])</f>
        <v>2022</v>
      </c>
      <c r="F3894">
        <v>1169</v>
      </c>
      <c r="G3894" t="s">
        <v>28</v>
      </c>
    </row>
    <row r="3895" spans="1:7" x14ac:dyDescent="0.3">
      <c r="A3895">
        <v>33894</v>
      </c>
      <c r="B3895">
        <v>6</v>
      </c>
      <c r="C3895" s="2">
        <v>45429</v>
      </c>
      <c r="D3895" s="2" t="str">
        <f>TEXT(Table5[[#This Row],[bill_date]],"mmmm")</f>
        <v>May</v>
      </c>
      <c r="E3895" s="9">
        <f>YEAR(Table5[[#This Row],[bill_date]])</f>
        <v>2024</v>
      </c>
      <c r="F3895">
        <v>687</v>
      </c>
      <c r="G3895" t="s">
        <v>30</v>
      </c>
    </row>
    <row r="3896" spans="1:7" x14ac:dyDescent="0.3">
      <c r="A3896">
        <v>33895</v>
      </c>
      <c r="B3896">
        <v>30</v>
      </c>
      <c r="C3896" s="2">
        <v>45311</v>
      </c>
      <c r="D3896" s="2" t="str">
        <f>TEXT(Table5[[#This Row],[bill_date]],"mmmm")</f>
        <v>January</v>
      </c>
      <c r="E3896" s="9">
        <f>YEAR(Table5[[#This Row],[bill_date]])</f>
        <v>2024</v>
      </c>
      <c r="F3896">
        <v>1257</v>
      </c>
      <c r="G3896" t="s">
        <v>28</v>
      </c>
    </row>
    <row r="3897" spans="1:7" x14ac:dyDescent="0.3">
      <c r="A3897">
        <v>33896</v>
      </c>
      <c r="B3897">
        <v>151</v>
      </c>
      <c r="C3897" s="2">
        <v>44736</v>
      </c>
      <c r="D3897" s="2" t="str">
        <f>TEXT(Table5[[#This Row],[bill_date]],"mmmm")</f>
        <v>June</v>
      </c>
      <c r="E3897" s="9">
        <f>YEAR(Table5[[#This Row],[bill_date]])</f>
        <v>2022</v>
      </c>
      <c r="F3897">
        <v>1516</v>
      </c>
      <c r="G3897" t="s">
        <v>28</v>
      </c>
    </row>
    <row r="3898" spans="1:7" x14ac:dyDescent="0.3">
      <c r="A3898">
        <v>33897</v>
      </c>
      <c r="B3898">
        <v>36</v>
      </c>
      <c r="C3898" s="2">
        <v>45389</v>
      </c>
      <c r="D3898" s="2" t="str">
        <f>TEXT(Table5[[#This Row],[bill_date]],"mmmm")</f>
        <v>April</v>
      </c>
      <c r="E3898" s="9">
        <f>YEAR(Table5[[#This Row],[bill_date]])</f>
        <v>2024</v>
      </c>
      <c r="F3898">
        <v>1004</v>
      </c>
      <c r="G3898" t="s">
        <v>30</v>
      </c>
    </row>
    <row r="3899" spans="1:7" x14ac:dyDescent="0.3">
      <c r="A3899">
        <v>33898</v>
      </c>
      <c r="B3899">
        <v>110</v>
      </c>
      <c r="C3899" s="2">
        <v>45365</v>
      </c>
      <c r="D3899" s="2" t="str">
        <f>TEXT(Table5[[#This Row],[bill_date]],"mmmm")</f>
        <v>March</v>
      </c>
      <c r="E3899" s="9">
        <f>YEAR(Table5[[#This Row],[bill_date]])</f>
        <v>2024</v>
      </c>
      <c r="F3899">
        <v>240</v>
      </c>
      <c r="G3899" t="s">
        <v>30</v>
      </c>
    </row>
    <row r="3900" spans="1:7" x14ac:dyDescent="0.3">
      <c r="A3900">
        <v>33899</v>
      </c>
      <c r="B3900">
        <v>121</v>
      </c>
      <c r="C3900" s="2">
        <v>44935</v>
      </c>
      <c r="D3900" s="2" t="str">
        <f>TEXT(Table5[[#This Row],[bill_date]],"mmmm")</f>
        <v>January</v>
      </c>
      <c r="E3900" s="9">
        <f>YEAR(Table5[[#This Row],[bill_date]])</f>
        <v>2023</v>
      </c>
      <c r="F3900">
        <v>368</v>
      </c>
      <c r="G3900" t="s">
        <v>30</v>
      </c>
    </row>
    <row r="3901" spans="1:7" x14ac:dyDescent="0.3">
      <c r="A3901">
        <v>33900</v>
      </c>
      <c r="B3901">
        <v>241</v>
      </c>
      <c r="C3901" s="2">
        <v>44622</v>
      </c>
      <c r="D3901" s="2" t="str">
        <f>TEXT(Table5[[#This Row],[bill_date]],"mmmm")</f>
        <v>March</v>
      </c>
      <c r="E3901" s="9">
        <f>YEAR(Table5[[#This Row],[bill_date]])</f>
        <v>2022</v>
      </c>
      <c r="F3901">
        <v>1205</v>
      </c>
      <c r="G3901" t="s">
        <v>30</v>
      </c>
    </row>
    <row r="3902" spans="1:7" x14ac:dyDescent="0.3">
      <c r="A3902">
        <v>33901</v>
      </c>
      <c r="B3902">
        <v>259</v>
      </c>
      <c r="C3902" s="2">
        <v>44731</v>
      </c>
      <c r="D3902" s="2" t="str">
        <f>TEXT(Table5[[#This Row],[bill_date]],"mmmm")</f>
        <v>June</v>
      </c>
      <c r="E3902" s="9">
        <f>YEAR(Table5[[#This Row],[bill_date]])</f>
        <v>2022</v>
      </c>
      <c r="F3902">
        <v>1791</v>
      </c>
      <c r="G3902" t="s">
        <v>30</v>
      </c>
    </row>
    <row r="3903" spans="1:7" x14ac:dyDescent="0.3">
      <c r="A3903">
        <v>33902</v>
      </c>
      <c r="B3903">
        <v>90</v>
      </c>
      <c r="C3903" s="2">
        <v>45068</v>
      </c>
      <c r="D3903" s="2" t="str">
        <f>TEXT(Table5[[#This Row],[bill_date]],"mmmm")</f>
        <v>May</v>
      </c>
      <c r="E3903" s="9">
        <f>YEAR(Table5[[#This Row],[bill_date]])</f>
        <v>2023</v>
      </c>
      <c r="F3903">
        <v>1066</v>
      </c>
      <c r="G3903" t="s">
        <v>30</v>
      </c>
    </row>
    <row r="3904" spans="1:7" x14ac:dyDescent="0.3">
      <c r="A3904">
        <v>33903</v>
      </c>
      <c r="B3904">
        <v>418</v>
      </c>
      <c r="C3904" s="2">
        <v>45336</v>
      </c>
      <c r="D3904" s="2" t="str">
        <f>TEXT(Table5[[#This Row],[bill_date]],"mmmm")</f>
        <v>February</v>
      </c>
      <c r="E3904" s="9">
        <f>YEAR(Table5[[#This Row],[bill_date]])</f>
        <v>2024</v>
      </c>
      <c r="F3904">
        <v>764</v>
      </c>
      <c r="G3904" t="s">
        <v>30</v>
      </c>
    </row>
    <row r="3905" spans="1:7" x14ac:dyDescent="0.3">
      <c r="A3905">
        <v>33904</v>
      </c>
      <c r="B3905">
        <v>30</v>
      </c>
      <c r="C3905" s="2">
        <v>44975</v>
      </c>
      <c r="D3905" s="2" t="str">
        <f>TEXT(Table5[[#This Row],[bill_date]],"mmmm")</f>
        <v>February</v>
      </c>
      <c r="E3905" s="9">
        <f>YEAR(Table5[[#This Row],[bill_date]])</f>
        <v>2023</v>
      </c>
      <c r="F3905">
        <v>1616</v>
      </c>
      <c r="G3905" t="s">
        <v>30</v>
      </c>
    </row>
    <row r="3906" spans="1:7" x14ac:dyDescent="0.3">
      <c r="A3906">
        <v>33905</v>
      </c>
      <c r="B3906">
        <v>466</v>
      </c>
      <c r="C3906" s="2">
        <v>45379</v>
      </c>
      <c r="D3906" s="2" t="str">
        <f>TEXT(Table5[[#This Row],[bill_date]],"mmmm")</f>
        <v>March</v>
      </c>
      <c r="E3906" s="9">
        <f>YEAR(Table5[[#This Row],[bill_date]])</f>
        <v>2024</v>
      </c>
      <c r="F3906">
        <v>1410</v>
      </c>
      <c r="G3906" t="s">
        <v>30</v>
      </c>
    </row>
    <row r="3907" spans="1:7" x14ac:dyDescent="0.3">
      <c r="A3907">
        <v>33906</v>
      </c>
      <c r="B3907">
        <v>465</v>
      </c>
      <c r="C3907" s="2">
        <v>44677</v>
      </c>
      <c r="D3907" s="2" t="str">
        <f>TEXT(Table5[[#This Row],[bill_date]],"mmmm")</f>
        <v>April</v>
      </c>
      <c r="E3907" s="9">
        <f>YEAR(Table5[[#This Row],[bill_date]])</f>
        <v>2022</v>
      </c>
      <c r="F3907">
        <v>1518</v>
      </c>
      <c r="G3907" t="s">
        <v>30</v>
      </c>
    </row>
    <row r="3908" spans="1:7" x14ac:dyDescent="0.3">
      <c r="A3908">
        <v>33907</v>
      </c>
      <c r="B3908">
        <v>237</v>
      </c>
      <c r="C3908" s="2">
        <v>44736</v>
      </c>
      <c r="D3908" s="2" t="str">
        <f>TEXT(Table5[[#This Row],[bill_date]],"mmmm")</f>
        <v>June</v>
      </c>
      <c r="E3908" s="9">
        <f>YEAR(Table5[[#This Row],[bill_date]])</f>
        <v>2022</v>
      </c>
      <c r="F3908">
        <v>583</v>
      </c>
      <c r="G3908" t="s">
        <v>30</v>
      </c>
    </row>
    <row r="3909" spans="1:7" x14ac:dyDescent="0.3">
      <c r="A3909">
        <v>33908</v>
      </c>
      <c r="B3909">
        <v>371</v>
      </c>
      <c r="C3909" s="2">
        <v>45294</v>
      </c>
      <c r="D3909" s="2" t="str">
        <f>TEXT(Table5[[#This Row],[bill_date]],"mmmm")</f>
        <v>January</v>
      </c>
      <c r="E3909" s="9">
        <f>YEAR(Table5[[#This Row],[bill_date]])</f>
        <v>2024</v>
      </c>
      <c r="F3909">
        <v>796</v>
      </c>
      <c r="G3909" t="s">
        <v>30</v>
      </c>
    </row>
    <row r="3910" spans="1:7" x14ac:dyDescent="0.3">
      <c r="A3910">
        <v>33909</v>
      </c>
      <c r="B3910">
        <v>170</v>
      </c>
      <c r="C3910" s="2">
        <v>44985</v>
      </c>
      <c r="D3910" s="2" t="str">
        <f>TEXT(Table5[[#This Row],[bill_date]],"mmmm")</f>
        <v>February</v>
      </c>
      <c r="E3910" s="9">
        <f>YEAR(Table5[[#This Row],[bill_date]])</f>
        <v>2023</v>
      </c>
      <c r="F3910">
        <v>1286</v>
      </c>
      <c r="G3910" t="s">
        <v>30</v>
      </c>
    </row>
    <row r="3911" spans="1:7" x14ac:dyDescent="0.3">
      <c r="A3911">
        <v>33910</v>
      </c>
      <c r="B3911">
        <v>149</v>
      </c>
      <c r="C3911" s="2">
        <v>44689</v>
      </c>
      <c r="D3911" s="2" t="str">
        <f>TEXT(Table5[[#This Row],[bill_date]],"mmmm")</f>
        <v>May</v>
      </c>
      <c r="E3911" s="9">
        <f>YEAR(Table5[[#This Row],[bill_date]])</f>
        <v>2022</v>
      </c>
      <c r="F3911">
        <v>279</v>
      </c>
      <c r="G3911" t="s">
        <v>29</v>
      </c>
    </row>
    <row r="3912" spans="1:7" x14ac:dyDescent="0.3">
      <c r="A3912">
        <v>33911</v>
      </c>
      <c r="B3912">
        <v>374</v>
      </c>
      <c r="C3912" s="2">
        <v>45050</v>
      </c>
      <c r="D3912" s="2" t="str">
        <f>TEXT(Table5[[#This Row],[bill_date]],"mmmm")</f>
        <v>May</v>
      </c>
      <c r="E3912" s="9">
        <f>YEAR(Table5[[#This Row],[bill_date]])</f>
        <v>2023</v>
      </c>
      <c r="F3912">
        <v>978</v>
      </c>
      <c r="G3912" t="s">
        <v>30</v>
      </c>
    </row>
    <row r="3913" spans="1:7" x14ac:dyDescent="0.3">
      <c r="A3913">
        <v>33912</v>
      </c>
      <c r="B3913">
        <v>88</v>
      </c>
      <c r="C3913" s="2">
        <v>44566</v>
      </c>
      <c r="D3913" s="2" t="str">
        <f>TEXT(Table5[[#This Row],[bill_date]],"mmmm")</f>
        <v>January</v>
      </c>
      <c r="E3913" s="9">
        <f>YEAR(Table5[[#This Row],[bill_date]])</f>
        <v>2022</v>
      </c>
      <c r="F3913">
        <v>1407</v>
      </c>
      <c r="G3913" t="s">
        <v>30</v>
      </c>
    </row>
    <row r="3914" spans="1:7" x14ac:dyDescent="0.3">
      <c r="A3914">
        <v>33913</v>
      </c>
      <c r="B3914">
        <v>4</v>
      </c>
      <c r="C3914" s="2">
        <v>44887</v>
      </c>
      <c r="D3914" s="2" t="str">
        <f>TEXT(Table5[[#This Row],[bill_date]],"mmmm")</f>
        <v>November</v>
      </c>
      <c r="E3914" s="9">
        <f>YEAR(Table5[[#This Row],[bill_date]])</f>
        <v>2022</v>
      </c>
      <c r="F3914">
        <v>659</v>
      </c>
      <c r="G3914" t="s">
        <v>30</v>
      </c>
    </row>
    <row r="3915" spans="1:7" x14ac:dyDescent="0.3">
      <c r="A3915">
        <v>33914</v>
      </c>
      <c r="B3915">
        <v>433</v>
      </c>
      <c r="C3915" s="2">
        <v>45259</v>
      </c>
      <c r="D3915" s="2" t="str">
        <f>TEXT(Table5[[#This Row],[bill_date]],"mmmm")</f>
        <v>November</v>
      </c>
      <c r="E3915" s="9">
        <f>YEAR(Table5[[#This Row],[bill_date]])</f>
        <v>2023</v>
      </c>
      <c r="F3915">
        <v>1567</v>
      </c>
      <c r="G3915" t="s">
        <v>30</v>
      </c>
    </row>
    <row r="3916" spans="1:7" x14ac:dyDescent="0.3">
      <c r="A3916">
        <v>33915</v>
      </c>
      <c r="B3916">
        <v>252</v>
      </c>
      <c r="C3916" s="2">
        <v>44733</v>
      </c>
      <c r="D3916" s="2" t="str">
        <f>TEXT(Table5[[#This Row],[bill_date]],"mmmm")</f>
        <v>June</v>
      </c>
      <c r="E3916" s="9">
        <f>YEAR(Table5[[#This Row],[bill_date]])</f>
        <v>2022</v>
      </c>
      <c r="F3916">
        <v>1760</v>
      </c>
      <c r="G3916" t="s">
        <v>30</v>
      </c>
    </row>
    <row r="3917" spans="1:7" x14ac:dyDescent="0.3">
      <c r="A3917">
        <v>33916</v>
      </c>
      <c r="B3917">
        <v>432</v>
      </c>
      <c r="C3917" s="2">
        <v>44760</v>
      </c>
      <c r="D3917" s="2" t="str">
        <f>TEXT(Table5[[#This Row],[bill_date]],"mmmm")</f>
        <v>July</v>
      </c>
      <c r="E3917" s="9">
        <f>YEAR(Table5[[#This Row],[bill_date]])</f>
        <v>2022</v>
      </c>
      <c r="F3917">
        <v>436</v>
      </c>
      <c r="G3917" t="s">
        <v>28</v>
      </c>
    </row>
    <row r="3918" spans="1:7" x14ac:dyDescent="0.3">
      <c r="A3918">
        <v>33917</v>
      </c>
      <c r="B3918">
        <v>473</v>
      </c>
      <c r="C3918" s="2">
        <v>44792</v>
      </c>
      <c r="D3918" s="2" t="str">
        <f>TEXT(Table5[[#This Row],[bill_date]],"mmmm")</f>
        <v>August</v>
      </c>
      <c r="E3918" s="9">
        <f>YEAR(Table5[[#This Row],[bill_date]])</f>
        <v>2022</v>
      </c>
      <c r="F3918">
        <v>1518</v>
      </c>
      <c r="G3918" t="s">
        <v>30</v>
      </c>
    </row>
    <row r="3919" spans="1:7" x14ac:dyDescent="0.3">
      <c r="A3919">
        <v>33918</v>
      </c>
      <c r="B3919">
        <v>51</v>
      </c>
      <c r="C3919" s="2">
        <v>45361</v>
      </c>
      <c r="D3919" s="2" t="str">
        <f>TEXT(Table5[[#This Row],[bill_date]],"mmmm")</f>
        <v>March</v>
      </c>
      <c r="E3919" s="9">
        <f>YEAR(Table5[[#This Row],[bill_date]])</f>
        <v>2024</v>
      </c>
      <c r="F3919">
        <v>1709</v>
      </c>
      <c r="G3919" t="s">
        <v>30</v>
      </c>
    </row>
    <row r="3920" spans="1:7" x14ac:dyDescent="0.3">
      <c r="A3920">
        <v>33919</v>
      </c>
      <c r="B3920">
        <v>24</v>
      </c>
      <c r="C3920" s="2">
        <v>45408</v>
      </c>
      <c r="D3920" s="2" t="str">
        <f>TEXT(Table5[[#This Row],[bill_date]],"mmmm")</f>
        <v>April</v>
      </c>
      <c r="E3920" s="9">
        <f>YEAR(Table5[[#This Row],[bill_date]])</f>
        <v>2024</v>
      </c>
      <c r="F3920">
        <v>1591</v>
      </c>
      <c r="G3920" t="s">
        <v>30</v>
      </c>
    </row>
    <row r="3921" spans="1:7" x14ac:dyDescent="0.3">
      <c r="A3921">
        <v>33920</v>
      </c>
      <c r="B3921">
        <v>46</v>
      </c>
      <c r="C3921" s="2">
        <v>45188</v>
      </c>
      <c r="D3921" s="2" t="str">
        <f>TEXT(Table5[[#This Row],[bill_date]],"mmmm")</f>
        <v>September</v>
      </c>
      <c r="E3921" s="9">
        <f>YEAR(Table5[[#This Row],[bill_date]])</f>
        <v>2023</v>
      </c>
      <c r="F3921">
        <v>497</v>
      </c>
      <c r="G3921" t="s">
        <v>30</v>
      </c>
    </row>
    <row r="3922" spans="1:7" x14ac:dyDescent="0.3">
      <c r="A3922">
        <v>33921</v>
      </c>
      <c r="B3922">
        <v>116</v>
      </c>
      <c r="C3922" s="2">
        <v>44894</v>
      </c>
      <c r="D3922" s="2" t="str">
        <f>TEXT(Table5[[#This Row],[bill_date]],"mmmm")</f>
        <v>November</v>
      </c>
      <c r="E3922" s="9">
        <f>YEAR(Table5[[#This Row],[bill_date]])</f>
        <v>2022</v>
      </c>
      <c r="F3922">
        <v>935</v>
      </c>
      <c r="G3922" t="s">
        <v>30</v>
      </c>
    </row>
    <row r="3923" spans="1:7" x14ac:dyDescent="0.3">
      <c r="A3923">
        <v>33922</v>
      </c>
      <c r="B3923">
        <v>27</v>
      </c>
      <c r="C3923" s="2">
        <v>45027</v>
      </c>
      <c r="D3923" s="2" t="str">
        <f>TEXT(Table5[[#This Row],[bill_date]],"mmmm")</f>
        <v>April</v>
      </c>
      <c r="E3923" s="9">
        <f>YEAR(Table5[[#This Row],[bill_date]])</f>
        <v>2023</v>
      </c>
      <c r="F3923">
        <v>1038</v>
      </c>
      <c r="G3923" t="s">
        <v>30</v>
      </c>
    </row>
    <row r="3924" spans="1:7" x14ac:dyDescent="0.3">
      <c r="A3924">
        <v>33923</v>
      </c>
      <c r="B3924">
        <v>95</v>
      </c>
      <c r="C3924" s="2">
        <v>45403</v>
      </c>
      <c r="D3924" s="2" t="str">
        <f>TEXT(Table5[[#This Row],[bill_date]],"mmmm")</f>
        <v>April</v>
      </c>
      <c r="E3924" s="9">
        <f>YEAR(Table5[[#This Row],[bill_date]])</f>
        <v>2024</v>
      </c>
      <c r="F3924">
        <v>1312</v>
      </c>
      <c r="G3924" t="s">
        <v>30</v>
      </c>
    </row>
    <row r="3925" spans="1:7" x14ac:dyDescent="0.3">
      <c r="A3925">
        <v>33924</v>
      </c>
      <c r="B3925">
        <v>367</v>
      </c>
      <c r="C3925" s="2">
        <v>44985</v>
      </c>
      <c r="D3925" s="2" t="str">
        <f>TEXT(Table5[[#This Row],[bill_date]],"mmmm")</f>
        <v>February</v>
      </c>
      <c r="E3925" s="9">
        <f>YEAR(Table5[[#This Row],[bill_date]])</f>
        <v>2023</v>
      </c>
      <c r="F3925">
        <v>1662</v>
      </c>
      <c r="G3925" t="s">
        <v>30</v>
      </c>
    </row>
    <row r="3926" spans="1:7" x14ac:dyDescent="0.3">
      <c r="A3926">
        <v>33925</v>
      </c>
      <c r="B3926">
        <v>435</v>
      </c>
      <c r="C3926" s="2">
        <v>44874</v>
      </c>
      <c r="D3926" s="2" t="str">
        <f>TEXT(Table5[[#This Row],[bill_date]],"mmmm")</f>
        <v>November</v>
      </c>
      <c r="E3926" s="9">
        <f>YEAR(Table5[[#This Row],[bill_date]])</f>
        <v>2022</v>
      </c>
      <c r="F3926">
        <v>727</v>
      </c>
      <c r="G3926" t="s">
        <v>30</v>
      </c>
    </row>
    <row r="3927" spans="1:7" x14ac:dyDescent="0.3">
      <c r="A3927">
        <v>33926</v>
      </c>
      <c r="B3927">
        <v>99</v>
      </c>
      <c r="C3927" s="2">
        <v>45084</v>
      </c>
      <c r="D3927" s="2" t="str">
        <f>TEXT(Table5[[#This Row],[bill_date]],"mmmm")</f>
        <v>June</v>
      </c>
      <c r="E3927" s="9">
        <f>YEAR(Table5[[#This Row],[bill_date]])</f>
        <v>2023</v>
      </c>
      <c r="F3927">
        <v>286</v>
      </c>
      <c r="G3927" t="s">
        <v>30</v>
      </c>
    </row>
    <row r="3928" spans="1:7" x14ac:dyDescent="0.3">
      <c r="A3928">
        <v>33927</v>
      </c>
      <c r="B3928">
        <v>116</v>
      </c>
      <c r="C3928" s="2">
        <v>44985</v>
      </c>
      <c r="D3928" s="2" t="str">
        <f>TEXT(Table5[[#This Row],[bill_date]],"mmmm")</f>
        <v>February</v>
      </c>
      <c r="E3928" s="9">
        <f>YEAR(Table5[[#This Row],[bill_date]])</f>
        <v>2023</v>
      </c>
      <c r="F3928">
        <v>222</v>
      </c>
      <c r="G3928" t="s">
        <v>30</v>
      </c>
    </row>
    <row r="3929" spans="1:7" x14ac:dyDescent="0.3">
      <c r="A3929">
        <v>33928</v>
      </c>
      <c r="B3929">
        <v>276</v>
      </c>
      <c r="C3929" s="2">
        <v>45177</v>
      </c>
      <c r="D3929" s="2" t="str">
        <f>TEXT(Table5[[#This Row],[bill_date]],"mmmm")</f>
        <v>September</v>
      </c>
      <c r="E3929" s="9">
        <f>YEAR(Table5[[#This Row],[bill_date]])</f>
        <v>2023</v>
      </c>
      <c r="F3929">
        <v>530</v>
      </c>
      <c r="G3929" t="s">
        <v>30</v>
      </c>
    </row>
    <row r="3930" spans="1:7" x14ac:dyDescent="0.3">
      <c r="A3930">
        <v>33929</v>
      </c>
      <c r="B3930">
        <v>336</v>
      </c>
      <c r="C3930" s="2">
        <v>44736</v>
      </c>
      <c r="D3930" s="2" t="str">
        <f>TEXT(Table5[[#This Row],[bill_date]],"mmmm")</f>
        <v>June</v>
      </c>
      <c r="E3930" s="9">
        <f>YEAR(Table5[[#This Row],[bill_date]])</f>
        <v>2022</v>
      </c>
      <c r="F3930">
        <v>1957</v>
      </c>
      <c r="G3930" t="s">
        <v>30</v>
      </c>
    </row>
    <row r="3931" spans="1:7" x14ac:dyDescent="0.3">
      <c r="A3931">
        <v>33930</v>
      </c>
      <c r="B3931">
        <v>95</v>
      </c>
      <c r="C3931" s="2">
        <v>45459</v>
      </c>
      <c r="D3931" s="2" t="str">
        <f>TEXT(Table5[[#This Row],[bill_date]],"mmmm")</f>
        <v>June</v>
      </c>
      <c r="E3931" s="9">
        <f>YEAR(Table5[[#This Row],[bill_date]])</f>
        <v>2024</v>
      </c>
      <c r="F3931">
        <v>1280</v>
      </c>
      <c r="G3931" t="s">
        <v>30</v>
      </c>
    </row>
    <row r="3932" spans="1:7" x14ac:dyDescent="0.3">
      <c r="A3932">
        <v>33931</v>
      </c>
      <c r="B3932">
        <v>199</v>
      </c>
      <c r="C3932" s="2">
        <v>44935</v>
      </c>
      <c r="D3932" s="2" t="str">
        <f>TEXT(Table5[[#This Row],[bill_date]],"mmmm")</f>
        <v>January</v>
      </c>
      <c r="E3932" s="9">
        <f>YEAR(Table5[[#This Row],[bill_date]])</f>
        <v>2023</v>
      </c>
      <c r="F3932">
        <v>662</v>
      </c>
      <c r="G3932" t="s">
        <v>30</v>
      </c>
    </row>
    <row r="3933" spans="1:7" x14ac:dyDescent="0.3">
      <c r="A3933">
        <v>33932</v>
      </c>
      <c r="B3933">
        <v>146</v>
      </c>
      <c r="C3933" s="2">
        <v>45193</v>
      </c>
      <c r="D3933" s="2" t="str">
        <f>TEXT(Table5[[#This Row],[bill_date]],"mmmm")</f>
        <v>September</v>
      </c>
      <c r="E3933" s="9">
        <f>YEAR(Table5[[#This Row],[bill_date]])</f>
        <v>2023</v>
      </c>
      <c r="F3933">
        <v>1200</v>
      </c>
      <c r="G3933" t="s">
        <v>30</v>
      </c>
    </row>
    <row r="3934" spans="1:7" x14ac:dyDescent="0.3">
      <c r="A3934">
        <v>33933</v>
      </c>
      <c r="B3934">
        <v>392</v>
      </c>
      <c r="C3934" s="2">
        <v>44798</v>
      </c>
      <c r="D3934" s="2" t="str">
        <f>TEXT(Table5[[#This Row],[bill_date]],"mmmm")</f>
        <v>August</v>
      </c>
      <c r="E3934" s="9">
        <f>YEAR(Table5[[#This Row],[bill_date]])</f>
        <v>2022</v>
      </c>
      <c r="F3934">
        <v>387</v>
      </c>
      <c r="G3934" t="s">
        <v>30</v>
      </c>
    </row>
    <row r="3935" spans="1:7" x14ac:dyDescent="0.3">
      <c r="A3935">
        <v>33934</v>
      </c>
      <c r="B3935">
        <v>155</v>
      </c>
      <c r="C3935" s="2">
        <v>45309</v>
      </c>
      <c r="D3935" s="2" t="str">
        <f>TEXT(Table5[[#This Row],[bill_date]],"mmmm")</f>
        <v>January</v>
      </c>
      <c r="E3935" s="9">
        <f>YEAR(Table5[[#This Row],[bill_date]])</f>
        <v>2024</v>
      </c>
      <c r="F3935">
        <v>1686</v>
      </c>
      <c r="G3935" t="s">
        <v>29</v>
      </c>
    </row>
    <row r="3936" spans="1:7" x14ac:dyDescent="0.3">
      <c r="A3936">
        <v>33935</v>
      </c>
      <c r="B3936">
        <v>270</v>
      </c>
      <c r="C3936" s="2">
        <v>45378</v>
      </c>
      <c r="D3936" s="2" t="str">
        <f>TEXT(Table5[[#This Row],[bill_date]],"mmmm")</f>
        <v>March</v>
      </c>
      <c r="E3936" s="9">
        <f>YEAR(Table5[[#This Row],[bill_date]])</f>
        <v>2024</v>
      </c>
      <c r="F3936">
        <v>420</v>
      </c>
      <c r="G3936" t="s">
        <v>30</v>
      </c>
    </row>
    <row r="3937" spans="1:7" x14ac:dyDescent="0.3">
      <c r="A3937">
        <v>33936</v>
      </c>
      <c r="B3937">
        <v>402</v>
      </c>
      <c r="C3937" s="2">
        <v>45004</v>
      </c>
      <c r="D3937" s="2" t="str">
        <f>TEXT(Table5[[#This Row],[bill_date]],"mmmm")</f>
        <v>March</v>
      </c>
      <c r="E3937" s="9">
        <f>YEAR(Table5[[#This Row],[bill_date]])</f>
        <v>2023</v>
      </c>
      <c r="F3937">
        <v>1161</v>
      </c>
      <c r="G3937" t="s">
        <v>28</v>
      </c>
    </row>
    <row r="3938" spans="1:7" x14ac:dyDescent="0.3">
      <c r="A3938">
        <v>33937</v>
      </c>
      <c r="B3938">
        <v>321</v>
      </c>
      <c r="C3938" s="2">
        <v>44599</v>
      </c>
      <c r="D3938" s="2" t="str">
        <f>TEXT(Table5[[#This Row],[bill_date]],"mmmm")</f>
        <v>February</v>
      </c>
      <c r="E3938" s="9">
        <f>YEAR(Table5[[#This Row],[bill_date]])</f>
        <v>2022</v>
      </c>
      <c r="F3938">
        <v>551</v>
      </c>
      <c r="G3938" t="s">
        <v>30</v>
      </c>
    </row>
    <row r="3939" spans="1:7" x14ac:dyDescent="0.3">
      <c r="A3939">
        <v>33938</v>
      </c>
      <c r="B3939">
        <v>415</v>
      </c>
      <c r="C3939" s="2">
        <v>45345</v>
      </c>
      <c r="D3939" s="2" t="str">
        <f>TEXT(Table5[[#This Row],[bill_date]],"mmmm")</f>
        <v>February</v>
      </c>
      <c r="E3939" s="9">
        <f>YEAR(Table5[[#This Row],[bill_date]])</f>
        <v>2024</v>
      </c>
      <c r="F3939">
        <v>1273</v>
      </c>
      <c r="G3939" t="s">
        <v>30</v>
      </c>
    </row>
    <row r="3940" spans="1:7" x14ac:dyDescent="0.3">
      <c r="A3940">
        <v>33939</v>
      </c>
      <c r="B3940">
        <v>276</v>
      </c>
      <c r="C3940" s="2">
        <v>45449</v>
      </c>
      <c r="D3940" s="2" t="str">
        <f>TEXT(Table5[[#This Row],[bill_date]],"mmmm")</f>
        <v>June</v>
      </c>
      <c r="E3940" s="9">
        <f>YEAR(Table5[[#This Row],[bill_date]])</f>
        <v>2024</v>
      </c>
      <c r="F3940">
        <v>1310</v>
      </c>
      <c r="G3940" t="s">
        <v>30</v>
      </c>
    </row>
    <row r="3941" spans="1:7" x14ac:dyDescent="0.3">
      <c r="A3941">
        <v>33940</v>
      </c>
      <c r="B3941">
        <v>326</v>
      </c>
      <c r="C3941" s="2">
        <v>45417</v>
      </c>
      <c r="D3941" s="2" t="str">
        <f>TEXT(Table5[[#This Row],[bill_date]],"mmmm")</f>
        <v>May</v>
      </c>
      <c r="E3941" s="9">
        <f>YEAR(Table5[[#This Row],[bill_date]])</f>
        <v>2024</v>
      </c>
      <c r="F3941">
        <v>420</v>
      </c>
      <c r="G3941" t="s">
        <v>30</v>
      </c>
    </row>
    <row r="3942" spans="1:7" x14ac:dyDescent="0.3">
      <c r="A3942">
        <v>33941</v>
      </c>
      <c r="B3942">
        <v>256</v>
      </c>
      <c r="C3942" s="2">
        <v>45324</v>
      </c>
      <c r="D3942" s="2" t="str">
        <f>TEXT(Table5[[#This Row],[bill_date]],"mmmm")</f>
        <v>February</v>
      </c>
      <c r="E3942" s="9">
        <f>YEAR(Table5[[#This Row],[bill_date]])</f>
        <v>2024</v>
      </c>
      <c r="F3942">
        <v>686</v>
      </c>
      <c r="G3942" t="s">
        <v>30</v>
      </c>
    </row>
    <row r="3943" spans="1:7" x14ac:dyDescent="0.3">
      <c r="A3943">
        <v>33942</v>
      </c>
      <c r="B3943">
        <v>45</v>
      </c>
      <c r="C3943" s="2">
        <v>45448</v>
      </c>
      <c r="D3943" s="2" t="str">
        <f>TEXT(Table5[[#This Row],[bill_date]],"mmmm")</f>
        <v>June</v>
      </c>
      <c r="E3943" s="9">
        <f>YEAR(Table5[[#This Row],[bill_date]])</f>
        <v>2024</v>
      </c>
      <c r="F3943">
        <v>1058</v>
      </c>
      <c r="G3943" t="s">
        <v>30</v>
      </c>
    </row>
    <row r="3944" spans="1:7" x14ac:dyDescent="0.3">
      <c r="A3944">
        <v>33943</v>
      </c>
      <c r="B3944">
        <v>1</v>
      </c>
      <c r="C3944" s="2">
        <v>45407</v>
      </c>
      <c r="D3944" s="2" t="str">
        <f>TEXT(Table5[[#This Row],[bill_date]],"mmmm")</f>
        <v>April</v>
      </c>
      <c r="E3944" s="9">
        <f>YEAR(Table5[[#This Row],[bill_date]])</f>
        <v>2024</v>
      </c>
      <c r="F3944">
        <v>1077</v>
      </c>
      <c r="G3944" t="s">
        <v>30</v>
      </c>
    </row>
    <row r="3945" spans="1:7" x14ac:dyDescent="0.3">
      <c r="A3945">
        <v>33944</v>
      </c>
      <c r="B3945">
        <v>147</v>
      </c>
      <c r="C3945" s="2">
        <v>45100</v>
      </c>
      <c r="D3945" s="2" t="str">
        <f>TEXT(Table5[[#This Row],[bill_date]],"mmmm")</f>
        <v>June</v>
      </c>
      <c r="E3945" s="9">
        <f>YEAR(Table5[[#This Row],[bill_date]])</f>
        <v>2023</v>
      </c>
      <c r="F3945">
        <v>365</v>
      </c>
      <c r="G3945" t="s">
        <v>30</v>
      </c>
    </row>
    <row r="3946" spans="1:7" x14ac:dyDescent="0.3">
      <c r="A3946">
        <v>33945</v>
      </c>
      <c r="B3946">
        <v>295</v>
      </c>
      <c r="C3946" s="2">
        <v>45403</v>
      </c>
      <c r="D3946" s="2" t="str">
        <f>TEXT(Table5[[#This Row],[bill_date]],"mmmm")</f>
        <v>April</v>
      </c>
      <c r="E3946" s="9">
        <f>YEAR(Table5[[#This Row],[bill_date]])</f>
        <v>2024</v>
      </c>
      <c r="F3946">
        <v>1928</v>
      </c>
      <c r="G3946" t="s">
        <v>30</v>
      </c>
    </row>
    <row r="3947" spans="1:7" x14ac:dyDescent="0.3">
      <c r="A3947">
        <v>33946</v>
      </c>
      <c r="B3947">
        <v>375</v>
      </c>
      <c r="C3947" s="2">
        <v>45196</v>
      </c>
      <c r="D3947" s="2" t="str">
        <f>TEXT(Table5[[#This Row],[bill_date]],"mmmm")</f>
        <v>September</v>
      </c>
      <c r="E3947" s="9">
        <f>YEAR(Table5[[#This Row],[bill_date]])</f>
        <v>2023</v>
      </c>
      <c r="F3947">
        <v>299</v>
      </c>
      <c r="G3947" t="s">
        <v>30</v>
      </c>
    </row>
    <row r="3948" spans="1:7" x14ac:dyDescent="0.3">
      <c r="A3948">
        <v>33947</v>
      </c>
      <c r="B3948">
        <v>155</v>
      </c>
      <c r="C3948" s="2">
        <v>44717</v>
      </c>
      <c r="D3948" s="2" t="str">
        <f>TEXT(Table5[[#This Row],[bill_date]],"mmmm")</f>
        <v>June</v>
      </c>
      <c r="E3948" s="9">
        <f>YEAR(Table5[[#This Row],[bill_date]])</f>
        <v>2022</v>
      </c>
      <c r="F3948">
        <v>1936</v>
      </c>
      <c r="G3948" t="s">
        <v>30</v>
      </c>
    </row>
    <row r="3949" spans="1:7" x14ac:dyDescent="0.3">
      <c r="A3949">
        <v>33948</v>
      </c>
      <c r="B3949">
        <v>56</v>
      </c>
      <c r="C3949" s="2">
        <v>45290</v>
      </c>
      <c r="D3949" s="2" t="str">
        <f>TEXT(Table5[[#This Row],[bill_date]],"mmmm")</f>
        <v>December</v>
      </c>
      <c r="E3949" s="9">
        <f>YEAR(Table5[[#This Row],[bill_date]])</f>
        <v>2023</v>
      </c>
      <c r="F3949">
        <v>1646</v>
      </c>
      <c r="G3949" t="s">
        <v>29</v>
      </c>
    </row>
    <row r="3950" spans="1:7" x14ac:dyDescent="0.3">
      <c r="A3950">
        <v>33949</v>
      </c>
      <c r="B3950">
        <v>400</v>
      </c>
      <c r="C3950" s="2">
        <v>44755</v>
      </c>
      <c r="D3950" s="2" t="str">
        <f>TEXT(Table5[[#This Row],[bill_date]],"mmmm")</f>
        <v>July</v>
      </c>
      <c r="E3950" s="9">
        <f>YEAR(Table5[[#This Row],[bill_date]])</f>
        <v>2022</v>
      </c>
      <c r="F3950">
        <v>723</v>
      </c>
      <c r="G3950" t="s">
        <v>30</v>
      </c>
    </row>
    <row r="3951" spans="1:7" x14ac:dyDescent="0.3">
      <c r="A3951">
        <v>33950</v>
      </c>
      <c r="B3951">
        <v>462</v>
      </c>
      <c r="C3951" s="2">
        <v>45374</v>
      </c>
      <c r="D3951" s="2" t="str">
        <f>TEXT(Table5[[#This Row],[bill_date]],"mmmm")</f>
        <v>March</v>
      </c>
      <c r="E3951" s="9">
        <f>YEAR(Table5[[#This Row],[bill_date]])</f>
        <v>2024</v>
      </c>
      <c r="F3951">
        <v>1369</v>
      </c>
      <c r="G3951" t="s">
        <v>30</v>
      </c>
    </row>
    <row r="3952" spans="1:7" x14ac:dyDescent="0.3">
      <c r="A3952">
        <v>33951</v>
      </c>
      <c r="B3952">
        <v>226</v>
      </c>
      <c r="C3952" s="2">
        <v>44722</v>
      </c>
      <c r="D3952" s="2" t="str">
        <f>TEXT(Table5[[#This Row],[bill_date]],"mmmm")</f>
        <v>June</v>
      </c>
      <c r="E3952" s="9">
        <f>YEAR(Table5[[#This Row],[bill_date]])</f>
        <v>2022</v>
      </c>
      <c r="F3952">
        <v>1484</v>
      </c>
      <c r="G3952" t="s">
        <v>30</v>
      </c>
    </row>
    <row r="3953" spans="1:7" x14ac:dyDescent="0.3">
      <c r="A3953">
        <v>33952</v>
      </c>
      <c r="B3953">
        <v>7</v>
      </c>
      <c r="C3953" s="2">
        <v>45201</v>
      </c>
      <c r="D3953" s="2" t="str">
        <f>TEXT(Table5[[#This Row],[bill_date]],"mmmm")</f>
        <v>October</v>
      </c>
      <c r="E3953" s="9">
        <f>YEAR(Table5[[#This Row],[bill_date]])</f>
        <v>2023</v>
      </c>
      <c r="F3953">
        <v>1368</v>
      </c>
      <c r="G3953" t="s">
        <v>29</v>
      </c>
    </row>
    <row r="3954" spans="1:7" x14ac:dyDescent="0.3">
      <c r="A3954">
        <v>33953</v>
      </c>
      <c r="B3954">
        <v>20</v>
      </c>
      <c r="C3954" s="2">
        <v>45389</v>
      </c>
      <c r="D3954" s="2" t="str">
        <f>TEXT(Table5[[#This Row],[bill_date]],"mmmm")</f>
        <v>April</v>
      </c>
      <c r="E3954" s="9">
        <f>YEAR(Table5[[#This Row],[bill_date]])</f>
        <v>2024</v>
      </c>
      <c r="F3954">
        <v>686</v>
      </c>
      <c r="G3954" t="s">
        <v>30</v>
      </c>
    </row>
    <row r="3955" spans="1:7" x14ac:dyDescent="0.3">
      <c r="A3955">
        <v>33954</v>
      </c>
      <c r="B3955">
        <v>159</v>
      </c>
      <c r="C3955" s="2">
        <v>45251</v>
      </c>
      <c r="D3955" s="2" t="str">
        <f>TEXT(Table5[[#This Row],[bill_date]],"mmmm")</f>
        <v>November</v>
      </c>
      <c r="E3955" s="9">
        <f>YEAR(Table5[[#This Row],[bill_date]])</f>
        <v>2023</v>
      </c>
      <c r="F3955">
        <v>1743</v>
      </c>
      <c r="G3955" t="s">
        <v>30</v>
      </c>
    </row>
    <row r="3956" spans="1:7" x14ac:dyDescent="0.3">
      <c r="A3956">
        <v>33955</v>
      </c>
      <c r="B3956">
        <v>470</v>
      </c>
      <c r="C3956" s="2">
        <v>44687</v>
      </c>
      <c r="D3956" s="2" t="str">
        <f>TEXT(Table5[[#This Row],[bill_date]],"mmmm")</f>
        <v>May</v>
      </c>
      <c r="E3956" s="9">
        <f>YEAR(Table5[[#This Row],[bill_date]])</f>
        <v>2022</v>
      </c>
      <c r="F3956">
        <v>279</v>
      </c>
      <c r="G3956" t="s">
        <v>30</v>
      </c>
    </row>
    <row r="3957" spans="1:7" x14ac:dyDescent="0.3">
      <c r="A3957">
        <v>33956</v>
      </c>
      <c r="B3957">
        <v>340</v>
      </c>
      <c r="C3957" s="2">
        <v>45247</v>
      </c>
      <c r="D3957" s="2" t="str">
        <f>TEXT(Table5[[#This Row],[bill_date]],"mmmm")</f>
        <v>November</v>
      </c>
      <c r="E3957" s="9">
        <f>YEAR(Table5[[#This Row],[bill_date]])</f>
        <v>2023</v>
      </c>
      <c r="F3957">
        <v>778</v>
      </c>
      <c r="G3957" t="s">
        <v>30</v>
      </c>
    </row>
    <row r="3958" spans="1:7" x14ac:dyDescent="0.3">
      <c r="A3958">
        <v>33957</v>
      </c>
      <c r="B3958">
        <v>79</v>
      </c>
      <c r="C3958" s="2">
        <v>45108</v>
      </c>
      <c r="D3958" s="2" t="str">
        <f>TEXT(Table5[[#This Row],[bill_date]],"mmmm")</f>
        <v>July</v>
      </c>
      <c r="E3958" s="9">
        <f>YEAR(Table5[[#This Row],[bill_date]])</f>
        <v>2023</v>
      </c>
      <c r="F3958">
        <v>1020</v>
      </c>
      <c r="G3958" t="s">
        <v>30</v>
      </c>
    </row>
    <row r="3959" spans="1:7" x14ac:dyDescent="0.3">
      <c r="A3959">
        <v>33958</v>
      </c>
      <c r="B3959">
        <v>409</v>
      </c>
      <c r="C3959" s="2">
        <v>44800</v>
      </c>
      <c r="D3959" s="2" t="str">
        <f>TEXT(Table5[[#This Row],[bill_date]],"mmmm")</f>
        <v>August</v>
      </c>
      <c r="E3959" s="9">
        <f>YEAR(Table5[[#This Row],[bill_date]])</f>
        <v>2022</v>
      </c>
      <c r="F3959">
        <v>1348</v>
      </c>
      <c r="G3959" t="s">
        <v>30</v>
      </c>
    </row>
    <row r="3960" spans="1:7" x14ac:dyDescent="0.3">
      <c r="A3960">
        <v>33959</v>
      </c>
      <c r="B3960">
        <v>366</v>
      </c>
      <c r="C3960" s="2">
        <v>44602</v>
      </c>
      <c r="D3960" s="2" t="str">
        <f>TEXT(Table5[[#This Row],[bill_date]],"mmmm")</f>
        <v>February</v>
      </c>
      <c r="E3960" s="9">
        <f>YEAR(Table5[[#This Row],[bill_date]])</f>
        <v>2022</v>
      </c>
      <c r="F3960">
        <v>1784</v>
      </c>
      <c r="G3960" t="s">
        <v>30</v>
      </c>
    </row>
    <row r="3961" spans="1:7" x14ac:dyDescent="0.3">
      <c r="A3961">
        <v>33960</v>
      </c>
      <c r="B3961">
        <v>1</v>
      </c>
      <c r="C3961" s="2">
        <v>44747</v>
      </c>
      <c r="D3961" s="2" t="str">
        <f>TEXT(Table5[[#This Row],[bill_date]],"mmmm")</f>
        <v>July</v>
      </c>
      <c r="E3961" s="9">
        <f>YEAR(Table5[[#This Row],[bill_date]])</f>
        <v>2022</v>
      </c>
      <c r="F3961">
        <v>1804</v>
      </c>
      <c r="G3961" t="s">
        <v>30</v>
      </c>
    </row>
    <row r="3962" spans="1:7" x14ac:dyDescent="0.3">
      <c r="A3962">
        <v>33961</v>
      </c>
      <c r="B3962">
        <v>401</v>
      </c>
      <c r="C3962" s="2">
        <v>45022</v>
      </c>
      <c r="D3962" s="2" t="str">
        <f>TEXT(Table5[[#This Row],[bill_date]],"mmmm")</f>
        <v>April</v>
      </c>
      <c r="E3962" s="9">
        <f>YEAR(Table5[[#This Row],[bill_date]])</f>
        <v>2023</v>
      </c>
      <c r="F3962">
        <v>1361</v>
      </c>
      <c r="G3962" t="s">
        <v>30</v>
      </c>
    </row>
    <row r="3963" spans="1:7" x14ac:dyDescent="0.3">
      <c r="A3963">
        <v>33962</v>
      </c>
      <c r="B3963">
        <v>336</v>
      </c>
      <c r="C3963" s="2">
        <v>45256</v>
      </c>
      <c r="D3963" s="2" t="str">
        <f>TEXT(Table5[[#This Row],[bill_date]],"mmmm")</f>
        <v>November</v>
      </c>
      <c r="E3963" s="9">
        <f>YEAR(Table5[[#This Row],[bill_date]])</f>
        <v>2023</v>
      </c>
      <c r="F3963">
        <v>1084</v>
      </c>
      <c r="G3963" t="s">
        <v>30</v>
      </c>
    </row>
    <row r="3964" spans="1:7" x14ac:dyDescent="0.3">
      <c r="A3964">
        <v>33963</v>
      </c>
      <c r="B3964">
        <v>229</v>
      </c>
      <c r="C3964" s="2">
        <v>44950</v>
      </c>
      <c r="D3964" s="2" t="str">
        <f>TEXT(Table5[[#This Row],[bill_date]],"mmmm")</f>
        <v>January</v>
      </c>
      <c r="E3964" s="9">
        <f>YEAR(Table5[[#This Row],[bill_date]])</f>
        <v>2023</v>
      </c>
      <c r="F3964">
        <v>1904</v>
      </c>
      <c r="G3964" t="s">
        <v>30</v>
      </c>
    </row>
    <row r="3965" spans="1:7" x14ac:dyDescent="0.3">
      <c r="A3965">
        <v>33964</v>
      </c>
      <c r="B3965">
        <v>213</v>
      </c>
      <c r="C3965" s="2">
        <v>44822</v>
      </c>
      <c r="D3965" s="2" t="str">
        <f>TEXT(Table5[[#This Row],[bill_date]],"mmmm")</f>
        <v>September</v>
      </c>
      <c r="E3965" s="9">
        <f>YEAR(Table5[[#This Row],[bill_date]])</f>
        <v>2022</v>
      </c>
      <c r="F3965">
        <v>800</v>
      </c>
      <c r="G3965" t="s">
        <v>30</v>
      </c>
    </row>
    <row r="3966" spans="1:7" x14ac:dyDescent="0.3">
      <c r="A3966">
        <v>33965</v>
      </c>
      <c r="B3966">
        <v>283</v>
      </c>
      <c r="C3966" s="2">
        <v>44967</v>
      </c>
      <c r="D3966" s="2" t="str">
        <f>TEXT(Table5[[#This Row],[bill_date]],"mmmm")</f>
        <v>February</v>
      </c>
      <c r="E3966" s="9">
        <f>YEAR(Table5[[#This Row],[bill_date]])</f>
        <v>2023</v>
      </c>
      <c r="F3966">
        <v>1361</v>
      </c>
      <c r="G3966" t="s">
        <v>30</v>
      </c>
    </row>
    <row r="3967" spans="1:7" x14ac:dyDescent="0.3">
      <c r="A3967">
        <v>33966</v>
      </c>
      <c r="B3967">
        <v>248</v>
      </c>
      <c r="C3967" s="2">
        <v>45107</v>
      </c>
      <c r="D3967" s="2" t="str">
        <f>TEXT(Table5[[#This Row],[bill_date]],"mmmm")</f>
        <v>June</v>
      </c>
      <c r="E3967" s="9">
        <f>YEAR(Table5[[#This Row],[bill_date]])</f>
        <v>2023</v>
      </c>
      <c r="F3967">
        <v>270</v>
      </c>
      <c r="G3967" t="s">
        <v>30</v>
      </c>
    </row>
    <row r="3968" spans="1:7" x14ac:dyDescent="0.3">
      <c r="A3968">
        <v>33967</v>
      </c>
      <c r="B3968">
        <v>119</v>
      </c>
      <c r="C3968" s="2">
        <v>45010</v>
      </c>
      <c r="D3968" s="2" t="str">
        <f>TEXT(Table5[[#This Row],[bill_date]],"mmmm")</f>
        <v>March</v>
      </c>
      <c r="E3968" s="9">
        <f>YEAR(Table5[[#This Row],[bill_date]])</f>
        <v>2023</v>
      </c>
      <c r="F3968">
        <v>443</v>
      </c>
      <c r="G3968" t="s">
        <v>30</v>
      </c>
    </row>
    <row r="3969" spans="1:7" x14ac:dyDescent="0.3">
      <c r="A3969">
        <v>33968</v>
      </c>
      <c r="B3969">
        <v>379</v>
      </c>
      <c r="C3969" s="2">
        <v>45260</v>
      </c>
      <c r="D3969" s="2" t="str">
        <f>TEXT(Table5[[#This Row],[bill_date]],"mmmm")</f>
        <v>November</v>
      </c>
      <c r="E3969" s="9">
        <f>YEAR(Table5[[#This Row],[bill_date]])</f>
        <v>2023</v>
      </c>
      <c r="F3969">
        <v>777</v>
      </c>
      <c r="G3969" t="s">
        <v>30</v>
      </c>
    </row>
    <row r="3970" spans="1:7" x14ac:dyDescent="0.3">
      <c r="A3970">
        <v>33969</v>
      </c>
      <c r="B3970">
        <v>227</v>
      </c>
      <c r="C3970" s="2">
        <v>44962</v>
      </c>
      <c r="D3970" s="2" t="str">
        <f>TEXT(Table5[[#This Row],[bill_date]],"mmmm")</f>
        <v>February</v>
      </c>
      <c r="E3970" s="9">
        <f>YEAR(Table5[[#This Row],[bill_date]])</f>
        <v>2023</v>
      </c>
      <c r="F3970">
        <v>840</v>
      </c>
      <c r="G3970" t="s">
        <v>28</v>
      </c>
    </row>
    <row r="3971" spans="1:7" x14ac:dyDescent="0.3">
      <c r="A3971">
        <v>33970</v>
      </c>
      <c r="B3971">
        <v>24</v>
      </c>
      <c r="C3971" s="2">
        <v>44868</v>
      </c>
      <c r="D3971" s="2" t="str">
        <f>TEXT(Table5[[#This Row],[bill_date]],"mmmm")</f>
        <v>November</v>
      </c>
      <c r="E3971" s="9">
        <f>YEAR(Table5[[#This Row],[bill_date]])</f>
        <v>2022</v>
      </c>
      <c r="F3971">
        <v>1432</v>
      </c>
      <c r="G3971" t="s">
        <v>30</v>
      </c>
    </row>
    <row r="3972" spans="1:7" x14ac:dyDescent="0.3">
      <c r="A3972">
        <v>33971</v>
      </c>
      <c r="B3972">
        <v>190</v>
      </c>
      <c r="C3972" s="2">
        <v>44698</v>
      </c>
      <c r="D3972" s="2" t="str">
        <f>TEXT(Table5[[#This Row],[bill_date]],"mmmm")</f>
        <v>May</v>
      </c>
      <c r="E3972" s="9">
        <f>YEAR(Table5[[#This Row],[bill_date]])</f>
        <v>2022</v>
      </c>
      <c r="F3972">
        <v>392</v>
      </c>
      <c r="G3972" t="s">
        <v>30</v>
      </c>
    </row>
    <row r="3973" spans="1:7" x14ac:dyDescent="0.3">
      <c r="A3973">
        <v>33972</v>
      </c>
      <c r="B3973">
        <v>308</v>
      </c>
      <c r="C3973" s="2">
        <v>44763</v>
      </c>
      <c r="D3973" s="2" t="str">
        <f>TEXT(Table5[[#This Row],[bill_date]],"mmmm")</f>
        <v>July</v>
      </c>
      <c r="E3973" s="9">
        <f>YEAR(Table5[[#This Row],[bill_date]])</f>
        <v>2022</v>
      </c>
      <c r="F3973">
        <v>736</v>
      </c>
      <c r="G3973" t="s">
        <v>30</v>
      </c>
    </row>
    <row r="3974" spans="1:7" x14ac:dyDescent="0.3">
      <c r="A3974">
        <v>33973</v>
      </c>
      <c r="B3974">
        <v>307</v>
      </c>
      <c r="C3974" s="2">
        <v>45454</v>
      </c>
      <c r="D3974" s="2" t="str">
        <f>TEXT(Table5[[#This Row],[bill_date]],"mmmm")</f>
        <v>June</v>
      </c>
      <c r="E3974" s="9">
        <f>YEAR(Table5[[#This Row],[bill_date]])</f>
        <v>2024</v>
      </c>
      <c r="F3974">
        <v>530</v>
      </c>
      <c r="G3974" t="s">
        <v>30</v>
      </c>
    </row>
    <row r="3975" spans="1:7" x14ac:dyDescent="0.3">
      <c r="A3975">
        <v>33974</v>
      </c>
      <c r="B3975">
        <v>450</v>
      </c>
      <c r="C3975" s="2">
        <v>45216</v>
      </c>
      <c r="D3975" s="2" t="str">
        <f>TEXT(Table5[[#This Row],[bill_date]],"mmmm")</f>
        <v>October</v>
      </c>
      <c r="E3975" s="9">
        <f>YEAR(Table5[[#This Row],[bill_date]])</f>
        <v>2023</v>
      </c>
      <c r="F3975">
        <v>1733</v>
      </c>
      <c r="G3975" t="s">
        <v>30</v>
      </c>
    </row>
    <row r="3976" spans="1:7" x14ac:dyDescent="0.3">
      <c r="A3976">
        <v>33975</v>
      </c>
      <c r="B3976">
        <v>57</v>
      </c>
      <c r="C3976" s="2">
        <v>45182</v>
      </c>
      <c r="D3976" s="2" t="str">
        <f>TEXT(Table5[[#This Row],[bill_date]],"mmmm")</f>
        <v>September</v>
      </c>
      <c r="E3976" s="9">
        <f>YEAR(Table5[[#This Row],[bill_date]])</f>
        <v>2023</v>
      </c>
      <c r="F3976">
        <v>491</v>
      </c>
      <c r="G3976" t="s">
        <v>30</v>
      </c>
    </row>
    <row r="3977" spans="1:7" x14ac:dyDescent="0.3">
      <c r="A3977">
        <v>33976</v>
      </c>
      <c r="B3977">
        <v>494</v>
      </c>
      <c r="C3977" s="2">
        <v>44718</v>
      </c>
      <c r="D3977" s="2" t="str">
        <f>TEXT(Table5[[#This Row],[bill_date]],"mmmm")</f>
        <v>June</v>
      </c>
      <c r="E3977" s="9">
        <f>YEAR(Table5[[#This Row],[bill_date]])</f>
        <v>2022</v>
      </c>
      <c r="F3977">
        <v>928</v>
      </c>
      <c r="G3977" t="s">
        <v>28</v>
      </c>
    </row>
    <row r="3978" spans="1:7" x14ac:dyDescent="0.3">
      <c r="A3978">
        <v>33977</v>
      </c>
      <c r="B3978">
        <v>311</v>
      </c>
      <c r="C3978" s="2">
        <v>44816</v>
      </c>
      <c r="D3978" s="2" t="str">
        <f>TEXT(Table5[[#This Row],[bill_date]],"mmmm")</f>
        <v>September</v>
      </c>
      <c r="E3978" s="9">
        <f>YEAR(Table5[[#This Row],[bill_date]])</f>
        <v>2022</v>
      </c>
      <c r="F3978">
        <v>234</v>
      </c>
      <c r="G3978" t="s">
        <v>30</v>
      </c>
    </row>
    <row r="3979" spans="1:7" x14ac:dyDescent="0.3">
      <c r="A3979">
        <v>33978</v>
      </c>
      <c r="B3979">
        <v>309</v>
      </c>
      <c r="C3979" s="2">
        <v>44742</v>
      </c>
      <c r="D3979" s="2" t="str">
        <f>TEXT(Table5[[#This Row],[bill_date]],"mmmm")</f>
        <v>June</v>
      </c>
      <c r="E3979" s="9">
        <f>YEAR(Table5[[#This Row],[bill_date]])</f>
        <v>2022</v>
      </c>
      <c r="F3979">
        <v>1750</v>
      </c>
      <c r="G3979" t="s">
        <v>28</v>
      </c>
    </row>
    <row r="3980" spans="1:7" x14ac:dyDescent="0.3">
      <c r="A3980">
        <v>33979</v>
      </c>
      <c r="B3980">
        <v>89</v>
      </c>
      <c r="C3980" s="2">
        <v>44970</v>
      </c>
      <c r="D3980" s="2" t="str">
        <f>TEXT(Table5[[#This Row],[bill_date]],"mmmm")</f>
        <v>February</v>
      </c>
      <c r="E3980" s="9">
        <f>YEAR(Table5[[#This Row],[bill_date]])</f>
        <v>2023</v>
      </c>
      <c r="F3980">
        <v>1300</v>
      </c>
      <c r="G3980" t="s">
        <v>30</v>
      </c>
    </row>
    <row r="3981" spans="1:7" x14ac:dyDescent="0.3">
      <c r="A3981">
        <v>33980</v>
      </c>
      <c r="B3981">
        <v>275</v>
      </c>
      <c r="C3981" s="2">
        <v>45414</v>
      </c>
      <c r="D3981" s="2" t="str">
        <f>TEXT(Table5[[#This Row],[bill_date]],"mmmm")</f>
        <v>May</v>
      </c>
      <c r="E3981" s="9">
        <f>YEAR(Table5[[#This Row],[bill_date]])</f>
        <v>2024</v>
      </c>
      <c r="F3981">
        <v>1243</v>
      </c>
      <c r="G3981" t="s">
        <v>30</v>
      </c>
    </row>
    <row r="3982" spans="1:7" x14ac:dyDescent="0.3">
      <c r="A3982">
        <v>33981</v>
      </c>
      <c r="B3982">
        <v>109</v>
      </c>
      <c r="C3982" s="2">
        <v>45292</v>
      </c>
      <c r="D3982" s="2" t="str">
        <f>TEXT(Table5[[#This Row],[bill_date]],"mmmm")</f>
        <v>January</v>
      </c>
      <c r="E3982" s="9">
        <f>YEAR(Table5[[#This Row],[bill_date]])</f>
        <v>2024</v>
      </c>
      <c r="F3982">
        <v>1869</v>
      </c>
      <c r="G3982" t="s">
        <v>30</v>
      </c>
    </row>
    <row r="3983" spans="1:7" x14ac:dyDescent="0.3">
      <c r="A3983">
        <v>33982</v>
      </c>
      <c r="B3983">
        <v>141</v>
      </c>
      <c r="C3983" s="2">
        <v>44589</v>
      </c>
      <c r="D3983" s="2" t="str">
        <f>TEXT(Table5[[#This Row],[bill_date]],"mmmm")</f>
        <v>January</v>
      </c>
      <c r="E3983" s="9">
        <f>YEAR(Table5[[#This Row],[bill_date]])</f>
        <v>2022</v>
      </c>
      <c r="F3983">
        <v>443</v>
      </c>
      <c r="G3983" t="s">
        <v>30</v>
      </c>
    </row>
    <row r="3984" spans="1:7" x14ac:dyDescent="0.3">
      <c r="A3984">
        <v>33983</v>
      </c>
      <c r="B3984">
        <v>285</v>
      </c>
      <c r="C3984" s="2">
        <v>45224</v>
      </c>
      <c r="D3984" s="2" t="str">
        <f>TEXT(Table5[[#This Row],[bill_date]],"mmmm")</f>
        <v>October</v>
      </c>
      <c r="E3984" s="9">
        <f>YEAR(Table5[[#This Row],[bill_date]])</f>
        <v>2023</v>
      </c>
      <c r="F3984">
        <v>1617</v>
      </c>
      <c r="G3984" t="s">
        <v>30</v>
      </c>
    </row>
    <row r="3985" spans="1:7" x14ac:dyDescent="0.3">
      <c r="A3985">
        <v>33984</v>
      </c>
      <c r="B3985">
        <v>480</v>
      </c>
      <c r="C3985" s="2">
        <v>45432</v>
      </c>
      <c r="D3985" s="2" t="str">
        <f>TEXT(Table5[[#This Row],[bill_date]],"mmmm")</f>
        <v>May</v>
      </c>
      <c r="E3985" s="9">
        <f>YEAR(Table5[[#This Row],[bill_date]])</f>
        <v>2024</v>
      </c>
      <c r="F3985">
        <v>1918</v>
      </c>
      <c r="G3985" t="s">
        <v>28</v>
      </c>
    </row>
    <row r="3986" spans="1:7" x14ac:dyDescent="0.3">
      <c r="A3986">
        <v>33985</v>
      </c>
      <c r="B3986">
        <v>390</v>
      </c>
      <c r="C3986" s="2">
        <v>45173</v>
      </c>
      <c r="D3986" s="2" t="str">
        <f>TEXT(Table5[[#This Row],[bill_date]],"mmmm")</f>
        <v>September</v>
      </c>
      <c r="E3986" s="9">
        <f>YEAR(Table5[[#This Row],[bill_date]])</f>
        <v>2023</v>
      </c>
      <c r="F3986">
        <v>1906</v>
      </c>
      <c r="G3986" t="s">
        <v>29</v>
      </c>
    </row>
    <row r="3987" spans="1:7" x14ac:dyDescent="0.3">
      <c r="A3987">
        <v>33986</v>
      </c>
      <c r="B3987">
        <v>376</v>
      </c>
      <c r="C3987" s="2">
        <v>45076</v>
      </c>
      <c r="D3987" s="2" t="str">
        <f>TEXT(Table5[[#This Row],[bill_date]],"mmmm")</f>
        <v>May</v>
      </c>
      <c r="E3987" s="9">
        <f>YEAR(Table5[[#This Row],[bill_date]])</f>
        <v>2023</v>
      </c>
      <c r="F3987">
        <v>252</v>
      </c>
      <c r="G3987" t="s">
        <v>30</v>
      </c>
    </row>
    <row r="3988" spans="1:7" x14ac:dyDescent="0.3">
      <c r="A3988">
        <v>33987</v>
      </c>
      <c r="B3988">
        <v>457</v>
      </c>
      <c r="C3988" s="2">
        <v>45106</v>
      </c>
      <c r="D3988" s="2" t="str">
        <f>TEXT(Table5[[#This Row],[bill_date]],"mmmm")</f>
        <v>June</v>
      </c>
      <c r="E3988" s="9">
        <f>YEAR(Table5[[#This Row],[bill_date]])</f>
        <v>2023</v>
      </c>
      <c r="F3988">
        <v>1315</v>
      </c>
      <c r="G3988" t="s">
        <v>30</v>
      </c>
    </row>
    <row r="3989" spans="1:7" x14ac:dyDescent="0.3">
      <c r="A3989">
        <v>33988</v>
      </c>
      <c r="B3989">
        <v>244</v>
      </c>
      <c r="C3989" s="2">
        <v>44760</v>
      </c>
      <c r="D3989" s="2" t="str">
        <f>TEXT(Table5[[#This Row],[bill_date]],"mmmm")</f>
        <v>July</v>
      </c>
      <c r="E3989" s="9">
        <f>YEAR(Table5[[#This Row],[bill_date]])</f>
        <v>2022</v>
      </c>
      <c r="F3989">
        <v>1515</v>
      </c>
      <c r="G3989" t="s">
        <v>28</v>
      </c>
    </row>
    <row r="3990" spans="1:7" x14ac:dyDescent="0.3">
      <c r="A3990">
        <v>33989</v>
      </c>
      <c r="B3990">
        <v>385</v>
      </c>
      <c r="C3990" s="2">
        <v>44630</v>
      </c>
      <c r="D3990" s="2" t="str">
        <f>TEXT(Table5[[#This Row],[bill_date]],"mmmm")</f>
        <v>March</v>
      </c>
      <c r="E3990" s="9">
        <f>YEAR(Table5[[#This Row],[bill_date]])</f>
        <v>2022</v>
      </c>
      <c r="F3990">
        <v>1598</v>
      </c>
      <c r="G3990" t="s">
        <v>30</v>
      </c>
    </row>
    <row r="3991" spans="1:7" x14ac:dyDescent="0.3">
      <c r="A3991">
        <v>33990</v>
      </c>
      <c r="B3991">
        <v>408</v>
      </c>
      <c r="C3991" s="2">
        <v>45163</v>
      </c>
      <c r="D3991" s="2" t="str">
        <f>TEXT(Table5[[#This Row],[bill_date]],"mmmm")</f>
        <v>August</v>
      </c>
      <c r="E3991" s="9">
        <f>YEAR(Table5[[#This Row],[bill_date]])</f>
        <v>2023</v>
      </c>
      <c r="F3991">
        <v>374</v>
      </c>
      <c r="G3991" t="s">
        <v>30</v>
      </c>
    </row>
    <row r="3992" spans="1:7" x14ac:dyDescent="0.3">
      <c r="A3992">
        <v>33991</v>
      </c>
      <c r="B3992">
        <v>74</v>
      </c>
      <c r="C3992" s="2">
        <v>44578</v>
      </c>
      <c r="D3992" s="2" t="str">
        <f>TEXT(Table5[[#This Row],[bill_date]],"mmmm")</f>
        <v>January</v>
      </c>
      <c r="E3992" s="9">
        <f>YEAR(Table5[[#This Row],[bill_date]])</f>
        <v>2022</v>
      </c>
      <c r="F3992">
        <v>388</v>
      </c>
      <c r="G3992" t="s">
        <v>30</v>
      </c>
    </row>
    <row r="3993" spans="1:7" x14ac:dyDescent="0.3">
      <c r="A3993">
        <v>33992</v>
      </c>
      <c r="B3993">
        <v>355</v>
      </c>
      <c r="C3993" s="2">
        <v>45410</v>
      </c>
      <c r="D3993" s="2" t="str">
        <f>TEXT(Table5[[#This Row],[bill_date]],"mmmm")</f>
        <v>April</v>
      </c>
      <c r="E3993" s="9">
        <f>YEAR(Table5[[#This Row],[bill_date]])</f>
        <v>2024</v>
      </c>
      <c r="F3993">
        <v>1980</v>
      </c>
      <c r="G3993" t="s">
        <v>30</v>
      </c>
    </row>
    <row r="3994" spans="1:7" x14ac:dyDescent="0.3">
      <c r="A3994">
        <v>33993</v>
      </c>
      <c r="B3994">
        <v>262</v>
      </c>
      <c r="C3994" s="2">
        <v>45440</v>
      </c>
      <c r="D3994" s="2" t="str">
        <f>TEXT(Table5[[#This Row],[bill_date]],"mmmm")</f>
        <v>May</v>
      </c>
      <c r="E3994" s="9">
        <f>YEAR(Table5[[#This Row],[bill_date]])</f>
        <v>2024</v>
      </c>
      <c r="F3994">
        <v>1005</v>
      </c>
      <c r="G3994" t="s">
        <v>30</v>
      </c>
    </row>
    <row r="3995" spans="1:7" x14ac:dyDescent="0.3">
      <c r="A3995">
        <v>33994</v>
      </c>
      <c r="B3995">
        <v>176</v>
      </c>
      <c r="C3995" s="2">
        <v>45396</v>
      </c>
      <c r="D3995" s="2" t="str">
        <f>TEXT(Table5[[#This Row],[bill_date]],"mmmm")</f>
        <v>April</v>
      </c>
      <c r="E3995" s="9">
        <f>YEAR(Table5[[#This Row],[bill_date]])</f>
        <v>2024</v>
      </c>
      <c r="F3995">
        <v>1414</v>
      </c>
      <c r="G3995" t="s">
        <v>28</v>
      </c>
    </row>
    <row r="3996" spans="1:7" x14ac:dyDescent="0.3">
      <c r="A3996">
        <v>33995</v>
      </c>
      <c r="B3996">
        <v>404</v>
      </c>
      <c r="C3996" s="2">
        <v>45396</v>
      </c>
      <c r="D3996" s="2" t="str">
        <f>TEXT(Table5[[#This Row],[bill_date]],"mmmm")</f>
        <v>April</v>
      </c>
      <c r="E3996" s="9">
        <f>YEAR(Table5[[#This Row],[bill_date]])</f>
        <v>2024</v>
      </c>
      <c r="F3996">
        <v>814</v>
      </c>
      <c r="G3996" t="s">
        <v>30</v>
      </c>
    </row>
    <row r="3997" spans="1:7" x14ac:dyDescent="0.3">
      <c r="A3997">
        <v>33996</v>
      </c>
      <c r="B3997">
        <v>230</v>
      </c>
      <c r="C3997" s="2">
        <v>45107</v>
      </c>
      <c r="D3997" s="2" t="str">
        <f>TEXT(Table5[[#This Row],[bill_date]],"mmmm")</f>
        <v>June</v>
      </c>
      <c r="E3997" s="9">
        <f>YEAR(Table5[[#This Row],[bill_date]])</f>
        <v>2023</v>
      </c>
      <c r="F3997">
        <v>266</v>
      </c>
      <c r="G3997" t="s">
        <v>30</v>
      </c>
    </row>
    <row r="3998" spans="1:7" x14ac:dyDescent="0.3">
      <c r="A3998">
        <v>33997</v>
      </c>
      <c r="B3998">
        <v>76</v>
      </c>
      <c r="C3998" s="2">
        <v>45337</v>
      </c>
      <c r="D3998" s="2" t="str">
        <f>TEXT(Table5[[#This Row],[bill_date]],"mmmm")</f>
        <v>February</v>
      </c>
      <c r="E3998" s="9">
        <f>YEAR(Table5[[#This Row],[bill_date]])</f>
        <v>2024</v>
      </c>
      <c r="F3998">
        <v>522</v>
      </c>
      <c r="G3998" t="s">
        <v>30</v>
      </c>
    </row>
    <row r="3999" spans="1:7" x14ac:dyDescent="0.3">
      <c r="A3999">
        <v>33998</v>
      </c>
      <c r="B3999">
        <v>323</v>
      </c>
      <c r="C3999" s="2">
        <v>45374</v>
      </c>
      <c r="D3999" s="2" t="str">
        <f>TEXT(Table5[[#This Row],[bill_date]],"mmmm")</f>
        <v>March</v>
      </c>
      <c r="E3999" s="9">
        <f>YEAR(Table5[[#This Row],[bill_date]])</f>
        <v>2024</v>
      </c>
      <c r="F3999">
        <v>1377</v>
      </c>
      <c r="G3999" t="s">
        <v>28</v>
      </c>
    </row>
    <row r="4000" spans="1:7" x14ac:dyDescent="0.3">
      <c r="A4000">
        <v>33999</v>
      </c>
      <c r="B4000">
        <v>183</v>
      </c>
      <c r="C4000" s="2">
        <v>44621</v>
      </c>
      <c r="D4000" s="2" t="str">
        <f>TEXT(Table5[[#This Row],[bill_date]],"mmmm")</f>
        <v>March</v>
      </c>
      <c r="E4000" s="9">
        <f>YEAR(Table5[[#This Row],[bill_date]])</f>
        <v>2022</v>
      </c>
      <c r="F4000">
        <v>652</v>
      </c>
      <c r="G4000" t="s">
        <v>28</v>
      </c>
    </row>
    <row r="4001" spans="1:7" x14ac:dyDescent="0.3">
      <c r="A4001">
        <v>34000</v>
      </c>
      <c r="B4001">
        <v>274</v>
      </c>
      <c r="C4001" s="2">
        <v>44745</v>
      </c>
      <c r="D4001" s="2" t="str">
        <f>TEXT(Table5[[#This Row],[bill_date]],"mmmm")</f>
        <v>July</v>
      </c>
      <c r="E4001" s="9">
        <f>YEAR(Table5[[#This Row],[bill_date]])</f>
        <v>2022</v>
      </c>
      <c r="F4001">
        <v>424</v>
      </c>
      <c r="G4001" t="s">
        <v>30</v>
      </c>
    </row>
    <row r="4002" spans="1:7" x14ac:dyDescent="0.3">
      <c r="A4002">
        <v>34001</v>
      </c>
      <c r="B4002">
        <v>277</v>
      </c>
      <c r="C4002" s="2">
        <v>45399</v>
      </c>
      <c r="D4002" s="2" t="str">
        <f>TEXT(Table5[[#This Row],[bill_date]],"mmmm")</f>
        <v>April</v>
      </c>
      <c r="E4002" s="9">
        <f>YEAR(Table5[[#This Row],[bill_date]])</f>
        <v>2024</v>
      </c>
      <c r="F4002">
        <v>1455</v>
      </c>
      <c r="G4002" t="s">
        <v>30</v>
      </c>
    </row>
    <row r="4003" spans="1:7" x14ac:dyDescent="0.3">
      <c r="A4003">
        <v>34002</v>
      </c>
      <c r="B4003">
        <v>227</v>
      </c>
      <c r="C4003" s="2">
        <v>45430</v>
      </c>
      <c r="D4003" s="2" t="str">
        <f>TEXT(Table5[[#This Row],[bill_date]],"mmmm")</f>
        <v>May</v>
      </c>
      <c r="E4003" s="9">
        <f>YEAR(Table5[[#This Row],[bill_date]])</f>
        <v>2024</v>
      </c>
      <c r="F4003">
        <v>1730</v>
      </c>
      <c r="G4003" t="s">
        <v>29</v>
      </c>
    </row>
    <row r="4004" spans="1:7" x14ac:dyDescent="0.3">
      <c r="A4004">
        <v>34003</v>
      </c>
      <c r="B4004">
        <v>448</v>
      </c>
      <c r="C4004" s="2">
        <v>44926</v>
      </c>
      <c r="D4004" s="2" t="str">
        <f>TEXT(Table5[[#This Row],[bill_date]],"mmmm")</f>
        <v>December</v>
      </c>
      <c r="E4004" s="9">
        <f>YEAR(Table5[[#This Row],[bill_date]])</f>
        <v>2022</v>
      </c>
      <c r="F4004">
        <v>302</v>
      </c>
      <c r="G4004" t="s">
        <v>30</v>
      </c>
    </row>
    <row r="4005" spans="1:7" x14ac:dyDescent="0.3">
      <c r="A4005">
        <v>34004</v>
      </c>
      <c r="B4005">
        <v>165</v>
      </c>
      <c r="C4005" s="2">
        <v>44995</v>
      </c>
      <c r="D4005" s="2" t="str">
        <f>TEXT(Table5[[#This Row],[bill_date]],"mmmm")</f>
        <v>March</v>
      </c>
      <c r="E4005" s="9">
        <f>YEAR(Table5[[#This Row],[bill_date]])</f>
        <v>2023</v>
      </c>
      <c r="F4005">
        <v>664</v>
      </c>
      <c r="G4005" t="s">
        <v>28</v>
      </c>
    </row>
    <row r="4006" spans="1:7" x14ac:dyDescent="0.3">
      <c r="A4006">
        <v>34005</v>
      </c>
      <c r="B4006">
        <v>275</v>
      </c>
      <c r="C4006" s="2">
        <v>44760</v>
      </c>
      <c r="D4006" s="2" t="str">
        <f>TEXT(Table5[[#This Row],[bill_date]],"mmmm")</f>
        <v>July</v>
      </c>
      <c r="E4006" s="9">
        <f>YEAR(Table5[[#This Row],[bill_date]])</f>
        <v>2022</v>
      </c>
      <c r="F4006">
        <v>626</v>
      </c>
      <c r="G4006" t="s">
        <v>30</v>
      </c>
    </row>
    <row r="4007" spans="1:7" x14ac:dyDescent="0.3">
      <c r="A4007">
        <v>34006</v>
      </c>
      <c r="B4007">
        <v>217</v>
      </c>
      <c r="C4007" s="2">
        <v>45314</v>
      </c>
      <c r="D4007" s="2" t="str">
        <f>TEXT(Table5[[#This Row],[bill_date]],"mmmm")</f>
        <v>January</v>
      </c>
      <c r="E4007" s="9">
        <f>YEAR(Table5[[#This Row],[bill_date]])</f>
        <v>2024</v>
      </c>
      <c r="F4007">
        <v>1974</v>
      </c>
      <c r="G4007" t="s">
        <v>30</v>
      </c>
    </row>
    <row r="4008" spans="1:7" x14ac:dyDescent="0.3">
      <c r="A4008">
        <v>34007</v>
      </c>
      <c r="B4008">
        <v>312</v>
      </c>
      <c r="C4008" s="2">
        <v>44793</v>
      </c>
      <c r="D4008" s="2" t="str">
        <f>TEXT(Table5[[#This Row],[bill_date]],"mmmm")</f>
        <v>August</v>
      </c>
      <c r="E4008" s="9">
        <f>YEAR(Table5[[#This Row],[bill_date]])</f>
        <v>2022</v>
      </c>
      <c r="F4008">
        <v>1191</v>
      </c>
      <c r="G4008" t="s">
        <v>28</v>
      </c>
    </row>
    <row r="4009" spans="1:7" x14ac:dyDescent="0.3">
      <c r="A4009">
        <v>34008</v>
      </c>
      <c r="B4009">
        <v>190</v>
      </c>
      <c r="C4009" s="2">
        <v>45284</v>
      </c>
      <c r="D4009" s="2" t="str">
        <f>TEXT(Table5[[#This Row],[bill_date]],"mmmm")</f>
        <v>December</v>
      </c>
      <c r="E4009" s="9">
        <f>YEAR(Table5[[#This Row],[bill_date]])</f>
        <v>2023</v>
      </c>
      <c r="F4009">
        <v>640</v>
      </c>
      <c r="G4009" t="s">
        <v>28</v>
      </c>
    </row>
    <row r="4010" spans="1:7" x14ac:dyDescent="0.3">
      <c r="A4010">
        <v>34009</v>
      </c>
      <c r="B4010">
        <v>18</v>
      </c>
      <c r="C4010" s="2">
        <v>44929</v>
      </c>
      <c r="D4010" s="2" t="str">
        <f>TEXT(Table5[[#This Row],[bill_date]],"mmmm")</f>
        <v>January</v>
      </c>
      <c r="E4010" s="9">
        <f>YEAR(Table5[[#This Row],[bill_date]])</f>
        <v>2023</v>
      </c>
      <c r="F4010">
        <v>922</v>
      </c>
      <c r="G4010" t="s">
        <v>30</v>
      </c>
    </row>
    <row r="4011" spans="1:7" x14ac:dyDescent="0.3">
      <c r="A4011">
        <v>34010</v>
      </c>
      <c r="B4011">
        <v>232</v>
      </c>
      <c r="C4011" s="2">
        <v>44991</v>
      </c>
      <c r="D4011" s="2" t="str">
        <f>TEXT(Table5[[#This Row],[bill_date]],"mmmm")</f>
        <v>March</v>
      </c>
      <c r="E4011" s="9">
        <f>YEAR(Table5[[#This Row],[bill_date]])</f>
        <v>2023</v>
      </c>
      <c r="F4011">
        <v>1348</v>
      </c>
      <c r="G4011" t="s">
        <v>30</v>
      </c>
    </row>
    <row r="4012" spans="1:7" x14ac:dyDescent="0.3">
      <c r="A4012">
        <v>34011</v>
      </c>
      <c r="B4012">
        <v>414</v>
      </c>
      <c r="C4012" s="2">
        <v>45125</v>
      </c>
      <c r="D4012" s="2" t="str">
        <f>TEXT(Table5[[#This Row],[bill_date]],"mmmm")</f>
        <v>July</v>
      </c>
      <c r="E4012" s="9">
        <f>YEAR(Table5[[#This Row],[bill_date]])</f>
        <v>2023</v>
      </c>
      <c r="F4012">
        <v>1857</v>
      </c>
      <c r="G4012" t="s">
        <v>30</v>
      </c>
    </row>
    <row r="4013" spans="1:7" x14ac:dyDescent="0.3">
      <c r="A4013">
        <v>34012</v>
      </c>
      <c r="B4013">
        <v>184</v>
      </c>
      <c r="C4013" s="2">
        <v>44680</v>
      </c>
      <c r="D4013" s="2" t="str">
        <f>TEXT(Table5[[#This Row],[bill_date]],"mmmm")</f>
        <v>April</v>
      </c>
      <c r="E4013" s="9">
        <f>YEAR(Table5[[#This Row],[bill_date]])</f>
        <v>2022</v>
      </c>
      <c r="F4013">
        <v>1258</v>
      </c>
      <c r="G4013" t="s">
        <v>30</v>
      </c>
    </row>
    <row r="4014" spans="1:7" x14ac:dyDescent="0.3">
      <c r="A4014">
        <v>34013</v>
      </c>
      <c r="B4014">
        <v>106</v>
      </c>
      <c r="C4014" s="2">
        <v>44891</v>
      </c>
      <c r="D4014" s="2" t="str">
        <f>TEXT(Table5[[#This Row],[bill_date]],"mmmm")</f>
        <v>November</v>
      </c>
      <c r="E4014" s="9">
        <f>YEAR(Table5[[#This Row],[bill_date]])</f>
        <v>2022</v>
      </c>
      <c r="F4014">
        <v>1460</v>
      </c>
      <c r="G4014" t="s">
        <v>30</v>
      </c>
    </row>
    <row r="4015" spans="1:7" x14ac:dyDescent="0.3">
      <c r="A4015">
        <v>34014</v>
      </c>
      <c r="B4015">
        <v>243</v>
      </c>
      <c r="C4015" s="2">
        <v>44776</v>
      </c>
      <c r="D4015" s="2" t="str">
        <f>TEXT(Table5[[#This Row],[bill_date]],"mmmm")</f>
        <v>August</v>
      </c>
      <c r="E4015" s="9">
        <f>YEAR(Table5[[#This Row],[bill_date]])</f>
        <v>2022</v>
      </c>
      <c r="F4015">
        <v>1464</v>
      </c>
      <c r="G4015" t="s">
        <v>30</v>
      </c>
    </row>
    <row r="4016" spans="1:7" x14ac:dyDescent="0.3">
      <c r="A4016">
        <v>34015</v>
      </c>
      <c r="B4016">
        <v>426</v>
      </c>
      <c r="C4016" s="2">
        <v>44883</v>
      </c>
      <c r="D4016" s="2" t="str">
        <f>TEXT(Table5[[#This Row],[bill_date]],"mmmm")</f>
        <v>November</v>
      </c>
      <c r="E4016" s="9">
        <f>YEAR(Table5[[#This Row],[bill_date]])</f>
        <v>2022</v>
      </c>
      <c r="F4016">
        <v>331</v>
      </c>
      <c r="G4016" t="s">
        <v>29</v>
      </c>
    </row>
    <row r="4017" spans="1:7" x14ac:dyDescent="0.3">
      <c r="A4017">
        <v>34016</v>
      </c>
      <c r="B4017">
        <v>53</v>
      </c>
      <c r="C4017" s="2">
        <v>44710</v>
      </c>
      <c r="D4017" s="2" t="str">
        <f>TEXT(Table5[[#This Row],[bill_date]],"mmmm")</f>
        <v>May</v>
      </c>
      <c r="E4017" s="9">
        <f>YEAR(Table5[[#This Row],[bill_date]])</f>
        <v>2022</v>
      </c>
      <c r="F4017">
        <v>1090</v>
      </c>
      <c r="G4017" t="s">
        <v>30</v>
      </c>
    </row>
    <row r="4018" spans="1:7" x14ac:dyDescent="0.3">
      <c r="A4018">
        <v>34017</v>
      </c>
      <c r="B4018">
        <v>226</v>
      </c>
      <c r="C4018" s="2">
        <v>44969</v>
      </c>
      <c r="D4018" s="2" t="str">
        <f>TEXT(Table5[[#This Row],[bill_date]],"mmmm")</f>
        <v>February</v>
      </c>
      <c r="E4018" s="9">
        <f>YEAR(Table5[[#This Row],[bill_date]])</f>
        <v>2023</v>
      </c>
      <c r="F4018">
        <v>1449</v>
      </c>
      <c r="G4018" t="s">
        <v>30</v>
      </c>
    </row>
    <row r="4019" spans="1:7" x14ac:dyDescent="0.3">
      <c r="A4019">
        <v>34018</v>
      </c>
      <c r="B4019">
        <v>202</v>
      </c>
      <c r="C4019" s="2">
        <v>45249</v>
      </c>
      <c r="D4019" s="2" t="str">
        <f>TEXT(Table5[[#This Row],[bill_date]],"mmmm")</f>
        <v>November</v>
      </c>
      <c r="E4019" s="9">
        <f>YEAR(Table5[[#This Row],[bill_date]])</f>
        <v>2023</v>
      </c>
      <c r="F4019">
        <v>1625</v>
      </c>
      <c r="G4019" t="s">
        <v>30</v>
      </c>
    </row>
    <row r="4020" spans="1:7" x14ac:dyDescent="0.3">
      <c r="A4020">
        <v>34019</v>
      </c>
      <c r="B4020">
        <v>86</v>
      </c>
      <c r="C4020" s="2">
        <v>44938</v>
      </c>
      <c r="D4020" s="2" t="str">
        <f>TEXT(Table5[[#This Row],[bill_date]],"mmmm")</f>
        <v>January</v>
      </c>
      <c r="E4020" s="9">
        <f>YEAR(Table5[[#This Row],[bill_date]])</f>
        <v>2023</v>
      </c>
      <c r="F4020">
        <v>594</v>
      </c>
      <c r="G4020" t="s">
        <v>30</v>
      </c>
    </row>
    <row r="4021" spans="1:7" x14ac:dyDescent="0.3">
      <c r="A4021">
        <v>34020</v>
      </c>
      <c r="B4021">
        <v>50</v>
      </c>
      <c r="C4021" s="2">
        <v>45342</v>
      </c>
      <c r="D4021" s="2" t="str">
        <f>TEXT(Table5[[#This Row],[bill_date]],"mmmm")</f>
        <v>February</v>
      </c>
      <c r="E4021" s="9">
        <f>YEAR(Table5[[#This Row],[bill_date]])</f>
        <v>2024</v>
      </c>
      <c r="F4021">
        <v>288</v>
      </c>
      <c r="G4021" t="s">
        <v>30</v>
      </c>
    </row>
    <row r="4022" spans="1:7" x14ac:dyDescent="0.3">
      <c r="A4022">
        <v>34021</v>
      </c>
      <c r="B4022">
        <v>383</v>
      </c>
      <c r="C4022" s="2">
        <v>44881</v>
      </c>
      <c r="D4022" s="2" t="str">
        <f>TEXT(Table5[[#This Row],[bill_date]],"mmmm")</f>
        <v>November</v>
      </c>
      <c r="E4022" s="9">
        <f>YEAR(Table5[[#This Row],[bill_date]])</f>
        <v>2022</v>
      </c>
      <c r="F4022">
        <v>453</v>
      </c>
      <c r="G4022" t="s">
        <v>30</v>
      </c>
    </row>
    <row r="4023" spans="1:7" x14ac:dyDescent="0.3">
      <c r="A4023">
        <v>34022</v>
      </c>
      <c r="B4023">
        <v>260</v>
      </c>
      <c r="C4023" s="2">
        <v>44566</v>
      </c>
      <c r="D4023" s="2" t="str">
        <f>TEXT(Table5[[#This Row],[bill_date]],"mmmm")</f>
        <v>January</v>
      </c>
      <c r="E4023" s="9">
        <f>YEAR(Table5[[#This Row],[bill_date]])</f>
        <v>2022</v>
      </c>
      <c r="F4023">
        <v>1154</v>
      </c>
      <c r="G4023" t="s">
        <v>30</v>
      </c>
    </row>
    <row r="4024" spans="1:7" x14ac:dyDescent="0.3">
      <c r="A4024">
        <v>34023</v>
      </c>
      <c r="B4024">
        <v>319</v>
      </c>
      <c r="C4024" s="2">
        <v>44963</v>
      </c>
      <c r="D4024" s="2" t="str">
        <f>TEXT(Table5[[#This Row],[bill_date]],"mmmm")</f>
        <v>February</v>
      </c>
      <c r="E4024" s="9">
        <f>YEAR(Table5[[#This Row],[bill_date]])</f>
        <v>2023</v>
      </c>
      <c r="F4024">
        <v>281</v>
      </c>
      <c r="G4024" t="s">
        <v>30</v>
      </c>
    </row>
    <row r="4025" spans="1:7" x14ac:dyDescent="0.3">
      <c r="A4025">
        <v>34024</v>
      </c>
      <c r="B4025">
        <v>195</v>
      </c>
      <c r="C4025" s="2">
        <v>45189</v>
      </c>
      <c r="D4025" s="2" t="str">
        <f>TEXT(Table5[[#This Row],[bill_date]],"mmmm")</f>
        <v>September</v>
      </c>
      <c r="E4025" s="9">
        <f>YEAR(Table5[[#This Row],[bill_date]])</f>
        <v>2023</v>
      </c>
      <c r="F4025">
        <v>1722</v>
      </c>
      <c r="G4025" t="s">
        <v>28</v>
      </c>
    </row>
    <row r="4026" spans="1:7" x14ac:dyDescent="0.3">
      <c r="A4026">
        <v>34025</v>
      </c>
      <c r="B4026">
        <v>369</v>
      </c>
      <c r="C4026" s="2">
        <v>44764</v>
      </c>
      <c r="D4026" s="2" t="str">
        <f>TEXT(Table5[[#This Row],[bill_date]],"mmmm")</f>
        <v>July</v>
      </c>
      <c r="E4026" s="9">
        <f>YEAR(Table5[[#This Row],[bill_date]])</f>
        <v>2022</v>
      </c>
      <c r="F4026">
        <v>849</v>
      </c>
      <c r="G4026" t="s">
        <v>30</v>
      </c>
    </row>
    <row r="4027" spans="1:7" x14ac:dyDescent="0.3">
      <c r="A4027">
        <v>34026</v>
      </c>
      <c r="B4027">
        <v>248</v>
      </c>
      <c r="C4027" s="2">
        <v>44598</v>
      </c>
      <c r="D4027" s="2" t="str">
        <f>TEXT(Table5[[#This Row],[bill_date]],"mmmm")</f>
        <v>February</v>
      </c>
      <c r="E4027" s="9">
        <f>YEAR(Table5[[#This Row],[bill_date]])</f>
        <v>2022</v>
      </c>
      <c r="F4027">
        <v>1531</v>
      </c>
      <c r="G4027" t="s">
        <v>30</v>
      </c>
    </row>
    <row r="4028" spans="1:7" x14ac:dyDescent="0.3">
      <c r="A4028">
        <v>34027</v>
      </c>
      <c r="B4028">
        <v>56</v>
      </c>
      <c r="C4028" s="2">
        <v>44615</v>
      </c>
      <c r="D4028" s="2" t="str">
        <f>TEXT(Table5[[#This Row],[bill_date]],"mmmm")</f>
        <v>February</v>
      </c>
      <c r="E4028" s="9">
        <f>YEAR(Table5[[#This Row],[bill_date]])</f>
        <v>2022</v>
      </c>
      <c r="F4028">
        <v>730</v>
      </c>
      <c r="G4028" t="s">
        <v>30</v>
      </c>
    </row>
    <row r="4029" spans="1:7" x14ac:dyDescent="0.3">
      <c r="A4029">
        <v>34028</v>
      </c>
      <c r="B4029">
        <v>177</v>
      </c>
      <c r="C4029" s="2">
        <v>44849</v>
      </c>
      <c r="D4029" s="2" t="str">
        <f>TEXT(Table5[[#This Row],[bill_date]],"mmmm")</f>
        <v>October</v>
      </c>
      <c r="E4029" s="9">
        <f>YEAR(Table5[[#This Row],[bill_date]])</f>
        <v>2022</v>
      </c>
      <c r="F4029">
        <v>1039</v>
      </c>
      <c r="G4029" t="s">
        <v>30</v>
      </c>
    </row>
    <row r="4030" spans="1:7" x14ac:dyDescent="0.3">
      <c r="A4030">
        <v>34029</v>
      </c>
      <c r="B4030">
        <v>476</v>
      </c>
      <c r="C4030" s="2">
        <v>44845</v>
      </c>
      <c r="D4030" s="2" t="str">
        <f>TEXT(Table5[[#This Row],[bill_date]],"mmmm")</f>
        <v>October</v>
      </c>
      <c r="E4030" s="9">
        <f>YEAR(Table5[[#This Row],[bill_date]])</f>
        <v>2022</v>
      </c>
      <c r="F4030">
        <v>1306</v>
      </c>
      <c r="G4030" t="s">
        <v>30</v>
      </c>
    </row>
    <row r="4031" spans="1:7" x14ac:dyDescent="0.3">
      <c r="A4031">
        <v>34030</v>
      </c>
      <c r="B4031">
        <v>150</v>
      </c>
      <c r="C4031" s="2">
        <v>45159</v>
      </c>
      <c r="D4031" s="2" t="str">
        <f>TEXT(Table5[[#This Row],[bill_date]],"mmmm")</f>
        <v>August</v>
      </c>
      <c r="E4031" s="9">
        <f>YEAR(Table5[[#This Row],[bill_date]])</f>
        <v>2023</v>
      </c>
      <c r="F4031">
        <v>225</v>
      </c>
      <c r="G4031" t="s">
        <v>28</v>
      </c>
    </row>
    <row r="4032" spans="1:7" x14ac:dyDescent="0.3">
      <c r="A4032">
        <v>34031</v>
      </c>
      <c r="B4032">
        <v>396</v>
      </c>
      <c r="C4032" s="2">
        <v>44606</v>
      </c>
      <c r="D4032" s="2" t="str">
        <f>TEXT(Table5[[#This Row],[bill_date]],"mmmm")</f>
        <v>February</v>
      </c>
      <c r="E4032" s="9">
        <f>YEAR(Table5[[#This Row],[bill_date]])</f>
        <v>2022</v>
      </c>
      <c r="F4032">
        <v>1213</v>
      </c>
      <c r="G4032" t="s">
        <v>28</v>
      </c>
    </row>
    <row r="4033" spans="1:7" x14ac:dyDescent="0.3">
      <c r="A4033">
        <v>34032</v>
      </c>
      <c r="B4033">
        <v>433</v>
      </c>
      <c r="C4033" s="2">
        <v>44845</v>
      </c>
      <c r="D4033" s="2" t="str">
        <f>TEXT(Table5[[#This Row],[bill_date]],"mmmm")</f>
        <v>October</v>
      </c>
      <c r="E4033" s="9">
        <f>YEAR(Table5[[#This Row],[bill_date]])</f>
        <v>2022</v>
      </c>
      <c r="F4033">
        <v>1792</v>
      </c>
      <c r="G4033" t="s">
        <v>30</v>
      </c>
    </row>
    <row r="4034" spans="1:7" x14ac:dyDescent="0.3">
      <c r="A4034">
        <v>34033</v>
      </c>
      <c r="B4034">
        <v>13</v>
      </c>
      <c r="C4034" s="2">
        <v>45394</v>
      </c>
      <c r="D4034" s="2" t="str">
        <f>TEXT(Table5[[#This Row],[bill_date]],"mmmm")</f>
        <v>April</v>
      </c>
      <c r="E4034" s="9">
        <f>YEAR(Table5[[#This Row],[bill_date]])</f>
        <v>2024</v>
      </c>
      <c r="F4034">
        <v>577</v>
      </c>
      <c r="G4034" t="s">
        <v>30</v>
      </c>
    </row>
    <row r="4035" spans="1:7" x14ac:dyDescent="0.3">
      <c r="A4035">
        <v>34034</v>
      </c>
      <c r="B4035">
        <v>361</v>
      </c>
      <c r="C4035" s="2">
        <v>45143</v>
      </c>
      <c r="D4035" s="2" t="str">
        <f>TEXT(Table5[[#This Row],[bill_date]],"mmmm")</f>
        <v>August</v>
      </c>
      <c r="E4035" s="9">
        <f>YEAR(Table5[[#This Row],[bill_date]])</f>
        <v>2023</v>
      </c>
      <c r="F4035">
        <v>1552</v>
      </c>
      <c r="G4035" t="s">
        <v>30</v>
      </c>
    </row>
    <row r="4036" spans="1:7" x14ac:dyDescent="0.3">
      <c r="A4036">
        <v>34035</v>
      </c>
      <c r="B4036">
        <v>289</v>
      </c>
      <c r="C4036" s="2">
        <v>44603</v>
      </c>
      <c r="D4036" s="2" t="str">
        <f>TEXT(Table5[[#This Row],[bill_date]],"mmmm")</f>
        <v>February</v>
      </c>
      <c r="E4036" s="9">
        <f>YEAR(Table5[[#This Row],[bill_date]])</f>
        <v>2022</v>
      </c>
      <c r="F4036">
        <v>591</v>
      </c>
      <c r="G4036" t="s">
        <v>30</v>
      </c>
    </row>
    <row r="4037" spans="1:7" x14ac:dyDescent="0.3">
      <c r="A4037">
        <v>34036</v>
      </c>
      <c r="B4037">
        <v>431</v>
      </c>
      <c r="C4037" s="2">
        <v>44978</v>
      </c>
      <c r="D4037" s="2" t="str">
        <f>TEXT(Table5[[#This Row],[bill_date]],"mmmm")</f>
        <v>February</v>
      </c>
      <c r="E4037" s="9">
        <f>YEAR(Table5[[#This Row],[bill_date]])</f>
        <v>2023</v>
      </c>
      <c r="F4037">
        <v>415</v>
      </c>
      <c r="G4037" t="s">
        <v>30</v>
      </c>
    </row>
    <row r="4038" spans="1:7" x14ac:dyDescent="0.3">
      <c r="A4038">
        <v>34037</v>
      </c>
      <c r="B4038">
        <v>64</v>
      </c>
      <c r="C4038" s="2">
        <v>44833</v>
      </c>
      <c r="D4038" s="2" t="str">
        <f>TEXT(Table5[[#This Row],[bill_date]],"mmmm")</f>
        <v>September</v>
      </c>
      <c r="E4038" s="9">
        <f>YEAR(Table5[[#This Row],[bill_date]])</f>
        <v>2022</v>
      </c>
      <c r="F4038">
        <v>579</v>
      </c>
      <c r="G4038" t="s">
        <v>30</v>
      </c>
    </row>
    <row r="4039" spans="1:7" x14ac:dyDescent="0.3">
      <c r="A4039">
        <v>34038</v>
      </c>
      <c r="B4039">
        <v>339</v>
      </c>
      <c r="C4039" s="2">
        <v>44702</v>
      </c>
      <c r="D4039" s="2" t="str">
        <f>TEXT(Table5[[#This Row],[bill_date]],"mmmm")</f>
        <v>May</v>
      </c>
      <c r="E4039" s="9">
        <f>YEAR(Table5[[#This Row],[bill_date]])</f>
        <v>2022</v>
      </c>
      <c r="F4039">
        <v>835</v>
      </c>
      <c r="G4039" t="s">
        <v>30</v>
      </c>
    </row>
    <row r="4040" spans="1:7" x14ac:dyDescent="0.3">
      <c r="A4040">
        <v>34039</v>
      </c>
      <c r="B4040">
        <v>105</v>
      </c>
      <c r="C4040" s="2">
        <v>45132</v>
      </c>
      <c r="D4040" s="2" t="str">
        <f>TEXT(Table5[[#This Row],[bill_date]],"mmmm")</f>
        <v>July</v>
      </c>
      <c r="E4040" s="9">
        <f>YEAR(Table5[[#This Row],[bill_date]])</f>
        <v>2023</v>
      </c>
      <c r="F4040">
        <v>998</v>
      </c>
      <c r="G4040" t="s">
        <v>30</v>
      </c>
    </row>
    <row r="4041" spans="1:7" x14ac:dyDescent="0.3">
      <c r="A4041">
        <v>34040</v>
      </c>
      <c r="B4041">
        <v>401</v>
      </c>
      <c r="C4041" s="2">
        <v>45313</v>
      </c>
      <c r="D4041" s="2" t="str">
        <f>TEXT(Table5[[#This Row],[bill_date]],"mmmm")</f>
        <v>January</v>
      </c>
      <c r="E4041" s="9">
        <f>YEAR(Table5[[#This Row],[bill_date]])</f>
        <v>2024</v>
      </c>
      <c r="F4041">
        <v>1934</v>
      </c>
      <c r="G4041" t="s">
        <v>30</v>
      </c>
    </row>
    <row r="4042" spans="1:7" x14ac:dyDescent="0.3">
      <c r="A4042">
        <v>34041</v>
      </c>
      <c r="B4042">
        <v>239</v>
      </c>
      <c r="C4042" s="2">
        <v>44608</v>
      </c>
      <c r="D4042" s="2" t="str">
        <f>TEXT(Table5[[#This Row],[bill_date]],"mmmm")</f>
        <v>February</v>
      </c>
      <c r="E4042" s="9">
        <f>YEAR(Table5[[#This Row],[bill_date]])</f>
        <v>2022</v>
      </c>
      <c r="F4042">
        <v>706</v>
      </c>
      <c r="G4042" t="s">
        <v>29</v>
      </c>
    </row>
    <row r="4043" spans="1:7" x14ac:dyDescent="0.3">
      <c r="A4043">
        <v>34042</v>
      </c>
      <c r="B4043">
        <v>34</v>
      </c>
      <c r="C4043" s="2">
        <v>44728</v>
      </c>
      <c r="D4043" s="2" t="str">
        <f>TEXT(Table5[[#This Row],[bill_date]],"mmmm")</f>
        <v>June</v>
      </c>
      <c r="E4043" s="9">
        <f>YEAR(Table5[[#This Row],[bill_date]])</f>
        <v>2022</v>
      </c>
      <c r="F4043">
        <v>481</v>
      </c>
      <c r="G4043" t="s">
        <v>30</v>
      </c>
    </row>
    <row r="4044" spans="1:7" x14ac:dyDescent="0.3">
      <c r="A4044">
        <v>34043</v>
      </c>
      <c r="B4044">
        <v>324</v>
      </c>
      <c r="C4044" s="2">
        <v>45183</v>
      </c>
      <c r="D4044" s="2" t="str">
        <f>TEXT(Table5[[#This Row],[bill_date]],"mmmm")</f>
        <v>September</v>
      </c>
      <c r="E4044" s="9">
        <f>YEAR(Table5[[#This Row],[bill_date]])</f>
        <v>2023</v>
      </c>
      <c r="F4044">
        <v>412</v>
      </c>
      <c r="G4044" t="s">
        <v>30</v>
      </c>
    </row>
    <row r="4045" spans="1:7" x14ac:dyDescent="0.3">
      <c r="A4045">
        <v>34044</v>
      </c>
      <c r="B4045">
        <v>39</v>
      </c>
      <c r="C4045" s="2">
        <v>44687</v>
      </c>
      <c r="D4045" s="2" t="str">
        <f>TEXT(Table5[[#This Row],[bill_date]],"mmmm")</f>
        <v>May</v>
      </c>
      <c r="E4045" s="9">
        <f>YEAR(Table5[[#This Row],[bill_date]])</f>
        <v>2022</v>
      </c>
      <c r="F4045">
        <v>1378</v>
      </c>
      <c r="G4045" t="s">
        <v>28</v>
      </c>
    </row>
    <row r="4046" spans="1:7" x14ac:dyDescent="0.3">
      <c r="A4046">
        <v>34045</v>
      </c>
      <c r="B4046">
        <v>456</v>
      </c>
      <c r="C4046" s="2">
        <v>45033</v>
      </c>
      <c r="D4046" s="2" t="str">
        <f>TEXT(Table5[[#This Row],[bill_date]],"mmmm")</f>
        <v>April</v>
      </c>
      <c r="E4046" s="9">
        <f>YEAR(Table5[[#This Row],[bill_date]])</f>
        <v>2023</v>
      </c>
      <c r="F4046">
        <v>728</v>
      </c>
      <c r="G4046" t="s">
        <v>30</v>
      </c>
    </row>
    <row r="4047" spans="1:7" x14ac:dyDescent="0.3">
      <c r="A4047">
        <v>34046</v>
      </c>
      <c r="B4047">
        <v>225</v>
      </c>
      <c r="C4047" s="2">
        <v>45372</v>
      </c>
      <c r="D4047" s="2" t="str">
        <f>TEXT(Table5[[#This Row],[bill_date]],"mmmm")</f>
        <v>March</v>
      </c>
      <c r="E4047" s="9">
        <f>YEAR(Table5[[#This Row],[bill_date]])</f>
        <v>2024</v>
      </c>
      <c r="F4047">
        <v>1053</v>
      </c>
      <c r="G4047" t="s">
        <v>30</v>
      </c>
    </row>
    <row r="4048" spans="1:7" x14ac:dyDescent="0.3">
      <c r="A4048">
        <v>34047</v>
      </c>
      <c r="B4048">
        <v>129</v>
      </c>
      <c r="C4048" s="2">
        <v>45182</v>
      </c>
      <c r="D4048" s="2" t="str">
        <f>TEXT(Table5[[#This Row],[bill_date]],"mmmm")</f>
        <v>September</v>
      </c>
      <c r="E4048" s="9">
        <f>YEAR(Table5[[#This Row],[bill_date]])</f>
        <v>2023</v>
      </c>
      <c r="F4048">
        <v>815</v>
      </c>
      <c r="G4048" t="s">
        <v>30</v>
      </c>
    </row>
    <row r="4049" spans="1:7" x14ac:dyDescent="0.3">
      <c r="A4049">
        <v>34048</v>
      </c>
      <c r="B4049">
        <v>133</v>
      </c>
      <c r="C4049" s="2">
        <v>45238</v>
      </c>
      <c r="D4049" s="2" t="str">
        <f>TEXT(Table5[[#This Row],[bill_date]],"mmmm")</f>
        <v>November</v>
      </c>
      <c r="E4049" s="9">
        <f>YEAR(Table5[[#This Row],[bill_date]])</f>
        <v>2023</v>
      </c>
      <c r="F4049">
        <v>1381</v>
      </c>
      <c r="G4049" t="s">
        <v>30</v>
      </c>
    </row>
    <row r="4050" spans="1:7" x14ac:dyDescent="0.3">
      <c r="A4050">
        <v>34049</v>
      </c>
      <c r="B4050">
        <v>480</v>
      </c>
      <c r="C4050" s="2">
        <v>44931</v>
      </c>
      <c r="D4050" s="2" t="str">
        <f>TEXT(Table5[[#This Row],[bill_date]],"mmmm")</f>
        <v>January</v>
      </c>
      <c r="E4050" s="9">
        <f>YEAR(Table5[[#This Row],[bill_date]])</f>
        <v>2023</v>
      </c>
      <c r="F4050">
        <v>239</v>
      </c>
      <c r="G4050" t="s">
        <v>30</v>
      </c>
    </row>
    <row r="4051" spans="1:7" x14ac:dyDescent="0.3">
      <c r="A4051">
        <v>34050</v>
      </c>
      <c r="B4051">
        <v>40</v>
      </c>
      <c r="C4051" s="2">
        <v>45332</v>
      </c>
      <c r="D4051" s="2" t="str">
        <f>TEXT(Table5[[#This Row],[bill_date]],"mmmm")</f>
        <v>February</v>
      </c>
      <c r="E4051" s="9">
        <f>YEAR(Table5[[#This Row],[bill_date]])</f>
        <v>2024</v>
      </c>
      <c r="F4051">
        <v>1727</v>
      </c>
      <c r="G4051" t="s">
        <v>30</v>
      </c>
    </row>
    <row r="4052" spans="1:7" x14ac:dyDescent="0.3">
      <c r="A4052">
        <v>34051</v>
      </c>
      <c r="B4052">
        <v>319</v>
      </c>
      <c r="C4052" s="2">
        <v>45149</v>
      </c>
      <c r="D4052" s="2" t="str">
        <f>TEXT(Table5[[#This Row],[bill_date]],"mmmm")</f>
        <v>August</v>
      </c>
      <c r="E4052" s="9">
        <f>YEAR(Table5[[#This Row],[bill_date]])</f>
        <v>2023</v>
      </c>
      <c r="F4052">
        <v>717</v>
      </c>
      <c r="G4052" t="s">
        <v>30</v>
      </c>
    </row>
    <row r="4053" spans="1:7" x14ac:dyDescent="0.3">
      <c r="A4053">
        <v>34052</v>
      </c>
      <c r="B4053">
        <v>385</v>
      </c>
      <c r="C4053" s="2">
        <v>44568</v>
      </c>
      <c r="D4053" s="2" t="str">
        <f>TEXT(Table5[[#This Row],[bill_date]],"mmmm")</f>
        <v>January</v>
      </c>
      <c r="E4053" s="9">
        <f>YEAR(Table5[[#This Row],[bill_date]])</f>
        <v>2022</v>
      </c>
      <c r="F4053">
        <v>1227</v>
      </c>
      <c r="G4053" t="s">
        <v>28</v>
      </c>
    </row>
    <row r="4054" spans="1:7" x14ac:dyDescent="0.3">
      <c r="A4054">
        <v>34053</v>
      </c>
      <c r="B4054">
        <v>419</v>
      </c>
      <c r="C4054" s="2">
        <v>45259</v>
      </c>
      <c r="D4054" s="2" t="str">
        <f>TEXT(Table5[[#This Row],[bill_date]],"mmmm")</f>
        <v>November</v>
      </c>
      <c r="E4054" s="9">
        <f>YEAR(Table5[[#This Row],[bill_date]])</f>
        <v>2023</v>
      </c>
      <c r="F4054">
        <v>1243</v>
      </c>
      <c r="G4054" t="s">
        <v>30</v>
      </c>
    </row>
    <row r="4055" spans="1:7" x14ac:dyDescent="0.3">
      <c r="A4055">
        <v>34054</v>
      </c>
      <c r="B4055">
        <v>470</v>
      </c>
      <c r="C4055" s="2">
        <v>44837</v>
      </c>
      <c r="D4055" s="2" t="str">
        <f>TEXT(Table5[[#This Row],[bill_date]],"mmmm")</f>
        <v>October</v>
      </c>
      <c r="E4055" s="9">
        <f>YEAR(Table5[[#This Row],[bill_date]])</f>
        <v>2022</v>
      </c>
      <c r="F4055">
        <v>844</v>
      </c>
      <c r="G4055" t="s">
        <v>30</v>
      </c>
    </row>
    <row r="4056" spans="1:7" x14ac:dyDescent="0.3">
      <c r="A4056">
        <v>34055</v>
      </c>
      <c r="B4056">
        <v>221</v>
      </c>
      <c r="C4056" s="2">
        <v>45152</v>
      </c>
      <c r="D4056" s="2" t="str">
        <f>TEXT(Table5[[#This Row],[bill_date]],"mmmm")</f>
        <v>August</v>
      </c>
      <c r="E4056" s="9">
        <f>YEAR(Table5[[#This Row],[bill_date]])</f>
        <v>2023</v>
      </c>
      <c r="F4056">
        <v>1139</v>
      </c>
      <c r="G4056" t="s">
        <v>30</v>
      </c>
    </row>
    <row r="4057" spans="1:7" x14ac:dyDescent="0.3">
      <c r="A4057">
        <v>34056</v>
      </c>
      <c r="B4057">
        <v>401</v>
      </c>
      <c r="C4057" s="2">
        <v>44626</v>
      </c>
      <c r="D4057" s="2" t="str">
        <f>TEXT(Table5[[#This Row],[bill_date]],"mmmm")</f>
        <v>March</v>
      </c>
      <c r="E4057" s="9">
        <f>YEAR(Table5[[#This Row],[bill_date]])</f>
        <v>2022</v>
      </c>
      <c r="F4057">
        <v>1854</v>
      </c>
      <c r="G4057" t="s">
        <v>28</v>
      </c>
    </row>
    <row r="4058" spans="1:7" x14ac:dyDescent="0.3">
      <c r="A4058">
        <v>34057</v>
      </c>
      <c r="B4058">
        <v>94</v>
      </c>
      <c r="C4058" s="2">
        <v>45188</v>
      </c>
      <c r="D4058" s="2" t="str">
        <f>TEXT(Table5[[#This Row],[bill_date]],"mmmm")</f>
        <v>September</v>
      </c>
      <c r="E4058" s="9">
        <f>YEAR(Table5[[#This Row],[bill_date]])</f>
        <v>2023</v>
      </c>
      <c r="F4058">
        <v>440</v>
      </c>
      <c r="G4058" t="s">
        <v>30</v>
      </c>
    </row>
    <row r="4059" spans="1:7" x14ac:dyDescent="0.3">
      <c r="A4059">
        <v>34058</v>
      </c>
      <c r="B4059">
        <v>99</v>
      </c>
      <c r="C4059" s="2">
        <v>44763</v>
      </c>
      <c r="D4059" s="2" t="str">
        <f>TEXT(Table5[[#This Row],[bill_date]],"mmmm")</f>
        <v>July</v>
      </c>
      <c r="E4059" s="9">
        <f>YEAR(Table5[[#This Row],[bill_date]])</f>
        <v>2022</v>
      </c>
      <c r="F4059">
        <v>1129</v>
      </c>
      <c r="G4059" t="s">
        <v>30</v>
      </c>
    </row>
    <row r="4060" spans="1:7" x14ac:dyDescent="0.3">
      <c r="A4060">
        <v>34059</v>
      </c>
      <c r="B4060">
        <v>60</v>
      </c>
      <c r="C4060" s="2">
        <v>44703</v>
      </c>
      <c r="D4060" s="2" t="str">
        <f>TEXT(Table5[[#This Row],[bill_date]],"mmmm")</f>
        <v>May</v>
      </c>
      <c r="E4060" s="9">
        <f>YEAR(Table5[[#This Row],[bill_date]])</f>
        <v>2022</v>
      </c>
      <c r="F4060">
        <v>304</v>
      </c>
      <c r="G4060" t="s">
        <v>30</v>
      </c>
    </row>
    <row r="4061" spans="1:7" x14ac:dyDescent="0.3">
      <c r="A4061">
        <v>34060</v>
      </c>
      <c r="B4061">
        <v>129</v>
      </c>
      <c r="C4061" s="2">
        <v>44659</v>
      </c>
      <c r="D4061" s="2" t="str">
        <f>TEXT(Table5[[#This Row],[bill_date]],"mmmm")</f>
        <v>April</v>
      </c>
      <c r="E4061" s="9">
        <f>YEAR(Table5[[#This Row],[bill_date]])</f>
        <v>2022</v>
      </c>
      <c r="F4061">
        <v>541</v>
      </c>
      <c r="G4061" t="s">
        <v>30</v>
      </c>
    </row>
    <row r="4062" spans="1:7" x14ac:dyDescent="0.3">
      <c r="A4062">
        <v>34061</v>
      </c>
      <c r="B4062">
        <v>132</v>
      </c>
      <c r="C4062" s="2">
        <v>45378</v>
      </c>
      <c r="D4062" s="2" t="str">
        <f>TEXT(Table5[[#This Row],[bill_date]],"mmmm")</f>
        <v>March</v>
      </c>
      <c r="E4062" s="9">
        <f>YEAR(Table5[[#This Row],[bill_date]])</f>
        <v>2024</v>
      </c>
      <c r="F4062">
        <v>1865</v>
      </c>
      <c r="G4062" t="s">
        <v>28</v>
      </c>
    </row>
    <row r="4063" spans="1:7" x14ac:dyDescent="0.3">
      <c r="A4063">
        <v>34062</v>
      </c>
      <c r="B4063">
        <v>393</v>
      </c>
      <c r="C4063" s="2">
        <v>44778</v>
      </c>
      <c r="D4063" s="2" t="str">
        <f>TEXT(Table5[[#This Row],[bill_date]],"mmmm")</f>
        <v>August</v>
      </c>
      <c r="E4063" s="9">
        <f>YEAR(Table5[[#This Row],[bill_date]])</f>
        <v>2022</v>
      </c>
      <c r="F4063">
        <v>615</v>
      </c>
      <c r="G4063" t="s">
        <v>30</v>
      </c>
    </row>
    <row r="4064" spans="1:7" x14ac:dyDescent="0.3">
      <c r="A4064">
        <v>34063</v>
      </c>
      <c r="B4064">
        <v>301</v>
      </c>
      <c r="C4064" s="2">
        <v>45147</v>
      </c>
      <c r="D4064" s="2" t="str">
        <f>TEXT(Table5[[#This Row],[bill_date]],"mmmm")</f>
        <v>August</v>
      </c>
      <c r="E4064" s="9">
        <f>YEAR(Table5[[#This Row],[bill_date]])</f>
        <v>2023</v>
      </c>
      <c r="F4064">
        <v>236</v>
      </c>
      <c r="G4064" t="s">
        <v>30</v>
      </c>
    </row>
    <row r="4065" spans="1:7" x14ac:dyDescent="0.3">
      <c r="A4065">
        <v>34064</v>
      </c>
      <c r="B4065">
        <v>416</v>
      </c>
      <c r="C4065" s="2">
        <v>44854</v>
      </c>
      <c r="D4065" s="2" t="str">
        <f>TEXT(Table5[[#This Row],[bill_date]],"mmmm")</f>
        <v>October</v>
      </c>
      <c r="E4065" s="9">
        <f>YEAR(Table5[[#This Row],[bill_date]])</f>
        <v>2022</v>
      </c>
      <c r="F4065">
        <v>1821</v>
      </c>
      <c r="G4065" t="s">
        <v>28</v>
      </c>
    </row>
    <row r="4066" spans="1:7" x14ac:dyDescent="0.3">
      <c r="A4066">
        <v>34065</v>
      </c>
      <c r="B4066">
        <v>69</v>
      </c>
      <c r="C4066" s="2">
        <v>45069</v>
      </c>
      <c r="D4066" s="2" t="str">
        <f>TEXT(Table5[[#This Row],[bill_date]],"mmmm")</f>
        <v>May</v>
      </c>
      <c r="E4066" s="9">
        <f>YEAR(Table5[[#This Row],[bill_date]])</f>
        <v>2023</v>
      </c>
      <c r="F4066">
        <v>534</v>
      </c>
      <c r="G4066" t="s">
        <v>30</v>
      </c>
    </row>
    <row r="4067" spans="1:7" x14ac:dyDescent="0.3">
      <c r="A4067">
        <v>34066</v>
      </c>
      <c r="B4067">
        <v>14</v>
      </c>
      <c r="C4067" s="2">
        <v>44695</v>
      </c>
      <c r="D4067" s="2" t="str">
        <f>TEXT(Table5[[#This Row],[bill_date]],"mmmm")</f>
        <v>May</v>
      </c>
      <c r="E4067" s="9">
        <f>YEAR(Table5[[#This Row],[bill_date]])</f>
        <v>2022</v>
      </c>
      <c r="F4067">
        <v>671</v>
      </c>
      <c r="G4067" t="s">
        <v>30</v>
      </c>
    </row>
    <row r="4068" spans="1:7" x14ac:dyDescent="0.3">
      <c r="A4068">
        <v>34067</v>
      </c>
      <c r="B4068">
        <v>435</v>
      </c>
      <c r="C4068" s="2">
        <v>44823</v>
      </c>
      <c r="D4068" s="2" t="str">
        <f>TEXT(Table5[[#This Row],[bill_date]],"mmmm")</f>
        <v>September</v>
      </c>
      <c r="E4068" s="9">
        <f>YEAR(Table5[[#This Row],[bill_date]])</f>
        <v>2022</v>
      </c>
      <c r="F4068">
        <v>311</v>
      </c>
      <c r="G4068" t="s">
        <v>28</v>
      </c>
    </row>
    <row r="4069" spans="1:7" x14ac:dyDescent="0.3">
      <c r="A4069">
        <v>34068</v>
      </c>
      <c r="B4069">
        <v>474</v>
      </c>
      <c r="C4069" s="2">
        <v>44845</v>
      </c>
      <c r="D4069" s="2" t="str">
        <f>TEXT(Table5[[#This Row],[bill_date]],"mmmm")</f>
        <v>October</v>
      </c>
      <c r="E4069" s="9">
        <f>YEAR(Table5[[#This Row],[bill_date]])</f>
        <v>2022</v>
      </c>
      <c r="F4069">
        <v>449</v>
      </c>
      <c r="G4069" t="s">
        <v>28</v>
      </c>
    </row>
    <row r="4070" spans="1:7" x14ac:dyDescent="0.3">
      <c r="A4070">
        <v>34069</v>
      </c>
      <c r="B4070">
        <v>151</v>
      </c>
      <c r="C4070" s="2">
        <v>44663</v>
      </c>
      <c r="D4070" s="2" t="str">
        <f>TEXT(Table5[[#This Row],[bill_date]],"mmmm")</f>
        <v>April</v>
      </c>
      <c r="E4070" s="9">
        <f>YEAR(Table5[[#This Row],[bill_date]])</f>
        <v>2022</v>
      </c>
      <c r="F4070">
        <v>1110</v>
      </c>
      <c r="G4070" t="s">
        <v>30</v>
      </c>
    </row>
    <row r="4071" spans="1:7" x14ac:dyDescent="0.3">
      <c r="A4071">
        <v>34070</v>
      </c>
      <c r="B4071">
        <v>174</v>
      </c>
      <c r="C4071" s="2">
        <v>44938</v>
      </c>
      <c r="D4071" s="2" t="str">
        <f>TEXT(Table5[[#This Row],[bill_date]],"mmmm")</f>
        <v>January</v>
      </c>
      <c r="E4071" s="9">
        <f>YEAR(Table5[[#This Row],[bill_date]])</f>
        <v>2023</v>
      </c>
      <c r="F4071">
        <v>1567</v>
      </c>
      <c r="G4071" t="s">
        <v>28</v>
      </c>
    </row>
    <row r="4072" spans="1:7" x14ac:dyDescent="0.3">
      <c r="A4072">
        <v>34071</v>
      </c>
      <c r="B4072">
        <v>470</v>
      </c>
      <c r="C4072" s="2">
        <v>44767</v>
      </c>
      <c r="D4072" s="2" t="str">
        <f>TEXT(Table5[[#This Row],[bill_date]],"mmmm")</f>
        <v>July</v>
      </c>
      <c r="E4072" s="9">
        <f>YEAR(Table5[[#This Row],[bill_date]])</f>
        <v>2022</v>
      </c>
      <c r="F4072">
        <v>1293</v>
      </c>
      <c r="G4072" t="s">
        <v>30</v>
      </c>
    </row>
    <row r="4073" spans="1:7" x14ac:dyDescent="0.3">
      <c r="A4073">
        <v>34072</v>
      </c>
      <c r="B4073">
        <v>411</v>
      </c>
      <c r="C4073" s="2">
        <v>45214</v>
      </c>
      <c r="D4073" s="2" t="str">
        <f>TEXT(Table5[[#This Row],[bill_date]],"mmmm")</f>
        <v>October</v>
      </c>
      <c r="E4073" s="9">
        <f>YEAR(Table5[[#This Row],[bill_date]])</f>
        <v>2023</v>
      </c>
      <c r="F4073">
        <v>462</v>
      </c>
      <c r="G4073" t="s">
        <v>30</v>
      </c>
    </row>
    <row r="4074" spans="1:7" x14ac:dyDescent="0.3">
      <c r="A4074">
        <v>34073</v>
      </c>
      <c r="B4074">
        <v>345</v>
      </c>
      <c r="C4074" s="2">
        <v>44574</v>
      </c>
      <c r="D4074" s="2" t="str">
        <f>TEXT(Table5[[#This Row],[bill_date]],"mmmm")</f>
        <v>January</v>
      </c>
      <c r="E4074" s="9">
        <f>YEAR(Table5[[#This Row],[bill_date]])</f>
        <v>2022</v>
      </c>
      <c r="F4074">
        <v>1097</v>
      </c>
      <c r="G4074" t="s">
        <v>30</v>
      </c>
    </row>
    <row r="4075" spans="1:7" x14ac:dyDescent="0.3">
      <c r="A4075">
        <v>34074</v>
      </c>
      <c r="B4075">
        <v>292</v>
      </c>
      <c r="C4075" s="2">
        <v>45322</v>
      </c>
      <c r="D4075" s="2" t="str">
        <f>TEXT(Table5[[#This Row],[bill_date]],"mmmm")</f>
        <v>January</v>
      </c>
      <c r="E4075" s="9">
        <f>YEAR(Table5[[#This Row],[bill_date]])</f>
        <v>2024</v>
      </c>
      <c r="F4075">
        <v>779</v>
      </c>
      <c r="G4075" t="s">
        <v>30</v>
      </c>
    </row>
    <row r="4076" spans="1:7" x14ac:dyDescent="0.3">
      <c r="A4076">
        <v>34075</v>
      </c>
      <c r="B4076">
        <v>196</v>
      </c>
      <c r="C4076" s="2">
        <v>44684</v>
      </c>
      <c r="D4076" s="2" t="str">
        <f>TEXT(Table5[[#This Row],[bill_date]],"mmmm")</f>
        <v>May</v>
      </c>
      <c r="E4076" s="9">
        <f>YEAR(Table5[[#This Row],[bill_date]])</f>
        <v>2022</v>
      </c>
      <c r="F4076">
        <v>582</v>
      </c>
      <c r="G4076" t="s">
        <v>30</v>
      </c>
    </row>
    <row r="4077" spans="1:7" x14ac:dyDescent="0.3">
      <c r="A4077">
        <v>34076</v>
      </c>
      <c r="B4077">
        <v>32</v>
      </c>
      <c r="C4077" s="2">
        <v>44571</v>
      </c>
      <c r="D4077" s="2" t="str">
        <f>TEXT(Table5[[#This Row],[bill_date]],"mmmm")</f>
        <v>January</v>
      </c>
      <c r="E4077" s="9">
        <f>YEAR(Table5[[#This Row],[bill_date]])</f>
        <v>2022</v>
      </c>
      <c r="F4077">
        <v>1989</v>
      </c>
      <c r="G4077" t="s">
        <v>30</v>
      </c>
    </row>
    <row r="4078" spans="1:7" x14ac:dyDescent="0.3">
      <c r="A4078">
        <v>34077</v>
      </c>
      <c r="B4078">
        <v>73</v>
      </c>
      <c r="C4078" s="2">
        <v>45153</v>
      </c>
      <c r="D4078" s="2" t="str">
        <f>TEXT(Table5[[#This Row],[bill_date]],"mmmm")</f>
        <v>August</v>
      </c>
      <c r="E4078" s="9">
        <f>YEAR(Table5[[#This Row],[bill_date]])</f>
        <v>2023</v>
      </c>
      <c r="F4078">
        <v>985</v>
      </c>
      <c r="G4078" t="s">
        <v>28</v>
      </c>
    </row>
    <row r="4079" spans="1:7" x14ac:dyDescent="0.3">
      <c r="A4079">
        <v>34078</v>
      </c>
      <c r="B4079">
        <v>194</v>
      </c>
      <c r="C4079" s="2">
        <v>44728</v>
      </c>
      <c r="D4079" s="2" t="str">
        <f>TEXT(Table5[[#This Row],[bill_date]],"mmmm")</f>
        <v>June</v>
      </c>
      <c r="E4079" s="9">
        <f>YEAR(Table5[[#This Row],[bill_date]])</f>
        <v>2022</v>
      </c>
      <c r="F4079">
        <v>1613</v>
      </c>
      <c r="G4079" t="s">
        <v>30</v>
      </c>
    </row>
    <row r="4080" spans="1:7" x14ac:dyDescent="0.3">
      <c r="A4080">
        <v>34079</v>
      </c>
      <c r="B4080">
        <v>426</v>
      </c>
      <c r="C4080" s="2">
        <v>45172</v>
      </c>
      <c r="D4080" s="2" t="str">
        <f>TEXT(Table5[[#This Row],[bill_date]],"mmmm")</f>
        <v>September</v>
      </c>
      <c r="E4080" s="9">
        <f>YEAR(Table5[[#This Row],[bill_date]])</f>
        <v>2023</v>
      </c>
      <c r="F4080">
        <v>1208</v>
      </c>
      <c r="G4080" t="s">
        <v>30</v>
      </c>
    </row>
    <row r="4081" spans="1:7" x14ac:dyDescent="0.3">
      <c r="A4081">
        <v>34080</v>
      </c>
      <c r="B4081">
        <v>50</v>
      </c>
      <c r="C4081" s="2">
        <v>45280</v>
      </c>
      <c r="D4081" s="2" t="str">
        <f>TEXT(Table5[[#This Row],[bill_date]],"mmmm")</f>
        <v>December</v>
      </c>
      <c r="E4081" s="9">
        <f>YEAR(Table5[[#This Row],[bill_date]])</f>
        <v>2023</v>
      </c>
      <c r="F4081">
        <v>1820</v>
      </c>
      <c r="G4081" t="s">
        <v>28</v>
      </c>
    </row>
    <row r="4082" spans="1:7" x14ac:dyDescent="0.3">
      <c r="A4082">
        <v>34081</v>
      </c>
      <c r="B4082">
        <v>57</v>
      </c>
      <c r="C4082" s="2">
        <v>44712</v>
      </c>
      <c r="D4082" s="2" t="str">
        <f>TEXT(Table5[[#This Row],[bill_date]],"mmmm")</f>
        <v>May</v>
      </c>
      <c r="E4082" s="9">
        <f>YEAR(Table5[[#This Row],[bill_date]])</f>
        <v>2022</v>
      </c>
      <c r="F4082">
        <v>1952</v>
      </c>
      <c r="G4082" t="s">
        <v>30</v>
      </c>
    </row>
    <row r="4083" spans="1:7" x14ac:dyDescent="0.3">
      <c r="A4083">
        <v>34082</v>
      </c>
      <c r="B4083">
        <v>487</v>
      </c>
      <c r="C4083" s="2">
        <v>44598</v>
      </c>
      <c r="D4083" s="2" t="str">
        <f>TEXT(Table5[[#This Row],[bill_date]],"mmmm")</f>
        <v>February</v>
      </c>
      <c r="E4083" s="9">
        <f>YEAR(Table5[[#This Row],[bill_date]])</f>
        <v>2022</v>
      </c>
      <c r="F4083">
        <v>760</v>
      </c>
      <c r="G4083" t="s">
        <v>30</v>
      </c>
    </row>
    <row r="4084" spans="1:7" x14ac:dyDescent="0.3">
      <c r="A4084">
        <v>34083</v>
      </c>
      <c r="B4084">
        <v>117</v>
      </c>
      <c r="C4084" s="2">
        <v>45450</v>
      </c>
      <c r="D4084" s="2" t="str">
        <f>TEXT(Table5[[#This Row],[bill_date]],"mmmm")</f>
        <v>June</v>
      </c>
      <c r="E4084" s="9">
        <f>YEAR(Table5[[#This Row],[bill_date]])</f>
        <v>2024</v>
      </c>
      <c r="F4084">
        <v>671</v>
      </c>
      <c r="G4084" t="s">
        <v>29</v>
      </c>
    </row>
    <row r="4085" spans="1:7" x14ac:dyDescent="0.3">
      <c r="A4085">
        <v>34084</v>
      </c>
      <c r="B4085">
        <v>192</v>
      </c>
      <c r="C4085" s="2">
        <v>45337</v>
      </c>
      <c r="D4085" s="2" t="str">
        <f>TEXT(Table5[[#This Row],[bill_date]],"mmmm")</f>
        <v>February</v>
      </c>
      <c r="E4085" s="9">
        <f>YEAR(Table5[[#This Row],[bill_date]])</f>
        <v>2024</v>
      </c>
      <c r="F4085">
        <v>1733</v>
      </c>
      <c r="G4085" t="s">
        <v>30</v>
      </c>
    </row>
    <row r="4086" spans="1:7" x14ac:dyDescent="0.3">
      <c r="A4086">
        <v>34085</v>
      </c>
      <c r="B4086">
        <v>430</v>
      </c>
      <c r="C4086" s="2">
        <v>45035</v>
      </c>
      <c r="D4086" s="2" t="str">
        <f>TEXT(Table5[[#This Row],[bill_date]],"mmmm")</f>
        <v>April</v>
      </c>
      <c r="E4086" s="9">
        <f>YEAR(Table5[[#This Row],[bill_date]])</f>
        <v>2023</v>
      </c>
      <c r="F4086">
        <v>1356</v>
      </c>
      <c r="G4086" t="s">
        <v>30</v>
      </c>
    </row>
    <row r="4087" spans="1:7" x14ac:dyDescent="0.3">
      <c r="A4087">
        <v>34086</v>
      </c>
      <c r="B4087">
        <v>217</v>
      </c>
      <c r="C4087" s="2">
        <v>45005</v>
      </c>
      <c r="D4087" s="2" t="str">
        <f>TEXT(Table5[[#This Row],[bill_date]],"mmmm")</f>
        <v>March</v>
      </c>
      <c r="E4087" s="9">
        <f>YEAR(Table5[[#This Row],[bill_date]])</f>
        <v>2023</v>
      </c>
      <c r="F4087">
        <v>1611</v>
      </c>
      <c r="G4087" t="s">
        <v>30</v>
      </c>
    </row>
    <row r="4088" spans="1:7" x14ac:dyDescent="0.3">
      <c r="A4088">
        <v>34087</v>
      </c>
      <c r="B4088">
        <v>111</v>
      </c>
      <c r="C4088" s="2">
        <v>44903</v>
      </c>
      <c r="D4088" s="2" t="str">
        <f>TEXT(Table5[[#This Row],[bill_date]],"mmmm")</f>
        <v>December</v>
      </c>
      <c r="E4088" s="9">
        <f>YEAR(Table5[[#This Row],[bill_date]])</f>
        <v>2022</v>
      </c>
      <c r="F4088">
        <v>1964</v>
      </c>
      <c r="G4088" t="s">
        <v>30</v>
      </c>
    </row>
    <row r="4089" spans="1:7" x14ac:dyDescent="0.3">
      <c r="A4089">
        <v>34088</v>
      </c>
      <c r="B4089">
        <v>458</v>
      </c>
      <c r="C4089" s="2">
        <v>44566</v>
      </c>
      <c r="D4089" s="2" t="str">
        <f>TEXT(Table5[[#This Row],[bill_date]],"mmmm")</f>
        <v>January</v>
      </c>
      <c r="E4089" s="9">
        <f>YEAR(Table5[[#This Row],[bill_date]])</f>
        <v>2022</v>
      </c>
      <c r="F4089">
        <v>259</v>
      </c>
      <c r="G4089" t="s">
        <v>28</v>
      </c>
    </row>
    <row r="4090" spans="1:7" x14ac:dyDescent="0.3">
      <c r="A4090">
        <v>34089</v>
      </c>
      <c r="B4090">
        <v>485</v>
      </c>
      <c r="C4090" s="2">
        <v>45451</v>
      </c>
      <c r="D4090" s="2" t="str">
        <f>TEXT(Table5[[#This Row],[bill_date]],"mmmm")</f>
        <v>June</v>
      </c>
      <c r="E4090" s="9">
        <f>YEAR(Table5[[#This Row],[bill_date]])</f>
        <v>2024</v>
      </c>
      <c r="F4090">
        <v>1986</v>
      </c>
      <c r="G4090" t="s">
        <v>30</v>
      </c>
    </row>
    <row r="4091" spans="1:7" x14ac:dyDescent="0.3">
      <c r="A4091">
        <v>34090</v>
      </c>
      <c r="B4091">
        <v>89</v>
      </c>
      <c r="C4091" s="2">
        <v>44787</v>
      </c>
      <c r="D4091" s="2" t="str">
        <f>TEXT(Table5[[#This Row],[bill_date]],"mmmm")</f>
        <v>August</v>
      </c>
      <c r="E4091" s="9">
        <f>YEAR(Table5[[#This Row],[bill_date]])</f>
        <v>2022</v>
      </c>
      <c r="F4091">
        <v>1964</v>
      </c>
      <c r="G4091" t="s">
        <v>29</v>
      </c>
    </row>
    <row r="4092" spans="1:7" x14ac:dyDescent="0.3">
      <c r="A4092">
        <v>34091</v>
      </c>
      <c r="B4092">
        <v>360</v>
      </c>
      <c r="C4092" s="2">
        <v>45100</v>
      </c>
      <c r="D4092" s="2" t="str">
        <f>TEXT(Table5[[#This Row],[bill_date]],"mmmm")</f>
        <v>June</v>
      </c>
      <c r="E4092" s="9">
        <f>YEAR(Table5[[#This Row],[bill_date]])</f>
        <v>2023</v>
      </c>
      <c r="F4092">
        <v>1692</v>
      </c>
      <c r="G4092" t="s">
        <v>30</v>
      </c>
    </row>
    <row r="4093" spans="1:7" x14ac:dyDescent="0.3">
      <c r="A4093">
        <v>34092</v>
      </c>
      <c r="B4093">
        <v>310</v>
      </c>
      <c r="C4093" s="2">
        <v>44685</v>
      </c>
      <c r="D4093" s="2" t="str">
        <f>TEXT(Table5[[#This Row],[bill_date]],"mmmm")</f>
        <v>May</v>
      </c>
      <c r="E4093" s="9">
        <f>YEAR(Table5[[#This Row],[bill_date]])</f>
        <v>2022</v>
      </c>
      <c r="F4093">
        <v>1573</v>
      </c>
      <c r="G4093" t="s">
        <v>30</v>
      </c>
    </row>
    <row r="4094" spans="1:7" x14ac:dyDescent="0.3">
      <c r="A4094">
        <v>34093</v>
      </c>
      <c r="B4094">
        <v>309</v>
      </c>
      <c r="C4094" s="2">
        <v>44964</v>
      </c>
      <c r="D4094" s="2" t="str">
        <f>TEXT(Table5[[#This Row],[bill_date]],"mmmm")</f>
        <v>February</v>
      </c>
      <c r="E4094" s="9">
        <f>YEAR(Table5[[#This Row],[bill_date]])</f>
        <v>2023</v>
      </c>
      <c r="F4094">
        <v>1280</v>
      </c>
      <c r="G4094" t="s">
        <v>30</v>
      </c>
    </row>
    <row r="4095" spans="1:7" x14ac:dyDescent="0.3">
      <c r="A4095">
        <v>34094</v>
      </c>
      <c r="B4095">
        <v>157</v>
      </c>
      <c r="C4095" s="2">
        <v>45372</v>
      </c>
      <c r="D4095" s="2" t="str">
        <f>TEXT(Table5[[#This Row],[bill_date]],"mmmm")</f>
        <v>March</v>
      </c>
      <c r="E4095" s="9">
        <f>YEAR(Table5[[#This Row],[bill_date]])</f>
        <v>2024</v>
      </c>
      <c r="F4095">
        <v>1116</v>
      </c>
      <c r="G4095" t="s">
        <v>28</v>
      </c>
    </row>
    <row r="4096" spans="1:7" x14ac:dyDescent="0.3">
      <c r="A4096">
        <v>34095</v>
      </c>
      <c r="B4096">
        <v>421</v>
      </c>
      <c r="C4096" s="2">
        <v>44596</v>
      </c>
      <c r="D4096" s="2" t="str">
        <f>TEXT(Table5[[#This Row],[bill_date]],"mmmm")</f>
        <v>February</v>
      </c>
      <c r="E4096" s="9">
        <f>YEAR(Table5[[#This Row],[bill_date]])</f>
        <v>2022</v>
      </c>
      <c r="F4096">
        <v>1407</v>
      </c>
      <c r="G4096" t="s">
        <v>30</v>
      </c>
    </row>
    <row r="4097" spans="1:7" x14ac:dyDescent="0.3">
      <c r="A4097">
        <v>34096</v>
      </c>
      <c r="B4097">
        <v>69</v>
      </c>
      <c r="C4097" s="2">
        <v>44798</v>
      </c>
      <c r="D4097" s="2" t="str">
        <f>TEXT(Table5[[#This Row],[bill_date]],"mmmm")</f>
        <v>August</v>
      </c>
      <c r="E4097" s="9">
        <f>YEAR(Table5[[#This Row],[bill_date]])</f>
        <v>2022</v>
      </c>
      <c r="F4097">
        <v>1425</v>
      </c>
      <c r="G4097" t="s">
        <v>30</v>
      </c>
    </row>
    <row r="4098" spans="1:7" x14ac:dyDescent="0.3">
      <c r="A4098">
        <v>34097</v>
      </c>
      <c r="B4098">
        <v>270</v>
      </c>
      <c r="C4098" s="2">
        <v>45029</v>
      </c>
      <c r="D4098" s="2" t="str">
        <f>TEXT(Table5[[#This Row],[bill_date]],"mmmm")</f>
        <v>April</v>
      </c>
      <c r="E4098" s="9">
        <f>YEAR(Table5[[#This Row],[bill_date]])</f>
        <v>2023</v>
      </c>
      <c r="F4098">
        <v>1254</v>
      </c>
      <c r="G4098" t="s">
        <v>30</v>
      </c>
    </row>
    <row r="4099" spans="1:7" x14ac:dyDescent="0.3">
      <c r="A4099">
        <v>34098</v>
      </c>
      <c r="B4099">
        <v>225</v>
      </c>
      <c r="C4099" s="2">
        <v>45060</v>
      </c>
      <c r="D4099" s="2" t="str">
        <f>TEXT(Table5[[#This Row],[bill_date]],"mmmm")</f>
        <v>May</v>
      </c>
      <c r="E4099" s="9">
        <f>YEAR(Table5[[#This Row],[bill_date]])</f>
        <v>2023</v>
      </c>
      <c r="F4099">
        <v>855</v>
      </c>
      <c r="G4099" t="s">
        <v>30</v>
      </c>
    </row>
    <row r="4100" spans="1:7" x14ac:dyDescent="0.3">
      <c r="A4100">
        <v>34099</v>
      </c>
      <c r="B4100">
        <v>411</v>
      </c>
      <c r="C4100" s="2">
        <v>45073</v>
      </c>
      <c r="D4100" s="2" t="str">
        <f>TEXT(Table5[[#This Row],[bill_date]],"mmmm")</f>
        <v>May</v>
      </c>
      <c r="E4100" s="9">
        <f>YEAR(Table5[[#This Row],[bill_date]])</f>
        <v>2023</v>
      </c>
      <c r="F4100">
        <v>367</v>
      </c>
      <c r="G4100" t="s">
        <v>30</v>
      </c>
    </row>
    <row r="4101" spans="1:7" x14ac:dyDescent="0.3">
      <c r="A4101">
        <v>34100</v>
      </c>
      <c r="B4101">
        <v>5</v>
      </c>
      <c r="C4101" s="2">
        <v>45384</v>
      </c>
      <c r="D4101" s="2" t="str">
        <f>TEXT(Table5[[#This Row],[bill_date]],"mmmm")</f>
        <v>April</v>
      </c>
      <c r="E4101" s="9">
        <f>YEAR(Table5[[#This Row],[bill_date]])</f>
        <v>2024</v>
      </c>
      <c r="F4101">
        <v>1244</v>
      </c>
      <c r="G4101" t="s">
        <v>30</v>
      </c>
    </row>
    <row r="4102" spans="1:7" x14ac:dyDescent="0.3">
      <c r="A4102">
        <v>34101</v>
      </c>
      <c r="B4102">
        <v>243</v>
      </c>
      <c r="C4102" s="2">
        <v>44878</v>
      </c>
      <c r="D4102" s="2" t="str">
        <f>TEXT(Table5[[#This Row],[bill_date]],"mmmm")</f>
        <v>November</v>
      </c>
      <c r="E4102" s="9">
        <f>YEAR(Table5[[#This Row],[bill_date]])</f>
        <v>2022</v>
      </c>
      <c r="F4102">
        <v>1008</v>
      </c>
      <c r="G4102" t="s">
        <v>30</v>
      </c>
    </row>
    <row r="4103" spans="1:7" x14ac:dyDescent="0.3">
      <c r="A4103">
        <v>34102</v>
      </c>
      <c r="B4103">
        <v>118</v>
      </c>
      <c r="C4103" s="2">
        <v>44864</v>
      </c>
      <c r="D4103" s="2" t="str">
        <f>TEXT(Table5[[#This Row],[bill_date]],"mmmm")</f>
        <v>October</v>
      </c>
      <c r="E4103" s="9">
        <f>YEAR(Table5[[#This Row],[bill_date]])</f>
        <v>2022</v>
      </c>
      <c r="F4103">
        <v>1301</v>
      </c>
      <c r="G4103" t="s">
        <v>30</v>
      </c>
    </row>
    <row r="4104" spans="1:7" x14ac:dyDescent="0.3">
      <c r="A4104">
        <v>34103</v>
      </c>
      <c r="B4104">
        <v>172</v>
      </c>
      <c r="C4104" s="2">
        <v>44663</v>
      </c>
      <c r="D4104" s="2" t="str">
        <f>TEXT(Table5[[#This Row],[bill_date]],"mmmm")</f>
        <v>April</v>
      </c>
      <c r="E4104" s="9">
        <f>YEAR(Table5[[#This Row],[bill_date]])</f>
        <v>2022</v>
      </c>
      <c r="F4104">
        <v>1358</v>
      </c>
      <c r="G4104" t="s">
        <v>30</v>
      </c>
    </row>
    <row r="4105" spans="1:7" x14ac:dyDescent="0.3">
      <c r="A4105">
        <v>34104</v>
      </c>
      <c r="B4105">
        <v>143</v>
      </c>
      <c r="C4105" s="2">
        <v>45150</v>
      </c>
      <c r="D4105" s="2" t="str">
        <f>TEXT(Table5[[#This Row],[bill_date]],"mmmm")</f>
        <v>August</v>
      </c>
      <c r="E4105" s="9">
        <f>YEAR(Table5[[#This Row],[bill_date]])</f>
        <v>2023</v>
      </c>
      <c r="F4105">
        <v>500</v>
      </c>
      <c r="G4105" t="s">
        <v>30</v>
      </c>
    </row>
    <row r="4106" spans="1:7" x14ac:dyDescent="0.3">
      <c r="A4106">
        <v>34105</v>
      </c>
      <c r="B4106">
        <v>323</v>
      </c>
      <c r="C4106" s="2">
        <v>44873</v>
      </c>
      <c r="D4106" s="2" t="str">
        <f>TEXT(Table5[[#This Row],[bill_date]],"mmmm")</f>
        <v>November</v>
      </c>
      <c r="E4106" s="9">
        <f>YEAR(Table5[[#This Row],[bill_date]])</f>
        <v>2022</v>
      </c>
      <c r="F4106">
        <v>886</v>
      </c>
      <c r="G4106" t="s">
        <v>30</v>
      </c>
    </row>
    <row r="4107" spans="1:7" x14ac:dyDescent="0.3">
      <c r="A4107">
        <v>34106</v>
      </c>
      <c r="B4107">
        <v>257</v>
      </c>
      <c r="C4107" s="2">
        <v>44643</v>
      </c>
      <c r="D4107" s="2" t="str">
        <f>TEXT(Table5[[#This Row],[bill_date]],"mmmm")</f>
        <v>March</v>
      </c>
      <c r="E4107" s="9">
        <f>YEAR(Table5[[#This Row],[bill_date]])</f>
        <v>2022</v>
      </c>
      <c r="F4107">
        <v>585</v>
      </c>
      <c r="G4107" t="s">
        <v>30</v>
      </c>
    </row>
    <row r="4108" spans="1:7" x14ac:dyDescent="0.3">
      <c r="A4108">
        <v>34107</v>
      </c>
      <c r="B4108">
        <v>408</v>
      </c>
      <c r="C4108" s="2">
        <v>45219</v>
      </c>
      <c r="D4108" s="2" t="str">
        <f>TEXT(Table5[[#This Row],[bill_date]],"mmmm")</f>
        <v>October</v>
      </c>
      <c r="E4108" s="9">
        <f>YEAR(Table5[[#This Row],[bill_date]])</f>
        <v>2023</v>
      </c>
      <c r="F4108">
        <v>1811</v>
      </c>
      <c r="G4108" t="s">
        <v>30</v>
      </c>
    </row>
    <row r="4109" spans="1:7" x14ac:dyDescent="0.3">
      <c r="A4109">
        <v>34108</v>
      </c>
      <c r="B4109">
        <v>460</v>
      </c>
      <c r="C4109" s="2">
        <v>44754</v>
      </c>
      <c r="D4109" s="2" t="str">
        <f>TEXT(Table5[[#This Row],[bill_date]],"mmmm")</f>
        <v>July</v>
      </c>
      <c r="E4109" s="9">
        <f>YEAR(Table5[[#This Row],[bill_date]])</f>
        <v>2022</v>
      </c>
      <c r="F4109">
        <v>1764</v>
      </c>
      <c r="G4109" t="s">
        <v>30</v>
      </c>
    </row>
    <row r="4110" spans="1:7" x14ac:dyDescent="0.3">
      <c r="A4110">
        <v>34109</v>
      </c>
      <c r="B4110">
        <v>365</v>
      </c>
      <c r="C4110" s="2">
        <v>44785</v>
      </c>
      <c r="D4110" s="2" t="str">
        <f>TEXT(Table5[[#This Row],[bill_date]],"mmmm")</f>
        <v>August</v>
      </c>
      <c r="E4110" s="9">
        <f>YEAR(Table5[[#This Row],[bill_date]])</f>
        <v>2022</v>
      </c>
      <c r="F4110">
        <v>1506</v>
      </c>
      <c r="G4110" t="s">
        <v>30</v>
      </c>
    </row>
    <row r="4111" spans="1:7" x14ac:dyDescent="0.3">
      <c r="A4111">
        <v>34110</v>
      </c>
      <c r="B4111">
        <v>318</v>
      </c>
      <c r="C4111" s="2">
        <v>44614</v>
      </c>
      <c r="D4111" s="2" t="str">
        <f>TEXT(Table5[[#This Row],[bill_date]],"mmmm")</f>
        <v>February</v>
      </c>
      <c r="E4111" s="9">
        <f>YEAR(Table5[[#This Row],[bill_date]])</f>
        <v>2022</v>
      </c>
      <c r="F4111">
        <v>527</v>
      </c>
      <c r="G4111" t="s">
        <v>30</v>
      </c>
    </row>
    <row r="4112" spans="1:7" x14ac:dyDescent="0.3">
      <c r="A4112">
        <v>34111</v>
      </c>
      <c r="B4112">
        <v>78</v>
      </c>
      <c r="C4112" s="2">
        <v>44906</v>
      </c>
      <c r="D4112" s="2" t="str">
        <f>TEXT(Table5[[#This Row],[bill_date]],"mmmm")</f>
        <v>December</v>
      </c>
      <c r="E4112" s="9">
        <f>YEAR(Table5[[#This Row],[bill_date]])</f>
        <v>2022</v>
      </c>
      <c r="F4112">
        <v>658</v>
      </c>
      <c r="G4112" t="s">
        <v>30</v>
      </c>
    </row>
    <row r="4113" spans="1:7" x14ac:dyDescent="0.3">
      <c r="A4113">
        <v>34112</v>
      </c>
      <c r="B4113">
        <v>57</v>
      </c>
      <c r="C4113" s="2">
        <v>44646</v>
      </c>
      <c r="D4113" s="2" t="str">
        <f>TEXT(Table5[[#This Row],[bill_date]],"mmmm")</f>
        <v>March</v>
      </c>
      <c r="E4113" s="9">
        <f>YEAR(Table5[[#This Row],[bill_date]])</f>
        <v>2022</v>
      </c>
      <c r="F4113">
        <v>351</v>
      </c>
      <c r="G4113" t="s">
        <v>30</v>
      </c>
    </row>
    <row r="4114" spans="1:7" x14ac:dyDescent="0.3">
      <c r="A4114">
        <v>34113</v>
      </c>
      <c r="B4114">
        <v>490</v>
      </c>
      <c r="C4114" s="2">
        <v>45441</v>
      </c>
      <c r="D4114" s="2" t="str">
        <f>TEXT(Table5[[#This Row],[bill_date]],"mmmm")</f>
        <v>May</v>
      </c>
      <c r="E4114" s="9">
        <f>YEAR(Table5[[#This Row],[bill_date]])</f>
        <v>2024</v>
      </c>
      <c r="F4114">
        <v>923</v>
      </c>
      <c r="G4114" t="s">
        <v>30</v>
      </c>
    </row>
    <row r="4115" spans="1:7" x14ac:dyDescent="0.3">
      <c r="A4115">
        <v>34114</v>
      </c>
      <c r="B4115">
        <v>20</v>
      </c>
      <c r="C4115" s="2">
        <v>45202</v>
      </c>
      <c r="D4115" s="2" t="str">
        <f>TEXT(Table5[[#This Row],[bill_date]],"mmmm")</f>
        <v>October</v>
      </c>
      <c r="E4115" s="9">
        <f>YEAR(Table5[[#This Row],[bill_date]])</f>
        <v>2023</v>
      </c>
      <c r="F4115">
        <v>1913</v>
      </c>
      <c r="G4115" t="s">
        <v>30</v>
      </c>
    </row>
    <row r="4116" spans="1:7" x14ac:dyDescent="0.3">
      <c r="A4116">
        <v>34115</v>
      </c>
      <c r="B4116">
        <v>442</v>
      </c>
      <c r="C4116" s="2">
        <v>44772</v>
      </c>
      <c r="D4116" s="2" t="str">
        <f>TEXT(Table5[[#This Row],[bill_date]],"mmmm")</f>
        <v>July</v>
      </c>
      <c r="E4116" s="9">
        <f>YEAR(Table5[[#This Row],[bill_date]])</f>
        <v>2022</v>
      </c>
      <c r="F4116">
        <v>1005</v>
      </c>
      <c r="G4116" t="s">
        <v>30</v>
      </c>
    </row>
    <row r="4117" spans="1:7" x14ac:dyDescent="0.3">
      <c r="A4117">
        <v>34116</v>
      </c>
      <c r="B4117">
        <v>14</v>
      </c>
      <c r="C4117" s="2">
        <v>45425</v>
      </c>
      <c r="D4117" s="2" t="str">
        <f>TEXT(Table5[[#This Row],[bill_date]],"mmmm")</f>
        <v>May</v>
      </c>
      <c r="E4117" s="9">
        <f>YEAR(Table5[[#This Row],[bill_date]])</f>
        <v>2024</v>
      </c>
      <c r="F4117">
        <v>685</v>
      </c>
      <c r="G4117" t="s">
        <v>30</v>
      </c>
    </row>
    <row r="4118" spans="1:7" x14ac:dyDescent="0.3">
      <c r="A4118">
        <v>34117</v>
      </c>
      <c r="B4118">
        <v>206</v>
      </c>
      <c r="C4118" s="2">
        <v>45337</v>
      </c>
      <c r="D4118" s="2" t="str">
        <f>TEXT(Table5[[#This Row],[bill_date]],"mmmm")</f>
        <v>February</v>
      </c>
      <c r="E4118" s="9">
        <f>YEAR(Table5[[#This Row],[bill_date]])</f>
        <v>2024</v>
      </c>
      <c r="F4118">
        <v>793</v>
      </c>
      <c r="G4118" t="s">
        <v>30</v>
      </c>
    </row>
    <row r="4119" spans="1:7" x14ac:dyDescent="0.3">
      <c r="A4119">
        <v>34118</v>
      </c>
      <c r="B4119">
        <v>237</v>
      </c>
      <c r="C4119" s="2">
        <v>44744</v>
      </c>
      <c r="D4119" s="2" t="str">
        <f>TEXT(Table5[[#This Row],[bill_date]],"mmmm")</f>
        <v>July</v>
      </c>
      <c r="E4119" s="9">
        <f>YEAR(Table5[[#This Row],[bill_date]])</f>
        <v>2022</v>
      </c>
      <c r="F4119">
        <v>1934</v>
      </c>
      <c r="G4119" t="s">
        <v>28</v>
      </c>
    </row>
    <row r="4120" spans="1:7" x14ac:dyDescent="0.3">
      <c r="A4120">
        <v>34119</v>
      </c>
      <c r="B4120">
        <v>181</v>
      </c>
      <c r="C4120" s="2">
        <v>44833</v>
      </c>
      <c r="D4120" s="2" t="str">
        <f>TEXT(Table5[[#This Row],[bill_date]],"mmmm")</f>
        <v>September</v>
      </c>
      <c r="E4120" s="9">
        <f>YEAR(Table5[[#This Row],[bill_date]])</f>
        <v>2022</v>
      </c>
      <c r="F4120">
        <v>1196</v>
      </c>
      <c r="G4120" t="s">
        <v>30</v>
      </c>
    </row>
    <row r="4121" spans="1:7" x14ac:dyDescent="0.3">
      <c r="A4121">
        <v>34120</v>
      </c>
      <c r="B4121">
        <v>291</v>
      </c>
      <c r="C4121" s="2">
        <v>45067</v>
      </c>
      <c r="D4121" s="2" t="str">
        <f>TEXT(Table5[[#This Row],[bill_date]],"mmmm")</f>
        <v>May</v>
      </c>
      <c r="E4121" s="9">
        <f>YEAR(Table5[[#This Row],[bill_date]])</f>
        <v>2023</v>
      </c>
      <c r="F4121">
        <v>1180</v>
      </c>
      <c r="G4121" t="s">
        <v>30</v>
      </c>
    </row>
    <row r="4122" spans="1:7" x14ac:dyDescent="0.3">
      <c r="A4122">
        <v>34121</v>
      </c>
      <c r="B4122">
        <v>446</v>
      </c>
      <c r="C4122" s="2">
        <v>44788</v>
      </c>
      <c r="D4122" s="2" t="str">
        <f>TEXT(Table5[[#This Row],[bill_date]],"mmmm")</f>
        <v>August</v>
      </c>
      <c r="E4122" s="9">
        <f>YEAR(Table5[[#This Row],[bill_date]])</f>
        <v>2022</v>
      </c>
      <c r="F4122">
        <v>839</v>
      </c>
      <c r="G4122" t="s">
        <v>28</v>
      </c>
    </row>
    <row r="4123" spans="1:7" x14ac:dyDescent="0.3">
      <c r="A4123">
        <v>34122</v>
      </c>
      <c r="B4123">
        <v>189</v>
      </c>
      <c r="C4123" s="2">
        <v>45395</v>
      </c>
      <c r="D4123" s="2" t="str">
        <f>TEXT(Table5[[#This Row],[bill_date]],"mmmm")</f>
        <v>April</v>
      </c>
      <c r="E4123" s="9">
        <f>YEAR(Table5[[#This Row],[bill_date]])</f>
        <v>2024</v>
      </c>
      <c r="F4123">
        <v>1146</v>
      </c>
      <c r="G4123" t="s">
        <v>29</v>
      </c>
    </row>
    <row r="4124" spans="1:7" x14ac:dyDescent="0.3">
      <c r="A4124">
        <v>34123</v>
      </c>
      <c r="B4124">
        <v>147</v>
      </c>
      <c r="C4124" s="2">
        <v>44573</v>
      </c>
      <c r="D4124" s="2" t="str">
        <f>TEXT(Table5[[#This Row],[bill_date]],"mmmm")</f>
        <v>January</v>
      </c>
      <c r="E4124" s="9">
        <f>YEAR(Table5[[#This Row],[bill_date]])</f>
        <v>2022</v>
      </c>
      <c r="F4124">
        <v>389</v>
      </c>
      <c r="G4124" t="s">
        <v>30</v>
      </c>
    </row>
    <row r="4125" spans="1:7" x14ac:dyDescent="0.3">
      <c r="A4125">
        <v>34124</v>
      </c>
      <c r="B4125">
        <v>340</v>
      </c>
      <c r="C4125" s="2">
        <v>44654</v>
      </c>
      <c r="D4125" s="2" t="str">
        <f>TEXT(Table5[[#This Row],[bill_date]],"mmmm")</f>
        <v>April</v>
      </c>
      <c r="E4125" s="9">
        <f>YEAR(Table5[[#This Row],[bill_date]])</f>
        <v>2022</v>
      </c>
      <c r="F4125">
        <v>250</v>
      </c>
      <c r="G4125" t="s">
        <v>30</v>
      </c>
    </row>
    <row r="4126" spans="1:7" x14ac:dyDescent="0.3">
      <c r="A4126">
        <v>34125</v>
      </c>
      <c r="B4126">
        <v>42</v>
      </c>
      <c r="C4126" s="2">
        <v>44891</v>
      </c>
      <c r="D4126" s="2" t="str">
        <f>TEXT(Table5[[#This Row],[bill_date]],"mmmm")</f>
        <v>November</v>
      </c>
      <c r="E4126" s="9">
        <f>YEAR(Table5[[#This Row],[bill_date]])</f>
        <v>2022</v>
      </c>
      <c r="F4126">
        <v>793</v>
      </c>
      <c r="G4126" t="s">
        <v>30</v>
      </c>
    </row>
    <row r="4127" spans="1:7" x14ac:dyDescent="0.3">
      <c r="A4127">
        <v>34126</v>
      </c>
      <c r="B4127">
        <v>428</v>
      </c>
      <c r="C4127" s="2">
        <v>44751</v>
      </c>
      <c r="D4127" s="2" t="str">
        <f>TEXT(Table5[[#This Row],[bill_date]],"mmmm")</f>
        <v>July</v>
      </c>
      <c r="E4127" s="9">
        <f>YEAR(Table5[[#This Row],[bill_date]])</f>
        <v>2022</v>
      </c>
      <c r="F4127">
        <v>539</v>
      </c>
      <c r="G4127" t="s">
        <v>30</v>
      </c>
    </row>
    <row r="4128" spans="1:7" x14ac:dyDescent="0.3">
      <c r="A4128">
        <v>34127</v>
      </c>
      <c r="B4128">
        <v>471</v>
      </c>
      <c r="C4128" s="2">
        <v>45159</v>
      </c>
      <c r="D4128" s="2" t="str">
        <f>TEXT(Table5[[#This Row],[bill_date]],"mmmm")</f>
        <v>August</v>
      </c>
      <c r="E4128" s="9">
        <f>YEAR(Table5[[#This Row],[bill_date]])</f>
        <v>2023</v>
      </c>
      <c r="F4128">
        <v>1922</v>
      </c>
      <c r="G4128" t="s">
        <v>30</v>
      </c>
    </row>
    <row r="4129" spans="1:7" x14ac:dyDescent="0.3">
      <c r="A4129">
        <v>34128</v>
      </c>
      <c r="B4129">
        <v>354</v>
      </c>
      <c r="C4129" s="2">
        <v>45427</v>
      </c>
      <c r="D4129" s="2" t="str">
        <f>TEXT(Table5[[#This Row],[bill_date]],"mmmm")</f>
        <v>May</v>
      </c>
      <c r="E4129" s="9">
        <f>YEAR(Table5[[#This Row],[bill_date]])</f>
        <v>2024</v>
      </c>
      <c r="F4129">
        <v>723</v>
      </c>
      <c r="G4129" t="s">
        <v>30</v>
      </c>
    </row>
    <row r="4130" spans="1:7" x14ac:dyDescent="0.3">
      <c r="A4130">
        <v>34129</v>
      </c>
      <c r="B4130">
        <v>1</v>
      </c>
      <c r="C4130" s="2">
        <v>45350</v>
      </c>
      <c r="D4130" s="2" t="str">
        <f>TEXT(Table5[[#This Row],[bill_date]],"mmmm")</f>
        <v>February</v>
      </c>
      <c r="E4130" s="9">
        <f>YEAR(Table5[[#This Row],[bill_date]])</f>
        <v>2024</v>
      </c>
      <c r="F4130">
        <v>1953</v>
      </c>
      <c r="G4130" t="s">
        <v>30</v>
      </c>
    </row>
    <row r="4131" spans="1:7" x14ac:dyDescent="0.3">
      <c r="A4131">
        <v>34130</v>
      </c>
      <c r="B4131">
        <v>324</v>
      </c>
      <c r="C4131" s="2">
        <v>44854</v>
      </c>
      <c r="D4131" s="2" t="str">
        <f>TEXT(Table5[[#This Row],[bill_date]],"mmmm")</f>
        <v>October</v>
      </c>
      <c r="E4131" s="9">
        <f>YEAR(Table5[[#This Row],[bill_date]])</f>
        <v>2022</v>
      </c>
      <c r="F4131">
        <v>215</v>
      </c>
      <c r="G4131" t="s">
        <v>30</v>
      </c>
    </row>
    <row r="4132" spans="1:7" x14ac:dyDescent="0.3">
      <c r="A4132">
        <v>34131</v>
      </c>
      <c r="B4132">
        <v>104</v>
      </c>
      <c r="C4132" s="2">
        <v>44822</v>
      </c>
      <c r="D4132" s="2" t="str">
        <f>TEXT(Table5[[#This Row],[bill_date]],"mmmm")</f>
        <v>September</v>
      </c>
      <c r="E4132" s="9">
        <f>YEAR(Table5[[#This Row],[bill_date]])</f>
        <v>2022</v>
      </c>
      <c r="F4132">
        <v>440</v>
      </c>
      <c r="G4132" t="s">
        <v>30</v>
      </c>
    </row>
    <row r="4133" spans="1:7" x14ac:dyDescent="0.3">
      <c r="A4133">
        <v>34132</v>
      </c>
      <c r="B4133">
        <v>255</v>
      </c>
      <c r="C4133" s="2">
        <v>45271</v>
      </c>
      <c r="D4133" s="2" t="str">
        <f>TEXT(Table5[[#This Row],[bill_date]],"mmmm")</f>
        <v>December</v>
      </c>
      <c r="E4133" s="9">
        <f>YEAR(Table5[[#This Row],[bill_date]])</f>
        <v>2023</v>
      </c>
      <c r="F4133">
        <v>1562</v>
      </c>
      <c r="G4133" t="s">
        <v>30</v>
      </c>
    </row>
    <row r="4134" spans="1:7" x14ac:dyDescent="0.3">
      <c r="A4134">
        <v>34133</v>
      </c>
      <c r="B4134">
        <v>209</v>
      </c>
      <c r="C4134" s="2">
        <v>44884</v>
      </c>
      <c r="D4134" s="2" t="str">
        <f>TEXT(Table5[[#This Row],[bill_date]],"mmmm")</f>
        <v>November</v>
      </c>
      <c r="E4134" s="9">
        <f>YEAR(Table5[[#This Row],[bill_date]])</f>
        <v>2022</v>
      </c>
      <c r="F4134">
        <v>1892</v>
      </c>
      <c r="G4134" t="s">
        <v>28</v>
      </c>
    </row>
    <row r="4135" spans="1:7" x14ac:dyDescent="0.3">
      <c r="A4135">
        <v>34134</v>
      </c>
      <c r="B4135">
        <v>218</v>
      </c>
      <c r="C4135" s="2">
        <v>44571</v>
      </c>
      <c r="D4135" s="2" t="str">
        <f>TEXT(Table5[[#This Row],[bill_date]],"mmmm")</f>
        <v>January</v>
      </c>
      <c r="E4135" s="9">
        <f>YEAR(Table5[[#This Row],[bill_date]])</f>
        <v>2022</v>
      </c>
      <c r="F4135">
        <v>1900</v>
      </c>
      <c r="G4135" t="s">
        <v>30</v>
      </c>
    </row>
    <row r="4136" spans="1:7" x14ac:dyDescent="0.3">
      <c r="A4136">
        <v>34135</v>
      </c>
      <c r="B4136">
        <v>78</v>
      </c>
      <c r="C4136" s="2">
        <v>44649</v>
      </c>
      <c r="D4136" s="2" t="str">
        <f>TEXT(Table5[[#This Row],[bill_date]],"mmmm")</f>
        <v>March</v>
      </c>
      <c r="E4136" s="9">
        <f>YEAR(Table5[[#This Row],[bill_date]])</f>
        <v>2022</v>
      </c>
      <c r="F4136">
        <v>849</v>
      </c>
      <c r="G4136" t="s">
        <v>30</v>
      </c>
    </row>
    <row r="4137" spans="1:7" x14ac:dyDescent="0.3">
      <c r="A4137">
        <v>34136</v>
      </c>
      <c r="B4137">
        <v>430</v>
      </c>
      <c r="C4137" s="2">
        <v>44901</v>
      </c>
      <c r="D4137" s="2" t="str">
        <f>TEXT(Table5[[#This Row],[bill_date]],"mmmm")</f>
        <v>December</v>
      </c>
      <c r="E4137" s="9">
        <f>YEAR(Table5[[#This Row],[bill_date]])</f>
        <v>2022</v>
      </c>
      <c r="F4137">
        <v>1633</v>
      </c>
      <c r="G4137" t="s">
        <v>28</v>
      </c>
    </row>
    <row r="4138" spans="1:7" x14ac:dyDescent="0.3">
      <c r="A4138">
        <v>34137</v>
      </c>
      <c r="B4138">
        <v>51</v>
      </c>
      <c r="C4138" s="2">
        <v>44879</v>
      </c>
      <c r="D4138" s="2" t="str">
        <f>TEXT(Table5[[#This Row],[bill_date]],"mmmm")</f>
        <v>November</v>
      </c>
      <c r="E4138" s="9">
        <f>YEAR(Table5[[#This Row],[bill_date]])</f>
        <v>2022</v>
      </c>
      <c r="F4138">
        <v>492</v>
      </c>
      <c r="G4138" t="s">
        <v>30</v>
      </c>
    </row>
    <row r="4139" spans="1:7" x14ac:dyDescent="0.3">
      <c r="A4139">
        <v>34138</v>
      </c>
      <c r="B4139">
        <v>288</v>
      </c>
      <c r="C4139" s="2">
        <v>45110</v>
      </c>
      <c r="D4139" s="2" t="str">
        <f>TEXT(Table5[[#This Row],[bill_date]],"mmmm")</f>
        <v>July</v>
      </c>
      <c r="E4139" s="9">
        <f>YEAR(Table5[[#This Row],[bill_date]])</f>
        <v>2023</v>
      </c>
      <c r="F4139">
        <v>1250</v>
      </c>
      <c r="G4139" t="s">
        <v>30</v>
      </c>
    </row>
    <row r="4140" spans="1:7" x14ac:dyDescent="0.3">
      <c r="A4140">
        <v>34139</v>
      </c>
      <c r="B4140">
        <v>100</v>
      </c>
      <c r="C4140" s="2">
        <v>44784</v>
      </c>
      <c r="D4140" s="2" t="str">
        <f>TEXT(Table5[[#This Row],[bill_date]],"mmmm")</f>
        <v>August</v>
      </c>
      <c r="E4140" s="9">
        <f>YEAR(Table5[[#This Row],[bill_date]])</f>
        <v>2022</v>
      </c>
      <c r="F4140">
        <v>1632</v>
      </c>
      <c r="G4140" t="s">
        <v>30</v>
      </c>
    </row>
    <row r="4141" spans="1:7" x14ac:dyDescent="0.3">
      <c r="A4141">
        <v>34140</v>
      </c>
      <c r="B4141">
        <v>212</v>
      </c>
      <c r="C4141" s="2">
        <v>45248</v>
      </c>
      <c r="D4141" s="2" t="str">
        <f>TEXT(Table5[[#This Row],[bill_date]],"mmmm")</f>
        <v>November</v>
      </c>
      <c r="E4141" s="9">
        <f>YEAR(Table5[[#This Row],[bill_date]])</f>
        <v>2023</v>
      </c>
      <c r="F4141">
        <v>557</v>
      </c>
      <c r="G4141" t="s">
        <v>30</v>
      </c>
    </row>
    <row r="4142" spans="1:7" x14ac:dyDescent="0.3">
      <c r="A4142">
        <v>34141</v>
      </c>
      <c r="B4142">
        <v>464</v>
      </c>
      <c r="C4142" s="2">
        <v>44770</v>
      </c>
      <c r="D4142" s="2" t="str">
        <f>TEXT(Table5[[#This Row],[bill_date]],"mmmm")</f>
        <v>July</v>
      </c>
      <c r="E4142" s="9">
        <f>YEAR(Table5[[#This Row],[bill_date]])</f>
        <v>2022</v>
      </c>
      <c r="F4142">
        <v>871</v>
      </c>
      <c r="G4142" t="s">
        <v>30</v>
      </c>
    </row>
    <row r="4143" spans="1:7" x14ac:dyDescent="0.3">
      <c r="A4143">
        <v>34142</v>
      </c>
      <c r="B4143">
        <v>499</v>
      </c>
      <c r="C4143" s="2">
        <v>44610</v>
      </c>
      <c r="D4143" s="2" t="str">
        <f>TEXT(Table5[[#This Row],[bill_date]],"mmmm")</f>
        <v>February</v>
      </c>
      <c r="E4143" s="9">
        <f>YEAR(Table5[[#This Row],[bill_date]])</f>
        <v>2022</v>
      </c>
      <c r="F4143">
        <v>1218</v>
      </c>
      <c r="G4143" t="s">
        <v>28</v>
      </c>
    </row>
    <row r="4144" spans="1:7" x14ac:dyDescent="0.3">
      <c r="A4144">
        <v>34143</v>
      </c>
      <c r="B4144">
        <v>403</v>
      </c>
      <c r="C4144" s="2">
        <v>45097</v>
      </c>
      <c r="D4144" s="2" t="str">
        <f>TEXT(Table5[[#This Row],[bill_date]],"mmmm")</f>
        <v>June</v>
      </c>
      <c r="E4144" s="9">
        <f>YEAR(Table5[[#This Row],[bill_date]])</f>
        <v>2023</v>
      </c>
      <c r="F4144">
        <v>1638</v>
      </c>
      <c r="G4144" t="s">
        <v>30</v>
      </c>
    </row>
    <row r="4145" spans="1:7" x14ac:dyDescent="0.3">
      <c r="A4145">
        <v>34144</v>
      </c>
      <c r="B4145">
        <v>237</v>
      </c>
      <c r="C4145" s="2">
        <v>45411</v>
      </c>
      <c r="D4145" s="2" t="str">
        <f>TEXT(Table5[[#This Row],[bill_date]],"mmmm")</f>
        <v>April</v>
      </c>
      <c r="E4145" s="9">
        <f>YEAR(Table5[[#This Row],[bill_date]])</f>
        <v>2024</v>
      </c>
      <c r="F4145">
        <v>380</v>
      </c>
      <c r="G4145" t="s">
        <v>29</v>
      </c>
    </row>
    <row r="4146" spans="1:7" x14ac:dyDescent="0.3">
      <c r="A4146">
        <v>34145</v>
      </c>
      <c r="B4146">
        <v>295</v>
      </c>
      <c r="C4146" s="2">
        <v>45179</v>
      </c>
      <c r="D4146" s="2" t="str">
        <f>TEXT(Table5[[#This Row],[bill_date]],"mmmm")</f>
        <v>September</v>
      </c>
      <c r="E4146" s="9">
        <f>YEAR(Table5[[#This Row],[bill_date]])</f>
        <v>2023</v>
      </c>
      <c r="F4146">
        <v>1119</v>
      </c>
      <c r="G4146" t="s">
        <v>30</v>
      </c>
    </row>
    <row r="4147" spans="1:7" x14ac:dyDescent="0.3">
      <c r="A4147">
        <v>34146</v>
      </c>
      <c r="B4147">
        <v>472</v>
      </c>
      <c r="C4147" s="2">
        <v>45384</v>
      </c>
      <c r="D4147" s="2" t="str">
        <f>TEXT(Table5[[#This Row],[bill_date]],"mmmm")</f>
        <v>April</v>
      </c>
      <c r="E4147" s="9">
        <f>YEAR(Table5[[#This Row],[bill_date]])</f>
        <v>2024</v>
      </c>
      <c r="F4147">
        <v>990</v>
      </c>
      <c r="G4147" t="s">
        <v>28</v>
      </c>
    </row>
    <row r="4148" spans="1:7" x14ac:dyDescent="0.3">
      <c r="A4148">
        <v>34147</v>
      </c>
      <c r="B4148">
        <v>398</v>
      </c>
      <c r="C4148" s="2">
        <v>44824</v>
      </c>
      <c r="D4148" s="2" t="str">
        <f>TEXT(Table5[[#This Row],[bill_date]],"mmmm")</f>
        <v>September</v>
      </c>
      <c r="E4148" s="9">
        <f>YEAR(Table5[[#This Row],[bill_date]])</f>
        <v>2022</v>
      </c>
      <c r="F4148">
        <v>865</v>
      </c>
      <c r="G4148" t="s">
        <v>30</v>
      </c>
    </row>
    <row r="4149" spans="1:7" x14ac:dyDescent="0.3">
      <c r="A4149">
        <v>34148</v>
      </c>
      <c r="B4149">
        <v>157</v>
      </c>
      <c r="C4149" s="2">
        <v>44767</v>
      </c>
      <c r="D4149" s="2" t="str">
        <f>TEXT(Table5[[#This Row],[bill_date]],"mmmm")</f>
        <v>July</v>
      </c>
      <c r="E4149" s="9">
        <f>YEAR(Table5[[#This Row],[bill_date]])</f>
        <v>2022</v>
      </c>
      <c r="F4149">
        <v>924</v>
      </c>
      <c r="G4149" t="s">
        <v>30</v>
      </c>
    </row>
    <row r="4150" spans="1:7" x14ac:dyDescent="0.3">
      <c r="A4150">
        <v>34149</v>
      </c>
      <c r="B4150">
        <v>298</v>
      </c>
      <c r="C4150" s="2">
        <v>45242</v>
      </c>
      <c r="D4150" s="2" t="str">
        <f>TEXT(Table5[[#This Row],[bill_date]],"mmmm")</f>
        <v>November</v>
      </c>
      <c r="E4150" s="9">
        <f>YEAR(Table5[[#This Row],[bill_date]])</f>
        <v>2023</v>
      </c>
      <c r="F4150">
        <v>1562</v>
      </c>
      <c r="G4150" t="s">
        <v>30</v>
      </c>
    </row>
    <row r="4151" spans="1:7" x14ac:dyDescent="0.3">
      <c r="A4151">
        <v>34150</v>
      </c>
      <c r="B4151">
        <v>14</v>
      </c>
      <c r="C4151" s="2">
        <v>45058</v>
      </c>
      <c r="D4151" s="2" t="str">
        <f>TEXT(Table5[[#This Row],[bill_date]],"mmmm")</f>
        <v>May</v>
      </c>
      <c r="E4151" s="9">
        <f>YEAR(Table5[[#This Row],[bill_date]])</f>
        <v>2023</v>
      </c>
      <c r="F4151">
        <v>551</v>
      </c>
      <c r="G4151" t="s">
        <v>28</v>
      </c>
    </row>
    <row r="4152" spans="1:7" x14ac:dyDescent="0.3">
      <c r="A4152">
        <v>34151</v>
      </c>
      <c r="B4152">
        <v>116</v>
      </c>
      <c r="C4152" s="2">
        <v>45459</v>
      </c>
      <c r="D4152" s="2" t="str">
        <f>TEXT(Table5[[#This Row],[bill_date]],"mmmm")</f>
        <v>June</v>
      </c>
      <c r="E4152" s="9">
        <f>YEAR(Table5[[#This Row],[bill_date]])</f>
        <v>2024</v>
      </c>
      <c r="F4152">
        <v>267</v>
      </c>
      <c r="G4152" t="s">
        <v>30</v>
      </c>
    </row>
    <row r="4153" spans="1:7" x14ac:dyDescent="0.3">
      <c r="A4153">
        <v>34152</v>
      </c>
      <c r="B4153">
        <v>139</v>
      </c>
      <c r="C4153" s="2">
        <v>45231</v>
      </c>
      <c r="D4153" s="2" t="str">
        <f>TEXT(Table5[[#This Row],[bill_date]],"mmmm")</f>
        <v>November</v>
      </c>
      <c r="E4153" s="9">
        <f>YEAR(Table5[[#This Row],[bill_date]])</f>
        <v>2023</v>
      </c>
      <c r="F4153">
        <v>675</v>
      </c>
      <c r="G4153" t="s">
        <v>30</v>
      </c>
    </row>
    <row r="4154" spans="1:7" x14ac:dyDescent="0.3">
      <c r="A4154">
        <v>34153</v>
      </c>
      <c r="B4154">
        <v>75</v>
      </c>
      <c r="C4154" s="2">
        <v>45314</v>
      </c>
      <c r="D4154" s="2" t="str">
        <f>TEXT(Table5[[#This Row],[bill_date]],"mmmm")</f>
        <v>January</v>
      </c>
      <c r="E4154" s="9">
        <f>YEAR(Table5[[#This Row],[bill_date]])</f>
        <v>2024</v>
      </c>
      <c r="F4154">
        <v>523</v>
      </c>
      <c r="G4154" t="s">
        <v>30</v>
      </c>
    </row>
    <row r="4155" spans="1:7" x14ac:dyDescent="0.3">
      <c r="A4155">
        <v>34154</v>
      </c>
      <c r="B4155">
        <v>303</v>
      </c>
      <c r="C4155" s="2">
        <v>45026</v>
      </c>
      <c r="D4155" s="2" t="str">
        <f>TEXT(Table5[[#This Row],[bill_date]],"mmmm")</f>
        <v>April</v>
      </c>
      <c r="E4155" s="9">
        <f>YEAR(Table5[[#This Row],[bill_date]])</f>
        <v>2023</v>
      </c>
      <c r="F4155">
        <v>1716</v>
      </c>
      <c r="G4155" t="s">
        <v>28</v>
      </c>
    </row>
    <row r="4156" spans="1:7" x14ac:dyDescent="0.3">
      <c r="A4156">
        <v>34155</v>
      </c>
      <c r="B4156">
        <v>360</v>
      </c>
      <c r="C4156" s="2">
        <v>45196</v>
      </c>
      <c r="D4156" s="2" t="str">
        <f>TEXT(Table5[[#This Row],[bill_date]],"mmmm")</f>
        <v>September</v>
      </c>
      <c r="E4156" s="9">
        <f>YEAR(Table5[[#This Row],[bill_date]])</f>
        <v>2023</v>
      </c>
      <c r="F4156">
        <v>1517</v>
      </c>
      <c r="G4156" t="s">
        <v>28</v>
      </c>
    </row>
    <row r="4157" spans="1:7" x14ac:dyDescent="0.3">
      <c r="A4157">
        <v>34156</v>
      </c>
      <c r="B4157">
        <v>24</v>
      </c>
      <c r="C4157" s="2">
        <v>44581</v>
      </c>
      <c r="D4157" s="2" t="str">
        <f>TEXT(Table5[[#This Row],[bill_date]],"mmmm")</f>
        <v>January</v>
      </c>
      <c r="E4157" s="9">
        <f>YEAR(Table5[[#This Row],[bill_date]])</f>
        <v>2022</v>
      </c>
      <c r="F4157">
        <v>1431</v>
      </c>
      <c r="G4157" t="s">
        <v>30</v>
      </c>
    </row>
    <row r="4158" spans="1:7" x14ac:dyDescent="0.3">
      <c r="A4158">
        <v>34157</v>
      </c>
      <c r="B4158">
        <v>406</v>
      </c>
      <c r="C4158" s="2">
        <v>45129</v>
      </c>
      <c r="D4158" s="2" t="str">
        <f>TEXT(Table5[[#This Row],[bill_date]],"mmmm")</f>
        <v>July</v>
      </c>
      <c r="E4158" s="9">
        <f>YEAR(Table5[[#This Row],[bill_date]])</f>
        <v>2023</v>
      </c>
      <c r="F4158">
        <v>1379</v>
      </c>
      <c r="G4158" t="s">
        <v>30</v>
      </c>
    </row>
    <row r="4159" spans="1:7" x14ac:dyDescent="0.3">
      <c r="A4159">
        <v>34158</v>
      </c>
      <c r="B4159">
        <v>177</v>
      </c>
      <c r="C4159" s="2">
        <v>45353</v>
      </c>
      <c r="D4159" s="2" t="str">
        <f>TEXT(Table5[[#This Row],[bill_date]],"mmmm")</f>
        <v>March</v>
      </c>
      <c r="E4159" s="9">
        <f>YEAR(Table5[[#This Row],[bill_date]])</f>
        <v>2024</v>
      </c>
      <c r="F4159">
        <v>1297</v>
      </c>
      <c r="G4159" t="s">
        <v>30</v>
      </c>
    </row>
    <row r="4160" spans="1:7" x14ac:dyDescent="0.3">
      <c r="A4160">
        <v>34159</v>
      </c>
      <c r="B4160">
        <v>439</v>
      </c>
      <c r="C4160" s="2">
        <v>44669</v>
      </c>
      <c r="D4160" s="2" t="str">
        <f>TEXT(Table5[[#This Row],[bill_date]],"mmmm")</f>
        <v>April</v>
      </c>
      <c r="E4160" s="9">
        <f>YEAR(Table5[[#This Row],[bill_date]])</f>
        <v>2022</v>
      </c>
      <c r="F4160">
        <v>485</v>
      </c>
      <c r="G4160" t="s">
        <v>30</v>
      </c>
    </row>
    <row r="4161" spans="1:7" x14ac:dyDescent="0.3">
      <c r="A4161">
        <v>34160</v>
      </c>
      <c r="B4161">
        <v>55</v>
      </c>
      <c r="C4161" s="2">
        <v>44701</v>
      </c>
      <c r="D4161" s="2" t="str">
        <f>TEXT(Table5[[#This Row],[bill_date]],"mmmm")</f>
        <v>May</v>
      </c>
      <c r="E4161" s="9">
        <f>YEAR(Table5[[#This Row],[bill_date]])</f>
        <v>2022</v>
      </c>
      <c r="F4161">
        <v>1453</v>
      </c>
      <c r="G4161" t="s">
        <v>30</v>
      </c>
    </row>
    <row r="4162" spans="1:7" x14ac:dyDescent="0.3">
      <c r="A4162">
        <v>34161</v>
      </c>
      <c r="B4162">
        <v>213</v>
      </c>
      <c r="C4162" s="2">
        <v>44652</v>
      </c>
      <c r="D4162" s="2" t="str">
        <f>TEXT(Table5[[#This Row],[bill_date]],"mmmm")</f>
        <v>April</v>
      </c>
      <c r="E4162" s="9">
        <f>YEAR(Table5[[#This Row],[bill_date]])</f>
        <v>2022</v>
      </c>
      <c r="F4162">
        <v>1799</v>
      </c>
      <c r="G4162" t="s">
        <v>30</v>
      </c>
    </row>
    <row r="4163" spans="1:7" x14ac:dyDescent="0.3">
      <c r="A4163">
        <v>34162</v>
      </c>
      <c r="B4163">
        <v>326</v>
      </c>
      <c r="C4163" s="2">
        <v>44832</v>
      </c>
      <c r="D4163" s="2" t="str">
        <f>TEXT(Table5[[#This Row],[bill_date]],"mmmm")</f>
        <v>September</v>
      </c>
      <c r="E4163" s="9">
        <f>YEAR(Table5[[#This Row],[bill_date]])</f>
        <v>2022</v>
      </c>
      <c r="F4163">
        <v>1493</v>
      </c>
      <c r="G4163" t="s">
        <v>30</v>
      </c>
    </row>
    <row r="4164" spans="1:7" x14ac:dyDescent="0.3">
      <c r="A4164">
        <v>34163</v>
      </c>
      <c r="B4164">
        <v>334</v>
      </c>
      <c r="C4164" s="2">
        <v>44890</v>
      </c>
      <c r="D4164" s="2" t="str">
        <f>TEXT(Table5[[#This Row],[bill_date]],"mmmm")</f>
        <v>November</v>
      </c>
      <c r="E4164" s="9">
        <f>YEAR(Table5[[#This Row],[bill_date]])</f>
        <v>2022</v>
      </c>
      <c r="F4164">
        <v>281</v>
      </c>
      <c r="G4164" t="s">
        <v>30</v>
      </c>
    </row>
    <row r="4165" spans="1:7" x14ac:dyDescent="0.3">
      <c r="A4165">
        <v>34164</v>
      </c>
      <c r="B4165">
        <v>329</v>
      </c>
      <c r="C4165" s="2">
        <v>44771</v>
      </c>
      <c r="D4165" s="2" t="str">
        <f>TEXT(Table5[[#This Row],[bill_date]],"mmmm")</f>
        <v>July</v>
      </c>
      <c r="E4165" s="9">
        <f>YEAR(Table5[[#This Row],[bill_date]])</f>
        <v>2022</v>
      </c>
      <c r="F4165">
        <v>1808</v>
      </c>
      <c r="G4165" t="s">
        <v>28</v>
      </c>
    </row>
    <row r="4166" spans="1:7" x14ac:dyDescent="0.3">
      <c r="A4166">
        <v>34165</v>
      </c>
      <c r="B4166">
        <v>163</v>
      </c>
      <c r="C4166" s="2">
        <v>45249</v>
      </c>
      <c r="D4166" s="2" t="str">
        <f>TEXT(Table5[[#This Row],[bill_date]],"mmmm")</f>
        <v>November</v>
      </c>
      <c r="E4166" s="9">
        <f>YEAR(Table5[[#This Row],[bill_date]])</f>
        <v>2023</v>
      </c>
      <c r="F4166">
        <v>1487</v>
      </c>
      <c r="G4166" t="s">
        <v>28</v>
      </c>
    </row>
    <row r="4167" spans="1:7" x14ac:dyDescent="0.3">
      <c r="A4167">
        <v>34166</v>
      </c>
      <c r="B4167">
        <v>300</v>
      </c>
      <c r="C4167" s="2">
        <v>45134</v>
      </c>
      <c r="D4167" s="2" t="str">
        <f>TEXT(Table5[[#This Row],[bill_date]],"mmmm")</f>
        <v>July</v>
      </c>
      <c r="E4167" s="9">
        <f>YEAR(Table5[[#This Row],[bill_date]])</f>
        <v>2023</v>
      </c>
      <c r="F4167">
        <v>467</v>
      </c>
      <c r="G4167" t="s">
        <v>30</v>
      </c>
    </row>
    <row r="4168" spans="1:7" x14ac:dyDescent="0.3">
      <c r="A4168">
        <v>34167</v>
      </c>
      <c r="B4168">
        <v>164</v>
      </c>
      <c r="C4168" s="2">
        <v>45016</v>
      </c>
      <c r="D4168" s="2" t="str">
        <f>TEXT(Table5[[#This Row],[bill_date]],"mmmm")</f>
        <v>March</v>
      </c>
      <c r="E4168" s="9">
        <f>YEAR(Table5[[#This Row],[bill_date]])</f>
        <v>2023</v>
      </c>
      <c r="F4168">
        <v>1086</v>
      </c>
      <c r="G4168" t="s">
        <v>30</v>
      </c>
    </row>
    <row r="4169" spans="1:7" x14ac:dyDescent="0.3">
      <c r="A4169">
        <v>34168</v>
      </c>
      <c r="B4169">
        <v>89</v>
      </c>
      <c r="C4169" s="2">
        <v>44845</v>
      </c>
      <c r="D4169" s="2" t="str">
        <f>TEXT(Table5[[#This Row],[bill_date]],"mmmm")</f>
        <v>October</v>
      </c>
      <c r="E4169" s="9">
        <f>YEAR(Table5[[#This Row],[bill_date]])</f>
        <v>2022</v>
      </c>
      <c r="F4169">
        <v>499</v>
      </c>
      <c r="G4169" t="s">
        <v>30</v>
      </c>
    </row>
    <row r="4170" spans="1:7" x14ac:dyDescent="0.3">
      <c r="A4170">
        <v>34169</v>
      </c>
      <c r="B4170">
        <v>15</v>
      </c>
      <c r="C4170" s="2">
        <v>44927</v>
      </c>
      <c r="D4170" s="2" t="str">
        <f>TEXT(Table5[[#This Row],[bill_date]],"mmmm")</f>
        <v>January</v>
      </c>
      <c r="E4170" s="9">
        <f>YEAR(Table5[[#This Row],[bill_date]])</f>
        <v>2023</v>
      </c>
      <c r="F4170">
        <v>1220</v>
      </c>
      <c r="G4170" t="s">
        <v>28</v>
      </c>
    </row>
    <row r="4171" spans="1:7" x14ac:dyDescent="0.3">
      <c r="A4171">
        <v>34170</v>
      </c>
      <c r="B4171">
        <v>301</v>
      </c>
      <c r="C4171" s="2">
        <v>45045</v>
      </c>
      <c r="D4171" s="2" t="str">
        <f>TEXT(Table5[[#This Row],[bill_date]],"mmmm")</f>
        <v>April</v>
      </c>
      <c r="E4171" s="9">
        <f>YEAR(Table5[[#This Row],[bill_date]])</f>
        <v>2023</v>
      </c>
      <c r="F4171">
        <v>288</v>
      </c>
      <c r="G4171" t="s">
        <v>30</v>
      </c>
    </row>
    <row r="4172" spans="1:7" x14ac:dyDescent="0.3">
      <c r="A4172">
        <v>34171</v>
      </c>
      <c r="B4172">
        <v>122</v>
      </c>
      <c r="C4172" s="2">
        <v>44564</v>
      </c>
      <c r="D4172" s="2" t="str">
        <f>TEXT(Table5[[#This Row],[bill_date]],"mmmm")</f>
        <v>January</v>
      </c>
      <c r="E4172" s="9">
        <f>YEAR(Table5[[#This Row],[bill_date]])</f>
        <v>2022</v>
      </c>
      <c r="F4172">
        <v>558</v>
      </c>
      <c r="G4172" t="s">
        <v>30</v>
      </c>
    </row>
    <row r="4173" spans="1:7" x14ac:dyDescent="0.3">
      <c r="A4173">
        <v>34172</v>
      </c>
      <c r="B4173">
        <v>318</v>
      </c>
      <c r="C4173" s="2">
        <v>45345</v>
      </c>
      <c r="D4173" s="2" t="str">
        <f>TEXT(Table5[[#This Row],[bill_date]],"mmmm")</f>
        <v>February</v>
      </c>
      <c r="E4173" s="9">
        <f>YEAR(Table5[[#This Row],[bill_date]])</f>
        <v>2024</v>
      </c>
      <c r="F4173">
        <v>1522</v>
      </c>
      <c r="G4173" t="s">
        <v>30</v>
      </c>
    </row>
    <row r="4174" spans="1:7" x14ac:dyDescent="0.3">
      <c r="A4174">
        <v>34173</v>
      </c>
      <c r="B4174">
        <v>348</v>
      </c>
      <c r="C4174" s="2">
        <v>44725</v>
      </c>
      <c r="D4174" s="2" t="str">
        <f>TEXT(Table5[[#This Row],[bill_date]],"mmmm")</f>
        <v>June</v>
      </c>
      <c r="E4174" s="9">
        <f>YEAR(Table5[[#This Row],[bill_date]])</f>
        <v>2022</v>
      </c>
      <c r="F4174">
        <v>1224</v>
      </c>
      <c r="G4174" t="s">
        <v>30</v>
      </c>
    </row>
    <row r="4175" spans="1:7" x14ac:dyDescent="0.3">
      <c r="A4175">
        <v>34174</v>
      </c>
      <c r="B4175">
        <v>178</v>
      </c>
      <c r="C4175" s="2">
        <v>44949</v>
      </c>
      <c r="D4175" s="2" t="str">
        <f>TEXT(Table5[[#This Row],[bill_date]],"mmmm")</f>
        <v>January</v>
      </c>
      <c r="E4175" s="9">
        <f>YEAR(Table5[[#This Row],[bill_date]])</f>
        <v>2023</v>
      </c>
      <c r="F4175">
        <v>1635</v>
      </c>
      <c r="G4175" t="s">
        <v>30</v>
      </c>
    </row>
    <row r="4176" spans="1:7" x14ac:dyDescent="0.3">
      <c r="A4176">
        <v>34175</v>
      </c>
      <c r="B4176">
        <v>462</v>
      </c>
      <c r="C4176" s="2">
        <v>44570</v>
      </c>
      <c r="D4176" s="2" t="str">
        <f>TEXT(Table5[[#This Row],[bill_date]],"mmmm")</f>
        <v>January</v>
      </c>
      <c r="E4176" s="9">
        <f>YEAR(Table5[[#This Row],[bill_date]])</f>
        <v>2022</v>
      </c>
      <c r="F4176">
        <v>1398</v>
      </c>
      <c r="G4176" t="s">
        <v>30</v>
      </c>
    </row>
    <row r="4177" spans="1:7" x14ac:dyDescent="0.3">
      <c r="A4177">
        <v>34176</v>
      </c>
      <c r="B4177">
        <v>269</v>
      </c>
      <c r="C4177" s="2">
        <v>44927</v>
      </c>
      <c r="D4177" s="2" t="str">
        <f>TEXT(Table5[[#This Row],[bill_date]],"mmmm")</f>
        <v>January</v>
      </c>
      <c r="E4177" s="9">
        <f>YEAR(Table5[[#This Row],[bill_date]])</f>
        <v>2023</v>
      </c>
      <c r="F4177">
        <v>1347</v>
      </c>
      <c r="G4177" t="s">
        <v>30</v>
      </c>
    </row>
    <row r="4178" spans="1:7" x14ac:dyDescent="0.3">
      <c r="A4178">
        <v>34177</v>
      </c>
      <c r="B4178">
        <v>105</v>
      </c>
      <c r="C4178" s="2">
        <v>44573</v>
      </c>
      <c r="D4178" s="2" t="str">
        <f>TEXT(Table5[[#This Row],[bill_date]],"mmmm")</f>
        <v>January</v>
      </c>
      <c r="E4178" s="9">
        <f>YEAR(Table5[[#This Row],[bill_date]])</f>
        <v>2022</v>
      </c>
      <c r="F4178">
        <v>978</v>
      </c>
      <c r="G4178" t="s">
        <v>30</v>
      </c>
    </row>
    <row r="4179" spans="1:7" x14ac:dyDescent="0.3">
      <c r="A4179">
        <v>34178</v>
      </c>
      <c r="B4179">
        <v>159</v>
      </c>
      <c r="C4179" s="2">
        <v>44635</v>
      </c>
      <c r="D4179" s="2" t="str">
        <f>TEXT(Table5[[#This Row],[bill_date]],"mmmm")</f>
        <v>March</v>
      </c>
      <c r="E4179" s="9">
        <f>YEAR(Table5[[#This Row],[bill_date]])</f>
        <v>2022</v>
      </c>
      <c r="F4179">
        <v>925</v>
      </c>
      <c r="G4179" t="s">
        <v>30</v>
      </c>
    </row>
    <row r="4180" spans="1:7" x14ac:dyDescent="0.3">
      <c r="A4180">
        <v>34179</v>
      </c>
      <c r="B4180">
        <v>5</v>
      </c>
      <c r="C4180" s="2">
        <v>44799</v>
      </c>
      <c r="D4180" s="2" t="str">
        <f>TEXT(Table5[[#This Row],[bill_date]],"mmmm")</f>
        <v>August</v>
      </c>
      <c r="E4180" s="9">
        <f>YEAR(Table5[[#This Row],[bill_date]])</f>
        <v>2022</v>
      </c>
      <c r="F4180">
        <v>1801</v>
      </c>
      <c r="G4180" t="s">
        <v>30</v>
      </c>
    </row>
    <row r="4181" spans="1:7" x14ac:dyDescent="0.3">
      <c r="A4181">
        <v>34180</v>
      </c>
      <c r="B4181">
        <v>339</v>
      </c>
      <c r="C4181" s="2">
        <v>45373</v>
      </c>
      <c r="D4181" s="2" t="str">
        <f>TEXT(Table5[[#This Row],[bill_date]],"mmmm")</f>
        <v>March</v>
      </c>
      <c r="E4181" s="9">
        <f>YEAR(Table5[[#This Row],[bill_date]])</f>
        <v>2024</v>
      </c>
      <c r="F4181">
        <v>1400</v>
      </c>
      <c r="G4181" t="s">
        <v>30</v>
      </c>
    </row>
    <row r="4182" spans="1:7" x14ac:dyDescent="0.3">
      <c r="A4182">
        <v>34181</v>
      </c>
      <c r="B4182">
        <v>392</v>
      </c>
      <c r="C4182" s="2">
        <v>44669</v>
      </c>
      <c r="D4182" s="2" t="str">
        <f>TEXT(Table5[[#This Row],[bill_date]],"mmmm")</f>
        <v>April</v>
      </c>
      <c r="E4182" s="9">
        <f>YEAR(Table5[[#This Row],[bill_date]])</f>
        <v>2022</v>
      </c>
      <c r="F4182">
        <v>203</v>
      </c>
      <c r="G4182" t="s">
        <v>30</v>
      </c>
    </row>
    <row r="4183" spans="1:7" x14ac:dyDescent="0.3">
      <c r="A4183">
        <v>34182</v>
      </c>
      <c r="B4183">
        <v>141</v>
      </c>
      <c r="C4183" s="2">
        <v>45086</v>
      </c>
      <c r="D4183" s="2" t="str">
        <f>TEXT(Table5[[#This Row],[bill_date]],"mmmm")</f>
        <v>June</v>
      </c>
      <c r="E4183" s="9">
        <f>YEAR(Table5[[#This Row],[bill_date]])</f>
        <v>2023</v>
      </c>
      <c r="F4183">
        <v>1936</v>
      </c>
      <c r="G4183" t="s">
        <v>30</v>
      </c>
    </row>
    <row r="4184" spans="1:7" x14ac:dyDescent="0.3">
      <c r="A4184">
        <v>34183</v>
      </c>
      <c r="B4184">
        <v>169</v>
      </c>
      <c r="C4184" s="2">
        <v>44795</v>
      </c>
      <c r="D4184" s="2" t="str">
        <f>TEXT(Table5[[#This Row],[bill_date]],"mmmm")</f>
        <v>August</v>
      </c>
      <c r="E4184" s="9">
        <f>YEAR(Table5[[#This Row],[bill_date]])</f>
        <v>2022</v>
      </c>
      <c r="F4184">
        <v>315</v>
      </c>
      <c r="G4184" t="s">
        <v>30</v>
      </c>
    </row>
    <row r="4185" spans="1:7" x14ac:dyDescent="0.3">
      <c r="A4185">
        <v>34184</v>
      </c>
      <c r="B4185">
        <v>17</v>
      </c>
      <c r="C4185" s="2">
        <v>45000</v>
      </c>
      <c r="D4185" s="2" t="str">
        <f>TEXT(Table5[[#This Row],[bill_date]],"mmmm")</f>
        <v>March</v>
      </c>
      <c r="E4185" s="9">
        <f>YEAR(Table5[[#This Row],[bill_date]])</f>
        <v>2023</v>
      </c>
      <c r="F4185">
        <v>1212</v>
      </c>
      <c r="G4185" t="s">
        <v>28</v>
      </c>
    </row>
    <row r="4186" spans="1:7" x14ac:dyDescent="0.3">
      <c r="A4186">
        <v>34185</v>
      </c>
      <c r="B4186">
        <v>32</v>
      </c>
      <c r="C4186" s="2">
        <v>45318</v>
      </c>
      <c r="D4186" s="2" t="str">
        <f>TEXT(Table5[[#This Row],[bill_date]],"mmmm")</f>
        <v>January</v>
      </c>
      <c r="E4186" s="9">
        <f>YEAR(Table5[[#This Row],[bill_date]])</f>
        <v>2024</v>
      </c>
      <c r="F4186">
        <v>629</v>
      </c>
      <c r="G4186" t="s">
        <v>30</v>
      </c>
    </row>
    <row r="4187" spans="1:7" x14ac:dyDescent="0.3">
      <c r="A4187">
        <v>34186</v>
      </c>
      <c r="B4187">
        <v>5</v>
      </c>
      <c r="C4187" s="2">
        <v>45042</v>
      </c>
      <c r="D4187" s="2" t="str">
        <f>TEXT(Table5[[#This Row],[bill_date]],"mmmm")</f>
        <v>April</v>
      </c>
      <c r="E4187" s="9">
        <f>YEAR(Table5[[#This Row],[bill_date]])</f>
        <v>2023</v>
      </c>
      <c r="F4187">
        <v>588</v>
      </c>
      <c r="G4187" t="s">
        <v>30</v>
      </c>
    </row>
    <row r="4188" spans="1:7" x14ac:dyDescent="0.3">
      <c r="A4188">
        <v>34187</v>
      </c>
      <c r="B4188">
        <v>382</v>
      </c>
      <c r="C4188" s="2">
        <v>45394</v>
      </c>
      <c r="D4188" s="2" t="str">
        <f>TEXT(Table5[[#This Row],[bill_date]],"mmmm")</f>
        <v>April</v>
      </c>
      <c r="E4188" s="9">
        <f>YEAR(Table5[[#This Row],[bill_date]])</f>
        <v>2024</v>
      </c>
      <c r="F4188">
        <v>1701</v>
      </c>
      <c r="G4188" t="s">
        <v>28</v>
      </c>
    </row>
    <row r="4189" spans="1:7" x14ac:dyDescent="0.3">
      <c r="A4189">
        <v>34188</v>
      </c>
      <c r="B4189">
        <v>137</v>
      </c>
      <c r="C4189" s="2">
        <v>44653</v>
      </c>
      <c r="D4189" s="2" t="str">
        <f>TEXT(Table5[[#This Row],[bill_date]],"mmmm")</f>
        <v>April</v>
      </c>
      <c r="E4189" s="9">
        <f>YEAR(Table5[[#This Row],[bill_date]])</f>
        <v>2022</v>
      </c>
      <c r="F4189">
        <v>1693</v>
      </c>
      <c r="G4189" t="s">
        <v>30</v>
      </c>
    </row>
    <row r="4190" spans="1:7" x14ac:dyDescent="0.3">
      <c r="A4190">
        <v>34189</v>
      </c>
      <c r="B4190">
        <v>107</v>
      </c>
      <c r="C4190" s="2">
        <v>45433</v>
      </c>
      <c r="D4190" s="2" t="str">
        <f>TEXT(Table5[[#This Row],[bill_date]],"mmmm")</f>
        <v>May</v>
      </c>
      <c r="E4190" s="9">
        <f>YEAR(Table5[[#This Row],[bill_date]])</f>
        <v>2024</v>
      </c>
      <c r="F4190">
        <v>1572</v>
      </c>
      <c r="G4190" t="s">
        <v>29</v>
      </c>
    </row>
    <row r="4191" spans="1:7" x14ac:dyDescent="0.3">
      <c r="A4191">
        <v>34190</v>
      </c>
      <c r="B4191">
        <v>162</v>
      </c>
      <c r="C4191" s="2">
        <v>44759</v>
      </c>
      <c r="D4191" s="2" t="str">
        <f>TEXT(Table5[[#This Row],[bill_date]],"mmmm")</f>
        <v>July</v>
      </c>
      <c r="E4191" s="9">
        <f>YEAR(Table5[[#This Row],[bill_date]])</f>
        <v>2022</v>
      </c>
      <c r="F4191">
        <v>942</v>
      </c>
      <c r="G4191" t="s">
        <v>30</v>
      </c>
    </row>
    <row r="4192" spans="1:7" x14ac:dyDescent="0.3">
      <c r="A4192">
        <v>34191</v>
      </c>
      <c r="B4192">
        <v>493</v>
      </c>
      <c r="C4192" s="2">
        <v>44677</v>
      </c>
      <c r="D4192" s="2" t="str">
        <f>TEXT(Table5[[#This Row],[bill_date]],"mmmm")</f>
        <v>April</v>
      </c>
      <c r="E4192" s="9">
        <f>YEAR(Table5[[#This Row],[bill_date]])</f>
        <v>2022</v>
      </c>
      <c r="F4192">
        <v>282</v>
      </c>
      <c r="G4192" t="s">
        <v>30</v>
      </c>
    </row>
    <row r="4193" spans="1:7" x14ac:dyDescent="0.3">
      <c r="A4193">
        <v>34192</v>
      </c>
      <c r="B4193">
        <v>257</v>
      </c>
      <c r="C4193" s="2">
        <v>45204</v>
      </c>
      <c r="D4193" s="2" t="str">
        <f>TEXT(Table5[[#This Row],[bill_date]],"mmmm")</f>
        <v>October</v>
      </c>
      <c r="E4193" s="9">
        <f>YEAR(Table5[[#This Row],[bill_date]])</f>
        <v>2023</v>
      </c>
      <c r="F4193">
        <v>799</v>
      </c>
      <c r="G4193" t="s">
        <v>30</v>
      </c>
    </row>
    <row r="4194" spans="1:7" x14ac:dyDescent="0.3">
      <c r="A4194">
        <v>34193</v>
      </c>
      <c r="B4194">
        <v>168</v>
      </c>
      <c r="C4194" s="2">
        <v>44926</v>
      </c>
      <c r="D4194" s="2" t="str">
        <f>TEXT(Table5[[#This Row],[bill_date]],"mmmm")</f>
        <v>December</v>
      </c>
      <c r="E4194" s="9">
        <f>YEAR(Table5[[#This Row],[bill_date]])</f>
        <v>2022</v>
      </c>
      <c r="F4194">
        <v>1449</v>
      </c>
      <c r="G4194" t="s">
        <v>28</v>
      </c>
    </row>
    <row r="4195" spans="1:7" x14ac:dyDescent="0.3">
      <c r="A4195">
        <v>34194</v>
      </c>
      <c r="B4195">
        <v>463</v>
      </c>
      <c r="C4195" s="2">
        <v>44714</v>
      </c>
      <c r="D4195" s="2" t="str">
        <f>TEXT(Table5[[#This Row],[bill_date]],"mmmm")</f>
        <v>June</v>
      </c>
      <c r="E4195" s="9">
        <f>YEAR(Table5[[#This Row],[bill_date]])</f>
        <v>2022</v>
      </c>
      <c r="F4195">
        <v>651</v>
      </c>
      <c r="G4195" t="s">
        <v>30</v>
      </c>
    </row>
    <row r="4196" spans="1:7" x14ac:dyDescent="0.3">
      <c r="A4196">
        <v>34195</v>
      </c>
      <c r="B4196">
        <v>438</v>
      </c>
      <c r="C4196" s="2">
        <v>45194</v>
      </c>
      <c r="D4196" s="2" t="str">
        <f>TEXT(Table5[[#This Row],[bill_date]],"mmmm")</f>
        <v>September</v>
      </c>
      <c r="E4196" s="9">
        <f>YEAR(Table5[[#This Row],[bill_date]])</f>
        <v>2023</v>
      </c>
      <c r="F4196">
        <v>1669</v>
      </c>
      <c r="G4196" t="s">
        <v>30</v>
      </c>
    </row>
    <row r="4197" spans="1:7" x14ac:dyDescent="0.3">
      <c r="A4197">
        <v>34196</v>
      </c>
      <c r="B4197">
        <v>382</v>
      </c>
      <c r="C4197" s="2">
        <v>44669</v>
      </c>
      <c r="D4197" s="2" t="str">
        <f>TEXT(Table5[[#This Row],[bill_date]],"mmmm")</f>
        <v>April</v>
      </c>
      <c r="E4197" s="9">
        <f>YEAR(Table5[[#This Row],[bill_date]])</f>
        <v>2022</v>
      </c>
      <c r="F4197">
        <v>1333</v>
      </c>
      <c r="G4197" t="s">
        <v>30</v>
      </c>
    </row>
    <row r="4198" spans="1:7" x14ac:dyDescent="0.3">
      <c r="A4198">
        <v>34197</v>
      </c>
      <c r="B4198">
        <v>288</v>
      </c>
      <c r="C4198" s="2">
        <v>45089</v>
      </c>
      <c r="D4198" s="2" t="str">
        <f>TEXT(Table5[[#This Row],[bill_date]],"mmmm")</f>
        <v>June</v>
      </c>
      <c r="E4198" s="9">
        <f>YEAR(Table5[[#This Row],[bill_date]])</f>
        <v>2023</v>
      </c>
      <c r="F4198">
        <v>521</v>
      </c>
      <c r="G4198" t="s">
        <v>30</v>
      </c>
    </row>
    <row r="4199" spans="1:7" x14ac:dyDescent="0.3">
      <c r="A4199">
        <v>34198</v>
      </c>
      <c r="B4199">
        <v>382</v>
      </c>
      <c r="C4199" s="2">
        <v>45372</v>
      </c>
      <c r="D4199" s="2" t="str">
        <f>TEXT(Table5[[#This Row],[bill_date]],"mmmm")</f>
        <v>March</v>
      </c>
      <c r="E4199" s="9">
        <f>YEAR(Table5[[#This Row],[bill_date]])</f>
        <v>2024</v>
      </c>
      <c r="F4199">
        <v>1746</v>
      </c>
      <c r="G4199" t="s">
        <v>29</v>
      </c>
    </row>
    <row r="4200" spans="1:7" x14ac:dyDescent="0.3">
      <c r="A4200">
        <v>34199</v>
      </c>
      <c r="B4200">
        <v>482</v>
      </c>
      <c r="C4200" s="2">
        <v>44617</v>
      </c>
      <c r="D4200" s="2" t="str">
        <f>TEXT(Table5[[#This Row],[bill_date]],"mmmm")</f>
        <v>February</v>
      </c>
      <c r="E4200" s="9">
        <f>YEAR(Table5[[#This Row],[bill_date]])</f>
        <v>2022</v>
      </c>
      <c r="F4200">
        <v>1761</v>
      </c>
      <c r="G4200" t="s">
        <v>29</v>
      </c>
    </row>
    <row r="4201" spans="1:7" x14ac:dyDescent="0.3">
      <c r="A4201">
        <v>34200</v>
      </c>
      <c r="B4201">
        <v>355</v>
      </c>
      <c r="C4201" s="2">
        <v>45013</v>
      </c>
      <c r="D4201" s="2" t="str">
        <f>TEXT(Table5[[#This Row],[bill_date]],"mmmm")</f>
        <v>March</v>
      </c>
      <c r="E4201" s="9">
        <f>YEAR(Table5[[#This Row],[bill_date]])</f>
        <v>2023</v>
      </c>
      <c r="F4201">
        <v>1327</v>
      </c>
      <c r="G4201" t="s">
        <v>30</v>
      </c>
    </row>
    <row r="4202" spans="1:7" x14ac:dyDescent="0.3">
      <c r="A4202">
        <v>34201</v>
      </c>
      <c r="B4202">
        <v>245</v>
      </c>
      <c r="C4202" s="2">
        <v>44953</v>
      </c>
      <c r="D4202" s="2" t="str">
        <f>TEXT(Table5[[#This Row],[bill_date]],"mmmm")</f>
        <v>January</v>
      </c>
      <c r="E4202" s="9">
        <f>YEAR(Table5[[#This Row],[bill_date]])</f>
        <v>2023</v>
      </c>
      <c r="F4202">
        <v>1308</v>
      </c>
      <c r="G4202" t="s">
        <v>30</v>
      </c>
    </row>
    <row r="4203" spans="1:7" x14ac:dyDescent="0.3">
      <c r="A4203">
        <v>34202</v>
      </c>
      <c r="B4203">
        <v>113</v>
      </c>
      <c r="C4203" s="2">
        <v>45176</v>
      </c>
      <c r="D4203" s="2" t="str">
        <f>TEXT(Table5[[#This Row],[bill_date]],"mmmm")</f>
        <v>September</v>
      </c>
      <c r="E4203" s="9">
        <f>YEAR(Table5[[#This Row],[bill_date]])</f>
        <v>2023</v>
      </c>
      <c r="F4203">
        <v>1162</v>
      </c>
      <c r="G4203" t="s">
        <v>30</v>
      </c>
    </row>
    <row r="4204" spans="1:7" x14ac:dyDescent="0.3">
      <c r="A4204">
        <v>34203</v>
      </c>
      <c r="B4204">
        <v>178</v>
      </c>
      <c r="C4204" s="2">
        <v>44769</v>
      </c>
      <c r="D4204" s="2" t="str">
        <f>TEXT(Table5[[#This Row],[bill_date]],"mmmm")</f>
        <v>July</v>
      </c>
      <c r="E4204" s="9">
        <f>YEAR(Table5[[#This Row],[bill_date]])</f>
        <v>2022</v>
      </c>
      <c r="F4204">
        <v>701</v>
      </c>
      <c r="G4204" t="s">
        <v>30</v>
      </c>
    </row>
    <row r="4205" spans="1:7" x14ac:dyDescent="0.3">
      <c r="A4205">
        <v>34204</v>
      </c>
      <c r="B4205">
        <v>443</v>
      </c>
      <c r="C4205" s="2">
        <v>45071</v>
      </c>
      <c r="D4205" s="2" t="str">
        <f>TEXT(Table5[[#This Row],[bill_date]],"mmmm")</f>
        <v>May</v>
      </c>
      <c r="E4205" s="9">
        <f>YEAR(Table5[[#This Row],[bill_date]])</f>
        <v>2023</v>
      </c>
      <c r="F4205">
        <v>704</v>
      </c>
      <c r="G4205" t="s">
        <v>30</v>
      </c>
    </row>
    <row r="4206" spans="1:7" x14ac:dyDescent="0.3">
      <c r="A4206">
        <v>34205</v>
      </c>
      <c r="B4206">
        <v>476</v>
      </c>
      <c r="C4206" s="2">
        <v>45224</v>
      </c>
      <c r="D4206" s="2" t="str">
        <f>TEXT(Table5[[#This Row],[bill_date]],"mmmm")</f>
        <v>October</v>
      </c>
      <c r="E4206" s="9">
        <f>YEAR(Table5[[#This Row],[bill_date]])</f>
        <v>2023</v>
      </c>
      <c r="F4206">
        <v>1083</v>
      </c>
      <c r="G4206" t="s">
        <v>30</v>
      </c>
    </row>
    <row r="4207" spans="1:7" x14ac:dyDescent="0.3">
      <c r="A4207">
        <v>34206</v>
      </c>
      <c r="B4207">
        <v>465</v>
      </c>
      <c r="C4207" s="2">
        <v>45335</v>
      </c>
      <c r="D4207" s="2" t="str">
        <f>TEXT(Table5[[#This Row],[bill_date]],"mmmm")</f>
        <v>February</v>
      </c>
      <c r="E4207" s="9">
        <f>YEAR(Table5[[#This Row],[bill_date]])</f>
        <v>2024</v>
      </c>
      <c r="F4207">
        <v>1378</v>
      </c>
      <c r="G4207" t="s">
        <v>30</v>
      </c>
    </row>
    <row r="4208" spans="1:7" x14ac:dyDescent="0.3">
      <c r="A4208">
        <v>34207</v>
      </c>
      <c r="B4208">
        <v>190</v>
      </c>
      <c r="C4208" s="2">
        <v>45116</v>
      </c>
      <c r="D4208" s="2" t="str">
        <f>TEXT(Table5[[#This Row],[bill_date]],"mmmm")</f>
        <v>July</v>
      </c>
      <c r="E4208" s="9">
        <f>YEAR(Table5[[#This Row],[bill_date]])</f>
        <v>2023</v>
      </c>
      <c r="F4208">
        <v>1933</v>
      </c>
      <c r="G4208" t="s">
        <v>30</v>
      </c>
    </row>
    <row r="4209" spans="1:7" x14ac:dyDescent="0.3">
      <c r="A4209">
        <v>34208</v>
      </c>
      <c r="B4209">
        <v>494</v>
      </c>
      <c r="C4209" s="2">
        <v>44861</v>
      </c>
      <c r="D4209" s="2" t="str">
        <f>TEXT(Table5[[#This Row],[bill_date]],"mmmm")</f>
        <v>October</v>
      </c>
      <c r="E4209" s="9">
        <f>YEAR(Table5[[#This Row],[bill_date]])</f>
        <v>2022</v>
      </c>
      <c r="F4209">
        <v>694</v>
      </c>
      <c r="G4209" t="s">
        <v>29</v>
      </c>
    </row>
    <row r="4210" spans="1:7" x14ac:dyDescent="0.3">
      <c r="A4210">
        <v>34209</v>
      </c>
      <c r="B4210">
        <v>11</v>
      </c>
      <c r="C4210" s="2">
        <v>45191</v>
      </c>
      <c r="D4210" s="2" t="str">
        <f>TEXT(Table5[[#This Row],[bill_date]],"mmmm")</f>
        <v>September</v>
      </c>
      <c r="E4210" s="9">
        <f>YEAR(Table5[[#This Row],[bill_date]])</f>
        <v>2023</v>
      </c>
      <c r="F4210">
        <v>1139</v>
      </c>
      <c r="G4210" t="s">
        <v>28</v>
      </c>
    </row>
    <row r="4211" spans="1:7" x14ac:dyDescent="0.3">
      <c r="A4211">
        <v>34210</v>
      </c>
      <c r="B4211">
        <v>23</v>
      </c>
      <c r="C4211" s="2">
        <v>45409</v>
      </c>
      <c r="D4211" s="2" t="str">
        <f>TEXT(Table5[[#This Row],[bill_date]],"mmmm")</f>
        <v>April</v>
      </c>
      <c r="E4211" s="9">
        <f>YEAR(Table5[[#This Row],[bill_date]])</f>
        <v>2024</v>
      </c>
      <c r="F4211">
        <v>1192</v>
      </c>
      <c r="G4211" t="s">
        <v>30</v>
      </c>
    </row>
    <row r="4212" spans="1:7" x14ac:dyDescent="0.3">
      <c r="A4212">
        <v>34211</v>
      </c>
      <c r="B4212">
        <v>119</v>
      </c>
      <c r="C4212" s="2">
        <v>44840</v>
      </c>
      <c r="D4212" s="2" t="str">
        <f>TEXT(Table5[[#This Row],[bill_date]],"mmmm")</f>
        <v>October</v>
      </c>
      <c r="E4212" s="9">
        <f>YEAR(Table5[[#This Row],[bill_date]])</f>
        <v>2022</v>
      </c>
      <c r="F4212">
        <v>584</v>
      </c>
      <c r="G4212" t="s">
        <v>30</v>
      </c>
    </row>
    <row r="4213" spans="1:7" x14ac:dyDescent="0.3">
      <c r="A4213">
        <v>34212</v>
      </c>
      <c r="B4213">
        <v>282</v>
      </c>
      <c r="C4213" s="2">
        <v>44705</v>
      </c>
      <c r="D4213" s="2" t="str">
        <f>TEXT(Table5[[#This Row],[bill_date]],"mmmm")</f>
        <v>May</v>
      </c>
      <c r="E4213" s="9">
        <f>YEAR(Table5[[#This Row],[bill_date]])</f>
        <v>2022</v>
      </c>
      <c r="F4213">
        <v>1871</v>
      </c>
      <c r="G4213" t="s">
        <v>28</v>
      </c>
    </row>
    <row r="4214" spans="1:7" x14ac:dyDescent="0.3">
      <c r="A4214">
        <v>34213</v>
      </c>
      <c r="B4214">
        <v>319</v>
      </c>
      <c r="C4214" s="2">
        <v>45301</v>
      </c>
      <c r="D4214" s="2" t="str">
        <f>TEXT(Table5[[#This Row],[bill_date]],"mmmm")</f>
        <v>January</v>
      </c>
      <c r="E4214" s="9">
        <f>YEAR(Table5[[#This Row],[bill_date]])</f>
        <v>2024</v>
      </c>
      <c r="F4214">
        <v>1685</v>
      </c>
      <c r="G4214" t="s">
        <v>30</v>
      </c>
    </row>
    <row r="4215" spans="1:7" x14ac:dyDescent="0.3">
      <c r="A4215">
        <v>34214</v>
      </c>
      <c r="B4215">
        <v>430</v>
      </c>
      <c r="C4215" s="2">
        <v>44765</v>
      </c>
      <c r="D4215" s="2" t="str">
        <f>TEXT(Table5[[#This Row],[bill_date]],"mmmm")</f>
        <v>July</v>
      </c>
      <c r="E4215" s="9">
        <f>YEAR(Table5[[#This Row],[bill_date]])</f>
        <v>2022</v>
      </c>
      <c r="F4215">
        <v>1765</v>
      </c>
      <c r="G4215" t="s">
        <v>30</v>
      </c>
    </row>
    <row r="4216" spans="1:7" x14ac:dyDescent="0.3">
      <c r="A4216">
        <v>34215</v>
      </c>
      <c r="B4216">
        <v>69</v>
      </c>
      <c r="C4216" s="2">
        <v>44790</v>
      </c>
      <c r="D4216" s="2" t="str">
        <f>TEXT(Table5[[#This Row],[bill_date]],"mmmm")</f>
        <v>August</v>
      </c>
      <c r="E4216" s="9">
        <f>YEAR(Table5[[#This Row],[bill_date]])</f>
        <v>2022</v>
      </c>
      <c r="F4216">
        <v>874</v>
      </c>
      <c r="G4216" t="s">
        <v>28</v>
      </c>
    </row>
    <row r="4217" spans="1:7" x14ac:dyDescent="0.3">
      <c r="A4217">
        <v>34216</v>
      </c>
      <c r="B4217">
        <v>346</v>
      </c>
      <c r="C4217" s="2">
        <v>44826</v>
      </c>
      <c r="D4217" s="2" t="str">
        <f>TEXT(Table5[[#This Row],[bill_date]],"mmmm")</f>
        <v>September</v>
      </c>
      <c r="E4217" s="9">
        <f>YEAR(Table5[[#This Row],[bill_date]])</f>
        <v>2022</v>
      </c>
      <c r="F4217">
        <v>1335</v>
      </c>
      <c r="G4217" t="s">
        <v>30</v>
      </c>
    </row>
    <row r="4218" spans="1:7" x14ac:dyDescent="0.3">
      <c r="A4218">
        <v>34217</v>
      </c>
      <c r="B4218">
        <v>134</v>
      </c>
      <c r="C4218" s="2">
        <v>45027</v>
      </c>
      <c r="D4218" s="2" t="str">
        <f>TEXT(Table5[[#This Row],[bill_date]],"mmmm")</f>
        <v>April</v>
      </c>
      <c r="E4218" s="9">
        <f>YEAR(Table5[[#This Row],[bill_date]])</f>
        <v>2023</v>
      </c>
      <c r="F4218">
        <v>1063</v>
      </c>
      <c r="G4218" t="s">
        <v>28</v>
      </c>
    </row>
    <row r="4219" spans="1:7" x14ac:dyDescent="0.3">
      <c r="A4219">
        <v>34218</v>
      </c>
      <c r="B4219">
        <v>253</v>
      </c>
      <c r="C4219" s="2">
        <v>44698</v>
      </c>
      <c r="D4219" s="2" t="str">
        <f>TEXT(Table5[[#This Row],[bill_date]],"mmmm")</f>
        <v>May</v>
      </c>
      <c r="E4219" s="9">
        <f>YEAR(Table5[[#This Row],[bill_date]])</f>
        <v>2022</v>
      </c>
      <c r="F4219">
        <v>1668</v>
      </c>
      <c r="G4219" t="s">
        <v>30</v>
      </c>
    </row>
    <row r="4220" spans="1:7" x14ac:dyDescent="0.3">
      <c r="A4220">
        <v>34219</v>
      </c>
      <c r="B4220">
        <v>51</v>
      </c>
      <c r="C4220" s="2">
        <v>44801</v>
      </c>
      <c r="D4220" s="2" t="str">
        <f>TEXT(Table5[[#This Row],[bill_date]],"mmmm")</f>
        <v>August</v>
      </c>
      <c r="E4220" s="9">
        <f>YEAR(Table5[[#This Row],[bill_date]])</f>
        <v>2022</v>
      </c>
      <c r="F4220">
        <v>485</v>
      </c>
      <c r="G4220" t="s">
        <v>28</v>
      </c>
    </row>
    <row r="4221" spans="1:7" x14ac:dyDescent="0.3">
      <c r="A4221">
        <v>34220</v>
      </c>
      <c r="B4221">
        <v>43</v>
      </c>
      <c r="C4221" s="2">
        <v>45259</v>
      </c>
      <c r="D4221" s="2" t="str">
        <f>TEXT(Table5[[#This Row],[bill_date]],"mmmm")</f>
        <v>November</v>
      </c>
      <c r="E4221" s="9">
        <f>YEAR(Table5[[#This Row],[bill_date]])</f>
        <v>2023</v>
      </c>
      <c r="F4221">
        <v>1121</v>
      </c>
      <c r="G4221" t="s">
        <v>30</v>
      </c>
    </row>
    <row r="4222" spans="1:7" x14ac:dyDescent="0.3">
      <c r="A4222">
        <v>34221</v>
      </c>
      <c r="B4222">
        <v>482</v>
      </c>
      <c r="C4222" s="2">
        <v>45010</v>
      </c>
      <c r="D4222" s="2" t="str">
        <f>TEXT(Table5[[#This Row],[bill_date]],"mmmm")</f>
        <v>March</v>
      </c>
      <c r="E4222" s="9">
        <f>YEAR(Table5[[#This Row],[bill_date]])</f>
        <v>2023</v>
      </c>
      <c r="F4222">
        <v>1992</v>
      </c>
      <c r="G4222" t="s">
        <v>30</v>
      </c>
    </row>
    <row r="4223" spans="1:7" x14ac:dyDescent="0.3">
      <c r="A4223">
        <v>34222</v>
      </c>
      <c r="B4223">
        <v>426</v>
      </c>
      <c r="C4223" s="2">
        <v>44876</v>
      </c>
      <c r="D4223" s="2" t="str">
        <f>TEXT(Table5[[#This Row],[bill_date]],"mmmm")</f>
        <v>November</v>
      </c>
      <c r="E4223" s="9">
        <f>YEAR(Table5[[#This Row],[bill_date]])</f>
        <v>2022</v>
      </c>
      <c r="F4223">
        <v>399</v>
      </c>
      <c r="G4223" t="s">
        <v>30</v>
      </c>
    </row>
    <row r="4224" spans="1:7" x14ac:dyDescent="0.3">
      <c r="A4224">
        <v>34223</v>
      </c>
      <c r="B4224">
        <v>141</v>
      </c>
      <c r="C4224" s="2">
        <v>44712</v>
      </c>
      <c r="D4224" s="2" t="str">
        <f>TEXT(Table5[[#This Row],[bill_date]],"mmmm")</f>
        <v>May</v>
      </c>
      <c r="E4224" s="9">
        <f>YEAR(Table5[[#This Row],[bill_date]])</f>
        <v>2022</v>
      </c>
      <c r="F4224">
        <v>1009</v>
      </c>
      <c r="G4224" t="s">
        <v>30</v>
      </c>
    </row>
    <row r="4225" spans="1:7" x14ac:dyDescent="0.3">
      <c r="A4225">
        <v>34224</v>
      </c>
      <c r="B4225">
        <v>25</v>
      </c>
      <c r="C4225" s="2">
        <v>44886</v>
      </c>
      <c r="D4225" s="2" t="str">
        <f>TEXT(Table5[[#This Row],[bill_date]],"mmmm")</f>
        <v>November</v>
      </c>
      <c r="E4225" s="9">
        <f>YEAR(Table5[[#This Row],[bill_date]])</f>
        <v>2022</v>
      </c>
      <c r="F4225">
        <v>1081</v>
      </c>
      <c r="G4225" t="s">
        <v>30</v>
      </c>
    </row>
    <row r="4226" spans="1:7" x14ac:dyDescent="0.3">
      <c r="A4226">
        <v>34225</v>
      </c>
      <c r="B4226">
        <v>386</v>
      </c>
      <c r="C4226" s="2">
        <v>44964</v>
      </c>
      <c r="D4226" s="2" t="str">
        <f>TEXT(Table5[[#This Row],[bill_date]],"mmmm")</f>
        <v>February</v>
      </c>
      <c r="E4226" s="9">
        <f>YEAR(Table5[[#This Row],[bill_date]])</f>
        <v>2023</v>
      </c>
      <c r="F4226">
        <v>1601</v>
      </c>
      <c r="G4226" t="s">
        <v>30</v>
      </c>
    </row>
    <row r="4227" spans="1:7" x14ac:dyDescent="0.3">
      <c r="A4227">
        <v>34226</v>
      </c>
      <c r="B4227">
        <v>270</v>
      </c>
      <c r="C4227" s="2">
        <v>45364</v>
      </c>
      <c r="D4227" s="2" t="str">
        <f>TEXT(Table5[[#This Row],[bill_date]],"mmmm")</f>
        <v>March</v>
      </c>
      <c r="E4227" s="9">
        <f>YEAR(Table5[[#This Row],[bill_date]])</f>
        <v>2024</v>
      </c>
      <c r="F4227">
        <v>711</v>
      </c>
      <c r="G4227" t="s">
        <v>30</v>
      </c>
    </row>
    <row r="4228" spans="1:7" x14ac:dyDescent="0.3">
      <c r="A4228">
        <v>34227</v>
      </c>
      <c r="B4228">
        <v>401</v>
      </c>
      <c r="C4228" s="2">
        <v>44914</v>
      </c>
      <c r="D4228" s="2" t="str">
        <f>TEXT(Table5[[#This Row],[bill_date]],"mmmm")</f>
        <v>December</v>
      </c>
      <c r="E4228" s="9">
        <f>YEAR(Table5[[#This Row],[bill_date]])</f>
        <v>2022</v>
      </c>
      <c r="F4228">
        <v>1945</v>
      </c>
      <c r="G4228" t="s">
        <v>29</v>
      </c>
    </row>
    <row r="4229" spans="1:7" x14ac:dyDescent="0.3">
      <c r="A4229">
        <v>34228</v>
      </c>
      <c r="B4229">
        <v>361</v>
      </c>
      <c r="C4229" s="2">
        <v>44671</v>
      </c>
      <c r="D4229" s="2" t="str">
        <f>TEXT(Table5[[#This Row],[bill_date]],"mmmm")</f>
        <v>April</v>
      </c>
      <c r="E4229" s="9">
        <f>YEAR(Table5[[#This Row],[bill_date]])</f>
        <v>2022</v>
      </c>
      <c r="F4229">
        <v>1487</v>
      </c>
      <c r="G4229" t="s">
        <v>30</v>
      </c>
    </row>
    <row r="4230" spans="1:7" x14ac:dyDescent="0.3">
      <c r="A4230">
        <v>34229</v>
      </c>
      <c r="B4230">
        <v>104</v>
      </c>
      <c r="C4230" s="2">
        <v>45027</v>
      </c>
      <c r="D4230" s="2" t="str">
        <f>TEXT(Table5[[#This Row],[bill_date]],"mmmm")</f>
        <v>April</v>
      </c>
      <c r="E4230" s="9">
        <f>YEAR(Table5[[#This Row],[bill_date]])</f>
        <v>2023</v>
      </c>
      <c r="F4230">
        <v>1410</v>
      </c>
      <c r="G4230" t="s">
        <v>30</v>
      </c>
    </row>
    <row r="4231" spans="1:7" x14ac:dyDescent="0.3">
      <c r="A4231">
        <v>34230</v>
      </c>
      <c r="B4231">
        <v>424</v>
      </c>
      <c r="C4231" s="2">
        <v>44601</v>
      </c>
      <c r="D4231" s="2" t="str">
        <f>TEXT(Table5[[#This Row],[bill_date]],"mmmm")</f>
        <v>February</v>
      </c>
      <c r="E4231" s="9">
        <f>YEAR(Table5[[#This Row],[bill_date]])</f>
        <v>2022</v>
      </c>
      <c r="F4231">
        <v>1096</v>
      </c>
      <c r="G4231" t="s">
        <v>28</v>
      </c>
    </row>
    <row r="4232" spans="1:7" x14ac:dyDescent="0.3">
      <c r="A4232">
        <v>34231</v>
      </c>
      <c r="B4232">
        <v>295</v>
      </c>
      <c r="C4232" s="2">
        <v>45215</v>
      </c>
      <c r="D4232" s="2" t="str">
        <f>TEXT(Table5[[#This Row],[bill_date]],"mmmm")</f>
        <v>October</v>
      </c>
      <c r="E4232" s="9">
        <f>YEAR(Table5[[#This Row],[bill_date]])</f>
        <v>2023</v>
      </c>
      <c r="F4232">
        <v>555</v>
      </c>
      <c r="G4232" t="s">
        <v>30</v>
      </c>
    </row>
    <row r="4233" spans="1:7" x14ac:dyDescent="0.3">
      <c r="A4233">
        <v>34232</v>
      </c>
      <c r="B4233">
        <v>153</v>
      </c>
      <c r="C4233" s="2">
        <v>44901</v>
      </c>
      <c r="D4233" s="2" t="str">
        <f>TEXT(Table5[[#This Row],[bill_date]],"mmmm")</f>
        <v>December</v>
      </c>
      <c r="E4233" s="9">
        <f>YEAR(Table5[[#This Row],[bill_date]])</f>
        <v>2022</v>
      </c>
      <c r="F4233">
        <v>1463</v>
      </c>
      <c r="G4233" t="s">
        <v>30</v>
      </c>
    </row>
    <row r="4234" spans="1:7" x14ac:dyDescent="0.3">
      <c r="A4234">
        <v>34233</v>
      </c>
      <c r="B4234">
        <v>475</v>
      </c>
      <c r="C4234" s="2">
        <v>44933</v>
      </c>
      <c r="D4234" s="2" t="str">
        <f>TEXT(Table5[[#This Row],[bill_date]],"mmmm")</f>
        <v>January</v>
      </c>
      <c r="E4234" s="9">
        <f>YEAR(Table5[[#This Row],[bill_date]])</f>
        <v>2023</v>
      </c>
      <c r="F4234">
        <v>1415</v>
      </c>
      <c r="G4234" t="s">
        <v>30</v>
      </c>
    </row>
    <row r="4235" spans="1:7" x14ac:dyDescent="0.3">
      <c r="A4235">
        <v>34234</v>
      </c>
      <c r="B4235">
        <v>304</v>
      </c>
      <c r="C4235" s="2">
        <v>45086</v>
      </c>
      <c r="D4235" s="2" t="str">
        <f>TEXT(Table5[[#This Row],[bill_date]],"mmmm")</f>
        <v>June</v>
      </c>
      <c r="E4235" s="9">
        <f>YEAR(Table5[[#This Row],[bill_date]])</f>
        <v>2023</v>
      </c>
      <c r="F4235">
        <v>1332</v>
      </c>
      <c r="G4235" t="s">
        <v>30</v>
      </c>
    </row>
    <row r="4236" spans="1:7" x14ac:dyDescent="0.3">
      <c r="A4236">
        <v>34235</v>
      </c>
      <c r="B4236">
        <v>371</v>
      </c>
      <c r="C4236" s="2">
        <v>45068</v>
      </c>
      <c r="D4236" s="2" t="str">
        <f>TEXT(Table5[[#This Row],[bill_date]],"mmmm")</f>
        <v>May</v>
      </c>
      <c r="E4236" s="9">
        <f>YEAR(Table5[[#This Row],[bill_date]])</f>
        <v>2023</v>
      </c>
      <c r="F4236">
        <v>1106</v>
      </c>
      <c r="G4236" t="s">
        <v>30</v>
      </c>
    </row>
    <row r="4237" spans="1:7" x14ac:dyDescent="0.3">
      <c r="A4237">
        <v>34236</v>
      </c>
      <c r="B4237">
        <v>472</v>
      </c>
      <c r="C4237" s="2">
        <v>44614</v>
      </c>
      <c r="D4237" s="2" t="str">
        <f>TEXT(Table5[[#This Row],[bill_date]],"mmmm")</f>
        <v>February</v>
      </c>
      <c r="E4237" s="9">
        <f>YEAR(Table5[[#This Row],[bill_date]])</f>
        <v>2022</v>
      </c>
      <c r="F4237">
        <v>1104</v>
      </c>
      <c r="G4237" t="s">
        <v>30</v>
      </c>
    </row>
    <row r="4238" spans="1:7" x14ac:dyDescent="0.3">
      <c r="A4238">
        <v>34237</v>
      </c>
      <c r="B4238">
        <v>305</v>
      </c>
      <c r="C4238" s="2">
        <v>44641</v>
      </c>
      <c r="D4238" s="2" t="str">
        <f>TEXT(Table5[[#This Row],[bill_date]],"mmmm")</f>
        <v>March</v>
      </c>
      <c r="E4238" s="9">
        <f>YEAR(Table5[[#This Row],[bill_date]])</f>
        <v>2022</v>
      </c>
      <c r="F4238">
        <v>1721</v>
      </c>
      <c r="G4238" t="s">
        <v>29</v>
      </c>
    </row>
    <row r="4239" spans="1:7" x14ac:dyDescent="0.3">
      <c r="A4239">
        <v>34238</v>
      </c>
      <c r="B4239">
        <v>161</v>
      </c>
      <c r="C4239" s="2">
        <v>45306</v>
      </c>
      <c r="D4239" s="2" t="str">
        <f>TEXT(Table5[[#This Row],[bill_date]],"mmmm")</f>
        <v>January</v>
      </c>
      <c r="E4239" s="9">
        <f>YEAR(Table5[[#This Row],[bill_date]])</f>
        <v>2024</v>
      </c>
      <c r="F4239">
        <v>1845</v>
      </c>
      <c r="G4239" t="s">
        <v>30</v>
      </c>
    </row>
    <row r="4240" spans="1:7" x14ac:dyDescent="0.3">
      <c r="A4240">
        <v>34239</v>
      </c>
      <c r="B4240">
        <v>283</v>
      </c>
      <c r="C4240" s="2">
        <v>44912</v>
      </c>
      <c r="D4240" s="2" t="str">
        <f>TEXT(Table5[[#This Row],[bill_date]],"mmmm")</f>
        <v>December</v>
      </c>
      <c r="E4240" s="9">
        <f>YEAR(Table5[[#This Row],[bill_date]])</f>
        <v>2022</v>
      </c>
      <c r="F4240">
        <v>1287</v>
      </c>
      <c r="G4240" t="s">
        <v>30</v>
      </c>
    </row>
    <row r="4241" spans="1:7" x14ac:dyDescent="0.3">
      <c r="A4241">
        <v>34240</v>
      </c>
      <c r="B4241">
        <v>45</v>
      </c>
      <c r="C4241" s="2">
        <v>45112</v>
      </c>
      <c r="D4241" s="2" t="str">
        <f>TEXT(Table5[[#This Row],[bill_date]],"mmmm")</f>
        <v>July</v>
      </c>
      <c r="E4241" s="9">
        <f>YEAR(Table5[[#This Row],[bill_date]])</f>
        <v>2023</v>
      </c>
      <c r="F4241">
        <v>1287</v>
      </c>
      <c r="G4241" t="s">
        <v>28</v>
      </c>
    </row>
    <row r="4242" spans="1:7" x14ac:dyDescent="0.3">
      <c r="A4242">
        <v>34241</v>
      </c>
      <c r="B4242">
        <v>287</v>
      </c>
      <c r="C4242" s="2">
        <v>45300</v>
      </c>
      <c r="D4242" s="2" t="str">
        <f>TEXT(Table5[[#This Row],[bill_date]],"mmmm")</f>
        <v>January</v>
      </c>
      <c r="E4242" s="9">
        <f>YEAR(Table5[[#This Row],[bill_date]])</f>
        <v>2024</v>
      </c>
      <c r="F4242">
        <v>515</v>
      </c>
      <c r="G4242" t="s">
        <v>30</v>
      </c>
    </row>
    <row r="4243" spans="1:7" x14ac:dyDescent="0.3">
      <c r="A4243">
        <v>34242</v>
      </c>
      <c r="B4243">
        <v>319</v>
      </c>
      <c r="C4243" s="2">
        <v>44901</v>
      </c>
      <c r="D4243" s="2" t="str">
        <f>TEXT(Table5[[#This Row],[bill_date]],"mmmm")</f>
        <v>December</v>
      </c>
      <c r="E4243" s="9">
        <f>YEAR(Table5[[#This Row],[bill_date]])</f>
        <v>2022</v>
      </c>
      <c r="F4243">
        <v>1969</v>
      </c>
      <c r="G4243" t="s">
        <v>30</v>
      </c>
    </row>
    <row r="4244" spans="1:7" x14ac:dyDescent="0.3">
      <c r="A4244">
        <v>34243</v>
      </c>
      <c r="B4244">
        <v>368</v>
      </c>
      <c r="C4244" s="2">
        <v>44682</v>
      </c>
      <c r="D4244" s="2" t="str">
        <f>TEXT(Table5[[#This Row],[bill_date]],"mmmm")</f>
        <v>May</v>
      </c>
      <c r="E4244" s="9">
        <f>YEAR(Table5[[#This Row],[bill_date]])</f>
        <v>2022</v>
      </c>
      <c r="F4244">
        <v>293</v>
      </c>
      <c r="G4244" t="s">
        <v>28</v>
      </c>
    </row>
    <row r="4245" spans="1:7" x14ac:dyDescent="0.3">
      <c r="A4245">
        <v>34244</v>
      </c>
      <c r="B4245">
        <v>166</v>
      </c>
      <c r="C4245" s="2">
        <v>44626</v>
      </c>
      <c r="D4245" s="2" t="str">
        <f>TEXT(Table5[[#This Row],[bill_date]],"mmmm")</f>
        <v>March</v>
      </c>
      <c r="E4245" s="9">
        <f>YEAR(Table5[[#This Row],[bill_date]])</f>
        <v>2022</v>
      </c>
      <c r="F4245">
        <v>657</v>
      </c>
      <c r="G4245" t="s">
        <v>30</v>
      </c>
    </row>
    <row r="4246" spans="1:7" x14ac:dyDescent="0.3">
      <c r="A4246">
        <v>34245</v>
      </c>
      <c r="B4246">
        <v>207</v>
      </c>
      <c r="C4246" s="2">
        <v>45001</v>
      </c>
      <c r="D4246" s="2" t="str">
        <f>TEXT(Table5[[#This Row],[bill_date]],"mmmm")</f>
        <v>March</v>
      </c>
      <c r="E4246" s="9">
        <f>YEAR(Table5[[#This Row],[bill_date]])</f>
        <v>2023</v>
      </c>
      <c r="F4246">
        <v>1931</v>
      </c>
      <c r="G4246" t="s">
        <v>30</v>
      </c>
    </row>
    <row r="4247" spans="1:7" x14ac:dyDescent="0.3">
      <c r="A4247">
        <v>34246</v>
      </c>
      <c r="B4247">
        <v>108</v>
      </c>
      <c r="C4247" s="2">
        <v>44857</v>
      </c>
      <c r="D4247" s="2" t="str">
        <f>TEXT(Table5[[#This Row],[bill_date]],"mmmm")</f>
        <v>October</v>
      </c>
      <c r="E4247" s="9">
        <f>YEAR(Table5[[#This Row],[bill_date]])</f>
        <v>2022</v>
      </c>
      <c r="F4247">
        <v>593</v>
      </c>
      <c r="G4247" t="s">
        <v>29</v>
      </c>
    </row>
    <row r="4248" spans="1:7" x14ac:dyDescent="0.3">
      <c r="A4248">
        <v>34247</v>
      </c>
      <c r="B4248">
        <v>424</v>
      </c>
      <c r="C4248" s="2">
        <v>44766</v>
      </c>
      <c r="D4248" s="2" t="str">
        <f>TEXT(Table5[[#This Row],[bill_date]],"mmmm")</f>
        <v>July</v>
      </c>
      <c r="E4248" s="9">
        <f>YEAR(Table5[[#This Row],[bill_date]])</f>
        <v>2022</v>
      </c>
      <c r="F4248">
        <v>1418</v>
      </c>
      <c r="G4248" t="s">
        <v>30</v>
      </c>
    </row>
    <row r="4249" spans="1:7" x14ac:dyDescent="0.3">
      <c r="A4249">
        <v>34248</v>
      </c>
      <c r="B4249">
        <v>442</v>
      </c>
      <c r="C4249" s="2">
        <v>45208</v>
      </c>
      <c r="D4249" s="2" t="str">
        <f>TEXT(Table5[[#This Row],[bill_date]],"mmmm")</f>
        <v>October</v>
      </c>
      <c r="E4249" s="9">
        <f>YEAR(Table5[[#This Row],[bill_date]])</f>
        <v>2023</v>
      </c>
      <c r="F4249">
        <v>1772</v>
      </c>
      <c r="G4249" t="s">
        <v>30</v>
      </c>
    </row>
    <row r="4250" spans="1:7" x14ac:dyDescent="0.3">
      <c r="A4250">
        <v>34249</v>
      </c>
      <c r="B4250">
        <v>65</v>
      </c>
      <c r="C4250" s="2">
        <v>45118</v>
      </c>
      <c r="D4250" s="2" t="str">
        <f>TEXT(Table5[[#This Row],[bill_date]],"mmmm")</f>
        <v>July</v>
      </c>
      <c r="E4250" s="9">
        <f>YEAR(Table5[[#This Row],[bill_date]])</f>
        <v>2023</v>
      </c>
      <c r="F4250">
        <v>1261</v>
      </c>
      <c r="G4250" t="s">
        <v>30</v>
      </c>
    </row>
    <row r="4251" spans="1:7" x14ac:dyDescent="0.3">
      <c r="A4251">
        <v>34250</v>
      </c>
      <c r="B4251">
        <v>267</v>
      </c>
      <c r="C4251" s="2">
        <v>44839</v>
      </c>
      <c r="D4251" s="2" t="str">
        <f>TEXT(Table5[[#This Row],[bill_date]],"mmmm")</f>
        <v>October</v>
      </c>
      <c r="E4251" s="9">
        <f>YEAR(Table5[[#This Row],[bill_date]])</f>
        <v>2022</v>
      </c>
      <c r="F4251">
        <v>347</v>
      </c>
      <c r="G4251" t="s">
        <v>30</v>
      </c>
    </row>
    <row r="4252" spans="1:7" x14ac:dyDescent="0.3">
      <c r="A4252">
        <v>34251</v>
      </c>
      <c r="B4252">
        <v>399</v>
      </c>
      <c r="C4252" s="2">
        <v>44696</v>
      </c>
      <c r="D4252" s="2" t="str">
        <f>TEXT(Table5[[#This Row],[bill_date]],"mmmm")</f>
        <v>May</v>
      </c>
      <c r="E4252" s="9">
        <f>YEAR(Table5[[#This Row],[bill_date]])</f>
        <v>2022</v>
      </c>
      <c r="F4252">
        <v>574</v>
      </c>
      <c r="G4252" t="s">
        <v>30</v>
      </c>
    </row>
    <row r="4253" spans="1:7" x14ac:dyDescent="0.3">
      <c r="A4253">
        <v>34252</v>
      </c>
      <c r="B4253">
        <v>353</v>
      </c>
      <c r="C4253" s="2">
        <v>44939</v>
      </c>
      <c r="D4253" s="2" t="str">
        <f>TEXT(Table5[[#This Row],[bill_date]],"mmmm")</f>
        <v>January</v>
      </c>
      <c r="E4253" s="9">
        <f>YEAR(Table5[[#This Row],[bill_date]])</f>
        <v>2023</v>
      </c>
      <c r="F4253">
        <v>1898</v>
      </c>
      <c r="G4253" t="s">
        <v>30</v>
      </c>
    </row>
    <row r="4254" spans="1:7" x14ac:dyDescent="0.3">
      <c r="A4254">
        <v>34253</v>
      </c>
      <c r="B4254">
        <v>185</v>
      </c>
      <c r="C4254" s="2">
        <v>44613</v>
      </c>
      <c r="D4254" s="2" t="str">
        <f>TEXT(Table5[[#This Row],[bill_date]],"mmmm")</f>
        <v>February</v>
      </c>
      <c r="E4254" s="9">
        <f>YEAR(Table5[[#This Row],[bill_date]])</f>
        <v>2022</v>
      </c>
      <c r="F4254">
        <v>564</v>
      </c>
      <c r="G4254" t="s">
        <v>30</v>
      </c>
    </row>
    <row r="4255" spans="1:7" x14ac:dyDescent="0.3">
      <c r="A4255">
        <v>34254</v>
      </c>
      <c r="B4255">
        <v>368</v>
      </c>
      <c r="C4255" s="2">
        <v>45302</v>
      </c>
      <c r="D4255" s="2" t="str">
        <f>TEXT(Table5[[#This Row],[bill_date]],"mmmm")</f>
        <v>January</v>
      </c>
      <c r="E4255" s="9">
        <f>YEAR(Table5[[#This Row],[bill_date]])</f>
        <v>2024</v>
      </c>
      <c r="F4255">
        <v>1954</v>
      </c>
      <c r="G4255" t="s">
        <v>30</v>
      </c>
    </row>
    <row r="4256" spans="1:7" x14ac:dyDescent="0.3">
      <c r="A4256">
        <v>34255</v>
      </c>
      <c r="B4256">
        <v>224</v>
      </c>
      <c r="C4256" s="2">
        <v>45429</v>
      </c>
      <c r="D4256" s="2" t="str">
        <f>TEXT(Table5[[#This Row],[bill_date]],"mmmm")</f>
        <v>May</v>
      </c>
      <c r="E4256" s="9">
        <f>YEAR(Table5[[#This Row],[bill_date]])</f>
        <v>2024</v>
      </c>
      <c r="F4256">
        <v>654</v>
      </c>
      <c r="G4256" t="s">
        <v>30</v>
      </c>
    </row>
    <row r="4257" spans="1:7" x14ac:dyDescent="0.3">
      <c r="A4257">
        <v>34256</v>
      </c>
      <c r="B4257">
        <v>153</v>
      </c>
      <c r="C4257" s="2">
        <v>45141</v>
      </c>
      <c r="D4257" s="2" t="str">
        <f>TEXT(Table5[[#This Row],[bill_date]],"mmmm")</f>
        <v>August</v>
      </c>
      <c r="E4257" s="9">
        <f>YEAR(Table5[[#This Row],[bill_date]])</f>
        <v>2023</v>
      </c>
      <c r="F4257">
        <v>474</v>
      </c>
      <c r="G4257" t="s">
        <v>30</v>
      </c>
    </row>
    <row r="4258" spans="1:7" x14ac:dyDescent="0.3">
      <c r="A4258">
        <v>34257</v>
      </c>
      <c r="B4258">
        <v>423</v>
      </c>
      <c r="C4258" s="2">
        <v>45271</v>
      </c>
      <c r="D4258" s="2" t="str">
        <f>TEXT(Table5[[#This Row],[bill_date]],"mmmm")</f>
        <v>December</v>
      </c>
      <c r="E4258" s="9">
        <f>YEAR(Table5[[#This Row],[bill_date]])</f>
        <v>2023</v>
      </c>
      <c r="F4258">
        <v>1777</v>
      </c>
      <c r="G4258" t="s">
        <v>30</v>
      </c>
    </row>
    <row r="4259" spans="1:7" x14ac:dyDescent="0.3">
      <c r="A4259">
        <v>34258</v>
      </c>
      <c r="B4259">
        <v>289</v>
      </c>
      <c r="C4259" s="2">
        <v>44628</v>
      </c>
      <c r="D4259" s="2" t="str">
        <f>TEXT(Table5[[#This Row],[bill_date]],"mmmm")</f>
        <v>March</v>
      </c>
      <c r="E4259" s="9">
        <f>YEAR(Table5[[#This Row],[bill_date]])</f>
        <v>2022</v>
      </c>
      <c r="F4259">
        <v>1732</v>
      </c>
      <c r="G4259" t="s">
        <v>28</v>
      </c>
    </row>
    <row r="4260" spans="1:7" x14ac:dyDescent="0.3">
      <c r="A4260">
        <v>34259</v>
      </c>
      <c r="B4260">
        <v>285</v>
      </c>
      <c r="C4260" s="2">
        <v>44564</v>
      </c>
      <c r="D4260" s="2" t="str">
        <f>TEXT(Table5[[#This Row],[bill_date]],"mmmm")</f>
        <v>January</v>
      </c>
      <c r="E4260" s="9">
        <f>YEAR(Table5[[#This Row],[bill_date]])</f>
        <v>2022</v>
      </c>
      <c r="F4260">
        <v>1460</v>
      </c>
      <c r="G4260" t="s">
        <v>30</v>
      </c>
    </row>
    <row r="4261" spans="1:7" x14ac:dyDescent="0.3">
      <c r="A4261">
        <v>34260</v>
      </c>
      <c r="B4261">
        <v>186</v>
      </c>
      <c r="C4261" s="2">
        <v>45131</v>
      </c>
      <c r="D4261" s="2" t="str">
        <f>TEXT(Table5[[#This Row],[bill_date]],"mmmm")</f>
        <v>July</v>
      </c>
      <c r="E4261" s="9">
        <f>YEAR(Table5[[#This Row],[bill_date]])</f>
        <v>2023</v>
      </c>
      <c r="F4261">
        <v>603</v>
      </c>
      <c r="G4261" t="s">
        <v>30</v>
      </c>
    </row>
    <row r="4262" spans="1:7" x14ac:dyDescent="0.3">
      <c r="A4262">
        <v>34261</v>
      </c>
      <c r="B4262">
        <v>226</v>
      </c>
      <c r="C4262" s="2">
        <v>45449</v>
      </c>
      <c r="D4262" s="2" t="str">
        <f>TEXT(Table5[[#This Row],[bill_date]],"mmmm")</f>
        <v>June</v>
      </c>
      <c r="E4262" s="9">
        <f>YEAR(Table5[[#This Row],[bill_date]])</f>
        <v>2024</v>
      </c>
      <c r="F4262">
        <v>361</v>
      </c>
      <c r="G4262" t="s">
        <v>30</v>
      </c>
    </row>
    <row r="4263" spans="1:7" x14ac:dyDescent="0.3">
      <c r="A4263">
        <v>34262</v>
      </c>
      <c r="B4263">
        <v>200</v>
      </c>
      <c r="C4263" s="2">
        <v>45012</v>
      </c>
      <c r="D4263" s="2" t="str">
        <f>TEXT(Table5[[#This Row],[bill_date]],"mmmm")</f>
        <v>March</v>
      </c>
      <c r="E4263" s="9">
        <f>YEAR(Table5[[#This Row],[bill_date]])</f>
        <v>2023</v>
      </c>
      <c r="F4263">
        <v>1542</v>
      </c>
      <c r="G4263" t="s">
        <v>28</v>
      </c>
    </row>
    <row r="4264" spans="1:7" x14ac:dyDescent="0.3">
      <c r="A4264">
        <v>34263</v>
      </c>
      <c r="B4264">
        <v>11</v>
      </c>
      <c r="C4264" s="2">
        <v>45071</v>
      </c>
      <c r="D4264" s="2" t="str">
        <f>TEXT(Table5[[#This Row],[bill_date]],"mmmm")</f>
        <v>May</v>
      </c>
      <c r="E4264" s="9">
        <f>YEAR(Table5[[#This Row],[bill_date]])</f>
        <v>2023</v>
      </c>
      <c r="F4264">
        <v>1841</v>
      </c>
      <c r="G4264" t="s">
        <v>28</v>
      </c>
    </row>
    <row r="4265" spans="1:7" x14ac:dyDescent="0.3">
      <c r="A4265">
        <v>34264</v>
      </c>
      <c r="B4265">
        <v>397</v>
      </c>
      <c r="C4265" s="2">
        <v>45329</v>
      </c>
      <c r="D4265" s="2" t="str">
        <f>TEXT(Table5[[#This Row],[bill_date]],"mmmm")</f>
        <v>February</v>
      </c>
      <c r="E4265" s="9">
        <f>YEAR(Table5[[#This Row],[bill_date]])</f>
        <v>2024</v>
      </c>
      <c r="F4265">
        <v>998</v>
      </c>
      <c r="G4265" t="s">
        <v>30</v>
      </c>
    </row>
    <row r="4266" spans="1:7" x14ac:dyDescent="0.3">
      <c r="A4266">
        <v>34265</v>
      </c>
      <c r="B4266">
        <v>325</v>
      </c>
      <c r="C4266" s="2">
        <v>45429</v>
      </c>
      <c r="D4266" s="2" t="str">
        <f>TEXT(Table5[[#This Row],[bill_date]],"mmmm")</f>
        <v>May</v>
      </c>
      <c r="E4266" s="9">
        <f>YEAR(Table5[[#This Row],[bill_date]])</f>
        <v>2024</v>
      </c>
      <c r="F4266">
        <v>1002</v>
      </c>
      <c r="G4266" t="s">
        <v>30</v>
      </c>
    </row>
    <row r="4267" spans="1:7" x14ac:dyDescent="0.3">
      <c r="A4267">
        <v>34266</v>
      </c>
      <c r="B4267">
        <v>498</v>
      </c>
      <c r="C4267" s="2">
        <v>44999</v>
      </c>
      <c r="D4267" s="2" t="str">
        <f>TEXT(Table5[[#This Row],[bill_date]],"mmmm")</f>
        <v>March</v>
      </c>
      <c r="E4267" s="9">
        <f>YEAR(Table5[[#This Row],[bill_date]])</f>
        <v>2023</v>
      </c>
      <c r="F4267">
        <v>1839</v>
      </c>
      <c r="G4267" t="s">
        <v>30</v>
      </c>
    </row>
    <row r="4268" spans="1:7" x14ac:dyDescent="0.3">
      <c r="A4268">
        <v>34267</v>
      </c>
      <c r="B4268">
        <v>467</v>
      </c>
      <c r="C4268" s="2">
        <v>45338</v>
      </c>
      <c r="D4268" s="2" t="str">
        <f>TEXT(Table5[[#This Row],[bill_date]],"mmmm")</f>
        <v>February</v>
      </c>
      <c r="E4268" s="9">
        <f>YEAR(Table5[[#This Row],[bill_date]])</f>
        <v>2024</v>
      </c>
      <c r="F4268">
        <v>1291</v>
      </c>
      <c r="G4268" t="s">
        <v>30</v>
      </c>
    </row>
    <row r="4269" spans="1:7" x14ac:dyDescent="0.3">
      <c r="A4269">
        <v>34268</v>
      </c>
      <c r="B4269">
        <v>277</v>
      </c>
      <c r="C4269" s="2">
        <v>45089</v>
      </c>
      <c r="D4269" s="2" t="str">
        <f>TEXT(Table5[[#This Row],[bill_date]],"mmmm")</f>
        <v>June</v>
      </c>
      <c r="E4269" s="9">
        <f>YEAR(Table5[[#This Row],[bill_date]])</f>
        <v>2023</v>
      </c>
      <c r="F4269">
        <v>1331</v>
      </c>
      <c r="G4269" t="s">
        <v>30</v>
      </c>
    </row>
    <row r="4270" spans="1:7" x14ac:dyDescent="0.3">
      <c r="A4270">
        <v>34269</v>
      </c>
      <c r="B4270">
        <v>3</v>
      </c>
      <c r="C4270" s="2">
        <v>45341</v>
      </c>
      <c r="D4270" s="2" t="str">
        <f>TEXT(Table5[[#This Row],[bill_date]],"mmmm")</f>
        <v>February</v>
      </c>
      <c r="E4270" s="9">
        <f>YEAR(Table5[[#This Row],[bill_date]])</f>
        <v>2024</v>
      </c>
      <c r="F4270">
        <v>378</v>
      </c>
      <c r="G4270" t="s">
        <v>30</v>
      </c>
    </row>
    <row r="4271" spans="1:7" x14ac:dyDescent="0.3">
      <c r="A4271">
        <v>34270</v>
      </c>
      <c r="B4271">
        <v>410</v>
      </c>
      <c r="C4271" s="2">
        <v>44663</v>
      </c>
      <c r="D4271" s="2" t="str">
        <f>TEXT(Table5[[#This Row],[bill_date]],"mmmm")</f>
        <v>April</v>
      </c>
      <c r="E4271" s="9">
        <f>YEAR(Table5[[#This Row],[bill_date]])</f>
        <v>2022</v>
      </c>
      <c r="F4271">
        <v>330</v>
      </c>
      <c r="G4271" t="s">
        <v>30</v>
      </c>
    </row>
    <row r="4272" spans="1:7" x14ac:dyDescent="0.3">
      <c r="A4272">
        <v>34271</v>
      </c>
      <c r="B4272">
        <v>417</v>
      </c>
      <c r="C4272" s="2">
        <v>44998</v>
      </c>
      <c r="D4272" s="2" t="str">
        <f>TEXT(Table5[[#This Row],[bill_date]],"mmmm")</f>
        <v>March</v>
      </c>
      <c r="E4272" s="9">
        <f>YEAR(Table5[[#This Row],[bill_date]])</f>
        <v>2023</v>
      </c>
      <c r="F4272">
        <v>1741</v>
      </c>
      <c r="G4272" t="s">
        <v>30</v>
      </c>
    </row>
    <row r="4273" spans="1:7" x14ac:dyDescent="0.3">
      <c r="A4273">
        <v>34272</v>
      </c>
      <c r="B4273">
        <v>350</v>
      </c>
      <c r="C4273" s="2">
        <v>45360</v>
      </c>
      <c r="D4273" s="2" t="str">
        <f>TEXT(Table5[[#This Row],[bill_date]],"mmmm")</f>
        <v>March</v>
      </c>
      <c r="E4273" s="9">
        <f>YEAR(Table5[[#This Row],[bill_date]])</f>
        <v>2024</v>
      </c>
      <c r="F4273">
        <v>1050</v>
      </c>
      <c r="G4273" t="s">
        <v>30</v>
      </c>
    </row>
    <row r="4274" spans="1:7" x14ac:dyDescent="0.3">
      <c r="A4274">
        <v>34273</v>
      </c>
      <c r="B4274">
        <v>278</v>
      </c>
      <c r="C4274" s="2">
        <v>45295</v>
      </c>
      <c r="D4274" s="2" t="str">
        <f>TEXT(Table5[[#This Row],[bill_date]],"mmmm")</f>
        <v>January</v>
      </c>
      <c r="E4274" s="9">
        <f>YEAR(Table5[[#This Row],[bill_date]])</f>
        <v>2024</v>
      </c>
      <c r="F4274">
        <v>1677</v>
      </c>
      <c r="G4274" t="s">
        <v>30</v>
      </c>
    </row>
    <row r="4275" spans="1:7" x14ac:dyDescent="0.3">
      <c r="A4275">
        <v>34274</v>
      </c>
      <c r="B4275">
        <v>62</v>
      </c>
      <c r="C4275" s="2">
        <v>44582</v>
      </c>
      <c r="D4275" s="2" t="str">
        <f>TEXT(Table5[[#This Row],[bill_date]],"mmmm")</f>
        <v>January</v>
      </c>
      <c r="E4275" s="9">
        <f>YEAR(Table5[[#This Row],[bill_date]])</f>
        <v>2022</v>
      </c>
      <c r="F4275">
        <v>1210</v>
      </c>
      <c r="G4275" t="s">
        <v>30</v>
      </c>
    </row>
    <row r="4276" spans="1:7" x14ac:dyDescent="0.3">
      <c r="A4276">
        <v>34275</v>
      </c>
      <c r="B4276">
        <v>5</v>
      </c>
      <c r="C4276" s="2">
        <v>44948</v>
      </c>
      <c r="D4276" s="2" t="str">
        <f>TEXT(Table5[[#This Row],[bill_date]],"mmmm")</f>
        <v>January</v>
      </c>
      <c r="E4276" s="9">
        <f>YEAR(Table5[[#This Row],[bill_date]])</f>
        <v>2023</v>
      </c>
      <c r="F4276">
        <v>1630</v>
      </c>
      <c r="G4276" t="s">
        <v>30</v>
      </c>
    </row>
    <row r="4277" spans="1:7" x14ac:dyDescent="0.3">
      <c r="A4277">
        <v>34276</v>
      </c>
      <c r="B4277">
        <v>403</v>
      </c>
      <c r="C4277" s="2">
        <v>45094</v>
      </c>
      <c r="D4277" s="2" t="str">
        <f>TEXT(Table5[[#This Row],[bill_date]],"mmmm")</f>
        <v>June</v>
      </c>
      <c r="E4277" s="9">
        <f>YEAR(Table5[[#This Row],[bill_date]])</f>
        <v>2023</v>
      </c>
      <c r="F4277">
        <v>1883</v>
      </c>
      <c r="G4277" t="s">
        <v>30</v>
      </c>
    </row>
    <row r="4278" spans="1:7" x14ac:dyDescent="0.3">
      <c r="A4278">
        <v>34277</v>
      </c>
      <c r="B4278">
        <v>9</v>
      </c>
      <c r="C4278" s="2">
        <v>44653</v>
      </c>
      <c r="D4278" s="2" t="str">
        <f>TEXT(Table5[[#This Row],[bill_date]],"mmmm")</f>
        <v>April</v>
      </c>
      <c r="E4278" s="9">
        <f>YEAR(Table5[[#This Row],[bill_date]])</f>
        <v>2022</v>
      </c>
      <c r="F4278">
        <v>1407</v>
      </c>
      <c r="G4278" t="s">
        <v>30</v>
      </c>
    </row>
    <row r="4279" spans="1:7" x14ac:dyDescent="0.3">
      <c r="A4279">
        <v>34278</v>
      </c>
      <c r="B4279">
        <v>58</v>
      </c>
      <c r="C4279" s="2">
        <v>45357</v>
      </c>
      <c r="D4279" s="2" t="str">
        <f>TEXT(Table5[[#This Row],[bill_date]],"mmmm")</f>
        <v>March</v>
      </c>
      <c r="E4279" s="9">
        <f>YEAR(Table5[[#This Row],[bill_date]])</f>
        <v>2024</v>
      </c>
      <c r="F4279">
        <v>655</v>
      </c>
      <c r="G4279" t="s">
        <v>30</v>
      </c>
    </row>
    <row r="4280" spans="1:7" x14ac:dyDescent="0.3">
      <c r="A4280">
        <v>34279</v>
      </c>
      <c r="B4280">
        <v>280</v>
      </c>
      <c r="C4280" s="2">
        <v>44694</v>
      </c>
      <c r="D4280" s="2" t="str">
        <f>TEXT(Table5[[#This Row],[bill_date]],"mmmm")</f>
        <v>May</v>
      </c>
      <c r="E4280" s="9">
        <f>YEAR(Table5[[#This Row],[bill_date]])</f>
        <v>2022</v>
      </c>
      <c r="F4280">
        <v>1113</v>
      </c>
      <c r="G4280" t="s">
        <v>30</v>
      </c>
    </row>
    <row r="4281" spans="1:7" x14ac:dyDescent="0.3">
      <c r="A4281">
        <v>34280</v>
      </c>
      <c r="B4281">
        <v>423</v>
      </c>
      <c r="C4281" s="2">
        <v>45400</v>
      </c>
      <c r="D4281" s="2" t="str">
        <f>TEXT(Table5[[#This Row],[bill_date]],"mmmm")</f>
        <v>April</v>
      </c>
      <c r="E4281" s="9">
        <f>YEAR(Table5[[#This Row],[bill_date]])</f>
        <v>2024</v>
      </c>
      <c r="F4281">
        <v>1215</v>
      </c>
      <c r="G4281" t="s">
        <v>29</v>
      </c>
    </row>
    <row r="4282" spans="1:7" x14ac:dyDescent="0.3">
      <c r="A4282">
        <v>34281</v>
      </c>
      <c r="B4282">
        <v>460</v>
      </c>
      <c r="C4282" s="2">
        <v>45066</v>
      </c>
      <c r="D4282" s="2" t="str">
        <f>TEXT(Table5[[#This Row],[bill_date]],"mmmm")</f>
        <v>May</v>
      </c>
      <c r="E4282" s="9">
        <f>YEAR(Table5[[#This Row],[bill_date]])</f>
        <v>2023</v>
      </c>
      <c r="F4282">
        <v>1727</v>
      </c>
      <c r="G4282" t="s">
        <v>29</v>
      </c>
    </row>
    <row r="4283" spans="1:7" x14ac:dyDescent="0.3">
      <c r="A4283">
        <v>34282</v>
      </c>
      <c r="B4283">
        <v>238</v>
      </c>
      <c r="C4283" s="2">
        <v>45014</v>
      </c>
      <c r="D4283" s="2" t="str">
        <f>TEXT(Table5[[#This Row],[bill_date]],"mmmm")</f>
        <v>March</v>
      </c>
      <c r="E4283" s="9">
        <f>YEAR(Table5[[#This Row],[bill_date]])</f>
        <v>2023</v>
      </c>
      <c r="F4283">
        <v>1890</v>
      </c>
      <c r="G4283" t="s">
        <v>28</v>
      </c>
    </row>
    <row r="4284" spans="1:7" x14ac:dyDescent="0.3">
      <c r="A4284">
        <v>34283</v>
      </c>
      <c r="B4284">
        <v>317</v>
      </c>
      <c r="C4284" s="2">
        <v>45402</v>
      </c>
      <c r="D4284" s="2" t="str">
        <f>TEXT(Table5[[#This Row],[bill_date]],"mmmm")</f>
        <v>April</v>
      </c>
      <c r="E4284" s="9">
        <f>YEAR(Table5[[#This Row],[bill_date]])</f>
        <v>2024</v>
      </c>
      <c r="F4284">
        <v>708</v>
      </c>
      <c r="G4284" t="s">
        <v>30</v>
      </c>
    </row>
    <row r="4285" spans="1:7" x14ac:dyDescent="0.3">
      <c r="A4285">
        <v>34284</v>
      </c>
      <c r="B4285">
        <v>127</v>
      </c>
      <c r="C4285" s="2">
        <v>45248</v>
      </c>
      <c r="D4285" s="2" t="str">
        <f>TEXT(Table5[[#This Row],[bill_date]],"mmmm")</f>
        <v>November</v>
      </c>
      <c r="E4285" s="9">
        <f>YEAR(Table5[[#This Row],[bill_date]])</f>
        <v>2023</v>
      </c>
      <c r="F4285">
        <v>1512</v>
      </c>
      <c r="G4285" t="s">
        <v>30</v>
      </c>
    </row>
    <row r="4286" spans="1:7" x14ac:dyDescent="0.3">
      <c r="A4286">
        <v>34285</v>
      </c>
      <c r="B4286">
        <v>304</v>
      </c>
      <c r="C4286" s="2">
        <v>45286</v>
      </c>
      <c r="D4286" s="2" t="str">
        <f>TEXT(Table5[[#This Row],[bill_date]],"mmmm")</f>
        <v>December</v>
      </c>
      <c r="E4286" s="9">
        <f>YEAR(Table5[[#This Row],[bill_date]])</f>
        <v>2023</v>
      </c>
      <c r="F4286">
        <v>443</v>
      </c>
      <c r="G4286" t="s">
        <v>30</v>
      </c>
    </row>
    <row r="4287" spans="1:7" x14ac:dyDescent="0.3">
      <c r="A4287">
        <v>34286</v>
      </c>
      <c r="B4287">
        <v>237</v>
      </c>
      <c r="C4287" s="2">
        <v>44709</v>
      </c>
      <c r="D4287" s="2" t="str">
        <f>TEXT(Table5[[#This Row],[bill_date]],"mmmm")</f>
        <v>May</v>
      </c>
      <c r="E4287" s="9">
        <f>YEAR(Table5[[#This Row],[bill_date]])</f>
        <v>2022</v>
      </c>
      <c r="F4287">
        <v>982</v>
      </c>
      <c r="G4287" t="s">
        <v>30</v>
      </c>
    </row>
    <row r="4288" spans="1:7" x14ac:dyDescent="0.3">
      <c r="A4288">
        <v>34287</v>
      </c>
      <c r="B4288">
        <v>219</v>
      </c>
      <c r="C4288" s="2">
        <v>44793</v>
      </c>
      <c r="D4288" s="2" t="str">
        <f>TEXT(Table5[[#This Row],[bill_date]],"mmmm")</f>
        <v>August</v>
      </c>
      <c r="E4288" s="9">
        <f>YEAR(Table5[[#This Row],[bill_date]])</f>
        <v>2022</v>
      </c>
      <c r="F4288">
        <v>1260</v>
      </c>
      <c r="G4288" t="s">
        <v>28</v>
      </c>
    </row>
    <row r="4289" spans="1:7" x14ac:dyDescent="0.3">
      <c r="A4289">
        <v>34288</v>
      </c>
      <c r="B4289">
        <v>178</v>
      </c>
      <c r="C4289" s="2">
        <v>45445</v>
      </c>
      <c r="D4289" s="2" t="str">
        <f>TEXT(Table5[[#This Row],[bill_date]],"mmmm")</f>
        <v>June</v>
      </c>
      <c r="E4289" s="9">
        <f>YEAR(Table5[[#This Row],[bill_date]])</f>
        <v>2024</v>
      </c>
      <c r="F4289">
        <v>1337</v>
      </c>
      <c r="G4289" t="s">
        <v>30</v>
      </c>
    </row>
    <row r="4290" spans="1:7" x14ac:dyDescent="0.3">
      <c r="A4290">
        <v>34289</v>
      </c>
      <c r="B4290">
        <v>318</v>
      </c>
      <c r="C4290" s="2">
        <v>44726</v>
      </c>
      <c r="D4290" s="2" t="str">
        <f>TEXT(Table5[[#This Row],[bill_date]],"mmmm")</f>
        <v>June</v>
      </c>
      <c r="E4290" s="9">
        <f>YEAR(Table5[[#This Row],[bill_date]])</f>
        <v>2022</v>
      </c>
      <c r="F4290">
        <v>696</v>
      </c>
      <c r="G4290" t="s">
        <v>30</v>
      </c>
    </row>
    <row r="4291" spans="1:7" x14ac:dyDescent="0.3">
      <c r="A4291">
        <v>34290</v>
      </c>
      <c r="B4291">
        <v>490</v>
      </c>
      <c r="C4291" s="2">
        <v>44875</v>
      </c>
      <c r="D4291" s="2" t="str">
        <f>TEXT(Table5[[#This Row],[bill_date]],"mmmm")</f>
        <v>November</v>
      </c>
      <c r="E4291" s="9">
        <f>YEAR(Table5[[#This Row],[bill_date]])</f>
        <v>2022</v>
      </c>
      <c r="F4291">
        <v>1559</v>
      </c>
      <c r="G4291" t="s">
        <v>30</v>
      </c>
    </row>
    <row r="4292" spans="1:7" x14ac:dyDescent="0.3">
      <c r="A4292">
        <v>34291</v>
      </c>
      <c r="B4292">
        <v>437</v>
      </c>
      <c r="C4292" s="2">
        <v>45218</v>
      </c>
      <c r="D4292" s="2" t="str">
        <f>TEXT(Table5[[#This Row],[bill_date]],"mmmm")</f>
        <v>October</v>
      </c>
      <c r="E4292" s="9">
        <f>YEAR(Table5[[#This Row],[bill_date]])</f>
        <v>2023</v>
      </c>
      <c r="F4292">
        <v>657</v>
      </c>
      <c r="G4292" t="s">
        <v>30</v>
      </c>
    </row>
    <row r="4293" spans="1:7" x14ac:dyDescent="0.3">
      <c r="A4293">
        <v>34292</v>
      </c>
      <c r="B4293">
        <v>149</v>
      </c>
      <c r="C4293" s="2">
        <v>44859</v>
      </c>
      <c r="D4293" s="2" t="str">
        <f>TEXT(Table5[[#This Row],[bill_date]],"mmmm")</f>
        <v>October</v>
      </c>
      <c r="E4293" s="9">
        <f>YEAR(Table5[[#This Row],[bill_date]])</f>
        <v>2022</v>
      </c>
      <c r="F4293">
        <v>1341</v>
      </c>
      <c r="G4293" t="s">
        <v>30</v>
      </c>
    </row>
    <row r="4294" spans="1:7" x14ac:dyDescent="0.3">
      <c r="A4294">
        <v>34293</v>
      </c>
      <c r="B4294">
        <v>38</v>
      </c>
      <c r="C4294" s="2">
        <v>44784</v>
      </c>
      <c r="D4294" s="2" t="str">
        <f>TEXT(Table5[[#This Row],[bill_date]],"mmmm")</f>
        <v>August</v>
      </c>
      <c r="E4294" s="9">
        <f>YEAR(Table5[[#This Row],[bill_date]])</f>
        <v>2022</v>
      </c>
      <c r="F4294">
        <v>842</v>
      </c>
      <c r="G4294" t="s">
        <v>30</v>
      </c>
    </row>
    <row r="4295" spans="1:7" x14ac:dyDescent="0.3">
      <c r="A4295">
        <v>34294</v>
      </c>
      <c r="B4295">
        <v>118</v>
      </c>
      <c r="C4295" s="2">
        <v>44914</v>
      </c>
      <c r="D4295" s="2" t="str">
        <f>TEXT(Table5[[#This Row],[bill_date]],"mmmm")</f>
        <v>December</v>
      </c>
      <c r="E4295" s="9">
        <f>YEAR(Table5[[#This Row],[bill_date]])</f>
        <v>2022</v>
      </c>
      <c r="F4295">
        <v>254</v>
      </c>
      <c r="G4295" t="s">
        <v>30</v>
      </c>
    </row>
    <row r="4296" spans="1:7" x14ac:dyDescent="0.3">
      <c r="A4296">
        <v>34295</v>
      </c>
      <c r="B4296">
        <v>483</v>
      </c>
      <c r="C4296" s="2">
        <v>44977</v>
      </c>
      <c r="D4296" s="2" t="str">
        <f>TEXT(Table5[[#This Row],[bill_date]],"mmmm")</f>
        <v>February</v>
      </c>
      <c r="E4296" s="9">
        <f>YEAR(Table5[[#This Row],[bill_date]])</f>
        <v>2023</v>
      </c>
      <c r="F4296">
        <v>622</v>
      </c>
      <c r="G4296" t="s">
        <v>30</v>
      </c>
    </row>
    <row r="4297" spans="1:7" x14ac:dyDescent="0.3">
      <c r="A4297">
        <v>34296</v>
      </c>
      <c r="B4297">
        <v>480</v>
      </c>
      <c r="C4297" s="2">
        <v>44623</v>
      </c>
      <c r="D4297" s="2" t="str">
        <f>TEXT(Table5[[#This Row],[bill_date]],"mmmm")</f>
        <v>March</v>
      </c>
      <c r="E4297" s="9">
        <f>YEAR(Table5[[#This Row],[bill_date]])</f>
        <v>2022</v>
      </c>
      <c r="F4297">
        <v>1342</v>
      </c>
      <c r="G4297" t="s">
        <v>30</v>
      </c>
    </row>
    <row r="4298" spans="1:7" x14ac:dyDescent="0.3">
      <c r="A4298">
        <v>34297</v>
      </c>
      <c r="B4298">
        <v>315</v>
      </c>
      <c r="C4298" s="2">
        <v>45169</v>
      </c>
      <c r="D4298" s="2" t="str">
        <f>TEXT(Table5[[#This Row],[bill_date]],"mmmm")</f>
        <v>August</v>
      </c>
      <c r="E4298" s="9">
        <f>YEAR(Table5[[#This Row],[bill_date]])</f>
        <v>2023</v>
      </c>
      <c r="F4298">
        <v>248</v>
      </c>
      <c r="G4298" t="s">
        <v>30</v>
      </c>
    </row>
    <row r="4299" spans="1:7" x14ac:dyDescent="0.3">
      <c r="A4299">
        <v>34298</v>
      </c>
      <c r="B4299">
        <v>484</v>
      </c>
      <c r="C4299" s="2">
        <v>45185</v>
      </c>
      <c r="D4299" s="2" t="str">
        <f>TEXT(Table5[[#This Row],[bill_date]],"mmmm")</f>
        <v>September</v>
      </c>
      <c r="E4299" s="9">
        <f>YEAR(Table5[[#This Row],[bill_date]])</f>
        <v>2023</v>
      </c>
      <c r="F4299">
        <v>1587</v>
      </c>
      <c r="G4299" t="s">
        <v>28</v>
      </c>
    </row>
    <row r="4300" spans="1:7" x14ac:dyDescent="0.3">
      <c r="A4300">
        <v>34299</v>
      </c>
      <c r="B4300">
        <v>97</v>
      </c>
      <c r="C4300" s="2">
        <v>44937</v>
      </c>
      <c r="D4300" s="2" t="str">
        <f>TEXT(Table5[[#This Row],[bill_date]],"mmmm")</f>
        <v>January</v>
      </c>
      <c r="E4300" s="9">
        <f>YEAR(Table5[[#This Row],[bill_date]])</f>
        <v>2023</v>
      </c>
      <c r="F4300">
        <v>571</v>
      </c>
      <c r="G4300" t="s">
        <v>30</v>
      </c>
    </row>
    <row r="4301" spans="1:7" x14ac:dyDescent="0.3">
      <c r="A4301">
        <v>34300</v>
      </c>
      <c r="B4301">
        <v>427</v>
      </c>
      <c r="C4301" s="2">
        <v>45160</v>
      </c>
      <c r="D4301" s="2" t="str">
        <f>TEXT(Table5[[#This Row],[bill_date]],"mmmm")</f>
        <v>August</v>
      </c>
      <c r="E4301" s="9">
        <f>YEAR(Table5[[#This Row],[bill_date]])</f>
        <v>2023</v>
      </c>
      <c r="F4301">
        <v>1584</v>
      </c>
      <c r="G4301" t="s">
        <v>30</v>
      </c>
    </row>
    <row r="4302" spans="1:7" x14ac:dyDescent="0.3">
      <c r="A4302">
        <v>34301</v>
      </c>
      <c r="B4302">
        <v>17</v>
      </c>
      <c r="C4302" s="2">
        <v>44966</v>
      </c>
      <c r="D4302" s="2" t="str">
        <f>TEXT(Table5[[#This Row],[bill_date]],"mmmm")</f>
        <v>February</v>
      </c>
      <c r="E4302" s="9">
        <f>YEAR(Table5[[#This Row],[bill_date]])</f>
        <v>2023</v>
      </c>
      <c r="F4302">
        <v>280</v>
      </c>
      <c r="G4302" t="s">
        <v>30</v>
      </c>
    </row>
    <row r="4303" spans="1:7" x14ac:dyDescent="0.3">
      <c r="A4303">
        <v>34302</v>
      </c>
      <c r="B4303">
        <v>325</v>
      </c>
      <c r="C4303" s="2">
        <v>44816</v>
      </c>
      <c r="D4303" s="2" t="str">
        <f>TEXT(Table5[[#This Row],[bill_date]],"mmmm")</f>
        <v>September</v>
      </c>
      <c r="E4303" s="9">
        <f>YEAR(Table5[[#This Row],[bill_date]])</f>
        <v>2022</v>
      </c>
      <c r="F4303">
        <v>1080</v>
      </c>
      <c r="G4303" t="s">
        <v>30</v>
      </c>
    </row>
    <row r="4304" spans="1:7" x14ac:dyDescent="0.3">
      <c r="A4304">
        <v>34303</v>
      </c>
      <c r="B4304">
        <v>428</v>
      </c>
      <c r="C4304" s="2">
        <v>45012</v>
      </c>
      <c r="D4304" s="2" t="str">
        <f>TEXT(Table5[[#This Row],[bill_date]],"mmmm")</f>
        <v>March</v>
      </c>
      <c r="E4304" s="9">
        <f>YEAR(Table5[[#This Row],[bill_date]])</f>
        <v>2023</v>
      </c>
      <c r="F4304">
        <v>759</v>
      </c>
      <c r="G4304" t="s">
        <v>30</v>
      </c>
    </row>
    <row r="4305" spans="1:7" x14ac:dyDescent="0.3">
      <c r="A4305">
        <v>34304</v>
      </c>
      <c r="B4305">
        <v>468</v>
      </c>
      <c r="C4305" s="2">
        <v>44951</v>
      </c>
      <c r="D4305" s="2" t="str">
        <f>TEXT(Table5[[#This Row],[bill_date]],"mmmm")</f>
        <v>January</v>
      </c>
      <c r="E4305" s="9">
        <f>YEAR(Table5[[#This Row],[bill_date]])</f>
        <v>2023</v>
      </c>
      <c r="F4305">
        <v>246</v>
      </c>
      <c r="G4305" t="s">
        <v>30</v>
      </c>
    </row>
    <row r="4306" spans="1:7" x14ac:dyDescent="0.3">
      <c r="A4306">
        <v>34305</v>
      </c>
      <c r="B4306">
        <v>447</v>
      </c>
      <c r="C4306" s="2">
        <v>45186</v>
      </c>
      <c r="D4306" s="2" t="str">
        <f>TEXT(Table5[[#This Row],[bill_date]],"mmmm")</f>
        <v>September</v>
      </c>
      <c r="E4306" s="9">
        <f>YEAR(Table5[[#This Row],[bill_date]])</f>
        <v>2023</v>
      </c>
      <c r="F4306">
        <v>1868</v>
      </c>
      <c r="G4306" t="s">
        <v>30</v>
      </c>
    </row>
    <row r="4307" spans="1:7" x14ac:dyDescent="0.3">
      <c r="A4307">
        <v>34306</v>
      </c>
      <c r="B4307">
        <v>279</v>
      </c>
      <c r="C4307" s="2">
        <v>45327</v>
      </c>
      <c r="D4307" s="2" t="str">
        <f>TEXT(Table5[[#This Row],[bill_date]],"mmmm")</f>
        <v>February</v>
      </c>
      <c r="E4307" s="9">
        <f>YEAR(Table5[[#This Row],[bill_date]])</f>
        <v>2024</v>
      </c>
      <c r="F4307">
        <v>436</v>
      </c>
      <c r="G4307" t="s">
        <v>30</v>
      </c>
    </row>
    <row r="4308" spans="1:7" x14ac:dyDescent="0.3">
      <c r="A4308">
        <v>34307</v>
      </c>
      <c r="B4308">
        <v>359</v>
      </c>
      <c r="C4308" s="2">
        <v>44909</v>
      </c>
      <c r="D4308" s="2" t="str">
        <f>TEXT(Table5[[#This Row],[bill_date]],"mmmm")</f>
        <v>December</v>
      </c>
      <c r="E4308" s="9">
        <f>YEAR(Table5[[#This Row],[bill_date]])</f>
        <v>2022</v>
      </c>
      <c r="F4308">
        <v>1190</v>
      </c>
      <c r="G4308" t="s">
        <v>28</v>
      </c>
    </row>
    <row r="4309" spans="1:7" x14ac:dyDescent="0.3">
      <c r="A4309">
        <v>34308</v>
      </c>
      <c r="B4309">
        <v>452</v>
      </c>
      <c r="C4309" s="2">
        <v>45063</v>
      </c>
      <c r="D4309" s="2" t="str">
        <f>TEXT(Table5[[#This Row],[bill_date]],"mmmm")</f>
        <v>May</v>
      </c>
      <c r="E4309" s="9">
        <f>YEAR(Table5[[#This Row],[bill_date]])</f>
        <v>2023</v>
      </c>
      <c r="F4309">
        <v>1604</v>
      </c>
      <c r="G4309" t="s">
        <v>30</v>
      </c>
    </row>
    <row r="4310" spans="1:7" x14ac:dyDescent="0.3">
      <c r="A4310">
        <v>34309</v>
      </c>
      <c r="B4310">
        <v>154</v>
      </c>
      <c r="C4310" s="2">
        <v>44883</v>
      </c>
      <c r="D4310" s="2" t="str">
        <f>TEXT(Table5[[#This Row],[bill_date]],"mmmm")</f>
        <v>November</v>
      </c>
      <c r="E4310" s="9">
        <f>YEAR(Table5[[#This Row],[bill_date]])</f>
        <v>2022</v>
      </c>
      <c r="F4310">
        <v>587</v>
      </c>
      <c r="G4310" t="s">
        <v>30</v>
      </c>
    </row>
    <row r="4311" spans="1:7" x14ac:dyDescent="0.3">
      <c r="A4311">
        <v>34310</v>
      </c>
      <c r="B4311">
        <v>94</v>
      </c>
      <c r="C4311" s="2">
        <v>45105</v>
      </c>
      <c r="D4311" s="2" t="str">
        <f>TEXT(Table5[[#This Row],[bill_date]],"mmmm")</f>
        <v>June</v>
      </c>
      <c r="E4311" s="9">
        <f>YEAR(Table5[[#This Row],[bill_date]])</f>
        <v>2023</v>
      </c>
      <c r="F4311">
        <v>1557</v>
      </c>
      <c r="G4311" t="s">
        <v>30</v>
      </c>
    </row>
    <row r="4312" spans="1:7" x14ac:dyDescent="0.3">
      <c r="A4312">
        <v>34311</v>
      </c>
      <c r="B4312">
        <v>432</v>
      </c>
      <c r="C4312" s="2">
        <v>44625</v>
      </c>
      <c r="D4312" s="2" t="str">
        <f>TEXT(Table5[[#This Row],[bill_date]],"mmmm")</f>
        <v>March</v>
      </c>
      <c r="E4312" s="9">
        <f>YEAR(Table5[[#This Row],[bill_date]])</f>
        <v>2022</v>
      </c>
      <c r="F4312">
        <v>883</v>
      </c>
      <c r="G4312" t="s">
        <v>29</v>
      </c>
    </row>
    <row r="4313" spans="1:7" x14ac:dyDescent="0.3">
      <c r="A4313">
        <v>34312</v>
      </c>
      <c r="B4313">
        <v>175</v>
      </c>
      <c r="C4313" s="2">
        <v>44715</v>
      </c>
      <c r="D4313" s="2" t="str">
        <f>TEXT(Table5[[#This Row],[bill_date]],"mmmm")</f>
        <v>June</v>
      </c>
      <c r="E4313" s="9">
        <f>YEAR(Table5[[#This Row],[bill_date]])</f>
        <v>2022</v>
      </c>
      <c r="F4313">
        <v>1879</v>
      </c>
      <c r="G4313" t="s">
        <v>30</v>
      </c>
    </row>
    <row r="4314" spans="1:7" x14ac:dyDescent="0.3">
      <c r="A4314">
        <v>34313</v>
      </c>
      <c r="B4314">
        <v>302</v>
      </c>
      <c r="C4314" s="2">
        <v>45078</v>
      </c>
      <c r="D4314" s="2" t="str">
        <f>TEXT(Table5[[#This Row],[bill_date]],"mmmm")</f>
        <v>June</v>
      </c>
      <c r="E4314" s="9">
        <f>YEAR(Table5[[#This Row],[bill_date]])</f>
        <v>2023</v>
      </c>
      <c r="F4314">
        <v>385</v>
      </c>
      <c r="G4314" t="s">
        <v>30</v>
      </c>
    </row>
    <row r="4315" spans="1:7" x14ac:dyDescent="0.3">
      <c r="A4315">
        <v>34314</v>
      </c>
      <c r="B4315">
        <v>29</v>
      </c>
      <c r="C4315" s="2">
        <v>44956</v>
      </c>
      <c r="D4315" s="2" t="str">
        <f>TEXT(Table5[[#This Row],[bill_date]],"mmmm")</f>
        <v>January</v>
      </c>
      <c r="E4315" s="9">
        <f>YEAR(Table5[[#This Row],[bill_date]])</f>
        <v>2023</v>
      </c>
      <c r="F4315">
        <v>1342</v>
      </c>
      <c r="G4315" t="s">
        <v>30</v>
      </c>
    </row>
    <row r="4316" spans="1:7" x14ac:dyDescent="0.3">
      <c r="A4316">
        <v>34315</v>
      </c>
      <c r="B4316">
        <v>34</v>
      </c>
      <c r="C4316" s="2">
        <v>45457</v>
      </c>
      <c r="D4316" s="2" t="str">
        <f>TEXT(Table5[[#This Row],[bill_date]],"mmmm")</f>
        <v>June</v>
      </c>
      <c r="E4316" s="9">
        <f>YEAR(Table5[[#This Row],[bill_date]])</f>
        <v>2024</v>
      </c>
      <c r="F4316">
        <v>894</v>
      </c>
      <c r="G4316" t="s">
        <v>29</v>
      </c>
    </row>
    <row r="4317" spans="1:7" x14ac:dyDescent="0.3">
      <c r="A4317">
        <v>34316</v>
      </c>
      <c r="B4317">
        <v>10</v>
      </c>
      <c r="C4317" s="2">
        <v>44891</v>
      </c>
      <c r="D4317" s="2" t="str">
        <f>TEXT(Table5[[#This Row],[bill_date]],"mmmm")</f>
        <v>November</v>
      </c>
      <c r="E4317" s="9">
        <f>YEAR(Table5[[#This Row],[bill_date]])</f>
        <v>2022</v>
      </c>
      <c r="F4317">
        <v>1579</v>
      </c>
      <c r="G4317" t="s">
        <v>30</v>
      </c>
    </row>
    <row r="4318" spans="1:7" x14ac:dyDescent="0.3">
      <c r="A4318">
        <v>34317</v>
      </c>
      <c r="B4318">
        <v>276</v>
      </c>
      <c r="C4318" s="2">
        <v>45024</v>
      </c>
      <c r="D4318" s="2" t="str">
        <f>TEXT(Table5[[#This Row],[bill_date]],"mmmm")</f>
        <v>April</v>
      </c>
      <c r="E4318" s="9">
        <f>YEAR(Table5[[#This Row],[bill_date]])</f>
        <v>2023</v>
      </c>
      <c r="F4318">
        <v>561</v>
      </c>
      <c r="G4318" t="s">
        <v>30</v>
      </c>
    </row>
    <row r="4319" spans="1:7" x14ac:dyDescent="0.3">
      <c r="A4319">
        <v>34318</v>
      </c>
      <c r="B4319">
        <v>472</v>
      </c>
      <c r="C4319" s="2">
        <v>45283</v>
      </c>
      <c r="D4319" s="2" t="str">
        <f>TEXT(Table5[[#This Row],[bill_date]],"mmmm")</f>
        <v>December</v>
      </c>
      <c r="E4319" s="9">
        <f>YEAR(Table5[[#This Row],[bill_date]])</f>
        <v>2023</v>
      </c>
      <c r="F4319">
        <v>1813</v>
      </c>
      <c r="G4319" t="s">
        <v>30</v>
      </c>
    </row>
    <row r="4320" spans="1:7" x14ac:dyDescent="0.3">
      <c r="A4320">
        <v>34319</v>
      </c>
      <c r="B4320">
        <v>290</v>
      </c>
      <c r="C4320" s="2">
        <v>44653</v>
      </c>
      <c r="D4320" s="2" t="str">
        <f>TEXT(Table5[[#This Row],[bill_date]],"mmmm")</f>
        <v>April</v>
      </c>
      <c r="E4320" s="9">
        <f>YEAR(Table5[[#This Row],[bill_date]])</f>
        <v>2022</v>
      </c>
      <c r="F4320">
        <v>1385</v>
      </c>
      <c r="G4320" t="s">
        <v>28</v>
      </c>
    </row>
    <row r="4321" spans="1:7" x14ac:dyDescent="0.3">
      <c r="A4321">
        <v>34320</v>
      </c>
      <c r="B4321">
        <v>101</v>
      </c>
      <c r="C4321" s="2">
        <v>44783</v>
      </c>
      <c r="D4321" s="2" t="str">
        <f>TEXT(Table5[[#This Row],[bill_date]],"mmmm")</f>
        <v>August</v>
      </c>
      <c r="E4321" s="9">
        <f>YEAR(Table5[[#This Row],[bill_date]])</f>
        <v>2022</v>
      </c>
      <c r="F4321">
        <v>206</v>
      </c>
      <c r="G4321" t="s">
        <v>30</v>
      </c>
    </row>
    <row r="4322" spans="1:7" x14ac:dyDescent="0.3">
      <c r="A4322">
        <v>34321</v>
      </c>
      <c r="B4322">
        <v>141</v>
      </c>
      <c r="C4322" s="2">
        <v>44751</v>
      </c>
      <c r="D4322" s="2" t="str">
        <f>TEXT(Table5[[#This Row],[bill_date]],"mmmm")</f>
        <v>July</v>
      </c>
      <c r="E4322" s="9">
        <f>YEAR(Table5[[#This Row],[bill_date]])</f>
        <v>2022</v>
      </c>
      <c r="F4322">
        <v>809</v>
      </c>
      <c r="G4322" t="s">
        <v>30</v>
      </c>
    </row>
    <row r="4323" spans="1:7" x14ac:dyDescent="0.3">
      <c r="A4323">
        <v>34322</v>
      </c>
      <c r="B4323">
        <v>87</v>
      </c>
      <c r="C4323" s="2">
        <v>45133</v>
      </c>
      <c r="D4323" s="2" t="str">
        <f>TEXT(Table5[[#This Row],[bill_date]],"mmmm")</f>
        <v>July</v>
      </c>
      <c r="E4323" s="9">
        <f>YEAR(Table5[[#This Row],[bill_date]])</f>
        <v>2023</v>
      </c>
      <c r="F4323">
        <v>1539</v>
      </c>
      <c r="G4323" t="s">
        <v>29</v>
      </c>
    </row>
    <row r="4324" spans="1:7" x14ac:dyDescent="0.3">
      <c r="A4324">
        <v>34323</v>
      </c>
      <c r="B4324">
        <v>394</v>
      </c>
      <c r="C4324" s="2">
        <v>44766</v>
      </c>
      <c r="D4324" s="2" t="str">
        <f>TEXT(Table5[[#This Row],[bill_date]],"mmmm")</f>
        <v>July</v>
      </c>
      <c r="E4324" s="9">
        <f>YEAR(Table5[[#This Row],[bill_date]])</f>
        <v>2022</v>
      </c>
      <c r="F4324">
        <v>225</v>
      </c>
      <c r="G4324" t="s">
        <v>30</v>
      </c>
    </row>
    <row r="4325" spans="1:7" x14ac:dyDescent="0.3">
      <c r="A4325">
        <v>34324</v>
      </c>
      <c r="B4325">
        <v>470</v>
      </c>
      <c r="C4325" s="2">
        <v>44773</v>
      </c>
      <c r="D4325" s="2" t="str">
        <f>TEXT(Table5[[#This Row],[bill_date]],"mmmm")</f>
        <v>July</v>
      </c>
      <c r="E4325" s="9">
        <f>YEAR(Table5[[#This Row],[bill_date]])</f>
        <v>2022</v>
      </c>
      <c r="F4325">
        <v>1172</v>
      </c>
      <c r="G4325" t="s">
        <v>28</v>
      </c>
    </row>
    <row r="4326" spans="1:7" x14ac:dyDescent="0.3">
      <c r="A4326">
        <v>34325</v>
      </c>
      <c r="B4326">
        <v>301</v>
      </c>
      <c r="C4326" s="2">
        <v>45331</v>
      </c>
      <c r="D4326" s="2" t="str">
        <f>TEXT(Table5[[#This Row],[bill_date]],"mmmm")</f>
        <v>February</v>
      </c>
      <c r="E4326" s="9">
        <f>YEAR(Table5[[#This Row],[bill_date]])</f>
        <v>2024</v>
      </c>
      <c r="F4326">
        <v>1085</v>
      </c>
      <c r="G4326" t="s">
        <v>30</v>
      </c>
    </row>
    <row r="4327" spans="1:7" x14ac:dyDescent="0.3">
      <c r="A4327">
        <v>34326</v>
      </c>
      <c r="B4327">
        <v>128</v>
      </c>
      <c r="C4327" s="2">
        <v>44650</v>
      </c>
      <c r="D4327" s="2" t="str">
        <f>TEXT(Table5[[#This Row],[bill_date]],"mmmm")</f>
        <v>March</v>
      </c>
      <c r="E4327" s="9">
        <f>YEAR(Table5[[#This Row],[bill_date]])</f>
        <v>2022</v>
      </c>
      <c r="F4327">
        <v>1181</v>
      </c>
      <c r="G4327" t="s">
        <v>28</v>
      </c>
    </row>
    <row r="4328" spans="1:7" x14ac:dyDescent="0.3">
      <c r="A4328">
        <v>34327</v>
      </c>
      <c r="B4328">
        <v>206</v>
      </c>
      <c r="C4328" s="2">
        <v>45309</v>
      </c>
      <c r="D4328" s="2" t="str">
        <f>TEXT(Table5[[#This Row],[bill_date]],"mmmm")</f>
        <v>January</v>
      </c>
      <c r="E4328" s="9">
        <f>YEAR(Table5[[#This Row],[bill_date]])</f>
        <v>2024</v>
      </c>
      <c r="F4328">
        <v>474</v>
      </c>
      <c r="G4328" t="s">
        <v>30</v>
      </c>
    </row>
    <row r="4329" spans="1:7" x14ac:dyDescent="0.3">
      <c r="A4329">
        <v>34328</v>
      </c>
      <c r="B4329">
        <v>89</v>
      </c>
      <c r="C4329" s="2">
        <v>44924</v>
      </c>
      <c r="D4329" s="2" t="str">
        <f>TEXT(Table5[[#This Row],[bill_date]],"mmmm")</f>
        <v>December</v>
      </c>
      <c r="E4329" s="9">
        <f>YEAR(Table5[[#This Row],[bill_date]])</f>
        <v>2022</v>
      </c>
      <c r="F4329">
        <v>1023</v>
      </c>
      <c r="G4329" t="s">
        <v>30</v>
      </c>
    </row>
    <row r="4330" spans="1:7" x14ac:dyDescent="0.3">
      <c r="A4330">
        <v>34329</v>
      </c>
      <c r="B4330">
        <v>82</v>
      </c>
      <c r="C4330" s="2">
        <v>44932</v>
      </c>
      <c r="D4330" s="2" t="str">
        <f>TEXT(Table5[[#This Row],[bill_date]],"mmmm")</f>
        <v>January</v>
      </c>
      <c r="E4330" s="9">
        <f>YEAR(Table5[[#This Row],[bill_date]])</f>
        <v>2023</v>
      </c>
      <c r="F4330">
        <v>1164</v>
      </c>
      <c r="G4330" t="s">
        <v>30</v>
      </c>
    </row>
    <row r="4331" spans="1:7" x14ac:dyDescent="0.3">
      <c r="A4331">
        <v>34330</v>
      </c>
      <c r="B4331">
        <v>212</v>
      </c>
      <c r="C4331" s="2">
        <v>44893</v>
      </c>
      <c r="D4331" s="2" t="str">
        <f>TEXT(Table5[[#This Row],[bill_date]],"mmmm")</f>
        <v>November</v>
      </c>
      <c r="E4331" s="9">
        <f>YEAR(Table5[[#This Row],[bill_date]])</f>
        <v>2022</v>
      </c>
      <c r="F4331">
        <v>1694</v>
      </c>
      <c r="G4331" t="s">
        <v>30</v>
      </c>
    </row>
    <row r="4332" spans="1:7" x14ac:dyDescent="0.3">
      <c r="A4332">
        <v>34331</v>
      </c>
      <c r="B4332">
        <v>119</v>
      </c>
      <c r="C4332" s="2">
        <v>45269</v>
      </c>
      <c r="D4332" s="2" t="str">
        <f>TEXT(Table5[[#This Row],[bill_date]],"mmmm")</f>
        <v>December</v>
      </c>
      <c r="E4332" s="9">
        <f>YEAR(Table5[[#This Row],[bill_date]])</f>
        <v>2023</v>
      </c>
      <c r="F4332">
        <v>989</v>
      </c>
      <c r="G4332" t="s">
        <v>30</v>
      </c>
    </row>
    <row r="4333" spans="1:7" x14ac:dyDescent="0.3">
      <c r="A4333">
        <v>34332</v>
      </c>
      <c r="B4333">
        <v>348</v>
      </c>
      <c r="C4333" s="2">
        <v>44987</v>
      </c>
      <c r="D4333" s="2" t="str">
        <f>TEXT(Table5[[#This Row],[bill_date]],"mmmm")</f>
        <v>March</v>
      </c>
      <c r="E4333" s="9">
        <f>YEAR(Table5[[#This Row],[bill_date]])</f>
        <v>2023</v>
      </c>
      <c r="F4333">
        <v>914</v>
      </c>
      <c r="G4333" t="s">
        <v>30</v>
      </c>
    </row>
    <row r="4334" spans="1:7" x14ac:dyDescent="0.3">
      <c r="A4334">
        <v>34333</v>
      </c>
      <c r="B4334">
        <v>136</v>
      </c>
      <c r="C4334" s="2">
        <v>45405</v>
      </c>
      <c r="D4334" s="2" t="str">
        <f>TEXT(Table5[[#This Row],[bill_date]],"mmmm")</f>
        <v>April</v>
      </c>
      <c r="E4334" s="9">
        <f>YEAR(Table5[[#This Row],[bill_date]])</f>
        <v>2024</v>
      </c>
      <c r="F4334">
        <v>1894</v>
      </c>
      <c r="G4334" t="s">
        <v>28</v>
      </c>
    </row>
    <row r="4335" spans="1:7" x14ac:dyDescent="0.3">
      <c r="A4335">
        <v>34334</v>
      </c>
      <c r="B4335">
        <v>261</v>
      </c>
      <c r="C4335" s="2">
        <v>45016</v>
      </c>
      <c r="D4335" s="2" t="str">
        <f>TEXT(Table5[[#This Row],[bill_date]],"mmmm")</f>
        <v>March</v>
      </c>
      <c r="E4335" s="9">
        <f>YEAR(Table5[[#This Row],[bill_date]])</f>
        <v>2023</v>
      </c>
      <c r="F4335">
        <v>675</v>
      </c>
      <c r="G4335" t="s">
        <v>30</v>
      </c>
    </row>
    <row r="4336" spans="1:7" x14ac:dyDescent="0.3">
      <c r="A4336">
        <v>34335</v>
      </c>
      <c r="B4336">
        <v>469</v>
      </c>
      <c r="C4336" s="2">
        <v>45256</v>
      </c>
      <c r="D4336" s="2" t="str">
        <f>TEXT(Table5[[#This Row],[bill_date]],"mmmm")</f>
        <v>November</v>
      </c>
      <c r="E4336" s="9">
        <f>YEAR(Table5[[#This Row],[bill_date]])</f>
        <v>2023</v>
      </c>
      <c r="F4336">
        <v>1400</v>
      </c>
      <c r="G4336" t="s">
        <v>30</v>
      </c>
    </row>
    <row r="4337" spans="1:7" x14ac:dyDescent="0.3">
      <c r="A4337">
        <v>34336</v>
      </c>
      <c r="B4337">
        <v>276</v>
      </c>
      <c r="C4337" s="2">
        <v>44983</v>
      </c>
      <c r="D4337" s="2" t="str">
        <f>TEXT(Table5[[#This Row],[bill_date]],"mmmm")</f>
        <v>February</v>
      </c>
      <c r="E4337" s="9">
        <f>YEAR(Table5[[#This Row],[bill_date]])</f>
        <v>2023</v>
      </c>
      <c r="F4337">
        <v>902</v>
      </c>
      <c r="G4337" t="s">
        <v>28</v>
      </c>
    </row>
    <row r="4338" spans="1:7" x14ac:dyDescent="0.3">
      <c r="A4338">
        <v>34337</v>
      </c>
      <c r="B4338">
        <v>377</v>
      </c>
      <c r="C4338" s="2">
        <v>45324</v>
      </c>
      <c r="D4338" s="2" t="str">
        <f>TEXT(Table5[[#This Row],[bill_date]],"mmmm")</f>
        <v>February</v>
      </c>
      <c r="E4338" s="9">
        <f>YEAR(Table5[[#This Row],[bill_date]])</f>
        <v>2024</v>
      </c>
      <c r="F4338">
        <v>1774</v>
      </c>
      <c r="G4338" t="s">
        <v>30</v>
      </c>
    </row>
    <row r="4339" spans="1:7" x14ac:dyDescent="0.3">
      <c r="A4339">
        <v>34338</v>
      </c>
      <c r="B4339">
        <v>428</v>
      </c>
      <c r="C4339" s="2">
        <v>45297</v>
      </c>
      <c r="D4339" s="2" t="str">
        <f>TEXT(Table5[[#This Row],[bill_date]],"mmmm")</f>
        <v>January</v>
      </c>
      <c r="E4339" s="9">
        <f>YEAR(Table5[[#This Row],[bill_date]])</f>
        <v>2024</v>
      </c>
      <c r="F4339">
        <v>558</v>
      </c>
      <c r="G4339" t="s">
        <v>30</v>
      </c>
    </row>
    <row r="4340" spans="1:7" x14ac:dyDescent="0.3">
      <c r="A4340">
        <v>34339</v>
      </c>
      <c r="B4340">
        <v>208</v>
      </c>
      <c r="C4340" s="2">
        <v>44732</v>
      </c>
      <c r="D4340" s="2" t="str">
        <f>TEXT(Table5[[#This Row],[bill_date]],"mmmm")</f>
        <v>June</v>
      </c>
      <c r="E4340" s="9">
        <f>YEAR(Table5[[#This Row],[bill_date]])</f>
        <v>2022</v>
      </c>
      <c r="F4340">
        <v>1458</v>
      </c>
      <c r="G4340" t="s">
        <v>30</v>
      </c>
    </row>
    <row r="4341" spans="1:7" x14ac:dyDescent="0.3">
      <c r="A4341">
        <v>34340</v>
      </c>
      <c r="B4341">
        <v>314</v>
      </c>
      <c r="C4341" s="2">
        <v>45271</v>
      </c>
      <c r="D4341" s="2" t="str">
        <f>TEXT(Table5[[#This Row],[bill_date]],"mmmm")</f>
        <v>December</v>
      </c>
      <c r="E4341" s="9">
        <f>YEAR(Table5[[#This Row],[bill_date]])</f>
        <v>2023</v>
      </c>
      <c r="F4341">
        <v>1255</v>
      </c>
      <c r="G4341" t="s">
        <v>30</v>
      </c>
    </row>
    <row r="4342" spans="1:7" x14ac:dyDescent="0.3">
      <c r="A4342">
        <v>34341</v>
      </c>
      <c r="B4342">
        <v>404</v>
      </c>
      <c r="C4342" s="2">
        <v>44810</v>
      </c>
      <c r="D4342" s="2" t="str">
        <f>TEXT(Table5[[#This Row],[bill_date]],"mmmm")</f>
        <v>September</v>
      </c>
      <c r="E4342" s="9">
        <f>YEAR(Table5[[#This Row],[bill_date]])</f>
        <v>2022</v>
      </c>
      <c r="F4342">
        <v>1763</v>
      </c>
      <c r="G4342" t="s">
        <v>30</v>
      </c>
    </row>
    <row r="4343" spans="1:7" x14ac:dyDescent="0.3">
      <c r="A4343">
        <v>34342</v>
      </c>
      <c r="B4343">
        <v>243</v>
      </c>
      <c r="C4343" s="2">
        <v>44742</v>
      </c>
      <c r="D4343" s="2" t="str">
        <f>TEXT(Table5[[#This Row],[bill_date]],"mmmm")</f>
        <v>June</v>
      </c>
      <c r="E4343" s="9">
        <f>YEAR(Table5[[#This Row],[bill_date]])</f>
        <v>2022</v>
      </c>
      <c r="F4343">
        <v>743</v>
      </c>
      <c r="G4343" t="s">
        <v>30</v>
      </c>
    </row>
    <row r="4344" spans="1:7" x14ac:dyDescent="0.3">
      <c r="A4344">
        <v>34343</v>
      </c>
      <c r="B4344">
        <v>473</v>
      </c>
      <c r="C4344" s="2">
        <v>45036</v>
      </c>
      <c r="D4344" s="2" t="str">
        <f>TEXT(Table5[[#This Row],[bill_date]],"mmmm")</f>
        <v>April</v>
      </c>
      <c r="E4344" s="9">
        <f>YEAR(Table5[[#This Row],[bill_date]])</f>
        <v>2023</v>
      </c>
      <c r="F4344">
        <v>298</v>
      </c>
      <c r="G4344" t="s">
        <v>30</v>
      </c>
    </row>
    <row r="4345" spans="1:7" x14ac:dyDescent="0.3">
      <c r="A4345">
        <v>34344</v>
      </c>
      <c r="B4345">
        <v>455</v>
      </c>
      <c r="C4345" s="2">
        <v>45044</v>
      </c>
      <c r="D4345" s="2" t="str">
        <f>TEXT(Table5[[#This Row],[bill_date]],"mmmm")</f>
        <v>April</v>
      </c>
      <c r="E4345" s="9">
        <f>YEAR(Table5[[#This Row],[bill_date]])</f>
        <v>2023</v>
      </c>
      <c r="F4345">
        <v>855</v>
      </c>
      <c r="G4345" t="s">
        <v>30</v>
      </c>
    </row>
    <row r="4346" spans="1:7" x14ac:dyDescent="0.3">
      <c r="A4346">
        <v>34345</v>
      </c>
      <c r="B4346">
        <v>345</v>
      </c>
      <c r="C4346" s="2">
        <v>44945</v>
      </c>
      <c r="D4346" s="2" t="str">
        <f>TEXT(Table5[[#This Row],[bill_date]],"mmmm")</f>
        <v>January</v>
      </c>
      <c r="E4346" s="9">
        <f>YEAR(Table5[[#This Row],[bill_date]])</f>
        <v>2023</v>
      </c>
      <c r="F4346">
        <v>528</v>
      </c>
      <c r="G4346" t="s">
        <v>30</v>
      </c>
    </row>
    <row r="4347" spans="1:7" x14ac:dyDescent="0.3">
      <c r="A4347">
        <v>34346</v>
      </c>
      <c r="B4347">
        <v>100</v>
      </c>
      <c r="C4347" s="2">
        <v>45350</v>
      </c>
      <c r="D4347" s="2" t="str">
        <f>TEXT(Table5[[#This Row],[bill_date]],"mmmm")</f>
        <v>February</v>
      </c>
      <c r="E4347" s="9">
        <f>YEAR(Table5[[#This Row],[bill_date]])</f>
        <v>2024</v>
      </c>
      <c r="F4347">
        <v>1287</v>
      </c>
      <c r="G4347" t="s">
        <v>28</v>
      </c>
    </row>
    <row r="4348" spans="1:7" x14ac:dyDescent="0.3">
      <c r="A4348">
        <v>34347</v>
      </c>
      <c r="B4348">
        <v>115</v>
      </c>
      <c r="C4348" s="2">
        <v>44965</v>
      </c>
      <c r="D4348" s="2" t="str">
        <f>TEXT(Table5[[#This Row],[bill_date]],"mmmm")</f>
        <v>February</v>
      </c>
      <c r="E4348" s="9">
        <f>YEAR(Table5[[#This Row],[bill_date]])</f>
        <v>2023</v>
      </c>
      <c r="F4348">
        <v>320</v>
      </c>
      <c r="G4348" t="s">
        <v>28</v>
      </c>
    </row>
    <row r="4349" spans="1:7" x14ac:dyDescent="0.3">
      <c r="A4349">
        <v>34348</v>
      </c>
      <c r="B4349">
        <v>330</v>
      </c>
      <c r="C4349" s="2">
        <v>45348</v>
      </c>
      <c r="D4349" s="2" t="str">
        <f>TEXT(Table5[[#This Row],[bill_date]],"mmmm")</f>
        <v>February</v>
      </c>
      <c r="E4349" s="9">
        <f>YEAR(Table5[[#This Row],[bill_date]])</f>
        <v>2024</v>
      </c>
      <c r="F4349">
        <v>1777</v>
      </c>
      <c r="G4349" t="s">
        <v>30</v>
      </c>
    </row>
    <row r="4350" spans="1:7" x14ac:dyDescent="0.3">
      <c r="A4350">
        <v>34349</v>
      </c>
      <c r="B4350">
        <v>424</v>
      </c>
      <c r="C4350" s="2">
        <v>44722</v>
      </c>
      <c r="D4350" s="2" t="str">
        <f>TEXT(Table5[[#This Row],[bill_date]],"mmmm")</f>
        <v>June</v>
      </c>
      <c r="E4350" s="9">
        <f>YEAR(Table5[[#This Row],[bill_date]])</f>
        <v>2022</v>
      </c>
      <c r="F4350">
        <v>1157</v>
      </c>
      <c r="G4350" t="s">
        <v>30</v>
      </c>
    </row>
    <row r="4351" spans="1:7" x14ac:dyDescent="0.3">
      <c r="A4351">
        <v>34350</v>
      </c>
      <c r="B4351">
        <v>16</v>
      </c>
      <c r="C4351" s="2">
        <v>44809</v>
      </c>
      <c r="D4351" s="2" t="str">
        <f>TEXT(Table5[[#This Row],[bill_date]],"mmmm")</f>
        <v>September</v>
      </c>
      <c r="E4351" s="9">
        <f>YEAR(Table5[[#This Row],[bill_date]])</f>
        <v>2022</v>
      </c>
      <c r="F4351">
        <v>1943</v>
      </c>
      <c r="G4351" t="s">
        <v>30</v>
      </c>
    </row>
    <row r="4352" spans="1:7" x14ac:dyDescent="0.3">
      <c r="A4352">
        <v>34351</v>
      </c>
      <c r="B4352">
        <v>4</v>
      </c>
      <c r="C4352" s="2">
        <v>44880</v>
      </c>
      <c r="D4352" s="2" t="str">
        <f>TEXT(Table5[[#This Row],[bill_date]],"mmmm")</f>
        <v>November</v>
      </c>
      <c r="E4352" s="9">
        <f>YEAR(Table5[[#This Row],[bill_date]])</f>
        <v>2022</v>
      </c>
      <c r="F4352">
        <v>1200</v>
      </c>
      <c r="G4352" t="s">
        <v>30</v>
      </c>
    </row>
    <row r="4353" spans="1:7" x14ac:dyDescent="0.3">
      <c r="A4353">
        <v>34352</v>
      </c>
      <c r="B4353">
        <v>266</v>
      </c>
      <c r="C4353" s="2">
        <v>45261</v>
      </c>
      <c r="D4353" s="2" t="str">
        <f>TEXT(Table5[[#This Row],[bill_date]],"mmmm")</f>
        <v>December</v>
      </c>
      <c r="E4353" s="9">
        <f>YEAR(Table5[[#This Row],[bill_date]])</f>
        <v>2023</v>
      </c>
      <c r="F4353">
        <v>674</v>
      </c>
      <c r="G4353" t="s">
        <v>30</v>
      </c>
    </row>
    <row r="4354" spans="1:7" x14ac:dyDescent="0.3">
      <c r="A4354">
        <v>34353</v>
      </c>
      <c r="B4354">
        <v>435</v>
      </c>
      <c r="C4354" s="2">
        <v>45092</v>
      </c>
      <c r="D4354" s="2" t="str">
        <f>TEXT(Table5[[#This Row],[bill_date]],"mmmm")</f>
        <v>June</v>
      </c>
      <c r="E4354" s="9">
        <f>YEAR(Table5[[#This Row],[bill_date]])</f>
        <v>2023</v>
      </c>
      <c r="F4354">
        <v>940</v>
      </c>
      <c r="G4354" t="s">
        <v>30</v>
      </c>
    </row>
    <row r="4355" spans="1:7" x14ac:dyDescent="0.3">
      <c r="A4355">
        <v>34354</v>
      </c>
      <c r="B4355">
        <v>48</v>
      </c>
      <c r="C4355" s="2">
        <v>45317</v>
      </c>
      <c r="D4355" s="2" t="str">
        <f>TEXT(Table5[[#This Row],[bill_date]],"mmmm")</f>
        <v>January</v>
      </c>
      <c r="E4355" s="9">
        <f>YEAR(Table5[[#This Row],[bill_date]])</f>
        <v>2024</v>
      </c>
      <c r="F4355">
        <v>325</v>
      </c>
      <c r="G4355" t="s">
        <v>30</v>
      </c>
    </row>
    <row r="4356" spans="1:7" x14ac:dyDescent="0.3">
      <c r="A4356">
        <v>34355</v>
      </c>
      <c r="B4356">
        <v>223</v>
      </c>
      <c r="C4356" s="2">
        <v>44674</v>
      </c>
      <c r="D4356" s="2" t="str">
        <f>TEXT(Table5[[#This Row],[bill_date]],"mmmm")</f>
        <v>April</v>
      </c>
      <c r="E4356" s="9">
        <f>YEAR(Table5[[#This Row],[bill_date]])</f>
        <v>2022</v>
      </c>
      <c r="F4356">
        <v>1066</v>
      </c>
      <c r="G4356" t="s">
        <v>30</v>
      </c>
    </row>
    <row r="4357" spans="1:7" x14ac:dyDescent="0.3">
      <c r="A4357">
        <v>34356</v>
      </c>
      <c r="B4357">
        <v>204</v>
      </c>
      <c r="C4357" s="2">
        <v>45351</v>
      </c>
      <c r="D4357" s="2" t="str">
        <f>TEXT(Table5[[#This Row],[bill_date]],"mmmm")</f>
        <v>February</v>
      </c>
      <c r="E4357" s="9">
        <f>YEAR(Table5[[#This Row],[bill_date]])</f>
        <v>2024</v>
      </c>
      <c r="F4357">
        <v>1408</v>
      </c>
      <c r="G4357" t="s">
        <v>30</v>
      </c>
    </row>
    <row r="4358" spans="1:7" x14ac:dyDescent="0.3">
      <c r="A4358">
        <v>34357</v>
      </c>
      <c r="B4358">
        <v>20</v>
      </c>
      <c r="C4358" s="2">
        <v>45124</v>
      </c>
      <c r="D4358" s="2" t="str">
        <f>TEXT(Table5[[#This Row],[bill_date]],"mmmm")</f>
        <v>July</v>
      </c>
      <c r="E4358" s="9">
        <f>YEAR(Table5[[#This Row],[bill_date]])</f>
        <v>2023</v>
      </c>
      <c r="F4358">
        <v>1971</v>
      </c>
      <c r="G4358" t="s">
        <v>30</v>
      </c>
    </row>
    <row r="4359" spans="1:7" x14ac:dyDescent="0.3">
      <c r="A4359">
        <v>34358</v>
      </c>
      <c r="B4359">
        <v>288</v>
      </c>
      <c r="C4359" s="2">
        <v>44905</v>
      </c>
      <c r="D4359" s="2" t="str">
        <f>TEXT(Table5[[#This Row],[bill_date]],"mmmm")</f>
        <v>December</v>
      </c>
      <c r="E4359" s="9">
        <f>YEAR(Table5[[#This Row],[bill_date]])</f>
        <v>2022</v>
      </c>
      <c r="F4359">
        <v>289</v>
      </c>
      <c r="G4359" t="s">
        <v>30</v>
      </c>
    </row>
    <row r="4360" spans="1:7" x14ac:dyDescent="0.3">
      <c r="A4360">
        <v>34359</v>
      </c>
      <c r="B4360">
        <v>194</v>
      </c>
      <c r="C4360" s="2">
        <v>44684</v>
      </c>
      <c r="D4360" s="2" t="str">
        <f>TEXT(Table5[[#This Row],[bill_date]],"mmmm")</f>
        <v>May</v>
      </c>
      <c r="E4360" s="9">
        <f>YEAR(Table5[[#This Row],[bill_date]])</f>
        <v>2022</v>
      </c>
      <c r="F4360">
        <v>1777</v>
      </c>
      <c r="G4360" t="s">
        <v>30</v>
      </c>
    </row>
    <row r="4361" spans="1:7" x14ac:dyDescent="0.3">
      <c r="A4361">
        <v>34360</v>
      </c>
      <c r="B4361">
        <v>316</v>
      </c>
      <c r="C4361" s="2">
        <v>45311</v>
      </c>
      <c r="D4361" s="2" t="str">
        <f>TEXT(Table5[[#This Row],[bill_date]],"mmmm")</f>
        <v>January</v>
      </c>
      <c r="E4361" s="9">
        <f>YEAR(Table5[[#This Row],[bill_date]])</f>
        <v>2024</v>
      </c>
      <c r="F4361">
        <v>244</v>
      </c>
      <c r="G4361" t="s">
        <v>30</v>
      </c>
    </row>
    <row r="4362" spans="1:7" x14ac:dyDescent="0.3">
      <c r="A4362">
        <v>34361</v>
      </c>
      <c r="B4362">
        <v>11</v>
      </c>
      <c r="C4362" s="2">
        <v>44880</v>
      </c>
      <c r="D4362" s="2" t="str">
        <f>TEXT(Table5[[#This Row],[bill_date]],"mmmm")</f>
        <v>November</v>
      </c>
      <c r="E4362" s="9">
        <f>YEAR(Table5[[#This Row],[bill_date]])</f>
        <v>2022</v>
      </c>
      <c r="F4362">
        <v>223</v>
      </c>
      <c r="G4362" t="s">
        <v>30</v>
      </c>
    </row>
    <row r="4363" spans="1:7" x14ac:dyDescent="0.3">
      <c r="A4363">
        <v>34362</v>
      </c>
      <c r="B4363">
        <v>20</v>
      </c>
      <c r="C4363" s="2">
        <v>45135</v>
      </c>
      <c r="D4363" s="2" t="str">
        <f>TEXT(Table5[[#This Row],[bill_date]],"mmmm")</f>
        <v>July</v>
      </c>
      <c r="E4363" s="9">
        <f>YEAR(Table5[[#This Row],[bill_date]])</f>
        <v>2023</v>
      </c>
      <c r="F4363">
        <v>1929</v>
      </c>
      <c r="G4363" t="s">
        <v>28</v>
      </c>
    </row>
    <row r="4364" spans="1:7" x14ac:dyDescent="0.3">
      <c r="A4364">
        <v>34363</v>
      </c>
      <c r="B4364">
        <v>279</v>
      </c>
      <c r="C4364" s="2">
        <v>45039</v>
      </c>
      <c r="D4364" s="2" t="str">
        <f>TEXT(Table5[[#This Row],[bill_date]],"mmmm")</f>
        <v>April</v>
      </c>
      <c r="E4364" s="9">
        <f>YEAR(Table5[[#This Row],[bill_date]])</f>
        <v>2023</v>
      </c>
      <c r="F4364">
        <v>547</v>
      </c>
      <c r="G4364" t="s">
        <v>30</v>
      </c>
    </row>
    <row r="4365" spans="1:7" x14ac:dyDescent="0.3">
      <c r="A4365">
        <v>34364</v>
      </c>
      <c r="B4365">
        <v>383</v>
      </c>
      <c r="C4365" s="2">
        <v>44974</v>
      </c>
      <c r="D4365" s="2" t="str">
        <f>TEXT(Table5[[#This Row],[bill_date]],"mmmm")</f>
        <v>February</v>
      </c>
      <c r="E4365" s="9">
        <f>YEAR(Table5[[#This Row],[bill_date]])</f>
        <v>2023</v>
      </c>
      <c r="F4365">
        <v>1833</v>
      </c>
      <c r="G4365" t="s">
        <v>28</v>
      </c>
    </row>
    <row r="4366" spans="1:7" x14ac:dyDescent="0.3">
      <c r="A4366">
        <v>34365</v>
      </c>
      <c r="B4366">
        <v>333</v>
      </c>
      <c r="C4366" s="2">
        <v>45147</v>
      </c>
      <c r="D4366" s="2" t="str">
        <f>TEXT(Table5[[#This Row],[bill_date]],"mmmm")</f>
        <v>August</v>
      </c>
      <c r="E4366" s="9">
        <f>YEAR(Table5[[#This Row],[bill_date]])</f>
        <v>2023</v>
      </c>
      <c r="F4366">
        <v>1201</v>
      </c>
      <c r="G4366" t="s">
        <v>28</v>
      </c>
    </row>
    <row r="4367" spans="1:7" x14ac:dyDescent="0.3">
      <c r="A4367">
        <v>34366</v>
      </c>
      <c r="B4367">
        <v>35</v>
      </c>
      <c r="C4367" s="2">
        <v>44806</v>
      </c>
      <c r="D4367" s="2" t="str">
        <f>TEXT(Table5[[#This Row],[bill_date]],"mmmm")</f>
        <v>September</v>
      </c>
      <c r="E4367" s="9">
        <f>YEAR(Table5[[#This Row],[bill_date]])</f>
        <v>2022</v>
      </c>
      <c r="F4367">
        <v>966</v>
      </c>
      <c r="G4367" t="s">
        <v>30</v>
      </c>
    </row>
    <row r="4368" spans="1:7" x14ac:dyDescent="0.3">
      <c r="A4368">
        <v>34367</v>
      </c>
      <c r="B4368">
        <v>401</v>
      </c>
      <c r="C4368" s="2">
        <v>45105</v>
      </c>
      <c r="D4368" s="2" t="str">
        <f>TEXT(Table5[[#This Row],[bill_date]],"mmmm")</f>
        <v>June</v>
      </c>
      <c r="E4368" s="9">
        <f>YEAR(Table5[[#This Row],[bill_date]])</f>
        <v>2023</v>
      </c>
      <c r="F4368">
        <v>1071</v>
      </c>
      <c r="G4368" t="s">
        <v>30</v>
      </c>
    </row>
    <row r="4369" spans="1:7" x14ac:dyDescent="0.3">
      <c r="A4369">
        <v>34368</v>
      </c>
      <c r="B4369">
        <v>266</v>
      </c>
      <c r="C4369" s="2">
        <v>45018</v>
      </c>
      <c r="D4369" s="2" t="str">
        <f>TEXT(Table5[[#This Row],[bill_date]],"mmmm")</f>
        <v>April</v>
      </c>
      <c r="E4369" s="9">
        <f>YEAR(Table5[[#This Row],[bill_date]])</f>
        <v>2023</v>
      </c>
      <c r="F4369">
        <v>1657</v>
      </c>
      <c r="G4369" t="s">
        <v>30</v>
      </c>
    </row>
    <row r="4370" spans="1:7" x14ac:dyDescent="0.3">
      <c r="A4370">
        <v>34369</v>
      </c>
      <c r="B4370">
        <v>232</v>
      </c>
      <c r="C4370" s="2">
        <v>44714</v>
      </c>
      <c r="D4370" s="2" t="str">
        <f>TEXT(Table5[[#This Row],[bill_date]],"mmmm")</f>
        <v>June</v>
      </c>
      <c r="E4370" s="9">
        <f>YEAR(Table5[[#This Row],[bill_date]])</f>
        <v>2022</v>
      </c>
      <c r="F4370">
        <v>1552</v>
      </c>
      <c r="G4370" t="s">
        <v>30</v>
      </c>
    </row>
    <row r="4371" spans="1:7" x14ac:dyDescent="0.3">
      <c r="A4371">
        <v>34370</v>
      </c>
      <c r="B4371">
        <v>38</v>
      </c>
      <c r="C4371" s="2">
        <v>45217</v>
      </c>
      <c r="D4371" s="2" t="str">
        <f>TEXT(Table5[[#This Row],[bill_date]],"mmmm")</f>
        <v>October</v>
      </c>
      <c r="E4371" s="9">
        <f>YEAR(Table5[[#This Row],[bill_date]])</f>
        <v>2023</v>
      </c>
      <c r="F4371">
        <v>492</v>
      </c>
      <c r="G4371" t="s">
        <v>28</v>
      </c>
    </row>
    <row r="4372" spans="1:7" x14ac:dyDescent="0.3">
      <c r="A4372">
        <v>34371</v>
      </c>
      <c r="B4372">
        <v>462</v>
      </c>
      <c r="C4372" s="2">
        <v>44576</v>
      </c>
      <c r="D4372" s="2" t="str">
        <f>TEXT(Table5[[#This Row],[bill_date]],"mmmm")</f>
        <v>January</v>
      </c>
      <c r="E4372" s="9">
        <f>YEAR(Table5[[#This Row],[bill_date]])</f>
        <v>2022</v>
      </c>
      <c r="F4372">
        <v>444</v>
      </c>
      <c r="G4372" t="s">
        <v>30</v>
      </c>
    </row>
    <row r="4373" spans="1:7" x14ac:dyDescent="0.3">
      <c r="A4373">
        <v>34372</v>
      </c>
      <c r="B4373">
        <v>83</v>
      </c>
      <c r="C4373" s="2">
        <v>45004</v>
      </c>
      <c r="D4373" s="2" t="str">
        <f>TEXT(Table5[[#This Row],[bill_date]],"mmmm")</f>
        <v>March</v>
      </c>
      <c r="E4373" s="9">
        <f>YEAR(Table5[[#This Row],[bill_date]])</f>
        <v>2023</v>
      </c>
      <c r="F4373">
        <v>1388</v>
      </c>
      <c r="G4373" t="s">
        <v>30</v>
      </c>
    </row>
    <row r="4374" spans="1:7" x14ac:dyDescent="0.3">
      <c r="A4374">
        <v>34373</v>
      </c>
      <c r="B4374">
        <v>32</v>
      </c>
      <c r="C4374" s="2">
        <v>44865</v>
      </c>
      <c r="D4374" s="2" t="str">
        <f>TEXT(Table5[[#This Row],[bill_date]],"mmmm")</f>
        <v>October</v>
      </c>
      <c r="E4374" s="9">
        <f>YEAR(Table5[[#This Row],[bill_date]])</f>
        <v>2022</v>
      </c>
      <c r="F4374">
        <v>455</v>
      </c>
      <c r="G4374" t="s">
        <v>30</v>
      </c>
    </row>
    <row r="4375" spans="1:7" x14ac:dyDescent="0.3">
      <c r="A4375">
        <v>34374</v>
      </c>
      <c r="B4375">
        <v>54</v>
      </c>
      <c r="C4375" s="2">
        <v>45347</v>
      </c>
      <c r="D4375" s="2" t="str">
        <f>TEXT(Table5[[#This Row],[bill_date]],"mmmm")</f>
        <v>February</v>
      </c>
      <c r="E4375" s="9">
        <f>YEAR(Table5[[#This Row],[bill_date]])</f>
        <v>2024</v>
      </c>
      <c r="F4375">
        <v>1020</v>
      </c>
      <c r="G4375" t="s">
        <v>30</v>
      </c>
    </row>
    <row r="4376" spans="1:7" x14ac:dyDescent="0.3">
      <c r="A4376">
        <v>34375</v>
      </c>
      <c r="B4376">
        <v>225</v>
      </c>
      <c r="C4376" s="2">
        <v>44806</v>
      </c>
      <c r="D4376" s="2" t="str">
        <f>TEXT(Table5[[#This Row],[bill_date]],"mmmm")</f>
        <v>September</v>
      </c>
      <c r="E4376" s="9">
        <f>YEAR(Table5[[#This Row],[bill_date]])</f>
        <v>2022</v>
      </c>
      <c r="F4376">
        <v>550</v>
      </c>
      <c r="G4376" t="s">
        <v>30</v>
      </c>
    </row>
    <row r="4377" spans="1:7" x14ac:dyDescent="0.3">
      <c r="A4377">
        <v>34376</v>
      </c>
      <c r="B4377">
        <v>313</v>
      </c>
      <c r="C4377" s="2">
        <v>45352</v>
      </c>
      <c r="D4377" s="2" t="str">
        <f>TEXT(Table5[[#This Row],[bill_date]],"mmmm")</f>
        <v>March</v>
      </c>
      <c r="E4377" s="9">
        <f>YEAR(Table5[[#This Row],[bill_date]])</f>
        <v>2024</v>
      </c>
      <c r="F4377">
        <v>988</v>
      </c>
      <c r="G4377" t="s">
        <v>29</v>
      </c>
    </row>
    <row r="4378" spans="1:7" x14ac:dyDescent="0.3">
      <c r="A4378">
        <v>34377</v>
      </c>
      <c r="B4378">
        <v>107</v>
      </c>
      <c r="C4378" s="2">
        <v>45128</v>
      </c>
      <c r="D4378" s="2" t="str">
        <f>TEXT(Table5[[#This Row],[bill_date]],"mmmm")</f>
        <v>July</v>
      </c>
      <c r="E4378" s="9">
        <f>YEAR(Table5[[#This Row],[bill_date]])</f>
        <v>2023</v>
      </c>
      <c r="F4378">
        <v>1411</v>
      </c>
      <c r="G4378" t="s">
        <v>30</v>
      </c>
    </row>
    <row r="4379" spans="1:7" x14ac:dyDescent="0.3">
      <c r="A4379">
        <v>34378</v>
      </c>
      <c r="B4379">
        <v>473</v>
      </c>
      <c r="C4379" s="2">
        <v>45115</v>
      </c>
      <c r="D4379" s="2" t="str">
        <f>TEXT(Table5[[#This Row],[bill_date]],"mmmm")</f>
        <v>July</v>
      </c>
      <c r="E4379" s="9">
        <f>YEAR(Table5[[#This Row],[bill_date]])</f>
        <v>2023</v>
      </c>
      <c r="F4379">
        <v>1920</v>
      </c>
      <c r="G4379" t="s">
        <v>30</v>
      </c>
    </row>
    <row r="4380" spans="1:7" x14ac:dyDescent="0.3">
      <c r="A4380">
        <v>34379</v>
      </c>
      <c r="B4380">
        <v>25</v>
      </c>
      <c r="C4380" s="2">
        <v>45460</v>
      </c>
      <c r="D4380" s="2" t="str">
        <f>TEXT(Table5[[#This Row],[bill_date]],"mmmm")</f>
        <v>June</v>
      </c>
      <c r="E4380" s="9">
        <f>YEAR(Table5[[#This Row],[bill_date]])</f>
        <v>2024</v>
      </c>
      <c r="F4380">
        <v>1221</v>
      </c>
      <c r="G4380" t="s">
        <v>30</v>
      </c>
    </row>
    <row r="4381" spans="1:7" x14ac:dyDescent="0.3">
      <c r="A4381">
        <v>34380</v>
      </c>
      <c r="B4381">
        <v>398</v>
      </c>
      <c r="C4381" s="2">
        <v>45016</v>
      </c>
      <c r="D4381" s="2" t="str">
        <f>TEXT(Table5[[#This Row],[bill_date]],"mmmm")</f>
        <v>March</v>
      </c>
      <c r="E4381" s="9">
        <f>YEAR(Table5[[#This Row],[bill_date]])</f>
        <v>2023</v>
      </c>
      <c r="F4381">
        <v>892</v>
      </c>
      <c r="G4381" t="s">
        <v>30</v>
      </c>
    </row>
    <row r="4382" spans="1:7" x14ac:dyDescent="0.3">
      <c r="A4382">
        <v>34381</v>
      </c>
      <c r="B4382">
        <v>45</v>
      </c>
      <c r="C4382" s="2">
        <v>44920</v>
      </c>
      <c r="D4382" s="2" t="str">
        <f>TEXT(Table5[[#This Row],[bill_date]],"mmmm")</f>
        <v>December</v>
      </c>
      <c r="E4382" s="9">
        <f>YEAR(Table5[[#This Row],[bill_date]])</f>
        <v>2022</v>
      </c>
      <c r="F4382">
        <v>1497</v>
      </c>
      <c r="G4382" t="s">
        <v>30</v>
      </c>
    </row>
    <row r="4383" spans="1:7" x14ac:dyDescent="0.3">
      <c r="A4383">
        <v>34382</v>
      </c>
      <c r="B4383">
        <v>428</v>
      </c>
      <c r="C4383" s="2">
        <v>44613</v>
      </c>
      <c r="D4383" s="2" t="str">
        <f>TEXT(Table5[[#This Row],[bill_date]],"mmmm")</f>
        <v>February</v>
      </c>
      <c r="E4383" s="9">
        <f>YEAR(Table5[[#This Row],[bill_date]])</f>
        <v>2022</v>
      </c>
      <c r="F4383">
        <v>937</v>
      </c>
      <c r="G4383" t="s">
        <v>28</v>
      </c>
    </row>
    <row r="4384" spans="1:7" x14ac:dyDescent="0.3">
      <c r="A4384">
        <v>34383</v>
      </c>
      <c r="B4384">
        <v>118</v>
      </c>
      <c r="C4384" s="2">
        <v>44572</v>
      </c>
      <c r="D4384" s="2" t="str">
        <f>TEXT(Table5[[#This Row],[bill_date]],"mmmm")</f>
        <v>January</v>
      </c>
      <c r="E4384" s="9">
        <f>YEAR(Table5[[#This Row],[bill_date]])</f>
        <v>2022</v>
      </c>
      <c r="F4384">
        <v>1256</v>
      </c>
      <c r="G4384" t="s">
        <v>30</v>
      </c>
    </row>
    <row r="4385" spans="1:7" x14ac:dyDescent="0.3">
      <c r="A4385">
        <v>34384</v>
      </c>
      <c r="B4385">
        <v>294</v>
      </c>
      <c r="C4385" s="2">
        <v>45384</v>
      </c>
      <c r="D4385" s="2" t="str">
        <f>TEXT(Table5[[#This Row],[bill_date]],"mmmm")</f>
        <v>April</v>
      </c>
      <c r="E4385" s="9">
        <f>YEAR(Table5[[#This Row],[bill_date]])</f>
        <v>2024</v>
      </c>
      <c r="F4385">
        <v>917</v>
      </c>
      <c r="G4385" t="s">
        <v>30</v>
      </c>
    </row>
    <row r="4386" spans="1:7" x14ac:dyDescent="0.3">
      <c r="A4386">
        <v>34385</v>
      </c>
      <c r="B4386">
        <v>125</v>
      </c>
      <c r="C4386" s="2">
        <v>45161</v>
      </c>
      <c r="D4386" s="2" t="str">
        <f>TEXT(Table5[[#This Row],[bill_date]],"mmmm")</f>
        <v>August</v>
      </c>
      <c r="E4386" s="9">
        <f>YEAR(Table5[[#This Row],[bill_date]])</f>
        <v>2023</v>
      </c>
      <c r="F4386">
        <v>754</v>
      </c>
      <c r="G4386" t="s">
        <v>30</v>
      </c>
    </row>
    <row r="4387" spans="1:7" x14ac:dyDescent="0.3">
      <c r="A4387">
        <v>34386</v>
      </c>
      <c r="B4387">
        <v>36</v>
      </c>
      <c r="C4387" s="2">
        <v>44788</v>
      </c>
      <c r="D4387" s="2" t="str">
        <f>TEXT(Table5[[#This Row],[bill_date]],"mmmm")</f>
        <v>August</v>
      </c>
      <c r="E4387" s="9">
        <f>YEAR(Table5[[#This Row],[bill_date]])</f>
        <v>2022</v>
      </c>
      <c r="F4387">
        <v>1712</v>
      </c>
      <c r="G4387" t="s">
        <v>30</v>
      </c>
    </row>
    <row r="4388" spans="1:7" x14ac:dyDescent="0.3">
      <c r="A4388">
        <v>34387</v>
      </c>
      <c r="B4388">
        <v>344</v>
      </c>
      <c r="C4388" s="2">
        <v>44675</v>
      </c>
      <c r="D4388" s="2" t="str">
        <f>TEXT(Table5[[#This Row],[bill_date]],"mmmm")</f>
        <v>April</v>
      </c>
      <c r="E4388" s="9">
        <f>YEAR(Table5[[#This Row],[bill_date]])</f>
        <v>2022</v>
      </c>
      <c r="F4388">
        <v>697</v>
      </c>
      <c r="G4388" t="s">
        <v>30</v>
      </c>
    </row>
    <row r="4389" spans="1:7" x14ac:dyDescent="0.3">
      <c r="A4389">
        <v>34388</v>
      </c>
      <c r="B4389">
        <v>489</v>
      </c>
      <c r="C4389" s="2">
        <v>45098</v>
      </c>
      <c r="D4389" s="2" t="str">
        <f>TEXT(Table5[[#This Row],[bill_date]],"mmmm")</f>
        <v>June</v>
      </c>
      <c r="E4389" s="9">
        <f>YEAR(Table5[[#This Row],[bill_date]])</f>
        <v>2023</v>
      </c>
      <c r="F4389">
        <v>1467</v>
      </c>
      <c r="G4389" t="s">
        <v>30</v>
      </c>
    </row>
    <row r="4390" spans="1:7" x14ac:dyDescent="0.3">
      <c r="A4390">
        <v>34389</v>
      </c>
      <c r="B4390">
        <v>380</v>
      </c>
      <c r="C4390" s="2">
        <v>45165</v>
      </c>
      <c r="D4390" s="2" t="str">
        <f>TEXT(Table5[[#This Row],[bill_date]],"mmmm")</f>
        <v>August</v>
      </c>
      <c r="E4390" s="9">
        <f>YEAR(Table5[[#This Row],[bill_date]])</f>
        <v>2023</v>
      </c>
      <c r="F4390">
        <v>1476</v>
      </c>
      <c r="G4390" t="s">
        <v>30</v>
      </c>
    </row>
    <row r="4391" spans="1:7" x14ac:dyDescent="0.3">
      <c r="A4391">
        <v>34390</v>
      </c>
      <c r="B4391">
        <v>423</v>
      </c>
      <c r="C4391" s="2">
        <v>44648</v>
      </c>
      <c r="D4391" s="2" t="str">
        <f>TEXT(Table5[[#This Row],[bill_date]],"mmmm")</f>
        <v>March</v>
      </c>
      <c r="E4391" s="9">
        <f>YEAR(Table5[[#This Row],[bill_date]])</f>
        <v>2022</v>
      </c>
      <c r="F4391">
        <v>1331</v>
      </c>
      <c r="G4391" t="s">
        <v>28</v>
      </c>
    </row>
    <row r="4392" spans="1:7" x14ac:dyDescent="0.3">
      <c r="A4392">
        <v>34391</v>
      </c>
      <c r="B4392">
        <v>167</v>
      </c>
      <c r="C4392" s="2">
        <v>45154</v>
      </c>
      <c r="D4392" s="2" t="str">
        <f>TEXT(Table5[[#This Row],[bill_date]],"mmmm")</f>
        <v>August</v>
      </c>
      <c r="E4392" s="9">
        <f>YEAR(Table5[[#This Row],[bill_date]])</f>
        <v>2023</v>
      </c>
      <c r="F4392">
        <v>521</v>
      </c>
      <c r="G4392" t="s">
        <v>30</v>
      </c>
    </row>
    <row r="4393" spans="1:7" x14ac:dyDescent="0.3">
      <c r="A4393">
        <v>34392</v>
      </c>
      <c r="B4393">
        <v>269</v>
      </c>
      <c r="C4393" s="2">
        <v>44811</v>
      </c>
      <c r="D4393" s="2" t="str">
        <f>TEXT(Table5[[#This Row],[bill_date]],"mmmm")</f>
        <v>September</v>
      </c>
      <c r="E4393" s="9">
        <f>YEAR(Table5[[#This Row],[bill_date]])</f>
        <v>2022</v>
      </c>
      <c r="F4393">
        <v>312</v>
      </c>
      <c r="G4393" t="s">
        <v>30</v>
      </c>
    </row>
    <row r="4394" spans="1:7" x14ac:dyDescent="0.3">
      <c r="A4394">
        <v>34393</v>
      </c>
      <c r="B4394">
        <v>194</v>
      </c>
      <c r="C4394" s="2">
        <v>44811</v>
      </c>
      <c r="D4394" s="2" t="str">
        <f>TEXT(Table5[[#This Row],[bill_date]],"mmmm")</f>
        <v>September</v>
      </c>
      <c r="E4394" s="9">
        <f>YEAR(Table5[[#This Row],[bill_date]])</f>
        <v>2022</v>
      </c>
      <c r="F4394">
        <v>1146</v>
      </c>
      <c r="G4394" t="s">
        <v>30</v>
      </c>
    </row>
    <row r="4395" spans="1:7" x14ac:dyDescent="0.3">
      <c r="A4395">
        <v>34394</v>
      </c>
      <c r="B4395">
        <v>418</v>
      </c>
      <c r="C4395" s="2">
        <v>44982</v>
      </c>
      <c r="D4395" s="2" t="str">
        <f>TEXT(Table5[[#This Row],[bill_date]],"mmmm")</f>
        <v>February</v>
      </c>
      <c r="E4395" s="9">
        <f>YEAR(Table5[[#This Row],[bill_date]])</f>
        <v>2023</v>
      </c>
      <c r="F4395">
        <v>683</v>
      </c>
      <c r="G4395" t="s">
        <v>30</v>
      </c>
    </row>
    <row r="4396" spans="1:7" x14ac:dyDescent="0.3">
      <c r="A4396">
        <v>34395</v>
      </c>
      <c r="B4396">
        <v>124</v>
      </c>
      <c r="C4396" s="2">
        <v>44771</v>
      </c>
      <c r="D4396" s="2" t="str">
        <f>TEXT(Table5[[#This Row],[bill_date]],"mmmm")</f>
        <v>July</v>
      </c>
      <c r="E4396" s="9">
        <f>YEAR(Table5[[#This Row],[bill_date]])</f>
        <v>2022</v>
      </c>
      <c r="F4396">
        <v>476</v>
      </c>
      <c r="G4396" t="s">
        <v>29</v>
      </c>
    </row>
    <row r="4397" spans="1:7" x14ac:dyDescent="0.3">
      <c r="A4397">
        <v>34396</v>
      </c>
      <c r="B4397">
        <v>271</v>
      </c>
      <c r="C4397" s="2">
        <v>45082</v>
      </c>
      <c r="D4397" s="2" t="str">
        <f>TEXT(Table5[[#This Row],[bill_date]],"mmmm")</f>
        <v>June</v>
      </c>
      <c r="E4397" s="9">
        <f>YEAR(Table5[[#This Row],[bill_date]])</f>
        <v>2023</v>
      </c>
      <c r="F4397">
        <v>1971</v>
      </c>
      <c r="G4397" t="s">
        <v>30</v>
      </c>
    </row>
    <row r="4398" spans="1:7" x14ac:dyDescent="0.3">
      <c r="A4398">
        <v>34397</v>
      </c>
      <c r="B4398">
        <v>58</v>
      </c>
      <c r="C4398" s="2">
        <v>45172</v>
      </c>
      <c r="D4398" s="2" t="str">
        <f>TEXT(Table5[[#This Row],[bill_date]],"mmmm")</f>
        <v>September</v>
      </c>
      <c r="E4398" s="9">
        <f>YEAR(Table5[[#This Row],[bill_date]])</f>
        <v>2023</v>
      </c>
      <c r="F4398">
        <v>1251</v>
      </c>
      <c r="G4398" t="s">
        <v>30</v>
      </c>
    </row>
    <row r="4399" spans="1:7" x14ac:dyDescent="0.3">
      <c r="A4399">
        <v>34398</v>
      </c>
      <c r="B4399">
        <v>368</v>
      </c>
      <c r="C4399" s="2">
        <v>45109</v>
      </c>
      <c r="D4399" s="2" t="str">
        <f>TEXT(Table5[[#This Row],[bill_date]],"mmmm")</f>
        <v>July</v>
      </c>
      <c r="E4399" s="9">
        <f>YEAR(Table5[[#This Row],[bill_date]])</f>
        <v>2023</v>
      </c>
      <c r="F4399">
        <v>596</v>
      </c>
      <c r="G4399" t="s">
        <v>28</v>
      </c>
    </row>
    <row r="4400" spans="1:7" x14ac:dyDescent="0.3">
      <c r="A4400">
        <v>34399</v>
      </c>
      <c r="B4400">
        <v>59</v>
      </c>
      <c r="C4400" s="2">
        <v>44618</v>
      </c>
      <c r="D4400" s="2" t="str">
        <f>TEXT(Table5[[#This Row],[bill_date]],"mmmm")</f>
        <v>February</v>
      </c>
      <c r="E4400" s="9">
        <f>YEAR(Table5[[#This Row],[bill_date]])</f>
        <v>2022</v>
      </c>
      <c r="F4400">
        <v>420</v>
      </c>
      <c r="G4400" t="s">
        <v>30</v>
      </c>
    </row>
    <row r="4401" spans="1:7" x14ac:dyDescent="0.3">
      <c r="A4401">
        <v>34400</v>
      </c>
      <c r="B4401">
        <v>450</v>
      </c>
      <c r="C4401" s="2">
        <v>44624</v>
      </c>
      <c r="D4401" s="2" t="str">
        <f>TEXT(Table5[[#This Row],[bill_date]],"mmmm")</f>
        <v>March</v>
      </c>
      <c r="E4401" s="9">
        <f>YEAR(Table5[[#This Row],[bill_date]])</f>
        <v>2022</v>
      </c>
      <c r="F4401">
        <v>516</v>
      </c>
      <c r="G4401" t="s">
        <v>30</v>
      </c>
    </row>
    <row r="4402" spans="1:7" x14ac:dyDescent="0.3">
      <c r="A4402">
        <v>34401</v>
      </c>
      <c r="B4402">
        <v>308</v>
      </c>
      <c r="C4402" s="2">
        <v>44899</v>
      </c>
      <c r="D4402" s="2" t="str">
        <f>TEXT(Table5[[#This Row],[bill_date]],"mmmm")</f>
        <v>December</v>
      </c>
      <c r="E4402" s="9">
        <f>YEAR(Table5[[#This Row],[bill_date]])</f>
        <v>2022</v>
      </c>
      <c r="F4402">
        <v>469</v>
      </c>
      <c r="G4402" t="s">
        <v>30</v>
      </c>
    </row>
    <row r="4403" spans="1:7" x14ac:dyDescent="0.3">
      <c r="A4403">
        <v>34402</v>
      </c>
      <c r="B4403">
        <v>217</v>
      </c>
      <c r="C4403" s="2">
        <v>45349</v>
      </c>
      <c r="D4403" s="2" t="str">
        <f>TEXT(Table5[[#This Row],[bill_date]],"mmmm")</f>
        <v>February</v>
      </c>
      <c r="E4403" s="9">
        <f>YEAR(Table5[[#This Row],[bill_date]])</f>
        <v>2024</v>
      </c>
      <c r="F4403">
        <v>1976</v>
      </c>
      <c r="G4403" t="s">
        <v>30</v>
      </c>
    </row>
    <row r="4404" spans="1:7" x14ac:dyDescent="0.3">
      <c r="A4404">
        <v>34403</v>
      </c>
      <c r="B4404">
        <v>69</v>
      </c>
      <c r="C4404" s="2">
        <v>45286</v>
      </c>
      <c r="D4404" s="2" t="str">
        <f>TEXT(Table5[[#This Row],[bill_date]],"mmmm")</f>
        <v>December</v>
      </c>
      <c r="E4404" s="9">
        <f>YEAR(Table5[[#This Row],[bill_date]])</f>
        <v>2023</v>
      </c>
      <c r="F4404">
        <v>596</v>
      </c>
      <c r="G4404" t="s">
        <v>28</v>
      </c>
    </row>
    <row r="4405" spans="1:7" x14ac:dyDescent="0.3">
      <c r="A4405">
        <v>34404</v>
      </c>
      <c r="B4405">
        <v>482</v>
      </c>
      <c r="C4405" s="2">
        <v>45376</v>
      </c>
      <c r="D4405" s="2" t="str">
        <f>TEXT(Table5[[#This Row],[bill_date]],"mmmm")</f>
        <v>March</v>
      </c>
      <c r="E4405" s="9">
        <f>YEAR(Table5[[#This Row],[bill_date]])</f>
        <v>2024</v>
      </c>
      <c r="F4405">
        <v>1673</v>
      </c>
      <c r="G4405" t="s">
        <v>30</v>
      </c>
    </row>
    <row r="4406" spans="1:7" x14ac:dyDescent="0.3">
      <c r="A4406">
        <v>34405</v>
      </c>
      <c r="B4406">
        <v>244</v>
      </c>
      <c r="C4406" s="2">
        <v>45093</v>
      </c>
      <c r="D4406" s="2" t="str">
        <f>TEXT(Table5[[#This Row],[bill_date]],"mmmm")</f>
        <v>June</v>
      </c>
      <c r="E4406" s="9">
        <f>YEAR(Table5[[#This Row],[bill_date]])</f>
        <v>2023</v>
      </c>
      <c r="F4406">
        <v>1831</v>
      </c>
      <c r="G4406" t="s">
        <v>30</v>
      </c>
    </row>
    <row r="4407" spans="1:7" x14ac:dyDescent="0.3">
      <c r="A4407">
        <v>34406</v>
      </c>
      <c r="B4407">
        <v>103</v>
      </c>
      <c r="C4407" s="2">
        <v>45320</v>
      </c>
      <c r="D4407" s="2" t="str">
        <f>TEXT(Table5[[#This Row],[bill_date]],"mmmm")</f>
        <v>January</v>
      </c>
      <c r="E4407" s="9">
        <f>YEAR(Table5[[#This Row],[bill_date]])</f>
        <v>2024</v>
      </c>
      <c r="F4407">
        <v>541</v>
      </c>
      <c r="G4407" t="s">
        <v>30</v>
      </c>
    </row>
    <row r="4408" spans="1:7" x14ac:dyDescent="0.3">
      <c r="A4408">
        <v>34407</v>
      </c>
      <c r="B4408">
        <v>5</v>
      </c>
      <c r="C4408" s="2">
        <v>44567</v>
      </c>
      <c r="D4408" s="2" t="str">
        <f>TEXT(Table5[[#This Row],[bill_date]],"mmmm")</f>
        <v>January</v>
      </c>
      <c r="E4408" s="9">
        <f>YEAR(Table5[[#This Row],[bill_date]])</f>
        <v>2022</v>
      </c>
      <c r="F4408">
        <v>579</v>
      </c>
      <c r="G4408" t="s">
        <v>30</v>
      </c>
    </row>
    <row r="4409" spans="1:7" x14ac:dyDescent="0.3">
      <c r="A4409">
        <v>34408</v>
      </c>
      <c r="B4409">
        <v>299</v>
      </c>
      <c r="C4409" s="2">
        <v>45146</v>
      </c>
      <c r="D4409" s="2" t="str">
        <f>TEXT(Table5[[#This Row],[bill_date]],"mmmm")</f>
        <v>August</v>
      </c>
      <c r="E4409" s="9">
        <f>YEAR(Table5[[#This Row],[bill_date]])</f>
        <v>2023</v>
      </c>
      <c r="F4409">
        <v>1598</v>
      </c>
      <c r="G4409" t="s">
        <v>30</v>
      </c>
    </row>
    <row r="4410" spans="1:7" x14ac:dyDescent="0.3">
      <c r="A4410">
        <v>34409</v>
      </c>
      <c r="B4410">
        <v>264</v>
      </c>
      <c r="C4410" s="2">
        <v>45180</v>
      </c>
      <c r="D4410" s="2" t="str">
        <f>TEXT(Table5[[#This Row],[bill_date]],"mmmm")</f>
        <v>September</v>
      </c>
      <c r="E4410" s="9">
        <f>YEAR(Table5[[#This Row],[bill_date]])</f>
        <v>2023</v>
      </c>
      <c r="F4410">
        <v>973</v>
      </c>
      <c r="G4410" t="s">
        <v>30</v>
      </c>
    </row>
    <row r="4411" spans="1:7" x14ac:dyDescent="0.3">
      <c r="A4411">
        <v>34410</v>
      </c>
      <c r="B4411">
        <v>241</v>
      </c>
      <c r="C4411" s="2">
        <v>45166</v>
      </c>
      <c r="D4411" s="2" t="str">
        <f>TEXT(Table5[[#This Row],[bill_date]],"mmmm")</f>
        <v>August</v>
      </c>
      <c r="E4411" s="9">
        <f>YEAR(Table5[[#This Row],[bill_date]])</f>
        <v>2023</v>
      </c>
      <c r="F4411">
        <v>538</v>
      </c>
      <c r="G4411" t="s">
        <v>30</v>
      </c>
    </row>
    <row r="4412" spans="1:7" x14ac:dyDescent="0.3">
      <c r="A4412">
        <v>34411</v>
      </c>
      <c r="B4412">
        <v>334</v>
      </c>
      <c r="C4412" s="2">
        <v>45072</v>
      </c>
      <c r="D4412" s="2" t="str">
        <f>TEXT(Table5[[#This Row],[bill_date]],"mmmm")</f>
        <v>May</v>
      </c>
      <c r="E4412" s="9">
        <f>YEAR(Table5[[#This Row],[bill_date]])</f>
        <v>2023</v>
      </c>
      <c r="F4412">
        <v>205</v>
      </c>
      <c r="G4412" t="s">
        <v>30</v>
      </c>
    </row>
    <row r="4413" spans="1:7" x14ac:dyDescent="0.3">
      <c r="A4413">
        <v>34412</v>
      </c>
      <c r="B4413">
        <v>349</v>
      </c>
      <c r="C4413" s="2">
        <v>45358</v>
      </c>
      <c r="D4413" s="2" t="str">
        <f>TEXT(Table5[[#This Row],[bill_date]],"mmmm")</f>
        <v>March</v>
      </c>
      <c r="E4413" s="9">
        <f>YEAR(Table5[[#This Row],[bill_date]])</f>
        <v>2024</v>
      </c>
      <c r="F4413">
        <v>1495</v>
      </c>
      <c r="G4413" t="s">
        <v>30</v>
      </c>
    </row>
    <row r="4414" spans="1:7" x14ac:dyDescent="0.3">
      <c r="A4414">
        <v>34413</v>
      </c>
      <c r="B4414">
        <v>222</v>
      </c>
      <c r="C4414" s="2">
        <v>45022</v>
      </c>
      <c r="D4414" s="2" t="str">
        <f>TEXT(Table5[[#This Row],[bill_date]],"mmmm")</f>
        <v>April</v>
      </c>
      <c r="E4414" s="9">
        <f>YEAR(Table5[[#This Row],[bill_date]])</f>
        <v>2023</v>
      </c>
      <c r="F4414">
        <v>486</v>
      </c>
      <c r="G4414" t="s">
        <v>30</v>
      </c>
    </row>
    <row r="4415" spans="1:7" x14ac:dyDescent="0.3">
      <c r="A4415">
        <v>34414</v>
      </c>
      <c r="B4415">
        <v>319</v>
      </c>
      <c r="C4415" s="2">
        <v>44917</v>
      </c>
      <c r="D4415" s="2" t="str">
        <f>TEXT(Table5[[#This Row],[bill_date]],"mmmm")</f>
        <v>December</v>
      </c>
      <c r="E4415" s="9">
        <f>YEAR(Table5[[#This Row],[bill_date]])</f>
        <v>2022</v>
      </c>
      <c r="F4415">
        <v>1091</v>
      </c>
      <c r="G4415" t="s">
        <v>30</v>
      </c>
    </row>
    <row r="4416" spans="1:7" x14ac:dyDescent="0.3">
      <c r="A4416">
        <v>34415</v>
      </c>
      <c r="B4416">
        <v>229</v>
      </c>
      <c r="C4416" s="2">
        <v>44780</v>
      </c>
      <c r="D4416" s="2" t="str">
        <f>TEXT(Table5[[#This Row],[bill_date]],"mmmm")</f>
        <v>August</v>
      </c>
      <c r="E4416" s="9">
        <f>YEAR(Table5[[#This Row],[bill_date]])</f>
        <v>2022</v>
      </c>
      <c r="F4416">
        <v>1045</v>
      </c>
      <c r="G4416" t="s">
        <v>30</v>
      </c>
    </row>
    <row r="4417" spans="1:7" x14ac:dyDescent="0.3">
      <c r="A4417">
        <v>34416</v>
      </c>
      <c r="B4417">
        <v>452</v>
      </c>
      <c r="C4417" s="2">
        <v>44928</v>
      </c>
      <c r="D4417" s="2" t="str">
        <f>TEXT(Table5[[#This Row],[bill_date]],"mmmm")</f>
        <v>January</v>
      </c>
      <c r="E4417" s="9">
        <f>YEAR(Table5[[#This Row],[bill_date]])</f>
        <v>2023</v>
      </c>
      <c r="F4417">
        <v>915</v>
      </c>
      <c r="G4417" t="s">
        <v>30</v>
      </c>
    </row>
    <row r="4418" spans="1:7" x14ac:dyDescent="0.3">
      <c r="A4418">
        <v>34417</v>
      </c>
      <c r="B4418">
        <v>419</v>
      </c>
      <c r="C4418" s="2">
        <v>45450</v>
      </c>
      <c r="D4418" s="2" t="str">
        <f>TEXT(Table5[[#This Row],[bill_date]],"mmmm")</f>
        <v>June</v>
      </c>
      <c r="E4418" s="9">
        <f>YEAR(Table5[[#This Row],[bill_date]])</f>
        <v>2024</v>
      </c>
      <c r="F4418">
        <v>382</v>
      </c>
      <c r="G4418" t="s">
        <v>28</v>
      </c>
    </row>
    <row r="4419" spans="1:7" x14ac:dyDescent="0.3">
      <c r="A4419">
        <v>34418</v>
      </c>
      <c r="B4419">
        <v>455</v>
      </c>
      <c r="C4419" s="2">
        <v>45122</v>
      </c>
      <c r="D4419" s="2" t="str">
        <f>TEXT(Table5[[#This Row],[bill_date]],"mmmm")</f>
        <v>July</v>
      </c>
      <c r="E4419" s="9">
        <f>YEAR(Table5[[#This Row],[bill_date]])</f>
        <v>2023</v>
      </c>
      <c r="F4419">
        <v>768</v>
      </c>
      <c r="G4419" t="s">
        <v>30</v>
      </c>
    </row>
    <row r="4420" spans="1:7" x14ac:dyDescent="0.3">
      <c r="A4420">
        <v>34419</v>
      </c>
      <c r="B4420">
        <v>474</v>
      </c>
      <c r="C4420" s="2">
        <v>44925</v>
      </c>
      <c r="D4420" s="2" t="str">
        <f>TEXT(Table5[[#This Row],[bill_date]],"mmmm")</f>
        <v>December</v>
      </c>
      <c r="E4420" s="9">
        <f>YEAR(Table5[[#This Row],[bill_date]])</f>
        <v>2022</v>
      </c>
      <c r="F4420">
        <v>821</v>
      </c>
      <c r="G4420" t="s">
        <v>30</v>
      </c>
    </row>
    <row r="4421" spans="1:7" x14ac:dyDescent="0.3">
      <c r="A4421">
        <v>34420</v>
      </c>
      <c r="B4421">
        <v>32</v>
      </c>
      <c r="C4421" s="2">
        <v>44951</v>
      </c>
      <c r="D4421" s="2" t="str">
        <f>TEXT(Table5[[#This Row],[bill_date]],"mmmm")</f>
        <v>January</v>
      </c>
      <c r="E4421" s="9">
        <f>YEAR(Table5[[#This Row],[bill_date]])</f>
        <v>2023</v>
      </c>
      <c r="F4421">
        <v>384</v>
      </c>
      <c r="G4421" t="s">
        <v>30</v>
      </c>
    </row>
    <row r="4422" spans="1:7" x14ac:dyDescent="0.3">
      <c r="A4422">
        <v>34421</v>
      </c>
      <c r="B4422">
        <v>491</v>
      </c>
      <c r="C4422" s="2">
        <v>44856</v>
      </c>
      <c r="D4422" s="2" t="str">
        <f>TEXT(Table5[[#This Row],[bill_date]],"mmmm")</f>
        <v>October</v>
      </c>
      <c r="E4422" s="9">
        <f>YEAR(Table5[[#This Row],[bill_date]])</f>
        <v>2022</v>
      </c>
      <c r="F4422">
        <v>841</v>
      </c>
      <c r="G4422" t="s">
        <v>30</v>
      </c>
    </row>
    <row r="4423" spans="1:7" x14ac:dyDescent="0.3">
      <c r="A4423">
        <v>34422</v>
      </c>
      <c r="B4423">
        <v>353</v>
      </c>
      <c r="C4423" s="2">
        <v>45066</v>
      </c>
      <c r="D4423" s="2" t="str">
        <f>TEXT(Table5[[#This Row],[bill_date]],"mmmm")</f>
        <v>May</v>
      </c>
      <c r="E4423" s="9">
        <f>YEAR(Table5[[#This Row],[bill_date]])</f>
        <v>2023</v>
      </c>
      <c r="F4423">
        <v>1823</v>
      </c>
      <c r="G4423" t="s">
        <v>30</v>
      </c>
    </row>
    <row r="4424" spans="1:7" x14ac:dyDescent="0.3">
      <c r="A4424">
        <v>34423</v>
      </c>
      <c r="B4424">
        <v>374</v>
      </c>
      <c r="C4424" s="2">
        <v>44849</v>
      </c>
      <c r="D4424" s="2" t="str">
        <f>TEXT(Table5[[#This Row],[bill_date]],"mmmm")</f>
        <v>October</v>
      </c>
      <c r="E4424" s="9">
        <f>YEAR(Table5[[#This Row],[bill_date]])</f>
        <v>2022</v>
      </c>
      <c r="F4424">
        <v>678</v>
      </c>
      <c r="G4424" t="s">
        <v>28</v>
      </c>
    </row>
    <row r="4425" spans="1:7" x14ac:dyDescent="0.3">
      <c r="A4425">
        <v>34424</v>
      </c>
      <c r="B4425">
        <v>24</v>
      </c>
      <c r="C4425" s="2">
        <v>44738</v>
      </c>
      <c r="D4425" s="2" t="str">
        <f>TEXT(Table5[[#This Row],[bill_date]],"mmmm")</f>
        <v>June</v>
      </c>
      <c r="E4425" s="9">
        <f>YEAR(Table5[[#This Row],[bill_date]])</f>
        <v>2022</v>
      </c>
      <c r="F4425">
        <v>1046</v>
      </c>
      <c r="G4425" t="s">
        <v>30</v>
      </c>
    </row>
    <row r="4426" spans="1:7" x14ac:dyDescent="0.3">
      <c r="A4426">
        <v>34425</v>
      </c>
      <c r="B4426">
        <v>306</v>
      </c>
      <c r="C4426" s="2">
        <v>44860</v>
      </c>
      <c r="D4426" s="2" t="str">
        <f>TEXT(Table5[[#This Row],[bill_date]],"mmmm")</f>
        <v>October</v>
      </c>
      <c r="E4426" s="9">
        <f>YEAR(Table5[[#This Row],[bill_date]])</f>
        <v>2022</v>
      </c>
      <c r="F4426">
        <v>828</v>
      </c>
      <c r="G4426" t="s">
        <v>30</v>
      </c>
    </row>
    <row r="4427" spans="1:7" x14ac:dyDescent="0.3">
      <c r="A4427">
        <v>34426</v>
      </c>
      <c r="B4427">
        <v>374</v>
      </c>
      <c r="C4427" s="2">
        <v>45181</v>
      </c>
      <c r="D4427" s="2" t="str">
        <f>TEXT(Table5[[#This Row],[bill_date]],"mmmm")</f>
        <v>September</v>
      </c>
      <c r="E4427" s="9">
        <f>YEAR(Table5[[#This Row],[bill_date]])</f>
        <v>2023</v>
      </c>
      <c r="F4427">
        <v>1479</v>
      </c>
      <c r="G4427" t="s">
        <v>30</v>
      </c>
    </row>
    <row r="4428" spans="1:7" x14ac:dyDescent="0.3">
      <c r="A4428">
        <v>34427</v>
      </c>
      <c r="B4428">
        <v>187</v>
      </c>
      <c r="C4428" s="2">
        <v>44845</v>
      </c>
      <c r="D4428" s="2" t="str">
        <f>TEXT(Table5[[#This Row],[bill_date]],"mmmm")</f>
        <v>October</v>
      </c>
      <c r="E4428" s="9">
        <f>YEAR(Table5[[#This Row],[bill_date]])</f>
        <v>2022</v>
      </c>
      <c r="F4428">
        <v>702</v>
      </c>
      <c r="G4428" t="s">
        <v>30</v>
      </c>
    </row>
    <row r="4429" spans="1:7" x14ac:dyDescent="0.3">
      <c r="A4429">
        <v>34428</v>
      </c>
      <c r="B4429">
        <v>449</v>
      </c>
      <c r="C4429" s="2">
        <v>45374</v>
      </c>
      <c r="D4429" s="2" t="str">
        <f>TEXT(Table5[[#This Row],[bill_date]],"mmmm")</f>
        <v>March</v>
      </c>
      <c r="E4429" s="9">
        <f>YEAR(Table5[[#This Row],[bill_date]])</f>
        <v>2024</v>
      </c>
      <c r="F4429">
        <v>308</v>
      </c>
      <c r="G4429" t="s">
        <v>30</v>
      </c>
    </row>
    <row r="4430" spans="1:7" x14ac:dyDescent="0.3">
      <c r="A4430">
        <v>34429</v>
      </c>
      <c r="B4430">
        <v>477</v>
      </c>
      <c r="C4430" s="2">
        <v>45138</v>
      </c>
      <c r="D4430" s="2" t="str">
        <f>TEXT(Table5[[#This Row],[bill_date]],"mmmm")</f>
        <v>July</v>
      </c>
      <c r="E4430" s="9">
        <f>YEAR(Table5[[#This Row],[bill_date]])</f>
        <v>2023</v>
      </c>
      <c r="F4430">
        <v>1801</v>
      </c>
      <c r="G4430" t="s">
        <v>30</v>
      </c>
    </row>
    <row r="4431" spans="1:7" x14ac:dyDescent="0.3">
      <c r="A4431">
        <v>34430</v>
      </c>
      <c r="B4431">
        <v>128</v>
      </c>
      <c r="C4431" s="2">
        <v>45379</v>
      </c>
      <c r="D4431" s="2" t="str">
        <f>TEXT(Table5[[#This Row],[bill_date]],"mmmm")</f>
        <v>March</v>
      </c>
      <c r="E4431" s="9">
        <f>YEAR(Table5[[#This Row],[bill_date]])</f>
        <v>2024</v>
      </c>
      <c r="F4431">
        <v>1370</v>
      </c>
      <c r="G4431" t="s">
        <v>30</v>
      </c>
    </row>
    <row r="4432" spans="1:7" x14ac:dyDescent="0.3">
      <c r="A4432">
        <v>34431</v>
      </c>
      <c r="B4432">
        <v>112</v>
      </c>
      <c r="C4432" s="2">
        <v>44615</v>
      </c>
      <c r="D4432" s="2" t="str">
        <f>TEXT(Table5[[#This Row],[bill_date]],"mmmm")</f>
        <v>February</v>
      </c>
      <c r="E4432" s="9">
        <f>YEAR(Table5[[#This Row],[bill_date]])</f>
        <v>2022</v>
      </c>
      <c r="F4432">
        <v>930</v>
      </c>
      <c r="G4432" t="s">
        <v>30</v>
      </c>
    </row>
    <row r="4433" spans="1:7" x14ac:dyDescent="0.3">
      <c r="A4433">
        <v>34432</v>
      </c>
      <c r="B4433">
        <v>493</v>
      </c>
      <c r="C4433" s="2">
        <v>45380</v>
      </c>
      <c r="D4433" s="2" t="str">
        <f>TEXT(Table5[[#This Row],[bill_date]],"mmmm")</f>
        <v>March</v>
      </c>
      <c r="E4433" s="9">
        <f>YEAR(Table5[[#This Row],[bill_date]])</f>
        <v>2024</v>
      </c>
      <c r="F4433">
        <v>412</v>
      </c>
      <c r="G4433" t="s">
        <v>30</v>
      </c>
    </row>
    <row r="4434" spans="1:7" x14ac:dyDescent="0.3">
      <c r="A4434">
        <v>34433</v>
      </c>
      <c r="B4434">
        <v>294</v>
      </c>
      <c r="C4434" s="2">
        <v>45372</v>
      </c>
      <c r="D4434" s="2" t="str">
        <f>TEXT(Table5[[#This Row],[bill_date]],"mmmm")</f>
        <v>March</v>
      </c>
      <c r="E4434" s="9">
        <f>YEAR(Table5[[#This Row],[bill_date]])</f>
        <v>2024</v>
      </c>
      <c r="F4434">
        <v>1194</v>
      </c>
      <c r="G4434" t="s">
        <v>30</v>
      </c>
    </row>
    <row r="4435" spans="1:7" x14ac:dyDescent="0.3">
      <c r="A4435">
        <v>34434</v>
      </c>
      <c r="B4435">
        <v>422</v>
      </c>
      <c r="C4435" s="2">
        <v>44881</v>
      </c>
      <c r="D4435" s="2" t="str">
        <f>TEXT(Table5[[#This Row],[bill_date]],"mmmm")</f>
        <v>November</v>
      </c>
      <c r="E4435" s="9">
        <f>YEAR(Table5[[#This Row],[bill_date]])</f>
        <v>2022</v>
      </c>
      <c r="F4435">
        <v>1796</v>
      </c>
      <c r="G4435" t="s">
        <v>30</v>
      </c>
    </row>
    <row r="4436" spans="1:7" x14ac:dyDescent="0.3">
      <c r="A4436">
        <v>34435</v>
      </c>
      <c r="B4436">
        <v>149</v>
      </c>
      <c r="C4436" s="2">
        <v>45040</v>
      </c>
      <c r="D4436" s="2" t="str">
        <f>TEXT(Table5[[#This Row],[bill_date]],"mmmm")</f>
        <v>April</v>
      </c>
      <c r="E4436" s="9">
        <f>YEAR(Table5[[#This Row],[bill_date]])</f>
        <v>2023</v>
      </c>
      <c r="F4436">
        <v>766</v>
      </c>
      <c r="G4436" t="s">
        <v>30</v>
      </c>
    </row>
    <row r="4437" spans="1:7" x14ac:dyDescent="0.3">
      <c r="A4437">
        <v>34436</v>
      </c>
      <c r="B4437">
        <v>151</v>
      </c>
      <c r="C4437" s="2">
        <v>45103</v>
      </c>
      <c r="D4437" s="2" t="str">
        <f>TEXT(Table5[[#This Row],[bill_date]],"mmmm")</f>
        <v>June</v>
      </c>
      <c r="E4437" s="9">
        <f>YEAR(Table5[[#This Row],[bill_date]])</f>
        <v>2023</v>
      </c>
      <c r="F4437">
        <v>1199</v>
      </c>
      <c r="G4437" t="s">
        <v>30</v>
      </c>
    </row>
    <row r="4438" spans="1:7" x14ac:dyDescent="0.3">
      <c r="A4438">
        <v>34437</v>
      </c>
      <c r="B4438">
        <v>174</v>
      </c>
      <c r="C4438" s="2">
        <v>45319</v>
      </c>
      <c r="D4438" s="2" t="str">
        <f>TEXT(Table5[[#This Row],[bill_date]],"mmmm")</f>
        <v>January</v>
      </c>
      <c r="E4438" s="9">
        <f>YEAR(Table5[[#This Row],[bill_date]])</f>
        <v>2024</v>
      </c>
      <c r="F4438">
        <v>1659</v>
      </c>
      <c r="G4438" t="s">
        <v>30</v>
      </c>
    </row>
    <row r="4439" spans="1:7" x14ac:dyDescent="0.3">
      <c r="A4439">
        <v>34438</v>
      </c>
      <c r="B4439">
        <v>197</v>
      </c>
      <c r="C4439" s="2">
        <v>45283</v>
      </c>
      <c r="D4439" s="2" t="str">
        <f>TEXT(Table5[[#This Row],[bill_date]],"mmmm")</f>
        <v>December</v>
      </c>
      <c r="E4439" s="9">
        <f>YEAR(Table5[[#This Row],[bill_date]])</f>
        <v>2023</v>
      </c>
      <c r="F4439">
        <v>1159</v>
      </c>
      <c r="G4439" t="s">
        <v>28</v>
      </c>
    </row>
    <row r="4440" spans="1:7" x14ac:dyDescent="0.3">
      <c r="A4440">
        <v>34439</v>
      </c>
      <c r="B4440">
        <v>255</v>
      </c>
      <c r="C4440" s="2">
        <v>44782</v>
      </c>
      <c r="D4440" s="2" t="str">
        <f>TEXT(Table5[[#This Row],[bill_date]],"mmmm")</f>
        <v>August</v>
      </c>
      <c r="E4440" s="9">
        <f>YEAR(Table5[[#This Row],[bill_date]])</f>
        <v>2022</v>
      </c>
      <c r="F4440">
        <v>1022</v>
      </c>
      <c r="G4440" t="s">
        <v>28</v>
      </c>
    </row>
    <row r="4441" spans="1:7" x14ac:dyDescent="0.3">
      <c r="A4441">
        <v>34440</v>
      </c>
      <c r="B4441">
        <v>414</v>
      </c>
      <c r="C4441" s="2">
        <v>45243</v>
      </c>
      <c r="D4441" s="2" t="str">
        <f>TEXT(Table5[[#This Row],[bill_date]],"mmmm")</f>
        <v>November</v>
      </c>
      <c r="E4441" s="9">
        <f>YEAR(Table5[[#This Row],[bill_date]])</f>
        <v>2023</v>
      </c>
      <c r="F4441">
        <v>1556</v>
      </c>
      <c r="G4441" t="s">
        <v>30</v>
      </c>
    </row>
    <row r="4442" spans="1:7" x14ac:dyDescent="0.3">
      <c r="A4442">
        <v>34441</v>
      </c>
      <c r="B4442">
        <v>168</v>
      </c>
      <c r="C4442" s="2">
        <v>44904</v>
      </c>
      <c r="D4442" s="2" t="str">
        <f>TEXT(Table5[[#This Row],[bill_date]],"mmmm")</f>
        <v>December</v>
      </c>
      <c r="E4442" s="9">
        <f>YEAR(Table5[[#This Row],[bill_date]])</f>
        <v>2022</v>
      </c>
      <c r="F4442">
        <v>1651</v>
      </c>
      <c r="G4442" t="s">
        <v>30</v>
      </c>
    </row>
    <row r="4443" spans="1:7" x14ac:dyDescent="0.3">
      <c r="A4443">
        <v>34442</v>
      </c>
      <c r="B4443">
        <v>82</v>
      </c>
      <c r="C4443" s="2">
        <v>44775</v>
      </c>
      <c r="D4443" s="2" t="str">
        <f>TEXT(Table5[[#This Row],[bill_date]],"mmmm")</f>
        <v>August</v>
      </c>
      <c r="E4443" s="9">
        <f>YEAR(Table5[[#This Row],[bill_date]])</f>
        <v>2022</v>
      </c>
      <c r="F4443">
        <v>1045</v>
      </c>
      <c r="G4443" t="s">
        <v>30</v>
      </c>
    </row>
    <row r="4444" spans="1:7" x14ac:dyDescent="0.3">
      <c r="A4444">
        <v>34443</v>
      </c>
      <c r="B4444">
        <v>70</v>
      </c>
      <c r="C4444" s="2">
        <v>44883</v>
      </c>
      <c r="D4444" s="2" t="str">
        <f>TEXT(Table5[[#This Row],[bill_date]],"mmmm")</f>
        <v>November</v>
      </c>
      <c r="E4444" s="9">
        <f>YEAR(Table5[[#This Row],[bill_date]])</f>
        <v>2022</v>
      </c>
      <c r="F4444">
        <v>1318</v>
      </c>
      <c r="G4444" t="s">
        <v>30</v>
      </c>
    </row>
    <row r="4445" spans="1:7" x14ac:dyDescent="0.3">
      <c r="A4445">
        <v>34444</v>
      </c>
      <c r="B4445">
        <v>325</v>
      </c>
      <c r="C4445" s="2">
        <v>45142</v>
      </c>
      <c r="D4445" s="2" t="str">
        <f>TEXT(Table5[[#This Row],[bill_date]],"mmmm")</f>
        <v>August</v>
      </c>
      <c r="E4445" s="9">
        <f>YEAR(Table5[[#This Row],[bill_date]])</f>
        <v>2023</v>
      </c>
      <c r="F4445">
        <v>856</v>
      </c>
      <c r="G4445" t="s">
        <v>30</v>
      </c>
    </row>
    <row r="4446" spans="1:7" x14ac:dyDescent="0.3">
      <c r="A4446">
        <v>34445</v>
      </c>
      <c r="B4446">
        <v>426</v>
      </c>
      <c r="C4446" s="2">
        <v>45307</v>
      </c>
      <c r="D4446" s="2" t="str">
        <f>TEXT(Table5[[#This Row],[bill_date]],"mmmm")</f>
        <v>January</v>
      </c>
      <c r="E4446" s="9">
        <f>YEAR(Table5[[#This Row],[bill_date]])</f>
        <v>2024</v>
      </c>
      <c r="F4446">
        <v>1270</v>
      </c>
      <c r="G4446" t="s">
        <v>30</v>
      </c>
    </row>
    <row r="4447" spans="1:7" x14ac:dyDescent="0.3">
      <c r="A4447">
        <v>34446</v>
      </c>
      <c r="B4447">
        <v>402</v>
      </c>
      <c r="C4447" s="2">
        <v>44576</v>
      </c>
      <c r="D4447" s="2" t="str">
        <f>TEXT(Table5[[#This Row],[bill_date]],"mmmm")</f>
        <v>January</v>
      </c>
      <c r="E4447" s="9">
        <f>YEAR(Table5[[#This Row],[bill_date]])</f>
        <v>2022</v>
      </c>
      <c r="F4447">
        <v>1500</v>
      </c>
      <c r="G4447" t="s">
        <v>29</v>
      </c>
    </row>
    <row r="4448" spans="1:7" x14ac:dyDescent="0.3">
      <c r="A4448">
        <v>34447</v>
      </c>
      <c r="B4448">
        <v>443</v>
      </c>
      <c r="C4448" s="2">
        <v>45041</v>
      </c>
      <c r="D4448" s="2" t="str">
        <f>TEXT(Table5[[#This Row],[bill_date]],"mmmm")</f>
        <v>April</v>
      </c>
      <c r="E4448" s="9">
        <f>YEAR(Table5[[#This Row],[bill_date]])</f>
        <v>2023</v>
      </c>
      <c r="F4448">
        <v>1174</v>
      </c>
      <c r="G4448" t="s">
        <v>30</v>
      </c>
    </row>
    <row r="4449" spans="1:7" x14ac:dyDescent="0.3">
      <c r="A4449">
        <v>34448</v>
      </c>
      <c r="B4449">
        <v>13</v>
      </c>
      <c r="C4449" s="2">
        <v>45439</v>
      </c>
      <c r="D4449" s="2" t="str">
        <f>TEXT(Table5[[#This Row],[bill_date]],"mmmm")</f>
        <v>May</v>
      </c>
      <c r="E4449" s="9">
        <f>YEAR(Table5[[#This Row],[bill_date]])</f>
        <v>2024</v>
      </c>
      <c r="F4449">
        <v>1425</v>
      </c>
      <c r="G4449" t="s">
        <v>30</v>
      </c>
    </row>
    <row r="4450" spans="1:7" x14ac:dyDescent="0.3">
      <c r="A4450">
        <v>34449</v>
      </c>
      <c r="B4450">
        <v>119</v>
      </c>
      <c r="C4450" s="2">
        <v>44695</v>
      </c>
      <c r="D4450" s="2" t="str">
        <f>TEXT(Table5[[#This Row],[bill_date]],"mmmm")</f>
        <v>May</v>
      </c>
      <c r="E4450" s="9">
        <f>YEAR(Table5[[#This Row],[bill_date]])</f>
        <v>2022</v>
      </c>
      <c r="F4450">
        <v>397</v>
      </c>
      <c r="G4450" t="s">
        <v>30</v>
      </c>
    </row>
    <row r="4451" spans="1:7" x14ac:dyDescent="0.3">
      <c r="A4451">
        <v>34450</v>
      </c>
      <c r="B4451">
        <v>212</v>
      </c>
      <c r="C4451" s="2">
        <v>45279</v>
      </c>
      <c r="D4451" s="2" t="str">
        <f>TEXT(Table5[[#This Row],[bill_date]],"mmmm")</f>
        <v>December</v>
      </c>
      <c r="E4451" s="9">
        <f>YEAR(Table5[[#This Row],[bill_date]])</f>
        <v>2023</v>
      </c>
      <c r="F4451">
        <v>706</v>
      </c>
      <c r="G4451" t="s">
        <v>30</v>
      </c>
    </row>
    <row r="4452" spans="1:7" x14ac:dyDescent="0.3">
      <c r="A4452">
        <v>34451</v>
      </c>
      <c r="B4452">
        <v>102</v>
      </c>
      <c r="C4452" s="2">
        <v>44585</v>
      </c>
      <c r="D4452" s="2" t="str">
        <f>TEXT(Table5[[#This Row],[bill_date]],"mmmm")</f>
        <v>January</v>
      </c>
      <c r="E4452" s="9">
        <f>YEAR(Table5[[#This Row],[bill_date]])</f>
        <v>2022</v>
      </c>
      <c r="F4452">
        <v>527</v>
      </c>
      <c r="G4452" t="s">
        <v>30</v>
      </c>
    </row>
    <row r="4453" spans="1:7" x14ac:dyDescent="0.3">
      <c r="A4453">
        <v>34452</v>
      </c>
      <c r="B4453">
        <v>277</v>
      </c>
      <c r="C4453" s="2">
        <v>44938</v>
      </c>
      <c r="D4453" s="2" t="str">
        <f>TEXT(Table5[[#This Row],[bill_date]],"mmmm")</f>
        <v>January</v>
      </c>
      <c r="E4453" s="9">
        <f>YEAR(Table5[[#This Row],[bill_date]])</f>
        <v>2023</v>
      </c>
      <c r="F4453">
        <v>322</v>
      </c>
      <c r="G4453" t="s">
        <v>30</v>
      </c>
    </row>
    <row r="4454" spans="1:7" x14ac:dyDescent="0.3">
      <c r="A4454">
        <v>34453</v>
      </c>
      <c r="B4454">
        <v>196</v>
      </c>
      <c r="C4454" s="2">
        <v>45158</v>
      </c>
      <c r="D4454" s="2" t="str">
        <f>TEXT(Table5[[#This Row],[bill_date]],"mmmm")</f>
        <v>August</v>
      </c>
      <c r="E4454" s="9">
        <f>YEAR(Table5[[#This Row],[bill_date]])</f>
        <v>2023</v>
      </c>
      <c r="F4454">
        <v>398</v>
      </c>
      <c r="G4454" t="s">
        <v>30</v>
      </c>
    </row>
    <row r="4455" spans="1:7" x14ac:dyDescent="0.3">
      <c r="A4455">
        <v>34454</v>
      </c>
      <c r="B4455">
        <v>77</v>
      </c>
      <c r="C4455" s="2">
        <v>44703</v>
      </c>
      <c r="D4455" s="2" t="str">
        <f>TEXT(Table5[[#This Row],[bill_date]],"mmmm")</f>
        <v>May</v>
      </c>
      <c r="E4455" s="9">
        <f>YEAR(Table5[[#This Row],[bill_date]])</f>
        <v>2022</v>
      </c>
      <c r="F4455">
        <v>273</v>
      </c>
      <c r="G4455" t="s">
        <v>29</v>
      </c>
    </row>
    <row r="4456" spans="1:7" x14ac:dyDescent="0.3">
      <c r="A4456">
        <v>34455</v>
      </c>
      <c r="B4456">
        <v>338</v>
      </c>
      <c r="C4456" s="2">
        <v>45213</v>
      </c>
      <c r="D4456" s="2" t="str">
        <f>TEXT(Table5[[#This Row],[bill_date]],"mmmm")</f>
        <v>October</v>
      </c>
      <c r="E4456" s="9">
        <f>YEAR(Table5[[#This Row],[bill_date]])</f>
        <v>2023</v>
      </c>
      <c r="F4456">
        <v>355</v>
      </c>
      <c r="G4456" t="s">
        <v>30</v>
      </c>
    </row>
    <row r="4457" spans="1:7" x14ac:dyDescent="0.3">
      <c r="A4457">
        <v>34456</v>
      </c>
      <c r="B4457">
        <v>333</v>
      </c>
      <c r="C4457" s="2">
        <v>45000</v>
      </c>
      <c r="D4457" s="2" t="str">
        <f>TEXT(Table5[[#This Row],[bill_date]],"mmmm")</f>
        <v>March</v>
      </c>
      <c r="E4457" s="9">
        <f>YEAR(Table5[[#This Row],[bill_date]])</f>
        <v>2023</v>
      </c>
      <c r="F4457">
        <v>1356</v>
      </c>
      <c r="G4457" t="s">
        <v>30</v>
      </c>
    </row>
    <row r="4458" spans="1:7" x14ac:dyDescent="0.3">
      <c r="A4458">
        <v>34457</v>
      </c>
      <c r="B4458">
        <v>205</v>
      </c>
      <c r="C4458" s="2">
        <v>44885</v>
      </c>
      <c r="D4458" s="2" t="str">
        <f>TEXT(Table5[[#This Row],[bill_date]],"mmmm")</f>
        <v>November</v>
      </c>
      <c r="E4458" s="9">
        <f>YEAR(Table5[[#This Row],[bill_date]])</f>
        <v>2022</v>
      </c>
      <c r="F4458">
        <v>510</v>
      </c>
      <c r="G4458" t="s">
        <v>30</v>
      </c>
    </row>
    <row r="4459" spans="1:7" x14ac:dyDescent="0.3">
      <c r="A4459">
        <v>34458</v>
      </c>
      <c r="B4459">
        <v>487</v>
      </c>
      <c r="C4459" s="2">
        <v>44683</v>
      </c>
      <c r="D4459" s="2" t="str">
        <f>TEXT(Table5[[#This Row],[bill_date]],"mmmm")</f>
        <v>May</v>
      </c>
      <c r="E4459" s="9">
        <f>YEAR(Table5[[#This Row],[bill_date]])</f>
        <v>2022</v>
      </c>
      <c r="F4459">
        <v>1342</v>
      </c>
      <c r="G4459" t="s">
        <v>30</v>
      </c>
    </row>
    <row r="4460" spans="1:7" x14ac:dyDescent="0.3">
      <c r="A4460">
        <v>34459</v>
      </c>
      <c r="B4460">
        <v>229</v>
      </c>
      <c r="C4460" s="2">
        <v>44861</v>
      </c>
      <c r="D4460" s="2" t="str">
        <f>TEXT(Table5[[#This Row],[bill_date]],"mmmm")</f>
        <v>October</v>
      </c>
      <c r="E4460" s="9">
        <f>YEAR(Table5[[#This Row],[bill_date]])</f>
        <v>2022</v>
      </c>
      <c r="F4460">
        <v>1234</v>
      </c>
      <c r="G4460" t="s">
        <v>28</v>
      </c>
    </row>
    <row r="4461" spans="1:7" x14ac:dyDescent="0.3">
      <c r="A4461">
        <v>34460</v>
      </c>
      <c r="B4461">
        <v>189</v>
      </c>
      <c r="C4461" s="2">
        <v>44902</v>
      </c>
      <c r="D4461" s="2" t="str">
        <f>TEXT(Table5[[#This Row],[bill_date]],"mmmm")</f>
        <v>December</v>
      </c>
      <c r="E4461" s="9">
        <f>YEAR(Table5[[#This Row],[bill_date]])</f>
        <v>2022</v>
      </c>
      <c r="F4461">
        <v>1969</v>
      </c>
      <c r="G4461" t="s">
        <v>30</v>
      </c>
    </row>
    <row r="4462" spans="1:7" x14ac:dyDescent="0.3">
      <c r="A4462">
        <v>34461</v>
      </c>
      <c r="B4462">
        <v>99</v>
      </c>
      <c r="C4462" s="2">
        <v>44740</v>
      </c>
      <c r="D4462" s="2" t="str">
        <f>TEXT(Table5[[#This Row],[bill_date]],"mmmm")</f>
        <v>June</v>
      </c>
      <c r="E4462" s="9">
        <f>YEAR(Table5[[#This Row],[bill_date]])</f>
        <v>2022</v>
      </c>
      <c r="F4462">
        <v>1842</v>
      </c>
      <c r="G4462" t="s">
        <v>30</v>
      </c>
    </row>
    <row r="4463" spans="1:7" x14ac:dyDescent="0.3">
      <c r="A4463">
        <v>34462</v>
      </c>
      <c r="B4463">
        <v>422</v>
      </c>
      <c r="C4463" s="2">
        <v>44769</v>
      </c>
      <c r="D4463" s="2" t="str">
        <f>TEXT(Table5[[#This Row],[bill_date]],"mmmm")</f>
        <v>July</v>
      </c>
      <c r="E4463" s="9">
        <f>YEAR(Table5[[#This Row],[bill_date]])</f>
        <v>2022</v>
      </c>
      <c r="F4463">
        <v>1767</v>
      </c>
      <c r="G4463" t="s">
        <v>30</v>
      </c>
    </row>
    <row r="4464" spans="1:7" x14ac:dyDescent="0.3">
      <c r="A4464">
        <v>34463</v>
      </c>
      <c r="B4464">
        <v>424</v>
      </c>
      <c r="C4464" s="2">
        <v>44727</v>
      </c>
      <c r="D4464" s="2" t="str">
        <f>TEXT(Table5[[#This Row],[bill_date]],"mmmm")</f>
        <v>June</v>
      </c>
      <c r="E4464" s="9">
        <f>YEAR(Table5[[#This Row],[bill_date]])</f>
        <v>2022</v>
      </c>
      <c r="F4464">
        <v>1342</v>
      </c>
      <c r="G4464" t="s">
        <v>30</v>
      </c>
    </row>
    <row r="4465" spans="1:7" x14ac:dyDescent="0.3">
      <c r="A4465">
        <v>34464</v>
      </c>
      <c r="B4465">
        <v>411</v>
      </c>
      <c r="C4465" s="2">
        <v>44602</v>
      </c>
      <c r="D4465" s="2" t="str">
        <f>TEXT(Table5[[#This Row],[bill_date]],"mmmm")</f>
        <v>February</v>
      </c>
      <c r="E4465" s="9">
        <f>YEAR(Table5[[#This Row],[bill_date]])</f>
        <v>2022</v>
      </c>
      <c r="F4465">
        <v>1990</v>
      </c>
      <c r="G4465" t="s">
        <v>28</v>
      </c>
    </row>
    <row r="4466" spans="1:7" x14ac:dyDescent="0.3">
      <c r="A4466">
        <v>34465</v>
      </c>
      <c r="B4466">
        <v>442</v>
      </c>
      <c r="C4466" s="2">
        <v>45195</v>
      </c>
      <c r="D4466" s="2" t="str">
        <f>TEXT(Table5[[#This Row],[bill_date]],"mmmm")</f>
        <v>September</v>
      </c>
      <c r="E4466" s="9">
        <f>YEAR(Table5[[#This Row],[bill_date]])</f>
        <v>2023</v>
      </c>
      <c r="F4466">
        <v>281</v>
      </c>
      <c r="G4466" t="s">
        <v>30</v>
      </c>
    </row>
    <row r="4467" spans="1:7" x14ac:dyDescent="0.3">
      <c r="A4467">
        <v>34466</v>
      </c>
      <c r="B4467">
        <v>218</v>
      </c>
      <c r="C4467" s="2">
        <v>45117</v>
      </c>
      <c r="D4467" s="2" t="str">
        <f>TEXT(Table5[[#This Row],[bill_date]],"mmmm")</f>
        <v>July</v>
      </c>
      <c r="E4467" s="9">
        <f>YEAR(Table5[[#This Row],[bill_date]])</f>
        <v>2023</v>
      </c>
      <c r="F4467">
        <v>891</v>
      </c>
      <c r="G4467" t="s">
        <v>30</v>
      </c>
    </row>
    <row r="4468" spans="1:7" x14ac:dyDescent="0.3">
      <c r="A4468">
        <v>34467</v>
      </c>
      <c r="B4468">
        <v>460</v>
      </c>
      <c r="C4468" s="2">
        <v>44636</v>
      </c>
      <c r="D4468" s="2" t="str">
        <f>TEXT(Table5[[#This Row],[bill_date]],"mmmm")</f>
        <v>March</v>
      </c>
      <c r="E4468" s="9">
        <f>YEAR(Table5[[#This Row],[bill_date]])</f>
        <v>2022</v>
      </c>
      <c r="F4468">
        <v>1450</v>
      </c>
      <c r="G4468" t="s">
        <v>28</v>
      </c>
    </row>
    <row r="4469" spans="1:7" x14ac:dyDescent="0.3">
      <c r="A4469">
        <v>34468</v>
      </c>
      <c r="B4469">
        <v>194</v>
      </c>
      <c r="C4469" s="2">
        <v>45041</v>
      </c>
      <c r="D4469" s="2" t="str">
        <f>TEXT(Table5[[#This Row],[bill_date]],"mmmm")</f>
        <v>April</v>
      </c>
      <c r="E4469" s="9">
        <f>YEAR(Table5[[#This Row],[bill_date]])</f>
        <v>2023</v>
      </c>
      <c r="F4469">
        <v>1216</v>
      </c>
      <c r="G4469" t="s">
        <v>30</v>
      </c>
    </row>
    <row r="4470" spans="1:7" x14ac:dyDescent="0.3">
      <c r="A4470">
        <v>34469</v>
      </c>
      <c r="B4470">
        <v>43</v>
      </c>
      <c r="C4470" s="2">
        <v>44909</v>
      </c>
      <c r="D4470" s="2" t="str">
        <f>TEXT(Table5[[#This Row],[bill_date]],"mmmm")</f>
        <v>December</v>
      </c>
      <c r="E4470" s="9">
        <f>YEAR(Table5[[#This Row],[bill_date]])</f>
        <v>2022</v>
      </c>
      <c r="F4470">
        <v>384</v>
      </c>
      <c r="G4470" t="s">
        <v>30</v>
      </c>
    </row>
    <row r="4471" spans="1:7" x14ac:dyDescent="0.3">
      <c r="A4471">
        <v>34470</v>
      </c>
      <c r="B4471">
        <v>378</v>
      </c>
      <c r="C4471" s="2">
        <v>44833</v>
      </c>
      <c r="D4471" s="2" t="str">
        <f>TEXT(Table5[[#This Row],[bill_date]],"mmmm")</f>
        <v>September</v>
      </c>
      <c r="E4471" s="9">
        <f>YEAR(Table5[[#This Row],[bill_date]])</f>
        <v>2022</v>
      </c>
      <c r="F4471">
        <v>1433</v>
      </c>
      <c r="G4471" t="s">
        <v>30</v>
      </c>
    </row>
    <row r="4472" spans="1:7" x14ac:dyDescent="0.3">
      <c r="A4472">
        <v>34471</v>
      </c>
      <c r="B4472">
        <v>124</v>
      </c>
      <c r="C4472" s="2">
        <v>44727</v>
      </c>
      <c r="D4472" s="2" t="str">
        <f>TEXT(Table5[[#This Row],[bill_date]],"mmmm")</f>
        <v>June</v>
      </c>
      <c r="E4472" s="9">
        <f>YEAR(Table5[[#This Row],[bill_date]])</f>
        <v>2022</v>
      </c>
      <c r="F4472">
        <v>1983</v>
      </c>
      <c r="G4472" t="s">
        <v>28</v>
      </c>
    </row>
    <row r="4473" spans="1:7" x14ac:dyDescent="0.3">
      <c r="A4473">
        <v>34472</v>
      </c>
      <c r="B4473">
        <v>20</v>
      </c>
      <c r="C4473" s="2">
        <v>45323</v>
      </c>
      <c r="D4473" s="2" t="str">
        <f>TEXT(Table5[[#This Row],[bill_date]],"mmmm")</f>
        <v>February</v>
      </c>
      <c r="E4473" s="9">
        <f>YEAR(Table5[[#This Row],[bill_date]])</f>
        <v>2024</v>
      </c>
      <c r="F4473">
        <v>241</v>
      </c>
      <c r="G4473" t="s">
        <v>30</v>
      </c>
    </row>
    <row r="4474" spans="1:7" x14ac:dyDescent="0.3">
      <c r="A4474">
        <v>34473</v>
      </c>
      <c r="B4474">
        <v>419</v>
      </c>
      <c r="C4474" s="2">
        <v>44647</v>
      </c>
      <c r="D4474" s="2" t="str">
        <f>TEXT(Table5[[#This Row],[bill_date]],"mmmm")</f>
        <v>March</v>
      </c>
      <c r="E4474" s="9">
        <f>YEAR(Table5[[#This Row],[bill_date]])</f>
        <v>2022</v>
      </c>
      <c r="F4474">
        <v>1731</v>
      </c>
      <c r="G4474" t="s">
        <v>30</v>
      </c>
    </row>
    <row r="4475" spans="1:7" x14ac:dyDescent="0.3">
      <c r="A4475">
        <v>34474</v>
      </c>
      <c r="B4475">
        <v>311</v>
      </c>
      <c r="C4475" s="2">
        <v>45210</v>
      </c>
      <c r="D4475" s="2" t="str">
        <f>TEXT(Table5[[#This Row],[bill_date]],"mmmm")</f>
        <v>October</v>
      </c>
      <c r="E4475" s="9">
        <f>YEAR(Table5[[#This Row],[bill_date]])</f>
        <v>2023</v>
      </c>
      <c r="F4475">
        <v>271</v>
      </c>
      <c r="G4475" t="s">
        <v>30</v>
      </c>
    </row>
    <row r="4476" spans="1:7" x14ac:dyDescent="0.3">
      <c r="A4476">
        <v>34475</v>
      </c>
      <c r="B4476">
        <v>330</v>
      </c>
      <c r="C4476" s="2">
        <v>45406</v>
      </c>
      <c r="D4476" s="2" t="str">
        <f>TEXT(Table5[[#This Row],[bill_date]],"mmmm")</f>
        <v>April</v>
      </c>
      <c r="E4476" s="9">
        <f>YEAR(Table5[[#This Row],[bill_date]])</f>
        <v>2024</v>
      </c>
      <c r="F4476">
        <v>1241</v>
      </c>
      <c r="G4476" t="s">
        <v>30</v>
      </c>
    </row>
    <row r="4477" spans="1:7" x14ac:dyDescent="0.3">
      <c r="A4477">
        <v>34476</v>
      </c>
      <c r="B4477">
        <v>328</v>
      </c>
      <c r="C4477" s="2">
        <v>45112</v>
      </c>
      <c r="D4477" s="2" t="str">
        <f>TEXT(Table5[[#This Row],[bill_date]],"mmmm")</f>
        <v>July</v>
      </c>
      <c r="E4477" s="9">
        <f>YEAR(Table5[[#This Row],[bill_date]])</f>
        <v>2023</v>
      </c>
      <c r="F4477">
        <v>363</v>
      </c>
      <c r="G4477" t="s">
        <v>30</v>
      </c>
    </row>
    <row r="4478" spans="1:7" x14ac:dyDescent="0.3">
      <c r="A4478">
        <v>34477</v>
      </c>
      <c r="B4478">
        <v>168</v>
      </c>
      <c r="C4478" s="2">
        <v>45160</v>
      </c>
      <c r="D4478" s="2" t="str">
        <f>TEXT(Table5[[#This Row],[bill_date]],"mmmm")</f>
        <v>August</v>
      </c>
      <c r="E4478" s="9">
        <f>YEAR(Table5[[#This Row],[bill_date]])</f>
        <v>2023</v>
      </c>
      <c r="F4478">
        <v>465</v>
      </c>
      <c r="G4478" t="s">
        <v>30</v>
      </c>
    </row>
    <row r="4479" spans="1:7" x14ac:dyDescent="0.3">
      <c r="A4479">
        <v>34478</v>
      </c>
      <c r="B4479">
        <v>46</v>
      </c>
      <c r="C4479" s="2">
        <v>44716</v>
      </c>
      <c r="D4479" s="2" t="str">
        <f>TEXT(Table5[[#This Row],[bill_date]],"mmmm")</f>
        <v>June</v>
      </c>
      <c r="E4479" s="9">
        <f>YEAR(Table5[[#This Row],[bill_date]])</f>
        <v>2022</v>
      </c>
      <c r="F4479">
        <v>1662</v>
      </c>
      <c r="G4479" t="s">
        <v>28</v>
      </c>
    </row>
    <row r="4480" spans="1:7" x14ac:dyDescent="0.3">
      <c r="A4480">
        <v>34479</v>
      </c>
      <c r="B4480">
        <v>484</v>
      </c>
      <c r="C4480" s="2">
        <v>45233</v>
      </c>
      <c r="D4480" s="2" t="str">
        <f>TEXT(Table5[[#This Row],[bill_date]],"mmmm")</f>
        <v>November</v>
      </c>
      <c r="E4480" s="9">
        <f>YEAR(Table5[[#This Row],[bill_date]])</f>
        <v>2023</v>
      </c>
      <c r="F4480">
        <v>1350</v>
      </c>
      <c r="G4480" t="s">
        <v>30</v>
      </c>
    </row>
    <row r="4481" spans="1:7" x14ac:dyDescent="0.3">
      <c r="A4481">
        <v>34480</v>
      </c>
      <c r="B4481">
        <v>223</v>
      </c>
      <c r="C4481" s="2">
        <v>45137</v>
      </c>
      <c r="D4481" s="2" t="str">
        <f>TEXT(Table5[[#This Row],[bill_date]],"mmmm")</f>
        <v>July</v>
      </c>
      <c r="E4481" s="9">
        <f>YEAR(Table5[[#This Row],[bill_date]])</f>
        <v>2023</v>
      </c>
      <c r="F4481">
        <v>1065</v>
      </c>
      <c r="G4481" t="s">
        <v>30</v>
      </c>
    </row>
    <row r="4482" spans="1:7" x14ac:dyDescent="0.3">
      <c r="A4482">
        <v>34481</v>
      </c>
      <c r="B4482">
        <v>79</v>
      </c>
      <c r="C4482" s="2">
        <v>44784</v>
      </c>
      <c r="D4482" s="2" t="str">
        <f>TEXT(Table5[[#This Row],[bill_date]],"mmmm")</f>
        <v>August</v>
      </c>
      <c r="E4482" s="9">
        <f>YEAR(Table5[[#This Row],[bill_date]])</f>
        <v>2022</v>
      </c>
      <c r="F4482">
        <v>1675</v>
      </c>
      <c r="G4482" t="s">
        <v>30</v>
      </c>
    </row>
    <row r="4483" spans="1:7" x14ac:dyDescent="0.3">
      <c r="A4483">
        <v>34482</v>
      </c>
      <c r="B4483">
        <v>170</v>
      </c>
      <c r="C4483" s="2">
        <v>44978</v>
      </c>
      <c r="D4483" s="2" t="str">
        <f>TEXT(Table5[[#This Row],[bill_date]],"mmmm")</f>
        <v>February</v>
      </c>
      <c r="E4483" s="9">
        <f>YEAR(Table5[[#This Row],[bill_date]])</f>
        <v>2023</v>
      </c>
      <c r="F4483">
        <v>1523</v>
      </c>
      <c r="G4483" t="s">
        <v>30</v>
      </c>
    </row>
    <row r="4484" spans="1:7" x14ac:dyDescent="0.3">
      <c r="A4484">
        <v>34483</v>
      </c>
      <c r="B4484">
        <v>402</v>
      </c>
      <c r="C4484" s="2">
        <v>44923</v>
      </c>
      <c r="D4484" s="2" t="str">
        <f>TEXT(Table5[[#This Row],[bill_date]],"mmmm")</f>
        <v>December</v>
      </c>
      <c r="E4484" s="9">
        <f>YEAR(Table5[[#This Row],[bill_date]])</f>
        <v>2022</v>
      </c>
      <c r="F4484">
        <v>1540</v>
      </c>
      <c r="G4484" t="s">
        <v>30</v>
      </c>
    </row>
    <row r="4485" spans="1:7" x14ac:dyDescent="0.3">
      <c r="A4485">
        <v>34484</v>
      </c>
      <c r="B4485">
        <v>246</v>
      </c>
      <c r="C4485" s="2">
        <v>44907</v>
      </c>
      <c r="D4485" s="2" t="str">
        <f>TEXT(Table5[[#This Row],[bill_date]],"mmmm")</f>
        <v>December</v>
      </c>
      <c r="E4485" s="9">
        <f>YEAR(Table5[[#This Row],[bill_date]])</f>
        <v>2022</v>
      </c>
      <c r="F4485">
        <v>852</v>
      </c>
      <c r="G4485" t="s">
        <v>28</v>
      </c>
    </row>
    <row r="4486" spans="1:7" x14ac:dyDescent="0.3">
      <c r="A4486">
        <v>34485</v>
      </c>
      <c r="B4486">
        <v>271</v>
      </c>
      <c r="C4486" s="2">
        <v>44707</v>
      </c>
      <c r="D4486" s="2" t="str">
        <f>TEXT(Table5[[#This Row],[bill_date]],"mmmm")</f>
        <v>May</v>
      </c>
      <c r="E4486" s="9">
        <f>YEAR(Table5[[#This Row],[bill_date]])</f>
        <v>2022</v>
      </c>
      <c r="F4486">
        <v>232</v>
      </c>
      <c r="G4486" t="s">
        <v>30</v>
      </c>
    </row>
    <row r="4487" spans="1:7" x14ac:dyDescent="0.3">
      <c r="A4487">
        <v>34486</v>
      </c>
      <c r="B4487">
        <v>467</v>
      </c>
      <c r="C4487" s="2">
        <v>45277</v>
      </c>
      <c r="D4487" s="2" t="str">
        <f>TEXT(Table5[[#This Row],[bill_date]],"mmmm")</f>
        <v>December</v>
      </c>
      <c r="E4487" s="9">
        <f>YEAR(Table5[[#This Row],[bill_date]])</f>
        <v>2023</v>
      </c>
      <c r="F4487">
        <v>296</v>
      </c>
      <c r="G4487" t="s">
        <v>28</v>
      </c>
    </row>
    <row r="4488" spans="1:7" x14ac:dyDescent="0.3">
      <c r="A4488">
        <v>34487</v>
      </c>
      <c r="B4488">
        <v>472</v>
      </c>
      <c r="C4488" s="2">
        <v>44628</v>
      </c>
      <c r="D4488" s="2" t="str">
        <f>TEXT(Table5[[#This Row],[bill_date]],"mmmm")</f>
        <v>March</v>
      </c>
      <c r="E4488" s="9">
        <f>YEAR(Table5[[#This Row],[bill_date]])</f>
        <v>2022</v>
      </c>
      <c r="F4488">
        <v>1432</v>
      </c>
      <c r="G4488" t="s">
        <v>30</v>
      </c>
    </row>
    <row r="4489" spans="1:7" x14ac:dyDescent="0.3">
      <c r="A4489">
        <v>34488</v>
      </c>
      <c r="B4489">
        <v>99</v>
      </c>
      <c r="C4489" s="2">
        <v>45078</v>
      </c>
      <c r="D4489" s="2" t="str">
        <f>TEXT(Table5[[#This Row],[bill_date]],"mmmm")</f>
        <v>June</v>
      </c>
      <c r="E4489" s="9">
        <f>YEAR(Table5[[#This Row],[bill_date]])</f>
        <v>2023</v>
      </c>
      <c r="F4489">
        <v>514</v>
      </c>
      <c r="G4489" t="s">
        <v>28</v>
      </c>
    </row>
    <row r="4490" spans="1:7" x14ac:dyDescent="0.3">
      <c r="A4490">
        <v>34489</v>
      </c>
      <c r="B4490">
        <v>322</v>
      </c>
      <c r="C4490" s="2">
        <v>44620</v>
      </c>
      <c r="D4490" s="2" t="str">
        <f>TEXT(Table5[[#This Row],[bill_date]],"mmmm")</f>
        <v>February</v>
      </c>
      <c r="E4490" s="9">
        <f>YEAR(Table5[[#This Row],[bill_date]])</f>
        <v>2022</v>
      </c>
      <c r="F4490">
        <v>1542</v>
      </c>
      <c r="G4490" t="s">
        <v>30</v>
      </c>
    </row>
    <row r="4491" spans="1:7" x14ac:dyDescent="0.3">
      <c r="A4491">
        <v>34490</v>
      </c>
      <c r="B4491">
        <v>141</v>
      </c>
      <c r="C4491" s="2">
        <v>45149</v>
      </c>
      <c r="D4491" s="2" t="str">
        <f>TEXT(Table5[[#This Row],[bill_date]],"mmmm")</f>
        <v>August</v>
      </c>
      <c r="E4491" s="9">
        <f>YEAR(Table5[[#This Row],[bill_date]])</f>
        <v>2023</v>
      </c>
      <c r="F4491">
        <v>908</v>
      </c>
      <c r="G4491" t="s">
        <v>30</v>
      </c>
    </row>
    <row r="4492" spans="1:7" x14ac:dyDescent="0.3">
      <c r="A4492">
        <v>34491</v>
      </c>
      <c r="B4492">
        <v>109</v>
      </c>
      <c r="C4492" s="2">
        <v>45333</v>
      </c>
      <c r="D4492" s="2" t="str">
        <f>TEXT(Table5[[#This Row],[bill_date]],"mmmm")</f>
        <v>February</v>
      </c>
      <c r="E4492" s="9">
        <f>YEAR(Table5[[#This Row],[bill_date]])</f>
        <v>2024</v>
      </c>
      <c r="F4492">
        <v>1657</v>
      </c>
      <c r="G4492" t="s">
        <v>30</v>
      </c>
    </row>
    <row r="4493" spans="1:7" x14ac:dyDescent="0.3">
      <c r="A4493">
        <v>34492</v>
      </c>
      <c r="B4493">
        <v>313</v>
      </c>
      <c r="C4493" s="2">
        <v>45321</v>
      </c>
      <c r="D4493" s="2" t="str">
        <f>TEXT(Table5[[#This Row],[bill_date]],"mmmm")</f>
        <v>January</v>
      </c>
      <c r="E4493" s="9">
        <f>YEAR(Table5[[#This Row],[bill_date]])</f>
        <v>2024</v>
      </c>
      <c r="F4493">
        <v>1478</v>
      </c>
      <c r="G4493" t="s">
        <v>30</v>
      </c>
    </row>
    <row r="4494" spans="1:7" x14ac:dyDescent="0.3">
      <c r="A4494">
        <v>34493</v>
      </c>
      <c r="B4494">
        <v>137</v>
      </c>
      <c r="C4494" s="2">
        <v>44577</v>
      </c>
      <c r="D4494" s="2" t="str">
        <f>TEXT(Table5[[#This Row],[bill_date]],"mmmm")</f>
        <v>January</v>
      </c>
      <c r="E4494" s="9">
        <f>YEAR(Table5[[#This Row],[bill_date]])</f>
        <v>2022</v>
      </c>
      <c r="F4494">
        <v>1776</v>
      </c>
      <c r="G4494" t="s">
        <v>28</v>
      </c>
    </row>
    <row r="4495" spans="1:7" x14ac:dyDescent="0.3">
      <c r="A4495">
        <v>34494</v>
      </c>
      <c r="B4495">
        <v>121</v>
      </c>
      <c r="C4495" s="2">
        <v>45148</v>
      </c>
      <c r="D4495" s="2" t="str">
        <f>TEXT(Table5[[#This Row],[bill_date]],"mmmm")</f>
        <v>August</v>
      </c>
      <c r="E4495" s="9">
        <f>YEAR(Table5[[#This Row],[bill_date]])</f>
        <v>2023</v>
      </c>
      <c r="F4495">
        <v>603</v>
      </c>
      <c r="G4495" t="s">
        <v>30</v>
      </c>
    </row>
    <row r="4496" spans="1:7" x14ac:dyDescent="0.3">
      <c r="A4496">
        <v>34495</v>
      </c>
      <c r="B4496">
        <v>99</v>
      </c>
      <c r="C4496" s="2">
        <v>45429</v>
      </c>
      <c r="D4496" s="2" t="str">
        <f>TEXT(Table5[[#This Row],[bill_date]],"mmmm")</f>
        <v>May</v>
      </c>
      <c r="E4496" s="9">
        <f>YEAR(Table5[[#This Row],[bill_date]])</f>
        <v>2024</v>
      </c>
      <c r="F4496">
        <v>814</v>
      </c>
      <c r="G4496" t="s">
        <v>30</v>
      </c>
    </row>
    <row r="4497" spans="1:7" x14ac:dyDescent="0.3">
      <c r="A4497">
        <v>34496</v>
      </c>
      <c r="B4497">
        <v>66</v>
      </c>
      <c r="C4497" s="2">
        <v>45047</v>
      </c>
      <c r="D4497" s="2" t="str">
        <f>TEXT(Table5[[#This Row],[bill_date]],"mmmm")</f>
        <v>May</v>
      </c>
      <c r="E4497" s="9">
        <f>YEAR(Table5[[#This Row],[bill_date]])</f>
        <v>2023</v>
      </c>
      <c r="F4497">
        <v>1676</v>
      </c>
      <c r="G4497" t="s">
        <v>30</v>
      </c>
    </row>
    <row r="4498" spans="1:7" x14ac:dyDescent="0.3">
      <c r="A4498">
        <v>34497</v>
      </c>
      <c r="B4498">
        <v>494</v>
      </c>
      <c r="C4498" s="2">
        <v>45450</v>
      </c>
      <c r="D4498" s="2" t="str">
        <f>TEXT(Table5[[#This Row],[bill_date]],"mmmm")</f>
        <v>June</v>
      </c>
      <c r="E4498" s="9">
        <f>YEAR(Table5[[#This Row],[bill_date]])</f>
        <v>2024</v>
      </c>
      <c r="F4498">
        <v>1080</v>
      </c>
      <c r="G4498" t="s">
        <v>28</v>
      </c>
    </row>
    <row r="4499" spans="1:7" x14ac:dyDescent="0.3">
      <c r="A4499">
        <v>34498</v>
      </c>
      <c r="B4499">
        <v>144</v>
      </c>
      <c r="C4499" s="2">
        <v>44737</v>
      </c>
      <c r="D4499" s="2" t="str">
        <f>TEXT(Table5[[#This Row],[bill_date]],"mmmm")</f>
        <v>June</v>
      </c>
      <c r="E4499" s="9">
        <f>YEAR(Table5[[#This Row],[bill_date]])</f>
        <v>2022</v>
      </c>
      <c r="F4499">
        <v>1411</v>
      </c>
      <c r="G4499" t="s">
        <v>30</v>
      </c>
    </row>
    <row r="4500" spans="1:7" x14ac:dyDescent="0.3">
      <c r="A4500">
        <v>34499</v>
      </c>
      <c r="B4500">
        <v>110</v>
      </c>
      <c r="C4500" s="2">
        <v>44883</v>
      </c>
      <c r="D4500" s="2" t="str">
        <f>TEXT(Table5[[#This Row],[bill_date]],"mmmm")</f>
        <v>November</v>
      </c>
      <c r="E4500" s="9">
        <f>YEAR(Table5[[#This Row],[bill_date]])</f>
        <v>2022</v>
      </c>
      <c r="F4500">
        <v>1032</v>
      </c>
      <c r="G4500" t="s">
        <v>30</v>
      </c>
    </row>
    <row r="4501" spans="1:7" x14ac:dyDescent="0.3">
      <c r="A4501">
        <v>34500</v>
      </c>
      <c r="B4501">
        <v>484</v>
      </c>
      <c r="C4501" s="2">
        <v>45022</v>
      </c>
      <c r="D4501" s="2" t="str">
        <f>TEXT(Table5[[#This Row],[bill_date]],"mmmm")</f>
        <v>April</v>
      </c>
      <c r="E4501" s="9">
        <f>YEAR(Table5[[#This Row],[bill_date]])</f>
        <v>2023</v>
      </c>
      <c r="F4501">
        <v>1053</v>
      </c>
      <c r="G4501" t="s">
        <v>28</v>
      </c>
    </row>
    <row r="4502" spans="1:7" x14ac:dyDescent="0.3">
      <c r="A4502">
        <v>34501</v>
      </c>
      <c r="B4502">
        <v>130</v>
      </c>
      <c r="C4502" s="2">
        <v>44697</v>
      </c>
      <c r="D4502" s="2" t="str">
        <f>TEXT(Table5[[#This Row],[bill_date]],"mmmm")</f>
        <v>May</v>
      </c>
      <c r="E4502" s="9">
        <f>YEAR(Table5[[#This Row],[bill_date]])</f>
        <v>2022</v>
      </c>
      <c r="F4502">
        <v>1796</v>
      </c>
      <c r="G4502" t="s">
        <v>28</v>
      </c>
    </row>
    <row r="4503" spans="1:7" x14ac:dyDescent="0.3">
      <c r="A4503">
        <v>34502</v>
      </c>
      <c r="B4503">
        <v>400</v>
      </c>
      <c r="C4503" s="2">
        <v>44989</v>
      </c>
      <c r="D4503" s="2" t="str">
        <f>TEXT(Table5[[#This Row],[bill_date]],"mmmm")</f>
        <v>March</v>
      </c>
      <c r="E4503" s="9">
        <f>YEAR(Table5[[#This Row],[bill_date]])</f>
        <v>2023</v>
      </c>
      <c r="F4503">
        <v>1610</v>
      </c>
      <c r="G4503" t="s">
        <v>30</v>
      </c>
    </row>
    <row r="4504" spans="1:7" x14ac:dyDescent="0.3">
      <c r="A4504">
        <v>34503</v>
      </c>
      <c r="B4504">
        <v>328</v>
      </c>
      <c r="C4504" s="2">
        <v>45350</v>
      </c>
      <c r="D4504" s="2" t="str">
        <f>TEXT(Table5[[#This Row],[bill_date]],"mmmm")</f>
        <v>February</v>
      </c>
      <c r="E4504" s="9">
        <f>YEAR(Table5[[#This Row],[bill_date]])</f>
        <v>2024</v>
      </c>
      <c r="F4504">
        <v>1365</v>
      </c>
      <c r="G4504" t="s">
        <v>30</v>
      </c>
    </row>
    <row r="4505" spans="1:7" x14ac:dyDescent="0.3">
      <c r="A4505">
        <v>34504</v>
      </c>
      <c r="B4505">
        <v>257</v>
      </c>
      <c r="C4505" s="2">
        <v>45355</v>
      </c>
      <c r="D4505" s="2" t="str">
        <f>TEXT(Table5[[#This Row],[bill_date]],"mmmm")</f>
        <v>March</v>
      </c>
      <c r="E4505" s="9">
        <f>YEAR(Table5[[#This Row],[bill_date]])</f>
        <v>2024</v>
      </c>
      <c r="F4505">
        <v>1444</v>
      </c>
      <c r="G4505" t="s">
        <v>30</v>
      </c>
    </row>
    <row r="4506" spans="1:7" x14ac:dyDescent="0.3">
      <c r="A4506">
        <v>34505</v>
      </c>
      <c r="B4506">
        <v>210</v>
      </c>
      <c r="C4506" s="2">
        <v>45241</v>
      </c>
      <c r="D4506" s="2" t="str">
        <f>TEXT(Table5[[#This Row],[bill_date]],"mmmm")</f>
        <v>November</v>
      </c>
      <c r="E4506" s="9">
        <f>YEAR(Table5[[#This Row],[bill_date]])</f>
        <v>2023</v>
      </c>
      <c r="F4506">
        <v>638</v>
      </c>
      <c r="G4506" t="s">
        <v>30</v>
      </c>
    </row>
    <row r="4507" spans="1:7" x14ac:dyDescent="0.3">
      <c r="A4507">
        <v>34506</v>
      </c>
      <c r="B4507">
        <v>246</v>
      </c>
      <c r="C4507" s="2">
        <v>45103</v>
      </c>
      <c r="D4507" s="2" t="str">
        <f>TEXT(Table5[[#This Row],[bill_date]],"mmmm")</f>
        <v>June</v>
      </c>
      <c r="E4507" s="9">
        <f>YEAR(Table5[[#This Row],[bill_date]])</f>
        <v>2023</v>
      </c>
      <c r="F4507">
        <v>730</v>
      </c>
      <c r="G4507" t="s">
        <v>28</v>
      </c>
    </row>
    <row r="4508" spans="1:7" x14ac:dyDescent="0.3">
      <c r="A4508">
        <v>34507</v>
      </c>
      <c r="B4508">
        <v>361</v>
      </c>
      <c r="C4508" s="2">
        <v>44883</v>
      </c>
      <c r="D4508" s="2" t="str">
        <f>TEXT(Table5[[#This Row],[bill_date]],"mmmm")</f>
        <v>November</v>
      </c>
      <c r="E4508" s="9">
        <f>YEAR(Table5[[#This Row],[bill_date]])</f>
        <v>2022</v>
      </c>
      <c r="F4508">
        <v>1502</v>
      </c>
      <c r="G4508" t="s">
        <v>28</v>
      </c>
    </row>
    <row r="4509" spans="1:7" x14ac:dyDescent="0.3">
      <c r="A4509">
        <v>34508</v>
      </c>
      <c r="B4509">
        <v>154</v>
      </c>
      <c r="C4509" s="2">
        <v>44897</v>
      </c>
      <c r="D4509" s="2" t="str">
        <f>TEXT(Table5[[#This Row],[bill_date]],"mmmm")</f>
        <v>December</v>
      </c>
      <c r="E4509" s="9">
        <f>YEAR(Table5[[#This Row],[bill_date]])</f>
        <v>2022</v>
      </c>
      <c r="F4509">
        <v>975</v>
      </c>
      <c r="G4509" t="s">
        <v>30</v>
      </c>
    </row>
    <row r="4510" spans="1:7" x14ac:dyDescent="0.3">
      <c r="A4510">
        <v>34509</v>
      </c>
      <c r="B4510">
        <v>428</v>
      </c>
      <c r="C4510" s="2">
        <v>45342</v>
      </c>
      <c r="D4510" s="2" t="str">
        <f>TEXT(Table5[[#This Row],[bill_date]],"mmmm")</f>
        <v>February</v>
      </c>
      <c r="E4510" s="9">
        <f>YEAR(Table5[[#This Row],[bill_date]])</f>
        <v>2024</v>
      </c>
      <c r="F4510">
        <v>1470</v>
      </c>
      <c r="G4510" t="s">
        <v>30</v>
      </c>
    </row>
    <row r="4511" spans="1:7" x14ac:dyDescent="0.3">
      <c r="A4511">
        <v>34510</v>
      </c>
      <c r="B4511">
        <v>133</v>
      </c>
      <c r="C4511" s="2">
        <v>45074</v>
      </c>
      <c r="D4511" s="2" t="str">
        <f>TEXT(Table5[[#This Row],[bill_date]],"mmmm")</f>
        <v>May</v>
      </c>
      <c r="E4511" s="9">
        <f>YEAR(Table5[[#This Row],[bill_date]])</f>
        <v>2023</v>
      </c>
      <c r="F4511">
        <v>314</v>
      </c>
      <c r="G4511" t="s">
        <v>30</v>
      </c>
    </row>
    <row r="4512" spans="1:7" x14ac:dyDescent="0.3">
      <c r="A4512">
        <v>34511</v>
      </c>
      <c r="B4512">
        <v>21</v>
      </c>
      <c r="C4512" s="2">
        <v>44732</v>
      </c>
      <c r="D4512" s="2" t="str">
        <f>TEXT(Table5[[#This Row],[bill_date]],"mmmm")</f>
        <v>June</v>
      </c>
      <c r="E4512" s="9">
        <f>YEAR(Table5[[#This Row],[bill_date]])</f>
        <v>2022</v>
      </c>
      <c r="F4512">
        <v>603</v>
      </c>
      <c r="G4512" t="s">
        <v>28</v>
      </c>
    </row>
    <row r="4513" spans="1:7" x14ac:dyDescent="0.3">
      <c r="A4513">
        <v>34512</v>
      </c>
      <c r="B4513">
        <v>35</v>
      </c>
      <c r="C4513" s="2">
        <v>44690</v>
      </c>
      <c r="D4513" s="2" t="str">
        <f>TEXT(Table5[[#This Row],[bill_date]],"mmmm")</f>
        <v>May</v>
      </c>
      <c r="E4513" s="9">
        <f>YEAR(Table5[[#This Row],[bill_date]])</f>
        <v>2022</v>
      </c>
      <c r="F4513">
        <v>1477</v>
      </c>
      <c r="G4513" t="s">
        <v>30</v>
      </c>
    </row>
    <row r="4514" spans="1:7" x14ac:dyDescent="0.3">
      <c r="A4514">
        <v>34513</v>
      </c>
      <c r="B4514">
        <v>360</v>
      </c>
      <c r="C4514" s="2">
        <v>45241</v>
      </c>
      <c r="D4514" s="2" t="str">
        <f>TEXT(Table5[[#This Row],[bill_date]],"mmmm")</f>
        <v>November</v>
      </c>
      <c r="E4514" s="9">
        <f>YEAR(Table5[[#This Row],[bill_date]])</f>
        <v>2023</v>
      </c>
      <c r="F4514">
        <v>495</v>
      </c>
      <c r="G4514" t="s">
        <v>30</v>
      </c>
    </row>
    <row r="4515" spans="1:7" x14ac:dyDescent="0.3">
      <c r="A4515">
        <v>34514</v>
      </c>
      <c r="B4515">
        <v>476</v>
      </c>
      <c r="C4515" s="2">
        <v>44979</v>
      </c>
      <c r="D4515" s="2" t="str">
        <f>TEXT(Table5[[#This Row],[bill_date]],"mmmm")</f>
        <v>February</v>
      </c>
      <c r="E4515" s="9">
        <f>YEAR(Table5[[#This Row],[bill_date]])</f>
        <v>2023</v>
      </c>
      <c r="F4515">
        <v>1747</v>
      </c>
      <c r="G4515" t="s">
        <v>30</v>
      </c>
    </row>
    <row r="4516" spans="1:7" x14ac:dyDescent="0.3">
      <c r="A4516">
        <v>34515</v>
      </c>
      <c r="B4516">
        <v>310</v>
      </c>
      <c r="C4516" s="2">
        <v>44958</v>
      </c>
      <c r="D4516" s="2" t="str">
        <f>TEXT(Table5[[#This Row],[bill_date]],"mmmm")</f>
        <v>February</v>
      </c>
      <c r="E4516" s="9">
        <f>YEAR(Table5[[#This Row],[bill_date]])</f>
        <v>2023</v>
      </c>
      <c r="F4516">
        <v>1099</v>
      </c>
      <c r="G4516" t="s">
        <v>28</v>
      </c>
    </row>
    <row r="4517" spans="1:7" x14ac:dyDescent="0.3">
      <c r="A4517">
        <v>34516</v>
      </c>
      <c r="B4517">
        <v>474</v>
      </c>
      <c r="C4517" s="2">
        <v>44622</v>
      </c>
      <c r="D4517" s="2" t="str">
        <f>TEXT(Table5[[#This Row],[bill_date]],"mmmm")</f>
        <v>March</v>
      </c>
      <c r="E4517" s="9">
        <f>YEAR(Table5[[#This Row],[bill_date]])</f>
        <v>2022</v>
      </c>
      <c r="F4517">
        <v>756</v>
      </c>
      <c r="G4517" t="s">
        <v>30</v>
      </c>
    </row>
    <row r="4518" spans="1:7" x14ac:dyDescent="0.3">
      <c r="A4518">
        <v>34517</v>
      </c>
      <c r="B4518">
        <v>224</v>
      </c>
      <c r="C4518" s="2">
        <v>44678</v>
      </c>
      <c r="D4518" s="2" t="str">
        <f>TEXT(Table5[[#This Row],[bill_date]],"mmmm")</f>
        <v>April</v>
      </c>
      <c r="E4518" s="9">
        <f>YEAR(Table5[[#This Row],[bill_date]])</f>
        <v>2022</v>
      </c>
      <c r="F4518">
        <v>532</v>
      </c>
      <c r="G4518" t="s">
        <v>28</v>
      </c>
    </row>
    <row r="4519" spans="1:7" x14ac:dyDescent="0.3">
      <c r="A4519">
        <v>34518</v>
      </c>
      <c r="B4519">
        <v>124</v>
      </c>
      <c r="C4519" s="2">
        <v>45395</v>
      </c>
      <c r="D4519" s="2" t="str">
        <f>TEXT(Table5[[#This Row],[bill_date]],"mmmm")</f>
        <v>April</v>
      </c>
      <c r="E4519" s="9">
        <f>YEAR(Table5[[#This Row],[bill_date]])</f>
        <v>2024</v>
      </c>
      <c r="F4519">
        <v>1976</v>
      </c>
      <c r="G4519" t="s">
        <v>30</v>
      </c>
    </row>
    <row r="4520" spans="1:7" x14ac:dyDescent="0.3">
      <c r="A4520">
        <v>34519</v>
      </c>
      <c r="B4520">
        <v>240</v>
      </c>
      <c r="C4520" s="2">
        <v>45196</v>
      </c>
      <c r="D4520" s="2" t="str">
        <f>TEXT(Table5[[#This Row],[bill_date]],"mmmm")</f>
        <v>September</v>
      </c>
      <c r="E4520" s="9">
        <f>YEAR(Table5[[#This Row],[bill_date]])</f>
        <v>2023</v>
      </c>
      <c r="F4520">
        <v>1293</v>
      </c>
      <c r="G4520" t="s">
        <v>30</v>
      </c>
    </row>
    <row r="4521" spans="1:7" x14ac:dyDescent="0.3">
      <c r="A4521">
        <v>34520</v>
      </c>
      <c r="B4521">
        <v>434</v>
      </c>
      <c r="C4521" s="2">
        <v>45333</v>
      </c>
      <c r="D4521" s="2" t="str">
        <f>TEXT(Table5[[#This Row],[bill_date]],"mmmm")</f>
        <v>February</v>
      </c>
      <c r="E4521" s="9">
        <f>YEAR(Table5[[#This Row],[bill_date]])</f>
        <v>2024</v>
      </c>
      <c r="F4521">
        <v>1164</v>
      </c>
      <c r="G4521" t="s">
        <v>30</v>
      </c>
    </row>
    <row r="4522" spans="1:7" x14ac:dyDescent="0.3">
      <c r="A4522">
        <v>34521</v>
      </c>
      <c r="B4522">
        <v>364</v>
      </c>
      <c r="C4522" s="2">
        <v>45034</v>
      </c>
      <c r="D4522" s="2" t="str">
        <f>TEXT(Table5[[#This Row],[bill_date]],"mmmm")</f>
        <v>April</v>
      </c>
      <c r="E4522" s="9">
        <f>YEAR(Table5[[#This Row],[bill_date]])</f>
        <v>2023</v>
      </c>
      <c r="F4522">
        <v>257</v>
      </c>
      <c r="G4522" t="s">
        <v>29</v>
      </c>
    </row>
    <row r="4523" spans="1:7" x14ac:dyDescent="0.3">
      <c r="A4523">
        <v>34522</v>
      </c>
      <c r="B4523">
        <v>300</v>
      </c>
      <c r="C4523" s="2">
        <v>45299</v>
      </c>
      <c r="D4523" s="2" t="str">
        <f>TEXT(Table5[[#This Row],[bill_date]],"mmmm")</f>
        <v>January</v>
      </c>
      <c r="E4523" s="9">
        <f>YEAR(Table5[[#This Row],[bill_date]])</f>
        <v>2024</v>
      </c>
      <c r="F4523">
        <v>914</v>
      </c>
      <c r="G4523" t="s">
        <v>30</v>
      </c>
    </row>
    <row r="4524" spans="1:7" x14ac:dyDescent="0.3">
      <c r="A4524">
        <v>34523</v>
      </c>
      <c r="B4524">
        <v>341</v>
      </c>
      <c r="C4524" s="2">
        <v>44958</v>
      </c>
      <c r="D4524" s="2" t="str">
        <f>TEXT(Table5[[#This Row],[bill_date]],"mmmm")</f>
        <v>February</v>
      </c>
      <c r="E4524" s="9">
        <f>YEAR(Table5[[#This Row],[bill_date]])</f>
        <v>2023</v>
      </c>
      <c r="F4524">
        <v>1204</v>
      </c>
      <c r="G4524" t="s">
        <v>30</v>
      </c>
    </row>
    <row r="4525" spans="1:7" x14ac:dyDescent="0.3">
      <c r="A4525">
        <v>34524</v>
      </c>
      <c r="B4525">
        <v>4</v>
      </c>
      <c r="C4525" s="2">
        <v>45365</v>
      </c>
      <c r="D4525" s="2" t="str">
        <f>TEXT(Table5[[#This Row],[bill_date]],"mmmm")</f>
        <v>March</v>
      </c>
      <c r="E4525" s="9">
        <f>YEAR(Table5[[#This Row],[bill_date]])</f>
        <v>2024</v>
      </c>
      <c r="F4525">
        <v>1273</v>
      </c>
      <c r="G4525" t="s">
        <v>30</v>
      </c>
    </row>
    <row r="4526" spans="1:7" x14ac:dyDescent="0.3">
      <c r="A4526">
        <v>34525</v>
      </c>
      <c r="B4526">
        <v>123</v>
      </c>
      <c r="C4526" s="2">
        <v>45425</v>
      </c>
      <c r="D4526" s="2" t="str">
        <f>TEXT(Table5[[#This Row],[bill_date]],"mmmm")</f>
        <v>May</v>
      </c>
      <c r="E4526" s="9">
        <f>YEAR(Table5[[#This Row],[bill_date]])</f>
        <v>2024</v>
      </c>
      <c r="F4526">
        <v>214</v>
      </c>
      <c r="G4526" t="s">
        <v>30</v>
      </c>
    </row>
    <row r="4527" spans="1:7" x14ac:dyDescent="0.3">
      <c r="A4527">
        <v>34526</v>
      </c>
      <c r="B4527">
        <v>42</v>
      </c>
      <c r="C4527" s="2">
        <v>45259</v>
      </c>
      <c r="D4527" s="2" t="str">
        <f>TEXT(Table5[[#This Row],[bill_date]],"mmmm")</f>
        <v>November</v>
      </c>
      <c r="E4527" s="9">
        <f>YEAR(Table5[[#This Row],[bill_date]])</f>
        <v>2023</v>
      </c>
      <c r="F4527">
        <v>1726</v>
      </c>
      <c r="G4527" t="s">
        <v>30</v>
      </c>
    </row>
    <row r="4528" spans="1:7" x14ac:dyDescent="0.3">
      <c r="A4528">
        <v>34527</v>
      </c>
      <c r="B4528">
        <v>169</v>
      </c>
      <c r="C4528" s="2">
        <v>45158</v>
      </c>
      <c r="D4528" s="2" t="str">
        <f>TEXT(Table5[[#This Row],[bill_date]],"mmmm")</f>
        <v>August</v>
      </c>
      <c r="E4528" s="9">
        <f>YEAR(Table5[[#This Row],[bill_date]])</f>
        <v>2023</v>
      </c>
      <c r="F4528">
        <v>249</v>
      </c>
      <c r="G4528" t="s">
        <v>30</v>
      </c>
    </row>
    <row r="4529" spans="1:7" x14ac:dyDescent="0.3">
      <c r="A4529">
        <v>34528</v>
      </c>
      <c r="B4529">
        <v>420</v>
      </c>
      <c r="C4529" s="2">
        <v>44779</v>
      </c>
      <c r="D4529" s="2" t="str">
        <f>TEXT(Table5[[#This Row],[bill_date]],"mmmm")</f>
        <v>August</v>
      </c>
      <c r="E4529" s="9">
        <f>YEAR(Table5[[#This Row],[bill_date]])</f>
        <v>2022</v>
      </c>
      <c r="F4529">
        <v>1958</v>
      </c>
      <c r="G4529" t="s">
        <v>30</v>
      </c>
    </row>
    <row r="4530" spans="1:7" x14ac:dyDescent="0.3">
      <c r="A4530">
        <v>34529</v>
      </c>
      <c r="B4530">
        <v>280</v>
      </c>
      <c r="C4530" s="2">
        <v>45216</v>
      </c>
      <c r="D4530" s="2" t="str">
        <f>TEXT(Table5[[#This Row],[bill_date]],"mmmm")</f>
        <v>October</v>
      </c>
      <c r="E4530" s="9">
        <f>YEAR(Table5[[#This Row],[bill_date]])</f>
        <v>2023</v>
      </c>
      <c r="F4530">
        <v>1350</v>
      </c>
      <c r="G4530" t="s">
        <v>30</v>
      </c>
    </row>
    <row r="4531" spans="1:7" x14ac:dyDescent="0.3">
      <c r="A4531">
        <v>34530</v>
      </c>
      <c r="B4531">
        <v>225</v>
      </c>
      <c r="C4531" s="2">
        <v>45038</v>
      </c>
      <c r="D4531" s="2" t="str">
        <f>TEXT(Table5[[#This Row],[bill_date]],"mmmm")</f>
        <v>April</v>
      </c>
      <c r="E4531" s="9">
        <f>YEAR(Table5[[#This Row],[bill_date]])</f>
        <v>2023</v>
      </c>
      <c r="F4531">
        <v>1392</v>
      </c>
      <c r="G4531" t="s">
        <v>30</v>
      </c>
    </row>
    <row r="4532" spans="1:7" x14ac:dyDescent="0.3">
      <c r="A4532">
        <v>34531</v>
      </c>
      <c r="B4532">
        <v>389</v>
      </c>
      <c r="C4532" s="2">
        <v>45163</v>
      </c>
      <c r="D4532" s="2" t="str">
        <f>TEXT(Table5[[#This Row],[bill_date]],"mmmm")</f>
        <v>August</v>
      </c>
      <c r="E4532" s="9">
        <f>YEAR(Table5[[#This Row],[bill_date]])</f>
        <v>2023</v>
      </c>
      <c r="F4532">
        <v>1802</v>
      </c>
      <c r="G4532" t="s">
        <v>28</v>
      </c>
    </row>
    <row r="4533" spans="1:7" x14ac:dyDescent="0.3">
      <c r="A4533">
        <v>34532</v>
      </c>
      <c r="B4533">
        <v>185</v>
      </c>
      <c r="C4533" s="2">
        <v>45414</v>
      </c>
      <c r="D4533" s="2" t="str">
        <f>TEXT(Table5[[#This Row],[bill_date]],"mmmm")</f>
        <v>May</v>
      </c>
      <c r="E4533" s="9">
        <f>YEAR(Table5[[#This Row],[bill_date]])</f>
        <v>2024</v>
      </c>
      <c r="F4533">
        <v>1855</v>
      </c>
      <c r="G4533" t="s">
        <v>30</v>
      </c>
    </row>
    <row r="4534" spans="1:7" x14ac:dyDescent="0.3">
      <c r="A4534">
        <v>34533</v>
      </c>
      <c r="B4534">
        <v>323</v>
      </c>
      <c r="C4534" s="2">
        <v>44829</v>
      </c>
      <c r="D4534" s="2" t="str">
        <f>TEXT(Table5[[#This Row],[bill_date]],"mmmm")</f>
        <v>September</v>
      </c>
      <c r="E4534" s="9">
        <f>YEAR(Table5[[#This Row],[bill_date]])</f>
        <v>2022</v>
      </c>
      <c r="F4534">
        <v>1187</v>
      </c>
      <c r="G4534" t="s">
        <v>30</v>
      </c>
    </row>
    <row r="4535" spans="1:7" x14ac:dyDescent="0.3">
      <c r="A4535">
        <v>34534</v>
      </c>
      <c r="B4535">
        <v>11</v>
      </c>
      <c r="C4535" s="2">
        <v>44637</v>
      </c>
      <c r="D4535" s="2" t="str">
        <f>TEXT(Table5[[#This Row],[bill_date]],"mmmm")</f>
        <v>March</v>
      </c>
      <c r="E4535" s="9">
        <f>YEAR(Table5[[#This Row],[bill_date]])</f>
        <v>2022</v>
      </c>
      <c r="F4535">
        <v>1402</v>
      </c>
      <c r="G4535" t="s">
        <v>30</v>
      </c>
    </row>
    <row r="4536" spans="1:7" x14ac:dyDescent="0.3">
      <c r="A4536">
        <v>34535</v>
      </c>
      <c r="B4536">
        <v>173</v>
      </c>
      <c r="C4536" s="2">
        <v>44630</v>
      </c>
      <c r="D4536" s="2" t="str">
        <f>TEXT(Table5[[#This Row],[bill_date]],"mmmm")</f>
        <v>March</v>
      </c>
      <c r="E4536" s="9">
        <f>YEAR(Table5[[#This Row],[bill_date]])</f>
        <v>2022</v>
      </c>
      <c r="F4536">
        <v>936</v>
      </c>
      <c r="G4536" t="s">
        <v>30</v>
      </c>
    </row>
    <row r="4537" spans="1:7" x14ac:dyDescent="0.3">
      <c r="A4537">
        <v>34536</v>
      </c>
      <c r="B4537">
        <v>96</v>
      </c>
      <c r="C4537" s="2">
        <v>45006</v>
      </c>
      <c r="D4537" s="2" t="str">
        <f>TEXT(Table5[[#This Row],[bill_date]],"mmmm")</f>
        <v>March</v>
      </c>
      <c r="E4537" s="9">
        <f>YEAR(Table5[[#This Row],[bill_date]])</f>
        <v>2023</v>
      </c>
      <c r="F4537">
        <v>1104</v>
      </c>
      <c r="G4537" t="s">
        <v>30</v>
      </c>
    </row>
    <row r="4538" spans="1:7" x14ac:dyDescent="0.3">
      <c r="A4538">
        <v>34537</v>
      </c>
      <c r="B4538">
        <v>278</v>
      </c>
      <c r="C4538" s="2">
        <v>44859</v>
      </c>
      <c r="D4538" s="2" t="str">
        <f>TEXT(Table5[[#This Row],[bill_date]],"mmmm")</f>
        <v>October</v>
      </c>
      <c r="E4538" s="9">
        <f>YEAR(Table5[[#This Row],[bill_date]])</f>
        <v>2022</v>
      </c>
      <c r="F4538">
        <v>526</v>
      </c>
      <c r="G4538" t="s">
        <v>30</v>
      </c>
    </row>
    <row r="4539" spans="1:7" x14ac:dyDescent="0.3">
      <c r="A4539">
        <v>34538</v>
      </c>
      <c r="B4539">
        <v>139</v>
      </c>
      <c r="C4539" s="2">
        <v>45035</v>
      </c>
      <c r="D4539" s="2" t="str">
        <f>TEXT(Table5[[#This Row],[bill_date]],"mmmm")</f>
        <v>April</v>
      </c>
      <c r="E4539" s="9">
        <f>YEAR(Table5[[#This Row],[bill_date]])</f>
        <v>2023</v>
      </c>
      <c r="F4539">
        <v>1925</v>
      </c>
      <c r="G4539" t="s">
        <v>30</v>
      </c>
    </row>
    <row r="4540" spans="1:7" x14ac:dyDescent="0.3">
      <c r="A4540">
        <v>34539</v>
      </c>
      <c r="B4540">
        <v>166</v>
      </c>
      <c r="C4540" s="2">
        <v>44721</v>
      </c>
      <c r="D4540" s="2" t="str">
        <f>TEXT(Table5[[#This Row],[bill_date]],"mmmm")</f>
        <v>June</v>
      </c>
      <c r="E4540" s="9">
        <f>YEAR(Table5[[#This Row],[bill_date]])</f>
        <v>2022</v>
      </c>
      <c r="F4540">
        <v>1130</v>
      </c>
      <c r="G4540" t="s">
        <v>30</v>
      </c>
    </row>
    <row r="4541" spans="1:7" x14ac:dyDescent="0.3">
      <c r="A4541">
        <v>34540</v>
      </c>
      <c r="B4541">
        <v>187</v>
      </c>
      <c r="C4541" s="2">
        <v>45459</v>
      </c>
      <c r="D4541" s="2" t="str">
        <f>TEXT(Table5[[#This Row],[bill_date]],"mmmm")</f>
        <v>June</v>
      </c>
      <c r="E4541" s="9">
        <f>YEAR(Table5[[#This Row],[bill_date]])</f>
        <v>2024</v>
      </c>
      <c r="F4541">
        <v>499</v>
      </c>
      <c r="G4541" t="s">
        <v>30</v>
      </c>
    </row>
    <row r="4542" spans="1:7" x14ac:dyDescent="0.3">
      <c r="A4542">
        <v>34541</v>
      </c>
      <c r="B4542">
        <v>86</v>
      </c>
      <c r="C4542" s="2">
        <v>44569</v>
      </c>
      <c r="D4542" s="2" t="str">
        <f>TEXT(Table5[[#This Row],[bill_date]],"mmmm")</f>
        <v>January</v>
      </c>
      <c r="E4542" s="9">
        <f>YEAR(Table5[[#This Row],[bill_date]])</f>
        <v>2022</v>
      </c>
      <c r="F4542">
        <v>1473</v>
      </c>
      <c r="G4542" t="s">
        <v>30</v>
      </c>
    </row>
    <row r="4543" spans="1:7" x14ac:dyDescent="0.3">
      <c r="A4543">
        <v>34542</v>
      </c>
      <c r="B4543">
        <v>388</v>
      </c>
      <c r="C4543" s="2">
        <v>45292</v>
      </c>
      <c r="D4543" s="2" t="str">
        <f>TEXT(Table5[[#This Row],[bill_date]],"mmmm")</f>
        <v>January</v>
      </c>
      <c r="E4543" s="9">
        <f>YEAR(Table5[[#This Row],[bill_date]])</f>
        <v>2024</v>
      </c>
      <c r="F4543">
        <v>716</v>
      </c>
      <c r="G4543" t="s">
        <v>30</v>
      </c>
    </row>
    <row r="4544" spans="1:7" x14ac:dyDescent="0.3">
      <c r="A4544">
        <v>34543</v>
      </c>
      <c r="B4544">
        <v>231</v>
      </c>
      <c r="C4544" s="2">
        <v>45046</v>
      </c>
      <c r="D4544" s="2" t="str">
        <f>TEXT(Table5[[#This Row],[bill_date]],"mmmm")</f>
        <v>April</v>
      </c>
      <c r="E4544" s="9">
        <f>YEAR(Table5[[#This Row],[bill_date]])</f>
        <v>2023</v>
      </c>
      <c r="F4544">
        <v>460</v>
      </c>
      <c r="G4544" t="s">
        <v>30</v>
      </c>
    </row>
    <row r="4545" spans="1:7" x14ac:dyDescent="0.3">
      <c r="A4545">
        <v>34544</v>
      </c>
      <c r="B4545">
        <v>451</v>
      </c>
      <c r="C4545" s="2">
        <v>45383</v>
      </c>
      <c r="D4545" s="2" t="str">
        <f>TEXT(Table5[[#This Row],[bill_date]],"mmmm")</f>
        <v>April</v>
      </c>
      <c r="E4545" s="9">
        <f>YEAR(Table5[[#This Row],[bill_date]])</f>
        <v>2024</v>
      </c>
      <c r="F4545">
        <v>289</v>
      </c>
      <c r="G4545" t="s">
        <v>30</v>
      </c>
    </row>
    <row r="4546" spans="1:7" x14ac:dyDescent="0.3">
      <c r="A4546">
        <v>34545</v>
      </c>
      <c r="B4546">
        <v>138</v>
      </c>
      <c r="C4546" s="2">
        <v>44649</v>
      </c>
      <c r="D4546" s="2" t="str">
        <f>TEXT(Table5[[#This Row],[bill_date]],"mmmm")</f>
        <v>March</v>
      </c>
      <c r="E4546" s="9">
        <f>YEAR(Table5[[#This Row],[bill_date]])</f>
        <v>2022</v>
      </c>
      <c r="F4546">
        <v>392</v>
      </c>
      <c r="G4546" t="s">
        <v>30</v>
      </c>
    </row>
    <row r="4547" spans="1:7" x14ac:dyDescent="0.3">
      <c r="A4547">
        <v>34546</v>
      </c>
      <c r="B4547">
        <v>485</v>
      </c>
      <c r="C4547" s="2">
        <v>44702</v>
      </c>
      <c r="D4547" s="2" t="str">
        <f>TEXT(Table5[[#This Row],[bill_date]],"mmmm")</f>
        <v>May</v>
      </c>
      <c r="E4547" s="9">
        <f>YEAR(Table5[[#This Row],[bill_date]])</f>
        <v>2022</v>
      </c>
      <c r="F4547">
        <v>1551</v>
      </c>
      <c r="G4547" t="s">
        <v>30</v>
      </c>
    </row>
    <row r="4548" spans="1:7" x14ac:dyDescent="0.3">
      <c r="A4548">
        <v>34547</v>
      </c>
      <c r="B4548">
        <v>19</v>
      </c>
      <c r="C4548" s="2">
        <v>45102</v>
      </c>
      <c r="D4548" s="2" t="str">
        <f>TEXT(Table5[[#This Row],[bill_date]],"mmmm")</f>
        <v>June</v>
      </c>
      <c r="E4548" s="9">
        <f>YEAR(Table5[[#This Row],[bill_date]])</f>
        <v>2023</v>
      </c>
      <c r="F4548">
        <v>1286</v>
      </c>
      <c r="G4548" t="s">
        <v>30</v>
      </c>
    </row>
    <row r="4549" spans="1:7" x14ac:dyDescent="0.3">
      <c r="A4549">
        <v>34548</v>
      </c>
      <c r="B4549">
        <v>338</v>
      </c>
      <c r="C4549" s="2">
        <v>45086</v>
      </c>
      <c r="D4549" s="2" t="str">
        <f>TEXT(Table5[[#This Row],[bill_date]],"mmmm")</f>
        <v>June</v>
      </c>
      <c r="E4549" s="9">
        <f>YEAR(Table5[[#This Row],[bill_date]])</f>
        <v>2023</v>
      </c>
      <c r="F4549">
        <v>1516</v>
      </c>
      <c r="G4549" t="s">
        <v>30</v>
      </c>
    </row>
    <row r="4550" spans="1:7" x14ac:dyDescent="0.3">
      <c r="A4550">
        <v>34549</v>
      </c>
      <c r="B4550">
        <v>156</v>
      </c>
      <c r="C4550" s="2">
        <v>45387</v>
      </c>
      <c r="D4550" s="2" t="str">
        <f>TEXT(Table5[[#This Row],[bill_date]],"mmmm")</f>
        <v>April</v>
      </c>
      <c r="E4550" s="9">
        <f>YEAR(Table5[[#This Row],[bill_date]])</f>
        <v>2024</v>
      </c>
      <c r="F4550">
        <v>424</v>
      </c>
      <c r="G4550" t="s">
        <v>30</v>
      </c>
    </row>
    <row r="4551" spans="1:7" x14ac:dyDescent="0.3">
      <c r="A4551">
        <v>34550</v>
      </c>
      <c r="B4551">
        <v>95</v>
      </c>
      <c r="C4551" s="2">
        <v>45136</v>
      </c>
      <c r="D4551" s="2" t="str">
        <f>TEXT(Table5[[#This Row],[bill_date]],"mmmm")</f>
        <v>July</v>
      </c>
      <c r="E4551" s="9">
        <f>YEAR(Table5[[#This Row],[bill_date]])</f>
        <v>2023</v>
      </c>
      <c r="F4551">
        <v>643</v>
      </c>
      <c r="G4551" t="s">
        <v>30</v>
      </c>
    </row>
    <row r="4552" spans="1:7" x14ac:dyDescent="0.3">
      <c r="A4552">
        <v>34551</v>
      </c>
      <c r="B4552">
        <v>17</v>
      </c>
      <c r="C4552" s="2">
        <v>44904</v>
      </c>
      <c r="D4552" s="2" t="str">
        <f>TEXT(Table5[[#This Row],[bill_date]],"mmmm")</f>
        <v>December</v>
      </c>
      <c r="E4552" s="9">
        <f>YEAR(Table5[[#This Row],[bill_date]])</f>
        <v>2022</v>
      </c>
      <c r="F4552">
        <v>532</v>
      </c>
      <c r="G4552" t="s">
        <v>30</v>
      </c>
    </row>
    <row r="4553" spans="1:7" x14ac:dyDescent="0.3">
      <c r="A4553">
        <v>34552</v>
      </c>
      <c r="B4553">
        <v>280</v>
      </c>
      <c r="C4553" s="2">
        <v>45248</v>
      </c>
      <c r="D4553" s="2" t="str">
        <f>TEXT(Table5[[#This Row],[bill_date]],"mmmm")</f>
        <v>November</v>
      </c>
      <c r="E4553" s="9">
        <f>YEAR(Table5[[#This Row],[bill_date]])</f>
        <v>2023</v>
      </c>
      <c r="F4553">
        <v>1285</v>
      </c>
      <c r="G4553" t="s">
        <v>28</v>
      </c>
    </row>
    <row r="4554" spans="1:7" x14ac:dyDescent="0.3">
      <c r="A4554">
        <v>34553</v>
      </c>
      <c r="B4554">
        <v>385</v>
      </c>
      <c r="C4554" s="2">
        <v>44777</v>
      </c>
      <c r="D4554" s="2" t="str">
        <f>TEXT(Table5[[#This Row],[bill_date]],"mmmm")</f>
        <v>August</v>
      </c>
      <c r="E4554" s="9">
        <f>YEAR(Table5[[#This Row],[bill_date]])</f>
        <v>2022</v>
      </c>
      <c r="F4554">
        <v>695</v>
      </c>
      <c r="G4554" t="s">
        <v>30</v>
      </c>
    </row>
    <row r="4555" spans="1:7" x14ac:dyDescent="0.3">
      <c r="A4555">
        <v>34554</v>
      </c>
      <c r="B4555">
        <v>261</v>
      </c>
      <c r="C4555" s="2">
        <v>45067</v>
      </c>
      <c r="D4555" s="2" t="str">
        <f>TEXT(Table5[[#This Row],[bill_date]],"mmmm")</f>
        <v>May</v>
      </c>
      <c r="E4555" s="9">
        <f>YEAR(Table5[[#This Row],[bill_date]])</f>
        <v>2023</v>
      </c>
      <c r="F4555">
        <v>1805</v>
      </c>
      <c r="G4555" t="s">
        <v>30</v>
      </c>
    </row>
    <row r="4556" spans="1:7" x14ac:dyDescent="0.3">
      <c r="A4556">
        <v>34555</v>
      </c>
      <c r="B4556">
        <v>160</v>
      </c>
      <c r="C4556" s="2">
        <v>45308</v>
      </c>
      <c r="D4556" s="2" t="str">
        <f>TEXT(Table5[[#This Row],[bill_date]],"mmmm")</f>
        <v>January</v>
      </c>
      <c r="E4556" s="9">
        <f>YEAR(Table5[[#This Row],[bill_date]])</f>
        <v>2024</v>
      </c>
      <c r="F4556">
        <v>1754</v>
      </c>
      <c r="G4556" t="s">
        <v>30</v>
      </c>
    </row>
    <row r="4557" spans="1:7" x14ac:dyDescent="0.3">
      <c r="A4557">
        <v>34556</v>
      </c>
      <c r="B4557">
        <v>309</v>
      </c>
      <c r="C4557" s="2">
        <v>45160</v>
      </c>
      <c r="D4557" s="2" t="str">
        <f>TEXT(Table5[[#This Row],[bill_date]],"mmmm")</f>
        <v>August</v>
      </c>
      <c r="E4557" s="9">
        <f>YEAR(Table5[[#This Row],[bill_date]])</f>
        <v>2023</v>
      </c>
      <c r="F4557">
        <v>1681</v>
      </c>
      <c r="G4557" t="s">
        <v>30</v>
      </c>
    </row>
    <row r="4558" spans="1:7" x14ac:dyDescent="0.3">
      <c r="A4558">
        <v>34557</v>
      </c>
      <c r="B4558">
        <v>81</v>
      </c>
      <c r="C4558" s="2">
        <v>44635</v>
      </c>
      <c r="D4558" s="2" t="str">
        <f>TEXT(Table5[[#This Row],[bill_date]],"mmmm")</f>
        <v>March</v>
      </c>
      <c r="E4558" s="9">
        <f>YEAR(Table5[[#This Row],[bill_date]])</f>
        <v>2022</v>
      </c>
      <c r="F4558">
        <v>1555</v>
      </c>
      <c r="G4558" t="s">
        <v>30</v>
      </c>
    </row>
    <row r="4559" spans="1:7" x14ac:dyDescent="0.3">
      <c r="A4559">
        <v>34558</v>
      </c>
      <c r="B4559">
        <v>185</v>
      </c>
      <c r="C4559" s="2">
        <v>45367</v>
      </c>
      <c r="D4559" s="2" t="str">
        <f>TEXT(Table5[[#This Row],[bill_date]],"mmmm")</f>
        <v>March</v>
      </c>
      <c r="E4559" s="9">
        <f>YEAR(Table5[[#This Row],[bill_date]])</f>
        <v>2024</v>
      </c>
      <c r="F4559">
        <v>1213</v>
      </c>
      <c r="G4559" t="s">
        <v>30</v>
      </c>
    </row>
    <row r="4560" spans="1:7" x14ac:dyDescent="0.3">
      <c r="A4560">
        <v>34559</v>
      </c>
      <c r="B4560">
        <v>213</v>
      </c>
      <c r="C4560" s="2">
        <v>45142</v>
      </c>
      <c r="D4560" s="2" t="str">
        <f>TEXT(Table5[[#This Row],[bill_date]],"mmmm")</f>
        <v>August</v>
      </c>
      <c r="E4560" s="9">
        <f>YEAR(Table5[[#This Row],[bill_date]])</f>
        <v>2023</v>
      </c>
      <c r="F4560">
        <v>443</v>
      </c>
      <c r="G4560" t="s">
        <v>30</v>
      </c>
    </row>
    <row r="4561" spans="1:7" x14ac:dyDescent="0.3">
      <c r="A4561">
        <v>34560</v>
      </c>
      <c r="B4561">
        <v>489</v>
      </c>
      <c r="C4561" s="2">
        <v>44630</v>
      </c>
      <c r="D4561" s="2" t="str">
        <f>TEXT(Table5[[#This Row],[bill_date]],"mmmm")</f>
        <v>March</v>
      </c>
      <c r="E4561" s="9">
        <f>YEAR(Table5[[#This Row],[bill_date]])</f>
        <v>2022</v>
      </c>
      <c r="F4561">
        <v>262</v>
      </c>
      <c r="G4561" t="s">
        <v>30</v>
      </c>
    </row>
    <row r="4562" spans="1:7" x14ac:dyDescent="0.3">
      <c r="A4562">
        <v>34561</v>
      </c>
      <c r="B4562">
        <v>427</v>
      </c>
      <c r="C4562" s="2">
        <v>44784</v>
      </c>
      <c r="D4562" s="2" t="str">
        <f>TEXT(Table5[[#This Row],[bill_date]],"mmmm")</f>
        <v>August</v>
      </c>
      <c r="E4562" s="9">
        <f>YEAR(Table5[[#This Row],[bill_date]])</f>
        <v>2022</v>
      </c>
      <c r="F4562">
        <v>1003</v>
      </c>
      <c r="G4562" t="s">
        <v>30</v>
      </c>
    </row>
    <row r="4563" spans="1:7" x14ac:dyDescent="0.3">
      <c r="A4563">
        <v>34562</v>
      </c>
      <c r="B4563">
        <v>342</v>
      </c>
      <c r="C4563" s="2">
        <v>45458</v>
      </c>
      <c r="D4563" s="2" t="str">
        <f>TEXT(Table5[[#This Row],[bill_date]],"mmmm")</f>
        <v>June</v>
      </c>
      <c r="E4563" s="9">
        <f>YEAR(Table5[[#This Row],[bill_date]])</f>
        <v>2024</v>
      </c>
      <c r="F4563">
        <v>1130</v>
      </c>
      <c r="G4563" t="s">
        <v>30</v>
      </c>
    </row>
    <row r="4564" spans="1:7" x14ac:dyDescent="0.3">
      <c r="A4564">
        <v>34563</v>
      </c>
      <c r="B4564">
        <v>359</v>
      </c>
      <c r="C4564" s="2">
        <v>44947</v>
      </c>
      <c r="D4564" s="2" t="str">
        <f>TEXT(Table5[[#This Row],[bill_date]],"mmmm")</f>
        <v>January</v>
      </c>
      <c r="E4564" s="9">
        <f>YEAR(Table5[[#This Row],[bill_date]])</f>
        <v>2023</v>
      </c>
      <c r="F4564">
        <v>1959</v>
      </c>
      <c r="G4564" t="s">
        <v>30</v>
      </c>
    </row>
    <row r="4565" spans="1:7" x14ac:dyDescent="0.3">
      <c r="A4565">
        <v>34564</v>
      </c>
      <c r="B4565">
        <v>167</v>
      </c>
      <c r="C4565" s="2">
        <v>45442</v>
      </c>
      <c r="D4565" s="2" t="str">
        <f>TEXT(Table5[[#This Row],[bill_date]],"mmmm")</f>
        <v>May</v>
      </c>
      <c r="E4565" s="9">
        <f>YEAR(Table5[[#This Row],[bill_date]])</f>
        <v>2024</v>
      </c>
      <c r="F4565">
        <v>1488</v>
      </c>
      <c r="G4565" t="s">
        <v>28</v>
      </c>
    </row>
    <row r="4566" spans="1:7" x14ac:dyDescent="0.3">
      <c r="A4566">
        <v>34565</v>
      </c>
      <c r="B4566">
        <v>418</v>
      </c>
      <c r="C4566" s="2">
        <v>44846</v>
      </c>
      <c r="D4566" s="2" t="str">
        <f>TEXT(Table5[[#This Row],[bill_date]],"mmmm")</f>
        <v>October</v>
      </c>
      <c r="E4566" s="9">
        <f>YEAR(Table5[[#This Row],[bill_date]])</f>
        <v>2022</v>
      </c>
      <c r="F4566">
        <v>360</v>
      </c>
      <c r="G4566" t="s">
        <v>30</v>
      </c>
    </row>
    <row r="4567" spans="1:7" x14ac:dyDescent="0.3">
      <c r="A4567">
        <v>34566</v>
      </c>
      <c r="B4567">
        <v>206</v>
      </c>
      <c r="C4567" s="2">
        <v>44683</v>
      </c>
      <c r="D4567" s="2" t="str">
        <f>TEXT(Table5[[#This Row],[bill_date]],"mmmm")</f>
        <v>May</v>
      </c>
      <c r="E4567" s="9">
        <f>YEAR(Table5[[#This Row],[bill_date]])</f>
        <v>2022</v>
      </c>
      <c r="F4567">
        <v>1267</v>
      </c>
      <c r="G4567" t="s">
        <v>28</v>
      </c>
    </row>
    <row r="4568" spans="1:7" x14ac:dyDescent="0.3">
      <c r="A4568">
        <v>34567</v>
      </c>
      <c r="B4568">
        <v>336</v>
      </c>
      <c r="C4568" s="2">
        <v>45336</v>
      </c>
      <c r="D4568" s="2" t="str">
        <f>TEXT(Table5[[#This Row],[bill_date]],"mmmm")</f>
        <v>February</v>
      </c>
      <c r="E4568" s="9">
        <f>YEAR(Table5[[#This Row],[bill_date]])</f>
        <v>2024</v>
      </c>
      <c r="F4568">
        <v>223</v>
      </c>
      <c r="G4568" t="s">
        <v>30</v>
      </c>
    </row>
    <row r="4569" spans="1:7" x14ac:dyDescent="0.3">
      <c r="A4569">
        <v>34568</v>
      </c>
      <c r="B4569">
        <v>261</v>
      </c>
      <c r="C4569" s="2">
        <v>45294</v>
      </c>
      <c r="D4569" s="2" t="str">
        <f>TEXT(Table5[[#This Row],[bill_date]],"mmmm")</f>
        <v>January</v>
      </c>
      <c r="E4569" s="9">
        <f>YEAR(Table5[[#This Row],[bill_date]])</f>
        <v>2024</v>
      </c>
      <c r="F4569">
        <v>498</v>
      </c>
      <c r="G4569" t="s">
        <v>28</v>
      </c>
    </row>
    <row r="4570" spans="1:7" x14ac:dyDescent="0.3">
      <c r="A4570">
        <v>34569</v>
      </c>
      <c r="B4570">
        <v>274</v>
      </c>
      <c r="C4570" s="2">
        <v>45002</v>
      </c>
      <c r="D4570" s="2" t="str">
        <f>TEXT(Table5[[#This Row],[bill_date]],"mmmm")</f>
        <v>March</v>
      </c>
      <c r="E4570" s="9">
        <f>YEAR(Table5[[#This Row],[bill_date]])</f>
        <v>2023</v>
      </c>
      <c r="F4570">
        <v>1447</v>
      </c>
      <c r="G4570" t="s">
        <v>30</v>
      </c>
    </row>
    <row r="4571" spans="1:7" x14ac:dyDescent="0.3">
      <c r="A4571">
        <v>34570</v>
      </c>
      <c r="B4571">
        <v>388</v>
      </c>
      <c r="C4571" s="2">
        <v>45384</v>
      </c>
      <c r="D4571" s="2" t="str">
        <f>TEXT(Table5[[#This Row],[bill_date]],"mmmm")</f>
        <v>April</v>
      </c>
      <c r="E4571" s="9">
        <f>YEAR(Table5[[#This Row],[bill_date]])</f>
        <v>2024</v>
      </c>
      <c r="F4571">
        <v>272</v>
      </c>
      <c r="G4571" t="s">
        <v>30</v>
      </c>
    </row>
    <row r="4572" spans="1:7" x14ac:dyDescent="0.3">
      <c r="A4572">
        <v>34571</v>
      </c>
      <c r="B4572">
        <v>236</v>
      </c>
      <c r="C4572" s="2">
        <v>45018</v>
      </c>
      <c r="D4572" s="2" t="str">
        <f>TEXT(Table5[[#This Row],[bill_date]],"mmmm")</f>
        <v>April</v>
      </c>
      <c r="E4572" s="9">
        <f>YEAR(Table5[[#This Row],[bill_date]])</f>
        <v>2023</v>
      </c>
      <c r="F4572">
        <v>1338</v>
      </c>
      <c r="G4572" t="s">
        <v>30</v>
      </c>
    </row>
    <row r="4573" spans="1:7" x14ac:dyDescent="0.3">
      <c r="A4573">
        <v>34572</v>
      </c>
      <c r="B4573">
        <v>243</v>
      </c>
      <c r="C4573" s="2">
        <v>44725</v>
      </c>
      <c r="D4573" s="2" t="str">
        <f>TEXT(Table5[[#This Row],[bill_date]],"mmmm")</f>
        <v>June</v>
      </c>
      <c r="E4573" s="9">
        <f>YEAR(Table5[[#This Row],[bill_date]])</f>
        <v>2022</v>
      </c>
      <c r="F4573">
        <v>350</v>
      </c>
      <c r="G4573" t="s">
        <v>30</v>
      </c>
    </row>
    <row r="4574" spans="1:7" x14ac:dyDescent="0.3">
      <c r="A4574">
        <v>34573</v>
      </c>
      <c r="B4574">
        <v>220</v>
      </c>
      <c r="C4574" s="2">
        <v>44824</v>
      </c>
      <c r="D4574" s="2" t="str">
        <f>TEXT(Table5[[#This Row],[bill_date]],"mmmm")</f>
        <v>September</v>
      </c>
      <c r="E4574" s="9">
        <f>YEAR(Table5[[#This Row],[bill_date]])</f>
        <v>2022</v>
      </c>
      <c r="F4574">
        <v>779</v>
      </c>
      <c r="G4574" t="s">
        <v>30</v>
      </c>
    </row>
    <row r="4575" spans="1:7" x14ac:dyDescent="0.3">
      <c r="A4575">
        <v>34574</v>
      </c>
      <c r="B4575">
        <v>365</v>
      </c>
      <c r="C4575" s="2">
        <v>44653</v>
      </c>
      <c r="D4575" s="2" t="str">
        <f>TEXT(Table5[[#This Row],[bill_date]],"mmmm")</f>
        <v>April</v>
      </c>
      <c r="E4575" s="9">
        <f>YEAR(Table5[[#This Row],[bill_date]])</f>
        <v>2022</v>
      </c>
      <c r="F4575">
        <v>1936</v>
      </c>
      <c r="G4575" t="s">
        <v>30</v>
      </c>
    </row>
    <row r="4576" spans="1:7" x14ac:dyDescent="0.3">
      <c r="A4576">
        <v>34575</v>
      </c>
      <c r="B4576">
        <v>347</v>
      </c>
      <c r="C4576" s="2">
        <v>45339</v>
      </c>
      <c r="D4576" s="2" t="str">
        <f>TEXT(Table5[[#This Row],[bill_date]],"mmmm")</f>
        <v>February</v>
      </c>
      <c r="E4576" s="9">
        <f>YEAR(Table5[[#This Row],[bill_date]])</f>
        <v>2024</v>
      </c>
      <c r="F4576">
        <v>1313</v>
      </c>
      <c r="G4576" t="s">
        <v>30</v>
      </c>
    </row>
    <row r="4577" spans="1:7" x14ac:dyDescent="0.3">
      <c r="A4577">
        <v>34576</v>
      </c>
      <c r="B4577">
        <v>70</v>
      </c>
      <c r="C4577" s="2">
        <v>44897</v>
      </c>
      <c r="D4577" s="2" t="str">
        <f>TEXT(Table5[[#This Row],[bill_date]],"mmmm")</f>
        <v>December</v>
      </c>
      <c r="E4577" s="9">
        <f>YEAR(Table5[[#This Row],[bill_date]])</f>
        <v>2022</v>
      </c>
      <c r="F4577">
        <v>1784</v>
      </c>
      <c r="G4577" t="s">
        <v>30</v>
      </c>
    </row>
    <row r="4578" spans="1:7" x14ac:dyDescent="0.3">
      <c r="A4578">
        <v>34577</v>
      </c>
      <c r="B4578">
        <v>395</v>
      </c>
      <c r="C4578" s="2">
        <v>45147</v>
      </c>
      <c r="D4578" s="2" t="str">
        <f>TEXT(Table5[[#This Row],[bill_date]],"mmmm")</f>
        <v>August</v>
      </c>
      <c r="E4578" s="9">
        <f>YEAR(Table5[[#This Row],[bill_date]])</f>
        <v>2023</v>
      </c>
      <c r="F4578">
        <v>1511</v>
      </c>
      <c r="G4578" t="s">
        <v>30</v>
      </c>
    </row>
    <row r="4579" spans="1:7" x14ac:dyDescent="0.3">
      <c r="A4579">
        <v>34578</v>
      </c>
      <c r="B4579">
        <v>431</v>
      </c>
      <c r="C4579" s="2">
        <v>44875</v>
      </c>
      <c r="D4579" s="2" t="str">
        <f>TEXT(Table5[[#This Row],[bill_date]],"mmmm")</f>
        <v>November</v>
      </c>
      <c r="E4579" s="9">
        <f>YEAR(Table5[[#This Row],[bill_date]])</f>
        <v>2022</v>
      </c>
      <c r="F4579">
        <v>290</v>
      </c>
      <c r="G4579" t="s">
        <v>30</v>
      </c>
    </row>
    <row r="4580" spans="1:7" x14ac:dyDescent="0.3">
      <c r="A4580">
        <v>34579</v>
      </c>
      <c r="B4580">
        <v>213</v>
      </c>
      <c r="C4580" s="2">
        <v>45163</v>
      </c>
      <c r="D4580" s="2" t="str">
        <f>TEXT(Table5[[#This Row],[bill_date]],"mmmm")</f>
        <v>August</v>
      </c>
      <c r="E4580" s="9">
        <f>YEAR(Table5[[#This Row],[bill_date]])</f>
        <v>2023</v>
      </c>
      <c r="F4580">
        <v>1070</v>
      </c>
      <c r="G4580" t="s">
        <v>28</v>
      </c>
    </row>
    <row r="4581" spans="1:7" x14ac:dyDescent="0.3">
      <c r="A4581">
        <v>34580</v>
      </c>
      <c r="B4581">
        <v>337</v>
      </c>
      <c r="C4581" s="2">
        <v>45427</v>
      </c>
      <c r="D4581" s="2" t="str">
        <f>TEXT(Table5[[#This Row],[bill_date]],"mmmm")</f>
        <v>May</v>
      </c>
      <c r="E4581" s="9">
        <f>YEAR(Table5[[#This Row],[bill_date]])</f>
        <v>2024</v>
      </c>
      <c r="F4581">
        <v>945</v>
      </c>
      <c r="G4581" t="s">
        <v>30</v>
      </c>
    </row>
    <row r="4582" spans="1:7" x14ac:dyDescent="0.3">
      <c r="A4582">
        <v>34581</v>
      </c>
      <c r="B4582">
        <v>287</v>
      </c>
      <c r="C4582" s="2">
        <v>45369</v>
      </c>
      <c r="D4582" s="2" t="str">
        <f>TEXT(Table5[[#This Row],[bill_date]],"mmmm")</f>
        <v>March</v>
      </c>
      <c r="E4582" s="9">
        <f>YEAR(Table5[[#This Row],[bill_date]])</f>
        <v>2024</v>
      </c>
      <c r="F4582">
        <v>1609</v>
      </c>
      <c r="G4582" t="s">
        <v>28</v>
      </c>
    </row>
    <row r="4583" spans="1:7" x14ac:dyDescent="0.3">
      <c r="A4583">
        <v>34582</v>
      </c>
      <c r="B4583">
        <v>226</v>
      </c>
      <c r="C4583" s="2">
        <v>45027</v>
      </c>
      <c r="D4583" s="2" t="str">
        <f>TEXT(Table5[[#This Row],[bill_date]],"mmmm")</f>
        <v>April</v>
      </c>
      <c r="E4583" s="9">
        <f>YEAR(Table5[[#This Row],[bill_date]])</f>
        <v>2023</v>
      </c>
      <c r="F4583">
        <v>1637</v>
      </c>
      <c r="G4583" t="s">
        <v>28</v>
      </c>
    </row>
    <row r="4584" spans="1:7" x14ac:dyDescent="0.3">
      <c r="A4584">
        <v>34583</v>
      </c>
      <c r="B4584">
        <v>269</v>
      </c>
      <c r="C4584" s="2">
        <v>45202</v>
      </c>
      <c r="D4584" s="2" t="str">
        <f>TEXT(Table5[[#This Row],[bill_date]],"mmmm")</f>
        <v>October</v>
      </c>
      <c r="E4584" s="9">
        <f>YEAR(Table5[[#This Row],[bill_date]])</f>
        <v>2023</v>
      </c>
      <c r="F4584">
        <v>1026</v>
      </c>
      <c r="G4584" t="s">
        <v>30</v>
      </c>
    </row>
    <row r="4585" spans="1:7" x14ac:dyDescent="0.3">
      <c r="A4585">
        <v>34584</v>
      </c>
      <c r="B4585">
        <v>279</v>
      </c>
      <c r="C4585" s="2">
        <v>44962</v>
      </c>
      <c r="D4585" s="2" t="str">
        <f>TEXT(Table5[[#This Row],[bill_date]],"mmmm")</f>
        <v>February</v>
      </c>
      <c r="E4585" s="9">
        <f>YEAR(Table5[[#This Row],[bill_date]])</f>
        <v>2023</v>
      </c>
      <c r="F4585">
        <v>1763</v>
      </c>
      <c r="G4585" t="s">
        <v>30</v>
      </c>
    </row>
    <row r="4586" spans="1:7" x14ac:dyDescent="0.3">
      <c r="A4586">
        <v>34585</v>
      </c>
      <c r="B4586">
        <v>249</v>
      </c>
      <c r="C4586" s="2">
        <v>45122</v>
      </c>
      <c r="D4586" s="2" t="str">
        <f>TEXT(Table5[[#This Row],[bill_date]],"mmmm")</f>
        <v>July</v>
      </c>
      <c r="E4586" s="9">
        <f>YEAR(Table5[[#This Row],[bill_date]])</f>
        <v>2023</v>
      </c>
      <c r="F4586">
        <v>1394</v>
      </c>
      <c r="G4586" t="s">
        <v>28</v>
      </c>
    </row>
    <row r="4587" spans="1:7" x14ac:dyDescent="0.3">
      <c r="A4587">
        <v>34586</v>
      </c>
      <c r="B4587">
        <v>321</v>
      </c>
      <c r="C4587" s="2">
        <v>45159</v>
      </c>
      <c r="D4587" s="2" t="str">
        <f>TEXT(Table5[[#This Row],[bill_date]],"mmmm")</f>
        <v>August</v>
      </c>
      <c r="E4587" s="9">
        <f>YEAR(Table5[[#This Row],[bill_date]])</f>
        <v>2023</v>
      </c>
      <c r="F4587">
        <v>883</v>
      </c>
      <c r="G4587" t="s">
        <v>30</v>
      </c>
    </row>
    <row r="4588" spans="1:7" x14ac:dyDescent="0.3">
      <c r="A4588">
        <v>34587</v>
      </c>
      <c r="B4588">
        <v>196</v>
      </c>
      <c r="C4588" s="2">
        <v>45046</v>
      </c>
      <c r="D4588" s="2" t="str">
        <f>TEXT(Table5[[#This Row],[bill_date]],"mmmm")</f>
        <v>April</v>
      </c>
      <c r="E4588" s="9">
        <f>YEAR(Table5[[#This Row],[bill_date]])</f>
        <v>2023</v>
      </c>
      <c r="F4588">
        <v>570</v>
      </c>
      <c r="G4588" t="s">
        <v>28</v>
      </c>
    </row>
    <row r="4589" spans="1:7" x14ac:dyDescent="0.3">
      <c r="A4589">
        <v>34588</v>
      </c>
      <c r="B4589">
        <v>30</v>
      </c>
      <c r="C4589" s="2">
        <v>45217</v>
      </c>
      <c r="D4589" s="2" t="str">
        <f>TEXT(Table5[[#This Row],[bill_date]],"mmmm")</f>
        <v>October</v>
      </c>
      <c r="E4589" s="9">
        <f>YEAR(Table5[[#This Row],[bill_date]])</f>
        <v>2023</v>
      </c>
      <c r="F4589">
        <v>1720</v>
      </c>
      <c r="G4589" t="s">
        <v>30</v>
      </c>
    </row>
    <row r="4590" spans="1:7" x14ac:dyDescent="0.3">
      <c r="A4590">
        <v>34589</v>
      </c>
      <c r="B4590">
        <v>415</v>
      </c>
      <c r="C4590" s="2">
        <v>45208</v>
      </c>
      <c r="D4590" s="2" t="str">
        <f>TEXT(Table5[[#This Row],[bill_date]],"mmmm")</f>
        <v>October</v>
      </c>
      <c r="E4590" s="9">
        <f>YEAR(Table5[[#This Row],[bill_date]])</f>
        <v>2023</v>
      </c>
      <c r="F4590">
        <v>1458</v>
      </c>
      <c r="G4590" t="s">
        <v>30</v>
      </c>
    </row>
    <row r="4591" spans="1:7" x14ac:dyDescent="0.3">
      <c r="A4591">
        <v>34590</v>
      </c>
      <c r="B4591">
        <v>303</v>
      </c>
      <c r="C4591" s="2">
        <v>45188</v>
      </c>
      <c r="D4591" s="2" t="str">
        <f>TEXT(Table5[[#This Row],[bill_date]],"mmmm")</f>
        <v>September</v>
      </c>
      <c r="E4591" s="9">
        <f>YEAR(Table5[[#This Row],[bill_date]])</f>
        <v>2023</v>
      </c>
      <c r="F4591">
        <v>1264</v>
      </c>
      <c r="G4591" t="s">
        <v>30</v>
      </c>
    </row>
    <row r="4592" spans="1:7" x14ac:dyDescent="0.3">
      <c r="A4592">
        <v>34591</v>
      </c>
      <c r="B4592">
        <v>400</v>
      </c>
      <c r="C4592" s="2">
        <v>44838</v>
      </c>
      <c r="D4592" s="2" t="str">
        <f>TEXT(Table5[[#This Row],[bill_date]],"mmmm")</f>
        <v>October</v>
      </c>
      <c r="E4592" s="9">
        <f>YEAR(Table5[[#This Row],[bill_date]])</f>
        <v>2022</v>
      </c>
      <c r="F4592">
        <v>1371</v>
      </c>
      <c r="G4592" t="s">
        <v>30</v>
      </c>
    </row>
    <row r="4593" spans="1:7" x14ac:dyDescent="0.3">
      <c r="A4593">
        <v>34592</v>
      </c>
      <c r="B4593">
        <v>427</v>
      </c>
      <c r="C4593" s="2">
        <v>44627</v>
      </c>
      <c r="D4593" s="2" t="str">
        <f>TEXT(Table5[[#This Row],[bill_date]],"mmmm")</f>
        <v>March</v>
      </c>
      <c r="E4593" s="9">
        <f>YEAR(Table5[[#This Row],[bill_date]])</f>
        <v>2022</v>
      </c>
      <c r="F4593">
        <v>998</v>
      </c>
      <c r="G4593" t="s">
        <v>30</v>
      </c>
    </row>
    <row r="4594" spans="1:7" x14ac:dyDescent="0.3">
      <c r="A4594">
        <v>34593</v>
      </c>
      <c r="B4594">
        <v>131</v>
      </c>
      <c r="C4594" s="2">
        <v>45260</v>
      </c>
      <c r="D4594" s="2" t="str">
        <f>TEXT(Table5[[#This Row],[bill_date]],"mmmm")</f>
        <v>November</v>
      </c>
      <c r="E4594" s="9">
        <f>YEAR(Table5[[#This Row],[bill_date]])</f>
        <v>2023</v>
      </c>
      <c r="F4594">
        <v>923</v>
      </c>
      <c r="G4594" t="s">
        <v>30</v>
      </c>
    </row>
    <row r="4595" spans="1:7" x14ac:dyDescent="0.3">
      <c r="A4595">
        <v>34594</v>
      </c>
      <c r="B4595">
        <v>12</v>
      </c>
      <c r="C4595" s="2">
        <v>45418</v>
      </c>
      <c r="D4595" s="2" t="str">
        <f>TEXT(Table5[[#This Row],[bill_date]],"mmmm")</f>
        <v>May</v>
      </c>
      <c r="E4595" s="9">
        <f>YEAR(Table5[[#This Row],[bill_date]])</f>
        <v>2024</v>
      </c>
      <c r="F4595">
        <v>1909</v>
      </c>
      <c r="G4595" t="s">
        <v>30</v>
      </c>
    </row>
    <row r="4596" spans="1:7" x14ac:dyDescent="0.3">
      <c r="A4596">
        <v>34595</v>
      </c>
      <c r="B4596">
        <v>460</v>
      </c>
      <c r="C4596" s="2">
        <v>44762</v>
      </c>
      <c r="D4596" s="2" t="str">
        <f>TEXT(Table5[[#This Row],[bill_date]],"mmmm")</f>
        <v>July</v>
      </c>
      <c r="E4596" s="9">
        <f>YEAR(Table5[[#This Row],[bill_date]])</f>
        <v>2022</v>
      </c>
      <c r="F4596">
        <v>809</v>
      </c>
      <c r="G4596" t="s">
        <v>30</v>
      </c>
    </row>
    <row r="4597" spans="1:7" x14ac:dyDescent="0.3">
      <c r="A4597">
        <v>34596</v>
      </c>
      <c r="B4597">
        <v>395</v>
      </c>
      <c r="C4597" s="2">
        <v>45029</v>
      </c>
      <c r="D4597" s="2" t="str">
        <f>TEXT(Table5[[#This Row],[bill_date]],"mmmm")</f>
        <v>April</v>
      </c>
      <c r="E4597" s="9">
        <f>YEAR(Table5[[#This Row],[bill_date]])</f>
        <v>2023</v>
      </c>
      <c r="F4597">
        <v>1700</v>
      </c>
      <c r="G4597" t="s">
        <v>30</v>
      </c>
    </row>
    <row r="4598" spans="1:7" x14ac:dyDescent="0.3">
      <c r="A4598">
        <v>34597</v>
      </c>
      <c r="B4598">
        <v>16</v>
      </c>
      <c r="C4598" s="2">
        <v>44995</v>
      </c>
      <c r="D4598" s="2" t="str">
        <f>TEXT(Table5[[#This Row],[bill_date]],"mmmm")</f>
        <v>March</v>
      </c>
      <c r="E4598" s="9">
        <f>YEAR(Table5[[#This Row],[bill_date]])</f>
        <v>2023</v>
      </c>
      <c r="F4598">
        <v>318</v>
      </c>
      <c r="G4598" t="s">
        <v>30</v>
      </c>
    </row>
    <row r="4599" spans="1:7" x14ac:dyDescent="0.3">
      <c r="A4599">
        <v>34598</v>
      </c>
      <c r="B4599">
        <v>413</v>
      </c>
      <c r="C4599" s="2">
        <v>44699</v>
      </c>
      <c r="D4599" s="2" t="str">
        <f>TEXT(Table5[[#This Row],[bill_date]],"mmmm")</f>
        <v>May</v>
      </c>
      <c r="E4599" s="9">
        <f>YEAR(Table5[[#This Row],[bill_date]])</f>
        <v>2022</v>
      </c>
      <c r="F4599">
        <v>1751</v>
      </c>
      <c r="G4599" t="s">
        <v>28</v>
      </c>
    </row>
    <row r="4600" spans="1:7" x14ac:dyDescent="0.3">
      <c r="A4600">
        <v>34599</v>
      </c>
      <c r="B4600">
        <v>117</v>
      </c>
      <c r="C4600" s="2">
        <v>44613</v>
      </c>
      <c r="D4600" s="2" t="str">
        <f>TEXT(Table5[[#This Row],[bill_date]],"mmmm")</f>
        <v>February</v>
      </c>
      <c r="E4600" s="9">
        <f>YEAR(Table5[[#This Row],[bill_date]])</f>
        <v>2022</v>
      </c>
      <c r="F4600">
        <v>739</v>
      </c>
      <c r="G4600" t="s">
        <v>28</v>
      </c>
    </row>
    <row r="4601" spans="1:7" x14ac:dyDescent="0.3">
      <c r="A4601">
        <v>34600</v>
      </c>
      <c r="B4601">
        <v>149</v>
      </c>
      <c r="C4601" s="2">
        <v>45286</v>
      </c>
      <c r="D4601" s="2" t="str">
        <f>TEXT(Table5[[#This Row],[bill_date]],"mmmm")</f>
        <v>December</v>
      </c>
      <c r="E4601" s="9">
        <f>YEAR(Table5[[#This Row],[bill_date]])</f>
        <v>2023</v>
      </c>
      <c r="F4601">
        <v>246</v>
      </c>
      <c r="G4601" t="s">
        <v>28</v>
      </c>
    </row>
    <row r="4602" spans="1:7" x14ac:dyDescent="0.3">
      <c r="A4602">
        <v>34601</v>
      </c>
      <c r="B4602">
        <v>109</v>
      </c>
      <c r="C4602" s="2">
        <v>45013</v>
      </c>
      <c r="D4602" s="2" t="str">
        <f>TEXT(Table5[[#This Row],[bill_date]],"mmmm")</f>
        <v>March</v>
      </c>
      <c r="E4602" s="9">
        <f>YEAR(Table5[[#This Row],[bill_date]])</f>
        <v>2023</v>
      </c>
      <c r="F4602">
        <v>1608</v>
      </c>
      <c r="G4602" t="s">
        <v>30</v>
      </c>
    </row>
    <row r="4603" spans="1:7" x14ac:dyDescent="0.3">
      <c r="A4603">
        <v>34602</v>
      </c>
      <c r="B4603">
        <v>236</v>
      </c>
      <c r="C4603" s="2">
        <v>44719</v>
      </c>
      <c r="D4603" s="2" t="str">
        <f>TEXT(Table5[[#This Row],[bill_date]],"mmmm")</f>
        <v>June</v>
      </c>
      <c r="E4603" s="9">
        <f>YEAR(Table5[[#This Row],[bill_date]])</f>
        <v>2022</v>
      </c>
      <c r="F4603">
        <v>999</v>
      </c>
      <c r="G4603" t="s">
        <v>30</v>
      </c>
    </row>
    <row r="4604" spans="1:7" x14ac:dyDescent="0.3">
      <c r="A4604">
        <v>34603</v>
      </c>
      <c r="B4604">
        <v>490</v>
      </c>
      <c r="C4604" s="2">
        <v>45363</v>
      </c>
      <c r="D4604" s="2" t="str">
        <f>TEXT(Table5[[#This Row],[bill_date]],"mmmm")</f>
        <v>March</v>
      </c>
      <c r="E4604" s="9">
        <f>YEAR(Table5[[#This Row],[bill_date]])</f>
        <v>2024</v>
      </c>
      <c r="F4604">
        <v>1350</v>
      </c>
      <c r="G4604" t="s">
        <v>28</v>
      </c>
    </row>
    <row r="4605" spans="1:7" x14ac:dyDescent="0.3">
      <c r="A4605">
        <v>34604</v>
      </c>
      <c r="B4605">
        <v>314</v>
      </c>
      <c r="C4605" s="2">
        <v>45423</v>
      </c>
      <c r="D4605" s="2" t="str">
        <f>TEXT(Table5[[#This Row],[bill_date]],"mmmm")</f>
        <v>May</v>
      </c>
      <c r="E4605" s="9">
        <f>YEAR(Table5[[#This Row],[bill_date]])</f>
        <v>2024</v>
      </c>
      <c r="F4605">
        <v>1724</v>
      </c>
      <c r="G4605" t="s">
        <v>30</v>
      </c>
    </row>
    <row r="4606" spans="1:7" x14ac:dyDescent="0.3">
      <c r="A4606">
        <v>34605</v>
      </c>
      <c r="B4606">
        <v>427</v>
      </c>
      <c r="C4606" s="2">
        <v>44767</v>
      </c>
      <c r="D4606" s="2" t="str">
        <f>TEXT(Table5[[#This Row],[bill_date]],"mmmm")</f>
        <v>July</v>
      </c>
      <c r="E4606" s="9">
        <f>YEAR(Table5[[#This Row],[bill_date]])</f>
        <v>2022</v>
      </c>
      <c r="F4606">
        <v>1669</v>
      </c>
      <c r="G4606" t="s">
        <v>30</v>
      </c>
    </row>
    <row r="4607" spans="1:7" x14ac:dyDescent="0.3">
      <c r="A4607">
        <v>34606</v>
      </c>
      <c r="B4607">
        <v>498</v>
      </c>
      <c r="C4607" s="2">
        <v>44903</v>
      </c>
      <c r="D4607" s="2" t="str">
        <f>TEXT(Table5[[#This Row],[bill_date]],"mmmm")</f>
        <v>December</v>
      </c>
      <c r="E4607" s="9">
        <f>YEAR(Table5[[#This Row],[bill_date]])</f>
        <v>2022</v>
      </c>
      <c r="F4607">
        <v>1802</v>
      </c>
      <c r="G4607" t="s">
        <v>30</v>
      </c>
    </row>
    <row r="4608" spans="1:7" x14ac:dyDescent="0.3">
      <c r="A4608">
        <v>34607</v>
      </c>
      <c r="B4608">
        <v>5</v>
      </c>
      <c r="C4608" s="2">
        <v>45394</v>
      </c>
      <c r="D4608" s="2" t="str">
        <f>TEXT(Table5[[#This Row],[bill_date]],"mmmm")</f>
        <v>April</v>
      </c>
      <c r="E4608" s="9">
        <f>YEAR(Table5[[#This Row],[bill_date]])</f>
        <v>2024</v>
      </c>
      <c r="F4608">
        <v>1207</v>
      </c>
      <c r="G4608" t="s">
        <v>28</v>
      </c>
    </row>
    <row r="4609" spans="1:7" x14ac:dyDescent="0.3">
      <c r="A4609">
        <v>34608</v>
      </c>
      <c r="B4609">
        <v>180</v>
      </c>
      <c r="C4609" s="2">
        <v>44877</v>
      </c>
      <c r="D4609" s="2" t="str">
        <f>TEXT(Table5[[#This Row],[bill_date]],"mmmm")</f>
        <v>November</v>
      </c>
      <c r="E4609" s="9">
        <f>YEAR(Table5[[#This Row],[bill_date]])</f>
        <v>2022</v>
      </c>
      <c r="F4609">
        <v>237</v>
      </c>
      <c r="G4609" t="s">
        <v>30</v>
      </c>
    </row>
    <row r="4610" spans="1:7" x14ac:dyDescent="0.3">
      <c r="A4610">
        <v>34609</v>
      </c>
      <c r="B4610">
        <v>397</v>
      </c>
      <c r="C4610" s="2">
        <v>44697</v>
      </c>
      <c r="D4610" s="2" t="str">
        <f>TEXT(Table5[[#This Row],[bill_date]],"mmmm")</f>
        <v>May</v>
      </c>
      <c r="E4610" s="9">
        <f>YEAR(Table5[[#This Row],[bill_date]])</f>
        <v>2022</v>
      </c>
      <c r="F4610">
        <v>671</v>
      </c>
      <c r="G4610" t="s">
        <v>30</v>
      </c>
    </row>
    <row r="4611" spans="1:7" x14ac:dyDescent="0.3">
      <c r="A4611">
        <v>34610</v>
      </c>
      <c r="B4611">
        <v>337</v>
      </c>
      <c r="C4611" s="2">
        <v>44636</v>
      </c>
      <c r="D4611" s="2" t="str">
        <f>TEXT(Table5[[#This Row],[bill_date]],"mmmm")</f>
        <v>March</v>
      </c>
      <c r="E4611" s="9">
        <f>YEAR(Table5[[#This Row],[bill_date]])</f>
        <v>2022</v>
      </c>
      <c r="F4611">
        <v>1355</v>
      </c>
      <c r="G4611" t="s">
        <v>28</v>
      </c>
    </row>
    <row r="4612" spans="1:7" x14ac:dyDescent="0.3">
      <c r="A4612">
        <v>34611</v>
      </c>
      <c r="B4612">
        <v>396</v>
      </c>
      <c r="C4612" s="2">
        <v>45010</v>
      </c>
      <c r="D4612" s="2" t="str">
        <f>TEXT(Table5[[#This Row],[bill_date]],"mmmm")</f>
        <v>March</v>
      </c>
      <c r="E4612" s="9">
        <f>YEAR(Table5[[#This Row],[bill_date]])</f>
        <v>2023</v>
      </c>
      <c r="F4612">
        <v>1341</v>
      </c>
      <c r="G4612" t="s">
        <v>30</v>
      </c>
    </row>
    <row r="4613" spans="1:7" x14ac:dyDescent="0.3">
      <c r="A4613">
        <v>34612</v>
      </c>
      <c r="B4613">
        <v>465</v>
      </c>
      <c r="C4613" s="2">
        <v>44630</v>
      </c>
      <c r="D4613" s="2" t="str">
        <f>TEXT(Table5[[#This Row],[bill_date]],"mmmm")</f>
        <v>March</v>
      </c>
      <c r="E4613" s="9">
        <f>YEAR(Table5[[#This Row],[bill_date]])</f>
        <v>2022</v>
      </c>
      <c r="F4613">
        <v>522</v>
      </c>
      <c r="G4613" t="s">
        <v>28</v>
      </c>
    </row>
    <row r="4614" spans="1:7" x14ac:dyDescent="0.3">
      <c r="A4614">
        <v>34613</v>
      </c>
      <c r="B4614">
        <v>1</v>
      </c>
      <c r="C4614" s="2">
        <v>45374</v>
      </c>
      <c r="D4614" s="2" t="str">
        <f>TEXT(Table5[[#This Row],[bill_date]],"mmmm")</f>
        <v>March</v>
      </c>
      <c r="E4614" s="9">
        <f>YEAR(Table5[[#This Row],[bill_date]])</f>
        <v>2024</v>
      </c>
      <c r="F4614">
        <v>250</v>
      </c>
      <c r="G4614" t="s">
        <v>30</v>
      </c>
    </row>
    <row r="4615" spans="1:7" x14ac:dyDescent="0.3">
      <c r="A4615">
        <v>34614</v>
      </c>
      <c r="B4615">
        <v>8</v>
      </c>
      <c r="C4615" s="2">
        <v>45122</v>
      </c>
      <c r="D4615" s="2" t="str">
        <f>TEXT(Table5[[#This Row],[bill_date]],"mmmm")</f>
        <v>July</v>
      </c>
      <c r="E4615" s="9">
        <f>YEAR(Table5[[#This Row],[bill_date]])</f>
        <v>2023</v>
      </c>
      <c r="F4615">
        <v>1146</v>
      </c>
      <c r="G4615" t="s">
        <v>30</v>
      </c>
    </row>
    <row r="4616" spans="1:7" x14ac:dyDescent="0.3">
      <c r="A4616">
        <v>34615</v>
      </c>
      <c r="B4616">
        <v>144</v>
      </c>
      <c r="C4616" s="2">
        <v>44763</v>
      </c>
      <c r="D4616" s="2" t="str">
        <f>TEXT(Table5[[#This Row],[bill_date]],"mmmm")</f>
        <v>July</v>
      </c>
      <c r="E4616" s="9">
        <f>YEAR(Table5[[#This Row],[bill_date]])</f>
        <v>2022</v>
      </c>
      <c r="F4616">
        <v>1131</v>
      </c>
      <c r="G4616" t="s">
        <v>30</v>
      </c>
    </row>
    <row r="4617" spans="1:7" x14ac:dyDescent="0.3">
      <c r="A4617">
        <v>34616</v>
      </c>
      <c r="B4617">
        <v>143</v>
      </c>
      <c r="C4617" s="2">
        <v>45135</v>
      </c>
      <c r="D4617" s="2" t="str">
        <f>TEXT(Table5[[#This Row],[bill_date]],"mmmm")</f>
        <v>July</v>
      </c>
      <c r="E4617" s="9">
        <f>YEAR(Table5[[#This Row],[bill_date]])</f>
        <v>2023</v>
      </c>
      <c r="F4617">
        <v>334</v>
      </c>
      <c r="G4617" t="s">
        <v>30</v>
      </c>
    </row>
    <row r="4618" spans="1:7" x14ac:dyDescent="0.3">
      <c r="A4618">
        <v>34617</v>
      </c>
      <c r="B4618">
        <v>275</v>
      </c>
      <c r="C4618" s="2">
        <v>44728</v>
      </c>
      <c r="D4618" s="2" t="str">
        <f>TEXT(Table5[[#This Row],[bill_date]],"mmmm")</f>
        <v>June</v>
      </c>
      <c r="E4618" s="9">
        <f>YEAR(Table5[[#This Row],[bill_date]])</f>
        <v>2022</v>
      </c>
      <c r="F4618">
        <v>1626</v>
      </c>
      <c r="G4618" t="s">
        <v>30</v>
      </c>
    </row>
    <row r="4619" spans="1:7" x14ac:dyDescent="0.3">
      <c r="A4619">
        <v>34618</v>
      </c>
      <c r="B4619">
        <v>153</v>
      </c>
      <c r="C4619" s="2">
        <v>45278</v>
      </c>
      <c r="D4619" s="2" t="str">
        <f>TEXT(Table5[[#This Row],[bill_date]],"mmmm")</f>
        <v>December</v>
      </c>
      <c r="E4619" s="9">
        <f>YEAR(Table5[[#This Row],[bill_date]])</f>
        <v>2023</v>
      </c>
      <c r="F4619">
        <v>1981</v>
      </c>
      <c r="G4619" t="s">
        <v>30</v>
      </c>
    </row>
    <row r="4620" spans="1:7" x14ac:dyDescent="0.3">
      <c r="A4620">
        <v>34619</v>
      </c>
      <c r="B4620">
        <v>287</v>
      </c>
      <c r="C4620" s="2">
        <v>45222</v>
      </c>
      <c r="D4620" s="2" t="str">
        <f>TEXT(Table5[[#This Row],[bill_date]],"mmmm")</f>
        <v>October</v>
      </c>
      <c r="E4620" s="9">
        <f>YEAR(Table5[[#This Row],[bill_date]])</f>
        <v>2023</v>
      </c>
      <c r="F4620">
        <v>367</v>
      </c>
      <c r="G4620" t="s">
        <v>30</v>
      </c>
    </row>
    <row r="4621" spans="1:7" x14ac:dyDescent="0.3">
      <c r="A4621">
        <v>34620</v>
      </c>
      <c r="B4621">
        <v>490</v>
      </c>
      <c r="C4621" s="2">
        <v>44682</v>
      </c>
      <c r="D4621" s="2" t="str">
        <f>TEXT(Table5[[#This Row],[bill_date]],"mmmm")</f>
        <v>May</v>
      </c>
      <c r="E4621" s="9">
        <f>YEAR(Table5[[#This Row],[bill_date]])</f>
        <v>2022</v>
      </c>
      <c r="F4621">
        <v>1804</v>
      </c>
      <c r="G4621" t="s">
        <v>30</v>
      </c>
    </row>
    <row r="4622" spans="1:7" x14ac:dyDescent="0.3">
      <c r="A4622">
        <v>34621</v>
      </c>
      <c r="B4622">
        <v>130</v>
      </c>
      <c r="C4622" s="2">
        <v>45382</v>
      </c>
      <c r="D4622" s="2" t="str">
        <f>TEXT(Table5[[#This Row],[bill_date]],"mmmm")</f>
        <v>March</v>
      </c>
      <c r="E4622" s="9">
        <f>YEAR(Table5[[#This Row],[bill_date]])</f>
        <v>2024</v>
      </c>
      <c r="F4622">
        <v>1770</v>
      </c>
      <c r="G4622" t="s">
        <v>30</v>
      </c>
    </row>
    <row r="4623" spans="1:7" x14ac:dyDescent="0.3">
      <c r="A4623">
        <v>34622</v>
      </c>
      <c r="B4623">
        <v>121</v>
      </c>
      <c r="C4623" s="2">
        <v>44658</v>
      </c>
      <c r="D4623" s="2" t="str">
        <f>TEXT(Table5[[#This Row],[bill_date]],"mmmm")</f>
        <v>April</v>
      </c>
      <c r="E4623" s="9">
        <f>YEAR(Table5[[#This Row],[bill_date]])</f>
        <v>2022</v>
      </c>
      <c r="F4623">
        <v>715</v>
      </c>
      <c r="G4623" t="s">
        <v>30</v>
      </c>
    </row>
    <row r="4624" spans="1:7" x14ac:dyDescent="0.3">
      <c r="A4624">
        <v>34623</v>
      </c>
      <c r="B4624">
        <v>59</v>
      </c>
      <c r="C4624" s="2">
        <v>44938</v>
      </c>
      <c r="D4624" s="2" t="str">
        <f>TEXT(Table5[[#This Row],[bill_date]],"mmmm")</f>
        <v>January</v>
      </c>
      <c r="E4624" s="9">
        <f>YEAR(Table5[[#This Row],[bill_date]])</f>
        <v>2023</v>
      </c>
      <c r="F4624">
        <v>558</v>
      </c>
      <c r="G4624" t="s">
        <v>30</v>
      </c>
    </row>
    <row r="4625" spans="1:7" x14ac:dyDescent="0.3">
      <c r="A4625">
        <v>34624</v>
      </c>
      <c r="B4625">
        <v>217</v>
      </c>
      <c r="C4625" s="2">
        <v>45052</v>
      </c>
      <c r="D4625" s="2" t="str">
        <f>TEXT(Table5[[#This Row],[bill_date]],"mmmm")</f>
        <v>May</v>
      </c>
      <c r="E4625" s="9">
        <f>YEAR(Table5[[#This Row],[bill_date]])</f>
        <v>2023</v>
      </c>
      <c r="F4625">
        <v>1882</v>
      </c>
      <c r="G4625" t="s">
        <v>30</v>
      </c>
    </row>
    <row r="4626" spans="1:7" x14ac:dyDescent="0.3">
      <c r="A4626">
        <v>34625</v>
      </c>
      <c r="B4626">
        <v>31</v>
      </c>
      <c r="C4626" s="2">
        <v>44614</v>
      </c>
      <c r="D4626" s="2" t="str">
        <f>TEXT(Table5[[#This Row],[bill_date]],"mmmm")</f>
        <v>February</v>
      </c>
      <c r="E4626" s="9">
        <f>YEAR(Table5[[#This Row],[bill_date]])</f>
        <v>2022</v>
      </c>
      <c r="F4626">
        <v>1459</v>
      </c>
      <c r="G4626" t="s">
        <v>30</v>
      </c>
    </row>
    <row r="4627" spans="1:7" x14ac:dyDescent="0.3">
      <c r="A4627">
        <v>34626</v>
      </c>
      <c r="B4627">
        <v>452</v>
      </c>
      <c r="C4627" s="2">
        <v>44570</v>
      </c>
      <c r="D4627" s="2" t="str">
        <f>TEXT(Table5[[#This Row],[bill_date]],"mmmm")</f>
        <v>January</v>
      </c>
      <c r="E4627" s="9">
        <f>YEAR(Table5[[#This Row],[bill_date]])</f>
        <v>2022</v>
      </c>
      <c r="F4627">
        <v>266</v>
      </c>
      <c r="G4627" t="s">
        <v>29</v>
      </c>
    </row>
    <row r="4628" spans="1:7" x14ac:dyDescent="0.3">
      <c r="A4628">
        <v>34627</v>
      </c>
      <c r="B4628">
        <v>452</v>
      </c>
      <c r="C4628" s="2">
        <v>44892</v>
      </c>
      <c r="D4628" s="2" t="str">
        <f>TEXT(Table5[[#This Row],[bill_date]],"mmmm")</f>
        <v>November</v>
      </c>
      <c r="E4628" s="9">
        <f>YEAR(Table5[[#This Row],[bill_date]])</f>
        <v>2022</v>
      </c>
      <c r="F4628">
        <v>1965</v>
      </c>
      <c r="G4628" t="s">
        <v>30</v>
      </c>
    </row>
    <row r="4629" spans="1:7" x14ac:dyDescent="0.3">
      <c r="A4629">
        <v>34628</v>
      </c>
      <c r="B4629">
        <v>244</v>
      </c>
      <c r="C4629" s="2">
        <v>44812</v>
      </c>
      <c r="D4629" s="2" t="str">
        <f>TEXT(Table5[[#This Row],[bill_date]],"mmmm")</f>
        <v>September</v>
      </c>
      <c r="E4629" s="9">
        <f>YEAR(Table5[[#This Row],[bill_date]])</f>
        <v>2022</v>
      </c>
      <c r="F4629">
        <v>1372</v>
      </c>
      <c r="G4629" t="s">
        <v>30</v>
      </c>
    </row>
    <row r="4630" spans="1:7" x14ac:dyDescent="0.3">
      <c r="A4630">
        <v>34629</v>
      </c>
      <c r="B4630">
        <v>140</v>
      </c>
      <c r="C4630" s="2">
        <v>44921</v>
      </c>
      <c r="D4630" s="2" t="str">
        <f>TEXT(Table5[[#This Row],[bill_date]],"mmmm")</f>
        <v>December</v>
      </c>
      <c r="E4630" s="9">
        <f>YEAR(Table5[[#This Row],[bill_date]])</f>
        <v>2022</v>
      </c>
      <c r="F4630">
        <v>679</v>
      </c>
      <c r="G4630" t="s">
        <v>29</v>
      </c>
    </row>
    <row r="4631" spans="1:7" x14ac:dyDescent="0.3">
      <c r="A4631">
        <v>34630</v>
      </c>
      <c r="B4631">
        <v>401</v>
      </c>
      <c r="C4631" s="2">
        <v>44910</v>
      </c>
      <c r="D4631" s="2" t="str">
        <f>TEXT(Table5[[#This Row],[bill_date]],"mmmm")</f>
        <v>December</v>
      </c>
      <c r="E4631" s="9">
        <f>YEAR(Table5[[#This Row],[bill_date]])</f>
        <v>2022</v>
      </c>
      <c r="F4631">
        <v>1637</v>
      </c>
      <c r="G4631" t="s">
        <v>28</v>
      </c>
    </row>
    <row r="4632" spans="1:7" x14ac:dyDescent="0.3">
      <c r="A4632">
        <v>34631</v>
      </c>
      <c r="B4632">
        <v>213</v>
      </c>
      <c r="C4632" s="2">
        <v>44685</v>
      </c>
      <c r="D4632" s="2" t="str">
        <f>TEXT(Table5[[#This Row],[bill_date]],"mmmm")</f>
        <v>May</v>
      </c>
      <c r="E4632" s="9">
        <f>YEAR(Table5[[#This Row],[bill_date]])</f>
        <v>2022</v>
      </c>
      <c r="F4632">
        <v>419</v>
      </c>
      <c r="G4632" t="s">
        <v>30</v>
      </c>
    </row>
    <row r="4633" spans="1:7" x14ac:dyDescent="0.3">
      <c r="A4633">
        <v>34632</v>
      </c>
      <c r="B4633">
        <v>29</v>
      </c>
      <c r="C4633" s="2">
        <v>45195</v>
      </c>
      <c r="D4633" s="2" t="str">
        <f>TEXT(Table5[[#This Row],[bill_date]],"mmmm")</f>
        <v>September</v>
      </c>
      <c r="E4633" s="9">
        <f>YEAR(Table5[[#This Row],[bill_date]])</f>
        <v>2023</v>
      </c>
      <c r="F4633">
        <v>459</v>
      </c>
      <c r="G4633" t="s">
        <v>30</v>
      </c>
    </row>
    <row r="4634" spans="1:7" x14ac:dyDescent="0.3">
      <c r="A4634">
        <v>34633</v>
      </c>
      <c r="B4634">
        <v>470</v>
      </c>
      <c r="C4634" s="2">
        <v>44760</v>
      </c>
      <c r="D4634" s="2" t="str">
        <f>TEXT(Table5[[#This Row],[bill_date]],"mmmm")</f>
        <v>July</v>
      </c>
      <c r="E4634" s="9">
        <f>YEAR(Table5[[#This Row],[bill_date]])</f>
        <v>2022</v>
      </c>
      <c r="F4634">
        <v>464</v>
      </c>
      <c r="G4634" t="s">
        <v>30</v>
      </c>
    </row>
    <row r="4635" spans="1:7" x14ac:dyDescent="0.3">
      <c r="A4635">
        <v>34634</v>
      </c>
      <c r="B4635">
        <v>164</v>
      </c>
      <c r="C4635" s="2">
        <v>45390</v>
      </c>
      <c r="D4635" s="2" t="str">
        <f>TEXT(Table5[[#This Row],[bill_date]],"mmmm")</f>
        <v>April</v>
      </c>
      <c r="E4635" s="9">
        <f>YEAR(Table5[[#This Row],[bill_date]])</f>
        <v>2024</v>
      </c>
      <c r="F4635">
        <v>1681</v>
      </c>
      <c r="G4635" t="s">
        <v>30</v>
      </c>
    </row>
    <row r="4636" spans="1:7" x14ac:dyDescent="0.3">
      <c r="A4636">
        <v>34635</v>
      </c>
      <c r="B4636">
        <v>104</v>
      </c>
      <c r="C4636" s="2">
        <v>44972</v>
      </c>
      <c r="D4636" s="2" t="str">
        <f>TEXT(Table5[[#This Row],[bill_date]],"mmmm")</f>
        <v>February</v>
      </c>
      <c r="E4636" s="9">
        <f>YEAR(Table5[[#This Row],[bill_date]])</f>
        <v>2023</v>
      </c>
      <c r="F4636">
        <v>1848</v>
      </c>
      <c r="G4636" t="s">
        <v>30</v>
      </c>
    </row>
    <row r="4637" spans="1:7" x14ac:dyDescent="0.3">
      <c r="A4637">
        <v>34636</v>
      </c>
      <c r="B4637">
        <v>464</v>
      </c>
      <c r="C4637" s="2">
        <v>44941</v>
      </c>
      <c r="D4637" s="2" t="str">
        <f>TEXT(Table5[[#This Row],[bill_date]],"mmmm")</f>
        <v>January</v>
      </c>
      <c r="E4637" s="9">
        <f>YEAR(Table5[[#This Row],[bill_date]])</f>
        <v>2023</v>
      </c>
      <c r="F4637">
        <v>875</v>
      </c>
      <c r="G4637" t="s">
        <v>30</v>
      </c>
    </row>
    <row r="4638" spans="1:7" x14ac:dyDescent="0.3">
      <c r="A4638">
        <v>34637</v>
      </c>
      <c r="B4638">
        <v>63</v>
      </c>
      <c r="C4638" s="2">
        <v>45066</v>
      </c>
      <c r="D4638" s="2" t="str">
        <f>TEXT(Table5[[#This Row],[bill_date]],"mmmm")</f>
        <v>May</v>
      </c>
      <c r="E4638" s="9">
        <f>YEAR(Table5[[#This Row],[bill_date]])</f>
        <v>2023</v>
      </c>
      <c r="F4638">
        <v>1278</v>
      </c>
      <c r="G4638" t="s">
        <v>28</v>
      </c>
    </row>
    <row r="4639" spans="1:7" x14ac:dyDescent="0.3">
      <c r="A4639">
        <v>34638</v>
      </c>
      <c r="B4639">
        <v>15</v>
      </c>
      <c r="C4639" s="2">
        <v>44656</v>
      </c>
      <c r="D4639" s="2" t="str">
        <f>TEXT(Table5[[#This Row],[bill_date]],"mmmm")</f>
        <v>April</v>
      </c>
      <c r="E4639" s="9">
        <f>YEAR(Table5[[#This Row],[bill_date]])</f>
        <v>2022</v>
      </c>
      <c r="F4639">
        <v>1052</v>
      </c>
      <c r="G4639" t="s">
        <v>30</v>
      </c>
    </row>
    <row r="4640" spans="1:7" x14ac:dyDescent="0.3">
      <c r="A4640">
        <v>34639</v>
      </c>
      <c r="B4640">
        <v>286</v>
      </c>
      <c r="C4640" s="2">
        <v>44591</v>
      </c>
      <c r="D4640" s="2" t="str">
        <f>TEXT(Table5[[#This Row],[bill_date]],"mmmm")</f>
        <v>January</v>
      </c>
      <c r="E4640" s="9">
        <f>YEAR(Table5[[#This Row],[bill_date]])</f>
        <v>2022</v>
      </c>
      <c r="F4640">
        <v>606</v>
      </c>
      <c r="G4640" t="s">
        <v>30</v>
      </c>
    </row>
    <row r="4641" spans="1:7" x14ac:dyDescent="0.3">
      <c r="A4641">
        <v>34640</v>
      </c>
      <c r="B4641">
        <v>494</v>
      </c>
      <c r="C4641" s="2">
        <v>44653</v>
      </c>
      <c r="D4641" s="2" t="str">
        <f>TEXT(Table5[[#This Row],[bill_date]],"mmmm")</f>
        <v>April</v>
      </c>
      <c r="E4641" s="9">
        <f>YEAR(Table5[[#This Row],[bill_date]])</f>
        <v>2022</v>
      </c>
      <c r="F4641">
        <v>667</v>
      </c>
      <c r="G4641" t="s">
        <v>30</v>
      </c>
    </row>
    <row r="4642" spans="1:7" x14ac:dyDescent="0.3">
      <c r="A4642">
        <v>34641</v>
      </c>
      <c r="B4642">
        <v>179</v>
      </c>
      <c r="C4642" s="2">
        <v>45157</v>
      </c>
      <c r="D4642" s="2" t="str">
        <f>TEXT(Table5[[#This Row],[bill_date]],"mmmm")</f>
        <v>August</v>
      </c>
      <c r="E4642" s="9">
        <f>YEAR(Table5[[#This Row],[bill_date]])</f>
        <v>2023</v>
      </c>
      <c r="F4642">
        <v>960</v>
      </c>
      <c r="G4642" t="s">
        <v>30</v>
      </c>
    </row>
    <row r="4643" spans="1:7" x14ac:dyDescent="0.3">
      <c r="A4643">
        <v>34642</v>
      </c>
      <c r="B4643">
        <v>11</v>
      </c>
      <c r="C4643" s="2">
        <v>44576</v>
      </c>
      <c r="D4643" s="2" t="str">
        <f>TEXT(Table5[[#This Row],[bill_date]],"mmmm")</f>
        <v>January</v>
      </c>
      <c r="E4643" s="9">
        <f>YEAR(Table5[[#This Row],[bill_date]])</f>
        <v>2022</v>
      </c>
      <c r="F4643">
        <v>441</v>
      </c>
      <c r="G4643" t="s">
        <v>30</v>
      </c>
    </row>
    <row r="4644" spans="1:7" x14ac:dyDescent="0.3">
      <c r="A4644">
        <v>34643</v>
      </c>
      <c r="B4644">
        <v>441</v>
      </c>
      <c r="C4644" s="2">
        <v>45216</v>
      </c>
      <c r="D4644" s="2" t="str">
        <f>TEXT(Table5[[#This Row],[bill_date]],"mmmm")</f>
        <v>October</v>
      </c>
      <c r="E4644" s="9">
        <f>YEAR(Table5[[#This Row],[bill_date]])</f>
        <v>2023</v>
      </c>
      <c r="F4644">
        <v>712</v>
      </c>
      <c r="G4644" t="s">
        <v>30</v>
      </c>
    </row>
    <row r="4645" spans="1:7" x14ac:dyDescent="0.3">
      <c r="A4645">
        <v>34644</v>
      </c>
      <c r="B4645">
        <v>13</v>
      </c>
      <c r="C4645" s="2">
        <v>45382</v>
      </c>
      <c r="D4645" s="2" t="str">
        <f>TEXT(Table5[[#This Row],[bill_date]],"mmmm")</f>
        <v>March</v>
      </c>
      <c r="E4645" s="9">
        <f>YEAR(Table5[[#This Row],[bill_date]])</f>
        <v>2024</v>
      </c>
      <c r="F4645">
        <v>1877</v>
      </c>
      <c r="G4645" t="s">
        <v>28</v>
      </c>
    </row>
    <row r="4646" spans="1:7" x14ac:dyDescent="0.3">
      <c r="A4646">
        <v>34645</v>
      </c>
      <c r="B4646">
        <v>215</v>
      </c>
      <c r="C4646" s="2">
        <v>45021</v>
      </c>
      <c r="D4646" s="2" t="str">
        <f>TEXT(Table5[[#This Row],[bill_date]],"mmmm")</f>
        <v>April</v>
      </c>
      <c r="E4646" s="9">
        <f>YEAR(Table5[[#This Row],[bill_date]])</f>
        <v>2023</v>
      </c>
      <c r="F4646">
        <v>1391</v>
      </c>
      <c r="G4646" t="s">
        <v>28</v>
      </c>
    </row>
    <row r="4647" spans="1:7" x14ac:dyDescent="0.3">
      <c r="A4647">
        <v>34646</v>
      </c>
      <c r="B4647">
        <v>488</v>
      </c>
      <c r="C4647" s="2">
        <v>45282</v>
      </c>
      <c r="D4647" s="2" t="str">
        <f>TEXT(Table5[[#This Row],[bill_date]],"mmmm")</f>
        <v>December</v>
      </c>
      <c r="E4647" s="9">
        <f>YEAR(Table5[[#This Row],[bill_date]])</f>
        <v>2023</v>
      </c>
      <c r="F4647">
        <v>773</v>
      </c>
      <c r="G4647" t="s">
        <v>30</v>
      </c>
    </row>
    <row r="4648" spans="1:7" x14ac:dyDescent="0.3">
      <c r="A4648">
        <v>34647</v>
      </c>
      <c r="B4648">
        <v>311</v>
      </c>
      <c r="C4648" s="2">
        <v>44584</v>
      </c>
      <c r="D4648" s="2" t="str">
        <f>TEXT(Table5[[#This Row],[bill_date]],"mmmm")</f>
        <v>January</v>
      </c>
      <c r="E4648" s="9">
        <f>YEAR(Table5[[#This Row],[bill_date]])</f>
        <v>2022</v>
      </c>
      <c r="F4648">
        <v>1655</v>
      </c>
      <c r="G4648" t="s">
        <v>29</v>
      </c>
    </row>
    <row r="4649" spans="1:7" x14ac:dyDescent="0.3">
      <c r="A4649">
        <v>34648</v>
      </c>
      <c r="B4649">
        <v>489</v>
      </c>
      <c r="C4649" s="2">
        <v>44887</v>
      </c>
      <c r="D4649" s="2" t="str">
        <f>TEXT(Table5[[#This Row],[bill_date]],"mmmm")</f>
        <v>November</v>
      </c>
      <c r="E4649" s="9">
        <f>YEAR(Table5[[#This Row],[bill_date]])</f>
        <v>2022</v>
      </c>
      <c r="F4649">
        <v>864</v>
      </c>
      <c r="G4649" t="s">
        <v>30</v>
      </c>
    </row>
    <row r="4650" spans="1:7" x14ac:dyDescent="0.3">
      <c r="A4650">
        <v>34649</v>
      </c>
      <c r="B4650">
        <v>226</v>
      </c>
      <c r="C4650" s="2">
        <v>45438</v>
      </c>
      <c r="D4650" s="2" t="str">
        <f>TEXT(Table5[[#This Row],[bill_date]],"mmmm")</f>
        <v>May</v>
      </c>
      <c r="E4650" s="9">
        <f>YEAR(Table5[[#This Row],[bill_date]])</f>
        <v>2024</v>
      </c>
      <c r="F4650">
        <v>965</v>
      </c>
      <c r="G4650" t="s">
        <v>28</v>
      </c>
    </row>
    <row r="4651" spans="1:7" x14ac:dyDescent="0.3">
      <c r="A4651">
        <v>34650</v>
      </c>
      <c r="B4651">
        <v>63</v>
      </c>
      <c r="C4651" s="2">
        <v>45217</v>
      </c>
      <c r="D4651" s="2" t="str">
        <f>TEXT(Table5[[#This Row],[bill_date]],"mmmm")</f>
        <v>October</v>
      </c>
      <c r="E4651" s="9">
        <f>YEAR(Table5[[#This Row],[bill_date]])</f>
        <v>2023</v>
      </c>
      <c r="F4651">
        <v>1800</v>
      </c>
      <c r="G4651" t="s">
        <v>30</v>
      </c>
    </row>
    <row r="4652" spans="1:7" x14ac:dyDescent="0.3">
      <c r="A4652">
        <v>34651</v>
      </c>
      <c r="B4652">
        <v>255</v>
      </c>
      <c r="C4652" s="2">
        <v>44648</v>
      </c>
      <c r="D4652" s="2" t="str">
        <f>TEXT(Table5[[#This Row],[bill_date]],"mmmm")</f>
        <v>March</v>
      </c>
      <c r="E4652" s="9">
        <f>YEAR(Table5[[#This Row],[bill_date]])</f>
        <v>2022</v>
      </c>
      <c r="F4652">
        <v>1507</v>
      </c>
      <c r="G4652" t="s">
        <v>30</v>
      </c>
    </row>
    <row r="4653" spans="1:7" x14ac:dyDescent="0.3">
      <c r="A4653">
        <v>34652</v>
      </c>
      <c r="B4653">
        <v>468</v>
      </c>
      <c r="C4653" s="2">
        <v>44754</v>
      </c>
      <c r="D4653" s="2" t="str">
        <f>TEXT(Table5[[#This Row],[bill_date]],"mmmm")</f>
        <v>July</v>
      </c>
      <c r="E4653" s="9">
        <f>YEAR(Table5[[#This Row],[bill_date]])</f>
        <v>2022</v>
      </c>
      <c r="F4653">
        <v>652</v>
      </c>
      <c r="G4653" t="s">
        <v>30</v>
      </c>
    </row>
    <row r="4654" spans="1:7" x14ac:dyDescent="0.3">
      <c r="A4654">
        <v>34653</v>
      </c>
      <c r="B4654">
        <v>130</v>
      </c>
      <c r="C4654" s="2">
        <v>45246</v>
      </c>
      <c r="D4654" s="2" t="str">
        <f>TEXT(Table5[[#This Row],[bill_date]],"mmmm")</f>
        <v>November</v>
      </c>
      <c r="E4654" s="9">
        <f>YEAR(Table5[[#This Row],[bill_date]])</f>
        <v>2023</v>
      </c>
      <c r="F4654">
        <v>386</v>
      </c>
      <c r="G4654" t="s">
        <v>30</v>
      </c>
    </row>
    <row r="4655" spans="1:7" x14ac:dyDescent="0.3">
      <c r="A4655">
        <v>34654</v>
      </c>
      <c r="B4655">
        <v>456</v>
      </c>
      <c r="C4655" s="2">
        <v>44824</v>
      </c>
      <c r="D4655" s="2" t="str">
        <f>TEXT(Table5[[#This Row],[bill_date]],"mmmm")</f>
        <v>September</v>
      </c>
      <c r="E4655" s="9">
        <f>YEAR(Table5[[#This Row],[bill_date]])</f>
        <v>2022</v>
      </c>
      <c r="F4655">
        <v>903</v>
      </c>
      <c r="G4655" t="s">
        <v>30</v>
      </c>
    </row>
    <row r="4656" spans="1:7" x14ac:dyDescent="0.3">
      <c r="A4656">
        <v>34655</v>
      </c>
      <c r="B4656">
        <v>466</v>
      </c>
      <c r="C4656" s="2">
        <v>44990</v>
      </c>
      <c r="D4656" s="2" t="str">
        <f>TEXT(Table5[[#This Row],[bill_date]],"mmmm")</f>
        <v>March</v>
      </c>
      <c r="E4656" s="9">
        <f>YEAR(Table5[[#This Row],[bill_date]])</f>
        <v>2023</v>
      </c>
      <c r="F4656">
        <v>1518</v>
      </c>
      <c r="G4656" t="s">
        <v>30</v>
      </c>
    </row>
    <row r="4657" spans="1:7" x14ac:dyDescent="0.3">
      <c r="A4657">
        <v>34656</v>
      </c>
      <c r="B4657">
        <v>440</v>
      </c>
      <c r="C4657" s="2">
        <v>45368</v>
      </c>
      <c r="D4657" s="2" t="str">
        <f>TEXT(Table5[[#This Row],[bill_date]],"mmmm")</f>
        <v>March</v>
      </c>
      <c r="E4657" s="9">
        <f>YEAR(Table5[[#This Row],[bill_date]])</f>
        <v>2024</v>
      </c>
      <c r="F4657">
        <v>1745</v>
      </c>
      <c r="G4657" t="s">
        <v>30</v>
      </c>
    </row>
    <row r="4658" spans="1:7" x14ac:dyDescent="0.3">
      <c r="A4658">
        <v>34657</v>
      </c>
      <c r="B4658">
        <v>263</v>
      </c>
      <c r="C4658" s="2">
        <v>44921</v>
      </c>
      <c r="D4658" s="2" t="str">
        <f>TEXT(Table5[[#This Row],[bill_date]],"mmmm")</f>
        <v>December</v>
      </c>
      <c r="E4658" s="9">
        <f>YEAR(Table5[[#This Row],[bill_date]])</f>
        <v>2022</v>
      </c>
      <c r="F4658">
        <v>890</v>
      </c>
      <c r="G4658" t="s">
        <v>30</v>
      </c>
    </row>
    <row r="4659" spans="1:7" x14ac:dyDescent="0.3">
      <c r="A4659">
        <v>34658</v>
      </c>
      <c r="B4659">
        <v>171</v>
      </c>
      <c r="C4659" s="2">
        <v>45123</v>
      </c>
      <c r="D4659" s="2" t="str">
        <f>TEXT(Table5[[#This Row],[bill_date]],"mmmm")</f>
        <v>July</v>
      </c>
      <c r="E4659" s="9">
        <f>YEAR(Table5[[#This Row],[bill_date]])</f>
        <v>2023</v>
      </c>
      <c r="F4659">
        <v>1604</v>
      </c>
      <c r="G4659" t="s">
        <v>30</v>
      </c>
    </row>
    <row r="4660" spans="1:7" x14ac:dyDescent="0.3">
      <c r="A4660">
        <v>34659</v>
      </c>
      <c r="B4660">
        <v>415</v>
      </c>
      <c r="C4660" s="2">
        <v>44994</v>
      </c>
      <c r="D4660" s="2" t="str">
        <f>TEXT(Table5[[#This Row],[bill_date]],"mmmm")</f>
        <v>March</v>
      </c>
      <c r="E4660" s="9">
        <f>YEAR(Table5[[#This Row],[bill_date]])</f>
        <v>2023</v>
      </c>
      <c r="F4660">
        <v>1565</v>
      </c>
      <c r="G4660" t="s">
        <v>30</v>
      </c>
    </row>
    <row r="4661" spans="1:7" x14ac:dyDescent="0.3">
      <c r="A4661">
        <v>34660</v>
      </c>
      <c r="B4661">
        <v>445</v>
      </c>
      <c r="C4661" s="2">
        <v>45121</v>
      </c>
      <c r="D4661" s="2" t="str">
        <f>TEXT(Table5[[#This Row],[bill_date]],"mmmm")</f>
        <v>July</v>
      </c>
      <c r="E4661" s="9">
        <f>YEAR(Table5[[#This Row],[bill_date]])</f>
        <v>2023</v>
      </c>
      <c r="F4661">
        <v>800</v>
      </c>
      <c r="G4661" t="s">
        <v>30</v>
      </c>
    </row>
    <row r="4662" spans="1:7" x14ac:dyDescent="0.3">
      <c r="A4662">
        <v>34661</v>
      </c>
      <c r="B4662">
        <v>406</v>
      </c>
      <c r="C4662" s="2">
        <v>45069</v>
      </c>
      <c r="D4662" s="2" t="str">
        <f>TEXT(Table5[[#This Row],[bill_date]],"mmmm")</f>
        <v>May</v>
      </c>
      <c r="E4662" s="9">
        <f>YEAR(Table5[[#This Row],[bill_date]])</f>
        <v>2023</v>
      </c>
      <c r="F4662">
        <v>1445</v>
      </c>
      <c r="G4662" t="s">
        <v>30</v>
      </c>
    </row>
    <row r="4663" spans="1:7" x14ac:dyDescent="0.3">
      <c r="A4663">
        <v>34662</v>
      </c>
      <c r="B4663">
        <v>190</v>
      </c>
      <c r="C4663" s="2">
        <v>44610</v>
      </c>
      <c r="D4663" s="2" t="str">
        <f>TEXT(Table5[[#This Row],[bill_date]],"mmmm")</f>
        <v>February</v>
      </c>
      <c r="E4663" s="9">
        <f>YEAR(Table5[[#This Row],[bill_date]])</f>
        <v>2022</v>
      </c>
      <c r="F4663">
        <v>533</v>
      </c>
      <c r="G4663" t="s">
        <v>30</v>
      </c>
    </row>
    <row r="4664" spans="1:7" x14ac:dyDescent="0.3">
      <c r="A4664">
        <v>34663</v>
      </c>
      <c r="B4664">
        <v>284</v>
      </c>
      <c r="C4664" s="2">
        <v>44729</v>
      </c>
      <c r="D4664" s="2" t="str">
        <f>TEXT(Table5[[#This Row],[bill_date]],"mmmm")</f>
        <v>June</v>
      </c>
      <c r="E4664" s="9">
        <f>YEAR(Table5[[#This Row],[bill_date]])</f>
        <v>2022</v>
      </c>
      <c r="F4664">
        <v>655</v>
      </c>
      <c r="G4664" t="s">
        <v>30</v>
      </c>
    </row>
    <row r="4665" spans="1:7" x14ac:dyDescent="0.3">
      <c r="A4665">
        <v>34664</v>
      </c>
      <c r="B4665">
        <v>25</v>
      </c>
      <c r="C4665" s="2">
        <v>45240</v>
      </c>
      <c r="D4665" s="2" t="str">
        <f>TEXT(Table5[[#This Row],[bill_date]],"mmmm")</f>
        <v>November</v>
      </c>
      <c r="E4665" s="9">
        <f>YEAR(Table5[[#This Row],[bill_date]])</f>
        <v>2023</v>
      </c>
      <c r="F4665">
        <v>1670</v>
      </c>
      <c r="G4665" t="s">
        <v>30</v>
      </c>
    </row>
    <row r="4666" spans="1:7" x14ac:dyDescent="0.3">
      <c r="A4666">
        <v>34665</v>
      </c>
      <c r="B4666">
        <v>500</v>
      </c>
      <c r="C4666" s="2">
        <v>45002</v>
      </c>
      <c r="D4666" s="2" t="str">
        <f>TEXT(Table5[[#This Row],[bill_date]],"mmmm")</f>
        <v>March</v>
      </c>
      <c r="E4666" s="9">
        <f>YEAR(Table5[[#This Row],[bill_date]])</f>
        <v>2023</v>
      </c>
      <c r="F4666">
        <v>936</v>
      </c>
      <c r="G4666" t="s">
        <v>28</v>
      </c>
    </row>
    <row r="4667" spans="1:7" x14ac:dyDescent="0.3">
      <c r="A4667">
        <v>34666</v>
      </c>
      <c r="B4667">
        <v>449</v>
      </c>
      <c r="C4667" s="2">
        <v>45155</v>
      </c>
      <c r="D4667" s="2" t="str">
        <f>TEXT(Table5[[#This Row],[bill_date]],"mmmm")</f>
        <v>August</v>
      </c>
      <c r="E4667" s="9">
        <f>YEAR(Table5[[#This Row],[bill_date]])</f>
        <v>2023</v>
      </c>
      <c r="F4667">
        <v>1837</v>
      </c>
      <c r="G4667" t="s">
        <v>30</v>
      </c>
    </row>
    <row r="4668" spans="1:7" x14ac:dyDescent="0.3">
      <c r="A4668">
        <v>34667</v>
      </c>
      <c r="B4668">
        <v>160</v>
      </c>
      <c r="C4668" s="2">
        <v>45136</v>
      </c>
      <c r="D4668" s="2" t="str">
        <f>TEXT(Table5[[#This Row],[bill_date]],"mmmm")</f>
        <v>July</v>
      </c>
      <c r="E4668" s="9">
        <f>YEAR(Table5[[#This Row],[bill_date]])</f>
        <v>2023</v>
      </c>
      <c r="F4668">
        <v>535</v>
      </c>
      <c r="G4668" t="s">
        <v>30</v>
      </c>
    </row>
    <row r="4669" spans="1:7" x14ac:dyDescent="0.3">
      <c r="A4669">
        <v>34668</v>
      </c>
      <c r="B4669">
        <v>217</v>
      </c>
      <c r="C4669" s="2">
        <v>44789</v>
      </c>
      <c r="D4669" s="2" t="str">
        <f>TEXT(Table5[[#This Row],[bill_date]],"mmmm")</f>
        <v>August</v>
      </c>
      <c r="E4669" s="9">
        <f>YEAR(Table5[[#This Row],[bill_date]])</f>
        <v>2022</v>
      </c>
      <c r="F4669">
        <v>553</v>
      </c>
      <c r="G4669" t="s">
        <v>29</v>
      </c>
    </row>
    <row r="4670" spans="1:7" x14ac:dyDescent="0.3">
      <c r="A4670">
        <v>34669</v>
      </c>
      <c r="B4670">
        <v>176</v>
      </c>
      <c r="C4670" s="2">
        <v>44775</v>
      </c>
      <c r="D4670" s="2" t="str">
        <f>TEXT(Table5[[#This Row],[bill_date]],"mmmm")</f>
        <v>August</v>
      </c>
      <c r="E4670" s="9">
        <f>YEAR(Table5[[#This Row],[bill_date]])</f>
        <v>2022</v>
      </c>
      <c r="F4670">
        <v>554</v>
      </c>
      <c r="G4670" t="s">
        <v>28</v>
      </c>
    </row>
    <row r="4671" spans="1:7" x14ac:dyDescent="0.3">
      <c r="A4671">
        <v>34670</v>
      </c>
      <c r="B4671">
        <v>336</v>
      </c>
      <c r="C4671" s="2">
        <v>45203</v>
      </c>
      <c r="D4671" s="2" t="str">
        <f>TEXT(Table5[[#This Row],[bill_date]],"mmmm")</f>
        <v>October</v>
      </c>
      <c r="E4671" s="9">
        <f>YEAR(Table5[[#This Row],[bill_date]])</f>
        <v>2023</v>
      </c>
      <c r="F4671">
        <v>430</v>
      </c>
      <c r="G4671" t="s">
        <v>30</v>
      </c>
    </row>
    <row r="4672" spans="1:7" x14ac:dyDescent="0.3">
      <c r="A4672">
        <v>34671</v>
      </c>
      <c r="B4672">
        <v>221</v>
      </c>
      <c r="C4672" s="2">
        <v>45441</v>
      </c>
      <c r="D4672" s="2" t="str">
        <f>TEXT(Table5[[#This Row],[bill_date]],"mmmm")</f>
        <v>May</v>
      </c>
      <c r="E4672" s="9">
        <f>YEAR(Table5[[#This Row],[bill_date]])</f>
        <v>2024</v>
      </c>
      <c r="F4672">
        <v>1489</v>
      </c>
      <c r="G4672" t="s">
        <v>28</v>
      </c>
    </row>
    <row r="4673" spans="1:7" x14ac:dyDescent="0.3">
      <c r="A4673">
        <v>34672</v>
      </c>
      <c r="B4673">
        <v>490</v>
      </c>
      <c r="C4673" s="2">
        <v>44715</v>
      </c>
      <c r="D4673" s="2" t="str">
        <f>TEXT(Table5[[#This Row],[bill_date]],"mmmm")</f>
        <v>June</v>
      </c>
      <c r="E4673" s="9">
        <f>YEAR(Table5[[#This Row],[bill_date]])</f>
        <v>2022</v>
      </c>
      <c r="F4673">
        <v>994</v>
      </c>
      <c r="G4673" t="s">
        <v>30</v>
      </c>
    </row>
    <row r="4674" spans="1:7" x14ac:dyDescent="0.3">
      <c r="A4674">
        <v>34673</v>
      </c>
      <c r="B4674">
        <v>280</v>
      </c>
      <c r="C4674" s="2">
        <v>45315</v>
      </c>
      <c r="D4674" s="2" t="str">
        <f>TEXT(Table5[[#This Row],[bill_date]],"mmmm")</f>
        <v>January</v>
      </c>
      <c r="E4674" s="9">
        <f>YEAR(Table5[[#This Row],[bill_date]])</f>
        <v>2024</v>
      </c>
      <c r="F4674">
        <v>388</v>
      </c>
      <c r="G4674" t="s">
        <v>30</v>
      </c>
    </row>
    <row r="4675" spans="1:7" x14ac:dyDescent="0.3">
      <c r="A4675">
        <v>34674</v>
      </c>
      <c r="B4675">
        <v>81</v>
      </c>
      <c r="C4675" s="2">
        <v>45169</v>
      </c>
      <c r="D4675" s="2" t="str">
        <f>TEXT(Table5[[#This Row],[bill_date]],"mmmm")</f>
        <v>August</v>
      </c>
      <c r="E4675" s="9">
        <f>YEAR(Table5[[#This Row],[bill_date]])</f>
        <v>2023</v>
      </c>
      <c r="F4675">
        <v>246</v>
      </c>
      <c r="G4675" t="s">
        <v>30</v>
      </c>
    </row>
    <row r="4676" spans="1:7" x14ac:dyDescent="0.3">
      <c r="A4676">
        <v>34675</v>
      </c>
      <c r="B4676">
        <v>125</v>
      </c>
      <c r="C4676" s="2">
        <v>44968</v>
      </c>
      <c r="D4676" s="2" t="str">
        <f>TEXT(Table5[[#This Row],[bill_date]],"mmmm")</f>
        <v>February</v>
      </c>
      <c r="E4676" s="9">
        <f>YEAR(Table5[[#This Row],[bill_date]])</f>
        <v>2023</v>
      </c>
      <c r="F4676">
        <v>1506</v>
      </c>
      <c r="G4676" t="s">
        <v>30</v>
      </c>
    </row>
    <row r="4677" spans="1:7" x14ac:dyDescent="0.3">
      <c r="A4677">
        <v>34676</v>
      </c>
      <c r="B4677">
        <v>170</v>
      </c>
      <c r="C4677" s="2">
        <v>45450</v>
      </c>
      <c r="D4677" s="2" t="str">
        <f>TEXT(Table5[[#This Row],[bill_date]],"mmmm")</f>
        <v>June</v>
      </c>
      <c r="E4677" s="9">
        <f>YEAR(Table5[[#This Row],[bill_date]])</f>
        <v>2024</v>
      </c>
      <c r="F4677">
        <v>1012</v>
      </c>
      <c r="G4677" t="s">
        <v>30</v>
      </c>
    </row>
    <row r="4678" spans="1:7" x14ac:dyDescent="0.3">
      <c r="A4678">
        <v>34677</v>
      </c>
      <c r="B4678">
        <v>70</v>
      </c>
      <c r="C4678" s="2">
        <v>45305</v>
      </c>
      <c r="D4678" s="2" t="str">
        <f>TEXT(Table5[[#This Row],[bill_date]],"mmmm")</f>
        <v>January</v>
      </c>
      <c r="E4678" s="9">
        <f>YEAR(Table5[[#This Row],[bill_date]])</f>
        <v>2024</v>
      </c>
      <c r="F4678">
        <v>253</v>
      </c>
      <c r="G4678" t="s">
        <v>30</v>
      </c>
    </row>
    <row r="4679" spans="1:7" x14ac:dyDescent="0.3">
      <c r="A4679">
        <v>34678</v>
      </c>
      <c r="B4679">
        <v>78</v>
      </c>
      <c r="C4679" s="2">
        <v>45311</v>
      </c>
      <c r="D4679" s="2" t="str">
        <f>TEXT(Table5[[#This Row],[bill_date]],"mmmm")</f>
        <v>January</v>
      </c>
      <c r="E4679" s="9">
        <f>YEAR(Table5[[#This Row],[bill_date]])</f>
        <v>2024</v>
      </c>
      <c r="F4679">
        <v>1561</v>
      </c>
      <c r="G4679" t="s">
        <v>30</v>
      </c>
    </row>
    <row r="4680" spans="1:7" x14ac:dyDescent="0.3">
      <c r="A4680">
        <v>34679</v>
      </c>
      <c r="B4680">
        <v>90</v>
      </c>
      <c r="C4680" s="2">
        <v>44579</v>
      </c>
      <c r="D4680" s="2" t="str">
        <f>TEXT(Table5[[#This Row],[bill_date]],"mmmm")</f>
        <v>January</v>
      </c>
      <c r="E4680" s="9">
        <f>YEAR(Table5[[#This Row],[bill_date]])</f>
        <v>2022</v>
      </c>
      <c r="F4680">
        <v>317</v>
      </c>
      <c r="G4680" t="s">
        <v>30</v>
      </c>
    </row>
    <row r="4681" spans="1:7" x14ac:dyDescent="0.3">
      <c r="A4681">
        <v>34680</v>
      </c>
      <c r="B4681">
        <v>380</v>
      </c>
      <c r="C4681" s="2">
        <v>45028</v>
      </c>
      <c r="D4681" s="2" t="str">
        <f>TEXT(Table5[[#This Row],[bill_date]],"mmmm")</f>
        <v>April</v>
      </c>
      <c r="E4681" s="9">
        <f>YEAR(Table5[[#This Row],[bill_date]])</f>
        <v>2023</v>
      </c>
      <c r="F4681">
        <v>1224</v>
      </c>
      <c r="G4681" t="s">
        <v>30</v>
      </c>
    </row>
    <row r="4682" spans="1:7" x14ac:dyDescent="0.3">
      <c r="A4682">
        <v>34681</v>
      </c>
      <c r="B4682">
        <v>348</v>
      </c>
      <c r="C4682" s="2">
        <v>44905</v>
      </c>
      <c r="D4682" s="2" t="str">
        <f>TEXT(Table5[[#This Row],[bill_date]],"mmmm")</f>
        <v>December</v>
      </c>
      <c r="E4682" s="9">
        <f>YEAR(Table5[[#This Row],[bill_date]])</f>
        <v>2022</v>
      </c>
      <c r="F4682">
        <v>422</v>
      </c>
      <c r="G4682" t="s">
        <v>30</v>
      </c>
    </row>
    <row r="4683" spans="1:7" x14ac:dyDescent="0.3">
      <c r="A4683">
        <v>34682</v>
      </c>
      <c r="B4683">
        <v>111</v>
      </c>
      <c r="C4683" s="2">
        <v>44885</v>
      </c>
      <c r="D4683" s="2" t="str">
        <f>TEXT(Table5[[#This Row],[bill_date]],"mmmm")</f>
        <v>November</v>
      </c>
      <c r="E4683" s="9">
        <f>YEAR(Table5[[#This Row],[bill_date]])</f>
        <v>2022</v>
      </c>
      <c r="F4683">
        <v>946</v>
      </c>
      <c r="G4683" t="s">
        <v>29</v>
      </c>
    </row>
    <row r="4684" spans="1:7" x14ac:dyDescent="0.3">
      <c r="A4684">
        <v>34683</v>
      </c>
      <c r="B4684">
        <v>164</v>
      </c>
      <c r="C4684" s="2">
        <v>44807</v>
      </c>
      <c r="D4684" s="2" t="str">
        <f>TEXT(Table5[[#This Row],[bill_date]],"mmmm")</f>
        <v>September</v>
      </c>
      <c r="E4684" s="9">
        <f>YEAR(Table5[[#This Row],[bill_date]])</f>
        <v>2022</v>
      </c>
      <c r="F4684">
        <v>401</v>
      </c>
      <c r="G4684" t="s">
        <v>30</v>
      </c>
    </row>
    <row r="4685" spans="1:7" x14ac:dyDescent="0.3">
      <c r="A4685">
        <v>34684</v>
      </c>
      <c r="B4685">
        <v>415</v>
      </c>
      <c r="C4685" s="2">
        <v>44621</v>
      </c>
      <c r="D4685" s="2" t="str">
        <f>TEXT(Table5[[#This Row],[bill_date]],"mmmm")</f>
        <v>March</v>
      </c>
      <c r="E4685" s="9">
        <f>YEAR(Table5[[#This Row],[bill_date]])</f>
        <v>2022</v>
      </c>
      <c r="F4685">
        <v>1878</v>
      </c>
      <c r="G4685" t="s">
        <v>29</v>
      </c>
    </row>
    <row r="4686" spans="1:7" x14ac:dyDescent="0.3">
      <c r="A4686">
        <v>34685</v>
      </c>
      <c r="B4686">
        <v>128</v>
      </c>
      <c r="C4686" s="2">
        <v>45055</v>
      </c>
      <c r="D4686" s="2" t="str">
        <f>TEXT(Table5[[#This Row],[bill_date]],"mmmm")</f>
        <v>May</v>
      </c>
      <c r="E4686" s="9">
        <f>YEAR(Table5[[#This Row],[bill_date]])</f>
        <v>2023</v>
      </c>
      <c r="F4686">
        <v>209</v>
      </c>
      <c r="G4686" t="s">
        <v>30</v>
      </c>
    </row>
    <row r="4687" spans="1:7" x14ac:dyDescent="0.3">
      <c r="A4687">
        <v>34686</v>
      </c>
      <c r="B4687">
        <v>155</v>
      </c>
      <c r="C4687" s="2">
        <v>45203</v>
      </c>
      <c r="D4687" s="2" t="str">
        <f>TEXT(Table5[[#This Row],[bill_date]],"mmmm")</f>
        <v>October</v>
      </c>
      <c r="E4687" s="9">
        <f>YEAR(Table5[[#This Row],[bill_date]])</f>
        <v>2023</v>
      </c>
      <c r="F4687">
        <v>457</v>
      </c>
      <c r="G4687" t="s">
        <v>30</v>
      </c>
    </row>
    <row r="4688" spans="1:7" x14ac:dyDescent="0.3">
      <c r="A4688">
        <v>34687</v>
      </c>
      <c r="B4688">
        <v>194</v>
      </c>
      <c r="C4688" s="2">
        <v>45423</v>
      </c>
      <c r="D4688" s="2" t="str">
        <f>TEXT(Table5[[#This Row],[bill_date]],"mmmm")</f>
        <v>May</v>
      </c>
      <c r="E4688" s="9">
        <f>YEAR(Table5[[#This Row],[bill_date]])</f>
        <v>2024</v>
      </c>
      <c r="F4688">
        <v>496</v>
      </c>
      <c r="G4688" t="s">
        <v>28</v>
      </c>
    </row>
    <row r="4689" spans="1:7" x14ac:dyDescent="0.3">
      <c r="A4689">
        <v>34688</v>
      </c>
      <c r="B4689">
        <v>467</v>
      </c>
      <c r="C4689" s="2">
        <v>44610</v>
      </c>
      <c r="D4689" s="2" t="str">
        <f>TEXT(Table5[[#This Row],[bill_date]],"mmmm")</f>
        <v>February</v>
      </c>
      <c r="E4689" s="9">
        <f>YEAR(Table5[[#This Row],[bill_date]])</f>
        <v>2022</v>
      </c>
      <c r="F4689">
        <v>867</v>
      </c>
      <c r="G4689" t="s">
        <v>30</v>
      </c>
    </row>
    <row r="4690" spans="1:7" x14ac:dyDescent="0.3">
      <c r="A4690">
        <v>34689</v>
      </c>
      <c r="B4690">
        <v>476</v>
      </c>
      <c r="C4690" s="2">
        <v>45239</v>
      </c>
      <c r="D4690" s="2" t="str">
        <f>TEXT(Table5[[#This Row],[bill_date]],"mmmm")</f>
        <v>November</v>
      </c>
      <c r="E4690" s="9">
        <f>YEAR(Table5[[#This Row],[bill_date]])</f>
        <v>2023</v>
      </c>
      <c r="F4690">
        <v>1419</v>
      </c>
      <c r="G4690" t="s">
        <v>28</v>
      </c>
    </row>
    <row r="4691" spans="1:7" x14ac:dyDescent="0.3">
      <c r="A4691">
        <v>34690</v>
      </c>
      <c r="B4691">
        <v>173</v>
      </c>
      <c r="C4691" s="2">
        <v>45241</v>
      </c>
      <c r="D4691" s="2" t="str">
        <f>TEXT(Table5[[#This Row],[bill_date]],"mmmm")</f>
        <v>November</v>
      </c>
      <c r="E4691" s="9">
        <f>YEAR(Table5[[#This Row],[bill_date]])</f>
        <v>2023</v>
      </c>
      <c r="F4691">
        <v>1826</v>
      </c>
      <c r="G4691" t="s">
        <v>30</v>
      </c>
    </row>
    <row r="4692" spans="1:7" x14ac:dyDescent="0.3">
      <c r="A4692">
        <v>34691</v>
      </c>
      <c r="B4692">
        <v>300</v>
      </c>
      <c r="C4692" s="2">
        <v>44814</v>
      </c>
      <c r="D4692" s="2" t="str">
        <f>TEXT(Table5[[#This Row],[bill_date]],"mmmm")</f>
        <v>September</v>
      </c>
      <c r="E4692" s="9">
        <f>YEAR(Table5[[#This Row],[bill_date]])</f>
        <v>2022</v>
      </c>
      <c r="F4692">
        <v>1637</v>
      </c>
      <c r="G4692" t="s">
        <v>28</v>
      </c>
    </row>
    <row r="4693" spans="1:7" x14ac:dyDescent="0.3">
      <c r="A4693">
        <v>34692</v>
      </c>
      <c r="B4693">
        <v>313</v>
      </c>
      <c r="C4693" s="2">
        <v>45409</v>
      </c>
      <c r="D4693" s="2" t="str">
        <f>TEXT(Table5[[#This Row],[bill_date]],"mmmm")</f>
        <v>April</v>
      </c>
      <c r="E4693" s="9">
        <f>YEAR(Table5[[#This Row],[bill_date]])</f>
        <v>2024</v>
      </c>
      <c r="F4693">
        <v>531</v>
      </c>
      <c r="G4693" t="s">
        <v>30</v>
      </c>
    </row>
    <row r="4694" spans="1:7" x14ac:dyDescent="0.3">
      <c r="A4694">
        <v>34693</v>
      </c>
      <c r="B4694">
        <v>21</v>
      </c>
      <c r="C4694" s="2">
        <v>44944</v>
      </c>
      <c r="D4694" s="2" t="str">
        <f>TEXT(Table5[[#This Row],[bill_date]],"mmmm")</f>
        <v>January</v>
      </c>
      <c r="E4694" s="9">
        <f>YEAR(Table5[[#This Row],[bill_date]])</f>
        <v>2023</v>
      </c>
      <c r="F4694">
        <v>351</v>
      </c>
      <c r="G4694" t="s">
        <v>28</v>
      </c>
    </row>
    <row r="4695" spans="1:7" x14ac:dyDescent="0.3">
      <c r="A4695">
        <v>34694</v>
      </c>
      <c r="B4695">
        <v>311</v>
      </c>
      <c r="C4695" s="2">
        <v>44870</v>
      </c>
      <c r="D4695" s="2" t="str">
        <f>TEXT(Table5[[#This Row],[bill_date]],"mmmm")</f>
        <v>November</v>
      </c>
      <c r="E4695" s="9">
        <f>YEAR(Table5[[#This Row],[bill_date]])</f>
        <v>2022</v>
      </c>
      <c r="F4695">
        <v>1598</v>
      </c>
      <c r="G4695" t="s">
        <v>30</v>
      </c>
    </row>
    <row r="4696" spans="1:7" x14ac:dyDescent="0.3">
      <c r="A4696">
        <v>34695</v>
      </c>
      <c r="B4696">
        <v>109</v>
      </c>
      <c r="C4696" s="2">
        <v>45137</v>
      </c>
      <c r="D4696" s="2" t="str">
        <f>TEXT(Table5[[#This Row],[bill_date]],"mmmm")</f>
        <v>July</v>
      </c>
      <c r="E4696" s="9">
        <f>YEAR(Table5[[#This Row],[bill_date]])</f>
        <v>2023</v>
      </c>
      <c r="F4696">
        <v>332</v>
      </c>
      <c r="G4696" t="s">
        <v>30</v>
      </c>
    </row>
    <row r="4697" spans="1:7" x14ac:dyDescent="0.3">
      <c r="A4697">
        <v>34696</v>
      </c>
      <c r="B4697">
        <v>399</v>
      </c>
      <c r="C4697" s="2">
        <v>45106</v>
      </c>
      <c r="D4697" s="2" t="str">
        <f>TEXT(Table5[[#This Row],[bill_date]],"mmmm")</f>
        <v>June</v>
      </c>
      <c r="E4697" s="9">
        <f>YEAR(Table5[[#This Row],[bill_date]])</f>
        <v>2023</v>
      </c>
      <c r="F4697">
        <v>1154</v>
      </c>
      <c r="G4697" t="s">
        <v>28</v>
      </c>
    </row>
    <row r="4698" spans="1:7" x14ac:dyDescent="0.3">
      <c r="A4698">
        <v>34697</v>
      </c>
      <c r="B4698">
        <v>418</v>
      </c>
      <c r="C4698" s="2">
        <v>44619</v>
      </c>
      <c r="D4698" s="2" t="str">
        <f>TEXT(Table5[[#This Row],[bill_date]],"mmmm")</f>
        <v>February</v>
      </c>
      <c r="E4698" s="9">
        <f>YEAR(Table5[[#This Row],[bill_date]])</f>
        <v>2022</v>
      </c>
      <c r="F4698">
        <v>314</v>
      </c>
      <c r="G4698" t="s">
        <v>28</v>
      </c>
    </row>
    <row r="4699" spans="1:7" x14ac:dyDescent="0.3">
      <c r="A4699">
        <v>34698</v>
      </c>
      <c r="B4699">
        <v>360</v>
      </c>
      <c r="C4699" s="2">
        <v>45379</v>
      </c>
      <c r="D4699" s="2" t="str">
        <f>TEXT(Table5[[#This Row],[bill_date]],"mmmm")</f>
        <v>March</v>
      </c>
      <c r="E4699" s="9">
        <f>YEAR(Table5[[#This Row],[bill_date]])</f>
        <v>2024</v>
      </c>
      <c r="F4699">
        <v>1289</v>
      </c>
      <c r="G4699" t="s">
        <v>30</v>
      </c>
    </row>
    <row r="4700" spans="1:7" x14ac:dyDescent="0.3">
      <c r="A4700">
        <v>34699</v>
      </c>
      <c r="B4700">
        <v>387</v>
      </c>
      <c r="C4700" s="2">
        <v>44625</v>
      </c>
      <c r="D4700" s="2" t="str">
        <f>TEXT(Table5[[#This Row],[bill_date]],"mmmm")</f>
        <v>March</v>
      </c>
      <c r="E4700" s="9">
        <f>YEAR(Table5[[#This Row],[bill_date]])</f>
        <v>2022</v>
      </c>
      <c r="F4700">
        <v>860</v>
      </c>
      <c r="G4700" t="s">
        <v>30</v>
      </c>
    </row>
    <row r="4701" spans="1:7" x14ac:dyDescent="0.3">
      <c r="A4701">
        <v>34700</v>
      </c>
      <c r="B4701">
        <v>129</v>
      </c>
      <c r="C4701" s="2">
        <v>45460</v>
      </c>
      <c r="D4701" s="2" t="str">
        <f>TEXT(Table5[[#This Row],[bill_date]],"mmmm")</f>
        <v>June</v>
      </c>
      <c r="E4701" s="9">
        <f>YEAR(Table5[[#This Row],[bill_date]])</f>
        <v>2024</v>
      </c>
      <c r="F4701">
        <v>1478</v>
      </c>
      <c r="G4701" t="s">
        <v>30</v>
      </c>
    </row>
    <row r="4702" spans="1:7" x14ac:dyDescent="0.3">
      <c r="A4702">
        <v>34701</v>
      </c>
      <c r="B4702">
        <v>280</v>
      </c>
      <c r="C4702" s="2">
        <v>44686</v>
      </c>
      <c r="D4702" s="2" t="str">
        <f>TEXT(Table5[[#This Row],[bill_date]],"mmmm")</f>
        <v>May</v>
      </c>
      <c r="E4702" s="9">
        <f>YEAR(Table5[[#This Row],[bill_date]])</f>
        <v>2022</v>
      </c>
      <c r="F4702">
        <v>751</v>
      </c>
      <c r="G4702" t="s">
        <v>30</v>
      </c>
    </row>
    <row r="4703" spans="1:7" x14ac:dyDescent="0.3">
      <c r="A4703">
        <v>34702</v>
      </c>
      <c r="B4703">
        <v>427</v>
      </c>
      <c r="C4703" s="2">
        <v>44622</v>
      </c>
      <c r="D4703" s="2" t="str">
        <f>TEXT(Table5[[#This Row],[bill_date]],"mmmm")</f>
        <v>March</v>
      </c>
      <c r="E4703" s="9">
        <f>YEAR(Table5[[#This Row],[bill_date]])</f>
        <v>2022</v>
      </c>
      <c r="F4703">
        <v>891</v>
      </c>
      <c r="G4703" t="s">
        <v>28</v>
      </c>
    </row>
    <row r="4704" spans="1:7" x14ac:dyDescent="0.3">
      <c r="A4704">
        <v>34703</v>
      </c>
      <c r="B4704">
        <v>27</v>
      </c>
      <c r="C4704" s="2">
        <v>44941</v>
      </c>
      <c r="D4704" s="2" t="str">
        <f>TEXT(Table5[[#This Row],[bill_date]],"mmmm")</f>
        <v>January</v>
      </c>
      <c r="E4704" s="9">
        <f>YEAR(Table5[[#This Row],[bill_date]])</f>
        <v>2023</v>
      </c>
      <c r="F4704">
        <v>386</v>
      </c>
      <c r="G4704" t="s">
        <v>30</v>
      </c>
    </row>
    <row r="4705" spans="1:7" x14ac:dyDescent="0.3">
      <c r="A4705">
        <v>34704</v>
      </c>
      <c r="B4705">
        <v>393</v>
      </c>
      <c r="C4705" s="2">
        <v>45322</v>
      </c>
      <c r="D4705" s="2" t="str">
        <f>TEXT(Table5[[#This Row],[bill_date]],"mmmm")</f>
        <v>January</v>
      </c>
      <c r="E4705" s="9">
        <f>YEAR(Table5[[#This Row],[bill_date]])</f>
        <v>2024</v>
      </c>
      <c r="F4705">
        <v>237</v>
      </c>
      <c r="G4705" t="s">
        <v>30</v>
      </c>
    </row>
    <row r="4706" spans="1:7" x14ac:dyDescent="0.3">
      <c r="A4706">
        <v>34705</v>
      </c>
      <c r="B4706">
        <v>344</v>
      </c>
      <c r="C4706" s="2">
        <v>44699</v>
      </c>
      <c r="D4706" s="2" t="str">
        <f>TEXT(Table5[[#This Row],[bill_date]],"mmmm")</f>
        <v>May</v>
      </c>
      <c r="E4706" s="9">
        <f>YEAR(Table5[[#This Row],[bill_date]])</f>
        <v>2022</v>
      </c>
      <c r="F4706">
        <v>678</v>
      </c>
      <c r="G4706" t="s">
        <v>30</v>
      </c>
    </row>
    <row r="4707" spans="1:7" x14ac:dyDescent="0.3">
      <c r="A4707">
        <v>34706</v>
      </c>
      <c r="B4707">
        <v>401</v>
      </c>
      <c r="C4707" s="2">
        <v>44627</v>
      </c>
      <c r="D4707" s="2" t="str">
        <f>TEXT(Table5[[#This Row],[bill_date]],"mmmm")</f>
        <v>March</v>
      </c>
      <c r="E4707" s="9">
        <f>YEAR(Table5[[#This Row],[bill_date]])</f>
        <v>2022</v>
      </c>
      <c r="F4707">
        <v>1124</v>
      </c>
      <c r="G4707" t="s">
        <v>30</v>
      </c>
    </row>
    <row r="4708" spans="1:7" x14ac:dyDescent="0.3">
      <c r="A4708">
        <v>34707</v>
      </c>
      <c r="B4708">
        <v>92</v>
      </c>
      <c r="C4708" s="2">
        <v>44740</v>
      </c>
      <c r="D4708" s="2" t="str">
        <f>TEXT(Table5[[#This Row],[bill_date]],"mmmm")</f>
        <v>June</v>
      </c>
      <c r="E4708" s="9">
        <f>YEAR(Table5[[#This Row],[bill_date]])</f>
        <v>2022</v>
      </c>
      <c r="F4708">
        <v>1549</v>
      </c>
      <c r="G4708" t="s">
        <v>30</v>
      </c>
    </row>
    <row r="4709" spans="1:7" x14ac:dyDescent="0.3">
      <c r="A4709">
        <v>34708</v>
      </c>
      <c r="B4709">
        <v>295</v>
      </c>
      <c r="C4709" s="2">
        <v>45359</v>
      </c>
      <c r="D4709" s="2" t="str">
        <f>TEXT(Table5[[#This Row],[bill_date]],"mmmm")</f>
        <v>March</v>
      </c>
      <c r="E4709" s="9">
        <f>YEAR(Table5[[#This Row],[bill_date]])</f>
        <v>2024</v>
      </c>
      <c r="F4709">
        <v>927</v>
      </c>
      <c r="G4709" t="s">
        <v>30</v>
      </c>
    </row>
    <row r="4710" spans="1:7" x14ac:dyDescent="0.3">
      <c r="A4710">
        <v>34709</v>
      </c>
      <c r="B4710">
        <v>55</v>
      </c>
      <c r="C4710" s="2">
        <v>45354</v>
      </c>
      <c r="D4710" s="2" t="str">
        <f>TEXT(Table5[[#This Row],[bill_date]],"mmmm")</f>
        <v>March</v>
      </c>
      <c r="E4710" s="9">
        <f>YEAR(Table5[[#This Row],[bill_date]])</f>
        <v>2024</v>
      </c>
      <c r="F4710">
        <v>1352</v>
      </c>
      <c r="G4710" t="s">
        <v>30</v>
      </c>
    </row>
    <row r="4711" spans="1:7" x14ac:dyDescent="0.3">
      <c r="A4711">
        <v>34710</v>
      </c>
      <c r="B4711">
        <v>196</v>
      </c>
      <c r="C4711" s="2">
        <v>44732</v>
      </c>
      <c r="D4711" s="2" t="str">
        <f>TEXT(Table5[[#This Row],[bill_date]],"mmmm")</f>
        <v>June</v>
      </c>
      <c r="E4711" s="9">
        <f>YEAR(Table5[[#This Row],[bill_date]])</f>
        <v>2022</v>
      </c>
      <c r="F4711">
        <v>974</v>
      </c>
      <c r="G4711" t="s">
        <v>30</v>
      </c>
    </row>
    <row r="4712" spans="1:7" x14ac:dyDescent="0.3">
      <c r="A4712">
        <v>34711</v>
      </c>
      <c r="B4712">
        <v>381</v>
      </c>
      <c r="C4712" s="2">
        <v>45316</v>
      </c>
      <c r="D4712" s="2" t="str">
        <f>TEXT(Table5[[#This Row],[bill_date]],"mmmm")</f>
        <v>January</v>
      </c>
      <c r="E4712" s="9">
        <f>YEAR(Table5[[#This Row],[bill_date]])</f>
        <v>2024</v>
      </c>
      <c r="F4712">
        <v>1848</v>
      </c>
      <c r="G4712" t="s">
        <v>30</v>
      </c>
    </row>
    <row r="4713" spans="1:7" x14ac:dyDescent="0.3">
      <c r="A4713">
        <v>34712</v>
      </c>
      <c r="B4713">
        <v>221</v>
      </c>
      <c r="C4713" s="2">
        <v>45193</v>
      </c>
      <c r="D4713" s="2" t="str">
        <f>TEXT(Table5[[#This Row],[bill_date]],"mmmm")</f>
        <v>September</v>
      </c>
      <c r="E4713" s="9">
        <f>YEAR(Table5[[#This Row],[bill_date]])</f>
        <v>2023</v>
      </c>
      <c r="F4713">
        <v>261</v>
      </c>
      <c r="G4713" t="s">
        <v>30</v>
      </c>
    </row>
    <row r="4714" spans="1:7" x14ac:dyDescent="0.3">
      <c r="A4714">
        <v>34713</v>
      </c>
      <c r="B4714">
        <v>301</v>
      </c>
      <c r="C4714" s="2">
        <v>44905</v>
      </c>
      <c r="D4714" s="2" t="str">
        <f>TEXT(Table5[[#This Row],[bill_date]],"mmmm")</f>
        <v>December</v>
      </c>
      <c r="E4714" s="9">
        <f>YEAR(Table5[[#This Row],[bill_date]])</f>
        <v>2022</v>
      </c>
      <c r="F4714">
        <v>1153</v>
      </c>
      <c r="G4714" t="s">
        <v>30</v>
      </c>
    </row>
    <row r="4715" spans="1:7" x14ac:dyDescent="0.3">
      <c r="A4715">
        <v>34714</v>
      </c>
      <c r="B4715">
        <v>156</v>
      </c>
      <c r="C4715" s="2">
        <v>45265</v>
      </c>
      <c r="D4715" s="2" t="str">
        <f>TEXT(Table5[[#This Row],[bill_date]],"mmmm")</f>
        <v>December</v>
      </c>
      <c r="E4715" s="9">
        <f>YEAR(Table5[[#This Row],[bill_date]])</f>
        <v>2023</v>
      </c>
      <c r="F4715">
        <v>295</v>
      </c>
      <c r="G4715" t="s">
        <v>28</v>
      </c>
    </row>
    <row r="4716" spans="1:7" x14ac:dyDescent="0.3">
      <c r="A4716">
        <v>34715</v>
      </c>
      <c r="B4716">
        <v>440</v>
      </c>
      <c r="C4716" s="2">
        <v>44748</v>
      </c>
      <c r="D4716" s="2" t="str">
        <f>TEXT(Table5[[#This Row],[bill_date]],"mmmm")</f>
        <v>July</v>
      </c>
      <c r="E4716" s="9">
        <f>YEAR(Table5[[#This Row],[bill_date]])</f>
        <v>2022</v>
      </c>
      <c r="F4716">
        <v>1634</v>
      </c>
      <c r="G4716" t="s">
        <v>30</v>
      </c>
    </row>
    <row r="4717" spans="1:7" x14ac:dyDescent="0.3">
      <c r="A4717">
        <v>34716</v>
      </c>
      <c r="B4717">
        <v>101</v>
      </c>
      <c r="C4717" s="2">
        <v>44788</v>
      </c>
      <c r="D4717" s="2" t="str">
        <f>TEXT(Table5[[#This Row],[bill_date]],"mmmm")</f>
        <v>August</v>
      </c>
      <c r="E4717" s="9">
        <f>YEAR(Table5[[#This Row],[bill_date]])</f>
        <v>2022</v>
      </c>
      <c r="F4717">
        <v>728</v>
      </c>
      <c r="G4717" t="s">
        <v>30</v>
      </c>
    </row>
    <row r="4718" spans="1:7" x14ac:dyDescent="0.3">
      <c r="A4718">
        <v>34717</v>
      </c>
      <c r="B4718">
        <v>413</v>
      </c>
      <c r="C4718" s="2">
        <v>44827</v>
      </c>
      <c r="D4718" s="2" t="str">
        <f>TEXT(Table5[[#This Row],[bill_date]],"mmmm")</f>
        <v>September</v>
      </c>
      <c r="E4718" s="9">
        <f>YEAR(Table5[[#This Row],[bill_date]])</f>
        <v>2022</v>
      </c>
      <c r="F4718">
        <v>1668</v>
      </c>
      <c r="G4718" t="s">
        <v>30</v>
      </c>
    </row>
    <row r="4719" spans="1:7" x14ac:dyDescent="0.3">
      <c r="A4719">
        <v>34718</v>
      </c>
      <c r="B4719">
        <v>236</v>
      </c>
      <c r="C4719" s="2">
        <v>44753</v>
      </c>
      <c r="D4719" s="2" t="str">
        <f>TEXT(Table5[[#This Row],[bill_date]],"mmmm")</f>
        <v>July</v>
      </c>
      <c r="E4719" s="9">
        <f>YEAR(Table5[[#This Row],[bill_date]])</f>
        <v>2022</v>
      </c>
      <c r="F4719">
        <v>1939</v>
      </c>
      <c r="G4719" t="s">
        <v>30</v>
      </c>
    </row>
    <row r="4720" spans="1:7" x14ac:dyDescent="0.3">
      <c r="A4720">
        <v>34719</v>
      </c>
      <c r="B4720">
        <v>500</v>
      </c>
      <c r="C4720" s="2">
        <v>45313</v>
      </c>
      <c r="D4720" s="2" t="str">
        <f>TEXT(Table5[[#This Row],[bill_date]],"mmmm")</f>
        <v>January</v>
      </c>
      <c r="E4720" s="9">
        <f>YEAR(Table5[[#This Row],[bill_date]])</f>
        <v>2024</v>
      </c>
      <c r="F4720">
        <v>923</v>
      </c>
      <c r="G4720" t="s">
        <v>30</v>
      </c>
    </row>
    <row r="4721" spans="1:7" x14ac:dyDescent="0.3">
      <c r="A4721">
        <v>34720</v>
      </c>
      <c r="B4721">
        <v>285</v>
      </c>
      <c r="C4721" s="2">
        <v>45167</v>
      </c>
      <c r="D4721" s="2" t="str">
        <f>TEXT(Table5[[#This Row],[bill_date]],"mmmm")</f>
        <v>August</v>
      </c>
      <c r="E4721" s="9">
        <f>YEAR(Table5[[#This Row],[bill_date]])</f>
        <v>2023</v>
      </c>
      <c r="F4721">
        <v>1831</v>
      </c>
      <c r="G4721" t="s">
        <v>28</v>
      </c>
    </row>
    <row r="4722" spans="1:7" x14ac:dyDescent="0.3">
      <c r="A4722">
        <v>34721</v>
      </c>
      <c r="B4722">
        <v>69</v>
      </c>
      <c r="C4722" s="2">
        <v>44687</v>
      </c>
      <c r="D4722" s="2" t="str">
        <f>TEXT(Table5[[#This Row],[bill_date]],"mmmm")</f>
        <v>May</v>
      </c>
      <c r="E4722" s="9">
        <f>YEAR(Table5[[#This Row],[bill_date]])</f>
        <v>2022</v>
      </c>
      <c r="F4722">
        <v>1219</v>
      </c>
      <c r="G4722" t="s">
        <v>30</v>
      </c>
    </row>
    <row r="4723" spans="1:7" x14ac:dyDescent="0.3">
      <c r="A4723">
        <v>34722</v>
      </c>
      <c r="B4723">
        <v>267</v>
      </c>
      <c r="C4723" s="2">
        <v>45035</v>
      </c>
      <c r="D4723" s="2" t="str">
        <f>TEXT(Table5[[#This Row],[bill_date]],"mmmm")</f>
        <v>April</v>
      </c>
      <c r="E4723" s="9">
        <f>YEAR(Table5[[#This Row],[bill_date]])</f>
        <v>2023</v>
      </c>
      <c r="F4723">
        <v>434</v>
      </c>
      <c r="G4723" t="s">
        <v>30</v>
      </c>
    </row>
    <row r="4724" spans="1:7" x14ac:dyDescent="0.3">
      <c r="A4724">
        <v>34723</v>
      </c>
      <c r="B4724">
        <v>386</v>
      </c>
      <c r="C4724" s="2">
        <v>44660</v>
      </c>
      <c r="D4724" s="2" t="str">
        <f>TEXT(Table5[[#This Row],[bill_date]],"mmmm")</f>
        <v>April</v>
      </c>
      <c r="E4724" s="9">
        <f>YEAR(Table5[[#This Row],[bill_date]])</f>
        <v>2022</v>
      </c>
      <c r="F4724">
        <v>1902</v>
      </c>
      <c r="G4724" t="s">
        <v>30</v>
      </c>
    </row>
    <row r="4725" spans="1:7" x14ac:dyDescent="0.3">
      <c r="A4725">
        <v>34724</v>
      </c>
      <c r="B4725">
        <v>452</v>
      </c>
      <c r="C4725" s="2">
        <v>44905</v>
      </c>
      <c r="D4725" s="2" t="str">
        <f>TEXT(Table5[[#This Row],[bill_date]],"mmmm")</f>
        <v>December</v>
      </c>
      <c r="E4725" s="9">
        <f>YEAR(Table5[[#This Row],[bill_date]])</f>
        <v>2022</v>
      </c>
      <c r="F4725">
        <v>1794</v>
      </c>
      <c r="G4725" t="s">
        <v>30</v>
      </c>
    </row>
    <row r="4726" spans="1:7" x14ac:dyDescent="0.3">
      <c r="A4726">
        <v>34725</v>
      </c>
      <c r="B4726">
        <v>138</v>
      </c>
      <c r="C4726" s="2">
        <v>44804</v>
      </c>
      <c r="D4726" s="2" t="str">
        <f>TEXT(Table5[[#This Row],[bill_date]],"mmmm")</f>
        <v>August</v>
      </c>
      <c r="E4726" s="9">
        <f>YEAR(Table5[[#This Row],[bill_date]])</f>
        <v>2022</v>
      </c>
      <c r="F4726">
        <v>1307</v>
      </c>
      <c r="G4726" t="s">
        <v>29</v>
      </c>
    </row>
    <row r="4727" spans="1:7" x14ac:dyDescent="0.3">
      <c r="A4727">
        <v>34726</v>
      </c>
      <c r="B4727">
        <v>248</v>
      </c>
      <c r="C4727" s="2">
        <v>44581</v>
      </c>
      <c r="D4727" s="2" t="str">
        <f>TEXT(Table5[[#This Row],[bill_date]],"mmmm")</f>
        <v>January</v>
      </c>
      <c r="E4727" s="9">
        <f>YEAR(Table5[[#This Row],[bill_date]])</f>
        <v>2022</v>
      </c>
      <c r="F4727">
        <v>1995</v>
      </c>
      <c r="G4727" t="s">
        <v>30</v>
      </c>
    </row>
    <row r="4728" spans="1:7" x14ac:dyDescent="0.3">
      <c r="A4728">
        <v>34727</v>
      </c>
      <c r="B4728">
        <v>103</v>
      </c>
      <c r="C4728" s="2">
        <v>45190</v>
      </c>
      <c r="D4728" s="2" t="str">
        <f>TEXT(Table5[[#This Row],[bill_date]],"mmmm")</f>
        <v>September</v>
      </c>
      <c r="E4728" s="9">
        <f>YEAR(Table5[[#This Row],[bill_date]])</f>
        <v>2023</v>
      </c>
      <c r="F4728">
        <v>553</v>
      </c>
      <c r="G4728" t="s">
        <v>30</v>
      </c>
    </row>
    <row r="4729" spans="1:7" x14ac:dyDescent="0.3">
      <c r="A4729">
        <v>34728</v>
      </c>
      <c r="B4729">
        <v>108</v>
      </c>
      <c r="C4729" s="2">
        <v>44920</v>
      </c>
      <c r="D4729" s="2" t="str">
        <f>TEXT(Table5[[#This Row],[bill_date]],"mmmm")</f>
        <v>December</v>
      </c>
      <c r="E4729" s="9">
        <f>YEAR(Table5[[#This Row],[bill_date]])</f>
        <v>2022</v>
      </c>
      <c r="F4729">
        <v>1624</v>
      </c>
      <c r="G4729" t="s">
        <v>30</v>
      </c>
    </row>
    <row r="4730" spans="1:7" x14ac:dyDescent="0.3">
      <c r="A4730">
        <v>34729</v>
      </c>
      <c r="B4730">
        <v>200</v>
      </c>
      <c r="C4730" s="2">
        <v>44994</v>
      </c>
      <c r="D4730" s="2" t="str">
        <f>TEXT(Table5[[#This Row],[bill_date]],"mmmm")</f>
        <v>March</v>
      </c>
      <c r="E4730" s="9">
        <f>YEAR(Table5[[#This Row],[bill_date]])</f>
        <v>2023</v>
      </c>
      <c r="F4730">
        <v>1388</v>
      </c>
      <c r="G4730" t="s">
        <v>28</v>
      </c>
    </row>
    <row r="4731" spans="1:7" x14ac:dyDescent="0.3">
      <c r="A4731">
        <v>34730</v>
      </c>
      <c r="B4731">
        <v>375</v>
      </c>
      <c r="C4731" s="2">
        <v>45172</v>
      </c>
      <c r="D4731" s="2" t="str">
        <f>TEXT(Table5[[#This Row],[bill_date]],"mmmm")</f>
        <v>September</v>
      </c>
      <c r="E4731" s="9">
        <f>YEAR(Table5[[#This Row],[bill_date]])</f>
        <v>2023</v>
      </c>
      <c r="F4731">
        <v>1450</v>
      </c>
      <c r="G4731" t="s">
        <v>30</v>
      </c>
    </row>
    <row r="4732" spans="1:7" x14ac:dyDescent="0.3">
      <c r="A4732">
        <v>34731</v>
      </c>
      <c r="B4732">
        <v>215</v>
      </c>
      <c r="C4732" s="2">
        <v>45048</v>
      </c>
      <c r="D4732" s="2" t="str">
        <f>TEXT(Table5[[#This Row],[bill_date]],"mmmm")</f>
        <v>May</v>
      </c>
      <c r="E4732" s="9">
        <f>YEAR(Table5[[#This Row],[bill_date]])</f>
        <v>2023</v>
      </c>
      <c r="F4732">
        <v>1589</v>
      </c>
      <c r="G4732" t="s">
        <v>30</v>
      </c>
    </row>
    <row r="4733" spans="1:7" x14ac:dyDescent="0.3">
      <c r="A4733">
        <v>34732</v>
      </c>
      <c r="B4733">
        <v>155</v>
      </c>
      <c r="C4733" s="2">
        <v>45452</v>
      </c>
      <c r="D4733" s="2" t="str">
        <f>TEXT(Table5[[#This Row],[bill_date]],"mmmm")</f>
        <v>June</v>
      </c>
      <c r="E4733" s="9">
        <f>YEAR(Table5[[#This Row],[bill_date]])</f>
        <v>2024</v>
      </c>
      <c r="F4733">
        <v>1123</v>
      </c>
      <c r="G4733" t="s">
        <v>30</v>
      </c>
    </row>
    <row r="4734" spans="1:7" x14ac:dyDescent="0.3">
      <c r="A4734">
        <v>34733</v>
      </c>
      <c r="B4734">
        <v>87</v>
      </c>
      <c r="C4734" s="2">
        <v>44891</v>
      </c>
      <c r="D4734" s="2" t="str">
        <f>TEXT(Table5[[#This Row],[bill_date]],"mmmm")</f>
        <v>November</v>
      </c>
      <c r="E4734" s="9">
        <f>YEAR(Table5[[#This Row],[bill_date]])</f>
        <v>2022</v>
      </c>
      <c r="F4734">
        <v>1632</v>
      </c>
      <c r="G4734" t="s">
        <v>30</v>
      </c>
    </row>
    <row r="4735" spans="1:7" x14ac:dyDescent="0.3">
      <c r="A4735">
        <v>34734</v>
      </c>
      <c r="B4735">
        <v>368</v>
      </c>
      <c r="C4735" s="2">
        <v>45228</v>
      </c>
      <c r="D4735" s="2" t="str">
        <f>TEXT(Table5[[#This Row],[bill_date]],"mmmm")</f>
        <v>October</v>
      </c>
      <c r="E4735" s="9">
        <f>YEAR(Table5[[#This Row],[bill_date]])</f>
        <v>2023</v>
      </c>
      <c r="F4735">
        <v>1282</v>
      </c>
      <c r="G4735" t="s">
        <v>30</v>
      </c>
    </row>
    <row r="4736" spans="1:7" x14ac:dyDescent="0.3">
      <c r="A4736">
        <v>34735</v>
      </c>
      <c r="B4736">
        <v>482</v>
      </c>
      <c r="C4736" s="2">
        <v>44868</v>
      </c>
      <c r="D4736" s="2" t="str">
        <f>TEXT(Table5[[#This Row],[bill_date]],"mmmm")</f>
        <v>November</v>
      </c>
      <c r="E4736" s="9">
        <f>YEAR(Table5[[#This Row],[bill_date]])</f>
        <v>2022</v>
      </c>
      <c r="F4736">
        <v>362</v>
      </c>
      <c r="G4736" t="s">
        <v>30</v>
      </c>
    </row>
    <row r="4737" spans="1:7" x14ac:dyDescent="0.3">
      <c r="A4737">
        <v>34736</v>
      </c>
      <c r="B4737">
        <v>419</v>
      </c>
      <c r="C4737" s="2">
        <v>44746</v>
      </c>
      <c r="D4737" s="2" t="str">
        <f>TEXT(Table5[[#This Row],[bill_date]],"mmmm")</f>
        <v>July</v>
      </c>
      <c r="E4737" s="9">
        <f>YEAR(Table5[[#This Row],[bill_date]])</f>
        <v>2022</v>
      </c>
      <c r="F4737">
        <v>1452</v>
      </c>
      <c r="G4737" t="s">
        <v>30</v>
      </c>
    </row>
    <row r="4738" spans="1:7" x14ac:dyDescent="0.3">
      <c r="A4738">
        <v>34737</v>
      </c>
      <c r="B4738">
        <v>209</v>
      </c>
      <c r="C4738" s="2">
        <v>44896</v>
      </c>
      <c r="D4738" s="2" t="str">
        <f>TEXT(Table5[[#This Row],[bill_date]],"mmmm")</f>
        <v>December</v>
      </c>
      <c r="E4738" s="9">
        <f>YEAR(Table5[[#This Row],[bill_date]])</f>
        <v>2022</v>
      </c>
      <c r="F4738">
        <v>1080</v>
      </c>
      <c r="G4738" t="s">
        <v>30</v>
      </c>
    </row>
    <row r="4739" spans="1:7" x14ac:dyDescent="0.3">
      <c r="A4739">
        <v>34738</v>
      </c>
      <c r="B4739">
        <v>495</v>
      </c>
      <c r="C4739" s="2">
        <v>45067</v>
      </c>
      <c r="D4739" s="2" t="str">
        <f>TEXT(Table5[[#This Row],[bill_date]],"mmmm")</f>
        <v>May</v>
      </c>
      <c r="E4739" s="9">
        <f>YEAR(Table5[[#This Row],[bill_date]])</f>
        <v>2023</v>
      </c>
      <c r="F4739">
        <v>792</v>
      </c>
      <c r="G4739" t="s">
        <v>28</v>
      </c>
    </row>
    <row r="4740" spans="1:7" x14ac:dyDescent="0.3">
      <c r="A4740">
        <v>34739</v>
      </c>
      <c r="B4740">
        <v>178</v>
      </c>
      <c r="C4740" s="2">
        <v>45024</v>
      </c>
      <c r="D4740" s="2" t="str">
        <f>TEXT(Table5[[#This Row],[bill_date]],"mmmm")</f>
        <v>April</v>
      </c>
      <c r="E4740" s="9">
        <f>YEAR(Table5[[#This Row],[bill_date]])</f>
        <v>2023</v>
      </c>
      <c r="F4740">
        <v>1379</v>
      </c>
      <c r="G4740" t="s">
        <v>28</v>
      </c>
    </row>
    <row r="4741" spans="1:7" x14ac:dyDescent="0.3">
      <c r="A4741">
        <v>34740</v>
      </c>
      <c r="B4741">
        <v>74</v>
      </c>
      <c r="C4741" s="2">
        <v>44564</v>
      </c>
      <c r="D4741" s="2" t="str">
        <f>TEXT(Table5[[#This Row],[bill_date]],"mmmm")</f>
        <v>January</v>
      </c>
      <c r="E4741" s="9">
        <f>YEAR(Table5[[#This Row],[bill_date]])</f>
        <v>2022</v>
      </c>
      <c r="F4741">
        <v>1216</v>
      </c>
      <c r="G4741" t="s">
        <v>30</v>
      </c>
    </row>
    <row r="4742" spans="1:7" x14ac:dyDescent="0.3">
      <c r="A4742">
        <v>34741</v>
      </c>
      <c r="B4742">
        <v>258</v>
      </c>
      <c r="C4742" s="2">
        <v>45230</v>
      </c>
      <c r="D4742" s="2" t="str">
        <f>TEXT(Table5[[#This Row],[bill_date]],"mmmm")</f>
        <v>October</v>
      </c>
      <c r="E4742" s="9">
        <f>YEAR(Table5[[#This Row],[bill_date]])</f>
        <v>2023</v>
      </c>
      <c r="F4742">
        <v>1125</v>
      </c>
      <c r="G4742" t="s">
        <v>28</v>
      </c>
    </row>
    <row r="4743" spans="1:7" x14ac:dyDescent="0.3">
      <c r="A4743">
        <v>34742</v>
      </c>
      <c r="B4743">
        <v>273</v>
      </c>
      <c r="C4743" s="2">
        <v>44736</v>
      </c>
      <c r="D4743" s="2" t="str">
        <f>TEXT(Table5[[#This Row],[bill_date]],"mmmm")</f>
        <v>June</v>
      </c>
      <c r="E4743" s="9">
        <f>YEAR(Table5[[#This Row],[bill_date]])</f>
        <v>2022</v>
      </c>
      <c r="F4743">
        <v>1925</v>
      </c>
      <c r="G4743" t="s">
        <v>30</v>
      </c>
    </row>
    <row r="4744" spans="1:7" x14ac:dyDescent="0.3">
      <c r="A4744">
        <v>34743</v>
      </c>
      <c r="B4744">
        <v>351</v>
      </c>
      <c r="C4744" s="2">
        <v>45409</v>
      </c>
      <c r="D4744" s="2" t="str">
        <f>TEXT(Table5[[#This Row],[bill_date]],"mmmm")</f>
        <v>April</v>
      </c>
      <c r="E4744" s="9">
        <f>YEAR(Table5[[#This Row],[bill_date]])</f>
        <v>2024</v>
      </c>
      <c r="F4744">
        <v>1072</v>
      </c>
      <c r="G4744" t="s">
        <v>30</v>
      </c>
    </row>
    <row r="4745" spans="1:7" x14ac:dyDescent="0.3">
      <c r="A4745">
        <v>34744</v>
      </c>
      <c r="B4745">
        <v>336</v>
      </c>
      <c r="C4745" s="2">
        <v>45142</v>
      </c>
      <c r="D4745" s="2" t="str">
        <f>TEXT(Table5[[#This Row],[bill_date]],"mmmm")</f>
        <v>August</v>
      </c>
      <c r="E4745" s="9">
        <f>YEAR(Table5[[#This Row],[bill_date]])</f>
        <v>2023</v>
      </c>
      <c r="F4745">
        <v>1107</v>
      </c>
      <c r="G4745" t="s">
        <v>30</v>
      </c>
    </row>
    <row r="4746" spans="1:7" x14ac:dyDescent="0.3">
      <c r="A4746">
        <v>34745</v>
      </c>
      <c r="B4746">
        <v>24</v>
      </c>
      <c r="C4746" s="2">
        <v>45094</v>
      </c>
      <c r="D4746" s="2" t="str">
        <f>TEXT(Table5[[#This Row],[bill_date]],"mmmm")</f>
        <v>June</v>
      </c>
      <c r="E4746" s="9">
        <f>YEAR(Table5[[#This Row],[bill_date]])</f>
        <v>2023</v>
      </c>
      <c r="F4746">
        <v>1978</v>
      </c>
      <c r="G4746" t="s">
        <v>30</v>
      </c>
    </row>
    <row r="4747" spans="1:7" x14ac:dyDescent="0.3">
      <c r="A4747">
        <v>34746</v>
      </c>
      <c r="B4747">
        <v>313</v>
      </c>
      <c r="C4747" s="2">
        <v>44859</v>
      </c>
      <c r="D4747" s="2" t="str">
        <f>TEXT(Table5[[#This Row],[bill_date]],"mmmm")</f>
        <v>October</v>
      </c>
      <c r="E4747" s="9">
        <f>YEAR(Table5[[#This Row],[bill_date]])</f>
        <v>2022</v>
      </c>
      <c r="F4747">
        <v>1596</v>
      </c>
      <c r="G4747" t="s">
        <v>30</v>
      </c>
    </row>
    <row r="4748" spans="1:7" x14ac:dyDescent="0.3">
      <c r="A4748">
        <v>34747</v>
      </c>
      <c r="B4748">
        <v>71</v>
      </c>
      <c r="C4748" s="2">
        <v>44679</v>
      </c>
      <c r="D4748" s="2" t="str">
        <f>TEXT(Table5[[#This Row],[bill_date]],"mmmm")</f>
        <v>April</v>
      </c>
      <c r="E4748" s="9">
        <f>YEAR(Table5[[#This Row],[bill_date]])</f>
        <v>2022</v>
      </c>
      <c r="F4748">
        <v>1464</v>
      </c>
      <c r="G4748" t="s">
        <v>30</v>
      </c>
    </row>
    <row r="4749" spans="1:7" x14ac:dyDescent="0.3">
      <c r="A4749">
        <v>34748</v>
      </c>
      <c r="B4749">
        <v>83</v>
      </c>
      <c r="C4749" s="2">
        <v>45350</v>
      </c>
      <c r="D4749" s="2" t="str">
        <f>TEXT(Table5[[#This Row],[bill_date]],"mmmm")</f>
        <v>February</v>
      </c>
      <c r="E4749" s="9">
        <f>YEAR(Table5[[#This Row],[bill_date]])</f>
        <v>2024</v>
      </c>
      <c r="F4749">
        <v>1956</v>
      </c>
      <c r="G4749" t="s">
        <v>28</v>
      </c>
    </row>
    <row r="4750" spans="1:7" x14ac:dyDescent="0.3">
      <c r="A4750">
        <v>34749</v>
      </c>
      <c r="B4750">
        <v>400</v>
      </c>
      <c r="C4750" s="2">
        <v>45203</v>
      </c>
      <c r="D4750" s="2" t="str">
        <f>TEXT(Table5[[#This Row],[bill_date]],"mmmm")</f>
        <v>October</v>
      </c>
      <c r="E4750" s="9">
        <f>YEAR(Table5[[#This Row],[bill_date]])</f>
        <v>2023</v>
      </c>
      <c r="F4750">
        <v>1089</v>
      </c>
      <c r="G4750" t="s">
        <v>28</v>
      </c>
    </row>
    <row r="4751" spans="1:7" x14ac:dyDescent="0.3">
      <c r="A4751">
        <v>34750</v>
      </c>
      <c r="B4751">
        <v>353</v>
      </c>
      <c r="C4751" s="2">
        <v>44767</v>
      </c>
      <c r="D4751" s="2" t="str">
        <f>TEXT(Table5[[#This Row],[bill_date]],"mmmm")</f>
        <v>July</v>
      </c>
      <c r="E4751" s="9">
        <f>YEAR(Table5[[#This Row],[bill_date]])</f>
        <v>2022</v>
      </c>
      <c r="F4751">
        <v>1390</v>
      </c>
      <c r="G4751" t="s">
        <v>30</v>
      </c>
    </row>
    <row r="4752" spans="1:7" x14ac:dyDescent="0.3">
      <c r="A4752">
        <v>34751</v>
      </c>
      <c r="B4752">
        <v>292</v>
      </c>
      <c r="C4752" s="2">
        <v>45270</v>
      </c>
      <c r="D4752" s="2" t="str">
        <f>TEXT(Table5[[#This Row],[bill_date]],"mmmm")</f>
        <v>December</v>
      </c>
      <c r="E4752" s="9">
        <f>YEAR(Table5[[#This Row],[bill_date]])</f>
        <v>2023</v>
      </c>
      <c r="F4752">
        <v>319</v>
      </c>
      <c r="G4752" t="s">
        <v>30</v>
      </c>
    </row>
    <row r="4753" spans="1:7" x14ac:dyDescent="0.3">
      <c r="A4753">
        <v>34752</v>
      </c>
      <c r="B4753">
        <v>301</v>
      </c>
      <c r="C4753" s="2">
        <v>44696</v>
      </c>
      <c r="D4753" s="2" t="str">
        <f>TEXT(Table5[[#This Row],[bill_date]],"mmmm")</f>
        <v>May</v>
      </c>
      <c r="E4753" s="9">
        <f>YEAR(Table5[[#This Row],[bill_date]])</f>
        <v>2022</v>
      </c>
      <c r="F4753">
        <v>1164</v>
      </c>
      <c r="G4753" t="s">
        <v>30</v>
      </c>
    </row>
    <row r="4754" spans="1:7" x14ac:dyDescent="0.3">
      <c r="A4754">
        <v>34753</v>
      </c>
      <c r="B4754">
        <v>10</v>
      </c>
      <c r="C4754" s="2">
        <v>44764</v>
      </c>
      <c r="D4754" s="2" t="str">
        <f>TEXT(Table5[[#This Row],[bill_date]],"mmmm")</f>
        <v>July</v>
      </c>
      <c r="E4754" s="9">
        <f>YEAR(Table5[[#This Row],[bill_date]])</f>
        <v>2022</v>
      </c>
      <c r="F4754">
        <v>200</v>
      </c>
      <c r="G4754" t="s">
        <v>30</v>
      </c>
    </row>
    <row r="4755" spans="1:7" x14ac:dyDescent="0.3">
      <c r="A4755">
        <v>34754</v>
      </c>
      <c r="B4755">
        <v>319</v>
      </c>
      <c r="C4755" s="2">
        <v>44596</v>
      </c>
      <c r="D4755" s="2" t="str">
        <f>TEXT(Table5[[#This Row],[bill_date]],"mmmm")</f>
        <v>February</v>
      </c>
      <c r="E4755" s="9">
        <f>YEAR(Table5[[#This Row],[bill_date]])</f>
        <v>2022</v>
      </c>
      <c r="F4755">
        <v>316</v>
      </c>
      <c r="G4755" t="s">
        <v>30</v>
      </c>
    </row>
    <row r="4756" spans="1:7" x14ac:dyDescent="0.3">
      <c r="A4756">
        <v>34755</v>
      </c>
      <c r="B4756">
        <v>43</v>
      </c>
      <c r="C4756" s="2">
        <v>44591</v>
      </c>
      <c r="D4756" s="2" t="str">
        <f>TEXT(Table5[[#This Row],[bill_date]],"mmmm")</f>
        <v>January</v>
      </c>
      <c r="E4756" s="9">
        <f>YEAR(Table5[[#This Row],[bill_date]])</f>
        <v>2022</v>
      </c>
      <c r="F4756">
        <v>1870</v>
      </c>
      <c r="G4756" t="s">
        <v>30</v>
      </c>
    </row>
    <row r="4757" spans="1:7" x14ac:dyDescent="0.3">
      <c r="A4757">
        <v>34756</v>
      </c>
      <c r="B4757">
        <v>51</v>
      </c>
      <c r="C4757" s="2">
        <v>44989</v>
      </c>
      <c r="D4757" s="2" t="str">
        <f>TEXT(Table5[[#This Row],[bill_date]],"mmmm")</f>
        <v>March</v>
      </c>
      <c r="E4757" s="9">
        <f>YEAR(Table5[[#This Row],[bill_date]])</f>
        <v>2023</v>
      </c>
      <c r="F4757">
        <v>837</v>
      </c>
      <c r="G4757" t="s">
        <v>30</v>
      </c>
    </row>
    <row r="4758" spans="1:7" x14ac:dyDescent="0.3">
      <c r="A4758">
        <v>34757</v>
      </c>
      <c r="B4758">
        <v>207</v>
      </c>
      <c r="C4758" s="2">
        <v>45384</v>
      </c>
      <c r="D4758" s="2" t="str">
        <f>TEXT(Table5[[#This Row],[bill_date]],"mmmm")</f>
        <v>April</v>
      </c>
      <c r="E4758" s="9">
        <f>YEAR(Table5[[#This Row],[bill_date]])</f>
        <v>2024</v>
      </c>
      <c r="F4758">
        <v>1975</v>
      </c>
      <c r="G4758" t="s">
        <v>30</v>
      </c>
    </row>
    <row r="4759" spans="1:7" x14ac:dyDescent="0.3">
      <c r="A4759">
        <v>34758</v>
      </c>
      <c r="B4759">
        <v>107</v>
      </c>
      <c r="C4759" s="2">
        <v>44818</v>
      </c>
      <c r="D4759" s="2" t="str">
        <f>TEXT(Table5[[#This Row],[bill_date]],"mmmm")</f>
        <v>September</v>
      </c>
      <c r="E4759" s="9">
        <f>YEAR(Table5[[#This Row],[bill_date]])</f>
        <v>2022</v>
      </c>
      <c r="F4759">
        <v>1729</v>
      </c>
      <c r="G4759" t="s">
        <v>30</v>
      </c>
    </row>
    <row r="4760" spans="1:7" x14ac:dyDescent="0.3">
      <c r="A4760">
        <v>34759</v>
      </c>
      <c r="B4760">
        <v>259</v>
      </c>
      <c r="C4760" s="2">
        <v>44942</v>
      </c>
      <c r="D4760" s="2" t="str">
        <f>TEXT(Table5[[#This Row],[bill_date]],"mmmm")</f>
        <v>January</v>
      </c>
      <c r="E4760" s="9">
        <f>YEAR(Table5[[#This Row],[bill_date]])</f>
        <v>2023</v>
      </c>
      <c r="F4760">
        <v>572</v>
      </c>
      <c r="G4760" t="s">
        <v>30</v>
      </c>
    </row>
    <row r="4761" spans="1:7" x14ac:dyDescent="0.3">
      <c r="A4761">
        <v>34760</v>
      </c>
      <c r="B4761">
        <v>194</v>
      </c>
      <c r="C4761" s="2">
        <v>44743</v>
      </c>
      <c r="D4761" s="2" t="str">
        <f>TEXT(Table5[[#This Row],[bill_date]],"mmmm")</f>
        <v>July</v>
      </c>
      <c r="E4761" s="9">
        <f>YEAR(Table5[[#This Row],[bill_date]])</f>
        <v>2022</v>
      </c>
      <c r="F4761">
        <v>1330</v>
      </c>
      <c r="G4761" t="s">
        <v>30</v>
      </c>
    </row>
    <row r="4762" spans="1:7" x14ac:dyDescent="0.3">
      <c r="A4762">
        <v>34761</v>
      </c>
      <c r="B4762">
        <v>235</v>
      </c>
      <c r="C4762" s="2">
        <v>44769</v>
      </c>
      <c r="D4762" s="2" t="str">
        <f>TEXT(Table5[[#This Row],[bill_date]],"mmmm")</f>
        <v>July</v>
      </c>
      <c r="E4762" s="9">
        <f>YEAR(Table5[[#This Row],[bill_date]])</f>
        <v>2022</v>
      </c>
      <c r="F4762">
        <v>1521</v>
      </c>
      <c r="G4762" t="s">
        <v>30</v>
      </c>
    </row>
    <row r="4763" spans="1:7" x14ac:dyDescent="0.3">
      <c r="A4763">
        <v>34762</v>
      </c>
      <c r="B4763">
        <v>490</v>
      </c>
      <c r="C4763" s="2">
        <v>45440</v>
      </c>
      <c r="D4763" s="2" t="str">
        <f>TEXT(Table5[[#This Row],[bill_date]],"mmmm")</f>
        <v>May</v>
      </c>
      <c r="E4763" s="9">
        <f>YEAR(Table5[[#This Row],[bill_date]])</f>
        <v>2024</v>
      </c>
      <c r="F4763">
        <v>1655</v>
      </c>
      <c r="G4763" t="s">
        <v>28</v>
      </c>
    </row>
    <row r="4764" spans="1:7" x14ac:dyDescent="0.3">
      <c r="A4764">
        <v>34763</v>
      </c>
      <c r="B4764">
        <v>163</v>
      </c>
      <c r="C4764" s="2">
        <v>45202</v>
      </c>
      <c r="D4764" s="2" t="str">
        <f>TEXT(Table5[[#This Row],[bill_date]],"mmmm")</f>
        <v>October</v>
      </c>
      <c r="E4764" s="9">
        <f>YEAR(Table5[[#This Row],[bill_date]])</f>
        <v>2023</v>
      </c>
      <c r="F4764">
        <v>310</v>
      </c>
      <c r="G4764" t="s">
        <v>30</v>
      </c>
    </row>
    <row r="4765" spans="1:7" x14ac:dyDescent="0.3">
      <c r="A4765">
        <v>34764</v>
      </c>
      <c r="B4765">
        <v>475</v>
      </c>
      <c r="C4765" s="2">
        <v>45136</v>
      </c>
      <c r="D4765" s="2" t="str">
        <f>TEXT(Table5[[#This Row],[bill_date]],"mmmm")</f>
        <v>July</v>
      </c>
      <c r="E4765" s="9">
        <f>YEAR(Table5[[#This Row],[bill_date]])</f>
        <v>2023</v>
      </c>
      <c r="F4765">
        <v>1628</v>
      </c>
      <c r="G4765" t="s">
        <v>30</v>
      </c>
    </row>
    <row r="4766" spans="1:7" x14ac:dyDescent="0.3">
      <c r="A4766">
        <v>34765</v>
      </c>
      <c r="B4766">
        <v>69</v>
      </c>
      <c r="C4766" s="2">
        <v>45000</v>
      </c>
      <c r="D4766" s="2" t="str">
        <f>TEXT(Table5[[#This Row],[bill_date]],"mmmm")</f>
        <v>March</v>
      </c>
      <c r="E4766" s="9">
        <f>YEAR(Table5[[#This Row],[bill_date]])</f>
        <v>2023</v>
      </c>
      <c r="F4766">
        <v>698</v>
      </c>
      <c r="G4766" t="s">
        <v>30</v>
      </c>
    </row>
    <row r="4767" spans="1:7" x14ac:dyDescent="0.3">
      <c r="A4767">
        <v>34766</v>
      </c>
      <c r="B4767">
        <v>335</v>
      </c>
      <c r="C4767" s="2">
        <v>44903</v>
      </c>
      <c r="D4767" s="2" t="str">
        <f>TEXT(Table5[[#This Row],[bill_date]],"mmmm")</f>
        <v>December</v>
      </c>
      <c r="E4767" s="9">
        <f>YEAR(Table5[[#This Row],[bill_date]])</f>
        <v>2022</v>
      </c>
      <c r="F4767">
        <v>873</v>
      </c>
      <c r="G4767" t="s">
        <v>30</v>
      </c>
    </row>
    <row r="4768" spans="1:7" x14ac:dyDescent="0.3">
      <c r="A4768">
        <v>34767</v>
      </c>
      <c r="B4768">
        <v>292</v>
      </c>
      <c r="C4768" s="2">
        <v>45150</v>
      </c>
      <c r="D4768" s="2" t="str">
        <f>TEXT(Table5[[#This Row],[bill_date]],"mmmm")</f>
        <v>August</v>
      </c>
      <c r="E4768" s="9">
        <f>YEAR(Table5[[#This Row],[bill_date]])</f>
        <v>2023</v>
      </c>
      <c r="F4768">
        <v>1241</v>
      </c>
      <c r="G4768" t="s">
        <v>30</v>
      </c>
    </row>
    <row r="4769" spans="1:7" x14ac:dyDescent="0.3">
      <c r="A4769">
        <v>34768</v>
      </c>
      <c r="B4769">
        <v>305</v>
      </c>
      <c r="C4769" s="2">
        <v>44939</v>
      </c>
      <c r="D4769" s="2" t="str">
        <f>TEXT(Table5[[#This Row],[bill_date]],"mmmm")</f>
        <v>January</v>
      </c>
      <c r="E4769" s="9">
        <f>YEAR(Table5[[#This Row],[bill_date]])</f>
        <v>2023</v>
      </c>
      <c r="F4769">
        <v>1967</v>
      </c>
      <c r="G4769" t="s">
        <v>28</v>
      </c>
    </row>
    <row r="4770" spans="1:7" x14ac:dyDescent="0.3">
      <c r="A4770">
        <v>34769</v>
      </c>
      <c r="B4770">
        <v>481</v>
      </c>
      <c r="C4770" s="2">
        <v>44972</v>
      </c>
      <c r="D4770" s="2" t="str">
        <f>TEXT(Table5[[#This Row],[bill_date]],"mmmm")</f>
        <v>February</v>
      </c>
      <c r="E4770" s="9">
        <f>YEAR(Table5[[#This Row],[bill_date]])</f>
        <v>2023</v>
      </c>
      <c r="F4770">
        <v>1242</v>
      </c>
      <c r="G4770" t="s">
        <v>30</v>
      </c>
    </row>
    <row r="4771" spans="1:7" x14ac:dyDescent="0.3">
      <c r="A4771">
        <v>34770</v>
      </c>
      <c r="B4771">
        <v>257</v>
      </c>
      <c r="C4771" s="2">
        <v>45088</v>
      </c>
      <c r="D4771" s="2" t="str">
        <f>TEXT(Table5[[#This Row],[bill_date]],"mmmm")</f>
        <v>June</v>
      </c>
      <c r="E4771" s="9">
        <f>YEAR(Table5[[#This Row],[bill_date]])</f>
        <v>2023</v>
      </c>
      <c r="F4771">
        <v>1975</v>
      </c>
      <c r="G4771" t="s">
        <v>28</v>
      </c>
    </row>
    <row r="4772" spans="1:7" x14ac:dyDescent="0.3">
      <c r="A4772">
        <v>34771</v>
      </c>
      <c r="B4772">
        <v>460</v>
      </c>
      <c r="C4772" s="2">
        <v>44944</v>
      </c>
      <c r="D4772" s="2" t="str">
        <f>TEXT(Table5[[#This Row],[bill_date]],"mmmm")</f>
        <v>January</v>
      </c>
      <c r="E4772" s="9">
        <f>YEAR(Table5[[#This Row],[bill_date]])</f>
        <v>2023</v>
      </c>
      <c r="F4772">
        <v>970</v>
      </c>
      <c r="G4772" t="s">
        <v>30</v>
      </c>
    </row>
    <row r="4773" spans="1:7" x14ac:dyDescent="0.3">
      <c r="A4773">
        <v>34772</v>
      </c>
      <c r="B4773">
        <v>426</v>
      </c>
      <c r="C4773" s="2">
        <v>45026</v>
      </c>
      <c r="D4773" s="2" t="str">
        <f>TEXT(Table5[[#This Row],[bill_date]],"mmmm")</f>
        <v>April</v>
      </c>
      <c r="E4773" s="9">
        <f>YEAR(Table5[[#This Row],[bill_date]])</f>
        <v>2023</v>
      </c>
      <c r="F4773">
        <v>759</v>
      </c>
      <c r="G4773" t="s">
        <v>29</v>
      </c>
    </row>
    <row r="4774" spans="1:7" x14ac:dyDescent="0.3">
      <c r="A4774">
        <v>34773</v>
      </c>
      <c r="B4774">
        <v>425</v>
      </c>
      <c r="C4774" s="2">
        <v>44954</v>
      </c>
      <c r="D4774" s="2" t="str">
        <f>TEXT(Table5[[#This Row],[bill_date]],"mmmm")</f>
        <v>January</v>
      </c>
      <c r="E4774" s="9">
        <f>YEAR(Table5[[#This Row],[bill_date]])</f>
        <v>2023</v>
      </c>
      <c r="F4774">
        <v>1728</v>
      </c>
      <c r="G4774" t="s">
        <v>28</v>
      </c>
    </row>
    <row r="4775" spans="1:7" x14ac:dyDescent="0.3">
      <c r="A4775">
        <v>34774</v>
      </c>
      <c r="B4775">
        <v>329</v>
      </c>
      <c r="C4775" s="2">
        <v>45398</v>
      </c>
      <c r="D4775" s="2" t="str">
        <f>TEXT(Table5[[#This Row],[bill_date]],"mmmm")</f>
        <v>April</v>
      </c>
      <c r="E4775" s="9">
        <f>YEAR(Table5[[#This Row],[bill_date]])</f>
        <v>2024</v>
      </c>
      <c r="F4775">
        <v>352</v>
      </c>
      <c r="G4775" t="s">
        <v>28</v>
      </c>
    </row>
    <row r="4776" spans="1:7" x14ac:dyDescent="0.3">
      <c r="A4776">
        <v>34775</v>
      </c>
      <c r="B4776">
        <v>185</v>
      </c>
      <c r="C4776" s="2">
        <v>45132</v>
      </c>
      <c r="D4776" s="2" t="str">
        <f>TEXT(Table5[[#This Row],[bill_date]],"mmmm")</f>
        <v>July</v>
      </c>
      <c r="E4776" s="9">
        <f>YEAR(Table5[[#This Row],[bill_date]])</f>
        <v>2023</v>
      </c>
      <c r="F4776">
        <v>1737</v>
      </c>
      <c r="G4776" t="s">
        <v>30</v>
      </c>
    </row>
    <row r="4777" spans="1:7" x14ac:dyDescent="0.3">
      <c r="A4777">
        <v>34776</v>
      </c>
      <c r="B4777">
        <v>255</v>
      </c>
      <c r="C4777" s="2">
        <v>44712</v>
      </c>
      <c r="D4777" s="2" t="str">
        <f>TEXT(Table5[[#This Row],[bill_date]],"mmmm")</f>
        <v>May</v>
      </c>
      <c r="E4777" s="9">
        <f>YEAR(Table5[[#This Row],[bill_date]])</f>
        <v>2022</v>
      </c>
      <c r="F4777">
        <v>1018</v>
      </c>
      <c r="G4777" t="s">
        <v>30</v>
      </c>
    </row>
    <row r="4778" spans="1:7" x14ac:dyDescent="0.3">
      <c r="A4778">
        <v>34777</v>
      </c>
      <c r="B4778">
        <v>116</v>
      </c>
      <c r="C4778" s="2">
        <v>45181</v>
      </c>
      <c r="D4778" s="2" t="str">
        <f>TEXT(Table5[[#This Row],[bill_date]],"mmmm")</f>
        <v>September</v>
      </c>
      <c r="E4778" s="9">
        <f>YEAR(Table5[[#This Row],[bill_date]])</f>
        <v>2023</v>
      </c>
      <c r="F4778">
        <v>1700</v>
      </c>
      <c r="G4778" t="s">
        <v>30</v>
      </c>
    </row>
    <row r="4779" spans="1:7" x14ac:dyDescent="0.3">
      <c r="A4779">
        <v>34778</v>
      </c>
      <c r="B4779">
        <v>404</v>
      </c>
      <c r="C4779" s="2">
        <v>44930</v>
      </c>
      <c r="D4779" s="2" t="str">
        <f>TEXT(Table5[[#This Row],[bill_date]],"mmmm")</f>
        <v>January</v>
      </c>
      <c r="E4779" s="9">
        <f>YEAR(Table5[[#This Row],[bill_date]])</f>
        <v>2023</v>
      </c>
      <c r="F4779">
        <v>582</v>
      </c>
      <c r="G4779" t="s">
        <v>30</v>
      </c>
    </row>
    <row r="4780" spans="1:7" x14ac:dyDescent="0.3">
      <c r="A4780">
        <v>34779</v>
      </c>
      <c r="B4780">
        <v>478</v>
      </c>
      <c r="C4780" s="2">
        <v>44668</v>
      </c>
      <c r="D4780" s="2" t="str">
        <f>TEXT(Table5[[#This Row],[bill_date]],"mmmm")</f>
        <v>April</v>
      </c>
      <c r="E4780" s="9">
        <f>YEAR(Table5[[#This Row],[bill_date]])</f>
        <v>2022</v>
      </c>
      <c r="F4780">
        <v>1002</v>
      </c>
      <c r="G4780" t="s">
        <v>30</v>
      </c>
    </row>
    <row r="4781" spans="1:7" x14ac:dyDescent="0.3">
      <c r="A4781">
        <v>34780</v>
      </c>
      <c r="B4781">
        <v>14</v>
      </c>
      <c r="C4781" s="2">
        <v>44700</v>
      </c>
      <c r="D4781" s="2" t="str">
        <f>TEXT(Table5[[#This Row],[bill_date]],"mmmm")</f>
        <v>May</v>
      </c>
      <c r="E4781" s="9">
        <f>YEAR(Table5[[#This Row],[bill_date]])</f>
        <v>2022</v>
      </c>
      <c r="F4781">
        <v>879</v>
      </c>
      <c r="G4781" t="s">
        <v>30</v>
      </c>
    </row>
    <row r="4782" spans="1:7" x14ac:dyDescent="0.3">
      <c r="A4782">
        <v>34781</v>
      </c>
      <c r="B4782">
        <v>378</v>
      </c>
      <c r="C4782" s="2">
        <v>44841</v>
      </c>
      <c r="D4782" s="2" t="str">
        <f>TEXT(Table5[[#This Row],[bill_date]],"mmmm")</f>
        <v>October</v>
      </c>
      <c r="E4782" s="9">
        <f>YEAR(Table5[[#This Row],[bill_date]])</f>
        <v>2022</v>
      </c>
      <c r="F4782">
        <v>1420</v>
      </c>
      <c r="G4782" t="s">
        <v>30</v>
      </c>
    </row>
    <row r="4783" spans="1:7" x14ac:dyDescent="0.3">
      <c r="A4783">
        <v>34782</v>
      </c>
      <c r="B4783">
        <v>215</v>
      </c>
      <c r="C4783" s="2">
        <v>44633</v>
      </c>
      <c r="D4783" s="2" t="str">
        <f>TEXT(Table5[[#This Row],[bill_date]],"mmmm")</f>
        <v>March</v>
      </c>
      <c r="E4783" s="9">
        <f>YEAR(Table5[[#This Row],[bill_date]])</f>
        <v>2022</v>
      </c>
      <c r="F4783">
        <v>377</v>
      </c>
      <c r="G4783" t="s">
        <v>30</v>
      </c>
    </row>
    <row r="4784" spans="1:7" x14ac:dyDescent="0.3">
      <c r="A4784">
        <v>34783</v>
      </c>
      <c r="B4784">
        <v>93</v>
      </c>
      <c r="C4784" s="2">
        <v>45184</v>
      </c>
      <c r="D4784" s="2" t="str">
        <f>TEXT(Table5[[#This Row],[bill_date]],"mmmm")</f>
        <v>September</v>
      </c>
      <c r="E4784" s="9">
        <f>YEAR(Table5[[#This Row],[bill_date]])</f>
        <v>2023</v>
      </c>
      <c r="F4784">
        <v>813</v>
      </c>
      <c r="G4784" t="s">
        <v>30</v>
      </c>
    </row>
    <row r="4785" spans="1:7" x14ac:dyDescent="0.3">
      <c r="A4785">
        <v>34784</v>
      </c>
      <c r="B4785">
        <v>499</v>
      </c>
      <c r="C4785" s="2">
        <v>45066</v>
      </c>
      <c r="D4785" s="2" t="str">
        <f>TEXT(Table5[[#This Row],[bill_date]],"mmmm")</f>
        <v>May</v>
      </c>
      <c r="E4785" s="9">
        <f>YEAR(Table5[[#This Row],[bill_date]])</f>
        <v>2023</v>
      </c>
      <c r="F4785">
        <v>1953</v>
      </c>
      <c r="G4785" t="s">
        <v>30</v>
      </c>
    </row>
    <row r="4786" spans="1:7" x14ac:dyDescent="0.3">
      <c r="A4786">
        <v>34785</v>
      </c>
      <c r="B4786">
        <v>234</v>
      </c>
      <c r="C4786" s="2">
        <v>45299</v>
      </c>
      <c r="D4786" s="2" t="str">
        <f>TEXT(Table5[[#This Row],[bill_date]],"mmmm")</f>
        <v>January</v>
      </c>
      <c r="E4786" s="9">
        <f>YEAR(Table5[[#This Row],[bill_date]])</f>
        <v>2024</v>
      </c>
      <c r="F4786">
        <v>1750</v>
      </c>
      <c r="G4786" t="s">
        <v>28</v>
      </c>
    </row>
    <row r="4787" spans="1:7" x14ac:dyDescent="0.3">
      <c r="A4787">
        <v>34786</v>
      </c>
      <c r="B4787">
        <v>483</v>
      </c>
      <c r="C4787" s="2">
        <v>44667</v>
      </c>
      <c r="D4787" s="2" t="str">
        <f>TEXT(Table5[[#This Row],[bill_date]],"mmmm")</f>
        <v>April</v>
      </c>
      <c r="E4787" s="9">
        <f>YEAR(Table5[[#This Row],[bill_date]])</f>
        <v>2022</v>
      </c>
      <c r="F4787">
        <v>245</v>
      </c>
      <c r="G4787" t="s">
        <v>30</v>
      </c>
    </row>
    <row r="4788" spans="1:7" x14ac:dyDescent="0.3">
      <c r="A4788">
        <v>34787</v>
      </c>
      <c r="B4788">
        <v>180</v>
      </c>
      <c r="C4788" s="2">
        <v>45062</v>
      </c>
      <c r="D4788" s="2" t="str">
        <f>TEXT(Table5[[#This Row],[bill_date]],"mmmm")</f>
        <v>May</v>
      </c>
      <c r="E4788" s="9">
        <f>YEAR(Table5[[#This Row],[bill_date]])</f>
        <v>2023</v>
      </c>
      <c r="F4788">
        <v>756</v>
      </c>
      <c r="G4788" t="s">
        <v>29</v>
      </c>
    </row>
    <row r="4789" spans="1:7" x14ac:dyDescent="0.3">
      <c r="A4789">
        <v>34788</v>
      </c>
      <c r="B4789">
        <v>475</v>
      </c>
      <c r="C4789" s="2">
        <v>44720</v>
      </c>
      <c r="D4789" s="2" t="str">
        <f>TEXT(Table5[[#This Row],[bill_date]],"mmmm")</f>
        <v>June</v>
      </c>
      <c r="E4789" s="9">
        <f>YEAR(Table5[[#This Row],[bill_date]])</f>
        <v>2022</v>
      </c>
      <c r="F4789">
        <v>1834</v>
      </c>
      <c r="G4789" t="s">
        <v>29</v>
      </c>
    </row>
    <row r="4790" spans="1:7" x14ac:dyDescent="0.3">
      <c r="A4790">
        <v>34789</v>
      </c>
      <c r="B4790">
        <v>54</v>
      </c>
      <c r="C4790" s="2">
        <v>44711</v>
      </c>
      <c r="D4790" s="2" t="str">
        <f>TEXT(Table5[[#This Row],[bill_date]],"mmmm")</f>
        <v>May</v>
      </c>
      <c r="E4790" s="9">
        <f>YEAR(Table5[[#This Row],[bill_date]])</f>
        <v>2022</v>
      </c>
      <c r="F4790">
        <v>381</v>
      </c>
      <c r="G4790" t="s">
        <v>30</v>
      </c>
    </row>
    <row r="4791" spans="1:7" x14ac:dyDescent="0.3">
      <c r="A4791">
        <v>34790</v>
      </c>
      <c r="B4791">
        <v>305</v>
      </c>
      <c r="C4791" s="2">
        <v>44575</v>
      </c>
      <c r="D4791" s="2" t="str">
        <f>TEXT(Table5[[#This Row],[bill_date]],"mmmm")</f>
        <v>January</v>
      </c>
      <c r="E4791" s="9">
        <f>YEAR(Table5[[#This Row],[bill_date]])</f>
        <v>2022</v>
      </c>
      <c r="F4791">
        <v>552</v>
      </c>
      <c r="G4791" t="s">
        <v>30</v>
      </c>
    </row>
    <row r="4792" spans="1:7" x14ac:dyDescent="0.3">
      <c r="A4792">
        <v>34791</v>
      </c>
      <c r="B4792">
        <v>475</v>
      </c>
      <c r="C4792" s="2">
        <v>44566</v>
      </c>
      <c r="D4792" s="2" t="str">
        <f>TEXT(Table5[[#This Row],[bill_date]],"mmmm")</f>
        <v>January</v>
      </c>
      <c r="E4792" s="9">
        <f>YEAR(Table5[[#This Row],[bill_date]])</f>
        <v>2022</v>
      </c>
      <c r="F4792">
        <v>685</v>
      </c>
      <c r="G4792" t="s">
        <v>30</v>
      </c>
    </row>
    <row r="4793" spans="1:7" x14ac:dyDescent="0.3">
      <c r="A4793">
        <v>34792</v>
      </c>
      <c r="B4793">
        <v>30</v>
      </c>
      <c r="C4793" s="2">
        <v>45200</v>
      </c>
      <c r="D4793" s="2" t="str">
        <f>TEXT(Table5[[#This Row],[bill_date]],"mmmm")</f>
        <v>October</v>
      </c>
      <c r="E4793" s="9">
        <f>YEAR(Table5[[#This Row],[bill_date]])</f>
        <v>2023</v>
      </c>
      <c r="F4793">
        <v>414</v>
      </c>
      <c r="G4793" t="s">
        <v>28</v>
      </c>
    </row>
    <row r="4794" spans="1:7" x14ac:dyDescent="0.3">
      <c r="A4794">
        <v>34793</v>
      </c>
      <c r="B4794">
        <v>387</v>
      </c>
      <c r="C4794" s="2">
        <v>44834</v>
      </c>
      <c r="D4794" s="2" t="str">
        <f>TEXT(Table5[[#This Row],[bill_date]],"mmmm")</f>
        <v>September</v>
      </c>
      <c r="E4794" s="9">
        <f>YEAR(Table5[[#This Row],[bill_date]])</f>
        <v>2022</v>
      </c>
      <c r="F4794">
        <v>1090</v>
      </c>
      <c r="G4794" t="s">
        <v>30</v>
      </c>
    </row>
    <row r="4795" spans="1:7" x14ac:dyDescent="0.3">
      <c r="A4795">
        <v>34794</v>
      </c>
      <c r="B4795">
        <v>12</v>
      </c>
      <c r="C4795" s="2">
        <v>44899</v>
      </c>
      <c r="D4795" s="2" t="str">
        <f>TEXT(Table5[[#This Row],[bill_date]],"mmmm")</f>
        <v>December</v>
      </c>
      <c r="E4795" s="9">
        <f>YEAR(Table5[[#This Row],[bill_date]])</f>
        <v>2022</v>
      </c>
      <c r="F4795">
        <v>1645</v>
      </c>
      <c r="G4795" t="s">
        <v>30</v>
      </c>
    </row>
    <row r="4796" spans="1:7" x14ac:dyDescent="0.3">
      <c r="A4796">
        <v>34795</v>
      </c>
      <c r="B4796">
        <v>111</v>
      </c>
      <c r="C4796" s="2">
        <v>44772</v>
      </c>
      <c r="D4796" s="2" t="str">
        <f>TEXT(Table5[[#This Row],[bill_date]],"mmmm")</f>
        <v>July</v>
      </c>
      <c r="E4796" s="9">
        <f>YEAR(Table5[[#This Row],[bill_date]])</f>
        <v>2022</v>
      </c>
      <c r="F4796">
        <v>1868</v>
      </c>
      <c r="G4796" t="s">
        <v>30</v>
      </c>
    </row>
    <row r="4797" spans="1:7" x14ac:dyDescent="0.3">
      <c r="A4797">
        <v>34796</v>
      </c>
      <c r="B4797">
        <v>415</v>
      </c>
      <c r="C4797" s="2">
        <v>44888</v>
      </c>
      <c r="D4797" s="2" t="str">
        <f>TEXT(Table5[[#This Row],[bill_date]],"mmmm")</f>
        <v>November</v>
      </c>
      <c r="E4797" s="9">
        <f>YEAR(Table5[[#This Row],[bill_date]])</f>
        <v>2022</v>
      </c>
      <c r="F4797">
        <v>1050</v>
      </c>
      <c r="G4797" t="s">
        <v>30</v>
      </c>
    </row>
    <row r="4798" spans="1:7" x14ac:dyDescent="0.3">
      <c r="A4798">
        <v>34797</v>
      </c>
      <c r="B4798">
        <v>421</v>
      </c>
      <c r="C4798" s="2">
        <v>45419</v>
      </c>
      <c r="D4798" s="2" t="str">
        <f>TEXT(Table5[[#This Row],[bill_date]],"mmmm")</f>
        <v>May</v>
      </c>
      <c r="E4798" s="9">
        <f>YEAR(Table5[[#This Row],[bill_date]])</f>
        <v>2024</v>
      </c>
      <c r="F4798">
        <v>1027</v>
      </c>
      <c r="G4798" t="s">
        <v>30</v>
      </c>
    </row>
    <row r="4799" spans="1:7" x14ac:dyDescent="0.3">
      <c r="A4799">
        <v>34798</v>
      </c>
      <c r="B4799">
        <v>411</v>
      </c>
      <c r="C4799" s="2">
        <v>45290</v>
      </c>
      <c r="D4799" s="2" t="str">
        <f>TEXT(Table5[[#This Row],[bill_date]],"mmmm")</f>
        <v>December</v>
      </c>
      <c r="E4799" s="9">
        <f>YEAR(Table5[[#This Row],[bill_date]])</f>
        <v>2023</v>
      </c>
      <c r="F4799">
        <v>1231</v>
      </c>
      <c r="G4799" t="s">
        <v>30</v>
      </c>
    </row>
    <row r="4800" spans="1:7" x14ac:dyDescent="0.3">
      <c r="A4800">
        <v>34799</v>
      </c>
      <c r="B4800">
        <v>495</v>
      </c>
      <c r="C4800" s="2">
        <v>45027</v>
      </c>
      <c r="D4800" s="2" t="str">
        <f>TEXT(Table5[[#This Row],[bill_date]],"mmmm")</f>
        <v>April</v>
      </c>
      <c r="E4800" s="9">
        <f>YEAR(Table5[[#This Row],[bill_date]])</f>
        <v>2023</v>
      </c>
      <c r="F4800">
        <v>1207</v>
      </c>
      <c r="G4800" t="s">
        <v>30</v>
      </c>
    </row>
    <row r="4801" spans="1:7" x14ac:dyDescent="0.3">
      <c r="A4801">
        <v>34800</v>
      </c>
      <c r="B4801">
        <v>372</v>
      </c>
      <c r="C4801" s="2">
        <v>44640</v>
      </c>
      <c r="D4801" s="2" t="str">
        <f>TEXT(Table5[[#This Row],[bill_date]],"mmmm")</f>
        <v>March</v>
      </c>
      <c r="E4801" s="9">
        <f>YEAR(Table5[[#This Row],[bill_date]])</f>
        <v>2022</v>
      </c>
      <c r="F4801">
        <v>1435</v>
      </c>
      <c r="G4801" t="s">
        <v>30</v>
      </c>
    </row>
    <row r="4802" spans="1:7" x14ac:dyDescent="0.3">
      <c r="A4802">
        <v>34801</v>
      </c>
      <c r="B4802">
        <v>408</v>
      </c>
      <c r="C4802" s="2">
        <v>45166</v>
      </c>
      <c r="D4802" s="2" t="str">
        <f>TEXT(Table5[[#This Row],[bill_date]],"mmmm")</f>
        <v>August</v>
      </c>
      <c r="E4802" s="9">
        <f>YEAR(Table5[[#This Row],[bill_date]])</f>
        <v>2023</v>
      </c>
      <c r="F4802">
        <v>1361</v>
      </c>
      <c r="G4802" t="s">
        <v>28</v>
      </c>
    </row>
    <row r="4803" spans="1:7" x14ac:dyDescent="0.3">
      <c r="A4803">
        <v>34802</v>
      </c>
      <c r="B4803">
        <v>112</v>
      </c>
      <c r="C4803" s="2">
        <v>45311</v>
      </c>
      <c r="D4803" s="2" t="str">
        <f>TEXT(Table5[[#This Row],[bill_date]],"mmmm")</f>
        <v>January</v>
      </c>
      <c r="E4803" s="9">
        <f>YEAR(Table5[[#This Row],[bill_date]])</f>
        <v>2024</v>
      </c>
      <c r="F4803">
        <v>1206</v>
      </c>
      <c r="G4803" t="s">
        <v>30</v>
      </c>
    </row>
    <row r="4804" spans="1:7" x14ac:dyDescent="0.3">
      <c r="A4804">
        <v>34803</v>
      </c>
      <c r="B4804">
        <v>169</v>
      </c>
      <c r="C4804" s="2">
        <v>45307</v>
      </c>
      <c r="D4804" s="2" t="str">
        <f>TEXT(Table5[[#This Row],[bill_date]],"mmmm")</f>
        <v>January</v>
      </c>
      <c r="E4804" s="9">
        <f>YEAR(Table5[[#This Row],[bill_date]])</f>
        <v>2024</v>
      </c>
      <c r="F4804">
        <v>932</v>
      </c>
      <c r="G4804" t="s">
        <v>28</v>
      </c>
    </row>
    <row r="4805" spans="1:7" x14ac:dyDescent="0.3">
      <c r="A4805">
        <v>34804</v>
      </c>
      <c r="B4805">
        <v>104</v>
      </c>
      <c r="C4805" s="2">
        <v>44738</v>
      </c>
      <c r="D4805" s="2" t="str">
        <f>TEXT(Table5[[#This Row],[bill_date]],"mmmm")</f>
        <v>June</v>
      </c>
      <c r="E4805" s="9">
        <f>YEAR(Table5[[#This Row],[bill_date]])</f>
        <v>2022</v>
      </c>
      <c r="F4805">
        <v>519</v>
      </c>
      <c r="G4805" t="s">
        <v>30</v>
      </c>
    </row>
    <row r="4806" spans="1:7" x14ac:dyDescent="0.3">
      <c r="A4806">
        <v>34805</v>
      </c>
      <c r="B4806">
        <v>448</v>
      </c>
      <c r="C4806" s="2">
        <v>45328</v>
      </c>
      <c r="D4806" s="2" t="str">
        <f>TEXT(Table5[[#This Row],[bill_date]],"mmmm")</f>
        <v>February</v>
      </c>
      <c r="E4806" s="9">
        <f>YEAR(Table5[[#This Row],[bill_date]])</f>
        <v>2024</v>
      </c>
      <c r="F4806">
        <v>289</v>
      </c>
      <c r="G4806" t="s">
        <v>30</v>
      </c>
    </row>
    <row r="4807" spans="1:7" x14ac:dyDescent="0.3">
      <c r="A4807">
        <v>34806</v>
      </c>
      <c r="B4807">
        <v>11</v>
      </c>
      <c r="C4807" s="2">
        <v>45394</v>
      </c>
      <c r="D4807" s="2" t="str">
        <f>TEXT(Table5[[#This Row],[bill_date]],"mmmm")</f>
        <v>April</v>
      </c>
      <c r="E4807" s="9">
        <f>YEAR(Table5[[#This Row],[bill_date]])</f>
        <v>2024</v>
      </c>
      <c r="F4807">
        <v>513</v>
      </c>
      <c r="G4807" t="s">
        <v>30</v>
      </c>
    </row>
    <row r="4808" spans="1:7" x14ac:dyDescent="0.3">
      <c r="A4808">
        <v>34807</v>
      </c>
      <c r="B4808">
        <v>347</v>
      </c>
      <c r="C4808" s="2">
        <v>44693</v>
      </c>
      <c r="D4808" s="2" t="str">
        <f>TEXT(Table5[[#This Row],[bill_date]],"mmmm")</f>
        <v>May</v>
      </c>
      <c r="E4808" s="9">
        <f>YEAR(Table5[[#This Row],[bill_date]])</f>
        <v>2022</v>
      </c>
      <c r="F4808">
        <v>310</v>
      </c>
      <c r="G4808" t="s">
        <v>28</v>
      </c>
    </row>
    <row r="4809" spans="1:7" x14ac:dyDescent="0.3">
      <c r="A4809">
        <v>34808</v>
      </c>
      <c r="B4809">
        <v>329</v>
      </c>
      <c r="C4809" s="2">
        <v>45338</v>
      </c>
      <c r="D4809" s="2" t="str">
        <f>TEXT(Table5[[#This Row],[bill_date]],"mmmm")</f>
        <v>February</v>
      </c>
      <c r="E4809" s="9">
        <f>YEAR(Table5[[#This Row],[bill_date]])</f>
        <v>2024</v>
      </c>
      <c r="F4809">
        <v>1335</v>
      </c>
      <c r="G4809" t="s">
        <v>30</v>
      </c>
    </row>
    <row r="4810" spans="1:7" x14ac:dyDescent="0.3">
      <c r="A4810">
        <v>34809</v>
      </c>
      <c r="B4810">
        <v>272</v>
      </c>
      <c r="C4810" s="2">
        <v>44853</v>
      </c>
      <c r="D4810" s="2" t="str">
        <f>TEXT(Table5[[#This Row],[bill_date]],"mmmm")</f>
        <v>October</v>
      </c>
      <c r="E4810" s="9">
        <f>YEAR(Table5[[#This Row],[bill_date]])</f>
        <v>2022</v>
      </c>
      <c r="F4810">
        <v>1932</v>
      </c>
      <c r="G4810" t="s">
        <v>28</v>
      </c>
    </row>
    <row r="4811" spans="1:7" x14ac:dyDescent="0.3">
      <c r="A4811">
        <v>34810</v>
      </c>
      <c r="B4811">
        <v>14</v>
      </c>
      <c r="C4811" s="2">
        <v>45252</v>
      </c>
      <c r="D4811" s="2" t="str">
        <f>TEXT(Table5[[#This Row],[bill_date]],"mmmm")</f>
        <v>November</v>
      </c>
      <c r="E4811" s="9">
        <f>YEAR(Table5[[#This Row],[bill_date]])</f>
        <v>2023</v>
      </c>
      <c r="F4811">
        <v>572</v>
      </c>
      <c r="G4811" t="s">
        <v>28</v>
      </c>
    </row>
    <row r="4812" spans="1:7" x14ac:dyDescent="0.3">
      <c r="A4812">
        <v>34811</v>
      </c>
      <c r="B4812">
        <v>175</v>
      </c>
      <c r="C4812" s="2">
        <v>44939</v>
      </c>
      <c r="D4812" s="2" t="str">
        <f>TEXT(Table5[[#This Row],[bill_date]],"mmmm")</f>
        <v>January</v>
      </c>
      <c r="E4812" s="9">
        <f>YEAR(Table5[[#This Row],[bill_date]])</f>
        <v>2023</v>
      </c>
      <c r="F4812">
        <v>1485</v>
      </c>
      <c r="G4812" t="s">
        <v>30</v>
      </c>
    </row>
    <row r="4813" spans="1:7" x14ac:dyDescent="0.3">
      <c r="A4813">
        <v>34812</v>
      </c>
      <c r="B4813">
        <v>158</v>
      </c>
      <c r="C4813" s="2">
        <v>44977</v>
      </c>
      <c r="D4813" s="2" t="str">
        <f>TEXT(Table5[[#This Row],[bill_date]],"mmmm")</f>
        <v>February</v>
      </c>
      <c r="E4813" s="9">
        <f>YEAR(Table5[[#This Row],[bill_date]])</f>
        <v>2023</v>
      </c>
      <c r="F4813">
        <v>566</v>
      </c>
      <c r="G4813" t="s">
        <v>30</v>
      </c>
    </row>
    <row r="4814" spans="1:7" x14ac:dyDescent="0.3">
      <c r="A4814">
        <v>34813</v>
      </c>
      <c r="B4814">
        <v>110</v>
      </c>
      <c r="C4814" s="2">
        <v>44905</v>
      </c>
      <c r="D4814" s="2" t="str">
        <f>TEXT(Table5[[#This Row],[bill_date]],"mmmm")</f>
        <v>December</v>
      </c>
      <c r="E4814" s="9">
        <f>YEAR(Table5[[#This Row],[bill_date]])</f>
        <v>2022</v>
      </c>
      <c r="F4814">
        <v>576</v>
      </c>
      <c r="G4814" t="s">
        <v>30</v>
      </c>
    </row>
    <row r="4815" spans="1:7" x14ac:dyDescent="0.3">
      <c r="A4815">
        <v>34814</v>
      </c>
      <c r="B4815">
        <v>152</v>
      </c>
      <c r="C4815" s="2">
        <v>44938</v>
      </c>
      <c r="D4815" s="2" t="str">
        <f>TEXT(Table5[[#This Row],[bill_date]],"mmmm")</f>
        <v>January</v>
      </c>
      <c r="E4815" s="9">
        <f>YEAR(Table5[[#This Row],[bill_date]])</f>
        <v>2023</v>
      </c>
      <c r="F4815">
        <v>1027</v>
      </c>
      <c r="G4815" t="s">
        <v>30</v>
      </c>
    </row>
    <row r="4816" spans="1:7" x14ac:dyDescent="0.3">
      <c r="A4816">
        <v>34815</v>
      </c>
      <c r="B4816">
        <v>234</v>
      </c>
      <c r="C4816" s="2">
        <v>45046</v>
      </c>
      <c r="D4816" s="2" t="str">
        <f>TEXT(Table5[[#This Row],[bill_date]],"mmmm")</f>
        <v>April</v>
      </c>
      <c r="E4816" s="9">
        <f>YEAR(Table5[[#This Row],[bill_date]])</f>
        <v>2023</v>
      </c>
      <c r="F4816">
        <v>1023</v>
      </c>
      <c r="G4816" t="s">
        <v>30</v>
      </c>
    </row>
    <row r="4817" spans="1:7" x14ac:dyDescent="0.3">
      <c r="A4817">
        <v>34816</v>
      </c>
      <c r="B4817">
        <v>141</v>
      </c>
      <c r="C4817" s="2">
        <v>44707</v>
      </c>
      <c r="D4817" s="2" t="str">
        <f>TEXT(Table5[[#This Row],[bill_date]],"mmmm")</f>
        <v>May</v>
      </c>
      <c r="E4817" s="9">
        <f>YEAR(Table5[[#This Row],[bill_date]])</f>
        <v>2022</v>
      </c>
      <c r="F4817">
        <v>872</v>
      </c>
      <c r="G4817" t="s">
        <v>30</v>
      </c>
    </row>
    <row r="4818" spans="1:7" x14ac:dyDescent="0.3">
      <c r="A4818">
        <v>34817</v>
      </c>
      <c r="B4818">
        <v>481</v>
      </c>
      <c r="C4818" s="2">
        <v>45216</v>
      </c>
      <c r="D4818" s="2" t="str">
        <f>TEXT(Table5[[#This Row],[bill_date]],"mmmm")</f>
        <v>October</v>
      </c>
      <c r="E4818" s="9">
        <f>YEAR(Table5[[#This Row],[bill_date]])</f>
        <v>2023</v>
      </c>
      <c r="F4818">
        <v>1818</v>
      </c>
      <c r="G4818" t="s">
        <v>30</v>
      </c>
    </row>
    <row r="4819" spans="1:7" x14ac:dyDescent="0.3">
      <c r="A4819">
        <v>34818</v>
      </c>
      <c r="B4819">
        <v>119</v>
      </c>
      <c r="C4819" s="2">
        <v>45093</v>
      </c>
      <c r="D4819" s="2" t="str">
        <f>TEXT(Table5[[#This Row],[bill_date]],"mmmm")</f>
        <v>June</v>
      </c>
      <c r="E4819" s="9">
        <f>YEAR(Table5[[#This Row],[bill_date]])</f>
        <v>2023</v>
      </c>
      <c r="F4819">
        <v>755</v>
      </c>
      <c r="G4819" t="s">
        <v>30</v>
      </c>
    </row>
    <row r="4820" spans="1:7" x14ac:dyDescent="0.3">
      <c r="A4820">
        <v>34819</v>
      </c>
      <c r="B4820">
        <v>382</v>
      </c>
      <c r="C4820" s="2">
        <v>45131</v>
      </c>
      <c r="D4820" s="2" t="str">
        <f>TEXT(Table5[[#This Row],[bill_date]],"mmmm")</f>
        <v>July</v>
      </c>
      <c r="E4820" s="9">
        <f>YEAR(Table5[[#This Row],[bill_date]])</f>
        <v>2023</v>
      </c>
      <c r="F4820">
        <v>1267</v>
      </c>
      <c r="G4820" t="s">
        <v>30</v>
      </c>
    </row>
    <row r="4821" spans="1:7" x14ac:dyDescent="0.3">
      <c r="A4821">
        <v>34820</v>
      </c>
      <c r="B4821">
        <v>9</v>
      </c>
      <c r="C4821" s="2">
        <v>44857</v>
      </c>
      <c r="D4821" s="2" t="str">
        <f>TEXT(Table5[[#This Row],[bill_date]],"mmmm")</f>
        <v>October</v>
      </c>
      <c r="E4821" s="9">
        <f>YEAR(Table5[[#This Row],[bill_date]])</f>
        <v>2022</v>
      </c>
      <c r="F4821">
        <v>1493</v>
      </c>
      <c r="G4821" t="s">
        <v>30</v>
      </c>
    </row>
    <row r="4822" spans="1:7" x14ac:dyDescent="0.3">
      <c r="A4822">
        <v>34821</v>
      </c>
      <c r="B4822">
        <v>177</v>
      </c>
      <c r="C4822" s="2">
        <v>45139</v>
      </c>
      <c r="D4822" s="2" t="str">
        <f>TEXT(Table5[[#This Row],[bill_date]],"mmmm")</f>
        <v>August</v>
      </c>
      <c r="E4822" s="9">
        <f>YEAR(Table5[[#This Row],[bill_date]])</f>
        <v>2023</v>
      </c>
      <c r="F4822">
        <v>693</v>
      </c>
      <c r="G4822" t="s">
        <v>28</v>
      </c>
    </row>
    <row r="4823" spans="1:7" x14ac:dyDescent="0.3">
      <c r="A4823">
        <v>34822</v>
      </c>
      <c r="B4823">
        <v>410</v>
      </c>
      <c r="C4823" s="2">
        <v>44906</v>
      </c>
      <c r="D4823" s="2" t="str">
        <f>TEXT(Table5[[#This Row],[bill_date]],"mmmm")</f>
        <v>December</v>
      </c>
      <c r="E4823" s="9">
        <f>YEAR(Table5[[#This Row],[bill_date]])</f>
        <v>2022</v>
      </c>
      <c r="F4823">
        <v>920</v>
      </c>
      <c r="G4823" t="s">
        <v>30</v>
      </c>
    </row>
    <row r="4824" spans="1:7" x14ac:dyDescent="0.3">
      <c r="A4824">
        <v>34823</v>
      </c>
      <c r="B4824">
        <v>49</v>
      </c>
      <c r="C4824" s="2">
        <v>44958</v>
      </c>
      <c r="D4824" s="2" t="str">
        <f>TEXT(Table5[[#This Row],[bill_date]],"mmmm")</f>
        <v>February</v>
      </c>
      <c r="E4824" s="9">
        <f>YEAR(Table5[[#This Row],[bill_date]])</f>
        <v>2023</v>
      </c>
      <c r="F4824">
        <v>884</v>
      </c>
      <c r="G4824" t="s">
        <v>30</v>
      </c>
    </row>
    <row r="4825" spans="1:7" x14ac:dyDescent="0.3">
      <c r="A4825">
        <v>34824</v>
      </c>
      <c r="B4825">
        <v>298</v>
      </c>
      <c r="C4825" s="2">
        <v>45036</v>
      </c>
      <c r="D4825" s="2" t="str">
        <f>TEXT(Table5[[#This Row],[bill_date]],"mmmm")</f>
        <v>April</v>
      </c>
      <c r="E4825" s="9">
        <f>YEAR(Table5[[#This Row],[bill_date]])</f>
        <v>2023</v>
      </c>
      <c r="F4825">
        <v>445</v>
      </c>
      <c r="G4825" t="s">
        <v>30</v>
      </c>
    </row>
    <row r="4826" spans="1:7" x14ac:dyDescent="0.3">
      <c r="A4826">
        <v>34825</v>
      </c>
      <c r="B4826">
        <v>429</v>
      </c>
      <c r="C4826" s="2">
        <v>45086</v>
      </c>
      <c r="D4826" s="2" t="str">
        <f>TEXT(Table5[[#This Row],[bill_date]],"mmmm")</f>
        <v>June</v>
      </c>
      <c r="E4826" s="9">
        <f>YEAR(Table5[[#This Row],[bill_date]])</f>
        <v>2023</v>
      </c>
      <c r="F4826">
        <v>372</v>
      </c>
      <c r="G4826" t="s">
        <v>28</v>
      </c>
    </row>
    <row r="4827" spans="1:7" x14ac:dyDescent="0.3">
      <c r="A4827">
        <v>34826</v>
      </c>
      <c r="B4827">
        <v>370</v>
      </c>
      <c r="C4827" s="2">
        <v>45135</v>
      </c>
      <c r="D4827" s="2" t="str">
        <f>TEXT(Table5[[#This Row],[bill_date]],"mmmm")</f>
        <v>July</v>
      </c>
      <c r="E4827" s="9">
        <f>YEAR(Table5[[#This Row],[bill_date]])</f>
        <v>2023</v>
      </c>
      <c r="F4827">
        <v>234</v>
      </c>
      <c r="G4827" t="s">
        <v>30</v>
      </c>
    </row>
    <row r="4828" spans="1:7" x14ac:dyDescent="0.3">
      <c r="A4828">
        <v>34827</v>
      </c>
      <c r="B4828">
        <v>333</v>
      </c>
      <c r="C4828" s="2">
        <v>44607</v>
      </c>
      <c r="D4828" s="2" t="str">
        <f>TEXT(Table5[[#This Row],[bill_date]],"mmmm")</f>
        <v>February</v>
      </c>
      <c r="E4828" s="9">
        <f>YEAR(Table5[[#This Row],[bill_date]])</f>
        <v>2022</v>
      </c>
      <c r="F4828">
        <v>500</v>
      </c>
      <c r="G4828" t="s">
        <v>30</v>
      </c>
    </row>
    <row r="4829" spans="1:7" x14ac:dyDescent="0.3">
      <c r="A4829">
        <v>34828</v>
      </c>
      <c r="B4829">
        <v>149</v>
      </c>
      <c r="C4829" s="2">
        <v>45166</v>
      </c>
      <c r="D4829" s="2" t="str">
        <f>TEXT(Table5[[#This Row],[bill_date]],"mmmm")</f>
        <v>August</v>
      </c>
      <c r="E4829" s="9">
        <f>YEAR(Table5[[#This Row],[bill_date]])</f>
        <v>2023</v>
      </c>
      <c r="F4829">
        <v>1380</v>
      </c>
      <c r="G4829" t="s">
        <v>29</v>
      </c>
    </row>
    <row r="4830" spans="1:7" x14ac:dyDescent="0.3">
      <c r="A4830">
        <v>34829</v>
      </c>
      <c r="B4830">
        <v>157</v>
      </c>
      <c r="C4830" s="2">
        <v>44989</v>
      </c>
      <c r="D4830" s="2" t="str">
        <f>TEXT(Table5[[#This Row],[bill_date]],"mmmm")</f>
        <v>March</v>
      </c>
      <c r="E4830" s="9">
        <f>YEAR(Table5[[#This Row],[bill_date]])</f>
        <v>2023</v>
      </c>
      <c r="F4830">
        <v>1873</v>
      </c>
      <c r="G4830" t="s">
        <v>30</v>
      </c>
    </row>
    <row r="4831" spans="1:7" x14ac:dyDescent="0.3">
      <c r="A4831">
        <v>34830</v>
      </c>
      <c r="B4831">
        <v>92</v>
      </c>
      <c r="C4831" s="2">
        <v>44784</v>
      </c>
      <c r="D4831" s="2" t="str">
        <f>TEXT(Table5[[#This Row],[bill_date]],"mmmm")</f>
        <v>August</v>
      </c>
      <c r="E4831" s="9">
        <f>YEAR(Table5[[#This Row],[bill_date]])</f>
        <v>2022</v>
      </c>
      <c r="F4831">
        <v>1084</v>
      </c>
      <c r="G4831" t="s">
        <v>30</v>
      </c>
    </row>
    <row r="4832" spans="1:7" x14ac:dyDescent="0.3">
      <c r="A4832">
        <v>34831</v>
      </c>
      <c r="B4832">
        <v>152</v>
      </c>
      <c r="C4832" s="2">
        <v>44584</v>
      </c>
      <c r="D4832" s="2" t="str">
        <f>TEXT(Table5[[#This Row],[bill_date]],"mmmm")</f>
        <v>January</v>
      </c>
      <c r="E4832" s="9">
        <f>YEAR(Table5[[#This Row],[bill_date]])</f>
        <v>2022</v>
      </c>
      <c r="F4832">
        <v>231</v>
      </c>
      <c r="G4832" t="s">
        <v>30</v>
      </c>
    </row>
    <row r="4833" spans="1:7" x14ac:dyDescent="0.3">
      <c r="A4833">
        <v>34832</v>
      </c>
      <c r="B4833">
        <v>461</v>
      </c>
      <c r="C4833" s="2">
        <v>45430</v>
      </c>
      <c r="D4833" s="2" t="str">
        <f>TEXT(Table5[[#This Row],[bill_date]],"mmmm")</f>
        <v>May</v>
      </c>
      <c r="E4833" s="9">
        <f>YEAR(Table5[[#This Row],[bill_date]])</f>
        <v>2024</v>
      </c>
      <c r="F4833">
        <v>1985</v>
      </c>
      <c r="G4833" t="s">
        <v>30</v>
      </c>
    </row>
    <row r="4834" spans="1:7" x14ac:dyDescent="0.3">
      <c r="A4834">
        <v>34833</v>
      </c>
      <c r="B4834">
        <v>376</v>
      </c>
      <c r="C4834" s="2">
        <v>44628</v>
      </c>
      <c r="D4834" s="2" t="str">
        <f>TEXT(Table5[[#This Row],[bill_date]],"mmmm")</f>
        <v>March</v>
      </c>
      <c r="E4834" s="9">
        <f>YEAR(Table5[[#This Row],[bill_date]])</f>
        <v>2022</v>
      </c>
      <c r="F4834">
        <v>580</v>
      </c>
      <c r="G4834" t="s">
        <v>30</v>
      </c>
    </row>
    <row r="4835" spans="1:7" x14ac:dyDescent="0.3">
      <c r="A4835">
        <v>34834</v>
      </c>
      <c r="B4835">
        <v>170</v>
      </c>
      <c r="C4835" s="2">
        <v>45187</v>
      </c>
      <c r="D4835" s="2" t="str">
        <f>TEXT(Table5[[#This Row],[bill_date]],"mmmm")</f>
        <v>September</v>
      </c>
      <c r="E4835" s="9">
        <f>YEAR(Table5[[#This Row],[bill_date]])</f>
        <v>2023</v>
      </c>
      <c r="F4835">
        <v>622</v>
      </c>
      <c r="G4835" t="s">
        <v>28</v>
      </c>
    </row>
    <row r="4836" spans="1:7" x14ac:dyDescent="0.3">
      <c r="A4836">
        <v>34835</v>
      </c>
      <c r="B4836">
        <v>84</v>
      </c>
      <c r="C4836" s="2">
        <v>45044</v>
      </c>
      <c r="D4836" s="2" t="str">
        <f>TEXT(Table5[[#This Row],[bill_date]],"mmmm")</f>
        <v>April</v>
      </c>
      <c r="E4836" s="9">
        <f>YEAR(Table5[[#This Row],[bill_date]])</f>
        <v>2023</v>
      </c>
      <c r="F4836">
        <v>1905</v>
      </c>
      <c r="G4836" t="s">
        <v>30</v>
      </c>
    </row>
    <row r="4837" spans="1:7" x14ac:dyDescent="0.3">
      <c r="A4837">
        <v>34836</v>
      </c>
      <c r="B4837">
        <v>359</v>
      </c>
      <c r="C4837" s="2">
        <v>44767</v>
      </c>
      <c r="D4837" s="2" t="str">
        <f>TEXT(Table5[[#This Row],[bill_date]],"mmmm")</f>
        <v>July</v>
      </c>
      <c r="E4837" s="9">
        <f>YEAR(Table5[[#This Row],[bill_date]])</f>
        <v>2022</v>
      </c>
      <c r="F4837">
        <v>1844</v>
      </c>
      <c r="G4837" t="s">
        <v>30</v>
      </c>
    </row>
    <row r="4838" spans="1:7" x14ac:dyDescent="0.3">
      <c r="A4838">
        <v>34837</v>
      </c>
      <c r="B4838">
        <v>327</v>
      </c>
      <c r="C4838" s="2">
        <v>45139</v>
      </c>
      <c r="D4838" s="2" t="str">
        <f>TEXT(Table5[[#This Row],[bill_date]],"mmmm")</f>
        <v>August</v>
      </c>
      <c r="E4838" s="9">
        <f>YEAR(Table5[[#This Row],[bill_date]])</f>
        <v>2023</v>
      </c>
      <c r="F4838">
        <v>1901</v>
      </c>
      <c r="G4838" t="s">
        <v>28</v>
      </c>
    </row>
    <row r="4839" spans="1:7" x14ac:dyDescent="0.3">
      <c r="A4839">
        <v>34838</v>
      </c>
      <c r="B4839">
        <v>425</v>
      </c>
      <c r="C4839" s="2">
        <v>45123</v>
      </c>
      <c r="D4839" s="2" t="str">
        <f>TEXT(Table5[[#This Row],[bill_date]],"mmmm")</f>
        <v>July</v>
      </c>
      <c r="E4839" s="9">
        <f>YEAR(Table5[[#This Row],[bill_date]])</f>
        <v>2023</v>
      </c>
      <c r="F4839">
        <v>1859</v>
      </c>
      <c r="G4839" t="s">
        <v>28</v>
      </c>
    </row>
    <row r="4840" spans="1:7" x14ac:dyDescent="0.3">
      <c r="A4840">
        <v>34839</v>
      </c>
      <c r="B4840">
        <v>48</v>
      </c>
      <c r="C4840" s="2">
        <v>45214</v>
      </c>
      <c r="D4840" s="2" t="str">
        <f>TEXT(Table5[[#This Row],[bill_date]],"mmmm")</f>
        <v>October</v>
      </c>
      <c r="E4840" s="9">
        <f>YEAR(Table5[[#This Row],[bill_date]])</f>
        <v>2023</v>
      </c>
      <c r="F4840">
        <v>924</v>
      </c>
      <c r="G4840" t="s">
        <v>30</v>
      </c>
    </row>
    <row r="4841" spans="1:7" x14ac:dyDescent="0.3">
      <c r="A4841">
        <v>34840</v>
      </c>
      <c r="B4841">
        <v>335</v>
      </c>
      <c r="C4841" s="2">
        <v>44819</v>
      </c>
      <c r="D4841" s="2" t="str">
        <f>TEXT(Table5[[#This Row],[bill_date]],"mmmm")</f>
        <v>September</v>
      </c>
      <c r="E4841" s="9">
        <f>YEAR(Table5[[#This Row],[bill_date]])</f>
        <v>2022</v>
      </c>
      <c r="F4841">
        <v>1517</v>
      </c>
      <c r="G4841" t="s">
        <v>30</v>
      </c>
    </row>
    <row r="4842" spans="1:7" x14ac:dyDescent="0.3">
      <c r="A4842">
        <v>34841</v>
      </c>
      <c r="B4842">
        <v>217</v>
      </c>
      <c r="C4842" s="2">
        <v>45107</v>
      </c>
      <c r="D4842" s="2" t="str">
        <f>TEXT(Table5[[#This Row],[bill_date]],"mmmm")</f>
        <v>June</v>
      </c>
      <c r="E4842" s="9">
        <f>YEAR(Table5[[#This Row],[bill_date]])</f>
        <v>2023</v>
      </c>
      <c r="F4842">
        <v>891</v>
      </c>
      <c r="G4842" t="s">
        <v>30</v>
      </c>
    </row>
    <row r="4843" spans="1:7" x14ac:dyDescent="0.3">
      <c r="A4843">
        <v>34842</v>
      </c>
      <c r="B4843">
        <v>483</v>
      </c>
      <c r="C4843" s="2">
        <v>45369</v>
      </c>
      <c r="D4843" s="2" t="str">
        <f>TEXT(Table5[[#This Row],[bill_date]],"mmmm")</f>
        <v>March</v>
      </c>
      <c r="E4843" s="9">
        <f>YEAR(Table5[[#This Row],[bill_date]])</f>
        <v>2024</v>
      </c>
      <c r="F4843">
        <v>793</v>
      </c>
      <c r="G4843" t="s">
        <v>30</v>
      </c>
    </row>
    <row r="4844" spans="1:7" x14ac:dyDescent="0.3">
      <c r="A4844">
        <v>34843</v>
      </c>
      <c r="B4844">
        <v>77</v>
      </c>
      <c r="C4844" s="2">
        <v>44814</v>
      </c>
      <c r="D4844" s="2" t="str">
        <f>TEXT(Table5[[#This Row],[bill_date]],"mmmm")</f>
        <v>September</v>
      </c>
      <c r="E4844" s="9">
        <f>YEAR(Table5[[#This Row],[bill_date]])</f>
        <v>2022</v>
      </c>
      <c r="F4844">
        <v>1180</v>
      </c>
      <c r="G4844" t="s">
        <v>30</v>
      </c>
    </row>
    <row r="4845" spans="1:7" x14ac:dyDescent="0.3">
      <c r="A4845">
        <v>34844</v>
      </c>
      <c r="B4845">
        <v>43</v>
      </c>
      <c r="C4845" s="2">
        <v>45142</v>
      </c>
      <c r="D4845" s="2" t="str">
        <f>TEXT(Table5[[#This Row],[bill_date]],"mmmm")</f>
        <v>August</v>
      </c>
      <c r="E4845" s="9">
        <f>YEAR(Table5[[#This Row],[bill_date]])</f>
        <v>2023</v>
      </c>
      <c r="F4845">
        <v>613</v>
      </c>
      <c r="G4845" t="s">
        <v>30</v>
      </c>
    </row>
    <row r="4846" spans="1:7" x14ac:dyDescent="0.3">
      <c r="A4846">
        <v>34845</v>
      </c>
      <c r="B4846">
        <v>264</v>
      </c>
      <c r="C4846" s="2">
        <v>44750</v>
      </c>
      <c r="D4846" s="2" t="str">
        <f>TEXT(Table5[[#This Row],[bill_date]],"mmmm")</f>
        <v>July</v>
      </c>
      <c r="E4846" s="9">
        <f>YEAR(Table5[[#This Row],[bill_date]])</f>
        <v>2022</v>
      </c>
      <c r="F4846">
        <v>1072</v>
      </c>
      <c r="G4846" t="s">
        <v>30</v>
      </c>
    </row>
    <row r="4847" spans="1:7" x14ac:dyDescent="0.3">
      <c r="A4847">
        <v>34846</v>
      </c>
      <c r="B4847">
        <v>469</v>
      </c>
      <c r="C4847" s="2">
        <v>44714</v>
      </c>
      <c r="D4847" s="2" t="str">
        <f>TEXT(Table5[[#This Row],[bill_date]],"mmmm")</f>
        <v>June</v>
      </c>
      <c r="E4847" s="9">
        <f>YEAR(Table5[[#This Row],[bill_date]])</f>
        <v>2022</v>
      </c>
      <c r="F4847">
        <v>517</v>
      </c>
      <c r="G4847" t="s">
        <v>30</v>
      </c>
    </row>
    <row r="4848" spans="1:7" x14ac:dyDescent="0.3">
      <c r="A4848">
        <v>34847</v>
      </c>
      <c r="B4848">
        <v>63</v>
      </c>
      <c r="C4848" s="2">
        <v>45276</v>
      </c>
      <c r="D4848" s="2" t="str">
        <f>TEXT(Table5[[#This Row],[bill_date]],"mmmm")</f>
        <v>December</v>
      </c>
      <c r="E4848" s="9">
        <f>YEAR(Table5[[#This Row],[bill_date]])</f>
        <v>2023</v>
      </c>
      <c r="F4848">
        <v>1247</v>
      </c>
      <c r="G4848" t="s">
        <v>30</v>
      </c>
    </row>
    <row r="4849" spans="1:7" x14ac:dyDescent="0.3">
      <c r="A4849">
        <v>34848</v>
      </c>
      <c r="B4849">
        <v>245</v>
      </c>
      <c r="C4849" s="2">
        <v>44638</v>
      </c>
      <c r="D4849" s="2" t="str">
        <f>TEXT(Table5[[#This Row],[bill_date]],"mmmm")</f>
        <v>March</v>
      </c>
      <c r="E4849" s="9">
        <f>YEAR(Table5[[#This Row],[bill_date]])</f>
        <v>2022</v>
      </c>
      <c r="F4849">
        <v>956</v>
      </c>
      <c r="G4849" t="s">
        <v>30</v>
      </c>
    </row>
    <row r="4850" spans="1:7" x14ac:dyDescent="0.3">
      <c r="A4850">
        <v>34849</v>
      </c>
      <c r="B4850">
        <v>120</v>
      </c>
      <c r="C4850" s="2">
        <v>45264</v>
      </c>
      <c r="D4850" s="2" t="str">
        <f>TEXT(Table5[[#This Row],[bill_date]],"mmmm")</f>
        <v>December</v>
      </c>
      <c r="E4850" s="9">
        <f>YEAR(Table5[[#This Row],[bill_date]])</f>
        <v>2023</v>
      </c>
      <c r="F4850">
        <v>1775</v>
      </c>
      <c r="G4850" t="s">
        <v>30</v>
      </c>
    </row>
    <row r="4851" spans="1:7" x14ac:dyDescent="0.3">
      <c r="A4851">
        <v>34850</v>
      </c>
      <c r="B4851">
        <v>319</v>
      </c>
      <c r="C4851" s="2">
        <v>45101</v>
      </c>
      <c r="D4851" s="2" t="str">
        <f>TEXT(Table5[[#This Row],[bill_date]],"mmmm")</f>
        <v>June</v>
      </c>
      <c r="E4851" s="9">
        <f>YEAR(Table5[[#This Row],[bill_date]])</f>
        <v>2023</v>
      </c>
      <c r="F4851">
        <v>1656</v>
      </c>
      <c r="G4851" t="s">
        <v>30</v>
      </c>
    </row>
    <row r="4852" spans="1:7" x14ac:dyDescent="0.3">
      <c r="A4852">
        <v>34851</v>
      </c>
      <c r="B4852">
        <v>262</v>
      </c>
      <c r="C4852" s="2">
        <v>45286</v>
      </c>
      <c r="D4852" s="2" t="str">
        <f>TEXT(Table5[[#This Row],[bill_date]],"mmmm")</f>
        <v>December</v>
      </c>
      <c r="E4852" s="9">
        <f>YEAR(Table5[[#This Row],[bill_date]])</f>
        <v>2023</v>
      </c>
      <c r="F4852">
        <v>257</v>
      </c>
      <c r="G4852" t="s">
        <v>30</v>
      </c>
    </row>
    <row r="4853" spans="1:7" x14ac:dyDescent="0.3">
      <c r="A4853">
        <v>34852</v>
      </c>
      <c r="B4853">
        <v>330</v>
      </c>
      <c r="C4853" s="2">
        <v>44930</v>
      </c>
      <c r="D4853" s="2" t="str">
        <f>TEXT(Table5[[#This Row],[bill_date]],"mmmm")</f>
        <v>January</v>
      </c>
      <c r="E4853" s="9">
        <f>YEAR(Table5[[#This Row],[bill_date]])</f>
        <v>2023</v>
      </c>
      <c r="F4853">
        <v>375</v>
      </c>
      <c r="G4853" t="s">
        <v>30</v>
      </c>
    </row>
    <row r="4854" spans="1:7" x14ac:dyDescent="0.3">
      <c r="A4854">
        <v>34853</v>
      </c>
      <c r="B4854">
        <v>250</v>
      </c>
      <c r="C4854" s="2">
        <v>45129</v>
      </c>
      <c r="D4854" s="2" t="str">
        <f>TEXT(Table5[[#This Row],[bill_date]],"mmmm")</f>
        <v>July</v>
      </c>
      <c r="E4854" s="9">
        <f>YEAR(Table5[[#This Row],[bill_date]])</f>
        <v>2023</v>
      </c>
      <c r="F4854">
        <v>1764</v>
      </c>
      <c r="G4854" t="s">
        <v>28</v>
      </c>
    </row>
    <row r="4855" spans="1:7" x14ac:dyDescent="0.3">
      <c r="A4855">
        <v>34854</v>
      </c>
      <c r="B4855">
        <v>497</v>
      </c>
      <c r="C4855" s="2">
        <v>45185</v>
      </c>
      <c r="D4855" s="2" t="str">
        <f>TEXT(Table5[[#This Row],[bill_date]],"mmmm")</f>
        <v>September</v>
      </c>
      <c r="E4855" s="9">
        <f>YEAR(Table5[[#This Row],[bill_date]])</f>
        <v>2023</v>
      </c>
      <c r="F4855">
        <v>1267</v>
      </c>
      <c r="G4855" t="s">
        <v>30</v>
      </c>
    </row>
    <row r="4856" spans="1:7" x14ac:dyDescent="0.3">
      <c r="A4856">
        <v>34855</v>
      </c>
      <c r="B4856">
        <v>52</v>
      </c>
      <c r="C4856" s="2">
        <v>45316</v>
      </c>
      <c r="D4856" s="2" t="str">
        <f>TEXT(Table5[[#This Row],[bill_date]],"mmmm")</f>
        <v>January</v>
      </c>
      <c r="E4856" s="9">
        <f>YEAR(Table5[[#This Row],[bill_date]])</f>
        <v>2024</v>
      </c>
      <c r="F4856">
        <v>1674</v>
      </c>
      <c r="G4856" t="s">
        <v>30</v>
      </c>
    </row>
    <row r="4857" spans="1:7" x14ac:dyDescent="0.3">
      <c r="A4857">
        <v>34856</v>
      </c>
      <c r="B4857">
        <v>489</v>
      </c>
      <c r="C4857" s="2">
        <v>44715</v>
      </c>
      <c r="D4857" s="2" t="str">
        <f>TEXT(Table5[[#This Row],[bill_date]],"mmmm")</f>
        <v>June</v>
      </c>
      <c r="E4857" s="9">
        <f>YEAR(Table5[[#This Row],[bill_date]])</f>
        <v>2022</v>
      </c>
      <c r="F4857">
        <v>507</v>
      </c>
      <c r="G4857" t="s">
        <v>30</v>
      </c>
    </row>
    <row r="4858" spans="1:7" x14ac:dyDescent="0.3">
      <c r="A4858">
        <v>34857</v>
      </c>
      <c r="B4858">
        <v>277</v>
      </c>
      <c r="C4858" s="2">
        <v>44716</v>
      </c>
      <c r="D4858" s="2" t="str">
        <f>TEXT(Table5[[#This Row],[bill_date]],"mmmm")</f>
        <v>June</v>
      </c>
      <c r="E4858" s="9">
        <f>YEAR(Table5[[#This Row],[bill_date]])</f>
        <v>2022</v>
      </c>
      <c r="F4858">
        <v>352</v>
      </c>
      <c r="G4858" t="s">
        <v>30</v>
      </c>
    </row>
    <row r="4859" spans="1:7" x14ac:dyDescent="0.3">
      <c r="A4859">
        <v>34858</v>
      </c>
      <c r="B4859">
        <v>142</v>
      </c>
      <c r="C4859" s="2">
        <v>45355</v>
      </c>
      <c r="D4859" s="2" t="str">
        <f>TEXT(Table5[[#This Row],[bill_date]],"mmmm")</f>
        <v>March</v>
      </c>
      <c r="E4859" s="9">
        <f>YEAR(Table5[[#This Row],[bill_date]])</f>
        <v>2024</v>
      </c>
      <c r="F4859">
        <v>1165</v>
      </c>
      <c r="G4859" t="s">
        <v>30</v>
      </c>
    </row>
    <row r="4860" spans="1:7" x14ac:dyDescent="0.3">
      <c r="A4860">
        <v>34859</v>
      </c>
      <c r="B4860">
        <v>372</v>
      </c>
      <c r="C4860" s="2">
        <v>44832</v>
      </c>
      <c r="D4860" s="2" t="str">
        <f>TEXT(Table5[[#This Row],[bill_date]],"mmmm")</f>
        <v>September</v>
      </c>
      <c r="E4860" s="9">
        <f>YEAR(Table5[[#This Row],[bill_date]])</f>
        <v>2022</v>
      </c>
      <c r="F4860">
        <v>1774</v>
      </c>
      <c r="G4860" t="s">
        <v>28</v>
      </c>
    </row>
    <row r="4861" spans="1:7" x14ac:dyDescent="0.3">
      <c r="A4861">
        <v>34860</v>
      </c>
      <c r="B4861">
        <v>251</v>
      </c>
      <c r="C4861" s="2">
        <v>45123</v>
      </c>
      <c r="D4861" s="2" t="str">
        <f>TEXT(Table5[[#This Row],[bill_date]],"mmmm")</f>
        <v>July</v>
      </c>
      <c r="E4861" s="9">
        <f>YEAR(Table5[[#This Row],[bill_date]])</f>
        <v>2023</v>
      </c>
      <c r="F4861">
        <v>1362</v>
      </c>
      <c r="G4861" t="s">
        <v>30</v>
      </c>
    </row>
    <row r="4862" spans="1:7" x14ac:dyDescent="0.3">
      <c r="A4862">
        <v>34861</v>
      </c>
      <c r="B4862">
        <v>493</v>
      </c>
      <c r="C4862" s="2">
        <v>45070</v>
      </c>
      <c r="D4862" s="2" t="str">
        <f>TEXT(Table5[[#This Row],[bill_date]],"mmmm")</f>
        <v>May</v>
      </c>
      <c r="E4862" s="9">
        <f>YEAR(Table5[[#This Row],[bill_date]])</f>
        <v>2023</v>
      </c>
      <c r="F4862">
        <v>967</v>
      </c>
      <c r="G4862" t="s">
        <v>28</v>
      </c>
    </row>
    <row r="4863" spans="1:7" x14ac:dyDescent="0.3">
      <c r="A4863">
        <v>34862</v>
      </c>
      <c r="B4863">
        <v>314</v>
      </c>
      <c r="C4863" s="2">
        <v>44951</v>
      </c>
      <c r="D4863" s="2" t="str">
        <f>TEXT(Table5[[#This Row],[bill_date]],"mmmm")</f>
        <v>January</v>
      </c>
      <c r="E4863" s="9">
        <f>YEAR(Table5[[#This Row],[bill_date]])</f>
        <v>2023</v>
      </c>
      <c r="F4863">
        <v>1804</v>
      </c>
      <c r="G4863" t="s">
        <v>30</v>
      </c>
    </row>
    <row r="4864" spans="1:7" x14ac:dyDescent="0.3">
      <c r="A4864">
        <v>34863</v>
      </c>
      <c r="B4864">
        <v>225</v>
      </c>
      <c r="C4864" s="2">
        <v>44629</v>
      </c>
      <c r="D4864" s="2" t="str">
        <f>TEXT(Table5[[#This Row],[bill_date]],"mmmm")</f>
        <v>March</v>
      </c>
      <c r="E4864" s="9">
        <f>YEAR(Table5[[#This Row],[bill_date]])</f>
        <v>2022</v>
      </c>
      <c r="F4864">
        <v>583</v>
      </c>
      <c r="G4864" t="s">
        <v>30</v>
      </c>
    </row>
    <row r="4865" spans="1:7" x14ac:dyDescent="0.3">
      <c r="A4865">
        <v>34864</v>
      </c>
      <c r="B4865">
        <v>153</v>
      </c>
      <c r="C4865" s="2">
        <v>44693</v>
      </c>
      <c r="D4865" s="2" t="str">
        <f>TEXT(Table5[[#This Row],[bill_date]],"mmmm")</f>
        <v>May</v>
      </c>
      <c r="E4865" s="9">
        <f>YEAR(Table5[[#This Row],[bill_date]])</f>
        <v>2022</v>
      </c>
      <c r="F4865">
        <v>1870</v>
      </c>
      <c r="G4865" t="s">
        <v>28</v>
      </c>
    </row>
    <row r="4866" spans="1:7" x14ac:dyDescent="0.3">
      <c r="A4866">
        <v>34865</v>
      </c>
      <c r="B4866">
        <v>56</v>
      </c>
      <c r="C4866" s="2">
        <v>45231</v>
      </c>
      <c r="D4866" s="2" t="str">
        <f>TEXT(Table5[[#This Row],[bill_date]],"mmmm")</f>
        <v>November</v>
      </c>
      <c r="E4866" s="9">
        <f>YEAR(Table5[[#This Row],[bill_date]])</f>
        <v>2023</v>
      </c>
      <c r="F4866">
        <v>946</v>
      </c>
      <c r="G4866" t="s">
        <v>30</v>
      </c>
    </row>
    <row r="4867" spans="1:7" x14ac:dyDescent="0.3">
      <c r="A4867">
        <v>34866</v>
      </c>
      <c r="B4867">
        <v>339</v>
      </c>
      <c r="C4867" s="2">
        <v>45406</v>
      </c>
      <c r="D4867" s="2" t="str">
        <f>TEXT(Table5[[#This Row],[bill_date]],"mmmm")</f>
        <v>April</v>
      </c>
      <c r="E4867" s="9">
        <f>YEAR(Table5[[#This Row],[bill_date]])</f>
        <v>2024</v>
      </c>
      <c r="F4867">
        <v>822</v>
      </c>
      <c r="G4867" t="s">
        <v>28</v>
      </c>
    </row>
    <row r="4868" spans="1:7" x14ac:dyDescent="0.3">
      <c r="A4868">
        <v>34867</v>
      </c>
      <c r="B4868">
        <v>9</v>
      </c>
      <c r="C4868" s="2">
        <v>44826</v>
      </c>
      <c r="D4868" s="2" t="str">
        <f>TEXT(Table5[[#This Row],[bill_date]],"mmmm")</f>
        <v>September</v>
      </c>
      <c r="E4868" s="9">
        <f>YEAR(Table5[[#This Row],[bill_date]])</f>
        <v>2022</v>
      </c>
      <c r="F4868">
        <v>1255</v>
      </c>
      <c r="G4868" t="s">
        <v>30</v>
      </c>
    </row>
    <row r="4869" spans="1:7" x14ac:dyDescent="0.3">
      <c r="A4869">
        <v>34868</v>
      </c>
      <c r="B4869">
        <v>241</v>
      </c>
      <c r="C4869" s="2">
        <v>45243</v>
      </c>
      <c r="D4869" s="2" t="str">
        <f>TEXT(Table5[[#This Row],[bill_date]],"mmmm")</f>
        <v>November</v>
      </c>
      <c r="E4869" s="9">
        <f>YEAR(Table5[[#This Row],[bill_date]])</f>
        <v>2023</v>
      </c>
      <c r="F4869">
        <v>1930</v>
      </c>
      <c r="G4869" t="s">
        <v>29</v>
      </c>
    </row>
    <row r="4870" spans="1:7" x14ac:dyDescent="0.3">
      <c r="A4870">
        <v>34869</v>
      </c>
      <c r="B4870">
        <v>495</v>
      </c>
      <c r="C4870" s="2">
        <v>45343</v>
      </c>
      <c r="D4870" s="2" t="str">
        <f>TEXT(Table5[[#This Row],[bill_date]],"mmmm")</f>
        <v>February</v>
      </c>
      <c r="E4870" s="9">
        <f>YEAR(Table5[[#This Row],[bill_date]])</f>
        <v>2024</v>
      </c>
      <c r="F4870">
        <v>1593</v>
      </c>
      <c r="G4870" t="s">
        <v>28</v>
      </c>
    </row>
    <row r="4871" spans="1:7" x14ac:dyDescent="0.3">
      <c r="A4871">
        <v>34870</v>
      </c>
      <c r="B4871">
        <v>500</v>
      </c>
      <c r="C4871" s="2">
        <v>44781</v>
      </c>
      <c r="D4871" s="2" t="str">
        <f>TEXT(Table5[[#This Row],[bill_date]],"mmmm")</f>
        <v>August</v>
      </c>
      <c r="E4871" s="9">
        <f>YEAR(Table5[[#This Row],[bill_date]])</f>
        <v>2022</v>
      </c>
      <c r="F4871">
        <v>1400</v>
      </c>
      <c r="G4871" t="s">
        <v>30</v>
      </c>
    </row>
    <row r="4872" spans="1:7" x14ac:dyDescent="0.3">
      <c r="A4872">
        <v>34871</v>
      </c>
      <c r="B4872">
        <v>485</v>
      </c>
      <c r="C4872" s="2">
        <v>45113</v>
      </c>
      <c r="D4872" s="2" t="str">
        <f>TEXT(Table5[[#This Row],[bill_date]],"mmmm")</f>
        <v>July</v>
      </c>
      <c r="E4872" s="9">
        <f>YEAR(Table5[[#This Row],[bill_date]])</f>
        <v>2023</v>
      </c>
      <c r="F4872">
        <v>1582</v>
      </c>
      <c r="G4872" t="s">
        <v>30</v>
      </c>
    </row>
    <row r="4873" spans="1:7" x14ac:dyDescent="0.3">
      <c r="A4873">
        <v>34872</v>
      </c>
      <c r="B4873">
        <v>484</v>
      </c>
      <c r="C4873" s="2">
        <v>45460</v>
      </c>
      <c r="D4873" s="2" t="str">
        <f>TEXT(Table5[[#This Row],[bill_date]],"mmmm")</f>
        <v>June</v>
      </c>
      <c r="E4873" s="9">
        <f>YEAR(Table5[[#This Row],[bill_date]])</f>
        <v>2024</v>
      </c>
      <c r="F4873">
        <v>1868</v>
      </c>
      <c r="G4873" t="s">
        <v>30</v>
      </c>
    </row>
    <row r="4874" spans="1:7" x14ac:dyDescent="0.3">
      <c r="A4874">
        <v>34873</v>
      </c>
      <c r="B4874">
        <v>164</v>
      </c>
      <c r="C4874" s="2">
        <v>44850</v>
      </c>
      <c r="D4874" s="2" t="str">
        <f>TEXT(Table5[[#This Row],[bill_date]],"mmmm")</f>
        <v>October</v>
      </c>
      <c r="E4874" s="9">
        <f>YEAR(Table5[[#This Row],[bill_date]])</f>
        <v>2022</v>
      </c>
      <c r="F4874">
        <v>1925</v>
      </c>
      <c r="G4874" t="s">
        <v>28</v>
      </c>
    </row>
    <row r="4875" spans="1:7" x14ac:dyDescent="0.3">
      <c r="A4875">
        <v>34874</v>
      </c>
      <c r="B4875">
        <v>441</v>
      </c>
      <c r="C4875" s="2">
        <v>44640</v>
      </c>
      <c r="D4875" s="2" t="str">
        <f>TEXT(Table5[[#This Row],[bill_date]],"mmmm")</f>
        <v>March</v>
      </c>
      <c r="E4875" s="9">
        <f>YEAR(Table5[[#This Row],[bill_date]])</f>
        <v>2022</v>
      </c>
      <c r="F4875">
        <v>1658</v>
      </c>
      <c r="G4875" t="s">
        <v>30</v>
      </c>
    </row>
    <row r="4876" spans="1:7" x14ac:dyDescent="0.3">
      <c r="A4876">
        <v>34875</v>
      </c>
      <c r="B4876">
        <v>463</v>
      </c>
      <c r="C4876" s="2">
        <v>45312</v>
      </c>
      <c r="D4876" s="2" t="str">
        <f>TEXT(Table5[[#This Row],[bill_date]],"mmmm")</f>
        <v>January</v>
      </c>
      <c r="E4876" s="9">
        <f>YEAR(Table5[[#This Row],[bill_date]])</f>
        <v>2024</v>
      </c>
      <c r="F4876">
        <v>204</v>
      </c>
      <c r="G4876" t="s">
        <v>29</v>
      </c>
    </row>
    <row r="4877" spans="1:7" x14ac:dyDescent="0.3">
      <c r="A4877">
        <v>34876</v>
      </c>
      <c r="B4877">
        <v>133</v>
      </c>
      <c r="C4877" s="2">
        <v>45133</v>
      </c>
      <c r="D4877" s="2" t="str">
        <f>TEXT(Table5[[#This Row],[bill_date]],"mmmm")</f>
        <v>July</v>
      </c>
      <c r="E4877" s="9">
        <f>YEAR(Table5[[#This Row],[bill_date]])</f>
        <v>2023</v>
      </c>
      <c r="F4877">
        <v>889</v>
      </c>
      <c r="G4877" t="s">
        <v>30</v>
      </c>
    </row>
    <row r="4878" spans="1:7" x14ac:dyDescent="0.3">
      <c r="A4878">
        <v>34877</v>
      </c>
      <c r="B4878">
        <v>81</v>
      </c>
      <c r="C4878" s="2">
        <v>44881</v>
      </c>
      <c r="D4878" s="2" t="str">
        <f>TEXT(Table5[[#This Row],[bill_date]],"mmmm")</f>
        <v>November</v>
      </c>
      <c r="E4878" s="9">
        <f>YEAR(Table5[[#This Row],[bill_date]])</f>
        <v>2022</v>
      </c>
      <c r="F4878">
        <v>993</v>
      </c>
      <c r="G4878" t="s">
        <v>30</v>
      </c>
    </row>
    <row r="4879" spans="1:7" x14ac:dyDescent="0.3">
      <c r="A4879">
        <v>34878</v>
      </c>
      <c r="B4879">
        <v>350</v>
      </c>
      <c r="C4879" s="2">
        <v>44879</v>
      </c>
      <c r="D4879" s="2" t="str">
        <f>TEXT(Table5[[#This Row],[bill_date]],"mmmm")</f>
        <v>November</v>
      </c>
      <c r="E4879" s="9">
        <f>YEAR(Table5[[#This Row],[bill_date]])</f>
        <v>2022</v>
      </c>
      <c r="F4879">
        <v>1840</v>
      </c>
      <c r="G4879" t="s">
        <v>30</v>
      </c>
    </row>
    <row r="4880" spans="1:7" x14ac:dyDescent="0.3">
      <c r="A4880">
        <v>34879</v>
      </c>
      <c r="B4880">
        <v>135</v>
      </c>
      <c r="C4880" s="2">
        <v>45048</v>
      </c>
      <c r="D4880" s="2" t="str">
        <f>TEXT(Table5[[#This Row],[bill_date]],"mmmm")</f>
        <v>May</v>
      </c>
      <c r="E4880" s="9">
        <f>YEAR(Table5[[#This Row],[bill_date]])</f>
        <v>2023</v>
      </c>
      <c r="F4880">
        <v>1980</v>
      </c>
      <c r="G4880" t="s">
        <v>30</v>
      </c>
    </row>
    <row r="4881" spans="1:7" x14ac:dyDescent="0.3">
      <c r="A4881">
        <v>34880</v>
      </c>
      <c r="B4881">
        <v>134</v>
      </c>
      <c r="C4881" s="2">
        <v>45408</v>
      </c>
      <c r="D4881" s="2" t="str">
        <f>TEXT(Table5[[#This Row],[bill_date]],"mmmm")</f>
        <v>April</v>
      </c>
      <c r="E4881" s="9">
        <f>YEAR(Table5[[#This Row],[bill_date]])</f>
        <v>2024</v>
      </c>
      <c r="F4881">
        <v>1089</v>
      </c>
      <c r="G4881" t="s">
        <v>30</v>
      </c>
    </row>
    <row r="4882" spans="1:7" x14ac:dyDescent="0.3">
      <c r="A4882">
        <v>34881</v>
      </c>
      <c r="B4882">
        <v>463</v>
      </c>
      <c r="C4882" s="2">
        <v>44952</v>
      </c>
      <c r="D4882" s="2" t="str">
        <f>TEXT(Table5[[#This Row],[bill_date]],"mmmm")</f>
        <v>January</v>
      </c>
      <c r="E4882" s="9">
        <f>YEAR(Table5[[#This Row],[bill_date]])</f>
        <v>2023</v>
      </c>
      <c r="F4882">
        <v>1453</v>
      </c>
      <c r="G4882" t="s">
        <v>30</v>
      </c>
    </row>
    <row r="4883" spans="1:7" x14ac:dyDescent="0.3">
      <c r="A4883">
        <v>34882</v>
      </c>
      <c r="B4883">
        <v>52</v>
      </c>
      <c r="C4883" s="2">
        <v>45310</v>
      </c>
      <c r="D4883" s="2" t="str">
        <f>TEXT(Table5[[#This Row],[bill_date]],"mmmm")</f>
        <v>January</v>
      </c>
      <c r="E4883" s="9">
        <f>YEAR(Table5[[#This Row],[bill_date]])</f>
        <v>2024</v>
      </c>
      <c r="F4883">
        <v>1623</v>
      </c>
      <c r="G4883" t="s">
        <v>30</v>
      </c>
    </row>
    <row r="4884" spans="1:7" x14ac:dyDescent="0.3">
      <c r="A4884">
        <v>34883</v>
      </c>
      <c r="B4884">
        <v>494</v>
      </c>
      <c r="C4884" s="2">
        <v>45149</v>
      </c>
      <c r="D4884" s="2" t="str">
        <f>TEXT(Table5[[#This Row],[bill_date]],"mmmm")</f>
        <v>August</v>
      </c>
      <c r="E4884" s="9">
        <f>YEAR(Table5[[#This Row],[bill_date]])</f>
        <v>2023</v>
      </c>
      <c r="F4884">
        <v>925</v>
      </c>
      <c r="G4884" t="s">
        <v>30</v>
      </c>
    </row>
    <row r="4885" spans="1:7" x14ac:dyDescent="0.3">
      <c r="A4885">
        <v>34884</v>
      </c>
      <c r="B4885">
        <v>202</v>
      </c>
      <c r="C4885" s="2">
        <v>45379</v>
      </c>
      <c r="D4885" s="2" t="str">
        <f>TEXT(Table5[[#This Row],[bill_date]],"mmmm")</f>
        <v>March</v>
      </c>
      <c r="E4885" s="9">
        <f>YEAR(Table5[[#This Row],[bill_date]])</f>
        <v>2024</v>
      </c>
      <c r="F4885">
        <v>983</v>
      </c>
      <c r="G4885" t="s">
        <v>29</v>
      </c>
    </row>
    <row r="4886" spans="1:7" x14ac:dyDescent="0.3">
      <c r="A4886">
        <v>34885</v>
      </c>
      <c r="B4886">
        <v>198</v>
      </c>
      <c r="C4886" s="2">
        <v>44600</v>
      </c>
      <c r="D4886" s="2" t="str">
        <f>TEXT(Table5[[#This Row],[bill_date]],"mmmm")</f>
        <v>February</v>
      </c>
      <c r="E4886" s="9">
        <f>YEAR(Table5[[#This Row],[bill_date]])</f>
        <v>2022</v>
      </c>
      <c r="F4886">
        <v>815</v>
      </c>
      <c r="G4886" t="s">
        <v>30</v>
      </c>
    </row>
    <row r="4887" spans="1:7" x14ac:dyDescent="0.3">
      <c r="A4887">
        <v>34886</v>
      </c>
      <c r="B4887">
        <v>106</v>
      </c>
      <c r="C4887" s="2">
        <v>44760</v>
      </c>
      <c r="D4887" s="2" t="str">
        <f>TEXT(Table5[[#This Row],[bill_date]],"mmmm")</f>
        <v>July</v>
      </c>
      <c r="E4887" s="9">
        <f>YEAR(Table5[[#This Row],[bill_date]])</f>
        <v>2022</v>
      </c>
      <c r="F4887">
        <v>1084</v>
      </c>
      <c r="G4887" t="s">
        <v>30</v>
      </c>
    </row>
    <row r="4888" spans="1:7" x14ac:dyDescent="0.3">
      <c r="A4888">
        <v>34887</v>
      </c>
      <c r="B4888">
        <v>311</v>
      </c>
      <c r="C4888" s="2">
        <v>44666</v>
      </c>
      <c r="D4888" s="2" t="str">
        <f>TEXT(Table5[[#This Row],[bill_date]],"mmmm")</f>
        <v>April</v>
      </c>
      <c r="E4888" s="9">
        <f>YEAR(Table5[[#This Row],[bill_date]])</f>
        <v>2022</v>
      </c>
      <c r="F4888">
        <v>221</v>
      </c>
      <c r="G4888" t="s">
        <v>28</v>
      </c>
    </row>
    <row r="4889" spans="1:7" x14ac:dyDescent="0.3">
      <c r="A4889">
        <v>34888</v>
      </c>
      <c r="B4889">
        <v>244</v>
      </c>
      <c r="C4889" s="2">
        <v>45143</v>
      </c>
      <c r="D4889" s="2" t="str">
        <f>TEXT(Table5[[#This Row],[bill_date]],"mmmm")</f>
        <v>August</v>
      </c>
      <c r="E4889" s="9">
        <f>YEAR(Table5[[#This Row],[bill_date]])</f>
        <v>2023</v>
      </c>
      <c r="F4889">
        <v>1005</v>
      </c>
      <c r="G4889" t="s">
        <v>30</v>
      </c>
    </row>
    <row r="4890" spans="1:7" x14ac:dyDescent="0.3">
      <c r="A4890">
        <v>34889</v>
      </c>
      <c r="B4890">
        <v>233</v>
      </c>
      <c r="C4890" s="2">
        <v>45355</v>
      </c>
      <c r="D4890" s="2" t="str">
        <f>TEXT(Table5[[#This Row],[bill_date]],"mmmm")</f>
        <v>March</v>
      </c>
      <c r="E4890" s="9">
        <f>YEAR(Table5[[#This Row],[bill_date]])</f>
        <v>2024</v>
      </c>
      <c r="F4890">
        <v>359</v>
      </c>
      <c r="G4890" t="s">
        <v>30</v>
      </c>
    </row>
    <row r="4891" spans="1:7" x14ac:dyDescent="0.3">
      <c r="A4891">
        <v>34890</v>
      </c>
      <c r="B4891">
        <v>461</v>
      </c>
      <c r="C4891" s="2">
        <v>45068</v>
      </c>
      <c r="D4891" s="2" t="str">
        <f>TEXT(Table5[[#This Row],[bill_date]],"mmmm")</f>
        <v>May</v>
      </c>
      <c r="E4891" s="9">
        <f>YEAR(Table5[[#This Row],[bill_date]])</f>
        <v>2023</v>
      </c>
      <c r="F4891">
        <v>1416</v>
      </c>
      <c r="G4891" t="s">
        <v>30</v>
      </c>
    </row>
    <row r="4892" spans="1:7" x14ac:dyDescent="0.3">
      <c r="A4892">
        <v>34891</v>
      </c>
      <c r="B4892">
        <v>14</v>
      </c>
      <c r="C4892" s="2">
        <v>45131</v>
      </c>
      <c r="D4892" s="2" t="str">
        <f>TEXT(Table5[[#This Row],[bill_date]],"mmmm")</f>
        <v>July</v>
      </c>
      <c r="E4892" s="9">
        <f>YEAR(Table5[[#This Row],[bill_date]])</f>
        <v>2023</v>
      </c>
      <c r="F4892">
        <v>464</v>
      </c>
      <c r="G4892" t="s">
        <v>30</v>
      </c>
    </row>
    <row r="4893" spans="1:7" x14ac:dyDescent="0.3">
      <c r="A4893">
        <v>34892</v>
      </c>
      <c r="B4893">
        <v>385</v>
      </c>
      <c r="C4893" s="2">
        <v>44890</v>
      </c>
      <c r="D4893" s="2" t="str">
        <f>TEXT(Table5[[#This Row],[bill_date]],"mmmm")</f>
        <v>November</v>
      </c>
      <c r="E4893" s="9">
        <f>YEAR(Table5[[#This Row],[bill_date]])</f>
        <v>2022</v>
      </c>
      <c r="F4893">
        <v>281</v>
      </c>
      <c r="G4893" t="s">
        <v>30</v>
      </c>
    </row>
    <row r="4894" spans="1:7" x14ac:dyDescent="0.3">
      <c r="A4894">
        <v>34893</v>
      </c>
      <c r="B4894">
        <v>225</v>
      </c>
      <c r="C4894" s="2">
        <v>45252</v>
      </c>
      <c r="D4894" s="2" t="str">
        <f>TEXT(Table5[[#This Row],[bill_date]],"mmmm")</f>
        <v>November</v>
      </c>
      <c r="E4894" s="9">
        <f>YEAR(Table5[[#This Row],[bill_date]])</f>
        <v>2023</v>
      </c>
      <c r="F4894">
        <v>366</v>
      </c>
      <c r="G4894" t="s">
        <v>30</v>
      </c>
    </row>
    <row r="4895" spans="1:7" x14ac:dyDescent="0.3">
      <c r="A4895">
        <v>34894</v>
      </c>
      <c r="B4895">
        <v>211</v>
      </c>
      <c r="C4895" s="2">
        <v>44869</v>
      </c>
      <c r="D4895" s="2" t="str">
        <f>TEXT(Table5[[#This Row],[bill_date]],"mmmm")</f>
        <v>November</v>
      </c>
      <c r="E4895" s="9">
        <f>YEAR(Table5[[#This Row],[bill_date]])</f>
        <v>2022</v>
      </c>
      <c r="F4895">
        <v>853</v>
      </c>
      <c r="G4895" t="s">
        <v>30</v>
      </c>
    </row>
    <row r="4896" spans="1:7" x14ac:dyDescent="0.3">
      <c r="A4896">
        <v>34895</v>
      </c>
      <c r="B4896">
        <v>201</v>
      </c>
      <c r="C4896" s="2">
        <v>44783</v>
      </c>
      <c r="D4896" s="2" t="str">
        <f>TEXT(Table5[[#This Row],[bill_date]],"mmmm")</f>
        <v>August</v>
      </c>
      <c r="E4896" s="9">
        <f>YEAR(Table5[[#This Row],[bill_date]])</f>
        <v>2022</v>
      </c>
      <c r="F4896">
        <v>753</v>
      </c>
      <c r="G4896" t="s">
        <v>30</v>
      </c>
    </row>
    <row r="4897" spans="1:7" x14ac:dyDescent="0.3">
      <c r="A4897">
        <v>34896</v>
      </c>
      <c r="B4897">
        <v>165</v>
      </c>
      <c r="C4897" s="2">
        <v>45217</v>
      </c>
      <c r="D4897" s="2" t="str">
        <f>TEXT(Table5[[#This Row],[bill_date]],"mmmm")</f>
        <v>October</v>
      </c>
      <c r="E4897" s="9">
        <f>YEAR(Table5[[#This Row],[bill_date]])</f>
        <v>2023</v>
      </c>
      <c r="F4897">
        <v>542</v>
      </c>
      <c r="G4897" t="s">
        <v>30</v>
      </c>
    </row>
    <row r="4898" spans="1:7" x14ac:dyDescent="0.3">
      <c r="A4898">
        <v>34897</v>
      </c>
      <c r="B4898">
        <v>49</v>
      </c>
      <c r="C4898" s="2">
        <v>45377</v>
      </c>
      <c r="D4898" s="2" t="str">
        <f>TEXT(Table5[[#This Row],[bill_date]],"mmmm")</f>
        <v>March</v>
      </c>
      <c r="E4898" s="9">
        <f>YEAR(Table5[[#This Row],[bill_date]])</f>
        <v>2024</v>
      </c>
      <c r="F4898">
        <v>210</v>
      </c>
      <c r="G4898" t="s">
        <v>30</v>
      </c>
    </row>
    <row r="4899" spans="1:7" x14ac:dyDescent="0.3">
      <c r="A4899">
        <v>34898</v>
      </c>
      <c r="B4899">
        <v>496</v>
      </c>
      <c r="C4899" s="2">
        <v>44588</v>
      </c>
      <c r="D4899" s="2" t="str">
        <f>TEXT(Table5[[#This Row],[bill_date]],"mmmm")</f>
        <v>January</v>
      </c>
      <c r="E4899" s="9">
        <f>YEAR(Table5[[#This Row],[bill_date]])</f>
        <v>2022</v>
      </c>
      <c r="F4899">
        <v>1756</v>
      </c>
      <c r="G4899" t="s">
        <v>30</v>
      </c>
    </row>
    <row r="4900" spans="1:7" x14ac:dyDescent="0.3">
      <c r="A4900">
        <v>34899</v>
      </c>
      <c r="B4900">
        <v>396</v>
      </c>
      <c r="C4900" s="2">
        <v>45234</v>
      </c>
      <c r="D4900" s="2" t="str">
        <f>TEXT(Table5[[#This Row],[bill_date]],"mmmm")</f>
        <v>November</v>
      </c>
      <c r="E4900" s="9">
        <f>YEAR(Table5[[#This Row],[bill_date]])</f>
        <v>2023</v>
      </c>
      <c r="F4900">
        <v>1752</v>
      </c>
      <c r="G4900" t="s">
        <v>30</v>
      </c>
    </row>
    <row r="4901" spans="1:7" x14ac:dyDescent="0.3">
      <c r="A4901">
        <v>34900</v>
      </c>
      <c r="B4901">
        <v>133</v>
      </c>
      <c r="C4901" s="2">
        <v>44712</v>
      </c>
      <c r="D4901" s="2" t="str">
        <f>TEXT(Table5[[#This Row],[bill_date]],"mmmm")</f>
        <v>May</v>
      </c>
      <c r="E4901" s="9">
        <f>YEAR(Table5[[#This Row],[bill_date]])</f>
        <v>2022</v>
      </c>
      <c r="F4901">
        <v>648</v>
      </c>
      <c r="G4901" t="s">
        <v>30</v>
      </c>
    </row>
    <row r="4902" spans="1:7" x14ac:dyDescent="0.3">
      <c r="A4902">
        <v>34901</v>
      </c>
      <c r="B4902">
        <v>70</v>
      </c>
      <c r="C4902" s="2">
        <v>44734</v>
      </c>
      <c r="D4902" s="2" t="str">
        <f>TEXT(Table5[[#This Row],[bill_date]],"mmmm")</f>
        <v>June</v>
      </c>
      <c r="E4902" s="9">
        <f>YEAR(Table5[[#This Row],[bill_date]])</f>
        <v>2022</v>
      </c>
      <c r="F4902">
        <v>772</v>
      </c>
      <c r="G4902" t="s">
        <v>30</v>
      </c>
    </row>
    <row r="4903" spans="1:7" x14ac:dyDescent="0.3">
      <c r="A4903">
        <v>34902</v>
      </c>
      <c r="B4903">
        <v>372</v>
      </c>
      <c r="C4903" s="2">
        <v>45284</v>
      </c>
      <c r="D4903" s="2" t="str">
        <f>TEXT(Table5[[#This Row],[bill_date]],"mmmm")</f>
        <v>December</v>
      </c>
      <c r="E4903" s="9">
        <f>YEAR(Table5[[#This Row],[bill_date]])</f>
        <v>2023</v>
      </c>
      <c r="F4903">
        <v>1923</v>
      </c>
      <c r="G4903" t="s">
        <v>30</v>
      </c>
    </row>
    <row r="4904" spans="1:7" x14ac:dyDescent="0.3">
      <c r="A4904">
        <v>34903</v>
      </c>
      <c r="B4904">
        <v>119</v>
      </c>
      <c r="C4904" s="2">
        <v>45429</v>
      </c>
      <c r="D4904" s="2" t="str">
        <f>TEXT(Table5[[#This Row],[bill_date]],"mmmm")</f>
        <v>May</v>
      </c>
      <c r="E4904" s="9">
        <f>YEAR(Table5[[#This Row],[bill_date]])</f>
        <v>2024</v>
      </c>
      <c r="F4904">
        <v>789</v>
      </c>
      <c r="G4904" t="s">
        <v>28</v>
      </c>
    </row>
    <row r="4905" spans="1:7" x14ac:dyDescent="0.3">
      <c r="A4905">
        <v>34904</v>
      </c>
      <c r="B4905">
        <v>139</v>
      </c>
      <c r="C4905" s="2">
        <v>44583</v>
      </c>
      <c r="D4905" s="2" t="str">
        <f>TEXT(Table5[[#This Row],[bill_date]],"mmmm")</f>
        <v>January</v>
      </c>
      <c r="E4905" s="9">
        <f>YEAR(Table5[[#This Row],[bill_date]])</f>
        <v>2022</v>
      </c>
      <c r="F4905">
        <v>688</v>
      </c>
      <c r="G4905" t="s">
        <v>30</v>
      </c>
    </row>
    <row r="4906" spans="1:7" x14ac:dyDescent="0.3">
      <c r="A4906">
        <v>34905</v>
      </c>
      <c r="B4906">
        <v>243</v>
      </c>
      <c r="C4906" s="2">
        <v>45371</v>
      </c>
      <c r="D4906" s="2" t="str">
        <f>TEXT(Table5[[#This Row],[bill_date]],"mmmm")</f>
        <v>March</v>
      </c>
      <c r="E4906" s="9">
        <f>YEAR(Table5[[#This Row],[bill_date]])</f>
        <v>2024</v>
      </c>
      <c r="F4906">
        <v>1389</v>
      </c>
      <c r="G4906" t="s">
        <v>29</v>
      </c>
    </row>
    <row r="4907" spans="1:7" x14ac:dyDescent="0.3">
      <c r="A4907">
        <v>34906</v>
      </c>
      <c r="B4907">
        <v>181</v>
      </c>
      <c r="C4907" s="2">
        <v>45438</v>
      </c>
      <c r="D4907" s="2" t="str">
        <f>TEXT(Table5[[#This Row],[bill_date]],"mmmm")</f>
        <v>May</v>
      </c>
      <c r="E4907" s="9">
        <f>YEAR(Table5[[#This Row],[bill_date]])</f>
        <v>2024</v>
      </c>
      <c r="F4907">
        <v>860</v>
      </c>
      <c r="G4907" t="s">
        <v>30</v>
      </c>
    </row>
    <row r="4908" spans="1:7" x14ac:dyDescent="0.3">
      <c r="A4908">
        <v>34907</v>
      </c>
      <c r="B4908">
        <v>486</v>
      </c>
      <c r="C4908" s="2">
        <v>45106</v>
      </c>
      <c r="D4908" s="2" t="str">
        <f>TEXT(Table5[[#This Row],[bill_date]],"mmmm")</f>
        <v>June</v>
      </c>
      <c r="E4908" s="9">
        <f>YEAR(Table5[[#This Row],[bill_date]])</f>
        <v>2023</v>
      </c>
      <c r="F4908">
        <v>663</v>
      </c>
      <c r="G4908" t="s">
        <v>28</v>
      </c>
    </row>
    <row r="4909" spans="1:7" x14ac:dyDescent="0.3">
      <c r="A4909">
        <v>34908</v>
      </c>
      <c r="B4909">
        <v>183</v>
      </c>
      <c r="C4909" s="2">
        <v>45182</v>
      </c>
      <c r="D4909" s="2" t="str">
        <f>TEXT(Table5[[#This Row],[bill_date]],"mmmm")</f>
        <v>September</v>
      </c>
      <c r="E4909" s="9">
        <f>YEAR(Table5[[#This Row],[bill_date]])</f>
        <v>2023</v>
      </c>
      <c r="F4909">
        <v>1108</v>
      </c>
      <c r="G4909" t="s">
        <v>28</v>
      </c>
    </row>
    <row r="4910" spans="1:7" x14ac:dyDescent="0.3">
      <c r="A4910">
        <v>34909</v>
      </c>
      <c r="B4910">
        <v>458</v>
      </c>
      <c r="C4910" s="2">
        <v>44955</v>
      </c>
      <c r="D4910" s="2" t="str">
        <f>TEXT(Table5[[#This Row],[bill_date]],"mmmm")</f>
        <v>January</v>
      </c>
      <c r="E4910" s="9">
        <f>YEAR(Table5[[#This Row],[bill_date]])</f>
        <v>2023</v>
      </c>
      <c r="F4910">
        <v>1957</v>
      </c>
      <c r="G4910" t="s">
        <v>30</v>
      </c>
    </row>
    <row r="4911" spans="1:7" x14ac:dyDescent="0.3">
      <c r="A4911">
        <v>34910</v>
      </c>
      <c r="B4911">
        <v>335</v>
      </c>
      <c r="C4911" s="2">
        <v>44608</v>
      </c>
      <c r="D4911" s="2" t="str">
        <f>TEXT(Table5[[#This Row],[bill_date]],"mmmm")</f>
        <v>February</v>
      </c>
      <c r="E4911" s="9">
        <f>YEAR(Table5[[#This Row],[bill_date]])</f>
        <v>2022</v>
      </c>
      <c r="F4911">
        <v>815</v>
      </c>
      <c r="G4911" t="s">
        <v>30</v>
      </c>
    </row>
    <row r="4912" spans="1:7" x14ac:dyDescent="0.3">
      <c r="A4912">
        <v>34911</v>
      </c>
      <c r="B4912">
        <v>50</v>
      </c>
      <c r="C4912" s="2">
        <v>45169</v>
      </c>
      <c r="D4912" s="2" t="str">
        <f>TEXT(Table5[[#This Row],[bill_date]],"mmmm")</f>
        <v>August</v>
      </c>
      <c r="E4912" s="9">
        <f>YEAR(Table5[[#This Row],[bill_date]])</f>
        <v>2023</v>
      </c>
      <c r="F4912">
        <v>1988</v>
      </c>
      <c r="G4912" t="s">
        <v>30</v>
      </c>
    </row>
    <row r="4913" spans="1:7" x14ac:dyDescent="0.3">
      <c r="A4913">
        <v>34912</v>
      </c>
      <c r="B4913">
        <v>181</v>
      </c>
      <c r="C4913" s="2">
        <v>44686</v>
      </c>
      <c r="D4913" s="2" t="str">
        <f>TEXT(Table5[[#This Row],[bill_date]],"mmmm")</f>
        <v>May</v>
      </c>
      <c r="E4913" s="9">
        <f>YEAR(Table5[[#This Row],[bill_date]])</f>
        <v>2022</v>
      </c>
      <c r="F4913">
        <v>205</v>
      </c>
      <c r="G4913" t="s">
        <v>30</v>
      </c>
    </row>
    <row r="4914" spans="1:7" x14ac:dyDescent="0.3">
      <c r="A4914">
        <v>34913</v>
      </c>
      <c r="B4914">
        <v>125</v>
      </c>
      <c r="C4914" s="2">
        <v>44896</v>
      </c>
      <c r="D4914" s="2" t="str">
        <f>TEXT(Table5[[#This Row],[bill_date]],"mmmm")</f>
        <v>December</v>
      </c>
      <c r="E4914" s="9">
        <f>YEAR(Table5[[#This Row],[bill_date]])</f>
        <v>2022</v>
      </c>
      <c r="F4914">
        <v>1205</v>
      </c>
      <c r="G4914" t="s">
        <v>30</v>
      </c>
    </row>
    <row r="4915" spans="1:7" x14ac:dyDescent="0.3">
      <c r="A4915">
        <v>34914</v>
      </c>
      <c r="B4915">
        <v>231</v>
      </c>
      <c r="C4915" s="2">
        <v>44856</v>
      </c>
      <c r="D4915" s="2" t="str">
        <f>TEXT(Table5[[#This Row],[bill_date]],"mmmm")</f>
        <v>October</v>
      </c>
      <c r="E4915" s="9">
        <f>YEAR(Table5[[#This Row],[bill_date]])</f>
        <v>2022</v>
      </c>
      <c r="F4915">
        <v>1385</v>
      </c>
      <c r="G4915" t="s">
        <v>30</v>
      </c>
    </row>
    <row r="4916" spans="1:7" x14ac:dyDescent="0.3">
      <c r="A4916">
        <v>34915</v>
      </c>
      <c r="B4916">
        <v>311</v>
      </c>
      <c r="C4916" s="2">
        <v>45451</v>
      </c>
      <c r="D4916" s="2" t="str">
        <f>TEXT(Table5[[#This Row],[bill_date]],"mmmm")</f>
        <v>June</v>
      </c>
      <c r="E4916" s="9">
        <f>YEAR(Table5[[#This Row],[bill_date]])</f>
        <v>2024</v>
      </c>
      <c r="F4916">
        <v>1000</v>
      </c>
      <c r="G4916" t="s">
        <v>30</v>
      </c>
    </row>
    <row r="4917" spans="1:7" x14ac:dyDescent="0.3">
      <c r="A4917">
        <v>34916</v>
      </c>
      <c r="B4917">
        <v>348</v>
      </c>
      <c r="C4917" s="2">
        <v>45375</v>
      </c>
      <c r="D4917" s="2" t="str">
        <f>TEXT(Table5[[#This Row],[bill_date]],"mmmm")</f>
        <v>March</v>
      </c>
      <c r="E4917" s="9">
        <f>YEAR(Table5[[#This Row],[bill_date]])</f>
        <v>2024</v>
      </c>
      <c r="F4917">
        <v>1417</v>
      </c>
      <c r="G4917" t="s">
        <v>30</v>
      </c>
    </row>
    <row r="4918" spans="1:7" x14ac:dyDescent="0.3">
      <c r="A4918">
        <v>34917</v>
      </c>
      <c r="B4918">
        <v>3</v>
      </c>
      <c r="C4918" s="2">
        <v>45401</v>
      </c>
      <c r="D4918" s="2" t="str">
        <f>TEXT(Table5[[#This Row],[bill_date]],"mmmm")</f>
        <v>April</v>
      </c>
      <c r="E4918" s="9">
        <f>YEAR(Table5[[#This Row],[bill_date]])</f>
        <v>2024</v>
      </c>
      <c r="F4918">
        <v>517</v>
      </c>
      <c r="G4918" t="s">
        <v>30</v>
      </c>
    </row>
    <row r="4919" spans="1:7" x14ac:dyDescent="0.3">
      <c r="A4919">
        <v>34918</v>
      </c>
      <c r="B4919">
        <v>376</v>
      </c>
      <c r="C4919" s="2">
        <v>45380</v>
      </c>
      <c r="D4919" s="2" t="str">
        <f>TEXT(Table5[[#This Row],[bill_date]],"mmmm")</f>
        <v>March</v>
      </c>
      <c r="E4919" s="9">
        <f>YEAR(Table5[[#This Row],[bill_date]])</f>
        <v>2024</v>
      </c>
      <c r="F4919">
        <v>328</v>
      </c>
      <c r="G4919" t="s">
        <v>28</v>
      </c>
    </row>
    <row r="4920" spans="1:7" x14ac:dyDescent="0.3">
      <c r="A4920">
        <v>34919</v>
      </c>
      <c r="B4920">
        <v>400</v>
      </c>
      <c r="C4920" s="2">
        <v>45098</v>
      </c>
      <c r="D4920" s="2" t="str">
        <f>TEXT(Table5[[#This Row],[bill_date]],"mmmm")</f>
        <v>June</v>
      </c>
      <c r="E4920" s="9">
        <f>YEAR(Table5[[#This Row],[bill_date]])</f>
        <v>2023</v>
      </c>
      <c r="F4920">
        <v>307</v>
      </c>
      <c r="G4920" t="s">
        <v>30</v>
      </c>
    </row>
    <row r="4921" spans="1:7" x14ac:dyDescent="0.3">
      <c r="A4921">
        <v>34920</v>
      </c>
      <c r="B4921">
        <v>173</v>
      </c>
      <c r="C4921" s="2">
        <v>45155</v>
      </c>
      <c r="D4921" s="2" t="str">
        <f>TEXT(Table5[[#This Row],[bill_date]],"mmmm")</f>
        <v>August</v>
      </c>
      <c r="E4921" s="9">
        <f>YEAR(Table5[[#This Row],[bill_date]])</f>
        <v>2023</v>
      </c>
      <c r="F4921">
        <v>417</v>
      </c>
      <c r="G4921" t="s">
        <v>28</v>
      </c>
    </row>
    <row r="4922" spans="1:7" x14ac:dyDescent="0.3">
      <c r="A4922">
        <v>34921</v>
      </c>
      <c r="B4922">
        <v>81</v>
      </c>
      <c r="C4922" s="2">
        <v>45131</v>
      </c>
      <c r="D4922" s="2" t="str">
        <f>TEXT(Table5[[#This Row],[bill_date]],"mmmm")</f>
        <v>July</v>
      </c>
      <c r="E4922" s="9">
        <f>YEAR(Table5[[#This Row],[bill_date]])</f>
        <v>2023</v>
      </c>
      <c r="F4922">
        <v>704</v>
      </c>
      <c r="G4922" t="s">
        <v>30</v>
      </c>
    </row>
    <row r="4923" spans="1:7" x14ac:dyDescent="0.3">
      <c r="A4923">
        <v>34922</v>
      </c>
      <c r="B4923">
        <v>420</v>
      </c>
      <c r="C4923" s="2">
        <v>45099</v>
      </c>
      <c r="D4923" s="2" t="str">
        <f>TEXT(Table5[[#This Row],[bill_date]],"mmmm")</f>
        <v>June</v>
      </c>
      <c r="E4923" s="9">
        <f>YEAR(Table5[[#This Row],[bill_date]])</f>
        <v>2023</v>
      </c>
      <c r="F4923">
        <v>627</v>
      </c>
      <c r="G4923" t="s">
        <v>30</v>
      </c>
    </row>
    <row r="4924" spans="1:7" x14ac:dyDescent="0.3">
      <c r="A4924">
        <v>34923</v>
      </c>
      <c r="B4924">
        <v>275</v>
      </c>
      <c r="C4924" s="2">
        <v>44858</v>
      </c>
      <c r="D4924" s="2" t="str">
        <f>TEXT(Table5[[#This Row],[bill_date]],"mmmm")</f>
        <v>October</v>
      </c>
      <c r="E4924" s="9">
        <f>YEAR(Table5[[#This Row],[bill_date]])</f>
        <v>2022</v>
      </c>
      <c r="F4924">
        <v>840</v>
      </c>
      <c r="G4924" t="s">
        <v>30</v>
      </c>
    </row>
    <row r="4925" spans="1:7" x14ac:dyDescent="0.3">
      <c r="A4925">
        <v>34924</v>
      </c>
      <c r="B4925">
        <v>388</v>
      </c>
      <c r="C4925" s="2">
        <v>44605</v>
      </c>
      <c r="D4925" s="2" t="str">
        <f>TEXT(Table5[[#This Row],[bill_date]],"mmmm")</f>
        <v>February</v>
      </c>
      <c r="E4925" s="9">
        <f>YEAR(Table5[[#This Row],[bill_date]])</f>
        <v>2022</v>
      </c>
      <c r="F4925">
        <v>442</v>
      </c>
      <c r="G4925" t="s">
        <v>30</v>
      </c>
    </row>
    <row r="4926" spans="1:7" x14ac:dyDescent="0.3">
      <c r="A4926">
        <v>34925</v>
      </c>
      <c r="B4926">
        <v>315</v>
      </c>
      <c r="C4926" s="2">
        <v>45158</v>
      </c>
      <c r="D4926" s="2" t="str">
        <f>TEXT(Table5[[#This Row],[bill_date]],"mmmm")</f>
        <v>August</v>
      </c>
      <c r="E4926" s="9">
        <f>YEAR(Table5[[#This Row],[bill_date]])</f>
        <v>2023</v>
      </c>
      <c r="F4926">
        <v>636</v>
      </c>
      <c r="G4926" t="s">
        <v>30</v>
      </c>
    </row>
    <row r="4927" spans="1:7" x14ac:dyDescent="0.3">
      <c r="A4927">
        <v>34926</v>
      </c>
      <c r="B4927">
        <v>345</v>
      </c>
      <c r="C4927" s="2">
        <v>44583</v>
      </c>
      <c r="D4927" s="2" t="str">
        <f>TEXT(Table5[[#This Row],[bill_date]],"mmmm")</f>
        <v>January</v>
      </c>
      <c r="E4927" s="9">
        <f>YEAR(Table5[[#This Row],[bill_date]])</f>
        <v>2022</v>
      </c>
      <c r="F4927">
        <v>505</v>
      </c>
      <c r="G4927" t="s">
        <v>30</v>
      </c>
    </row>
    <row r="4928" spans="1:7" x14ac:dyDescent="0.3">
      <c r="A4928">
        <v>34927</v>
      </c>
      <c r="B4928">
        <v>219</v>
      </c>
      <c r="C4928" s="2">
        <v>45439</v>
      </c>
      <c r="D4928" s="2" t="str">
        <f>TEXT(Table5[[#This Row],[bill_date]],"mmmm")</f>
        <v>May</v>
      </c>
      <c r="E4928" s="9">
        <f>YEAR(Table5[[#This Row],[bill_date]])</f>
        <v>2024</v>
      </c>
      <c r="F4928">
        <v>1099</v>
      </c>
      <c r="G4928" t="s">
        <v>30</v>
      </c>
    </row>
    <row r="4929" spans="1:7" x14ac:dyDescent="0.3">
      <c r="A4929">
        <v>34928</v>
      </c>
      <c r="B4929">
        <v>140</v>
      </c>
      <c r="C4929" s="2">
        <v>44787</v>
      </c>
      <c r="D4929" s="2" t="str">
        <f>TEXT(Table5[[#This Row],[bill_date]],"mmmm")</f>
        <v>August</v>
      </c>
      <c r="E4929" s="9">
        <f>YEAR(Table5[[#This Row],[bill_date]])</f>
        <v>2022</v>
      </c>
      <c r="F4929">
        <v>1819</v>
      </c>
      <c r="G4929" t="s">
        <v>30</v>
      </c>
    </row>
    <row r="4930" spans="1:7" x14ac:dyDescent="0.3">
      <c r="A4930">
        <v>34929</v>
      </c>
      <c r="B4930">
        <v>63</v>
      </c>
      <c r="C4930" s="2">
        <v>45110</v>
      </c>
      <c r="D4930" s="2" t="str">
        <f>TEXT(Table5[[#This Row],[bill_date]],"mmmm")</f>
        <v>July</v>
      </c>
      <c r="E4930" s="9">
        <f>YEAR(Table5[[#This Row],[bill_date]])</f>
        <v>2023</v>
      </c>
      <c r="F4930">
        <v>1477</v>
      </c>
      <c r="G4930" t="s">
        <v>30</v>
      </c>
    </row>
    <row r="4931" spans="1:7" x14ac:dyDescent="0.3">
      <c r="A4931">
        <v>34930</v>
      </c>
      <c r="B4931">
        <v>440</v>
      </c>
      <c r="C4931" s="2">
        <v>44935</v>
      </c>
      <c r="D4931" s="2" t="str">
        <f>TEXT(Table5[[#This Row],[bill_date]],"mmmm")</f>
        <v>January</v>
      </c>
      <c r="E4931" s="9">
        <f>YEAR(Table5[[#This Row],[bill_date]])</f>
        <v>2023</v>
      </c>
      <c r="F4931">
        <v>1549</v>
      </c>
      <c r="G4931" t="s">
        <v>30</v>
      </c>
    </row>
    <row r="4932" spans="1:7" x14ac:dyDescent="0.3">
      <c r="A4932">
        <v>34931</v>
      </c>
      <c r="B4932">
        <v>27</v>
      </c>
      <c r="C4932" s="2">
        <v>45174</v>
      </c>
      <c r="D4932" s="2" t="str">
        <f>TEXT(Table5[[#This Row],[bill_date]],"mmmm")</f>
        <v>September</v>
      </c>
      <c r="E4932" s="9">
        <f>YEAR(Table5[[#This Row],[bill_date]])</f>
        <v>2023</v>
      </c>
      <c r="F4932">
        <v>607</v>
      </c>
      <c r="G4932" t="s">
        <v>30</v>
      </c>
    </row>
    <row r="4933" spans="1:7" x14ac:dyDescent="0.3">
      <c r="A4933">
        <v>34932</v>
      </c>
      <c r="B4933">
        <v>196</v>
      </c>
      <c r="C4933" s="2">
        <v>45215</v>
      </c>
      <c r="D4933" s="2" t="str">
        <f>TEXT(Table5[[#This Row],[bill_date]],"mmmm")</f>
        <v>October</v>
      </c>
      <c r="E4933" s="9">
        <f>YEAR(Table5[[#This Row],[bill_date]])</f>
        <v>2023</v>
      </c>
      <c r="F4933">
        <v>947</v>
      </c>
      <c r="G4933" t="s">
        <v>29</v>
      </c>
    </row>
    <row r="4934" spans="1:7" x14ac:dyDescent="0.3">
      <c r="A4934">
        <v>34933</v>
      </c>
      <c r="B4934">
        <v>381</v>
      </c>
      <c r="C4934" s="2">
        <v>44565</v>
      </c>
      <c r="D4934" s="2" t="str">
        <f>TEXT(Table5[[#This Row],[bill_date]],"mmmm")</f>
        <v>January</v>
      </c>
      <c r="E4934" s="9">
        <f>YEAR(Table5[[#This Row],[bill_date]])</f>
        <v>2022</v>
      </c>
      <c r="F4934">
        <v>199</v>
      </c>
      <c r="G4934" t="s">
        <v>30</v>
      </c>
    </row>
    <row r="4935" spans="1:7" x14ac:dyDescent="0.3">
      <c r="A4935">
        <v>34934</v>
      </c>
      <c r="B4935">
        <v>152</v>
      </c>
      <c r="C4935" s="2">
        <v>44585</v>
      </c>
      <c r="D4935" s="2" t="str">
        <f>TEXT(Table5[[#This Row],[bill_date]],"mmmm")</f>
        <v>January</v>
      </c>
      <c r="E4935" s="9">
        <f>YEAR(Table5[[#This Row],[bill_date]])</f>
        <v>2022</v>
      </c>
      <c r="F4935">
        <v>975</v>
      </c>
      <c r="G4935" t="s">
        <v>28</v>
      </c>
    </row>
    <row r="4936" spans="1:7" x14ac:dyDescent="0.3">
      <c r="A4936">
        <v>34935</v>
      </c>
      <c r="B4936">
        <v>465</v>
      </c>
      <c r="C4936" s="2">
        <v>45264</v>
      </c>
      <c r="D4936" s="2" t="str">
        <f>TEXT(Table5[[#This Row],[bill_date]],"mmmm")</f>
        <v>December</v>
      </c>
      <c r="E4936" s="9">
        <f>YEAR(Table5[[#This Row],[bill_date]])</f>
        <v>2023</v>
      </c>
      <c r="F4936">
        <v>392</v>
      </c>
      <c r="G4936" t="s">
        <v>30</v>
      </c>
    </row>
    <row r="4937" spans="1:7" x14ac:dyDescent="0.3">
      <c r="A4937">
        <v>34936</v>
      </c>
      <c r="B4937">
        <v>252</v>
      </c>
      <c r="C4937" s="2">
        <v>45394</v>
      </c>
      <c r="D4937" s="2" t="str">
        <f>TEXT(Table5[[#This Row],[bill_date]],"mmmm")</f>
        <v>April</v>
      </c>
      <c r="E4937" s="9">
        <f>YEAR(Table5[[#This Row],[bill_date]])</f>
        <v>2024</v>
      </c>
      <c r="F4937">
        <v>1161</v>
      </c>
      <c r="G4937" t="s">
        <v>30</v>
      </c>
    </row>
    <row r="4938" spans="1:7" x14ac:dyDescent="0.3">
      <c r="A4938">
        <v>34937</v>
      </c>
      <c r="B4938">
        <v>248</v>
      </c>
      <c r="C4938" s="2">
        <v>44883</v>
      </c>
      <c r="D4938" s="2" t="str">
        <f>TEXT(Table5[[#This Row],[bill_date]],"mmmm")</f>
        <v>November</v>
      </c>
      <c r="E4938" s="9">
        <f>YEAR(Table5[[#This Row],[bill_date]])</f>
        <v>2022</v>
      </c>
      <c r="F4938">
        <v>1586</v>
      </c>
      <c r="G4938" t="s">
        <v>30</v>
      </c>
    </row>
    <row r="4939" spans="1:7" x14ac:dyDescent="0.3">
      <c r="A4939">
        <v>34938</v>
      </c>
      <c r="B4939">
        <v>154</v>
      </c>
      <c r="C4939" s="2">
        <v>45342</v>
      </c>
      <c r="D4939" s="2" t="str">
        <f>TEXT(Table5[[#This Row],[bill_date]],"mmmm")</f>
        <v>February</v>
      </c>
      <c r="E4939" s="9">
        <f>YEAR(Table5[[#This Row],[bill_date]])</f>
        <v>2024</v>
      </c>
      <c r="F4939">
        <v>320</v>
      </c>
      <c r="G4939" t="s">
        <v>30</v>
      </c>
    </row>
    <row r="4940" spans="1:7" x14ac:dyDescent="0.3">
      <c r="A4940">
        <v>34939</v>
      </c>
      <c r="B4940">
        <v>210</v>
      </c>
      <c r="C4940" s="2">
        <v>45100</v>
      </c>
      <c r="D4940" s="2" t="str">
        <f>TEXT(Table5[[#This Row],[bill_date]],"mmmm")</f>
        <v>June</v>
      </c>
      <c r="E4940" s="9">
        <f>YEAR(Table5[[#This Row],[bill_date]])</f>
        <v>2023</v>
      </c>
      <c r="F4940">
        <v>562</v>
      </c>
      <c r="G4940" t="s">
        <v>30</v>
      </c>
    </row>
    <row r="4941" spans="1:7" x14ac:dyDescent="0.3">
      <c r="A4941">
        <v>34940</v>
      </c>
      <c r="B4941">
        <v>22</v>
      </c>
      <c r="C4941" s="2">
        <v>44933</v>
      </c>
      <c r="D4941" s="2" t="str">
        <f>TEXT(Table5[[#This Row],[bill_date]],"mmmm")</f>
        <v>January</v>
      </c>
      <c r="E4941" s="9">
        <f>YEAR(Table5[[#This Row],[bill_date]])</f>
        <v>2023</v>
      </c>
      <c r="F4941">
        <v>1226</v>
      </c>
      <c r="G4941" t="s">
        <v>30</v>
      </c>
    </row>
    <row r="4942" spans="1:7" x14ac:dyDescent="0.3">
      <c r="A4942">
        <v>34941</v>
      </c>
      <c r="B4942">
        <v>70</v>
      </c>
      <c r="C4942" s="2">
        <v>45154</v>
      </c>
      <c r="D4942" s="2" t="str">
        <f>TEXT(Table5[[#This Row],[bill_date]],"mmmm")</f>
        <v>August</v>
      </c>
      <c r="E4942" s="9">
        <f>YEAR(Table5[[#This Row],[bill_date]])</f>
        <v>2023</v>
      </c>
      <c r="F4942">
        <v>347</v>
      </c>
      <c r="G4942" t="s">
        <v>30</v>
      </c>
    </row>
    <row r="4943" spans="1:7" x14ac:dyDescent="0.3">
      <c r="A4943">
        <v>34942</v>
      </c>
      <c r="B4943">
        <v>19</v>
      </c>
      <c r="C4943" s="2">
        <v>45194</v>
      </c>
      <c r="D4943" s="2" t="str">
        <f>TEXT(Table5[[#This Row],[bill_date]],"mmmm")</f>
        <v>September</v>
      </c>
      <c r="E4943" s="9">
        <f>YEAR(Table5[[#This Row],[bill_date]])</f>
        <v>2023</v>
      </c>
      <c r="F4943">
        <v>1283</v>
      </c>
      <c r="G4943" t="s">
        <v>30</v>
      </c>
    </row>
    <row r="4944" spans="1:7" x14ac:dyDescent="0.3">
      <c r="A4944">
        <v>34943</v>
      </c>
      <c r="B4944">
        <v>101</v>
      </c>
      <c r="C4944" s="2">
        <v>44926</v>
      </c>
      <c r="D4944" s="2" t="str">
        <f>TEXT(Table5[[#This Row],[bill_date]],"mmmm")</f>
        <v>December</v>
      </c>
      <c r="E4944" s="9">
        <f>YEAR(Table5[[#This Row],[bill_date]])</f>
        <v>2022</v>
      </c>
      <c r="F4944">
        <v>992</v>
      </c>
      <c r="G4944" t="s">
        <v>30</v>
      </c>
    </row>
    <row r="4945" spans="1:7" x14ac:dyDescent="0.3">
      <c r="A4945">
        <v>34944</v>
      </c>
      <c r="B4945">
        <v>162</v>
      </c>
      <c r="C4945" s="2">
        <v>44630</v>
      </c>
      <c r="D4945" s="2" t="str">
        <f>TEXT(Table5[[#This Row],[bill_date]],"mmmm")</f>
        <v>March</v>
      </c>
      <c r="E4945" s="9">
        <f>YEAR(Table5[[#This Row],[bill_date]])</f>
        <v>2022</v>
      </c>
      <c r="F4945">
        <v>1339</v>
      </c>
      <c r="G4945" t="s">
        <v>29</v>
      </c>
    </row>
    <row r="4946" spans="1:7" x14ac:dyDescent="0.3">
      <c r="A4946">
        <v>34945</v>
      </c>
      <c r="B4946">
        <v>139</v>
      </c>
      <c r="C4946" s="2">
        <v>45033</v>
      </c>
      <c r="D4946" s="2" t="str">
        <f>TEXT(Table5[[#This Row],[bill_date]],"mmmm")</f>
        <v>April</v>
      </c>
      <c r="E4946" s="9">
        <f>YEAR(Table5[[#This Row],[bill_date]])</f>
        <v>2023</v>
      </c>
      <c r="F4946">
        <v>1906</v>
      </c>
      <c r="G4946" t="s">
        <v>30</v>
      </c>
    </row>
    <row r="4947" spans="1:7" x14ac:dyDescent="0.3">
      <c r="A4947">
        <v>34946</v>
      </c>
      <c r="B4947">
        <v>376</v>
      </c>
      <c r="C4947" s="2">
        <v>45066</v>
      </c>
      <c r="D4947" s="2" t="str">
        <f>TEXT(Table5[[#This Row],[bill_date]],"mmmm")</f>
        <v>May</v>
      </c>
      <c r="E4947" s="9">
        <f>YEAR(Table5[[#This Row],[bill_date]])</f>
        <v>2023</v>
      </c>
      <c r="F4947">
        <v>1044</v>
      </c>
      <c r="G4947" t="s">
        <v>30</v>
      </c>
    </row>
    <row r="4948" spans="1:7" x14ac:dyDescent="0.3">
      <c r="A4948">
        <v>34947</v>
      </c>
      <c r="B4948">
        <v>88</v>
      </c>
      <c r="C4948" s="2">
        <v>44874</v>
      </c>
      <c r="D4948" s="2" t="str">
        <f>TEXT(Table5[[#This Row],[bill_date]],"mmmm")</f>
        <v>November</v>
      </c>
      <c r="E4948" s="9">
        <f>YEAR(Table5[[#This Row],[bill_date]])</f>
        <v>2022</v>
      </c>
      <c r="F4948">
        <v>436</v>
      </c>
      <c r="G4948" t="s">
        <v>30</v>
      </c>
    </row>
    <row r="4949" spans="1:7" x14ac:dyDescent="0.3">
      <c r="A4949">
        <v>34948</v>
      </c>
      <c r="B4949">
        <v>429</v>
      </c>
      <c r="C4949" s="2">
        <v>44633</v>
      </c>
      <c r="D4949" s="2" t="str">
        <f>TEXT(Table5[[#This Row],[bill_date]],"mmmm")</f>
        <v>March</v>
      </c>
      <c r="E4949" s="9">
        <f>YEAR(Table5[[#This Row],[bill_date]])</f>
        <v>2022</v>
      </c>
      <c r="F4949">
        <v>1360</v>
      </c>
      <c r="G4949" t="s">
        <v>30</v>
      </c>
    </row>
    <row r="4950" spans="1:7" x14ac:dyDescent="0.3">
      <c r="A4950">
        <v>34949</v>
      </c>
      <c r="B4950">
        <v>37</v>
      </c>
      <c r="C4950" s="2">
        <v>44807</v>
      </c>
      <c r="D4950" s="2" t="str">
        <f>TEXT(Table5[[#This Row],[bill_date]],"mmmm")</f>
        <v>September</v>
      </c>
      <c r="E4950" s="9">
        <f>YEAR(Table5[[#This Row],[bill_date]])</f>
        <v>2022</v>
      </c>
      <c r="F4950">
        <v>928</v>
      </c>
      <c r="G4950" t="s">
        <v>30</v>
      </c>
    </row>
    <row r="4951" spans="1:7" x14ac:dyDescent="0.3">
      <c r="A4951">
        <v>34950</v>
      </c>
      <c r="B4951">
        <v>407</v>
      </c>
      <c r="C4951" s="2">
        <v>45319</v>
      </c>
      <c r="D4951" s="2" t="str">
        <f>TEXT(Table5[[#This Row],[bill_date]],"mmmm")</f>
        <v>January</v>
      </c>
      <c r="E4951" s="9">
        <f>YEAR(Table5[[#This Row],[bill_date]])</f>
        <v>2024</v>
      </c>
      <c r="F4951">
        <v>656</v>
      </c>
      <c r="G4951" t="s">
        <v>29</v>
      </c>
    </row>
    <row r="4952" spans="1:7" x14ac:dyDescent="0.3">
      <c r="A4952">
        <v>34951</v>
      </c>
      <c r="B4952">
        <v>424</v>
      </c>
      <c r="C4952" s="2">
        <v>45326</v>
      </c>
      <c r="D4952" s="2" t="str">
        <f>TEXT(Table5[[#This Row],[bill_date]],"mmmm")</f>
        <v>February</v>
      </c>
      <c r="E4952" s="9">
        <f>YEAR(Table5[[#This Row],[bill_date]])</f>
        <v>2024</v>
      </c>
      <c r="F4952">
        <v>683</v>
      </c>
      <c r="G4952" t="s">
        <v>30</v>
      </c>
    </row>
    <row r="4953" spans="1:7" x14ac:dyDescent="0.3">
      <c r="A4953">
        <v>34952</v>
      </c>
      <c r="B4953">
        <v>171</v>
      </c>
      <c r="C4953" s="2">
        <v>45437</v>
      </c>
      <c r="D4953" s="2" t="str">
        <f>TEXT(Table5[[#This Row],[bill_date]],"mmmm")</f>
        <v>May</v>
      </c>
      <c r="E4953" s="9">
        <f>YEAR(Table5[[#This Row],[bill_date]])</f>
        <v>2024</v>
      </c>
      <c r="F4953">
        <v>1304</v>
      </c>
      <c r="G4953" t="s">
        <v>30</v>
      </c>
    </row>
    <row r="4954" spans="1:7" x14ac:dyDescent="0.3">
      <c r="A4954">
        <v>34953</v>
      </c>
      <c r="B4954">
        <v>260</v>
      </c>
      <c r="C4954" s="2">
        <v>44634</v>
      </c>
      <c r="D4954" s="2" t="str">
        <f>TEXT(Table5[[#This Row],[bill_date]],"mmmm")</f>
        <v>March</v>
      </c>
      <c r="E4954" s="9">
        <f>YEAR(Table5[[#This Row],[bill_date]])</f>
        <v>2022</v>
      </c>
      <c r="F4954">
        <v>1953</v>
      </c>
      <c r="G4954" t="s">
        <v>30</v>
      </c>
    </row>
    <row r="4955" spans="1:7" x14ac:dyDescent="0.3">
      <c r="A4955">
        <v>34954</v>
      </c>
      <c r="B4955">
        <v>338</v>
      </c>
      <c r="C4955" s="2">
        <v>45347</v>
      </c>
      <c r="D4955" s="2" t="str">
        <f>TEXT(Table5[[#This Row],[bill_date]],"mmmm")</f>
        <v>February</v>
      </c>
      <c r="E4955" s="9">
        <f>YEAR(Table5[[#This Row],[bill_date]])</f>
        <v>2024</v>
      </c>
      <c r="F4955">
        <v>1047</v>
      </c>
      <c r="G4955" t="s">
        <v>30</v>
      </c>
    </row>
    <row r="4956" spans="1:7" x14ac:dyDescent="0.3">
      <c r="A4956">
        <v>34955</v>
      </c>
      <c r="B4956">
        <v>478</v>
      </c>
      <c r="C4956" s="2">
        <v>45089</v>
      </c>
      <c r="D4956" s="2" t="str">
        <f>TEXT(Table5[[#This Row],[bill_date]],"mmmm")</f>
        <v>June</v>
      </c>
      <c r="E4956" s="9">
        <f>YEAR(Table5[[#This Row],[bill_date]])</f>
        <v>2023</v>
      </c>
      <c r="F4956">
        <v>912</v>
      </c>
      <c r="G4956" t="s">
        <v>30</v>
      </c>
    </row>
    <row r="4957" spans="1:7" x14ac:dyDescent="0.3">
      <c r="A4957">
        <v>34956</v>
      </c>
      <c r="B4957">
        <v>271</v>
      </c>
      <c r="C4957" s="2">
        <v>45252</v>
      </c>
      <c r="D4957" s="2" t="str">
        <f>TEXT(Table5[[#This Row],[bill_date]],"mmmm")</f>
        <v>November</v>
      </c>
      <c r="E4957" s="9">
        <f>YEAR(Table5[[#This Row],[bill_date]])</f>
        <v>2023</v>
      </c>
      <c r="F4957">
        <v>1809</v>
      </c>
      <c r="G4957" t="s">
        <v>30</v>
      </c>
    </row>
    <row r="4958" spans="1:7" x14ac:dyDescent="0.3">
      <c r="A4958">
        <v>34957</v>
      </c>
      <c r="B4958">
        <v>485</v>
      </c>
      <c r="C4958" s="2">
        <v>45425</v>
      </c>
      <c r="D4958" s="2" t="str">
        <f>TEXT(Table5[[#This Row],[bill_date]],"mmmm")</f>
        <v>May</v>
      </c>
      <c r="E4958" s="9">
        <f>YEAR(Table5[[#This Row],[bill_date]])</f>
        <v>2024</v>
      </c>
      <c r="F4958">
        <v>1269</v>
      </c>
      <c r="G4958" t="s">
        <v>30</v>
      </c>
    </row>
    <row r="4959" spans="1:7" x14ac:dyDescent="0.3">
      <c r="A4959">
        <v>34958</v>
      </c>
      <c r="B4959">
        <v>407</v>
      </c>
      <c r="C4959" s="2">
        <v>44601</v>
      </c>
      <c r="D4959" s="2" t="str">
        <f>TEXT(Table5[[#This Row],[bill_date]],"mmmm")</f>
        <v>February</v>
      </c>
      <c r="E4959" s="9">
        <f>YEAR(Table5[[#This Row],[bill_date]])</f>
        <v>2022</v>
      </c>
      <c r="F4959">
        <v>542</v>
      </c>
      <c r="G4959" t="s">
        <v>30</v>
      </c>
    </row>
    <row r="4960" spans="1:7" x14ac:dyDescent="0.3">
      <c r="A4960">
        <v>34959</v>
      </c>
      <c r="B4960">
        <v>255</v>
      </c>
      <c r="C4960" s="2">
        <v>44600</v>
      </c>
      <c r="D4960" s="2" t="str">
        <f>TEXT(Table5[[#This Row],[bill_date]],"mmmm")</f>
        <v>February</v>
      </c>
      <c r="E4960" s="9">
        <f>YEAR(Table5[[#This Row],[bill_date]])</f>
        <v>2022</v>
      </c>
      <c r="F4960">
        <v>1561</v>
      </c>
      <c r="G4960" t="s">
        <v>30</v>
      </c>
    </row>
    <row r="4961" spans="1:7" x14ac:dyDescent="0.3">
      <c r="A4961">
        <v>34960</v>
      </c>
      <c r="B4961">
        <v>140</v>
      </c>
      <c r="C4961" s="2">
        <v>44617</v>
      </c>
      <c r="D4961" s="2" t="str">
        <f>TEXT(Table5[[#This Row],[bill_date]],"mmmm")</f>
        <v>February</v>
      </c>
      <c r="E4961" s="9">
        <f>YEAR(Table5[[#This Row],[bill_date]])</f>
        <v>2022</v>
      </c>
      <c r="F4961">
        <v>434</v>
      </c>
      <c r="G4961" t="s">
        <v>30</v>
      </c>
    </row>
    <row r="4962" spans="1:7" x14ac:dyDescent="0.3">
      <c r="A4962">
        <v>34961</v>
      </c>
      <c r="B4962">
        <v>68</v>
      </c>
      <c r="C4962" s="2">
        <v>45446</v>
      </c>
      <c r="D4962" s="2" t="str">
        <f>TEXT(Table5[[#This Row],[bill_date]],"mmmm")</f>
        <v>June</v>
      </c>
      <c r="E4962" s="9">
        <f>YEAR(Table5[[#This Row],[bill_date]])</f>
        <v>2024</v>
      </c>
      <c r="F4962">
        <v>1686</v>
      </c>
      <c r="G4962" t="s">
        <v>30</v>
      </c>
    </row>
    <row r="4963" spans="1:7" x14ac:dyDescent="0.3">
      <c r="A4963">
        <v>34962</v>
      </c>
      <c r="B4963">
        <v>68</v>
      </c>
      <c r="C4963" s="2">
        <v>45306</v>
      </c>
      <c r="D4963" s="2" t="str">
        <f>TEXT(Table5[[#This Row],[bill_date]],"mmmm")</f>
        <v>January</v>
      </c>
      <c r="E4963" s="9">
        <f>YEAR(Table5[[#This Row],[bill_date]])</f>
        <v>2024</v>
      </c>
      <c r="F4963">
        <v>861</v>
      </c>
      <c r="G4963" t="s">
        <v>30</v>
      </c>
    </row>
    <row r="4964" spans="1:7" x14ac:dyDescent="0.3">
      <c r="A4964">
        <v>34963</v>
      </c>
      <c r="B4964">
        <v>436</v>
      </c>
      <c r="C4964" s="2">
        <v>45127</v>
      </c>
      <c r="D4964" s="2" t="str">
        <f>TEXT(Table5[[#This Row],[bill_date]],"mmmm")</f>
        <v>July</v>
      </c>
      <c r="E4964" s="9">
        <f>YEAR(Table5[[#This Row],[bill_date]])</f>
        <v>2023</v>
      </c>
      <c r="F4964">
        <v>574</v>
      </c>
      <c r="G4964" t="s">
        <v>30</v>
      </c>
    </row>
    <row r="4965" spans="1:7" x14ac:dyDescent="0.3">
      <c r="A4965">
        <v>34964</v>
      </c>
      <c r="B4965">
        <v>169</v>
      </c>
      <c r="C4965" s="2">
        <v>44733</v>
      </c>
      <c r="D4965" s="2" t="str">
        <f>TEXT(Table5[[#This Row],[bill_date]],"mmmm")</f>
        <v>June</v>
      </c>
      <c r="E4965" s="9">
        <f>YEAR(Table5[[#This Row],[bill_date]])</f>
        <v>2022</v>
      </c>
      <c r="F4965">
        <v>1345</v>
      </c>
      <c r="G4965" t="s">
        <v>28</v>
      </c>
    </row>
    <row r="4966" spans="1:7" x14ac:dyDescent="0.3">
      <c r="A4966">
        <v>34965</v>
      </c>
      <c r="B4966">
        <v>105</v>
      </c>
      <c r="C4966" s="2">
        <v>44863</v>
      </c>
      <c r="D4966" s="2" t="str">
        <f>TEXT(Table5[[#This Row],[bill_date]],"mmmm")</f>
        <v>October</v>
      </c>
      <c r="E4966" s="9">
        <f>YEAR(Table5[[#This Row],[bill_date]])</f>
        <v>2022</v>
      </c>
      <c r="F4966">
        <v>1170</v>
      </c>
      <c r="G4966" t="s">
        <v>30</v>
      </c>
    </row>
    <row r="4967" spans="1:7" x14ac:dyDescent="0.3">
      <c r="A4967">
        <v>34966</v>
      </c>
      <c r="B4967">
        <v>462</v>
      </c>
      <c r="C4967" s="2">
        <v>45051</v>
      </c>
      <c r="D4967" s="2" t="str">
        <f>TEXT(Table5[[#This Row],[bill_date]],"mmmm")</f>
        <v>May</v>
      </c>
      <c r="E4967" s="9">
        <f>YEAR(Table5[[#This Row],[bill_date]])</f>
        <v>2023</v>
      </c>
      <c r="F4967">
        <v>444</v>
      </c>
      <c r="G4967" t="s">
        <v>30</v>
      </c>
    </row>
    <row r="4968" spans="1:7" x14ac:dyDescent="0.3">
      <c r="A4968">
        <v>34967</v>
      </c>
      <c r="B4968">
        <v>315</v>
      </c>
      <c r="C4968" s="2">
        <v>44993</v>
      </c>
      <c r="D4968" s="2" t="str">
        <f>TEXT(Table5[[#This Row],[bill_date]],"mmmm")</f>
        <v>March</v>
      </c>
      <c r="E4968" s="9">
        <f>YEAR(Table5[[#This Row],[bill_date]])</f>
        <v>2023</v>
      </c>
      <c r="F4968">
        <v>1476</v>
      </c>
      <c r="G4968" t="s">
        <v>30</v>
      </c>
    </row>
    <row r="4969" spans="1:7" x14ac:dyDescent="0.3">
      <c r="A4969">
        <v>34968</v>
      </c>
      <c r="B4969">
        <v>58</v>
      </c>
      <c r="C4969" s="2">
        <v>45262</v>
      </c>
      <c r="D4969" s="2" t="str">
        <f>TEXT(Table5[[#This Row],[bill_date]],"mmmm")</f>
        <v>December</v>
      </c>
      <c r="E4969" s="9">
        <f>YEAR(Table5[[#This Row],[bill_date]])</f>
        <v>2023</v>
      </c>
      <c r="F4969">
        <v>764</v>
      </c>
      <c r="G4969" t="s">
        <v>30</v>
      </c>
    </row>
    <row r="4970" spans="1:7" x14ac:dyDescent="0.3">
      <c r="A4970">
        <v>34969</v>
      </c>
      <c r="B4970">
        <v>376</v>
      </c>
      <c r="C4970" s="2">
        <v>45116</v>
      </c>
      <c r="D4970" s="2" t="str">
        <f>TEXT(Table5[[#This Row],[bill_date]],"mmmm")</f>
        <v>July</v>
      </c>
      <c r="E4970" s="9">
        <f>YEAR(Table5[[#This Row],[bill_date]])</f>
        <v>2023</v>
      </c>
      <c r="F4970">
        <v>897</v>
      </c>
      <c r="G4970" t="s">
        <v>30</v>
      </c>
    </row>
    <row r="4971" spans="1:7" x14ac:dyDescent="0.3">
      <c r="A4971">
        <v>34970</v>
      </c>
      <c r="B4971">
        <v>187</v>
      </c>
      <c r="C4971" s="2">
        <v>44565</v>
      </c>
      <c r="D4971" s="2" t="str">
        <f>TEXT(Table5[[#This Row],[bill_date]],"mmmm")</f>
        <v>January</v>
      </c>
      <c r="E4971" s="9">
        <f>YEAR(Table5[[#This Row],[bill_date]])</f>
        <v>2022</v>
      </c>
      <c r="F4971">
        <v>1113</v>
      </c>
      <c r="G4971" t="s">
        <v>30</v>
      </c>
    </row>
    <row r="4972" spans="1:7" x14ac:dyDescent="0.3">
      <c r="A4972">
        <v>34971</v>
      </c>
      <c r="B4972">
        <v>456</v>
      </c>
      <c r="C4972" s="2">
        <v>44822</v>
      </c>
      <c r="D4972" s="2" t="str">
        <f>TEXT(Table5[[#This Row],[bill_date]],"mmmm")</f>
        <v>September</v>
      </c>
      <c r="E4972" s="9">
        <f>YEAR(Table5[[#This Row],[bill_date]])</f>
        <v>2022</v>
      </c>
      <c r="F4972">
        <v>479</v>
      </c>
      <c r="G4972" t="s">
        <v>30</v>
      </c>
    </row>
    <row r="4973" spans="1:7" x14ac:dyDescent="0.3">
      <c r="A4973">
        <v>34972</v>
      </c>
      <c r="B4973">
        <v>407</v>
      </c>
      <c r="C4973" s="2">
        <v>45442</v>
      </c>
      <c r="D4973" s="2" t="str">
        <f>TEXT(Table5[[#This Row],[bill_date]],"mmmm")</f>
        <v>May</v>
      </c>
      <c r="E4973" s="9">
        <f>YEAR(Table5[[#This Row],[bill_date]])</f>
        <v>2024</v>
      </c>
      <c r="F4973">
        <v>265</v>
      </c>
      <c r="G4973" t="s">
        <v>30</v>
      </c>
    </row>
    <row r="4974" spans="1:7" x14ac:dyDescent="0.3">
      <c r="A4974">
        <v>34973</v>
      </c>
      <c r="B4974">
        <v>385</v>
      </c>
      <c r="C4974" s="2">
        <v>45131</v>
      </c>
      <c r="D4974" s="2" t="str">
        <f>TEXT(Table5[[#This Row],[bill_date]],"mmmm")</f>
        <v>July</v>
      </c>
      <c r="E4974" s="9">
        <f>YEAR(Table5[[#This Row],[bill_date]])</f>
        <v>2023</v>
      </c>
      <c r="F4974">
        <v>1875</v>
      </c>
      <c r="G4974" t="s">
        <v>30</v>
      </c>
    </row>
    <row r="4975" spans="1:7" x14ac:dyDescent="0.3">
      <c r="A4975">
        <v>34974</v>
      </c>
      <c r="B4975">
        <v>56</v>
      </c>
      <c r="C4975" s="2">
        <v>45110</v>
      </c>
      <c r="D4975" s="2" t="str">
        <f>TEXT(Table5[[#This Row],[bill_date]],"mmmm")</f>
        <v>July</v>
      </c>
      <c r="E4975" s="9">
        <f>YEAR(Table5[[#This Row],[bill_date]])</f>
        <v>2023</v>
      </c>
      <c r="F4975">
        <v>1755</v>
      </c>
      <c r="G4975" t="s">
        <v>28</v>
      </c>
    </row>
    <row r="4976" spans="1:7" x14ac:dyDescent="0.3">
      <c r="A4976">
        <v>34975</v>
      </c>
      <c r="B4976">
        <v>459</v>
      </c>
      <c r="C4976" s="2">
        <v>44971</v>
      </c>
      <c r="D4976" s="2" t="str">
        <f>TEXT(Table5[[#This Row],[bill_date]],"mmmm")</f>
        <v>February</v>
      </c>
      <c r="E4976" s="9">
        <f>YEAR(Table5[[#This Row],[bill_date]])</f>
        <v>2023</v>
      </c>
      <c r="F4976">
        <v>1756</v>
      </c>
      <c r="G4976" t="s">
        <v>30</v>
      </c>
    </row>
    <row r="4977" spans="1:7" x14ac:dyDescent="0.3">
      <c r="A4977">
        <v>34976</v>
      </c>
      <c r="B4977">
        <v>475</v>
      </c>
      <c r="C4977" s="2">
        <v>45308</v>
      </c>
      <c r="D4977" s="2" t="str">
        <f>TEXT(Table5[[#This Row],[bill_date]],"mmmm")</f>
        <v>January</v>
      </c>
      <c r="E4977" s="9">
        <f>YEAR(Table5[[#This Row],[bill_date]])</f>
        <v>2024</v>
      </c>
      <c r="F4977">
        <v>373</v>
      </c>
      <c r="G4977" t="s">
        <v>30</v>
      </c>
    </row>
    <row r="4978" spans="1:7" x14ac:dyDescent="0.3">
      <c r="A4978">
        <v>34977</v>
      </c>
      <c r="B4978">
        <v>4</v>
      </c>
      <c r="C4978" s="2">
        <v>44826</v>
      </c>
      <c r="D4978" s="2" t="str">
        <f>TEXT(Table5[[#This Row],[bill_date]],"mmmm")</f>
        <v>September</v>
      </c>
      <c r="E4978" s="9">
        <f>YEAR(Table5[[#This Row],[bill_date]])</f>
        <v>2022</v>
      </c>
      <c r="F4978">
        <v>1413</v>
      </c>
      <c r="G4978" t="s">
        <v>30</v>
      </c>
    </row>
    <row r="4979" spans="1:7" x14ac:dyDescent="0.3">
      <c r="A4979">
        <v>34978</v>
      </c>
      <c r="B4979">
        <v>285</v>
      </c>
      <c r="C4979" s="2">
        <v>44576</v>
      </c>
      <c r="D4979" s="2" t="str">
        <f>TEXT(Table5[[#This Row],[bill_date]],"mmmm")</f>
        <v>January</v>
      </c>
      <c r="E4979" s="9">
        <f>YEAR(Table5[[#This Row],[bill_date]])</f>
        <v>2022</v>
      </c>
      <c r="F4979">
        <v>483</v>
      </c>
      <c r="G4979" t="s">
        <v>29</v>
      </c>
    </row>
    <row r="4980" spans="1:7" x14ac:dyDescent="0.3">
      <c r="A4980">
        <v>34979</v>
      </c>
      <c r="B4980">
        <v>17</v>
      </c>
      <c r="C4980" s="2">
        <v>44649</v>
      </c>
      <c r="D4980" s="2" t="str">
        <f>TEXT(Table5[[#This Row],[bill_date]],"mmmm")</f>
        <v>March</v>
      </c>
      <c r="E4980" s="9">
        <f>YEAR(Table5[[#This Row],[bill_date]])</f>
        <v>2022</v>
      </c>
      <c r="F4980">
        <v>503</v>
      </c>
      <c r="G4980" t="s">
        <v>30</v>
      </c>
    </row>
    <row r="4981" spans="1:7" x14ac:dyDescent="0.3">
      <c r="A4981">
        <v>34980</v>
      </c>
      <c r="B4981">
        <v>433</v>
      </c>
      <c r="C4981" s="2">
        <v>44660</v>
      </c>
      <c r="D4981" s="2" t="str">
        <f>TEXT(Table5[[#This Row],[bill_date]],"mmmm")</f>
        <v>April</v>
      </c>
      <c r="E4981" s="9">
        <f>YEAR(Table5[[#This Row],[bill_date]])</f>
        <v>2022</v>
      </c>
      <c r="F4981">
        <v>1073</v>
      </c>
      <c r="G4981" t="s">
        <v>30</v>
      </c>
    </row>
    <row r="4982" spans="1:7" x14ac:dyDescent="0.3">
      <c r="A4982">
        <v>34981</v>
      </c>
      <c r="B4982">
        <v>467</v>
      </c>
      <c r="C4982" s="2">
        <v>45178</v>
      </c>
      <c r="D4982" s="2" t="str">
        <f>TEXT(Table5[[#This Row],[bill_date]],"mmmm")</f>
        <v>September</v>
      </c>
      <c r="E4982" s="9">
        <f>YEAR(Table5[[#This Row],[bill_date]])</f>
        <v>2023</v>
      </c>
      <c r="F4982">
        <v>991</v>
      </c>
      <c r="G4982" t="s">
        <v>28</v>
      </c>
    </row>
    <row r="4983" spans="1:7" x14ac:dyDescent="0.3">
      <c r="A4983">
        <v>34982</v>
      </c>
      <c r="B4983">
        <v>237</v>
      </c>
      <c r="C4983" s="2">
        <v>44778</v>
      </c>
      <c r="D4983" s="2" t="str">
        <f>TEXT(Table5[[#This Row],[bill_date]],"mmmm")</f>
        <v>August</v>
      </c>
      <c r="E4983" s="9">
        <f>YEAR(Table5[[#This Row],[bill_date]])</f>
        <v>2022</v>
      </c>
      <c r="F4983">
        <v>605</v>
      </c>
      <c r="G4983" t="s">
        <v>30</v>
      </c>
    </row>
    <row r="4984" spans="1:7" x14ac:dyDescent="0.3">
      <c r="A4984">
        <v>34983</v>
      </c>
      <c r="B4984">
        <v>307</v>
      </c>
      <c r="C4984" s="2">
        <v>44971</v>
      </c>
      <c r="D4984" s="2" t="str">
        <f>TEXT(Table5[[#This Row],[bill_date]],"mmmm")</f>
        <v>February</v>
      </c>
      <c r="E4984" s="9">
        <f>YEAR(Table5[[#This Row],[bill_date]])</f>
        <v>2023</v>
      </c>
      <c r="F4984">
        <v>530</v>
      </c>
      <c r="G4984" t="s">
        <v>30</v>
      </c>
    </row>
    <row r="4985" spans="1:7" x14ac:dyDescent="0.3">
      <c r="A4985">
        <v>34984</v>
      </c>
      <c r="B4985">
        <v>250</v>
      </c>
      <c r="C4985" s="2">
        <v>44752</v>
      </c>
      <c r="D4985" s="2" t="str">
        <f>TEXT(Table5[[#This Row],[bill_date]],"mmmm")</f>
        <v>July</v>
      </c>
      <c r="E4985" s="9">
        <f>YEAR(Table5[[#This Row],[bill_date]])</f>
        <v>2022</v>
      </c>
      <c r="F4985">
        <v>503</v>
      </c>
      <c r="G4985" t="s">
        <v>29</v>
      </c>
    </row>
    <row r="4986" spans="1:7" x14ac:dyDescent="0.3">
      <c r="A4986">
        <v>34985</v>
      </c>
      <c r="B4986">
        <v>433</v>
      </c>
      <c r="C4986" s="2">
        <v>44776</v>
      </c>
      <c r="D4986" s="2" t="str">
        <f>TEXT(Table5[[#This Row],[bill_date]],"mmmm")</f>
        <v>August</v>
      </c>
      <c r="E4986" s="9">
        <f>YEAR(Table5[[#This Row],[bill_date]])</f>
        <v>2022</v>
      </c>
      <c r="F4986">
        <v>1117</v>
      </c>
      <c r="G4986" t="s">
        <v>30</v>
      </c>
    </row>
    <row r="4987" spans="1:7" x14ac:dyDescent="0.3">
      <c r="A4987">
        <v>34986</v>
      </c>
      <c r="B4987">
        <v>24</v>
      </c>
      <c r="C4987" s="2">
        <v>45271</v>
      </c>
      <c r="D4987" s="2" t="str">
        <f>TEXT(Table5[[#This Row],[bill_date]],"mmmm")</f>
        <v>December</v>
      </c>
      <c r="E4987" s="9">
        <f>YEAR(Table5[[#This Row],[bill_date]])</f>
        <v>2023</v>
      </c>
      <c r="F4987">
        <v>1995</v>
      </c>
      <c r="G4987" t="s">
        <v>30</v>
      </c>
    </row>
    <row r="4988" spans="1:7" x14ac:dyDescent="0.3">
      <c r="A4988">
        <v>34987</v>
      </c>
      <c r="B4988">
        <v>500</v>
      </c>
      <c r="C4988" s="2">
        <v>45178</v>
      </c>
      <c r="D4988" s="2" t="str">
        <f>TEXT(Table5[[#This Row],[bill_date]],"mmmm")</f>
        <v>September</v>
      </c>
      <c r="E4988" s="9">
        <f>YEAR(Table5[[#This Row],[bill_date]])</f>
        <v>2023</v>
      </c>
      <c r="F4988">
        <v>867</v>
      </c>
      <c r="G4988" t="s">
        <v>28</v>
      </c>
    </row>
    <row r="4989" spans="1:7" x14ac:dyDescent="0.3">
      <c r="A4989">
        <v>34988</v>
      </c>
      <c r="B4989">
        <v>300</v>
      </c>
      <c r="C4989" s="2">
        <v>44588</v>
      </c>
      <c r="D4989" s="2" t="str">
        <f>TEXT(Table5[[#This Row],[bill_date]],"mmmm")</f>
        <v>January</v>
      </c>
      <c r="E4989" s="9">
        <f>YEAR(Table5[[#This Row],[bill_date]])</f>
        <v>2022</v>
      </c>
      <c r="F4989">
        <v>971</v>
      </c>
      <c r="G4989" t="s">
        <v>30</v>
      </c>
    </row>
    <row r="4990" spans="1:7" x14ac:dyDescent="0.3">
      <c r="A4990">
        <v>34989</v>
      </c>
      <c r="B4990">
        <v>116</v>
      </c>
      <c r="C4990" s="2">
        <v>44743</v>
      </c>
      <c r="D4990" s="2" t="str">
        <f>TEXT(Table5[[#This Row],[bill_date]],"mmmm")</f>
        <v>July</v>
      </c>
      <c r="E4990" s="9">
        <f>YEAR(Table5[[#This Row],[bill_date]])</f>
        <v>2022</v>
      </c>
      <c r="F4990">
        <v>749</v>
      </c>
      <c r="G4990" t="s">
        <v>30</v>
      </c>
    </row>
    <row r="4991" spans="1:7" x14ac:dyDescent="0.3">
      <c r="A4991">
        <v>34990</v>
      </c>
      <c r="B4991">
        <v>238</v>
      </c>
      <c r="C4991" s="2">
        <v>45156</v>
      </c>
      <c r="D4991" s="2" t="str">
        <f>TEXT(Table5[[#This Row],[bill_date]],"mmmm")</f>
        <v>August</v>
      </c>
      <c r="E4991" s="9">
        <f>YEAR(Table5[[#This Row],[bill_date]])</f>
        <v>2023</v>
      </c>
      <c r="F4991">
        <v>1193</v>
      </c>
      <c r="G4991" t="s">
        <v>30</v>
      </c>
    </row>
    <row r="4992" spans="1:7" x14ac:dyDescent="0.3">
      <c r="A4992">
        <v>34991</v>
      </c>
      <c r="B4992">
        <v>169</v>
      </c>
      <c r="C4992" s="2">
        <v>44720</v>
      </c>
      <c r="D4992" s="2" t="str">
        <f>TEXT(Table5[[#This Row],[bill_date]],"mmmm")</f>
        <v>June</v>
      </c>
      <c r="E4992" s="9">
        <f>YEAR(Table5[[#This Row],[bill_date]])</f>
        <v>2022</v>
      </c>
      <c r="F4992">
        <v>1559</v>
      </c>
      <c r="G4992" t="s">
        <v>30</v>
      </c>
    </row>
    <row r="4993" spans="1:7" x14ac:dyDescent="0.3">
      <c r="A4993">
        <v>34992</v>
      </c>
      <c r="B4993">
        <v>313</v>
      </c>
      <c r="C4993" s="2">
        <v>44791</v>
      </c>
      <c r="D4993" s="2" t="str">
        <f>TEXT(Table5[[#This Row],[bill_date]],"mmmm")</f>
        <v>August</v>
      </c>
      <c r="E4993" s="9">
        <f>YEAR(Table5[[#This Row],[bill_date]])</f>
        <v>2022</v>
      </c>
      <c r="F4993">
        <v>1252</v>
      </c>
      <c r="G4993" t="s">
        <v>30</v>
      </c>
    </row>
    <row r="4994" spans="1:7" x14ac:dyDescent="0.3">
      <c r="A4994">
        <v>34993</v>
      </c>
      <c r="B4994">
        <v>492</v>
      </c>
      <c r="C4994" s="2">
        <v>44796</v>
      </c>
      <c r="D4994" s="2" t="str">
        <f>TEXT(Table5[[#This Row],[bill_date]],"mmmm")</f>
        <v>August</v>
      </c>
      <c r="E4994" s="9">
        <f>YEAR(Table5[[#This Row],[bill_date]])</f>
        <v>2022</v>
      </c>
      <c r="F4994">
        <v>638</v>
      </c>
      <c r="G4994" t="s">
        <v>30</v>
      </c>
    </row>
    <row r="4995" spans="1:7" x14ac:dyDescent="0.3">
      <c r="A4995">
        <v>34994</v>
      </c>
      <c r="B4995">
        <v>440</v>
      </c>
      <c r="C4995" s="2">
        <v>45361</v>
      </c>
      <c r="D4995" s="2" t="str">
        <f>TEXT(Table5[[#This Row],[bill_date]],"mmmm")</f>
        <v>March</v>
      </c>
      <c r="E4995" s="9">
        <f>YEAR(Table5[[#This Row],[bill_date]])</f>
        <v>2024</v>
      </c>
      <c r="F4995">
        <v>456</v>
      </c>
      <c r="G4995" t="s">
        <v>30</v>
      </c>
    </row>
    <row r="4996" spans="1:7" x14ac:dyDescent="0.3">
      <c r="A4996">
        <v>34995</v>
      </c>
      <c r="B4996">
        <v>288</v>
      </c>
      <c r="C4996" s="2">
        <v>44947</v>
      </c>
      <c r="D4996" s="2" t="str">
        <f>TEXT(Table5[[#This Row],[bill_date]],"mmmm")</f>
        <v>January</v>
      </c>
      <c r="E4996" s="9">
        <f>YEAR(Table5[[#This Row],[bill_date]])</f>
        <v>2023</v>
      </c>
      <c r="F4996">
        <v>981</v>
      </c>
      <c r="G4996" t="s">
        <v>30</v>
      </c>
    </row>
    <row r="4997" spans="1:7" x14ac:dyDescent="0.3">
      <c r="A4997">
        <v>34996</v>
      </c>
      <c r="B4997">
        <v>415</v>
      </c>
      <c r="C4997" s="2">
        <v>45091</v>
      </c>
      <c r="D4997" s="2" t="str">
        <f>TEXT(Table5[[#This Row],[bill_date]],"mmmm")</f>
        <v>June</v>
      </c>
      <c r="E4997" s="9">
        <f>YEAR(Table5[[#This Row],[bill_date]])</f>
        <v>2023</v>
      </c>
      <c r="F4997">
        <v>761</v>
      </c>
      <c r="G4997" t="s">
        <v>30</v>
      </c>
    </row>
    <row r="4998" spans="1:7" x14ac:dyDescent="0.3">
      <c r="A4998">
        <v>34997</v>
      </c>
      <c r="B4998">
        <v>241</v>
      </c>
      <c r="C4998" s="2">
        <v>44845</v>
      </c>
      <c r="D4998" s="2" t="str">
        <f>TEXT(Table5[[#This Row],[bill_date]],"mmmm")</f>
        <v>October</v>
      </c>
      <c r="E4998" s="9">
        <f>YEAR(Table5[[#This Row],[bill_date]])</f>
        <v>2022</v>
      </c>
      <c r="F4998">
        <v>432</v>
      </c>
      <c r="G4998" t="s">
        <v>30</v>
      </c>
    </row>
    <row r="4999" spans="1:7" x14ac:dyDescent="0.3">
      <c r="A4999">
        <v>34998</v>
      </c>
      <c r="B4999">
        <v>400</v>
      </c>
      <c r="C4999" s="2">
        <v>44632</v>
      </c>
      <c r="D4999" s="2" t="str">
        <f>TEXT(Table5[[#This Row],[bill_date]],"mmmm")</f>
        <v>March</v>
      </c>
      <c r="E4999" s="9">
        <f>YEAR(Table5[[#This Row],[bill_date]])</f>
        <v>2022</v>
      </c>
      <c r="F4999">
        <v>224</v>
      </c>
      <c r="G4999" t="s">
        <v>30</v>
      </c>
    </row>
    <row r="5000" spans="1:7" x14ac:dyDescent="0.3">
      <c r="A5000">
        <v>34999</v>
      </c>
      <c r="B5000">
        <v>416</v>
      </c>
      <c r="C5000" s="2">
        <v>45065</v>
      </c>
      <c r="D5000" s="2" t="str">
        <f>TEXT(Table5[[#This Row],[bill_date]],"mmmm")</f>
        <v>May</v>
      </c>
      <c r="E5000" s="9">
        <f>YEAR(Table5[[#This Row],[bill_date]])</f>
        <v>2023</v>
      </c>
      <c r="F5000">
        <v>721</v>
      </c>
      <c r="G5000" t="s">
        <v>29</v>
      </c>
    </row>
    <row r="5001" spans="1:7" x14ac:dyDescent="0.3">
      <c r="A5001">
        <v>35000</v>
      </c>
      <c r="B5001">
        <v>364</v>
      </c>
      <c r="C5001" s="2">
        <v>44776</v>
      </c>
      <c r="D5001" s="2" t="str">
        <f>TEXT(Table5[[#This Row],[bill_date]],"mmmm")</f>
        <v>August</v>
      </c>
      <c r="E5001" s="9">
        <f>YEAR(Table5[[#This Row],[bill_date]])</f>
        <v>2022</v>
      </c>
      <c r="F5001">
        <v>582</v>
      </c>
      <c r="G5001" t="s">
        <v>30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2A3E-C43D-4884-9488-E4B29151952F}">
  <dimension ref="A3:B24"/>
  <sheetViews>
    <sheetView workbookViewId="0">
      <selection activeCell="G21" sqref="G21"/>
    </sheetView>
  </sheetViews>
  <sheetFormatPr defaultRowHeight="14.4" x14ac:dyDescent="0.3"/>
  <cols>
    <col min="1" max="1" width="12.5546875" bestFit="1" customWidth="1"/>
    <col min="2" max="2" width="20.88671875" bestFit="1" customWidth="1"/>
  </cols>
  <sheetData>
    <row r="3" spans="1:2" x14ac:dyDescent="0.3">
      <c r="A3" s="11" t="s">
        <v>31</v>
      </c>
      <c r="B3" t="s">
        <v>48</v>
      </c>
    </row>
    <row r="4" spans="1:2" x14ac:dyDescent="0.3">
      <c r="A4" s="12" t="s">
        <v>49</v>
      </c>
      <c r="B4" s="9">
        <v>1992</v>
      </c>
    </row>
    <row r="5" spans="1:2" x14ac:dyDescent="0.3">
      <c r="A5" s="12" t="s">
        <v>50</v>
      </c>
      <c r="B5" s="9">
        <v>1349</v>
      </c>
    </row>
    <row r="6" spans="1:2" x14ac:dyDescent="0.3">
      <c r="A6" s="12" t="s">
        <v>51</v>
      </c>
      <c r="B6" s="9">
        <v>881</v>
      </c>
    </row>
    <row r="7" spans="1:2" x14ac:dyDescent="0.3">
      <c r="A7" s="12" t="s">
        <v>52</v>
      </c>
      <c r="B7" s="9">
        <v>570</v>
      </c>
    </row>
    <row r="8" spans="1:2" x14ac:dyDescent="0.3">
      <c r="A8" s="12" t="s">
        <v>53</v>
      </c>
      <c r="B8" s="9">
        <v>403</v>
      </c>
    </row>
    <row r="9" spans="1:2" x14ac:dyDescent="0.3">
      <c r="A9" s="12" t="s">
        <v>54</v>
      </c>
      <c r="B9" s="9">
        <v>258</v>
      </c>
    </row>
    <row r="10" spans="1:2" x14ac:dyDescent="0.3">
      <c r="A10" s="12" t="s">
        <v>55</v>
      </c>
      <c r="B10" s="9">
        <v>180</v>
      </c>
    </row>
    <row r="11" spans="1:2" x14ac:dyDescent="0.3">
      <c r="A11" s="12" t="s">
        <v>56</v>
      </c>
      <c r="B11" s="9">
        <v>139</v>
      </c>
    </row>
    <row r="12" spans="1:2" x14ac:dyDescent="0.3">
      <c r="A12" s="12" t="s">
        <v>57</v>
      </c>
      <c r="B12" s="9">
        <v>69</v>
      </c>
    </row>
    <row r="13" spans="1:2" x14ac:dyDescent="0.3">
      <c r="A13" s="12" t="s">
        <v>58</v>
      </c>
      <c r="B13" s="9">
        <v>58</v>
      </c>
    </row>
    <row r="14" spans="1:2" x14ac:dyDescent="0.3">
      <c r="A14" s="12" t="s">
        <v>59</v>
      </c>
      <c r="B14" s="9">
        <v>32</v>
      </c>
    </row>
    <row r="15" spans="1:2" x14ac:dyDescent="0.3">
      <c r="A15" s="12" t="s">
        <v>60</v>
      </c>
      <c r="B15" s="9">
        <v>21</v>
      </c>
    </row>
    <row r="16" spans="1:2" x14ac:dyDescent="0.3">
      <c r="A16" s="12" t="s">
        <v>61</v>
      </c>
      <c r="B16" s="9">
        <v>15</v>
      </c>
    </row>
    <row r="17" spans="1:2" x14ac:dyDescent="0.3">
      <c r="A17" s="12" t="s">
        <v>62</v>
      </c>
      <c r="B17" s="9">
        <v>12</v>
      </c>
    </row>
    <row r="18" spans="1:2" x14ac:dyDescent="0.3">
      <c r="A18" s="12" t="s">
        <v>63</v>
      </c>
      <c r="B18" s="9">
        <v>4</v>
      </c>
    </row>
    <row r="19" spans="1:2" x14ac:dyDescent="0.3">
      <c r="A19" s="12" t="s">
        <v>64</v>
      </c>
      <c r="B19" s="9">
        <v>7</v>
      </c>
    </row>
    <row r="20" spans="1:2" x14ac:dyDescent="0.3">
      <c r="A20" s="12" t="s">
        <v>65</v>
      </c>
      <c r="B20" s="9">
        <v>7</v>
      </c>
    </row>
    <row r="21" spans="1:2" x14ac:dyDescent="0.3">
      <c r="A21" s="12" t="s">
        <v>66</v>
      </c>
      <c r="B21" s="9">
        <v>1</v>
      </c>
    </row>
    <row r="22" spans="1:2" x14ac:dyDescent="0.3">
      <c r="A22" s="12" t="s">
        <v>67</v>
      </c>
      <c r="B22" s="9">
        <v>1</v>
      </c>
    </row>
    <row r="23" spans="1:2" x14ac:dyDescent="0.3">
      <c r="A23" s="12" t="s">
        <v>68</v>
      </c>
      <c r="B23" s="9">
        <v>1</v>
      </c>
    </row>
    <row r="24" spans="1:2" x14ac:dyDescent="0.3">
      <c r="A24" s="12" t="s">
        <v>32</v>
      </c>
      <c r="B24" s="9">
        <v>6000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F782-7FCC-4561-8A91-2786BB3A37D2}">
  <dimension ref="A3:E11"/>
  <sheetViews>
    <sheetView workbookViewId="0">
      <selection activeCell="H9" sqref="H9"/>
    </sheetView>
  </sheetViews>
  <sheetFormatPr defaultRowHeight="14.4" x14ac:dyDescent="0.3"/>
  <cols>
    <col min="1" max="2" width="15.5546875" bestFit="1" customWidth="1"/>
    <col min="3" max="3" width="8.88671875" bestFit="1" customWidth="1"/>
    <col min="4" max="4" width="12.21875" bestFit="1" customWidth="1"/>
    <col min="5" max="5" width="10.77734375" bestFit="1" customWidth="1"/>
  </cols>
  <sheetData>
    <row r="3" spans="1:5" x14ac:dyDescent="0.3">
      <c r="A3" s="11" t="s">
        <v>70</v>
      </c>
      <c r="B3" s="11" t="s">
        <v>33</v>
      </c>
    </row>
    <row r="4" spans="1:5" x14ac:dyDescent="0.3">
      <c r="A4" s="11" t="s">
        <v>31</v>
      </c>
      <c r="B4" t="s">
        <v>22</v>
      </c>
      <c r="C4" t="s">
        <v>19</v>
      </c>
      <c r="D4" t="s">
        <v>21</v>
      </c>
      <c r="E4" t="s">
        <v>32</v>
      </c>
    </row>
    <row r="5" spans="1:5" x14ac:dyDescent="0.3">
      <c r="A5" s="12" t="s">
        <v>38</v>
      </c>
      <c r="B5" s="9">
        <v>166</v>
      </c>
      <c r="C5" s="9">
        <v>181</v>
      </c>
      <c r="D5" s="9">
        <v>165</v>
      </c>
      <c r="E5" s="9">
        <v>512</v>
      </c>
    </row>
    <row r="6" spans="1:5" x14ac:dyDescent="0.3">
      <c r="A6" s="12" t="s">
        <v>35</v>
      </c>
      <c r="B6" s="9">
        <v>198</v>
      </c>
      <c r="C6" s="9">
        <v>191</v>
      </c>
      <c r="D6" s="9">
        <v>175</v>
      </c>
      <c r="E6" s="9">
        <v>564</v>
      </c>
    </row>
    <row r="7" spans="1:5" x14ac:dyDescent="0.3">
      <c r="A7" s="12" t="s">
        <v>37</v>
      </c>
      <c r="B7" s="9">
        <v>202</v>
      </c>
      <c r="C7" s="9">
        <v>173</v>
      </c>
      <c r="D7" s="9">
        <v>189</v>
      </c>
      <c r="E7" s="9">
        <v>564</v>
      </c>
    </row>
    <row r="8" spans="1:5" x14ac:dyDescent="0.3">
      <c r="A8" s="12" t="s">
        <v>39</v>
      </c>
      <c r="B8" s="9">
        <v>168</v>
      </c>
      <c r="C8" s="9">
        <v>146</v>
      </c>
      <c r="D8" s="9">
        <v>185</v>
      </c>
      <c r="E8" s="9">
        <v>499</v>
      </c>
    </row>
    <row r="9" spans="1:5" x14ac:dyDescent="0.3">
      <c r="A9" s="12" t="s">
        <v>34</v>
      </c>
      <c r="B9" s="9">
        <v>139</v>
      </c>
      <c r="C9" s="9">
        <v>168</v>
      </c>
      <c r="D9" s="9">
        <v>145</v>
      </c>
      <c r="E9" s="9">
        <v>452</v>
      </c>
    </row>
    <row r="10" spans="1:5" x14ac:dyDescent="0.3">
      <c r="A10" s="12" t="s">
        <v>36</v>
      </c>
      <c r="B10" s="9">
        <v>134</v>
      </c>
      <c r="C10" s="9">
        <v>140</v>
      </c>
      <c r="D10" s="9">
        <v>135</v>
      </c>
      <c r="E10" s="9">
        <v>409</v>
      </c>
    </row>
    <row r="11" spans="1:5" x14ac:dyDescent="0.3">
      <c r="A11" s="12" t="s">
        <v>32</v>
      </c>
      <c r="B11" s="9">
        <v>1007</v>
      </c>
      <c r="C11" s="9">
        <v>999</v>
      </c>
      <c r="D11" s="9">
        <v>994</v>
      </c>
      <c r="E11" s="9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network_usage</vt:lpstr>
      <vt:lpstr>network_issues</vt:lpstr>
      <vt:lpstr>billing</vt:lpstr>
      <vt:lpstr>Threshold Analysis</vt:lpstr>
      <vt:lpstr>City-wise Network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chandra</cp:lastModifiedBy>
  <dcterms:created xsi:type="dcterms:W3CDTF">2025-12-18T05:01:00Z</dcterms:created>
  <dcterms:modified xsi:type="dcterms:W3CDTF">2026-05-02T14:24:24Z</dcterms:modified>
</cp:coreProperties>
</file>